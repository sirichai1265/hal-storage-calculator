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8_{A212873C-02D1-4E5F-AEF0-86719E36EED8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4" l="1"/>
  <c r="AF37" i="4" s="1"/>
  <c r="T37" i="4"/>
  <c r="P37" i="4"/>
  <c r="O37" i="4"/>
  <c r="K37" i="4"/>
  <c r="N37" i="4" s="1"/>
  <c r="D37" i="4"/>
  <c r="E37" i="4" s="1"/>
  <c r="C37" i="4"/>
  <c r="B37" i="4" s="1"/>
  <c r="AO3" i="4"/>
  <c r="AN3" i="4"/>
  <c r="W3" i="4"/>
  <c r="AF3" i="4" s="1"/>
  <c r="T3" i="4"/>
  <c r="U3" i="4" s="1"/>
  <c r="P3" i="4"/>
  <c r="O3" i="4"/>
  <c r="K3" i="4"/>
  <c r="R3" i="4" s="1"/>
  <c r="J3" i="4"/>
  <c r="D3" i="4"/>
  <c r="AM3" i="4" s="1"/>
  <c r="C3" i="4"/>
  <c r="B3" i="4"/>
  <c r="W44" i="4"/>
  <c r="AF44" i="4" s="1"/>
  <c r="T44" i="4"/>
  <c r="AE44" i="4" s="1"/>
  <c r="P44" i="4"/>
  <c r="O44" i="4"/>
  <c r="K44" i="4"/>
  <c r="D44" i="4"/>
  <c r="F44" i="4" s="1"/>
  <c r="C44" i="4"/>
  <c r="B44" i="4" s="1"/>
  <c r="AO43" i="4"/>
  <c r="AN43" i="4"/>
  <c r="AM43" i="4"/>
  <c r="AL43" i="4"/>
  <c r="AK43" i="4"/>
  <c r="W43" i="4"/>
  <c r="AF43" i="4" s="1"/>
  <c r="T43" i="4"/>
  <c r="U43" i="4" s="1"/>
  <c r="P43" i="4"/>
  <c r="O43" i="4"/>
  <c r="K43" i="4"/>
  <c r="N43" i="4" s="1"/>
  <c r="I43" i="4"/>
  <c r="H43" i="4"/>
  <c r="G43" i="4"/>
  <c r="F43" i="4"/>
  <c r="E43" i="4"/>
  <c r="D43" i="4"/>
  <c r="M43" i="4" s="1"/>
  <c r="C43" i="4"/>
  <c r="B43" i="4" s="1"/>
  <c r="W42" i="4"/>
  <c r="AF42" i="4" s="1"/>
  <c r="T42" i="4"/>
  <c r="R42" i="4"/>
  <c r="Q42" i="4"/>
  <c r="P42" i="4"/>
  <c r="O42" i="4"/>
  <c r="K42" i="4"/>
  <c r="N42" i="4" s="1"/>
  <c r="D42" i="4"/>
  <c r="I42" i="4" s="1"/>
  <c r="C42" i="4"/>
  <c r="B42" i="4" s="1"/>
  <c r="W39" i="4"/>
  <c r="AF39" i="4" s="1"/>
  <c r="T39" i="4"/>
  <c r="AE39" i="4" s="1"/>
  <c r="R39" i="4"/>
  <c r="P39" i="4"/>
  <c r="O39" i="4"/>
  <c r="N39" i="4"/>
  <c r="K39" i="4"/>
  <c r="D39" i="4"/>
  <c r="AK39" i="4" s="1"/>
  <c r="C39" i="4"/>
  <c r="B39" i="4" s="1"/>
  <c r="W36" i="4"/>
  <c r="AF36" i="4" s="1"/>
  <c r="T36" i="4"/>
  <c r="X36" i="4" s="1"/>
  <c r="P36" i="4"/>
  <c r="O36" i="4"/>
  <c r="K36" i="4"/>
  <c r="N36" i="4" s="1"/>
  <c r="D36" i="4"/>
  <c r="Q36" i="4" s="1"/>
  <c r="C36" i="4"/>
  <c r="B36" i="4" s="1"/>
  <c r="W35" i="4"/>
  <c r="AF35" i="4" s="1"/>
  <c r="T35" i="4"/>
  <c r="U35" i="4" s="1"/>
  <c r="P35" i="4"/>
  <c r="O35" i="4"/>
  <c r="N35" i="4"/>
  <c r="K35" i="4"/>
  <c r="R35" i="4" s="1"/>
  <c r="D35" i="4"/>
  <c r="AM35" i="4" s="1"/>
  <c r="C35" i="4"/>
  <c r="B35" i="4"/>
  <c r="AO34" i="4"/>
  <c r="AN34" i="4"/>
  <c r="W34" i="4"/>
  <c r="AF34" i="4" s="1"/>
  <c r="U34" i="4"/>
  <c r="T34" i="4"/>
  <c r="AE34" i="4" s="1"/>
  <c r="P34" i="4"/>
  <c r="O34" i="4"/>
  <c r="M34" i="4"/>
  <c r="L34" i="4"/>
  <c r="K34" i="4"/>
  <c r="G34" i="4"/>
  <c r="E34" i="4"/>
  <c r="D34" i="4"/>
  <c r="F34" i="4" s="1"/>
  <c r="C34" i="4"/>
  <c r="B34" i="4"/>
  <c r="W52" i="4"/>
  <c r="AF52" i="4" s="1"/>
  <c r="T52" i="4"/>
  <c r="U52" i="4" s="1"/>
  <c r="P52" i="4"/>
  <c r="O52" i="4"/>
  <c r="K52" i="4"/>
  <c r="N52" i="4" s="1"/>
  <c r="D52" i="4"/>
  <c r="M52" i="4" s="1"/>
  <c r="Y52" i="4" s="1"/>
  <c r="C52" i="4"/>
  <c r="B52" i="4" s="1"/>
  <c r="W33" i="4"/>
  <c r="AF33" i="4" s="1"/>
  <c r="T33" i="4"/>
  <c r="U33" i="4" s="1"/>
  <c r="P33" i="4"/>
  <c r="O33" i="4"/>
  <c r="K33" i="4"/>
  <c r="N33" i="4" s="1"/>
  <c r="D33" i="4"/>
  <c r="E33" i="4" s="1"/>
  <c r="C33" i="4"/>
  <c r="B33" i="4" s="1"/>
  <c r="W32" i="4"/>
  <c r="AF32" i="4" s="1"/>
  <c r="T32" i="4"/>
  <c r="AE32" i="4" s="1"/>
  <c r="Q32" i="4"/>
  <c r="P32" i="4"/>
  <c r="O32" i="4"/>
  <c r="K32" i="4"/>
  <c r="N32" i="4" s="1"/>
  <c r="D32" i="4"/>
  <c r="M32" i="4" s="1"/>
  <c r="C32" i="4"/>
  <c r="B32" i="4"/>
  <c r="W51" i="4"/>
  <c r="AF51" i="4" s="1"/>
  <c r="T51" i="4"/>
  <c r="X51" i="4" s="1"/>
  <c r="P51" i="4"/>
  <c r="O51" i="4"/>
  <c r="K51" i="4"/>
  <c r="R51" i="4" s="1"/>
  <c r="D51" i="4"/>
  <c r="C51" i="4"/>
  <c r="B51" i="4" s="1"/>
  <c r="W31" i="4"/>
  <c r="AF31" i="4" s="1"/>
  <c r="T31" i="4"/>
  <c r="U31" i="4" s="1"/>
  <c r="P31" i="4"/>
  <c r="O31" i="4"/>
  <c r="K31" i="4"/>
  <c r="R31" i="4" s="1"/>
  <c r="D31" i="4"/>
  <c r="AL31" i="4" s="1"/>
  <c r="C31" i="4"/>
  <c r="B31" i="4" s="1"/>
  <c r="AL30" i="4"/>
  <c r="W30" i="4"/>
  <c r="AF30" i="4" s="1"/>
  <c r="T30" i="4"/>
  <c r="AE30" i="4" s="1"/>
  <c r="Q30" i="4"/>
  <c r="P30" i="4"/>
  <c r="O30" i="4"/>
  <c r="M30" i="4"/>
  <c r="Y30" i="4" s="1"/>
  <c r="K30" i="4"/>
  <c r="H30" i="4"/>
  <c r="D30" i="4"/>
  <c r="F30" i="4" s="1"/>
  <c r="C30" i="4"/>
  <c r="B30" i="4"/>
  <c r="AO29" i="4"/>
  <c r="AN29" i="4"/>
  <c r="W29" i="4"/>
  <c r="AF29" i="4" s="1"/>
  <c r="U29" i="4"/>
  <c r="T29" i="4"/>
  <c r="P29" i="4"/>
  <c r="O29" i="4"/>
  <c r="M29" i="4"/>
  <c r="Y29" i="4" s="1"/>
  <c r="L29" i="4"/>
  <c r="K29" i="4"/>
  <c r="N29" i="4" s="1"/>
  <c r="J29" i="4"/>
  <c r="F29" i="4"/>
  <c r="E29" i="4"/>
  <c r="D29" i="4"/>
  <c r="Q29" i="4" s="1"/>
  <c r="C29" i="4"/>
  <c r="B29" i="4" s="1"/>
  <c r="W28" i="4"/>
  <c r="AF28" i="4" s="1"/>
  <c r="T28" i="4"/>
  <c r="AE28" i="4" s="1"/>
  <c r="P28" i="4"/>
  <c r="O28" i="4"/>
  <c r="K28" i="4"/>
  <c r="N28" i="4" s="1"/>
  <c r="D28" i="4"/>
  <c r="AM28" i="4" s="1"/>
  <c r="C28" i="4"/>
  <c r="B28" i="4" s="1"/>
  <c r="W27" i="4"/>
  <c r="AF27" i="4" s="1"/>
  <c r="T27" i="4"/>
  <c r="P27" i="4"/>
  <c r="O27" i="4"/>
  <c r="K27" i="4"/>
  <c r="N27" i="4" s="1"/>
  <c r="D27" i="4"/>
  <c r="M27" i="4" s="1"/>
  <c r="C27" i="4"/>
  <c r="B27" i="4" s="1"/>
  <c r="W26" i="4"/>
  <c r="AF26" i="4" s="1"/>
  <c r="T26" i="4"/>
  <c r="P26" i="4"/>
  <c r="O26" i="4"/>
  <c r="K26" i="4"/>
  <c r="R26" i="4" s="1"/>
  <c r="D26" i="4"/>
  <c r="Q26" i="4" s="1"/>
  <c r="C26" i="4"/>
  <c r="B26" i="4" s="1"/>
  <c r="AN25" i="4"/>
  <c r="W25" i="4"/>
  <c r="AF25" i="4" s="1"/>
  <c r="T25" i="4"/>
  <c r="U25" i="4" s="1"/>
  <c r="P25" i="4"/>
  <c r="O25" i="4"/>
  <c r="K25" i="4"/>
  <c r="R25" i="4" s="1"/>
  <c r="D25" i="4"/>
  <c r="AL25" i="4" s="1"/>
  <c r="C25" i="4"/>
  <c r="B25" i="4"/>
  <c r="W24" i="4"/>
  <c r="AF24" i="4" s="1"/>
  <c r="T24" i="4"/>
  <c r="AE24" i="4" s="1"/>
  <c r="P24" i="4"/>
  <c r="O24" i="4"/>
  <c r="K24" i="4"/>
  <c r="D24" i="4"/>
  <c r="F24" i="4" s="1"/>
  <c r="C24" i="4"/>
  <c r="B24" i="4" s="1"/>
  <c r="W23" i="4"/>
  <c r="AF23" i="4" s="1"/>
  <c r="T23" i="4"/>
  <c r="X23" i="4" s="1"/>
  <c r="P23" i="4"/>
  <c r="O23" i="4"/>
  <c r="K23" i="4"/>
  <c r="N23" i="4" s="1"/>
  <c r="D23" i="4"/>
  <c r="AN23" i="4" s="1"/>
  <c r="C23" i="4"/>
  <c r="B23" i="4" s="1"/>
  <c r="AK22" i="4"/>
  <c r="W22" i="4"/>
  <c r="AF22" i="4" s="1"/>
  <c r="T22" i="4"/>
  <c r="AE22" i="4" s="1"/>
  <c r="Q22" i="4"/>
  <c r="P22" i="4"/>
  <c r="O22" i="4"/>
  <c r="M22" i="4"/>
  <c r="K22" i="4"/>
  <c r="N22" i="4" s="1"/>
  <c r="D22" i="4"/>
  <c r="E22" i="4" s="1"/>
  <c r="C22" i="4"/>
  <c r="B22" i="4" s="1"/>
  <c r="W21" i="4"/>
  <c r="AF21" i="4" s="1"/>
  <c r="T21" i="4"/>
  <c r="U21" i="4" s="1"/>
  <c r="P21" i="4"/>
  <c r="O21" i="4"/>
  <c r="K21" i="4"/>
  <c r="R21" i="4" s="1"/>
  <c r="D21" i="4"/>
  <c r="AO21" i="4" s="1"/>
  <c r="C21" i="4"/>
  <c r="B21" i="4"/>
  <c r="W45" i="4"/>
  <c r="AF45" i="4" s="1"/>
  <c r="T45" i="4"/>
  <c r="P45" i="4"/>
  <c r="O45" i="4"/>
  <c r="K45" i="4"/>
  <c r="R45" i="4" s="1"/>
  <c r="D45" i="4"/>
  <c r="M45" i="4" s="1"/>
  <c r="C45" i="4"/>
  <c r="B45" i="4" s="1"/>
  <c r="W48" i="4"/>
  <c r="AF48" i="4" s="1"/>
  <c r="T48" i="4"/>
  <c r="U48" i="4" s="1"/>
  <c r="P48" i="4"/>
  <c r="O48" i="4"/>
  <c r="K48" i="4"/>
  <c r="R48" i="4" s="1"/>
  <c r="D48" i="4"/>
  <c r="AM48" i="4" s="1"/>
  <c r="C48" i="4"/>
  <c r="B48" i="4" s="1"/>
  <c r="W13" i="4"/>
  <c r="AF13" i="4" s="1"/>
  <c r="T13" i="4"/>
  <c r="AE13" i="4" s="1"/>
  <c r="P13" i="4"/>
  <c r="O13" i="4"/>
  <c r="K13" i="4"/>
  <c r="D13" i="4"/>
  <c r="F13" i="4" s="1"/>
  <c r="C13" i="4"/>
  <c r="B13" i="4" s="1"/>
  <c r="AM47" i="4"/>
  <c r="W47" i="4"/>
  <c r="AF47" i="4" s="1"/>
  <c r="T47" i="4"/>
  <c r="P47" i="4"/>
  <c r="O47" i="4"/>
  <c r="K47" i="4"/>
  <c r="N47" i="4" s="1"/>
  <c r="D47" i="4"/>
  <c r="F47" i="4" s="1"/>
  <c r="C47" i="4"/>
  <c r="B47" i="4" s="1"/>
  <c r="W14" i="4"/>
  <c r="AF14" i="4" s="1"/>
  <c r="T14" i="4"/>
  <c r="P14" i="4"/>
  <c r="O14" i="4"/>
  <c r="K14" i="4"/>
  <c r="N14" i="4" s="1"/>
  <c r="D14" i="4"/>
  <c r="AM14" i="4" s="1"/>
  <c r="C14" i="4"/>
  <c r="B14" i="4" s="1"/>
  <c r="W46" i="4"/>
  <c r="AF46" i="4" s="1"/>
  <c r="T46" i="4"/>
  <c r="P46" i="4"/>
  <c r="O46" i="4"/>
  <c r="K46" i="4"/>
  <c r="R46" i="4" s="1"/>
  <c r="D46" i="4"/>
  <c r="G46" i="4" s="1"/>
  <c r="C46" i="4"/>
  <c r="B46" i="4" s="1"/>
  <c r="W41" i="4"/>
  <c r="AF41" i="4" s="1"/>
  <c r="T41" i="4"/>
  <c r="AE41" i="4" s="1"/>
  <c r="P41" i="4"/>
  <c r="O41" i="4"/>
  <c r="K41" i="4"/>
  <c r="R41" i="4" s="1"/>
  <c r="D41" i="4"/>
  <c r="Q41" i="4" s="1"/>
  <c r="C41" i="4"/>
  <c r="B41" i="4" s="1"/>
  <c r="W9" i="4"/>
  <c r="AF9" i="4" s="1"/>
  <c r="T9" i="4"/>
  <c r="U9" i="4" s="1"/>
  <c r="P9" i="4"/>
  <c r="O9" i="4"/>
  <c r="K9" i="4"/>
  <c r="R9" i="4" s="1"/>
  <c r="D9" i="4"/>
  <c r="AL9" i="4" s="1"/>
  <c r="C9" i="4"/>
  <c r="B9" i="4" s="1"/>
  <c r="W18" i="4"/>
  <c r="AF18" i="4" s="1"/>
  <c r="T18" i="4"/>
  <c r="AE18" i="4" s="1"/>
  <c r="P18" i="4"/>
  <c r="O18" i="4"/>
  <c r="K18" i="4"/>
  <c r="D18" i="4"/>
  <c r="AL18" i="4" s="1"/>
  <c r="C18" i="4"/>
  <c r="B18" i="4" s="1"/>
  <c r="W19" i="4"/>
  <c r="AF19" i="4" s="1"/>
  <c r="T19" i="4"/>
  <c r="U19" i="4" s="1"/>
  <c r="P19" i="4"/>
  <c r="O19" i="4"/>
  <c r="K19" i="4"/>
  <c r="N19" i="4" s="1"/>
  <c r="D19" i="4"/>
  <c r="G19" i="4" s="1"/>
  <c r="C19" i="4"/>
  <c r="B19" i="4" s="1"/>
  <c r="W40" i="4"/>
  <c r="AF40" i="4" s="1"/>
  <c r="T40" i="4"/>
  <c r="U40" i="4" s="1"/>
  <c r="P40" i="4"/>
  <c r="O40" i="4"/>
  <c r="K40" i="4"/>
  <c r="N40" i="4" s="1"/>
  <c r="D40" i="4"/>
  <c r="AL40" i="4" s="1"/>
  <c r="C40" i="4"/>
  <c r="B40" i="4" s="1"/>
  <c r="W11" i="4"/>
  <c r="AF11" i="4" s="1"/>
  <c r="T11" i="4"/>
  <c r="AE11" i="4" s="1"/>
  <c r="P11" i="4"/>
  <c r="O11" i="4"/>
  <c r="K11" i="4"/>
  <c r="R11" i="4" s="1"/>
  <c r="D11" i="4"/>
  <c r="E11" i="4" s="1"/>
  <c r="C11" i="4"/>
  <c r="B11" i="4" s="1"/>
  <c r="W20" i="4"/>
  <c r="AF20" i="4" s="1"/>
  <c r="T20" i="4"/>
  <c r="P20" i="4"/>
  <c r="O20" i="4"/>
  <c r="K20" i="4"/>
  <c r="R20" i="4" s="1"/>
  <c r="D20" i="4"/>
  <c r="M20" i="4" s="1"/>
  <c r="C20" i="4"/>
  <c r="B20" i="4"/>
  <c r="W8" i="4"/>
  <c r="AF8" i="4" s="1"/>
  <c r="T8" i="4"/>
  <c r="U8" i="4" s="1"/>
  <c r="P8" i="4"/>
  <c r="O8" i="4"/>
  <c r="K8" i="4"/>
  <c r="R8" i="4" s="1"/>
  <c r="D8" i="4"/>
  <c r="AL8" i="4" s="1"/>
  <c r="C8" i="4"/>
  <c r="B8" i="4" s="1"/>
  <c r="W5" i="4"/>
  <c r="AF5" i="4" s="1"/>
  <c r="T5" i="4"/>
  <c r="AE5" i="4" s="1"/>
  <c r="P5" i="4"/>
  <c r="O5" i="4"/>
  <c r="K5" i="4"/>
  <c r="D5" i="4"/>
  <c r="L5" i="4" s="1"/>
  <c r="C5" i="4"/>
  <c r="B5" i="4" s="1"/>
  <c r="W49" i="4"/>
  <c r="AF49" i="4" s="1"/>
  <c r="T49" i="4"/>
  <c r="P49" i="4"/>
  <c r="O49" i="4"/>
  <c r="K49" i="4"/>
  <c r="N49" i="4" s="1"/>
  <c r="D49" i="4"/>
  <c r="M49" i="4" s="1"/>
  <c r="C49" i="4"/>
  <c r="B49" i="4" s="1"/>
  <c r="W7" i="4"/>
  <c r="AF7" i="4" s="1"/>
  <c r="T7" i="4"/>
  <c r="P7" i="4"/>
  <c r="O7" i="4"/>
  <c r="K7" i="4"/>
  <c r="N7" i="4" s="1"/>
  <c r="D7" i="4"/>
  <c r="AK7" i="4" s="1"/>
  <c r="C7" i="4"/>
  <c r="B7" i="4" s="1"/>
  <c r="W12" i="4"/>
  <c r="AF12" i="4" s="1"/>
  <c r="T12" i="4"/>
  <c r="AE12" i="4" s="1"/>
  <c r="P12" i="4"/>
  <c r="O12" i="4"/>
  <c r="K12" i="4"/>
  <c r="N12" i="4" s="1"/>
  <c r="D12" i="4"/>
  <c r="AK12" i="4" s="1"/>
  <c r="C12" i="4"/>
  <c r="B12" i="4" s="1"/>
  <c r="W50" i="4"/>
  <c r="T50" i="4"/>
  <c r="P50" i="4"/>
  <c r="O50" i="4"/>
  <c r="K50" i="4"/>
  <c r="R50" i="4" s="1"/>
  <c r="D50" i="4"/>
  <c r="Q50" i="4" s="1"/>
  <c r="C50" i="4"/>
  <c r="B50" i="4" s="1"/>
  <c r="W17" i="4"/>
  <c r="AF17" i="4" s="1"/>
  <c r="T17" i="4"/>
  <c r="U17" i="4" s="1"/>
  <c r="P17" i="4"/>
  <c r="O17" i="4"/>
  <c r="K17" i="4"/>
  <c r="R17" i="4" s="1"/>
  <c r="D17" i="4"/>
  <c r="AL17" i="4" s="1"/>
  <c r="C17" i="4"/>
  <c r="B17" i="4" s="1"/>
  <c r="W10" i="4"/>
  <c r="AF10" i="4" s="1"/>
  <c r="T10" i="4"/>
  <c r="AE10" i="4" s="1"/>
  <c r="P10" i="4"/>
  <c r="O10" i="4"/>
  <c r="K10" i="4"/>
  <c r="D10" i="4"/>
  <c r="AL10" i="4" s="1"/>
  <c r="C10" i="4"/>
  <c r="B10" i="4" s="1"/>
  <c r="W38" i="4"/>
  <c r="AF38" i="4" s="1"/>
  <c r="T38" i="4"/>
  <c r="AE38" i="4" s="1"/>
  <c r="P38" i="4"/>
  <c r="O38" i="4"/>
  <c r="K38" i="4"/>
  <c r="N38" i="4" s="1"/>
  <c r="D38" i="4"/>
  <c r="AK38" i="4" s="1"/>
  <c r="C38" i="4"/>
  <c r="B38" i="4" s="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G52" i="4" l="1"/>
  <c r="AO25" i="4"/>
  <c r="J52" i="4"/>
  <c r="R22" i="4"/>
  <c r="G25" i="4"/>
  <c r="E30" i="4"/>
  <c r="Y32" i="4"/>
  <c r="Z32" i="4" s="1"/>
  <c r="AA32" i="4" s="1"/>
  <c r="AI32" i="4" s="1"/>
  <c r="Q34" i="4"/>
  <c r="L44" i="4"/>
  <c r="I25" i="4"/>
  <c r="G30" i="4"/>
  <c r="AK30" i="4"/>
  <c r="Q33" i="4"/>
  <c r="L52" i="4"/>
  <c r="R36" i="4"/>
  <c r="M44" i="4"/>
  <c r="I44" i="4"/>
  <c r="AN44" i="4"/>
  <c r="I52" i="4"/>
  <c r="AO52" i="4"/>
  <c r="J25" i="4"/>
  <c r="H52" i="4"/>
  <c r="AN52" i="4"/>
  <c r="AG22" i="4"/>
  <c r="AL22" i="4"/>
  <c r="L25" i="4"/>
  <c r="G29" i="4"/>
  <c r="AK29" i="4"/>
  <c r="J30" i="4"/>
  <c r="AN30" i="4"/>
  <c r="H34" i="4"/>
  <c r="AK34" i="4"/>
  <c r="M3" i="4"/>
  <c r="AG3" i="4" s="1"/>
  <c r="AM31" i="4"/>
  <c r="AM22" i="4"/>
  <c r="AO30" i="4"/>
  <c r="R32" i="4"/>
  <c r="AL33" i="4"/>
  <c r="I34" i="4"/>
  <c r="AL34" i="4"/>
  <c r="N3" i="4"/>
  <c r="AL52" i="4"/>
  <c r="AL44" i="4"/>
  <c r="AM52" i="4"/>
  <c r="H44" i="4"/>
  <c r="AM44" i="4"/>
  <c r="J44" i="4"/>
  <c r="AO44" i="4"/>
  <c r="R33" i="4"/>
  <c r="I30" i="4"/>
  <c r="AM30" i="4"/>
  <c r="H22" i="4"/>
  <c r="M25" i="4"/>
  <c r="H29" i="4"/>
  <c r="AL29" i="4"/>
  <c r="I22" i="4"/>
  <c r="Q24" i="4"/>
  <c r="X26" i="4"/>
  <c r="I29" i="4"/>
  <c r="AM29" i="4"/>
  <c r="L30" i="4"/>
  <c r="AK52" i="4"/>
  <c r="J34" i="4"/>
  <c r="AM34" i="4"/>
  <c r="J43" i="4"/>
  <c r="AK44" i="4"/>
  <c r="Q23" i="4"/>
  <c r="AE21" i="4"/>
  <c r="F23" i="4"/>
  <c r="AE51" i="4"/>
  <c r="G28" i="4"/>
  <c r="AK28" i="4"/>
  <c r="AE31" i="4"/>
  <c r="H28" i="4"/>
  <c r="I23" i="4"/>
  <c r="AE23" i="4"/>
  <c r="I24" i="4"/>
  <c r="AL24" i="4"/>
  <c r="J23" i="4"/>
  <c r="AK23" i="4"/>
  <c r="J24" i="4"/>
  <c r="AM24" i="4"/>
  <c r="I31" i="4"/>
  <c r="AO31" i="4"/>
  <c r="J35" i="4"/>
  <c r="AN35" i="4"/>
  <c r="AE3" i="4"/>
  <c r="Q37" i="4"/>
  <c r="N21" i="4"/>
  <c r="AL23" i="4"/>
  <c r="AN24" i="4"/>
  <c r="R27" i="4"/>
  <c r="J31" i="4"/>
  <c r="G32" i="4"/>
  <c r="AK32" i="4"/>
  <c r="AM33" i="4"/>
  <c r="AO35" i="4"/>
  <c r="AE36" i="4"/>
  <c r="AK42" i="4"/>
  <c r="L43" i="4"/>
  <c r="R37" i="4"/>
  <c r="G23" i="4"/>
  <c r="G24" i="4"/>
  <c r="AK21" i="4"/>
  <c r="H23" i="4"/>
  <c r="H24" i="4"/>
  <c r="AN31" i="4"/>
  <c r="X3" i="4"/>
  <c r="L23" i="4"/>
  <c r="AM23" i="4"/>
  <c r="L24" i="4"/>
  <c r="AO24" i="4"/>
  <c r="Q52" i="4"/>
  <c r="L35" i="4"/>
  <c r="AL42" i="4"/>
  <c r="Q44" i="4"/>
  <c r="X37" i="4"/>
  <c r="E24" i="4"/>
  <c r="X35" i="4"/>
  <c r="AK24" i="4"/>
  <c r="Q28" i="4"/>
  <c r="L31" i="4"/>
  <c r="R52" i="4"/>
  <c r="AA52" i="4" s="1"/>
  <c r="AI52" i="4" s="1"/>
  <c r="M35" i="4"/>
  <c r="AG35" i="4" s="1"/>
  <c r="AM42" i="4"/>
  <c r="M21" i="4"/>
  <c r="Q21" i="4"/>
  <c r="AO23" i="4"/>
  <c r="Y25" i="4"/>
  <c r="Z25" i="4" s="1"/>
  <c r="AA25" i="4" s="1"/>
  <c r="AI25" i="4" s="1"/>
  <c r="AK25" i="4"/>
  <c r="R28" i="4"/>
  <c r="M31" i="4"/>
  <c r="E52" i="4"/>
  <c r="Q43" i="4"/>
  <c r="E44" i="4"/>
  <c r="U44" i="4"/>
  <c r="L3" i="4"/>
  <c r="AE37" i="4"/>
  <c r="E23" i="4"/>
  <c r="E28" i="4"/>
  <c r="F28" i="4"/>
  <c r="AL28" i="4"/>
  <c r="AE35" i="4"/>
  <c r="I28" i="4"/>
  <c r="M23" i="4"/>
  <c r="Y23" i="4" s="1"/>
  <c r="Z23" i="4" s="1"/>
  <c r="M24" i="4"/>
  <c r="Y24" i="4" s="1"/>
  <c r="Z24" i="4" s="1"/>
  <c r="M47" i="4"/>
  <c r="Y47" i="4" s="1"/>
  <c r="Z47" i="4" s="1"/>
  <c r="AM25" i="4"/>
  <c r="AE26" i="4"/>
  <c r="F52" i="4"/>
  <c r="G44" i="4"/>
  <c r="Y27" i="4"/>
  <c r="AG27" i="4"/>
  <c r="Z27" i="4"/>
  <c r="AA27" i="4" s="1"/>
  <c r="AI27" i="4" s="1"/>
  <c r="X27" i="4"/>
  <c r="U27" i="4"/>
  <c r="AN51" i="4"/>
  <c r="J51" i="4"/>
  <c r="AM51" i="4"/>
  <c r="I51" i="4"/>
  <c r="AL51" i="4"/>
  <c r="H51" i="4"/>
  <c r="AK51" i="4"/>
  <c r="G51" i="4"/>
  <c r="F51" i="4"/>
  <c r="X31" i="4"/>
  <c r="E51" i="4"/>
  <c r="X24" i="4"/>
  <c r="G39" i="4"/>
  <c r="AD29" i="4"/>
  <c r="R24" i="4"/>
  <c r="N24" i="4"/>
  <c r="R30" i="4"/>
  <c r="N30" i="4"/>
  <c r="AD30" i="4" s="1"/>
  <c r="AO51" i="4"/>
  <c r="M33" i="4"/>
  <c r="L33" i="4"/>
  <c r="AO33" i="4"/>
  <c r="AN33" i="4"/>
  <c r="J33" i="4"/>
  <c r="AE43" i="4"/>
  <c r="AO37" i="4"/>
  <c r="AN37" i="4"/>
  <c r="J37" i="4"/>
  <c r="AM37" i="4"/>
  <c r="I37" i="4"/>
  <c r="AL37" i="4"/>
  <c r="H37" i="4"/>
  <c r="AK37" i="4"/>
  <c r="G37" i="4"/>
  <c r="F37" i="4"/>
  <c r="U24" i="4"/>
  <c r="L27" i="4"/>
  <c r="AO27" i="4"/>
  <c r="AN27" i="4"/>
  <c r="J27" i="4"/>
  <c r="AM27" i="4"/>
  <c r="I27" i="4"/>
  <c r="AL27" i="4"/>
  <c r="H27" i="4"/>
  <c r="E39" i="4"/>
  <c r="AN26" i="4"/>
  <c r="J26" i="4"/>
  <c r="AM26" i="4"/>
  <c r="AL26" i="4"/>
  <c r="H26" i="4"/>
  <c r="AK26" i="4"/>
  <c r="G26" i="4"/>
  <c r="F26" i="4"/>
  <c r="F27" i="4"/>
  <c r="X30" i="4"/>
  <c r="L51" i="4"/>
  <c r="AO36" i="4"/>
  <c r="AN36" i="4"/>
  <c r="J36" i="4"/>
  <c r="AM36" i="4"/>
  <c r="I36" i="4"/>
  <c r="AL36" i="4"/>
  <c r="H36" i="4"/>
  <c r="AK36" i="4"/>
  <c r="G36" i="4"/>
  <c r="F36" i="4"/>
  <c r="AD43" i="4"/>
  <c r="L21" i="4"/>
  <c r="AN21" i="4"/>
  <c r="J21" i="4"/>
  <c r="AM21" i="4"/>
  <c r="I21" i="4"/>
  <c r="AL21" i="4"/>
  <c r="E21" i="4"/>
  <c r="X22" i="4"/>
  <c r="L26" i="4"/>
  <c r="X52" i="4"/>
  <c r="L36" i="4"/>
  <c r="M42" i="4"/>
  <c r="L42" i="4"/>
  <c r="AO42" i="4"/>
  <c r="AN42" i="4"/>
  <c r="J42" i="4"/>
  <c r="AE42" i="4"/>
  <c r="X42" i="4"/>
  <c r="F21" i="4"/>
  <c r="U22" i="4"/>
  <c r="R23" i="4"/>
  <c r="AG23" i="4" s="1"/>
  <c r="AD24" i="4"/>
  <c r="AE25" i="4"/>
  <c r="M26" i="4"/>
  <c r="AK27" i="4"/>
  <c r="N31" i="4"/>
  <c r="Q51" i="4"/>
  <c r="X32" i="4"/>
  <c r="U32" i="4"/>
  <c r="F33" i="4"/>
  <c r="X34" i="4"/>
  <c r="M36" i="4"/>
  <c r="Q39" i="4"/>
  <c r="E42" i="4"/>
  <c r="U42" i="4"/>
  <c r="Y3" i="4"/>
  <c r="Z3" i="4" s="1"/>
  <c r="AA3" i="4" s="1"/>
  <c r="AI3" i="4" s="1"/>
  <c r="R44" i="4"/>
  <c r="N44" i="4"/>
  <c r="M51" i="4"/>
  <c r="Z30" i="4"/>
  <c r="E36" i="4"/>
  <c r="X21" i="4"/>
  <c r="L22" i="4"/>
  <c r="AO22" i="4"/>
  <c r="AN22" i="4"/>
  <c r="J22" i="4"/>
  <c r="G21" i="4"/>
  <c r="Y21" i="4"/>
  <c r="Z21" i="4" s="1"/>
  <c r="AA21" i="4" s="1"/>
  <c r="AI21" i="4" s="1"/>
  <c r="F22" i="4"/>
  <c r="N26" i="4"/>
  <c r="X28" i="4"/>
  <c r="R29" i="4"/>
  <c r="AG29" i="4" s="1"/>
  <c r="L32" i="4"/>
  <c r="AO32" i="4"/>
  <c r="AN32" i="4"/>
  <c r="J32" i="4"/>
  <c r="AM32" i="4"/>
  <c r="I32" i="4"/>
  <c r="AL32" i="4"/>
  <c r="H32" i="4"/>
  <c r="G33" i="4"/>
  <c r="Y34" i="4"/>
  <c r="F42" i="4"/>
  <c r="X43" i="4"/>
  <c r="L37" i="4"/>
  <c r="M39" i="4"/>
  <c r="L39" i="4"/>
  <c r="AO39" i="4"/>
  <c r="AN39" i="4"/>
  <c r="J39" i="4"/>
  <c r="AM39" i="4"/>
  <c r="I39" i="4"/>
  <c r="AL39" i="4"/>
  <c r="H39" i="4"/>
  <c r="AG21" i="4"/>
  <c r="E27" i="4"/>
  <c r="F39" i="4"/>
  <c r="E26" i="4"/>
  <c r="I26" i="4"/>
  <c r="AE33" i="4"/>
  <c r="X33" i="4"/>
  <c r="R43" i="4"/>
  <c r="AA43" i="4" s="1"/>
  <c r="AI43" i="4" s="1"/>
  <c r="AG25" i="4"/>
  <c r="H21" i="4"/>
  <c r="G22" i="4"/>
  <c r="U23" i="4"/>
  <c r="N25" i="4"/>
  <c r="AO26" i="4"/>
  <c r="Q27" i="4"/>
  <c r="AD27" i="4" s="1"/>
  <c r="M28" i="4"/>
  <c r="L28" i="4"/>
  <c r="AO28" i="4"/>
  <c r="AN28" i="4"/>
  <c r="J28" i="4"/>
  <c r="U28" i="4"/>
  <c r="AE29" i="4"/>
  <c r="Z29" i="4"/>
  <c r="E32" i="4"/>
  <c r="H33" i="4"/>
  <c r="Z34" i="4"/>
  <c r="X39" i="4"/>
  <c r="U39" i="4"/>
  <c r="G42" i="4"/>
  <c r="Y43" i="4"/>
  <c r="Z43" i="4" s="1"/>
  <c r="X44" i="4"/>
  <c r="M37" i="4"/>
  <c r="X29" i="4"/>
  <c r="U30" i="4"/>
  <c r="AD22" i="4"/>
  <c r="Y22" i="4"/>
  <c r="Z22" i="4" s="1"/>
  <c r="AA22" i="4" s="1"/>
  <c r="AI22" i="4" s="1"/>
  <c r="AG32" i="4"/>
  <c r="X25" i="4"/>
  <c r="AG52" i="4"/>
  <c r="AD52" i="4"/>
  <c r="AD23" i="4"/>
  <c r="G27" i="4"/>
  <c r="AE27" i="4"/>
  <c r="AE52" i="4"/>
  <c r="Z52" i="4"/>
  <c r="N51" i="4"/>
  <c r="F32" i="4"/>
  <c r="AD32" i="4"/>
  <c r="I33" i="4"/>
  <c r="AK33" i="4"/>
  <c r="R34" i="4"/>
  <c r="AA34" i="4" s="1"/>
  <c r="AI34" i="4" s="1"/>
  <c r="N34" i="4"/>
  <c r="H42" i="4"/>
  <c r="Y44" i="4"/>
  <c r="Z44" i="4" s="1"/>
  <c r="E25" i="4"/>
  <c r="Q25" i="4"/>
  <c r="E31" i="4"/>
  <c r="Q31" i="4"/>
  <c r="E35" i="4"/>
  <c r="Q35" i="4"/>
  <c r="E3" i="4"/>
  <c r="Q3" i="4"/>
  <c r="F25" i="4"/>
  <c r="U26" i="4"/>
  <c r="F31" i="4"/>
  <c r="U51" i="4"/>
  <c r="F35" i="4"/>
  <c r="U36" i="4"/>
  <c r="F3" i="4"/>
  <c r="U37" i="4"/>
  <c r="AK35" i="4"/>
  <c r="G3" i="4"/>
  <c r="AK3" i="4"/>
  <c r="G31" i="4"/>
  <c r="AK31" i="4"/>
  <c r="G35" i="4"/>
  <c r="H25" i="4"/>
  <c r="H31" i="4"/>
  <c r="H35" i="4"/>
  <c r="AL35" i="4"/>
  <c r="H3" i="4"/>
  <c r="AL3" i="4"/>
  <c r="I35" i="4"/>
  <c r="I3" i="4"/>
  <c r="AN38" i="4"/>
  <c r="J47" i="4"/>
  <c r="AN47" i="4"/>
  <c r="Q8" i="4"/>
  <c r="E47" i="4"/>
  <c r="Q48" i="4"/>
  <c r="G47" i="4"/>
  <c r="L47" i="4"/>
  <c r="Q20" i="4"/>
  <c r="L18" i="4"/>
  <c r="Q9" i="4"/>
  <c r="R12" i="4"/>
  <c r="Q11" i="4"/>
  <c r="AK13" i="4"/>
  <c r="Q14" i="4"/>
  <c r="AM18" i="4"/>
  <c r="AK47" i="4"/>
  <c r="AL13" i="4"/>
  <c r="AN10" i="4"/>
  <c r="AN18" i="4"/>
  <c r="Q17" i="4"/>
  <c r="AM10" i="4"/>
  <c r="AL38" i="4"/>
  <c r="AO10" i="4"/>
  <c r="AM38" i="4"/>
  <c r="I47" i="4"/>
  <c r="AO47" i="4"/>
  <c r="X50" i="4"/>
  <c r="X49" i="4"/>
  <c r="X45" i="4"/>
  <c r="X20" i="4"/>
  <c r="AK19" i="4"/>
  <c r="H19" i="4"/>
  <c r="AL19" i="4"/>
  <c r="AO38" i="4"/>
  <c r="J38" i="4"/>
  <c r="AO19" i="4"/>
  <c r="R49" i="4"/>
  <c r="AG49" i="4" s="1"/>
  <c r="L19" i="4"/>
  <c r="J13" i="4"/>
  <c r="AN13" i="4"/>
  <c r="L38" i="4"/>
  <c r="G8" i="4"/>
  <c r="AM8" i="4"/>
  <c r="M19" i="4"/>
  <c r="Y19" i="4" s="1"/>
  <c r="Z19" i="4" s="1"/>
  <c r="AO18" i="4"/>
  <c r="AO13" i="4"/>
  <c r="M38" i="4"/>
  <c r="Y38" i="4" s="1"/>
  <c r="Z38" i="4" s="1"/>
  <c r="L10" i="4"/>
  <c r="I8" i="4"/>
  <c r="AN8" i="4"/>
  <c r="I18" i="4"/>
  <c r="L13" i="4"/>
  <c r="AK8" i="4"/>
  <c r="M10" i="4"/>
  <c r="Y10" i="4" s="1"/>
  <c r="Z10" i="4" s="1"/>
  <c r="J8" i="4"/>
  <c r="AO8" i="4"/>
  <c r="Q40" i="4"/>
  <c r="J18" i="4"/>
  <c r="M13" i="4"/>
  <c r="Y13" i="4" s="1"/>
  <c r="Z13" i="4" s="1"/>
  <c r="I19" i="4"/>
  <c r="AM19" i="4"/>
  <c r="J19" i="4"/>
  <c r="AN19" i="4"/>
  <c r="R14" i="4"/>
  <c r="AM13" i="4"/>
  <c r="L8" i="4"/>
  <c r="M8" i="4"/>
  <c r="AG8" i="4" s="1"/>
  <c r="M18" i="4"/>
  <c r="Y18" i="4" s="1"/>
  <c r="Z18" i="4" s="1"/>
  <c r="M9" i="4"/>
  <c r="AG9" i="4" s="1"/>
  <c r="H47" i="4"/>
  <c r="AL47" i="4"/>
  <c r="Q13" i="4"/>
  <c r="M48" i="4"/>
  <c r="Y48" i="4" s="1"/>
  <c r="Z48" i="4" s="1"/>
  <c r="E5" i="4"/>
  <c r="Q49" i="4"/>
  <c r="AD49" i="4" s="1"/>
  <c r="F5" i="4"/>
  <c r="F49" i="4"/>
  <c r="Q10" i="4"/>
  <c r="G49" i="4"/>
  <c r="L41" i="4"/>
  <c r="N45" i="4"/>
  <c r="Q38" i="4"/>
  <c r="E10" i="4"/>
  <c r="G17" i="4"/>
  <c r="AM17" i="4"/>
  <c r="AE50" i="4"/>
  <c r="E9" i="4"/>
  <c r="M41" i="4"/>
  <c r="Y41" i="4" s="1"/>
  <c r="Z41" i="4" s="1"/>
  <c r="E38" i="4"/>
  <c r="I49" i="4"/>
  <c r="AL49" i="4"/>
  <c r="E20" i="4"/>
  <c r="AO17" i="4"/>
  <c r="AK9" i="4"/>
  <c r="H14" i="4"/>
  <c r="E13" i="4"/>
  <c r="U13" i="4"/>
  <c r="E48" i="4"/>
  <c r="AE48" i="4"/>
  <c r="G38" i="4"/>
  <c r="H10" i="4"/>
  <c r="AN49" i="4"/>
  <c r="M5" i="4"/>
  <c r="Y5" i="4" s="1"/>
  <c r="Z5" i="4" s="1"/>
  <c r="L20" i="4"/>
  <c r="AK11" i="4"/>
  <c r="E19" i="4"/>
  <c r="R19" i="4"/>
  <c r="F18" i="4"/>
  <c r="J9" i="4"/>
  <c r="AM9" i="4"/>
  <c r="I14" i="4"/>
  <c r="Q47" i="4"/>
  <c r="G13" i="4"/>
  <c r="J48" i="4"/>
  <c r="AN48" i="4"/>
  <c r="E41" i="4"/>
  <c r="H5" i="4"/>
  <c r="AL5" i="4"/>
  <c r="X9" i="4"/>
  <c r="X48" i="4"/>
  <c r="R38" i="4"/>
  <c r="AO5" i="4"/>
  <c r="AO20" i="4"/>
  <c r="Q19" i="4"/>
  <c r="E18" i="4"/>
  <c r="I9" i="4"/>
  <c r="G18" i="4"/>
  <c r="AK18" i="4"/>
  <c r="AN9" i="4"/>
  <c r="Q46" i="4"/>
  <c r="H13" i="4"/>
  <c r="AO48" i="4"/>
  <c r="AE45" i="4"/>
  <c r="Q5" i="4"/>
  <c r="N11" i="4"/>
  <c r="E49" i="4"/>
  <c r="G5" i="4"/>
  <c r="AK5" i="4"/>
  <c r="L45" i="4"/>
  <c r="R40" i="4"/>
  <c r="E17" i="4"/>
  <c r="AK17" i="4"/>
  <c r="I5" i="4"/>
  <c r="AM5" i="4"/>
  <c r="AE20" i="4"/>
  <c r="E14" i="4"/>
  <c r="AK14" i="4"/>
  <c r="H49" i="4"/>
  <c r="AK49" i="4"/>
  <c r="J5" i="4"/>
  <c r="AN5" i="4"/>
  <c r="F14" i="4"/>
  <c r="AL14" i="4"/>
  <c r="F10" i="4"/>
  <c r="U10" i="4"/>
  <c r="I17" i="4"/>
  <c r="AN17" i="4"/>
  <c r="Q18" i="4"/>
  <c r="G9" i="4"/>
  <c r="AE9" i="4"/>
  <c r="N41" i="4"/>
  <c r="N46" i="4"/>
  <c r="G14" i="4"/>
  <c r="F38" i="4"/>
  <c r="G10" i="4"/>
  <c r="J17" i="4"/>
  <c r="J49" i="4"/>
  <c r="AM49" i="4"/>
  <c r="H38" i="4"/>
  <c r="I10" i="4"/>
  <c r="AK10" i="4"/>
  <c r="L17" i="4"/>
  <c r="R7" i="4"/>
  <c r="L49" i="4"/>
  <c r="AO49" i="4"/>
  <c r="F19" i="4"/>
  <c r="I38" i="4"/>
  <c r="J10" i="4"/>
  <c r="M17" i="4"/>
  <c r="AG17" i="4" s="1"/>
  <c r="E8" i="4"/>
  <c r="AE8" i="4"/>
  <c r="N20" i="4"/>
  <c r="H18" i="4"/>
  <c r="L9" i="4"/>
  <c r="AO9" i="4"/>
  <c r="X41" i="4"/>
  <c r="I13" i="4"/>
  <c r="L48" i="4"/>
  <c r="AG20" i="4"/>
  <c r="AN50" i="4"/>
  <c r="J50" i="4"/>
  <c r="AL50" i="4"/>
  <c r="H50" i="4"/>
  <c r="AK50" i="4"/>
  <c r="G50" i="4"/>
  <c r="F50" i="4"/>
  <c r="E12" i="4"/>
  <c r="F7" i="4"/>
  <c r="I7" i="4"/>
  <c r="U5" i="4"/>
  <c r="L11" i="4"/>
  <c r="AO11" i="4"/>
  <c r="AN11" i="4"/>
  <c r="J11" i="4"/>
  <c r="AM11" i="4"/>
  <c r="I11" i="4"/>
  <c r="AL11" i="4"/>
  <c r="H11" i="4"/>
  <c r="G40" i="4"/>
  <c r="X19" i="4"/>
  <c r="U18" i="4"/>
  <c r="F46" i="4"/>
  <c r="N48" i="4"/>
  <c r="X7" i="4"/>
  <c r="X47" i="4"/>
  <c r="X13" i="4"/>
  <c r="X46" i="4"/>
  <c r="U46" i="4"/>
  <c r="N8" i="4"/>
  <c r="R10" i="4"/>
  <c r="N10" i="4"/>
  <c r="E50" i="4"/>
  <c r="G7" i="4"/>
  <c r="E46" i="4"/>
  <c r="AE46" i="4"/>
  <c r="Y20" i="4"/>
  <c r="Z20" i="4" s="1"/>
  <c r="AA20" i="4" s="1"/>
  <c r="AI20" i="4" s="1"/>
  <c r="F11" i="4"/>
  <c r="I40" i="4"/>
  <c r="X10" i="4"/>
  <c r="X12" i="4"/>
  <c r="U12" i="4"/>
  <c r="X17" i="4"/>
  <c r="AE49" i="4"/>
  <c r="N9" i="4"/>
  <c r="U49" i="4"/>
  <c r="M46" i="4"/>
  <c r="L46" i="4"/>
  <c r="AO46" i="4"/>
  <c r="AN46" i="4"/>
  <c r="J46" i="4"/>
  <c r="AM46" i="4"/>
  <c r="I46" i="4"/>
  <c r="AL46" i="4"/>
  <c r="H46" i="4"/>
  <c r="R13" i="4"/>
  <c r="N13" i="4"/>
  <c r="U38" i="4"/>
  <c r="L50" i="4"/>
  <c r="M12" i="4"/>
  <c r="H40" i="4"/>
  <c r="AE17" i="4"/>
  <c r="M50" i="4"/>
  <c r="AF50" i="4"/>
  <c r="M7" i="4"/>
  <c r="X5" i="4"/>
  <c r="X18" i="4"/>
  <c r="X38" i="4"/>
  <c r="N17" i="4"/>
  <c r="N50" i="4"/>
  <c r="X8" i="4"/>
  <c r="AN20" i="4"/>
  <c r="J20" i="4"/>
  <c r="I20" i="4"/>
  <c r="AM20" i="4"/>
  <c r="AL20" i="4"/>
  <c r="H20" i="4"/>
  <c r="AK20" i="4"/>
  <c r="G20" i="4"/>
  <c r="F20" i="4"/>
  <c r="G11" i="4"/>
  <c r="AK40" i="4"/>
  <c r="AO41" i="4"/>
  <c r="AN41" i="4"/>
  <c r="J41" i="4"/>
  <c r="AM41" i="4"/>
  <c r="I41" i="4"/>
  <c r="AL41" i="4"/>
  <c r="H41" i="4"/>
  <c r="AK41" i="4"/>
  <c r="G41" i="4"/>
  <c r="F41" i="4"/>
  <c r="AK46" i="4"/>
  <c r="R47" i="4"/>
  <c r="L7" i="4"/>
  <c r="AO7" i="4"/>
  <c r="AN7" i="4"/>
  <c r="J7" i="4"/>
  <c r="Y45" i="4"/>
  <c r="Z45" i="4" s="1"/>
  <c r="AA45" i="4" s="1"/>
  <c r="AI45" i="4" s="1"/>
  <c r="AG45" i="4"/>
  <c r="X40" i="4"/>
  <c r="AE19" i="4"/>
  <c r="E40" i="4"/>
  <c r="I50" i="4"/>
  <c r="G12" i="4"/>
  <c r="H7" i="4"/>
  <c r="AE7" i="4"/>
  <c r="Y49" i="4"/>
  <c r="Z49" i="4" s="1"/>
  <c r="AM50" i="4"/>
  <c r="AL7" i="4"/>
  <c r="AE14" i="4"/>
  <c r="X14" i="4"/>
  <c r="AE47" i="4"/>
  <c r="AO45" i="4"/>
  <c r="AN45" i="4"/>
  <c r="J45" i="4"/>
  <c r="AM45" i="4"/>
  <c r="I45" i="4"/>
  <c r="AL45" i="4"/>
  <c r="H45" i="4"/>
  <c r="AK45" i="4"/>
  <c r="G45" i="4"/>
  <c r="F45" i="4"/>
  <c r="Q45" i="4"/>
  <c r="E45" i="4"/>
  <c r="L12" i="4"/>
  <c r="AN12" i="4"/>
  <c r="J12" i="4"/>
  <c r="AM12" i="4"/>
  <c r="I12" i="4"/>
  <c r="AL12" i="4"/>
  <c r="H12" i="4"/>
  <c r="E7" i="4"/>
  <c r="U7" i="4"/>
  <c r="M40" i="4"/>
  <c r="L40" i="4"/>
  <c r="AO40" i="4"/>
  <c r="AN40" i="4"/>
  <c r="J40" i="4"/>
  <c r="F12" i="4"/>
  <c r="X11" i="4"/>
  <c r="U11" i="4"/>
  <c r="F40" i="4"/>
  <c r="AE40" i="4"/>
  <c r="AO50" i="4"/>
  <c r="Q12" i="4"/>
  <c r="AO12" i="4"/>
  <c r="Q7" i="4"/>
  <c r="AM7" i="4"/>
  <c r="R5" i="4"/>
  <c r="N5" i="4"/>
  <c r="M11" i="4"/>
  <c r="AM40" i="4"/>
  <c r="R18" i="4"/>
  <c r="N18" i="4"/>
  <c r="M14" i="4"/>
  <c r="L14" i="4"/>
  <c r="AO14" i="4"/>
  <c r="AN14" i="4"/>
  <c r="J14" i="4"/>
  <c r="U14" i="4"/>
  <c r="U47" i="4"/>
  <c r="F17" i="4"/>
  <c r="U50" i="4"/>
  <c r="F8" i="4"/>
  <c r="U20" i="4"/>
  <c r="F9" i="4"/>
  <c r="U41" i="4"/>
  <c r="F48" i="4"/>
  <c r="U45" i="4"/>
  <c r="G48" i="4"/>
  <c r="AK48" i="4"/>
  <c r="H17" i="4"/>
  <c r="H8" i="4"/>
  <c r="H9" i="4"/>
  <c r="H48" i="4"/>
  <c r="AL48" i="4"/>
  <c r="I48" i="4"/>
  <c r="W16" i="4"/>
  <c r="T16" i="4"/>
  <c r="AE16" i="4" s="1"/>
  <c r="P16" i="4"/>
  <c r="O16" i="4"/>
  <c r="K16" i="4"/>
  <c r="D16" i="4"/>
  <c r="C16" i="4"/>
  <c r="B16" i="4" s="1"/>
  <c r="W15" i="4"/>
  <c r="T15" i="4"/>
  <c r="AE15" i="4" s="1"/>
  <c r="P15" i="4"/>
  <c r="O15" i="4"/>
  <c r="K15" i="4"/>
  <c r="N15" i="4" s="1"/>
  <c r="D15" i="4"/>
  <c r="C15" i="4"/>
  <c r="B15" i="4" s="1"/>
  <c r="W4" i="4"/>
  <c r="AF4" i="4" s="1"/>
  <c r="T4" i="4"/>
  <c r="U4" i="4" s="1"/>
  <c r="P4" i="4"/>
  <c r="O4" i="4"/>
  <c r="K4" i="4"/>
  <c r="R4" i="4" s="1"/>
  <c r="D4" i="4"/>
  <c r="AO4" i="4" s="1"/>
  <c r="C4" i="4"/>
  <c r="B4" i="4" s="1"/>
  <c r="W6" i="4"/>
  <c r="AF6" i="4" s="1"/>
  <c r="T6" i="4"/>
  <c r="U6" i="4" s="1"/>
  <c r="P6" i="4"/>
  <c r="O6" i="4"/>
  <c r="K6" i="4"/>
  <c r="N6" i="4" s="1"/>
  <c r="D6" i="4"/>
  <c r="C6" i="4"/>
  <c r="B6" i="4" s="1"/>
  <c r="AD3" i="4" l="1"/>
  <c r="AD25" i="4"/>
  <c r="AG31" i="4"/>
  <c r="AD34" i="4"/>
  <c r="AD44" i="4"/>
  <c r="Y31" i="4"/>
  <c r="Z31" i="4" s="1"/>
  <c r="AA31" i="4" s="1"/>
  <c r="AI31" i="4" s="1"/>
  <c r="AG34" i="4"/>
  <c r="AA30" i="4"/>
  <c r="AI30" i="4" s="1"/>
  <c r="Y35" i="4"/>
  <c r="Z35" i="4" s="1"/>
  <c r="AA35" i="4" s="1"/>
  <c r="AI35" i="4" s="1"/>
  <c r="AD35" i="4"/>
  <c r="AA44" i="4"/>
  <c r="AI44" i="4" s="1"/>
  <c r="AD31" i="4"/>
  <c r="AA38" i="4"/>
  <c r="AI38" i="4" s="1"/>
  <c r="AG47" i="4"/>
  <c r="AD47" i="4"/>
  <c r="AG30" i="4"/>
  <c r="AD21" i="4"/>
  <c r="AD42" i="4"/>
  <c r="Y42" i="4"/>
  <c r="Z42" i="4" s="1"/>
  <c r="AG42" i="4"/>
  <c r="Y37" i="4"/>
  <c r="Z37" i="4" s="1"/>
  <c r="AA37" i="4" s="1"/>
  <c r="AI37" i="4" s="1"/>
  <c r="AG37" i="4"/>
  <c r="AD37" i="4"/>
  <c r="AG24" i="4"/>
  <c r="AA24" i="4"/>
  <c r="AI24" i="4" s="1"/>
  <c r="AA23" i="4"/>
  <c r="AI23" i="4" s="1"/>
  <c r="AD28" i="4"/>
  <c r="Y28" i="4"/>
  <c r="Z28" i="4" s="1"/>
  <c r="AA28" i="4" s="1"/>
  <c r="AI28" i="4" s="1"/>
  <c r="AG28" i="4"/>
  <c r="AD33" i="4"/>
  <c r="Y33" i="4"/>
  <c r="Z33" i="4" s="1"/>
  <c r="AA33" i="4" s="1"/>
  <c r="AI33" i="4" s="1"/>
  <c r="AG33" i="4"/>
  <c r="AA29" i="4"/>
  <c r="AI29" i="4" s="1"/>
  <c r="AG43" i="4"/>
  <c r="AA42" i="4"/>
  <c r="AI42" i="4" s="1"/>
  <c r="Y39" i="4"/>
  <c r="Z39" i="4" s="1"/>
  <c r="AA39" i="4" s="1"/>
  <c r="AI39" i="4" s="1"/>
  <c r="AD39" i="4"/>
  <c r="AG39" i="4"/>
  <c r="Y26" i="4"/>
  <c r="Z26" i="4" s="1"/>
  <c r="AA26" i="4" s="1"/>
  <c r="AI26" i="4" s="1"/>
  <c r="AG26" i="4"/>
  <c r="AD26" i="4"/>
  <c r="Y36" i="4"/>
  <c r="Z36" i="4" s="1"/>
  <c r="AA36" i="4" s="1"/>
  <c r="AI36" i="4" s="1"/>
  <c r="AG36" i="4"/>
  <c r="AD36" i="4"/>
  <c r="Y51" i="4"/>
  <c r="Z51" i="4" s="1"/>
  <c r="AA51" i="4" s="1"/>
  <c r="AI51" i="4" s="1"/>
  <c r="AG51" i="4"/>
  <c r="AD51" i="4"/>
  <c r="AG44" i="4"/>
  <c r="AD20" i="4"/>
  <c r="AA13" i="4"/>
  <c r="AI13" i="4" s="1"/>
  <c r="AG38" i="4"/>
  <c r="AD9" i="4"/>
  <c r="AG13" i="4"/>
  <c r="AD13" i="4"/>
  <c r="Y17" i="4"/>
  <c r="Z17" i="4" s="1"/>
  <c r="AA17" i="4" s="1"/>
  <c r="AI17" i="4" s="1"/>
  <c r="Y9" i="4"/>
  <c r="Z9" i="4" s="1"/>
  <c r="AA9" i="4" s="1"/>
  <c r="AI9" i="4" s="1"/>
  <c r="AD8" i="4"/>
  <c r="AD19" i="4"/>
  <c r="AD5" i="4"/>
  <c r="AD17" i="4"/>
  <c r="AG19" i="4"/>
  <c r="Y8" i="4"/>
  <c r="Z8" i="4" s="1"/>
  <c r="AA8" i="4" s="1"/>
  <c r="AI8" i="4" s="1"/>
  <c r="AG48" i="4"/>
  <c r="AA49" i="4"/>
  <c r="AI49" i="4" s="1"/>
  <c r="AD48" i="4"/>
  <c r="AA48" i="4"/>
  <c r="AI48" i="4" s="1"/>
  <c r="AD38" i="4"/>
  <c r="AA5" i="4"/>
  <c r="AI5" i="4" s="1"/>
  <c r="AG41" i="4"/>
  <c r="AG5" i="4"/>
  <c r="AD10" i="4"/>
  <c r="AA41" i="4"/>
  <c r="AI41" i="4" s="1"/>
  <c r="AD18" i="4"/>
  <c r="AA19" i="4"/>
  <c r="AI19" i="4" s="1"/>
  <c r="AA47" i="4"/>
  <c r="AI47" i="4" s="1"/>
  <c r="AD45" i="4"/>
  <c r="AA18" i="4"/>
  <c r="AI18" i="4" s="1"/>
  <c r="AD41" i="4"/>
  <c r="AD14" i="4"/>
  <c r="Y14" i="4"/>
  <c r="Z14" i="4" s="1"/>
  <c r="AA14" i="4" s="1"/>
  <c r="AI14" i="4" s="1"/>
  <c r="AG14" i="4"/>
  <c r="Y11" i="4"/>
  <c r="Z11" i="4" s="1"/>
  <c r="AA11" i="4" s="1"/>
  <c r="AI11" i="4" s="1"/>
  <c r="AG11" i="4"/>
  <c r="AD11" i="4"/>
  <c r="AD12" i="4"/>
  <c r="AG12" i="4"/>
  <c r="Y12" i="4"/>
  <c r="Z12" i="4" s="1"/>
  <c r="AA12" i="4" s="1"/>
  <c r="AI12" i="4" s="1"/>
  <c r="Y46" i="4"/>
  <c r="Z46" i="4" s="1"/>
  <c r="AA46" i="4" s="1"/>
  <c r="AI46" i="4" s="1"/>
  <c r="AD46" i="4"/>
  <c r="AG46" i="4"/>
  <c r="AG18" i="4"/>
  <c r="AD7" i="4"/>
  <c r="Y7" i="4"/>
  <c r="Z7" i="4" s="1"/>
  <c r="AA7" i="4" s="1"/>
  <c r="AI7" i="4" s="1"/>
  <c r="AG7" i="4"/>
  <c r="AA10" i="4"/>
  <c r="AI10" i="4" s="1"/>
  <c r="AG10" i="4"/>
  <c r="AD40" i="4"/>
  <c r="Y40" i="4"/>
  <c r="Z40" i="4" s="1"/>
  <c r="AA40" i="4" s="1"/>
  <c r="AI40" i="4" s="1"/>
  <c r="AG40" i="4"/>
  <c r="AG50" i="4"/>
  <c r="AD50" i="4"/>
  <c r="Y50" i="4"/>
  <c r="Z50" i="4" s="1"/>
  <c r="AA50" i="4" s="1"/>
  <c r="AI50" i="4" s="1"/>
  <c r="AO6" i="4"/>
  <c r="AO16" i="4"/>
  <c r="AO15" i="4"/>
  <c r="G16" i="4"/>
  <c r="G15" i="4"/>
  <c r="G4" i="4"/>
  <c r="G6" i="4"/>
  <c r="AN15" i="4"/>
  <c r="AM15" i="4"/>
  <c r="AM4" i="4"/>
  <c r="AN4" i="4"/>
  <c r="AN6" i="4"/>
  <c r="AM6" i="4"/>
  <c r="AN16" i="4"/>
  <c r="AM16" i="4"/>
  <c r="L6" i="4"/>
  <c r="E15" i="4"/>
  <c r="H4" i="4"/>
  <c r="H16" i="4"/>
  <c r="X15" i="4"/>
  <c r="F15" i="4"/>
  <c r="M16" i="4"/>
  <c r="Q6" i="4"/>
  <c r="F6" i="4"/>
  <c r="M6" i="4"/>
  <c r="AK6" i="4"/>
  <c r="Q15" i="4"/>
  <c r="AK4" i="4"/>
  <c r="AL16" i="4"/>
  <c r="E6" i="4"/>
  <c r="R6" i="4"/>
  <c r="F4" i="4"/>
  <c r="AK15" i="4"/>
  <c r="J6" i="4"/>
  <c r="AE6" i="4"/>
  <c r="I6" i="4"/>
  <c r="H15" i="4"/>
  <c r="R15" i="4"/>
  <c r="I16" i="4"/>
  <c r="U16" i="4"/>
  <c r="I15" i="4"/>
  <c r="E4" i="4"/>
  <c r="J15" i="4"/>
  <c r="L16" i="4"/>
  <c r="AK16" i="4"/>
  <c r="AL15" i="4"/>
  <c r="N4" i="4"/>
  <c r="F16" i="4"/>
  <c r="Q16" i="4"/>
  <c r="H6" i="4"/>
  <c r="AE4" i="4"/>
  <c r="Q4" i="4"/>
  <c r="I4" i="4"/>
  <c r="L4" i="4"/>
  <c r="J4" i="4"/>
  <c r="AL4" i="4"/>
  <c r="X4" i="4"/>
  <c r="X6" i="4"/>
  <c r="AL6" i="4"/>
  <c r="M4" i="4"/>
  <c r="Y4" i="4" s="1"/>
  <c r="L15" i="4"/>
  <c r="U15" i="4"/>
  <c r="AF15" i="4"/>
  <c r="E16" i="4"/>
  <c r="J16" i="4"/>
  <c r="M15" i="4"/>
  <c r="Y15" i="4" s="1"/>
  <c r="AF16" i="4"/>
  <c r="X16" i="4"/>
  <c r="N16" i="4"/>
  <c r="R16" i="4"/>
  <c r="Y6" i="4" l="1"/>
  <c r="Z6" i="4" s="1"/>
  <c r="AA6" i="4" s="1"/>
  <c r="AI6" i="4" s="1"/>
  <c r="Y16" i="4"/>
  <c r="Z16" i="4" s="1"/>
  <c r="AA16" i="4" s="1"/>
  <c r="AI16" i="4" s="1"/>
  <c r="AG16" i="4"/>
  <c r="AG6" i="4"/>
  <c r="AG4" i="4"/>
  <c r="AG15" i="4"/>
  <c r="AD16" i="4"/>
  <c r="AD6" i="4"/>
  <c r="AD4" i="4"/>
  <c r="Z4" i="4"/>
  <c r="AA4" i="4" s="1"/>
  <c r="AI4" i="4" s="1"/>
  <c r="AD15" i="4"/>
  <c r="Z15" i="4"/>
  <c r="AA15" i="4" s="1"/>
  <c r="AI15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<sst xmlns="http://schemas.openxmlformats.org/spreadsheetml/2006/main" count="4046" uniqueCount="657">
  <si>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</si>
  <si>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</si>
  <si>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</si>
  <si>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</si>
  <si>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</si>
  <si>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</si>
  <si>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</si>
  <si>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</si>
  <si>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</si>
  <si>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</si>
  <si>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</si>
  <si>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</si>
  <si>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</si>
  <si>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</si>
  <si>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</si>
  <si>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</si>
  <si>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</si>
  <si>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</si>
  <si>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</si>
  <si>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</si>
  <si>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</si>
  <si>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</si>
  <si>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</si>
  <si>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</si>
  <si>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</si>
  <si>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</si>
  <si>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</si>
  <si>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</si>
  <si>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</si>
  <si>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</si>
  <si>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</si>
  <si>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</si>
  <si>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</si>
  <si>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</si>
  <si>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</si>
  <si>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</si>
  <si>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</si>
  <si>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</si>
  <si>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</si>
  <si>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</si>
  <si>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</si>
  <si>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</si>
  <si>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</si>
  <si>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</si>
  <si>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</si>
  <si>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</si>
  <si>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</si>
  <si>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</si>
  <si>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</si>
  <si>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</si>
  <si>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</si>
  <si>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</si>
  <si>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</si>
  <si>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</si>
  <si>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</si>
  <si>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</si>
  <si>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</si>
  <si>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</si>
  <si>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</si>
  <si>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</si>
  <si>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</si>
  <si>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</si>
  <si>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</si>
  <si>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</si>
  <si>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</si>
  <si>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</si>
  <si>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</si>
  <si>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</si>
  <si>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</si>
  <si>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</si>
  <si>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</si>
  <si>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</si>
  <si>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</si>
  <si>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</si>
  <si>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</si>
  <si>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</si>
  <si>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</si>
  <si>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</si>
  <si>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</si>
  <si>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</si>
  <si>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</si>
  <si>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</si>
  <si>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</si>
  <si>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</si>
  <si>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</si>
  <si>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</si>
  <si>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</si>
  <si>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</si>
  <si>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</si>
  <si>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</si>
  <si>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</si>
  <si>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</si>
  <si>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</si>
  <si>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</si>
  <si>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</si>
  <si>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</si>
  <si>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</si>
  <si>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</si>
  <si>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</si>
  <si>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</si>
  <si>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</si>
  <si>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</si>
  <si>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</si>
  <si>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</si>
  <si>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</si>
  <si>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</si>
  <si>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</si>
  <si>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</si>
  <si>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</si>
  <si>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</si>
  <si>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</si>
  <si>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</si>
  <si>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</si>
  <si>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</si>
  <si>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</si>
  <si>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</si>
  <si>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</si>
  <si>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</si>
  <si>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</si>
  <si>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</si>
  <si>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</si>
  <si>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</si>
  <si>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</si>
  <si>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</si>
  <si>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</si>
  <si>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</si>
  <si>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</si>
  <si>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</si>
  <si>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</si>
  <si>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</si>
  <si>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</si>
  <si>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</si>
  <si>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</si>
  <si>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</si>
  <si>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</si>
  <si>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</si>
  <si>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</si>
  <si>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</si>
  <si>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</si>
  <si>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</si>
  <si>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</si>
  <si>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</si>
  <si>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</si>
  <si>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</si>
  <si>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</si>
  <si>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</si>
  <si>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</si>
  <si>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</si>
  <si>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</si>
  <si>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</si>
  <si>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</si>
  <si>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</si>
  <si>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</si>
  <si>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</si>
  <si>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</si>
  <si>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</si>
  <si>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</si>
  <si>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</si>
  <si>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</si>
  <si>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</si>
  <si>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</si>
  <si>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</si>
  <si>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</si>
  <si>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</si>
  <si>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</si>
  <si>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</si>
  <si>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</si>
  <si>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</si>
  <si>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</si>
  <si>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</si>
  <si>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</si>
  <si>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</si>
  <si>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</si>
  <si>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</si>
  <si>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</si>
  <si>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</si>
  <si>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</si>
  <si>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</si>
  <si>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</si>
  <si>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</si>
  <si>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</si>
  <si>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</si>
  <si>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</si>
  <si>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</si>
  <si>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</si>
  <si>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</si>
  <si>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</si>
  <si>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</si>
  <si>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</si>
  <si>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</si>
  <si>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</si>
  <si>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</si>
  <si>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</si>
  <si>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</si>
  <si>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</si>
  <si>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</si>
  <si>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</si>
  <si>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</si>
  <si>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</si>
  <si>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</si>
  <si>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</si>
  <si>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</si>
  <si>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</si>
  <si>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</si>
  <si>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</si>
  <si>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</si>
  <si>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</si>
  <si>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</si>
  <si>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</si>
  <si>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</si>
  <si>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</si>
  <si>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</si>
  <si>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</si>
  <si>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</si>
  <si>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</si>
  <si>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</si>
  <si>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</si>
  <si>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</si>
  <si>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</si>
  <si>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</si>
  <si>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</si>
  <si>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</si>
  <si>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</si>
  <si>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</si>
  <si>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</si>
  <si>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</si>
  <si>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</si>
  <si>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</si>
  <si>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</si>
  <si>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</si>
  <si>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</si>
  <si>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</si>
  <si>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</si>
  <si>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</si>
  <si>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</si>
  <si>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</si>
  <si>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</si>
  <si>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</si>
  <si>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</si>
  <si>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</si>
  <si>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</si>
  <si>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</si>
  <si>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</si>
  <si>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</si>
  <si>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</si>
  <si>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</si>
  <si>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</si>
  <si>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EDI2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</si>
  <si>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</si>
  <si>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</si>
  <si>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</si>
  <si>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</si>
  <si>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</si>
  <si>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</si>
  <si>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</si>
  <si>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</si>
  <si>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</si>
  <si>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</si>
  <si>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</si>
  <si>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</si>
  <si>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</si>
  <si>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EMAIL</t>
  </si>
  <si>
    <t>ONE</t>
  </si>
  <si>
    <t>K0120023</t>
  </si>
  <si>
    <t>PICK UP</t>
  </si>
  <si>
    <t>COMMOM
REMAKRS</t>
  </si>
  <si>
    <t>2024</t>
  </si>
  <si>
    <t>TBKK55</t>
  </si>
  <si>
    <t>Vilaiporn</t>
  </si>
  <si>
    <t>40Hx1</t>
  </si>
  <si>
    <t>HSCODE</t>
  </si>
  <si>
    <t>RCVCD</t>
  </si>
  <si>
    <t>ROLL</t>
  </si>
  <si>
    <t>Roll Over Remark</t>
  </si>
  <si>
    <t>2014</t>
  </si>
  <si>
    <t>2015</t>
  </si>
  <si>
    <t xml:space="preserve">40Hx1 </t>
  </si>
  <si>
    <t>L/T</t>
  </si>
  <si>
    <t>K0120021</t>
  </si>
  <si>
    <t>LCH06</t>
  </si>
  <si>
    <t>2026-10-09</t>
  </si>
  <si>
    <t>2026-10-05</t>
  </si>
  <si>
    <t>2026-10-11</t>
  </si>
  <si>
    <t>2026-10-06</t>
  </si>
  <si>
    <t xml:space="preserve">40Hx2 </t>
  </si>
  <si>
    <t xml:space="preserve">R40Hx1 </t>
  </si>
  <si>
    <t>CARRIER</t>
  </si>
  <si>
    <t xml:space="preserve">20'x1 </t>
  </si>
  <si>
    <t>2026-10-03</t>
  </si>
  <si>
    <t>2025</t>
  </si>
  <si>
    <t>2026-10-07</t>
  </si>
  <si>
    <t>2026-10-08</t>
  </si>
  <si>
    <t>2013</t>
  </si>
  <si>
    <t>2019</t>
  </si>
  <si>
    <t>OWN</t>
  </si>
  <si>
    <t>C0124002</t>
  </si>
  <si>
    <t>C0125002</t>
  </si>
  <si>
    <t>C0725001</t>
  </si>
  <si>
    <t>20'x1</t>
  </si>
  <si>
    <t>2026-09-22</t>
  </si>
  <si>
    <t>TBKK19</t>
  </si>
  <si>
    <t>Kanokporn</t>
  </si>
  <si>
    <t>2026-09-16</t>
  </si>
  <si>
    <t>TH0011</t>
  </si>
  <si>
    <t>Nannaapust Sukporntaweewat</t>
  </si>
  <si>
    <t>TBKK28</t>
  </si>
  <si>
    <t>Nustsireerach</t>
  </si>
  <si>
    <t>40Hx2</t>
  </si>
  <si>
    <t>2026-09-21</t>
  </si>
  <si>
    <t>R40Hx1</t>
  </si>
  <si>
    <t xml:space="preserve">45REx1 </t>
  </si>
  <si>
    <t xml:space="preserve">TOTAL </t>
  </si>
  <si>
    <t>1</t>
  </si>
  <si>
    <t xml:space="preserve">COC </t>
  </si>
  <si>
    <t xml:space="preserve">SOC </t>
  </si>
  <si>
    <t>0</t>
  </si>
  <si>
    <t>2026-10-10</t>
  </si>
  <si>
    <t>C0524001</t>
  </si>
  <si>
    <t>2026-10-14</t>
  </si>
  <si>
    <t>PET FOOD</t>
  </si>
  <si>
    <t>BKK27</t>
  </si>
  <si>
    <t>0800</t>
  </si>
  <si>
    <t>0451</t>
  </si>
  <si>
    <t>1201</t>
  </si>
  <si>
    <t>0601</t>
  </si>
  <si>
    <t>FSCU5909716</t>
  </si>
  <si>
    <t>IFE</t>
  </si>
  <si>
    <t>2026-10-13</t>
  </si>
  <si>
    <t>1048</t>
  </si>
  <si>
    <t>HASLS22260902557</t>
  </si>
  <si>
    <t>LAND SEA SKY CO., LTD.</t>
  </si>
  <si>
    <t>2021</t>
  </si>
  <si>
    <t>69NT40-561-500</t>
  </si>
  <si>
    <t>KUS</t>
  </si>
  <si>
    <t>2616N</t>
  </si>
  <si>
    <t>THBKK</t>
  </si>
  <si>
    <t>KRPUS</t>
  </si>
  <si>
    <t>2026-10-25</t>
  </si>
  <si>
    <t>1301</t>
  </si>
  <si>
    <t>SASE CO.,LTD.</t>
  </si>
  <si>
    <t>HALU2312992</t>
  </si>
  <si>
    <t>0847</t>
  </si>
  <si>
    <t>HASLS22260902041</t>
  </si>
  <si>
    <t>CELESTIAL XPRESS LOGISTICS (THAILAND) CO., LTD.</t>
  </si>
  <si>
    <t>2023</t>
  </si>
  <si>
    <t>KRINC</t>
  </si>
  <si>
    <t>2026-10-23</t>
  </si>
  <si>
    <t>1100</t>
  </si>
  <si>
    <t>BEL SHIPPING CO., LTD.</t>
  </si>
  <si>
    <t>HALU2408970</t>
  </si>
  <si>
    <t>IFW</t>
  </si>
  <si>
    <t>1919</t>
  </si>
  <si>
    <t>HASLS22261000609</t>
  </si>
  <si>
    <t>WORLDNET EXPRESS CO., LTD.</t>
  </si>
  <si>
    <t>VNSGN</t>
  </si>
  <si>
    <t>2026-10-17</t>
  </si>
  <si>
    <t>2201</t>
  </si>
  <si>
    <t>ASAP INTERNATIONAL CO., LTD.</t>
  </si>
  <si>
    <t>HALU2527497</t>
  </si>
  <si>
    <t>2237</t>
  </si>
  <si>
    <t>HASLS22260902512</t>
  </si>
  <si>
    <t>SMS CORPORATION CO., LTD.</t>
  </si>
  <si>
    <t>0100</t>
  </si>
  <si>
    <t>MATSUTANI KOREA LTD.</t>
  </si>
  <si>
    <t>HALU2544880</t>
  </si>
  <si>
    <t>1522</t>
  </si>
  <si>
    <t>HASLS22260902785</t>
  </si>
  <si>
    <t>UNITED MARINE LOGISTIC CO., LTD.</t>
  </si>
  <si>
    <t>1825</t>
  </si>
  <si>
    <t>GOURMET DISTRIBUTION CO., LTD</t>
  </si>
  <si>
    <t>HALU5632238</t>
  </si>
  <si>
    <t>1145</t>
  </si>
  <si>
    <t>HASLS22260901447</t>
  </si>
  <si>
    <t>NIPPON EXPRESS LOGISTICS (THAILAND) CO., LTD.</t>
  </si>
  <si>
    <t>1401</t>
  </si>
  <si>
    <t>NIPPON EXPRESS KOREA</t>
  </si>
  <si>
    <t>HALU5681720</t>
  </si>
  <si>
    <t>2026-10-12</t>
  </si>
  <si>
    <t>1333</t>
  </si>
  <si>
    <t>HASLS22260902485</t>
  </si>
  <si>
    <t>C.H. ROBINSON FREIGHT SERVICES (THAILAND) LIMITED</t>
  </si>
  <si>
    <t>1644</t>
  </si>
  <si>
    <t>C.H. ROBINSON FREIGHT</t>
  </si>
  <si>
    <t>HLHU8315417</t>
  </si>
  <si>
    <t>2026-10-04</t>
  </si>
  <si>
    <t>0302</t>
  </si>
  <si>
    <t>HASLS22260901154</t>
  </si>
  <si>
    <t>METRO PARTICLE CO., LTD.</t>
  </si>
  <si>
    <t xml:space="preserve">40Hx31 </t>
  </si>
  <si>
    <t>WU YI INTERNATIONAL WOOD INDUSTRY</t>
  </si>
  <si>
    <t>HLHU8325230</t>
  </si>
  <si>
    <t>0035</t>
  </si>
  <si>
    <t>HLHU8349675</t>
  </si>
  <si>
    <t>0829</t>
  </si>
  <si>
    <t>HLHU8412633</t>
  </si>
  <si>
    <t>0439</t>
  </si>
  <si>
    <t>HASLS22260900810</t>
  </si>
  <si>
    <t>YOUNGSUWAT TRADING CO.,LTD.</t>
  </si>
  <si>
    <t xml:space="preserve">40Hx4 </t>
  </si>
  <si>
    <t>JPTKS</t>
  </si>
  <si>
    <t>0701</t>
  </si>
  <si>
    <t>VOX TRADING CO., LTD.</t>
  </si>
  <si>
    <t>HLHU8444590</t>
  </si>
  <si>
    <t>1046</t>
  </si>
  <si>
    <t>HLHU8461221</t>
  </si>
  <si>
    <t>0506</t>
  </si>
  <si>
    <t>HLHU8493912</t>
  </si>
  <si>
    <t>1038</t>
  </si>
  <si>
    <t>HLHU8503862</t>
  </si>
  <si>
    <t>0336</t>
  </si>
  <si>
    <t>HLHU8510563</t>
  </si>
  <si>
    <t>0210</t>
  </si>
  <si>
    <t>HASLS22260900812</t>
  </si>
  <si>
    <t>JPKIJ</t>
  </si>
  <si>
    <t>0500</t>
  </si>
  <si>
    <t>HLHU8529358</t>
  </si>
  <si>
    <t>2249</t>
  </si>
  <si>
    <t>HLHU8533240</t>
  </si>
  <si>
    <t>HLHU8534082</t>
  </si>
  <si>
    <t>1313</t>
  </si>
  <si>
    <t>1601</t>
  </si>
  <si>
    <t>HLHU8534652</t>
  </si>
  <si>
    <t>1053</t>
  </si>
  <si>
    <t>HLHU8534760</t>
  </si>
  <si>
    <t>0952</t>
  </si>
  <si>
    <t>HASLS22260901895</t>
  </si>
  <si>
    <t>JPTMK</t>
  </si>
  <si>
    <t>NIPPON EXPRESS CO., LTD.</t>
  </si>
  <si>
    <t>HLHU8538452</t>
  </si>
  <si>
    <t>0307</t>
  </si>
  <si>
    <t>HLHU8549225</t>
  </si>
  <si>
    <t>0205</t>
  </si>
  <si>
    <t>HLHU8569113</t>
  </si>
  <si>
    <t>0450</t>
  </si>
  <si>
    <t>0700</t>
  </si>
  <si>
    <t>HLHU8576025</t>
  </si>
  <si>
    <t>0040</t>
  </si>
  <si>
    <t>HLHU8592221</t>
  </si>
  <si>
    <t>0431</t>
  </si>
  <si>
    <t>HLHU8595534</t>
  </si>
  <si>
    <t>HLHU8596320</t>
  </si>
  <si>
    <t>2353</t>
  </si>
  <si>
    <t>0201</t>
  </si>
  <si>
    <t>SEKU4431822</t>
  </si>
  <si>
    <t>0831</t>
  </si>
  <si>
    <t>2020</t>
  </si>
  <si>
    <t>SEKU4432644</t>
  </si>
  <si>
    <t>SEKU4972658</t>
  </si>
  <si>
    <t>0510</t>
  </si>
  <si>
    <t>SEKU4987004</t>
  </si>
  <si>
    <t>SKHU6304468</t>
  </si>
  <si>
    <t>2212</t>
  </si>
  <si>
    <t>SKHU6306286</t>
  </si>
  <si>
    <t>0244</t>
  </si>
  <si>
    <t>0501</t>
  </si>
  <si>
    <t>SKHU6384735</t>
  </si>
  <si>
    <t>1033</t>
  </si>
  <si>
    <t>SKHU6384993</t>
  </si>
  <si>
    <t>0121</t>
  </si>
  <si>
    <t>0401</t>
  </si>
  <si>
    <t>SKHU6400203</t>
  </si>
  <si>
    <t>SKHU6426234</t>
  </si>
  <si>
    <t>0324</t>
  </si>
  <si>
    <t>0600</t>
  </si>
  <si>
    <t>SKHU6463860</t>
  </si>
  <si>
    <t>0957</t>
  </si>
  <si>
    <t>SKHU6482161</t>
  </si>
  <si>
    <t>0422</t>
  </si>
  <si>
    <t>SKHU6550498</t>
  </si>
  <si>
    <t>0311</t>
  </si>
  <si>
    <t>SKHU6574360</t>
  </si>
  <si>
    <t>0045</t>
  </si>
  <si>
    <t>SKHU6595527</t>
  </si>
  <si>
    <t>0827</t>
  </si>
  <si>
    <t>SKHU8431040</t>
  </si>
  <si>
    <t>0037</t>
  </si>
  <si>
    <t>SKHU8929285</t>
  </si>
  <si>
    <t>SKLU1935880</t>
  </si>
  <si>
    <t>0440</t>
  </si>
  <si>
    <t>HASLS22260901934</t>
  </si>
  <si>
    <t>THAI AGRI FOODS PUBLIC COMPANY LIMITED</t>
  </si>
  <si>
    <t>RUVVO</t>
  </si>
  <si>
    <t>0703</t>
  </si>
  <si>
    <t>EXIM PACIFIC LLC. RUSSIA,</t>
  </si>
  <si>
    <t>SKLU2011942</t>
  </si>
  <si>
    <t>2106</t>
  </si>
  <si>
    <t>HASLS22260902764</t>
  </si>
  <si>
    <t>0001</t>
  </si>
  <si>
    <t>SKLU2032210</t>
  </si>
  <si>
    <t>2203</t>
  </si>
  <si>
    <t>HASLS22260901931</t>
  </si>
  <si>
    <t>0102</t>
  </si>
  <si>
    <t>SKLU2485920</t>
  </si>
  <si>
    <t>0046</t>
  </si>
  <si>
    <t>HASLS22260902680</t>
  </si>
  <si>
    <t>JPHKT</t>
  </si>
  <si>
    <t>0300</t>
  </si>
  <si>
    <t>SANKYU INC.</t>
  </si>
  <si>
    <t>TCNU4551964</t>
  </si>
  <si>
    <t>0555</t>
  </si>
  <si>
    <t>BKK</t>
  </si>
  <si>
    <t>KST</t>
  </si>
  <si>
    <t>C0321002</t>
  </si>
  <si>
    <t>SAHA FARMS INTERNATIONAL CO.,LTD.</t>
  </si>
  <si>
    <t>PUS05</t>
  </si>
  <si>
    <t>C0223001</t>
  </si>
  <si>
    <t>CELESTIAL XPRESS LOGISTICS</t>
  </si>
  <si>
    <t>INC07</t>
  </si>
  <si>
    <t>WORLDNET EXPRESS CO.,LTD.</t>
  </si>
  <si>
    <t>ASAP INTERNATIONAL CO.,LTD</t>
  </si>
  <si>
    <t>SGN03</t>
  </si>
  <si>
    <t>ISTO IMPORT &amp; EXPORT CO.,LTD.</t>
  </si>
  <si>
    <t>TAO13013</t>
  </si>
  <si>
    <t>NIPPON EXPRESS LOGISTICS</t>
  </si>
  <si>
    <t>* THAILAND</t>
  </si>
  <si>
    <t>SHA15003</t>
  </si>
  <si>
    <t>C.H. ROBINSON FREIGHT SERVICES (THA</t>
  </si>
  <si>
    <t>C5623001</t>
  </si>
  <si>
    <t>C0723001</t>
  </si>
  <si>
    <t>C0723003</t>
  </si>
  <si>
    <t>C0124001</t>
  </si>
  <si>
    <t>YONGSUWAT TRADING CO., LTD.</t>
  </si>
  <si>
    <t>TKS02</t>
  </si>
  <si>
    <t>C5624002</t>
  </si>
  <si>
    <t>C0125003</t>
  </si>
  <si>
    <t>KIJ01</t>
  </si>
  <si>
    <t>TMK03</t>
  </si>
  <si>
    <t>C5625001</t>
  </si>
  <si>
    <t>THAI AGRI FOODS PUBLIC COMPANY</t>
  </si>
  <si>
    <t>VVO01</t>
  </si>
  <si>
    <t>C.H. ROBINSON FREIGHT SERVICES</t>
  </si>
  <si>
    <t>HKT02</t>
  </si>
  <si>
    <t>KR</t>
  </si>
  <si>
    <t>UNICORD PUBLIC COMPANY LIMITED</t>
  </si>
  <si>
    <t>Pickup : 2026-10-08, Return : 2026-10-09 (1ST RETURN DATE DD.09/10/26)</t>
  </si>
  <si>
    <t>C</t>
  </si>
  <si>
    <t>export@c-xpress.com</t>
  </si>
  <si>
    <t>202610121700</t>
  </si>
  <si>
    <t>202610131200</t>
  </si>
  <si>
    <t>NOMINATION</t>
  </si>
  <si>
    <t>THTIN4</t>
  </si>
  <si>
    <t>2026-11-04</t>
  </si>
  <si>
    <t>RU</t>
  </si>
  <si>
    <t>RUVO38</t>
  </si>
  <si>
    <t>ANNA MARS</t>
  </si>
  <si>
    <t>SWEET CHILLI SAUCE FOR CHICKEN</t>
  </si>
  <si>
    <t>[FIX]KUS/2616N/10/25[FIX] Pickup : 2026-10-08, Return : 2026-10-09*1ST RETURN CNTR DD.09/10/2026 WITHOUT RENT*</t>
  </si>
  <si>
    <t>SI DD.8/10/26</t>
  </si>
  <si>
    <t>POL: THBKK [KUS/2616N]; T/S(1st): KRPUS [SDTR/2631N]; POD: RUVVO [/]</t>
  </si>
  <si>
    <t>chalearmporn.pu@thaiagri.com</t>
  </si>
  <si>
    <t>R01-2411002</t>
  </si>
  <si>
    <t>THTLH8</t>
  </si>
  <si>
    <t>210390</t>
  </si>
  <si>
    <t>SADESA (THAILAND) CO., LTD.</t>
  </si>
  <si>
    <t>CON</t>
  </si>
  <si>
    <t>UNITHAI CONTAINER TERMINAL CFS</t>
  </si>
  <si>
    <t>COW LEATHER</t>
  </si>
  <si>
    <t xml:space="preserve">STUFFING @ UNITHAI DD 09/10/26 CLS TIME 12/10 @17.00HRS 
</t>
  </si>
  <si>
    <t xml:space="preserve">P'KUNG CFM DD 07/10 </t>
  </si>
  <si>
    <t>CFS/CY</t>
  </si>
  <si>
    <t>EXPORT@WORLDNETEXP.COM</t>
  </si>
  <si>
    <t>S19-2210014</t>
  </si>
  <si>
    <t>TH04EU</t>
  </si>
  <si>
    <t>2026-10-15</t>
  </si>
  <si>
    <t>410799</t>
  </si>
  <si>
    <t>THAI FODDSTUFFS</t>
  </si>
  <si>
    <t xml:space="preserve">STUFFING CARGO @UNITHAI DD.09/10/26 CLS TIME CFS DD.12/10/26 - 17:00HRS.
</t>
  </si>
  <si>
    <t>CFS AT BKK</t>
  </si>
  <si>
    <t>2026-09-30</t>
  </si>
  <si>
    <t>THAI FODDSTUFF</t>
  </si>
  <si>
    <t>customer@umac.co.th</t>
  </si>
  <si>
    <t>S22-2406015</t>
  </si>
  <si>
    <t>BB1277</t>
  </si>
  <si>
    <t>210310</t>
  </si>
  <si>
    <t>2026-10-31</t>
  </si>
  <si>
    <t>JP</t>
  </si>
  <si>
    <t>GPV ASIA (THAILAND) CO., LTD.</t>
  </si>
  <si>
    <t xml:space="preserve">POWER SUPPLY </t>
  </si>
  <si>
    <t xml:space="preserve">Pickup : 2026-10-06, Return : 2026-10-07 [1ST RTN 10/10/2026 W/O RENT]  </t>
  </si>
  <si>
    <t>SEA WAYBILL FREIGHT PREPAID PLS SEND DRAFT BL TO GF-OPS-AS-TH-BKK-OX-NONUSA@CHROBINSON.COM</t>
  </si>
  <si>
    <t>2026-09-29</t>
  </si>
  <si>
    <t>BRACKET</t>
  </si>
  <si>
    <t>POL: THBKK [KUS/2616N]; T/S(1st): KRPUS [HKEP/2686E]; POD: JPHKT [/]</t>
  </si>
  <si>
    <t>gf-ops-as-th-bkk-ox-nonusa@chrobinson.com</t>
  </si>
  <si>
    <t>S22-2310003</t>
  </si>
  <si>
    <t>THTI0X</t>
  </si>
  <si>
    <t>850440</t>
  </si>
  <si>
    <t>[FIX]KUS/2616N/10/25[FIX] Pickup : 2026-10-08, Return : 2026-10-10</t>
  </si>
  <si>
    <t>H2602</t>
  </si>
  <si>
    <t>Kim jaewon</t>
  </si>
  <si>
    <t xml:space="preserve">MODIFIED TAPIOCA STARCH </t>
  </si>
  <si>
    <t xml:space="preserve">Pickup : 2026-10-06, Return : 2026-10-08  (1ST RTN 10/10 W/O RENT) 
 </t>
  </si>
  <si>
    <t>NEED VERY CLEAN CONTAINERP.O.NO.SWP-0693-26</t>
  </si>
  <si>
    <t>2026-09-28</t>
  </si>
  <si>
    <t>product@poonphol.com</t>
  </si>
  <si>
    <t>K01-2501145</t>
  </si>
  <si>
    <t>TH05Z7</t>
  </si>
  <si>
    <t xml:space="preserve">[FIX]KUS/2616N/10/25[FIX] Pickup : 2026-10-09, Return : 2026-10-12 *EXTEND CLS TIME : 12/10/26 @23.59* </t>
  </si>
  <si>
    <t>SI DD.9/10/26
RQST CHANGE VSL NAME FROM KUS 2616N BY HA DD.5/10</t>
  </si>
  <si>
    <t>ROHM MECHATECH ( THAILAND ) CO., LTD.</t>
  </si>
  <si>
    <t>LEAD FRAME</t>
  </si>
  <si>
    <t>Pickup : 2026-10-07, Return : 2026-10-10 [1ST RTN 10/10/2026 W/O RENT]</t>
  </si>
  <si>
    <t>CORE SUB COMP HEATER</t>
  </si>
  <si>
    <t>nuchjarin.sroysunthon@nipponexpress.com</t>
  </si>
  <si>
    <t>S19-2308033</t>
  </si>
  <si>
    <t>THTQV3</t>
  </si>
  <si>
    <t>PRIME BOX MFG LTD.</t>
  </si>
  <si>
    <t>SUEDE CASES (JEWELRY CASES AND PAPER SET UP BOXES) /  HS.CODE :4202.92</t>
  </si>
  <si>
    <t xml:space="preserve">Pickup : 2026-10-12, Return : 2026-10-12 // EXTEN CLS TIME 13/10 @18.00 </t>
  </si>
  <si>
    <t>FM PGPO 2612N BY HAL DD 08/10
CF BY SALE BY DD.28/09
SUP HQ
FM SWSP 2609N DD 30/09 SURRENDER FREIGHT PREPAID PLS SEND DRAFT BL TO GF-OPS-AS-TH-BKK-OX-NONUSA@CHROBINSON.COM</t>
  </si>
  <si>
    <t>SUEDE CASES /HS.CODE :4202.92</t>
  </si>
  <si>
    <t>2026-11-05</t>
  </si>
  <si>
    <t>CORN COB MEAL</t>
  </si>
  <si>
    <t>Pickup : 2026-10-08, Return : 2026-10-09</t>
  </si>
  <si>
    <t>2026-09-09</t>
  </si>
  <si>
    <t>POL: THBKK [KUS/2616N]; T/S(1st): KRPUS [ATSH/2643E]; POD: JPKIJ [/]</t>
  </si>
  <si>
    <t>phetcharat.p@yswtrading.co.th;export.yst@yswtrading.co.th;piyaluck.p@yswtrading.co.th</t>
  </si>
  <si>
    <t>S19-2308046</t>
  </si>
  <si>
    <t>THTSPI</t>
  </si>
  <si>
    <t>121300</t>
  </si>
  <si>
    <t>2026-11-12</t>
  </si>
  <si>
    <t>NIPRO (THAILAND) CORPORATION LIMITED</t>
  </si>
  <si>
    <t>MEDICAL PRODUCT</t>
  </si>
  <si>
    <t>[FIX]Pickup : 2026-10-08, Return : 2026-10-09 (1st rtn dd: 10/10/26 wo/rent)</t>
  </si>
  <si>
    <t>POL: THBKK [KUS/2616N]; T/S(1st): KRPUS [TYTR/2641E]; POD: JPTMK [/]</t>
  </si>
  <si>
    <t>nelt-ayu-exportcs2@nipponexpress.com</t>
  </si>
  <si>
    <t>901831</t>
  </si>
  <si>
    <t>40Hx31</t>
  </si>
  <si>
    <t>PARTICLE BOARD EN312 : 2010 TYPE P1</t>
  </si>
  <si>
    <t>CY -  RTN DD. 03-03/10/2026  /RQST CNTR UPGRADE 32.50TONS // FM SWSP 2610N BY HAL DD.01/10 (1ST RETURN 03/10 W/O RENT)</t>
  </si>
  <si>
    <t xml:space="preserve">FM SWSP 2609N BY HAL DD.01/10
</t>
  </si>
  <si>
    <t>2026-09-14</t>
  </si>
  <si>
    <t>PARTICLE BOARD</t>
  </si>
  <si>
    <t>planner.s@metroply.com;</t>
  </si>
  <si>
    <t>S19-1909006</t>
  </si>
  <si>
    <t>TH01GA</t>
  </si>
  <si>
    <t>441011</t>
  </si>
  <si>
    <t>40Hx4</t>
  </si>
  <si>
    <t>2026-11-07</t>
  </si>
  <si>
    <t>FM SWBT 2616N 23/09</t>
  </si>
  <si>
    <t>POL: THBKK [KUS/2616N]; T/S(1st): KRPUS [PCTJ/2649E]; POD: JPTKS [/]</t>
  </si>
  <si>
    <t>phetcharat.p@yswtrading.co.th;export.yst1@gmail.com;piyaluck.p@yswtrading.co.th;export.yst@yswtrading.co.th</t>
  </si>
  <si>
    <t>SAHA FARMS  INTERNATIONAL CO LTD</t>
  </si>
  <si>
    <t>TH0042</t>
  </si>
  <si>
    <t>Sukunpoj Damrongying</t>
  </si>
  <si>
    <t>FROZEN FULLY COOKED CHICKEN MEAT</t>
  </si>
  <si>
    <t>RF// MIN:-18.0 MAX:-18.0 [COVER:CLOSE]</t>
  </si>
  <si>
    <t>Pickup : 2026-10-10, Return : 2026-10-13  (Temp -18.0 / Vent Close) 
CLS TIME 13/10/26 @23.59 WO/RENT // FM SWIC 2611N BY HAL DD.08/10</t>
  </si>
  <si>
    <t>FM SWIC 2611N BY HAL DD.08/10
CFM BY P'TARN DD.15/09/2026 
split fm HASLS22260901235 , fm KRPTKTEMP -18 C</t>
  </si>
  <si>
    <t>FROZEN CHICKEN COOK</t>
  </si>
  <si>
    <t>CHECK</t>
  </si>
  <si>
    <t>Booking@lss.co.th</t>
  </si>
  <si>
    <t>45RE x1: RF(Temp:-18.0' / Cover:CLOSE)</t>
  </si>
  <si>
    <t>S22-2206003</t>
  </si>
  <si>
    <t>THTQLH</t>
  </si>
  <si>
    <t>15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</si>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</sst>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4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  <font>
      <sz val="11"/>
      <color rgb="FFFF0000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20" fillId="5" borderId="2" xfId="0" applyFont="1" applyFill="1" applyBorder="1" applyAlignment="1">
      <alignment horizontal="center" vertical="center"/>
    </xf>
    <xf numFmtId="49" fontId="35" fillId="2" borderId="5" xfId="0" applyNumberFormat="1" applyFont="1" applyFill="1" applyBorder="1" applyAlignment="1">
      <alignment horizontal="center" vertical="center" readingOrder="1"/>
    </xf>
    <xf numFmtId="4" fontId="35" fillId="3" borderId="5" xfId="0" applyNumberFormat="1" applyFont="1" applyFill="1" applyBorder="1" applyAlignment="1">
      <alignment horizontal="right" vertical="center" readingOrder="1"/>
    </xf>
    <xf numFmtId="0" fontId="35" fillId="11" borderId="8" xfId="0" applyFont="1" applyFill="1" applyBorder="1" applyAlignment="1">
      <alignment horizontal="left" vertical="center" readingOrder="1"/>
    </xf>
    <xf numFmtId="191" fontId="35" fillId="11" borderId="9" xfId="0" applyNumberFormat="1" applyFont="1" applyFill="1" applyBorder="1" applyAlignment="1">
      <alignment horizontal="left" vertical="center" readingOrder="1"/>
    </xf>
    <xf numFmtId="0" fontId="35" fillId="11" borderId="10" xfId="0" applyFont="1" applyFill="1" applyBorder="1" applyAlignment="1">
      <alignment horizontal="left" vertical="center" readingOrder="1"/>
    </xf>
    <xf numFmtId="193" fontId="35" fillId="11" borderId="9" xfId="0" applyNumberFormat="1" applyFont="1" applyFill="1" applyBorder="1" applyAlignment="1">
      <alignment horizontal="left" vertical="center" readingOrder="1"/>
    </xf>
    <xf numFmtId="194" fontId="35" fillId="11" borderId="9" xfId="0" applyNumberFormat="1" applyFont="1" applyFill="1" applyBorder="1" applyAlignment="1">
      <alignment horizontal="left" vertical="center" readingOrder="1"/>
    </xf>
    <xf numFmtId="0" fontId="35" fillId="11" borderId="11" xfId="0" applyFont="1" applyFill="1" applyBorder="1" applyAlignment="1">
      <alignment horizontal="left" vertical="center" readingOrder="1"/>
    </xf>
    <xf numFmtId="0" fontId="35" fillId="11" borderId="9" xfId="0" applyFont="1" applyFill="1" applyBorder="1" applyAlignment="1">
      <alignment horizontal="left" vertical="center" readingOrder="1"/>
    </xf>
    <xf numFmtId="0" fontId="35" fillId="11" borderId="12" xfId="0" applyFont="1" applyFill="1" applyBorder="1" applyAlignment="1">
      <alignment horizontal="left" vertical="center" readingOrder="1"/>
    </xf>
    <xf numFmtId="0" fontId="35" fillId="11" borderId="13" xfId="0" applyFont="1" applyFill="1" applyBorder="1" applyAlignment="1">
      <alignment horizontal="left" vertical="center" readingOrder="1"/>
    </xf>
    <xf numFmtId="195" fontId="35" fillId="11" borderId="9" xfId="0" applyNumberFormat="1" applyFont="1" applyFill="1" applyBorder="1" applyAlignment="1">
      <alignment horizontal="left" vertical="center" readingOrder="1"/>
    </xf>
    <xf numFmtId="196" fontId="35" fillId="11" borderId="9" xfId="0" applyNumberFormat="1" applyFont="1" applyFill="1" applyBorder="1" applyAlignment="1">
      <alignment horizontal="left" vertical="center" readingOrder="1"/>
    </xf>
    <xf numFmtId="0" fontId="35" fillId="11" borderId="14" xfId="0" applyFont="1" applyFill="1" applyBorder="1" applyAlignment="1">
      <alignment horizontal="left" vertical="center" readingOrder="1"/>
    </xf>
    <xf numFmtId="0" fontId="35" fillId="11" borderId="0" xfId="0" applyFont="1" applyFill="1" applyAlignment="1">
      <alignment horizontal="left" vertical="center" readingOrder="1"/>
    </xf>
    <xf numFmtId="49" fontId="35" fillId="11" borderId="9" xfId="0" applyNumberFormat="1" applyFont="1" applyFill="1" applyBorder="1" applyAlignment="1">
      <alignment horizontal="left" vertical="center" readingOrder="1"/>
    </xf>
    <xf numFmtId="0" fontId="35" fillId="11" borderId="15" xfId="0" applyFont="1" applyFill="1" applyBorder="1" applyAlignment="1">
      <alignment horizontal="left" vertical="center" readingOrder="1"/>
    </xf>
    <xf numFmtId="197" fontId="35" fillId="11" borderId="9" xfId="0" applyNumberFormat="1" applyFont="1" applyFill="1" applyBorder="1" applyAlignment="1">
      <alignment horizontal="left" vertical="center" readingOrder="1"/>
    </xf>
    <xf numFmtId="198" fontId="35" fillId="11" borderId="9" xfId="0" applyNumberFormat="1" applyFont="1" applyFill="1" applyBorder="1" applyAlignment="1">
      <alignment horizontal="left" vertical="center" readingOrder="1"/>
    </xf>
    <xf numFmtId="199" fontId="35" fillId="11" borderId="9" xfId="0" applyNumberFormat="1" applyFont="1" applyFill="1" applyBorder="1" applyAlignment="1">
      <alignment horizontal="left" vertical="center" readingOrder="1"/>
    </xf>
    <xf numFmtId="200" fontId="35" fillId="11" borderId="9" xfId="0" applyNumberFormat="1" applyFont="1" applyFill="1" applyBorder="1" applyAlignment="1">
      <alignment horizontal="left" vertical="center" readingOrder="1"/>
    </xf>
    <xf numFmtId="0" fontId="35" fillId="11" borderId="16" xfId="0" applyFont="1" applyFill="1" applyBorder="1" applyAlignment="1">
      <alignment horizontal="left" vertical="center" readingOrder="1"/>
    </xf>
    <xf numFmtId="0" fontId="35" fillId="11" borderId="17" xfId="0" applyFont="1" applyFill="1" applyBorder="1" applyAlignment="1">
      <alignment horizontal="left" vertical="center" readingOrder="1"/>
    </xf>
    <xf numFmtId="0" fontId="35" fillId="11" borderId="18" xfId="0" applyFont="1" applyFill="1" applyBorder="1" applyAlignment="1">
      <alignment horizontal="left" vertical="center" readingOrder="1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left" vertical="center" readingOrder="1"/>
    </xf>
    <xf numFmtId="0" fontId="9" fillId="3" borderId="5" xfId="0" applyFont="1" applyFill="1" applyBorder="1" applyAlignment="1">
      <alignment horizontal="left" vertical="center" readingOrder="1"/>
    </xf>
    <xf numFmtId="0" fontId="9" fillId="11" borderId="12" xfId="0" applyFont="1" applyFill="1" applyBorder="1" applyAlignment="1">
      <alignment horizontal="left" vertical="center" readingOrder="1"/>
    </xf>
    <xf numFmtId="0" fontId="9" fillId="11" borderId="0" xfId="0" applyFont="1" applyFill="1" applyAlignment="1">
      <alignment horizontal="left" vertical="center" readingOrder="1"/>
    </xf>
    <xf numFmtId="0" fontId="9" fillId="11" borderId="17" xfId="0" applyFont="1" applyFill="1" applyBorder="1" applyAlignment="1">
      <alignment horizontal="left" vertical="center" readingOrder="1"/>
    </xf>
    <xf numFmtId="0" fontId="39" fillId="0" borderId="0" xfId="0" applyFont="1" applyAlignment="1">
      <alignment horizontal="left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98"/>
  <sheetViews>
    <sheetView topLeftCell="A7" workbookViewId="0">
      <selection activeCell="A2" sqref="A2:A51"/>
    </sheetView>
  </sheetViews>
  <sheetFormatPr defaultRowHeight="12.95" customHeight="1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75" style="107" bestFit="1" customWidth="1"/>
    <col min="9" max="9" width="5" style="107" bestFit="1" customWidth="1"/>
    <col min="10" max="10" width="5.12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.25" style="107" bestFit="1" customWidth="1"/>
    <col min="23" max="23" width="26.625" style="107" bestFit="1" customWidth="1"/>
    <col min="24" max="24" width="8.25" style="107" bestFit="1" customWidth="1"/>
    <col min="25" max="26" width="26.75" style="107" bestFit="1" customWidth="1"/>
    <col min="27" max="27" width="9.875" style="107" bestFit="1" customWidth="1"/>
    <col min="28" max="28" width="8.625" style="107" bestFit="1" customWidth="1"/>
    <col min="29" max="29" width="8.875" style="107" bestFit="1" customWidth="1"/>
    <col min="30" max="256" width="9" style="107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75" style="107" bestFit="1" customWidth="1"/>
    <col min="265" max="265" width="5" style="107" bestFit="1" customWidth="1"/>
    <col min="266" max="266" width="5.12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.25" style="107" bestFit="1" customWidth="1"/>
    <col min="279" max="279" width="26.625" style="107" bestFit="1" customWidth="1"/>
    <col min="280" max="280" width="8.25" style="107" bestFit="1" customWidth="1"/>
    <col min="281" max="282" width="26.75" style="107" bestFit="1" customWidth="1"/>
    <col min="283" max="283" width="9.875" style="107" bestFit="1" customWidth="1"/>
    <col min="284" max="284" width="8.625" style="107" bestFit="1" customWidth="1"/>
    <col min="285" max="285" width="8.875" style="107" bestFit="1" customWidth="1"/>
    <col min="286" max="512" width="9" style="107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75" style="107" bestFit="1" customWidth="1"/>
    <col min="521" max="521" width="5" style="107" bestFit="1" customWidth="1"/>
    <col min="522" max="522" width="5.12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.25" style="107" bestFit="1" customWidth="1"/>
    <col min="535" max="535" width="26.625" style="107" bestFit="1" customWidth="1"/>
    <col min="536" max="536" width="8.25" style="107" bestFit="1" customWidth="1"/>
    <col min="537" max="538" width="26.75" style="107" bestFit="1" customWidth="1"/>
    <col min="539" max="539" width="9.875" style="107" bestFit="1" customWidth="1"/>
    <col min="540" max="540" width="8.625" style="107" bestFit="1" customWidth="1"/>
    <col min="541" max="541" width="8.875" style="107" bestFit="1" customWidth="1"/>
    <col min="542" max="768" width="9" style="107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75" style="107" bestFit="1" customWidth="1"/>
    <col min="777" max="777" width="5" style="107" bestFit="1" customWidth="1"/>
    <col min="778" max="778" width="5.12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.25" style="107" bestFit="1" customWidth="1"/>
    <col min="791" max="791" width="26.625" style="107" bestFit="1" customWidth="1"/>
    <col min="792" max="792" width="8.25" style="107" bestFit="1" customWidth="1"/>
    <col min="793" max="794" width="26.75" style="107" bestFit="1" customWidth="1"/>
    <col min="795" max="795" width="9.875" style="107" bestFit="1" customWidth="1"/>
    <col min="796" max="796" width="8.625" style="107" bestFit="1" customWidth="1"/>
    <col min="797" max="797" width="8.875" style="107" bestFit="1" customWidth="1"/>
    <col min="798" max="1024" width="9" style="107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75" style="107" bestFit="1" customWidth="1"/>
    <col min="1033" max="1033" width="5" style="107" bestFit="1" customWidth="1"/>
    <col min="1034" max="1034" width="5.12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.25" style="107" bestFit="1" customWidth="1"/>
    <col min="1047" max="1047" width="26.625" style="107" bestFit="1" customWidth="1"/>
    <col min="1048" max="1048" width="8.25" style="107" bestFit="1" customWidth="1"/>
    <col min="1049" max="1050" width="26.75" style="107" bestFit="1" customWidth="1"/>
    <col min="1051" max="1051" width="9.875" style="107" bestFit="1" customWidth="1"/>
    <col min="1052" max="1052" width="8.625" style="107" bestFit="1" customWidth="1"/>
    <col min="1053" max="1053" width="8.875" style="107" bestFit="1" customWidth="1"/>
    <col min="1054" max="1280" width="9" style="107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75" style="107" bestFit="1" customWidth="1"/>
    <col min="1289" max="1289" width="5" style="107" bestFit="1" customWidth="1"/>
    <col min="1290" max="1290" width="5.12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.25" style="107" bestFit="1" customWidth="1"/>
    <col min="1303" max="1303" width="26.625" style="107" bestFit="1" customWidth="1"/>
    <col min="1304" max="1304" width="8.25" style="107" bestFit="1" customWidth="1"/>
    <col min="1305" max="1306" width="26.75" style="107" bestFit="1" customWidth="1"/>
    <col min="1307" max="1307" width="9.875" style="107" bestFit="1" customWidth="1"/>
    <col min="1308" max="1308" width="8.625" style="107" bestFit="1" customWidth="1"/>
    <col min="1309" max="1309" width="8.875" style="107" bestFit="1" customWidth="1"/>
    <col min="1310" max="1536" width="9" style="107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75" style="107" bestFit="1" customWidth="1"/>
    <col min="1545" max="1545" width="5" style="107" bestFit="1" customWidth="1"/>
    <col min="1546" max="1546" width="5.12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.25" style="107" bestFit="1" customWidth="1"/>
    <col min="1559" max="1559" width="26.625" style="107" bestFit="1" customWidth="1"/>
    <col min="1560" max="1560" width="8.25" style="107" bestFit="1" customWidth="1"/>
    <col min="1561" max="1562" width="26.75" style="107" bestFit="1" customWidth="1"/>
    <col min="1563" max="1563" width="9.875" style="107" bestFit="1" customWidth="1"/>
    <col min="1564" max="1564" width="8.625" style="107" bestFit="1" customWidth="1"/>
    <col min="1565" max="1565" width="8.875" style="107" bestFit="1" customWidth="1"/>
    <col min="1566" max="1792" width="9" style="107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75" style="107" bestFit="1" customWidth="1"/>
    <col min="1801" max="1801" width="5" style="107" bestFit="1" customWidth="1"/>
    <col min="1802" max="1802" width="5.12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.25" style="107" bestFit="1" customWidth="1"/>
    <col min="1815" max="1815" width="26.625" style="107" bestFit="1" customWidth="1"/>
    <col min="1816" max="1816" width="8.25" style="107" bestFit="1" customWidth="1"/>
    <col min="1817" max="1818" width="26.75" style="107" bestFit="1" customWidth="1"/>
    <col min="1819" max="1819" width="9.875" style="107" bestFit="1" customWidth="1"/>
    <col min="1820" max="1820" width="8.625" style="107" bestFit="1" customWidth="1"/>
    <col min="1821" max="1821" width="8.875" style="107" bestFit="1" customWidth="1"/>
    <col min="1822" max="2048" width="9" style="107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75" style="107" bestFit="1" customWidth="1"/>
    <col min="2057" max="2057" width="5" style="107" bestFit="1" customWidth="1"/>
    <col min="2058" max="2058" width="5.12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.25" style="107" bestFit="1" customWidth="1"/>
    <col min="2071" max="2071" width="26.625" style="107" bestFit="1" customWidth="1"/>
    <col min="2072" max="2072" width="8.25" style="107" bestFit="1" customWidth="1"/>
    <col min="2073" max="2074" width="26.75" style="107" bestFit="1" customWidth="1"/>
    <col min="2075" max="2075" width="9.875" style="107" bestFit="1" customWidth="1"/>
    <col min="2076" max="2076" width="8.625" style="107" bestFit="1" customWidth="1"/>
    <col min="2077" max="2077" width="8.875" style="107" bestFit="1" customWidth="1"/>
    <col min="2078" max="2304" width="9" style="107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75" style="107" bestFit="1" customWidth="1"/>
    <col min="2313" max="2313" width="5" style="107" bestFit="1" customWidth="1"/>
    <col min="2314" max="2314" width="5.12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.25" style="107" bestFit="1" customWidth="1"/>
    <col min="2327" max="2327" width="26.625" style="107" bestFit="1" customWidth="1"/>
    <col min="2328" max="2328" width="8.25" style="107" bestFit="1" customWidth="1"/>
    <col min="2329" max="2330" width="26.75" style="107" bestFit="1" customWidth="1"/>
    <col min="2331" max="2331" width="9.875" style="107" bestFit="1" customWidth="1"/>
    <col min="2332" max="2332" width="8.625" style="107" bestFit="1" customWidth="1"/>
    <col min="2333" max="2333" width="8.875" style="107" bestFit="1" customWidth="1"/>
    <col min="2334" max="2560" width="9" style="107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75" style="107" bestFit="1" customWidth="1"/>
    <col min="2569" max="2569" width="5" style="107" bestFit="1" customWidth="1"/>
    <col min="2570" max="2570" width="5.12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.25" style="107" bestFit="1" customWidth="1"/>
    <col min="2583" max="2583" width="26.625" style="107" bestFit="1" customWidth="1"/>
    <col min="2584" max="2584" width="8.25" style="107" bestFit="1" customWidth="1"/>
    <col min="2585" max="2586" width="26.75" style="107" bestFit="1" customWidth="1"/>
    <col min="2587" max="2587" width="9.875" style="107" bestFit="1" customWidth="1"/>
    <col min="2588" max="2588" width="8.625" style="107" bestFit="1" customWidth="1"/>
    <col min="2589" max="2589" width="8.875" style="107" bestFit="1" customWidth="1"/>
    <col min="2590" max="2816" width="9" style="107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75" style="107" bestFit="1" customWidth="1"/>
    <col min="2825" max="2825" width="5" style="107" bestFit="1" customWidth="1"/>
    <col min="2826" max="2826" width="5.12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.25" style="107" bestFit="1" customWidth="1"/>
    <col min="2839" max="2839" width="26.625" style="107" bestFit="1" customWidth="1"/>
    <col min="2840" max="2840" width="8.25" style="107" bestFit="1" customWidth="1"/>
    <col min="2841" max="2842" width="26.75" style="107" bestFit="1" customWidth="1"/>
    <col min="2843" max="2843" width="9.875" style="107" bestFit="1" customWidth="1"/>
    <col min="2844" max="2844" width="8.625" style="107" bestFit="1" customWidth="1"/>
    <col min="2845" max="2845" width="8.875" style="107" bestFit="1" customWidth="1"/>
    <col min="2846" max="3072" width="9" style="107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75" style="107" bestFit="1" customWidth="1"/>
    <col min="3081" max="3081" width="5" style="107" bestFit="1" customWidth="1"/>
    <col min="3082" max="3082" width="5.12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.25" style="107" bestFit="1" customWidth="1"/>
    <col min="3095" max="3095" width="26.625" style="107" bestFit="1" customWidth="1"/>
    <col min="3096" max="3096" width="8.25" style="107" bestFit="1" customWidth="1"/>
    <col min="3097" max="3098" width="26.75" style="107" bestFit="1" customWidth="1"/>
    <col min="3099" max="3099" width="9.875" style="107" bestFit="1" customWidth="1"/>
    <col min="3100" max="3100" width="8.625" style="107" bestFit="1" customWidth="1"/>
    <col min="3101" max="3101" width="8.875" style="107" bestFit="1" customWidth="1"/>
    <col min="3102" max="3328" width="9" style="107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75" style="107" bestFit="1" customWidth="1"/>
    <col min="3337" max="3337" width="5" style="107" bestFit="1" customWidth="1"/>
    <col min="3338" max="3338" width="5.12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.25" style="107" bestFit="1" customWidth="1"/>
    <col min="3351" max="3351" width="26.625" style="107" bestFit="1" customWidth="1"/>
    <col min="3352" max="3352" width="8.25" style="107" bestFit="1" customWidth="1"/>
    <col min="3353" max="3354" width="26.75" style="107" bestFit="1" customWidth="1"/>
    <col min="3355" max="3355" width="9.875" style="107" bestFit="1" customWidth="1"/>
    <col min="3356" max="3356" width="8.625" style="107" bestFit="1" customWidth="1"/>
    <col min="3357" max="3357" width="8.875" style="107" bestFit="1" customWidth="1"/>
    <col min="3358" max="3584" width="9" style="107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75" style="107" bestFit="1" customWidth="1"/>
    <col min="3593" max="3593" width="5" style="107" bestFit="1" customWidth="1"/>
    <col min="3594" max="3594" width="5.12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.25" style="107" bestFit="1" customWidth="1"/>
    <col min="3607" max="3607" width="26.625" style="107" bestFit="1" customWidth="1"/>
    <col min="3608" max="3608" width="8.25" style="107" bestFit="1" customWidth="1"/>
    <col min="3609" max="3610" width="26.75" style="107" bestFit="1" customWidth="1"/>
    <col min="3611" max="3611" width="9.875" style="107" bestFit="1" customWidth="1"/>
    <col min="3612" max="3612" width="8.625" style="107" bestFit="1" customWidth="1"/>
    <col min="3613" max="3613" width="8.875" style="107" bestFit="1" customWidth="1"/>
    <col min="3614" max="3840" width="9" style="107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75" style="107" bestFit="1" customWidth="1"/>
    <col min="3849" max="3849" width="5" style="107" bestFit="1" customWidth="1"/>
    <col min="3850" max="3850" width="5.12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.25" style="107" bestFit="1" customWidth="1"/>
    <col min="3863" max="3863" width="26.625" style="107" bestFit="1" customWidth="1"/>
    <col min="3864" max="3864" width="8.25" style="107" bestFit="1" customWidth="1"/>
    <col min="3865" max="3866" width="26.75" style="107" bestFit="1" customWidth="1"/>
    <col min="3867" max="3867" width="9.875" style="107" bestFit="1" customWidth="1"/>
    <col min="3868" max="3868" width="8.625" style="107" bestFit="1" customWidth="1"/>
    <col min="3869" max="3869" width="8.875" style="107" bestFit="1" customWidth="1"/>
    <col min="3870" max="4096" width="9" style="107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75" style="107" bestFit="1" customWidth="1"/>
    <col min="4105" max="4105" width="5" style="107" bestFit="1" customWidth="1"/>
    <col min="4106" max="4106" width="5.12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.25" style="107" bestFit="1" customWidth="1"/>
    <col min="4119" max="4119" width="26.625" style="107" bestFit="1" customWidth="1"/>
    <col min="4120" max="4120" width="8.25" style="107" bestFit="1" customWidth="1"/>
    <col min="4121" max="4122" width="26.75" style="107" bestFit="1" customWidth="1"/>
    <col min="4123" max="4123" width="9.875" style="107" bestFit="1" customWidth="1"/>
    <col min="4124" max="4124" width="8.625" style="107" bestFit="1" customWidth="1"/>
    <col min="4125" max="4125" width="8.875" style="107" bestFit="1" customWidth="1"/>
    <col min="4126" max="4352" width="9" style="107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75" style="107" bestFit="1" customWidth="1"/>
    <col min="4361" max="4361" width="5" style="107" bestFit="1" customWidth="1"/>
    <col min="4362" max="4362" width="5.12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.25" style="107" bestFit="1" customWidth="1"/>
    <col min="4375" max="4375" width="26.625" style="107" bestFit="1" customWidth="1"/>
    <col min="4376" max="4376" width="8.25" style="107" bestFit="1" customWidth="1"/>
    <col min="4377" max="4378" width="26.75" style="107" bestFit="1" customWidth="1"/>
    <col min="4379" max="4379" width="9.875" style="107" bestFit="1" customWidth="1"/>
    <col min="4380" max="4380" width="8.625" style="107" bestFit="1" customWidth="1"/>
    <col min="4381" max="4381" width="8.875" style="107" bestFit="1" customWidth="1"/>
    <col min="4382" max="4608" width="9" style="107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75" style="107" bestFit="1" customWidth="1"/>
    <col min="4617" max="4617" width="5" style="107" bestFit="1" customWidth="1"/>
    <col min="4618" max="4618" width="5.12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.25" style="107" bestFit="1" customWidth="1"/>
    <col min="4631" max="4631" width="26.625" style="107" bestFit="1" customWidth="1"/>
    <col min="4632" max="4632" width="8.25" style="107" bestFit="1" customWidth="1"/>
    <col min="4633" max="4634" width="26.75" style="107" bestFit="1" customWidth="1"/>
    <col min="4635" max="4635" width="9.875" style="107" bestFit="1" customWidth="1"/>
    <col min="4636" max="4636" width="8.625" style="107" bestFit="1" customWidth="1"/>
    <col min="4637" max="4637" width="8.875" style="107" bestFit="1" customWidth="1"/>
    <col min="4638" max="4864" width="9" style="107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75" style="107" bestFit="1" customWidth="1"/>
    <col min="4873" max="4873" width="5" style="107" bestFit="1" customWidth="1"/>
    <col min="4874" max="4874" width="5.12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.25" style="107" bestFit="1" customWidth="1"/>
    <col min="4887" max="4887" width="26.625" style="107" bestFit="1" customWidth="1"/>
    <col min="4888" max="4888" width="8.25" style="107" bestFit="1" customWidth="1"/>
    <col min="4889" max="4890" width="26.75" style="107" bestFit="1" customWidth="1"/>
    <col min="4891" max="4891" width="9.875" style="107" bestFit="1" customWidth="1"/>
    <col min="4892" max="4892" width="8.625" style="107" bestFit="1" customWidth="1"/>
    <col min="4893" max="4893" width="8.875" style="107" bestFit="1" customWidth="1"/>
    <col min="4894" max="5120" width="9" style="107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75" style="107" bestFit="1" customWidth="1"/>
    <col min="5129" max="5129" width="5" style="107" bestFit="1" customWidth="1"/>
    <col min="5130" max="5130" width="5.12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.25" style="107" bestFit="1" customWidth="1"/>
    <col min="5143" max="5143" width="26.625" style="107" bestFit="1" customWidth="1"/>
    <col min="5144" max="5144" width="8.25" style="107" bestFit="1" customWidth="1"/>
    <col min="5145" max="5146" width="26.75" style="107" bestFit="1" customWidth="1"/>
    <col min="5147" max="5147" width="9.875" style="107" bestFit="1" customWidth="1"/>
    <col min="5148" max="5148" width="8.625" style="107" bestFit="1" customWidth="1"/>
    <col min="5149" max="5149" width="8.875" style="107" bestFit="1" customWidth="1"/>
    <col min="5150" max="5376" width="9" style="107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75" style="107" bestFit="1" customWidth="1"/>
    <col min="5385" max="5385" width="5" style="107" bestFit="1" customWidth="1"/>
    <col min="5386" max="5386" width="5.12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.25" style="107" bestFit="1" customWidth="1"/>
    <col min="5399" max="5399" width="26.625" style="107" bestFit="1" customWidth="1"/>
    <col min="5400" max="5400" width="8.25" style="107" bestFit="1" customWidth="1"/>
    <col min="5401" max="5402" width="26.75" style="107" bestFit="1" customWidth="1"/>
    <col min="5403" max="5403" width="9.875" style="107" bestFit="1" customWidth="1"/>
    <col min="5404" max="5404" width="8.625" style="107" bestFit="1" customWidth="1"/>
    <col min="5405" max="5405" width="8.875" style="107" bestFit="1" customWidth="1"/>
    <col min="5406" max="5632" width="9" style="107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75" style="107" bestFit="1" customWidth="1"/>
    <col min="5641" max="5641" width="5" style="107" bestFit="1" customWidth="1"/>
    <col min="5642" max="5642" width="5.12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.25" style="107" bestFit="1" customWidth="1"/>
    <col min="5655" max="5655" width="26.625" style="107" bestFit="1" customWidth="1"/>
    <col min="5656" max="5656" width="8.25" style="107" bestFit="1" customWidth="1"/>
    <col min="5657" max="5658" width="26.75" style="107" bestFit="1" customWidth="1"/>
    <col min="5659" max="5659" width="9.875" style="107" bestFit="1" customWidth="1"/>
    <col min="5660" max="5660" width="8.625" style="107" bestFit="1" customWidth="1"/>
    <col min="5661" max="5661" width="8.875" style="107" bestFit="1" customWidth="1"/>
    <col min="5662" max="5888" width="9" style="107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75" style="107" bestFit="1" customWidth="1"/>
    <col min="5897" max="5897" width="5" style="107" bestFit="1" customWidth="1"/>
    <col min="5898" max="5898" width="5.12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.25" style="107" bestFit="1" customWidth="1"/>
    <col min="5911" max="5911" width="26.625" style="107" bestFit="1" customWidth="1"/>
    <col min="5912" max="5912" width="8.25" style="107" bestFit="1" customWidth="1"/>
    <col min="5913" max="5914" width="26.75" style="107" bestFit="1" customWidth="1"/>
    <col min="5915" max="5915" width="9.875" style="107" bestFit="1" customWidth="1"/>
    <col min="5916" max="5916" width="8.625" style="107" bestFit="1" customWidth="1"/>
    <col min="5917" max="5917" width="8.875" style="107" bestFit="1" customWidth="1"/>
    <col min="5918" max="6144" width="9" style="107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75" style="107" bestFit="1" customWidth="1"/>
    <col min="6153" max="6153" width="5" style="107" bestFit="1" customWidth="1"/>
    <col min="6154" max="6154" width="5.12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.25" style="107" bestFit="1" customWidth="1"/>
    <col min="6167" max="6167" width="26.625" style="107" bestFit="1" customWidth="1"/>
    <col min="6168" max="6168" width="8.25" style="107" bestFit="1" customWidth="1"/>
    <col min="6169" max="6170" width="26.75" style="107" bestFit="1" customWidth="1"/>
    <col min="6171" max="6171" width="9.875" style="107" bestFit="1" customWidth="1"/>
    <col min="6172" max="6172" width="8.625" style="107" bestFit="1" customWidth="1"/>
    <col min="6173" max="6173" width="8.875" style="107" bestFit="1" customWidth="1"/>
    <col min="6174" max="6400" width="9" style="107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75" style="107" bestFit="1" customWidth="1"/>
    <col min="6409" max="6409" width="5" style="107" bestFit="1" customWidth="1"/>
    <col min="6410" max="6410" width="5.12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.25" style="107" bestFit="1" customWidth="1"/>
    <col min="6423" max="6423" width="26.625" style="107" bestFit="1" customWidth="1"/>
    <col min="6424" max="6424" width="8.25" style="107" bestFit="1" customWidth="1"/>
    <col min="6425" max="6426" width="26.75" style="107" bestFit="1" customWidth="1"/>
    <col min="6427" max="6427" width="9.875" style="107" bestFit="1" customWidth="1"/>
    <col min="6428" max="6428" width="8.625" style="107" bestFit="1" customWidth="1"/>
    <col min="6429" max="6429" width="8.875" style="107" bestFit="1" customWidth="1"/>
    <col min="6430" max="6656" width="9" style="107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75" style="107" bestFit="1" customWidth="1"/>
    <col min="6665" max="6665" width="5" style="107" bestFit="1" customWidth="1"/>
    <col min="6666" max="6666" width="5.12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.25" style="107" bestFit="1" customWidth="1"/>
    <col min="6679" max="6679" width="26.625" style="107" bestFit="1" customWidth="1"/>
    <col min="6680" max="6680" width="8.25" style="107" bestFit="1" customWidth="1"/>
    <col min="6681" max="6682" width="26.75" style="107" bestFit="1" customWidth="1"/>
    <col min="6683" max="6683" width="9.875" style="107" bestFit="1" customWidth="1"/>
    <col min="6684" max="6684" width="8.625" style="107" bestFit="1" customWidth="1"/>
    <col min="6685" max="6685" width="8.875" style="107" bestFit="1" customWidth="1"/>
    <col min="6686" max="6912" width="9" style="107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75" style="107" bestFit="1" customWidth="1"/>
    <col min="6921" max="6921" width="5" style="107" bestFit="1" customWidth="1"/>
    <col min="6922" max="6922" width="5.12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.25" style="107" bestFit="1" customWidth="1"/>
    <col min="6935" max="6935" width="26.625" style="107" bestFit="1" customWidth="1"/>
    <col min="6936" max="6936" width="8.25" style="107" bestFit="1" customWidth="1"/>
    <col min="6937" max="6938" width="26.75" style="107" bestFit="1" customWidth="1"/>
    <col min="6939" max="6939" width="9.875" style="107" bestFit="1" customWidth="1"/>
    <col min="6940" max="6940" width="8.625" style="107" bestFit="1" customWidth="1"/>
    <col min="6941" max="6941" width="8.875" style="107" bestFit="1" customWidth="1"/>
    <col min="6942" max="7168" width="9" style="107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75" style="107" bestFit="1" customWidth="1"/>
    <col min="7177" max="7177" width="5" style="107" bestFit="1" customWidth="1"/>
    <col min="7178" max="7178" width="5.12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.25" style="107" bestFit="1" customWidth="1"/>
    <col min="7191" max="7191" width="26.625" style="107" bestFit="1" customWidth="1"/>
    <col min="7192" max="7192" width="8.25" style="107" bestFit="1" customWidth="1"/>
    <col min="7193" max="7194" width="26.75" style="107" bestFit="1" customWidth="1"/>
    <col min="7195" max="7195" width="9.875" style="107" bestFit="1" customWidth="1"/>
    <col min="7196" max="7196" width="8.625" style="107" bestFit="1" customWidth="1"/>
    <col min="7197" max="7197" width="8.875" style="107" bestFit="1" customWidth="1"/>
    <col min="7198" max="7424" width="9" style="107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75" style="107" bestFit="1" customWidth="1"/>
    <col min="7433" max="7433" width="5" style="107" bestFit="1" customWidth="1"/>
    <col min="7434" max="7434" width="5.12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.25" style="107" bestFit="1" customWidth="1"/>
    <col min="7447" max="7447" width="26.625" style="107" bestFit="1" customWidth="1"/>
    <col min="7448" max="7448" width="8.25" style="107" bestFit="1" customWidth="1"/>
    <col min="7449" max="7450" width="26.75" style="107" bestFit="1" customWidth="1"/>
    <col min="7451" max="7451" width="9.875" style="107" bestFit="1" customWidth="1"/>
    <col min="7452" max="7452" width="8.625" style="107" bestFit="1" customWidth="1"/>
    <col min="7453" max="7453" width="8.875" style="107" bestFit="1" customWidth="1"/>
    <col min="7454" max="7680" width="9" style="107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75" style="107" bestFit="1" customWidth="1"/>
    <col min="7689" max="7689" width="5" style="107" bestFit="1" customWidth="1"/>
    <col min="7690" max="7690" width="5.12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.25" style="107" bestFit="1" customWidth="1"/>
    <col min="7703" max="7703" width="26.625" style="107" bestFit="1" customWidth="1"/>
    <col min="7704" max="7704" width="8.25" style="107" bestFit="1" customWidth="1"/>
    <col min="7705" max="7706" width="26.75" style="107" bestFit="1" customWidth="1"/>
    <col min="7707" max="7707" width="9.875" style="107" bestFit="1" customWidth="1"/>
    <col min="7708" max="7708" width="8.625" style="107" bestFit="1" customWidth="1"/>
    <col min="7709" max="7709" width="8.875" style="107" bestFit="1" customWidth="1"/>
    <col min="7710" max="7936" width="9" style="107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75" style="107" bestFit="1" customWidth="1"/>
    <col min="7945" max="7945" width="5" style="107" bestFit="1" customWidth="1"/>
    <col min="7946" max="7946" width="5.12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.25" style="107" bestFit="1" customWidth="1"/>
    <col min="7959" max="7959" width="26.625" style="107" bestFit="1" customWidth="1"/>
    <col min="7960" max="7960" width="8.25" style="107" bestFit="1" customWidth="1"/>
    <col min="7961" max="7962" width="26.75" style="107" bestFit="1" customWidth="1"/>
    <col min="7963" max="7963" width="9.875" style="107" bestFit="1" customWidth="1"/>
    <col min="7964" max="7964" width="8.625" style="107" bestFit="1" customWidth="1"/>
    <col min="7965" max="7965" width="8.875" style="107" bestFit="1" customWidth="1"/>
    <col min="7966" max="8192" width="9" style="107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75" style="107" bestFit="1" customWidth="1"/>
    <col min="8201" max="8201" width="5" style="107" bestFit="1" customWidth="1"/>
    <col min="8202" max="8202" width="5.12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.25" style="107" bestFit="1" customWidth="1"/>
    <col min="8215" max="8215" width="26.625" style="107" bestFit="1" customWidth="1"/>
    <col min="8216" max="8216" width="8.25" style="107" bestFit="1" customWidth="1"/>
    <col min="8217" max="8218" width="26.75" style="107" bestFit="1" customWidth="1"/>
    <col min="8219" max="8219" width="9.875" style="107" bestFit="1" customWidth="1"/>
    <col min="8220" max="8220" width="8.625" style="107" bestFit="1" customWidth="1"/>
    <col min="8221" max="8221" width="8.875" style="107" bestFit="1" customWidth="1"/>
    <col min="8222" max="8448" width="9" style="107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75" style="107" bestFit="1" customWidth="1"/>
    <col min="8457" max="8457" width="5" style="107" bestFit="1" customWidth="1"/>
    <col min="8458" max="8458" width="5.12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.25" style="107" bestFit="1" customWidth="1"/>
    <col min="8471" max="8471" width="26.625" style="107" bestFit="1" customWidth="1"/>
    <col min="8472" max="8472" width="8.25" style="107" bestFit="1" customWidth="1"/>
    <col min="8473" max="8474" width="26.75" style="107" bestFit="1" customWidth="1"/>
    <col min="8475" max="8475" width="9.875" style="107" bestFit="1" customWidth="1"/>
    <col min="8476" max="8476" width="8.625" style="107" bestFit="1" customWidth="1"/>
    <col min="8477" max="8477" width="8.875" style="107" bestFit="1" customWidth="1"/>
    <col min="8478" max="8704" width="9" style="107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75" style="107" bestFit="1" customWidth="1"/>
    <col min="8713" max="8713" width="5" style="107" bestFit="1" customWidth="1"/>
    <col min="8714" max="8714" width="5.12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.25" style="107" bestFit="1" customWidth="1"/>
    <col min="8727" max="8727" width="26.625" style="107" bestFit="1" customWidth="1"/>
    <col min="8728" max="8728" width="8.25" style="107" bestFit="1" customWidth="1"/>
    <col min="8729" max="8730" width="26.75" style="107" bestFit="1" customWidth="1"/>
    <col min="8731" max="8731" width="9.875" style="107" bestFit="1" customWidth="1"/>
    <col min="8732" max="8732" width="8.625" style="107" bestFit="1" customWidth="1"/>
    <col min="8733" max="8733" width="8.875" style="107" bestFit="1" customWidth="1"/>
    <col min="8734" max="8960" width="9" style="107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75" style="107" bestFit="1" customWidth="1"/>
    <col min="8969" max="8969" width="5" style="107" bestFit="1" customWidth="1"/>
    <col min="8970" max="8970" width="5.12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.25" style="107" bestFit="1" customWidth="1"/>
    <col min="8983" max="8983" width="26.625" style="107" bestFit="1" customWidth="1"/>
    <col min="8984" max="8984" width="8.25" style="107" bestFit="1" customWidth="1"/>
    <col min="8985" max="8986" width="26.75" style="107" bestFit="1" customWidth="1"/>
    <col min="8987" max="8987" width="9.875" style="107" bestFit="1" customWidth="1"/>
    <col min="8988" max="8988" width="8.625" style="107" bestFit="1" customWidth="1"/>
    <col min="8989" max="8989" width="8.875" style="107" bestFit="1" customWidth="1"/>
    <col min="8990" max="9216" width="9" style="107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75" style="107" bestFit="1" customWidth="1"/>
    <col min="9225" max="9225" width="5" style="107" bestFit="1" customWidth="1"/>
    <col min="9226" max="9226" width="5.12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.25" style="107" bestFit="1" customWidth="1"/>
    <col min="9239" max="9239" width="26.625" style="107" bestFit="1" customWidth="1"/>
    <col min="9240" max="9240" width="8.25" style="107" bestFit="1" customWidth="1"/>
    <col min="9241" max="9242" width="26.75" style="107" bestFit="1" customWidth="1"/>
    <col min="9243" max="9243" width="9.875" style="107" bestFit="1" customWidth="1"/>
    <col min="9244" max="9244" width="8.625" style="107" bestFit="1" customWidth="1"/>
    <col min="9245" max="9245" width="8.875" style="107" bestFit="1" customWidth="1"/>
    <col min="9246" max="9472" width="9" style="107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75" style="107" bestFit="1" customWidth="1"/>
    <col min="9481" max="9481" width="5" style="107" bestFit="1" customWidth="1"/>
    <col min="9482" max="9482" width="5.12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.25" style="107" bestFit="1" customWidth="1"/>
    <col min="9495" max="9495" width="26.625" style="107" bestFit="1" customWidth="1"/>
    <col min="9496" max="9496" width="8.25" style="107" bestFit="1" customWidth="1"/>
    <col min="9497" max="9498" width="26.75" style="107" bestFit="1" customWidth="1"/>
    <col min="9499" max="9499" width="9.875" style="107" bestFit="1" customWidth="1"/>
    <col min="9500" max="9500" width="8.625" style="107" bestFit="1" customWidth="1"/>
    <col min="9501" max="9501" width="8.875" style="107" bestFit="1" customWidth="1"/>
    <col min="9502" max="9728" width="9" style="107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75" style="107" bestFit="1" customWidth="1"/>
    <col min="9737" max="9737" width="5" style="107" bestFit="1" customWidth="1"/>
    <col min="9738" max="9738" width="5.12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.25" style="107" bestFit="1" customWidth="1"/>
    <col min="9751" max="9751" width="26.625" style="107" bestFit="1" customWidth="1"/>
    <col min="9752" max="9752" width="8.25" style="107" bestFit="1" customWidth="1"/>
    <col min="9753" max="9754" width="26.75" style="107" bestFit="1" customWidth="1"/>
    <col min="9755" max="9755" width="9.875" style="107" bestFit="1" customWidth="1"/>
    <col min="9756" max="9756" width="8.625" style="107" bestFit="1" customWidth="1"/>
    <col min="9757" max="9757" width="8.875" style="107" bestFit="1" customWidth="1"/>
    <col min="9758" max="9984" width="9" style="107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75" style="107" bestFit="1" customWidth="1"/>
    <col min="9993" max="9993" width="5" style="107" bestFit="1" customWidth="1"/>
    <col min="9994" max="9994" width="5.12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.25" style="107" bestFit="1" customWidth="1"/>
    <col min="10007" max="10007" width="26.625" style="107" bestFit="1" customWidth="1"/>
    <col min="10008" max="10008" width="8.25" style="107" bestFit="1" customWidth="1"/>
    <col min="10009" max="10010" width="26.75" style="107" bestFit="1" customWidth="1"/>
    <col min="10011" max="10011" width="9.875" style="107" bestFit="1" customWidth="1"/>
    <col min="10012" max="10012" width="8.625" style="107" bestFit="1" customWidth="1"/>
    <col min="10013" max="10013" width="8.875" style="107" bestFit="1" customWidth="1"/>
    <col min="10014" max="10240" width="9" style="107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75" style="107" bestFit="1" customWidth="1"/>
    <col min="10249" max="10249" width="5" style="107" bestFit="1" customWidth="1"/>
    <col min="10250" max="10250" width="5.12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.25" style="107" bestFit="1" customWidth="1"/>
    <col min="10263" max="10263" width="26.625" style="107" bestFit="1" customWidth="1"/>
    <col min="10264" max="10264" width="8.25" style="107" bestFit="1" customWidth="1"/>
    <col min="10265" max="10266" width="26.75" style="107" bestFit="1" customWidth="1"/>
    <col min="10267" max="10267" width="9.875" style="107" bestFit="1" customWidth="1"/>
    <col min="10268" max="10268" width="8.625" style="107" bestFit="1" customWidth="1"/>
    <col min="10269" max="10269" width="8.875" style="107" bestFit="1" customWidth="1"/>
    <col min="10270" max="10496" width="9" style="107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75" style="107" bestFit="1" customWidth="1"/>
    <col min="10505" max="10505" width="5" style="107" bestFit="1" customWidth="1"/>
    <col min="10506" max="10506" width="5.12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.25" style="107" bestFit="1" customWidth="1"/>
    <col min="10519" max="10519" width="26.625" style="107" bestFit="1" customWidth="1"/>
    <col min="10520" max="10520" width="8.25" style="107" bestFit="1" customWidth="1"/>
    <col min="10521" max="10522" width="26.75" style="107" bestFit="1" customWidth="1"/>
    <col min="10523" max="10523" width="9.875" style="107" bestFit="1" customWidth="1"/>
    <col min="10524" max="10524" width="8.625" style="107" bestFit="1" customWidth="1"/>
    <col min="10525" max="10525" width="8.875" style="107" bestFit="1" customWidth="1"/>
    <col min="10526" max="10752" width="9" style="107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75" style="107" bestFit="1" customWidth="1"/>
    <col min="10761" max="10761" width="5" style="107" bestFit="1" customWidth="1"/>
    <col min="10762" max="10762" width="5.12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.25" style="107" bestFit="1" customWidth="1"/>
    <col min="10775" max="10775" width="26.625" style="107" bestFit="1" customWidth="1"/>
    <col min="10776" max="10776" width="8.25" style="107" bestFit="1" customWidth="1"/>
    <col min="10777" max="10778" width="26.75" style="107" bestFit="1" customWidth="1"/>
    <col min="10779" max="10779" width="9.875" style="107" bestFit="1" customWidth="1"/>
    <col min="10780" max="10780" width="8.625" style="107" bestFit="1" customWidth="1"/>
    <col min="10781" max="10781" width="8.875" style="107" bestFit="1" customWidth="1"/>
    <col min="10782" max="11008" width="9" style="107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75" style="107" bestFit="1" customWidth="1"/>
    <col min="11017" max="11017" width="5" style="107" bestFit="1" customWidth="1"/>
    <col min="11018" max="11018" width="5.12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.25" style="107" bestFit="1" customWidth="1"/>
    <col min="11031" max="11031" width="26.625" style="107" bestFit="1" customWidth="1"/>
    <col min="11032" max="11032" width="8.25" style="107" bestFit="1" customWidth="1"/>
    <col min="11033" max="11034" width="26.75" style="107" bestFit="1" customWidth="1"/>
    <col min="11035" max="11035" width="9.875" style="107" bestFit="1" customWidth="1"/>
    <col min="11036" max="11036" width="8.625" style="107" bestFit="1" customWidth="1"/>
    <col min="11037" max="11037" width="8.875" style="107" bestFit="1" customWidth="1"/>
    <col min="11038" max="11264" width="9" style="107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75" style="107" bestFit="1" customWidth="1"/>
    <col min="11273" max="11273" width="5" style="107" bestFit="1" customWidth="1"/>
    <col min="11274" max="11274" width="5.12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.25" style="107" bestFit="1" customWidth="1"/>
    <col min="11287" max="11287" width="26.625" style="107" bestFit="1" customWidth="1"/>
    <col min="11288" max="11288" width="8.25" style="107" bestFit="1" customWidth="1"/>
    <col min="11289" max="11290" width="26.75" style="107" bestFit="1" customWidth="1"/>
    <col min="11291" max="11291" width="9.875" style="107" bestFit="1" customWidth="1"/>
    <col min="11292" max="11292" width="8.625" style="107" bestFit="1" customWidth="1"/>
    <col min="11293" max="11293" width="8.875" style="107" bestFit="1" customWidth="1"/>
    <col min="11294" max="11520" width="9" style="107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75" style="107" bestFit="1" customWidth="1"/>
    <col min="11529" max="11529" width="5" style="107" bestFit="1" customWidth="1"/>
    <col min="11530" max="11530" width="5.12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.25" style="107" bestFit="1" customWidth="1"/>
    <col min="11543" max="11543" width="26.625" style="107" bestFit="1" customWidth="1"/>
    <col min="11544" max="11544" width="8.25" style="107" bestFit="1" customWidth="1"/>
    <col min="11545" max="11546" width="26.75" style="107" bestFit="1" customWidth="1"/>
    <col min="11547" max="11547" width="9.875" style="107" bestFit="1" customWidth="1"/>
    <col min="11548" max="11548" width="8.625" style="107" bestFit="1" customWidth="1"/>
    <col min="11549" max="11549" width="8.875" style="107" bestFit="1" customWidth="1"/>
    <col min="11550" max="11776" width="9" style="107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75" style="107" bestFit="1" customWidth="1"/>
    <col min="11785" max="11785" width="5" style="107" bestFit="1" customWidth="1"/>
    <col min="11786" max="11786" width="5.12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.25" style="107" bestFit="1" customWidth="1"/>
    <col min="11799" max="11799" width="26.625" style="107" bestFit="1" customWidth="1"/>
    <col min="11800" max="11800" width="8.25" style="107" bestFit="1" customWidth="1"/>
    <col min="11801" max="11802" width="26.75" style="107" bestFit="1" customWidth="1"/>
    <col min="11803" max="11803" width="9.875" style="107" bestFit="1" customWidth="1"/>
    <col min="11804" max="11804" width="8.625" style="107" bestFit="1" customWidth="1"/>
    <col min="11805" max="11805" width="8.875" style="107" bestFit="1" customWidth="1"/>
    <col min="11806" max="12032" width="9" style="107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75" style="107" bestFit="1" customWidth="1"/>
    <col min="12041" max="12041" width="5" style="107" bestFit="1" customWidth="1"/>
    <col min="12042" max="12042" width="5.12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.25" style="107" bestFit="1" customWidth="1"/>
    <col min="12055" max="12055" width="26.625" style="107" bestFit="1" customWidth="1"/>
    <col min="12056" max="12056" width="8.25" style="107" bestFit="1" customWidth="1"/>
    <col min="12057" max="12058" width="26.75" style="107" bestFit="1" customWidth="1"/>
    <col min="12059" max="12059" width="9.875" style="107" bestFit="1" customWidth="1"/>
    <col min="12060" max="12060" width="8.625" style="107" bestFit="1" customWidth="1"/>
    <col min="12061" max="12061" width="8.875" style="107" bestFit="1" customWidth="1"/>
    <col min="12062" max="12288" width="9" style="107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75" style="107" bestFit="1" customWidth="1"/>
    <col min="12297" max="12297" width="5" style="107" bestFit="1" customWidth="1"/>
    <col min="12298" max="12298" width="5.12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.25" style="107" bestFit="1" customWidth="1"/>
    <col min="12311" max="12311" width="26.625" style="107" bestFit="1" customWidth="1"/>
    <col min="12312" max="12312" width="8.25" style="107" bestFit="1" customWidth="1"/>
    <col min="12313" max="12314" width="26.75" style="107" bestFit="1" customWidth="1"/>
    <col min="12315" max="12315" width="9.875" style="107" bestFit="1" customWidth="1"/>
    <col min="12316" max="12316" width="8.625" style="107" bestFit="1" customWidth="1"/>
    <col min="12317" max="12317" width="8.875" style="107" bestFit="1" customWidth="1"/>
    <col min="12318" max="12544" width="9" style="107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75" style="107" bestFit="1" customWidth="1"/>
    <col min="12553" max="12553" width="5" style="107" bestFit="1" customWidth="1"/>
    <col min="12554" max="12554" width="5.12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.25" style="107" bestFit="1" customWidth="1"/>
    <col min="12567" max="12567" width="26.625" style="107" bestFit="1" customWidth="1"/>
    <col min="12568" max="12568" width="8.25" style="107" bestFit="1" customWidth="1"/>
    <col min="12569" max="12570" width="26.75" style="107" bestFit="1" customWidth="1"/>
    <col min="12571" max="12571" width="9.875" style="107" bestFit="1" customWidth="1"/>
    <col min="12572" max="12572" width="8.625" style="107" bestFit="1" customWidth="1"/>
    <col min="12573" max="12573" width="8.875" style="107" bestFit="1" customWidth="1"/>
    <col min="12574" max="12800" width="9" style="107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75" style="107" bestFit="1" customWidth="1"/>
    <col min="12809" max="12809" width="5" style="107" bestFit="1" customWidth="1"/>
    <col min="12810" max="12810" width="5.12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.25" style="107" bestFit="1" customWidth="1"/>
    <col min="12823" max="12823" width="26.625" style="107" bestFit="1" customWidth="1"/>
    <col min="12824" max="12824" width="8.25" style="107" bestFit="1" customWidth="1"/>
    <col min="12825" max="12826" width="26.75" style="107" bestFit="1" customWidth="1"/>
    <col min="12827" max="12827" width="9.875" style="107" bestFit="1" customWidth="1"/>
    <col min="12828" max="12828" width="8.625" style="107" bestFit="1" customWidth="1"/>
    <col min="12829" max="12829" width="8.875" style="107" bestFit="1" customWidth="1"/>
    <col min="12830" max="13056" width="9" style="107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75" style="107" bestFit="1" customWidth="1"/>
    <col min="13065" max="13065" width="5" style="107" bestFit="1" customWidth="1"/>
    <col min="13066" max="13066" width="5.12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.25" style="107" bestFit="1" customWidth="1"/>
    <col min="13079" max="13079" width="26.625" style="107" bestFit="1" customWidth="1"/>
    <col min="13080" max="13080" width="8.25" style="107" bestFit="1" customWidth="1"/>
    <col min="13081" max="13082" width="26.75" style="107" bestFit="1" customWidth="1"/>
    <col min="13083" max="13083" width="9.875" style="107" bestFit="1" customWidth="1"/>
    <col min="13084" max="13084" width="8.625" style="107" bestFit="1" customWidth="1"/>
    <col min="13085" max="13085" width="8.875" style="107" bestFit="1" customWidth="1"/>
    <col min="13086" max="13312" width="9" style="107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75" style="107" bestFit="1" customWidth="1"/>
    <col min="13321" max="13321" width="5" style="107" bestFit="1" customWidth="1"/>
    <col min="13322" max="13322" width="5.12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.25" style="107" bestFit="1" customWidth="1"/>
    <col min="13335" max="13335" width="26.625" style="107" bestFit="1" customWidth="1"/>
    <col min="13336" max="13336" width="8.25" style="107" bestFit="1" customWidth="1"/>
    <col min="13337" max="13338" width="26.75" style="107" bestFit="1" customWidth="1"/>
    <col min="13339" max="13339" width="9.875" style="107" bestFit="1" customWidth="1"/>
    <col min="13340" max="13340" width="8.625" style="107" bestFit="1" customWidth="1"/>
    <col min="13341" max="13341" width="8.875" style="107" bestFit="1" customWidth="1"/>
    <col min="13342" max="13568" width="9" style="107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75" style="107" bestFit="1" customWidth="1"/>
    <col min="13577" max="13577" width="5" style="107" bestFit="1" customWidth="1"/>
    <col min="13578" max="13578" width="5.12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.25" style="107" bestFit="1" customWidth="1"/>
    <col min="13591" max="13591" width="26.625" style="107" bestFit="1" customWidth="1"/>
    <col min="13592" max="13592" width="8.25" style="107" bestFit="1" customWidth="1"/>
    <col min="13593" max="13594" width="26.75" style="107" bestFit="1" customWidth="1"/>
    <col min="13595" max="13595" width="9.875" style="107" bestFit="1" customWidth="1"/>
    <col min="13596" max="13596" width="8.625" style="107" bestFit="1" customWidth="1"/>
    <col min="13597" max="13597" width="8.875" style="107" bestFit="1" customWidth="1"/>
    <col min="13598" max="13824" width="9" style="107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75" style="107" bestFit="1" customWidth="1"/>
    <col min="13833" max="13833" width="5" style="107" bestFit="1" customWidth="1"/>
    <col min="13834" max="13834" width="5.12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.25" style="107" bestFit="1" customWidth="1"/>
    <col min="13847" max="13847" width="26.625" style="107" bestFit="1" customWidth="1"/>
    <col min="13848" max="13848" width="8.25" style="107" bestFit="1" customWidth="1"/>
    <col min="13849" max="13850" width="26.75" style="107" bestFit="1" customWidth="1"/>
    <col min="13851" max="13851" width="9.875" style="107" bestFit="1" customWidth="1"/>
    <col min="13852" max="13852" width="8.625" style="107" bestFit="1" customWidth="1"/>
    <col min="13853" max="13853" width="8.875" style="107" bestFit="1" customWidth="1"/>
    <col min="13854" max="14080" width="9" style="107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75" style="107" bestFit="1" customWidth="1"/>
    <col min="14089" max="14089" width="5" style="107" bestFit="1" customWidth="1"/>
    <col min="14090" max="14090" width="5.12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.25" style="107" bestFit="1" customWidth="1"/>
    <col min="14103" max="14103" width="26.625" style="107" bestFit="1" customWidth="1"/>
    <col min="14104" max="14104" width="8.25" style="107" bestFit="1" customWidth="1"/>
    <col min="14105" max="14106" width="26.75" style="107" bestFit="1" customWidth="1"/>
    <col min="14107" max="14107" width="9.875" style="107" bestFit="1" customWidth="1"/>
    <col min="14108" max="14108" width="8.625" style="107" bestFit="1" customWidth="1"/>
    <col min="14109" max="14109" width="8.875" style="107" bestFit="1" customWidth="1"/>
    <col min="14110" max="14336" width="9" style="107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75" style="107" bestFit="1" customWidth="1"/>
    <col min="14345" max="14345" width="5" style="107" bestFit="1" customWidth="1"/>
    <col min="14346" max="14346" width="5.12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.25" style="107" bestFit="1" customWidth="1"/>
    <col min="14359" max="14359" width="26.625" style="107" bestFit="1" customWidth="1"/>
    <col min="14360" max="14360" width="8.25" style="107" bestFit="1" customWidth="1"/>
    <col min="14361" max="14362" width="26.75" style="107" bestFit="1" customWidth="1"/>
    <col min="14363" max="14363" width="9.875" style="107" bestFit="1" customWidth="1"/>
    <col min="14364" max="14364" width="8.625" style="107" bestFit="1" customWidth="1"/>
    <col min="14365" max="14365" width="8.875" style="107" bestFit="1" customWidth="1"/>
    <col min="14366" max="14592" width="9" style="107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75" style="107" bestFit="1" customWidth="1"/>
    <col min="14601" max="14601" width="5" style="107" bestFit="1" customWidth="1"/>
    <col min="14602" max="14602" width="5.12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.25" style="107" bestFit="1" customWidth="1"/>
    <col min="14615" max="14615" width="26.625" style="107" bestFit="1" customWidth="1"/>
    <col min="14616" max="14616" width="8.25" style="107" bestFit="1" customWidth="1"/>
    <col min="14617" max="14618" width="26.75" style="107" bestFit="1" customWidth="1"/>
    <col min="14619" max="14619" width="9.875" style="107" bestFit="1" customWidth="1"/>
    <col min="14620" max="14620" width="8.625" style="107" bestFit="1" customWidth="1"/>
    <col min="14621" max="14621" width="8.875" style="107" bestFit="1" customWidth="1"/>
    <col min="14622" max="14848" width="9" style="107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75" style="107" bestFit="1" customWidth="1"/>
    <col min="14857" max="14857" width="5" style="107" bestFit="1" customWidth="1"/>
    <col min="14858" max="14858" width="5.12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.25" style="107" bestFit="1" customWidth="1"/>
    <col min="14871" max="14871" width="26.625" style="107" bestFit="1" customWidth="1"/>
    <col min="14872" max="14872" width="8.25" style="107" bestFit="1" customWidth="1"/>
    <col min="14873" max="14874" width="26.75" style="107" bestFit="1" customWidth="1"/>
    <col min="14875" max="14875" width="9.875" style="107" bestFit="1" customWidth="1"/>
    <col min="14876" max="14876" width="8.625" style="107" bestFit="1" customWidth="1"/>
    <col min="14877" max="14877" width="8.875" style="107" bestFit="1" customWidth="1"/>
    <col min="14878" max="15104" width="9" style="107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75" style="107" bestFit="1" customWidth="1"/>
    <col min="15113" max="15113" width="5" style="107" bestFit="1" customWidth="1"/>
    <col min="15114" max="15114" width="5.12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.25" style="107" bestFit="1" customWidth="1"/>
    <col min="15127" max="15127" width="26.625" style="107" bestFit="1" customWidth="1"/>
    <col min="15128" max="15128" width="8.25" style="107" bestFit="1" customWidth="1"/>
    <col min="15129" max="15130" width="26.75" style="107" bestFit="1" customWidth="1"/>
    <col min="15131" max="15131" width="9.875" style="107" bestFit="1" customWidth="1"/>
    <col min="15132" max="15132" width="8.625" style="107" bestFit="1" customWidth="1"/>
    <col min="15133" max="15133" width="8.875" style="107" bestFit="1" customWidth="1"/>
    <col min="15134" max="15360" width="9" style="107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75" style="107" bestFit="1" customWidth="1"/>
    <col min="15369" max="15369" width="5" style="107" bestFit="1" customWidth="1"/>
    <col min="15370" max="15370" width="5.12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.25" style="107" bestFit="1" customWidth="1"/>
    <col min="15383" max="15383" width="26.625" style="107" bestFit="1" customWidth="1"/>
    <col min="15384" max="15384" width="8.25" style="107" bestFit="1" customWidth="1"/>
    <col min="15385" max="15386" width="26.75" style="107" bestFit="1" customWidth="1"/>
    <col min="15387" max="15387" width="9.875" style="107" bestFit="1" customWidth="1"/>
    <col min="15388" max="15388" width="8.625" style="107" bestFit="1" customWidth="1"/>
    <col min="15389" max="15389" width="8.875" style="107" bestFit="1" customWidth="1"/>
    <col min="15390" max="15616" width="9" style="107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75" style="107" bestFit="1" customWidth="1"/>
    <col min="15625" max="15625" width="5" style="107" bestFit="1" customWidth="1"/>
    <col min="15626" max="15626" width="5.12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.25" style="107" bestFit="1" customWidth="1"/>
    <col min="15639" max="15639" width="26.625" style="107" bestFit="1" customWidth="1"/>
    <col min="15640" max="15640" width="8.25" style="107" bestFit="1" customWidth="1"/>
    <col min="15641" max="15642" width="26.75" style="107" bestFit="1" customWidth="1"/>
    <col min="15643" max="15643" width="9.875" style="107" bestFit="1" customWidth="1"/>
    <col min="15644" max="15644" width="8.625" style="107" bestFit="1" customWidth="1"/>
    <col min="15645" max="15645" width="8.875" style="107" bestFit="1" customWidth="1"/>
    <col min="15646" max="15872" width="9" style="107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75" style="107" bestFit="1" customWidth="1"/>
    <col min="15881" max="15881" width="5" style="107" bestFit="1" customWidth="1"/>
    <col min="15882" max="15882" width="5.12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.25" style="107" bestFit="1" customWidth="1"/>
    <col min="15895" max="15895" width="26.625" style="107" bestFit="1" customWidth="1"/>
    <col min="15896" max="15896" width="8.25" style="107" bestFit="1" customWidth="1"/>
    <col min="15897" max="15898" width="26.75" style="107" bestFit="1" customWidth="1"/>
    <col min="15899" max="15899" width="9.875" style="107" bestFit="1" customWidth="1"/>
    <col min="15900" max="15900" width="8.625" style="107" bestFit="1" customWidth="1"/>
    <col min="15901" max="15901" width="8.875" style="107" bestFit="1" customWidth="1"/>
    <col min="15902" max="16128" width="9" style="107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75" style="107" bestFit="1" customWidth="1"/>
    <col min="16137" max="16137" width="5" style="107" bestFit="1" customWidth="1"/>
    <col min="16138" max="16138" width="5.12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.25" style="107" bestFit="1" customWidth="1"/>
    <col min="16151" max="16151" width="26.625" style="107" bestFit="1" customWidth="1"/>
    <col min="16152" max="16152" width="8.25" style="107" bestFit="1" customWidth="1"/>
    <col min="16153" max="16154" width="26.75" style="107" bestFit="1" customWidth="1"/>
    <col min="16155" max="16155" width="9.875" style="107" bestFit="1" customWidth="1"/>
    <col min="16156" max="16156" width="8.625" style="107" bestFit="1" customWidth="1"/>
    <col min="16157" max="16157" width="8.875" style="107" bestFit="1" customWidth="1"/>
    <col min="16158" max="16384" width="9" style="107"/>
  </cols>
  <sheetData>
    <row r="1" spans="1:29" ht="12" customHeight="1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249</v>
      </c>
      <c r="AB1" s="106" t="s">
        <v>259</v>
      </c>
      <c r="AC1" s="106" t="s">
        <v>260</v>
      </c>
    </row>
    <row r="2" spans="1:29" ht="12" customHeight="1" x14ac:dyDescent="0.2">
      <c r="A2" s="96" t="s">
        <v>325</v>
      </c>
      <c r="B2" s="98" t="s">
        <v>318</v>
      </c>
      <c r="C2" s="96" t="s">
        <v>333</v>
      </c>
      <c r="D2" s="96" t="s">
        <v>334</v>
      </c>
      <c r="E2" s="96" t="s">
        <v>28</v>
      </c>
      <c r="F2" s="96" t="s">
        <v>22</v>
      </c>
      <c r="G2" s="96" t="s">
        <v>335</v>
      </c>
      <c r="H2" s="96" t="s">
        <v>335</v>
      </c>
      <c r="I2" s="96" t="s">
        <v>336</v>
      </c>
      <c r="J2" s="96" t="s">
        <v>336</v>
      </c>
      <c r="K2" s="96" t="s">
        <v>23</v>
      </c>
      <c r="L2" s="96" t="s">
        <v>277</v>
      </c>
      <c r="M2" s="96" t="s">
        <v>24</v>
      </c>
      <c r="N2" s="96" t="s">
        <v>115</v>
      </c>
      <c r="O2" s="96" t="s">
        <v>500</v>
      </c>
      <c r="P2" s="96" t="s">
        <v>26</v>
      </c>
      <c r="Q2" s="96" t="s">
        <v>329</v>
      </c>
      <c r="R2" s="96" t="s">
        <v>27</v>
      </c>
      <c r="S2" s="96" t="s">
        <v>27</v>
      </c>
      <c r="T2" s="96" t="s">
        <v>501</v>
      </c>
      <c r="U2" s="97"/>
      <c r="V2" s="96" t="s">
        <v>502</v>
      </c>
      <c r="W2" s="96" t="s">
        <v>503</v>
      </c>
      <c r="X2" s="96" t="s">
        <v>231</v>
      </c>
      <c r="Y2" s="96" t="s">
        <v>339</v>
      </c>
      <c r="Z2" s="96" t="s">
        <v>339</v>
      </c>
      <c r="AA2" s="97">
        <v>21189</v>
      </c>
      <c r="AB2" s="96" t="s">
        <v>115</v>
      </c>
      <c r="AC2" s="96" t="s">
        <v>504</v>
      </c>
    </row>
    <row r="3" spans="1:29" ht="12" customHeight="1" x14ac:dyDescent="0.2">
      <c r="A3" s="96" t="s">
        <v>340</v>
      </c>
      <c r="B3" s="98" t="s">
        <v>318</v>
      </c>
      <c r="C3" s="96" t="s">
        <v>333</v>
      </c>
      <c r="D3" s="96" t="s">
        <v>334</v>
      </c>
      <c r="E3" s="96" t="s">
        <v>21</v>
      </c>
      <c r="F3" s="96" t="s">
        <v>22</v>
      </c>
      <c r="G3" s="96" t="s">
        <v>335</v>
      </c>
      <c r="H3" s="96" t="s">
        <v>335</v>
      </c>
      <c r="I3" s="96" t="s">
        <v>345</v>
      </c>
      <c r="J3" s="96" t="s">
        <v>345</v>
      </c>
      <c r="K3" s="96" t="s">
        <v>23</v>
      </c>
      <c r="L3" s="96" t="s">
        <v>294</v>
      </c>
      <c r="M3" s="96" t="s">
        <v>24</v>
      </c>
      <c r="N3" s="96" t="s">
        <v>115</v>
      </c>
      <c r="O3" s="96" t="s">
        <v>500</v>
      </c>
      <c r="P3" s="96" t="s">
        <v>26</v>
      </c>
      <c r="Q3" s="96" t="s">
        <v>342</v>
      </c>
      <c r="R3" s="96" t="s">
        <v>27</v>
      </c>
      <c r="S3" s="96" t="s">
        <v>27</v>
      </c>
      <c r="T3" s="96" t="s">
        <v>501</v>
      </c>
      <c r="U3" s="97"/>
      <c r="V3" s="96" t="s">
        <v>505</v>
      </c>
      <c r="W3" s="96" t="s">
        <v>506</v>
      </c>
      <c r="X3" s="96" t="s">
        <v>231</v>
      </c>
      <c r="Y3" s="96" t="s">
        <v>348</v>
      </c>
      <c r="Z3" s="96" t="s">
        <v>348</v>
      </c>
      <c r="AA3" s="97">
        <v>7825.32</v>
      </c>
      <c r="AB3" s="96" t="s">
        <v>115</v>
      </c>
      <c r="AC3" s="96" t="s">
        <v>507</v>
      </c>
    </row>
    <row r="4" spans="1:29" ht="12" customHeight="1" x14ac:dyDescent="0.2">
      <c r="A4" s="96" t="s">
        <v>349</v>
      </c>
      <c r="B4" s="98" t="s">
        <v>318</v>
      </c>
      <c r="C4" s="96" t="s">
        <v>333</v>
      </c>
      <c r="D4" s="96" t="s">
        <v>334</v>
      </c>
      <c r="E4" s="96" t="s">
        <v>21</v>
      </c>
      <c r="F4" s="96" t="s">
        <v>22</v>
      </c>
      <c r="G4" s="96" t="s">
        <v>335</v>
      </c>
      <c r="H4" s="96" t="s">
        <v>335</v>
      </c>
      <c r="I4" s="96" t="s">
        <v>354</v>
      </c>
      <c r="J4" s="96" t="s">
        <v>354</v>
      </c>
      <c r="K4" s="96" t="s">
        <v>23</v>
      </c>
      <c r="L4" s="96" t="s">
        <v>294</v>
      </c>
      <c r="M4" s="96" t="s">
        <v>24</v>
      </c>
      <c r="N4" s="96" t="s">
        <v>115</v>
      </c>
      <c r="O4" s="96" t="s">
        <v>500</v>
      </c>
      <c r="P4" s="96" t="s">
        <v>26</v>
      </c>
      <c r="Q4" s="96" t="s">
        <v>352</v>
      </c>
      <c r="R4" s="96" t="s">
        <v>27</v>
      </c>
      <c r="S4" s="96" t="s">
        <v>27</v>
      </c>
      <c r="T4" s="96" t="s">
        <v>501</v>
      </c>
      <c r="U4" s="97"/>
      <c r="V4" s="96" t="s">
        <v>295</v>
      </c>
      <c r="W4" s="96" t="s">
        <v>508</v>
      </c>
      <c r="X4" s="96" t="s">
        <v>231</v>
      </c>
      <c r="Y4" s="96" t="s">
        <v>357</v>
      </c>
      <c r="Z4" s="96" t="s">
        <v>509</v>
      </c>
      <c r="AA4" s="97">
        <v>4148.2</v>
      </c>
      <c r="AB4" s="96" t="s">
        <v>115</v>
      </c>
      <c r="AC4" s="96" t="s">
        <v>510</v>
      </c>
    </row>
    <row r="5" spans="1:29" ht="12" customHeight="1" x14ac:dyDescent="0.2">
      <c r="A5" s="96" t="s">
        <v>358</v>
      </c>
      <c r="B5" s="98" t="s">
        <v>318</v>
      </c>
      <c r="C5" s="96" t="s">
        <v>333</v>
      </c>
      <c r="D5" s="96" t="s">
        <v>334</v>
      </c>
      <c r="E5" s="96" t="s">
        <v>21</v>
      </c>
      <c r="F5" s="96" t="s">
        <v>22</v>
      </c>
      <c r="G5" s="96" t="s">
        <v>335</v>
      </c>
      <c r="H5" s="96" t="s">
        <v>335</v>
      </c>
      <c r="I5" s="96" t="s">
        <v>336</v>
      </c>
      <c r="J5" s="96" t="s">
        <v>336</v>
      </c>
      <c r="K5" s="96" t="s">
        <v>23</v>
      </c>
      <c r="L5" s="96" t="s">
        <v>294</v>
      </c>
      <c r="M5" s="96" t="s">
        <v>24</v>
      </c>
      <c r="N5" s="96" t="s">
        <v>115</v>
      </c>
      <c r="O5" s="96" t="s">
        <v>500</v>
      </c>
      <c r="P5" s="96" t="s">
        <v>26</v>
      </c>
      <c r="Q5" s="96" t="s">
        <v>360</v>
      </c>
      <c r="R5" s="96" t="s">
        <v>27</v>
      </c>
      <c r="S5" s="96" t="s">
        <v>27</v>
      </c>
      <c r="T5" s="96" t="s">
        <v>501</v>
      </c>
      <c r="U5" s="97"/>
      <c r="V5" s="96" t="s">
        <v>296</v>
      </c>
      <c r="W5" s="96" t="s">
        <v>361</v>
      </c>
      <c r="X5" s="96" t="s">
        <v>231</v>
      </c>
      <c r="Y5" s="96" t="s">
        <v>363</v>
      </c>
      <c r="Z5" s="96" t="s">
        <v>363</v>
      </c>
      <c r="AA5" s="97">
        <v>14168</v>
      </c>
      <c r="AB5" s="96" t="s">
        <v>115</v>
      </c>
      <c r="AC5" s="96" t="s">
        <v>504</v>
      </c>
    </row>
    <row r="6" spans="1:29" ht="12" customHeight="1" x14ac:dyDescent="0.2">
      <c r="A6" s="96" t="s">
        <v>364</v>
      </c>
      <c r="B6" s="98" t="s">
        <v>318</v>
      </c>
      <c r="C6" s="96" t="s">
        <v>333</v>
      </c>
      <c r="D6" s="96" t="s">
        <v>334</v>
      </c>
      <c r="E6" s="96" t="s">
        <v>21</v>
      </c>
      <c r="F6" s="96" t="s">
        <v>22</v>
      </c>
      <c r="G6" s="96" t="s">
        <v>335</v>
      </c>
      <c r="H6" s="96" t="s">
        <v>335</v>
      </c>
      <c r="I6" s="96" t="s">
        <v>354</v>
      </c>
      <c r="J6" s="96" t="s">
        <v>354</v>
      </c>
      <c r="K6" s="96" t="s">
        <v>23</v>
      </c>
      <c r="L6" s="96" t="s">
        <v>294</v>
      </c>
      <c r="M6" s="96" t="s">
        <v>24</v>
      </c>
      <c r="N6" s="96" t="s">
        <v>115</v>
      </c>
      <c r="O6" s="96" t="s">
        <v>500</v>
      </c>
      <c r="P6" s="96" t="s">
        <v>26</v>
      </c>
      <c r="Q6" s="96" t="s">
        <v>366</v>
      </c>
      <c r="R6" s="96" t="s">
        <v>27</v>
      </c>
      <c r="S6" s="96" t="s">
        <v>27</v>
      </c>
      <c r="T6" s="96" t="s">
        <v>501</v>
      </c>
      <c r="U6" s="97"/>
      <c r="V6" s="96" t="s">
        <v>296</v>
      </c>
      <c r="W6" s="96" t="s">
        <v>511</v>
      </c>
      <c r="X6" s="96" t="s">
        <v>231</v>
      </c>
      <c r="Y6" s="96" t="s">
        <v>369</v>
      </c>
      <c r="Z6" s="96" t="s">
        <v>369</v>
      </c>
      <c r="AA6" s="97">
        <v>2302.5300000000002</v>
      </c>
      <c r="AB6" s="96" t="s">
        <v>115</v>
      </c>
      <c r="AC6" s="96" t="s">
        <v>510</v>
      </c>
    </row>
    <row r="7" spans="1:29" ht="12" customHeight="1" x14ac:dyDescent="0.2">
      <c r="A7" s="96" t="s">
        <v>370</v>
      </c>
      <c r="B7" s="98" t="s">
        <v>318</v>
      </c>
      <c r="C7" s="96" t="s">
        <v>333</v>
      </c>
      <c r="D7" s="96" t="s">
        <v>334</v>
      </c>
      <c r="E7" s="96" t="s">
        <v>29</v>
      </c>
      <c r="F7" s="96" t="s">
        <v>22</v>
      </c>
      <c r="G7" s="96" t="s">
        <v>335</v>
      </c>
      <c r="H7" s="96" t="s">
        <v>335</v>
      </c>
      <c r="I7" s="96" t="s">
        <v>336</v>
      </c>
      <c r="J7" s="96" t="s">
        <v>336</v>
      </c>
      <c r="K7" s="96" t="s">
        <v>23</v>
      </c>
      <c r="L7" s="96" t="s">
        <v>294</v>
      </c>
      <c r="M7" s="96" t="s">
        <v>24</v>
      </c>
      <c r="N7" s="96" t="s">
        <v>115</v>
      </c>
      <c r="O7" s="96" t="s">
        <v>500</v>
      </c>
      <c r="P7" s="96" t="s">
        <v>26</v>
      </c>
      <c r="Q7" s="96" t="s">
        <v>372</v>
      </c>
      <c r="R7" s="96" t="s">
        <v>27</v>
      </c>
      <c r="S7" s="96" t="s">
        <v>27</v>
      </c>
      <c r="T7" s="96" t="s">
        <v>501</v>
      </c>
      <c r="U7" s="97"/>
      <c r="V7" s="96" t="s">
        <v>512</v>
      </c>
      <c r="W7" s="96" t="s">
        <v>513</v>
      </c>
      <c r="X7" s="96" t="s">
        <v>231</v>
      </c>
      <c r="Y7" s="96" t="s">
        <v>375</v>
      </c>
      <c r="Z7" s="96" t="s">
        <v>514</v>
      </c>
      <c r="AA7" s="97">
        <v>5307.43</v>
      </c>
      <c r="AB7" s="96" t="s">
        <v>115</v>
      </c>
      <c r="AC7" s="96" t="s">
        <v>504</v>
      </c>
    </row>
    <row r="8" spans="1:29" ht="12" customHeight="1" x14ac:dyDescent="0.2">
      <c r="A8" s="96" t="s">
        <v>376</v>
      </c>
      <c r="B8" s="98" t="s">
        <v>318</v>
      </c>
      <c r="C8" s="96" t="s">
        <v>333</v>
      </c>
      <c r="D8" s="96" t="s">
        <v>334</v>
      </c>
      <c r="E8" s="96" t="s">
        <v>29</v>
      </c>
      <c r="F8" s="96" t="s">
        <v>22</v>
      </c>
      <c r="G8" s="96" t="s">
        <v>335</v>
      </c>
      <c r="H8" s="96" t="s">
        <v>335</v>
      </c>
      <c r="I8" s="96" t="s">
        <v>336</v>
      </c>
      <c r="J8" s="96" t="s">
        <v>336</v>
      </c>
      <c r="K8" s="96" t="s">
        <v>23</v>
      </c>
      <c r="L8" s="96" t="s">
        <v>294</v>
      </c>
      <c r="M8" s="96" t="s">
        <v>24</v>
      </c>
      <c r="N8" s="96" t="s">
        <v>115</v>
      </c>
      <c r="O8" s="96" t="s">
        <v>500</v>
      </c>
      <c r="P8" s="96" t="s">
        <v>26</v>
      </c>
      <c r="Q8" s="96" t="s">
        <v>379</v>
      </c>
      <c r="R8" s="96" t="s">
        <v>27</v>
      </c>
      <c r="S8" s="96" t="s">
        <v>27</v>
      </c>
      <c r="T8" s="96" t="s">
        <v>501</v>
      </c>
      <c r="U8" s="97"/>
      <c r="V8" s="96" t="s">
        <v>515</v>
      </c>
      <c r="W8" s="96" t="s">
        <v>516</v>
      </c>
      <c r="X8" s="96" t="s">
        <v>231</v>
      </c>
      <c r="Y8" s="96" t="s">
        <v>382</v>
      </c>
      <c r="Z8" s="96" t="s">
        <v>382</v>
      </c>
      <c r="AA8" s="97">
        <v>3680</v>
      </c>
      <c r="AB8" s="96" t="s">
        <v>115</v>
      </c>
      <c r="AC8" s="96" t="s">
        <v>504</v>
      </c>
    </row>
    <row r="9" spans="1:29" ht="12" customHeight="1" x14ac:dyDescent="0.2">
      <c r="A9" s="96" t="s">
        <v>383</v>
      </c>
      <c r="B9" s="98" t="s">
        <v>318</v>
      </c>
      <c r="C9" s="96" t="s">
        <v>333</v>
      </c>
      <c r="D9" s="96" t="s">
        <v>334</v>
      </c>
      <c r="E9" s="96" t="s">
        <v>29</v>
      </c>
      <c r="F9" s="96" t="s">
        <v>22</v>
      </c>
      <c r="G9" s="96" t="s">
        <v>335</v>
      </c>
      <c r="H9" s="96" t="s">
        <v>335</v>
      </c>
      <c r="I9" s="96" t="s">
        <v>354</v>
      </c>
      <c r="J9" s="96" t="s">
        <v>354</v>
      </c>
      <c r="K9" s="96" t="s">
        <v>23</v>
      </c>
      <c r="L9" s="96" t="s">
        <v>294</v>
      </c>
      <c r="M9" s="96" t="s">
        <v>24</v>
      </c>
      <c r="N9" s="96" t="s">
        <v>115</v>
      </c>
      <c r="O9" s="96" t="s">
        <v>500</v>
      </c>
      <c r="P9" s="96" t="s">
        <v>26</v>
      </c>
      <c r="Q9" s="96" t="s">
        <v>386</v>
      </c>
      <c r="R9" s="96" t="s">
        <v>27</v>
      </c>
      <c r="S9" s="96" t="s">
        <v>27</v>
      </c>
      <c r="T9" s="96" t="s">
        <v>501</v>
      </c>
      <c r="U9" s="97"/>
      <c r="V9" s="96" t="s">
        <v>517</v>
      </c>
      <c r="W9" s="96" t="s">
        <v>387</v>
      </c>
      <c r="X9" s="96" t="s">
        <v>231</v>
      </c>
      <c r="Y9" s="96" t="s">
        <v>389</v>
      </c>
      <c r="Z9" s="96" t="s">
        <v>389</v>
      </c>
      <c r="AA9" s="97">
        <v>27716</v>
      </c>
      <c r="AB9" s="96" t="s">
        <v>115</v>
      </c>
      <c r="AC9" s="96" t="s">
        <v>510</v>
      </c>
    </row>
    <row r="10" spans="1:29" ht="12" customHeight="1" x14ac:dyDescent="0.2">
      <c r="A10" s="96" t="s">
        <v>390</v>
      </c>
      <c r="B10" s="98" t="s">
        <v>318</v>
      </c>
      <c r="C10" s="96" t="s">
        <v>333</v>
      </c>
      <c r="D10" s="96" t="s">
        <v>334</v>
      </c>
      <c r="E10" s="96" t="s">
        <v>29</v>
      </c>
      <c r="F10" s="96" t="s">
        <v>22</v>
      </c>
      <c r="G10" s="96" t="s">
        <v>335</v>
      </c>
      <c r="H10" s="96" t="s">
        <v>335</v>
      </c>
      <c r="I10" s="96" t="s">
        <v>354</v>
      </c>
      <c r="J10" s="96" t="s">
        <v>354</v>
      </c>
      <c r="K10" s="96" t="s">
        <v>23</v>
      </c>
      <c r="L10" s="96" t="s">
        <v>294</v>
      </c>
      <c r="M10" s="96" t="s">
        <v>24</v>
      </c>
      <c r="N10" s="96" t="s">
        <v>115</v>
      </c>
      <c r="O10" s="96" t="s">
        <v>500</v>
      </c>
      <c r="P10" s="96" t="s">
        <v>26</v>
      </c>
      <c r="Q10" s="96" t="s">
        <v>386</v>
      </c>
      <c r="R10" s="96" t="s">
        <v>27</v>
      </c>
      <c r="S10" s="96" t="s">
        <v>27</v>
      </c>
      <c r="T10" s="96" t="s">
        <v>501</v>
      </c>
      <c r="U10" s="97"/>
      <c r="V10" s="96" t="s">
        <v>518</v>
      </c>
      <c r="W10" s="96" t="s">
        <v>387</v>
      </c>
      <c r="X10" s="96" t="s">
        <v>231</v>
      </c>
      <c r="Y10" s="96" t="s">
        <v>389</v>
      </c>
      <c r="Z10" s="96" t="s">
        <v>389</v>
      </c>
      <c r="AA10" s="97">
        <v>27716</v>
      </c>
      <c r="AB10" s="96" t="s">
        <v>115</v>
      </c>
      <c r="AC10" s="96" t="s">
        <v>510</v>
      </c>
    </row>
    <row r="11" spans="1:29" ht="12" customHeight="1" x14ac:dyDescent="0.2">
      <c r="A11" s="96" t="s">
        <v>392</v>
      </c>
      <c r="B11" s="98" t="s">
        <v>318</v>
      </c>
      <c r="C11" s="96" t="s">
        <v>333</v>
      </c>
      <c r="D11" s="96" t="s">
        <v>334</v>
      </c>
      <c r="E11" s="96" t="s">
        <v>29</v>
      </c>
      <c r="F11" s="96" t="s">
        <v>22</v>
      </c>
      <c r="G11" s="96" t="s">
        <v>335</v>
      </c>
      <c r="H11" s="96" t="s">
        <v>335</v>
      </c>
      <c r="I11" s="96" t="s">
        <v>354</v>
      </c>
      <c r="J11" s="96" t="s">
        <v>354</v>
      </c>
      <c r="K11" s="96" t="s">
        <v>23</v>
      </c>
      <c r="L11" s="96" t="s">
        <v>294</v>
      </c>
      <c r="M11" s="96" t="s">
        <v>24</v>
      </c>
      <c r="N11" s="96" t="s">
        <v>115</v>
      </c>
      <c r="O11" s="96" t="s">
        <v>500</v>
      </c>
      <c r="P11" s="96" t="s">
        <v>26</v>
      </c>
      <c r="Q11" s="96" t="s">
        <v>386</v>
      </c>
      <c r="R11" s="96" t="s">
        <v>27</v>
      </c>
      <c r="S11" s="96" t="s">
        <v>27</v>
      </c>
      <c r="T11" s="96" t="s">
        <v>501</v>
      </c>
      <c r="U11" s="97"/>
      <c r="V11" s="96" t="s">
        <v>519</v>
      </c>
      <c r="W11" s="96" t="s">
        <v>387</v>
      </c>
      <c r="X11" s="96" t="s">
        <v>231</v>
      </c>
      <c r="Y11" s="96" t="s">
        <v>389</v>
      </c>
      <c r="Z11" s="96" t="s">
        <v>389</v>
      </c>
      <c r="AA11" s="97">
        <v>27539</v>
      </c>
      <c r="AB11" s="96" t="s">
        <v>115</v>
      </c>
      <c r="AC11" s="96" t="s">
        <v>510</v>
      </c>
    </row>
    <row r="12" spans="1:29" ht="12" customHeight="1" x14ac:dyDescent="0.2">
      <c r="A12" s="96" t="s">
        <v>394</v>
      </c>
      <c r="B12" s="98" t="s">
        <v>318</v>
      </c>
      <c r="C12" s="96" t="s">
        <v>333</v>
      </c>
      <c r="D12" s="96" t="s">
        <v>334</v>
      </c>
      <c r="E12" s="96" t="s">
        <v>29</v>
      </c>
      <c r="F12" s="96" t="s">
        <v>22</v>
      </c>
      <c r="G12" s="96" t="s">
        <v>335</v>
      </c>
      <c r="H12" s="96" t="s">
        <v>335</v>
      </c>
      <c r="I12" s="96" t="s">
        <v>336</v>
      </c>
      <c r="J12" s="96" t="s">
        <v>399</v>
      </c>
      <c r="K12" s="96" t="s">
        <v>23</v>
      </c>
      <c r="L12" s="96" t="s">
        <v>294</v>
      </c>
      <c r="M12" s="96" t="s">
        <v>24</v>
      </c>
      <c r="N12" s="96" t="s">
        <v>115</v>
      </c>
      <c r="O12" s="96" t="s">
        <v>500</v>
      </c>
      <c r="P12" s="96" t="s">
        <v>26</v>
      </c>
      <c r="Q12" s="96" t="s">
        <v>396</v>
      </c>
      <c r="R12" s="96" t="s">
        <v>109</v>
      </c>
      <c r="S12" s="96" t="s">
        <v>27</v>
      </c>
      <c r="T12" s="96" t="s">
        <v>501</v>
      </c>
      <c r="U12" s="97"/>
      <c r="V12" s="96" t="s">
        <v>520</v>
      </c>
      <c r="W12" s="96" t="s">
        <v>521</v>
      </c>
      <c r="X12" s="96" t="s">
        <v>231</v>
      </c>
      <c r="Y12" s="96" t="s">
        <v>401</v>
      </c>
      <c r="Z12" s="96" t="s">
        <v>401</v>
      </c>
      <c r="AA12" s="97">
        <v>24080</v>
      </c>
      <c r="AB12" s="96" t="s">
        <v>115</v>
      </c>
      <c r="AC12" s="96" t="s">
        <v>522</v>
      </c>
    </row>
    <row r="13" spans="1:29" ht="12" customHeight="1" x14ac:dyDescent="0.2">
      <c r="A13" s="96" t="s">
        <v>402</v>
      </c>
      <c r="B13" s="98" t="s">
        <v>318</v>
      </c>
      <c r="C13" s="96" t="s">
        <v>333</v>
      </c>
      <c r="D13" s="96" t="s">
        <v>334</v>
      </c>
      <c r="E13" s="96" t="s">
        <v>29</v>
      </c>
      <c r="F13" s="96" t="s">
        <v>22</v>
      </c>
      <c r="G13" s="96" t="s">
        <v>335</v>
      </c>
      <c r="H13" s="96" t="s">
        <v>335</v>
      </c>
      <c r="I13" s="96" t="s">
        <v>354</v>
      </c>
      <c r="J13" s="96" t="s">
        <v>354</v>
      </c>
      <c r="K13" s="96" t="s">
        <v>23</v>
      </c>
      <c r="L13" s="96" t="s">
        <v>294</v>
      </c>
      <c r="M13" s="96" t="s">
        <v>24</v>
      </c>
      <c r="N13" s="96" t="s">
        <v>115</v>
      </c>
      <c r="O13" s="96" t="s">
        <v>500</v>
      </c>
      <c r="P13" s="96" t="s">
        <v>26</v>
      </c>
      <c r="Q13" s="96" t="s">
        <v>386</v>
      </c>
      <c r="R13" s="96" t="s">
        <v>27</v>
      </c>
      <c r="S13" s="96" t="s">
        <v>27</v>
      </c>
      <c r="T13" s="96" t="s">
        <v>501</v>
      </c>
      <c r="U13" s="97"/>
      <c r="V13" s="96" t="s">
        <v>520</v>
      </c>
      <c r="W13" s="96" t="s">
        <v>387</v>
      </c>
      <c r="X13" s="96" t="s">
        <v>231</v>
      </c>
      <c r="Y13" s="96" t="s">
        <v>389</v>
      </c>
      <c r="Z13" s="96" t="s">
        <v>389</v>
      </c>
      <c r="AA13" s="97">
        <v>27539</v>
      </c>
      <c r="AB13" s="96" t="s">
        <v>115</v>
      </c>
      <c r="AC13" s="96" t="s">
        <v>510</v>
      </c>
    </row>
    <row r="14" spans="1:29" ht="12" customHeight="1" x14ac:dyDescent="0.2">
      <c r="A14" s="96" t="s">
        <v>404</v>
      </c>
      <c r="B14" s="98" t="s">
        <v>318</v>
      </c>
      <c r="C14" s="96" t="s">
        <v>333</v>
      </c>
      <c r="D14" s="96" t="s">
        <v>334</v>
      </c>
      <c r="E14" s="96" t="s">
        <v>29</v>
      </c>
      <c r="F14" s="96" t="s">
        <v>22</v>
      </c>
      <c r="G14" s="96" t="s">
        <v>335</v>
      </c>
      <c r="H14" s="96" t="s">
        <v>335</v>
      </c>
      <c r="I14" s="96" t="s">
        <v>354</v>
      </c>
      <c r="J14" s="96" t="s">
        <v>354</v>
      </c>
      <c r="K14" s="96" t="s">
        <v>23</v>
      </c>
      <c r="L14" s="96" t="s">
        <v>294</v>
      </c>
      <c r="M14" s="96" t="s">
        <v>24</v>
      </c>
      <c r="N14" s="96" t="s">
        <v>115</v>
      </c>
      <c r="O14" s="96" t="s">
        <v>500</v>
      </c>
      <c r="P14" s="96" t="s">
        <v>26</v>
      </c>
      <c r="Q14" s="96" t="s">
        <v>386</v>
      </c>
      <c r="R14" s="96" t="s">
        <v>27</v>
      </c>
      <c r="S14" s="96" t="s">
        <v>27</v>
      </c>
      <c r="T14" s="96" t="s">
        <v>501</v>
      </c>
      <c r="U14" s="97"/>
      <c r="V14" s="96" t="s">
        <v>523</v>
      </c>
      <c r="W14" s="96" t="s">
        <v>387</v>
      </c>
      <c r="X14" s="96" t="s">
        <v>231</v>
      </c>
      <c r="Y14" s="96" t="s">
        <v>389</v>
      </c>
      <c r="Z14" s="96" t="s">
        <v>389</v>
      </c>
      <c r="AA14" s="97">
        <v>27588</v>
      </c>
      <c r="AB14" s="96" t="s">
        <v>115</v>
      </c>
      <c r="AC14" s="96" t="s">
        <v>510</v>
      </c>
    </row>
    <row r="15" spans="1:29" ht="12" customHeight="1" x14ac:dyDescent="0.2">
      <c r="A15" s="96" t="s">
        <v>406</v>
      </c>
      <c r="B15" s="98" t="s">
        <v>318</v>
      </c>
      <c r="C15" s="96" t="s">
        <v>333</v>
      </c>
      <c r="D15" s="96" t="s">
        <v>334</v>
      </c>
      <c r="E15" s="96" t="s">
        <v>29</v>
      </c>
      <c r="F15" s="96" t="s">
        <v>22</v>
      </c>
      <c r="G15" s="96" t="s">
        <v>335</v>
      </c>
      <c r="H15" s="96" t="s">
        <v>335</v>
      </c>
      <c r="I15" s="96" t="s">
        <v>354</v>
      </c>
      <c r="J15" s="96" t="s">
        <v>354</v>
      </c>
      <c r="K15" s="96" t="s">
        <v>23</v>
      </c>
      <c r="L15" s="96" t="s">
        <v>294</v>
      </c>
      <c r="M15" s="96" t="s">
        <v>24</v>
      </c>
      <c r="N15" s="96" t="s">
        <v>115</v>
      </c>
      <c r="O15" s="96" t="s">
        <v>500</v>
      </c>
      <c r="P15" s="96" t="s">
        <v>26</v>
      </c>
      <c r="Q15" s="96" t="s">
        <v>386</v>
      </c>
      <c r="R15" s="96" t="s">
        <v>27</v>
      </c>
      <c r="S15" s="96" t="s">
        <v>27</v>
      </c>
      <c r="T15" s="96" t="s">
        <v>501</v>
      </c>
      <c r="U15" s="97"/>
      <c r="V15" s="96" t="s">
        <v>317</v>
      </c>
      <c r="W15" s="96" t="s">
        <v>387</v>
      </c>
      <c r="X15" s="96" t="s">
        <v>231</v>
      </c>
      <c r="Y15" s="96" t="s">
        <v>389</v>
      </c>
      <c r="Z15" s="96" t="s">
        <v>389</v>
      </c>
      <c r="AA15" s="97">
        <v>27588</v>
      </c>
      <c r="AB15" s="96" t="s">
        <v>115</v>
      </c>
      <c r="AC15" s="96" t="s">
        <v>510</v>
      </c>
    </row>
    <row r="16" spans="1:29" ht="12" customHeight="1" x14ac:dyDescent="0.2">
      <c r="A16" s="96" t="s">
        <v>408</v>
      </c>
      <c r="B16" s="98" t="s">
        <v>318</v>
      </c>
      <c r="C16" s="96" t="s">
        <v>333</v>
      </c>
      <c r="D16" s="96" t="s">
        <v>334</v>
      </c>
      <c r="E16" s="96" t="s">
        <v>29</v>
      </c>
      <c r="F16" s="96" t="s">
        <v>22</v>
      </c>
      <c r="G16" s="96" t="s">
        <v>335</v>
      </c>
      <c r="H16" s="96" t="s">
        <v>335</v>
      </c>
      <c r="I16" s="96" t="s">
        <v>354</v>
      </c>
      <c r="J16" s="96" t="s">
        <v>354</v>
      </c>
      <c r="K16" s="96" t="s">
        <v>23</v>
      </c>
      <c r="L16" s="96" t="s">
        <v>294</v>
      </c>
      <c r="M16" s="96" t="s">
        <v>24</v>
      </c>
      <c r="N16" s="96" t="s">
        <v>115</v>
      </c>
      <c r="O16" s="96" t="s">
        <v>500</v>
      </c>
      <c r="P16" s="96" t="s">
        <v>26</v>
      </c>
      <c r="Q16" s="96" t="s">
        <v>386</v>
      </c>
      <c r="R16" s="96" t="s">
        <v>27</v>
      </c>
      <c r="S16" s="96" t="s">
        <v>27</v>
      </c>
      <c r="T16" s="96" t="s">
        <v>501</v>
      </c>
      <c r="U16" s="97"/>
      <c r="V16" s="96" t="s">
        <v>524</v>
      </c>
      <c r="W16" s="96" t="s">
        <v>387</v>
      </c>
      <c r="X16" s="96" t="s">
        <v>231</v>
      </c>
      <c r="Y16" s="96" t="s">
        <v>389</v>
      </c>
      <c r="Z16" s="96" t="s">
        <v>389</v>
      </c>
      <c r="AA16" s="97">
        <v>27539</v>
      </c>
      <c r="AB16" s="96" t="s">
        <v>115</v>
      </c>
      <c r="AC16" s="96" t="s">
        <v>510</v>
      </c>
    </row>
    <row r="17" spans="1:29" ht="12" customHeight="1" x14ac:dyDescent="0.2">
      <c r="A17" s="96" t="s">
        <v>410</v>
      </c>
      <c r="B17" s="98" t="s">
        <v>318</v>
      </c>
      <c r="C17" s="96" t="s">
        <v>333</v>
      </c>
      <c r="D17" s="96" t="s">
        <v>334</v>
      </c>
      <c r="E17" s="96" t="s">
        <v>29</v>
      </c>
      <c r="F17" s="96" t="s">
        <v>22</v>
      </c>
      <c r="G17" s="96" t="s">
        <v>335</v>
      </c>
      <c r="H17" s="96" t="s">
        <v>335</v>
      </c>
      <c r="I17" s="96" t="s">
        <v>336</v>
      </c>
      <c r="J17" s="96" t="s">
        <v>413</v>
      </c>
      <c r="K17" s="96" t="s">
        <v>23</v>
      </c>
      <c r="L17" s="96" t="s">
        <v>294</v>
      </c>
      <c r="M17" s="96" t="s">
        <v>24</v>
      </c>
      <c r="N17" s="96" t="s">
        <v>115</v>
      </c>
      <c r="O17" s="96" t="s">
        <v>500</v>
      </c>
      <c r="P17" s="96" t="s">
        <v>26</v>
      </c>
      <c r="Q17" s="96" t="s">
        <v>412</v>
      </c>
      <c r="R17" s="96" t="s">
        <v>109</v>
      </c>
      <c r="S17" s="96" t="s">
        <v>27</v>
      </c>
      <c r="T17" s="96" t="s">
        <v>501</v>
      </c>
      <c r="U17" s="97"/>
      <c r="V17" s="96" t="s">
        <v>524</v>
      </c>
      <c r="W17" s="96" t="s">
        <v>521</v>
      </c>
      <c r="X17" s="96" t="s">
        <v>231</v>
      </c>
      <c r="Y17" s="96" t="s">
        <v>401</v>
      </c>
      <c r="Z17" s="96" t="s">
        <v>401</v>
      </c>
      <c r="AA17" s="97">
        <v>24080</v>
      </c>
      <c r="AB17" s="96" t="s">
        <v>115</v>
      </c>
      <c r="AC17" s="96" t="s">
        <v>525</v>
      </c>
    </row>
    <row r="18" spans="1:29" ht="12" customHeight="1" x14ac:dyDescent="0.2">
      <c r="A18" s="96" t="s">
        <v>415</v>
      </c>
      <c r="B18" s="98" t="s">
        <v>318</v>
      </c>
      <c r="C18" s="96" t="s">
        <v>333</v>
      </c>
      <c r="D18" s="96" t="s">
        <v>334</v>
      </c>
      <c r="E18" s="96" t="s">
        <v>29</v>
      </c>
      <c r="F18" s="96" t="s">
        <v>22</v>
      </c>
      <c r="G18" s="96" t="s">
        <v>335</v>
      </c>
      <c r="H18" s="96" t="s">
        <v>335</v>
      </c>
      <c r="I18" s="96" t="s">
        <v>354</v>
      </c>
      <c r="J18" s="96" t="s">
        <v>354</v>
      </c>
      <c r="K18" s="96" t="s">
        <v>23</v>
      </c>
      <c r="L18" s="96" t="s">
        <v>294</v>
      </c>
      <c r="M18" s="96" t="s">
        <v>24</v>
      </c>
      <c r="N18" s="96" t="s">
        <v>115</v>
      </c>
      <c r="O18" s="96" t="s">
        <v>500</v>
      </c>
      <c r="P18" s="96" t="s">
        <v>26</v>
      </c>
      <c r="Q18" s="96" t="s">
        <v>386</v>
      </c>
      <c r="R18" s="96" t="s">
        <v>27</v>
      </c>
      <c r="S18" s="96" t="s">
        <v>27</v>
      </c>
      <c r="T18" s="96" t="s">
        <v>501</v>
      </c>
      <c r="U18" s="97"/>
      <c r="V18" s="96" t="s">
        <v>524</v>
      </c>
      <c r="W18" s="96" t="s">
        <v>387</v>
      </c>
      <c r="X18" s="96" t="s">
        <v>231</v>
      </c>
      <c r="Y18" s="96" t="s">
        <v>389</v>
      </c>
      <c r="Z18" s="96" t="s">
        <v>389</v>
      </c>
      <c r="AA18" s="97">
        <v>27539</v>
      </c>
      <c r="AB18" s="96" t="s">
        <v>115</v>
      </c>
      <c r="AC18" s="96" t="s">
        <v>510</v>
      </c>
    </row>
    <row r="19" spans="1:29" ht="12" customHeight="1" x14ac:dyDescent="0.2">
      <c r="A19" s="96" t="s">
        <v>417</v>
      </c>
      <c r="B19" s="98" t="s">
        <v>318</v>
      </c>
      <c r="C19" s="96" t="s">
        <v>333</v>
      </c>
      <c r="D19" s="96" t="s">
        <v>334</v>
      </c>
      <c r="E19" s="96" t="s">
        <v>29</v>
      </c>
      <c r="F19" s="96" t="s">
        <v>22</v>
      </c>
      <c r="G19" s="96" t="s">
        <v>335</v>
      </c>
      <c r="H19" s="96" t="s">
        <v>335</v>
      </c>
      <c r="I19" s="96" t="s">
        <v>336</v>
      </c>
      <c r="J19" s="96" t="s">
        <v>399</v>
      </c>
      <c r="K19" s="96" t="s">
        <v>23</v>
      </c>
      <c r="L19" s="96" t="s">
        <v>294</v>
      </c>
      <c r="M19" s="96" t="s">
        <v>24</v>
      </c>
      <c r="N19" s="96" t="s">
        <v>115</v>
      </c>
      <c r="O19" s="96" t="s">
        <v>500</v>
      </c>
      <c r="P19" s="96" t="s">
        <v>26</v>
      </c>
      <c r="Q19" s="96" t="s">
        <v>396</v>
      </c>
      <c r="R19" s="96" t="s">
        <v>109</v>
      </c>
      <c r="S19" s="96" t="s">
        <v>27</v>
      </c>
      <c r="T19" s="96" t="s">
        <v>501</v>
      </c>
      <c r="U19" s="97"/>
      <c r="V19" s="96" t="s">
        <v>524</v>
      </c>
      <c r="W19" s="96" t="s">
        <v>521</v>
      </c>
      <c r="X19" s="96" t="s">
        <v>231</v>
      </c>
      <c r="Y19" s="96" t="s">
        <v>401</v>
      </c>
      <c r="Z19" s="96" t="s">
        <v>401</v>
      </c>
      <c r="AA19" s="97">
        <v>24080</v>
      </c>
      <c r="AB19" s="96" t="s">
        <v>115</v>
      </c>
      <c r="AC19" s="96" t="s">
        <v>522</v>
      </c>
    </row>
    <row r="20" spans="1:29" ht="12" customHeight="1" x14ac:dyDescent="0.2">
      <c r="A20" s="96" t="s">
        <v>418</v>
      </c>
      <c r="B20" s="98" t="s">
        <v>318</v>
      </c>
      <c r="C20" s="96" t="s">
        <v>333</v>
      </c>
      <c r="D20" s="96" t="s">
        <v>334</v>
      </c>
      <c r="E20" s="96" t="s">
        <v>29</v>
      </c>
      <c r="F20" s="96" t="s">
        <v>22</v>
      </c>
      <c r="G20" s="96" t="s">
        <v>335</v>
      </c>
      <c r="H20" s="96" t="s">
        <v>335</v>
      </c>
      <c r="I20" s="96" t="s">
        <v>354</v>
      </c>
      <c r="J20" s="96" t="s">
        <v>354</v>
      </c>
      <c r="K20" s="96" t="s">
        <v>23</v>
      </c>
      <c r="L20" s="96" t="s">
        <v>294</v>
      </c>
      <c r="M20" s="96" t="s">
        <v>24</v>
      </c>
      <c r="N20" s="96" t="s">
        <v>115</v>
      </c>
      <c r="O20" s="96" t="s">
        <v>500</v>
      </c>
      <c r="P20" s="96" t="s">
        <v>26</v>
      </c>
      <c r="Q20" s="96" t="s">
        <v>386</v>
      </c>
      <c r="R20" s="96" t="s">
        <v>27</v>
      </c>
      <c r="S20" s="96" t="s">
        <v>27</v>
      </c>
      <c r="T20" s="96" t="s">
        <v>501</v>
      </c>
      <c r="U20" s="97"/>
      <c r="V20" s="96" t="s">
        <v>524</v>
      </c>
      <c r="W20" s="96" t="s">
        <v>387</v>
      </c>
      <c r="X20" s="96" t="s">
        <v>231</v>
      </c>
      <c r="Y20" s="96" t="s">
        <v>389</v>
      </c>
      <c r="Z20" s="96" t="s">
        <v>389</v>
      </c>
      <c r="AA20" s="97">
        <v>27588</v>
      </c>
      <c r="AB20" s="96" t="s">
        <v>115</v>
      </c>
      <c r="AC20" s="96" t="s">
        <v>510</v>
      </c>
    </row>
    <row r="21" spans="1:29" ht="12" customHeight="1" x14ac:dyDescent="0.2">
      <c r="A21" s="96" t="s">
        <v>421</v>
      </c>
      <c r="B21" s="98" t="s">
        <v>318</v>
      </c>
      <c r="C21" s="96" t="s">
        <v>333</v>
      </c>
      <c r="D21" s="96" t="s">
        <v>334</v>
      </c>
      <c r="E21" s="96" t="s">
        <v>29</v>
      </c>
      <c r="F21" s="96" t="s">
        <v>22</v>
      </c>
      <c r="G21" s="96" t="s">
        <v>335</v>
      </c>
      <c r="H21" s="96" t="s">
        <v>335</v>
      </c>
      <c r="I21" s="96" t="s">
        <v>354</v>
      </c>
      <c r="J21" s="96" t="s">
        <v>354</v>
      </c>
      <c r="K21" s="96" t="s">
        <v>23</v>
      </c>
      <c r="L21" s="96" t="s">
        <v>294</v>
      </c>
      <c r="M21" s="96" t="s">
        <v>24</v>
      </c>
      <c r="N21" s="96" t="s">
        <v>115</v>
      </c>
      <c r="O21" s="96" t="s">
        <v>500</v>
      </c>
      <c r="P21" s="96" t="s">
        <v>26</v>
      </c>
      <c r="Q21" s="96" t="s">
        <v>386</v>
      </c>
      <c r="R21" s="96" t="s">
        <v>27</v>
      </c>
      <c r="S21" s="96" t="s">
        <v>27</v>
      </c>
      <c r="T21" s="96" t="s">
        <v>501</v>
      </c>
      <c r="U21" s="97"/>
      <c r="V21" s="96" t="s">
        <v>524</v>
      </c>
      <c r="W21" s="96" t="s">
        <v>387</v>
      </c>
      <c r="X21" s="96" t="s">
        <v>231</v>
      </c>
      <c r="Y21" s="96" t="s">
        <v>389</v>
      </c>
      <c r="Z21" s="96" t="s">
        <v>389</v>
      </c>
      <c r="AA21" s="97">
        <v>27716</v>
      </c>
      <c r="AB21" s="96" t="s">
        <v>115</v>
      </c>
      <c r="AC21" s="96" t="s">
        <v>510</v>
      </c>
    </row>
    <row r="22" spans="1:29" ht="12" customHeight="1" x14ac:dyDescent="0.2">
      <c r="A22" s="96" t="s">
        <v>423</v>
      </c>
      <c r="B22" s="98" t="s">
        <v>318</v>
      </c>
      <c r="C22" s="96" t="s">
        <v>333</v>
      </c>
      <c r="D22" s="96" t="s">
        <v>334</v>
      </c>
      <c r="E22" s="96" t="s">
        <v>29</v>
      </c>
      <c r="F22" s="96" t="s">
        <v>22</v>
      </c>
      <c r="G22" s="96" t="s">
        <v>335</v>
      </c>
      <c r="H22" s="96" t="s">
        <v>335</v>
      </c>
      <c r="I22" s="96" t="s">
        <v>336</v>
      </c>
      <c r="J22" s="96" t="s">
        <v>426</v>
      </c>
      <c r="K22" s="96" t="s">
        <v>23</v>
      </c>
      <c r="L22" s="96" t="s">
        <v>294</v>
      </c>
      <c r="M22" s="96" t="s">
        <v>24</v>
      </c>
      <c r="N22" s="96" t="s">
        <v>115</v>
      </c>
      <c r="O22" s="96" t="s">
        <v>500</v>
      </c>
      <c r="P22" s="96" t="s">
        <v>26</v>
      </c>
      <c r="Q22" s="96" t="s">
        <v>425</v>
      </c>
      <c r="R22" s="96" t="s">
        <v>109</v>
      </c>
      <c r="S22" s="96" t="s">
        <v>27</v>
      </c>
      <c r="T22" s="96" t="s">
        <v>501</v>
      </c>
      <c r="U22" s="97"/>
      <c r="V22" s="96" t="s">
        <v>524</v>
      </c>
      <c r="W22" s="96" t="s">
        <v>513</v>
      </c>
      <c r="X22" s="96" t="s">
        <v>231</v>
      </c>
      <c r="Y22" s="96" t="s">
        <v>427</v>
      </c>
      <c r="Z22" s="96" t="s">
        <v>427</v>
      </c>
      <c r="AA22" s="97">
        <v>7148.35</v>
      </c>
      <c r="AB22" s="96" t="s">
        <v>115</v>
      </c>
      <c r="AC22" s="96" t="s">
        <v>526</v>
      </c>
    </row>
    <row r="23" spans="1:29" ht="12" customHeight="1" x14ac:dyDescent="0.2">
      <c r="A23" s="96" t="s">
        <v>428</v>
      </c>
      <c r="B23" s="98" t="s">
        <v>318</v>
      </c>
      <c r="C23" s="96" t="s">
        <v>333</v>
      </c>
      <c r="D23" s="96" t="s">
        <v>334</v>
      </c>
      <c r="E23" s="96" t="s">
        <v>29</v>
      </c>
      <c r="F23" s="96" t="s">
        <v>22</v>
      </c>
      <c r="G23" s="96" t="s">
        <v>335</v>
      </c>
      <c r="H23" s="96" t="s">
        <v>335</v>
      </c>
      <c r="I23" s="96" t="s">
        <v>354</v>
      </c>
      <c r="J23" s="96" t="s">
        <v>354</v>
      </c>
      <c r="K23" s="96" t="s">
        <v>23</v>
      </c>
      <c r="L23" s="96" t="s">
        <v>294</v>
      </c>
      <c r="M23" s="96" t="s">
        <v>24</v>
      </c>
      <c r="N23" s="96" t="s">
        <v>115</v>
      </c>
      <c r="O23" s="96" t="s">
        <v>500</v>
      </c>
      <c r="P23" s="96" t="s">
        <v>26</v>
      </c>
      <c r="Q23" s="96" t="s">
        <v>386</v>
      </c>
      <c r="R23" s="96" t="s">
        <v>27</v>
      </c>
      <c r="S23" s="96" t="s">
        <v>27</v>
      </c>
      <c r="T23" s="96" t="s">
        <v>501</v>
      </c>
      <c r="U23" s="97"/>
      <c r="V23" s="96" t="s">
        <v>524</v>
      </c>
      <c r="W23" s="96" t="s">
        <v>387</v>
      </c>
      <c r="X23" s="96" t="s">
        <v>231</v>
      </c>
      <c r="Y23" s="96" t="s">
        <v>389</v>
      </c>
      <c r="Z23" s="96" t="s">
        <v>389</v>
      </c>
      <c r="AA23" s="97">
        <v>27588</v>
      </c>
      <c r="AB23" s="96" t="s">
        <v>115</v>
      </c>
      <c r="AC23" s="96" t="s">
        <v>510</v>
      </c>
    </row>
    <row r="24" spans="1:29" ht="12" customHeight="1" x14ac:dyDescent="0.2">
      <c r="A24" s="96" t="s">
        <v>430</v>
      </c>
      <c r="B24" s="98" t="s">
        <v>318</v>
      </c>
      <c r="C24" s="96" t="s">
        <v>333</v>
      </c>
      <c r="D24" s="96" t="s">
        <v>334</v>
      </c>
      <c r="E24" s="96" t="s">
        <v>29</v>
      </c>
      <c r="F24" s="96" t="s">
        <v>22</v>
      </c>
      <c r="G24" s="96" t="s">
        <v>335</v>
      </c>
      <c r="H24" s="96" t="s">
        <v>335</v>
      </c>
      <c r="I24" s="96" t="s">
        <v>336</v>
      </c>
      <c r="J24" s="96" t="s">
        <v>413</v>
      </c>
      <c r="K24" s="96" t="s">
        <v>23</v>
      </c>
      <c r="L24" s="96" t="s">
        <v>294</v>
      </c>
      <c r="M24" s="96" t="s">
        <v>24</v>
      </c>
      <c r="N24" s="96" t="s">
        <v>115</v>
      </c>
      <c r="O24" s="96" t="s">
        <v>500</v>
      </c>
      <c r="P24" s="96" t="s">
        <v>26</v>
      </c>
      <c r="Q24" s="96" t="s">
        <v>412</v>
      </c>
      <c r="R24" s="96" t="s">
        <v>109</v>
      </c>
      <c r="S24" s="96" t="s">
        <v>27</v>
      </c>
      <c r="T24" s="96" t="s">
        <v>501</v>
      </c>
      <c r="U24" s="97"/>
      <c r="V24" s="96" t="s">
        <v>527</v>
      </c>
      <c r="W24" s="96" t="s">
        <v>521</v>
      </c>
      <c r="X24" s="96" t="s">
        <v>231</v>
      </c>
      <c r="Y24" s="96" t="s">
        <v>401</v>
      </c>
      <c r="Z24" s="96" t="s">
        <v>401</v>
      </c>
      <c r="AA24" s="97">
        <v>24080</v>
      </c>
      <c r="AB24" s="96" t="s">
        <v>115</v>
      </c>
      <c r="AC24" s="96" t="s">
        <v>525</v>
      </c>
    </row>
    <row r="25" spans="1:29" ht="12" customHeight="1" x14ac:dyDescent="0.2">
      <c r="A25" s="96" t="s">
        <v>432</v>
      </c>
      <c r="B25" s="98" t="s">
        <v>318</v>
      </c>
      <c r="C25" s="96" t="s">
        <v>333</v>
      </c>
      <c r="D25" s="96" t="s">
        <v>334</v>
      </c>
      <c r="E25" s="96" t="s">
        <v>29</v>
      </c>
      <c r="F25" s="96" t="s">
        <v>22</v>
      </c>
      <c r="G25" s="96" t="s">
        <v>335</v>
      </c>
      <c r="H25" s="96" t="s">
        <v>335</v>
      </c>
      <c r="I25" s="96" t="s">
        <v>354</v>
      </c>
      <c r="J25" s="96" t="s">
        <v>354</v>
      </c>
      <c r="K25" s="96" t="s">
        <v>23</v>
      </c>
      <c r="L25" s="96" t="s">
        <v>294</v>
      </c>
      <c r="M25" s="96" t="s">
        <v>24</v>
      </c>
      <c r="N25" s="96" t="s">
        <v>115</v>
      </c>
      <c r="O25" s="96" t="s">
        <v>500</v>
      </c>
      <c r="P25" s="96" t="s">
        <v>26</v>
      </c>
      <c r="Q25" s="96" t="s">
        <v>386</v>
      </c>
      <c r="R25" s="96" t="s">
        <v>27</v>
      </c>
      <c r="S25" s="96" t="s">
        <v>27</v>
      </c>
      <c r="T25" s="96" t="s">
        <v>501</v>
      </c>
      <c r="U25" s="97"/>
      <c r="V25" s="96" t="s">
        <v>297</v>
      </c>
      <c r="W25" s="96" t="s">
        <v>387</v>
      </c>
      <c r="X25" s="96" t="s">
        <v>231</v>
      </c>
      <c r="Y25" s="96" t="s">
        <v>389</v>
      </c>
      <c r="Z25" s="96" t="s">
        <v>389</v>
      </c>
      <c r="AA25" s="97">
        <v>27716</v>
      </c>
      <c r="AB25" s="96" t="s">
        <v>115</v>
      </c>
      <c r="AC25" s="96" t="s">
        <v>510</v>
      </c>
    </row>
    <row r="26" spans="1:29" ht="12" customHeight="1" x14ac:dyDescent="0.2">
      <c r="A26" s="96" t="s">
        <v>435</v>
      </c>
      <c r="B26" s="98" t="s">
        <v>318</v>
      </c>
      <c r="C26" s="96" t="s">
        <v>333</v>
      </c>
      <c r="D26" s="96" t="s">
        <v>334</v>
      </c>
      <c r="E26" s="96" t="s">
        <v>29</v>
      </c>
      <c r="F26" s="96" t="s">
        <v>22</v>
      </c>
      <c r="G26" s="96" t="s">
        <v>335</v>
      </c>
      <c r="H26" s="96" t="s">
        <v>335</v>
      </c>
      <c r="I26" s="96" t="s">
        <v>354</v>
      </c>
      <c r="J26" s="96" t="s">
        <v>354</v>
      </c>
      <c r="K26" s="96" t="s">
        <v>23</v>
      </c>
      <c r="L26" s="96" t="s">
        <v>294</v>
      </c>
      <c r="M26" s="96" t="s">
        <v>24</v>
      </c>
      <c r="N26" s="96" t="s">
        <v>115</v>
      </c>
      <c r="O26" s="96" t="s">
        <v>500</v>
      </c>
      <c r="P26" s="96" t="s">
        <v>26</v>
      </c>
      <c r="Q26" s="96" t="s">
        <v>386</v>
      </c>
      <c r="R26" s="96" t="s">
        <v>27</v>
      </c>
      <c r="S26" s="96" t="s">
        <v>27</v>
      </c>
      <c r="T26" s="96" t="s">
        <v>501</v>
      </c>
      <c r="U26" s="97"/>
      <c r="V26" s="96" t="s">
        <v>297</v>
      </c>
      <c r="W26" s="96" t="s">
        <v>387</v>
      </c>
      <c r="X26" s="96" t="s">
        <v>231</v>
      </c>
      <c r="Y26" s="96" t="s">
        <v>389</v>
      </c>
      <c r="Z26" s="96" t="s">
        <v>389</v>
      </c>
      <c r="AA26" s="97">
        <v>27539</v>
      </c>
      <c r="AB26" s="96" t="s">
        <v>115</v>
      </c>
      <c r="AC26" s="96" t="s">
        <v>510</v>
      </c>
    </row>
    <row r="27" spans="1:29" ht="12" customHeight="1" x14ac:dyDescent="0.2">
      <c r="A27" s="96" t="s">
        <v>437</v>
      </c>
      <c r="B27" s="98" t="s">
        <v>318</v>
      </c>
      <c r="C27" s="96" t="s">
        <v>333</v>
      </c>
      <c r="D27" s="96" t="s">
        <v>334</v>
      </c>
      <c r="E27" s="96" t="s">
        <v>29</v>
      </c>
      <c r="F27" s="96" t="s">
        <v>22</v>
      </c>
      <c r="G27" s="96" t="s">
        <v>335</v>
      </c>
      <c r="H27" s="96" t="s">
        <v>335</v>
      </c>
      <c r="I27" s="96" t="s">
        <v>354</v>
      </c>
      <c r="J27" s="96" t="s">
        <v>354</v>
      </c>
      <c r="K27" s="96" t="s">
        <v>23</v>
      </c>
      <c r="L27" s="96" t="s">
        <v>294</v>
      </c>
      <c r="M27" s="96" t="s">
        <v>24</v>
      </c>
      <c r="N27" s="96" t="s">
        <v>115</v>
      </c>
      <c r="O27" s="96" t="s">
        <v>500</v>
      </c>
      <c r="P27" s="96" t="s">
        <v>26</v>
      </c>
      <c r="Q27" s="96" t="s">
        <v>386</v>
      </c>
      <c r="R27" s="96" t="s">
        <v>27</v>
      </c>
      <c r="S27" s="96" t="s">
        <v>27</v>
      </c>
      <c r="T27" s="96" t="s">
        <v>501</v>
      </c>
      <c r="U27" s="97"/>
      <c r="V27" s="96" t="s">
        <v>297</v>
      </c>
      <c r="W27" s="96" t="s">
        <v>387</v>
      </c>
      <c r="X27" s="96" t="s">
        <v>231</v>
      </c>
      <c r="Y27" s="96" t="s">
        <v>389</v>
      </c>
      <c r="Z27" s="96" t="s">
        <v>389</v>
      </c>
      <c r="AA27" s="97">
        <v>28628</v>
      </c>
      <c r="AB27" s="96" t="s">
        <v>115</v>
      </c>
      <c r="AC27" s="96" t="s">
        <v>510</v>
      </c>
    </row>
    <row r="28" spans="1:29" ht="12" customHeight="1" x14ac:dyDescent="0.2">
      <c r="A28" s="96" t="s">
        <v>439</v>
      </c>
      <c r="B28" s="98" t="s">
        <v>318</v>
      </c>
      <c r="C28" s="96" t="s">
        <v>333</v>
      </c>
      <c r="D28" s="96" t="s">
        <v>334</v>
      </c>
      <c r="E28" s="96" t="s">
        <v>29</v>
      </c>
      <c r="F28" s="96" t="s">
        <v>22</v>
      </c>
      <c r="G28" s="96" t="s">
        <v>335</v>
      </c>
      <c r="H28" s="96" t="s">
        <v>335</v>
      </c>
      <c r="I28" s="96" t="s">
        <v>354</v>
      </c>
      <c r="J28" s="96" t="s">
        <v>354</v>
      </c>
      <c r="K28" s="96" t="s">
        <v>23</v>
      </c>
      <c r="L28" s="96" t="s">
        <v>294</v>
      </c>
      <c r="M28" s="96" t="s">
        <v>24</v>
      </c>
      <c r="N28" s="96" t="s">
        <v>115</v>
      </c>
      <c r="O28" s="96" t="s">
        <v>500</v>
      </c>
      <c r="P28" s="96" t="s">
        <v>26</v>
      </c>
      <c r="Q28" s="96" t="s">
        <v>386</v>
      </c>
      <c r="R28" s="96" t="s">
        <v>27</v>
      </c>
      <c r="S28" s="96" t="s">
        <v>27</v>
      </c>
      <c r="T28" s="96" t="s">
        <v>501</v>
      </c>
      <c r="U28" s="97"/>
      <c r="V28" s="96" t="s">
        <v>297</v>
      </c>
      <c r="W28" s="96" t="s">
        <v>387</v>
      </c>
      <c r="X28" s="96" t="s">
        <v>231</v>
      </c>
      <c r="Y28" s="96" t="s">
        <v>389</v>
      </c>
      <c r="Z28" s="96" t="s">
        <v>389</v>
      </c>
      <c r="AA28" s="97">
        <v>27588</v>
      </c>
      <c r="AB28" s="96" t="s">
        <v>115</v>
      </c>
      <c r="AC28" s="96" t="s">
        <v>510</v>
      </c>
    </row>
    <row r="29" spans="1:29" ht="12" customHeight="1" x14ac:dyDescent="0.2">
      <c r="A29" s="96" t="s">
        <v>440</v>
      </c>
      <c r="B29" s="98" t="s">
        <v>318</v>
      </c>
      <c r="C29" s="96" t="s">
        <v>333</v>
      </c>
      <c r="D29" s="96" t="s">
        <v>334</v>
      </c>
      <c r="E29" s="96" t="s">
        <v>29</v>
      </c>
      <c r="F29" s="96" t="s">
        <v>22</v>
      </c>
      <c r="G29" s="96" t="s">
        <v>335</v>
      </c>
      <c r="H29" s="96" t="s">
        <v>335</v>
      </c>
      <c r="I29" s="96" t="s">
        <v>354</v>
      </c>
      <c r="J29" s="96" t="s">
        <v>354</v>
      </c>
      <c r="K29" s="96" t="s">
        <v>23</v>
      </c>
      <c r="L29" s="96" t="s">
        <v>294</v>
      </c>
      <c r="M29" s="96" t="s">
        <v>24</v>
      </c>
      <c r="N29" s="96" t="s">
        <v>115</v>
      </c>
      <c r="O29" s="96" t="s">
        <v>500</v>
      </c>
      <c r="P29" s="96" t="s">
        <v>26</v>
      </c>
      <c r="Q29" s="96" t="s">
        <v>386</v>
      </c>
      <c r="R29" s="96" t="s">
        <v>27</v>
      </c>
      <c r="S29" s="96" t="s">
        <v>27</v>
      </c>
      <c r="T29" s="96" t="s">
        <v>501</v>
      </c>
      <c r="U29" s="97"/>
      <c r="V29" s="96" t="s">
        <v>297</v>
      </c>
      <c r="W29" s="96" t="s">
        <v>387</v>
      </c>
      <c r="X29" s="96" t="s">
        <v>231</v>
      </c>
      <c r="Y29" s="96" t="s">
        <v>389</v>
      </c>
      <c r="Z29" s="96" t="s">
        <v>389</v>
      </c>
      <c r="AA29" s="97">
        <v>27539</v>
      </c>
      <c r="AB29" s="96" t="s">
        <v>115</v>
      </c>
      <c r="AC29" s="96" t="s">
        <v>510</v>
      </c>
    </row>
    <row r="30" spans="1:29" ht="12" customHeight="1" x14ac:dyDescent="0.2">
      <c r="A30" s="96" t="s">
        <v>443</v>
      </c>
      <c r="B30" s="98" t="s">
        <v>318</v>
      </c>
      <c r="C30" s="96" t="s">
        <v>333</v>
      </c>
      <c r="D30" s="96" t="s">
        <v>334</v>
      </c>
      <c r="E30" s="96" t="s">
        <v>29</v>
      </c>
      <c r="F30" s="96" t="s">
        <v>22</v>
      </c>
      <c r="G30" s="96" t="s">
        <v>335</v>
      </c>
      <c r="H30" s="96" t="s">
        <v>335</v>
      </c>
      <c r="I30" s="96" t="s">
        <v>354</v>
      </c>
      <c r="J30" s="96" t="s">
        <v>354</v>
      </c>
      <c r="K30" s="96" t="s">
        <v>23</v>
      </c>
      <c r="L30" s="96" t="s">
        <v>262</v>
      </c>
      <c r="M30" s="96" t="s">
        <v>24</v>
      </c>
      <c r="N30" s="96" t="s">
        <v>115</v>
      </c>
      <c r="O30" s="96" t="s">
        <v>500</v>
      </c>
      <c r="P30" s="96" t="s">
        <v>26</v>
      </c>
      <c r="Q30" s="96" t="s">
        <v>386</v>
      </c>
      <c r="R30" s="96" t="s">
        <v>27</v>
      </c>
      <c r="S30" s="96" t="s">
        <v>27</v>
      </c>
      <c r="T30" s="96" t="s">
        <v>501</v>
      </c>
      <c r="U30" s="97"/>
      <c r="V30" s="96" t="s">
        <v>263</v>
      </c>
      <c r="W30" s="96" t="s">
        <v>387</v>
      </c>
      <c r="X30" s="96" t="s">
        <v>231</v>
      </c>
      <c r="Y30" s="96" t="s">
        <v>389</v>
      </c>
      <c r="Z30" s="96" t="s">
        <v>389</v>
      </c>
      <c r="AA30" s="97">
        <v>27539</v>
      </c>
      <c r="AB30" s="96" t="s">
        <v>115</v>
      </c>
      <c r="AC30" s="96" t="s">
        <v>510</v>
      </c>
    </row>
    <row r="31" spans="1:29" ht="12" customHeight="1" x14ac:dyDescent="0.2">
      <c r="A31" s="96" t="s">
        <v>446</v>
      </c>
      <c r="B31" s="98" t="s">
        <v>318</v>
      </c>
      <c r="C31" s="96" t="s">
        <v>333</v>
      </c>
      <c r="D31" s="96" t="s">
        <v>334</v>
      </c>
      <c r="E31" s="96" t="s">
        <v>29</v>
      </c>
      <c r="F31" s="96" t="s">
        <v>22</v>
      </c>
      <c r="G31" s="96" t="s">
        <v>335</v>
      </c>
      <c r="H31" s="96" t="s">
        <v>335</v>
      </c>
      <c r="I31" s="96" t="s">
        <v>354</v>
      </c>
      <c r="J31" s="96" t="s">
        <v>354</v>
      </c>
      <c r="K31" s="96" t="s">
        <v>23</v>
      </c>
      <c r="L31" s="96" t="s">
        <v>262</v>
      </c>
      <c r="M31" s="96" t="s">
        <v>24</v>
      </c>
      <c r="N31" s="96" t="s">
        <v>115</v>
      </c>
      <c r="O31" s="96" t="s">
        <v>500</v>
      </c>
      <c r="P31" s="96" t="s">
        <v>26</v>
      </c>
      <c r="Q31" s="96" t="s">
        <v>386</v>
      </c>
      <c r="R31" s="96" t="s">
        <v>27</v>
      </c>
      <c r="S31" s="96" t="s">
        <v>27</v>
      </c>
      <c r="T31" s="96" t="s">
        <v>501</v>
      </c>
      <c r="U31" s="97"/>
      <c r="V31" s="96" t="s">
        <v>263</v>
      </c>
      <c r="W31" s="96" t="s">
        <v>387</v>
      </c>
      <c r="X31" s="96" t="s">
        <v>231</v>
      </c>
      <c r="Y31" s="96" t="s">
        <v>389</v>
      </c>
      <c r="Z31" s="96" t="s">
        <v>389</v>
      </c>
      <c r="AA31" s="97">
        <v>27716</v>
      </c>
      <c r="AB31" s="96" t="s">
        <v>115</v>
      </c>
      <c r="AC31" s="96" t="s">
        <v>510</v>
      </c>
    </row>
    <row r="32" spans="1:29" ht="12" customHeight="1" x14ac:dyDescent="0.2">
      <c r="A32" s="96" t="s">
        <v>447</v>
      </c>
      <c r="B32" s="98" t="s">
        <v>318</v>
      </c>
      <c r="C32" s="96" t="s">
        <v>333</v>
      </c>
      <c r="D32" s="96" t="s">
        <v>334</v>
      </c>
      <c r="E32" s="96" t="s">
        <v>29</v>
      </c>
      <c r="F32" s="96" t="s">
        <v>22</v>
      </c>
      <c r="G32" s="96" t="s">
        <v>335</v>
      </c>
      <c r="H32" s="96" t="s">
        <v>335</v>
      </c>
      <c r="I32" s="96" t="s">
        <v>354</v>
      </c>
      <c r="J32" s="96" t="s">
        <v>354</v>
      </c>
      <c r="K32" s="96" t="s">
        <v>23</v>
      </c>
      <c r="L32" s="96" t="s">
        <v>262</v>
      </c>
      <c r="M32" s="96" t="s">
        <v>24</v>
      </c>
      <c r="N32" s="96" t="s">
        <v>115</v>
      </c>
      <c r="O32" s="96" t="s">
        <v>500</v>
      </c>
      <c r="P32" s="96" t="s">
        <v>26</v>
      </c>
      <c r="Q32" s="96" t="s">
        <v>386</v>
      </c>
      <c r="R32" s="96" t="s">
        <v>27</v>
      </c>
      <c r="S32" s="96" t="s">
        <v>27</v>
      </c>
      <c r="T32" s="96" t="s">
        <v>501</v>
      </c>
      <c r="U32" s="97"/>
      <c r="V32" s="96" t="s">
        <v>263</v>
      </c>
      <c r="W32" s="96" t="s">
        <v>387</v>
      </c>
      <c r="X32" s="96" t="s">
        <v>231</v>
      </c>
      <c r="Y32" s="96" t="s">
        <v>389</v>
      </c>
      <c r="Z32" s="96" t="s">
        <v>389</v>
      </c>
      <c r="AA32" s="97">
        <v>27588</v>
      </c>
      <c r="AB32" s="96" t="s">
        <v>115</v>
      </c>
      <c r="AC32" s="96" t="s">
        <v>510</v>
      </c>
    </row>
    <row r="33" spans="1:29" ht="12" customHeight="1" x14ac:dyDescent="0.2">
      <c r="A33" s="96" t="s">
        <v>449</v>
      </c>
      <c r="B33" s="98" t="s">
        <v>318</v>
      </c>
      <c r="C33" s="96" t="s">
        <v>333</v>
      </c>
      <c r="D33" s="96" t="s">
        <v>334</v>
      </c>
      <c r="E33" s="96" t="s">
        <v>29</v>
      </c>
      <c r="F33" s="96" t="s">
        <v>22</v>
      </c>
      <c r="G33" s="96" t="s">
        <v>335</v>
      </c>
      <c r="H33" s="96" t="s">
        <v>335</v>
      </c>
      <c r="I33" s="96" t="s">
        <v>354</v>
      </c>
      <c r="J33" s="96" t="s">
        <v>354</v>
      </c>
      <c r="K33" s="96" t="s">
        <v>23</v>
      </c>
      <c r="L33" s="96" t="s">
        <v>262</v>
      </c>
      <c r="M33" s="96" t="s">
        <v>24</v>
      </c>
      <c r="N33" s="96" t="s">
        <v>115</v>
      </c>
      <c r="O33" s="96" t="s">
        <v>500</v>
      </c>
      <c r="P33" s="96" t="s">
        <v>26</v>
      </c>
      <c r="Q33" s="96" t="s">
        <v>386</v>
      </c>
      <c r="R33" s="96" t="s">
        <v>27</v>
      </c>
      <c r="S33" s="96" t="s">
        <v>27</v>
      </c>
      <c r="T33" s="96" t="s">
        <v>501</v>
      </c>
      <c r="U33" s="97"/>
      <c r="V33" s="96" t="s">
        <v>263</v>
      </c>
      <c r="W33" s="96" t="s">
        <v>387</v>
      </c>
      <c r="X33" s="96" t="s">
        <v>231</v>
      </c>
      <c r="Y33" s="96" t="s">
        <v>389</v>
      </c>
      <c r="Z33" s="96" t="s">
        <v>389</v>
      </c>
      <c r="AA33" s="97">
        <v>27716</v>
      </c>
      <c r="AB33" s="96" t="s">
        <v>115</v>
      </c>
      <c r="AC33" s="96" t="s">
        <v>510</v>
      </c>
    </row>
    <row r="34" spans="1:29" ht="12" customHeight="1" x14ac:dyDescent="0.2">
      <c r="A34" s="96" t="s">
        <v>450</v>
      </c>
      <c r="B34" s="98" t="s">
        <v>318</v>
      </c>
      <c r="C34" s="96" t="s">
        <v>333</v>
      </c>
      <c r="D34" s="96" t="s">
        <v>334</v>
      </c>
      <c r="E34" s="96" t="s">
        <v>29</v>
      </c>
      <c r="F34" s="96" t="s">
        <v>22</v>
      </c>
      <c r="G34" s="96" t="s">
        <v>335</v>
      </c>
      <c r="H34" s="96" t="s">
        <v>335</v>
      </c>
      <c r="I34" s="96" t="s">
        <v>354</v>
      </c>
      <c r="J34" s="96" t="s">
        <v>354</v>
      </c>
      <c r="K34" s="96" t="s">
        <v>23</v>
      </c>
      <c r="L34" s="96" t="s">
        <v>262</v>
      </c>
      <c r="M34" s="96" t="s">
        <v>24</v>
      </c>
      <c r="N34" s="96" t="s">
        <v>115</v>
      </c>
      <c r="O34" s="96" t="s">
        <v>500</v>
      </c>
      <c r="P34" s="96" t="s">
        <v>26</v>
      </c>
      <c r="Q34" s="96" t="s">
        <v>386</v>
      </c>
      <c r="R34" s="96" t="s">
        <v>27</v>
      </c>
      <c r="S34" s="96" t="s">
        <v>27</v>
      </c>
      <c r="T34" s="96" t="s">
        <v>501</v>
      </c>
      <c r="U34" s="97"/>
      <c r="V34" s="96" t="s">
        <v>263</v>
      </c>
      <c r="W34" s="96" t="s">
        <v>387</v>
      </c>
      <c r="X34" s="96" t="s">
        <v>231</v>
      </c>
      <c r="Y34" s="96" t="s">
        <v>389</v>
      </c>
      <c r="Z34" s="96" t="s">
        <v>389</v>
      </c>
      <c r="AA34" s="97">
        <v>27716</v>
      </c>
      <c r="AB34" s="96" t="s">
        <v>115</v>
      </c>
      <c r="AC34" s="96" t="s">
        <v>510</v>
      </c>
    </row>
    <row r="35" spans="1:29" ht="12" customHeight="1" x14ac:dyDescent="0.2">
      <c r="A35" s="96" t="s">
        <v>452</v>
      </c>
      <c r="B35" s="98" t="s">
        <v>318</v>
      </c>
      <c r="C35" s="96" t="s">
        <v>333</v>
      </c>
      <c r="D35" s="96" t="s">
        <v>334</v>
      </c>
      <c r="E35" s="96" t="s">
        <v>29</v>
      </c>
      <c r="F35" s="96" t="s">
        <v>22</v>
      </c>
      <c r="G35" s="96" t="s">
        <v>335</v>
      </c>
      <c r="H35" s="96" t="s">
        <v>335</v>
      </c>
      <c r="I35" s="96" t="s">
        <v>354</v>
      </c>
      <c r="J35" s="96" t="s">
        <v>354</v>
      </c>
      <c r="K35" s="96" t="s">
        <v>23</v>
      </c>
      <c r="L35" s="96" t="s">
        <v>262</v>
      </c>
      <c r="M35" s="96" t="s">
        <v>24</v>
      </c>
      <c r="N35" s="96" t="s">
        <v>115</v>
      </c>
      <c r="O35" s="96" t="s">
        <v>500</v>
      </c>
      <c r="P35" s="96" t="s">
        <v>26</v>
      </c>
      <c r="Q35" s="96" t="s">
        <v>386</v>
      </c>
      <c r="R35" s="96" t="s">
        <v>27</v>
      </c>
      <c r="S35" s="96" t="s">
        <v>27</v>
      </c>
      <c r="T35" s="96" t="s">
        <v>501</v>
      </c>
      <c r="U35" s="97"/>
      <c r="V35" s="96" t="s">
        <v>263</v>
      </c>
      <c r="W35" s="96" t="s">
        <v>387</v>
      </c>
      <c r="X35" s="96" t="s">
        <v>231</v>
      </c>
      <c r="Y35" s="96" t="s">
        <v>389</v>
      </c>
      <c r="Z35" s="96" t="s">
        <v>389</v>
      </c>
      <c r="AA35" s="97">
        <v>27588</v>
      </c>
      <c r="AB35" s="96" t="s">
        <v>115</v>
      </c>
      <c r="AC35" s="96" t="s">
        <v>510</v>
      </c>
    </row>
    <row r="36" spans="1:29" ht="12" customHeight="1" x14ac:dyDescent="0.2">
      <c r="A36" s="96" t="s">
        <v>455</v>
      </c>
      <c r="B36" s="98" t="s">
        <v>318</v>
      </c>
      <c r="C36" s="96" t="s">
        <v>333</v>
      </c>
      <c r="D36" s="96" t="s">
        <v>334</v>
      </c>
      <c r="E36" s="96" t="s">
        <v>29</v>
      </c>
      <c r="F36" s="96" t="s">
        <v>22</v>
      </c>
      <c r="G36" s="96" t="s">
        <v>335</v>
      </c>
      <c r="H36" s="96" t="s">
        <v>335</v>
      </c>
      <c r="I36" s="96" t="s">
        <v>354</v>
      </c>
      <c r="J36" s="96" t="s">
        <v>354</v>
      </c>
      <c r="K36" s="96" t="s">
        <v>23</v>
      </c>
      <c r="L36" s="96" t="s">
        <v>262</v>
      </c>
      <c r="M36" s="96" t="s">
        <v>24</v>
      </c>
      <c r="N36" s="96" t="s">
        <v>115</v>
      </c>
      <c r="O36" s="96" t="s">
        <v>500</v>
      </c>
      <c r="P36" s="96" t="s">
        <v>26</v>
      </c>
      <c r="Q36" s="96" t="s">
        <v>386</v>
      </c>
      <c r="R36" s="96" t="s">
        <v>27</v>
      </c>
      <c r="S36" s="96" t="s">
        <v>27</v>
      </c>
      <c r="T36" s="96" t="s">
        <v>501</v>
      </c>
      <c r="U36" s="97"/>
      <c r="V36" s="96" t="s">
        <v>263</v>
      </c>
      <c r="W36" s="96" t="s">
        <v>387</v>
      </c>
      <c r="X36" s="96" t="s">
        <v>231</v>
      </c>
      <c r="Y36" s="96" t="s">
        <v>389</v>
      </c>
      <c r="Z36" s="96" t="s">
        <v>389</v>
      </c>
      <c r="AA36" s="97">
        <v>27539</v>
      </c>
      <c r="AB36" s="96" t="s">
        <v>115</v>
      </c>
      <c r="AC36" s="96" t="s">
        <v>510</v>
      </c>
    </row>
    <row r="37" spans="1:29" ht="12" customHeight="1" x14ac:dyDescent="0.2">
      <c r="A37" s="96" t="s">
        <v>457</v>
      </c>
      <c r="B37" s="98" t="s">
        <v>318</v>
      </c>
      <c r="C37" s="96" t="s">
        <v>333</v>
      </c>
      <c r="D37" s="96" t="s">
        <v>334</v>
      </c>
      <c r="E37" s="96" t="s">
        <v>29</v>
      </c>
      <c r="F37" s="96" t="s">
        <v>22</v>
      </c>
      <c r="G37" s="96" t="s">
        <v>335</v>
      </c>
      <c r="H37" s="96" t="s">
        <v>335</v>
      </c>
      <c r="I37" s="96" t="s">
        <v>354</v>
      </c>
      <c r="J37" s="96" t="s">
        <v>354</v>
      </c>
      <c r="K37" s="96" t="s">
        <v>23</v>
      </c>
      <c r="L37" s="96" t="s">
        <v>262</v>
      </c>
      <c r="M37" s="96" t="s">
        <v>24</v>
      </c>
      <c r="N37" s="96" t="s">
        <v>115</v>
      </c>
      <c r="O37" s="96" t="s">
        <v>500</v>
      </c>
      <c r="P37" s="96" t="s">
        <v>26</v>
      </c>
      <c r="Q37" s="96" t="s">
        <v>386</v>
      </c>
      <c r="R37" s="96" t="s">
        <v>27</v>
      </c>
      <c r="S37" s="96" t="s">
        <v>27</v>
      </c>
      <c r="T37" s="96" t="s">
        <v>501</v>
      </c>
      <c r="U37" s="97"/>
      <c r="V37" s="96" t="s">
        <v>263</v>
      </c>
      <c r="W37" s="96" t="s">
        <v>387</v>
      </c>
      <c r="X37" s="96" t="s">
        <v>231</v>
      </c>
      <c r="Y37" s="96" t="s">
        <v>389</v>
      </c>
      <c r="Z37" s="96" t="s">
        <v>389</v>
      </c>
      <c r="AA37" s="97">
        <v>27716</v>
      </c>
      <c r="AB37" s="96" t="s">
        <v>115</v>
      </c>
      <c r="AC37" s="96" t="s">
        <v>510</v>
      </c>
    </row>
    <row r="38" spans="1:29" ht="12" customHeight="1" x14ac:dyDescent="0.2">
      <c r="A38" s="96" t="s">
        <v>460</v>
      </c>
      <c r="B38" s="98" t="s">
        <v>318</v>
      </c>
      <c r="C38" s="96" t="s">
        <v>333</v>
      </c>
      <c r="D38" s="96" t="s">
        <v>334</v>
      </c>
      <c r="E38" s="96" t="s">
        <v>29</v>
      </c>
      <c r="F38" s="96" t="s">
        <v>22</v>
      </c>
      <c r="G38" s="96" t="s">
        <v>335</v>
      </c>
      <c r="H38" s="96" t="s">
        <v>335</v>
      </c>
      <c r="I38" s="96" t="s">
        <v>354</v>
      </c>
      <c r="J38" s="96" t="s">
        <v>354</v>
      </c>
      <c r="K38" s="96" t="s">
        <v>23</v>
      </c>
      <c r="L38" s="96" t="s">
        <v>262</v>
      </c>
      <c r="M38" s="96" t="s">
        <v>24</v>
      </c>
      <c r="N38" s="96" t="s">
        <v>115</v>
      </c>
      <c r="O38" s="96" t="s">
        <v>500</v>
      </c>
      <c r="P38" s="96" t="s">
        <v>26</v>
      </c>
      <c r="Q38" s="96" t="s">
        <v>386</v>
      </c>
      <c r="R38" s="96" t="s">
        <v>27</v>
      </c>
      <c r="S38" s="96" t="s">
        <v>27</v>
      </c>
      <c r="T38" s="96" t="s">
        <v>501</v>
      </c>
      <c r="U38" s="97"/>
      <c r="V38" s="96" t="s">
        <v>263</v>
      </c>
      <c r="W38" s="96" t="s">
        <v>387</v>
      </c>
      <c r="X38" s="96" t="s">
        <v>231</v>
      </c>
      <c r="Y38" s="96" t="s">
        <v>389</v>
      </c>
      <c r="Z38" s="96" t="s">
        <v>389</v>
      </c>
      <c r="AA38" s="97">
        <v>27588</v>
      </c>
      <c r="AB38" s="96" t="s">
        <v>115</v>
      </c>
      <c r="AC38" s="96" t="s">
        <v>510</v>
      </c>
    </row>
    <row r="39" spans="1:29" ht="12" customHeight="1" x14ac:dyDescent="0.2">
      <c r="A39" s="96" t="s">
        <v>461</v>
      </c>
      <c r="B39" s="98" t="s">
        <v>318</v>
      </c>
      <c r="C39" s="96" t="s">
        <v>333</v>
      </c>
      <c r="D39" s="96" t="s">
        <v>334</v>
      </c>
      <c r="E39" s="96" t="s">
        <v>29</v>
      </c>
      <c r="F39" s="96" t="s">
        <v>22</v>
      </c>
      <c r="G39" s="96" t="s">
        <v>335</v>
      </c>
      <c r="H39" s="96" t="s">
        <v>335</v>
      </c>
      <c r="I39" s="96" t="s">
        <v>336</v>
      </c>
      <c r="J39" s="96" t="s">
        <v>399</v>
      </c>
      <c r="K39" s="96" t="s">
        <v>23</v>
      </c>
      <c r="L39" s="96" t="s">
        <v>262</v>
      </c>
      <c r="M39" s="96" t="s">
        <v>24</v>
      </c>
      <c r="N39" s="96" t="s">
        <v>115</v>
      </c>
      <c r="O39" s="96" t="s">
        <v>500</v>
      </c>
      <c r="P39" s="96" t="s">
        <v>26</v>
      </c>
      <c r="Q39" s="96" t="s">
        <v>396</v>
      </c>
      <c r="R39" s="96" t="s">
        <v>109</v>
      </c>
      <c r="S39" s="96" t="s">
        <v>27</v>
      </c>
      <c r="T39" s="96" t="s">
        <v>501</v>
      </c>
      <c r="U39" s="97"/>
      <c r="V39" s="96" t="s">
        <v>263</v>
      </c>
      <c r="W39" s="96" t="s">
        <v>521</v>
      </c>
      <c r="X39" s="96" t="s">
        <v>231</v>
      </c>
      <c r="Y39" s="96" t="s">
        <v>401</v>
      </c>
      <c r="Z39" s="96" t="s">
        <v>401</v>
      </c>
      <c r="AA39" s="97">
        <v>24080</v>
      </c>
      <c r="AB39" s="96" t="s">
        <v>115</v>
      </c>
      <c r="AC39" s="96" t="s">
        <v>522</v>
      </c>
    </row>
    <row r="40" spans="1:29" ht="12" customHeight="1" x14ac:dyDescent="0.2">
      <c r="A40" s="96" t="s">
        <v>464</v>
      </c>
      <c r="B40" s="98" t="s">
        <v>318</v>
      </c>
      <c r="C40" s="96" t="s">
        <v>333</v>
      </c>
      <c r="D40" s="96" t="s">
        <v>334</v>
      </c>
      <c r="E40" s="96" t="s">
        <v>29</v>
      </c>
      <c r="F40" s="96" t="s">
        <v>22</v>
      </c>
      <c r="G40" s="96" t="s">
        <v>335</v>
      </c>
      <c r="H40" s="96" t="s">
        <v>335</v>
      </c>
      <c r="I40" s="96" t="s">
        <v>354</v>
      </c>
      <c r="J40" s="96" t="s">
        <v>354</v>
      </c>
      <c r="K40" s="96" t="s">
        <v>23</v>
      </c>
      <c r="L40" s="96" t="s">
        <v>262</v>
      </c>
      <c r="M40" s="96" t="s">
        <v>24</v>
      </c>
      <c r="N40" s="96" t="s">
        <v>115</v>
      </c>
      <c r="O40" s="96" t="s">
        <v>500</v>
      </c>
      <c r="P40" s="96" t="s">
        <v>26</v>
      </c>
      <c r="Q40" s="96" t="s">
        <v>386</v>
      </c>
      <c r="R40" s="96" t="s">
        <v>27</v>
      </c>
      <c r="S40" s="96" t="s">
        <v>27</v>
      </c>
      <c r="T40" s="96" t="s">
        <v>501</v>
      </c>
      <c r="U40" s="97"/>
      <c r="V40" s="96" t="s">
        <v>263</v>
      </c>
      <c r="W40" s="96" t="s">
        <v>387</v>
      </c>
      <c r="X40" s="96" t="s">
        <v>231</v>
      </c>
      <c r="Y40" s="96" t="s">
        <v>389</v>
      </c>
      <c r="Z40" s="96" t="s">
        <v>389</v>
      </c>
      <c r="AA40" s="97">
        <v>27539</v>
      </c>
      <c r="AB40" s="96" t="s">
        <v>115</v>
      </c>
      <c r="AC40" s="96" t="s">
        <v>510</v>
      </c>
    </row>
    <row r="41" spans="1:29" ht="12" customHeight="1" x14ac:dyDescent="0.2">
      <c r="A41" s="96" t="s">
        <v>466</v>
      </c>
      <c r="B41" s="98" t="s">
        <v>318</v>
      </c>
      <c r="C41" s="96" t="s">
        <v>333</v>
      </c>
      <c r="D41" s="96" t="s">
        <v>334</v>
      </c>
      <c r="E41" s="96" t="s">
        <v>29</v>
      </c>
      <c r="F41" s="96" t="s">
        <v>22</v>
      </c>
      <c r="G41" s="96" t="s">
        <v>335</v>
      </c>
      <c r="H41" s="96" t="s">
        <v>335</v>
      </c>
      <c r="I41" s="96" t="s">
        <v>354</v>
      </c>
      <c r="J41" s="96" t="s">
        <v>354</v>
      </c>
      <c r="K41" s="96" t="s">
        <v>23</v>
      </c>
      <c r="L41" s="96" t="s">
        <v>262</v>
      </c>
      <c r="M41" s="96" t="s">
        <v>24</v>
      </c>
      <c r="N41" s="96" t="s">
        <v>115</v>
      </c>
      <c r="O41" s="96" t="s">
        <v>500</v>
      </c>
      <c r="P41" s="96" t="s">
        <v>26</v>
      </c>
      <c r="Q41" s="96" t="s">
        <v>386</v>
      </c>
      <c r="R41" s="96" t="s">
        <v>27</v>
      </c>
      <c r="S41" s="96" t="s">
        <v>27</v>
      </c>
      <c r="T41" s="96" t="s">
        <v>501</v>
      </c>
      <c r="U41" s="97"/>
      <c r="V41" s="96" t="s">
        <v>263</v>
      </c>
      <c r="W41" s="96" t="s">
        <v>387</v>
      </c>
      <c r="X41" s="96" t="s">
        <v>231</v>
      </c>
      <c r="Y41" s="96" t="s">
        <v>389</v>
      </c>
      <c r="Z41" s="96" t="s">
        <v>389</v>
      </c>
      <c r="AA41" s="97">
        <v>27588</v>
      </c>
      <c r="AB41" s="96" t="s">
        <v>115</v>
      </c>
      <c r="AC41" s="96" t="s">
        <v>510</v>
      </c>
    </row>
    <row r="42" spans="1:29" ht="12" customHeight="1" x14ac:dyDescent="0.2">
      <c r="A42" s="96" t="s">
        <v>468</v>
      </c>
      <c r="B42" s="98" t="s">
        <v>318</v>
      </c>
      <c r="C42" s="96" t="s">
        <v>333</v>
      </c>
      <c r="D42" s="96" t="s">
        <v>334</v>
      </c>
      <c r="E42" s="96" t="s">
        <v>29</v>
      </c>
      <c r="F42" s="96" t="s">
        <v>22</v>
      </c>
      <c r="G42" s="96" t="s">
        <v>335</v>
      </c>
      <c r="H42" s="96" t="s">
        <v>335</v>
      </c>
      <c r="I42" s="96" t="s">
        <v>336</v>
      </c>
      <c r="J42" s="96" t="s">
        <v>399</v>
      </c>
      <c r="K42" s="96" t="s">
        <v>23</v>
      </c>
      <c r="L42" s="96" t="s">
        <v>262</v>
      </c>
      <c r="M42" s="96" t="s">
        <v>24</v>
      </c>
      <c r="N42" s="96" t="s">
        <v>115</v>
      </c>
      <c r="O42" s="96" t="s">
        <v>500</v>
      </c>
      <c r="P42" s="96" t="s">
        <v>26</v>
      </c>
      <c r="Q42" s="96" t="s">
        <v>396</v>
      </c>
      <c r="R42" s="96" t="s">
        <v>109</v>
      </c>
      <c r="S42" s="96" t="s">
        <v>27</v>
      </c>
      <c r="T42" s="96" t="s">
        <v>501</v>
      </c>
      <c r="U42" s="97"/>
      <c r="V42" s="96" t="s">
        <v>263</v>
      </c>
      <c r="W42" s="96" t="s">
        <v>521</v>
      </c>
      <c r="X42" s="96" t="s">
        <v>231</v>
      </c>
      <c r="Y42" s="96" t="s">
        <v>401</v>
      </c>
      <c r="Z42" s="96" t="s">
        <v>401</v>
      </c>
      <c r="AA42" s="97">
        <v>24080</v>
      </c>
      <c r="AB42" s="96" t="s">
        <v>115</v>
      </c>
      <c r="AC42" s="96" t="s">
        <v>522</v>
      </c>
    </row>
    <row r="43" spans="1:29" ht="12" customHeight="1" x14ac:dyDescent="0.2">
      <c r="A43" s="96" t="s">
        <v>470</v>
      </c>
      <c r="B43" s="98" t="s">
        <v>318</v>
      </c>
      <c r="C43" s="96" t="s">
        <v>333</v>
      </c>
      <c r="D43" s="96" t="s">
        <v>334</v>
      </c>
      <c r="E43" s="96" t="s">
        <v>29</v>
      </c>
      <c r="F43" s="96" t="s">
        <v>22</v>
      </c>
      <c r="G43" s="96" t="s">
        <v>335</v>
      </c>
      <c r="H43" s="96" t="s">
        <v>335</v>
      </c>
      <c r="I43" s="96" t="s">
        <v>354</v>
      </c>
      <c r="J43" s="96" t="s">
        <v>354</v>
      </c>
      <c r="K43" s="96" t="s">
        <v>23</v>
      </c>
      <c r="L43" s="96" t="s">
        <v>262</v>
      </c>
      <c r="M43" s="96" t="s">
        <v>24</v>
      </c>
      <c r="N43" s="96" t="s">
        <v>115</v>
      </c>
      <c r="O43" s="96" t="s">
        <v>500</v>
      </c>
      <c r="P43" s="96" t="s">
        <v>26</v>
      </c>
      <c r="Q43" s="96" t="s">
        <v>386</v>
      </c>
      <c r="R43" s="96" t="s">
        <v>27</v>
      </c>
      <c r="S43" s="96" t="s">
        <v>27</v>
      </c>
      <c r="T43" s="96" t="s">
        <v>501</v>
      </c>
      <c r="U43" s="97"/>
      <c r="V43" s="96" t="s">
        <v>263</v>
      </c>
      <c r="W43" s="96" t="s">
        <v>387</v>
      </c>
      <c r="X43" s="96" t="s">
        <v>231</v>
      </c>
      <c r="Y43" s="96" t="s">
        <v>389</v>
      </c>
      <c r="Z43" s="96" t="s">
        <v>389</v>
      </c>
      <c r="AA43" s="97">
        <v>27539</v>
      </c>
      <c r="AB43" s="96" t="s">
        <v>115</v>
      </c>
      <c r="AC43" s="96" t="s">
        <v>510</v>
      </c>
    </row>
    <row r="44" spans="1:29" ht="12" customHeight="1" x14ac:dyDescent="0.2">
      <c r="A44" s="96" t="s">
        <v>472</v>
      </c>
      <c r="B44" s="98" t="s">
        <v>318</v>
      </c>
      <c r="C44" s="96" t="s">
        <v>333</v>
      </c>
      <c r="D44" s="96" t="s">
        <v>334</v>
      </c>
      <c r="E44" s="96" t="s">
        <v>29</v>
      </c>
      <c r="F44" s="96" t="s">
        <v>22</v>
      </c>
      <c r="G44" s="96" t="s">
        <v>335</v>
      </c>
      <c r="H44" s="96" t="s">
        <v>335</v>
      </c>
      <c r="I44" s="96" t="s">
        <v>354</v>
      </c>
      <c r="J44" s="96" t="s">
        <v>354</v>
      </c>
      <c r="K44" s="96" t="s">
        <v>23</v>
      </c>
      <c r="L44" s="96" t="s">
        <v>262</v>
      </c>
      <c r="M44" s="96" t="s">
        <v>24</v>
      </c>
      <c r="N44" s="96" t="s">
        <v>115</v>
      </c>
      <c r="O44" s="96" t="s">
        <v>500</v>
      </c>
      <c r="P44" s="96" t="s">
        <v>26</v>
      </c>
      <c r="Q44" s="96" t="s">
        <v>386</v>
      </c>
      <c r="R44" s="96" t="s">
        <v>27</v>
      </c>
      <c r="S44" s="96" t="s">
        <v>27</v>
      </c>
      <c r="T44" s="96" t="s">
        <v>501</v>
      </c>
      <c r="U44" s="97"/>
      <c r="V44" s="96" t="s">
        <v>263</v>
      </c>
      <c r="W44" s="96" t="s">
        <v>387</v>
      </c>
      <c r="X44" s="96" t="s">
        <v>231</v>
      </c>
      <c r="Y44" s="96" t="s">
        <v>389</v>
      </c>
      <c r="Z44" s="96" t="s">
        <v>389</v>
      </c>
      <c r="AA44" s="97">
        <v>27716</v>
      </c>
      <c r="AB44" s="96" t="s">
        <v>115</v>
      </c>
      <c r="AC44" s="96" t="s">
        <v>510</v>
      </c>
    </row>
    <row r="45" spans="1:29" ht="12" customHeight="1" x14ac:dyDescent="0.2">
      <c r="A45" s="96" t="s">
        <v>474</v>
      </c>
      <c r="B45" s="98" t="s">
        <v>318</v>
      </c>
      <c r="C45" s="96" t="s">
        <v>333</v>
      </c>
      <c r="D45" s="96" t="s">
        <v>334</v>
      </c>
      <c r="E45" s="96" t="s">
        <v>29</v>
      </c>
      <c r="F45" s="96" t="s">
        <v>22</v>
      </c>
      <c r="G45" s="96" t="s">
        <v>335</v>
      </c>
      <c r="H45" s="96" t="s">
        <v>335</v>
      </c>
      <c r="I45" s="96" t="s">
        <v>354</v>
      </c>
      <c r="J45" s="96" t="s">
        <v>354</v>
      </c>
      <c r="K45" s="96" t="s">
        <v>23</v>
      </c>
      <c r="L45" s="96" t="s">
        <v>262</v>
      </c>
      <c r="M45" s="96" t="s">
        <v>24</v>
      </c>
      <c r="N45" s="96" t="s">
        <v>115</v>
      </c>
      <c r="O45" s="96" t="s">
        <v>500</v>
      </c>
      <c r="P45" s="96" t="s">
        <v>26</v>
      </c>
      <c r="Q45" s="96" t="s">
        <v>386</v>
      </c>
      <c r="R45" s="96" t="s">
        <v>27</v>
      </c>
      <c r="S45" s="96" t="s">
        <v>27</v>
      </c>
      <c r="T45" s="96" t="s">
        <v>501</v>
      </c>
      <c r="U45" s="97"/>
      <c r="V45" s="96" t="s">
        <v>263</v>
      </c>
      <c r="W45" s="96" t="s">
        <v>387</v>
      </c>
      <c r="X45" s="96" t="s">
        <v>231</v>
      </c>
      <c r="Y45" s="96" t="s">
        <v>389</v>
      </c>
      <c r="Z45" s="96" t="s">
        <v>389</v>
      </c>
      <c r="AA45" s="97">
        <v>27716</v>
      </c>
      <c r="AB45" s="96" t="s">
        <v>115</v>
      </c>
      <c r="AC45" s="96" t="s">
        <v>510</v>
      </c>
    </row>
    <row r="46" spans="1:29" ht="12" customHeight="1" x14ac:dyDescent="0.2">
      <c r="A46" s="96" t="s">
        <v>476</v>
      </c>
      <c r="B46" s="98" t="s">
        <v>318</v>
      </c>
      <c r="C46" s="96" t="s">
        <v>333</v>
      </c>
      <c r="D46" s="96" t="s">
        <v>334</v>
      </c>
      <c r="E46" s="96" t="s">
        <v>29</v>
      </c>
      <c r="F46" s="96" t="s">
        <v>22</v>
      </c>
      <c r="G46" s="96" t="s">
        <v>335</v>
      </c>
      <c r="H46" s="96" t="s">
        <v>335</v>
      </c>
      <c r="I46" s="96" t="s">
        <v>336</v>
      </c>
      <c r="J46" s="96" t="s">
        <v>426</v>
      </c>
      <c r="K46" s="96" t="s">
        <v>23</v>
      </c>
      <c r="L46" s="96" t="s">
        <v>262</v>
      </c>
      <c r="M46" s="96" t="s">
        <v>24</v>
      </c>
      <c r="N46" s="96" t="s">
        <v>115</v>
      </c>
      <c r="O46" s="96" t="s">
        <v>500</v>
      </c>
      <c r="P46" s="96" t="s">
        <v>26</v>
      </c>
      <c r="Q46" s="96" t="s">
        <v>425</v>
      </c>
      <c r="R46" s="96" t="s">
        <v>109</v>
      </c>
      <c r="S46" s="96" t="s">
        <v>27</v>
      </c>
      <c r="T46" s="96" t="s">
        <v>501</v>
      </c>
      <c r="U46" s="97"/>
      <c r="V46" s="96" t="s">
        <v>263</v>
      </c>
      <c r="W46" s="96" t="s">
        <v>513</v>
      </c>
      <c r="X46" s="96" t="s">
        <v>231</v>
      </c>
      <c r="Y46" s="96" t="s">
        <v>427</v>
      </c>
      <c r="Z46" s="96" t="s">
        <v>427</v>
      </c>
      <c r="AA46" s="97">
        <v>7677.6</v>
      </c>
      <c r="AB46" s="96" t="s">
        <v>115</v>
      </c>
      <c r="AC46" s="96" t="s">
        <v>526</v>
      </c>
    </row>
    <row r="47" spans="1:29" ht="12" customHeight="1" x14ac:dyDescent="0.2">
      <c r="A47" s="96" t="s">
        <v>477</v>
      </c>
      <c r="B47" s="98" t="s">
        <v>318</v>
      </c>
      <c r="C47" s="96" t="s">
        <v>333</v>
      </c>
      <c r="D47" s="96" t="s">
        <v>334</v>
      </c>
      <c r="E47" s="96" t="s">
        <v>21</v>
      </c>
      <c r="F47" s="96" t="s">
        <v>22</v>
      </c>
      <c r="G47" s="96" t="s">
        <v>335</v>
      </c>
      <c r="H47" s="96" t="s">
        <v>335</v>
      </c>
      <c r="I47" s="96" t="s">
        <v>336</v>
      </c>
      <c r="J47" s="96" t="s">
        <v>481</v>
      </c>
      <c r="K47" s="96" t="s">
        <v>23</v>
      </c>
      <c r="L47" s="96" t="s">
        <v>262</v>
      </c>
      <c r="M47" s="96" t="s">
        <v>24</v>
      </c>
      <c r="N47" s="96" t="s">
        <v>115</v>
      </c>
      <c r="O47" s="96" t="s">
        <v>500</v>
      </c>
      <c r="P47" s="96" t="s">
        <v>26</v>
      </c>
      <c r="Q47" s="96" t="s">
        <v>479</v>
      </c>
      <c r="R47" s="96" t="s">
        <v>109</v>
      </c>
      <c r="S47" s="96" t="s">
        <v>27</v>
      </c>
      <c r="T47" s="96" t="s">
        <v>501</v>
      </c>
      <c r="U47" s="97"/>
      <c r="V47" s="96" t="s">
        <v>278</v>
      </c>
      <c r="W47" s="96" t="s">
        <v>528</v>
      </c>
      <c r="X47" s="96" t="s">
        <v>231</v>
      </c>
      <c r="Y47" s="96" t="s">
        <v>483</v>
      </c>
      <c r="Z47" s="96" t="s">
        <v>483</v>
      </c>
      <c r="AA47" s="97">
        <v>19814.5</v>
      </c>
      <c r="AB47" s="96" t="s">
        <v>115</v>
      </c>
      <c r="AC47" s="96" t="s">
        <v>529</v>
      </c>
    </row>
    <row r="48" spans="1:29" ht="12" customHeight="1" x14ac:dyDescent="0.2">
      <c r="A48" s="96" t="s">
        <v>484</v>
      </c>
      <c r="B48" s="98" t="s">
        <v>318</v>
      </c>
      <c r="C48" s="96" t="s">
        <v>333</v>
      </c>
      <c r="D48" s="96" t="s">
        <v>334</v>
      </c>
      <c r="E48" s="96" t="s">
        <v>21</v>
      </c>
      <c r="F48" s="96" t="s">
        <v>22</v>
      </c>
      <c r="G48" s="96" t="s">
        <v>335</v>
      </c>
      <c r="H48" s="96" t="s">
        <v>335</v>
      </c>
      <c r="I48" s="96" t="s">
        <v>336</v>
      </c>
      <c r="J48" s="96" t="s">
        <v>481</v>
      </c>
      <c r="K48" s="96" t="s">
        <v>23</v>
      </c>
      <c r="L48" s="96" t="s">
        <v>262</v>
      </c>
      <c r="M48" s="96" t="s">
        <v>24</v>
      </c>
      <c r="N48" s="96" t="s">
        <v>115</v>
      </c>
      <c r="O48" s="96" t="s">
        <v>500</v>
      </c>
      <c r="P48" s="96" t="s">
        <v>26</v>
      </c>
      <c r="Q48" s="96" t="s">
        <v>486</v>
      </c>
      <c r="R48" s="96" t="s">
        <v>109</v>
      </c>
      <c r="S48" s="96" t="s">
        <v>27</v>
      </c>
      <c r="T48" s="96" t="s">
        <v>501</v>
      </c>
      <c r="U48" s="97"/>
      <c r="V48" s="96" t="s">
        <v>278</v>
      </c>
      <c r="W48" s="96" t="s">
        <v>528</v>
      </c>
      <c r="X48" s="96" t="s">
        <v>231</v>
      </c>
      <c r="Y48" s="96" t="s">
        <v>483</v>
      </c>
      <c r="Z48" s="96" t="s">
        <v>483</v>
      </c>
      <c r="AA48" s="97">
        <v>19814.5</v>
      </c>
      <c r="AB48" s="96" t="s">
        <v>115</v>
      </c>
      <c r="AC48" s="96" t="s">
        <v>529</v>
      </c>
    </row>
    <row r="49" spans="1:29" ht="12" customHeight="1" x14ac:dyDescent="0.2">
      <c r="A49" s="96" t="s">
        <v>488</v>
      </c>
      <c r="B49" s="98" t="s">
        <v>318</v>
      </c>
      <c r="C49" s="96" t="s">
        <v>333</v>
      </c>
      <c r="D49" s="96" t="s">
        <v>334</v>
      </c>
      <c r="E49" s="96" t="s">
        <v>21</v>
      </c>
      <c r="F49" s="96" t="s">
        <v>22</v>
      </c>
      <c r="G49" s="96" t="s">
        <v>335</v>
      </c>
      <c r="H49" s="96" t="s">
        <v>335</v>
      </c>
      <c r="I49" s="96" t="s">
        <v>336</v>
      </c>
      <c r="J49" s="96" t="s">
        <v>481</v>
      </c>
      <c r="K49" s="96" t="s">
        <v>23</v>
      </c>
      <c r="L49" s="96" t="s">
        <v>262</v>
      </c>
      <c r="M49" s="96" t="s">
        <v>24</v>
      </c>
      <c r="N49" s="96" t="s">
        <v>115</v>
      </c>
      <c r="O49" s="96" t="s">
        <v>500</v>
      </c>
      <c r="P49" s="96" t="s">
        <v>26</v>
      </c>
      <c r="Q49" s="96" t="s">
        <v>490</v>
      </c>
      <c r="R49" s="96" t="s">
        <v>109</v>
      </c>
      <c r="S49" s="96" t="s">
        <v>27</v>
      </c>
      <c r="T49" s="96" t="s">
        <v>501</v>
      </c>
      <c r="U49" s="97"/>
      <c r="V49" s="96" t="s">
        <v>278</v>
      </c>
      <c r="W49" s="96" t="s">
        <v>528</v>
      </c>
      <c r="X49" s="96" t="s">
        <v>231</v>
      </c>
      <c r="Y49" s="96" t="s">
        <v>483</v>
      </c>
      <c r="Z49" s="96" t="s">
        <v>483</v>
      </c>
      <c r="AA49" s="97">
        <v>20898</v>
      </c>
      <c r="AB49" s="96" t="s">
        <v>115</v>
      </c>
      <c r="AC49" s="96" t="s">
        <v>529</v>
      </c>
    </row>
    <row r="50" spans="1:29" ht="12" customHeight="1" x14ac:dyDescent="0.2">
      <c r="A50" s="96" t="s">
        <v>492</v>
      </c>
      <c r="B50" s="98" t="s">
        <v>318</v>
      </c>
      <c r="C50" s="96" t="s">
        <v>333</v>
      </c>
      <c r="D50" s="96" t="s">
        <v>334</v>
      </c>
      <c r="E50" s="96" t="s">
        <v>21</v>
      </c>
      <c r="F50" s="96" t="s">
        <v>22</v>
      </c>
      <c r="G50" s="96" t="s">
        <v>335</v>
      </c>
      <c r="H50" s="96" t="s">
        <v>335</v>
      </c>
      <c r="I50" s="96" t="s">
        <v>336</v>
      </c>
      <c r="J50" s="96" t="s">
        <v>495</v>
      </c>
      <c r="K50" s="96" t="s">
        <v>23</v>
      </c>
      <c r="L50" s="96" t="s">
        <v>262</v>
      </c>
      <c r="M50" s="96" t="s">
        <v>24</v>
      </c>
      <c r="N50" s="96" t="s">
        <v>115</v>
      </c>
      <c r="O50" s="96" t="s">
        <v>500</v>
      </c>
      <c r="P50" s="96" t="s">
        <v>26</v>
      </c>
      <c r="Q50" s="96" t="s">
        <v>494</v>
      </c>
      <c r="R50" s="96" t="s">
        <v>109</v>
      </c>
      <c r="S50" s="96" t="s">
        <v>27</v>
      </c>
      <c r="T50" s="96" t="s">
        <v>501</v>
      </c>
      <c r="U50" s="97"/>
      <c r="V50" s="96" t="s">
        <v>278</v>
      </c>
      <c r="W50" s="96" t="s">
        <v>530</v>
      </c>
      <c r="X50" s="96" t="s">
        <v>231</v>
      </c>
      <c r="Y50" s="96" t="s">
        <v>497</v>
      </c>
      <c r="Z50" s="96" t="s">
        <v>497</v>
      </c>
      <c r="AA50" s="97">
        <v>3746</v>
      </c>
      <c r="AB50" s="96" t="s">
        <v>115</v>
      </c>
      <c r="AC50" s="96" t="s">
        <v>531</v>
      </c>
    </row>
    <row r="51" spans="1:29" ht="12" customHeight="1" x14ac:dyDescent="0.2">
      <c r="A51" s="96" t="s">
        <v>498</v>
      </c>
      <c r="B51" s="98" t="s">
        <v>318</v>
      </c>
      <c r="C51" s="96" t="s">
        <v>333</v>
      </c>
      <c r="D51" s="96" t="s">
        <v>334</v>
      </c>
      <c r="E51" s="96" t="s">
        <v>29</v>
      </c>
      <c r="F51" s="96" t="s">
        <v>22</v>
      </c>
      <c r="G51" s="96" t="s">
        <v>335</v>
      </c>
      <c r="H51" s="96" t="s">
        <v>335</v>
      </c>
      <c r="I51" s="96" t="s">
        <v>354</v>
      </c>
      <c r="J51" s="96" t="s">
        <v>354</v>
      </c>
      <c r="K51" s="96" t="s">
        <v>23</v>
      </c>
      <c r="L51" s="96" t="s">
        <v>262</v>
      </c>
      <c r="M51" s="96" t="s">
        <v>24</v>
      </c>
      <c r="N51" s="96" t="s">
        <v>115</v>
      </c>
      <c r="O51" s="96" t="s">
        <v>500</v>
      </c>
      <c r="P51" s="96" t="s">
        <v>26</v>
      </c>
      <c r="Q51" s="96" t="s">
        <v>386</v>
      </c>
      <c r="R51" s="96" t="s">
        <v>27</v>
      </c>
      <c r="S51" s="96" t="s">
        <v>27</v>
      </c>
      <c r="T51" s="96" t="s">
        <v>501</v>
      </c>
      <c r="U51" s="97"/>
      <c r="V51" s="96" t="s">
        <v>263</v>
      </c>
      <c r="W51" s="96" t="s">
        <v>387</v>
      </c>
      <c r="X51" s="96" t="s">
        <v>231</v>
      </c>
      <c r="Y51" s="96" t="s">
        <v>389</v>
      </c>
      <c r="Z51" s="96" t="s">
        <v>389</v>
      </c>
      <c r="AA51" s="97">
        <v>27588</v>
      </c>
      <c r="AB51" s="96" t="s">
        <v>115</v>
      </c>
      <c r="AC51" s="96" t="s">
        <v>510</v>
      </c>
    </row>
    <row r="52" spans="1:29" ht="12" customHeight="1" x14ac:dyDescent="0.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2">
        <v>1139257.43</v>
      </c>
      <c r="AB52" s="133"/>
      <c r="AC52" s="133"/>
    </row>
    <row r="53" spans="1:29" ht="12" customHeight="1" x14ac:dyDescent="0.2"/>
    <row r="54" spans="1:29" ht="12" customHeight="1" x14ac:dyDescent="0.2"/>
    <row r="55" spans="1:29" ht="12" customHeight="1" x14ac:dyDescent="0.2"/>
    <row r="56" spans="1:29" ht="12" customHeight="1" x14ac:dyDescent="0.2"/>
    <row r="57" spans="1:29" ht="12" customHeight="1" x14ac:dyDescent="0.2"/>
    <row r="58" spans="1:29" ht="12" customHeight="1" x14ac:dyDescent="0.2"/>
    <row r="59" spans="1:29" ht="12" customHeight="1" x14ac:dyDescent="0.2"/>
    <row r="60" spans="1:29" ht="12" customHeight="1" x14ac:dyDescent="0.2"/>
    <row r="61" spans="1:29" ht="12" customHeight="1" x14ac:dyDescent="0.2"/>
    <row r="62" spans="1:29" ht="12" customHeight="1" x14ac:dyDescent="0.2"/>
    <row r="63" spans="1:29" ht="12" customHeight="1" x14ac:dyDescent="0.2"/>
    <row r="64" spans="1:29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2" priority="2"/>
  </conditionalFormatting>
  <conditionalFormatting sqref="A1:IV1">
    <cfRule type="duplicateValues" dxfId="21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65"/>
  <sheetViews>
    <sheetView workbookViewId="0">
      <selection sqref="A1:XFD1048576"/>
    </sheetView>
  </sheetViews>
  <sheetFormatPr defaultRowHeight="12.95" customHeight="1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3" width="3.25" style="107" bestFit="1" customWidth="1"/>
    <col min="14" max="15" width="4.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.12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6.5" style="107" bestFit="1" customWidth="1"/>
    <col min="28" max="28" width="29.25" style="107" bestFit="1" customWidth="1"/>
    <col min="29" max="30" width="9.8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4" width="3.625" style="107" bestFit="1" customWidth="1"/>
    <col min="35" max="35" width="3.375" style="107" bestFit="1" customWidth="1"/>
    <col min="36" max="36" width="23.6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51.375" style="107" bestFit="1" customWidth="1"/>
    <col min="42" max="42" width="6.25" style="107" bestFit="1" customWidth="1"/>
    <col min="43" max="43" width="2.625" style="107" bestFit="1" customWidth="1"/>
    <col min="44" max="44" width="5.125" style="107" bestFit="1" customWidth="1"/>
    <col min="45" max="45" width="27.37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91.875" style="107" bestFit="1" customWidth="1"/>
    <col min="53" max="53" width="131.2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23.2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625" style="107" bestFit="1" customWidth="1"/>
    <col min="64" max="64" width="7.875" style="107" bestFit="1" customWidth="1"/>
    <col min="65" max="65" width="4" style="107" bestFit="1" customWidth="1"/>
    <col min="66" max="66" width="4.625" style="107" customWidth="1"/>
    <col min="67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0.25" style="107" bestFit="1" customWidth="1"/>
    <col min="85" max="85" width="7.375" style="107" bestFit="1" customWidth="1"/>
    <col min="86" max="86" width="47.375" style="107" bestFit="1" customWidth="1"/>
    <col min="87" max="87" width="73.25" style="107" bestFit="1" customWidth="1"/>
    <col min="88" max="88" width="26.625" style="107" bestFit="1" customWidth="1"/>
    <col min="89" max="90" width="26.75" style="107" bestFit="1" customWidth="1"/>
    <col min="91" max="91" width="6.375" style="107" bestFit="1" customWidth="1"/>
    <col min="92" max="93" width="9.875" style="107" bestFit="1" customWidth="1"/>
    <col min="94" max="94" width="26.5" style="107" bestFit="1" customWidth="1"/>
    <col min="95" max="95" width="9.125" style="107" bestFit="1" customWidth="1"/>
    <col min="96" max="96" width="12.625" style="107" bestFit="1" customWidth="1"/>
    <col min="97" max="97" width="36.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11.25" style="160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9" width="3.25" style="107" bestFit="1" customWidth="1"/>
    <col min="270" max="271" width="4.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.12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6.5" style="107" bestFit="1" customWidth="1"/>
    <col min="284" max="284" width="29.25" style="107" bestFit="1" customWidth="1"/>
    <col min="285" max="286" width="9.8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0" width="3.625" style="107" bestFit="1" customWidth="1"/>
    <col min="291" max="291" width="3.375" style="107" bestFit="1" customWidth="1"/>
    <col min="292" max="292" width="23.6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51.375" style="107" bestFit="1" customWidth="1"/>
    <col min="298" max="298" width="6.25" style="107" bestFit="1" customWidth="1"/>
    <col min="299" max="299" width="2.625" style="107" bestFit="1" customWidth="1"/>
    <col min="300" max="300" width="5.125" style="107" bestFit="1" customWidth="1"/>
    <col min="301" max="301" width="27.37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91.875" style="107" bestFit="1" customWidth="1"/>
    <col min="309" max="309" width="131.2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23.2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625" style="107" bestFit="1" customWidth="1"/>
    <col min="320" max="320" width="7.875" style="107" bestFit="1" customWidth="1"/>
    <col min="321" max="321" width="4" style="107" bestFit="1" customWidth="1"/>
    <col min="322" max="322" width="4.625" style="107" customWidth="1"/>
    <col min="323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0.25" style="107" bestFit="1" customWidth="1"/>
    <col min="341" max="341" width="7.375" style="107" bestFit="1" customWidth="1"/>
    <col min="342" max="342" width="47.375" style="107" bestFit="1" customWidth="1"/>
    <col min="343" max="343" width="73.25" style="107" bestFit="1" customWidth="1"/>
    <col min="344" max="344" width="26.625" style="107" bestFit="1" customWidth="1"/>
    <col min="345" max="346" width="26.75" style="107" bestFit="1" customWidth="1"/>
    <col min="347" max="347" width="6.375" style="107" bestFit="1" customWidth="1"/>
    <col min="348" max="349" width="9.875" style="107" bestFit="1" customWidth="1"/>
    <col min="350" max="350" width="26.5" style="107" bestFit="1" customWidth="1"/>
    <col min="351" max="351" width="9.125" style="107" bestFit="1" customWidth="1"/>
    <col min="352" max="352" width="12.625" style="107" bestFit="1" customWidth="1"/>
    <col min="353" max="353" width="36.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11.2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5" width="3.25" style="107" bestFit="1" customWidth="1"/>
    <col min="526" max="527" width="4.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.12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6.5" style="107" bestFit="1" customWidth="1"/>
    <col min="540" max="540" width="29.25" style="107" bestFit="1" customWidth="1"/>
    <col min="541" max="542" width="9.8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6" width="3.625" style="107" bestFit="1" customWidth="1"/>
    <col min="547" max="547" width="3.375" style="107" bestFit="1" customWidth="1"/>
    <col min="548" max="548" width="23.6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51.375" style="107" bestFit="1" customWidth="1"/>
    <col min="554" max="554" width="6.25" style="107" bestFit="1" customWidth="1"/>
    <col min="555" max="555" width="2.625" style="107" bestFit="1" customWidth="1"/>
    <col min="556" max="556" width="5.125" style="107" bestFit="1" customWidth="1"/>
    <col min="557" max="557" width="27.37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91.875" style="107" bestFit="1" customWidth="1"/>
    <col min="565" max="565" width="131.2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23.2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625" style="107" bestFit="1" customWidth="1"/>
    <col min="576" max="576" width="7.875" style="107" bestFit="1" customWidth="1"/>
    <col min="577" max="577" width="4" style="107" bestFit="1" customWidth="1"/>
    <col min="578" max="578" width="4.625" style="107" customWidth="1"/>
    <col min="579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0.25" style="107" bestFit="1" customWidth="1"/>
    <col min="597" max="597" width="7.375" style="107" bestFit="1" customWidth="1"/>
    <col min="598" max="598" width="47.375" style="107" bestFit="1" customWidth="1"/>
    <col min="599" max="599" width="73.25" style="107" bestFit="1" customWidth="1"/>
    <col min="600" max="600" width="26.625" style="107" bestFit="1" customWidth="1"/>
    <col min="601" max="602" width="26.75" style="107" bestFit="1" customWidth="1"/>
    <col min="603" max="603" width="6.375" style="107" bestFit="1" customWidth="1"/>
    <col min="604" max="605" width="9.875" style="107" bestFit="1" customWidth="1"/>
    <col min="606" max="606" width="26.5" style="107" bestFit="1" customWidth="1"/>
    <col min="607" max="607" width="9.125" style="107" bestFit="1" customWidth="1"/>
    <col min="608" max="608" width="12.625" style="107" bestFit="1" customWidth="1"/>
    <col min="609" max="609" width="36.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11.2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1" width="3.25" style="107" bestFit="1" customWidth="1"/>
    <col min="782" max="783" width="4.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.12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6.5" style="107" bestFit="1" customWidth="1"/>
    <col min="796" max="796" width="29.25" style="107" bestFit="1" customWidth="1"/>
    <col min="797" max="798" width="9.8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2" width="3.625" style="107" bestFit="1" customWidth="1"/>
    <col min="803" max="803" width="3.375" style="107" bestFit="1" customWidth="1"/>
    <col min="804" max="804" width="23.6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51.375" style="107" bestFit="1" customWidth="1"/>
    <col min="810" max="810" width="6.25" style="107" bestFit="1" customWidth="1"/>
    <col min="811" max="811" width="2.625" style="107" bestFit="1" customWidth="1"/>
    <col min="812" max="812" width="5.125" style="107" bestFit="1" customWidth="1"/>
    <col min="813" max="813" width="27.37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91.875" style="107" bestFit="1" customWidth="1"/>
    <col min="821" max="821" width="131.2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23.2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625" style="107" bestFit="1" customWidth="1"/>
    <col min="832" max="832" width="7.875" style="107" bestFit="1" customWidth="1"/>
    <col min="833" max="833" width="4" style="107" bestFit="1" customWidth="1"/>
    <col min="834" max="834" width="4.625" style="107" customWidth="1"/>
    <col min="835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0.25" style="107" bestFit="1" customWidth="1"/>
    <col min="853" max="853" width="7.375" style="107" bestFit="1" customWidth="1"/>
    <col min="854" max="854" width="47.375" style="107" bestFit="1" customWidth="1"/>
    <col min="855" max="855" width="73.25" style="107" bestFit="1" customWidth="1"/>
    <col min="856" max="856" width="26.625" style="107" bestFit="1" customWidth="1"/>
    <col min="857" max="858" width="26.75" style="107" bestFit="1" customWidth="1"/>
    <col min="859" max="859" width="6.375" style="107" bestFit="1" customWidth="1"/>
    <col min="860" max="861" width="9.875" style="107" bestFit="1" customWidth="1"/>
    <col min="862" max="862" width="26.5" style="107" bestFit="1" customWidth="1"/>
    <col min="863" max="863" width="9.125" style="107" bestFit="1" customWidth="1"/>
    <col min="864" max="864" width="12.625" style="107" bestFit="1" customWidth="1"/>
    <col min="865" max="865" width="36.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11.2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7" width="3.25" style="107" bestFit="1" customWidth="1"/>
    <col min="1038" max="1039" width="4.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.12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6.5" style="107" bestFit="1" customWidth="1"/>
    <col min="1052" max="1052" width="29.25" style="107" bestFit="1" customWidth="1"/>
    <col min="1053" max="1054" width="9.8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8" width="3.625" style="107" bestFit="1" customWidth="1"/>
    <col min="1059" max="1059" width="3.375" style="107" bestFit="1" customWidth="1"/>
    <col min="1060" max="1060" width="23.6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51.375" style="107" bestFit="1" customWidth="1"/>
    <col min="1066" max="1066" width="6.25" style="107" bestFit="1" customWidth="1"/>
    <col min="1067" max="1067" width="2.625" style="107" bestFit="1" customWidth="1"/>
    <col min="1068" max="1068" width="5.125" style="107" bestFit="1" customWidth="1"/>
    <col min="1069" max="1069" width="27.37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91.875" style="107" bestFit="1" customWidth="1"/>
    <col min="1077" max="1077" width="131.2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23.2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625" style="107" bestFit="1" customWidth="1"/>
    <col min="1088" max="1088" width="7.875" style="107" bestFit="1" customWidth="1"/>
    <col min="1089" max="1089" width="4" style="107" bestFit="1" customWidth="1"/>
    <col min="1090" max="1090" width="4.625" style="107" customWidth="1"/>
    <col min="1091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0.25" style="107" bestFit="1" customWidth="1"/>
    <col min="1109" max="1109" width="7.375" style="107" bestFit="1" customWidth="1"/>
    <col min="1110" max="1110" width="47.375" style="107" bestFit="1" customWidth="1"/>
    <col min="1111" max="1111" width="73.25" style="107" bestFit="1" customWidth="1"/>
    <col min="1112" max="1112" width="26.625" style="107" bestFit="1" customWidth="1"/>
    <col min="1113" max="1114" width="26.75" style="107" bestFit="1" customWidth="1"/>
    <col min="1115" max="1115" width="6.375" style="107" bestFit="1" customWidth="1"/>
    <col min="1116" max="1117" width="9.875" style="107" bestFit="1" customWidth="1"/>
    <col min="1118" max="1118" width="26.5" style="107" bestFit="1" customWidth="1"/>
    <col min="1119" max="1119" width="9.125" style="107" bestFit="1" customWidth="1"/>
    <col min="1120" max="1120" width="12.625" style="107" bestFit="1" customWidth="1"/>
    <col min="1121" max="1121" width="36.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11.2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3" width="3.25" style="107" bestFit="1" customWidth="1"/>
    <col min="1294" max="1295" width="4.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.12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6.5" style="107" bestFit="1" customWidth="1"/>
    <col min="1308" max="1308" width="29.25" style="107" bestFit="1" customWidth="1"/>
    <col min="1309" max="1310" width="9.8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4" width="3.625" style="107" bestFit="1" customWidth="1"/>
    <col min="1315" max="1315" width="3.375" style="107" bestFit="1" customWidth="1"/>
    <col min="1316" max="1316" width="23.6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51.375" style="107" bestFit="1" customWidth="1"/>
    <col min="1322" max="1322" width="6.25" style="107" bestFit="1" customWidth="1"/>
    <col min="1323" max="1323" width="2.625" style="107" bestFit="1" customWidth="1"/>
    <col min="1324" max="1324" width="5.125" style="107" bestFit="1" customWidth="1"/>
    <col min="1325" max="1325" width="27.37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91.875" style="107" bestFit="1" customWidth="1"/>
    <col min="1333" max="1333" width="131.2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23.2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625" style="107" bestFit="1" customWidth="1"/>
    <col min="1344" max="1344" width="7.875" style="107" bestFit="1" customWidth="1"/>
    <col min="1345" max="1345" width="4" style="107" bestFit="1" customWidth="1"/>
    <col min="1346" max="1346" width="4.625" style="107" customWidth="1"/>
    <col min="1347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0.25" style="107" bestFit="1" customWidth="1"/>
    <col min="1365" max="1365" width="7.375" style="107" bestFit="1" customWidth="1"/>
    <col min="1366" max="1366" width="47.375" style="107" bestFit="1" customWidth="1"/>
    <col min="1367" max="1367" width="73.25" style="107" bestFit="1" customWidth="1"/>
    <col min="1368" max="1368" width="26.625" style="107" bestFit="1" customWidth="1"/>
    <col min="1369" max="1370" width="26.75" style="107" bestFit="1" customWidth="1"/>
    <col min="1371" max="1371" width="6.375" style="107" bestFit="1" customWidth="1"/>
    <col min="1372" max="1373" width="9.875" style="107" bestFit="1" customWidth="1"/>
    <col min="1374" max="1374" width="26.5" style="107" bestFit="1" customWidth="1"/>
    <col min="1375" max="1375" width="9.125" style="107" bestFit="1" customWidth="1"/>
    <col min="1376" max="1376" width="12.625" style="107" bestFit="1" customWidth="1"/>
    <col min="1377" max="1377" width="36.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11.2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9" width="3.25" style="107" bestFit="1" customWidth="1"/>
    <col min="1550" max="1551" width="4.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.12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6.5" style="107" bestFit="1" customWidth="1"/>
    <col min="1564" max="1564" width="29.25" style="107" bestFit="1" customWidth="1"/>
    <col min="1565" max="1566" width="9.8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0" width="3.625" style="107" bestFit="1" customWidth="1"/>
    <col min="1571" max="1571" width="3.375" style="107" bestFit="1" customWidth="1"/>
    <col min="1572" max="1572" width="23.6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51.375" style="107" bestFit="1" customWidth="1"/>
    <col min="1578" max="1578" width="6.25" style="107" bestFit="1" customWidth="1"/>
    <col min="1579" max="1579" width="2.625" style="107" bestFit="1" customWidth="1"/>
    <col min="1580" max="1580" width="5.125" style="107" bestFit="1" customWidth="1"/>
    <col min="1581" max="1581" width="27.37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91.875" style="107" bestFit="1" customWidth="1"/>
    <col min="1589" max="1589" width="131.2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23.2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625" style="107" bestFit="1" customWidth="1"/>
    <col min="1600" max="1600" width="7.875" style="107" bestFit="1" customWidth="1"/>
    <col min="1601" max="1601" width="4" style="107" bestFit="1" customWidth="1"/>
    <col min="1602" max="1602" width="4.625" style="107" customWidth="1"/>
    <col min="1603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0.25" style="107" bestFit="1" customWidth="1"/>
    <col min="1621" max="1621" width="7.375" style="107" bestFit="1" customWidth="1"/>
    <col min="1622" max="1622" width="47.375" style="107" bestFit="1" customWidth="1"/>
    <col min="1623" max="1623" width="73.25" style="107" bestFit="1" customWidth="1"/>
    <col min="1624" max="1624" width="26.625" style="107" bestFit="1" customWidth="1"/>
    <col min="1625" max="1626" width="26.75" style="107" bestFit="1" customWidth="1"/>
    <col min="1627" max="1627" width="6.375" style="107" bestFit="1" customWidth="1"/>
    <col min="1628" max="1629" width="9.875" style="107" bestFit="1" customWidth="1"/>
    <col min="1630" max="1630" width="26.5" style="107" bestFit="1" customWidth="1"/>
    <col min="1631" max="1631" width="9.125" style="107" bestFit="1" customWidth="1"/>
    <col min="1632" max="1632" width="12.625" style="107" bestFit="1" customWidth="1"/>
    <col min="1633" max="1633" width="36.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11.2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5" width="3.25" style="107" bestFit="1" customWidth="1"/>
    <col min="1806" max="1807" width="4.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.12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6.5" style="107" bestFit="1" customWidth="1"/>
    <col min="1820" max="1820" width="29.25" style="107" bestFit="1" customWidth="1"/>
    <col min="1821" max="1822" width="9.8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6" width="3.625" style="107" bestFit="1" customWidth="1"/>
    <col min="1827" max="1827" width="3.375" style="107" bestFit="1" customWidth="1"/>
    <col min="1828" max="1828" width="23.6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51.375" style="107" bestFit="1" customWidth="1"/>
    <col min="1834" max="1834" width="6.25" style="107" bestFit="1" customWidth="1"/>
    <col min="1835" max="1835" width="2.625" style="107" bestFit="1" customWidth="1"/>
    <col min="1836" max="1836" width="5.125" style="107" bestFit="1" customWidth="1"/>
    <col min="1837" max="1837" width="27.37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91.875" style="107" bestFit="1" customWidth="1"/>
    <col min="1845" max="1845" width="131.2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23.2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625" style="107" bestFit="1" customWidth="1"/>
    <col min="1856" max="1856" width="7.875" style="107" bestFit="1" customWidth="1"/>
    <col min="1857" max="1857" width="4" style="107" bestFit="1" customWidth="1"/>
    <col min="1858" max="1858" width="4.625" style="107" customWidth="1"/>
    <col min="1859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0.25" style="107" bestFit="1" customWidth="1"/>
    <col min="1877" max="1877" width="7.375" style="107" bestFit="1" customWidth="1"/>
    <col min="1878" max="1878" width="47.375" style="107" bestFit="1" customWidth="1"/>
    <col min="1879" max="1879" width="73.25" style="107" bestFit="1" customWidth="1"/>
    <col min="1880" max="1880" width="26.625" style="107" bestFit="1" customWidth="1"/>
    <col min="1881" max="1882" width="26.75" style="107" bestFit="1" customWidth="1"/>
    <col min="1883" max="1883" width="6.375" style="107" bestFit="1" customWidth="1"/>
    <col min="1884" max="1885" width="9.875" style="107" bestFit="1" customWidth="1"/>
    <col min="1886" max="1886" width="26.5" style="107" bestFit="1" customWidth="1"/>
    <col min="1887" max="1887" width="9.125" style="107" bestFit="1" customWidth="1"/>
    <col min="1888" max="1888" width="12.625" style="107" bestFit="1" customWidth="1"/>
    <col min="1889" max="1889" width="36.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11.2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1" width="3.25" style="107" bestFit="1" customWidth="1"/>
    <col min="2062" max="2063" width="4.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.12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6.5" style="107" bestFit="1" customWidth="1"/>
    <col min="2076" max="2076" width="29.25" style="107" bestFit="1" customWidth="1"/>
    <col min="2077" max="2078" width="9.8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2" width="3.625" style="107" bestFit="1" customWidth="1"/>
    <col min="2083" max="2083" width="3.375" style="107" bestFit="1" customWidth="1"/>
    <col min="2084" max="2084" width="23.6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51.375" style="107" bestFit="1" customWidth="1"/>
    <col min="2090" max="2090" width="6.25" style="107" bestFit="1" customWidth="1"/>
    <col min="2091" max="2091" width="2.625" style="107" bestFit="1" customWidth="1"/>
    <col min="2092" max="2092" width="5.125" style="107" bestFit="1" customWidth="1"/>
    <col min="2093" max="2093" width="27.37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91.875" style="107" bestFit="1" customWidth="1"/>
    <col min="2101" max="2101" width="131.2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23.2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625" style="107" bestFit="1" customWidth="1"/>
    <col min="2112" max="2112" width="7.875" style="107" bestFit="1" customWidth="1"/>
    <col min="2113" max="2113" width="4" style="107" bestFit="1" customWidth="1"/>
    <col min="2114" max="2114" width="4.625" style="107" customWidth="1"/>
    <col min="2115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0.25" style="107" bestFit="1" customWidth="1"/>
    <col min="2133" max="2133" width="7.375" style="107" bestFit="1" customWidth="1"/>
    <col min="2134" max="2134" width="47.375" style="107" bestFit="1" customWidth="1"/>
    <col min="2135" max="2135" width="73.25" style="107" bestFit="1" customWidth="1"/>
    <col min="2136" max="2136" width="26.625" style="107" bestFit="1" customWidth="1"/>
    <col min="2137" max="2138" width="26.75" style="107" bestFit="1" customWidth="1"/>
    <col min="2139" max="2139" width="6.375" style="107" bestFit="1" customWidth="1"/>
    <col min="2140" max="2141" width="9.875" style="107" bestFit="1" customWidth="1"/>
    <col min="2142" max="2142" width="26.5" style="107" bestFit="1" customWidth="1"/>
    <col min="2143" max="2143" width="9.125" style="107" bestFit="1" customWidth="1"/>
    <col min="2144" max="2144" width="12.625" style="107" bestFit="1" customWidth="1"/>
    <col min="2145" max="2145" width="36.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11.2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7" width="3.25" style="107" bestFit="1" customWidth="1"/>
    <col min="2318" max="2319" width="4.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.12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6.5" style="107" bestFit="1" customWidth="1"/>
    <col min="2332" max="2332" width="29.25" style="107" bestFit="1" customWidth="1"/>
    <col min="2333" max="2334" width="9.8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8" width="3.625" style="107" bestFit="1" customWidth="1"/>
    <col min="2339" max="2339" width="3.375" style="107" bestFit="1" customWidth="1"/>
    <col min="2340" max="2340" width="23.6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51.375" style="107" bestFit="1" customWidth="1"/>
    <col min="2346" max="2346" width="6.25" style="107" bestFit="1" customWidth="1"/>
    <col min="2347" max="2347" width="2.625" style="107" bestFit="1" customWidth="1"/>
    <col min="2348" max="2348" width="5.125" style="107" bestFit="1" customWidth="1"/>
    <col min="2349" max="2349" width="27.37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91.875" style="107" bestFit="1" customWidth="1"/>
    <col min="2357" max="2357" width="131.2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23.2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625" style="107" bestFit="1" customWidth="1"/>
    <col min="2368" max="2368" width="7.875" style="107" bestFit="1" customWidth="1"/>
    <col min="2369" max="2369" width="4" style="107" bestFit="1" customWidth="1"/>
    <col min="2370" max="2370" width="4.625" style="107" customWidth="1"/>
    <col min="2371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0.25" style="107" bestFit="1" customWidth="1"/>
    <col min="2389" max="2389" width="7.375" style="107" bestFit="1" customWidth="1"/>
    <col min="2390" max="2390" width="47.375" style="107" bestFit="1" customWidth="1"/>
    <col min="2391" max="2391" width="73.25" style="107" bestFit="1" customWidth="1"/>
    <col min="2392" max="2392" width="26.625" style="107" bestFit="1" customWidth="1"/>
    <col min="2393" max="2394" width="26.75" style="107" bestFit="1" customWidth="1"/>
    <col min="2395" max="2395" width="6.375" style="107" bestFit="1" customWidth="1"/>
    <col min="2396" max="2397" width="9.875" style="107" bestFit="1" customWidth="1"/>
    <col min="2398" max="2398" width="26.5" style="107" bestFit="1" customWidth="1"/>
    <col min="2399" max="2399" width="9.125" style="107" bestFit="1" customWidth="1"/>
    <col min="2400" max="2400" width="12.625" style="107" bestFit="1" customWidth="1"/>
    <col min="2401" max="2401" width="36.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11.2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3" width="3.25" style="107" bestFit="1" customWidth="1"/>
    <col min="2574" max="2575" width="4.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.12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6.5" style="107" bestFit="1" customWidth="1"/>
    <col min="2588" max="2588" width="29.25" style="107" bestFit="1" customWidth="1"/>
    <col min="2589" max="2590" width="9.8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4" width="3.625" style="107" bestFit="1" customWidth="1"/>
    <col min="2595" max="2595" width="3.375" style="107" bestFit="1" customWidth="1"/>
    <col min="2596" max="2596" width="23.6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51.375" style="107" bestFit="1" customWidth="1"/>
    <col min="2602" max="2602" width="6.25" style="107" bestFit="1" customWidth="1"/>
    <col min="2603" max="2603" width="2.625" style="107" bestFit="1" customWidth="1"/>
    <col min="2604" max="2604" width="5.125" style="107" bestFit="1" customWidth="1"/>
    <col min="2605" max="2605" width="27.37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91.875" style="107" bestFit="1" customWidth="1"/>
    <col min="2613" max="2613" width="131.2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23.2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625" style="107" bestFit="1" customWidth="1"/>
    <col min="2624" max="2624" width="7.875" style="107" bestFit="1" customWidth="1"/>
    <col min="2625" max="2625" width="4" style="107" bestFit="1" customWidth="1"/>
    <col min="2626" max="2626" width="4.625" style="107" customWidth="1"/>
    <col min="2627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0.25" style="107" bestFit="1" customWidth="1"/>
    <col min="2645" max="2645" width="7.375" style="107" bestFit="1" customWidth="1"/>
    <col min="2646" max="2646" width="47.375" style="107" bestFit="1" customWidth="1"/>
    <col min="2647" max="2647" width="73.25" style="107" bestFit="1" customWidth="1"/>
    <col min="2648" max="2648" width="26.625" style="107" bestFit="1" customWidth="1"/>
    <col min="2649" max="2650" width="26.75" style="107" bestFit="1" customWidth="1"/>
    <col min="2651" max="2651" width="6.375" style="107" bestFit="1" customWidth="1"/>
    <col min="2652" max="2653" width="9.875" style="107" bestFit="1" customWidth="1"/>
    <col min="2654" max="2654" width="26.5" style="107" bestFit="1" customWidth="1"/>
    <col min="2655" max="2655" width="9.125" style="107" bestFit="1" customWidth="1"/>
    <col min="2656" max="2656" width="12.625" style="107" bestFit="1" customWidth="1"/>
    <col min="2657" max="2657" width="36.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11.2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9" width="3.25" style="107" bestFit="1" customWidth="1"/>
    <col min="2830" max="2831" width="4.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.12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6.5" style="107" bestFit="1" customWidth="1"/>
    <col min="2844" max="2844" width="29.25" style="107" bestFit="1" customWidth="1"/>
    <col min="2845" max="2846" width="9.8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0" width="3.625" style="107" bestFit="1" customWidth="1"/>
    <col min="2851" max="2851" width="3.375" style="107" bestFit="1" customWidth="1"/>
    <col min="2852" max="2852" width="23.6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51.375" style="107" bestFit="1" customWidth="1"/>
    <col min="2858" max="2858" width="6.25" style="107" bestFit="1" customWidth="1"/>
    <col min="2859" max="2859" width="2.625" style="107" bestFit="1" customWidth="1"/>
    <col min="2860" max="2860" width="5.125" style="107" bestFit="1" customWidth="1"/>
    <col min="2861" max="2861" width="27.37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91.875" style="107" bestFit="1" customWidth="1"/>
    <col min="2869" max="2869" width="131.2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23.2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625" style="107" bestFit="1" customWidth="1"/>
    <col min="2880" max="2880" width="7.875" style="107" bestFit="1" customWidth="1"/>
    <col min="2881" max="2881" width="4" style="107" bestFit="1" customWidth="1"/>
    <col min="2882" max="2882" width="4.625" style="107" customWidth="1"/>
    <col min="2883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0.25" style="107" bestFit="1" customWidth="1"/>
    <col min="2901" max="2901" width="7.375" style="107" bestFit="1" customWidth="1"/>
    <col min="2902" max="2902" width="47.375" style="107" bestFit="1" customWidth="1"/>
    <col min="2903" max="2903" width="73.25" style="107" bestFit="1" customWidth="1"/>
    <col min="2904" max="2904" width="26.625" style="107" bestFit="1" customWidth="1"/>
    <col min="2905" max="2906" width="26.75" style="107" bestFit="1" customWidth="1"/>
    <col min="2907" max="2907" width="6.375" style="107" bestFit="1" customWidth="1"/>
    <col min="2908" max="2909" width="9.875" style="107" bestFit="1" customWidth="1"/>
    <col min="2910" max="2910" width="26.5" style="107" bestFit="1" customWidth="1"/>
    <col min="2911" max="2911" width="9.125" style="107" bestFit="1" customWidth="1"/>
    <col min="2912" max="2912" width="12.625" style="107" bestFit="1" customWidth="1"/>
    <col min="2913" max="2913" width="36.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11.2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5" width="3.25" style="107" bestFit="1" customWidth="1"/>
    <col min="3086" max="3087" width="4.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.12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6.5" style="107" bestFit="1" customWidth="1"/>
    <col min="3100" max="3100" width="29.25" style="107" bestFit="1" customWidth="1"/>
    <col min="3101" max="3102" width="9.8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6" width="3.625" style="107" bestFit="1" customWidth="1"/>
    <col min="3107" max="3107" width="3.375" style="107" bestFit="1" customWidth="1"/>
    <col min="3108" max="3108" width="23.6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51.375" style="107" bestFit="1" customWidth="1"/>
    <col min="3114" max="3114" width="6.25" style="107" bestFit="1" customWidth="1"/>
    <col min="3115" max="3115" width="2.625" style="107" bestFit="1" customWidth="1"/>
    <col min="3116" max="3116" width="5.125" style="107" bestFit="1" customWidth="1"/>
    <col min="3117" max="3117" width="27.37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91.875" style="107" bestFit="1" customWidth="1"/>
    <col min="3125" max="3125" width="131.2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23.2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625" style="107" bestFit="1" customWidth="1"/>
    <col min="3136" max="3136" width="7.875" style="107" bestFit="1" customWidth="1"/>
    <col min="3137" max="3137" width="4" style="107" bestFit="1" customWidth="1"/>
    <col min="3138" max="3138" width="4.625" style="107" customWidth="1"/>
    <col min="3139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0.25" style="107" bestFit="1" customWidth="1"/>
    <col min="3157" max="3157" width="7.375" style="107" bestFit="1" customWidth="1"/>
    <col min="3158" max="3158" width="47.375" style="107" bestFit="1" customWidth="1"/>
    <col min="3159" max="3159" width="73.25" style="107" bestFit="1" customWidth="1"/>
    <col min="3160" max="3160" width="26.625" style="107" bestFit="1" customWidth="1"/>
    <col min="3161" max="3162" width="26.75" style="107" bestFit="1" customWidth="1"/>
    <col min="3163" max="3163" width="6.375" style="107" bestFit="1" customWidth="1"/>
    <col min="3164" max="3165" width="9.875" style="107" bestFit="1" customWidth="1"/>
    <col min="3166" max="3166" width="26.5" style="107" bestFit="1" customWidth="1"/>
    <col min="3167" max="3167" width="9.125" style="107" bestFit="1" customWidth="1"/>
    <col min="3168" max="3168" width="12.625" style="107" bestFit="1" customWidth="1"/>
    <col min="3169" max="3169" width="36.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11.2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1" width="3.25" style="107" bestFit="1" customWidth="1"/>
    <col min="3342" max="3343" width="4.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.12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6.5" style="107" bestFit="1" customWidth="1"/>
    <col min="3356" max="3356" width="29.25" style="107" bestFit="1" customWidth="1"/>
    <col min="3357" max="3358" width="9.8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2" width="3.625" style="107" bestFit="1" customWidth="1"/>
    <col min="3363" max="3363" width="3.375" style="107" bestFit="1" customWidth="1"/>
    <col min="3364" max="3364" width="23.6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51.375" style="107" bestFit="1" customWidth="1"/>
    <col min="3370" max="3370" width="6.25" style="107" bestFit="1" customWidth="1"/>
    <col min="3371" max="3371" width="2.625" style="107" bestFit="1" customWidth="1"/>
    <col min="3372" max="3372" width="5.125" style="107" bestFit="1" customWidth="1"/>
    <col min="3373" max="3373" width="27.37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91.875" style="107" bestFit="1" customWidth="1"/>
    <col min="3381" max="3381" width="131.2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23.2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625" style="107" bestFit="1" customWidth="1"/>
    <col min="3392" max="3392" width="7.875" style="107" bestFit="1" customWidth="1"/>
    <col min="3393" max="3393" width="4" style="107" bestFit="1" customWidth="1"/>
    <col min="3394" max="3394" width="4.625" style="107" customWidth="1"/>
    <col min="3395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0.25" style="107" bestFit="1" customWidth="1"/>
    <col min="3413" max="3413" width="7.375" style="107" bestFit="1" customWidth="1"/>
    <col min="3414" max="3414" width="47.375" style="107" bestFit="1" customWidth="1"/>
    <col min="3415" max="3415" width="73.25" style="107" bestFit="1" customWidth="1"/>
    <col min="3416" max="3416" width="26.625" style="107" bestFit="1" customWidth="1"/>
    <col min="3417" max="3418" width="26.75" style="107" bestFit="1" customWidth="1"/>
    <col min="3419" max="3419" width="6.375" style="107" bestFit="1" customWidth="1"/>
    <col min="3420" max="3421" width="9.875" style="107" bestFit="1" customWidth="1"/>
    <col min="3422" max="3422" width="26.5" style="107" bestFit="1" customWidth="1"/>
    <col min="3423" max="3423" width="9.125" style="107" bestFit="1" customWidth="1"/>
    <col min="3424" max="3424" width="12.625" style="107" bestFit="1" customWidth="1"/>
    <col min="3425" max="3425" width="36.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11.2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7" width="3.25" style="107" bestFit="1" customWidth="1"/>
    <col min="3598" max="3599" width="4.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.12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6.5" style="107" bestFit="1" customWidth="1"/>
    <col min="3612" max="3612" width="29.25" style="107" bestFit="1" customWidth="1"/>
    <col min="3613" max="3614" width="9.8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8" width="3.625" style="107" bestFit="1" customWidth="1"/>
    <col min="3619" max="3619" width="3.375" style="107" bestFit="1" customWidth="1"/>
    <col min="3620" max="3620" width="23.6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51.375" style="107" bestFit="1" customWidth="1"/>
    <col min="3626" max="3626" width="6.25" style="107" bestFit="1" customWidth="1"/>
    <col min="3627" max="3627" width="2.625" style="107" bestFit="1" customWidth="1"/>
    <col min="3628" max="3628" width="5.125" style="107" bestFit="1" customWidth="1"/>
    <col min="3629" max="3629" width="27.37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91.875" style="107" bestFit="1" customWidth="1"/>
    <col min="3637" max="3637" width="131.2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23.2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625" style="107" bestFit="1" customWidth="1"/>
    <col min="3648" max="3648" width="7.875" style="107" bestFit="1" customWidth="1"/>
    <col min="3649" max="3649" width="4" style="107" bestFit="1" customWidth="1"/>
    <col min="3650" max="3650" width="4.625" style="107" customWidth="1"/>
    <col min="3651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0.25" style="107" bestFit="1" customWidth="1"/>
    <col min="3669" max="3669" width="7.375" style="107" bestFit="1" customWidth="1"/>
    <col min="3670" max="3670" width="47.375" style="107" bestFit="1" customWidth="1"/>
    <col min="3671" max="3671" width="73.25" style="107" bestFit="1" customWidth="1"/>
    <col min="3672" max="3672" width="26.625" style="107" bestFit="1" customWidth="1"/>
    <col min="3673" max="3674" width="26.75" style="107" bestFit="1" customWidth="1"/>
    <col min="3675" max="3675" width="6.375" style="107" bestFit="1" customWidth="1"/>
    <col min="3676" max="3677" width="9.875" style="107" bestFit="1" customWidth="1"/>
    <col min="3678" max="3678" width="26.5" style="107" bestFit="1" customWidth="1"/>
    <col min="3679" max="3679" width="9.125" style="107" bestFit="1" customWidth="1"/>
    <col min="3680" max="3680" width="12.625" style="107" bestFit="1" customWidth="1"/>
    <col min="3681" max="3681" width="36.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11.2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3" width="3.25" style="107" bestFit="1" customWidth="1"/>
    <col min="3854" max="3855" width="4.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.12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6.5" style="107" bestFit="1" customWidth="1"/>
    <col min="3868" max="3868" width="29.25" style="107" bestFit="1" customWidth="1"/>
    <col min="3869" max="3870" width="9.8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4" width="3.625" style="107" bestFit="1" customWidth="1"/>
    <col min="3875" max="3875" width="3.375" style="107" bestFit="1" customWidth="1"/>
    <col min="3876" max="3876" width="23.6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51.375" style="107" bestFit="1" customWidth="1"/>
    <col min="3882" max="3882" width="6.25" style="107" bestFit="1" customWidth="1"/>
    <col min="3883" max="3883" width="2.625" style="107" bestFit="1" customWidth="1"/>
    <col min="3884" max="3884" width="5.125" style="107" bestFit="1" customWidth="1"/>
    <col min="3885" max="3885" width="27.37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91.875" style="107" bestFit="1" customWidth="1"/>
    <col min="3893" max="3893" width="131.2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23.2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625" style="107" bestFit="1" customWidth="1"/>
    <col min="3904" max="3904" width="7.875" style="107" bestFit="1" customWidth="1"/>
    <col min="3905" max="3905" width="4" style="107" bestFit="1" customWidth="1"/>
    <col min="3906" max="3906" width="4.625" style="107" customWidth="1"/>
    <col min="3907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0.25" style="107" bestFit="1" customWidth="1"/>
    <col min="3925" max="3925" width="7.375" style="107" bestFit="1" customWidth="1"/>
    <col min="3926" max="3926" width="47.375" style="107" bestFit="1" customWidth="1"/>
    <col min="3927" max="3927" width="73.25" style="107" bestFit="1" customWidth="1"/>
    <col min="3928" max="3928" width="26.625" style="107" bestFit="1" customWidth="1"/>
    <col min="3929" max="3930" width="26.75" style="107" bestFit="1" customWidth="1"/>
    <col min="3931" max="3931" width="6.375" style="107" bestFit="1" customWidth="1"/>
    <col min="3932" max="3933" width="9.875" style="107" bestFit="1" customWidth="1"/>
    <col min="3934" max="3934" width="26.5" style="107" bestFit="1" customWidth="1"/>
    <col min="3935" max="3935" width="9.125" style="107" bestFit="1" customWidth="1"/>
    <col min="3936" max="3936" width="12.625" style="107" bestFit="1" customWidth="1"/>
    <col min="3937" max="3937" width="36.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11.2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9" width="3.25" style="107" bestFit="1" customWidth="1"/>
    <col min="4110" max="4111" width="4.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.12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6.5" style="107" bestFit="1" customWidth="1"/>
    <col min="4124" max="4124" width="29.25" style="107" bestFit="1" customWidth="1"/>
    <col min="4125" max="4126" width="9.8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0" width="3.625" style="107" bestFit="1" customWidth="1"/>
    <col min="4131" max="4131" width="3.375" style="107" bestFit="1" customWidth="1"/>
    <col min="4132" max="4132" width="23.6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51.375" style="107" bestFit="1" customWidth="1"/>
    <col min="4138" max="4138" width="6.25" style="107" bestFit="1" customWidth="1"/>
    <col min="4139" max="4139" width="2.625" style="107" bestFit="1" customWidth="1"/>
    <col min="4140" max="4140" width="5.125" style="107" bestFit="1" customWidth="1"/>
    <col min="4141" max="4141" width="27.37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91.875" style="107" bestFit="1" customWidth="1"/>
    <col min="4149" max="4149" width="131.2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23.2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625" style="107" bestFit="1" customWidth="1"/>
    <col min="4160" max="4160" width="7.875" style="107" bestFit="1" customWidth="1"/>
    <col min="4161" max="4161" width="4" style="107" bestFit="1" customWidth="1"/>
    <col min="4162" max="4162" width="4.625" style="107" customWidth="1"/>
    <col min="4163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0.25" style="107" bestFit="1" customWidth="1"/>
    <col min="4181" max="4181" width="7.375" style="107" bestFit="1" customWidth="1"/>
    <col min="4182" max="4182" width="47.375" style="107" bestFit="1" customWidth="1"/>
    <col min="4183" max="4183" width="73.25" style="107" bestFit="1" customWidth="1"/>
    <col min="4184" max="4184" width="26.625" style="107" bestFit="1" customWidth="1"/>
    <col min="4185" max="4186" width="26.75" style="107" bestFit="1" customWidth="1"/>
    <col min="4187" max="4187" width="6.375" style="107" bestFit="1" customWidth="1"/>
    <col min="4188" max="4189" width="9.875" style="107" bestFit="1" customWidth="1"/>
    <col min="4190" max="4190" width="26.5" style="107" bestFit="1" customWidth="1"/>
    <col min="4191" max="4191" width="9.125" style="107" bestFit="1" customWidth="1"/>
    <col min="4192" max="4192" width="12.625" style="107" bestFit="1" customWidth="1"/>
    <col min="4193" max="4193" width="36.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11.2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5" width="3.25" style="107" bestFit="1" customWidth="1"/>
    <col min="4366" max="4367" width="4.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.12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6.5" style="107" bestFit="1" customWidth="1"/>
    <col min="4380" max="4380" width="29.25" style="107" bestFit="1" customWidth="1"/>
    <col min="4381" max="4382" width="9.8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6" width="3.625" style="107" bestFit="1" customWidth="1"/>
    <col min="4387" max="4387" width="3.375" style="107" bestFit="1" customWidth="1"/>
    <col min="4388" max="4388" width="23.6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51.375" style="107" bestFit="1" customWidth="1"/>
    <col min="4394" max="4394" width="6.25" style="107" bestFit="1" customWidth="1"/>
    <col min="4395" max="4395" width="2.625" style="107" bestFit="1" customWidth="1"/>
    <col min="4396" max="4396" width="5.125" style="107" bestFit="1" customWidth="1"/>
    <col min="4397" max="4397" width="27.37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91.875" style="107" bestFit="1" customWidth="1"/>
    <col min="4405" max="4405" width="131.2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23.2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625" style="107" bestFit="1" customWidth="1"/>
    <col min="4416" max="4416" width="7.875" style="107" bestFit="1" customWidth="1"/>
    <col min="4417" max="4417" width="4" style="107" bestFit="1" customWidth="1"/>
    <col min="4418" max="4418" width="4.625" style="107" customWidth="1"/>
    <col min="4419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0.25" style="107" bestFit="1" customWidth="1"/>
    <col min="4437" max="4437" width="7.375" style="107" bestFit="1" customWidth="1"/>
    <col min="4438" max="4438" width="47.375" style="107" bestFit="1" customWidth="1"/>
    <col min="4439" max="4439" width="73.25" style="107" bestFit="1" customWidth="1"/>
    <col min="4440" max="4440" width="26.625" style="107" bestFit="1" customWidth="1"/>
    <col min="4441" max="4442" width="26.75" style="107" bestFit="1" customWidth="1"/>
    <col min="4443" max="4443" width="6.375" style="107" bestFit="1" customWidth="1"/>
    <col min="4444" max="4445" width="9.875" style="107" bestFit="1" customWidth="1"/>
    <col min="4446" max="4446" width="26.5" style="107" bestFit="1" customWidth="1"/>
    <col min="4447" max="4447" width="9.125" style="107" bestFit="1" customWidth="1"/>
    <col min="4448" max="4448" width="12.625" style="107" bestFit="1" customWidth="1"/>
    <col min="4449" max="4449" width="36.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11.2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1" width="3.25" style="107" bestFit="1" customWidth="1"/>
    <col min="4622" max="4623" width="4.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.12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6.5" style="107" bestFit="1" customWidth="1"/>
    <col min="4636" max="4636" width="29.25" style="107" bestFit="1" customWidth="1"/>
    <col min="4637" max="4638" width="9.8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2" width="3.625" style="107" bestFit="1" customWidth="1"/>
    <col min="4643" max="4643" width="3.375" style="107" bestFit="1" customWidth="1"/>
    <col min="4644" max="4644" width="23.6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51.375" style="107" bestFit="1" customWidth="1"/>
    <col min="4650" max="4650" width="6.25" style="107" bestFit="1" customWidth="1"/>
    <col min="4651" max="4651" width="2.625" style="107" bestFit="1" customWidth="1"/>
    <col min="4652" max="4652" width="5.125" style="107" bestFit="1" customWidth="1"/>
    <col min="4653" max="4653" width="27.37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91.875" style="107" bestFit="1" customWidth="1"/>
    <col min="4661" max="4661" width="131.2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23.2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625" style="107" bestFit="1" customWidth="1"/>
    <col min="4672" max="4672" width="7.875" style="107" bestFit="1" customWidth="1"/>
    <col min="4673" max="4673" width="4" style="107" bestFit="1" customWidth="1"/>
    <col min="4674" max="4674" width="4.625" style="107" customWidth="1"/>
    <col min="4675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0.25" style="107" bestFit="1" customWidth="1"/>
    <col min="4693" max="4693" width="7.375" style="107" bestFit="1" customWidth="1"/>
    <col min="4694" max="4694" width="47.375" style="107" bestFit="1" customWidth="1"/>
    <col min="4695" max="4695" width="73.25" style="107" bestFit="1" customWidth="1"/>
    <col min="4696" max="4696" width="26.625" style="107" bestFit="1" customWidth="1"/>
    <col min="4697" max="4698" width="26.75" style="107" bestFit="1" customWidth="1"/>
    <col min="4699" max="4699" width="6.375" style="107" bestFit="1" customWidth="1"/>
    <col min="4700" max="4701" width="9.875" style="107" bestFit="1" customWidth="1"/>
    <col min="4702" max="4702" width="26.5" style="107" bestFit="1" customWidth="1"/>
    <col min="4703" max="4703" width="9.125" style="107" bestFit="1" customWidth="1"/>
    <col min="4704" max="4704" width="12.625" style="107" bestFit="1" customWidth="1"/>
    <col min="4705" max="4705" width="36.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11.2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7" width="3.25" style="107" bestFit="1" customWidth="1"/>
    <col min="4878" max="4879" width="4.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.12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6.5" style="107" bestFit="1" customWidth="1"/>
    <col min="4892" max="4892" width="29.25" style="107" bestFit="1" customWidth="1"/>
    <col min="4893" max="4894" width="9.8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8" width="3.625" style="107" bestFit="1" customWidth="1"/>
    <col min="4899" max="4899" width="3.375" style="107" bestFit="1" customWidth="1"/>
    <col min="4900" max="4900" width="23.6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51.375" style="107" bestFit="1" customWidth="1"/>
    <col min="4906" max="4906" width="6.25" style="107" bestFit="1" customWidth="1"/>
    <col min="4907" max="4907" width="2.625" style="107" bestFit="1" customWidth="1"/>
    <col min="4908" max="4908" width="5.125" style="107" bestFit="1" customWidth="1"/>
    <col min="4909" max="4909" width="27.37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91.875" style="107" bestFit="1" customWidth="1"/>
    <col min="4917" max="4917" width="131.2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23.2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625" style="107" bestFit="1" customWidth="1"/>
    <col min="4928" max="4928" width="7.875" style="107" bestFit="1" customWidth="1"/>
    <col min="4929" max="4929" width="4" style="107" bestFit="1" customWidth="1"/>
    <col min="4930" max="4930" width="4.625" style="107" customWidth="1"/>
    <col min="4931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0.25" style="107" bestFit="1" customWidth="1"/>
    <col min="4949" max="4949" width="7.375" style="107" bestFit="1" customWidth="1"/>
    <col min="4950" max="4950" width="47.375" style="107" bestFit="1" customWidth="1"/>
    <col min="4951" max="4951" width="73.25" style="107" bestFit="1" customWidth="1"/>
    <col min="4952" max="4952" width="26.625" style="107" bestFit="1" customWidth="1"/>
    <col min="4953" max="4954" width="26.75" style="107" bestFit="1" customWidth="1"/>
    <col min="4955" max="4955" width="6.375" style="107" bestFit="1" customWidth="1"/>
    <col min="4956" max="4957" width="9.875" style="107" bestFit="1" customWidth="1"/>
    <col min="4958" max="4958" width="26.5" style="107" bestFit="1" customWidth="1"/>
    <col min="4959" max="4959" width="9.125" style="107" bestFit="1" customWidth="1"/>
    <col min="4960" max="4960" width="12.625" style="107" bestFit="1" customWidth="1"/>
    <col min="4961" max="4961" width="36.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11.2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3" width="3.25" style="107" bestFit="1" customWidth="1"/>
    <col min="5134" max="5135" width="4.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.12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6.5" style="107" bestFit="1" customWidth="1"/>
    <col min="5148" max="5148" width="29.25" style="107" bestFit="1" customWidth="1"/>
    <col min="5149" max="5150" width="9.8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4" width="3.625" style="107" bestFit="1" customWidth="1"/>
    <col min="5155" max="5155" width="3.375" style="107" bestFit="1" customWidth="1"/>
    <col min="5156" max="5156" width="23.6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51.375" style="107" bestFit="1" customWidth="1"/>
    <col min="5162" max="5162" width="6.25" style="107" bestFit="1" customWidth="1"/>
    <col min="5163" max="5163" width="2.625" style="107" bestFit="1" customWidth="1"/>
    <col min="5164" max="5164" width="5.125" style="107" bestFit="1" customWidth="1"/>
    <col min="5165" max="5165" width="27.37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91.875" style="107" bestFit="1" customWidth="1"/>
    <col min="5173" max="5173" width="131.2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23.2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625" style="107" bestFit="1" customWidth="1"/>
    <col min="5184" max="5184" width="7.875" style="107" bestFit="1" customWidth="1"/>
    <col min="5185" max="5185" width="4" style="107" bestFit="1" customWidth="1"/>
    <col min="5186" max="5186" width="4.625" style="107" customWidth="1"/>
    <col min="5187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0.25" style="107" bestFit="1" customWidth="1"/>
    <col min="5205" max="5205" width="7.375" style="107" bestFit="1" customWidth="1"/>
    <col min="5206" max="5206" width="47.375" style="107" bestFit="1" customWidth="1"/>
    <col min="5207" max="5207" width="73.25" style="107" bestFit="1" customWidth="1"/>
    <col min="5208" max="5208" width="26.625" style="107" bestFit="1" customWidth="1"/>
    <col min="5209" max="5210" width="26.75" style="107" bestFit="1" customWidth="1"/>
    <col min="5211" max="5211" width="6.375" style="107" bestFit="1" customWidth="1"/>
    <col min="5212" max="5213" width="9.875" style="107" bestFit="1" customWidth="1"/>
    <col min="5214" max="5214" width="26.5" style="107" bestFit="1" customWidth="1"/>
    <col min="5215" max="5215" width="9.125" style="107" bestFit="1" customWidth="1"/>
    <col min="5216" max="5216" width="12.625" style="107" bestFit="1" customWidth="1"/>
    <col min="5217" max="5217" width="36.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11.2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9" width="3.25" style="107" bestFit="1" customWidth="1"/>
    <col min="5390" max="5391" width="4.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.12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6.5" style="107" bestFit="1" customWidth="1"/>
    <col min="5404" max="5404" width="29.25" style="107" bestFit="1" customWidth="1"/>
    <col min="5405" max="5406" width="9.8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0" width="3.625" style="107" bestFit="1" customWidth="1"/>
    <col min="5411" max="5411" width="3.375" style="107" bestFit="1" customWidth="1"/>
    <col min="5412" max="5412" width="23.6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51.375" style="107" bestFit="1" customWidth="1"/>
    <col min="5418" max="5418" width="6.25" style="107" bestFit="1" customWidth="1"/>
    <col min="5419" max="5419" width="2.625" style="107" bestFit="1" customWidth="1"/>
    <col min="5420" max="5420" width="5.125" style="107" bestFit="1" customWidth="1"/>
    <col min="5421" max="5421" width="27.37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91.875" style="107" bestFit="1" customWidth="1"/>
    <col min="5429" max="5429" width="131.2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23.2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625" style="107" bestFit="1" customWidth="1"/>
    <col min="5440" max="5440" width="7.875" style="107" bestFit="1" customWidth="1"/>
    <col min="5441" max="5441" width="4" style="107" bestFit="1" customWidth="1"/>
    <col min="5442" max="5442" width="4.625" style="107" customWidth="1"/>
    <col min="5443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0.25" style="107" bestFit="1" customWidth="1"/>
    <col min="5461" max="5461" width="7.375" style="107" bestFit="1" customWidth="1"/>
    <col min="5462" max="5462" width="47.375" style="107" bestFit="1" customWidth="1"/>
    <col min="5463" max="5463" width="73.25" style="107" bestFit="1" customWidth="1"/>
    <col min="5464" max="5464" width="26.625" style="107" bestFit="1" customWidth="1"/>
    <col min="5465" max="5466" width="26.75" style="107" bestFit="1" customWidth="1"/>
    <col min="5467" max="5467" width="6.375" style="107" bestFit="1" customWidth="1"/>
    <col min="5468" max="5469" width="9.875" style="107" bestFit="1" customWidth="1"/>
    <col min="5470" max="5470" width="26.5" style="107" bestFit="1" customWidth="1"/>
    <col min="5471" max="5471" width="9.125" style="107" bestFit="1" customWidth="1"/>
    <col min="5472" max="5472" width="12.625" style="107" bestFit="1" customWidth="1"/>
    <col min="5473" max="5473" width="36.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11.2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5" width="3.25" style="107" bestFit="1" customWidth="1"/>
    <col min="5646" max="5647" width="4.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.12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6.5" style="107" bestFit="1" customWidth="1"/>
    <col min="5660" max="5660" width="29.25" style="107" bestFit="1" customWidth="1"/>
    <col min="5661" max="5662" width="9.8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6" width="3.625" style="107" bestFit="1" customWidth="1"/>
    <col min="5667" max="5667" width="3.375" style="107" bestFit="1" customWidth="1"/>
    <col min="5668" max="5668" width="23.6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51.375" style="107" bestFit="1" customWidth="1"/>
    <col min="5674" max="5674" width="6.25" style="107" bestFit="1" customWidth="1"/>
    <col min="5675" max="5675" width="2.625" style="107" bestFit="1" customWidth="1"/>
    <col min="5676" max="5676" width="5.125" style="107" bestFit="1" customWidth="1"/>
    <col min="5677" max="5677" width="27.37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91.875" style="107" bestFit="1" customWidth="1"/>
    <col min="5685" max="5685" width="131.2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23.2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625" style="107" bestFit="1" customWidth="1"/>
    <col min="5696" max="5696" width="7.875" style="107" bestFit="1" customWidth="1"/>
    <col min="5697" max="5697" width="4" style="107" bestFit="1" customWidth="1"/>
    <col min="5698" max="5698" width="4.625" style="107" customWidth="1"/>
    <col min="5699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0.25" style="107" bestFit="1" customWidth="1"/>
    <col min="5717" max="5717" width="7.375" style="107" bestFit="1" customWidth="1"/>
    <col min="5718" max="5718" width="47.375" style="107" bestFit="1" customWidth="1"/>
    <col min="5719" max="5719" width="73.25" style="107" bestFit="1" customWidth="1"/>
    <col min="5720" max="5720" width="26.625" style="107" bestFit="1" customWidth="1"/>
    <col min="5721" max="5722" width="26.75" style="107" bestFit="1" customWidth="1"/>
    <col min="5723" max="5723" width="6.375" style="107" bestFit="1" customWidth="1"/>
    <col min="5724" max="5725" width="9.875" style="107" bestFit="1" customWidth="1"/>
    <col min="5726" max="5726" width="26.5" style="107" bestFit="1" customWidth="1"/>
    <col min="5727" max="5727" width="9.125" style="107" bestFit="1" customWidth="1"/>
    <col min="5728" max="5728" width="12.625" style="107" bestFit="1" customWidth="1"/>
    <col min="5729" max="5729" width="36.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11.2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1" width="3.25" style="107" bestFit="1" customWidth="1"/>
    <col min="5902" max="5903" width="4.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.12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6.5" style="107" bestFit="1" customWidth="1"/>
    <col min="5916" max="5916" width="29.25" style="107" bestFit="1" customWidth="1"/>
    <col min="5917" max="5918" width="9.8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2" width="3.625" style="107" bestFit="1" customWidth="1"/>
    <col min="5923" max="5923" width="3.375" style="107" bestFit="1" customWidth="1"/>
    <col min="5924" max="5924" width="23.6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51.375" style="107" bestFit="1" customWidth="1"/>
    <col min="5930" max="5930" width="6.25" style="107" bestFit="1" customWidth="1"/>
    <col min="5931" max="5931" width="2.625" style="107" bestFit="1" customWidth="1"/>
    <col min="5932" max="5932" width="5.125" style="107" bestFit="1" customWidth="1"/>
    <col min="5933" max="5933" width="27.37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91.875" style="107" bestFit="1" customWidth="1"/>
    <col min="5941" max="5941" width="131.2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23.2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625" style="107" bestFit="1" customWidth="1"/>
    <col min="5952" max="5952" width="7.875" style="107" bestFit="1" customWidth="1"/>
    <col min="5953" max="5953" width="4" style="107" bestFit="1" customWidth="1"/>
    <col min="5954" max="5954" width="4.625" style="107" customWidth="1"/>
    <col min="5955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0.25" style="107" bestFit="1" customWidth="1"/>
    <col min="5973" max="5973" width="7.375" style="107" bestFit="1" customWidth="1"/>
    <col min="5974" max="5974" width="47.375" style="107" bestFit="1" customWidth="1"/>
    <col min="5975" max="5975" width="73.25" style="107" bestFit="1" customWidth="1"/>
    <col min="5976" max="5976" width="26.625" style="107" bestFit="1" customWidth="1"/>
    <col min="5977" max="5978" width="26.75" style="107" bestFit="1" customWidth="1"/>
    <col min="5979" max="5979" width="6.375" style="107" bestFit="1" customWidth="1"/>
    <col min="5980" max="5981" width="9.875" style="107" bestFit="1" customWidth="1"/>
    <col min="5982" max="5982" width="26.5" style="107" bestFit="1" customWidth="1"/>
    <col min="5983" max="5983" width="9.125" style="107" bestFit="1" customWidth="1"/>
    <col min="5984" max="5984" width="12.625" style="107" bestFit="1" customWidth="1"/>
    <col min="5985" max="5985" width="36.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11.2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7" width="3.25" style="107" bestFit="1" customWidth="1"/>
    <col min="6158" max="6159" width="4.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.12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6.5" style="107" bestFit="1" customWidth="1"/>
    <col min="6172" max="6172" width="29.25" style="107" bestFit="1" customWidth="1"/>
    <col min="6173" max="6174" width="9.8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8" width="3.625" style="107" bestFit="1" customWidth="1"/>
    <col min="6179" max="6179" width="3.375" style="107" bestFit="1" customWidth="1"/>
    <col min="6180" max="6180" width="23.6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51.375" style="107" bestFit="1" customWidth="1"/>
    <col min="6186" max="6186" width="6.25" style="107" bestFit="1" customWidth="1"/>
    <col min="6187" max="6187" width="2.625" style="107" bestFit="1" customWidth="1"/>
    <col min="6188" max="6188" width="5.125" style="107" bestFit="1" customWidth="1"/>
    <col min="6189" max="6189" width="27.37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91.875" style="107" bestFit="1" customWidth="1"/>
    <col min="6197" max="6197" width="131.2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23.2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625" style="107" bestFit="1" customWidth="1"/>
    <col min="6208" max="6208" width="7.875" style="107" bestFit="1" customWidth="1"/>
    <col min="6209" max="6209" width="4" style="107" bestFit="1" customWidth="1"/>
    <col min="6210" max="6210" width="4.625" style="107" customWidth="1"/>
    <col min="6211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0.25" style="107" bestFit="1" customWidth="1"/>
    <col min="6229" max="6229" width="7.375" style="107" bestFit="1" customWidth="1"/>
    <col min="6230" max="6230" width="47.375" style="107" bestFit="1" customWidth="1"/>
    <col min="6231" max="6231" width="73.25" style="107" bestFit="1" customWidth="1"/>
    <col min="6232" max="6232" width="26.625" style="107" bestFit="1" customWidth="1"/>
    <col min="6233" max="6234" width="26.75" style="107" bestFit="1" customWidth="1"/>
    <col min="6235" max="6235" width="6.375" style="107" bestFit="1" customWidth="1"/>
    <col min="6236" max="6237" width="9.875" style="107" bestFit="1" customWidth="1"/>
    <col min="6238" max="6238" width="26.5" style="107" bestFit="1" customWidth="1"/>
    <col min="6239" max="6239" width="9.125" style="107" bestFit="1" customWidth="1"/>
    <col min="6240" max="6240" width="12.625" style="107" bestFit="1" customWidth="1"/>
    <col min="6241" max="6241" width="36.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11.2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3" width="3.25" style="107" bestFit="1" customWidth="1"/>
    <col min="6414" max="6415" width="4.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.12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6.5" style="107" bestFit="1" customWidth="1"/>
    <col min="6428" max="6428" width="29.25" style="107" bestFit="1" customWidth="1"/>
    <col min="6429" max="6430" width="9.8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4" width="3.625" style="107" bestFit="1" customWidth="1"/>
    <col min="6435" max="6435" width="3.375" style="107" bestFit="1" customWidth="1"/>
    <col min="6436" max="6436" width="23.6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51.375" style="107" bestFit="1" customWidth="1"/>
    <col min="6442" max="6442" width="6.25" style="107" bestFit="1" customWidth="1"/>
    <col min="6443" max="6443" width="2.625" style="107" bestFit="1" customWidth="1"/>
    <col min="6444" max="6444" width="5.125" style="107" bestFit="1" customWidth="1"/>
    <col min="6445" max="6445" width="27.37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91.875" style="107" bestFit="1" customWidth="1"/>
    <col min="6453" max="6453" width="131.2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23.2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625" style="107" bestFit="1" customWidth="1"/>
    <col min="6464" max="6464" width="7.875" style="107" bestFit="1" customWidth="1"/>
    <col min="6465" max="6465" width="4" style="107" bestFit="1" customWidth="1"/>
    <col min="6466" max="6466" width="4.625" style="107" customWidth="1"/>
    <col min="6467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0.25" style="107" bestFit="1" customWidth="1"/>
    <col min="6485" max="6485" width="7.375" style="107" bestFit="1" customWidth="1"/>
    <col min="6486" max="6486" width="47.375" style="107" bestFit="1" customWidth="1"/>
    <col min="6487" max="6487" width="73.25" style="107" bestFit="1" customWidth="1"/>
    <col min="6488" max="6488" width="26.625" style="107" bestFit="1" customWidth="1"/>
    <col min="6489" max="6490" width="26.75" style="107" bestFit="1" customWidth="1"/>
    <col min="6491" max="6491" width="6.375" style="107" bestFit="1" customWidth="1"/>
    <col min="6492" max="6493" width="9.875" style="107" bestFit="1" customWidth="1"/>
    <col min="6494" max="6494" width="26.5" style="107" bestFit="1" customWidth="1"/>
    <col min="6495" max="6495" width="9.125" style="107" bestFit="1" customWidth="1"/>
    <col min="6496" max="6496" width="12.625" style="107" bestFit="1" customWidth="1"/>
    <col min="6497" max="6497" width="36.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11.2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9" width="3.25" style="107" bestFit="1" customWidth="1"/>
    <col min="6670" max="6671" width="4.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.12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6.5" style="107" bestFit="1" customWidth="1"/>
    <col min="6684" max="6684" width="29.25" style="107" bestFit="1" customWidth="1"/>
    <col min="6685" max="6686" width="9.8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0" width="3.625" style="107" bestFit="1" customWidth="1"/>
    <col min="6691" max="6691" width="3.375" style="107" bestFit="1" customWidth="1"/>
    <col min="6692" max="6692" width="23.6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51.375" style="107" bestFit="1" customWidth="1"/>
    <col min="6698" max="6698" width="6.25" style="107" bestFit="1" customWidth="1"/>
    <col min="6699" max="6699" width="2.625" style="107" bestFit="1" customWidth="1"/>
    <col min="6700" max="6700" width="5.125" style="107" bestFit="1" customWidth="1"/>
    <col min="6701" max="6701" width="27.37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91.875" style="107" bestFit="1" customWidth="1"/>
    <col min="6709" max="6709" width="131.2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23.2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625" style="107" bestFit="1" customWidth="1"/>
    <col min="6720" max="6720" width="7.875" style="107" bestFit="1" customWidth="1"/>
    <col min="6721" max="6721" width="4" style="107" bestFit="1" customWidth="1"/>
    <col min="6722" max="6722" width="4.625" style="107" customWidth="1"/>
    <col min="6723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0.25" style="107" bestFit="1" customWidth="1"/>
    <col min="6741" max="6741" width="7.375" style="107" bestFit="1" customWidth="1"/>
    <col min="6742" max="6742" width="47.375" style="107" bestFit="1" customWidth="1"/>
    <col min="6743" max="6743" width="73.25" style="107" bestFit="1" customWidth="1"/>
    <col min="6744" max="6744" width="26.625" style="107" bestFit="1" customWidth="1"/>
    <col min="6745" max="6746" width="26.75" style="107" bestFit="1" customWidth="1"/>
    <col min="6747" max="6747" width="6.375" style="107" bestFit="1" customWidth="1"/>
    <col min="6748" max="6749" width="9.875" style="107" bestFit="1" customWidth="1"/>
    <col min="6750" max="6750" width="26.5" style="107" bestFit="1" customWidth="1"/>
    <col min="6751" max="6751" width="9.125" style="107" bestFit="1" customWidth="1"/>
    <col min="6752" max="6752" width="12.625" style="107" bestFit="1" customWidth="1"/>
    <col min="6753" max="6753" width="36.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11.2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5" width="3.25" style="107" bestFit="1" customWidth="1"/>
    <col min="6926" max="6927" width="4.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.12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6.5" style="107" bestFit="1" customWidth="1"/>
    <col min="6940" max="6940" width="29.25" style="107" bestFit="1" customWidth="1"/>
    <col min="6941" max="6942" width="9.8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6" width="3.625" style="107" bestFit="1" customWidth="1"/>
    <col min="6947" max="6947" width="3.375" style="107" bestFit="1" customWidth="1"/>
    <col min="6948" max="6948" width="23.6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51.375" style="107" bestFit="1" customWidth="1"/>
    <col min="6954" max="6954" width="6.25" style="107" bestFit="1" customWidth="1"/>
    <col min="6955" max="6955" width="2.625" style="107" bestFit="1" customWidth="1"/>
    <col min="6956" max="6956" width="5.125" style="107" bestFit="1" customWidth="1"/>
    <col min="6957" max="6957" width="27.37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91.875" style="107" bestFit="1" customWidth="1"/>
    <col min="6965" max="6965" width="131.2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23.2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625" style="107" bestFit="1" customWidth="1"/>
    <col min="6976" max="6976" width="7.875" style="107" bestFit="1" customWidth="1"/>
    <col min="6977" max="6977" width="4" style="107" bestFit="1" customWidth="1"/>
    <col min="6978" max="6978" width="4.625" style="107" customWidth="1"/>
    <col min="6979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0.25" style="107" bestFit="1" customWidth="1"/>
    <col min="6997" max="6997" width="7.375" style="107" bestFit="1" customWidth="1"/>
    <col min="6998" max="6998" width="47.375" style="107" bestFit="1" customWidth="1"/>
    <col min="6999" max="6999" width="73.25" style="107" bestFit="1" customWidth="1"/>
    <col min="7000" max="7000" width="26.625" style="107" bestFit="1" customWidth="1"/>
    <col min="7001" max="7002" width="26.75" style="107" bestFit="1" customWidth="1"/>
    <col min="7003" max="7003" width="6.375" style="107" bestFit="1" customWidth="1"/>
    <col min="7004" max="7005" width="9.875" style="107" bestFit="1" customWidth="1"/>
    <col min="7006" max="7006" width="26.5" style="107" bestFit="1" customWidth="1"/>
    <col min="7007" max="7007" width="9.125" style="107" bestFit="1" customWidth="1"/>
    <col min="7008" max="7008" width="12.625" style="107" bestFit="1" customWidth="1"/>
    <col min="7009" max="7009" width="36.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11.2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1" width="3.25" style="107" bestFit="1" customWidth="1"/>
    <col min="7182" max="7183" width="4.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.12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6.5" style="107" bestFit="1" customWidth="1"/>
    <col min="7196" max="7196" width="29.25" style="107" bestFit="1" customWidth="1"/>
    <col min="7197" max="7198" width="9.8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2" width="3.625" style="107" bestFit="1" customWidth="1"/>
    <col min="7203" max="7203" width="3.375" style="107" bestFit="1" customWidth="1"/>
    <col min="7204" max="7204" width="23.6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51.375" style="107" bestFit="1" customWidth="1"/>
    <col min="7210" max="7210" width="6.25" style="107" bestFit="1" customWidth="1"/>
    <col min="7211" max="7211" width="2.625" style="107" bestFit="1" customWidth="1"/>
    <col min="7212" max="7212" width="5.125" style="107" bestFit="1" customWidth="1"/>
    <col min="7213" max="7213" width="27.37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91.875" style="107" bestFit="1" customWidth="1"/>
    <col min="7221" max="7221" width="131.2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23.2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625" style="107" bestFit="1" customWidth="1"/>
    <col min="7232" max="7232" width="7.875" style="107" bestFit="1" customWidth="1"/>
    <col min="7233" max="7233" width="4" style="107" bestFit="1" customWidth="1"/>
    <col min="7234" max="7234" width="4.625" style="107" customWidth="1"/>
    <col min="7235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0.25" style="107" bestFit="1" customWidth="1"/>
    <col min="7253" max="7253" width="7.375" style="107" bestFit="1" customWidth="1"/>
    <col min="7254" max="7254" width="47.375" style="107" bestFit="1" customWidth="1"/>
    <col min="7255" max="7255" width="73.25" style="107" bestFit="1" customWidth="1"/>
    <col min="7256" max="7256" width="26.625" style="107" bestFit="1" customWidth="1"/>
    <col min="7257" max="7258" width="26.75" style="107" bestFit="1" customWidth="1"/>
    <col min="7259" max="7259" width="6.375" style="107" bestFit="1" customWidth="1"/>
    <col min="7260" max="7261" width="9.875" style="107" bestFit="1" customWidth="1"/>
    <col min="7262" max="7262" width="26.5" style="107" bestFit="1" customWidth="1"/>
    <col min="7263" max="7263" width="9.125" style="107" bestFit="1" customWidth="1"/>
    <col min="7264" max="7264" width="12.625" style="107" bestFit="1" customWidth="1"/>
    <col min="7265" max="7265" width="36.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11.2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7" width="3.25" style="107" bestFit="1" customWidth="1"/>
    <col min="7438" max="7439" width="4.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.12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6.5" style="107" bestFit="1" customWidth="1"/>
    <col min="7452" max="7452" width="29.25" style="107" bestFit="1" customWidth="1"/>
    <col min="7453" max="7454" width="9.8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8" width="3.625" style="107" bestFit="1" customWidth="1"/>
    <col min="7459" max="7459" width="3.375" style="107" bestFit="1" customWidth="1"/>
    <col min="7460" max="7460" width="23.6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51.375" style="107" bestFit="1" customWidth="1"/>
    <col min="7466" max="7466" width="6.25" style="107" bestFit="1" customWidth="1"/>
    <col min="7467" max="7467" width="2.625" style="107" bestFit="1" customWidth="1"/>
    <col min="7468" max="7468" width="5.125" style="107" bestFit="1" customWidth="1"/>
    <col min="7469" max="7469" width="27.37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91.875" style="107" bestFit="1" customWidth="1"/>
    <col min="7477" max="7477" width="131.2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23.2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625" style="107" bestFit="1" customWidth="1"/>
    <col min="7488" max="7488" width="7.875" style="107" bestFit="1" customWidth="1"/>
    <col min="7489" max="7489" width="4" style="107" bestFit="1" customWidth="1"/>
    <col min="7490" max="7490" width="4.625" style="107" customWidth="1"/>
    <col min="7491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0.25" style="107" bestFit="1" customWidth="1"/>
    <col min="7509" max="7509" width="7.375" style="107" bestFit="1" customWidth="1"/>
    <col min="7510" max="7510" width="47.375" style="107" bestFit="1" customWidth="1"/>
    <col min="7511" max="7511" width="73.25" style="107" bestFit="1" customWidth="1"/>
    <col min="7512" max="7512" width="26.625" style="107" bestFit="1" customWidth="1"/>
    <col min="7513" max="7514" width="26.75" style="107" bestFit="1" customWidth="1"/>
    <col min="7515" max="7515" width="6.375" style="107" bestFit="1" customWidth="1"/>
    <col min="7516" max="7517" width="9.875" style="107" bestFit="1" customWidth="1"/>
    <col min="7518" max="7518" width="26.5" style="107" bestFit="1" customWidth="1"/>
    <col min="7519" max="7519" width="9.125" style="107" bestFit="1" customWidth="1"/>
    <col min="7520" max="7520" width="12.625" style="107" bestFit="1" customWidth="1"/>
    <col min="7521" max="7521" width="36.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11.2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3" width="3.25" style="107" bestFit="1" customWidth="1"/>
    <col min="7694" max="7695" width="4.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.12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6.5" style="107" bestFit="1" customWidth="1"/>
    <col min="7708" max="7708" width="29.25" style="107" bestFit="1" customWidth="1"/>
    <col min="7709" max="7710" width="9.8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4" width="3.625" style="107" bestFit="1" customWidth="1"/>
    <col min="7715" max="7715" width="3.375" style="107" bestFit="1" customWidth="1"/>
    <col min="7716" max="7716" width="23.6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51.375" style="107" bestFit="1" customWidth="1"/>
    <col min="7722" max="7722" width="6.25" style="107" bestFit="1" customWidth="1"/>
    <col min="7723" max="7723" width="2.625" style="107" bestFit="1" customWidth="1"/>
    <col min="7724" max="7724" width="5.125" style="107" bestFit="1" customWidth="1"/>
    <col min="7725" max="7725" width="27.37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91.875" style="107" bestFit="1" customWidth="1"/>
    <col min="7733" max="7733" width="131.2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23.2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625" style="107" bestFit="1" customWidth="1"/>
    <col min="7744" max="7744" width="7.875" style="107" bestFit="1" customWidth="1"/>
    <col min="7745" max="7745" width="4" style="107" bestFit="1" customWidth="1"/>
    <col min="7746" max="7746" width="4.625" style="107" customWidth="1"/>
    <col min="7747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0.25" style="107" bestFit="1" customWidth="1"/>
    <col min="7765" max="7765" width="7.375" style="107" bestFit="1" customWidth="1"/>
    <col min="7766" max="7766" width="47.375" style="107" bestFit="1" customWidth="1"/>
    <col min="7767" max="7767" width="73.25" style="107" bestFit="1" customWidth="1"/>
    <col min="7768" max="7768" width="26.625" style="107" bestFit="1" customWidth="1"/>
    <col min="7769" max="7770" width="26.75" style="107" bestFit="1" customWidth="1"/>
    <col min="7771" max="7771" width="6.375" style="107" bestFit="1" customWidth="1"/>
    <col min="7772" max="7773" width="9.875" style="107" bestFit="1" customWidth="1"/>
    <col min="7774" max="7774" width="26.5" style="107" bestFit="1" customWidth="1"/>
    <col min="7775" max="7775" width="9.125" style="107" bestFit="1" customWidth="1"/>
    <col min="7776" max="7776" width="12.625" style="107" bestFit="1" customWidth="1"/>
    <col min="7777" max="7777" width="36.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11.2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9" width="3.25" style="107" bestFit="1" customWidth="1"/>
    <col min="7950" max="7951" width="4.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.12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6.5" style="107" bestFit="1" customWidth="1"/>
    <col min="7964" max="7964" width="29.25" style="107" bestFit="1" customWidth="1"/>
    <col min="7965" max="7966" width="9.8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0" width="3.625" style="107" bestFit="1" customWidth="1"/>
    <col min="7971" max="7971" width="3.375" style="107" bestFit="1" customWidth="1"/>
    <col min="7972" max="7972" width="23.6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51.375" style="107" bestFit="1" customWidth="1"/>
    <col min="7978" max="7978" width="6.25" style="107" bestFit="1" customWidth="1"/>
    <col min="7979" max="7979" width="2.625" style="107" bestFit="1" customWidth="1"/>
    <col min="7980" max="7980" width="5.125" style="107" bestFit="1" customWidth="1"/>
    <col min="7981" max="7981" width="27.37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91.875" style="107" bestFit="1" customWidth="1"/>
    <col min="7989" max="7989" width="131.2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23.2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625" style="107" bestFit="1" customWidth="1"/>
    <col min="8000" max="8000" width="7.875" style="107" bestFit="1" customWidth="1"/>
    <col min="8001" max="8001" width="4" style="107" bestFit="1" customWidth="1"/>
    <col min="8002" max="8002" width="4.625" style="107" customWidth="1"/>
    <col min="8003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0.25" style="107" bestFit="1" customWidth="1"/>
    <col min="8021" max="8021" width="7.375" style="107" bestFit="1" customWidth="1"/>
    <col min="8022" max="8022" width="47.375" style="107" bestFit="1" customWidth="1"/>
    <col min="8023" max="8023" width="73.25" style="107" bestFit="1" customWidth="1"/>
    <col min="8024" max="8024" width="26.625" style="107" bestFit="1" customWidth="1"/>
    <col min="8025" max="8026" width="26.75" style="107" bestFit="1" customWidth="1"/>
    <col min="8027" max="8027" width="6.375" style="107" bestFit="1" customWidth="1"/>
    <col min="8028" max="8029" width="9.875" style="107" bestFit="1" customWidth="1"/>
    <col min="8030" max="8030" width="26.5" style="107" bestFit="1" customWidth="1"/>
    <col min="8031" max="8031" width="9.125" style="107" bestFit="1" customWidth="1"/>
    <col min="8032" max="8032" width="12.625" style="107" bestFit="1" customWidth="1"/>
    <col min="8033" max="8033" width="36.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11.2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5" width="3.25" style="107" bestFit="1" customWidth="1"/>
    <col min="8206" max="8207" width="4.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.12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6.5" style="107" bestFit="1" customWidth="1"/>
    <col min="8220" max="8220" width="29.25" style="107" bestFit="1" customWidth="1"/>
    <col min="8221" max="8222" width="9.8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6" width="3.625" style="107" bestFit="1" customWidth="1"/>
    <col min="8227" max="8227" width="3.375" style="107" bestFit="1" customWidth="1"/>
    <col min="8228" max="8228" width="23.6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51.375" style="107" bestFit="1" customWidth="1"/>
    <col min="8234" max="8234" width="6.25" style="107" bestFit="1" customWidth="1"/>
    <col min="8235" max="8235" width="2.625" style="107" bestFit="1" customWidth="1"/>
    <col min="8236" max="8236" width="5.125" style="107" bestFit="1" customWidth="1"/>
    <col min="8237" max="8237" width="27.37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91.875" style="107" bestFit="1" customWidth="1"/>
    <col min="8245" max="8245" width="131.2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23.2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625" style="107" bestFit="1" customWidth="1"/>
    <col min="8256" max="8256" width="7.875" style="107" bestFit="1" customWidth="1"/>
    <col min="8257" max="8257" width="4" style="107" bestFit="1" customWidth="1"/>
    <col min="8258" max="8258" width="4.625" style="107" customWidth="1"/>
    <col min="8259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0.25" style="107" bestFit="1" customWidth="1"/>
    <col min="8277" max="8277" width="7.375" style="107" bestFit="1" customWidth="1"/>
    <col min="8278" max="8278" width="47.375" style="107" bestFit="1" customWidth="1"/>
    <col min="8279" max="8279" width="73.25" style="107" bestFit="1" customWidth="1"/>
    <col min="8280" max="8280" width="26.625" style="107" bestFit="1" customWidth="1"/>
    <col min="8281" max="8282" width="26.75" style="107" bestFit="1" customWidth="1"/>
    <col min="8283" max="8283" width="6.375" style="107" bestFit="1" customWidth="1"/>
    <col min="8284" max="8285" width="9.875" style="107" bestFit="1" customWidth="1"/>
    <col min="8286" max="8286" width="26.5" style="107" bestFit="1" customWidth="1"/>
    <col min="8287" max="8287" width="9.125" style="107" bestFit="1" customWidth="1"/>
    <col min="8288" max="8288" width="12.625" style="107" bestFit="1" customWidth="1"/>
    <col min="8289" max="8289" width="36.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11.2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1" width="3.25" style="107" bestFit="1" customWidth="1"/>
    <col min="8462" max="8463" width="4.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.12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6.5" style="107" bestFit="1" customWidth="1"/>
    <col min="8476" max="8476" width="29.25" style="107" bestFit="1" customWidth="1"/>
    <col min="8477" max="8478" width="9.8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2" width="3.625" style="107" bestFit="1" customWidth="1"/>
    <col min="8483" max="8483" width="3.375" style="107" bestFit="1" customWidth="1"/>
    <col min="8484" max="8484" width="23.6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51.375" style="107" bestFit="1" customWidth="1"/>
    <col min="8490" max="8490" width="6.25" style="107" bestFit="1" customWidth="1"/>
    <col min="8491" max="8491" width="2.625" style="107" bestFit="1" customWidth="1"/>
    <col min="8492" max="8492" width="5.125" style="107" bestFit="1" customWidth="1"/>
    <col min="8493" max="8493" width="27.37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91.875" style="107" bestFit="1" customWidth="1"/>
    <col min="8501" max="8501" width="131.2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23.2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625" style="107" bestFit="1" customWidth="1"/>
    <col min="8512" max="8512" width="7.875" style="107" bestFit="1" customWidth="1"/>
    <col min="8513" max="8513" width="4" style="107" bestFit="1" customWidth="1"/>
    <col min="8514" max="8514" width="4.625" style="107" customWidth="1"/>
    <col min="8515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0.25" style="107" bestFit="1" customWidth="1"/>
    <col min="8533" max="8533" width="7.375" style="107" bestFit="1" customWidth="1"/>
    <col min="8534" max="8534" width="47.375" style="107" bestFit="1" customWidth="1"/>
    <col min="8535" max="8535" width="73.25" style="107" bestFit="1" customWidth="1"/>
    <col min="8536" max="8536" width="26.625" style="107" bestFit="1" customWidth="1"/>
    <col min="8537" max="8538" width="26.75" style="107" bestFit="1" customWidth="1"/>
    <col min="8539" max="8539" width="6.375" style="107" bestFit="1" customWidth="1"/>
    <col min="8540" max="8541" width="9.875" style="107" bestFit="1" customWidth="1"/>
    <col min="8542" max="8542" width="26.5" style="107" bestFit="1" customWidth="1"/>
    <col min="8543" max="8543" width="9.125" style="107" bestFit="1" customWidth="1"/>
    <col min="8544" max="8544" width="12.625" style="107" bestFit="1" customWidth="1"/>
    <col min="8545" max="8545" width="36.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11.2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7" width="3.25" style="107" bestFit="1" customWidth="1"/>
    <col min="8718" max="8719" width="4.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.12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6.5" style="107" bestFit="1" customWidth="1"/>
    <col min="8732" max="8732" width="29.25" style="107" bestFit="1" customWidth="1"/>
    <col min="8733" max="8734" width="9.8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8" width="3.625" style="107" bestFit="1" customWidth="1"/>
    <col min="8739" max="8739" width="3.375" style="107" bestFit="1" customWidth="1"/>
    <col min="8740" max="8740" width="23.6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51.375" style="107" bestFit="1" customWidth="1"/>
    <col min="8746" max="8746" width="6.25" style="107" bestFit="1" customWidth="1"/>
    <col min="8747" max="8747" width="2.625" style="107" bestFit="1" customWidth="1"/>
    <col min="8748" max="8748" width="5.125" style="107" bestFit="1" customWidth="1"/>
    <col min="8749" max="8749" width="27.37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91.875" style="107" bestFit="1" customWidth="1"/>
    <col min="8757" max="8757" width="131.2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23.2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625" style="107" bestFit="1" customWidth="1"/>
    <col min="8768" max="8768" width="7.875" style="107" bestFit="1" customWidth="1"/>
    <col min="8769" max="8769" width="4" style="107" bestFit="1" customWidth="1"/>
    <col min="8770" max="8770" width="4.625" style="107" customWidth="1"/>
    <col min="8771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0.25" style="107" bestFit="1" customWidth="1"/>
    <col min="8789" max="8789" width="7.375" style="107" bestFit="1" customWidth="1"/>
    <col min="8790" max="8790" width="47.375" style="107" bestFit="1" customWidth="1"/>
    <col min="8791" max="8791" width="73.25" style="107" bestFit="1" customWidth="1"/>
    <col min="8792" max="8792" width="26.625" style="107" bestFit="1" customWidth="1"/>
    <col min="8793" max="8794" width="26.75" style="107" bestFit="1" customWidth="1"/>
    <col min="8795" max="8795" width="6.375" style="107" bestFit="1" customWidth="1"/>
    <col min="8796" max="8797" width="9.875" style="107" bestFit="1" customWidth="1"/>
    <col min="8798" max="8798" width="26.5" style="107" bestFit="1" customWidth="1"/>
    <col min="8799" max="8799" width="9.125" style="107" bestFit="1" customWidth="1"/>
    <col min="8800" max="8800" width="12.625" style="107" bestFit="1" customWidth="1"/>
    <col min="8801" max="8801" width="36.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11.2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3" width="3.25" style="107" bestFit="1" customWidth="1"/>
    <col min="8974" max="8975" width="4.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.12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6.5" style="107" bestFit="1" customWidth="1"/>
    <col min="8988" max="8988" width="29.25" style="107" bestFit="1" customWidth="1"/>
    <col min="8989" max="8990" width="9.8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4" width="3.625" style="107" bestFit="1" customWidth="1"/>
    <col min="8995" max="8995" width="3.375" style="107" bestFit="1" customWidth="1"/>
    <col min="8996" max="8996" width="23.6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51.375" style="107" bestFit="1" customWidth="1"/>
    <col min="9002" max="9002" width="6.25" style="107" bestFit="1" customWidth="1"/>
    <col min="9003" max="9003" width="2.625" style="107" bestFit="1" customWidth="1"/>
    <col min="9004" max="9004" width="5.125" style="107" bestFit="1" customWidth="1"/>
    <col min="9005" max="9005" width="27.37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91.875" style="107" bestFit="1" customWidth="1"/>
    <col min="9013" max="9013" width="131.2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23.2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625" style="107" bestFit="1" customWidth="1"/>
    <col min="9024" max="9024" width="7.875" style="107" bestFit="1" customWidth="1"/>
    <col min="9025" max="9025" width="4" style="107" bestFit="1" customWidth="1"/>
    <col min="9026" max="9026" width="4.625" style="107" customWidth="1"/>
    <col min="9027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0.25" style="107" bestFit="1" customWidth="1"/>
    <col min="9045" max="9045" width="7.375" style="107" bestFit="1" customWidth="1"/>
    <col min="9046" max="9046" width="47.375" style="107" bestFit="1" customWidth="1"/>
    <col min="9047" max="9047" width="73.25" style="107" bestFit="1" customWidth="1"/>
    <col min="9048" max="9048" width="26.625" style="107" bestFit="1" customWidth="1"/>
    <col min="9049" max="9050" width="26.75" style="107" bestFit="1" customWidth="1"/>
    <col min="9051" max="9051" width="6.375" style="107" bestFit="1" customWidth="1"/>
    <col min="9052" max="9053" width="9.875" style="107" bestFit="1" customWidth="1"/>
    <col min="9054" max="9054" width="26.5" style="107" bestFit="1" customWidth="1"/>
    <col min="9055" max="9055" width="9.125" style="107" bestFit="1" customWidth="1"/>
    <col min="9056" max="9056" width="12.625" style="107" bestFit="1" customWidth="1"/>
    <col min="9057" max="9057" width="36.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11.2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9" width="3.25" style="107" bestFit="1" customWidth="1"/>
    <col min="9230" max="9231" width="4.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.12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6.5" style="107" bestFit="1" customWidth="1"/>
    <col min="9244" max="9244" width="29.25" style="107" bestFit="1" customWidth="1"/>
    <col min="9245" max="9246" width="9.8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0" width="3.625" style="107" bestFit="1" customWidth="1"/>
    <col min="9251" max="9251" width="3.375" style="107" bestFit="1" customWidth="1"/>
    <col min="9252" max="9252" width="23.6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51.375" style="107" bestFit="1" customWidth="1"/>
    <col min="9258" max="9258" width="6.25" style="107" bestFit="1" customWidth="1"/>
    <col min="9259" max="9259" width="2.625" style="107" bestFit="1" customWidth="1"/>
    <col min="9260" max="9260" width="5.125" style="107" bestFit="1" customWidth="1"/>
    <col min="9261" max="9261" width="27.37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91.875" style="107" bestFit="1" customWidth="1"/>
    <col min="9269" max="9269" width="131.2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23.2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625" style="107" bestFit="1" customWidth="1"/>
    <col min="9280" max="9280" width="7.875" style="107" bestFit="1" customWidth="1"/>
    <col min="9281" max="9281" width="4" style="107" bestFit="1" customWidth="1"/>
    <col min="9282" max="9282" width="4.625" style="107" customWidth="1"/>
    <col min="9283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0.25" style="107" bestFit="1" customWidth="1"/>
    <col min="9301" max="9301" width="7.375" style="107" bestFit="1" customWidth="1"/>
    <col min="9302" max="9302" width="47.375" style="107" bestFit="1" customWidth="1"/>
    <col min="9303" max="9303" width="73.25" style="107" bestFit="1" customWidth="1"/>
    <col min="9304" max="9304" width="26.625" style="107" bestFit="1" customWidth="1"/>
    <col min="9305" max="9306" width="26.75" style="107" bestFit="1" customWidth="1"/>
    <col min="9307" max="9307" width="6.375" style="107" bestFit="1" customWidth="1"/>
    <col min="9308" max="9309" width="9.875" style="107" bestFit="1" customWidth="1"/>
    <col min="9310" max="9310" width="26.5" style="107" bestFit="1" customWidth="1"/>
    <col min="9311" max="9311" width="9.125" style="107" bestFit="1" customWidth="1"/>
    <col min="9312" max="9312" width="12.625" style="107" bestFit="1" customWidth="1"/>
    <col min="9313" max="9313" width="36.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11.2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5" width="3.25" style="107" bestFit="1" customWidth="1"/>
    <col min="9486" max="9487" width="4.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.12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6.5" style="107" bestFit="1" customWidth="1"/>
    <col min="9500" max="9500" width="29.25" style="107" bestFit="1" customWidth="1"/>
    <col min="9501" max="9502" width="9.8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6" width="3.625" style="107" bestFit="1" customWidth="1"/>
    <col min="9507" max="9507" width="3.375" style="107" bestFit="1" customWidth="1"/>
    <col min="9508" max="9508" width="23.6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51.375" style="107" bestFit="1" customWidth="1"/>
    <col min="9514" max="9514" width="6.25" style="107" bestFit="1" customWidth="1"/>
    <col min="9515" max="9515" width="2.625" style="107" bestFit="1" customWidth="1"/>
    <col min="9516" max="9516" width="5.125" style="107" bestFit="1" customWidth="1"/>
    <col min="9517" max="9517" width="27.37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91.875" style="107" bestFit="1" customWidth="1"/>
    <col min="9525" max="9525" width="131.2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23.2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625" style="107" bestFit="1" customWidth="1"/>
    <col min="9536" max="9536" width="7.875" style="107" bestFit="1" customWidth="1"/>
    <col min="9537" max="9537" width="4" style="107" bestFit="1" customWidth="1"/>
    <col min="9538" max="9538" width="4.625" style="107" customWidth="1"/>
    <col min="9539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0.25" style="107" bestFit="1" customWidth="1"/>
    <col min="9557" max="9557" width="7.375" style="107" bestFit="1" customWidth="1"/>
    <col min="9558" max="9558" width="47.375" style="107" bestFit="1" customWidth="1"/>
    <col min="9559" max="9559" width="73.25" style="107" bestFit="1" customWidth="1"/>
    <col min="9560" max="9560" width="26.625" style="107" bestFit="1" customWidth="1"/>
    <col min="9561" max="9562" width="26.75" style="107" bestFit="1" customWidth="1"/>
    <col min="9563" max="9563" width="6.375" style="107" bestFit="1" customWidth="1"/>
    <col min="9564" max="9565" width="9.875" style="107" bestFit="1" customWidth="1"/>
    <col min="9566" max="9566" width="26.5" style="107" bestFit="1" customWidth="1"/>
    <col min="9567" max="9567" width="9.125" style="107" bestFit="1" customWidth="1"/>
    <col min="9568" max="9568" width="12.625" style="107" bestFit="1" customWidth="1"/>
    <col min="9569" max="9569" width="36.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11.2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1" width="3.25" style="107" bestFit="1" customWidth="1"/>
    <col min="9742" max="9743" width="4.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.12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6.5" style="107" bestFit="1" customWidth="1"/>
    <col min="9756" max="9756" width="29.25" style="107" bestFit="1" customWidth="1"/>
    <col min="9757" max="9758" width="9.8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2" width="3.625" style="107" bestFit="1" customWidth="1"/>
    <col min="9763" max="9763" width="3.375" style="107" bestFit="1" customWidth="1"/>
    <col min="9764" max="9764" width="23.6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51.375" style="107" bestFit="1" customWidth="1"/>
    <col min="9770" max="9770" width="6.25" style="107" bestFit="1" customWidth="1"/>
    <col min="9771" max="9771" width="2.625" style="107" bestFit="1" customWidth="1"/>
    <col min="9772" max="9772" width="5.125" style="107" bestFit="1" customWidth="1"/>
    <col min="9773" max="9773" width="27.37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91.875" style="107" bestFit="1" customWidth="1"/>
    <col min="9781" max="9781" width="131.2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23.2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625" style="107" bestFit="1" customWidth="1"/>
    <col min="9792" max="9792" width="7.875" style="107" bestFit="1" customWidth="1"/>
    <col min="9793" max="9793" width="4" style="107" bestFit="1" customWidth="1"/>
    <col min="9794" max="9794" width="4.625" style="107" customWidth="1"/>
    <col min="9795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0.25" style="107" bestFit="1" customWidth="1"/>
    <col min="9813" max="9813" width="7.375" style="107" bestFit="1" customWidth="1"/>
    <col min="9814" max="9814" width="47.375" style="107" bestFit="1" customWidth="1"/>
    <col min="9815" max="9815" width="73.25" style="107" bestFit="1" customWidth="1"/>
    <col min="9816" max="9816" width="26.625" style="107" bestFit="1" customWidth="1"/>
    <col min="9817" max="9818" width="26.75" style="107" bestFit="1" customWidth="1"/>
    <col min="9819" max="9819" width="6.375" style="107" bestFit="1" customWidth="1"/>
    <col min="9820" max="9821" width="9.875" style="107" bestFit="1" customWidth="1"/>
    <col min="9822" max="9822" width="26.5" style="107" bestFit="1" customWidth="1"/>
    <col min="9823" max="9823" width="9.125" style="107" bestFit="1" customWidth="1"/>
    <col min="9824" max="9824" width="12.625" style="107" bestFit="1" customWidth="1"/>
    <col min="9825" max="9825" width="36.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11.2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7" width="3.25" style="107" bestFit="1" customWidth="1"/>
    <col min="9998" max="9999" width="4.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.12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6.5" style="107" bestFit="1" customWidth="1"/>
    <col min="10012" max="10012" width="29.25" style="107" bestFit="1" customWidth="1"/>
    <col min="10013" max="10014" width="9.8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8" width="3.625" style="107" bestFit="1" customWidth="1"/>
    <col min="10019" max="10019" width="3.375" style="107" bestFit="1" customWidth="1"/>
    <col min="10020" max="10020" width="23.6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51.375" style="107" bestFit="1" customWidth="1"/>
    <col min="10026" max="10026" width="6.25" style="107" bestFit="1" customWidth="1"/>
    <col min="10027" max="10027" width="2.625" style="107" bestFit="1" customWidth="1"/>
    <col min="10028" max="10028" width="5.125" style="107" bestFit="1" customWidth="1"/>
    <col min="10029" max="10029" width="27.37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91.875" style="107" bestFit="1" customWidth="1"/>
    <col min="10037" max="10037" width="131.2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23.2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625" style="107" bestFit="1" customWidth="1"/>
    <col min="10048" max="10048" width="7.875" style="107" bestFit="1" customWidth="1"/>
    <col min="10049" max="10049" width="4" style="107" bestFit="1" customWidth="1"/>
    <col min="10050" max="10050" width="4.625" style="107" customWidth="1"/>
    <col min="10051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0.25" style="107" bestFit="1" customWidth="1"/>
    <col min="10069" max="10069" width="7.375" style="107" bestFit="1" customWidth="1"/>
    <col min="10070" max="10070" width="47.375" style="107" bestFit="1" customWidth="1"/>
    <col min="10071" max="10071" width="73.25" style="107" bestFit="1" customWidth="1"/>
    <col min="10072" max="10072" width="26.625" style="107" bestFit="1" customWidth="1"/>
    <col min="10073" max="10074" width="26.75" style="107" bestFit="1" customWidth="1"/>
    <col min="10075" max="10075" width="6.375" style="107" bestFit="1" customWidth="1"/>
    <col min="10076" max="10077" width="9.875" style="107" bestFit="1" customWidth="1"/>
    <col min="10078" max="10078" width="26.5" style="107" bestFit="1" customWidth="1"/>
    <col min="10079" max="10079" width="9.125" style="107" bestFit="1" customWidth="1"/>
    <col min="10080" max="10080" width="12.625" style="107" bestFit="1" customWidth="1"/>
    <col min="10081" max="10081" width="36.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11.2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3" width="3.25" style="107" bestFit="1" customWidth="1"/>
    <col min="10254" max="10255" width="4.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.12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6.5" style="107" bestFit="1" customWidth="1"/>
    <col min="10268" max="10268" width="29.25" style="107" bestFit="1" customWidth="1"/>
    <col min="10269" max="10270" width="9.8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4" width="3.625" style="107" bestFit="1" customWidth="1"/>
    <col min="10275" max="10275" width="3.375" style="107" bestFit="1" customWidth="1"/>
    <col min="10276" max="10276" width="23.6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51.375" style="107" bestFit="1" customWidth="1"/>
    <col min="10282" max="10282" width="6.25" style="107" bestFit="1" customWidth="1"/>
    <col min="10283" max="10283" width="2.625" style="107" bestFit="1" customWidth="1"/>
    <col min="10284" max="10284" width="5.125" style="107" bestFit="1" customWidth="1"/>
    <col min="10285" max="10285" width="27.37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91.875" style="107" bestFit="1" customWidth="1"/>
    <col min="10293" max="10293" width="131.2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23.2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625" style="107" bestFit="1" customWidth="1"/>
    <col min="10304" max="10304" width="7.875" style="107" bestFit="1" customWidth="1"/>
    <col min="10305" max="10305" width="4" style="107" bestFit="1" customWidth="1"/>
    <col min="10306" max="10306" width="4.625" style="107" customWidth="1"/>
    <col min="10307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0.25" style="107" bestFit="1" customWidth="1"/>
    <col min="10325" max="10325" width="7.375" style="107" bestFit="1" customWidth="1"/>
    <col min="10326" max="10326" width="47.375" style="107" bestFit="1" customWidth="1"/>
    <col min="10327" max="10327" width="73.25" style="107" bestFit="1" customWidth="1"/>
    <col min="10328" max="10328" width="26.625" style="107" bestFit="1" customWidth="1"/>
    <col min="10329" max="10330" width="26.75" style="107" bestFit="1" customWidth="1"/>
    <col min="10331" max="10331" width="6.375" style="107" bestFit="1" customWidth="1"/>
    <col min="10332" max="10333" width="9.875" style="107" bestFit="1" customWidth="1"/>
    <col min="10334" max="10334" width="26.5" style="107" bestFit="1" customWidth="1"/>
    <col min="10335" max="10335" width="9.125" style="107" bestFit="1" customWidth="1"/>
    <col min="10336" max="10336" width="12.625" style="107" bestFit="1" customWidth="1"/>
    <col min="10337" max="10337" width="36.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11.2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9" width="3.25" style="107" bestFit="1" customWidth="1"/>
    <col min="10510" max="10511" width="4.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.12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6.5" style="107" bestFit="1" customWidth="1"/>
    <col min="10524" max="10524" width="29.25" style="107" bestFit="1" customWidth="1"/>
    <col min="10525" max="10526" width="9.8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0" width="3.625" style="107" bestFit="1" customWidth="1"/>
    <col min="10531" max="10531" width="3.375" style="107" bestFit="1" customWidth="1"/>
    <col min="10532" max="10532" width="23.6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51.375" style="107" bestFit="1" customWidth="1"/>
    <col min="10538" max="10538" width="6.25" style="107" bestFit="1" customWidth="1"/>
    <col min="10539" max="10539" width="2.625" style="107" bestFit="1" customWidth="1"/>
    <col min="10540" max="10540" width="5.125" style="107" bestFit="1" customWidth="1"/>
    <col min="10541" max="10541" width="27.37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91.875" style="107" bestFit="1" customWidth="1"/>
    <col min="10549" max="10549" width="131.2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23.2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625" style="107" bestFit="1" customWidth="1"/>
    <col min="10560" max="10560" width="7.875" style="107" bestFit="1" customWidth="1"/>
    <col min="10561" max="10561" width="4" style="107" bestFit="1" customWidth="1"/>
    <col min="10562" max="10562" width="4.625" style="107" customWidth="1"/>
    <col min="10563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0.25" style="107" bestFit="1" customWidth="1"/>
    <col min="10581" max="10581" width="7.375" style="107" bestFit="1" customWidth="1"/>
    <col min="10582" max="10582" width="47.375" style="107" bestFit="1" customWidth="1"/>
    <col min="10583" max="10583" width="73.25" style="107" bestFit="1" customWidth="1"/>
    <col min="10584" max="10584" width="26.625" style="107" bestFit="1" customWidth="1"/>
    <col min="10585" max="10586" width="26.75" style="107" bestFit="1" customWidth="1"/>
    <col min="10587" max="10587" width="6.375" style="107" bestFit="1" customWidth="1"/>
    <col min="10588" max="10589" width="9.875" style="107" bestFit="1" customWidth="1"/>
    <col min="10590" max="10590" width="26.5" style="107" bestFit="1" customWidth="1"/>
    <col min="10591" max="10591" width="9.125" style="107" bestFit="1" customWidth="1"/>
    <col min="10592" max="10592" width="12.625" style="107" bestFit="1" customWidth="1"/>
    <col min="10593" max="10593" width="36.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11.2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5" width="3.25" style="107" bestFit="1" customWidth="1"/>
    <col min="10766" max="10767" width="4.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.12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6.5" style="107" bestFit="1" customWidth="1"/>
    <col min="10780" max="10780" width="29.25" style="107" bestFit="1" customWidth="1"/>
    <col min="10781" max="10782" width="9.8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6" width="3.625" style="107" bestFit="1" customWidth="1"/>
    <col min="10787" max="10787" width="3.375" style="107" bestFit="1" customWidth="1"/>
    <col min="10788" max="10788" width="23.6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51.375" style="107" bestFit="1" customWidth="1"/>
    <col min="10794" max="10794" width="6.25" style="107" bestFit="1" customWidth="1"/>
    <col min="10795" max="10795" width="2.625" style="107" bestFit="1" customWidth="1"/>
    <col min="10796" max="10796" width="5.125" style="107" bestFit="1" customWidth="1"/>
    <col min="10797" max="10797" width="27.37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91.875" style="107" bestFit="1" customWidth="1"/>
    <col min="10805" max="10805" width="131.2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23.2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625" style="107" bestFit="1" customWidth="1"/>
    <col min="10816" max="10816" width="7.875" style="107" bestFit="1" customWidth="1"/>
    <col min="10817" max="10817" width="4" style="107" bestFit="1" customWidth="1"/>
    <col min="10818" max="10818" width="4.625" style="107" customWidth="1"/>
    <col min="10819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0.25" style="107" bestFit="1" customWidth="1"/>
    <col min="10837" max="10837" width="7.375" style="107" bestFit="1" customWidth="1"/>
    <col min="10838" max="10838" width="47.375" style="107" bestFit="1" customWidth="1"/>
    <col min="10839" max="10839" width="73.25" style="107" bestFit="1" customWidth="1"/>
    <col min="10840" max="10840" width="26.625" style="107" bestFit="1" customWidth="1"/>
    <col min="10841" max="10842" width="26.75" style="107" bestFit="1" customWidth="1"/>
    <col min="10843" max="10843" width="6.375" style="107" bestFit="1" customWidth="1"/>
    <col min="10844" max="10845" width="9.875" style="107" bestFit="1" customWidth="1"/>
    <col min="10846" max="10846" width="26.5" style="107" bestFit="1" customWidth="1"/>
    <col min="10847" max="10847" width="9.125" style="107" bestFit="1" customWidth="1"/>
    <col min="10848" max="10848" width="12.625" style="107" bestFit="1" customWidth="1"/>
    <col min="10849" max="10849" width="36.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11.2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1" width="3.25" style="107" bestFit="1" customWidth="1"/>
    <col min="11022" max="11023" width="4.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.12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6.5" style="107" bestFit="1" customWidth="1"/>
    <col min="11036" max="11036" width="29.25" style="107" bestFit="1" customWidth="1"/>
    <col min="11037" max="11038" width="9.8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2" width="3.625" style="107" bestFit="1" customWidth="1"/>
    <col min="11043" max="11043" width="3.375" style="107" bestFit="1" customWidth="1"/>
    <col min="11044" max="11044" width="23.6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51.375" style="107" bestFit="1" customWidth="1"/>
    <col min="11050" max="11050" width="6.25" style="107" bestFit="1" customWidth="1"/>
    <col min="11051" max="11051" width="2.625" style="107" bestFit="1" customWidth="1"/>
    <col min="11052" max="11052" width="5.125" style="107" bestFit="1" customWidth="1"/>
    <col min="11053" max="11053" width="27.37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91.875" style="107" bestFit="1" customWidth="1"/>
    <col min="11061" max="11061" width="131.2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23.2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625" style="107" bestFit="1" customWidth="1"/>
    <col min="11072" max="11072" width="7.875" style="107" bestFit="1" customWidth="1"/>
    <col min="11073" max="11073" width="4" style="107" bestFit="1" customWidth="1"/>
    <col min="11074" max="11074" width="4.625" style="107" customWidth="1"/>
    <col min="11075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0.25" style="107" bestFit="1" customWidth="1"/>
    <col min="11093" max="11093" width="7.375" style="107" bestFit="1" customWidth="1"/>
    <col min="11094" max="11094" width="47.375" style="107" bestFit="1" customWidth="1"/>
    <col min="11095" max="11095" width="73.25" style="107" bestFit="1" customWidth="1"/>
    <col min="11096" max="11096" width="26.625" style="107" bestFit="1" customWidth="1"/>
    <col min="11097" max="11098" width="26.75" style="107" bestFit="1" customWidth="1"/>
    <col min="11099" max="11099" width="6.375" style="107" bestFit="1" customWidth="1"/>
    <col min="11100" max="11101" width="9.875" style="107" bestFit="1" customWidth="1"/>
    <col min="11102" max="11102" width="26.5" style="107" bestFit="1" customWidth="1"/>
    <col min="11103" max="11103" width="9.125" style="107" bestFit="1" customWidth="1"/>
    <col min="11104" max="11104" width="12.625" style="107" bestFit="1" customWidth="1"/>
    <col min="11105" max="11105" width="36.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11.2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7" width="3.25" style="107" bestFit="1" customWidth="1"/>
    <col min="11278" max="11279" width="4.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.12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6.5" style="107" bestFit="1" customWidth="1"/>
    <col min="11292" max="11292" width="29.25" style="107" bestFit="1" customWidth="1"/>
    <col min="11293" max="11294" width="9.8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8" width="3.625" style="107" bestFit="1" customWidth="1"/>
    <col min="11299" max="11299" width="3.375" style="107" bestFit="1" customWidth="1"/>
    <col min="11300" max="11300" width="23.6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51.375" style="107" bestFit="1" customWidth="1"/>
    <col min="11306" max="11306" width="6.25" style="107" bestFit="1" customWidth="1"/>
    <col min="11307" max="11307" width="2.625" style="107" bestFit="1" customWidth="1"/>
    <col min="11308" max="11308" width="5.125" style="107" bestFit="1" customWidth="1"/>
    <col min="11309" max="11309" width="27.37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91.875" style="107" bestFit="1" customWidth="1"/>
    <col min="11317" max="11317" width="131.2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23.2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625" style="107" bestFit="1" customWidth="1"/>
    <col min="11328" max="11328" width="7.875" style="107" bestFit="1" customWidth="1"/>
    <col min="11329" max="11329" width="4" style="107" bestFit="1" customWidth="1"/>
    <col min="11330" max="11330" width="4.625" style="107" customWidth="1"/>
    <col min="11331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0.25" style="107" bestFit="1" customWidth="1"/>
    <col min="11349" max="11349" width="7.375" style="107" bestFit="1" customWidth="1"/>
    <col min="11350" max="11350" width="47.375" style="107" bestFit="1" customWidth="1"/>
    <col min="11351" max="11351" width="73.25" style="107" bestFit="1" customWidth="1"/>
    <col min="11352" max="11352" width="26.625" style="107" bestFit="1" customWidth="1"/>
    <col min="11353" max="11354" width="26.75" style="107" bestFit="1" customWidth="1"/>
    <col min="11355" max="11355" width="6.375" style="107" bestFit="1" customWidth="1"/>
    <col min="11356" max="11357" width="9.875" style="107" bestFit="1" customWidth="1"/>
    <col min="11358" max="11358" width="26.5" style="107" bestFit="1" customWidth="1"/>
    <col min="11359" max="11359" width="9.125" style="107" bestFit="1" customWidth="1"/>
    <col min="11360" max="11360" width="12.625" style="107" bestFit="1" customWidth="1"/>
    <col min="11361" max="11361" width="36.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11.2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3" width="3.25" style="107" bestFit="1" customWidth="1"/>
    <col min="11534" max="11535" width="4.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.12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6.5" style="107" bestFit="1" customWidth="1"/>
    <col min="11548" max="11548" width="29.25" style="107" bestFit="1" customWidth="1"/>
    <col min="11549" max="11550" width="9.8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4" width="3.625" style="107" bestFit="1" customWidth="1"/>
    <col min="11555" max="11555" width="3.375" style="107" bestFit="1" customWidth="1"/>
    <col min="11556" max="11556" width="23.6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51.375" style="107" bestFit="1" customWidth="1"/>
    <col min="11562" max="11562" width="6.25" style="107" bestFit="1" customWidth="1"/>
    <col min="11563" max="11563" width="2.625" style="107" bestFit="1" customWidth="1"/>
    <col min="11564" max="11564" width="5.125" style="107" bestFit="1" customWidth="1"/>
    <col min="11565" max="11565" width="27.37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91.875" style="107" bestFit="1" customWidth="1"/>
    <col min="11573" max="11573" width="131.2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23.2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625" style="107" bestFit="1" customWidth="1"/>
    <col min="11584" max="11584" width="7.875" style="107" bestFit="1" customWidth="1"/>
    <col min="11585" max="11585" width="4" style="107" bestFit="1" customWidth="1"/>
    <col min="11586" max="11586" width="4.625" style="107" customWidth="1"/>
    <col min="11587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0.25" style="107" bestFit="1" customWidth="1"/>
    <col min="11605" max="11605" width="7.375" style="107" bestFit="1" customWidth="1"/>
    <col min="11606" max="11606" width="47.375" style="107" bestFit="1" customWidth="1"/>
    <col min="11607" max="11607" width="73.25" style="107" bestFit="1" customWidth="1"/>
    <col min="11608" max="11608" width="26.625" style="107" bestFit="1" customWidth="1"/>
    <col min="11609" max="11610" width="26.75" style="107" bestFit="1" customWidth="1"/>
    <col min="11611" max="11611" width="6.375" style="107" bestFit="1" customWidth="1"/>
    <col min="11612" max="11613" width="9.875" style="107" bestFit="1" customWidth="1"/>
    <col min="11614" max="11614" width="26.5" style="107" bestFit="1" customWidth="1"/>
    <col min="11615" max="11615" width="9.125" style="107" bestFit="1" customWidth="1"/>
    <col min="11616" max="11616" width="12.625" style="107" bestFit="1" customWidth="1"/>
    <col min="11617" max="11617" width="36.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11.2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9" width="3.25" style="107" bestFit="1" customWidth="1"/>
    <col min="11790" max="11791" width="4.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.12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6.5" style="107" bestFit="1" customWidth="1"/>
    <col min="11804" max="11804" width="29.25" style="107" bestFit="1" customWidth="1"/>
    <col min="11805" max="11806" width="9.8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0" width="3.625" style="107" bestFit="1" customWidth="1"/>
    <col min="11811" max="11811" width="3.375" style="107" bestFit="1" customWidth="1"/>
    <col min="11812" max="11812" width="23.6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51.375" style="107" bestFit="1" customWidth="1"/>
    <col min="11818" max="11818" width="6.25" style="107" bestFit="1" customWidth="1"/>
    <col min="11819" max="11819" width="2.625" style="107" bestFit="1" customWidth="1"/>
    <col min="11820" max="11820" width="5.125" style="107" bestFit="1" customWidth="1"/>
    <col min="11821" max="11821" width="27.37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91.875" style="107" bestFit="1" customWidth="1"/>
    <col min="11829" max="11829" width="131.2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23.2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625" style="107" bestFit="1" customWidth="1"/>
    <col min="11840" max="11840" width="7.875" style="107" bestFit="1" customWidth="1"/>
    <col min="11841" max="11841" width="4" style="107" bestFit="1" customWidth="1"/>
    <col min="11842" max="11842" width="4.625" style="107" customWidth="1"/>
    <col min="11843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0.25" style="107" bestFit="1" customWidth="1"/>
    <col min="11861" max="11861" width="7.375" style="107" bestFit="1" customWidth="1"/>
    <col min="11862" max="11862" width="47.375" style="107" bestFit="1" customWidth="1"/>
    <col min="11863" max="11863" width="73.25" style="107" bestFit="1" customWidth="1"/>
    <col min="11864" max="11864" width="26.625" style="107" bestFit="1" customWidth="1"/>
    <col min="11865" max="11866" width="26.75" style="107" bestFit="1" customWidth="1"/>
    <col min="11867" max="11867" width="6.375" style="107" bestFit="1" customWidth="1"/>
    <col min="11868" max="11869" width="9.875" style="107" bestFit="1" customWidth="1"/>
    <col min="11870" max="11870" width="26.5" style="107" bestFit="1" customWidth="1"/>
    <col min="11871" max="11871" width="9.125" style="107" bestFit="1" customWidth="1"/>
    <col min="11872" max="11872" width="12.625" style="107" bestFit="1" customWidth="1"/>
    <col min="11873" max="11873" width="36.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11.2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5" width="3.25" style="107" bestFit="1" customWidth="1"/>
    <col min="12046" max="12047" width="4.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.12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6.5" style="107" bestFit="1" customWidth="1"/>
    <col min="12060" max="12060" width="29.25" style="107" bestFit="1" customWidth="1"/>
    <col min="12061" max="12062" width="9.8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6" width="3.625" style="107" bestFit="1" customWidth="1"/>
    <col min="12067" max="12067" width="3.375" style="107" bestFit="1" customWidth="1"/>
    <col min="12068" max="12068" width="23.6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51.375" style="107" bestFit="1" customWidth="1"/>
    <col min="12074" max="12074" width="6.25" style="107" bestFit="1" customWidth="1"/>
    <col min="12075" max="12075" width="2.625" style="107" bestFit="1" customWidth="1"/>
    <col min="12076" max="12076" width="5.125" style="107" bestFit="1" customWidth="1"/>
    <col min="12077" max="12077" width="27.37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91.875" style="107" bestFit="1" customWidth="1"/>
    <col min="12085" max="12085" width="131.2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23.2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625" style="107" bestFit="1" customWidth="1"/>
    <col min="12096" max="12096" width="7.875" style="107" bestFit="1" customWidth="1"/>
    <col min="12097" max="12097" width="4" style="107" bestFit="1" customWidth="1"/>
    <col min="12098" max="12098" width="4.625" style="107" customWidth="1"/>
    <col min="12099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0.25" style="107" bestFit="1" customWidth="1"/>
    <col min="12117" max="12117" width="7.375" style="107" bestFit="1" customWidth="1"/>
    <col min="12118" max="12118" width="47.375" style="107" bestFit="1" customWidth="1"/>
    <col min="12119" max="12119" width="73.25" style="107" bestFit="1" customWidth="1"/>
    <col min="12120" max="12120" width="26.625" style="107" bestFit="1" customWidth="1"/>
    <col min="12121" max="12122" width="26.75" style="107" bestFit="1" customWidth="1"/>
    <col min="12123" max="12123" width="6.375" style="107" bestFit="1" customWidth="1"/>
    <col min="12124" max="12125" width="9.875" style="107" bestFit="1" customWidth="1"/>
    <col min="12126" max="12126" width="26.5" style="107" bestFit="1" customWidth="1"/>
    <col min="12127" max="12127" width="9.125" style="107" bestFit="1" customWidth="1"/>
    <col min="12128" max="12128" width="12.625" style="107" bestFit="1" customWidth="1"/>
    <col min="12129" max="12129" width="36.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11.2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1" width="3.25" style="107" bestFit="1" customWidth="1"/>
    <col min="12302" max="12303" width="4.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.12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6.5" style="107" bestFit="1" customWidth="1"/>
    <col min="12316" max="12316" width="29.25" style="107" bestFit="1" customWidth="1"/>
    <col min="12317" max="12318" width="9.8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2" width="3.625" style="107" bestFit="1" customWidth="1"/>
    <col min="12323" max="12323" width="3.375" style="107" bestFit="1" customWidth="1"/>
    <col min="12324" max="12324" width="23.6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51.375" style="107" bestFit="1" customWidth="1"/>
    <col min="12330" max="12330" width="6.25" style="107" bestFit="1" customWidth="1"/>
    <col min="12331" max="12331" width="2.625" style="107" bestFit="1" customWidth="1"/>
    <col min="12332" max="12332" width="5.125" style="107" bestFit="1" customWidth="1"/>
    <col min="12333" max="12333" width="27.37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91.875" style="107" bestFit="1" customWidth="1"/>
    <col min="12341" max="12341" width="131.2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23.2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625" style="107" bestFit="1" customWidth="1"/>
    <col min="12352" max="12352" width="7.875" style="107" bestFit="1" customWidth="1"/>
    <col min="12353" max="12353" width="4" style="107" bestFit="1" customWidth="1"/>
    <col min="12354" max="12354" width="4.625" style="107" customWidth="1"/>
    <col min="12355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0.25" style="107" bestFit="1" customWidth="1"/>
    <col min="12373" max="12373" width="7.375" style="107" bestFit="1" customWidth="1"/>
    <col min="12374" max="12374" width="47.375" style="107" bestFit="1" customWidth="1"/>
    <col min="12375" max="12375" width="73.25" style="107" bestFit="1" customWidth="1"/>
    <col min="12376" max="12376" width="26.625" style="107" bestFit="1" customWidth="1"/>
    <col min="12377" max="12378" width="26.75" style="107" bestFit="1" customWidth="1"/>
    <col min="12379" max="12379" width="6.375" style="107" bestFit="1" customWidth="1"/>
    <col min="12380" max="12381" width="9.875" style="107" bestFit="1" customWidth="1"/>
    <col min="12382" max="12382" width="26.5" style="107" bestFit="1" customWidth="1"/>
    <col min="12383" max="12383" width="9.125" style="107" bestFit="1" customWidth="1"/>
    <col min="12384" max="12384" width="12.625" style="107" bestFit="1" customWidth="1"/>
    <col min="12385" max="12385" width="36.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11.2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7" width="3.25" style="107" bestFit="1" customWidth="1"/>
    <col min="12558" max="12559" width="4.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.12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6.5" style="107" bestFit="1" customWidth="1"/>
    <col min="12572" max="12572" width="29.25" style="107" bestFit="1" customWidth="1"/>
    <col min="12573" max="12574" width="9.8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8" width="3.625" style="107" bestFit="1" customWidth="1"/>
    <col min="12579" max="12579" width="3.375" style="107" bestFit="1" customWidth="1"/>
    <col min="12580" max="12580" width="23.6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51.375" style="107" bestFit="1" customWidth="1"/>
    <col min="12586" max="12586" width="6.25" style="107" bestFit="1" customWidth="1"/>
    <col min="12587" max="12587" width="2.625" style="107" bestFit="1" customWidth="1"/>
    <col min="12588" max="12588" width="5.125" style="107" bestFit="1" customWidth="1"/>
    <col min="12589" max="12589" width="27.37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91.875" style="107" bestFit="1" customWidth="1"/>
    <col min="12597" max="12597" width="131.2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23.2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625" style="107" bestFit="1" customWidth="1"/>
    <col min="12608" max="12608" width="7.875" style="107" bestFit="1" customWidth="1"/>
    <col min="12609" max="12609" width="4" style="107" bestFit="1" customWidth="1"/>
    <col min="12610" max="12610" width="4.625" style="107" customWidth="1"/>
    <col min="12611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0.25" style="107" bestFit="1" customWidth="1"/>
    <col min="12629" max="12629" width="7.375" style="107" bestFit="1" customWidth="1"/>
    <col min="12630" max="12630" width="47.375" style="107" bestFit="1" customWidth="1"/>
    <col min="12631" max="12631" width="73.25" style="107" bestFit="1" customWidth="1"/>
    <col min="12632" max="12632" width="26.625" style="107" bestFit="1" customWidth="1"/>
    <col min="12633" max="12634" width="26.75" style="107" bestFit="1" customWidth="1"/>
    <col min="12635" max="12635" width="6.375" style="107" bestFit="1" customWidth="1"/>
    <col min="12636" max="12637" width="9.875" style="107" bestFit="1" customWidth="1"/>
    <col min="12638" max="12638" width="26.5" style="107" bestFit="1" customWidth="1"/>
    <col min="12639" max="12639" width="9.125" style="107" bestFit="1" customWidth="1"/>
    <col min="12640" max="12640" width="12.625" style="107" bestFit="1" customWidth="1"/>
    <col min="12641" max="12641" width="36.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11.2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3" width="3.25" style="107" bestFit="1" customWidth="1"/>
    <col min="12814" max="12815" width="4.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.12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6.5" style="107" bestFit="1" customWidth="1"/>
    <col min="12828" max="12828" width="29.25" style="107" bestFit="1" customWidth="1"/>
    <col min="12829" max="12830" width="9.8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4" width="3.625" style="107" bestFit="1" customWidth="1"/>
    <col min="12835" max="12835" width="3.375" style="107" bestFit="1" customWidth="1"/>
    <col min="12836" max="12836" width="23.6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51.375" style="107" bestFit="1" customWidth="1"/>
    <col min="12842" max="12842" width="6.25" style="107" bestFit="1" customWidth="1"/>
    <col min="12843" max="12843" width="2.625" style="107" bestFit="1" customWidth="1"/>
    <col min="12844" max="12844" width="5.125" style="107" bestFit="1" customWidth="1"/>
    <col min="12845" max="12845" width="27.37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91.875" style="107" bestFit="1" customWidth="1"/>
    <col min="12853" max="12853" width="131.2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23.2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625" style="107" bestFit="1" customWidth="1"/>
    <col min="12864" max="12864" width="7.875" style="107" bestFit="1" customWidth="1"/>
    <col min="12865" max="12865" width="4" style="107" bestFit="1" customWidth="1"/>
    <col min="12866" max="12866" width="4.625" style="107" customWidth="1"/>
    <col min="12867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0.25" style="107" bestFit="1" customWidth="1"/>
    <col min="12885" max="12885" width="7.375" style="107" bestFit="1" customWidth="1"/>
    <col min="12886" max="12886" width="47.375" style="107" bestFit="1" customWidth="1"/>
    <col min="12887" max="12887" width="73.25" style="107" bestFit="1" customWidth="1"/>
    <col min="12888" max="12888" width="26.625" style="107" bestFit="1" customWidth="1"/>
    <col min="12889" max="12890" width="26.75" style="107" bestFit="1" customWidth="1"/>
    <col min="12891" max="12891" width="6.375" style="107" bestFit="1" customWidth="1"/>
    <col min="12892" max="12893" width="9.875" style="107" bestFit="1" customWidth="1"/>
    <col min="12894" max="12894" width="26.5" style="107" bestFit="1" customWidth="1"/>
    <col min="12895" max="12895" width="9.125" style="107" bestFit="1" customWidth="1"/>
    <col min="12896" max="12896" width="12.625" style="107" bestFit="1" customWidth="1"/>
    <col min="12897" max="12897" width="36.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11.2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9" width="3.25" style="107" bestFit="1" customWidth="1"/>
    <col min="13070" max="13071" width="4.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.12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6.5" style="107" bestFit="1" customWidth="1"/>
    <col min="13084" max="13084" width="29.25" style="107" bestFit="1" customWidth="1"/>
    <col min="13085" max="13086" width="9.8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0" width="3.625" style="107" bestFit="1" customWidth="1"/>
    <col min="13091" max="13091" width="3.375" style="107" bestFit="1" customWidth="1"/>
    <col min="13092" max="13092" width="23.6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51.375" style="107" bestFit="1" customWidth="1"/>
    <col min="13098" max="13098" width="6.25" style="107" bestFit="1" customWidth="1"/>
    <col min="13099" max="13099" width="2.625" style="107" bestFit="1" customWidth="1"/>
    <col min="13100" max="13100" width="5.125" style="107" bestFit="1" customWidth="1"/>
    <col min="13101" max="13101" width="27.37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91.875" style="107" bestFit="1" customWidth="1"/>
    <col min="13109" max="13109" width="131.2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23.2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625" style="107" bestFit="1" customWidth="1"/>
    <col min="13120" max="13120" width="7.875" style="107" bestFit="1" customWidth="1"/>
    <col min="13121" max="13121" width="4" style="107" bestFit="1" customWidth="1"/>
    <col min="13122" max="13122" width="4.625" style="107" customWidth="1"/>
    <col min="13123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0.25" style="107" bestFit="1" customWidth="1"/>
    <col min="13141" max="13141" width="7.375" style="107" bestFit="1" customWidth="1"/>
    <col min="13142" max="13142" width="47.375" style="107" bestFit="1" customWidth="1"/>
    <col min="13143" max="13143" width="73.25" style="107" bestFit="1" customWidth="1"/>
    <col min="13144" max="13144" width="26.625" style="107" bestFit="1" customWidth="1"/>
    <col min="13145" max="13146" width="26.75" style="107" bestFit="1" customWidth="1"/>
    <col min="13147" max="13147" width="6.375" style="107" bestFit="1" customWidth="1"/>
    <col min="13148" max="13149" width="9.875" style="107" bestFit="1" customWidth="1"/>
    <col min="13150" max="13150" width="26.5" style="107" bestFit="1" customWidth="1"/>
    <col min="13151" max="13151" width="9.125" style="107" bestFit="1" customWidth="1"/>
    <col min="13152" max="13152" width="12.625" style="107" bestFit="1" customWidth="1"/>
    <col min="13153" max="13153" width="36.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11.2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5" width="3.25" style="107" bestFit="1" customWidth="1"/>
    <col min="13326" max="13327" width="4.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.12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6.5" style="107" bestFit="1" customWidth="1"/>
    <col min="13340" max="13340" width="29.25" style="107" bestFit="1" customWidth="1"/>
    <col min="13341" max="13342" width="9.8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6" width="3.625" style="107" bestFit="1" customWidth="1"/>
    <col min="13347" max="13347" width="3.375" style="107" bestFit="1" customWidth="1"/>
    <col min="13348" max="13348" width="23.6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51.375" style="107" bestFit="1" customWidth="1"/>
    <col min="13354" max="13354" width="6.25" style="107" bestFit="1" customWidth="1"/>
    <col min="13355" max="13355" width="2.625" style="107" bestFit="1" customWidth="1"/>
    <col min="13356" max="13356" width="5.125" style="107" bestFit="1" customWidth="1"/>
    <col min="13357" max="13357" width="27.37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91.875" style="107" bestFit="1" customWidth="1"/>
    <col min="13365" max="13365" width="131.2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23.2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625" style="107" bestFit="1" customWidth="1"/>
    <col min="13376" max="13376" width="7.875" style="107" bestFit="1" customWidth="1"/>
    <col min="13377" max="13377" width="4" style="107" bestFit="1" customWidth="1"/>
    <col min="13378" max="13378" width="4.625" style="107" customWidth="1"/>
    <col min="13379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0.25" style="107" bestFit="1" customWidth="1"/>
    <col min="13397" max="13397" width="7.375" style="107" bestFit="1" customWidth="1"/>
    <col min="13398" max="13398" width="47.375" style="107" bestFit="1" customWidth="1"/>
    <col min="13399" max="13399" width="73.25" style="107" bestFit="1" customWidth="1"/>
    <col min="13400" max="13400" width="26.625" style="107" bestFit="1" customWidth="1"/>
    <col min="13401" max="13402" width="26.75" style="107" bestFit="1" customWidth="1"/>
    <col min="13403" max="13403" width="6.375" style="107" bestFit="1" customWidth="1"/>
    <col min="13404" max="13405" width="9.875" style="107" bestFit="1" customWidth="1"/>
    <col min="13406" max="13406" width="26.5" style="107" bestFit="1" customWidth="1"/>
    <col min="13407" max="13407" width="9.125" style="107" bestFit="1" customWidth="1"/>
    <col min="13408" max="13408" width="12.625" style="107" bestFit="1" customWidth="1"/>
    <col min="13409" max="13409" width="36.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11.2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1" width="3.25" style="107" bestFit="1" customWidth="1"/>
    <col min="13582" max="13583" width="4.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.12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6.5" style="107" bestFit="1" customWidth="1"/>
    <col min="13596" max="13596" width="29.25" style="107" bestFit="1" customWidth="1"/>
    <col min="13597" max="13598" width="9.8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2" width="3.625" style="107" bestFit="1" customWidth="1"/>
    <col min="13603" max="13603" width="3.375" style="107" bestFit="1" customWidth="1"/>
    <col min="13604" max="13604" width="23.6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51.375" style="107" bestFit="1" customWidth="1"/>
    <col min="13610" max="13610" width="6.25" style="107" bestFit="1" customWidth="1"/>
    <col min="13611" max="13611" width="2.625" style="107" bestFit="1" customWidth="1"/>
    <col min="13612" max="13612" width="5.125" style="107" bestFit="1" customWidth="1"/>
    <col min="13613" max="13613" width="27.37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91.875" style="107" bestFit="1" customWidth="1"/>
    <col min="13621" max="13621" width="131.2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23.2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625" style="107" bestFit="1" customWidth="1"/>
    <col min="13632" max="13632" width="7.875" style="107" bestFit="1" customWidth="1"/>
    <col min="13633" max="13633" width="4" style="107" bestFit="1" customWidth="1"/>
    <col min="13634" max="13634" width="4.625" style="107" customWidth="1"/>
    <col min="13635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0.25" style="107" bestFit="1" customWidth="1"/>
    <col min="13653" max="13653" width="7.375" style="107" bestFit="1" customWidth="1"/>
    <col min="13654" max="13654" width="47.375" style="107" bestFit="1" customWidth="1"/>
    <col min="13655" max="13655" width="73.25" style="107" bestFit="1" customWidth="1"/>
    <col min="13656" max="13656" width="26.625" style="107" bestFit="1" customWidth="1"/>
    <col min="13657" max="13658" width="26.75" style="107" bestFit="1" customWidth="1"/>
    <col min="13659" max="13659" width="6.375" style="107" bestFit="1" customWidth="1"/>
    <col min="13660" max="13661" width="9.875" style="107" bestFit="1" customWidth="1"/>
    <col min="13662" max="13662" width="26.5" style="107" bestFit="1" customWidth="1"/>
    <col min="13663" max="13663" width="9.125" style="107" bestFit="1" customWidth="1"/>
    <col min="13664" max="13664" width="12.625" style="107" bestFit="1" customWidth="1"/>
    <col min="13665" max="13665" width="36.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11.2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7" width="3.25" style="107" bestFit="1" customWidth="1"/>
    <col min="13838" max="13839" width="4.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.12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6.5" style="107" bestFit="1" customWidth="1"/>
    <col min="13852" max="13852" width="29.25" style="107" bestFit="1" customWidth="1"/>
    <col min="13853" max="13854" width="9.8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8" width="3.625" style="107" bestFit="1" customWidth="1"/>
    <col min="13859" max="13859" width="3.375" style="107" bestFit="1" customWidth="1"/>
    <col min="13860" max="13860" width="23.6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51.375" style="107" bestFit="1" customWidth="1"/>
    <col min="13866" max="13866" width="6.25" style="107" bestFit="1" customWidth="1"/>
    <col min="13867" max="13867" width="2.625" style="107" bestFit="1" customWidth="1"/>
    <col min="13868" max="13868" width="5.125" style="107" bestFit="1" customWidth="1"/>
    <col min="13869" max="13869" width="27.37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91.875" style="107" bestFit="1" customWidth="1"/>
    <col min="13877" max="13877" width="131.2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23.2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625" style="107" bestFit="1" customWidth="1"/>
    <col min="13888" max="13888" width="7.875" style="107" bestFit="1" customWidth="1"/>
    <col min="13889" max="13889" width="4" style="107" bestFit="1" customWidth="1"/>
    <col min="13890" max="13890" width="4.625" style="107" customWidth="1"/>
    <col min="13891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0.25" style="107" bestFit="1" customWidth="1"/>
    <col min="13909" max="13909" width="7.375" style="107" bestFit="1" customWidth="1"/>
    <col min="13910" max="13910" width="47.375" style="107" bestFit="1" customWidth="1"/>
    <col min="13911" max="13911" width="73.25" style="107" bestFit="1" customWidth="1"/>
    <col min="13912" max="13912" width="26.625" style="107" bestFit="1" customWidth="1"/>
    <col min="13913" max="13914" width="26.75" style="107" bestFit="1" customWidth="1"/>
    <col min="13915" max="13915" width="6.375" style="107" bestFit="1" customWidth="1"/>
    <col min="13916" max="13917" width="9.875" style="107" bestFit="1" customWidth="1"/>
    <col min="13918" max="13918" width="26.5" style="107" bestFit="1" customWidth="1"/>
    <col min="13919" max="13919" width="9.125" style="107" bestFit="1" customWidth="1"/>
    <col min="13920" max="13920" width="12.625" style="107" bestFit="1" customWidth="1"/>
    <col min="13921" max="13921" width="36.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11.2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3" width="3.25" style="107" bestFit="1" customWidth="1"/>
    <col min="14094" max="14095" width="4.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.12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6.5" style="107" bestFit="1" customWidth="1"/>
    <col min="14108" max="14108" width="29.25" style="107" bestFit="1" customWidth="1"/>
    <col min="14109" max="14110" width="9.8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4" width="3.625" style="107" bestFit="1" customWidth="1"/>
    <col min="14115" max="14115" width="3.375" style="107" bestFit="1" customWidth="1"/>
    <col min="14116" max="14116" width="23.6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51.375" style="107" bestFit="1" customWidth="1"/>
    <col min="14122" max="14122" width="6.25" style="107" bestFit="1" customWidth="1"/>
    <col min="14123" max="14123" width="2.625" style="107" bestFit="1" customWidth="1"/>
    <col min="14124" max="14124" width="5.125" style="107" bestFit="1" customWidth="1"/>
    <col min="14125" max="14125" width="27.37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91.875" style="107" bestFit="1" customWidth="1"/>
    <col min="14133" max="14133" width="131.2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23.2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625" style="107" bestFit="1" customWidth="1"/>
    <col min="14144" max="14144" width="7.875" style="107" bestFit="1" customWidth="1"/>
    <col min="14145" max="14145" width="4" style="107" bestFit="1" customWidth="1"/>
    <col min="14146" max="14146" width="4.625" style="107" customWidth="1"/>
    <col min="14147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0.25" style="107" bestFit="1" customWidth="1"/>
    <col min="14165" max="14165" width="7.375" style="107" bestFit="1" customWidth="1"/>
    <col min="14166" max="14166" width="47.375" style="107" bestFit="1" customWidth="1"/>
    <col min="14167" max="14167" width="73.25" style="107" bestFit="1" customWidth="1"/>
    <col min="14168" max="14168" width="26.625" style="107" bestFit="1" customWidth="1"/>
    <col min="14169" max="14170" width="26.75" style="107" bestFit="1" customWidth="1"/>
    <col min="14171" max="14171" width="6.375" style="107" bestFit="1" customWidth="1"/>
    <col min="14172" max="14173" width="9.875" style="107" bestFit="1" customWidth="1"/>
    <col min="14174" max="14174" width="26.5" style="107" bestFit="1" customWidth="1"/>
    <col min="14175" max="14175" width="9.125" style="107" bestFit="1" customWidth="1"/>
    <col min="14176" max="14176" width="12.625" style="107" bestFit="1" customWidth="1"/>
    <col min="14177" max="14177" width="36.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11.2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9" width="3.25" style="107" bestFit="1" customWidth="1"/>
    <col min="14350" max="14351" width="4.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.12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6.5" style="107" bestFit="1" customWidth="1"/>
    <col min="14364" max="14364" width="29.25" style="107" bestFit="1" customWidth="1"/>
    <col min="14365" max="14366" width="9.8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0" width="3.625" style="107" bestFit="1" customWidth="1"/>
    <col min="14371" max="14371" width="3.375" style="107" bestFit="1" customWidth="1"/>
    <col min="14372" max="14372" width="23.6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51.375" style="107" bestFit="1" customWidth="1"/>
    <col min="14378" max="14378" width="6.25" style="107" bestFit="1" customWidth="1"/>
    <col min="14379" max="14379" width="2.625" style="107" bestFit="1" customWidth="1"/>
    <col min="14380" max="14380" width="5.125" style="107" bestFit="1" customWidth="1"/>
    <col min="14381" max="14381" width="27.37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91.875" style="107" bestFit="1" customWidth="1"/>
    <col min="14389" max="14389" width="131.2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23.2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625" style="107" bestFit="1" customWidth="1"/>
    <col min="14400" max="14400" width="7.875" style="107" bestFit="1" customWidth="1"/>
    <col min="14401" max="14401" width="4" style="107" bestFit="1" customWidth="1"/>
    <col min="14402" max="14402" width="4.625" style="107" customWidth="1"/>
    <col min="14403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0.25" style="107" bestFit="1" customWidth="1"/>
    <col min="14421" max="14421" width="7.375" style="107" bestFit="1" customWidth="1"/>
    <col min="14422" max="14422" width="47.375" style="107" bestFit="1" customWidth="1"/>
    <col min="14423" max="14423" width="73.25" style="107" bestFit="1" customWidth="1"/>
    <col min="14424" max="14424" width="26.625" style="107" bestFit="1" customWidth="1"/>
    <col min="14425" max="14426" width="26.75" style="107" bestFit="1" customWidth="1"/>
    <col min="14427" max="14427" width="6.375" style="107" bestFit="1" customWidth="1"/>
    <col min="14428" max="14429" width="9.875" style="107" bestFit="1" customWidth="1"/>
    <col min="14430" max="14430" width="26.5" style="107" bestFit="1" customWidth="1"/>
    <col min="14431" max="14431" width="9.125" style="107" bestFit="1" customWidth="1"/>
    <col min="14432" max="14432" width="12.625" style="107" bestFit="1" customWidth="1"/>
    <col min="14433" max="14433" width="36.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11.2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5" width="3.25" style="107" bestFit="1" customWidth="1"/>
    <col min="14606" max="14607" width="4.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.12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6.5" style="107" bestFit="1" customWidth="1"/>
    <col min="14620" max="14620" width="29.25" style="107" bestFit="1" customWidth="1"/>
    <col min="14621" max="14622" width="9.8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6" width="3.625" style="107" bestFit="1" customWidth="1"/>
    <col min="14627" max="14627" width="3.375" style="107" bestFit="1" customWidth="1"/>
    <col min="14628" max="14628" width="23.6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51.375" style="107" bestFit="1" customWidth="1"/>
    <col min="14634" max="14634" width="6.25" style="107" bestFit="1" customWidth="1"/>
    <col min="14635" max="14635" width="2.625" style="107" bestFit="1" customWidth="1"/>
    <col min="14636" max="14636" width="5.125" style="107" bestFit="1" customWidth="1"/>
    <col min="14637" max="14637" width="27.37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91.875" style="107" bestFit="1" customWidth="1"/>
    <col min="14645" max="14645" width="131.2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23.2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625" style="107" bestFit="1" customWidth="1"/>
    <col min="14656" max="14656" width="7.875" style="107" bestFit="1" customWidth="1"/>
    <col min="14657" max="14657" width="4" style="107" bestFit="1" customWidth="1"/>
    <col min="14658" max="14658" width="4.625" style="107" customWidth="1"/>
    <col min="14659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0.25" style="107" bestFit="1" customWidth="1"/>
    <col min="14677" max="14677" width="7.375" style="107" bestFit="1" customWidth="1"/>
    <col min="14678" max="14678" width="47.375" style="107" bestFit="1" customWidth="1"/>
    <col min="14679" max="14679" width="73.25" style="107" bestFit="1" customWidth="1"/>
    <col min="14680" max="14680" width="26.625" style="107" bestFit="1" customWidth="1"/>
    <col min="14681" max="14682" width="26.75" style="107" bestFit="1" customWidth="1"/>
    <col min="14683" max="14683" width="6.375" style="107" bestFit="1" customWidth="1"/>
    <col min="14684" max="14685" width="9.875" style="107" bestFit="1" customWidth="1"/>
    <col min="14686" max="14686" width="26.5" style="107" bestFit="1" customWidth="1"/>
    <col min="14687" max="14687" width="9.125" style="107" bestFit="1" customWidth="1"/>
    <col min="14688" max="14688" width="12.625" style="107" bestFit="1" customWidth="1"/>
    <col min="14689" max="14689" width="36.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11.2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1" width="3.25" style="107" bestFit="1" customWidth="1"/>
    <col min="14862" max="14863" width="4.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.12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6.5" style="107" bestFit="1" customWidth="1"/>
    <col min="14876" max="14876" width="29.25" style="107" bestFit="1" customWidth="1"/>
    <col min="14877" max="14878" width="9.8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2" width="3.625" style="107" bestFit="1" customWidth="1"/>
    <col min="14883" max="14883" width="3.375" style="107" bestFit="1" customWidth="1"/>
    <col min="14884" max="14884" width="23.6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51.375" style="107" bestFit="1" customWidth="1"/>
    <col min="14890" max="14890" width="6.25" style="107" bestFit="1" customWidth="1"/>
    <col min="14891" max="14891" width="2.625" style="107" bestFit="1" customWidth="1"/>
    <col min="14892" max="14892" width="5.125" style="107" bestFit="1" customWidth="1"/>
    <col min="14893" max="14893" width="27.37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91.875" style="107" bestFit="1" customWidth="1"/>
    <col min="14901" max="14901" width="131.2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23.2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625" style="107" bestFit="1" customWidth="1"/>
    <col min="14912" max="14912" width="7.875" style="107" bestFit="1" customWidth="1"/>
    <col min="14913" max="14913" width="4" style="107" bestFit="1" customWidth="1"/>
    <col min="14914" max="14914" width="4.625" style="107" customWidth="1"/>
    <col min="14915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0.25" style="107" bestFit="1" customWidth="1"/>
    <col min="14933" max="14933" width="7.375" style="107" bestFit="1" customWidth="1"/>
    <col min="14934" max="14934" width="47.375" style="107" bestFit="1" customWidth="1"/>
    <col min="14935" max="14935" width="73.25" style="107" bestFit="1" customWidth="1"/>
    <col min="14936" max="14936" width="26.625" style="107" bestFit="1" customWidth="1"/>
    <col min="14937" max="14938" width="26.75" style="107" bestFit="1" customWidth="1"/>
    <col min="14939" max="14939" width="6.375" style="107" bestFit="1" customWidth="1"/>
    <col min="14940" max="14941" width="9.875" style="107" bestFit="1" customWidth="1"/>
    <col min="14942" max="14942" width="26.5" style="107" bestFit="1" customWidth="1"/>
    <col min="14943" max="14943" width="9.125" style="107" bestFit="1" customWidth="1"/>
    <col min="14944" max="14944" width="12.625" style="107" bestFit="1" customWidth="1"/>
    <col min="14945" max="14945" width="36.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11.2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7" width="3.25" style="107" bestFit="1" customWidth="1"/>
    <col min="15118" max="15119" width="4.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.12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6.5" style="107" bestFit="1" customWidth="1"/>
    <col min="15132" max="15132" width="29.25" style="107" bestFit="1" customWidth="1"/>
    <col min="15133" max="15134" width="9.8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8" width="3.625" style="107" bestFit="1" customWidth="1"/>
    <col min="15139" max="15139" width="3.375" style="107" bestFit="1" customWidth="1"/>
    <col min="15140" max="15140" width="23.6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51.375" style="107" bestFit="1" customWidth="1"/>
    <col min="15146" max="15146" width="6.25" style="107" bestFit="1" customWidth="1"/>
    <col min="15147" max="15147" width="2.625" style="107" bestFit="1" customWidth="1"/>
    <col min="15148" max="15148" width="5.125" style="107" bestFit="1" customWidth="1"/>
    <col min="15149" max="15149" width="27.37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91.875" style="107" bestFit="1" customWidth="1"/>
    <col min="15157" max="15157" width="131.2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23.2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625" style="107" bestFit="1" customWidth="1"/>
    <col min="15168" max="15168" width="7.875" style="107" bestFit="1" customWidth="1"/>
    <col min="15169" max="15169" width="4" style="107" bestFit="1" customWidth="1"/>
    <col min="15170" max="15170" width="4.625" style="107" customWidth="1"/>
    <col min="15171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0.25" style="107" bestFit="1" customWidth="1"/>
    <col min="15189" max="15189" width="7.375" style="107" bestFit="1" customWidth="1"/>
    <col min="15190" max="15190" width="47.375" style="107" bestFit="1" customWidth="1"/>
    <col min="15191" max="15191" width="73.25" style="107" bestFit="1" customWidth="1"/>
    <col min="15192" max="15192" width="26.625" style="107" bestFit="1" customWidth="1"/>
    <col min="15193" max="15194" width="26.75" style="107" bestFit="1" customWidth="1"/>
    <col min="15195" max="15195" width="6.375" style="107" bestFit="1" customWidth="1"/>
    <col min="15196" max="15197" width="9.875" style="107" bestFit="1" customWidth="1"/>
    <col min="15198" max="15198" width="26.5" style="107" bestFit="1" customWidth="1"/>
    <col min="15199" max="15199" width="9.125" style="107" bestFit="1" customWidth="1"/>
    <col min="15200" max="15200" width="12.625" style="107" bestFit="1" customWidth="1"/>
    <col min="15201" max="15201" width="36.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11.2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3" width="3.25" style="107" bestFit="1" customWidth="1"/>
    <col min="15374" max="15375" width="4.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.12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6.5" style="107" bestFit="1" customWidth="1"/>
    <col min="15388" max="15388" width="29.25" style="107" bestFit="1" customWidth="1"/>
    <col min="15389" max="15390" width="9.8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4" width="3.625" style="107" bestFit="1" customWidth="1"/>
    <col min="15395" max="15395" width="3.375" style="107" bestFit="1" customWidth="1"/>
    <col min="15396" max="15396" width="23.6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51.375" style="107" bestFit="1" customWidth="1"/>
    <col min="15402" max="15402" width="6.25" style="107" bestFit="1" customWidth="1"/>
    <col min="15403" max="15403" width="2.625" style="107" bestFit="1" customWidth="1"/>
    <col min="15404" max="15404" width="5.125" style="107" bestFit="1" customWidth="1"/>
    <col min="15405" max="15405" width="27.37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91.875" style="107" bestFit="1" customWidth="1"/>
    <col min="15413" max="15413" width="131.2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23.2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625" style="107" bestFit="1" customWidth="1"/>
    <col min="15424" max="15424" width="7.875" style="107" bestFit="1" customWidth="1"/>
    <col min="15425" max="15425" width="4" style="107" bestFit="1" customWidth="1"/>
    <col min="15426" max="15426" width="4.625" style="107" customWidth="1"/>
    <col min="15427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0.25" style="107" bestFit="1" customWidth="1"/>
    <col min="15445" max="15445" width="7.375" style="107" bestFit="1" customWidth="1"/>
    <col min="15446" max="15446" width="47.375" style="107" bestFit="1" customWidth="1"/>
    <col min="15447" max="15447" width="73.25" style="107" bestFit="1" customWidth="1"/>
    <col min="15448" max="15448" width="26.625" style="107" bestFit="1" customWidth="1"/>
    <col min="15449" max="15450" width="26.75" style="107" bestFit="1" customWidth="1"/>
    <col min="15451" max="15451" width="6.375" style="107" bestFit="1" customWidth="1"/>
    <col min="15452" max="15453" width="9.875" style="107" bestFit="1" customWidth="1"/>
    <col min="15454" max="15454" width="26.5" style="107" bestFit="1" customWidth="1"/>
    <col min="15455" max="15455" width="9.125" style="107" bestFit="1" customWidth="1"/>
    <col min="15456" max="15456" width="12.625" style="107" bestFit="1" customWidth="1"/>
    <col min="15457" max="15457" width="36.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11.2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9" width="3.25" style="107" bestFit="1" customWidth="1"/>
    <col min="15630" max="15631" width="4.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.12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6.5" style="107" bestFit="1" customWidth="1"/>
    <col min="15644" max="15644" width="29.25" style="107" bestFit="1" customWidth="1"/>
    <col min="15645" max="15646" width="9.8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0" width="3.625" style="107" bestFit="1" customWidth="1"/>
    <col min="15651" max="15651" width="3.375" style="107" bestFit="1" customWidth="1"/>
    <col min="15652" max="15652" width="23.6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51.375" style="107" bestFit="1" customWidth="1"/>
    <col min="15658" max="15658" width="6.25" style="107" bestFit="1" customWidth="1"/>
    <col min="15659" max="15659" width="2.625" style="107" bestFit="1" customWidth="1"/>
    <col min="15660" max="15660" width="5.125" style="107" bestFit="1" customWidth="1"/>
    <col min="15661" max="15661" width="27.37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91.875" style="107" bestFit="1" customWidth="1"/>
    <col min="15669" max="15669" width="131.2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23.2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625" style="107" bestFit="1" customWidth="1"/>
    <col min="15680" max="15680" width="7.875" style="107" bestFit="1" customWidth="1"/>
    <col min="15681" max="15681" width="4" style="107" bestFit="1" customWidth="1"/>
    <col min="15682" max="15682" width="4.625" style="107" customWidth="1"/>
    <col min="15683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0.25" style="107" bestFit="1" customWidth="1"/>
    <col min="15701" max="15701" width="7.375" style="107" bestFit="1" customWidth="1"/>
    <col min="15702" max="15702" width="47.375" style="107" bestFit="1" customWidth="1"/>
    <col min="15703" max="15703" width="73.25" style="107" bestFit="1" customWidth="1"/>
    <col min="15704" max="15704" width="26.625" style="107" bestFit="1" customWidth="1"/>
    <col min="15705" max="15706" width="26.75" style="107" bestFit="1" customWidth="1"/>
    <col min="15707" max="15707" width="6.375" style="107" bestFit="1" customWidth="1"/>
    <col min="15708" max="15709" width="9.875" style="107" bestFit="1" customWidth="1"/>
    <col min="15710" max="15710" width="26.5" style="107" bestFit="1" customWidth="1"/>
    <col min="15711" max="15711" width="9.125" style="107" bestFit="1" customWidth="1"/>
    <col min="15712" max="15712" width="12.625" style="107" bestFit="1" customWidth="1"/>
    <col min="15713" max="15713" width="36.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11.2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5" width="3.25" style="107" bestFit="1" customWidth="1"/>
    <col min="15886" max="15887" width="4.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.12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6.5" style="107" bestFit="1" customWidth="1"/>
    <col min="15900" max="15900" width="29.25" style="107" bestFit="1" customWidth="1"/>
    <col min="15901" max="15902" width="9.8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6" width="3.625" style="107" bestFit="1" customWidth="1"/>
    <col min="15907" max="15907" width="3.375" style="107" bestFit="1" customWidth="1"/>
    <col min="15908" max="15908" width="23.6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51.375" style="107" bestFit="1" customWidth="1"/>
    <col min="15914" max="15914" width="6.25" style="107" bestFit="1" customWidth="1"/>
    <col min="15915" max="15915" width="2.625" style="107" bestFit="1" customWidth="1"/>
    <col min="15916" max="15916" width="5.125" style="107" bestFit="1" customWidth="1"/>
    <col min="15917" max="15917" width="27.37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91.875" style="107" bestFit="1" customWidth="1"/>
    <col min="15925" max="15925" width="131.2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23.2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625" style="107" bestFit="1" customWidth="1"/>
    <col min="15936" max="15936" width="7.875" style="107" bestFit="1" customWidth="1"/>
    <col min="15937" max="15937" width="4" style="107" bestFit="1" customWidth="1"/>
    <col min="15938" max="15938" width="4.625" style="107" customWidth="1"/>
    <col min="15939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0.25" style="107" bestFit="1" customWidth="1"/>
    <col min="15957" max="15957" width="7.375" style="107" bestFit="1" customWidth="1"/>
    <col min="15958" max="15958" width="47.375" style="107" bestFit="1" customWidth="1"/>
    <col min="15959" max="15959" width="73.25" style="107" bestFit="1" customWidth="1"/>
    <col min="15960" max="15960" width="26.625" style="107" bestFit="1" customWidth="1"/>
    <col min="15961" max="15962" width="26.75" style="107" bestFit="1" customWidth="1"/>
    <col min="15963" max="15963" width="6.375" style="107" bestFit="1" customWidth="1"/>
    <col min="15964" max="15965" width="9.875" style="107" bestFit="1" customWidth="1"/>
    <col min="15966" max="15966" width="26.5" style="107" bestFit="1" customWidth="1"/>
    <col min="15967" max="15967" width="9.125" style="107" bestFit="1" customWidth="1"/>
    <col min="15968" max="15968" width="12.625" style="107" bestFit="1" customWidth="1"/>
    <col min="15969" max="15969" width="36.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11.2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1" width="3.25" style="107" bestFit="1" customWidth="1"/>
    <col min="16142" max="16143" width="4.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.12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6.5" style="107" bestFit="1" customWidth="1"/>
    <col min="16156" max="16156" width="29.25" style="107" bestFit="1" customWidth="1"/>
    <col min="16157" max="16158" width="9.8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2" width="3.625" style="107" bestFit="1" customWidth="1"/>
    <col min="16163" max="16163" width="3.375" style="107" bestFit="1" customWidth="1"/>
    <col min="16164" max="16164" width="23.6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51.375" style="107" bestFit="1" customWidth="1"/>
    <col min="16170" max="16170" width="6.25" style="107" bestFit="1" customWidth="1"/>
    <col min="16171" max="16171" width="2.625" style="107" bestFit="1" customWidth="1"/>
    <col min="16172" max="16172" width="5.125" style="107" bestFit="1" customWidth="1"/>
    <col min="16173" max="16173" width="27.37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91.875" style="107" bestFit="1" customWidth="1"/>
    <col min="16181" max="16181" width="131.2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23.2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625" style="107" bestFit="1" customWidth="1"/>
    <col min="16192" max="16192" width="7.875" style="107" bestFit="1" customWidth="1"/>
    <col min="16193" max="16193" width="4" style="107" bestFit="1" customWidth="1"/>
    <col min="16194" max="16194" width="4.625" style="107" customWidth="1"/>
    <col min="16195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0.25" style="107" bestFit="1" customWidth="1"/>
    <col min="16213" max="16213" width="7.375" style="107" bestFit="1" customWidth="1"/>
    <col min="16214" max="16214" width="47.375" style="107" bestFit="1" customWidth="1"/>
    <col min="16215" max="16215" width="73.25" style="107" bestFit="1" customWidth="1"/>
    <col min="16216" max="16216" width="26.625" style="107" bestFit="1" customWidth="1"/>
    <col min="16217" max="16218" width="26.75" style="107" bestFit="1" customWidth="1"/>
    <col min="16219" max="16219" width="6.375" style="107" bestFit="1" customWidth="1"/>
    <col min="16220" max="16221" width="9.875" style="107" bestFit="1" customWidth="1"/>
    <col min="16222" max="16222" width="26.5" style="107" bestFit="1" customWidth="1"/>
    <col min="16223" max="16223" width="9.125" style="107" bestFit="1" customWidth="1"/>
    <col min="16224" max="16224" width="12.625" style="107" bestFit="1" customWidth="1"/>
    <col min="16225" max="16225" width="36.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11.25" style="107" bestFit="1" customWidth="1"/>
    <col min="16232" max="16384" width="9" style="107"/>
  </cols>
  <sheetData>
    <row r="1" spans="1:103" ht="12" customHeight="1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271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250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258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248</v>
      </c>
      <c r="CW1" s="106" t="s">
        <v>256</v>
      </c>
      <c r="CX1" s="106" t="s">
        <v>270</v>
      </c>
      <c r="CY1" s="155" t="s">
        <v>273</v>
      </c>
    </row>
    <row r="2" spans="1:103" ht="12" customHeight="1" x14ac:dyDescent="0.2">
      <c r="A2" s="116" t="s">
        <v>342</v>
      </c>
      <c r="B2" s="96" t="s">
        <v>298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27</v>
      </c>
      <c r="L2" s="96" t="s">
        <v>501</v>
      </c>
      <c r="M2" s="96" t="s">
        <v>333</v>
      </c>
      <c r="N2" s="96" t="s">
        <v>334</v>
      </c>
      <c r="O2" s="96" t="s">
        <v>335</v>
      </c>
      <c r="P2" s="96" t="s">
        <v>115</v>
      </c>
      <c r="Q2" s="96" t="s">
        <v>105</v>
      </c>
      <c r="R2" s="98" t="s">
        <v>318</v>
      </c>
      <c r="S2" s="96" t="s">
        <v>345</v>
      </c>
      <c r="T2" s="96" t="s">
        <v>507</v>
      </c>
      <c r="U2" s="96" t="s">
        <v>345</v>
      </c>
      <c r="V2" s="98" t="s">
        <v>346</v>
      </c>
      <c r="W2" s="96" t="s">
        <v>532</v>
      </c>
      <c r="X2" s="97"/>
      <c r="Y2" s="97"/>
      <c r="Z2" s="97"/>
      <c r="AA2" s="96" t="s">
        <v>343</v>
      </c>
      <c r="AB2" s="96" t="s">
        <v>533</v>
      </c>
      <c r="AC2" s="126">
        <v>7825.32</v>
      </c>
      <c r="AD2" s="126">
        <v>10025.32</v>
      </c>
      <c r="AE2" s="96" t="s">
        <v>106</v>
      </c>
      <c r="AF2" s="96" t="s">
        <v>54</v>
      </c>
      <c r="AG2" s="97"/>
      <c r="AH2" s="96" t="s">
        <v>57</v>
      </c>
      <c r="AI2" s="97"/>
      <c r="AJ2" s="97"/>
      <c r="AK2" s="97"/>
      <c r="AL2" s="97"/>
      <c r="AM2" s="96" t="s">
        <v>305</v>
      </c>
      <c r="AN2" s="96" t="s">
        <v>306</v>
      </c>
      <c r="AO2" s="96" t="s">
        <v>319</v>
      </c>
      <c r="AP2" s="96" t="s">
        <v>107</v>
      </c>
      <c r="AQ2" s="97"/>
      <c r="AR2" s="97"/>
      <c r="AS2" s="97"/>
      <c r="AT2" s="97"/>
      <c r="AU2" s="97"/>
      <c r="AV2" s="97"/>
      <c r="AW2" s="97">
        <v>0</v>
      </c>
      <c r="AX2" s="96" t="s">
        <v>27</v>
      </c>
      <c r="AY2" s="97"/>
      <c r="AZ2" s="96" t="s">
        <v>534</v>
      </c>
      <c r="BA2" s="97"/>
      <c r="BB2" s="96" t="s">
        <v>535</v>
      </c>
      <c r="BC2" s="98" t="s">
        <v>299</v>
      </c>
      <c r="BD2" s="98" t="s">
        <v>280</v>
      </c>
      <c r="BE2" s="96" t="s">
        <v>109</v>
      </c>
      <c r="BF2" s="96" t="s">
        <v>319</v>
      </c>
      <c r="BG2" s="96" t="s">
        <v>113</v>
      </c>
      <c r="BH2" s="96" t="s">
        <v>257</v>
      </c>
      <c r="BI2" s="97"/>
      <c r="BJ2" s="97"/>
      <c r="BK2" s="96" t="s">
        <v>320</v>
      </c>
      <c r="BL2" s="98" t="s">
        <v>291</v>
      </c>
      <c r="BM2" s="127"/>
      <c r="BN2" s="127">
        <v>1</v>
      </c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96" t="s">
        <v>110</v>
      </c>
      <c r="BZ2" s="97"/>
      <c r="CA2" s="96" t="s">
        <v>109</v>
      </c>
      <c r="CB2" s="97"/>
      <c r="CC2" s="96" t="s">
        <v>115</v>
      </c>
      <c r="CD2" s="97"/>
      <c r="CE2" s="97"/>
      <c r="CF2" s="96" t="s">
        <v>112</v>
      </c>
      <c r="CG2" s="96" t="s">
        <v>111</v>
      </c>
      <c r="CH2" s="97"/>
      <c r="CI2" s="96" t="s">
        <v>536</v>
      </c>
      <c r="CJ2" s="96" t="s">
        <v>506</v>
      </c>
      <c r="CK2" s="96" t="s">
        <v>348</v>
      </c>
      <c r="CL2" s="96" t="s">
        <v>348</v>
      </c>
      <c r="CM2" s="97"/>
      <c r="CN2" s="96" t="s">
        <v>537</v>
      </c>
      <c r="CO2" s="96" t="s">
        <v>538</v>
      </c>
      <c r="CP2" s="97"/>
      <c r="CQ2" s="96" t="s">
        <v>539</v>
      </c>
      <c r="CR2" s="96" t="s">
        <v>540</v>
      </c>
      <c r="CS2" s="96" t="s">
        <v>343</v>
      </c>
      <c r="CT2" s="96" t="s">
        <v>27</v>
      </c>
      <c r="CU2" s="97"/>
      <c r="CV2" s="97"/>
      <c r="CW2" s="98" t="s">
        <v>327</v>
      </c>
      <c r="CX2" s="97"/>
      <c r="CY2" s="156"/>
    </row>
    <row r="3" spans="1:103" ht="12" customHeight="1" x14ac:dyDescent="0.2">
      <c r="A3" s="116" t="s">
        <v>490</v>
      </c>
      <c r="B3" s="96" t="s">
        <v>298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27</v>
      </c>
      <c r="L3" s="96" t="s">
        <v>501</v>
      </c>
      <c r="M3" s="96" t="s">
        <v>333</v>
      </c>
      <c r="N3" s="96" t="s">
        <v>334</v>
      </c>
      <c r="O3" s="96" t="s">
        <v>335</v>
      </c>
      <c r="P3" s="96" t="s">
        <v>115</v>
      </c>
      <c r="Q3" s="96" t="s">
        <v>105</v>
      </c>
      <c r="R3" s="98" t="s">
        <v>318</v>
      </c>
      <c r="S3" s="96" t="s">
        <v>481</v>
      </c>
      <c r="T3" s="96" t="s">
        <v>529</v>
      </c>
      <c r="U3" s="96" t="s">
        <v>481</v>
      </c>
      <c r="V3" s="98" t="s">
        <v>541</v>
      </c>
      <c r="W3" s="96" t="s">
        <v>542</v>
      </c>
      <c r="X3" s="97"/>
      <c r="Y3" s="96" t="s">
        <v>504</v>
      </c>
      <c r="Z3" s="96" t="s">
        <v>336</v>
      </c>
      <c r="AA3" s="96" t="s">
        <v>480</v>
      </c>
      <c r="AB3" s="96" t="s">
        <v>480</v>
      </c>
      <c r="AC3" s="126">
        <v>20898</v>
      </c>
      <c r="AD3" s="126">
        <v>23098</v>
      </c>
      <c r="AE3" s="96" t="s">
        <v>106</v>
      </c>
      <c r="AF3" s="97"/>
      <c r="AG3" s="97"/>
      <c r="AH3" s="96" t="s">
        <v>57</v>
      </c>
      <c r="AI3" s="97"/>
      <c r="AJ3" s="97"/>
      <c r="AK3" s="97"/>
      <c r="AL3" s="97"/>
      <c r="AM3" s="96" t="s">
        <v>543</v>
      </c>
      <c r="AN3" s="96" t="s">
        <v>544</v>
      </c>
      <c r="AO3" s="96" t="s">
        <v>545</v>
      </c>
      <c r="AP3" s="96" t="s">
        <v>13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7"/>
      <c r="AZ3" s="96" t="s">
        <v>546</v>
      </c>
      <c r="BA3" s="96" t="s">
        <v>547</v>
      </c>
      <c r="BB3" s="96" t="s">
        <v>535</v>
      </c>
      <c r="BC3" s="98" t="s">
        <v>299</v>
      </c>
      <c r="BD3" s="98" t="s">
        <v>280</v>
      </c>
      <c r="BE3" s="96" t="s">
        <v>109</v>
      </c>
      <c r="BF3" s="96" t="s">
        <v>545</v>
      </c>
      <c r="BG3" s="96" t="s">
        <v>113</v>
      </c>
      <c r="BH3" s="96" t="s">
        <v>257</v>
      </c>
      <c r="BI3" s="97"/>
      <c r="BJ3" s="97"/>
      <c r="BK3" s="96" t="s">
        <v>320</v>
      </c>
      <c r="BL3" s="98" t="s">
        <v>291</v>
      </c>
      <c r="BM3" s="127"/>
      <c r="BN3" s="127">
        <v>1</v>
      </c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96" t="s">
        <v>110</v>
      </c>
      <c r="BZ3" s="97">
        <v>8</v>
      </c>
      <c r="CA3" s="96" t="s">
        <v>109</v>
      </c>
      <c r="CB3" s="97"/>
      <c r="CC3" s="96" t="s">
        <v>115</v>
      </c>
      <c r="CD3" s="97"/>
      <c r="CE3" s="97"/>
      <c r="CF3" s="96" t="s">
        <v>112</v>
      </c>
      <c r="CG3" s="96" t="s">
        <v>111</v>
      </c>
      <c r="CH3" s="96" t="s">
        <v>548</v>
      </c>
      <c r="CI3" s="96" t="s">
        <v>549</v>
      </c>
      <c r="CJ3" s="96" t="s">
        <v>528</v>
      </c>
      <c r="CK3" s="96" t="s">
        <v>483</v>
      </c>
      <c r="CL3" s="96" t="s">
        <v>483</v>
      </c>
      <c r="CM3" s="97"/>
      <c r="CN3" s="96" t="s">
        <v>537</v>
      </c>
      <c r="CO3" s="96" t="s">
        <v>538</v>
      </c>
      <c r="CP3" s="97"/>
      <c r="CQ3" s="96" t="s">
        <v>550</v>
      </c>
      <c r="CR3" s="96" t="s">
        <v>551</v>
      </c>
      <c r="CS3" s="96" t="s">
        <v>480</v>
      </c>
      <c r="CT3" s="96" t="s">
        <v>27</v>
      </c>
      <c r="CU3" s="97"/>
      <c r="CV3" s="97"/>
      <c r="CW3" s="98" t="s">
        <v>318</v>
      </c>
      <c r="CX3" s="96" t="s">
        <v>552</v>
      </c>
      <c r="CY3" s="156"/>
    </row>
    <row r="4" spans="1:103" ht="12" customHeight="1" x14ac:dyDescent="0.2">
      <c r="A4" s="116" t="s">
        <v>352</v>
      </c>
      <c r="B4" s="96" t="s">
        <v>298</v>
      </c>
      <c r="C4" s="97">
        <v>0</v>
      </c>
      <c r="D4" s="97">
        <v>0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27</v>
      </c>
      <c r="L4" s="96" t="s">
        <v>501</v>
      </c>
      <c r="M4" s="96" t="s">
        <v>333</v>
      </c>
      <c r="N4" s="96" t="s">
        <v>334</v>
      </c>
      <c r="O4" s="96" t="s">
        <v>335</v>
      </c>
      <c r="P4" s="96" t="s">
        <v>115</v>
      </c>
      <c r="Q4" s="96" t="s">
        <v>105</v>
      </c>
      <c r="R4" s="98" t="s">
        <v>318</v>
      </c>
      <c r="S4" s="96" t="s">
        <v>354</v>
      </c>
      <c r="T4" s="96" t="s">
        <v>510</v>
      </c>
      <c r="U4" s="96" t="s">
        <v>354</v>
      </c>
      <c r="V4" s="98" t="s">
        <v>355</v>
      </c>
      <c r="W4" s="96" t="s">
        <v>105</v>
      </c>
      <c r="X4" s="97"/>
      <c r="Y4" s="97"/>
      <c r="Z4" s="97"/>
      <c r="AA4" s="96" t="s">
        <v>353</v>
      </c>
      <c r="AB4" s="96" t="s">
        <v>553</v>
      </c>
      <c r="AC4" s="126">
        <v>4148.2</v>
      </c>
      <c r="AD4" s="126">
        <v>6348.2</v>
      </c>
      <c r="AE4" s="96" t="s">
        <v>106</v>
      </c>
      <c r="AF4" s="97"/>
      <c r="AG4" s="97"/>
      <c r="AH4" s="96" t="s">
        <v>554</v>
      </c>
      <c r="AI4" s="96" t="s">
        <v>106</v>
      </c>
      <c r="AJ4" s="96" t="s">
        <v>555</v>
      </c>
      <c r="AK4" s="97"/>
      <c r="AL4" s="97"/>
      <c r="AM4" s="96" t="s">
        <v>300</v>
      </c>
      <c r="AN4" s="96" t="s">
        <v>301</v>
      </c>
      <c r="AO4" s="96" t="s">
        <v>556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7"/>
      <c r="AZ4" s="96" t="s">
        <v>557</v>
      </c>
      <c r="BA4" s="96" t="s">
        <v>558</v>
      </c>
      <c r="BB4" s="96" t="s">
        <v>108</v>
      </c>
      <c r="BC4" s="98" t="s">
        <v>290</v>
      </c>
      <c r="BD4" s="98" t="s">
        <v>280</v>
      </c>
      <c r="BE4" s="96" t="s">
        <v>109</v>
      </c>
      <c r="BF4" s="96" t="s">
        <v>556</v>
      </c>
      <c r="BG4" s="96" t="s">
        <v>113</v>
      </c>
      <c r="BH4" s="96" t="s">
        <v>257</v>
      </c>
      <c r="BI4" s="97"/>
      <c r="BJ4" s="97"/>
      <c r="BK4" s="96" t="s">
        <v>115</v>
      </c>
      <c r="BL4" s="98" t="s">
        <v>280</v>
      </c>
      <c r="BM4" s="127"/>
      <c r="BN4" s="127">
        <v>1</v>
      </c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96" t="s">
        <v>110</v>
      </c>
      <c r="BZ4" s="97"/>
      <c r="CA4" s="96" t="s">
        <v>109</v>
      </c>
      <c r="CB4" s="97"/>
      <c r="CC4" s="96" t="s">
        <v>115</v>
      </c>
      <c r="CD4" s="97"/>
      <c r="CE4" s="97"/>
      <c r="CF4" s="96" t="s">
        <v>112</v>
      </c>
      <c r="CG4" s="96" t="s">
        <v>559</v>
      </c>
      <c r="CH4" s="97"/>
      <c r="CI4" s="96" t="s">
        <v>560</v>
      </c>
      <c r="CJ4" s="96" t="s">
        <v>508</v>
      </c>
      <c r="CK4" s="96" t="s">
        <v>357</v>
      </c>
      <c r="CL4" s="96" t="s">
        <v>509</v>
      </c>
      <c r="CM4" s="97"/>
      <c r="CN4" s="96" t="s">
        <v>537</v>
      </c>
      <c r="CO4" s="96" t="s">
        <v>538</v>
      </c>
      <c r="CP4" s="97"/>
      <c r="CQ4" s="96" t="s">
        <v>561</v>
      </c>
      <c r="CR4" s="96" t="s">
        <v>562</v>
      </c>
      <c r="CS4" s="96" t="s">
        <v>353</v>
      </c>
      <c r="CT4" s="96" t="s">
        <v>27</v>
      </c>
      <c r="CU4" s="97"/>
      <c r="CV4" s="97"/>
      <c r="CW4" s="98" t="s">
        <v>563</v>
      </c>
      <c r="CX4" s="96" t="s">
        <v>564</v>
      </c>
      <c r="CY4" s="156"/>
    </row>
    <row r="5" spans="1:103" ht="12" customHeight="1" x14ac:dyDescent="0.2">
      <c r="A5" s="116" t="s">
        <v>366</v>
      </c>
      <c r="B5" s="96" t="s">
        <v>298</v>
      </c>
      <c r="C5" s="97">
        <v>0</v>
      </c>
      <c r="D5" s="97">
        <v>0</v>
      </c>
      <c r="E5" s="97"/>
      <c r="F5" s="97">
        <v>0</v>
      </c>
      <c r="G5" s="97">
        <v>1</v>
      </c>
      <c r="H5" s="97">
        <v>0</v>
      </c>
      <c r="I5" s="97">
        <v>0</v>
      </c>
      <c r="J5" s="97">
        <v>1</v>
      </c>
      <c r="K5" s="96" t="s">
        <v>27</v>
      </c>
      <c r="L5" s="96" t="s">
        <v>501</v>
      </c>
      <c r="M5" s="96" t="s">
        <v>333</v>
      </c>
      <c r="N5" s="96" t="s">
        <v>334</v>
      </c>
      <c r="O5" s="96" t="s">
        <v>335</v>
      </c>
      <c r="P5" s="96" t="s">
        <v>115</v>
      </c>
      <c r="Q5" s="96" t="s">
        <v>105</v>
      </c>
      <c r="R5" s="98" t="s">
        <v>318</v>
      </c>
      <c r="S5" s="96" t="s">
        <v>354</v>
      </c>
      <c r="T5" s="96" t="s">
        <v>510</v>
      </c>
      <c r="U5" s="96" t="s">
        <v>354</v>
      </c>
      <c r="V5" s="98" t="s">
        <v>355</v>
      </c>
      <c r="W5" s="96" t="s">
        <v>105</v>
      </c>
      <c r="X5" s="97"/>
      <c r="Y5" s="97"/>
      <c r="Z5" s="97"/>
      <c r="AA5" s="96" t="s">
        <v>367</v>
      </c>
      <c r="AB5" s="96" t="s">
        <v>511</v>
      </c>
      <c r="AC5" s="126">
        <v>2302.5300000000002</v>
      </c>
      <c r="AD5" s="126">
        <v>4502.53</v>
      </c>
      <c r="AE5" s="96" t="s">
        <v>106</v>
      </c>
      <c r="AF5" s="96" t="s">
        <v>54</v>
      </c>
      <c r="AG5" s="97"/>
      <c r="AH5" s="96" t="s">
        <v>57</v>
      </c>
      <c r="AI5" s="96" t="s">
        <v>106</v>
      </c>
      <c r="AJ5" s="97"/>
      <c r="AK5" s="97"/>
      <c r="AL5" s="97"/>
      <c r="AM5" s="96" t="s">
        <v>303</v>
      </c>
      <c r="AN5" s="96" t="s">
        <v>304</v>
      </c>
      <c r="AO5" s="96" t="s">
        <v>565</v>
      </c>
      <c r="AP5" s="96" t="s">
        <v>107</v>
      </c>
      <c r="AQ5" s="97"/>
      <c r="AR5" s="97"/>
      <c r="AS5" s="97"/>
      <c r="AT5" s="97"/>
      <c r="AU5" s="97"/>
      <c r="AV5" s="97"/>
      <c r="AW5" s="97">
        <v>0</v>
      </c>
      <c r="AX5" s="96" t="s">
        <v>27</v>
      </c>
      <c r="AY5" s="97"/>
      <c r="AZ5" s="96" t="s">
        <v>566</v>
      </c>
      <c r="BA5" s="96" t="s">
        <v>567</v>
      </c>
      <c r="BB5" s="96" t="s">
        <v>108</v>
      </c>
      <c r="BC5" s="98" t="s">
        <v>568</v>
      </c>
      <c r="BD5" s="98" t="s">
        <v>568</v>
      </c>
      <c r="BE5" s="96" t="s">
        <v>109</v>
      </c>
      <c r="BF5" s="96" t="s">
        <v>569</v>
      </c>
      <c r="BG5" s="96" t="s">
        <v>113</v>
      </c>
      <c r="BH5" s="96" t="s">
        <v>257</v>
      </c>
      <c r="BI5" s="97"/>
      <c r="BJ5" s="97"/>
      <c r="BK5" s="96" t="s">
        <v>115</v>
      </c>
      <c r="BL5" s="98" t="s">
        <v>280</v>
      </c>
      <c r="BM5" s="127"/>
      <c r="BN5" s="127">
        <v>1</v>
      </c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96" t="s">
        <v>110</v>
      </c>
      <c r="BZ5" s="97"/>
      <c r="CA5" s="96" t="s">
        <v>109</v>
      </c>
      <c r="CB5" s="97"/>
      <c r="CC5" s="96" t="s">
        <v>115</v>
      </c>
      <c r="CD5" s="97"/>
      <c r="CE5" s="97"/>
      <c r="CF5" s="96" t="s">
        <v>112</v>
      </c>
      <c r="CG5" s="96" t="s">
        <v>559</v>
      </c>
      <c r="CH5" s="97"/>
      <c r="CI5" s="96" t="s">
        <v>570</v>
      </c>
      <c r="CJ5" s="96" t="s">
        <v>511</v>
      </c>
      <c r="CK5" s="96" t="s">
        <v>369</v>
      </c>
      <c r="CL5" s="96" t="s">
        <v>369</v>
      </c>
      <c r="CM5" s="97"/>
      <c r="CN5" s="96" t="s">
        <v>537</v>
      </c>
      <c r="CO5" s="96" t="s">
        <v>538</v>
      </c>
      <c r="CP5" s="97"/>
      <c r="CQ5" s="96" t="s">
        <v>571</v>
      </c>
      <c r="CR5" s="96" t="s">
        <v>572</v>
      </c>
      <c r="CS5" s="96" t="s">
        <v>367</v>
      </c>
      <c r="CT5" s="96" t="s">
        <v>27</v>
      </c>
      <c r="CU5" s="97"/>
      <c r="CV5" s="97"/>
      <c r="CW5" s="98" t="s">
        <v>318</v>
      </c>
      <c r="CX5" s="96" t="s">
        <v>573</v>
      </c>
      <c r="CY5" s="156"/>
    </row>
    <row r="6" spans="1:103" ht="12" customHeight="1" x14ac:dyDescent="0.2">
      <c r="A6" s="116" t="s">
        <v>494</v>
      </c>
      <c r="B6" s="96" t="s">
        <v>298</v>
      </c>
      <c r="C6" s="97">
        <v>1</v>
      </c>
      <c r="D6" s="97">
        <v>1</v>
      </c>
      <c r="E6" s="97"/>
      <c r="F6" s="97">
        <v>0</v>
      </c>
      <c r="G6" s="97">
        <v>1</v>
      </c>
      <c r="H6" s="97">
        <v>0</v>
      </c>
      <c r="I6" s="97">
        <v>0</v>
      </c>
      <c r="J6" s="97">
        <v>1</v>
      </c>
      <c r="K6" s="96" t="s">
        <v>27</v>
      </c>
      <c r="L6" s="96" t="s">
        <v>501</v>
      </c>
      <c r="M6" s="96" t="s">
        <v>333</v>
      </c>
      <c r="N6" s="96" t="s">
        <v>334</v>
      </c>
      <c r="O6" s="96" t="s">
        <v>335</v>
      </c>
      <c r="P6" s="96" t="s">
        <v>115</v>
      </c>
      <c r="Q6" s="96" t="s">
        <v>105</v>
      </c>
      <c r="R6" s="98" t="s">
        <v>318</v>
      </c>
      <c r="S6" s="96" t="s">
        <v>495</v>
      </c>
      <c r="T6" s="96" t="s">
        <v>531</v>
      </c>
      <c r="U6" s="96" t="s">
        <v>495</v>
      </c>
      <c r="V6" s="98" t="s">
        <v>574</v>
      </c>
      <c r="W6" s="96" t="s">
        <v>575</v>
      </c>
      <c r="X6" s="97"/>
      <c r="Y6" s="96" t="s">
        <v>504</v>
      </c>
      <c r="Z6" s="96" t="s">
        <v>336</v>
      </c>
      <c r="AA6" s="96" t="s">
        <v>380</v>
      </c>
      <c r="AB6" s="96" t="s">
        <v>576</v>
      </c>
      <c r="AC6" s="126">
        <v>3746</v>
      </c>
      <c r="AD6" s="126">
        <v>5946</v>
      </c>
      <c r="AE6" s="96" t="s">
        <v>106</v>
      </c>
      <c r="AF6" s="97"/>
      <c r="AG6" s="97"/>
      <c r="AH6" s="96" t="s">
        <v>57</v>
      </c>
      <c r="AI6" s="97"/>
      <c r="AJ6" s="97"/>
      <c r="AK6" s="97"/>
      <c r="AL6" s="97"/>
      <c r="AM6" s="96" t="s">
        <v>303</v>
      </c>
      <c r="AN6" s="96" t="s">
        <v>304</v>
      </c>
      <c r="AO6" s="96" t="s">
        <v>577</v>
      </c>
      <c r="AP6" s="96" t="s">
        <v>13</v>
      </c>
      <c r="AQ6" s="97"/>
      <c r="AR6" s="97"/>
      <c r="AS6" s="97"/>
      <c r="AT6" s="97"/>
      <c r="AU6" s="97"/>
      <c r="AV6" s="97"/>
      <c r="AW6" s="97">
        <v>0</v>
      </c>
      <c r="AX6" s="96" t="s">
        <v>27</v>
      </c>
      <c r="AY6" s="97"/>
      <c r="AZ6" s="96" t="s">
        <v>578</v>
      </c>
      <c r="BA6" s="96" t="s">
        <v>579</v>
      </c>
      <c r="BB6" s="96" t="s">
        <v>108</v>
      </c>
      <c r="BC6" s="98" t="s">
        <v>580</v>
      </c>
      <c r="BD6" s="98" t="s">
        <v>280</v>
      </c>
      <c r="BE6" s="96" t="s">
        <v>109</v>
      </c>
      <c r="BF6" s="96" t="s">
        <v>581</v>
      </c>
      <c r="BG6" s="96" t="s">
        <v>113</v>
      </c>
      <c r="BH6" s="96" t="s">
        <v>257</v>
      </c>
      <c r="BI6" s="97"/>
      <c r="BJ6" s="97"/>
      <c r="BK6" s="96" t="s">
        <v>320</v>
      </c>
      <c r="BL6" s="98" t="s">
        <v>283</v>
      </c>
      <c r="BM6" s="127"/>
      <c r="BN6" s="127">
        <v>1</v>
      </c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96" t="s">
        <v>110</v>
      </c>
      <c r="BZ6" s="97">
        <v>4</v>
      </c>
      <c r="CA6" s="96" t="s">
        <v>109</v>
      </c>
      <c r="CB6" s="97"/>
      <c r="CC6" s="96" t="s">
        <v>115</v>
      </c>
      <c r="CD6" s="97"/>
      <c r="CE6" s="97"/>
      <c r="CF6" s="96" t="s">
        <v>112</v>
      </c>
      <c r="CG6" s="96" t="s">
        <v>111</v>
      </c>
      <c r="CH6" s="96" t="s">
        <v>582</v>
      </c>
      <c r="CI6" s="96" t="s">
        <v>583</v>
      </c>
      <c r="CJ6" s="96" t="s">
        <v>530</v>
      </c>
      <c r="CK6" s="96" t="s">
        <v>497</v>
      </c>
      <c r="CL6" s="96" t="s">
        <v>497</v>
      </c>
      <c r="CM6" s="97"/>
      <c r="CN6" s="96" t="s">
        <v>537</v>
      </c>
      <c r="CO6" s="96" t="s">
        <v>538</v>
      </c>
      <c r="CP6" s="97"/>
      <c r="CQ6" s="96" t="s">
        <v>584</v>
      </c>
      <c r="CR6" s="96" t="s">
        <v>585</v>
      </c>
      <c r="CS6" s="96" t="s">
        <v>380</v>
      </c>
      <c r="CT6" s="96" t="s">
        <v>27</v>
      </c>
      <c r="CU6" s="97"/>
      <c r="CV6" s="97"/>
      <c r="CW6" s="98" t="s">
        <v>318</v>
      </c>
      <c r="CX6" s="96" t="s">
        <v>586</v>
      </c>
      <c r="CY6" s="156"/>
    </row>
    <row r="7" spans="1:103" ht="12" customHeight="1" x14ac:dyDescent="0.2">
      <c r="A7" s="116" t="s">
        <v>479</v>
      </c>
      <c r="B7" s="96" t="s">
        <v>298</v>
      </c>
      <c r="C7" s="97">
        <v>1</v>
      </c>
      <c r="D7" s="97">
        <v>1</v>
      </c>
      <c r="E7" s="97"/>
      <c r="F7" s="97">
        <v>0</v>
      </c>
      <c r="G7" s="97">
        <v>1</v>
      </c>
      <c r="H7" s="97">
        <v>0</v>
      </c>
      <c r="I7" s="97">
        <v>0</v>
      </c>
      <c r="J7" s="97">
        <v>1</v>
      </c>
      <c r="K7" s="96" t="s">
        <v>27</v>
      </c>
      <c r="L7" s="96" t="s">
        <v>501</v>
      </c>
      <c r="M7" s="96" t="s">
        <v>333</v>
      </c>
      <c r="N7" s="96" t="s">
        <v>334</v>
      </c>
      <c r="O7" s="96" t="s">
        <v>335</v>
      </c>
      <c r="P7" s="96" t="s">
        <v>115</v>
      </c>
      <c r="Q7" s="96" t="s">
        <v>105</v>
      </c>
      <c r="R7" s="98" t="s">
        <v>318</v>
      </c>
      <c r="S7" s="96" t="s">
        <v>481</v>
      </c>
      <c r="T7" s="96" t="s">
        <v>529</v>
      </c>
      <c r="U7" s="96" t="s">
        <v>481</v>
      </c>
      <c r="V7" s="98" t="s">
        <v>541</v>
      </c>
      <c r="W7" s="96" t="s">
        <v>542</v>
      </c>
      <c r="X7" s="97"/>
      <c r="Y7" s="96" t="s">
        <v>504</v>
      </c>
      <c r="Z7" s="96" t="s">
        <v>336</v>
      </c>
      <c r="AA7" s="96" t="s">
        <v>480</v>
      </c>
      <c r="AB7" s="96" t="s">
        <v>480</v>
      </c>
      <c r="AC7" s="126">
        <v>19814.5</v>
      </c>
      <c r="AD7" s="126">
        <v>22014.5</v>
      </c>
      <c r="AE7" s="96" t="s">
        <v>106</v>
      </c>
      <c r="AF7" s="97"/>
      <c r="AG7" s="97"/>
      <c r="AH7" s="96" t="s">
        <v>57</v>
      </c>
      <c r="AI7" s="97"/>
      <c r="AJ7" s="97"/>
      <c r="AK7" s="97"/>
      <c r="AL7" s="97"/>
      <c r="AM7" s="96" t="s">
        <v>543</v>
      </c>
      <c r="AN7" s="96" t="s">
        <v>544</v>
      </c>
      <c r="AO7" s="96" t="s">
        <v>545</v>
      </c>
      <c r="AP7" s="96" t="s">
        <v>13</v>
      </c>
      <c r="AQ7" s="97"/>
      <c r="AR7" s="97"/>
      <c r="AS7" s="97"/>
      <c r="AT7" s="97"/>
      <c r="AU7" s="97"/>
      <c r="AV7" s="97"/>
      <c r="AW7" s="97">
        <v>0</v>
      </c>
      <c r="AX7" s="96" t="s">
        <v>27</v>
      </c>
      <c r="AY7" s="97"/>
      <c r="AZ7" s="96" t="s">
        <v>587</v>
      </c>
      <c r="BA7" s="96" t="s">
        <v>547</v>
      </c>
      <c r="BB7" s="96" t="s">
        <v>535</v>
      </c>
      <c r="BC7" s="98" t="s">
        <v>299</v>
      </c>
      <c r="BD7" s="98" t="s">
        <v>291</v>
      </c>
      <c r="BE7" s="96" t="s">
        <v>109</v>
      </c>
      <c r="BF7" s="96" t="s">
        <v>545</v>
      </c>
      <c r="BG7" s="96" t="s">
        <v>113</v>
      </c>
      <c r="BH7" s="96" t="s">
        <v>257</v>
      </c>
      <c r="BI7" s="97"/>
      <c r="BJ7" s="97"/>
      <c r="BK7" s="96" t="s">
        <v>320</v>
      </c>
      <c r="BL7" s="98" t="s">
        <v>291</v>
      </c>
      <c r="BM7" s="127"/>
      <c r="BN7" s="127">
        <v>1</v>
      </c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96" t="s">
        <v>110</v>
      </c>
      <c r="BZ7" s="97">
        <v>8</v>
      </c>
      <c r="CA7" s="96" t="s">
        <v>109</v>
      </c>
      <c r="CB7" s="97"/>
      <c r="CC7" s="96" t="s">
        <v>115</v>
      </c>
      <c r="CD7" s="97"/>
      <c r="CE7" s="97"/>
      <c r="CF7" s="96" t="s">
        <v>112</v>
      </c>
      <c r="CG7" s="96" t="s">
        <v>111</v>
      </c>
      <c r="CH7" s="96" t="s">
        <v>548</v>
      </c>
      <c r="CI7" s="96" t="s">
        <v>549</v>
      </c>
      <c r="CJ7" s="96" t="s">
        <v>528</v>
      </c>
      <c r="CK7" s="96" t="s">
        <v>483</v>
      </c>
      <c r="CL7" s="96" t="s">
        <v>483</v>
      </c>
      <c r="CM7" s="97"/>
      <c r="CN7" s="96" t="s">
        <v>537</v>
      </c>
      <c r="CO7" s="96" t="s">
        <v>538</v>
      </c>
      <c r="CP7" s="97"/>
      <c r="CQ7" s="96" t="s">
        <v>550</v>
      </c>
      <c r="CR7" s="96" t="s">
        <v>551</v>
      </c>
      <c r="CS7" s="96" t="s">
        <v>480</v>
      </c>
      <c r="CT7" s="96" t="s">
        <v>27</v>
      </c>
      <c r="CU7" s="97"/>
      <c r="CV7" s="97"/>
      <c r="CW7" s="98" t="s">
        <v>318</v>
      </c>
      <c r="CX7" s="96" t="s">
        <v>552</v>
      </c>
      <c r="CY7" s="156"/>
    </row>
    <row r="8" spans="1:103" ht="12" customHeight="1" x14ac:dyDescent="0.2">
      <c r="A8" s="116" t="s">
        <v>360</v>
      </c>
      <c r="B8" s="96" t="s">
        <v>298</v>
      </c>
      <c r="C8" s="97">
        <v>1</v>
      </c>
      <c r="D8" s="97">
        <v>1</v>
      </c>
      <c r="E8" s="97"/>
      <c r="F8" s="97">
        <v>0</v>
      </c>
      <c r="G8" s="97">
        <v>1</v>
      </c>
      <c r="H8" s="97">
        <v>0</v>
      </c>
      <c r="I8" s="97">
        <v>0</v>
      </c>
      <c r="J8" s="97">
        <v>1</v>
      </c>
      <c r="K8" s="96" t="s">
        <v>27</v>
      </c>
      <c r="L8" s="96" t="s">
        <v>501</v>
      </c>
      <c r="M8" s="96" t="s">
        <v>333</v>
      </c>
      <c r="N8" s="96" t="s">
        <v>334</v>
      </c>
      <c r="O8" s="96" t="s">
        <v>335</v>
      </c>
      <c r="P8" s="96" t="s">
        <v>115</v>
      </c>
      <c r="Q8" s="96" t="s">
        <v>105</v>
      </c>
      <c r="R8" s="98" t="s">
        <v>318</v>
      </c>
      <c r="S8" s="96" t="s">
        <v>336</v>
      </c>
      <c r="T8" s="96" t="s">
        <v>504</v>
      </c>
      <c r="U8" s="96" t="s">
        <v>336</v>
      </c>
      <c r="V8" s="98" t="s">
        <v>337</v>
      </c>
      <c r="W8" s="96" t="s">
        <v>532</v>
      </c>
      <c r="X8" s="97"/>
      <c r="Y8" s="97"/>
      <c r="Z8" s="97"/>
      <c r="AA8" s="96" t="s">
        <v>361</v>
      </c>
      <c r="AB8" s="96" t="s">
        <v>361</v>
      </c>
      <c r="AC8" s="126">
        <v>14168</v>
      </c>
      <c r="AD8" s="126">
        <v>16368</v>
      </c>
      <c r="AE8" s="96" t="s">
        <v>106</v>
      </c>
      <c r="AF8" s="96" t="s">
        <v>54</v>
      </c>
      <c r="AG8" s="97"/>
      <c r="AH8" s="96" t="s">
        <v>57</v>
      </c>
      <c r="AI8" s="96" t="s">
        <v>106</v>
      </c>
      <c r="AJ8" s="97"/>
      <c r="AK8" s="97"/>
      <c r="AL8" s="97"/>
      <c r="AM8" s="96" t="s">
        <v>588</v>
      </c>
      <c r="AN8" s="96" t="s">
        <v>589</v>
      </c>
      <c r="AO8" s="96" t="s">
        <v>590</v>
      </c>
      <c r="AP8" s="96" t="s">
        <v>107</v>
      </c>
      <c r="AQ8" s="97"/>
      <c r="AR8" s="97"/>
      <c r="AS8" s="97"/>
      <c r="AT8" s="97"/>
      <c r="AU8" s="97"/>
      <c r="AV8" s="97"/>
      <c r="AW8" s="97">
        <v>0</v>
      </c>
      <c r="AX8" s="96" t="s">
        <v>27</v>
      </c>
      <c r="AY8" s="97"/>
      <c r="AZ8" s="96" t="s">
        <v>591</v>
      </c>
      <c r="BA8" s="96" t="s">
        <v>592</v>
      </c>
      <c r="BB8" s="96" t="s">
        <v>535</v>
      </c>
      <c r="BC8" s="98" t="s">
        <v>593</v>
      </c>
      <c r="BD8" s="98" t="s">
        <v>377</v>
      </c>
      <c r="BE8" s="96" t="s">
        <v>109</v>
      </c>
      <c r="BF8" s="96" t="s">
        <v>590</v>
      </c>
      <c r="BG8" s="96" t="s">
        <v>113</v>
      </c>
      <c r="BH8" s="96" t="s">
        <v>257</v>
      </c>
      <c r="BI8" s="97"/>
      <c r="BJ8" s="97"/>
      <c r="BK8" s="96" t="s">
        <v>320</v>
      </c>
      <c r="BL8" s="98" t="s">
        <v>283</v>
      </c>
      <c r="BM8" s="127"/>
      <c r="BN8" s="127">
        <v>1</v>
      </c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96" t="s">
        <v>110</v>
      </c>
      <c r="BZ8" s="97"/>
      <c r="CA8" s="96" t="s">
        <v>109</v>
      </c>
      <c r="CB8" s="97"/>
      <c r="CC8" s="96" t="s">
        <v>115</v>
      </c>
      <c r="CD8" s="97"/>
      <c r="CE8" s="97"/>
      <c r="CF8" s="96" t="s">
        <v>112</v>
      </c>
      <c r="CG8" s="96" t="s">
        <v>111</v>
      </c>
      <c r="CH8" s="97"/>
      <c r="CI8" s="96" t="s">
        <v>594</v>
      </c>
      <c r="CJ8" s="96" t="s">
        <v>361</v>
      </c>
      <c r="CK8" s="96" t="s">
        <v>363</v>
      </c>
      <c r="CL8" s="96" t="s">
        <v>363</v>
      </c>
      <c r="CM8" s="97"/>
      <c r="CN8" s="96" t="s">
        <v>537</v>
      </c>
      <c r="CO8" s="96" t="s">
        <v>538</v>
      </c>
      <c r="CP8" s="97"/>
      <c r="CQ8" s="96" t="s">
        <v>595</v>
      </c>
      <c r="CR8" s="96" t="s">
        <v>596</v>
      </c>
      <c r="CS8" s="96" t="s">
        <v>361</v>
      </c>
      <c r="CT8" s="96" t="s">
        <v>27</v>
      </c>
      <c r="CU8" s="97"/>
      <c r="CV8" s="97"/>
      <c r="CW8" s="98" t="s">
        <v>318</v>
      </c>
      <c r="CX8" s="97"/>
      <c r="CY8" s="156"/>
    </row>
    <row r="9" spans="1:103" ht="12" customHeight="1" x14ac:dyDescent="0.2">
      <c r="A9" s="116" t="s">
        <v>486</v>
      </c>
      <c r="B9" s="96" t="s">
        <v>298</v>
      </c>
      <c r="C9" s="97">
        <v>1</v>
      </c>
      <c r="D9" s="97">
        <v>1</v>
      </c>
      <c r="E9" s="97"/>
      <c r="F9" s="97">
        <v>0</v>
      </c>
      <c r="G9" s="97">
        <v>1</v>
      </c>
      <c r="H9" s="97">
        <v>0</v>
      </c>
      <c r="I9" s="97">
        <v>0</v>
      </c>
      <c r="J9" s="97">
        <v>1</v>
      </c>
      <c r="K9" s="96" t="s">
        <v>27</v>
      </c>
      <c r="L9" s="96" t="s">
        <v>501</v>
      </c>
      <c r="M9" s="96" t="s">
        <v>333</v>
      </c>
      <c r="N9" s="96" t="s">
        <v>334</v>
      </c>
      <c r="O9" s="96" t="s">
        <v>335</v>
      </c>
      <c r="P9" s="96" t="s">
        <v>115</v>
      </c>
      <c r="Q9" s="96" t="s">
        <v>105</v>
      </c>
      <c r="R9" s="98" t="s">
        <v>318</v>
      </c>
      <c r="S9" s="96" t="s">
        <v>481</v>
      </c>
      <c r="T9" s="96" t="s">
        <v>529</v>
      </c>
      <c r="U9" s="96" t="s">
        <v>481</v>
      </c>
      <c r="V9" s="98" t="s">
        <v>541</v>
      </c>
      <c r="W9" s="96" t="s">
        <v>542</v>
      </c>
      <c r="X9" s="97"/>
      <c r="Y9" s="96" t="s">
        <v>504</v>
      </c>
      <c r="Z9" s="96" t="s">
        <v>336</v>
      </c>
      <c r="AA9" s="96" t="s">
        <v>480</v>
      </c>
      <c r="AB9" s="96" t="s">
        <v>480</v>
      </c>
      <c r="AC9" s="126">
        <v>19814.5</v>
      </c>
      <c r="AD9" s="126">
        <v>22014.5</v>
      </c>
      <c r="AE9" s="96" t="s">
        <v>106</v>
      </c>
      <c r="AF9" s="97"/>
      <c r="AG9" s="97"/>
      <c r="AH9" s="96" t="s">
        <v>57</v>
      </c>
      <c r="AI9" s="97"/>
      <c r="AJ9" s="97"/>
      <c r="AK9" s="97"/>
      <c r="AL9" s="97"/>
      <c r="AM9" s="96" t="s">
        <v>543</v>
      </c>
      <c r="AN9" s="96" t="s">
        <v>544</v>
      </c>
      <c r="AO9" s="96" t="s">
        <v>545</v>
      </c>
      <c r="AP9" s="96" t="s">
        <v>13</v>
      </c>
      <c r="AQ9" s="97"/>
      <c r="AR9" s="97"/>
      <c r="AS9" s="97"/>
      <c r="AT9" s="97"/>
      <c r="AU9" s="97"/>
      <c r="AV9" s="97"/>
      <c r="AW9" s="97">
        <v>0</v>
      </c>
      <c r="AX9" s="96" t="s">
        <v>27</v>
      </c>
      <c r="AY9" s="97"/>
      <c r="AZ9" s="96" t="s">
        <v>597</v>
      </c>
      <c r="BA9" s="96" t="s">
        <v>598</v>
      </c>
      <c r="BB9" s="96" t="s">
        <v>535</v>
      </c>
      <c r="BC9" s="98" t="s">
        <v>568</v>
      </c>
      <c r="BD9" s="98" t="s">
        <v>280</v>
      </c>
      <c r="BE9" s="96" t="s">
        <v>109</v>
      </c>
      <c r="BF9" s="96" t="s">
        <v>545</v>
      </c>
      <c r="BG9" s="96" t="s">
        <v>113</v>
      </c>
      <c r="BH9" s="96" t="s">
        <v>257</v>
      </c>
      <c r="BI9" s="97"/>
      <c r="BJ9" s="97"/>
      <c r="BK9" s="96" t="s">
        <v>320</v>
      </c>
      <c r="BL9" s="98" t="s">
        <v>280</v>
      </c>
      <c r="BM9" s="127"/>
      <c r="BN9" s="127">
        <v>1</v>
      </c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96" t="s">
        <v>110</v>
      </c>
      <c r="BZ9" s="97">
        <v>8</v>
      </c>
      <c r="CA9" s="96" t="s">
        <v>109</v>
      </c>
      <c r="CB9" s="97"/>
      <c r="CC9" s="96" t="s">
        <v>115</v>
      </c>
      <c r="CD9" s="97"/>
      <c r="CE9" s="97"/>
      <c r="CF9" s="96" t="s">
        <v>112</v>
      </c>
      <c r="CG9" s="96" t="s">
        <v>111</v>
      </c>
      <c r="CH9" s="96" t="s">
        <v>548</v>
      </c>
      <c r="CI9" s="96" t="s">
        <v>549</v>
      </c>
      <c r="CJ9" s="96" t="s">
        <v>528</v>
      </c>
      <c r="CK9" s="96" t="s">
        <v>483</v>
      </c>
      <c r="CL9" s="96" t="s">
        <v>483</v>
      </c>
      <c r="CM9" s="97"/>
      <c r="CN9" s="96" t="s">
        <v>537</v>
      </c>
      <c r="CO9" s="96" t="s">
        <v>538</v>
      </c>
      <c r="CP9" s="97"/>
      <c r="CQ9" s="96" t="s">
        <v>550</v>
      </c>
      <c r="CR9" s="96" t="s">
        <v>551</v>
      </c>
      <c r="CS9" s="96" t="s">
        <v>480</v>
      </c>
      <c r="CT9" s="96" t="s">
        <v>27</v>
      </c>
      <c r="CU9" s="97"/>
      <c r="CV9" s="97"/>
      <c r="CW9" s="98" t="s">
        <v>318</v>
      </c>
      <c r="CX9" s="96" t="s">
        <v>552</v>
      </c>
      <c r="CY9" s="156"/>
    </row>
    <row r="10" spans="1:103" ht="12" customHeight="1" x14ac:dyDescent="0.2">
      <c r="A10" s="116" t="s">
        <v>372</v>
      </c>
      <c r="B10" s="96" t="s">
        <v>269</v>
      </c>
      <c r="C10" s="97">
        <v>1</v>
      </c>
      <c r="D10" s="97">
        <v>1</v>
      </c>
      <c r="E10" s="97"/>
      <c r="F10" s="97">
        <v>0</v>
      </c>
      <c r="G10" s="97">
        <v>0</v>
      </c>
      <c r="H10" s="97">
        <v>0</v>
      </c>
      <c r="I10" s="97">
        <v>1</v>
      </c>
      <c r="J10" s="97">
        <v>2</v>
      </c>
      <c r="K10" s="96" t="s">
        <v>27</v>
      </c>
      <c r="L10" s="96" t="s">
        <v>501</v>
      </c>
      <c r="M10" s="96" t="s">
        <v>333</v>
      </c>
      <c r="N10" s="96" t="s">
        <v>334</v>
      </c>
      <c r="O10" s="96" t="s">
        <v>335</v>
      </c>
      <c r="P10" s="96" t="s">
        <v>115</v>
      </c>
      <c r="Q10" s="96" t="s">
        <v>105</v>
      </c>
      <c r="R10" s="98" t="s">
        <v>318</v>
      </c>
      <c r="S10" s="96" t="s">
        <v>336</v>
      </c>
      <c r="T10" s="96" t="s">
        <v>504</v>
      </c>
      <c r="U10" s="96" t="s">
        <v>336</v>
      </c>
      <c r="V10" s="98" t="s">
        <v>337</v>
      </c>
      <c r="W10" s="96" t="s">
        <v>532</v>
      </c>
      <c r="X10" s="97"/>
      <c r="Y10" s="97"/>
      <c r="Z10" s="97"/>
      <c r="AA10" s="96" t="s">
        <v>373</v>
      </c>
      <c r="AB10" s="96" t="s">
        <v>599</v>
      </c>
      <c r="AC10" s="126">
        <v>5307.43</v>
      </c>
      <c r="AD10" s="126">
        <v>9307.43</v>
      </c>
      <c r="AE10" s="96" t="s">
        <v>106</v>
      </c>
      <c r="AF10" s="97"/>
      <c r="AG10" s="97"/>
      <c r="AH10" s="96" t="s">
        <v>57</v>
      </c>
      <c r="AI10" s="97"/>
      <c r="AJ10" s="97"/>
      <c r="AK10" s="97"/>
      <c r="AL10" s="97"/>
      <c r="AM10" s="96" t="s">
        <v>267</v>
      </c>
      <c r="AN10" s="96" t="s">
        <v>268</v>
      </c>
      <c r="AO10" s="96" t="s">
        <v>600</v>
      </c>
      <c r="AP10" s="96" t="s">
        <v>107</v>
      </c>
      <c r="AQ10" s="97"/>
      <c r="AR10" s="97"/>
      <c r="AS10" s="97"/>
      <c r="AT10" s="97"/>
      <c r="AU10" s="97"/>
      <c r="AV10" s="97"/>
      <c r="AW10" s="97">
        <v>0</v>
      </c>
      <c r="AX10" s="96" t="s">
        <v>27</v>
      </c>
      <c r="AY10" s="97"/>
      <c r="AZ10" s="96" t="s">
        <v>601</v>
      </c>
      <c r="BA10" s="97"/>
      <c r="BB10" s="96" t="s">
        <v>108</v>
      </c>
      <c r="BC10" s="98" t="s">
        <v>302</v>
      </c>
      <c r="BD10" s="98" t="s">
        <v>280</v>
      </c>
      <c r="BE10" s="96" t="s">
        <v>109</v>
      </c>
      <c r="BF10" s="96" t="s">
        <v>602</v>
      </c>
      <c r="BG10" s="96" t="s">
        <v>113</v>
      </c>
      <c r="BH10" s="96" t="s">
        <v>257</v>
      </c>
      <c r="BI10" s="97"/>
      <c r="BJ10" s="97"/>
      <c r="BK10" s="96" t="s">
        <v>320</v>
      </c>
      <c r="BL10" s="98" t="s">
        <v>290</v>
      </c>
      <c r="BM10" s="127"/>
      <c r="BN10" s="127"/>
      <c r="BO10" s="127"/>
      <c r="BP10" s="127">
        <v>1</v>
      </c>
      <c r="BQ10" s="127"/>
      <c r="BR10" s="127"/>
      <c r="BS10" s="127"/>
      <c r="BT10" s="127"/>
      <c r="BU10" s="127"/>
      <c r="BV10" s="127"/>
      <c r="BW10" s="127"/>
      <c r="BX10" s="127"/>
      <c r="BY10" s="96" t="s">
        <v>110</v>
      </c>
      <c r="BZ10" s="97"/>
      <c r="CA10" s="96" t="s">
        <v>109</v>
      </c>
      <c r="CB10" s="97"/>
      <c r="CC10" s="96" t="s">
        <v>115</v>
      </c>
      <c r="CD10" s="97"/>
      <c r="CE10" s="97"/>
      <c r="CF10" s="96" t="s">
        <v>112</v>
      </c>
      <c r="CG10" s="96" t="s">
        <v>111</v>
      </c>
      <c r="CH10" s="97"/>
      <c r="CI10" s="96" t="s">
        <v>603</v>
      </c>
      <c r="CJ10" s="96" t="s">
        <v>513</v>
      </c>
      <c r="CK10" s="96" t="s">
        <v>375</v>
      </c>
      <c r="CL10" s="96" t="s">
        <v>514</v>
      </c>
      <c r="CM10" s="97"/>
      <c r="CN10" s="96" t="s">
        <v>537</v>
      </c>
      <c r="CO10" s="96" t="s">
        <v>538</v>
      </c>
      <c r="CP10" s="97"/>
      <c r="CQ10" s="96" t="s">
        <v>604</v>
      </c>
      <c r="CR10" s="96" t="s">
        <v>605</v>
      </c>
      <c r="CS10" s="96" t="s">
        <v>373</v>
      </c>
      <c r="CT10" s="96" t="s">
        <v>27</v>
      </c>
      <c r="CU10" s="97"/>
      <c r="CV10" s="97"/>
      <c r="CW10" s="98" t="s">
        <v>318</v>
      </c>
      <c r="CX10" s="97"/>
      <c r="CY10" s="156"/>
    </row>
    <row r="11" spans="1:103" ht="12" customHeight="1" x14ac:dyDescent="0.2">
      <c r="A11" s="116" t="s">
        <v>379</v>
      </c>
      <c r="B11" s="96" t="s">
        <v>269</v>
      </c>
      <c r="C11" s="97">
        <v>1</v>
      </c>
      <c r="D11" s="97">
        <v>1</v>
      </c>
      <c r="E11" s="97"/>
      <c r="F11" s="97">
        <v>0</v>
      </c>
      <c r="G11" s="97">
        <v>0</v>
      </c>
      <c r="H11" s="97">
        <v>0</v>
      </c>
      <c r="I11" s="97">
        <v>1</v>
      </c>
      <c r="J11" s="97">
        <v>2</v>
      </c>
      <c r="K11" s="96" t="s">
        <v>27</v>
      </c>
      <c r="L11" s="96" t="s">
        <v>501</v>
      </c>
      <c r="M11" s="96" t="s">
        <v>333</v>
      </c>
      <c r="N11" s="96" t="s">
        <v>334</v>
      </c>
      <c r="O11" s="96" t="s">
        <v>335</v>
      </c>
      <c r="P11" s="96" t="s">
        <v>115</v>
      </c>
      <c r="Q11" s="96" t="s">
        <v>105</v>
      </c>
      <c r="R11" s="98" t="s">
        <v>318</v>
      </c>
      <c r="S11" s="96" t="s">
        <v>336</v>
      </c>
      <c r="T11" s="96" t="s">
        <v>504</v>
      </c>
      <c r="U11" s="96" t="s">
        <v>336</v>
      </c>
      <c r="V11" s="98" t="s">
        <v>337</v>
      </c>
      <c r="W11" s="96" t="s">
        <v>532</v>
      </c>
      <c r="X11" s="97"/>
      <c r="Y11" s="97"/>
      <c r="Z11" s="97"/>
      <c r="AA11" s="96" t="s">
        <v>380</v>
      </c>
      <c r="AB11" s="96" t="s">
        <v>606</v>
      </c>
      <c r="AC11" s="126">
        <v>3680</v>
      </c>
      <c r="AD11" s="126">
        <v>7680</v>
      </c>
      <c r="AE11" s="96" t="s">
        <v>106</v>
      </c>
      <c r="AF11" s="97"/>
      <c r="AG11" s="97"/>
      <c r="AH11" s="96" t="s">
        <v>57</v>
      </c>
      <c r="AI11" s="97"/>
      <c r="AJ11" s="97"/>
      <c r="AK11" s="97"/>
      <c r="AL11" s="97"/>
      <c r="AM11" s="96" t="s">
        <v>303</v>
      </c>
      <c r="AN11" s="96" t="s">
        <v>304</v>
      </c>
      <c r="AO11" s="96" t="s">
        <v>607</v>
      </c>
      <c r="AP11" s="96" t="s">
        <v>107</v>
      </c>
      <c r="AQ11" s="97"/>
      <c r="AR11" s="97"/>
      <c r="AS11" s="97"/>
      <c r="AT11" s="97"/>
      <c r="AU11" s="97"/>
      <c r="AV11" s="97"/>
      <c r="AW11" s="97">
        <v>0</v>
      </c>
      <c r="AX11" s="96" t="s">
        <v>27</v>
      </c>
      <c r="AY11" s="97"/>
      <c r="AZ11" s="96" t="s">
        <v>608</v>
      </c>
      <c r="BA11" s="96" t="s">
        <v>609</v>
      </c>
      <c r="BB11" s="96" t="s">
        <v>108</v>
      </c>
      <c r="BC11" s="98" t="s">
        <v>593</v>
      </c>
      <c r="BD11" s="98" t="s">
        <v>318</v>
      </c>
      <c r="BE11" s="96" t="s">
        <v>109</v>
      </c>
      <c r="BF11" s="96" t="s">
        <v>610</v>
      </c>
      <c r="BG11" s="96" t="s">
        <v>113</v>
      </c>
      <c r="BH11" s="96" t="s">
        <v>257</v>
      </c>
      <c r="BI11" s="97"/>
      <c r="BJ11" s="97"/>
      <c r="BK11" s="96" t="s">
        <v>320</v>
      </c>
      <c r="BL11" s="98" t="s">
        <v>377</v>
      </c>
      <c r="BM11" s="127"/>
      <c r="BN11" s="127"/>
      <c r="BO11" s="127"/>
      <c r="BP11" s="127">
        <v>1</v>
      </c>
      <c r="BQ11" s="127"/>
      <c r="BR11" s="127"/>
      <c r="BS11" s="127"/>
      <c r="BT11" s="127"/>
      <c r="BU11" s="127"/>
      <c r="BV11" s="127"/>
      <c r="BW11" s="127"/>
      <c r="BX11" s="127"/>
      <c r="BY11" s="96" t="s">
        <v>110</v>
      </c>
      <c r="BZ11" s="97"/>
      <c r="CA11" s="96" t="s">
        <v>109</v>
      </c>
      <c r="CB11" s="97"/>
      <c r="CC11" s="96" t="s">
        <v>115</v>
      </c>
      <c r="CD11" s="97"/>
      <c r="CE11" s="97"/>
      <c r="CF11" s="96" t="s">
        <v>112</v>
      </c>
      <c r="CG11" s="96" t="s">
        <v>111</v>
      </c>
      <c r="CH11" s="97"/>
      <c r="CI11" s="96" t="s">
        <v>583</v>
      </c>
      <c r="CJ11" s="96" t="s">
        <v>516</v>
      </c>
      <c r="CK11" s="96" t="s">
        <v>382</v>
      </c>
      <c r="CL11" s="96" t="s">
        <v>382</v>
      </c>
      <c r="CM11" s="97"/>
      <c r="CN11" s="96" t="s">
        <v>537</v>
      </c>
      <c r="CO11" s="96" t="s">
        <v>538</v>
      </c>
      <c r="CP11" s="97"/>
      <c r="CQ11" s="96" t="s">
        <v>584</v>
      </c>
      <c r="CR11" s="96" t="s">
        <v>585</v>
      </c>
      <c r="CS11" s="96" t="s">
        <v>380</v>
      </c>
      <c r="CT11" s="96" t="s">
        <v>27</v>
      </c>
      <c r="CU11" s="97"/>
      <c r="CV11" s="97"/>
      <c r="CW11" s="98" t="s">
        <v>563</v>
      </c>
      <c r="CX11" s="97"/>
      <c r="CY11" s="156"/>
    </row>
    <row r="12" spans="1:103" ht="12" customHeight="1" x14ac:dyDescent="0.2">
      <c r="A12" s="116" t="s">
        <v>412</v>
      </c>
      <c r="B12" s="96" t="s">
        <v>307</v>
      </c>
      <c r="C12" s="97">
        <v>2</v>
      </c>
      <c r="D12" s="97">
        <v>2</v>
      </c>
      <c r="E12" s="97"/>
      <c r="F12" s="97">
        <v>0</v>
      </c>
      <c r="G12" s="97">
        <v>0</v>
      </c>
      <c r="H12" s="97">
        <v>0</v>
      </c>
      <c r="I12" s="97">
        <v>2</v>
      </c>
      <c r="J12" s="97">
        <v>4</v>
      </c>
      <c r="K12" s="96" t="s">
        <v>27</v>
      </c>
      <c r="L12" s="96" t="s">
        <v>501</v>
      </c>
      <c r="M12" s="96" t="s">
        <v>333</v>
      </c>
      <c r="N12" s="96" t="s">
        <v>334</v>
      </c>
      <c r="O12" s="96" t="s">
        <v>335</v>
      </c>
      <c r="P12" s="96" t="s">
        <v>115</v>
      </c>
      <c r="Q12" s="96" t="s">
        <v>105</v>
      </c>
      <c r="R12" s="98" t="s">
        <v>318</v>
      </c>
      <c r="S12" s="96" t="s">
        <v>413</v>
      </c>
      <c r="T12" s="96" t="s">
        <v>525</v>
      </c>
      <c r="U12" s="96" t="s">
        <v>413</v>
      </c>
      <c r="V12" s="98" t="s">
        <v>611</v>
      </c>
      <c r="W12" s="96" t="s">
        <v>575</v>
      </c>
      <c r="X12" s="97"/>
      <c r="Y12" s="96" t="s">
        <v>504</v>
      </c>
      <c r="Z12" s="96" t="s">
        <v>336</v>
      </c>
      <c r="AA12" s="96" t="s">
        <v>397</v>
      </c>
      <c r="AB12" s="96" t="s">
        <v>397</v>
      </c>
      <c r="AC12" s="126">
        <v>48160</v>
      </c>
      <c r="AD12" s="126">
        <v>56160</v>
      </c>
      <c r="AE12" s="96" t="s">
        <v>106</v>
      </c>
      <c r="AF12" s="97"/>
      <c r="AG12" s="97"/>
      <c r="AH12" s="96" t="s">
        <v>57</v>
      </c>
      <c r="AI12" s="96" t="s">
        <v>106</v>
      </c>
      <c r="AJ12" s="97"/>
      <c r="AK12" s="97"/>
      <c r="AL12" s="97"/>
      <c r="AM12" s="96" t="s">
        <v>267</v>
      </c>
      <c r="AN12" s="96" t="s">
        <v>268</v>
      </c>
      <c r="AO12" s="96" t="s">
        <v>612</v>
      </c>
      <c r="AP12" s="96" t="s">
        <v>13</v>
      </c>
      <c r="AQ12" s="97"/>
      <c r="AR12" s="97"/>
      <c r="AS12" s="97"/>
      <c r="AT12" s="97"/>
      <c r="AU12" s="97"/>
      <c r="AV12" s="97"/>
      <c r="AW12" s="97">
        <v>0</v>
      </c>
      <c r="AX12" s="96" t="s">
        <v>27</v>
      </c>
      <c r="AY12" s="97"/>
      <c r="AZ12" s="96" t="s">
        <v>613</v>
      </c>
      <c r="BA12" s="97"/>
      <c r="BB12" s="96" t="s">
        <v>108</v>
      </c>
      <c r="BC12" s="98" t="s">
        <v>614</v>
      </c>
      <c r="BD12" s="98" t="s">
        <v>377</v>
      </c>
      <c r="BE12" s="96" t="s">
        <v>109</v>
      </c>
      <c r="BF12" s="96" t="s">
        <v>612</v>
      </c>
      <c r="BG12" s="96" t="s">
        <v>113</v>
      </c>
      <c r="BH12" s="96" t="s">
        <v>257</v>
      </c>
      <c r="BI12" s="97"/>
      <c r="BJ12" s="97"/>
      <c r="BK12" s="96" t="s">
        <v>320</v>
      </c>
      <c r="BL12" s="98" t="s">
        <v>291</v>
      </c>
      <c r="BM12" s="127"/>
      <c r="BN12" s="127"/>
      <c r="BO12" s="127"/>
      <c r="BP12" s="127">
        <v>2</v>
      </c>
      <c r="BQ12" s="127"/>
      <c r="BR12" s="127"/>
      <c r="BS12" s="127"/>
      <c r="BT12" s="127"/>
      <c r="BU12" s="127"/>
      <c r="BV12" s="127"/>
      <c r="BW12" s="127"/>
      <c r="BX12" s="127"/>
      <c r="BY12" s="96" t="s">
        <v>110</v>
      </c>
      <c r="BZ12" s="97">
        <v>6</v>
      </c>
      <c r="CA12" s="96" t="s">
        <v>109</v>
      </c>
      <c r="CB12" s="97"/>
      <c r="CC12" s="96" t="s">
        <v>115</v>
      </c>
      <c r="CD12" s="97"/>
      <c r="CE12" s="97"/>
      <c r="CF12" s="96" t="s">
        <v>112</v>
      </c>
      <c r="CG12" s="96" t="s">
        <v>111</v>
      </c>
      <c r="CH12" s="96" t="s">
        <v>615</v>
      </c>
      <c r="CI12" s="96" t="s">
        <v>616</v>
      </c>
      <c r="CJ12" s="96" t="s">
        <v>521</v>
      </c>
      <c r="CK12" s="96" t="s">
        <v>401</v>
      </c>
      <c r="CL12" s="96" t="s">
        <v>401</v>
      </c>
      <c r="CM12" s="97"/>
      <c r="CN12" s="96" t="s">
        <v>537</v>
      </c>
      <c r="CO12" s="96" t="s">
        <v>538</v>
      </c>
      <c r="CP12" s="97"/>
      <c r="CQ12" s="96" t="s">
        <v>617</v>
      </c>
      <c r="CR12" s="96" t="s">
        <v>618</v>
      </c>
      <c r="CS12" s="96" t="s">
        <v>397</v>
      </c>
      <c r="CT12" s="96" t="s">
        <v>27</v>
      </c>
      <c r="CU12" s="97"/>
      <c r="CV12" s="97"/>
      <c r="CW12" s="98" t="s">
        <v>327</v>
      </c>
      <c r="CX12" s="96" t="s">
        <v>619</v>
      </c>
      <c r="CY12" s="156"/>
    </row>
    <row r="13" spans="1:103" ht="12" customHeight="1" x14ac:dyDescent="0.2">
      <c r="A13" s="116" t="s">
        <v>425</v>
      </c>
      <c r="B13" s="96" t="s">
        <v>307</v>
      </c>
      <c r="C13" s="97">
        <v>2</v>
      </c>
      <c r="D13" s="97">
        <v>2</v>
      </c>
      <c r="E13" s="97"/>
      <c r="F13" s="97">
        <v>0</v>
      </c>
      <c r="G13" s="97">
        <v>0</v>
      </c>
      <c r="H13" s="97">
        <v>0</v>
      </c>
      <c r="I13" s="97">
        <v>2</v>
      </c>
      <c r="J13" s="97">
        <v>4</v>
      </c>
      <c r="K13" s="96" t="s">
        <v>27</v>
      </c>
      <c r="L13" s="96" t="s">
        <v>501</v>
      </c>
      <c r="M13" s="96" t="s">
        <v>333</v>
      </c>
      <c r="N13" s="96" t="s">
        <v>334</v>
      </c>
      <c r="O13" s="96" t="s">
        <v>335</v>
      </c>
      <c r="P13" s="96" t="s">
        <v>115</v>
      </c>
      <c r="Q13" s="96" t="s">
        <v>105</v>
      </c>
      <c r="R13" s="98" t="s">
        <v>318</v>
      </c>
      <c r="S13" s="96" t="s">
        <v>426</v>
      </c>
      <c r="T13" s="96" t="s">
        <v>526</v>
      </c>
      <c r="U13" s="96" t="s">
        <v>426</v>
      </c>
      <c r="V13" s="98" t="s">
        <v>620</v>
      </c>
      <c r="W13" s="96" t="s">
        <v>575</v>
      </c>
      <c r="X13" s="97"/>
      <c r="Y13" s="96" t="s">
        <v>504</v>
      </c>
      <c r="Z13" s="96" t="s">
        <v>336</v>
      </c>
      <c r="AA13" s="96" t="s">
        <v>373</v>
      </c>
      <c r="AB13" s="96" t="s">
        <v>621</v>
      </c>
      <c r="AC13" s="126">
        <v>14825.95</v>
      </c>
      <c r="AD13" s="126">
        <v>22825.95</v>
      </c>
      <c r="AE13" s="96" t="s">
        <v>106</v>
      </c>
      <c r="AF13" s="97"/>
      <c r="AG13" s="97"/>
      <c r="AH13" s="96" t="s">
        <v>57</v>
      </c>
      <c r="AI13" s="97"/>
      <c r="AJ13" s="97"/>
      <c r="AK13" s="97"/>
      <c r="AL13" s="97"/>
      <c r="AM13" s="96" t="s">
        <v>267</v>
      </c>
      <c r="AN13" s="96" t="s">
        <v>268</v>
      </c>
      <c r="AO13" s="96" t="s">
        <v>622</v>
      </c>
      <c r="AP13" s="96" t="s">
        <v>13</v>
      </c>
      <c r="AQ13" s="97"/>
      <c r="AR13" s="97"/>
      <c r="AS13" s="97"/>
      <c r="AT13" s="97"/>
      <c r="AU13" s="97"/>
      <c r="AV13" s="97"/>
      <c r="AW13" s="97">
        <v>0</v>
      </c>
      <c r="AX13" s="96" t="s">
        <v>27</v>
      </c>
      <c r="AY13" s="97"/>
      <c r="AZ13" s="96" t="s">
        <v>623</v>
      </c>
      <c r="BA13" s="97"/>
      <c r="BB13" s="96" t="s">
        <v>108</v>
      </c>
      <c r="BC13" s="98" t="s">
        <v>308</v>
      </c>
      <c r="BD13" s="98" t="s">
        <v>280</v>
      </c>
      <c r="BE13" s="96" t="s">
        <v>109</v>
      </c>
      <c r="BF13" s="96" t="s">
        <v>622</v>
      </c>
      <c r="BG13" s="96" t="s">
        <v>113</v>
      </c>
      <c r="BH13" s="96" t="s">
        <v>257</v>
      </c>
      <c r="BI13" s="97"/>
      <c r="BJ13" s="97"/>
      <c r="BK13" s="96" t="s">
        <v>320</v>
      </c>
      <c r="BL13" s="98" t="s">
        <v>291</v>
      </c>
      <c r="BM13" s="127"/>
      <c r="BN13" s="127"/>
      <c r="BO13" s="127"/>
      <c r="BP13" s="127">
        <v>2</v>
      </c>
      <c r="BQ13" s="127"/>
      <c r="BR13" s="127"/>
      <c r="BS13" s="127"/>
      <c r="BT13" s="127"/>
      <c r="BU13" s="127"/>
      <c r="BV13" s="127"/>
      <c r="BW13" s="127"/>
      <c r="BX13" s="127"/>
      <c r="BY13" s="96" t="s">
        <v>110</v>
      </c>
      <c r="BZ13" s="97">
        <v>15</v>
      </c>
      <c r="CA13" s="96" t="s">
        <v>109</v>
      </c>
      <c r="CB13" s="97"/>
      <c r="CC13" s="96" t="s">
        <v>115</v>
      </c>
      <c r="CD13" s="97"/>
      <c r="CE13" s="97"/>
      <c r="CF13" s="96" t="s">
        <v>112</v>
      </c>
      <c r="CG13" s="96" t="s">
        <v>111</v>
      </c>
      <c r="CH13" s="96" t="s">
        <v>624</v>
      </c>
      <c r="CI13" s="96" t="s">
        <v>625</v>
      </c>
      <c r="CJ13" s="96" t="s">
        <v>513</v>
      </c>
      <c r="CK13" s="96" t="s">
        <v>427</v>
      </c>
      <c r="CL13" s="96" t="s">
        <v>427</v>
      </c>
      <c r="CM13" s="97"/>
      <c r="CN13" s="96" t="s">
        <v>537</v>
      </c>
      <c r="CO13" s="96" t="s">
        <v>538</v>
      </c>
      <c r="CP13" s="97"/>
      <c r="CQ13" s="96" t="s">
        <v>604</v>
      </c>
      <c r="CR13" s="96" t="s">
        <v>605</v>
      </c>
      <c r="CS13" s="96" t="s">
        <v>373</v>
      </c>
      <c r="CT13" s="96" t="s">
        <v>27</v>
      </c>
      <c r="CU13" s="97"/>
      <c r="CV13" s="97"/>
      <c r="CW13" s="98" t="s">
        <v>318</v>
      </c>
      <c r="CX13" s="96" t="s">
        <v>626</v>
      </c>
      <c r="CY13" s="156"/>
    </row>
    <row r="14" spans="1:103" ht="12" customHeight="1" x14ac:dyDescent="0.2">
      <c r="A14" s="116" t="s">
        <v>386</v>
      </c>
      <c r="B14" s="96" t="s">
        <v>627</v>
      </c>
      <c r="C14" s="97">
        <v>31</v>
      </c>
      <c r="D14" s="97">
        <v>31</v>
      </c>
      <c r="E14" s="97"/>
      <c r="F14" s="97">
        <v>0</v>
      </c>
      <c r="G14" s="97">
        <v>0</v>
      </c>
      <c r="H14" s="97">
        <v>0</v>
      </c>
      <c r="I14" s="97">
        <v>31</v>
      </c>
      <c r="J14" s="97">
        <v>62</v>
      </c>
      <c r="K14" s="96" t="s">
        <v>27</v>
      </c>
      <c r="L14" s="96" t="s">
        <v>501</v>
      </c>
      <c r="M14" s="96" t="s">
        <v>333</v>
      </c>
      <c r="N14" s="96" t="s">
        <v>334</v>
      </c>
      <c r="O14" s="96" t="s">
        <v>335</v>
      </c>
      <c r="P14" s="96" t="s">
        <v>115</v>
      </c>
      <c r="Q14" s="96" t="s">
        <v>105</v>
      </c>
      <c r="R14" s="98" t="s">
        <v>318</v>
      </c>
      <c r="S14" s="96" t="s">
        <v>354</v>
      </c>
      <c r="T14" s="96" t="s">
        <v>510</v>
      </c>
      <c r="U14" s="96" t="s">
        <v>354</v>
      </c>
      <c r="V14" s="98" t="s">
        <v>355</v>
      </c>
      <c r="W14" s="96" t="s">
        <v>105</v>
      </c>
      <c r="X14" s="97"/>
      <c r="Y14" s="97"/>
      <c r="Z14" s="97"/>
      <c r="AA14" s="96" t="s">
        <v>387</v>
      </c>
      <c r="AB14" s="96" t="s">
        <v>387</v>
      </c>
      <c r="AC14" s="126">
        <v>857058</v>
      </c>
      <c r="AD14" s="126">
        <v>981058</v>
      </c>
      <c r="AE14" s="96" t="s">
        <v>106</v>
      </c>
      <c r="AF14" s="97"/>
      <c r="AG14" s="97"/>
      <c r="AH14" s="96" t="s">
        <v>57</v>
      </c>
      <c r="AI14" s="96" t="s">
        <v>106</v>
      </c>
      <c r="AJ14" s="97"/>
      <c r="AK14" s="97"/>
      <c r="AL14" s="97"/>
      <c r="AM14" s="96" t="s">
        <v>305</v>
      </c>
      <c r="AN14" s="96" t="s">
        <v>306</v>
      </c>
      <c r="AO14" s="96" t="s">
        <v>628</v>
      </c>
      <c r="AP14" s="96" t="s">
        <v>107</v>
      </c>
      <c r="AQ14" s="97"/>
      <c r="AR14" s="97"/>
      <c r="AS14" s="97"/>
      <c r="AT14" s="97"/>
      <c r="AU14" s="97"/>
      <c r="AV14" s="97"/>
      <c r="AW14" s="97">
        <v>0</v>
      </c>
      <c r="AX14" s="96" t="s">
        <v>27</v>
      </c>
      <c r="AY14" s="97"/>
      <c r="AZ14" s="96" t="s">
        <v>629</v>
      </c>
      <c r="BA14" s="96" t="s">
        <v>630</v>
      </c>
      <c r="BB14" s="96" t="s">
        <v>108</v>
      </c>
      <c r="BC14" s="98" t="s">
        <v>631</v>
      </c>
      <c r="BD14" s="98" t="s">
        <v>280</v>
      </c>
      <c r="BE14" s="96" t="s">
        <v>109</v>
      </c>
      <c r="BF14" s="96" t="s">
        <v>632</v>
      </c>
      <c r="BG14" s="96" t="s">
        <v>113</v>
      </c>
      <c r="BH14" s="96" t="s">
        <v>257</v>
      </c>
      <c r="BI14" s="97"/>
      <c r="BJ14" s="97"/>
      <c r="BK14" s="96" t="s">
        <v>320</v>
      </c>
      <c r="BL14" s="98" t="s">
        <v>288</v>
      </c>
      <c r="BM14" s="127"/>
      <c r="BN14" s="127"/>
      <c r="BO14" s="127"/>
      <c r="BP14" s="127">
        <v>31</v>
      </c>
      <c r="BQ14" s="127"/>
      <c r="BR14" s="127"/>
      <c r="BS14" s="127"/>
      <c r="BT14" s="127"/>
      <c r="BU14" s="127"/>
      <c r="BV14" s="127"/>
      <c r="BW14" s="127"/>
      <c r="BX14" s="127"/>
      <c r="BY14" s="96" t="s">
        <v>110</v>
      </c>
      <c r="BZ14" s="97"/>
      <c r="CA14" s="97"/>
      <c r="CB14" s="97"/>
      <c r="CC14" s="96" t="s">
        <v>115</v>
      </c>
      <c r="CD14" s="97"/>
      <c r="CE14" s="97"/>
      <c r="CF14" s="96" t="s">
        <v>112</v>
      </c>
      <c r="CG14" s="96" t="s">
        <v>111</v>
      </c>
      <c r="CH14" s="97"/>
      <c r="CI14" s="96" t="s">
        <v>633</v>
      </c>
      <c r="CJ14" s="96" t="s">
        <v>387</v>
      </c>
      <c r="CK14" s="96" t="s">
        <v>389</v>
      </c>
      <c r="CL14" s="96" t="s">
        <v>389</v>
      </c>
      <c r="CM14" s="97"/>
      <c r="CN14" s="96" t="s">
        <v>537</v>
      </c>
      <c r="CO14" s="96" t="s">
        <v>538</v>
      </c>
      <c r="CP14" s="97"/>
      <c r="CQ14" s="96" t="s">
        <v>634</v>
      </c>
      <c r="CR14" s="96" t="s">
        <v>635</v>
      </c>
      <c r="CS14" s="96" t="s">
        <v>387</v>
      </c>
      <c r="CT14" s="96" t="s">
        <v>27</v>
      </c>
      <c r="CU14" s="97"/>
      <c r="CV14" s="97"/>
      <c r="CW14" s="98" t="s">
        <v>318</v>
      </c>
      <c r="CX14" s="96" t="s">
        <v>636</v>
      </c>
      <c r="CY14" s="156"/>
    </row>
    <row r="15" spans="1:103" ht="12" customHeight="1" x14ac:dyDescent="0.2">
      <c r="A15" s="116" t="s">
        <v>396</v>
      </c>
      <c r="B15" s="96" t="s">
        <v>637</v>
      </c>
      <c r="C15" s="97">
        <v>4</v>
      </c>
      <c r="D15" s="97">
        <v>4</v>
      </c>
      <c r="E15" s="97"/>
      <c r="F15" s="97">
        <v>0</v>
      </c>
      <c r="G15" s="97">
        <v>0</v>
      </c>
      <c r="H15" s="97">
        <v>0</v>
      </c>
      <c r="I15" s="97">
        <v>4</v>
      </c>
      <c r="J15" s="97">
        <v>8</v>
      </c>
      <c r="K15" s="96" t="s">
        <v>27</v>
      </c>
      <c r="L15" s="96" t="s">
        <v>501</v>
      </c>
      <c r="M15" s="96" t="s">
        <v>333</v>
      </c>
      <c r="N15" s="96" t="s">
        <v>334</v>
      </c>
      <c r="O15" s="96" t="s">
        <v>335</v>
      </c>
      <c r="P15" s="96" t="s">
        <v>115</v>
      </c>
      <c r="Q15" s="96" t="s">
        <v>105</v>
      </c>
      <c r="R15" s="98" t="s">
        <v>318</v>
      </c>
      <c r="S15" s="96" t="s">
        <v>399</v>
      </c>
      <c r="T15" s="96" t="s">
        <v>522</v>
      </c>
      <c r="U15" s="96" t="s">
        <v>399</v>
      </c>
      <c r="V15" s="98" t="s">
        <v>638</v>
      </c>
      <c r="W15" s="96" t="s">
        <v>575</v>
      </c>
      <c r="X15" s="97"/>
      <c r="Y15" s="96" t="s">
        <v>504</v>
      </c>
      <c r="Z15" s="96" t="s">
        <v>336</v>
      </c>
      <c r="AA15" s="96" t="s">
        <v>397</v>
      </c>
      <c r="AB15" s="96" t="s">
        <v>397</v>
      </c>
      <c r="AC15" s="126">
        <v>96320</v>
      </c>
      <c r="AD15" s="126">
        <v>112320</v>
      </c>
      <c r="AE15" s="96" t="s">
        <v>106</v>
      </c>
      <c r="AF15" s="97"/>
      <c r="AG15" s="97"/>
      <c r="AH15" s="96" t="s">
        <v>57</v>
      </c>
      <c r="AI15" s="96" t="s">
        <v>106</v>
      </c>
      <c r="AJ15" s="97"/>
      <c r="AK15" s="97"/>
      <c r="AL15" s="97"/>
      <c r="AM15" s="96" t="s">
        <v>267</v>
      </c>
      <c r="AN15" s="96" t="s">
        <v>268</v>
      </c>
      <c r="AO15" s="96" t="s">
        <v>612</v>
      </c>
      <c r="AP15" s="96" t="s">
        <v>13</v>
      </c>
      <c r="AQ15" s="97"/>
      <c r="AR15" s="97"/>
      <c r="AS15" s="97"/>
      <c r="AT15" s="97"/>
      <c r="AU15" s="97"/>
      <c r="AV15" s="97"/>
      <c r="AW15" s="97">
        <v>0</v>
      </c>
      <c r="AX15" s="96" t="s">
        <v>27</v>
      </c>
      <c r="AY15" s="97"/>
      <c r="AZ15" s="96" t="s">
        <v>613</v>
      </c>
      <c r="BA15" s="96" t="s">
        <v>639</v>
      </c>
      <c r="BB15" s="96" t="s">
        <v>108</v>
      </c>
      <c r="BC15" s="98" t="s">
        <v>614</v>
      </c>
      <c r="BD15" s="98" t="s">
        <v>377</v>
      </c>
      <c r="BE15" s="96" t="s">
        <v>109</v>
      </c>
      <c r="BF15" s="96" t="s">
        <v>612</v>
      </c>
      <c r="BG15" s="96" t="s">
        <v>113</v>
      </c>
      <c r="BH15" s="96" t="s">
        <v>257</v>
      </c>
      <c r="BI15" s="97"/>
      <c r="BJ15" s="97"/>
      <c r="BK15" s="96" t="s">
        <v>320</v>
      </c>
      <c r="BL15" s="98" t="s">
        <v>291</v>
      </c>
      <c r="BM15" s="127"/>
      <c r="BN15" s="127"/>
      <c r="BO15" s="127"/>
      <c r="BP15" s="127">
        <v>4</v>
      </c>
      <c r="BQ15" s="127"/>
      <c r="BR15" s="127"/>
      <c r="BS15" s="127"/>
      <c r="BT15" s="127"/>
      <c r="BU15" s="127"/>
      <c r="BV15" s="127"/>
      <c r="BW15" s="127"/>
      <c r="BX15" s="127"/>
      <c r="BY15" s="96" t="s">
        <v>110</v>
      </c>
      <c r="BZ15" s="97">
        <v>10</v>
      </c>
      <c r="CA15" s="96" t="s">
        <v>109</v>
      </c>
      <c r="CB15" s="97"/>
      <c r="CC15" s="96" t="s">
        <v>115</v>
      </c>
      <c r="CD15" s="97"/>
      <c r="CE15" s="97"/>
      <c r="CF15" s="96" t="s">
        <v>112</v>
      </c>
      <c r="CG15" s="96" t="s">
        <v>111</v>
      </c>
      <c r="CH15" s="96" t="s">
        <v>640</v>
      </c>
      <c r="CI15" s="96" t="s">
        <v>641</v>
      </c>
      <c r="CJ15" s="96" t="s">
        <v>521</v>
      </c>
      <c r="CK15" s="96" t="s">
        <v>401</v>
      </c>
      <c r="CL15" s="96" t="s">
        <v>401</v>
      </c>
      <c r="CM15" s="97"/>
      <c r="CN15" s="96" t="s">
        <v>537</v>
      </c>
      <c r="CO15" s="96" t="s">
        <v>538</v>
      </c>
      <c r="CP15" s="97"/>
      <c r="CQ15" s="96" t="s">
        <v>617</v>
      </c>
      <c r="CR15" s="96" t="s">
        <v>618</v>
      </c>
      <c r="CS15" s="96" t="s">
        <v>397</v>
      </c>
      <c r="CT15" s="96" t="s">
        <v>27</v>
      </c>
      <c r="CU15" s="97"/>
      <c r="CV15" s="97"/>
      <c r="CW15" s="98" t="s">
        <v>327</v>
      </c>
      <c r="CX15" s="96" t="s">
        <v>619</v>
      </c>
      <c r="CY15" s="156"/>
    </row>
    <row r="16" spans="1:103" ht="12" customHeight="1" x14ac:dyDescent="0.2">
      <c r="A16" s="116" t="s">
        <v>329</v>
      </c>
      <c r="B16" s="96" t="s">
        <v>309</v>
      </c>
      <c r="C16" s="97">
        <v>1</v>
      </c>
      <c r="D16" s="97">
        <v>1</v>
      </c>
      <c r="E16" s="97"/>
      <c r="F16" s="97">
        <v>0</v>
      </c>
      <c r="G16" s="97">
        <v>0</v>
      </c>
      <c r="H16" s="97">
        <v>0</v>
      </c>
      <c r="I16" s="97">
        <v>1</v>
      </c>
      <c r="J16" s="97">
        <v>2</v>
      </c>
      <c r="K16" s="96" t="s">
        <v>27</v>
      </c>
      <c r="L16" s="96" t="s">
        <v>501</v>
      </c>
      <c r="M16" s="96" t="s">
        <v>333</v>
      </c>
      <c r="N16" s="96" t="s">
        <v>334</v>
      </c>
      <c r="O16" s="96" t="s">
        <v>335</v>
      </c>
      <c r="P16" s="96" t="s">
        <v>115</v>
      </c>
      <c r="Q16" s="96" t="s">
        <v>105</v>
      </c>
      <c r="R16" s="98" t="s">
        <v>318</v>
      </c>
      <c r="S16" s="96" t="s">
        <v>336</v>
      </c>
      <c r="T16" s="96" t="s">
        <v>504</v>
      </c>
      <c r="U16" s="96" t="s">
        <v>336</v>
      </c>
      <c r="V16" s="98" t="s">
        <v>337</v>
      </c>
      <c r="W16" s="96" t="s">
        <v>532</v>
      </c>
      <c r="X16" s="97"/>
      <c r="Y16" s="97"/>
      <c r="Z16" s="97"/>
      <c r="AA16" s="96" t="s">
        <v>330</v>
      </c>
      <c r="AB16" s="96" t="s">
        <v>642</v>
      </c>
      <c r="AC16" s="126">
        <v>21189</v>
      </c>
      <c r="AD16" s="126">
        <v>25189</v>
      </c>
      <c r="AE16" s="96" t="s">
        <v>106</v>
      </c>
      <c r="AF16" s="97"/>
      <c r="AG16" s="97"/>
      <c r="AH16" s="96" t="s">
        <v>57</v>
      </c>
      <c r="AI16" s="97"/>
      <c r="AJ16" s="97"/>
      <c r="AK16" s="97"/>
      <c r="AL16" s="97"/>
      <c r="AM16" s="96" t="s">
        <v>643</v>
      </c>
      <c r="AN16" s="96" t="s">
        <v>644</v>
      </c>
      <c r="AO16" s="96" t="s">
        <v>645</v>
      </c>
      <c r="AP16" s="96" t="s">
        <v>107</v>
      </c>
      <c r="AQ16" s="97"/>
      <c r="AR16" s="97"/>
      <c r="AS16" s="96" t="s">
        <v>646</v>
      </c>
      <c r="AT16" s="96" t="s">
        <v>310</v>
      </c>
      <c r="AU16" s="97"/>
      <c r="AV16" s="97"/>
      <c r="AW16" s="97">
        <v>0</v>
      </c>
      <c r="AX16" s="96" t="s">
        <v>27</v>
      </c>
      <c r="AY16" s="97"/>
      <c r="AZ16" s="96" t="s">
        <v>647</v>
      </c>
      <c r="BA16" s="96" t="s">
        <v>648</v>
      </c>
      <c r="BB16" s="96" t="s">
        <v>108</v>
      </c>
      <c r="BC16" s="98" t="s">
        <v>593</v>
      </c>
      <c r="BD16" s="98" t="s">
        <v>377</v>
      </c>
      <c r="BE16" s="96" t="s">
        <v>109</v>
      </c>
      <c r="BF16" s="96" t="s">
        <v>649</v>
      </c>
      <c r="BG16" s="96" t="s">
        <v>113</v>
      </c>
      <c r="BH16" s="96" t="s">
        <v>257</v>
      </c>
      <c r="BI16" s="97"/>
      <c r="BJ16" s="97"/>
      <c r="BK16" s="96" t="s">
        <v>320</v>
      </c>
      <c r="BL16" s="98" t="s">
        <v>316</v>
      </c>
      <c r="BM16" s="127"/>
      <c r="BN16" s="127"/>
      <c r="BO16" s="127"/>
      <c r="BP16" s="127"/>
      <c r="BQ16" s="127"/>
      <c r="BR16" s="127">
        <v>1</v>
      </c>
      <c r="BS16" s="127"/>
      <c r="BT16" s="127"/>
      <c r="BU16" s="127"/>
      <c r="BV16" s="127"/>
      <c r="BW16" s="127"/>
      <c r="BX16" s="127"/>
      <c r="BY16" s="96" t="s">
        <v>110</v>
      </c>
      <c r="BZ16" s="97"/>
      <c r="CA16" s="96" t="s">
        <v>109</v>
      </c>
      <c r="CB16" s="97"/>
      <c r="CC16" s="96" t="s">
        <v>115</v>
      </c>
      <c r="CD16" s="97"/>
      <c r="CE16" s="96" t="s">
        <v>650</v>
      </c>
      <c r="CF16" s="96" t="s">
        <v>112</v>
      </c>
      <c r="CG16" s="96" t="s">
        <v>111</v>
      </c>
      <c r="CH16" s="97"/>
      <c r="CI16" s="96" t="s">
        <v>651</v>
      </c>
      <c r="CJ16" s="96" t="s">
        <v>503</v>
      </c>
      <c r="CK16" s="96" t="s">
        <v>339</v>
      </c>
      <c r="CL16" s="96" t="s">
        <v>339</v>
      </c>
      <c r="CM16" s="97"/>
      <c r="CN16" s="96" t="s">
        <v>537</v>
      </c>
      <c r="CO16" s="96" t="s">
        <v>538</v>
      </c>
      <c r="CP16" s="96" t="s">
        <v>652</v>
      </c>
      <c r="CQ16" s="96" t="s">
        <v>653</v>
      </c>
      <c r="CR16" s="96" t="s">
        <v>654</v>
      </c>
      <c r="CS16" s="96" t="s">
        <v>330</v>
      </c>
      <c r="CT16" s="96" t="s">
        <v>27</v>
      </c>
      <c r="CU16" s="97"/>
      <c r="CV16" s="97"/>
      <c r="CW16" s="98" t="s">
        <v>563</v>
      </c>
      <c r="CX16" s="97"/>
      <c r="CY16" s="156"/>
    </row>
    <row r="17" spans="1:103" ht="12" customHeight="1" x14ac:dyDescent="0.2">
      <c r="A17" s="134" t="s">
        <v>311</v>
      </c>
      <c r="B17" s="135" t="s">
        <v>315</v>
      </c>
      <c r="C17" s="136"/>
      <c r="D17" s="136"/>
      <c r="E17" s="136"/>
      <c r="F17" s="137">
        <v>0</v>
      </c>
      <c r="G17" s="137">
        <v>8</v>
      </c>
      <c r="H17" s="137">
        <v>0</v>
      </c>
      <c r="I17" s="137">
        <v>42</v>
      </c>
      <c r="J17" s="137">
        <v>92</v>
      </c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2">
        <v>1139257.43</v>
      </c>
      <c r="AD17" s="132">
        <v>1324857.43</v>
      </c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7">
        <v>0</v>
      </c>
      <c r="BN17" s="137">
        <v>8</v>
      </c>
      <c r="BO17" s="137">
        <v>0</v>
      </c>
      <c r="BP17" s="137">
        <v>41</v>
      </c>
      <c r="BQ17" s="137">
        <v>0</v>
      </c>
      <c r="BR17" s="137">
        <v>1</v>
      </c>
      <c r="BS17" s="137">
        <v>0</v>
      </c>
      <c r="BT17" s="137">
        <v>0</v>
      </c>
      <c r="BU17" s="137">
        <v>0</v>
      </c>
      <c r="BV17" s="137">
        <v>0</v>
      </c>
      <c r="BW17" s="137">
        <v>0</v>
      </c>
      <c r="BX17" s="137">
        <v>0</v>
      </c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57"/>
    </row>
    <row r="18" spans="1:103" ht="12" customHeight="1" x14ac:dyDescent="0.2">
      <c r="A18" s="140" t="s">
        <v>313</v>
      </c>
      <c r="B18" s="141" t="s">
        <v>312</v>
      </c>
      <c r="C18" s="142"/>
      <c r="D18" s="142"/>
      <c r="E18" s="142"/>
      <c r="F18" s="137">
        <v>0</v>
      </c>
      <c r="G18" s="137">
        <v>8</v>
      </c>
      <c r="H18" s="137">
        <v>0</v>
      </c>
      <c r="I18" s="137">
        <v>42</v>
      </c>
      <c r="J18" s="137">
        <v>92</v>
      </c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4"/>
      <c r="AD18" s="144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58"/>
    </row>
    <row r="19" spans="1:103" ht="12" customHeight="1" x14ac:dyDescent="0.2">
      <c r="A19" s="146" t="s">
        <v>314</v>
      </c>
      <c r="B19" s="147" t="s">
        <v>315</v>
      </c>
      <c r="C19" s="142"/>
      <c r="D19" s="142"/>
      <c r="E19" s="142"/>
      <c r="F19" s="137">
        <v>0</v>
      </c>
      <c r="G19" s="137">
        <v>0</v>
      </c>
      <c r="H19" s="137">
        <v>0</v>
      </c>
      <c r="I19" s="137">
        <v>0</v>
      </c>
      <c r="J19" s="137">
        <v>0</v>
      </c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4"/>
      <c r="AD19" s="144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58"/>
    </row>
    <row r="20" spans="1:103" ht="12" customHeight="1" x14ac:dyDescent="0.2">
      <c r="A20" s="148" t="s">
        <v>655</v>
      </c>
      <c r="B20" s="149" t="s">
        <v>656</v>
      </c>
      <c r="C20" s="150"/>
      <c r="D20" s="150"/>
      <c r="E20" s="150"/>
      <c r="F20" s="144"/>
      <c r="G20" s="144"/>
      <c r="H20" s="144"/>
      <c r="I20" s="144"/>
      <c r="J20" s="144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44"/>
      <c r="AD20" s="144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9"/>
    </row>
    <row r="21" spans="1:103" ht="12" customHeight="1" x14ac:dyDescent="0.2"/>
    <row r="22" spans="1:103" ht="12" customHeight="1" x14ac:dyDescent="0.2"/>
    <row r="23" spans="1:103" ht="12" customHeight="1" x14ac:dyDescent="0.2"/>
    <row r="24" spans="1:103" ht="12" customHeight="1" x14ac:dyDescent="0.2"/>
    <row r="25" spans="1:103" ht="12" customHeight="1" x14ac:dyDescent="0.2"/>
    <row r="26" spans="1:103" ht="12" customHeight="1" x14ac:dyDescent="0.2"/>
    <row r="27" spans="1:103" ht="12" customHeight="1" x14ac:dyDescent="0.2"/>
    <row r="28" spans="1:103" ht="12" customHeight="1" x14ac:dyDescent="0.2"/>
    <row r="29" spans="1:103" ht="12" customHeight="1" x14ac:dyDescent="0.2"/>
    <row r="30" spans="1:103" ht="12" customHeight="1" x14ac:dyDescent="0.2"/>
    <row r="31" spans="1:103" ht="12" customHeight="1" x14ac:dyDescent="0.2"/>
    <row r="32" spans="1:103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20" priority="1"/>
  </conditionalFormatting>
  <conditionalFormatting sqref="A1:D1 F1:IY1">
    <cfRule type="duplicateValues" dxfId="19" priority="3" stopIfTrue="1"/>
  </conditionalFormatting>
  <conditionalFormatting sqref="E1">
    <cfRule type="duplicateValues" dxfId="18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87"/>
  <sheetViews>
    <sheetView topLeftCell="A20" workbookViewId="0">
      <selection sqref="A1:XFD1048576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spans="1:37" ht="12" customHeight="1" x14ac:dyDescent="0.2">
      <c r="A1" s="129" t="s">
        <v>157</v>
      </c>
      <c r="B1" s="129" t="s">
        <v>9</v>
      </c>
      <c r="C1" s="129" t="s">
        <v>158</v>
      </c>
      <c r="D1" s="129" t="s">
        <v>159</v>
      </c>
      <c r="E1" s="129" t="s">
        <v>160</v>
      </c>
      <c r="F1" s="129" t="s">
        <v>164</v>
      </c>
      <c r="G1" s="129" t="s">
        <v>18</v>
      </c>
      <c r="H1" s="129" t="s">
        <v>161</v>
      </c>
      <c r="I1" s="129" t="s">
        <v>16</v>
      </c>
      <c r="J1" s="129" t="s">
        <v>173</v>
      </c>
      <c r="K1" s="129" t="s">
        <v>162</v>
      </c>
      <c r="L1" s="129" t="s">
        <v>7</v>
      </c>
      <c r="M1" s="129" t="s">
        <v>163</v>
      </c>
      <c r="N1" s="129" t="s">
        <v>165</v>
      </c>
      <c r="O1" s="129" t="s">
        <v>251</v>
      </c>
      <c r="P1" s="129" t="s">
        <v>252</v>
      </c>
      <c r="Q1" s="129" t="s">
        <v>253</v>
      </c>
      <c r="R1" s="129" t="s">
        <v>2</v>
      </c>
      <c r="S1" s="129" t="s">
        <v>3</v>
      </c>
      <c r="T1" s="129" t="s">
        <v>227</v>
      </c>
      <c r="U1" s="129" t="s">
        <v>42</v>
      </c>
      <c r="V1" s="129" t="s">
        <v>254</v>
      </c>
      <c r="W1" s="129" t="s">
        <v>44</v>
      </c>
      <c r="X1" s="129" t="s">
        <v>255</v>
      </c>
      <c r="Y1" s="129" t="s">
        <v>38</v>
      </c>
      <c r="Z1" s="129" t="s">
        <v>166</v>
      </c>
      <c r="AA1" s="129" t="s">
        <v>167</v>
      </c>
      <c r="AB1" s="129" t="s">
        <v>168</v>
      </c>
      <c r="AC1" s="129" t="s">
        <v>169</v>
      </c>
      <c r="AD1" s="129" t="s">
        <v>170</v>
      </c>
      <c r="AE1" s="129" t="s">
        <v>171</v>
      </c>
      <c r="AF1" s="129" t="s">
        <v>172</v>
      </c>
      <c r="AG1" s="129" t="s">
        <v>174</v>
      </c>
      <c r="AH1" s="129" t="s">
        <v>175</v>
      </c>
      <c r="AI1" s="129" t="s">
        <v>177</v>
      </c>
      <c r="AJ1" s="129" t="s">
        <v>178</v>
      </c>
      <c r="AK1" s="129" t="s">
        <v>176</v>
      </c>
    </row>
    <row r="2" spans="1:37" ht="12" customHeight="1" x14ac:dyDescent="0.2">
      <c r="A2" s="108" t="s">
        <v>325</v>
      </c>
      <c r="B2" s="108" t="s">
        <v>115</v>
      </c>
      <c r="C2" s="108" t="s">
        <v>326</v>
      </c>
      <c r="D2" s="109" t="s">
        <v>327</v>
      </c>
      <c r="E2" s="110" t="s">
        <v>328</v>
      </c>
      <c r="F2" s="96" t="s">
        <v>329</v>
      </c>
      <c r="G2" s="96" t="s">
        <v>330</v>
      </c>
      <c r="H2" s="111" t="s">
        <v>28</v>
      </c>
      <c r="I2" s="96" t="s">
        <v>261</v>
      </c>
      <c r="J2" s="96" t="s">
        <v>247</v>
      </c>
      <c r="K2" s="96"/>
      <c r="L2" s="111" t="s">
        <v>144</v>
      </c>
      <c r="M2" s="96" t="s">
        <v>329</v>
      </c>
      <c r="N2" s="96" t="s">
        <v>285</v>
      </c>
      <c r="O2" s="111" t="s">
        <v>331</v>
      </c>
      <c r="P2" s="111" t="s">
        <v>286</v>
      </c>
      <c r="Q2" s="111" t="s">
        <v>332</v>
      </c>
      <c r="R2" s="96" t="s">
        <v>333</v>
      </c>
      <c r="S2" s="96" t="s">
        <v>334</v>
      </c>
      <c r="T2" s="96" t="s">
        <v>115</v>
      </c>
      <c r="U2" s="96" t="s">
        <v>335</v>
      </c>
      <c r="V2" s="98" t="s">
        <v>318</v>
      </c>
      <c r="W2" s="96" t="s">
        <v>336</v>
      </c>
      <c r="X2" s="98" t="s">
        <v>337</v>
      </c>
      <c r="Y2" s="97"/>
      <c r="Z2" s="97"/>
      <c r="AA2" s="97"/>
      <c r="AB2" s="97"/>
      <c r="AC2" s="97"/>
      <c r="AD2" s="98" t="s">
        <v>327</v>
      </c>
      <c r="AE2" s="113" t="s">
        <v>338</v>
      </c>
      <c r="AF2" s="96" t="s">
        <v>247</v>
      </c>
      <c r="AG2" s="97"/>
      <c r="AH2" s="97"/>
      <c r="AI2" s="97"/>
      <c r="AJ2" s="96" t="s">
        <v>339</v>
      </c>
      <c r="AK2" s="130"/>
    </row>
    <row r="3" spans="1:37" ht="12" customHeight="1" x14ac:dyDescent="0.2">
      <c r="A3" s="108" t="s">
        <v>340</v>
      </c>
      <c r="B3" s="108" t="s">
        <v>115</v>
      </c>
      <c r="C3" s="108" t="s">
        <v>326</v>
      </c>
      <c r="D3" s="109" t="s">
        <v>282</v>
      </c>
      <c r="E3" s="110" t="s">
        <v>341</v>
      </c>
      <c r="F3" s="96" t="s">
        <v>342</v>
      </c>
      <c r="G3" s="96" t="s">
        <v>343</v>
      </c>
      <c r="H3" s="111" t="s">
        <v>21</v>
      </c>
      <c r="I3" s="96" t="s">
        <v>261</v>
      </c>
      <c r="J3" s="96" t="s">
        <v>247</v>
      </c>
      <c r="K3" s="96"/>
      <c r="L3" s="111" t="s">
        <v>144</v>
      </c>
      <c r="M3" s="96" t="s">
        <v>342</v>
      </c>
      <c r="N3" s="96" t="s">
        <v>287</v>
      </c>
      <c r="O3" s="111" t="s">
        <v>344</v>
      </c>
      <c r="P3" s="112"/>
      <c r="Q3" s="112"/>
      <c r="R3" s="96" t="s">
        <v>333</v>
      </c>
      <c r="S3" s="96" t="s">
        <v>334</v>
      </c>
      <c r="T3" s="96" t="s">
        <v>115</v>
      </c>
      <c r="U3" s="96" t="s">
        <v>335</v>
      </c>
      <c r="V3" s="98" t="s">
        <v>318</v>
      </c>
      <c r="W3" s="96" t="s">
        <v>345</v>
      </c>
      <c r="X3" s="98" t="s">
        <v>346</v>
      </c>
      <c r="Y3" s="97"/>
      <c r="Z3" s="97"/>
      <c r="AA3" s="97"/>
      <c r="AB3" s="97"/>
      <c r="AC3" s="97"/>
      <c r="AD3" s="98" t="s">
        <v>282</v>
      </c>
      <c r="AE3" s="113" t="s">
        <v>347</v>
      </c>
      <c r="AF3" s="96" t="s">
        <v>247</v>
      </c>
      <c r="AG3" s="97"/>
      <c r="AH3" s="97"/>
      <c r="AI3" s="97"/>
      <c r="AJ3" s="96" t="s">
        <v>348</v>
      </c>
      <c r="AK3" s="130"/>
    </row>
    <row r="4" spans="1:37" ht="12" customHeight="1" x14ac:dyDescent="0.2">
      <c r="A4" s="108" t="s">
        <v>349</v>
      </c>
      <c r="B4" s="108" t="s">
        <v>115</v>
      </c>
      <c r="C4" s="108" t="s">
        <v>350</v>
      </c>
      <c r="D4" s="109" t="s">
        <v>280</v>
      </c>
      <c r="E4" s="110" t="s">
        <v>351</v>
      </c>
      <c r="F4" s="96" t="s">
        <v>352</v>
      </c>
      <c r="G4" s="96" t="s">
        <v>353</v>
      </c>
      <c r="H4" s="111" t="s">
        <v>21</v>
      </c>
      <c r="I4" s="96" t="s">
        <v>261</v>
      </c>
      <c r="J4" s="96" t="s">
        <v>247</v>
      </c>
      <c r="K4" s="96"/>
      <c r="L4" s="111" t="s">
        <v>144</v>
      </c>
      <c r="M4" s="96" t="s">
        <v>352</v>
      </c>
      <c r="N4" s="96" t="s">
        <v>287</v>
      </c>
      <c r="O4" s="111" t="s">
        <v>266</v>
      </c>
      <c r="P4" s="112"/>
      <c r="Q4" s="112"/>
      <c r="R4" s="97"/>
      <c r="S4" s="97"/>
      <c r="T4" s="96" t="s">
        <v>115</v>
      </c>
      <c r="U4" s="96" t="s">
        <v>335</v>
      </c>
      <c r="V4" s="98" t="s">
        <v>318</v>
      </c>
      <c r="W4" s="96" t="s">
        <v>354</v>
      </c>
      <c r="X4" s="98" t="s">
        <v>355</v>
      </c>
      <c r="Y4" s="97"/>
      <c r="Z4" s="97"/>
      <c r="AA4" s="97"/>
      <c r="AB4" s="97"/>
      <c r="AC4" s="97"/>
      <c r="AD4" s="98" t="s">
        <v>280</v>
      </c>
      <c r="AE4" s="113" t="s">
        <v>356</v>
      </c>
      <c r="AF4" s="96" t="s">
        <v>247</v>
      </c>
      <c r="AG4" s="97"/>
      <c r="AH4" s="97"/>
      <c r="AI4" s="97"/>
      <c r="AJ4" s="96" t="s">
        <v>357</v>
      </c>
      <c r="AK4" s="130"/>
    </row>
    <row r="5" spans="1:37" ht="12" customHeight="1" x14ac:dyDescent="0.2">
      <c r="A5" s="108" t="s">
        <v>358</v>
      </c>
      <c r="B5" s="108" t="s">
        <v>115</v>
      </c>
      <c r="C5" s="108" t="s">
        <v>326</v>
      </c>
      <c r="D5" s="109" t="s">
        <v>316</v>
      </c>
      <c r="E5" s="110" t="s">
        <v>359</v>
      </c>
      <c r="F5" s="96" t="s">
        <v>360</v>
      </c>
      <c r="G5" s="96" t="s">
        <v>361</v>
      </c>
      <c r="H5" s="111" t="s">
        <v>21</v>
      </c>
      <c r="I5" s="96" t="s">
        <v>261</v>
      </c>
      <c r="J5" s="96" t="s">
        <v>247</v>
      </c>
      <c r="K5" s="96"/>
      <c r="L5" s="111" t="s">
        <v>144</v>
      </c>
      <c r="M5" s="96" t="s">
        <v>360</v>
      </c>
      <c r="N5" s="96" t="s">
        <v>287</v>
      </c>
      <c r="O5" s="111" t="s">
        <v>289</v>
      </c>
      <c r="P5" s="112"/>
      <c r="Q5" s="112"/>
      <c r="R5" s="96" t="s">
        <v>333</v>
      </c>
      <c r="S5" s="96" t="s">
        <v>334</v>
      </c>
      <c r="T5" s="96" t="s">
        <v>115</v>
      </c>
      <c r="U5" s="96" t="s">
        <v>335</v>
      </c>
      <c r="V5" s="98" t="s">
        <v>318</v>
      </c>
      <c r="W5" s="96" t="s">
        <v>336</v>
      </c>
      <c r="X5" s="98" t="s">
        <v>337</v>
      </c>
      <c r="Y5" s="97"/>
      <c r="Z5" s="97"/>
      <c r="AA5" s="97"/>
      <c r="AB5" s="97"/>
      <c r="AC5" s="97"/>
      <c r="AD5" s="98" t="s">
        <v>282</v>
      </c>
      <c r="AE5" s="113" t="s">
        <v>362</v>
      </c>
      <c r="AF5" s="96" t="s">
        <v>247</v>
      </c>
      <c r="AG5" s="97"/>
      <c r="AH5" s="97"/>
      <c r="AI5" s="97"/>
      <c r="AJ5" s="96" t="s">
        <v>363</v>
      </c>
      <c r="AK5" s="130"/>
    </row>
    <row r="6" spans="1:37" ht="12" customHeight="1" x14ac:dyDescent="0.2">
      <c r="A6" s="108" t="s">
        <v>364</v>
      </c>
      <c r="B6" s="108" t="s">
        <v>115</v>
      </c>
      <c r="C6" s="108" t="s">
        <v>350</v>
      </c>
      <c r="D6" s="109" t="s">
        <v>280</v>
      </c>
      <c r="E6" s="110" t="s">
        <v>365</v>
      </c>
      <c r="F6" s="96" t="s">
        <v>366</v>
      </c>
      <c r="G6" s="96" t="s">
        <v>367</v>
      </c>
      <c r="H6" s="111" t="s">
        <v>21</v>
      </c>
      <c r="I6" s="96" t="s">
        <v>261</v>
      </c>
      <c r="J6" s="96" t="s">
        <v>247</v>
      </c>
      <c r="K6" s="96"/>
      <c r="L6" s="111" t="s">
        <v>144</v>
      </c>
      <c r="M6" s="96" t="s">
        <v>366</v>
      </c>
      <c r="N6" s="96" t="s">
        <v>287</v>
      </c>
      <c r="O6" s="111" t="s">
        <v>289</v>
      </c>
      <c r="P6" s="112"/>
      <c r="Q6" s="112"/>
      <c r="R6" s="97"/>
      <c r="S6" s="97"/>
      <c r="T6" s="96" t="s">
        <v>115</v>
      </c>
      <c r="U6" s="96" t="s">
        <v>335</v>
      </c>
      <c r="V6" s="98" t="s">
        <v>318</v>
      </c>
      <c r="W6" s="96" t="s">
        <v>354</v>
      </c>
      <c r="X6" s="98" t="s">
        <v>355</v>
      </c>
      <c r="Y6" s="97"/>
      <c r="Z6" s="97"/>
      <c r="AA6" s="97"/>
      <c r="AB6" s="97"/>
      <c r="AC6" s="97"/>
      <c r="AD6" s="98" t="s">
        <v>280</v>
      </c>
      <c r="AE6" s="113" t="s">
        <v>368</v>
      </c>
      <c r="AF6" s="96" t="s">
        <v>247</v>
      </c>
      <c r="AG6" s="97"/>
      <c r="AH6" s="97"/>
      <c r="AI6" s="97"/>
      <c r="AJ6" s="96" t="s">
        <v>369</v>
      </c>
      <c r="AK6" s="130"/>
    </row>
    <row r="7" spans="1:37" ht="12" customHeight="1" x14ac:dyDescent="0.2">
      <c r="A7" s="108" t="s">
        <v>370</v>
      </c>
      <c r="B7" s="108" t="s">
        <v>115</v>
      </c>
      <c r="C7" s="108" t="s">
        <v>326</v>
      </c>
      <c r="D7" s="109" t="s">
        <v>282</v>
      </c>
      <c r="E7" s="110" t="s">
        <v>371</v>
      </c>
      <c r="F7" s="96" t="s">
        <v>372</v>
      </c>
      <c r="G7" s="96" t="s">
        <v>373</v>
      </c>
      <c r="H7" s="111" t="s">
        <v>29</v>
      </c>
      <c r="I7" s="96" t="s">
        <v>261</v>
      </c>
      <c r="J7" s="96" t="s">
        <v>247</v>
      </c>
      <c r="K7" s="96"/>
      <c r="L7" s="111" t="s">
        <v>144</v>
      </c>
      <c r="M7" s="96" t="s">
        <v>372</v>
      </c>
      <c r="N7" s="96" t="s">
        <v>276</v>
      </c>
      <c r="O7" s="111" t="s">
        <v>292</v>
      </c>
      <c r="P7" s="112"/>
      <c r="Q7" s="112"/>
      <c r="R7" s="96" t="s">
        <v>333</v>
      </c>
      <c r="S7" s="96" t="s">
        <v>334</v>
      </c>
      <c r="T7" s="96" t="s">
        <v>115</v>
      </c>
      <c r="U7" s="96" t="s">
        <v>335</v>
      </c>
      <c r="V7" s="98" t="s">
        <v>318</v>
      </c>
      <c r="W7" s="96" t="s">
        <v>336</v>
      </c>
      <c r="X7" s="98" t="s">
        <v>337</v>
      </c>
      <c r="Y7" s="97"/>
      <c r="Z7" s="97"/>
      <c r="AA7" s="97"/>
      <c r="AB7" s="97"/>
      <c r="AC7" s="97"/>
      <c r="AD7" s="98" t="s">
        <v>282</v>
      </c>
      <c r="AE7" s="113" t="s">
        <v>374</v>
      </c>
      <c r="AF7" s="96" t="s">
        <v>247</v>
      </c>
      <c r="AG7" s="97"/>
      <c r="AH7" s="97"/>
      <c r="AI7" s="97"/>
      <c r="AJ7" s="96" t="s">
        <v>375</v>
      </c>
      <c r="AK7" s="130"/>
    </row>
    <row r="8" spans="1:37" ht="12" customHeight="1" x14ac:dyDescent="0.2">
      <c r="A8" s="108" t="s">
        <v>376</v>
      </c>
      <c r="B8" s="108" t="s">
        <v>115</v>
      </c>
      <c r="C8" s="108" t="s">
        <v>326</v>
      </c>
      <c r="D8" s="109" t="s">
        <v>377</v>
      </c>
      <c r="E8" s="110" t="s">
        <v>378</v>
      </c>
      <c r="F8" s="96" t="s">
        <v>379</v>
      </c>
      <c r="G8" s="96" t="s">
        <v>380</v>
      </c>
      <c r="H8" s="111" t="s">
        <v>29</v>
      </c>
      <c r="I8" s="96" t="s">
        <v>261</v>
      </c>
      <c r="J8" s="96" t="s">
        <v>247</v>
      </c>
      <c r="K8" s="96"/>
      <c r="L8" s="111" t="s">
        <v>144</v>
      </c>
      <c r="M8" s="96" t="s">
        <v>379</v>
      </c>
      <c r="N8" s="96" t="s">
        <v>276</v>
      </c>
      <c r="O8" s="111" t="s">
        <v>275</v>
      </c>
      <c r="P8" s="112"/>
      <c r="Q8" s="112"/>
      <c r="R8" s="96" t="s">
        <v>333</v>
      </c>
      <c r="S8" s="96" t="s">
        <v>334</v>
      </c>
      <c r="T8" s="96" t="s">
        <v>115</v>
      </c>
      <c r="U8" s="96" t="s">
        <v>335</v>
      </c>
      <c r="V8" s="98" t="s">
        <v>318</v>
      </c>
      <c r="W8" s="96" t="s">
        <v>336</v>
      </c>
      <c r="X8" s="98" t="s">
        <v>337</v>
      </c>
      <c r="Y8" s="97"/>
      <c r="Z8" s="97"/>
      <c r="AA8" s="97"/>
      <c r="AB8" s="97"/>
      <c r="AC8" s="97"/>
      <c r="AD8" s="98" t="s">
        <v>377</v>
      </c>
      <c r="AE8" s="113" t="s">
        <v>381</v>
      </c>
      <c r="AF8" s="96" t="s">
        <v>247</v>
      </c>
      <c r="AG8" s="97"/>
      <c r="AH8" s="97"/>
      <c r="AI8" s="97"/>
      <c r="AJ8" s="96" t="s">
        <v>382</v>
      </c>
      <c r="AK8" s="130"/>
    </row>
    <row r="9" spans="1:37" ht="12" customHeight="1" x14ac:dyDescent="0.2">
      <c r="A9" s="108" t="s">
        <v>383</v>
      </c>
      <c r="B9" s="108" t="s">
        <v>115</v>
      </c>
      <c r="C9" s="108" t="s">
        <v>326</v>
      </c>
      <c r="D9" s="109" t="s">
        <v>384</v>
      </c>
      <c r="E9" s="110" t="s">
        <v>385</v>
      </c>
      <c r="F9" s="96" t="s">
        <v>386</v>
      </c>
      <c r="G9" s="96" t="s">
        <v>387</v>
      </c>
      <c r="H9" s="111" t="s">
        <v>29</v>
      </c>
      <c r="I9" s="96" t="s">
        <v>261</v>
      </c>
      <c r="J9" s="96" t="s">
        <v>247</v>
      </c>
      <c r="K9" s="96"/>
      <c r="L9" s="111" t="s">
        <v>144</v>
      </c>
      <c r="M9" s="96" t="s">
        <v>386</v>
      </c>
      <c r="N9" s="96" t="s">
        <v>388</v>
      </c>
      <c r="O9" s="111" t="s">
        <v>344</v>
      </c>
      <c r="P9" s="112"/>
      <c r="Q9" s="112"/>
      <c r="R9" s="96" t="s">
        <v>333</v>
      </c>
      <c r="S9" s="96" t="s">
        <v>334</v>
      </c>
      <c r="T9" s="96" t="s">
        <v>115</v>
      </c>
      <c r="U9" s="96" t="s">
        <v>335</v>
      </c>
      <c r="V9" s="98" t="s">
        <v>318</v>
      </c>
      <c r="W9" s="96" t="s">
        <v>354</v>
      </c>
      <c r="X9" s="98" t="s">
        <v>355</v>
      </c>
      <c r="Y9" s="97"/>
      <c r="Z9" s="97"/>
      <c r="AA9" s="97"/>
      <c r="AB9" s="97"/>
      <c r="AC9" s="97"/>
      <c r="AD9" s="98" t="s">
        <v>384</v>
      </c>
      <c r="AE9" s="113" t="s">
        <v>324</v>
      </c>
      <c r="AF9" s="96" t="s">
        <v>247</v>
      </c>
      <c r="AG9" s="97"/>
      <c r="AH9" s="97"/>
      <c r="AI9" s="97"/>
      <c r="AJ9" s="96" t="s">
        <v>389</v>
      </c>
      <c r="AK9" s="130"/>
    </row>
    <row r="10" spans="1:37" ht="12" customHeight="1" x14ac:dyDescent="0.2">
      <c r="A10" s="108" t="s">
        <v>390</v>
      </c>
      <c r="B10" s="108" t="s">
        <v>115</v>
      </c>
      <c r="C10" s="108" t="s">
        <v>326</v>
      </c>
      <c r="D10" s="109" t="s">
        <v>384</v>
      </c>
      <c r="E10" s="110" t="s">
        <v>391</v>
      </c>
      <c r="F10" s="96" t="s">
        <v>386</v>
      </c>
      <c r="G10" s="96" t="s">
        <v>387</v>
      </c>
      <c r="H10" s="111" t="s">
        <v>29</v>
      </c>
      <c r="I10" s="96" t="s">
        <v>261</v>
      </c>
      <c r="J10" s="96" t="s">
        <v>247</v>
      </c>
      <c r="K10" s="96"/>
      <c r="L10" s="111" t="s">
        <v>144</v>
      </c>
      <c r="M10" s="96" t="s">
        <v>386</v>
      </c>
      <c r="N10" s="96" t="s">
        <v>388</v>
      </c>
      <c r="O10" s="111" t="s">
        <v>344</v>
      </c>
      <c r="P10" s="112"/>
      <c r="Q10" s="112"/>
      <c r="R10" s="96" t="s">
        <v>333</v>
      </c>
      <c r="S10" s="96" t="s">
        <v>334</v>
      </c>
      <c r="T10" s="96" t="s">
        <v>115</v>
      </c>
      <c r="U10" s="96" t="s">
        <v>335</v>
      </c>
      <c r="V10" s="98" t="s">
        <v>318</v>
      </c>
      <c r="W10" s="96" t="s">
        <v>354</v>
      </c>
      <c r="X10" s="98" t="s">
        <v>355</v>
      </c>
      <c r="Y10" s="97"/>
      <c r="Z10" s="97"/>
      <c r="AA10" s="97"/>
      <c r="AB10" s="97"/>
      <c r="AC10" s="97"/>
      <c r="AD10" s="98" t="s">
        <v>384</v>
      </c>
      <c r="AE10" s="113" t="s">
        <v>385</v>
      </c>
      <c r="AF10" s="96" t="s">
        <v>247</v>
      </c>
      <c r="AG10" s="97"/>
      <c r="AH10" s="97"/>
      <c r="AI10" s="97"/>
      <c r="AJ10" s="96" t="s">
        <v>389</v>
      </c>
      <c r="AK10" s="130"/>
    </row>
    <row r="11" spans="1:37" ht="12" customHeight="1" x14ac:dyDescent="0.2">
      <c r="A11" s="108" t="s">
        <v>392</v>
      </c>
      <c r="B11" s="108" t="s">
        <v>115</v>
      </c>
      <c r="C11" s="108" t="s">
        <v>326</v>
      </c>
      <c r="D11" s="109" t="s">
        <v>384</v>
      </c>
      <c r="E11" s="110" t="s">
        <v>393</v>
      </c>
      <c r="F11" s="96" t="s">
        <v>386</v>
      </c>
      <c r="G11" s="96" t="s">
        <v>387</v>
      </c>
      <c r="H11" s="111" t="s">
        <v>29</v>
      </c>
      <c r="I11" s="96" t="s">
        <v>261</v>
      </c>
      <c r="J11" s="96" t="s">
        <v>247</v>
      </c>
      <c r="K11" s="96"/>
      <c r="L11" s="111" t="s">
        <v>144</v>
      </c>
      <c r="M11" s="96" t="s">
        <v>386</v>
      </c>
      <c r="N11" s="96" t="s">
        <v>388</v>
      </c>
      <c r="O11" s="111" t="s">
        <v>344</v>
      </c>
      <c r="P11" s="112"/>
      <c r="Q11" s="112"/>
      <c r="R11" s="96" t="s">
        <v>333</v>
      </c>
      <c r="S11" s="96" t="s">
        <v>334</v>
      </c>
      <c r="T11" s="96" t="s">
        <v>115</v>
      </c>
      <c r="U11" s="96" t="s">
        <v>335</v>
      </c>
      <c r="V11" s="98" t="s">
        <v>318</v>
      </c>
      <c r="W11" s="96" t="s">
        <v>354</v>
      </c>
      <c r="X11" s="98" t="s">
        <v>355</v>
      </c>
      <c r="Y11" s="97"/>
      <c r="Z11" s="97"/>
      <c r="AA11" s="97"/>
      <c r="AB11" s="97"/>
      <c r="AC11" s="97"/>
      <c r="AD11" s="98" t="s">
        <v>384</v>
      </c>
      <c r="AE11" s="113" t="s">
        <v>347</v>
      </c>
      <c r="AF11" s="96" t="s">
        <v>247</v>
      </c>
      <c r="AG11" s="97"/>
      <c r="AH11" s="97"/>
      <c r="AI11" s="97"/>
      <c r="AJ11" s="96" t="s">
        <v>389</v>
      </c>
      <c r="AK11" s="130"/>
    </row>
    <row r="12" spans="1:37" ht="12" customHeight="1" x14ac:dyDescent="0.2">
      <c r="A12" s="108" t="s">
        <v>394</v>
      </c>
      <c r="B12" s="108" t="s">
        <v>115</v>
      </c>
      <c r="C12" s="108" t="s">
        <v>326</v>
      </c>
      <c r="D12" s="109" t="s">
        <v>282</v>
      </c>
      <c r="E12" s="110" t="s">
        <v>395</v>
      </c>
      <c r="F12" s="96" t="s">
        <v>396</v>
      </c>
      <c r="G12" s="96" t="s">
        <v>397</v>
      </c>
      <c r="H12" s="111" t="s">
        <v>29</v>
      </c>
      <c r="I12" s="96" t="s">
        <v>261</v>
      </c>
      <c r="J12" s="96" t="s">
        <v>247</v>
      </c>
      <c r="K12" s="96"/>
      <c r="L12" s="111" t="s">
        <v>144</v>
      </c>
      <c r="M12" s="96" t="s">
        <v>396</v>
      </c>
      <c r="N12" s="96" t="s">
        <v>398</v>
      </c>
      <c r="O12" s="111" t="s">
        <v>266</v>
      </c>
      <c r="P12" s="112"/>
      <c r="Q12" s="112"/>
      <c r="R12" s="96" t="s">
        <v>333</v>
      </c>
      <c r="S12" s="96" t="s">
        <v>334</v>
      </c>
      <c r="T12" s="96" t="s">
        <v>115</v>
      </c>
      <c r="U12" s="96" t="s">
        <v>335</v>
      </c>
      <c r="V12" s="98" t="s">
        <v>318</v>
      </c>
      <c r="W12" s="96" t="s">
        <v>399</v>
      </c>
      <c r="X12" s="98" t="s">
        <v>337</v>
      </c>
      <c r="Y12" s="97"/>
      <c r="Z12" s="97"/>
      <c r="AA12" s="97"/>
      <c r="AB12" s="97"/>
      <c r="AC12" s="97"/>
      <c r="AD12" s="98" t="s">
        <v>282</v>
      </c>
      <c r="AE12" s="113" t="s">
        <v>400</v>
      </c>
      <c r="AF12" s="96" t="s">
        <v>247</v>
      </c>
      <c r="AG12" s="97"/>
      <c r="AH12" s="97"/>
      <c r="AI12" s="97"/>
      <c r="AJ12" s="96" t="s">
        <v>401</v>
      </c>
      <c r="AK12" s="130"/>
    </row>
    <row r="13" spans="1:37" ht="12" customHeight="1" x14ac:dyDescent="0.2">
      <c r="A13" s="108" t="s">
        <v>402</v>
      </c>
      <c r="B13" s="108" t="s">
        <v>115</v>
      </c>
      <c r="C13" s="108" t="s">
        <v>326</v>
      </c>
      <c r="D13" s="109" t="s">
        <v>384</v>
      </c>
      <c r="E13" s="110" t="s">
        <v>403</v>
      </c>
      <c r="F13" s="96" t="s">
        <v>386</v>
      </c>
      <c r="G13" s="96" t="s">
        <v>387</v>
      </c>
      <c r="H13" s="111" t="s">
        <v>29</v>
      </c>
      <c r="I13" s="96" t="s">
        <v>261</v>
      </c>
      <c r="J13" s="96" t="s">
        <v>247</v>
      </c>
      <c r="K13" s="96"/>
      <c r="L13" s="111" t="s">
        <v>144</v>
      </c>
      <c r="M13" s="96" t="s">
        <v>386</v>
      </c>
      <c r="N13" s="96" t="s">
        <v>388</v>
      </c>
      <c r="O13" s="111" t="s">
        <v>266</v>
      </c>
      <c r="P13" s="112"/>
      <c r="Q13" s="112"/>
      <c r="R13" s="96" t="s">
        <v>333</v>
      </c>
      <c r="S13" s="96" t="s">
        <v>334</v>
      </c>
      <c r="T13" s="96" t="s">
        <v>115</v>
      </c>
      <c r="U13" s="96" t="s">
        <v>335</v>
      </c>
      <c r="V13" s="98" t="s">
        <v>318</v>
      </c>
      <c r="W13" s="96" t="s">
        <v>354</v>
      </c>
      <c r="X13" s="98" t="s">
        <v>355</v>
      </c>
      <c r="Y13" s="97"/>
      <c r="Z13" s="97"/>
      <c r="AA13" s="97"/>
      <c r="AB13" s="97"/>
      <c r="AC13" s="97"/>
      <c r="AD13" s="98" t="s">
        <v>384</v>
      </c>
      <c r="AE13" s="113" t="s">
        <v>338</v>
      </c>
      <c r="AF13" s="96" t="s">
        <v>247</v>
      </c>
      <c r="AG13" s="97"/>
      <c r="AH13" s="97"/>
      <c r="AI13" s="97"/>
      <c r="AJ13" s="96" t="s">
        <v>389</v>
      </c>
      <c r="AK13" s="130"/>
    </row>
    <row r="14" spans="1:37" ht="12" customHeight="1" x14ac:dyDescent="0.2">
      <c r="A14" s="108" t="s">
        <v>404</v>
      </c>
      <c r="B14" s="108" t="s">
        <v>115</v>
      </c>
      <c r="C14" s="108" t="s">
        <v>326</v>
      </c>
      <c r="D14" s="109" t="s">
        <v>281</v>
      </c>
      <c r="E14" s="110" t="s">
        <v>405</v>
      </c>
      <c r="F14" s="96" t="s">
        <v>386</v>
      </c>
      <c r="G14" s="96" t="s">
        <v>387</v>
      </c>
      <c r="H14" s="111" t="s">
        <v>29</v>
      </c>
      <c r="I14" s="96" t="s">
        <v>261</v>
      </c>
      <c r="J14" s="96" t="s">
        <v>247</v>
      </c>
      <c r="K14" s="96"/>
      <c r="L14" s="111" t="s">
        <v>144</v>
      </c>
      <c r="M14" s="96" t="s">
        <v>386</v>
      </c>
      <c r="N14" s="96" t="s">
        <v>388</v>
      </c>
      <c r="O14" s="111" t="s">
        <v>266</v>
      </c>
      <c r="P14" s="112"/>
      <c r="Q14" s="112"/>
      <c r="R14" s="96" t="s">
        <v>333</v>
      </c>
      <c r="S14" s="96" t="s">
        <v>334</v>
      </c>
      <c r="T14" s="96" t="s">
        <v>115</v>
      </c>
      <c r="U14" s="96" t="s">
        <v>335</v>
      </c>
      <c r="V14" s="98" t="s">
        <v>318</v>
      </c>
      <c r="W14" s="96" t="s">
        <v>354</v>
      </c>
      <c r="X14" s="98" t="s">
        <v>355</v>
      </c>
      <c r="Y14" s="97"/>
      <c r="Z14" s="97"/>
      <c r="AA14" s="97"/>
      <c r="AB14" s="97"/>
      <c r="AC14" s="97"/>
      <c r="AD14" s="98" t="s">
        <v>281</v>
      </c>
      <c r="AE14" s="113" t="s">
        <v>321</v>
      </c>
      <c r="AF14" s="96" t="s">
        <v>247</v>
      </c>
      <c r="AG14" s="97"/>
      <c r="AH14" s="97"/>
      <c r="AI14" s="97"/>
      <c r="AJ14" s="96" t="s">
        <v>389</v>
      </c>
      <c r="AK14" s="130"/>
    </row>
    <row r="15" spans="1:37" ht="12" customHeight="1" x14ac:dyDescent="0.2">
      <c r="A15" s="108" t="s">
        <v>406</v>
      </c>
      <c r="B15" s="108" t="s">
        <v>115</v>
      </c>
      <c r="C15" s="108" t="s">
        <v>326</v>
      </c>
      <c r="D15" s="109" t="s">
        <v>384</v>
      </c>
      <c r="E15" s="110" t="s">
        <v>407</v>
      </c>
      <c r="F15" s="96" t="s">
        <v>386</v>
      </c>
      <c r="G15" s="96" t="s">
        <v>387</v>
      </c>
      <c r="H15" s="111" t="s">
        <v>29</v>
      </c>
      <c r="I15" s="96" t="s">
        <v>261</v>
      </c>
      <c r="J15" s="96" t="s">
        <v>247</v>
      </c>
      <c r="K15" s="96"/>
      <c r="L15" s="111" t="s">
        <v>144</v>
      </c>
      <c r="M15" s="96" t="s">
        <v>386</v>
      </c>
      <c r="N15" s="96" t="s">
        <v>388</v>
      </c>
      <c r="O15" s="111" t="s">
        <v>266</v>
      </c>
      <c r="P15" s="112"/>
      <c r="Q15" s="112"/>
      <c r="R15" s="96" t="s">
        <v>333</v>
      </c>
      <c r="S15" s="96" t="s">
        <v>334</v>
      </c>
      <c r="T15" s="96" t="s">
        <v>115</v>
      </c>
      <c r="U15" s="96" t="s">
        <v>335</v>
      </c>
      <c r="V15" s="98" t="s">
        <v>318</v>
      </c>
      <c r="W15" s="96" t="s">
        <v>354</v>
      </c>
      <c r="X15" s="98" t="s">
        <v>355</v>
      </c>
      <c r="Y15" s="97"/>
      <c r="Z15" s="97"/>
      <c r="AA15" s="97"/>
      <c r="AB15" s="97"/>
      <c r="AC15" s="97"/>
      <c r="AD15" s="98" t="s">
        <v>384</v>
      </c>
      <c r="AE15" s="113" t="s">
        <v>338</v>
      </c>
      <c r="AF15" s="96" t="s">
        <v>247</v>
      </c>
      <c r="AG15" s="97"/>
      <c r="AH15" s="97"/>
      <c r="AI15" s="97"/>
      <c r="AJ15" s="96" t="s">
        <v>389</v>
      </c>
      <c r="AK15" s="130"/>
    </row>
    <row r="16" spans="1:37" ht="12" customHeight="1" x14ac:dyDescent="0.2">
      <c r="A16" s="108" t="s">
        <v>408</v>
      </c>
      <c r="B16" s="108" t="s">
        <v>115</v>
      </c>
      <c r="C16" s="108" t="s">
        <v>326</v>
      </c>
      <c r="D16" s="109" t="s">
        <v>384</v>
      </c>
      <c r="E16" s="110" t="s">
        <v>409</v>
      </c>
      <c r="F16" s="96" t="s">
        <v>386</v>
      </c>
      <c r="G16" s="96" t="s">
        <v>387</v>
      </c>
      <c r="H16" s="111" t="s">
        <v>29</v>
      </c>
      <c r="I16" s="96" t="s">
        <v>261</v>
      </c>
      <c r="J16" s="96" t="s">
        <v>247</v>
      </c>
      <c r="K16" s="96"/>
      <c r="L16" s="111" t="s">
        <v>144</v>
      </c>
      <c r="M16" s="96" t="s">
        <v>386</v>
      </c>
      <c r="N16" s="96" t="s">
        <v>388</v>
      </c>
      <c r="O16" s="111" t="s">
        <v>289</v>
      </c>
      <c r="P16" s="112"/>
      <c r="Q16" s="112"/>
      <c r="R16" s="96" t="s">
        <v>333</v>
      </c>
      <c r="S16" s="96" t="s">
        <v>334</v>
      </c>
      <c r="T16" s="96" t="s">
        <v>115</v>
      </c>
      <c r="U16" s="96" t="s">
        <v>335</v>
      </c>
      <c r="V16" s="98" t="s">
        <v>318</v>
      </c>
      <c r="W16" s="96" t="s">
        <v>354</v>
      </c>
      <c r="X16" s="98" t="s">
        <v>355</v>
      </c>
      <c r="Y16" s="97"/>
      <c r="Z16" s="97"/>
      <c r="AA16" s="97"/>
      <c r="AB16" s="97"/>
      <c r="AC16" s="97"/>
      <c r="AD16" s="98" t="s">
        <v>384</v>
      </c>
      <c r="AE16" s="113" t="s">
        <v>324</v>
      </c>
      <c r="AF16" s="96" t="s">
        <v>247</v>
      </c>
      <c r="AG16" s="97"/>
      <c r="AH16" s="97"/>
      <c r="AI16" s="97"/>
      <c r="AJ16" s="96" t="s">
        <v>389</v>
      </c>
      <c r="AK16" s="130"/>
    </row>
    <row r="17" spans="1:37" ht="12" customHeight="1" x14ac:dyDescent="0.2">
      <c r="A17" s="108" t="s">
        <v>410</v>
      </c>
      <c r="B17" s="108" t="s">
        <v>115</v>
      </c>
      <c r="C17" s="108" t="s">
        <v>326</v>
      </c>
      <c r="D17" s="109" t="s">
        <v>282</v>
      </c>
      <c r="E17" s="110" t="s">
        <v>411</v>
      </c>
      <c r="F17" s="96" t="s">
        <v>412</v>
      </c>
      <c r="G17" s="96" t="s">
        <v>397</v>
      </c>
      <c r="H17" s="111" t="s">
        <v>29</v>
      </c>
      <c r="I17" s="96" t="s">
        <v>261</v>
      </c>
      <c r="J17" s="96" t="s">
        <v>247</v>
      </c>
      <c r="K17" s="96"/>
      <c r="L17" s="111" t="s">
        <v>144</v>
      </c>
      <c r="M17" s="96" t="s">
        <v>412</v>
      </c>
      <c r="N17" s="96" t="s">
        <v>284</v>
      </c>
      <c r="O17" s="111" t="s">
        <v>289</v>
      </c>
      <c r="P17" s="112"/>
      <c r="Q17" s="112"/>
      <c r="R17" s="96" t="s">
        <v>333</v>
      </c>
      <c r="S17" s="96" t="s">
        <v>334</v>
      </c>
      <c r="T17" s="96" t="s">
        <v>115</v>
      </c>
      <c r="U17" s="96" t="s">
        <v>335</v>
      </c>
      <c r="V17" s="98" t="s">
        <v>318</v>
      </c>
      <c r="W17" s="96" t="s">
        <v>413</v>
      </c>
      <c r="X17" s="98" t="s">
        <v>337</v>
      </c>
      <c r="Y17" s="97"/>
      <c r="Z17" s="97"/>
      <c r="AA17" s="97"/>
      <c r="AB17" s="97"/>
      <c r="AC17" s="97"/>
      <c r="AD17" s="98" t="s">
        <v>282</v>
      </c>
      <c r="AE17" s="113" t="s">
        <v>414</v>
      </c>
      <c r="AF17" s="96" t="s">
        <v>247</v>
      </c>
      <c r="AG17" s="97"/>
      <c r="AH17" s="97"/>
      <c r="AI17" s="97"/>
      <c r="AJ17" s="96" t="s">
        <v>401</v>
      </c>
      <c r="AK17" s="130"/>
    </row>
    <row r="18" spans="1:37" ht="12" customHeight="1" x14ac:dyDescent="0.2">
      <c r="A18" s="108" t="s">
        <v>415</v>
      </c>
      <c r="B18" s="108" t="s">
        <v>115</v>
      </c>
      <c r="C18" s="108" t="s">
        <v>326</v>
      </c>
      <c r="D18" s="109" t="s">
        <v>384</v>
      </c>
      <c r="E18" s="110" t="s">
        <v>416</v>
      </c>
      <c r="F18" s="96" t="s">
        <v>386</v>
      </c>
      <c r="G18" s="96" t="s">
        <v>387</v>
      </c>
      <c r="H18" s="111" t="s">
        <v>29</v>
      </c>
      <c r="I18" s="96" t="s">
        <v>261</v>
      </c>
      <c r="J18" s="96" t="s">
        <v>247</v>
      </c>
      <c r="K18" s="96"/>
      <c r="L18" s="111" t="s">
        <v>144</v>
      </c>
      <c r="M18" s="96" t="s">
        <v>386</v>
      </c>
      <c r="N18" s="96" t="s">
        <v>388</v>
      </c>
      <c r="O18" s="111" t="s">
        <v>289</v>
      </c>
      <c r="P18" s="112"/>
      <c r="Q18" s="112"/>
      <c r="R18" s="96" t="s">
        <v>333</v>
      </c>
      <c r="S18" s="96" t="s">
        <v>334</v>
      </c>
      <c r="T18" s="96" t="s">
        <v>115</v>
      </c>
      <c r="U18" s="96" t="s">
        <v>335</v>
      </c>
      <c r="V18" s="98" t="s">
        <v>318</v>
      </c>
      <c r="W18" s="96" t="s">
        <v>354</v>
      </c>
      <c r="X18" s="98" t="s">
        <v>355</v>
      </c>
      <c r="Y18" s="97"/>
      <c r="Z18" s="97"/>
      <c r="AA18" s="97"/>
      <c r="AB18" s="97"/>
      <c r="AC18" s="97"/>
      <c r="AD18" s="98" t="s">
        <v>281</v>
      </c>
      <c r="AE18" s="113" t="s">
        <v>362</v>
      </c>
      <c r="AF18" s="96" t="s">
        <v>247</v>
      </c>
      <c r="AG18" s="97"/>
      <c r="AH18" s="97"/>
      <c r="AI18" s="97"/>
      <c r="AJ18" s="96" t="s">
        <v>389</v>
      </c>
      <c r="AK18" s="130"/>
    </row>
    <row r="19" spans="1:37" ht="12" customHeight="1" x14ac:dyDescent="0.2">
      <c r="A19" s="108" t="s">
        <v>417</v>
      </c>
      <c r="B19" s="108" t="s">
        <v>115</v>
      </c>
      <c r="C19" s="108" t="s">
        <v>326</v>
      </c>
      <c r="D19" s="109" t="s">
        <v>282</v>
      </c>
      <c r="E19" s="110" t="s">
        <v>322</v>
      </c>
      <c r="F19" s="96" t="s">
        <v>396</v>
      </c>
      <c r="G19" s="96" t="s">
        <v>397</v>
      </c>
      <c r="H19" s="111" t="s">
        <v>29</v>
      </c>
      <c r="I19" s="96" t="s">
        <v>261</v>
      </c>
      <c r="J19" s="96" t="s">
        <v>247</v>
      </c>
      <c r="K19" s="96"/>
      <c r="L19" s="111" t="s">
        <v>144</v>
      </c>
      <c r="M19" s="96" t="s">
        <v>396</v>
      </c>
      <c r="N19" s="96" t="s">
        <v>398</v>
      </c>
      <c r="O19" s="111" t="s">
        <v>289</v>
      </c>
      <c r="P19" s="112"/>
      <c r="Q19" s="112"/>
      <c r="R19" s="96" t="s">
        <v>333</v>
      </c>
      <c r="S19" s="96" t="s">
        <v>334</v>
      </c>
      <c r="T19" s="96" t="s">
        <v>115</v>
      </c>
      <c r="U19" s="96" t="s">
        <v>335</v>
      </c>
      <c r="V19" s="98" t="s">
        <v>318</v>
      </c>
      <c r="W19" s="96" t="s">
        <v>399</v>
      </c>
      <c r="X19" s="98" t="s">
        <v>337</v>
      </c>
      <c r="Y19" s="97"/>
      <c r="Z19" s="97"/>
      <c r="AA19" s="97"/>
      <c r="AB19" s="97"/>
      <c r="AC19" s="97"/>
      <c r="AD19" s="98" t="s">
        <v>282</v>
      </c>
      <c r="AE19" s="113" t="s">
        <v>400</v>
      </c>
      <c r="AF19" s="96" t="s">
        <v>247</v>
      </c>
      <c r="AG19" s="97"/>
      <c r="AH19" s="97"/>
      <c r="AI19" s="97"/>
      <c r="AJ19" s="96" t="s">
        <v>401</v>
      </c>
      <c r="AK19" s="130"/>
    </row>
    <row r="20" spans="1:37" ht="12" customHeight="1" x14ac:dyDescent="0.2">
      <c r="A20" s="108" t="s">
        <v>418</v>
      </c>
      <c r="B20" s="108" t="s">
        <v>115</v>
      </c>
      <c r="C20" s="108" t="s">
        <v>326</v>
      </c>
      <c r="D20" s="109" t="s">
        <v>384</v>
      </c>
      <c r="E20" s="110" t="s">
        <v>419</v>
      </c>
      <c r="F20" s="96" t="s">
        <v>386</v>
      </c>
      <c r="G20" s="96" t="s">
        <v>387</v>
      </c>
      <c r="H20" s="111" t="s">
        <v>29</v>
      </c>
      <c r="I20" s="96" t="s">
        <v>261</v>
      </c>
      <c r="J20" s="96" t="s">
        <v>247</v>
      </c>
      <c r="K20" s="96"/>
      <c r="L20" s="111" t="s">
        <v>144</v>
      </c>
      <c r="M20" s="96" t="s">
        <v>386</v>
      </c>
      <c r="N20" s="96" t="s">
        <v>388</v>
      </c>
      <c r="O20" s="111" t="s">
        <v>289</v>
      </c>
      <c r="P20" s="112"/>
      <c r="Q20" s="112"/>
      <c r="R20" s="96" t="s">
        <v>333</v>
      </c>
      <c r="S20" s="96" t="s">
        <v>334</v>
      </c>
      <c r="T20" s="96" t="s">
        <v>115</v>
      </c>
      <c r="U20" s="96" t="s">
        <v>335</v>
      </c>
      <c r="V20" s="98" t="s">
        <v>318</v>
      </c>
      <c r="W20" s="96" t="s">
        <v>354</v>
      </c>
      <c r="X20" s="98" t="s">
        <v>355</v>
      </c>
      <c r="Y20" s="97"/>
      <c r="Z20" s="97"/>
      <c r="AA20" s="97"/>
      <c r="AB20" s="97"/>
      <c r="AC20" s="97"/>
      <c r="AD20" s="98" t="s">
        <v>384</v>
      </c>
      <c r="AE20" s="113" t="s">
        <v>420</v>
      </c>
      <c r="AF20" s="96" t="s">
        <v>247</v>
      </c>
      <c r="AG20" s="97"/>
      <c r="AH20" s="97"/>
      <c r="AI20" s="97"/>
      <c r="AJ20" s="96" t="s">
        <v>389</v>
      </c>
      <c r="AK20" s="130"/>
    </row>
    <row r="21" spans="1:37" ht="12" customHeight="1" x14ac:dyDescent="0.2">
      <c r="A21" s="108" t="s">
        <v>421</v>
      </c>
      <c r="B21" s="108" t="s">
        <v>115</v>
      </c>
      <c r="C21" s="108" t="s">
        <v>326</v>
      </c>
      <c r="D21" s="109" t="s">
        <v>384</v>
      </c>
      <c r="E21" s="110" t="s">
        <v>422</v>
      </c>
      <c r="F21" s="96" t="s">
        <v>386</v>
      </c>
      <c r="G21" s="96" t="s">
        <v>387</v>
      </c>
      <c r="H21" s="111" t="s">
        <v>29</v>
      </c>
      <c r="I21" s="96" t="s">
        <v>261</v>
      </c>
      <c r="J21" s="96" t="s">
        <v>247</v>
      </c>
      <c r="K21" s="96"/>
      <c r="L21" s="111" t="s">
        <v>144</v>
      </c>
      <c r="M21" s="96" t="s">
        <v>386</v>
      </c>
      <c r="N21" s="96" t="s">
        <v>388</v>
      </c>
      <c r="O21" s="111" t="s">
        <v>289</v>
      </c>
      <c r="P21" s="112"/>
      <c r="Q21" s="112"/>
      <c r="R21" s="96" t="s">
        <v>333</v>
      </c>
      <c r="S21" s="96" t="s">
        <v>334</v>
      </c>
      <c r="T21" s="96" t="s">
        <v>115</v>
      </c>
      <c r="U21" s="96" t="s">
        <v>335</v>
      </c>
      <c r="V21" s="98" t="s">
        <v>318</v>
      </c>
      <c r="W21" s="96" t="s">
        <v>354</v>
      </c>
      <c r="X21" s="98" t="s">
        <v>355</v>
      </c>
      <c r="Y21" s="97"/>
      <c r="Z21" s="97"/>
      <c r="AA21" s="97"/>
      <c r="AB21" s="97"/>
      <c r="AC21" s="97"/>
      <c r="AD21" s="98" t="s">
        <v>384</v>
      </c>
      <c r="AE21" s="113" t="s">
        <v>338</v>
      </c>
      <c r="AF21" s="96" t="s">
        <v>247</v>
      </c>
      <c r="AG21" s="97"/>
      <c r="AH21" s="97"/>
      <c r="AI21" s="97"/>
      <c r="AJ21" s="96" t="s">
        <v>389</v>
      </c>
      <c r="AK21" s="130"/>
    </row>
    <row r="22" spans="1:37" ht="12" customHeight="1" x14ac:dyDescent="0.2">
      <c r="A22" s="108" t="s">
        <v>423</v>
      </c>
      <c r="B22" s="108" t="s">
        <v>115</v>
      </c>
      <c r="C22" s="108" t="s">
        <v>326</v>
      </c>
      <c r="D22" s="109" t="s">
        <v>316</v>
      </c>
      <c r="E22" s="110" t="s">
        <v>424</v>
      </c>
      <c r="F22" s="96" t="s">
        <v>425</v>
      </c>
      <c r="G22" s="96" t="s">
        <v>373</v>
      </c>
      <c r="H22" s="111" t="s">
        <v>29</v>
      </c>
      <c r="I22" s="96" t="s">
        <v>261</v>
      </c>
      <c r="J22" s="96" t="s">
        <v>247</v>
      </c>
      <c r="K22" s="96"/>
      <c r="L22" s="111" t="s">
        <v>144</v>
      </c>
      <c r="M22" s="96" t="s">
        <v>425</v>
      </c>
      <c r="N22" s="96" t="s">
        <v>284</v>
      </c>
      <c r="O22" s="111" t="s">
        <v>289</v>
      </c>
      <c r="P22" s="112"/>
      <c r="Q22" s="112"/>
      <c r="R22" s="96" t="s">
        <v>333</v>
      </c>
      <c r="S22" s="96" t="s">
        <v>334</v>
      </c>
      <c r="T22" s="96" t="s">
        <v>115</v>
      </c>
      <c r="U22" s="96" t="s">
        <v>335</v>
      </c>
      <c r="V22" s="98" t="s">
        <v>318</v>
      </c>
      <c r="W22" s="96" t="s">
        <v>426</v>
      </c>
      <c r="X22" s="98" t="s">
        <v>337</v>
      </c>
      <c r="Y22" s="97"/>
      <c r="Z22" s="97"/>
      <c r="AA22" s="97"/>
      <c r="AB22" s="97"/>
      <c r="AC22" s="97"/>
      <c r="AD22" s="98" t="s">
        <v>316</v>
      </c>
      <c r="AE22" s="113" t="s">
        <v>323</v>
      </c>
      <c r="AF22" s="96" t="s">
        <v>247</v>
      </c>
      <c r="AG22" s="97"/>
      <c r="AH22" s="97"/>
      <c r="AI22" s="97"/>
      <c r="AJ22" s="96" t="s">
        <v>427</v>
      </c>
      <c r="AK22" s="130"/>
    </row>
    <row r="23" spans="1:37" ht="12" customHeight="1" x14ac:dyDescent="0.2">
      <c r="A23" s="108" t="s">
        <v>428</v>
      </c>
      <c r="B23" s="108" t="s">
        <v>115</v>
      </c>
      <c r="C23" s="108" t="s">
        <v>326</v>
      </c>
      <c r="D23" s="109" t="s">
        <v>384</v>
      </c>
      <c r="E23" s="110" t="s">
        <v>429</v>
      </c>
      <c r="F23" s="96" t="s">
        <v>386</v>
      </c>
      <c r="G23" s="96" t="s">
        <v>387</v>
      </c>
      <c r="H23" s="111" t="s">
        <v>29</v>
      </c>
      <c r="I23" s="96" t="s">
        <v>261</v>
      </c>
      <c r="J23" s="96" t="s">
        <v>247</v>
      </c>
      <c r="K23" s="96"/>
      <c r="L23" s="111" t="s">
        <v>144</v>
      </c>
      <c r="M23" s="96" t="s">
        <v>386</v>
      </c>
      <c r="N23" s="96" t="s">
        <v>388</v>
      </c>
      <c r="O23" s="111" t="s">
        <v>289</v>
      </c>
      <c r="P23" s="112"/>
      <c r="Q23" s="112"/>
      <c r="R23" s="96" t="s">
        <v>333</v>
      </c>
      <c r="S23" s="96" t="s">
        <v>334</v>
      </c>
      <c r="T23" s="96" t="s">
        <v>115</v>
      </c>
      <c r="U23" s="96" t="s">
        <v>335</v>
      </c>
      <c r="V23" s="98" t="s">
        <v>318</v>
      </c>
      <c r="W23" s="96" t="s">
        <v>354</v>
      </c>
      <c r="X23" s="98" t="s">
        <v>355</v>
      </c>
      <c r="Y23" s="97"/>
      <c r="Z23" s="97"/>
      <c r="AA23" s="97"/>
      <c r="AB23" s="97"/>
      <c r="AC23" s="97"/>
      <c r="AD23" s="98" t="s">
        <v>384</v>
      </c>
      <c r="AE23" s="113" t="s">
        <v>324</v>
      </c>
      <c r="AF23" s="96" t="s">
        <v>247</v>
      </c>
      <c r="AG23" s="97"/>
      <c r="AH23" s="97"/>
      <c r="AI23" s="97"/>
      <c r="AJ23" s="96" t="s">
        <v>389</v>
      </c>
      <c r="AK23" s="130"/>
    </row>
    <row r="24" spans="1:37" ht="12" customHeight="1" x14ac:dyDescent="0.2">
      <c r="A24" s="108" t="s">
        <v>430</v>
      </c>
      <c r="B24" s="108" t="s">
        <v>115</v>
      </c>
      <c r="C24" s="108" t="s">
        <v>326</v>
      </c>
      <c r="D24" s="109" t="s">
        <v>282</v>
      </c>
      <c r="E24" s="110" t="s">
        <v>431</v>
      </c>
      <c r="F24" s="96" t="s">
        <v>412</v>
      </c>
      <c r="G24" s="96" t="s">
        <v>397</v>
      </c>
      <c r="H24" s="111" t="s">
        <v>29</v>
      </c>
      <c r="I24" s="96" t="s">
        <v>261</v>
      </c>
      <c r="J24" s="96" t="s">
        <v>247</v>
      </c>
      <c r="K24" s="96"/>
      <c r="L24" s="111" t="s">
        <v>144</v>
      </c>
      <c r="M24" s="96" t="s">
        <v>412</v>
      </c>
      <c r="N24" s="96" t="s">
        <v>284</v>
      </c>
      <c r="O24" s="111" t="s">
        <v>289</v>
      </c>
      <c r="P24" s="112"/>
      <c r="Q24" s="112"/>
      <c r="R24" s="96" t="s">
        <v>333</v>
      </c>
      <c r="S24" s="96" t="s">
        <v>334</v>
      </c>
      <c r="T24" s="96" t="s">
        <v>115</v>
      </c>
      <c r="U24" s="96" t="s">
        <v>335</v>
      </c>
      <c r="V24" s="98" t="s">
        <v>318</v>
      </c>
      <c r="W24" s="96" t="s">
        <v>413</v>
      </c>
      <c r="X24" s="98" t="s">
        <v>337</v>
      </c>
      <c r="Y24" s="97"/>
      <c r="Z24" s="97"/>
      <c r="AA24" s="97"/>
      <c r="AB24" s="97"/>
      <c r="AC24" s="97"/>
      <c r="AD24" s="98" t="s">
        <v>282</v>
      </c>
      <c r="AE24" s="113" t="s">
        <v>414</v>
      </c>
      <c r="AF24" s="96" t="s">
        <v>247</v>
      </c>
      <c r="AG24" s="97"/>
      <c r="AH24" s="97"/>
      <c r="AI24" s="97"/>
      <c r="AJ24" s="96" t="s">
        <v>401</v>
      </c>
      <c r="AK24" s="130"/>
    </row>
    <row r="25" spans="1:37" ht="12" customHeight="1" x14ac:dyDescent="0.2">
      <c r="A25" s="108" t="s">
        <v>432</v>
      </c>
      <c r="B25" s="108" t="s">
        <v>115</v>
      </c>
      <c r="C25" s="108" t="s">
        <v>326</v>
      </c>
      <c r="D25" s="109" t="s">
        <v>281</v>
      </c>
      <c r="E25" s="110" t="s">
        <v>433</v>
      </c>
      <c r="F25" s="96" t="s">
        <v>386</v>
      </c>
      <c r="G25" s="96" t="s">
        <v>387</v>
      </c>
      <c r="H25" s="111" t="s">
        <v>29</v>
      </c>
      <c r="I25" s="96" t="s">
        <v>261</v>
      </c>
      <c r="J25" s="96" t="s">
        <v>247</v>
      </c>
      <c r="K25" s="96"/>
      <c r="L25" s="111" t="s">
        <v>144</v>
      </c>
      <c r="M25" s="96" t="s">
        <v>386</v>
      </c>
      <c r="N25" s="96" t="s">
        <v>388</v>
      </c>
      <c r="O25" s="111" t="s">
        <v>289</v>
      </c>
      <c r="P25" s="112"/>
      <c r="Q25" s="112"/>
      <c r="R25" s="96" t="s">
        <v>333</v>
      </c>
      <c r="S25" s="96" t="s">
        <v>334</v>
      </c>
      <c r="T25" s="96" t="s">
        <v>115</v>
      </c>
      <c r="U25" s="96" t="s">
        <v>335</v>
      </c>
      <c r="V25" s="98" t="s">
        <v>318</v>
      </c>
      <c r="W25" s="96" t="s">
        <v>354</v>
      </c>
      <c r="X25" s="98" t="s">
        <v>355</v>
      </c>
      <c r="Y25" s="97"/>
      <c r="Z25" s="97"/>
      <c r="AA25" s="97"/>
      <c r="AB25" s="97"/>
      <c r="AC25" s="97"/>
      <c r="AD25" s="98" t="s">
        <v>281</v>
      </c>
      <c r="AE25" s="113" t="s">
        <v>434</v>
      </c>
      <c r="AF25" s="96" t="s">
        <v>247</v>
      </c>
      <c r="AG25" s="97"/>
      <c r="AH25" s="97"/>
      <c r="AI25" s="97"/>
      <c r="AJ25" s="96" t="s">
        <v>389</v>
      </c>
      <c r="AK25" s="130"/>
    </row>
    <row r="26" spans="1:37" ht="12" customHeight="1" x14ac:dyDescent="0.2">
      <c r="A26" s="108" t="s">
        <v>435</v>
      </c>
      <c r="B26" s="108" t="s">
        <v>115</v>
      </c>
      <c r="C26" s="108" t="s">
        <v>326</v>
      </c>
      <c r="D26" s="109" t="s">
        <v>384</v>
      </c>
      <c r="E26" s="110" t="s">
        <v>436</v>
      </c>
      <c r="F26" s="96" t="s">
        <v>386</v>
      </c>
      <c r="G26" s="96" t="s">
        <v>387</v>
      </c>
      <c r="H26" s="111" t="s">
        <v>29</v>
      </c>
      <c r="I26" s="96" t="s">
        <v>261</v>
      </c>
      <c r="J26" s="96" t="s">
        <v>247</v>
      </c>
      <c r="K26" s="96"/>
      <c r="L26" s="111" t="s">
        <v>144</v>
      </c>
      <c r="M26" s="96" t="s">
        <v>386</v>
      </c>
      <c r="N26" s="96" t="s">
        <v>388</v>
      </c>
      <c r="O26" s="111" t="s">
        <v>289</v>
      </c>
      <c r="P26" s="112"/>
      <c r="Q26" s="112"/>
      <c r="R26" s="96" t="s">
        <v>333</v>
      </c>
      <c r="S26" s="96" t="s">
        <v>334</v>
      </c>
      <c r="T26" s="96" t="s">
        <v>115</v>
      </c>
      <c r="U26" s="96" t="s">
        <v>335</v>
      </c>
      <c r="V26" s="98" t="s">
        <v>318</v>
      </c>
      <c r="W26" s="96" t="s">
        <v>354</v>
      </c>
      <c r="X26" s="98" t="s">
        <v>355</v>
      </c>
      <c r="Y26" s="97"/>
      <c r="Z26" s="97"/>
      <c r="AA26" s="97"/>
      <c r="AB26" s="97"/>
      <c r="AC26" s="97"/>
      <c r="AD26" s="98" t="s">
        <v>384</v>
      </c>
      <c r="AE26" s="113" t="s">
        <v>385</v>
      </c>
      <c r="AF26" s="96" t="s">
        <v>247</v>
      </c>
      <c r="AG26" s="97"/>
      <c r="AH26" s="97"/>
      <c r="AI26" s="97"/>
      <c r="AJ26" s="96" t="s">
        <v>389</v>
      </c>
      <c r="AK26" s="130"/>
    </row>
    <row r="27" spans="1:37" ht="12" customHeight="1" x14ac:dyDescent="0.2">
      <c r="A27" s="108" t="s">
        <v>437</v>
      </c>
      <c r="B27" s="108" t="s">
        <v>115</v>
      </c>
      <c r="C27" s="108" t="s">
        <v>326</v>
      </c>
      <c r="D27" s="109" t="s">
        <v>283</v>
      </c>
      <c r="E27" s="110" t="s">
        <v>438</v>
      </c>
      <c r="F27" s="96" t="s">
        <v>386</v>
      </c>
      <c r="G27" s="96" t="s">
        <v>387</v>
      </c>
      <c r="H27" s="111" t="s">
        <v>29</v>
      </c>
      <c r="I27" s="96" t="s">
        <v>261</v>
      </c>
      <c r="J27" s="96" t="s">
        <v>247</v>
      </c>
      <c r="K27" s="96"/>
      <c r="L27" s="111" t="s">
        <v>144</v>
      </c>
      <c r="M27" s="96" t="s">
        <v>386</v>
      </c>
      <c r="N27" s="96" t="s">
        <v>388</v>
      </c>
      <c r="O27" s="111" t="s">
        <v>289</v>
      </c>
      <c r="P27" s="112"/>
      <c r="Q27" s="112"/>
      <c r="R27" s="96" t="s">
        <v>333</v>
      </c>
      <c r="S27" s="96" t="s">
        <v>334</v>
      </c>
      <c r="T27" s="96" t="s">
        <v>115</v>
      </c>
      <c r="U27" s="96" t="s">
        <v>335</v>
      </c>
      <c r="V27" s="98" t="s">
        <v>318</v>
      </c>
      <c r="W27" s="96" t="s">
        <v>354</v>
      </c>
      <c r="X27" s="98" t="s">
        <v>355</v>
      </c>
      <c r="Y27" s="97"/>
      <c r="Z27" s="97"/>
      <c r="AA27" s="97"/>
      <c r="AB27" s="97"/>
      <c r="AC27" s="97"/>
      <c r="AD27" s="98" t="s">
        <v>283</v>
      </c>
      <c r="AE27" s="113" t="s">
        <v>400</v>
      </c>
      <c r="AF27" s="96" t="s">
        <v>247</v>
      </c>
      <c r="AG27" s="97"/>
      <c r="AH27" s="97"/>
      <c r="AI27" s="97"/>
      <c r="AJ27" s="96" t="s">
        <v>389</v>
      </c>
      <c r="AK27" s="130"/>
    </row>
    <row r="28" spans="1:37" ht="12" customHeight="1" x14ac:dyDescent="0.2">
      <c r="A28" s="108" t="s">
        <v>439</v>
      </c>
      <c r="B28" s="108" t="s">
        <v>115</v>
      </c>
      <c r="C28" s="108" t="s">
        <v>326</v>
      </c>
      <c r="D28" s="109" t="s">
        <v>281</v>
      </c>
      <c r="E28" s="110" t="s">
        <v>414</v>
      </c>
      <c r="F28" s="96" t="s">
        <v>386</v>
      </c>
      <c r="G28" s="96" t="s">
        <v>387</v>
      </c>
      <c r="H28" s="111" t="s">
        <v>29</v>
      </c>
      <c r="I28" s="96" t="s">
        <v>261</v>
      </c>
      <c r="J28" s="96" t="s">
        <v>247</v>
      </c>
      <c r="K28" s="96"/>
      <c r="L28" s="111" t="s">
        <v>144</v>
      </c>
      <c r="M28" s="96" t="s">
        <v>386</v>
      </c>
      <c r="N28" s="96" t="s">
        <v>388</v>
      </c>
      <c r="O28" s="111" t="s">
        <v>289</v>
      </c>
      <c r="P28" s="112"/>
      <c r="Q28" s="112"/>
      <c r="R28" s="96" t="s">
        <v>333</v>
      </c>
      <c r="S28" s="96" t="s">
        <v>334</v>
      </c>
      <c r="T28" s="96" t="s">
        <v>115</v>
      </c>
      <c r="U28" s="96" t="s">
        <v>335</v>
      </c>
      <c r="V28" s="98" t="s">
        <v>318</v>
      </c>
      <c r="W28" s="96" t="s">
        <v>354</v>
      </c>
      <c r="X28" s="98" t="s">
        <v>355</v>
      </c>
      <c r="Y28" s="97"/>
      <c r="Z28" s="97"/>
      <c r="AA28" s="97"/>
      <c r="AB28" s="97"/>
      <c r="AC28" s="97"/>
      <c r="AD28" s="98" t="s">
        <v>281</v>
      </c>
      <c r="AE28" s="113" t="s">
        <v>321</v>
      </c>
      <c r="AF28" s="96" t="s">
        <v>247</v>
      </c>
      <c r="AG28" s="97"/>
      <c r="AH28" s="97"/>
      <c r="AI28" s="97"/>
      <c r="AJ28" s="96" t="s">
        <v>389</v>
      </c>
      <c r="AK28" s="130"/>
    </row>
    <row r="29" spans="1:37" ht="12" customHeight="1" x14ac:dyDescent="0.2">
      <c r="A29" s="108" t="s">
        <v>440</v>
      </c>
      <c r="B29" s="108" t="s">
        <v>115</v>
      </c>
      <c r="C29" s="108" t="s">
        <v>326</v>
      </c>
      <c r="D29" s="109" t="s">
        <v>384</v>
      </c>
      <c r="E29" s="110" t="s">
        <v>441</v>
      </c>
      <c r="F29" s="96" t="s">
        <v>386</v>
      </c>
      <c r="G29" s="96" t="s">
        <v>387</v>
      </c>
      <c r="H29" s="111" t="s">
        <v>29</v>
      </c>
      <c r="I29" s="96" t="s">
        <v>261</v>
      </c>
      <c r="J29" s="96" t="s">
        <v>247</v>
      </c>
      <c r="K29" s="96"/>
      <c r="L29" s="111" t="s">
        <v>144</v>
      </c>
      <c r="M29" s="96" t="s">
        <v>386</v>
      </c>
      <c r="N29" s="96" t="s">
        <v>388</v>
      </c>
      <c r="O29" s="111" t="s">
        <v>289</v>
      </c>
      <c r="P29" s="112"/>
      <c r="Q29" s="112"/>
      <c r="R29" s="96" t="s">
        <v>333</v>
      </c>
      <c r="S29" s="96" t="s">
        <v>334</v>
      </c>
      <c r="T29" s="96" t="s">
        <v>115</v>
      </c>
      <c r="U29" s="96" t="s">
        <v>335</v>
      </c>
      <c r="V29" s="98" t="s">
        <v>318</v>
      </c>
      <c r="W29" s="96" t="s">
        <v>354</v>
      </c>
      <c r="X29" s="98" t="s">
        <v>355</v>
      </c>
      <c r="Y29" s="97"/>
      <c r="Z29" s="97"/>
      <c r="AA29" s="97"/>
      <c r="AB29" s="97"/>
      <c r="AC29" s="97"/>
      <c r="AD29" s="98" t="s">
        <v>281</v>
      </c>
      <c r="AE29" s="113" t="s">
        <v>442</v>
      </c>
      <c r="AF29" s="96" t="s">
        <v>247</v>
      </c>
      <c r="AG29" s="97"/>
      <c r="AH29" s="97"/>
      <c r="AI29" s="97"/>
      <c r="AJ29" s="96" t="s">
        <v>389</v>
      </c>
      <c r="AK29" s="130"/>
    </row>
    <row r="30" spans="1:37" ht="12" customHeight="1" x14ac:dyDescent="0.2">
      <c r="A30" s="108" t="s">
        <v>443</v>
      </c>
      <c r="B30" s="108" t="s">
        <v>115</v>
      </c>
      <c r="C30" s="108" t="s">
        <v>326</v>
      </c>
      <c r="D30" s="109" t="s">
        <v>384</v>
      </c>
      <c r="E30" s="110" t="s">
        <v>444</v>
      </c>
      <c r="F30" s="96" t="s">
        <v>386</v>
      </c>
      <c r="G30" s="96" t="s">
        <v>387</v>
      </c>
      <c r="H30" s="111" t="s">
        <v>29</v>
      </c>
      <c r="I30" s="96" t="s">
        <v>261</v>
      </c>
      <c r="J30" s="96" t="s">
        <v>247</v>
      </c>
      <c r="K30" s="96"/>
      <c r="L30" s="111" t="s">
        <v>144</v>
      </c>
      <c r="M30" s="96" t="s">
        <v>386</v>
      </c>
      <c r="N30" s="96" t="s">
        <v>388</v>
      </c>
      <c r="O30" s="111" t="s">
        <v>445</v>
      </c>
      <c r="P30" s="112"/>
      <c r="Q30" s="112"/>
      <c r="R30" s="96" t="s">
        <v>333</v>
      </c>
      <c r="S30" s="96" t="s">
        <v>334</v>
      </c>
      <c r="T30" s="96" t="s">
        <v>115</v>
      </c>
      <c r="U30" s="96" t="s">
        <v>335</v>
      </c>
      <c r="V30" s="98" t="s">
        <v>318</v>
      </c>
      <c r="W30" s="96" t="s">
        <v>354</v>
      </c>
      <c r="X30" s="98" t="s">
        <v>355</v>
      </c>
      <c r="Y30" s="97"/>
      <c r="Z30" s="97"/>
      <c r="AA30" s="97"/>
      <c r="AB30" s="97"/>
      <c r="AC30" s="97"/>
      <c r="AD30" s="98" t="s">
        <v>384</v>
      </c>
      <c r="AE30" s="113" t="s">
        <v>347</v>
      </c>
      <c r="AF30" s="96" t="s">
        <v>247</v>
      </c>
      <c r="AG30" s="97"/>
      <c r="AH30" s="97"/>
      <c r="AI30" s="97"/>
      <c r="AJ30" s="96" t="s">
        <v>389</v>
      </c>
      <c r="AK30" s="130"/>
    </row>
    <row r="31" spans="1:37" ht="12" customHeight="1" x14ac:dyDescent="0.2">
      <c r="A31" s="108" t="s">
        <v>446</v>
      </c>
      <c r="B31" s="108" t="s">
        <v>115</v>
      </c>
      <c r="C31" s="108" t="s">
        <v>326</v>
      </c>
      <c r="D31" s="109" t="s">
        <v>281</v>
      </c>
      <c r="E31" s="110" t="s">
        <v>433</v>
      </c>
      <c r="F31" s="96" t="s">
        <v>386</v>
      </c>
      <c r="G31" s="96" t="s">
        <v>387</v>
      </c>
      <c r="H31" s="111" t="s">
        <v>29</v>
      </c>
      <c r="I31" s="96" t="s">
        <v>261</v>
      </c>
      <c r="J31" s="96" t="s">
        <v>247</v>
      </c>
      <c r="K31" s="96"/>
      <c r="L31" s="111" t="s">
        <v>144</v>
      </c>
      <c r="M31" s="96" t="s">
        <v>386</v>
      </c>
      <c r="N31" s="96" t="s">
        <v>388</v>
      </c>
      <c r="O31" s="111" t="s">
        <v>445</v>
      </c>
      <c r="P31" s="112"/>
      <c r="Q31" s="112"/>
      <c r="R31" s="96" t="s">
        <v>333</v>
      </c>
      <c r="S31" s="96" t="s">
        <v>334</v>
      </c>
      <c r="T31" s="96" t="s">
        <v>115</v>
      </c>
      <c r="U31" s="96" t="s">
        <v>335</v>
      </c>
      <c r="V31" s="98" t="s">
        <v>318</v>
      </c>
      <c r="W31" s="96" t="s">
        <v>354</v>
      </c>
      <c r="X31" s="98" t="s">
        <v>355</v>
      </c>
      <c r="Y31" s="97"/>
      <c r="Z31" s="97"/>
      <c r="AA31" s="97"/>
      <c r="AB31" s="97"/>
      <c r="AC31" s="97"/>
      <c r="AD31" s="98" t="s">
        <v>281</v>
      </c>
      <c r="AE31" s="113" t="s">
        <v>434</v>
      </c>
      <c r="AF31" s="96" t="s">
        <v>247</v>
      </c>
      <c r="AG31" s="97"/>
      <c r="AH31" s="97"/>
      <c r="AI31" s="97"/>
      <c r="AJ31" s="96" t="s">
        <v>389</v>
      </c>
      <c r="AK31" s="130"/>
    </row>
    <row r="32" spans="1:37" ht="12" customHeight="1" x14ac:dyDescent="0.2">
      <c r="A32" s="108" t="s">
        <v>447</v>
      </c>
      <c r="B32" s="108" t="s">
        <v>115</v>
      </c>
      <c r="C32" s="108" t="s">
        <v>326</v>
      </c>
      <c r="D32" s="109" t="s">
        <v>384</v>
      </c>
      <c r="E32" s="110" t="s">
        <v>448</v>
      </c>
      <c r="F32" s="96" t="s">
        <v>386</v>
      </c>
      <c r="G32" s="96" t="s">
        <v>387</v>
      </c>
      <c r="H32" s="111" t="s">
        <v>29</v>
      </c>
      <c r="I32" s="96" t="s">
        <v>261</v>
      </c>
      <c r="J32" s="96" t="s">
        <v>247</v>
      </c>
      <c r="K32" s="96"/>
      <c r="L32" s="111" t="s">
        <v>144</v>
      </c>
      <c r="M32" s="96" t="s">
        <v>386</v>
      </c>
      <c r="N32" s="96" t="s">
        <v>388</v>
      </c>
      <c r="O32" s="111" t="s">
        <v>331</v>
      </c>
      <c r="P32" s="112"/>
      <c r="Q32" s="112"/>
      <c r="R32" s="96" t="s">
        <v>333</v>
      </c>
      <c r="S32" s="96" t="s">
        <v>334</v>
      </c>
      <c r="T32" s="96" t="s">
        <v>115</v>
      </c>
      <c r="U32" s="96" t="s">
        <v>335</v>
      </c>
      <c r="V32" s="98" t="s">
        <v>318</v>
      </c>
      <c r="W32" s="96" t="s">
        <v>354</v>
      </c>
      <c r="X32" s="98" t="s">
        <v>355</v>
      </c>
      <c r="Y32" s="97"/>
      <c r="Z32" s="97"/>
      <c r="AA32" s="97"/>
      <c r="AB32" s="97"/>
      <c r="AC32" s="97"/>
      <c r="AD32" s="98" t="s">
        <v>384</v>
      </c>
      <c r="AE32" s="113" t="s">
        <v>321</v>
      </c>
      <c r="AF32" s="96" t="s">
        <v>247</v>
      </c>
      <c r="AG32" s="97"/>
      <c r="AH32" s="97"/>
      <c r="AI32" s="97"/>
      <c r="AJ32" s="96" t="s">
        <v>389</v>
      </c>
      <c r="AK32" s="130"/>
    </row>
    <row r="33" spans="1:37" ht="12" customHeight="1" x14ac:dyDescent="0.2">
      <c r="A33" s="108" t="s">
        <v>449</v>
      </c>
      <c r="B33" s="108" t="s">
        <v>115</v>
      </c>
      <c r="C33" s="108" t="s">
        <v>326</v>
      </c>
      <c r="D33" s="109" t="s">
        <v>384</v>
      </c>
      <c r="E33" s="110" t="s">
        <v>391</v>
      </c>
      <c r="F33" s="96" t="s">
        <v>386</v>
      </c>
      <c r="G33" s="96" t="s">
        <v>387</v>
      </c>
      <c r="H33" s="111" t="s">
        <v>29</v>
      </c>
      <c r="I33" s="96" t="s">
        <v>261</v>
      </c>
      <c r="J33" s="96" t="s">
        <v>247</v>
      </c>
      <c r="K33" s="96"/>
      <c r="L33" s="111" t="s">
        <v>144</v>
      </c>
      <c r="M33" s="96" t="s">
        <v>386</v>
      </c>
      <c r="N33" s="96" t="s">
        <v>388</v>
      </c>
      <c r="O33" s="111" t="s">
        <v>331</v>
      </c>
      <c r="P33" s="112"/>
      <c r="Q33" s="112"/>
      <c r="R33" s="96" t="s">
        <v>333</v>
      </c>
      <c r="S33" s="96" t="s">
        <v>334</v>
      </c>
      <c r="T33" s="96" t="s">
        <v>115</v>
      </c>
      <c r="U33" s="96" t="s">
        <v>335</v>
      </c>
      <c r="V33" s="98" t="s">
        <v>318</v>
      </c>
      <c r="W33" s="96" t="s">
        <v>354</v>
      </c>
      <c r="X33" s="98" t="s">
        <v>355</v>
      </c>
      <c r="Y33" s="97"/>
      <c r="Z33" s="97"/>
      <c r="AA33" s="97"/>
      <c r="AB33" s="97"/>
      <c r="AC33" s="97"/>
      <c r="AD33" s="98" t="s">
        <v>384</v>
      </c>
      <c r="AE33" s="113" t="s">
        <v>385</v>
      </c>
      <c r="AF33" s="96" t="s">
        <v>247</v>
      </c>
      <c r="AG33" s="97"/>
      <c r="AH33" s="97"/>
      <c r="AI33" s="97"/>
      <c r="AJ33" s="96" t="s">
        <v>389</v>
      </c>
      <c r="AK33" s="130"/>
    </row>
    <row r="34" spans="1:37" ht="12" customHeight="1" x14ac:dyDescent="0.2">
      <c r="A34" s="108" t="s">
        <v>450</v>
      </c>
      <c r="B34" s="108" t="s">
        <v>115</v>
      </c>
      <c r="C34" s="108" t="s">
        <v>326</v>
      </c>
      <c r="D34" s="109" t="s">
        <v>384</v>
      </c>
      <c r="E34" s="110" t="s">
        <v>451</v>
      </c>
      <c r="F34" s="96" t="s">
        <v>386</v>
      </c>
      <c r="G34" s="96" t="s">
        <v>387</v>
      </c>
      <c r="H34" s="111" t="s">
        <v>29</v>
      </c>
      <c r="I34" s="96" t="s">
        <v>261</v>
      </c>
      <c r="J34" s="96" t="s">
        <v>247</v>
      </c>
      <c r="K34" s="96"/>
      <c r="L34" s="111" t="s">
        <v>144</v>
      </c>
      <c r="M34" s="96" t="s">
        <v>386</v>
      </c>
      <c r="N34" s="96" t="s">
        <v>388</v>
      </c>
      <c r="O34" s="111" t="s">
        <v>344</v>
      </c>
      <c r="P34" s="112"/>
      <c r="Q34" s="112"/>
      <c r="R34" s="96" t="s">
        <v>333</v>
      </c>
      <c r="S34" s="96" t="s">
        <v>334</v>
      </c>
      <c r="T34" s="96" t="s">
        <v>115</v>
      </c>
      <c r="U34" s="96" t="s">
        <v>335</v>
      </c>
      <c r="V34" s="98" t="s">
        <v>318</v>
      </c>
      <c r="W34" s="96" t="s">
        <v>354</v>
      </c>
      <c r="X34" s="98" t="s">
        <v>355</v>
      </c>
      <c r="Y34" s="97"/>
      <c r="Z34" s="97"/>
      <c r="AA34" s="97"/>
      <c r="AB34" s="97"/>
      <c r="AC34" s="97"/>
      <c r="AD34" s="98" t="s">
        <v>281</v>
      </c>
      <c r="AE34" s="113" t="s">
        <v>362</v>
      </c>
      <c r="AF34" s="96" t="s">
        <v>247</v>
      </c>
      <c r="AG34" s="97"/>
      <c r="AH34" s="97"/>
      <c r="AI34" s="97"/>
      <c r="AJ34" s="96" t="s">
        <v>389</v>
      </c>
      <c r="AK34" s="130"/>
    </row>
    <row r="35" spans="1:37" ht="12" customHeight="1" x14ac:dyDescent="0.2">
      <c r="A35" s="108" t="s">
        <v>452</v>
      </c>
      <c r="B35" s="108" t="s">
        <v>115</v>
      </c>
      <c r="C35" s="108" t="s">
        <v>326</v>
      </c>
      <c r="D35" s="109" t="s">
        <v>384</v>
      </c>
      <c r="E35" s="110" t="s">
        <v>453</v>
      </c>
      <c r="F35" s="96" t="s">
        <v>386</v>
      </c>
      <c r="G35" s="96" t="s">
        <v>387</v>
      </c>
      <c r="H35" s="111" t="s">
        <v>29</v>
      </c>
      <c r="I35" s="96" t="s">
        <v>261</v>
      </c>
      <c r="J35" s="96" t="s">
        <v>247</v>
      </c>
      <c r="K35" s="96"/>
      <c r="L35" s="111" t="s">
        <v>144</v>
      </c>
      <c r="M35" s="96" t="s">
        <v>386</v>
      </c>
      <c r="N35" s="96" t="s">
        <v>388</v>
      </c>
      <c r="O35" s="111" t="s">
        <v>344</v>
      </c>
      <c r="P35" s="112"/>
      <c r="Q35" s="112"/>
      <c r="R35" s="96" t="s">
        <v>333</v>
      </c>
      <c r="S35" s="96" t="s">
        <v>334</v>
      </c>
      <c r="T35" s="96" t="s">
        <v>115</v>
      </c>
      <c r="U35" s="96" t="s">
        <v>335</v>
      </c>
      <c r="V35" s="98" t="s">
        <v>318</v>
      </c>
      <c r="W35" s="96" t="s">
        <v>354</v>
      </c>
      <c r="X35" s="98" t="s">
        <v>355</v>
      </c>
      <c r="Y35" s="97"/>
      <c r="Z35" s="97"/>
      <c r="AA35" s="97"/>
      <c r="AB35" s="97"/>
      <c r="AC35" s="97"/>
      <c r="AD35" s="98" t="s">
        <v>384</v>
      </c>
      <c r="AE35" s="113" t="s">
        <v>454</v>
      </c>
      <c r="AF35" s="96" t="s">
        <v>247</v>
      </c>
      <c r="AG35" s="97"/>
      <c r="AH35" s="97"/>
      <c r="AI35" s="97"/>
      <c r="AJ35" s="96" t="s">
        <v>389</v>
      </c>
      <c r="AK35" s="130"/>
    </row>
    <row r="36" spans="1:37" ht="12" customHeight="1" x14ac:dyDescent="0.2">
      <c r="A36" s="108" t="s">
        <v>455</v>
      </c>
      <c r="B36" s="108" t="s">
        <v>115</v>
      </c>
      <c r="C36" s="108" t="s">
        <v>326</v>
      </c>
      <c r="D36" s="109" t="s">
        <v>384</v>
      </c>
      <c r="E36" s="110" t="s">
        <v>456</v>
      </c>
      <c r="F36" s="96" t="s">
        <v>386</v>
      </c>
      <c r="G36" s="96" t="s">
        <v>387</v>
      </c>
      <c r="H36" s="111" t="s">
        <v>29</v>
      </c>
      <c r="I36" s="96" t="s">
        <v>261</v>
      </c>
      <c r="J36" s="96" t="s">
        <v>247</v>
      </c>
      <c r="K36" s="96"/>
      <c r="L36" s="111" t="s">
        <v>144</v>
      </c>
      <c r="M36" s="96" t="s">
        <v>386</v>
      </c>
      <c r="N36" s="96" t="s">
        <v>388</v>
      </c>
      <c r="O36" s="111" t="s">
        <v>344</v>
      </c>
      <c r="P36" s="112"/>
      <c r="Q36" s="112"/>
      <c r="R36" s="96" t="s">
        <v>333</v>
      </c>
      <c r="S36" s="96" t="s">
        <v>334</v>
      </c>
      <c r="T36" s="96" t="s">
        <v>115</v>
      </c>
      <c r="U36" s="96" t="s">
        <v>335</v>
      </c>
      <c r="V36" s="98" t="s">
        <v>318</v>
      </c>
      <c r="W36" s="96" t="s">
        <v>354</v>
      </c>
      <c r="X36" s="98" t="s">
        <v>355</v>
      </c>
      <c r="Y36" s="97"/>
      <c r="Z36" s="97"/>
      <c r="AA36" s="97"/>
      <c r="AB36" s="97"/>
      <c r="AC36" s="97"/>
      <c r="AD36" s="98" t="s">
        <v>384</v>
      </c>
      <c r="AE36" s="113" t="s">
        <v>338</v>
      </c>
      <c r="AF36" s="96" t="s">
        <v>247</v>
      </c>
      <c r="AG36" s="97"/>
      <c r="AH36" s="97"/>
      <c r="AI36" s="97"/>
      <c r="AJ36" s="96" t="s">
        <v>389</v>
      </c>
      <c r="AK36" s="130"/>
    </row>
    <row r="37" spans="1:37" ht="12" customHeight="1" x14ac:dyDescent="0.2">
      <c r="A37" s="108" t="s">
        <v>457</v>
      </c>
      <c r="B37" s="108" t="s">
        <v>115</v>
      </c>
      <c r="C37" s="108" t="s">
        <v>326</v>
      </c>
      <c r="D37" s="109" t="s">
        <v>384</v>
      </c>
      <c r="E37" s="110" t="s">
        <v>458</v>
      </c>
      <c r="F37" s="96" t="s">
        <v>386</v>
      </c>
      <c r="G37" s="96" t="s">
        <v>387</v>
      </c>
      <c r="H37" s="111" t="s">
        <v>29</v>
      </c>
      <c r="I37" s="96" t="s">
        <v>261</v>
      </c>
      <c r="J37" s="96" t="s">
        <v>247</v>
      </c>
      <c r="K37" s="96"/>
      <c r="L37" s="111" t="s">
        <v>144</v>
      </c>
      <c r="M37" s="96" t="s">
        <v>386</v>
      </c>
      <c r="N37" s="96" t="s">
        <v>388</v>
      </c>
      <c r="O37" s="111" t="s">
        <v>344</v>
      </c>
      <c r="P37" s="112"/>
      <c r="Q37" s="112"/>
      <c r="R37" s="96" t="s">
        <v>333</v>
      </c>
      <c r="S37" s="96" t="s">
        <v>334</v>
      </c>
      <c r="T37" s="96" t="s">
        <v>115</v>
      </c>
      <c r="U37" s="96" t="s">
        <v>335</v>
      </c>
      <c r="V37" s="98" t="s">
        <v>318</v>
      </c>
      <c r="W37" s="96" t="s">
        <v>354</v>
      </c>
      <c r="X37" s="98" t="s">
        <v>355</v>
      </c>
      <c r="Y37" s="97"/>
      <c r="Z37" s="97"/>
      <c r="AA37" s="97"/>
      <c r="AB37" s="97"/>
      <c r="AC37" s="97"/>
      <c r="AD37" s="98" t="s">
        <v>384</v>
      </c>
      <c r="AE37" s="113" t="s">
        <v>459</v>
      </c>
      <c r="AF37" s="96" t="s">
        <v>247</v>
      </c>
      <c r="AG37" s="97"/>
      <c r="AH37" s="97"/>
      <c r="AI37" s="97"/>
      <c r="AJ37" s="96" t="s">
        <v>389</v>
      </c>
      <c r="AK37" s="130"/>
    </row>
    <row r="38" spans="1:37" ht="12" customHeight="1" x14ac:dyDescent="0.2">
      <c r="A38" s="108" t="s">
        <v>460</v>
      </c>
      <c r="B38" s="108" t="s">
        <v>115</v>
      </c>
      <c r="C38" s="108" t="s">
        <v>326</v>
      </c>
      <c r="D38" s="109" t="s">
        <v>384</v>
      </c>
      <c r="E38" s="110" t="s">
        <v>453</v>
      </c>
      <c r="F38" s="96" t="s">
        <v>386</v>
      </c>
      <c r="G38" s="96" t="s">
        <v>387</v>
      </c>
      <c r="H38" s="111" t="s">
        <v>29</v>
      </c>
      <c r="I38" s="96" t="s">
        <v>261</v>
      </c>
      <c r="J38" s="96" t="s">
        <v>247</v>
      </c>
      <c r="K38" s="96"/>
      <c r="L38" s="111" t="s">
        <v>144</v>
      </c>
      <c r="M38" s="96" t="s">
        <v>386</v>
      </c>
      <c r="N38" s="96" t="s">
        <v>388</v>
      </c>
      <c r="O38" s="111" t="s">
        <v>266</v>
      </c>
      <c r="P38" s="112"/>
      <c r="Q38" s="112"/>
      <c r="R38" s="96" t="s">
        <v>333</v>
      </c>
      <c r="S38" s="96" t="s">
        <v>334</v>
      </c>
      <c r="T38" s="96" t="s">
        <v>115</v>
      </c>
      <c r="U38" s="96" t="s">
        <v>335</v>
      </c>
      <c r="V38" s="98" t="s">
        <v>318</v>
      </c>
      <c r="W38" s="96" t="s">
        <v>354</v>
      </c>
      <c r="X38" s="98" t="s">
        <v>355</v>
      </c>
      <c r="Y38" s="97"/>
      <c r="Z38" s="97"/>
      <c r="AA38" s="97"/>
      <c r="AB38" s="97"/>
      <c r="AC38" s="97"/>
      <c r="AD38" s="98" t="s">
        <v>384</v>
      </c>
      <c r="AE38" s="113" t="s">
        <v>454</v>
      </c>
      <c r="AF38" s="96" t="s">
        <v>247</v>
      </c>
      <c r="AG38" s="97"/>
      <c r="AH38" s="97"/>
      <c r="AI38" s="97"/>
      <c r="AJ38" s="96" t="s">
        <v>389</v>
      </c>
      <c r="AK38" s="130"/>
    </row>
    <row r="39" spans="1:37" ht="12" customHeight="1" x14ac:dyDescent="0.2">
      <c r="A39" s="108" t="s">
        <v>461</v>
      </c>
      <c r="B39" s="108" t="s">
        <v>115</v>
      </c>
      <c r="C39" s="108" t="s">
        <v>326</v>
      </c>
      <c r="D39" s="109" t="s">
        <v>282</v>
      </c>
      <c r="E39" s="110" t="s">
        <v>462</v>
      </c>
      <c r="F39" s="96" t="s">
        <v>396</v>
      </c>
      <c r="G39" s="96" t="s">
        <v>397</v>
      </c>
      <c r="H39" s="111" t="s">
        <v>29</v>
      </c>
      <c r="I39" s="96" t="s">
        <v>261</v>
      </c>
      <c r="J39" s="96" t="s">
        <v>247</v>
      </c>
      <c r="K39" s="96"/>
      <c r="L39" s="111" t="s">
        <v>144</v>
      </c>
      <c r="M39" s="96" t="s">
        <v>396</v>
      </c>
      <c r="N39" s="96" t="s">
        <v>398</v>
      </c>
      <c r="O39" s="111" t="s">
        <v>266</v>
      </c>
      <c r="P39" s="112"/>
      <c r="Q39" s="112"/>
      <c r="R39" s="96" t="s">
        <v>333</v>
      </c>
      <c r="S39" s="96" t="s">
        <v>334</v>
      </c>
      <c r="T39" s="96" t="s">
        <v>115</v>
      </c>
      <c r="U39" s="96" t="s">
        <v>335</v>
      </c>
      <c r="V39" s="98" t="s">
        <v>318</v>
      </c>
      <c r="W39" s="96" t="s">
        <v>399</v>
      </c>
      <c r="X39" s="98" t="s">
        <v>337</v>
      </c>
      <c r="Y39" s="97"/>
      <c r="Z39" s="97"/>
      <c r="AA39" s="97"/>
      <c r="AB39" s="97"/>
      <c r="AC39" s="97"/>
      <c r="AD39" s="98" t="s">
        <v>282</v>
      </c>
      <c r="AE39" s="113" t="s">
        <v>463</v>
      </c>
      <c r="AF39" s="96" t="s">
        <v>247</v>
      </c>
      <c r="AG39" s="97"/>
      <c r="AH39" s="97"/>
      <c r="AI39" s="97"/>
      <c r="AJ39" s="96" t="s">
        <v>401</v>
      </c>
      <c r="AK39" s="130"/>
    </row>
    <row r="40" spans="1:37" ht="12" customHeight="1" x14ac:dyDescent="0.2">
      <c r="A40" s="108" t="s">
        <v>464</v>
      </c>
      <c r="B40" s="108" t="s">
        <v>115</v>
      </c>
      <c r="C40" s="108" t="s">
        <v>326</v>
      </c>
      <c r="D40" s="109" t="s">
        <v>384</v>
      </c>
      <c r="E40" s="110" t="s">
        <v>465</v>
      </c>
      <c r="F40" s="96" t="s">
        <v>386</v>
      </c>
      <c r="G40" s="96" t="s">
        <v>387</v>
      </c>
      <c r="H40" s="111" t="s">
        <v>29</v>
      </c>
      <c r="I40" s="96" t="s">
        <v>261</v>
      </c>
      <c r="J40" s="96" t="s">
        <v>247</v>
      </c>
      <c r="K40" s="96"/>
      <c r="L40" s="111" t="s">
        <v>144</v>
      </c>
      <c r="M40" s="96" t="s">
        <v>386</v>
      </c>
      <c r="N40" s="96" t="s">
        <v>388</v>
      </c>
      <c r="O40" s="111" t="s">
        <v>266</v>
      </c>
      <c r="P40" s="112"/>
      <c r="Q40" s="112"/>
      <c r="R40" s="96" t="s">
        <v>333</v>
      </c>
      <c r="S40" s="96" t="s">
        <v>334</v>
      </c>
      <c r="T40" s="96" t="s">
        <v>115</v>
      </c>
      <c r="U40" s="96" t="s">
        <v>335</v>
      </c>
      <c r="V40" s="98" t="s">
        <v>318</v>
      </c>
      <c r="W40" s="96" t="s">
        <v>354</v>
      </c>
      <c r="X40" s="98" t="s">
        <v>355</v>
      </c>
      <c r="Y40" s="97"/>
      <c r="Z40" s="97"/>
      <c r="AA40" s="97"/>
      <c r="AB40" s="97"/>
      <c r="AC40" s="97"/>
      <c r="AD40" s="98" t="s">
        <v>384</v>
      </c>
      <c r="AE40" s="113" t="s">
        <v>323</v>
      </c>
      <c r="AF40" s="96" t="s">
        <v>247</v>
      </c>
      <c r="AG40" s="97"/>
      <c r="AH40" s="97"/>
      <c r="AI40" s="97"/>
      <c r="AJ40" s="96" t="s">
        <v>389</v>
      </c>
      <c r="AK40" s="130"/>
    </row>
    <row r="41" spans="1:37" ht="12" customHeight="1" x14ac:dyDescent="0.2">
      <c r="A41" s="108" t="s">
        <v>466</v>
      </c>
      <c r="B41" s="108" t="s">
        <v>115</v>
      </c>
      <c r="C41" s="108" t="s">
        <v>326</v>
      </c>
      <c r="D41" s="109" t="s">
        <v>384</v>
      </c>
      <c r="E41" s="110" t="s">
        <v>467</v>
      </c>
      <c r="F41" s="96" t="s">
        <v>386</v>
      </c>
      <c r="G41" s="96" t="s">
        <v>387</v>
      </c>
      <c r="H41" s="111" t="s">
        <v>29</v>
      </c>
      <c r="I41" s="96" t="s">
        <v>261</v>
      </c>
      <c r="J41" s="96" t="s">
        <v>247</v>
      </c>
      <c r="K41" s="96"/>
      <c r="L41" s="111" t="s">
        <v>144</v>
      </c>
      <c r="M41" s="96" t="s">
        <v>386</v>
      </c>
      <c r="N41" s="96" t="s">
        <v>388</v>
      </c>
      <c r="O41" s="111" t="s">
        <v>266</v>
      </c>
      <c r="P41" s="112"/>
      <c r="Q41" s="112"/>
      <c r="R41" s="96" t="s">
        <v>333</v>
      </c>
      <c r="S41" s="96" t="s">
        <v>334</v>
      </c>
      <c r="T41" s="96" t="s">
        <v>115</v>
      </c>
      <c r="U41" s="96" t="s">
        <v>335</v>
      </c>
      <c r="V41" s="98" t="s">
        <v>318</v>
      </c>
      <c r="W41" s="96" t="s">
        <v>354</v>
      </c>
      <c r="X41" s="98" t="s">
        <v>355</v>
      </c>
      <c r="Y41" s="97"/>
      <c r="Z41" s="97"/>
      <c r="AA41" s="97"/>
      <c r="AB41" s="97"/>
      <c r="AC41" s="97"/>
      <c r="AD41" s="98" t="s">
        <v>384</v>
      </c>
      <c r="AE41" s="113" t="s">
        <v>434</v>
      </c>
      <c r="AF41" s="96" t="s">
        <v>247</v>
      </c>
      <c r="AG41" s="97"/>
      <c r="AH41" s="97"/>
      <c r="AI41" s="97"/>
      <c r="AJ41" s="96" t="s">
        <v>389</v>
      </c>
      <c r="AK41" s="130"/>
    </row>
    <row r="42" spans="1:37" ht="12" customHeight="1" x14ac:dyDescent="0.2">
      <c r="A42" s="108" t="s">
        <v>468</v>
      </c>
      <c r="B42" s="108" t="s">
        <v>115</v>
      </c>
      <c r="C42" s="108" t="s">
        <v>326</v>
      </c>
      <c r="D42" s="109" t="s">
        <v>282</v>
      </c>
      <c r="E42" s="110" t="s">
        <v>469</v>
      </c>
      <c r="F42" s="96" t="s">
        <v>396</v>
      </c>
      <c r="G42" s="96" t="s">
        <v>397</v>
      </c>
      <c r="H42" s="111" t="s">
        <v>29</v>
      </c>
      <c r="I42" s="96" t="s">
        <v>261</v>
      </c>
      <c r="J42" s="96" t="s">
        <v>247</v>
      </c>
      <c r="K42" s="96"/>
      <c r="L42" s="111" t="s">
        <v>144</v>
      </c>
      <c r="M42" s="96" t="s">
        <v>396</v>
      </c>
      <c r="N42" s="96" t="s">
        <v>398</v>
      </c>
      <c r="O42" s="111" t="s">
        <v>289</v>
      </c>
      <c r="P42" s="112"/>
      <c r="Q42" s="112"/>
      <c r="R42" s="96" t="s">
        <v>333</v>
      </c>
      <c r="S42" s="96" t="s">
        <v>334</v>
      </c>
      <c r="T42" s="96" t="s">
        <v>115</v>
      </c>
      <c r="U42" s="96" t="s">
        <v>335</v>
      </c>
      <c r="V42" s="98" t="s">
        <v>318</v>
      </c>
      <c r="W42" s="96" t="s">
        <v>399</v>
      </c>
      <c r="X42" s="98" t="s">
        <v>337</v>
      </c>
      <c r="Y42" s="97"/>
      <c r="Z42" s="97"/>
      <c r="AA42" s="97"/>
      <c r="AB42" s="97"/>
      <c r="AC42" s="97"/>
      <c r="AD42" s="98" t="s">
        <v>282</v>
      </c>
      <c r="AE42" s="113" t="s">
        <v>463</v>
      </c>
      <c r="AF42" s="96" t="s">
        <v>247</v>
      </c>
      <c r="AG42" s="97"/>
      <c r="AH42" s="97"/>
      <c r="AI42" s="97"/>
      <c r="AJ42" s="96" t="s">
        <v>401</v>
      </c>
      <c r="AK42" s="130"/>
    </row>
    <row r="43" spans="1:37" ht="12" customHeight="1" x14ac:dyDescent="0.2">
      <c r="A43" s="108" t="s">
        <v>470</v>
      </c>
      <c r="B43" s="108" t="s">
        <v>115</v>
      </c>
      <c r="C43" s="108" t="s">
        <v>326</v>
      </c>
      <c r="D43" s="109" t="s">
        <v>384</v>
      </c>
      <c r="E43" s="110" t="s">
        <v>471</v>
      </c>
      <c r="F43" s="96" t="s">
        <v>386</v>
      </c>
      <c r="G43" s="96" t="s">
        <v>387</v>
      </c>
      <c r="H43" s="111" t="s">
        <v>29</v>
      </c>
      <c r="I43" s="96" t="s">
        <v>261</v>
      </c>
      <c r="J43" s="96" t="s">
        <v>247</v>
      </c>
      <c r="K43" s="96"/>
      <c r="L43" s="111" t="s">
        <v>144</v>
      </c>
      <c r="M43" s="96" t="s">
        <v>386</v>
      </c>
      <c r="N43" s="96" t="s">
        <v>388</v>
      </c>
      <c r="O43" s="111" t="s">
        <v>289</v>
      </c>
      <c r="P43" s="112"/>
      <c r="Q43" s="112"/>
      <c r="R43" s="96" t="s">
        <v>333</v>
      </c>
      <c r="S43" s="96" t="s">
        <v>334</v>
      </c>
      <c r="T43" s="96" t="s">
        <v>115</v>
      </c>
      <c r="U43" s="96" t="s">
        <v>335</v>
      </c>
      <c r="V43" s="98" t="s">
        <v>318</v>
      </c>
      <c r="W43" s="96" t="s">
        <v>354</v>
      </c>
      <c r="X43" s="98" t="s">
        <v>355</v>
      </c>
      <c r="Y43" s="97"/>
      <c r="Z43" s="97"/>
      <c r="AA43" s="97"/>
      <c r="AB43" s="97"/>
      <c r="AC43" s="97"/>
      <c r="AD43" s="98" t="s">
        <v>384</v>
      </c>
      <c r="AE43" s="113" t="s">
        <v>385</v>
      </c>
      <c r="AF43" s="96" t="s">
        <v>247</v>
      </c>
      <c r="AG43" s="97"/>
      <c r="AH43" s="97"/>
      <c r="AI43" s="97"/>
      <c r="AJ43" s="96" t="s">
        <v>389</v>
      </c>
      <c r="AK43" s="130"/>
    </row>
    <row r="44" spans="1:37" ht="12" customHeight="1" x14ac:dyDescent="0.2">
      <c r="A44" s="108" t="s">
        <v>472</v>
      </c>
      <c r="B44" s="108" t="s">
        <v>115</v>
      </c>
      <c r="C44" s="108" t="s">
        <v>326</v>
      </c>
      <c r="D44" s="109" t="s">
        <v>384</v>
      </c>
      <c r="E44" s="110" t="s">
        <v>473</v>
      </c>
      <c r="F44" s="96" t="s">
        <v>386</v>
      </c>
      <c r="G44" s="96" t="s">
        <v>387</v>
      </c>
      <c r="H44" s="111" t="s">
        <v>29</v>
      </c>
      <c r="I44" s="96" t="s">
        <v>261</v>
      </c>
      <c r="J44" s="96" t="s">
        <v>247</v>
      </c>
      <c r="K44" s="96"/>
      <c r="L44" s="111" t="s">
        <v>144</v>
      </c>
      <c r="M44" s="96" t="s">
        <v>386</v>
      </c>
      <c r="N44" s="96" t="s">
        <v>388</v>
      </c>
      <c r="O44" s="111" t="s">
        <v>289</v>
      </c>
      <c r="P44" s="112"/>
      <c r="Q44" s="112"/>
      <c r="R44" s="96" t="s">
        <v>333</v>
      </c>
      <c r="S44" s="96" t="s">
        <v>334</v>
      </c>
      <c r="T44" s="96" t="s">
        <v>115</v>
      </c>
      <c r="U44" s="96" t="s">
        <v>335</v>
      </c>
      <c r="V44" s="98" t="s">
        <v>318</v>
      </c>
      <c r="W44" s="96" t="s">
        <v>354</v>
      </c>
      <c r="X44" s="98" t="s">
        <v>355</v>
      </c>
      <c r="Y44" s="97"/>
      <c r="Z44" s="97"/>
      <c r="AA44" s="97"/>
      <c r="AB44" s="97"/>
      <c r="AC44" s="97"/>
      <c r="AD44" s="98" t="s">
        <v>384</v>
      </c>
      <c r="AE44" s="113" t="s">
        <v>347</v>
      </c>
      <c r="AF44" s="96" t="s">
        <v>247</v>
      </c>
      <c r="AG44" s="97"/>
      <c r="AH44" s="97"/>
      <c r="AI44" s="97"/>
      <c r="AJ44" s="96" t="s">
        <v>389</v>
      </c>
      <c r="AK44" s="130"/>
    </row>
    <row r="45" spans="1:37" ht="12" customHeight="1" x14ac:dyDescent="0.2">
      <c r="A45" s="108" t="s">
        <v>474</v>
      </c>
      <c r="B45" s="108" t="s">
        <v>115</v>
      </c>
      <c r="C45" s="108" t="s">
        <v>326</v>
      </c>
      <c r="D45" s="109" t="s">
        <v>384</v>
      </c>
      <c r="E45" s="110" t="s">
        <v>475</v>
      </c>
      <c r="F45" s="96" t="s">
        <v>386</v>
      </c>
      <c r="G45" s="96" t="s">
        <v>387</v>
      </c>
      <c r="H45" s="111" t="s">
        <v>29</v>
      </c>
      <c r="I45" s="96" t="s">
        <v>261</v>
      </c>
      <c r="J45" s="96" t="s">
        <v>247</v>
      </c>
      <c r="K45" s="96"/>
      <c r="L45" s="111" t="s">
        <v>144</v>
      </c>
      <c r="M45" s="96" t="s">
        <v>386</v>
      </c>
      <c r="N45" s="96" t="s">
        <v>388</v>
      </c>
      <c r="O45" s="111" t="s">
        <v>266</v>
      </c>
      <c r="P45" s="112"/>
      <c r="Q45" s="112"/>
      <c r="R45" s="96" t="s">
        <v>333</v>
      </c>
      <c r="S45" s="96" t="s">
        <v>334</v>
      </c>
      <c r="T45" s="96" t="s">
        <v>115</v>
      </c>
      <c r="U45" s="96" t="s">
        <v>335</v>
      </c>
      <c r="V45" s="98" t="s">
        <v>318</v>
      </c>
      <c r="W45" s="96" t="s">
        <v>354</v>
      </c>
      <c r="X45" s="98" t="s">
        <v>355</v>
      </c>
      <c r="Y45" s="97"/>
      <c r="Z45" s="97"/>
      <c r="AA45" s="97"/>
      <c r="AB45" s="97"/>
      <c r="AC45" s="97"/>
      <c r="AD45" s="98" t="s">
        <v>384</v>
      </c>
      <c r="AE45" s="113" t="s">
        <v>385</v>
      </c>
      <c r="AF45" s="96" t="s">
        <v>247</v>
      </c>
      <c r="AG45" s="97"/>
      <c r="AH45" s="97"/>
      <c r="AI45" s="97"/>
      <c r="AJ45" s="96" t="s">
        <v>389</v>
      </c>
      <c r="AK45" s="130"/>
    </row>
    <row r="46" spans="1:37" ht="12" customHeight="1" x14ac:dyDescent="0.2">
      <c r="A46" s="108" t="s">
        <v>476</v>
      </c>
      <c r="B46" s="108" t="s">
        <v>115</v>
      </c>
      <c r="C46" s="108" t="s">
        <v>326</v>
      </c>
      <c r="D46" s="109" t="s">
        <v>316</v>
      </c>
      <c r="E46" s="110" t="s">
        <v>424</v>
      </c>
      <c r="F46" s="96" t="s">
        <v>425</v>
      </c>
      <c r="G46" s="96" t="s">
        <v>373</v>
      </c>
      <c r="H46" s="111" t="s">
        <v>29</v>
      </c>
      <c r="I46" s="96" t="s">
        <v>261</v>
      </c>
      <c r="J46" s="96" t="s">
        <v>247</v>
      </c>
      <c r="K46" s="96"/>
      <c r="L46" s="111" t="s">
        <v>144</v>
      </c>
      <c r="M46" s="96" t="s">
        <v>425</v>
      </c>
      <c r="N46" s="96" t="s">
        <v>284</v>
      </c>
      <c r="O46" s="111" t="s">
        <v>293</v>
      </c>
      <c r="P46" s="112"/>
      <c r="Q46" s="112"/>
      <c r="R46" s="96" t="s">
        <v>333</v>
      </c>
      <c r="S46" s="96" t="s">
        <v>334</v>
      </c>
      <c r="T46" s="96" t="s">
        <v>115</v>
      </c>
      <c r="U46" s="96" t="s">
        <v>335</v>
      </c>
      <c r="V46" s="98" t="s">
        <v>318</v>
      </c>
      <c r="W46" s="96" t="s">
        <v>426</v>
      </c>
      <c r="X46" s="98" t="s">
        <v>337</v>
      </c>
      <c r="Y46" s="97"/>
      <c r="Z46" s="97"/>
      <c r="AA46" s="97"/>
      <c r="AB46" s="97"/>
      <c r="AC46" s="97"/>
      <c r="AD46" s="98" t="s">
        <v>316</v>
      </c>
      <c r="AE46" s="113" t="s">
        <v>323</v>
      </c>
      <c r="AF46" s="96" t="s">
        <v>247</v>
      </c>
      <c r="AG46" s="97"/>
      <c r="AH46" s="97"/>
      <c r="AI46" s="97"/>
      <c r="AJ46" s="96" t="s">
        <v>427</v>
      </c>
      <c r="AK46" s="130"/>
    </row>
    <row r="47" spans="1:37" ht="12" customHeight="1" x14ac:dyDescent="0.2">
      <c r="A47" s="108" t="s">
        <v>477</v>
      </c>
      <c r="B47" s="108" t="s">
        <v>115</v>
      </c>
      <c r="C47" s="108" t="s">
        <v>326</v>
      </c>
      <c r="D47" s="109" t="s">
        <v>316</v>
      </c>
      <c r="E47" s="110" t="s">
        <v>478</v>
      </c>
      <c r="F47" s="96" t="s">
        <v>479</v>
      </c>
      <c r="G47" s="96" t="s">
        <v>480</v>
      </c>
      <c r="H47" s="111" t="s">
        <v>21</v>
      </c>
      <c r="I47" s="96" t="s">
        <v>261</v>
      </c>
      <c r="J47" s="96" t="s">
        <v>247</v>
      </c>
      <c r="K47" s="96"/>
      <c r="L47" s="111" t="s">
        <v>144</v>
      </c>
      <c r="M47" s="96" t="s">
        <v>479</v>
      </c>
      <c r="N47" s="96" t="s">
        <v>287</v>
      </c>
      <c r="O47" s="111" t="s">
        <v>293</v>
      </c>
      <c r="P47" s="112"/>
      <c r="Q47" s="112"/>
      <c r="R47" s="96" t="s">
        <v>333</v>
      </c>
      <c r="S47" s="96" t="s">
        <v>334</v>
      </c>
      <c r="T47" s="96" t="s">
        <v>115</v>
      </c>
      <c r="U47" s="96" t="s">
        <v>335</v>
      </c>
      <c r="V47" s="98" t="s">
        <v>318</v>
      </c>
      <c r="W47" s="96" t="s">
        <v>481</v>
      </c>
      <c r="X47" s="98" t="s">
        <v>337</v>
      </c>
      <c r="Y47" s="97"/>
      <c r="Z47" s="97"/>
      <c r="AA47" s="97"/>
      <c r="AB47" s="97"/>
      <c r="AC47" s="97"/>
      <c r="AD47" s="98" t="s">
        <v>316</v>
      </c>
      <c r="AE47" s="113" t="s">
        <v>482</v>
      </c>
      <c r="AF47" s="96" t="s">
        <v>247</v>
      </c>
      <c r="AG47" s="97"/>
      <c r="AH47" s="97"/>
      <c r="AI47" s="97"/>
      <c r="AJ47" s="96" t="s">
        <v>483</v>
      </c>
      <c r="AK47" s="130"/>
    </row>
    <row r="48" spans="1:37" ht="12" customHeight="1" x14ac:dyDescent="0.2">
      <c r="A48" s="108" t="s">
        <v>484</v>
      </c>
      <c r="B48" s="108" t="s">
        <v>115</v>
      </c>
      <c r="C48" s="108" t="s">
        <v>326</v>
      </c>
      <c r="D48" s="109" t="s">
        <v>377</v>
      </c>
      <c r="E48" s="110" t="s">
        <v>485</v>
      </c>
      <c r="F48" s="96" t="s">
        <v>486</v>
      </c>
      <c r="G48" s="96" t="s">
        <v>480</v>
      </c>
      <c r="H48" s="111" t="s">
        <v>21</v>
      </c>
      <c r="I48" s="96" t="s">
        <v>261</v>
      </c>
      <c r="J48" s="96" t="s">
        <v>247</v>
      </c>
      <c r="K48" s="96"/>
      <c r="L48" s="111" t="s">
        <v>144</v>
      </c>
      <c r="M48" s="96" t="s">
        <v>486</v>
      </c>
      <c r="N48" s="96" t="s">
        <v>287</v>
      </c>
      <c r="O48" s="111" t="s">
        <v>293</v>
      </c>
      <c r="P48" s="112"/>
      <c r="Q48" s="112"/>
      <c r="R48" s="96" t="s">
        <v>333</v>
      </c>
      <c r="S48" s="96" t="s">
        <v>334</v>
      </c>
      <c r="T48" s="96" t="s">
        <v>115</v>
      </c>
      <c r="U48" s="96" t="s">
        <v>335</v>
      </c>
      <c r="V48" s="98" t="s">
        <v>318</v>
      </c>
      <c r="W48" s="96" t="s">
        <v>481</v>
      </c>
      <c r="X48" s="98" t="s">
        <v>337</v>
      </c>
      <c r="Y48" s="97"/>
      <c r="Z48" s="97"/>
      <c r="AA48" s="97"/>
      <c r="AB48" s="97"/>
      <c r="AC48" s="97"/>
      <c r="AD48" s="98" t="s">
        <v>327</v>
      </c>
      <c r="AE48" s="113" t="s">
        <v>487</v>
      </c>
      <c r="AF48" s="96" t="s">
        <v>247</v>
      </c>
      <c r="AG48" s="97"/>
      <c r="AH48" s="97"/>
      <c r="AI48" s="97"/>
      <c r="AJ48" s="96" t="s">
        <v>483</v>
      </c>
      <c r="AK48" s="130"/>
    </row>
    <row r="49" spans="1:37" ht="12" customHeight="1" x14ac:dyDescent="0.2">
      <c r="A49" s="108" t="s">
        <v>488</v>
      </c>
      <c r="B49" s="108" t="s">
        <v>115</v>
      </c>
      <c r="C49" s="108" t="s">
        <v>326</v>
      </c>
      <c r="D49" s="109" t="s">
        <v>280</v>
      </c>
      <c r="E49" s="110" t="s">
        <v>489</v>
      </c>
      <c r="F49" s="96" t="s">
        <v>490</v>
      </c>
      <c r="G49" s="96" t="s">
        <v>480</v>
      </c>
      <c r="H49" s="111" t="s">
        <v>21</v>
      </c>
      <c r="I49" s="96" t="s">
        <v>261</v>
      </c>
      <c r="J49" s="96" t="s">
        <v>247</v>
      </c>
      <c r="K49" s="96"/>
      <c r="L49" s="111" t="s">
        <v>144</v>
      </c>
      <c r="M49" s="96" t="s">
        <v>490</v>
      </c>
      <c r="N49" s="96" t="s">
        <v>287</v>
      </c>
      <c r="O49" s="111" t="s">
        <v>293</v>
      </c>
      <c r="P49" s="112"/>
      <c r="Q49" s="112"/>
      <c r="R49" s="96" t="s">
        <v>333</v>
      </c>
      <c r="S49" s="96" t="s">
        <v>334</v>
      </c>
      <c r="T49" s="96" t="s">
        <v>115</v>
      </c>
      <c r="U49" s="96" t="s">
        <v>335</v>
      </c>
      <c r="V49" s="98" t="s">
        <v>318</v>
      </c>
      <c r="W49" s="96" t="s">
        <v>481</v>
      </c>
      <c r="X49" s="98" t="s">
        <v>337</v>
      </c>
      <c r="Y49" s="97"/>
      <c r="Z49" s="97"/>
      <c r="AA49" s="97"/>
      <c r="AB49" s="97"/>
      <c r="AC49" s="97"/>
      <c r="AD49" s="98" t="s">
        <v>316</v>
      </c>
      <c r="AE49" s="113" t="s">
        <v>491</v>
      </c>
      <c r="AF49" s="96" t="s">
        <v>247</v>
      </c>
      <c r="AG49" s="97"/>
      <c r="AH49" s="97"/>
      <c r="AI49" s="97"/>
      <c r="AJ49" s="96" t="s">
        <v>483</v>
      </c>
      <c r="AK49" s="130"/>
    </row>
    <row r="50" spans="1:37" ht="12" customHeight="1" x14ac:dyDescent="0.2">
      <c r="A50" s="108" t="s">
        <v>492</v>
      </c>
      <c r="B50" s="108" t="s">
        <v>115</v>
      </c>
      <c r="C50" s="108" t="s">
        <v>326</v>
      </c>
      <c r="D50" s="109" t="s">
        <v>291</v>
      </c>
      <c r="E50" s="110" t="s">
        <v>493</v>
      </c>
      <c r="F50" s="96" t="s">
        <v>494</v>
      </c>
      <c r="G50" s="96" t="s">
        <v>380</v>
      </c>
      <c r="H50" s="111" t="s">
        <v>21</v>
      </c>
      <c r="I50" s="96" t="s">
        <v>261</v>
      </c>
      <c r="J50" s="96" t="s">
        <v>247</v>
      </c>
      <c r="K50" s="96"/>
      <c r="L50" s="111" t="s">
        <v>144</v>
      </c>
      <c r="M50" s="96" t="s">
        <v>494</v>
      </c>
      <c r="N50" s="96" t="s">
        <v>287</v>
      </c>
      <c r="O50" s="111" t="s">
        <v>266</v>
      </c>
      <c r="P50" s="112"/>
      <c r="Q50" s="112"/>
      <c r="R50" s="96" t="s">
        <v>333</v>
      </c>
      <c r="S50" s="96" t="s">
        <v>334</v>
      </c>
      <c r="T50" s="96" t="s">
        <v>115</v>
      </c>
      <c r="U50" s="96" t="s">
        <v>335</v>
      </c>
      <c r="V50" s="98" t="s">
        <v>318</v>
      </c>
      <c r="W50" s="96" t="s">
        <v>495</v>
      </c>
      <c r="X50" s="98" t="s">
        <v>337</v>
      </c>
      <c r="Y50" s="97"/>
      <c r="Z50" s="97"/>
      <c r="AA50" s="97"/>
      <c r="AB50" s="97"/>
      <c r="AC50" s="97"/>
      <c r="AD50" s="98" t="s">
        <v>291</v>
      </c>
      <c r="AE50" s="113" t="s">
        <v>496</v>
      </c>
      <c r="AF50" s="96" t="s">
        <v>247</v>
      </c>
      <c r="AG50" s="97"/>
      <c r="AH50" s="97"/>
      <c r="AI50" s="97"/>
      <c r="AJ50" s="96" t="s">
        <v>497</v>
      </c>
      <c r="AK50" s="130"/>
    </row>
    <row r="51" spans="1:37" ht="12" customHeight="1" x14ac:dyDescent="0.2">
      <c r="A51" s="108" t="s">
        <v>498</v>
      </c>
      <c r="B51" s="108" t="s">
        <v>115</v>
      </c>
      <c r="C51" s="108" t="s">
        <v>326</v>
      </c>
      <c r="D51" s="109" t="s">
        <v>384</v>
      </c>
      <c r="E51" s="110" t="s">
        <v>499</v>
      </c>
      <c r="F51" s="96" t="s">
        <v>386</v>
      </c>
      <c r="G51" s="96" t="s">
        <v>387</v>
      </c>
      <c r="H51" s="111" t="s">
        <v>29</v>
      </c>
      <c r="I51" s="96" t="s">
        <v>261</v>
      </c>
      <c r="J51" s="96" t="s">
        <v>247</v>
      </c>
      <c r="K51" s="96"/>
      <c r="L51" s="111" t="s">
        <v>144</v>
      </c>
      <c r="M51" s="96" t="s">
        <v>386</v>
      </c>
      <c r="N51" s="96" t="s">
        <v>388</v>
      </c>
      <c r="O51" s="111" t="s">
        <v>274</v>
      </c>
      <c r="P51" s="112"/>
      <c r="Q51" s="112"/>
      <c r="R51" s="96" t="s">
        <v>333</v>
      </c>
      <c r="S51" s="96" t="s">
        <v>334</v>
      </c>
      <c r="T51" s="96" t="s">
        <v>115</v>
      </c>
      <c r="U51" s="96" t="s">
        <v>335</v>
      </c>
      <c r="V51" s="98" t="s">
        <v>318</v>
      </c>
      <c r="W51" s="96" t="s">
        <v>354</v>
      </c>
      <c r="X51" s="98" t="s">
        <v>355</v>
      </c>
      <c r="Y51" s="97"/>
      <c r="Z51" s="97"/>
      <c r="AA51" s="97"/>
      <c r="AB51" s="97"/>
      <c r="AC51" s="97"/>
      <c r="AD51" s="98" t="s">
        <v>384</v>
      </c>
      <c r="AE51" s="113" t="s">
        <v>321</v>
      </c>
      <c r="AF51" s="96" t="s">
        <v>247</v>
      </c>
      <c r="AG51" s="97"/>
      <c r="AH51" s="97"/>
      <c r="AI51" s="97"/>
      <c r="AJ51" s="96" t="s">
        <v>389</v>
      </c>
      <c r="AK51" s="130"/>
    </row>
    <row r="52" spans="1:37" ht="12" customHeight="1" x14ac:dyDescent="0.2"/>
    <row r="53" spans="1:37" ht="12" customHeight="1" x14ac:dyDescent="0.2"/>
    <row r="54" spans="1:37" ht="12" customHeight="1" x14ac:dyDescent="0.2"/>
    <row r="55" spans="1:37" ht="12" customHeight="1" x14ac:dyDescent="0.2"/>
    <row r="56" spans="1:37" ht="12" customHeight="1" x14ac:dyDescent="0.2"/>
    <row r="57" spans="1:37" ht="12" customHeight="1" x14ac:dyDescent="0.2">
      <c r="A57" s="96" t="s">
        <v>325</v>
      </c>
    </row>
    <row r="58" spans="1:37" ht="12" customHeight="1" x14ac:dyDescent="0.2">
      <c r="A58" s="96" t="s">
        <v>340</v>
      </c>
    </row>
    <row r="59" spans="1:37" ht="12" customHeight="1" x14ac:dyDescent="0.2">
      <c r="A59" s="96" t="s">
        <v>349</v>
      </c>
    </row>
    <row r="60" spans="1:37" ht="12" customHeight="1" x14ac:dyDescent="0.2">
      <c r="A60" s="96" t="s">
        <v>358</v>
      </c>
    </row>
    <row r="61" spans="1:37" ht="12" customHeight="1" x14ac:dyDescent="0.2">
      <c r="A61" s="96" t="s">
        <v>364</v>
      </c>
    </row>
    <row r="62" spans="1:37" ht="12" customHeight="1" x14ac:dyDescent="0.2">
      <c r="A62" s="96" t="s">
        <v>370</v>
      </c>
    </row>
    <row r="63" spans="1:37" ht="12" customHeight="1" x14ac:dyDescent="0.2">
      <c r="A63" s="96" t="s">
        <v>376</v>
      </c>
    </row>
    <row r="64" spans="1:37" ht="12" customHeight="1" x14ac:dyDescent="0.2">
      <c r="A64" s="96" t="s">
        <v>383</v>
      </c>
    </row>
    <row r="65" spans="1:1" ht="12" customHeight="1" x14ac:dyDescent="0.2">
      <c r="A65" s="96" t="s">
        <v>390</v>
      </c>
    </row>
    <row r="66" spans="1:1" ht="12" customHeight="1" x14ac:dyDescent="0.2">
      <c r="A66" s="96" t="s">
        <v>392</v>
      </c>
    </row>
    <row r="67" spans="1:1" ht="12" customHeight="1" x14ac:dyDescent="0.2">
      <c r="A67" s="96" t="s">
        <v>394</v>
      </c>
    </row>
    <row r="68" spans="1:1" ht="12" customHeight="1" x14ac:dyDescent="0.2">
      <c r="A68" s="96" t="s">
        <v>402</v>
      </c>
    </row>
    <row r="69" spans="1:1" ht="12" customHeight="1" x14ac:dyDescent="0.2">
      <c r="A69" s="96" t="s">
        <v>404</v>
      </c>
    </row>
    <row r="70" spans="1:1" ht="12" customHeight="1" x14ac:dyDescent="0.2">
      <c r="A70" s="96" t="s">
        <v>406</v>
      </c>
    </row>
    <row r="71" spans="1:1" ht="12" customHeight="1" x14ac:dyDescent="0.2">
      <c r="A71" s="96" t="s">
        <v>408</v>
      </c>
    </row>
    <row r="72" spans="1:1" ht="12" customHeight="1" x14ac:dyDescent="0.2">
      <c r="A72" s="96" t="s">
        <v>410</v>
      </c>
    </row>
    <row r="73" spans="1:1" ht="12" customHeight="1" x14ac:dyDescent="0.2">
      <c r="A73" s="96" t="s">
        <v>415</v>
      </c>
    </row>
    <row r="74" spans="1:1" ht="12" customHeight="1" x14ac:dyDescent="0.2">
      <c r="A74" s="96" t="s">
        <v>417</v>
      </c>
    </row>
    <row r="75" spans="1:1" ht="12" customHeight="1" x14ac:dyDescent="0.2">
      <c r="A75" s="96" t="s">
        <v>418</v>
      </c>
    </row>
    <row r="76" spans="1:1" ht="12" customHeight="1" x14ac:dyDescent="0.2">
      <c r="A76" s="96" t="s">
        <v>421</v>
      </c>
    </row>
    <row r="77" spans="1:1" ht="12" customHeight="1" x14ac:dyDescent="0.2">
      <c r="A77" s="96" t="s">
        <v>423</v>
      </c>
    </row>
    <row r="78" spans="1:1" ht="12" customHeight="1" x14ac:dyDescent="0.2">
      <c r="A78" s="96" t="s">
        <v>428</v>
      </c>
    </row>
    <row r="79" spans="1:1" ht="12" customHeight="1" x14ac:dyDescent="0.2">
      <c r="A79" s="96" t="s">
        <v>430</v>
      </c>
    </row>
    <row r="80" spans="1:1" ht="12" customHeight="1" x14ac:dyDescent="0.2">
      <c r="A80" s="96" t="s">
        <v>432</v>
      </c>
    </row>
    <row r="81" spans="1:1" ht="12" customHeight="1" x14ac:dyDescent="0.2">
      <c r="A81" s="96" t="s">
        <v>435</v>
      </c>
    </row>
    <row r="82" spans="1:1" ht="12" customHeight="1" x14ac:dyDescent="0.2">
      <c r="A82" s="96" t="s">
        <v>437</v>
      </c>
    </row>
    <row r="83" spans="1:1" ht="12" customHeight="1" x14ac:dyDescent="0.2">
      <c r="A83" s="96" t="s">
        <v>439</v>
      </c>
    </row>
    <row r="84" spans="1:1" ht="12" customHeight="1" x14ac:dyDescent="0.2">
      <c r="A84" s="96" t="s">
        <v>440</v>
      </c>
    </row>
    <row r="85" spans="1:1" ht="12" customHeight="1" x14ac:dyDescent="0.2">
      <c r="A85" s="96" t="s">
        <v>443</v>
      </c>
    </row>
    <row r="86" spans="1:1" ht="12" customHeight="1" x14ac:dyDescent="0.2">
      <c r="A86" s="96" t="s">
        <v>446</v>
      </c>
    </row>
    <row r="87" spans="1:1" ht="12" customHeight="1" x14ac:dyDescent="0.2">
      <c r="A87" s="96" t="s">
        <v>447</v>
      </c>
    </row>
    <row r="88" spans="1:1" ht="12" customHeight="1" x14ac:dyDescent="0.2">
      <c r="A88" s="96" t="s">
        <v>449</v>
      </c>
    </row>
    <row r="89" spans="1:1" ht="12" customHeight="1" x14ac:dyDescent="0.2">
      <c r="A89" s="96" t="s">
        <v>450</v>
      </c>
    </row>
    <row r="90" spans="1:1" ht="12" customHeight="1" x14ac:dyDescent="0.2">
      <c r="A90" s="96" t="s">
        <v>452</v>
      </c>
    </row>
    <row r="91" spans="1:1" ht="12" customHeight="1" x14ac:dyDescent="0.2">
      <c r="A91" s="96" t="s">
        <v>455</v>
      </c>
    </row>
    <row r="92" spans="1:1" ht="12" customHeight="1" x14ac:dyDescent="0.2">
      <c r="A92" s="96" t="s">
        <v>457</v>
      </c>
    </row>
    <row r="93" spans="1:1" ht="12" customHeight="1" x14ac:dyDescent="0.2">
      <c r="A93" s="96" t="s">
        <v>460</v>
      </c>
    </row>
    <row r="94" spans="1:1" ht="12" customHeight="1" x14ac:dyDescent="0.2">
      <c r="A94" s="96" t="s">
        <v>461</v>
      </c>
    </row>
    <row r="95" spans="1:1" ht="12" customHeight="1" x14ac:dyDescent="0.2">
      <c r="A95" s="96" t="s">
        <v>464</v>
      </c>
    </row>
    <row r="96" spans="1:1" ht="12" customHeight="1" x14ac:dyDescent="0.2">
      <c r="A96" s="96" t="s">
        <v>466</v>
      </c>
    </row>
    <row r="97" spans="1:1" ht="12" customHeight="1" x14ac:dyDescent="0.2">
      <c r="A97" s="96" t="s">
        <v>468</v>
      </c>
    </row>
    <row r="98" spans="1:1" ht="12" customHeight="1" x14ac:dyDescent="0.2">
      <c r="A98" s="96" t="s">
        <v>470</v>
      </c>
    </row>
    <row r="99" spans="1:1" ht="12" customHeight="1" x14ac:dyDescent="0.2">
      <c r="A99" s="96" t="s">
        <v>472</v>
      </c>
    </row>
    <row r="100" spans="1:1" ht="12" customHeight="1" x14ac:dyDescent="0.2">
      <c r="A100" s="96" t="s">
        <v>474</v>
      </c>
    </row>
    <row r="101" spans="1:1" ht="12" customHeight="1" x14ac:dyDescent="0.2">
      <c r="A101" s="96" t="s">
        <v>476</v>
      </c>
    </row>
    <row r="102" spans="1:1" ht="12" customHeight="1" x14ac:dyDescent="0.2">
      <c r="A102" s="96" t="s">
        <v>477</v>
      </c>
    </row>
    <row r="103" spans="1:1" ht="12" customHeight="1" x14ac:dyDescent="0.2">
      <c r="A103" s="96" t="s">
        <v>484</v>
      </c>
    </row>
    <row r="104" spans="1:1" ht="12" customHeight="1" x14ac:dyDescent="0.2">
      <c r="A104" s="96" t="s">
        <v>488</v>
      </c>
    </row>
    <row r="105" spans="1:1" ht="12" customHeight="1" x14ac:dyDescent="0.2">
      <c r="A105" s="96" t="s">
        <v>492</v>
      </c>
    </row>
    <row r="106" spans="1:1" ht="12" customHeight="1" x14ac:dyDescent="0.2">
      <c r="A106" s="96" t="s">
        <v>498</v>
      </c>
    </row>
    <row r="107" spans="1:1" ht="12" customHeight="1" x14ac:dyDescent="0.2"/>
    <row r="108" spans="1:1" ht="12" customHeight="1" x14ac:dyDescent="0.2"/>
    <row r="109" spans="1:1" ht="12" customHeight="1" x14ac:dyDescent="0.2"/>
    <row r="110" spans="1:1" ht="12" customHeight="1" x14ac:dyDescent="0.2"/>
    <row r="111" spans="1:1" ht="12" customHeight="1" x14ac:dyDescent="0.2"/>
    <row r="112" spans="1:1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65537:A1048576">
    <cfRule type="duplicateValues" dxfId="16" priority="23"/>
  </conditionalFormatting>
  <conditionalFormatting sqref="A1:A65536">
    <cfRule type="duplicateValues" dxfId="1" priority="1" stopIfTrue="1"/>
  </conditionalFormatting>
  <conditionalFormatting sqref="A1:A53">
    <cfRule type="duplicateValues" dxfId="0" priority="2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>
      <selection activeCell="F4" sqref="F4"/>
    </sheetView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53" t="s">
        <v>149</v>
      </c>
      <c r="S1" s="153"/>
      <c r="U1" s="46"/>
      <c r="V1" s="102"/>
      <c r="W1" s="42" t="s">
        <v>150</v>
      </c>
      <c r="X1" s="42"/>
      <c r="Y1" s="46"/>
      <c r="Z1" s="47"/>
      <c r="AA1" s="49">
        <f>SUM(AA3:AA1353)</f>
        <v>18250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18250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271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244</v>
      </c>
      <c r="AJ2" s="58" t="s">
        <v>16</v>
      </c>
      <c r="AK2" s="52" t="s">
        <v>62</v>
      </c>
      <c r="AL2" s="105" t="s">
        <v>256</v>
      </c>
      <c r="AM2" s="117" t="s">
        <v>264</v>
      </c>
      <c r="AN2" s="118" t="s">
        <v>265</v>
      </c>
      <c r="AO2" s="118" t="s">
        <v>272</v>
      </c>
    </row>
    <row r="3" spans="1:41" ht="12.95" customHeight="1" x14ac:dyDescent="0.2">
      <c r="A3" s="96" t="s">
        <v>492</v>
      </c>
      <c r="B3" s="4" t="str">
        <f>IF(C3=Charge!$M$1,Charge!$J$1,IF(C3=Charge!$M$23,Charge!$J$23,IF(C3=Charge!$M$17,Charge!$J$17,IF(C3=Charge!$N$17,Charge!$J$17,Charge!$J$7))))</f>
        <v>G4</v>
      </c>
      <c r="C3" s="61" t="str">
        <f>VLOOKUP(A3,'1.Loading'!A:R,14,FALSE)</f>
        <v>BKK02</v>
      </c>
      <c r="D3" s="61" t="str">
        <f>VLOOKUP(A3,'1.Loading'!A:R,17,FALSE)</f>
        <v>HASLS22260902680</v>
      </c>
      <c r="E3" s="62" t="str">
        <f>VLOOKUP(D3,'2.Bookinglist'!A:CT,27,FALSE)</f>
        <v>C.H. ROBINSON FREIGHT SERVICES (THAILAND) LIMITED</v>
      </c>
      <c r="F3" s="62" t="str">
        <f>VLOOKUP(D3,'2.Bookinglist'!A:CT,28,FALSE)</f>
        <v>GPV ASIA (THAILAND)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JPHKT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KUS</v>
      </c>
      <c r="P3" s="61" t="str">
        <f>VLOOKUP(A3,'1.Loading'!A:R,4,FALSE)</f>
        <v>2616N</v>
      </c>
      <c r="Q3" s="61" t="str">
        <f>VLOOKUP(D3,'2.Bookinglist'!A:CT,12,FALSE)</f>
        <v>KST</v>
      </c>
      <c r="R3" s="60" t="str">
        <f>IF(LEFT(K3,2)="22","20'","40'")</f>
        <v>20'</v>
      </c>
      <c r="S3" s="101"/>
      <c r="T3" s="61" t="str">
        <f>VLOOKUP(A3,'1.Loading'!A:R,2,FALSE)</f>
        <v>2026-10-14</v>
      </c>
      <c r="U3" s="63">
        <f>T3-S3</f>
        <v>46309</v>
      </c>
      <c r="V3" s="104"/>
      <c r="W3" s="61" t="str">
        <f>VLOOKUP(A3,'3.GateMove'!A:D,4,FALSE)</f>
        <v>2026-10-08</v>
      </c>
      <c r="X3" s="63">
        <f>((T3-W3)+1)</f>
        <v>7</v>
      </c>
      <c r="Y3" s="64">
        <f>IF(M3="DG",1,IF(C3="LCH04",7,IF(C3="LCH01",7,IF(C3="LCH03",7,IF(C3="LCH03",7,IF(C3="LCH05",7,IF(C3="LCH06",7,IF(C3="LCH10",7,IF(C3="BKK02",5,3)))))))))</f>
        <v>5</v>
      </c>
      <c r="Z3" s="63">
        <f>IF(IF(AND(AC3="TML",AB3&gt;0),((T3-W3)+1)-AB3,((T3-W3)+1)-Y3)&gt;0,IF(AND(AC3="TML",AB3&gt;0),((T3-W3)+1)-AB3,((T3-W3)+1)-Y3),0)</f>
        <v>2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100</v>
      </c>
      <c r="AB3" s="4"/>
      <c r="AC3" s="4"/>
      <c r="AD3" s="60">
        <f>IF(M3="DG",3,IF(N3="RF",3,5))+IF(AND(LEFT(C3,3)="BKK",N3="RF",Q3="KTS"),1,0)+IF(Q3="KHS",1,0)</f>
        <v>5</v>
      </c>
      <c r="AE3" s="63">
        <f>(T3-V3)+1</f>
        <v>46310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/>
      <c r="AI3" s="93">
        <f>AA3-AH3</f>
        <v>100</v>
      </c>
      <c r="AJ3" s="70"/>
      <c r="AK3" s="62" t="str">
        <f>VLOOKUP(D3,'2.Bookinglist'!A:CT,40,FALSE)</f>
        <v>Nannaapust Sukporntaweewat</v>
      </c>
      <c r="AL3" s="60" t="str">
        <f>VLOOKUP(D3,'2.Bookinglist'!A:CW,101,FALSE)</f>
        <v>2026-10-14</v>
      </c>
      <c r="AM3" s="60" t="str">
        <f>VLOOKUP(D3,'2.Bookinglist'!A:BK,63,FALSE)</f>
        <v>BKK27</v>
      </c>
      <c r="AN3" s="62" t="str">
        <f>VLOOKUP(D3,'2.Bookinglist'!A:AZ,52,FALSE)</f>
        <v xml:space="preserve">Pickup : 2026-10-06, Return : 2026-10-07 [1ST RTN 10/10/2026 W/O RENT]  </v>
      </c>
      <c r="AO3" s="62">
        <f>VLOOKUP(D3,'2.Bookinglist'!A:CY,103,FALSE)</f>
        <v>0</v>
      </c>
    </row>
    <row r="4" spans="1:41" ht="12.95" customHeight="1" x14ac:dyDescent="0.2">
      <c r="A4" s="96" t="s">
        <v>376</v>
      </c>
      <c r="B4" s="4" t="str">
        <f>IF(C4=Charge!$M$1,Charge!$J$1,IF(C4=Charge!$M$23,Charge!$J$23,IF(C4=Charge!$M$17,Charge!$J$17,IF(C4=Charge!$N$17,Charge!$J$17,Charge!$J$7))))</f>
        <v>G4</v>
      </c>
      <c r="C4" s="61" t="str">
        <f>VLOOKUP(A4,'1.Loading'!A:R,14,FALSE)</f>
        <v>BKK02</v>
      </c>
      <c r="D4" s="61" t="str">
        <f>VLOOKUP(A4,'1.Loading'!A:R,17,FALSE)</f>
        <v>HASLS22260902485</v>
      </c>
      <c r="E4" s="62" t="str">
        <f>VLOOKUP(D4,'2.Bookinglist'!A:CT,27,FALSE)</f>
        <v>C.H. ROBINSON FREIGHT SERVICES (THAILAND) LIMITED</v>
      </c>
      <c r="F4" s="62" t="str">
        <f>VLOOKUP(D4,'2.Bookinglist'!A:CT,28,FALSE)</f>
        <v>PRIME BOX MFG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KRPUS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KUS</v>
      </c>
      <c r="P4" s="61" t="str">
        <f>VLOOKUP(A4,'1.Loading'!A:R,4,FALSE)</f>
        <v>2616N</v>
      </c>
      <c r="Q4" s="61" t="str">
        <f>VLOOKUP(D4,'2.Bookinglist'!A:CT,12,FALSE)</f>
        <v>KST</v>
      </c>
      <c r="R4" s="60" t="str">
        <f>IF(LEFT(K4,2)="22","20'","40'")</f>
        <v>40'</v>
      </c>
      <c r="S4" s="101"/>
      <c r="T4" s="61" t="str">
        <f>VLOOKUP(A4,'1.Loading'!A:R,2,FALSE)</f>
        <v>2026-10-14</v>
      </c>
      <c r="U4" s="63">
        <f>T4-S4</f>
        <v>46309</v>
      </c>
      <c r="V4" s="104"/>
      <c r="W4" s="61" t="str">
        <f>VLOOKUP(A4,'3.GateMove'!A:D,4,FALSE)</f>
        <v>2026-10-12</v>
      </c>
      <c r="X4" s="63">
        <f>((T4-W4)+1)</f>
        <v>3</v>
      </c>
      <c r="Y4" s="64">
        <f>IF(M4="DG",1,IF(C4="LCH04",7,IF(C4="LCH01",7,IF(C4="LCH03",7,IF(C4="LCH03",7,IF(C4="LCH05",7,IF(C4="LCH06",7,IF(C4="LCH10",7,IF(C4="BKK02",5,3)))))))))</f>
        <v>5</v>
      </c>
      <c r="Z4" s="63">
        <f>IF(IF(AND(AC4="TML",AB4&gt;0),((T4-W4)+1)-AB4,((T4-W4)+1)-Y4)&gt;0,IF(AND(AC4="TML",AB4&gt;0),((T4-W4)+1)-AB4,((T4-W4)+1)-Y4),0)</f>
        <v>0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4"/>
      <c r="AC4" s="4"/>
      <c r="AD4" s="60">
        <f>IF(M4="DG",3,IF(N4="RF",3,5))+IF(AND(LEFT(C4,3)="BKK",N4="RF",Q4="KTS"),1,0)+IF(Q4="KHS",1,0)</f>
        <v>5</v>
      </c>
      <c r="AE4" s="63">
        <f>(T4-V4)+1</f>
        <v>46310</v>
      </c>
      <c r="AF4" s="63">
        <f>IF(AB4&gt;IF((V4-W4)&gt;0,V4-W4,0),0,IF(AB4&lt;IF((V4-W4)&gt;0,V4-W4,0),IF((V4-W4)&gt;0,V4-W4,0)-AB4,IF((V4-W4)&gt;0,V4-W4,0)))</f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>AA4-AH4</f>
        <v>0</v>
      </c>
      <c r="AJ4" s="70"/>
      <c r="AK4" s="62" t="str">
        <f>VLOOKUP(D4,'2.Bookinglist'!A:CT,40,FALSE)</f>
        <v>Nannaapust Sukporntaweewat</v>
      </c>
      <c r="AL4" s="60" t="str">
        <f>VLOOKUP(D4,'2.Bookinglist'!A:CW,101,FALSE)</f>
        <v>2026-10-15</v>
      </c>
      <c r="AM4" s="60" t="str">
        <f>VLOOKUP(D4,'2.Bookinglist'!A:BK,63,FALSE)</f>
        <v>BKK27</v>
      </c>
      <c r="AN4" s="62" t="str">
        <f>VLOOKUP(D4,'2.Bookinglist'!A:AZ,52,FALSE)</f>
        <v xml:space="preserve">Pickup : 2026-10-12, Return : 2026-10-12 // EXTEN CLS TIME 13/10 @18.00 </v>
      </c>
      <c r="AO4" s="62">
        <f>VLOOKUP(D4,'2.Bookinglist'!A:CY,103,FALSE)</f>
        <v>0</v>
      </c>
    </row>
    <row r="5" spans="1:41" ht="12.95" customHeight="1" x14ac:dyDescent="0.2">
      <c r="A5" s="96" t="s">
        <v>340</v>
      </c>
      <c r="B5" s="4" t="str">
        <f>IF(C5=Charge!$M$1,Charge!$J$1,IF(C5=Charge!$M$23,Charge!$J$23,IF(C5=Charge!$M$17,Charge!$J$17,IF(C5=Charge!$N$17,Charge!$J$17,Charge!$J$7))))</f>
        <v>G4</v>
      </c>
      <c r="C5" s="61" t="str">
        <f>VLOOKUP(A5,'1.Loading'!A:R,14,FALSE)</f>
        <v>BKK02</v>
      </c>
      <c r="D5" s="61" t="str">
        <f>VLOOKUP(A5,'1.Loading'!A:R,17,FALSE)</f>
        <v>HASLS22260902041</v>
      </c>
      <c r="E5" s="62" t="str">
        <f>VLOOKUP(D5,'2.Bookinglist'!A:CT,27,FALSE)</f>
        <v>CELESTIAL XPRESS LOGISTICS (THAILAND) CO., LTD.</v>
      </c>
      <c r="F5" s="62" t="str">
        <f>VLOOKUP(D5,'2.Bookinglist'!A:CT,28,FALSE)</f>
        <v>UNICORD PUBLIC COMPANY LIMITED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KRINC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KUS</v>
      </c>
      <c r="P5" s="61" t="str">
        <f>VLOOKUP(A5,'1.Loading'!A:R,4,FALSE)</f>
        <v>2616N</v>
      </c>
      <c r="Q5" s="61" t="str">
        <f>VLOOKUP(D5,'2.Bookinglist'!A:CT,12,FALSE)</f>
        <v>KST</v>
      </c>
      <c r="R5" s="60" t="str">
        <f>IF(LEFT(K5,2)="22","20'","40'")</f>
        <v>20'</v>
      </c>
      <c r="S5" s="101"/>
      <c r="T5" s="61" t="str">
        <f>VLOOKUP(A5,'1.Loading'!A:R,2,FALSE)</f>
        <v>2026-10-14</v>
      </c>
      <c r="U5" s="63">
        <f>T5-S5</f>
        <v>46309</v>
      </c>
      <c r="V5" s="104"/>
      <c r="W5" s="61" t="str">
        <f>VLOOKUP(A5,'3.GateMove'!A:D,4,FALSE)</f>
        <v>2026-10-11</v>
      </c>
      <c r="X5" s="63">
        <f>((T5-W5)+1)</f>
        <v>4</v>
      </c>
      <c r="Y5" s="64">
        <f>IF(M5="DG",1,IF(C5="LCH04",7,IF(C5="LCH01",7,IF(C5="LCH03",7,IF(C5="LCH03",7,IF(C5="LCH05",7,IF(C5="LCH06",7,IF(C5="LCH10",7,IF(C5="BKK02",5,3)))))))))</f>
        <v>5</v>
      </c>
      <c r="Z5" s="63">
        <f>IF(IF(AND(AC5="TML",AB5&gt;0),((T5-W5)+1)-AB5,((T5-W5)+1)-Y5)&gt;0,IF(AND(AC5="TML",AB5&gt;0),((T5-W5)+1)-AB5,((T5-W5)+1)-Y5),0)</f>
        <v>0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4"/>
      <c r="AC5" s="4"/>
      <c r="AD5" s="60">
        <f>IF(M5="DG",3,IF(N5="RF",3,5))+IF(AND(LEFT(C5,3)="BKK",N5="RF",Q5="KTS"),1,0)+IF(Q5="KHS",1,0)</f>
        <v>5</v>
      </c>
      <c r="AE5" s="63">
        <f>(T5-V5)+1</f>
        <v>46310</v>
      </c>
      <c r="AF5" s="63">
        <f>IF(AB5&gt;IF((V5-W5)&gt;0,V5-W5,0),0,IF(AB5&lt;IF((V5-W5)&gt;0,V5-W5,0),IF((V5-W5)&gt;0,V5-W5,0)-AB5,IF((V5-W5)&gt;0,V5-W5,0)))</f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>AA5-AH5</f>
        <v>0</v>
      </c>
      <c r="AJ5" s="70"/>
      <c r="AK5" s="62" t="str">
        <f>VLOOKUP(D5,'2.Bookinglist'!A:CT,40,FALSE)</f>
        <v>Nustsireerach</v>
      </c>
      <c r="AL5" s="60" t="str">
        <f>VLOOKUP(D5,'2.Bookinglist'!A:CW,101,FALSE)</f>
        <v>2026-10-13</v>
      </c>
      <c r="AM5" s="60" t="str">
        <f>VLOOKUP(D5,'2.Bookinglist'!A:BK,63,FALSE)</f>
        <v>BKK27</v>
      </c>
      <c r="AN5" s="62" t="str">
        <f>VLOOKUP(D5,'2.Bookinglist'!A:AZ,52,FALSE)</f>
        <v>Pickup : 2026-10-08, Return : 2026-10-09 (1ST RETURN DATE DD.09/10/26)</v>
      </c>
      <c r="AO5" s="62">
        <f>VLOOKUP(D5,'2.Bookinglist'!A:CY,103,FALSE)</f>
        <v>0</v>
      </c>
    </row>
    <row r="6" spans="1:41" ht="12.95" customHeight="1" x14ac:dyDescent="0.2">
      <c r="A6" s="96" t="s">
        <v>325</v>
      </c>
      <c r="B6" s="4" t="str">
        <f>IF(C6=Charge!$M$1,Charge!$J$1,IF(C6=Charge!$M$23,Charge!$J$23,IF(C6=Charge!$M$17,Charge!$J$17,IF(C6=Charge!$N$17,Charge!$J$17,Charge!$J$7))))</f>
        <v>G4</v>
      </c>
      <c r="C6" s="61" t="str">
        <f>VLOOKUP(A6,'1.Loading'!A:R,14,FALSE)</f>
        <v>BKK02</v>
      </c>
      <c r="D6" s="61" t="str">
        <f>VLOOKUP(A6,'1.Loading'!A:R,17,FALSE)</f>
        <v>HASLS22260902557</v>
      </c>
      <c r="E6" s="62" t="str">
        <f>VLOOKUP(D6,'2.Bookinglist'!A:CT,27,FALSE)</f>
        <v>LAND SEA SKY CO., LTD.</v>
      </c>
      <c r="F6" s="62" t="str">
        <f>VLOOKUP(D6,'2.Bookinglist'!A:CT,28,FALSE)</f>
        <v>SAHA FARMS  INTERNATIONAL CO LTD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KRPUS</v>
      </c>
      <c r="J6" s="61">
        <f>VLOOKUP(D6,'2.Bookinglist'!A:CT,26,FALSE)</f>
        <v>0</v>
      </c>
      <c r="K6" s="61" t="str">
        <f>VLOOKUP(A6,'1.Loading'!A:R,5,FALSE)</f>
        <v>45RE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>RF</v>
      </c>
      <c r="O6" s="61" t="str">
        <f>VLOOKUP(A6,'1.Loading'!A:R,3,FALSE)</f>
        <v>KUS</v>
      </c>
      <c r="P6" s="61" t="str">
        <f>VLOOKUP(A6,'1.Loading'!A:R,4,FALSE)</f>
        <v>2616N</v>
      </c>
      <c r="Q6" s="61" t="str">
        <f>VLOOKUP(D6,'2.Bookinglist'!A:CT,12,FALSE)</f>
        <v>KST</v>
      </c>
      <c r="R6" s="60" t="str">
        <f>IF(LEFT(K6,2)="22","20'","40'")</f>
        <v>40'</v>
      </c>
      <c r="S6" s="101"/>
      <c r="T6" s="61" t="str">
        <f>VLOOKUP(A6,'1.Loading'!A:R,2,FALSE)</f>
        <v>2026-10-14</v>
      </c>
      <c r="U6" s="63">
        <f>T6-S6</f>
        <v>46309</v>
      </c>
      <c r="V6" s="104"/>
      <c r="W6" s="61" t="str">
        <f>VLOOKUP(A6,'3.GateMove'!A:D,4,FALSE)</f>
        <v>2026-10-13</v>
      </c>
      <c r="X6" s="63">
        <f>((T6-W6)+1)</f>
        <v>2</v>
      </c>
      <c r="Y6" s="64">
        <f>IF(M6="DG",1,IF(C6="LCH04",7,IF(C6="LCH01",7,IF(C6="LCH03",7,IF(C6="LCH03",7,IF(C6="LCH05",7,IF(C6="LCH06",7,IF(C6="LCH10",7,IF(C6="BKK02",5,3)))))))))</f>
        <v>5</v>
      </c>
      <c r="Z6" s="63">
        <f>IF(IF(AND(AC6="TML",AB6&gt;0),((T6-W6)+1)-AB6,((T6-W6)+1)-Y6)&gt;0,IF(AND(AC6="TML",AB6&gt;0),((T6-W6)+1)-AB6,((T6-W6)+1)-Y6),0)</f>
        <v>0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4"/>
      <c r="AC6" s="4"/>
      <c r="AD6" s="60">
        <f>IF(M6="DG",3,IF(N6="RF",3,5))+IF(AND(LEFT(C6,3)="BKK",N6="RF",Q6="KTS"),1,0)+IF(Q6="KHS",1,0)</f>
        <v>3</v>
      </c>
      <c r="AE6" s="63">
        <f>(T6-V6)+1</f>
        <v>46310</v>
      </c>
      <c r="AF6" s="63">
        <f>IF(AB6&gt;IF((V6-W6)&gt;0,V6-W6,0),0,IF(AB6&lt;IF((V6-W6)&gt;0,V6-W6,0),IF((V6-W6)&gt;0,V6-W6,0)-AB6,IF((V6-W6)&gt;0,V6-W6,0)))</f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>AA6-AH6</f>
        <v>0</v>
      </c>
      <c r="AJ6" s="70"/>
      <c r="AK6" s="62" t="str">
        <f>VLOOKUP(D6,'2.Bookinglist'!A:CT,40,FALSE)</f>
        <v>Sukunpoj Damrongying</v>
      </c>
      <c r="AL6" s="60" t="str">
        <f>VLOOKUP(D6,'2.Bookinglist'!A:CW,101,FALSE)</f>
        <v>2026-10-15</v>
      </c>
      <c r="AM6" s="60" t="str">
        <f>VLOOKUP(D6,'2.Bookinglist'!A:BK,63,FALSE)</f>
        <v>BKK27</v>
      </c>
      <c r="AN6" s="62" t="str">
        <f>VLOOKUP(D6,'2.Bookinglist'!A:AZ,52,FALSE)</f>
        <v>Pickup : 2026-10-10, Return : 2026-10-13  (Temp -18.0 / Vent Close) 
CLS TIME 13/10/26 @23.59 WO/RENT // FM SWIC 2611N BY HAL DD.08/10</v>
      </c>
      <c r="AO6" s="62">
        <f>VLOOKUP(D6,'2.Bookinglist'!A:CY,103,FALSE)</f>
        <v>0</v>
      </c>
    </row>
    <row r="7" spans="1:41" ht="12.95" customHeight="1" x14ac:dyDescent="0.2">
      <c r="A7" s="96" t="s">
        <v>383</v>
      </c>
      <c r="B7" s="4" t="str">
        <f>IF(C7=Charge!$M$1,Charge!$J$1,IF(C7=Charge!$M$23,Charge!$J$23,IF(C7=Charge!$M$17,Charge!$J$17,IF(C7=Charge!$N$17,Charge!$J$17,Charge!$J$7))))</f>
        <v>G4</v>
      </c>
      <c r="C7" s="61" t="str">
        <f>VLOOKUP(A7,'1.Loading'!A:R,14,FALSE)</f>
        <v>BKK02</v>
      </c>
      <c r="D7" s="61" t="str">
        <f>VLOOKUP(A7,'1.Loading'!A:R,17,FALSE)</f>
        <v>HASLS22260901154</v>
      </c>
      <c r="E7" s="62" t="str">
        <f>VLOOKUP(D7,'2.Bookinglist'!A:CT,27,FALSE)</f>
        <v>METRO PARTICLE CO., LTD.</v>
      </c>
      <c r="F7" s="62" t="str">
        <f>VLOOKUP(D7,'2.Bookinglist'!A:CT,28,FALSE)</f>
        <v>METRO PARTICLE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KUS</v>
      </c>
      <c r="P7" s="61" t="str">
        <f>VLOOKUP(A7,'1.Loading'!A:R,4,FALSE)</f>
        <v>2616N</v>
      </c>
      <c r="Q7" s="61" t="str">
        <f>VLOOKUP(D7,'2.Bookinglist'!A:CT,12,FALSE)</f>
        <v>KST</v>
      </c>
      <c r="R7" s="60" t="str">
        <f>IF(LEFT(K7,2)="22","20'","40'")</f>
        <v>40'</v>
      </c>
      <c r="S7" s="101"/>
      <c r="T7" s="61" t="str">
        <f>VLOOKUP(A7,'1.Loading'!A:R,2,FALSE)</f>
        <v>2026-10-14</v>
      </c>
      <c r="U7" s="63">
        <f>T7-S7</f>
        <v>46309</v>
      </c>
      <c r="V7" s="104"/>
      <c r="W7" s="61" t="str">
        <f>VLOOKUP(A7,'3.GateMove'!A:D,4,FALSE)</f>
        <v>2026-10-04</v>
      </c>
      <c r="X7" s="63">
        <f>((T7-W7)+1)</f>
        <v>11</v>
      </c>
      <c r="Y7" s="64">
        <f>IF(M7="DG",1,IF(C7="LCH04",7,IF(C7="LCH01",7,IF(C7="LCH03",7,IF(C7="LCH03",7,IF(C7="LCH05",7,IF(C7="LCH06",7,IF(C7="LCH10",7,IF(C7="BKK02",5,3)))))))))</f>
        <v>5</v>
      </c>
      <c r="Z7" s="63">
        <f>IF(IF(AND(AC7="TML",AB7&gt;0),((T7-W7)+1)-AB7,((T7-W7)+1)-Y7)&gt;0,IF(AND(AC7="TML",AB7&gt;0),((T7-W7)+1)-AB7,((T7-W7)+1)-Y7),0)</f>
        <v>6</v>
      </c>
      <c r="AA7" s="120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600</v>
      </c>
      <c r="AB7" s="4"/>
      <c r="AC7" s="4"/>
      <c r="AD7" s="60">
        <f>IF(M7="DG",3,IF(N7="RF",3,5))+IF(AND(LEFT(C7,3)="BKK",N7="RF",Q7="KTS"),1,0)+IF(Q7="KHS",1,0)</f>
        <v>5</v>
      </c>
      <c r="AE7" s="63">
        <f>(T7-V7)+1</f>
        <v>46310</v>
      </c>
      <c r="AF7" s="63">
        <f>IF(AB7&gt;IF((V7-W7)&gt;0,V7-W7,0),0,IF(AB7&lt;IF((V7-W7)&gt;0,V7-W7,0),IF((V7-W7)&gt;0,V7-W7,0)-AB7,IF((V7-W7)&gt;0,V7-W7,0)))</f>
        <v>0</v>
      </c>
      <c r="AG7" s="120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/>
      <c r="AI7" s="93">
        <f>AA7-AH7</f>
        <v>600</v>
      </c>
      <c r="AJ7" s="70"/>
      <c r="AK7" s="62" t="str">
        <f>VLOOKUP(D7,'2.Bookinglist'!A:CT,40,FALSE)</f>
        <v>Nustsireerach</v>
      </c>
      <c r="AL7" s="60" t="str">
        <f>VLOOKUP(D7,'2.Bookinglist'!A:CW,101,FALSE)</f>
        <v>2026-10-14</v>
      </c>
      <c r="AM7" s="60" t="str">
        <f>VLOOKUP(D7,'2.Bookinglist'!A:BK,63,FALSE)</f>
        <v>BKK27</v>
      </c>
      <c r="AN7" s="62" t="str">
        <f>VLOOKUP(D7,'2.Bookinglist'!A:AZ,52,FALSE)</f>
        <v>CY -  RTN DD. 03-03/10/2026  /RQST CNTR UPGRADE 32.50TONS // FM SWSP 2610N BY HAL DD.01/10 (1ST RETURN 03/10 W/O RENT)</v>
      </c>
      <c r="AO7" s="62">
        <f>VLOOKUP(D7,'2.Bookinglist'!A:CY,103,FALSE)</f>
        <v>0</v>
      </c>
    </row>
    <row r="8" spans="1:41" ht="12.95" customHeight="1" x14ac:dyDescent="0.2">
      <c r="A8" s="96" t="s">
        <v>390</v>
      </c>
      <c r="B8" s="4" t="str">
        <f>IF(C8=Charge!$M$1,Charge!$J$1,IF(C8=Charge!$M$23,Charge!$J$23,IF(C8=Charge!$M$17,Charge!$J$17,IF(C8=Charge!$N$17,Charge!$J$17,Charge!$J$7))))</f>
        <v>G4</v>
      </c>
      <c r="C8" s="61" t="str">
        <f>VLOOKUP(A8,'1.Loading'!A:R,14,FALSE)</f>
        <v>BKK02</v>
      </c>
      <c r="D8" s="61" t="str">
        <f>VLOOKUP(A8,'1.Loading'!A:R,17,FALSE)</f>
        <v>HASLS22260901154</v>
      </c>
      <c r="E8" s="62" t="str">
        <f>VLOOKUP(D8,'2.Bookinglist'!A:CT,27,FALSE)</f>
        <v>METRO PARTICLE CO., LTD.</v>
      </c>
      <c r="F8" s="62" t="str">
        <f>VLOOKUP(D8,'2.Bookinglist'!A:CT,28,FALSE)</f>
        <v>METRO PARTICLE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KUS</v>
      </c>
      <c r="P8" s="61" t="str">
        <f>VLOOKUP(A8,'1.Loading'!A:R,4,FALSE)</f>
        <v>2616N</v>
      </c>
      <c r="Q8" s="61" t="str">
        <f>VLOOKUP(D8,'2.Bookinglist'!A:CT,12,FALSE)</f>
        <v>KST</v>
      </c>
      <c r="R8" s="60" t="str">
        <f>IF(LEFT(K8,2)="22","20'","40'")</f>
        <v>40'</v>
      </c>
      <c r="S8" s="101"/>
      <c r="T8" s="61" t="str">
        <f>VLOOKUP(A8,'1.Loading'!A:R,2,FALSE)</f>
        <v>2026-10-14</v>
      </c>
      <c r="U8" s="63">
        <f>T8-S8</f>
        <v>46309</v>
      </c>
      <c r="V8" s="104"/>
      <c r="W8" s="61" t="str">
        <f>VLOOKUP(A8,'3.GateMove'!A:D,4,FALSE)</f>
        <v>2026-10-04</v>
      </c>
      <c r="X8" s="63">
        <f>((T8-W8)+1)</f>
        <v>11</v>
      </c>
      <c r="Y8" s="64">
        <f>IF(M8="DG",1,IF(C8="LCH04",7,IF(C8="LCH01",7,IF(C8="LCH03",7,IF(C8="LCH03",7,IF(C8="LCH05",7,IF(C8="LCH06",7,IF(C8="LCH10",7,IF(C8="BKK02",5,3)))))))))</f>
        <v>5</v>
      </c>
      <c r="Z8" s="63">
        <f>IF(IF(AND(AC8="TML",AB8&gt;0),((T8-W8)+1)-AB8,((T8-W8)+1)-Y8)&gt;0,IF(AND(AC8="TML",AB8&gt;0),((T8-W8)+1)-AB8,((T8-W8)+1)-Y8),0)</f>
        <v>6</v>
      </c>
      <c r="AA8" s="120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600</v>
      </c>
      <c r="AB8" s="4"/>
      <c r="AC8" s="4"/>
      <c r="AD8" s="60">
        <f>IF(M8="DG",3,IF(N8="RF",3,5))+IF(AND(LEFT(C8,3)="BKK",N8="RF",Q8="KTS"),1,0)+IF(Q8="KHS",1,0)</f>
        <v>5</v>
      </c>
      <c r="AE8" s="63">
        <f>(T8-V8)+1</f>
        <v>46310</v>
      </c>
      <c r="AF8" s="63">
        <f>IF(AB8&gt;IF((V8-W8)&gt;0,V8-W8,0),0,IF(AB8&lt;IF((V8-W8)&gt;0,V8-W8,0),IF((V8-W8)&gt;0,V8-W8,0)-AB8,IF((V8-W8)&gt;0,V8-W8,0)))</f>
        <v>0</v>
      </c>
      <c r="AG8" s="120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/>
      <c r="AI8" s="93">
        <f>AA8-AH8</f>
        <v>600</v>
      </c>
      <c r="AJ8" s="70"/>
      <c r="AK8" s="62" t="str">
        <f>VLOOKUP(D8,'2.Bookinglist'!A:CT,40,FALSE)</f>
        <v>Nustsireerach</v>
      </c>
      <c r="AL8" s="60" t="str">
        <f>VLOOKUP(D8,'2.Bookinglist'!A:CW,101,FALSE)</f>
        <v>2026-10-14</v>
      </c>
      <c r="AM8" s="60" t="str">
        <f>VLOOKUP(D8,'2.Bookinglist'!A:BK,63,FALSE)</f>
        <v>BKK27</v>
      </c>
      <c r="AN8" s="62" t="str">
        <f>VLOOKUP(D8,'2.Bookinglist'!A:AZ,52,FALSE)</f>
        <v>CY -  RTN DD. 03-03/10/2026  /RQST CNTR UPGRADE 32.50TONS // FM SWSP 2610N BY HAL DD.01/10 (1ST RETURN 03/10 W/O RENT)</v>
      </c>
      <c r="AO8" s="62">
        <f>VLOOKUP(D8,'2.Bookinglist'!A:CY,103,FALSE)</f>
        <v>0</v>
      </c>
    </row>
    <row r="9" spans="1:41" ht="12.95" customHeight="1" x14ac:dyDescent="0.2">
      <c r="A9" s="96" t="s">
        <v>392</v>
      </c>
      <c r="B9" s="4" t="str">
        <f>IF(C9=Charge!$M$1,Charge!$J$1,IF(C9=Charge!$M$23,Charge!$J$23,IF(C9=Charge!$M$17,Charge!$J$17,IF(C9=Charge!$N$17,Charge!$J$17,Charge!$J$7))))</f>
        <v>G4</v>
      </c>
      <c r="C9" s="61" t="str">
        <f>VLOOKUP(A9,'1.Loading'!A:R,14,FALSE)</f>
        <v>BKK02</v>
      </c>
      <c r="D9" s="61" t="str">
        <f>VLOOKUP(A9,'1.Loading'!A:R,17,FALSE)</f>
        <v>HASLS22260901154</v>
      </c>
      <c r="E9" s="62" t="str">
        <f>VLOOKUP(D9,'2.Bookinglist'!A:CT,27,FALSE)</f>
        <v>METRO PARTICLE CO., LTD.</v>
      </c>
      <c r="F9" s="62" t="str">
        <f>VLOOKUP(D9,'2.Bookinglist'!A:CT,28,FALSE)</f>
        <v>METRO PARTICLE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KUS</v>
      </c>
      <c r="P9" s="61" t="str">
        <f>VLOOKUP(A9,'1.Loading'!A:R,4,FALSE)</f>
        <v>2616N</v>
      </c>
      <c r="Q9" s="61" t="str">
        <f>VLOOKUP(D9,'2.Bookinglist'!A:CT,12,FALSE)</f>
        <v>KST</v>
      </c>
      <c r="R9" s="60" t="str">
        <f>IF(LEFT(K9,2)="22","20'","40'")</f>
        <v>40'</v>
      </c>
      <c r="S9" s="101"/>
      <c r="T9" s="61" t="str">
        <f>VLOOKUP(A9,'1.Loading'!A:R,2,FALSE)</f>
        <v>2026-10-14</v>
      </c>
      <c r="U9" s="63">
        <f>T9-S9</f>
        <v>46309</v>
      </c>
      <c r="V9" s="104"/>
      <c r="W9" s="61" t="str">
        <f>VLOOKUP(A9,'3.GateMove'!A:D,4,FALSE)</f>
        <v>2026-10-04</v>
      </c>
      <c r="X9" s="63">
        <f>((T9-W9)+1)</f>
        <v>11</v>
      </c>
      <c r="Y9" s="64">
        <f>IF(M9="DG",1,IF(C9="LCH04",7,IF(C9="LCH01",7,IF(C9="LCH03",7,IF(C9="LCH03",7,IF(C9="LCH05",7,IF(C9="LCH06",7,IF(C9="LCH10",7,IF(C9="BKK02",5,3)))))))))</f>
        <v>5</v>
      </c>
      <c r="Z9" s="63">
        <f>IF(IF(AND(AC9="TML",AB9&gt;0),((T9-W9)+1)-AB9,((T9-W9)+1)-Y9)&gt;0,IF(AND(AC9="TML",AB9&gt;0),((T9-W9)+1)-AB9,((T9-W9)+1)-Y9),0)</f>
        <v>6</v>
      </c>
      <c r="AA9" s="120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600</v>
      </c>
      <c r="AB9" s="4"/>
      <c r="AC9" s="4"/>
      <c r="AD9" s="60">
        <f>IF(M9="DG",3,IF(N9="RF",3,5))+IF(AND(LEFT(C9,3)="BKK",N9="RF",Q9="KTS"),1,0)+IF(Q9="KHS",1,0)</f>
        <v>5</v>
      </c>
      <c r="AE9" s="63">
        <f>(T9-V9)+1</f>
        <v>46310</v>
      </c>
      <c r="AF9" s="63">
        <f>IF(AB9&gt;IF((V9-W9)&gt;0,V9-W9,0),0,IF(AB9&lt;IF((V9-W9)&gt;0,V9-W9,0),IF((V9-W9)&gt;0,V9-W9,0)-AB9,IF((V9-W9)&gt;0,V9-W9,0)))</f>
        <v>0</v>
      </c>
      <c r="AG9" s="120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/>
      <c r="AI9" s="93">
        <f>AA9-AH9</f>
        <v>600</v>
      </c>
      <c r="AJ9" s="70"/>
      <c r="AK9" s="62" t="str">
        <f>VLOOKUP(D9,'2.Bookinglist'!A:CT,40,FALSE)</f>
        <v>Nustsireerach</v>
      </c>
      <c r="AL9" s="60" t="str">
        <f>VLOOKUP(D9,'2.Bookinglist'!A:CW,101,FALSE)</f>
        <v>2026-10-14</v>
      </c>
      <c r="AM9" s="60" t="str">
        <f>VLOOKUP(D9,'2.Bookinglist'!A:BK,63,FALSE)</f>
        <v>BKK27</v>
      </c>
      <c r="AN9" s="62" t="str">
        <f>VLOOKUP(D9,'2.Bookinglist'!A:AZ,52,FALSE)</f>
        <v>CY -  RTN DD. 03-03/10/2026  /RQST CNTR UPGRADE 32.50TONS // FM SWSP 2610N BY HAL DD.01/10 (1ST RETURN 03/10 W/O RENT)</v>
      </c>
      <c r="AO9" s="62">
        <f>VLOOKUP(D9,'2.Bookinglist'!A:CY,103,FALSE)</f>
        <v>0</v>
      </c>
    </row>
    <row r="10" spans="1:41" ht="12.95" customHeight="1" x14ac:dyDescent="0.2">
      <c r="A10" s="96" t="s">
        <v>402</v>
      </c>
      <c r="B10" s="4" t="str">
        <f>IF(C10=Charge!$M$1,Charge!$J$1,IF(C10=Charge!$M$23,Charge!$J$23,IF(C10=Charge!$M$17,Charge!$J$17,IF(C10=Charge!$N$17,Charge!$J$17,Charge!$J$7))))</f>
        <v>G4</v>
      </c>
      <c r="C10" s="61" t="str">
        <f>VLOOKUP(A10,'1.Loading'!A:R,14,FALSE)</f>
        <v>BKK02</v>
      </c>
      <c r="D10" s="61" t="str">
        <f>VLOOKUP(A10,'1.Loading'!A:R,17,FALSE)</f>
        <v>HASLS22260901154</v>
      </c>
      <c r="E10" s="62" t="str">
        <f>VLOOKUP(D10,'2.Bookinglist'!A:CT,27,FALSE)</f>
        <v>METRO PARTICLE CO., LTD.</v>
      </c>
      <c r="F10" s="62" t="str">
        <f>VLOOKUP(D10,'2.Bookinglist'!A:CT,28,FALSE)</f>
        <v>METRO PARTICLE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KUS</v>
      </c>
      <c r="P10" s="61" t="str">
        <f>VLOOKUP(A10,'1.Loading'!A:R,4,FALSE)</f>
        <v>2616N</v>
      </c>
      <c r="Q10" s="61" t="str">
        <f>VLOOKUP(D10,'2.Bookinglist'!A:CT,12,FALSE)</f>
        <v>KST</v>
      </c>
      <c r="R10" s="60" t="str">
        <f>IF(LEFT(K10,2)="22","20'","40'")</f>
        <v>40'</v>
      </c>
      <c r="S10" s="101"/>
      <c r="T10" s="61" t="str">
        <f>VLOOKUP(A10,'1.Loading'!A:R,2,FALSE)</f>
        <v>2026-10-14</v>
      </c>
      <c r="U10" s="63">
        <f>T10-S10</f>
        <v>46309</v>
      </c>
      <c r="V10" s="104"/>
      <c r="W10" s="61" t="str">
        <f>VLOOKUP(A10,'3.GateMove'!A:D,4,FALSE)</f>
        <v>2026-10-04</v>
      </c>
      <c r="X10" s="63">
        <f>((T10-W10)+1)</f>
        <v>11</v>
      </c>
      <c r="Y10" s="64">
        <f>IF(M10="DG",1,IF(C10="LCH04",7,IF(C10="LCH01",7,IF(C10="LCH03",7,IF(C10="LCH03",7,IF(C10="LCH05",7,IF(C10="LCH06",7,IF(C10="LCH10",7,IF(C10="BKK02",5,3)))))))))</f>
        <v>5</v>
      </c>
      <c r="Z10" s="63">
        <f>IF(IF(AND(AC10="TML",AB10&gt;0),((T10-W10)+1)-AB10,((T10-W10)+1)-Y10)&gt;0,IF(AND(AC10="TML",AB10&gt;0),((T10-W10)+1)-AB10,((T10-W10)+1)-Y10),0)</f>
        <v>6</v>
      </c>
      <c r="AA10" s="120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600</v>
      </c>
      <c r="AB10" s="4"/>
      <c r="AC10" s="4"/>
      <c r="AD10" s="60">
        <f>IF(M10="DG",3,IF(N10="RF",3,5))+IF(AND(LEFT(C10,3)="BKK",N10="RF",Q10="KTS"),1,0)+IF(Q10="KHS",1,0)</f>
        <v>5</v>
      </c>
      <c r="AE10" s="63">
        <f>(T10-V10)+1</f>
        <v>46310</v>
      </c>
      <c r="AF10" s="63">
        <f>IF(AB10&gt;IF((V10-W10)&gt;0,V10-W10,0),0,IF(AB10&lt;IF((V10-W10)&gt;0,V10-W10,0),IF((V10-W10)&gt;0,V10-W10,0)-AB10,IF((V10-W10)&gt;0,V10-W10,0)))</f>
        <v>0</v>
      </c>
      <c r="AG10" s="120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/>
      <c r="AI10" s="93">
        <f>AA10-AH10</f>
        <v>600</v>
      </c>
      <c r="AJ10" s="70"/>
      <c r="AK10" s="62" t="str">
        <f>VLOOKUP(D10,'2.Bookinglist'!A:CT,40,FALSE)</f>
        <v>Nustsireerach</v>
      </c>
      <c r="AL10" s="60" t="str">
        <f>VLOOKUP(D10,'2.Bookinglist'!A:CW,101,FALSE)</f>
        <v>2026-10-14</v>
      </c>
      <c r="AM10" s="60" t="str">
        <f>VLOOKUP(D10,'2.Bookinglist'!A:BK,63,FALSE)</f>
        <v>BKK27</v>
      </c>
      <c r="AN10" s="62" t="str">
        <f>VLOOKUP(D10,'2.Bookinglist'!A:AZ,52,FALSE)</f>
        <v>CY -  RTN DD. 03-03/10/2026  /RQST CNTR UPGRADE 32.50TONS // FM SWSP 2610N BY HAL DD.01/10 (1ST RETURN 03/10 W/O RENT)</v>
      </c>
      <c r="AO10" s="62">
        <f>VLOOKUP(D10,'2.Bookinglist'!A:CY,103,FALSE)</f>
        <v>0</v>
      </c>
    </row>
    <row r="11" spans="1:41" ht="12.95" customHeight="1" x14ac:dyDescent="0.2">
      <c r="A11" s="96" t="s">
        <v>404</v>
      </c>
      <c r="B11" s="4" t="str">
        <f>IF(C11=Charge!$M$1,Charge!$J$1,IF(C11=Charge!$M$23,Charge!$J$23,IF(C11=Charge!$M$17,Charge!$J$17,IF(C11=Charge!$N$17,Charge!$J$17,Charge!$J$7))))</f>
        <v>G4</v>
      </c>
      <c r="C11" s="61" t="str">
        <f>VLOOKUP(A11,'1.Loading'!A:R,14,FALSE)</f>
        <v>BKK02</v>
      </c>
      <c r="D11" s="61" t="str">
        <f>VLOOKUP(A11,'1.Loading'!A:R,17,FALSE)</f>
        <v>HASLS22260901154</v>
      </c>
      <c r="E11" s="62" t="str">
        <f>VLOOKUP(D11,'2.Bookinglist'!A:CT,27,FALSE)</f>
        <v>METRO PARTICLE CO., LTD.</v>
      </c>
      <c r="F11" s="62" t="str">
        <f>VLOOKUP(D11,'2.Bookinglist'!A:CT,28,FALSE)</f>
        <v>METRO PARTICLE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KUS</v>
      </c>
      <c r="P11" s="61" t="str">
        <f>VLOOKUP(A11,'1.Loading'!A:R,4,FALSE)</f>
        <v>2616N</v>
      </c>
      <c r="Q11" s="61" t="str">
        <f>VLOOKUP(D11,'2.Bookinglist'!A:CT,12,FALSE)</f>
        <v>KST</v>
      </c>
      <c r="R11" s="60" t="str">
        <f>IF(LEFT(K11,2)="22","20'","40'")</f>
        <v>40'</v>
      </c>
      <c r="S11" s="101"/>
      <c r="T11" s="61" t="str">
        <f>VLOOKUP(A11,'1.Loading'!A:R,2,FALSE)</f>
        <v>2026-10-14</v>
      </c>
      <c r="U11" s="63">
        <f>T11-S11</f>
        <v>46309</v>
      </c>
      <c r="V11" s="104"/>
      <c r="W11" s="61" t="str">
        <f>VLOOKUP(A11,'3.GateMove'!A:D,4,FALSE)</f>
        <v>2026-10-05</v>
      </c>
      <c r="X11" s="63">
        <f>((T11-W11)+1)</f>
        <v>10</v>
      </c>
      <c r="Y11" s="64">
        <f>IF(M11="DG",1,IF(C11="LCH04",7,IF(C11="LCH01",7,IF(C11="LCH03",7,IF(C11="LCH03",7,IF(C11="LCH05",7,IF(C11="LCH06",7,IF(C11="LCH10",7,IF(C11="BKK02",5,3)))))))))</f>
        <v>5</v>
      </c>
      <c r="Z11" s="63">
        <f>IF(IF(AND(AC11="TML",AB11&gt;0),((T11-W11)+1)-AB11,((T11-W11)+1)-Y11)&gt;0,IF(AND(AC11="TML",AB11&gt;0),((T11-W11)+1)-AB11,((T11-W11)+1)-Y11),0)</f>
        <v>5</v>
      </c>
      <c r="AA11" s="120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500</v>
      </c>
      <c r="AB11" s="4"/>
      <c r="AC11" s="4"/>
      <c r="AD11" s="60">
        <f>IF(M11="DG",3,IF(N11="RF",3,5))+IF(AND(LEFT(C11,3)="BKK",N11="RF",Q11="KTS"),1,0)+IF(Q11="KHS",1,0)</f>
        <v>5</v>
      </c>
      <c r="AE11" s="63">
        <f>(T11-V11)+1</f>
        <v>46310</v>
      </c>
      <c r="AF11" s="63">
        <f>IF(AB11&gt;IF((V11-W11)&gt;0,V11-W11,0),0,IF(AB11&lt;IF((V11-W11)&gt;0,V11-W11,0),IF((V11-W11)&gt;0,V11-W11,0)-AB11,IF((V11-W11)&gt;0,V11-W11,0)))</f>
        <v>0</v>
      </c>
      <c r="AG11" s="120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/>
      <c r="AI11" s="93">
        <f>AA11-AH11</f>
        <v>500</v>
      </c>
      <c r="AJ11" s="70"/>
      <c r="AK11" s="62" t="str">
        <f>VLOOKUP(D11,'2.Bookinglist'!A:CT,40,FALSE)</f>
        <v>Nustsireerach</v>
      </c>
      <c r="AL11" s="60" t="str">
        <f>VLOOKUP(D11,'2.Bookinglist'!A:CW,101,FALSE)</f>
        <v>2026-10-14</v>
      </c>
      <c r="AM11" s="60" t="str">
        <f>VLOOKUP(D11,'2.Bookinglist'!A:BK,63,FALSE)</f>
        <v>BKK27</v>
      </c>
      <c r="AN11" s="62" t="str">
        <f>VLOOKUP(D11,'2.Bookinglist'!A:AZ,52,FALSE)</f>
        <v>CY -  RTN DD. 03-03/10/2026  /RQST CNTR UPGRADE 32.50TONS // FM SWSP 2610N BY HAL DD.01/10 (1ST RETURN 03/10 W/O RENT)</v>
      </c>
      <c r="AO11" s="62">
        <f>VLOOKUP(D11,'2.Bookinglist'!A:CY,103,FALSE)</f>
        <v>0</v>
      </c>
    </row>
    <row r="12" spans="1:41" ht="12.95" customHeight="1" x14ac:dyDescent="0.2">
      <c r="A12" s="96" t="s">
        <v>406</v>
      </c>
      <c r="B12" s="4" t="str">
        <f>IF(C12=Charge!$M$1,Charge!$J$1,IF(C12=Charge!$M$23,Charge!$J$23,IF(C12=Charge!$M$17,Charge!$J$17,IF(C12=Charge!$N$17,Charge!$J$17,Charge!$J$7))))</f>
        <v>G4</v>
      </c>
      <c r="C12" s="61" t="str">
        <f>VLOOKUP(A12,'1.Loading'!A:R,14,FALSE)</f>
        <v>BKK02</v>
      </c>
      <c r="D12" s="61" t="str">
        <f>VLOOKUP(A12,'1.Loading'!A:R,17,FALSE)</f>
        <v>HASLS22260901154</v>
      </c>
      <c r="E12" s="62" t="str">
        <f>VLOOKUP(D12,'2.Bookinglist'!A:CT,27,FALSE)</f>
        <v>METRO PARTICLE CO., LTD.</v>
      </c>
      <c r="F12" s="62" t="str">
        <f>VLOOKUP(D12,'2.Bookinglist'!A:CT,28,FALSE)</f>
        <v>METRO PARTICLE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KUS</v>
      </c>
      <c r="P12" s="61" t="str">
        <f>VLOOKUP(A12,'1.Loading'!A:R,4,FALSE)</f>
        <v>2616N</v>
      </c>
      <c r="Q12" s="61" t="str">
        <f>VLOOKUP(D12,'2.Bookinglist'!A:CT,12,FALSE)</f>
        <v>KST</v>
      </c>
      <c r="R12" s="60" t="str">
        <f>IF(LEFT(K12,2)="22","20'","40'")</f>
        <v>40'</v>
      </c>
      <c r="S12" s="101"/>
      <c r="T12" s="61" t="str">
        <f>VLOOKUP(A12,'1.Loading'!A:R,2,FALSE)</f>
        <v>2026-10-14</v>
      </c>
      <c r="U12" s="63">
        <f>T12-S12</f>
        <v>46309</v>
      </c>
      <c r="V12" s="104"/>
      <c r="W12" s="61" t="str">
        <f>VLOOKUP(A12,'3.GateMove'!A:D,4,FALSE)</f>
        <v>2026-10-04</v>
      </c>
      <c r="X12" s="63">
        <f>((T12-W12)+1)</f>
        <v>11</v>
      </c>
      <c r="Y12" s="64">
        <f>IF(M12="DG",1,IF(C12="LCH04",7,IF(C12="LCH01",7,IF(C12="LCH03",7,IF(C12="LCH03",7,IF(C12="LCH05",7,IF(C12="LCH06",7,IF(C12="LCH10",7,IF(C12="BKK02",5,3)))))))))</f>
        <v>5</v>
      </c>
      <c r="Z12" s="63">
        <f>IF(IF(AND(AC12="TML",AB12&gt;0),((T12-W12)+1)-AB12,((T12-W12)+1)-Y12)&gt;0,IF(AND(AC12="TML",AB12&gt;0),((T12-W12)+1)-AB12,((T12-W12)+1)-Y12),0)</f>
        <v>6</v>
      </c>
      <c r="AA12" s="120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600</v>
      </c>
      <c r="AB12" s="4"/>
      <c r="AC12" s="4"/>
      <c r="AD12" s="60">
        <f>IF(M12="DG",3,IF(N12="RF",3,5))+IF(AND(LEFT(C12,3)="BKK",N12="RF",Q12="KTS"),1,0)+IF(Q12="KHS",1,0)</f>
        <v>5</v>
      </c>
      <c r="AE12" s="63">
        <f>(T12-V12)+1</f>
        <v>46310</v>
      </c>
      <c r="AF12" s="63">
        <f>IF(AB12&gt;IF((V12-W12)&gt;0,V12-W12,0),0,IF(AB12&lt;IF((V12-W12)&gt;0,V12-W12,0),IF((V12-W12)&gt;0,V12-W12,0)-AB12,IF((V12-W12)&gt;0,V12-W12,0)))</f>
        <v>0</v>
      </c>
      <c r="AG12" s="120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/>
      <c r="AI12" s="93">
        <f>AA12-AH12</f>
        <v>600</v>
      </c>
      <c r="AJ12" s="70"/>
      <c r="AK12" s="62" t="str">
        <f>VLOOKUP(D12,'2.Bookinglist'!A:CT,40,FALSE)</f>
        <v>Nustsireerach</v>
      </c>
      <c r="AL12" s="60" t="str">
        <f>VLOOKUP(D12,'2.Bookinglist'!A:CW,101,FALSE)</f>
        <v>2026-10-14</v>
      </c>
      <c r="AM12" s="60" t="str">
        <f>VLOOKUP(D12,'2.Bookinglist'!A:BK,63,FALSE)</f>
        <v>BKK27</v>
      </c>
      <c r="AN12" s="62" t="str">
        <f>VLOOKUP(D12,'2.Bookinglist'!A:AZ,52,FALSE)</f>
        <v>CY -  RTN DD. 03-03/10/2026  /RQST CNTR UPGRADE 32.50TONS // FM SWSP 2610N BY HAL DD.01/10 (1ST RETURN 03/10 W/O RENT)</v>
      </c>
      <c r="AO12" s="62">
        <f>VLOOKUP(D12,'2.Bookinglist'!A:CY,103,FALSE)</f>
        <v>0</v>
      </c>
    </row>
    <row r="13" spans="1:41" ht="12.95" customHeight="1" x14ac:dyDescent="0.2">
      <c r="A13" s="96" t="s">
        <v>408</v>
      </c>
      <c r="B13" s="4" t="str">
        <f>IF(C13=Charge!$M$1,Charge!$J$1,IF(C13=Charge!$M$23,Charge!$J$23,IF(C13=Charge!$M$17,Charge!$J$17,IF(C13=Charge!$N$17,Charge!$J$17,Charge!$J$7))))</f>
        <v>G4</v>
      </c>
      <c r="C13" s="61" t="str">
        <f>VLOOKUP(A13,'1.Loading'!A:R,14,FALSE)</f>
        <v>BKK02</v>
      </c>
      <c r="D13" s="61" t="str">
        <f>VLOOKUP(A13,'1.Loading'!A:R,17,FALSE)</f>
        <v>HASLS22260901154</v>
      </c>
      <c r="E13" s="62" t="str">
        <f>VLOOKUP(D13,'2.Bookinglist'!A:CT,27,FALSE)</f>
        <v>METRO PARTICLE CO., LTD.</v>
      </c>
      <c r="F13" s="62" t="str">
        <f>VLOOKUP(D13,'2.Bookinglist'!A:CT,28,FALSE)</f>
        <v>METRO PARTICLE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KUS</v>
      </c>
      <c r="P13" s="61" t="str">
        <f>VLOOKUP(A13,'1.Loading'!A:R,4,FALSE)</f>
        <v>2616N</v>
      </c>
      <c r="Q13" s="61" t="str">
        <f>VLOOKUP(D13,'2.Bookinglist'!A:CT,12,FALSE)</f>
        <v>KST</v>
      </c>
      <c r="R13" s="60" t="str">
        <f>IF(LEFT(K13,2)="22","20'","40'")</f>
        <v>40'</v>
      </c>
      <c r="S13" s="101"/>
      <c r="T13" s="61" t="str">
        <f>VLOOKUP(A13,'1.Loading'!A:R,2,FALSE)</f>
        <v>2026-10-14</v>
      </c>
      <c r="U13" s="63">
        <f>T13-S13</f>
        <v>46309</v>
      </c>
      <c r="V13" s="104"/>
      <c r="W13" s="61" t="str">
        <f>VLOOKUP(A13,'3.GateMove'!A:D,4,FALSE)</f>
        <v>2026-10-04</v>
      </c>
      <c r="X13" s="63">
        <f>((T13-W13)+1)</f>
        <v>11</v>
      </c>
      <c r="Y13" s="64">
        <f>IF(M13="DG",1,IF(C13="LCH04",7,IF(C13="LCH01",7,IF(C13="LCH03",7,IF(C13="LCH03",7,IF(C13="LCH05",7,IF(C13="LCH06",7,IF(C13="LCH10",7,IF(C13="BKK02",5,3)))))))))</f>
        <v>5</v>
      </c>
      <c r="Z13" s="63">
        <f>IF(IF(AND(AC13="TML",AB13&gt;0),((T13-W13)+1)-AB13,((T13-W13)+1)-Y13)&gt;0,IF(AND(AC13="TML",AB13&gt;0),((T13-W13)+1)-AB13,((T13-W13)+1)-Y13),0)</f>
        <v>6</v>
      </c>
      <c r="AA13" s="120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600</v>
      </c>
      <c r="AB13" s="4"/>
      <c r="AC13" s="4"/>
      <c r="AD13" s="60">
        <f>IF(M13="DG",3,IF(N13="RF",3,5))+IF(AND(LEFT(C13,3)="BKK",N13="RF",Q13="KTS"),1,0)+IF(Q13="KHS",1,0)</f>
        <v>5</v>
      </c>
      <c r="AE13" s="63">
        <f>(T13-V13)+1</f>
        <v>46310</v>
      </c>
      <c r="AF13" s="63">
        <f>IF(AB13&gt;IF((V13-W13)&gt;0,V13-W13,0),0,IF(AB13&lt;IF((V13-W13)&gt;0,V13-W13,0),IF((V13-W13)&gt;0,V13-W13,0)-AB13,IF((V13-W13)&gt;0,V13-W13,0)))</f>
        <v>0</v>
      </c>
      <c r="AG13" s="120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/>
      <c r="AI13" s="93">
        <f>AA13-AH13</f>
        <v>600</v>
      </c>
      <c r="AJ13" s="70"/>
      <c r="AK13" s="62" t="str">
        <f>VLOOKUP(D13,'2.Bookinglist'!A:CT,40,FALSE)</f>
        <v>Nustsireerach</v>
      </c>
      <c r="AL13" s="60" t="str">
        <f>VLOOKUP(D13,'2.Bookinglist'!A:CW,101,FALSE)</f>
        <v>2026-10-14</v>
      </c>
      <c r="AM13" s="60" t="str">
        <f>VLOOKUP(D13,'2.Bookinglist'!A:BK,63,FALSE)</f>
        <v>BKK27</v>
      </c>
      <c r="AN13" s="62" t="str">
        <f>VLOOKUP(D13,'2.Bookinglist'!A:AZ,52,FALSE)</f>
        <v>CY -  RTN DD. 03-03/10/2026  /RQST CNTR UPGRADE 32.50TONS // FM SWSP 2610N BY HAL DD.01/10 (1ST RETURN 03/10 W/O RENT)</v>
      </c>
      <c r="AO13" s="62">
        <f>VLOOKUP(D13,'2.Bookinglist'!A:CY,103,FALSE)</f>
        <v>0</v>
      </c>
    </row>
    <row r="14" spans="1:41" ht="12.95" customHeight="1" x14ac:dyDescent="0.2">
      <c r="A14" s="96" t="s">
        <v>415</v>
      </c>
      <c r="B14" s="4" t="str">
        <f>IF(C14=Charge!$M$1,Charge!$J$1,IF(C14=Charge!$M$23,Charge!$J$23,IF(C14=Charge!$M$17,Charge!$J$17,IF(C14=Charge!$N$17,Charge!$J$17,Charge!$J$7))))</f>
        <v>G4</v>
      </c>
      <c r="C14" s="61" t="str">
        <f>VLOOKUP(A14,'1.Loading'!A:R,14,FALSE)</f>
        <v>BKK02</v>
      </c>
      <c r="D14" s="61" t="str">
        <f>VLOOKUP(A14,'1.Loading'!A:R,17,FALSE)</f>
        <v>HASLS22260901154</v>
      </c>
      <c r="E14" s="62" t="str">
        <f>VLOOKUP(D14,'2.Bookinglist'!A:CT,27,FALSE)</f>
        <v>METRO PARTICLE CO., LTD.</v>
      </c>
      <c r="F14" s="62" t="str">
        <f>VLOOKUP(D14,'2.Bookinglist'!A:CT,28,FALSE)</f>
        <v>METRO PARTICLE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KUS</v>
      </c>
      <c r="P14" s="61" t="str">
        <f>VLOOKUP(A14,'1.Loading'!A:R,4,FALSE)</f>
        <v>2616N</v>
      </c>
      <c r="Q14" s="61" t="str">
        <f>VLOOKUP(D14,'2.Bookinglist'!A:CT,12,FALSE)</f>
        <v>KST</v>
      </c>
      <c r="R14" s="60" t="str">
        <f>IF(LEFT(K14,2)="22","20'","40'")</f>
        <v>40'</v>
      </c>
      <c r="S14" s="101"/>
      <c r="T14" s="61" t="str">
        <f>VLOOKUP(A14,'1.Loading'!A:R,2,FALSE)</f>
        <v>2026-10-14</v>
      </c>
      <c r="U14" s="63">
        <f>T14-S14</f>
        <v>46309</v>
      </c>
      <c r="V14" s="104"/>
      <c r="W14" s="61" t="str">
        <f>VLOOKUP(A14,'3.GateMove'!A:D,4,FALSE)</f>
        <v>2026-10-04</v>
      </c>
      <c r="X14" s="63">
        <f>((T14-W14)+1)</f>
        <v>11</v>
      </c>
      <c r="Y14" s="64">
        <f>IF(M14="DG",1,IF(C14="LCH04",7,IF(C14="LCH01",7,IF(C14="LCH03",7,IF(C14="LCH03",7,IF(C14="LCH05",7,IF(C14="LCH06",7,IF(C14="LCH10",7,IF(C14="BKK02",5,3)))))))))</f>
        <v>5</v>
      </c>
      <c r="Z14" s="63">
        <f>IF(IF(AND(AC14="TML",AB14&gt;0),((T14-W14)+1)-AB14,((T14-W14)+1)-Y14)&gt;0,IF(AND(AC14="TML",AB14&gt;0),((T14-W14)+1)-AB14,((T14-W14)+1)-Y14),0)</f>
        <v>6</v>
      </c>
      <c r="AA14" s="120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600</v>
      </c>
      <c r="AB14" s="4"/>
      <c r="AC14" s="4"/>
      <c r="AD14" s="60">
        <f>IF(M14="DG",3,IF(N14="RF",3,5))+IF(AND(LEFT(C14,3)="BKK",N14="RF",Q14="KTS"),1,0)+IF(Q14="KHS",1,0)</f>
        <v>5</v>
      </c>
      <c r="AE14" s="63">
        <f>(T14-V14)+1</f>
        <v>46310</v>
      </c>
      <c r="AF14" s="63">
        <f>IF(AB14&gt;IF((V14-W14)&gt;0,V14-W14,0),0,IF(AB14&lt;IF((V14-W14)&gt;0,V14-W14,0),IF((V14-W14)&gt;0,V14-W14,0)-AB14,IF((V14-W14)&gt;0,V14-W14,0)))</f>
        <v>0</v>
      </c>
      <c r="AG14" s="120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/>
      <c r="AI14" s="93">
        <f>AA14-AH14</f>
        <v>600</v>
      </c>
      <c r="AJ14" s="70"/>
      <c r="AK14" s="62" t="str">
        <f>VLOOKUP(D14,'2.Bookinglist'!A:CT,40,FALSE)</f>
        <v>Nustsireerach</v>
      </c>
      <c r="AL14" s="60" t="str">
        <f>VLOOKUP(D14,'2.Bookinglist'!A:CW,101,FALSE)</f>
        <v>2026-10-14</v>
      </c>
      <c r="AM14" s="60" t="str">
        <f>VLOOKUP(D14,'2.Bookinglist'!A:BK,63,FALSE)</f>
        <v>BKK27</v>
      </c>
      <c r="AN14" s="62" t="str">
        <f>VLOOKUP(D14,'2.Bookinglist'!A:AZ,52,FALSE)</f>
        <v>CY -  RTN DD. 03-03/10/2026  /RQST CNTR UPGRADE 32.50TONS // FM SWSP 2610N BY HAL DD.01/10 (1ST RETURN 03/10 W/O RENT)</v>
      </c>
      <c r="AO14" s="62">
        <f>VLOOKUP(D14,'2.Bookinglist'!A:CY,103,FALSE)</f>
        <v>0</v>
      </c>
    </row>
    <row r="15" spans="1:41" ht="12.95" customHeight="1" x14ac:dyDescent="0.2">
      <c r="A15" s="96" t="s">
        <v>418</v>
      </c>
      <c r="B15" s="4" t="str">
        <f>IF(C15=Charge!$M$1,Charge!$J$1,IF(C15=Charge!$M$23,Charge!$J$23,IF(C15=Charge!$M$17,Charge!$J$17,IF(C15=Charge!$N$17,Charge!$J$17,Charge!$J$7))))</f>
        <v>G4</v>
      </c>
      <c r="C15" s="61" t="str">
        <f>VLOOKUP(A15,'1.Loading'!A:R,14,FALSE)</f>
        <v>BKK02</v>
      </c>
      <c r="D15" s="61" t="str">
        <f>VLOOKUP(A15,'1.Loading'!A:R,17,FALSE)</f>
        <v>HASLS22260901154</v>
      </c>
      <c r="E15" s="62" t="str">
        <f>VLOOKUP(D15,'2.Bookinglist'!A:CT,27,FALSE)</f>
        <v>METRO PARTICLE CO., LTD.</v>
      </c>
      <c r="F15" s="62" t="str">
        <f>VLOOKUP(D15,'2.Bookinglist'!A:CT,28,FALSE)</f>
        <v>METRO PARTICLE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KUS</v>
      </c>
      <c r="P15" s="61" t="str">
        <f>VLOOKUP(A15,'1.Loading'!A:R,4,FALSE)</f>
        <v>2616N</v>
      </c>
      <c r="Q15" s="61" t="str">
        <f>VLOOKUP(D15,'2.Bookinglist'!A:CT,12,FALSE)</f>
        <v>KST</v>
      </c>
      <c r="R15" s="60" t="str">
        <f>IF(LEFT(K15,2)="22","20'","40'")</f>
        <v>40'</v>
      </c>
      <c r="S15" s="101"/>
      <c r="T15" s="61" t="str">
        <f>VLOOKUP(A15,'1.Loading'!A:R,2,FALSE)</f>
        <v>2026-10-14</v>
      </c>
      <c r="U15" s="63">
        <f>T15-S15</f>
        <v>46309</v>
      </c>
      <c r="V15" s="104"/>
      <c r="W15" s="61" t="str">
        <f>VLOOKUP(A15,'3.GateMove'!A:D,4,FALSE)</f>
        <v>2026-10-04</v>
      </c>
      <c r="X15" s="63">
        <f>((T15-W15)+1)</f>
        <v>11</v>
      </c>
      <c r="Y15" s="64">
        <f>IF(M15="DG",1,IF(C15="LCH04",7,IF(C15="LCH01",7,IF(C15="LCH03",7,IF(C15="LCH03",7,IF(C15="LCH05",7,IF(C15="LCH06",7,IF(C15="LCH10",7,IF(C15="BKK02",5,3)))))))))</f>
        <v>5</v>
      </c>
      <c r="Z15" s="63">
        <f>IF(IF(AND(AC15="TML",AB15&gt;0),((T15-W15)+1)-AB15,((T15-W15)+1)-Y15)&gt;0,IF(AND(AC15="TML",AB15&gt;0),((T15-W15)+1)-AB15,((T15-W15)+1)-Y15),0)</f>
        <v>6</v>
      </c>
      <c r="AA15" s="120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600</v>
      </c>
      <c r="AB15" s="4"/>
      <c r="AC15" s="4"/>
      <c r="AD15" s="60">
        <f>IF(M15="DG",3,IF(N15="RF",3,5))+IF(AND(LEFT(C15,3)="BKK",N15="RF",Q15="KTS"),1,0)+IF(Q15="KHS",1,0)</f>
        <v>5</v>
      </c>
      <c r="AE15" s="63">
        <f>(T15-V15)+1</f>
        <v>46310</v>
      </c>
      <c r="AF15" s="63">
        <f>IF(AB15&gt;IF((V15-W15)&gt;0,V15-W15,0),0,IF(AB15&lt;IF((V15-W15)&gt;0,V15-W15,0),IF((V15-W15)&gt;0,V15-W15,0)-AB15,IF((V15-W15)&gt;0,V15-W15,0)))</f>
        <v>0</v>
      </c>
      <c r="AG15" s="120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/>
      <c r="AI15" s="93">
        <f>AA15-AH15</f>
        <v>600</v>
      </c>
      <c r="AJ15" s="70"/>
      <c r="AK15" s="62" t="str">
        <f>VLOOKUP(D15,'2.Bookinglist'!A:CT,40,FALSE)</f>
        <v>Nustsireerach</v>
      </c>
      <c r="AL15" s="60" t="str">
        <f>VLOOKUP(D15,'2.Bookinglist'!A:CW,101,FALSE)</f>
        <v>2026-10-14</v>
      </c>
      <c r="AM15" s="60" t="str">
        <f>VLOOKUP(D15,'2.Bookinglist'!A:BK,63,FALSE)</f>
        <v>BKK27</v>
      </c>
      <c r="AN15" s="62" t="str">
        <f>VLOOKUP(D15,'2.Bookinglist'!A:AZ,52,FALSE)</f>
        <v>CY -  RTN DD. 03-03/10/2026  /RQST CNTR UPGRADE 32.50TONS // FM SWSP 2610N BY HAL DD.01/10 (1ST RETURN 03/10 W/O RENT)</v>
      </c>
      <c r="AO15" s="62">
        <f>VLOOKUP(D15,'2.Bookinglist'!A:CY,103,FALSE)</f>
        <v>0</v>
      </c>
    </row>
    <row r="16" spans="1:41" ht="12.95" customHeight="1" x14ac:dyDescent="0.2">
      <c r="A16" s="96" t="s">
        <v>421</v>
      </c>
      <c r="B16" s="4" t="str">
        <f>IF(C16=Charge!$M$1,Charge!$J$1,IF(C16=Charge!$M$23,Charge!$J$23,IF(C16=Charge!$M$17,Charge!$J$17,IF(C16=Charge!$N$17,Charge!$J$17,Charge!$J$7))))</f>
        <v>G4</v>
      </c>
      <c r="C16" s="61" t="str">
        <f>VLOOKUP(A16,'1.Loading'!A:R,14,FALSE)</f>
        <v>BKK02</v>
      </c>
      <c r="D16" s="61" t="str">
        <f>VLOOKUP(A16,'1.Loading'!A:R,17,FALSE)</f>
        <v>HASLS22260901154</v>
      </c>
      <c r="E16" s="62" t="str">
        <f>VLOOKUP(D16,'2.Bookinglist'!A:CT,27,FALSE)</f>
        <v>METRO PARTICLE CO., LTD.</v>
      </c>
      <c r="F16" s="62" t="str">
        <f>VLOOKUP(D16,'2.Bookinglist'!A:CT,28,FALSE)</f>
        <v>METRO PARTICLE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KUS</v>
      </c>
      <c r="P16" s="61" t="str">
        <f>VLOOKUP(A16,'1.Loading'!A:R,4,FALSE)</f>
        <v>2616N</v>
      </c>
      <c r="Q16" s="61" t="str">
        <f>VLOOKUP(D16,'2.Bookinglist'!A:CT,12,FALSE)</f>
        <v>KST</v>
      </c>
      <c r="R16" s="60" t="str">
        <f>IF(LEFT(K16,2)="22","20'","40'")</f>
        <v>40'</v>
      </c>
      <c r="S16" s="101"/>
      <c r="T16" s="61" t="str">
        <f>VLOOKUP(A16,'1.Loading'!A:R,2,FALSE)</f>
        <v>2026-10-14</v>
      </c>
      <c r="U16" s="63">
        <f>T16-S16</f>
        <v>46309</v>
      </c>
      <c r="V16" s="104"/>
      <c r="W16" s="61" t="str">
        <f>VLOOKUP(A16,'3.GateMove'!A:D,4,FALSE)</f>
        <v>2026-10-04</v>
      </c>
      <c r="X16" s="63">
        <f>((T16-W16)+1)</f>
        <v>11</v>
      </c>
      <c r="Y16" s="64">
        <f>IF(M16="DG",1,IF(C16="LCH04",7,IF(C16="LCH01",7,IF(C16="LCH03",7,IF(C16="LCH03",7,IF(C16="LCH05",7,IF(C16="LCH06",7,IF(C16="LCH10",7,IF(C16="BKK02",5,3)))))))))</f>
        <v>5</v>
      </c>
      <c r="Z16" s="63">
        <f>IF(IF(AND(AC16="TML",AB16&gt;0),((T16-W16)+1)-AB16,((T16-W16)+1)-Y16)&gt;0,IF(AND(AC16="TML",AB16&gt;0),((T16-W16)+1)-AB16,((T16-W16)+1)-Y16),0)</f>
        <v>6</v>
      </c>
      <c r="AA16" s="120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600</v>
      </c>
      <c r="AB16" s="4"/>
      <c r="AC16" s="4"/>
      <c r="AD16" s="60">
        <f>IF(M16="DG",3,IF(N16="RF",3,5))+IF(AND(LEFT(C16,3)="BKK",N16="RF",Q16="KTS"),1,0)+IF(Q16="KHS",1,0)</f>
        <v>5</v>
      </c>
      <c r="AE16" s="63">
        <f>(T16-V16)+1</f>
        <v>46310</v>
      </c>
      <c r="AF16" s="63">
        <f>IF(AB16&gt;IF((V16-W16)&gt;0,V16-W16,0),0,IF(AB16&lt;IF((V16-W16)&gt;0,V16-W16,0),IF((V16-W16)&gt;0,V16-W16,0)-AB16,IF((V16-W16)&gt;0,V16-W16,0)))</f>
        <v>0</v>
      </c>
      <c r="AG16" s="120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/>
      <c r="AI16" s="93">
        <f>AA16-AH16</f>
        <v>600</v>
      </c>
      <c r="AJ16" s="70"/>
      <c r="AK16" s="62" t="str">
        <f>VLOOKUP(D16,'2.Bookinglist'!A:CT,40,FALSE)</f>
        <v>Nustsireerach</v>
      </c>
      <c r="AL16" s="60" t="str">
        <f>VLOOKUP(D16,'2.Bookinglist'!A:CW,101,FALSE)</f>
        <v>2026-10-14</v>
      </c>
      <c r="AM16" s="60" t="str">
        <f>VLOOKUP(D16,'2.Bookinglist'!A:BK,63,FALSE)</f>
        <v>BKK27</v>
      </c>
      <c r="AN16" s="62" t="str">
        <f>VLOOKUP(D16,'2.Bookinglist'!A:AZ,52,FALSE)</f>
        <v>CY -  RTN DD. 03-03/10/2026  /RQST CNTR UPGRADE 32.50TONS // FM SWSP 2610N BY HAL DD.01/10 (1ST RETURN 03/10 W/O RENT)</v>
      </c>
      <c r="AO16" s="62">
        <f>VLOOKUP(D16,'2.Bookinglist'!A:CY,103,FALSE)</f>
        <v>0</v>
      </c>
    </row>
    <row r="17" spans="1:41" ht="12.95" customHeight="1" x14ac:dyDescent="0.2">
      <c r="A17" s="96" t="s">
        <v>428</v>
      </c>
      <c r="B17" s="4" t="str">
        <f>IF(C17=Charge!$M$1,Charge!$J$1,IF(C17=Charge!$M$23,Charge!$J$23,IF(C17=Charge!$M$17,Charge!$J$17,IF(C17=Charge!$N$17,Charge!$J$17,Charge!$J$7))))</f>
        <v>G4</v>
      </c>
      <c r="C17" s="61" t="str">
        <f>VLOOKUP(A17,'1.Loading'!A:R,14,FALSE)</f>
        <v>BKK02</v>
      </c>
      <c r="D17" s="61" t="str">
        <f>VLOOKUP(A17,'1.Loading'!A:R,17,FALSE)</f>
        <v>HASLS22260901154</v>
      </c>
      <c r="E17" s="62" t="str">
        <f>VLOOKUP(D17,'2.Bookinglist'!A:CT,27,FALSE)</f>
        <v>METRO PARTICLE CO., LTD.</v>
      </c>
      <c r="F17" s="62" t="str">
        <f>VLOOKUP(D17,'2.Bookinglist'!A:CT,28,FALSE)</f>
        <v>METRO PARTICLE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KUS</v>
      </c>
      <c r="P17" s="61" t="str">
        <f>VLOOKUP(A17,'1.Loading'!A:R,4,FALSE)</f>
        <v>2616N</v>
      </c>
      <c r="Q17" s="61" t="str">
        <f>VLOOKUP(D17,'2.Bookinglist'!A:CT,12,FALSE)</f>
        <v>KST</v>
      </c>
      <c r="R17" s="60" t="str">
        <f>IF(LEFT(K17,2)="22","20'","40'")</f>
        <v>40'</v>
      </c>
      <c r="S17" s="101"/>
      <c r="T17" s="61" t="str">
        <f>VLOOKUP(A17,'1.Loading'!A:R,2,FALSE)</f>
        <v>2026-10-14</v>
      </c>
      <c r="U17" s="63">
        <f>T17-S17</f>
        <v>46309</v>
      </c>
      <c r="V17" s="104"/>
      <c r="W17" s="61" t="str">
        <f>VLOOKUP(A17,'3.GateMove'!A:D,4,FALSE)</f>
        <v>2026-10-04</v>
      </c>
      <c r="X17" s="63">
        <f>((T17-W17)+1)</f>
        <v>11</v>
      </c>
      <c r="Y17" s="64">
        <f>IF(M17="DG",1,IF(C17="LCH04",7,IF(C17="LCH01",7,IF(C17="LCH03",7,IF(C17="LCH03",7,IF(C17="LCH05",7,IF(C17="LCH06",7,IF(C17="LCH10",7,IF(C17="BKK02",5,3)))))))))</f>
        <v>5</v>
      </c>
      <c r="Z17" s="63">
        <f>IF(IF(AND(AC17="TML",AB17&gt;0),((T17-W17)+1)-AB17,((T17-W17)+1)-Y17)&gt;0,IF(AND(AC17="TML",AB17&gt;0),((T17-W17)+1)-AB17,((T17-W17)+1)-Y17),0)</f>
        <v>6</v>
      </c>
      <c r="AA17" s="120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600</v>
      </c>
      <c r="AB17" s="4"/>
      <c r="AC17" s="4"/>
      <c r="AD17" s="60">
        <f>IF(M17="DG",3,IF(N17="RF",3,5))+IF(AND(LEFT(C17,3)="BKK",N17="RF",Q17="KTS"),1,0)+IF(Q17="KHS",1,0)</f>
        <v>5</v>
      </c>
      <c r="AE17" s="63">
        <f>(T17-V17)+1</f>
        <v>46310</v>
      </c>
      <c r="AF17" s="63">
        <f>IF(AB17&gt;IF((V17-W17)&gt;0,V17-W17,0),0,IF(AB17&lt;IF((V17-W17)&gt;0,V17-W17,0),IF((V17-W17)&gt;0,V17-W17,0)-AB17,IF((V17-W17)&gt;0,V17-W17,0)))</f>
        <v>0</v>
      </c>
      <c r="AG17" s="120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/>
      <c r="AI17" s="93">
        <f>AA17-AH17</f>
        <v>600</v>
      </c>
      <c r="AJ17" s="70"/>
      <c r="AK17" s="62" t="str">
        <f>VLOOKUP(D17,'2.Bookinglist'!A:CT,40,FALSE)</f>
        <v>Nustsireerach</v>
      </c>
      <c r="AL17" s="60" t="str">
        <f>VLOOKUP(D17,'2.Bookinglist'!A:CW,101,FALSE)</f>
        <v>2026-10-14</v>
      </c>
      <c r="AM17" s="60" t="str">
        <f>VLOOKUP(D17,'2.Bookinglist'!A:BK,63,FALSE)</f>
        <v>BKK27</v>
      </c>
      <c r="AN17" s="62" t="str">
        <f>VLOOKUP(D17,'2.Bookinglist'!A:AZ,52,FALSE)</f>
        <v>CY -  RTN DD. 03-03/10/2026  /RQST CNTR UPGRADE 32.50TONS // FM SWSP 2610N BY HAL DD.01/10 (1ST RETURN 03/10 W/O RENT)</v>
      </c>
      <c r="AO17" s="62">
        <f>VLOOKUP(D17,'2.Bookinglist'!A:CY,103,FALSE)</f>
        <v>0</v>
      </c>
    </row>
    <row r="18" spans="1:41" ht="12.95" customHeight="1" x14ac:dyDescent="0.2">
      <c r="A18" s="96" t="s">
        <v>432</v>
      </c>
      <c r="B18" s="4" t="str">
        <f>IF(C18=Charge!$M$1,Charge!$J$1,IF(C18=Charge!$M$23,Charge!$J$23,IF(C18=Charge!$M$17,Charge!$J$17,IF(C18=Charge!$N$17,Charge!$J$17,Charge!$J$7))))</f>
        <v>G4</v>
      </c>
      <c r="C18" s="61" t="str">
        <f>VLOOKUP(A18,'1.Loading'!A:R,14,FALSE)</f>
        <v>BKK02</v>
      </c>
      <c r="D18" s="61" t="str">
        <f>VLOOKUP(A18,'1.Loading'!A:R,17,FALSE)</f>
        <v>HASLS22260901154</v>
      </c>
      <c r="E18" s="62" t="str">
        <f>VLOOKUP(D18,'2.Bookinglist'!A:CT,27,FALSE)</f>
        <v>METRO PARTICLE CO., LTD.</v>
      </c>
      <c r="F18" s="62" t="str">
        <f>VLOOKUP(D18,'2.Bookinglist'!A:CT,28,FALSE)</f>
        <v>METRO PARTICLE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KUS</v>
      </c>
      <c r="P18" s="61" t="str">
        <f>VLOOKUP(A18,'1.Loading'!A:R,4,FALSE)</f>
        <v>2616N</v>
      </c>
      <c r="Q18" s="61" t="str">
        <f>VLOOKUP(D18,'2.Bookinglist'!A:CT,12,FALSE)</f>
        <v>KST</v>
      </c>
      <c r="R18" s="60" t="str">
        <f>IF(LEFT(K18,2)="22","20'","40'")</f>
        <v>40'</v>
      </c>
      <c r="S18" s="101"/>
      <c r="T18" s="61" t="str">
        <f>VLOOKUP(A18,'1.Loading'!A:R,2,FALSE)</f>
        <v>2026-10-14</v>
      </c>
      <c r="U18" s="63">
        <f>T18-S18</f>
        <v>46309</v>
      </c>
      <c r="V18" s="104"/>
      <c r="W18" s="61" t="str">
        <f>VLOOKUP(A18,'3.GateMove'!A:D,4,FALSE)</f>
        <v>2026-10-05</v>
      </c>
      <c r="X18" s="63">
        <f>((T18-W18)+1)</f>
        <v>10</v>
      </c>
      <c r="Y18" s="64">
        <f>IF(M18="DG",1,IF(C18="LCH04",7,IF(C18="LCH01",7,IF(C18="LCH03",7,IF(C18="LCH03",7,IF(C18="LCH05",7,IF(C18="LCH06",7,IF(C18="LCH10",7,IF(C18="BKK02",5,3)))))))))</f>
        <v>5</v>
      </c>
      <c r="Z18" s="63">
        <f>IF(IF(AND(AC18="TML",AB18&gt;0),((T18-W18)+1)-AB18,((T18-W18)+1)-Y18)&gt;0,IF(AND(AC18="TML",AB18&gt;0),((T18-W18)+1)-AB18,((T18-W18)+1)-Y18),0)</f>
        <v>5</v>
      </c>
      <c r="AA18" s="120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500</v>
      </c>
      <c r="AB18" s="4"/>
      <c r="AC18" s="4"/>
      <c r="AD18" s="60">
        <f>IF(M18="DG",3,IF(N18="RF",3,5))+IF(AND(LEFT(C18,3)="BKK",N18="RF",Q18="KTS"),1,0)+IF(Q18="KHS",1,0)</f>
        <v>5</v>
      </c>
      <c r="AE18" s="63">
        <f>(T18-V18)+1</f>
        <v>46310</v>
      </c>
      <c r="AF18" s="63">
        <f>IF(AB18&gt;IF((V18-W18)&gt;0,V18-W18,0),0,IF(AB18&lt;IF((V18-W18)&gt;0,V18-W18,0),IF((V18-W18)&gt;0,V18-W18,0)-AB18,IF((V18-W18)&gt;0,V18-W18,0)))</f>
        <v>0</v>
      </c>
      <c r="AG18" s="120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/>
      <c r="AI18" s="93">
        <f>AA18-AH18</f>
        <v>500</v>
      </c>
      <c r="AJ18" s="70"/>
      <c r="AK18" s="62" t="str">
        <f>VLOOKUP(D18,'2.Bookinglist'!A:CT,40,FALSE)</f>
        <v>Nustsireerach</v>
      </c>
      <c r="AL18" s="60" t="str">
        <f>VLOOKUP(D18,'2.Bookinglist'!A:CW,101,FALSE)</f>
        <v>2026-10-14</v>
      </c>
      <c r="AM18" s="60" t="str">
        <f>VLOOKUP(D18,'2.Bookinglist'!A:BK,63,FALSE)</f>
        <v>BKK27</v>
      </c>
      <c r="AN18" s="62" t="str">
        <f>VLOOKUP(D18,'2.Bookinglist'!A:AZ,52,FALSE)</f>
        <v>CY -  RTN DD. 03-03/10/2026  /RQST CNTR UPGRADE 32.50TONS // FM SWSP 2610N BY HAL DD.01/10 (1ST RETURN 03/10 W/O RENT)</v>
      </c>
      <c r="AO18" s="62">
        <f>VLOOKUP(D18,'2.Bookinglist'!A:CY,103,FALSE)</f>
        <v>0</v>
      </c>
    </row>
    <row r="19" spans="1:41" ht="12.95" customHeight="1" x14ac:dyDescent="0.2">
      <c r="A19" s="96" t="s">
        <v>435</v>
      </c>
      <c r="B19" s="4" t="str">
        <f>IF(C19=Charge!$M$1,Charge!$J$1,IF(C19=Charge!$M$23,Charge!$J$23,IF(C19=Charge!$M$17,Charge!$J$17,IF(C19=Charge!$N$17,Charge!$J$17,Charge!$J$7))))</f>
        <v>G4</v>
      </c>
      <c r="C19" s="61" t="str">
        <f>VLOOKUP(A19,'1.Loading'!A:R,14,FALSE)</f>
        <v>BKK02</v>
      </c>
      <c r="D19" s="61" t="str">
        <f>VLOOKUP(A19,'1.Loading'!A:R,17,FALSE)</f>
        <v>HASLS22260901154</v>
      </c>
      <c r="E19" s="62" t="str">
        <f>VLOOKUP(D19,'2.Bookinglist'!A:CT,27,FALSE)</f>
        <v>METRO PARTICLE CO., LTD.</v>
      </c>
      <c r="F19" s="62" t="str">
        <f>VLOOKUP(D19,'2.Bookinglist'!A:CT,28,FALSE)</f>
        <v>METRO PARTICLE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KUS</v>
      </c>
      <c r="P19" s="61" t="str">
        <f>VLOOKUP(A19,'1.Loading'!A:R,4,FALSE)</f>
        <v>2616N</v>
      </c>
      <c r="Q19" s="61" t="str">
        <f>VLOOKUP(D19,'2.Bookinglist'!A:CT,12,FALSE)</f>
        <v>KST</v>
      </c>
      <c r="R19" s="60" t="str">
        <f>IF(LEFT(K19,2)="22","20'","40'")</f>
        <v>40'</v>
      </c>
      <c r="S19" s="101"/>
      <c r="T19" s="61" t="str">
        <f>VLOOKUP(A19,'1.Loading'!A:R,2,FALSE)</f>
        <v>2026-10-14</v>
      </c>
      <c r="U19" s="63">
        <f>T19-S19</f>
        <v>46309</v>
      </c>
      <c r="V19" s="104"/>
      <c r="W19" s="61" t="str">
        <f>VLOOKUP(A19,'3.GateMove'!A:D,4,FALSE)</f>
        <v>2026-10-04</v>
      </c>
      <c r="X19" s="63">
        <f>((T19-W19)+1)</f>
        <v>11</v>
      </c>
      <c r="Y19" s="64">
        <f>IF(M19="DG",1,IF(C19="LCH04",7,IF(C19="LCH01",7,IF(C19="LCH03",7,IF(C19="LCH03",7,IF(C19="LCH05",7,IF(C19="LCH06",7,IF(C19="LCH10",7,IF(C19="BKK02",5,3)))))))))</f>
        <v>5</v>
      </c>
      <c r="Z19" s="63">
        <f>IF(IF(AND(AC19="TML",AB19&gt;0),((T19-W19)+1)-AB19,((T19-W19)+1)-Y19)&gt;0,IF(AND(AC19="TML",AB19&gt;0),((T19-W19)+1)-AB19,((T19-W19)+1)-Y19),0)</f>
        <v>6</v>
      </c>
      <c r="AA19" s="120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600</v>
      </c>
      <c r="AB19" s="4"/>
      <c r="AC19" s="4"/>
      <c r="AD19" s="60">
        <f>IF(M19="DG",3,IF(N19="RF",3,5))+IF(AND(LEFT(C19,3)="BKK",N19="RF",Q19="KTS"),1,0)+IF(Q19="KHS",1,0)</f>
        <v>5</v>
      </c>
      <c r="AE19" s="63">
        <f>(T19-V19)+1</f>
        <v>46310</v>
      </c>
      <c r="AF19" s="63">
        <f>IF(AB19&gt;IF((V19-W19)&gt;0,V19-W19,0),0,IF(AB19&lt;IF((V19-W19)&gt;0,V19-W19,0),IF((V19-W19)&gt;0,V19-W19,0)-AB19,IF((V19-W19)&gt;0,V19-W19,0)))</f>
        <v>0</v>
      </c>
      <c r="AG19" s="120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/>
      <c r="AI19" s="93">
        <f>AA19-AH19</f>
        <v>600</v>
      </c>
      <c r="AJ19" s="70"/>
      <c r="AK19" s="62" t="str">
        <f>VLOOKUP(D19,'2.Bookinglist'!A:CT,40,FALSE)</f>
        <v>Nustsireerach</v>
      </c>
      <c r="AL19" s="60" t="str">
        <f>VLOOKUP(D19,'2.Bookinglist'!A:CW,101,FALSE)</f>
        <v>2026-10-14</v>
      </c>
      <c r="AM19" s="60" t="str">
        <f>VLOOKUP(D19,'2.Bookinglist'!A:BK,63,FALSE)</f>
        <v>BKK27</v>
      </c>
      <c r="AN19" s="62" t="str">
        <f>VLOOKUP(D19,'2.Bookinglist'!A:AZ,52,FALSE)</f>
        <v>CY -  RTN DD. 03-03/10/2026  /RQST CNTR UPGRADE 32.50TONS // FM SWSP 2610N BY HAL DD.01/10 (1ST RETURN 03/10 W/O RENT)</v>
      </c>
      <c r="AO19" s="62">
        <f>VLOOKUP(D19,'2.Bookinglist'!A:CY,103,FALSE)</f>
        <v>0</v>
      </c>
    </row>
    <row r="20" spans="1:41" ht="12.95" customHeight="1" x14ac:dyDescent="0.2">
      <c r="A20" s="96" t="s">
        <v>437</v>
      </c>
      <c r="B20" s="4" t="str">
        <f>IF(C20=Charge!$M$1,Charge!$J$1,IF(C20=Charge!$M$23,Charge!$J$23,IF(C20=Charge!$M$17,Charge!$J$17,IF(C20=Charge!$N$17,Charge!$J$17,Charge!$J$7))))</f>
        <v>G4</v>
      </c>
      <c r="C20" s="61" t="str">
        <f>VLOOKUP(A20,'1.Loading'!A:R,14,FALSE)</f>
        <v>BKK02</v>
      </c>
      <c r="D20" s="61" t="str">
        <f>VLOOKUP(A20,'1.Loading'!A:R,17,FALSE)</f>
        <v>HASLS22260901154</v>
      </c>
      <c r="E20" s="62" t="str">
        <f>VLOOKUP(D20,'2.Bookinglist'!A:CT,27,FALSE)</f>
        <v>METRO PARTICLE CO., LTD.</v>
      </c>
      <c r="F20" s="62" t="str">
        <f>VLOOKUP(D20,'2.Bookinglist'!A:CT,28,FALSE)</f>
        <v>METRO PARTICLE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KUS</v>
      </c>
      <c r="P20" s="61" t="str">
        <f>VLOOKUP(A20,'1.Loading'!A:R,4,FALSE)</f>
        <v>2616N</v>
      </c>
      <c r="Q20" s="61" t="str">
        <f>VLOOKUP(D20,'2.Bookinglist'!A:CT,12,FALSE)</f>
        <v>KST</v>
      </c>
      <c r="R20" s="60" t="str">
        <f>IF(LEFT(K20,2)="22","20'","40'")</f>
        <v>40'</v>
      </c>
      <c r="S20" s="101"/>
      <c r="T20" s="61" t="str">
        <f>VLOOKUP(A20,'1.Loading'!A:R,2,FALSE)</f>
        <v>2026-10-14</v>
      </c>
      <c r="U20" s="63">
        <f>T20-S20</f>
        <v>46309</v>
      </c>
      <c r="V20" s="104"/>
      <c r="W20" s="61" t="str">
        <f>VLOOKUP(A20,'3.GateMove'!A:D,4,FALSE)</f>
        <v>2026-10-06</v>
      </c>
      <c r="X20" s="63">
        <f>((T20-W20)+1)</f>
        <v>9</v>
      </c>
      <c r="Y20" s="64">
        <f>IF(M20="DG",1,IF(C20="LCH04",7,IF(C20="LCH01",7,IF(C20="LCH03",7,IF(C20="LCH03",7,IF(C20="LCH05",7,IF(C20="LCH06",7,IF(C20="LCH10",7,IF(C20="BKK02",5,3)))))))))</f>
        <v>5</v>
      </c>
      <c r="Z20" s="63">
        <f>IF(IF(AND(AC20="TML",AB20&gt;0),((T20-W20)+1)-AB20,((T20-W20)+1)-Y20)&gt;0,IF(AND(AC20="TML",AB20&gt;0),((T20-W20)+1)-AB20,((T20-W20)+1)-Y20),0)</f>
        <v>4</v>
      </c>
      <c r="AA20" s="120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400</v>
      </c>
      <c r="AB20" s="4"/>
      <c r="AC20" s="4"/>
      <c r="AD20" s="60">
        <f>IF(M20="DG",3,IF(N20="RF",3,5))+IF(AND(LEFT(C20,3)="BKK",N20="RF",Q20="KTS"),1,0)+IF(Q20="KHS",1,0)</f>
        <v>5</v>
      </c>
      <c r="AE20" s="63">
        <f>(T20-V20)+1</f>
        <v>46310</v>
      </c>
      <c r="AF20" s="63">
        <f>IF(AB20&gt;IF((V20-W20)&gt;0,V20-W20,0),0,IF(AB20&lt;IF((V20-W20)&gt;0,V20-W20,0),IF((V20-W20)&gt;0,V20-W20,0)-AB20,IF((V20-W20)&gt;0,V20-W20,0)))</f>
        <v>0</v>
      </c>
      <c r="AG20" s="120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/>
      <c r="AI20" s="93">
        <f>AA20-AH20</f>
        <v>400</v>
      </c>
      <c r="AJ20" s="70"/>
      <c r="AK20" s="62" t="str">
        <f>VLOOKUP(D20,'2.Bookinglist'!A:CT,40,FALSE)</f>
        <v>Nustsireerach</v>
      </c>
      <c r="AL20" s="60" t="str">
        <f>VLOOKUP(D20,'2.Bookinglist'!A:CW,101,FALSE)</f>
        <v>2026-10-14</v>
      </c>
      <c r="AM20" s="60" t="str">
        <f>VLOOKUP(D20,'2.Bookinglist'!A:BK,63,FALSE)</f>
        <v>BKK27</v>
      </c>
      <c r="AN20" s="62" t="str">
        <f>VLOOKUP(D20,'2.Bookinglist'!A:AZ,52,FALSE)</f>
        <v>CY -  RTN DD. 03-03/10/2026  /RQST CNTR UPGRADE 32.50TONS // FM SWSP 2610N BY HAL DD.01/10 (1ST RETURN 03/10 W/O RENT)</v>
      </c>
      <c r="AO20" s="62">
        <f>VLOOKUP(D20,'2.Bookinglist'!A:CY,103,FALSE)</f>
        <v>0</v>
      </c>
    </row>
    <row r="21" spans="1:41" ht="12.95" customHeight="1" x14ac:dyDescent="0.2">
      <c r="A21" s="96" t="s">
        <v>439</v>
      </c>
      <c r="B21" s="4" t="str">
        <f>IF(C21=Charge!$M$1,Charge!$J$1,IF(C21=Charge!$M$23,Charge!$J$23,IF(C21=Charge!$M$17,Charge!$J$17,IF(C21=Charge!$N$17,Charge!$J$17,Charge!$J$7))))</f>
        <v>G4</v>
      </c>
      <c r="C21" s="61" t="str">
        <f>VLOOKUP(A21,'1.Loading'!A:R,14,FALSE)</f>
        <v>BKK02</v>
      </c>
      <c r="D21" s="61" t="str">
        <f>VLOOKUP(A21,'1.Loading'!A:R,17,FALSE)</f>
        <v>HASLS22260901154</v>
      </c>
      <c r="E21" s="62" t="str">
        <f>VLOOKUP(D21,'2.Bookinglist'!A:CT,27,FALSE)</f>
        <v>METRO PARTICLE CO., LTD.</v>
      </c>
      <c r="F21" s="62" t="str">
        <f>VLOOKUP(D21,'2.Bookinglist'!A:CT,28,FALSE)</f>
        <v>METRO PARTICLE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KUS</v>
      </c>
      <c r="P21" s="61" t="str">
        <f>VLOOKUP(A21,'1.Loading'!A:R,4,FALSE)</f>
        <v>2616N</v>
      </c>
      <c r="Q21" s="61" t="str">
        <f>VLOOKUP(D21,'2.Bookinglist'!A:CT,12,FALSE)</f>
        <v>KST</v>
      </c>
      <c r="R21" s="60" t="str">
        <f>IF(LEFT(K21,2)="22","20'","40'")</f>
        <v>40'</v>
      </c>
      <c r="S21" s="101"/>
      <c r="T21" s="61" t="str">
        <f>VLOOKUP(A21,'1.Loading'!A:R,2,FALSE)</f>
        <v>2026-10-14</v>
      </c>
      <c r="U21" s="63">
        <f>T21-S21</f>
        <v>46309</v>
      </c>
      <c r="V21" s="104"/>
      <c r="W21" s="61" t="str">
        <f>VLOOKUP(A21,'3.GateMove'!A:D,4,FALSE)</f>
        <v>2026-10-05</v>
      </c>
      <c r="X21" s="63">
        <f>((T21-W21)+1)</f>
        <v>10</v>
      </c>
      <c r="Y21" s="64">
        <f>IF(M21="DG",1,IF(C21="LCH04",7,IF(C21="LCH01",7,IF(C21="LCH03",7,IF(C21="LCH03",7,IF(C21="LCH05",7,IF(C21="LCH06",7,IF(C21="LCH10",7,IF(C21="BKK02",5,3)))))))))</f>
        <v>5</v>
      </c>
      <c r="Z21" s="63">
        <f>IF(IF(AND(AC21="TML",AB21&gt;0),((T21-W21)+1)-AB21,((T21-W21)+1)-Y21)&gt;0,IF(AND(AC21="TML",AB21&gt;0),((T21-W21)+1)-AB21,((T21-W21)+1)-Y21),0)</f>
        <v>5</v>
      </c>
      <c r="AA21" s="120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500</v>
      </c>
      <c r="AB21" s="4"/>
      <c r="AC21" s="4"/>
      <c r="AD21" s="60">
        <f>IF(M21="DG",3,IF(N21="RF",3,5))+IF(AND(LEFT(C21,3)="BKK",N21="RF",Q21="KTS"),1,0)+IF(Q21="KHS",1,0)</f>
        <v>5</v>
      </c>
      <c r="AE21" s="63">
        <f>(T21-V21)+1</f>
        <v>46310</v>
      </c>
      <c r="AF21" s="63">
        <f>IF(AB21&gt;IF((V21-W21)&gt;0,V21-W21,0),0,IF(AB21&lt;IF((V21-W21)&gt;0,V21-W21,0),IF((V21-W21)&gt;0,V21-W21,0)-AB21,IF((V21-W21)&gt;0,V21-W21,0)))</f>
        <v>0</v>
      </c>
      <c r="AG21" s="120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/>
      <c r="AI21" s="93">
        <f>AA21-AH21</f>
        <v>500</v>
      </c>
      <c r="AJ21" s="70"/>
      <c r="AK21" s="62" t="str">
        <f>VLOOKUP(D21,'2.Bookinglist'!A:CT,40,FALSE)</f>
        <v>Nustsireerach</v>
      </c>
      <c r="AL21" s="60" t="str">
        <f>VLOOKUP(D21,'2.Bookinglist'!A:CW,101,FALSE)</f>
        <v>2026-10-14</v>
      </c>
      <c r="AM21" s="60" t="str">
        <f>VLOOKUP(D21,'2.Bookinglist'!A:BK,63,FALSE)</f>
        <v>BKK27</v>
      </c>
      <c r="AN21" s="62" t="str">
        <f>VLOOKUP(D21,'2.Bookinglist'!A:AZ,52,FALSE)</f>
        <v>CY -  RTN DD. 03-03/10/2026  /RQST CNTR UPGRADE 32.50TONS // FM SWSP 2610N BY HAL DD.01/10 (1ST RETURN 03/10 W/O RENT)</v>
      </c>
      <c r="AO21" s="62">
        <f>VLOOKUP(D21,'2.Bookinglist'!A:CY,103,FALSE)</f>
        <v>0</v>
      </c>
    </row>
    <row r="22" spans="1:41" ht="12.95" customHeight="1" x14ac:dyDescent="0.2">
      <c r="A22" s="96" t="s">
        <v>440</v>
      </c>
      <c r="B22" s="4" t="str">
        <f>IF(C22=Charge!$M$1,Charge!$J$1,IF(C22=Charge!$M$23,Charge!$J$23,IF(C22=Charge!$M$17,Charge!$J$17,IF(C22=Charge!$N$17,Charge!$J$17,Charge!$J$7))))</f>
        <v>G4</v>
      </c>
      <c r="C22" s="61" t="str">
        <f>VLOOKUP(A22,'1.Loading'!A:R,14,FALSE)</f>
        <v>BKK02</v>
      </c>
      <c r="D22" s="61" t="str">
        <f>VLOOKUP(A22,'1.Loading'!A:R,17,FALSE)</f>
        <v>HASLS22260901154</v>
      </c>
      <c r="E22" s="62" t="str">
        <f>VLOOKUP(D22,'2.Bookinglist'!A:CT,27,FALSE)</f>
        <v>METRO PARTICLE CO., LTD.</v>
      </c>
      <c r="F22" s="62" t="str">
        <f>VLOOKUP(D22,'2.Bookinglist'!A:CT,28,FALSE)</f>
        <v>METRO PARTICLE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KUS</v>
      </c>
      <c r="P22" s="61" t="str">
        <f>VLOOKUP(A22,'1.Loading'!A:R,4,FALSE)</f>
        <v>2616N</v>
      </c>
      <c r="Q22" s="61" t="str">
        <f>VLOOKUP(D22,'2.Bookinglist'!A:CT,12,FALSE)</f>
        <v>KST</v>
      </c>
      <c r="R22" s="60" t="str">
        <f>IF(LEFT(K22,2)="22","20'","40'")</f>
        <v>40'</v>
      </c>
      <c r="S22" s="101"/>
      <c r="T22" s="61" t="str">
        <f>VLOOKUP(A22,'1.Loading'!A:R,2,FALSE)</f>
        <v>2026-10-14</v>
      </c>
      <c r="U22" s="63">
        <f>T22-S22</f>
        <v>46309</v>
      </c>
      <c r="V22" s="104"/>
      <c r="W22" s="61" t="str">
        <f>VLOOKUP(A22,'3.GateMove'!A:D,4,FALSE)</f>
        <v>2026-10-04</v>
      </c>
      <c r="X22" s="63">
        <f>((T22-W22)+1)</f>
        <v>11</v>
      </c>
      <c r="Y22" s="64">
        <f>IF(M22="DG",1,IF(C22="LCH04",7,IF(C22="LCH01",7,IF(C22="LCH03",7,IF(C22="LCH03",7,IF(C22="LCH05",7,IF(C22="LCH06",7,IF(C22="LCH10",7,IF(C22="BKK02",5,3)))))))))</f>
        <v>5</v>
      </c>
      <c r="Z22" s="63">
        <f>IF(IF(AND(AC22="TML",AB22&gt;0),((T22-W22)+1)-AB22,((T22-W22)+1)-Y22)&gt;0,IF(AND(AC22="TML",AB22&gt;0),((T22-W22)+1)-AB22,((T22-W22)+1)-Y22),0)</f>
        <v>6</v>
      </c>
      <c r="AA22" s="120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600</v>
      </c>
      <c r="AB22" s="4"/>
      <c r="AC22" s="4"/>
      <c r="AD22" s="60">
        <f>IF(M22="DG",3,IF(N22="RF",3,5))+IF(AND(LEFT(C22,3)="BKK",N22="RF",Q22="KTS"),1,0)+IF(Q22="KHS",1,0)</f>
        <v>5</v>
      </c>
      <c r="AE22" s="63">
        <f>(T22-V22)+1</f>
        <v>46310</v>
      </c>
      <c r="AF22" s="63">
        <f>IF(AB22&gt;IF((V22-W22)&gt;0,V22-W22,0),0,IF(AB22&lt;IF((V22-W22)&gt;0,V22-W22,0),IF((V22-W22)&gt;0,V22-W22,0)-AB22,IF((V22-W22)&gt;0,V22-W22,0)))</f>
        <v>0</v>
      </c>
      <c r="AG22" s="120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/>
      <c r="AI22" s="93">
        <f>AA22-AH22</f>
        <v>600</v>
      </c>
      <c r="AJ22" s="70"/>
      <c r="AK22" s="62" t="str">
        <f>VLOOKUP(D22,'2.Bookinglist'!A:CT,40,FALSE)</f>
        <v>Nustsireerach</v>
      </c>
      <c r="AL22" s="60" t="str">
        <f>VLOOKUP(D22,'2.Bookinglist'!A:CW,101,FALSE)</f>
        <v>2026-10-14</v>
      </c>
      <c r="AM22" s="60" t="str">
        <f>VLOOKUP(D22,'2.Bookinglist'!A:BK,63,FALSE)</f>
        <v>BKK27</v>
      </c>
      <c r="AN22" s="62" t="str">
        <f>VLOOKUP(D22,'2.Bookinglist'!A:AZ,52,FALSE)</f>
        <v>CY -  RTN DD. 03-03/10/2026  /RQST CNTR UPGRADE 32.50TONS // FM SWSP 2610N BY HAL DD.01/10 (1ST RETURN 03/10 W/O RENT)</v>
      </c>
      <c r="AO22" s="62">
        <f>VLOOKUP(D22,'2.Bookinglist'!A:CY,103,FALSE)</f>
        <v>0</v>
      </c>
    </row>
    <row r="23" spans="1:41" ht="12.95" customHeight="1" x14ac:dyDescent="0.2">
      <c r="A23" s="96" t="s">
        <v>443</v>
      </c>
      <c r="B23" s="4" t="str">
        <f>IF(C23=Charge!$M$1,Charge!$J$1,IF(C23=Charge!$M$23,Charge!$J$23,IF(C23=Charge!$M$17,Charge!$J$17,IF(C23=Charge!$N$17,Charge!$J$17,Charge!$J$7))))</f>
        <v>G4</v>
      </c>
      <c r="C23" s="61" t="str">
        <f>VLOOKUP(A23,'1.Loading'!A:R,14,FALSE)</f>
        <v>BKK02</v>
      </c>
      <c r="D23" s="61" t="str">
        <f>VLOOKUP(A23,'1.Loading'!A:R,17,FALSE)</f>
        <v>HASLS22260901154</v>
      </c>
      <c r="E23" s="62" t="str">
        <f>VLOOKUP(D23,'2.Bookinglist'!A:CT,27,FALSE)</f>
        <v>METRO PARTICLE CO., LTD.</v>
      </c>
      <c r="F23" s="62" t="str">
        <f>VLOOKUP(D23,'2.Bookinglist'!A:CT,28,FALSE)</f>
        <v>METRO PARTICLE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KUS</v>
      </c>
      <c r="P23" s="61" t="str">
        <f>VLOOKUP(A23,'1.Loading'!A:R,4,FALSE)</f>
        <v>2616N</v>
      </c>
      <c r="Q23" s="61" t="str">
        <f>VLOOKUP(D23,'2.Bookinglist'!A:CT,12,FALSE)</f>
        <v>KST</v>
      </c>
      <c r="R23" s="60" t="str">
        <f>IF(LEFT(K23,2)="22","20'","40'")</f>
        <v>40'</v>
      </c>
      <c r="S23" s="101"/>
      <c r="T23" s="61" t="str">
        <f>VLOOKUP(A23,'1.Loading'!A:R,2,FALSE)</f>
        <v>2026-10-14</v>
      </c>
      <c r="U23" s="63">
        <f>T23-S23</f>
        <v>46309</v>
      </c>
      <c r="V23" s="104"/>
      <c r="W23" s="61" t="str">
        <f>VLOOKUP(A23,'3.GateMove'!A:D,4,FALSE)</f>
        <v>2026-10-04</v>
      </c>
      <c r="X23" s="63">
        <f>((T23-W23)+1)</f>
        <v>11</v>
      </c>
      <c r="Y23" s="64">
        <f>IF(M23="DG",1,IF(C23="LCH04",7,IF(C23="LCH01",7,IF(C23="LCH03",7,IF(C23="LCH03",7,IF(C23="LCH05",7,IF(C23="LCH06",7,IF(C23="LCH10",7,IF(C23="BKK02",5,3)))))))))</f>
        <v>5</v>
      </c>
      <c r="Z23" s="63">
        <f>IF(IF(AND(AC23="TML",AB23&gt;0),((T23-W23)+1)-AB23,((T23-W23)+1)-Y23)&gt;0,IF(AND(AC23="TML",AB23&gt;0),((T23-W23)+1)-AB23,((T23-W23)+1)-Y23),0)</f>
        <v>6</v>
      </c>
      <c r="AA23" s="120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600</v>
      </c>
      <c r="AB23" s="4"/>
      <c r="AC23" s="4"/>
      <c r="AD23" s="60">
        <f>IF(M23="DG",3,IF(N23="RF",3,5))+IF(AND(LEFT(C23,3)="BKK",N23="RF",Q23="KTS"),1,0)+IF(Q23="KHS",1,0)</f>
        <v>5</v>
      </c>
      <c r="AE23" s="63">
        <f>(T23-V23)+1</f>
        <v>46310</v>
      </c>
      <c r="AF23" s="63">
        <f>IF(AB23&gt;IF((V23-W23)&gt;0,V23-W23,0),0,IF(AB23&lt;IF((V23-W23)&gt;0,V23-W23,0),IF((V23-W23)&gt;0,V23-W23,0)-AB23,IF((V23-W23)&gt;0,V23-W23,0)))</f>
        <v>0</v>
      </c>
      <c r="AG23" s="120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/>
      <c r="AI23" s="93">
        <f>AA23-AH23</f>
        <v>600</v>
      </c>
      <c r="AJ23" s="70"/>
      <c r="AK23" s="62" t="str">
        <f>VLOOKUP(D23,'2.Bookinglist'!A:CT,40,FALSE)</f>
        <v>Nustsireerach</v>
      </c>
      <c r="AL23" s="60" t="str">
        <f>VLOOKUP(D23,'2.Bookinglist'!A:CW,101,FALSE)</f>
        <v>2026-10-14</v>
      </c>
      <c r="AM23" s="60" t="str">
        <f>VLOOKUP(D23,'2.Bookinglist'!A:BK,63,FALSE)</f>
        <v>BKK27</v>
      </c>
      <c r="AN23" s="62" t="str">
        <f>VLOOKUP(D23,'2.Bookinglist'!A:AZ,52,FALSE)</f>
        <v>CY -  RTN DD. 03-03/10/2026  /RQST CNTR UPGRADE 32.50TONS // FM SWSP 2610N BY HAL DD.01/10 (1ST RETURN 03/10 W/O RENT)</v>
      </c>
      <c r="AO23" s="62">
        <f>VLOOKUP(D23,'2.Bookinglist'!A:CY,103,FALSE)</f>
        <v>0</v>
      </c>
    </row>
    <row r="24" spans="1:41" ht="12.95" customHeight="1" x14ac:dyDescent="0.2">
      <c r="A24" s="96" t="s">
        <v>446</v>
      </c>
      <c r="B24" s="4" t="str">
        <f>IF(C24=Charge!$M$1,Charge!$J$1,IF(C24=Charge!$M$23,Charge!$J$23,IF(C24=Charge!$M$17,Charge!$J$17,IF(C24=Charge!$N$17,Charge!$J$17,Charge!$J$7))))</f>
        <v>G4</v>
      </c>
      <c r="C24" s="61" t="str">
        <f>VLOOKUP(A24,'1.Loading'!A:R,14,FALSE)</f>
        <v>BKK02</v>
      </c>
      <c r="D24" s="61" t="str">
        <f>VLOOKUP(A24,'1.Loading'!A:R,17,FALSE)</f>
        <v>HASLS22260901154</v>
      </c>
      <c r="E24" s="62" t="str">
        <f>VLOOKUP(D24,'2.Bookinglist'!A:CT,27,FALSE)</f>
        <v>METRO PARTICLE CO., LTD.</v>
      </c>
      <c r="F24" s="62" t="str">
        <f>VLOOKUP(D24,'2.Bookinglist'!A:CT,28,FALSE)</f>
        <v>METRO PARTICLE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KUS</v>
      </c>
      <c r="P24" s="61" t="str">
        <f>VLOOKUP(A24,'1.Loading'!A:R,4,FALSE)</f>
        <v>2616N</v>
      </c>
      <c r="Q24" s="61" t="str">
        <f>VLOOKUP(D24,'2.Bookinglist'!A:CT,12,FALSE)</f>
        <v>KST</v>
      </c>
      <c r="R24" s="60" t="str">
        <f>IF(LEFT(K24,2)="22","20'","40'")</f>
        <v>40'</v>
      </c>
      <c r="S24" s="101"/>
      <c r="T24" s="61" t="str">
        <f>VLOOKUP(A24,'1.Loading'!A:R,2,FALSE)</f>
        <v>2026-10-14</v>
      </c>
      <c r="U24" s="63">
        <f>T24-S24</f>
        <v>46309</v>
      </c>
      <c r="V24" s="104"/>
      <c r="W24" s="61" t="str">
        <f>VLOOKUP(A24,'3.GateMove'!A:D,4,FALSE)</f>
        <v>2026-10-05</v>
      </c>
      <c r="X24" s="63">
        <f>((T24-W24)+1)</f>
        <v>10</v>
      </c>
      <c r="Y24" s="64">
        <f>IF(M24="DG",1,IF(C24="LCH04",7,IF(C24="LCH01",7,IF(C24="LCH03",7,IF(C24="LCH03",7,IF(C24="LCH05",7,IF(C24="LCH06",7,IF(C24="LCH10",7,IF(C24="BKK02",5,3)))))))))</f>
        <v>5</v>
      </c>
      <c r="Z24" s="63">
        <f>IF(IF(AND(AC24="TML",AB24&gt;0),((T24-W24)+1)-AB24,((T24-W24)+1)-Y24)&gt;0,IF(AND(AC24="TML",AB24&gt;0),((T24-W24)+1)-AB24,((T24-W24)+1)-Y24),0)</f>
        <v>5</v>
      </c>
      <c r="AA24" s="120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500</v>
      </c>
      <c r="AB24" s="4"/>
      <c r="AC24" s="4"/>
      <c r="AD24" s="60">
        <f>IF(M24="DG",3,IF(N24="RF",3,5))+IF(AND(LEFT(C24,3)="BKK",N24="RF",Q24="KTS"),1,0)+IF(Q24="KHS",1,0)</f>
        <v>5</v>
      </c>
      <c r="AE24" s="63">
        <f>(T24-V24)+1</f>
        <v>46310</v>
      </c>
      <c r="AF24" s="63">
        <f>IF(AB24&gt;IF((V24-W24)&gt;0,V24-W24,0),0,IF(AB24&lt;IF((V24-W24)&gt;0,V24-W24,0),IF((V24-W24)&gt;0,V24-W24,0)-AB24,IF((V24-W24)&gt;0,V24-W24,0)))</f>
        <v>0</v>
      </c>
      <c r="AG24" s="120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/>
      <c r="AI24" s="93">
        <f>AA24-AH24</f>
        <v>500</v>
      </c>
      <c r="AJ24" s="70"/>
      <c r="AK24" s="62" t="str">
        <f>VLOOKUP(D24,'2.Bookinglist'!A:CT,40,FALSE)</f>
        <v>Nustsireerach</v>
      </c>
      <c r="AL24" s="60" t="str">
        <f>VLOOKUP(D24,'2.Bookinglist'!A:CW,101,FALSE)</f>
        <v>2026-10-14</v>
      </c>
      <c r="AM24" s="60" t="str">
        <f>VLOOKUP(D24,'2.Bookinglist'!A:BK,63,FALSE)</f>
        <v>BKK27</v>
      </c>
      <c r="AN24" s="62" t="str">
        <f>VLOOKUP(D24,'2.Bookinglist'!A:AZ,52,FALSE)</f>
        <v>CY -  RTN DD. 03-03/10/2026  /RQST CNTR UPGRADE 32.50TONS // FM SWSP 2610N BY HAL DD.01/10 (1ST RETURN 03/10 W/O RENT)</v>
      </c>
      <c r="AO24" s="62">
        <f>VLOOKUP(D24,'2.Bookinglist'!A:CY,103,FALSE)</f>
        <v>0</v>
      </c>
    </row>
    <row r="25" spans="1:41" ht="12.95" customHeight="1" x14ac:dyDescent="0.2">
      <c r="A25" s="96" t="s">
        <v>447</v>
      </c>
      <c r="B25" s="4" t="str">
        <f>IF(C25=Charge!$M$1,Charge!$J$1,IF(C25=Charge!$M$23,Charge!$J$23,IF(C25=Charge!$M$17,Charge!$J$17,IF(C25=Charge!$N$17,Charge!$J$17,Charge!$J$7))))</f>
        <v>G4</v>
      </c>
      <c r="C25" s="61" t="str">
        <f>VLOOKUP(A25,'1.Loading'!A:R,14,FALSE)</f>
        <v>BKK02</v>
      </c>
      <c r="D25" s="61" t="str">
        <f>VLOOKUP(A25,'1.Loading'!A:R,17,FALSE)</f>
        <v>HASLS22260901154</v>
      </c>
      <c r="E25" s="62" t="str">
        <f>VLOOKUP(D25,'2.Bookinglist'!A:CT,27,FALSE)</f>
        <v>METRO PARTICLE CO., LTD.</v>
      </c>
      <c r="F25" s="62" t="str">
        <f>VLOOKUP(D25,'2.Bookinglist'!A:CT,28,FALSE)</f>
        <v>METRO PARTICLE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KUS</v>
      </c>
      <c r="P25" s="61" t="str">
        <f>VLOOKUP(A25,'1.Loading'!A:R,4,FALSE)</f>
        <v>2616N</v>
      </c>
      <c r="Q25" s="61" t="str">
        <f>VLOOKUP(D25,'2.Bookinglist'!A:CT,12,FALSE)</f>
        <v>KST</v>
      </c>
      <c r="R25" s="60" t="str">
        <f>IF(LEFT(K25,2)="22","20'","40'")</f>
        <v>40'</v>
      </c>
      <c r="S25" s="101"/>
      <c r="T25" s="61" t="str">
        <f>VLOOKUP(A25,'1.Loading'!A:R,2,FALSE)</f>
        <v>2026-10-14</v>
      </c>
      <c r="U25" s="63">
        <f>T25-S25</f>
        <v>46309</v>
      </c>
      <c r="V25" s="104"/>
      <c r="W25" s="61" t="str">
        <f>VLOOKUP(A25,'3.GateMove'!A:D,4,FALSE)</f>
        <v>2026-10-04</v>
      </c>
      <c r="X25" s="63">
        <f>((T25-W25)+1)</f>
        <v>11</v>
      </c>
      <c r="Y25" s="64">
        <f>IF(M25="DG",1,IF(C25="LCH04",7,IF(C25="LCH01",7,IF(C25="LCH03",7,IF(C25="LCH03",7,IF(C25="LCH05",7,IF(C25="LCH06",7,IF(C25="LCH10",7,IF(C25="BKK02",5,3)))))))))</f>
        <v>5</v>
      </c>
      <c r="Z25" s="63">
        <f>IF(IF(AND(AC25="TML",AB25&gt;0),((T25-W25)+1)-AB25,((T25-W25)+1)-Y25)&gt;0,IF(AND(AC25="TML",AB25&gt;0),((T25-W25)+1)-AB25,((T25-W25)+1)-Y25),0)</f>
        <v>6</v>
      </c>
      <c r="AA25" s="120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600</v>
      </c>
      <c r="AB25" s="4"/>
      <c r="AC25" s="4"/>
      <c r="AD25" s="60">
        <f>IF(M25="DG",3,IF(N25="RF",3,5))+IF(AND(LEFT(C25,3)="BKK",N25="RF",Q25="KTS"),1,0)+IF(Q25="KHS",1,0)</f>
        <v>5</v>
      </c>
      <c r="AE25" s="63">
        <f>(T25-V25)+1</f>
        <v>46310</v>
      </c>
      <c r="AF25" s="63">
        <f>IF(AB25&gt;IF((V25-W25)&gt;0,V25-W25,0),0,IF(AB25&lt;IF((V25-W25)&gt;0,V25-W25,0),IF((V25-W25)&gt;0,V25-W25,0)-AB25,IF((V25-W25)&gt;0,V25-W25,0)))</f>
        <v>0</v>
      </c>
      <c r="AG25" s="120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/>
      <c r="AI25" s="93">
        <f>AA25-AH25</f>
        <v>600</v>
      </c>
      <c r="AJ25" s="70"/>
      <c r="AK25" s="62" t="str">
        <f>VLOOKUP(D25,'2.Bookinglist'!A:CT,40,FALSE)</f>
        <v>Nustsireerach</v>
      </c>
      <c r="AL25" s="60" t="str">
        <f>VLOOKUP(D25,'2.Bookinglist'!A:CW,101,FALSE)</f>
        <v>2026-10-14</v>
      </c>
      <c r="AM25" s="60" t="str">
        <f>VLOOKUP(D25,'2.Bookinglist'!A:BK,63,FALSE)</f>
        <v>BKK27</v>
      </c>
      <c r="AN25" s="62" t="str">
        <f>VLOOKUP(D25,'2.Bookinglist'!A:AZ,52,FALSE)</f>
        <v>CY -  RTN DD. 03-03/10/2026  /RQST CNTR UPGRADE 32.50TONS // FM SWSP 2610N BY HAL DD.01/10 (1ST RETURN 03/10 W/O RENT)</v>
      </c>
      <c r="AO25" s="62">
        <f>VLOOKUP(D25,'2.Bookinglist'!A:CY,103,FALSE)</f>
        <v>0</v>
      </c>
    </row>
    <row r="26" spans="1:41" ht="12.95" customHeight="1" x14ac:dyDescent="0.2">
      <c r="A26" s="96" t="s">
        <v>449</v>
      </c>
      <c r="B26" s="4" t="str">
        <f>IF(C26=Charge!$M$1,Charge!$J$1,IF(C26=Charge!$M$23,Charge!$J$23,IF(C26=Charge!$M$17,Charge!$J$17,IF(C26=Charge!$N$17,Charge!$J$17,Charge!$J$7))))</f>
        <v>G4</v>
      </c>
      <c r="C26" s="61" t="str">
        <f>VLOOKUP(A26,'1.Loading'!A:R,14,FALSE)</f>
        <v>BKK02</v>
      </c>
      <c r="D26" s="61" t="str">
        <f>VLOOKUP(A26,'1.Loading'!A:R,17,FALSE)</f>
        <v>HASLS22260901154</v>
      </c>
      <c r="E26" s="62" t="str">
        <f>VLOOKUP(D26,'2.Bookinglist'!A:CT,27,FALSE)</f>
        <v>METRO PARTICLE CO., LTD.</v>
      </c>
      <c r="F26" s="62" t="str">
        <f>VLOOKUP(D26,'2.Bookinglist'!A:CT,28,FALSE)</f>
        <v>METRO PARTICLE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KUS</v>
      </c>
      <c r="P26" s="61" t="str">
        <f>VLOOKUP(A26,'1.Loading'!A:R,4,FALSE)</f>
        <v>2616N</v>
      </c>
      <c r="Q26" s="61" t="str">
        <f>VLOOKUP(D26,'2.Bookinglist'!A:CT,12,FALSE)</f>
        <v>KST</v>
      </c>
      <c r="R26" s="60" t="str">
        <f>IF(LEFT(K26,2)="22","20'","40'")</f>
        <v>40'</v>
      </c>
      <c r="S26" s="101"/>
      <c r="T26" s="61" t="str">
        <f>VLOOKUP(A26,'1.Loading'!A:R,2,FALSE)</f>
        <v>2026-10-14</v>
      </c>
      <c r="U26" s="63">
        <f>T26-S26</f>
        <v>46309</v>
      </c>
      <c r="V26" s="104"/>
      <c r="W26" s="61" t="str">
        <f>VLOOKUP(A26,'3.GateMove'!A:D,4,FALSE)</f>
        <v>2026-10-04</v>
      </c>
      <c r="X26" s="63">
        <f>((T26-W26)+1)</f>
        <v>11</v>
      </c>
      <c r="Y26" s="64">
        <f>IF(M26="DG",1,IF(C26="LCH04",7,IF(C26="LCH01",7,IF(C26="LCH03",7,IF(C26="LCH03",7,IF(C26="LCH05",7,IF(C26="LCH06",7,IF(C26="LCH10",7,IF(C26="BKK02",5,3)))))))))</f>
        <v>5</v>
      </c>
      <c r="Z26" s="63">
        <f>IF(IF(AND(AC26="TML",AB26&gt;0),((T26-W26)+1)-AB26,((T26-W26)+1)-Y26)&gt;0,IF(AND(AC26="TML",AB26&gt;0),((T26-W26)+1)-AB26,((T26-W26)+1)-Y26),0)</f>
        <v>6</v>
      </c>
      <c r="AA26" s="120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600</v>
      </c>
      <c r="AB26" s="4"/>
      <c r="AC26" s="4"/>
      <c r="AD26" s="60">
        <f>IF(M26="DG",3,IF(N26="RF",3,5))+IF(AND(LEFT(C26,3)="BKK",N26="RF",Q26="KTS"),1,0)+IF(Q26="KHS",1,0)</f>
        <v>5</v>
      </c>
      <c r="AE26" s="63">
        <f>(T26-V26)+1</f>
        <v>46310</v>
      </c>
      <c r="AF26" s="63">
        <f>IF(AB26&gt;IF((V26-W26)&gt;0,V26-W26,0),0,IF(AB26&lt;IF((V26-W26)&gt;0,V26-W26,0),IF((V26-W26)&gt;0,V26-W26,0)-AB26,IF((V26-W26)&gt;0,V26-W26,0)))</f>
        <v>0</v>
      </c>
      <c r="AG26" s="120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/>
      <c r="AI26" s="93">
        <f>AA26-AH26</f>
        <v>600</v>
      </c>
      <c r="AJ26" s="70"/>
      <c r="AK26" s="62" t="str">
        <f>VLOOKUP(D26,'2.Bookinglist'!A:CT,40,FALSE)</f>
        <v>Nustsireerach</v>
      </c>
      <c r="AL26" s="60" t="str">
        <f>VLOOKUP(D26,'2.Bookinglist'!A:CW,101,FALSE)</f>
        <v>2026-10-14</v>
      </c>
      <c r="AM26" s="60" t="str">
        <f>VLOOKUP(D26,'2.Bookinglist'!A:BK,63,FALSE)</f>
        <v>BKK27</v>
      </c>
      <c r="AN26" s="62" t="str">
        <f>VLOOKUP(D26,'2.Bookinglist'!A:AZ,52,FALSE)</f>
        <v>CY -  RTN DD. 03-03/10/2026  /RQST CNTR UPGRADE 32.50TONS // FM SWSP 2610N BY HAL DD.01/10 (1ST RETURN 03/10 W/O RENT)</v>
      </c>
      <c r="AO26" s="62">
        <f>VLOOKUP(D26,'2.Bookinglist'!A:CY,103,FALSE)</f>
        <v>0</v>
      </c>
    </row>
    <row r="27" spans="1:41" ht="12.95" customHeight="1" x14ac:dyDescent="0.2">
      <c r="A27" s="96" t="s">
        <v>450</v>
      </c>
      <c r="B27" s="4" t="str">
        <f>IF(C27=Charge!$M$1,Charge!$J$1,IF(C27=Charge!$M$23,Charge!$J$23,IF(C27=Charge!$M$17,Charge!$J$17,IF(C27=Charge!$N$17,Charge!$J$17,Charge!$J$7))))</f>
        <v>G4</v>
      </c>
      <c r="C27" s="61" t="str">
        <f>VLOOKUP(A27,'1.Loading'!A:R,14,FALSE)</f>
        <v>BKK02</v>
      </c>
      <c r="D27" s="61" t="str">
        <f>VLOOKUP(A27,'1.Loading'!A:R,17,FALSE)</f>
        <v>HASLS22260901154</v>
      </c>
      <c r="E27" s="62" t="str">
        <f>VLOOKUP(D27,'2.Bookinglist'!A:CT,27,FALSE)</f>
        <v>METRO PARTICLE CO., LTD.</v>
      </c>
      <c r="F27" s="62" t="str">
        <f>VLOOKUP(D27,'2.Bookinglist'!A:CT,28,FALSE)</f>
        <v>METRO PARTICLE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KUS</v>
      </c>
      <c r="P27" s="61" t="str">
        <f>VLOOKUP(A27,'1.Loading'!A:R,4,FALSE)</f>
        <v>2616N</v>
      </c>
      <c r="Q27" s="61" t="str">
        <f>VLOOKUP(D27,'2.Bookinglist'!A:CT,12,FALSE)</f>
        <v>KST</v>
      </c>
      <c r="R27" s="60" t="str">
        <f>IF(LEFT(K27,2)="22","20'","40'")</f>
        <v>40'</v>
      </c>
      <c r="S27" s="101"/>
      <c r="T27" s="61" t="str">
        <f>VLOOKUP(A27,'1.Loading'!A:R,2,FALSE)</f>
        <v>2026-10-14</v>
      </c>
      <c r="U27" s="63">
        <f>T27-S27</f>
        <v>46309</v>
      </c>
      <c r="V27" s="104"/>
      <c r="W27" s="61" t="str">
        <f>VLOOKUP(A27,'3.GateMove'!A:D,4,FALSE)</f>
        <v>2026-10-04</v>
      </c>
      <c r="X27" s="63">
        <f>((T27-W27)+1)</f>
        <v>11</v>
      </c>
      <c r="Y27" s="64">
        <f>IF(M27="DG",1,IF(C27="LCH04",7,IF(C27="LCH01",7,IF(C27="LCH03",7,IF(C27="LCH03",7,IF(C27="LCH05",7,IF(C27="LCH06",7,IF(C27="LCH10",7,IF(C27="BKK02",5,3)))))))))</f>
        <v>5</v>
      </c>
      <c r="Z27" s="63">
        <f>IF(IF(AND(AC27="TML",AB27&gt;0),((T27-W27)+1)-AB27,((T27-W27)+1)-Y27)&gt;0,IF(AND(AC27="TML",AB27&gt;0),((T27-W27)+1)-AB27,((T27-W27)+1)-Y27),0)</f>
        <v>6</v>
      </c>
      <c r="AA27" s="120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600</v>
      </c>
      <c r="AB27" s="4"/>
      <c r="AC27" s="4"/>
      <c r="AD27" s="60">
        <f>IF(M27="DG",3,IF(N27="RF",3,5))+IF(AND(LEFT(C27,3)="BKK",N27="RF",Q27="KTS"),1,0)+IF(Q27="KHS",1,0)</f>
        <v>5</v>
      </c>
      <c r="AE27" s="63">
        <f>(T27-V27)+1</f>
        <v>46310</v>
      </c>
      <c r="AF27" s="63">
        <f>IF(AB27&gt;IF((V27-W27)&gt;0,V27-W27,0),0,IF(AB27&lt;IF((V27-W27)&gt;0,V27-W27,0),IF((V27-W27)&gt;0,V27-W27,0)-AB27,IF((V27-W27)&gt;0,V27-W27,0)))</f>
        <v>0</v>
      </c>
      <c r="AG27" s="120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/>
      <c r="AI27" s="93">
        <f>AA27-AH27</f>
        <v>600</v>
      </c>
      <c r="AJ27" s="70"/>
      <c r="AK27" s="62" t="str">
        <f>VLOOKUP(D27,'2.Bookinglist'!A:CT,40,FALSE)</f>
        <v>Nustsireerach</v>
      </c>
      <c r="AL27" s="60" t="str">
        <f>VLOOKUP(D27,'2.Bookinglist'!A:CW,101,FALSE)</f>
        <v>2026-10-14</v>
      </c>
      <c r="AM27" s="60" t="str">
        <f>VLOOKUP(D27,'2.Bookinglist'!A:BK,63,FALSE)</f>
        <v>BKK27</v>
      </c>
      <c r="AN27" s="62" t="str">
        <f>VLOOKUP(D27,'2.Bookinglist'!A:AZ,52,FALSE)</f>
        <v>CY -  RTN DD. 03-03/10/2026  /RQST CNTR UPGRADE 32.50TONS // FM SWSP 2610N BY HAL DD.01/10 (1ST RETURN 03/10 W/O RENT)</v>
      </c>
      <c r="AO27" s="62">
        <f>VLOOKUP(D27,'2.Bookinglist'!A:CY,103,FALSE)</f>
        <v>0</v>
      </c>
    </row>
    <row r="28" spans="1:41" ht="12.95" customHeight="1" x14ac:dyDescent="0.2">
      <c r="A28" s="96" t="s">
        <v>452</v>
      </c>
      <c r="B28" s="4" t="str">
        <f>IF(C28=Charge!$M$1,Charge!$J$1,IF(C28=Charge!$M$23,Charge!$J$23,IF(C28=Charge!$M$17,Charge!$J$17,IF(C28=Charge!$N$17,Charge!$J$17,Charge!$J$7))))</f>
        <v>G4</v>
      </c>
      <c r="C28" s="61" t="str">
        <f>VLOOKUP(A28,'1.Loading'!A:R,14,FALSE)</f>
        <v>BKK02</v>
      </c>
      <c r="D28" s="61" t="str">
        <f>VLOOKUP(A28,'1.Loading'!A:R,17,FALSE)</f>
        <v>HASLS22260901154</v>
      </c>
      <c r="E28" s="62" t="str">
        <f>VLOOKUP(D28,'2.Bookinglist'!A:CT,27,FALSE)</f>
        <v>METRO PARTICLE CO., LTD.</v>
      </c>
      <c r="F28" s="62" t="str">
        <f>VLOOKUP(D28,'2.Bookinglist'!A:CT,28,FALSE)</f>
        <v>METRO PARTICLE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KUS</v>
      </c>
      <c r="P28" s="61" t="str">
        <f>VLOOKUP(A28,'1.Loading'!A:R,4,FALSE)</f>
        <v>2616N</v>
      </c>
      <c r="Q28" s="61" t="str">
        <f>VLOOKUP(D28,'2.Bookinglist'!A:CT,12,FALSE)</f>
        <v>KST</v>
      </c>
      <c r="R28" s="60" t="str">
        <f>IF(LEFT(K28,2)="22","20'","40'")</f>
        <v>40'</v>
      </c>
      <c r="S28" s="101"/>
      <c r="T28" s="61" t="str">
        <f>VLOOKUP(A28,'1.Loading'!A:R,2,FALSE)</f>
        <v>2026-10-14</v>
      </c>
      <c r="U28" s="63">
        <f>T28-S28</f>
        <v>46309</v>
      </c>
      <c r="V28" s="104"/>
      <c r="W28" s="61" t="str">
        <f>VLOOKUP(A28,'3.GateMove'!A:D,4,FALSE)</f>
        <v>2026-10-04</v>
      </c>
      <c r="X28" s="63">
        <f>((T28-W28)+1)</f>
        <v>11</v>
      </c>
      <c r="Y28" s="64">
        <f>IF(M28="DG",1,IF(C28="LCH04",7,IF(C28="LCH01",7,IF(C28="LCH03",7,IF(C28="LCH03",7,IF(C28="LCH05",7,IF(C28="LCH06",7,IF(C28="LCH10",7,IF(C28="BKK02",5,3)))))))))</f>
        <v>5</v>
      </c>
      <c r="Z28" s="63">
        <f>IF(IF(AND(AC28="TML",AB28&gt;0),((T28-W28)+1)-AB28,((T28-W28)+1)-Y28)&gt;0,IF(AND(AC28="TML",AB28&gt;0),((T28-W28)+1)-AB28,((T28-W28)+1)-Y28),0)</f>
        <v>6</v>
      </c>
      <c r="AA28" s="120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600</v>
      </c>
      <c r="AB28" s="4"/>
      <c r="AC28" s="4"/>
      <c r="AD28" s="60">
        <f>IF(M28="DG",3,IF(N28="RF",3,5))+IF(AND(LEFT(C28,3)="BKK",N28="RF",Q28="KTS"),1,0)+IF(Q28="KHS",1,0)</f>
        <v>5</v>
      </c>
      <c r="AE28" s="63">
        <f>(T28-V28)+1</f>
        <v>46310</v>
      </c>
      <c r="AF28" s="63">
        <f>IF(AB28&gt;IF((V28-W28)&gt;0,V28-W28,0),0,IF(AB28&lt;IF((V28-W28)&gt;0,V28-W28,0),IF((V28-W28)&gt;0,V28-W28,0)-AB28,IF((V28-W28)&gt;0,V28-W28,0)))</f>
        <v>0</v>
      </c>
      <c r="AG28" s="120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/>
      <c r="AI28" s="93">
        <f>AA28-AH28</f>
        <v>600</v>
      </c>
      <c r="AJ28" s="70"/>
      <c r="AK28" s="62" t="str">
        <f>VLOOKUP(D28,'2.Bookinglist'!A:CT,40,FALSE)</f>
        <v>Nustsireerach</v>
      </c>
      <c r="AL28" s="60" t="str">
        <f>VLOOKUP(D28,'2.Bookinglist'!A:CW,101,FALSE)</f>
        <v>2026-10-14</v>
      </c>
      <c r="AM28" s="60" t="str">
        <f>VLOOKUP(D28,'2.Bookinglist'!A:BK,63,FALSE)</f>
        <v>BKK27</v>
      </c>
      <c r="AN28" s="62" t="str">
        <f>VLOOKUP(D28,'2.Bookinglist'!A:AZ,52,FALSE)</f>
        <v>CY -  RTN DD. 03-03/10/2026  /RQST CNTR UPGRADE 32.50TONS // FM SWSP 2610N BY HAL DD.01/10 (1ST RETURN 03/10 W/O RENT)</v>
      </c>
      <c r="AO28" s="62">
        <f>VLOOKUP(D28,'2.Bookinglist'!A:CY,103,FALSE)</f>
        <v>0</v>
      </c>
    </row>
    <row r="29" spans="1:41" ht="12.95" customHeight="1" x14ac:dyDescent="0.2">
      <c r="A29" s="96" t="s">
        <v>455</v>
      </c>
      <c r="B29" s="4" t="str">
        <f>IF(C29=Charge!$M$1,Charge!$J$1,IF(C29=Charge!$M$23,Charge!$J$23,IF(C29=Charge!$M$17,Charge!$J$17,IF(C29=Charge!$N$17,Charge!$J$17,Charge!$J$7))))</f>
        <v>G4</v>
      </c>
      <c r="C29" s="61" t="str">
        <f>VLOOKUP(A29,'1.Loading'!A:R,14,FALSE)</f>
        <v>BKK02</v>
      </c>
      <c r="D29" s="61" t="str">
        <f>VLOOKUP(A29,'1.Loading'!A:R,17,FALSE)</f>
        <v>HASLS22260901154</v>
      </c>
      <c r="E29" s="62" t="str">
        <f>VLOOKUP(D29,'2.Bookinglist'!A:CT,27,FALSE)</f>
        <v>METRO PARTICLE CO., LTD.</v>
      </c>
      <c r="F29" s="62" t="str">
        <f>VLOOKUP(D29,'2.Bookinglist'!A:CT,28,FALSE)</f>
        <v>METRO PARTICLE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KUS</v>
      </c>
      <c r="P29" s="61" t="str">
        <f>VLOOKUP(A29,'1.Loading'!A:R,4,FALSE)</f>
        <v>2616N</v>
      </c>
      <c r="Q29" s="61" t="str">
        <f>VLOOKUP(D29,'2.Bookinglist'!A:CT,12,FALSE)</f>
        <v>KST</v>
      </c>
      <c r="R29" s="60" t="str">
        <f>IF(LEFT(K29,2)="22","20'","40'")</f>
        <v>40'</v>
      </c>
      <c r="S29" s="101"/>
      <c r="T29" s="61" t="str">
        <f>VLOOKUP(A29,'1.Loading'!A:R,2,FALSE)</f>
        <v>2026-10-14</v>
      </c>
      <c r="U29" s="63">
        <f>T29-S29</f>
        <v>46309</v>
      </c>
      <c r="V29" s="104"/>
      <c r="W29" s="61" t="str">
        <f>VLOOKUP(A29,'3.GateMove'!A:D,4,FALSE)</f>
        <v>2026-10-04</v>
      </c>
      <c r="X29" s="63">
        <f>((T29-W29)+1)</f>
        <v>11</v>
      </c>
      <c r="Y29" s="64">
        <f>IF(M29="DG",1,IF(C29="LCH04",7,IF(C29="LCH01",7,IF(C29="LCH03",7,IF(C29="LCH03",7,IF(C29="LCH05",7,IF(C29="LCH06",7,IF(C29="LCH10",7,IF(C29="BKK02",5,3)))))))))</f>
        <v>5</v>
      </c>
      <c r="Z29" s="63">
        <f>IF(IF(AND(AC29="TML",AB29&gt;0),((T29-W29)+1)-AB29,((T29-W29)+1)-Y29)&gt;0,IF(AND(AC29="TML",AB29&gt;0),((T29-W29)+1)-AB29,((T29-W29)+1)-Y29),0)</f>
        <v>6</v>
      </c>
      <c r="AA29" s="120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600</v>
      </c>
      <c r="AB29" s="4"/>
      <c r="AC29" s="4"/>
      <c r="AD29" s="60">
        <f>IF(M29="DG",3,IF(N29="RF",3,5))+IF(AND(LEFT(C29,3)="BKK",N29="RF",Q29="KTS"),1,0)+IF(Q29="KHS",1,0)</f>
        <v>5</v>
      </c>
      <c r="AE29" s="63">
        <f>(T29-V29)+1</f>
        <v>46310</v>
      </c>
      <c r="AF29" s="63">
        <f>IF(AB29&gt;IF((V29-W29)&gt;0,V29-W29,0),0,IF(AB29&lt;IF((V29-W29)&gt;0,V29-W29,0),IF((V29-W29)&gt;0,V29-W29,0)-AB29,IF((V29-W29)&gt;0,V29-W29,0)))</f>
        <v>0</v>
      </c>
      <c r="AG29" s="120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/>
      <c r="AI29" s="93">
        <f>AA29-AH29</f>
        <v>600</v>
      </c>
      <c r="AJ29" s="70"/>
      <c r="AK29" s="62" t="str">
        <f>VLOOKUP(D29,'2.Bookinglist'!A:CT,40,FALSE)</f>
        <v>Nustsireerach</v>
      </c>
      <c r="AL29" s="60" t="str">
        <f>VLOOKUP(D29,'2.Bookinglist'!A:CW,101,FALSE)</f>
        <v>2026-10-14</v>
      </c>
      <c r="AM29" s="60" t="str">
        <f>VLOOKUP(D29,'2.Bookinglist'!A:BK,63,FALSE)</f>
        <v>BKK27</v>
      </c>
      <c r="AN29" s="62" t="str">
        <f>VLOOKUP(D29,'2.Bookinglist'!A:AZ,52,FALSE)</f>
        <v>CY -  RTN DD. 03-03/10/2026  /RQST CNTR UPGRADE 32.50TONS // FM SWSP 2610N BY HAL DD.01/10 (1ST RETURN 03/10 W/O RENT)</v>
      </c>
      <c r="AO29" s="62">
        <f>VLOOKUP(D29,'2.Bookinglist'!A:CY,103,FALSE)</f>
        <v>0</v>
      </c>
    </row>
    <row r="30" spans="1:41" ht="12.95" customHeight="1" x14ac:dyDescent="0.2">
      <c r="A30" s="96" t="s">
        <v>457</v>
      </c>
      <c r="B30" s="4" t="str">
        <f>IF(C30=Charge!$M$1,Charge!$J$1,IF(C30=Charge!$M$23,Charge!$J$23,IF(C30=Charge!$M$17,Charge!$J$17,IF(C30=Charge!$N$17,Charge!$J$17,Charge!$J$7))))</f>
        <v>G4</v>
      </c>
      <c r="C30" s="61" t="str">
        <f>VLOOKUP(A30,'1.Loading'!A:R,14,FALSE)</f>
        <v>BKK02</v>
      </c>
      <c r="D30" s="61" t="str">
        <f>VLOOKUP(A30,'1.Loading'!A:R,17,FALSE)</f>
        <v>HASLS22260901154</v>
      </c>
      <c r="E30" s="62" t="str">
        <f>VLOOKUP(D30,'2.Bookinglist'!A:CT,27,FALSE)</f>
        <v>METRO PARTICLE CO., LTD.</v>
      </c>
      <c r="F30" s="62" t="str">
        <f>VLOOKUP(D30,'2.Bookinglist'!A:CT,28,FALSE)</f>
        <v>METRO PARTICLE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KUS</v>
      </c>
      <c r="P30" s="61" t="str">
        <f>VLOOKUP(A30,'1.Loading'!A:R,4,FALSE)</f>
        <v>2616N</v>
      </c>
      <c r="Q30" s="61" t="str">
        <f>VLOOKUP(D30,'2.Bookinglist'!A:CT,12,FALSE)</f>
        <v>KST</v>
      </c>
      <c r="R30" s="60" t="str">
        <f>IF(LEFT(K30,2)="22","20'","40'")</f>
        <v>40'</v>
      </c>
      <c r="S30" s="101"/>
      <c r="T30" s="61" t="str">
        <f>VLOOKUP(A30,'1.Loading'!A:R,2,FALSE)</f>
        <v>2026-10-14</v>
      </c>
      <c r="U30" s="63">
        <f>T30-S30</f>
        <v>46309</v>
      </c>
      <c r="V30" s="104"/>
      <c r="W30" s="61" t="str">
        <f>VLOOKUP(A30,'3.GateMove'!A:D,4,FALSE)</f>
        <v>2026-10-04</v>
      </c>
      <c r="X30" s="63">
        <f>((T30-W30)+1)</f>
        <v>11</v>
      </c>
      <c r="Y30" s="64">
        <f>IF(M30="DG",1,IF(C30="LCH04",7,IF(C30="LCH01",7,IF(C30="LCH03",7,IF(C30="LCH03",7,IF(C30="LCH05",7,IF(C30="LCH06",7,IF(C30="LCH10",7,IF(C30="BKK02",5,3)))))))))</f>
        <v>5</v>
      </c>
      <c r="Z30" s="63">
        <f>IF(IF(AND(AC30="TML",AB30&gt;0),((T30-W30)+1)-AB30,((T30-W30)+1)-Y30)&gt;0,IF(AND(AC30="TML",AB30&gt;0),((T30-W30)+1)-AB30,((T30-W30)+1)-Y30),0)</f>
        <v>6</v>
      </c>
      <c r="AA30" s="120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600</v>
      </c>
      <c r="AB30" s="4"/>
      <c r="AC30" s="4"/>
      <c r="AD30" s="60">
        <f>IF(M30="DG",3,IF(N30="RF",3,5))+IF(AND(LEFT(C30,3)="BKK",N30="RF",Q30="KTS"),1,0)+IF(Q30="KHS",1,0)</f>
        <v>5</v>
      </c>
      <c r="AE30" s="63">
        <f>(T30-V30)+1</f>
        <v>46310</v>
      </c>
      <c r="AF30" s="63">
        <f>IF(AB30&gt;IF((V30-W30)&gt;0,V30-W30,0),0,IF(AB30&lt;IF((V30-W30)&gt;0,V30-W30,0),IF((V30-W30)&gt;0,V30-W30,0)-AB30,IF((V30-W30)&gt;0,V30-W30,0)))</f>
        <v>0</v>
      </c>
      <c r="AG30" s="120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/>
      <c r="AI30" s="93">
        <f>AA30-AH30</f>
        <v>600</v>
      </c>
      <c r="AJ30" s="70"/>
      <c r="AK30" s="62" t="str">
        <f>VLOOKUP(D30,'2.Bookinglist'!A:CT,40,FALSE)</f>
        <v>Nustsireerach</v>
      </c>
      <c r="AL30" s="60" t="str">
        <f>VLOOKUP(D30,'2.Bookinglist'!A:CW,101,FALSE)</f>
        <v>2026-10-14</v>
      </c>
      <c r="AM30" s="60" t="str">
        <f>VLOOKUP(D30,'2.Bookinglist'!A:BK,63,FALSE)</f>
        <v>BKK27</v>
      </c>
      <c r="AN30" s="62" t="str">
        <f>VLOOKUP(D30,'2.Bookinglist'!A:AZ,52,FALSE)</f>
        <v>CY -  RTN DD. 03-03/10/2026  /RQST CNTR UPGRADE 32.50TONS // FM SWSP 2610N BY HAL DD.01/10 (1ST RETURN 03/10 W/O RENT)</v>
      </c>
      <c r="AO30" s="62">
        <f>VLOOKUP(D30,'2.Bookinglist'!A:CY,103,FALSE)</f>
        <v>0</v>
      </c>
    </row>
    <row r="31" spans="1:41" ht="12.95" customHeight="1" x14ac:dyDescent="0.2">
      <c r="A31" s="96" t="s">
        <v>460</v>
      </c>
      <c r="B31" s="4" t="str">
        <f>IF(C31=Charge!$M$1,Charge!$J$1,IF(C31=Charge!$M$23,Charge!$J$23,IF(C31=Charge!$M$17,Charge!$J$17,IF(C31=Charge!$N$17,Charge!$J$17,Charge!$J$7))))</f>
        <v>G4</v>
      </c>
      <c r="C31" s="61" t="str">
        <f>VLOOKUP(A31,'1.Loading'!A:R,14,FALSE)</f>
        <v>BKK02</v>
      </c>
      <c r="D31" s="61" t="str">
        <f>VLOOKUP(A31,'1.Loading'!A:R,17,FALSE)</f>
        <v>HASLS22260901154</v>
      </c>
      <c r="E31" s="62" t="str">
        <f>VLOOKUP(D31,'2.Bookinglist'!A:CT,27,FALSE)</f>
        <v>METRO PARTICLE CO., LTD.</v>
      </c>
      <c r="F31" s="62" t="str">
        <f>VLOOKUP(D31,'2.Bookinglist'!A:CT,28,FALSE)</f>
        <v>METRO PARTICLE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KUS</v>
      </c>
      <c r="P31" s="61" t="str">
        <f>VLOOKUP(A31,'1.Loading'!A:R,4,FALSE)</f>
        <v>2616N</v>
      </c>
      <c r="Q31" s="61" t="str">
        <f>VLOOKUP(D31,'2.Bookinglist'!A:CT,12,FALSE)</f>
        <v>KST</v>
      </c>
      <c r="R31" s="60" t="str">
        <f>IF(LEFT(K31,2)="22","20'","40'")</f>
        <v>40'</v>
      </c>
      <c r="S31" s="101"/>
      <c r="T31" s="61" t="str">
        <f>VLOOKUP(A31,'1.Loading'!A:R,2,FALSE)</f>
        <v>2026-10-14</v>
      </c>
      <c r="U31" s="63">
        <f>T31-S31</f>
        <v>46309</v>
      </c>
      <c r="V31" s="104"/>
      <c r="W31" s="61" t="str">
        <f>VLOOKUP(A31,'3.GateMove'!A:D,4,FALSE)</f>
        <v>2026-10-04</v>
      </c>
      <c r="X31" s="63">
        <f>((T31-W31)+1)</f>
        <v>11</v>
      </c>
      <c r="Y31" s="64">
        <f>IF(M31="DG",1,IF(C31="LCH04",7,IF(C31="LCH01",7,IF(C31="LCH03",7,IF(C31="LCH03",7,IF(C31="LCH05",7,IF(C31="LCH06",7,IF(C31="LCH10",7,IF(C31="BKK02",5,3)))))))))</f>
        <v>5</v>
      </c>
      <c r="Z31" s="63">
        <f>IF(IF(AND(AC31="TML",AB31&gt;0),((T31-W31)+1)-AB31,((T31-W31)+1)-Y31)&gt;0,IF(AND(AC31="TML",AB31&gt;0),((T31-W31)+1)-AB31,((T31-W31)+1)-Y31),0)</f>
        <v>6</v>
      </c>
      <c r="AA31" s="120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600</v>
      </c>
      <c r="AB31" s="4"/>
      <c r="AC31" s="4"/>
      <c r="AD31" s="60">
        <f>IF(M31="DG",3,IF(N31="RF",3,5))+IF(AND(LEFT(C31,3)="BKK",N31="RF",Q31="KTS"),1,0)+IF(Q31="KHS",1,0)</f>
        <v>5</v>
      </c>
      <c r="AE31" s="63">
        <f>(T31-V31)+1</f>
        <v>46310</v>
      </c>
      <c r="AF31" s="63">
        <f>IF(AB31&gt;IF((V31-W31)&gt;0,V31-W31,0),0,IF(AB31&lt;IF((V31-W31)&gt;0,V31-W31,0),IF((V31-W31)&gt;0,V31-W31,0)-AB31,IF((V31-W31)&gt;0,V31-W31,0)))</f>
        <v>0</v>
      </c>
      <c r="AG31" s="120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/>
      <c r="AI31" s="93">
        <f>AA31-AH31</f>
        <v>600</v>
      </c>
      <c r="AJ31" s="70"/>
      <c r="AK31" s="62" t="str">
        <f>VLOOKUP(D31,'2.Bookinglist'!A:CT,40,FALSE)</f>
        <v>Nustsireerach</v>
      </c>
      <c r="AL31" s="60" t="str">
        <f>VLOOKUP(D31,'2.Bookinglist'!A:CW,101,FALSE)</f>
        <v>2026-10-14</v>
      </c>
      <c r="AM31" s="60" t="str">
        <f>VLOOKUP(D31,'2.Bookinglist'!A:BK,63,FALSE)</f>
        <v>BKK27</v>
      </c>
      <c r="AN31" s="62" t="str">
        <f>VLOOKUP(D31,'2.Bookinglist'!A:AZ,52,FALSE)</f>
        <v>CY -  RTN DD. 03-03/10/2026  /RQST CNTR UPGRADE 32.50TONS // FM SWSP 2610N BY HAL DD.01/10 (1ST RETURN 03/10 W/O RENT)</v>
      </c>
      <c r="AO31" s="62">
        <f>VLOOKUP(D31,'2.Bookinglist'!A:CY,103,FALSE)</f>
        <v>0</v>
      </c>
    </row>
    <row r="32" spans="1:41" ht="12.95" customHeight="1" x14ac:dyDescent="0.2">
      <c r="A32" s="96" t="s">
        <v>464</v>
      </c>
      <c r="B32" s="4" t="str">
        <f>IF(C32=Charge!$M$1,Charge!$J$1,IF(C32=Charge!$M$23,Charge!$J$23,IF(C32=Charge!$M$17,Charge!$J$17,IF(C32=Charge!$N$17,Charge!$J$17,Charge!$J$7))))</f>
        <v>G4</v>
      </c>
      <c r="C32" s="61" t="str">
        <f>VLOOKUP(A32,'1.Loading'!A:R,14,FALSE)</f>
        <v>BKK02</v>
      </c>
      <c r="D32" s="61" t="str">
        <f>VLOOKUP(A32,'1.Loading'!A:R,17,FALSE)</f>
        <v>HASLS22260901154</v>
      </c>
      <c r="E32" s="62" t="str">
        <f>VLOOKUP(D32,'2.Bookinglist'!A:CT,27,FALSE)</f>
        <v>METRO PARTICLE CO., LTD.</v>
      </c>
      <c r="F32" s="62" t="str">
        <f>VLOOKUP(D32,'2.Bookinglist'!A:CT,28,FALSE)</f>
        <v>METRO PARTICLE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KUS</v>
      </c>
      <c r="P32" s="61" t="str">
        <f>VLOOKUP(A32,'1.Loading'!A:R,4,FALSE)</f>
        <v>2616N</v>
      </c>
      <c r="Q32" s="61" t="str">
        <f>VLOOKUP(D32,'2.Bookinglist'!A:CT,12,FALSE)</f>
        <v>KST</v>
      </c>
      <c r="R32" s="60" t="str">
        <f>IF(LEFT(K32,2)="22","20'","40'")</f>
        <v>40'</v>
      </c>
      <c r="S32" s="101"/>
      <c r="T32" s="61" t="str">
        <f>VLOOKUP(A32,'1.Loading'!A:R,2,FALSE)</f>
        <v>2026-10-14</v>
      </c>
      <c r="U32" s="63">
        <f>T32-S32</f>
        <v>46309</v>
      </c>
      <c r="V32" s="104"/>
      <c r="W32" s="61" t="str">
        <f>VLOOKUP(A32,'3.GateMove'!A:D,4,FALSE)</f>
        <v>2026-10-04</v>
      </c>
      <c r="X32" s="63">
        <f>((T32-W32)+1)</f>
        <v>11</v>
      </c>
      <c r="Y32" s="64">
        <f>IF(M32="DG",1,IF(C32="LCH04",7,IF(C32="LCH01",7,IF(C32="LCH03",7,IF(C32="LCH03",7,IF(C32="LCH05",7,IF(C32="LCH06",7,IF(C32="LCH10",7,IF(C32="BKK02",5,3)))))))))</f>
        <v>5</v>
      </c>
      <c r="Z32" s="63">
        <f>IF(IF(AND(AC32="TML",AB32&gt;0),((T32-W32)+1)-AB32,((T32-W32)+1)-Y32)&gt;0,IF(AND(AC32="TML",AB32&gt;0),((T32-W32)+1)-AB32,((T32-W32)+1)-Y32),0)</f>
        <v>6</v>
      </c>
      <c r="AA32" s="120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600</v>
      </c>
      <c r="AB32" s="4"/>
      <c r="AC32" s="4"/>
      <c r="AD32" s="60">
        <f>IF(M32="DG",3,IF(N32="RF",3,5))+IF(AND(LEFT(C32,3)="BKK",N32="RF",Q32="KTS"),1,0)+IF(Q32="KHS",1,0)</f>
        <v>5</v>
      </c>
      <c r="AE32" s="63">
        <f>(T32-V32)+1</f>
        <v>46310</v>
      </c>
      <c r="AF32" s="63">
        <f>IF(AB32&gt;IF((V32-W32)&gt;0,V32-W32,0),0,IF(AB32&lt;IF((V32-W32)&gt;0,V32-W32,0),IF((V32-W32)&gt;0,V32-W32,0)-AB32,IF((V32-W32)&gt;0,V32-W32,0)))</f>
        <v>0</v>
      </c>
      <c r="AG32" s="120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/>
      <c r="AI32" s="93">
        <f>AA32-AH32</f>
        <v>600</v>
      </c>
      <c r="AJ32" s="70"/>
      <c r="AK32" s="62" t="str">
        <f>VLOOKUP(D32,'2.Bookinglist'!A:CT,40,FALSE)</f>
        <v>Nustsireerach</v>
      </c>
      <c r="AL32" s="60" t="str">
        <f>VLOOKUP(D32,'2.Bookinglist'!A:CW,101,FALSE)</f>
        <v>2026-10-14</v>
      </c>
      <c r="AM32" s="60" t="str">
        <f>VLOOKUP(D32,'2.Bookinglist'!A:BK,63,FALSE)</f>
        <v>BKK27</v>
      </c>
      <c r="AN32" s="62" t="str">
        <f>VLOOKUP(D32,'2.Bookinglist'!A:AZ,52,FALSE)</f>
        <v>CY -  RTN DD. 03-03/10/2026  /RQST CNTR UPGRADE 32.50TONS // FM SWSP 2610N BY HAL DD.01/10 (1ST RETURN 03/10 W/O RENT)</v>
      </c>
      <c r="AO32" s="62">
        <f>VLOOKUP(D32,'2.Bookinglist'!A:CY,103,FALSE)</f>
        <v>0</v>
      </c>
    </row>
    <row r="33" spans="1:41" ht="12.95" customHeight="1" x14ac:dyDescent="0.2">
      <c r="A33" s="96" t="s">
        <v>466</v>
      </c>
      <c r="B33" s="4" t="str">
        <f>IF(C33=Charge!$M$1,Charge!$J$1,IF(C33=Charge!$M$23,Charge!$J$23,IF(C33=Charge!$M$17,Charge!$J$17,IF(C33=Charge!$N$17,Charge!$J$17,Charge!$J$7))))</f>
        <v>G4</v>
      </c>
      <c r="C33" s="61" t="str">
        <f>VLOOKUP(A33,'1.Loading'!A:R,14,FALSE)</f>
        <v>BKK02</v>
      </c>
      <c r="D33" s="61" t="str">
        <f>VLOOKUP(A33,'1.Loading'!A:R,17,FALSE)</f>
        <v>HASLS22260901154</v>
      </c>
      <c r="E33" s="62" t="str">
        <f>VLOOKUP(D33,'2.Bookinglist'!A:CT,27,FALSE)</f>
        <v>METRO PARTICLE CO., LTD.</v>
      </c>
      <c r="F33" s="62" t="str">
        <f>VLOOKUP(D33,'2.Bookinglist'!A:CT,28,FALSE)</f>
        <v>METRO PARTICLE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KUS</v>
      </c>
      <c r="P33" s="61" t="str">
        <f>VLOOKUP(A33,'1.Loading'!A:R,4,FALSE)</f>
        <v>2616N</v>
      </c>
      <c r="Q33" s="61" t="str">
        <f>VLOOKUP(D33,'2.Bookinglist'!A:CT,12,FALSE)</f>
        <v>KST</v>
      </c>
      <c r="R33" s="60" t="str">
        <f>IF(LEFT(K33,2)="22","20'","40'")</f>
        <v>40'</v>
      </c>
      <c r="S33" s="101"/>
      <c r="T33" s="61" t="str">
        <f>VLOOKUP(A33,'1.Loading'!A:R,2,FALSE)</f>
        <v>2026-10-14</v>
      </c>
      <c r="U33" s="63">
        <f>T33-S33</f>
        <v>46309</v>
      </c>
      <c r="V33" s="104"/>
      <c r="W33" s="61" t="str">
        <f>VLOOKUP(A33,'3.GateMove'!A:D,4,FALSE)</f>
        <v>2026-10-04</v>
      </c>
      <c r="X33" s="63">
        <f>((T33-W33)+1)</f>
        <v>11</v>
      </c>
      <c r="Y33" s="64">
        <f>IF(M33="DG",1,IF(C33="LCH04",7,IF(C33="LCH01",7,IF(C33="LCH03",7,IF(C33="LCH03",7,IF(C33="LCH05",7,IF(C33="LCH06",7,IF(C33="LCH10",7,IF(C33="BKK02",5,3)))))))))</f>
        <v>5</v>
      </c>
      <c r="Z33" s="63">
        <f>IF(IF(AND(AC33="TML",AB33&gt;0),((T33-W33)+1)-AB33,((T33-W33)+1)-Y33)&gt;0,IF(AND(AC33="TML",AB33&gt;0),((T33-W33)+1)-AB33,((T33-W33)+1)-Y33),0)</f>
        <v>6</v>
      </c>
      <c r="AA33" s="120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600</v>
      </c>
      <c r="AB33" s="4"/>
      <c r="AC33" s="4"/>
      <c r="AD33" s="60">
        <f>IF(M33="DG",3,IF(N33="RF",3,5))+IF(AND(LEFT(C33,3)="BKK",N33="RF",Q33="KTS"),1,0)+IF(Q33="KHS",1,0)</f>
        <v>5</v>
      </c>
      <c r="AE33" s="63">
        <f>(T33-V33)+1</f>
        <v>46310</v>
      </c>
      <c r="AF33" s="63">
        <f>IF(AB33&gt;IF((V33-W33)&gt;0,V33-W33,0),0,IF(AB33&lt;IF((V33-W33)&gt;0,V33-W33,0),IF((V33-W33)&gt;0,V33-W33,0)-AB33,IF((V33-W33)&gt;0,V33-W33,0)))</f>
        <v>0</v>
      </c>
      <c r="AG33" s="120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/>
      <c r="AI33" s="93">
        <f>AA33-AH33</f>
        <v>600</v>
      </c>
      <c r="AJ33" s="70"/>
      <c r="AK33" s="62" t="str">
        <f>VLOOKUP(D33,'2.Bookinglist'!A:CT,40,FALSE)</f>
        <v>Nustsireerach</v>
      </c>
      <c r="AL33" s="60" t="str">
        <f>VLOOKUP(D33,'2.Bookinglist'!A:CW,101,FALSE)</f>
        <v>2026-10-14</v>
      </c>
      <c r="AM33" s="60" t="str">
        <f>VLOOKUP(D33,'2.Bookinglist'!A:BK,63,FALSE)</f>
        <v>BKK27</v>
      </c>
      <c r="AN33" s="62" t="str">
        <f>VLOOKUP(D33,'2.Bookinglist'!A:AZ,52,FALSE)</f>
        <v>CY -  RTN DD. 03-03/10/2026  /RQST CNTR UPGRADE 32.50TONS // FM SWSP 2610N BY HAL DD.01/10 (1ST RETURN 03/10 W/O RENT)</v>
      </c>
      <c r="AO33" s="62">
        <f>VLOOKUP(D33,'2.Bookinglist'!A:CY,103,FALSE)</f>
        <v>0</v>
      </c>
    </row>
    <row r="34" spans="1:41" ht="12.95" customHeight="1" x14ac:dyDescent="0.2">
      <c r="A34" s="96" t="s">
        <v>470</v>
      </c>
      <c r="B34" s="4" t="str">
        <f>IF(C34=Charge!$M$1,Charge!$J$1,IF(C34=Charge!$M$23,Charge!$J$23,IF(C34=Charge!$M$17,Charge!$J$17,IF(C34=Charge!$N$17,Charge!$J$17,Charge!$J$7))))</f>
        <v>G4</v>
      </c>
      <c r="C34" s="61" t="str">
        <f>VLOOKUP(A34,'1.Loading'!A:R,14,FALSE)</f>
        <v>BKK02</v>
      </c>
      <c r="D34" s="61" t="str">
        <f>VLOOKUP(A34,'1.Loading'!A:R,17,FALSE)</f>
        <v>HASLS22260901154</v>
      </c>
      <c r="E34" s="62" t="str">
        <f>VLOOKUP(D34,'2.Bookinglist'!A:CT,27,FALSE)</f>
        <v>METRO PARTICLE CO., LTD.</v>
      </c>
      <c r="F34" s="62" t="str">
        <f>VLOOKUP(D34,'2.Bookinglist'!A:CT,28,FALSE)</f>
        <v>METRO PARTICLE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KUS</v>
      </c>
      <c r="P34" s="61" t="str">
        <f>VLOOKUP(A34,'1.Loading'!A:R,4,FALSE)</f>
        <v>2616N</v>
      </c>
      <c r="Q34" s="61" t="str">
        <f>VLOOKUP(D34,'2.Bookinglist'!A:CT,12,FALSE)</f>
        <v>KST</v>
      </c>
      <c r="R34" s="60" t="str">
        <f>IF(LEFT(K34,2)="22","20'","40'")</f>
        <v>40'</v>
      </c>
      <c r="S34" s="101"/>
      <c r="T34" s="61" t="str">
        <f>VLOOKUP(A34,'1.Loading'!A:R,2,FALSE)</f>
        <v>2026-10-14</v>
      </c>
      <c r="U34" s="63">
        <f>T34-S34</f>
        <v>46309</v>
      </c>
      <c r="V34" s="104"/>
      <c r="W34" s="61" t="str">
        <f>VLOOKUP(A34,'3.GateMove'!A:D,4,FALSE)</f>
        <v>2026-10-04</v>
      </c>
      <c r="X34" s="63">
        <f>((T34-W34)+1)</f>
        <v>11</v>
      </c>
      <c r="Y34" s="64">
        <f>IF(M34="DG",1,IF(C34="LCH04",7,IF(C34="LCH01",7,IF(C34="LCH03",7,IF(C34="LCH03",7,IF(C34="LCH05",7,IF(C34="LCH06",7,IF(C34="LCH10",7,IF(C34="BKK02",5,3)))))))))</f>
        <v>5</v>
      </c>
      <c r="Z34" s="63">
        <f>IF(IF(AND(AC34="TML",AB34&gt;0),((T34-W34)+1)-AB34,((T34-W34)+1)-Y34)&gt;0,IF(AND(AC34="TML",AB34&gt;0),((T34-W34)+1)-AB34,((T34-W34)+1)-Y34),0)</f>
        <v>6</v>
      </c>
      <c r="AA34" s="120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600</v>
      </c>
      <c r="AB34" s="4"/>
      <c r="AC34" s="4"/>
      <c r="AD34" s="60">
        <f>IF(M34="DG",3,IF(N34="RF",3,5))+IF(AND(LEFT(C34,3)="BKK",N34="RF",Q34="KTS"),1,0)+IF(Q34="KHS",1,0)</f>
        <v>5</v>
      </c>
      <c r="AE34" s="63">
        <f>(T34-V34)+1</f>
        <v>46310</v>
      </c>
      <c r="AF34" s="63">
        <f>IF(AB34&gt;IF((V34-W34)&gt;0,V34-W34,0),0,IF(AB34&lt;IF((V34-W34)&gt;0,V34-W34,0),IF((V34-W34)&gt;0,V34-W34,0)-AB34,IF((V34-W34)&gt;0,V34-W34,0)))</f>
        <v>0</v>
      </c>
      <c r="AG34" s="120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/>
      <c r="AI34" s="93">
        <f>AA34-AH34</f>
        <v>600</v>
      </c>
      <c r="AJ34" s="70"/>
      <c r="AK34" s="62" t="str">
        <f>VLOOKUP(D34,'2.Bookinglist'!A:CT,40,FALSE)</f>
        <v>Nustsireerach</v>
      </c>
      <c r="AL34" s="60" t="str">
        <f>VLOOKUP(D34,'2.Bookinglist'!A:CW,101,FALSE)</f>
        <v>2026-10-14</v>
      </c>
      <c r="AM34" s="60" t="str">
        <f>VLOOKUP(D34,'2.Bookinglist'!A:BK,63,FALSE)</f>
        <v>BKK27</v>
      </c>
      <c r="AN34" s="62" t="str">
        <f>VLOOKUP(D34,'2.Bookinglist'!A:AZ,52,FALSE)</f>
        <v>CY -  RTN DD. 03-03/10/2026  /RQST CNTR UPGRADE 32.50TONS // FM SWSP 2610N BY HAL DD.01/10 (1ST RETURN 03/10 W/O RENT)</v>
      </c>
      <c r="AO34" s="62">
        <f>VLOOKUP(D34,'2.Bookinglist'!A:CY,103,FALSE)</f>
        <v>0</v>
      </c>
    </row>
    <row r="35" spans="1:41" ht="12.95" customHeight="1" x14ac:dyDescent="0.2">
      <c r="A35" s="96" t="s">
        <v>472</v>
      </c>
      <c r="B35" s="4" t="str">
        <f>IF(C35=Charge!$M$1,Charge!$J$1,IF(C35=Charge!$M$23,Charge!$J$23,IF(C35=Charge!$M$17,Charge!$J$17,IF(C35=Charge!$N$17,Charge!$J$17,Charge!$J$7))))</f>
        <v>G4</v>
      </c>
      <c r="C35" s="61" t="str">
        <f>VLOOKUP(A35,'1.Loading'!A:R,14,FALSE)</f>
        <v>BKK02</v>
      </c>
      <c r="D35" s="61" t="str">
        <f>VLOOKUP(A35,'1.Loading'!A:R,17,FALSE)</f>
        <v>HASLS22260901154</v>
      </c>
      <c r="E35" s="62" t="str">
        <f>VLOOKUP(D35,'2.Bookinglist'!A:CT,27,FALSE)</f>
        <v>METRO PARTICLE CO., LTD.</v>
      </c>
      <c r="F35" s="62" t="str">
        <f>VLOOKUP(D35,'2.Bookinglist'!A:CT,28,FALSE)</f>
        <v>METRO PARTICLE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KUS</v>
      </c>
      <c r="P35" s="61" t="str">
        <f>VLOOKUP(A35,'1.Loading'!A:R,4,FALSE)</f>
        <v>2616N</v>
      </c>
      <c r="Q35" s="61" t="str">
        <f>VLOOKUP(D35,'2.Bookinglist'!A:CT,12,FALSE)</f>
        <v>KST</v>
      </c>
      <c r="R35" s="60" t="str">
        <f>IF(LEFT(K35,2)="22","20'","40'")</f>
        <v>40'</v>
      </c>
      <c r="S35" s="101"/>
      <c r="T35" s="61" t="str">
        <f>VLOOKUP(A35,'1.Loading'!A:R,2,FALSE)</f>
        <v>2026-10-14</v>
      </c>
      <c r="U35" s="63">
        <f>T35-S35</f>
        <v>46309</v>
      </c>
      <c r="V35" s="104"/>
      <c r="W35" s="61" t="str">
        <f>VLOOKUP(A35,'3.GateMove'!A:D,4,FALSE)</f>
        <v>2026-10-04</v>
      </c>
      <c r="X35" s="63">
        <f>((T35-W35)+1)</f>
        <v>11</v>
      </c>
      <c r="Y35" s="64">
        <f>IF(M35="DG",1,IF(C35="LCH04",7,IF(C35="LCH01",7,IF(C35="LCH03",7,IF(C35="LCH03",7,IF(C35="LCH05",7,IF(C35="LCH06",7,IF(C35="LCH10",7,IF(C35="BKK02",5,3)))))))))</f>
        <v>5</v>
      </c>
      <c r="Z35" s="63">
        <f>IF(IF(AND(AC35="TML",AB35&gt;0),((T35-W35)+1)-AB35,((T35-W35)+1)-Y35)&gt;0,IF(AND(AC35="TML",AB35&gt;0),((T35-W35)+1)-AB35,((T35-W35)+1)-Y35),0)</f>
        <v>6</v>
      </c>
      <c r="AA35" s="120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600</v>
      </c>
      <c r="AB35" s="4"/>
      <c r="AC35" s="4"/>
      <c r="AD35" s="60">
        <f>IF(M35="DG",3,IF(N35="RF",3,5))+IF(AND(LEFT(C35,3)="BKK",N35="RF",Q35="KTS"),1,0)+IF(Q35="KHS",1,0)</f>
        <v>5</v>
      </c>
      <c r="AE35" s="63">
        <f>(T35-V35)+1</f>
        <v>46310</v>
      </c>
      <c r="AF35" s="63">
        <f>IF(AB35&gt;IF((V35-W35)&gt;0,V35-W35,0),0,IF(AB35&lt;IF((V35-W35)&gt;0,V35-W35,0),IF((V35-W35)&gt;0,V35-W35,0)-AB35,IF((V35-W35)&gt;0,V35-W35,0)))</f>
        <v>0</v>
      </c>
      <c r="AG35" s="120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/>
      <c r="AI35" s="93">
        <f>AA35-AH35</f>
        <v>600</v>
      </c>
      <c r="AJ35" s="70"/>
      <c r="AK35" s="62" t="str">
        <f>VLOOKUP(D35,'2.Bookinglist'!A:CT,40,FALSE)</f>
        <v>Nustsireerach</v>
      </c>
      <c r="AL35" s="60" t="str">
        <f>VLOOKUP(D35,'2.Bookinglist'!A:CW,101,FALSE)</f>
        <v>2026-10-14</v>
      </c>
      <c r="AM35" s="60" t="str">
        <f>VLOOKUP(D35,'2.Bookinglist'!A:BK,63,FALSE)</f>
        <v>BKK27</v>
      </c>
      <c r="AN35" s="62" t="str">
        <f>VLOOKUP(D35,'2.Bookinglist'!A:AZ,52,FALSE)</f>
        <v>CY -  RTN DD. 03-03/10/2026  /RQST CNTR UPGRADE 32.50TONS // FM SWSP 2610N BY HAL DD.01/10 (1ST RETURN 03/10 W/O RENT)</v>
      </c>
      <c r="AO35" s="62">
        <f>VLOOKUP(D35,'2.Bookinglist'!A:CY,103,FALSE)</f>
        <v>0</v>
      </c>
    </row>
    <row r="36" spans="1:41" ht="12.95" customHeight="1" x14ac:dyDescent="0.2">
      <c r="A36" s="96" t="s">
        <v>474</v>
      </c>
      <c r="B36" s="4" t="str">
        <f>IF(C36=Charge!$M$1,Charge!$J$1,IF(C36=Charge!$M$23,Charge!$J$23,IF(C36=Charge!$M$17,Charge!$J$17,IF(C36=Charge!$N$17,Charge!$J$17,Charge!$J$7))))</f>
        <v>G4</v>
      </c>
      <c r="C36" s="61" t="str">
        <f>VLOOKUP(A36,'1.Loading'!A:R,14,FALSE)</f>
        <v>BKK02</v>
      </c>
      <c r="D36" s="61" t="str">
        <f>VLOOKUP(A36,'1.Loading'!A:R,17,FALSE)</f>
        <v>HASLS22260901154</v>
      </c>
      <c r="E36" s="62" t="str">
        <f>VLOOKUP(D36,'2.Bookinglist'!A:CT,27,FALSE)</f>
        <v>METRO PARTICLE CO., LTD.</v>
      </c>
      <c r="F36" s="62" t="str">
        <f>VLOOKUP(D36,'2.Bookinglist'!A:CT,28,FALSE)</f>
        <v>METRO PARTICLE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KUS</v>
      </c>
      <c r="P36" s="61" t="str">
        <f>VLOOKUP(A36,'1.Loading'!A:R,4,FALSE)</f>
        <v>2616N</v>
      </c>
      <c r="Q36" s="61" t="str">
        <f>VLOOKUP(D36,'2.Bookinglist'!A:CT,12,FALSE)</f>
        <v>KST</v>
      </c>
      <c r="R36" s="60" t="str">
        <f>IF(LEFT(K36,2)="22","20'","40'")</f>
        <v>40'</v>
      </c>
      <c r="S36" s="101"/>
      <c r="T36" s="61" t="str">
        <f>VLOOKUP(A36,'1.Loading'!A:R,2,FALSE)</f>
        <v>2026-10-14</v>
      </c>
      <c r="U36" s="63">
        <f>T36-S36</f>
        <v>46309</v>
      </c>
      <c r="V36" s="104"/>
      <c r="W36" s="61" t="str">
        <f>VLOOKUP(A36,'3.GateMove'!A:D,4,FALSE)</f>
        <v>2026-10-04</v>
      </c>
      <c r="X36" s="63">
        <f>((T36-W36)+1)</f>
        <v>11</v>
      </c>
      <c r="Y36" s="64">
        <f>IF(M36="DG",1,IF(C36="LCH04",7,IF(C36="LCH01",7,IF(C36="LCH03",7,IF(C36="LCH03",7,IF(C36="LCH05",7,IF(C36="LCH06",7,IF(C36="LCH10",7,IF(C36="BKK02",5,3)))))))))</f>
        <v>5</v>
      </c>
      <c r="Z36" s="63">
        <f>IF(IF(AND(AC36="TML",AB36&gt;0),((T36-W36)+1)-AB36,((T36-W36)+1)-Y36)&gt;0,IF(AND(AC36="TML",AB36&gt;0),((T36-W36)+1)-AB36,((T36-W36)+1)-Y36),0)</f>
        <v>6</v>
      </c>
      <c r="AA36" s="120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600</v>
      </c>
      <c r="AB36" s="4"/>
      <c r="AC36" s="4"/>
      <c r="AD36" s="60">
        <f>IF(M36="DG",3,IF(N36="RF",3,5))+IF(AND(LEFT(C36,3)="BKK",N36="RF",Q36="KTS"),1,0)+IF(Q36="KHS",1,0)</f>
        <v>5</v>
      </c>
      <c r="AE36" s="63">
        <f>(T36-V36)+1</f>
        <v>46310</v>
      </c>
      <c r="AF36" s="63">
        <f>IF(AB36&gt;IF((V36-W36)&gt;0,V36-W36,0),0,IF(AB36&lt;IF((V36-W36)&gt;0,V36-W36,0),IF((V36-W36)&gt;0,V36-W36,0)-AB36,IF((V36-W36)&gt;0,V36-W36,0)))</f>
        <v>0</v>
      </c>
      <c r="AG36" s="120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/>
      <c r="AI36" s="93">
        <f>AA36-AH36</f>
        <v>600</v>
      </c>
      <c r="AJ36" s="70"/>
      <c r="AK36" s="62" t="str">
        <f>VLOOKUP(D36,'2.Bookinglist'!A:CT,40,FALSE)</f>
        <v>Nustsireerach</v>
      </c>
      <c r="AL36" s="60" t="str">
        <f>VLOOKUP(D36,'2.Bookinglist'!A:CW,101,FALSE)</f>
        <v>2026-10-14</v>
      </c>
      <c r="AM36" s="60" t="str">
        <f>VLOOKUP(D36,'2.Bookinglist'!A:BK,63,FALSE)</f>
        <v>BKK27</v>
      </c>
      <c r="AN36" s="62" t="str">
        <f>VLOOKUP(D36,'2.Bookinglist'!A:AZ,52,FALSE)</f>
        <v>CY -  RTN DD. 03-03/10/2026  /RQST CNTR UPGRADE 32.50TONS // FM SWSP 2610N BY HAL DD.01/10 (1ST RETURN 03/10 W/O RENT)</v>
      </c>
      <c r="AO36" s="62">
        <f>VLOOKUP(D36,'2.Bookinglist'!A:CY,103,FALSE)</f>
        <v>0</v>
      </c>
    </row>
    <row r="37" spans="1:41" ht="12.95" customHeight="1" x14ac:dyDescent="0.2">
      <c r="A37" s="96" t="s">
        <v>498</v>
      </c>
      <c r="B37" s="4" t="str">
        <f>IF(C37=Charge!$M$1,Charge!$J$1,IF(C37=Charge!$M$23,Charge!$J$23,IF(C37=Charge!$M$17,Charge!$J$17,IF(C37=Charge!$N$17,Charge!$J$17,Charge!$J$7))))</f>
        <v>G4</v>
      </c>
      <c r="C37" s="61" t="str">
        <f>VLOOKUP(A37,'1.Loading'!A:R,14,FALSE)</f>
        <v>BKK02</v>
      </c>
      <c r="D37" s="61" t="str">
        <f>VLOOKUP(A37,'1.Loading'!A:R,17,FALSE)</f>
        <v>HASLS22260901154</v>
      </c>
      <c r="E37" s="62" t="str">
        <f>VLOOKUP(D37,'2.Bookinglist'!A:CT,27,FALSE)</f>
        <v>METRO PARTICLE CO., LTD.</v>
      </c>
      <c r="F37" s="62" t="str">
        <f>VLOOKUP(D37,'2.Bookinglist'!A:CT,28,FALSE)</f>
        <v>METRO PARTICLE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KUS</v>
      </c>
      <c r="P37" s="61" t="str">
        <f>VLOOKUP(A37,'1.Loading'!A:R,4,FALSE)</f>
        <v>2616N</v>
      </c>
      <c r="Q37" s="61" t="str">
        <f>VLOOKUP(D37,'2.Bookinglist'!A:CT,12,FALSE)</f>
        <v>KST</v>
      </c>
      <c r="R37" s="60" t="str">
        <f>IF(LEFT(K37,2)="22","20'","40'")</f>
        <v>40'</v>
      </c>
      <c r="S37" s="101"/>
      <c r="T37" s="61" t="str">
        <f>VLOOKUP(A37,'1.Loading'!A:R,2,FALSE)</f>
        <v>2026-10-14</v>
      </c>
      <c r="U37" s="63">
        <f>T37-S37</f>
        <v>46309</v>
      </c>
      <c r="V37" s="104"/>
      <c r="W37" s="61" t="str">
        <f>VLOOKUP(A37,'3.GateMove'!A:D,4,FALSE)</f>
        <v>2026-10-04</v>
      </c>
      <c r="X37" s="63">
        <f>((T37-W37)+1)</f>
        <v>11</v>
      </c>
      <c r="Y37" s="64">
        <f>IF(M37="DG",1,IF(C37="LCH04",7,IF(C37="LCH01",7,IF(C37="LCH03",7,IF(C37="LCH03",7,IF(C37="LCH05",7,IF(C37="LCH06",7,IF(C37="LCH10",7,IF(C37="BKK02",5,3)))))))))</f>
        <v>5</v>
      </c>
      <c r="Z37" s="63">
        <f>IF(IF(AND(AC37="TML",AB37&gt;0),((T37-W37)+1)-AB37,((T37-W37)+1)-Y37)&gt;0,IF(AND(AC37="TML",AB37&gt;0),((T37-W37)+1)-AB37,((T37-W37)+1)-Y37),0)</f>
        <v>6</v>
      </c>
      <c r="AA37" s="120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600</v>
      </c>
      <c r="AB37" s="4"/>
      <c r="AC37" s="4"/>
      <c r="AD37" s="60">
        <f>IF(M37="DG",3,IF(N37="RF",3,5))+IF(AND(LEFT(C37,3)="BKK",N37="RF",Q37="KTS"),1,0)+IF(Q37="KHS",1,0)</f>
        <v>5</v>
      </c>
      <c r="AE37" s="63">
        <f>(T37-V37)+1</f>
        <v>46310</v>
      </c>
      <c r="AF37" s="63">
        <f>IF(AB37&gt;IF((V37-W37)&gt;0,V37-W37,0),0,IF(AB37&lt;IF((V37-W37)&gt;0,V37-W37,0),IF((V37-W37)&gt;0,V37-W37,0)-AB37,IF((V37-W37)&gt;0,V37-W37,0)))</f>
        <v>0</v>
      </c>
      <c r="AG37" s="120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/>
      <c r="AI37" s="93">
        <f>AA37-AH37</f>
        <v>600</v>
      </c>
      <c r="AJ37" s="70"/>
      <c r="AK37" s="62" t="str">
        <f>VLOOKUP(D37,'2.Bookinglist'!A:CT,40,FALSE)</f>
        <v>Nustsireerach</v>
      </c>
      <c r="AL37" s="60" t="str">
        <f>VLOOKUP(D37,'2.Bookinglist'!A:CW,101,FALSE)</f>
        <v>2026-10-14</v>
      </c>
      <c r="AM37" s="60" t="str">
        <f>VLOOKUP(D37,'2.Bookinglist'!A:BK,63,FALSE)</f>
        <v>BKK27</v>
      </c>
      <c r="AN37" s="62" t="str">
        <f>VLOOKUP(D37,'2.Bookinglist'!A:AZ,52,FALSE)</f>
        <v>CY -  RTN DD. 03-03/10/2026  /RQST CNTR UPGRADE 32.50TONS // FM SWSP 2610N BY HAL DD.01/10 (1ST RETURN 03/10 W/O RENT)</v>
      </c>
      <c r="AO37" s="62">
        <f>VLOOKUP(D37,'2.Bookinglist'!A:CY,103,FALSE)</f>
        <v>0</v>
      </c>
    </row>
    <row r="38" spans="1:41" ht="12.95" customHeight="1" x14ac:dyDescent="0.2">
      <c r="A38" s="96" t="s">
        <v>423</v>
      </c>
      <c r="B38" s="4" t="str">
        <f>IF(C38=Charge!$M$1,Charge!$J$1,IF(C38=Charge!$M$23,Charge!$J$23,IF(C38=Charge!$M$17,Charge!$J$17,IF(C38=Charge!$N$17,Charge!$J$17,Charge!$J$7))))</f>
        <v>G4</v>
      </c>
      <c r="C38" s="61" t="str">
        <f>VLOOKUP(A38,'1.Loading'!A:R,14,FALSE)</f>
        <v>BKK02</v>
      </c>
      <c r="D38" s="61" t="str">
        <f>VLOOKUP(A38,'1.Loading'!A:R,17,FALSE)</f>
        <v>HASLS22260901895</v>
      </c>
      <c r="E38" s="62" t="str">
        <f>VLOOKUP(D38,'2.Bookinglist'!A:CT,27,FALSE)</f>
        <v>NIPPON EXPRESS LOGISTICS (THAILAND) CO., LTD.</v>
      </c>
      <c r="F38" s="62" t="str">
        <f>VLOOKUP(D38,'2.Bookinglist'!A:CT,28,FALSE)</f>
        <v>NIPRO (THAILAND) CORPORATION LIMITED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JPTMK</v>
      </c>
      <c r="J38" s="61" t="str">
        <f>VLOOKUP(D38,'2.Bookinglist'!A:CT,26,FALSE)</f>
        <v>KRPUS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KUS</v>
      </c>
      <c r="P38" s="61" t="str">
        <f>VLOOKUP(A38,'1.Loading'!A:R,4,FALSE)</f>
        <v>2616N</v>
      </c>
      <c r="Q38" s="61" t="str">
        <f>VLOOKUP(D38,'2.Bookinglist'!A:CT,12,FALSE)</f>
        <v>KST</v>
      </c>
      <c r="R38" s="60" t="str">
        <f>IF(LEFT(K38,2)="22","20'","40'")</f>
        <v>40'</v>
      </c>
      <c r="S38" s="101"/>
      <c r="T38" s="61" t="str">
        <f>VLOOKUP(A38,'1.Loading'!A:R,2,FALSE)</f>
        <v>2026-10-14</v>
      </c>
      <c r="U38" s="63">
        <f>T38-S38</f>
        <v>46309</v>
      </c>
      <c r="V38" s="104"/>
      <c r="W38" s="61" t="str">
        <f>VLOOKUP(A38,'3.GateMove'!A:D,4,FALSE)</f>
        <v>2026-10-10</v>
      </c>
      <c r="X38" s="63">
        <f>((T38-W38)+1)</f>
        <v>5</v>
      </c>
      <c r="Y38" s="64">
        <f>IF(M38="DG",1,IF(C38="LCH04",7,IF(C38="LCH01",7,IF(C38="LCH03",7,IF(C38="LCH03",7,IF(C38="LCH05",7,IF(C38="LCH06",7,IF(C38="LCH10",7,IF(C38="BKK02",5,3)))))))))</f>
        <v>5</v>
      </c>
      <c r="Z38" s="63">
        <f>IF(IF(AND(AC38="TML",AB38&gt;0),((T38-W38)+1)-AB38,((T38-W38)+1)-Y38)&gt;0,IF(AND(AC38="TML",AB38&gt;0),((T38-W38)+1)-AB38,((T38-W38)+1)-Y38),0)</f>
        <v>0</v>
      </c>
      <c r="AA38" s="120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4"/>
      <c r="AC38" s="4"/>
      <c r="AD38" s="60">
        <f>IF(M38="DG",3,IF(N38="RF",3,5))+IF(AND(LEFT(C38,3)="BKK",N38="RF",Q38="KTS"),1,0)+IF(Q38="KHS",1,0)</f>
        <v>5</v>
      </c>
      <c r="AE38" s="63">
        <f>(T38-V38)+1</f>
        <v>46310</v>
      </c>
      <c r="AF38" s="63">
        <f>IF(AB38&gt;IF((V38-W38)&gt;0,V38-W38,0),0,IF(AB38&lt;IF((V38-W38)&gt;0,V38-W38,0),IF((V38-W38)&gt;0,V38-W38,0)-AB38,IF((V38-W38)&gt;0,V38-W38,0)))</f>
        <v>0</v>
      </c>
      <c r="AG38" s="120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/>
      <c r="AI38" s="93">
        <f>AA38-AH38</f>
        <v>0</v>
      </c>
      <c r="AJ38" s="70"/>
      <c r="AK38" s="62" t="str">
        <f>VLOOKUP(D38,'2.Bookinglist'!A:CT,40,FALSE)</f>
        <v>Vilaiporn</v>
      </c>
      <c r="AL38" s="60" t="str">
        <f>VLOOKUP(D38,'2.Bookinglist'!A:CW,101,FALSE)</f>
        <v>2026-10-14</v>
      </c>
      <c r="AM38" s="60" t="str">
        <f>VLOOKUP(D38,'2.Bookinglist'!A:BK,63,FALSE)</f>
        <v>BKK27</v>
      </c>
      <c r="AN38" s="62" t="str">
        <f>VLOOKUP(D38,'2.Bookinglist'!A:AZ,52,FALSE)</f>
        <v>[FIX]Pickup : 2026-10-08, Return : 2026-10-09 (1st rtn dd: 10/10/26 wo/rent)</v>
      </c>
      <c r="AO38" s="62">
        <f>VLOOKUP(D38,'2.Bookinglist'!A:CY,103,FALSE)</f>
        <v>0</v>
      </c>
    </row>
    <row r="39" spans="1:41" ht="12.95" customHeight="1" x14ac:dyDescent="0.2">
      <c r="A39" s="96" t="s">
        <v>476</v>
      </c>
      <c r="B39" s="4" t="str">
        <f>IF(C39=Charge!$M$1,Charge!$J$1,IF(C39=Charge!$M$23,Charge!$J$23,IF(C39=Charge!$M$17,Charge!$J$17,IF(C39=Charge!$N$17,Charge!$J$17,Charge!$J$7))))</f>
        <v>G4</v>
      </c>
      <c r="C39" s="61" t="str">
        <f>VLOOKUP(A39,'1.Loading'!A:R,14,FALSE)</f>
        <v>BKK02</v>
      </c>
      <c r="D39" s="61" t="str">
        <f>VLOOKUP(A39,'1.Loading'!A:R,17,FALSE)</f>
        <v>HASLS22260901895</v>
      </c>
      <c r="E39" s="62" t="str">
        <f>VLOOKUP(D39,'2.Bookinglist'!A:CT,27,FALSE)</f>
        <v>NIPPON EXPRESS LOGISTICS (THAILAND) CO., LTD.</v>
      </c>
      <c r="F39" s="62" t="str">
        <f>VLOOKUP(D39,'2.Bookinglist'!A:CT,28,FALSE)</f>
        <v>NIPRO (THAILAND) CORPORATION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JPTMK</v>
      </c>
      <c r="J39" s="61" t="str">
        <f>VLOOKUP(D39,'2.Bookinglist'!A:CT,26,FALSE)</f>
        <v>KRPUS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KUS</v>
      </c>
      <c r="P39" s="61" t="str">
        <f>VLOOKUP(A39,'1.Loading'!A:R,4,FALSE)</f>
        <v>2616N</v>
      </c>
      <c r="Q39" s="61" t="str">
        <f>VLOOKUP(D39,'2.Bookinglist'!A:CT,12,FALSE)</f>
        <v>KST</v>
      </c>
      <c r="R39" s="60" t="str">
        <f>IF(LEFT(K39,2)="22","20'","40'")</f>
        <v>40'</v>
      </c>
      <c r="S39" s="101"/>
      <c r="T39" s="61" t="str">
        <f>VLOOKUP(A39,'1.Loading'!A:R,2,FALSE)</f>
        <v>2026-10-14</v>
      </c>
      <c r="U39" s="63">
        <f>T39-S39</f>
        <v>46309</v>
      </c>
      <c r="V39" s="104"/>
      <c r="W39" s="61" t="str">
        <f>VLOOKUP(A39,'3.GateMove'!A:D,4,FALSE)</f>
        <v>2026-10-10</v>
      </c>
      <c r="X39" s="63">
        <f>((T39-W39)+1)</f>
        <v>5</v>
      </c>
      <c r="Y39" s="64">
        <f>IF(M39="DG",1,IF(C39="LCH04",7,IF(C39="LCH01",7,IF(C39="LCH03",7,IF(C39="LCH03",7,IF(C39="LCH05",7,IF(C39="LCH06",7,IF(C39="LCH10",7,IF(C39="BKK02",5,3)))))))))</f>
        <v>5</v>
      </c>
      <c r="Z39" s="63">
        <f>IF(IF(AND(AC39="TML",AB39&gt;0),((T39-W39)+1)-AB39,((T39-W39)+1)-Y39)&gt;0,IF(AND(AC39="TML",AB39&gt;0),((T39-W39)+1)-AB39,((T39-W39)+1)-Y39),0)</f>
        <v>0</v>
      </c>
      <c r="AA39" s="120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4"/>
      <c r="AC39" s="4"/>
      <c r="AD39" s="60">
        <f>IF(M39="DG",3,IF(N39="RF",3,5))+IF(AND(LEFT(C39,3)="BKK",N39="RF",Q39="KTS"),1,0)+IF(Q39="KHS",1,0)</f>
        <v>5</v>
      </c>
      <c r="AE39" s="63">
        <f>(T39-V39)+1</f>
        <v>46310</v>
      </c>
      <c r="AF39" s="63">
        <f>IF(AB39&gt;IF((V39-W39)&gt;0,V39-W39,0),0,IF(AB39&lt;IF((V39-W39)&gt;0,V39-W39,0),IF((V39-W39)&gt;0,V39-W39,0)-AB39,IF((V39-W39)&gt;0,V39-W39,0)))</f>
        <v>0</v>
      </c>
      <c r="AG39" s="120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/>
      <c r="AI39" s="93">
        <f>AA39-AH39</f>
        <v>0</v>
      </c>
      <c r="AJ39" s="70"/>
      <c r="AK39" s="62" t="str">
        <f>VLOOKUP(D39,'2.Bookinglist'!A:CT,40,FALSE)</f>
        <v>Vilaiporn</v>
      </c>
      <c r="AL39" s="60" t="str">
        <f>VLOOKUP(D39,'2.Bookinglist'!A:CW,101,FALSE)</f>
        <v>2026-10-14</v>
      </c>
      <c r="AM39" s="60" t="str">
        <f>VLOOKUP(D39,'2.Bookinglist'!A:BK,63,FALSE)</f>
        <v>BKK27</v>
      </c>
      <c r="AN39" s="62" t="str">
        <f>VLOOKUP(D39,'2.Bookinglist'!A:AZ,52,FALSE)</f>
        <v>[FIX]Pickup : 2026-10-08, Return : 2026-10-09 (1st rtn dd: 10/10/26 wo/rent)</v>
      </c>
      <c r="AO39" s="62">
        <f>VLOOKUP(D39,'2.Bookinglist'!A:CY,103,FALSE)</f>
        <v>0</v>
      </c>
    </row>
    <row r="40" spans="1:41" ht="12.95" customHeight="1" x14ac:dyDescent="0.2">
      <c r="A40" s="96" t="s">
        <v>370</v>
      </c>
      <c r="B40" s="4" t="str">
        <f>IF(C40=Charge!$M$1,Charge!$J$1,IF(C40=Charge!$M$23,Charge!$J$23,IF(C40=Charge!$M$17,Charge!$J$17,IF(C40=Charge!$N$17,Charge!$J$17,Charge!$J$7))))</f>
        <v>G4</v>
      </c>
      <c r="C40" s="61" t="str">
        <f>VLOOKUP(A40,'1.Loading'!A:R,14,FALSE)</f>
        <v>BKK02</v>
      </c>
      <c r="D40" s="61" t="str">
        <f>VLOOKUP(A40,'1.Loading'!A:R,17,FALSE)</f>
        <v>HASLS22260901447</v>
      </c>
      <c r="E40" s="62" t="str">
        <f>VLOOKUP(D40,'2.Bookinglist'!A:CT,27,FALSE)</f>
        <v>NIPPON EXPRESS LOGISTICS (THAILAND) CO., LTD.</v>
      </c>
      <c r="F40" s="62" t="str">
        <f>VLOOKUP(D40,'2.Bookinglist'!A:CT,28,FALSE)</f>
        <v>ROHM MECHATECH ( THAILAND )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KRPUS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KUS</v>
      </c>
      <c r="P40" s="61" t="str">
        <f>VLOOKUP(A40,'1.Loading'!A:R,4,FALSE)</f>
        <v>2616N</v>
      </c>
      <c r="Q40" s="61" t="str">
        <f>VLOOKUP(D40,'2.Bookinglist'!A:CT,12,FALSE)</f>
        <v>KST</v>
      </c>
      <c r="R40" s="60" t="str">
        <f>IF(LEFT(K40,2)="22","20'","40'")</f>
        <v>40'</v>
      </c>
      <c r="S40" s="101"/>
      <c r="T40" s="61" t="str">
        <f>VLOOKUP(A40,'1.Loading'!A:R,2,FALSE)</f>
        <v>2026-10-14</v>
      </c>
      <c r="U40" s="63">
        <f>T40-S40</f>
        <v>46309</v>
      </c>
      <c r="V40" s="104"/>
      <c r="W40" s="61" t="str">
        <f>VLOOKUP(A40,'3.GateMove'!A:D,4,FALSE)</f>
        <v>2026-10-11</v>
      </c>
      <c r="X40" s="63">
        <f>((T40-W40)+1)</f>
        <v>4</v>
      </c>
      <c r="Y40" s="64">
        <f>IF(M40="DG",1,IF(C40="LCH04",7,IF(C40="LCH01",7,IF(C40="LCH03",7,IF(C40="LCH03",7,IF(C40="LCH05",7,IF(C40="LCH06",7,IF(C40="LCH10",7,IF(C40="BKK02",5,3)))))))))</f>
        <v>5</v>
      </c>
      <c r="Z40" s="63">
        <f>IF(IF(AND(AC40="TML",AB40&gt;0),((T40-W40)+1)-AB40,((T40-W40)+1)-Y40)&gt;0,IF(AND(AC40="TML",AB40&gt;0),((T40-W40)+1)-AB40,((T40-W40)+1)-Y40),0)</f>
        <v>0</v>
      </c>
      <c r="AA40" s="120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4"/>
      <c r="AC40" s="4"/>
      <c r="AD40" s="60">
        <f>IF(M40="DG",3,IF(N40="RF",3,5))+IF(AND(LEFT(C40,3)="BKK",N40="RF",Q40="KTS"),1,0)+IF(Q40="KHS",1,0)</f>
        <v>5</v>
      </c>
      <c r="AE40" s="63">
        <f>(T40-V40)+1</f>
        <v>46310</v>
      </c>
      <c r="AF40" s="63">
        <f>IF(AB40&gt;IF((V40-W40)&gt;0,V40-W40,0),0,IF(AB40&lt;IF((V40-W40)&gt;0,V40-W40,0),IF((V40-W40)&gt;0,V40-W40,0)-AB40,IF((V40-W40)&gt;0,V40-W40,0)))</f>
        <v>0</v>
      </c>
      <c r="AG40" s="120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/>
      <c r="AI40" s="93">
        <f>AA40-AH40</f>
        <v>0</v>
      </c>
      <c r="AJ40" s="70"/>
      <c r="AK40" s="62" t="str">
        <f>VLOOKUP(D40,'2.Bookinglist'!A:CT,40,FALSE)</f>
        <v>Vilaiporn</v>
      </c>
      <c r="AL40" s="60" t="str">
        <f>VLOOKUP(D40,'2.Bookinglist'!A:CW,101,FALSE)</f>
        <v>2026-10-14</v>
      </c>
      <c r="AM40" s="60" t="str">
        <f>VLOOKUP(D40,'2.Bookinglist'!A:BK,63,FALSE)</f>
        <v>BKK27</v>
      </c>
      <c r="AN40" s="62" t="str">
        <f>VLOOKUP(D40,'2.Bookinglist'!A:AZ,52,FALSE)</f>
        <v>Pickup : 2026-10-07, Return : 2026-10-10 [1ST RTN 10/10/2026 W/O RENT]</v>
      </c>
      <c r="AO40" s="62">
        <f>VLOOKUP(D40,'2.Bookinglist'!A:CY,103,FALSE)</f>
        <v>0</v>
      </c>
    </row>
    <row r="41" spans="1:41" ht="12.95" customHeight="1" x14ac:dyDescent="0.2">
      <c r="A41" s="96" t="s">
        <v>358</v>
      </c>
      <c r="B41" s="4" t="str">
        <f>IF(C41=Charge!$M$1,Charge!$J$1,IF(C41=Charge!$M$23,Charge!$J$23,IF(C41=Charge!$M$17,Charge!$J$17,IF(C41=Charge!$N$17,Charge!$J$17,Charge!$J$7))))</f>
        <v>G4</v>
      </c>
      <c r="C41" s="61" t="str">
        <f>VLOOKUP(A41,'1.Loading'!A:R,14,FALSE)</f>
        <v>BKK02</v>
      </c>
      <c r="D41" s="61" t="str">
        <f>VLOOKUP(A41,'1.Loading'!A:R,17,FALSE)</f>
        <v>HASLS22260902512</v>
      </c>
      <c r="E41" s="62" t="str">
        <f>VLOOKUP(D41,'2.Bookinglist'!A:CT,27,FALSE)</f>
        <v>SMS CORPORATION CO., LTD.</v>
      </c>
      <c r="F41" s="62" t="str">
        <f>VLOOKUP(D41,'2.Bookinglist'!A:CT,28,FALSE)</f>
        <v>SMS CORPORATION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KRPUS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KUS</v>
      </c>
      <c r="P41" s="61" t="str">
        <f>VLOOKUP(A41,'1.Loading'!A:R,4,FALSE)</f>
        <v>2616N</v>
      </c>
      <c r="Q41" s="61" t="str">
        <f>VLOOKUP(D41,'2.Bookinglist'!A:CT,12,FALSE)</f>
        <v>KST</v>
      </c>
      <c r="R41" s="60" t="str">
        <f>IF(LEFT(K41,2)="22","20'","40'")</f>
        <v>20'</v>
      </c>
      <c r="S41" s="101"/>
      <c r="T41" s="61" t="str">
        <f>VLOOKUP(A41,'1.Loading'!A:R,2,FALSE)</f>
        <v>2026-10-14</v>
      </c>
      <c r="U41" s="63">
        <f>T41-S41</f>
        <v>46309</v>
      </c>
      <c r="V41" s="104"/>
      <c r="W41" s="61" t="str">
        <f>VLOOKUP(A41,'3.GateMove'!A:D,4,FALSE)</f>
        <v>2026-10-10</v>
      </c>
      <c r="X41" s="63">
        <f>((T41-W41)+1)</f>
        <v>5</v>
      </c>
      <c r="Y41" s="64">
        <f>IF(M41="DG",1,IF(C41="LCH04",7,IF(C41="LCH01",7,IF(C41="LCH03",7,IF(C41="LCH03",7,IF(C41="LCH05",7,IF(C41="LCH06",7,IF(C41="LCH10",7,IF(C41="BKK02",5,3)))))))))</f>
        <v>5</v>
      </c>
      <c r="Z41" s="63">
        <f>IF(IF(AND(AC41="TML",AB41&gt;0),((T41-W41)+1)-AB41,((T41-W41)+1)-Y41)&gt;0,IF(AND(AC41="TML",AB41&gt;0),((T41-W41)+1)-AB41,((T41-W41)+1)-Y41),0)</f>
        <v>0</v>
      </c>
      <c r="AA41" s="120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4"/>
      <c r="AC41" s="4"/>
      <c r="AD41" s="60">
        <f>IF(M41="DG",3,IF(N41="RF",3,5))+IF(AND(LEFT(C41,3)="BKK",N41="RF",Q41="KTS"),1,0)+IF(Q41="KHS",1,0)</f>
        <v>5</v>
      </c>
      <c r="AE41" s="63">
        <f>(T41-V41)+1</f>
        <v>46310</v>
      </c>
      <c r="AF41" s="63">
        <f>IF(AB41&gt;IF((V41-W41)&gt;0,V41-W41,0),0,IF(AB41&lt;IF((V41-W41)&gt;0,V41-W41,0),IF((V41-W41)&gt;0,V41-W41,0)-AB41,IF((V41-W41)&gt;0,V41-W41,0)))</f>
        <v>0</v>
      </c>
      <c r="AG41" s="120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/>
      <c r="AI41" s="93">
        <f>AA41-AH41</f>
        <v>0</v>
      </c>
      <c r="AJ41" s="70"/>
      <c r="AK41" s="62" t="str">
        <f>VLOOKUP(D41,'2.Bookinglist'!A:CT,40,FALSE)</f>
        <v>Kim jaewon</v>
      </c>
      <c r="AL41" s="60" t="str">
        <f>VLOOKUP(D41,'2.Bookinglist'!A:CW,101,FALSE)</f>
        <v>2026-10-14</v>
      </c>
      <c r="AM41" s="60" t="str">
        <f>VLOOKUP(D41,'2.Bookinglist'!A:BK,63,FALSE)</f>
        <v>BKK27</v>
      </c>
      <c r="AN41" s="62" t="str">
        <f>VLOOKUP(D41,'2.Bookinglist'!A:AZ,52,FALSE)</f>
        <v xml:space="preserve">Pickup : 2026-10-06, Return : 2026-10-08  (1ST RTN 10/10 W/O RENT) 
 </v>
      </c>
      <c r="AO41" s="62">
        <f>VLOOKUP(D41,'2.Bookinglist'!A:CY,103,FALSE)</f>
        <v>0</v>
      </c>
    </row>
    <row r="42" spans="1:41" ht="12.95" customHeight="1" x14ac:dyDescent="0.2">
      <c r="A42" s="96" t="s">
        <v>477</v>
      </c>
      <c r="B42" s="4" t="str">
        <f>IF(C42=Charge!$M$1,Charge!$J$1,IF(C42=Charge!$M$23,Charge!$J$23,IF(C42=Charge!$M$17,Charge!$J$17,IF(C42=Charge!$N$17,Charge!$J$17,Charge!$J$7))))</f>
        <v>G4</v>
      </c>
      <c r="C42" s="61" t="str">
        <f>VLOOKUP(A42,'1.Loading'!A:R,14,FALSE)</f>
        <v>BKK02</v>
      </c>
      <c r="D42" s="61" t="str">
        <f>VLOOKUP(A42,'1.Loading'!A:R,17,FALSE)</f>
        <v>HASLS22260901934</v>
      </c>
      <c r="E42" s="62" t="str">
        <f>VLOOKUP(D42,'2.Bookinglist'!A:CT,27,FALSE)</f>
        <v>THAI AGRI FOODS PUBLIC COMPANY LIMITED</v>
      </c>
      <c r="F42" s="62" t="str">
        <f>VLOOKUP(D42,'2.Bookinglist'!A:CT,28,FALSE)</f>
        <v>THAI AGRI FOODS PUBLIC COMPANY LIMITED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RUVVO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KUS</v>
      </c>
      <c r="P42" s="61" t="str">
        <f>VLOOKUP(A42,'1.Loading'!A:R,4,FALSE)</f>
        <v>2616N</v>
      </c>
      <c r="Q42" s="61" t="str">
        <f>VLOOKUP(D42,'2.Bookinglist'!A:CT,12,FALSE)</f>
        <v>KST</v>
      </c>
      <c r="R42" s="60" t="str">
        <f>IF(LEFT(K42,2)="22","20'","40'")</f>
        <v>20'</v>
      </c>
      <c r="S42" s="101"/>
      <c r="T42" s="61" t="str">
        <f>VLOOKUP(A42,'1.Loading'!A:R,2,FALSE)</f>
        <v>2026-10-14</v>
      </c>
      <c r="U42" s="63">
        <f>T42-S42</f>
        <v>46309</v>
      </c>
      <c r="V42" s="104"/>
      <c r="W42" s="61" t="str">
        <f>VLOOKUP(A42,'3.GateMove'!A:D,4,FALSE)</f>
        <v>2026-10-10</v>
      </c>
      <c r="X42" s="63">
        <f>((T42-W42)+1)</f>
        <v>5</v>
      </c>
      <c r="Y42" s="64">
        <f>IF(M42="DG",1,IF(C42="LCH04",7,IF(C42="LCH01",7,IF(C42="LCH03",7,IF(C42="LCH03",7,IF(C42="LCH05",7,IF(C42="LCH06",7,IF(C42="LCH10",7,IF(C42="BKK02",5,3)))))))))</f>
        <v>5</v>
      </c>
      <c r="Z42" s="63">
        <f>IF(IF(AND(AC42="TML",AB42&gt;0),((T42-W42)+1)-AB42,((T42-W42)+1)-Y42)&gt;0,IF(AND(AC42="TML",AB42&gt;0),((T42-W42)+1)-AB42,((T42-W42)+1)-Y42),0)</f>
        <v>0</v>
      </c>
      <c r="AA42" s="120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4"/>
      <c r="AC42" s="4"/>
      <c r="AD42" s="60">
        <f>IF(M42="DG",3,IF(N42="RF",3,5))+IF(AND(LEFT(C42,3)="BKK",N42="RF",Q42="KTS"),1,0)+IF(Q42="KHS",1,0)</f>
        <v>5</v>
      </c>
      <c r="AE42" s="63">
        <f>(T42-V42)+1</f>
        <v>46310</v>
      </c>
      <c r="AF42" s="63">
        <f>IF(AB42&gt;IF((V42-W42)&gt;0,V42-W42,0),0,IF(AB42&lt;IF((V42-W42)&gt;0,V42-W42,0),IF((V42-W42)&gt;0,V42-W42,0)-AB42,IF((V42-W42)&gt;0,V42-W42,0)))</f>
        <v>0</v>
      </c>
      <c r="AG42" s="120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/>
      <c r="AI42" s="93">
        <f>AA42-AH42</f>
        <v>0</v>
      </c>
      <c r="AJ42" s="70"/>
      <c r="AK42" s="62" t="str">
        <f>VLOOKUP(D42,'2.Bookinglist'!A:CT,40,FALSE)</f>
        <v>ANNA MARS</v>
      </c>
      <c r="AL42" s="60" t="str">
        <f>VLOOKUP(D42,'2.Bookinglist'!A:CW,101,FALSE)</f>
        <v>2026-10-14</v>
      </c>
      <c r="AM42" s="60" t="str">
        <f>VLOOKUP(D42,'2.Bookinglist'!A:BK,63,FALSE)</f>
        <v>BKK27</v>
      </c>
      <c r="AN42" s="62" t="str">
        <f>VLOOKUP(D42,'2.Bookinglist'!A:AZ,52,FALSE)</f>
        <v>[FIX]KUS/2616N/10/25[FIX] Pickup : 2026-10-08, Return : 2026-10-10</v>
      </c>
      <c r="AO42" s="62">
        <f>VLOOKUP(D42,'2.Bookinglist'!A:CY,103,FALSE)</f>
        <v>0</v>
      </c>
    </row>
    <row r="43" spans="1:41" ht="12.95" customHeight="1" x14ac:dyDescent="0.2">
      <c r="A43" s="96" t="s">
        <v>484</v>
      </c>
      <c r="B43" s="4" t="str">
        <f>IF(C43=Charge!$M$1,Charge!$J$1,IF(C43=Charge!$M$23,Charge!$J$23,IF(C43=Charge!$M$17,Charge!$J$17,IF(C43=Charge!$N$17,Charge!$J$17,Charge!$J$7))))</f>
        <v>G4</v>
      </c>
      <c r="C43" s="61" t="str">
        <f>VLOOKUP(A43,'1.Loading'!A:R,14,FALSE)</f>
        <v>BKK02</v>
      </c>
      <c r="D43" s="61" t="str">
        <f>VLOOKUP(A43,'1.Loading'!A:R,17,FALSE)</f>
        <v>HASLS22260902764</v>
      </c>
      <c r="E43" s="62" t="str">
        <f>VLOOKUP(D43,'2.Bookinglist'!A:CT,27,FALSE)</f>
        <v>THAI AGRI FOODS PUBLIC COMPANY LIMITED</v>
      </c>
      <c r="F43" s="62" t="str">
        <f>VLOOKUP(D43,'2.Bookinglist'!A:CT,28,FALSE)</f>
        <v>THAI AGRI FOODS PUBLIC COMPANY LIMITED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RUVVO</v>
      </c>
      <c r="J43" s="61" t="str">
        <f>VLOOKUP(D43,'2.Bookinglist'!A:CT,26,FALSE)</f>
        <v>KRPUS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KUS</v>
      </c>
      <c r="P43" s="61" t="str">
        <f>VLOOKUP(A43,'1.Loading'!A:R,4,FALSE)</f>
        <v>2616N</v>
      </c>
      <c r="Q43" s="61" t="str">
        <f>VLOOKUP(D43,'2.Bookinglist'!A:CT,12,FALSE)</f>
        <v>KST</v>
      </c>
      <c r="R43" s="60" t="str">
        <f>IF(LEFT(K43,2)="22","20'","40'")</f>
        <v>20'</v>
      </c>
      <c r="S43" s="101"/>
      <c r="T43" s="61" t="str">
        <f>VLOOKUP(A43,'1.Loading'!A:R,2,FALSE)</f>
        <v>2026-10-14</v>
      </c>
      <c r="U43" s="63">
        <f>T43-S43</f>
        <v>46309</v>
      </c>
      <c r="V43" s="104"/>
      <c r="W43" s="61" t="str">
        <f>VLOOKUP(A43,'3.GateMove'!A:D,4,FALSE)</f>
        <v>2026-10-12</v>
      </c>
      <c r="X43" s="63">
        <f>((T43-W43)+1)</f>
        <v>3</v>
      </c>
      <c r="Y43" s="64">
        <f>IF(M43="DG",1,IF(C43="LCH04",7,IF(C43="LCH01",7,IF(C43="LCH03",7,IF(C43="LCH03",7,IF(C43="LCH05",7,IF(C43="LCH06",7,IF(C43="LCH10",7,IF(C43="BKK02",5,3)))))))))</f>
        <v>5</v>
      </c>
      <c r="Z43" s="63">
        <f>IF(IF(AND(AC43="TML",AB43&gt;0),((T43-W43)+1)-AB43,((T43-W43)+1)-Y43)&gt;0,IF(AND(AC43="TML",AB43&gt;0),((T43-W43)+1)-AB43,((T43-W43)+1)-Y43),0)</f>
        <v>0</v>
      </c>
      <c r="AA43" s="120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4"/>
      <c r="AC43" s="4"/>
      <c r="AD43" s="60">
        <f>IF(M43="DG",3,IF(N43="RF",3,5))+IF(AND(LEFT(C43,3)="BKK",N43="RF",Q43="KTS"),1,0)+IF(Q43="KHS",1,0)</f>
        <v>5</v>
      </c>
      <c r="AE43" s="63">
        <f>(T43-V43)+1</f>
        <v>46310</v>
      </c>
      <c r="AF43" s="63">
        <f>IF(AB43&gt;IF((V43-W43)&gt;0,V43-W43,0),0,IF(AB43&lt;IF((V43-W43)&gt;0,V43-W43,0),IF((V43-W43)&gt;0,V43-W43,0)-AB43,IF((V43-W43)&gt;0,V43-W43,0)))</f>
        <v>0</v>
      </c>
      <c r="AG43" s="120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/>
      <c r="AI43" s="93">
        <f>AA43-AH43</f>
        <v>0</v>
      </c>
      <c r="AJ43" s="70"/>
      <c r="AK43" s="62" t="str">
        <f>VLOOKUP(D43,'2.Bookinglist'!A:CT,40,FALSE)</f>
        <v>ANNA MARS</v>
      </c>
      <c r="AL43" s="60" t="str">
        <f>VLOOKUP(D43,'2.Bookinglist'!A:CW,101,FALSE)</f>
        <v>2026-10-14</v>
      </c>
      <c r="AM43" s="60" t="str">
        <f>VLOOKUP(D43,'2.Bookinglist'!A:BK,63,FALSE)</f>
        <v>BKK27</v>
      </c>
      <c r="AN43" s="62" t="str">
        <f>VLOOKUP(D43,'2.Bookinglist'!A:AZ,52,FALSE)</f>
        <v xml:space="preserve">[FIX]KUS/2616N/10/25[FIX] Pickup : 2026-10-09, Return : 2026-10-12 *EXTEND CLS TIME : 12/10/26 @23.59* </v>
      </c>
      <c r="AO43" s="62">
        <f>VLOOKUP(D43,'2.Bookinglist'!A:CY,103,FALSE)</f>
        <v>0</v>
      </c>
    </row>
    <row r="44" spans="1:41" ht="12.95" customHeight="1" x14ac:dyDescent="0.2">
      <c r="A44" s="96" t="s">
        <v>488</v>
      </c>
      <c r="B44" s="4" t="str">
        <f>IF(C44=Charge!$M$1,Charge!$J$1,IF(C44=Charge!$M$23,Charge!$J$23,IF(C44=Charge!$M$17,Charge!$J$17,IF(C44=Charge!$N$17,Charge!$J$17,Charge!$J$7))))</f>
        <v>G4</v>
      </c>
      <c r="C44" s="61" t="str">
        <f>VLOOKUP(A44,'1.Loading'!A:R,14,FALSE)</f>
        <v>BKK02</v>
      </c>
      <c r="D44" s="61" t="str">
        <f>VLOOKUP(A44,'1.Loading'!A:R,17,FALSE)</f>
        <v>HASLS22260901931</v>
      </c>
      <c r="E44" s="62" t="str">
        <f>VLOOKUP(D44,'2.Bookinglist'!A:CT,27,FALSE)</f>
        <v>THAI AGRI FOODS PUBLIC COMPANY LIMITED</v>
      </c>
      <c r="F44" s="62" t="str">
        <f>VLOOKUP(D44,'2.Bookinglist'!A:CT,28,FALSE)</f>
        <v>THAI AGRI FOODS PUBLIC COMPANY LIMITED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RUVVO</v>
      </c>
      <c r="J44" s="61" t="str">
        <f>VLOOKUP(D44,'2.Bookinglist'!A:CT,26,FALSE)</f>
        <v>KRPUS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KUS</v>
      </c>
      <c r="P44" s="61" t="str">
        <f>VLOOKUP(A44,'1.Loading'!A:R,4,FALSE)</f>
        <v>2616N</v>
      </c>
      <c r="Q44" s="61" t="str">
        <f>VLOOKUP(D44,'2.Bookinglist'!A:CT,12,FALSE)</f>
        <v>KST</v>
      </c>
      <c r="R44" s="60" t="str">
        <f>IF(LEFT(K44,2)="22","20'","40'")</f>
        <v>20'</v>
      </c>
      <c r="S44" s="101"/>
      <c r="T44" s="61" t="str">
        <f>VLOOKUP(A44,'1.Loading'!A:R,2,FALSE)</f>
        <v>2026-10-14</v>
      </c>
      <c r="U44" s="63">
        <f>T44-S44</f>
        <v>46309</v>
      </c>
      <c r="V44" s="104"/>
      <c r="W44" s="61" t="str">
        <f>VLOOKUP(A44,'3.GateMove'!A:D,4,FALSE)</f>
        <v>2026-10-09</v>
      </c>
      <c r="X44" s="63">
        <f>((T44-W44)+1)</f>
        <v>6</v>
      </c>
      <c r="Y44" s="64">
        <f>IF(M44="DG",1,IF(C44="LCH04",7,IF(C44="LCH01",7,IF(C44="LCH03",7,IF(C44="LCH03",7,IF(C44="LCH05",7,IF(C44="LCH06",7,IF(C44="LCH10",7,IF(C44="BKK02",5,3)))))))))</f>
        <v>5</v>
      </c>
      <c r="Z44" s="63">
        <f>IF(IF(AND(AC44="TML",AB44&gt;0),((T44-W44)+1)-AB44,((T44-W44)+1)-Y44)&gt;0,IF(AND(AC44="TML",AB44&gt;0),((T44-W44)+1)-AB44,((T44-W44)+1)-Y44),0)</f>
        <v>1</v>
      </c>
      <c r="AA44" s="120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50</v>
      </c>
      <c r="AB44" s="4"/>
      <c r="AC44" s="4"/>
      <c r="AD44" s="60">
        <f>IF(M44="DG",3,IF(N44="RF",3,5))+IF(AND(LEFT(C44,3)="BKK",N44="RF",Q44="KTS"),1,0)+IF(Q44="KHS",1,0)</f>
        <v>5</v>
      </c>
      <c r="AE44" s="63">
        <f>(T44-V44)+1</f>
        <v>46310</v>
      </c>
      <c r="AF44" s="63">
        <f>IF(AB44&gt;IF((V44-W44)&gt;0,V44-W44,0),0,IF(AB44&lt;IF((V44-W44)&gt;0,V44-W44,0),IF((V44-W44)&gt;0,V44-W44,0)-AB44,IF((V44-W44)&gt;0,V44-W44,0)))</f>
        <v>0</v>
      </c>
      <c r="AG44" s="120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/>
      <c r="AI44" s="93">
        <f>AA44-AH44</f>
        <v>50</v>
      </c>
      <c r="AJ44" s="70"/>
      <c r="AK44" s="62" t="str">
        <f>VLOOKUP(D44,'2.Bookinglist'!A:CT,40,FALSE)</f>
        <v>ANNA MARS</v>
      </c>
      <c r="AL44" s="60" t="str">
        <f>VLOOKUP(D44,'2.Bookinglist'!A:CW,101,FALSE)</f>
        <v>2026-10-14</v>
      </c>
      <c r="AM44" s="60" t="str">
        <f>VLOOKUP(D44,'2.Bookinglist'!A:BK,63,FALSE)</f>
        <v>BKK27</v>
      </c>
      <c r="AN44" s="62" t="str">
        <f>VLOOKUP(D44,'2.Bookinglist'!A:AZ,52,FALSE)</f>
        <v>[FIX]KUS/2616N/10/25[FIX] Pickup : 2026-10-08, Return : 2026-10-09*1ST RETURN CNTR DD.09/10/2026 WITHOUT RENT*</v>
      </c>
      <c r="AO44" s="62">
        <f>VLOOKUP(D44,'2.Bookinglist'!A:CY,103,FALSE)</f>
        <v>0</v>
      </c>
    </row>
    <row r="45" spans="1:41" ht="12.95" customHeight="1" x14ac:dyDescent="0.2">
      <c r="A45" s="96" t="s">
        <v>364</v>
      </c>
      <c r="B45" s="4" t="str">
        <f>IF(C45=Charge!$M$1,Charge!$J$1,IF(C45=Charge!$M$23,Charge!$J$23,IF(C45=Charge!$M$17,Charge!$J$17,IF(C45=Charge!$N$17,Charge!$J$17,Charge!$J$7))))</f>
        <v>G4</v>
      </c>
      <c r="C45" s="61" t="str">
        <f>VLOOKUP(A45,'1.Loading'!A:R,14,FALSE)</f>
        <v>BKK02</v>
      </c>
      <c r="D45" s="61" t="str">
        <f>VLOOKUP(A45,'1.Loading'!A:R,17,FALSE)</f>
        <v>HASLS22260902785</v>
      </c>
      <c r="E45" s="62" t="str">
        <f>VLOOKUP(D45,'2.Bookinglist'!A:CT,27,FALSE)</f>
        <v>UNITED MARINE LOGISTIC CO., LTD.</v>
      </c>
      <c r="F45" s="62" t="str">
        <f>VLOOKUP(D45,'2.Bookinglist'!A:CT,28,FALSE)</f>
        <v>ISTO IMPORT &amp; EXPORT CO.,LTD.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CFS/CY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KUS</v>
      </c>
      <c r="P45" s="61" t="str">
        <f>VLOOKUP(A45,'1.Loading'!A:R,4,FALSE)</f>
        <v>2616N</v>
      </c>
      <c r="Q45" s="61" t="str">
        <f>VLOOKUP(D45,'2.Bookinglist'!A:CT,12,FALSE)</f>
        <v>KST</v>
      </c>
      <c r="R45" s="60" t="str">
        <f>IF(LEFT(K45,2)="22","20'","40'")</f>
        <v>20'</v>
      </c>
      <c r="S45" s="101"/>
      <c r="T45" s="61" t="str">
        <f>VLOOKUP(A45,'1.Loading'!A:R,2,FALSE)</f>
        <v>2026-10-14</v>
      </c>
      <c r="U45" s="63">
        <f>T45-S45</f>
        <v>46309</v>
      </c>
      <c r="V45" s="104"/>
      <c r="W45" s="61" t="str">
        <f>VLOOKUP(A45,'3.GateMove'!A:D,4,FALSE)</f>
        <v>2026-10-09</v>
      </c>
      <c r="X45" s="63">
        <f>((T45-W45)+1)</f>
        <v>6</v>
      </c>
      <c r="Y45" s="64">
        <f>IF(M45="DG",1,IF(C45="LCH04",7,IF(C45="LCH01",7,IF(C45="LCH03",7,IF(C45="LCH03",7,IF(C45="LCH05",7,IF(C45="LCH06",7,IF(C45="LCH10",7,IF(C45="BKK02",5,3)))))))))</f>
        <v>5</v>
      </c>
      <c r="Z45" s="63">
        <f>IF(IF(AND(AC45="TML",AB45&gt;0),((T45-W45)+1)-AB45,((T45-W45)+1)-Y45)&gt;0,IF(AND(AC45="TML",AB45&gt;0),((T45-W45)+1)-AB45,((T45-W45)+1)-Y45),0)</f>
        <v>1</v>
      </c>
      <c r="AA45" s="120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50</v>
      </c>
      <c r="AB45" s="4"/>
      <c r="AC45" s="4"/>
      <c r="AD45" s="60">
        <f>IF(M45="DG",3,IF(N45="RF",3,5))+IF(AND(LEFT(C45,3)="BKK",N45="RF",Q45="KTS"),1,0)+IF(Q45="KHS",1,0)</f>
        <v>5</v>
      </c>
      <c r="AE45" s="63">
        <f>(T45-V45)+1</f>
        <v>46310</v>
      </c>
      <c r="AF45" s="63">
        <f>IF(AB45&gt;IF((V45-W45)&gt;0,V45-W45,0),0,IF(AB45&lt;IF((V45-W45)&gt;0,V45-W45,0),IF((V45-W45)&gt;0,V45-W45,0)-AB45,IF((V45-W45)&gt;0,V45-W45,0)))</f>
        <v>0</v>
      </c>
      <c r="AG45" s="120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/>
      <c r="AI45" s="93">
        <f>AA45-AH45</f>
        <v>50</v>
      </c>
      <c r="AJ45" s="70"/>
      <c r="AK45" s="62" t="str">
        <f>VLOOKUP(D45,'2.Bookinglist'!A:CT,40,FALSE)</f>
        <v>Nannaapust Sukporntaweewat</v>
      </c>
      <c r="AL45" s="60" t="str">
        <f>VLOOKUP(D45,'2.Bookinglist'!A:CW,101,FALSE)</f>
        <v>2026-10-14</v>
      </c>
      <c r="AM45" s="60" t="str">
        <f>VLOOKUP(D45,'2.Bookinglist'!A:BK,63,FALSE)</f>
        <v>BKK02</v>
      </c>
      <c r="AN45" s="62" t="str">
        <f>VLOOKUP(D45,'2.Bookinglist'!A:AZ,52,FALSE)</f>
        <v xml:space="preserve">STUFFING CARGO @UNITHAI DD.09/10/26 CLS TIME CFS DD.12/10/26 - 17:00HRS.
</v>
      </c>
      <c r="AO45" s="62">
        <f>VLOOKUP(D45,'2.Bookinglist'!A:CY,103,FALSE)</f>
        <v>0</v>
      </c>
    </row>
    <row r="46" spans="1:41" ht="12.95" customHeight="1" x14ac:dyDescent="0.2">
      <c r="A46" s="96" t="s">
        <v>349</v>
      </c>
      <c r="B46" s="4" t="str">
        <f>IF(C46=Charge!$M$1,Charge!$J$1,IF(C46=Charge!$M$23,Charge!$J$23,IF(C46=Charge!$M$17,Charge!$J$17,IF(C46=Charge!$N$17,Charge!$J$17,Charge!$J$7))))</f>
        <v>G4</v>
      </c>
      <c r="C46" s="61" t="str">
        <f>VLOOKUP(A46,'1.Loading'!A:R,14,FALSE)</f>
        <v>BKK02</v>
      </c>
      <c r="D46" s="61" t="str">
        <f>VLOOKUP(A46,'1.Loading'!A:R,17,FALSE)</f>
        <v>HASLS22261000609</v>
      </c>
      <c r="E46" s="62" t="str">
        <f>VLOOKUP(D46,'2.Bookinglist'!A:CT,27,FALSE)</f>
        <v>WORLDNET EXPRESS CO., LTD.</v>
      </c>
      <c r="F46" s="62" t="str">
        <f>VLOOKUP(D46,'2.Bookinglist'!A:CT,28,FALSE)</f>
        <v>SADESA (THAILAND)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CFS/CY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KUS</v>
      </c>
      <c r="P46" s="61" t="str">
        <f>VLOOKUP(A46,'1.Loading'!A:R,4,FALSE)</f>
        <v>2616N</v>
      </c>
      <c r="Q46" s="61" t="str">
        <f>VLOOKUP(D46,'2.Bookinglist'!A:CT,12,FALSE)</f>
        <v>KST</v>
      </c>
      <c r="R46" s="60" t="str">
        <f>IF(LEFT(K46,2)="22","20'","40'")</f>
        <v>20'</v>
      </c>
      <c r="S46" s="101"/>
      <c r="T46" s="61" t="str">
        <f>VLOOKUP(A46,'1.Loading'!A:R,2,FALSE)</f>
        <v>2026-10-14</v>
      </c>
      <c r="U46" s="63">
        <f>T46-S46</f>
        <v>46309</v>
      </c>
      <c r="V46" s="104"/>
      <c r="W46" s="61" t="str">
        <f>VLOOKUP(A46,'3.GateMove'!A:D,4,FALSE)</f>
        <v>2026-10-09</v>
      </c>
      <c r="X46" s="63">
        <f>((T46-W46)+1)</f>
        <v>6</v>
      </c>
      <c r="Y46" s="64">
        <f>IF(M46="DG",1,IF(C46="LCH04",7,IF(C46="LCH01",7,IF(C46="LCH03",7,IF(C46="LCH03",7,IF(C46="LCH05",7,IF(C46="LCH06",7,IF(C46="LCH10",7,IF(C46="BKK02",5,3)))))))))</f>
        <v>5</v>
      </c>
      <c r="Z46" s="63">
        <f>IF(IF(AND(AC46="TML",AB46&gt;0),((T46-W46)+1)-AB46,((T46-W46)+1)-Y46)&gt;0,IF(AND(AC46="TML",AB46&gt;0),((T46-W46)+1)-AB46,((T46-W46)+1)-Y46),0)</f>
        <v>1</v>
      </c>
      <c r="AA46" s="120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50</v>
      </c>
      <c r="AB46" s="4"/>
      <c r="AC46" s="4"/>
      <c r="AD46" s="60">
        <f>IF(M46="DG",3,IF(N46="RF",3,5))+IF(AND(LEFT(C46,3)="BKK",N46="RF",Q46="KTS"),1,0)+IF(Q46="KHS",1,0)</f>
        <v>5</v>
      </c>
      <c r="AE46" s="63">
        <f>(T46-V46)+1</f>
        <v>46310</v>
      </c>
      <c r="AF46" s="63">
        <f>IF(AB46&gt;IF((V46-W46)&gt;0,V46-W46,0),0,IF(AB46&lt;IF((V46-W46)&gt;0,V46-W46,0),IF((V46-W46)&gt;0,V46-W46,0)-AB46,IF((V46-W46)&gt;0,V46-W46,0)))</f>
        <v>0</v>
      </c>
      <c r="AG46" s="120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/>
      <c r="AI46" s="93">
        <f>AA46-AH46</f>
        <v>50</v>
      </c>
      <c r="AJ46" s="70"/>
      <c r="AK46" s="62" t="str">
        <f>VLOOKUP(D46,'2.Bookinglist'!A:CT,40,FALSE)</f>
        <v>Kanokporn</v>
      </c>
      <c r="AL46" s="60" t="str">
        <f>VLOOKUP(D46,'2.Bookinglist'!A:CW,101,FALSE)</f>
        <v>2026-10-15</v>
      </c>
      <c r="AM46" s="60" t="str">
        <f>VLOOKUP(D46,'2.Bookinglist'!A:BK,63,FALSE)</f>
        <v>BKK02</v>
      </c>
      <c r="AN46" s="62" t="str">
        <f>VLOOKUP(D46,'2.Bookinglist'!A:AZ,52,FALSE)</f>
        <v xml:space="preserve">STUFFING @ UNITHAI DD 09/10/26 CLS TIME 12/10 @17.00HRS 
</v>
      </c>
      <c r="AO46" s="62">
        <f>VLOOKUP(D46,'2.Bookinglist'!A:CY,103,FALSE)</f>
        <v>0</v>
      </c>
    </row>
    <row r="47" spans="1:41" ht="12.95" customHeight="1" x14ac:dyDescent="0.2">
      <c r="A47" s="96" t="s">
        <v>394</v>
      </c>
      <c r="B47" s="4" t="str">
        <f>IF(C47=Charge!$M$1,Charge!$J$1,IF(C47=Charge!$M$23,Charge!$J$23,IF(C47=Charge!$M$17,Charge!$J$17,IF(C47=Charge!$N$17,Charge!$J$17,Charge!$J$7))))</f>
        <v>G4</v>
      </c>
      <c r="C47" s="61" t="str">
        <f>VLOOKUP(A47,'1.Loading'!A:R,14,FALSE)</f>
        <v>BKK02</v>
      </c>
      <c r="D47" s="61" t="str">
        <f>VLOOKUP(A47,'1.Loading'!A:R,17,FALSE)</f>
        <v>HASLS22260900810</v>
      </c>
      <c r="E47" s="62" t="str">
        <f>VLOOKUP(D47,'2.Bookinglist'!A:CT,27,FALSE)</f>
        <v>YOUNGSUWAT TRADING CO.,LTD.</v>
      </c>
      <c r="F47" s="62" t="str">
        <f>VLOOKUP(D47,'2.Bookinglist'!A:CT,28,FALSE)</f>
        <v>YOUNGSUWAT TRADING CO.,LTD.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JPTKS</v>
      </c>
      <c r="J47" s="61" t="str">
        <f>VLOOKUP(D47,'2.Bookinglist'!A:CT,26,FALSE)</f>
        <v>KRPUS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KUS</v>
      </c>
      <c r="P47" s="61" t="str">
        <f>VLOOKUP(A47,'1.Loading'!A:R,4,FALSE)</f>
        <v>2616N</v>
      </c>
      <c r="Q47" s="61" t="str">
        <f>VLOOKUP(D47,'2.Bookinglist'!A:CT,12,FALSE)</f>
        <v>KST</v>
      </c>
      <c r="R47" s="60" t="str">
        <f>IF(LEFT(K47,2)="22","20'","40'")</f>
        <v>40'</v>
      </c>
      <c r="S47" s="101"/>
      <c r="T47" s="61" t="str">
        <f>VLOOKUP(A47,'1.Loading'!A:R,2,FALSE)</f>
        <v>2026-10-14</v>
      </c>
      <c r="U47" s="63">
        <f>T47-S47</f>
        <v>46309</v>
      </c>
      <c r="V47" s="104"/>
      <c r="W47" s="61" t="str">
        <f>VLOOKUP(A47,'3.GateMove'!A:D,4,FALSE)</f>
        <v>2026-10-11</v>
      </c>
      <c r="X47" s="63">
        <f>((T47-W47)+1)</f>
        <v>4</v>
      </c>
      <c r="Y47" s="64">
        <f>IF(M47="DG",1,IF(C47="LCH04",7,IF(C47="LCH01",7,IF(C47="LCH03",7,IF(C47="LCH03",7,IF(C47="LCH05",7,IF(C47="LCH06",7,IF(C47="LCH10",7,IF(C47="BKK02",5,3)))))))))</f>
        <v>5</v>
      </c>
      <c r="Z47" s="63">
        <f>IF(IF(AND(AC47="TML",AB47&gt;0),((T47-W47)+1)-AB47,((T47-W47)+1)-Y47)&gt;0,IF(AND(AC47="TML",AB47&gt;0),((T47-W47)+1)-AB47,((T47-W47)+1)-Y47),0)</f>
        <v>0</v>
      </c>
      <c r="AA47" s="120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4"/>
      <c r="AC47" s="4"/>
      <c r="AD47" s="60">
        <f>IF(M47="DG",3,IF(N47="RF",3,5))+IF(AND(LEFT(C47,3)="BKK",N47="RF",Q47="KTS"),1,0)+IF(Q47="KHS",1,0)</f>
        <v>5</v>
      </c>
      <c r="AE47" s="63">
        <f>(T47-V47)+1</f>
        <v>46310</v>
      </c>
      <c r="AF47" s="63">
        <f>IF(AB47&gt;IF((V47-W47)&gt;0,V47-W47,0),0,IF(AB47&lt;IF((V47-W47)&gt;0,V47-W47,0),IF((V47-W47)&gt;0,V47-W47,0)-AB47,IF((V47-W47)&gt;0,V47-W47,0)))</f>
        <v>0</v>
      </c>
      <c r="AG47" s="120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/>
      <c r="AI47" s="93">
        <f>AA47-AH47</f>
        <v>0</v>
      </c>
      <c r="AJ47" s="70"/>
      <c r="AK47" s="62" t="str">
        <f>VLOOKUP(D47,'2.Bookinglist'!A:CT,40,FALSE)</f>
        <v>Vilaiporn</v>
      </c>
      <c r="AL47" s="60" t="str">
        <f>VLOOKUP(D47,'2.Bookinglist'!A:CW,101,FALSE)</f>
        <v>2026-10-13</v>
      </c>
      <c r="AM47" s="60" t="str">
        <f>VLOOKUP(D47,'2.Bookinglist'!A:BK,63,FALSE)</f>
        <v>BKK27</v>
      </c>
      <c r="AN47" s="62" t="str">
        <f>VLOOKUP(D47,'2.Bookinglist'!A:AZ,52,FALSE)</f>
        <v>Pickup : 2026-10-08, Return : 2026-10-09</v>
      </c>
      <c r="AO47" s="62">
        <f>VLOOKUP(D47,'2.Bookinglist'!A:CY,103,FALSE)</f>
        <v>0</v>
      </c>
    </row>
    <row r="48" spans="1:41" ht="12.95" customHeight="1" x14ac:dyDescent="0.2">
      <c r="A48" s="96" t="s">
        <v>410</v>
      </c>
      <c r="B48" s="4" t="str">
        <f>IF(C48=Charge!$M$1,Charge!$J$1,IF(C48=Charge!$M$23,Charge!$J$23,IF(C48=Charge!$M$17,Charge!$J$17,IF(C48=Charge!$N$17,Charge!$J$17,Charge!$J$7))))</f>
        <v>G4</v>
      </c>
      <c r="C48" s="61" t="str">
        <f>VLOOKUP(A48,'1.Loading'!A:R,14,FALSE)</f>
        <v>BKK02</v>
      </c>
      <c r="D48" s="61" t="str">
        <f>VLOOKUP(A48,'1.Loading'!A:R,17,FALSE)</f>
        <v>HASLS22260900812</v>
      </c>
      <c r="E48" s="62" t="str">
        <f>VLOOKUP(D48,'2.Bookinglist'!A:CT,27,FALSE)</f>
        <v>YOUNGSUWAT TRADING CO.,LTD.</v>
      </c>
      <c r="F48" s="62" t="str">
        <f>VLOOKUP(D48,'2.Bookinglist'!A:CT,28,FALSE)</f>
        <v>YOUNGSUWAT TRADING CO.,LTD.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JPKIJ</v>
      </c>
      <c r="J48" s="61" t="str">
        <f>VLOOKUP(D48,'2.Bookinglist'!A:CT,26,FALSE)</f>
        <v>KRPUS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KUS</v>
      </c>
      <c r="P48" s="61" t="str">
        <f>VLOOKUP(A48,'1.Loading'!A:R,4,FALSE)</f>
        <v>2616N</v>
      </c>
      <c r="Q48" s="61" t="str">
        <f>VLOOKUP(D48,'2.Bookinglist'!A:CT,12,FALSE)</f>
        <v>KST</v>
      </c>
      <c r="R48" s="60" t="str">
        <f>IF(LEFT(K48,2)="22","20'","40'")</f>
        <v>40'</v>
      </c>
      <c r="S48" s="101"/>
      <c r="T48" s="61" t="str">
        <f>VLOOKUP(A48,'1.Loading'!A:R,2,FALSE)</f>
        <v>2026-10-14</v>
      </c>
      <c r="U48" s="63">
        <f>T48-S48</f>
        <v>46309</v>
      </c>
      <c r="V48" s="104"/>
      <c r="W48" s="61" t="str">
        <f>VLOOKUP(A48,'3.GateMove'!A:D,4,FALSE)</f>
        <v>2026-10-11</v>
      </c>
      <c r="X48" s="63">
        <f>((T48-W48)+1)</f>
        <v>4</v>
      </c>
      <c r="Y48" s="64">
        <f>IF(M48="DG",1,IF(C48="LCH04",7,IF(C48="LCH01",7,IF(C48="LCH03",7,IF(C48="LCH03",7,IF(C48="LCH05",7,IF(C48="LCH06",7,IF(C48="LCH10",7,IF(C48="BKK02",5,3)))))))))</f>
        <v>5</v>
      </c>
      <c r="Z48" s="63">
        <f>IF(IF(AND(AC48="TML",AB48&gt;0),((T48-W48)+1)-AB48,((T48-W48)+1)-Y48)&gt;0,IF(AND(AC48="TML",AB48&gt;0),((T48-W48)+1)-AB48,((T48-W48)+1)-Y48),0)</f>
        <v>0</v>
      </c>
      <c r="AA48" s="120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4"/>
      <c r="AC48" s="4"/>
      <c r="AD48" s="60">
        <f>IF(M48="DG",3,IF(N48="RF",3,5))+IF(AND(LEFT(C48,3)="BKK",N48="RF",Q48="KTS"),1,0)+IF(Q48="KHS",1,0)</f>
        <v>5</v>
      </c>
      <c r="AE48" s="63">
        <f>(T48-V48)+1</f>
        <v>46310</v>
      </c>
      <c r="AF48" s="63">
        <f>IF(AB48&gt;IF((V48-W48)&gt;0,V48-W48,0),0,IF(AB48&lt;IF((V48-W48)&gt;0,V48-W48,0),IF((V48-W48)&gt;0,V48-W48,0)-AB48,IF((V48-W48)&gt;0,V48-W48,0)))</f>
        <v>0</v>
      </c>
      <c r="AG48" s="120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/>
      <c r="AI48" s="93">
        <f>AA48-AH48</f>
        <v>0</v>
      </c>
      <c r="AJ48" s="70"/>
      <c r="AK48" s="62" t="str">
        <f>VLOOKUP(D48,'2.Bookinglist'!A:CT,40,FALSE)</f>
        <v>Vilaiporn</v>
      </c>
      <c r="AL48" s="60" t="str">
        <f>VLOOKUP(D48,'2.Bookinglist'!A:CW,101,FALSE)</f>
        <v>2026-10-13</v>
      </c>
      <c r="AM48" s="60" t="str">
        <f>VLOOKUP(D48,'2.Bookinglist'!A:BK,63,FALSE)</f>
        <v>BKK27</v>
      </c>
      <c r="AN48" s="62" t="str">
        <f>VLOOKUP(D48,'2.Bookinglist'!A:AZ,52,FALSE)</f>
        <v>Pickup : 2026-10-08, Return : 2026-10-09</v>
      </c>
      <c r="AO48" s="62">
        <f>VLOOKUP(D48,'2.Bookinglist'!A:CY,103,FALSE)</f>
        <v>0</v>
      </c>
    </row>
    <row r="49" spans="1:41" ht="12.95" customHeight="1" x14ac:dyDescent="0.2">
      <c r="A49" s="96" t="s">
        <v>417</v>
      </c>
      <c r="B49" s="4" t="str">
        <f>IF(C49=Charge!$M$1,Charge!$J$1,IF(C49=Charge!$M$23,Charge!$J$23,IF(C49=Charge!$M$17,Charge!$J$17,IF(C49=Charge!$N$17,Charge!$J$17,Charge!$J$7))))</f>
        <v>G4</v>
      </c>
      <c r="C49" s="61" t="str">
        <f>VLOOKUP(A49,'1.Loading'!A:R,14,FALSE)</f>
        <v>BKK02</v>
      </c>
      <c r="D49" s="61" t="str">
        <f>VLOOKUP(A49,'1.Loading'!A:R,17,FALSE)</f>
        <v>HASLS22260900810</v>
      </c>
      <c r="E49" s="62" t="str">
        <f>VLOOKUP(D49,'2.Bookinglist'!A:CT,27,FALSE)</f>
        <v>YOUNGSUWAT TRADING CO.,LTD.</v>
      </c>
      <c r="F49" s="62" t="str">
        <f>VLOOKUP(D49,'2.Bookinglist'!A:CT,28,FALSE)</f>
        <v>YOUNGSUWAT TRADING CO.,LTD.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JPTKS</v>
      </c>
      <c r="J49" s="61" t="str">
        <f>VLOOKUP(D49,'2.Bookinglist'!A:CT,26,FALSE)</f>
        <v>KRPUS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KUS</v>
      </c>
      <c r="P49" s="61" t="str">
        <f>VLOOKUP(A49,'1.Loading'!A:R,4,FALSE)</f>
        <v>2616N</v>
      </c>
      <c r="Q49" s="61" t="str">
        <f>VLOOKUP(D49,'2.Bookinglist'!A:CT,12,FALSE)</f>
        <v>KST</v>
      </c>
      <c r="R49" s="60" t="str">
        <f>IF(LEFT(K49,2)="22","20'","40'")</f>
        <v>40'</v>
      </c>
      <c r="S49" s="101"/>
      <c r="T49" s="61" t="str">
        <f>VLOOKUP(A49,'1.Loading'!A:R,2,FALSE)</f>
        <v>2026-10-14</v>
      </c>
      <c r="U49" s="63">
        <f>T49-S49</f>
        <v>46309</v>
      </c>
      <c r="V49" s="104"/>
      <c r="W49" s="61" t="str">
        <f>VLOOKUP(A49,'3.GateMove'!A:D,4,FALSE)</f>
        <v>2026-10-11</v>
      </c>
      <c r="X49" s="63">
        <f>((T49-W49)+1)</f>
        <v>4</v>
      </c>
      <c r="Y49" s="64">
        <f>IF(M49="DG",1,IF(C49="LCH04",7,IF(C49="LCH01",7,IF(C49="LCH03",7,IF(C49="LCH03",7,IF(C49="LCH05",7,IF(C49="LCH06",7,IF(C49="LCH10",7,IF(C49="BKK02",5,3)))))))))</f>
        <v>5</v>
      </c>
      <c r="Z49" s="63">
        <f>IF(IF(AND(AC49="TML",AB49&gt;0),((T49-W49)+1)-AB49,((T49-W49)+1)-Y49)&gt;0,IF(AND(AC49="TML",AB49&gt;0),((T49-W49)+1)-AB49,((T49-W49)+1)-Y49),0)</f>
        <v>0</v>
      </c>
      <c r="AA49" s="120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4"/>
      <c r="AC49" s="4"/>
      <c r="AD49" s="60">
        <f>IF(M49="DG",3,IF(N49="RF",3,5))+IF(AND(LEFT(C49,3)="BKK",N49="RF",Q49="KTS"),1,0)+IF(Q49="KHS",1,0)</f>
        <v>5</v>
      </c>
      <c r="AE49" s="63">
        <f>(T49-V49)+1</f>
        <v>46310</v>
      </c>
      <c r="AF49" s="63">
        <f>IF(AB49&gt;IF((V49-W49)&gt;0,V49-W49,0),0,IF(AB49&lt;IF((V49-W49)&gt;0,V49-W49,0),IF((V49-W49)&gt;0,V49-W49,0)-AB49,IF((V49-W49)&gt;0,V49-W49,0)))</f>
        <v>0</v>
      </c>
      <c r="AG49" s="120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/>
      <c r="AI49" s="93">
        <f>AA49-AH49</f>
        <v>0</v>
      </c>
      <c r="AJ49" s="70"/>
      <c r="AK49" s="62" t="str">
        <f>VLOOKUP(D49,'2.Bookinglist'!A:CT,40,FALSE)</f>
        <v>Vilaiporn</v>
      </c>
      <c r="AL49" s="60" t="str">
        <f>VLOOKUP(D49,'2.Bookinglist'!A:CW,101,FALSE)</f>
        <v>2026-10-13</v>
      </c>
      <c r="AM49" s="60" t="str">
        <f>VLOOKUP(D49,'2.Bookinglist'!A:BK,63,FALSE)</f>
        <v>BKK27</v>
      </c>
      <c r="AN49" s="62" t="str">
        <f>VLOOKUP(D49,'2.Bookinglist'!A:AZ,52,FALSE)</f>
        <v>Pickup : 2026-10-08, Return : 2026-10-09</v>
      </c>
      <c r="AO49" s="62">
        <f>VLOOKUP(D49,'2.Bookinglist'!A:CY,103,FALSE)</f>
        <v>0</v>
      </c>
    </row>
    <row r="50" spans="1:41" ht="12.95" customHeight="1" x14ac:dyDescent="0.2">
      <c r="A50" s="96" t="s">
        <v>430</v>
      </c>
      <c r="B50" s="4" t="str">
        <f>IF(C50=Charge!$M$1,Charge!$J$1,IF(C50=Charge!$M$23,Charge!$J$23,IF(C50=Charge!$M$17,Charge!$J$17,IF(C50=Charge!$N$17,Charge!$J$17,Charge!$J$7))))</f>
        <v>G4</v>
      </c>
      <c r="C50" s="61" t="str">
        <f>VLOOKUP(A50,'1.Loading'!A:R,14,FALSE)</f>
        <v>BKK02</v>
      </c>
      <c r="D50" s="61" t="str">
        <f>VLOOKUP(A50,'1.Loading'!A:R,17,FALSE)</f>
        <v>HASLS22260900812</v>
      </c>
      <c r="E50" s="62" t="str">
        <f>VLOOKUP(D50,'2.Bookinglist'!A:CT,27,FALSE)</f>
        <v>YOUNGSUWAT TRADING CO.,LTD.</v>
      </c>
      <c r="F50" s="62" t="str">
        <f>VLOOKUP(D50,'2.Bookinglist'!A:CT,28,FALSE)</f>
        <v>YOUNGSUWAT TRADING CO.,LTD.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JPKIJ</v>
      </c>
      <c r="J50" s="61" t="str">
        <f>VLOOKUP(D50,'2.Bookinglist'!A:CT,26,FALSE)</f>
        <v>KRPUS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KUS</v>
      </c>
      <c r="P50" s="61" t="str">
        <f>VLOOKUP(A50,'1.Loading'!A:R,4,FALSE)</f>
        <v>2616N</v>
      </c>
      <c r="Q50" s="61" t="str">
        <f>VLOOKUP(D50,'2.Bookinglist'!A:CT,12,FALSE)</f>
        <v>KST</v>
      </c>
      <c r="R50" s="60" t="str">
        <f>IF(LEFT(K50,2)="22","20'","40'")</f>
        <v>40'</v>
      </c>
      <c r="S50" s="101"/>
      <c r="T50" s="61" t="str">
        <f>VLOOKUP(A50,'1.Loading'!A:R,2,FALSE)</f>
        <v>2026-10-14</v>
      </c>
      <c r="U50" s="63">
        <f>T50-S50</f>
        <v>46309</v>
      </c>
      <c r="V50" s="104"/>
      <c r="W50" s="61" t="str">
        <f>VLOOKUP(A50,'3.GateMove'!A:D,4,FALSE)</f>
        <v>2026-10-11</v>
      </c>
      <c r="X50" s="63">
        <f>((T50-W50)+1)</f>
        <v>4</v>
      </c>
      <c r="Y50" s="64">
        <f>IF(M50="DG",1,IF(C50="LCH04",7,IF(C50="LCH01",7,IF(C50="LCH03",7,IF(C50="LCH03",7,IF(C50="LCH05",7,IF(C50="LCH06",7,IF(C50="LCH10",7,IF(C50="BKK02",5,3)))))))))</f>
        <v>5</v>
      </c>
      <c r="Z50" s="63">
        <f>IF(IF(AND(AC50="TML",AB50&gt;0),((T50-W50)+1)-AB50,((T50-W50)+1)-Y50)&gt;0,IF(AND(AC50="TML",AB50&gt;0),((T50-W50)+1)-AB50,((T50-W50)+1)-Y50),0)</f>
        <v>0</v>
      </c>
      <c r="AA50" s="120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4"/>
      <c r="AC50" s="4"/>
      <c r="AD50" s="60">
        <f>IF(M50="DG",3,IF(N50="RF",3,5))+IF(AND(LEFT(C50,3)="BKK",N50="RF",Q50="KTS"),1,0)+IF(Q50="KHS",1,0)</f>
        <v>5</v>
      </c>
      <c r="AE50" s="63">
        <f>(T50-V50)+1</f>
        <v>46310</v>
      </c>
      <c r="AF50" s="63">
        <f>IF(AB50&gt;IF((V50-W50)&gt;0,V50-W50,0),0,IF(AB50&lt;IF((V50-W50)&gt;0,V50-W50,0),IF((V50-W50)&gt;0,V50-W50,0)-AB50,IF((V50-W50)&gt;0,V50-W50,0)))</f>
        <v>0</v>
      </c>
      <c r="AG50" s="120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/>
      <c r="AI50" s="93">
        <f>AA50-AH50</f>
        <v>0</v>
      </c>
      <c r="AJ50" s="70"/>
      <c r="AK50" s="62" t="str">
        <f>VLOOKUP(D50,'2.Bookinglist'!A:CT,40,FALSE)</f>
        <v>Vilaiporn</v>
      </c>
      <c r="AL50" s="60" t="str">
        <f>VLOOKUP(D50,'2.Bookinglist'!A:CW,101,FALSE)</f>
        <v>2026-10-13</v>
      </c>
      <c r="AM50" s="60" t="str">
        <f>VLOOKUP(D50,'2.Bookinglist'!A:BK,63,FALSE)</f>
        <v>BKK27</v>
      </c>
      <c r="AN50" s="62" t="str">
        <f>VLOOKUP(D50,'2.Bookinglist'!A:AZ,52,FALSE)</f>
        <v>Pickup : 2026-10-08, Return : 2026-10-09</v>
      </c>
      <c r="AO50" s="62">
        <f>VLOOKUP(D50,'2.Bookinglist'!A:CY,103,FALSE)</f>
        <v>0</v>
      </c>
    </row>
    <row r="51" spans="1:41" ht="12.95" customHeight="1" x14ac:dyDescent="0.2">
      <c r="A51" s="96" t="s">
        <v>461</v>
      </c>
      <c r="B51" s="4" t="str">
        <f>IF(C51=Charge!$M$1,Charge!$J$1,IF(C51=Charge!$M$23,Charge!$J$23,IF(C51=Charge!$M$17,Charge!$J$17,IF(C51=Charge!$N$17,Charge!$J$17,Charge!$J$7))))</f>
        <v>G4</v>
      </c>
      <c r="C51" s="61" t="str">
        <f>VLOOKUP(A51,'1.Loading'!A:R,14,FALSE)</f>
        <v>BKK02</v>
      </c>
      <c r="D51" s="61" t="str">
        <f>VLOOKUP(A51,'1.Loading'!A:R,17,FALSE)</f>
        <v>HASLS22260900810</v>
      </c>
      <c r="E51" s="62" t="str">
        <f>VLOOKUP(D51,'2.Bookinglist'!A:CT,27,FALSE)</f>
        <v>YOUNGSUWAT TRADING CO.,LTD.</v>
      </c>
      <c r="F51" s="62" t="str">
        <f>VLOOKUP(D51,'2.Bookinglist'!A:CT,28,FALSE)</f>
        <v>YOUNGSUWAT TRADING CO.,LTD.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JPTKS</v>
      </c>
      <c r="J51" s="61" t="str">
        <f>VLOOKUP(D51,'2.Bookinglist'!A:CT,26,FALSE)</f>
        <v>KRPUS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KUS</v>
      </c>
      <c r="P51" s="61" t="str">
        <f>VLOOKUP(A51,'1.Loading'!A:R,4,FALSE)</f>
        <v>2616N</v>
      </c>
      <c r="Q51" s="61" t="str">
        <f>VLOOKUP(D51,'2.Bookinglist'!A:CT,12,FALSE)</f>
        <v>KST</v>
      </c>
      <c r="R51" s="60" t="str">
        <f>IF(LEFT(K51,2)="22","20'","40'")</f>
        <v>40'</v>
      </c>
      <c r="S51" s="101"/>
      <c r="T51" s="61" t="str">
        <f>VLOOKUP(A51,'1.Loading'!A:R,2,FALSE)</f>
        <v>2026-10-14</v>
      </c>
      <c r="U51" s="63">
        <f>T51-S51</f>
        <v>46309</v>
      </c>
      <c r="V51" s="104"/>
      <c r="W51" s="61" t="str">
        <f>VLOOKUP(A51,'3.GateMove'!A:D,4,FALSE)</f>
        <v>2026-10-11</v>
      </c>
      <c r="X51" s="63">
        <f>((T51-W51)+1)</f>
        <v>4</v>
      </c>
      <c r="Y51" s="64">
        <f>IF(M51="DG",1,IF(C51="LCH04",7,IF(C51="LCH01",7,IF(C51="LCH03",7,IF(C51="LCH03",7,IF(C51="LCH05",7,IF(C51="LCH06",7,IF(C51="LCH10",7,IF(C51="BKK02",5,3)))))))))</f>
        <v>5</v>
      </c>
      <c r="Z51" s="63">
        <f>IF(IF(AND(AC51="TML",AB51&gt;0),((T51-W51)+1)-AB51,((T51-W51)+1)-Y51)&gt;0,IF(AND(AC51="TML",AB51&gt;0),((T51-W51)+1)-AB51,((T51-W51)+1)-Y51),0)</f>
        <v>0</v>
      </c>
      <c r="AA51" s="120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4"/>
      <c r="AC51" s="4"/>
      <c r="AD51" s="60">
        <f>IF(M51="DG",3,IF(N51="RF",3,5))+IF(AND(LEFT(C51,3)="BKK",N51="RF",Q51="KTS"),1,0)+IF(Q51="KHS",1,0)</f>
        <v>5</v>
      </c>
      <c r="AE51" s="63">
        <f>(T51-V51)+1</f>
        <v>46310</v>
      </c>
      <c r="AF51" s="63">
        <f>IF(AB51&gt;IF((V51-W51)&gt;0,V51-W51,0),0,IF(AB51&lt;IF((V51-W51)&gt;0,V51-W51,0),IF((V51-W51)&gt;0,V51-W51,0)-AB51,IF((V51-W51)&gt;0,V51-W51,0)))</f>
        <v>0</v>
      </c>
      <c r="AG51" s="120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/>
      <c r="AI51" s="93">
        <f>AA51-AH51</f>
        <v>0</v>
      </c>
      <c r="AJ51" s="70"/>
      <c r="AK51" s="62" t="str">
        <f>VLOOKUP(D51,'2.Bookinglist'!A:CT,40,FALSE)</f>
        <v>Vilaiporn</v>
      </c>
      <c r="AL51" s="60" t="str">
        <f>VLOOKUP(D51,'2.Bookinglist'!A:CW,101,FALSE)</f>
        <v>2026-10-13</v>
      </c>
      <c r="AM51" s="60" t="str">
        <f>VLOOKUP(D51,'2.Bookinglist'!A:BK,63,FALSE)</f>
        <v>BKK27</v>
      </c>
      <c r="AN51" s="62" t="str">
        <f>VLOOKUP(D51,'2.Bookinglist'!A:AZ,52,FALSE)</f>
        <v>Pickup : 2026-10-08, Return : 2026-10-09</v>
      </c>
      <c r="AO51" s="62">
        <f>VLOOKUP(D51,'2.Bookinglist'!A:CY,103,FALSE)</f>
        <v>0</v>
      </c>
    </row>
    <row r="52" spans="1:41" ht="12.95" customHeight="1" x14ac:dyDescent="0.2">
      <c r="A52" s="96" t="s">
        <v>468</v>
      </c>
      <c r="B52" s="4" t="str">
        <f>IF(C52=Charge!$M$1,Charge!$J$1,IF(C52=Charge!$M$23,Charge!$J$23,IF(C52=Charge!$M$17,Charge!$J$17,IF(C52=Charge!$N$17,Charge!$J$17,Charge!$J$7))))</f>
        <v>G4</v>
      </c>
      <c r="C52" s="61" t="str">
        <f>VLOOKUP(A52,'1.Loading'!A:R,14,FALSE)</f>
        <v>BKK02</v>
      </c>
      <c r="D52" s="61" t="str">
        <f>VLOOKUP(A52,'1.Loading'!A:R,17,FALSE)</f>
        <v>HASLS22260900810</v>
      </c>
      <c r="E52" s="62" t="str">
        <f>VLOOKUP(D52,'2.Bookinglist'!A:CT,27,FALSE)</f>
        <v>YOUNGSUWAT TRADING CO.,LTD.</v>
      </c>
      <c r="F52" s="62" t="str">
        <f>VLOOKUP(D52,'2.Bookinglist'!A:CT,28,FALSE)</f>
        <v>YOUNGSUWAT TRADING CO.,LTD.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JPTKS</v>
      </c>
      <c r="J52" s="61" t="str">
        <f>VLOOKUP(D52,'2.Bookinglist'!A:CT,26,FALSE)</f>
        <v>KRPUS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KUS</v>
      </c>
      <c r="P52" s="61" t="str">
        <f>VLOOKUP(A52,'1.Loading'!A:R,4,FALSE)</f>
        <v>2616N</v>
      </c>
      <c r="Q52" s="61" t="str">
        <f>VLOOKUP(D52,'2.Bookinglist'!A:CT,12,FALSE)</f>
        <v>KST</v>
      </c>
      <c r="R52" s="60" t="str">
        <f>IF(LEFT(K52,2)="22","20'","40'")</f>
        <v>40'</v>
      </c>
      <c r="S52" s="101"/>
      <c r="T52" s="61" t="str">
        <f>VLOOKUP(A52,'1.Loading'!A:R,2,FALSE)</f>
        <v>2026-10-14</v>
      </c>
      <c r="U52" s="63">
        <f>T52-S52</f>
        <v>46309</v>
      </c>
      <c r="V52" s="104"/>
      <c r="W52" s="61" t="str">
        <f>VLOOKUP(A52,'3.GateMove'!A:D,4,FALSE)</f>
        <v>2026-10-11</v>
      </c>
      <c r="X52" s="63">
        <f>((T52-W52)+1)</f>
        <v>4</v>
      </c>
      <c r="Y52" s="64">
        <f>IF(M52="DG",1,IF(C52="LCH04",7,IF(C52="LCH01",7,IF(C52="LCH03",7,IF(C52="LCH03",7,IF(C52="LCH05",7,IF(C52="LCH06",7,IF(C52="LCH10",7,IF(C52="BKK02",5,3)))))))))</f>
        <v>5</v>
      </c>
      <c r="Z52" s="63">
        <f>IF(IF(AND(AC52="TML",AB52&gt;0),((T52-W52)+1)-AB52,((T52-W52)+1)-Y52)&gt;0,IF(AND(AC52="TML",AB52&gt;0),((T52-W52)+1)-AB52,((T52-W52)+1)-Y52),0)</f>
        <v>0</v>
      </c>
      <c r="AA52" s="120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4"/>
      <c r="AC52" s="4"/>
      <c r="AD52" s="60">
        <f>IF(M52="DG",3,IF(N52="RF",3,5))+IF(AND(LEFT(C52,3)="BKK",N52="RF",Q52="KTS"),1,0)+IF(Q52="KHS",1,0)</f>
        <v>5</v>
      </c>
      <c r="AE52" s="63">
        <f>(T52-V52)+1</f>
        <v>46310</v>
      </c>
      <c r="AF52" s="63">
        <f>IF(AB52&gt;IF((V52-W52)&gt;0,V52-W52,0),0,IF(AB52&lt;IF((V52-W52)&gt;0,V52-W52,0),IF((V52-W52)&gt;0,V52-W52,0)-AB52,IF((V52-W52)&gt;0,V52-W52,0)))</f>
        <v>0</v>
      </c>
      <c r="AG52" s="120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/>
      <c r="AI52" s="93">
        <f>AA52-AH52</f>
        <v>0</v>
      </c>
      <c r="AJ52" s="70"/>
      <c r="AK52" s="62" t="str">
        <f>VLOOKUP(D52,'2.Bookinglist'!A:CT,40,FALSE)</f>
        <v>Vilaiporn</v>
      </c>
      <c r="AL52" s="60" t="str">
        <f>VLOOKUP(D52,'2.Bookinglist'!A:CW,101,FALSE)</f>
        <v>2026-10-13</v>
      </c>
      <c r="AM52" s="60" t="str">
        <f>VLOOKUP(D52,'2.Bookinglist'!A:BK,63,FALSE)</f>
        <v>BKK27</v>
      </c>
      <c r="AN52" s="62" t="str">
        <f>VLOOKUP(D52,'2.Bookinglist'!A:AZ,52,FALSE)</f>
        <v>Pickup : 2026-10-08, Return : 2026-10-09</v>
      </c>
      <c r="AO52" s="62">
        <f>VLOOKUP(D52,'2.Bookinglist'!A:CY,103,FALSE)</f>
        <v>0</v>
      </c>
    </row>
    <row r="53" spans="1:41" ht="12.95" customHeight="1" x14ac:dyDescent="0.2"/>
    <row r="54" spans="1:41" ht="12.95" customHeight="1" x14ac:dyDescent="0.2"/>
    <row r="55" spans="1:41" ht="12.95" customHeight="1" x14ac:dyDescent="0.2"/>
    <row r="56" spans="1:41" ht="12.95" customHeight="1" x14ac:dyDescent="0.2"/>
    <row r="57" spans="1:41" ht="12.95" customHeight="1" x14ac:dyDescent="0.2"/>
    <row r="58" spans="1:41" ht="12.95" customHeight="1" x14ac:dyDescent="0.2"/>
    <row r="59" spans="1:41" ht="12.95" customHeight="1" x14ac:dyDescent="0.2"/>
    <row r="60" spans="1:41" ht="12.95" customHeight="1" x14ac:dyDescent="0.2"/>
    <row r="61" spans="1:41" ht="12.95" customHeight="1" x14ac:dyDescent="0.2"/>
    <row r="62" spans="1:41" ht="12.95" customHeight="1" x14ac:dyDescent="0.2"/>
    <row r="63" spans="1:41" ht="12.95" customHeight="1" x14ac:dyDescent="0.2"/>
    <row r="64" spans="1:41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2" xr:uid="{00000000-0001-0000-0300-000000000000}">
    <sortState xmlns:xlrd2="http://schemas.microsoft.com/office/spreadsheetml/2017/richdata2" ref="A3:AO52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53:A1048576 A1:A2">
    <cfRule type="duplicateValues" dxfId="15" priority="17"/>
  </conditionalFormatting>
  <conditionalFormatting sqref="G2">
    <cfRule type="duplicateValues" dxfId="14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237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238</v>
      </c>
      <c r="L3" s="79" t="s">
        <v>120</v>
      </c>
      <c r="M3" s="81" t="s">
        <v>117</v>
      </c>
      <c r="N3" s="81" t="s">
        <v>239</v>
      </c>
      <c r="O3" s="82" t="s">
        <v>134</v>
      </c>
      <c r="P3" s="82" t="s">
        <v>240</v>
      </c>
      <c r="Q3" s="82" t="s">
        <v>241</v>
      </c>
      <c r="R3" s="83" t="s">
        <v>242</v>
      </c>
      <c r="S3" s="82" t="s">
        <v>138</v>
      </c>
      <c r="T3" s="84" t="s">
        <v>243</v>
      </c>
      <c r="U3" s="83" t="s">
        <v>245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3" priority="5"/>
  </conditionalFormatting>
  <conditionalFormatting sqref="A653:A661">
    <cfRule type="duplicateValues" dxfId="12" priority="8"/>
  </conditionalFormatting>
  <conditionalFormatting sqref="C563:C652">
    <cfRule type="duplicateValues" dxfId="11" priority="6"/>
  </conditionalFormatting>
  <conditionalFormatting sqref="C653:C661">
    <cfRule type="duplicateValues" dxfId="10" priority="9"/>
  </conditionalFormatting>
  <conditionalFormatting sqref="L563:L1048576">
    <cfRule type="cellIs" dxfId="9" priority="2" operator="greaterThan">
      <formula>0</formula>
    </cfRule>
  </conditionalFormatting>
  <conditionalFormatting sqref="O563:O66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237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238</v>
      </c>
      <c r="L3" s="79" t="s">
        <v>120</v>
      </c>
      <c r="M3" s="81" t="s">
        <v>117</v>
      </c>
      <c r="N3" s="81" t="s">
        <v>239</v>
      </c>
      <c r="O3" s="82" t="s">
        <v>134</v>
      </c>
      <c r="P3" s="82" t="s">
        <v>240</v>
      </c>
      <c r="Q3" s="82" t="s">
        <v>241</v>
      </c>
      <c r="R3" s="83" t="s">
        <v>242</v>
      </c>
      <c r="S3" s="82" t="s">
        <v>138</v>
      </c>
      <c r="T3" s="84" t="s">
        <v>243</v>
      </c>
      <c r="U3" s="83" t="s">
        <v>245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7" priority="5"/>
  </conditionalFormatting>
  <conditionalFormatting sqref="A566:A574">
    <cfRule type="duplicateValues" dxfId="6" priority="8"/>
  </conditionalFormatting>
  <conditionalFormatting sqref="C476:C565">
    <cfRule type="duplicateValues" dxfId="5" priority="6"/>
  </conditionalFormatting>
  <conditionalFormatting sqref="C566:C574">
    <cfRule type="duplicateValues" dxfId="4" priority="9"/>
  </conditionalFormatting>
  <conditionalFormatting sqref="L476:L1048576">
    <cfRule type="cellIs" dxfId="3" priority="2" operator="greaterThan">
      <formula>0</formula>
    </cfRule>
  </conditionalFormatting>
  <conditionalFormatting sqref="O476:O57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54" t="s">
        <v>246</v>
      </c>
      <c r="B1" s="154"/>
      <c r="C1" s="154"/>
      <c r="D1" s="154"/>
      <c r="E1" s="154"/>
      <c r="F1" s="154" t="s">
        <v>125</v>
      </c>
      <c r="G1" s="154"/>
      <c r="H1" s="154" t="s">
        <v>64</v>
      </c>
      <c r="I1" s="154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54" t="s">
        <v>246</v>
      </c>
      <c r="B7" s="154"/>
      <c r="C7" s="154"/>
      <c r="D7" s="154"/>
      <c r="E7" s="154"/>
      <c r="F7" s="154" t="s">
        <v>125</v>
      </c>
      <c r="G7" s="154"/>
      <c r="H7" s="154" t="s">
        <v>64</v>
      </c>
      <c r="I7" s="154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28" t="s">
        <v>279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54" t="s">
        <v>246</v>
      </c>
      <c r="B17" s="154"/>
      <c r="C17" s="154"/>
      <c r="D17" s="154"/>
      <c r="E17" s="154"/>
      <c r="F17" s="154" t="s">
        <v>125</v>
      </c>
      <c r="G17" s="154"/>
      <c r="H17" s="154" t="s">
        <v>64</v>
      </c>
      <c r="I17" s="154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54" t="s">
        <v>246</v>
      </c>
      <c r="B23" s="154"/>
      <c r="C23" s="154"/>
      <c r="D23" s="154"/>
      <c r="E23" s="154"/>
      <c r="F23" s="154" t="s">
        <v>125</v>
      </c>
      <c r="G23" s="154"/>
      <c r="H23" s="154" t="s">
        <v>64</v>
      </c>
      <c r="I23" s="154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28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2026-10-14T04:31:59Z</dcterms:modified>
</cp:coreProperties>
</file>