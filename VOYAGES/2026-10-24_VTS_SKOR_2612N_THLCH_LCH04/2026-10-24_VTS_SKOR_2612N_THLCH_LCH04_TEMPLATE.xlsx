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BMOU4936854</t>
        </is>
      </c>
      <c r="B2" s="161" t="inlineStr">
        <is>
          <t>2026-10-24</t>
        </is>
      </c>
      <c r="C2" s="96" t="inlineStr">
        <is>
          <t>SKOR</t>
        </is>
      </c>
      <c r="D2" s="96" t="inlineStr">
        <is>
          <t>2612N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KRPUS</t>
        </is>
      </c>
      <c r="J2" s="96" t="inlineStr">
        <is>
          <t>KRPUS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HASLS22261001127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K0121028</t>
        </is>
      </c>
      <c r="W2" s="96" t="inlineStr">
        <is>
          <t>LOGISALL (THAILAND) CO.,LTD</t>
        </is>
      </c>
      <c r="X2" s="96" t="inlineStr">
        <is>
          <t>VFD</t>
        </is>
      </c>
      <c r="Y2" s="96" t="inlineStr">
        <is>
          <t>HANSOL LOGISTICS CO.,LTD</t>
        </is>
      </c>
      <c r="Z2" s="96" t="inlineStr">
        <is>
          <t>HANSOL LOGISTICS CO.,LTD</t>
        </is>
      </c>
      <c r="AA2" s="97" t="n">
        <v>5479.35</v>
      </c>
      <c r="AB2" s="96" t="inlineStr">
        <is>
          <t>LCH04</t>
        </is>
      </c>
      <c r="AC2" s="96" t="inlineStr">
        <is>
          <t>PUSH4</t>
        </is>
      </c>
    </row>
    <row r="3" ht="12" customHeight="1">
      <c r="A3" s="96" t="inlineStr">
        <is>
          <t>FBIU5092501</t>
        </is>
      </c>
      <c r="B3" s="161" t="inlineStr">
        <is>
          <t>2026-10-24</t>
        </is>
      </c>
      <c r="C3" s="96" t="inlineStr">
        <is>
          <t>SKOR</t>
        </is>
      </c>
      <c r="D3" s="96" t="inlineStr">
        <is>
          <t>2612N</t>
        </is>
      </c>
      <c r="E3" s="96" t="inlineStr">
        <is>
          <t>45RE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CNXMN</t>
        </is>
      </c>
      <c r="J3" s="96" t="inlineStr">
        <is>
          <t>CNXMN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HASLS22261000754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K0120025</t>
        </is>
      </c>
      <c r="W3" s="96" t="inlineStr">
        <is>
          <t>GOLDEN SEA FROZEN FOODS CO.,LTD.</t>
        </is>
      </c>
      <c r="X3" s="96" t="inlineStr">
        <is>
          <t>VFD</t>
        </is>
      </c>
      <c r="Y3" s="96" t="inlineStr">
        <is>
          <t>XIAMEN BOYUANSHUN TRADE AGENT</t>
        </is>
      </c>
      <c r="Z3" s="96" t="inlineStr">
        <is>
          <t>XIAMEN BOYUANSHUN TRADE AGENT</t>
        </is>
      </c>
      <c r="AA3" s="97" t="n">
        <v>27399.1</v>
      </c>
      <c r="AB3" s="96" t="inlineStr">
        <is>
          <t>LCH04</t>
        </is>
      </c>
      <c r="AC3" s="96" t="inlineStr">
        <is>
          <t>XMN01</t>
        </is>
      </c>
    </row>
    <row r="4" ht="12" customHeight="1">
      <c r="A4" s="96" t="inlineStr">
        <is>
          <t>HALU2033196</t>
        </is>
      </c>
      <c r="B4" s="161" t="inlineStr">
        <is>
          <t>2026-10-24</t>
        </is>
      </c>
      <c r="C4" s="96" t="inlineStr">
        <is>
          <t>SKOR</t>
        </is>
      </c>
      <c r="D4" s="96" t="inlineStr">
        <is>
          <t>2612N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CNXMN</t>
        </is>
      </c>
      <c r="J4" s="96" t="inlineStr">
        <is>
          <t>CNXMN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HASLS22261000845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TXG14011</t>
        </is>
      </c>
      <c r="W4" s="96" t="inlineStr">
        <is>
          <t>DIMERCO EXPRESS (THAILAND) CO.,LTD.</t>
        </is>
      </c>
      <c r="X4" s="96" t="inlineStr">
        <is>
          <t>VED</t>
        </is>
      </c>
      <c r="Y4" s="96" t="inlineStr">
        <is>
          <t>DIVERSIFIED INTERNATIONAL</t>
        </is>
      </c>
      <c r="Z4" s="96" t="inlineStr">
        <is>
          <t>DIVERSIFIED INTERNATIONAL</t>
        </is>
      </c>
      <c r="AA4" s="97" t="n">
        <v>1508.8</v>
      </c>
      <c r="AB4" s="96" t="inlineStr">
        <is>
          <t>LCH04</t>
        </is>
      </c>
      <c r="AC4" s="96" t="inlineStr">
        <is>
          <t>XMN01</t>
        </is>
      </c>
    </row>
    <row r="5" ht="12" customHeight="1">
      <c r="A5" s="96" t="inlineStr">
        <is>
          <t>HALU2358437</t>
        </is>
      </c>
      <c r="B5" s="161" t="inlineStr">
        <is>
          <t>2026-10-24</t>
        </is>
      </c>
      <c r="C5" s="96" t="inlineStr">
        <is>
          <t>SKOR</t>
        </is>
      </c>
      <c r="D5" s="96" t="inlineStr">
        <is>
          <t>2612N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HASLS22261001241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C0123009</t>
        </is>
      </c>
      <c r="W5" s="96" t="inlineStr">
        <is>
          <t>DOLPHIN LOGISTICS (THAILAND)</t>
        </is>
      </c>
      <c r="X5" s="96" t="inlineStr">
        <is>
          <t>VFD</t>
        </is>
      </c>
      <c r="Y5" s="96" t="inlineStr">
        <is>
          <t>DRACO LOGISTICS CO.,LTD.</t>
        </is>
      </c>
      <c r="Z5" s="96" t="inlineStr">
        <is>
          <t>DRACO LOGISTICS CO.,LTD.</t>
        </is>
      </c>
      <c r="AA5" s="97" t="n">
        <v>1074.19</v>
      </c>
      <c r="AB5" s="96" t="inlineStr">
        <is>
          <t>LCH04</t>
        </is>
      </c>
      <c r="AC5" s="96" t="inlineStr">
        <is>
          <t>HKG03</t>
        </is>
      </c>
    </row>
    <row r="6" ht="12" customHeight="1">
      <c r="A6" s="96" t="inlineStr">
        <is>
          <t>HALU2506642</t>
        </is>
      </c>
      <c r="B6" s="161" t="inlineStr">
        <is>
          <t>2026-10-24</t>
        </is>
      </c>
      <c r="C6" s="96" t="inlineStr">
        <is>
          <t>SKOR</t>
        </is>
      </c>
      <c r="D6" s="96" t="inlineStr">
        <is>
          <t>2612N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HKHKG</t>
        </is>
      </c>
      <c r="J6" s="96" t="inlineStr">
        <is>
          <t>HKHKG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HASLS22260802422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C0125002</t>
        </is>
      </c>
      <c r="W6" s="96" t="inlineStr">
        <is>
          <t>SIAM DEL MONTE CO., LTD.</t>
        </is>
      </c>
      <c r="X6" s="96" t="inlineStr">
        <is>
          <t>VFD</t>
        </is>
      </c>
      <c r="Y6" s="96" t="inlineStr">
        <is>
          <t>KLN TRADE SOLUTIONS (HONG KONG)</t>
        </is>
      </c>
      <c r="Z6" s="96" t="inlineStr">
        <is>
          <t>KLN TRADE SOLUTIONS (HONG KONG)</t>
        </is>
      </c>
      <c r="AA6" s="97" t="n">
        <v>21816</v>
      </c>
      <c r="AB6" s="96" t="inlineStr">
        <is>
          <t>LCH04</t>
        </is>
      </c>
      <c r="AC6" s="96" t="inlineStr">
        <is>
          <t>HKG03</t>
        </is>
      </c>
    </row>
    <row r="7" ht="12" customHeight="1">
      <c r="A7" s="96" t="inlineStr">
        <is>
          <t>HALU2515412</t>
        </is>
      </c>
      <c r="B7" s="161" t="inlineStr">
        <is>
          <t>2026-10-24</t>
        </is>
      </c>
      <c r="C7" s="96" t="inlineStr">
        <is>
          <t>SKOR</t>
        </is>
      </c>
      <c r="D7" s="96" t="inlineStr">
        <is>
          <t>2612N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HASLS22260901727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C0125002</t>
        </is>
      </c>
      <c r="W7" s="96" t="inlineStr">
        <is>
          <t>SIAM DEL MONTE CO., LTD.</t>
        </is>
      </c>
      <c r="X7" s="96" t="inlineStr">
        <is>
          <t>VED</t>
        </is>
      </c>
      <c r="Y7" s="96" t="inlineStr">
        <is>
          <t>WELL SYNERGY INTERNATIONAL LTD</t>
        </is>
      </c>
      <c r="Z7" s="96" t="inlineStr">
        <is>
          <t>WELL SYNERGY INTERNATIONAL LTD</t>
        </is>
      </c>
      <c r="AA7" s="97" t="n">
        <v>21816</v>
      </c>
      <c r="AB7" s="96" t="inlineStr">
        <is>
          <t>LCH04</t>
        </is>
      </c>
      <c r="AC7" s="96" t="inlineStr">
        <is>
          <t>HKG03</t>
        </is>
      </c>
    </row>
    <row r="8" ht="12" customHeight="1">
      <c r="A8" s="96" t="inlineStr">
        <is>
          <t>HALU2560807</t>
        </is>
      </c>
      <c r="B8" s="161" t="inlineStr">
        <is>
          <t>2026-10-24</t>
        </is>
      </c>
      <c r="C8" s="96" t="inlineStr">
        <is>
          <t>SKOR</t>
        </is>
      </c>
      <c r="D8" s="96" t="inlineStr">
        <is>
          <t>2612N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HASLS22260901730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C0325006</t>
        </is>
      </c>
      <c r="W8" s="96" t="inlineStr">
        <is>
          <t>SIAM DEL MONTE CO., LTD.</t>
        </is>
      </c>
      <c r="X8" s="96" t="inlineStr">
        <is>
          <t>VED</t>
        </is>
      </c>
      <c r="Y8" s="96" t="inlineStr">
        <is>
          <t>WELL SYNERGY INTERNATIONAL LTD</t>
        </is>
      </c>
      <c r="Z8" s="96" t="inlineStr">
        <is>
          <t>WELL SYNERGY INTERNATIONAL LTD</t>
        </is>
      </c>
      <c r="AA8" s="97" t="n">
        <v>21816</v>
      </c>
      <c r="AB8" s="96" t="inlineStr">
        <is>
          <t>LCH04</t>
        </is>
      </c>
      <c r="AC8" s="96" t="inlineStr">
        <is>
          <t>HKG03</t>
        </is>
      </c>
    </row>
    <row r="9" ht="12" customHeight="1">
      <c r="A9" s="96" t="inlineStr">
        <is>
          <t>HALU2569105</t>
        </is>
      </c>
      <c r="B9" s="161" t="inlineStr">
        <is>
          <t>2026-10-24</t>
        </is>
      </c>
      <c r="C9" s="96" t="inlineStr">
        <is>
          <t>SKOR</t>
        </is>
      </c>
      <c r="D9" s="96" t="inlineStr">
        <is>
          <t>2612N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HASLS22260802423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C0325006</t>
        </is>
      </c>
      <c r="W9" s="96" t="inlineStr">
        <is>
          <t>SIAM DEL MONTE CO., LTD.</t>
        </is>
      </c>
      <c r="X9" s="96" t="inlineStr">
        <is>
          <t>VFD</t>
        </is>
      </c>
      <c r="Y9" s="96" t="inlineStr">
        <is>
          <t>KLN TRADE SOLUTIONS (HONG KONG)</t>
        </is>
      </c>
      <c r="Z9" s="96" t="inlineStr">
        <is>
          <t>KLN TRADE SOLUTIONS (HONG KONG)</t>
        </is>
      </c>
      <c r="AA9" s="97" t="n">
        <v>21816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RFCU2350744</t>
        </is>
      </c>
      <c r="B10" s="161" t="inlineStr">
        <is>
          <t>2026-10-24</t>
        </is>
      </c>
      <c r="C10" s="96" t="inlineStr">
        <is>
          <t>SKOR</t>
        </is>
      </c>
      <c r="D10" s="96" t="inlineStr">
        <is>
          <t>2612N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S/T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HASLS22260902374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SHA16L19</t>
        </is>
      </c>
      <c r="W10" s="96" t="inlineStr">
        <is>
          <t>DOUBLE A (1991) PUBLIC COMPANY</t>
        </is>
      </c>
      <c r="X10" s="96" t="inlineStr">
        <is>
          <t>VED</t>
        </is>
      </c>
      <c r="Y10" s="96" t="inlineStr">
        <is>
          <t>OH360 CO., LTD.</t>
        </is>
      </c>
      <c r="Z10" s="96" t="inlineStr">
        <is>
          <t>OH360 CO., LTD.</t>
        </is>
      </c>
      <c r="AA10" s="97" t="n">
        <v>16258</v>
      </c>
      <c r="AB10" s="96" t="inlineStr">
        <is>
          <t>LCH04</t>
        </is>
      </c>
      <c r="AC10" s="96" t="inlineStr">
        <is>
          <t>HKG03</t>
        </is>
      </c>
    </row>
    <row r="11" ht="12" customHeight="1">
      <c r="A11" s="96" t="inlineStr">
        <is>
          <t>SEGU9784860</t>
        </is>
      </c>
      <c r="B11" s="161" t="inlineStr">
        <is>
          <t>2026-10-24</t>
        </is>
      </c>
      <c r="C11" s="96" t="inlineStr">
        <is>
          <t>SKOR</t>
        </is>
      </c>
      <c r="D11" s="96" t="inlineStr">
        <is>
          <t>2612N</t>
        </is>
      </c>
      <c r="E11" s="96" t="inlineStr">
        <is>
          <t>45RE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HKHKG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HASLS22261000929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K0120025</t>
        </is>
      </c>
      <c r="W11" s="96" t="inlineStr">
        <is>
          <t>AN NAM DRAGON 2017 CO.,LTD.</t>
        </is>
      </c>
      <c r="X11" s="96" t="inlineStr">
        <is>
          <t>VFD</t>
        </is>
      </c>
      <c r="Y11" s="96" t="inlineStr">
        <is>
          <t>XIN THAI XIANG IMPORTS AND</t>
        </is>
      </c>
      <c r="Z11" s="96" t="inlineStr">
        <is>
          <t>XIN THAI XIANG IMPORTS AND</t>
        </is>
      </c>
      <c r="AA11" s="97" t="n">
        <v>23034.3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SKHU8131947</t>
        </is>
      </c>
      <c r="B12" s="161" t="inlineStr">
        <is>
          <t>2026-10-24</t>
        </is>
      </c>
      <c r="C12" s="96" t="inlineStr">
        <is>
          <t>SKOR</t>
        </is>
      </c>
      <c r="D12" s="96" t="inlineStr">
        <is>
          <t>2612N</t>
        </is>
      </c>
      <c r="E12" s="96" t="inlineStr">
        <is>
          <t>45GP</t>
        </is>
      </c>
      <c r="F12" s="96" t="inlineStr">
        <is>
          <t>SD</t>
        </is>
      </c>
      <c r="G12" s="96" t="n"/>
      <c r="H12" s="96" t="inlineStr">
        <is>
          <t>THLCH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HASLS22261000817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K0120023</t>
        </is>
      </c>
      <c r="W12" s="96" t="inlineStr">
        <is>
          <t>DOLPHIN LOGISTICS (THAILAND)</t>
        </is>
      </c>
      <c r="X12" s="96" t="inlineStr">
        <is>
          <t>VFD</t>
        </is>
      </c>
      <c r="Y12" s="96" t="inlineStr">
        <is>
          <t>SIG FAI TRANSPORTATION COMPA</t>
        </is>
      </c>
      <c r="Z12" s="96" t="inlineStr">
        <is>
          <t>SIG FAI TRANSPORTATION COMPANY</t>
        </is>
      </c>
      <c r="AA12" s="97" t="n">
        <v>6563.7</v>
      </c>
      <c r="AB12" s="96" t="inlineStr">
        <is>
          <t>LCH04</t>
        </is>
      </c>
      <c r="AC12" s="96" t="inlineStr">
        <is>
          <t>HKG03</t>
        </is>
      </c>
    </row>
    <row r="13" ht="12" customHeight="1">
      <c r="A13" s="96" t="inlineStr">
        <is>
          <t>SKLU0407338</t>
        </is>
      </c>
      <c r="B13" s="161" t="inlineStr">
        <is>
          <t>2026-10-24</t>
        </is>
      </c>
      <c r="C13" s="96" t="inlineStr">
        <is>
          <t>SKOR</t>
        </is>
      </c>
      <c r="D13" s="96" t="inlineStr">
        <is>
          <t>2612N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HASLS22260902373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K0120021</t>
        </is>
      </c>
      <c r="W13" s="96" t="inlineStr">
        <is>
          <t>DOUBLE A (1991) PUBLIC COMPANY</t>
        </is>
      </c>
      <c r="X13" s="96" t="inlineStr">
        <is>
          <t>VFD</t>
        </is>
      </c>
      <c r="Y13" s="96" t="inlineStr">
        <is>
          <t>OH360 CO., LTD.</t>
        </is>
      </c>
      <c r="Z13" s="96" t="inlineStr">
        <is>
          <t>OH360 CO., LTD.</t>
        </is>
      </c>
      <c r="AA13" s="97" t="n">
        <v>16819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SKLU0711720</t>
        </is>
      </c>
      <c r="B14" s="161" t="inlineStr">
        <is>
          <t>2026-10-24</t>
        </is>
      </c>
      <c r="C14" s="96" t="inlineStr">
        <is>
          <t>SKOR</t>
        </is>
      </c>
      <c r="D14" s="96" t="inlineStr">
        <is>
          <t>2612N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HASLS22260902374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K0120021</t>
        </is>
      </c>
      <c r="W14" s="96" t="inlineStr">
        <is>
          <t>DOUBLE A (1991) PUBLIC COMPANY</t>
        </is>
      </c>
      <c r="X14" s="96" t="inlineStr">
        <is>
          <t>VFD</t>
        </is>
      </c>
      <c r="Y14" s="96" t="inlineStr">
        <is>
          <t>OH360 CO., LTD.</t>
        </is>
      </c>
      <c r="Z14" s="96" t="inlineStr">
        <is>
          <t>OH360 CO., LTD.</t>
        </is>
      </c>
      <c r="AA14" s="97" t="n">
        <v>16819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SKLU0720907</t>
        </is>
      </c>
      <c r="B15" s="161" t="inlineStr">
        <is>
          <t>2026-10-24</t>
        </is>
      </c>
      <c r="C15" s="96" t="inlineStr">
        <is>
          <t>SKOR</t>
        </is>
      </c>
      <c r="D15" s="96" t="inlineStr">
        <is>
          <t>2612N</t>
        </is>
      </c>
      <c r="E15" s="96" t="inlineStr">
        <is>
          <t>22GP</t>
        </is>
      </c>
      <c r="F15" s="96" t="inlineStr">
        <is>
          <t>SD</t>
        </is>
      </c>
      <c r="G15" s="96" t="n"/>
      <c r="H15" s="96" t="inlineStr">
        <is>
          <t>THLCH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HASLS22261000632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K0120021</t>
        </is>
      </c>
      <c r="W15" s="96" t="inlineStr">
        <is>
          <t>YUSEN LOGISTICS (THAILAND) CO., LTD</t>
        </is>
      </c>
      <c r="X15" s="96" t="inlineStr">
        <is>
          <t>VFD</t>
        </is>
      </c>
      <c r="Y15" s="96" t="inlineStr">
        <is>
          <t>YUSEN LOGISTICS (HONG KONG) LTD.</t>
        </is>
      </c>
      <c r="Z15" s="96" t="inlineStr">
        <is>
          <t>YUSEN LOGISTICS (HONG KONG) LTD.</t>
        </is>
      </c>
      <c r="AA15" s="97" t="n">
        <v>19275.99</v>
      </c>
      <c r="AB15" s="96" t="inlineStr">
        <is>
          <t>LCH04</t>
        </is>
      </c>
      <c r="AC15" s="96" t="inlineStr">
        <is>
          <t>HKG03</t>
        </is>
      </c>
    </row>
    <row r="16" ht="12" customHeight="1">
      <c r="A16" s="96" t="inlineStr">
        <is>
          <t>SKLU1000239</t>
        </is>
      </c>
      <c r="B16" s="161" t="inlineStr">
        <is>
          <t>2026-10-24</t>
        </is>
      </c>
      <c r="C16" s="96" t="inlineStr">
        <is>
          <t>SKOR</t>
        </is>
      </c>
      <c r="D16" s="96" t="inlineStr">
        <is>
          <t>2612N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HASLS22260902600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K0120021</t>
        </is>
      </c>
      <c r="W16" s="96" t="inlineStr">
        <is>
          <t>DOUBLE A (1991) PUBLIC COMPANY</t>
        </is>
      </c>
      <c r="X16" s="96" t="inlineStr">
        <is>
          <t>VED</t>
        </is>
      </c>
      <c r="Y16" s="96" t="inlineStr">
        <is>
          <t>TO ORDER</t>
        </is>
      </c>
      <c r="Z16" s="96" t="inlineStr">
        <is>
          <t>DOUBLE A INTERNATIONAL TRADING</t>
        </is>
      </c>
      <c r="AA16" s="97" t="n">
        <v>16819</v>
      </c>
      <c r="AB16" s="96" t="inlineStr">
        <is>
          <t>LCH04</t>
        </is>
      </c>
      <c r="AC16" s="96" t="inlineStr">
        <is>
          <t>HKG03</t>
        </is>
      </c>
    </row>
    <row r="17" ht="12" customHeight="1">
      <c r="A17" s="96" t="inlineStr">
        <is>
          <t>SKLU1520924</t>
        </is>
      </c>
      <c r="B17" s="161" t="inlineStr">
        <is>
          <t>2026-10-24</t>
        </is>
      </c>
      <c r="C17" s="96" t="inlineStr">
        <is>
          <t>SKOR</t>
        </is>
      </c>
      <c r="D17" s="96" t="inlineStr">
        <is>
          <t>2612N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CNTAP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HASLS22261000108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K0120021</t>
        </is>
      </c>
      <c r="W17" s="96" t="inlineStr">
        <is>
          <t>THAI SYNTHETIC RUBBERS COMPANY</t>
        </is>
      </c>
      <c r="X17" s="96" t="inlineStr">
        <is>
          <t>VED</t>
        </is>
      </c>
      <c r="Y17" s="96" t="inlineStr">
        <is>
          <t>DONGGUAN YINGTAI COMMERCE CO.,LTD</t>
        </is>
      </c>
      <c r="Z17" s="96" t="inlineStr">
        <is>
          <t>DONGGUAN YINGTAI COMMERCE CO.,LTD</t>
        </is>
      </c>
      <c r="AA17" s="97" t="n">
        <v>18960</v>
      </c>
      <c r="AB17" s="96" t="inlineStr">
        <is>
          <t>LCH04</t>
        </is>
      </c>
      <c r="AC17" s="96" t="inlineStr">
        <is>
          <t>HKG03</t>
        </is>
      </c>
    </row>
    <row r="18" ht="12" customHeight="1">
      <c r="A18" s="96" t="inlineStr">
        <is>
          <t>SKLU1608893</t>
        </is>
      </c>
      <c r="B18" s="161" t="inlineStr">
        <is>
          <t>2026-10-24</t>
        </is>
      </c>
      <c r="C18" s="96" t="inlineStr">
        <is>
          <t>SKOR</t>
        </is>
      </c>
      <c r="D18" s="96" t="inlineStr">
        <is>
          <t>2612N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HASLS22261000305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K0120021</t>
        </is>
      </c>
      <c r="W18" s="96" t="inlineStr">
        <is>
          <t>THAI POLYACETAL CO.,LTD.</t>
        </is>
      </c>
      <c r="X18" s="96" t="inlineStr">
        <is>
          <t>VED</t>
        </is>
      </c>
      <c r="Y18" s="96" t="inlineStr">
        <is>
          <t>NAGASE (HONG KONG) LIMITED</t>
        </is>
      </c>
      <c r="Z18" s="96" t="inlineStr">
        <is>
          <t>NAGASE (HONG KONG) LIMITED</t>
        </is>
      </c>
      <c r="AA18" s="97" t="n">
        <v>10270</v>
      </c>
      <c r="AB18" s="96" t="inlineStr">
        <is>
          <t>LCH04</t>
        </is>
      </c>
      <c r="AC18" s="96" t="inlineStr">
        <is>
          <t>HKG03</t>
        </is>
      </c>
    </row>
    <row r="19" ht="12" customHeight="1">
      <c r="A19" s="96" t="inlineStr">
        <is>
          <t>SKLU1631580</t>
        </is>
      </c>
      <c r="B19" s="161" t="inlineStr">
        <is>
          <t>2026-10-24</t>
        </is>
      </c>
      <c r="C19" s="96" t="inlineStr">
        <is>
          <t>SKOR</t>
        </is>
      </c>
      <c r="D19" s="96" t="inlineStr">
        <is>
          <t>2612N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HKHKG</t>
        </is>
      </c>
      <c r="J19" s="96" t="inlineStr">
        <is>
          <t>HKHKG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HASLS22260902373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K0120021</t>
        </is>
      </c>
      <c r="W19" s="96" t="inlineStr">
        <is>
          <t>DOUBLE A (1991) PUBLIC COMPANY</t>
        </is>
      </c>
      <c r="X19" s="96" t="inlineStr">
        <is>
          <t>VFD</t>
        </is>
      </c>
      <c r="Y19" s="96" t="inlineStr">
        <is>
          <t>OH360 CO., LTD.</t>
        </is>
      </c>
      <c r="Z19" s="96" t="inlineStr">
        <is>
          <t>OH360 CO., LTD.</t>
        </is>
      </c>
      <c r="AA19" s="97" t="n">
        <v>16818</v>
      </c>
      <c r="AB19" s="96" t="inlineStr">
        <is>
          <t>LCH04</t>
        </is>
      </c>
      <c r="AC19" s="96" t="inlineStr">
        <is>
          <t>HKG03</t>
        </is>
      </c>
    </row>
    <row r="20" ht="12" customHeight="1">
      <c r="A20" s="96" t="inlineStr">
        <is>
          <t>SKLU1985393</t>
        </is>
      </c>
      <c r="B20" s="161" t="inlineStr">
        <is>
          <t>2026-10-24</t>
        </is>
      </c>
      <c r="C20" s="96" t="inlineStr">
        <is>
          <t>SKOR</t>
        </is>
      </c>
      <c r="D20" s="96" t="inlineStr">
        <is>
          <t>2612N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HASLS22260902220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S1620001</t>
        </is>
      </c>
      <c r="W20" s="96" t="inlineStr">
        <is>
          <t>DELTA DAIKI METAL (THAILAND)</t>
        </is>
      </c>
      <c r="X20" s="96" t="inlineStr">
        <is>
          <t>VED</t>
        </is>
      </c>
      <c r="Y20" s="96" t="inlineStr">
        <is>
          <t>KING TAT LOGISTICS LIMITED</t>
        </is>
      </c>
      <c r="Z20" s="96" t="inlineStr">
        <is>
          <t>KING TAT LOGISTICS LIMITED</t>
        </is>
      </c>
      <c r="AA20" s="97" t="n">
        <v>25030</v>
      </c>
      <c r="AB20" s="96" t="inlineStr">
        <is>
          <t>LCH04</t>
        </is>
      </c>
      <c r="AC20" s="96" t="inlineStr">
        <is>
          <t>HKG03</t>
        </is>
      </c>
    </row>
    <row r="21" ht="12" customHeight="1">
      <c r="A21" s="96" t="inlineStr">
        <is>
          <t>SKLU2333698</t>
        </is>
      </c>
      <c r="B21" s="161" t="inlineStr">
        <is>
          <t>2026-10-24</t>
        </is>
      </c>
      <c r="C21" s="96" t="inlineStr">
        <is>
          <t>SKOR</t>
        </is>
      </c>
      <c r="D21" s="96" t="inlineStr">
        <is>
          <t>2612N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HKHKG</t>
        </is>
      </c>
      <c r="J21" s="96" t="inlineStr">
        <is>
          <t>HKHKG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HASLS22260902078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VTS</t>
        </is>
      </c>
      <c r="U21" s="97" t="n"/>
      <c r="V21" s="96" t="inlineStr">
        <is>
          <t>K0120021</t>
        </is>
      </c>
      <c r="W21" s="96" t="inlineStr">
        <is>
          <t>DELTA DAIKI METAL</t>
        </is>
      </c>
      <c r="X21" s="96" t="inlineStr">
        <is>
          <t>VED</t>
        </is>
      </c>
      <c r="Y21" s="96" t="inlineStr">
        <is>
          <t>FC TRADING &amp; LOGISTICS LTD</t>
        </is>
      </c>
      <c r="Z21" s="96" t="inlineStr">
        <is>
          <t>FC TRADING &amp; LOGISTICS LTD</t>
        </is>
      </c>
      <c r="AA21" s="97" t="n">
        <v>27550</v>
      </c>
      <c r="AB21" s="96" t="inlineStr">
        <is>
          <t>LCH04</t>
        </is>
      </c>
      <c r="AC21" s="96" t="inlineStr">
        <is>
          <t>HKG03</t>
        </is>
      </c>
    </row>
    <row r="22" ht="12" customHeight="1">
      <c r="A22" s="96" t="inlineStr">
        <is>
          <t>SKLU2472440</t>
        </is>
      </c>
      <c r="B22" s="161" t="inlineStr">
        <is>
          <t>2026-10-24</t>
        </is>
      </c>
      <c r="C22" s="96" t="inlineStr">
        <is>
          <t>SKOR</t>
        </is>
      </c>
      <c r="D22" s="96" t="inlineStr">
        <is>
          <t>2612N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HASLS22260902467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VTS</t>
        </is>
      </c>
      <c r="U22" s="97" t="n"/>
      <c r="V22" s="96" t="inlineStr">
        <is>
          <t>K0120021</t>
        </is>
      </c>
      <c r="W22" s="96" t="inlineStr">
        <is>
          <t>EPPIC ASIA CO., LTD.</t>
        </is>
      </c>
      <c r="X22" s="96" t="inlineStr">
        <is>
          <t>VFD</t>
        </is>
      </c>
      <c r="Y22" s="96" t="inlineStr">
        <is>
          <t>CALCHEM HONG KONG CORPORATION LTD.</t>
        </is>
      </c>
      <c r="Z22" s="96" t="inlineStr">
        <is>
          <t>CALCHEM HONG KONG CORPORATION LTD.</t>
        </is>
      </c>
      <c r="AA22" s="97" t="n">
        <v>17200</v>
      </c>
      <c r="AB22" s="96" t="inlineStr">
        <is>
          <t>LCH04</t>
        </is>
      </c>
      <c r="AC22" s="96" t="inlineStr">
        <is>
          <t>HKG03</t>
        </is>
      </c>
    </row>
    <row r="23" ht="12" customHeight="1">
      <c r="A23" s="96" t="inlineStr">
        <is>
          <t>SKRU9907383</t>
        </is>
      </c>
      <c r="B23" s="161" t="inlineStr">
        <is>
          <t>2026-10-24</t>
        </is>
      </c>
      <c r="C23" s="96" t="inlineStr">
        <is>
          <t>SKOR</t>
        </is>
      </c>
      <c r="D23" s="96" t="inlineStr">
        <is>
          <t>2612N</t>
        </is>
      </c>
      <c r="E23" s="96" t="inlineStr">
        <is>
          <t>45RE</t>
        </is>
      </c>
      <c r="F23" s="96" t="inlineStr">
        <is>
          <t>SD</t>
        </is>
      </c>
      <c r="G23" s="96" t="n"/>
      <c r="H23" s="96" t="inlineStr">
        <is>
          <t>THLCH</t>
        </is>
      </c>
      <c r="I23" s="96" t="inlineStr">
        <is>
          <t>CNXMN</t>
        </is>
      </c>
      <c r="J23" s="96" t="inlineStr">
        <is>
          <t>CNXMN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HASLS22261001014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VTS</t>
        </is>
      </c>
      <c r="U23" s="97" t="n"/>
      <c r="V23" s="96" t="inlineStr">
        <is>
          <t>K0120025</t>
        </is>
      </c>
      <c r="W23" s="96" t="inlineStr">
        <is>
          <t>GOLDEN SEA FROZEN FOODS CO.,LTD.</t>
        </is>
      </c>
      <c r="X23" s="96" t="inlineStr">
        <is>
          <t>VFD</t>
        </is>
      </c>
      <c r="Y23" s="96" t="inlineStr">
        <is>
          <t>XIAMEN THAI LUCKY FOOD COLD CHAIN</t>
        </is>
      </c>
      <c r="Z23" s="96" t="inlineStr">
        <is>
          <t>XIAMEN THAI LUCKY FOOD COLD CHAIN</t>
        </is>
      </c>
      <c r="AA23" s="97" t="n">
        <v>28890</v>
      </c>
      <c r="AB23" s="96" t="inlineStr">
        <is>
          <t>LCH04</t>
        </is>
      </c>
      <c r="AC23" s="96" t="inlineStr">
        <is>
          <t>XMN01</t>
        </is>
      </c>
    </row>
    <row r="24" ht="12" customHeight="1">
      <c r="A24" s="96" t="inlineStr">
        <is>
          <t>TRHU4745330</t>
        </is>
      </c>
      <c r="B24" s="161" t="inlineStr">
        <is>
          <t>2026-10-24</t>
        </is>
      </c>
      <c r="C24" s="96" t="inlineStr">
        <is>
          <t>SKOR</t>
        </is>
      </c>
      <c r="D24" s="96" t="inlineStr">
        <is>
          <t>2612N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HKHKG</t>
        </is>
      </c>
      <c r="J24" s="96" t="inlineStr">
        <is>
          <t>CNLIH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HASLS22261000789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VTS</t>
        </is>
      </c>
      <c r="U24" s="97" t="n"/>
      <c r="V24" s="96" t="inlineStr">
        <is>
          <t>K0120023</t>
        </is>
      </c>
      <c r="W24" s="96" t="inlineStr">
        <is>
          <t>TLS STEEL CO.,LTD.</t>
        </is>
      </c>
      <c r="X24" s="96" t="inlineStr">
        <is>
          <t>VFD</t>
        </is>
      </c>
      <c r="Y24" s="96" t="inlineStr">
        <is>
          <t>GUANGZHOU HAIYA SUPPLY CHAIN</t>
        </is>
      </c>
      <c r="Z24" s="96" t="inlineStr">
        <is>
          <t>WAN TONG METAL GROUP</t>
        </is>
      </c>
      <c r="AA24" s="97" t="n">
        <v>27660</v>
      </c>
      <c r="AB24" s="96" t="inlineStr">
        <is>
          <t>LCH04</t>
        </is>
      </c>
      <c r="AC24" s="96" t="inlineStr">
        <is>
          <t>HKG03</t>
        </is>
      </c>
    </row>
    <row r="25" ht="12" customHeight="1">
      <c r="A25" s="96" t="n"/>
      <c r="B25" s="161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7" t="n"/>
      <c r="V25" s="96" t="n"/>
      <c r="W25" s="96" t="n"/>
      <c r="X25" s="96" t="n"/>
      <c r="Y25" s="96" t="n"/>
      <c r="Z25" s="96" t="n"/>
      <c r="AA25" s="97" t="n"/>
      <c r="AB25" s="96" t="n"/>
      <c r="AC25" s="96" t="n"/>
    </row>
    <row r="26" ht="12" customHeight="1">
      <c r="A26" s="96" t="n"/>
      <c r="B26" s="161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7" t="n"/>
      <c r="V26" s="96" t="n"/>
      <c r="W26" s="96" t="n"/>
      <c r="X26" s="96" t="n"/>
      <c r="Y26" s="96" t="n"/>
      <c r="Z26" s="96" t="n"/>
      <c r="AA26" s="97" t="n"/>
      <c r="AB26" s="96" t="n"/>
      <c r="AC26" s="96" t="n"/>
    </row>
    <row r="27" ht="12" customHeight="1">
      <c r="A27" s="96" t="n"/>
      <c r="B27" s="161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7" t="n"/>
      <c r="V27" s="96" t="n"/>
      <c r="W27" s="96" t="n"/>
      <c r="X27" s="96" t="n"/>
      <c r="Y27" s="96" t="n"/>
      <c r="Z27" s="96" t="n"/>
      <c r="AA27" s="97" t="n"/>
      <c r="AB27" s="96" t="n"/>
      <c r="AC27" s="96" t="n"/>
    </row>
    <row r="28" ht="12" customHeight="1">
      <c r="A28" s="96" t="n"/>
      <c r="B28" s="161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7" t="n"/>
      <c r="V28" s="96" t="n"/>
      <c r="W28" s="96" t="n"/>
      <c r="X28" s="96" t="n"/>
      <c r="Y28" s="96" t="n"/>
      <c r="Z28" s="96" t="n"/>
      <c r="AA28" s="97" t="n"/>
      <c r="AB28" s="96" t="n"/>
      <c r="AC28" s="96" t="n"/>
    </row>
    <row r="29" ht="12" customHeight="1">
      <c r="A29" s="96" t="n"/>
      <c r="B29" s="161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7" t="n"/>
      <c r="V29" s="96" t="n"/>
      <c r="W29" s="96" t="n"/>
      <c r="X29" s="96" t="n"/>
      <c r="Y29" s="96" t="n"/>
      <c r="Z29" s="96" t="n"/>
      <c r="AA29" s="97" t="n"/>
      <c r="AB29" s="96" t="n"/>
      <c r="AC29" s="96" t="n"/>
    </row>
    <row r="30" ht="12" customHeight="1">
      <c r="A30" s="96" t="n"/>
      <c r="B30" s="161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7" t="n"/>
      <c r="V30" s="96" t="n"/>
      <c r="W30" s="96" t="n"/>
      <c r="X30" s="96" t="n"/>
      <c r="Y30" s="96" t="n"/>
      <c r="Z30" s="96" t="n"/>
      <c r="AA30" s="97" t="n"/>
      <c r="AB30" s="96" t="n"/>
      <c r="AC30" s="96" t="n"/>
    </row>
    <row r="31" ht="12" customHeight="1">
      <c r="A31" s="96" t="n"/>
      <c r="B31" s="161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7" t="n"/>
      <c r="V31" s="96" t="n"/>
      <c r="W31" s="96" t="n"/>
      <c r="X31" s="96" t="n"/>
      <c r="Y31" s="96" t="n"/>
      <c r="Z31" s="96" t="n"/>
      <c r="AA31" s="97" t="n"/>
      <c r="AB31" s="96" t="n"/>
      <c r="AC31" s="96" t="n"/>
    </row>
    <row r="32" ht="12" customHeight="1">
      <c r="A32" s="96" t="n"/>
      <c r="B32" s="161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7" t="n"/>
      <c r="V32" s="96" t="n"/>
      <c r="W32" s="96" t="n"/>
      <c r="X32" s="96" t="n"/>
      <c r="Y32" s="96" t="n"/>
      <c r="Z32" s="96" t="n"/>
      <c r="AA32" s="97" t="n"/>
      <c r="AB32" s="96" t="n"/>
      <c r="AC32" s="96" t="n"/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2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HASLS22260802422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SKOR</t>
        </is>
      </c>
      <c r="N2" s="96" t="inlineStr">
        <is>
          <t>2612N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2026-10-24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2026-10-28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CARGO CARE LOGISTICS CO., LTD.</t>
        </is>
      </c>
      <c r="AB2" s="96" t="inlineStr">
        <is>
          <t>SIAM DEL MONTE CO., LTD.</t>
        </is>
      </c>
      <c r="AC2" s="163" t="n">
        <v>21816</v>
      </c>
      <c r="AD2" s="163" t="n">
        <v>24016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TH0042</t>
        </is>
      </c>
      <c r="AN2" s="96" t="inlineStr">
        <is>
          <t>Sukunpoj Damrongying</t>
        </is>
      </c>
      <c r="AO2" s="96" t="inlineStr">
        <is>
          <t>SWEET CORN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 xml:space="preserve">Pickup : 2026-10-08, Return : 2026-10-10
** PLEASE CHECK OPEN GATE BEFORE RETURN CONTAINER ** </t>
        </is>
      </c>
      <c r="BA2" s="97" t="inlineStr">
        <is>
          <t>ROLL OVER FROM PREVIOUS VSL KMTP 2612N BY ALLOATION TEAM MS.TARN APPROVED COST IS UNDER HA DD.12/10
Good and Clean Container (Food Grade)(No leaks, no odors, and no oil stains.)</t>
        </is>
      </c>
      <c r="BB2" s="96" t="inlineStr">
        <is>
          <t>P</t>
        </is>
      </c>
      <c r="BC2" s="161" t="inlineStr">
        <is>
          <t>2026-08-28</t>
        </is>
      </c>
      <c r="BD2" s="161" t="inlineStr">
        <is>
          <t>2026-10-12</t>
        </is>
      </c>
      <c r="BE2" s="96" t="inlineStr">
        <is>
          <t>Y</t>
        </is>
      </c>
      <c r="BF2" s="96" t="inlineStr">
        <is>
          <t>SWEET CORN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LCH27</t>
        </is>
      </c>
      <c r="BL2" s="161" t="inlineStr">
        <is>
          <t>2026-10-08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Dhunyakorn@cargocare.co.th</t>
        </is>
      </c>
      <c r="CJ2" s="96" t="inlineStr">
        <is>
          <t>SIAM DEL MONTE CO., LTD.</t>
        </is>
      </c>
      <c r="CK2" s="96" t="inlineStr">
        <is>
          <t>KLN TRADE SOLUTIONS (HONG KONG)</t>
        </is>
      </c>
      <c r="CL2" s="96" t="inlineStr">
        <is>
          <t>KLN TRADE SOLUTIONS (HONG KONG)</t>
        </is>
      </c>
      <c r="CM2" s="97" t="n"/>
      <c r="CN2" s="96" t="inlineStr">
        <is>
          <t>202610211700</t>
        </is>
      </c>
      <c r="CO2" s="96" t="inlineStr">
        <is>
          <t>202610222359</t>
        </is>
      </c>
      <c r="CP2" s="97" t="n"/>
      <c r="CQ2" s="96" t="inlineStr">
        <is>
          <t>S19-2002011</t>
        </is>
      </c>
      <c r="CR2" s="96" t="inlineStr">
        <is>
          <t>THTHAU</t>
        </is>
      </c>
      <c r="CS2" s="96" t="inlineStr">
        <is>
          <t>CARGO CARE LOGISTICS CO., LTD.</t>
        </is>
      </c>
      <c r="CT2" s="96" t="inlineStr">
        <is>
          <t>N</t>
        </is>
      </c>
      <c r="CU2" s="97" t="n"/>
      <c r="CV2" s="97" t="n"/>
      <c r="CW2" s="161" t="inlineStr">
        <is>
          <t>2026-10-21</t>
        </is>
      </c>
      <c r="CX2" s="97" t="n"/>
      <c r="CY2" s="156" t="inlineStr">
        <is>
          <t>ROLL OVER FROM PREVIOUS VSL KMTP 2612N BY ALLOATION TEAM MS.TARN APPROVED COST IS UNDER HA DD.12/10</t>
        </is>
      </c>
    </row>
    <row r="3" ht="12" customHeight="1">
      <c r="A3" s="116" t="inlineStr">
        <is>
          <t>HASLS22260802423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SKOR</t>
        </is>
      </c>
      <c r="N3" s="96" t="inlineStr">
        <is>
          <t>2612N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2026-10-24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2026-10-28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CARGO CARE LOGISTICS CO., LTD.</t>
        </is>
      </c>
      <c r="AB3" s="96" t="inlineStr">
        <is>
          <t>SIAM DEL MONTE CO., LTD.</t>
        </is>
      </c>
      <c r="AC3" s="163" t="n">
        <v>21816</v>
      </c>
      <c r="AD3" s="163" t="n">
        <v>24016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TH0042</t>
        </is>
      </c>
      <c r="AN3" s="96" t="inlineStr">
        <is>
          <t>Sukunpoj Damrongying</t>
        </is>
      </c>
      <c r="AO3" s="96" t="inlineStr">
        <is>
          <t>SWEET CORN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2026-10-08, Return : 2026-10-10</t>
        </is>
      </c>
      <c r="BA3" s="97" t="inlineStr">
        <is>
          <t xml:space="preserve">ROLL OVER FROM PREVIOUS VSL KMTP  2612N BY ALLOCATION TEAM MS,TARN APPROVED COST IS UNDER HA DD.13/10
**CHANGED FM VSL."CMA 2615N" DUE TO DELAY BY K.DHUNYAKORN DD.16/9/26**
</t>
        </is>
      </c>
      <c r="BB3" s="96" t="inlineStr">
        <is>
          <t>P</t>
        </is>
      </c>
      <c r="BC3" s="161" t="inlineStr">
        <is>
          <t>2026-08-28</t>
        </is>
      </c>
      <c r="BD3" s="161" t="inlineStr">
        <is>
          <t>2026-10-19</t>
        </is>
      </c>
      <c r="BE3" s="96" t="inlineStr">
        <is>
          <t>Y</t>
        </is>
      </c>
      <c r="BF3" s="96" t="inlineStr">
        <is>
          <t>SWEET CORN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2026-10-08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Dhunyakorn@cargocare.co.th</t>
        </is>
      </c>
      <c r="CJ3" s="96" t="inlineStr">
        <is>
          <t>SIAM DEL MONTE CO., LTD.</t>
        </is>
      </c>
      <c r="CK3" s="96" t="inlineStr">
        <is>
          <t>KLN TRADE SOLUTIONS (HONG KONG)</t>
        </is>
      </c>
      <c r="CL3" s="96" t="inlineStr">
        <is>
          <t>KLN TRADE SOLUTIONS (HONG KONG)</t>
        </is>
      </c>
      <c r="CM3" s="97" t="n"/>
      <c r="CN3" s="96" t="inlineStr">
        <is>
          <t>202610211700</t>
        </is>
      </c>
      <c r="CO3" s="96" t="inlineStr">
        <is>
          <t>202610222359</t>
        </is>
      </c>
      <c r="CP3" s="97" t="n"/>
      <c r="CQ3" s="96" t="inlineStr">
        <is>
          <t>S19-2002011</t>
        </is>
      </c>
      <c r="CR3" s="96" t="inlineStr">
        <is>
          <t>THTHAU</t>
        </is>
      </c>
      <c r="CS3" s="96" t="inlineStr">
        <is>
          <t>CARGO CARE LOGISTICS CO., LTD.</t>
        </is>
      </c>
      <c r="CT3" s="96" t="inlineStr">
        <is>
          <t>N</t>
        </is>
      </c>
      <c r="CU3" s="97" t="n"/>
      <c r="CV3" s="97" t="n"/>
      <c r="CW3" s="161" t="inlineStr">
        <is>
          <t>2026-10-21</t>
        </is>
      </c>
      <c r="CX3" s="97" t="n"/>
      <c r="CY3" s="183" t="inlineStr">
        <is>
          <t>ROLL OVER FROM PREVIOUS VSL KMTP  2612N BY ALLOCATION TEAM MS,TARN APPROVED COST IS UNDER HA DD.13/10</t>
        </is>
      </c>
    </row>
    <row r="4" ht="12" customHeight="1">
      <c r="A4" s="116" t="inlineStr">
        <is>
          <t>HASLS22260901727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SKOR</t>
        </is>
      </c>
      <c r="N4" s="96" t="inlineStr">
        <is>
          <t>2612N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2026-10-24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CARGO CARE LOGISTICS CO., LTD.</t>
        </is>
      </c>
      <c r="AB4" s="96" t="inlineStr">
        <is>
          <t>SIAM DEL MONTE CO., LTD.</t>
        </is>
      </c>
      <c r="AC4" s="163" t="n">
        <v>21816</v>
      </c>
      <c r="AD4" s="163" t="n">
        <v>24016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inlineStr">
        <is>
          <t xml:space="preserve"> </t>
        </is>
      </c>
      <c r="AK4" s="97" t="n"/>
      <c r="AL4" s="97" t="n"/>
      <c r="AM4" s="96" t="inlineStr">
        <is>
          <t>TH0042</t>
        </is>
      </c>
      <c r="AN4" s="96" t="inlineStr">
        <is>
          <t>Sukunpoj Damrongying</t>
        </is>
      </c>
      <c r="AO4" s="96" t="inlineStr">
        <is>
          <t>SWEET CORN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2026-10-14, Return : 2026-10-16
** PLEASE CHECK OPEN GATE BEFORE RETURN CONTAINER **</t>
        </is>
      </c>
      <c r="BA4" s="97" t="inlineStr">
        <is>
          <t>ROLL OVER FROM PREVIOUS VSL KJT 2611N BY ALLOCATION TEAM MS.TARN APPROVED COST IS UNDER HA DD.19/10</t>
        </is>
      </c>
      <c r="BB4" s="96" t="inlineStr">
        <is>
          <t>P</t>
        </is>
      </c>
      <c r="BC4" s="161" t="inlineStr">
        <is>
          <t>2026-09-18</t>
        </is>
      </c>
      <c r="BD4" s="161" t="inlineStr">
        <is>
          <t>2026-10-19</t>
        </is>
      </c>
      <c r="BE4" s="96" t="inlineStr">
        <is>
          <t>Y</t>
        </is>
      </c>
      <c r="BF4" s="96" t="inlineStr">
        <is>
          <t>SWEET CORN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2026-10-14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Dhunyakorn@cargocare.co.th</t>
        </is>
      </c>
      <c r="CJ4" s="96" t="inlineStr">
        <is>
          <t>SIAM DEL MONTE CO., LTD.</t>
        </is>
      </c>
      <c r="CK4" s="96" t="inlineStr">
        <is>
          <t>WELL SYNERGY INTERNATIONAL LTD</t>
        </is>
      </c>
      <c r="CL4" s="96" t="inlineStr">
        <is>
          <t>WELL SYNERGY INTERNATIONAL LTD</t>
        </is>
      </c>
      <c r="CM4" s="97" t="n"/>
      <c r="CN4" s="96" t="inlineStr">
        <is>
          <t>202610211700</t>
        </is>
      </c>
      <c r="CO4" s="96" t="inlineStr">
        <is>
          <t>202610222359</t>
        </is>
      </c>
      <c r="CP4" s="97" t="n"/>
      <c r="CQ4" s="96" t="inlineStr">
        <is>
          <t>S19-2002011</t>
        </is>
      </c>
      <c r="CR4" s="96" t="inlineStr">
        <is>
          <t>THTHAU</t>
        </is>
      </c>
      <c r="CS4" s="96" t="inlineStr">
        <is>
          <t>CARGO CARE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2026-10-23</t>
        </is>
      </c>
      <c r="CX4" s="97" t="n"/>
      <c r="CY4" s="183" t="inlineStr">
        <is>
          <t>ROLL OVER FROM PREVIOUS VSL KJT 2611N BY ALLOCATION TEAM MS.TARN APPROVED COST IS UNDER HA DD.19/10</t>
        </is>
      </c>
    </row>
    <row r="5" ht="12" customHeight="1">
      <c r="A5" s="116" t="inlineStr">
        <is>
          <t>HASLS22260901730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VTS</t>
        </is>
      </c>
      <c r="M5" s="96" t="inlineStr">
        <is>
          <t>SKOR</t>
        </is>
      </c>
      <c r="N5" s="96" t="inlineStr">
        <is>
          <t>2612N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2026-10-24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2026-10-28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CARGO CARE LOGISTICS CO., LTD.</t>
        </is>
      </c>
      <c r="AB5" s="96" t="inlineStr">
        <is>
          <t>SIAM DEL MONTE CO., LTD.</t>
        </is>
      </c>
      <c r="AC5" s="163" t="n">
        <v>21816</v>
      </c>
      <c r="AD5" s="163" t="n">
        <v>24016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inlineStr">
        <is>
          <t xml:space="preserve"> </t>
        </is>
      </c>
      <c r="AK5" s="97" t="n"/>
      <c r="AL5" s="97" t="n"/>
      <c r="AM5" s="96" t="inlineStr">
        <is>
          <t>TH0042</t>
        </is>
      </c>
      <c r="AN5" s="96" t="inlineStr">
        <is>
          <t>Sukunpoj Damrongying</t>
        </is>
      </c>
      <c r="AO5" s="96" t="inlineStr">
        <is>
          <t>SWEET CORN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2026-10-14, Return : 2026-10-16</t>
        </is>
      </c>
      <c r="BA5" s="97" t="inlineStr">
        <is>
          <t>ROLL OVER FROM PREVIOUS VSL KJT 2611N BY ALLOCATION TEAM MS.TARN APPROVED COST IS UNDER HA DD.19/10</t>
        </is>
      </c>
      <c r="BB5" s="96" t="inlineStr">
        <is>
          <t>P</t>
        </is>
      </c>
      <c r="BC5" s="161" t="inlineStr">
        <is>
          <t>2026-09-18</t>
        </is>
      </c>
      <c r="BD5" s="161" t="inlineStr">
        <is>
          <t>2026-10-19</t>
        </is>
      </c>
      <c r="BE5" s="96" t="inlineStr">
        <is>
          <t>Y</t>
        </is>
      </c>
      <c r="BF5" s="96" t="inlineStr">
        <is>
          <t>SWEET CORN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2026-10-14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Dhunyakorn@cargocare.co.th</t>
        </is>
      </c>
      <c r="CJ5" s="96" t="inlineStr">
        <is>
          <t>SIAM DEL MONTE CO., LTD.</t>
        </is>
      </c>
      <c r="CK5" s="96" t="inlineStr">
        <is>
          <t>WELL SYNERGY INTERNATIONAL LTD</t>
        </is>
      </c>
      <c r="CL5" s="96" t="inlineStr">
        <is>
          <t>WELL SYNERGY INTERNATIONAL LTD</t>
        </is>
      </c>
      <c r="CM5" s="97" t="n"/>
      <c r="CN5" s="96" t="inlineStr">
        <is>
          <t>202610211700</t>
        </is>
      </c>
      <c r="CO5" s="96" t="inlineStr">
        <is>
          <t>202610222359</t>
        </is>
      </c>
      <c r="CP5" s="97" t="n"/>
      <c r="CQ5" s="96" t="inlineStr">
        <is>
          <t>S19-2002011</t>
        </is>
      </c>
      <c r="CR5" s="96" t="inlineStr">
        <is>
          <t>THTHAU</t>
        </is>
      </c>
      <c r="CS5" s="96" t="inlineStr">
        <is>
          <t>CARGO CARE LOGISTICS CO., LTD.</t>
        </is>
      </c>
      <c r="CT5" s="96" t="inlineStr">
        <is>
          <t>N</t>
        </is>
      </c>
      <c r="CU5" s="97" t="n"/>
      <c r="CV5" s="97" t="n"/>
      <c r="CW5" s="161" t="inlineStr">
        <is>
          <t>2026-10-23</t>
        </is>
      </c>
      <c r="CX5" s="97" t="n"/>
      <c r="CY5" s="183" t="inlineStr">
        <is>
          <t>ROLL OVER FROM PREVIOUS VSL KJT 2611N BY ALLOCATION TEAM MS.TARN APPROVED COST IS UNDER HA DD.19/10</t>
        </is>
      </c>
    </row>
    <row r="6" ht="12" customHeight="1">
      <c r="A6" s="116" t="inlineStr">
        <is>
          <t>HASLS22260902078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SKOR</t>
        </is>
      </c>
      <c r="N6" s="96" t="inlineStr">
        <is>
          <t>2612N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2026-10-24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2026-10-28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PACIFIC FORWARDER INTERNATIONAL CO., LTD.</t>
        </is>
      </c>
      <c r="AB6" s="96" t="inlineStr">
        <is>
          <t>DELTA DAIKI METAL (THAILAND) CO.,LTD.</t>
        </is>
      </c>
      <c r="AC6" s="163" t="n">
        <v>27550</v>
      </c>
      <c r="AD6" s="163" t="n">
        <v>29750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TH0042</t>
        </is>
      </c>
      <c r="AN6" s="96" t="inlineStr">
        <is>
          <t>Sukunpoj Damrongying</t>
        </is>
      </c>
      <c r="AO6" s="96" t="inlineStr">
        <is>
          <t>MIXED METAL (B)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Pickup : 2026-10-07, Return : 2026-10-08 [1ST RTN 08/10/2026 W/O RENT]
** PLEASE CHECK OPEN GATE BEFORE RETURN CONTAINER ** </t>
        </is>
      </c>
      <c r="BA6" s="97" t="inlineStr">
        <is>
          <t>ROLL OVER FROM PREVIOUS VSL KMTP  2612N BY ALLOCATION TEAM MS,TARN APPROVED COST IS UNDER HA DD.13/10</t>
        </is>
      </c>
      <c r="BB6" s="96" t="inlineStr">
        <is>
          <t>P</t>
        </is>
      </c>
      <c r="BC6" s="161" t="inlineStr">
        <is>
          <t>2026-09-23</t>
        </is>
      </c>
      <c r="BD6" s="161" t="inlineStr">
        <is>
          <t>2026-10-13</t>
        </is>
      </c>
      <c r="BE6" s="96" t="inlineStr">
        <is>
          <t>Y</t>
        </is>
      </c>
      <c r="BF6" s="96" t="inlineStr">
        <is>
          <t>MIXED METAL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2026-10-07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cs_exp@pfi-forwarder.co.th</t>
        </is>
      </c>
      <c r="CJ6" s="96" t="inlineStr">
        <is>
          <t>DELTA DAIKI METAL</t>
        </is>
      </c>
      <c r="CK6" s="96" t="inlineStr">
        <is>
          <t>FC TRADING &amp; LOGISTICS LTD</t>
        </is>
      </c>
      <c r="CL6" s="96" t="inlineStr">
        <is>
          <t>FC TRADING &amp; LOGISTICS LTD</t>
        </is>
      </c>
      <c r="CM6" s="97" t="n"/>
      <c r="CN6" s="96" t="inlineStr">
        <is>
          <t>202610211700</t>
        </is>
      </c>
      <c r="CO6" s="96" t="inlineStr">
        <is>
          <t>202610222359</t>
        </is>
      </c>
      <c r="CP6" s="97" t="n"/>
      <c r="CQ6" s="96" t="inlineStr">
        <is>
          <t>S22-2601010</t>
        </is>
      </c>
      <c r="CR6" s="96" t="inlineStr">
        <is>
          <t>TH04DU</t>
        </is>
      </c>
      <c r="CS6" s="96" t="inlineStr">
        <is>
          <t>PACIFIC FORWARDER INTERNATIONAL CO., LTD.</t>
        </is>
      </c>
      <c r="CT6" s="96" t="inlineStr">
        <is>
          <t>N</t>
        </is>
      </c>
      <c r="CU6" s="97" t="n"/>
      <c r="CV6" s="97" t="n"/>
      <c r="CW6" s="161" t="inlineStr">
        <is>
          <t>2026-10-21</t>
        </is>
      </c>
      <c r="CX6" s="97" t="inlineStr">
        <is>
          <t>760200</t>
        </is>
      </c>
      <c r="CY6" s="183" t="inlineStr">
        <is>
          <t>ROLL OVER FROM PREVIOUS VSL KMTP  2612N BY ALLOCATION TEAM MS,TARN APPROVED COST IS UNDER HA DD.13/10</t>
        </is>
      </c>
    </row>
    <row r="7" ht="12" customHeight="1">
      <c r="A7" s="116" t="inlineStr">
        <is>
          <t>HASLS22260902220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SKOR</t>
        </is>
      </c>
      <c r="N7" s="96" t="inlineStr">
        <is>
          <t>2612N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2026-10-24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2026-10-28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PACIFIC FORWARDER INTERNATIONAL CO., LTD.</t>
        </is>
      </c>
      <c r="AB7" s="96" t="inlineStr">
        <is>
          <t>DELTA DAIKI METAL (THAILAND) CO.,LTD.</t>
        </is>
      </c>
      <c r="AC7" s="163" t="n">
        <v>25030</v>
      </c>
      <c r="AD7" s="163" t="n">
        <v>27230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TH0042</t>
        </is>
      </c>
      <c r="AN7" s="96" t="inlineStr">
        <is>
          <t>Sukunpoj Damrongying</t>
        </is>
      </c>
      <c r="AO7" s="96" t="inlineStr">
        <is>
          <t>RECYCLING MATERIALS FOR CAST ALUMINIUM ALLOYS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2026-10-03, Return : 2026-10-05 [1ST RTN 08/10/2026 W/O RENT]
** PLEASE CHECK OPEN GATE BEFORE RETURN CONTAINER ** </t>
        </is>
      </c>
      <c r="BA7" s="97" t="inlineStr">
        <is>
          <t>ROLL OVER FROM PREVIOUS VSL KMTP  2612N BY ALLOCATION TEAM MS,TARN APPROVED COST IS UNDER HA DD.13/10</t>
        </is>
      </c>
      <c r="BB7" s="96" t="inlineStr">
        <is>
          <t>P</t>
        </is>
      </c>
      <c r="BC7" s="161" t="inlineStr">
        <is>
          <t>2026-09-23</t>
        </is>
      </c>
      <c r="BD7" s="161" t="inlineStr">
        <is>
          <t>2026-10-13</t>
        </is>
      </c>
      <c r="BE7" s="96" t="inlineStr">
        <is>
          <t>Y</t>
        </is>
      </c>
      <c r="BF7" s="96" t="inlineStr">
        <is>
          <t>MIXED METAL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2026-10-03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cs_exp@pfi-forwarder.co.th</t>
        </is>
      </c>
      <c r="CJ7" s="96" t="inlineStr">
        <is>
          <t>DELTA DAIKI METAL (THAILAND)</t>
        </is>
      </c>
      <c r="CK7" s="96" t="inlineStr">
        <is>
          <t>KING TAT LOGISTICS LIMITED</t>
        </is>
      </c>
      <c r="CL7" s="96" t="inlineStr">
        <is>
          <t>KING TAT LOGISTICS LIMITED</t>
        </is>
      </c>
      <c r="CM7" s="97" t="n"/>
      <c r="CN7" s="96" t="inlineStr">
        <is>
          <t>202610211700</t>
        </is>
      </c>
      <c r="CO7" s="96" t="inlineStr">
        <is>
          <t>202610222359</t>
        </is>
      </c>
      <c r="CP7" s="97" t="n"/>
      <c r="CQ7" s="96" t="inlineStr">
        <is>
          <t>S22-2601010</t>
        </is>
      </c>
      <c r="CR7" s="96" t="inlineStr">
        <is>
          <t>TH04DU</t>
        </is>
      </c>
      <c r="CS7" s="96" t="inlineStr">
        <is>
          <t>PACIFIC FORWARDER INTERNATIONAL CO., LTD.</t>
        </is>
      </c>
      <c r="CT7" s="96" t="inlineStr">
        <is>
          <t>N</t>
        </is>
      </c>
      <c r="CU7" s="97" t="n"/>
      <c r="CV7" s="97" t="n"/>
      <c r="CW7" s="161" t="inlineStr">
        <is>
          <t>2026-10-21</t>
        </is>
      </c>
      <c r="CX7" s="97" t="n"/>
      <c r="CY7" s="183" t="inlineStr">
        <is>
          <t>ROLL OVER FROM PREVIOUS VSL KMTP  2612N BY ALLOCATION TEAM MS,TARN APPROVED COST IS UNDER HA DD.13/10</t>
        </is>
      </c>
    </row>
    <row r="8" ht="12" customHeight="1">
      <c r="A8" s="116" t="inlineStr">
        <is>
          <t>HASLS22260902373</t>
        </is>
      </c>
      <c r="B8" s="96" t="inlineStr">
        <is>
          <t>20'x2</t>
        </is>
      </c>
      <c r="C8" s="97" t="n">
        <v>2</v>
      </c>
      <c r="D8" s="97" t="n">
        <v>2</v>
      </c>
      <c r="E8" s="97" t="n"/>
      <c r="F8" s="97" t="n">
        <v>0</v>
      </c>
      <c r="G8" s="97" t="n">
        <v>2</v>
      </c>
      <c r="H8" s="97" t="n">
        <v>0</v>
      </c>
      <c r="I8" s="97" t="n">
        <v>0</v>
      </c>
      <c r="J8" s="97" t="n">
        <v>2</v>
      </c>
      <c r="K8" s="96" t="inlineStr">
        <is>
          <t>N</t>
        </is>
      </c>
      <c r="L8" s="96" t="inlineStr">
        <is>
          <t>VTS</t>
        </is>
      </c>
      <c r="M8" s="96" t="inlineStr">
        <is>
          <t>SKOR</t>
        </is>
      </c>
      <c r="N8" s="96" t="inlineStr">
        <is>
          <t>2612N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2026-10-24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DOUBLE A (1991) PUBLIC COMPANY LIMITED</t>
        </is>
      </c>
      <c r="AB8" s="96" t="inlineStr">
        <is>
          <t>DOUBLE A (1991) PUBLIC COMPANY LIMITED</t>
        </is>
      </c>
      <c r="AC8" s="163" t="n">
        <v>33637</v>
      </c>
      <c r="AD8" s="163" t="n">
        <v>38037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PAPER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CY-RTN : 09-11/10/2026
REF : PI-HK-TH-DA-26100005
FRT $35, FREE TIME 14/14, DTHC(HKD)2000</t>
        </is>
      </c>
      <c r="BA8" s="97" t="inlineStr">
        <is>
          <t>ROLL OVER FROM PREVIOUS VSL KJT 2611N BY ALLOCATION TEAM MS.TARN APRPOVED COST IS UNDER HA DD.15/10</t>
        </is>
      </c>
      <c r="BB8" s="96" t="inlineStr">
        <is>
          <t>P</t>
        </is>
      </c>
      <c r="BC8" s="161" t="inlineStr">
        <is>
          <t>2026-09-25</t>
        </is>
      </c>
      <c r="BD8" s="161" t="inlineStr">
        <is>
          <t>2026-10-15</t>
        </is>
      </c>
      <c r="BE8" s="96" t="inlineStr">
        <is>
          <t>Y</t>
        </is>
      </c>
      <c r="BF8" s="96" t="inlineStr">
        <is>
          <t>PAPER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2026-10-09</t>
        </is>
      </c>
      <c r="BM8" s="127" t="n"/>
      <c r="BN8" s="127" t="n">
        <v>2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n"/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kan_b@doublea1991.com</t>
        </is>
      </c>
      <c r="CJ8" s="96" t="inlineStr">
        <is>
          <t>DOUBLE A (1991) PUBLIC COMPANY</t>
        </is>
      </c>
      <c r="CK8" s="96" t="inlineStr">
        <is>
          <t>OH360 CO., LTD.</t>
        </is>
      </c>
      <c r="CL8" s="96" t="inlineStr">
        <is>
          <t>OH360 CO., LTD.</t>
        </is>
      </c>
      <c r="CM8" s="97" t="n"/>
      <c r="CN8" s="96" t="inlineStr">
        <is>
          <t>202610211700</t>
        </is>
      </c>
      <c r="CO8" s="96" t="inlineStr">
        <is>
          <t>202610222359</t>
        </is>
      </c>
      <c r="CP8" s="97" t="n"/>
      <c r="CQ8" s="96" t="inlineStr">
        <is>
          <t>S19-2312005</t>
        </is>
      </c>
      <c r="CR8" s="96" t="inlineStr">
        <is>
          <t>TH0382</t>
        </is>
      </c>
      <c r="CS8" s="96" t="inlineStr">
        <is>
          <t>DOUBLE A (1991) PUBLIC COMPANY LIMITED</t>
        </is>
      </c>
      <c r="CT8" s="96" t="inlineStr">
        <is>
          <t>N</t>
        </is>
      </c>
      <c r="CU8" s="97" t="n"/>
      <c r="CV8" s="97" t="n"/>
      <c r="CW8" s="161" t="inlineStr">
        <is>
          <t>2026-10-22</t>
        </is>
      </c>
      <c r="CX8" s="97" t="n"/>
      <c r="CY8" s="183" t="inlineStr">
        <is>
          <t>ROLL OVER FROM PREVIOUS VSL KJT 2611N BY ALLOCATION TEAM MS.TARN APRPOVED COST IS UNDER HA DD.15/10</t>
        </is>
      </c>
    </row>
    <row r="9" ht="12" customHeight="1">
      <c r="A9" s="116" t="inlineStr">
        <is>
          <t>HASLS22260902374</t>
        </is>
      </c>
      <c r="B9" s="96" t="inlineStr">
        <is>
          <t>20'x2</t>
        </is>
      </c>
      <c r="C9" s="97" t="n">
        <v>2</v>
      </c>
      <c r="D9" s="97" t="n">
        <v>2</v>
      </c>
      <c r="E9" s="97" t="n"/>
      <c r="F9" s="97" t="n">
        <v>0</v>
      </c>
      <c r="G9" s="97" t="n">
        <v>2</v>
      </c>
      <c r="H9" s="97" t="n">
        <v>0</v>
      </c>
      <c r="I9" s="97" t="n">
        <v>0</v>
      </c>
      <c r="J9" s="97" t="n">
        <v>2</v>
      </c>
      <c r="K9" s="96" t="inlineStr">
        <is>
          <t>N</t>
        </is>
      </c>
      <c r="L9" s="96" t="inlineStr">
        <is>
          <t>VTS</t>
        </is>
      </c>
      <c r="M9" s="96" t="inlineStr">
        <is>
          <t>SKOR</t>
        </is>
      </c>
      <c r="N9" s="96" t="inlineStr">
        <is>
          <t>2612N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2026-10-24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2026-10-28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DOUBLE A (1991) PUBLIC COMPANY LIMITED</t>
        </is>
      </c>
      <c r="AB9" s="96" t="inlineStr">
        <is>
          <t>DOUBLE A (1991) PUBLIC COMPANY LIMITED</t>
        </is>
      </c>
      <c r="AC9" s="163" t="n">
        <v>33077</v>
      </c>
      <c r="AD9" s="163" t="n">
        <v>37477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TBKK19</t>
        </is>
      </c>
      <c r="AN9" s="96" t="inlineStr">
        <is>
          <t>Kanokporn</t>
        </is>
      </c>
      <c r="AO9" s="96" t="inlineStr">
        <is>
          <t>PAPER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CY-RTN : 10-13/10/2026
REF : PI-HK-TH-DA-26100006
FRT $35, FREE TIME 14/14, DTHC(HKD)2000</t>
        </is>
      </c>
      <c r="BA9" s="97" t="n"/>
      <c r="BB9" s="96" t="inlineStr">
        <is>
          <t>P</t>
        </is>
      </c>
      <c r="BC9" s="161" t="inlineStr">
        <is>
          <t>2026-09-25</t>
        </is>
      </c>
      <c r="BD9" s="161" t="inlineStr">
        <is>
          <t>2026-10-15</t>
        </is>
      </c>
      <c r="BE9" s="96" t="inlineStr">
        <is>
          <t>Y</t>
        </is>
      </c>
      <c r="BF9" s="96" t="inlineStr">
        <is>
          <t>PAPER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2026-10-10</t>
        </is>
      </c>
      <c r="BM9" s="127" t="n"/>
      <c r="BN9" s="127" t="n">
        <v>2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n"/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kan_b@doublea1991.com</t>
        </is>
      </c>
      <c r="CJ9" s="96" t="inlineStr">
        <is>
          <t>DOUBLE A (1991) PUBLIC COMPANY</t>
        </is>
      </c>
      <c r="CK9" s="96" t="inlineStr">
        <is>
          <t>OH360 CO., LTD.</t>
        </is>
      </c>
      <c r="CL9" s="96" t="inlineStr">
        <is>
          <t>OH360 CO., LTD.</t>
        </is>
      </c>
      <c r="CM9" s="97" t="n"/>
      <c r="CN9" s="96" t="inlineStr">
        <is>
          <t>202610211700</t>
        </is>
      </c>
      <c r="CO9" s="96" t="inlineStr">
        <is>
          <t>202610222359</t>
        </is>
      </c>
      <c r="CP9" s="97" t="n"/>
      <c r="CQ9" s="96" t="inlineStr">
        <is>
          <t>S19-2312005</t>
        </is>
      </c>
      <c r="CR9" s="96" t="inlineStr">
        <is>
          <t>TH0382</t>
        </is>
      </c>
      <c r="CS9" s="96" t="inlineStr">
        <is>
          <t>DOUBLE A (1991) PUBLIC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2026-10-17</t>
        </is>
      </c>
      <c r="CX9" s="97" t="n"/>
      <c r="CY9" s="183" t="n"/>
    </row>
    <row r="10" ht="12" customHeight="1">
      <c r="A10" s="116" t="inlineStr">
        <is>
          <t>HASLS22260902467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SKOR</t>
        </is>
      </c>
      <c r="N10" s="96" t="inlineStr">
        <is>
          <t>2612N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2026-10-24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2026-10-28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FLS 1993 (THAILAND) CO., LTD.</t>
        </is>
      </c>
      <c r="AB10" s="96" t="inlineStr">
        <is>
          <t>EPPIC ASIA CO., LTD.</t>
        </is>
      </c>
      <c r="AC10" s="163" t="n">
        <v>17200</v>
      </c>
      <c r="AD10" s="163" t="n">
        <v>19400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TBKK97</t>
        </is>
      </c>
      <c r="AN10" s="96" t="inlineStr">
        <is>
          <t>Arunphat W. (Aiw)</t>
        </is>
      </c>
      <c r="AO10" s="96" t="inlineStr">
        <is>
          <t>PRINTING PRODUCT (NON-DG)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2026-10-17, Return : 2026-10-19</t>
        </is>
      </c>
      <c r="BA10" s="97" t="inlineStr">
        <is>
          <t>FM SWSR 2612N DD 05/10 REQ SURRENDER BL</t>
        </is>
      </c>
      <c r="BB10" s="96" t="inlineStr">
        <is>
          <t>P</t>
        </is>
      </c>
      <c r="BC10" s="161" t="inlineStr">
        <is>
          <t>2026-09-25</t>
        </is>
      </c>
      <c r="BD10" s="161" t="inlineStr">
        <is>
          <t>2026-10-19</t>
        </is>
      </c>
      <c r="BE10" s="96" t="inlineStr">
        <is>
          <t>Y</t>
        </is>
      </c>
      <c r="BF10" s="96" t="inlineStr">
        <is>
          <t>PRINTING PRODUCT (NON-DG)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2026-10-17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booking@fls-group.com</t>
        </is>
      </c>
      <c r="CJ10" s="96" t="inlineStr">
        <is>
          <t>EPPIC ASIA CO., LTD.</t>
        </is>
      </c>
      <c r="CK10" s="96" t="inlineStr">
        <is>
          <t>CALCHEM HONG KONG CORPORATION LTD.</t>
        </is>
      </c>
      <c r="CL10" s="96" t="inlineStr">
        <is>
          <t>CALCHEM HONG KONG CORPORATION LTD.</t>
        </is>
      </c>
      <c r="CM10" s="97" t="n"/>
      <c r="CN10" s="96" t="inlineStr">
        <is>
          <t>202610211700</t>
        </is>
      </c>
      <c r="CO10" s="96" t="inlineStr">
        <is>
          <t>202610222359</t>
        </is>
      </c>
      <c r="CP10" s="97" t="n"/>
      <c r="CQ10" s="96" t="inlineStr">
        <is>
          <t>S22-2405036</t>
        </is>
      </c>
      <c r="CR10" s="96" t="inlineStr">
        <is>
          <t>TH0471</t>
        </is>
      </c>
      <c r="CS10" s="96" t="inlineStr">
        <is>
          <t>FLS 1993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2026-10-21</t>
        </is>
      </c>
      <c r="CX10" s="97" t="inlineStr">
        <is>
          <t>320910</t>
        </is>
      </c>
      <c r="CY10" s="183" t="n"/>
    </row>
    <row r="11" ht="12" customHeight="1">
      <c r="A11" s="116" t="inlineStr">
        <is>
          <t>HASLS22260902600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SKOR</t>
        </is>
      </c>
      <c r="N11" s="96" t="inlineStr">
        <is>
          <t>2612N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2026-10-24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2026-10-28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DOUBLE A (1991) PUBLIC COMPANY LIMITED</t>
        </is>
      </c>
      <c r="AB11" s="96" t="inlineStr">
        <is>
          <t>DOUBLE A (1991) PUBLIC COMPANY LIMITED</t>
        </is>
      </c>
      <c r="AC11" s="163" t="n">
        <v>16819</v>
      </c>
      <c r="AD11" s="163" t="n">
        <v>19019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TBKK19</t>
        </is>
      </c>
      <c r="AN11" s="96" t="inlineStr">
        <is>
          <t>Kanokporn</t>
        </is>
      </c>
      <c r="AO11" s="96" t="inlineStr">
        <is>
          <t>PAPER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CY-RTN : 13-15/10/2026
REF : PI-HK-TH-DA-26100016
FRT $35, FREE TIME 14/14, DTHC(HKD)2000</t>
        </is>
      </c>
      <c r="BA11" s="97" t="n"/>
      <c r="BB11" s="96" t="inlineStr">
        <is>
          <t>P</t>
        </is>
      </c>
      <c r="BC11" s="161" t="inlineStr">
        <is>
          <t>2026-09-28</t>
        </is>
      </c>
      <c r="BD11" s="161" t="inlineStr">
        <is>
          <t>2026-10-19</t>
        </is>
      </c>
      <c r="BE11" s="96" t="inlineStr">
        <is>
          <t>Y</t>
        </is>
      </c>
      <c r="BF11" s="96" t="inlineStr">
        <is>
          <t>PAPER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LCH27</t>
        </is>
      </c>
      <c r="BL11" s="161" t="inlineStr">
        <is>
          <t>2026-10-13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n"/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kan_b@doublea1991.com</t>
        </is>
      </c>
      <c r="CJ11" s="96" t="inlineStr">
        <is>
          <t>DOUBLE A (1991) PUBLIC COMPANY</t>
        </is>
      </c>
      <c r="CK11" s="96" t="inlineStr">
        <is>
          <t>TO ORDER</t>
        </is>
      </c>
      <c r="CL11" s="96" t="inlineStr">
        <is>
          <t>DOUBLE A INTERNATIONAL TRADING</t>
        </is>
      </c>
      <c r="CM11" s="97" t="n"/>
      <c r="CN11" s="96" t="inlineStr">
        <is>
          <t>202610211700</t>
        </is>
      </c>
      <c r="CO11" s="96" t="inlineStr">
        <is>
          <t>202610222359</t>
        </is>
      </c>
      <c r="CP11" s="97" t="n"/>
      <c r="CQ11" s="96" t="inlineStr">
        <is>
          <t>S19-2312005</t>
        </is>
      </c>
      <c r="CR11" s="96" t="inlineStr">
        <is>
          <t>TH0382</t>
        </is>
      </c>
      <c r="CS11" s="96" t="inlineStr">
        <is>
          <t>DOUBLE A (1991) PUBLIC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2026-10-21</t>
        </is>
      </c>
      <c r="CX11" s="97" t="n"/>
      <c r="CY11" s="183" t="n"/>
    </row>
    <row r="12" ht="12" customHeight="1">
      <c r="A12" s="116" t="inlineStr">
        <is>
          <t>HASLS22261000108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VTS</t>
        </is>
      </c>
      <c r="M12" s="96" t="inlineStr">
        <is>
          <t>SKOR</t>
        </is>
      </c>
      <c r="N12" s="96" t="inlineStr">
        <is>
          <t>2612N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2026-10-24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CNTAP</t>
        </is>
      </c>
      <c r="V12" s="161" t="inlineStr">
        <is>
          <t>2026-10-28</t>
        </is>
      </c>
      <c r="W12" s="96" t="inlineStr">
        <is>
          <t>IA</t>
        </is>
      </c>
      <c r="X12" s="97" t="inlineStr">
        <is>
          <t>Barge</t>
        </is>
      </c>
      <c r="Y12" s="97" t="n"/>
      <c r="Z12" s="97" t="n"/>
      <c r="AA12" s="96" t="inlineStr">
        <is>
          <t>UBE CHEMICALS (ASIA) PUBLIC COMPANY LIMITED</t>
        </is>
      </c>
      <c r="AB12" s="96" t="inlineStr">
        <is>
          <t>THAI SYNTHETIC RUBBERS CO., LTD.</t>
        </is>
      </c>
      <c r="AC12" s="163" t="n">
        <v>18960</v>
      </c>
      <c r="AD12" s="163" t="n">
        <v>21160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TBKK47</t>
        </is>
      </c>
      <c r="AN12" s="96" t="inlineStr">
        <is>
          <t>Tarn(Supaporn)</t>
        </is>
      </c>
      <c r="AO12" s="96" t="inlineStr">
        <is>
          <t>SYNTHETIC RUBBER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CY-RTN 15-16/10/26 (ID-TBA1001 (BR-26078B)</t>
        </is>
      </c>
      <c r="BA12" s="97" t="inlineStr">
        <is>
          <t xml:space="preserve">ROLL OVER FORM PREVIOU VSL KJT 2611N BY ALLOCATION TEAM MS.TARN APPROVED COST IS UNDER HA DD.19/10
SI DD.19/10/26
</t>
        </is>
      </c>
      <c r="BB12" s="96" t="inlineStr">
        <is>
          <t>P</t>
        </is>
      </c>
      <c r="BC12" s="161" t="inlineStr">
        <is>
          <t>2026-10-02</t>
        </is>
      </c>
      <c r="BD12" s="161" t="inlineStr">
        <is>
          <t>2026-10-19</t>
        </is>
      </c>
      <c r="BE12" s="96" t="inlineStr">
        <is>
          <t>Y</t>
        </is>
      </c>
      <c r="BF12" s="96" t="inlineStr">
        <is>
          <t>RUBBER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2026-10-15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nunnaphus@ube.co.th;ugttransportex@ube.co.th</t>
        </is>
      </c>
      <c r="CJ12" s="96" t="inlineStr">
        <is>
          <t>THAI SYNTHETIC RUBBERS COMPANY</t>
        </is>
      </c>
      <c r="CK12" s="96" t="inlineStr">
        <is>
          <t>DONGGUAN YINGTAI COMMERCE CO.,LTD</t>
        </is>
      </c>
      <c r="CL12" s="96" t="inlineStr">
        <is>
          <t>DONGGUAN YINGTAI COMMERCE CO.,LTD</t>
        </is>
      </c>
      <c r="CM12" s="97" t="n"/>
      <c r="CN12" s="96" t="inlineStr">
        <is>
          <t>202610211700</t>
        </is>
      </c>
      <c r="CO12" s="96" t="inlineStr">
        <is>
          <t>202610222359</t>
        </is>
      </c>
      <c r="CP12" s="97" t="n"/>
      <c r="CQ12" s="96" t="inlineStr">
        <is>
          <t>BKK17A0457-1</t>
        </is>
      </c>
      <c r="CR12" s="96" t="inlineStr">
        <is>
          <t>TH035E</t>
        </is>
      </c>
      <c r="CS12" s="96" t="inlineStr">
        <is>
          <t>UBE CHEMICALS (ASIA) PUBLIC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2026-10-23</t>
        </is>
      </c>
      <c r="CX12" s="97" t="inlineStr">
        <is>
          <t>400220</t>
        </is>
      </c>
      <c r="CY12" s="183" t="n"/>
    </row>
    <row r="13" ht="12" customHeight="1">
      <c r="A13" s="116" t="inlineStr">
        <is>
          <t>HASLS22261000305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VTS</t>
        </is>
      </c>
      <c r="M13" s="96" t="inlineStr">
        <is>
          <t>SKOR</t>
        </is>
      </c>
      <c r="N13" s="96" t="inlineStr">
        <is>
          <t>2612N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2026-10-24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2026-10-28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THAI POLYCARBONATE CO., LTD.</t>
        </is>
      </c>
      <c r="AB13" s="96" t="inlineStr">
        <is>
          <t>THAI POLYACETAL CO., LTD.</t>
        </is>
      </c>
      <c r="AC13" s="163" t="n">
        <v>10270</v>
      </c>
      <c r="AD13" s="163" t="n">
        <v>12470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TBKK55</t>
        </is>
      </c>
      <c r="AN13" s="96" t="inlineStr">
        <is>
          <t>Vilaiporn</t>
        </is>
      </c>
      <c r="AO13" s="96" t="inlineStr">
        <is>
          <t>POLYACETAL RESIN IUPITAL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 xml:space="preserve">Pickup : 2026-10-14, Return : 2026-10-16 
** PLEASE CHECK OPEN GATE BEFORE RETURN CONTAINER **
 </t>
        </is>
      </c>
      <c r="BA13" s="97" t="inlineStr">
        <is>
          <t>SI DD.12/10/26</t>
        </is>
      </c>
      <c r="BB13" s="96" t="inlineStr">
        <is>
          <t>P</t>
        </is>
      </c>
      <c r="BC13" s="161" t="inlineStr">
        <is>
          <t>2026-10-05</t>
        </is>
      </c>
      <c r="BD13" s="161" t="inlineStr">
        <is>
          <t>2026-10-12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2026-10-14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thadta.choo@th.tpcc-tpac.com</t>
        </is>
      </c>
      <c r="CJ13" s="96" t="inlineStr">
        <is>
          <t>THAI POLYACETAL CO.,LTD.</t>
        </is>
      </c>
      <c r="CK13" s="96" t="inlineStr">
        <is>
          <t>NAGASE (HONG KONG) LIMITED</t>
        </is>
      </c>
      <c r="CL13" s="96" t="inlineStr">
        <is>
          <t>NAGASE (HONG KONG) LIMITED</t>
        </is>
      </c>
      <c r="CM13" s="97" t="n"/>
      <c r="CN13" s="96" t="inlineStr">
        <is>
          <t>202610211700</t>
        </is>
      </c>
      <c r="CO13" s="96" t="inlineStr">
        <is>
          <t>202610222359</t>
        </is>
      </c>
      <c r="CP13" s="97" t="n"/>
      <c r="CQ13" s="96" t="inlineStr">
        <is>
          <t>S19-2112039</t>
        </is>
      </c>
      <c r="CR13" s="96" t="inlineStr">
        <is>
          <t>THTKNC</t>
        </is>
      </c>
      <c r="CS13" s="96" t="inlineStr">
        <is>
          <t>THAI POLYCARBONATE CO., LTD.</t>
        </is>
      </c>
      <c r="CT13" s="96" t="inlineStr">
        <is>
          <t>N</t>
        </is>
      </c>
      <c r="CU13" s="97" t="n"/>
      <c r="CV13" s="97" t="n"/>
      <c r="CW13" s="161" t="inlineStr">
        <is>
          <t>2026-10-20</t>
        </is>
      </c>
      <c r="CX13" s="97" t="inlineStr">
        <is>
          <t>390710</t>
        </is>
      </c>
      <c r="CY13" s="183" t="n"/>
    </row>
    <row r="14" ht="12" customHeight="1">
      <c r="A14" s="116" t="inlineStr">
        <is>
          <t>HASLS22261000632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VTS</t>
        </is>
      </c>
      <c r="M14" s="96" t="inlineStr">
        <is>
          <t>SKOR</t>
        </is>
      </c>
      <c r="N14" s="96" t="inlineStr">
        <is>
          <t>2612N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2026-10-24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2026-10-28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YUSEN LOGISTICS (THAILAND) CO., LTD.</t>
        </is>
      </c>
      <c r="AB14" s="96" t="inlineStr">
        <is>
          <t>THAI GYPSUM PRODUCTS PCL.</t>
        </is>
      </c>
      <c r="AC14" s="163" t="n">
        <v>19275.99</v>
      </c>
      <c r="AD14" s="163" t="n">
        <v>21475.99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n"/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>GYPROC GYPREX DEW DROP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2026-10-16, Return : 2026-10-19 
** PLEASE CHECK OPEN GATE BEFORE RETURN CONTAINER **</t>
        </is>
      </c>
      <c r="BA14" s="97" t="n"/>
      <c r="BB14" s="96" t="inlineStr">
        <is>
          <t>P</t>
        </is>
      </c>
      <c r="BC14" s="161" t="inlineStr">
        <is>
          <t>2026-10-08</t>
        </is>
      </c>
      <c r="BD14" s="161" t="inlineStr">
        <is>
          <t>2026-10-19</t>
        </is>
      </c>
      <c r="BE14" s="96" t="inlineStr">
        <is>
          <t>Y</t>
        </is>
      </c>
      <c r="BF14" s="96" t="inlineStr">
        <is>
          <t>GYPSUM BOARD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2026-10-16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JIRAWAT.H@th.yusen-logistics.com</t>
        </is>
      </c>
      <c r="CJ14" s="96" t="inlineStr">
        <is>
          <t>YUSEN LOGISTICS (THAILAND) CO., LTD</t>
        </is>
      </c>
      <c r="CK14" s="96" t="inlineStr">
        <is>
          <t>YUSEN LOGISTICS (HONG KONG) LTD.</t>
        </is>
      </c>
      <c r="CL14" s="96" t="inlineStr">
        <is>
          <t>YUSEN LOGISTICS (HONG KONG) LTD.</t>
        </is>
      </c>
      <c r="CM14" s="97" t="n"/>
      <c r="CN14" s="96" t="inlineStr">
        <is>
          <t>202610211700</t>
        </is>
      </c>
      <c r="CO14" s="96" t="inlineStr">
        <is>
          <t>202610222359</t>
        </is>
      </c>
      <c r="CP14" s="97" t="n"/>
      <c r="CQ14" s="96" t="inlineStr">
        <is>
          <t>S19-2112038</t>
        </is>
      </c>
      <c r="CR14" s="96" t="inlineStr">
        <is>
          <t>TH03TL</t>
        </is>
      </c>
      <c r="CS14" s="96" t="inlineStr">
        <is>
          <t>YUSEN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2026-10-21</t>
        </is>
      </c>
      <c r="CX14" s="97" t="n"/>
      <c r="CY14" s="183" t="n"/>
    </row>
    <row r="15" ht="12" customHeight="1">
      <c r="A15" s="116" t="inlineStr">
        <is>
          <t>HASLS22261000754</t>
        </is>
      </c>
      <c r="B15" s="96" t="inlineStr">
        <is>
          <t>R40Hx1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VTS</t>
        </is>
      </c>
      <c r="M15" s="96" t="inlineStr">
        <is>
          <t>SKOR</t>
        </is>
      </c>
      <c r="N15" s="96" t="inlineStr">
        <is>
          <t>2612N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2026-10-24</t>
        </is>
      </c>
      <c r="S15" s="96" t="inlineStr">
        <is>
          <t>CNXMN</t>
        </is>
      </c>
      <c r="T15" s="96" t="inlineStr">
        <is>
          <t>XMN01</t>
        </is>
      </c>
      <c r="U15" s="96" t="inlineStr">
        <is>
          <t>CNXMN</t>
        </is>
      </c>
      <c r="V15" s="161" t="inlineStr">
        <is>
          <t>2026-10-29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GOLDEN SEA FROZEN FOODS CO.,LTD</t>
        </is>
      </c>
      <c r="AB15" s="96" t="inlineStr">
        <is>
          <t>GOLDEN SEA FROZEN FOODS CO.,LTD</t>
        </is>
      </c>
      <c r="AC15" s="163" t="n">
        <v>27399.1</v>
      </c>
      <c r="AD15" s="163" t="n">
        <v>31399.1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n"/>
      <c r="AJ15" s="97" t="n"/>
      <c r="AK15" s="97" t="n"/>
      <c r="AL15" s="97" t="n"/>
      <c r="AM15" s="96" t="inlineStr">
        <is>
          <t>TBKK19</t>
        </is>
      </c>
      <c r="AN15" s="96" t="inlineStr">
        <is>
          <t>Kanokporn</t>
        </is>
      </c>
      <c r="AO15" s="96" t="inlineStr">
        <is>
          <t>FROZEN CROAKER FISH</t>
        </is>
      </c>
      <c r="AP15" s="96" t="inlineStr">
        <is>
          <t>Normal</t>
        </is>
      </c>
      <c r="AQ15" s="97" t="n"/>
      <c r="AR15" s="97" t="n"/>
      <c r="AS15" s="97" t="inlineStr">
        <is>
          <t>RF// MIN:-18.0 MAX:-18.0 [COVER:CLOSE]</t>
        </is>
      </c>
      <c r="AT15" s="97" t="inlineStr">
        <is>
          <t xml:space="preserve">45REx1 </t>
        </is>
      </c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2026-10-16, Return : 2026-10-20 (Temp -18.0 / Vent Close) 
CLS TIME 20/10/26 @23.59</t>
        </is>
      </c>
      <c r="BA15" s="97" t="inlineStr">
        <is>
          <t>SI DD.20/10/26</t>
        </is>
      </c>
      <c r="BB15" s="96" t="inlineStr">
        <is>
          <t>P</t>
        </is>
      </c>
      <c r="BC15" s="161" t="inlineStr">
        <is>
          <t>2026-10-09</t>
        </is>
      </c>
      <c r="BD15" s="161" t="inlineStr">
        <is>
          <t>2026-10-20</t>
        </is>
      </c>
      <c r="BE15" s="96" t="inlineStr">
        <is>
          <t>Y</t>
        </is>
      </c>
      <c r="BF15" s="96" t="inlineStr">
        <is>
          <t>FROZEN FISH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2026-10-16</t>
        </is>
      </c>
      <c r="BM15" s="127" t="n"/>
      <c r="BN15" s="127" t="n"/>
      <c r="BO15" s="127" t="n"/>
      <c r="BP15" s="127" t="n"/>
      <c r="BQ15" s="127" t="n"/>
      <c r="BR15" s="127" t="n">
        <v>1</v>
      </c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gsf.goldensea@gmail.com</t>
        </is>
      </c>
      <c r="CJ15" s="96" t="inlineStr">
        <is>
          <t>GOLDEN SEA FROZEN FOODS CO.,LTD.</t>
        </is>
      </c>
      <c r="CK15" s="96" t="inlineStr">
        <is>
          <t>XIAMEN BOYUANSHUN TRADE AGENT</t>
        </is>
      </c>
      <c r="CL15" s="96" t="inlineStr">
        <is>
          <t>XIAMEN BOYUANSHUN TRADE AGENT</t>
        </is>
      </c>
      <c r="CM15" s="97" t="n"/>
      <c r="CN15" s="96" t="inlineStr">
        <is>
          <t>202610211700</t>
        </is>
      </c>
      <c r="CO15" s="96" t="inlineStr">
        <is>
          <t>202610222359</t>
        </is>
      </c>
      <c r="CP15" s="97" t="inlineStr">
        <is>
          <t>45RE x1: RF(Temp:-18.0' / Cover:CLOSE)</t>
        </is>
      </c>
      <c r="CQ15" s="96" t="inlineStr">
        <is>
          <t>S22-2507029</t>
        </is>
      </c>
      <c r="CR15" s="96" t="inlineStr">
        <is>
          <t>THTXYN</t>
        </is>
      </c>
      <c r="CS15" s="96" t="inlineStr">
        <is>
          <t>GOLDEN SEA FROZEN FOODS CO.,LTD</t>
        </is>
      </c>
      <c r="CT15" s="96" t="inlineStr">
        <is>
          <t>N</t>
        </is>
      </c>
      <c r="CU15" s="97" t="n"/>
      <c r="CV15" s="97" t="n"/>
      <c r="CW15" s="161" t="inlineStr">
        <is>
          <t>2026-10-21</t>
        </is>
      </c>
      <c r="CX15" s="97" t="n"/>
      <c r="CY15" s="183" t="n"/>
    </row>
    <row r="16" ht="12" customHeight="1">
      <c r="A16" s="116" t="inlineStr">
        <is>
          <t>HASLS22261000789</t>
        </is>
      </c>
      <c r="B16" s="96" t="inlineStr">
        <is>
          <t>40Hx1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0</v>
      </c>
      <c r="H16" s="97" t="n">
        <v>0</v>
      </c>
      <c r="I16" s="97" t="n">
        <v>1</v>
      </c>
      <c r="J16" s="97" t="n">
        <v>2</v>
      </c>
      <c r="K16" s="96" t="inlineStr">
        <is>
          <t>N</t>
        </is>
      </c>
      <c r="L16" s="96" t="inlineStr">
        <is>
          <t>VTS</t>
        </is>
      </c>
      <c r="M16" s="96" t="inlineStr">
        <is>
          <t>SKOR</t>
        </is>
      </c>
      <c r="N16" s="96" t="inlineStr">
        <is>
          <t>2612N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2026-10-24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CNLIH</t>
        </is>
      </c>
      <c r="V16" s="161" t="inlineStr">
        <is>
          <t>2026-10-28</t>
        </is>
      </c>
      <c r="W16" s="96" t="inlineStr">
        <is>
          <t>IA</t>
        </is>
      </c>
      <c r="X16" s="97" t="inlineStr">
        <is>
          <t>Barge</t>
        </is>
      </c>
      <c r="Y16" s="97" t="n"/>
      <c r="Z16" s="97" t="n"/>
      <c r="AA16" s="96" t="inlineStr">
        <is>
          <t>ORIENTAL LOGISTICS GROUP (THAILAND) CO., LTD.</t>
        </is>
      </c>
      <c r="AB16" s="96" t="inlineStr">
        <is>
          <t>ANDAMAN METAL CO., LTD.</t>
        </is>
      </c>
      <c r="AC16" s="163" t="n">
        <v>27660</v>
      </c>
      <c r="AD16" s="163" t="n">
        <v>31660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n"/>
      <c r="AJ16" s="97" t="n"/>
      <c r="AK16" s="97" t="n"/>
      <c r="AL16" s="97" t="n"/>
      <c r="AM16" s="96" t="inlineStr">
        <is>
          <t>TH0011</t>
        </is>
      </c>
      <c r="AN16" s="96" t="inlineStr">
        <is>
          <t>Nannaapust Sukporntaweewat</t>
        </is>
      </c>
      <c r="AO16" s="96" t="inlineStr">
        <is>
          <t xml:space="preserve">RECYCLING MATERIAL FOR COPPER ALLOY 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Pickup : 2026-10-09, Return : 2026-10-10
**CHECK OPENGATE BEFORE RETURN CNTR**</t>
        </is>
      </c>
      <c r="BA16" s="97" t="inlineStr">
        <is>
          <t>ROLL OVER FROM PREVIOUS VSL KMTP  2612N BY ALLOCATION TEAM MS,TARN APPROVED COST IS UNDER HA DD.13/10</t>
        </is>
      </c>
      <c r="BB16" s="96" t="inlineStr">
        <is>
          <t>P</t>
        </is>
      </c>
      <c r="BC16" s="161" t="inlineStr">
        <is>
          <t>2026-10-09</t>
        </is>
      </c>
      <c r="BD16" s="161" t="inlineStr">
        <is>
          <t>2026-10-13</t>
        </is>
      </c>
      <c r="BE16" s="96" t="inlineStr">
        <is>
          <t>Y</t>
        </is>
      </c>
      <c r="BF16" s="96" t="inlineStr">
        <is>
          <t>COPPER RECYCLE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2026-10-09</t>
        </is>
      </c>
      <c r="BM16" s="127" t="n"/>
      <c r="BN16" s="127" t="n"/>
      <c r="BO16" s="127" t="n"/>
      <c r="BP16" s="127" t="n">
        <v>1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bkkexp@bkk.olc-group.com</t>
        </is>
      </c>
      <c r="CJ16" s="96" t="inlineStr">
        <is>
          <t>TLS STEEL CO.,LTD.</t>
        </is>
      </c>
      <c r="CK16" s="96" t="inlineStr">
        <is>
          <t>GUANGZHOU HAIYA SUPPLY CHAIN</t>
        </is>
      </c>
      <c r="CL16" s="96" t="inlineStr">
        <is>
          <t>WAN TONG METAL GROUP</t>
        </is>
      </c>
      <c r="CM16" s="97" t="n"/>
      <c r="CN16" s="96" t="inlineStr">
        <is>
          <t>202610211700</t>
        </is>
      </c>
      <c r="CO16" s="96" t="inlineStr">
        <is>
          <t>202610222359</t>
        </is>
      </c>
      <c r="CP16" s="97" t="n"/>
      <c r="CQ16" s="96" t="inlineStr">
        <is>
          <t>S22-2510023</t>
        </is>
      </c>
      <c r="CR16" s="96" t="inlineStr">
        <is>
          <t>THTHCD</t>
        </is>
      </c>
      <c r="CS16" s="96" t="inlineStr">
        <is>
          <t>ORIENTAL LOGISTICS GROUP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2026-10-21</t>
        </is>
      </c>
      <c r="CX16" s="97" t="n"/>
      <c r="CY16" s="183" t="inlineStr">
        <is>
          <t>ROLL OVER FROM PREVIOUS VSL KMTP  2612N BY ALLOCATION TEAM MS,TARN APPROVED COST IS UNDER HA DD.13/10</t>
        </is>
      </c>
    </row>
    <row r="17" ht="12" customHeight="1">
      <c r="A17" s="116" t="inlineStr">
        <is>
          <t>HASLS22261000817</t>
        </is>
      </c>
      <c r="B17" s="96" t="inlineStr">
        <is>
          <t>40Hx1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VTS</t>
        </is>
      </c>
      <c r="M17" s="96" t="inlineStr">
        <is>
          <t>SKOR</t>
        </is>
      </c>
      <c r="N17" s="96" t="inlineStr">
        <is>
          <t>2612N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2026-10-24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2026-10-28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DOLPHIN LOGISTICS (THAILAND) CO., LTD.</t>
        </is>
      </c>
      <c r="AB17" s="96" t="inlineStr">
        <is>
          <t>I ONE TECHNOLOGY (THAILAND) CO.,LTD.</t>
        </is>
      </c>
      <c r="AC17" s="163" t="n">
        <v>6563.7</v>
      </c>
      <c r="AD17" s="163" t="n">
        <v>10563.7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n"/>
      <c r="AJ17" s="97" t="n"/>
      <c r="AK17" s="97" t="n"/>
      <c r="AL17" s="97" t="n"/>
      <c r="AM17" s="96" t="inlineStr">
        <is>
          <t>TH0042</t>
        </is>
      </c>
      <c r="AN17" s="96" t="inlineStr">
        <is>
          <t>Sukunpoj Damrongying</t>
        </is>
      </c>
      <c r="AO17" s="96" t="inlineStr">
        <is>
          <t>GAMING MOUSE + CHARGING CABLE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Pickup : 2026-10-20, Return : 2026-10-20 (EXTEND CLOSING 21/10/26 @06.00)
2SHPs: I ONE TECHNOLOGY (THAILAND) CO.,LTD. + YUEYANG ELECTRONICS (THAILAND) CO., LTD.</t>
        </is>
      </c>
      <c r="BA17" s="97" t="inlineStr">
        <is>
          <t>FM KMTP 2612N BY K'EARTH DD.12/10/2026
FM COMM: GAMING MOUSE 17/10  // 2SHPs: I ONE TECHNOLOGY (THAILAND) CO.,LTD. + YUEYANG ELECTRONICS (THAILAND) CO., LTD.2 SHPs: I ONE TECHNOLOGY (THAILAND) CO.,LTD. + YUEYANG ELECTRONICS (THAILAND) CO., LTD.REQUEST GOOD, CLEAN AND NO LEAK CONTAINER</t>
        </is>
      </c>
      <c r="BB17" s="96" t="inlineStr">
        <is>
          <t>P</t>
        </is>
      </c>
      <c r="BC17" s="161" t="inlineStr">
        <is>
          <t>2026-10-09</t>
        </is>
      </c>
      <c r="BD17" s="161" t="inlineStr">
        <is>
          <t>2026-10-21</t>
        </is>
      </c>
      <c r="BE17" s="96" t="inlineStr">
        <is>
          <t>Y</t>
        </is>
      </c>
      <c r="BF17" s="96" t="inlineStr">
        <is>
          <t>GAMING MOUSE + CHARGING CABLE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2026-10-20</t>
        </is>
      </c>
      <c r="BM17" s="127" t="n"/>
      <c r="BN17" s="127" t="n"/>
      <c r="BO17" s="127" t="n"/>
      <c r="BP17" s="127" t="n">
        <v>1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dolphin-th-exp@dolphinth.com</t>
        </is>
      </c>
      <c r="CJ17" s="96" t="inlineStr">
        <is>
          <t>DOLPHIN LOGISTICS (THAILAND)</t>
        </is>
      </c>
      <c r="CK17" s="96" t="inlineStr">
        <is>
          <t>SIG FAI TRANSPORTATION COMPA</t>
        </is>
      </c>
      <c r="CL17" s="96" t="inlineStr">
        <is>
          <t>SIG FAI TRANSPORTATION COMPANY</t>
        </is>
      </c>
      <c r="CM17" s="97" t="n"/>
      <c r="CN17" s="96" t="inlineStr">
        <is>
          <t>202610211700</t>
        </is>
      </c>
      <c r="CO17" s="96" t="inlineStr">
        <is>
          <t>202610222359</t>
        </is>
      </c>
      <c r="CP17" s="97" t="n"/>
      <c r="CQ17" s="96" t="inlineStr">
        <is>
          <t>S22-2308056</t>
        </is>
      </c>
      <c r="CR17" s="96" t="inlineStr">
        <is>
          <t>TH018T</t>
        </is>
      </c>
      <c r="CS17" s="96" t="inlineStr">
        <is>
          <t>DOLPHIN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2026-10-23</t>
        </is>
      </c>
      <c r="CX17" s="97" t="n"/>
      <c r="CY17" s="183" t="n"/>
    </row>
    <row r="18" ht="12" customHeight="1">
      <c r="A18" s="116" t="inlineStr">
        <is>
          <t>HASLS22261000845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VTS</t>
        </is>
      </c>
      <c r="M18" s="96" t="inlineStr">
        <is>
          <t>SKOR</t>
        </is>
      </c>
      <c r="N18" s="96" t="inlineStr">
        <is>
          <t>2612N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2026-10-24</t>
        </is>
      </c>
      <c r="S18" s="96" t="inlineStr">
        <is>
          <t>CNXMN</t>
        </is>
      </c>
      <c r="T18" s="96" t="inlineStr">
        <is>
          <t>XMN01</t>
        </is>
      </c>
      <c r="U18" s="96" t="inlineStr">
        <is>
          <t>CNXMN</t>
        </is>
      </c>
      <c r="V18" s="161" t="inlineStr">
        <is>
          <t>2026-10-29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DIMERCO EXPRESS (THAILAND) CO., LTD.</t>
        </is>
      </c>
      <c r="AB18" s="96" t="inlineStr">
        <is>
          <t>LEEDARSON IOT TECHNOLOGY (THAILAND) CO., LTD.</t>
        </is>
      </c>
      <c r="AC18" s="163" t="n">
        <v>1508.8</v>
      </c>
      <c r="AD18" s="163" t="n">
        <v>3708.8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TBKK28</t>
        </is>
      </c>
      <c r="AN18" s="96" t="inlineStr">
        <is>
          <t>Nustsireerach</t>
        </is>
      </c>
      <c r="AO18" s="96" t="inlineStr">
        <is>
          <t>LAMPSHADE ASSEMBLY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2026-10-19, Return : 2026-10-19</t>
        </is>
      </c>
      <c r="BA18" s="97" t="n"/>
      <c r="BB18" s="96" t="inlineStr">
        <is>
          <t>P</t>
        </is>
      </c>
      <c r="BC18" s="161" t="inlineStr">
        <is>
          <t>2026-10-12</t>
        </is>
      </c>
      <c r="BD18" s="161" t="inlineStr">
        <is>
          <t>2026-10-20</t>
        </is>
      </c>
      <c r="BE18" s="96" t="inlineStr">
        <is>
          <t>Y</t>
        </is>
      </c>
      <c r="BF18" s="96" t="inlineStr">
        <is>
          <t>LAMP LIGHT SOURCE PART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2026-10-19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oe_dimbkk@dimerco.com</t>
        </is>
      </c>
      <c r="CJ18" s="96" t="inlineStr">
        <is>
          <t>DIMERCO EXPRESS (THAILAND) CO.,LTD.</t>
        </is>
      </c>
      <c r="CK18" s="96" t="inlineStr">
        <is>
          <t>DIVERSIFIED INTERNATIONAL</t>
        </is>
      </c>
      <c r="CL18" s="96" t="inlineStr">
        <is>
          <t>DIVERSIFIED INTERNATIONAL</t>
        </is>
      </c>
      <c r="CM18" s="97" t="n"/>
      <c r="CN18" s="96" t="inlineStr">
        <is>
          <t>202610211700</t>
        </is>
      </c>
      <c r="CO18" s="96" t="inlineStr">
        <is>
          <t>202610222359</t>
        </is>
      </c>
      <c r="CP18" s="97" t="n"/>
      <c r="CQ18" s="96" t="inlineStr">
        <is>
          <t>S19-2307006</t>
        </is>
      </c>
      <c r="CR18" s="96" t="inlineStr">
        <is>
          <t>BB0164</t>
        </is>
      </c>
      <c r="CS18" s="96" t="inlineStr">
        <is>
          <t>DIMERCO EXPRESS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2026-10-21</t>
        </is>
      </c>
      <c r="CX18" s="97" t="n"/>
      <c r="CY18" s="183" t="n"/>
    </row>
    <row r="19" ht="12" customHeight="1">
      <c r="A19" s="116" t="inlineStr">
        <is>
          <t>HASLS22261000929</t>
        </is>
      </c>
      <c r="B19" s="96" t="inlineStr">
        <is>
          <t>R40Hx1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VTS</t>
        </is>
      </c>
      <c r="M19" s="96" t="inlineStr">
        <is>
          <t>SKOR</t>
        </is>
      </c>
      <c r="N19" s="96" t="inlineStr">
        <is>
          <t>2612N</t>
        </is>
      </c>
      <c r="O19" s="96" t="inlineStr">
        <is>
          <t>THLCH</t>
        </is>
      </c>
      <c r="P19" s="96" t="inlineStr">
        <is>
          <t>LCH04</t>
        </is>
      </c>
      <c r="Q19" s="96" t="inlineStr">
        <is>
          <t>IA</t>
        </is>
      </c>
      <c r="R19" s="161" t="inlineStr">
        <is>
          <t>2026-10-24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HKHKG</t>
        </is>
      </c>
      <c r="V19" s="161" t="inlineStr">
        <is>
          <t>2026-10-28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STAR SHIPPING CARGO LIKES CO., LTD.</t>
        </is>
      </c>
      <c r="AB19" s="96" t="inlineStr">
        <is>
          <t>AN NAM DRAGON 2017 CO., LTD.</t>
        </is>
      </c>
      <c r="AC19" s="163" t="n">
        <v>23034.3</v>
      </c>
      <c r="AD19" s="163" t="n">
        <v>27034.3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n"/>
      <c r="AJ19" s="97" t="n"/>
      <c r="AK19" s="97" t="n"/>
      <c r="AL19" s="97" t="n"/>
      <c r="AM19" s="96" t="inlineStr">
        <is>
          <t>TBKK97</t>
        </is>
      </c>
      <c r="AN19" s="96" t="inlineStr">
        <is>
          <t>Arunphat W. (Aiw)</t>
        </is>
      </c>
      <c r="AO19" s="96" t="inlineStr">
        <is>
          <t>FRESH FRUITS, VEGETABLES, FOODSTUFF</t>
        </is>
      </c>
      <c r="AP19" s="96" t="inlineStr">
        <is>
          <t>Normal</t>
        </is>
      </c>
      <c r="AQ19" s="97" t="n"/>
      <c r="AR19" s="97" t="n"/>
      <c r="AS19" s="97" t="inlineStr">
        <is>
          <t>RF// MIN:+4.0 MAX:+4.0 [COVER:OPEN]</t>
        </is>
      </c>
      <c r="AT19" s="97" t="inlineStr">
        <is>
          <t xml:space="preserve">45REx1 </t>
        </is>
      </c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Pickup : 2026-10-17, Return : 2026-10-19  (Temp +4.0 / Vent 15% Open) 
CLS TIME 22/10/26 @23.59 [1ST RTN 21/10 W/O ELECTRIC] 
</t>
        </is>
      </c>
      <c r="BA19" s="97" t="n"/>
      <c r="BB19" s="96" t="inlineStr">
        <is>
          <t>P</t>
        </is>
      </c>
      <c r="BC19" s="161" t="inlineStr">
        <is>
          <t>2026-10-12</t>
        </is>
      </c>
      <c r="BD19" s="161" t="inlineStr">
        <is>
          <t>2026-10-20</t>
        </is>
      </c>
      <c r="BE19" s="96" t="inlineStr">
        <is>
          <t>Y</t>
        </is>
      </c>
      <c r="BF19" s="96" t="inlineStr">
        <is>
          <t>FRESH FRUITS, VEGETABLES, FOODSTUFF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LCH27</t>
        </is>
      </c>
      <c r="BL19" s="161" t="inlineStr">
        <is>
          <t>2026-10-17</t>
        </is>
      </c>
      <c r="BM19" s="127" t="n"/>
      <c r="BN19" s="127" t="n"/>
      <c r="BO19" s="127" t="n"/>
      <c r="BP19" s="127" t="n"/>
      <c r="BQ19" s="127" t="n"/>
      <c r="BR19" s="127" t="n">
        <v>1</v>
      </c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LCH04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STARSHIPPING.IM@GMAIL.COM</t>
        </is>
      </c>
      <c r="CJ19" s="96" t="inlineStr">
        <is>
          <t>AN NAM DRAGON 2017 CO.,LTD.</t>
        </is>
      </c>
      <c r="CK19" s="96" t="inlineStr">
        <is>
          <t>XIN THAI XIANG IMPORTS AND</t>
        </is>
      </c>
      <c r="CL19" s="96" t="inlineStr">
        <is>
          <t>XIN THAI XIANG IMPORTS AND</t>
        </is>
      </c>
      <c r="CM19" s="97" t="n"/>
      <c r="CN19" s="96" t="inlineStr">
        <is>
          <t>202610211700</t>
        </is>
      </c>
      <c r="CO19" s="96" t="inlineStr">
        <is>
          <t>202610222359</t>
        </is>
      </c>
      <c r="CP19" s="97" t="inlineStr">
        <is>
          <t>45RE x1: RF(Temp:+4.0' / Cover:FULL OPEN)</t>
        </is>
      </c>
      <c r="CQ19" s="96" t="inlineStr">
        <is>
          <t>S22-2401023</t>
        </is>
      </c>
      <c r="CR19" s="96" t="inlineStr">
        <is>
          <t>THTQZX</t>
        </is>
      </c>
      <c r="CS19" s="96" t="inlineStr">
        <is>
          <t>STAR SHIPPING CARGO LIKES CO., LTD.</t>
        </is>
      </c>
      <c r="CT19" s="96" t="inlineStr">
        <is>
          <t>N</t>
        </is>
      </c>
      <c r="CU19" s="97" t="n"/>
      <c r="CV19" s="97" t="n"/>
      <c r="CW19" s="161" t="inlineStr">
        <is>
          <t>2026-10-23</t>
        </is>
      </c>
      <c r="CX19" s="97" t="n"/>
      <c r="CY19" s="183" t="n"/>
    </row>
    <row r="20" ht="12" customHeight="1">
      <c r="A20" s="116" t="inlineStr">
        <is>
          <t>HASLS22261001014</t>
        </is>
      </c>
      <c r="B20" s="96" t="inlineStr">
        <is>
          <t>R40Hx1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0</v>
      </c>
      <c r="H20" s="97" t="n">
        <v>0</v>
      </c>
      <c r="I20" s="97" t="n">
        <v>1</v>
      </c>
      <c r="J20" s="97" t="n">
        <v>2</v>
      </c>
      <c r="K20" s="96" t="inlineStr">
        <is>
          <t>N</t>
        </is>
      </c>
      <c r="L20" s="96" t="inlineStr">
        <is>
          <t>VTS</t>
        </is>
      </c>
      <c r="M20" s="96" t="inlineStr">
        <is>
          <t>SKOR</t>
        </is>
      </c>
      <c r="N20" s="96" t="inlineStr">
        <is>
          <t>2612N</t>
        </is>
      </c>
      <c r="O20" s="96" t="inlineStr">
        <is>
          <t>THLCH</t>
        </is>
      </c>
      <c r="P20" s="96" t="inlineStr">
        <is>
          <t>LCH04</t>
        </is>
      </c>
      <c r="Q20" s="96" t="inlineStr">
        <is>
          <t>IA</t>
        </is>
      </c>
      <c r="R20" s="161" t="inlineStr">
        <is>
          <t>2026-10-24</t>
        </is>
      </c>
      <c r="S20" s="96" t="inlineStr">
        <is>
          <t>CNXMN</t>
        </is>
      </c>
      <c r="T20" s="96" t="inlineStr">
        <is>
          <t>XMN01</t>
        </is>
      </c>
      <c r="U20" s="96" t="inlineStr">
        <is>
          <t>CNXMN</t>
        </is>
      </c>
      <c r="V20" s="161" t="inlineStr">
        <is>
          <t>2026-10-29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GOLDEN SEA FROZEN FOODS CO.,LTD</t>
        </is>
      </c>
      <c r="AB20" s="96" t="inlineStr">
        <is>
          <t>GOLDEN SEA FROZEN FOODS CO.,LTD</t>
        </is>
      </c>
      <c r="AC20" s="163" t="n">
        <v>28890</v>
      </c>
      <c r="AD20" s="163" t="n">
        <v>32890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n"/>
      <c r="AJ20" s="97" t="n"/>
      <c r="AK20" s="97" t="n"/>
      <c r="AL20" s="97" t="n"/>
      <c r="AM20" s="96" t="inlineStr">
        <is>
          <t>TBKK19</t>
        </is>
      </c>
      <c r="AN20" s="96" t="inlineStr">
        <is>
          <t>Kanokporn</t>
        </is>
      </c>
      <c r="AO20" s="96" t="inlineStr">
        <is>
          <t>FROZEN LEATHER JACKET FISH HEADLESS SKINLESS</t>
        </is>
      </c>
      <c r="AP20" s="96" t="inlineStr">
        <is>
          <t>Normal</t>
        </is>
      </c>
      <c r="AQ20" s="97" t="n"/>
      <c r="AR20" s="97" t="n"/>
      <c r="AS20" s="97" t="inlineStr">
        <is>
          <t>RF// MIN:-18.0 MAX:-18.0 [COVER:CLOSE]</t>
        </is>
      </c>
      <c r="AT20" s="97" t="inlineStr">
        <is>
          <t xml:space="preserve">45REx1 </t>
        </is>
      </c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>Pickup : 2026-10-16, Return : 2026-10-20 (Temp -18.0 / Vent Close) 
CLS TIME 22/10/26 @23.59 (1ST DATE RTN 21/10/2026 W/O RENT,ELECTRIC)</t>
        </is>
      </c>
      <c r="BA20" s="97" t="inlineStr">
        <is>
          <t>SI DD.21/10/26</t>
        </is>
      </c>
      <c r="BB20" s="96" t="inlineStr">
        <is>
          <t>P</t>
        </is>
      </c>
      <c r="BC20" s="161" t="inlineStr">
        <is>
          <t>2026-10-14</t>
        </is>
      </c>
      <c r="BD20" s="161" t="inlineStr">
        <is>
          <t>2026-10-21</t>
        </is>
      </c>
      <c r="BE20" s="96" t="inlineStr">
        <is>
          <t>Y</t>
        </is>
      </c>
      <c r="BF20" s="96" t="inlineStr">
        <is>
          <t>FROZEN FISH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LCH27</t>
        </is>
      </c>
      <c r="BL20" s="161" t="inlineStr">
        <is>
          <t>2026-10-16</t>
        </is>
      </c>
      <c r="BM20" s="127" t="n"/>
      <c r="BN20" s="127" t="n"/>
      <c r="BO20" s="127" t="n"/>
      <c r="BP20" s="127" t="n"/>
      <c r="BQ20" s="127" t="n"/>
      <c r="BR20" s="127" t="n">
        <v>1</v>
      </c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LCH04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gsf.goldensea@gmail.com</t>
        </is>
      </c>
      <c r="CJ20" s="96" t="inlineStr">
        <is>
          <t>GOLDEN SEA FROZEN FOODS CO.,LTD.</t>
        </is>
      </c>
      <c r="CK20" s="96" t="inlineStr">
        <is>
          <t>XIAMEN THAI LUCKY FOOD COLD CHAIN</t>
        </is>
      </c>
      <c r="CL20" s="96" t="inlineStr">
        <is>
          <t>XIAMEN THAI LUCKY FOOD COLD CHAIN</t>
        </is>
      </c>
      <c r="CM20" s="97" t="n"/>
      <c r="CN20" s="96" t="inlineStr">
        <is>
          <t>202610211700</t>
        </is>
      </c>
      <c r="CO20" s="96" t="inlineStr">
        <is>
          <t>202610222359</t>
        </is>
      </c>
      <c r="CP20" s="97" t="inlineStr">
        <is>
          <t>45RE x1: RF(Temp:-18.0' / Cover:CLOSE)</t>
        </is>
      </c>
      <c r="CQ20" s="96" t="inlineStr">
        <is>
          <t>S22-2507029</t>
        </is>
      </c>
      <c r="CR20" s="96" t="inlineStr">
        <is>
          <t>THTXYN</t>
        </is>
      </c>
      <c r="CS20" s="96" t="inlineStr">
        <is>
          <t>GOLDEN SEA FROZEN FOODS CO.,LTD</t>
        </is>
      </c>
      <c r="CT20" s="96" t="inlineStr">
        <is>
          <t>N</t>
        </is>
      </c>
      <c r="CU20" s="97" t="n"/>
      <c r="CV20" s="97" t="n"/>
      <c r="CW20" s="161" t="inlineStr">
        <is>
          <t>2026-10-23</t>
        </is>
      </c>
      <c r="CX20" s="97" t="n"/>
      <c r="CY20" s="183" t="n"/>
    </row>
    <row r="21" ht="12" customHeight="1">
      <c r="A21" s="116" t="inlineStr">
        <is>
          <t>HASLS22261001127</t>
        </is>
      </c>
      <c r="B21" s="96" t="inlineStr">
        <is>
          <t>40Hx1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0</v>
      </c>
      <c r="H21" s="97" t="n">
        <v>0</v>
      </c>
      <c r="I21" s="97" t="n">
        <v>1</v>
      </c>
      <c r="J21" s="97" t="n">
        <v>2</v>
      </c>
      <c r="K21" s="96" t="inlineStr">
        <is>
          <t>N</t>
        </is>
      </c>
      <c r="L21" s="96" t="inlineStr">
        <is>
          <t>VTS</t>
        </is>
      </c>
      <c r="M21" s="96" t="inlineStr">
        <is>
          <t>SKOR</t>
        </is>
      </c>
      <c r="N21" s="96" t="inlineStr">
        <is>
          <t>2612N</t>
        </is>
      </c>
      <c r="O21" s="96" t="inlineStr">
        <is>
          <t>THLCH</t>
        </is>
      </c>
      <c r="P21" s="96" t="inlineStr">
        <is>
          <t>LCH04</t>
        </is>
      </c>
      <c r="Q21" s="96" t="inlineStr">
        <is>
          <t>IA</t>
        </is>
      </c>
      <c r="R21" s="161" t="inlineStr">
        <is>
          <t>2026-10-24</t>
        </is>
      </c>
      <c r="S21" s="96" t="inlineStr">
        <is>
          <t>KRPUS</t>
        </is>
      </c>
      <c r="T21" s="96" t="inlineStr">
        <is>
          <t>PUSH4</t>
        </is>
      </c>
      <c r="U21" s="96" t="inlineStr">
        <is>
          <t>KRPUS</t>
        </is>
      </c>
      <c r="V21" s="161" t="inlineStr">
        <is>
          <t>2026-11-01</t>
        </is>
      </c>
      <c r="W21" s="96" t="inlineStr">
        <is>
          <t>KR</t>
        </is>
      </c>
      <c r="X21" s="97" t="n"/>
      <c r="Y21" s="97" t="n"/>
      <c r="Z21" s="97" t="n"/>
      <c r="AA21" s="96" t="inlineStr">
        <is>
          <t>LOGISALL (THAILAND) CO., LTD.</t>
        </is>
      </c>
      <c r="AB21" s="96" t="inlineStr">
        <is>
          <t>DOOCHEON AUTOMOTIVE (THAILAND) CO., LTD.</t>
        </is>
      </c>
      <c r="AC21" s="163" t="n">
        <v>5479.35</v>
      </c>
      <c r="AD21" s="163" t="n">
        <v>9479.35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n"/>
      <c r="AJ21" s="97" t="n"/>
      <c r="AK21" s="97" t="n"/>
      <c r="AL21" s="97" t="n"/>
      <c r="AM21" s="96" t="inlineStr">
        <is>
          <t>TH0031</t>
        </is>
      </c>
      <c r="AN21" s="96" t="inlineStr">
        <is>
          <t>Pattarapong Saengthong</t>
        </is>
      </c>
      <c r="AO21" s="96" t="inlineStr">
        <is>
          <t>PARTS AUTOMOTIVE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 xml:space="preserve">Pickup : 2026-10-20, Return : 2026-10-20 // EXTEND CLS TIME 21/10 @23.59 
 ** PLEASE CHECK OPEN GATE BEFORE RETURN CNTR **
</t>
        </is>
      </c>
      <c r="BA21" s="97" t="inlineStr">
        <is>
          <t xml:space="preserve">FM SWMM 2610N BY HAL DD 20/10 </t>
        </is>
      </c>
      <c r="BB21" s="96" t="inlineStr">
        <is>
          <t>C</t>
        </is>
      </c>
      <c r="BC21" s="161" t="inlineStr">
        <is>
          <t>2026-10-15</t>
        </is>
      </c>
      <c r="BD21" s="161" t="inlineStr">
        <is>
          <t>2026-10-20</t>
        </is>
      </c>
      <c r="BE21" s="96" t="inlineStr">
        <is>
          <t>Y</t>
        </is>
      </c>
      <c r="BF21" s="96" t="inlineStr">
        <is>
          <t>PARTS AUTOMOTIVE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2026-10-20</t>
        </is>
      </c>
      <c r="BM21" s="127" t="n"/>
      <c r="BN21" s="127" t="n"/>
      <c r="BO21" s="127" t="n"/>
      <c r="BP21" s="127" t="n">
        <v>1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LCH04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exportlat@logisall.com</t>
        </is>
      </c>
      <c r="CJ21" s="96" t="inlineStr">
        <is>
          <t>LOGISALL (THAILAND) CO.,LTD</t>
        </is>
      </c>
      <c r="CK21" s="96" t="inlineStr">
        <is>
          <t>HANSOL LOGISTICS CO.,LTD</t>
        </is>
      </c>
      <c r="CL21" s="96" t="inlineStr">
        <is>
          <t>HANSOL LOGISTICS CO.,LTD</t>
        </is>
      </c>
      <c r="CM21" s="97" t="n"/>
      <c r="CN21" s="96" t="inlineStr">
        <is>
          <t>202610211700</t>
        </is>
      </c>
      <c r="CO21" s="96" t="inlineStr">
        <is>
          <t>202610222359</t>
        </is>
      </c>
      <c r="CP21" s="97" t="n"/>
      <c r="CQ21" s="96" t="inlineStr">
        <is>
          <t>K01-2302069</t>
        </is>
      </c>
      <c r="CR21" s="96" t="inlineStr">
        <is>
          <t>THTNH7</t>
        </is>
      </c>
      <c r="CS21" s="96" t="inlineStr">
        <is>
          <t>LOGISALL (THAILAND) CO., LTD.</t>
        </is>
      </c>
      <c r="CT21" s="96" t="inlineStr">
        <is>
          <t>N</t>
        </is>
      </c>
      <c r="CU21" s="97" t="n"/>
      <c r="CV21" s="97" t="n"/>
      <c r="CW21" s="161" t="inlineStr">
        <is>
          <t>2026-10-23</t>
        </is>
      </c>
      <c r="CX21" s="97" t="n"/>
      <c r="CY21" s="183" t="n"/>
    </row>
    <row r="22" ht="12" customHeight="1">
      <c r="A22" s="116" t="inlineStr">
        <is>
          <t>HASLS22261001241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VTS</t>
        </is>
      </c>
      <c r="M22" s="96" t="inlineStr">
        <is>
          <t>SKOR</t>
        </is>
      </c>
      <c r="N22" s="96" t="inlineStr">
        <is>
          <t>2612N</t>
        </is>
      </c>
      <c r="O22" s="96" t="inlineStr">
        <is>
          <t>THLCH</t>
        </is>
      </c>
      <c r="P22" s="96" t="inlineStr">
        <is>
          <t>LCH04</t>
        </is>
      </c>
      <c r="Q22" s="96" t="inlineStr">
        <is>
          <t>IA</t>
        </is>
      </c>
      <c r="R22" s="161" t="inlineStr">
        <is>
          <t>2026-10-24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2026-10-28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DOLPHIN LOGISTICS (THAILAND) CO., LTD.</t>
        </is>
      </c>
      <c r="AB22" s="96" t="inlineStr">
        <is>
          <t>CHICONY POWER TECHNOLOGY (THAILAND) CO.,LTD.</t>
        </is>
      </c>
      <c r="AC22" s="163" t="n">
        <v>1074.19</v>
      </c>
      <c r="AD22" s="163" t="n">
        <v>3274.19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TH0042</t>
        </is>
      </c>
      <c r="AN22" s="96" t="inlineStr">
        <is>
          <t>Sukunpoj Damrongying</t>
        </is>
      </c>
      <c r="AO22" s="96" t="inlineStr">
        <is>
          <t>ADAPTER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2026-10-19, Return : 2026-10-19</t>
        </is>
      </c>
      <c r="BA22" s="97" t="n"/>
      <c r="BB22" s="96" t="inlineStr">
        <is>
          <t>P</t>
        </is>
      </c>
      <c r="BC22" s="161" t="inlineStr">
        <is>
          <t>2026-10-16</t>
        </is>
      </c>
      <c r="BD22" s="161" t="inlineStr">
        <is>
          <t>2026-10-19</t>
        </is>
      </c>
      <c r="BE22" s="96" t="inlineStr">
        <is>
          <t>Y</t>
        </is>
      </c>
      <c r="BF22" s="96" t="inlineStr">
        <is>
          <t>ADAPTER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2026-10-19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LCH04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dolphin-th-exp@dolphinth.com</t>
        </is>
      </c>
      <c r="CJ22" s="96" t="inlineStr">
        <is>
          <t>DOLPHIN LOGISTICS (THAILAND)</t>
        </is>
      </c>
      <c r="CK22" s="96" t="inlineStr">
        <is>
          <t>DRACO LOGISTICS CO.,LTD.</t>
        </is>
      </c>
      <c r="CL22" s="96" t="inlineStr">
        <is>
          <t>DRACO LOGISTICS CO.,LTD.</t>
        </is>
      </c>
      <c r="CM22" s="97" t="n"/>
      <c r="CN22" s="96" t="inlineStr">
        <is>
          <t>202610211700</t>
        </is>
      </c>
      <c r="CO22" s="96" t="inlineStr">
        <is>
          <t>202610222359</t>
        </is>
      </c>
      <c r="CP22" s="97" t="n"/>
      <c r="CQ22" s="96" t="inlineStr">
        <is>
          <t>S22-2308056</t>
        </is>
      </c>
      <c r="CR22" s="96" t="inlineStr">
        <is>
          <t>TH018T</t>
        </is>
      </c>
      <c r="CS22" s="96" t="inlineStr">
        <is>
          <t>DOLPHIN LOGISTICS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2026-10-23</t>
        </is>
      </c>
      <c r="CX22" s="97" t="n"/>
      <c r="CY22" s="183" t="n"/>
    </row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BMOU4936854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2026-10-20</t>
        </is>
      </c>
      <c r="E2" s="173" t="inlineStr">
        <is>
          <t>2234</t>
        </is>
      </c>
      <c r="F2" s="96" t="inlineStr">
        <is>
          <t>HASLS22261001127</t>
        </is>
      </c>
      <c r="G2" s="96" t="inlineStr">
        <is>
          <t>LOGISALL (THAILAND) CO., LTD.</t>
        </is>
      </c>
      <c r="H2" s="111" t="inlineStr">
        <is>
          <t>45GP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HASLS22261001127</t>
        </is>
      </c>
      <c r="N2" s="96" t="inlineStr">
        <is>
          <t xml:space="preserve">40Hx1 </t>
        </is>
      </c>
      <c r="O2" s="111" t="inlineStr">
        <is>
          <t>2012</t>
        </is>
      </c>
      <c r="P2" s="111" t="n"/>
      <c r="Q2" s="111" t="n"/>
      <c r="R2" s="96" t="inlineStr">
        <is>
          <t>SKOR</t>
        </is>
      </c>
      <c r="S2" s="96" t="inlineStr">
        <is>
          <t>2612N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2026-10-24</t>
        </is>
      </c>
      <c r="W2" s="96" t="inlineStr">
        <is>
          <t>KRPUS</t>
        </is>
      </c>
      <c r="X2" s="161" t="inlineStr">
        <is>
          <t>2026-11-01</t>
        </is>
      </c>
      <c r="Y2" s="97" t="n"/>
      <c r="Z2" s="97" t="n"/>
      <c r="AA2" s="97" t="n"/>
      <c r="AB2" s="97" t="n"/>
      <c r="AC2" s="97" t="n"/>
      <c r="AD2" s="161" t="inlineStr">
        <is>
          <t>2026-10-21</t>
        </is>
      </c>
      <c r="AE2" s="174" t="inlineStr">
        <is>
          <t>0201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HANSOL LOGISTICS CO.,LTD</t>
        </is>
      </c>
      <c r="AK2" s="130" t="n"/>
    </row>
    <row r="3" ht="12" customHeight="1">
      <c r="A3" s="108" t="inlineStr">
        <is>
          <t>FBIU5092501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2026-10-20</t>
        </is>
      </c>
      <c r="E3" s="173" t="inlineStr">
        <is>
          <t>0632</t>
        </is>
      </c>
      <c r="F3" s="96" t="inlineStr">
        <is>
          <t>HASLS22261000754</t>
        </is>
      </c>
      <c r="G3" s="96" t="inlineStr">
        <is>
          <t>GOLDEN SEA FROZEN FOODS CO.,LTD</t>
        </is>
      </c>
      <c r="H3" s="111" t="inlineStr">
        <is>
          <t>45RE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HASLS22261000754</t>
        </is>
      </c>
      <c r="N3" s="96" t="inlineStr">
        <is>
          <t xml:space="preserve">R40Hx1 </t>
        </is>
      </c>
      <c r="O3" s="111" t="inlineStr">
        <is>
          <t>2021</t>
        </is>
      </c>
      <c r="P3" s="111" t="inlineStr">
        <is>
          <t>CARRIER</t>
        </is>
      </c>
      <c r="Q3" s="111" t="inlineStr">
        <is>
          <t>Primeline</t>
        </is>
      </c>
      <c r="R3" s="96" t="inlineStr">
        <is>
          <t>SKOR</t>
        </is>
      </c>
      <c r="S3" s="96" t="inlineStr">
        <is>
          <t>2612N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2026-10-24</t>
        </is>
      </c>
      <c r="W3" s="96" t="inlineStr">
        <is>
          <t>CNXMN</t>
        </is>
      </c>
      <c r="X3" s="161" t="inlineStr">
        <is>
          <t>2026-10-29</t>
        </is>
      </c>
      <c r="Y3" s="97" t="n"/>
      <c r="Z3" s="97" t="n"/>
      <c r="AA3" s="97" t="n"/>
      <c r="AB3" s="97" t="n"/>
      <c r="AC3" s="97" t="n"/>
      <c r="AD3" s="161" t="inlineStr">
        <is>
          <t>2026-10-20</t>
        </is>
      </c>
      <c r="AE3" s="174" t="inlineStr">
        <is>
          <t>1000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XIAMEN BOYUANSHUN TRADE AGENT</t>
        </is>
      </c>
      <c r="AK3" s="130" t="n"/>
    </row>
    <row r="4" ht="12" customHeight="1">
      <c r="A4" s="108" t="inlineStr">
        <is>
          <t>HALU2033196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2026-10-19</t>
        </is>
      </c>
      <c r="E4" s="173" t="inlineStr">
        <is>
          <t>1704</t>
        </is>
      </c>
      <c r="F4" s="96" t="inlineStr">
        <is>
          <t>HASLS22261000845</t>
        </is>
      </c>
      <c r="G4" s="96" t="inlineStr">
        <is>
          <t>DIMERCO EXPRESS (THAILAND) CO.,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HASLS22261000845</t>
        </is>
      </c>
      <c r="N4" s="96" t="inlineStr">
        <is>
          <t xml:space="preserve">20'x1 </t>
        </is>
      </c>
      <c r="O4" s="111" t="inlineStr">
        <is>
          <t>2014</t>
        </is>
      </c>
      <c r="P4" s="111" t="n"/>
      <c r="Q4" s="111" t="n"/>
      <c r="R4" s="96" t="inlineStr">
        <is>
          <t>SKOR</t>
        </is>
      </c>
      <c r="S4" s="96" t="inlineStr">
        <is>
          <t>2612N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2026-10-24</t>
        </is>
      </c>
      <c r="W4" s="96" t="inlineStr">
        <is>
          <t>CNXMN</t>
        </is>
      </c>
      <c r="X4" s="161" t="inlineStr">
        <is>
          <t>2026-10-29</t>
        </is>
      </c>
      <c r="Y4" s="97" t="n"/>
      <c r="Z4" s="97" t="n"/>
      <c r="AA4" s="97" t="n"/>
      <c r="AB4" s="97" t="n"/>
      <c r="AC4" s="97" t="n"/>
      <c r="AD4" s="161" t="inlineStr">
        <is>
          <t>2026-10-19</t>
        </is>
      </c>
      <c r="AE4" s="174" t="inlineStr">
        <is>
          <t>2001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DIVERSIFIED INTERNATIONAL</t>
        </is>
      </c>
      <c r="AK4" s="130" t="n"/>
    </row>
    <row r="5" ht="12" customHeight="1">
      <c r="A5" s="108" t="inlineStr">
        <is>
          <t>HALU2358437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2026-10-19</t>
        </is>
      </c>
      <c r="E5" s="173" t="inlineStr">
        <is>
          <t>1348</t>
        </is>
      </c>
      <c r="F5" s="96" t="inlineStr">
        <is>
          <t>HASLS22261001241</t>
        </is>
      </c>
      <c r="G5" s="96" t="inlineStr">
        <is>
          <t>DOLPHIN LOGISTICS (THAILAND)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HASLS22261001241</t>
        </is>
      </c>
      <c r="N5" s="96" t="inlineStr">
        <is>
          <t xml:space="preserve">20'x1 </t>
        </is>
      </c>
      <c r="O5" s="111" t="inlineStr">
        <is>
          <t>2023</t>
        </is>
      </c>
      <c r="P5" s="111" t="n"/>
      <c r="Q5" s="111" t="n"/>
      <c r="R5" s="96" t="inlineStr">
        <is>
          <t>SKOR</t>
        </is>
      </c>
      <c r="S5" s="96" t="inlineStr">
        <is>
          <t>2612N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2026-10-24</t>
        </is>
      </c>
      <c r="W5" s="96" t="inlineStr">
        <is>
          <t>HKHKG</t>
        </is>
      </c>
      <c r="X5" s="161" t="inlineStr">
        <is>
          <t>2026-10-28</t>
        </is>
      </c>
      <c r="Y5" s="97" t="n"/>
      <c r="Z5" s="97" t="n"/>
      <c r="AA5" s="97" t="n"/>
      <c r="AB5" s="97" t="n"/>
      <c r="AC5" s="97" t="n"/>
      <c r="AD5" s="161" t="inlineStr">
        <is>
          <t>2026-10-19</t>
        </is>
      </c>
      <c r="AE5" s="174" t="inlineStr">
        <is>
          <t>1600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DRACO LOGISTICS CO.,LTD.</t>
        </is>
      </c>
      <c r="AK5" s="130" t="n"/>
    </row>
    <row r="6" ht="12" customHeight="1">
      <c r="A6" s="108" t="inlineStr">
        <is>
          <t>HALU2506642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2026-10-11</t>
        </is>
      </c>
      <c r="E6" s="173" t="inlineStr">
        <is>
          <t>0506</t>
        </is>
      </c>
      <c r="F6" s="96" t="inlineStr">
        <is>
          <t>HASLS22260802422</t>
        </is>
      </c>
      <c r="G6" s="96" t="inlineStr">
        <is>
          <t>CARGO CARE LOGISTICS CO.,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HASLS22260802422</t>
        </is>
      </c>
      <c r="N6" s="96" t="inlineStr">
        <is>
          <t xml:space="preserve">20'x1 </t>
        </is>
      </c>
      <c r="O6" s="111" t="inlineStr">
        <is>
          <t>2025</t>
        </is>
      </c>
      <c r="P6" s="111" t="n"/>
      <c r="Q6" s="111" t="n"/>
      <c r="R6" s="96" t="inlineStr">
        <is>
          <t>KMTP</t>
        </is>
      </c>
      <c r="S6" s="96" t="inlineStr">
        <is>
          <t>2612N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2026-10-24</t>
        </is>
      </c>
      <c r="W6" s="96" t="inlineStr">
        <is>
          <t>HKHKG</t>
        </is>
      </c>
      <c r="X6" s="161" t="inlineStr">
        <is>
          <t>2026-10-28</t>
        </is>
      </c>
      <c r="Y6" s="97" t="n"/>
      <c r="Z6" s="97" t="n"/>
      <c r="AA6" s="97" t="n"/>
      <c r="AB6" s="97" t="n"/>
      <c r="AC6" s="97" t="n"/>
      <c r="AD6" s="161" t="inlineStr">
        <is>
          <t>2026-10-11</t>
        </is>
      </c>
      <c r="AE6" s="174" t="inlineStr">
        <is>
          <t>0800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KLN TRADE SOLUTIONS (HONG KONG)</t>
        </is>
      </c>
      <c r="AK6" s="130" t="n"/>
    </row>
    <row r="7" ht="12" customHeight="1">
      <c r="A7" s="108" t="inlineStr">
        <is>
          <t>HALU2515412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2026-10-17</t>
        </is>
      </c>
      <c r="E7" s="173" t="inlineStr">
        <is>
          <t>0305</t>
        </is>
      </c>
      <c r="F7" s="96" t="inlineStr">
        <is>
          <t>HASLS22260901727</t>
        </is>
      </c>
      <c r="G7" s="96" t="inlineStr">
        <is>
          <t>CARGO CARE LOGISTICS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HASLS22260901727</t>
        </is>
      </c>
      <c r="N7" s="96" t="inlineStr">
        <is>
          <t xml:space="preserve">20'x1 </t>
        </is>
      </c>
      <c r="O7" s="111" t="inlineStr">
        <is>
          <t>2025</t>
        </is>
      </c>
      <c r="P7" s="111" t="n"/>
      <c r="Q7" s="111" t="n"/>
      <c r="R7" s="96" t="inlineStr">
        <is>
          <t>KJT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2026-10-24</t>
        </is>
      </c>
      <c r="W7" s="96" t="inlineStr">
        <is>
          <t>HKHKG</t>
        </is>
      </c>
      <c r="X7" s="161" t="inlineStr">
        <is>
          <t>2026-10-28</t>
        </is>
      </c>
      <c r="Y7" s="97" t="n"/>
      <c r="Z7" s="97" t="n"/>
      <c r="AA7" s="97" t="n"/>
      <c r="AB7" s="97" t="n"/>
      <c r="AC7" s="97" t="n"/>
      <c r="AD7" s="161" t="inlineStr">
        <is>
          <t>2026-10-17</t>
        </is>
      </c>
      <c r="AE7" s="174" t="inlineStr">
        <is>
          <t>0600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WELL SYNERGY INTERNATIONAL LTD</t>
        </is>
      </c>
      <c r="AK7" s="130" t="n"/>
    </row>
    <row r="8" ht="12" customHeight="1">
      <c r="A8" s="108" t="inlineStr">
        <is>
          <t>HALU2560807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2026-10-17</t>
        </is>
      </c>
      <c r="E8" s="173" t="inlineStr">
        <is>
          <t>0544</t>
        </is>
      </c>
      <c r="F8" s="96" t="inlineStr">
        <is>
          <t>HASLS22260901730</t>
        </is>
      </c>
      <c r="G8" s="96" t="inlineStr">
        <is>
          <t>CARGO CARE LOGISTICS CO., LTD.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HASLS22260901730</t>
        </is>
      </c>
      <c r="N8" s="96" t="inlineStr">
        <is>
          <t xml:space="preserve">20'x1 </t>
        </is>
      </c>
      <c r="O8" s="111" t="inlineStr">
        <is>
          <t>2025</t>
        </is>
      </c>
      <c r="P8" s="111" t="n"/>
      <c r="Q8" s="111" t="n"/>
      <c r="R8" s="96" t="inlineStr">
        <is>
          <t>KJT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2026-10-24</t>
        </is>
      </c>
      <c r="W8" s="96" t="inlineStr">
        <is>
          <t>HKHKG</t>
        </is>
      </c>
      <c r="X8" s="161" t="inlineStr">
        <is>
          <t>2026-10-28</t>
        </is>
      </c>
      <c r="Y8" s="97" t="n"/>
      <c r="Z8" s="97" t="n"/>
      <c r="AA8" s="97" t="n"/>
      <c r="AB8" s="97" t="n"/>
      <c r="AC8" s="97" t="n"/>
      <c r="AD8" s="161" t="inlineStr">
        <is>
          <t>2026-10-17</t>
        </is>
      </c>
      <c r="AE8" s="174" t="inlineStr">
        <is>
          <t>0800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WELL SYNERGY INTERNATIONAL LTD</t>
        </is>
      </c>
      <c r="AK8" s="130" t="n"/>
    </row>
    <row r="9" ht="12" customHeight="1">
      <c r="A9" s="108" t="inlineStr">
        <is>
          <t>HALU2569105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2026-10-11</t>
        </is>
      </c>
      <c r="E9" s="173" t="inlineStr">
        <is>
          <t>0134</t>
        </is>
      </c>
      <c r="F9" s="96" t="inlineStr">
        <is>
          <t>HASLS22260802423</t>
        </is>
      </c>
      <c r="G9" s="96" t="inlineStr">
        <is>
          <t>CARGO CARE LOGISTICS CO., LTD.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HASLS22260802423</t>
        </is>
      </c>
      <c r="N9" s="96" t="inlineStr">
        <is>
          <t xml:space="preserve">20'x1 </t>
        </is>
      </c>
      <c r="O9" s="111" t="inlineStr">
        <is>
          <t>2025</t>
        </is>
      </c>
      <c r="P9" s="111" t="n"/>
      <c r="Q9" s="111" t="n"/>
      <c r="R9" s="96" t="inlineStr">
        <is>
          <t>KMTP</t>
        </is>
      </c>
      <c r="S9" s="96" t="inlineStr">
        <is>
          <t>2612N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2026-10-24</t>
        </is>
      </c>
      <c r="W9" s="96" t="inlineStr">
        <is>
          <t>HKHKG</t>
        </is>
      </c>
      <c r="X9" s="161" t="inlineStr">
        <is>
          <t>2026-10-28</t>
        </is>
      </c>
      <c r="Y9" s="97" t="n"/>
      <c r="Z9" s="97" t="n"/>
      <c r="AA9" s="97" t="n"/>
      <c r="AB9" s="97" t="n"/>
      <c r="AC9" s="97" t="n"/>
      <c r="AD9" s="161" t="inlineStr">
        <is>
          <t>2026-10-11</t>
        </is>
      </c>
      <c r="AE9" s="174" t="inlineStr">
        <is>
          <t>0400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KLN TRADE SOLUTIONS (HONG KONG)</t>
        </is>
      </c>
      <c r="AK9" s="130" t="n"/>
    </row>
    <row r="10" ht="12" customHeight="1">
      <c r="A10" s="108" t="inlineStr">
        <is>
          <t>RFCU2350744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2026-10-16</t>
        </is>
      </c>
      <c r="E10" s="173" t="inlineStr">
        <is>
          <t>0836</t>
        </is>
      </c>
      <c r="F10" s="96" t="inlineStr">
        <is>
          <t>HASLS22260902374</t>
        </is>
      </c>
      <c r="G10" s="96" t="inlineStr">
        <is>
          <t>DOUBLE A (1991) PUBLIC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HASLS22260902374</t>
        </is>
      </c>
      <c r="N10" s="96" t="inlineStr">
        <is>
          <t xml:space="preserve">20'x2 </t>
        </is>
      </c>
      <c r="O10" s="111" t="inlineStr">
        <is>
          <t>2014</t>
        </is>
      </c>
      <c r="P10" s="111" t="n"/>
      <c r="Q10" s="111" t="n"/>
      <c r="R10" s="96" t="inlineStr">
        <is>
          <t>SKOR</t>
        </is>
      </c>
      <c r="S10" s="96" t="inlineStr">
        <is>
          <t>2612N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2026-10-24</t>
        </is>
      </c>
      <c r="W10" s="96" t="inlineStr">
        <is>
          <t>HKHKG</t>
        </is>
      </c>
      <c r="X10" s="161" t="inlineStr">
        <is>
          <t>2026-10-28</t>
        </is>
      </c>
      <c r="Y10" s="97" t="n"/>
      <c r="Z10" s="97" t="n"/>
      <c r="AA10" s="97" t="n"/>
      <c r="AB10" s="97" t="n"/>
      <c r="AC10" s="97" t="n"/>
      <c r="AD10" s="161" t="inlineStr">
        <is>
          <t>2026-10-16</t>
        </is>
      </c>
      <c r="AE10" s="174" t="inlineStr">
        <is>
          <t>1200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OH360 CO., LTD.</t>
        </is>
      </c>
      <c r="AK10" s="130" t="n"/>
    </row>
    <row r="11" ht="12" customHeight="1">
      <c r="A11" s="108" t="inlineStr">
        <is>
          <t>SEGU9784860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2026-10-19</t>
        </is>
      </c>
      <c r="E11" s="173" t="inlineStr">
        <is>
          <t>1945</t>
        </is>
      </c>
      <c r="F11" s="96" t="inlineStr">
        <is>
          <t>HASLS22261000929</t>
        </is>
      </c>
      <c r="G11" s="96" t="inlineStr">
        <is>
          <t>STAR SHIPPING CARGO LIKES CO., LTD.</t>
        </is>
      </c>
      <c r="H11" s="111" t="inlineStr">
        <is>
          <t>45RE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HASLS22261000929</t>
        </is>
      </c>
      <c r="N11" s="96" t="inlineStr">
        <is>
          <t xml:space="preserve">R40Hx1 </t>
        </is>
      </c>
      <c r="O11" s="111" t="inlineStr">
        <is>
          <t>2019</t>
        </is>
      </c>
      <c r="P11" s="111" t="inlineStr">
        <is>
          <t>CARRIER</t>
        </is>
      </c>
      <c r="Q11" s="111" t="inlineStr">
        <is>
          <t>69NT40-561 Primeline (MGSS)</t>
        </is>
      </c>
      <c r="R11" s="96" t="inlineStr">
        <is>
          <t>SKOR</t>
        </is>
      </c>
      <c r="S11" s="96" t="inlineStr">
        <is>
          <t>2612N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2026-10-24</t>
        </is>
      </c>
      <c r="W11" s="96" t="inlineStr">
        <is>
          <t>HKHKG</t>
        </is>
      </c>
      <c r="X11" s="161" t="inlineStr">
        <is>
          <t>2026-10-28</t>
        </is>
      </c>
      <c r="Y11" s="97" t="n"/>
      <c r="Z11" s="97" t="n"/>
      <c r="AA11" s="97" t="n"/>
      <c r="AB11" s="97" t="n"/>
      <c r="AC11" s="97" t="n"/>
      <c r="AD11" s="161" t="inlineStr">
        <is>
          <t>2026-10-19</t>
        </is>
      </c>
      <c r="AE11" s="174" t="inlineStr">
        <is>
          <t>2200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XIN THAI XIANG IMPORTS AND</t>
        </is>
      </c>
      <c r="AK11" s="130" t="n"/>
    </row>
    <row r="12" ht="12" customHeight="1">
      <c r="A12" s="108" t="inlineStr">
        <is>
          <t>SKHU8131947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2026-10-21</t>
        </is>
      </c>
      <c r="E12" s="173" t="inlineStr">
        <is>
          <t>0236</t>
        </is>
      </c>
      <c r="F12" s="96" t="inlineStr">
        <is>
          <t>HASLS22261000817</t>
        </is>
      </c>
      <c r="G12" s="96" t="inlineStr">
        <is>
          <t>DOLPHIN LOGISTICS (THAILAND) CO., LTD.</t>
        </is>
      </c>
      <c r="H12" s="111" t="inlineStr">
        <is>
          <t>45GP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HASLS22261000817</t>
        </is>
      </c>
      <c r="N12" s="96" t="inlineStr">
        <is>
          <t xml:space="preserve">40Hx1 </t>
        </is>
      </c>
      <c r="O12" s="111" t="inlineStr">
        <is>
          <t>2021</t>
        </is>
      </c>
      <c r="P12" s="111" t="n"/>
      <c r="Q12" s="111" t="n"/>
      <c r="R12" s="96" t="inlineStr">
        <is>
          <t>SKOR</t>
        </is>
      </c>
      <c r="S12" s="96" t="inlineStr">
        <is>
          <t>2612N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2026-10-24</t>
        </is>
      </c>
      <c r="W12" s="96" t="inlineStr">
        <is>
          <t>HKHKG</t>
        </is>
      </c>
      <c r="X12" s="161" t="inlineStr">
        <is>
          <t>2026-10-28</t>
        </is>
      </c>
      <c r="Y12" s="97" t="n"/>
      <c r="Z12" s="97" t="n"/>
      <c r="AA12" s="97" t="n"/>
      <c r="AB12" s="97" t="n"/>
      <c r="AC12" s="97" t="n"/>
      <c r="AD12" s="161" t="inlineStr">
        <is>
          <t>2026-10-21</t>
        </is>
      </c>
      <c r="AE12" s="174" t="inlineStr">
        <is>
          <t>0600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SIG FAI TRANSPORTATION COMPA</t>
        </is>
      </c>
      <c r="AK12" s="130" t="n"/>
    </row>
    <row r="13" ht="12" customHeight="1">
      <c r="A13" s="108" t="inlineStr">
        <is>
          <t>SKLU0407338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2026-10-17</t>
        </is>
      </c>
      <c r="E13" s="173" t="inlineStr">
        <is>
          <t>2009</t>
        </is>
      </c>
      <c r="F13" s="96" t="inlineStr">
        <is>
          <t>HASLS22260902373</t>
        </is>
      </c>
      <c r="G13" s="96" t="inlineStr">
        <is>
          <t>DOUBLE A (1991)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HASLS22260902373</t>
        </is>
      </c>
      <c r="N13" s="96" t="inlineStr">
        <is>
          <t xml:space="preserve">20'x2 </t>
        </is>
      </c>
      <c r="O13" s="111" t="inlineStr">
        <is>
          <t>2004</t>
        </is>
      </c>
      <c r="P13" s="111" t="n"/>
      <c r="Q13" s="111" t="n"/>
      <c r="R13" s="96" t="inlineStr">
        <is>
          <t>KJT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2026-10-24</t>
        </is>
      </c>
      <c r="W13" s="96" t="inlineStr">
        <is>
          <t>HKHKG</t>
        </is>
      </c>
      <c r="X13" s="161" t="inlineStr">
        <is>
          <t>2026-10-28</t>
        </is>
      </c>
      <c r="Y13" s="97" t="n"/>
      <c r="Z13" s="97" t="n"/>
      <c r="AA13" s="97" t="n"/>
      <c r="AB13" s="97" t="n"/>
      <c r="AC13" s="97" t="n"/>
      <c r="AD13" s="161" t="inlineStr">
        <is>
          <t>2026-10-18</t>
        </is>
      </c>
      <c r="AE13" s="174" t="inlineStr">
        <is>
          <t>0001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OH360 CO., LTD.</t>
        </is>
      </c>
      <c r="AK13" s="130" t="n"/>
    </row>
    <row r="14" ht="12" customHeight="1">
      <c r="A14" s="108" t="inlineStr">
        <is>
          <t>SKLU0711720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2026-10-18</t>
        </is>
      </c>
      <c r="E14" s="173" t="inlineStr">
        <is>
          <t>1025</t>
        </is>
      </c>
      <c r="F14" s="96" t="inlineStr">
        <is>
          <t>HASLS22260902374</t>
        </is>
      </c>
      <c r="G14" s="96" t="inlineStr">
        <is>
          <t>DOUBLE A (1991) PUBLIC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HASLS22260902374</t>
        </is>
      </c>
      <c r="N14" s="96" t="inlineStr">
        <is>
          <t xml:space="preserve">20'x2 </t>
        </is>
      </c>
      <c r="O14" s="111" t="inlineStr">
        <is>
          <t>2007</t>
        </is>
      </c>
      <c r="P14" s="111" t="n"/>
      <c r="Q14" s="111" t="n"/>
      <c r="R14" s="96" t="inlineStr">
        <is>
          <t>SKOR</t>
        </is>
      </c>
      <c r="S14" s="96" t="inlineStr">
        <is>
          <t>2612N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2026-10-24</t>
        </is>
      </c>
      <c r="W14" s="96" t="inlineStr">
        <is>
          <t>HKHKG</t>
        </is>
      </c>
      <c r="X14" s="161" t="inlineStr">
        <is>
          <t>2026-10-28</t>
        </is>
      </c>
      <c r="Y14" s="97" t="n"/>
      <c r="Z14" s="97" t="n"/>
      <c r="AA14" s="97" t="n"/>
      <c r="AB14" s="97" t="n"/>
      <c r="AC14" s="97" t="n"/>
      <c r="AD14" s="161" t="inlineStr">
        <is>
          <t>2026-10-18</t>
        </is>
      </c>
      <c r="AE14" s="174" t="inlineStr">
        <is>
          <t>1401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OH360 CO., LTD.</t>
        </is>
      </c>
      <c r="AK14" s="130" t="n"/>
    </row>
    <row r="15" ht="12" customHeight="1">
      <c r="A15" s="108" t="inlineStr">
        <is>
          <t>SKLU0720907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2026-10-19</t>
        </is>
      </c>
      <c r="E15" s="173" t="inlineStr">
        <is>
          <t>1831</t>
        </is>
      </c>
      <c r="F15" s="96" t="inlineStr">
        <is>
          <t>HASLS22261000632</t>
        </is>
      </c>
      <c r="G15" s="96" t="inlineStr">
        <is>
          <t>YUSEN LOGISTICS (THAILAND)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HASLS22261000632</t>
        </is>
      </c>
      <c r="N15" s="96" t="inlineStr">
        <is>
          <t xml:space="preserve">20'x1 </t>
        </is>
      </c>
      <c r="O15" s="111" t="inlineStr">
        <is>
          <t>2007</t>
        </is>
      </c>
      <c r="P15" s="111" t="n"/>
      <c r="Q15" s="111" t="n"/>
      <c r="R15" s="96" t="inlineStr">
        <is>
          <t>SKOR</t>
        </is>
      </c>
      <c r="S15" s="96" t="inlineStr">
        <is>
          <t>2612N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2026-10-24</t>
        </is>
      </c>
      <c r="W15" s="96" t="inlineStr">
        <is>
          <t>HKHKG</t>
        </is>
      </c>
      <c r="X15" s="161" t="inlineStr">
        <is>
          <t>2026-10-28</t>
        </is>
      </c>
      <c r="Y15" s="97" t="n"/>
      <c r="Z15" s="97" t="n"/>
      <c r="AA15" s="97" t="n"/>
      <c r="AB15" s="97" t="n"/>
      <c r="AC15" s="97" t="n"/>
      <c r="AD15" s="161" t="inlineStr">
        <is>
          <t>2026-10-19</t>
        </is>
      </c>
      <c r="AE15" s="174" t="inlineStr">
        <is>
          <t>2200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YUSEN LOGISTICS (HONG KONG) LTD.</t>
        </is>
      </c>
      <c r="AK15" s="130" t="n"/>
    </row>
    <row r="16" ht="12" customHeight="1">
      <c r="A16" s="108" t="inlineStr">
        <is>
          <t>SKLU1000239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2026-10-17</t>
        </is>
      </c>
      <c r="E16" s="173" t="inlineStr">
        <is>
          <t>0946</t>
        </is>
      </c>
      <c r="F16" s="96" t="inlineStr">
        <is>
          <t>HASLS22260902600</t>
        </is>
      </c>
      <c r="G16" s="96" t="inlineStr">
        <is>
          <t>DOUBLE A (1991) PUBLIC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HASLS22260902600</t>
        </is>
      </c>
      <c r="N16" s="96" t="inlineStr">
        <is>
          <t xml:space="preserve">20'x1 </t>
        </is>
      </c>
      <c r="O16" s="111" t="inlineStr">
        <is>
          <t>2010</t>
        </is>
      </c>
      <c r="P16" s="111" t="n"/>
      <c r="Q16" s="111" t="n"/>
      <c r="R16" s="96" t="inlineStr">
        <is>
          <t>SKOR</t>
        </is>
      </c>
      <c r="S16" s="96" t="inlineStr">
        <is>
          <t>2612N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2026-10-24</t>
        </is>
      </c>
      <c r="W16" s="96" t="inlineStr">
        <is>
          <t>HKHKG</t>
        </is>
      </c>
      <c r="X16" s="161" t="inlineStr">
        <is>
          <t>2026-10-28</t>
        </is>
      </c>
      <c r="Y16" s="97" t="n"/>
      <c r="Z16" s="97" t="n"/>
      <c r="AA16" s="97" t="n"/>
      <c r="AB16" s="97" t="n"/>
      <c r="AC16" s="97" t="n"/>
      <c r="AD16" s="161" t="inlineStr">
        <is>
          <t>2026-10-17</t>
        </is>
      </c>
      <c r="AE16" s="174" t="inlineStr">
        <is>
          <t>1200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TO ORDER</t>
        </is>
      </c>
      <c r="AK16" s="130" t="n"/>
    </row>
    <row r="17" ht="12" customHeight="1">
      <c r="A17" s="108" t="inlineStr">
        <is>
          <t>SKLU1520924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2026-10-16</t>
        </is>
      </c>
      <c r="E17" s="173" t="inlineStr">
        <is>
          <t>2108</t>
        </is>
      </c>
      <c r="F17" s="96" t="inlineStr">
        <is>
          <t>HASLS22261000108</t>
        </is>
      </c>
      <c r="G17" s="96" t="inlineStr">
        <is>
          <t>UBE CHEMICALS (ASIA) PUBLIC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HASLS22261000108</t>
        </is>
      </c>
      <c r="N17" s="96" t="inlineStr">
        <is>
          <t xml:space="preserve">20'x1 </t>
        </is>
      </c>
      <c r="O17" s="111" t="inlineStr">
        <is>
          <t>2015</t>
        </is>
      </c>
      <c r="P17" s="111" t="n"/>
      <c r="Q17" s="111" t="n"/>
      <c r="R17" s="96" t="inlineStr">
        <is>
          <t>KJT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2026-10-24</t>
        </is>
      </c>
      <c r="W17" s="96" t="inlineStr">
        <is>
          <t>HKHKG</t>
        </is>
      </c>
      <c r="X17" s="161" t="inlineStr">
        <is>
          <t>2026-10-28</t>
        </is>
      </c>
      <c r="Y17" s="97" t="n"/>
      <c r="Z17" s="97" t="n"/>
      <c r="AA17" s="97" t="n"/>
      <c r="AB17" s="97" t="n"/>
      <c r="AC17" s="97" t="n"/>
      <c r="AD17" s="161" t="inlineStr">
        <is>
          <t>2026-10-17</t>
        </is>
      </c>
      <c r="AE17" s="174" t="inlineStr">
        <is>
          <t>0001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DONGGUAN YINGTAI COMMERCE CO.,LTD</t>
        </is>
      </c>
      <c r="AK17" s="130" t="n"/>
    </row>
    <row r="18" ht="12" customHeight="1">
      <c r="A18" s="108" t="inlineStr">
        <is>
          <t>SKLU1608893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2026-10-16</t>
        </is>
      </c>
      <c r="E18" s="173" t="inlineStr">
        <is>
          <t>1309</t>
        </is>
      </c>
      <c r="F18" s="96" t="inlineStr">
        <is>
          <t>HASLS22261000305</t>
        </is>
      </c>
      <c r="G18" s="96" t="inlineStr">
        <is>
          <t>THAI POLYCARBONATE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HASLS22261000305</t>
        </is>
      </c>
      <c r="N18" s="96" t="inlineStr">
        <is>
          <t xml:space="preserve">20'x1 </t>
        </is>
      </c>
      <c r="O18" s="111" t="inlineStr">
        <is>
          <t>2016</t>
        </is>
      </c>
      <c r="P18" s="111" t="n"/>
      <c r="Q18" s="111" t="n"/>
      <c r="R18" s="96" t="inlineStr">
        <is>
          <t>SKOR</t>
        </is>
      </c>
      <c r="S18" s="96" t="inlineStr">
        <is>
          <t>2612N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2026-10-24</t>
        </is>
      </c>
      <c r="W18" s="96" t="inlineStr">
        <is>
          <t>HKHKG</t>
        </is>
      </c>
      <c r="X18" s="161" t="inlineStr">
        <is>
          <t>2026-10-28</t>
        </is>
      </c>
      <c r="Y18" s="97" t="n"/>
      <c r="Z18" s="97" t="n"/>
      <c r="AA18" s="97" t="n"/>
      <c r="AB18" s="97" t="n"/>
      <c r="AC18" s="97" t="n"/>
      <c r="AD18" s="161" t="inlineStr">
        <is>
          <t>2026-10-16</t>
        </is>
      </c>
      <c r="AE18" s="174" t="inlineStr">
        <is>
          <t>1600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NAGASE (HONG KONG) LIMITED</t>
        </is>
      </c>
      <c r="AK18" s="130" t="n"/>
    </row>
    <row r="19" ht="12" customHeight="1">
      <c r="A19" s="108" t="inlineStr">
        <is>
          <t>SKLU1631580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2026-10-17</t>
        </is>
      </c>
      <c r="E19" s="173" t="inlineStr">
        <is>
          <t>2338</t>
        </is>
      </c>
      <c r="F19" s="96" t="inlineStr">
        <is>
          <t>HASLS22260902373</t>
        </is>
      </c>
      <c r="G19" s="96" t="inlineStr">
        <is>
          <t>DOUBLE A (1991) PUBLIC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HASLS22260902373</t>
        </is>
      </c>
      <c r="N19" s="96" t="inlineStr">
        <is>
          <t xml:space="preserve">20'x2 </t>
        </is>
      </c>
      <c r="O19" s="111" t="inlineStr">
        <is>
          <t>2016</t>
        </is>
      </c>
      <c r="P19" s="111" t="n"/>
      <c r="Q19" s="111" t="n"/>
      <c r="R19" s="96" t="inlineStr">
        <is>
          <t>KJT</t>
        </is>
      </c>
      <c r="S19" s="96" t="inlineStr">
        <is>
          <t>2611N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2026-10-24</t>
        </is>
      </c>
      <c r="W19" s="96" t="inlineStr">
        <is>
          <t>HKHKG</t>
        </is>
      </c>
      <c r="X19" s="161" t="inlineStr">
        <is>
          <t>2026-10-28</t>
        </is>
      </c>
      <c r="Y19" s="97" t="n"/>
      <c r="Z19" s="97" t="n"/>
      <c r="AA19" s="97" t="n"/>
      <c r="AB19" s="97" t="n"/>
      <c r="AC19" s="97" t="n"/>
      <c r="AD19" s="161" t="inlineStr">
        <is>
          <t>2026-10-18</t>
        </is>
      </c>
      <c r="AE19" s="174" t="inlineStr">
        <is>
          <t>0200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OH360 CO., LTD.</t>
        </is>
      </c>
      <c r="AK19" s="130" t="n"/>
    </row>
    <row r="20" ht="12" customHeight="1">
      <c r="A20" s="108" t="inlineStr">
        <is>
          <t>SKLU1985393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2026-10-10</t>
        </is>
      </c>
      <c r="E20" s="173" t="inlineStr">
        <is>
          <t>0056</t>
        </is>
      </c>
      <c r="F20" s="96" t="inlineStr">
        <is>
          <t>HASLS22260902220</t>
        </is>
      </c>
      <c r="G20" s="96" t="inlineStr">
        <is>
          <t>PACIFIC FORWARDER INTERNATIONAL CO., LTD.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HASLS22260902220</t>
        </is>
      </c>
      <c r="N20" s="96" t="inlineStr">
        <is>
          <t xml:space="preserve">20'x1 </t>
        </is>
      </c>
      <c r="O20" s="111" t="inlineStr">
        <is>
          <t>2019</t>
        </is>
      </c>
      <c r="P20" s="111" t="n"/>
      <c r="Q20" s="111" t="n"/>
      <c r="R20" s="96" t="inlineStr">
        <is>
          <t>KMTP</t>
        </is>
      </c>
      <c r="S20" s="96" t="inlineStr">
        <is>
          <t>2612N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2026-10-24</t>
        </is>
      </c>
      <c r="W20" s="96" t="inlineStr">
        <is>
          <t>HKHKG</t>
        </is>
      </c>
      <c r="X20" s="161" t="inlineStr">
        <is>
          <t>2026-10-28</t>
        </is>
      </c>
      <c r="Y20" s="97" t="n"/>
      <c r="Z20" s="97" t="n"/>
      <c r="AA20" s="97" t="n"/>
      <c r="AB20" s="97" t="n"/>
      <c r="AC20" s="97" t="n"/>
      <c r="AD20" s="161" t="inlineStr">
        <is>
          <t>2026-10-10</t>
        </is>
      </c>
      <c r="AE20" s="174" t="inlineStr">
        <is>
          <t>0400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KING TAT LOGISTICS LIMITED</t>
        </is>
      </c>
      <c r="AK20" s="130" t="n"/>
    </row>
    <row r="21" ht="12" customHeight="1">
      <c r="A21" s="108" t="inlineStr">
        <is>
          <t>SKLU2333698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2026-10-11</t>
        </is>
      </c>
      <c r="E21" s="173" t="inlineStr">
        <is>
          <t>1635</t>
        </is>
      </c>
      <c r="F21" s="96" t="inlineStr">
        <is>
          <t>HASLS22260902078</t>
        </is>
      </c>
      <c r="G21" s="96" t="inlineStr">
        <is>
          <t>PACIFIC FORWARDER INTERNATIONAL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HASLS22260902078</t>
        </is>
      </c>
      <c r="N21" s="96" t="inlineStr">
        <is>
          <t xml:space="preserve">20'x1 </t>
        </is>
      </c>
      <c r="O21" s="111" t="inlineStr">
        <is>
          <t>2023</t>
        </is>
      </c>
      <c r="P21" s="111" t="n"/>
      <c r="Q21" s="111" t="n"/>
      <c r="R21" s="96" t="inlineStr">
        <is>
          <t>KMTP</t>
        </is>
      </c>
      <c r="S21" s="96" t="inlineStr">
        <is>
          <t>2612N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2026-10-24</t>
        </is>
      </c>
      <c r="W21" s="96" t="inlineStr">
        <is>
          <t>HKHKG</t>
        </is>
      </c>
      <c r="X21" s="161" t="inlineStr">
        <is>
          <t>2026-10-28</t>
        </is>
      </c>
      <c r="Y21" s="97" t="n"/>
      <c r="Z21" s="97" t="n"/>
      <c r="AA21" s="97" t="n"/>
      <c r="AB21" s="97" t="n"/>
      <c r="AC21" s="97" t="n"/>
      <c r="AD21" s="161" t="inlineStr">
        <is>
          <t>2026-10-11</t>
        </is>
      </c>
      <c r="AE21" s="174" t="inlineStr">
        <is>
          <t>2000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FC TRADING &amp; LOGISTICS LTD</t>
        </is>
      </c>
      <c r="AK21" s="130" t="n"/>
    </row>
    <row r="22" ht="12" customHeight="1">
      <c r="A22" s="108" t="inlineStr">
        <is>
          <t>SKLU2472440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2026-10-20</t>
        </is>
      </c>
      <c r="E22" s="173" t="inlineStr">
        <is>
          <t>0829</t>
        </is>
      </c>
      <c r="F22" s="96" t="inlineStr">
        <is>
          <t>HASLS22260902467</t>
        </is>
      </c>
      <c r="G22" s="96" t="inlineStr">
        <is>
          <t>FLS 1993 (THAILAND) CO., LTD.</t>
        </is>
      </c>
      <c r="H22" s="111" t="inlineStr">
        <is>
          <t>22GP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HASLS22260902467</t>
        </is>
      </c>
      <c r="N22" s="96" t="inlineStr">
        <is>
          <t xml:space="preserve">20'x1 </t>
        </is>
      </c>
      <c r="O22" s="111" t="inlineStr">
        <is>
          <t>2024</t>
        </is>
      </c>
      <c r="P22" s="111" t="n"/>
      <c r="Q22" s="111" t="n"/>
      <c r="R22" s="96" t="inlineStr">
        <is>
          <t>SKOR</t>
        </is>
      </c>
      <c r="S22" s="96" t="inlineStr">
        <is>
          <t>2612N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2026-10-24</t>
        </is>
      </c>
      <c r="W22" s="96" t="inlineStr">
        <is>
          <t>HKHKG</t>
        </is>
      </c>
      <c r="X22" s="161" t="inlineStr">
        <is>
          <t>2026-10-28</t>
        </is>
      </c>
      <c r="Y22" s="97" t="n"/>
      <c r="Z22" s="97" t="n"/>
      <c r="AA22" s="97" t="n"/>
      <c r="AB22" s="97" t="n"/>
      <c r="AC22" s="97" t="n"/>
      <c r="AD22" s="161" t="inlineStr">
        <is>
          <t>2026-10-20</t>
        </is>
      </c>
      <c r="AE22" s="174" t="inlineStr">
        <is>
          <t>1200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CALCHEM HONG KONG CORPORATION LTD.</t>
        </is>
      </c>
      <c r="AK22" s="130" t="n"/>
    </row>
    <row r="23" ht="12" customHeight="1">
      <c r="A23" s="108" t="inlineStr">
        <is>
          <t>SKRU9907383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2026-10-22</t>
        </is>
      </c>
      <c r="E23" s="173" t="inlineStr">
        <is>
          <t>0705</t>
        </is>
      </c>
      <c r="F23" s="96" t="inlineStr">
        <is>
          <t>HASLS22261001014</t>
        </is>
      </c>
      <c r="G23" s="96" t="inlineStr">
        <is>
          <t>GOLDEN SEA FROZEN FOODS CO.,LTD</t>
        </is>
      </c>
      <c r="H23" s="111" t="inlineStr">
        <is>
          <t>45RE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HASLS22261001014</t>
        </is>
      </c>
      <c r="N23" s="96" t="inlineStr">
        <is>
          <t xml:space="preserve">R40Hx1 </t>
        </is>
      </c>
      <c r="O23" s="111" t="inlineStr">
        <is>
          <t>2019</t>
        </is>
      </c>
      <c r="P23" s="111" t="inlineStr">
        <is>
          <t>CARRIER</t>
        </is>
      </c>
      <c r="Q23" s="111" t="n"/>
      <c r="R23" s="96" t="inlineStr">
        <is>
          <t>SKOR</t>
        </is>
      </c>
      <c r="S23" s="96" t="inlineStr">
        <is>
          <t>2612N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2026-10-24</t>
        </is>
      </c>
      <c r="W23" s="96" t="inlineStr">
        <is>
          <t>CNXMN</t>
        </is>
      </c>
      <c r="X23" s="161" t="inlineStr">
        <is>
          <t>2026-10-29</t>
        </is>
      </c>
      <c r="Y23" s="97" t="n"/>
      <c r="Z23" s="97" t="n"/>
      <c r="AA23" s="97" t="n"/>
      <c r="AB23" s="97" t="n"/>
      <c r="AC23" s="97" t="n"/>
      <c r="AD23" s="161" t="inlineStr">
        <is>
          <t>2026-10-22</t>
        </is>
      </c>
      <c r="AE23" s="174" t="inlineStr">
        <is>
          <t>1000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XIAMEN THAI LUCKY FOOD COLD CHAIN</t>
        </is>
      </c>
      <c r="AK23" s="130" t="n"/>
    </row>
    <row r="24" ht="12" customHeight="1">
      <c r="A24" s="108" t="inlineStr">
        <is>
          <t>TRHU4745330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2026-10-10</t>
        </is>
      </c>
      <c r="E24" s="173" t="inlineStr">
        <is>
          <t>2110</t>
        </is>
      </c>
      <c r="F24" s="96" t="inlineStr">
        <is>
          <t>HASLS22261000789</t>
        </is>
      </c>
      <c r="G24" s="96" t="inlineStr">
        <is>
          <t>ORIENTAL LOGISTICS GROUP (THAILAND)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HASLS22261000789</t>
        </is>
      </c>
      <c r="N24" s="96" t="inlineStr">
        <is>
          <t xml:space="preserve">40Hx1 </t>
        </is>
      </c>
      <c r="O24" s="111" t="inlineStr">
        <is>
          <t>2020</t>
        </is>
      </c>
      <c r="P24" s="111" t="n"/>
      <c r="Q24" s="111" t="n"/>
      <c r="R24" s="96" t="inlineStr">
        <is>
          <t>KMTP</t>
        </is>
      </c>
      <c r="S24" s="96" t="inlineStr">
        <is>
          <t>2612N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2026-10-24</t>
        </is>
      </c>
      <c r="W24" s="96" t="inlineStr">
        <is>
          <t>HKHKG</t>
        </is>
      </c>
      <c r="X24" s="161" t="inlineStr">
        <is>
          <t>2026-10-28</t>
        </is>
      </c>
      <c r="Y24" s="97" t="n"/>
      <c r="Z24" s="97" t="n"/>
      <c r="AA24" s="97" t="n"/>
      <c r="AB24" s="97" t="n"/>
      <c r="AC24" s="97" t="n"/>
      <c r="AD24" s="161" t="inlineStr">
        <is>
          <t>2026-10-11</t>
        </is>
      </c>
      <c r="AE24" s="174" t="inlineStr">
        <is>
          <t>0001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GUANGZHOU HAIYA SUPPLY CHAIN</t>
        </is>
      </c>
      <c r="AK24" s="130" t="n"/>
    </row>
    <row r="25" ht="12" customHeight="1">
      <c r="A25" s="108" t="n"/>
      <c r="B25" s="108" t="n"/>
      <c r="C25" s="108" t="n"/>
      <c r="D25" s="172" t="n"/>
      <c r="E25" s="173" t="n"/>
      <c r="F25" s="96" t="n"/>
      <c r="G25" s="96" t="n"/>
      <c r="H25" s="111" t="n"/>
      <c r="I25" s="96" t="n"/>
      <c r="J25" s="96" t="n"/>
      <c r="K25" s="96" t="n"/>
      <c r="L25" s="111" t="n"/>
      <c r="M25" s="96" t="n"/>
      <c r="N25" s="96" t="n"/>
      <c r="O25" s="111" t="n"/>
      <c r="P25" s="112" t="n"/>
      <c r="Q25" s="112" t="n"/>
      <c r="R25" s="96" t="n"/>
      <c r="S25" s="96" t="n"/>
      <c r="T25" s="96" t="n"/>
      <c r="U25" s="96" t="n"/>
      <c r="V25" s="161" t="n"/>
      <c r="W25" s="96" t="n"/>
      <c r="X25" s="161" t="n"/>
      <c r="Y25" s="97" t="n"/>
      <c r="Z25" s="97" t="n"/>
      <c r="AA25" s="97" t="n"/>
      <c r="AB25" s="97" t="n"/>
      <c r="AC25" s="97" t="n"/>
      <c r="AD25" s="161" t="n"/>
      <c r="AE25" s="174" t="n"/>
      <c r="AF25" s="96" t="n"/>
      <c r="AG25" s="97" t="n"/>
      <c r="AH25" s="97" t="n"/>
      <c r="AI25" s="97" t="n"/>
      <c r="AJ25" s="96" t="n"/>
      <c r="AK25" s="130" t="n"/>
    </row>
    <row r="26" ht="12" customHeight="1">
      <c r="A26" s="108" t="n"/>
      <c r="B26" s="108" t="n"/>
      <c r="C26" s="108" t="n"/>
      <c r="D26" s="172" t="n"/>
      <c r="E26" s="173" t="n"/>
      <c r="F26" s="96" t="n"/>
      <c r="G26" s="96" t="n"/>
      <c r="H26" s="111" t="n"/>
      <c r="I26" s="96" t="n"/>
      <c r="J26" s="96" t="n"/>
      <c r="K26" s="96" t="n"/>
      <c r="L26" s="111" t="n"/>
      <c r="M26" s="96" t="n"/>
      <c r="N26" s="96" t="n"/>
      <c r="O26" s="111" t="n"/>
      <c r="P26" s="112" t="n"/>
      <c r="Q26" s="112" t="n"/>
      <c r="R26" s="96" t="n"/>
      <c r="S26" s="96" t="n"/>
      <c r="T26" s="96" t="n"/>
      <c r="U26" s="96" t="n"/>
      <c r="V26" s="161" t="n"/>
      <c r="W26" s="96" t="n"/>
      <c r="X26" s="161" t="n"/>
      <c r="Y26" s="97" t="n"/>
      <c r="Z26" s="97" t="n"/>
      <c r="AA26" s="97" t="n"/>
      <c r="AB26" s="97" t="n"/>
      <c r="AC26" s="97" t="n"/>
      <c r="AD26" s="161" t="n"/>
      <c r="AE26" s="174" t="n"/>
      <c r="AF26" s="96" t="n"/>
      <c r="AG26" s="97" t="n"/>
      <c r="AH26" s="97" t="n"/>
      <c r="AI26" s="97" t="n"/>
      <c r="AJ26" s="96" t="n"/>
      <c r="AK26" s="130" t="n"/>
    </row>
    <row r="27" ht="12" customHeight="1">
      <c r="A27" s="108" t="n"/>
      <c r="B27" s="108" t="n"/>
      <c r="C27" s="108" t="n"/>
      <c r="D27" s="172" t="n"/>
      <c r="E27" s="173" t="n"/>
      <c r="F27" s="96" t="n"/>
      <c r="G27" s="96" t="n"/>
      <c r="H27" s="111" t="n"/>
      <c r="I27" s="96" t="n"/>
      <c r="J27" s="96" t="n"/>
      <c r="K27" s="96" t="n"/>
      <c r="L27" s="111" t="n"/>
      <c r="M27" s="96" t="n"/>
      <c r="N27" s="96" t="n"/>
      <c r="O27" s="111" t="n"/>
      <c r="P27" s="112" t="n"/>
      <c r="Q27" s="112" t="n"/>
      <c r="R27" s="96" t="n"/>
      <c r="S27" s="96" t="n"/>
      <c r="T27" s="96" t="n"/>
      <c r="U27" s="96" t="n"/>
      <c r="V27" s="161" t="n"/>
      <c r="W27" s="96" t="n"/>
      <c r="X27" s="161" t="n"/>
      <c r="Y27" s="97" t="n"/>
      <c r="Z27" s="97" t="n"/>
      <c r="AA27" s="97" t="n"/>
      <c r="AB27" s="97" t="n"/>
      <c r="AC27" s="97" t="n"/>
      <c r="AD27" s="161" t="n"/>
      <c r="AE27" s="174" t="n"/>
      <c r="AF27" s="96" t="n"/>
      <c r="AG27" s="97" t="n"/>
      <c r="AH27" s="97" t="n"/>
      <c r="AI27" s="97" t="n"/>
      <c r="AJ27" s="96" t="n"/>
      <c r="AK27" s="130" t="n"/>
    </row>
    <row r="28" ht="12" customHeight="1">
      <c r="A28" s="108" t="n"/>
      <c r="B28" s="108" t="n"/>
      <c r="C28" s="108" t="n"/>
      <c r="D28" s="172" t="n"/>
      <c r="E28" s="173" t="n"/>
      <c r="F28" s="96" t="n"/>
      <c r="G28" s="96" t="n"/>
      <c r="H28" s="111" t="n"/>
      <c r="I28" s="96" t="n"/>
      <c r="J28" s="96" t="n"/>
      <c r="K28" s="96" t="n"/>
      <c r="L28" s="111" t="n"/>
      <c r="M28" s="96" t="n"/>
      <c r="N28" s="96" t="n"/>
      <c r="O28" s="111" t="n"/>
      <c r="P28" s="112" t="n"/>
      <c r="Q28" s="112" t="n"/>
      <c r="R28" s="96" t="n"/>
      <c r="S28" s="96" t="n"/>
      <c r="T28" s="96" t="n"/>
      <c r="U28" s="96" t="n"/>
      <c r="V28" s="161" t="n"/>
      <c r="W28" s="96" t="n"/>
      <c r="X28" s="161" t="n"/>
      <c r="Y28" s="97" t="n"/>
      <c r="Z28" s="97" t="n"/>
      <c r="AA28" s="97" t="n"/>
      <c r="AB28" s="97" t="n"/>
      <c r="AC28" s="97" t="n"/>
      <c r="AD28" s="161" t="n"/>
      <c r="AE28" s="174" t="n"/>
      <c r="AF28" s="96" t="n"/>
      <c r="AG28" s="97" t="n"/>
      <c r="AH28" s="97" t="n"/>
      <c r="AI28" s="97" t="n"/>
      <c r="AJ28" s="96" t="n"/>
      <c r="AK28" s="130" t="n"/>
    </row>
    <row r="29" ht="12" customHeight="1">
      <c r="A29" s="108" t="n"/>
      <c r="B29" s="108" t="n"/>
      <c r="C29" s="108" t="n"/>
      <c r="D29" s="172" t="n"/>
      <c r="E29" s="173" t="n"/>
      <c r="F29" s="96" t="n"/>
      <c r="G29" s="96" t="n"/>
      <c r="H29" s="111" t="n"/>
      <c r="I29" s="96" t="n"/>
      <c r="J29" s="96" t="n"/>
      <c r="K29" s="96" t="n"/>
      <c r="L29" s="111" t="n"/>
      <c r="M29" s="96" t="n"/>
      <c r="N29" s="96" t="n"/>
      <c r="O29" s="111" t="n"/>
      <c r="P29" s="112" t="n"/>
      <c r="Q29" s="112" t="n"/>
      <c r="R29" s="96" t="n"/>
      <c r="S29" s="96" t="n"/>
      <c r="T29" s="96" t="n"/>
      <c r="U29" s="96" t="n"/>
      <c r="V29" s="161" t="n"/>
      <c r="W29" s="96" t="n"/>
      <c r="X29" s="161" t="n"/>
      <c r="Y29" s="97" t="n"/>
      <c r="Z29" s="97" t="n"/>
      <c r="AA29" s="97" t="n"/>
      <c r="AB29" s="97" t="n"/>
      <c r="AC29" s="97" t="n"/>
      <c r="AD29" s="161" t="n"/>
      <c r="AE29" s="174" t="n"/>
      <c r="AF29" s="96" t="n"/>
      <c r="AG29" s="97" t="n"/>
      <c r="AH29" s="97" t="n"/>
      <c r="AI29" s="97" t="n"/>
      <c r="AJ29" s="96" t="n"/>
      <c r="AK29" s="130" t="n"/>
    </row>
    <row r="30" ht="12" customHeight="1">
      <c r="A30" s="108" t="n"/>
      <c r="B30" s="108" t="n"/>
      <c r="C30" s="108" t="n"/>
      <c r="D30" s="172" t="n"/>
      <c r="E30" s="173" t="n"/>
      <c r="F30" s="96" t="n"/>
      <c r="G30" s="96" t="n"/>
      <c r="H30" s="111" t="n"/>
      <c r="I30" s="96" t="n"/>
      <c r="J30" s="96" t="n"/>
      <c r="K30" s="96" t="n"/>
      <c r="L30" s="111" t="n"/>
      <c r="M30" s="96" t="n"/>
      <c r="N30" s="96" t="n"/>
      <c r="O30" s="111" t="n"/>
      <c r="P30" s="112" t="n"/>
      <c r="Q30" s="112" t="n"/>
      <c r="R30" s="96" t="n"/>
      <c r="S30" s="96" t="n"/>
      <c r="T30" s="96" t="n"/>
      <c r="U30" s="96" t="n"/>
      <c r="V30" s="161" t="n"/>
      <c r="W30" s="96" t="n"/>
      <c r="X30" s="161" t="n"/>
      <c r="Y30" s="97" t="n"/>
      <c r="Z30" s="97" t="n"/>
      <c r="AA30" s="97" t="n"/>
      <c r="AB30" s="97" t="n"/>
      <c r="AC30" s="97" t="n"/>
      <c r="AD30" s="161" t="n"/>
      <c r="AE30" s="174" t="n"/>
      <c r="AF30" s="96" t="n"/>
      <c r="AG30" s="97" t="n"/>
      <c r="AH30" s="97" t="n"/>
      <c r="AI30" s="97" t="n"/>
      <c r="AJ30" s="96" t="n"/>
      <c r="AK30" s="130" t="n"/>
    </row>
    <row r="31" ht="12" customHeight="1">
      <c r="A31" s="108" t="n"/>
      <c r="B31" s="108" t="n"/>
      <c r="C31" s="108" t="n"/>
      <c r="D31" s="172" t="n"/>
      <c r="E31" s="173" t="n"/>
      <c r="F31" s="96" t="n"/>
      <c r="G31" s="96" t="n"/>
      <c r="H31" s="111" t="n"/>
      <c r="I31" s="96" t="n"/>
      <c r="J31" s="96" t="n"/>
      <c r="K31" s="96" t="n"/>
      <c r="L31" s="111" t="n"/>
      <c r="M31" s="96" t="n"/>
      <c r="N31" s="96" t="n"/>
      <c r="O31" s="111" t="n"/>
      <c r="P31" s="112" t="n"/>
      <c r="Q31" s="112" t="n"/>
      <c r="R31" s="96" t="n"/>
      <c r="S31" s="96" t="n"/>
      <c r="T31" s="96" t="n"/>
      <c r="U31" s="96" t="n"/>
      <c r="V31" s="161" t="n"/>
      <c r="W31" s="96" t="n"/>
      <c r="X31" s="161" t="n"/>
      <c r="Y31" s="97" t="n"/>
      <c r="Z31" s="97" t="n"/>
      <c r="AA31" s="97" t="n"/>
      <c r="AB31" s="97" t="n"/>
      <c r="AC31" s="97" t="n"/>
      <c r="AD31" s="161" t="n"/>
      <c r="AE31" s="174" t="n"/>
      <c r="AF31" s="96" t="n"/>
      <c r="AG31" s="97" t="n"/>
      <c r="AH31" s="97" t="n"/>
      <c r="AI31" s="97" t="n"/>
      <c r="AJ31" s="96" t="n"/>
      <c r="AK31" s="130" t="n"/>
    </row>
    <row r="32" ht="12" customHeight="1">
      <c r="A32" s="108" t="n"/>
      <c r="B32" s="108" t="n"/>
      <c r="C32" s="108" t="n"/>
      <c r="D32" s="172" t="n"/>
      <c r="E32" s="173" t="n"/>
      <c r="F32" s="96" t="n"/>
      <c r="G32" s="96" t="n"/>
      <c r="H32" s="111" t="n"/>
      <c r="I32" s="96" t="n"/>
      <c r="J32" s="96" t="n"/>
      <c r="K32" s="96" t="n"/>
      <c r="L32" s="111" t="n"/>
      <c r="M32" s="96" t="n"/>
      <c r="N32" s="96" t="n"/>
      <c r="O32" s="111" t="n"/>
      <c r="P32" s="112" t="n"/>
      <c r="Q32" s="112" t="n"/>
      <c r="R32" s="96" t="n"/>
      <c r="S32" s="96" t="n"/>
      <c r="T32" s="96" t="n"/>
      <c r="U32" s="96" t="n"/>
      <c r="V32" s="161" t="n"/>
      <c r="W32" s="96" t="n"/>
      <c r="X32" s="161" t="n"/>
      <c r="Y32" s="97" t="n"/>
      <c r="Z32" s="97" t="n"/>
      <c r="AA32" s="97" t="n"/>
      <c r="AB32" s="97" t="n"/>
      <c r="AC32" s="97" t="n"/>
      <c r="AD32" s="161" t="n"/>
      <c r="AE32" s="174" t="n"/>
      <c r="AF32" s="96" t="n"/>
      <c r="AG32" s="97" t="n"/>
      <c r="AH32" s="97" t="n"/>
      <c r="AI32" s="97" t="n"/>
      <c r="AJ32" s="96" t="n"/>
      <c r="AK32" s="130" t="n"/>
    </row>
    <row r="33" ht="12" customHeight="1">
      <c r="A33" s="108" t="n"/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2" t="n"/>
      <c r="Q33" s="112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n"/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n"/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n"/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n"/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n"/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n"/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10375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10375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BMOU4936854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HASLS22261001127</v>
      </c>
      <c r="E3" s="62" t="str">
        <f>VLOOKUP(D3,'2.Bookinglist'!A:CT,27,FALSE)</f>
        <v>LOGISALL (THAILAND) CO., LTD.</v>
      </c>
      <c r="F3" s="62" t="str">
        <f>VLOOKUP(D3,'2.Bookinglist'!A:CT,28,FALSE)</f>
        <v>DOOCHEON AUTOMOTIVE (THAILAND)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KRPUS</v>
      </c>
      <c r="J3" s="61">
        <f>VLOOKUP(D3,'2.Bookinglist'!A:CT,26,FALSE)</f>
        <v>0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SKOR</v>
      </c>
      <c r="P3" s="61" t="str">
        <f>VLOOKUP(A3,'1.Loading'!A:R,4,FALSE)</f>
        <v>2612N</v>
      </c>
      <c r="Q3" s="61" t="str">
        <f>VLOOKUP(D3,'2.Bookinglist'!A:CT,12,FALSE)</f>
        <v>VTS</v>
      </c>
      <c r="R3" s="60" t="str">
        <f>IF(LEFT(K3,2)="22","20'","40'")</f>
        <v>40'</v>
      </c>
      <c r="S3" s="101" t="n"/>
      <c r="T3" s="61" t="str">
        <f>VLOOKUP(A3,'1.Loading'!A:R,2,FALSE)</f>
        <v>2026-10-24</v>
      </c>
      <c r="U3" s="63">
        <f>T3-S3</f>
        <v>46319</v>
      </c>
      <c r="V3" s="178" t="n"/>
      <c r="W3" s="61" t="str">
        <f>VLOOKUP(A3,'3.GateMove'!A:D,4,FALSE)</f>
        <v>2026-10-20</v>
      </c>
      <c r="X3" s="63">
        <f>((T3-W3)+1)</f>
        <v>5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Pattarapong Saengthong</v>
      </c>
      <c r="AL3" s="60" t="str">
        <f>VLOOKUP(D3,'2.Bookinglist'!A:CW,101,FALSE)</f>
        <v>2026-10-23</v>
      </c>
      <c r="AM3" s="60" t="str">
        <f>VLOOKUP(D3,'2.Bookinglist'!A:BK,63,FALSE)</f>
        <v>LCHY5</v>
      </c>
      <c r="AN3" s="62" t="str">
        <f>VLOOKUP(D3,'2.Bookinglist'!A:AZ,52,FALSE)</f>
        <v>Pickup : 2026-10-20, Return : 2026-10-20 // EXTEND CLS TIME 21/10 @23.59 
 ** PLEASE CHECK OPEN GATE BEFORE RETURN CNTR **
</v>
      </c>
      <c r="AO3" s="62">
        <f>VLOOKUP(D3,'2.Bookinglist'!A:CY,103,FALSE)</f>
        <v>0</v>
      </c>
    </row>
    <row r="4" ht="12.95" customHeight="1">
      <c r="A4" s="96" t="inlineStr">
        <is>
          <t>FBIU5092501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HASLS22261000754</v>
      </c>
      <c r="E4" s="62" t="str">
        <f>VLOOKUP(D4,'2.Bookinglist'!A:CT,27,FALSE)</f>
        <v>GOLDEN SEA FROZEN FOODS CO.,LTD</v>
      </c>
      <c r="F4" s="62" t="str">
        <f>VLOOKUP(D4,'2.Bookinglist'!A:CT,28,FALSE)</f>
        <v>GOLDEN SEA FROZEN FOODS CO.,LTD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CNXMN</v>
      </c>
      <c r="J4" s="61">
        <f>VLOOKUP(D4,'2.Bookinglist'!A:CT,26,FALSE)</f>
        <v>0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SKOR</v>
      </c>
      <c r="P4" s="61" t="str">
        <f>VLOOKUP(A4,'1.Loading'!A:R,4,FALSE)</f>
        <v>2612N</v>
      </c>
      <c r="Q4" s="61" t="str">
        <f>VLOOKUP(D4,'2.Bookinglist'!A:CT,12,FALSE)</f>
        <v>VTS</v>
      </c>
      <c r="R4" s="60" t="str">
        <f>IF(LEFT(K4,2)="22","20'","40'")</f>
        <v>40'</v>
      </c>
      <c r="S4" s="185" t="n"/>
      <c r="T4" s="61" t="str">
        <f>VLOOKUP(A4,'1.Loading'!A:R,2,FALSE)</f>
        <v>2026-10-24</v>
      </c>
      <c r="U4" s="63">
        <f>T4-S4</f>
        <v>46319</v>
      </c>
      <c r="V4" s="186" t="n"/>
      <c r="W4" s="61" t="str">
        <f>VLOOKUP(A4,'3.GateMove'!A:D,4,FALSE)</f>
        <v>2026-10-20</v>
      </c>
      <c r="X4" s="63">
        <f>((T4-W4)+1)</f>
        <v>5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46320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Kanokporn</v>
      </c>
      <c r="AL4" s="60" t="str">
        <f>VLOOKUP(D4,'2.Bookinglist'!A:CW,101,FALSE)</f>
        <v>2026-10-21</v>
      </c>
      <c r="AM4" s="60" t="str">
        <f>VLOOKUP(D4,'2.Bookinglist'!A:BK,63,FALSE)</f>
        <v>BKK27</v>
      </c>
      <c r="AN4" s="62" t="str">
        <f>VLOOKUP(D4,'2.Bookinglist'!A:AZ,52,FALSE)</f>
        <v>Pickup : 2026-10-16, Return : 2026-10-20 (Temp -18.0 / Vent Close) 
CLS TIME 20/10/26 @23.59</v>
      </c>
      <c r="AO4" s="62">
        <f>VLOOKUP(D4,'2.Bookinglist'!A:CY,103,FALSE)</f>
        <v>0</v>
      </c>
    </row>
    <row r="5" ht="12.95" customHeight="1">
      <c r="A5" s="96" t="inlineStr">
        <is>
          <t>HALU2033196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HASLS22261000845</v>
      </c>
      <c r="E5" s="62" t="str">
        <f>VLOOKUP(D5,'2.Bookinglist'!A:CT,27,FALSE)</f>
        <v>DIMERCO EXPRESS (THAILAND) CO., LTD.</v>
      </c>
      <c r="F5" s="62" t="str">
        <f>VLOOKUP(D5,'2.Bookinglist'!A:CT,28,FALSE)</f>
        <v>LEEDARSON IOT TECHNOLOGY (THAILAND)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CNXMN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SKOR</v>
      </c>
      <c r="P5" s="61" t="str">
        <f>VLOOKUP(A5,'1.Loading'!A:R,4,FALSE)</f>
        <v>2612N</v>
      </c>
      <c r="Q5" s="61" t="str">
        <f>VLOOKUP(D5,'2.Bookinglist'!A:CT,12,FALSE)</f>
        <v>VTS</v>
      </c>
      <c r="R5" s="60" t="str">
        <f>IF(LEFT(K5,2)="22","20'","40'")</f>
        <v>20'</v>
      </c>
      <c r="S5" s="185" t="n"/>
      <c r="T5" s="61" t="str">
        <f>VLOOKUP(A5,'1.Loading'!A:R,2,FALSE)</f>
        <v>2026-10-24</v>
      </c>
      <c r="U5" s="63">
        <f>T5-S5</f>
        <v>46319</v>
      </c>
      <c r="V5" s="186" t="n"/>
      <c r="W5" s="61" t="str">
        <f>VLOOKUP(A5,'3.GateMove'!A:D,4,FALSE)</f>
        <v>2026-10-19</v>
      </c>
      <c r="X5" s="63">
        <f>((T5-W5)+1)</f>
        <v>6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46320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Nustsireerach</v>
      </c>
      <c r="AL5" s="60" t="str">
        <f>VLOOKUP(D5,'2.Bookinglist'!A:CW,101,FALSE)</f>
        <v>2026-10-21</v>
      </c>
      <c r="AM5" s="60" t="str">
        <f>VLOOKUP(D5,'2.Bookinglist'!A:BK,63,FALSE)</f>
        <v>LCHY5</v>
      </c>
      <c r="AN5" s="62" t="str">
        <f>VLOOKUP(D5,'2.Bookinglist'!A:AZ,52,FALSE)</f>
        <v>Pickup : 2026-10-19, Return : 2026-10-19</v>
      </c>
      <c r="AO5" s="62">
        <f>VLOOKUP(D5,'2.Bookinglist'!A:CY,103,FALSE)</f>
        <v>0</v>
      </c>
    </row>
    <row r="6" ht="12.95" customHeight="1">
      <c r="A6" s="96" t="inlineStr">
        <is>
          <t>HALU2358437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HASLS22261001241</v>
      </c>
      <c r="E6" s="62" t="str">
        <f>VLOOKUP(D6,'2.Bookinglist'!A:CT,27,FALSE)</f>
        <v>DOLPHIN LOGISTICS (THAILAND) CO., LTD.</v>
      </c>
      <c r="F6" s="62" t="str">
        <f>VLOOKUP(D6,'2.Bookinglist'!A:CT,28,FALSE)</f>
        <v>CHICONY POWER TECHNOLOGY (THAILAND) CO.,LTD.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SKOR</v>
      </c>
      <c r="P6" s="61" t="str">
        <f>VLOOKUP(A6,'1.Loading'!A:R,4,FALSE)</f>
        <v>2612N</v>
      </c>
      <c r="Q6" s="61" t="str">
        <f>VLOOKUP(D6,'2.Bookinglist'!A:CT,12,FALSE)</f>
        <v>VTS</v>
      </c>
      <c r="R6" s="60" t="str">
        <f>IF(LEFT(K6,2)="22","20'","40'")</f>
        <v>20'</v>
      </c>
      <c r="S6" s="185" t="n"/>
      <c r="T6" s="61" t="str">
        <f>VLOOKUP(A6,'1.Loading'!A:R,2,FALSE)</f>
        <v>2026-10-24</v>
      </c>
      <c r="U6" s="63">
        <f>T6-S6</f>
        <v>46319</v>
      </c>
      <c r="V6" s="186" t="n"/>
      <c r="W6" s="61" t="str">
        <f>VLOOKUP(A6,'3.GateMove'!A:D,4,FALSE)</f>
        <v>2026-10-19</v>
      </c>
      <c r="X6" s="63">
        <f>((T6-W6)+1)</f>
        <v>6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46320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Sukunpoj Damrongying</v>
      </c>
      <c r="AL6" s="60" t="str">
        <f>VLOOKUP(D6,'2.Bookinglist'!A:CW,101,FALSE)</f>
        <v>2026-10-23</v>
      </c>
      <c r="AM6" s="60" t="str">
        <f>VLOOKUP(D6,'2.Bookinglist'!A:BK,63,FALSE)</f>
        <v>LCHY5</v>
      </c>
      <c r="AN6" s="62" t="str">
        <f>VLOOKUP(D6,'2.Bookinglist'!A:AZ,52,FALSE)</f>
        <v>Pickup : 2026-10-19, Return : 2026-10-19</v>
      </c>
      <c r="AO6" s="62">
        <f>VLOOKUP(D6,'2.Bookinglist'!A:CY,103,FALSE)</f>
        <v>0</v>
      </c>
    </row>
    <row r="7" ht="12.95" customHeight="1">
      <c r="A7" s="96" t="inlineStr">
        <is>
          <t>HALU2506642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HASLS22260802422</v>
      </c>
      <c r="E7" s="62" t="str">
        <f>VLOOKUP(D7,'2.Bookinglist'!A:CT,27,FALSE)</f>
        <v>CARGO CARE LOGISTICS CO., LTD.</v>
      </c>
      <c r="F7" s="62" t="str">
        <f>VLOOKUP(D7,'2.Bookinglist'!A:CT,28,FALSE)</f>
        <v>SIAM DEL MONTE CO.,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SKOR</v>
      </c>
      <c r="P7" s="61" t="str">
        <f>VLOOKUP(A7,'1.Loading'!A:R,4,FALSE)</f>
        <v>2612N</v>
      </c>
      <c r="Q7" s="61" t="str">
        <f>VLOOKUP(D7,'2.Bookinglist'!A:CT,12,FALSE)</f>
        <v>VTS</v>
      </c>
      <c r="R7" s="60" t="str">
        <f>IF(LEFT(K7,2)="22","20'","40'")</f>
        <v>20'</v>
      </c>
      <c r="S7" s="185" t="n"/>
      <c r="T7" s="61" t="str">
        <f>VLOOKUP(A7,'1.Loading'!A:R,2,FALSE)</f>
        <v>2026-10-24</v>
      </c>
      <c r="U7" s="63">
        <f>T7-S7</f>
        <v>46319</v>
      </c>
      <c r="V7" s="186" t="n"/>
      <c r="W7" s="61" t="str">
        <f>VLOOKUP(A7,'3.GateMove'!A:D,4,FALSE)</f>
        <v>2026-10-11</v>
      </c>
      <c r="X7" s="63">
        <f>((T7-W7)+1)</f>
        <v>14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7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1375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46320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1375</v>
      </c>
      <c r="AJ7" s="188" t="n"/>
      <c r="AK7" s="62" t="str">
        <f>VLOOKUP(D7,'2.Bookinglist'!A:CT,40,FALSE)</f>
        <v>Sukunpoj Damrongying</v>
      </c>
      <c r="AL7" s="60" t="str">
        <f>VLOOKUP(D7,'2.Bookinglist'!A:CW,101,FALSE)</f>
        <v>2026-10-21</v>
      </c>
      <c r="AM7" s="60" t="str">
        <f>VLOOKUP(D7,'2.Bookinglist'!A:BK,63,FALSE)</f>
        <v>LCH27</v>
      </c>
      <c r="AN7" s="62" t="str">
        <f>VLOOKUP(D7,'2.Bookinglist'!A:AZ,52,FALSE)</f>
        <v>Pickup : 2026-10-08, Return : 2026-10-10
** PLEASE CHECK OPEN GATE BEFORE RETURN CONTAINER ** </v>
      </c>
      <c r="AO7" s="62" t="str">
        <f>VLOOKUP(D7,'2.Bookinglist'!A:CY,103,FALSE)</f>
        <v>ROLL OVER FROM PREVIOUS VSL KMTP 2612N BY ALLOATION TEAM MS.TARN APPROVED COST IS UNDER HA DD.12/10</v>
      </c>
    </row>
    <row r="8" ht="12.95" customHeight="1">
      <c r="A8" s="96" t="inlineStr">
        <is>
          <t>HALU2515412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HASLS22260901727</v>
      </c>
      <c r="E8" s="62" t="str">
        <f>VLOOKUP(D8,'2.Bookinglist'!A:CT,27,FALSE)</f>
        <v>CARGO CARE LOGISTICS CO., LTD.</v>
      </c>
      <c r="F8" s="62" t="str">
        <f>VLOOKUP(D8,'2.Bookinglist'!A:CT,28,FALSE)</f>
        <v>SIAM DEL MONTE CO.,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SKOR</v>
      </c>
      <c r="P8" s="61" t="str">
        <f>VLOOKUP(A8,'1.Loading'!A:R,4,FALSE)</f>
        <v>2612N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2026-10-24</v>
      </c>
      <c r="U8" s="63">
        <f>T8-S8</f>
        <v>46319</v>
      </c>
      <c r="V8" s="186" t="n"/>
      <c r="W8" s="61" t="str">
        <f>VLOOKUP(A8,'3.GateMove'!A:D,4,FALSE)</f>
        <v>2026-10-17</v>
      </c>
      <c r="X8" s="63">
        <f>((T8-W8)+1)</f>
        <v>8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1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125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46320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125</v>
      </c>
      <c r="AJ8" s="188" t="n"/>
      <c r="AK8" s="62" t="str">
        <f>VLOOKUP(D8,'2.Bookinglist'!A:CT,40,FALSE)</f>
        <v>Sukunpoj Damrongying</v>
      </c>
      <c r="AL8" s="60" t="str">
        <f>VLOOKUP(D8,'2.Bookinglist'!A:CW,101,FALSE)</f>
        <v>2026-10-23</v>
      </c>
      <c r="AM8" s="60" t="str">
        <f>VLOOKUP(D8,'2.Bookinglist'!A:BK,63,FALSE)</f>
        <v>LCHY5</v>
      </c>
      <c r="AN8" s="62" t="str">
        <f>VLOOKUP(D8,'2.Bookinglist'!A:AZ,52,FALSE)</f>
        <v>Pickup : 2026-10-14, Return : 2026-10-16
** PLEASE CHECK OPEN GATE BEFORE RETURN CONTAINER **</v>
      </c>
      <c r="AO8" s="62" t="str">
        <f>VLOOKUP(D8,'2.Bookinglist'!A:CY,103,FALSE)</f>
        <v>ROLL OVER FROM PREVIOUS VSL KJT 2611N BY ALLOCATION TEAM MS.TARN APPROVED COST IS UNDER HA DD.19/10</v>
      </c>
    </row>
    <row r="9" ht="12.95" customHeight="1">
      <c r="A9" s="96" t="inlineStr">
        <is>
          <t>HALU2560807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HASLS22260901730</v>
      </c>
      <c r="E9" s="62" t="str">
        <f>VLOOKUP(D9,'2.Bookinglist'!A:CT,27,FALSE)</f>
        <v>CARGO CARE LOGISTICS CO., LTD.</v>
      </c>
      <c r="F9" s="62" t="str">
        <f>VLOOKUP(D9,'2.Bookinglist'!A:CT,28,FALSE)</f>
        <v>SIAM DEL MONTE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SKOR</v>
      </c>
      <c r="P9" s="61" t="str">
        <f>VLOOKUP(A9,'1.Loading'!A:R,4,FALSE)</f>
        <v>2612N</v>
      </c>
      <c r="Q9" s="61" t="str">
        <f>VLOOKUP(D9,'2.Bookinglist'!A:CT,12,FALSE)</f>
        <v>VTS</v>
      </c>
      <c r="R9" s="60" t="str">
        <f>IF(LEFT(K9,2)="22","20'","40'")</f>
        <v>20'</v>
      </c>
      <c r="S9" s="185" t="n"/>
      <c r="T9" s="61" t="str">
        <f>VLOOKUP(A9,'1.Loading'!A:R,2,FALSE)</f>
        <v>2026-10-24</v>
      </c>
      <c r="U9" s="63">
        <f>T9-S9</f>
        <v>46319</v>
      </c>
      <c r="V9" s="186" t="n"/>
      <c r="W9" s="61" t="str">
        <f>VLOOKUP(A9,'3.GateMove'!A:D,4,FALSE)</f>
        <v>2026-10-17</v>
      </c>
      <c r="X9" s="63">
        <f>((T9-W9)+1)</f>
        <v>8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1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46320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125</v>
      </c>
      <c r="AJ9" s="188" t="n"/>
      <c r="AK9" s="62" t="str">
        <f>VLOOKUP(D9,'2.Bookinglist'!A:CT,40,FALSE)</f>
        <v>Sukunpoj Damrongying</v>
      </c>
      <c r="AL9" s="60" t="str">
        <f>VLOOKUP(D9,'2.Bookinglist'!A:CW,101,FALSE)</f>
        <v>2026-10-23</v>
      </c>
      <c r="AM9" s="60" t="str">
        <f>VLOOKUP(D9,'2.Bookinglist'!A:BK,63,FALSE)</f>
        <v>LCHY5</v>
      </c>
      <c r="AN9" s="62" t="str">
        <f>VLOOKUP(D9,'2.Bookinglist'!A:AZ,52,FALSE)</f>
        <v>Pickup : 2026-10-14, Return : 2026-10-16</v>
      </c>
      <c r="AO9" s="62" t="str">
        <f>VLOOKUP(D9,'2.Bookinglist'!A:CY,103,FALSE)</f>
        <v>ROLL OVER FROM PREVIOUS VSL KJT 2611N BY ALLOCATION TEAM MS.TARN APPROVED COST IS UNDER HA DD.19/10</v>
      </c>
    </row>
    <row r="10" ht="12.95" customHeight="1">
      <c r="A10" s="96" t="inlineStr">
        <is>
          <t>HALU2569105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HASLS22260802423</v>
      </c>
      <c r="E10" s="62" t="str">
        <f>VLOOKUP(D10,'2.Bookinglist'!A:CT,27,FALSE)</f>
        <v>CARGO CARE LOGISTICS CO., LTD.</v>
      </c>
      <c r="F10" s="62" t="str">
        <f>VLOOKUP(D10,'2.Bookinglist'!A:CT,28,FALSE)</f>
        <v>SIAM DEL MONTE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SKOR</v>
      </c>
      <c r="P10" s="61" t="str">
        <f>VLOOKUP(A10,'1.Loading'!A:R,4,FALSE)</f>
        <v>2612N</v>
      </c>
      <c r="Q10" s="61" t="str">
        <f>VLOOKUP(D10,'2.Bookinglist'!A:CT,12,FALSE)</f>
        <v>VTS</v>
      </c>
      <c r="R10" s="60" t="str">
        <f>IF(LEFT(K10,2)="22","20'","40'")</f>
        <v>20'</v>
      </c>
      <c r="S10" s="185" t="n"/>
      <c r="T10" s="61" t="str">
        <f>VLOOKUP(A10,'1.Loading'!A:R,2,FALSE)</f>
        <v>2026-10-24</v>
      </c>
      <c r="U10" s="63">
        <f>T10-S10</f>
        <v>46319</v>
      </c>
      <c r="V10" s="186" t="n"/>
      <c r="W10" s="61" t="str">
        <f>VLOOKUP(A10,'3.GateMove'!A:D,4,FALSE)</f>
        <v>2026-10-11</v>
      </c>
      <c r="X10" s="63">
        <f>((T10-W10)+1)</f>
        <v>14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7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1375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46320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1375</v>
      </c>
      <c r="AJ10" s="188" t="n"/>
      <c r="AK10" s="62" t="str">
        <f>VLOOKUP(D10,'2.Bookinglist'!A:CT,40,FALSE)</f>
        <v>Sukunpoj Damrongying</v>
      </c>
      <c r="AL10" s="60" t="str">
        <f>VLOOKUP(D10,'2.Bookinglist'!A:CW,101,FALSE)</f>
        <v>2026-10-21</v>
      </c>
      <c r="AM10" s="60" t="str">
        <f>VLOOKUP(D10,'2.Bookinglist'!A:BK,63,FALSE)</f>
        <v>LCH27</v>
      </c>
      <c r="AN10" s="62" t="str">
        <f>VLOOKUP(D10,'2.Bookinglist'!A:AZ,52,FALSE)</f>
        <v>Pickup : 2026-10-08, Return : 2026-10-10</v>
      </c>
      <c r="AO10" s="62" t="str">
        <f>VLOOKUP(D10,'2.Bookinglist'!A:CY,103,FALSE)</f>
        <v>ROLL OVER FROM PREVIOUS VSL KMTP  2612N BY ALLOCATION TEAM MS,TARN APPROVED COST IS UNDER HA DD.13/10</v>
      </c>
    </row>
    <row r="11" ht="12.95" customHeight="1">
      <c r="A11" s="96" t="inlineStr">
        <is>
          <t>RFCU2350744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HASLS22260902374</v>
      </c>
      <c r="E11" s="62" t="str">
        <f>VLOOKUP(D11,'2.Bookinglist'!A:CT,27,FALSE)</f>
        <v>DOUBLE A (1991) PUBLIC COMPANY LIMITED</v>
      </c>
      <c r="F11" s="62" t="str">
        <f>VLOOKUP(D11,'2.Bookinglist'!A:CT,28,FALSE)</f>
        <v>DOUBLE A (1991)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SKOR</v>
      </c>
      <c r="P11" s="61" t="str">
        <f>VLOOKUP(A11,'1.Loading'!A:R,4,FALSE)</f>
        <v>2612N</v>
      </c>
      <c r="Q11" s="61" t="str">
        <f>VLOOKUP(D11,'2.Bookinglist'!A:CT,12,FALSE)</f>
        <v>VTS</v>
      </c>
      <c r="R11" s="60" t="str">
        <f>IF(LEFT(K11,2)="22","20'","40'")</f>
        <v>20'</v>
      </c>
      <c r="S11" s="185" t="n"/>
      <c r="T11" s="61" t="str">
        <f>VLOOKUP(A11,'1.Loading'!A:R,2,FALSE)</f>
        <v>2026-10-24</v>
      </c>
      <c r="U11" s="63">
        <f>T11-S11</f>
        <v>46319</v>
      </c>
      <c r="V11" s="186" t="n"/>
      <c r="W11" s="61" t="str">
        <f>VLOOKUP(A11,'3.GateMove'!A:D,4,FALSE)</f>
        <v>2026-10-16</v>
      </c>
      <c r="X11" s="63">
        <f>((T11-W11)+1)</f>
        <v>9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2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46320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250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2026-10-17</v>
      </c>
      <c r="AM11" s="60" t="str">
        <f>VLOOKUP(D11,'2.Bookinglist'!A:BK,63,FALSE)</f>
        <v>LCHY5</v>
      </c>
      <c r="AN11" s="62" t="str">
        <f>VLOOKUP(D11,'2.Bookinglist'!A:AZ,52,FALSE)</f>
        <v>CY-RTN : 10-13/10/2026
REF : PI-HK-TH-DA-26100006
FRT $35, FREE TIME 14/14, DTHC(HKD)2000</v>
      </c>
      <c r="AO11" s="62">
        <f>VLOOKUP(D11,'2.Bookinglist'!A:CY,103,FALSE)</f>
        <v>0</v>
      </c>
    </row>
    <row r="12" ht="12.95" customHeight="1">
      <c r="A12" s="96" t="inlineStr">
        <is>
          <t>SEGU9784860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HASLS22261000929</v>
      </c>
      <c r="E12" s="62" t="str">
        <f>VLOOKUP(D12,'2.Bookinglist'!A:CT,27,FALSE)</f>
        <v>STAR SHIPPING CARGO LIKES CO., LTD.</v>
      </c>
      <c r="F12" s="62" t="str">
        <f>VLOOKUP(D12,'2.Bookinglist'!A:CT,28,FALSE)</f>
        <v>AN NAM DRAGON 2017 CO.,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45RE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61" t="str">
        <f>VLOOKUP(A12,'1.Loading'!A:R,3,FALSE)</f>
        <v>SKOR</v>
      </c>
      <c r="P12" s="61" t="str">
        <f>VLOOKUP(A12,'1.Loading'!A:R,4,FALSE)</f>
        <v>2612N</v>
      </c>
      <c r="Q12" s="61" t="str">
        <f>VLOOKUP(D12,'2.Bookinglist'!A:CT,12,FALSE)</f>
        <v>VTS</v>
      </c>
      <c r="R12" s="60" t="str">
        <f>IF(LEFT(K12,2)="22","20'","40'")</f>
        <v>40'</v>
      </c>
      <c r="S12" s="185" t="n"/>
      <c r="T12" s="61" t="str">
        <f>VLOOKUP(A12,'1.Loading'!A:R,2,FALSE)</f>
        <v>2026-10-24</v>
      </c>
      <c r="U12" s="63">
        <f>T12-S12</f>
        <v>46319</v>
      </c>
      <c r="V12" s="186" t="n"/>
      <c r="W12" s="61" t="str">
        <f>VLOOKUP(A12,'3.GateMove'!A:D,4,FALSE)</f>
        <v>2026-10-19</v>
      </c>
      <c r="X12" s="63">
        <f>((T12-W12)+1)</f>
        <v>6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3</v>
      </c>
      <c r="AE12" s="63">
        <f>(T12-V12)+1</f>
        <v>46320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Arunphat W. (Aiw)</v>
      </c>
      <c r="AL12" s="60" t="str">
        <f>VLOOKUP(D12,'2.Bookinglist'!A:CW,101,FALSE)</f>
        <v>2026-10-23</v>
      </c>
      <c r="AM12" s="60" t="str">
        <f>VLOOKUP(D12,'2.Bookinglist'!A:BK,63,FALSE)</f>
        <v>LCH27</v>
      </c>
      <c r="AN12" s="62" t="str">
        <f>VLOOKUP(D12,'2.Bookinglist'!A:AZ,52,FALSE)</f>
        <v>Pickup : 2026-10-17, Return : 2026-10-19  (Temp +4.0 / Vent 15% Open) 
CLS TIME 22/10/26 @23.59 [1ST RTN 21/10 W/O ELECTRIC] 
</v>
      </c>
      <c r="AO12" s="62">
        <f>VLOOKUP(D12,'2.Bookinglist'!A:CY,103,FALSE)</f>
        <v>0</v>
      </c>
    </row>
    <row r="13" ht="12.95" customHeight="1">
      <c r="A13" s="96" t="inlineStr">
        <is>
          <t>SKHU8131947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HASLS22261000817</v>
      </c>
      <c r="E13" s="62" t="str">
        <f>VLOOKUP(D13,'2.Bookinglist'!A:CT,27,FALSE)</f>
        <v>DOLPHIN LOGISTICS (THAILAND) CO., LTD.</v>
      </c>
      <c r="F13" s="62" t="str">
        <f>VLOOKUP(D13,'2.Bookinglist'!A:CT,28,FALSE)</f>
        <v>I ONE TECHNOLOGY (THAILAND) CO.,LTD.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SKOR</v>
      </c>
      <c r="P13" s="61" t="str">
        <f>VLOOKUP(A13,'1.Loading'!A:R,4,FALSE)</f>
        <v>2612N</v>
      </c>
      <c r="Q13" s="61" t="str">
        <f>VLOOKUP(D13,'2.Bookinglist'!A:CT,12,FALSE)</f>
        <v>VTS</v>
      </c>
      <c r="R13" s="60" t="str">
        <f>IF(LEFT(K13,2)="22","20'","40'")</f>
        <v>40'</v>
      </c>
      <c r="S13" s="185" t="n"/>
      <c r="T13" s="61" t="str">
        <f>VLOOKUP(A13,'1.Loading'!A:R,2,FALSE)</f>
        <v>2026-10-24</v>
      </c>
      <c r="U13" s="63">
        <f>T13-S13</f>
        <v>46319</v>
      </c>
      <c r="V13" s="186" t="n"/>
      <c r="W13" s="61" t="str">
        <f>VLOOKUP(A13,'3.GateMove'!A:D,4,FALSE)</f>
        <v>2026-10-21</v>
      </c>
      <c r="X13" s="63">
        <f>((T13-W13)+1)</f>
        <v>4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46320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Sukunpoj Damrongying</v>
      </c>
      <c r="AL13" s="60" t="str">
        <f>VLOOKUP(D13,'2.Bookinglist'!A:CW,101,FALSE)</f>
        <v>2026-10-23</v>
      </c>
      <c r="AM13" s="60" t="str">
        <f>VLOOKUP(D13,'2.Bookinglist'!A:BK,63,FALSE)</f>
        <v>LCHY5</v>
      </c>
      <c r="AN13" s="62" t="str">
        <f>VLOOKUP(D13,'2.Bookinglist'!A:AZ,52,FALSE)</f>
        <v>Pickup : 2026-10-20, Return : 2026-10-20 (EXTEND CLOSING 21/10/26 @06.00)
2SHPs: I ONE TECHNOLOGY (THAILAND) CO.,LTD. + YUEYANG ELECTRONICS (THAILAND) CO., LTD.</v>
      </c>
      <c r="AO13" s="62">
        <f>VLOOKUP(D13,'2.Bookinglist'!A:CY,103,FALSE)</f>
        <v>0</v>
      </c>
    </row>
    <row r="14" ht="12.95" customHeight="1">
      <c r="A14" s="96" t="inlineStr">
        <is>
          <t>SKLU0407338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HASLS22260902373</v>
      </c>
      <c r="E14" s="62" t="str">
        <f>VLOOKUP(D14,'2.Bookinglist'!A:CT,27,FALSE)</f>
        <v>DOUBLE A (1991) PUBLIC COMPANY LIMITED</v>
      </c>
      <c r="F14" s="62" t="str">
        <f>VLOOKUP(D14,'2.Bookinglist'!A:CT,28,FALSE)</f>
        <v>DOUBLE A (1991) PUBLIC COMPANY LIMITED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SKOR</v>
      </c>
      <c r="P14" s="61" t="str">
        <f>VLOOKUP(A14,'1.Loading'!A:R,4,FALSE)</f>
        <v>2612N</v>
      </c>
      <c r="Q14" s="61" t="str">
        <f>VLOOKUP(D14,'2.Bookinglist'!A:CT,12,FALSE)</f>
        <v>VTS</v>
      </c>
      <c r="R14" s="60" t="str">
        <f>IF(LEFT(K14,2)="22","20'","40'")</f>
        <v>20'</v>
      </c>
      <c r="S14" s="185" t="n"/>
      <c r="T14" s="61" t="str">
        <f>VLOOKUP(A14,'1.Loading'!A:R,2,FALSE)</f>
        <v>2026-10-24</v>
      </c>
      <c r="U14" s="63">
        <f>T14-S14</f>
        <v>46319</v>
      </c>
      <c r="V14" s="186" t="n"/>
      <c r="W14" s="61" t="str">
        <f>VLOOKUP(A14,'3.GateMove'!A:D,4,FALSE)</f>
        <v>2026-10-17</v>
      </c>
      <c r="X14" s="63">
        <f>((T14-W14)+1)</f>
        <v>8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1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125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46320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125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2026-10-22</v>
      </c>
      <c r="AM14" s="60" t="str">
        <f>VLOOKUP(D14,'2.Bookinglist'!A:BK,63,FALSE)</f>
        <v>LCHY5</v>
      </c>
      <c r="AN14" s="62" t="str">
        <f>VLOOKUP(D14,'2.Bookinglist'!A:AZ,52,FALSE)</f>
        <v>CY-RTN : 09-11/10/2026
REF : PI-HK-TH-DA-26100005
FRT $35, FREE TIME 14/14, DTHC(HKD)2000</v>
      </c>
      <c r="AO14" s="62" t="str">
        <f>VLOOKUP(D14,'2.Bookinglist'!A:CY,103,FALSE)</f>
        <v>ROLL OVER FROM PREVIOUS VSL KJT 2611N BY ALLOCATION TEAM MS.TARN APRPOVED COST IS UNDER HA DD.15/10</v>
      </c>
    </row>
    <row r="15" ht="12.95" customHeight="1">
      <c r="A15" s="96" t="inlineStr">
        <is>
          <t>SKLU0711720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HASLS22260902374</v>
      </c>
      <c r="E15" s="62" t="str">
        <f>VLOOKUP(D15,'2.Bookinglist'!A:CT,27,FALSE)</f>
        <v>DOUBLE A (1991) PUBLIC COMPANY LIMITED</v>
      </c>
      <c r="F15" s="62" t="str">
        <f>VLOOKUP(D15,'2.Bookinglist'!A:CT,28,FALSE)</f>
        <v>DOUBLE A (1991)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SKOR</v>
      </c>
      <c r="P15" s="61" t="str">
        <f>VLOOKUP(A15,'1.Loading'!A:R,4,FALSE)</f>
        <v>2612N</v>
      </c>
      <c r="Q15" s="61" t="str">
        <f>VLOOKUP(D15,'2.Bookinglist'!A:CT,12,FALSE)</f>
        <v>VTS</v>
      </c>
      <c r="R15" s="60" t="str">
        <f>IF(LEFT(K15,2)="22","20'","40'")</f>
        <v>20'</v>
      </c>
      <c r="S15" s="185" t="n"/>
      <c r="T15" s="61" t="str">
        <f>VLOOKUP(A15,'1.Loading'!A:R,2,FALSE)</f>
        <v>2026-10-24</v>
      </c>
      <c r="U15" s="63">
        <f>T15-S15</f>
        <v>46319</v>
      </c>
      <c r="V15" s="186" t="n"/>
      <c r="W15" s="61" t="str">
        <f>VLOOKUP(A15,'3.GateMove'!A:D,4,FALSE)</f>
        <v>2026-10-18</v>
      </c>
      <c r="X15" s="63">
        <f>((T15-W15)+1)</f>
        <v>7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46320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Kanokporn</v>
      </c>
      <c r="AL15" s="60" t="str">
        <f>VLOOKUP(D15,'2.Bookinglist'!A:CW,101,FALSE)</f>
        <v>2026-10-17</v>
      </c>
      <c r="AM15" s="60" t="str">
        <f>VLOOKUP(D15,'2.Bookinglist'!A:BK,63,FALSE)</f>
        <v>LCHY5</v>
      </c>
      <c r="AN15" s="62" t="str">
        <f>VLOOKUP(D15,'2.Bookinglist'!A:AZ,52,FALSE)</f>
        <v>CY-RTN : 10-13/10/2026
REF : PI-HK-TH-DA-26100006
FRT $35, FREE TIME 14/14, DTHC(HKD)2000</v>
      </c>
      <c r="AO15" s="62">
        <f>VLOOKUP(D15,'2.Bookinglist'!A:CY,103,FALSE)</f>
        <v>0</v>
      </c>
    </row>
    <row r="16" ht="12.95" customHeight="1">
      <c r="A16" s="96" t="inlineStr">
        <is>
          <t>SKLU0720907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HASLS22261000632</v>
      </c>
      <c r="E16" s="62" t="str">
        <f>VLOOKUP(D16,'2.Bookinglist'!A:CT,27,FALSE)</f>
        <v>YUSEN LOGISTICS (THAILAND) CO., LTD.</v>
      </c>
      <c r="F16" s="62" t="str">
        <f>VLOOKUP(D16,'2.Bookinglist'!A:CT,28,FALSE)</f>
        <v>THAI GYPSUM PRODUCTS PCL.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SKOR</v>
      </c>
      <c r="P16" s="61" t="str">
        <f>VLOOKUP(A16,'1.Loading'!A:R,4,FALSE)</f>
        <v>2612N</v>
      </c>
      <c r="Q16" s="61" t="str">
        <f>VLOOKUP(D16,'2.Bookinglist'!A:CT,12,FALSE)</f>
        <v>VTS</v>
      </c>
      <c r="R16" s="60" t="str">
        <f>IF(LEFT(K16,2)="22","20'","40'")</f>
        <v>20'</v>
      </c>
      <c r="S16" s="185" t="n"/>
      <c r="T16" s="61" t="str">
        <f>VLOOKUP(A16,'1.Loading'!A:R,2,FALSE)</f>
        <v>2026-10-24</v>
      </c>
      <c r="U16" s="63">
        <f>T16-S16</f>
        <v>46319</v>
      </c>
      <c r="V16" s="186" t="n"/>
      <c r="W16" s="61" t="str">
        <f>VLOOKUP(A16,'3.GateMove'!A:D,4,FALSE)</f>
        <v>2026-10-19</v>
      </c>
      <c r="X16" s="63">
        <f>((T16-W16)+1)</f>
        <v>6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46320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2026-10-21</v>
      </c>
      <c r="AM16" s="60" t="str">
        <f>VLOOKUP(D16,'2.Bookinglist'!A:BK,63,FALSE)</f>
        <v>LCHY5</v>
      </c>
      <c r="AN16" s="62" t="str">
        <f>VLOOKUP(D16,'2.Bookinglist'!A:AZ,52,FALSE)</f>
        <v>Pickup : 2026-10-16, Return : 2026-10-19 
** PLEASE CHECK OPEN GATE BEFORE RETURN CONTAINER **</v>
      </c>
      <c r="AO16" s="62">
        <f>VLOOKUP(D16,'2.Bookinglist'!A:CY,103,FALSE)</f>
        <v>0</v>
      </c>
    </row>
    <row r="17" ht="12.95" customHeight="1">
      <c r="A17" s="96" t="inlineStr">
        <is>
          <t>SKLU1000239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HASLS22260902600</v>
      </c>
      <c r="E17" s="62" t="str">
        <f>VLOOKUP(D17,'2.Bookinglist'!A:CT,27,FALSE)</f>
        <v>DOUBLE A (1991) PUBLIC COMPANY LIMITED</v>
      </c>
      <c r="F17" s="62" t="str">
        <f>VLOOKUP(D17,'2.Bookinglist'!A:CT,28,FALSE)</f>
        <v>DOUBLE A (1991) PUBLIC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SKOR</v>
      </c>
      <c r="P17" s="61" t="str">
        <f>VLOOKUP(A17,'1.Loading'!A:R,4,FALSE)</f>
        <v>2612N</v>
      </c>
      <c r="Q17" s="61" t="str">
        <f>VLOOKUP(D17,'2.Bookinglist'!A:CT,12,FALSE)</f>
        <v>VTS</v>
      </c>
      <c r="R17" s="60" t="str">
        <f>IF(LEFT(K17,2)="22","20'","40'")</f>
        <v>20'</v>
      </c>
      <c r="S17" s="185" t="n"/>
      <c r="T17" s="61" t="str">
        <f>VLOOKUP(A17,'1.Loading'!A:R,2,FALSE)</f>
        <v>2026-10-24</v>
      </c>
      <c r="U17" s="63">
        <f>T17-S17</f>
        <v>46319</v>
      </c>
      <c r="V17" s="186" t="n"/>
      <c r="W17" s="61" t="str">
        <f>VLOOKUP(A17,'3.GateMove'!A:D,4,FALSE)</f>
        <v>2026-10-17</v>
      </c>
      <c r="X17" s="63">
        <f>((T17-W17)+1)</f>
        <v>8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1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125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46320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125</v>
      </c>
      <c r="AJ17" s="188" t="n"/>
      <c r="AK17" s="62" t="str">
        <f>VLOOKUP(D17,'2.Bookinglist'!A:CT,40,FALSE)</f>
        <v>Kanokporn</v>
      </c>
      <c r="AL17" s="60" t="str">
        <f>VLOOKUP(D17,'2.Bookinglist'!A:CW,101,FALSE)</f>
        <v>2026-10-21</v>
      </c>
      <c r="AM17" s="60" t="str">
        <f>VLOOKUP(D17,'2.Bookinglist'!A:BK,63,FALSE)</f>
        <v>LCH27</v>
      </c>
      <c r="AN17" s="62" t="str">
        <f>VLOOKUP(D17,'2.Bookinglist'!A:AZ,52,FALSE)</f>
        <v>CY-RTN : 13-15/10/2026
REF : PI-HK-TH-DA-26100016
FRT $35, FREE TIME 14/14, DTHC(HKD)2000</v>
      </c>
      <c r="AO17" s="62">
        <f>VLOOKUP(D17,'2.Bookinglist'!A:CY,103,FALSE)</f>
        <v>0</v>
      </c>
    </row>
    <row r="18" ht="12.95" customHeight="1">
      <c r="A18" s="96" t="inlineStr">
        <is>
          <t>SKLU1520924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HASLS22261000108</v>
      </c>
      <c r="E18" s="62" t="str">
        <f>VLOOKUP(D18,'2.Bookinglist'!A:CT,27,FALSE)</f>
        <v>UBE CHEMICALS (ASIA) PUBLIC COMPANY LIMITED</v>
      </c>
      <c r="F18" s="62" t="str">
        <f>VLOOKUP(D18,'2.Bookinglist'!A:CT,28,FALSE)</f>
        <v>THAI SYNTHETIC RUBBERS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SKOR</v>
      </c>
      <c r="P18" s="61" t="str">
        <f>VLOOKUP(A18,'1.Loading'!A:R,4,FALSE)</f>
        <v>2612N</v>
      </c>
      <c r="Q18" s="61" t="str">
        <f>VLOOKUP(D18,'2.Bookinglist'!A:CT,12,FALSE)</f>
        <v>VTS</v>
      </c>
      <c r="R18" s="60" t="str">
        <f>IF(LEFT(K18,2)="22","20'","40'")</f>
        <v>20'</v>
      </c>
      <c r="S18" s="185" t="n"/>
      <c r="T18" s="61" t="str">
        <f>VLOOKUP(A18,'1.Loading'!A:R,2,FALSE)</f>
        <v>2026-10-24</v>
      </c>
      <c r="U18" s="63">
        <f>T18-S18</f>
        <v>46319</v>
      </c>
      <c r="V18" s="186" t="n"/>
      <c r="W18" s="61" t="str">
        <f>VLOOKUP(A18,'3.GateMove'!A:D,4,FALSE)</f>
        <v>2026-10-16</v>
      </c>
      <c r="X18" s="63">
        <f>((T18-W18)+1)</f>
        <v>9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2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250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46320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250</v>
      </c>
      <c r="AJ18" s="188" t="n"/>
      <c r="AK18" s="62" t="str">
        <f>VLOOKUP(D18,'2.Bookinglist'!A:CT,40,FALSE)</f>
        <v>Tarn(Supaporn)</v>
      </c>
      <c r="AL18" s="60" t="str">
        <f>VLOOKUP(D18,'2.Bookinglist'!A:CW,101,FALSE)</f>
        <v>2026-10-23</v>
      </c>
      <c r="AM18" s="60" t="str">
        <f>VLOOKUP(D18,'2.Bookinglist'!A:BK,63,FALSE)</f>
        <v>LCHY5</v>
      </c>
      <c r="AN18" s="62" t="str">
        <f>VLOOKUP(D18,'2.Bookinglist'!A:AZ,52,FALSE)</f>
        <v>CY-RTN 15-16/10/26 (ID-TBA1001 (BR-26078B)</v>
      </c>
      <c r="AO18" s="62">
        <f>VLOOKUP(D18,'2.Bookinglist'!A:CY,103,FALSE)</f>
        <v>0</v>
      </c>
    </row>
    <row r="19" ht="12.95" customHeight="1">
      <c r="A19" s="96" t="inlineStr">
        <is>
          <t>SKLU1608893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HASLS22261000305</v>
      </c>
      <c r="E19" s="62" t="str">
        <f>VLOOKUP(D19,'2.Bookinglist'!A:CT,27,FALSE)</f>
        <v>THAI POLYCARBONATE CO., LTD.</v>
      </c>
      <c r="F19" s="62" t="str">
        <f>VLOOKUP(D19,'2.Bookinglist'!A:CT,28,FALSE)</f>
        <v>THAI POLYACETAL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SKOR</v>
      </c>
      <c r="P19" s="61" t="str">
        <f>VLOOKUP(A19,'1.Loading'!A:R,4,FALSE)</f>
        <v>2612N</v>
      </c>
      <c r="Q19" s="61" t="str">
        <f>VLOOKUP(D19,'2.Bookinglist'!A:CT,12,FALSE)</f>
        <v>VTS</v>
      </c>
      <c r="R19" s="60" t="str">
        <f>IF(LEFT(K19,2)="22","20'","40'")</f>
        <v>20'</v>
      </c>
      <c r="S19" s="185" t="n"/>
      <c r="T19" s="61" t="str">
        <f>VLOOKUP(A19,'1.Loading'!A:R,2,FALSE)</f>
        <v>2026-10-24</v>
      </c>
      <c r="U19" s="63">
        <f>T19-S19</f>
        <v>46319</v>
      </c>
      <c r="V19" s="186" t="n"/>
      <c r="W19" s="61" t="str">
        <f>VLOOKUP(A19,'3.GateMove'!A:D,4,FALSE)</f>
        <v>2026-10-16</v>
      </c>
      <c r="X19" s="63">
        <f>((T19-W19)+1)</f>
        <v>9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2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250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46320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250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2026-10-20</v>
      </c>
      <c r="AM19" s="60" t="str">
        <f>VLOOKUP(D19,'2.Bookinglist'!A:BK,63,FALSE)</f>
        <v>LCHY5</v>
      </c>
      <c r="AN19" s="62" t="str">
        <f>VLOOKUP(D19,'2.Bookinglist'!A:AZ,52,FALSE)</f>
        <v>Pickup : 2026-10-14, Return : 2026-10-16 
** PLEASE CHECK OPEN GATE BEFORE RETURN CONTAINER **
 </v>
      </c>
      <c r="AO19" s="62">
        <f>VLOOKUP(D19,'2.Bookinglist'!A:CY,103,FALSE)</f>
        <v>0</v>
      </c>
    </row>
    <row r="20" ht="12.95" customHeight="1">
      <c r="A20" s="96" t="inlineStr">
        <is>
          <t>SKLU1631580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HASLS22260902373</v>
      </c>
      <c r="E20" s="62" t="str">
        <f>VLOOKUP(D20,'2.Bookinglist'!A:CT,27,FALSE)</f>
        <v>DOUBLE A (1991) PUBLIC COMPANY LIMITED</v>
      </c>
      <c r="F20" s="62" t="str">
        <f>VLOOKUP(D20,'2.Bookinglist'!A:CT,28,FALSE)</f>
        <v>DOUBLE A (1991)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SKOR</v>
      </c>
      <c r="P20" s="61" t="str">
        <f>VLOOKUP(A20,'1.Loading'!A:R,4,FALSE)</f>
        <v>2612N</v>
      </c>
      <c r="Q20" s="61" t="str">
        <f>VLOOKUP(D20,'2.Bookinglist'!A:CT,12,FALSE)</f>
        <v>VTS</v>
      </c>
      <c r="R20" s="60" t="str">
        <f>IF(LEFT(K20,2)="22","20'","40'")</f>
        <v>20'</v>
      </c>
      <c r="S20" s="185" t="n"/>
      <c r="T20" s="61" t="str">
        <f>VLOOKUP(A20,'1.Loading'!A:R,2,FALSE)</f>
        <v>2026-10-24</v>
      </c>
      <c r="U20" s="63">
        <f>T20-S20</f>
        <v>46319</v>
      </c>
      <c r="V20" s="186" t="n"/>
      <c r="W20" s="61" t="str">
        <f>VLOOKUP(A20,'3.GateMove'!A:D,4,FALSE)</f>
        <v>2026-10-17</v>
      </c>
      <c r="X20" s="63">
        <f>((T20-W20)+1)</f>
        <v>8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1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125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46320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125</v>
      </c>
      <c r="AJ20" s="188" t="n"/>
      <c r="AK20" s="62" t="str">
        <f>VLOOKUP(D20,'2.Bookinglist'!A:CT,40,FALSE)</f>
        <v>Kanokporn</v>
      </c>
      <c r="AL20" s="60" t="str">
        <f>VLOOKUP(D20,'2.Bookinglist'!A:CW,101,FALSE)</f>
        <v>2026-10-22</v>
      </c>
      <c r="AM20" s="60" t="str">
        <f>VLOOKUP(D20,'2.Bookinglist'!A:BK,63,FALSE)</f>
        <v>LCHY5</v>
      </c>
      <c r="AN20" s="62" t="str">
        <f>VLOOKUP(D20,'2.Bookinglist'!A:AZ,52,FALSE)</f>
        <v>CY-RTN : 09-11/10/2026
REF : PI-HK-TH-DA-26100005
FRT $35, FREE TIME 14/14, DTHC(HKD)2000</v>
      </c>
      <c r="AO20" s="62" t="str">
        <f>VLOOKUP(D20,'2.Bookinglist'!A:CY,103,FALSE)</f>
        <v>ROLL OVER FROM PREVIOUS VSL KJT 2611N BY ALLOCATION TEAM MS.TARN APRPOVED COST IS UNDER HA DD.15/10</v>
      </c>
    </row>
    <row r="21" ht="12.95" customHeight="1">
      <c r="A21" s="96" t="inlineStr">
        <is>
          <t>SKLU1985393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HASLS22260902220</v>
      </c>
      <c r="E21" s="62" t="str">
        <f>VLOOKUP(D21,'2.Bookinglist'!A:CT,27,FALSE)</f>
        <v>PACIFIC FORWARDER INTERNATIONAL CO., LTD.</v>
      </c>
      <c r="F21" s="62" t="str">
        <f>VLOOKUP(D21,'2.Bookinglist'!A:CT,28,FALSE)</f>
        <v>DELTA DAIKI METAL (THAILAND) CO.,LTD.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SKOR</v>
      </c>
      <c r="P21" s="61" t="str">
        <f>VLOOKUP(A21,'1.Loading'!A:R,4,FALSE)</f>
        <v>2612N</v>
      </c>
      <c r="Q21" s="61" t="str">
        <f>VLOOKUP(D21,'2.Bookinglist'!A:CT,12,FALSE)</f>
        <v>VTS</v>
      </c>
      <c r="R21" s="60" t="str">
        <f>IF(LEFT(K21,2)="22","20'","40'")</f>
        <v>20'</v>
      </c>
      <c r="S21" s="185" t="n"/>
      <c r="T21" s="61" t="str">
        <f>VLOOKUP(A21,'1.Loading'!A:R,2,FALSE)</f>
        <v>2026-10-24</v>
      </c>
      <c r="U21" s="63">
        <f>T21-S21</f>
        <v>46319</v>
      </c>
      <c r="V21" s="186" t="n"/>
      <c r="W21" s="61" t="str">
        <f>VLOOKUP(A21,'3.GateMove'!A:D,4,FALSE)</f>
        <v>2026-10-10</v>
      </c>
      <c r="X21" s="63">
        <f>((T21-W21)+1)</f>
        <v>15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8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1625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46320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1625</v>
      </c>
      <c r="AJ21" s="188" t="n"/>
      <c r="AK21" s="62" t="str">
        <f>VLOOKUP(D21,'2.Bookinglist'!A:CT,40,FALSE)</f>
        <v>Sukunpoj Damrongying</v>
      </c>
      <c r="AL21" s="60" t="str">
        <f>VLOOKUP(D21,'2.Bookinglist'!A:CW,101,FALSE)</f>
        <v>2026-10-21</v>
      </c>
      <c r="AM21" s="60" t="str">
        <f>VLOOKUP(D21,'2.Bookinglist'!A:BK,63,FALSE)</f>
        <v>LCHY5</v>
      </c>
      <c r="AN21" s="62" t="str">
        <f>VLOOKUP(D21,'2.Bookinglist'!A:AZ,52,FALSE)</f>
        <v>Pickup : 2026-10-03, Return : 2026-10-05 [1ST RTN 08/10/2026 W/O RENT]
** PLEASE CHECK OPEN GATE BEFORE RETURN CONTAINER ** </v>
      </c>
      <c r="AO21" s="62" t="str">
        <f>VLOOKUP(D21,'2.Bookinglist'!A:CY,103,FALSE)</f>
        <v>ROLL OVER FROM PREVIOUS VSL KMTP  2612N BY ALLOCATION TEAM MS,TARN APPROVED COST IS UNDER HA DD.13/10</v>
      </c>
    </row>
    <row r="22" ht="12.95" customHeight="1">
      <c r="A22" s="96" t="inlineStr">
        <is>
          <t>SKLU2333698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HASLS22260902078</v>
      </c>
      <c r="E22" s="62" t="str">
        <f>VLOOKUP(D22,'2.Bookinglist'!A:CT,27,FALSE)</f>
        <v>PACIFIC FORWARDER INTERNATIONAL CO., LTD.</v>
      </c>
      <c r="F22" s="62" t="str">
        <f>VLOOKUP(D22,'2.Bookinglist'!A:CT,28,FALSE)</f>
        <v>DELTA DAIKI METAL (THAILAND) CO.,LTD.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HKHKG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SKOR</v>
      </c>
      <c r="P22" s="61" t="str">
        <f>VLOOKUP(A22,'1.Loading'!A:R,4,FALSE)</f>
        <v>2612N</v>
      </c>
      <c r="Q22" s="61" t="str">
        <f>VLOOKUP(D22,'2.Bookinglist'!A:CT,12,FALSE)</f>
        <v>VTS</v>
      </c>
      <c r="R22" s="60" t="str">
        <f>IF(LEFT(K22,2)="22","20'","40'")</f>
        <v>20'</v>
      </c>
      <c r="S22" s="185" t="n"/>
      <c r="T22" s="61" t="str">
        <f>VLOOKUP(A22,'1.Loading'!A:R,2,FALSE)</f>
        <v>2026-10-24</v>
      </c>
      <c r="U22" s="63">
        <f>T22-S22</f>
        <v>46319</v>
      </c>
      <c r="V22" s="186" t="n"/>
      <c r="W22" s="61" t="str">
        <f>VLOOKUP(A22,'3.GateMove'!A:D,4,FALSE)</f>
        <v>2026-10-11</v>
      </c>
      <c r="X22" s="63">
        <f>((T22-W22)+1)</f>
        <v>14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7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1375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46320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1375</v>
      </c>
      <c r="AJ22" s="188" t="n"/>
      <c r="AK22" s="62" t="str">
        <f>VLOOKUP(D22,'2.Bookinglist'!A:CT,40,FALSE)</f>
        <v>Sukunpoj Damrongying</v>
      </c>
      <c r="AL22" s="60" t="str">
        <f>VLOOKUP(D22,'2.Bookinglist'!A:CW,101,FALSE)</f>
        <v>2026-10-21</v>
      </c>
      <c r="AM22" s="60" t="str">
        <f>VLOOKUP(D22,'2.Bookinglist'!A:BK,63,FALSE)</f>
        <v>LCHY5</v>
      </c>
      <c r="AN22" s="62" t="str">
        <f>VLOOKUP(D22,'2.Bookinglist'!A:AZ,52,FALSE)</f>
        <v>Pickup : 2026-10-07, Return : 2026-10-08 [1ST RTN 08/10/2026 W/O RENT]
** PLEASE CHECK OPEN GATE BEFORE RETURN CONTAINER ** </v>
      </c>
      <c r="AO22" s="62" t="str">
        <f>VLOOKUP(D22,'2.Bookinglist'!A:CY,103,FALSE)</f>
        <v>ROLL OVER FROM PREVIOUS VSL KMTP  2612N BY ALLOCATION TEAM MS,TARN APPROVED COST IS UNDER HA DD.13/10</v>
      </c>
    </row>
    <row r="23" ht="12.95" customHeight="1">
      <c r="A23" s="96" t="inlineStr">
        <is>
          <t>SKLU2472440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HASLS22260902467</v>
      </c>
      <c r="E23" s="62" t="str">
        <f>VLOOKUP(D23,'2.Bookinglist'!A:CT,27,FALSE)</f>
        <v>FLS 1993 (THAILAND) CO., LTD.</v>
      </c>
      <c r="F23" s="62" t="str">
        <f>VLOOKUP(D23,'2.Bookinglist'!A:CT,28,FALSE)</f>
        <v>EPPIC ASIA CO., 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SKOR</v>
      </c>
      <c r="P23" s="61" t="str">
        <f>VLOOKUP(A23,'1.Loading'!A:R,4,FALSE)</f>
        <v>2612N</v>
      </c>
      <c r="Q23" s="61" t="str">
        <f>VLOOKUP(D23,'2.Bookinglist'!A:CT,12,FALSE)</f>
        <v>VTS</v>
      </c>
      <c r="R23" s="60" t="str">
        <f>IF(LEFT(K23,2)="22","20'","40'")</f>
        <v>20'</v>
      </c>
      <c r="S23" s="185" t="n"/>
      <c r="T23" s="61" t="str">
        <f>VLOOKUP(A23,'1.Loading'!A:R,2,FALSE)</f>
        <v>2026-10-24</v>
      </c>
      <c r="U23" s="63">
        <f>T23-S23</f>
        <v>46319</v>
      </c>
      <c r="V23" s="186" t="n"/>
      <c r="W23" s="61" t="str">
        <f>VLOOKUP(A23,'3.GateMove'!A:D,4,FALSE)</f>
        <v>2026-10-20</v>
      </c>
      <c r="X23" s="63">
        <f>((T23-W23)+1)</f>
        <v>5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46320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Arunphat W. (Aiw)</v>
      </c>
      <c r="AL23" s="60" t="str">
        <f>VLOOKUP(D23,'2.Bookinglist'!A:CW,101,FALSE)</f>
        <v>2026-10-21</v>
      </c>
      <c r="AM23" s="60" t="str">
        <f>VLOOKUP(D23,'2.Bookinglist'!A:BK,63,FALSE)</f>
        <v>LCH27</v>
      </c>
      <c r="AN23" s="62" t="str">
        <f>VLOOKUP(D23,'2.Bookinglist'!A:AZ,52,FALSE)</f>
        <v>Pickup : 2026-10-17, Return : 2026-10-19</v>
      </c>
      <c r="AO23" s="62">
        <f>VLOOKUP(D23,'2.Bookinglist'!A:CY,103,FALSE)</f>
        <v>0</v>
      </c>
    </row>
    <row r="24" ht="12.95" customHeight="1">
      <c r="A24" s="96" t="inlineStr">
        <is>
          <t>SKRU9907383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HASLS22261001014</v>
      </c>
      <c r="E24" s="62" t="str">
        <f>VLOOKUP(D24,'2.Bookinglist'!A:CT,27,FALSE)</f>
        <v>GOLDEN SEA FROZEN FOODS CO.,LTD</v>
      </c>
      <c r="F24" s="62" t="str">
        <f>VLOOKUP(D24,'2.Bookinglist'!A:CT,28,FALSE)</f>
        <v>GOLDEN SEA FROZEN FOODS CO.,LTD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CNXMN</v>
      </c>
      <c r="J24" s="61">
        <f>VLOOKUP(D24,'2.Bookinglist'!A:CT,26,FALSE)</f>
        <v>0</v>
      </c>
      <c r="K24" s="61" t="str">
        <f>VLOOKUP(A24,'1.Loading'!A:R,5,FALSE)</f>
        <v>45RE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>RF</v>
      </c>
      <c r="O24" s="61" t="str">
        <f>VLOOKUP(A24,'1.Loading'!A:R,3,FALSE)</f>
        <v>SKOR</v>
      </c>
      <c r="P24" s="61" t="str">
        <f>VLOOKUP(A24,'1.Loading'!A:R,4,FALSE)</f>
        <v>2612N</v>
      </c>
      <c r="Q24" s="61" t="str">
        <f>VLOOKUP(D24,'2.Bookinglist'!A:CT,12,FALSE)</f>
        <v>VTS</v>
      </c>
      <c r="R24" s="60" t="str">
        <f>IF(LEFT(K24,2)="22","20'","40'")</f>
        <v>40'</v>
      </c>
      <c r="S24" s="185" t="n"/>
      <c r="T24" s="61" t="str">
        <f>VLOOKUP(A24,'1.Loading'!A:R,2,FALSE)</f>
        <v>2026-10-24</v>
      </c>
      <c r="U24" s="63">
        <f>T24-S24</f>
        <v>46319</v>
      </c>
      <c r="V24" s="186" t="n"/>
      <c r="W24" s="61" t="str">
        <f>VLOOKUP(A24,'3.GateMove'!A:D,4,FALSE)</f>
        <v>2026-10-22</v>
      </c>
      <c r="X24" s="63">
        <f>((T24-W24)+1)</f>
        <v>3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3</v>
      </c>
      <c r="AE24" s="63">
        <f>(T24-V24)+1</f>
        <v>46320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Kanokporn</v>
      </c>
      <c r="AL24" s="60" t="str">
        <f>VLOOKUP(D24,'2.Bookinglist'!A:CW,101,FALSE)</f>
        <v>2026-10-23</v>
      </c>
      <c r="AM24" s="60" t="str">
        <f>VLOOKUP(D24,'2.Bookinglist'!A:BK,63,FALSE)</f>
        <v>LCH27</v>
      </c>
      <c r="AN24" s="62" t="str">
        <f>VLOOKUP(D24,'2.Bookinglist'!A:AZ,52,FALSE)</f>
        <v>Pickup : 2026-10-16, Return : 2026-10-20 (Temp -18.0 / Vent Close) 
CLS TIME 22/10/26 @23.59 (1ST DATE RTN 21/10/2026 W/O RENT,ELECTRIC)</v>
      </c>
      <c r="AO24" s="62">
        <f>VLOOKUP(D24,'2.Bookinglist'!A:CY,103,FALSE)</f>
        <v>0</v>
      </c>
    </row>
    <row r="25" ht="12.95" customHeight="1">
      <c r="A25" s="96" t="inlineStr">
        <is>
          <t>TRHU4745330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HASLS22261000789</v>
      </c>
      <c r="E25" s="62" t="str">
        <f>VLOOKUP(D25,'2.Bookinglist'!A:CT,27,FALSE)</f>
        <v>ORIENTAL LOGISTICS GROUP (THAILAND) CO., LTD.</v>
      </c>
      <c r="F25" s="62" t="str">
        <f>VLOOKUP(D25,'2.Bookinglist'!A:CT,28,FALSE)</f>
        <v>ANDAMAN METAL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SKOR</v>
      </c>
      <c r="P25" s="61" t="str">
        <f>VLOOKUP(A25,'1.Loading'!A:R,4,FALSE)</f>
        <v>2612N</v>
      </c>
      <c r="Q25" s="61" t="str">
        <f>VLOOKUP(D25,'2.Bookinglist'!A:CT,12,FALSE)</f>
        <v>VTS</v>
      </c>
      <c r="R25" s="60" t="str">
        <f>IF(LEFT(K25,2)="22","20'","40'")</f>
        <v>40'</v>
      </c>
      <c r="S25" s="185" t="n"/>
      <c r="T25" s="61" t="str">
        <f>VLOOKUP(A25,'1.Loading'!A:R,2,FALSE)</f>
        <v>2026-10-24</v>
      </c>
      <c r="U25" s="63">
        <f>T25-S25</f>
        <v>46319</v>
      </c>
      <c r="V25" s="186" t="n"/>
      <c r="W25" s="61" t="str">
        <f>VLOOKUP(A25,'3.GateMove'!A:D,4,FALSE)</f>
        <v>2026-10-10</v>
      </c>
      <c r="X25" s="63">
        <f>((T25-W25)+1)</f>
        <v>15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8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3250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46320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3250</v>
      </c>
      <c r="AJ25" s="188" t="n"/>
      <c r="AK25" s="62" t="str">
        <f>VLOOKUP(D25,'2.Bookinglist'!A:CT,40,FALSE)</f>
        <v>Nannaapust Sukporntaweewat</v>
      </c>
      <c r="AL25" s="60" t="str">
        <f>VLOOKUP(D25,'2.Bookinglist'!A:CW,101,FALSE)</f>
        <v>2026-10-21</v>
      </c>
      <c r="AM25" s="60" t="str">
        <f>VLOOKUP(D25,'2.Bookinglist'!A:BK,63,FALSE)</f>
        <v>LCHY5</v>
      </c>
      <c r="AN25" s="62" t="str">
        <f>VLOOKUP(D25,'2.Bookinglist'!A:AZ,52,FALSE)</f>
        <v>Pickup : 2026-10-09, Return : 2026-10-10
**CHECK OPENGATE BEFORE RETURN CNTR**</v>
      </c>
      <c r="AO25" s="62" t="str">
        <f>VLOOKUP(D25,'2.Bookinglist'!A:CY,103,FALSE)</f>
        <v>ROLL OVER FROM PREVIOUS VSL KMTP  2612N BY ALLOCATION TEAM MS,TARN APPROVED COST IS UNDER HA DD.13/10</v>
      </c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2026-10-24T06:23:31Z</dcterms:modified>
  <cp:lastModifiedBy>office4</cp:lastModifiedBy>
  <cp:lastPrinted>2019-11-19T03:03:39Z</cp:lastPrinted>
</cp:coreProperties>
</file>