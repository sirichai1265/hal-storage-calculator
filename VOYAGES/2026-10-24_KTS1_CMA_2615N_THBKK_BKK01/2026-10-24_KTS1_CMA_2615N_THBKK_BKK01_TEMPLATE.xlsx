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BEAU2406038</t>
        </is>
      </c>
      <c r="B2" s="161" t="inlineStr">
        <is>
          <t>2026-10-24</t>
        </is>
      </c>
      <c r="C2" s="96" t="inlineStr">
        <is>
          <t>CMA</t>
        </is>
      </c>
      <c r="D2" s="96" t="inlineStr">
        <is>
          <t>2615N</t>
        </is>
      </c>
      <c r="E2" s="96" t="inlineStr">
        <is>
          <t>22GP</t>
        </is>
      </c>
      <c r="F2" s="96" t="inlineStr">
        <is>
          <t>SD</t>
        </is>
      </c>
      <c r="G2" s="96" t="n"/>
      <c r="H2" s="96" t="inlineStr">
        <is>
          <t>THBKK</t>
        </is>
      </c>
      <c r="I2" s="96" t="inlineStr">
        <is>
          <t>HKHKG</t>
        </is>
      </c>
      <c r="J2" s="96" t="inlineStr">
        <is>
          <t>CNHUA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HASLS22261000870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TSN16L01</t>
        </is>
      </c>
      <c r="W2" s="96" t="inlineStr">
        <is>
          <t>FISHMEAL MARKETING DEVELOPMENT</t>
        </is>
      </c>
      <c r="X2" s="96" t="inlineStr">
        <is>
          <t>VFD</t>
        </is>
      </c>
      <c r="Y2" s="96" t="inlineStr">
        <is>
          <t>XIAMEN YUANHONGXIANG TRADING</t>
        </is>
      </c>
      <c r="Z2" s="96" t="inlineStr">
        <is>
          <t>XIAMEN YUANHONGXIANG TRADING</t>
        </is>
      </c>
      <c r="AA2" s="97" t="n">
        <v>20048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FBIU5372781</t>
        </is>
      </c>
      <c r="B3" s="161" t="inlineStr">
        <is>
          <t>2026-10-24</t>
        </is>
      </c>
      <c r="C3" s="96" t="inlineStr">
        <is>
          <t>CMA</t>
        </is>
      </c>
      <c r="D3" s="96" t="inlineStr">
        <is>
          <t>2615N</t>
        </is>
      </c>
      <c r="E3" s="96" t="inlineStr">
        <is>
          <t>45RE</t>
        </is>
      </c>
      <c r="F3" s="96" t="inlineStr">
        <is>
          <t>SD</t>
        </is>
      </c>
      <c r="G3" s="96" t="n"/>
      <c r="H3" s="96" t="inlineStr">
        <is>
          <t>THBKK</t>
        </is>
      </c>
      <c r="I3" s="96" t="inlineStr">
        <is>
          <t>KRPUS</t>
        </is>
      </c>
      <c r="J3" s="96" t="inlineStr">
        <is>
          <t>RUVVO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HASLS22260902706</t>
        </is>
      </c>
      <c r="R3" s="96" t="inlineStr">
        <is>
          <t>Y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K0120025</t>
        </is>
      </c>
      <c r="W3" s="96" t="inlineStr">
        <is>
          <t>THAI AGRI FOODS PUBLIC COMPANY</t>
        </is>
      </c>
      <c r="X3" s="96" t="inlineStr">
        <is>
          <t>VFD</t>
        </is>
      </c>
      <c r="Y3" s="96" t="inlineStr">
        <is>
          <t>EXIM PACIFIC LLC. RUSSIA,</t>
        </is>
      </c>
      <c r="Z3" s="96" t="inlineStr">
        <is>
          <t>EXIM PACIFIC LLC. RUSSIA,</t>
        </is>
      </c>
      <c r="AA3" s="97" t="n">
        <v>26611.12</v>
      </c>
      <c r="AB3" s="96" t="inlineStr">
        <is>
          <t>BKK01</t>
        </is>
      </c>
      <c r="AC3" s="96" t="inlineStr">
        <is>
          <t>VVO01</t>
        </is>
      </c>
    </row>
    <row r="4" ht="12" customHeight="1">
      <c r="A4" s="96" t="inlineStr">
        <is>
          <t>FBIU5373371</t>
        </is>
      </c>
      <c r="B4" s="161" t="inlineStr">
        <is>
          <t>2026-10-24</t>
        </is>
      </c>
      <c r="C4" s="96" t="inlineStr">
        <is>
          <t>CMA</t>
        </is>
      </c>
      <c r="D4" s="96" t="inlineStr">
        <is>
          <t>2615N</t>
        </is>
      </c>
      <c r="E4" s="96" t="inlineStr">
        <is>
          <t>45RE</t>
        </is>
      </c>
      <c r="F4" s="96" t="inlineStr">
        <is>
          <t>SD</t>
        </is>
      </c>
      <c r="G4" s="96" t="n"/>
      <c r="H4" s="96" t="inlineStr">
        <is>
          <t>THBKK</t>
        </is>
      </c>
      <c r="I4" s="96" t="inlineStr">
        <is>
          <t>KRPUS</t>
        </is>
      </c>
      <c r="J4" s="96" t="inlineStr">
        <is>
          <t>RUVVO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HASLS22260902708</t>
        </is>
      </c>
      <c r="R4" s="96" t="inlineStr">
        <is>
          <t>Y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K0120025</t>
        </is>
      </c>
      <c r="W4" s="96" t="inlineStr">
        <is>
          <t>THAI AGRI FOODS PUBLIC COMPANY</t>
        </is>
      </c>
      <c r="X4" s="96" t="inlineStr">
        <is>
          <t>VFD</t>
        </is>
      </c>
      <c r="Y4" s="96" t="inlineStr">
        <is>
          <t>EXIM PACIFIC LLC. RUSSIA,</t>
        </is>
      </c>
      <c r="Z4" s="96" t="inlineStr">
        <is>
          <t>EXIM PACIFIC LLC. RUSSIA,</t>
        </is>
      </c>
      <c r="AA4" s="97" t="n">
        <v>26574.4</v>
      </c>
      <c r="AB4" s="96" t="inlineStr">
        <is>
          <t>BKK01</t>
        </is>
      </c>
      <c r="AC4" s="96" t="inlineStr">
        <is>
          <t>VVO01</t>
        </is>
      </c>
    </row>
    <row r="5" ht="12" customHeight="1">
      <c r="A5" s="96" t="inlineStr">
        <is>
          <t>HALU2026094</t>
        </is>
      </c>
      <c r="B5" s="161" t="inlineStr">
        <is>
          <t>2026-10-24</t>
        </is>
      </c>
      <c r="C5" s="96" t="inlineStr">
        <is>
          <t>CMA</t>
        </is>
      </c>
      <c r="D5" s="96" t="inlineStr">
        <is>
          <t>2615N</t>
        </is>
      </c>
      <c r="E5" s="96" t="inlineStr">
        <is>
          <t>22GP</t>
        </is>
      </c>
      <c r="F5" s="96" t="inlineStr">
        <is>
          <t>SD</t>
        </is>
      </c>
      <c r="G5" s="96" t="n"/>
      <c r="H5" s="96" t="inlineStr">
        <is>
          <t>THBKK</t>
        </is>
      </c>
      <c r="I5" s="96" t="inlineStr">
        <is>
          <t>HKHKG</t>
        </is>
      </c>
      <c r="J5" s="96" t="inlineStr">
        <is>
          <t>CNHUA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HASLS22261000870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TXG13016</t>
        </is>
      </c>
      <c r="W5" s="96" t="inlineStr">
        <is>
          <t>FISHMEAL MARKETING DEVELOPMENT</t>
        </is>
      </c>
      <c r="X5" s="96" t="inlineStr">
        <is>
          <t>VFD</t>
        </is>
      </c>
      <c r="Y5" s="96" t="inlineStr">
        <is>
          <t>XIAMEN YUANHONGXIANG TRADING</t>
        </is>
      </c>
      <c r="Z5" s="96" t="inlineStr">
        <is>
          <t>XIAMEN YUANHONGXIANG TRADING</t>
        </is>
      </c>
      <c r="AA5" s="97" t="n">
        <v>20048</v>
      </c>
      <c r="AB5" s="96" t="inlineStr">
        <is>
          <t>BKK01</t>
        </is>
      </c>
      <c r="AC5" s="96" t="inlineStr">
        <is>
          <t>HKG03</t>
        </is>
      </c>
    </row>
    <row r="6" ht="12" customHeight="1">
      <c r="A6" s="96" t="inlineStr">
        <is>
          <t>HALU2028883</t>
        </is>
      </c>
      <c r="B6" s="161" t="inlineStr">
        <is>
          <t>2026-10-24</t>
        </is>
      </c>
      <c r="C6" s="96" t="inlineStr">
        <is>
          <t>CMA</t>
        </is>
      </c>
      <c r="D6" s="96" t="inlineStr">
        <is>
          <t>2615N</t>
        </is>
      </c>
      <c r="E6" s="96" t="inlineStr">
        <is>
          <t>22GP</t>
        </is>
      </c>
      <c r="F6" s="96" t="inlineStr">
        <is>
          <t>SD</t>
        </is>
      </c>
      <c r="G6" s="96" t="n"/>
      <c r="H6" s="96" t="inlineStr">
        <is>
          <t>THBKK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HASLS22260902602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TXG13016</t>
        </is>
      </c>
      <c r="W6" s="96" t="inlineStr">
        <is>
          <t>SIAM FURUKAWA CO., LTD</t>
        </is>
      </c>
      <c r="X6" s="96" t="inlineStr">
        <is>
          <t>VFD</t>
        </is>
      </c>
      <c r="Y6" s="96" t="inlineStr">
        <is>
          <t>SIU KWONG HONG LTD.</t>
        </is>
      </c>
      <c r="Z6" s="96" t="inlineStr">
        <is>
          <t>SIU KWONG HONG LTD.</t>
        </is>
      </c>
      <c r="AA6" s="97" t="n">
        <v>12655.5</v>
      </c>
      <c r="AB6" s="96" t="inlineStr">
        <is>
          <t>BKK01</t>
        </is>
      </c>
      <c r="AC6" s="96" t="inlineStr">
        <is>
          <t>HKG03</t>
        </is>
      </c>
    </row>
    <row r="7" ht="12" customHeight="1">
      <c r="A7" s="96" t="inlineStr">
        <is>
          <t>HALU2036240</t>
        </is>
      </c>
      <c r="B7" s="161" t="inlineStr">
        <is>
          <t>2026-10-24</t>
        </is>
      </c>
      <c r="C7" s="96" t="inlineStr">
        <is>
          <t>CMA</t>
        </is>
      </c>
      <c r="D7" s="96" t="inlineStr">
        <is>
          <t>2615N</t>
        </is>
      </c>
      <c r="E7" s="96" t="inlineStr">
        <is>
          <t>22GP</t>
        </is>
      </c>
      <c r="F7" s="96" t="inlineStr">
        <is>
          <t>SD</t>
        </is>
      </c>
      <c r="G7" s="96" t="n"/>
      <c r="H7" s="96" t="inlineStr">
        <is>
          <t>THBKK</t>
        </is>
      </c>
      <c r="I7" s="96" t="inlineStr">
        <is>
          <t>HKHKG</t>
        </is>
      </c>
      <c r="J7" s="96" t="inlineStr">
        <is>
          <t>CNHUA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HASLS22261000870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TXG14011</t>
        </is>
      </c>
      <c r="W7" s="96" t="inlineStr">
        <is>
          <t>FISHMEAL MARKETING DEVELOPMENT</t>
        </is>
      </c>
      <c r="X7" s="96" t="inlineStr">
        <is>
          <t>VFD</t>
        </is>
      </c>
      <c r="Y7" s="96" t="inlineStr">
        <is>
          <t>XIAMEN YUANHONGXIANG TRADING</t>
        </is>
      </c>
      <c r="Z7" s="96" t="inlineStr">
        <is>
          <t>XIAMEN YUANHONGXIANG TRADING</t>
        </is>
      </c>
      <c r="AA7" s="97" t="n">
        <v>20048</v>
      </c>
      <c r="AB7" s="96" t="inlineStr">
        <is>
          <t>BKK01</t>
        </is>
      </c>
      <c r="AC7" s="96" t="inlineStr">
        <is>
          <t>HKG03</t>
        </is>
      </c>
    </row>
    <row r="8" ht="12" customHeight="1">
      <c r="A8" s="96" t="inlineStr">
        <is>
          <t>HALU2093615</t>
        </is>
      </c>
      <c r="B8" s="161" t="inlineStr">
        <is>
          <t>2026-10-24</t>
        </is>
      </c>
      <c r="C8" s="96" t="inlineStr">
        <is>
          <t>CMA</t>
        </is>
      </c>
      <c r="D8" s="96" t="inlineStr">
        <is>
          <t>2615N</t>
        </is>
      </c>
      <c r="E8" s="96" t="inlineStr">
        <is>
          <t>22GP</t>
        </is>
      </c>
      <c r="F8" s="96" t="inlineStr">
        <is>
          <t>SD</t>
        </is>
      </c>
      <c r="G8" s="96" t="n"/>
      <c r="H8" s="96" t="inlineStr">
        <is>
          <t>THBKK</t>
        </is>
      </c>
      <c r="I8" s="96" t="inlineStr">
        <is>
          <t>HKHKG</t>
        </is>
      </c>
      <c r="J8" s="96" t="inlineStr">
        <is>
          <t>CNHUA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HASLS22261000870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TXG15009</t>
        </is>
      </c>
      <c r="W8" s="96" t="inlineStr">
        <is>
          <t>FISHMEAL MARKETING DEVELOPMENT</t>
        </is>
      </c>
      <c r="X8" s="96" t="inlineStr">
        <is>
          <t>VFD</t>
        </is>
      </c>
      <c r="Y8" s="96" t="inlineStr">
        <is>
          <t>XIAMEN YUANHONGXIANG TRADING</t>
        </is>
      </c>
      <c r="Z8" s="96" t="inlineStr">
        <is>
          <t>XIAMEN YUANHONGXIANG TRADING</t>
        </is>
      </c>
      <c r="AA8" s="97" t="n">
        <v>20048</v>
      </c>
      <c r="AB8" s="96" t="inlineStr">
        <is>
          <t>BKK01</t>
        </is>
      </c>
      <c r="AC8" s="96" t="inlineStr">
        <is>
          <t>HKG03</t>
        </is>
      </c>
    </row>
    <row r="9" ht="12" customHeight="1">
      <c r="A9" s="96" t="inlineStr">
        <is>
          <t>HALU2100756</t>
        </is>
      </c>
      <c r="B9" s="161" t="inlineStr">
        <is>
          <t>2026-10-24</t>
        </is>
      </c>
      <c r="C9" s="96" t="inlineStr">
        <is>
          <t>CMA</t>
        </is>
      </c>
      <c r="D9" s="96" t="inlineStr">
        <is>
          <t>2615N</t>
        </is>
      </c>
      <c r="E9" s="96" t="inlineStr">
        <is>
          <t>22GP</t>
        </is>
      </c>
      <c r="F9" s="96" t="inlineStr">
        <is>
          <t>SD</t>
        </is>
      </c>
      <c r="G9" s="96" t="n"/>
      <c r="H9" s="96" t="inlineStr">
        <is>
          <t>THBKK</t>
        </is>
      </c>
      <c r="I9" s="96" t="inlineStr">
        <is>
          <t>KRPUS</t>
        </is>
      </c>
      <c r="J9" s="96" t="inlineStr">
        <is>
          <t>RUVVO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HASLS22260902714</t>
        </is>
      </c>
      <c r="R9" s="96" t="inlineStr">
        <is>
          <t>Y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C0521003</t>
        </is>
      </c>
      <c r="W9" s="96" t="inlineStr">
        <is>
          <t>THAI AGRI FOODS PUBLIC COMPANY</t>
        </is>
      </c>
      <c r="X9" s="96" t="inlineStr">
        <is>
          <t>VED</t>
        </is>
      </c>
      <c r="Y9" s="96" t="inlineStr">
        <is>
          <t>EXIM PACIFIC LLC. RUSSIA,</t>
        </is>
      </c>
      <c r="Z9" s="96" t="inlineStr">
        <is>
          <t>EXIM PACIFIC LLC. RUSSIA,</t>
        </is>
      </c>
      <c r="AA9" s="97" t="n">
        <v>19814.5</v>
      </c>
      <c r="AB9" s="96" t="inlineStr">
        <is>
          <t>BKK01</t>
        </is>
      </c>
      <c r="AC9" s="96" t="inlineStr">
        <is>
          <t>VVO01</t>
        </is>
      </c>
    </row>
    <row r="10" ht="12" customHeight="1">
      <c r="A10" s="96" t="inlineStr">
        <is>
          <t>HALU2101618</t>
        </is>
      </c>
      <c r="B10" s="161" t="inlineStr">
        <is>
          <t>2026-10-24</t>
        </is>
      </c>
      <c r="C10" s="96" t="inlineStr">
        <is>
          <t>CMA</t>
        </is>
      </c>
      <c r="D10" s="96" t="inlineStr">
        <is>
          <t>2615N</t>
        </is>
      </c>
      <c r="E10" s="96" t="inlineStr">
        <is>
          <t>22GP</t>
        </is>
      </c>
      <c r="F10" s="96" t="inlineStr">
        <is>
          <t>SD</t>
        </is>
      </c>
      <c r="G10" s="96" t="n"/>
      <c r="H10" s="96" t="inlineStr">
        <is>
          <t>THBKK</t>
        </is>
      </c>
      <c r="I10" s="96" t="inlineStr">
        <is>
          <t>HKHKG</t>
        </is>
      </c>
      <c r="J10" s="96" t="inlineStr">
        <is>
          <t>CNHUA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HASLS22261000928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C0521003</t>
        </is>
      </c>
      <c r="W10" s="96" t="inlineStr">
        <is>
          <t>FISHMEAL MARKETING DEVELOPMENT</t>
        </is>
      </c>
      <c r="X10" s="96" t="inlineStr">
        <is>
          <t>VFD</t>
        </is>
      </c>
      <c r="Y10" s="96" t="inlineStr">
        <is>
          <t>XIAMEN RUXIANG TRADING CO., LTD.</t>
        </is>
      </c>
      <c r="Z10" s="96" t="inlineStr">
        <is>
          <t>XIAMEN RUXIANG TRADING CO., LTD.</t>
        </is>
      </c>
      <c r="AA10" s="97" t="n">
        <v>20048</v>
      </c>
      <c r="AB10" s="96" t="inlineStr">
        <is>
          <t>BKK01</t>
        </is>
      </c>
      <c r="AC10" s="96" t="inlineStr">
        <is>
          <t>HKG03</t>
        </is>
      </c>
    </row>
    <row r="11" ht="12" customHeight="1">
      <c r="A11" s="96" t="inlineStr">
        <is>
          <t>HALU2411085</t>
        </is>
      </c>
      <c r="B11" s="161" t="inlineStr">
        <is>
          <t>2026-10-24</t>
        </is>
      </c>
      <c r="C11" s="96" t="inlineStr">
        <is>
          <t>CMA</t>
        </is>
      </c>
      <c r="D11" s="96" t="inlineStr">
        <is>
          <t>2615N</t>
        </is>
      </c>
      <c r="E11" s="96" t="inlineStr">
        <is>
          <t>22GP</t>
        </is>
      </c>
      <c r="F11" s="96" t="inlineStr">
        <is>
          <t>SD</t>
        </is>
      </c>
      <c r="G11" s="96" t="n"/>
      <c r="H11" s="96" t="inlineStr">
        <is>
          <t>THBKK</t>
        </is>
      </c>
      <c r="I11" s="96" t="inlineStr">
        <is>
          <t>CNSHK</t>
        </is>
      </c>
      <c r="J11" s="96" t="inlineStr">
        <is>
          <t>CNSHK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HASLS22260902124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C0124002</t>
        </is>
      </c>
      <c r="W11" s="96" t="inlineStr">
        <is>
          <t>CTI LOGISTICS CO., LTD.</t>
        </is>
      </c>
      <c r="X11" s="96" t="inlineStr">
        <is>
          <t>VFD</t>
        </is>
      </c>
      <c r="Y11" s="96" t="inlineStr">
        <is>
          <t>CTI LOGISTICS (SHENZHEN) CO., LTD.</t>
        </is>
      </c>
      <c r="Z11" s="96" t="inlineStr">
        <is>
          <t>CTI LOGISTICS (SHENZHEN) CO., LTD.</t>
        </is>
      </c>
      <c r="AA11" s="97" t="n">
        <v>3806.75</v>
      </c>
      <c r="AB11" s="96" t="inlineStr">
        <is>
          <t>BKK01</t>
        </is>
      </c>
      <c r="AC11" s="96" t="inlineStr">
        <is>
          <t>SHE04</t>
        </is>
      </c>
    </row>
    <row r="12" ht="12" customHeight="1">
      <c r="A12" s="96" t="inlineStr">
        <is>
          <t>HALU2456048</t>
        </is>
      </c>
      <c r="B12" s="161" t="inlineStr">
        <is>
          <t>2026-10-24</t>
        </is>
      </c>
      <c r="C12" s="96" t="inlineStr">
        <is>
          <t>CMA</t>
        </is>
      </c>
      <c r="D12" s="96" t="inlineStr">
        <is>
          <t>2615N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CNSHK</t>
        </is>
      </c>
      <c r="J12" s="96" t="inlineStr">
        <is>
          <t>CNSHK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HASLS22260900420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C0224002</t>
        </is>
      </c>
      <c r="W12" s="96" t="inlineStr">
        <is>
          <t>V.THAI FOOD PRODUCT CO.,LTD.</t>
        </is>
      </c>
      <c r="X12" s="96" t="inlineStr">
        <is>
          <t>VFD</t>
        </is>
      </c>
      <c r="Y12" s="96" t="inlineStr">
        <is>
          <t>SHENZHEN ZHAOHONGFENG IMPORT &amp;</t>
        </is>
      </c>
      <c r="Z12" s="96" t="inlineStr">
        <is>
          <t>SHENZHEN ZHAOHONGFENG IMPORT &amp;</t>
        </is>
      </c>
      <c r="AA12" s="97" t="n">
        <v>17670</v>
      </c>
      <c r="AB12" s="96" t="inlineStr">
        <is>
          <t>BKK01</t>
        </is>
      </c>
      <c r="AC12" s="96" t="inlineStr">
        <is>
          <t>SHE04</t>
        </is>
      </c>
    </row>
    <row r="13" ht="12" customHeight="1">
      <c r="A13" s="96" t="inlineStr">
        <is>
          <t>HALU2559236</t>
        </is>
      </c>
      <c r="B13" s="161" t="inlineStr">
        <is>
          <t>2026-10-24</t>
        </is>
      </c>
      <c r="C13" s="96" t="inlineStr">
        <is>
          <t>CMA</t>
        </is>
      </c>
      <c r="D13" s="96" t="inlineStr">
        <is>
          <t>2615N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CNSHK</t>
        </is>
      </c>
      <c r="J13" s="96" t="inlineStr">
        <is>
          <t>CNSHK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HASLS22260900618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C0325006</t>
        </is>
      </c>
      <c r="W13" s="96" t="inlineStr">
        <is>
          <t>V.THAI FOOD PRODUCT CO.,LTD.</t>
        </is>
      </c>
      <c r="X13" s="96" t="inlineStr">
        <is>
          <t>VFD</t>
        </is>
      </c>
      <c r="Y13" s="96" t="inlineStr">
        <is>
          <t>SHENZHEN ZHAOHONGFENG IMPORT &amp;</t>
        </is>
      </c>
      <c r="Z13" s="96" t="inlineStr">
        <is>
          <t>SHENZHEN ZHAOHONGFENG IMPORT &amp;</t>
        </is>
      </c>
      <c r="AA13" s="97" t="n">
        <v>19041.88</v>
      </c>
      <c r="AB13" s="96" t="inlineStr">
        <is>
          <t>BKK01</t>
        </is>
      </c>
      <c r="AC13" s="96" t="inlineStr">
        <is>
          <t>SHE04</t>
        </is>
      </c>
    </row>
    <row r="14" ht="12" customHeight="1">
      <c r="A14" s="96" t="inlineStr">
        <is>
          <t>HALU5682218</t>
        </is>
      </c>
      <c r="B14" s="161" t="inlineStr">
        <is>
          <t>2026-10-24</t>
        </is>
      </c>
      <c r="C14" s="96" t="inlineStr">
        <is>
          <t>CMA</t>
        </is>
      </c>
      <c r="D14" s="96" t="inlineStr">
        <is>
          <t>2615N</t>
        </is>
      </c>
      <c r="E14" s="96" t="inlineStr">
        <is>
          <t>45GP</t>
        </is>
      </c>
      <c r="F14" s="96" t="inlineStr">
        <is>
          <t>SD</t>
        </is>
      </c>
      <c r="G14" s="96" t="n"/>
      <c r="H14" s="96" t="inlineStr">
        <is>
          <t>THBKK</t>
        </is>
      </c>
      <c r="I14" s="96" t="inlineStr">
        <is>
          <t>CNSHK</t>
        </is>
      </c>
      <c r="J14" s="96" t="inlineStr">
        <is>
          <t>CNSHK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HASLS22260902307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SHA15005</t>
        </is>
      </c>
      <c r="W14" s="96" t="inlineStr">
        <is>
          <t>CTI LOGISTICS CO., LTD.</t>
        </is>
      </c>
      <c r="X14" s="96" t="inlineStr">
        <is>
          <t>VFD</t>
        </is>
      </c>
      <c r="Y14" s="96" t="inlineStr">
        <is>
          <t>CTI LOGISTICS (SHENZHEN) CO., LTD.</t>
        </is>
      </c>
      <c r="Z14" s="96" t="inlineStr">
        <is>
          <t>CTI LOGISTICS (SHENZHEN) CO., LTD.</t>
        </is>
      </c>
      <c r="AA14" s="97" t="n">
        <v>4464</v>
      </c>
      <c r="AB14" s="96" t="inlineStr">
        <is>
          <t>BKK01</t>
        </is>
      </c>
      <c r="AC14" s="96" t="inlineStr">
        <is>
          <t>SHE04</t>
        </is>
      </c>
    </row>
    <row r="15" ht="12" customHeight="1">
      <c r="A15" s="96" t="inlineStr">
        <is>
          <t>HLHU8354141</t>
        </is>
      </c>
      <c r="B15" s="161" t="inlineStr">
        <is>
          <t>2026-10-24</t>
        </is>
      </c>
      <c r="C15" s="96" t="inlineStr">
        <is>
          <t>CMA</t>
        </is>
      </c>
      <c r="D15" s="96" t="inlineStr">
        <is>
          <t>2615N</t>
        </is>
      </c>
      <c r="E15" s="96" t="inlineStr">
        <is>
          <t>45GP</t>
        </is>
      </c>
      <c r="F15" s="96" t="inlineStr">
        <is>
          <t>SD</t>
        </is>
      </c>
      <c r="G15" s="96" t="n"/>
      <c r="H15" s="96" t="inlineStr">
        <is>
          <t>THBKK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HASLS22260902095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C0123007</t>
        </is>
      </c>
      <c r="W15" s="96" t="inlineStr">
        <is>
          <t>MULTI FREIGHT SYSTEM CO.,LTD.</t>
        </is>
      </c>
      <c r="X15" s="96" t="inlineStr">
        <is>
          <t>VFD</t>
        </is>
      </c>
      <c r="Y15" s="96" t="inlineStr">
        <is>
          <t>NISKO CARGO CONSOLIDATION LTD.</t>
        </is>
      </c>
      <c r="Z15" s="96" t="inlineStr">
        <is>
          <t>NISKO CARGO CONSOLIDATION LTD.</t>
        </is>
      </c>
      <c r="AA15" s="97" t="n">
        <v>12804</v>
      </c>
      <c r="AB15" s="96" t="inlineStr">
        <is>
          <t>BKK01</t>
        </is>
      </c>
      <c r="AC15" s="96" t="inlineStr">
        <is>
          <t>HKG03</t>
        </is>
      </c>
    </row>
    <row r="16" ht="12" customHeight="1">
      <c r="A16" s="96" t="inlineStr">
        <is>
          <t>SEKU4438724</t>
        </is>
      </c>
      <c r="B16" s="161" t="inlineStr">
        <is>
          <t>2026-10-24</t>
        </is>
      </c>
      <c r="C16" s="96" t="inlineStr">
        <is>
          <t>CMA</t>
        </is>
      </c>
      <c r="D16" s="96" t="inlineStr">
        <is>
          <t>2615N</t>
        </is>
      </c>
      <c r="E16" s="96" t="inlineStr">
        <is>
          <t>45GP</t>
        </is>
      </c>
      <c r="F16" s="96" t="inlineStr">
        <is>
          <t>SD</t>
        </is>
      </c>
      <c r="G16" s="96" t="n"/>
      <c r="H16" s="96" t="inlineStr">
        <is>
          <t>THBKK</t>
        </is>
      </c>
      <c r="I16" s="96" t="inlineStr">
        <is>
          <t>CNSHK</t>
        </is>
      </c>
      <c r="J16" s="96" t="inlineStr">
        <is>
          <t>CNSHK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HASLS22261000811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K0120023</t>
        </is>
      </c>
      <c r="W16" s="96" t="inlineStr">
        <is>
          <t>CTI LOGISTICS CO., LTD.</t>
        </is>
      </c>
      <c r="X16" s="96" t="inlineStr">
        <is>
          <t>VFD</t>
        </is>
      </c>
      <c r="Y16" s="96" t="inlineStr">
        <is>
          <t>CTI LOGISTICS (SHENZHEN) CO., LTD.</t>
        </is>
      </c>
      <c r="Z16" s="96" t="inlineStr">
        <is>
          <t>CTI LOGISTICS (SHENZHEN) CO., LTD.</t>
        </is>
      </c>
      <c r="AA16" s="97" t="n">
        <v>9816.23</v>
      </c>
      <c r="AB16" s="96" t="inlineStr">
        <is>
          <t>BKK01</t>
        </is>
      </c>
      <c r="AC16" s="96" t="inlineStr">
        <is>
          <t>SHE04</t>
        </is>
      </c>
    </row>
    <row r="17" ht="12" customHeight="1">
      <c r="A17" s="96" t="inlineStr">
        <is>
          <t>SKHU9305895</t>
        </is>
      </c>
      <c r="B17" s="161" t="inlineStr">
        <is>
          <t>2026-10-24</t>
        </is>
      </c>
      <c r="C17" s="96" t="inlineStr">
        <is>
          <t>CMA</t>
        </is>
      </c>
      <c r="D17" s="96" t="inlineStr">
        <is>
          <t>2615N</t>
        </is>
      </c>
      <c r="E17" s="96" t="inlineStr">
        <is>
          <t>45GP</t>
        </is>
      </c>
      <c r="F17" s="96" t="inlineStr">
        <is>
          <t>SD</t>
        </is>
      </c>
      <c r="G17" s="96" t="n"/>
      <c r="H17" s="96" t="inlineStr">
        <is>
          <t>THBKK</t>
        </is>
      </c>
      <c r="I17" s="96" t="inlineStr">
        <is>
          <t>CNSHK</t>
        </is>
      </c>
      <c r="J17" s="96" t="inlineStr">
        <is>
          <t>CNSHK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HASLS22260902307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K0120023</t>
        </is>
      </c>
      <c r="W17" s="96" t="inlineStr">
        <is>
          <t>CTI LOGISTICS CO., LTD.</t>
        </is>
      </c>
      <c r="X17" s="96" t="inlineStr">
        <is>
          <t>VFD</t>
        </is>
      </c>
      <c r="Y17" s="96" t="inlineStr">
        <is>
          <t>CTI LOGISTICS (SHENZHEN) CO., LTD.</t>
        </is>
      </c>
      <c r="Z17" s="96" t="inlineStr">
        <is>
          <t>CTI LOGISTICS (SHENZHEN) CO., LTD.</t>
        </is>
      </c>
      <c r="AA17" s="97" t="n">
        <v>4464</v>
      </c>
      <c r="AB17" s="96" t="inlineStr">
        <is>
          <t>BKK01</t>
        </is>
      </c>
      <c r="AC17" s="96" t="inlineStr">
        <is>
          <t>SHE04</t>
        </is>
      </c>
    </row>
    <row r="18" ht="12" customHeight="1">
      <c r="A18" s="96" t="inlineStr">
        <is>
          <t>SKHU9306628</t>
        </is>
      </c>
      <c r="B18" s="161" t="inlineStr">
        <is>
          <t>2026-10-24</t>
        </is>
      </c>
      <c r="C18" s="96" t="inlineStr">
        <is>
          <t>CMA</t>
        </is>
      </c>
      <c r="D18" s="96" t="inlineStr">
        <is>
          <t>2615N</t>
        </is>
      </c>
      <c r="E18" s="96" t="inlineStr">
        <is>
          <t>45GP</t>
        </is>
      </c>
      <c r="F18" s="96" t="inlineStr">
        <is>
          <t>SD</t>
        </is>
      </c>
      <c r="G18" s="96" t="n"/>
      <c r="H18" s="96" t="inlineStr">
        <is>
          <t>THBKK</t>
        </is>
      </c>
      <c r="I18" s="96" t="inlineStr">
        <is>
          <t>CNSHK</t>
        </is>
      </c>
      <c r="J18" s="96" t="inlineStr">
        <is>
          <t>CNSHK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HASLS22260902307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K0120023</t>
        </is>
      </c>
      <c r="W18" s="96" t="inlineStr">
        <is>
          <t>CTI LOGISTICS CO., LTD.</t>
        </is>
      </c>
      <c r="X18" s="96" t="inlineStr">
        <is>
          <t>VFD</t>
        </is>
      </c>
      <c r="Y18" s="96" t="inlineStr">
        <is>
          <t>CTI LOGISTICS (SHENZHEN) CO., LTD.</t>
        </is>
      </c>
      <c r="Z18" s="96" t="inlineStr">
        <is>
          <t>CTI LOGISTICS (SHENZHEN) CO., LTD.</t>
        </is>
      </c>
      <c r="AA18" s="97" t="n">
        <v>4550.4</v>
      </c>
      <c r="AB18" s="96" t="inlineStr">
        <is>
          <t>BKK01</t>
        </is>
      </c>
      <c r="AC18" s="96" t="inlineStr">
        <is>
          <t>SHE04</t>
        </is>
      </c>
    </row>
    <row r="19" ht="12" customHeight="1">
      <c r="A19" s="96" t="inlineStr">
        <is>
          <t>SKHU9413879</t>
        </is>
      </c>
      <c r="B19" s="161" t="inlineStr">
        <is>
          <t>2026-10-24</t>
        </is>
      </c>
      <c r="C19" s="96" t="inlineStr">
        <is>
          <t>CMA</t>
        </is>
      </c>
      <c r="D19" s="96" t="inlineStr">
        <is>
          <t>2615N</t>
        </is>
      </c>
      <c r="E19" s="96" t="inlineStr">
        <is>
          <t>45GP</t>
        </is>
      </c>
      <c r="F19" s="96" t="inlineStr">
        <is>
          <t>SD</t>
        </is>
      </c>
      <c r="G19" s="96" t="n"/>
      <c r="H19" s="96" t="inlineStr">
        <is>
          <t>THBKK</t>
        </is>
      </c>
      <c r="I19" s="96" t="inlineStr">
        <is>
          <t>CNSHK</t>
        </is>
      </c>
      <c r="J19" s="96" t="inlineStr">
        <is>
          <t>CNSHK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HASLS22260902124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K0120023</t>
        </is>
      </c>
      <c r="W19" s="96" t="inlineStr">
        <is>
          <t>CTI LOGISTICS CO., LTD.</t>
        </is>
      </c>
      <c r="X19" s="96" t="inlineStr">
        <is>
          <t>VFD</t>
        </is>
      </c>
      <c r="Y19" s="96" t="inlineStr">
        <is>
          <t>CTI LOGISTICS (SHENZHEN) CO., LTD.</t>
        </is>
      </c>
      <c r="Z19" s="96" t="inlineStr">
        <is>
          <t>CTI LOGISTICS (SHENZHEN) CO., LTD.</t>
        </is>
      </c>
      <c r="AA19" s="97" t="n">
        <v>15666.34</v>
      </c>
      <c r="AB19" s="96" t="inlineStr">
        <is>
          <t>BKK01</t>
        </is>
      </c>
      <c r="AC19" s="96" t="inlineStr">
        <is>
          <t>SHE04</t>
        </is>
      </c>
    </row>
    <row r="20" ht="12" customHeight="1">
      <c r="A20" s="96" t="inlineStr">
        <is>
          <t>SKHU9804615</t>
        </is>
      </c>
      <c r="B20" s="161" t="inlineStr">
        <is>
          <t>2026-10-24</t>
        </is>
      </c>
      <c r="C20" s="96" t="inlineStr">
        <is>
          <t>CMA</t>
        </is>
      </c>
      <c r="D20" s="96" t="inlineStr">
        <is>
          <t>2615N</t>
        </is>
      </c>
      <c r="E20" s="96" t="inlineStr">
        <is>
          <t>45GP</t>
        </is>
      </c>
      <c r="F20" s="96" t="inlineStr">
        <is>
          <t>SD</t>
        </is>
      </c>
      <c r="G20" s="96" t="n"/>
      <c r="H20" s="96" t="inlineStr">
        <is>
          <t>THBKK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HASLS22261000887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K0120023</t>
        </is>
      </c>
      <c r="W20" s="96" t="inlineStr">
        <is>
          <t>DIMERCO EXPRESS (THAILAND) CO.,LTD.</t>
        </is>
      </c>
      <c r="X20" s="96" t="inlineStr">
        <is>
          <t>VFD</t>
        </is>
      </c>
      <c r="Y20" s="96" t="inlineStr">
        <is>
          <t>DIVERSIFIED FREIGHT SYSTEM LTD.</t>
        </is>
      </c>
      <c r="Z20" s="96" t="inlineStr">
        <is>
          <t>DIVERSIFIED FREIGHT SYSTEM LTD.</t>
        </is>
      </c>
      <c r="AA20" s="97" t="n">
        <v>10114.9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SKHU9952696</t>
        </is>
      </c>
      <c r="B21" s="161" t="inlineStr">
        <is>
          <t>2026-10-24</t>
        </is>
      </c>
      <c r="C21" s="96" t="inlineStr">
        <is>
          <t>CMA</t>
        </is>
      </c>
      <c r="D21" s="96" t="inlineStr">
        <is>
          <t>2615N</t>
        </is>
      </c>
      <c r="E21" s="96" t="inlineStr">
        <is>
          <t>45GP</t>
        </is>
      </c>
      <c r="F21" s="96" t="inlineStr">
        <is>
          <t>SD</t>
        </is>
      </c>
      <c r="G21" s="96" t="n"/>
      <c r="H21" s="96" t="inlineStr">
        <is>
          <t>THBKK</t>
        </is>
      </c>
      <c r="I21" s="96" t="inlineStr">
        <is>
          <t>CNSHK</t>
        </is>
      </c>
      <c r="J21" s="96" t="inlineStr">
        <is>
          <t>CNSHK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HASLS22260902356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KTS</t>
        </is>
      </c>
      <c r="U21" s="97" t="n"/>
      <c r="V21" s="96" t="inlineStr">
        <is>
          <t>K0120023</t>
        </is>
      </c>
      <c r="W21" s="96" t="inlineStr">
        <is>
          <t>DIMERCO EXPRESS (THAILAND) CO.,LTD.</t>
        </is>
      </c>
      <c r="X21" s="96" t="inlineStr">
        <is>
          <t>VFD</t>
        </is>
      </c>
      <c r="Y21" s="96" t="inlineStr">
        <is>
          <t>DIVERSIFIED INTERNATIONAL</t>
        </is>
      </c>
      <c r="Z21" s="96" t="inlineStr">
        <is>
          <t>DIVERSIFIED INTERNATIONAL</t>
        </is>
      </c>
      <c r="AA21" s="97" t="n">
        <v>16812</v>
      </c>
      <c r="AB21" s="96" t="inlineStr">
        <is>
          <t>BKK01</t>
        </is>
      </c>
      <c r="AC21" s="96" t="inlineStr">
        <is>
          <t>SHE04</t>
        </is>
      </c>
    </row>
    <row r="22" ht="12" customHeight="1">
      <c r="A22" s="96" t="inlineStr">
        <is>
          <t>SKLU0521335</t>
        </is>
      </c>
      <c r="B22" s="161" t="inlineStr">
        <is>
          <t>2026-10-24</t>
        </is>
      </c>
      <c r="C22" s="96" t="inlineStr">
        <is>
          <t>CMA</t>
        </is>
      </c>
      <c r="D22" s="96" t="inlineStr">
        <is>
          <t>2615N</t>
        </is>
      </c>
      <c r="E22" s="96" t="inlineStr">
        <is>
          <t>22GP</t>
        </is>
      </c>
      <c r="F22" s="96" t="inlineStr">
        <is>
          <t>SD</t>
        </is>
      </c>
      <c r="G22" s="96" t="n"/>
      <c r="H22" s="96" t="inlineStr">
        <is>
          <t>THBKK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HASLS22260902753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KTS</t>
        </is>
      </c>
      <c r="U22" s="97" t="n"/>
      <c r="V22" s="96" t="inlineStr">
        <is>
          <t>K0120021</t>
        </is>
      </c>
      <c r="W22" s="96" t="inlineStr">
        <is>
          <t>YUSEN LOGISTICS (THAILAND) CO., LTD</t>
        </is>
      </c>
      <c r="X22" s="96" t="inlineStr">
        <is>
          <t>VFD</t>
        </is>
      </c>
      <c r="Y22" s="96" t="inlineStr">
        <is>
          <t>YUSEN LOGISTICS (HONG KONG) LTD.</t>
        </is>
      </c>
      <c r="Z22" s="96" t="inlineStr">
        <is>
          <t>YUSEN LOGISTICS (HONG KONG) LTD.</t>
        </is>
      </c>
      <c r="AA22" s="97" t="n">
        <v>6769</v>
      </c>
      <c r="AB22" s="96" t="inlineStr">
        <is>
          <t>BKK01</t>
        </is>
      </c>
      <c r="AC22" s="96" t="inlineStr">
        <is>
          <t>HKG03</t>
        </is>
      </c>
    </row>
    <row r="23" ht="12" customHeight="1">
      <c r="A23" s="96" t="inlineStr">
        <is>
          <t>SKLU0704320</t>
        </is>
      </c>
      <c r="B23" s="161" t="inlineStr">
        <is>
          <t>2026-10-24</t>
        </is>
      </c>
      <c r="C23" s="96" t="inlineStr">
        <is>
          <t>CMA</t>
        </is>
      </c>
      <c r="D23" s="96" t="inlineStr">
        <is>
          <t>2615N</t>
        </is>
      </c>
      <c r="E23" s="96" t="inlineStr">
        <is>
          <t>22GP</t>
        </is>
      </c>
      <c r="F23" s="96" t="inlineStr">
        <is>
          <t>SD</t>
        </is>
      </c>
      <c r="G23" s="96" t="n"/>
      <c r="H23" s="96" t="inlineStr">
        <is>
          <t>THBKK</t>
        </is>
      </c>
      <c r="I23" s="96" t="inlineStr">
        <is>
          <t>HKHKG</t>
        </is>
      </c>
      <c r="J23" s="96" t="inlineStr">
        <is>
          <t>CNHUA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HASLS22261000870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KTS</t>
        </is>
      </c>
      <c r="U23" s="97" t="n"/>
      <c r="V23" s="96" t="inlineStr">
        <is>
          <t>K0120021</t>
        </is>
      </c>
      <c r="W23" s="96" t="inlineStr">
        <is>
          <t>FISHMEAL MARKETING DEVELOPMENT</t>
        </is>
      </c>
      <c r="X23" s="96" t="inlineStr">
        <is>
          <t>VFD</t>
        </is>
      </c>
      <c r="Y23" s="96" t="inlineStr">
        <is>
          <t>XIAMEN YUANHONGXIANG TRADING</t>
        </is>
      </c>
      <c r="Z23" s="96" t="inlineStr">
        <is>
          <t>XIAMEN YUANHONGXIANG TRADING</t>
        </is>
      </c>
      <c r="AA23" s="97" t="n">
        <v>20048</v>
      </c>
      <c r="AB23" s="96" t="inlineStr">
        <is>
          <t>BKK01</t>
        </is>
      </c>
      <c r="AC23" s="96" t="inlineStr">
        <is>
          <t>HKG03</t>
        </is>
      </c>
    </row>
    <row r="24" ht="12" customHeight="1">
      <c r="A24" s="96" t="inlineStr">
        <is>
          <t>SKLU1202409</t>
        </is>
      </c>
      <c r="B24" s="161" t="inlineStr">
        <is>
          <t>2026-10-24</t>
        </is>
      </c>
      <c r="C24" s="96" t="inlineStr">
        <is>
          <t>CMA</t>
        </is>
      </c>
      <c r="D24" s="96" t="inlineStr">
        <is>
          <t>2615N</t>
        </is>
      </c>
      <c r="E24" s="96" t="inlineStr">
        <is>
          <t>22GP</t>
        </is>
      </c>
      <c r="F24" s="96" t="inlineStr">
        <is>
          <t>SD</t>
        </is>
      </c>
      <c r="G24" s="96" t="n"/>
      <c r="H24" s="96" t="inlineStr">
        <is>
          <t>THBKK</t>
        </is>
      </c>
      <c r="I24" s="96" t="inlineStr">
        <is>
          <t>HKHKG</t>
        </is>
      </c>
      <c r="J24" s="96" t="inlineStr">
        <is>
          <t>CNHUA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HASLS22261000928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KTS</t>
        </is>
      </c>
      <c r="U24" s="97" t="n"/>
      <c r="V24" s="96" t="inlineStr">
        <is>
          <t>S1623001</t>
        </is>
      </c>
      <c r="W24" s="96" t="inlineStr">
        <is>
          <t>FISHMEAL MARKETING DEVELOPMENT</t>
        </is>
      </c>
      <c r="X24" s="96" t="inlineStr">
        <is>
          <t>VFD</t>
        </is>
      </c>
      <c r="Y24" s="96" t="inlineStr">
        <is>
          <t>XIAMEN RUXIANG TRADING CO., LTD.</t>
        </is>
      </c>
      <c r="Z24" s="96" t="inlineStr">
        <is>
          <t>XIAMEN RUXIANG TRADING CO., LTD.</t>
        </is>
      </c>
      <c r="AA24" s="97" t="n">
        <v>20048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SKLU1319144</t>
        </is>
      </c>
      <c r="B25" s="161" t="inlineStr">
        <is>
          <t>2026-10-24</t>
        </is>
      </c>
      <c r="C25" s="96" t="inlineStr">
        <is>
          <t>CMA</t>
        </is>
      </c>
      <c r="D25" s="96" t="inlineStr">
        <is>
          <t>2615N</t>
        </is>
      </c>
      <c r="E25" s="96" t="inlineStr">
        <is>
          <t>22GP</t>
        </is>
      </c>
      <c r="F25" s="96" t="inlineStr">
        <is>
          <t>SD</t>
        </is>
      </c>
      <c r="G25" s="96" t="n"/>
      <c r="H25" s="96" t="inlineStr">
        <is>
          <t>THBKK</t>
        </is>
      </c>
      <c r="I25" s="96" t="inlineStr">
        <is>
          <t>HKHKG</t>
        </is>
      </c>
      <c r="J25" s="96" t="inlineStr">
        <is>
          <t>CNHUA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HASLS22261000928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KTS</t>
        </is>
      </c>
      <c r="U25" s="97" t="n"/>
      <c r="V25" s="96" t="inlineStr">
        <is>
          <t>K0120021</t>
        </is>
      </c>
      <c r="W25" s="96" t="inlineStr">
        <is>
          <t>FISHMEAL MARKETING DEVELOPMENT</t>
        </is>
      </c>
      <c r="X25" s="96" t="inlineStr">
        <is>
          <t>VFD</t>
        </is>
      </c>
      <c r="Y25" s="96" t="inlineStr">
        <is>
          <t>XIAMEN RUXIANG TRADING CO., LTD.</t>
        </is>
      </c>
      <c r="Z25" s="96" t="inlineStr">
        <is>
          <t>XIAMEN RUXIANG TRADING CO., LTD.</t>
        </is>
      </c>
      <c r="AA25" s="97" t="n">
        <v>20048</v>
      </c>
      <c r="AB25" s="96" t="inlineStr">
        <is>
          <t>BKK01</t>
        </is>
      </c>
      <c r="AC25" s="96" t="inlineStr">
        <is>
          <t>HKG03</t>
        </is>
      </c>
    </row>
    <row r="26" ht="12" customHeight="1">
      <c r="A26" s="96" t="inlineStr">
        <is>
          <t>SKLU1342150</t>
        </is>
      </c>
      <c r="B26" s="161" t="inlineStr">
        <is>
          <t>2026-10-24</t>
        </is>
      </c>
      <c r="C26" s="96" t="inlineStr">
        <is>
          <t>CMA</t>
        </is>
      </c>
      <c r="D26" s="96" t="inlineStr">
        <is>
          <t>2615N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HASLS22260902618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KTS</t>
        </is>
      </c>
      <c r="U26" s="97" t="n"/>
      <c r="V26" s="96" t="inlineStr">
        <is>
          <t>K0120021</t>
        </is>
      </c>
      <c r="W26" s="96" t="inlineStr">
        <is>
          <t>KUEHNE + NAGEL LIMITED</t>
        </is>
      </c>
      <c r="X26" s="96" t="inlineStr">
        <is>
          <t>VFD</t>
        </is>
      </c>
      <c r="Y26" s="96" t="inlineStr">
        <is>
          <t>KUEHNE &amp; NAGEL LTD</t>
        </is>
      </c>
      <c r="Z26" s="96" t="inlineStr">
        <is>
          <t>KUEHNE &amp; NAGEL LTD</t>
        </is>
      </c>
      <c r="AA26" s="97" t="n">
        <v>18513</v>
      </c>
      <c r="AB26" s="96" t="inlineStr">
        <is>
          <t>BKK01</t>
        </is>
      </c>
      <c r="AC26" s="96" t="inlineStr">
        <is>
          <t>HKG03</t>
        </is>
      </c>
    </row>
    <row r="27" ht="12" customHeight="1">
      <c r="A27" s="96" t="inlineStr">
        <is>
          <t>SKLU1545558</t>
        </is>
      </c>
      <c r="B27" s="161" t="inlineStr">
        <is>
          <t>2026-10-24</t>
        </is>
      </c>
      <c r="C27" s="96" t="inlineStr">
        <is>
          <t>CMA</t>
        </is>
      </c>
      <c r="D27" s="96" t="inlineStr">
        <is>
          <t>2615N</t>
        </is>
      </c>
      <c r="E27" s="96" t="inlineStr">
        <is>
          <t>22GP</t>
        </is>
      </c>
      <c r="F27" s="96" t="inlineStr">
        <is>
          <t>SD</t>
        </is>
      </c>
      <c r="G27" s="96" t="n"/>
      <c r="H27" s="96" t="inlineStr">
        <is>
          <t>THBKK</t>
        </is>
      </c>
      <c r="I27" s="96" t="inlineStr">
        <is>
          <t>HKHKG</t>
        </is>
      </c>
      <c r="J27" s="96" t="inlineStr">
        <is>
          <t>CNHUA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HASLS22261000928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KTS</t>
        </is>
      </c>
      <c r="U27" s="97" t="n"/>
      <c r="V27" s="96" t="inlineStr">
        <is>
          <t>K0120021</t>
        </is>
      </c>
      <c r="W27" s="96" t="inlineStr">
        <is>
          <t>FISHMEAL MARKETING DEVELOPMENT</t>
        </is>
      </c>
      <c r="X27" s="96" t="inlineStr">
        <is>
          <t>VFD</t>
        </is>
      </c>
      <c r="Y27" s="96" t="inlineStr">
        <is>
          <t>XIAMEN RUXIANG TRADING CO., LTD.</t>
        </is>
      </c>
      <c r="Z27" s="96" t="inlineStr">
        <is>
          <t>XIAMEN RUXIANG TRADING CO., LTD.</t>
        </is>
      </c>
      <c r="AA27" s="97" t="n">
        <v>20048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SKLU1621508</t>
        </is>
      </c>
      <c r="B28" s="161" t="inlineStr">
        <is>
          <t>2026-10-24</t>
        </is>
      </c>
      <c r="C28" s="96" t="inlineStr">
        <is>
          <t>CMA</t>
        </is>
      </c>
      <c r="D28" s="96" t="inlineStr">
        <is>
          <t>2615N</t>
        </is>
      </c>
      <c r="E28" s="96" t="inlineStr">
        <is>
          <t>22GP</t>
        </is>
      </c>
      <c r="F28" s="96" t="inlineStr">
        <is>
          <t>SD</t>
        </is>
      </c>
      <c r="G28" s="96" t="n"/>
      <c r="H28" s="96" t="inlineStr">
        <is>
          <t>THBKK</t>
        </is>
      </c>
      <c r="I28" s="96" t="inlineStr">
        <is>
          <t>HKHKG</t>
        </is>
      </c>
      <c r="J28" s="96" t="inlineStr">
        <is>
          <t>CNHUA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HASLS22261000870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KTS</t>
        </is>
      </c>
      <c r="U28" s="97" t="n"/>
      <c r="V28" s="96" t="inlineStr">
        <is>
          <t>K0120021</t>
        </is>
      </c>
      <c r="W28" s="96" t="inlineStr">
        <is>
          <t>FISHMEAL MARKETING DEVELOPMENT</t>
        </is>
      </c>
      <c r="X28" s="96" t="inlineStr">
        <is>
          <t>VFD</t>
        </is>
      </c>
      <c r="Y28" s="96" t="inlineStr">
        <is>
          <t>XIAMEN YUANHONGXIANG TRADING</t>
        </is>
      </c>
      <c r="Z28" s="96" t="inlineStr">
        <is>
          <t>XIAMEN YUANHONGXIANG TRADING</t>
        </is>
      </c>
      <c r="AA28" s="97" t="n">
        <v>20048</v>
      </c>
      <c r="AB28" s="96" t="inlineStr">
        <is>
          <t>BKK01</t>
        </is>
      </c>
      <c r="AC28" s="96" t="inlineStr">
        <is>
          <t>HKG03</t>
        </is>
      </c>
    </row>
    <row r="29" ht="12" customHeight="1">
      <c r="A29" s="96" t="inlineStr">
        <is>
          <t>SKLU1643301</t>
        </is>
      </c>
      <c r="B29" s="161" t="inlineStr">
        <is>
          <t>2026-10-24</t>
        </is>
      </c>
      <c r="C29" s="96" t="inlineStr">
        <is>
          <t>CMA</t>
        </is>
      </c>
      <c r="D29" s="96" t="inlineStr">
        <is>
          <t>2615N</t>
        </is>
      </c>
      <c r="E29" s="96" t="inlineStr">
        <is>
          <t>22GP</t>
        </is>
      </c>
      <c r="F29" s="96" t="inlineStr">
        <is>
          <t>SD</t>
        </is>
      </c>
      <c r="G29" s="96" t="n"/>
      <c r="H29" s="96" t="inlineStr">
        <is>
          <t>THBKK</t>
        </is>
      </c>
      <c r="I29" s="96" t="inlineStr">
        <is>
          <t>HKHKG</t>
        </is>
      </c>
      <c r="J29" s="96" t="inlineStr">
        <is>
          <t>CNHUA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HASLS22261000870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KTS</t>
        </is>
      </c>
      <c r="U29" s="97" t="n"/>
      <c r="V29" s="96" t="inlineStr">
        <is>
          <t>K0120021</t>
        </is>
      </c>
      <c r="W29" s="96" t="inlineStr">
        <is>
          <t>FISHMEAL MARKETING DEVELOPMENT</t>
        </is>
      </c>
      <c r="X29" s="96" t="inlineStr">
        <is>
          <t>VFD</t>
        </is>
      </c>
      <c r="Y29" s="96" t="inlineStr">
        <is>
          <t>XIAMEN YUANHONGXIANG TRADING</t>
        </is>
      </c>
      <c r="Z29" s="96" t="inlineStr">
        <is>
          <t>XIAMEN YUANHONGXIANG TRADING</t>
        </is>
      </c>
      <c r="AA29" s="97" t="n">
        <v>20048</v>
      </c>
      <c r="AB29" s="96" t="inlineStr">
        <is>
          <t>BKK01</t>
        </is>
      </c>
      <c r="AC29" s="96" t="inlineStr">
        <is>
          <t>HKG03</t>
        </is>
      </c>
    </row>
    <row r="30" ht="12" customHeight="1">
      <c r="A30" s="96" t="inlineStr">
        <is>
          <t>SKLU1823197</t>
        </is>
      </c>
      <c r="B30" s="161" t="inlineStr">
        <is>
          <t>2026-10-24</t>
        </is>
      </c>
      <c r="C30" s="96" t="inlineStr">
        <is>
          <t>CMA</t>
        </is>
      </c>
      <c r="D30" s="96" t="inlineStr">
        <is>
          <t>2615N</t>
        </is>
      </c>
      <c r="E30" s="96" t="inlineStr">
        <is>
          <t>22GP</t>
        </is>
      </c>
      <c r="F30" s="96" t="inlineStr">
        <is>
          <t>SD</t>
        </is>
      </c>
      <c r="G30" s="96" t="n"/>
      <c r="H30" s="96" t="inlineStr">
        <is>
          <t>THBKK</t>
        </is>
      </c>
      <c r="I30" s="96" t="inlineStr">
        <is>
          <t>HKHKG</t>
        </is>
      </c>
      <c r="J30" s="96" t="inlineStr">
        <is>
          <t>CNHUA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HASLS22261000928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KTS</t>
        </is>
      </c>
      <c r="U30" s="97" t="n"/>
      <c r="V30" s="96" t="inlineStr">
        <is>
          <t>K0120021</t>
        </is>
      </c>
      <c r="W30" s="96" t="inlineStr">
        <is>
          <t>FISHMEAL MARKETING DEVELOPMENT</t>
        </is>
      </c>
      <c r="X30" s="96" t="inlineStr">
        <is>
          <t>VFD</t>
        </is>
      </c>
      <c r="Y30" s="96" t="inlineStr">
        <is>
          <t>XIAMEN RUXIANG TRADING CO., LTD.</t>
        </is>
      </c>
      <c r="Z30" s="96" t="inlineStr">
        <is>
          <t>XIAMEN RUXIANG TRADING CO., LTD.</t>
        </is>
      </c>
      <c r="AA30" s="97" t="n">
        <v>20048</v>
      </c>
      <c r="AB30" s="96" t="inlineStr">
        <is>
          <t>BKK01</t>
        </is>
      </c>
      <c r="AC30" s="96" t="inlineStr">
        <is>
          <t>HKG03</t>
        </is>
      </c>
    </row>
    <row r="31" ht="12" customHeight="1">
      <c r="A31" s="96" t="inlineStr">
        <is>
          <t>SKLU1934164</t>
        </is>
      </c>
      <c r="B31" s="161" t="inlineStr">
        <is>
          <t>2026-10-24</t>
        </is>
      </c>
      <c r="C31" s="96" t="inlineStr">
        <is>
          <t>CMA</t>
        </is>
      </c>
      <c r="D31" s="96" t="inlineStr">
        <is>
          <t>2615N</t>
        </is>
      </c>
      <c r="E31" s="96" t="inlineStr">
        <is>
          <t>22GP</t>
        </is>
      </c>
      <c r="F31" s="96" t="inlineStr">
        <is>
          <t>SD</t>
        </is>
      </c>
      <c r="G31" s="96" t="n"/>
      <c r="H31" s="96" t="inlineStr">
        <is>
          <t>THBKK</t>
        </is>
      </c>
      <c r="I31" s="96" t="inlineStr">
        <is>
          <t>HKHKG</t>
        </is>
      </c>
      <c r="J31" s="96" t="inlineStr">
        <is>
          <t>CNHUA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HASLS22261000928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KTS</t>
        </is>
      </c>
      <c r="U31" s="97" t="n"/>
      <c r="V31" s="96" t="inlineStr">
        <is>
          <t>K0120021</t>
        </is>
      </c>
      <c r="W31" s="96" t="inlineStr">
        <is>
          <t>FISHMEAL MARKETING DEVELOPMENT</t>
        </is>
      </c>
      <c r="X31" s="96" t="inlineStr">
        <is>
          <t>VFD</t>
        </is>
      </c>
      <c r="Y31" s="96" t="inlineStr">
        <is>
          <t>XIAMEN RUXIANG TRADING CO., LTD.</t>
        </is>
      </c>
      <c r="Z31" s="96" t="inlineStr">
        <is>
          <t>XIAMEN RUXIANG TRADING CO., LTD.</t>
        </is>
      </c>
      <c r="AA31" s="97" t="n">
        <v>20048</v>
      </c>
      <c r="AB31" s="96" t="inlineStr">
        <is>
          <t>BKK01</t>
        </is>
      </c>
      <c r="AC31" s="96" t="inlineStr">
        <is>
          <t>HKG03</t>
        </is>
      </c>
    </row>
    <row r="32" ht="12" customHeight="1">
      <c r="A32" s="96" t="inlineStr">
        <is>
          <t>SKLU1945169</t>
        </is>
      </c>
      <c r="B32" s="161" t="inlineStr">
        <is>
          <t>2026-10-24</t>
        </is>
      </c>
      <c r="C32" s="96" t="inlineStr">
        <is>
          <t>CMA</t>
        </is>
      </c>
      <c r="D32" s="96" t="inlineStr">
        <is>
          <t>2615N</t>
        </is>
      </c>
      <c r="E32" s="96" t="inlineStr">
        <is>
          <t>22GP</t>
        </is>
      </c>
      <c r="F32" s="96" t="inlineStr">
        <is>
          <t>SD</t>
        </is>
      </c>
      <c r="G32" s="96" t="n"/>
      <c r="H32" s="96" t="inlineStr">
        <is>
          <t>THBKK</t>
        </is>
      </c>
      <c r="I32" s="96" t="inlineStr">
        <is>
          <t>HKHKG</t>
        </is>
      </c>
      <c r="J32" s="96" t="inlineStr">
        <is>
          <t>CNHUA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HASLS22261000928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KTS</t>
        </is>
      </c>
      <c r="U32" s="97" t="n"/>
      <c r="V32" s="96" t="inlineStr">
        <is>
          <t>K0120021</t>
        </is>
      </c>
      <c r="W32" s="96" t="inlineStr">
        <is>
          <t>FISHMEAL MARKETING DEVELOPMENT</t>
        </is>
      </c>
      <c r="X32" s="96" t="inlineStr">
        <is>
          <t>VFD</t>
        </is>
      </c>
      <c r="Y32" s="96" t="inlineStr">
        <is>
          <t>XIAMEN RUXIANG TRADING CO., LTD.</t>
        </is>
      </c>
      <c r="Z32" s="96" t="inlineStr">
        <is>
          <t>XIAMEN RUXIANG TRADING CO., LTD.</t>
        </is>
      </c>
      <c r="AA32" s="97" t="n">
        <v>20048</v>
      </c>
      <c r="AB32" s="96" t="inlineStr">
        <is>
          <t>BKK01</t>
        </is>
      </c>
      <c r="AC32" s="96" t="inlineStr">
        <is>
          <t>HKG03</t>
        </is>
      </c>
    </row>
    <row r="33" ht="12" customHeight="1">
      <c r="A33" s="96" t="inlineStr">
        <is>
          <t>SKLU1953009</t>
        </is>
      </c>
      <c r="B33" s="161" t="inlineStr">
        <is>
          <t>2026-10-24</t>
        </is>
      </c>
      <c r="C33" s="96" t="inlineStr">
        <is>
          <t>CMA</t>
        </is>
      </c>
      <c r="D33" s="96" t="inlineStr">
        <is>
          <t>2615N</t>
        </is>
      </c>
      <c r="E33" s="96" t="inlineStr">
        <is>
          <t>22GP</t>
        </is>
      </c>
      <c r="F33" s="96" t="inlineStr">
        <is>
          <t>SD</t>
        </is>
      </c>
      <c r="G33" s="96" t="n"/>
      <c r="H33" s="96" t="inlineStr">
        <is>
          <t>THBKK</t>
        </is>
      </c>
      <c r="I33" s="96" t="inlineStr">
        <is>
          <t>HKHKG</t>
        </is>
      </c>
      <c r="J33" s="96" t="inlineStr">
        <is>
          <t>CNHUA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HASLS22261000928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KTS</t>
        </is>
      </c>
      <c r="U33" s="97" t="n"/>
      <c r="V33" s="96" t="inlineStr">
        <is>
          <t>K0120021</t>
        </is>
      </c>
      <c r="W33" s="96" t="inlineStr">
        <is>
          <t>FISHMEAL MARKETING DEVELOPMENT</t>
        </is>
      </c>
      <c r="X33" s="96" t="inlineStr">
        <is>
          <t>VFD</t>
        </is>
      </c>
      <c r="Y33" s="96" t="inlineStr">
        <is>
          <t>XIAMEN RUXIANG TRADING CO., LTD.</t>
        </is>
      </c>
      <c r="Z33" s="96" t="inlineStr">
        <is>
          <t>XIAMEN RUXIANG TRADING CO., LTD.</t>
        </is>
      </c>
      <c r="AA33" s="97" t="n">
        <v>20048</v>
      </c>
      <c r="AB33" s="96" t="inlineStr">
        <is>
          <t>BKK01</t>
        </is>
      </c>
      <c r="AC33" s="96" t="inlineStr">
        <is>
          <t>HKG03</t>
        </is>
      </c>
    </row>
    <row r="34" ht="12" customHeight="1">
      <c r="A34" s="96" t="inlineStr">
        <is>
          <t>SKLU1958356</t>
        </is>
      </c>
      <c r="B34" s="161" t="inlineStr">
        <is>
          <t>2026-10-24</t>
        </is>
      </c>
      <c r="C34" s="96" t="inlineStr">
        <is>
          <t>CMA</t>
        </is>
      </c>
      <c r="D34" s="96" t="inlineStr">
        <is>
          <t>2615N</t>
        </is>
      </c>
      <c r="E34" s="96" t="inlineStr">
        <is>
          <t>22GP</t>
        </is>
      </c>
      <c r="F34" s="96" t="inlineStr">
        <is>
          <t>SD</t>
        </is>
      </c>
      <c r="G34" s="96" t="n"/>
      <c r="H34" s="96" t="inlineStr">
        <is>
          <t>THBKK</t>
        </is>
      </c>
      <c r="I34" s="96" t="inlineStr">
        <is>
          <t>HKHKG</t>
        </is>
      </c>
      <c r="J34" s="96" t="inlineStr">
        <is>
          <t>CNHUA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HASLS22261000870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KTS</t>
        </is>
      </c>
      <c r="U34" s="97" t="n"/>
      <c r="V34" s="96" t="inlineStr">
        <is>
          <t>K0120021</t>
        </is>
      </c>
      <c r="W34" s="96" t="inlineStr">
        <is>
          <t>FISHMEAL MARKETING DEVELOPMENT</t>
        </is>
      </c>
      <c r="X34" s="96" t="inlineStr">
        <is>
          <t>VFD</t>
        </is>
      </c>
      <c r="Y34" s="96" t="inlineStr">
        <is>
          <t>XIAMEN YUANHONGXIANG TRADING</t>
        </is>
      </c>
      <c r="Z34" s="96" t="inlineStr">
        <is>
          <t>XIAMEN YUANHONGXIANG TRADING</t>
        </is>
      </c>
      <c r="AA34" s="97" t="n">
        <v>20048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SKLU2009272</t>
        </is>
      </c>
      <c r="B35" s="161" t="inlineStr">
        <is>
          <t>2026-10-24</t>
        </is>
      </c>
      <c r="C35" s="96" t="inlineStr">
        <is>
          <t>CMA</t>
        </is>
      </c>
      <c r="D35" s="96" t="inlineStr">
        <is>
          <t>2615N</t>
        </is>
      </c>
      <c r="E35" s="96" t="inlineStr">
        <is>
          <t>22GP</t>
        </is>
      </c>
      <c r="F35" s="96" t="inlineStr">
        <is>
          <t>SD</t>
        </is>
      </c>
      <c r="G35" s="96" t="n"/>
      <c r="H35" s="96" t="inlineStr">
        <is>
          <t>THBKK</t>
        </is>
      </c>
      <c r="I35" s="96" t="inlineStr">
        <is>
          <t>HKHKG</t>
        </is>
      </c>
      <c r="J35" s="96" t="inlineStr">
        <is>
          <t>CNHUA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HASLS22261000928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KTS</t>
        </is>
      </c>
      <c r="U35" s="97" t="n"/>
      <c r="V35" s="96" t="inlineStr">
        <is>
          <t>K0120021</t>
        </is>
      </c>
      <c r="W35" s="96" t="inlineStr">
        <is>
          <t>FISHMEAL MARKETING DEVELOPMENT</t>
        </is>
      </c>
      <c r="X35" s="96" t="inlineStr">
        <is>
          <t>VFD</t>
        </is>
      </c>
      <c r="Y35" s="96" t="inlineStr">
        <is>
          <t>XIAMEN RUXIANG TRADING CO., LTD.</t>
        </is>
      </c>
      <c r="Z35" s="96" t="inlineStr">
        <is>
          <t>XIAMEN RUXIANG TRADING CO., LTD.</t>
        </is>
      </c>
      <c r="AA35" s="97" t="n">
        <v>20048</v>
      </c>
      <c r="AB35" s="96" t="inlineStr">
        <is>
          <t>BKK01</t>
        </is>
      </c>
      <c r="AC35" s="96" t="inlineStr">
        <is>
          <t>HKG03</t>
        </is>
      </c>
    </row>
    <row r="36" ht="12" customHeight="1">
      <c r="A36" s="96" t="inlineStr">
        <is>
          <t>SKLU2055180</t>
        </is>
      </c>
      <c r="B36" s="161" t="inlineStr">
        <is>
          <t>2026-10-24</t>
        </is>
      </c>
      <c r="C36" s="96" t="inlineStr">
        <is>
          <t>CMA</t>
        </is>
      </c>
      <c r="D36" s="96" t="inlineStr">
        <is>
          <t>2615N</t>
        </is>
      </c>
      <c r="E36" s="96" t="inlineStr">
        <is>
          <t>22GP</t>
        </is>
      </c>
      <c r="F36" s="96" t="inlineStr">
        <is>
          <t>SD</t>
        </is>
      </c>
      <c r="G36" s="96" t="n"/>
      <c r="H36" s="96" t="inlineStr">
        <is>
          <t>THBKK</t>
        </is>
      </c>
      <c r="I36" s="96" t="inlineStr">
        <is>
          <t>CNSHK</t>
        </is>
      </c>
      <c r="J36" s="96" t="inlineStr">
        <is>
          <t>CNSHK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HASLS22261000781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KTS</t>
        </is>
      </c>
      <c r="U36" s="97" t="n"/>
      <c r="V36" s="96" t="inlineStr">
        <is>
          <t>K0120021</t>
        </is>
      </c>
      <c r="W36" s="96" t="inlineStr">
        <is>
          <t>SAVINO DEL BENE (THAILAND) LTD</t>
        </is>
      </c>
      <c r="X36" s="96" t="inlineStr">
        <is>
          <t>VFD</t>
        </is>
      </c>
      <c r="Y36" s="96" t="inlineStr">
        <is>
          <t>SAVINO DEL BENE (SHANGHAI) CO.LTD.</t>
        </is>
      </c>
      <c r="Z36" s="96" t="inlineStr">
        <is>
          <t>SAVINO DEL BENE (SHANGHAI) CO.LTD.</t>
        </is>
      </c>
      <c r="AA36" s="97" t="n">
        <v>2175.36</v>
      </c>
      <c r="AB36" s="96" t="inlineStr">
        <is>
          <t>BKK01</t>
        </is>
      </c>
      <c r="AC36" s="96" t="inlineStr">
        <is>
          <t>SHE04</t>
        </is>
      </c>
    </row>
    <row r="37" ht="12" customHeight="1">
      <c r="A37" s="96" t="inlineStr">
        <is>
          <t>SKLU2072193</t>
        </is>
      </c>
      <c r="B37" s="161" t="inlineStr">
        <is>
          <t>2026-10-24</t>
        </is>
      </c>
      <c r="C37" s="96" t="inlineStr">
        <is>
          <t>CMA</t>
        </is>
      </c>
      <c r="D37" s="96" t="inlineStr">
        <is>
          <t>2615N</t>
        </is>
      </c>
      <c r="E37" s="96" t="inlineStr">
        <is>
          <t>22GP</t>
        </is>
      </c>
      <c r="F37" s="96" t="inlineStr">
        <is>
          <t>SD</t>
        </is>
      </c>
      <c r="G37" s="96" t="n"/>
      <c r="H37" s="96" t="inlineStr">
        <is>
          <t>THBKK</t>
        </is>
      </c>
      <c r="I37" s="96" t="inlineStr">
        <is>
          <t>HKHKG</t>
        </is>
      </c>
      <c r="J37" s="96" t="inlineStr">
        <is>
          <t>CNHUA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HASLS22261000928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KTS</t>
        </is>
      </c>
      <c r="U37" s="97" t="n"/>
      <c r="V37" s="96" t="inlineStr">
        <is>
          <t>K0120021</t>
        </is>
      </c>
      <c r="W37" s="96" t="inlineStr">
        <is>
          <t>FISHMEAL MARKETING DEVELOPMENT</t>
        </is>
      </c>
      <c r="X37" s="96" t="inlineStr">
        <is>
          <t>VFD</t>
        </is>
      </c>
      <c r="Y37" s="96" t="inlineStr">
        <is>
          <t>XIAMEN RUXIANG TRADING CO., LTD.</t>
        </is>
      </c>
      <c r="Z37" s="96" t="inlineStr">
        <is>
          <t>XIAMEN RUXIANG TRADING CO., LTD.</t>
        </is>
      </c>
      <c r="AA37" s="97" t="n">
        <v>20048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SKLU2117575</t>
        </is>
      </c>
      <c r="B38" s="161" t="inlineStr">
        <is>
          <t>2026-10-24</t>
        </is>
      </c>
      <c r="C38" s="96" t="inlineStr">
        <is>
          <t>CMA</t>
        </is>
      </c>
      <c r="D38" s="96" t="inlineStr">
        <is>
          <t>2615N</t>
        </is>
      </c>
      <c r="E38" s="96" t="inlineStr">
        <is>
          <t>22GP</t>
        </is>
      </c>
      <c r="F38" s="96" t="inlineStr">
        <is>
          <t>SD</t>
        </is>
      </c>
      <c r="G38" s="96" t="n"/>
      <c r="H38" s="96" t="inlineStr">
        <is>
          <t>THBKK</t>
        </is>
      </c>
      <c r="I38" s="96" t="inlineStr">
        <is>
          <t>HKHKG</t>
        </is>
      </c>
      <c r="J38" s="96" t="inlineStr">
        <is>
          <t>CNHUA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HASLS22261000870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KTS</t>
        </is>
      </c>
      <c r="U38" s="97" t="n"/>
      <c r="V38" s="96" t="inlineStr">
        <is>
          <t>K0120021</t>
        </is>
      </c>
      <c r="W38" s="96" t="inlineStr">
        <is>
          <t>FISHMEAL MARKETING DEVELOPMENT</t>
        </is>
      </c>
      <c r="X38" s="96" t="inlineStr">
        <is>
          <t>VFD</t>
        </is>
      </c>
      <c r="Y38" s="96" t="inlineStr">
        <is>
          <t>XIAMEN YUANHONGXIANG TRADING</t>
        </is>
      </c>
      <c r="Z38" s="96" t="inlineStr">
        <is>
          <t>XIAMEN YUANHONGXIANG TRADING</t>
        </is>
      </c>
      <c r="AA38" s="97" t="n">
        <v>20048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TCNU5293000</t>
        </is>
      </c>
      <c r="B39" s="161" t="inlineStr">
        <is>
          <t>2026-10-24</t>
        </is>
      </c>
      <c r="C39" s="96" t="inlineStr">
        <is>
          <t>CMA</t>
        </is>
      </c>
      <c r="D39" s="96" t="inlineStr">
        <is>
          <t>2615N</t>
        </is>
      </c>
      <c r="E39" s="96" t="inlineStr">
        <is>
          <t>45GP</t>
        </is>
      </c>
      <c r="F39" s="96" t="inlineStr">
        <is>
          <t>SD</t>
        </is>
      </c>
      <c r="G39" s="96" t="n"/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HASLS22261000887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KTS</t>
        </is>
      </c>
      <c r="U39" s="97" t="n"/>
      <c r="V39" s="96" t="inlineStr">
        <is>
          <t>K0120023</t>
        </is>
      </c>
      <c r="W39" s="96" t="inlineStr">
        <is>
          <t>DIMERCO EXPRESS (THAILAND) CO.,LTD.</t>
        </is>
      </c>
      <c r="X39" s="96" t="inlineStr">
        <is>
          <t>VFD</t>
        </is>
      </c>
      <c r="Y39" s="96" t="inlineStr">
        <is>
          <t>DIVERSIFIED FREIGHT SYSTEM LTD.</t>
        </is>
      </c>
      <c r="Z39" s="96" t="inlineStr">
        <is>
          <t>DIVERSIFIED FREIGHT SYSTEM LTD.</t>
        </is>
      </c>
      <c r="AA39" s="97" t="n">
        <v>10114.9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TEMU3903206</t>
        </is>
      </c>
      <c r="B40" s="161" t="inlineStr">
        <is>
          <t>2026-10-24</t>
        </is>
      </c>
      <c r="C40" s="96" t="inlineStr">
        <is>
          <t>CMA</t>
        </is>
      </c>
      <c r="D40" s="96" t="inlineStr">
        <is>
          <t>2615N</t>
        </is>
      </c>
      <c r="E40" s="96" t="inlineStr">
        <is>
          <t>22GP</t>
        </is>
      </c>
      <c r="F40" s="96" t="inlineStr">
        <is>
          <t>SD</t>
        </is>
      </c>
      <c r="G40" s="96" t="n"/>
      <c r="H40" s="96" t="inlineStr">
        <is>
          <t>THBKK</t>
        </is>
      </c>
      <c r="I40" s="96" t="inlineStr">
        <is>
          <t>HKHKG</t>
        </is>
      </c>
      <c r="J40" s="96" t="inlineStr">
        <is>
          <t>CNHUA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HASLS22261000870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KTS</t>
        </is>
      </c>
      <c r="U40" s="97" t="n"/>
      <c r="V40" s="96" t="inlineStr">
        <is>
          <t>K0120021</t>
        </is>
      </c>
      <c r="W40" s="96" t="inlineStr">
        <is>
          <t>FISHMEAL MARKETING DEVELOPMENT</t>
        </is>
      </c>
      <c r="X40" s="96" t="inlineStr">
        <is>
          <t>VFD</t>
        </is>
      </c>
      <c r="Y40" s="96" t="inlineStr">
        <is>
          <t>XIAMEN YUANHONGXIANG TRADING</t>
        </is>
      </c>
      <c r="Z40" s="96" t="inlineStr">
        <is>
          <t>XIAMEN YUANHONGXIANG TRADING</t>
        </is>
      </c>
      <c r="AA40" s="97" t="n">
        <v>20048</v>
      </c>
      <c r="AB40" s="96" t="inlineStr">
        <is>
          <t>BKK01</t>
        </is>
      </c>
      <c r="AC40" s="96" t="inlineStr">
        <is>
          <t>HKG03</t>
        </is>
      </c>
    </row>
    <row r="41" ht="12" customHeight="1">
      <c r="A41" s="96" t="inlineStr">
        <is>
          <t>TGCU2400432</t>
        </is>
      </c>
      <c r="B41" s="161" t="inlineStr">
        <is>
          <t>2026-10-24</t>
        </is>
      </c>
      <c r="C41" s="96" t="inlineStr">
        <is>
          <t>CMA</t>
        </is>
      </c>
      <c r="D41" s="96" t="inlineStr">
        <is>
          <t>2615N</t>
        </is>
      </c>
      <c r="E41" s="96" t="inlineStr">
        <is>
          <t>22GP</t>
        </is>
      </c>
      <c r="F41" s="96" t="inlineStr">
        <is>
          <t>SD</t>
        </is>
      </c>
      <c r="G41" s="96" t="n"/>
      <c r="H41" s="96" t="inlineStr">
        <is>
          <t>THBKK</t>
        </is>
      </c>
      <c r="I41" s="96" t="inlineStr">
        <is>
          <t>HKHKG</t>
        </is>
      </c>
      <c r="J41" s="96" t="inlineStr">
        <is>
          <t>HKHKG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HASLS22261000780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KTS</t>
        </is>
      </c>
      <c r="U41" s="97" t="n"/>
      <c r="V41" s="96" t="inlineStr">
        <is>
          <t>K0120021</t>
        </is>
      </c>
      <c r="W41" s="96" t="inlineStr">
        <is>
          <t>YUSEN LOGISTICS (THAILAND) CO., LTD</t>
        </is>
      </c>
      <c r="X41" s="96" t="inlineStr">
        <is>
          <t>VED</t>
        </is>
      </c>
      <c r="Y41" s="96" t="inlineStr">
        <is>
          <t>YUSEN LOGISTICS (HONG KONG) LTD.</t>
        </is>
      </c>
      <c r="Z41" s="96" t="inlineStr">
        <is>
          <t>YUSEN LOGISTICS (HONG KONG) LTD.</t>
        </is>
      </c>
      <c r="AA41" s="97" t="n">
        <v>1998.4</v>
      </c>
      <c r="AB41" s="96" t="inlineStr">
        <is>
          <t>BKK01</t>
        </is>
      </c>
      <c r="AC41" s="96" t="inlineStr">
        <is>
          <t>HKG03</t>
        </is>
      </c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HASLS22260900420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KTS1</t>
        </is>
      </c>
      <c r="M2" s="96" t="inlineStr">
        <is>
          <t>CMA</t>
        </is>
      </c>
      <c r="N2" s="96" t="inlineStr">
        <is>
          <t>2615N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2026-10-24</t>
        </is>
      </c>
      <c r="S2" s="96" t="inlineStr">
        <is>
          <t>CNSHK</t>
        </is>
      </c>
      <c r="T2" s="96" t="inlineStr">
        <is>
          <t>SHE04</t>
        </is>
      </c>
      <c r="U2" s="96" t="inlineStr">
        <is>
          <t>CNSHK</t>
        </is>
      </c>
      <c r="V2" s="161" t="inlineStr">
        <is>
          <t>2026-10-30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G THRU INTERBUSINESS CO., LTD.</t>
        </is>
      </c>
      <c r="AB2" s="96" t="inlineStr">
        <is>
          <t>V.THAI FOOD PRODUCT CO.,LTD.</t>
        </is>
      </c>
      <c r="AC2" s="163" t="n">
        <v>17670</v>
      </c>
      <c r="AD2" s="163" t="n">
        <v>19870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TBKK55</t>
        </is>
      </c>
      <c r="AN2" s="96" t="inlineStr">
        <is>
          <t>Vilaiporn</t>
        </is>
      </c>
      <c r="AO2" s="96" t="inlineStr">
        <is>
          <t>PASTE, SAUCE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2026-10-17, Return : 2026-10-19</t>
        </is>
      </c>
      <c r="BA2" s="97" t="inlineStr">
        <is>
          <t xml:space="preserve">SI DD.14/10/26
**CHANGED FM VSL."KJT 2611N" DUE TO SKIP PORT SHK BY K.ANURAK DD.16/9/26** 
</t>
        </is>
      </c>
      <c r="BB2" s="96" t="inlineStr">
        <is>
          <t>P</t>
        </is>
      </c>
      <c r="BC2" s="161" t="inlineStr">
        <is>
          <t>2026-09-04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SAUCE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BKK25</t>
        </is>
      </c>
      <c r="BL2" s="161" t="inlineStr">
        <is>
          <t>2026-10-17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anurak.j@g-thru.com;janjira.p@g-thru.com</t>
        </is>
      </c>
      <c r="CJ2" s="96" t="inlineStr">
        <is>
          <t>V.THAI FOOD PRODUCT CO.,LTD.</t>
        </is>
      </c>
      <c r="CK2" s="96" t="inlineStr">
        <is>
          <t>SHENZHEN ZHAOHONGFENG IMPORT &amp;</t>
        </is>
      </c>
      <c r="CL2" s="96" t="inlineStr">
        <is>
          <t>SHENZHEN ZHAOHONGFENG IMPORT &amp;</t>
        </is>
      </c>
      <c r="CM2" s="97" t="n"/>
      <c r="CN2" s="96" t="inlineStr">
        <is>
          <t>202610232359</t>
        </is>
      </c>
      <c r="CO2" s="96" t="inlineStr">
        <is>
          <t>202610212359</t>
        </is>
      </c>
      <c r="CP2" s="97" t="n"/>
      <c r="CQ2" s="96" t="inlineStr">
        <is>
          <t>S19-2101035</t>
        </is>
      </c>
      <c r="CR2" s="96" t="inlineStr">
        <is>
          <t>THTNHF</t>
        </is>
      </c>
      <c r="CS2" s="96" t="inlineStr">
        <is>
          <t>G THRU INTERBUSINESS CO., LTD.</t>
        </is>
      </c>
      <c r="CT2" s="96" t="inlineStr">
        <is>
          <t>N</t>
        </is>
      </c>
      <c r="CU2" s="97" t="n"/>
      <c r="CV2" s="97" t="n"/>
      <c r="CW2" s="161" t="inlineStr">
        <is>
          <t>2026-10-22</t>
        </is>
      </c>
      <c r="CX2" s="97" t="n"/>
      <c r="CY2" s="156" t="n"/>
    </row>
    <row r="3" ht="12" customHeight="1">
      <c r="A3" s="116" t="inlineStr">
        <is>
          <t>HASLS22260900618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KTS1</t>
        </is>
      </c>
      <c r="M3" s="96" t="inlineStr">
        <is>
          <t>CMA</t>
        </is>
      </c>
      <c r="N3" s="96" t="inlineStr">
        <is>
          <t>2615N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2026-10-24</t>
        </is>
      </c>
      <c r="S3" s="96" t="inlineStr">
        <is>
          <t>CNSHK</t>
        </is>
      </c>
      <c r="T3" s="96" t="inlineStr">
        <is>
          <t>SHE04</t>
        </is>
      </c>
      <c r="U3" s="96" t="inlineStr">
        <is>
          <t>CNSHK</t>
        </is>
      </c>
      <c r="V3" s="161" t="inlineStr">
        <is>
          <t>2026-10-30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G THRU INTERBUSINESS CO., LTD.</t>
        </is>
      </c>
      <c r="AB3" s="96" t="inlineStr">
        <is>
          <t>V.THAI FOOD PRODUCT CO.,LTD.</t>
        </is>
      </c>
      <c r="AC3" s="163" t="n">
        <v>19041.88</v>
      </c>
      <c r="AD3" s="163" t="n">
        <v>21241.88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TBKK55</t>
        </is>
      </c>
      <c r="AN3" s="96" t="inlineStr">
        <is>
          <t>Vilaiporn</t>
        </is>
      </c>
      <c r="AO3" s="96" t="inlineStr">
        <is>
          <t>PASTE, SAUCE,PAPAYA SALAD DRESSING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2026-10-19, Return : 2026-10-19</t>
        </is>
      </c>
      <c r="BA3" s="97" t="inlineStr">
        <is>
          <t xml:space="preserve">**CHANGED FM VSL."KJT 2611N" DUE TO SKIP PORT SHK BY K.ANURAK DD.16/9/26** </t>
        </is>
      </c>
      <c r="BB3" s="96" t="inlineStr">
        <is>
          <t>P</t>
        </is>
      </c>
      <c r="BC3" s="161" t="inlineStr">
        <is>
          <t>2026-09-08</t>
        </is>
      </c>
      <c r="BD3" s="161" t="inlineStr">
        <is>
          <t>2026-10-19</t>
        </is>
      </c>
      <c r="BE3" s="96" t="inlineStr">
        <is>
          <t>Y</t>
        </is>
      </c>
      <c r="BF3" s="96" t="inlineStr">
        <is>
          <t>SAUCE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2026-10-19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anurak.j@g-thru.com;janjira.p@g-thru.com</t>
        </is>
      </c>
      <c r="CJ3" s="96" t="inlineStr">
        <is>
          <t>V.THAI FOOD PRODUCT CO.,LTD.</t>
        </is>
      </c>
      <c r="CK3" s="96" t="inlineStr">
        <is>
          <t>SHENZHEN ZHAOHONGFENG IMPORT &amp;</t>
        </is>
      </c>
      <c r="CL3" s="96" t="inlineStr">
        <is>
          <t>SHENZHEN ZHAOHONGFENG IMPORT &amp;</t>
        </is>
      </c>
      <c r="CM3" s="97" t="n"/>
      <c r="CN3" s="96" t="inlineStr">
        <is>
          <t>202610232359</t>
        </is>
      </c>
      <c r="CO3" s="96" t="inlineStr">
        <is>
          <t>202610212359</t>
        </is>
      </c>
      <c r="CP3" s="97" t="n"/>
      <c r="CQ3" s="96" t="inlineStr">
        <is>
          <t>S19-2101035</t>
        </is>
      </c>
      <c r="CR3" s="96" t="inlineStr">
        <is>
          <t>THTNHF</t>
        </is>
      </c>
      <c r="CS3" s="96" t="inlineStr">
        <is>
          <t>G THRU INTERBUSINESS CO., LTD.</t>
        </is>
      </c>
      <c r="CT3" s="96" t="inlineStr">
        <is>
          <t>N</t>
        </is>
      </c>
      <c r="CU3" s="97" t="n"/>
      <c r="CV3" s="97" t="n"/>
      <c r="CW3" s="161" t="inlineStr">
        <is>
          <t>2026-10-22</t>
        </is>
      </c>
      <c r="CX3" s="97" t="n"/>
      <c r="CY3" s="183" t="n"/>
    </row>
    <row r="4" ht="12" customHeight="1">
      <c r="A4" s="116" t="inlineStr">
        <is>
          <t>HASLS22260902095</t>
        </is>
      </c>
      <c r="B4" s="96" t="inlineStr">
        <is>
          <t>40Hx1</t>
        </is>
      </c>
      <c r="C4" s="97" t="n">
        <v>1</v>
      </c>
      <c r="D4" s="97" t="n">
        <v>1</v>
      </c>
      <c r="E4" s="97" t="n"/>
      <c r="F4" s="97" t="n">
        <v>0</v>
      </c>
      <c r="G4" s="97" t="n">
        <v>0</v>
      </c>
      <c r="H4" s="97" t="n">
        <v>0</v>
      </c>
      <c r="I4" s="97" t="n">
        <v>1</v>
      </c>
      <c r="J4" s="97" t="n">
        <v>2</v>
      </c>
      <c r="K4" s="96" t="inlineStr">
        <is>
          <t>N</t>
        </is>
      </c>
      <c r="L4" s="96" t="inlineStr">
        <is>
          <t>KTS1</t>
        </is>
      </c>
      <c r="M4" s="96" t="inlineStr">
        <is>
          <t>CMA</t>
        </is>
      </c>
      <c r="N4" s="96" t="inlineStr">
        <is>
          <t>2615N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2026-10-24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2026-10-29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MULTI FREIGHT SYSTEM CO., LTD.</t>
        </is>
      </c>
      <c r="AB4" s="96" t="inlineStr">
        <is>
          <t>WAN THAI FOODS INDUSTRY CO., LTD.</t>
        </is>
      </c>
      <c r="AC4" s="163" t="n">
        <v>12804</v>
      </c>
      <c r="AD4" s="163" t="n">
        <v>16804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HHKG28</t>
        </is>
      </c>
      <c r="AN4" s="96" t="inlineStr">
        <is>
          <t>Orinda Wong</t>
        </is>
      </c>
      <c r="AO4" s="96" t="inlineStr">
        <is>
          <t>FOOD STUFFS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2026-10-12, Return : 2026-10-14 *1ST RETURN CNTR DD.24/10/2026 WITHOUT RENT*</t>
        </is>
      </c>
      <c r="BA4" s="97" t="inlineStr">
        <is>
          <t>FM KJT 2611N BY K'PAM DD.16/10/2026 
COS STORAGE RENT 6,000THB / COST CANCEL 2,000THB</t>
        </is>
      </c>
      <c r="BB4" s="96" t="inlineStr">
        <is>
          <t>C</t>
        </is>
      </c>
      <c r="BC4" s="161" t="inlineStr">
        <is>
          <t>2026-09-23</t>
        </is>
      </c>
      <c r="BD4" s="161" t="inlineStr">
        <is>
          <t>2026-10-21</t>
        </is>
      </c>
      <c r="BE4" s="96" t="inlineStr">
        <is>
          <t>Y</t>
        </is>
      </c>
      <c r="BF4" s="96" t="inlineStr">
        <is>
          <t>FOOD STUFFS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2026-10-12</t>
        </is>
      </c>
      <c r="BM4" s="127" t="n"/>
      <c r="BN4" s="127" t="n"/>
      <c r="BO4" s="127" t="n"/>
      <c r="BP4" s="127" t="n">
        <v>1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mfs@multiairservices.com</t>
        </is>
      </c>
      <c r="CJ4" s="96" t="inlineStr">
        <is>
          <t>MULTI FREIGHT SYSTEM CO.,LTD.</t>
        </is>
      </c>
      <c r="CK4" s="96" t="inlineStr">
        <is>
          <t>NISKO CARGO CONSOLIDATION LTD.</t>
        </is>
      </c>
      <c r="CL4" s="96" t="inlineStr">
        <is>
          <t>NISKO CARGO CONSOLIDATION LTD.</t>
        </is>
      </c>
      <c r="CM4" s="97" t="n"/>
      <c r="CN4" s="96" t="inlineStr">
        <is>
          <t>202610232359</t>
        </is>
      </c>
      <c r="CO4" s="96" t="inlineStr">
        <is>
          <t>202610212359</t>
        </is>
      </c>
      <c r="CP4" s="97" t="n"/>
      <c r="CQ4" s="96" t="inlineStr">
        <is>
          <t>C08-2406015</t>
        </is>
      </c>
      <c r="CR4" s="96" t="inlineStr">
        <is>
          <t>BB0056</t>
        </is>
      </c>
      <c r="CS4" s="96" t="inlineStr">
        <is>
          <t>MULTI FREIGHT SYSTEM CO., LTD.</t>
        </is>
      </c>
      <c r="CT4" s="96" t="inlineStr">
        <is>
          <t>N</t>
        </is>
      </c>
      <c r="CU4" s="97" t="n"/>
      <c r="CV4" s="97" t="n"/>
      <c r="CW4" s="161" t="inlineStr">
        <is>
          <t>2026-10-24</t>
        </is>
      </c>
      <c r="CX4" s="97" t="n"/>
      <c r="CY4" s="183" t="n"/>
    </row>
    <row r="5" ht="12" customHeight="1">
      <c r="A5" s="116" t="inlineStr">
        <is>
          <t>HASLS22260902124</t>
        </is>
      </c>
      <c r="B5" s="96" t="inlineStr">
        <is>
          <t>20'x1 40Hx1</t>
        </is>
      </c>
      <c r="C5" s="97" t="n">
        <v>2</v>
      </c>
      <c r="D5" s="97" t="n">
        <v>2</v>
      </c>
      <c r="E5" s="97" t="n"/>
      <c r="F5" s="97" t="n">
        <v>0</v>
      </c>
      <c r="G5" s="97" t="n">
        <v>1</v>
      </c>
      <c r="H5" s="97" t="n">
        <v>0</v>
      </c>
      <c r="I5" s="97" t="n">
        <v>1</v>
      </c>
      <c r="J5" s="97" t="n">
        <v>3</v>
      </c>
      <c r="K5" s="96" t="inlineStr">
        <is>
          <t>N</t>
        </is>
      </c>
      <c r="L5" s="96" t="inlineStr">
        <is>
          <t>KTS1</t>
        </is>
      </c>
      <c r="M5" s="96" t="inlineStr">
        <is>
          <t>CMA</t>
        </is>
      </c>
      <c r="N5" s="96" t="inlineStr">
        <is>
          <t>2615N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2026-10-24</t>
        </is>
      </c>
      <c r="S5" s="96" t="inlineStr">
        <is>
          <t>CNSHK</t>
        </is>
      </c>
      <c r="T5" s="96" t="inlineStr">
        <is>
          <t>SHE04</t>
        </is>
      </c>
      <c r="U5" s="96" t="inlineStr">
        <is>
          <t>CNSHK</t>
        </is>
      </c>
      <c r="V5" s="161" t="inlineStr">
        <is>
          <t>2026-10-30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CTI LOGISTICS CO., LTD.</t>
        </is>
      </c>
      <c r="AB5" s="96" t="inlineStr">
        <is>
          <t>NMB-MINEBEA THAI LIMITED</t>
        </is>
      </c>
      <c r="AC5" s="163" t="n">
        <v>19473.09</v>
      </c>
      <c r="AD5" s="163" t="n">
        <v>25673.09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STEPPING MOTOR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2026-10-17, Return : 2026-10-19</t>
        </is>
      </c>
      <c r="BA5" s="97" t="inlineStr">
        <is>
          <t>FM 2X40HC DD 07/10 
 REQUEST CLEAN CONTAINERGW:10,000.00KGS/20' &amp; 15,000.00KGS/40'HC</t>
        </is>
      </c>
      <c r="BB5" s="96" t="inlineStr">
        <is>
          <t>P</t>
        </is>
      </c>
      <c r="BC5" s="161" t="inlineStr">
        <is>
          <t>2026-09-23</t>
        </is>
      </c>
      <c r="BD5" s="161" t="inlineStr">
        <is>
          <t>2026-10-21</t>
        </is>
      </c>
      <c r="BE5" s="96" t="inlineStr">
        <is>
          <t>Y</t>
        </is>
      </c>
      <c r="BF5" s="96" t="inlineStr">
        <is>
          <t>BALL BEARING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2026-10-17</t>
        </is>
      </c>
      <c r="BM5" s="127" t="n"/>
      <c r="BN5" s="127" t="n">
        <v>1</v>
      </c>
      <c r="BO5" s="127" t="n"/>
      <c r="BP5" s="127" t="n">
        <v>1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malin@ctibkk.com</t>
        </is>
      </c>
      <c r="CJ5" s="96" t="inlineStr">
        <is>
          <t>CTI LOGISTICS CO., LTD.</t>
        </is>
      </c>
      <c r="CK5" s="96" t="inlineStr">
        <is>
          <t>CTI LOGISTICS (SHENZHEN) CO., LTD.</t>
        </is>
      </c>
      <c r="CL5" s="96" t="inlineStr">
        <is>
          <t>CTI LOGISTICS (SHENZHEN) CO., LTD.</t>
        </is>
      </c>
      <c r="CM5" s="97" t="n"/>
      <c r="CN5" s="96" t="inlineStr">
        <is>
          <t>202610232359</t>
        </is>
      </c>
      <c r="CO5" s="96" t="inlineStr">
        <is>
          <t>202610212359</t>
        </is>
      </c>
      <c r="CP5" s="97" t="n"/>
      <c r="CQ5" s="96" t="inlineStr">
        <is>
          <t>S19-2211010</t>
        </is>
      </c>
      <c r="CR5" s="96" t="inlineStr">
        <is>
          <t>THTI8R</t>
        </is>
      </c>
      <c r="CS5" s="96" t="inlineStr">
        <is>
          <t>CTI LOGISTICS CO., LTD.</t>
        </is>
      </c>
      <c r="CT5" s="96" t="inlineStr">
        <is>
          <t>N</t>
        </is>
      </c>
      <c r="CU5" s="97" t="n"/>
      <c r="CV5" s="97" t="n"/>
      <c r="CW5" s="161" t="inlineStr">
        <is>
          <t>2026-10-23</t>
        </is>
      </c>
      <c r="CX5" s="97" t="n"/>
      <c r="CY5" s="183" t="n"/>
    </row>
    <row r="6" ht="12" customHeight="1">
      <c r="A6" s="116" t="inlineStr">
        <is>
          <t>HASLS22260902307</t>
        </is>
      </c>
      <c r="B6" s="96" t="inlineStr">
        <is>
          <t>40Hx3</t>
        </is>
      </c>
      <c r="C6" s="97" t="n">
        <v>3</v>
      </c>
      <c r="D6" s="97" t="n">
        <v>3</v>
      </c>
      <c r="E6" s="97" t="n"/>
      <c r="F6" s="97" t="n">
        <v>0</v>
      </c>
      <c r="G6" s="97" t="n">
        <v>0</v>
      </c>
      <c r="H6" s="97" t="n">
        <v>0</v>
      </c>
      <c r="I6" s="97" t="n">
        <v>3</v>
      </c>
      <c r="J6" s="97" t="n">
        <v>6</v>
      </c>
      <c r="K6" s="96" t="inlineStr">
        <is>
          <t>N</t>
        </is>
      </c>
      <c r="L6" s="96" t="inlineStr">
        <is>
          <t>KTS1</t>
        </is>
      </c>
      <c r="M6" s="96" t="inlineStr">
        <is>
          <t>CMA</t>
        </is>
      </c>
      <c r="N6" s="96" t="inlineStr">
        <is>
          <t>2615N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2026-10-24</t>
        </is>
      </c>
      <c r="S6" s="96" t="inlineStr">
        <is>
          <t>CNSHK</t>
        </is>
      </c>
      <c r="T6" s="96" t="inlineStr">
        <is>
          <t>SHE04</t>
        </is>
      </c>
      <c r="U6" s="96" t="inlineStr">
        <is>
          <t>CNSHK</t>
        </is>
      </c>
      <c r="V6" s="161" t="inlineStr">
        <is>
          <t>2026-10-30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CTI LOGISTICS CO., LTD.</t>
        </is>
      </c>
      <c r="AB6" s="96" t="inlineStr">
        <is>
          <t>NMB-MINEBEA THAI LTD.</t>
        </is>
      </c>
      <c r="AC6" s="163" t="n">
        <v>13478.4</v>
      </c>
      <c r="AD6" s="163" t="n">
        <v>25478.4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FAN MOTOR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2026-10-19, Return : 2026-10-19</t>
        </is>
      </c>
      <c r="BA6" s="97" t="inlineStr">
        <is>
          <t>COMBINE BK HASLS22261000751 DD.09/10REQUEST CLEAN CONTAIENRGW:15,000.00KGS/40'HC  NOTE : PLS CANCEL BOOKING NO. HASLS22261000751 ka.</t>
        </is>
      </c>
      <c r="BB6" s="96" t="inlineStr">
        <is>
          <t>P</t>
        </is>
      </c>
      <c r="BC6" s="161" t="inlineStr">
        <is>
          <t>2026-09-24</t>
        </is>
      </c>
      <c r="BD6" s="161" t="inlineStr">
        <is>
          <t>2026-10-21</t>
        </is>
      </c>
      <c r="BE6" s="96" t="inlineStr">
        <is>
          <t>Y</t>
        </is>
      </c>
      <c r="BF6" s="96" t="inlineStr">
        <is>
          <t>BALL BEARING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2026-10-19</t>
        </is>
      </c>
      <c r="BM6" s="127" t="n"/>
      <c r="BN6" s="127" t="n"/>
      <c r="BO6" s="127" t="n"/>
      <c r="BP6" s="127" t="n">
        <v>3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malin@ctibkk.com</t>
        </is>
      </c>
      <c r="CJ6" s="96" t="inlineStr">
        <is>
          <t>CTI LOGISTICS CO., LTD.</t>
        </is>
      </c>
      <c r="CK6" s="96" t="inlineStr">
        <is>
          <t>CTI LOGISTICS (SHENZHEN) CO., LTD.</t>
        </is>
      </c>
      <c r="CL6" s="96" t="inlineStr">
        <is>
          <t>CTI LOGISTICS (SHENZHEN) CO., LTD.</t>
        </is>
      </c>
      <c r="CM6" s="97" t="n"/>
      <c r="CN6" s="96" t="inlineStr">
        <is>
          <t>202610232359</t>
        </is>
      </c>
      <c r="CO6" s="96" t="inlineStr">
        <is>
          <t>202610212359</t>
        </is>
      </c>
      <c r="CP6" s="97" t="n"/>
      <c r="CQ6" s="96" t="inlineStr">
        <is>
          <t>S19-2211010</t>
        </is>
      </c>
      <c r="CR6" s="96" t="inlineStr">
        <is>
          <t>THTI8R</t>
        </is>
      </c>
      <c r="CS6" s="96" t="inlineStr">
        <is>
          <t>CTI LOGISTICS CO., LTD.</t>
        </is>
      </c>
      <c r="CT6" s="96" t="inlineStr">
        <is>
          <t>N</t>
        </is>
      </c>
      <c r="CU6" s="97" t="n"/>
      <c r="CV6" s="97" t="n"/>
      <c r="CW6" s="161" t="inlineStr">
        <is>
          <t>2026-10-22</t>
        </is>
      </c>
      <c r="CX6" s="97" t="n"/>
      <c r="CY6" s="183" t="n"/>
    </row>
    <row r="7" ht="12" customHeight="1">
      <c r="A7" s="116" t="inlineStr">
        <is>
          <t>HASLS22260902356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KTS1</t>
        </is>
      </c>
      <c r="M7" s="96" t="inlineStr">
        <is>
          <t>CMA</t>
        </is>
      </c>
      <c r="N7" s="96" t="inlineStr">
        <is>
          <t>2615N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2026-10-24</t>
        </is>
      </c>
      <c r="S7" s="96" t="inlineStr">
        <is>
          <t>CNSHK</t>
        </is>
      </c>
      <c r="T7" s="96" t="inlineStr">
        <is>
          <t>SHE04</t>
        </is>
      </c>
      <c r="U7" s="96" t="inlineStr">
        <is>
          <t>CNSHK</t>
        </is>
      </c>
      <c r="V7" s="161" t="inlineStr">
        <is>
          <t>2026-10-30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DIMERCO EXPRESS (THAILAND) CO., LTD.</t>
        </is>
      </c>
      <c r="AB7" s="96" t="inlineStr">
        <is>
          <t>THAIMAN INDUSTRIES CO., LTD.</t>
        </is>
      </c>
      <c r="AC7" s="163" t="n">
        <v>16812</v>
      </c>
      <c r="AD7" s="163" t="n">
        <v>20812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TBKK28</t>
        </is>
      </c>
      <c r="AN7" s="96" t="inlineStr">
        <is>
          <t>Nustsireerach</t>
        </is>
      </c>
      <c r="AO7" s="96" t="inlineStr">
        <is>
          <t>POLYAMIDE 66 TEXTURED YARN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2026-10-15, Return : 2026-10-16 (1ST RTN 17/10 W/O RENT) 
 CLS TIME 18/10 @12.00 </t>
        </is>
      </c>
      <c r="BA7" s="97" t="inlineStr">
        <is>
          <t xml:space="preserve">FM 2X40HC DD 06/10 
FM 1X40'HQ DD 24/09 </t>
        </is>
      </c>
      <c r="BB7" s="96" t="inlineStr">
        <is>
          <t>P</t>
        </is>
      </c>
      <c r="BC7" s="161" t="inlineStr">
        <is>
          <t>2026-09-24</t>
        </is>
      </c>
      <c r="BD7" s="161" t="inlineStr">
        <is>
          <t>2026-10-19</t>
        </is>
      </c>
      <c r="BE7" s="96" t="inlineStr">
        <is>
          <t>Y</t>
        </is>
      </c>
      <c r="BF7" s="96" t="inlineStr">
        <is>
          <t>POLYAMIDE 66 TEXTURED YARN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2026-10-15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oe_dimbkk@dimerco.com</t>
        </is>
      </c>
      <c r="CJ7" s="96" t="inlineStr">
        <is>
          <t>DIMERCO EXPRESS (THAILAND) CO.,LTD.</t>
        </is>
      </c>
      <c r="CK7" s="96" t="inlineStr">
        <is>
          <t>DIVERSIFIED INTERNATIONAL</t>
        </is>
      </c>
      <c r="CL7" s="96" t="inlineStr">
        <is>
          <t>DIVERSIFIED INTERNATIONAL</t>
        </is>
      </c>
      <c r="CM7" s="97" t="n"/>
      <c r="CN7" s="96" t="inlineStr">
        <is>
          <t>202610232359</t>
        </is>
      </c>
      <c r="CO7" s="96" t="inlineStr">
        <is>
          <t>202610212359</t>
        </is>
      </c>
      <c r="CP7" s="97" t="n"/>
      <c r="CQ7" s="96" t="inlineStr">
        <is>
          <t>S19-2307006</t>
        </is>
      </c>
      <c r="CR7" s="96" t="inlineStr">
        <is>
          <t>BB0164</t>
        </is>
      </c>
      <c r="CS7" s="96" t="inlineStr">
        <is>
          <t>DIMERCO EXPRESS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2026-10-21</t>
        </is>
      </c>
      <c r="CX7" s="97" t="n"/>
      <c r="CY7" s="183" t="n"/>
    </row>
    <row r="8" ht="12" customHeight="1">
      <c r="A8" s="116" t="inlineStr">
        <is>
          <t>HASLS22260902602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KTS1</t>
        </is>
      </c>
      <c r="M8" s="96" t="inlineStr">
        <is>
          <t>CMA</t>
        </is>
      </c>
      <c r="N8" s="96" t="inlineStr">
        <is>
          <t>2615N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2026-10-24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2026-10-29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ACE INTER FREIGHT CO., LTD.</t>
        </is>
      </c>
      <c r="AB8" s="96" t="inlineStr">
        <is>
          <t>SIAM FURUKAWA CO., LTD.</t>
        </is>
      </c>
      <c r="AC8" s="163" t="n">
        <v>12655.5</v>
      </c>
      <c r="AD8" s="163" t="n">
        <v>14855.5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n"/>
      <c r="AJ8" s="97" t="n"/>
      <c r="AK8" s="97" t="n"/>
      <c r="AL8" s="97" t="n"/>
      <c r="AM8" s="96" t="inlineStr">
        <is>
          <t>TH0011</t>
        </is>
      </c>
      <c r="AN8" s="96" t="inlineStr">
        <is>
          <t>Nannaapust Sukporntaweewat</t>
        </is>
      </c>
      <c r="AO8" s="96" t="inlineStr">
        <is>
          <t>AUTOMOTIVE BATTERIES 'FB' BRAND</t>
        </is>
      </c>
      <c r="AP8" s="96" t="inlineStr">
        <is>
          <t>Normal</t>
        </is>
      </c>
      <c r="AQ8" s="97" t="inlineStr">
        <is>
          <t>2794/8--</t>
        </is>
      </c>
      <c r="AR8" s="97" t="inlineStr">
        <is>
          <t xml:space="preserve">22GPx1 </t>
        </is>
      </c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 xml:space="preserve">APPROVAL BY Mr.Jeong-Yong UM DD.20/10/2026  DG22GPx1 (CLS 8 / UN 2794) 
Pickup : 2026-10-14, Return : 2026-10-15 </t>
        </is>
      </c>
      <c r="BA8" s="97" t="n"/>
      <c r="BB8" s="96" t="inlineStr">
        <is>
          <t>P</t>
        </is>
      </c>
      <c r="BC8" s="161" t="inlineStr">
        <is>
          <t>2026-09-28</t>
        </is>
      </c>
      <c r="BD8" s="161" t="inlineStr">
        <is>
          <t>2026-10-21</t>
        </is>
      </c>
      <c r="BE8" s="96" t="inlineStr">
        <is>
          <t>Y</t>
        </is>
      </c>
      <c r="BF8" s="96" t="inlineStr">
        <is>
          <t xml:space="preserve">WET BATTERIES  DG CARGO 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2026-10-14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8 Class x 1 Teu (Approval),</t>
        </is>
      </c>
      <c r="CG8" s="96" t="inlineStr">
        <is>
          <t>CY/CY</t>
        </is>
      </c>
      <c r="CH8" s="97" t="n"/>
      <c r="CI8" s="96" t="inlineStr">
        <is>
          <t>mkt@aceinterfreight.com</t>
        </is>
      </c>
      <c r="CJ8" s="96" t="inlineStr">
        <is>
          <t>SIAM FURUKAWA CO., LTD</t>
        </is>
      </c>
      <c r="CK8" s="96" t="inlineStr">
        <is>
          <t>SIU KWONG HONG LTD.</t>
        </is>
      </c>
      <c r="CL8" s="96" t="inlineStr">
        <is>
          <t>SIU KWONG HONG LTD.</t>
        </is>
      </c>
      <c r="CM8" s="97" t="n"/>
      <c r="CN8" s="96" t="inlineStr">
        <is>
          <t>202610232359</t>
        </is>
      </c>
      <c r="CO8" s="96" t="inlineStr">
        <is>
          <t>202610212359</t>
        </is>
      </c>
      <c r="CP8" s="97" t="inlineStr">
        <is>
          <t>22GP x1: DG(UNNo.:2794/ Class:8)</t>
        </is>
      </c>
      <c r="CQ8" s="96" t="inlineStr">
        <is>
          <t>S22-2405045</t>
        </is>
      </c>
      <c r="CR8" s="96" t="inlineStr">
        <is>
          <t>TH049M</t>
        </is>
      </c>
      <c r="CS8" s="96" t="inlineStr">
        <is>
          <t>ACE INTER FREIGHT CO., LTD.</t>
        </is>
      </c>
      <c r="CT8" s="96" t="inlineStr">
        <is>
          <t>N</t>
        </is>
      </c>
      <c r="CU8" s="97" t="n"/>
      <c r="CV8" s="97" t="n"/>
      <c r="CW8" s="161" t="inlineStr">
        <is>
          <t>2026-10-17</t>
        </is>
      </c>
      <c r="CX8" s="97" t="n"/>
      <c r="CY8" s="183" t="n"/>
    </row>
    <row r="9" ht="12" customHeight="1">
      <c r="A9" s="116" t="inlineStr">
        <is>
          <t>HASLS22260902618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KTS1</t>
        </is>
      </c>
      <c r="M9" s="96" t="inlineStr">
        <is>
          <t>CMA</t>
        </is>
      </c>
      <c r="N9" s="96" t="inlineStr">
        <is>
          <t>2615N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2026-10-24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2026-10-29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KUEHNE + NAGEL LIMITED</t>
        </is>
      </c>
      <c r="AB9" s="96" t="inlineStr">
        <is>
          <t>CITY FARM INTERFOOD CO., LTD.</t>
        </is>
      </c>
      <c r="AC9" s="163" t="n">
        <v>18513</v>
      </c>
      <c r="AD9" s="163" t="n">
        <v>20713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HHKG28</t>
        </is>
      </c>
      <c r="AN9" s="96" t="inlineStr">
        <is>
          <t>Orinda Wong</t>
        </is>
      </c>
      <c r="AO9" s="96" t="inlineStr">
        <is>
          <t>COCONUT WATER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2026-10-17, Return : 2026-10-18 </t>
        </is>
      </c>
      <c r="BA9" s="97" t="inlineStr">
        <is>
          <t>SI DD.19/10/26</t>
        </is>
      </c>
      <c r="BB9" s="96" t="inlineStr">
        <is>
          <t>C</t>
        </is>
      </c>
      <c r="BC9" s="161" t="inlineStr">
        <is>
          <t>2026-09-29</t>
        </is>
      </c>
      <c r="BD9" s="161" t="inlineStr">
        <is>
          <t>2026-10-21</t>
        </is>
      </c>
      <c r="BE9" s="96" t="inlineStr">
        <is>
          <t>Y</t>
        </is>
      </c>
      <c r="BF9" s="96" t="inlineStr">
        <is>
          <t>CANNED COCONUT WATER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2026-10-17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jidapa.nakjan@kuehne-nagel.com</t>
        </is>
      </c>
      <c r="CJ9" s="96" t="inlineStr">
        <is>
          <t>KUEHNE + NAGEL LIMITED</t>
        </is>
      </c>
      <c r="CK9" s="96" t="inlineStr">
        <is>
          <t>KUEHNE &amp; NAGEL LTD</t>
        </is>
      </c>
      <c r="CL9" s="96" t="inlineStr">
        <is>
          <t>KUEHNE &amp; NAGEL LTD</t>
        </is>
      </c>
      <c r="CM9" s="97" t="n"/>
      <c r="CN9" s="96" t="inlineStr">
        <is>
          <t>202610232359</t>
        </is>
      </c>
      <c r="CO9" s="96" t="inlineStr">
        <is>
          <t>202610212359</t>
        </is>
      </c>
      <c r="CP9" s="97" t="n"/>
      <c r="CQ9" s="96" t="inlineStr">
        <is>
          <t>C08-2507001</t>
        </is>
      </c>
      <c r="CR9" s="96" t="inlineStr">
        <is>
          <t>TH01FF</t>
        </is>
      </c>
      <c r="CS9" s="96" t="inlineStr">
        <is>
          <t>KUEHNE + NAGEL LIMITED</t>
        </is>
      </c>
      <c r="CT9" s="96" t="inlineStr">
        <is>
          <t>N</t>
        </is>
      </c>
      <c r="CU9" s="97" t="n"/>
      <c r="CV9" s="97" t="n"/>
      <c r="CW9" s="161" t="inlineStr">
        <is>
          <t>2026-10-22</t>
        </is>
      </c>
      <c r="CX9" s="97" t="n"/>
      <c r="CY9" s="183" t="n"/>
    </row>
    <row r="10" ht="12" customHeight="1">
      <c r="A10" s="116" t="inlineStr">
        <is>
          <t>HASLS22260902706</t>
        </is>
      </c>
      <c r="B10" s="96" t="inlineStr">
        <is>
          <t>R40Hx1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KTS1</t>
        </is>
      </c>
      <c r="M10" s="96" t="inlineStr">
        <is>
          <t>CMA</t>
        </is>
      </c>
      <c r="N10" s="96" t="inlineStr">
        <is>
          <t>2615N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2026-10-24</t>
        </is>
      </c>
      <c r="S10" s="96" t="inlineStr">
        <is>
          <t>RUVVO</t>
        </is>
      </c>
      <c r="T10" s="96" t="inlineStr">
        <is>
          <t>VVO01</t>
        </is>
      </c>
      <c r="U10" s="96" t="inlineStr">
        <is>
          <t>RUVVO</t>
        </is>
      </c>
      <c r="V10" s="161" t="inlineStr">
        <is>
          <t>2026-11-06</t>
        </is>
      </c>
      <c r="W10" s="96" t="inlineStr">
        <is>
          <t>RU</t>
        </is>
      </c>
      <c r="X10" s="97" t="n"/>
      <c r="Y10" s="97" t="inlineStr">
        <is>
          <t>PUSH4</t>
        </is>
      </c>
      <c r="Z10" s="97" t="inlineStr">
        <is>
          <t>KRPUS</t>
        </is>
      </c>
      <c r="AA10" s="96" t="inlineStr">
        <is>
          <t>THAI AGRI FOODS PUBLIC COMPANY LIMITED</t>
        </is>
      </c>
      <c r="AB10" s="96" t="inlineStr">
        <is>
          <t>THAI AGRI FOODS PUBLIC COMPANY LIMITED</t>
        </is>
      </c>
      <c r="AC10" s="163" t="n">
        <v>26611.12</v>
      </c>
      <c r="AD10" s="163" t="n">
        <v>30611.12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RUVO17</t>
        </is>
      </c>
      <c r="AN10" s="96" t="inlineStr">
        <is>
          <t>Insuk Heo</t>
        </is>
      </c>
      <c r="AO10" s="96" t="inlineStr">
        <is>
          <t>CANNED TOM YUM SOUP AROY-D</t>
        </is>
      </c>
      <c r="AP10" s="96" t="inlineStr">
        <is>
          <t>T/S</t>
        </is>
      </c>
      <c r="AQ10" s="97" t="n"/>
      <c r="AR10" s="97" t="n"/>
      <c r="AS10" s="97" t="inlineStr">
        <is>
          <t>RF// MIN:+10.0 MAX:+10.0 [COVER:CLOSE]</t>
        </is>
      </c>
      <c r="AT10" s="97" t="inlineStr">
        <is>
          <t xml:space="preserve">45REx1 </t>
        </is>
      </c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Pickup : 2026-10-17, Return : 2026-10-19 (Temp +10.0 / Vent Close) 
 CLS TIME 20/10 @15.00 [1ST RTN 19/10 W/O RENT &amp; ELECTRIC] </t>
        </is>
      </c>
      <c r="BA10" s="97" t="inlineStr">
        <is>
          <t>SI DD.19/10/26</t>
        </is>
      </c>
      <c r="BB10" s="96" t="inlineStr">
        <is>
          <t>C</t>
        </is>
      </c>
      <c r="BC10" s="161" t="inlineStr">
        <is>
          <t>2026-09-29</t>
        </is>
      </c>
      <c r="BD10" s="161" t="inlineStr">
        <is>
          <t>2026-10-19</t>
        </is>
      </c>
      <c r="BE10" s="96" t="inlineStr">
        <is>
          <t>Y</t>
        </is>
      </c>
      <c r="BF10" s="96" t="inlineStr">
        <is>
          <t>TOM YUM SOUP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2026-10-17</t>
        </is>
      </c>
      <c r="BM10" s="127" t="n"/>
      <c r="BN10" s="127" t="n"/>
      <c r="BO10" s="127" t="n"/>
      <c r="BP10" s="127" t="n"/>
      <c r="BQ10" s="127" t="n"/>
      <c r="BR10" s="127" t="n">
        <v>1</v>
      </c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>
        <v>1</v>
      </c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inlineStr">
        <is>
          <t>POL: THBKK [CMA/2615N]; T/S(1st): KRPUS [SDTR/2631N]; POD: RUVVO [/]</t>
        </is>
      </c>
      <c r="CI10" s="96" t="inlineStr">
        <is>
          <t>chalearmporn.pu@thaiagri.com</t>
        </is>
      </c>
      <c r="CJ10" s="96" t="inlineStr">
        <is>
          <t>THAI AGRI FOODS PUBLIC COMPANY</t>
        </is>
      </c>
      <c r="CK10" s="96" t="inlineStr">
        <is>
          <t>EXIM PACIFIC LLC. RUSSIA,</t>
        </is>
      </c>
      <c r="CL10" s="96" t="inlineStr">
        <is>
          <t>EXIM PACIFIC LLC. RUSSIA,</t>
        </is>
      </c>
      <c r="CM10" s="97" t="n"/>
      <c r="CN10" s="96" t="inlineStr">
        <is>
          <t>202610232359</t>
        </is>
      </c>
      <c r="CO10" s="96" t="inlineStr">
        <is>
          <t>202610212359</t>
        </is>
      </c>
      <c r="CP10" s="97" t="inlineStr">
        <is>
          <t>45RE x1: RF(Temp:+10.0' / Cover:CLOSE)</t>
        </is>
      </c>
      <c r="CQ10" s="96" t="inlineStr">
        <is>
          <t>R01-2604022</t>
        </is>
      </c>
      <c r="CR10" s="96" t="inlineStr">
        <is>
          <t>THTLH8</t>
        </is>
      </c>
      <c r="CS10" s="96" t="inlineStr">
        <is>
          <t>THAI AGRI FOODS PUBLIC COMPANY LIMITED</t>
        </is>
      </c>
      <c r="CT10" s="96" t="inlineStr">
        <is>
          <t>N</t>
        </is>
      </c>
      <c r="CU10" s="97" t="n"/>
      <c r="CV10" s="97" t="n"/>
      <c r="CW10" s="161" t="inlineStr">
        <is>
          <t>2026-10-22</t>
        </is>
      </c>
      <c r="CX10" s="97" t="inlineStr">
        <is>
          <t>210390</t>
        </is>
      </c>
      <c r="CY10" s="183" t="n"/>
    </row>
    <row r="11" ht="12" customHeight="1">
      <c r="A11" s="116" t="inlineStr">
        <is>
          <t>HASLS22260902708</t>
        </is>
      </c>
      <c r="B11" s="96" t="inlineStr">
        <is>
          <t>R40Hx1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KTS1</t>
        </is>
      </c>
      <c r="M11" s="96" t="inlineStr">
        <is>
          <t>CMA</t>
        </is>
      </c>
      <c r="N11" s="96" t="inlineStr">
        <is>
          <t>2615N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2026-10-24</t>
        </is>
      </c>
      <c r="S11" s="96" t="inlineStr">
        <is>
          <t>RUVVO</t>
        </is>
      </c>
      <c r="T11" s="96" t="inlineStr">
        <is>
          <t>VVO01</t>
        </is>
      </c>
      <c r="U11" s="96" t="inlineStr">
        <is>
          <t>RUVVO</t>
        </is>
      </c>
      <c r="V11" s="161" t="inlineStr">
        <is>
          <t>2026-11-06</t>
        </is>
      </c>
      <c r="W11" s="96" t="inlineStr">
        <is>
          <t>RU</t>
        </is>
      </c>
      <c r="X11" s="97" t="n"/>
      <c r="Y11" s="97" t="inlineStr">
        <is>
          <t>PUSH4</t>
        </is>
      </c>
      <c r="Z11" s="97" t="inlineStr">
        <is>
          <t>KRPUS</t>
        </is>
      </c>
      <c r="AA11" s="96" t="inlineStr">
        <is>
          <t>THAI AGRI FOODS PUBLIC COMPANY LIMITED</t>
        </is>
      </c>
      <c r="AB11" s="96" t="inlineStr">
        <is>
          <t>THAI AGRI FOODS PUBLIC COMPANY LIMITED</t>
        </is>
      </c>
      <c r="AC11" s="163" t="n">
        <v>26574.4</v>
      </c>
      <c r="AD11" s="163" t="n">
        <v>30574.4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RUVO17</t>
        </is>
      </c>
      <c r="AN11" s="96" t="inlineStr">
        <is>
          <t>Insuk Heo</t>
        </is>
      </c>
      <c r="AO11" s="96" t="inlineStr">
        <is>
          <t>TOM YUM PASTE AROY-D</t>
        </is>
      </c>
      <c r="AP11" s="96" t="inlineStr">
        <is>
          <t>T/S</t>
        </is>
      </c>
      <c r="AQ11" s="97" t="n"/>
      <c r="AR11" s="97" t="n"/>
      <c r="AS11" s="97" t="inlineStr">
        <is>
          <t>RF// MIN:+10.0 MAX:+10.0 [COVER:CLOSE]</t>
        </is>
      </c>
      <c r="AT11" s="97" t="inlineStr">
        <is>
          <t xml:space="preserve">45REx1 </t>
        </is>
      </c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2026-10-17, Return : 2026-10-19  (Temp +10.0 / Vent Close) 
CLS TIME 20/10/26 @23.59</t>
        </is>
      </c>
      <c r="BA11" s="97" t="inlineStr">
        <is>
          <t>SI DD.19/10/26</t>
        </is>
      </c>
      <c r="BB11" s="96" t="inlineStr">
        <is>
          <t>C</t>
        </is>
      </c>
      <c r="BC11" s="161" t="inlineStr">
        <is>
          <t>2026-09-29</t>
        </is>
      </c>
      <c r="BD11" s="161" t="inlineStr">
        <is>
          <t>2026-10-21</t>
        </is>
      </c>
      <c r="BE11" s="96" t="inlineStr">
        <is>
          <t>Y</t>
        </is>
      </c>
      <c r="BF11" s="96" t="inlineStr">
        <is>
          <t>TOM YUM PASTE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2026-10-17</t>
        </is>
      </c>
      <c r="BM11" s="127" t="n"/>
      <c r="BN11" s="127" t="n"/>
      <c r="BO11" s="127" t="n"/>
      <c r="BP11" s="127" t="n"/>
      <c r="BQ11" s="127" t="n"/>
      <c r="BR11" s="127" t="n">
        <v>1</v>
      </c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1</v>
      </c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THBKK [CMA/2615N]; T/S(1st): KRPUS [SDTR/2631N]; POD: RUVVO [/]</t>
        </is>
      </c>
      <c r="CI11" s="96" t="inlineStr">
        <is>
          <t>chalearmporn.pu@thaiagri.com</t>
        </is>
      </c>
      <c r="CJ11" s="96" t="inlineStr">
        <is>
          <t>THAI AGRI FOODS PUBLIC COMPANY</t>
        </is>
      </c>
      <c r="CK11" s="96" t="inlineStr">
        <is>
          <t>EXIM PACIFIC LLC. RUSSIA,</t>
        </is>
      </c>
      <c r="CL11" s="96" t="inlineStr">
        <is>
          <t>EXIM PACIFIC LLC. RUSSIA,</t>
        </is>
      </c>
      <c r="CM11" s="97" t="n"/>
      <c r="CN11" s="96" t="inlineStr">
        <is>
          <t>202610232359</t>
        </is>
      </c>
      <c r="CO11" s="96" t="inlineStr">
        <is>
          <t>202610212359</t>
        </is>
      </c>
      <c r="CP11" s="97" t="inlineStr">
        <is>
          <t>45RE x1: RF(Temp:+10.0' / Cover:CLOSE)</t>
        </is>
      </c>
      <c r="CQ11" s="96" t="inlineStr">
        <is>
          <t>R01-2604022</t>
        </is>
      </c>
      <c r="CR11" s="96" t="inlineStr">
        <is>
          <t>THTLH8</t>
        </is>
      </c>
      <c r="CS11" s="96" t="inlineStr">
        <is>
          <t>THAI AGRI FOODS PUBLIC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2026-10-22</t>
        </is>
      </c>
      <c r="CX11" s="97" t="inlineStr">
        <is>
          <t>210390</t>
        </is>
      </c>
      <c r="CY11" s="183" t="n"/>
    </row>
    <row r="12" ht="12" customHeight="1">
      <c r="A12" s="116" t="inlineStr">
        <is>
          <t>HASLS22260902714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KTS1</t>
        </is>
      </c>
      <c r="M12" s="96" t="inlineStr">
        <is>
          <t>CMA</t>
        </is>
      </c>
      <c r="N12" s="96" t="inlineStr">
        <is>
          <t>2615N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2026-10-24</t>
        </is>
      </c>
      <c r="S12" s="96" t="inlineStr">
        <is>
          <t>RUVVO</t>
        </is>
      </c>
      <c r="T12" s="96" t="inlineStr">
        <is>
          <t>VVO01</t>
        </is>
      </c>
      <c r="U12" s="96" t="inlineStr">
        <is>
          <t>RUVVO</t>
        </is>
      </c>
      <c r="V12" s="161" t="inlineStr">
        <is>
          <t>2026-11-11</t>
        </is>
      </c>
      <c r="W12" s="96" t="inlineStr">
        <is>
          <t>RU</t>
        </is>
      </c>
      <c r="X12" s="97" t="n"/>
      <c r="Y12" s="97" t="inlineStr">
        <is>
          <t>PUSH4</t>
        </is>
      </c>
      <c r="Z12" s="97" t="inlineStr">
        <is>
          <t>KRPUS</t>
        </is>
      </c>
      <c r="AA12" s="96" t="inlineStr">
        <is>
          <t>THAI AGRI FOODS PUBLIC COMPANY LIMITED</t>
        </is>
      </c>
      <c r="AB12" s="96" t="inlineStr">
        <is>
          <t>THAI AGRI FOODS PUBLIC COMPANY LIMITED</t>
        </is>
      </c>
      <c r="AC12" s="163" t="n">
        <v>19814.5</v>
      </c>
      <c r="AD12" s="163" t="n">
        <v>22014.5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RUVO38</t>
        </is>
      </c>
      <c r="AN12" s="96" t="inlineStr">
        <is>
          <t>ANNA MARS</t>
        </is>
      </c>
      <c r="AO12" s="96" t="inlineStr">
        <is>
          <t>SWEET CHILLI SAUCE FOR CHICKEN</t>
        </is>
      </c>
      <c r="AP12" s="96" t="inlineStr">
        <is>
          <t>T/S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[FIX][FIX]CMA/2615N/11/01[FIX] Pickup : 2026-10-17, Return : 2026-10-19</t>
        </is>
      </c>
      <c r="BA12" s="97" t="inlineStr">
        <is>
          <t>SI DD.19/10/26</t>
        </is>
      </c>
      <c r="BB12" s="96" t="inlineStr">
        <is>
          <t>C</t>
        </is>
      </c>
      <c r="BC12" s="161" t="inlineStr">
        <is>
          <t>2026-09-29</t>
        </is>
      </c>
      <c r="BD12" s="161" t="inlineStr">
        <is>
          <t>2026-10-21</t>
        </is>
      </c>
      <c r="BE12" s="96" t="inlineStr">
        <is>
          <t>Y</t>
        </is>
      </c>
      <c r="BF12" s="96" t="inlineStr">
        <is>
          <t>SWEET CHILLI SAUCE FOR CHICKEN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2026-10-17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6</v>
      </c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inlineStr">
        <is>
          <t>POL: THBKK [CMA/2615N]; T/S(1st): KRPUS [SWTD/9020N]; POD: RUVVO [/]</t>
        </is>
      </c>
      <c r="CI12" s="96" t="inlineStr">
        <is>
          <t>chalearmporn.pu@thaiagri.com</t>
        </is>
      </c>
      <c r="CJ12" s="96" t="inlineStr">
        <is>
          <t>THAI AGRI FOODS PUBLIC COMPANY</t>
        </is>
      </c>
      <c r="CK12" s="96" t="inlineStr">
        <is>
          <t>EXIM PACIFIC LLC. RUSSIA,</t>
        </is>
      </c>
      <c r="CL12" s="96" t="inlineStr">
        <is>
          <t>EXIM PACIFIC LLC. RUSSIA,</t>
        </is>
      </c>
      <c r="CM12" s="97" t="n"/>
      <c r="CN12" s="96" t="inlineStr">
        <is>
          <t>202610232359</t>
        </is>
      </c>
      <c r="CO12" s="96" t="inlineStr">
        <is>
          <t>202610212359</t>
        </is>
      </c>
      <c r="CP12" s="97" t="n"/>
      <c r="CQ12" s="96" t="inlineStr">
        <is>
          <t>R01-2411002</t>
        </is>
      </c>
      <c r="CR12" s="96" t="inlineStr">
        <is>
          <t>THTLH8</t>
        </is>
      </c>
      <c r="CS12" s="96" t="inlineStr">
        <is>
          <t>THAI AGRI FOODS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2026-10-22</t>
        </is>
      </c>
      <c r="CX12" s="97" t="inlineStr">
        <is>
          <t>210390</t>
        </is>
      </c>
      <c r="CY12" s="183" t="n"/>
    </row>
    <row r="13" ht="12" customHeight="1">
      <c r="A13" s="116" t="inlineStr">
        <is>
          <t>HASLS22260902753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KTS1</t>
        </is>
      </c>
      <c r="M13" s="96" t="inlineStr">
        <is>
          <t>CMA</t>
        </is>
      </c>
      <c r="N13" s="96" t="inlineStr">
        <is>
          <t>2615N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2026-10-24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2026-10-29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YUSEN LOGISTICS (THAILAND) CO., LTD.</t>
        </is>
      </c>
      <c r="AB13" s="96" t="inlineStr">
        <is>
          <t>SUREE INTERFOODS CO., LTD.</t>
        </is>
      </c>
      <c r="AC13" s="163" t="n">
        <v>6769</v>
      </c>
      <c r="AD13" s="163" t="n">
        <v>8969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n"/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FOODSTUFFS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2026-10-14, Return : 2026-10-15</t>
        </is>
      </c>
      <c r="BA13" s="97" t="inlineStr">
        <is>
          <t>Good dry and clean container</t>
        </is>
      </c>
      <c r="BB13" s="96" t="inlineStr">
        <is>
          <t>P</t>
        </is>
      </c>
      <c r="BC13" s="161" t="inlineStr">
        <is>
          <t>2026-09-30</t>
        </is>
      </c>
      <c r="BD13" s="161" t="inlineStr">
        <is>
          <t>2026-10-19</t>
        </is>
      </c>
      <c r="BE13" s="96" t="inlineStr">
        <is>
          <t>Y</t>
        </is>
      </c>
      <c r="BF13" s="96" t="inlineStr">
        <is>
          <t>FOODSTUFFS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2026-10-14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JIRAWAT.H@th.yusen-logistics.com</t>
        </is>
      </c>
      <c r="CJ13" s="96" t="inlineStr">
        <is>
          <t>YUSEN LOGISTICS (THAILAND) CO., LTD</t>
        </is>
      </c>
      <c r="CK13" s="96" t="inlineStr">
        <is>
          <t>YUSEN LOGISTICS (HONG KONG) LTD.</t>
        </is>
      </c>
      <c r="CL13" s="96" t="inlineStr">
        <is>
          <t>YUSEN LOGISTICS (HONG KONG) LTD.</t>
        </is>
      </c>
      <c r="CM13" s="97" t="n"/>
      <c r="CN13" s="96" t="inlineStr">
        <is>
          <t>202610232359</t>
        </is>
      </c>
      <c r="CO13" s="96" t="inlineStr">
        <is>
          <t>202610212359</t>
        </is>
      </c>
      <c r="CP13" s="97" t="n"/>
      <c r="CQ13" s="96" t="inlineStr">
        <is>
          <t>S19-2112038</t>
        </is>
      </c>
      <c r="CR13" s="96" t="inlineStr">
        <is>
          <t>TH03TL</t>
        </is>
      </c>
      <c r="CS13" s="96" t="inlineStr">
        <is>
          <t>YUSEN LOGISTICS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2026-10-17</t>
        </is>
      </c>
      <c r="CX13" s="97" t="n"/>
      <c r="CY13" s="183" t="n"/>
    </row>
    <row r="14" ht="12" customHeight="1">
      <c r="A14" s="116" t="inlineStr">
        <is>
          <t>HASLS22261000780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KTS1</t>
        </is>
      </c>
      <c r="M14" s="96" t="inlineStr">
        <is>
          <t>CMA</t>
        </is>
      </c>
      <c r="N14" s="96" t="inlineStr">
        <is>
          <t>2615N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2026-10-24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2026-10-29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YUSEN LOGISTICS (THAILAND) CO., LTD.</t>
        </is>
      </c>
      <c r="AB14" s="96" t="inlineStr">
        <is>
          <t>TOMY (THAILAND) LTD.</t>
        </is>
      </c>
      <c r="AC14" s="163" t="n">
        <v>1998.4</v>
      </c>
      <c r="AD14" s="163" t="n">
        <v>4198.4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n"/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>PLASTIC TOYS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 xml:space="preserve">Pickup : 2026-10-17, Return : 2026-10-19 </t>
        </is>
      </c>
      <c r="BA14" s="97" t="n"/>
      <c r="BB14" s="96" t="inlineStr">
        <is>
          <t>P</t>
        </is>
      </c>
      <c r="BC14" s="161" t="inlineStr">
        <is>
          <t>2026-10-09</t>
        </is>
      </c>
      <c r="BD14" s="161" t="inlineStr">
        <is>
          <t>2026-10-21</t>
        </is>
      </c>
      <c r="BE14" s="96" t="inlineStr">
        <is>
          <t>Y</t>
        </is>
      </c>
      <c r="BF14" s="96" t="inlineStr">
        <is>
          <t>PLASTIC TOYS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2026-10-17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JIRAWAT.H@th.yusen-logistics.com</t>
        </is>
      </c>
      <c r="CJ14" s="96" t="inlineStr">
        <is>
          <t>YUSEN LOGISTICS (THAILAND) CO., LTD</t>
        </is>
      </c>
      <c r="CK14" s="96" t="inlineStr">
        <is>
          <t>YUSEN LOGISTICS (HONG KONG) LTD.</t>
        </is>
      </c>
      <c r="CL14" s="96" t="inlineStr">
        <is>
          <t>YUSEN LOGISTICS (HONG KONG) LTD.</t>
        </is>
      </c>
      <c r="CM14" s="97" t="n"/>
      <c r="CN14" s="96" t="inlineStr">
        <is>
          <t>202610232359</t>
        </is>
      </c>
      <c r="CO14" s="96" t="inlineStr">
        <is>
          <t>202610212359</t>
        </is>
      </c>
      <c r="CP14" s="97" t="n"/>
      <c r="CQ14" s="96" t="inlineStr">
        <is>
          <t>S19-2112038</t>
        </is>
      </c>
      <c r="CR14" s="96" t="inlineStr">
        <is>
          <t>TH03TL</t>
        </is>
      </c>
      <c r="CS14" s="96" t="inlineStr">
        <is>
          <t>YUSEN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2026-10-23</t>
        </is>
      </c>
      <c r="CX14" s="97" t="n"/>
      <c r="CY14" s="183" t="n"/>
    </row>
    <row r="15" ht="12" customHeight="1">
      <c r="A15" s="116" t="inlineStr">
        <is>
          <t>HASLS22261000781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KTS1</t>
        </is>
      </c>
      <c r="M15" s="96" t="inlineStr">
        <is>
          <t>CMA</t>
        </is>
      </c>
      <c r="N15" s="96" t="inlineStr">
        <is>
          <t>2615N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2026-10-24</t>
        </is>
      </c>
      <c r="S15" s="96" t="inlineStr">
        <is>
          <t>CNSHK</t>
        </is>
      </c>
      <c r="T15" s="96" t="inlineStr">
        <is>
          <t>SHE04</t>
        </is>
      </c>
      <c r="U15" s="96" t="inlineStr">
        <is>
          <t>CNSHK</t>
        </is>
      </c>
      <c r="V15" s="161" t="inlineStr">
        <is>
          <t>2026-10-30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SAVINO DEL BENE (THAILAND) LTD.</t>
        </is>
      </c>
      <c r="AB15" s="96" t="inlineStr">
        <is>
          <t>CHENGTEH CHINAWARE (THAILAND) CO., LTD.</t>
        </is>
      </c>
      <c r="AC15" s="163" t="n">
        <v>2175.36</v>
      </c>
      <c r="AD15" s="163" t="n">
        <v>4375.36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TBKK28</t>
        </is>
      </c>
      <c r="AN15" s="96" t="inlineStr">
        <is>
          <t>Nustsireerach</t>
        </is>
      </c>
      <c r="AO15" s="96" t="inlineStr">
        <is>
          <t>STONEWARE (CERAMIC)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2026-10-16, Return : 2026-10-19</t>
        </is>
      </c>
      <c r="BA15" s="97" t="inlineStr">
        <is>
          <t>SURRENDER</t>
        </is>
      </c>
      <c r="BB15" s="96" t="inlineStr">
        <is>
          <t>P</t>
        </is>
      </c>
      <c r="BC15" s="161" t="inlineStr">
        <is>
          <t>2026-10-09</t>
        </is>
      </c>
      <c r="BD15" s="161" t="inlineStr">
        <is>
          <t>2026-10-22</t>
        </is>
      </c>
      <c r="BE15" s="96" t="inlineStr">
        <is>
          <t>Y</t>
        </is>
      </c>
      <c r="BF15" s="96" t="inlineStr">
        <is>
          <t>STONEWARE (CERAMIC)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2026-10-16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kanyarat.limvichien@savinodelbene.com</t>
        </is>
      </c>
      <c r="CJ15" s="96" t="inlineStr">
        <is>
          <t>SAVINO DEL BENE (THAILAND) LTD</t>
        </is>
      </c>
      <c r="CK15" s="96" t="inlineStr">
        <is>
          <t>SAVINO DEL BENE (SHANGHAI) CO.LTD.</t>
        </is>
      </c>
      <c r="CL15" s="96" t="inlineStr">
        <is>
          <t>SAVINO DEL BENE (SHANGHAI) CO.LTD.</t>
        </is>
      </c>
      <c r="CM15" s="97" t="n"/>
      <c r="CN15" s="96" t="inlineStr">
        <is>
          <t>202610232359</t>
        </is>
      </c>
      <c r="CO15" s="96" t="inlineStr">
        <is>
          <t>202610212359</t>
        </is>
      </c>
      <c r="CP15" s="97" t="n"/>
      <c r="CQ15" s="96" t="inlineStr">
        <is>
          <t>S22-2310007</t>
        </is>
      </c>
      <c r="CR15" s="96" t="inlineStr">
        <is>
          <t>BB0742</t>
        </is>
      </c>
      <c r="CS15" s="96" t="inlineStr">
        <is>
          <t>SAVINO DEL BENE (THAILAND) LTD.</t>
        </is>
      </c>
      <c r="CT15" s="96" t="inlineStr">
        <is>
          <t>N</t>
        </is>
      </c>
      <c r="CU15" s="97" t="n"/>
      <c r="CV15" s="97" t="n"/>
      <c r="CW15" s="161" t="inlineStr">
        <is>
          <t>2026-10-22</t>
        </is>
      </c>
      <c r="CX15" s="97" t="n"/>
      <c r="CY15" s="183" t="n"/>
    </row>
    <row r="16" ht="12" customHeight="1">
      <c r="A16" s="116" t="inlineStr">
        <is>
          <t>HASLS22261000811</t>
        </is>
      </c>
      <c r="B16" s="96" t="inlineStr">
        <is>
          <t>40Hx1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0</v>
      </c>
      <c r="H16" s="97" t="n">
        <v>0</v>
      </c>
      <c r="I16" s="97" t="n">
        <v>1</v>
      </c>
      <c r="J16" s="97" t="n">
        <v>2</v>
      </c>
      <c r="K16" s="96" t="inlineStr">
        <is>
          <t>N</t>
        </is>
      </c>
      <c r="L16" s="96" t="inlineStr">
        <is>
          <t>KTS1</t>
        </is>
      </c>
      <c r="M16" s="96" t="inlineStr">
        <is>
          <t>CMA</t>
        </is>
      </c>
      <c r="N16" s="96" t="inlineStr">
        <is>
          <t>2615N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2026-10-24</t>
        </is>
      </c>
      <c r="S16" s="96" t="inlineStr">
        <is>
          <t>CNSHK</t>
        </is>
      </c>
      <c r="T16" s="96" t="inlineStr">
        <is>
          <t>SHE04</t>
        </is>
      </c>
      <c r="U16" s="96" t="inlineStr">
        <is>
          <t>CNSHK</t>
        </is>
      </c>
      <c r="V16" s="161" t="inlineStr">
        <is>
          <t>2026-10-30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CTI LOGISTICS CO., LTD.</t>
        </is>
      </c>
      <c r="AB16" s="96" t="inlineStr">
        <is>
          <t>NMB-MINEBEA THAI LTD.</t>
        </is>
      </c>
      <c r="AC16" s="163" t="n">
        <v>9816.23</v>
      </c>
      <c r="AD16" s="163" t="n">
        <v>13816.23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TBKK55</t>
        </is>
      </c>
      <c r="AN16" s="96" t="inlineStr">
        <is>
          <t>Vilaiporn</t>
        </is>
      </c>
      <c r="AO16" s="96" t="inlineStr">
        <is>
          <t>BALL BEARING,STEPPING MOTOR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Pickup : 2026-10-19, Return : 2026-10-19</t>
        </is>
      </c>
      <c r="BA16" s="97" t="inlineStr">
        <is>
          <t>SPLIT FM BKG : HASLS22260902127REQUEST CLEAN CONTAINER</t>
        </is>
      </c>
      <c r="BB16" s="96" t="inlineStr">
        <is>
          <t>P</t>
        </is>
      </c>
      <c r="BC16" s="161" t="inlineStr">
        <is>
          <t>2026-10-09</t>
        </is>
      </c>
      <c r="BD16" s="161" t="inlineStr">
        <is>
          <t>2026-10-19</t>
        </is>
      </c>
      <c r="BE16" s="96" t="inlineStr">
        <is>
          <t>Y</t>
        </is>
      </c>
      <c r="BF16" s="96" t="inlineStr">
        <is>
          <t>BALL BEARING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2026-10-19</t>
        </is>
      </c>
      <c r="BM16" s="127" t="n"/>
      <c r="BN16" s="127" t="n"/>
      <c r="BO16" s="127" t="n"/>
      <c r="BP16" s="127" t="n">
        <v>1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malin@ctibkk.com</t>
        </is>
      </c>
      <c r="CJ16" s="96" t="inlineStr">
        <is>
          <t>CTI LOGISTICS CO., LTD.</t>
        </is>
      </c>
      <c r="CK16" s="96" t="inlineStr">
        <is>
          <t>CTI LOGISTICS (SHENZHEN) CO., LTD.</t>
        </is>
      </c>
      <c r="CL16" s="96" t="inlineStr">
        <is>
          <t>CTI LOGISTICS (SHENZHEN) CO., LTD.</t>
        </is>
      </c>
      <c r="CM16" s="97" t="n"/>
      <c r="CN16" s="96" t="inlineStr">
        <is>
          <t>202610232359</t>
        </is>
      </c>
      <c r="CO16" s="96" t="inlineStr">
        <is>
          <t>202610212359</t>
        </is>
      </c>
      <c r="CP16" s="97" t="n"/>
      <c r="CQ16" s="96" t="inlineStr">
        <is>
          <t>S19-2211010</t>
        </is>
      </c>
      <c r="CR16" s="96" t="inlineStr">
        <is>
          <t>THTI8R</t>
        </is>
      </c>
      <c r="CS16" s="96" t="inlineStr">
        <is>
          <t>CTI LOGISTICS CO., LTD.</t>
        </is>
      </c>
      <c r="CT16" s="96" t="inlineStr">
        <is>
          <t>N</t>
        </is>
      </c>
      <c r="CU16" s="97" t="n"/>
      <c r="CV16" s="97" t="n"/>
      <c r="CW16" s="161" t="inlineStr">
        <is>
          <t>2026-10-22</t>
        </is>
      </c>
      <c r="CX16" s="97" t="n"/>
      <c r="CY16" s="183" t="n"/>
    </row>
    <row r="17" ht="12" customHeight="1">
      <c r="A17" s="116" t="inlineStr">
        <is>
          <t>HASLS22261000870</t>
        </is>
      </c>
      <c r="B17" s="96" t="inlineStr">
        <is>
          <t>20'x10</t>
        </is>
      </c>
      <c r="C17" s="97" t="n">
        <v>10</v>
      </c>
      <c r="D17" s="97" t="n">
        <v>10</v>
      </c>
      <c r="E17" s="97" t="n"/>
      <c r="F17" s="97" t="n">
        <v>0</v>
      </c>
      <c r="G17" s="97" t="n">
        <v>10</v>
      </c>
      <c r="H17" s="97" t="n">
        <v>0</v>
      </c>
      <c r="I17" s="97" t="n">
        <v>0</v>
      </c>
      <c r="J17" s="97" t="n">
        <v>10</v>
      </c>
      <c r="K17" s="96" t="inlineStr">
        <is>
          <t>N</t>
        </is>
      </c>
      <c r="L17" s="96" t="inlineStr">
        <is>
          <t>KTS1</t>
        </is>
      </c>
      <c r="M17" s="96" t="inlineStr">
        <is>
          <t>CMA</t>
        </is>
      </c>
      <c r="N17" s="96" t="inlineStr">
        <is>
          <t>2615N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2026-10-24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CNHUA</t>
        </is>
      </c>
      <c r="V17" s="161" t="inlineStr">
        <is>
          <t>2026-10-29</t>
        </is>
      </c>
      <c r="W17" s="96" t="inlineStr">
        <is>
          <t>IA</t>
        </is>
      </c>
      <c r="X17" s="97" t="inlineStr">
        <is>
          <t>Barge</t>
        </is>
      </c>
      <c r="Y17" s="97" t="n"/>
      <c r="Z17" s="97" t="n"/>
      <c r="AA17" s="96" t="inlineStr">
        <is>
          <t>MEGALOAD DEVELOPMENT LOGISTICS CO., LTD.</t>
        </is>
      </c>
      <c r="AB17" s="96" t="inlineStr">
        <is>
          <t>FISHMEAL MARKETING DEVELOPMENT CO., LTD.</t>
        </is>
      </c>
      <c r="AC17" s="163" t="n">
        <v>200480</v>
      </c>
      <c r="AD17" s="163" t="n">
        <v>222480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n"/>
      <c r="AJ17" s="97" t="n"/>
      <c r="AK17" s="97" t="n"/>
      <c r="AL17" s="97" t="n"/>
      <c r="AM17" s="96" t="inlineStr">
        <is>
          <t>TBKK47</t>
        </is>
      </c>
      <c r="AN17" s="96" t="inlineStr">
        <is>
          <t>Tarn(Supaporn)</t>
        </is>
      </c>
      <c r="AO17" s="96" t="inlineStr">
        <is>
          <t>THAILAND STEAM DRIED FISHMEAL</t>
        </is>
      </c>
      <c r="AP17" s="96" t="inlineStr">
        <is>
          <t>Normal</t>
        </is>
      </c>
      <c r="AQ17" s="97" t="inlineStr">
        <is>
          <t>2216/9-III</t>
        </is>
      </c>
      <c r="AR17" s="97" t="inlineStr">
        <is>
          <t xml:space="preserve">22GPx10 </t>
        </is>
      </c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**APPROVED BY Jeong-Yong UM DD.14/10/2026** DG22GPx10 (CLS 9 / UN 2216) 
Pickup : 2026-10-19, Return : 2026-10-20  </t>
        </is>
      </c>
      <c r="BA17" s="97" t="inlineStr">
        <is>
          <t>FREE TIME AT POD 21 DAYS, GOOD CONDITION OF CONTAINER / LOADING GOODS INTO CONTAINER BY FOLKLIFT</t>
        </is>
      </c>
      <c r="BB17" s="96" t="inlineStr">
        <is>
          <t>P</t>
        </is>
      </c>
      <c r="BC17" s="161" t="inlineStr">
        <is>
          <t>2026-10-12</t>
        </is>
      </c>
      <c r="BD17" s="161" t="inlineStr">
        <is>
          <t>2026-10-22</t>
        </is>
      </c>
      <c r="BE17" s="96" t="inlineStr">
        <is>
          <t>Y</t>
        </is>
      </c>
      <c r="BF17" s="96" t="inlineStr">
        <is>
          <t>THAILAND STEAM DRIED FISHMEAL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2026-10-19</t>
        </is>
      </c>
      <c r="BM17" s="127" t="n"/>
      <c r="BN17" s="127" t="n">
        <v>10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9 Class x 10 Teu (Approval),</t>
        </is>
      </c>
      <c r="CG17" s="96" t="inlineStr">
        <is>
          <t>CY/CY</t>
        </is>
      </c>
      <c r="CH17" s="97" t="n"/>
      <c r="CI17" s="96" t="inlineStr">
        <is>
          <t>expadm1_mdlth@outlook.com</t>
        </is>
      </c>
      <c r="CJ17" s="96" t="inlineStr">
        <is>
          <t>FISHMEAL MARKETING DEVELOPMENT</t>
        </is>
      </c>
      <c r="CK17" s="96" t="inlineStr">
        <is>
          <t>XIAMEN YUANHONGXIANG TRADING</t>
        </is>
      </c>
      <c r="CL17" s="96" t="inlineStr">
        <is>
          <t>XIAMEN YUANHONGXIANG TRADING</t>
        </is>
      </c>
      <c r="CM17" s="97" t="n"/>
      <c r="CN17" s="96" t="inlineStr">
        <is>
          <t>202610232359</t>
        </is>
      </c>
      <c r="CO17" s="96" t="inlineStr">
        <is>
          <t>202610212359</t>
        </is>
      </c>
      <c r="CP17" s="97" t="inlineStr">
        <is>
          <t>22GP x10: DG(UNNo.:2216/ Class:9)</t>
        </is>
      </c>
      <c r="CQ17" s="96" t="inlineStr">
        <is>
          <t>S22-2601024</t>
        </is>
      </c>
      <c r="CR17" s="96" t="inlineStr">
        <is>
          <t>THTWYA</t>
        </is>
      </c>
      <c r="CS17" s="96" t="inlineStr">
        <is>
          <t>MEGALOAD DEVELOPMENT LOGISTICS CO., LTD.</t>
        </is>
      </c>
      <c r="CT17" s="96" t="inlineStr">
        <is>
          <t>N</t>
        </is>
      </c>
      <c r="CU17" s="97" t="n"/>
      <c r="CV17" s="97" t="n"/>
      <c r="CW17" s="161" t="inlineStr">
        <is>
          <t>2026-10-23</t>
        </is>
      </c>
      <c r="CX17" s="97" t="n"/>
      <c r="CY17" s="183" t="n"/>
    </row>
    <row r="18" ht="12" customHeight="1">
      <c r="A18" s="116" t="inlineStr">
        <is>
          <t>HASLS22261000887</t>
        </is>
      </c>
      <c r="B18" s="96" t="inlineStr">
        <is>
          <t>40Hx2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0</v>
      </c>
      <c r="H18" s="97" t="n">
        <v>0</v>
      </c>
      <c r="I18" s="97" t="n">
        <v>2</v>
      </c>
      <c r="J18" s="97" t="n">
        <v>4</v>
      </c>
      <c r="K18" s="96" t="inlineStr">
        <is>
          <t>N</t>
        </is>
      </c>
      <c r="L18" s="96" t="inlineStr">
        <is>
          <t>KTS1</t>
        </is>
      </c>
      <c r="M18" s="96" t="inlineStr">
        <is>
          <t>CMA</t>
        </is>
      </c>
      <c r="N18" s="96" t="inlineStr">
        <is>
          <t>2615N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2026-10-24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2026-10-29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DIMERCO EXPRESS (THAILAND) CO., LTD.</t>
        </is>
      </c>
      <c r="AB18" s="96" t="inlineStr">
        <is>
          <t>KOHLER (THAILAND) PUBLIC CO., LTD.</t>
        </is>
      </c>
      <c r="AC18" s="163" t="n">
        <v>20229.8</v>
      </c>
      <c r="AD18" s="163" t="n">
        <v>28229.8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SANITARYWARE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2026-10-19, Return : 2026-10-20</t>
        </is>
      </c>
      <c r="BA18" s="97" t="inlineStr">
        <is>
          <t>Request clean container</t>
        </is>
      </c>
      <c r="BB18" s="96" t="inlineStr">
        <is>
          <t>P</t>
        </is>
      </c>
      <c r="BC18" s="161" t="inlineStr">
        <is>
          <t>2026-10-12</t>
        </is>
      </c>
      <c r="BD18" s="161" t="inlineStr">
        <is>
          <t>2026-10-19</t>
        </is>
      </c>
      <c r="BE18" s="96" t="inlineStr">
        <is>
          <t>Y</t>
        </is>
      </c>
      <c r="BF18" s="96" t="inlineStr">
        <is>
          <t>SANITARYWARE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2026-10-19</t>
        </is>
      </c>
      <c r="BM18" s="127" t="n"/>
      <c r="BN18" s="127" t="n"/>
      <c r="BO18" s="127" t="n"/>
      <c r="BP18" s="127" t="n">
        <v>2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oe_dimbkk@dimerco.com</t>
        </is>
      </c>
      <c r="CJ18" s="96" t="inlineStr">
        <is>
          <t>DIMERCO EXPRESS (THAILAND) CO.,LTD.</t>
        </is>
      </c>
      <c r="CK18" s="96" t="inlineStr">
        <is>
          <t>DIVERSIFIED FREIGHT SYSTEM LTD.</t>
        </is>
      </c>
      <c r="CL18" s="96" t="inlineStr">
        <is>
          <t>DIVERSIFIED FREIGHT SYSTEM LTD.</t>
        </is>
      </c>
      <c r="CM18" s="97" t="n"/>
      <c r="CN18" s="96" t="inlineStr">
        <is>
          <t>202610232359</t>
        </is>
      </c>
      <c r="CO18" s="96" t="inlineStr">
        <is>
          <t>202610212359</t>
        </is>
      </c>
      <c r="CP18" s="97" t="n"/>
      <c r="CQ18" s="96" t="inlineStr">
        <is>
          <t>S19-2307006</t>
        </is>
      </c>
      <c r="CR18" s="96" t="inlineStr">
        <is>
          <t>BB0164</t>
        </is>
      </c>
      <c r="CS18" s="96" t="inlineStr">
        <is>
          <t>DIMERCO EXPRESS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2026-10-23</t>
        </is>
      </c>
      <c r="CX18" s="97" t="n"/>
      <c r="CY18" s="183" t="n"/>
    </row>
    <row r="19" ht="12" customHeight="1">
      <c r="A19" s="116" t="inlineStr">
        <is>
          <t>HASLS22261000928</t>
        </is>
      </c>
      <c r="B19" s="96" t="inlineStr">
        <is>
          <t>20'x10</t>
        </is>
      </c>
      <c r="C19" s="97" t="n">
        <v>10</v>
      </c>
      <c r="D19" s="97" t="n">
        <v>10</v>
      </c>
      <c r="E19" s="97" t="n"/>
      <c r="F19" s="97" t="n">
        <v>0</v>
      </c>
      <c r="G19" s="97" t="n">
        <v>10</v>
      </c>
      <c r="H19" s="97" t="n">
        <v>0</v>
      </c>
      <c r="I19" s="97" t="n">
        <v>0</v>
      </c>
      <c r="J19" s="97" t="n">
        <v>10</v>
      </c>
      <c r="K19" s="96" t="inlineStr">
        <is>
          <t>N</t>
        </is>
      </c>
      <c r="L19" s="96" t="inlineStr">
        <is>
          <t>KTS1</t>
        </is>
      </c>
      <c r="M19" s="96" t="inlineStr">
        <is>
          <t>CMA</t>
        </is>
      </c>
      <c r="N19" s="96" t="inlineStr">
        <is>
          <t>2615N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2026-10-24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CNHUA</t>
        </is>
      </c>
      <c r="V19" s="161" t="inlineStr">
        <is>
          <t>2026-10-29</t>
        </is>
      </c>
      <c r="W19" s="96" t="inlineStr">
        <is>
          <t>IA</t>
        </is>
      </c>
      <c r="X19" s="97" t="inlineStr">
        <is>
          <t>Barge</t>
        </is>
      </c>
      <c r="Y19" s="97" t="n"/>
      <c r="Z19" s="97" t="n"/>
      <c r="AA19" s="96" t="inlineStr">
        <is>
          <t>MEGALOAD DEVELOPMENT LOGISTICS CO., LTD.</t>
        </is>
      </c>
      <c r="AB19" s="96" t="inlineStr">
        <is>
          <t>FISHMEAL MARKETING DEVELOPMENT CO., LTD.</t>
        </is>
      </c>
      <c r="AC19" s="163" t="n">
        <v>200480</v>
      </c>
      <c r="AD19" s="163" t="n">
        <v>222480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TBKK47</t>
        </is>
      </c>
      <c r="AN19" s="96" t="inlineStr">
        <is>
          <t>Tarn(Supaporn)</t>
        </is>
      </c>
      <c r="AO19" s="96" t="inlineStr">
        <is>
          <t>THAILAND STEAM DRIED FISHMEAL</t>
        </is>
      </c>
      <c r="AP19" s="96" t="inlineStr">
        <is>
          <t>Normal</t>
        </is>
      </c>
      <c r="AQ19" s="97" t="inlineStr">
        <is>
          <t>2216/9-III</t>
        </is>
      </c>
      <c r="AR19" s="97" t="inlineStr">
        <is>
          <t xml:space="preserve">22GPx10 </t>
        </is>
      </c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*APPROVAL BY MR.JEONG-YONG UM DD.15/10/2026** DG22GPx10 (CLS 9 / UN 2216) 
Pickup : 2026-10-19, Return : 2026-10-21  </t>
        </is>
      </c>
      <c r="BA19" s="97" t="inlineStr">
        <is>
          <t>FREE TIME AT POD 21 DAYS, GOOD CONDITION OF CONTAINER / LOADING GOODS INTO CONTAINER BY FOLKLIFT</t>
        </is>
      </c>
      <c r="BB19" s="96" t="inlineStr">
        <is>
          <t>P</t>
        </is>
      </c>
      <c r="BC19" s="161" t="inlineStr">
        <is>
          <t>2026-10-12</t>
        </is>
      </c>
      <c r="BD19" s="161" t="inlineStr">
        <is>
          <t>2026-10-22</t>
        </is>
      </c>
      <c r="BE19" s="96" t="inlineStr">
        <is>
          <t>Y</t>
        </is>
      </c>
      <c r="BF19" s="96" t="inlineStr">
        <is>
          <t>THAILAND STEAM DRIED FISHMEAL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2026-10-19</t>
        </is>
      </c>
      <c r="BM19" s="127" t="n"/>
      <c r="BN19" s="127" t="n">
        <v>10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9 Class x 10 Teu (Approval),</t>
        </is>
      </c>
      <c r="CG19" s="96" t="inlineStr">
        <is>
          <t>CY/CY</t>
        </is>
      </c>
      <c r="CH19" s="97" t="n"/>
      <c r="CI19" s="96" t="inlineStr">
        <is>
          <t>expadm1_mdlth@outlook.com</t>
        </is>
      </c>
      <c r="CJ19" s="96" t="inlineStr">
        <is>
          <t>FISHMEAL MARKETING DEVELOPMENT</t>
        </is>
      </c>
      <c r="CK19" s="96" t="inlineStr">
        <is>
          <t>XIAMEN RUXIANG TRADING CO., LTD.</t>
        </is>
      </c>
      <c r="CL19" s="96" t="inlineStr">
        <is>
          <t>XIAMEN RUXIANG TRADING CO., LTD.</t>
        </is>
      </c>
      <c r="CM19" s="97" t="n"/>
      <c r="CN19" s="96" t="inlineStr">
        <is>
          <t>202610232359</t>
        </is>
      </c>
      <c r="CO19" s="96" t="inlineStr">
        <is>
          <t>202610212359</t>
        </is>
      </c>
      <c r="CP19" s="97" t="inlineStr">
        <is>
          <t>22GP x10: DG(UNNo.:2216/ Class:9)</t>
        </is>
      </c>
      <c r="CQ19" s="96" t="inlineStr">
        <is>
          <t>S22-2601024</t>
        </is>
      </c>
      <c r="CR19" s="96" t="inlineStr">
        <is>
          <t>THTWYA</t>
        </is>
      </c>
      <c r="CS19" s="96" t="inlineStr">
        <is>
          <t>MEGALOAD DEVELOPMENT LOGISTICS CO., LTD.</t>
        </is>
      </c>
      <c r="CT19" s="96" t="inlineStr">
        <is>
          <t>N</t>
        </is>
      </c>
      <c r="CU19" s="97" t="n"/>
      <c r="CV19" s="97" t="n"/>
      <c r="CW19" s="161" t="inlineStr">
        <is>
          <t>2026-10-23</t>
        </is>
      </c>
      <c r="CX19" s="97" t="n"/>
      <c r="CY19" s="183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BEAU2406038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2026-10-21</t>
        </is>
      </c>
      <c r="E2" s="173" t="inlineStr">
        <is>
          <t>0015</t>
        </is>
      </c>
      <c r="F2" s="96" t="inlineStr">
        <is>
          <t>HASLS22261000870</t>
        </is>
      </c>
      <c r="G2" s="96" t="inlineStr">
        <is>
          <t>MEGALOAD DEVELOPMENT LOGISTICS CO., LTD.</t>
        </is>
      </c>
      <c r="H2" s="111" t="inlineStr">
        <is>
          <t>22GP</t>
        </is>
      </c>
      <c r="I2" s="96" t="n"/>
      <c r="J2" s="96" t="inlineStr">
        <is>
          <t>Chuanchuen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HASLS22261000870</t>
        </is>
      </c>
      <c r="N2" s="96" t="inlineStr">
        <is>
          <t xml:space="preserve">20'x10 </t>
        </is>
      </c>
      <c r="O2" s="111" t="inlineStr">
        <is>
          <t>2015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2026-10-24</t>
        </is>
      </c>
      <c r="W2" s="96" t="inlineStr">
        <is>
          <t>HKHKG</t>
        </is>
      </c>
      <c r="X2" s="161" t="inlineStr">
        <is>
          <t>2026-10-29</t>
        </is>
      </c>
      <c r="Y2" s="97" t="n"/>
      <c r="Z2" s="97" t="n"/>
      <c r="AA2" s="97" t="n"/>
      <c r="AB2" s="97" t="n"/>
      <c r="AC2" s="97" t="n"/>
      <c r="AD2" s="161" t="inlineStr">
        <is>
          <t>2026-10-21</t>
        </is>
      </c>
      <c r="AE2" s="174" t="inlineStr">
        <is>
          <t>1024</t>
        </is>
      </c>
      <c r="AF2" s="96" t="inlineStr">
        <is>
          <t>TBKK07</t>
        </is>
      </c>
      <c r="AG2" s="97" t="n"/>
      <c r="AH2" s="97" t="n"/>
      <c r="AI2" s="97" t="n"/>
      <c r="AJ2" s="96" t="inlineStr">
        <is>
          <t>XIAMEN YUANHONGXIANG TRADING</t>
        </is>
      </c>
      <c r="AK2" s="130" t="n">
        <v>0</v>
      </c>
    </row>
    <row r="3" ht="12" customHeight="1">
      <c r="A3" s="108" t="inlineStr">
        <is>
          <t>FBIU5372781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2026-10-20</t>
        </is>
      </c>
      <c r="E3" s="173" t="inlineStr">
        <is>
          <t>0223</t>
        </is>
      </c>
      <c r="F3" s="96" t="inlineStr">
        <is>
          <t>HASLS22260902706</t>
        </is>
      </c>
      <c r="G3" s="96" t="inlineStr">
        <is>
          <t>THAI AGRI FOODS PUBLIC COMPANY LIMITED</t>
        </is>
      </c>
      <c r="H3" s="111" t="inlineStr">
        <is>
          <t>45RE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HASLS22260902706</t>
        </is>
      </c>
      <c r="N3" s="96" t="inlineStr">
        <is>
          <t xml:space="preserve">R40Hx1 </t>
        </is>
      </c>
      <c r="O3" s="111" t="inlineStr">
        <is>
          <t>2023</t>
        </is>
      </c>
      <c r="P3" s="111" t="inlineStr">
        <is>
          <t>CARRIER</t>
        </is>
      </c>
      <c r="Q3" s="111" t="inlineStr">
        <is>
          <t>69NT40-571-112</t>
        </is>
      </c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2026-10-24</t>
        </is>
      </c>
      <c r="W3" s="96" t="inlineStr">
        <is>
          <t>RUVVO</t>
        </is>
      </c>
      <c r="X3" s="161" t="inlineStr">
        <is>
          <t>2026-11-03</t>
        </is>
      </c>
      <c r="Y3" s="97" t="n"/>
      <c r="Z3" s="97" t="n"/>
      <c r="AA3" s="97" t="n"/>
      <c r="AB3" s="97" t="n"/>
      <c r="AC3" s="97" t="n"/>
      <c r="AD3" s="161" t="inlineStr">
        <is>
          <t>2026-10-24</t>
        </is>
      </c>
      <c r="AE3" s="174" t="inlineStr">
        <is>
          <t>1513</t>
        </is>
      </c>
      <c r="AF3" s="96" t="inlineStr">
        <is>
          <t>TBKK42</t>
        </is>
      </c>
      <c r="AG3" s="97" t="n"/>
      <c r="AH3" s="97" t="n"/>
      <c r="AI3" s="97" t="n"/>
      <c r="AJ3" s="96" t="inlineStr">
        <is>
          <t>EXIM PACIFIC LLC. RUSSIA,</t>
        </is>
      </c>
      <c r="AK3" s="130" t="n">
        <v>0</v>
      </c>
    </row>
    <row r="4" ht="12" customHeight="1">
      <c r="A4" s="108" t="inlineStr">
        <is>
          <t>FBIU5373371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2026-10-19</t>
        </is>
      </c>
      <c r="E4" s="173" t="inlineStr">
        <is>
          <t>2325</t>
        </is>
      </c>
      <c r="F4" s="96" t="inlineStr">
        <is>
          <t>HASLS22260902708</t>
        </is>
      </c>
      <c r="G4" s="96" t="inlineStr">
        <is>
          <t>THAI AGRI FOODS PUBLIC COMPANY LIMITED</t>
        </is>
      </c>
      <c r="H4" s="111" t="inlineStr">
        <is>
          <t>45RE</t>
        </is>
      </c>
      <c r="I4" s="96" t="n"/>
      <c r="J4" s="96" t="inlineStr">
        <is>
          <t>Sirichai Prayochananon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HASLS22260902708</t>
        </is>
      </c>
      <c r="N4" s="96" t="inlineStr">
        <is>
          <t xml:space="preserve">R40Hx1 </t>
        </is>
      </c>
      <c r="O4" s="111" t="inlineStr">
        <is>
          <t>2023</t>
        </is>
      </c>
      <c r="P4" s="111" t="inlineStr">
        <is>
          <t>CARRIER</t>
        </is>
      </c>
      <c r="Q4" s="111" t="inlineStr">
        <is>
          <t>69NT40-571-112</t>
        </is>
      </c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2026-10-24</t>
        </is>
      </c>
      <c r="W4" s="96" t="inlineStr">
        <is>
          <t>RUVVO</t>
        </is>
      </c>
      <c r="X4" s="161" t="inlineStr">
        <is>
          <t>2026-11-03</t>
        </is>
      </c>
      <c r="Y4" s="97" t="n"/>
      <c r="Z4" s="97" t="n"/>
      <c r="AA4" s="97" t="n"/>
      <c r="AB4" s="97" t="n"/>
      <c r="AC4" s="97" t="n"/>
      <c r="AD4" s="161" t="inlineStr">
        <is>
          <t>2026-10-24</t>
        </is>
      </c>
      <c r="AE4" s="174" t="inlineStr">
        <is>
          <t>1513</t>
        </is>
      </c>
      <c r="AF4" s="96" t="inlineStr">
        <is>
          <t>TBKK42</t>
        </is>
      </c>
      <c r="AG4" s="97" t="n"/>
      <c r="AH4" s="97" t="n"/>
      <c r="AI4" s="97" t="n"/>
      <c r="AJ4" s="96" t="inlineStr">
        <is>
          <t>EXIM PACIFIC LLC. RUSSIA,</t>
        </is>
      </c>
      <c r="AK4" s="130" t="n">
        <v>0</v>
      </c>
    </row>
    <row r="5" ht="12" customHeight="1">
      <c r="A5" s="108" t="inlineStr">
        <is>
          <t>HALU2026094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2026-10-21</t>
        </is>
      </c>
      <c r="E5" s="173" t="inlineStr">
        <is>
          <t>1316</t>
        </is>
      </c>
      <c r="F5" s="96" t="inlineStr">
        <is>
          <t>HASLS22261000870</t>
        </is>
      </c>
      <c r="G5" s="96" t="inlineStr">
        <is>
          <t>MEGALOAD DEVELOPMENT LOGISTICS CO., LTD.</t>
        </is>
      </c>
      <c r="H5" s="111" t="inlineStr">
        <is>
          <t>22GP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HASLS22261000870</t>
        </is>
      </c>
      <c r="N5" s="96" t="inlineStr">
        <is>
          <t xml:space="preserve">20'x10 </t>
        </is>
      </c>
      <c r="O5" s="111" t="inlineStr">
        <is>
          <t>2013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2026-10-24</t>
        </is>
      </c>
      <c r="W5" s="96" t="inlineStr">
        <is>
          <t>HKHKG</t>
        </is>
      </c>
      <c r="X5" s="161" t="inlineStr">
        <is>
          <t>2026-10-29</t>
        </is>
      </c>
      <c r="Y5" s="97" t="n"/>
      <c r="Z5" s="97" t="n"/>
      <c r="AA5" s="97" t="n"/>
      <c r="AB5" s="97" t="n"/>
      <c r="AC5" s="97" t="n"/>
      <c r="AD5" s="161" t="inlineStr">
        <is>
          <t>2026-10-22</t>
        </is>
      </c>
      <c r="AE5" s="174" t="inlineStr">
        <is>
          <t>1044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XIAMEN YUANHONGXIANG TRADING</t>
        </is>
      </c>
      <c r="AK5" s="130" t="n">
        <v>0</v>
      </c>
    </row>
    <row r="6" ht="12" customHeight="1">
      <c r="A6" s="108" t="inlineStr">
        <is>
          <t>HALU2028883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2026-10-20</t>
        </is>
      </c>
      <c r="E6" s="173" t="inlineStr">
        <is>
          <t>2308</t>
        </is>
      </c>
      <c r="F6" s="96" t="inlineStr">
        <is>
          <t>HASLS22260902602</t>
        </is>
      </c>
      <c r="G6" s="96" t="inlineStr">
        <is>
          <t>ACE INTER FREIGHT CO., LTD.</t>
        </is>
      </c>
      <c r="H6" s="111" t="inlineStr">
        <is>
          <t>22GP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HASLS22260902602</t>
        </is>
      </c>
      <c r="N6" s="96" t="inlineStr">
        <is>
          <t xml:space="preserve">20'x1 </t>
        </is>
      </c>
      <c r="O6" s="111" t="inlineStr">
        <is>
          <t>2013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2026-10-24</t>
        </is>
      </c>
      <c r="W6" s="96" t="inlineStr">
        <is>
          <t>HKHKG</t>
        </is>
      </c>
      <c r="X6" s="161" t="inlineStr">
        <is>
          <t>2026-10-29</t>
        </is>
      </c>
      <c r="Y6" s="97" t="n"/>
      <c r="Z6" s="97" t="n"/>
      <c r="AA6" s="97" t="n"/>
      <c r="AB6" s="97" t="n"/>
      <c r="AC6" s="97" t="n"/>
      <c r="AD6" s="161" t="inlineStr">
        <is>
          <t>2026-10-21</t>
        </is>
      </c>
      <c r="AE6" s="174" t="inlineStr">
        <is>
          <t>1038</t>
        </is>
      </c>
      <c r="AF6" s="96" t="inlineStr">
        <is>
          <t>TBKK07</t>
        </is>
      </c>
      <c r="AG6" s="97" t="n"/>
      <c r="AH6" s="97" t="n"/>
      <c r="AI6" s="97" t="n"/>
      <c r="AJ6" s="96" t="inlineStr">
        <is>
          <t>SIU KWONG HONG LTD.</t>
        </is>
      </c>
      <c r="AK6" s="130" t="n">
        <v>0</v>
      </c>
    </row>
    <row r="7" ht="12" customHeight="1">
      <c r="A7" s="108" t="inlineStr">
        <is>
          <t>HALU2036240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2026-10-21</t>
        </is>
      </c>
      <c r="E7" s="173" t="inlineStr">
        <is>
          <t>0019</t>
        </is>
      </c>
      <c r="F7" s="96" t="inlineStr">
        <is>
          <t>HASLS22261000870</t>
        </is>
      </c>
      <c r="G7" s="96" t="inlineStr">
        <is>
          <t>MEGALOAD DEVELOPMENT LOGISTICS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HASLS22261000870</t>
        </is>
      </c>
      <c r="N7" s="96" t="inlineStr">
        <is>
          <t xml:space="preserve">20'x10 </t>
        </is>
      </c>
      <c r="O7" s="111" t="inlineStr">
        <is>
          <t>2014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2026-10-24</t>
        </is>
      </c>
      <c r="W7" s="96" t="inlineStr">
        <is>
          <t>HKHKG</t>
        </is>
      </c>
      <c r="X7" s="161" t="inlineStr">
        <is>
          <t>2026-10-29</t>
        </is>
      </c>
      <c r="Y7" s="97" t="n"/>
      <c r="Z7" s="97" t="n"/>
      <c r="AA7" s="97" t="n"/>
      <c r="AB7" s="97" t="n"/>
      <c r="AC7" s="97" t="n"/>
      <c r="AD7" s="161" t="inlineStr">
        <is>
          <t>2026-10-21</t>
        </is>
      </c>
      <c r="AE7" s="174" t="inlineStr">
        <is>
          <t>1024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XIAMEN YUANHONGXIANG TRADING</t>
        </is>
      </c>
      <c r="AK7" s="130" t="n">
        <v>0</v>
      </c>
    </row>
    <row r="8" ht="12" customHeight="1">
      <c r="A8" s="108" t="inlineStr">
        <is>
          <t>HALU2093615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2026-10-21</t>
        </is>
      </c>
      <c r="E8" s="173" t="inlineStr">
        <is>
          <t>1223</t>
        </is>
      </c>
      <c r="F8" s="96" t="inlineStr">
        <is>
          <t>HASLS22261000870</t>
        </is>
      </c>
      <c r="G8" s="96" t="inlineStr">
        <is>
          <t>MEGALOAD DEVELOPMENT LOGISTICS CO., LTD.</t>
        </is>
      </c>
      <c r="H8" s="111" t="inlineStr">
        <is>
          <t>22GP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HASLS22261000870</t>
        </is>
      </c>
      <c r="N8" s="96" t="inlineStr">
        <is>
          <t xml:space="preserve">20'x10 </t>
        </is>
      </c>
      <c r="O8" s="111" t="inlineStr">
        <is>
          <t>2015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2026-10-24</t>
        </is>
      </c>
      <c r="W8" s="96" t="inlineStr">
        <is>
          <t>HKHKG</t>
        </is>
      </c>
      <c r="X8" s="161" t="inlineStr">
        <is>
          <t>2026-10-29</t>
        </is>
      </c>
      <c r="Y8" s="97" t="n"/>
      <c r="Z8" s="97" t="n"/>
      <c r="AA8" s="97" t="n"/>
      <c r="AB8" s="97" t="n"/>
      <c r="AC8" s="97" t="n"/>
      <c r="AD8" s="161" t="inlineStr">
        <is>
          <t>2026-10-22</t>
        </is>
      </c>
      <c r="AE8" s="174" t="inlineStr">
        <is>
          <t>1044</t>
        </is>
      </c>
      <c r="AF8" s="96" t="inlineStr">
        <is>
          <t>TBKK07</t>
        </is>
      </c>
      <c r="AG8" s="97" t="n"/>
      <c r="AH8" s="97" t="n"/>
      <c r="AI8" s="97" t="n"/>
      <c r="AJ8" s="96" t="inlineStr">
        <is>
          <t>XIAMEN YUANHONGXIANG TRADING</t>
        </is>
      </c>
      <c r="AK8" s="130" t="n">
        <v>0</v>
      </c>
    </row>
    <row r="9" ht="12" customHeight="1">
      <c r="A9" s="108" t="inlineStr">
        <is>
          <t>HALU2100756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2026-10-19</t>
        </is>
      </c>
      <c r="E9" s="173" t="inlineStr">
        <is>
          <t>1919</t>
        </is>
      </c>
      <c r="F9" s="96" t="inlineStr">
        <is>
          <t>HASLS22260902714</t>
        </is>
      </c>
      <c r="G9" s="96" t="inlineStr">
        <is>
          <t>THAI AGRI FOODS PUBLIC COMPANY LIMITED</t>
        </is>
      </c>
      <c r="H9" s="111" t="inlineStr">
        <is>
          <t>22GP</t>
        </is>
      </c>
      <c r="I9" s="96" t="n"/>
      <c r="J9" s="96" t="inlineStr">
        <is>
          <t>Sirichai Prayochananon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HASLS22260902714</t>
        </is>
      </c>
      <c r="N9" s="96" t="inlineStr">
        <is>
          <t xml:space="preserve">20'x1 </t>
        </is>
      </c>
      <c r="O9" s="111" t="inlineStr">
        <is>
          <t>2021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2026-10-24</t>
        </is>
      </c>
      <c r="W9" s="96" t="inlineStr">
        <is>
          <t>RUVVO</t>
        </is>
      </c>
      <c r="X9" s="161" t="inlineStr">
        <is>
          <t>2026-11-03</t>
        </is>
      </c>
      <c r="Y9" s="97" t="n"/>
      <c r="Z9" s="97" t="n"/>
      <c r="AA9" s="97" t="n"/>
      <c r="AB9" s="97" t="n"/>
      <c r="AC9" s="97" t="n"/>
      <c r="AD9" s="161" t="inlineStr">
        <is>
          <t>2026-10-24</t>
        </is>
      </c>
      <c r="AE9" s="174" t="inlineStr">
        <is>
          <t>1513</t>
        </is>
      </c>
      <c r="AF9" s="96" t="inlineStr">
        <is>
          <t>TBKK42</t>
        </is>
      </c>
      <c r="AG9" s="97" t="n"/>
      <c r="AH9" s="97" t="n"/>
      <c r="AI9" s="97" t="n"/>
      <c r="AJ9" s="96" t="inlineStr">
        <is>
          <t>EXIM PACIFIC LLC. RUSSIA,</t>
        </is>
      </c>
      <c r="AK9" s="130" t="n">
        <v>0</v>
      </c>
    </row>
    <row r="10" ht="12" customHeight="1">
      <c r="A10" s="108" t="inlineStr">
        <is>
          <t>HALU2101618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2026-10-21</t>
        </is>
      </c>
      <c r="E10" s="173" t="inlineStr">
        <is>
          <t>1751</t>
        </is>
      </c>
      <c r="F10" s="96" t="inlineStr">
        <is>
          <t>HASLS22261000928</t>
        </is>
      </c>
      <c r="G10" s="96" t="inlineStr">
        <is>
          <t>MEGALOAD DEVELOPMENT LOGISTICS CO., LTD.</t>
        </is>
      </c>
      <c r="H10" s="111" t="inlineStr">
        <is>
          <t>22GP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HASLS22261000928</t>
        </is>
      </c>
      <c r="N10" s="96" t="inlineStr">
        <is>
          <t xml:space="preserve">20'x10 </t>
        </is>
      </c>
      <c r="O10" s="111" t="inlineStr">
        <is>
          <t>2021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2026-10-24</t>
        </is>
      </c>
      <c r="W10" s="96" t="inlineStr">
        <is>
          <t>HKHKG</t>
        </is>
      </c>
      <c r="X10" s="161" t="inlineStr">
        <is>
          <t>2026-10-29</t>
        </is>
      </c>
      <c r="Y10" s="97" t="n"/>
      <c r="Z10" s="97" t="n"/>
      <c r="AA10" s="97" t="n"/>
      <c r="AB10" s="97" t="n"/>
      <c r="AC10" s="97" t="n"/>
      <c r="AD10" s="161" t="inlineStr">
        <is>
          <t>2026-10-22</t>
        </is>
      </c>
      <c r="AE10" s="174" t="inlineStr">
        <is>
          <t>1044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XIAMEN RUXIANG TRADING CO., LTD.</t>
        </is>
      </c>
      <c r="AK10" s="130" t="n">
        <v>0</v>
      </c>
    </row>
    <row r="11" ht="12" customHeight="1">
      <c r="A11" s="108" t="inlineStr">
        <is>
          <t>HALU2411085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2026-10-19</t>
        </is>
      </c>
      <c r="E11" s="173" t="inlineStr">
        <is>
          <t>2052</t>
        </is>
      </c>
      <c r="F11" s="96" t="inlineStr">
        <is>
          <t>HASLS22260902124</t>
        </is>
      </c>
      <c r="G11" s="96" t="inlineStr">
        <is>
          <t>CTI LOGISTICS CO., LTD.</t>
        </is>
      </c>
      <c r="H11" s="111" t="inlineStr">
        <is>
          <t>22GP</t>
        </is>
      </c>
      <c r="I11" s="96" t="n"/>
      <c r="J11" s="96" t="inlineStr">
        <is>
          <t>Chuanchuen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HASLS22260902124</t>
        </is>
      </c>
      <c r="N11" s="96" t="inlineStr">
        <is>
          <t xml:space="preserve">40Hx1 20'x1 </t>
        </is>
      </c>
      <c r="O11" s="111" t="inlineStr">
        <is>
          <t>2024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2026-10-24</t>
        </is>
      </c>
      <c r="W11" s="96" t="inlineStr">
        <is>
          <t>CNSHK</t>
        </is>
      </c>
      <c r="X11" s="161" t="inlineStr">
        <is>
          <t>2026-10-30</t>
        </is>
      </c>
      <c r="Y11" s="97" t="n"/>
      <c r="Z11" s="97" t="n"/>
      <c r="AA11" s="97" t="n"/>
      <c r="AB11" s="97" t="n"/>
      <c r="AC11" s="97" t="n"/>
      <c r="AD11" s="161" t="inlineStr">
        <is>
          <t>2026-10-20</t>
        </is>
      </c>
      <c r="AE11" s="174" t="inlineStr">
        <is>
          <t>0949</t>
        </is>
      </c>
      <c r="AF11" s="96" t="inlineStr">
        <is>
          <t>TBKK07</t>
        </is>
      </c>
      <c r="AG11" s="97" t="n"/>
      <c r="AH11" s="97" t="n"/>
      <c r="AI11" s="97" t="n"/>
      <c r="AJ11" s="96" t="inlineStr">
        <is>
          <t>CTI LOGISTICS (SHENZHEN) CO., LTD.</t>
        </is>
      </c>
      <c r="AK11" s="130" t="n">
        <v>0</v>
      </c>
    </row>
    <row r="12" ht="12" customHeight="1">
      <c r="A12" s="108" t="inlineStr">
        <is>
          <t>HALU2456048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2026-10-19</t>
        </is>
      </c>
      <c r="E12" s="173" t="inlineStr">
        <is>
          <t>1541</t>
        </is>
      </c>
      <c r="F12" s="96" t="inlineStr">
        <is>
          <t>HASLS22260900420</t>
        </is>
      </c>
      <c r="G12" s="96" t="inlineStr">
        <is>
          <t>G THRU INTERBUSINESS CO., LTD.</t>
        </is>
      </c>
      <c r="H12" s="111" t="inlineStr">
        <is>
          <t>22GP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HASLS22260900420</t>
        </is>
      </c>
      <c r="N12" s="96" t="inlineStr">
        <is>
          <t xml:space="preserve">20'x1 </t>
        </is>
      </c>
      <c r="O12" s="111" t="inlineStr">
        <is>
          <t>2024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2026-10-24</t>
        </is>
      </c>
      <c r="W12" s="96" t="inlineStr">
        <is>
          <t>CNSHK</t>
        </is>
      </c>
      <c r="X12" s="161" t="inlineStr">
        <is>
          <t>2026-10-30</t>
        </is>
      </c>
      <c r="Y12" s="97" t="n"/>
      <c r="Z12" s="97" t="n"/>
      <c r="AA12" s="97" t="n"/>
      <c r="AB12" s="97" t="n"/>
      <c r="AC12" s="97" t="n"/>
      <c r="AD12" s="161" t="inlineStr">
        <is>
          <t>2026-10-20</t>
        </is>
      </c>
      <c r="AE12" s="174" t="inlineStr">
        <is>
          <t>0953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SHENZHEN ZHAOHONGFENG IMPORT &amp;</t>
        </is>
      </c>
      <c r="AK12" s="130" t="n">
        <v>0</v>
      </c>
    </row>
    <row r="13" ht="12" customHeight="1">
      <c r="A13" s="108" t="inlineStr">
        <is>
          <t>HALU2559236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2026-10-19</t>
        </is>
      </c>
      <c r="E13" s="173" t="inlineStr">
        <is>
          <t>2042</t>
        </is>
      </c>
      <c r="F13" s="96" t="inlineStr">
        <is>
          <t>HASLS22260900618</t>
        </is>
      </c>
      <c r="G13" s="96" t="inlineStr">
        <is>
          <t>G THRU INTERBUSINESS CO., LTD.</t>
        </is>
      </c>
      <c r="H13" s="111" t="inlineStr">
        <is>
          <t>22GP</t>
        </is>
      </c>
      <c r="I13" s="96" t="n"/>
      <c r="J13" s="96" t="inlineStr">
        <is>
          <t>Chuanchuen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HASLS22260900618</t>
        </is>
      </c>
      <c r="N13" s="96" t="inlineStr">
        <is>
          <t xml:space="preserve">20'x1 </t>
        </is>
      </c>
      <c r="O13" s="111" t="inlineStr">
        <is>
          <t>2025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2026-10-24</t>
        </is>
      </c>
      <c r="W13" s="96" t="inlineStr">
        <is>
          <t>CNSHK</t>
        </is>
      </c>
      <c r="X13" s="161" t="inlineStr">
        <is>
          <t>2026-10-30</t>
        </is>
      </c>
      <c r="Y13" s="97" t="n"/>
      <c r="Z13" s="97" t="n"/>
      <c r="AA13" s="97" t="n"/>
      <c r="AB13" s="97" t="n"/>
      <c r="AC13" s="97" t="n"/>
      <c r="AD13" s="161" t="inlineStr">
        <is>
          <t>2026-10-20</t>
        </is>
      </c>
      <c r="AE13" s="174" t="inlineStr">
        <is>
          <t>0953</t>
        </is>
      </c>
      <c r="AF13" s="96" t="inlineStr">
        <is>
          <t>TBKK07</t>
        </is>
      </c>
      <c r="AG13" s="97" t="n"/>
      <c r="AH13" s="97" t="n"/>
      <c r="AI13" s="97" t="n"/>
      <c r="AJ13" s="96" t="inlineStr">
        <is>
          <t>SHENZHEN ZHAOHONGFENG IMPORT &amp;</t>
        </is>
      </c>
      <c r="AK13" s="130" t="n">
        <v>0</v>
      </c>
    </row>
    <row r="14" ht="12" customHeight="1">
      <c r="A14" s="108" t="inlineStr">
        <is>
          <t>HALU5682218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2026-10-19</t>
        </is>
      </c>
      <c r="E14" s="173" t="inlineStr">
        <is>
          <t>2139</t>
        </is>
      </c>
      <c r="F14" s="96" t="inlineStr">
        <is>
          <t>HASLS22260902307</t>
        </is>
      </c>
      <c r="G14" s="96" t="inlineStr">
        <is>
          <t>CTI LOGISTICS CO., LTD.</t>
        </is>
      </c>
      <c r="H14" s="111" t="inlineStr">
        <is>
          <t>45GP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HASLS22260902307</t>
        </is>
      </c>
      <c r="N14" s="96" t="inlineStr">
        <is>
          <t xml:space="preserve">40Hx3 </t>
        </is>
      </c>
      <c r="O14" s="111" t="inlineStr">
        <is>
          <t>2015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2026-10-24</t>
        </is>
      </c>
      <c r="W14" s="96" t="inlineStr">
        <is>
          <t>CNSHK</t>
        </is>
      </c>
      <c r="X14" s="161" t="inlineStr">
        <is>
          <t>2026-10-30</t>
        </is>
      </c>
      <c r="Y14" s="97" t="n"/>
      <c r="Z14" s="97" t="n"/>
      <c r="AA14" s="97" t="n"/>
      <c r="AB14" s="97" t="n"/>
      <c r="AC14" s="97" t="n"/>
      <c r="AD14" s="161" t="inlineStr">
        <is>
          <t>2026-10-20</t>
        </is>
      </c>
      <c r="AE14" s="174" t="inlineStr">
        <is>
          <t>0949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CTI LOGISTICS (SHENZHEN) CO., LTD.</t>
        </is>
      </c>
      <c r="AK14" s="130" t="n">
        <v>0</v>
      </c>
    </row>
    <row r="15" ht="12" customHeight="1">
      <c r="A15" s="108" t="inlineStr">
        <is>
          <t>HLHU8354141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2026-10-14</t>
        </is>
      </c>
      <c r="E15" s="173" t="inlineStr">
        <is>
          <t>0137</t>
        </is>
      </c>
      <c r="F15" s="96" t="inlineStr">
        <is>
          <t>HASLS22260902095</t>
        </is>
      </c>
      <c r="G15" s="96" t="inlineStr">
        <is>
          <t>MULTI FREIGHT SYSTEM CO., LTD.</t>
        </is>
      </c>
      <c r="H15" s="111" t="inlineStr">
        <is>
          <t>45GP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HASLS22260902095</t>
        </is>
      </c>
      <c r="N15" s="96" t="inlineStr">
        <is>
          <t xml:space="preserve">40Hx1 </t>
        </is>
      </c>
      <c r="O15" s="111" t="inlineStr">
        <is>
          <t>2023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2026-10-24</t>
        </is>
      </c>
      <c r="W15" s="96" t="inlineStr">
        <is>
          <t>HKHKG</t>
        </is>
      </c>
      <c r="X15" s="161" t="inlineStr">
        <is>
          <t>2026-10-29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1036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NISKO CARGO CONSOLIDATION LTD.</t>
        </is>
      </c>
      <c r="AK15" s="130" t="n">
        <v>0</v>
      </c>
    </row>
    <row r="16" ht="12" customHeight="1">
      <c r="A16" s="108" t="inlineStr">
        <is>
          <t>SEKU4438724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2026-10-19</t>
        </is>
      </c>
      <c r="E16" s="173" t="inlineStr">
        <is>
          <t>2346</t>
        </is>
      </c>
      <c r="F16" s="96" t="inlineStr">
        <is>
          <t>HASLS22261000811</t>
        </is>
      </c>
      <c r="G16" s="96" t="inlineStr">
        <is>
          <t>CTI LOGISTICS CO., LTD.</t>
        </is>
      </c>
      <c r="H16" s="111" t="inlineStr">
        <is>
          <t>45GP</t>
        </is>
      </c>
      <c r="I16" s="96" t="n"/>
      <c r="J16" s="96" t="inlineStr">
        <is>
          <t>Chuanchuen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HASLS22261000811</t>
        </is>
      </c>
      <c r="N16" s="96" t="inlineStr">
        <is>
          <t xml:space="preserve">40Hx1 </t>
        </is>
      </c>
      <c r="O16" s="111" t="inlineStr">
        <is>
          <t>2020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2026-10-24</t>
        </is>
      </c>
      <c r="W16" s="96" t="inlineStr">
        <is>
          <t>CNSHK</t>
        </is>
      </c>
      <c r="X16" s="161" t="inlineStr">
        <is>
          <t>2026-10-30</t>
        </is>
      </c>
      <c r="Y16" s="97" t="n"/>
      <c r="Z16" s="97" t="n"/>
      <c r="AA16" s="97" t="n"/>
      <c r="AB16" s="97" t="n"/>
      <c r="AC16" s="97" t="n"/>
      <c r="AD16" s="161" t="inlineStr">
        <is>
          <t>2026-10-20</t>
        </is>
      </c>
      <c r="AE16" s="174" t="inlineStr">
        <is>
          <t>0949</t>
        </is>
      </c>
      <c r="AF16" s="96" t="inlineStr">
        <is>
          <t>TBKK07</t>
        </is>
      </c>
      <c r="AG16" s="97" t="n"/>
      <c r="AH16" s="97" t="n"/>
      <c r="AI16" s="97" t="n"/>
      <c r="AJ16" s="96" t="inlineStr">
        <is>
          <t>CTI LOGISTICS (SHENZHEN) CO., LTD.</t>
        </is>
      </c>
      <c r="AK16" s="130" t="n">
        <v>0</v>
      </c>
    </row>
    <row r="17" ht="12" customHeight="1">
      <c r="A17" s="108" t="inlineStr">
        <is>
          <t>SKHU9305895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2026-10-19</t>
        </is>
      </c>
      <c r="E17" s="173" t="inlineStr">
        <is>
          <t>2145</t>
        </is>
      </c>
      <c r="F17" s="96" t="inlineStr">
        <is>
          <t>HASLS22260902307</t>
        </is>
      </c>
      <c r="G17" s="96" t="inlineStr">
        <is>
          <t>CTI LOGISTICS CO., LTD.</t>
        </is>
      </c>
      <c r="H17" s="111" t="inlineStr">
        <is>
          <t>45GP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HASLS22260902307</t>
        </is>
      </c>
      <c r="N17" s="96" t="inlineStr">
        <is>
          <t xml:space="preserve">40Hx3 </t>
        </is>
      </c>
      <c r="O17" s="111" t="inlineStr">
        <is>
          <t>2013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2026-10-24</t>
        </is>
      </c>
      <c r="W17" s="96" t="inlineStr">
        <is>
          <t>CNSHK</t>
        </is>
      </c>
      <c r="X17" s="161" t="inlineStr">
        <is>
          <t>2026-10-30</t>
        </is>
      </c>
      <c r="Y17" s="97" t="n"/>
      <c r="Z17" s="97" t="n"/>
      <c r="AA17" s="97" t="n"/>
      <c r="AB17" s="97" t="n"/>
      <c r="AC17" s="97" t="n"/>
      <c r="AD17" s="161" t="inlineStr">
        <is>
          <t>2026-10-20</t>
        </is>
      </c>
      <c r="AE17" s="174" t="inlineStr">
        <is>
          <t>0949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CTI LOGISTICS (SHENZHEN) CO., LTD.</t>
        </is>
      </c>
      <c r="AK17" s="130" t="n">
        <v>0</v>
      </c>
    </row>
    <row r="18" ht="12" customHeight="1">
      <c r="A18" s="108" t="inlineStr">
        <is>
          <t>SKHU9306628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2026-10-19</t>
        </is>
      </c>
      <c r="E18" s="173" t="inlineStr">
        <is>
          <t>1953</t>
        </is>
      </c>
      <c r="F18" s="96" t="inlineStr">
        <is>
          <t>HASLS22260902307</t>
        </is>
      </c>
      <c r="G18" s="96" t="inlineStr">
        <is>
          <t>CTI LOGISTICS CO., LTD.</t>
        </is>
      </c>
      <c r="H18" s="111" t="inlineStr">
        <is>
          <t>45GP</t>
        </is>
      </c>
      <c r="I18" s="96" t="n"/>
      <c r="J18" s="96" t="inlineStr">
        <is>
          <t>Chuanchuen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HASLS22260902307</t>
        </is>
      </c>
      <c r="N18" s="96" t="inlineStr">
        <is>
          <t xml:space="preserve">40Hx3 </t>
        </is>
      </c>
      <c r="O18" s="111" t="inlineStr">
        <is>
          <t>2013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2026-10-24</t>
        </is>
      </c>
      <c r="W18" s="96" t="inlineStr">
        <is>
          <t>CNSHK</t>
        </is>
      </c>
      <c r="X18" s="161" t="inlineStr">
        <is>
          <t>2026-10-30</t>
        </is>
      </c>
      <c r="Y18" s="97" t="n"/>
      <c r="Z18" s="97" t="n"/>
      <c r="AA18" s="97" t="n"/>
      <c r="AB18" s="97" t="n"/>
      <c r="AC18" s="97" t="n"/>
      <c r="AD18" s="161" t="inlineStr">
        <is>
          <t>2026-10-20</t>
        </is>
      </c>
      <c r="AE18" s="174" t="inlineStr">
        <is>
          <t>0949</t>
        </is>
      </c>
      <c r="AF18" s="96" t="inlineStr">
        <is>
          <t>TBKK07</t>
        </is>
      </c>
      <c r="AG18" s="97" t="n"/>
      <c r="AH18" s="97" t="n"/>
      <c r="AI18" s="97" t="n"/>
      <c r="AJ18" s="96" t="inlineStr">
        <is>
          <t>CTI LOGISTICS (SHENZHEN) CO., LTD.</t>
        </is>
      </c>
      <c r="AK18" s="130" t="n">
        <v>0</v>
      </c>
    </row>
    <row r="19" ht="12" customHeight="1">
      <c r="A19" s="108" t="inlineStr">
        <is>
          <t>SKHU9413879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2026-10-19</t>
        </is>
      </c>
      <c r="E19" s="173" t="inlineStr">
        <is>
          <t>2036</t>
        </is>
      </c>
      <c r="F19" s="96" t="inlineStr">
        <is>
          <t>HASLS22260902124</t>
        </is>
      </c>
      <c r="G19" s="96" t="inlineStr">
        <is>
          <t>CTI LOGISTICS CO., LTD.</t>
        </is>
      </c>
      <c r="H19" s="111" t="inlineStr">
        <is>
          <t>45GP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HASLS22260902124</t>
        </is>
      </c>
      <c r="N19" s="96" t="inlineStr">
        <is>
          <t xml:space="preserve">40Hx1 20'x1 </t>
        </is>
      </c>
      <c r="O19" s="111" t="inlineStr">
        <is>
          <t>2014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2026-10-24</t>
        </is>
      </c>
      <c r="W19" s="96" t="inlineStr">
        <is>
          <t>CNSHK</t>
        </is>
      </c>
      <c r="X19" s="161" t="inlineStr">
        <is>
          <t>2026-10-30</t>
        </is>
      </c>
      <c r="Y19" s="97" t="n"/>
      <c r="Z19" s="97" t="n"/>
      <c r="AA19" s="97" t="n"/>
      <c r="AB19" s="97" t="n"/>
      <c r="AC19" s="97" t="n"/>
      <c r="AD19" s="161" t="inlineStr">
        <is>
          <t>2026-10-20</t>
        </is>
      </c>
      <c r="AE19" s="174" t="inlineStr">
        <is>
          <t>0949</t>
        </is>
      </c>
      <c r="AF19" s="96" t="inlineStr">
        <is>
          <t>TBKK07</t>
        </is>
      </c>
      <c r="AG19" s="97" t="n"/>
      <c r="AH19" s="97" t="n"/>
      <c r="AI19" s="97" t="n"/>
      <c r="AJ19" s="96" t="inlineStr">
        <is>
          <t>CTI LOGISTICS (SHENZHEN) CO., LTD.</t>
        </is>
      </c>
      <c r="AK19" s="130" t="n">
        <v>0</v>
      </c>
    </row>
    <row r="20" ht="12" customHeight="1">
      <c r="A20" s="108" t="inlineStr">
        <is>
          <t>SKHU9804615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2026-10-21</t>
        </is>
      </c>
      <c r="E20" s="173" t="inlineStr">
        <is>
          <t>0501</t>
        </is>
      </c>
      <c r="F20" s="96" t="inlineStr">
        <is>
          <t>HASLS22261000887</t>
        </is>
      </c>
      <c r="G20" s="96" t="inlineStr">
        <is>
          <t>DIMERCO EXPRESS (THAILAND) CO., LTD.</t>
        </is>
      </c>
      <c r="H20" s="111" t="inlineStr">
        <is>
          <t>45GP</t>
        </is>
      </c>
      <c r="I20" s="96" t="n"/>
      <c r="J20" s="96" t="inlineStr">
        <is>
          <t>Sirichai Prayochananon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HASLS22261000887</t>
        </is>
      </c>
      <c r="N20" s="96" t="inlineStr">
        <is>
          <t xml:space="preserve">40Hx2 </t>
        </is>
      </c>
      <c r="O20" s="111" t="inlineStr">
        <is>
          <t>2018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2026-10-24</t>
        </is>
      </c>
      <c r="W20" s="96" t="inlineStr">
        <is>
          <t>HKHKG</t>
        </is>
      </c>
      <c r="X20" s="161" t="inlineStr">
        <is>
          <t>2026-10-29</t>
        </is>
      </c>
      <c r="Y20" s="97" t="n"/>
      <c r="Z20" s="97" t="n"/>
      <c r="AA20" s="97" t="n"/>
      <c r="AB20" s="97" t="n"/>
      <c r="AC20" s="97" t="n"/>
      <c r="AD20" s="161" t="inlineStr">
        <is>
          <t>2026-10-24</t>
        </is>
      </c>
      <c r="AE20" s="174" t="inlineStr">
        <is>
          <t>1513</t>
        </is>
      </c>
      <c r="AF20" s="96" t="inlineStr">
        <is>
          <t>TBKK42</t>
        </is>
      </c>
      <c r="AG20" s="97" t="n"/>
      <c r="AH20" s="97" t="n"/>
      <c r="AI20" s="97" t="n"/>
      <c r="AJ20" s="96" t="inlineStr">
        <is>
          <t>DIVERSIFIED FREIGHT SYSTEM LTD.</t>
        </is>
      </c>
      <c r="AK20" s="130" t="n">
        <v>0</v>
      </c>
    </row>
    <row r="21" ht="12" customHeight="1">
      <c r="A21" s="108" t="inlineStr">
        <is>
          <t>SKHU9952696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2026-10-18</t>
        </is>
      </c>
      <c r="E21" s="173" t="inlineStr">
        <is>
          <t>0400</t>
        </is>
      </c>
      <c r="F21" s="96" t="inlineStr">
        <is>
          <t>HASLS22260902356</t>
        </is>
      </c>
      <c r="G21" s="96" t="inlineStr">
        <is>
          <t>DIMERCO EXPRESS (THAILAND) CO., LTD.</t>
        </is>
      </c>
      <c r="H21" s="111" t="inlineStr">
        <is>
          <t>45GP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HASLS22260902356</t>
        </is>
      </c>
      <c r="N21" s="96" t="inlineStr">
        <is>
          <t xml:space="preserve">40Hx1 </t>
        </is>
      </c>
      <c r="O21" s="111" t="inlineStr">
        <is>
          <t>2019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2026-10-24</t>
        </is>
      </c>
      <c r="W21" s="96" t="inlineStr">
        <is>
          <t>CNSHK</t>
        </is>
      </c>
      <c r="X21" s="161" t="inlineStr">
        <is>
          <t>2026-10-30</t>
        </is>
      </c>
      <c r="Y21" s="97" t="n"/>
      <c r="Z21" s="97" t="n"/>
      <c r="AA21" s="97" t="n"/>
      <c r="AB21" s="97" t="n"/>
      <c r="AC21" s="97" t="n"/>
      <c r="AD21" s="161" t="inlineStr">
        <is>
          <t>2026-10-18</t>
        </is>
      </c>
      <c r="AE21" s="174" t="inlineStr">
        <is>
          <t>2359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DIVERSIFIED INTERNATIONAL</t>
        </is>
      </c>
      <c r="AK21" s="130" t="n">
        <v>0</v>
      </c>
    </row>
    <row r="22" ht="12" customHeight="1">
      <c r="A22" s="108" t="inlineStr">
        <is>
          <t>SKLU0521335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2026-10-19</t>
        </is>
      </c>
      <c r="E22" s="173" t="inlineStr">
        <is>
          <t>2007</t>
        </is>
      </c>
      <c r="F22" s="96" t="inlineStr">
        <is>
          <t>HASLS22260902753</t>
        </is>
      </c>
      <c r="G22" s="96" t="inlineStr">
        <is>
          <t>YUSEN LOGISTICS (THAILAND) CO., LTD.</t>
        </is>
      </c>
      <c r="H22" s="111" t="inlineStr">
        <is>
          <t>22GP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HASLS22260902753</t>
        </is>
      </c>
      <c r="N22" s="96" t="inlineStr">
        <is>
          <t xml:space="preserve">20'x1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2026-10-24</t>
        </is>
      </c>
      <c r="W22" s="96" t="inlineStr">
        <is>
          <t>HKHKG</t>
        </is>
      </c>
      <c r="X22" s="161" t="inlineStr">
        <is>
          <t>2026-10-29</t>
        </is>
      </c>
      <c r="Y22" s="97" t="n"/>
      <c r="Z22" s="97" t="n"/>
      <c r="AA22" s="97" t="n"/>
      <c r="AB22" s="97" t="n"/>
      <c r="AC22" s="97" t="n"/>
      <c r="AD22" s="161" t="inlineStr">
        <is>
          <t>2026-10-20</t>
        </is>
      </c>
      <c r="AE22" s="174" t="inlineStr">
        <is>
          <t>0949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YUSEN LOGISTICS (HONG KONG) LTD.</t>
        </is>
      </c>
      <c r="AK22" s="130" t="n">
        <v>0</v>
      </c>
    </row>
    <row r="23" ht="12" customHeight="1">
      <c r="A23" s="108" t="inlineStr">
        <is>
          <t>SKLU0704320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2026-10-21</t>
        </is>
      </c>
      <c r="E23" s="173" t="inlineStr">
        <is>
          <t>1038</t>
        </is>
      </c>
      <c r="F23" s="96" t="inlineStr">
        <is>
          <t>HASLS22261000870</t>
        </is>
      </c>
      <c r="G23" s="96" t="inlineStr">
        <is>
          <t>MEGALOAD DEVELOPMENT LOGISTICS CO., LTD.</t>
        </is>
      </c>
      <c r="H23" s="111" t="inlineStr">
        <is>
          <t>22GP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HASLS22261000870</t>
        </is>
      </c>
      <c r="N23" s="96" t="inlineStr">
        <is>
          <t xml:space="preserve">20'x10 </t>
        </is>
      </c>
      <c r="O23" s="111" t="inlineStr">
        <is>
          <t>2007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2026-10-24</t>
        </is>
      </c>
      <c r="W23" s="96" t="inlineStr">
        <is>
          <t>HKHKG</t>
        </is>
      </c>
      <c r="X23" s="161" t="inlineStr">
        <is>
          <t>2026-10-29</t>
        </is>
      </c>
      <c r="Y23" s="97" t="n"/>
      <c r="Z23" s="97" t="n"/>
      <c r="AA23" s="97" t="n"/>
      <c r="AB23" s="97" t="n"/>
      <c r="AC23" s="97" t="n"/>
      <c r="AD23" s="161" t="inlineStr">
        <is>
          <t>2026-10-22</t>
        </is>
      </c>
      <c r="AE23" s="174" t="inlineStr">
        <is>
          <t>1044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XIAMEN YUANHONGXIANG TRADING</t>
        </is>
      </c>
      <c r="AK23" s="130" t="n">
        <v>0</v>
      </c>
    </row>
    <row r="24" ht="12" customHeight="1">
      <c r="A24" s="108" t="inlineStr">
        <is>
          <t>SKLU1202409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2026-10-21</t>
        </is>
      </c>
      <c r="E24" s="173" t="inlineStr">
        <is>
          <t>1409</t>
        </is>
      </c>
      <c r="F24" s="96" t="inlineStr">
        <is>
          <t>HASLS22261000928</t>
        </is>
      </c>
      <c r="G24" s="96" t="inlineStr">
        <is>
          <t>MEGALOAD DEVELOPMENT LOGISTICS CO., LTD.</t>
        </is>
      </c>
      <c r="H24" s="111" t="inlineStr">
        <is>
          <t>22GP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HASLS22261000928</t>
        </is>
      </c>
      <c r="N24" s="96" t="inlineStr">
        <is>
          <t xml:space="preserve">20'x10 </t>
        </is>
      </c>
      <c r="O24" s="111" t="inlineStr">
        <is>
          <t>2012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2026-10-24</t>
        </is>
      </c>
      <c r="W24" s="96" t="inlineStr">
        <is>
          <t>HKHKG</t>
        </is>
      </c>
      <c r="X24" s="161" t="inlineStr">
        <is>
          <t>2026-10-29</t>
        </is>
      </c>
      <c r="Y24" s="97" t="n"/>
      <c r="Z24" s="97" t="n"/>
      <c r="AA24" s="97" t="n"/>
      <c r="AB24" s="97" t="n"/>
      <c r="AC24" s="97" t="n"/>
      <c r="AD24" s="161" t="inlineStr">
        <is>
          <t>2026-10-22</t>
        </is>
      </c>
      <c r="AE24" s="174" t="inlineStr">
        <is>
          <t>1044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XIAMEN RUXIANG TRADING CO., LTD.</t>
        </is>
      </c>
      <c r="AK24" s="130" t="n">
        <v>0</v>
      </c>
    </row>
    <row r="25" ht="12" customHeight="1">
      <c r="A25" s="108" t="inlineStr">
        <is>
          <t>SKLU1319144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2026-10-21</t>
        </is>
      </c>
      <c r="E25" s="173" t="inlineStr">
        <is>
          <t>1709</t>
        </is>
      </c>
      <c r="F25" s="96" t="inlineStr">
        <is>
          <t>HASLS22261000928</t>
        </is>
      </c>
      <c r="G25" s="96" t="inlineStr">
        <is>
          <t>MEGALOAD DEVELOPMENT LOGISTICS CO., LTD.</t>
        </is>
      </c>
      <c r="H25" s="111" t="inlineStr">
        <is>
          <t>22GP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HASLS22261000928</t>
        </is>
      </c>
      <c r="N25" s="96" t="inlineStr">
        <is>
          <t xml:space="preserve">20'x10 </t>
        </is>
      </c>
      <c r="O25" s="111" t="inlineStr">
        <is>
          <t>2013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2026-10-24</t>
        </is>
      </c>
      <c r="W25" s="96" t="inlineStr">
        <is>
          <t>HKHKG</t>
        </is>
      </c>
      <c r="X25" s="161" t="inlineStr">
        <is>
          <t>2026-10-29</t>
        </is>
      </c>
      <c r="Y25" s="97" t="n"/>
      <c r="Z25" s="97" t="n"/>
      <c r="AA25" s="97" t="n"/>
      <c r="AB25" s="97" t="n"/>
      <c r="AC25" s="97" t="n"/>
      <c r="AD25" s="161" t="inlineStr">
        <is>
          <t>2026-10-22</t>
        </is>
      </c>
      <c r="AE25" s="174" t="inlineStr">
        <is>
          <t>1044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XIAMEN RUXIANG TRADING CO., LTD.</t>
        </is>
      </c>
      <c r="AK25" s="130" t="n">
        <v>0</v>
      </c>
    </row>
    <row r="26" ht="12" customHeight="1">
      <c r="A26" s="108" t="inlineStr">
        <is>
          <t>SKLU1342150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2026-10-20</t>
        </is>
      </c>
      <c r="E26" s="173" t="inlineStr">
        <is>
          <t>0416</t>
        </is>
      </c>
      <c r="F26" s="96" t="inlineStr">
        <is>
          <t>HASLS22260902618</t>
        </is>
      </c>
      <c r="G26" s="96" t="inlineStr">
        <is>
          <t>KUEHNE + NAGEL LIMITED</t>
        </is>
      </c>
      <c r="H26" s="111" t="inlineStr">
        <is>
          <t>22GP</t>
        </is>
      </c>
      <c r="I26" s="96" t="n"/>
      <c r="J26" s="96" t="inlineStr">
        <is>
          <t>Chuanchuen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HASLS22260902618</t>
        </is>
      </c>
      <c r="N26" s="96" t="inlineStr">
        <is>
          <t xml:space="preserve">20'x1 </t>
        </is>
      </c>
      <c r="O26" s="111" t="inlineStr">
        <is>
          <t>2013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2026-10-24</t>
        </is>
      </c>
      <c r="W26" s="96" t="inlineStr">
        <is>
          <t>HKHKG</t>
        </is>
      </c>
      <c r="X26" s="161" t="inlineStr">
        <is>
          <t>2026-10-29</t>
        </is>
      </c>
      <c r="Y26" s="97" t="n"/>
      <c r="Z26" s="97" t="n"/>
      <c r="AA26" s="97" t="n"/>
      <c r="AB26" s="97" t="n"/>
      <c r="AC26" s="97" t="n"/>
      <c r="AD26" s="161" t="inlineStr">
        <is>
          <t>2026-10-20</t>
        </is>
      </c>
      <c r="AE26" s="174" t="inlineStr">
        <is>
          <t>0953</t>
        </is>
      </c>
      <c r="AF26" s="96" t="inlineStr">
        <is>
          <t>TBKK07</t>
        </is>
      </c>
      <c r="AG26" s="97" t="n"/>
      <c r="AH26" s="97" t="n"/>
      <c r="AI26" s="97" t="n"/>
      <c r="AJ26" s="96" t="inlineStr">
        <is>
          <t>KUEHNE &amp; NAGEL LTD</t>
        </is>
      </c>
      <c r="AK26" s="130" t="n">
        <v>0</v>
      </c>
    </row>
    <row r="27" ht="12" customHeight="1">
      <c r="A27" s="108" t="inlineStr">
        <is>
          <t>SKLU1545558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2026-10-21</t>
        </is>
      </c>
      <c r="E27" s="173" t="inlineStr">
        <is>
          <t>1618</t>
        </is>
      </c>
      <c r="F27" s="96" t="inlineStr">
        <is>
          <t>HASLS22261000928</t>
        </is>
      </c>
      <c r="G27" s="96" t="inlineStr">
        <is>
          <t>MEGALOAD DEVELOPMENT LOGISTICS CO., LTD.</t>
        </is>
      </c>
      <c r="H27" s="111" t="inlineStr">
        <is>
          <t>22GP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HASLS22261000928</t>
        </is>
      </c>
      <c r="N27" s="96" t="inlineStr">
        <is>
          <t xml:space="preserve">20'x10 </t>
        </is>
      </c>
      <c r="O27" s="111" t="inlineStr">
        <is>
          <t>2015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2026-10-24</t>
        </is>
      </c>
      <c r="W27" s="96" t="inlineStr">
        <is>
          <t>HKHKG</t>
        </is>
      </c>
      <c r="X27" s="161" t="inlineStr">
        <is>
          <t>2026-10-29</t>
        </is>
      </c>
      <c r="Y27" s="97" t="n"/>
      <c r="Z27" s="97" t="n"/>
      <c r="AA27" s="97" t="n"/>
      <c r="AB27" s="97" t="n"/>
      <c r="AC27" s="97" t="n"/>
      <c r="AD27" s="161" t="inlineStr">
        <is>
          <t>2026-10-22</t>
        </is>
      </c>
      <c r="AE27" s="174" t="inlineStr">
        <is>
          <t>1044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XIAMEN RUXIANG TRADING CO., LTD.</t>
        </is>
      </c>
      <c r="AK27" s="130" t="n">
        <v>0</v>
      </c>
    </row>
    <row r="28" ht="12" customHeight="1">
      <c r="A28" s="108" t="inlineStr">
        <is>
          <t>SKLU1621508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2026-10-21</t>
        </is>
      </c>
      <c r="E28" s="173" t="inlineStr">
        <is>
          <t>1119</t>
        </is>
      </c>
      <c r="F28" s="96" t="inlineStr">
        <is>
          <t>HASLS22261000870</t>
        </is>
      </c>
      <c r="G28" s="96" t="inlineStr">
        <is>
          <t>MEGALOAD DEVELOPMENT LOGISTICS CO., 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HASLS22261000870</t>
        </is>
      </c>
      <c r="N28" s="96" t="inlineStr">
        <is>
          <t xml:space="preserve">20'x10 </t>
        </is>
      </c>
      <c r="O28" s="111" t="inlineStr">
        <is>
          <t>2016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2026-10-24</t>
        </is>
      </c>
      <c r="W28" s="96" t="inlineStr">
        <is>
          <t>HKHKG</t>
        </is>
      </c>
      <c r="X28" s="161" t="inlineStr">
        <is>
          <t>2026-10-29</t>
        </is>
      </c>
      <c r="Y28" s="97" t="n"/>
      <c r="Z28" s="97" t="n"/>
      <c r="AA28" s="97" t="n"/>
      <c r="AB28" s="97" t="n"/>
      <c r="AC28" s="97" t="n"/>
      <c r="AD28" s="161" t="inlineStr">
        <is>
          <t>2026-10-22</t>
        </is>
      </c>
      <c r="AE28" s="174" t="inlineStr">
        <is>
          <t>1044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XIAMEN YUANHONGXIANG TRADING</t>
        </is>
      </c>
      <c r="AK28" s="130" t="n">
        <v>0</v>
      </c>
    </row>
    <row r="29" ht="12" customHeight="1">
      <c r="A29" s="108" t="inlineStr">
        <is>
          <t>SKLU1643301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2026-10-21</t>
        </is>
      </c>
      <c r="E29" s="173" t="inlineStr">
        <is>
          <t>0023</t>
        </is>
      </c>
      <c r="F29" s="96" t="inlineStr">
        <is>
          <t>HASLS22261000870</t>
        </is>
      </c>
      <c r="G29" s="96" t="inlineStr">
        <is>
          <t>MEGALOAD DEVELOPMENT LOGISTICS CO., LTD.</t>
        </is>
      </c>
      <c r="H29" s="111" t="inlineStr">
        <is>
          <t>22GP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HASLS22261000870</t>
        </is>
      </c>
      <c r="N29" s="96" t="inlineStr">
        <is>
          <t xml:space="preserve">20'x10 </t>
        </is>
      </c>
      <c r="O29" s="111" t="inlineStr">
        <is>
          <t>2016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2026-10-24</t>
        </is>
      </c>
      <c r="W29" s="96" t="inlineStr">
        <is>
          <t>HKHKG</t>
        </is>
      </c>
      <c r="X29" s="161" t="inlineStr">
        <is>
          <t>2026-10-29</t>
        </is>
      </c>
      <c r="Y29" s="97" t="n"/>
      <c r="Z29" s="97" t="n"/>
      <c r="AA29" s="97" t="n"/>
      <c r="AB29" s="97" t="n"/>
      <c r="AC29" s="97" t="n"/>
      <c r="AD29" s="161" t="inlineStr">
        <is>
          <t>2026-10-21</t>
        </is>
      </c>
      <c r="AE29" s="174" t="inlineStr">
        <is>
          <t>1024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XIAMEN YUANHONGXIANG TRADING</t>
        </is>
      </c>
      <c r="AK29" s="130" t="n">
        <v>0</v>
      </c>
    </row>
    <row r="30" ht="12" customHeight="1">
      <c r="A30" s="108" t="inlineStr">
        <is>
          <t>SKLU1823197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2026-10-21</t>
        </is>
      </c>
      <c r="E30" s="173" t="inlineStr">
        <is>
          <t>1924</t>
        </is>
      </c>
      <c r="F30" s="96" t="inlineStr">
        <is>
          <t>HASLS22261000928</t>
        </is>
      </c>
      <c r="G30" s="96" t="inlineStr">
        <is>
          <t>MEGALOAD DEVELOPMENT LOGISTICS CO., LTD.</t>
        </is>
      </c>
      <c r="H30" s="111" t="inlineStr">
        <is>
          <t>22GP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HASLS22261000928</t>
        </is>
      </c>
      <c r="N30" s="96" t="inlineStr">
        <is>
          <t xml:space="preserve">20'x10 </t>
        </is>
      </c>
      <c r="O30" s="111" t="inlineStr">
        <is>
          <t>2018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2026-10-24</t>
        </is>
      </c>
      <c r="W30" s="96" t="inlineStr">
        <is>
          <t>HKHKG</t>
        </is>
      </c>
      <c r="X30" s="161" t="inlineStr">
        <is>
          <t>2026-10-29</t>
        </is>
      </c>
      <c r="Y30" s="97" t="n"/>
      <c r="Z30" s="97" t="n"/>
      <c r="AA30" s="97" t="n"/>
      <c r="AB30" s="97" t="n"/>
      <c r="AC30" s="97" t="n"/>
      <c r="AD30" s="161" t="inlineStr">
        <is>
          <t>2026-10-22</t>
        </is>
      </c>
      <c r="AE30" s="174" t="inlineStr">
        <is>
          <t>1044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XIAMEN RUXIANG TRADING CO., LTD.</t>
        </is>
      </c>
      <c r="AK30" s="130" t="n">
        <v>0</v>
      </c>
    </row>
    <row r="31" ht="12" customHeight="1">
      <c r="A31" s="108" t="inlineStr">
        <is>
          <t>SKLU1934164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2026-10-21</t>
        </is>
      </c>
      <c r="E31" s="173" t="inlineStr">
        <is>
          <t>1853</t>
        </is>
      </c>
      <c r="F31" s="96" t="inlineStr">
        <is>
          <t>HASLS22261000928</t>
        </is>
      </c>
      <c r="G31" s="96" t="inlineStr">
        <is>
          <t>MEGALOAD DEVELOPMENT LOGISTICS CO., LTD.</t>
        </is>
      </c>
      <c r="H31" s="111" t="inlineStr">
        <is>
          <t>22GP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HASLS22261000928</t>
        </is>
      </c>
      <c r="N31" s="96" t="inlineStr">
        <is>
          <t xml:space="preserve">20'x10 </t>
        </is>
      </c>
      <c r="O31" s="111" t="inlineStr">
        <is>
          <t>2019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2026-10-24</t>
        </is>
      </c>
      <c r="W31" s="96" t="inlineStr">
        <is>
          <t>HKHKG</t>
        </is>
      </c>
      <c r="X31" s="161" t="inlineStr">
        <is>
          <t>2026-10-29</t>
        </is>
      </c>
      <c r="Y31" s="97" t="n"/>
      <c r="Z31" s="97" t="n"/>
      <c r="AA31" s="97" t="n"/>
      <c r="AB31" s="97" t="n"/>
      <c r="AC31" s="97" t="n"/>
      <c r="AD31" s="161" t="inlineStr">
        <is>
          <t>2026-10-22</t>
        </is>
      </c>
      <c r="AE31" s="174" t="inlineStr">
        <is>
          <t>1044</t>
        </is>
      </c>
      <c r="AF31" s="96" t="inlineStr">
        <is>
          <t>TBKK07</t>
        </is>
      </c>
      <c r="AG31" s="97" t="n"/>
      <c r="AH31" s="97" t="n"/>
      <c r="AI31" s="97" t="n"/>
      <c r="AJ31" s="96" t="inlineStr">
        <is>
          <t>XIAMEN RUXIANG TRADING CO., LTD.</t>
        </is>
      </c>
      <c r="AK31" s="130" t="n">
        <v>0</v>
      </c>
    </row>
    <row r="32" ht="12" customHeight="1">
      <c r="A32" s="108" t="inlineStr">
        <is>
          <t>SKLU1945169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2026-10-21</t>
        </is>
      </c>
      <c r="E32" s="173" t="inlineStr">
        <is>
          <t>1348</t>
        </is>
      </c>
      <c r="F32" s="96" t="inlineStr">
        <is>
          <t>HASLS22261000928</t>
        </is>
      </c>
      <c r="G32" s="96" t="inlineStr">
        <is>
          <t>MEGALOAD DEVELOPMENT LOGISTICS CO., LTD.</t>
        </is>
      </c>
      <c r="H32" s="111" t="inlineStr">
        <is>
          <t>22GP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HASLS22261000928</t>
        </is>
      </c>
      <c r="N32" s="96" t="inlineStr">
        <is>
          <t xml:space="preserve">20'x10 </t>
        </is>
      </c>
      <c r="O32" s="111" t="inlineStr">
        <is>
          <t>2019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2026-10-24</t>
        </is>
      </c>
      <c r="W32" s="96" t="inlineStr">
        <is>
          <t>HKHKG</t>
        </is>
      </c>
      <c r="X32" s="161" t="inlineStr">
        <is>
          <t>2026-10-29</t>
        </is>
      </c>
      <c r="Y32" s="97" t="n"/>
      <c r="Z32" s="97" t="n"/>
      <c r="AA32" s="97" t="n"/>
      <c r="AB32" s="97" t="n"/>
      <c r="AC32" s="97" t="n"/>
      <c r="AD32" s="161" t="inlineStr">
        <is>
          <t>2026-10-22</t>
        </is>
      </c>
      <c r="AE32" s="174" t="inlineStr">
        <is>
          <t>1044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XIAMEN RUXIANG TRADING CO., LTD.</t>
        </is>
      </c>
      <c r="AK32" s="130" t="n">
        <v>0</v>
      </c>
    </row>
    <row r="33" ht="12" customHeight="1">
      <c r="A33" s="108" t="inlineStr">
        <is>
          <t>SKLU1953009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2026-10-21</t>
        </is>
      </c>
      <c r="E33" s="173" t="inlineStr">
        <is>
          <t>1404</t>
        </is>
      </c>
      <c r="F33" s="96" t="inlineStr">
        <is>
          <t>HASLS22261000928</t>
        </is>
      </c>
      <c r="G33" s="96" t="inlineStr">
        <is>
          <t>MEGALOAD DEVELOPMENT LOGISTICS CO., LTD.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HASLS22261000928</t>
        </is>
      </c>
      <c r="N33" s="96" t="inlineStr">
        <is>
          <t xml:space="preserve">20'x10 </t>
        </is>
      </c>
      <c r="O33" s="111" t="inlineStr">
        <is>
          <t>2019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2026-10-24</t>
        </is>
      </c>
      <c r="W33" s="96" t="inlineStr">
        <is>
          <t>HKHKG</t>
        </is>
      </c>
      <c r="X33" s="161" t="inlineStr">
        <is>
          <t>2026-10-29</t>
        </is>
      </c>
      <c r="Y33" s="97" t="n"/>
      <c r="Z33" s="97" t="n"/>
      <c r="AA33" s="97" t="n"/>
      <c r="AB33" s="97" t="n"/>
      <c r="AC33" s="97" t="n"/>
      <c r="AD33" s="161" t="inlineStr">
        <is>
          <t>2026-10-22</t>
        </is>
      </c>
      <c r="AE33" s="174" t="inlineStr">
        <is>
          <t>1044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XIAMEN RUXIANG TRADING CO., LTD.</t>
        </is>
      </c>
      <c r="AK33" s="130" t="n">
        <v>0</v>
      </c>
    </row>
    <row r="34" ht="12" customHeight="1">
      <c r="A34" s="108" t="inlineStr">
        <is>
          <t>SKLU1958356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2026-10-21</t>
        </is>
      </c>
      <c r="E34" s="173" t="inlineStr">
        <is>
          <t>1157</t>
        </is>
      </c>
      <c r="F34" s="96" t="inlineStr">
        <is>
          <t>HASLS22261000870</t>
        </is>
      </c>
      <c r="G34" s="96" t="inlineStr">
        <is>
          <t>MEGALOAD DEVELOPMENT LOGISTICS CO., 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HASLS22261000870</t>
        </is>
      </c>
      <c r="N34" s="96" t="inlineStr">
        <is>
          <t xml:space="preserve">20'x10 </t>
        </is>
      </c>
      <c r="O34" s="111" t="inlineStr">
        <is>
          <t>2019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2026-10-24</t>
        </is>
      </c>
      <c r="W34" s="96" t="inlineStr">
        <is>
          <t>HKHKG</t>
        </is>
      </c>
      <c r="X34" s="161" t="inlineStr">
        <is>
          <t>2026-10-29</t>
        </is>
      </c>
      <c r="Y34" s="97" t="n"/>
      <c r="Z34" s="97" t="n"/>
      <c r="AA34" s="97" t="n"/>
      <c r="AB34" s="97" t="n"/>
      <c r="AC34" s="97" t="n"/>
      <c r="AD34" s="161" t="inlineStr">
        <is>
          <t>2026-10-22</t>
        </is>
      </c>
      <c r="AE34" s="174" t="inlineStr">
        <is>
          <t>1044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XIAMEN YUANHONGXIANG TRADING</t>
        </is>
      </c>
      <c r="AK34" s="130" t="n">
        <v>0</v>
      </c>
    </row>
    <row r="35" ht="12" customHeight="1">
      <c r="A35" s="108" t="inlineStr">
        <is>
          <t>SKLU2009272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2026-10-21</t>
        </is>
      </c>
      <c r="E35" s="173" t="inlineStr">
        <is>
          <t>1925</t>
        </is>
      </c>
      <c r="F35" s="96" t="inlineStr">
        <is>
          <t>HASLS22261000928</t>
        </is>
      </c>
      <c r="G35" s="96" t="inlineStr">
        <is>
          <t>MEGALOAD DEVELOPMENT LOGISTICS CO., LTD.</t>
        </is>
      </c>
      <c r="H35" s="111" t="inlineStr">
        <is>
          <t>22GP</t>
        </is>
      </c>
      <c r="I35" s="96" t="n"/>
      <c r="J35" s="96" t="inlineStr">
        <is>
          <t>Chuanchuen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HASLS22261000928</t>
        </is>
      </c>
      <c r="N35" s="96" t="inlineStr">
        <is>
          <t xml:space="preserve">20'x10 </t>
        </is>
      </c>
      <c r="O35" s="111" t="inlineStr">
        <is>
          <t>2019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2026-10-24</t>
        </is>
      </c>
      <c r="W35" s="96" t="inlineStr">
        <is>
          <t>HKHKG</t>
        </is>
      </c>
      <c r="X35" s="161" t="inlineStr">
        <is>
          <t>2026-10-29</t>
        </is>
      </c>
      <c r="Y35" s="97" t="n"/>
      <c r="Z35" s="97" t="n"/>
      <c r="AA35" s="97" t="n"/>
      <c r="AB35" s="97" t="n"/>
      <c r="AC35" s="97" t="n"/>
      <c r="AD35" s="161" t="inlineStr">
        <is>
          <t>2026-10-22</t>
        </is>
      </c>
      <c r="AE35" s="174" t="inlineStr">
        <is>
          <t>1044</t>
        </is>
      </c>
      <c r="AF35" s="96" t="inlineStr">
        <is>
          <t>TBKK07</t>
        </is>
      </c>
      <c r="AG35" s="97" t="n"/>
      <c r="AH35" s="97" t="n"/>
      <c r="AI35" s="97" t="n"/>
      <c r="AJ35" s="96" t="inlineStr">
        <is>
          <t>XIAMEN RUXIANG TRADING CO., LTD.</t>
        </is>
      </c>
      <c r="AK35" s="130" t="n">
        <v>0</v>
      </c>
    </row>
    <row r="36" ht="12" customHeight="1">
      <c r="A36" s="108" t="inlineStr">
        <is>
          <t>SKLU2055180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2026-10-18</t>
        </is>
      </c>
      <c r="E36" s="173" t="inlineStr">
        <is>
          <t>0112</t>
        </is>
      </c>
      <c r="F36" s="96" t="inlineStr">
        <is>
          <t>HASLS22261000781</t>
        </is>
      </c>
      <c r="G36" s="96" t="inlineStr">
        <is>
          <t>SAVINO DEL BENE (THAILAND) LTD.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HASLS22261000781</t>
        </is>
      </c>
      <c r="N36" s="96" t="inlineStr">
        <is>
          <t xml:space="preserve">20'x1 </t>
        </is>
      </c>
      <c r="O36" s="111" t="inlineStr">
        <is>
          <t>2019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2026-10-24</t>
        </is>
      </c>
      <c r="W36" s="96" t="inlineStr">
        <is>
          <t>CNSHK</t>
        </is>
      </c>
      <c r="X36" s="161" t="inlineStr">
        <is>
          <t>2026-10-30</t>
        </is>
      </c>
      <c r="Y36" s="97" t="n"/>
      <c r="Z36" s="97" t="n"/>
      <c r="AA36" s="97" t="n"/>
      <c r="AB36" s="97" t="n"/>
      <c r="AC36" s="97" t="n"/>
      <c r="AD36" s="161" t="inlineStr">
        <is>
          <t>2026-10-18</t>
        </is>
      </c>
      <c r="AE36" s="174" t="inlineStr">
        <is>
          <t>2359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SAVINO DEL BENE (SHANGHAI) CO.LTD.</t>
        </is>
      </c>
      <c r="AK36" s="130" t="n">
        <v>0</v>
      </c>
    </row>
    <row r="37" ht="12" customHeight="1">
      <c r="A37" s="108" t="inlineStr">
        <is>
          <t>SKLU2072193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2026-10-21</t>
        </is>
      </c>
      <c r="E37" s="173" t="inlineStr">
        <is>
          <t>1619</t>
        </is>
      </c>
      <c r="F37" s="96" t="inlineStr">
        <is>
          <t>HASLS22261000928</t>
        </is>
      </c>
      <c r="G37" s="96" t="inlineStr">
        <is>
          <t>MEGALOAD DEVELOPMENT LOGISTICS CO., LTD.</t>
        </is>
      </c>
      <c r="H37" s="111" t="inlineStr">
        <is>
          <t>22GP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HASLS22261000928</t>
        </is>
      </c>
      <c r="N37" s="96" t="inlineStr">
        <is>
          <t xml:space="preserve">20'x10 </t>
        </is>
      </c>
      <c r="O37" s="111" t="inlineStr">
        <is>
          <t>2019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2026-10-24</t>
        </is>
      </c>
      <c r="W37" s="96" t="inlineStr">
        <is>
          <t>HKHKG</t>
        </is>
      </c>
      <c r="X37" s="161" t="inlineStr">
        <is>
          <t>2026-10-29</t>
        </is>
      </c>
      <c r="Y37" s="97" t="n"/>
      <c r="Z37" s="97" t="n"/>
      <c r="AA37" s="97" t="n"/>
      <c r="AB37" s="97" t="n"/>
      <c r="AC37" s="97" t="n"/>
      <c r="AD37" s="161" t="inlineStr">
        <is>
          <t>2026-10-22</t>
        </is>
      </c>
      <c r="AE37" s="174" t="inlineStr">
        <is>
          <t>1044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XIAMEN RUXIANG TRADING CO., LTD.</t>
        </is>
      </c>
      <c r="AK37" s="130" t="n">
        <v>0</v>
      </c>
    </row>
    <row r="38" ht="12" customHeight="1">
      <c r="A38" s="108" t="inlineStr">
        <is>
          <t>SKLU2117575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2026-10-21</t>
        </is>
      </c>
      <c r="E38" s="173" t="inlineStr">
        <is>
          <t>0024</t>
        </is>
      </c>
      <c r="F38" s="96" t="inlineStr">
        <is>
          <t>HASLS22261000870</t>
        </is>
      </c>
      <c r="G38" s="96" t="inlineStr">
        <is>
          <t>MEGALOAD DEVELOPMENT LOGISTICS CO., LTD.</t>
        </is>
      </c>
      <c r="H38" s="111" t="inlineStr">
        <is>
          <t>22GP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HASLS22261000870</t>
        </is>
      </c>
      <c r="N38" s="96" t="inlineStr">
        <is>
          <t xml:space="preserve">20'x10 </t>
        </is>
      </c>
      <c r="O38" s="111" t="inlineStr">
        <is>
          <t>2021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2026-10-24</t>
        </is>
      </c>
      <c r="W38" s="96" t="inlineStr">
        <is>
          <t>HKHKG</t>
        </is>
      </c>
      <c r="X38" s="161" t="inlineStr">
        <is>
          <t>2026-10-29</t>
        </is>
      </c>
      <c r="Y38" s="97" t="n"/>
      <c r="Z38" s="97" t="n"/>
      <c r="AA38" s="97" t="n"/>
      <c r="AB38" s="97" t="n"/>
      <c r="AC38" s="97" t="n"/>
      <c r="AD38" s="161" t="inlineStr">
        <is>
          <t>2026-10-21</t>
        </is>
      </c>
      <c r="AE38" s="174" t="inlineStr">
        <is>
          <t>1024</t>
        </is>
      </c>
      <c r="AF38" s="96" t="inlineStr">
        <is>
          <t>TBKK07</t>
        </is>
      </c>
      <c r="AG38" s="97" t="n"/>
      <c r="AH38" s="97" t="n"/>
      <c r="AI38" s="97" t="n"/>
      <c r="AJ38" s="96" t="inlineStr">
        <is>
          <t>XIAMEN YUANHONGXIANG TRADING</t>
        </is>
      </c>
      <c r="AK38" s="130" t="n">
        <v>0</v>
      </c>
    </row>
    <row r="39" ht="12" customHeight="1">
      <c r="A39" s="108" t="inlineStr">
        <is>
          <t>TCNU5293000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2026-10-20</t>
        </is>
      </c>
      <c r="E39" s="173" t="inlineStr">
        <is>
          <t>2148</t>
        </is>
      </c>
      <c r="F39" s="96" t="inlineStr">
        <is>
          <t>HASLS22261000887</t>
        </is>
      </c>
      <c r="G39" s="96" t="inlineStr">
        <is>
          <t>DIMERCO EXPRESS (THAILAND) CO., LTD.</t>
        </is>
      </c>
      <c r="H39" s="111" t="inlineStr">
        <is>
          <t>45GP</t>
        </is>
      </c>
      <c r="I39" s="96" t="n"/>
      <c r="J39" s="96" t="inlineStr">
        <is>
          <t>Sirichai Prayochananon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HASLS22261000887</t>
        </is>
      </c>
      <c r="N39" s="96" t="inlineStr">
        <is>
          <t xml:space="preserve">40Hx2 </t>
        </is>
      </c>
      <c r="O39" s="111" t="inlineStr">
        <is>
          <t>2013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2026-10-24</t>
        </is>
      </c>
      <c r="W39" s="96" t="inlineStr">
        <is>
          <t>HKHKG</t>
        </is>
      </c>
      <c r="X39" s="161" t="inlineStr">
        <is>
          <t>2026-10-29</t>
        </is>
      </c>
      <c r="Y39" s="97" t="n"/>
      <c r="Z39" s="97" t="n"/>
      <c r="AA39" s="97" t="n"/>
      <c r="AB39" s="97" t="n"/>
      <c r="AC39" s="97" t="n"/>
      <c r="AD39" s="161" t="inlineStr">
        <is>
          <t>2026-10-24</t>
        </is>
      </c>
      <c r="AE39" s="174" t="inlineStr">
        <is>
          <t>1513</t>
        </is>
      </c>
      <c r="AF39" s="96" t="inlineStr">
        <is>
          <t>TBKK42</t>
        </is>
      </c>
      <c r="AG39" s="97" t="n"/>
      <c r="AH39" s="97" t="n"/>
      <c r="AI39" s="97" t="n"/>
      <c r="AJ39" s="96" t="inlineStr">
        <is>
          <t>DIVERSIFIED FREIGHT SYSTEM LTD.</t>
        </is>
      </c>
      <c r="AK39" s="130" t="n">
        <v>0</v>
      </c>
    </row>
    <row r="40" ht="12" customHeight="1">
      <c r="A40" s="108" t="inlineStr">
        <is>
          <t>TEMU3903206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2026-10-21</t>
        </is>
      </c>
      <c r="E40" s="173" t="inlineStr">
        <is>
          <t>1219</t>
        </is>
      </c>
      <c r="F40" s="96" t="inlineStr">
        <is>
          <t>HASLS22261000870</t>
        </is>
      </c>
      <c r="G40" s="96" t="inlineStr">
        <is>
          <t>MEGALOAD DEVELOPMENT LOGISTICS CO.,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HASLS22261000870</t>
        </is>
      </c>
      <c r="N40" s="96" t="inlineStr">
        <is>
          <t xml:space="preserve">20'x10 </t>
        </is>
      </c>
      <c r="O40" s="111" t="inlineStr">
        <is>
          <t>2012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2026-10-24</t>
        </is>
      </c>
      <c r="W40" s="96" t="inlineStr">
        <is>
          <t>HKHKG</t>
        </is>
      </c>
      <c r="X40" s="161" t="inlineStr">
        <is>
          <t>2026-10-29</t>
        </is>
      </c>
      <c r="Y40" s="97" t="n"/>
      <c r="Z40" s="97" t="n"/>
      <c r="AA40" s="97" t="n"/>
      <c r="AB40" s="97" t="n"/>
      <c r="AC40" s="97" t="n"/>
      <c r="AD40" s="161" t="inlineStr">
        <is>
          <t>2026-10-22</t>
        </is>
      </c>
      <c r="AE40" s="174" t="inlineStr">
        <is>
          <t>1044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XIAMEN YUANHONGXIANG TRADING</t>
        </is>
      </c>
      <c r="AK40" s="130" t="n">
        <v>0</v>
      </c>
    </row>
    <row r="41" ht="12" customHeight="1">
      <c r="A41" s="108" t="inlineStr">
        <is>
          <t>TGCU2400432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2026-10-20</t>
        </is>
      </c>
      <c r="E41" s="173" t="inlineStr">
        <is>
          <t>0032</t>
        </is>
      </c>
      <c r="F41" s="96" t="inlineStr">
        <is>
          <t>HASLS22261000780</t>
        </is>
      </c>
      <c r="G41" s="96" t="inlineStr">
        <is>
          <t>YUSEN LOGISTICS (THAILAND) CO., LTD.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HASLS22261000780</t>
        </is>
      </c>
      <c r="N41" s="96" t="inlineStr">
        <is>
          <t xml:space="preserve">20'x1 </t>
        </is>
      </c>
      <c r="O41" s="111" t="inlineStr">
        <is>
          <t>2023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2026-10-24</t>
        </is>
      </c>
      <c r="W41" s="96" t="inlineStr">
        <is>
          <t>HKHKG</t>
        </is>
      </c>
      <c r="X41" s="161" t="inlineStr">
        <is>
          <t>2026-10-29</t>
        </is>
      </c>
      <c r="Y41" s="97" t="n"/>
      <c r="Z41" s="97" t="n"/>
      <c r="AA41" s="97" t="n"/>
      <c r="AB41" s="97" t="n"/>
      <c r="AC41" s="97" t="n"/>
      <c r="AD41" s="161" t="inlineStr">
        <is>
          <t>2026-10-20</t>
        </is>
      </c>
      <c r="AE41" s="174" t="inlineStr">
        <is>
          <t>0953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YUSEN LOGISTICS (HONG KONG) LTD.</t>
        </is>
      </c>
      <c r="AK41" s="130" t="n">
        <v>0</v>
      </c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45830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45830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BEAU2406038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HASLS22261000870</v>
      </c>
      <c r="E3" s="62" t="str">
        <f>VLOOKUP(D3,'2.Bookinglist'!A:CT,27,FALSE)</f>
        <v>MEGALOAD DEVELOPMENT LOGISTICS CO., LTD.</v>
      </c>
      <c r="F3" s="62" t="str">
        <f>VLOOKUP(D3,'2.Bookinglist'!A:CT,28,FALSE)</f>
        <v>FISHMEAL MARKETING DEVELOPMENT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>DG</v>
      </c>
      <c r="N3" s="60" t="str">
        <f>IF(RIGHT(K3,2)="RE","RF","")</f>
        <v/>
      </c>
      <c r="O3" s="61" t="str">
        <f>VLOOKUP(A3,'1.Loading'!A:R,3,FALSE)</f>
        <v>CMA</v>
      </c>
      <c r="P3" s="61" t="str">
        <f>VLOOKUP(A3,'1.Loading'!A:R,4,FALSE)</f>
        <v>2615N</v>
      </c>
      <c r="Q3" s="61" t="str">
        <f>VLOOKUP(D3,'2.Bookinglist'!A:CT,12,FALSE)</f>
        <v>KTS1</v>
      </c>
      <c r="R3" s="60" t="str">
        <f>IF(LEFT(K3,2)="22","20'","40'")</f>
        <v>20'</v>
      </c>
      <c r="S3" s="101" t="n"/>
      <c r="T3" s="61" t="str">
        <f>VLOOKUP(A3,'1.Loading'!A:R,2,FALSE)</f>
        <v>2026-10-24</v>
      </c>
      <c r="U3" s="63">
        <f>T3-S3</f>
        <v>46319</v>
      </c>
      <c r="V3" s="178" t="n"/>
      <c r="W3" s="61" t="str">
        <f>VLOOKUP(A3,'3.GateMove'!A:D,4,FALSE)</f>
        <v>2026-10-21</v>
      </c>
      <c r="X3" s="63">
        <f>((T3-W3)+1)</f>
        <v>4</v>
      </c>
      <c r="Y3" s="64">
        <f>IF(AND(OR(C3="BKK01",C3="BKK04"),L3="CFS/CY"),0,IF(M3="DG",1,IF(LEFT(C3,3)="LCH",7,IF(C3="BKK02",5,3))))</f>
        <v>1</v>
      </c>
      <c r="Z3" s="63">
        <f>IF(IF(AND(AC3="TML",AB3&gt;0),((T3-W3)+1)-AB3,((T3-W3)+1)-Y3)&gt;0,IF(AND(AC3="TML",AB3&gt;0),((T3-W3)+1)-AB3,((T3-W3)+1)-Y3),0)</f>
        <v>3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1440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46320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1440</v>
      </c>
      <c r="AJ3" s="70" t="n"/>
      <c r="AK3" s="62" t="str">
        <f>VLOOKUP(D3,'2.Bookinglist'!A:CT,40,FALSE)</f>
        <v>Tarn(Supaporn)</v>
      </c>
      <c r="AL3" s="60" t="str">
        <f>VLOOKUP(D3,'2.Bookinglist'!A:CW,101,FALSE)</f>
        <v>2026-10-23</v>
      </c>
      <c r="AM3" s="60" t="str">
        <f>VLOOKUP(D3,'2.Bookinglist'!A:BK,63,FALSE)</f>
        <v>BKK27</v>
      </c>
      <c r="AN3" s="62" t="str">
        <f>VLOOKUP(D3,'2.Bookinglist'!A:AZ,52,FALSE)</f>
        <v>**APPROVED BY Jeong-Yong UM DD.14/10/2026** DG22GPx10 (CLS 9 / UN 2216) 
Pickup : 2026-10-19, Return : 2026-10-20  </v>
      </c>
      <c r="AO3" s="62">
        <f>VLOOKUP(D3,'2.Bookinglist'!A:CY,103,FALSE)</f>
        <v>0</v>
      </c>
    </row>
    <row r="4" ht="12.95" customHeight="1">
      <c r="A4" s="96" t="inlineStr">
        <is>
          <t>FBIU5372781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HASLS22260902706</v>
      </c>
      <c r="E4" s="62" t="str">
        <f>VLOOKUP(D4,'2.Bookinglist'!A:CT,27,FALSE)</f>
        <v>THAI AGRI FOODS PUBLIC COMPANY LIMITED</v>
      </c>
      <c r="F4" s="62" t="str">
        <f>VLOOKUP(D4,'2.Bookinglist'!A:CT,28,FALSE)</f>
        <v>THAI AGRI FOODS PUBLIC COMPANY LIMITED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RUVVO</v>
      </c>
      <c r="J4" s="61" t="str">
        <f>VLOOKUP(D4,'2.Bookinglist'!A:CT,26,FALSE)</f>
        <v>KRPUS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CMA</v>
      </c>
      <c r="P4" s="61" t="str">
        <f>VLOOKUP(A4,'1.Loading'!A:R,4,FALSE)</f>
        <v>2615N</v>
      </c>
      <c r="Q4" s="61" t="str">
        <f>VLOOKUP(D4,'2.Bookinglist'!A:CT,12,FALSE)</f>
        <v>KTS1</v>
      </c>
      <c r="R4" s="60" t="str">
        <f>IF(LEFT(K4,2)="22","20'","40'")</f>
        <v>40'</v>
      </c>
      <c r="S4" s="185" t="n"/>
      <c r="T4" s="61" t="str">
        <f>VLOOKUP(A4,'1.Loading'!A:R,2,FALSE)</f>
        <v>2026-10-24</v>
      </c>
      <c r="U4" s="63">
        <f>T4-S4</f>
        <v>46319</v>
      </c>
      <c r="V4" s="186" t="n"/>
      <c r="W4" s="61" t="str">
        <f>VLOOKUP(A4,'3.GateMove'!A:D,4,FALSE)</f>
        <v>2026-10-20</v>
      </c>
      <c r="X4" s="63">
        <f>((T4-W4)+1)</f>
        <v>5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2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640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46320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640</v>
      </c>
      <c r="AJ4" s="188" t="n"/>
      <c r="AK4" s="62" t="str">
        <f>VLOOKUP(D4,'2.Bookinglist'!A:CT,40,FALSE)</f>
        <v>Insuk Heo</v>
      </c>
      <c r="AL4" s="60" t="str">
        <f>VLOOKUP(D4,'2.Bookinglist'!A:CW,101,FALSE)</f>
        <v>2026-10-22</v>
      </c>
      <c r="AM4" s="60" t="str">
        <f>VLOOKUP(D4,'2.Bookinglist'!A:BK,63,FALSE)</f>
        <v>BKK27</v>
      </c>
      <c r="AN4" s="62" t="str">
        <f>VLOOKUP(D4,'2.Bookinglist'!A:AZ,52,FALSE)</f>
        <v>Pickup : 2026-10-17, Return : 2026-10-19 (Temp +10.0 / Vent Close) 
 CLS TIME 20/10 @15.00 [1ST RTN 19/10 W/O RENT &amp; ELECTRIC] </v>
      </c>
      <c r="AO4" s="62">
        <f>VLOOKUP(D4,'2.Bookinglist'!A:CY,103,FALSE)</f>
        <v>0</v>
      </c>
    </row>
    <row r="5" ht="12.95" customHeight="1">
      <c r="A5" s="96" t="inlineStr">
        <is>
          <t>FBIU5373371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HASLS22260902708</v>
      </c>
      <c r="E5" s="62" t="str">
        <f>VLOOKUP(D5,'2.Bookinglist'!A:CT,27,FALSE)</f>
        <v>THAI AGRI FOODS PUBLIC COMPANY LIMITED</v>
      </c>
      <c r="F5" s="62" t="str">
        <f>VLOOKUP(D5,'2.Bookinglist'!A:CT,28,FALSE)</f>
        <v>THAI AGRI FOODS PUBLIC COMPANY LIMITED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RUVVO</v>
      </c>
      <c r="J5" s="61" t="str">
        <f>VLOOKUP(D5,'2.Bookinglist'!A:CT,26,FALSE)</f>
        <v>KRPUS</v>
      </c>
      <c r="K5" s="61" t="str">
        <f>VLOOKUP(A5,'1.Loading'!A:R,5,FALSE)</f>
        <v>45RE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>RF</v>
      </c>
      <c r="O5" s="61" t="str">
        <f>VLOOKUP(A5,'1.Loading'!A:R,3,FALSE)</f>
        <v>CMA</v>
      </c>
      <c r="P5" s="61" t="str">
        <f>VLOOKUP(A5,'1.Loading'!A:R,4,FALSE)</f>
        <v>2615N</v>
      </c>
      <c r="Q5" s="61" t="str">
        <f>VLOOKUP(D5,'2.Bookinglist'!A:CT,12,FALSE)</f>
        <v>KTS1</v>
      </c>
      <c r="R5" s="60" t="str">
        <f>IF(LEFT(K5,2)="22","20'","40'")</f>
        <v>40'</v>
      </c>
      <c r="S5" s="185" t="n"/>
      <c r="T5" s="61" t="str">
        <f>VLOOKUP(A5,'1.Loading'!A:R,2,FALSE)</f>
        <v>2026-10-24</v>
      </c>
      <c r="U5" s="63">
        <f>T5-S5</f>
        <v>46319</v>
      </c>
      <c r="V5" s="186" t="n"/>
      <c r="W5" s="61" t="str">
        <f>VLOOKUP(A5,'3.GateMove'!A:D,4,FALSE)</f>
        <v>2026-10-19</v>
      </c>
      <c r="X5" s="63">
        <f>((T5-W5)+1)</f>
        <v>6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3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184" t="n"/>
      <c r="AC5" s="184" t="n"/>
      <c r="AD5" s="60">
        <f>IF(M5="DG",3,IF(N5="RF",3,5))+IF(AND(LEFT(C5,3)="BKK",N5="RF",Q5="KTS"),1,0)+IF(Q5="KHS",1,0)</f>
        <v>3</v>
      </c>
      <c r="AE5" s="63">
        <f>(T5-V5)+1</f>
        <v>46320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960</v>
      </c>
      <c r="AJ5" s="188" t="n"/>
      <c r="AK5" s="62" t="str">
        <f>VLOOKUP(D5,'2.Bookinglist'!A:CT,40,FALSE)</f>
        <v>Insuk Heo</v>
      </c>
      <c r="AL5" s="60" t="str">
        <f>VLOOKUP(D5,'2.Bookinglist'!A:CW,101,FALSE)</f>
        <v>2026-10-22</v>
      </c>
      <c r="AM5" s="60" t="str">
        <f>VLOOKUP(D5,'2.Bookinglist'!A:BK,63,FALSE)</f>
        <v>BKK27</v>
      </c>
      <c r="AN5" s="62" t="str">
        <f>VLOOKUP(D5,'2.Bookinglist'!A:AZ,52,FALSE)</f>
        <v>Pickup : 2026-10-17, Return : 2026-10-19  (Temp +10.0 / Vent Close) 
CLS TIME 20/10/26 @23.59</v>
      </c>
      <c r="AO5" s="62">
        <f>VLOOKUP(D5,'2.Bookinglist'!A:CY,103,FALSE)</f>
        <v>0</v>
      </c>
    </row>
    <row r="6" ht="12.95" customHeight="1">
      <c r="A6" s="96" t="inlineStr">
        <is>
          <t>HALU2026094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HASLS22261000870</v>
      </c>
      <c r="E6" s="62" t="str">
        <f>VLOOKUP(D6,'2.Bookinglist'!A:CT,27,FALSE)</f>
        <v>MEGALOAD DEVELOPMENT LOGISTICS CO., LTD.</v>
      </c>
      <c r="F6" s="62" t="str">
        <f>VLOOKUP(D6,'2.Bookinglist'!A:CT,28,FALSE)</f>
        <v>FISHMEAL MARKETING DEVELOPMENT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>DG</v>
      </c>
      <c r="N6" s="60" t="str">
        <f>IF(RIGHT(K6,2)="RE","RF","")</f>
        <v/>
      </c>
      <c r="O6" s="61" t="str">
        <f>VLOOKUP(A6,'1.Loading'!A:R,3,FALSE)</f>
        <v>CMA</v>
      </c>
      <c r="P6" s="61" t="str">
        <f>VLOOKUP(A6,'1.Loading'!A:R,4,FALSE)</f>
        <v>2615N</v>
      </c>
      <c r="Q6" s="61" t="str">
        <f>VLOOKUP(D6,'2.Bookinglist'!A:CT,12,FALSE)</f>
        <v>KTS1</v>
      </c>
      <c r="R6" s="60" t="str">
        <f>IF(LEFT(K6,2)="22","20'","40'")</f>
        <v>20'</v>
      </c>
      <c r="S6" s="185" t="n"/>
      <c r="T6" s="61" t="str">
        <f>VLOOKUP(A6,'1.Loading'!A:R,2,FALSE)</f>
        <v>2026-10-24</v>
      </c>
      <c r="U6" s="63">
        <f>T6-S6</f>
        <v>46319</v>
      </c>
      <c r="V6" s="186" t="n"/>
      <c r="W6" s="61" t="str">
        <f>VLOOKUP(A6,'3.GateMove'!A:D,4,FALSE)</f>
        <v>2026-10-21</v>
      </c>
      <c r="X6" s="63">
        <f>((T6-W6)+1)</f>
        <v>4</v>
      </c>
      <c r="Y6" s="64">
        <f>IF(AND(OR(C6="BKK01",C6="BKK04"),L6="CFS/CY"),0,IF(M6="DG",1,IF(LEFT(C6,3)="LCH",7,IF(C6="BKK02",5,3))))</f>
        <v>1</v>
      </c>
      <c r="Z6" s="63">
        <f>IF(IF(AND(AC6="TML",AB6&gt;0),((T6-W6)+1)-AB6,((T6-W6)+1)-Y6)&gt;0,IF(AND(AC6="TML",AB6&gt;0),((T6-W6)+1)-AB6,((T6-W6)+1)-Y6),0)</f>
        <v>3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1440</v>
      </c>
      <c r="AB6" s="184" t="n"/>
      <c r="AC6" s="184" t="n"/>
      <c r="AD6" s="60">
        <f>IF(M6="DG",3,IF(N6="RF",3,5))+IF(AND(LEFT(C6,3)="BKK",N6="RF",Q6="KTS"),1,0)+IF(Q6="KHS",1,0)</f>
        <v>3</v>
      </c>
      <c r="AE6" s="63">
        <f>(T6-V6)+1</f>
        <v>46320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1440</v>
      </c>
      <c r="AJ6" s="188" t="n"/>
      <c r="AK6" s="62" t="str">
        <f>VLOOKUP(D6,'2.Bookinglist'!A:CT,40,FALSE)</f>
        <v>Tarn(Supaporn)</v>
      </c>
      <c r="AL6" s="60" t="str">
        <f>VLOOKUP(D6,'2.Bookinglist'!A:CW,101,FALSE)</f>
        <v>2026-10-23</v>
      </c>
      <c r="AM6" s="60" t="str">
        <f>VLOOKUP(D6,'2.Bookinglist'!A:BK,63,FALSE)</f>
        <v>BKK27</v>
      </c>
      <c r="AN6" s="62" t="str">
        <f>VLOOKUP(D6,'2.Bookinglist'!A:AZ,52,FALSE)</f>
        <v>**APPROVED BY Jeong-Yong UM DD.14/10/2026** DG22GPx10 (CLS 9 / UN 2216) 
Pickup : 2026-10-19, Return : 2026-10-20  </v>
      </c>
      <c r="AO6" s="62">
        <f>VLOOKUP(D6,'2.Bookinglist'!A:CY,103,FALSE)</f>
        <v>0</v>
      </c>
    </row>
    <row r="7" ht="12.95" customHeight="1">
      <c r="A7" s="96" t="inlineStr">
        <is>
          <t>HALU2028883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HASLS22260902602</v>
      </c>
      <c r="E7" s="62" t="str">
        <f>VLOOKUP(D7,'2.Bookinglist'!A:CT,27,FALSE)</f>
        <v>ACE INTER FREIGHT CO., LTD.</v>
      </c>
      <c r="F7" s="62" t="str">
        <f>VLOOKUP(D7,'2.Bookinglist'!A:CT,28,FALSE)</f>
        <v>SIAM FURUKAWA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>DG</v>
      </c>
      <c r="N7" s="60" t="str">
        <f>IF(RIGHT(K7,2)="RE","RF","")</f>
        <v/>
      </c>
      <c r="O7" s="61" t="str">
        <f>VLOOKUP(A7,'1.Loading'!A:R,3,FALSE)</f>
        <v>CMA</v>
      </c>
      <c r="P7" s="61" t="str">
        <f>VLOOKUP(A7,'1.Loading'!A:R,4,FALSE)</f>
        <v>2615N</v>
      </c>
      <c r="Q7" s="61" t="str">
        <f>VLOOKUP(D7,'2.Bookinglist'!A:CT,12,FALSE)</f>
        <v>KTS1</v>
      </c>
      <c r="R7" s="60" t="str">
        <f>IF(LEFT(K7,2)="22","20'","40'")</f>
        <v>20'</v>
      </c>
      <c r="S7" s="185" t="n"/>
      <c r="T7" s="61" t="str">
        <f>VLOOKUP(A7,'1.Loading'!A:R,2,FALSE)</f>
        <v>2026-10-24</v>
      </c>
      <c r="U7" s="63">
        <f>T7-S7</f>
        <v>46319</v>
      </c>
      <c r="V7" s="186" t="n"/>
      <c r="W7" s="61" t="str">
        <f>VLOOKUP(A7,'3.GateMove'!A:D,4,FALSE)</f>
        <v>2026-10-20</v>
      </c>
      <c r="X7" s="63">
        <f>((T7-W7)+1)</f>
        <v>5</v>
      </c>
      <c r="Y7" s="64">
        <f>IF(AND(OR(C7="BKK01",C7="BKK04"),L7="CFS/CY"),0,IF(M7="DG",1,IF(LEFT(C7,3)="LCH",7,IF(C7="BKK02",5,3))))</f>
        <v>1</v>
      </c>
      <c r="Z7" s="63">
        <f>IF(IF(AND(AC7="TML",AB7&gt;0),((T7-W7)+1)-AB7,((T7-W7)+1)-Y7)&gt;0,IF(AND(AC7="TML",AB7&gt;0),((T7-W7)+1)-AB7,((T7-W7)+1)-Y7),0)</f>
        <v>4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1920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46320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1920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2026-10-17</v>
      </c>
      <c r="AM7" s="60" t="str">
        <f>VLOOKUP(D7,'2.Bookinglist'!A:BK,63,FALSE)</f>
        <v>BKK27</v>
      </c>
      <c r="AN7" s="62" t="str">
        <f>VLOOKUP(D7,'2.Bookinglist'!A:AZ,52,FALSE)</f>
        <v>APPROVAL BY Mr.Jeong-Yong UM DD.20/10/2026  DG22GPx1 (CLS 8 / UN 2794) 
Pickup : 2026-10-14, Return : 2026-10-15 </v>
      </c>
      <c r="AO7" s="62">
        <f>VLOOKUP(D7,'2.Bookinglist'!A:CY,103,FALSE)</f>
        <v>0</v>
      </c>
    </row>
    <row r="8" ht="12.95" customHeight="1">
      <c r="A8" s="96" t="inlineStr">
        <is>
          <t>HALU2036240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HASLS22261000870</v>
      </c>
      <c r="E8" s="62" t="str">
        <f>VLOOKUP(D8,'2.Bookinglist'!A:CT,27,FALSE)</f>
        <v>MEGALOAD DEVELOPMENT LOGISTICS CO., LTD.</v>
      </c>
      <c r="F8" s="62" t="str">
        <f>VLOOKUP(D8,'2.Bookinglist'!A:CT,28,FALSE)</f>
        <v>FISHMEAL MARKETING DEVELOPMENT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>DG</v>
      </c>
      <c r="N8" s="60" t="str">
        <f>IF(RIGHT(K8,2)="RE","RF","")</f>
        <v/>
      </c>
      <c r="O8" s="61" t="str">
        <f>VLOOKUP(A8,'1.Loading'!A:R,3,FALSE)</f>
        <v>CMA</v>
      </c>
      <c r="P8" s="61" t="str">
        <f>VLOOKUP(A8,'1.Loading'!A:R,4,FALSE)</f>
        <v>2615N</v>
      </c>
      <c r="Q8" s="61" t="str">
        <f>VLOOKUP(D8,'2.Bookinglist'!A:CT,12,FALSE)</f>
        <v>KTS1</v>
      </c>
      <c r="R8" s="60" t="str">
        <f>IF(LEFT(K8,2)="22","20'","40'")</f>
        <v>20'</v>
      </c>
      <c r="S8" s="185" t="n"/>
      <c r="T8" s="61" t="str">
        <f>VLOOKUP(A8,'1.Loading'!A:R,2,FALSE)</f>
        <v>2026-10-24</v>
      </c>
      <c r="U8" s="63">
        <f>T8-S8</f>
        <v>46319</v>
      </c>
      <c r="V8" s="186" t="n"/>
      <c r="W8" s="61" t="str">
        <f>VLOOKUP(A8,'3.GateMove'!A:D,4,FALSE)</f>
        <v>2026-10-21</v>
      </c>
      <c r="X8" s="63">
        <f>((T8-W8)+1)</f>
        <v>4</v>
      </c>
      <c r="Y8" s="64">
        <f>IF(AND(OR(C8="BKK01",C8="BKK04"),L8="CFS/CY"),0,IF(M8="DG",1,IF(LEFT(C8,3)="LCH",7,IF(C8="BKK02",5,3))))</f>
        <v>1</v>
      </c>
      <c r="Z8" s="63">
        <f>IF(IF(AND(AC8="TML",AB8&gt;0),((T8-W8)+1)-AB8,((T8-W8)+1)-Y8)&gt;0,IF(AND(AC8="TML",AB8&gt;0),((T8-W8)+1)-AB8,((T8-W8)+1)-Y8),0)</f>
        <v>3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1440</v>
      </c>
      <c r="AB8" s="184" t="n"/>
      <c r="AC8" s="184" t="n"/>
      <c r="AD8" s="60">
        <f>IF(M8="DG",3,IF(N8="RF",3,5))+IF(AND(LEFT(C8,3)="BKK",N8="RF",Q8="KTS"),1,0)+IF(Q8="KHS",1,0)</f>
        <v>3</v>
      </c>
      <c r="AE8" s="63">
        <f>(T8-V8)+1</f>
        <v>46320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1440</v>
      </c>
      <c r="AJ8" s="188" t="n"/>
      <c r="AK8" s="62" t="str">
        <f>VLOOKUP(D8,'2.Bookinglist'!A:CT,40,FALSE)</f>
        <v>Tarn(Supaporn)</v>
      </c>
      <c r="AL8" s="60" t="str">
        <f>VLOOKUP(D8,'2.Bookinglist'!A:CW,101,FALSE)</f>
        <v>2026-10-23</v>
      </c>
      <c r="AM8" s="60" t="str">
        <f>VLOOKUP(D8,'2.Bookinglist'!A:BK,63,FALSE)</f>
        <v>BKK27</v>
      </c>
      <c r="AN8" s="62" t="str">
        <f>VLOOKUP(D8,'2.Bookinglist'!A:AZ,52,FALSE)</f>
        <v>**APPROVED BY Jeong-Yong UM DD.14/10/2026** DG22GPx10 (CLS 9 / UN 2216) 
Pickup : 2026-10-19, Return : 2026-10-20  </v>
      </c>
      <c r="AO8" s="62">
        <f>VLOOKUP(D8,'2.Bookinglist'!A:CY,103,FALSE)</f>
        <v>0</v>
      </c>
    </row>
    <row r="9" ht="12.95" customHeight="1">
      <c r="A9" s="96" t="inlineStr">
        <is>
          <t>HALU2093615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HASLS22261000870</v>
      </c>
      <c r="E9" s="62" t="str">
        <f>VLOOKUP(D9,'2.Bookinglist'!A:CT,27,FALSE)</f>
        <v>MEGALOAD DEVELOPMENT LOGISTICS CO., LTD.</v>
      </c>
      <c r="F9" s="62" t="str">
        <f>VLOOKUP(D9,'2.Bookinglist'!A:CT,28,FALSE)</f>
        <v>FISHMEAL MARKETING DEVELOPMENT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>DG</v>
      </c>
      <c r="N9" s="60" t="str">
        <f>IF(RIGHT(K9,2)="RE","RF","")</f>
        <v/>
      </c>
      <c r="O9" s="61" t="str">
        <f>VLOOKUP(A9,'1.Loading'!A:R,3,FALSE)</f>
        <v>CMA</v>
      </c>
      <c r="P9" s="61" t="str">
        <f>VLOOKUP(A9,'1.Loading'!A:R,4,FALSE)</f>
        <v>2615N</v>
      </c>
      <c r="Q9" s="61" t="str">
        <f>VLOOKUP(D9,'2.Bookinglist'!A:CT,12,FALSE)</f>
        <v>KTS1</v>
      </c>
      <c r="R9" s="60" t="str">
        <f>IF(LEFT(K9,2)="22","20'","40'")</f>
        <v>20'</v>
      </c>
      <c r="S9" s="185" t="n"/>
      <c r="T9" s="61" t="str">
        <f>VLOOKUP(A9,'1.Loading'!A:R,2,FALSE)</f>
        <v>2026-10-24</v>
      </c>
      <c r="U9" s="63">
        <f>T9-S9</f>
        <v>46319</v>
      </c>
      <c r="V9" s="186" t="n"/>
      <c r="W9" s="61" t="str">
        <f>VLOOKUP(A9,'3.GateMove'!A:D,4,FALSE)</f>
        <v>2026-10-21</v>
      </c>
      <c r="X9" s="63">
        <f>((T9-W9)+1)</f>
        <v>4</v>
      </c>
      <c r="Y9" s="64">
        <f>IF(AND(OR(C9="BKK01",C9="BKK04"),L9="CFS/CY"),0,IF(M9="DG",1,IF(LEFT(C9,3)="LCH",7,IF(C9="BKK02",5,3))))</f>
        <v>1</v>
      </c>
      <c r="Z9" s="63">
        <f>IF(IF(AND(AC9="TML",AB9&gt;0),((T9-W9)+1)-AB9,((T9-W9)+1)-Y9)&gt;0,IF(AND(AC9="TML",AB9&gt;0),((T9-W9)+1)-AB9,((T9-W9)+1)-Y9),0)</f>
        <v>3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1440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46320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1440</v>
      </c>
      <c r="AJ9" s="188" t="n"/>
      <c r="AK9" s="62" t="str">
        <f>VLOOKUP(D9,'2.Bookinglist'!A:CT,40,FALSE)</f>
        <v>Tarn(Supaporn)</v>
      </c>
      <c r="AL9" s="60" t="str">
        <f>VLOOKUP(D9,'2.Bookinglist'!A:CW,101,FALSE)</f>
        <v>2026-10-23</v>
      </c>
      <c r="AM9" s="60" t="str">
        <f>VLOOKUP(D9,'2.Bookinglist'!A:BK,63,FALSE)</f>
        <v>BKK27</v>
      </c>
      <c r="AN9" s="62" t="str">
        <f>VLOOKUP(D9,'2.Bookinglist'!A:AZ,52,FALSE)</f>
        <v>**APPROVED BY Jeong-Yong UM DD.14/10/2026** DG22GPx10 (CLS 9 / UN 2216) 
Pickup : 2026-10-19, Return : 2026-10-20  </v>
      </c>
      <c r="AO9" s="62">
        <f>VLOOKUP(D9,'2.Bookinglist'!A:CY,103,FALSE)</f>
        <v>0</v>
      </c>
    </row>
    <row r="10" ht="12.95" customHeight="1">
      <c r="A10" s="96" t="inlineStr">
        <is>
          <t>HALU2100756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HASLS22260902714</v>
      </c>
      <c r="E10" s="62" t="str">
        <f>VLOOKUP(D10,'2.Bookinglist'!A:CT,27,FALSE)</f>
        <v>THAI AGRI FOODS PUBLIC COMPANY LIMITED</v>
      </c>
      <c r="F10" s="62" t="str">
        <f>VLOOKUP(D10,'2.Bookinglist'!A:CT,28,FALSE)</f>
        <v>THAI AGRI FOODS PUBLIC COMPANY LIMITED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RUVVO</v>
      </c>
      <c r="J10" s="61" t="str">
        <f>VLOOKUP(D10,'2.Bookinglist'!A:CT,26,FALSE)</f>
        <v>KRPUS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CMA</v>
      </c>
      <c r="P10" s="61" t="str">
        <f>VLOOKUP(A10,'1.Loading'!A:R,4,FALSE)</f>
        <v>2615N</v>
      </c>
      <c r="Q10" s="61" t="str">
        <f>VLOOKUP(D10,'2.Bookinglist'!A:CT,12,FALSE)</f>
        <v>KTS1</v>
      </c>
      <c r="R10" s="60" t="str">
        <f>IF(LEFT(K10,2)="22","20'","40'")</f>
        <v>20'</v>
      </c>
      <c r="S10" s="185" t="n"/>
      <c r="T10" s="61" t="str">
        <f>VLOOKUP(A10,'1.Loading'!A:R,2,FALSE)</f>
        <v>2026-10-24</v>
      </c>
      <c r="U10" s="63">
        <f>T10-S10</f>
        <v>46319</v>
      </c>
      <c r="V10" s="186" t="n"/>
      <c r="W10" s="61" t="str">
        <f>VLOOKUP(A10,'3.GateMove'!A:D,4,FALSE)</f>
        <v>2026-10-19</v>
      </c>
      <c r="X10" s="63">
        <f>((T10-W10)+1)</f>
        <v>6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3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480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480</v>
      </c>
      <c r="AJ10" s="188" t="n"/>
      <c r="AK10" s="62" t="str">
        <f>VLOOKUP(D10,'2.Bookinglist'!A:CT,40,FALSE)</f>
        <v>ANNA MARS</v>
      </c>
      <c r="AL10" s="60" t="str">
        <f>VLOOKUP(D10,'2.Bookinglist'!A:CW,101,FALSE)</f>
        <v>2026-10-22</v>
      </c>
      <c r="AM10" s="60" t="str">
        <f>VLOOKUP(D10,'2.Bookinglist'!A:BK,63,FALSE)</f>
        <v>BKK27</v>
      </c>
      <c r="AN10" s="62" t="str">
        <f>VLOOKUP(D10,'2.Bookinglist'!A:AZ,52,FALSE)</f>
        <v>[FIX][FIX]CMA/2615N/11/01[FIX] Pickup : 2026-10-17, Return : 2026-10-19</v>
      </c>
      <c r="AO10" s="62">
        <f>VLOOKUP(D10,'2.Bookinglist'!A:CY,103,FALSE)</f>
        <v>0</v>
      </c>
    </row>
    <row r="11" ht="12.95" customHeight="1">
      <c r="A11" s="96" t="inlineStr">
        <is>
          <t>HALU2101618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HASLS22261000928</v>
      </c>
      <c r="E11" s="62" t="str">
        <f>VLOOKUP(D11,'2.Bookinglist'!A:CT,27,FALSE)</f>
        <v>MEGALOAD DEVELOPMENT LOGISTICS CO., LTD.</v>
      </c>
      <c r="F11" s="62" t="str">
        <f>VLOOKUP(D11,'2.Bookinglist'!A:CT,28,FALSE)</f>
        <v>FISHMEAL MARKETING DEVELOPMENT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>DG</v>
      </c>
      <c r="N11" s="60" t="str">
        <f>IF(RIGHT(K11,2)="RE","RF","")</f>
        <v/>
      </c>
      <c r="O11" s="61" t="str">
        <f>VLOOKUP(A11,'1.Loading'!A:R,3,FALSE)</f>
        <v>CMA</v>
      </c>
      <c r="P11" s="61" t="str">
        <f>VLOOKUP(A11,'1.Loading'!A:R,4,FALSE)</f>
        <v>2615N</v>
      </c>
      <c r="Q11" s="61" t="str">
        <f>VLOOKUP(D11,'2.Bookinglist'!A:CT,12,FALSE)</f>
        <v>KTS1</v>
      </c>
      <c r="R11" s="60" t="str">
        <f>IF(LEFT(K11,2)="22","20'","40'")</f>
        <v>20'</v>
      </c>
      <c r="S11" s="185" t="n"/>
      <c r="T11" s="61" t="str">
        <f>VLOOKUP(A11,'1.Loading'!A:R,2,FALSE)</f>
        <v>2026-10-24</v>
      </c>
      <c r="U11" s="63">
        <f>T11-S11</f>
        <v>46319</v>
      </c>
      <c r="V11" s="186" t="n"/>
      <c r="W11" s="61" t="str">
        <f>VLOOKUP(A11,'3.GateMove'!A:D,4,FALSE)</f>
        <v>2026-10-21</v>
      </c>
      <c r="X11" s="63">
        <f>((T11-W11)+1)</f>
        <v>4</v>
      </c>
      <c r="Y11" s="64">
        <f>IF(AND(OR(C11="BKK01",C11="BKK04"),L11="CFS/CY"),0,IF(M11="DG",1,IF(LEFT(C11,3)="LCH",7,IF(C11="BKK02",5,3))))</f>
        <v>1</v>
      </c>
      <c r="Z11" s="63">
        <f>IF(IF(AND(AC11="TML",AB11&gt;0),((T11-W11)+1)-AB11,((T11-W11)+1)-Y11)&gt;0,IF(AND(AC11="TML",AB11&gt;0),((T11-W11)+1)-AB11,((T11-W11)+1)-Y11),0)</f>
        <v>3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1440</v>
      </c>
      <c r="AB11" s="184" t="n"/>
      <c r="AC11" s="184" t="n"/>
      <c r="AD11" s="60">
        <f>IF(M11="DG",3,IF(N11="RF",3,5))+IF(AND(LEFT(C11,3)="BKK",N11="RF",Q11="KTS"),1,0)+IF(Q11="KHS",1,0)</f>
        <v>3</v>
      </c>
      <c r="AE11" s="63">
        <f>(T11-V11)+1</f>
        <v>46320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1440</v>
      </c>
      <c r="AJ11" s="188" t="n"/>
      <c r="AK11" s="62" t="str">
        <f>VLOOKUP(D11,'2.Bookinglist'!A:CT,40,FALSE)</f>
        <v>Tarn(Supaporn)</v>
      </c>
      <c r="AL11" s="60" t="str">
        <f>VLOOKUP(D11,'2.Bookinglist'!A:CW,101,FALSE)</f>
        <v>2026-10-23</v>
      </c>
      <c r="AM11" s="60" t="str">
        <f>VLOOKUP(D11,'2.Bookinglist'!A:BK,63,FALSE)</f>
        <v>BKK27</v>
      </c>
      <c r="AN11" s="62" t="str">
        <f>VLOOKUP(D11,'2.Bookinglist'!A:AZ,52,FALSE)</f>
        <v>*APPROVAL BY MR.JEONG-YONG UM DD.15/10/2026** DG22GPx10 (CLS 9 / UN 2216) 
Pickup : 2026-10-19, Return : 2026-10-21  </v>
      </c>
      <c r="AO11" s="62">
        <f>VLOOKUP(D11,'2.Bookinglist'!A:CY,103,FALSE)</f>
        <v>0</v>
      </c>
    </row>
    <row r="12" ht="12.95" customHeight="1">
      <c r="A12" s="96" t="inlineStr">
        <is>
          <t>HALU2411085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HASLS22260902124</v>
      </c>
      <c r="E12" s="62" t="str">
        <f>VLOOKUP(D12,'2.Bookinglist'!A:CT,27,FALSE)</f>
        <v>CTI LOGISTICS CO., LTD.</v>
      </c>
      <c r="F12" s="62" t="str">
        <f>VLOOKUP(D12,'2.Bookinglist'!A:CT,28,FALSE)</f>
        <v>NMB-MINEBEA THAI LIMITED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CNSHK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CMA</v>
      </c>
      <c r="P12" s="61" t="str">
        <f>VLOOKUP(A12,'1.Loading'!A:R,4,FALSE)</f>
        <v>2615N</v>
      </c>
      <c r="Q12" s="61" t="str">
        <f>VLOOKUP(D12,'2.Bookinglist'!A:CT,12,FALSE)</f>
        <v>KTS1</v>
      </c>
      <c r="R12" s="60" t="str">
        <f>IF(LEFT(K12,2)="22","20'","40'")</f>
        <v>20'</v>
      </c>
      <c r="S12" s="185" t="n"/>
      <c r="T12" s="61" t="str">
        <f>VLOOKUP(A12,'1.Loading'!A:R,2,FALSE)</f>
        <v>2026-10-24</v>
      </c>
      <c r="U12" s="63">
        <f>T12-S12</f>
        <v>46319</v>
      </c>
      <c r="V12" s="186" t="n"/>
      <c r="W12" s="61" t="str">
        <f>VLOOKUP(A12,'3.GateMove'!A:D,4,FALSE)</f>
        <v>2026-10-19</v>
      </c>
      <c r="X12" s="63">
        <f>((T12-W12)+1)</f>
        <v>6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3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480</v>
      </c>
      <c r="AJ12" s="188" t="n"/>
      <c r="AK12" s="62" t="str">
        <f>VLOOKUP(D12,'2.Bookinglist'!A:CT,40,FALSE)</f>
        <v>Vilaiporn</v>
      </c>
      <c r="AL12" s="60" t="str">
        <f>VLOOKUP(D12,'2.Bookinglist'!A:CW,101,FALSE)</f>
        <v>2026-10-23</v>
      </c>
      <c r="AM12" s="60" t="str">
        <f>VLOOKUP(D12,'2.Bookinglist'!A:BK,63,FALSE)</f>
        <v>BKK27</v>
      </c>
      <c r="AN12" s="62" t="str">
        <f>VLOOKUP(D12,'2.Bookinglist'!A:AZ,52,FALSE)</f>
        <v>Pickup : 2026-10-17, Return : 2026-10-19</v>
      </c>
      <c r="AO12" s="62">
        <f>VLOOKUP(D12,'2.Bookinglist'!A:CY,103,FALSE)</f>
        <v>0</v>
      </c>
    </row>
    <row r="13" ht="12.95" customHeight="1">
      <c r="A13" s="96" t="inlineStr">
        <is>
          <t>HALU2456048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HASLS22260900420</v>
      </c>
      <c r="E13" s="62" t="str">
        <f>VLOOKUP(D13,'2.Bookinglist'!A:CT,27,FALSE)</f>
        <v>G THRU INTERBUSINESS CO., LTD.</v>
      </c>
      <c r="F13" s="62" t="str">
        <f>VLOOKUP(D13,'2.Bookinglist'!A:CT,28,FALSE)</f>
        <v>V.THAI FOOD PRODUCT CO.,LTD.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CNSHK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CMA</v>
      </c>
      <c r="P13" s="61" t="str">
        <f>VLOOKUP(A13,'1.Loading'!A:R,4,FALSE)</f>
        <v>2615N</v>
      </c>
      <c r="Q13" s="61" t="str">
        <f>VLOOKUP(D13,'2.Bookinglist'!A:CT,12,FALSE)</f>
        <v>KTS1</v>
      </c>
      <c r="R13" s="60" t="str">
        <f>IF(LEFT(K13,2)="22","20'","40'")</f>
        <v>20'</v>
      </c>
      <c r="S13" s="185" t="n"/>
      <c r="T13" s="61" t="str">
        <f>VLOOKUP(A13,'1.Loading'!A:R,2,FALSE)</f>
        <v>2026-10-24</v>
      </c>
      <c r="U13" s="63">
        <f>T13-S13</f>
        <v>46319</v>
      </c>
      <c r="V13" s="186" t="n"/>
      <c r="W13" s="61" t="str">
        <f>VLOOKUP(A13,'3.GateMove'!A:D,4,FALSE)</f>
        <v>2026-10-19</v>
      </c>
      <c r="X13" s="63">
        <f>((T13-W13)+1)</f>
        <v>6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3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480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480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2026-10-22</v>
      </c>
      <c r="AM13" s="60" t="str">
        <f>VLOOKUP(D13,'2.Bookinglist'!A:BK,63,FALSE)</f>
        <v>BKK25</v>
      </c>
      <c r="AN13" s="62" t="str">
        <f>VLOOKUP(D13,'2.Bookinglist'!A:AZ,52,FALSE)</f>
        <v>Pickup : 2026-10-17, Return : 2026-10-19</v>
      </c>
      <c r="AO13" s="62">
        <f>VLOOKUP(D13,'2.Bookinglist'!A:CY,103,FALSE)</f>
        <v>0</v>
      </c>
    </row>
    <row r="14" ht="12.95" customHeight="1">
      <c r="A14" s="96" t="inlineStr">
        <is>
          <t>HALU2559236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HASLS22260900618</v>
      </c>
      <c r="E14" s="62" t="str">
        <f>VLOOKUP(D14,'2.Bookinglist'!A:CT,27,FALSE)</f>
        <v>G THRU INTERBUSINESS CO., LTD.</v>
      </c>
      <c r="F14" s="62" t="str">
        <f>VLOOKUP(D14,'2.Bookinglist'!A:CT,28,FALSE)</f>
        <v>V.THAI FOOD PRODUCT CO.,LTD.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CNSHK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CMA</v>
      </c>
      <c r="P14" s="61" t="str">
        <f>VLOOKUP(A14,'1.Loading'!A:R,4,FALSE)</f>
        <v>2615N</v>
      </c>
      <c r="Q14" s="61" t="str">
        <f>VLOOKUP(D14,'2.Bookinglist'!A:CT,12,FALSE)</f>
        <v>KTS1</v>
      </c>
      <c r="R14" s="60" t="str">
        <f>IF(LEFT(K14,2)="22","20'","40'")</f>
        <v>20'</v>
      </c>
      <c r="S14" s="185" t="n"/>
      <c r="T14" s="61" t="str">
        <f>VLOOKUP(A14,'1.Loading'!A:R,2,FALSE)</f>
        <v>2026-10-24</v>
      </c>
      <c r="U14" s="63">
        <f>T14-S14</f>
        <v>46319</v>
      </c>
      <c r="V14" s="186" t="n"/>
      <c r="W14" s="61" t="str">
        <f>VLOOKUP(A14,'3.GateMove'!A:D,4,FALSE)</f>
        <v>2026-10-19</v>
      </c>
      <c r="X14" s="63">
        <f>((T14-W14)+1)</f>
        <v>6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3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480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480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2026-10-22</v>
      </c>
      <c r="AM14" s="60" t="str">
        <f>VLOOKUP(D14,'2.Bookinglist'!A:BK,63,FALSE)</f>
        <v>BKK25</v>
      </c>
      <c r="AN14" s="62" t="str">
        <f>VLOOKUP(D14,'2.Bookinglist'!A:AZ,52,FALSE)</f>
        <v>Pickup : 2026-10-19, Return : 2026-10-19</v>
      </c>
      <c r="AO14" s="62">
        <f>VLOOKUP(D14,'2.Bookinglist'!A:CY,103,FALSE)</f>
        <v>0</v>
      </c>
    </row>
    <row r="15" ht="12.95" customHeight="1">
      <c r="A15" s="96" t="inlineStr">
        <is>
          <t>HALU5682218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HASLS22260902307</v>
      </c>
      <c r="E15" s="62" t="str">
        <f>VLOOKUP(D15,'2.Bookinglist'!A:CT,27,FALSE)</f>
        <v>CTI LOGISTICS CO., LTD.</v>
      </c>
      <c r="F15" s="62" t="str">
        <f>VLOOKUP(D15,'2.Bookinglist'!A:CT,28,FALSE)</f>
        <v>NMB-MINEBEA THAI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CNSHK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CMA</v>
      </c>
      <c r="P15" s="61" t="str">
        <f>VLOOKUP(A15,'1.Loading'!A:R,4,FALSE)</f>
        <v>2615N</v>
      </c>
      <c r="Q15" s="61" t="str">
        <f>VLOOKUP(D15,'2.Bookinglist'!A:CT,12,FALSE)</f>
        <v>KTS1</v>
      </c>
      <c r="R15" s="60" t="str">
        <f>IF(LEFT(K15,2)="22","20'","40'")</f>
        <v>40'</v>
      </c>
      <c r="S15" s="185" t="n"/>
      <c r="T15" s="61" t="str">
        <f>VLOOKUP(A15,'1.Loading'!A:R,2,FALSE)</f>
        <v>2026-10-24</v>
      </c>
      <c r="U15" s="63">
        <f>T15-S15</f>
        <v>46319</v>
      </c>
      <c r="V15" s="186" t="n"/>
      <c r="W15" s="61" t="str">
        <f>VLOOKUP(A15,'3.GateMove'!A:D,4,FALSE)</f>
        <v>2026-10-19</v>
      </c>
      <c r="X15" s="63">
        <f>((T15-W15)+1)</f>
        <v>6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3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960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960</v>
      </c>
      <c r="AJ15" s="188" t="n"/>
      <c r="AK15" s="62" t="str">
        <f>VLOOKUP(D15,'2.Bookinglist'!A:CT,40,FALSE)</f>
        <v>Vilaiporn</v>
      </c>
      <c r="AL15" s="60" t="str">
        <f>VLOOKUP(D15,'2.Bookinglist'!A:CW,101,FALSE)</f>
        <v>2026-10-22</v>
      </c>
      <c r="AM15" s="60" t="str">
        <f>VLOOKUP(D15,'2.Bookinglist'!A:BK,63,FALSE)</f>
        <v>BKK27</v>
      </c>
      <c r="AN15" s="62" t="str">
        <f>VLOOKUP(D15,'2.Bookinglist'!A:AZ,52,FALSE)</f>
        <v>Pickup : 2026-10-19, Return : 2026-10-19</v>
      </c>
      <c r="AO15" s="62">
        <f>VLOOKUP(D15,'2.Bookinglist'!A:CY,103,FALSE)</f>
        <v>0</v>
      </c>
    </row>
    <row r="16" ht="12.95" customHeight="1">
      <c r="A16" s="96" t="inlineStr">
        <is>
          <t>HLHU8354141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HASLS22260902095</v>
      </c>
      <c r="E16" s="62" t="str">
        <f>VLOOKUP(D16,'2.Bookinglist'!A:CT,27,FALSE)</f>
        <v>MULTI FREIGHT SYSTEM CO., LTD.</v>
      </c>
      <c r="F16" s="62" t="str">
        <f>VLOOKUP(D16,'2.Bookinglist'!A:CT,28,FALSE)</f>
        <v>WAN THAI FOODS INDUSTRY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CMA</v>
      </c>
      <c r="P16" s="61" t="str">
        <f>VLOOKUP(A16,'1.Loading'!A:R,4,FALSE)</f>
        <v>2615N</v>
      </c>
      <c r="Q16" s="61" t="str">
        <f>VLOOKUP(D16,'2.Bookinglist'!A:CT,12,FALSE)</f>
        <v>KTS1</v>
      </c>
      <c r="R16" s="60" t="str">
        <f>IF(LEFT(K16,2)="22","20'","40'")</f>
        <v>40'</v>
      </c>
      <c r="S16" s="185" t="n"/>
      <c r="T16" s="61" t="str">
        <f>VLOOKUP(A16,'1.Loading'!A:R,2,FALSE)</f>
        <v>2026-10-24</v>
      </c>
      <c r="U16" s="63">
        <f>T16-S16</f>
        <v>46319</v>
      </c>
      <c r="V16" s="186" t="n"/>
      <c r="W16" s="61" t="str">
        <f>VLOOKUP(A16,'3.GateMove'!A:D,4,FALSE)</f>
        <v>2026-10-14</v>
      </c>
      <c r="X16" s="63">
        <f>((T16-W16)+1)</f>
        <v>11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8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2790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2790</v>
      </c>
      <c r="AJ16" s="188" t="n"/>
      <c r="AK16" s="62" t="str">
        <f>VLOOKUP(D16,'2.Bookinglist'!A:CT,40,FALSE)</f>
        <v>Orinda Wong</v>
      </c>
      <c r="AL16" s="60" t="str">
        <f>VLOOKUP(D16,'2.Bookinglist'!A:CW,101,FALSE)</f>
        <v>2026-10-24</v>
      </c>
      <c r="AM16" s="60" t="str">
        <f>VLOOKUP(D16,'2.Bookinglist'!A:BK,63,FALSE)</f>
        <v>BKK27</v>
      </c>
      <c r="AN16" s="62" t="str">
        <f>VLOOKUP(D16,'2.Bookinglist'!A:AZ,52,FALSE)</f>
        <v>Pickup : 2026-10-12, Return : 2026-10-14 *1ST RETURN CNTR DD.24/10/2026 WITHOUT RENT*</v>
      </c>
      <c r="AO16" s="62">
        <f>VLOOKUP(D16,'2.Bookinglist'!A:CY,103,FALSE)</f>
        <v>0</v>
      </c>
    </row>
    <row r="17" ht="12.95" customHeight="1">
      <c r="A17" s="96" t="inlineStr">
        <is>
          <t>SEKU4438724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HASLS22261000811</v>
      </c>
      <c r="E17" s="62" t="str">
        <f>VLOOKUP(D17,'2.Bookinglist'!A:CT,27,FALSE)</f>
        <v>CTI LOGISTICS CO., LTD.</v>
      </c>
      <c r="F17" s="62" t="str">
        <f>VLOOKUP(D17,'2.Bookinglist'!A:CT,28,FALSE)</f>
        <v>NMB-MINEBEA THAI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CNSHK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CMA</v>
      </c>
      <c r="P17" s="61" t="str">
        <f>VLOOKUP(A17,'1.Loading'!A:R,4,FALSE)</f>
        <v>2615N</v>
      </c>
      <c r="Q17" s="61" t="str">
        <f>VLOOKUP(D17,'2.Bookinglist'!A:CT,12,FALSE)</f>
        <v>KTS1</v>
      </c>
      <c r="R17" s="60" t="str">
        <f>IF(LEFT(K17,2)="22","20'","40'")</f>
        <v>40'</v>
      </c>
      <c r="S17" s="185" t="n"/>
      <c r="T17" s="61" t="str">
        <f>VLOOKUP(A17,'1.Loading'!A:R,2,FALSE)</f>
        <v>2026-10-24</v>
      </c>
      <c r="U17" s="63">
        <f>T17-S17</f>
        <v>46319</v>
      </c>
      <c r="V17" s="186" t="n"/>
      <c r="W17" s="61" t="str">
        <f>VLOOKUP(A17,'3.GateMove'!A:D,4,FALSE)</f>
        <v>2026-10-19</v>
      </c>
      <c r="X17" s="63">
        <f>((T17-W17)+1)</f>
        <v>6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3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960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960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2026-10-22</v>
      </c>
      <c r="AM17" s="60" t="str">
        <f>VLOOKUP(D17,'2.Bookinglist'!A:BK,63,FALSE)</f>
        <v>BKK27</v>
      </c>
      <c r="AN17" s="62" t="str">
        <f>VLOOKUP(D17,'2.Bookinglist'!A:AZ,52,FALSE)</f>
        <v>Pickup : 2026-10-19, Return : 2026-10-19</v>
      </c>
      <c r="AO17" s="62">
        <f>VLOOKUP(D17,'2.Bookinglist'!A:CY,103,FALSE)</f>
        <v>0</v>
      </c>
    </row>
    <row r="18" ht="12.95" customHeight="1">
      <c r="A18" s="96" t="inlineStr">
        <is>
          <t>SKHU9305895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HASLS22260902307</v>
      </c>
      <c r="E18" s="62" t="str">
        <f>VLOOKUP(D18,'2.Bookinglist'!A:CT,27,FALSE)</f>
        <v>CTI LOGISTICS CO., LTD.</v>
      </c>
      <c r="F18" s="62" t="str">
        <f>VLOOKUP(D18,'2.Bookinglist'!A:CT,28,FALSE)</f>
        <v>NMB-MINEBEA THAI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CNSHK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CMA</v>
      </c>
      <c r="P18" s="61" t="str">
        <f>VLOOKUP(A18,'1.Loading'!A:R,4,FALSE)</f>
        <v>2615N</v>
      </c>
      <c r="Q18" s="61" t="str">
        <f>VLOOKUP(D18,'2.Bookinglist'!A:CT,12,FALSE)</f>
        <v>KTS1</v>
      </c>
      <c r="R18" s="60" t="str">
        <f>IF(LEFT(K18,2)="22","20'","40'")</f>
        <v>40'</v>
      </c>
      <c r="S18" s="185" t="n"/>
      <c r="T18" s="61" t="str">
        <f>VLOOKUP(A18,'1.Loading'!A:R,2,FALSE)</f>
        <v>2026-10-24</v>
      </c>
      <c r="U18" s="63">
        <f>T18-S18</f>
        <v>46319</v>
      </c>
      <c r="V18" s="186" t="n"/>
      <c r="W18" s="61" t="str">
        <f>VLOOKUP(A18,'3.GateMove'!A:D,4,FALSE)</f>
        <v>2026-10-19</v>
      </c>
      <c r="X18" s="63">
        <f>((T18-W18)+1)</f>
        <v>6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960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2026-10-22</v>
      </c>
      <c r="AM18" s="60" t="str">
        <f>VLOOKUP(D18,'2.Bookinglist'!A:BK,63,FALSE)</f>
        <v>BKK27</v>
      </c>
      <c r="AN18" s="62" t="str">
        <f>VLOOKUP(D18,'2.Bookinglist'!A:AZ,52,FALSE)</f>
        <v>Pickup : 2026-10-19, Return : 2026-10-19</v>
      </c>
      <c r="AO18" s="62">
        <f>VLOOKUP(D18,'2.Bookinglist'!A:CY,103,FALSE)</f>
        <v>0</v>
      </c>
    </row>
    <row r="19" ht="12.95" customHeight="1">
      <c r="A19" s="96" t="inlineStr">
        <is>
          <t>SKHU9306628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HASLS22260902307</v>
      </c>
      <c r="E19" s="62" t="str">
        <f>VLOOKUP(D19,'2.Bookinglist'!A:CT,27,FALSE)</f>
        <v>CTI LOGISTICS CO., LTD.</v>
      </c>
      <c r="F19" s="62" t="str">
        <f>VLOOKUP(D19,'2.Bookinglist'!A:CT,28,FALSE)</f>
        <v>NMB-MINEBEA THAI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CNSHK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CMA</v>
      </c>
      <c r="P19" s="61" t="str">
        <f>VLOOKUP(A19,'1.Loading'!A:R,4,FALSE)</f>
        <v>2615N</v>
      </c>
      <c r="Q19" s="61" t="str">
        <f>VLOOKUP(D19,'2.Bookinglist'!A:CT,12,FALSE)</f>
        <v>KTS1</v>
      </c>
      <c r="R19" s="60" t="str">
        <f>IF(LEFT(K19,2)="22","20'","40'")</f>
        <v>40'</v>
      </c>
      <c r="S19" s="185" t="n"/>
      <c r="T19" s="61" t="str">
        <f>VLOOKUP(A19,'1.Loading'!A:R,2,FALSE)</f>
        <v>2026-10-24</v>
      </c>
      <c r="U19" s="63">
        <f>T19-S19</f>
        <v>46319</v>
      </c>
      <c r="V19" s="186" t="n"/>
      <c r="W19" s="61" t="str">
        <f>VLOOKUP(A19,'3.GateMove'!A:D,4,FALSE)</f>
        <v>2026-10-19</v>
      </c>
      <c r="X19" s="63">
        <f>((T19-W19)+1)</f>
        <v>6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3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960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960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2026-10-22</v>
      </c>
      <c r="AM19" s="60" t="str">
        <f>VLOOKUP(D19,'2.Bookinglist'!A:BK,63,FALSE)</f>
        <v>BKK27</v>
      </c>
      <c r="AN19" s="62" t="str">
        <f>VLOOKUP(D19,'2.Bookinglist'!A:AZ,52,FALSE)</f>
        <v>Pickup : 2026-10-19, Return : 2026-10-19</v>
      </c>
      <c r="AO19" s="62">
        <f>VLOOKUP(D19,'2.Bookinglist'!A:CY,103,FALSE)</f>
        <v>0</v>
      </c>
    </row>
    <row r="20" ht="12.95" customHeight="1">
      <c r="A20" s="96" t="inlineStr">
        <is>
          <t>SKHU9413879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HASLS22260902124</v>
      </c>
      <c r="E20" s="62" t="str">
        <f>VLOOKUP(D20,'2.Bookinglist'!A:CT,27,FALSE)</f>
        <v>CTI LOGISTICS CO., LTD.</v>
      </c>
      <c r="F20" s="62" t="str">
        <f>VLOOKUP(D20,'2.Bookinglist'!A:CT,28,FALSE)</f>
        <v>NMB-MINEBEA THAI LIMITED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CNSHK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CMA</v>
      </c>
      <c r="P20" s="61" t="str">
        <f>VLOOKUP(A20,'1.Loading'!A:R,4,FALSE)</f>
        <v>2615N</v>
      </c>
      <c r="Q20" s="61" t="str">
        <f>VLOOKUP(D20,'2.Bookinglist'!A:CT,12,FALSE)</f>
        <v>KTS1</v>
      </c>
      <c r="R20" s="60" t="str">
        <f>IF(LEFT(K20,2)="22","20'","40'")</f>
        <v>40'</v>
      </c>
      <c r="S20" s="185" t="n"/>
      <c r="T20" s="61" t="str">
        <f>VLOOKUP(A20,'1.Loading'!A:R,2,FALSE)</f>
        <v>2026-10-24</v>
      </c>
      <c r="U20" s="63">
        <f>T20-S20</f>
        <v>46319</v>
      </c>
      <c r="V20" s="186" t="n"/>
      <c r="W20" s="61" t="str">
        <f>VLOOKUP(A20,'3.GateMove'!A:D,4,FALSE)</f>
        <v>2026-10-19</v>
      </c>
      <c r="X20" s="63">
        <f>((T20-W20)+1)</f>
        <v>6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3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960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960</v>
      </c>
      <c r="AJ20" s="188" t="n"/>
      <c r="AK20" s="62" t="str">
        <f>VLOOKUP(D20,'2.Bookinglist'!A:CT,40,FALSE)</f>
        <v>Vilaiporn</v>
      </c>
      <c r="AL20" s="60" t="str">
        <f>VLOOKUP(D20,'2.Bookinglist'!A:CW,101,FALSE)</f>
        <v>2026-10-23</v>
      </c>
      <c r="AM20" s="60" t="str">
        <f>VLOOKUP(D20,'2.Bookinglist'!A:BK,63,FALSE)</f>
        <v>BKK27</v>
      </c>
      <c r="AN20" s="62" t="str">
        <f>VLOOKUP(D20,'2.Bookinglist'!A:AZ,52,FALSE)</f>
        <v>Pickup : 2026-10-17, Return : 2026-10-19</v>
      </c>
      <c r="AO20" s="62">
        <f>VLOOKUP(D20,'2.Bookinglist'!A:CY,103,FALSE)</f>
        <v>0</v>
      </c>
    </row>
    <row r="21" ht="12.95" customHeight="1">
      <c r="A21" s="96" t="inlineStr">
        <is>
          <t>SKHU9804615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HASLS22261000887</v>
      </c>
      <c r="E21" s="62" t="str">
        <f>VLOOKUP(D21,'2.Bookinglist'!A:CT,27,FALSE)</f>
        <v>DIMERCO EXPRESS (THAILAND) CO., LTD.</v>
      </c>
      <c r="F21" s="62" t="str">
        <f>VLOOKUP(D21,'2.Bookinglist'!A:CT,28,FALSE)</f>
        <v>KOHLER (THAILAND) PUBLIC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CMA</v>
      </c>
      <c r="P21" s="61" t="str">
        <f>VLOOKUP(A21,'1.Loading'!A:R,4,FALSE)</f>
        <v>2615N</v>
      </c>
      <c r="Q21" s="61" t="str">
        <f>VLOOKUP(D21,'2.Bookinglist'!A:CT,12,FALSE)</f>
        <v>KTS1</v>
      </c>
      <c r="R21" s="60" t="str">
        <f>IF(LEFT(K21,2)="22","20'","40'")</f>
        <v>40'</v>
      </c>
      <c r="S21" s="185" t="n"/>
      <c r="T21" s="61" t="str">
        <f>VLOOKUP(A21,'1.Loading'!A:R,2,FALSE)</f>
        <v>2026-10-24</v>
      </c>
      <c r="U21" s="63">
        <f>T21-S21</f>
        <v>46319</v>
      </c>
      <c r="V21" s="186" t="n"/>
      <c r="W21" s="61" t="str">
        <f>VLOOKUP(A21,'3.GateMove'!A:D,4,FALSE)</f>
        <v>2026-10-21</v>
      </c>
      <c r="X21" s="63">
        <f>((T21-W21)+1)</f>
        <v>4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320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320</v>
      </c>
      <c r="AJ21" s="188" t="n"/>
      <c r="AK21" s="62" t="str">
        <f>VLOOKUP(D21,'2.Bookinglist'!A:CT,40,FALSE)</f>
        <v>Nustsireerach</v>
      </c>
      <c r="AL21" s="60" t="str">
        <f>VLOOKUP(D21,'2.Bookinglist'!A:CW,101,FALSE)</f>
        <v>2026-10-23</v>
      </c>
      <c r="AM21" s="60" t="str">
        <f>VLOOKUP(D21,'2.Bookinglist'!A:BK,63,FALSE)</f>
        <v>BKK27</v>
      </c>
      <c r="AN21" s="62" t="str">
        <f>VLOOKUP(D21,'2.Bookinglist'!A:AZ,52,FALSE)</f>
        <v>Pickup : 2026-10-19, Return : 2026-10-20</v>
      </c>
      <c r="AO21" s="62">
        <f>VLOOKUP(D21,'2.Bookinglist'!A:CY,103,FALSE)</f>
        <v>0</v>
      </c>
    </row>
    <row r="22" ht="12.95" customHeight="1">
      <c r="A22" s="96" t="inlineStr">
        <is>
          <t>SKHU9952696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HASLS22260902356</v>
      </c>
      <c r="E22" s="62" t="str">
        <f>VLOOKUP(D22,'2.Bookinglist'!A:CT,27,FALSE)</f>
        <v>DIMERCO EXPRESS (THAILAND) CO., LTD.</v>
      </c>
      <c r="F22" s="62" t="str">
        <f>VLOOKUP(D22,'2.Bookinglist'!A:CT,28,FALSE)</f>
        <v>THAIMAN INDUSTRIES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CNSHK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CMA</v>
      </c>
      <c r="P22" s="61" t="str">
        <f>VLOOKUP(A22,'1.Loading'!A:R,4,FALSE)</f>
        <v>2615N</v>
      </c>
      <c r="Q22" s="61" t="str">
        <f>VLOOKUP(D22,'2.Bookinglist'!A:CT,12,FALSE)</f>
        <v>KTS1</v>
      </c>
      <c r="R22" s="60" t="str">
        <f>IF(LEFT(K22,2)="22","20'","40'")</f>
        <v>40'</v>
      </c>
      <c r="S22" s="185" t="n"/>
      <c r="T22" s="61" t="str">
        <f>VLOOKUP(A22,'1.Loading'!A:R,2,FALSE)</f>
        <v>2026-10-24</v>
      </c>
      <c r="U22" s="63">
        <f>T22-S22</f>
        <v>46319</v>
      </c>
      <c r="V22" s="186" t="n"/>
      <c r="W22" s="61" t="str">
        <f>VLOOKUP(A22,'3.GateMove'!A:D,4,FALSE)</f>
        <v>2026-10-18</v>
      </c>
      <c r="X22" s="63">
        <f>((T22-W22)+1)</f>
        <v>7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4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1280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1280</v>
      </c>
      <c r="AJ22" s="188" t="n"/>
      <c r="AK22" s="62" t="str">
        <f>VLOOKUP(D22,'2.Bookinglist'!A:CT,40,FALSE)</f>
        <v>Nustsireerach</v>
      </c>
      <c r="AL22" s="60" t="str">
        <f>VLOOKUP(D22,'2.Bookinglist'!A:CW,101,FALSE)</f>
        <v>2026-10-21</v>
      </c>
      <c r="AM22" s="60" t="str">
        <f>VLOOKUP(D22,'2.Bookinglist'!A:BK,63,FALSE)</f>
        <v>BKK27</v>
      </c>
      <c r="AN22" s="62" t="str">
        <f>VLOOKUP(D22,'2.Bookinglist'!A:AZ,52,FALSE)</f>
        <v>Pickup : 2026-10-15, Return : 2026-10-16 (1ST RTN 17/10 W/O RENT) 
 CLS TIME 18/10 @12.00 </v>
      </c>
      <c r="AO22" s="62">
        <f>VLOOKUP(D22,'2.Bookinglist'!A:CY,103,FALSE)</f>
        <v>0</v>
      </c>
    </row>
    <row r="23" ht="12.95" customHeight="1">
      <c r="A23" s="96" t="inlineStr">
        <is>
          <t>SKLU0521335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HASLS22260902753</v>
      </c>
      <c r="E23" s="62" t="str">
        <f>VLOOKUP(D23,'2.Bookinglist'!A:CT,27,FALSE)</f>
        <v>YUSEN LOGISTICS (THAILAND) CO., LTD.</v>
      </c>
      <c r="F23" s="62" t="str">
        <f>VLOOKUP(D23,'2.Bookinglist'!A:CT,28,FALSE)</f>
        <v>SUREE INTERFOODS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CMA</v>
      </c>
      <c r="P23" s="61" t="str">
        <f>VLOOKUP(A23,'1.Loading'!A:R,4,FALSE)</f>
        <v>2615N</v>
      </c>
      <c r="Q23" s="61" t="str">
        <f>VLOOKUP(D23,'2.Bookinglist'!A:CT,12,FALSE)</f>
        <v>KTS1</v>
      </c>
      <c r="R23" s="60" t="str">
        <f>IF(LEFT(K23,2)="22","20'","40'")</f>
        <v>20'</v>
      </c>
      <c r="S23" s="185" t="n"/>
      <c r="T23" s="61" t="str">
        <f>VLOOKUP(A23,'1.Loading'!A:R,2,FALSE)</f>
        <v>2026-10-24</v>
      </c>
      <c r="U23" s="63">
        <f>T23-S23</f>
        <v>46319</v>
      </c>
      <c r="V23" s="186" t="n"/>
      <c r="W23" s="61" t="str">
        <f>VLOOKUP(A23,'3.GateMove'!A:D,4,FALSE)</f>
        <v>2026-10-19</v>
      </c>
      <c r="X23" s="63">
        <f>((T23-W23)+1)</f>
        <v>6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3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480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480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2026-10-17</v>
      </c>
      <c r="AM23" s="60" t="str">
        <f>VLOOKUP(D23,'2.Bookinglist'!A:BK,63,FALSE)</f>
        <v>BKK27</v>
      </c>
      <c r="AN23" s="62" t="str">
        <f>VLOOKUP(D23,'2.Bookinglist'!A:AZ,52,FALSE)</f>
        <v>Pickup : 2026-10-14, Return : 2026-10-15</v>
      </c>
      <c r="AO23" s="62">
        <f>VLOOKUP(D23,'2.Bookinglist'!A:CY,103,FALSE)</f>
        <v>0</v>
      </c>
    </row>
    <row r="24" ht="12.95" customHeight="1">
      <c r="A24" s="96" t="inlineStr">
        <is>
          <t>SKLU0704320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HASLS22261000870</v>
      </c>
      <c r="E24" s="62" t="str">
        <f>VLOOKUP(D24,'2.Bookinglist'!A:CT,27,FALSE)</f>
        <v>MEGALOAD DEVELOPMENT LOGISTICS CO., LTD.</v>
      </c>
      <c r="F24" s="62" t="str">
        <f>VLOOKUP(D24,'2.Bookinglist'!A:CT,28,FALSE)</f>
        <v>FISHMEAL MARKETING DEVELOPMENT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>DG</v>
      </c>
      <c r="N24" s="60" t="str">
        <f>IF(RIGHT(K24,2)="RE","RF","")</f>
        <v/>
      </c>
      <c r="O24" s="61" t="str">
        <f>VLOOKUP(A24,'1.Loading'!A:R,3,FALSE)</f>
        <v>CMA</v>
      </c>
      <c r="P24" s="61" t="str">
        <f>VLOOKUP(A24,'1.Loading'!A:R,4,FALSE)</f>
        <v>2615N</v>
      </c>
      <c r="Q24" s="61" t="str">
        <f>VLOOKUP(D24,'2.Bookinglist'!A:CT,12,FALSE)</f>
        <v>KTS1</v>
      </c>
      <c r="R24" s="60" t="str">
        <f>IF(LEFT(K24,2)="22","20'","40'")</f>
        <v>20'</v>
      </c>
      <c r="S24" s="185" t="n"/>
      <c r="T24" s="61" t="str">
        <f>VLOOKUP(A24,'1.Loading'!A:R,2,FALSE)</f>
        <v>2026-10-24</v>
      </c>
      <c r="U24" s="63">
        <f>T24-S24</f>
        <v>46319</v>
      </c>
      <c r="V24" s="186" t="n"/>
      <c r="W24" s="61" t="str">
        <f>VLOOKUP(A24,'3.GateMove'!A:D,4,FALSE)</f>
        <v>2026-10-21</v>
      </c>
      <c r="X24" s="63">
        <f>((T24-W24)+1)</f>
        <v>4</v>
      </c>
      <c r="Y24" s="64">
        <f>IF(AND(OR(C24="BKK01",C24="BKK04"),L24="CFS/CY"),0,IF(M24="DG",1,IF(LEFT(C24,3)="LCH",7,IF(C24="BKK02",5,3))))</f>
        <v>1</v>
      </c>
      <c r="Z24" s="63">
        <f>IF(IF(AND(AC24="TML",AB24&gt;0),((T24-W24)+1)-AB24,((T24-W24)+1)-Y24)&gt;0,IF(AND(AC24="TML",AB24&gt;0),((T24-W24)+1)-AB24,((T24-W24)+1)-Y24),0)</f>
        <v>3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1440</v>
      </c>
      <c r="AB24" s="184" t="n"/>
      <c r="AC24" s="184" t="n"/>
      <c r="AD24" s="60">
        <f>IF(M24="DG",3,IF(N24="RF",3,5))+IF(AND(LEFT(C24,3)="BKK",N24="RF",Q24="KTS"),1,0)+IF(Q24="KHS",1,0)</f>
        <v>3</v>
      </c>
      <c r="AE24" s="63">
        <f>(T24-V24)+1</f>
        <v>46320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1440</v>
      </c>
      <c r="AJ24" s="188" t="n"/>
      <c r="AK24" s="62" t="str">
        <f>VLOOKUP(D24,'2.Bookinglist'!A:CT,40,FALSE)</f>
        <v>Tarn(Supaporn)</v>
      </c>
      <c r="AL24" s="60" t="str">
        <f>VLOOKUP(D24,'2.Bookinglist'!A:CW,101,FALSE)</f>
        <v>2026-10-23</v>
      </c>
      <c r="AM24" s="60" t="str">
        <f>VLOOKUP(D24,'2.Bookinglist'!A:BK,63,FALSE)</f>
        <v>BKK27</v>
      </c>
      <c r="AN24" s="62" t="str">
        <f>VLOOKUP(D24,'2.Bookinglist'!A:AZ,52,FALSE)</f>
        <v>**APPROVED BY Jeong-Yong UM DD.14/10/2026** DG22GPx10 (CLS 9 / UN 2216) 
Pickup : 2026-10-19, Return : 2026-10-20  </v>
      </c>
      <c r="AO24" s="62">
        <f>VLOOKUP(D24,'2.Bookinglist'!A:CY,103,FALSE)</f>
        <v>0</v>
      </c>
    </row>
    <row r="25" ht="12.95" customHeight="1">
      <c r="A25" s="96" t="inlineStr">
        <is>
          <t>SKLU1202409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HASLS22261000928</v>
      </c>
      <c r="E25" s="62" t="str">
        <f>VLOOKUP(D25,'2.Bookinglist'!A:CT,27,FALSE)</f>
        <v>MEGALOAD DEVELOPMENT LOGISTICS CO., LTD.</v>
      </c>
      <c r="F25" s="62" t="str">
        <f>VLOOKUP(D25,'2.Bookinglist'!A:CT,28,FALSE)</f>
        <v>FISHMEAL MARKETING DEVELOPMENT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>DG</v>
      </c>
      <c r="N25" s="60" t="str">
        <f>IF(RIGHT(K25,2)="RE","RF","")</f>
        <v/>
      </c>
      <c r="O25" s="61" t="str">
        <f>VLOOKUP(A25,'1.Loading'!A:R,3,FALSE)</f>
        <v>CMA</v>
      </c>
      <c r="P25" s="61" t="str">
        <f>VLOOKUP(A25,'1.Loading'!A:R,4,FALSE)</f>
        <v>2615N</v>
      </c>
      <c r="Q25" s="61" t="str">
        <f>VLOOKUP(D25,'2.Bookinglist'!A:CT,12,FALSE)</f>
        <v>KTS1</v>
      </c>
      <c r="R25" s="60" t="str">
        <f>IF(LEFT(K25,2)="22","20'","40'")</f>
        <v>20'</v>
      </c>
      <c r="S25" s="185" t="n"/>
      <c r="T25" s="61" t="str">
        <f>VLOOKUP(A25,'1.Loading'!A:R,2,FALSE)</f>
        <v>2026-10-24</v>
      </c>
      <c r="U25" s="63">
        <f>T25-S25</f>
        <v>46319</v>
      </c>
      <c r="V25" s="186" t="n"/>
      <c r="W25" s="61" t="str">
        <f>VLOOKUP(A25,'3.GateMove'!A:D,4,FALSE)</f>
        <v>2026-10-21</v>
      </c>
      <c r="X25" s="63">
        <f>((T25-W25)+1)</f>
        <v>4</v>
      </c>
      <c r="Y25" s="64">
        <f>IF(AND(OR(C25="BKK01",C25="BKK04"),L25="CFS/CY"),0,IF(M25="DG",1,IF(LEFT(C25,3)="LCH",7,IF(C25="BKK02",5,3))))</f>
        <v>1</v>
      </c>
      <c r="Z25" s="63">
        <f>IF(IF(AND(AC25="TML",AB25&gt;0),((T25-W25)+1)-AB25,((T25-W25)+1)-Y25)&gt;0,IF(AND(AC25="TML",AB25&gt;0),((T25-W25)+1)-AB25,((T25-W25)+1)-Y25),0)</f>
        <v>3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1440</v>
      </c>
      <c r="AB25" s="184" t="n"/>
      <c r="AC25" s="184" t="n"/>
      <c r="AD25" s="60">
        <f>IF(M25="DG",3,IF(N25="RF",3,5))+IF(AND(LEFT(C25,3)="BKK",N25="RF",Q25="KTS"),1,0)+IF(Q25="KHS",1,0)</f>
        <v>3</v>
      </c>
      <c r="AE25" s="63">
        <f>(T25-V25)+1</f>
        <v>46320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1440</v>
      </c>
      <c r="AJ25" s="188" t="n"/>
      <c r="AK25" s="62" t="str">
        <f>VLOOKUP(D25,'2.Bookinglist'!A:CT,40,FALSE)</f>
        <v>Tarn(Supaporn)</v>
      </c>
      <c r="AL25" s="60" t="str">
        <f>VLOOKUP(D25,'2.Bookinglist'!A:CW,101,FALSE)</f>
        <v>2026-10-23</v>
      </c>
      <c r="AM25" s="60" t="str">
        <f>VLOOKUP(D25,'2.Bookinglist'!A:BK,63,FALSE)</f>
        <v>BKK27</v>
      </c>
      <c r="AN25" s="62" t="str">
        <f>VLOOKUP(D25,'2.Bookinglist'!A:AZ,52,FALSE)</f>
        <v>*APPROVAL BY MR.JEONG-YONG UM DD.15/10/2026** DG22GPx10 (CLS 9 / UN 2216) 
Pickup : 2026-10-19, Return : 2026-10-21  </v>
      </c>
      <c r="AO25" s="62">
        <f>VLOOKUP(D25,'2.Bookinglist'!A:CY,103,FALSE)</f>
        <v>0</v>
      </c>
    </row>
    <row r="26" ht="12.95" customHeight="1">
      <c r="A26" s="96" t="inlineStr">
        <is>
          <t>SKLU1319144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HASLS22261000928</v>
      </c>
      <c r="E26" s="62" t="str">
        <f>VLOOKUP(D26,'2.Bookinglist'!A:CT,27,FALSE)</f>
        <v>MEGALOAD DEVELOPMENT LOGISTICS CO., LTD.</v>
      </c>
      <c r="F26" s="62" t="str">
        <f>VLOOKUP(D26,'2.Bookinglist'!A:CT,28,FALSE)</f>
        <v>FISHMEAL MARKETING DEVELOPMENT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>DG</v>
      </c>
      <c r="N26" s="60" t="str">
        <f>IF(RIGHT(K26,2)="RE","RF","")</f>
        <v/>
      </c>
      <c r="O26" s="61" t="str">
        <f>VLOOKUP(A26,'1.Loading'!A:R,3,FALSE)</f>
        <v>CMA</v>
      </c>
      <c r="P26" s="61" t="str">
        <f>VLOOKUP(A26,'1.Loading'!A:R,4,FALSE)</f>
        <v>2615N</v>
      </c>
      <c r="Q26" s="61" t="str">
        <f>VLOOKUP(D26,'2.Bookinglist'!A:CT,12,FALSE)</f>
        <v>KTS1</v>
      </c>
      <c r="R26" s="60" t="str">
        <f>IF(LEFT(K26,2)="22","20'","40'")</f>
        <v>20'</v>
      </c>
      <c r="S26" s="185" t="n"/>
      <c r="T26" s="61" t="str">
        <f>VLOOKUP(A26,'1.Loading'!A:R,2,FALSE)</f>
        <v>2026-10-24</v>
      </c>
      <c r="U26" s="63">
        <f>T26-S26</f>
        <v>46319</v>
      </c>
      <c r="V26" s="186" t="n"/>
      <c r="W26" s="61" t="str">
        <f>VLOOKUP(A26,'3.GateMove'!A:D,4,FALSE)</f>
        <v>2026-10-21</v>
      </c>
      <c r="X26" s="63">
        <f>((T26-W26)+1)</f>
        <v>4</v>
      </c>
      <c r="Y26" s="64">
        <f>IF(AND(OR(C26="BKK01",C26="BKK04"),L26="CFS/CY"),0,IF(M26="DG",1,IF(LEFT(C26,3)="LCH",7,IF(C26="BKK02",5,3))))</f>
        <v>1</v>
      </c>
      <c r="Z26" s="63">
        <f>IF(IF(AND(AC26="TML",AB26&gt;0),((T26-W26)+1)-AB26,((T26-W26)+1)-Y26)&gt;0,IF(AND(AC26="TML",AB26&gt;0),((T26-W26)+1)-AB26,((T26-W26)+1)-Y26),0)</f>
        <v>3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1440</v>
      </c>
      <c r="AB26" s="184" t="n"/>
      <c r="AC26" s="184" t="n"/>
      <c r="AD26" s="60">
        <f>IF(M26="DG",3,IF(N26="RF",3,5))+IF(AND(LEFT(C26,3)="BKK",N26="RF",Q26="KTS"),1,0)+IF(Q26="KHS",1,0)</f>
        <v>3</v>
      </c>
      <c r="AE26" s="63">
        <f>(T26-V26)+1</f>
        <v>46320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1440</v>
      </c>
      <c r="AJ26" s="188" t="n"/>
      <c r="AK26" s="62" t="str">
        <f>VLOOKUP(D26,'2.Bookinglist'!A:CT,40,FALSE)</f>
        <v>Tarn(Supaporn)</v>
      </c>
      <c r="AL26" s="60" t="str">
        <f>VLOOKUP(D26,'2.Bookinglist'!A:CW,101,FALSE)</f>
        <v>2026-10-23</v>
      </c>
      <c r="AM26" s="60" t="str">
        <f>VLOOKUP(D26,'2.Bookinglist'!A:BK,63,FALSE)</f>
        <v>BKK27</v>
      </c>
      <c r="AN26" s="62" t="str">
        <f>VLOOKUP(D26,'2.Bookinglist'!A:AZ,52,FALSE)</f>
        <v>*APPROVAL BY MR.JEONG-YONG UM DD.15/10/2026** DG22GPx10 (CLS 9 / UN 2216) 
Pickup : 2026-10-19, Return : 2026-10-21  </v>
      </c>
      <c r="AO26" s="62">
        <f>VLOOKUP(D26,'2.Bookinglist'!A:CY,103,FALSE)</f>
        <v>0</v>
      </c>
    </row>
    <row r="27" ht="12.95" customHeight="1">
      <c r="A27" s="96" t="inlineStr">
        <is>
          <t>SKLU1342150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HASLS22260902618</v>
      </c>
      <c r="E27" s="62" t="str">
        <f>VLOOKUP(D27,'2.Bookinglist'!A:CT,27,FALSE)</f>
        <v>KUEHNE + NAGEL LIMITED</v>
      </c>
      <c r="F27" s="62" t="str">
        <f>VLOOKUP(D27,'2.Bookinglist'!A:CT,28,FALSE)</f>
        <v>CITY FARM INTERFOOD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CMA</v>
      </c>
      <c r="P27" s="61" t="str">
        <f>VLOOKUP(A27,'1.Loading'!A:R,4,FALSE)</f>
        <v>2615N</v>
      </c>
      <c r="Q27" s="61" t="str">
        <f>VLOOKUP(D27,'2.Bookinglist'!A:CT,12,FALSE)</f>
        <v>KTS1</v>
      </c>
      <c r="R27" s="60" t="str">
        <f>IF(LEFT(K27,2)="22","20'","40'")</f>
        <v>20'</v>
      </c>
      <c r="S27" s="185" t="n"/>
      <c r="T27" s="61" t="str">
        <f>VLOOKUP(A27,'1.Loading'!A:R,2,FALSE)</f>
        <v>2026-10-24</v>
      </c>
      <c r="U27" s="63">
        <f>T27-S27</f>
        <v>46319</v>
      </c>
      <c r="V27" s="186" t="n"/>
      <c r="W27" s="61" t="str">
        <f>VLOOKUP(A27,'3.GateMove'!A:D,4,FALSE)</f>
        <v>2026-10-20</v>
      </c>
      <c r="X27" s="63">
        <f>((T27-W27)+1)</f>
        <v>5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320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46320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320</v>
      </c>
      <c r="AJ27" s="188" t="n"/>
      <c r="AK27" s="62" t="str">
        <f>VLOOKUP(D27,'2.Bookinglist'!A:CT,40,FALSE)</f>
        <v>Orinda Wong</v>
      </c>
      <c r="AL27" s="60" t="str">
        <f>VLOOKUP(D27,'2.Bookinglist'!A:CW,101,FALSE)</f>
        <v>2026-10-22</v>
      </c>
      <c r="AM27" s="60" t="str">
        <f>VLOOKUP(D27,'2.Bookinglist'!A:BK,63,FALSE)</f>
        <v>BKK27</v>
      </c>
      <c r="AN27" s="62" t="str">
        <f>VLOOKUP(D27,'2.Bookinglist'!A:AZ,52,FALSE)</f>
        <v>Pickup : 2026-10-17, Return : 2026-10-18 </v>
      </c>
      <c r="AO27" s="62">
        <f>VLOOKUP(D27,'2.Bookinglist'!A:CY,103,FALSE)</f>
        <v>0</v>
      </c>
    </row>
    <row r="28" ht="12.95" customHeight="1">
      <c r="A28" s="96" t="inlineStr">
        <is>
          <t>SKLU1545558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HASLS22261000928</v>
      </c>
      <c r="E28" s="62" t="str">
        <f>VLOOKUP(D28,'2.Bookinglist'!A:CT,27,FALSE)</f>
        <v>MEGALOAD DEVELOPMENT LOGISTICS CO., LTD.</v>
      </c>
      <c r="F28" s="62" t="str">
        <f>VLOOKUP(D28,'2.Bookinglist'!A:CT,28,FALSE)</f>
        <v>FISHMEAL MARKETING DEVELOPMENT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>DG</v>
      </c>
      <c r="N28" s="60" t="str">
        <f>IF(RIGHT(K28,2)="RE","RF","")</f>
        <v/>
      </c>
      <c r="O28" s="61" t="str">
        <f>VLOOKUP(A28,'1.Loading'!A:R,3,FALSE)</f>
        <v>CMA</v>
      </c>
      <c r="P28" s="61" t="str">
        <f>VLOOKUP(A28,'1.Loading'!A:R,4,FALSE)</f>
        <v>2615N</v>
      </c>
      <c r="Q28" s="61" t="str">
        <f>VLOOKUP(D28,'2.Bookinglist'!A:CT,12,FALSE)</f>
        <v>KTS1</v>
      </c>
      <c r="R28" s="60" t="str">
        <f>IF(LEFT(K28,2)="22","20'","40'")</f>
        <v>20'</v>
      </c>
      <c r="S28" s="185" t="n"/>
      <c r="T28" s="61" t="str">
        <f>VLOOKUP(A28,'1.Loading'!A:R,2,FALSE)</f>
        <v>2026-10-24</v>
      </c>
      <c r="U28" s="63">
        <f>T28-S28</f>
        <v>46319</v>
      </c>
      <c r="V28" s="186" t="n"/>
      <c r="W28" s="61" t="str">
        <f>VLOOKUP(A28,'3.GateMove'!A:D,4,FALSE)</f>
        <v>2026-10-21</v>
      </c>
      <c r="X28" s="63">
        <f>((T28-W28)+1)</f>
        <v>4</v>
      </c>
      <c r="Y28" s="64">
        <f>IF(AND(OR(C28="BKK01",C28="BKK04"),L28="CFS/CY"),0,IF(M28="DG",1,IF(LEFT(C28,3)="LCH",7,IF(C28="BKK02",5,3))))</f>
        <v>1</v>
      </c>
      <c r="Z28" s="63">
        <f>IF(IF(AND(AC28="TML",AB28&gt;0),((T28-W28)+1)-AB28,((T28-W28)+1)-Y28)&gt;0,IF(AND(AC28="TML",AB28&gt;0),((T28-W28)+1)-AB28,((T28-W28)+1)-Y28),0)</f>
        <v>3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1440</v>
      </c>
      <c r="AB28" s="184" t="n"/>
      <c r="AC28" s="184" t="n"/>
      <c r="AD28" s="60">
        <f>IF(M28="DG",3,IF(N28="RF",3,5))+IF(AND(LEFT(C28,3)="BKK",N28="RF",Q28="KTS"),1,0)+IF(Q28="KHS",1,0)</f>
        <v>3</v>
      </c>
      <c r="AE28" s="63">
        <f>(T28-V28)+1</f>
        <v>46320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1440</v>
      </c>
      <c r="AJ28" s="188" t="n"/>
      <c r="AK28" s="62" t="str">
        <f>VLOOKUP(D28,'2.Bookinglist'!A:CT,40,FALSE)</f>
        <v>Tarn(Supaporn)</v>
      </c>
      <c r="AL28" s="60" t="str">
        <f>VLOOKUP(D28,'2.Bookinglist'!A:CW,101,FALSE)</f>
        <v>2026-10-23</v>
      </c>
      <c r="AM28" s="60" t="str">
        <f>VLOOKUP(D28,'2.Bookinglist'!A:BK,63,FALSE)</f>
        <v>BKK27</v>
      </c>
      <c r="AN28" s="62" t="str">
        <f>VLOOKUP(D28,'2.Bookinglist'!A:AZ,52,FALSE)</f>
        <v>*APPROVAL BY MR.JEONG-YONG UM DD.15/10/2026** DG22GPx10 (CLS 9 / UN 2216) 
Pickup : 2026-10-19, Return : 2026-10-21  </v>
      </c>
      <c r="AO28" s="62">
        <f>VLOOKUP(D28,'2.Bookinglist'!A:CY,103,FALSE)</f>
        <v>0</v>
      </c>
    </row>
    <row r="29" ht="12.95" customHeight="1">
      <c r="A29" s="96" t="inlineStr">
        <is>
          <t>SKLU1621508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HASLS22261000870</v>
      </c>
      <c r="E29" s="62" t="str">
        <f>VLOOKUP(D29,'2.Bookinglist'!A:CT,27,FALSE)</f>
        <v>MEGALOAD DEVELOPMENT LOGISTICS CO., LTD.</v>
      </c>
      <c r="F29" s="62" t="str">
        <f>VLOOKUP(D29,'2.Bookinglist'!A:CT,28,FALSE)</f>
        <v>FISHMEAL MARKETING DEVELOPMENT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>DG</v>
      </c>
      <c r="N29" s="60" t="str">
        <f>IF(RIGHT(K29,2)="RE","RF","")</f>
        <v/>
      </c>
      <c r="O29" s="61" t="str">
        <f>VLOOKUP(A29,'1.Loading'!A:R,3,FALSE)</f>
        <v>CMA</v>
      </c>
      <c r="P29" s="61" t="str">
        <f>VLOOKUP(A29,'1.Loading'!A:R,4,FALSE)</f>
        <v>2615N</v>
      </c>
      <c r="Q29" s="61" t="str">
        <f>VLOOKUP(D29,'2.Bookinglist'!A:CT,12,FALSE)</f>
        <v>KTS1</v>
      </c>
      <c r="R29" s="60" t="str">
        <f>IF(LEFT(K29,2)="22","20'","40'")</f>
        <v>20'</v>
      </c>
      <c r="S29" s="185" t="n"/>
      <c r="T29" s="61" t="str">
        <f>VLOOKUP(A29,'1.Loading'!A:R,2,FALSE)</f>
        <v>2026-10-24</v>
      </c>
      <c r="U29" s="63">
        <f>T29-S29</f>
        <v>46319</v>
      </c>
      <c r="V29" s="186" t="n"/>
      <c r="W29" s="61" t="str">
        <f>VLOOKUP(A29,'3.GateMove'!A:D,4,FALSE)</f>
        <v>2026-10-21</v>
      </c>
      <c r="X29" s="63">
        <f>((T29-W29)+1)</f>
        <v>4</v>
      </c>
      <c r="Y29" s="64">
        <f>IF(AND(OR(C29="BKK01",C29="BKK04"),L29="CFS/CY"),0,IF(M29="DG",1,IF(LEFT(C29,3)="LCH",7,IF(C29="BKK02",5,3))))</f>
        <v>1</v>
      </c>
      <c r="Z29" s="63">
        <f>IF(IF(AND(AC29="TML",AB29&gt;0),((T29-W29)+1)-AB29,((T29-W29)+1)-Y29)&gt;0,IF(AND(AC29="TML",AB29&gt;0),((T29-W29)+1)-AB29,((T29-W29)+1)-Y29),0)</f>
        <v>3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1440</v>
      </c>
      <c r="AB29" s="184" t="n"/>
      <c r="AC29" s="184" t="n"/>
      <c r="AD29" s="60">
        <f>IF(M29="DG",3,IF(N29="RF",3,5))+IF(AND(LEFT(C29,3)="BKK",N29="RF",Q29="KTS"),1,0)+IF(Q29="KHS",1,0)</f>
        <v>3</v>
      </c>
      <c r="AE29" s="63">
        <f>(T29-V29)+1</f>
        <v>46320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1440</v>
      </c>
      <c r="AJ29" s="188" t="n"/>
      <c r="AK29" s="62" t="str">
        <f>VLOOKUP(D29,'2.Bookinglist'!A:CT,40,FALSE)</f>
        <v>Tarn(Supaporn)</v>
      </c>
      <c r="AL29" s="60" t="str">
        <f>VLOOKUP(D29,'2.Bookinglist'!A:CW,101,FALSE)</f>
        <v>2026-10-23</v>
      </c>
      <c r="AM29" s="60" t="str">
        <f>VLOOKUP(D29,'2.Bookinglist'!A:BK,63,FALSE)</f>
        <v>BKK27</v>
      </c>
      <c r="AN29" s="62" t="str">
        <f>VLOOKUP(D29,'2.Bookinglist'!A:AZ,52,FALSE)</f>
        <v>**APPROVED BY Jeong-Yong UM DD.14/10/2026** DG22GPx10 (CLS 9 / UN 2216) 
Pickup : 2026-10-19, Return : 2026-10-20  </v>
      </c>
      <c r="AO29" s="62">
        <f>VLOOKUP(D29,'2.Bookinglist'!A:CY,103,FALSE)</f>
        <v>0</v>
      </c>
    </row>
    <row r="30" ht="12.95" customHeight="1">
      <c r="A30" s="96" t="inlineStr">
        <is>
          <t>SKLU1643301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HASLS22261000870</v>
      </c>
      <c r="E30" s="62" t="str">
        <f>VLOOKUP(D30,'2.Bookinglist'!A:CT,27,FALSE)</f>
        <v>MEGALOAD DEVELOPMENT LOGISTICS CO., LTD.</v>
      </c>
      <c r="F30" s="62" t="str">
        <f>VLOOKUP(D30,'2.Bookinglist'!A:CT,28,FALSE)</f>
        <v>FISHMEAL MARKETING DEVELOPMENT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>DG</v>
      </c>
      <c r="N30" s="60" t="str">
        <f>IF(RIGHT(K30,2)="RE","RF","")</f>
        <v/>
      </c>
      <c r="O30" s="61" t="str">
        <f>VLOOKUP(A30,'1.Loading'!A:R,3,FALSE)</f>
        <v>CMA</v>
      </c>
      <c r="P30" s="61" t="str">
        <f>VLOOKUP(A30,'1.Loading'!A:R,4,FALSE)</f>
        <v>2615N</v>
      </c>
      <c r="Q30" s="61" t="str">
        <f>VLOOKUP(D30,'2.Bookinglist'!A:CT,12,FALSE)</f>
        <v>KTS1</v>
      </c>
      <c r="R30" s="60" t="str">
        <f>IF(LEFT(K30,2)="22","20'","40'")</f>
        <v>20'</v>
      </c>
      <c r="S30" s="185" t="n"/>
      <c r="T30" s="61" t="str">
        <f>VLOOKUP(A30,'1.Loading'!A:R,2,FALSE)</f>
        <v>2026-10-24</v>
      </c>
      <c r="U30" s="63">
        <f>T30-S30</f>
        <v>46319</v>
      </c>
      <c r="V30" s="186" t="n"/>
      <c r="W30" s="61" t="str">
        <f>VLOOKUP(A30,'3.GateMove'!A:D,4,FALSE)</f>
        <v>2026-10-21</v>
      </c>
      <c r="X30" s="63">
        <f>((T30-W30)+1)</f>
        <v>4</v>
      </c>
      <c r="Y30" s="64">
        <f>IF(AND(OR(C30="BKK01",C30="BKK04"),L30="CFS/CY"),0,IF(M30="DG",1,IF(LEFT(C30,3)="LCH",7,IF(C30="BKK02",5,3))))</f>
        <v>1</v>
      </c>
      <c r="Z30" s="63">
        <f>IF(IF(AND(AC30="TML",AB30&gt;0),((T30-W30)+1)-AB30,((T30-W30)+1)-Y30)&gt;0,IF(AND(AC30="TML",AB30&gt;0),((T30-W30)+1)-AB30,((T30-W30)+1)-Y30),0)</f>
        <v>3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1440</v>
      </c>
      <c r="AB30" s="184" t="n"/>
      <c r="AC30" s="184" t="n"/>
      <c r="AD30" s="60">
        <f>IF(M30="DG",3,IF(N30="RF",3,5))+IF(AND(LEFT(C30,3)="BKK",N30="RF",Q30="KTS"),1,0)+IF(Q30="KHS",1,0)</f>
        <v>3</v>
      </c>
      <c r="AE30" s="63">
        <f>(T30-V30)+1</f>
        <v>46320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1440</v>
      </c>
      <c r="AJ30" s="188" t="n"/>
      <c r="AK30" s="62" t="str">
        <f>VLOOKUP(D30,'2.Bookinglist'!A:CT,40,FALSE)</f>
        <v>Tarn(Supaporn)</v>
      </c>
      <c r="AL30" s="60" t="str">
        <f>VLOOKUP(D30,'2.Bookinglist'!A:CW,101,FALSE)</f>
        <v>2026-10-23</v>
      </c>
      <c r="AM30" s="60" t="str">
        <f>VLOOKUP(D30,'2.Bookinglist'!A:BK,63,FALSE)</f>
        <v>BKK27</v>
      </c>
      <c r="AN30" s="62" t="str">
        <f>VLOOKUP(D30,'2.Bookinglist'!A:AZ,52,FALSE)</f>
        <v>**APPROVED BY Jeong-Yong UM DD.14/10/2026** DG22GPx10 (CLS 9 / UN 2216) 
Pickup : 2026-10-19, Return : 2026-10-20  </v>
      </c>
      <c r="AO30" s="62">
        <f>VLOOKUP(D30,'2.Bookinglist'!A:CY,103,FALSE)</f>
        <v>0</v>
      </c>
    </row>
    <row r="31" ht="12.95" customHeight="1">
      <c r="A31" s="96" t="inlineStr">
        <is>
          <t>SKLU1823197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HASLS22261000928</v>
      </c>
      <c r="E31" s="62" t="str">
        <f>VLOOKUP(D31,'2.Bookinglist'!A:CT,27,FALSE)</f>
        <v>MEGALOAD DEVELOPMENT LOGISTICS CO., LTD.</v>
      </c>
      <c r="F31" s="62" t="str">
        <f>VLOOKUP(D31,'2.Bookinglist'!A:CT,28,FALSE)</f>
        <v>FISHMEAL MARKETING DEVELOPMENT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>DG</v>
      </c>
      <c r="N31" s="60" t="str">
        <f>IF(RIGHT(K31,2)="RE","RF","")</f>
        <v/>
      </c>
      <c r="O31" s="61" t="str">
        <f>VLOOKUP(A31,'1.Loading'!A:R,3,FALSE)</f>
        <v>CMA</v>
      </c>
      <c r="P31" s="61" t="str">
        <f>VLOOKUP(A31,'1.Loading'!A:R,4,FALSE)</f>
        <v>2615N</v>
      </c>
      <c r="Q31" s="61" t="str">
        <f>VLOOKUP(D31,'2.Bookinglist'!A:CT,12,FALSE)</f>
        <v>KTS1</v>
      </c>
      <c r="R31" s="60" t="str">
        <f>IF(LEFT(K31,2)="22","20'","40'")</f>
        <v>20'</v>
      </c>
      <c r="S31" s="185" t="n"/>
      <c r="T31" s="61" t="str">
        <f>VLOOKUP(A31,'1.Loading'!A:R,2,FALSE)</f>
        <v>2026-10-24</v>
      </c>
      <c r="U31" s="63">
        <f>T31-S31</f>
        <v>46319</v>
      </c>
      <c r="V31" s="186" t="n"/>
      <c r="W31" s="61" t="str">
        <f>VLOOKUP(A31,'3.GateMove'!A:D,4,FALSE)</f>
        <v>2026-10-21</v>
      </c>
      <c r="X31" s="63">
        <f>((T31-W31)+1)</f>
        <v>4</v>
      </c>
      <c r="Y31" s="64">
        <f>IF(AND(OR(C31="BKK01",C31="BKK04"),L31="CFS/CY"),0,IF(M31="DG",1,IF(LEFT(C31,3)="LCH",7,IF(C31="BKK02",5,3))))</f>
        <v>1</v>
      </c>
      <c r="Z31" s="63">
        <f>IF(IF(AND(AC31="TML",AB31&gt;0),((T31-W31)+1)-AB31,((T31-W31)+1)-Y31)&gt;0,IF(AND(AC31="TML",AB31&gt;0),((T31-W31)+1)-AB31,((T31-W31)+1)-Y31),0)</f>
        <v>3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1440</v>
      </c>
      <c r="AB31" s="184" t="n"/>
      <c r="AC31" s="184" t="n"/>
      <c r="AD31" s="60">
        <f>IF(M31="DG",3,IF(N31="RF",3,5))+IF(AND(LEFT(C31,3)="BKK",N31="RF",Q31="KTS"),1,0)+IF(Q31="KHS",1,0)</f>
        <v>3</v>
      </c>
      <c r="AE31" s="63">
        <f>(T31-V31)+1</f>
        <v>46320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1440</v>
      </c>
      <c r="AJ31" s="188" t="n"/>
      <c r="AK31" s="62" t="str">
        <f>VLOOKUP(D31,'2.Bookinglist'!A:CT,40,FALSE)</f>
        <v>Tarn(Supaporn)</v>
      </c>
      <c r="AL31" s="60" t="str">
        <f>VLOOKUP(D31,'2.Bookinglist'!A:CW,101,FALSE)</f>
        <v>2026-10-23</v>
      </c>
      <c r="AM31" s="60" t="str">
        <f>VLOOKUP(D31,'2.Bookinglist'!A:BK,63,FALSE)</f>
        <v>BKK27</v>
      </c>
      <c r="AN31" s="62" t="str">
        <f>VLOOKUP(D31,'2.Bookinglist'!A:AZ,52,FALSE)</f>
        <v>*APPROVAL BY MR.JEONG-YONG UM DD.15/10/2026** DG22GPx10 (CLS 9 / UN 2216) 
Pickup : 2026-10-19, Return : 2026-10-21  </v>
      </c>
      <c r="AO31" s="62">
        <f>VLOOKUP(D31,'2.Bookinglist'!A:CY,103,FALSE)</f>
        <v>0</v>
      </c>
    </row>
    <row r="32" ht="12.95" customHeight="1">
      <c r="A32" s="96" t="inlineStr">
        <is>
          <t>SKLU1934164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HASLS22261000928</v>
      </c>
      <c r="E32" s="62" t="str">
        <f>VLOOKUP(D32,'2.Bookinglist'!A:CT,27,FALSE)</f>
        <v>MEGALOAD DEVELOPMENT LOGISTICS CO., LTD.</v>
      </c>
      <c r="F32" s="62" t="str">
        <f>VLOOKUP(D32,'2.Bookinglist'!A:CT,28,FALSE)</f>
        <v>FISHMEAL MARKETING DEVELOPMENT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>DG</v>
      </c>
      <c r="N32" s="60" t="str">
        <f>IF(RIGHT(K32,2)="RE","RF","")</f>
        <v/>
      </c>
      <c r="O32" s="61" t="str">
        <f>VLOOKUP(A32,'1.Loading'!A:R,3,FALSE)</f>
        <v>CMA</v>
      </c>
      <c r="P32" s="61" t="str">
        <f>VLOOKUP(A32,'1.Loading'!A:R,4,FALSE)</f>
        <v>2615N</v>
      </c>
      <c r="Q32" s="61" t="str">
        <f>VLOOKUP(D32,'2.Bookinglist'!A:CT,12,FALSE)</f>
        <v>KTS1</v>
      </c>
      <c r="R32" s="60" t="str">
        <f>IF(LEFT(K32,2)="22","20'","40'")</f>
        <v>20'</v>
      </c>
      <c r="S32" s="185" t="n"/>
      <c r="T32" s="61" t="str">
        <f>VLOOKUP(A32,'1.Loading'!A:R,2,FALSE)</f>
        <v>2026-10-24</v>
      </c>
      <c r="U32" s="63">
        <f>T32-S32</f>
        <v>46319</v>
      </c>
      <c r="V32" s="186" t="n"/>
      <c r="W32" s="61" t="str">
        <f>VLOOKUP(A32,'3.GateMove'!A:D,4,FALSE)</f>
        <v>2026-10-21</v>
      </c>
      <c r="X32" s="63">
        <f>((T32-W32)+1)</f>
        <v>4</v>
      </c>
      <c r="Y32" s="64">
        <f>IF(AND(OR(C32="BKK01",C32="BKK04"),L32="CFS/CY"),0,IF(M32="DG",1,IF(LEFT(C32,3)="LCH",7,IF(C32="BKK02",5,3))))</f>
        <v>1</v>
      </c>
      <c r="Z32" s="63">
        <f>IF(IF(AND(AC32="TML",AB32&gt;0),((T32-W32)+1)-AB32,((T32-W32)+1)-Y32)&gt;0,IF(AND(AC32="TML",AB32&gt;0),((T32-W32)+1)-AB32,((T32-W32)+1)-Y32),0)</f>
        <v>3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1440</v>
      </c>
      <c r="AB32" s="184" t="n"/>
      <c r="AC32" s="184" t="n"/>
      <c r="AD32" s="60">
        <f>IF(M32="DG",3,IF(N32="RF",3,5))+IF(AND(LEFT(C32,3)="BKK",N32="RF",Q32="KTS"),1,0)+IF(Q32="KHS",1,0)</f>
        <v>3</v>
      </c>
      <c r="AE32" s="63">
        <f>(T32-V32)+1</f>
        <v>46320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1440</v>
      </c>
      <c r="AJ32" s="188" t="n"/>
      <c r="AK32" s="62" t="str">
        <f>VLOOKUP(D32,'2.Bookinglist'!A:CT,40,FALSE)</f>
        <v>Tarn(Supaporn)</v>
      </c>
      <c r="AL32" s="60" t="str">
        <f>VLOOKUP(D32,'2.Bookinglist'!A:CW,101,FALSE)</f>
        <v>2026-10-23</v>
      </c>
      <c r="AM32" s="60" t="str">
        <f>VLOOKUP(D32,'2.Bookinglist'!A:BK,63,FALSE)</f>
        <v>BKK27</v>
      </c>
      <c r="AN32" s="62" t="str">
        <f>VLOOKUP(D32,'2.Bookinglist'!A:AZ,52,FALSE)</f>
        <v>*APPROVAL BY MR.JEONG-YONG UM DD.15/10/2026** DG22GPx10 (CLS 9 / UN 2216) 
Pickup : 2026-10-19, Return : 2026-10-21  </v>
      </c>
      <c r="AO32" s="62">
        <f>VLOOKUP(D32,'2.Bookinglist'!A:CY,103,FALSE)</f>
        <v>0</v>
      </c>
    </row>
    <row r="33" ht="12.95" customHeight="1">
      <c r="A33" s="96" t="inlineStr">
        <is>
          <t>SKLU1945169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HASLS22261000928</v>
      </c>
      <c r="E33" s="62" t="str">
        <f>VLOOKUP(D33,'2.Bookinglist'!A:CT,27,FALSE)</f>
        <v>MEGALOAD DEVELOPMENT LOGISTICS CO., LTD.</v>
      </c>
      <c r="F33" s="62" t="str">
        <f>VLOOKUP(D33,'2.Bookinglist'!A:CT,28,FALSE)</f>
        <v>FISHMEAL MARKETING DEVELOPMENT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>DG</v>
      </c>
      <c r="N33" s="60" t="str">
        <f>IF(RIGHT(K33,2)="RE","RF","")</f>
        <v/>
      </c>
      <c r="O33" s="61" t="str">
        <f>VLOOKUP(A33,'1.Loading'!A:R,3,FALSE)</f>
        <v>CMA</v>
      </c>
      <c r="P33" s="61" t="str">
        <f>VLOOKUP(A33,'1.Loading'!A:R,4,FALSE)</f>
        <v>2615N</v>
      </c>
      <c r="Q33" s="61" t="str">
        <f>VLOOKUP(D33,'2.Bookinglist'!A:CT,12,FALSE)</f>
        <v>KTS1</v>
      </c>
      <c r="R33" s="60" t="str">
        <f>IF(LEFT(K33,2)="22","20'","40'")</f>
        <v>20'</v>
      </c>
      <c r="S33" s="185" t="n"/>
      <c r="T33" s="61" t="str">
        <f>VLOOKUP(A33,'1.Loading'!A:R,2,FALSE)</f>
        <v>2026-10-24</v>
      </c>
      <c r="U33" s="63">
        <f>T33-S33</f>
        <v>46319</v>
      </c>
      <c r="V33" s="186" t="n"/>
      <c r="W33" s="61" t="str">
        <f>VLOOKUP(A33,'3.GateMove'!A:D,4,FALSE)</f>
        <v>2026-10-21</v>
      </c>
      <c r="X33" s="63">
        <f>((T33-W33)+1)</f>
        <v>4</v>
      </c>
      <c r="Y33" s="64">
        <f>IF(AND(OR(C33="BKK01",C33="BKK04"),L33="CFS/CY"),0,IF(M33="DG",1,IF(LEFT(C33,3)="LCH",7,IF(C33="BKK02",5,3))))</f>
        <v>1</v>
      </c>
      <c r="Z33" s="63">
        <f>IF(IF(AND(AC33="TML",AB33&gt;0),((T33-W33)+1)-AB33,((T33-W33)+1)-Y33)&gt;0,IF(AND(AC33="TML",AB33&gt;0),((T33-W33)+1)-AB33,((T33-W33)+1)-Y33),0)</f>
        <v>3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1440</v>
      </c>
      <c r="AB33" s="184" t="n"/>
      <c r="AC33" s="184" t="n"/>
      <c r="AD33" s="60">
        <f>IF(M33="DG",3,IF(N33="RF",3,5))+IF(AND(LEFT(C33,3)="BKK",N33="RF",Q33="KTS"),1,0)+IF(Q33="KHS",1,0)</f>
        <v>3</v>
      </c>
      <c r="AE33" s="63">
        <f>(T33-V33)+1</f>
        <v>46320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1440</v>
      </c>
      <c r="AJ33" s="188" t="n"/>
      <c r="AK33" s="62" t="str">
        <f>VLOOKUP(D33,'2.Bookinglist'!A:CT,40,FALSE)</f>
        <v>Tarn(Supaporn)</v>
      </c>
      <c r="AL33" s="60" t="str">
        <f>VLOOKUP(D33,'2.Bookinglist'!A:CW,101,FALSE)</f>
        <v>2026-10-23</v>
      </c>
      <c r="AM33" s="60" t="str">
        <f>VLOOKUP(D33,'2.Bookinglist'!A:BK,63,FALSE)</f>
        <v>BKK27</v>
      </c>
      <c r="AN33" s="62" t="str">
        <f>VLOOKUP(D33,'2.Bookinglist'!A:AZ,52,FALSE)</f>
        <v>*APPROVAL BY MR.JEONG-YONG UM DD.15/10/2026** DG22GPx10 (CLS 9 / UN 2216) 
Pickup : 2026-10-19, Return : 2026-10-21  </v>
      </c>
      <c r="AO33" s="62">
        <f>VLOOKUP(D33,'2.Bookinglist'!A:CY,103,FALSE)</f>
        <v>0</v>
      </c>
    </row>
    <row r="34" ht="12.95" customHeight="1">
      <c r="A34" s="96" t="inlineStr">
        <is>
          <t>SKLU1953009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HASLS22261000928</v>
      </c>
      <c r="E34" s="62" t="str">
        <f>VLOOKUP(D34,'2.Bookinglist'!A:CT,27,FALSE)</f>
        <v>MEGALOAD DEVELOPMENT LOGISTICS CO., LTD.</v>
      </c>
      <c r="F34" s="62" t="str">
        <f>VLOOKUP(D34,'2.Bookinglist'!A:CT,28,FALSE)</f>
        <v>FISHMEAL MARKETING DEVELOPMENT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HKHKG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>DG</v>
      </c>
      <c r="N34" s="60" t="str">
        <f>IF(RIGHT(K34,2)="RE","RF","")</f>
        <v/>
      </c>
      <c r="O34" s="61" t="str">
        <f>VLOOKUP(A34,'1.Loading'!A:R,3,FALSE)</f>
        <v>CMA</v>
      </c>
      <c r="P34" s="61" t="str">
        <f>VLOOKUP(A34,'1.Loading'!A:R,4,FALSE)</f>
        <v>2615N</v>
      </c>
      <c r="Q34" s="61" t="str">
        <f>VLOOKUP(D34,'2.Bookinglist'!A:CT,12,FALSE)</f>
        <v>KTS1</v>
      </c>
      <c r="R34" s="60" t="str">
        <f>IF(LEFT(K34,2)="22","20'","40'")</f>
        <v>20'</v>
      </c>
      <c r="S34" s="185" t="n"/>
      <c r="T34" s="61" t="str">
        <f>VLOOKUP(A34,'1.Loading'!A:R,2,FALSE)</f>
        <v>2026-10-24</v>
      </c>
      <c r="U34" s="63">
        <f>T34-S34</f>
        <v>46319</v>
      </c>
      <c r="V34" s="186" t="n"/>
      <c r="W34" s="61" t="str">
        <f>VLOOKUP(A34,'3.GateMove'!A:D,4,FALSE)</f>
        <v>2026-10-21</v>
      </c>
      <c r="X34" s="63">
        <f>((T34-W34)+1)</f>
        <v>4</v>
      </c>
      <c r="Y34" s="64">
        <f>IF(AND(OR(C34="BKK01",C34="BKK04"),L34="CFS/CY"),0,IF(M34="DG",1,IF(LEFT(C34,3)="LCH",7,IF(C34="BKK02",5,3))))</f>
        <v>1</v>
      </c>
      <c r="Z34" s="63">
        <f>IF(IF(AND(AC34="TML",AB34&gt;0),((T34-W34)+1)-AB34,((T34-W34)+1)-Y34)&gt;0,IF(AND(AC34="TML",AB34&gt;0),((T34-W34)+1)-AB34,((T34-W34)+1)-Y34),0)</f>
        <v>3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1440</v>
      </c>
      <c r="AB34" s="184" t="n"/>
      <c r="AC34" s="184" t="n"/>
      <c r="AD34" s="60">
        <f>IF(M34="DG",3,IF(N34="RF",3,5))+IF(AND(LEFT(C34,3)="BKK",N34="RF",Q34="KTS"),1,0)+IF(Q34="KHS",1,0)</f>
        <v>3</v>
      </c>
      <c r="AE34" s="63">
        <f>(T34-V34)+1</f>
        <v>46320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1440</v>
      </c>
      <c r="AJ34" s="188" t="n"/>
      <c r="AK34" s="62" t="str">
        <f>VLOOKUP(D34,'2.Bookinglist'!A:CT,40,FALSE)</f>
        <v>Tarn(Supaporn)</v>
      </c>
      <c r="AL34" s="60" t="str">
        <f>VLOOKUP(D34,'2.Bookinglist'!A:CW,101,FALSE)</f>
        <v>2026-10-23</v>
      </c>
      <c r="AM34" s="60" t="str">
        <f>VLOOKUP(D34,'2.Bookinglist'!A:BK,63,FALSE)</f>
        <v>BKK27</v>
      </c>
      <c r="AN34" s="62" t="str">
        <f>VLOOKUP(D34,'2.Bookinglist'!A:AZ,52,FALSE)</f>
        <v>*APPROVAL BY MR.JEONG-YONG UM DD.15/10/2026** DG22GPx10 (CLS 9 / UN 2216) 
Pickup : 2026-10-19, Return : 2026-10-21  </v>
      </c>
      <c r="AO34" s="62">
        <f>VLOOKUP(D34,'2.Bookinglist'!A:CY,103,FALSE)</f>
        <v>0</v>
      </c>
    </row>
    <row r="35" ht="12.95" customHeight="1">
      <c r="A35" s="96" t="inlineStr">
        <is>
          <t>SKLU1958356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HASLS22261000870</v>
      </c>
      <c r="E35" s="62" t="str">
        <f>VLOOKUP(D35,'2.Bookinglist'!A:CT,27,FALSE)</f>
        <v>MEGALOAD DEVELOPMENT LOGISTICS CO., LTD.</v>
      </c>
      <c r="F35" s="62" t="str">
        <f>VLOOKUP(D35,'2.Bookinglist'!A:CT,28,FALSE)</f>
        <v>FISHMEAL MARKETING DEVELOPMENT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>DG</v>
      </c>
      <c r="N35" s="60" t="str">
        <f>IF(RIGHT(K35,2)="RE","RF","")</f>
        <v/>
      </c>
      <c r="O35" s="61" t="str">
        <f>VLOOKUP(A35,'1.Loading'!A:R,3,FALSE)</f>
        <v>CMA</v>
      </c>
      <c r="P35" s="61" t="str">
        <f>VLOOKUP(A35,'1.Loading'!A:R,4,FALSE)</f>
        <v>2615N</v>
      </c>
      <c r="Q35" s="61" t="str">
        <f>VLOOKUP(D35,'2.Bookinglist'!A:CT,12,FALSE)</f>
        <v>KTS1</v>
      </c>
      <c r="R35" s="60" t="str">
        <f>IF(LEFT(K35,2)="22","20'","40'")</f>
        <v>20'</v>
      </c>
      <c r="S35" s="185" t="n"/>
      <c r="T35" s="61" t="str">
        <f>VLOOKUP(A35,'1.Loading'!A:R,2,FALSE)</f>
        <v>2026-10-24</v>
      </c>
      <c r="U35" s="63">
        <f>T35-S35</f>
        <v>46319</v>
      </c>
      <c r="V35" s="186" t="n"/>
      <c r="W35" s="61" t="str">
        <f>VLOOKUP(A35,'3.GateMove'!A:D,4,FALSE)</f>
        <v>2026-10-21</v>
      </c>
      <c r="X35" s="63">
        <f>((T35-W35)+1)</f>
        <v>4</v>
      </c>
      <c r="Y35" s="64">
        <f>IF(AND(OR(C35="BKK01",C35="BKK04"),L35="CFS/CY"),0,IF(M35="DG",1,IF(LEFT(C35,3)="LCH",7,IF(C35="BKK02",5,3))))</f>
        <v>1</v>
      </c>
      <c r="Z35" s="63">
        <f>IF(IF(AND(AC35="TML",AB35&gt;0),((T35-W35)+1)-AB35,((T35-W35)+1)-Y35)&gt;0,IF(AND(AC35="TML",AB35&gt;0),((T35-W35)+1)-AB35,((T35-W35)+1)-Y35),0)</f>
        <v>3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1440</v>
      </c>
      <c r="AB35" s="184" t="n"/>
      <c r="AC35" s="184" t="n"/>
      <c r="AD35" s="60">
        <f>IF(M35="DG",3,IF(N35="RF",3,5))+IF(AND(LEFT(C35,3)="BKK",N35="RF",Q35="KTS"),1,0)+IF(Q35="KHS",1,0)</f>
        <v>3</v>
      </c>
      <c r="AE35" s="63">
        <f>(T35-V35)+1</f>
        <v>46320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1440</v>
      </c>
      <c r="AJ35" s="188" t="n"/>
      <c r="AK35" s="62" t="str">
        <f>VLOOKUP(D35,'2.Bookinglist'!A:CT,40,FALSE)</f>
        <v>Tarn(Supaporn)</v>
      </c>
      <c r="AL35" s="60" t="str">
        <f>VLOOKUP(D35,'2.Bookinglist'!A:CW,101,FALSE)</f>
        <v>2026-10-23</v>
      </c>
      <c r="AM35" s="60" t="str">
        <f>VLOOKUP(D35,'2.Bookinglist'!A:BK,63,FALSE)</f>
        <v>BKK27</v>
      </c>
      <c r="AN35" s="62" t="str">
        <f>VLOOKUP(D35,'2.Bookinglist'!A:AZ,52,FALSE)</f>
        <v>**APPROVED BY Jeong-Yong UM DD.14/10/2026** DG22GPx10 (CLS 9 / UN 2216) 
Pickup : 2026-10-19, Return : 2026-10-20  </v>
      </c>
      <c r="AO35" s="62">
        <f>VLOOKUP(D35,'2.Bookinglist'!A:CY,103,FALSE)</f>
        <v>0</v>
      </c>
    </row>
    <row r="36" ht="12.95" customHeight="1">
      <c r="A36" s="96" t="inlineStr">
        <is>
          <t>SKLU2009272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HASLS22261000928</v>
      </c>
      <c r="E36" s="62" t="str">
        <f>VLOOKUP(D36,'2.Bookinglist'!A:CT,27,FALSE)</f>
        <v>MEGALOAD DEVELOPMENT LOGISTICS CO., LTD.</v>
      </c>
      <c r="F36" s="62" t="str">
        <f>VLOOKUP(D36,'2.Bookinglist'!A:CT,28,FALSE)</f>
        <v>FISHMEAL MARKETING DEVELOPMENT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>DG</v>
      </c>
      <c r="N36" s="60" t="str">
        <f>IF(RIGHT(K36,2)="RE","RF","")</f>
        <v/>
      </c>
      <c r="O36" s="61" t="str">
        <f>VLOOKUP(A36,'1.Loading'!A:R,3,FALSE)</f>
        <v>CMA</v>
      </c>
      <c r="P36" s="61" t="str">
        <f>VLOOKUP(A36,'1.Loading'!A:R,4,FALSE)</f>
        <v>2615N</v>
      </c>
      <c r="Q36" s="61" t="str">
        <f>VLOOKUP(D36,'2.Bookinglist'!A:CT,12,FALSE)</f>
        <v>KTS1</v>
      </c>
      <c r="R36" s="60" t="str">
        <f>IF(LEFT(K36,2)="22","20'","40'")</f>
        <v>20'</v>
      </c>
      <c r="S36" s="185" t="n"/>
      <c r="T36" s="61" t="str">
        <f>VLOOKUP(A36,'1.Loading'!A:R,2,FALSE)</f>
        <v>2026-10-24</v>
      </c>
      <c r="U36" s="63">
        <f>T36-S36</f>
        <v>46319</v>
      </c>
      <c r="V36" s="186" t="n"/>
      <c r="W36" s="61" t="str">
        <f>VLOOKUP(A36,'3.GateMove'!A:D,4,FALSE)</f>
        <v>2026-10-21</v>
      </c>
      <c r="X36" s="63">
        <f>((T36-W36)+1)</f>
        <v>4</v>
      </c>
      <c r="Y36" s="64">
        <f>IF(AND(OR(C36="BKK01",C36="BKK04"),L36="CFS/CY"),0,IF(M36="DG",1,IF(LEFT(C36,3)="LCH",7,IF(C36="BKK02",5,3))))</f>
        <v>1</v>
      </c>
      <c r="Z36" s="63">
        <f>IF(IF(AND(AC36="TML",AB36&gt;0),((T36-W36)+1)-AB36,((T36-W36)+1)-Y36)&gt;0,IF(AND(AC36="TML",AB36&gt;0),((T36-W36)+1)-AB36,((T36-W36)+1)-Y36),0)</f>
        <v>3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1440</v>
      </c>
      <c r="AB36" s="184" t="n"/>
      <c r="AC36" s="184" t="n"/>
      <c r="AD36" s="60">
        <f>IF(M36="DG",3,IF(N36="RF",3,5))+IF(AND(LEFT(C36,3)="BKK",N36="RF",Q36="KTS"),1,0)+IF(Q36="KHS",1,0)</f>
        <v>3</v>
      </c>
      <c r="AE36" s="63">
        <f>(T36-V36)+1</f>
        <v>46320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1440</v>
      </c>
      <c r="AJ36" s="188" t="n"/>
      <c r="AK36" s="62" t="str">
        <f>VLOOKUP(D36,'2.Bookinglist'!A:CT,40,FALSE)</f>
        <v>Tarn(Supaporn)</v>
      </c>
      <c r="AL36" s="60" t="str">
        <f>VLOOKUP(D36,'2.Bookinglist'!A:CW,101,FALSE)</f>
        <v>2026-10-23</v>
      </c>
      <c r="AM36" s="60" t="str">
        <f>VLOOKUP(D36,'2.Bookinglist'!A:BK,63,FALSE)</f>
        <v>BKK27</v>
      </c>
      <c r="AN36" s="62" t="str">
        <f>VLOOKUP(D36,'2.Bookinglist'!A:AZ,52,FALSE)</f>
        <v>*APPROVAL BY MR.JEONG-YONG UM DD.15/10/2026** DG22GPx10 (CLS 9 / UN 2216) 
Pickup : 2026-10-19, Return : 2026-10-21  </v>
      </c>
      <c r="AO36" s="62">
        <f>VLOOKUP(D36,'2.Bookinglist'!A:CY,103,FALSE)</f>
        <v>0</v>
      </c>
    </row>
    <row r="37" ht="12.95" customHeight="1">
      <c r="A37" s="96" t="inlineStr">
        <is>
          <t>SKLU2055180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HASLS22261000781</v>
      </c>
      <c r="E37" s="62" t="str">
        <f>VLOOKUP(D37,'2.Bookinglist'!A:CT,27,FALSE)</f>
        <v>SAVINO DEL BENE (THAILAND) LTD.</v>
      </c>
      <c r="F37" s="62" t="str">
        <f>VLOOKUP(D37,'2.Bookinglist'!A:CT,28,FALSE)</f>
        <v>CHENGTEH CHINAWARE (THAILAND)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CNSHK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CMA</v>
      </c>
      <c r="P37" s="61" t="str">
        <f>VLOOKUP(A37,'1.Loading'!A:R,4,FALSE)</f>
        <v>2615N</v>
      </c>
      <c r="Q37" s="61" t="str">
        <f>VLOOKUP(D37,'2.Bookinglist'!A:CT,12,FALSE)</f>
        <v>KTS1</v>
      </c>
      <c r="R37" s="60" t="str">
        <f>IF(LEFT(K37,2)="22","20'","40'")</f>
        <v>20'</v>
      </c>
      <c r="S37" s="185" t="n"/>
      <c r="T37" s="61" t="str">
        <f>VLOOKUP(A37,'1.Loading'!A:R,2,FALSE)</f>
        <v>2026-10-24</v>
      </c>
      <c r="U37" s="63">
        <f>T37-S37</f>
        <v>46319</v>
      </c>
      <c r="V37" s="186" t="n"/>
      <c r="W37" s="61" t="str">
        <f>VLOOKUP(A37,'3.GateMove'!A:D,4,FALSE)</f>
        <v>2026-10-18</v>
      </c>
      <c r="X37" s="63">
        <f>((T37-W37)+1)</f>
        <v>7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4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640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46320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640</v>
      </c>
      <c r="AJ37" s="188" t="n"/>
      <c r="AK37" s="62" t="str">
        <f>VLOOKUP(D37,'2.Bookinglist'!A:CT,40,FALSE)</f>
        <v>Nustsireerach</v>
      </c>
      <c r="AL37" s="60" t="str">
        <f>VLOOKUP(D37,'2.Bookinglist'!A:CW,101,FALSE)</f>
        <v>2026-10-22</v>
      </c>
      <c r="AM37" s="60" t="str">
        <f>VLOOKUP(D37,'2.Bookinglist'!A:BK,63,FALSE)</f>
        <v>BKK27</v>
      </c>
      <c r="AN37" s="62" t="str">
        <f>VLOOKUP(D37,'2.Bookinglist'!A:AZ,52,FALSE)</f>
        <v>Pickup : 2026-10-16, Return : 2026-10-19</v>
      </c>
      <c r="AO37" s="62">
        <f>VLOOKUP(D37,'2.Bookinglist'!A:CY,103,FALSE)</f>
        <v>0</v>
      </c>
    </row>
    <row r="38" ht="12.95" customHeight="1">
      <c r="A38" s="96" t="inlineStr">
        <is>
          <t>SKLU2072193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HASLS22261000928</v>
      </c>
      <c r="E38" s="62" t="str">
        <f>VLOOKUP(D38,'2.Bookinglist'!A:CT,27,FALSE)</f>
        <v>MEGALOAD DEVELOPMENT LOGISTICS CO., LTD.</v>
      </c>
      <c r="F38" s="62" t="str">
        <f>VLOOKUP(D38,'2.Bookinglist'!A:CT,28,FALSE)</f>
        <v>FISHMEAL MARKETING DEVELOPMENT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>DG</v>
      </c>
      <c r="N38" s="60" t="str">
        <f>IF(RIGHT(K38,2)="RE","RF","")</f>
        <v/>
      </c>
      <c r="O38" s="61" t="str">
        <f>VLOOKUP(A38,'1.Loading'!A:R,3,FALSE)</f>
        <v>CMA</v>
      </c>
      <c r="P38" s="61" t="str">
        <f>VLOOKUP(A38,'1.Loading'!A:R,4,FALSE)</f>
        <v>2615N</v>
      </c>
      <c r="Q38" s="61" t="str">
        <f>VLOOKUP(D38,'2.Bookinglist'!A:CT,12,FALSE)</f>
        <v>KTS1</v>
      </c>
      <c r="R38" s="60" t="str">
        <f>IF(LEFT(K38,2)="22","20'","40'")</f>
        <v>20'</v>
      </c>
      <c r="S38" s="185" t="n"/>
      <c r="T38" s="61" t="str">
        <f>VLOOKUP(A38,'1.Loading'!A:R,2,FALSE)</f>
        <v>2026-10-24</v>
      </c>
      <c r="U38" s="63">
        <f>T38-S38</f>
        <v>46319</v>
      </c>
      <c r="V38" s="186" t="n"/>
      <c r="W38" s="61" t="str">
        <f>VLOOKUP(A38,'3.GateMove'!A:D,4,FALSE)</f>
        <v>2026-10-21</v>
      </c>
      <c r="X38" s="63">
        <f>((T38-W38)+1)</f>
        <v>4</v>
      </c>
      <c r="Y38" s="64">
        <f>IF(AND(OR(C38="BKK01",C38="BKK04"),L38="CFS/CY"),0,IF(M38="DG",1,IF(LEFT(C38,3)="LCH",7,IF(C38="BKK02",5,3))))</f>
        <v>1</v>
      </c>
      <c r="Z38" s="63">
        <f>IF(IF(AND(AC38="TML",AB38&gt;0),((T38-W38)+1)-AB38,((T38-W38)+1)-Y38)&gt;0,IF(AND(AC38="TML",AB38&gt;0),((T38-W38)+1)-AB38,((T38-W38)+1)-Y38),0)</f>
        <v>3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1440</v>
      </c>
      <c r="AB38" s="184" t="n"/>
      <c r="AC38" s="184" t="n"/>
      <c r="AD38" s="60">
        <f>IF(M38="DG",3,IF(N38="RF",3,5))+IF(AND(LEFT(C38,3)="BKK",N38="RF",Q38="KTS"),1,0)+IF(Q38="KHS",1,0)</f>
        <v>3</v>
      </c>
      <c r="AE38" s="63">
        <f>(T38-V38)+1</f>
        <v>46320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1440</v>
      </c>
      <c r="AJ38" s="188" t="n"/>
      <c r="AK38" s="62" t="str">
        <f>VLOOKUP(D38,'2.Bookinglist'!A:CT,40,FALSE)</f>
        <v>Tarn(Supaporn)</v>
      </c>
      <c r="AL38" s="60" t="str">
        <f>VLOOKUP(D38,'2.Bookinglist'!A:CW,101,FALSE)</f>
        <v>2026-10-23</v>
      </c>
      <c r="AM38" s="60" t="str">
        <f>VLOOKUP(D38,'2.Bookinglist'!A:BK,63,FALSE)</f>
        <v>BKK27</v>
      </c>
      <c r="AN38" s="62" t="str">
        <f>VLOOKUP(D38,'2.Bookinglist'!A:AZ,52,FALSE)</f>
        <v>*APPROVAL BY MR.JEONG-YONG UM DD.15/10/2026** DG22GPx10 (CLS 9 / UN 2216) 
Pickup : 2026-10-19, Return : 2026-10-21  </v>
      </c>
      <c r="AO38" s="62">
        <f>VLOOKUP(D38,'2.Bookinglist'!A:CY,103,FALSE)</f>
        <v>0</v>
      </c>
    </row>
    <row r="39" ht="12.95" customHeight="1">
      <c r="A39" s="96" t="inlineStr">
        <is>
          <t>SKLU2117575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HASLS22261000870</v>
      </c>
      <c r="E39" s="62" t="str">
        <f>VLOOKUP(D39,'2.Bookinglist'!A:CT,27,FALSE)</f>
        <v>MEGALOAD DEVELOPMENT LOGISTICS CO., LTD.</v>
      </c>
      <c r="F39" s="62" t="str">
        <f>VLOOKUP(D39,'2.Bookinglist'!A:CT,28,FALSE)</f>
        <v>FISHMEAL MARKETING DEVELOPMENT CO.,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>DG</v>
      </c>
      <c r="N39" s="60" t="str">
        <f>IF(RIGHT(K39,2)="RE","RF","")</f>
        <v/>
      </c>
      <c r="O39" s="61" t="str">
        <f>VLOOKUP(A39,'1.Loading'!A:R,3,FALSE)</f>
        <v>CMA</v>
      </c>
      <c r="P39" s="61" t="str">
        <f>VLOOKUP(A39,'1.Loading'!A:R,4,FALSE)</f>
        <v>2615N</v>
      </c>
      <c r="Q39" s="61" t="str">
        <f>VLOOKUP(D39,'2.Bookinglist'!A:CT,12,FALSE)</f>
        <v>KTS1</v>
      </c>
      <c r="R39" s="60" t="str">
        <f>IF(LEFT(K39,2)="22","20'","40'")</f>
        <v>20'</v>
      </c>
      <c r="S39" s="185" t="n"/>
      <c r="T39" s="61" t="str">
        <f>VLOOKUP(A39,'1.Loading'!A:R,2,FALSE)</f>
        <v>2026-10-24</v>
      </c>
      <c r="U39" s="63">
        <f>T39-S39</f>
        <v>46319</v>
      </c>
      <c r="V39" s="186" t="n"/>
      <c r="W39" s="61" t="str">
        <f>VLOOKUP(A39,'3.GateMove'!A:D,4,FALSE)</f>
        <v>2026-10-21</v>
      </c>
      <c r="X39" s="63">
        <f>((T39-W39)+1)</f>
        <v>4</v>
      </c>
      <c r="Y39" s="64">
        <f>IF(AND(OR(C39="BKK01",C39="BKK04"),L39="CFS/CY"),0,IF(M39="DG",1,IF(LEFT(C39,3)="LCH",7,IF(C39="BKK02",5,3))))</f>
        <v>1</v>
      </c>
      <c r="Z39" s="63">
        <f>IF(IF(AND(AC39="TML",AB39&gt;0),((T39-W39)+1)-AB39,((T39-W39)+1)-Y39)&gt;0,IF(AND(AC39="TML",AB39&gt;0),((T39-W39)+1)-AB39,((T39-W39)+1)-Y39),0)</f>
        <v>3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1440</v>
      </c>
      <c r="AB39" s="184" t="n"/>
      <c r="AC39" s="184" t="n"/>
      <c r="AD39" s="60">
        <f>IF(M39="DG",3,IF(N39="RF",3,5))+IF(AND(LEFT(C39,3)="BKK",N39="RF",Q39="KTS"),1,0)+IF(Q39="KHS",1,0)</f>
        <v>3</v>
      </c>
      <c r="AE39" s="63">
        <f>(T39-V39)+1</f>
        <v>46320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1440</v>
      </c>
      <c r="AJ39" s="188" t="n"/>
      <c r="AK39" s="62" t="str">
        <f>VLOOKUP(D39,'2.Bookinglist'!A:CT,40,FALSE)</f>
        <v>Tarn(Supaporn)</v>
      </c>
      <c r="AL39" s="60" t="str">
        <f>VLOOKUP(D39,'2.Bookinglist'!A:CW,101,FALSE)</f>
        <v>2026-10-23</v>
      </c>
      <c r="AM39" s="60" t="str">
        <f>VLOOKUP(D39,'2.Bookinglist'!A:BK,63,FALSE)</f>
        <v>BKK27</v>
      </c>
      <c r="AN39" s="62" t="str">
        <f>VLOOKUP(D39,'2.Bookinglist'!A:AZ,52,FALSE)</f>
        <v>**APPROVED BY Jeong-Yong UM DD.14/10/2026** DG22GPx10 (CLS 9 / UN 2216) 
Pickup : 2026-10-19, Return : 2026-10-20  </v>
      </c>
      <c r="AO39" s="62">
        <f>VLOOKUP(D39,'2.Bookinglist'!A:CY,103,FALSE)</f>
        <v>0</v>
      </c>
    </row>
    <row r="40" ht="12.95" customHeight="1">
      <c r="A40" s="96" t="inlineStr">
        <is>
          <t>TCNU5293000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HASLS22261000887</v>
      </c>
      <c r="E40" s="62" t="str">
        <f>VLOOKUP(D40,'2.Bookinglist'!A:CT,27,FALSE)</f>
        <v>DIMERCO EXPRESS (THAILAND) CO., LTD.</v>
      </c>
      <c r="F40" s="62" t="str">
        <f>VLOOKUP(D40,'2.Bookinglist'!A:CT,28,FALSE)</f>
        <v>KOHLER (THAILAND) PUBLIC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CMA</v>
      </c>
      <c r="P40" s="61" t="str">
        <f>VLOOKUP(A40,'1.Loading'!A:R,4,FALSE)</f>
        <v>2615N</v>
      </c>
      <c r="Q40" s="61" t="str">
        <f>VLOOKUP(D40,'2.Bookinglist'!A:CT,12,FALSE)</f>
        <v>KTS1</v>
      </c>
      <c r="R40" s="60" t="str">
        <f>IF(LEFT(K40,2)="22","20'","40'")</f>
        <v>40'</v>
      </c>
      <c r="S40" s="185" t="n"/>
      <c r="T40" s="61" t="str">
        <f>VLOOKUP(A40,'1.Loading'!A:R,2,FALSE)</f>
        <v>2026-10-24</v>
      </c>
      <c r="U40" s="63">
        <f>T40-S40</f>
        <v>46319</v>
      </c>
      <c r="V40" s="186" t="n"/>
      <c r="W40" s="61" t="str">
        <f>VLOOKUP(A40,'3.GateMove'!A:D,4,FALSE)</f>
        <v>2026-10-20</v>
      </c>
      <c r="X40" s="63">
        <f>((T40-W40)+1)</f>
        <v>5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2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640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46320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640</v>
      </c>
      <c r="AJ40" s="188" t="n"/>
      <c r="AK40" s="62" t="str">
        <f>VLOOKUP(D40,'2.Bookinglist'!A:CT,40,FALSE)</f>
        <v>Nustsireerach</v>
      </c>
      <c r="AL40" s="60" t="str">
        <f>VLOOKUP(D40,'2.Bookinglist'!A:CW,101,FALSE)</f>
        <v>2026-10-23</v>
      </c>
      <c r="AM40" s="60" t="str">
        <f>VLOOKUP(D40,'2.Bookinglist'!A:BK,63,FALSE)</f>
        <v>BKK27</v>
      </c>
      <c r="AN40" s="62" t="str">
        <f>VLOOKUP(D40,'2.Bookinglist'!A:AZ,52,FALSE)</f>
        <v>Pickup : 2026-10-19, Return : 2026-10-20</v>
      </c>
      <c r="AO40" s="62">
        <f>VLOOKUP(D40,'2.Bookinglist'!A:CY,103,FALSE)</f>
        <v>0</v>
      </c>
    </row>
    <row r="41" ht="12.95" customHeight="1">
      <c r="A41" s="96" t="inlineStr">
        <is>
          <t>TEMU3903206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HASLS22261000870</v>
      </c>
      <c r="E41" s="62" t="str">
        <f>VLOOKUP(D41,'2.Bookinglist'!A:CT,27,FALSE)</f>
        <v>MEGALOAD DEVELOPMENT LOGISTICS CO., LTD.</v>
      </c>
      <c r="F41" s="62" t="str">
        <f>VLOOKUP(D41,'2.Bookinglist'!A:CT,28,FALSE)</f>
        <v>FISHMEAL MARKETING DEVELOPMENT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HKHKG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>DG</v>
      </c>
      <c r="N41" s="60" t="str">
        <f>IF(RIGHT(K41,2)="RE","RF","")</f>
        <v/>
      </c>
      <c r="O41" s="61" t="str">
        <f>VLOOKUP(A41,'1.Loading'!A:R,3,FALSE)</f>
        <v>CMA</v>
      </c>
      <c r="P41" s="61" t="str">
        <f>VLOOKUP(A41,'1.Loading'!A:R,4,FALSE)</f>
        <v>2615N</v>
      </c>
      <c r="Q41" s="61" t="str">
        <f>VLOOKUP(D41,'2.Bookinglist'!A:CT,12,FALSE)</f>
        <v>KTS1</v>
      </c>
      <c r="R41" s="60" t="str">
        <f>IF(LEFT(K41,2)="22","20'","40'")</f>
        <v>20'</v>
      </c>
      <c r="S41" s="185" t="n"/>
      <c r="T41" s="61" t="str">
        <f>VLOOKUP(A41,'1.Loading'!A:R,2,FALSE)</f>
        <v>2026-10-24</v>
      </c>
      <c r="U41" s="63">
        <f>T41-S41</f>
        <v>46319</v>
      </c>
      <c r="V41" s="186" t="n"/>
      <c r="W41" s="61" t="str">
        <f>VLOOKUP(A41,'3.GateMove'!A:D,4,FALSE)</f>
        <v>2026-10-21</v>
      </c>
      <c r="X41" s="63">
        <f>((T41-W41)+1)</f>
        <v>4</v>
      </c>
      <c r="Y41" s="64">
        <f>IF(AND(OR(C41="BKK01",C41="BKK04"),L41="CFS/CY"),0,IF(M41="DG",1,IF(LEFT(C41,3)="LCH",7,IF(C41="BKK02",5,3))))</f>
        <v>1</v>
      </c>
      <c r="Z41" s="63">
        <f>IF(IF(AND(AC41="TML",AB41&gt;0),((T41-W41)+1)-AB41,((T41-W41)+1)-Y41)&gt;0,IF(AND(AC41="TML",AB41&gt;0),((T41-W41)+1)-AB41,((T41-W41)+1)-Y41),0)</f>
        <v>3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1440</v>
      </c>
      <c r="AB41" s="184" t="n"/>
      <c r="AC41" s="184" t="n"/>
      <c r="AD41" s="60">
        <f>IF(M41="DG",3,IF(N41="RF",3,5))+IF(AND(LEFT(C41,3)="BKK",N41="RF",Q41="KTS"),1,0)+IF(Q41="KHS",1,0)</f>
        <v>3</v>
      </c>
      <c r="AE41" s="63">
        <f>(T41-V41)+1</f>
        <v>46320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1440</v>
      </c>
      <c r="AJ41" s="188" t="n"/>
      <c r="AK41" s="62" t="str">
        <f>VLOOKUP(D41,'2.Bookinglist'!A:CT,40,FALSE)</f>
        <v>Tarn(Supaporn)</v>
      </c>
      <c r="AL41" s="60" t="str">
        <f>VLOOKUP(D41,'2.Bookinglist'!A:CW,101,FALSE)</f>
        <v>2026-10-23</v>
      </c>
      <c r="AM41" s="60" t="str">
        <f>VLOOKUP(D41,'2.Bookinglist'!A:BK,63,FALSE)</f>
        <v>BKK27</v>
      </c>
      <c r="AN41" s="62" t="str">
        <f>VLOOKUP(D41,'2.Bookinglist'!A:AZ,52,FALSE)</f>
        <v>**APPROVED BY Jeong-Yong UM DD.14/10/2026** DG22GPx10 (CLS 9 / UN 2216) 
Pickup : 2026-10-19, Return : 2026-10-20  </v>
      </c>
      <c r="AO41" s="62">
        <f>VLOOKUP(D41,'2.Bookinglist'!A:CY,103,FALSE)</f>
        <v>0</v>
      </c>
    </row>
    <row r="42" ht="12.95" customHeight="1">
      <c r="A42" s="96" t="inlineStr">
        <is>
          <t>TGCU2400432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HASLS22261000780</v>
      </c>
      <c r="E42" s="62" t="str">
        <f>VLOOKUP(D42,'2.Bookinglist'!A:CT,27,FALSE)</f>
        <v>YUSEN LOGISTICS (THAILAND) CO., LTD.</v>
      </c>
      <c r="F42" s="62" t="str">
        <f>VLOOKUP(D42,'2.Bookinglist'!A:CT,28,FALSE)</f>
        <v>TOMY (THAILAND)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CMA</v>
      </c>
      <c r="P42" s="61" t="str">
        <f>VLOOKUP(A42,'1.Loading'!A:R,4,FALSE)</f>
        <v>2615N</v>
      </c>
      <c r="Q42" s="61" t="str">
        <f>VLOOKUP(D42,'2.Bookinglist'!A:CT,12,FALSE)</f>
        <v>KTS1</v>
      </c>
      <c r="R42" s="60" t="str">
        <f>IF(LEFT(K42,2)="22","20'","40'")</f>
        <v>20'</v>
      </c>
      <c r="S42" s="185" t="n"/>
      <c r="T42" s="61" t="str">
        <f>VLOOKUP(A42,'1.Loading'!A:R,2,FALSE)</f>
        <v>2026-10-24</v>
      </c>
      <c r="U42" s="63">
        <f>T42-S42</f>
        <v>46319</v>
      </c>
      <c r="V42" s="186" t="n"/>
      <c r="W42" s="61" t="str">
        <f>VLOOKUP(A42,'3.GateMove'!A:D,4,FALSE)</f>
        <v>2026-10-20</v>
      </c>
      <c r="X42" s="63">
        <f>((T42-W42)+1)</f>
        <v>5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2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320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46320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320</v>
      </c>
      <c r="AJ42" s="188" t="n"/>
      <c r="AK42" s="62" t="str">
        <f>VLOOKUP(D42,'2.Bookinglist'!A:CT,40,FALSE)</f>
        <v>Vilaiporn</v>
      </c>
      <c r="AL42" s="60" t="str">
        <f>VLOOKUP(D42,'2.Bookinglist'!A:CW,101,FALSE)</f>
        <v>2026-10-23</v>
      </c>
      <c r="AM42" s="60" t="str">
        <f>VLOOKUP(D42,'2.Bookinglist'!A:BK,63,FALSE)</f>
        <v>BKK27</v>
      </c>
      <c r="AN42" s="62" t="str">
        <f>VLOOKUP(D42,'2.Bookinglist'!A:AZ,52,FALSE)</f>
        <v>Pickup : 2026-10-17, Return : 2026-10-19 </v>
      </c>
      <c r="AO42" s="62">
        <f>VLOOKUP(D42,'2.Bookinglist'!A:CY,103,FALSE)</f>
        <v>0</v>
      </c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2026-10-24T06:23:04Z</dcterms:modified>
  <cp:lastModifiedBy>office4</cp:lastModifiedBy>
  <cp:lastPrinted>2019-11-19T03:03:39Z</cp:lastPrinted>
</cp:coreProperties>
</file>