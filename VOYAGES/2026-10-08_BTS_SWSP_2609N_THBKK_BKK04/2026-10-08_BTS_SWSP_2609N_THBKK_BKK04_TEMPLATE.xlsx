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191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BEAU2428783</t>
        </is>
      </c>
      <c r="B2" s="161" t="inlineStr">
        <is>
          <t>2026-10-08</t>
        </is>
      </c>
      <c r="C2" s="96" t="inlineStr">
        <is>
          <t>SWSP</t>
        </is>
      </c>
      <c r="D2" s="96" t="inlineStr">
        <is>
          <t>2609N</t>
        </is>
      </c>
      <c r="E2" s="96" t="inlineStr">
        <is>
          <t>22GP</t>
        </is>
      </c>
      <c r="F2" s="96" t="inlineStr">
        <is>
          <t>SD</t>
        </is>
      </c>
      <c r="G2" s="96" t="inlineStr">
        <is>
          <t>THBKK</t>
        </is>
      </c>
      <c r="H2" s="96" t="inlineStr">
        <is>
          <t>THBKK</t>
        </is>
      </c>
      <c r="I2" s="96" t="inlineStr">
        <is>
          <t>VNSGN</t>
        </is>
      </c>
      <c r="J2" s="96" t="inlineStr">
        <is>
          <t>VNSGN</t>
        </is>
      </c>
      <c r="K2" s="96" t="inlineStr">
        <is>
          <t>F</t>
        </is>
      </c>
      <c r="L2" s="96" t="inlineStr">
        <is>
          <t>L/T</t>
        </is>
      </c>
      <c r="M2" s="96" t="inlineStr">
        <is>
          <t>VFL</t>
        </is>
      </c>
      <c r="N2" s="96" t="inlineStr">
        <is>
          <t>BKK04</t>
        </is>
      </c>
      <c r="O2" s="96" t="inlineStr">
        <is>
          <t>BKK</t>
        </is>
      </c>
      <c r="P2" s="96" t="inlineStr">
        <is>
          <t>TH</t>
        </is>
      </c>
      <c r="Q2" s="96" t="inlineStr">
        <is>
          <t>HASLS22260900939</t>
        </is>
      </c>
      <c r="R2" s="96" t="inlineStr">
        <is>
          <t>N</t>
        </is>
      </c>
      <c r="S2" s="96" t="inlineStr">
        <is>
          <t>N</t>
        </is>
      </c>
      <c r="T2" s="96" t="inlineStr">
        <is>
          <t>BTS</t>
        </is>
      </c>
      <c r="U2" s="97" t="n"/>
      <c r="V2" s="96" t="inlineStr">
        <is>
          <t>TSN16L01</t>
        </is>
      </c>
      <c r="W2" s="96" t="inlineStr">
        <is>
          <t>EVERSHINING INGREDIENT CO.,LTD.</t>
        </is>
      </c>
      <c r="X2" s="96" t="inlineStr">
        <is>
          <t>VFD</t>
        </is>
      </c>
      <c r="Y2" s="96" t="inlineStr">
        <is>
          <t>MODERN VETERINARY TRADING CO., LTD.</t>
        </is>
      </c>
      <c r="Z2" s="96" t="inlineStr">
        <is>
          <t>MODERN VETERINARY TRADING CO., LTD.</t>
        </is>
      </c>
      <c r="AA2" s="97" t="n">
        <v>20100</v>
      </c>
      <c r="AB2" s="96" t="inlineStr">
        <is>
          <t>BKK04</t>
        </is>
      </c>
      <c r="AC2" s="96" t="inlineStr">
        <is>
          <t>SGN03</t>
        </is>
      </c>
    </row>
    <row r="3" ht="12" customHeight="1">
      <c r="A3" s="96" t="inlineStr">
        <is>
          <t>BMOU5940890</t>
        </is>
      </c>
      <c r="B3" s="161" t="inlineStr">
        <is>
          <t>2026-10-08</t>
        </is>
      </c>
      <c r="C3" s="96" t="inlineStr">
        <is>
          <t>SWSP</t>
        </is>
      </c>
      <c r="D3" s="96" t="inlineStr">
        <is>
          <t>2609N</t>
        </is>
      </c>
      <c r="E3" s="96" t="inlineStr">
        <is>
          <t>45GP</t>
        </is>
      </c>
      <c r="F3" s="96" t="inlineStr">
        <is>
          <t>SD</t>
        </is>
      </c>
      <c r="G3" s="96" t="inlineStr">
        <is>
          <t>THBKK</t>
        </is>
      </c>
      <c r="H3" s="96" t="inlineStr">
        <is>
          <t>THBKK</t>
        </is>
      </c>
      <c r="I3" s="96" t="inlineStr">
        <is>
          <t>KRPUS</t>
        </is>
      </c>
      <c r="J3" s="96" t="inlineStr">
        <is>
          <t>KRPUS</t>
        </is>
      </c>
      <c r="K3" s="96" t="inlineStr">
        <is>
          <t>F</t>
        </is>
      </c>
      <c r="L3" s="96" t="inlineStr">
        <is>
          <t>L/T</t>
        </is>
      </c>
      <c r="M3" s="96" t="inlineStr">
        <is>
          <t>VFL</t>
        </is>
      </c>
      <c r="N3" s="96" t="inlineStr">
        <is>
          <t>BKK04</t>
        </is>
      </c>
      <c r="O3" s="96" t="inlineStr">
        <is>
          <t>BKK</t>
        </is>
      </c>
      <c r="P3" s="96" t="inlineStr">
        <is>
          <t>TH</t>
        </is>
      </c>
      <c r="Q3" s="96" t="inlineStr">
        <is>
          <t>HASLS22260902456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BTS</t>
        </is>
      </c>
      <c r="U3" s="97" t="n"/>
      <c r="V3" s="96" t="inlineStr">
        <is>
          <t>SHA15L16</t>
        </is>
      </c>
      <c r="W3" s="96" t="inlineStr">
        <is>
          <t>MAC-NELS SHIPPING (THAILAND) LTD.</t>
        </is>
      </c>
      <c r="X3" s="96" t="inlineStr">
        <is>
          <t>VFD</t>
        </is>
      </c>
      <c r="Y3" s="96" t="inlineStr">
        <is>
          <t>MNCL LINE CO.,LTD (BUSAN OFFICE)</t>
        </is>
      </c>
      <c r="Z3" s="96" t="inlineStr">
        <is>
          <t>MNCL LINE CO.,LTD (BUSAN OFFICE)</t>
        </is>
      </c>
      <c r="AA3" s="97" t="n">
        <v>3751.66</v>
      </c>
      <c r="AB3" s="96" t="inlineStr">
        <is>
          <t>BKK04</t>
        </is>
      </c>
      <c r="AC3" s="96" t="inlineStr">
        <is>
          <t>PUS05</t>
        </is>
      </c>
    </row>
    <row r="4" ht="12" customHeight="1">
      <c r="A4" s="96" t="inlineStr">
        <is>
          <t>BMOU6068951</t>
        </is>
      </c>
      <c r="B4" s="161" t="inlineStr">
        <is>
          <t>2026-10-08</t>
        </is>
      </c>
      <c r="C4" s="96" t="inlineStr">
        <is>
          <t>SWSP</t>
        </is>
      </c>
      <c r="D4" s="96" t="inlineStr">
        <is>
          <t>2609N</t>
        </is>
      </c>
      <c r="E4" s="96" t="inlineStr">
        <is>
          <t>45GP</t>
        </is>
      </c>
      <c r="F4" s="96" t="inlineStr">
        <is>
          <t>SD</t>
        </is>
      </c>
      <c r="G4" s="96" t="inlineStr">
        <is>
          <t>THBKK</t>
        </is>
      </c>
      <c r="H4" s="96" t="inlineStr">
        <is>
          <t>THBKK</t>
        </is>
      </c>
      <c r="I4" s="96" t="inlineStr">
        <is>
          <t>VNSGN</t>
        </is>
      </c>
      <c r="J4" s="96" t="inlineStr">
        <is>
          <t>VNSGN</t>
        </is>
      </c>
      <c r="K4" s="96" t="inlineStr">
        <is>
          <t>F</t>
        </is>
      </c>
      <c r="L4" s="96" t="inlineStr">
        <is>
          <t>L/T</t>
        </is>
      </c>
      <c r="M4" s="96" t="inlineStr">
        <is>
          <t>VFL</t>
        </is>
      </c>
      <c r="N4" s="96" t="inlineStr">
        <is>
          <t>BKK04</t>
        </is>
      </c>
      <c r="O4" s="96" t="inlineStr">
        <is>
          <t>BKK</t>
        </is>
      </c>
      <c r="P4" s="96" t="inlineStr">
        <is>
          <t>TH</t>
        </is>
      </c>
      <c r="Q4" s="96" t="inlineStr">
        <is>
          <t>HASLS22260901036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BTS</t>
        </is>
      </c>
      <c r="U4" s="97" t="n"/>
      <c r="V4" s="96" t="inlineStr">
        <is>
          <t>SHA16L08</t>
        </is>
      </c>
      <c r="W4" s="96" t="inlineStr">
        <is>
          <t>KANGWAL POLYESTER CO., LTD.</t>
        </is>
      </c>
      <c r="X4" s="96" t="inlineStr">
        <is>
          <t>VFD</t>
        </is>
      </c>
      <c r="Y4" s="96" t="inlineStr">
        <is>
          <t>TO ORDER OF VIETNAM INTERNATIONAL</t>
        </is>
      </c>
      <c r="Z4" s="96" t="inlineStr">
        <is>
          <t>VIET THANG CORPORATION (VICOTEX)</t>
        </is>
      </c>
      <c r="AA4" s="97" t="n">
        <v>25194.7</v>
      </c>
      <c r="AB4" s="96" t="inlineStr">
        <is>
          <t>BKK04</t>
        </is>
      </c>
      <c r="AC4" s="96" t="inlineStr">
        <is>
          <t>SGN03</t>
        </is>
      </c>
    </row>
    <row r="5" ht="12" customHeight="1">
      <c r="A5" s="96" t="inlineStr">
        <is>
          <t>BMOU6075971</t>
        </is>
      </c>
      <c r="B5" s="161" t="inlineStr">
        <is>
          <t>2026-10-08</t>
        </is>
      </c>
      <c r="C5" s="96" t="inlineStr">
        <is>
          <t>SWSP</t>
        </is>
      </c>
      <c r="D5" s="96" t="inlineStr">
        <is>
          <t>2609N</t>
        </is>
      </c>
      <c r="E5" s="96" t="inlineStr">
        <is>
          <t>45GP</t>
        </is>
      </c>
      <c r="F5" s="96" t="inlineStr">
        <is>
          <t>SD</t>
        </is>
      </c>
      <c r="G5" s="96" t="inlineStr">
        <is>
          <t>THBKK</t>
        </is>
      </c>
      <c r="H5" s="96" t="inlineStr">
        <is>
          <t>THBKK</t>
        </is>
      </c>
      <c r="I5" s="96" t="inlineStr">
        <is>
          <t>VNSGN</t>
        </is>
      </c>
      <c r="J5" s="96" t="inlineStr">
        <is>
          <t>VNSGN</t>
        </is>
      </c>
      <c r="K5" s="96" t="inlineStr">
        <is>
          <t>F</t>
        </is>
      </c>
      <c r="L5" s="96" t="inlineStr">
        <is>
          <t>L/T</t>
        </is>
      </c>
      <c r="M5" s="96" t="inlineStr">
        <is>
          <t>VFL</t>
        </is>
      </c>
      <c r="N5" s="96" t="inlineStr">
        <is>
          <t>BKK04</t>
        </is>
      </c>
      <c r="O5" s="96" t="inlineStr">
        <is>
          <t>BKK</t>
        </is>
      </c>
      <c r="P5" s="96" t="inlineStr">
        <is>
          <t>TH</t>
        </is>
      </c>
      <c r="Q5" s="96" t="inlineStr">
        <is>
          <t>HASLS22260802590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BTS</t>
        </is>
      </c>
      <c r="U5" s="97" t="n"/>
      <c r="V5" s="96" t="inlineStr">
        <is>
          <t>SHA16L08</t>
        </is>
      </c>
      <c r="W5" s="96" t="inlineStr">
        <is>
          <t>QUANTERM LOGISTICS THAILAND</t>
        </is>
      </c>
      <c r="X5" s="96" t="inlineStr">
        <is>
          <t>VFD</t>
        </is>
      </c>
      <c r="Y5" s="96" t="inlineStr">
        <is>
          <t>QUANTERM LOGISTICS  (VIETNAM)</t>
        </is>
      </c>
      <c r="Z5" s="96" t="inlineStr">
        <is>
          <t>QUANTERM LOGISTICS  (VIETNAM)</t>
        </is>
      </c>
      <c r="AA5" s="97" t="n">
        <v>16984.42</v>
      </c>
      <c r="AB5" s="96" t="inlineStr">
        <is>
          <t>BKK04</t>
        </is>
      </c>
      <c r="AC5" s="96" t="inlineStr">
        <is>
          <t>SGN03</t>
        </is>
      </c>
    </row>
    <row r="6" ht="12" customHeight="1">
      <c r="A6" s="96" t="inlineStr">
        <is>
          <t>CXDU2305139</t>
        </is>
      </c>
      <c r="B6" s="161" t="inlineStr">
        <is>
          <t>2026-10-08</t>
        </is>
      </c>
      <c r="C6" s="96" t="inlineStr">
        <is>
          <t>SWSP</t>
        </is>
      </c>
      <c r="D6" s="96" t="inlineStr">
        <is>
          <t>2609N</t>
        </is>
      </c>
      <c r="E6" s="96" t="inlineStr">
        <is>
          <t>22GP</t>
        </is>
      </c>
      <c r="F6" s="96" t="inlineStr">
        <is>
          <t>SD</t>
        </is>
      </c>
      <c r="G6" s="96" t="inlineStr">
        <is>
          <t>THBKK</t>
        </is>
      </c>
      <c r="H6" s="96" t="inlineStr">
        <is>
          <t>THBKK</t>
        </is>
      </c>
      <c r="I6" s="96" t="inlineStr">
        <is>
          <t>VNSGN</t>
        </is>
      </c>
      <c r="J6" s="96" t="inlineStr">
        <is>
          <t>VNSGN</t>
        </is>
      </c>
      <c r="K6" s="96" t="inlineStr">
        <is>
          <t>F</t>
        </is>
      </c>
      <c r="L6" s="96" t="inlineStr">
        <is>
          <t>L/T</t>
        </is>
      </c>
      <c r="M6" s="96" t="inlineStr">
        <is>
          <t>VFL</t>
        </is>
      </c>
      <c r="N6" s="96" t="inlineStr">
        <is>
          <t>BKK04</t>
        </is>
      </c>
      <c r="O6" s="96" t="inlineStr">
        <is>
          <t>BKK</t>
        </is>
      </c>
      <c r="P6" s="96" t="inlineStr">
        <is>
          <t>TH</t>
        </is>
      </c>
      <c r="Q6" s="96" t="inlineStr">
        <is>
          <t>HASLS22260800838</t>
        </is>
      </c>
      <c r="R6" s="96" t="inlineStr">
        <is>
          <t>N</t>
        </is>
      </c>
      <c r="S6" s="96" t="inlineStr">
        <is>
          <t>N</t>
        </is>
      </c>
      <c r="T6" s="96" t="inlineStr">
        <is>
          <t>BTS</t>
        </is>
      </c>
      <c r="U6" s="97" t="n"/>
      <c r="V6" s="96" t="inlineStr">
        <is>
          <t>SHA16L01</t>
        </is>
      </c>
      <c r="W6" s="96" t="inlineStr">
        <is>
          <t>SCG INTERNATIONAL CORPORATION CO.,</t>
        </is>
      </c>
      <c r="X6" s="96" t="inlineStr">
        <is>
          <t>VFD</t>
        </is>
      </c>
      <c r="Y6" s="96" t="inlineStr">
        <is>
          <t>BUU LONG INDUSTRY AND INVESTMENT</t>
        </is>
      </c>
      <c r="Z6" s="96" t="inlineStr">
        <is>
          <t>BUU LONG INDUSTRY AND INVESTMENT</t>
        </is>
      </c>
      <c r="AA6" s="97" t="n">
        <v>25270</v>
      </c>
      <c r="AB6" s="96" t="inlineStr">
        <is>
          <t>BKK04</t>
        </is>
      </c>
      <c r="AC6" s="96" t="inlineStr">
        <is>
          <t>SGN03</t>
        </is>
      </c>
    </row>
    <row r="7" ht="12" customHeight="1">
      <c r="A7" s="96" t="inlineStr">
        <is>
          <t>DFSU3102503</t>
        </is>
      </c>
      <c r="B7" s="161" t="inlineStr">
        <is>
          <t>2026-10-08</t>
        </is>
      </c>
      <c r="C7" s="96" t="inlineStr">
        <is>
          <t>SWSP</t>
        </is>
      </c>
      <c r="D7" s="96" t="inlineStr">
        <is>
          <t>2609N</t>
        </is>
      </c>
      <c r="E7" s="96" t="inlineStr">
        <is>
          <t>22GP</t>
        </is>
      </c>
      <c r="F7" s="96" t="inlineStr">
        <is>
          <t>SD</t>
        </is>
      </c>
      <c r="G7" s="96" t="inlineStr">
        <is>
          <t>THBKK</t>
        </is>
      </c>
      <c r="H7" s="96" t="inlineStr">
        <is>
          <t>THBKK</t>
        </is>
      </c>
      <c r="I7" s="96" t="inlineStr">
        <is>
          <t>VNSGN</t>
        </is>
      </c>
      <c r="J7" s="96" t="inlineStr">
        <is>
          <t>VNSGN</t>
        </is>
      </c>
      <c r="K7" s="96" t="inlineStr">
        <is>
          <t>F</t>
        </is>
      </c>
      <c r="L7" s="96" t="inlineStr">
        <is>
          <t>ONE</t>
        </is>
      </c>
      <c r="M7" s="96" t="inlineStr">
        <is>
          <t>VFL</t>
        </is>
      </c>
      <c r="N7" s="96" t="inlineStr">
        <is>
          <t>BKK04</t>
        </is>
      </c>
      <c r="O7" s="96" t="inlineStr">
        <is>
          <t>BKK</t>
        </is>
      </c>
      <c r="P7" s="96" t="inlineStr">
        <is>
          <t>TH</t>
        </is>
      </c>
      <c r="Q7" s="96" t="inlineStr">
        <is>
          <t>HASLS22260800838</t>
        </is>
      </c>
      <c r="R7" s="96" t="inlineStr">
        <is>
          <t>N</t>
        </is>
      </c>
      <c r="S7" s="96" t="inlineStr">
        <is>
          <t>N</t>
        </is>
      </c>
      <c r="T7" s="96" t="inlineStr">
        <is>
          <t>BTS</t>
        </is>
      </c>
      <c r="U7" s="97" t="n"/>
      <c r="V7" s="96" t="inlineStr">
        <is>
          <t>K0120021</t>
        </is>
      </c>
      <c r="W7" s="96" t="inlineStr">
        <is>
          <t>SCG INTERNATIONAL CORPORATION CO.,</t>
        </is>
      </c>
      <c r="X7" s="96" t="inlineStr">
        <is>
          <t>VFD</t>
        </is>
      </c>
      <c r="Y7" s="96" t="inlineStr">
        <is>
          <t>BUU LONG INDUSTRY AND INVESTMENT</t>
        </is>
      </c>
      <c r="Z7" s="96" t="inlineStr">
        <is>
          <t>BUU LONG INDUSTRY AND INVESTMENT</t>
        </is>
      </c>
      <c r="AA7" s="97" t="n">
        <v>25330</v>
      </c>
      <c r="AB7" s="96" t="inlineStr">
        <is>
          <t>BKK04</t>
        </is>
      </c>
      <c r="AC7" s="96" t="inlineStr">
        <is>
          <t>SGN03</t>
        </is>
      </c>
    </row>
    <row r="8" ht="12" customHeight="1">
      <c r="A8" s="96" t="inlineStr">
        <is>
          <t>FBIU5093827</t>
        </is>
      </c>
      <c r="B8" s="161" t="inlineStr">
        <is>
          <t>2026-10-08</t>
        </is>
      </c>
      <c r="C8" s="96" t="inlineStr">
        <is>
          <t>SWSP</t>
        </is>
      </c>
      <c r="D8" s="96" t="inlineStr">
        <is>
          <t>2609N</t>
        </is>
      </c>
      <c r="E8" s="96" t="inlineStr">
        <is>
          <t>45RE</t>
        </is>
      </c>
      <c r="F8" s="96" t="inlineStr">
        <is>
          <t>SD</t>
        </is>
      </c>
      <c r="G8" s="96" t="inlineStr">
        <is>
          <t>THBKK</t>
        </is>
      </c>
      <c r="H8" s="96" t="inlineStr">
        <is>
          <t>THBKK</t>
        </is>
      </c>
      <c r="I8" s="96" t="inlineStr">
        <is>
          <t>VNSGN</t>
        </is>
      </c>
      <c r="J8" s="96" t="inlineStr">
        <is>
          <t>VNSGN</t>
        </is>
      </c>
      <c r="K8" s="96" t="inlineStr">
        <is>
          <t>F</t>
        </is>
      </c>
      <c r="L8" s="96" t="inlineStr">
        <is>
          <t>ONE</t>
        </is>
      </c>
      <c r="M8" s="96" t="inlineStr">
        <is>
          <t>VFL</t>
        </is>
      </c>
      <c r="N8" s="96" t="inlineStr">
        <is>
          <t>BKK04</t>
        </is>
      </c>
      <c r="O8" s="96" t="inlineStr">
        <is>
          <t>BKK</t>
        </is>
      </c>
      <c r="P8" s="96" t="inlineStr">
        <is>
          <t>TH</t>
        </is>
      </c>
      <c r="Q8" s="96" t="inlineStr">
        <is>
          <t>HASLS22260900909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BTS</t>
        </is>
      </c>
      <c r="U8" s="97" t="n"/>
      <c r="V8" s="96" t="inlineStr">
        <is>
          <t>K0120025</t>
        </is>
      </c>
      <c r="W8" s="96" t="inlineStr">
        <is>
          <t>SIAM I-LOGISTICS LTD.</t>
        </is>
      </c>
      <c r="X8" s="96" t="inlineStr">
        <is>
          <t>VFD</t>
        </is>
      </c>
      <c r="Y8" s="96" t="inlineStr">
        <is>
          <t>0319135354 #ITOCHU LOGISTICS</t>
        </is>
      </c>
      <c r="Z8" s="96" t="inlineStr">
        <is>
          <t>0319135354 #ITOCHU LOGISTICS</t>
        </is>
      </c>
      <c r="AA8" s="97" t="n">
        <v>24740</v>
      </c>
      <c r="AB8" s="96" t="inlineStr">
        <is>
          <t>BKK04</t>
        </is>
      </c>
      <c r="AC8" s="96" t="inlineStr">
        <is>
          <t>SGN03</t>
        </is>
      </c>
    </row>
    <row r="9" ht="12" customHeight="1">
      <c r="A9" s="96" t="inlineStr">
        <is>
          <t>FBIU5093935</t>
        </is>
      </c>
      <c r="B9" s="161" t="inlineStr">
        <is>
          <t>2026-10-08</t>
        </is>
      </c>
      <c r="C9" s="96" t="inlineStr">
        <is>
          <t>SWSP</t>
        </is>
      </c>
      <c r="D9" s="96" t="inlineStr">
        <is>
          <t>2609N</t>
        </is>
      </c>
      <c r="E9" s="96" t="inlineStr">
        <is>
          <t>45RE</t>
        </is>
      </c>
      <c r="F9" s="96" t="inlineStr">
        <is>
          <t>SD</t>
        </is>
      </c>
      <c r="G9" s="96" t="inlineStr">
        <is>
          <t>THBKK</t>
        </is>
      </c>
      <c r="H9" s="96" t="inlineStr">
        <is>
          <t>THBKK</t>
        </is>
      </c>
      <c r="I9" s="96" t="inlineStr">
        <is>
          <t>VNSGN</t>
        </is>
      </c>
      <c r="J9" s="96" t="inlineStr">
        <is>
          <t>VNSGN</t>
        </is>
      </c>
      <c r="K9" s="96" t="inlineStr">
        <is>
          <t>F</t>
        </is>
      </c>
      <c r="L9" s="96" t="inlineStr">
        <is>
          <t>ONE</t>
        </is>
      </c>
      <c r="M9" s="96" t="inlineStr">
        <is>
          <t>VFL</t>
        </is>
      </c>
      <c r="N9" s="96" t="inlineStr">
        <is>
          <t>BKK04</t>
        </is>
      </c>
      <c r="O9" s="96" t="inlineStr">
        <is>
          <t>BKK</t>
        </is>
      </c>
      <c r="P9" s="96" t="inlineStr">
        <is>
          <t>TH</t>
        </is>
      </c>
      <c r="Q9" s="96" t="inlineStr">
        <is>
          <t>HASLS22260902007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BTS</t>
        </is>
      </c>
      <c r="U9" s="97" t="n"/>
      <c r="V9" s="96" t="inlineStr">
        <is>
          <t>K0120025</t>
        </is>
      </c>
      <c r="W9" s="96" t="inlineStr">
        <is>
          <t>MEGA LIFESCIENCES PUBLIC COMPANY</t>
        </is>
      </c>
      <c r="X9" s="96" t="inlineStr">
        <is>
          <t>VFD</t>
        </is>
      </c>
      <c r="Y9" s="96" t="inlineStr">
        <is>
          <t>BRANCH OF DONG A PHARMACEUTICAL</t>
        </is>
      </c>
      <c r="Z9" s="96" t="inlineStr">
        <is>
          <t>BRANCH OF DONG A PHARMACEUTICAL</t>
        </is>
      </c>
      <c r="AA9" s="97" t="n">
        <v>6340.9</v>
      </c>
      <c r="AB9" s="96" t="inlineStr">
        <is>
          <t>BKK04</t>
        </is>
      </c>
      <c r="AC9" s="96" t="inlineStr">
        <is>
          <t>SGN03</t>
        </is>
      </c>
    </row>
    <row r="10" ht="12" customHeight="1">
      <c r="A10" s="96" t="inlineStr">
        <is>
          <t>FBIU5102847</t>
        </is>
      </c>
      <c r="B10" s="161" t="inlineStr">
        <is>
          <t>2026-10-08</t>
        </is>
      </c>
      <c r="C10" s="96" t="inlineStr">
        <is>
          <t>SWSP</t>
        </is>
      </c>
      <c r="D10" s="96" t="inlineStr">
        <is>
          <t>2609N</t>
        </is>
      </c>
      <c r="E10" s="96" t="inlineStr">
        <is>
          <t>45RE</t>
        </is>
      </c>
      <c r="F10" s="96" t="inlineStr">
        <is>
          <t>SD</t>
        </is>
      </c>
      <c r="G10" s="96" t="inlineStr">
        <is>
          <t>THBKK</t>
        </is>
      </c>
      <c r="H10" s="96" t="inlineStr">
        <is>
          <t>THBKK</t>
        </is>
      </c>
      <c r="I10" s="96" t="inlineStr">
        <is>
          <t>KRPTK</t>
        </is>
      </c>
      <c r="J10" s="96" t="inlineStr">
        <is>
          <t>KRPTK</t>
        </is>
      </c>
      <c r="K10" s="96" t="inlineStr">
        <is>
          <t>F</t>
        </is>
      </c>
      <c r="L10" s="96" t="inlineStr">
        <is>
          <t>L/T</t>
        </is>
      </c>
      <c r="M10" s="96" t="inlineStr">
        <is>
          <t>VFL</t>
        </is>
      </c>
      <c r="N10" s="96" t="inlineStr">
        <is>
          <t>BKK04</t>
        </is>
      </c>
      <c r="O10" s="96" t="inlineStr">
        <is>
          <t>BKK</t>
        </is>
      </c>
      <c r="P10" s="96" t="inlineStr">
        <is>
          <t>TH</t>
        </is>
      </c>
      <c r="Q10" s="96" t="inlineStr">
        <is>
          <t>HASLS22260802552</t>
        </is>
      </c>
      <c r="R10" s="96" t="inlineStr">
        <is>
          <t>N</t>
        </is>
      </c>
      <c r="S10" s="96" t="inlineStr">
        <is>
          <t>N</t>
        </is>
      </c>
      <c r="T10" s="96" t="inlineStr">
        <is>
          <t>BTS</t>
        </is>
      </c>
      <c r="U10" s="97" t="n"/>
      <c r="V10" s="96" t="inlineStr">
        <is>
          <t>C0321002</t>
        </is>
      </c>
      <c r="W10" s="96" t="inlineStr">
        <is>
          <t>SAHA FARMS INTERNATIONAL CO.,LTD.</t>
        </is>
      </c>
      <c r="X10" s="96" t="inlineStr">
        <is>
          <t>VFD</t>
        </is>
      </c>
      <c r="Y10" s="96" t="inlineStr">
        <is>
          <t>SASE CO.,LTD.</t>
        </is>
      </c>
      <c r="Z10" s="96" t="inlineStr">
        <is>
          <t>SASE CO.,LTD.</t>
        </is>
      </c>
      <c r="AA10" s="97" t="n">
        <v>19211.6</v>
      </c>
      <c r="AB10" s="96" t="inlineStr">
        <is>
          <t>BKK04</t>
        </is>
      </c>
      <c r="AC10" s="96" t="inlineStr">
        <is>
          <t>PTK02</t>
        </is>
      </c>
    </row>
    <row r="11" ht="12" customHeight="1">
      <c r="A11" s="96" t="inlineStr">
        <is>
          <t>FCIU5648070</t>
        </is>
      </c>
      <c r="B11" s="161" t="inlineStr">
        <is>
          <t>2026-10-08</t>
        </is>
      </c>
      <c r="C11" s="96" t="inlineStr">
        <is>
          <t>SWSP</t>
        </is>
      </c>
      <c r="D11" s="96" t="inlineStr">
        <is>
          <t>2609N</t>
        </is>
      </c>
      <c r="E11" s="96" t="inlineStr">
        <is>
          <t>22GP</t>
        </is>
      </c>
      <c r="F11" s="96" t="inlineStr">
        <is>
          <t>SD</t>
        </is>
      </c>
      <c r="G11" s="96" t="inlineStr">
        <is>
          <t>THBKK</t>
        </is>
      </c>
      <c r="H11" s="96" t="inlineStr">
        <is>
          <t>THBKK</t>
        </is>
      </c>
      <c r="I11" s="96" t="inlineStr">
        <is>
          <t>KRPUS</t>
        </is>
      </c>
      <c r="J11" s="96" t="inlineStr">
        <is>
          <t>JPSEN</t>
        </is>
      </c>
      <c r="K11" s="96" t="inlineStr">
        <is>
          <t>F</t>
        </is>
      </c>
      <c r="L11" s="96" t="inlineStr">
        <is>
          <t>ONE</t>
        </is>
      </c>
      <c r="M11" s="96" t="inlineStr">
        <is>
          <t>VFL</t>
        </is>
      </c>
      <c r="N11" s="96" t="inlineStr">
        <is>
          <t>BKK04</t>
        </is>
      </c>
      <c r="O11" s="96" t="inlineStr">
        <is>
          <t>BKK</t>
        </is>
      </c>
      <c r="P11" s="96" t="inlineStr">
        <is>
          <t>TH</t>
        </is>
      </c>
      <c r="Q11" s="96" t="inlineStr">
        <is>
          <t>HASLS22260900196</t>
        </is>
      </c>
      <c r="R11" s="96" t="inlineStr">
        <is>
          <t>Y</t>
        </is>
      </c>
      <c r="S11" s="96" t="inlineStr">
        <is>
          <t>N</t>
        </is>
      </c>
      <c r="T11" s="96" t="inlineStr">
        <is>
          <t>BTS</t>
        </is>
      </c>
      <c r="U11" s="97" t="n"/>
      <c r="V11" s="96" t="inlineStr">
        <is>
          <t>K0120021</t>
        </is>
      </c>
      <c r="W11" s="96" t="inlineStr">
        <is>
          <t>SANGUAN WONGSE STARCH CO., LTD.</t>
        </is>
      </c>
      <c r="X11" s="96" t="inlineStr">
        <is>
          <t>VFD</t>
        </is>
      </c>
      <c r="Y11" s="96" t="inlineStr">
        <is>
          <t>SANSHO CO., LTD.</t>
        </is>
      </c>
      <c r="Z11" s="96" t="inlineStr">
        <is>
          <t>SANSHO CO., LTD.</t>
        </is>
      </c>
      <c r="AA11" s="97" t="n">
        <v>17190</v>
      </c>
      <c r="AB11" s="96" t="inlineStr">
        <is>
          <t>BKK04</t>
        </is>
      </c>
      <c r="AC11" s="96" t="inlineStr">
        <is>
          <t>SEN01</t>
        </is>
      </c>
    </row>
    <row r="12" ht="12" customHeight="1">
      <c r="A12" s="96" t="inlineStr">
        <is>
          <t>FSCU5836461</t>
        </is>
      </c>
      <c r="B12" s="161" t="inlineStr">
        <is>
          <t>2026-10-08</t>
        </is>
      </c>
      <c r="C12" s="96" t="inlineStr">
        <is>
          <t>SWSP</t>
        </is>
      </c>
      <c r="D12" s="96" t="inlineStr">
        <is>
          <t>2609N</t>
        </is>
      </c>
      <c r="E12" s="96" t="inlineStr">
        <is>
          <t>45RE</t>
        </is>
      </c>
      <c r="F12" s="96" t="inlineStr">
        <is>
          <t>SD</t>
        </is>
      </c>
      <c r="G12" s="96" t="inlineStr">
        <is>
          <t>THBKK</t>
        </is>
      </c>
      <c r="H12" s="96" t="inlineStr">
        <is>
          <t>THBKK</t>
        </is>
      </c>
      <c r="I12" s="96" t="inlineStr">
        <is>
          <t>KRPUS</t>
        </is>
      </c>
      <c r="J12" s="96" t="inlineStr">
        <is>
          <t>JPNAH</t>
        </is>
      </c>
      <c r="K12" s="96" t="inlineStr">
        <is>
          <t>F</t>
        </is>
      </c>
      <c r="L12" s="96" t="inlineStr">
        <is>
          <t>ONE</t>
        </is>
      </c>
      <c r="M12" s="96" t="inlineStr">
        <is>
          <t>VFL</t>
        </is>
      </c>
      <c r="N12" s="96" t="inlineStr">
        <is>
          <t>BKK04</t>
        </is>
      </c>
      <c r="O12" s="96" t="inlineStr">
        <is>
          <t>BKK</t>
        </is>
      </c>
      <c r="P12" s="96" t="inlineStr">
        <is>
          <t>TH</t>
        </is>
      </c>
      <c r="Q12" s="96" t="inlineStr">
        <is>
          <t>HASLS22260901712</t>
        </is>
      </c>
      <c r="R12" s="96" t="inlineStr">
        <is>
          <t>Y</t>
        </is>
      </c>
      <c r="S12" s="96" t="inlineStr">
        <is>
          <t>N</t>
        </is>
      </c>
      <c r="T12" s="96" t="inlineStr">
        <is>
          <t>BTS</t>
        </is>
      </c>
      <c r="U12" s="97" t="n"/>
      <c r="V12" s="96" t="inlineStr">
        <is>
          <t>K0120025</t>
        </is>
      </c>
      <c r="W12" s="96" t="inlineStr">
        <is>
          <t>KODAI THAILAND CO LTD</t>
        </is>
      </c>
      <c r="X12" s="96" t="inlineStr">
        <is>
          <t>VFD</t>
        </is>
      </c>
      <c r="Y12" s="96" t="inlineStr">
        <is>
          <t>KODAI COMPANY LTD</t>
        </is>
      </c>
      <c r="Z12" s="96" t="inlineStr">
        <is>
          <t>KODAI COMPANY LTD</t>
        </is>
      </c>
      <c r="AA12" s="97" t="n">
        <v>20690.64</v>
      </c>
      <c r="AB12" s="96" t="inlineStr">
        <is>
          <t>BKK04</t>
        </is>
      </c>
      <c r="AC12" s="96" t="inlineStr">
        <is>
          <t>NAH01</t>
        </is>
      </c>
    </row>
    <row r="13" ht="12" customHeight="1">
      <c r="A13" s="96" t="inlineStr">
        <is>
          <t>FSCU5837128</t>
        </is>
      </c>
      <c r="B13" s="161" t="inlineStr">
        <is>
          <t>2026-10-08</t>
        </is>
      </c>
      <c r="C13" s="96" t="inlineStr">
        <is>
          <t>SWSP</t>
        </is>
      </c>
      <c r="D13" s="96" t="inlineStr">
        <is>
          <t>2609N</t>
        </is>
      </c>
      <c r="E13" s="96" t="inlineStr">
        <is>
          <t>45RE</t>
        </is>
      </c>
      <c r="F13" s="96" t="inlineStr">
        <is>
          <t>SD</t>
        </is>
      </c>
      <c r="G13" s="96" t="inlineStr">
        <is>
          <t>THBKK</t>
        </is>
      </c>
      <c r="H13" s="96" t="inlineStr">
        <is>
          <t>THBKK</t>
        </is>
      </c>
      <c r="I13" s="96" t="inlineStr">
        <is>
          <t>VNSGN</t>
        </is>
      </c>
      <c r="J13" s="96" t="inlineStr">
        <is>
          <t>VNSGN</t>
        </is>
      </c>
      <c r="K13" s="96" t="inlineStr">
        <is>
          <t>F</t>
        </is>
      </c>
      <c r="L13" s="96" t="inlineStr">
        <is>
          <t>ONE</t>
        </is>
      </c>
      <c r="M13" s="96" t="inlineStr">
        <is>
          <t>VFL</t>
        </is>
      </c>
      <c r="N13" s="96" t="inlineStr">
        <is>
          <t>BKK04</t>
        </is>
      </c>
      <c r="O13" s="96" t="inlineStr">
        <is>
          <t>BKK</t>
        </is>
      </c>
      <c r="P13" s="96" t="inlineStr">
        <is>
          <t>TH</t>
        </is>
      </c>
      <c r="Q13" s="96" t="inlineStr">
        <is>
          <t>HASLS22260900909</t>
        </is>
      </c>
      <c r="R13" s="96" t="inlineStr">
        <is>
          <t>N</t>
        </is>
      </c>
      <c r="S13" s="96" t="inlineStr">
        <is>
          <t>N</t>
        </is>
      </c>
      <c r="T13" s="96" t="inlineStr">
        <is>
          <t>BTS</t>
        </is>
      </c>
      <c r="U13" s="97" t="n"/>
      <c r="V13" s="96" t="inlineStr">
        <is>
          <t>K0120025</t>
        </is>
      </c>
      <c r="W13" s="96" t="inlineStr">
        <is>
          <t>SIAM I-LOGISTICS LTD.</t>
        </is>
      </c>
      <c r="X13" s="96" t="inlineStr">
        <is>
          <t>VFD</t>
        </is>
      </c>
      <c r="Y13" s="96" t="inlineStr">
        <is>
          <t>0319135354 #ITOCHU LOGISTICS</t>
        </is>
      </c>
      <c r="Z13" s="96" t="inlineStr">
        <is>
          <t>0319135354 #ITOCHU LOGISTICS</t>
        </is>
      </c>
      <c r="AA13" s="97" t="n">
        <v>24830</v>
      </c>
      <c r="AB13" s="96" t="inlineStr">
        <is>
          <t>BKK04</t>
        </is>
      </c>
      <c r="AC13" s="96" t="inlineStr">
        <is>
          <t>SGN03</t>
        </is>
      </c>
    </row>
    <row r="14" ht="12" customHeight="1">
      <c r="A14" s="96" t="inlineStr">
        <is>
          <t>FSCU5895525</t>
        </is>
      </c>
      <c r="B14" s="161" t="inlineStr">
        <is>
          <t>2026-10-08</t>
        </is>
      </c>
      <c r="C14" s="96" t="inlineStr">
        <is>
          <t>SWSP</t>
        </is>
      </c>
      <c r="D14" s="96" t="inlineStr">
        <is>
          <t>2609N</t>
        </is>
      </c>
      <c r="E14" s="96" t="inlineStr">
        <is>
          <t>45RE</t>
        </is>
      </c>
      <c r="F14" s="96" t="inlineStr">
        <is>
          <t>SD</t>
        </is>
      </c>
      <c r="G14" s="96" t="inlineStr">
        <is>
          <t>THBKK</t>
        </is>
      </c>
      <c r="H14" s="96" t="inlineStr">
        <is>
          <t>THBKK</t>
        </is>
      </c>
      <c r="I14" s="96" t="inlineStr">
        <is>
          <t>KRPTK</t>
        </is>
      </c>
      <c r="J14" s="96" t="inlineStr">
        <is>
          <t>KRPTK</t>
        </is>
      </c>
      <c r="K14" s="96" t="inlineStr">
        <is>
          <t>F</t>
        </is>
      </c>
      <c r="L14" s="96" t="inlineStr">
        <is>
          <t>L/T</t>
        </is>
      </c>
      <c r="M14" s="96" t="inlineStr">
        <is>
          <t>VFL</t>
        </is>
      </c>
      <c r="N14" s="96" t="inlineStr">
        <is>
          <t>BKK04</t>
        </is>
      </c>
      <c r="O14" s="96" t="inlineStr">
        <is>
          <t>BKK</t>
        </is>
      </c>
      <c r="P14" s="96" t="inlineStr">
        <is>
          <t>TH</t>
        </is>
      </c>
      <c r="Q14" s="96" t="inlineStr">
        <is>
          <t>HASLS22260802554</t>
        </is>
      </c>
      <c r="R14" s="96" t="inlineStr">
        <is>
          <t>N</t>
        </is>
      </c>
      <c r="S14" s="96" t="inlineStr">
        <is>
          <t>N</t>
        </is>
      </c>
      <c r="T14" s="96" t="inlineStr">
        <is>
          <t>BTS</t>
        </is>
      </c>
      <c r="U14" s="97" t="n"/>
      <c r="V14" s="96" t="inlineStr">
        <is>
          <t>C0320021</t>
        </is>
      </c>
      <c r="W14" s="96" t="inlineStr">
        <is>
          <t>SAHA FARMS INTERNATIONAL CO.,LTD.</t>
        </is>
      </c>
      <c r="X14" s="96" t="inlineStr">
        <is>
          <t>VFD</t>
        </is>
      </c>
      <c r="Y14" s="96" t="inlineStr">
        <is>
          <t>SASE CO.,LTD.</t>
        </is>
      </c>
      <c r="Z14" s="96" t="inlineStr">
        <is>
          <t>SASE CO.,LTD.</t>
        </is>
      </c>
      <c r="AA14" s="97" t="n">
        <v>21714</v>
      </c>
      <c r="AB14" s="96" t="inlineStr">
        <is>
          <t>BKK04</t>
        </is>
      </c>
      <c r="AC14" s="96" t="inlineStr">
        <is>
          <t>PTK02</t>
        </is>
      </c>
    </row>
    <row r="15" ht="12" customHeight="1">
      <c r="A15" s="96" t="inlineStr">
        <is>
          <t>FSCU5896671</t>
        </is>
      </c>
      <c r="B15" s="161" t="inlineStr">
        <is>
          <t>2026-10-08</t>
        </is>
      </c>
      <c r="C15" s="96" t="inlineStr">
        <is>
          <t>SWSP</t>
        </is>
      </c>
      <c r="D15" s="96" t="inlineStr">
        <is>
          <t>2609N</t>
        </is>
      </c>
      <c r="E15" s="96" t="inlineStr">
        <is>
          <t>45RE</t>
        </is>
      </c>
      <c r="F15" s="96" t="inlineStr">
        <is>
          <t>SD</t>
        </is>
      </c>
      <c r="G15" s="96" t="inlineStr">
        <is>
          <t>THBKK</t>
        </is>
      </c>
      <c r="H15" s="96" t="inlineStr">
        <is>
          <t>THBKK</t>
        </is>
      </c>
      <c r="I15" s="96" t="inlineStr">
        <is>
          <t>VNSGN</t>
        </is>
      </c>
      <c r="J15" s="96" t="inlineStr">
        <is>
          <t>VNSGN</t>
        </is>
      </c>
      <c r="K15" s="96" t="inlineStr">
        <is>
          <t>F</t>
        </is>
      </c>
      <c r="L15" s="96" t="inlineStr">
        <is>
          <t>L/T</t>
        </is>
      </c>
      <c r="M15" s="96" t="inlineStr">
        <is>
          <t>VFL</t>
        </is>
      </c>
      <c r="N15" s="96" t="inlineStr">
        <is>
          <t>BKK04</t>
        </is>
      </c>
      <c r="O15" s="96" t="inlineStr">
        <is>
          <t>BKK</t>
        </is>
      </c>
      <c r="P15" s="96" t="inlineStr">
        <is>
          <t>TH</t>
        </is>
      </c>
      <c r="Q15" s="96" t="inlineStr">
        <is>
          <t>HASLS22260900909</t>
        </is>
      </c>
      <c r="R15" s="96" t="inlineStr">
        <is>
          <t>N</t>
        </is>
      </c>
      <c r="S15" s="96" t="inlineStr">
        <is>
          <t>N</t>
        </is>
      </c>
      <c r="T15" s="96" t="inlineStr">
        <is>
          <t>BTS</t>
        </is>
      </c>
      <c r="U15" s="97" t="n"/>
      <c r="V15" s="96" t="inlineStr">
        <is>
          <t>C0320021</t>
        </is>
      </c>
      <c r="W15" s="96" t="inlineStr">
        <is>
          <t>SIAM I-LOGISTICS LTD.</t>
        </is>
      </c>
      <c r="X15" s="96" t="inlineStr">
        <is>
          <t>VFD</t>
        </is>
      </c>
      <c r="Y15" s="96" t="inlineStr">
        <is>
          <t>0319135354 #ITOCHU LOGISTICS</t>
        </is>
      </c>
      <c r="Z15" s="96" t="inlineStr">
        <is>
          <t>0319135354 #ITOCHU LOGISTICS</t>
        </is>
      </c>
      <c r="AA15" s="97" t="n">
        <v>24820</v>
      </c>
      <c r="AB15" s="96" t="inlineStr">
        <is>
          <t>BKK04</t>
        </is>
      </c>
      <c r="AC15" s="96" t="inlineStr">
        <is>
          <t>SGN03</t>
        </is>
      </c>
    </row>
    <row r="16" ht="12" customHeight="1">
      <c r="A16" s="96" t="inlineStr">
        <is>
          <t>GCXU2421974</t>
        </is>
      </c>
      <c r="B16" s="161" t="inlineStr">
        <is>
          <t>2026-10-08</t>
        </is>
      </c>
      <c r="C16" s="96" t="inlineStr">
        <is>
          <t>SWSP</t>
        </is>
      </c>
      <c r="D16" s="96" t="inlineStr">
        <is>
          <t>2609N</t>
        </is>
      </c>
      <c r="E16" s="96" t="inlineStr">
        <is>
          <t>22GP</t>
        </is>
      </c>
      <c r="F16" s="96" t="inlineStr">
        <is>
          <t>SD</t>
        </is>
      </c>
      <c r="G16" s="96" t="inlineStr">
        <is>
          <t>THBKK</t>
        </is>
      </c>
      <c r="H16" s="96" t="inlineStr">
        <is>
          <t>THBKK</t>
        </is>
      </c>
      <c r="I16" s="96" t="inlineStr">
        <is>
          <t>KRPTK</t>
        </is>
      </c>
      <c r="J16" s="96" t="inlineStr">
        <is>
          <t>KRPTK</t>
        </is>
      </c>
      <c r="K16" s="96" t="inlineStr">
        <is>
          <t>F</t>
        </is>
      </c>
      <c r="L16" s="96" t="inlineStr">
        <is>
          <t>ONE</t>
        </is>
      </c>
      <c r="M16" s="96" t="inlineStr">
        <is>
          <t>VFL</t>
        </is>
      </c>
      <c r="N16" s="96" t="inlineStr">
        <is>
          <t>BKK04</t>
        </is>
      </c>
      <c r="O16" s="96" t="inlineStr">
        <is>
          <t>BKK</t>
        </is>
      </c>
      <c r="P16" s="96" t="inlineStr">
        <is>
          <t>TH</t>
        </is>
      </c>
      <c r="Q16" s="96" t="inlineStr">
        <is>
          <t>HASLS22260801914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BTS</t>
        </is>
      </c>
      <c r="U16" s="97" t="n"/>
      <c r="V16" s="96" t="inlineStr">
        <is>
          <t>K0120021</t>
        </is>
      </c>
      <c r="W16" s="96" t="inlineStr">
        <is>
          <t>THAI VEGETABLE OIL PUBLIC COMPANY</t>
        </is>
      </c>
      <c r="X16" s="96" t="inlineStr">
        <is>
          <t>VFD</t>
        </is>
      </c>
      <c r="Y16" s="96" t="inlineStr">
        <is>
          <t>TO THE ORDER OF KOOKMIN BANK</t>
        </is>
      </c>
      <c r="Z16" s="96" t="inlineStr">
        <is>
          <t>CJ CHEILJEDANG CORPORATION</t>
        </is>
      </c>
      <c r="AA16" s="97" t="n">
        <v>21100</v>
      </c>
      <c r="AB16" s="96" t="inlineStr">
        <is>
          <t>BKK04</t>
        </is>
      </c>
      <c r="AC16" s="96" t="inlineStr">
        <is>
          <t>PTK02</t>
        </is>
      </c>
    </row>
    <row r="17" ht="12" customHeight="1">
      <c r="A17" s="96" t="inlineStr">
        <is>
          <t>GCXU5060849</t>
        </is>
      </c>
      <c r="B17" s="161" t="inlineStr">
        <is>
          <t>2026-10-08</t>
        </is>
      </c>
      <c r="C17" s="96" t="inlineStr">
        <is>
          <t>SWSP</t>
        </is>
      </c>
      <c r="D17" s="96" t="inlineStr">
        <is>
          <t>2609N</t>
        </is>
      </c>
      <c r="E17" s="96" t="inlineStr">
        <is>
          <t>45GP</t>
        </is>
      </c>
      <c r="F17" s="96" t="inlineStr">
        <is>
          <t>SD</t>
        </is>
      </c>
      <c r="G17" s="96" t="inlineStr">
        <is>
          <t>THBKK</t>
        </is>
      </c>
      <c r="H17" s="96" t="inlineStr">
        <is>
          <t>THBKK</t>
        </is>
      </c>
      <c r="I17" s="96" t="inlineStr">
        <is>
          <t>VNSGN</t>
        </is>
      </c>
      <c r="J17" s="96" t="inlineStr">
        <is>
          <t>VNSGN</t>
        </is>
      </c>
      <c r="K17" s="96" t="inlineStr">
        <is>
          <t>F</t>
        </is>
      </c>
      <c r="L17" s="96" t="inlineStr">
        <is>
          <t>ONE</t>
        </is>
      </c>
      <c r="M17" s="96" t="inlineStr">
        <is>
          <t>VFL</t>
        </is>
      </c>
      <c r="N17" s="96" t="inlineStr">
        <is>
          <t>BKK04</t>
        </is>
      </c>
      <c r="O17" s="96" t="inlineStr">
        <is>
          <t>BKK</t>
        </is>
      </c>
      <c r="P17" s="96" t="inlineStr">
        <is>
          <t>TH</t>
        </is>
      </c>
      <c r="Q17" s="96" t="inlineStr">
        <is>
          <t>HASLS22260902260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BTS</t>
        </is>
      </c>
      <c r="U17" s="97" t="n"/>
      <c r="V17" s="96" t="inlineStr">
        <is>
          <t>K0120023</t>
        </is>
      </c>
      <c r="W17" s="96" t="inlineStr">
        <is>
          <t>CAPRICORN LOGISTICS CO.,LTD.</t>
        </is>
      </c>
      <c r="X17" s="96" t="inlineStr">
        <is>
          <t>VFD</t>
        </is>
      </c>
      <c r="Y17" s="96" t="inlineStr">
        <is>
          <t>BLUE OCEAN INTERNATIONAL</t>
        </is>
      </c>
      <c r="Z17" s="96" t="inlineStr">
        <is>
          <t>BLUE OCEAN INTERNATIONAL</t>
        </is>
      </c>
      <c r="AA17" s="97" t="n">
        <v>9720</v>
      </c>
      <c r="AB17" s="96" t="inlineStr">
        <is>
          <t>BKK04</t>
        </is>
      </c>
      <c r="AC17" s="96" t="inlineStr">
        <is>
          <t>SGN03</t>
        </is>
      </c>
    </row>
    <row r="18" ht="12" customHeight="1">
      <c r="A18" s="96" t="inlineStr">
        <is>
          <t>GCXU6006821</t>
        </is>
      </c>
      <c r="B18" s="161" t="inlineStr">
        <is>
          <t>2026-10-08</t>
        </is>
      </c>
      <c r="C18" s="96" t="inlineStr">
        <is>
          <t>SWSP</t>
        </is>
      </c>
      <c r="D18" s="96" t="inlineStr">
        <is>
          <t>2609N</t>
        </is>
      </c>
      <c r="E18" s="96" t="inlineStr">
        <is>
          <t>45GP</t>
        </is>
      </c>
      <c r="F18" s="96" t="inlineStr">
        <is>
          <t>SD</t>
        </is>
      </c>
      <c r="G18" s="96" t="inlineStr">
        <is>
          <t>THBKK</t>
        </is>
      </c>
      <c r="H18" s="96" t="inlineStr">
        <is>
          <t>THBKK</t>
        </is>
      </c>
      <c r="I18" s="96" t="inlineStr">
        <is>
          <t>VNSGN</t>
        </is>
      </c>
      <c r="J18" s="96" t="inlineStr">
        <is>
          <t>VNSGN</t>
        </is>
      </c>
      <c r="K18" s="96" t="inlineStr">
        <is>
          <t>F</t>
        </is>
      </c>
      <c r="L18" s="96" t="inlineStr">
        <is>
          <t>ONE</t>
        </is>
      </c>
      <c r="M18" s="96" t="inlineStr">
        <is>
          <t>VFL</t>
        </is>
      </c>
      <c r="N18" s="96" t="inlineStr">
        <is>
          <t>BKK04</t>
        </is>
      </c>
      <c r="O18" s="96" t="inlineStr">
        <is>
          <t>BKK</t>
        </is>
      </c>
      <c r="P18" s="96" t="inlineStr">
        <is>
          <t>TH</t>
        </is>
      </c>
      <c r="Q18" s="96" t="inlineStr">
        <is>
          <t>HASLS22260901688</t>
        </is>
      </c>
      <c r="R18" s="96" t="inlineStr">
        <is>
          <t>N</t>
        </is>
      </c>
      <c r="S18" s="96" t="inlineStr">
        <is>
          <t>N</t>
        </is>
      </c>
      <c r="T18" s="96" t="inlineStr">
        <is>
          <t>BTS</t>
        </is>
      </c>
      <c r="U18" s="97" t="n"/>
      <c r="V18" s="96" t="inlineStr">
        <is>
          <t>K0120023</t>
        </is>
      </c>
      <c r="W18" s="96" t="inlineStr">
        <is>
          <t>METRO PARTICLE CO.,LTD.</t>
        </is>
      </c>
      <c r="X18" s="96" t="inlineStr">
        <is>
          <t>VFD</t>
        </is>
      </c>
      <c r="Y18" s="96" t="inlineStr">
        <is>
          <t>YI LONG VIETNAM FURNITURE CO., LTD.</t>
        </is>
      </c>
      <c r="Z18" s="96" t="inlineStr">
        <is>
          <t>YI LONG VIETNAM FURNITURE CO., LTD.</t>
        </is>
      </c>
      <c r="AA18" s="97" t="n">
        <v>27652</v>
      </c>
      <c r="AB18" s="96" t="inlineStr">
        <is>
          <t>BKK04</t>
        </is>
      </c>
      <c r="AC18" s="96" t="inlineStr">
        <is>
          <t>SGN03</t>
        </is>
      </c>
    </row>
    <row r="19" ht="12" customHeight="1">
      <c r="A19" s="96" t="inlineStr">
        <is>
          <t>GCXU6008090</t>
        </is>
      </c>
      <c r="B19" s="161" t="inlineStr">
        <is>
          <t>2026-10-08</t>
        </is>
      </c>
      <c r="C19" s="96" t="inlineStr">
        <is>
          <t>SWSP</t>
        </is>
      </c>
      <c r="D19" s="96" t="inlineStr">
        <is>
          <t>2609N</t>
        </is>
      </c>
      <c r="E19" s="96" t="inlineStr">
        <is>
          <t>45GP</t>
        </is>
      </c>
      <c r="F19" s="96" t="inlineStr">
        <is>
          <t>SD</t>
        </is>
      </c>
      <c r="G19" s="96" t="inlineStr">
        <is>
          <t>THBKK</t>
        </is>
      </c>
      <c r="H19" s="96" t="inlineStr">
        <is>
          <t>THBKK</t>
        </is>
      </c>
      <c r="I19" s="96" t="inlineStr">
        <is>
          <t>VNSGN</t>
        </is>
      </c>
      <c r="J19" s="96" t="inlineStr">
        <is>
          <t>VNSGN</t>
        </is>
      </c>
      <c r="K19" s="96" t="inlineStr">
        <is>
          <t>F</t>
        </is>
      </c>
      <c r="L19" s="96" t="inlineStr">
        <is>
          <t>ONE</t>
        </is>
      </c>
      <c r="M19" s="96" t="inlineStr">
        <is>
          <t>VFL</t>
        </is>
      </c>
      <c r="N19" s="96" t="inlineStr">
        <is>
          <t>BKK04</t>
        </is>
      </c>
      <c r="O19" s="96" t="inlineStr">
        <is>
          <t>BKK</t>
        </is>
      </c>
      <c r="P19" s="96" t="inlineStr">
        <is>
          <t>TH</t>
        </is>
      </c>
      <c r="Q19" s="96" t="inlineStr">
        <is>
          <t>HASLS22260900586</t>
        </is>
      </c>
      <c r="R19" s="96" t="inlineStr">
        <is>
          <t>N</t>
        </is>
      </c>
      <c r="S19" s="96" t="inlineStr">
        <is>
          <t>N</t>
        </is>
      </c>
      <c r="T19" s="96" t="inlineStr">
        <is>
          <t>BTS</t>
        </is>
      </c>
      <c r="U19" s="97" t="n"/>
      <c r="V19" s="96" t="inlineStr">
        <is>
          <t>K0120023</t>
        </is>
      </c>
      <c r="W19" s="96" t="inlineStr">
        <is>
          <t>BIRLA CARBON (THAILAND) PUBLIC</t>
        </is>
      </c>
      <c r="X19" s="96" t="inlineStr">
        <is>
          <t>VFD</t>
        </is>
      </c>
      <c r="Y19" s="96" t="inlineStr">
        <is>
          <t>JINYU (VIETNAM) TIRE CO.,LTD</t>
        </is>
      </c>
      <c r="Z19" s="96" t="inlineStr">
        <is>
          <t>JINYU (VIETNAM) TIRE CO.,LTD</t>
        </is>
      </c>
      <c r="AA19" s="97" t="n">
        <v>22308</v>
      </c>
      <c r="AB19" s="96" t="inlineStr">
        <is>
          <t>BKK04</t>
        </is>
      </c>
      <c r="AC19" s="96" t="inlineStr">
        <is>
          <t>SGN03</t>
        </is>
      </c>
    </row>
    <row r="20" ht="12" customHeight="1">
      <c r="A20" s="96" t="inlineStr">
        <is>
          <t>GCXU6279430</t>
        </is>
      </c>
      <c r="B20" s="161" t="inlineStr">
        <is>
          <t>2026-10-08</t>
        </is>
      </c>
      <c r="C20" s="96" t="inlineStr">
        <is>
          <t>SWSP</t>
        </is>
      </c>
      <c r="D20" s="96" t="inlineStr">
        <is>
          <t>2609N</t>
        </is>
      </c>
      <c r="E20" s="96" t="inlineStr">
        <is>
          <t>45GP</t>
        </is>
      </c>
      <c r="F20" s="96" t="inlineStr">
        <is>
          <t>SD</t>
        </is>
      </c>
      <c r="G20" s="96" t="inlineStr">
        <is>
          <t>THBKK</t>
        </is>
      </c>
      <c r="H20" s="96" t="inlineStr">
        <is>
          <t>THBKK</t>
        </is>
      </c>
      <c r="I20" s="96" t="inlineStr">
        <is>
          <t>VNSGN</t>
        </is>
      </c>
      <c r="J20" s="96" t="inlineStr">
        <is>
          <t>VNSGN</t>
        </is>
      </c>
      <c r="K20" s="96" t="inlineStr">
        <is>
          <t>F</t>
        </is>
      </c>
      <c r="L20" s="96" t="inlineStr">
        <is>
          <t>ONE</t>
        </is>
      </c>
      <c r="M20" s="96" t="inlineStr">
        <is>
          <t>VFL</t>
        </is>
      </c>
      <c r="N20" s="96" t="inlineStr">
        <is>
          <t>BKK04</t>
        </is>
      </c>
      <c r="O20" s="96" t="inlineStr">
        <is>
          <t>BKK</t>
        </is>
      </c>
      <c r="P20" s="96" t="inlineStr">
        <is>
          <t>TH</t>
        </is>
      </c>
      <c r="Q20" s="96" t="inlineStr">
        <is>
          <t>HASLS22260901036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BTS</t>
        </is>
      </c>
      <c r="U20" s="97" t="n"/>
      <c r="V20" s="96" t="inlineStr">
        <is>
          <t>K0120023</t>
        </is>
      </c>
      <c r="W20" s="96" t="inlineStr">
        <is>
          <t>KANGWAL POLYESTER CO., LTD.</t>
        </is>
      </c>
      <c r="X20" s="96" t="inlineStr">
        <is>
          <t>VFD</t>
        </is>
      </c>
      <c r="Y20" s="96" t="inlineStr">
        <is>
          <t>TO ORDER OF VIETNAM INTERNATIONAL</t>
        </is>
      </c>
      <c r="Z20" s="96" t="inlineStr">
        <is>
          <t>VIET THANG CORPORATION (VICOTEX)</t>
        </is>
      </c>
      <c r="AA20" s="97" t="n">
        <v>25181.4</v>
      </c>
      <c r="AB20" s="96" t="inlineStr">
        <is>
          <t>BKK04</t>
        </is>
      </c>
      <c r="AC20" s="96" t="inlineStr">
        <is>
          <t>SGN03</t>
        </is>
      </c>
    </row>
    <row r="21" ht="12" customHeight="1">
      <c r="A21" s="96" t="inlineStr">
        <is>
          <t>HALU2021169</t>
        </is>
      </c>
      <c r="B21" s="161" t="inlineStr">
        <is>
          <t>2026-10-08</t>
        </is>
      </c>
      <c r="C21" s="96" t="inlineStr">
        <is>
          <t>SWSP</t>
        </is>
      </c>
      <c r="D21" s="96" t="inlineStr">
        <is>
          <t>2609N</t>
        </is>
      </c>
      <c r="E21" s="96" t="inlineStr">
        <is>
          <t>22GP</t>
        </is>
      </c>
      <c r="F21" s="96" t="inlineStr">
        <is>
          <t>SD</t>
        </is>
      </c>
      <c r="G21" s="96" t="inlineStr">
        <is>
          <t>THBKK</t>
        </is>
      </c>
      <c r="H21" s="96" t="inlineStr">
        <is>
          <t>THBKK</t>
        </is>
      </c>
      <c r="I21" s="96" t="inlineStr">
        <is>
          <t>VNSGN</t>
        </is>
      </c>
      <c r="J21" s="96" t="inlineStr">
        <is>
          <t>VNSGN</t>
        </is>
      </c>
      <c r="K21" s="96" t="inlineStr">
        <is>
          <t>F</t>
        </is>
      </c>
      <c r="L21" s="96" t="inlineStr">
        <is>
          <t>OWN</t>
        </is>
      </c>
      <c r="M21" s="96" t="inlineStr">
        <is>
          <t>VFL</t>
        </is>
      </c>
      <c r="N21" s="96" t="inlineStr">
        <is>
          <t>BKK04</t>
        </is>
      </c>
      <c r="O21" s="96" t="inlineStr">
        <is>
          <t>BKK</t>
        </is>
      </c>
      <c r="P21" s="96" t="inlineStr">
        <is>
          <t>TH</t>
        </is>
      </c>
      <c r="Q21" s="96" t="inlineStr">
        <is>
          <t>HASLS22260800838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BTS</t>
        </is>
      </c>
      <c r="U21" s="97" t="n"/>
      <c r="V21" s="96" t="inlineStr">
        <is>
          <t>TXG13016</t>
        </is>
      </c>
      <c r="W21" s="96" t="inlineStr">
        <is>
          <t>SCG INTERNATIONAL CORPORATION CO.,</t>
        </is>
      </c>
      <c r="X21" s="96" t="inlineStr">
        <is>
          <t>VFD</t>
        </is>
      </c>
      <c r="Y21" s="96" t="inlineStr">
        <is>
          <t>BUU LONG INDUSTRY AND INVESTMENT</t>
        </is>
      </c>
      <c r="Z21" s="96" t="inlineStr">
        <is>
          <t>BUU LONG INDUSTRY AND INVESTMENT</t>
        </is>
      </c>
      <c r="AA21" s="97" t="n">
        <v>25310</v>
      </c>
      <c r="AB21" s="96" t="inlineStr">
        <is>
          <t>BKK04</t>
        </is>
      </c>
      <c r="AC21" s="96" t="inlineStr">
        <is>
          <t>SGN03</t>
        </is>
      </c>
    </row>
    <row r="22" ht="12" customHeight="1">
      <c r="A22" s="96" t="inlineStr">
        <is>
          <t>HALU2031784</t>
        </is>
      </c>
      <c r="B22" s="161" t="inlineStr">
        <is>
          <t>2026-10-08</t>
        </is>
      </c>
      <c r="C22" s="96" t="inlineStr">
        <is>
          <t>SWSP</t>
        </is>
      </c>
      <c r="D22" s="96" t="inlineStr">
        <is>
          <t>2609N</t>
        </is>
      </c>
      <c r="E22" s="96" t="inlineStr">
        <is>
          <t>22GP</t>
        </is>
      </c>
      <c r="F22" s="96" t="inlineStr">
        <is>
          <t>SD</t>
        </is>
      </c>
      <c r="G22" s="96" t="inlineStr">
        <is>
          <t>THBKK</t>
        </is>
      </c>
      <c r="H22" s="96" t="inlineStr">
        <is>
          <t>THBKK</t>
        </is>
      </c>
      <c r="I22" s="96" t="inlineStr">
        <is>
          <t>VNSGN</t>
        </is>
      </c>
      <c r="J22" s="96" t="inlineStr">
        <is>
          <t>VNSGN</t>
        </is>
      </c>
      <c r="K22" s="96" t="inlineStr">
        <is>
          <t>F</t>
        </is>
      </c>
      <c r="L22" s="96" t="inlineStr">
        <is>
          <t>OWN</t>
        </is>
      </c>
      <c r="M22" s="96" t="inlineStr">
        <is>
          <t>VFL</t>
        </is>
      </c>
      <c r="N22" s="96" t="inlineStr">
        <is>
          <t>BKK04</t>
        </is>
      </c>
      <c r="O22" s="96" t="inlineStr">
        <is>
          <t>BKK</t>
        </is>
      </c>
      <c r="P22" s="96" t="inlineStr">
        <is>
          <t>TH</t>
        </is>
      </c>
      <c r="Q22" s="96" t="inlineStr">
        <is>
          <t>HASLS22260800838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BTS</t>
        </is>
      </c>
      <c r="U22" s="97" t="n"/>
      <c r="V22" s="96" t="inlineStr">
        <is>
          <t>TXG14011</t>
        </is>
      </c>
      <c r="W22" s="96" t="inlineStr">
        <is>
          <t>SCG INTERNATIONAL CORPORATION CO.,</t>
        </is>
      </c>
      <c r="X22" s="96" t="inlineStr">
        <is>
          <t>VFD</t>
        </is>
      </c>
      <c r="Y22" s="96" t="inlineStr">
        <is>
          <t>BUU LONG INDUSTRY AND INVESTMENT</t>
        </is>
      </c>
      <c r="Z22" s="96" t="inlineStr">
        <is>
          <t>BUU LONG INDUSTRY AND INVESTMENT</t>
        </is>
      </c>
      <c r="AA22" s="97" t="n">
        <v>25260</v>
      </c>
      <c r="AB22" s="96" t="inlineStr">
        <is>
          <t>BKK04</t>
        </is>
      </c>
      <c r="AC22" s="96" t="inlineStr">
        <is>
          <t>SGN03</t>
        </is>
      </c>
    </row>
    <row r="23" ht="12" customHeight="1">
      <c r="A23" s="96" t="inlineStr">
        <is>
          <t>HALU2303748</t>
        </is>
      </c>
      <c r="B23" s="161" t="inlineStr">
        <is>
          <t>2026-10-08</t>
        </is>
      </c>
      <c r="C23" s="96" t="inlineStr">
        <is>
          <t>SWSP</t>
        </is>
      </c>
      <c r="D23" s="96" t="inlineStr">
        <is>
          <t>2609N</t>
        </is>
      </c>
      <c r="E23" s="96" t="inlineStr">
        <is>
          <t>22GP</t>
        </is>
      </c>
      <c r="F23" s="96" t="inlineStr">
        <is>
          <t>SD</t>
        </is>
      </c>
      <c r="G23" s="96" t="inlineStr">
        <is>
          <t>THBKK</t>
        </is>
      </c>
      <c r="H23" s="96" t="inlineStr">
        <is>
          <t>THBKK</t>
        </is>
      </c>
      <c r="I23" s="96" t="inlineStr">
        <is>
          <t>KRPUS</t>
        </is>
      </c>
      <c r="J23" s="96" t="inlineStr">
        <is>
          <t>JPSEN</t>
        </is>
      </c>
      <c r="K23" s="96" t="inlineStr">
        <is>
          <t>F</t>
        </is>
      </c>
      <c r="L23" s="96" t="inlineStr">
        <is>
          <t>OWN</t>
        </is>
      </c>
      <c r="M23" s="96" t="inlineStr">
        <is>
          <t>VFL</t>
        </is>
      </c>
      <c r="N23" s="96" t="inlineStr">
        <is>
          <t>BKK04</t>
        </is>
      </c>
      <c r="O23" s="96" t="inlineStr">
        <is>
          <t>BKK</t>
        </is>
      </c>
      <c r="P23" s="96" t="inlineStr">
        <is>
          <t>TH</t>
        </is>
      </c>
      <c r="Q23" s="96" t="inlineStr">
        <is>
          <t>HASLS22260900196</t>
        </is>
      </c>
      <c r="R23" s="96" t="inlineStr">
        <is>
          <t>Y</t>
        </is>
      </c>
      <c r="S23" s="96" t="inlineStr">
        <is>
          <t>N</t>
        </is>
      </c>
      <c r="T23" s="96" t="inlineStr">
        <is>
          <t>BTS</t>
        </is>
      </c>
      <c r="U23" s="97" t="n"/>
      <c r="V23" s="96" t="inlineStr">
        <is>
          <t>C0323005</t>
        </is>
      </c>
      <c r="W23" s="96" t="inlineStr">
        <is>
          <t>SANGUAN WONGSE STARCH CO., LTD.</t>
        </is>
      </c>
      <c r="X23" s="96" t="inlineStr">
        <is>
          <t>VFD</t>
        </is>
      </c>
      <c r="Y23" s="96" t="inlineStr">
        <is>
          <t>SANSHO CO., LTD.</t>
        </is>
      </c>
      <c r="Z23" s="96" t="inlineStr">
        <is>
          <t>SANSHO CO., LTD.</t>
        </is>
      </c>
      <c r="AA23" s="97" t="n">
        <v>17190</v>
      </c>
      <c r="AB23" s="96" t="inlineStr">
        <is>
          <t>BKK04</t>
        </is>
      </c>
      <c r="AC23" s="96" t="inlineStr">
        <is>
          <t>SEN01</t>
        </is>
      </c>
    </row>
    <row r="24" ht="12" customHeight="1">
      <c r="A24" s="96" t="inlineStr">
        <is>
          <t>HALU2311379</t>
        </is>
      </c>
      <c r="B24" s="161" t="inlineStr">
        <is>
          <t>2026-10-08</t>
        </is>
      </c>
      <c r="C24" s="96" t="inlineStr">
        <is>
          <t>SWSP</t>
        </is>
      </c>
      <c r="D24" s="96" t="inlineStr">
        <is>
          <t>2609N</t>
        </is>
      </c>
      <c r="E24" s="96" t="inlineStr">
        <is>
          <t>22GP</t>
        </is>
      </c>
      <c r="F24" s="96" t="inlineStr">
        <is>
          <t>SD</t>
        </is>
      </c>
      <c r="G24" s="96" t="inlineStr">
        <is>
          <t>THBKK</t>
        </is>
      </c>
      <c r="H24" s="96" t="inlineStr">
        <is>
          <t>THBKK</t>
        </is>
      </c>
      <c r="I24" s="96" t="inlineStr">
        <is>
          <t>VNSGN</t>
        </is>
      </c>
      <c r="J24" s="96" t="inlineStr">
        <is>
          <t>VNSGN</t>
        </is>
      </c>
      <c r="K24" s="96" t="inlineStr">
        <is>
          <t>F</t>
        </is>
      </c>
      <c r="L24" s="96" t="inlineStr">
        <is>
          <t>OWN</t>
        </is>
      </c>
      <c r="M24" s="96" t="inlineStr">
        <is>
          <t>VFL</t>
        </is>
      </c>
      <c r="N24" s="96" t="inlineStr">
        <is>
          <t>BKK04</t>
        </is>
      </c>
      <c r="O24" s="96" t="inlineStr">
        <is>
          <t>BKK</t>
        </is>
      </c>
      <c r="P24" s="96" t="inlineStr">
        <is>
          <t>TH</t>
        </is>
      </c>
      <c r="Q24" s="96" t="inlineStr">
        <is>
          <t>HASLS22260900630</t>
        </is>
      </c>
      <c r="R24" s="96" t="inlineStr">
        <is>
          <t>N</t>
        </is>
      </c>
      <c r="S24" s="96" t="inlineStr">
        <is>
          <t>N</t>
        </is>
      </c>
      <c r="T24" s="96" t="inlineStr">
        <is>
          <t>BTS</t>
        </is>
      </c>
      <c r="U24" s="97" t="n"/>
      <c r="V24" s="96" t="inlineStr">
        <is>
          <t>C0223001</t>
        </is>
      </c>
      <c r="W24" s="96" t="inlineStr">
        <is>
          <t>THANAKORN VEGETABLE OIL PRODUCTS</t>
        </is>
      </c>
      <c r="X24" s="96" t="inlineStr">
        <is>
          <t>VFD</t>
        </is>
      </c>
      <c r="Y24" s="96" t="inlineStr">
        <is>
          <t>MEKONG COMMODITIES JSC</t>
        </is>
      </c>
      <c r="Z24" s="96" t="inlineStr">
        <is>
          <t>AUSTRALASIAN COMMODITIES PTY LTD</t>
        </is>
      </c>
      <c r="AA24" s="97" t="n">
        <v>21110</v>
      </c>
      <c r="AB24" s="96" t="inlineStr">
        <is>
          <t>BKK04</t>
        </is>
      </c>
      <c r="AC24" s="96" t="inlineStr">
        <is>
          <t>SGN03</t>
        </is>
      </c>
    </row>
    <row r="25" ht="12" customHeight="1">
      <c r="A25" s="96" t="inlineStr">
        <is>
          <t>HALU2312478</t>
        </is>
      </c>
      <c r="B25" s="161" t="inlineStr">
        <is>
          <t>2026-10-08</t>
        </is>
      </c>
      <c r="C25" s="96" t="inlineStr">
        <is>
          <t>SWSP</t>
        </is>
      </c>
      <c r="D25" s="96" t="inlineStr">
        <is>
          <t>2609N</t>
        </is>
      </c>
      <c r="E25" s="96" t="inlineStr">
        <is>
          <t>22GP</t>
        </is>
      </c>
      <c r="F25" s="96" t="inlineStr">
        <is>
          <t>SD</t>
        </is>
      </c>
      <c r="G25" s="96" t="inlineStr">
        <is>
          <t>THBKK</t>
        </is>
      </c>
      <c r="H25" s="96" t="inlineStr">
        <is>
          <t>THBKK</t>
        </is>
      </c>
      <c r="I25" s="96" t="inlineStr">
        <is>
          <t>KRPUS</t>
        </is>
      </c>
      <c r="J25" s="96" t="inlineStr">
        <is>
          <t>JPSEN</t>
        </is>
      </c>
      <c r="K25" s="96" t="inlineStr">
        <is>
          <t>F</t>
        </is>
      </c>
      <c r="L25" s="96" t="inlineStr">
        <is>
          <t>OWN</t>
        </is>
      </c>
      <c r="M25" s="96" t="inlineStr">
        <is>
          <t>VFL</t>
        </is>
      </c>
      <c r="N25" s="96" t="inlineStr">
        <is>
          <t>BKK04</t>
        </is>
      </c>
      <c r="O25" s="96" t="inlineStr">
        <is>
          <t>BKK</t>
        </is>
      </c>
      <c r="P25" s="96" t="inlineStr">
        <is>
          <t>TH</t>
        </is>
      </c>
      <c r="Q25" s="96" t="inlineStr">
        <is>
          <t>HASLS22260900196</t>
        </is>
      </c>
      <c r="R25" s="96" t="inlineStr">
        <is>
          <t>Y</t>
        </is>
      </c>
      <c r="S25" s="96" t="inlineStr">
        <is>
          <t>N</t>
        </is>
      </c>
      <c r="T25" s="96" t="inlineStr">
        <is>
          <t>BTS</t>
        </is>
      </c>
      <c r="U25" s="97" t="n"/>
      <c r="V25" s="96" t="inlineStr">
        <is>
          <t>C0223001</t>
        </is>
      </c>
      <c r="W25" s="96" t="inlineStr">
        <is>
          <t>SANGUAN WONGSE STARCH CO., LTD.</t>
        </is>
      </c>
      <c r="X25" s="96" t="inlineStr">
        <is>
          <t>VFD</t>
        </is>
      </c>
      <c r="Y25" s="96" t="inlineStr">
        <is>
          <t>SANSHO CO., LTD.</t>
        </is>
      </c>
      <c r="Z25" s="96" t="inlineStr">
        <is>
          <t>SANSHO CO., LTD.</t>
        </is>
      </c>
      <c r="AA25" s="97" t="n">
        <v>17190</v>
      </c>
      <c r="AB25" s="96" t="inlineStr">
        <is>
          <t>BKK04</t>
        </is>
      </c>
      <c r="AC25" s="96" t="inlineStr">
        <is>
          <t>SEN01</t>
        </is>
      </c>
    </row>
    <row r="26" ht="12" customHeight="1">
      <c r="A26" s="96" t="inlineStr">
        <is>
          <t>HALU2319528</t>
        </is>
      </c>
      <c r="B26" s="161" t="inlineStr">
        <is>
          <t>2026-10-08</t>
        </is>
      </c>
      <c r="C26" s="96" t="inlineStr">
        <is>
          <t>SWSP</t>
        </is>
      </c>
      <c r="D26" s="96" t="inlineStr">
        <is>
          <t>2609N</t>
        </is>
      </c>
      <c r="E26" s="96" t="inlineStr">
        <is>
          <t>22GP</t>
        </is>
      </c>
      <c r="F26" s="96" t="inlineStr">
        <is>
          <t>SD</t>
        </is>
      </c>
      <c r="G26" s="96" t="inlineStr">
        <is>
          <t>THBKK</t>
        </is>
      </c>
      <c r="H26" s="96" t="inlineStr">
        <is>
          <t>THBKK</t>
        </is>
      </c>
      <c r="I26" s="96" t="inlineStr">
        <is>
          <t>KRPTK</t>
        </is>
      </c>
      <c r="J26" s="96" t="inlineStr">
        <is>
          <t>KRPTK</t>
        </is>
      </c>
      <c r="K26" s="96" t="inlineStr">
        <is>
          <t>F</t>
        </is>
      </c>
      <c r="L26" s="96" t="inlineStr">
        <is>
          <t>OWN</t>
        </is>
      </c>
      <c r="M26" s="96" t="inlineStr">
        <is>
          <t>VFL</t>
        </is>
      </c>
      <c r="N26" s="96" t="inlineStr">
        <is>
          <t>BKK04</t>
        </is>
      </c>
      <c r="O26" s="96" t="inlineStr">
        <is>
          <t>BKK</t>
        </is>
      </c>
      <c r="P26" s="96" t="inlineStr">
        <is>
          <t>TH</t>
        </is>
      </c>
      <c r="Q26" s="96" t="inlineStr">
        <is>
          <t>HASLS22260801914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BTS</t>
        </is>
      </c>
      <c r="U26" s="97" t="n"/>
      <c r="V26" s="96" t="inlineStr">
        <is>
          <t>C7T23001</t>
        </is>
      </c>
      <c r="W26" s="96" t="inlineStr">
        <is>
          <t>THAI VEGETABLE OIL PUBLIC COMPANY</t>
        </is>
      </c>
      <c r="X26" s="96" t="inlineStr">
        <is>
          <t>VFD</t>
        </is>
      </c>
      <c r="Y26" s="96" t="inlineStr">
        <is>
          <t>TO THE ORDER OF KOOKMIN BANK</t>
        </is>
      </c>
      <c r="Z26" s="96" t="inlineStr">
        <is>
          <t>CJ CHEILJEDANG CORPORATION</t>
        </is>
      </c>
      <c r="AA26" s="97" t="n">
        <v>21100</v>
      </c>
      <c r="AB26" s="96" t="inlineStr">
        <is>
          <t>BKK04</t>
        </is>
      </c>
      <c r="AC26" s="96" t="inlineStr">
        <is>
          <t>PTK02</t>
        </is>
      </c>
    </row>
    <row r="27" ht="12" customHeight="1">
      <c r="A27" s="96" t="inlineStr">
        <is>
          <t>HALU2333491</t>
        </is>
      </c>
      <c r="B27" s="161" t="inlineStr">
        <is>
          <t>2026-10-08</t>
        </is>
      </c>
      <c r="C27" s="96" t="inlineStr">
        <is>
          <t>SWSP</t>
        </is>
      </c>
      <c r="D27" s="96" t="inlineStr">
        <is>
          <t>2609N</t>
        </is>
      </c>
      <c r="E27" s="96" t="inlineStr">
        <is>
          <t>22GP</t>
        </is>
      </c>
      <c r="F27" s="96" t="inlineStr">
        <is>
          <t>SD</t>
        </is>
      </c>
      <c r="G27" s="96" t="inlineStr">
        <is>
          <t>THBKK</t>
        </is>
      </c>
      <c r="H27" s="96" t="inlineStr">
        <is>
          <t>THBKK</t>
        </is>
      </c>
      <c r="I27" s="96" t="inlineStr">
        <is>
          <t>KRPUS</t>
        </is>
      </c>
      <c r="J27" s="96" t="inlineStr">
        <is>
          <t>JPSEN</t>
        </is>
      </c>
      <c r="K27" s="96" t="inlineStr">
        <is>
          <t>F</t>
        </is>
      </c>
      <c r="L27" s="96" t="inlineStr">
        <is>
          <t>OWN</t>
        </is>
      </c>
      <c r="M27" s="96" t="inlineStr">
        <is>
          <t>VFL</t>
        </is>
      </c>
      <c r="N27" s="96" t="inlineStr">
        <is>
          <t>BKK04</t>
        </is>
      </c>
      <c r="O27" s="96" t="inlineStr">
        <is>
          <t>BKK</t>
        </is>
      </c>
      <c r="P27" s="96" t="inlineStr">
        <is>
          <t>TH</t>
        </is>
      </c>
      <c r="Q27" s="96" t="inlineStr">
        <is>
          <t>HASLS22260900196</t>
        </is>
      </c>
      <c r="R27" s="96" t="inlineStr">
        <is>
          <t>Y</t>
        </is>
      </c>
      <c r="S27" s="96" t="inlineStr">
        <is>
          <t>N</t>
        </is>
      </c>
      <c r="T27" s="96" t="inlineStr">
        <is>
          <t>BTS</t>
        </is>
      </c>
      <c r="U27" s="97" t="n"/>
      <c r="V27" s="96" t="inlineStr">
        <is>
          <t>C0423001</t>
        </is>
      </c>
      <c r="W27" s="96" t="inlineStr">
        <is>
          <t>SANGUAN WONGSE STARCH CO., LTD.</t>
        </is>
      </c>
      <c r="X27" s="96" t="inlineStr">
        <is>
          <t>VFD</t>
        </is>
      </c>
      <c r="Y27" s="96" t="inlineStr">
        <is>
          <t>SANSHO CO., LTD.</t>
        </is>
      </c>
      <c r="Z27" s="96" t="inlineStr">
        <is>
          <t>SANSHO CO., LTD.</t>
        </is>
      </c>
      <c r="AA27" s="97" t="n">
        <v>17190</v>
      </c>
      <c r="AB27" s="96" t="inlineStr">
        <is>
          <t>BKK04</t>
        </is>
      </c>
      <c r="AC27" s="96" t="inlineStr">
        <is>
          <t>SEN01</t>
        </is>
      </c>
    </row>
    <row r="28" ht="12" customHeight="1">
      <c r="A28" s="96" t="inlineStr">
        <is>
          <t>HALU2348402</t>
        </is>
      </c>
      <c r="B28" s="161" t="inlineStr">
        <is>
          <t>2026-10-08</t>
        </is>
      </c>
      <c r="C28" s="96" t="inlineStr">
        <is>
          <t>SWSP</t>
        </is>
      </c>
      <c r="D28" s="96" t="inlineStr">
        <is>
          <t>2609N</t>
        </is>
      </c>
      <c r="E28" s="96" t="inlineStr">
        <is>
          <t>22GP</t>
        </is>
      </c>
      <c r="F28" s="96" t="inlineStr">
        <is>
          <t>SD</t>
        </is>
      </c>
      <c r="G28" s="96" t="inlineStr">
        <is>
          <t>THBKK</t>
        </is>
      </c>
      <c r="H28" s="96" t="inlineStr">
        <is>
          <t>THBKK</t>
        </is>
      </c>
      <c r="I28" s="96" t="inlineStr">
        <is>
          <t>VNSGN</t>
        </is>
      </c>
      <c r="J28" s="96" t="inlineStr">
        <is>
          <t>VNSGN</t>
        </is>
      </c>
      <c r="K28" s="96" t="inlineStr">
        <is>
          <t>F</t>
        </is>
      </c>
      <c r="L28" s="96" t="inlineStr">
        <is>
          <t>OWN</t>
        </is>
      </c>
      <c r="M28" s="96" t="inlineStr">
        <is>
          <t>VFL</t>
        </is>
      </c>
      <c r="N28" s="96" t="inlineStr">
        <is>
          <t>BKK04</t>
        </is>
      </c>
      <c r="O28" s="96" t="inlineStr">
        <is>
          <t>BKK</t>
        </is>
      </c>
      <c r="P28" s="96" t="inlineStr">
        <is>
          <t>TH</t>
        </is>
      </c>
      <c r="Q28" s="96" t="inlineStr">
        <is>
          <t>HASLS22260901581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BTS</t>
        </is>
      </c>
      <c r="U28" s="97" t="n"/>
      <c r="V28" s="96" t="inlineStr">
        <is>
          <t>C0523002</t>
        </is>
      </c>
      <c r="W28" s="96" t="inlineStr">
        <is>
          <t>AJINOMOTO CO., (THAILAND) LTD.</t>
        </is>
      </c>
      <c r="X28" s="96" t="inlineStr">
        <is>
          <t>VFD</t>
        </is>
      </c>
      <c r="Y28" s="96" t="inlineStr">
        <is>
          <t>AJINOMOTO VIETNAM CO., LTD.</t>
        </is>
      </c>
      <c r="Z28" s="96" t="inlineStr">
        <is>
          <t>AJINOMOTO VIETNAM CO., LTD.</t>
        </is>
      </c>
      <c r="AA28" s="97" t="n">
        <v>15004.8</v>
      </c>
      <c r="AB28" s="96" t="inlineStr">
        <is>
          <t>BKK04</t>
        </is>
      </c>
      <c r="AC28" s="96" t="inlineStr">
        <is>
          <t>SGN03</t>
        </is>
      </c>
    </row>
    <row r="29" ht="12" customHeight="1">
      <c r="A29" s="96" t="inlineStr">
        <is>
          <t>HALU2363006</t>
        </is>
      </c>
      <c r="B29" s="161" t="inlineStr">
        <is>
          <t>2026-10-08</t>
        </is>
      </c>
      <c r="C29" s="96" t="inlineStr">
        <is>
          <t>SWSP</t>
        </is>
      </c>
      <c r="D29" s="96" t="inlineStr">
        <is>
          <t>2609N</t>
        </is>
      </c>
      <c r="E29" s="96" t="inlineStr">
        <is>
          <t>22GP</t>
        </is>
      </c>
      <c r="F29" s="96" t="inlineStr">
        <is>
          <t>SD</t>
        </is>
      </c>
      <c r="G29" s="96" t="inlineStr">
        <is>
          <t>THBKK</t>
        </is>
      </c>
      <c r="H29" s="96" t="inlineStr">
        <is>
          <t>THBKK</t>
        </is>
      </c>
      <c r="I29" s="96" t="inlineStr">
        <is>
          <t>KRPUS</t>
        </is>
      </c>
      <c r="J29" s="96" t="inlineStr">
        <is>
          <t>JPMIZ</t>
        </is>
      </c>
      <c r="K29" s="96" t="inlineStr">
        <is>
          <t>F</t>
        </is>
      </c>
      <c r="L29" s="96" t="inlineStr">
        <is>
          <t>OWN</t>
        </is>
      </c>
      <c r="M29" s="96" t="inlineStr">
        <is>
          <t>VFL</t>
        </is>
      </c>
      <c r="N29" s="96" t="inlineStr">
        <is>
          <t>BKK04</t>
        </is>
      </c>
      <c r="O29" s="96" t="inlineStr">
        <is>
          <t>BKK</t>
        </is>
      </c>
      <c r="P29" s="96" t="inlineStr">
        <is>
          <t>TH</t>
        </is>
      </c>
      <c r="Q29" s="96" t="inlineStr">
        <is>
          <t>HASLS22260901245</t>
        </is>
      </c>
      <c r="R29" s="96" t="inlineStr">
        <is>
          <t>Y</t>
        </is>
      </c>
      <c r="S29" s="96" t="inlineStr">
        <is>
          <t>N</t>
        </is>
      </c>
      <c r="T29" s="96" t="inlineStr">
        <is>
          <t>BTS</t>
        </is>
      </c>
      <c r="U29" s="97" t="n"/>
      <c r="V29" s="96" t="inlineStr">
        <is>
          <t>C0324003</t>
        </is>
      </c>
      <c r="W29" s="96" t="inlineStr">
        <is>
          <t>BANGKOK COLD STORAGE SERVICE, LTD.</t>
        </is>
      </c>
      <c r="X29" s="96" t="inlineStr">
        <is>
          <t>VFD</t>
        </is>
      </c>
      <c r="Y29" s="96" t="inlineStr">
        <is>
          <t>HARVEST WORLD EXPRESS</t>
        </is>
      </c>
      <c r="Z29" s="96" t="inlineStr">
        <is>
          <t>HARVEST WORLD EXPRESS</t>
        </is>
      </c>
      <c r="AA29" s="97" t="n">
        <v>20400</v>
      </c>
      <c r="AB29" s="96" t="inlineStr">
        <is>
          <t>BKK04</t>
        </is>
      </c>
      <c r="AC29" s="96" t="inlineStr">
        <is>
          <t>MIZ01</t>
        </is>
      </c>
    </row>
    <row r="30" ht="12" customHeight="1">
      <c r="A30" s="96" t="inlineStr">
        <is>
          <t>HALU2405570</t>
        </is>
      </c>
      <c r="B30" s="161" t="inlineStr">
        <is>
          <t>2026-10-08</t>
        </is>
      </c>
      <c r="C30" s="96" t="inlineStr">
        <is>
          <t>SWSP</t>
        </is>
      </c>
      <c r="D30" s="96" t="inlineStr">
        <is>
          <t>2609N</t>
        </is>
      </c>
      <c r="E30" s="96" t="inlineStr">
        <is>
          <t>22GP</t>
        </is>
      </c>
      <c r="F30" s="96" t="inlineStr">
        <is>
          <t>SD</t>
        </is>
      </c>
      <c r="G30" s="96" t="inlineStr">
        <is>
          <t>THBKK</t>
        </is>
      </c>
      <c r="H30" s="96" t="inlineStr">
        <is>
          <t>THBKK</t>
        </is>
      </c>
      <c r="I30" s="96" t="inlineStr">
        <is>
          <t>KRPUS</t>
        </is>
      </c>
      <c r="J30" s="96" t="inlineStr">
        <is>
          <t>JPSEN</t>
        </is>
      </c>
      <c r="K30" s="96" t="inlineStr">
        <is>
          <t>F</t>
        </is>
      </c>
      <c r="L30" s="96" t="inlineStr">
        <is>
          <t>OWN</t>
        </is>
      </c>
      <c r="M30" s="96" t="inlineStr">
        <is>
          <t>VFL</t>
        </is>
      </c>
      <c r="N30" s="96" t="inlineStr">
        <is>
          <t>BKK04</t>
        </is>
      </c>
      <c r="O30" s="96" t="inlineStr">
        <is>
          <t>BKK</t>
        </is>
      </c>
      <c r="P30" s="96" t="inlineStr">
        <is>
          <t>TH</t>
        </is>
      </c>
      <c r="Q30" s="96" t="inlineStr">
        <is>
          <t>HASLS22260900196</t>
        </is>
      </c>
      <c r="R30" s="96" t="inlineStr">
        <is>
          <t>Y</t>
        </is>
      </c>
      <c r="S30" s="96" t="inlineStr">
        <is>
          <t>N</t>
        </is>
      </c>
      <c r="T30" s="96" t="inlineStr">
        <is>
          <t>BTS</t>
        </is>
      </c>
      <c r="U30" s="97" t="n"/>
      <c r="V30" s="96" t="inlineStr">
        <is>
          <t>C0124002</t>
        </is>
      </c>
      <c r="W30" s="96" t="inlineStr">
        <is>
          <t>SANGUAN WONGSE STARCH CO., LTD.</t>
        </is>
      </c>
      <c r="X30" s="96" t="inlineStr">
        <is>
          <t>VFD</t>
        </is>
      </c>
      <c r="Y30" s="96" t="inlineStr">
        <is>
          <t>SANSHO CO., LTD.</t>
        </is>
      </c>
      <c r="Z30" s="96" t="inlineStr">
        <is>
          <t>SANSHO CO., LTD.</t>
        </is>
      </c>
      <c r="AA30" s="97" t="n">
        <v>17190</v>
      </c>
      <c r="AB30" s="96" t="inlineStr">
        <is>
          <t>BKK04</t>
        </is>
      </c>
      <c r="AC30" s="96" t="inlineStr">
        <is>
          <t>SEN01</t>
        </is>
      </c>
    </row>
    <row r="31" ht="12" customHeight="1">
      <c r="A31" s="96" t="inlineStr">
        <is>
          <t>HALU2407193</t>
        </is>
      </c>
      <c r="B31" s="161" t="inlineStr">
        <is>
          <t>2026-10-08</t>
        </is>
      </c>
      <c r="C31" s="96" t="inlineStr">
        <is>
          <t>SWSP</t>
        </is>
      </c>
      <c r="D31" s="96" t="inlineStr">
        <is>
          <t>2609N</t>
        </is>
      </c>
      <c r="E31" s="96" t="inlineStr">
        <is>
          <t>22GP</t>
        </is>
      </c>
      <c r="F31" s="96" t="inlineStr">
        <is>
          <t>SD</t>
        </is>
      </c>
      <c r="G31" s="96" t="inlineStr">
        <is>
          <t>THBKK</t>
        </is>
      </c>
      <c r="H31" s="96" t="inlineStr">
        <is>
          <t>THBKK</t>
        </is>
      </c>
      <c r="I31" s="96" t="inlineStr">
        <is>
          <t>VNSGN</t>
        </is>
      </c>
      <c r="J31" s="96" t="inlineStr">
        <is>
          <t>VNSGN</t>
        </is>
      </c>
      <c r="K31" s="96" t="inlineStr">
        <is>
          <t>F</t>
        </is>
      </c>
      <c r="L31" s="96" t="inlineStr">
        <is>
          <t>OWN</t>
        </is>
      </c>
      <c r="M31" s="96" t="inlineStr">
        <is>
          <t>VFL</t>
        </is>
      </c>
      <c r="N31" s="96" t="inlineStr">
        <is>
          <t>BKK04</t>
        </is>
      </c>
      <c r="O31" s="96" t="inlineStr">
        <is>
          <t>BKK</t>
        </is>
      </c>
      <c r="P31" s="96" t="inlineStr">
        <is>
          <t>TH</t>
        </is>
      </c>
      <c r="Q31" s="96" t="inlineStr">
        <is>
          <t>HASLS22260900501</t>
        </is>
      </c>
      <c r="R31" s="96" t="inlineStr">
        <is>
          <t>N</t>
        </is>
      </c>
      <c r="S31" s="96" t="inlineStr">
        <is>
          <t>N</t>
        </is>
      </c>
      <c r="T31" s="96" t="inlineStr">
        <is>
          <t>BTS</t>
        </is>
      </c>
      <c r="U31" s="97" t="n"/>
      <c r="V31" s="96" t="inlineStr">
        <is>
          <t>C0124002</t>
        </is>
      </c>
      <c r="W31" s="96" t="inlineStr">
        <is>
          <t>UENO FINE CHEMICALS INDUSTRY</t>
        </is>
      </c>
      <c r="X31" s="96" t="inlineStr">
        <is>
          <t>VFD</t>
        </is>
      </c>
      <c r="Y31" s="96" t="inlineStr">
        <is>
          <t>YAKULT VIETNAM CO.,LTD.</t>
        </is>
      </c>
      <c r="Z31" s="96" t="inlineStr">
        <is>
          <t>YAKULT VIETNAM CO.,LTD.</t>
        </is>
      </c>
      <c r="AA31" s="97" t="n">
        <v>20080</v>
      </c>
      <c r="AB31" s="96" t="inlineStr">
        <is>
          <t>BKK04</t>
        </is>
      </c>
      <c r="AC31" s="96" t="inlineStr">
        <is>
          <t>SGN03</t>
        </is>
      </c>
    </row>
    <row r="32" ht="12" customHeight="1">
      <c r="A32" s="96" t="inlineStr">
        <is>
          <t>HALU2410411</t>
        </is>
      </c>
      <c r="B32" s="161" t="inlineStr">
        <is>
          <t>2026-10-08</t>
        </is>
      </c>
      <c r="C32" s="96" t="inlineStr">
        <is>
          <t>SWSP</t>
        </is>
      </c>
      <c r="D32" s="96" t="inlineStr">
        <is>
          <t>2609N</t>
        </is>
      </c>
      <c r="E32" s="96" t="inlineStr">
        <is>
          <t>22GP</t>
        </is>
      </c>
      <c r="F32" s="96" t="inlineStr">
        <is>
          <t>SD</t>
        </is>
      </c>
      <c r="G32" s="96" t="inlineStr">
        <is>
          <t>THBKK</t>
        </is>
      </c>
      <c r="H32" s="96" t="inlineStr">
        <is>
          <t>THBKK</t>
        </is>
      </c>
      <c r="I32" s="96" t="inlineStr">
        <is>
          <t>VNSGN</t>
        </is>
      </c>
      <c r="J32" s="96" t="inlineStr">
        <is>
          <t>VNSGN</t>
        </is>
      </c>
      <c r="K32" s="96" t="inlineStr">
        <is>
          <t>F</t>
        </is>
      </c>
      <c r="L32" s="96" t="inlineStr">
        <is>
          <t>OWN</t>
        </is>
      </c>
      <c r="M32" s="96" t="inlineStr">
        <is>
          <t>VFL</t>
        </is>
      </c>
      <c r="N32" s="96" t="inlineStr">
        <is>
          <t>BKK04</t>
        </is>
      </c>
      <c r="O32" s="96" t="inlineStr">
        <is>
          <t>BKK</t>
        </is>
      </c>
      <c r="P32" s="96" t="inlineStr">
        <is>
          <t>TH</t>
        </is>
      </c>
      <c r="Q32" s="96" t="inlineStr">
        <is>
          <t>HASLS22260900903</t>
        </is>
      </c>
      <c r="R32" s="96" t="inlineStr">
        <is>
          <t>N</t>
        </is>
      </c>
      <c r="S32" s="96" t="inlineStr">
        <is>
          <t>N</t>
        </is>
      </c>
      <c r="T32" s="96" t="inlineStr">
        <is>
          <t>BTS</t>
        </is>
      </c>
      <c r="U32" s="97" t="n"/>
      <c r="V32" s="96" t="inlineStr">
        <is>
          <t>C0124002</t>
        </is>
      </c>
      <c r="W32" s="96" t="inlineStr">
        <is>
          <t>FIBS LOGISTICS CO., LTD.</t>
        </is>
      </c>
      <c r="X32" s="96" t="inlineStr">
        <is>
          <t>VFD</t>
        </is>
      </c>
      <c r="Y32" s="96" t="inlineStr">
        <is>
          <t>CARRY ALL LOGISTICS VIETNAM</t>
        </is>
      </c>
      <c r="Z32" s="96" t="inlineStr">
        <is>
          <t>CARRY ALL LOGISTICS VIETNAM</t>
        </is>
      </c>
      <c r="AA32" s="97" t="n">
        <v>18892.65</v>
      </c>
      <c r="AB32" s="96" t="inlineStr">
        <is>
          <t>BKK04</t>
        </is>
      </c>
      <c r="AC32" s="96" t="inlineStr">
        <is>
          <t>SGN03</t>
        </is>
      </c>
    </row>
    <row r="33" ht="12" customHeight="1">
      <c r="A33" s="96" t="inlineStr">
        <is>
          <t>HALU2434748</t>
        </is>
      </c>
      <c r="B33" s="161" t="inlineStr">
        <is>
          <t>2026-10-08</t>
        </is>
      </c>
      <c r="C33" s="96" t="inlineStr">
        <is>
          <t>SWSP</t>
        </is>
      </c>
      <c r="D33" s="96" t="inlineStr">
        <is>
          <t>2609N</t>
        </is>
      </c>
      <c r="E33" s="96" t="inlineStr">
        <is>
          <t>22GP</t>
        </is>
      </c>
      <c r="F33" s="96" t="inlineStr">
        <is>
          <t>SD</t>
        </is>
      </c>
      <c r="G33" s="96" t="inlineStr">
        <is>
          <t>THBKK</t>
        </is>
      </c>
      <c r="H33" s="96" t="inlineStr">
        <is>
          <t>THBKK</t>
        </is>
      </c>
      <c r="I33" s="96" t="inlineStr">
        <is>
          <t>KRPUS</t>
        </is>
      </c>
      <c r="J33" s="96" t="inlineStr">
        <is>
          <t>JPMIZ</t>
        </is>
      </c>
      <c r="K33" s="96" t="inlineStr">
        <is>
          <t>F</t>
        </is>
      </c>
      <c r="L33" s="96" t="inlineStr">
        <is>
          <t>OWN</t>
        </is>
      </c>
      <c r="M33" s="96" t="inlineStr">
        <is>
          <t>VFL</t>
        </is>
      </c>
      <c r="N33" s="96" t="inlineStr">
        <is>
          <t>BKK04</t>
        </is>
      </c>
      <c r="O33" s="96" t="inlineStr">
        <is>
          <t>BKK</t>
        </is>
      </c>
      <c r="P33" s="96" t="inlineStr">
        <is>
          <t>TH</t>
        </is>
      </c>
      <c r="Q33" s="96" t="inlineStr">
        <is>
          <t>HASLS22260901245</t>
        </is>
      </c>
      <c r="R33" s="96" t="inlineStr">
        <is>
          <t>Y</t>
        </is>
      </c>
      <c r="S33" s="96" t="inlineStr">
        <is>
          <t>N</t>
        </is>
      </c>
      <c r="T33" s="96" t="inlineStr">
        <is>
          <t>BTS</t>
        </is>
      </c>
      <c r="U33" s="97" t="n"/>
      <c r="V33" s="96" t="inlineStr">
        <is>
          <t>C0124002</t>
        </is>
      </c>
      <c r="W33" s="96" t="inlineStr">
        <is>
          <t>BANGKOK COLD STORAGE SERVICE, LTD.</t>
        </is>
      </c>
      <c r="X33" s="96" t="inlineStr">
        <is>
          <t>VFD</t>
        </is>
      </c>
      <c r="Y33" s="96" t="inlineStr">
        <is>
          <t>HARVEST WORLD EXPRESS</t>
        </is>
      </c>
      <c r="Z33" s="96" t="inlineStr">
        <is>
          <t>HARVEST WORLD EXPRESS</t>
        </is>
      </c>
      <c r="AA33" s="97" t="n">
        <v>20400</v>
      </c>
      <c r="AB33" s="96" t="inlineStr">
        <is>
          <t>BKK04</t>
        </is>
      </c>
      <c r="AC33" s="96" t="inlineStr">
        <is>
          <t>MIZ01</t>
        </is>
      </c>
    </row>
    <row r="34" ht="12" customHeight="1">
      <c r="A34" s="96" t="inlineStr">
        <is>
          <t>HALU2440165</t>
        </is>
      </c>
      <c r="B34" s="161" t="inlineStr">
        <is>
          <t>2026-10-08</t>
        </is>
      </c>
      <c r="C34" s="96" t="inlineStr">
        <is>
          <t>SWSP</t>
        </is>
      </c>
      <c r="D34" s="96" t="inlineStr">
        <is>
          <t>2609N</t>
        </is>
      </c>
      <c r="E34" s="96" t="inlineStr">
        <is>
          <t>22GP</t>
        </is>
      </c>
      <c r="F34" s="96" t="inlineStr">
        <is>
          <t>SD</t>
        </is>
      </c>
      <c r="G34" s="96" t="inlineStr">
        <is>
          <t>THBKK</t>
        </is>
      </c>
      <c r="H34" s="96" t="inlineStr">
        <is>
          <t>THBKK</t>
        </is>
      </c>
      <c r="I34" s="96" t="inlineStr">
        <is>
          <t>VNSGN</t>
        </is>
      </c>
      <c r="J34" s="96" t="inlineStr">
        <is>
          <t>VNSGN</t>
        </is>
      </c>
      <c r="K34" s="96" t="inlineStr">
        <is>
          <t>F</t>
        </is>
      </c>
      <c r="L34" s="96" t="inlineStr">
        <is>
          <t>OWN</t>
        </is>
      </c>
      <c r="M34" s="96" t="inlineStr">
        <is>
          <t>VFL</t>
        </is>
      </c>
      <c r="N34" s="96" t="inlineStr">
        <is>
          <t>BKK04</t>
        </is>
      </c>
      <c r="O34" s="96" t="inlineStr">
        <is>
          <t>BKK</t>
        </is>
      </c>
      <c r="P34" s="96" t="inlineStr">
        <is>
          <t>TH</t>
        </is>
      </c>
      <c r="Q34" s="96" t="inlineStr">
        <is>
          <t>HASLS22260900630</t>
        </is>
      </c>
      <c r="R34" s="96" t="inlineStr">
        <is>
          <t>N</t>
        </is>
      </c>
      <c r="S34" s="96" t="inlineStr">
        <is>
          <t>N</t>
        </is>
      </c>
      <c r="T34" s="96" t="inlineStr">
        <is>
          <t>BTS</t>
        </is>
      </c>
      <c r="U34" s="97" t="n"/>
      <c r="V34" s="96" t="inlineStr">
        <is>
          <t>C0324009</t>
        </is>
      </c>
      <c r="W34" s="96" t="inlineStr">
        <is>
          <t>THANAKORN VEGETABLE OIL PRODUCTS</t>
        </is>
      </c>
      <c r="X34" s="96" t="inlineStr">
        <is>
          <t>VFD</t>
        </is>
      </c>
      <c r="Y34" s="96" t="inlineStr">
        <is>
          <t>MEKONG COMMODITIES JSC</t>
        </is>
      </c>
      <c r="Z34" s="96" t="inlineStr">
        <is>
          <t>AUSTRALASIAN COMMODITIES PTY LTD</t>
        </is>
      </c>
      <c r="AA34" s="97" t="n">
        <v>21090</v>
      </c>
      <c r="AB34" s="96" t="inlineStr">
        <is>
          <t>BKK04</t>
        </is>
      </c>
      <c r="AC34" s="96" t="inlineStr">
        <is>
          <t>SGN03</t>
        </is>
      </c>
    </row>
    <row r="35" ht="12" customHeight="1">
      <c r="A35" s="96" t="inlineStr">
        <is>
          <t>HALU2443014</t>
        </is>
      </c>
      <c r="B35" s="161" t="inlineStr">
        <is>
          <t>2026-10-08</t>
        </is>
      </c>
      <c r="C35" s="96" t="inlineStr">
        <is>
          <t>SWSP</t>
        </is>
      </c>
      <c r="D35" s="96" t="inlineStr">
        <is>
          <t>2609N</t>
        </is>
      </c>
      <c r="E35" s="96" t="inlineStr">
        <is>
          <t>22GP</t>
        </is>
      </c>
      <c r="F35" s="96" t="inlineStr">
        <is>
          <t>SD</t>
        </is>
      </c>
      <c r="G35" s="96" t="inlineStr">
        <is>
          <t>THBKK</t>
        </is>
      </c>
      <c r="H35" s="96" t="inlineStr">
        <is>
          <t>THBKK</t>
        </is>
      </c>
      <c r="I35" s="96" t="inlineStr">
        <is>
          <t>VNSGN</t>
        </is>
      </c>
      <c r="J35" s="96" t="inlineStr">
        <is>
          <t>VNSGN</t>
        </is>
      </c>
      <c r="K35" s="96" t="inlineStr">
        <is>
          <t>F</t>
        </is>
      </c>
      <c r="L35" s="96" t="inlineStr">
        <is>
          <t>OWN</t>
        </is>
      </c>
      <c r="M35" s="96" t="inlineStr">
        <is>
          <t>VFL</t>
        </is>
      </c>
      <c r="N35" s="96" t="inlineStr">
        <is>
          <t>BKK04</t>
        </is>
      </c>
      <c r="O35" s="96" t="inlineStr">
        <is>
          <t>BKK</t>
        </is>
      </c>
      <c r="P35" s="96" t="inlineStr">
        <is>
          <t>TH</t>
        </is>
      </c>
      <c r="Q35" s="96" t="inlineStr">
        <is>
          <t>HASLS22260900523</t>
        </is>
      </c>
      <c r="R35" s="96" t="inlineStr">
        <is>
          <t>N</t>
        </is>
      </c>
      <c r="S35" s="96" t="inlineStr">
        <is>
          <t>N</t>
        </is>
      </c>
      <c r="T35" s="96" t="inlineStr">
        <is>
          <t>BTS</t>
        </is>
      </c>
      <c r="U35" s="97" t="n"/>
      <c r="V35" s="96" t="inlineStr">
        <is>
          <t>C0324009</t>
        </is>
      </c>
      <c r="W35" s="96" t="inlineStr">
        <is>
          <t>AQUACULTURE PROMOTION CO.,LTD.</t>
        </is>
      </c>
      <c r="X35" s="96" t="inlineStr">
        <is>
          <t>VFD</t>
        </is>
      </c>
      <c r="Y35" s="96" t="inlineStr">
        <is>
          <t>C.P.VIETNAM CORPORATION</t>
        </is>
      </c>
      <c r="Z35" s="96" t="inlineStr">
        <is>
          <t>C.P.VIETNAM CORPORATION</t>
        </is>
      </c>
      <c r="AA35" s="97" t="n">
        <v>17836.5</v>
      </c>
      <c r="AB35" s="96" t="inlineStr">
        <is>
          <t>BKK04</t>
        </is>
      </c>
      <c r="AC35" s="96" t="inlineStr">
        <is>
          <t>SGN03</t>
        </is>
      </c>
    </row>
    <row r="36" ht="12" customHeight="1">
      <c r="A36" s="96" t="inlineStr">
        <is>
          <t>HALU2451010</t>
        </is>
      </c>
      <c r="B36" s="161" t="inlineStr">
        <is>
          <t>2026-10-08</t>
        </is>
      </c>
      <c r="C36" s="96" t="inlineStr">
        <is>
          <t>SWSP</t>
        </is>
      </c>
      <c r="D36" s="96" t="inlineStr">
        <is>
          <t>2609N</t>
        </is>
      </c>
      <c r="E36" s="96" t="inlineStr">
        <is>
          <t>22GP</t>
        </is>
      </c>
      <c r="F36" s="96" t="inlineStr">
        <is>
          <t>SD</t>
        </is>
      </c>
      <c r="G36" s="96" t="inlineStr">
        <is>
          <t>THBKK</t>
        </is>
      </c>
      <c r="H36" s="96" t="inlineStr">
        <is>
          <t>THBKK</t>
        </is>
      </c>
      <c r="I36" s="96" t="inlineStr">
        <is>
          <t>KRPTK</t>
        </is>
      </c>
      <c r="J36" s="96" t="inlineStr">
        <is>
          <t>KRPTK</t>
        </is>
      </c>
      <c r="K36" s="96" t="inlineStr">
        <is>
          <t>F</t>
        </is>
      </c>
      <c r="L36" s="96" t="inlineStr">
        <is>
          <t>OWN</t>
        </is>
      </c>
      <c r="M36" s="96" t="inlineStr">
        <is>
          <t>VFL</t>
        </is>
      </c>
      <c r="N36" s="96" t="inlineStr">
        <is>
          <t>BKK04</t>
        </is>
      </c>
      <c r="O36" s="96" t="inlineStr">
        <is>
          <t>BKK</t>
        </is>
      </c>
      <c r="P36" s="96" t="inlineStr">
        <is>
          <t>TH</t>
        </is>
      </c>
      <c r="Q36" s="96" t="inlineStr">
        <is>
          <t>HASLS22260801914</t>
        </is>
      </c>
      <c r="R36" s="96" t="inlineStr">
        <is>
          <t>N</t>
        </is>
      </c>
      <c r="S36" s="96" t="inlineStr">
        <is>
          <t>N</t>
        </is>
      </c>
      <c r="T36" s="96" t="inlineStr">
        <is>
          <t>BTS</t>
        </is>
      </c>
      <c r="U36" s="97" t="n"/>
      <c r="V36" s="96" t="inlineStr">
        <is>
          <t>C0324009</t>
        </is>
      </c>
      <c r="W36" s="96" t="inlineStr">
        <is>
          <t>THAI VEGETABLE OIL PUBLIC COMPANY</t>
        </is>
      </c>
      <c r="X36" s="96" t="inlineStr">
        <is>
          <t>VFD</t>
        </is>
      </c>
      <c r="Y36" s="96" t="inlineStr">
        <is>
          <t>TO THE ORDER OF KOOKMIN BANK</t>
        </is>
      </c>
      <c r="Z36" s="96" t="inlineStr">
        <is>
          <t>CJ CHEILJEDANG CORPORATION</t>
        </is>
      </c>
      <c r="AA36" s="97" t="n">
        <v>21100</v>
      </c>
      <c r="AB36" s="96" t="inlineStr">
        <is>
          <t>BKK04</t>
        </is>
      </c>
      <c r="AC36" s="96" t="inlineStr">
        <is>
          <t>PTK02</t>
        </is>
      </c>
    </row>
    <row r="37" ht="12" customHeight="1">
      <c r="A37" s="96" t="inlineStr">
        <is>
          <t>HALU2524899</t>
        </is>
      </c>
      <c r="B37" s="161" t="inlineStr">
        <is>
          <t>2026-10-08</t>
        </is>
      </c>
      <c r="C37" s="96" t="inlineStr">
        <is>
          <t>SWSP</t>
        </is>
      </c>
      <c r="D37" s="96" t="inlineStr">
        <is>
          <t>2609N</t>
        </is>
      </c>
      <c r="E37" s="96" t="inlineStr">
        <is>
          <t>22GP</t>
        </is>
      </c>
      <c r="F37" s="96" t="inlineStr">
        <is>
          <t>SD</t>
        </is>
      </c>
      <c r="G37" s="96" t="inlineStr">
        <is>
          <t>THBKK</t>
        </is>
      </c>
      <c r="H37" s="96" t="inlineStr">
        <is>
          <t>THBKK</t>
        </is>
      </c>
      <c r="I37" s="96" t="inlineStr">
        <is>
          <t>KRPUS</t>
        </is>
      </c>
      <c r="J37" s="96" t="inlineStr">
        <is>
          <t>JPMIZ</t>
        </is>
      </c>
      <c r="K37" s="96" t="inlineStr">
        <is>
          <t>F</t>
        </is>
      </c>
      <c r="L37" s="96" t="inlineStr">
        <is>
          <t>OWN</t>
        </is>
      </c>
      <c r="M37" s="96" t="inlineStr">
        <is>
          <t>VFL</t>
        </is>
      </c>
      <c r="N37" s="96" t="inlineStr">
        <is>
          <t>BKK04</t>
        </is>
      </c>
      <c r="O37" s="96" t="inlineStr">
        <is>
          <t>BKK</t>
        </is>
      </c>
      <c r="P37" s="96" t="inlineStr">
        <is>
          <t>TH</t>
        </is>
      </c>
      <c r="Q37" s="96" t="inlineStr">
        <is>
          <t>HASLS22260901245</t>
        </is>
      </c>
      <c r="R37" s="96" t="inlineStr">
        <is>
          <t>Y</t>
        </is>
      </c>
      <c r="S37" s="96" t="inlineStr">
        <is>
          <t>N</t>
        </is>
      </c>
      <c r="T37" s="96" t="inlineStr">
        <is>
          <t>BTS</t>
        </is>
      </c>
      <c r="U37" s="97" t="n"/>
      <c r="V37" s="96" t="inlineStr">
        <is>
          <t>C0125002</t>
        </is>
      </c>
      <c r="W37" s="96" t="inlineStr">
        <is>
          <t>BANGKOK COLD STORAGE SERVICE, LTD.</t>
        </is>
      </c>
      <c r="X37" s="96" t="inlineStr">
        <is>
          <t>VFD</t>
        </is>
      </c>
      <c r="Y37" s="96" t="inlineStr">
        <is>
          <t>HARVEST WORLD EXPRESS</t>
        </is>
      </c>
      <c r="Z37" s="96" t="inlineStr">
        <is>
          <t>HARVEST WORLD EXPRESS</t>
        </is>
      </c>
      <c r="AA37" s="97" t="n">
        <v>20400</v>
      </c>
      <c r="AB37" s="96" t="inlineStr">
        <is>
          <t>BKK04</t>
        </is>
      </c>
      <c r="AC37" s="96" t="inlineStr">
        <is>
          <t>MIZ01</t>
        </is>
      </c>
    </row>
    <row r="38" ht="12" customHeight="1">
      <c r="A38" s="96" t="inlineStr">
        <is>
          <t>HALU2557296</t>
        </is>
      </c>
      <c r="B38" s="161" t="inlineStr">
        <is>
          <t>2026-10-08</t>
        </is>
      </c>
      <c r="C38" s="96" t="inlineStr">
        <is>
          <t>SWSP</t>
        </is>
      </c>
      <c r="D38" s="96" t="inlineStr">
        <is>
          <t>2609N</t>
        </is>
      </c>
      <c r="E38" s="96" t="inlineStr">
        <is>
          <t>22GP</t>
        </is>
      </c>
      <c r="F38" s="96" t="inlineStr">
        <is>
          <t>SD</t>
        </is>
      </c>
      <c r="G38" s="96" t="inlineStr">
        <is>
          <t>THBKK</t>
        </is>
      </c>
      <c r="H38" s="96" t="inlineStr">
        <is>
          <t>THBKK</t>
        </is>
      </c>
      <c r="I38" s="96" t="inlineStr">
        <is>
          <t>VNSGN</t>
        </is>
      </c>
      <c r="J38" s="96" t="inlineStr">
        <is>
          <t>VNSGN</t>
        </is>
      </c>
      <c r="K38" s="96" t="inlineStr">
        <is>
          <t>F</t>
        </is>
      </c>
      <c r="L38" s="96" t="inlineStr">
        <is>
          <t>OWN</t>
        </is>
      </c>
      <c r="M38" s="96" t="inlineStr">
        <is>
          <t>VFL</t>
        </is>
      </c>
      <c r="N38" s="96" t="inlineStr">
        <is>
          <t>BKK04</t>
        </is>
      </c>
      <c r="O38" s="96" t="inlineStr">
        <is>
          <t>BKK</t>
        </is>
      </c>
      <c r="P38" s="96" t="inlineStr">
        <is>
          <t>TH</t>
        </is>
      </c>
      <c r="Q38" s="96" t="inlineStr">
        <is>
          <t>HASLS22260900501</t>
        </is>
      </c>
      <c r="R38" s="96" t="inlineStr">
        <is>
          <t>N</t>
        </is>
      </c>
      <c r="S38" s="96" t="inlineStr">
        <is>
          <t>N</t>
        </is>
      </c>
      <c r="T38" s="96" t="inlineStr">
        <is>
          <t>BTS</t>
        </is>
      </c>
      <c r="U38" s="97" t="n"/>
      <c r="V38" s="96" t="inlineStr">
        <is>
          <t>C0125002</t>
        </is>
      </c>
      <c r="W38" s="96" t="inlineStr">
        <is>
          <t>UENO FINE CHEMICALS INDUSTRY</t>
        </is>
      </c>
      <c r="X38" s="96" t="inlineStr">
        <is>
          <t>VFD</t>
        </is>
      </c>
      <c r="Y38" s="96" t="inlineStr">
        <is>
          <t>YAKULT VIETNAM CO.,LTD.</t>
        </is>
      </c>
      <c r="Z38" s="96" t="inlineStr">
        <is>
          <t>YAKULT VIETNAM CO.,LTD.</t>
        </is>
      </c>
      <c r="AA38" s="97" t="n">
        <v>20080</v>
      </c>
      <c r="AB38" s="96" t="inlineStr">
        <is>
          <t>BKK04</t>
        </is>
      </c>
      <c r="AC38" s="96" t="inlineStr">
        <is>
          <t>SGN03</t>
        </is>
      </c>
    </row>
    <row r="39" ht="12" customHeight="1">
      <c r="A39" s="96" t="inlineStr">
        <is>
          <t>HALU2557423</t>
        </is>
      </c>
      <c r="B39" s="161" t="inlineStr">
        <is>
          <t>2026-10-08</t>
        </is>
      </c>
      <c r="C39" s="96" t="inlineStr">
        <is>
          <t>SWSP</t>
        </is>
      </c>
      <c r="D39" s="96" t="inlineStr">
        <is>
          <t>2609N</t>
        </is>
      </c>
      <c r="E39" s="96" t="inlineStr">
        <is>
          <t>22GP</t>
        </is>
      </c>
      <c r="F39" s="96" t="inlineStr">
        <is>
          <t>SD</t>
        </is>
      </c>
      <c r="G39" s="96" t="inlineStr">
        <is>
          <t>THBKK</t>
        </is>
      </c>
      <c r="H39" s="96" t="inlineStr">
        <is>
          <t>THBKK</t>
        </is>
      </c>
      <c r="I39" s="96" t="inlineStr">
        <is>
          <t>KRPUS</t>
        </is>
      </c>
      <c r="J39" s="96" t="inlineStr">
        <is>
          <t>JPMIZ</t>
        </is>
      </c>
      <c r="K39" s="96" t="inlineStr">
        <is>
          <t>F</t>
        </is>
      </c>
      <c r="L39" s="96" t="inlineStr">
        <is>
          <t>OWN</t>
        </is>
      </c>
      <c r="M39" s="96" t="inlineStr">
        <is>
          <t>VFL</t>
        </is>
      </c>
      <c r="N39" s="96" t="inlineStr">
        <is>
          <t>BKK04</t>
        </is>
      </c>
      <c r="O39" s="96" t="inlineStr">
        <is>
          <t>BKK</t>
        </is>
      </c>
      <c r="P39" s="96" t="inlineStr">
        <is>
          <t>TH</t>
        </is>
      </c>
      <c r="Q39" s="96" t="inlineStr">
        <is>
          <t>HASLS22260901245</t>
        </is>
      </c>
      <c r="R39" s="96" t="inlineStr">
        <is>
          <t>Y</t>
        </is>
      </c>
      <c r="S39" s="96" t="inlineStr">
        <is>
          <t>N</t>
        </is>
      </c>
      <c r="T39" s="96" t="inlineStr">
        <is>
          <t>BTS</t>
        </is>
      </c>
      <c r="U39" s="97" t="n"/>
      <c r="V39" s="96" t="inlineStr">
        <is>
          <t>C0125002</t>
        </is>
      </c>
      <c r="W39" s="96" t="inlineStr">
        <is>
          <t>BANGKOK COLD STORAGE SERVICE, LTD.</t>
        </is>
      </c>
      <c r="X39" s="96" t="inlineStr">
        <is>
          <t>VFD</t>
        </is>
      </c>
      <c r="Y39" s="96" t="inlineStr">
        <is>
          <t>HARVEST WORLD EXPRESS</t>
        </is>
      </c>
      <c r="Z39" s="96" t="inlineStr">
        <is>
          <t>HARVEST WORLD EXPRESS</t>
        </is>
      </c>
      <c r="AA39" s="97" t="n">
        <v>20400</v>
      </c>
      <c r="AB39" s="96" t="inlineStr">
        <is>
          <t>BKK04</t>
        </is>
      </c>
      <c r="AC39" s="96" t="inlineStr">
        <is>
          <t>MIZ01</t>
        </is>
      </c>
    </row>
    <row r="40" ht="12" customHeight="1">
      <c r="A40" s="96" t="inlineStr">
        <is>
          <t>HALU2559658</t>
        </is>
      </c>
      <c r="B40" s="161" t="inlineStr">
        <is>
          <t>2026-10-08</t>
        </is>
      </c>
      <c r="C40" s="96" t="inlineStr">
        <is>
          <t>SWSP</t>
        </is>
      </c>
      <c r="D40" s="96" t="inlineStr">
        <is>
          <t>2609N</t>
        </is>
      </c>
      <c r="E40" s="96" t="inlineStr">
        <is>
          <t>22GP</t>
        </is>
      </c>
      <c r="F40" s="96" t="inlineStr">
        <is>
          <t>SD</t>
        </is>
      </c>
      <c r="G40" s="96" t="inlineStr">
        <is>
          <t>THBKK</t>
        </is>
      </c>
      <c r="H40" s="96" t="inlineStr">
        <is>
          <t>THBKK</t>
        </is>
      </c>
      <c r="I40" s="96" t="inlineStr">
        <is>
          <t>VNSGN</t>
        </is>
      </c>
      <c r="J40" s="96" t="inlineStr">
        <is>
          <t>VNSGN</t>
        </is>
      </c>
      <c r="K40" s="96" t="inlineStr">
        <is>
          <t>F</t>
        </is>
      </c>
      <c r="L40" s="96" t="inlineStr">
        <is>
          <t>OWN</t>
        </is>
      </c>
      <c r="M40" s="96" t="inlineStr">
        <is>
          <t>VFL</t>
        </is>
      </c>
      <c r="N40" s="96" t="inlineStr">
        <is>
          <t>BKK04</t>
        </is>
      </c>
      <c r="O40" s="96" t="inlineStr">
        <is>
          <t>BKK</t>
        </is>
      </c>
      <c r="P40" s="96" t="inlineStr">
        <is>
          <t>TH</t>
        </is>
      </c>
      <c r="Q40" s="96" t="inlineStr">
        <is>
          <t>HASLS22260900942</t>
        </is>
      </c>
      <c r="R40" s="96" t="inlineStr">
        <is>
          <t>N</t>
        </is>
      </c>
      <c r="S40" s="96" t="inlineStr">
        <is>
          <t>N</t>
        </is>
      </c>
      <c r="T40" s="96" t="inlineStr">
        <is>
          <t>BTS</t>
        </is>
      </c>
      <c r="U40" s="97" t="n"/>
      <c r="V40" s="96" t="inlineStr">
        <is>
          <t>C0325006</t>
        </is>
      </c>
      <c r="W40" s="96" t="inlineStr">
        <is>
          <t>THAI NAKORN PATANA CO., LTD.</t>
        </is>
      </c>
      <c r="X40" s="96" t="inlineStr">
        <is>
          <t>VFD</t>
        </is>
      </c>
      <c r="Y40" s="96" t="inlineStr">
        <is>
          <t>THAI NAKORN PATANA (VIETNAM)</t>
        </is>
      </c>
      <c r="Z40" s="96" t="inlineStr">
        <is>
          <t>THAI NAKORN PATANA (VIETNAM)</t>
        </is>
      </c>
      <c r="AA40" s="97" t="n">
        <v>10269.24</v>
      </c>
      <c r="AB40" s="96" t="inlineStr">
        <is>
          <t>BKK04</t>
        </is>
      </c>
      <c r="AC40" s="96" t="inlineStr">
        <is>
          <t>SGN03</t>
        </is>
      </c>
    </row>
    <row r="41" ht="12" customHeight="1">
      <c r="A41" s="96" t="inlineStr">
        <is>
          <t>HALU2561790</t>
        </is>
      </c>
      <c r="B41" s="161" t="inlineStr">
        <is>
          <t>2026-10-08</t>
        </is>
      </c>
      <c r="C41" s="96" t="inlineStr">
        <is>
          <t>SWSP</t>
        </is>
      </c>
      <c r="D41" s="96" t="inlineStr">
        <is>
          <t>2609N</t>
        </is>
      </c>
      <c r="E41" s="96" t="inlineStr">
        <is>
          <t>22GP</t>
        </is>
      </c>
      <c r="F41" s="96" t="inlineStr">
        <is>
          <t>SD</t>
        </is>
      </c>
      <c r="G41" s="96" t="inlineStr">
        <is>
          <t>THBKK</t>
        </is>
      </c>
      <c r="H41" s="96" t="inlineStr">
        <is>
          <t>THBKK</t>
        </is>
      </c>
      <c r="I41" s="96" t="inlineStr">
        <is>
          <t>KRPTK</t>
        </is>
      </c>
      <c r="J41" s="96" t="inlineStr">
        <is>
          <t>KRPTK</t>
        </is>
      </c>
      <c r="K41" s="96" t="inlineStr">
        <is>
          <t>F</t>
        </is>
      </c>
      <c r="L41" s="96" t="inlineStr">
        <is>
          <t>OWN</t>
        </is>
      </c>
      <c r="M41" s="96" t="inlineStr">
        <is>
          <t>VFL</t>
        </is>
      </c>
      <c r="N41" s="96" t="inlineStr">
        <is>
          <t>BKK04</t>
        </is>
      </c>
      <c r="O41" s="96" t="inlineStr">
        <is>
          <t>BKK</t>
        </is>
      </c>
      <c r="P41" s="96" t="inlineStr">
        <is>
          <t>TH</t>
        </is>
      </c>
      <c r="Q41" s="96" t="inlineStr">
        <is>
          <t>HASLS22260801914</t>
        </is>
      </c>
      <c r="R41" s="96" t="inlineStr">
        <is>
          <t>N</t>
        </is>
      </c>
      <c r="S41" s="96" t="inlineStr">
        <is>
          <t>N</t>
        </is>
      </c>
      <c r="T41" s="96" t="inlineStr">
        <is>
          <t>BTS</t>
        </is>
      </c>
      <c r="U41" s="97" t="n"/>
      <c r="V41" s="96" t="inlineStr">
        <is>
          <t>C0325006</t>
        </is>
      </c>
      <c r="W41" s="96" t="inlineStr">
        <is>
          <t>THAI VEGETABLE OIL PUBLIC COMPANY</t>
        </is>
      </c>
      <c r="X41" s="96" t="inlineStr">
        <is>
          <t>VFD</t>
        </is>
      </c>
      <c r="Y41" s="96" t="inlineStr">
        <is>
          <t>TO THE ORDER OF KOOKMIN BANK</t>
        </is>
      </c>
      <c r="Z41" s="96" t="inlineStr">
        <is>
          <t>CJ CHEILJEDANG CORPORATION</t>
        </is>
      </c>
      <c r="AA41" s="97" t="n">
        <v>21100</v>
      </c>
      <c r="AB41" s="96" t="inlineStr">
        <is>
          <t>BKK04</t>
        </is>
      </c>
      <c r="AC41" s="96" t="inlineStr">
        <is>
          <t>PTK02</t>
        </is>
      </c>
    </row>
    <row r="42" ht="12" customHeight="1">
      <c r="A42" s="96" t="inlineStr">
        <is>
          <t>HALU2570467</t>
        </is>
      </c>
      <c r="B42" s="161" t="inlineStr">
        <is>
          <t>2026-10-08</t>
        </is>
      </c>
      <c r="C42" s="96" t="inlineStr">
        <is>
          <t>SWSP</t>
        </is>
      </c>
      <c r="D42" s="96" t="inlineStr">
        <is>
          <t>2609N</t>
        </is>
      </c>
      <c r="E42" s="96" t="inlineStr">
        <is>
          <t>22GP</t>
        </is>
      </c>
      <c r="F42" s="96" t="inlineStr">
        <is>
          <t>SD</t>
        </is>
      </c>
      <c r="G42" s="96" t="inlineStr">
        <is>
          <t>THBKK</t>
        </is>
      </c>
      <c r="H42" s="96" t="inlineStr">
        <is>
          <t>THBKK</t>
        </is>
      </c>
      <c r="I42" s="96" t="inlineStr">
        <is>
          <t>KRPTK</t>
        </is>
      </c>
      <c r="J42" s="96" t="inlineStr">
        <is>
          <t>KRPTK</t>
        </is>
      </c>
      <c r="K42" s="96" t="inlineStr">
        <is>
          <t>F</t>
        </is>
      </c>
      <c r="L42" s="96" t="inlineStr">
        <is>
          <t>OWN</t>
        </is>
      </c>
      <c r="M42" s="96" t="inlineStr">
        <is>
          <t>VFL</t>
        </is>
      </c>
      <c r="N42" s="96" t="inlineStr">
        <is>
          <t>BKK04</t>
        </is>
      </c>
      <c r="O42" s="96" t="inlineStr">
        <is>
          <t>BKK</t>
        </is>
      </c>
      <c r="P42" s="96" t="inlineStr">
        <is>
          <t>TH</t>
        </is>
      </c>
      <c r="Q42" s="96" t="inlineStr">
        <is>
          <t>HASLS22260801914</t>
        </is>
      </c>
      <c r="R42" s="96" t="inlineStr">
        <is>
          <t>N</t>
        </is>
      </c>
      <c r="S42" s="96" t="inlineStr">
        <is>
          <t>N</t>
        </is>
      </c>
      <c r="T42" s="96" t="inlineStr">
        <is>
          <t>BTS</t>
        </is>
      </c>
      <c r="U42" s="97" t="n"/>
      <c r="V42" s="96" t="inlineStr">
        <is>
          <t>C0325006</t>
        </is>
      </c>
      <c r="W42" s="96" t="inlineStr">
        <is>
          <t>THAI VEGETABLE OIL PUBLIC COMPANY</t>
        </is>
      </c>
      <c r="X42" s="96" t="inlineStr">
        <is>
          <t>VFD</t>
        </is>
      </c>
      <c r="Y42" s="96" t="inlineStr">
        <is>
          <t>TO THE ORDER OF KOOKMIN BANK</t>
        </is>
      </c>
      <c r="Z42" s="96" t="inlineStr">
        <is>
          <t>CJ CHEILJEDANG CORPORATION</t>
        </is>
      </c>
      <c r="AA42" s="97" t="n">
        <v>21100</v>
      </c>
      <c r="AB42" s="96" t="inlineStr">
        <is>
          <t>BKK04</t>
        </is>
      </c>
      <c r="AC42" s="96" t="inlineStr">
        <is>
          <t>PTK02</t>
        </is>
      </c>
    </row>
    <row r="43" ht="12" customHeight="1">
      <c r="A43" s="96" t="inlineStr">
        <is>
          <t>HALU2581060</t>
        </is>
      </c>
      <c r="B43" s="161" t="inlineStr">
        <is>
          <t>2026-10-08</t>
        </is>
      </c>
      <c r="C43" s="96" t="inlineStr">
        <is>
          <t>SWSP</t>
        </is>
      </c>
      <c r="D43" s="96" t="inlineStr">
        <is>
          <t>2609N</t>
        </is>
      </c>
      <c r="E43" s="96" t="inlineStr">
        <is>
          <t>22GP</t>
        </is>
      </c>
      <c r="F43" s="96" t="inlineStr">
        <is>
          <t>SD</t>
        </is>
      </c>
      <c r="G43" s="96" t="inlineStr">
        <is>
          <t>THBKK</t>
        </is>
      </c>
      <c r="H43" s="96" t="inlineStr">
        <is>
          <t>THBKK</t>
        </is>
      </c>
      <c r="I43" s="96" t="inlineStr">
        <is>
          <t>VNSGN</t>
        </is>
      </c>
      <c r="J43" s="96" t="inlineStr">
        <is>
          <t>VNSGN</t>
        </is>
      </c>
      <c r="K43" s="96" t="inlineStr">
        <is>
          <t>F</t>
        </is>
      </c>
      <c r="L43" s="96" t="inlineStr">
        <is>
          <t>OWN</t>
        </is>
      </c>
      <c r="M43" s="96" t="inlineStr">
        <is>
          <t>VFL</t>
        </is>
      </c>
      <c r="N43" s="96" t="inlineStr">
        <is>
          <t>BKK04</t>
        </is>
      </c>
      <c r="O43" s="96" t="inlineStr">
        <is>
          <t>BKK</t>
        </is>
      </c>
      <c r="P43" s="96" t="inlineStr">
        <is>
          <t>TH</t>
        </is>
      </c>
      <c r="Q43" s="96" t="inlineStr">
        <is>
          <t>HASLS22260901076</t>
        </is>
      </c>
      <c r="R43" s="96" t="inlineStr">
        <is>
          <t>N</t>
        </is>
      </c>
      <c r="S43" s="96" t="inlineStr">
        <is>
          <t>N</t>
        </is>
      </c>
      <c r="T43" s="96" t="inlineStr">
        <is>
          <t>BTS</t>
        </is>
      </c>
      <c r="U43" s="97" t="n"/>
      <c r="V43" s="96" t="inlineStr">
        <is>
          <t>C0426001</t>
        </is>
      </c>
      <c r="W43" s="96" t="inlineStr">
        <is>
          <t>EAST-LINK CORPORATION CO., LTD.</t>
        </is>
      </c>
      <c r="X43" s="96" t="inlineStr">
        <is>
          <t>VFD</t>
        </is>
      </c>
      <c r="Y43" s="96" t="inlineStr">
        <is>
          <t>AT ASIA CO.,LTD- BRANCH</t>
        </is>
      </c>
      <c r="Z43" s="96" t="inlineStr">
        <is>
          <t>AT ASIA CO.,LTD- BRANCH</t>
        </is>
      </c>
      <c r="AA43" s="97" t="n">
        <v>4590</v>
      </c>
      <c r="AB43" s="96" t="inlineStr">
        <is>
          <t>BKK04</t>
        </is>
      </c>
      <c r="AC43" s="96" t="inlineStr">
        <is>
          <t>SGN03</t>
        </is>
      </c>
    </row>
    <row r="44" ht="12" customHeight="1">
      <c r="A44" s="96" t="inlineStr">
        <is>
          <t>HALU8506640</t>
        </is>
      </c>
      <c r="B44" s="161" t="inlineStr">
        <is>
          <t>2026-10-08</t>
        </is>
      </c>
      <c r="C44" s="96" t="inlineStr">
        <is>
          <t>SWSP</t>
        </is>
      </c>
      <c r="D44" s="96" t="inlineStr">
        <is>
          <t>2609N</t>
        </is>
      </c>
      <c r="E44" s="96" t="inlineStr">
        <is>
          <t>45RE</t>
        </is>
      </c>
      <c r="F44" s="96" t="inlineStr">
        <is>
          <t>SD</t>
        </is>
      </c>
      <c r="G44" s="96" t="inlineStr">
        <is>
          <t>THBKK</t>
        </is>
      </c>
      <c r="H44" s="96" t="inlineStr">
        <is>
          <t>THBKK</t>
        </is>
      </c>
      <c r="I44" s="96" t="inlineStr">
        <is>
          <t>VNSGN</t>
        </is>
      </c>
      <c r="J44" s="96" t="inlineStr">
        <is>
          <t>VNSGN</t>
        </is>
      </c>
      <c r="K44" s="96" t="inlineStr">
        <is>
          <t>F</t>
        </is>
      </c>
      <c r="L44" s="96" t="inlineStr">
        <is>
          <t>OWN</t>
        </is>
      </c>
      <c r="M44" s="96" t="inlineStr">
        <is>
          <t>VFL</t>
        </is>
      </c>
      <c r="N44" s="96" t="inlineStr">
        <is>
          <t>BKK04</t>
        </is>
      </c>
      <c r="O44" s="96" t="inlineStr">
        <is>
          <t>BKK</t>
        </is>
      </c>
      <c r="P44" s="96" t="inlineStr">
        <is>
          <t>TH</t>
        </is>
      </c>
      <c r="Q44" s="96" t="inlineStr">
        <is>
          <t>HASLS22260900909</t>
        </is>
      </c>
      <c r="R44" s="96" t="inlineStr">
        <is>
          <t>N</t>
        </is>
      </c>
      <c r="S44" s="96" t="inlineStr">
        <is>
          <t>N</t>
        </is>
      </c>
      <c r="T44" s="96" t="inlineStr">
        <is>
          <t>BTS</t>
        </is>
      </c>
      <c r="U44" s="97" t="n"/>
      <c r="V44" s="96" t="inlineStr">
        <is>
          <t>C0825001</t>
        </is>
      </c>
      <c r="W44" s="96" t="inlineStr">
        <is>
          <t>SIAM I-LOGISTICS LTD.</t>
        </is>
      </c>
      <c r="X44" s="96" t="inlineStr">
        <is>
          <t>VFD</t>
        </is>
      </c>
      <c r="Y44" s="96" t="inlineStr">
        <is>
          <t>0319135354 #ITOCHU LOGISTICS</t>
        </is>
      </c>
      <c r="Z44" s="96" t="inlineStr">
        <is>
          <t>0319135354 #ITOCHU LOGISTICS</t>
        </is>
      </c>
      <c r="AA44" s="97" t="n">
        <v>24850</v>
      </c>
      <c r="AB44" s="96" t="inlineStr">
        <is>
          <t>BKK04</t>
        </is>
      </c>
      <c r="AC44" s="96" t="inlineStr">
        <is>
          <t>SGN03</t>
        </is>
      </c>
    </row>
    <row r="45" ht="12" customHeight="1">
      <c r="A45" s="96" t="inlineStr">
        <is>
          <t>HLHU6409055</t>
        </is>
      </c>
      <c r="B45" s="161" t="inlineStr">
        <is>
          <t>2026-10-08</t>
        </is>
      </c>
      <c r="C45" s="96" t="inlineStr">
        <is>
          <t>SWSP</t>
        </is>
      </c>
      <c r="D45" s="96" t="inlineStr">
        <is>
          <t>2609N</t>
        </is>
      </c>
      <c r="E45" s="96" t="inlineStr">
        <is>
          <t>45GP</t>
        </is>
      </c>
      <c r="F45" s="96" t="inlineStr">
        <is>
          <t>SD</t>
        </is>
      </c>
      <c r="G45" s="96" t="inlineStr">
        <is>
          <t>THBKK</t>
        </is>
      </c>
      <c r="H45" s="96" t="inlineStr">
        <is>
          <t>THBKK</t>
        </is>
      </c>
      <c r="I45" s="96" t="inlineStr">
        <is>
          <t>VNSGN</t>
        </is>
      </c>
      <c r="J45" s="96" t="inlineStr">
        <is>
          <t>VNSGN</t>
        </is>
      </c>
      <c r="K45" s="96" t="inlineStr">
        <is>
          <t>F</t>
        </is>
      </c>
      <c r="L45" s="96" t="inlineStr">
        <is>
          <t>OWN</t>
        </is>
      </c>
      <c r="M45" s="96" t="inlineStr">
        <is>
          <t>VFL</t>
        </is>
      </c>
      <c r="N45" s="96" t="inlineStr">
        <is>
          <t>BKK04</t>
        </is>
      </c>
      <c r="O45" s="96" t="inlineStr">
        <is>
          <t>BKK</t>
        </is>
      </c>
      <c r="P45" s="96" t="inlineStr">
        <is>
          <t>TH</t>
        </is>
      </c>
      <c r="Q45" s="96" t="inlineStr">
        <is>
          <t>HASLS22260900366</t>
        </is>
      </c>
      <c r="R45" s="96" t="inlineStr">
        <is>
          <t>N</t>
        </is>
      </c>
      <c r="S45" s="96" t="inlineStr">
        <is>
          <t>N</t>
        </is>
      </c>
      <c r="T45" s="96" t="inlineStr">
        <is>
          <t>BTS</t>
        </is>
      </c>
      <c r="U45" s="97" t="n"/>
      <c r="V45" s="96" t="inlineStr">
        <is>
          <t>C0724001</t>
        </is>
      </c>
      <c r="W45" s="96" t="inlineStr">
        <is>
          <t>ASIA-PACIFIC LOGISTICS CO., LTD.</t>
        </is>
      </c>
      <c r="X45" s="96" t="inlineStr">
        <is>
          <t>VFD</t>
        </is>
      </c>
      <c r="Y45" s="96" t="inlineStr">
        <is>
          <t>SPEED LOGS CO., LTD</t>
        </is>
      </c>
      <c r="Z45" s="96" t="inlineStr">
        <is>
          <t>SPEED LOGS CO., LTD</t>
        </is>
      </c>
      <c r="AA45" s="97" t="n">
        <v>12861.4</v>
      </c>
      <c r="AB45" s="96" t="inlineStr">
        <is>
          <t>BKK04</t>
        </is>
      </c>
      <c r="AC45" s="96" t="inlineStr">
        <is>
          <t>SGN03</t>
        </is>
      </c>
    </row>
    <row r="46" ht="12" customHeight="1">
      <c r="A46" s="96" t="inlineStr">
        <is>
          <t>HLHU6411582</t>
        </is>
      </c>
      <c r="B46" s="161" t="inlineStr">
        <is>
          <t>2026-10-08</t>
        </is>
      </c>
      <c r="C46" s="96" t="inlineStr">
        <is>
          <t>SWSP</t>
        </is>
      </c>
      <c r="D46" s="96" t="inlineStr">
        <is>
          <t>2609N</t>
        </is>
      </c>
      <c r="E46" s="96" t="inlineStr">
        <is>
          <t>45GP</t>
        </is>
      </c>
      <c r="F46" s="96" t="inlineStr">
        <is>
          <t>SD</t>
        </is>
      </c>
      <c r="G46" s="96" t="inlineStr">
        <is>
          <t>THBKK</t>
        </is>
      </c>
      <c r="H46" s="96" t="inlineStr">
        <is>
          <t>THBKK</t>
        </is>
      </c>
      <c r="I46" s="96" t="inlineStr">
        <is>
          <t>VNSGN</t>
        </is>
      </c>
      <c r="J46" s="96" t="inlineStr">
        <is>
          <t>VNSGN</t>
        </is>
      </c>
      <c r="K46" s="96" t="inlineStr">
        <is>
          <t>F</t>
        </is>
      </c>
      <c r="L46" s="96" t="inlineStr">
        <is>
          <t>OWN</t>
        </is>
      </c>
      <c r="M46" s="96" t="inlineStr">
        <is>
          <t>VFL</t>
        </is>
      </c>
      <c r="N46" s="96" t="inlineStr">
        <is>
          <t>BKK04</t>
        </is>
      </c>
      <c r="O46" s="96" t="inlineStr">
        <is>
          <t>BKK</t>
        </is>
      </c>
      <c r="P46" s="96" t="inlineStr">
        <is>
          <t>TH</t>
        </is>
      </c>
      <c r="Q46" s="96" t="inlineStr">
        <is>
          <t>HASLS22260900586</t>
        </is>
      </c>
      <c r="R46" s="96" t="inlineStr">
        <is>
          <t>N</t>
        </is>
      </c>
      <c r="S46" s="96" t="inlineStr">
        <is>
          <t>N</t>
        </is>
      </c>
      <c r="T46" s="96" t="inlineStr">
        <is>
          <t>BTS</t>
        </is>
      </c>
      <c r="U46" s="97" t="n"/>
      <c r="V46" s="96" t="inlineStr">
        <is>
          <t>C0724001</t>
        </is>
      </c>
      <c r="W46" s="96" t="inlineStr">
        <is>
          <t>BIRLA CARBON (THAILAND) PUBLIC</t>
        </is>
      </c>
      <c r="X46" s="96" t="inlineStr">
        <is>
          <t>VFD</t>
        </is>
      </c>
      <c r="Y46" s="96" t="inlineStr">
        <is>
          <t>JINYU (VIETNAM) TIRE CO.,LTD</t>
        </is>
      </c>
      <c r="Z46" s="96" t="inlineStr">
        <is>
          <t>JINYU (VIETNAM) TIRE CO.,LTD</t>
        </is>
      </c>
      <c r="AA46" s="97" t="n">
        <v>22308</v>
      </c>
      <c r="AB46" s="96" t="inlineStr">
        <is>
          <t>BKK04</t>
        </is>
      </c>
      <c r="AC46" s="96" t="inlineStr">
        <is>
          <t>SGN03</t>
        </is>
      </c>
    </row>
    <row r="47" ht="12" customHeight="1">
      <c r="A47" s="96" t="inlineStr">
        <is>
          <t>HLHU8103742</t>
        </is>
      </c>
      <c r="B47" s="161" t="inlineStr">
        <is>
          <t>2026-10-08</t>
        </is>
      </c>
      <c r="C47" s="96" t="inlineStr">
        <is>
          <t>SWSP</t>
        </is>
      </c>
      <c r="D47" s="96" t="inlineStr">
        <is>
          <t>2609N</t>
        </is>
      </c>
      <c r="E47" s="96" t="inlineStr">
        <is>
          <t>45GP</t>
        </is>
      </c>
      <c r="F47" s="96" t="inlineStr">
        <is>
          <t>SD</t>
        </is>
      </c>
      <c r="G47" s="96" t="inlineStr">
        <is>
          <t>THBKK</t>
        </is>
      </c>
      <c r="H47" s="96" t="inlineStr">
        <is>
          <t>THBKK</t>
        </is>
      </c>
      <c r="I47" s="96" t="inlineStr">
        <is>
          <t>VNSGN</t>
        </is>
      </c>
      <c r="J47" s="96" t="inlineStr">
        <is>
          <t>VNSGN</t>
        </is>
      </c>
      <c r="K47" s="96" t="inlineStr">
        <is>
          <t>F</t>
        </is>
      </c>
      <c r="L47" s="96" t="inlineStr">
        <is>
          <t>OWN</t>
        </is>
      </c>
      <c r="M47" s="96" t="inlineStr">
        <is>
          <t>VFL</t>
        </is>
      </c>
      <c r="N47" s="96" t="inlineStr">
        <is>
          <t>BKK04</t>
        </is>
      </c>
      <c r="O47" s="96" t="inlineStr">
        <is>
          <t>BKK</t>
        </is>
      </c>
      <c r="P47" s="96" t="inlineStr">
        <is>
          <t>TH</t>
        </is>
      </c>
      <c r="Q47" s="96" t="inlineStr">
        <is>
          <t>HASLS22260900734</t>
        </is>
      </c>
      <c r="R47" s="96" t="inlineStr">
        <is>
          <t>N</t>
        </is>
      </c>
      <c r="S47" s="96" t="inlineStr">
        <is>
          <t>N</t>
        </is>
      </c>
      <c r="T47" s="96" t="inlineStr">
        <is>
          <t>BTS</t>
        </is>
      </c>
      <c r="U47" s="97" t="n"/>
      <c r="V47" s="96" t="inlineStr">
        <is>
          <t>C0121003</t>
        </is>
      </c>
      <c r="W47" s="96" t="inlineStr">
        <is>
          <t>LOGMAN INTERNATIONAL CO.,LTD.</t>
        </is>
      </c>
      <c r="X47" s="96" t="inlineStr">
        <is>
          <t>VFD</t>
        </is>
      </c>
      <c r="Y47" s="96" t="inlineStr">
        <is>
          <t>CARGOES LINKS TRANSPORTATION CO LTD</t>
        </is>
      </c>
      <c r="Z47" s="96" t="inlineStr">
        <is>
          <t>CARGOES LINKS TRANSPORTATION CO LTD</t>
        </is>
      </c>
      <c r="AA47" s="97" t="n">
        <v>16494.51</v>
      </c>
      <c r="AB47" s="96" t="inlineStr">
        <is>
          <t>BKK04</t>
        </is>
      </c>
      <c r="AC47" s="96" t="inlineStr">
        <is>
          <t>SGN03</t>
        </is>
      </c>
    </row>
    <row r="48" ht="12" customHeight="1">
      <c r="A48" s="96" t="inlineStr">
        <is>
          <t>HLHU8200676</t>
        </is>
      </c>
      <c r="B48" s="161" t="inlineStr">
        <is>
          <t>2026-10-08</t>
        </is>
      </c>
      <c r="C48" s="96" t="inlineStr">
        <is>
          <t>SWSP</t>
        </is>
      </c>
      <c r="D48" s="96" t="inlineStr">
        <is>
          <t>2609N</t>
        </is>
      </c>
      <c r="E48" s="96" t="inlineStr">
        <is>
          <t>45GP</t>
        </is>
      </c>
      <c r="F48" s="96" t="inlineStr">
        <is>
          <t>SD</t>
        </is>
      </c>
      <c r="G48" s="96" t="inlineStr">
        <is>
          <t>THBKK</t>
        </is>
      </c>
      <c r="H48" s="96" t="inlineStr">
        <is>
          <t>THBKK</t>
        </is>
      </c>
      <c r="I48" s="96" t="inlineStr">
        <is>
          <t>VNSGN</t>
        </is>
      </c>
      <c r="J48" s="96" t="inlineStr">
        <is>
          <t>VNSGN</t>
        </is>
      </c>
      <c r="K48" s="96" t="inlineStr">
        <is>
          <t>F</t>
        </is>
      </c>
      <c r="L48" s="96" t="inlineStr">
        <is>
          <t>OWN</t>
        </is>
      </c>
      <c r="M48" s="96" t="inlineStr">
        <is>
          <t>VFL</t>
        </is>
      </c>
      <c r="N48" s="96" t="inlineStr">
        <is>
          <t>BKK04</t>
        </is>
      </c>
      <c r="O48" s="96" t="inlineStr">
        <is>
          <t>BKK</t>
        </is>
      </c>
      <c r="P48" s="96" t="inlineStr">
        <is>
          <t>TH</t>
        </is>
      </c>
      <c r="Q48" s="96" t="inlineStr">
        <is>
          <t>HASLS22260901690</t>
        </is>
      </c>
      <c r="R48" s="96" t="inlineStr">
        <is>
          <t>N</t>
        </is>
      </c>
      <c r="S48" s="96" t="inlineStr">
        <is>
          <t>N</t>
        </is>
      </c>
      <c r="T48" s="96" t="inlineStr">
        <is>
          <t>BTS</t>
        </is>
      </c>
      <c r="U48" s="97" t="n"/>
      <c r="V48" s="96" t="inlineStr">
        <is>
          <t>C0722004</t>
        </is>
      </c>
      <c r="W48" s="96" t="inlineStr">
        <is>
          <t>BEE LOGISTICS (THAILAND) CO., LTD.</t>
        </is>
      </c>
      <c r="X48" s="96" t="inlineStr">
        <is>
          <t>VFD</t>
        </is>
      </c>
      <c r="Y48" s="96" t="inlineStr">
        <is>
          <t>BOND GLOBAL LOGISTICS JOINT STOCK</t>
        </is>
      </c>
      <c r="Z48" s="96" t="inlineStr">
        <is>
          <t>BOND GLOBAL LOGISTICS JOINT STOCK</t>
        </is>
      </c>
      <c r="AA48" s="97" t="n">
        <v>19096</v>
      </c>
      <c r="AB48" s="96" t="inlineStr">
        <is>
          <t>BKK04</t>
        </is>
      </c>
      <c r="AC48" s="96" t="inlineStr">
        <is>
          <t>SGN03</t>
        </is>
      </c>
    </row>
    <row r="49" ht="12" customHeight="1">
      <c r="A49" s="96" t="inlineStr">
        <is>
          <t>HLHU8309306</t>
        </is>
      </c>
      <c r="B49" s="161" t="inlineStr">
        <is>
          <t>2026-10-08</t>
        </is>
      </c>
      <c r="C49" s="96" t="inlineStr">
        <is>
          <t>SWSP</t>
        </is>
      </c>
      <c r="D49" s="96" t="inlineStr">
        <is>
          <t>2609N</t>
        </is>
      </c>
      <c r="E49" s="96" t="inlineStr">
        <is>
          <t>45GP</t>
        </is>
      </c>
      <c r="F49" s="96" t="inlineStr">
        <is>
          <t>SD</t>
        </is>
      </c>
      <c r="G49" s="96" t="inlineStr">
        <is>
          <t>THBKK</t>
        </is>
      </c>
      <c r="H49" s="96" t="inlineStr">
        <is>
          <t>THBKK</t>
        </is>
      </c>
      <c r="I49" s="96" t="inlineStr">
        <is>
          <t>VNSGN</t>
        </is>
      </c>
      <c r="J49" s="96" t="inlineStr">
        <is>
          <t>VNSGN</t>
        </is>
      </c>
      <c r="K49" s="96" t="inlineStr">
        <is>
          <t>F</t>
        </is>
      </c>
      <c r="L49" s="96" t="inlineStr">
        <is>
          <t>OWN</t>
        </is>
      </c>
      <c r="M49" s="96" t="inlineStr">
        <is>
          <t>VFL</t>
        </is>
      </c>
      <c r="N49" s="96" t="inlineStr">
        <is>
          <t>BKK04</t>
        </is>
      </c>
      <c r="O49" s="96" t="inlineStr">
        <is>
          <t>BKK</t>
        </is>
      </c>
      <c r="P49" s="96" t="inlineStr">
        <is>
          <t>TH</t>
        </is>
      </c>
      <c r="Q49" s="96" t="inlineStr">
        <is>
          <t>HASLS22260901811</t>
        </is>
      </c>
      <c r="R49" s="96" t="inlineStr">
        <is>
          <t>N</t>
        </is>
      </c>
      <c r="S49" s="96" t="inlineStr">
        <is>
          <t>N</t>
        </is>
      </c>
      <c r="T49" s="96" t="inlineStr">
        <is>
          <t>BTS</t>
        </is>
      </c>
      <c r="U49" s="97" t="n"/>
      <c r="V49" s="96" t="inlineStr">
        <is>
          <t>C0123003</t>
        </is>
      </c>
      <c r="W49" s="96" t="inlineStr">
        <is>
          <t>BRIO LOGISTICS (THAILAND) CO.,LTD.</t>
        </is>
      </c>
      <c r="X49" s="96" t="inlineStr">
        <is>
          <t>VFD</t>
        </is>
      </c>
      <c r="Y49" s="96" t="inlineStr">
        <is>
          <t>PROSPEROUS CARGO TRANSPORTATION</t>
        </is>
      </c>
      <c r="Z49" s="96" t="inlineStr">
        <is>
          <t>PROSPEROUS CARGO TRANSPORTATION</t>
        </is>
      </c>
      <c r="AA49" s="97" t="n">
        <v>16868</v>
      </c>
      <c r="AB49" s="96" t="inlineStr">
        <is>
          <t>BKK04</t>
        </is>
      </c>
      <c r="AC49" s="96" t="inlineStr">
        <is>
          <t>SGN03</t>
        </is>
      </c>
    </row>
    <row r="50" ht="12" customHeight="1">
      <c r="A50" s="96" t="inlineStr">
        <is>
          <t>HLHU8311469</t>
        </is>
      </c>
      <c r="B50" s="161" t="inlineStr">
        <is>
          <t>2026-10-08</t>
        </is>
      </c>
      <c r="C50" s="96" t="inlineStr">
        <is>
          <t>SWSP</t>
        </is>
      </c>
      <c r="D50" s="96" t="inlineStr">
        <is>
          <t>2609N</t>
        </is>
      </c>
      <c r="E50" s="96" t="inlineStr">
        <is>
          <t>45GP</t>
        </is>
      </c>
      <c r="F50" s="96" t="inlineStr">
        <is>
          <t>SD</t>
        </is>
      </c>
      <c r="G50" s="96" t="inlineStr">
        <is>
          <t>THBKK</t>
        </is>
      </c>
      <c r="H50" s="96" t="inlineStr">
        <is>
          <t>THBKK</t>
        </is>
      </c>
      <c r="I50" s="96" t="inlineStr">
        <is>
          <t>VNSGN</t>
        </is>
      </c>
      <c r="J50" s="96" t="inlineStr">
        <is>
          <t>VNSGN</t>
        </is>
      </c>
      <c r="K50" s="96" t="inlineStr">
        <is>
          <t>F</t>
        </is>
      </c>
      <c r="L50" s="96" t="inlineStr">
        <is>
          <t>OWN</t>
        </is>
      </c>
      <c r="M50" s="96" t="inlineStr">
        <is>
          <t>VFL</t>
        </is>
      </c>
      <c r="N50" s="96" t="inlineStr">
        <is>
          <t>BKK04</t>
        </is>
      </c>
      <c r="O50" s="96" t="inlineStr">
        <is>
          <t>BKK</t>
        </is>
      </c>
      <c r="P50" s="96" t="inlineStr">
        <is>
          <t>TH</t>
        </is>
      </c>
      <c r="Q50" s="96" t="inlineStr">
        <is>
          <t>HASLS22260902210</t>
        </is>
      </c>
      <c r="R50" s="96" t="inlineStr">
        <is>
          <t>N</t>
        </is>
      </c>
      <c r="S50" s="96" t="inlineStr">
        <is>
          <t>N</t>
        </is>
      </c>
      <c r="T50" s="96" t="inlineStr">
        <is>
          <t>BTS</t>
        </is>
      </c>
      <c r="U50" s="97" t="n"/>
      <c r="V50" s="96" t="inlineStr">
        <is>
          <t>C5623001</t>
        </is>
      </c>
      <c r="W50" s="96" t="inlineStr">
        <is>
          <t>CAPRICORN LOGISTICS CO.,LTD.</t>
        </is>
      </c>
      <c r="X50" s="96" t="inlineStr">
        <is>
          <t>VFD</t>
        </is>
      </c>
      <c r="Y50" s="96" t="inlineStr">
        <is>
          <t>GIA NGUYEN INT'L LOGISTICS CO., LTD</t>
        </is>
      </c>
      <c r="Z50" s="96" t="inlineStr">
        <is>
          <t>GIA NGUYEN INT'L LOGISTICS CO., LTD</t>
        </is>
      </c>
      <c r="AA50" s="97" t="n">
        <v>5270.53</v>
      </c>
      <c r="AB50" s="96" t="inlineStr">
        <is>
          <t>BKK04</t>
        </is>
      </c>
      <c r="AC50" s="96" t="inlineStr">
        <is>
          <t>SGN03</t>
        </is>
      </c>
    </row>
    <row r="51" ht="12" customHeight="1">
      <c r="A51" s="96" t="inlineStr">
        <is>
          <t>HLHU8328348</t>
        </is>
      </c>
      <c r="B51" s="161" t="inlineStr">
        <is>
          <t>2026-10-08</t>
        </is>
      </c>
      <c r="C51" s="96" t="inlineStr">
        <is>
          <t>SWSP</t>
        </is>
      </c>
      <c r="D51" s="96" t="inlineStr">
        <is>
          <t>2609N</t>
        </is>
      </c>
      <c r="E51" s="96" t="inlineStr">
        <is>
          <t>45GP</t>
        </is>
      </c>
      <c r="F51" s="96" t="inlineStr">
        <is>
          <t>SD</t>
        </is>
      </c>
      <c r="G51" s="96" t="inlineStr">
        <is>
          <t>THBKK</t>
        </is>
      </c>
      <c r="H51" s="96" t="inlineStr">
        <is>
          <t>THBKK</t>
        </is>
      </c>
      <c r="I51" s="96" t="inlineStr">
        <is>
          <t>VNSGN</t>
        </is>
      </c>
      <c r="J51" s="96" t="inlineStr">
        <is>
          <t>VNSGN</t>
        </is>
      </c>
      <c r="K51" s="96" t="inlineStr">
        <is>
          <t>F</t>
        </is>
      </c>
      <c r="L51" s="96" t="inlineStr">
        <is>
          <t>OWN</t>
        </is>
      </c>
      <c r="M51" s="96" t="inlineStr">
        <is>
          <t>VFL</t>
        </is>
      </c>
      <c r="N51" s="96" t="inlineStr">
        <is>
          <t>BKK04</t>
        </is>
      </c>
      <c r="O51" s="96" t="inlineStr">
        <is>
          <t>BKK</t>
        </is>
      </c>
      <c r="P51" s="96" t="inlineStr">
        <is>
          <t>TH</t>
        </is>
      </c>
      <c r="Q51" s="96" t="inlineStr">
        <is>
          <t>HASLS22260900586</t>
        </is>
      </c>
      <c r="R51" s="96" t="inlineStr">
        <is>
          <t>N</t>
        </is>
      </c>
      <c r="S51" s="96" t="inlineStr">
        <is>
          <t>N</t>
        </is>
      </c>
      <c r="T51" s="96" t="inlineStr">
        <is>
          <t>BTS</t>
        </is>
      </c>
      <c r="U51" s="97" t="n"/>
      <c r="V51" s="96" t="inlineStr">
        <is>
          <t>C0623001</t>
        </is>
      </c>
      <c r="W51" s="96" t="inlineStr">
        <is>
          <t>BIRLA CARBON (THAILAND) PUBLIC</t>
        </is>
      </c>
      <c r="X51" s="96" t="inlineStr">
        <is>
          <t>VFD</t>
        </is>
      </c>
      <c r="Y51" s="96" t="inlineStr">
        <is>
          <t>JINYU (VIETNAM) TIRE CO.,LTD</t>
        </is>
      </c>
      <c r="Z51" s="96" t="inlineStr">
        <is>
          <t>JINYU (VIETNAM) TIRE CO.,LTD</t>
        </is>
      </c>
      <c r="AA51" s="97" t="n">
        <v>22308</v>
      </c>
      <c r="AB51" s="96" t="inlineStr">
        <is>
          <t>BKK04</t>
        </is>
      </c>
      <c r="AC51" s="96" t="inlineStr">
        <is>
          <t>SGN03</t>
        </is>
      </c>
    </row>
    <row r="52" ht="12" customHeight="1">
      <c r="A52" s="96" t="inlineStr">
        <is>
          <t>HLHU8343300</t>
        </is>
      </c>
      <c r="B52" s="161" t="inlineStr">
        <is>
          <t>2026-10-08</t>
        </is>
      </c>
      <c r="C52" s="96" t="inlineStr">
        <is>
          <t>SWSP</t>
        </is>
      </c>
      <c r="D52" s="96" t="inlineStr">
        <is>
          <t>2609N</t>
        </is>
      </c>
      <c r="E52" s="96" t="inlineStr">
        <is>
          <t>45GP</t>
        </is>
      </c>
      <c r="F52" s="96" t="inlineStr">
        <is>
          <t>SD</t>
        </is>
      </c>
      <c r="G52" s="96" t="inlineStr">
        <is>
          <t>THBKK</t>
        </is>
      </c>
      <c r="H52" s="96" t="inlineStr">
        <is>
          <t>THBKK</t>
        </is>
      </c>
      <c r="I52" s="96" t="inlineStr">
        <is>
          <t>VNSGN</t>
        </is>
      </c>
      <c r="J52" s="96" t="inlineStr">
        <is>
          <t>VNSGN</t>
        </is>
      </c>
      <c r="K52" s="96" t="inlineStr">
        <is>
          <t>F</t>
        </is>
      </c>
      <c r="L52" s="96" t="inlineStr">
        <is>
          <t>OWN</t>
        </is>
      </c>
      <c r="M52" s="96" t="inlineStr">
        <is>
          <t>VFL</t>
        </is>
      </c>
      <c r="N52" s="96" t="inlineStr">
        <is>
          <t>BKK04</t>
        </is>
      </c>
      <c r="O52" s="96" t="inlineStr">
        <is>
          <t>BKK</t>
        </is>
      </c>
      <c r="P52" s="96" t="inlineStr">
        <is>
          <t>TH</t>
        </is>
      </c>
      <c r="Q52" s="96" t="inlineStr">
        <is>
          <t>HASLS22260901036</t>
        </is>
      </c>
      <c r="R52" s="96" t="inlineStr">
        <is>
          <t>N</t>
        </is>
      </c>
      <c r="S52" s="96" t="inlineStr">
        <is>
          <t>N</t>
        </is>
      </c>
      <c r="T52" s="96" t="inlineStr">
        <is>
          <t>BTS</t>
        </is>
      </c>
      <c r="U52" s="97" t="n"/>
      <c r="V52" s="96" t="inlineStr">
        <is>
          <t>C0723003</t>
        </is>
      </c>
      <c r="W52" s="96" t="inlineStr">
        <is>
          <t>KANGWAL POLYESTER CO., LTD.</t>
        </is>
      </c>
      <c r="X52" s="96" t="inlineStr">
        <is>
          <t>VFD</t>
        </is>
      </c>
      <c r="Y52" s="96" t="inlineStr">
        <is>
          <t>TO ORDER OF VIETNAM INTERNATIONAL</t>
        </is>
      </c>
      <c r="Z52" s="96" t="inlineStr">
        <is>
          <t>VIET THANG CORPORATION (VICOTEX)</t>
        </is>
      </c>
      <c r="AA52" s="97" t="n">
        <v>25169.3</v>
      </c>
      <c r="AB52" s="96" t="inlineStr">
        <is>
          <t>BKK04</t>
        </is>
      </c>
      <c r="AC52" s="96" t="inlineStr">
        <is>
          <t>SGN03</t>
        </is>
      </c>
    </row>
    <row r="53" ht="12" customHeight="1">
      <c r="A53" s="96" t="inlineStr">
        <is>
          <t>HLHU8350819</t>
        </is>
      </c>
      <c r="B53" s="161" t="inlineStr">
        <is>
          <t>2026-10-08</t>
        </is>
      </c>
      <c r="C53" s="96" t="inlineStr">
        <is>
          <t>SWSP</t>
        </is>
      </c>
      <c r="D53" s="96" t="inlineStr">
        <is>
          <t>2609N</t>
        </is>
      </c>
      <c r="E53" s="96" t="inlineStr">
        <is>
          <t>45GP</t>
        </is>
      </c>
      <c r="F53" s="96" t="inlineStr">
        <is>
          <t>SD</t>
        </is>
      </c>
      <c r="G53" s="96" t="inlineStr">
        <is>
          <t>THBKK</t>
        </is>
      </c>
      <c r="H53" s="96" t="inlineStr">
        <is>
          <t>THBKK</t>
        </is>
      </c>
      <c r="I53" s="96" t="inlineStr">
        <is>
          <t>VNSGN</t>
        </is>
      </c>
      <c r="J53" s="96" t="inlineStr">
        <is>
          <t>VNSGN</t>
        </is>
      </c>
      <c r="K53" s="96" t="inlineStr">
        <is>
          <t>F</t>
        </is>
      </c>
      <c r="L53" s="96" t="inlineStr">
        <is>
          <t>OWN</t>
        </is>
      </c>
      <c r="M53" s="96" t="inlineStr">
        <is>
          <t>VFL</t>
        </is>
      </c>
      <c r="N53" s="96" t="inlineStr">
        <is>
          <t>BKK04</t>
        </is>
      </c>
      <c r="O53" s="96" t="inlineStr">
        <is>
          <t>BKK</t>
        </is>
      </c>
      <c r="P53" s="96" t="inlineStr">
        <is>
          <t>TH</t>
        </is>
      </c>
      <c r="Q53" s="96" t="inlineStr">
        <is>
          <t>HASLS22260902260</t>
        </is>
      </c>
      <c r="R53" s="96" t="inlineStr">
        <is>
          <t>N</t>
        </is>
      </c>
      <c r="S53" s="96" t="inlineStr">
        <is>
          <t>N</t>
        </is>
      </c>
      <c r="T53" s="96" t="inlineStr">
        <is>
          <t>BTS</t>
        </is>
      </c>
      <c r="U53" s="97" t="n"/>
      <c r="V53" s="96" t="inlineStr">
        <is>
          <t>C0723003</t>
        </is>
      </c>
      <c r="W53" s="96" t="inlineStr">
        <is>
          <t>CAPRICORN LOGISTICS CO.,LTD.</t>
        </is>
      </c>
      <c r="X53" s="96" t="inlineStr">
        <is>
          <t>VFD</t>
        </is>
      </c>
      <c r="Y53" s="96" t="inlineStr">
        <is>
          <t>BLUE OCEAN INTERNATIONAL</t>
        </is>
      </c>
      <c r="Z53" s="96" t="inlineStr">
        <is>
          <t>BLUE OCEAN INTERNATIONAL</t>
        </is>
      </c>
      <c r="AA53" s="97" t="n">
        <v>9306</v>
      </c>
      <c r="AB53" s="96" t="inlineStr">
        <is>
          <t>BKK04</t>
        </is>
      </c>
      <c r="AC53" s="96" t="inlineStr">
        <is>
          <t>SGN03</t>
        </is>
      </c>
    </row>
    <row r="54" ht="12" customHeight="1">
      <c r="A54" s="96" t="inlineStr">
        <is>
          <t>HLHU8375400</t>
        </is>
      </c>
      <c r="B54" s="161" t="inlineStr">
        <is>
          <t>2026-10-08</t>
        </is>
      </c>
      <c r="C54" s="96" t="inlineStr">
        <is>
          <t>SWSP</t>
        </is>
      </c>
      <c r="D54" s="96" t="inlineStr">
        <is>
          <t>2609N</t>
        </is>
      </c>
      <c r="E54" s="96" t="inlineStr">
        <is>
          <t>45GP</t>
        </is>
      </c>
      <c r="F54" s="96" t="inlineStr">
        <is>
          <t>SD</t>
        </is>
      </c>
      <c r="G54" s="96" t="inlineStr">
        <is>
          <t>THBKK</t>
        </is>
      </c>
      <c r="H54" s="96" t="inlineStr">
        <is>
          <t>THBKK</t>
        </is>
      </c>
      <c r="I54" s="96" t="inlineStr">
        <is>
          <t>VNSGN</t>
        </is>
      </c>
      <c r="J54" s="96" t="inlineStr">
        <is>
          <t>VNSGN</t>
        </is>
      </c>
      <c r="K54" s="96" t="inlineStr">
        <is>
          <t>F</t>
        </is>
      </c>
      <c r="L54" s="96" t="inlineStr">
        <is>
          <t>OWN</t>
        </is>
      </c>
      <c r="M54" s="96" t="inlineStr">
        <is>
          <t>VFL</t>
        </is>
      </c>
      <c r="N54" s="96" t="inlineStr">
        <is>
          <t>BKK04</t>
        </is>
      </c>
      <c r="O54" s="96" t="inlineStr">
        <is>
          <t>BKK</t>
        </is>
      </c>
      <c r="P54" s="96" t="inlineStr">
        <is>
          <t>TH</t>
        </is>
      </c>
      <c r="Q54" s="96" t="inlineStr">
        <is>
          <t>HASLS22260900586</t>
        </is>
      </c>
      <c r="R54" s="96" t="inlineStr">
        <is>
          <t>N</t>
        </is>
      </c>
      <c r="S54" s="96" t="inlineStr">
        <is>
          <t>N</t>
        </is>
      </c>
      <c r="T54" s="96" t="inlineStr">
        <is>
          <t>BTS</t>
        </is>
      </c>
      <c r="U54" s="97" t="n"/>
      <c r="V54" s="96" t="inlineStr">
        <is>
          <t>C0523003</t>
        </is>
      </c>
      <c r="W54" s="96" t="inlineStr">
        <is>
          <t>BIRLA CARBON (THAILAND) PUBLIC</t>
        </is>
      </c>
      <c r="X54" s="96" t="inlineStr">
        <is>
          <t>VFD</t>
        </is>
      </c>
      <c r="Y54" s="96" t="inlineStr">
        <is>
          <t>JINYU (VIETNAM) TIRE CO.,LTD</t>
        </is>
      </c>
      <c r="Z54" s="96" t="inlineStr">
        <is>
          <t>JINYU (VIETNAM) TIRE CO.,LTD</t>
        </is>
      </c>
      <c r="AA54" s="97" t="n">
        <v>22308</v>
      </c>
      <c r="AB54" s="96" t="inlineStr">
        <is>
          <t>BKK04</t>
        </is>
      </c>
      <c r="AC54" s="96" t="inlineStr">
        <is>
          <t>SGN03</t>
        </is>
      </c>
    </row>
    <row r="55" ht="12" customHeight="1">
      <c r="A55" s="96" t="inlineStr">
        <is>
          <t>HLHU8376979</t>
        </is>
      </c>
      <c r="B55" s="161" t="inlineStr">
        <is>
          <t>2026-10-08</t>
        </is>
      </c>
      <c r="C55" s="96" t="inlineStr">
        <is>
          <t>SWSP</t>
        </is>
      </c>
      <c r="D55" s="96" t="inlineStr">
        <is>
          <t>2609N</t>
        </is>
      </c>
      <c r="E55" s="96" t="inlineStr">
        <is>
          <t>45GP</t>
        </is>
      </c>
      <c r="F55" s="96" t="inlineStr">
        <is>
          <t>SD</t>
        </is>
      </c>
      <c r="G55" s="96" t="inlineStr">
        <is>
          <t>THBKK</t>
        </is>
      </c>
      <c r="H55" s="96" t="inlineStr">
        <is>
          <t>THBKK</t>
        </is>
      </c>
      <c r="I55" s="96" t="inlineStr">
        <is>
          <t>VNSGN</t>
        </is>
      </c>
      <c r="J55" s="96" t="inlineStr">
        <is>
          <t>VNSGN</t>
        </is>
      </c>
      <c r="K55" s="96" t="inlineStr">
        <is>
          <t>F</t>
        </is>
      </c>
      <c r="L55" s="96" t="inlineStr">
        <is>
          <t>OWN</t>
        </is>
      </c>
      <c r="M55" s="96" t="inlineStr">
        <is>
          <t>VFL</t>
        </is>
      </c>
      <c r="N55" s="96" t="inlineStr">
        <is>
          <t>BKK04</t>
        </is>
      </c>
      <c r="O55" s="96" t="inlineStr">
        <is>
          <t>BKK</t>
        </is>
      </c>
      <c r="P55" s="96" t="inlineStr">
        <is>
          <t>TH</t>
        </is>
      </c>
      <c r="Q55" s="96" t="inlineStr">
        <is>
          <t>HASLS22260901688</t>
        </is>
      </c>
      <c r="R55" s="96" t="inlineStr">
        <is>
          <t>N</t>
        </is>
      </c>
      <c r="S55" s="96" t="inlineStr">
        <is>
          <t>N</t>
        </is>
      </c>
      <c r="T55" s="96" t="inlineStr">
        <is>
          <t>BTS</t>
        </is>
      </c>
      <c r="U55" s="97" t="n"/>
      <c r="V55" s="96" t="inlineStr">
        <is>
          <t>C0523003</t>
        </is>
      </c>
      <c r="W55" s="96" t="inlineStr">
        <is>
          <t>METRO PARTICLE CO.,LTD.</t>
        </is>
      </c>
      <c r="X55" s="96" t="inlineStr">
        <is>
          <t>VFD</t>
        </is>
      </c>
      <c r="Y55" s="96" t="inlineStr">
        <is>
          <t>YI LONG VIETNAM FURNITURE CO., LTD.</t>
        </is>
      </c>
      <c r="Z55" s="96" t="inlineStr">
        <is>
          <t>YI LONG VIETNAM FURNITURE CO., LTD.</t>
        </is>
      </c>
      <c r="AA55" s="97" t="n">
        <v>27652</v>
      </c>
      <c r="AB55" s="96" t="inlineStr">
        <is>
          <t>BKK04</t>
        </is>
      </c>
      <c r="AC55" s="96" t="inlineStr">
        <is>
          <t>SGN03</t>
        </is>
      </c>
    </row>
    <row r="56" ht="12" customHeight="1">
      <c r="A56" s="96" t="inlineStr">
        <is>
          <t>HLHU8400329</t>
        </is>
      </c>
      <c r="B56" s="161" t="inlineStr">
        <is>
          <t>2026-10-08</t>
        </is>
      </c>
      <c r="C56" s="96" t="inlineStr">
        <is>
          <t>SWSP</t>
        </is>
      </c>
      <c r="D56" s="96" t="inlineStr">
        <is>
          <t>2609N</t>
        </is>
      </c>
      <c r="E56" s="96" t="inlineStr">
        <is>
          <t>45GP</t>
        </is>
      </c>
      <c r="F56" s="96" t="inlineStr">
        <is>
          <t>SD</t>
        </is>
      </c>
      <c r="G56" s="96" t="inlineStr">
        <is>
          <t>THBKK</t>
        </is>
      </c>
      <c r="H56" s="96" t="inlineStr">
        <is>
          <t>THBKK</t>
        </is>
      </c>
      <c r="I56" s="96" t="inlineStr">
        <is>
          <t>VNSGN</t>
        </is>
      </c>
      <c r="J56" s="96" t="inlineStr">
        <is>
          <t>VNSGN</t>
        </is>
      </c>
      <c r="K56" s="96" t="inlineStr">
        <is>
          <t>F</t>
        </is>
      </c>
      <c r="L56" s="96" t="inlineStr">
        <is>
          <t>OWN</t>
        </is>
      </c>
      <c r="M56" s="96" t="inlineStr">
        <is>
          <t>VFL</t>
        </is>
      </c>
      <c r="N56" s="96" t="inlineStr">
        <is>
          <t>BKK04</t>
        </is>
      </c>
      <c r="O56" s="96" t="inlineStr">
        <is>
          <t>BKK</t>
        </is>
      </c>
      <c r="P56" s="96" t="inlineStr">
        <is>
          <t>TH</t>
        </is>
      </c>
      <c r="Q56" s="96" t="inlineStr">
        <is>
          <t>HASLS22260901036</t>
        </is>
      </c>
      <c r="R56" s="96" t="inlineStr">
        <is>
          <t>N</t>
        </is>
      </c>
      <c r="S56" s="96" t="inlineStr">
        <is>
          <t>N</t>
        </is>
      </c>
      <c r="T56" s="96" t="inlineStr">
        <is>
          <t>BTS</t>
        </is>
      </c>
      <c r="U56" s="97" t="n"/>
      <c r="V56" s="96" t="inlineStr">
        <is>
          <t>C0124001</t>
        </is>
      </c>
      <c r="W56" s="96" t="inlineStr">
        <is>
          <t>KANGWAL POLYESTER CO., LTD.</t>
        </is>
      </c>
      <c r="X56" s="96" t="inlineStr">
        <is>
          <t>VFD</t>
        </is>
      </c>
      <c r="Y56" s="96" t="inlineStr">
        <is>
          <t>TO ORDER OF VIETNAM INTERNATIONAL</t>
        </is>
      </c>
      <c r="Z56" s="96" t="inlineStr">
        <is>
          <t>VIET THANG CORPORATION (VICOTEX)</t>
        </is>
      </c>
      <c r="AA56" s="97" t="n">
        <v>25176.2</v>
      </c>
      <c r="AB56" s="96" t="inlineStr">
        <is>
          <t>BKK04</t>
        </is>
      </c>
      <c r="AC56" s="96" t="inlineStr">
        <is>
          <t>SGN03</t>
        </is>
      </c>
    </row>
    <row r="57" ht="12" customHeight="1">
      <c r="A57" s="96" t="inlineStr">
        <is>
          <t>HLHU8401562</t>
        </is>
      </c>
      <c r="B57" s="161" t="inlineStr">
        <is>
          <t>2026-10-08</t>
        </is>
      </c>
      <c r="C57" s="96" t="inlineStr">
        <is>
          <t>SWSP</t>
        </is>
      </c>
      <c r="D57" s="96" t="inlineStr">
        <is>
          <t>2609N</t>
        </is>
      </c>
      <c r="E57" s="96" t="inlineStr">
        <is>
          <t>45GP</t>
        </is>
      </c>
      <c r="F57" s="96" t="inlineStr">
        <is>
          <t>SD</t>
        </is>
      </c>
      <c r="G57" s="96" t="inlineStr">
        <is>
          <t>THBKK</t>
        </is>
      </c>
      <c r="H57" s="96" t="inlineStr">
        <is>
          <t>THBKK</t>
        </is>
      </c>
      <c r="I57" s="96" t="inlineStr">
        <is>
          <t>VNSGN</t>
        </is>
      </c>
      <c r="J57" s="96" t="inlineStr">
        <is>
          <t>VNSGN</t>
        </is>
      </c>
      <c r="K57" s="96" t="inlineStr">
        <is>
          <t>F</t>
        </is>
      </c>
      <c r="L57" s="96" t="inlineStr">
        <is>
          <t>OWN</t>
        </is>
      </c>
      <c r="M57" s="96" t="inlineStr">
        <is>
          <t>VFL</t>
        </is>
      </c>
      <c r="N57" s="96" t="inlineStr">
        <is>
          <t>BKK04</t>
        </is>
      </c>
      <c r="O57" s="96" t="inlineStr">
        <is>
          <t>BKK</t>
        </is>
      </c>
      <c r="P57" s="96" t="inlineStr">
        <is>
          <t>TH</t>
        </is>
      </c>
      <c r="Q57" s="96" t="inlineStr">
        <is>
          <t>HASLS22260900586</t>
        </is>
      </c>
      <c r="R57" s="96" t="inlineStr">
        <is>
          <t>N</t>
        </is>
      </c>
      <c r="S57" s="96" t="inlineStr">
        <is>
          <t>N</t>
        </is>
      </c>
      <c r="T57" s="96" t="inlineStr">
        <is>
          <t>BTS</t>
        </is>
      </c>
      <c r="U57" s="97" t="n"/>
      <c r="V57" s="96" t="inlineStr">
        <is>
          <t>C0124001</t>
        </is>
      </c>
      <c r="W57" s="96" t="inlineStr">
        <is>
          <t>BIRLA CARBON (THAILAND) PUBLIC</t>
        </is>
      </c>
      <c r="X57" s="96" t="inlineStr">
        <is>
          <t>VFD</t>
        </is>
      </c>
      <c r="Y57" s="96" t="inlineStr">
        <is>
          <t>JINYU (VIETNAM) TIRE CO.,LTD</t>
        </is>
      </c>
      <c r="Z57" s="96" t="inlineStr">
        <is>
          <t>JINYU (VIETNAM) TIRE CO.,LTD</t>
        </is>
      </c>
      <c r="AA57" s="97" t="n">
        <v>22308</v>
      </c>
      <c r="AB57" s="96" t="inlineStr">
        <is>
          <t>BKK04</t>
        </is>
      </c>
      <c r="AC57" s="96" t="inlineStr">
        <is>
          <t>SGN03</t>
        </is>
      </c>
    </row>
    <row r="58" ht="12" customHeight="1">
      <c r="A58" s="96" t="inlineStr">
        <is>
          <t>HLHU8439260</t>
        </is>
      </c>
      <c r="B58" s="161" t="inlineStr">
        <is>
          <t>2026-10-08</t>
        </is>
      </c>
      <c r="C58" s="96" t="inlineStr">
        <is>
          <t>SWSP</t>
        </is>
      </c>
      <c r="D58" s="96" t="inlineStr">
        <is>
          <t>2609N</t>
        </is>
      </c>
      <c r="E58" s="96" t="inlineStr">
        <is>
          <t>45GP</t>
        </is>
      </c>
      <c r="F58" s="96" t="inlineStr">
        <is>
          <t>SD</t>
        </is>
      </c>
      <c r="G58" s="96" t="inlineStr">
        <is>
          <t>THBKK</t>
        </is>
      </c>
      <c r="H58" s="96" t="inlineStr">
        <is>
          <t>THBKK</t>
        </is>
      </c>
      <c r="I58" s="96" t="inlineStr">
        <is>
          <t>VNSGN</t>
        </is>
      </c>
      <c r="J58" s="96" t="inlineStr">
        <is>
          <t>VNSGN</t>
        </is>
      </c>
      <c r="K58" s="96" t="inlineStr">
        <is>
          <t>F</t>
        </is>
      </c>
      <c r="L58" s="96" t="inlineStr">
        <is>
          <t>OWN</t>
        </is>
      </c>
      <c r="M58" s="96" t="inlineStr">
        <is>
          <t>VFL</t>
        </is>
      </c>
      <c r="N58" s="96" t="inlineStr">
        <is>
          <t>BKK04</t>
        </is>
      </c>
      <c r="O58" s="96" t="inlineStr">
        <is>
          <t>BKK</t>
        </is>
      </c>
      <c r="P58" s="96" t="inlineStr">
        <is>
          <t>TH</t>
        </is>
      </c>
      <c r="Q58" s="96" t="inlineStr">
        <is>
          <t>HASLS22260901811</t>
        </is>
      </c>
      <c r="R58" s="96" t="inlineStr">
        <is>
          <t>N</t>
        </is>
      </c>
      <c r="S58" s="96" t="inlineStr">
        <is>
          <t>N</t>
        </is>
      </c>
      <c r="T58" s="96" t="inlineStr">
        <is>
          <t>BTS</t>
        </is>
      </c>
      <c r="U58" s="97" t="n"/>
      <c r="V58" s="96" t="inlineStr">
        <is>
          <t>C0124001</t>
        </is>
      </c>
      <c r="W58" s="96" t="inlineStr">
        <is>
          <t>BRIO LOGISTICS (THAILAND) CO.,LTD.</t>
        </is>
      </c>
      <c r="X58" s="96" t="inlineStr">
        <is>
          <t>VFD</t>
        </is>
      </c>
      <c r="Y58" s="96" t="inlineStr">
        <is>
          <t>PROSPEROUS CARGO TRANSPORTATION</t>
        </is>
      </c>
      <c r="Z58" s="96" t="inlineStr">
        <is>
          <t>PROSPEROUS CARGO TRANSPORTATION</t>
        </is>
      </c>
      <c r="AA58" s="97" t="n">
        <v>10192.5</v>
      </c>
      <c r="AB58" s="96" t="inlineStr">
        <is>
          <t>BKK04</t>
        </is>
      </c>
      <c r="AC58" s="96" t="inlineStr">
        <is>
          <t>SGN03</t>
        </is>
      </c>
    </row>
    <row r="59" ht="12" customHeight="1">
      <c r="A59" s="96" t="inlineStr">
        <is>
          <t>HLHU8451603</t>
        </is>
      </c>
      <c r="B59" s="161" t="inlineStr">
        <is>
          <t>2026-10-08</t>
        </is>
      </c>
      <c r="C59" s="96" t="inlineStr">
        <is>
          <t>SWSP</t>
        </is>
      </c>
      <c r="D59" s="96" t="inlineStr">
        <is>
          <t>2609N</t>
        </is>
      </c>
      <c r="E59" s="96" t="inlineStr">
        <is>
          <t>45GP</t>
        </is>
      </c>
      <c r="F59" s="96" t="inlineStr">
        <is>
          <t>SD</t>
        </is>
      </c>
      <c r="G59" s="96" t="inlineStr">
        <is>
          <t>THBKK</t>
        </is>
      </c>
      <c r="H59" s="96" t="inlineStr">
        <is>
          <t>THBKK</t>
        </is>
      </c>
      <c r="I59" s="96" t="inlineStr">
        <is>
          <t>VNSGN</t>
        </is>
      </c>
      <c r="J59" s="96" t="inlineStr">
        <is>
          <t>VNSGN</t>
        </is>
      </c>
      <c r="K59" s="96" t="inlineStr">
        <is>
          <t>F</t>
        </is>
      </c>
      <c r="L59" s="96" t="inlineStr">
        <is>
          <t>OWN</t>
        </is>
      </c>
      <c r="M59" s="96" t="inlineStr">
        <is>
          <t>VFL</t>
        </is>
      </c>
      <c r="N59" s="96" t="inlineStr">
        <is>
          <t>BKK04</t>
        </is>
      </c>
      <c r="O59" s="96" t="inlineStr">
        <is>
          <t>BKK</t>
        </is>
      </c>
      <c r="P59" s="96" t="inlineStr">
        <is>
          <t>TH</t>
        </is>
      </c>
      <c r="Q59" s="96" t="inlineStr">
        <is>
          <t>HASLS22260901640</t>
        </is>
      </c>
      <c r="R59" s="96" t="inlineStr">
        <is>
          <t>N</t>
        </is>
      </c>
      <c r="S59" s="96" t="inlineStr">
        <is>
          <t>N</t>
        </is>
      </c>
      <c r="T59" s="96" t="inlineStr">
        <is>
          <t>BTS</t>
        </is>
      </c>
      <c r="U59" s="97" t="n"/>
      <c r="V59" s="96" t="inlineStr">
        <is>
          <t>C5624002</t>
        </is>
      </c>
      <c r="W59" s="96" t="inlineStr">
        <is>
          <t>APEX CIRCUIT (THAILAND) CO.,LTD.</t>
        </is>
      </c>
      <c r="X59" s="96" t="inlineStr">
        <is>
          <t>VFD</t>
        </is>
      </c>
      <c r="Y59" s="96" t="inlineStr">
        <is>
          <t>SAMSUNG ELECTRONICS HCMC CE COMPLEX</t>
        </is>
      </c>
      <c r="Z59" s="96" t="inlineStr">
        <is>
          <t>SAMSUNG SDS VIETNAM CO., LTD -</t>
        </is>
      </c>
      <c r="AA59" s="97" t="n">
        <v>10611.83</v>
      </c>
      <c r="AB59" s="96" t="inlineStr">
        <is>
          <t>BKK04</t>
        </is>
      </c>
      <c r="AC59" s="96" t="inlineStr">
        <is>
          <t>SGN03</t>
        </is>
      </c>
    </row>
    <row r="60" ht="12" customHeight="1">
      <c r="A60" s="96" t="inlineStr">
        <is>
          <t>HLHU8460816</t>
        </is>
      </c>
      <c r="B60" s="161" t="inlineStr">
        <is>
          <t>2026-10-08</t>
        </is>
      </c>
      <c r="C60" s="96" t="inlineStr">
        <is>
          <t>SWSP</t>
        </is>
      </c>
      <c r="D60" s="96" t="inlineStr">
        <is>
          <t>2609N</t>
        </is>
      </c>
      <c r="E60" s="96" t="inlineStr">
        <is>
          <t>45GP</t>
        </is>
      </c>
      <c r="F60" s="96" t="inlineStr">
        <is>
          <t>SD</t>
        </is>
      </c>
      <c r="G60" s="96" t="inlineStr">
        <is>
          <t>THBKK</t>
        </is>
      </c>
      <c r="H60" s="96" t="inlineStr">
        <is>
          <t>THBKK</t>
        </is>
      </c>
      <c r="I60" s="96" t="inlineStr">
        <is>
          <t>VNSGN</t>
        </is>
      </c>
      <c r="J60" s="96" t="inlineStr">
        <is>
          <t>VNSGN</t>
        </is>
      </c>
      <c r="K60" s="96" t="inlineStr">
        <is>
          <t>F</t>
        </is>
      </c>
      <c r="L60" s="96" t="inlineStr">
        <is>
          <t>OWN</t>
        </is>
      </c>
      <c r="M60" s="96" t="inlineStr">
        <is>
          <t>VFL</t>
        </is>
      </c>
      <c r="N60" s="96" t="inlineStr">
        <is>
          <t>BKK04</t>
        </is>
      </c>
      <c r="O60" s="96" t="inlineStr">
        <is>
          <t>BKK</t>
        </is>
      </c>
      <c r="P60" s="96" t="inlineStr">
        <is>
          <t>TH</t>
        </is>
      </c>
      <c r="Q60" s="96" t="inlineStr">
        <is>
          <t>HASLS22260900734</t>
        </is>
      </c>
      <c r="R60" s="96" t="inlineStr">
        <is>
          <t>N</t>
        </is>
      </c>
      <c r="S60" s="96" t="inlineStr">
        <is>
          <t>N</t>
        </is>
      </c>
      <c r="T60" s="96" t="inlineStr">
        <is>
          <t>BTS</t>
        </is>
      </c>
      <c r="U60" s="97" t="n"/>
      <c r="V60" s="96" t="inlineStr">
        <is>
          <t>C5624002</t>
        </is>
      </c>
      <c r="W60" s="96" t="inlineStr">
        <is>
          <t>LOGMAN INTERNATIONAL CO.,LTD.</t>
        </is>
      </c>
      <c r="X60" s="96" t="inlineStr">
        <is>
          <t>VFD</t>
        </is>
      </c>
      <c r="Y60" s="96" t="inlineStr">
        <is>
          <t>CARGOES LINKS TRANSPORTATION CO LTD</t>
        </is>
      </c>
      <c r="Z60" s="96" t="inlineStr">
        <is>
          <t>CARGOES LINKS TRANSPORTATION CO LTD</t>
        </is>
      </c>
      <c r="AA60" s="97" t="n">
        <v>17425.07</v>
      </c>
      <c r="AB60" s="96" t="inlineStr">
        <is>
          <t>BKK04</t>
        </is>
      </c>
      <c r="AC60" s="96" t="inlineStr">
        <is>
          <t>SGN03</t>
        </is>
      </c>
    </row>
    <row r="61" ht="12" customHeight="1">
      <c r="A61" s="96" t="inlineStr">
        <is>
          <t>HLHU8461725</t>
        </is>
      </c>
      <c r="B61" s="161" t="inlineStr">
        <is>
          <t>2026-10-08</t>
        </is>
      </c>
      <c r="C61" s="96" t="inlineStr">
        <is>
          <t>SWSP</t>
        </is>
      </c>
      <c r="D61" s="96" t="inlineStr">
        <is>
          <t>2609N</t>
        </is>
      </c>
      <c r="E61" s="96" t="inlineStr">
        <is>
          <t>45GP</t>
        </is>
      </c>
      <c r="F61" s="96" t="inlineStr">
        <is>
          <t>SD</t>
        </is>
      </c>
      <c r="G61" s="96" t="inlineStr">
        <is>
          <t>THBKK</t>
        </is>
      </c>
      <c r="H61" s="96" t="inlineStr">
        <is>
          <t>THBKK</t>
        </is>
      </c>
      <c r="I61" s="96" t="inlineStr">
        <is>
          <t>VNSGN</t>
        </is>
      </c>
      <c r="J61" s="96" t="inlineStr">
        <is>
          <t>VNSGN</t>
        </is>
      </c>
      <c r="K61" s="96" t="inlineStr">
        <is>
          <t>F</t>
        </is>
      </c>
      <c r="L61" s="96" t="inlineStr">
        <is>
          <t>OWN</t>
        </is>
      </c>
      <c r="M61" s="96" t="inlineStr">
        <is>
          <t>VFL</t>
        </is>
      </c>
      <c r="N61" s="96" t="inlineStr">
        <is>
          <t>BKK04</t>
        </is>
      </c>
      <c r="O61" s="96" t="inlineStr">
        <is>
          <t>BKK</t>
        </is>
      </c>
      <c r="P61" s="96" t="inlineStr">
        <is>
          <t>TH</t>
        </is>
      </c>
      <c r="Q61" s="96" t="inlineStr">
        <is>
          <t>HASLS22260902260</t>
        </is>
      </c>
      <c r="R61" s="96" t="inlineStr">
        <is>
          <t>N</t>
        </is>
      </c>
      <c r="S61" s="96" t="inlineStr">
        <is>
          <t>N</t>
        </is>
      </c>
      <c r="T61" s="96" t="inlineStr">
        <is>
          <t>BTS</t>
        </is>
      </c>
      <c r="U61" s="97" t="n"/>
      <c r="V61" s="96" t="inlineStr">
        <is>
          <t>C5624002</t>
        </is>
      </c>
      <c r="W61" s="96" t="inlineStr">
        <is>
          <t>CAPRICORN LOGISTICS CO.,LTD.</t>
        </is>
      </c>
      <c r="X61" s="96" t="inlineStr">
        <is>
          <t>VFD</t>
        </is>
      </c>
      <c r="Y61" s="96" t="inlineStr">
        <is>
          <t>BLUE OCEAN INTERNATIONAL</t>
        </is>
      </c>
      <c r="Z61" s="96" t="inlineStr">
        <is>
          <t>BLUE OCEAN INTERNATIONAL</t>
        </is>
      </c>
      <c r="AA61" s="97" t="n">
        <v>9600</v>
      </c>
      <c r="AB61" s="96" t="inlineStr">
        <is>
          <t>BKK04</t>
        </is>
      </c>
      <c r="AC61" s="96" t="inlineStr">
        <is>
          <t>SGN03</t>
        </is>
      </c>
    </row>
    <row r="62" ht="12" customHeight="1">
      <c r="A62" s="96" t="inlineStr">
        <is>
          <t>HLHU8520052</t>
        </is>
      </c>
      <c r="B62" s="161" t="inlineStr">
        <is>
          <t>2026-10-08</t>
        </is>
      </c>
      <c r="C62" s="96" t="inlineStr">
        <is>
          <t>SWSP</t>
        </is>
      </c>
      <c r="D62" s="96" t="inlineStr">
        <is>
          <t>2609N</t>
        </is>
      </c>
      <c r="E62" s="96" t="inlineStr">
        <is>
          <t>45GP</t>
        </is>
      </c>
      <c r="F62" s="96" t="inlineStr">
        <is>
          <t>SD</t>
        </is>
      </c>
      <c r="G62" s="96" t="inlineStr">
        <is>
          <t>THBKK</t>
        </is>
      </c>
      <c r="H62" s="96" t="inlineStr">
        <is>
          <t>THBKK</t>
        </is>
      </c>
      <c r="I62" s="96" t="inlineStr">
        <is>
          <t>VNSGN</t>
        </is>
      </c>
      <c r="J62" s="96" t="inlineStr">
        <is>
          <t>VNSGN</t>
        </is>
      </c>
      <c r="K62" s="96" t="inlineStr">
        <is>
          <t>F</t>
        </is>
      </c>
      <c r="L62" s="96" t="inlineStr">
        <is>
          <t>OWN</t>
        </is>
      </c>
      <c r="M62" s="96" t="inlineStr">
        <is>
          <t>VFL</t>
        </is>
      </c>
      <c r="N62" s="96" t="inlineStr">
        <is>
          <t>BKK04</t>
        </is>
      </c>
      <c r="O62" s="96" t="inlineStr">
        <is>
          <t>BKK</t>
        </is>
      </c>
      <c r="P62" s="96" t="inlineStr">
        <is>
          <t>TH</t>
        </is>
      </c>
      <c r="Q62" s="96" t="inlineStr">
        <is>
          <t>HASLS22260902212</t>
        </is>
      </c>
      <c r="R62" s="96" t="inlineStr">
        <is>
          <t>N</t>
        </is>
      </c>
      <c r="S62" s="96" t="inlineStr">
        <is>
          <t>N</t>
        </is>
      </c>
      <c r="T62" s="96" t="inlineStr">
        <is>
          <t>BTS</t>
        </is>
      </c>
      <c r="U62" s="97" t="n"/>
      <c r="V62" s="96" t="inlineStr">
        <is>
          <t>C0125003</t>
        </is>
      </c>
      <c r="W62" s="96" t="inlineStr">
        <is>
          <t>TOYO MILLENNIUM CO., LTD.</t>
        </is>
      </c>
      <c r="X62" s="96" t="inlineStr">
        <is>
          <t>VFD</t>
        </is>
      </c>
      <c r="Y62" s="96" t="inlineStr">
        <is>
          <t>MEKONG FLOW EQUIPMENT COMPANY</t>
        </is>
      </c>
      <c r="Z62" s="96" t="inlineStr">
        <is>
          <t>MEKONG FLOW EQUIPMENT COMPANY</t>
        </is>
      </c>
      <c r="AA62" s="97" t="n">
        <v>3035.39</v>
      </c>
      <c r="AB62" s="96" t="inlineStr">
        <is>
          <t>BKK04</t>
        </is>
      </c>
      <c r="AC62" s="96" t="inlineStr">
        <is>
          <t>SGN03</t>
        </is>
      </c>
    </row>
    <row r="63" ht="12" customHeight="1">
      <c r="A63" s="96" t="inlineStr">
        <is>
          <t>HLHU8537013</t>
        </is>
      </c>
      <c r="B63" s="161" t="inlineStr">
        <is>
          <t>2026-10-08</t>
        </is>
      </c>
      <c r="C63" s="96" t="inlineStr">
        <is>
          <t>SWSP</t>
        </is>
      </c>
      <c r="D63" s="96" t="inlineStr">
        <is>
          <t>2609N</t>
        </is>
      </c>
      <c r="E63" s="96" t="inlineStr">
        <is>
          <t>45GP</t>
        </is>
      </c>
      <c r="F63" s="96" t="inlineStr">
        <is>
          <t>SD</t>
        </is>
      </c>
      <c r="G63" s="96" t="inlineStr">
        <is>
          <t>THBKK</t>
        </is>
      </c>
      <c r="H63" s="96" t="inlineStr">
        <is>
          <t>THBKK</t>
        </is>
      </c>
      <c r="I63" s="96" t="inlineStr">
        <is>
          <t>VNSGN</t>
        </is>
      </c>
      <c r="J63" s="96" t="inlineStr">
        <is>
          <t>VNSGN</t>
        </is>
      </c>
      <c r="K63" s="96" t="inlineStr">
        <is>
          <t>F</t>
        </is>
      </c>
      <c r="L63" s="96" t="inlineStr">
        <is>
          <t>OWN</t>
        </is>
      </c>
      <c r="M63" s="96" t="inlineStr">
        <is>
          <t>VFL</t>
        </is>
      </c>
      <c r="N63" s="96" t="inlineStr">
        <is>
          <t>BKK04</t>
        </is>
      </c>
      <c r="O63" s="96" t="inlineStr">
        <is>
          <t>BKK</t>
        </is>
      </c>
      <c r="P63" s="96" t="inlineStr">
        <is>
          <t>TH</t>
        </is>
      </c>
      <c r="Q63" s="96" t="inlineStr">
        <is>
          <t>HASLS22260902210</t>
        </is>
      </c>
      <c r="R63" s="96" t="inlineStr">
        <is>
          <t>N</t>
        </is>
      </c>
      <c r="S63" s="96" t="inlineStr">
        <is>
          <t>N</t>
        </is>
      </c>
      <c r="T63" s="96" t="inlineStr">
        <is>
          <t>BTS</t>
        </is>
      </c>
      <c r="U63" s="97" t="n"/>
      <c r="V63" s="96" t="inlineStr">
        <is>
          <t>C0125003</t>
        </is>
      </c>
      <c r="W63" s="96" t="inlineStr">
        <is>
          <t>CAPRICORN LOGISTICS CO.,LTD.</t>
        </is>
      </c>
      <c r="X63" s="96" t="inlineStr">
        <is>
          <t>VFD</t>
        </is>
      </c>
      <c r="Y63" s="96" t="inlineStr">
        <is>
          <t>GIA NGUYEN INT'L LOGISTICS CO., LTD</t>
        </is>
      </c>
      <c r="Z63" s="96" t="inlineStr">
        <is>
          <t>GIA NGUYEN INT'L LOGISTICS CO., LTD</t>
        </is>
      </c>
      <c r="AA63" s="97" t="n">
        <v>5270.53</v>
      </c>
      <c r="AB63" s="96" t="inlineStr">
        <is>
          <t>BKK04</t>
        </is>
      </c>
      <c r="AC63" s="96" t="inlineStr">
        <is>
          <t>SGN03</t>
        </is>
      </c>
    </row>
    <row r="64" ht="12" customHeight="1">
      <c r="A64" s="96" t="inlineStr">
        <is>
          <t>HLHU8541353</t>
        </is>
      </c>
      <c r="B64" s="161" t="inlineStr">
        <is>
          <t>2026-10-08</t>
        </is>
      </c>
      <c r="C64" s="96" t="inlineStr">
        <is>
          <t>SWSP</t>
        </is>
      </c>
      <c r="D64" s="96" t="inlineStr">
        <is>
          <t>2609N</t>
        </is>
      </c>
      <c r="E64" s="96" t="inlineStr">
        <is>
          <t>45GP</t>
        </is>
      </c>
      <c r="F64" s="96" t="inlineStr">
        <is>
          <t>SD</t>
        </is>
      </c>
      <c r="G64" s="96" t="inlineStr">
        <is>
          <t>THBKK</t>
        </is>
      </c>
      <c r="H64" s="96" t="inlineStr">
        <is>
          <t>THBKK</t>
        </is>
      </c>
      <c r="I64" s="96" t="inlineStr">
        <is>
          <t>VNSGN</t>
        </is>
      </c>
      <c r="J64" s="96" t="inlineStr">
        <is>
          <t>VNSGN</t>
        </is>
      </c>
      <c r="K64" s="96" t="inlineStr">
        <is>
          <t>F</t>
        </is>
      </c>
      <c r="L64" s="96" t="inlineStr">
        <is>
          <t>OWN</t>
        </is>
      </c>
      <c r="M64" s="96" t="inlineStr">
        <is>
          <t>VFL</t>
        </is>
      </c>
      <c r="N64" s="96" t="inlineStr">
        <is>
          <t>BKK04</t>
        </is>
      </c>
      <c r="O64" s="96" t="inlineStr">
        <is>
          <t>BKK</t>
        </is>
      </c>
      <c r="P64" s="96" t="inlineStr">
        <is>
          <t>TH</t>
        </is>
      </c>
      <c r="Q64" s="96" t="inlineStr">
        <is>
          <t>HASLS22260901954</t>
        </is>
      </c>
      <c r="R64" s="96" t="inlineStr">
        <is>
          <t>N</t>
        </is>
      </c>
      <c r="S64" s="96" t="inlineStr">
        <is>
          <t>N</t>
        </is>
      </c>
      <c r="T64" s="96" t="inlineStr">
        <is>
          <t>BTS</t>
        </is>
      </c>
      <c r="U64" s="97" t="n"/>
      <c r="V64" s="96" t="inlineStr">
        <is>
          <t>C0125003</t>
        </is>
      </c>
      <c r="W64" s="96" t="inlineStr">
        <is>
          <t>BIRLA CARBON (THAILAND) PUBLIC</t>
        </is>
      </c>
      <c r="X64" s="96" t="inlineStr">
        <is>
          <t>VFD</t>
        </is>
      </c>
      <c r="Y64" s="96" t="inlineStr">
        <is>
          <t>YOKOHAMA TYRE VIETNAM INC.</t>
        </is>
      </c>
      <c r="Z64" s="96" t="inlineStr">
        <is>
          <t>YOKOHAMA TYRE VIETNAM INC.</t>
        </is>
      </c>
      <c r="AA64" s="97" t="n">
        <v>22308</v>
      </c>
      <c r="AB64" s="96" t="inlineStr">
        <is>
          <t>BKK04</t>
        </is>
      </c>
      <c r="AC64" s="96" t="inlineStr">
        <is>
          <t>SGN03</t>
        </is>
      </c>
    </row>
    <row r="65" ht="12" customHeight="1">
      <c r="A65" s="96" t="inlineStr">
        <is>
          <t>HLHU8543335</t>
        </is>
      </c>
      <c r="B65" s="161" t="inlineStr">
        <is>
          <t>2026-10-08</t>
        </is>
      </c>
      <c r="C65" s="96" t="inlineStr">
        <is>
          <t>SWSP</t>
        </is>
      </c>
      <c r="D65" s="96" t="inlineStr">
        <is>
          <t>2609N</t>
        </is>
      </c>
      <c r="E65" s="96" t="inlineStr">
        <is>
          <t>45GP</t>
        </is>
      </c>
      <c r="F65" s="96" t="inlineStr">
        <is>
          <t>SD</t>
        </is>
      </c>
      <c r="G65" s="96" t="inlineStr">
        <is>
          <t>THBKK</t>
        </is>
      </c>
      <c r="H65" s="96" t="inlineStr">
        <is>
          <t>THBKK</t>
        </is>
      </c>
      <c r="I65" s="96" t="inlineStr">
        <is>
          <t>VNSGN</t>
        </is>
      </c>
      <c r="J65" s="96" t="inlineStr">
        <is>
          <t>VNSGN</t>
        </is>
      </c>
      <c r="K65" s="96" t="inlineStr">
        <is>
          <t>F</t>
        </is>
      </c>
      <c r="L65" s="96" t="inlineStr">
        <is>
          <t>OWN</t>
        </is>
      </c>
      <c r="M65" s="96" t="inlineStr">
        <is>
          <t>VFL</t>
        </is>
      </c>
      <c r="N65" s="96" t="inlineStr">
        <is>
          <t>BKK04</t>
        </is>
      </c>
      <c r="O65" s="96" t="inlineStr">
        <is>
          <t>BKK</t>
        </is>
      </c>
      <c r="P65" s="96" t="inlineStr">
        <is>
          <t>TH</t>
        </is>
      </c>
      <c r="Q65" s="96" t="inlineStr">
        <is>
          <t>HASLS22260900586</t>
        </is>
      </c>
      <c r="R65" s="96" t="inlineStr">
        <is>
          <t>N</t>
        </is>
      </c>
      <c r="S65" s="96" t="inlineStr">
        <is>
          <t>N</t>
        </is>
      </c>
      <c r="T65" s="96" t="inlineStr">
        <is>
          <t>BTS</t>
        </is>
      </c>
      <c r="U65" s="97" t="n"/>
      <c r="V65" s="96" t="inlineStr">
        <is>
          <t>C0125003</t>
        </is>
      </c>
      <c r="W65" s="96" t="inlineStr">
        <is>
          <t>BIRLA CARBON (THAILAND) PUBLIC</t>
        </is>
      </c>
      <c r="X65" s="96" t="inlineStr">
        <is>
          <t>VFD</t>
        </is>
      </c>
      <c r="Y65" s="96" t="inlineStr">
        <is>
          <t>JINYU (VIETNAM) TIRE CO.,LTD</t>
        </is>
      </c>
      <c r="Z65" s="96" t="inlineStr">
        <is>
          <t>JINYU (VIETNAM) TIRE CO.,LTD</t>
        </is>
      </c>
      <c r="AA65" s="97" t="n">
        <v>22308</v>
      </c>
      <c r="AB65" s="96" t="inlineStr">
        <is>
          <t>BKK04</t>
        </is>
      </c>
      <c r="AC65" s="96" t="inlineStr">
        <is>
          <t>SGN03</t>
        </is>
      </c>
    </row>
    <row r="66" ht="12" customHeight="1">
      <c r="A66" s="96" t="inlineStr">
        <is>
          <t>HLHU8573978</t>
        </is>
      </c>
      <c r="B66" s="161" t="inlineStr">
        <is>
          <t>2026-10-08</t>
        </is>
      </c>
      <c r="C66" s="96" t="inlineStr">
        <is>
          <t>SWSP</t>
        </is>
      </c>
      <c r="D66" s="96" t="inlineStr">
        <is>
          <t>2609N</t>
        </is>
      </c>
      <c r="E66" s="96" t="inlineStr">
        <is>
          <t>45GP</t>
        </is>
      </c>
      <c r="F66" s="96" t="inlineStr">
        <is>
          <t>SD</t>
        </is>
      </c>
      <c r="G66" s="96" t="inlineStr">
        <is>
          <t>THBKK</t>
        </is>
      </c>
      <c r="H66" s="96" t="inlineStr">
        <is>
          <t>THBKK</t>
        </is>
      </c>
      <c r="I66" s="96" t="inlineStr">
        <is>
          <t>VNSGN</t>
        </is>
      </c>
      <c r="J66" s="96" t="inlineStr">
        <is>
          <t>VNSGN</t>
        </is>
      </c>
      <c r="K66" s="96" t="inlineStr">
        <is>
          <t>F</t>
        </is>
      </c>
      <c r="L66" s="96" t="inlineStr">
        <is>
          <t>OWN</t>
        </is>
      </c>
      <c r="M66" s="96" t="inlineStr">
        <is>
          <t>VFL</t>
        </is>
      </c>
      <c r="N66" s="96" t="inlineStr">
        <is>
          <t>BKK04</t>
        </is>
      </c>
      <c r="O66" s="96" t="inlineStr">
        <is>
          <t>BKK</t>
        </is>
      </c>
      <c r="P66" s="96" t="inlineStr">
        <is>
          <t>TH</t>
        </is>
      </c>
      <c r="Q66" s="96" t="inlineStr">
        <is>
          <t>HASLS22260902210</t>
        </is>
      </c>
      <c r="R66" s="96" t="inlineStr">
        <is>
          <t>N</t>
        </is>
      </c>
      <c r="S66" s="96" t="inlineStr">
        <is>
          <t>N</t>
        </is>
      </c>
      <c r="T66" s="96" t="inlineStr">
        <is>
          <t>BTS</t>
        </is>
      </c>
      <c r="U66" s="97" t="n"/>
      <c r="V66" s="96" t="inlineStr">
        <is>
          <t>C0725001</t>
        </is>
      </c>
      <c r="W66" s="96" t="inlineStr">
        <is>
          <t>CAPRICORN LOGISTICS CO.,LTD.</t>
        </is>
      </c>
      <c r="X66" s="96" t="inlineStr">
        <is>
          <t>VFD</t>
        </is>
      </c>
      <c r="Y66" s="96" t="inlineStr">
        <is>
          <t>GIA NGUYEN INT'L LOGISTICS CO., LTD</t>
        </is>
      </c>
      <c r="Z66" s="96" t="inlineStr">
        <is>
          <t>GIA NGUYEN INT'L LOGISTICS CO., LTD</t>
        </is>
      </c>
      <c r="AA66" s="97" t="n">
        <v>5270.53</v>
      </c>
      <c r="AB66" s="96" t="inlineStr">
        <is>
          <t>BKK04</t>
        </is>
      </c>
      <c r="AC66" s="96" t="inlineStr">
        <is>
          <t>SGN03</t>
        </is>
      </c>
    </row>
    <row r="67" ht="12" customHeight="1">
      <c r="A67" s="96" t="inlineStr">
        <is>
          <t>HLHU8574110</t>
        </is>
      </c>
      <c r="B67" s="161" t="inlineStr">
        <is>
          <t>2026-10-08</t>
        </is>
      </c>
      <c r="C67" s="96" t="inlineStr">
        <is>
          <t>SWSP</t>
        </is>
      </c>
      <c r="D67" s="96" t="inlineStr">
        <is>
          <t>2609N</t>
        </is>
      </c>
      <c r="E67" s="96" t="inlineStr">
        <is>
          <t>45GP</t>
        </is>
      </c>
      <c r="F67" s="96" t="inlineStr">
        <is>
          <t>SD</t>
        </is>
      </c>
      <c r="G67" s="96" t="inlineStr">
        <is>
          <t>THBKK</t>
        </is>
      </c>
      <c r="H67" s="96" t="inlineStr">
        <is>
          <t>THBKK</t>
        </is>
      </c>
      <c r="I67" s="96" t="inlineStr">
        <is>
          <t>VNSGN</t>
        </is>
      </c>
      <c r="J67" s="96" t="inlineStr">
        <is>
          <t>VNSGN</t>
        </is>
      </c>
      <c r="K67" s="96" t="inlineStr">
        <is>
          <t>F</t>
        </is>
      </c>
      <c r="L67" s="96" t="inlineStr">
        <is>
          <t>OWN</t>
        </is>
      </c>
      <c r="M67" s="96" t="inlineStr">
        <is>
          <t>VFL</t>
        </is>
      </c>
      <c r="N67" s="96" t="inlineStr">
        <is>
          <t>BKK04</t>
        </is>
      </c>
      <c r="O67" s="96" t="inlineStr">
        <is>
          <t>BKK</t>
        </is>
      </c>
      <c r="P67" s="96" t="inlineStr">
        <is>
          <t>TH</t>
        </is>
      </c>
      <c r="Q67" s="96" t="inlineStr">
        <is>
          <t>HASLS22260901688</t>
        </is>
      </c>
      <c r="R67" s="96" t="inlineStr">
        <is>
          <t>N</t>
        </is>
      </c>
      <c r="S67" s="96" t="inlineStr">
        <is>
          <t>N</t>
        </is>
      </c>
      <c r="T67" s="96" t="inlineStr">
        <is>
          <t>BTS</t>
        </is>
      </c>
      <c r="U67" s="97" t="n"/>
      <c r="V67" s="96" t="inlineStr">
        <is>
          <t>C0725001</t>
        </is>
      </c>
      <c r="W67" s="96" t="inlineStr">
        <is>
          <t>METRO PARTICLE CO.,LTD.</t>
        </is>
      </c>
      <c r="X67" s="96" t="inlineStr">
        <is>
          <t>VFD</t>
        </is>
      </c>
      <c r="Y67" s="96" t="inlineStr">
        <is>
          <t>YI LONG VIETNAM FURNITURE CO., LTD.</t>
        </is>
      </c>
      <c r="Z67" s="96" t="inlineStr">
        <is>
          <t>YI LONG VIETNAM FURNITURE CO., LTD.</t>
        </is>
      </c>
      <c r="AA67" s="97" t="n">
        <v>27652</v>
      </c>
      <c r="AB67" s="96" t="inlineStr">
        <is>
          <t>BKK04</t>
        </is>
      </c>
      <c r="AC67" s="96" t="inlineStr">
        <is>
          <t>SGN03</t>
        </is>
      </c>
    </row>
    <row r="68" ht="12" customHeight="1">
      <c r="A68" s="96" t="inlineStr">
        <is>
          <t>HLHU8588200</t>
        </is>
      </c>
      <c r="B68" s="161" t="inlineStr">
        <is>
          <t>2026-10-08</t>
        </is>
      </c>
      <c r="C68" s="96" t="inlineStr">
        <is>
          <t>SWSP</t>
        </is>
      </c>
      <c r="D68" s="96" t="inlineStr">
        <is>
          <t>2609N</t>
        </is>
      </c>
      <c r="E68" s="96" t="inlineStr">
        <is>
          <t>45GP</t>
        </is>
      </c>
      <c r="F68" s="96" t="inlineStr">
        <is>
          <t>SD</t>
        </is>
      </c>
      <c r="G68" s="96" t="inlineStr">
        <is>
          <t>THBKK</t>
        </is>
      </c>
      <c r="H68" s="96" t="inlineStr">
        <is>
          <t>THBKK</t>
        </is>
      </c>
      <c r="I68" s="96" t="inlineStr">
        <is>
          <t>VNSGN</t>
        </is>
      </c>
      <c r="J68" s="96" t="inlineStr">
        <is>
          <t>VNSGN</t>
        </is>
      </c>
      <c r="K68" s="96" t="inlineStr">
        <is>
          <t>F</t>
        </is>
      </c>
      <c r="L68" s="96" t="inlineStr">
        <is>
          <t>OWN</t>
        </is>
      </c>
      <c r="M68" s="96" t="inlineStr">
        <is>
          <t>VFL</t>
        </is>
      </c>
      <c r="N68" s="96" t="inlineStr">
        <is>
          <t>BKK04</t>
        </is>
      </c>
      <c r="O68" s="96" t="inlineStr">
        <is>
          <t>BKK</t>
        </is>
      </c>
      <c r="P68" s="96" t="inlineStr">
        <is>
          <t>TH</t>
        </is>
      </c>
      <c r="Q68" s="96" t="inlineStr">
        <is>
          <t>HASLS22260901954</t>
        </is>
      </c>
      <c r="R68" s="96" t="inlineStr">
        <is>
          <t>N</t>
        </is>
      </c>
      <c r="S68" s="96" t="inlineStr">
        <is>
          <t>N</t>
        </is>
      </c>
      <c r="T68" s="96" t="inlineStr">
        <is>
          <t>BTS</t>
        </is>
      </c>
      <c r="U68" s="97" t="n"/>
      <c r="V68" s="96" t="inlineStr">
        <is>
          <t>C0725001</t>
        </is>
      </c>
      <c r="W68" s="96" t="inlineStr">
        <is>
          <t>BIRLA CARBON (THAILAND) PUBLIC</t>
        </is>
      </c>
      <c r="X68" s="96" t="inlineStr">
        <is>
          <t>VFD</t>
        </is>
      </c>
      <c r="Y68" s="96" t="inlineStr">
        <is>
          <t>YOKOHAMA TYRE VIETNAM INC.</t>
        </is>
      </c>
      <c r="Z68" s="96" t="inlineStr">
        <is>
          <t>YOKOHAMA TYRE VIETNAM INC.</t>
        </is>
      </c>
      <c r="AA68" s="97" t="n">
        <v>22308</v>
      </c>
      <c r="AB68" s="96" t="inlineStr">
        <is>
          <t>BKK04</t>
        </is>
      </c>
      <c r="AC68" s="96" t="inlineStr">
        <is>
          <t>SGN03</t>
        </is>
      </c>
    </row>
    <row r="69" ht="12" customHeight="1">
      <c r="A69" s="96" t="inlineStr">
        <is>
          <t>SEGU2340919</t>
        </is>
      </c>
      <c r="B69" s="161" t="inlineStr">
        <is>
          <t>2026-10-08</t>
        </is>
      </c>
      <c r="C69" s="96" t="inlineStr">
        <is>
          <t>SWSP</t>
        </is>
      </c>
      <c r="D69" s="96" t="inlineStr">
        <is>
          <t>2609N</t>
        </is>
      </c>
      <c r="E69" s="96" t="inlineStr">
        <is>
          <t>22GP</t>
        </is>
      </c>
      <c r="F69" s="96" t="inlineStr">
        <is>
          <t>SD</t>
        </is>
      </c>
      <c r="G69" s="96" t="inlineStr">
        <is>
          <t>THBKK</t>
        </is>
      </c>
      <c r="H69" s="96" t="inlineStr">
        <is>
          <t>THBKK</t>
        </is>
      </c>
      <c r="I69" s="96" t="inlineStr">
        <is>
          <t>KRPTK</t>
        </is>
      </c>
      <c r="J69" s="96" t="inlineStr">
        <is>
          <t>KRPTK</t>
        </is>
      </c>
      <c r="K69" s="96" t="inlineStr">
        <is>
          <t>F</t>
        </is>
      </c>
      <c r="L69" s="96" t="inlineStr">
        <is>
          <t>L/T</t>
        </is>
      </c>
      <c r="M69" s="96" t="inlineStr">
        <is>
          <t>VFL</t>
        </is>
      </c>
      <c r="N69" s="96" t="inlineStr">
        <is>
          <t>BKK04</t>
        </is>
      </c>
      <c r="O69" s="96" t="inlineStr">
        <is>
          <t>BKK</t>
        </is>
      </c>
      <c r="P69" s="96" t="inlineStr">
        <is>
          <t>TH</t>
        </is>
      </c>
      <c r="Q69" s="96" t="inlineStr">
        <is>
          <t>HASLS22260801914</t>
        </is>
      </c>
      <c r="R69" s="96" t="inlineStr">
        <is>
          <t>N</t>
        </is>
      </c>
      <c r="S69" s="96" t="inlineStr">
        <is>
          <t>N</t>
        </is>
      </c>
      <c r="T69" s="96" t="inlineStr">
        <is>
          <t>BTS</t>
        </is>
      </c>
      <c r="U69" s="97" t="n"/>
      <c r="V69" s="96" t="inlineStr">
        <is>
          <t>TSN15L05</t>
        </is>
      </c>
      <c r="W69" s="96" t="inlineStr">
        <is>
          <t>THAI VEGETABLE OIL PUBLIC COMPANY</t>
        </is>
      </c>
      <c r="X69" s="96" t="inlineStr">
        <is>
          <t>VFD</t>
        </is>
      </c>
      <c r="Y69" s="96" t="inlineStr">
        <is>
          <t>TO THE ORDER OF KOOKMIN BANK</t>
        </is>
      </c>
      <c r="Z69" s="96" t="inlineStr">
        <is>
          <t>CJ CHEILJEDANG CORPORATION</t>
        </is>
      </c>
      <c r="AA69" s="97" t="n">
        <v>21100</v>
      </c>
      <c r="AB69" s="96" t="inlineStr">
        <is>
          <t>BKK04</t>
        </is>
      </c>
      <c r="AC69" s="96" t="inlineStr">
        <is>
          <t>PTK02</t>
        </is>
      </c>
    </row>
    <row r="70" ht="12" customHeight="1">
      <c r="A70" s="96" t="inlineStr">
        <is>
          <t>SEKU4968806</t>
        </is>
      </c>
      <c r="B70" s="161" t="inlineStr">
        <is>
          <t>2026-10-08</t>
        </is>
      </c>
      <c r="C70" s="96" t="inlineStr">
        <is>
          <t>SWSP</t>
        </is>
      </c>
      <c r="D70" s="96" t="inlineStr">
        <is>
          <t>2609N</t>
        </is>
      </c>
      <c r="E70" s="96" t="inlineStr">
        <is>
          <t>45GP</t>
        </is>
      </c>
      <c r="F70" s="96" t="inlineStr">
        <is>
          <t>SD</t>
        </is>
      </c>
      <c r="G70" s="96" t="inlineStr">
        <is>
          <t>THBKK</t>
        </is>
      </c>
      <c r="H70" s="96" t="inlineStr">
        <is>
          <t>THBKK</t>
        </is>
      </c>
      <c r="I70" s="96" t="inlineStr">
        <is>
          <t>VNSGN</t>
        </is>
      </c>
      <c r="J70" s="96" t="inlineStr">
        <is>
          <t>VNSGN</t>
        </is>
      </c>
      <c r="K70" s="96" t="inlineStr">
        <is>
          <t>F</t>
        </is>
      </c>
      <c r="L70" s="96" t="inlineStr">
        <is>
          <t>ONE</t>
        </is>
      </c>
      <c r="M70" s="96" t="inlineStr">
        <is>
          <t>VFL</t>
        </is>
      </c>
      <c r="N70" s="96" t="inlineStr">
        <is>
          <t>BKK04</t>
        </is>
      </c>
      <c r="O70" s="96" t="inlineStr">
        <is>
          <t>BKK</t>
        </is>
      </c>
      <c r="P70" s="96" t="inlineStr">
        <is>
          <t>TH</t>
        </is>
      </c>
      <c r="Q70" s="96" t="inlineStr">
        <is>
          <t>HASLS22260901688</t>
        </is>
      </c>
      <c r="R70" s="96" t="inlineStr">
        <is>
          <t>N</t>
        </is>
      </c>
      <c r="S70" s="96" t="inlineStr">
        <is>
          <t>N</t>
        </is>
      </c>
      <c r="T70" s="96" t="inlineStr">
        <is>
          <t>BTS</t>
        </is>
      </c>
      <c r="U70" s="97" t="n"/>
      <c r="V70" s="96" t="inlineStr">
        <is>
          <t>K0120023</t>
        </is>
      </c>
      <c r="W70" s="96" t="inlineStr">
        <is>
          <t>METRO PARTICLE CO.,LTD.</t>
        </is>
      </c>
      <c r="X70" s="96" t="inlineStr">
        <is>
          <t>VFD</t>
        </is>
      </c>
      <c r="Y70" s="96" t="inlineStr">
        <is>
          <t>YI LONG VIETNAM FURNITURE CO., LTD.</t>
        </is>
      </c>
      <c r="Z70" s="96" t="inlineStr">
        <is>
          <t>YI LONG VIETNAM FURNITURE CO., LTD.</t>
        </is>
      </c>
      <c r="AA70" s="97" t="n">
        <v>27652</v>
      </c>
      <c r="AB70" s="96" t="inlineStr">
        <is>
          <t>BKK04</t>
        </is>
      </c>
      <c r="AC70" s="96" t="inlineStr">
        <is>
          <t>SGN03</t>
        </is>
      </c>
    </row>
    <row r="71" ht="12" customHeight="1">
      <c r="A71" s="96" t="inlineStr">
        <is>
          <t>SEKU4978548</t>
        </is>
      </c>
      <c r="B71" s="161" t="inlineStr">
        <is>
          <t>2026-10-08</t>
        </is>
      </c>
      <c r="C71" s="96" t="inlineStr">
        <is>
          <t>SWSP</t>
        </is>
      </c>
      <c r="D71" s="96" t="inlineStr">
        <is>
          <t>2609N</t>
        </is>
      </c>
      <c r="E71" s="96" t="inlineStr">
        <is>
          <t>45GP</t>
        </is>
      </c>
      <c r="F71" s="96" t="inlineStr">
        <is>
          <t>SD</t>
        </is>
      </c>
      <c r="G71" s="96" t="inlineStr">
        <is>
          <t>THBKK</t>
        </is>
      </c>
      <c r="H71" s="96" t="inlineStr">
        <is>
          <t>THBKK</t>
        </is>
      </c>
      <c r="I71" s="96" t="inlineStr">
        <is>
          <t>VNSGN</t>
        </is>
      </c>
      <c r="J71" s="96" t="inlineStr">
        <is>
          <t>VNSGN</t>
        </is>
      </c>
      <c r="K71" s="96" t="inlineStr">
        <is>
          <t>F</t>
        </is>
      </c>
      <c r="L71" s="96" t="inlineStr">
        <is>
          <t>L/T</t>
        </is>
      </c>
      <c r="M71" s="96" t="inlineStr">
        <is>
          <t>VFL</t>
        </is>
      </c>
      <c r="N71" s="96" t="inlineStr">
        <is>
          <t>BKK04</t>
        </is>
      </c>
      <c r="O71" s="96" t="inlineStr">
        <is>
          <t>BKK</t>
        </is>
      </c>
      <c r="P71" s="96" t="inlineStr">
        <is>
          <t>TH</t>
        </is>
      </c>
      <c r="Q71" s="96" t="inlineStr">
        <is>
          <t>HASLS22260900864</t>
        </is>
      </c>
      <c r="R71" s="96" t="inlineStr">
        <is>
          <t>N</t>
        </is>
      </c>
      <c r="S71" s="96" t="inlineStr">
        <is>
          <t>N</t>
        </is>
      </c>
      <c r="T71" s="96" t="inlineStr">
        <is>
          <t>BTS</t>
        </is>
      </c>
      <c r="U71" s="97" t="n"/>
      <c r="V71" s="96" t="inlineStr">
        <is>
          <t>C0721002</t>
        </is>
      </c>
      <c r="W71" s="96" t="inlineStr">
        <is>
          <t>CNTRANS EXPRESS CO., LTD.</t>
        </is>
      </c>
      <c r="X71" s="96" t="inlineStr">
        <is>
          <t>VFD</t>
        </is>
      </c>
      <c r="Y71" s="96" t="inlineStr">
        <is>
          <t>HL SHIPPING CO.,LTD.</t>
        </is>
      </c>
      <c r="Z71" s="96" t="inlineStr">
        <is>
          <t>HL SHIPPING CO.,LTD.</t>
        </is>
      </c>
      <c r="AA71" s="97" t="n">
        <v>9637.5</v>
      </c>
      <c r="AB71" s="96" t="inlineStr">
        <is>
          <t>BKK04</t>
        </is>
      </c>
      <c r="AC71" s="96" t="inlineStr">
        <is>
          <t>SGN03</t>
        </is>
      </c>
    </row>
    <row r="72" ht="12" customHeight="1">
      <c r="A72" s="96" t="inlineStr">
        <is>
          <t>SEKU9004119</t>
        </is>
      </c>
      <c r="B72" s="161" t="inlineStr">
        <is>
          <t>2026-10-08</t>
        </is>
      </c>
      <c r="C72" s="96" t="inlineStr">
        <is>
          <t>SWSP</t>
        </is>
      </c>
      <c r="D72" s="96" t="inlineStr">
        <is>
          <t>2609N</t>
        </is>
      </c>
      <c r="E72" s="96" t="inlineStr">
        <is>
          <t>22RE</t>
        </is>
      </c>
      <c r="F72" s="96" t="inlineStr">
        <is>
          <t>SD</t>
        </is>
      </c>
      <c r="G72" s="96" t="inlineStr">
        <is>
          <t>THBKK</t>
        </is>
      </c>
      <c r="H72" s="96" t="inlineStr">
        <is>
          <t>THBKK</t>
        </is>
      </c>
      <c r="I72" s="96" t="inlineStr">
        <is>
          <t>KRPUS</t>
        </is>
      </c>
      <c r="J72" s="96" t="inlineStr">
        <is>
          <t>RUVVO</t>
        </is>
      </c>
      <c r="K72" s="96" t="inlineStr">
        <is>
          <t>F</t>
        </is>
      </c>
      <c r="L72" s="96" t="inlineStr">
        <is>
          <t>L/T</t>
        </is>
      </c>
      <c r="M72" s="96" t="inlineStr">
        <is>
          <t>VFL</t>
        </is>
      </c>
      <c r="N72" s="96" t="inlineStr">
        <is>
          <t>BKK04</t>
        </is>
      </c>
      <c r="O72" s="96" t="inlineStr">
        <is>
          <t>BKK</t>
        </is>
      </c>
      <c r="P72" s="96" t="inlineStr">
        <is>
          <t>TH</t>
        </is>
      </c>
      <c r="Q72" s="96" t="inlineStr">
        <is>
          <t>HASLS22260901997</t>
        </is>
      </c>
      <c r="R72" s="96" t="inlineStr">
        <is>
          <t>Y</t>
        </is>
      </c>
      <c r="S72" s="96" t="inlineStr">
        <is>
          <t>N</t>
        </is>
      </c>
      <c r="T72" s="96" t="inlineStr">
        <is>
          <t>BTS</t>
        </is>
      </c>
      <c r="U72" s="97" t="n"/>
      <c r="V72" s="96" t="inlineStr">
        <is>
          <t>C0121002</t>
        </is>
      </c>
      <c r="W72" s="96" t="inlineStr">
        <is>
          <t>BRIO LOGISTICS (THAILAND) CO.,LTD.</t>
        </is>
      </c>
      <c r="X72" s="96" t="inlineStr">
        <is>
          <t>VFD</t>
        </is>
      </c>
      <c r="Y72" s="96" t="inlineStr">
        <is>
          <t>DV NEVADA CO.,LTD.</t>
        </is>
      </c>
      <c r="Z72" s="96" t="inlineStr">
        <is>
          <t>SILK WAY LOGISTIC LLC</t>
        </is>
      </c>
      <c r="AA72" s="97" t="n">
        <v>17399</v>
      </c>
      <c r="AB72" s="96" t="inlineStr">
        <is>
          <t>BKK04</t>
        </is>
      </c>
      <c r="AC72" s="96" t="inlineStr">
        <is>
          <t>VVO01</t>
        </is>
      </c>
    </row>
    <row r="73" ht="12" customHeight="1">
      <c r="A73" s="96" t="inlineStr">
        <is>
          <t>SKHU6305021</t>
        </is>
      </c>
      <c r="B73" s="161" t="inlineStr">
        <is>
          <t>2026-10-08</t>
        </is>
      </c>
      <c r="C73" s="96" t="inlineStr">
        <is>
          <t>SWSP</t>
        </is>
      </c>
      <c r="D73" s="96" t="inlineStr">
        <is>
          <t>2609N</t>
        </is>
      </c>
      <c r="E73" s="96" t="inlineStr">
        <is>
          <t>45GP</t>
        </is>
      </c>
      <c r="F73" s="96" t="inlineStr">
        <is>
          <t>SD</t>
        </is>
      </c>
      <c r="G73" s="96" t="inlineStr">
        <is>
          <t>THBKK</t>
        </is>
      </c>
      <c r="H73" s="96" t="inlineStr">
        <is>
          <t>THBKK</t>
        </is>
      </c>
      <c r="I73" s="96" t="inlineStr">
        <is>
          <t>VNSGN</t>
        </is>
      </c>
      <c r="J73" s="96" t="inlineStr">
        <is>
          <t>VNSGN</t>
        </is>
      </c>
      <c r="K73" s="96" t="inlineStr">
        <is>
          <t>F</t>
        </is>
      </c>
      <c r="L73" s="96" t="inlineStr">
        <is>
          <t>ONE</t>
        </is>
      </c>
      <c r="M73" s="96" t="inlineStr">
        <is>
          <t>VFL</t>
        </is>
      </c>
      <c r="N73" s="96" t="inlineStr">
        <is>
          <t>BKK04</t>
        </is>
      </c>
      <c r="O73" s="96" t="inlineStr">
        <is>
          <t>BKK</t>
        </is>
      </c>
      <c r="P73" s="96" t="inlineStr">
        <is>
          <t>TH</t>
        </is>
      </c>
      <c r="Q73" s="96" t="inlineStr">
        <is>
          <t>HASLS22260900586</t>
        </is>
      </c>
      <c r="R73" s="96" t="inlineStr">
        <is>
          <t>N</t>
        </is>
      </c>
      <c r="S73" s="96" t="inlineStr">
        <is>
          <t>N</t>
        </is>
      </c>
      <c r="T73" s="96" t="inlineStr">
        <is>
          <t>BTS</t>
        </is>
      </c>
      <c r="U73" s="97" t="n"/>
      <c r="V73" s="96" t="inlineStr">
        <is>
          <t>K0120023</t>
        </is>
      </c>
      <c r="W73" s="96" t="inlineStr">
        <is>
          <t>BIRLA CARBON (THAILAND) PUBLIC</t>
        </is>
      </c>
      <c r="X73" s="96" t="inlineStr">
        <is>
          <t>VFD</t>
        </is>
      </c>
      <c r="Y73" s="96" t="inlineStr">
        <is>
          <t>JINYU (VIETNAM) TIRE CO.,LTD</t>
        </is>
      </c>
      <c r="Z73" s="96" t="inlineStr">
        <is>
          <t>JINYU (VIETNAM) TIRE CO.,LTD</t>
        </is>
      </c>
      <c r="AA73" s="97" t="n">
        <v>22308</v>
      </c>
      <c r="AB73" s="96" t="inlineStr">
        <is>
          <t>BKK04</t>
        </is>
      </c>
      <c r="AC73" s="96" t="inlineStr">
        <is>
          <t>SGN03</t>
        </is>
      </c>
    </row>
    <row r="74" ht="12" customHeight="1">
      <c r="A74" s="96" t="inlineStr">
        <is>
          <t>SKHU6305720</t>
        </is>
      </c>
      <c r="B74" s="161" t="inlineStr">
        <is>
          <t>2026-10-08</t>
        </is>
      </c>
      <c r="C74" s="96" t="inlineStr">
        <is>
          <t>SWSP</t>
        </is>
      </c>
      <c r="D74" s="96" t="inlineStr">
        <is>
          <t>2609N</t>
        </is>
      </c>
      <c r="E74" s="96" t="inlineStr">
        <is>
          <t>45GP</t>
        </is>
      </c>
      <c r="F74" s="96" t="inlineStr">
        <is>
          <t>SD</t>
        </is>
      </c>
      <c r="G74" s="96" t="inlineStr">
        <is>
          <t>THBKK</t>
        </is>
      </c>
      <c r="H74" s="96" t="inlineStr">
        <is>
          <t>THBKK</t>
        </is>
      </c>
      <c r="I74" s="96" t="inlineStr">
        <is>
          <t>VNSGN</t>
        </is>
      </c>
      <c r="J74" s="96" t="inlineStr">
        <is>
          <t>VNSGN</t>
        </is>
      </c>
      <c r="K74" s="96" t="inlineStr">
        <is>
          <t>F</t>
        </is>
      </c>
      <c r="L74" s="96" t="inlineStr">
        <is>
          <t>ONE</t>
        </is>
      </c>
      <c r="M74" s="96" t="inlineStr">
        <is>
          <t>VFL</t>
        </is>
      </c>
      <c r="N74" s="96" t="inlineStr">
        <is>
          <t>BKK04</t>
        </is>
      </c>
      <c r="O74" s="96" t="inlineStr">
        <is>
          <t>BKK</t>
        </is>
      </c>
      <c r="P74" s="96" t="inlineStr">
        <is>
          <t>TH</t>
        </is>
      </c>
      <c r="Q74" s="96" t="inlineStr">
        <is>
          <t>HASLS22260901688</t>
        </is>
      </c>
      <c r="R74" s="96" t="inlineStr">
        <is>
          <t>N</t>
        </is>
      </c>
      <c r="S74" s="96" t="inlineStr">
        <is>
          <t>N</t>
        </is>
      </c>
      <c r="T74" s="96" t="inlineStr">
        <is>
          <t>BTS</t>
        </is>
      </c>
      <c r="U74" s="97" t="n"/>
      <c r="V74" s="96" t="inlineStr">
        <is>
          <t>K0120023</t>
        </is>
      </c>
      <c r="W74" s="96" t="inlineStr">
        <is>
          <t>METRO PARTICLE CO.,LTD.</t>
        </is>
      </c>
      <c r="X74" s="96" t="inlineStr">
        <is>
          <t>VFD</t>
        </is>
      </c>
      <c r="Y74" s="96" t="inlineStr">
        <is>
          <t>YI LONG VIETNAM FURNITURE CO., LTD.</t>
        </is>
      </c>
      <c r="Z74" s="96" t="inlineStr">
        <is>
          <t>YI LONG VIETNAM FURNITURE CO., LTD.</t>
        </is>
      </c>
      <c r="AA74" s="97" t="n">
        <v>27652</v>
      </c>
      <c r="AB74" s="96" t="inlineStr">
        <is>
          <t>BKK04</t>
        </is>
      </c>
      <c r="AC74" s="96" t="inlineStr">
        <is>
          <t>SGN03</t>
        </is>
      </c>
    </row>
    <row r="75" ht="12" customHeight="1">
      <c r="A75" s="96" t="inlineStr">
        <is>
          <t>SKHU6313346</t>
        </is>
      </c>
      <c r="B75" s="161" t="inlineStr">
        <is>
          <t>2026-10-08</t>
        </is>
      </c>
      <c r="C75" s="96" t="inlineStr">
        <is>
          <t>SWSP</t>
        </is>
      </c>
      <c r="D75" s="96" t="inlineStr">
        <is>
          <t>2609N</t>
        </is>
      </c>
      <c r="E75" s="96" t="inlineStr">
        <is>
          <t>45GP</t>
        </is>
      </c>
      <c r="F75" s="96" t="inlineStr">
        <is>
          <t>SD</t>
        </is>
      </c>
      <c r="G75" s="96" t="inlineStr">
        <is>
          <t>THBKK</t>
        </is>
      </c>
      <c r="H75" s="96" t="inlineStr">
        <is>
          <t>THBKK</t>
        </is>
      </c>
      <c r="I75" s="96" t="inlineStr">
        <is>
          <t>VNSGN</t>
        </is>
      </c>
      <c r="J75" s="96" t="inlineStr">
        <is>
          <t>VNSGN</t>
        </is>
      </c>
      <c r="K75" s="96" t="inlineStr">
        <is>
          <t>F</t>
        </is>
      </c>
      <c r="L75" s="96" t="inlineStr">
        <is>
          <t>ONE</t>
        </is>
      </c>
      <c r="M75" s="96" t="inlineStr">
        <is>
          <t>VFL</t>
        </is>
      </c>
      <c r="N75" s="96" t="inlineStr">
        <is>
          <t>BKK04</t>
        </is>
      </c>
      <c r="O75" s="96" t="inlineStr">
        <is>
          <t>BKK</t>
        </is>
      </c>
      <c r="P75" s="96" t="inlineStr">
        <is>
          <t>TH</t>
        </is>
      </c>
      <c r="Q75" s="96" t="inlineStr">
        <is>
          <t>HASLS22260900586</t>
        </is>
      </c>
      <c r="R75" s="96" t="inlineStr">
        <is>
          <t>N</t>
        </is>
      </c>
      <c r="S75" s="96" t="inlineStr">
        <is>
          <t>N</t>
        </is>
      </c>
      <c r="T75" s="96" t="inlineStr">
        <is>
          <t>BTS</t>
        </is>
      </c>
      <c r="U75" s="97" t="n"/>
      <c r="V75" s="96" t="inlineStr">
        <is>
          <t>K0120023</t>
        </is>
      </c>
      <c r="W75" s="96" t="inlineStr">
        <is>
          <t>BIRLA CARBON (THAILAND) PUBLIC</t>
        </is>
      </c>
      <c r="X75" s="96" t="inlineStr">
        <is>
          <t>VFD</t>
        </is>
      </c>
      <c r="Y75" s="96" t="inlineStr">
        <is>
          <t>JINYU (VIETNAM) TIRE CO.,LTD</t>
        </is>
      </c>
      <c r="Z75" s="96" t="inlineStr">
        <is>
          <t>JINYU (VIETNAM) TIRE CO.,LTD</t>
        </is>
      </c>
      <c r="AA75" s="97" t="n">
        <v>22308</v>
      </c>
      <c r="AB75" s="96" t="inlineStr">
        <is>
          <t>BKK04</t>
        </is>
      </c>
      <c r="AC75" s="96" t="inlineStr">
        <is>
          <t>SGN03</t>
        </is>
      </c>
    </row>
    <row r="76" ht="12" customHeight="1">
      <c r="A76" s="96" t="inlineStr">
        <is>
          <t>SKHU6314189</t>
        </is>
      </c>
      <c r="B76" s="161" t="inlineStr">
        <is>
          <t>2026-10-08</t>
        </is>
      </c>
      <c r="C76" s="96" t="inlineStr">
        <is>
          <t>SWSP</t>
        </is>
      </c>
      <c r="D76" s="96" t="inlineStr">
        <is>
          <t>2609N</t>
        </is>
      </c>
      <c r="E76" s="96" t="inlineStr">
        <is>
          <t>45GP</t>
        </is>
      </c>
      <c r="F76" s="96" t="inlineStr">
        <is>
          <t>SD</t>
        </is>
      </c>
      <c r="G76" s="96" t="inlineStr">
        <is>
          <t>THBKK</t>
        </is>
      </c>
      <c r="H76" s="96" t="inlineStr">
        <is>
          <t>THBKK</t>
        </is>
      </c>
      <c r="I76" s="96" t="inlineStr">
        <is>
          <t>VNSGN</t>
        </is>
      </c>
      <c r="J76" s="96" t="inlineStr">
        <is>
          <t>VNSGN</t>
        </is>
      </c>
      <c r="K76" s="96" t="inlineStr">
        <is>
          <t>F</t>
        </is>
      </c>
      <c r="L76" s="96" t="inlineStr">
        <is>
          <t>ONE</t>
        </is>
      </c>
      <c r="M76" s="96" t="inlineStr">
        <is>
          <t>VFL</t>
        </is>
      </c>
      <c r="N76" s="96" t="inlineStr">
        <is>
          <t>BKK04</t>
        </is>
      </c>
      <c r="O76" s="96" t="inlineStr">
        <is>
          <t>BKK</t>
        </is>
      </c>
      <c r="P76" s="96" t="inlineStr">
        <is>
          <t>TH</t>
        </is>
      </c>
      <c r="Q76" s="96" t="inlineStr">
        <is>
          <t>HASLS22260902260</t>
        </is>
      </c>
      <c r="R76" s="96" t="inlineStr">
        <is>
          <t>N</t>
        </is>
      </c>
      <c r="S76" s="96" t="inlineStr">
        <is>
          <t>N</t>
        </is>
      </c>
      <c r="T76" s="96" t="inlineStr">
        <is>
          <t>BTS</t>
        </is>
      </c>
      <c r="U76" s="97" t="n"/>
      <c r="V76" s="96" t="inlineStr">
        <is>
          <t>K0120023</t>
        </is>
      </c>
      <c r="W76" s="96" t="inlineStr">
        <is>
          <t>CAPRICORN LOGISTICS CO.,LTD.</t>
        </is>
      </c>
      <c r="X76" s="96" t="inlineStr">
        <is>
          <t>VFD</t>
        </is>
      </c>
      <c r="Y76" s="96" t="inlineStr">
        <is>
          <t>BLUE OCEAN INTERNATIONAL</t>
        </is>
      </c>
      <c r="Z76" s="96" t="inlineStr">
        <is>
          <t>BLUE OCEAN INTERNATIONAL</t>
        </is>
      </c>
      <c r="AA76" s="97" t="n">
        <v>9600</v>
      </c>
      <c r="AB76" s="96" t="inlineStr">
        <is>
          <t>BKK04</t>
        </is>
      </c>
      <c r="AC76" s="96" t="inlineStr">
        <is>
          <t>SGN03</t>
        </is>
      </c>
    </row>
    <row r="77" ht="12" customHeight="1">
      <c r="A77" s="96" t="inlineStr">
        <is>
          <t>SKHU6336700</t>
        </is>
      </c>
      <c r="B77" s="161" t="inlineStr">
        <is>
          <t>2026-10-08</t>
        </is>
      </c>
      <c r="C77" s="96" t="inlineStr">
        <is>
          <t>SWSP</t>
        </is>
      </c>
      <c r="D77" s="96" t="inlineStr">
        <is>
          <t>2609N</t>
        </is>
      </c>
      <c r="E77" s="96" t="inlineStr">
        <is>
          <t>45GP</t>
        </is>
      </c>
      <c r="F77" s="96" t="inlineStr">
        <is>
          <t>SD</t>
        </is>
      </c>
      <c r="G77" s="96" t="inlineStr">
        <is>
          <t>THBKK</t>
        </is>
      </c>
      <c r="H77" s="96" t="inlineStr">
        <is>
          <t>THBKK</t>
        </is>
      </c>
      <c r="I77" s="96" t="inlineStr">
        <is>
          <t>VNSGN</t>
        </is>
      </c>
      <c r="J77" s="96" t="inlineStr">
        <is>
          <t>VNSGN</t>
        </is>
      </c>
      <c r="K77" s="96" t="inlineStr">
        <is>
          <t>F</t>
        </is>
      </c>
      <c r="L77" s="96" t="inlineStr">
        <is>
          <t>ONE</t>
        </is>
      </c>
      <c r="M77" s="96" t="inlineStr">
        <is>
          <t>VFL</t>
        </is>
      </c>
      <c r="N77" s="96" t="inlineStr">
        <is>
          <t>BKK04</t>
        </is>
      </c>
      <c r="O77" s="96" t="inlineStr">
        <is>
          <t>BKK</t>
        </is>
      </c>
      <c r="P77" s="96" t="inlineStr">
        <is>
          <t>TH</t>
        </is>
      </c>
      <c r="Q77" s="96" t="inlineStr">
        <is>
          <t>HASLS22260902260</t>
        </is>
      </c>
      <c r="R77" s="96" t="inlineStr">
        <is>
          <t>N</t>
        </is>
      </c>
      <c r="S77" s="96" t="inlineStr">
        <is>
          <t>N</t>
        </is>
      </c>
      <c r="T77" s="96" t="inlineStr">
        <is>
          <t>BTS</t>
        </is>
      </c>
      <c r="U77" s="97" t="n"/>
      <c r="V77" s="96" t="inlineStr">
        <is>
          <t>K0120023</t>
        </is>
      </c>
      <c r="W77" s="96" t="inlineStr">
        <is>
          <t>CAPRICORN LOGISTICS CO.,LTD.</t>
        </is>
      </c>
      <c r="X77" s="96" t="inlineStr">
        <is>
          <t>VFD</t>
        </is>
      </c>
      <c r="Y77" s="96" t="inlineStr">
        <is>
          <t>BLUE OCEAN INTERNATIONAL</t>
        </is>
      </c>
      <c r="Z77" s="96" t="inlineStr">
        <is>
          <t>BLUE OCEAN INTERNATIONAL</t>
        </is>
      </c>
      <c r="AA77" s="97" t="n">
        <v>9830</v>
      </c>
      <c r="AB77" s="96" t="inlineStr">
        <is>
          <t>BKK04</t>
        </is>
      </c>
      <c r="AC77" s="96" t="inlineStr">
        <is>
          <t>SGN03</t>
        </is>
      </c>
    </row>
    <row r="78" ht="12" customHeight="1">
      <c r="A78" s="96" t="inlineStr">
        <is>
          <t>SKHU6336871</t>
        </is>
      </c>
      <c r="B78" s="161" t="inlineStr">
        <is>
          <t>2026-10-08</t>
        </is>
      </c>
      <c r="C78" s="96" t="inlineStr">
        <is>
          <t>SWSP</t>
        </is>
      </c>
      <c r="D78" s="96" t="inlineStr">
        <is>
          <t>2609N</t>
        </is>
      </c>
      <c r="E78" s="96" t="inlineStr">
        <is>
          <t>45GP</t>
        </is>
      </c>
      <c r="F78" s="96" t="inlineStr">
        <is>
          <t>SD</t>
        </is>
      </c>
      <c r="G78" s="96" t="inlineStr">
        <is>
          <t>THBKK</t>
        </is>
      </c>
      <c r="H78" s="96" t="inlineStr">
        <is>
          <t>THBKK</t>
        </is>
      </c>
      <c r="I78" s="96" t="inlineStr">
        <is>
          <t>VNSGN</t>
        </is>
      </c>
      <c r="J78" s="96" t="inlineStr">
        <is>
          <t>VNSGN</t>
        </is>
      </c>
      <c r="K78" s="96" t="inlineStr">
        <is>
          <t>F</t>
        </is>
      </c>
      <c r="L78" s="96" t="inlineStr">
        <is>
          <t>ONE</t>
        </is>
      </c>
      <c r="M78" s="96" t="inlineStr">
        <is>
          <t>VFL</t>
        </is>
      </c>
      <c r="N78" s="96" t="inlineStr">
        <is>
          <t>BKK04</t>
        </is>
      </c>
      <c r="O78" s="96" t="inlineStr">
        <is>
          <t>BKK</t>
        </is>
      </c>
      <c r="P78" s="96" t="inlineStr">
        <is>
          <t>TH</t>
        </is>
      </c>
      <c r="Q78" s="96" t="inlineStr">
        <is>
          <t>HASLS22260901649</t>
        </is>
      </c>
      <c r="R78" s="96" t="inlineStr">
        <is>
          <t>N</t>
        </is>
      </c>
      <c r="S78" s="96" t="inlineStr">
        <is>
          <t>N</t>
        </is>
      </c>
      <c r="T78" s="96" t="inlineStr">
        <is>
          <t>BTS</t>
        </is>
      </c>
      <c r="U78" s="97" t="n"/>
      <c r="V78" s="96" t="inlineStr">
        <is>
          <t>K0120023</t>
        </is>
      </c>
      <c r="W78" s="96" t="inlineStr">
        <is>
          <t>APEX CIRCUIT (THAILAND) CO.,LTD.</t>
        </is>
      </c>
      <c r="X78" s="96" t="inlineStr">
        <is>
          <t>VFD</t>
        </is>
      </c>
      <c r="Y78" s="96" t="inlineStr">
        <is>
          <t>SAMSUNG ELECTRONICS HCMC CE COMPLEX</t>
        </is>
      </c>
      <c r="Z78" s="96" t="inlineStr">
        <is>
          <t>SAMSUNG SDS VIETNAM CO., LTD -</t>
        </is>
      </c>
      <c r="AA78" s="97" t="n">
        <v>12939.49</v>
      </c>
      <c r="AB78" s="96" t="inlineStr">
        <is>
          <t>BKK04</t>
        </is>
      </c>
      <c r="AC78" s="96" t="inlineStr">
        <is>
          <t>SGN03</t>
        </is>
      </c>
    </row>
    <row r="79" ht="12" customHeight="1">
      <c r="A79" s="96" t="inlineStr">
        <is>
          <t>SKHU6365801</t>
        </is>
      </c>
      <c r="B79" s="161" t="inlineStr">
        <is>
          <t>2026-10-08</t>
        </is>
      </c>
      <c r="C79" s="96" t="inlineStr">
        <is>
          <t>SWSP</t>
        </is>
      </c>
      <c r="D79" s="96" t="inlineStr">
        <is>
          <t>2609N</t>
        </is>
      </c>
      <c r="E79" s="96" t="inlineStr">
        <is>
          <t>45GP</t>
        </is>
      </c>
      <c r="F79" s="96" t="inlineStr">
        <is>
          <t>SD</t>
        </is>
      </c>
      <c r="G79" s="96" t="inlineStr">
        <is>
          <t>THBKK</t>
        </is>
      </c>
      <c r="H79" s="96" t="inlineStr">
        <is>
          <t>THBKK</t>
        </is>
      </c>
      <c r="I79" s="96" t="inlineStr">
        <is>
          <t>VNSGN</t>
        </is>
      </c>
      <c r="J79" s="96" t="inlineStr">
        <is>
          <t>VNSGN</t>
        </is>
      </c>
      <c r="K79" s="96" t="inlineStr">
        <is>
          <t>F</t>
        </is>
      </c>
      <c r="L79" s="96" t="inlineStr">
        <is>
          <t>ONE</t>
        </is>
      </c>
      <c r="M79" s="96" t="inlineStr">
        <is>
          <t>VFL</t>
        </is>
      </c>
      <c r="N79" s="96" t="inlineStr">
        <is>
          <t>BKK04</t>
        </is>
      </c>
      <c r="O79" s="96" t="inlineStr">
        <is>
          <t>BKK</t>
        </is>
      </c>
      <c r="P79" s="96" t="inlineStr">
        <is>
          <t>TH</t>
        </is>
      </c>
      <c r="Q79" s="96" t="inlineStr">
        <is>
          <t>HASLS22260900834</t>
        </is>
      </c>
      <c r="R79" s="96" t="inlineStr">
        <is>
          <t>N</t>
        </is>
      </c>
      <c r="S79" s="96" t="inlineStr">
        <is>
          <t>N</t>
        </is>
      </c>
      <c r="T79" s="96" t="inlineStr">
        <is>
          <t>BTS</t>
        </is>
      </c>
      <c r="U79" s="97" t="n"/>
      <c r="V79" s="96" t="inlineStr">
        <is>
          <t>K0120023</t>
        </is>
      </c>
      <c r="W79" s="96" t="inlineStr">
        <is>
          <t>TETRA PAK (THAILAND) LIMITED</t>
        </is>
      </c>
      <c r="X79" s="96" t="inlineStr">
        <is>
          <t>VFD</t>
        </is>
      </c>
      <c r="Y79" s="96" t="inlineStr">
        <is>
          <t>TETRA PAK BINH DUONG JOINT STOCK CO</t>
        </is>
      </c>
      <c r="Z79" s="96" t="inlineStr">
        <is>
          <t>MAERSK LOGISTICS &amp; SERVICES VIETNAM</t>
        </is>
      </c>
      <c r="AA79" s="97" t="n">
        <v>7560</v>
      </c>
      <c r="AB79" s="96" t="inlineStr">
        <is>
          <t>BKK04</t>
        </is>
      </c>
      <c r="AC79" s="96" t="inlineStr">
        <is>
          <t>SGN03</t>
        </is>
      </c>
    </row>
    <row r="80" ht="12" customHeight="1">
      <c r="A80" s="96" t="inlineStr">
        <is>
          <t>SKHU6428411</t>
        </is>
      </c>
      <c r="B80" s="161" t="inlineStr">
        <is>
          <t>2026-10-08</t>
        </is>
      </c>
      <c r="C80" s="96" t="inlineStr">
        <is>
          <t>SWSP</t>
        </is>
      </c>
      <c r="D80" s="96" t="inlineStr">
        <is>
          <t>2609N</t>
        </is>
      </c>
      <c r="E80" s="96" t="inlineStr">
        <is>
          <t>45GP</t>
        </is>
      </c>
      <c r="F80" s="96" t="inlineStr">
        <is>
          <t>SD</t>
        </is>
      </c>
      <c r="G80" s="96" t="inlineStr">
        <is>
          <t>THBKK</t>
        </is>
      </c>
      <c r="H80" s="96" t="inlineStr">
        <is>
          <t>THBKK</t>
        </is>
      </c>
      <c r="I80" s="96" t="inlineStr">
        <is>
          <t>KRKAN</t>
        </is>
      </c>
      <c r="J80" s="96" t="inlineStr">
        <is>
          <t>KRKAN</t>
        </is>
      </c>
      <c r="K80" s="96" t="inlineStr">
        <is>
          <t>F</t>
        </is>
      </c>
      <c r="L80" s="96" t="inlineStr">
        <is>
          <t>ONE</t>
        </is>
      </c>
      <c r="M80" s="96" t="inlineStr">
        <is>
          <t>VFL</t>
        </is>
      </c>
      <c r="N80" s="96" t="inlineStr">
        <is>
          <t>BKK04</t>
        </is>
      </c>
      <c r="O80" s="96" t="inlineStr">
        <is>
          <t>BKK</t>
        </is>
      </c>
      <c r="P80" s="96" t="inlineStr">
        <is>
          <t>TH</t>
        </is>
      </c>
      <c r="Q80" s="96" t="inlineStr">
        <is>
          <t>HASLS22260900444</t>
        </is>
      </c>
      <c r="R80" s="96" t="inlineStr">
        <is>
          <t>N</t>
        </is>
      </c>
      <c r="S80" s="96" t="inlineStr">
        <is>
          <t>N</t>
        </is>
      </c>
      <c r="T80" s="96" t="inlineStr">
        <is>
          <t>BTS</t>
        </is>
      </c>
      <c r="U80" s="97" t="n"/>
      <c r="V80" s="96" t="inlineStr">
        <is>
          <t>K0120023</t>
        </is>
      </c>
      <c r="W80" s="96" t="inlineStr">
        <is>
          <t>BANGKOK STARCH INDUSTRIAL</t>
        </is>
      </c>
      <c r="X80" s="96" t="inlineStr">
        <is>
          <t>VFD</t>
        </is>
      </c>
      <c r="Y80" s="96" t="inlineStr">
        <is>
          <t>TO ORDER</t>
        </is>
      </c>
      <c r="Z80" s="96" t="inlineStr">
        <is>
          <t>KOREA FEED CO., LTD.</t>
        </is>
      </c>
      <c r="AA80" s="97" t="n">
        <v>24456</v>
      </c>
      <c r="AB80" s="96" t="inlineStr">
        <is>
          <t>BKK04</t>
        </is>
      </c>
      <c r="AC80" s="96" t="inlineStr">
        <is>
          <t>KAN04</t>
        </is>
      </c>
    </row>
    <row r="81" ht="12" customHeight="1">
      <c r="A81" s="96" t="inlineStr">
        <is>
          <t>SKHU6432962</t>
        </is>
      </c>
      <c r="B81" s="161" t="inlineStr">
        <is>
          <t>2026-10-08</t>
        </is>
      </c>
      <c r="C81" s="96" t="inlineStr">
        <is>
          <t>SWSP</t>
        </is>
      </c>
      <c r="D81" s="96" t="inlineStr">
        <is>
          <t>2609N</t>
        </is>
      </c>
      <c r="E81" s="96" t="inlineStr">
        <is>
          <t>45GP</t>
        </is>
      </c>
      <c r="F81" s="96" t="inlineStr">
        <is>
          <t>SD</t>
        </is>
      </c>
      <c r="G81" s="96" t="inlineStr">
        <is>
          <t>THBKK</t>
        </is>
      </c>
      <c r="H81" s="96" t="inlineStr">
        <is>
          <t>THBKK</t>
        </is>
      </c>
      <c r="I81" s="96" t="inlineStr">
        <is>
          <t>VNSGN</t>
        </is>
      </c>
      <c r="J81" s="96" t="inlineStr">
        <is>
          <t>VNSGN</t>
        </is>
      </c>
      <c r="K81" s="96" t="inlineStr">
        <is>
          <t>F</t>
        </is>
      </c>
      <c r="L81" s="96" t="inlineStr">
        <is>
          <t>ONE</t>
        </is>
      </c>
      <c r="M81" s="96" t="inlineStr">
        <is>
          <t>VFL</t>
        </is>
      </c>
      <c r="N81" s="96" t="inlineStr">
        <is>
          <t>BKK04</t>
        </is>
      </c>
      <c r="O81" s="96" t="inlineStr">
        <is>
          <t>BKK</t>
        </is>
      </c>
      <c r="P81" s="96" t="inlineStr">
        <is>
          <t>TH</t>
        </is>
      </c>
      <c r="Q81" s="96" t="inlineStr">
        <is>
          <t>HASLS22260901688</t>
        </is>
      </c>
      <c r="R81" s="96" t="inlineStr">
        <is>
          <t>N</t>
        </is>
      </c>
      <c r="S81" s="96" t="inlineStr">
        <is>
          <t>N</t>
        </is>
      </c>
      <c r="T81" s="96" t="inlineStr">
        <is>
          <t>BTS</t>
        </is>
      </c>
      <c r="U81" s="97" t="n"/>
      <c r="V81" s="96" t="inlineStr">
        <is>
          <t>K0120023</t>
        </is>
      </c>
      <c r="W81" s="96" t="inlineStr">
        <is>
          <t>METRO PARTICLE CO.,LTD.</t>
        </is>
      </c>
      <c r="X81" s="96" t="inlineStr">
        <is>
          <t>VFD</t>
        </is>
      </c>
      <c r="Y81" s="96" t="inlineStr">
        <is>
          <t>YI LONG VIETNAM FURNITURE CO., LTD.</t>
        </is>
      </c>
      <c r="Z81" s="96" t="inlineStr">
        <is>
          <t>YI LONG VIETNAM FURNITURE CO., LTD.</t>
        </is>
      </c>
      <c r="AA81" s="97" t="n">
        <v>27652</v>
      </c>
      <c r="AB81" s="96" t="inlineStr">
        <is>
          <t>BKK04</t>
        </is>
      </c>
      <c r="AC81" s="96" t="inlineStr">
        <is>
          <t>SGN03</t>
        </is>
      </c>
    </row>
    <row r="82" ht="12" customHeight="1">
      <c r="A82" s="96" t="inlineStr">
        <is>
          <t>SKHU6447746</t>
        </is>
      </c>
      <c r="B82" s="161" t="inlineStr">
        <is>
          <t>2026-10-08</t>
        </is>
      </c>
      <c r="C82" s="96" t="inlineStr">
        <is>
          <t>SWSP</t>
        </is>
      </c>
      <c r="D82" s="96" t="inlineStr">
        <is>
          <t>2609N</t>
        </is>
      </c>
      <c r="E82" s="96" t="inlineStr">
        <is>
          <t>45GP</t>
        </is>
      </c>
      <c r="F82" s="96" t="inlineStr">
        <is>
          <t>SD</t>
        </is>
      </c>
      <c r="G82" s="96" t="inlineStr">
        <is>
          <t>THBKK</t>
        </is>
      </c>
      <c r="H82" s="96" t="inlineStr">
        <is>
          <t>THBKK</t>
        </is>
      </c>
      <c r="I82" s="96" t="inlineStr">
        <is>
          <t>VNSGN</t>
        </is>
      </c>
      <c r="J82" s="96" t="inlineStr">
        <is>
          <t>VNSGN</t>
        </is>
      </c>
      <c r="K82" s="96" t="inlineStr">
        <is>
          <t>F</t>
        </is>
      </c>
      <c r="L82" s="96" t="inlineStr">
        <is>
          <t>ONE</t>
        </is>
      </c>
      <c r="M82" s="96" t="inlineStr">
        <is>
          <t>VFL</t>
        </is>
      </c>
      <c r="N82" s="96" t="inlineStr">
        <is>
          <t>BKK04</t>
        </is>
      </c>
      <c r="O82" s="96" t="inlineStr">
        <is>
          <t>BKK</t>
        </is>
      </c>
      <c r="P82" s="96" t="inlineStr">
        <is>
          <t>TH</t>
        </is>
      </c>
      <c r="Q82" s="96" t="inlineStr">
        <is>
          <t>HASLS22260900834</t>
        </is>
      </c>
      <c r="R82" s="96" t="inlineStr">
        <is>
          <t>N</t>
        </is>
      </c>
      <c r="S82" s="96" t="inlineStr">
        <is>
          <t>N</t>
        </is>
      </c>
      <c r="T82" s="96" t="inlineStr">
        <is>
          <t>BTS</t>
        </is>
      </c>
      <c r="U82" s="97" t="n"/>
      <c r="V82" s="96" t="inlineStr">
        <is>
          <t>K0120023</t>
        </is>
      </c>
      <c r="W82" s="96" t="inlineStr">
        <is>
          <t>TETRA PAK (THAILAND) LIMITED</t>
        </is>
      </c>
      <c r="X82" s="96" t="inlineStr">
        <is>
          <t>VFD</t>
        </is>
      </c>
      <c r="Y82" s="96" t="inlineStr">
        <is>
          <t>TETRA PAK BINH DUONG JOINT STOCK CO</t>
        </is>
      </c>
      <c r="Z82" s="96" t="inlineStr">
        <is>
          <t>MAERSK LOGISTICS &amp; SERVICES VIETNAM</t>
        </is>
      </c>
      <c r="AA82" s="97" t="n">
        <v>7560</v>
      </c>
      <c r="AB82" s="96" t="inlineStr">
        <is>
          <t>BKK04</t>
        </is>
      </c>
      <c r="AC82" s="96" t="inlineStr">
        <is>
          <t>SGN03</t>
        </is>
      </c>
    </row>
    <row r="83" ht="12" customHeight="1">
      <c r="A83" s="96" t="inlineStr">
        <is>
          <t>SKHU6455818</t>
        </is>
      </c>
      <c r="B83" s="161" t="inlineStr">
        <is>
          <t>2026-10-08</t>
        </is>
      </c>
      <c r="C83" s="96" t="inlineStr">
        <is>
          <t>SWSP</t>
        </is>
      </c>
      <c r="D83" s="96" t="inlineStr">
        <is>
          <t>2609N</t>
        </is>
      </c>
      <c r="E83" s="96" t="inlineStr">
        <is>
          <t>45GP</t>
        </is>
      </c>
      <c r="F83" s="96" t="inlineStr">
        <is>
          <t>SD</t>
        </is>
      </c>
      <c r="G83" s="96" t="inlineStr">
        <is>
          <t>THBKK</t>
        </is>
      </c>
      <c r="H83" s="96" t="inlineStr">
        <is>
          <t>THBKK</t>
        </is>
      </c>
      <c r="I83" s="96" t="inlineStr">
        <is>
          <t>VNSGN</t>
        </is>
      </c>
      <c r="J83" s="96" t="inlineStr">
        <is>
          <t>VNSGN</t>
        </is>
      </c>
      <c r="K83" s="96" t="inlineStr">
        <is>
          <t>F</t>
        </is>
      </c>
      <c r="L83" s="96" t="inlineStr">
        <is>
          <t>ONE</t>
        </is>
      </c>
      <c r="M83" s="96" t="inlineStr">
        <is>
          <t>VFL</t>
        </is>
      </c>
      <c r="N83" s="96" t="inlineStr">
        <is>
          <t>BKK04</t>
        </is>
      </c>
      <c r="O83" s="96" t="inlineStr">
        <is>
          <t>BKK</t>
        </is>
      </c>
      <c r="P83" s="96" t="inlineStr">
        <is>
          <t>TH</t>
        </is>
      </c>
      <c r="Q83" s="96" t="inlineStr">
        <is>
          <t>HASLS22260901036</t>
        </is>
      </c>
      <c r="R83" s="96" t="inlineStr">
        <is>
          <t>N</t>
        </is>
      </c>
      <c r="S83" s="96" t="inlineStr">
        <is>
          <t>N</t>
        </is>
      </c>
      <c r="T83" s="96" t="inlineStr">
        <is>
          <t>BTS</t>
        </is>
      </c>
      <c r="U83" s="97" t="n"/>
      <c r="V83" s="96" t="inlineStr">
        <is>
          <t>K0120023</t>
        </is>
      </c>
      <c r="W83" s="96" t="inlineStr">
        <is>
          <t>KANGWAL POLYESTER CO., LTD.</t>
        </is>
      </c>
      <c r="X83" s="96" t="inlineStr">
        <is>
          <t>VFD</t>
        </is>
      </c>
      <c r="Y83" s="96" t="inlineStr">
        <is>
          <t>TO ORDER OF VIETNAM INTERNATIONAL</t>
        </is>
      </c>
      <c r="Z83" s="96" t="inlineStr">
        <is>
          <t>VIET THANG CORPORATION (VICOTEX)</t>
        </is>
      </c>
      <c r="AA83" s="97" t="n">
        <v>25201</v>
      </c>
      <c r="AB83" s="96" t="inlineStr">
        <is>
          <t>BKK04</t>
        </is>
      </c>
      <c r="AC83" s="96" t="inlineStr">
        <is>
          <t>SGN03</t>
        </is>
      </c>
    </row>
    <row r="84" ht="12" customHeight="1">
      <c r="A84" s="96" t="inlineStr">
        <is>
          <t>SKHU6480019</t>
        </is>
      </c>
      <c r="B84" s="161" t="inlineStr">
        <is>
          <t>2026-10-08</t>
        </is>
      </c>
      <c r="C84" s="96" t="inlineStr">
        <is>
          <t>SWSP</t>
        </is>
      </c>
      <c r="D84" s="96" t="inlineStr">
        <is>
          <t>2609N</t>
        </is>
      </c>
      <c r="E84" s="96" t="inlineStr">
        <is>
          <t>45GP</t>
        </is>
      </c>
      <c r="F84" s="96" t="inlineStr">
        <is>
          <t>SD</t>
        </is>
      </c>
      <c r="G84" s="96" t="inlineStr">
        <is>
          <t>THBKK</t>
        </is>
      </c>
      <c r="H84" s="96" t="inlineStr">
        <is>
          <t>THBKK</t>
        </is>
      </c>
      <c r="I84" s="96" t="inlineStr">
        <is>
          <t>VNSGN</t>
        </is>
      </c>
      <c r="J84" s="96" t="inlineStr">
        <is>
          <t>VNSGN</t>
        </is>
      </c>
      <c r="K84" s="96" t="inlineStr">
        <is>
          <t>F</t>
        </is>
      </c>
      <c r="L84" s="96" t="inlineStr">
        <is>
          <t>ONE</t>
        </is>
      </c>
      <c r="M84" s="96" t="inlineStr">
        <is>
          <t>VFL</t>
        </is>
      </c>
      <c r="N84" s="96" t="inlineStr">
        <is>
          <t>BKK04</t>
        </is>
      </c>
      <c r="O84" s="96" t="inlineStr">
        <is>
          <t>BKK</t>
        </is>
      </c>
      <c r="P84" s="96" t="inlineStr">
        <is>
          <t>TH</t>
        </is>
      </c>
      <c r="Q84" s="96" t="inlineStr">
        <is>
          <t>HASLS22260902210</t>
        </is>
      </c>
      <c r="R84" s="96" t="inlineStr">
        <is>
          <t>N</t>
        </is>
      </c>
      <c r="S84" s="96" t="inlineStr">
        <is>
          <t>N</t>
        </is>
      </c>
      <c r="T84" s="96" t="inlineStr">
        <is>
          <t>BTS</t>
        </is>
      </c>
      <c r="U84" s="97" t="n"/>
      <c r="V84" s="96" t="inlineStr">
        <is>
          <t>K0120023</t>
        </is>
      </c>
      <c r="W84" s="96" t="inlineStr">
        <is>
          <t>CAPRICORN LOGISTICS CO.,LTD.</t>
        </is>
      </c>
      <c r="X84" s="96" t="inlineStr">
        <is>
          <t>VFD</t>
        </is>
      </c>
      <c r="Y84" s="96" t="inlineStr">
        <is>
          <t>GIA NGUYEN INT'L LOGISTICS CO., LTD</t>
        </is>
      </c>
      <c r="Z84" s="96" t="inlineStr">
        <is>
          <t>GIA NGUYEN INT'L LOGISTICS CO., LTD</t>
        </is>
      </c>
      <c r="AA84" s="97" t="n">
        <v>5270.53</v>
      </c>
      <c r="AB84" s="96" t="inlineStr">
        <is>
          <t>BKK04</t>
        </is>
      </c>
      <c r="AC84" s="96" t="inlineStr">
        <is>
          <t>SGN03</t>
        </is>
      </c>
    </row>
    <row r="85" ht="12" customHeight="1">
      <c r="A85" s="96" t="inlineStr">
        <is>
          <t>SKHU6521062</t>
        </is>
      </c>
      <c r="B85" s="161" t="inlineStr">
        <is>
          <t>2026-10-08</t>
        </is>
      </c>
      <c r="C85" s="96" t="inlineStr">
        <is>
          <t>SWSP</t>
        </is>
      </c>
      <c r="D85" s="96" t="inlineStr">
        <is>
          <t>2609N</t>
        </is>
      </c>
      <c r="E85" s="96" t="inlineStr">
        <is>
          <t>45GP</t>
        </is>
      </c>
      <c r="F85" s="96" t="inlineStr">
        <is>
          <t>SD</t>
        </is>
      </c>
      <c r="G85" s="96" t="inlineStr">
        <is>
          <t>THBKK</t>
        </is>
      </c>
      <c r="H85" s="96" t="inlineStr">
        <is>
          <t>THBKK</t>
        </is>
      </c>
      <c r="I85" s="96" t="inlineStr">
        <is>
          <t>VNSGN</t>
        </is>
      </c>
      <c r="J85" s="96" t="inlineStr">
        <is>
          <t>VNSGN</t>
        </is>
      </c>
      <c r="K85" s="96" t="inlineStr">
        <is>
          <t>F</t>
        </is>
      </c>
      <c r="L85" s="96" t="inlineStr">
        <is>
          <t>ONE</t>
        </is>
      </c>
      <c r="M85" s="96" t="inlineStr">
        <is>
          <t>VFL</t>
        </is>
      </c>
      <c r="N85" s="96" t="inlineStr">
        <is>
          <t>BKK04</t>
        </is>
      </c>
      <c r="O85" s="96" t="inlineStr">
        <is>
          <t>BKK</t>
        </is>
      </c>
      <c r="P85" s="96" t="inlineStr">
        <is>
          <t>TH</t>
        </is>
      </c>
      <c r="Q85" s="96" t="inlineStr">
        <is>
          <t>HASLS22260902260</t>
        </is>
      </c>
      <c r="R85" s="96" t="inlineStr">
        <is>
          <t>N</t>
        </is>
      </c>
      <c r="S85" s="96" t="inlineStr">
        <is>
          <t>N</t>
        </is>
      </c>
      <c r="T85" s="96" t="inlineStr">
        <is>
          <t>BTS</t>
        </is>
      </c>
      <c r="U85" s="97" t="n"/>
      <c r="V85" s="96" t="inlineStr">
        <is>
          <t>K0120023</t>
        </is>
      </c>
      <c r="W85" s="96" t="inlineStr">
        <is>
          <t>CAPRICORN LOGISTICS CO.,LTD.</t>
        </is>
      </c>
      <c r="X85" s="96" t="inlineStr">
        <is>
          <t>VFD</t>
        </is>
      </c>
      <c r="Y85" s="96" t="inlineStr">
        <is>
          <t>BLUE OCEAN INTERNATIONAL</t>
        </is>
      </c>
      <c r="Z85" s="96" t="inlineStr">
        <is>
          <t>BLUE OCEAN INTERNATIONAL</t>
        </is>
      </c>
      <c r="AA85" s="97" t="n">
        <v>10200</v>
      </c>
      <c r="AB85" s="96" t="inlineStr">
        <is>
          <t>BKK04</t>
        </is>
      </c>
      <c r="AC85" s="96" t="inlineStr">
        <is>
          <t>SGN03</t>
        </is>
      </c>
    </row>
    <row r="86" ht="12" customHeight="1">
      <c r="A86" s="96" t="inlineStr">
        <is>
          <t>SKHU6557912</t>
        </is>
      </c>
      <c r="B86" s="161" t="inlineStr">
        <is>
          <t>2026-10-08</t>
        </is>
      </c>
      <c r="C86" s="96" t="inlineStr">
        <is>
          <t>SWSP</t>
        </is>
      </c>
      <c r="D86" s="96" t="inlineStr">
        <is>
          <t>2609N</t>
        </is>
      </c>
      <c r="E86" s="96" t="inlineStr">
        <is>
          <t>45GP</t>
        </is>
      </c>
      <c r="F86" s="96" t="inlineStr">
        <is>
          <t>SD</t>
        </is>
      </c>
      <c r="G86" s="96" t="inlineStr">
        <is>
          <t>THBKK</t>
        </is>
      </c>
      <c r="H86" s="96" t="inlineStr">
        <is>
          <t>THBKK</t>
        </is>
      </c>
      <c r="I86" s="96" t="inlineStr">
        <is>
          <t>VNSGN</t>
        </is>
      </c>
      <c r="J86" s="96" t="inlineStr">
        <is>
          <t>VNSGN</t>
        </is>
      </c>
      <c r="K86" s="96" t="inlineStr">
        <is>
          <t>F</t>
        </is>
      </c>
      <c r="L86" s="96" t="inlineStr">
        <is>
          <t>ONE</t>
        </is>
      </c>
      <c r="M86" s="96" t="inlineStr">
        <is>
          <t>VFL</t>
        </is>
      </c>
      <c r="N86" s="96" t="inlineStr">
        <is>
          <t>BKK04</t>
        </is>
      </c>
      <c r="O86" s="96" t="inlineStr">
        <is>
          <t>BKK</t>
        </is>
      </c>
      <c r="P86" s="96" t="inlineStr">
        <is>
          <t>TH</t>
        </is>
      </c>
      <c r="Q86" s="96" t="inlineStr">
        <is>
          <t>HASLS22260901036</t>
        </is>
      </c>
      <c r="R86" s="96" t="inlineStr">
        <is>
          <t>N</t>
        </is>
      </c>
      <c r="S86" s="96" t="inlineStr">
        <is>
          <t>N</t>
        </is>
      </c>
      <c r="T86" s="96" t="inlineStr">
        <is>
          <t>BTS</t>
        </is>
      </c>
      <c r="U86" s="97" t="n"/>
      <c r="V86" s="96" t="inlineStr">
        <is>
          <t>K0120023</t>
        </is>
      </c>
      <c r="W86" s="96" t="inlineStr">
        <is>
          <t>KANGWAL POLYESTER CO., LTD.</t>
        </is>
      </c>
      <c r="X86" s="96" t="inlineStr">
        <is>
          <t>VFD</t>
        </is>
      </c>
      <c r="Y86" s="96" t="inlineStr">
        <is>
          <t>TO ORDER OF VIETNAM INTERNATIONAL</t>
        </is>
      </c>
      <c r="Z86" s="96" t="inlineStr">
        <is>
          <t>VIET THANG CORPORATION (VICOTEX)</t>
        </is>
      </c>
      <c r="AA86" s="97" t="n">
        <v>25179.6</v>
      </c>
      <c r="AB86" s="96" t="inlineStr">
        <is>
          <t>BKK04</t>
        </is>
      </c>
      <c r="AC86" s="96" t="inlineStr">
        <is>
          <t>SGN03</t>
        </is>
      </c>
    </row>
    <row r="87" ht="12" customHeight="1">
      <c r="A87" s="96" t="inlineStr">
        <is>
          <t>SKHU6580086</t>
        </is>
      </c>
      <c r="B87" s="161" t="inlineStr">
        <is>
          <t>2026-10-08</t>
        </is>
      </c>
      <c r="C87" s="96" t="inlineStr">
        <is>
          <t>SWSP</t>
        </is>
      </c>
      <c r="D87" s="96" t="inlineStr">
        <is>
          <t>2609N</t>
        </is>
      </c>
      <c r="E87" s="96" t="inlineStr">
        <is>
          <t>45GP</t>
        </is>
      </c>
      <c r="F87" s="96" t="inlineStr">
        <is>
          <t>SD</t>
        </is>
      </c>
      <c r="G87" s="96" t="inlineStr">
        <is>
          <t>THBKK</t>
        </is>
      </c>
      <c r="H87" s="96" t="inlineStr">
        <is>
          <t>THBKK</t>
        </is>
      </c>
      <c r="I87" s="96" t="inlineStr">
        <is>
          <t>VNSGN</t>
        </is>
      </c>
      <c r="J87" s="96" t="inlineStr">
        <is>
          <t>VNSGN</t>
        </is>
      </c>
      <c r="K87" s="96" t="inlineStr">
        <is>
          <t>F</t>
        </is>
      </c>
      <c r="L87" s="96" t="inlineStr">
        <is>
          <t>ONE</t>
        </is>
      </c>
      <c r="M87" s="96" t="inlineStr">
        <is>
          <t>VFL</t>
        </is>
      </c>
      <c r="N87" s="96" t="inlineStr">
        <is>
          <t>BKK04</t>
        </is>
      </c>
      <c r="O87" s="96" t="inlineStr">
        <is>
          <t>BKK</t>
        </is>
      </c>
      <c r="P87" s="96" t="inlineStr">
        <is>
          <t>TH</t>
        </is>
      </c>
      <c r="Q87" s="96" t="inlineStr">
        <is>
          <t>HASLS22260901645</t>
        </is>
      </c>
      <c r="R87" s="96" t="inlineStr">
        <is>
          <t>N</t>
        </is>
      </c>
      <c r="S87" s="96" t="inlineStr">
        <is>
          <t>N</t>
        </is>
      </c>
      <c r="T87" s="96" t="inlineStr">
        <is>
          <t>BTS</t>
        </is>
      </c>
      <c r="U87" s="97" t="n"/>
      <c r="V87" s="96" t="inlineStr">
        <is>
          <t>K0120023</t>
        </is>
      </c>
      <c r="W87" s="96" t="inlineStr">
        <is>
          <t>APEX CIRCUIT (THAILAND) CO.,LTD.</t>
        </is>
      </c>
      <c r="X87" s="96" t="inlineStr">
        <is>
          <t>VFD</t>
        </is>
      </c>
      <c r="Y87" s="96" t="inlineStr">
        <is>
          <t>SAMSUNG ELECTRONICS HCMC CE COMPLEX</t>
        </is>
      </c>
      <c r="Z87" s="96" t="inlineStr">
        <is>
          <t>SAMSUNG SDS VIETNAM CO., LTD -</t>
        </is>
      </c>
      <c r="AA87" s="97" t="n">
        <v>11887.86</v>
      </c>
      <c r="AB87" s="96" t="inlineStr">
        <is>
          <t>BKK04</t>
        </is>
      </c>
      <c r="AC87" s="96" t="inlineStr">
        <is>
          <t>SGN03</t>
        </is>
      </c>
    </row>
    <row r="88" ht="12" customHeight="1">
      <c r="A88" s="96" t="inlineStr">
        <is>
          <t>SKHU6582978</t>
        </is>
      </c>
      <c r="B88" s="161" t="inlineStr">
        <is>
          <t>2026-10-08</t>
        </is>
      </c>
      <c r="C88" s="96" t="inlineStr">
        <is>
          <t>SWSP</t>
        </is>
      </c>
      <c r="D88" s="96" t="inlineStr">
        <is>
          <t>2609N</t>
        </is>
      </c>
      <c r="E88" s="96" t="inlineStr">
        <is>
          <t>45GP</t>
        </is>
      </c>
      <c r="F88" s="96" t="inlineStr">
        <is>
          <t>SD</t>
        </is>
      </c>
      <c r="G88" s="96" t="inlineStr">
        <is>
          <t>THBKK</t>
        </is>
      </c>
      <c r="H88" s="96" t="inlineStr">
        <is>
          <t>THBKK</t>
        </is>
      </c>
      <c r="I88" s="96" t="inlineStr">
        <is>
          <t>VNSGN</t>
        </is>
      </c>
      <c r="J88" s="96" t="inlineStr">
        <is>
          <t>VNSGN</t>
        </is>
      </c>
      <c r="K88" s="96" t="inlineStr">
        <is>
          <t>F</t>
        </is>
      </c>
      <c r="L88" s="96" t="inlineStr">
        <is>
          <t>ONE</t>
        </is>
      </c>
      <c r="M88" s="96" t="inlineStr">
        <is>
          <t>VFL</t>
        </is>
      </c>
      <c r="N88" s="96" t="inlineStr">
        <is>
          <t>BKK04</t>
        </is>
      </c>
      <c r="O88" s="96" t="inlineStr">
        <is>
          <t>BKK</t>
        </is>
      </c>
      <c r="P88" s="96" t="inlineStr">
        <is>
          <t>TH</t>
        </is>
      </c>
      <c r="Q88" s="96" t="inlineStr">
        <is>
          <t>HASLS22260900586</t>
        </is>
      </c>
      <c r="R88" s="96" t="inlineStr">
        <is>
          <t>N</t>
        </is>
      </c>
      <c r="S88" s="96" t="inlineStr">
        <is>
          <t>N</t>
        </is>
      </c>
      <c r="T88" s="96" t="inlineStr">
        <is>
          <t>BTS</t>
        </is>
      </c>
      <c r="U88" s="97" t="n"/>
      <c r="V88" s="96" t="inlineStr">
        <is>
          <t>K0120023</t>
        </is>
      </c>
      <c r="W88" s="96" t="inlineStr">
        <is>
          <t>BIRLA CARBON (THAILAND) PUBLIC</t>
        </is>
      </c>
      <c r="X88" s="96" t="inlineStr">
        <is>
          <t>VFD</t>
        </is>
      </c>
      <c r="Y88" s="96" t="inlineStr">
        <is>
          <t>JINYU (VIETNAM) TIRE CO.,LTD</t>
        </is>
      </c>
      <c r="Z88" s="96" t="inlineStr">
        <is>
          <t>JINYU (VIETNAM) TIRE CO.,LTD</t>
        </is>
      </c>
      <c r="AA88" s="97" t="n">
        <v>22308</v>
      </c>
      <c r="AB88" s="96" t="inlineStr">
        <is>
          <t>BKK04</t>
        </is>
      </c>
      <c r="AC88" s="96" t="inlineStr">
        <is>
          <t>SGN03</t>
        </is>
      </c>
    </row>
    <row r="89" ht="12" customHeight="1">
      <c r="A89" s="96" t="inlineStr">
        <is>
          <t>SKHU8304894</t>
        </is>
      </c>
      <c r="B89" s="161" t="inlineStr">
        <is>
          <t>2026-10-08</t>
        </is>
      </c>
      <c r="C89" s="96" t="inlineStr">
        <is>
          <t>SWSP</t>
        </is>
      </c>
      <c r="D89" s="96" t="inlineStr">
        <is>
          <t>2609N</t>
        </is>
      </c>
      <c r="E89" s="96" t="inlineStr">
        <is>
          <t>45GP</t>
        </is>
      </c>
      <c r="F89" s="96" t="inlineStr">
        <is>
          <t>SD</t>
        </is>
      </c>
      <c r="G89" s="96" t="inlineStr">
        <is>
          <t>THBKK</t>
        </is>
      </c>
      <c r="H89" s="96" t="inlineStr">
        <is>
          <t>THBKK</t>
        </is>
      </c>
      <c r="I89" s="96" t="inlineStr">
        <is>
          <t>KRPTK</t>
        </is>
      </c>
      <c r="J89" s="96" t="inlineStr">
        <is>
          <t>KRPTK</t>
        </is>
      </c>
      <c r="K89" s="96" t="inlineStr">
        <is>
          <t>F</t>
        </is>
      </c>
      <c r="L89" s="96" t="inlineStr">
        <is>
          <t>ONE</t>
        </is>
      </c>
      <c r="M89" s="96" t="inlineStr">
        <is>
          <t>VFL</t>
        </is>
      </c>
      <c r="N89" s="96" t="inlineStr">
        <is>
          <t>BKK04</t>
        </is>
      </c>
      <c r="O89" s="96" t="inlineStr">
        <is>
          <t>BKK</t>
        </is>
      </c>
      <c r="P89" s="96" t="inlineStr">
        <is>
          <t>TH</t>
        </is>
      </c>
      <c r="Q89" s="96" t="inlineStr">
        <is>
          <t>HASLS22260801164</t>
        </is>
      </c>
      <c r="R89" s="96" t="inlineStr">
        <is>
          <t>N</t>
        </is>
      </c>
      <c r="S89" s="96" t="inlineStr">
        <is>
          <t>N</t>
        </is>
      </c>
      <c r="T89" s="96" t="inlineStr">
        <is>
          <t>BTS</t>
        </is>
      </c>
      <c r="U89" s="97" t="n"/>
      <c r="V89" s="96" t="inlineStr">
        <is>
          <t>K0120023</t>
        </is>
      </c>
      <c r="W89" s="96" t="inlineStr">
        <is>
          <t>MAXTOP LOGISTICS (THAILAND)</t>
        </is>
      </c>
      <c r="X89" s="96" t="inlineStr">
        <is>
          <t>VFD</t>
        </is>
      </c>
      <c r="Y89" s="96" t="inlineStr">
        <is>
          <t>SUNGRIM GLOBAL CO.,LTD.</t>
        </is>
      </c>
      <c r="Z89" s="96" t="inlineStr">
        <is>
          <t>SUNGRIM GLOBAL CO.,LTD.</t>
        </is>
      </c>
      <c r="AA89" s="97" t="n">
        <v>22704</v>
      </c>
      <c r="AB89" s="96" t="inlineStr">
        <is>
          <t>BKK04</t>
        </is>
      </c>
      <c r="AC89" s="96" t="inlineStr">
        <is>
          <t>PTK02</t>
        </is>
      </c>
    </row>
    <row r="90" ht="12" customHeight="1">
      <c r="A90" s="96" t="inlineStr">
        <is>
          <t>SKHU8414572</t>
        </is>
      </c>
      <c r="B90" s="161" t="inlineStr">
        <is>
          <t>2026-10-08</t>
        </is>
      </c>
      <c r="C90" s="96" t="inlineStr">
        <is>
          <t>SWSP</t>
        </is>
      </c>
      <c r="D90" s="96" t="inlineStr">
        <is>
          <t>2609N</t>
        </is>
      </c>
      <c r="E90" s="96" t="inlineStr">
        <is>
          <t>45GP</t>
        </is>
      </c>
      <c r="F90" s="96" t="inlineStr">
        <is>
          <t>SD</t>
        </is>
      </c>
      <c r="G90" s="96" t="inlineStr">
        <is>
          <t>THBKK</t>
        </is>
      </c>
      <c r="H90" s="96" t="inlineStr">
        <is>
          <t>THBKK</t>
        </is>
      </c>
      <c r="I90" s="96" t="inlineStr">
        <is>
          <t>VNSGN</t>
        </is>
      </c>
      <c r="J90" s="96" t="inlineStr">
        <is>
          <t>VNSGN</t>
        </is>
      </c>
      <c r="K90" s="96" t="inlineStr">
        <is>
          <t>F</t>
        </is>
      </c>
      <c r="L90" s="96" t="inlineStr">
        <is>
          <t>ONE</t>
        </is>
      </c>
      <c r="M90" s="96" t="inlineStr">
        <is>
          <t>VFL</t>
        </is>
      </c>
      <c r="N90" s="96" t="inlineStr">
        <is>
          <t>BKK04</t>
        </is>
      </c>
      <c r="O90" s="96" t="inlineStr">
        <is>
          <t>BKK</t>
        </is>
      </c>
      <c r="P90" s="96" t="inlineStr">
        <is>
          <t>TH</t>
        </is>
      </c>
      <c r="Q90" s="96" t="inlineStr">
        <is>
          <t>HASLS22260902260</t>
        </is>
      </c>
      <c r="R90" s="96" t="inlineStr">
        <is>
          <t>N</t>
        </is>
      </c>
      <c r="S90" s="96" t="inlineStr">
        <is>
          <t>N</t>
        </is>
      </c>
      <c r="T90" s="96" t="inlineStr">
        <is>
          <t>BTS</t>
        </is>
      </c>
      <c r="U90" s="97" t="n"/>
      <c r="V90" s="96" t="inlineStr">
        <is>
          <t>K0120023</t>
        </is>
      </c>
      <c r="W90" s="96" t="inlineStr">
        <is>
          <t>CAPRICORN LOGISTICS CO.,LTD.</t>
        </is>
      </c>
      <c r="X90" s="96" t="inlineStr">
        <is>
          <t>VFD</t>
        </is>
      </c>
      <c r="Y90" s="96" t="inlineStr">
        <is>
          <t>BLUE OCEAN INTERNATIONAL</t>
        </is>
      </c>
      <c r="Z90" s="96" t="inlineStr">
        <is>
          <t>BLUE OCEAN INTERNATIONAL</t>
        </is>
      </c>
      <c r="AA90" s="97" t="n">
        <v>9600</v>
      </c>
      <c r="AB90" s="96" t="inlineStr">
        <is>
          <t>BKK04</t>
        </is>
      </c>
      <c r="AC90" s="96" t="inlineStr">
        <is>
          <t>SGN03</t>
        </is>
      </c>
    </row>
    <row r="91" ht="12" customHeight="1">
      <c r="A91" s="96" t="inlineStr">
        <is>
          <t>SKHU8705670</t>
        </is>
      </c>
      <c r="B91" s="161" t="inlineStr">
        <is>
          <t>2026-10-08</t>
        </is>
      </c>
      <c r="C91" s="96" t="inlineStr">
        <is>
          <t>SWSP</t>
        </is>
      </c>
      <c r="D91" s="96" t="inlineStr">
        <is>
          <t>2609N</t>
        </is>
      </c>
      <c r="E91" s="96" t="inlineStr">
        <is>
          <t>45GP</t>
        </is>
      </c>
      <c r="F91" s="96" t="inlineStr">
        <is>
          <t>SD</t>
        </is>
      </c>
      <c r="G91" s="96" t="inlineStr">
        <is>
          <t>THBKK</t>
        </is>
      </c>
      <c r="H91" s="96" t="inlineStr">
        <is>
          <t>THBKK</t>
        </is>
      </c>
      <c r="I91" s="96" t="inlineStr">
        <is>
          <t>VNSGN</t>
        </is>
      </c>
      <c r="J91" s="96" t="inlineStr">
        <is>
          <t>VNSGN</t>
        </is>
      </c>
      <c r="K91" s="96" t="inlineStr">
        <is>
          <t>F</t>
        </is>
      </c>
      <c r="L91" s="96" t="inlineStr">
        <is>
          <t>ONE</t>
        </is>
      </c>
      <c r="M91" s="96" t="inlineStr">
        <is>
          <t>VFL</t>
        </is>
      </c>
      <c r="N91" s="96" t="inlineStr">
        <is>
          <t>BKK04</t>
        </is>
      </c>
      <c r="O91" s="96" t="inlineStr">
        <is>
          <t>BKK</t>
        </is>
      </c>
      <c r="P91" s="96" t="inlineStr">
        <is>
          <t>TH</t>
        </is>
      </c>
      <c r="Q91" s="96" t="inlineStr">
        <is>
          <t>HASLS22260802510</t>
        </is>
      </c>
      <c r="R91" s="96" t="inlineStr">
        <is>
          <t>N</t>
        </is>
      </c>
      <c r="S91" s="96" t="inlineStr">
        <is>
          <t>N</t>
        </is>
      </c>
      <c r="T91" s="96" t="inlineStr">
        <is>
          <t>BTS</t>
        </is>
      </c>
      <c r="U91" s="97" t="n"/>
      <c r="V91" s="96" t="inlineStr">
        <is>
          <t>K0120023</t>
        </is>
      </c>
      <c r="W91" s="96" t="inlineStr">
        <is>
          <t>BEE LOGISTICS (THAILAND) CO., LTD.</t>
        </is>
      </c>
      <c r="X91" s="96" t="inlineStr">
        <is>
          <t>VFD</t>
        </is>
      </c>
      <c r="Y91" s="96" t="inlineStr">
        <is>
          <t>BEE LOGISTICS CORPORATION -</t>
        </is>
      </c>
      <c r="Z91" s="96" t="inlineStr">
        <is>
          <t>BEE LOGISTICS CORPORATION -</t>
        </is>
      </c>
      <c r="AA91" s="97" t="n">
        <v>11071.35</v>
      </c>
      <c r="AB91" s="96" t="inlineStr">
        <is>
          <t>BKK04</t>
        </is>
      </c>
      <c r="AC91" s="96" t="inlineStr">
        <is>
          <t>SGN03</t>
        </is>
      </c>
    </row>
    <row r="92" ht="12" customHeight="1">
      <c r="A92" s="96" t="inlineStr">
        <is>
          <t>SKHU8902089</t>
        </is>
      </c>
      <c r="B92" s="161" t="inlineStr">
        <is>
          <t>2026-10-08</t>
        </is>
      </c>
      <c r="C92" s="96" t="inlineStr">
        <is>
          <t>SWSP</t>
        </is>
      </c>
      <c r="D92" s="96" t="inlineStr">
        <is>
          <t>2609N</t>
        </is>
      </c>
      <c r="E92" s="96" t="inlineStr">
        <is>
          <t>45GP</t>
        </is>
      </c>
      <c r="F92" s="96" t="inlineStr">
        <is>
          <t>SD</t>
        </is>
      </c>
      <c r="G92" s="96" t="inlineStr">
        <is>
          <t>THBKK</t>
        </is>
      </c>
      <c r="H92" s="96" t="inlineStr">
        <is>
          <t>THBKK</t>
        </is>
      </c>
      <c r="I92" s="96" t="inlineStr">
        <is>
          <t>VNSGN</t>
        </is>
      </c>
      <c r="J92" s="96" t="inlineStr">
        <is>
          <t>VNSGN</t>
        </is>
      </c>
      <c r="K92" s="96" t="inlineStr">
        <is>
          <t>F</t>
        </is>
      </c>
      <c r="L92" s="96" t="inlineStr">
        <is>
          <t>ONE</t>
        </is>
      </c>
      <c r="M92" s="96" t="inlineStr">
        <is>
          <t>VFL</t>
        </is>
      </c>
      <c r="N92" s="96" t="inlineStr">
        <is>
          <t>BKK04</t>
        </is>
      </c>
      <c r="O92" s="96" t="inlineStr">
        <is>
          <t>BKK</t>
        </is>
      </c>
      <c r="P92" s="96" t="inlineStr">
        <is>
          <t>TH</t>
        </is>
      </c>
      <c r="Q92" s="96" t="inlineStr">
        <is>
          <t>HASLS22260901690</t>
        </is>
      </c>
      <c r="R92" s="96" t="inlineStr">
        <is>
          <t>N</t>
        </is>
      </c>
      <c r="S92" s="96" t="inlineStr">
        <is>
          <t>N</t>
        </is>
      </c>
      <c r="T92" s="96" t="inlineStr">
        <is>
          <t>BTS</t>
        </is>
      </c>
      <c r="U92" s="97" t="n"/>
      <c r="V92" s="96" t="inlineStr">
        <is>
          <t>K0120023</t>
        </is>
      </c>
      <c r="W92" s="96" t="inlineStr">
        <is>
          <t>BEE LOGISTICS (THAILAND) CO., LTD.</t>
        </is>
      </c>
      <c r="X92" s="96" t="inlineStr">
        <is>
          <t>VFD</t>
        </is>
      </c>
      <c r="Y92" s="96" t="inlineStr">
        <is>
          <t>BOND GLOBAL LOGISTICS JOINT STOCK</t>
        </is>
      </c>
      <c r="Z92" s="96" t="inlineStr">
        <is>
          <t>BOND GLOBAL LOGISTICS JOINT STOCK</t>
        </is>
      </c>
      <c r="AA92" s="97" t="n">
        <v>18276.5</v>
      </c>
      <c r="AB92" s="96" t="inlineStr">
        <is>
          <t>BKK04</t>
        </is>
      </c>
      <c r="AC92" s="96" t="inlineStr">
        <is>
          <t>SGN03</t>
        </is>
      </c>
    </row>
    <row r="93" ht="12" customHeight="1">
      <c r="A93" s="96" t="inlineStr">
        <is>
          <t>SKHU9110949</t>
        </is>
      </c>
      <c r="B93" s="161" t="inlineStr">
        <is>
          <t>2026-10-08</t>
        </is>
      </c>
      <c r="C93" s="96" t="inlineStr">
        <is>
          <t>SWSP</t>
        </is>
      </c>
      <c r="D93" s="96" t="inlineStr">
        <is>
          <t>2609N</t>
        </is>
      </c>
      <c r="E93" s="96" t="inlineStr">
        <is>
          <t>45GP</t>
        </is>
      </c>
      <c r="F93" s="96" t="inlineStr">
        <is>
          <t>SD</t>
        </is>
      </c>
      <c r="G93" s="96" t="inlineStr">
        <is>
          <t>THBKK</t>
        </is>
      </c>
      <c r="H93" s="96" t="inlineStr">
        <is>
          <t>THBKK</t>
        </is>
      </c>
      <c r="I93" s="96" t="inlineStr">
        <is>
          <t>VNSGN</t>
        </is>
      </c>
      <c r="J93" s="96" t="inlineStr">
        <is>
          <t>VNSGN</t>
        </is>
      </c>
      <c r="K93" s="96" t="inlineStr">
        <is>
          <t>F</t>
        </is>
      </c>
      <c r="L93" s="96" t="inlineStr">
        <is>
          <t>ONE</t>
        </is>
      </c>
      <c r="M93" s="96" t="inlineStr">
        <is>
          <t>VFL</t>
        </is>
      </c>
      <c r="N93" s="96" t="inlineStr">
        <is>
          <t>BKK04</t>
        </is>
      </c>
      <c r="O93" s="96" t="inlineStr">
        <is>
          <t>BKK</t>
        </is>
      </c>
      <c r="P93" s="96" t="inlineStr">
        <is>
          <t>TH</t>
        </is>
      </c>
      <c r="Q93" s="96" t="inlineStr">
        <is>
          <t>HASLS22260902260</t>
        </is>
      </c>
      <c r="R93" s="96" t="inlineStr">
        <is>
          <t>N</t>
        </is>
      </c>
      <c r="S93" s="96" t="inlineStr">
        <is>
          <t>N</t>
        </is>
      </c>
      <c r="T93" s="96" t="inlineStr">
        <is>
          <t>BTS</t>
        </is>
      </c>
      <c r="U93" s="97" t="n"/>
      <c r="V93" s="96" t="inlineStr">
        <is>
          <t>K0120023</t>
        </is>
      </c>
      <c r="W93" s="96" t="inlineStr">
        <is>
          <t>CAPRICORN LOGISTICS CO.,LTD.</t>
        </is>
      </c>
      <c r="X93" s="96" t="inlineStr">
        <is>
          <t>VFD</t>
        </is>
      </c>
      <c r="Y93" s="96" t="inlineStr">
        <is>
          <t>BLUE OCEAN INTERNATIONAL</t>
        </is>
      </c>
      <c r="Z93" s="96" t="inlineStr">
        <is>
          <t>BLUE OCEAN INTERNATIONAL</t>
        </is>
      </c>
      <c r="AA93" s="97" t="n">
        <v>9600</v>
      </c>
      <c r="AB93" s="96" t="inlineStr">
        <is>
          <t>BKK04</t>
        </is>
      </c>
      <c r="AC93" s="96" t="inlineStr">
        <is>
          <t>SGN03</t>
        </is>
      </c>
    </row>
    <row r="94" ht="12" customHeight="1">
      <c r="A94" s="96" t="inlineStr">
        <is>
          <t>SKHU9415336</t>
        </is>
      </c>
      <c r="B94" s="161" t="inlineStr">
        <is>
          <t>2026-10-08</t>
        </is>
      </c>
      <c r="C94" s="96" t="inlineStr">
        <is>
          <t>SWSP</t>
        </is>
      </c>
      <c r="D94" s="96" t="inlineStr">
        <is>
          <t>2609N</t>
        </is>
      </c>
      <c r="E94" s="96" t="inlineStr">
        <is>
          <t>45GP</t>
        </is>
      </c>
      <c r="F94" s="96" t="inlineStr">
        <is>
          <t>SD</t>
        </is>
      </c>
      <c r="G94" s="96" t="inlineStr">
        <is>
          <t>THBKK</t>
        </is>
      </c>
      <c r="H94" s="96" t="inlineStr">
        <is>
          <t>THBKK</t>
        </is>
      </c>
      <c r="I94" s="96" t="inlineStr">
        <is>
          <t>KRPUS</t>
        </is>
      </c>
      <c r="J94" s="96" t="inlineStr">
        <is>
          <t>JPIMI</t>
        </is>
      </c>
      <c r="K94" s="96" t="inlineStr">
        <is>
          <t>F</t>
        </is>
      </c>
      <c r="L94" s="96" t="inlineStr">
        <is>
          <t>ONE</t>
        </is>
      </c>
      <c r="M94" s="96" t="inlineStr">
        <is>
          <t>VFL</t>
        </is>
      </c>
      <c r="N94" s="96" t="inlineStr">
        <is>
          <t>BKK04</t>
        </is>
      </c>
      <c r="O94" s="96" t="inlineStr">
        <is>
          <t>BKK</t>
        </is>
      </c>
      <c r="P94" s="96" t="inlineStr">
        <is>
          <t>TH</t>
        </is>
      </c>
      <c r="Q94" s="96" t="inlineStr">
        <is>
          <t>HASLS22260802437</t>
        </is>
      </c>
      <c r="R94" s="96" t="inlineStr">
        <is>
          <t>Y</t>
        </is>
      </c>
      <c r="S94" s="96" t="inlineStr">
        <is>
          <t>N</t>
        </is>
      </c>
      <c r="T94" s="96" t="inlineStr">
        <is>
          <t>BTS</t>
        </is>
      </c>
      <c r="U94" s="97" t="n"/>
      <c r="V94" s="96" t="inlineStr">
        <is>
          <t>K0120023</t>
        </is>
      </c>
      <c r="W94" s="96" t="inlineStr">
        <is>
          <t>WOODWORKS THAI CO.,LTD.(1980)</t>
        </is>
      </c>
      <c r="X94" s="96" t="inlineStr">
        <is>
          <t>VFD</t>
        </is>
      </c>
      <c r="Y94" s="96" t="inlineStr">
        <is>
          <t>DAISHO SANGYO CORPORATION</t>
        </is>
      </c>
      <c r="Z94" s="96" t="inlineStr">
        <is>
          <t>DAISHO SANGYO CORPORATION</t>
        </is>
      </c>
      <c r="AA94" s="97" t="n">
        <v>11275</v>
      </c>
      <c r="AB94" s="96" t="inlineStr">
        <is>
          <t>BKK04</t>
        </is>
      </c>
      <c r="AC94" s="96" t="inlineStr">
        <is>
          <t>IMI01</t>
        </is>
      </c>
    </row>
    <row r="95" ht="12" customHeight="1">
      <c r="A95" s="96" t="inlineStr">
        <is>
          <t>SKHU9507746</t>
        </is>
      </c>
      <c r="B95" s="161" t="inlineStr">
        <is>
          <t>2026-10-08</t>
        </is>
      </c>
      <c r="C95" s="96" t="inlineStr">
        <is>
          <t>SWSP</t>
        </is>
      </c>
      <c r="D95" s="96" t="inlineStr">
        <is>
          <t>2609N</t>
        </is>
      </c>
      <c r="E95" s="96" t="inlineStr">
        <is>
          <t>45GP</t>
        </is>
      </c>
      <c r="F95" s="96" t="inlineStr">
        <is>
          <t>SD</t>
        </is>
      </c>
      <c r="G95" s="96" t="inlineStr">
        <is>
          <t>THBKK</t>
        </is>
      </c>
      <c r="H95" s="96" t="inlineStr">
        <is>
          <t>THBKK</t>
        </is>
      </c>
      <c r="I95" s="96" t="inlineStr">
        <is>
          <t>VNSGN</t>
        </is>
      </c>
      <c r="J95" s="96" t="inlineStr">
        <is>
          <t>VNSGN</t>
        </is>
      </c>
      <c r="K95" s="96" t="inlineStr">
        <is>
          <t>F</t>
        </is>
      </c>
      <c r="L95" s="96" t="inlineStr">
        <is>
          <t>ONE</t>
        </is>
      </c>
      <c r="M95" s="96" t="inlineStr">
        <is>
          <t>VFL</t>
        </is>
      </c>
      <c r="N95" s="96" t="inlineStr">
        <is>
          <t>BKK04</t>
        </is>
      </c>
      <c r="O95" s="96" t="inlineStr">
        <is>
          <t>BKK</t>
        </is>
      </c>
      <c r="P95" s="96" t="inlineStr">
        <is>
          <t>TH</t>
        </is>
      </c>
      <c r="Q95" s="96" t="inlineStr">
        <is>
          <t>HASLS22260901647</t>
        </is>
      </c>
      <c r="R95" s="96" t="inlineStr">
        <is>
          <t>N</t>
        </is>
      </c>
      <c r="S95" s="96" t="inlineStr">
        <is>
          <t>N</t>
        </is>
      </c>
      <c r="T95" s="96" t="inlineStr">
        <is>
          <t>BTS</t>
        </is>
      </c>
      <c r="U95" s="97" t="n"/>
      <c r="V95" s="96" t="inlineStr">
        <is>
          <t>K0120023</t>
        </is>
      </c>
      <c r="W95" s="96" t="inlineStr">
        <is>
          <t>APEX CIRCUIT (THAILAND) CO.,LTD.</t>
        </is>
      </c>
      <c r="X95" s="96" t="inlineStr">
        <is>
          <t>VFD</t>
        </is>
      </c>
      <c r="Y95" s="96" t="inlineStr">
        <is>
          <t>SAMSUNG ELECTRONICS HCMC CE COMPLEX</t>
        </is>
      </c>
      <c r="Z95" s="96" t="inlineStr">
        <is>
          <t>SAMSUNG SDS VIETNAM CO., LTD -</t>
        </is>
      </c>
      <c r="AA95" s="97" t="n">
        <v>10664.29</v>
      </c>
      <c r="AB95" s="96" t="inlineStr">
        <is>
          <t>BKK04</t>
        </is>
      </c>
      <c r="AC95" s="96" t="inlineStr">
        <is>
          <t>SGN03</t>
        </is>
      </c>
    </row>
    <row r="96" ht="12" customHeight="1">
      <c r="A96" s="96" t="inlineStr">
        <is>
          <t>SKHU9626133</t>
        </is>
      </c>
      <c r="B96" s="161" t="inlineStr">
        <is>
          <t>2026-10-08</t>
        </is>
      </c>
      <c r="C96" s="96" t="inlineStr">
        <is>
          <t>SWSP</t>
        </is>
      </c>
      <c r="D96" s="96" t="inlineStr">
        <is>
          <t>2609N</t>
        </is>
      </c>
      <c r="E96" s="96" t="inlineStr">
        <is>
          <t>45GP</t>
        </is>
      </c>
      <c r="F96" s="96" t="inlineStr">
        <is>
          <t>SD</t>
        </is>
      </c>
      <c r="G96" s="96" t="inlineStr">
        <is>
          <t>THBKK</t>
        </is>
      </c>
      <c r="H96" s="96" t="inlineStr">
        <is>
          <t>THBKK</t>
        </is>
      </c>
      <c r="I96" s="96" t="inlineStr">
        <is>
          <t>KRPUS</t>
        </is>
      </c>
      <c r="J96" s="96" t="inlineStr">
        <is>
          <t>KRPUS</t>
        </is>
      </c>
      <c r="K96" s="96" t="inlineStr">
        <is>
          <t>F</t>
        </is>
      </c>
      <c r="L96" s="96" t="inlineStr">
        <is>
          <t>ONE</t>
        </is>
      </c>
      <c r="M96" s="96" t="inlineStr">
        <is>
          <t>VFL</t>
        </is>
      </c>
      <c r="N96" s="96" t="inlineStr">
        <is>
          <t>BKK04</t>
        </is>
      </c>
      <c r="O96" s="96" t="inlineStr">
        <is>
          <t>BKK</t>
        </is>
      </c>
      <c r="P96" s="96" t="inlineStr">
        <is>
          <t>TH</t>
        </is>
      </c>
      <c r="Q96" s="96" t="inlineStr">
        <is>
          <t>HASLS22260901585</t>
        </is>
      </c>
      <c r="R96" s="96" t="inlineStr">
        <is>
          <t>N</t>
        </is>
      </c>
      <c r="S96" s="96" t="inlineStr">
        <is>
          <t>N</t>
        </is>
      </c>
      <c r="T96" s="96" t="inlineStr">
        <is>
          <t>BTS</t>
        </is>
      </c>
      <c r="U96" s="97" t="n"/>
      <c r="V96" s="96" t="inlineStr">
        <is>
          <t>K0120023</t>
        </is>
      </c>
      <c r="W96" s="96" t="inlineStr">
        <is>
          <t>H &amp; FRIENDS GTL (THAILAND) CO.,LTD.</t>
        </is>
      </c>
      <c r="X96" s="96" t="inlineStr">
        <is>
          <t>VFD</t>
        </is>
      </c>
      <c r="Y96" s="96" t="inlineStr">
        <is>
          <t>KWAY LOGIS CO.,LTD.</t>
        </is>
      </c>
      <c r="Z96" s="96" t="inlineStr">
        <is>
          <t>KWAY LOGIS CO.,LTD.</t>
        </is>
      </c>
      <c r="AA96" s="97" t="n">
        <v>13511.63</v>
      </c>
      <c r="AB96" s="96" t="inlineStr">
        <is>
          <t>BKK04</t>
        </is>
      </c>
      <c r="AC96" s="96" t="inlineStr">
        <is>
          <t>PUS05</t>
        </is>
      </c>
    </row>
    <row r="97" ht="12" customHeight="1">
      <c r="A97" s="96" t="inlineStr">
        <is>
          <t>SKHU9633847</t>
        </is>
      </c>
      <c r="B97" s="161" t="inlineStr">
        <is>
          <t>2026-10-08</t>
        </is>
      </c>
      <c r="C97" s="96" t="inlineStr">
        <is>
          <t>SWSP</t>
        </is>
      </c>
      <c r="D97" s="96" t="inlineStr">
        <is>
          <t>2609N</t>
        </is>
      </c>
      <c r="E97" s="96" t="inlineStr">
        <is>
          <t>45GP</t>
        </is>
      </c>
      <c r="F97" s="96" t="inlineStr">
        <is>
          <t>SD</t>
        </is>
      </c>
      <c r="G97" s="96" t="inlineStr">
        <is>
          <t>THBKK</t>
        </is>
      </c>
      <c r="H97" s="96" t="inlineStr">
        <is>
          <t>THBKK</t>
        </is>
      </c>
      <c r="I97" s="96" t="inlineStr">
        <is>
          <t>VNSGN</t>
        </is>
      </c>
      <c r="J97" s="96" t="inlineStr">
        <is>
          <t>VNSGN</t>
        </is>
      </c>
      <c r="K97" s="96" t="inlineStr">
        <is>
          <t>F</t>
        </is>
      </c>
      <c r="L97" s="96" t="inlineStr">
        <is>
          <t>ONE</t>
        </is>
      </c>
      <c r="M97" s="96" t="inlineStr">
        <is>
          <t>VFL</t>
        </is>
      </c>
      <c r="N97" s="96" t="inlineStr">
        <is>
          <t>BKK04</t>
        </is>
      </c>
      <c r="O97" s="96" t="inlineStr">
        <is>
          <t>BKK</t>
        </is>
      </c>
      <c r="P97" s="96" t="inlineStr">
        <is>
          <t>TH</t>
        </is>
      </c>
      <c r="Q97" s="96" t="inlineStr">
        <is>
          <t>HASLS22260900586</t>
        </is>
      </c>
      <c r="R97" s="96" t="inlineStr">
        <is>
          <t>N</t>
        </is>
      </c>
      <c r="S97" s="96" t="inlineStr">
        <is>
          <t>N</t>
        </is>
      </c>
      <c r="T97" s="96" t="inlineStr">
        <is>
          <t>BTS</t>
        </is>
      </c>
      <c r="U97" s="97" t="n"/>
      <c r="V97" s="96" t="inlineStr">
        <is>
          <t>K0120023</t>
        </is>
      </c>
      <c r="W97" s="96" t="inlineStr">
        <is>
          <t>BIRLA CARBON (THAILAND) PUBLIC</t>
        </is>
      </c>
      <c r="X97" s="96" t="inlineStr">
        <is>
          <t>VFD</t>
        </is>
      </c>
      <c r="Y97" s="96" t="inlineStr">
        <is>
          <t>JINYU (VIETNAM) TIRE CO.,LTD</t>
        </is>
      </c>
      <c r="Z97" s="96" t="inlineStr">
        <is>
          <t>JINYU (VIETNAM) TIRE CO.,LTD</t>
        </is>
      </c>
      <c r="AA97" s="97" t="n">
        <v>22308</v>
      </c>
      <c r="AB97" s="96" t="inlineStr">
        <is>
          <t>BKK04</t>
        </is>
      </c>
      <c r="AC97" s="96" t="inlineStr">
        <is>
          <t>SGN03</t>
        </is>
      </c>
    </row>
    <row r="98" ht="12" customHeight="1">
      <c r="A98" s="96" t="inlineStr">
        <is>
          <t>SKHU9801771</t>
        </is>
      </c>
      <c r="B98" s="161" t="inlineStr">
        <is>
          <t>2026-10-08</t>
        </is>
      </c>
      <c r="C98" s="96" t="inlineStr">
        <is>
          <t>SWSP</t>
        </is>
      </c>
      <c r="D98" s="96" t="inlineStr">
        <is>
          <t>2609N</t>
        </is>
      </c>
      <c r="E98" s="96" t="inlineStr">
        <is>
          <t>45GP</t>
        </is>
      </c>
      <c r="F98" s="96" t="inlineStr">
        <is>
          <t>SD</t>
        </is>
      </c>
      <c r="G98" s="96" t="inlineStr">
        <is>
          <t>THBKK</t>
        </is>
      </c>
      <c r="H98" s="96" t="inlineStr">
        <is>
          <t>THBKK</t>
        </is>
      </c>
      <c r="I98" s="96" t="inlineStr">
        <is>
          <t>KRPUS</t>
        </is>
      </c>
      <c r="J98" s="96" t="inlineStr">
        <is>
          <t>RUVVO</t>
        </is>
      </c>
      <c r="K98" s="96" t="inlineStr">
        <is>
          <t>F</t>
        </is>
      </c>
      <c r="L98" s="96" t="inlineStr">
        <is>
          <t>ONE</t>
        </is>
      </c>
      <c r="M98" s="96" t="inlineStr">
        <is>
          <t>VFL</t>
        </is>
      </c>
      <c r="N98" s="96" t="inlineStr">
        <is>
          <t>BKK04</t>
        </is>
      </c>
      <c r="O98" s="96" t="inlineStr">
        <is>
          <t>BKK</t>
        </is>
      </c>
      <c r="P98" s="96" t="inlineStr">
        <is>
          <t>TH</t>
        </is>
      </c>
      <c r="Q98" s="96" t="inlineStr">
        <is>
          <t>HASLS22260901024</t>
        </is>
      </c>
      <c r="R98" s="96" t="inlineStr">
        <is>
          <t>Y</t>
        </is>
      </c>
      <c r="S98" s="96" t="inlineStr">
        <is>
          <t>N</t>
        </is>
      </c>
      <c r="T98" s="96" t="inlineStr">
        <is>
          <t>BTS</t>
        </is>
      </c>
      <c r="U98" s="97" t="n"/>
      <c r="V98" s="96" t="inlineStr">
        <is>
          <t>K0120023</t>
        </is>
      </c>
      <c r="W98" s="96" t="inlineStr">
        <is>
          <t>SINGHA WORLDWIDE INTERNATIONAL CO.,</t>
        </is>
      </c>
      <c r="X98" s="96" t="inlineStr">
        <is>
          <t>VFD</t>
        </is>
      </c>
      <c r="Y98" s="96" t="inlineStr">
        <is>
          <t>DV NEVADA CO.,LTD.</t>
        </is>
      </c>
      <c r="Z98" s="96" t="inlineStr">
        <is>
          <t>FAR EAST BRANCH RUSCON LTD.</t>
        </is>
      </c>
      <c r="AA98" s="97" t="n">
        <v>22157.136</v>
      </c>
      <c r="AB98" s="96" t="inlineStr">
        <is>
          <t>BKK04</t>
        </is>
      </c>
      <c r="AC98" s="96" t="inlineStr">
        <is>
          <t>VVO01</t>
        </is>
      </c>
    </row>
    <row r="99" ht="12" customHeight="1">
      <c r="A99" s="96" t="inlineStr">
        <is>
          <t>SKHU9815796</t>
        </is>
      </c>
      <c r="B99" s="161" t="inlineStr">
        <is>
          <t>2026-10-08</t>
        </is>
      </c>
      <c r="C99" s="96" t="inlineStr">
        <is>
          <t>SWSP</t>
        </is>
      </c>
      <c r="D99" s="96" t="inlineStr">
        <is>
          <t>2609N</t>
        </is>
      </c>
      <c r="E99" s="96" t="inlineStr">
        <is>
          <t>45GP</t>
        </is>
      </c>
      <c r="F99" s="96" t="inlineStr">
        <is>
          <t>SD</t>
        </is>
      </c>
      <c r="G99" s="96" t="inlineStr">
        <is>
          <t>THBKK</t>
        </is>
      </c>
      <c r="H99" s="96" t="inlineStr">
        <is>
          <t>THBKK</t>
        </is>
      </c>
      <c r="I99" s="96" t="inlineStr">
        <is>
          <t>VNSGN</t>
        </is>
      </c>
      <c r="J99" s="96" t="inlineStr">
        <is>
          <t>VNSGN</t>
        </is>
      </c>
      <c r="K99" s="96" t="inlineStr">
        <is>
          <t>F</t>
        </is>
      </c>
      <c r="L99" s="96" t="inlineStr">
        <is>
          <t>ONE</t>
        </is>
      </c>
      <c r="M99" s="96" t="inlineStr">
        <is>
          <t>VFL</t>
        </is>
      </c>
      <c r="N99" s="96" t="inlineStr">
        <is>
          <t>BKK04</t>
        </is>
      </c>
      <c r="O99" s="96" t="inlineStr">
        <is>
          <t>BKK</t>
        </is>
      </c>
      <c r="P99" s="96" t="inlineStr">
        <is>
          <t>TH</t>
        </is>
      </c>
      <c r="Q99" s="96" t="inlineStr">
        <is>
          <t>HASLS22260902210</t>
        </is>
      </c>
      <c r="R99" s="96" t="inlineStr">
        <is>
          <t>N</t>
        </is>
      </c>
      <c r="S99" s="96" t="inlineStr">
        <is>
          <t>N</t>
        </is>
      </c>
      <c r="T99" s="96" t="inlineStr">
        <is>
          <t>BTS</t>
        </is>
      </c>
      <c r="U99" s="97" t="n"/>
      <c r="V99" s="96" t="inlineStr">
        <is>
          <t>K0120023</t>
        </is>
      </c>
      <c r="W99" s="96" t="inlineStr">
        <is>
          <t>CAPRICORN LOGISTICS CO.,LTD.</t>
        </is>
      </c>
      <c r="X99" s="96" t="inlineStr">
        <is>
          <t>VFD</t>
        </is>
      </c>
      <c r="Y99" s="96" t="inlineStr">
        <is>
          <t>GIA NGUYEN INT'L LOGISTICS CO., LTD</t>
        </is>
      </c>
      <c r="Z99" s="96" t="inlineStr">
        <is>
          <t>GIA NGUYEN INT'L LOGISTICS CO., LTD</t>
        </is>
      </c>
      <c r="AA99" s="97" t="n">
        <v>5270.53</v>
      </c>
      <c r="AB99" s="96" t="inlineStr">
        <is>
          <t>BKK04</t>
        </is>
      </c>
      <c r="AC99" s="96" t="inlineStr">
        <is>
          <t>SGN03</t>
        </is>
      </c>
    </row>
    <row r="100" ht="12" customHeight="1">
      <c r="A100" s="96" t="inlineStr">
        <is>
          <t>SKHU9944303</t>
        </is>
      </c>
      <c r="B100" s="161" t="inlineStr">
        <is>
          <t>2026-10-08</t>
        </is>
      </c>
      <c r="C100" s="96" t="inlineStr">
        <is>
          <t>SWSP</t>
        </is>
      </c>
      <c r="D100" s="96" t="inlineStr">
        <is>
          <t>2609N</t>
        </is>
      </c>
      <c r="E100" s="96" t="inlineStr">
        <is>
          <t>45GP</t>
        </is>
      </c>
      <c r="F100" s="96" t="inlineStr">
        <is>
          <t>SD</t>
        </is>
      </c>
      <c r="G100" s="96" t="inlineStr">
        <is>
          <t>THBKK</t>
        </is>
      </c>
      <c r="H100" s="96" t="inlineStr">
        <is>
          <t>THBKK</t>
        </is>
      </c>
      <c r="I100" s="96" t="inlineStr">
        <is>
          <t>KRPTK</t>
        </is>
      </c>
      <c r="J100" s="96" t="inlineStr">
        <is>
          <t>KRPTK</t>
        </is>
      </c>
      <c r="K100" s="96" t="inlineStr">
        <is>
          <t>F</t>
        </is>
      </c>
      <c r="L100" s="96" t="inlineStr">
        <is>
          <t>ONE</t>
        </is>
      </c>
      <c r="M100" s="96" t="inlineStr">
        <is>
          <t>VFL</t>
        </is>
      </c>
      <c r="N100" s="96" t="inlineStr">
        <is>
          <t>BKK04</t>
        </is>
      </c>
      <c r="O100" s="96" t="inlineStr">
        <is>
          <t>BKK</t>
        </is>
      </c>
      <c r="P100" s="96" t="inlineStr">
        <is>
          <t>TH</t>
        </is>
      </c>
      <c r="Q100" s="96" t="inlineStr">
        <is>
          <t>HASLS22260801164</t>
        </is>
      </c>
      <c r="R100" s="96" t="inlineStr">
        <is>
          <t>N</t>
        </is>
      </c>
      <c r="S100" s="96" t="inlineStr">
        <is>
          <t>N</t>
        </is>
      </c>
      <c r="T100" s="96" t="inlineStr">
        <is>
          <t>BTS</t>
        </is>
      </c>
      <c r="U100" s="97" t="n"/>
      <c r="V100" s="96" t="inlineStr">
        <is>
          <t>K0120023</t>
        </is>
      </c>
      <c r="W100" s="96" t="inlineStr">
        <is>
          <t>MAXTOP LOGISTICS (THAILAND)</t>
        </is>
      </c>
      <c r="X100" s="96" t="inlineStr">
        <is>
          <t>VFD</t>
        </is>
      </c>
      <c r="Y100" s="96" t="inlineStr">
        <is>
          <t>SUNGRIM GLOBAL CO.,LTD.</t>
        </is>
      </c>
      <c r="Z100" s="96" t="inlineStr">
        <is>
          <t>SUNGRIM GLOBAL CO.,LTD.</t>
        </is>
      </c>
      <c r="AA100" s="97" t="n">
        <v>22704</v>
      </c>
      <c r="AB100" s="96" t="inlineStr">
        <is>
          <t>BKK04</t>
        </is>
      </c>
      <c r="AC100" s="96" t="inlineStr">
        <is>
          <t>PTK02</t>
        </is>
      </c>
    </row>
    <row r="101" ht="12" customHeight="1">
      <c r="A101" s="96" t="inlineStr">
        <is>
          <t>SKLU0568034</t>
        </is>
      </c>
      <c r="B101" s="161" t="inlineStr">
        <is>
          <t>2026-10-08</t>
        </is>
      </c>
      <c r="C101" s="96" t="inlineStr">
        <is>
          <t>SWSP</t>
        </is>
      </c>
      <c r="D101" s="96" t="inlineStr">
        <is>
          <t>2609N</t>
        </is>
      </c>
      <c r="E101" s="96" t="inlineStr">
        <is>
          <t>22GP</t>
        </is>
      </c>
      <c r="F101" s="96" t="inlineStr">
        <is>
          <t>SD</t>
        </is>
      </c>
      <c r="G101" s="96" t="inlineStr">
        <is>
          <t>THBKK</t>
        </is>
      </c>
      <c r="H101" s="96" t="inlineStr">
        <is>
          <t>THBKK</t>
        </is>
      </c>
      <c r="I101" s="96" t="inlineStr">
        <is>
          <t>KRPUS</t>
        </is>
      </c>
      <c r="J101" s="96" t="inlineStr">
        <is>
          <t>JPMIZ</t>
        </is>
      </c>
      <c r="K101" s="96" t="inlineStr">
        <is>
          <t>F</t>
        </is>
      </c>
      <c r="L101" s="96" t="inlineStr">
        <is>
          <t>ONE</t>
        </is>
      </c>
      <c r="M101" s="96" t="inlineStr">
        <is>
          <t>VFL</t>
        </is>
      </c>
      <c r="N101" s="96" t="inlineStr">
        <is>
          <t>BKK04</t>
        </is>
      </c>
      <c r="O101" s="96" t="inlineStr">
        <is>
          <t>BKK</t>
        </is>
      </c>
      <c r="P101" s="96" t="inlineStr">
        <is>
          <t>TH</t>
        </is>
      </c>
      <c r="Q101" s="96" t="inlineStr">
        <is>
          <t>HASLS22260901245</t>
        </is>
      </c>
      <c r="R101" s="96" t="inlineStr">
        <is>
          <t>Y</t>
        </is>
      </c>
      <c r="S101" s="96" t="inlineStr">
        <is>
          <t>N</t>
        </is>
      </c>
      <c r="T101" s="96" t="inlineStr">
        <is>
          <t>BTS</t>
        </is>
      </c>
      <c r="U101" s="97" t="n"/>
      <c r="V101" s="96" t="inlineStr">
        <is>
          <t>K0120021</t>
        </is>
      </c>
      <c r="W101" s="96" t="inlineStr">
        <is>
          <t>BANGKOK COLD STORAGE SERVICE, LTD.</t>
        </is>
      </c>
      <c r="X101" s="96" t="inlineStr">
        <is>
          <t>VFD</t>
        </is>
      </c>
      <c r="Y101" s="96" t="inlineStr">
        <is>
          <t>HARVEST WORLD EXPRESS</t>
        </is>
      </c>
      <c r="Z101" s="96" t="inlineStr">
        <is>
          <t>HARVEST WORLD EXPRESS</t>
        </is>
      </c>
      <c r="AA101" s="97" t="n">
        <v>20400</v>
      </c>
      <c r="AB101" s="96" t="inlineStr">
        <is>
          <t>BKK04</t>
        </is>
      </c>
      <c r="AC101" s="96" t="inlineStr">
        <is>
          <t>MIZ01</t>
        </is>
      </c>
    </row>
    <row r="102" ht="12" customHeight="1">
      <c r="A102" s="96" t="inlineStr">
        <is>
          <t>SKLU0569112</t>
        </is>
      </c>
      <c r="B102" s="161" t="inlineStr">
        <is>
          <t>2026-10-08</t>
        </is>
      </c>
      <c r="C102" s="96" t="inlineStr">
        <is>
          <t>SWSP</t>
        </is>
      </c>
      <c r="D102" s="96" t="inlineStr">
        <is>
          <t>2609N</t>
        </is>
      </c>
      <c r="E102" s="96" t="inlineStr">
        <is>
          <t>22GP</t>
        </is>
      </c>
      <c r="F102" s="96" t="inlineStr">
        <is>
          <t>SD</t>
        </is>
      </c>
      <c r="G102" s="96" t="inlineStr">
        <is>
          <t>THBKK</t>
        </is>
      </c>
      <c r="H102" s="96" t="inlineStr">
        <is>
          <t>THBKK</t>
        </is>
      </c>
      <c r="I102" s="96" t="inlineStr">
        <is>
          <t>VNSGN</t>
        </is>
      </c>
      <c r="J102" s="96" t="inlineStr">
        <is>
          <t>VNSGN</t>
        </is>
      </c>
      <c r="K102" s="96" t="inlineStr">
        <is>
          <t>F</t>
        </is>
      </c>
      <c r="L102" s="96" t="inlineStr">
        <is>
          <t>ONE</t>
        </is>
      </c>
      <c r="M102" s="96" t="inlineStr">
        <is>
          <t>VFL</t>
        </is>
      </c>
      <c r="N102" s="96" t="inlineStr">
        <is>
          <t>BKK04</t>
        </is>
      </c>
      <c r="O102" s="96" t="inlineStr">
        <is>
          <t>BKK</t>
        </is>
      </c>
      <c r="P102" s="96" t="inlineStr">
        <is>
          <t>TH</t>
        </is>
      </c>
      <c r="Q102" s="96" t="inlineStr">
        <is>
          <t>HASLS22260901431</t>
        </is>
      </c>
      <c r="R102" s="96" t="inlineStr">
        <is>
          <t>N</t>
        </is>
      </c>
      <c r="S102" s="96" t="inlineStr">
        <is>
          <t>N</t>
        </is>
      </c>
      <c r="T102" s="96" t="inlineStr">
        <is>
          <t>BTS</t>
        </is>
      </c>
      <c r="U102" s="97" t="n"/>
      <c r="V102" s="96" t="inlineStr">
        <is>
          <t>K0120021</t>
        </is>
      </c>
      <c r="W102" s="96" t="inlineStr">
        <is>
          <t>CHANG JEWELRY POWDER CO.,LTD.</t>
        </is>
      </c>
      <c r="X102" s="96" t="inlineStr">
        <is>
          <t>VFD</t>
        </is>
      </c>
      <c r="Y102" s="96" t="inlineStr">
        <is>
          <t>HUPLUS TRADING COMPANY LIMITED</t>
        </is>
      </c>
      <c r="Z102" s="96" t="inlineStr">
        <is>
          <t>HUPLUS TRADING COMPANY LIMITED</t>
        </is>
      </c>
      <c r="AA102" s="97" t="n">
        <v>21840</v>
      </c>
      <c r="AB102" s="96" t="inlineStr">
        <is>
          <t>BKK04</t>
        </is>
      </c>
      <c r="AC102" s="96" t="inlineStr">
        <is>
          <t>SGN03</t>
        </is>
      </c>
    </row>
    <row r="103" ht="12" customHeight="1">
      <c r="A103" s="96" t="inlineStr">
        <is>
          <t>SKLU0585957</t>
        </is>
      </c>
      <c r="B103" s="161" t="inlineStr">
        <is>
          <t>2026-10-08</t>
        </is>
      </c>
      <c r="C103" s="96" t="inlineStr">
        <is>
          <t>SWSP</t>
        </is>
      </c>
      <c r="D103" s="96" t="inlineStr">
        <is>
          <t>2609N</t>
        </is>
      </c>
      <c r="E103" s="96" t="inlineStr">
        <is>
          <t>22GP</t>
        </is>
      </c>
      <c r="F103" s="96" t="inlineStr">
        <is>
          <t>SD</t>
        </is>
      </c>
      <c r="G103" s="96" t="inlineStr">
        <is>
          <t>THBKK</t>
        </is>
      </c>
      <c r="H103" s="96" t="inlineStr">
        <is>
          <t>THBKK</t>
        </is>
      </c>
      <c r="I103" s="96" t="inlineStr">
        <is>
          <t>KRPUS</t>
        </is>
      </c>
      <c r="J103" s="96" t="inlineStr">
        <is>
          <t>JPSEN</t>
        </is>
      </c>
      <c r="K103" s="96" t="inlineStr">
        <is>
          <t>F</t>
        </is>
      </c>
      <c r="L103" s="96" t="inlineStr">
        <is>
          <t>ONE</t>
        </is>
      </c>
      <c r="M103" s="96" t="inlineStr">
        <is>
          <t>VFL</t>
        </is>
      </c>
      <c r="N103" s="96" t="inlineStr">
        <is>
          <t>BKK04</t>
        </is>
      </c>
      <c r="O103" s="96" t="inlineStr">
        <is>
          <t>BKK</t>
        </is>
      </c>
      <c r="P103" s="96" t="inlineStr">
        <is>
          <t>TH</t>
        </is>
      </c>
      <c r="Q103" s="96" t="inlineStr">
        <is>
          <t>HASLS22260900196</t>
        </is>
      </c>
      <c r="R103" s="96" t="inlineStr">
        <is>
          <t>Y</t>
        </is>
      </c>
      <c r="S103" s="96" t="inlineStr">
        <is>
          <t>N</t>
        </is>
      </c>
      <c r="T103" s="96" t="inlineStr">
        <is>
          <t>BTS</t>
        </is>
      </c>
      <c r="U103" s="97" t="n"/>
      <c r="V103" s="96" t="inlineStr">
        <is>
          <t>K0120021</t>
        </is>
      </c>
      <c r="W103" s="96" t="inlineStr">
        <is>
          <t>SANGUAN WONGSE STARCH CO., LTD.</t>
        </is>
      </c>
      <c r="X103" s="96" t="inlineStr">
        <is>
          <t>VFD</t>
        </is>
      </c>
      <c r="Y103" s="96" t="inlineStr">
        <is>
          <t>SANSHO CO., LTD.</t>
        </is>
      </c>
      <c r="Z103" s="96" t="inlineStr">
        <is>
          <t>SANSHO CO., LTD.</t>
        </is>
      </c>
      <c r="AA103" s="97" t="n">
        <v>17190</v>
      </c>
      <c r="AB103" s="96" t="inlineStr">
        <is>
          <t>BKK04</t>
        </is>
      </c>
      <c r="AC103" s="96" t="inlineStr">
        <is>
          <t>SEN01</t>
        </is>
      </c>
    </row>
    <row r="104" ht="12" customHeight="1">
      <c r="A104" s="96" t="inlineStr">
        <is>
          <t>SKLU0590819</t>
        </is>
      </c>
      <c r="B104" s="161" t="inlineStr">
        <is>
          <t>2026-10-08</t>
        </is>
      </c>
      <c r="C104" s="96" t="inlineStr">
        <is>
          <t>SWSP</t>
        </is>
      </c>
      <c r="D104" s="96" t="inlineStr">
        <is>
          <t>2609N</t>
        </is>
      </c>
      <c r="E104" s="96" t="inlineStr">
        <is>
          <t>22GP</t>
        </is>
      </c>
      <c r="F104" s="96" t="inlineStr">
        <is>
          <t>SD</t>
        </is>
      </c>
      <c r="G104" s="96" t="inlineStr">
        <is>
          <t>THBKK</t>
        </is>
      </c>
      <c r="H104" s="96" t="inlineStr">
        <is>
          <t>THBKK</t>
        </is>
      </c>
      <c r="I104" s="96" t="inlineStr">
        <is>
          <t>KRPUS</t>
        </is>
      </c>
      <c r="J104" s="96" t="inlineStr">
        <is>
          <t>JPSEN</t>
        </is>
      </c>
      <c r="K104" s="96" t="inlineStr">
        <is>
          <t>F</t>
        </is>
      </c>
      <c r="L104" s="96" t="inlineStr">
        <is>
          <t>ONE</t>
        </is>
      </c>
      <c r="M104" s="96" t="inlineStr">
        <is>
          <t>VFL</t>
        </is>
      </c>
      <c r="N104" s="96" t="inlineStr">
        <is>
          <t>BKK04</t>
        </is>
      </c>
      <c r="O104" s="96" t="inlineStr">
        <is>
          <t>BKK</t>
        </is>
      </c>
      <c r="P104" s="96" t="inlineStr">
        <is>
          <t>TH</t>
        </is>
      </c>
      <c r="Q104" s="96" t="inlineStr">
        <is>
          <t>HASLS22260900196</t>
        </is>
      </c>
      <c r="R104" s="96" t="inlineStr">
        <is>
          <t>Y</t>
        </is>
      </c>
      <c r="S104" s="96" t="inlineStr">
        <is>
          <t>N</t>
        </is>
      </c>
      <c r="T104" s="96" t="inlineStr">
        <is>
          <t>BTS</t>
        </is>
      </c>
      <c r="U104" s="97" t="n"/>
      <c r="V104" s="96" t="inlineStr">
        <is>
          <t>K0120021</t>
        </is>
      </c>
      <c r="W104" s="96" t="inlineStr">
        <is>
          <t>SANGUAN WONGSE STARCH CO., LTD.</t>
        </is>
      </c>
      <c r="X104" s="96" t="inlineStr">
        <is>
          <t>VFD</t>
        </is>
      </c>
      <c r="Y104" s="96" t="inlineStr">
        <is>
          <t>SANSHO CO., LTD.</t>
        </is>
      </c>
      <c r="Z104" s="96" t="inlineStr">
        <is>
          <t>SANSHO CO., LTD.</t>
        </is>
      </c>
      <c r="AA104" s="97" t="n">
        <v>17190</v>
      </c>
      <c r="AB104" s="96" t="inlineStr">
        <is>
          <t>BKK04</t>
        </is>
      </c>
      <c r="AC104" s="96" t="inlineStr">
        <is>
          <t>SEN01</t>
        </is>
      </c>
    </row>
    <row r="105" ht="12" customHeight="1">
      <c r="A105" s="96" t="inlineStr">
        <is>
          <t>SKLU0742589</t>
        </is>
      </c>
      <c r="B105" s="161" t="inlineStr">
        <is>
          <t>2026-10-08</t>
        </is>
      </c>
      <c r="C105" s="96" t="inlineStr">
        <is>
          <t>SWSP</t>
        </is>
      </c>
      <c r="D105" s="96" t="inlineStr">
        <is>
          <t>2609N</t>
        </is>
      </c>
      <c r="E105" s="96" t="inlineStr">
        <is>
          <t>22GP</t>
        </is>
      </c>
      <c r="F105" s="96" t="inlineStr">
        <is>
          <t>SD</t>
        </is>
      </c>
      <c r="G105" s="96" t="inlineStr">
        <is>
          <t>THBKK</t>
        </is>
      </c>
      <c r="H105" s="96" t="inlineStr">
        <is>
          <t>THBKK</t>
        </is>
      </c>
      <c r="I105" s="96" t="inlineStr">
        <is>
          <t>KRPUS</t>
        </is>
      </c>
      <c r="J105" s="96" t="inlineStr">
        <is>
          <t>JPIYM</t>
        </is>
      </c>
      <c r="K105" s="96" t="inlineStr">
        <is>
          <t>F</t>
        </is>
      </c>
      <c r="L105" s="96" t="inlineStr">
        <is>
          <t>ONE</t>
        </is>
      </c>
      <c r="M105" s="96" t="inlineStr">
        <is>
          <t>VFL</t>
        </is>
      </c>
      <c r="N105" s="96" t="inlineStr">
        <is>
          <t>BKK04</t>
        </is>
      </c>
      <c r="O105" s="96" t="inlineStr">
        <is>
          <t>BKK</t>
        </is>
      </c>
      <c r="P105" s="96" t="inlineStr">
        <is>
          <t>TH</t>
        </is>
      </c>
      <c r="Q105" s="96" t="inlineStr">
        <is>
          <t>HASLS22260901537</t>
        </is>
      </c>
      <c r="R105" s="96" t="inlineStr">
        <is>
          <t>Y</t>
        </is>
      </c>
      <c r="S105" s="96" t="inlineStr">
        <is>
          <t>N</t>
        </is>
      </c>
      <c r="T105" s="96" t="inlineStr">
        <is>
          <t>BTS</t>
        </is>
      </c>
      <c r="U105" s="97" t="n"/>
      <c r="V105" s="96" t="inlineStr">
        <is>
          <t>K0120021</t>
        </is>
      </c>
      <c r="W105" s="96" t="inlineStr">
        <is>
          <t>SCG INTERNATIONAL CORPORATION</t>
        </is>
      </c>
      <c r="X105" s="96" t="inlineStr">
        <is>
          <t>VFD</t>
        </is>
      </c>
      <c r="Y105" s="96" t="inlineStr">
        <is>
          <t>USUI METALS CORPORATION</t>
        </is>
      </c>
      <c r="Z105" s="96" t="inlineStr">
        <is>
          <t>USUI METALS CORPORATION</t>
        </is>
      </c>
      <c r="AA105" s="97" t="n">
        <v>20120</v>
      </c>
      <c r="AB105" s="96" t="inlineStr">
        <is>
          <t>BKK04</t>
        </is>
      </c>
      <c r="AC105" s="96" t="inlineStr">
        <is>
          <t>IYM02</t>
        </is>
      </c>
    </row>
    <row r="106" ht="12" customHeight="1">
      <c r="A106" s="96" t="inlineStr">
        <is>
          <t>SKLU0744220</t>
        </is>
      </c>
      <c r="B106" s="161" t="inlineStr">
        <is>
          <t>2026-10-08</t>
        </is>
      </c>
      <c r="C106" s="96" t="inlineStr">
        <is>
          <t>SWSP</t>
        </is>
      </c>
      <c r="D106" s="96" t="inlineStr">
        <is>
          <t>2609N</t>
        </is>
      </c>
      <c r="E106" s="96" t="inlineStr">
        <is>
          <t>22GP</t>
        </is>
      </c>
      <c r="F106" s="96" t="inlineStr">
        <is>
          <t>SD</t>
        </is>
      </c>
      <c r="G106" s="96" t="inlineStr">
        <is>
          <t>THBKK</t>
        </is>
      </c>
      <c r="H106" s="96" t="inlineStr">
        <is>
          <t>THBKK</t>
        </is>
      </c>
      <c r="I106" s="96" t="inlineStr">
        <is>
          <t>VNSGN</t>
        </is>
      </c>
      <c r="J106" s="96" t="inlineStr">
        <is>
          <t>VNSGN</t>
        </is>
      </c>
      <c r="K106" s="96" t="inlineStr">
        <is>
          <t>F</t>
        </is>
      </c>
      <c r="L106" s="96" t="inlineStr">
        <is>
          <t>ONE</t>
        </is>
      </c>
      <c r="M106" s="96" t="inlineStr">
        <is>
          <t>VFL</t>
        </is>
      </c>
      <c r="N106" s="96" t="inlineStr">
        <is>
          <t>BKK04</t>
        </is>
      </c>
      <c r="O106" s="96" t="inlineStr">
        <is>
          <t>BKK</t>
        </is>
      </c>
      <c r="P106" s="96" t="inlineStr">
        <is>
          <t>TH</t>
        </is>
      </c>
      <c r="Q106" s="96" t="inlineStr">
        <is>
          <t>HASLS22260800838</t>
        </is>
      </c>
      <c r="R106" s="96" t="inlineStr">
        <is>
          <t>N</t>
        </is>
      </c>
      <c r="S106" s="96" t="inlineStr">
        <is>
          <t>N</t>
        </is>
      </c>
      <c r="T106" s="96" t="inlineStr">
        <is>
          <t>BTS</t>
        </is>
      </c>
      <c r="U106" s="97" t="n"/>
      <c r="V106" s="96" t="inlineStr">
        <is>
          <t>K0120021</t>
        </is>
      </c>
      <c r="W106" s="96" t="inlineStr">
        <is>
          <t>SCG INTERNATIONAL CORPORATION CO.,</t>
        </is>
      </c>
      <c r="X106" s="96" t="inlineStr">
        <is>
          <t>VFD</t>
        </is>
      </c>
      <c r="Y106" s="96" t="inlineStr">
        <is>
          <t>BUU LONG INDUSTRY AND INVESTMENT</t>
        </is>
      </c>
      <c r="Z106" s="96" t="inlineStr">
        <is>
          <t>BUU LONG INDUSTRY AND INVESTMENT</t>
        </is>
      </c>
      <c r="AA106" s="97" t="n">
        <v>25260</v>
      </c>
      <c r="AB106" s="96" t="inlineStr">
        <is>
          <t>BKK04</t>
        </is>
      </c>
      <c r="AC106" s="96" t="inlineStr">
        <is>
          <t>SGN03</t>
        </is>
      </c>
    </row>
    <row r="107" ht="12" customHeight="1">
      <c r="A107" s="96" t="inlineStr">
        <is>
          <t>SKLU1002340</t>
        </is>
      </c>
      <c r="B107" s="161" t="inlineStr">
        <is>
          <t>2026-10-08</t>
        </is>
      </c>
      <c r="C107" s="96" t="inlineStr">
        <is>
          <t>SWSP</t>
        </is>
      </c>
      <c r="D107" s="96" t="inlineStr">
        <is>
          <t>2609N</t>
        </is>
      </c>
      <c r="E107" s="96" t="inlineStr">
        <is>
          <t>22GP</t>
        </is>
      </c>
      <c r="F107" s="96" t="inlineStr">
        <is>
          <t>SD</t>
        </is>
      </c>
      <c r="G107" s="96" t="inlineStr">
        <is>
          <t>THBKK</t>
        </is>
      </c>
      <c r="H107" s="96" t="inlineStr">
        <is>
          <t>THBKK</t>
        </is>
      </c>
      <c r="I107" s="96" t="inlineStr">
        <is>
          <t>VNSGN</t>
        </is>
      </c>
      <c r="J107" s="96" t="inlineStr">
        <is>
          <t>VNSGN</t>
        </is>
      </c>
      <c r="K107" s="96" t="inlineStr">
        <is>
          <t>F</t>
        </is>
      </c>
      <c r="L107" s="96" t="inlineStr">
        <is>
          <t>ONE</t>
        </is>
      </c>
      <c r="M107" s="96" t="inlineStr">
        <is>
          <t>VFL</t>
        </is>
      </c>
      <c r="N107" s="96" t="inlineStr">
        <is>
          <t>BKK04</t>
        </is>
      </c>
      <c r="O107" s="96" t="inlineStr">
        <is>
          <t>BKK</t>
        </is>
      </c>
      <c r="P107" s="96" t="inlineStr">
        <is>
          <t>TH</t>
        </is>
      </c>
      <c r="Q107" s="96" t="inlineStr">
        <is>
          <t>HASLS22260800838</t>
        </is>
      </c>
      <c r="R107" s="96" t="inlineStr">
        <is>
          <t>N</t>
        </is>
      </c>
      <c r="S107" s="96" t="inlineStr">
        <is>
          <t>N</t>
        </is>
      </c>
      <c r="T107" s="96" t="inlineStr">
        <is>
          <t>BTS</t>
        </is>
      </c>
      <c r="U107" s="97" t="n"/>
      <c r="V107" s="96" t="inlineStr">
        <is>
          <t>K0120021</t>
        </is>
      </c>
      <c r="W107" s="96" t="inlineStr">
        <is>
          <t>SCG INTERNATIONAL CORPORATION CO.,</t>
        </is>
      </c>
      <c r="X107" s="96" t="inlineStr">
        <is>
          <t>VFD</t>
        </is>
      </c>
      <c r="Y107" s="96" t="inlineStr">
        <is>
          <t>BUU LONG INDUSTRY AND INVESTMENT</t>
        </is>
      </c>
      <c r="Z107" s="96" t="inlineStr">
        <is>
          <t>BUU LONG INDUSTRY AND INVESTMENT</t>
        </is>
      </c>
      <c r="AA107" s="97" t="n">
        <v>25330</v>
      </c>
      <c r="AB107" s="96" t="inlineStr">
        <is>
          <t>BKK04</t>
        </is>
      </c>
      <c r="AC107" s="96" t="inlineStr">
        <is>
          <t>SGN03</t>
        </is>
      </c>
    </row>
    <row r="108" ht="12" customHeight="1">
      <c r="A108" s="96" t="inlineStr">
        <is>
          <t>SKLU1103582</t>
        </is>
      </c>
      <c r="B108" s="161" t="inlineStr">
        <is>
          <t>2026-10-08</t>
        </is>
      </c>
      <c r="C108" s="96" t="inlineStr">
        <is>
          <t>SWSP</t>
        </is>
      </c>
      <c r="D108" s="96" t="inlineStr">
        <is>
          <t>2609N</t>
        </is>
      </c>
      <c r="E108" s="96" t="inlineStr">
        <is>
          <t>22GP</t>
        </is>
      </c>
      <c r="F108" s="96" t="inlineStr">
        <is>
          <t>SD</t>
        </is>
      </c>
      <c r="G108" s="96" t="inlineStr">
        <is>
          <t>THBKK</t>
        </is>
      </c>
      <c r="H108" s="96" t="inlineStr">
        <is>
          <t>THBKK</t>
        </is>
      </c>
      <c r="I108" s="96" t="inlineStr">
        <is>
          <t>KRPTK</t>
        </is>
      </c>
      <c r="J108" s="96" t="inlineStr">
        <is>
          <t>KRPTK</t>
        </is>
      </c>
      <c r="K108" s="96" t="inlineStr">
        <is>
          <t>F</t>
        </is>
      </c>
      <c r="L108" s="96" t="inlineStr">
        <is>
          <t>ONE</t>
        </is>
      </c>
      <c r="M108" s="96" t="inlineStr">
        <is>
          <t>VFL</t>
        </is>
      </c>
      <c r="N108" s="96" t="inlineStr">
        <is>
          <t>BKK04</t>
        </is>
      </c>
      <c r="O108" s="96" t="inlineStr">
        <is>
          <t>BKK</t>
        </is>
      </c>
      <c r="P108" s="96" t="inlineStr">
        <is>
          <t>TH</t>
        </is>
      </c>
      <c r="Q108" s="96" t="inlineStr">
        <is>
          <t>HASLS22260801914</t>
        </is>
      </c>
      <c r="R108" s="96" t="inlineStr">
        <is>
          <t>N</t>
        </is>
      </c>
      <c r="S108" s="96" t="inlineStr">
        <is>
          <t>N</t>
        </is>
      </c>
      <c r="T108" s="96" t="inlineStr">
        <is>
          <t>BTS</t>
        </is>
      </c>
      <c r="U108" s="97" t="n"/>
      <c r="V108" s="96" t="inlineStr">
        <is>
          <t>K0120021</t>
        </is>
      </c>
      <c r="W108" s="96" t="inlineStr">
        <is>
          <t>THAI VEGETABLE OIL PUBLIC COMPANY</t>
        </is>
      </c>
      <c r="X108" s="96" t="inlineStr">
        <is>
          <t>VFD</t>
        </is>
      </c>
      <c r="Y108" s="96" t="inlineStr">
        <is>
          <t>TO THE ORDER OF KOOKMIN BANK</t>
        </is>
      </c>
      <c r="Z108" s="96" t="inlineStr">
        <is>
          <t>CJ CHEILJEDANG CORPORATION</t>
        </is>
      </c>
      <c r="AA108" s="97" t="n">
        <v>21100</v>
      </c>
      <c r="AB108" s="96" t="inlineStr">
        <is>
          <t>BKK04</t>
        </is>
      </c>
      <c r="AC108" s="96" t="inlineStr">
        <is>
          <t>PTK02</t>
        </is>
      </c>
    </row>
    <row r="109" ht="12" customHeight="1">
      <c r="A109" s="96" t="inlineStr">
        <is>
          <t>SKLU1116975</t>
        </is>
      </c>
      <c r="B109" s="161" t="inlineStr">
        <is>
          <t>2026-10-08</t>
        </is>
      </c>
      <c r="C109" s="96" t="inlineStr">
        <is>
          <t>SWSP</t>
        </is>
      </c>
      <c r="D109" s="96" t="inlineStr">
        <is>
          <t>2609N</t>
        </is>
      </c>
      <c r="E109" s="96" t="inlineStr">
        <is>
          <t>22GP</t>
        </is>
      </c>
      <c r="F109" s="96" t="inlineStr">
        <is>
          <t>SD</t>
        </is>
      </c>
      <c r="G109" s="96" t="inlineStr">
        <is>
          <t>THBKK</t>
        </is>
      </c>
      <c r="H109" s="96" t="inlineStr">
        <is>
          <t>THBKK</t>
        </is>
      </c>
      <c r="I109" s="96" t="inlineStr">
        <is>
          <t>VNSGN</t>
        </is>
      </c>
      <c r="J109" s="96" t="inlineStr">
        <is>
          <t>VNSGN</t>
        </is>
      </c>
      <c r="K109" s="96" t="inlineStr">
        <is>
          <t>F</t>
        </is>
      </c>
      <c r="L109" s="96" t="inlineStr">
        <is>
          <t>ONE</t>
        </is>
      </c>
      <c r="M109" s="96" t="inlineStr">
        <is>
          <t>VFL</t>
        </is>
      </c>
      <c r="N109" s="96" t="inlineStr">
        <is>
          <t>BKK04</t>
        </is>
      </c>
      <c r="O109" s="96" t="inlineStr">
        <is>
          <t>BKK</t>
        </is>
      </c>
      <c r="P109" s="96" t="inlineStr">
        <is>
          <t>TH</t>
        </is>
      </c>
      <c r="Q109" s="96" t="inlineStr">
        <is>
          <t>HASLS22260800838</t>
        </is>
      </c>
      <c r="R109" s="96" t="inlineStr">
        <is>
          <t>N</t>
        </is>
      </c>
      <c r="S109" s="96" t="inlineStr">
        <is>
          <t>N</t>
        </is>
      </c>
      <c r="T109" s="96" t="inlineStr">
        <is>
          <t>BTS</t>
        </is>
      </c>
      <c r="U109" s="97" t="n"/>
      <c r="V109" s="96" t="inlineStr">
        <is>
          <t>K0120021</t>
        </is>
      </c>
      <c r="W109" s="96" t="inlineStr">
        <is>
          <t>SCG INTERNATIONAL CORPORATION CO.,</t>
        </is>
      </c>
      <c r="X109" s="96" t="inlineStr">
        <is>
          <t>VFD</t>
        </is>
      </c>
      <c r="Y109" s="96" t="inlineStr">
        <is>
          <t>BUU LONG INDUSTRY AND INVESTMENT</t>
        </is>
      </c>
      <c r="Z109" s="96" t="inlineStr">
        <is>
          <t>BUU LONG INDUSTRY AND INVESTMENT</t>
        </is>
      </c>
      <c r="AA109" s="97" t="n">
        <v>25280</v>
      </c>
      <c r="AB109" s="96" t="inlineStr">
        <is>
          <t>BKK04</t>
        </is>
      </c>
      <c r="AC109" s="96" t="inlineStr">
        <is>
          <t>SGN03</t>
        </is>
      </c>
    </row>
    <row r="110" ht="12" customHeight="1">
      <c r="A110" s="96" t="inlineStr">
        <is>
          <t>SKLU1201336</t>
        </is>
      </c>
      <c r="B110" s="161" t="inlineStr">
        <is>
          <t>2026-10-08</t>
        </is>
      </c>
      <c r="C110" s="96" t="inlineStr">
        <is>
          <t>SWSP</t>
        </is>
      </c>
      <c r="D110" s="96" t="inlineStr">
        <is>
          <t>2609N</t>
        </is>
      </c>
      <c r="E110" s="96" t="inlineStr">
        <is>
          <t>22GP</t>
        </is>
      </c>
      <c r="F110" s="96" t="inlineStr">
        <is>
          <t>SD</t>
        </is>
      </c>
      <c r="G110" s="96" t="inlineStr">
        <is>
          <t>THBKK</t>
        </is>
      </c>
      <c r="H110" s="96" t="inlineStr">
        <is>
          <t>THBKK</t>
        </is>
      </c>
      <c r="I110" s="96" t="inlineStr">
        <is>
          <t>KRPTK</t>
        </is>
      </c>
      <c r="J110" s="96" t="inlineStr">
        <is>
          <t>KRPTK</t>
        </is>
      </c>
      <c r="K110" s="96" t="inlineStr">
        <is>
          <t>F</t>
        </is>
      </c>
      <c r="L110" s="96" t="inlineStr">
        <is>
          <t>ONE</t>
        </is>
      </c>
      <c r="M110" s="96" t="inlineStr">
        <is>
          <t>VFL</t>
        </is>
      </c>
      <c r="N110" s="96" t="inlineStr">
        <is>
          <t>BKK04</t>
        </is>
      </c>
      <c r="O110" s="96" t="inlineStr">
        <is>
          <t>BKK</t>
        </is>
      </c>
      <c r="P110" s="96" t="inlineStr">
        <is>
          <t>TH</t>
        </is>
      </c>
      <c r="Q110" s="96" t="inlineStr">
        <is>
          <t>HASLS22260801914</t>
        </is>
      </c>
      <c r="R110" s="96" t="inlineStr">
        <is>
          <t>N</t>
        </is>
      </c>
      <c r="S110" s="96" t="inlineStr">
        <is>
          <t>N</t>
        </is>
      </c>
      <c r="T110" s="96" t="inlineStr">
        <is>
          <t>BTS</t>
        </is>
      </c>
      <c r="U110" s="97" t="n"/>
      <c r="V110" s="96" t="inlineStr">
        <is>
          <t>K0120021</t>
        </is>
      </c>
      <c r="W110" s="96" t="inlineStr">
        <is>
          <t>THAI VEGETABLE OIL PUBLIC COMPANY</t>
        </is>
      </c>
      <c r="X110" s="96" t="inlineStr">
        <is>
          <t>VFD</t>
        </is>
      </c>
      <c r="Y110" s="96" t="inlineStr">
        <is>
          <t>TO THE ORDER OF KOOKMIN BANK</t>
        </is>
      </c>
      <c r="Z110" s="96" t="inlineStr">
        <is>
          <t>CJ CHEILJEDANG CORPORATION</t>
        </is>
      </c>
      <c r="AA110" s="97" t="n">
        <v>21100</v>
      </c>
      <c r="AB110" s="96" t="inlineStr">
        <is>
          <t>BKK04</t>
        </is>
      </c>
      <c r="AC110" s="96" t="inlineStr">
        <is>
          <t>PTK02</t>
        </is>
      </c>
    </row>
    <row r="111" ht="12" customHeight="1">
      <c r="A111" s="96" t="inlineStr">
        <is>
          <t>SKLU1205326</t>
        </is>
      </c>
      <c r="B111" s="161" t="inlineStr">
        <is>
          <t>2026-10-08</t>
        </is>
      </c>
      <c r="C111" s="96" t="inlineStr">
        <is>
          <t>SWSP</t>
        </is>
      </c>
      <c r="D111" s="96" t="inlineStr">
        <is>
          <t>2609N</t>
        </is>
      </c>
      <c r="E111" s="96" t="inlineStr">
        <is>
          <t>22GP</t>
        </is>
      </c>
      <c r="F111" s="96" t="inlineStr">
        <is>
          <t>SD</t>
        </is>
      </c>
      <c r="G111" s="96" t="inlineStr">
        <is>
          <t>THBKK</t>
        </is>
      </c>
      <c r="H111" s="96" t="inlineStr">
        <is>
          <t>THBKK</t>
        </is>
      </c>
      <c r="I111" s="96" t="inlineStr">
        <is>
          <t>KRPTK</t>
        </is>
      </c>
      <c r="J111" s="96" t="inlineStr">
        <is>
          <t>KRPTK</t>
        </is>
      </c>
      <c r="K111" s="96" t="inlineStr">
        <is>
          <t>F</t>
        </is>
      </c>
      <c r="L111" s="96" t="inlineStr">
        <is>
          <t>ONE</t>
        </is>
      </c>
      <c r="M111" s="96" t="inlineStr">
        <is>
          <t>VFL</t>
        </is>
      </c>
      <c r="N111" s="96" t="inlineStr">
        <is>
          <t>BKK04</t>
        </is>
      </c>
      <c r="O111" s="96" t="inlineStr">
        <is>
          <t>BKK</t>
        </is>
      </c>
      <c r="P111" s="96" t="inlineStr">
        <is>
          <t>TH</t>
        </is>
      </c>
      <c r="Q111" s="96" t="inlineStr">
        <is>
          <t>HASLS22260801914</t>
        </is>
      </c>
      <c r="R111" s="96" t="inlineStr">
        <is>
          <t>N</t>
        </is>
      </c>
      <c r="S111" s="96" t="inlineStr">
        <is>
          <t>N</t>
        </is>
      </c>
      <c r="T111" s="96" t="inlineStr">
        <is>
          <t>BTS</t>
        </is>
      </c>
      <c r="U111" s="97" t="n"/>
      <c r="V111" s="96" t="inlineStr">
        <is>
          <t>K0120021</t>
        </is>
      </c>
      <c r="W111" s="96" t="inlineStr">
        <is>
          <t>THAI VEGETABLE OIL PUBLIC COMPANY</t>
        </is>
      </c>
      <c r="X111" s="96" t="inlineStr">
        <is>
          <t>VFD</t>
        </is>
      </c>
      <c r="Y111" s="96" t="inlineStr">
        <is>
          <t>TO THE ORDER OF KOOKMIN BANK</t>
        </is>
      </c>
      <c r="Z111" s="96" t="inlineStr">
        <is>
          <t>CJ CHEILJEDANG CORPORATION</t>
        </is>
      </c>
      <c r="AA111" s="97" t="n">
        <v>21100</v>
      </c>
      <c r="AB111" s="96" t="inlineStr">
        <is>
          <t>BKK04</t>
        </is>
      </c>
      <c r="AC111" s="96" t="inlineStr">
        <is>
          <t>PTK02</t>
        </is>
      </c>
    </row>
    <row r="112" ht="12" customHeight="1">
      <c r="A112" s="96" t="inlineStr">
        <is>
          <t>SKLU1301464</t>
        </is>
      </c>
      <c r="B112" s="161" t="inlineStr">
        <is>
          <t>2026-10-08</t>
        </is>
      </c>
      <c r="C112" s="96" t="inlineStr">
        <is>
          <t>SWSP</t>
        </is>
      </c>
      <c r="D112" s="96" t="inlineStr">
        <is>
          <t>2609N</t>
        </is>
      </c>
      <c r="E112" s="96" t="inlineStr">
        <is>
          <t>22GP</t>
        </is>
      </c>
      <c r="F112" s="96" t="inlineStr">
        <is>
          <t>SD</t>
        </is>
      </c>
      <c r="G112" s="96" t="inlineStr">
        <is>
          <t>THBKK</t>
        </is>
      </c>
      <c r="H112" s="96" t="inlineStr">
        <is>
          <t>THBKK</t>
        </is>
      </c>
      <c r="I112" s="96" t="inlineStr">
        <is>
          <t>VNSGN</t>
        </is>
      </c>
      <c r="J112" s="96" t="inlineStr">
        <is>
          <t>VNSGN</t>
        </is>
      </c>
      <c r="K112" s="96" t="inlineStr">
        <is>
          <t>F</t>
        </is>
      </c>
      <c r="L112" s="96" t="inlineStr">
        <is>
          <t>ONE</t>
        </is>
      </c>
      <c r="M112" s="96" t="inlineStr">
        <is>
          <t>VFL</t>
        </is>
      </c>
      <c r="N112" s="96" t="inlineStr">
        <is>
          <t>BKK04</t>
        </is>
      </c>
      <c r="O112" s="96" t="inlineStr">
        <is>
          <t>BKK</t>
        </is>
      </c>
      <c r="P112" s="96" t="inlineStr">
        <is>
          <t>TH</t>
        </is>
      </c>
      <c r="Q112" s="96" t="inlineStr">
        <is>
          <t>HASLS22260901638</t>
        </is>
      </c>
      <c r="R112" s="96" t="inlineStr">
        <is>
          <t>N</t>
        </is>
      </c>
      <c r="S112" s="96" t="inlineStr">
        <is>
          <t>N</t>
        </is>
      </c>
      <c r="T112" s="96" t="inlineStr">
        <is>
          <t>BTS</t>
        </is>
      </c>
      <c r="U112" s="97" t="n"/>
      <c r="V112" s="96" t="inlineStr">
        <is>
          <t>K0120021</t>
        </is>
      </c>
      <c r="W112" s="96" t="inlineStr">
        <is>
          <t>APEX CIRCUIT (THAILAND) CO.,LTD.</t>
        </is>
      </c>
      <c r="X112" s="96" t="inlineStr">
        <is>
          <t>VFD</t>
        </is>
      </c>
      <c r="Y112" s="96" t="inlineStr">
        <is>
          <t>SAMSUNG ELECTRONICS HCMC CE COMPLEX</t>
        </is>
      </c>
      <c r="Z112" s="96" t="inlineStr">
        <is>
          <t>SAMSUNG SDS VIETNAM CO., LTD -</t>
        </is>
      </c>
      <c r="AA112" s="97" t="n">
        <v>3133.19</v>
      </c>
      <c r="AB112" s="96" t="inlineStr">
        <is>
          <t>BKK04</t>
        </is>
      </c>
      <c r="AC112" s="96" t="inlineStr">
        <is>
          <t>SGN03</t>
        </is>
      </c>
    </row>
    <row r="113" ht="12" customHeight="1">
      <c r="A113" s="96" t="inlineStr">
        <is>
          <t>SKLU1302202</t>
        </is>
      </c>
      <c r="B113" s="161" t="inlineStr">
        <is>
          <t>2026-10-08</t>
        </is>
      </c>
      <c r="C113" s="96" t="inlineStr">
        <is>
          <t>SWSP</t>
        </is>
      </c>
      <c r="D113" s="96" t="inlineStr">
        <is>
          <t>2609N</t>
        </is>
      </c>
      <c r="E113" s="96" t="inlineStr">
        <is>
          <t>22GP</t>
        </is>
      </c>
      <c r="F113" s="96" t="inlineStr">
        <is>
          <t>SD</t>
        </is>
      </c>
      <c r="G113" s="96" t="inlineStr">
        <is>
          <t>THBKK</t>
        </is>
      </c>
      <c r="H113" s="96" t="inlineStr">
        <is>
          <t>THBKK</t>
        </is>
      </c>
      <c r="I113" s="96" t="inlineStr">
        <is>
          <t>KRPTK</t>
        </is>
      </c>
      <c r="J113" s="96" t="inlineStr">
        <is>
          <t>KRPTK</t>
        </is>
      </c>
      <c r="K113" s="96" t="inlineStr">
        <is>
          <t>F</t>
        </is>
      </c>
      <c r="L113" s="96" t="inlineStr">
        <is>
          <t>ONE</t>
        </is>
      </c>
      <c r="M113" s="96" t="inlineStr">
        <is>
          <t>VFL</t>
        </is>
      </c>
      <c r="N113" s="96" t="inlineStr">
        <is>
          <t>BKK04</t>
        </is>
      </c>
      <c r="O113" s="96" t="inlineStr">
        <is>
          <t>BKK</t>
        </is>
      </c>
      <c r="P113" s="96" t="inlineStr">
        <is>
          <t>TH</t>
        </is>
      </c>
      <c r="Q113" s="96" t="inlineStr">
        <is>
          <t>HASLS22260801914</t>
        </is>
      </c>
      <c r="R113" s="96" t="inlineStr">
        <is>
          <t>N</t>
        </is>
      </c>
      <c r="S113" s="96" t="inlineStr">
        <is>
          <t>N</t>
        </is>
      </c>
      <c r="T113" s="96" t="inlineStr">
        <is>
          <t>BTS</t>
        </is>
      </c>
      <c r="U113" s="97" t="n"/>
      <c r="V113" s="96" t="inlineStr">
        <is>
          <t>K0120021</t>
        </is>
      </c>
      <c r="W113" s="96" t="inlineStr">
        <is>
          <t>THAI VEGETABLE OIL PUBLIC COMPANY</t>
        </is>
      </c>
      <c r="X113" s="96" t="inlineStr">
        <is>
          <t>VFD</t>
        </is>
      </c>
      <c r="Y113" s="96" t="inlineStr">
        <is>
          <t>TO THE ORDER OF KOOKMIN BANK</t>
        </is>
      </c>
      <c r="Z113" s="96" t="inlineStr">
        <is>
          <t>CJ CHEILJEDANG CORPORATION</t>
        </is>
      </c>
      <c r="AA113" s="97" t="n">
        <v>21100</v>
      </c>
      <c r="AB113" s="96" t="inlineStr">
        <is>
          <t>BKK04</t>
        </is>
      </c>
      <c r="AC113" s="96" t="inlineStr">
        <is>
          <t>PTK02</t>
        </is>
      </c>
    </row>
    <row r="114" ht="12" customHeight="1">
      <c r="A114" s="96" t="inlineStr">
        <is>
          <t>SKLU1303132</t>
        </is>
      </c>
      <c r="B114" s="161" t="inlineStr">
        <is>
          <t>2026-10-08</t>
        </is>
      </c>
      <c r="C114" s="96" t="inlineStr">
        <is>
          <t>SWSP</t>
        </is>
      </c>
      <c r="D114" s="96" t="inlineStr">
        <is>
          <t>2609N</t>
        </is>
      </c>
      <c r="E114" s="96" t="inlineStr">
        <is>
          <t>22GP</t>
        </is>
      </c>
      <c r="F114" s="96" t="inlineStr">
        <is>
          <t>SD</t>
        </is>
      </c>
      <c r="G114" s="96" t="inlineStr">
        <is>
          <t>THBKK</t>
        </is>
      </c>
      <c r="H114" s="96" t="inlineStr">
        <is>
          <t>THBKK</t>
        </is>
      </c>
      <c r="I114" s="96" t="inlineStr">
        <is>
          <t>KRPTK</t>
        </is>
      </c>
      <c r="J114" s="96" t="inlineStr">
        <is>
          <t>KRPTK</t>
        </is>
      </c>
      <c r="K114" s="96" t="inlineStr">
        <is>
          <t>F</t>
        </is>
      </c>
      <c r="L114" s="96" t="inlineStr">
        <is>
          <t>ONE</t>
        </is>
      </c>
      <c r="M114" s="96" t="inlineStr">
        <is>
          <t>VFL</t>
        </is>
      </c>
      <c r="N114" s="96" t="inlineStr">
        <is>
          <t>BKK04</t>
        </is>
      </c>
      <c r="O114" s="96" t="inlineStr">
        <is>
          <t>BKK</t>
        </is>
      </c>
      <c r="P114" s="96" t="inlineStr">
        <is>
          <t>TH</t>
        </is>
      </c>
      <c r="Q114" s="96" t="inlineStr">
        <is>
          <t>HASLS22260801914</t>
        </is>
      </c>
      <c r="R114" s="96" t="inlineStr">
        <is>
          <t>N</t>
        </is>
      </c>
      <c r="S114" s="96" t="inlineStr">
        <is>
          <t>N</t>
        </is>
      </c>
      <c r="T114" s="96" t="inlineStr">
        <is>
          <t>BTS</t>
        </is>
      </c>
      <c r="U114" s="97" t="n"/>
      <c r="V114" s="96" t="inlineStr">
        <is>
          <t>K0120021</t>
        </is>
      </c>
      <c r="W114" s="96" t="inlineStr">
        <is>
          <t>THAI VEGETABLE OIL PUBLIC COMPANY</t>
        </is>
      </c>
      <c r="X114" s="96" t="inlineStr">
        <is>
          <t>VFD</t>
        </is>
      </c>
      <c r="Y114" s="96" t="inlineStr">
        <is>
          <t>TO THE ORDER OF KOOKMIN BANK</t>
        </is>
      </c>
      <c r="Z114" s="96" t="inlineStr">
        <is>
          <t>CJ CHEILJEDANG CORPORATION</t>
        </is>
      </c>
      <c r="AA114" s="97" t="n">
        <v>21100</v>
      </c>
      <c r="AB114" s="96" t="inlineStr">
        <is>
          <t>BKK04</t>
        </is>
      </c>
      <c r="AC114" s="96" t="inlineStr">
        <is>
          <t>PTK02</t>
        </is>
      </c>
    </row>
    <row r="115" ht="12" customHeight="1">
      <c r="A115" s="96" t="inlineStr">
        <is>
          <t>SKLU1327495</t>
        </is>
      </c>
      <c r="B115" s="161" t="inlineStr">
        <is>
          <t>2026-10-08</t>
        </is>
      </c>
      <c r="C115" s="96" t="inlineStr">
        <is>
          <t>SWSP</t>
        </is>
      </c>
      <c r="D115" s="96" t="inlineStr">
        <is>
          <t>2609N</t>
        </is>
      </c>
      <c r="E115" s="96" t="inlineStr">
        <is>
          <t>22GP</t>
        </is>
      </c>
      <c r="F115" s="96" t="inlineStr">
        <is>
          <t>SD</t>
        </is>
      </c>
      <c r="G115" s="96" t="inlineStr">
        <is>
          <t>THBKK</t>
        </is>
      </c>
      <c r="H115" s="96" t="inlineStr">
        <is>
          <t>THBKK</t>
        </is>
      </c>
      <c r="I115" s="96" t="inlineStr">
        <is>
          <t>VNSGN</t>
        </is>
      </c>
      <c r="J115" s="96" t="inlineStr">
        <is>
          <t>VNSGN</t>
        </is>
      </c>
      <c r="K115" s="96" t="inlineStr">
        <is>
          <t>F</t>
        </is>
      </c>
      <c r="L115" s="96" t="inlineStr">
        <is>
          <t>ONE</t>
        </is>
      </c>
      <c r="M115" s="96" t="inlineStr">
        <is>
          <t>VFL</t>
        </is>
      </c>
      <c r="N115" s="96" t="inlineStr">
        <is>
          <t>BKK04</t>
        </is>
      </c>
      <c r="O115" s="96" t="inlineStr">
        <is>
          <t>BKK</t>
        </is>
      </c>
      <c r="P115" s="96" t="inlineStr">
        <is>
          <t>TH</t>
        </is>
      </c>
      <c r="Q115" s="96" t="inlineStr">
        <is>
          <t>HASLS22260900630</t>
        </is>
      </c>
      <c r="R115" s="96" t="inlineStr">
        <is>
          <t>N</t>
        </is>
      </c>
      <c r="S115" s="96" t="inlineStr">
        <is>
          <t>N</t>
        </is>
      </c>
      <c r="T115" s="96" t="inlineStr">
        <is>
          <t>BTS</t>
        </is>
      </c>
      <c r="U115" s="97" t="n"/>
      <c r="V115" s="96" t="inlineStr">
        <is>
          <t>K0120021</t>
        </is>
      </c>
      <c r="W115" s="96" t="inlineStr">
        <is>
          <t>THANAKORN VEGETABLE OIL PRODUCTS</t>
        </is>
      </c>
      <c r="X115" s="96" t="inlineStr">
        <is>
          <t>VFD</t>
        </is>
      </c>
      <c r="Y115" s="96" t="inlineStr">
        <is>
          <t>MEKONG COMMODITIES JSC</t>
        </is>
      </c>
      <c r="Z115" s="96" t="inlineStr">
        <is>
          <t>AUSTRALASIAN COMMODITIES PTY LTD</t>
        </is>
      </c>
      <c r="AA115" s="97" t="n">
        <v>21100</v>
      </c>
      <c r="AB115" s="96" t="inlineStr">
        <is>
          <t>BKK04</t>
        </is>
      </c>
      <c r="AC115" s="96" t="inlineStr">
        <is>
          <t>SGN03</t>
        </is>
      </c>
    </row>
    <row r="116" ht="12" customHeight="1">
      <c r="A116" s="96" t="inlineStr">
        <is>
          <t>SKLU1404436</t>
        </is>
      </c>
      <c r="B116" s="161" t="inlineStr">
        <is>
          <t>2026-10-08</t>
        </is>
      </c>
      <c r="C116" s="96" t="inlineStr">
        <is>
          <t>SWSP</t>
        </is>
      </c>
      <c r="D116" s="96" t="inlineStr">
        <is>
          <t>2609N</t>
        </is>
      </c>
      <c r="E116" s="96" t="inlineStr">
        <is>
          <t>22GP</t>
        </is>
      </c>
      <c r="F116" s="96" t="inlineStr">
        <is>
          <t>SD</t>
        </is>
      </c>
      <c r="G116" s="96" t="inlineStr">
        <is>
          <t>THBKK</t>
        </is>
      </c>
      <c r="H116" s="96" t="inlineStr">
        <is>
          <t>THBKK</t>
        </is>
      </c>
      <c r="I116" s="96" t="inlineStr">
        <is>
          <t>KRPUS</t>
        </is>
      </c>
      <c r="J116" s="96" t="inlineStr">
        <is>
          <t>JPIYM</t>
        </is>
      </c>
      <c r="K116" s="96" t="inlineStr">
        <is>
          <t>F</t>
        </is>
      </c>
      <c r="L116" s="96" t="inlineStr">
        <is>
          <t>ONE</t>
        </is>
      </c>
      <c r="M116" s="96" t="inlineStr">
        <is>
          <t>VFL</t>
        </is>
      </c>
      <c r="N116" s="96" t="inlineStr">
        <is>
          <t>BKK04</t>
        </is>
      </c>
      <c r="O116" s="96" t="inlineStr">
        <is>
          <t>BKK</t>
        </is>
      </c>
      <c r="P116" s="96" t="inlineStr">
        <is>
          <t>TH</t>
        </is>
      </c>
      <c r="Q116" s="96" t="inlineStr">
        <is>
          <t>HASLS22260901537</t>
        </is>
      </c>
      <c r="R116" s="96" t="inlineStr">
        <is>
          <t>Y</t>
        </is>
      </c>
      <c r="S116" s="96" t="inlineStr">
        <is>
          <t>N</t>
        </is>
      </c>
      <c r="T116" s="96" t="inlineStr">
        <is>
          <t>BTS</t>
        </is>
      </c>
      <c r="U116" s="97" t="n"/>
      <c r="V116" s="96" t="inlineStr">
        <is>
          <t>K0120021</t>
        </is>
      </c>
      <c r="W116" s="96" t="inlineStr">
        <is>
          <t>SCG INTERNATIONAL CORPORATION</t>
        </is>
      </c>
      <c r="X116" s="96" t="inlineStr">
        <is>
          <t>VFD</t>
        </is>
      </c>
      <c r="Y116" s="96" t="inlineStr">
        <is>
          <t>USUI METALS CORPORATION</t>
        </is>
      </c>
      <c r="Z116" s="96" t="inlineStr">
        <is>
          <t>USUI METALS CORPORATION</t>
        </is>
      </c>
      <c r="AA116" s="97" t="n">
        <v>20100</v>
      </c>
      <c r="AB116" s="96" t="inlineStr">
        <is>
          <t>BKK04</t>
        </is>
      </c>
      <c r="AC116" s="96" t="inlineStr">
        <is>
          <t>IYM02</t>
        </is>
      </c>
    </row>
    <row r="117" ht="12" customHeight="1">
      <c r="A117" s="96" t="inlineStr">
        <is>
          <t>SKLU1411137</t>
        </is>
      </c>
      <c r="B117" s="161" t="inlineStr">
        <is>
          <t>2026-10-08</t>
        </is>
      </c>
      <c r="C117" s="96" t="inlineStr">
        <is>
          <t>SWSP</t>
        </is>
      </c>
      <c r="D117" s="96" t="inlineStr">
        <is>
          <t>2609N</t>
        </is>
      </c>
      <c r="E117" s="96" t="inlineStr">
        <is>
          <t>22GP</t>
        </is>
      </c>
      <c r="F117" s="96" t="inlineStr">
        <is>
          <t>SD</t>
        </is>
      </c>
      <c r="G117" s="96" t="inlineStr">
        <is>
          <t>THBKK</t>
        </is>
      </c>
      <c r="H117" s="96" t="inlineStr">
        <is>
          <t>THBKK</t>
        </is>
      </c>
      <c r="I117" s="96" t="inlineStr">
        <is>
          <t>KRPTK</t>
        </is>
      </c>
      <c r="J117" s="96" t="inlineStr">
        <is>
          <t>KRPTK</t>
        </is>
      </c>
      <c r="K117" s="96" t="inlineStr">
        <is>
          <t>F</t>
        </is>
      </c>
      <c r="L117" s="96" t="inlineStr">
        <is>
          <t>ONE</t>
        </is>
      </c>
      <c r="M117" s="96" t="inlineStr">
        <is>
          <t>VFL</t>
        </is>
      </c>
      <c r="N117" s="96" t="inlineStr">
        <is>
          <t>BKK04</t>
        </is>
      </c>
      <c r="O117" s="96" t="inlineStr">
        <is>
          <t>BKK</t>
        </is>
      </c>
      <c r="P117" s="96" t="inlineStr">
        <is>
          <t>TH</t>
        </is>
      </c>
      <c r="Q117" s="96" t="inlineStr">
        <is>
          <t>HASLS22260801914</t>
        </is>
      </c>
      <c r="R117" s="96" t="inlineStr">
        <is>
          <t>N</t>
        </is>
      </c>
      <c r="S117" s="96" t="inlineStr">
        <is>
          <t>N</t>
        </is>
      </c>
      <c r="T117" s="96" t="inlineStr">
        <is>
          <t>BTS</t>
        </is>
      </c>
      <c r="U117" s="97" t="n"/>
      <c r="V117" s="96" t="inlineStr">
        <is>
          <t>K0120021</t>
        </is>
      </c>
      <c r="W117" s="96" t="inlineStr">
        <is>
          <t>THAI VEGETABLE OIL PUBLIC COMPANY</t>
        </is>
      </c>
      <c r="X117" s="96" t="inlineStr">
        <is>
          <t>VFD</t>
        </is>
      </c>
      <c r="Y117" s="96" t="inlineStr">
        <is>
          <t>TO THE ORDER OF KOOKMIN BANK</t>
        </is>
      </c>
      <c r="Z117" s="96" t="inlineStr">
        <is>
          <t>CJ CHEILJEDANG CORPORATION</t>
        </is>
      </c>
      <c r="AA117" s="97" t="n">
        <v>21100</v>
      </c>
      <c r="AB117" s="96" t="inlineStr">
        <is>
          <t>BKK04</t>
        </is>
      </c>
      <c r="AC117" s="96" t="inlineStr">
        <is>
          <t>PTK02</t>
        </is>
      </c>
    </row>
    <row r="118" ht="12" customHeight="1">
      <c r="A118" s="96" t="inlineStr">
        <is>
          <t>SKLU1436217</t>
        </is>
      </c>
      <c r="B118" s="161" t="inlineStr">
        <is>
          <t>2026-10-08</t>
        </is>
      </c>
      <c r="C118" s="96" t="inlineStr">
        <is>
          <t>SWSP</t>
        </is>
      </c>
      <c r="D118" s="96" t="inlineStr">
        <is>
          <t>2609N</t>
        </is>
      </c>
      <c r="E118" s="96" t="inlineStr">
        <is>
          <t>22GP</t>
        </is>
      </c>
      <c r="F118" s="96" t="inlineStr">
        <is>
          <t>SD</t>
        </is>
      </c>
      <c r="G118" s="96" t="inlineStr">
        <is>
          <t>THBKK</t>
        </is>
      </c>
      <c r="H118" s="96" t="inlineStr">
        <is>
          <t>THBKK</t>
        </is>
      </c>
      <c r="I118" s="96" t="inlineStr">
        <is>
          <t>VNSGN</t>
        </is>
      </c>
      <c r="J118" s="96" t="inlineStr">
        <is>
          <t>VNSGN</t>
        </is>
      </c>
      <c r="K118" s="96" t="inlineStr">
        <is>
          <t>F</t>
        </is>
      </c>
      <c r="L118" s="96" t="inlineStr">
        <is>
          <t>ONE</t>
        </is>
      </c>
      <c r="M118" s="96" t="inlineStr">
        <is>
          <t>VFL</t>
        </is>
      </c>
      <c r="N118" s="96" t="inlineStr">
        <is>
          <t>BKK04</t>
        </is>
      </c>
      <c r="O118" s="96" t="inlineStr">
        <is>
          <t>BKK</t>
        </is>
      </c>
      <c r="P118" s="96" t="inlineStr">
        <is>
          <t>TH</t>
        </is>
      </c>
      <c r="Q118" s="96" t="inlineStr">
        <is>
          <t>HASLS22260901598</t>
        </is>
      </c>
      <c r="R118" s="96" t="inlineStr">
        <is>
          <t>N</t>
        </is>
      </c>
      <c r="S118" s="96" t="inlineStr">
        <is>
          <t>N</t>
        </is>
      </c>
      <c r="T118" s="96" t="inlineStr">
        <is>
          <t>BTS</t>
        </is>
      </c>
      <c r="U118" s="97" t="n"/>
      <c r="V118" s="96" t="inlineStr">
        <is>
          <t>K0120021</t>
        </is>
      </c>
      <c r="W118" s="96" t="inlineStr">
        <is>
          <t>CHAROEN POKPHAND PRODUCE CO.,LTD.</t>
        </is>
      </c>
      <c r="X118" s="96" t="inlineStr">
        <is>
          <t>VFD</t>
        </is>
      </c>
      <c r="Y118" s="96" t="inlineStr">
        <is>
          <t>C.P.SEEDS (VIETNAM) CO.,LTD.</t>
        </is>
      </c>
      <c r="Z118" s="96" t="inlineStr">
        <is>
          <t>C.P.SEEDS (VIETNAM) CO.,LTD.</t>
        </is>
      </c>
      <c r="AA118" s="97" t="n">
        <v>20200</v>
      </c>
      <c r="AB118" s="96" t="inlineStr">
        <is>
          <t>BKK04</t>
        </is>
      </c>
      <c r="AC118" s="96" t="inlineStr">
        <is>
          <t>SGN03</t>
        </is>
      </c>
    </row>
    <row r="119" ht="12" customHeight="1">
      <c r="A119" s="96" t="inlineStr">
        <is>
          <t>SKLU1441661</t>
        </is>
      </c>
      <c r="B119" s="161" t="inlineStr">
        <is>
          <t>2026-10-08</t>
        </is>
      </c>
      <c r="C119" s="96" t="inlineStr">
        <is>
          <t>SWSP</t>
        </is>
      </c>
      <c r="D119" s="96" t="inlineStr">
        <is>
          <t>2609N</t>
        </is>
      </c>
      <c r="E119" s="96" t="inlineStr">
        <is>
          <t>22GP</t>
        </is>
      </c>
      <c r="F119" s="96" t="inlineStr">
        <is>
          <t>SD</t>
        </is>
      </c>
      <c r="G119" s="96" t="inlineStr">
        <is>
          <t>THBKK</t>
        </is>
      </c>
      <c r="H119" s="96" t="inlineStr">
        <is>
          <t>THBKK</t>
        </is>
      </c>
      <c r="I119" s="96" t="inlineStr">
        <is>
          <t>KRPUS</t>
        </is>
      </c>
      <c r="J119" s="96" t="inlineStr">
        <is>
          <t>JPSEN</t>
        </is>
      </c>
      <c r="K119" s="96" t="inlineStr">
        <is>
          <t>F</t>
        </is>
      </c>
      <c r="L119" s="96" t="inlineStr">
        <is>
          <t>ONE</t>
        </is>
      </c>
      <c r="M119" s="96" t="inlineStr">
        <is>
          <t>VFL</t>
        </is>
      </c>
      <c r="N119" s="96" t="inlineStr">
        <is>
          <t>BKK04</t>
        </is>
      </c>
      <c r="O119" s="96" t="inlineStr">
        <is>
          <t>BKK</t>
        </is>
      </c>
      <c r="P119" s="96" t="inlineStr">
        <is>
          <t>TH</t>
        </is>
      </c>
      <c r="Q119" s="96" t="inlineStr">
        <is>
          <t>HASLS22260900196</t>
        </is>
      </c>
      <c r="R119" s="96" t="inlineStr">
        <is>
          <t>Y</t>
        </is>
      </c>
      <c r="S119" s="96" t="inlineStr">
        <is>
          <t>N</t>
        </is>
      </c>
      <c r="T119" s="96" t="inlineStr">
        <is>
          <t>BTS</t>
        </is>
      </c>
      <c r="U119" s="97" t="n"/>
      <c r="V119" s="96" t="inlineStr">
        <is>
          <t>K0120021</t>
        </is>
      </c>
      <c r="W119" s="96" t="inlineStr">
        <is>
          <t>SANGUAN WONGSE STARCH CO., LTD.</t>
        </is>
      </c>
      <c r="X119" s="96" t="inlineStr">
        <is>
          <t>VFD</t>
        </is>
      </c>
      <c r="Y119" s="96" t="inlineStr">
        <is>
          <t>SANSHO CO., LTD.</t>
        </is>
      </c>
      <c r="Z119" s="96" t="inlineStr">
        <is>
          <t>SANSHO CO., LTD.</t>
        </is>
      </c>
      <c r="AA119" s="97" t="n">
        <v>17190</v>
      </c>
      <c r="AB119" s="96" t="inlineStr">
        <is>
          <t>BKK04</t>
        </is>
      </c>
      <c r="AC119" s="96" t="inlineStr">
        <is>
          <t>SEN01</t>
        </is>
      </c>
    </row>
    <row r="120" ht="12" customHeight="1">
      <c r="A120" s="96" t="inlineStr">
        <is>
          <t>SKLU1509777</t>
        </is>
      </c>
      <c r="B120" s="161" t="inlineStr">
        <is>
          <t>2026-10-08</t>
        </is>
      </c>
      <c r="C120" s="96" t="inlineStr">
        <is>
          <t>SWSP</t>
        </is>
      </c>
      <c r="D120" s="96" t="inlineStr">
        <is>
          <t>2609N</t>
        </is>
      </c>
      <c r="E120" s="96" t="inlineStr">
        <is>
          <t>22GP</t>
        </is>
      </c>
      <c r="F120" s="96" t="inlineStr">
        <is>
          <t>SD</t>
        </is>
      </c>
      <c r="G120" s="96" t="inlineStr">
        <is>
          <t>THBKK</t>
        </is>
      </c>
      <c r="H120" s="96" t="inlineStr">
        <is>
          <t>THBKK</t>
        </is>
      </c>
      <c r="I120" s="96" t="inlineStr">
        <is>
          <t>VNSGN</t>
        </is>
      </c>
      <c r="J120" s="96" t="inlineStr">
        <is>
          <t>VNSGN</t>
        </is>
      </c>
      <c r="K120" s="96" t="inlineStr">
        <is>
          <t>F</t>
        </is>
      </c>
      <c r="L120" s="96" t="inlineStr">
        <is>
          <t>ONE</t>
        </is>
      </c>
      <c r="M120" s="96" t="inlineStr">
        <is>
          <t>VFL</t>
        </is>
      </c>
      <c r="N120" s="96" t="inlineStr">
        <is>
          <t>BKK04</t>
        </is>
      </c>
      <c r="O120" s="96" t="inlineStr">
        <is>
          <t>BKK</t>
        </is>
      </c>
      <c r="P120" s="96" t="inlineStr">
        <is>
          <t>TH</t>
        </is>
      </c>
      <c r="Q120" s="96" t="inlineStr">
        <is>
          <t>HASLS22260900630</t>
        </is>
      </c>
      <c r="R120" s="96" t="inlineStr">
        <is>
          <t>N</t>
        </is>
      </c>
      <c r="S120" s="96" t="inlineStr">
        <is>
          <t>N</t>
        </is>
      </c>
      <c r="T120" s="96" t="inlineStr">
        <is>
          <t>BTS</t>
        </is>
      </c>
      <c r="U120" s="97" t="n"/>
      <c r="V120" s="96" t="inlineStr">
        <is>
          <t>K0120021</t>
        </is>
      </c>
      <c r="W120" s="96" t="inlineStr">
        <is>
          <t>THANAKORN VEGETABLE OIL PRODUCTS</t>
        </is>
      </c>
      <c r="X120" s="96" t="inlineStr">
        <is>
          <t>VFD</t>
        </is>
      </c>
      <c r="Y120" s="96" t="inlineStr">
        <is>
          <t>MEKONG COMMODITIES JSC</t>
        </is>
      </c>
      <c r="Z120" s="96" t="inlineStr">
        <is>
          <t>AUSTRALASIAN COMMODITIES PTY LTD</t>
        </is>
      </c>
      <c r="AA120" s="97" t="n">
        <v>21100</v>
      </c>
      <c r="AB120" s="96" t="inlineStr">
        <is>
          <t>BKK04</t>
        </is>
      </c>
      <c r="AC120" s="96" t="inlineStr">
        <is>
          <t>SGN03</t>
        </is>
      </c>
    </row>
    <row r="121" ht="12" customHeight="1">
      <c r="A121" s="96" t="inlineStr">
        <is>
          <t>SKLU1526012</t>
        </is>
      </c>
      <c r="B121" s="161" t="inlineStr">
        <is>
          <t>2026-10-08</t>
        </is>
      </c>
      <c r="C121" s="96" t="inlineStr">
        <is>
          <t>SWSP</t>
        </is>
      </c>
      <c r="D121" s="96" t="inlineStr">
        <is>
          <t>2609N</t>
        </is>
      </c>
      <c r="E121" s="96" t="inlineStr">
        <is>
          <t>22GP</t>
        </is>
      </c>
      <c r="F121" s="96" t="inlineStr">
        <is>
          <t>SD</t>
        </is>
      </c>
      <c r="G121" s="96" t="inlineStr">
        <is>
          <t>THBKK</t>
        </is>
      </c>
      <c r="H121" s="96" t="inlineStr">
        <is>
          <t>THBKK</t>
        </is>
      </c>
      <c r="I121" s="96" t="inlineStr">
        <is>
          <t>KRPUS</t>
        </is>
      </c>
      <c r="J121" s="96" t="inlineStr">
        <is>
          <t>JPSDJ</t>
        </is>
      </c>
      <c r="K121" s="96" t="inlineStr">
        <is>
          <t>F</t>
        </is>
      </c>
      <c r="L121" s="96" t="inlineStr">
        <is>
          <t>ONE</t>
        </is>
      </c>
      <c r="M121" s="96" t="inlineStr">
        <is>
          <t>VFL</t>
        </is>
      </c>
      <c r="N121" s="96" t="inlineStr">
        <is>
          <t>BKK04</t>
        </is>
      </c>
      <c r="O121" s="96" t="inlineStr">
        <is>
          <t>BKK</t>
        </is>
      </c>
      <c r="P121" s="96" t="inlineStr">
        <is>
          <t>TH</t>
        </is>
      </c>
      <c r="Q121" s="96" t="inlineStr">
        <is>
          <t>HASLS22260900796</t>
        </is>
      </c>
      <c r="R121" s="96" t="inlineStr">
        <is>
          <t>Y</t>
        </is>
      </c>
      <c r="S121" s="96" t="inlineStr">
        <is>
          <t>N</t>
        </is>
      </c>
      <c r="T121" s="96" t="inlineStr">
        <is>
          <t>BTS</t>
        </is>
      </c>
      <c r="U121" s="97" t="n"/>
      <c r="V121" s="96" t="inlineStr">
        <is>
          <t>K0120021</t>
        </is>
      </c>
      <c r="W121" s="96" t="inlineStr">
        <is>
          <t>BIRLA CARBON (THAILAND) PUBLIC</t>
        </is>
      </c>
      <c r="X121" s="96" t="inlineStr">
        <is>
          <t>VFD</t>
        </is>
      </c>
      <c r="Y121" s="96" t="inlineStr">
        <is>
          <t>TOYO TIRE CORPORATION PROCUREMENT</t>
        </is>
      </c>
      <c r="Z121" s="96" t="inlineStr">
        <is>
          <t>TOYO TIRE CORPORATION PROCUREMENT</t>
        </is>
      </c>
      <c r="AA121" s="97" t="n">
        <v>9640</v>
      </c>
      <c r="AB121" s="96" t="inlineStr">
        <is>
          <t>BKK04</t>
        </is>
      </c>
      <c r="AC121" s="96" t="inlineStr">
        <is>
          <t>SDJ01</t>
        </is>
      </c>
    </row>
    <row r="122" ht="12" customHeight="1">
      <c r="A122" s="96" t="inlineStr">
        <is>
          <t>SKLU1532490</t>
        </is>
      </c>
      <c r="B122" s="161" t="inlineStr">
        <is>
          <t>2026-10-08</t>
        </is>
      </c>
      <c r="C122" s="96" t="inlineStr">
        <is>
          <t>SWSP</t>
        </is>
      </c>
      <c r="D122" s="96" t="inlineStr">
        <is>
          <t>2609N</t>
        </is>
      </c>
      <c r="E122" s="96" t="inlineStr">
        <is>
          <t>22GP</t>
        </is>
      </c>
      <c r="F122" s="96" t="inlineStr">
        <is>
          <t>SD</t>
        </is>
      </c>
      <c r="G122" s="96" t="inlineStr">
        <is>
          <t>THBKK</t>
        </is>
      </c>
      <c r="H122" s="96" t="inlineStr">
        <is>
          <t>THBKK</t>
        </is>
      </c>
      <c r="I122" s="96" t="inlineStr">
        <is>
          <t>VNSGN</t>
        </is>
      </c>
      <c r="J122" s="96" t="inlineStr">
        <is>
          <t>VNSGN</t>
        </is>
      </c>
      <c r="K122" s="96" t="inlineStr">
        <is>
          <t>F</t>
        </is>
      </c>
      <c r="L122" s="96" t="inlineStr">
        <is>
          <t>ONE</t>
        </is>
      </c>
      <c r="M122" s="96" t="inlineStr">
        <is>
          <t>VFL</t>
        </is>
      </c>
      <c r="N122" s="96" t="inlineStr">
        <is>
          <t>BKK04</t>
        </is>
      </c>
      <c r="O122" s="96" t="inlineStr">
        <is>
          <t>BKK</t>
        </is>
      </c>
      <c r="P122" s="96" t="inlineStr">
        <is>
          <t>TH</t>
        </is>
      </c>
      <c r="Q122" s="96" t="inlineStr">
        <is>
          <t>HASLS22260900630</t>
        </is>
      </c>
      <c r="R122" s="96" t="inlineStr">
        <is>
          <t>N</t>
        </is>
      </c>
      <c r="S122" s="96" t="inlineStr">
        <is>
          <t>N</t>
        </is>
      </c>
      <c r="T122" s="96" t="inlineStr">
        <is>
          <t>BTS</t>
        </is>
      </c>
      <c r="U122" s="97" t="n"/>
      <c r="V122" s="96" t="inlineStr">
        <is>
          <t>K0120021</t>
        </is>
      </c>
      <c r="W122" s="96" t="inlineStr">
        <is>
          <t>THANAKORN VEGETABLE OIL PRODUCTS</t>
        </is>
      </c>
      <c r="X122" s="96" t="inlineStr">
        <is>
          <t>VFD</t>
        </is>
      </c>
      <c r="Y122" s="96" t="inlineStr">
        <is>
          <t>MEKONG COMMODITIES JSC</t>
        </is>
      </c>
      <c r="Z122" s="96" t="inlineStr">
        <is>
          <t>AUSTRALASIAN COMMODITIES PTY LTD</t>
        </is>
      </c>
      <c r="AA122" s="97" t="n">
        <v>21070</v>
      </c>
      <c r="AB122" s="96" t="inlineStr">
        <is>
          <t>BKK04</t>
        </is>
      </c>
      <c r="AC122" s="96" t="inlineStr">
        <is>
          <t>SGN03</t>
        </is>
      </c>
    </row>
    <row r="123" ht="12" customHeight="1">
      <c r="A123" s="96" t="inlineStr">
        <is>
          <t>SKLU1534105</t>
        </is>
      </c>
      <c r="B123" s="161" t="inlineStr">
        <is>
          <t>2026-10-08</t>
        </is>
      </c>
      <c r="C123" s="96" t="inlineStr">
        <is>
          <t>SWSP</t>
        </is>
      </c>
      <c r="D123" s="96" t="inlineStr">
        <is>
          <t>2609N</t>
        </is>
      </c>
      <c r="E123" s="96" t="inlineStr">
        <is>
          <t>22GP</t>
        </is>
      </c>
      <c r="F123" s="96" t="inlineStr">
        <is>
          <t>SD</t>
        </is>
      </c>
      <c r="G123" s="96" t="inlineStr">
        <is>
          <t>THBKK</t>
        </is>
      </c>
      <c r="H123" s="96" t="inlineStr">
        <is>
          <t>THBKK</t>
        </is>
      </c>
      <c r="I123" s="96" t="inlineStr">
        <is>
          <t>VNSGN</t>
        </is>
      </c>
      <c r="J123" s="96" t="inlineStr">
        <is>
          <t>VNSGN</t>
        </is>
      </c>
      <c r="K123" s="96" t="inlineStr">
        <is>
          <t>F</t>
        </is>
      </c>
      <c r="L123" s="96" t="inlineStr">
        <is>
          <t>ONE</t>
        </is>
      </c>
      <c r="M123" s="96" t="inlineStr">
        <is>
          <t>VFL</t>
        </is>
      </c>
      <c r="N123" s="96" t="inlineStr">
        <is>
          <t>BKK04</t>
        </is>
      </c>
      <c r="O123" s="96" t="inlineStr">
        <is>
          <t>BKK</t>
        </is>
      </c>
      <c r="P123" s="96" t="inlineStr">
        <is>
          <t>TH</t>
        </is>
      </c>
      <c r="Q123" s="96" t="inlineStr">
        <is>
          <t>HASLS22260900630</t>
        </is>
      </c>
      <c r="R123" s="96" t="inlineStr">
        <is>
          <t>N</t>
        </is>
      </c>
      <c r="S123" s="96" t="inlineStr">
        <is>
          <t>N</t>
        </is>
      </c>
      <c r="T123" s="96" t="inlineStr">
        <is>
          <t>BTS</t>
        </is>
      </c>
      <c r="U123" s="97" t="n"/>
      <c r="V123" s="96" t="inlineStr">
        <is>
          <t>K0120021</t>
        </is>
      </c>
      <c r="W123" s="96" t="inlineStr">
        <is>
          <t>THANAKORN VEGETABLE OIL PRODUCTS</t>
        </is>
      </c>
      <c r="X123" s="96" t="inlineStr">
        <is>
          <t>VFD</t>
        </is>
      </c>
      <c r="Y123" s="96" t="inlineStr">
        <is>
          <t>MEKONG COMMODITIES JSC</t>
        </is>
      </c>
      <c r="Z123" s="96" t="inlineStr">
        <is>
          <t>AUSTRALASIAN COMMODITIES PTY LTD</t>
        </is>
      </c>
      <c r="AA123" s="97" t="n">
        <v>21100</v>
      </c>
      <c r="AB123" s="96" t="inlineStr">
        <is>
          <t>BKK04</t>
        </is>
      </c>
      <c r="AC123" s="96" t="inlineStr">
        <is>
          <t>SGN03</t>
        </is>
      </c>
    </row>
    <row r="124" ht="12" customHeight="1">
      <c r="A124" s="96" t="inlineStr">
        <is>
          <t>SKLU1568379</t>
        </is>
      </c>
      <c r="B124" s="161" t="inlineStr">
        <is>
          <t>2026-10-08</t>
        </is>
      </c>
      <c r="C124" s="96" t="inlineStr">
        <is>
          <t>SWSP</t>
        </is>
      </c>
      <c r="D124" s="96" t="inlineStr">
        <is>
          <t>2609N</t>
        </is>
      </c>
      <c r="E124" s="96" t="inlineStr">
        <is>
          <t>22GP</t>
        </is>
      </c>
      <c r="F124" s="96" t="inlineStr">
        <is>
          <t>SD</t>
        </is>
      </c>
      <c r="G124" s="96" t="inlineStr">
        <is>
          <t>THBKK</t>
        </is>
      </c>
      <c r="H124" s="96" t="inlineStr">
        <is>
          <t>THBKK</t>
        </is>
      </c>
      <c r="I124" s="96" t="inlineStr">
        <is>
          <t>VNSGN</t>
        </is>
      </c>
      <c r="J124" s="96" t="inlineStr">
        <is>
          <t>VNSGN</t>
        </is>
      </c>
      <c r="K124" s="96" t="inlineStr">
        <is>
          <t>F</t>
        </is>
      </c>
      <c r="L124" s="96" t="inlineStr">
        <is>
          <t>ONE</t>
        </is>
      </c>
      <c r="M124" s="96" t="inlineStr">
        <is>
          <t>VFL</t>
        </is>
      </c>
      <c r="N124" s="96" t="inlineStr">
        <is>
          <t>BKK04</t>
        </is>
      </c>
      <c r="O124" s="96" t="inlineStr">
        <is>
          <t>BKK</t>
        </is>
      </c>
      <c r="P124" s="96" t="inlineStr">
        <is>
          <t>TH</t>
        </is>
      </c>
      <c r="Q124" s="96" t="inlineStr">
        <is>
          <t>HASLS22260900630</t>
        </is>
      </c>
      <c r="R124" s="96" t="inlineStr">
        <is>
          <t>N</t>
        </is>
      </c>
      <c r="S124" s="96" t="inlineStr">
        <is>
          <t>N</t>
        </is>
      </c>
      <c r="T124" s="96" t="inlineStr">
        <is>
          <t>BTS</t>
        </is>
      </c>
      <c r="U124" s="97" t="n"/>
      <c r="V124" s="96" t="inlineStr">
        <is>
          <t>K0120021</t>
        </is>
      </c>
      <c r="W124" s="96" t="inlineStr">
        <is>
          <t>THANAKORN VEGETABLE OIL PRODUCTS</t>
        </is>
      </c>
      <c r="X124" s="96" t="inlineStr">
        <is>
          <t>VFD</t>
        </is>
      </c>
      <c r="Y124" s="96" t="inlineStr">
        <is>
          <t>MEKONG COMMODITIES JSC</t>
        </is>
      </c>
      <c r="Z124" s="96" t="inlineStr">
        <is>
          <t>AUSTRALASIAN COMMODITIES PTY LTD</t>
        </is>
      </c>
      <c r="AA124" s="97" t="n">
        <v>21100</v>
      </c>
      <c r="AB124" s="96" t="inlineStr">
        <is>
          <t>BKK04</t>
        </is>
      </c>
      <c r="AC124" s="96" t="inlineStr">
        <is>
          <t>SGN03</t>
        </is>
      </c>
    </row>
    <row r="125" ht="12" customHeight="1">
      <c r="A125" s="96" t="inlineStr">
        <is>
          <t>SKLU1568764</t>
        </is>
      </c>
      <c r="B125" s="161" t="inlineStr">
        <is>
          <t>2026-10-08</t>
        </is>
      </c>
      <c r="C125" s="96" t="inlineStr">
        <is>
          <t>SWSP</t>
        </is>
      </c>
      <c r="D125" s="96" t="inlineStr">
        <is>
          <t>2609N</t>
        </is>
      </c>
      <c r="E125" s="96" t="inlineStr">
        <is>
          <t>22GP</t>
        </is>
      </c>
      <c r="F125" s="96" t="inlineStr">
        <is>
          <t>SD</t>
        </is>
      </c>
      <c r="G125" s="96" t="inlineStr">
        <is>
          <t>THBKK</t>
        </is>
      </c>
      <c r="H125" s="96" t="inlineStr">
        <is>
          <t>THBKK</t>
        </is>
      </c>
      <c r="I125" s="96" t="inlineStr">
        <is>
          <t>VNSGN</t>
        </is>
      </c>
      <c r="J125" s="96" t="inlineStr">
        <is>
          <t>VNSGN</t>
        </is>
      </c>
      <c r="K125" s="96" t="inlineStr">
        <is>
          <t>F</t>
        </is>
      </c>
      <c r="L125" s="96" t="inlineStr">
        <is>
          <t>ONE</t>
        </is>
      </c>
      <c r="M125" s="96" t="inlineStr">
        <is>
          <t>VFL</t>
        </is>
      </c>
      <c r="N125" s="96" t="inlineStr">
        <is>
          <t>BKK04</t>
        </is>
      </c>
      <c r="O125" s="96" t="inlineStr">
        <is>
          <t>BKK</t>
        </is>
      </c>
      <c r="P125" s="96" t="inlineStr">
        <is>
          <t>TH</t>
        </is>
      </c>
      <c r="Q125" s="96" t="inlineStr">
        <is>
          <t>HASLS22260901817</t>
        </is>
      </c>
      <c r="R125" s="96" t="inlineStr">
        <is>
          <t>N</t>
        </is>
      </c>
      <c r="S125" s="96" t="inlineStr">
        <is>
          <t>N</t>
        </is>
      </c>
      <c r="T125" s="96" t="inlineStr">
        <is>
          <t>BTS</t>
        </is>
      </c>
      <c r="U125" s="97" t="n"/>
      <c r="V125" s="96" t="inlineStr">
        <is>
          <t>K0120021</t>
        </is>
      </c>
      <c r="W125" s="96" t="inlineStr">
        <is>
          <t>ATA GLOBAL LOGISTICS CO., LTD</t>
        </is>
      </c>
      <c r="X125" s="96" t="inlineStr">
        <is>
          <t>VFD</t>
        </is>
      </c>
      <c r="Y125" s="96" t="inlineStr">
        <is>
          <t>BLUE OCEAN TRANS CO., LTD.</t>
        </is>
      </c>
      <c r="Z125" s="96" t="inlineStr">
        <is>
          <t>BLUE OCEAN TRANS CO., LTD.</t>
        </is>
      </c>
      <c r="AA125" s="97" t="n">
        <v>4207</v>
      </c>
      <c r="AB125" s="96" t="inlineStr">
        <is>
          <t>BKK04</t>
        </is>
      </c>
      <c r="AC125" s="96" t="inlineStr">
        <is>
          <t>SGN03</t>
        </is>
      </c>
    </row>
    <row r="126" ht="12" customHeight="1">
      <c r="A126" s="96" t="inlineStr">
        <is>
          <t>SKLU1575866</t>
        </is>
      </c>
      <c r="B126" s="161" t="inlineStr">
        <is>
          <t>2026-10-08</t>
        </is>
      </c>
      <c r="C126" s="96" t="inlineStr">
        <is>
          <t>SWSP</t>
        </is>
      </c>
      <c r="D126" s="96" t="inlineStr">
        <is>
          <t>2609N</t>
        </is>
      </c>
      <c r="E126" s="96" t="inlineStr">
        <is>
          <t>22GP</t>
        </is>
      </c>
      <c r="F126" s="96" t="inlineStr">
        <is>
          <t>SD</t>
        </is>
      </c>
      <c r="G126" s="96" t="inlineStr">
        <is>
          <t>THBKK</t>
        </is>
      </c>
      <c r="H126" s="96" t="inlineStr">
        <is>
          <t>THBKK</t>
        </is>
      </c>
      <c r="I126" s="96" t="inlineStr">
        <is>
          <t>VNSGN</t>
        </is>
      </c>
      <c r="J126" s="96" t="inlineStr">
        <is>
          <t>VNSGN</t>
        </is>
      </c>
      <c r="K126" s="96" t="inlineStr">
        <is>
          <t>F</t>
        </is>
      </c>
      <c r="L126" s="96" t="inlineStr">
        <is>
          <t>ONE</t>
        </is>
      </c>
      <c r="M126" s="96" t="inlineStr">
        <is>
          <t>VFL</t>
        </is>
      </c>
      <c r="N126" s="96" t="inlineStr">
        <is>
          <t>BKK04</t>
        </is>
      </c>
      <c r="O126" s="96" t="inlineStr">
        <is>
          <t>BKK</t>
        </is>
      </c>
      <c r="P126" s="96" t="inlineStr">
        <is>
          <t>TH</t>
        </is>
      </c>
      <c r="Q126" s="96" t="inlineStr">
        <is>
          <t>HASLS22260901598</t>
        </is>
      </c>
      <c r="R126" s="96" t="inlineStr">
        <is>
          <t>N</t>
        </is>
      </c>
      <c r="S126" s="96" t="inlineStr">
        <is>
          <t>N</t>
        </is>
      </c>
      <c r="T126" s="96" t="inlineStr">
        <is>
          <t>BTS</t>
        </is>
      </c>
      <c r="U126" s="97" t="n"/>
      <c r="V126" s="96" t="inlineStr">
        <is>
          <t>K0120021</t>
        </is>
      </c>
      <c r="W126" s="96" t="inlineStr">
        <is>
          <t>CHAROEN POKPHAND PRODUCE CO.,LTD.</t>
        </is>
      </c>
      <c r="X126" s="96" t="inlineStr">
        <is>
          <t>VFD</t>
        </is>
      </c>
      <c r="Y126" s="96" t="inlineStr">
        <is>
          <t>C.P.SEEDS (VIETNAM) CO.,LTD.</t>
        </is>
      </c>
      <c r="Z126" s="96" t="inlineStr">
        <is>
          <t>C.P.SEEDS (VIETNAM) CO.,LTD.</t>
        </is>
      </c>
      <c r="AA126" s="97" t="n">
        <v>20200</v>
      </c>
      <c r="AB126" s="96" t="inlineStr">
        <is>
          <t>BKK04</t>
        </is>
      </c>
      <c r="AC126" s="96" t="inlineStr">
        <is>
          <t>SGN03</t>
        </is>
      </c>
    </row>
    <row r="127" ht="12" customHeight="1">
      <c r="A127" s="96" t="inlineStr">
        <is>
          <t>SKLU1581370</t>
        </is>
      </c>
      <c r="B127" s="161" t="inlineStr">
        <is>
          <t>2026-10-08</t>
        </is>
      </c>
      <c r="C127" s="96" t="inlineStr">
        <is>
          <t>SWSP</t>
        </is>
      </c>
      <c r="D127" s="96" t="inlineStr">
        <is>
          <t>2609N</t>
        </is>
      </c>
      <c r="E127" s="96" t="inlineStr">
        <is>
          <t>22GP</t>
        </is>
      </c>
      <c r="F127" s="96" t="inlineStr">
        <is>
          <t>SD</t>
        </is>
      </c>
      <c r="G127" s="96" t="inlineStr">
        <is>
          <t>THBKK</t>
        </is>
      </c>
      <c r="H127" s="96" t="inlineStr">
        <is>
          <t>THBKK</t>
        </is>
      </c>
      <c r="I127" s="96" t="inlineStr">
        <is>
          <t>KRPUS</t>
        </is>
      </c>
      <c r="J127" s="96" t="inlineStr">
        <is>
          <t>RUVVO</t>
        </is>
      </c>
      <c r="K127" s="96" t="inlineStr">
        <is>
          <t>F</t>
        </is>
      </c>
      <c r="L127" s="96" t="inlineStr">
        <is>
          <t>ONE</t>
        </is>
      </c>
      <c r="M127" s="96" t="inlineStr">
        <is>
          <t>VFL</t>
        </is>
      </c>
      <c r="N127" s="96" t="inlineStr">
        <is>
          <t>BKK04</t>
        </is>
      </c>
      <c r="O127" s="96" t="inlineStr">
        <is>
          <t>BKK</t>
        </is>
      </c>
      <c r="P127" s="96" t="inlineStr">
        <is>
          <t>TH</t>
        </is>
      </c>
      <c r="Q127" s="96" t="inlineStr">
        <is>
          <t>HASLS22260900916</t>
        </is>
      </c>
      <c r="R127" s="96" t="inlineStr">
        <is>
          <t>Y</t>
        </is>
      </c>
      <c r="S127" s="96" t="inlineStr">
        <is>
          <t>N</t>
        </is>
      </c>
      <c r="T127" s="96" t="inlineStr">
        <is>
          <t>BTS</t>
        </is>
      </c>
      <c r="U127" s="97" t="n"/>
      <c r="V127" s="96" t="inlineStr">
        <is>
          <t>K0120021</t>
        </is>
      </c>
      <c r="W127" s="96" t="inlineStr">
        <is>
          <t>RIVER KWAI INTERNATIONAL FOOD INDUS</t>
        </is>
      </c>
      <c r="X127" s="96" t="inlineStr">
        <is>
          <t>VFD</t>
        </is>
      </c>
      <c r="Y127" s="96" t="inlineStr">
        <is>
          <t>DV NEVADA CO., LTD.</t>
        </is>
      </c>
      <c r="Z127" s="96" t="inlineStr">
        <is>
          <t>FAR EAST BRANCH RUSCON LTD.</t>
        </is>
      </c>
      <c r="AA127" s="97" t="n">
        <v>20904.74</v>
      </c>
      <c r="AB127" s="96" t="inlineStr">
        <is>
          <t>BKK04</t>
        </is>
      </c>
      <c r="AC127" s="96" t="inlineStr">
        <is>
          <t>VVO01</t>
        </is>
      </c>
    </row>
    <row r="128" ht="12" customHeight="1">
      <c r="A128" s="96" t="inlineStr">
        <is>
          <t>SKLU1582037</t>
        </is>
      </c>
      <c r="B128" s="161" t="inlineStr">
        <is>
          <t>2026-10-08</t>
        </is>
      </c>
      <c r="C128" s="96" t="inlineStr">
        <is>
          <t>SWSP</t>
        </is>
      </c>
      <c r="D128" s="96" t="inlineStr">
        <is>
          <t>2609N</t>
        </is>
      </c>
      <c r="E128" s="96" t="inlineStr">
        <is>
          <t>22GP</t>
        </is>
      </c>
      <c r="F128" s="96" t="inlineStr">
        <is>
          <t>SD</t>
        </is>
      </c>
      <c r="G128" s="96" t="inlineStr">
        <is>
          <t>THBKK</t>
        </is>
      </c>
      <c r="H128" s="96" t="inlineStr">
        <is>
          <t>THBKK</t>
        </is>
      </c>
      <c r="I128" s="96" t="inlineStr">
        <is>
          <t>VNSGN</t>
        </is>
      </c>
      <c r="J128" s="96" t="inlineStr">
        <is>
          <t>VNSGN</t>
        </is>
      </c>
      <c r="K128" s="96" t="inlineStr">
        <is>
          <t>F</t>
        </is>
      </c>
      <c r="L128" s="96" t="inlineStr">
        <is>
          <t>ONE</t>
        </is>
      </c>
      <c r="M128" s="96" t="inlineStr">
        <is>
          <t>VFL</t>
        </is>
      </c>
      <c r="N128" s="96" t="inlineStr">
        <is>
          <t>BKK04</t>
        </is>
      </c>
      <c r="O128" s="96" t="inlineStr">
        <is>
          <t>BKK</t>
        </is>
      </c>
      <c r="P128" s="96" t="inlineStr">
        <is>
          <t>TH</t>
        </is>
      </c>
      <c r="Q128" s="96" t="inlineStr">
        <is>
          <t>HASLS22260800838</t>
        </is>
      </c>
      <c r="R128" s="96" t="inlineStr">
        <is>
          <t>N</t>
        </is>
      </c>
      <c r="S128" s="96" t="inlineStr">
        <is>
          <t>N</t>
        </is>
      </c>
      <c r="T128" s="96" t="inlineStr">
        <is>
          <t>BTS</t>
        </is>
      </c>
      <c r="U128" s="97" t="n"/>
      <c r="V128" s="96" t="inlineStr">
        <is>
          <t>K0120021</t>
        </is>
      </c>
      <c r="W128" s="96" t="inlineStr">
        <is>
          <t>SCG INTERNATIONAL CORPORATION CO.,</t>
        </is>
      </c>
      <c r="X128" s="96" t="inlineStr">
        <is>
          <t>VFD</t>
        </is>
      </c>
      <c r="Y128" s="96" t="inlineStr">
        <is>
          <t>BUU LONG INDUSTRY AND INVESTMENT</t>
        </is>
      </c>
      <c r="Z128" s="96" t="inlineStr">
        <is>
          <t>BUU LONG INDUSTRY AND INVESTMENT</t>
        </is>
      </c>
      <c r="AA128" s="97" t="n">
        <v>25280</v>
      </c>
      <c r="AB128" s="96" t="inlineStr">
        <is>
          <t>BKK04</t>
        </is>
      </c>
      <c r="AC128" s="96" t="inlineStr">
        <is>
          <t>SGN03</t>
        </is>
      </c>
    </row>
    <row r="129" ht="12" customHeight="1">
      <c r="A129" s="96" t="inlineStr">
        <is>
          <t>SKLU1587321</t>
        </is>
      </c>
      <c r="B129" s="161" t="inlineStr">
        <is>
          <t>2026-10-08</t>
        </is>
      </c>
      <c r="C129" s="96" t="inlineStr">
        <is>
          <t>SWSP</t>
        </is>
      </c>
      <c r="D129" s="96" t="inlineStr">
        <is>
          <t>2609N</t>
        </is>
      </c>
      <c r="E129" s="96" t="inlineStr">
        <is>
          <t>22GP</t>
        </is>
      </c>
      <c r="F129" s="96" t="inlineStr">
        <is>
          <t>SD</t>
        </is>
      </c>
      <c r="G129" s="96" t="inlineStr">
        <is>
          <t>THBKK</t>
        </is>
      </c>
      <c r="H129" s="96" t="inlineStr">
        <is>
          <t>THBKK</t>
        </is>
      </c>
      <c r="I129" s="96" t="inlineStr">
        <is>
          <t>VNSGN</t>
        </is>
      </c>
      <c r="J129" s="96" t="inlineStr">
        <is>
          <t>VNSGN</t>
        </is>
      </c>
      <c r="K129" s="96" t="inlineStr">
        <is>
          <t>F</t>
        </is>
      </c>
      <c r="L129" s="96" t="inlineStr">
        <is>
          <t>ONE</t>
        </is>
      </c>
      <c r="M129" s="96" t="inlineStr">
        <is>
          <t>VFL</t>
        </is>
      </c>
      <c r="N129" s="96" t="inlineStr">
        <is>
          <t>BKK04</t>
        </is>
      </c>
      <c r="O129" s="96" t="inlineStr">
        <is>
          <t>BKK</t>
        </is>
      </c>
      <c r="P129" s="96" t="inlineStr">
        <is>
          <t>TH</t>
        </is>
      </c>
      <c r="Q129" s="96" t="inlineStr">
        <is>
          <t>HASLS22260900630</t>
        </is>
      </c>
      <c r="R129" s="96" t="inlineStr">
        <is>
          <t>N</t>
        </is>
      </c>
      <c r="S129" s="96" t="inlineStr">
        <is>
          <t>N</t>
        </is>
      </c>
      <c r="T129" s="96" t="inlineStr">
        <is>
          <t>BTS</t>
        </is>
      </c>
      <c r="U129" s="97" t="n"/>
      <c r="V129" s="96" t="inlineStr">
        <is>
          <t>K0120021</t>
        </is>
      </c>
      <c r="W129" s="96" t="inlineStr">
        <is>
          <t>THANAKORN VEGETABLE OIL PRODUCTS</t>
        </is>
      </c>
      <c r="X129" s="96" t="inlineStr">
        <is>
          <t>VFD</t>
        </is>
      </c>
      <c r="Y129" s="96" t="inlineStr">
        <is>
          <t>MEKONG COMMODITIES JSC</t>
        </is>
      </c>
      <c r="Z129" s="96" t="inlineStr">
        <is>
          <t>AUSTRALASIAN COMMODITIES PTY LTD</t>
        </is>
      </c>
      <c r="AA129" s="97" t="n">
        <v>21090</v>
      </c>
      <c r="AB129" s="96" t="inlineStr">
        <is>
          <t>BKK04</t>
        </is>
      </c>
      <c r="AC129" s="96" t="inlineStr">
        <is>
          <t>SGN03</t>
        </is>
      </c>
    </row>
    <row r="130" ht="12" customHeight="1">
      <c r="A130" s="96" t="inlineStr">
        <is>
          <t>SKLU1587677</t>
        </is>
      </c>
      <c r="B130" s="161" t="inlineStr">
        <is>
          <t>2026-10-08</t>
        </is>
      </c>
      <c r="C130" s="96" t="inlineStr">
        <is>
          <t>SWSP</t>
        </is>
      </c>
      <c r="D130" s="96" t="inlineStr">
        <is>
          <t>2609N</t>
        </is>
      </c>
      <c r="E130" s="96" t="inlineStr">
        <is>
          <t>22GP</t>
        </is>
      </c>
      <c r="F130" s="96" t="inlineStr">
        <is>
          <t>SD</t>
        </is>
      </c>
      <c r="G130" s="96" t="inlineStr">
        <is>
          <t>THBKK</t>
        </is>
      </c>
      <c r="H130" s="96" t="inlineStr">
        <is>
          <t>THBKK</t>
        </is>
      </c>
      <c r="I130" s="96" t="inlineStr">
        <is>
          <t>KRPTK</t>
        </is>
      </c>
      <c r="J130" s="96" t="inlineStr">
        <is>
          <t>KRPTK</t>
        </is>
      </c>
      <c r="K130" s="96" t="inlineStr">
        <is>
          <t>F</t>
        </is>
      </c>
      <c r="L130" s="96" t="inlineStr">
        <is>
          <t>ONE</t>
        </is>
      </c>
      <c r="M130" s="96" t="inlineStr">
        <is>
          <t>VFL</t>
        </is>
      </c>
      <c r="N130" s="96" t="inlineStr">
        <is>
          <t>BKK04</t>
        </is>
      </c>
      <c r="O130" s="96" t="inlineStr">
        <is>
          <t>BKK</t>
        </is>
      </c>
      <c r="P130" s="96" t="inlineStr">
        <is>
          <t>TH</t>
        </is>
      </c>
      <c r="Q130" s="96" t="inlineStr">
        <is>
          <t>HASLS22260801914</t>
        </is>
      </c>
      <c r="R130" s="96" t="inlineStr">
        <is>
          <t>N</t>
        </is>
      </c>
      <c r="S130" s="96" t="inlineStr">
        <is>
          <t>N</t>
        </is>
      </c>
      <c r="T130" s="96" t="inlineStr">
        <is>
          <t>BTS</t>
        </is>
      </c>
      <c r="U130" s="97" t="n"/>
      <c r="V130" s="96" t="inlineStr">
        <is>
          <t>K0120021</t>
        </is>
      </c>
      <c r="W130" s="96" t="inlineStr">
        <is>
          <t>THAI VEGETABLE OIL PUBLIC COMPANY</t>
        </is>
      </c>
      <c r="X130" s="96" t="inlineStr">
        <is>
          <t>VFD</t>
        </is>
      </c>
      <c r="Y130" s="96" t="inlineStr">
        <is>
          <t>TO THE ORDER OF KOOKMIN BANK</t>
        </is>
      </c>
      <c r="Z130" s="96" t="inlineStr">
        <is>
          <t>CJ CHEILJEDANG CORPORATION</t>
        </is>
      </c>
      <c r="AA130" s="97" t="n">
        <v>21100</v>
      </c>
      <c r="AB130" s="96" t="inlineStr">
        <is>
          <t>BKK04</t>
        </is>
      </c>
      <c r="AC130" s="96" t="inlineStr">
        <is>
          <t>PTK02</t>
        </is>
      </c>
    </row>
    <row r="131" ht="12" customHeight="1">
      <c r="A131" s="96" t="inlineStr">
        <is>
          <t>SKLU1641633</t>
        </is>
      </c>
      <c r="B131" s="161" t="inlineStr">
        <is>
          <t>2026-10-08</t>
        </is>
      </c>
      <c r="C131" s="96" t="inlineStr">
        <is>
          <t>SWSP</t>
        </is>
      </c>
      <c r="D131" s="96" t="inlineStr">
        <is>
          <t>2609N</t>
        </is>
      </c>
      <c r="E131" s="96" t="inlineStr">
        <is>
          <t>22GP</t>
        </is>
      </c>
      <c r="F131" s="96" t="inlineStr">
        <is>
          <t>SD</t>
        </is>
      </c>
      <c r="G131" s="96" t="inlineStr">
        <is>
          <t>THBKK</t>
        </is>
      </c>
      <c r="H131" s="96" t="inlineStr">
        <is>
          <t>THBKK</t>
        </is>
      </c>
      <c r="I131" s="96" t="inlineStr">
        <is>
          <t>KRPTK</t>
        </is>
      </c>
      <c r="J131" s="96" t="inlineStr">
        <is>
          <t>KRPTK</t>
        </is>
      </c>
      <c r="K131" s="96" t="inlineStr">
        <is>
          <t>F</t>
        </is>
      </c>
      <c r="L131" s="96" t="inlineStr">
        <is>
          <t>ONE</t>
        </is>
      </c>
      <c r="M131" s="96" t="inlineStr">
        <is>
          <t>VFL</t>
        </is>
      </c>
      <c r="N131" s="96" t="inlineStr">
        <is>
          <t>BKK04</t>
        </is>
      </c>
      <c r="O131" s="96" t="inlineStr">
        <is>
          <t>BKK</t>
        </is>
      </c>
      <c r="P131" s="96" t="inlineStr">
        <is>
          <t>TH</t>
        </is>
      </c>
      <c r="Q131" s="96" t="inlineStr">
        <is>
          <t>HASLS22260801914</t>
        </is>
      </c>
      <c r="R131" s="96" t="inlineStr">
        <is>
          <t>N</t>
        </is>
      </c>
      <c r="S131" s="96" t="inlineStr">
        <is>
          <t>N</t>
        </is>
      </c>
      <c r="T131" s="96" t="inlineStr">
        <is>
          <t>BTS</t>
        </is>
      </c>
      <c r="U131" s="97" t="n"/>
      <c r="V131" s="96" t="inlineStr">
        <is>
          <t>K0120021</t>
        </is>
      </c>
      <c r="W131" s="96" t="inlineStr">
        <is>
          <t>THAI VEGETABLE OIL PUBLIC COMPANY</t>
        </is>
      </c>
      <c r="X131" s="96" t="inlineStr">
        <is>
          <t>VFD</t>
        </is>
      </c>
      <c r="Y131" s="96" t="inlineStr">
        <is>
          <t>TO THE ORDER OF KOOKMIN BANK</t>
        </is>
      </c>
      <c r="Z131" s="96" t="inlineStr">
        <is>
          <t>CJ CHEILJEDANG CORPORATION</t>
        </is>
      </c>
      <c r="AA131" s="97" t="n">
        <v>21100</v>
      </c>
      <c r="AB131" s="96" t="inlineStr">
        <is>
          <t>BKK04</t>
        </is>
      </c>
      <c r="AC131" s="96" t="inlineStr">
        <is>
          <t>PTK02</t>
        </is>
      </c>
    </row>
    <row r="132" ht="12" customHeight="1">
      <c r="A132" s="96" t="inlineStr">
        <is>
          <t>SKLU1641905</t>
        </is>
      </c>
      <c r="B132" s="161" t="inlineStr">
        <is>
          <t>2026-10-08</t>
        </is>
      </c>
      <c r="C132" s="96" t="inlineStr">
        <is>
          <t>SWSP</t>
        </is>
      </c>
      <c r="D132" s="96" t="inlineStr">
        <is>
          <t>2609N</t>
        </is>
      </c>
      <c r="E132" s="96" t="inlineStr">
        <is>
          <t>22GP</t>
        </is>
      </c>
      <c r="F132" s="96" t="inlineStr">
        <is>
          <t>SD</t>
        </is>
      </c>
      <c r="G132" s="96" t="inlineStr">
        <is>
          <t>THBKK</t>
        </is>
      </c>
      <c r="H132" s="96" t="inlineStr">
        <is>
          <t>THBKK</t>
        </is>
      </c>
      <c r="I132" s="96" t="inlineStr">
        <is>
          <t>KRPTK</t>
        </is>
      </c>
      <c r="J132" s="96" t="inlineStr">
        <is>
          <t>KRPTK</t>
        </is>
      </c>
      <c r="K132" s="96" t="inlineStr">
        <is>
          <t>F</t>
        </is>
      </c>
      <c r="L132" s="96" t="inlineStr">
        <is>
          <t>ONE</t>
        </is>
      </c>
      <c r="M132" s="96" t="inlineStr">
        <is>
          <t>VFL</t>
        </is>
      </c>
      <c r="N132" s="96" t="inlineStr">
        <is>
          <t>BKK04</t>
        </is>
      </c>
      <c r="O132" s="96" t="inlineStr">
        <is>
          <t>BKK</t>
        </is>
      </c>
      <c r="P132" s="96" t="inlineStr">
        <is>
          <t>TH</t>
        </is>
      </c>
      <c r="Q132" s="96" t="inlineStr">
        <is>
          <t>HASLS22260801914</t>
        </is>
      </c>
      <c r="R132" s="96" t="inlineStr">
        <is>
          <t>N</t>
        </is>
      </c>
      <c r="S132" s="96" t="inlineStr">
        <is>
          <t>N</t>
        </is>
      </c>
      <c r="T132" s="96" t="inlineStr">
        <is>
          <t>BTS</t>
        </is>
      </c>
      <c r="U132" s="97" t="n"/>
      <c r="V132" s="96" t="inlineStr">
        <is>
          <t>K0120021</t>
        </is>
      </c>
      <c r="W132" s="96" t="inlineStr">
        <is>
          <t>THAI VEGETABLE OIL PUBLIC COMPANY</t>
        </is>
      </c>
      <c r="X132" s="96" t="inlineStr">
        <is>
          <t>VFD</t>
        </is>
      </c>
      <c r="Y132" s="96" t="inlineStr">
        <is>
          <t>TO THE ORDER OF KOOKMIN BANK</t>
        </is>
      </c>
      <c r="Z132" s="96" t="inlineStr">
        <is>
          <t>CJ CHEILJEDANG CORPORATION</t>
        </is>
      </c>
      <c r="AA132" s="97" t="n">
        <v>21100</v>
      </c>
      <c r="AB132" s="96" t="inlineStr">
        <is>
          <t>BKK04</t>
        </is>
      </c>
      <c r="AC132" s="96" t="inlineStr">
        <is>
          <t>PTK02</t>
        </is>
      </c>
    </row>
    <row r="133" ht="12" customHeight="1">
      <c r="A133" s="96" t="inlineStr">
        <is>
          <t>SKLU1661368</t>
        </is>
      </c>
      <c r="B133" s="161" t="inlineStr">
        <is>
          <t>2026-10-08</t>
        </is>
      </c>
      <c r="C133" s="96" t="inlineStr">
        <is>
          <t>SWSP</t>
        </is>
      </c>
      <c r="D133" s="96" t="inlineStr">
        <is>
          <t>2609N</t>
        </is>
      </c>
      <c r="E133" s="96" t="inlineStr">
        <is>
          <t>22GP</t>
        </is>
      </c>
      <c r="F133" s="96" t="inlineStr">
        <is>
          <t>SD</t>
        </is>
      </c>
      <c r="G133" s="96" t="inlineStr">
        <is>
          <t>THBKK</t>
        </is>
      </c>
      <c r="H133" s="96" t="inlineStr">
        <is>
          <t>THBKK</t>
        </is>
      </c>
      <c r="I133" s="96" t="inlineStr">
        <is>
          <t>KRPTK</t>
        </is>
      </c>
      <c r="J133" s="96" t="inlineStr">
        <is>
          <t>KRPTK</t>
        </is>
      </c>
      <c r="K133" s="96" t="inlineStr">
        <is>
          <t>F</t>
        </is>
      </c>
      <c r="L133" s="96" t="inlineStr">
        <is>
          <t>ONE</t>
        </is>
      </c>
      <c r="M133" s="96" t="inlineStr">
        <is>
          <t>VFL</t>
        </is>
      </c>
      <c r="N133" s="96" t="inlineStr">
        <is>
          <t>BKK04</t>
        </is>
      </c>
      <c r="O133" s="96" t="inlineStr">
        <is>
          <t>BKK</t>
        </is>
      </c>
      <c r="P133" s="96" t="inlineStr">
        <is>
          <t>TH</t>
        </is>
      </c>
      <c r="Q133" s="96" t="inlineStr">
        <is>
          <t>HASLS22260801914</t>
        </is>
      </c>
      <c r="R133" s="96" t="inlineStr">
        <is>
          <t>N</t>
        </is>
      </c>
      <c r="S133" s="96" t="inlineStr">
        <is>
          <t>N</t>
        </is>
      </c>
      <c r="T133" s="96" t="inlineStr">
        <is>
          <t>BTS</t>
        </is>
      </c>
      <c r="U133" s="97" t="n"/>
      <c r="V133" s="96" t="inlineStr">
        <is>
          <t>K0120021</t>
        </is>
      </c>
      <c r="W133" s="96" t="inlineStr">
        <is>
          <t>THAI VEGETABLE OIL PUBLIC COMPANY</t>
        </is>
      </c>
      <c r="X133" s="96" t="inlineStr">
        <is>
          <t>VFD</t>
        </is>
      </c>
      <c r="Y133" s="96" t="inlineStr">
        <is>
          <t>TO THE ORDER OF KOOKMIN BANK</t>
        </is>
      </c>
      <c r="Z133" s="96" t="inlineStr">
        <is>
          <t>CJ CHEILJEDANG CORPORATION</t>
        </is>
      </c>
      <c r="AA133" s="97" t="n">
        <v>21100</v>
      </c>
      <c r="AB133" s="96" t="inlineStr">
        <is>
          <t>BKK04</t>
        </is>
      </c>
      <c r="AC133" s="96" t="inlineStr">
        <is>
          <t>PTK02</t>
        </is>
      </c>
    </row>
    <row r="134" ht="12" customHeight="1">
      <c r="A134" s="96" t="inlineStr">
        <is>
          <t>SKLU1661413</t>
        </is>
      </c>
      <c r="B134" s="161" t="inlineStr">
        <is>
          <t>2026-10-08</t>
        </is>
      </c>
      <c r="C134" s="96" t="inlineStr">
        <is>
          <t>SWSP</t>
        </is>
      </c>
      <c r="D134" s="96" t="inlineStr">
        <is>
          <t>2609N</t>
        </is>
      </c>
      <c r="E134" s="96" t="inlineStr">
        <is>
          <t>22GP</t>
        </is>
      </c>
      <c r="F134" s="96" t="inlineStr">
        <is>
          <t>SD</t>
        </is>
      </c>
      <c r="G134" s="96" t="inlineStr">
        <is>
          <t>THBKK</t>
        </is>
      </c>
      <c r="H134" s="96" t="inlineStr">
        <is>
          <t>THBKK</t>
        </is>
      </c>
      <c r="I134" s="96" t="inlineStr">
        <is>
          <t>KRPUS</t>
        </is>
      </c>
      <c r="J134" s="96" t="inlineStr">
        <is>
          <t>JPSBS</t>
        </is>
      </c>
      <c r="K134" s="96" t="inlineStr">
        <is>
          <t>F</t>
        </is>
      </c>
      <c r="L134" s="96" t="inlineStr">
        <is>
          <t>ONE</t>
        </is>
      </c>
      <c r="M134" s="96" t="inlineStr">
        <is>
          <t>VFL</t>
        </is>
      </c>
      <c r="N134" s="96" t="inlineStr">
        <is>
          <t>BKK04</t>
        </is>
      </c>
      <c r="O134" s="96" t="inlineStr">
        <is>
          <t>BKK</t>
        </is>
      </c>
      <c r="P134" s="96" t="inlineStr">
        <is>
          <t>TH</t>
        </is>
      </c>
      <c r="Q134" s="96" t="inlineStr">
        <is>
          <t>HASLS22260901396</t>
        </is>
      </c>
      <c r="R134" s="96" t="inlineStr">
        <is>
          <t>Y</t>
        </is>
      </c>
      <c r="S134" s="96" t="inlineStr">
        <is>
          <t>N</t>
        </is>
      </c>
      <c r="T134" s="96" t="inlineStr">
        <is>
          <t>BTS</t>
        </is>
      </c>
      <c r="U134" s="97" t="n"/>
      <c r="V134" s="96" t="inlineStr">
        <is>
          <t>K0120021</t>
        </is>
      </c>
      <c r="W134" s="96" t="inlineStr">
        <is>
          <t>TASCO INTERNATIONAL CO., LTD.</t>
        </is>
      </c>
      <c r="X134" s="96" t="inlineStr">
        <is>
          <t>VFD</t>
        </is>
      </c>
      <c r="Y134" s="96" t="inlineStr">
        <is>
          <t>TO ORDER OF SHIPPER</t>
        </is>
      </c>
      <c r="Z134" s="96" t="inlineStr">
        <is>
          <t>KANEMATSU CORPORATION</t>
        </is>
      </c>
      <c r="AA134" s="97" t="n">
        <v>20040</v>
      </c>
      <c r="AB134" s="96" t="inlineStr">
        <is>
          <t>BKK04</t>
        </is>
      </c>
      <c r="AC134" s="96" t="inlineStr">
        <is>
          <t>SBS01</t>
        </is>
      </c>
    </row>
    <row r="135" ht="12" customHeight="1">
      <c r="A135" s="96" t="inlineStr">
        <is>
          <t>SKLU1663720</t>
        </is>
      </c>
      <c r="B135" s="161" t="inlineStr">
        <is>
          <t>2026-10-08</t>
        </is>
      </c>
      <c r="C135" s="96" t="inlineStr">
        <is>
          <t>SWSP</t>
        </is>
      </c>
      <c r="D135" s="96" t="inlineStr">
        <is>
          <t>2609N</t>
        </is>
      </c>
      <c r="E135" s="96" t="inlineStr">
        <is>
          <t>22GP</t>
        </is>
      </c>
      <c r="F135" s="96" t="inlineStr">
        <is>
          <t>SD</t>
        </is>
      </c>
      <c r="G135" s="96" t="inlineStr">
        <is>
          <t>THBKK</t>
        </is>
      </c>
      <c r="H135" s="96" t="inlineStr">
        <is>
          <t>THBKK</t>
        </is>
      </c>
      <c r="I135" s="96" t="inlineStr">
        <is>
          <t>KRPTK</t>
        </is>
      </c>
      <c r="J135" s="96" t="inlineStr">
        <is>
          <t>KRPTK</t>
        </is>
      </c>
      <c r="K135" s="96" t="inlineStr">
        <is>
          <t>F</t>
        </is>
      </c>
      <c r="L135" s="96" t="inlineStr">
        <is>
          <t>ONE</t>
        </is>
      </c>
      <c r="M135" s="96" t="inlineStr">
        <is>
          <t>VFL</t>
        </is>
      </c>
      <c r="N135" s="96" t="inlineStr">
        <is>
          <t>BKK04</t>
        </is>
      </c>
      <c r="O135" s="96" t="inlineStr">
        <is>
          <t>BKK</t>
        </is>
      </c>
      <c r="P135" s="96" t="inlineStr">
        <is>
          <t>TH</t>
        </is>
      </c>
      <c r="Q135" s="96" t="inlineStr">
        <is>
          <t>HASLS22260801914</t>
        </is>
      </c>
      <c r="R135" s="96" t="inlineStr">
        <is>
          <t>N</t>
        </is>
      </c>
      <c r="S135" s="96" t="inlineStr">
        <is>
          <t>N</t>
        </is>
      </c>
      <c r="T135" s="96" t="inlineStr">
        <is>
          <t>BTS</t>
        </is>
      </c>
      <c r="U135" s="97" t="n"/>
      <c r="V135" s="96" t="inlineStr">
        <is>
          <t>K0120021</t>
        </is>
      </c>
      <c r="W135" s="96" t="inlineStr">
        <is>
          <t>THAI VEGETABLE OIL PUBLIC COMPANY</t>
        </is>
      </c>
      <c r="X135" s="96" t="inlineStr">
        <is>
          <t>VFD</t>
        </is>
      </c>
      <c r="Y135" s="96" t="inlineStr">
        <is>
          <t>TO THE ORDER OF KOOKMIN BANK</t>
        </is>
      </c>
      <c r="Z135" s="96" t="inlineStr">
        <is>
          <t>CJ CHEILJEDANG CORPORATION</t>
        </is>
      </c>
      <c r="AA135" s="97" t="n">
        <v>21100</v>
      </c>
      <c r="AB135" s="96" t="inlineStr">
        <is>
          <t>BKK04</t>
        </is>
      </c>
      <c r="AC135" s="96" t="inlineStr">
        <is>
          <t>PTK02</t>
        </is>
      </c>
    </row>
    <row r="136" ht="12" customHeight="1">
      <c r="A136" s="96" t="inlineStr">
        <is>
          <t>SKLU1666591</t>
        </is>
      </c>
      <c r="B136" s="161" t="inlineStr">
        <is>
          <t>2026-10-08</t>
        </is>
      </c>
      <c r="C136" s="96" t="inlineStr">
        <is>
          <t>SWSP</t>
        </is>
      </c>
      <c r="D136" s="96" t="inlineStr">
        <is>
          <t>2609N</t>
        </is>
      </c>
      <c r="E136" s="96" t="inlineStr">
        <is>
          <t>22GP</t>
        </is>
      </c>
      <c r="F136" s="96" t="inlineStr">
        <is>
          <t>SD</t>
        </is>
      </c>
      <c r="G136" s="96" t="inlineStr">
        <is>
          <t>THBKK</t>
        </is>
      </c>
      <c r="H136" s="96" t="inlineStr">
        <is>
          <t>THBKK</t>
        </is>
      </c>
      <c r="I136" s="96" t="inlineStr">
        <is>
          <t>KRPTK</t>
        </is>
      </c>
      <c r="J136" s="96" t="inlineStr">
        <is>
          <t>KRPTK</t>
        </is>
      </c>
      <c r="K136" s="96" t="inlineStr">
        <is>
          <t>F</t>
        </is>
      </c>
      <c r="L136" s="96" t="inlineStr">
        <is>
          <t>ONE</t>
        </is>
      </c>
      <c r="M136" s="96" t="inlineStr">
        <is>
          <t>VFL</t>
        </is>
      </c>
      <c r="N136" s="96" t="inlineStr">
        <is>
          <t>BKK04</t>
        </is>
      </c>
      <c r="O136" s="96" t="inlineStr">
        <is>
          <t>BKK</t>
        </is>
      </c>
      <c r="P136" s="96" t="inlineStr">
        <is>
          <t>TH</t>
        </is>
      </c>
      <c r="Q136" s="96" t="inlineStr">
        <is>
          <t>HASLS22260801914</t>
        </is>
      </c>
      <c r="R136" s="96" t="inlineStr">
        <is>
          <t>N</t>
        </is>
      </c>
      <c r="S136" s="96" t="inlineStr">
        <is>
          <t>N</t>
        </is>
      </c>
      <c r="T136" s="96" t="inlineStr">
        <is>
          <t>BTS</t>
        </is>
      </c>
      <c r="U136" s="97" t="n"/>
      <c r="V136" s="96" t="inlineStr">
        <is>
          <t>K0120021</t>
        </is>
      </c>
      <c r="W136" s="96" t="inlineStr">
        <is>
          <t>THAI VEGETABLE OIL PUBLIC COMPANY</t>
        </is>
      </c>
      <c r="X136" s="96" t="inlineStr">
        <is>
          <t>VFD</t>
        </is>
      </c>
      <c r="Y136" s="96" t="inlineStr">
        <is>
          <t>TO THE ORDER OF KOOKMIN BANK</t>
        </is>
      </c>
      <c r="Z136" s="96" t="inlineStr">
        <is>
          <t>CJ CHEILJEDANG CORPORATION</t>
        </is>
      </c>
      <c r="AA136" s="97" t="n">
        <v>21100</v>
      </c>
      <c r="AB136" s="96" t="inlineStr">
        <is>
          <t>BKK04</t>
        </is>
      </c>
      <c r="AC136" s="96" t="inlineStr">
        <is>
          <t>PTK02</t>
        </is>
      </c>
    </row>
    <row r="137" ht="12" customHeight="1">
      <c r="A137" s="96" t="inlineStr">
        <is>
          <t>SKLU1821342</t>
        </is>
      </c>
      <c r="B137" s="161" t="inlineStr">
        <is>
          <t>2026-10-08</t>
        </is>
      </c>
      <c r="C137" s="96" t="inlineStr">
        <is>
          <t>SWSP</t>
        </is>
      </c>
      <c r="D137" s="96" t="inlineStr">
        <is>
          <t>2609N</t>
        </is>
      </c>
      <c r="E137" s="96" t="inlineStr">
        <is>
          <t>22GP</t>
        </is>
      </c>
      <c r="F137" s="96" t="inlineStr">
        <is>
          <t>SD</t>
        </is>
      </c>
      <c r="G137" s="96" t="inlineStr">
        <is>
          <t>THBKK</t>
        </is>
      </c>
      <c r="H137" s="96" t="inlineStr">
        <is>
          <t>THBKK</t>
        </is>
      </c>
      <c r="I137" s="96" t="inlineStr">
        <is>
          <t>VNSGN</t>
        </is>
      </c>
      <c r="J137" s="96" t="inlineStr">
        <is>
          <t>VNSGN</t>
        </is>
      </c>
      <c r="K137" s="96" t="inlineStr">
        <is>
          <t>F</t>
        </is>
      </c>
      <c r="L137" s="96" t="inlineStr">
        <is>
          <t>ONE</t>
        </is>
      </c>
      <c r="M137" s="96" t="inlineStr">
        <is>
          <t>VFL</t>
        </is>
      </c>
      <c r="N137" s="96" t="inlineStr">
        <is>
          <t>BKK04</t>
        </is>
      </c>
      <c r="O137" s="96" t="inlineStr">
        <is>
          <t>BKK</t>
        </is>
      </c>
      <c r="P137" s="96" t="inlineStr">
        <is>
          <t>TH</t>
        </is>
      </c>
      <c r="Q137" s="96" t="inlineStr">
        <is>
          <t>HASLS22260900630</t>
        </is>
      </c>
      <c r="R137" s="96" t="inlineStr">
        <is>
          <t>N</t>
        </is>
      </c>
      <c r="S137" s="96" t="inlineStr">
        <is>
          <t>N</t>
        </is>
      </c>
      <c r="T137" s="96" t="inlineStr">
        <is>
          <t>BTS</t>
        </is>
      </c>
      <c r="U137" s="97" t="n"/>
      <c r="V137" s="96" t="inlineStr">
        <is>
          <t>K0120021</t>
        </is>
      </c>
      <c r="W137" s="96" t="inlineStr">
        <is>
          <t>THANAKORN VEGETABLE OIL PRODUCTS</t>
        </is>
      </c>
      <c r="X137" s="96" t="inlineStr">
        <is>
          <t>VFD</t>
        </is>
      </c>
      <c r="Y137" s="96" t="inlineStr">
        <is>
          <t>MEKONG COMMODITIES JSC</t>
        </is>
      </c>
      <c r="Z137" s="96" t="inlineStr">
        <is>
          <t>AUSTRALASIAN COMMODITIES PTY LTD</t>
        </is>
      </c>
      <c r="AA137" s="97" t="n">
        <v>21100</v>
      </c>
      <c r="AB137" s="96" t="inlineStr">
        <is>
          <t>BKK04</t>
        </is>
      </c>
      <c r="AC137" s="96" t="inlineStr">
        <is>
          <t>SGN03</t>
        </is>
      </c>
    </row>
    <row r="138" ht="12" customHeight="1">
      <c r="A138" s="96" t="inlineStr">
        <is>
          <t>SKLU1824737</t>
        </is>
      </c>
      <c r="B138" s="161" t="inlineStr">
        <is>
          <t>2026-10-08</t>
        </is>
      </c>
      <c r="C138" s="96" t="inlineStr">
        <is>
          <t>SWSP</t>
        </is>
      </c>
      <c r="D138" s="96" t="inlineStr">
        <is>
          <t>2609N</t>
        </is>
      </c>
      <c r="E138" s="96" t="inlineStr">
        <is>
          <t>22GP</t>
        </is>
      </c>
      <c r="F138" s="96" t="inlineStr">
        <is>
          <t>SD</t>
        </is>
      </c>
      <c r="G138" s="96" t="inlineStr">
        <is>
          <t>THBKK</t>
        </is>
      </c>
      <c r="H138" s="96" t="inlineStr">
        <is>
          <t>THBKK</t>
        </is>
      </c>
      <c r="I138" s="96" t="inlineStr">
        <is>
          <t>VNSGN</t>
        </is>
      </c>
      <c r="J138" s="96" t="inlineStr">
        <is>
          <t>VNSGN</t>
        </is>
      </c>
      <c r="K138" s="96" t="inlineStr">
        <is>
          <t>F</t>
        </is>
      </c>
      <c r="L138" s="96" t="inlineStr">
        <is>
          <t>ONE</t>
        </is>
      </c>
      <c r="M138" s="96" t="inlineStr">
        <is>
          <t>VFL</t>
        </is>
      </c>
      <c r="N138" s="96" t="inlineStr">
        <is>
          <t>BKK04</t>
        </is>
      </c>
      <c r="O138" s="96" t="inlineStr">
        <is>
          <t>BKK</t>
        </is>
      </c>
      <c r="P138" s="96" t="inlineStr">
        <is>
          <t>TH</t>
        </is>
      </c>
      <c r="Q138" s="96" t="inlineStr">
        <is>
          <t>HASLS22260900939</t>
        </is>
      </c>
      <c r="R138" s="96" t="inlineStr">
        <is>
          <t>N</t>
        </is>
      </c>
      <c r="S138" s="96" t="inlineStr">
        <is>
          <t>N</t>
        </is>
      </c>
      <c r="T138" s="96" t="inlineStr">
        <is>
          <t>BTS</t>
        </is>
      </c>
      <c r="U138" s="97" t="n"/>
      <c r="V138" s="96" t="inlineStr">
        <is>
          <t>K0120021</t>
        </is>
      </c>
      <c r="W138" s="96" t="inlineStr">
        <is>
          <t>EVERSHINING INGREDIENT CO.,LTD.</t>
        </is>
      </c>
      <c r="X138" s="96" t="inlineStr">
        <is>
          <t>VFD</t>
        </is>
      </c>
      <c r="Y138" s="96" t="inlineStr">
        <is>
          <t>MODERN VETERINARY TRADING CO., LTD.</t>
        </is>
      </c>
      <c r="Z138" s="96" t="inlineStr">
        <is>
          <t>MODERN VETERINARY TRADING CO., LTD.</t>
        </is>
      </c>
      <c r="AA138" s="97" t="n">
        <v>20100</v>
      </c>
      <c r="AB138" s="96" t="inlineStr">
        <is>
          <t>BKK04</t>
        </is>
      </c>
      <c r="AC138" s="96" t="inlineStr">
        <is>
          <t>SGN03</t>
        </is>
      </c>
    </row>
    <row r="139" ht="12" customHeight="1">
      <c r="A139" s="96" t="inlineStr">
        <is>
          <t>SKLU1913921</t>
        </is>
      </c>
      <c r="B139" s="161" t="inlineStr">
        <is>
          <t>2026-10-08</t>
        </is>
      </c>
      <c r="C139" s="96" t="inlineStr">
        <is>
          <t>SWSP</t>
        </is>
      </c>
      <c r="D139" s="96" t="inlineStr">
        <is>
          <t>2609N</t>
        </is>
      </c>
      <c r="E139" s="96" t="inlineStr">
        <is>
          <t>22GP</t>
        </is>
      </c>
      <c r="F139" s="96" t="inlineStr">
        <is>
          <t>SD</t>
        </is>
      </c>
      <c r="G139" s="96" t="inlineStr">
        <is>
          <t>THBKK</t>
        </is>
      </c>
      <c r="H139" s="96" t="inlineStr">
        <is>
          <t>THBKK</t>
        </is>
      </c>
      <c r="I139" s="96" t="inlineStr">
        <is>
          <t>VNSGN</t>
        </is>
      </c>
      <c r="J139" s="96" t="inlineStr">
        <is>
          <t>VNSGN</t>
        </is>
      </c>
      <c r="K139" s="96" t="inlineStr">
        <is>
          <t>F</t>
        </is>
      </c>
      <c r="L139" s="96" t="inlineStr">
        <is>
          <t>ONE</t>
        </is>
      </c>
      <c r="M139" s="96" t="inlineStr">
        <is>
          <t>VFL</t>
        </is>
      </c>
      <c r="N139" s="96" t="inlineStr">
        <is>
          <t>BKK04</t>
        </is>
      </c>
      <c r="O139" s="96" t="inlineStr">
        <is>
          <t>BKK</t>
        </is>
      </c>
      <c r="P139" s="96" t="inlineStr">
        <is>
          <t>TH</t>
        </is>
      </c>
      <c r="Q139" s="96" t="inlineStr">
        <is>
          <t>HASLS22260901637</t>
        </is>
      </c>
      <c r="R139" s="96" t="inlineStr">
        <is>
          <t>N</t>
        </is>
      </c>
      <c r="S139" s="96" t="inlineStr">
        <is>
          <t>N</t>
        </is>
      </c>
      <c r="T139" s="96" t="inlineStr">
        <is>
          <t>BTS</t>
        </is>
      </c>
      <c r="U139" s="97" t="n"/>
      <c r="V139" s="96" t="inlineStr">
        <is>
          <t>K0120021</t>
        </is>
      </c>
      <c r="W139" s="96" t="inlineStr">
        <is>
          <t>APEX CIRCUIT (THAILAND) CO.,LTD.</t>
        </is>
      </c>
      <c r="X139" s="96" t="inlineStr">
        <is>
          <t>VFD</t>
        </is>
      </c>
      <c r="Y139" s="96" t="inlineStr">
        <is>
          <t>SAMSUNG ELECTRONICS HCMC CE COMPLEX</t>
        </is>
      </c>
      <c r="Z139" s="96" t="inlineStr">
        <is>
          <t>SAMSUNG SDS VIETNAM CO., LTD -</t>
        </is>
      </c>
      <c r="AA139" s="97" t="n">
        <v>4218.44</v>
      </c>
      <c r="AB139" s="96" t="inlineStr">
        <is>
          <t>BKK04</t>
        </is>
      </c>
      <c r="AC139" s="96" t="inlineStr">
        <is>
          <t>SGN03</t>
        </is>
      </c>
    </row>
    <row r="140" ht="12" customHeight="1">
      <c r="A140" s="96" t="inlineStr">
        <is>
          <t>SKLU1919787</t>
        </is>
      </c>
      <c r="B140" s="161" t="inlineStr">
        <is>
          <t>2026-10-08</t>
        </is>
      </c>
      <c r="C140" s="96" t="inlineStr">
        <is>
          <t>SWSP</t>
        </is>
      </c>
      <c r="D140" s="96" t="inlineStr">
        <is>
          <t>2609N</t>
        </is>
      </c>
      <c r="E140" s="96" t="inlineStr">
        <is>
          <t>22GP</t>
        </is>
      </c>
      <c r="F140" s="96" t="inlineStr">
        <is>
          <t>SD</t>
        </is>
      </c>
      <c r="G140" s="96" t="inlineStr">
        <is>
          <t>THBKK</t>
        </is>
      </c>
      <c r="H140" s="96" t="inlineStr">
        <is>
          <t>THBKK</t>
        </is>
      </c>
      <c r="I140" s="96" t="inlineStr">
        <is>
          <t>VNSGN</t>
        </is>
      </c>
      <c r="J140" s="96" t="inlineStr">
        <is>
          <t>VNSGN</t>
        </is>
      </c>
      <c r="K140" s="96" t="inlineStr">
        <is>
          <t>F</t>
        </is>
      </c>
      <c r="L140" s="96" t="inlineStr">
        <is>
          <t>ONE</t>
        </is>
      </c>
      <c r="M140" s="96" t="inlineStr">
        <is>
          <t>VFL</t>
        </is>
      </c>
      <c r="N140" s="96" t="inlineStr">
        <is>
          <t>BKK04</t>
        </is>
      </c>
      <c r="O140" s="96" t="inlineStr">
        <is>
          <t>BKK</t>
        </is>
      </c>
      <c r="P140" s="96" t="inlineStr">
        <is>
          <t>TH</t>
        </is>
      </c>
      <c r="Q140" s="96" t="inlineStr">
        <is>
          <t>HASLS22260901542</t>
        </is>
      </c>
      <c r="R140" s="96" t="inlineStr">
        <is>
          <t>N</t>
        </is>
      </c>
      <c r="S140" s="96" t="inlineStr">
        <is>
          <t>N</t>
        </is>
      </c>
      <c r="T140" s="96" t="inlineStr">
        <is>
          <t>BTS</t>
        </is>
      </c>
      <c r="U140" s="97" t="n"/>
      <c r="V140" s="96" t="inlineStr">
        <is>
          <t>K0120021</t>
        </is>
      </c>
      <c r="W140" s="96" t="inlineStr">
        <is>
          <t>JEWELRY PLASTER LIMITED</t>
        </is>
      </c>
      <c r="X140" s="96" t="inlineStr">
        <is>
          <t>VFD</t>
        </is>
      </c>
      <c r="Y140" s="96" t="inlineStr">
        <is>
          <t>KIM THINH PHAT INVESTMENT AND</t>
        </is>
      </c>
      <c r="Z140" s="96" t="inlineStr">
        <is>
          <t>KIM THINH PHAT INVESTMENT AND</t>
        </is>
      </c>
      <c r="AA140" s="97" t="n">
        <v>23190</v>
      </c>
      <c r="AB140" s="96" t="inlineStr">
        <is>
          <t>BKK04</t>
        </is>
      </c>
      <c r="AC140" s="96" t="inlineStr">
        <is>
          <t>SGN03</t>
        </is>
      </c>
    </row>
    <row r="141" ht="12" customHeight="1">
      <c r="A141" s="96" t="inlineStr">
        <is>
          <t>SKLU1939130</t>
        </is>
      </c>
      <c r="B141" s="161" t="inlineStr">
        <is>
          <t>2026-10-08</t>
        </is>
      </c>
      <c r="C141" s="96" t="inlineStr">
        <is>
          <t>SWSP</t>
        </is>
      </c>
      <c r="D141" s="96" t="inlineStr">
        <is>
          <t>2609N</t>
        </is>
      </c>
      <c r="E141" s="96" t="inlineStr">
        <is>
          <t>22GP</t>
        </is>
      </c>
      <c r="F141" s="96" t="inlineStr">
        <is>
          <t>SD</t>
        </is>
      </c>
      <c r="G141" s="96" t="inlineStr">
        <is>
          <t>THBKK</t>
        </is>
      </c>
      <c r="H141" s="96" t="inlineStr">
        <is>
          <t>THBKK</t>
        </is>
      </c>
      <c r="I141" s="96" t="inlineStr">
        <is>
          <t>KRPTK</t>
        </is>
      </c>
      <c r="J141" s="96" t="inlineStr">
        <is>
          <t>KRPTK</t>
        </is>
      </c>
      <c r="K141" s="96" t="inlineStr">
        <is>
          <t>F</t>
        </is>
      </c>
      <c r="L141" s="96" t="inlineStr">
        <is>
          <t>ONE</t>
        </is>
      </c>
      <c r="M141" s="96" t="inlineStr">
        <is>
          <t>VFL</t>
        </is>
      </c>
      <c r="N141" s="96" t="inlineStr">
        <is>
          <t>BKK04</t>
        </is>
      </c>
      <c r="O141" s="96" t="inlineStr">
        <is>
          <t>BKK</t>
        </is>
      </c>
      <c r="P141" s="96" t="inlineStr">
        <is>
          <t>TH</t>
        </is>
      </c>
      <c r="Q141" s="96" t="inlineStr">
        <is>
          <t>HASLS22260801914</t>
        </is>
      </c>
      <c r="R141" s="96" t="inlineStr">
        <is>
          <t>N</t>
        </is>
      </c>
      <c r="S141" s="96" t="inlineStr">
        <is>
          <t>N</t>
        </is>
      </c>
      <c r="T141" s="96" t="inlineStr">
        <is>
          <t>BTS</t>
        </is>
      </c>
      <c r="U141" s="97" t="n"/>
      <c r="V141" s="96" t="inlineStr">
        <is>
          <t>K0120021</t>
        </is>
      </c>
      <c r="W141" s="96" t="inlineStr">
        <is>
          <t>THAI VEGETABLE OIL PUBLIC COMPANY</t>
        </is>
      </c>
      <c r="X141" s="96" t="inlineStr">
        <is>
          <t>VFD</t>
        </is>
      </c>
      <c r="Y141" s="96" t="inlineStr">
        <is>
          <t>TO THE ORDER OF KOOKMIN BANK</t>
        </is>
      </c>
      <c r="Z141" s="96" t="inlineStr">
        <is>
          <t>CJ CHEILJEDANG CORPORATION</t>
        </is>
      </c>
      <c r="AA141" s="97" t="n">
        <v>21100</v>
      </c>
      <c r="AB141" s="96" t="inlineStr">
        <is>
          <t>BKK04</t>
        </is>
      </c>
      <c r="AC141" s="96" t="inlineStr">
        <is>
          <t>PTK02</t>
        </is>
      </c>
    </row>
    <row r="142" ht="12" customHeight="1">
      <c r="A142" s="96" t="inlineStr">
        <is>
          <t>SKLU1951367</t>
        </is>
      </c>
      <c r="B142" s="161" t="inlineStr">
        <is>
          <t>2026-10-08</t>
        </is>
      </c>
      <c r="C142" s="96" t="inlineStr">
        <is>
          <t>SWSP</t>
        </is>
      </c>
      <c r="D142" s="96" t="inlineStr">
        <is>
          <t>2609N</t>
        </is>
      </c>
      <c r="E142" s="96" t="inlineStr">
        <is>
          <t>22GP</t>
        </is>
      </c>
      <c r="F142" s="96" t="inlineStr">
        <is>
          <t>SD</t>
        </is>
      </c>
      <c r="G142" s="96" t="inlineStr">
        <is>
          <t>THBKK</t>
        </is>
      </c>
      <c r="H142" s="96" t="inlineStr">
        <is>
          <t>THBKK</t>
        </is>
      </c>
      <c r="I142" s="96" t="inlineStr">
        <is>
          <t>KRPTK</t>
        </is>
      </c>
      <c r="J142" s="96" t="inlineStr">
        <is>
          <t>KRPTK</t>
        </is>
      </c>
      <c r="K142" s="96" t="inlineStr">
        <is>
          <t>F</t>
        </is>
      </c>
      <c r="L142" s="96" t="inlineStr">
        <is>
          <t>ONE</t>
        </is>
      </c>
      <c r="M142" s="96" t="inlineStr">
        <is>
          <t>VFL</t>
        </is>
      </c>
      <c r="N142" s="96" t="inlineStr">
        <is>
          <t>BKK04</t>
        </is>
      </c>
      <c r="O142" s="96" t="inlineStr">
        <is>
          <t>BKK</t>
        </is>
      </c>
      <c r="P142" s="96" t="inlineStr">
        <is>
          <t>TH</t>
        </is>
      </c>
      <c r="Q142" s="96" t="inlineStr">
        <is>
          <t>HASLS22260801914</t>
        </is>
      </c>
      <c r="R142" s="96" t="inlineStr">
        <is>
          <t>N</t>
        </is>
      </c>
      <c r="S142" s="96" t="inlineStr">
        <is>
          <t>N</t>
        </is>
      </c>
      <c r="T142" s="96" t="inlineStr">
        <is>
          <t>BTS</t>
        </is>
      </c>
      <c r="U142" s="97" t="n"/>
      <c r="V142" s="96" t="inlineStr">
        <is>
          <t>K0120021</t>
        </is>
      </c>
      <c r="W142" s="96" t="inlineStr">
        <is>
          <t>THAI VEGETABLE OIL PUBLIC COMPANY</t>
        </is>
      </c>
      <c r="X142" s="96" t="inlineStr">
        <is>
          <t>VFD</t>
        </is>
      </c>
      <c r="Y142" s="96" t="inlineStr">
        <is>
          <t>TO THE ORDER OF KOOKMIN BANK</t>
        </is>
      </c>
      <c r="Z142" s="96" t="inlineStr">
        <is>
          <t>CJ CHEILJEDANG CORPORATION</t>
        </is>
      </c>
      <c r="AA142" s="97" t="n">
        <v>21100</v>
      </c>
      <c r="AB142" s="96" t="inlineStr">
        <is>
          <t>BKK04</t>
        </is>
      </c>
      <c r="AC142" s="96" t="inlineStr">
        <is>
          <t>PTK02</t>
        </is>
      </c>
    </row>
    <row r="143" ht="12" customHeight="1">
      <c r="A143" s="96" t="inlineStr">
        <is>
          <t>SKLU1972267</t>
        </is>
      </c>
      <c r="B143" s="161" t="inlineStr">
        <is>
          <t>2026-10-08</t>
        </is>
      </c>
      <c r="C143" s="96" t="inlineStr">
        <is>
          <t>SWSP</t>
        </is>
      </c>
      <c r="D143" s="96" t="inlineStr">
        <is>
          <t>2609N</t>
        </is>
      </c>
      <c r="E143" s="96" t="inlineStr">
        <is>
          <t>22GP</t>
        </is>
      </c>
      <c r="F143" s="96" t="inlineStr">
        <is>
          <t>SD</t>
        </is>
      </c>
      <c r="G143" s="96" t="inlineStr">
        <is>
          <t>THBKK</t>
        </is>
      </c>
      <c r="H143" s="96" t="inlineStr">
        <is>
          <t>THBKK</t>
        </is>
      </c>
      <c r="I143" s="96" t="inlineStr">
        <is>
          <t>KRPUS</t>
        </is>
      </c>
      <c r="J143" s="96" t="inlineStr">
        <is>
          <t>JPSEN</t>
        </is>
      </c>
      <c r="K143" s="96" t="inlineStr">
        <is>
          <t>F</t>
        </is>
      </c>
      <c r="L143" s="96" t="inlineStr">
        <is>
          <t>ONE</t>
        </is>
      </c>
      <c r="M143" s="96" t="inlineStr">
        <is>
          <t>VFL</t>
        </is>
      </c>
      <c r="N143" s="96" t="inlineStr">
        <is>
          <t>BKK04</t>
        </is>
      </c>
      <c r="O143" s="96" t="inlineStr">
        <is>
          <t>BKK</t>
        </is>
      </c>
      <c r="P143" s="96" t="inlineStr">
        <is>
          <t>TH</t>
        </is>
      </c>
      <c r="Q143" s="96" t="inlineStr">
        <is>
          <t>HASLS22260900196</t>
        </is>
      </c>
      <c r="R143" s="96" t="inlineStr">
        <is>
          <t>Y</t>
        </is>
      </c>
      <c r="S143" s="96" t="inlineStr">
        <is>
          <t>N</t>
        </is>
      </c>
      <c r="T143" s="96" t="inlineStr">
        <is>
          <t>BTS</t>
        </is>
      </c>
      <c r="U143" s="97" t="n"/>
      <c r="V143" s="96" t="inlineStr">
        <is>
          <t>K0120021</t>
        </is>
      </c>
      <c r="W143" s="96" t="inlineStr">
        <is>
          <t>SANGUAN WONGSE STARCH CO., LTD.</t>
        </is>
      </c>
      <c r="X143" s="96" t="inlineStr">
        <is>
          <t>VFD</t>
        </is>
      </c>
      <c r="Y143" s="96" t="inlineStr">
        <is>
          <t>SANSHO CO., LTD.</t>
        </is>
      </c>
      <c r="Z143" s="96" t="inlineStr">
        <is>
          <t>SANSHO CO., LTD.</t>
        </is>
      </c>
      <c r="AA143" s="97" t="n">
        <v>17190</v>
      </c>
      <c r="AB143" s="96" t="inlineStr">
        <is>
          <t>BKK04</t>
        </is>
      </c>
      <c r="AC143" s="96" t="inlineStr">
        <is>
          <t>SEN01</t>
        </is>
      </c>
    </row>
    <row r="144" ht="12" customHeight="1">
      <c r="A144" s="96" t="inlineStr">
        <is>
          <t>SKLU1972776</t>
        </is>
      </c>
      <c r="B144" s="161" t="inlineStr">
        <is>
          <t>2026-10-08</t>
        </is>
      </c>
      <c r="C144" s="96" t="inlineStr">
        <is>
          <t>SWSP</t>
        </is>
      </c>
      <c r="D144" s="96" t="inlineStr">
        <is>
          <t>2609N</t>
        </is>
      </c>
      <c r="E144" s="96" t="inlineStr">
        <is>
          <t>22GP</t>
        </is>
      </c>
      <c r="F144" s="96" t="inlineStr">
        <is>
          <t>SD</t>
        </is>
      </c>
      <c r="G144" s="96" t="inlineStr">
        <is>
          <t>THBKK</t>
        </is>
      </c>
      <c r="H144" s="96" t="inlineStr">
        <is>
          <t>THBKK</t>
        </is>
      </c>
      <c r="I144" s="96" t="inlineStr">
        <is>
          <t>KRPTK</t>
        </is>
      </c>
      <c r="J144" s="96" t="inlineStr">
        <is>
          <t>KRPTK</t>
        </is>
      </c>
      <c r="K144" s="96" t="inlineStr">
        <is>
          <t>F</t>
        </is>
      </c>
      <c r="L144" s="96" t="inlineStr">
        <is>
          <t>ONE</t>
        </is>
      </c>
      <c r="M144" s="96" t="inlineStr">
        <is>
          <t>VFL</t>
        </is>
      </c>
      <c r="N144" s="96" t="inlineStr">
        <is>
          <t>BKK04</t>
        </is>
      </c>
      <c r="O144" s="96" t="inlineStr">
        <is>
          <t>BKK</t>
        </is>
      </c>
      <c r="P144" s="96" t="inlineStr">
        <is>
          <t>TH</t>
        </is>
      </c>
      <c r="Q144" s="96" t="inlineStr">
        <is>
          <t>HASLS22260801914</t>
        </is>
      </c>
      <c r="R144" s="96" t="inlineStr">
        <is>
          <t>N</t>
        </is>
      </c>
      <c r="S144" s="96" t="inlineStr">
        <is>
          <t>N</t>
        </is>
      </c>
      <c r="T144" s="96" t="inlineStr">
        <is>
          <t>BTS</t>
        </is>
      </c>
      <c r="U144" s="97" t="n"/>
      <c r="V144" s="96" t="inlineStr">
        <is>
          <t>K0120021</t>
        </is>
      </c>
      <c r="W144" s="96" t="inlineStr">
        <is>
          <t>THAI VEGETABLE OIL PUBLIC COMPANY</t>
        </is>
      </c>
      <c r="X144" s="96" t="inlineStr">
        <is>
          <t>VFD</t>
        </is>
      </c>
      <c r="Y144" s="96" t="inlineStr">
        <is>
          <t>TO THE ORDER OF KOOKMIN BANK</t>
        </is>
      </c>
      <c r="Z144" s="96" t="inlineStr">
        <is>
          <t>CJ CHEILJEDANG CORPORATION</t>
        </is>
      </c>
      <c r="AA144" s="97" t="n">
        <v>21100</v>
      </c>
      <c r="AB144" s="96" t="inlineStr">
        <is>
          <t>BKK04</t>
        </is>
      </c>
      <c r="AC144" s="96" t="inlineStr">
        <is>
          <t>PTK02</t>
        </is>
      </c>
    </row>
    <row r="145" ht="12" customHeight="1">
      <c r="A145" s="96" t="inlineStr">
        <is>
          <t>SKLU1973047</t>
        </is>
      </c>
      <c r="B145" s="161" t="inlineStr">
        <is>
          <t>2026-10-08</t>
        </is>
      </c>
      <c r="C145" s="96" t="inlineStr">
        <is>
          <t>SWSP</t>
        </is>
      </c>
      <c r="D145" s="96" t="inlineStr">
        <is>
          <t>2609N</t>
        </is>
      </c>
      <c r="E145" s="96" t="inlineStr">
        <is>
          <t>22GP</t>
        </is>
      </c>
      <c r="F145" s="96" t="inlineStr">
        <is>
          <t>SD</t>
        </is>
      </c>
      <c r="G145" s="96" t="inlineStr">
        <is>
          <t>THBKK</t>
        </is>
      </c>
      <c r="H145" s="96" t="inlineStr">
        <is>
          <t>THBKK</t>
        </is>
      </c>
      <c r="I145" s="96" t="inlineStr">
        <is>
          <t>VNSGN</t>
        </is>
      </c>
      <c r="J145" s="96" t="inlineStr">
        <is>
          <t>VNSGN</t>
        </is>
      </c>
      <c r="K145" s="96" t="inlineStr">
        <is>
          <t>F</t>
        </is>
      </c>
      <c r="L145" s="96" t="inlineStr">
        <is>
          <t>ONE</t>
        </is>
      </c>
      <c r="M145" s="96" t="inlineStr">
        <is>
          <t>VFL</t>
        </is>
      </c>
      <c r="N145" s="96" t="inlineStr">
        <is>
          <t>BKK04</t>
        </is>
      </c>
      <c r="O145" s="96" t="inlineStr">
        <is>
          <t>BKK</t>
        </is>
      </c>
      <c r="P145" s="96" t="inlineStr">
        <is>
          <t>TH</t>
        </is>
      </c>
      <c r="Q145" s="96" t="inlineStr">
        <is>
          <t>HASLS22260901663</t>
        </is>
      </c>
      <c r="R145" s="96" t="inlineStr">
        <is>
          <t>N</t>
        </is>
      </c>
      <c r="S145" s="96" t="inlineStr">
        <is>
          <t>N</t>
        </is>
      </c>
      <c r="T145" s="96" t="inlineStr">
        <is>
          <t>BTS</t>
        </is>
      </c>
      <c r="U145" s="97" t="n"/>
      <c r="V145" s="96" t="inlineStr">
        <is>
          <t>K0120021</t>
        </is>
      </c>
      <c r="W145" s="96" t="inlineStr">
        <is>
          <t>DIMERCO EXPRESS (THAILAND) CO.,LTD.</t>
        </is>
      </c>
      <c r="X145" s="96" t="inlineStr">
        <is>
          <t>VFD</t>
        </is>
      </c>
      <c r="Y145" s="96" t="inlineStr">
        <is>
          <t>DIMERCO EXPRESS (VIETNAM) CO., LTD</t>
        </is>
      </c>
      <c r="Z145" s="96" t="inlineStr">
        <is>
          <t>DIMERCO EXPRESS (VIETNAM) CO., LTD</t>
        </is>
      </c>
      <c r="AA145" s="97" t="n">
        <v>3389.5</v>
      </c>
      <c r="AB145" s="96" t="inlineStr">
        <is>
          <t>BKK04</t>
        </is>
      </c>
      <c r="AC145" s="96" t="inlineStr">
        <is>
          <t>SGN03</t>
        </is>
      </c>
    </row>
    <row r="146" ht="12" customHeight="1">
      <c r="A146" s="96" t="inlineStr">
        <is>
          <t>SKLU1987436</t>
        </is>
      </c>
      <c r="B146" s="161" t="inlineStr">
        <is>
          <t>2026-10-08</t>
        </is>
      </c>
      <c r="C146" s="96" t="inlineStr">
        <is>
          <t>SWSP</t>
        </is>
      </c>
      <c r="D146" s="96" t="inlineStr">
        <is>
          <t>2609N</t>
        </is>
      </c>
      <c r="E146" s="96" t="inlineStr">
        <is>
          <t>22GP</t>
        </is>
      </c>
      <c r="F146" s="96" t="inlineStr">
        <is>
          <t>SD</t>
        </is>
      </c>
      <c r="G146" s="96" t="inlineStr">
        <is>
          <t>THBKK</t>
        </is>
      </c>
      <c r="H146" s="96" t="inlineStr">
        <is>
          <t>THBKK</t>
        </is>
      </c>
      <c r="I146" s="96" t="inlineStr">
        <is>
          <t>KRPUS</t>
        </is>
      </c>
      <c r="J146" s="96" t="inlineStr">
        <is>
          <t>JPSEN</t>
        </is>
      </c>
      <c r="K146" s="96" t="inlineStr">
        <is>
          <t>F</t>
        </is>
      </c>
      <c r="L146" s="96" t="inlineStr">
        <is>
          <t>ONE</t>
        </is>
      </c>
      <c r="M146" s="96" t="inlineStr">
        <is>
          <t>VFL</t>
        </is>
      </c>
      <c r="N146" s="96" t="inlineStr">
        <is>
          <t>BKK04</t>
        </is>
      </c>
      <c r="O146" s="96" t="inlineStr">
        <is>
          <t>BKK</t>
        </is>
      </c>
      <c r="P146" s="96" t="inlineStr">
        <is>
          <t>TH</t>
        </is>
      </c>
      <c r="Q146" s="96" t="inlineStr">
        <is>
          <t>HASLS22260900196</t>
        </is>
      </c>
      <c r="R146" s="96" t="inlineStr">
        <is>
          <t>Y</t>
        </is>
      </c>
      <c r="S146" s="96" t="inlineStr">
        <is>
          <t>N</t>
        </is>
      </c>
      <c r="T146" s="96" t="inlineStr">
        <is>
          <t>BTS</t>
        </is>
      </c>
      <c r="U146" s="97" t="n"/>
      <c r="V146" s="96" t="inlineStr">
        <is>
          <t>K0120021</t>
        </is>
      </c>
      <c r="W146" s="96" t="inlineStr">
        <is>
          <t>SANGUAN WONGSE STARCH CO., LTD.</t>
        </is>
      </c>
      <c r="X146" s="96" t="inlineStr">
        <is>
          <t>VFD</t>
        </is>
      </c>
      <c r="Y146" s="96" t="inlineStr">
        <is>
          <t>SANSHO CO., LTD.</t>
        </is>
      </c>
      <c r="Z146" s="96" t="inlineStr">
        <is>
          <t>SANSHO CO., LTD.</t>
        </is>
      </c>
      <c r="AA146" s="97" t="n">
        <v>17190</v>
      </c>
      <c r="AB146" s="96" t="inlineStr">
        <is>
          <t>BKK04</t>
        </is>
      </c>
      <c r="AC146" s="96" t="inlineStr">
        <is>
          <t>SEN01</t>
        </is>
      </c>
    </row>
    <row r="147" ht="12" customHeight="1">
      <c r="A147" s="96" t="inlineStr">
        <is>
          <t>SKLU1997542</t>
        </is>
      </c>
      <c r="B147" s="161" t="inlineStr">
        <is>
          <t>2026-10-08</t>
        </is>
      </c>
      <c r="C147" s="96" t="inlineStr">
        <is>
          <t>SWSP</t>
        </is>
      </c>
      <c r="D147" s="96" t="inlineStr">
        <is>
          <t>2609N</t>
        </is>
      </c>
      <c r="E147" s="96" t="inlineStr">
        <is>
          <t>22GP</t>
        </is>
      </c>
      <c r="F147" s="96" t="inlineStr">
        <is>
          <t>SD</t>
        </is>
      </c>
      <c r="G147" s="96" t="inlineStr">
        <is>
          <t>THBKK</t>
        </is>
      </c>
      <c r="H147" s="96" t="inlineStr">
        <is>
          <t>THBKK</t>
        </is>
      </c>
      <c r="I147" s="96" t="inlineStr">
        <is>
          <t>KRPTK</t>
        </is>
      </c>
      <c r="J147" s="96" t="inlineStr">
        <is>
          <t>KRPTK</t>
        </is>
      </c>
      <c r="K147" s="96" t="inlineStr">
        <is>
          <t>F</t>
        </is>
      </c>
      <c r="L147" s="96" t="inlineStr">
        <is>
          <t>ONE</t>
        </is>
      </c>
      <c r="M147" s="96" t="inlineStr">
        <is>
          <t>VFL</t>
        </is>
      </c>
      <c r="N147" s="96" t="inlineStr">
        <is>
          <t>BKK04</t>
        </is>
      </c>
      <c r="O147" s="96" t="inlineStr">
        <is>
          <t>BKK</t>
        </is>
      </c>
      <c r="P147" s="96" t="inlineStr">
        <is>
          <t>TH</t>
        </is>
      </c>
      <c r="Q147" s="96" t="inlineStr">
        <is>
          <t>HASLS22260801914</t>
        </is>
      </c>
      <c r="R147" s="96" t="inlineStr">
        <is>
          <t>N</t>
        </is>
      </c>
      <c r="S147" s="96" t="inlineStr">
        <is>
          <t>N</t>
        </is>
      </c>
      <c r="T147" s="96" t="inlineStr">
        <is>
          <t>BTS</t>
        </is>
      </c>
      <c r="U147" s="97" t="n"/>
      <c r="V147" s="96" t="inlineStr">
        <is>
          <t>K0120021</t>
        </is>
      </c>
      <c r="W147" s="96" t="inlineStr">
        <is>
          <t>THAI VEGETABLE OIL PUBLIC COMPANY</t>
        </is>
      </c>
      <c r="X147" s="96" t="inlineStr">
        <is>
          <t>VFD</t>
        </is>
      </c>
      <c r="Y147" s="96" t="inlineStr">
        <is>
          <t>TO THE ORDER OF KOOKMIN BANK</t>
        </is>
      </c>
      <c r="Z147" s="96" t="inlineStr">
        <is>
          <t>CJ CHEILJEDANG CORPORATION</t>
        </is>
      </c>
      <c r="AA147" s="97" t="n">
        <v>21100</v>
      </c>
      <c r="AB147" s="96" t="inlineStr">
        <is>
          <t>BKK04</t>
        </is>
      </c>
      <c r="AC147" s="96" t="inlineStr">
        <is>
          <t>PTK02</t>
        </is>
      </c>
    </row>
    <row r="148" ht="12" customHeight="1">
      <c r="A148" s="96" t="inlineStr">
        <is>
          <t>SKLU1998960</t>
        </is>
      </c>
      <c r="B148" s="161" t="inlineStr">
        <is>
          <t>2026-10-08</t>
        </is>
      </c>
      <c r="C148" s="96" t="inlineStr">
        <is>
          <t>SWSP</t>
        </is>
      </c>
      <c r="D148" s="96" t="inlineStr">
        <is>
          <t>2609N</t>
        </is>
      </c>
      <c r="E148" s="96" t="inlineStr">
        <is>
          <t>22GP</t>
        </is>
      </c>
      <c r="F148" s="96" t="inlineStr">
        <is>
          <t>SD</t>
        </is>
      </c>
      <c r="G148" s="96" t="inlineStr">
        <is>
          <t>THBKK</t>
        </is>
      </c>
      <c r="H148" s="96" t="inlineStr">
        <is>
          <t>THBKK</t>
        </is>
      </c>
      <c r="I148" s="96" t="inlineStr">
        <is>
          <t>KRPTK</t>
        </is>
      </c>
      <c r="J148" s="96" t="inlineStr">
        <is>
          <t>KRPTK</t>
        </is>
      </c>
      <c r="K148" s="96" t="inlineStr">
        <is>
          <t>F</t>
        </is>
      </c>
      <c r="L148" s="96" t="inlineStr">
        <is>
          <t>ONE</t>
        </is>
      </c>
      <c r="M148" s="96" t="inlineStr">
        <is>
          <t>VFL</t>
        </is>
      </c>
      <c r="N148" s="96" t="inlineStr">
        <is>
          <t>BKK04</t>
        </is>
      </c>
      <c r="O148" s="96" t="inlineStr">
        <is>
          <t>BKK</t>
        </is>
      </c>
      <c r="P148" s="96" t="inlineStr">
        <is>
          <t>TH</t>
        </is>
      </c>
      <c r="Q148" s="96" t="inlineStr">
        <is>
          <t>HASLS22260801914</t>
        </is>
      </c>
      <c r="R148" s="96" t="inlineStr">
        <is>
          <t>N</t>
        </is>
      </c>
      <c r="S148" s="96" t="inlineStr">
        <is>
          <t>N</t>
        </is>
      </c>
      <c r="T148" s="96" t="inlineStr">
        <is>
          <t>BTS</t>
        </is>
      </c>
      <c r="U148" s="97" t="n"/>
      <c r="V148" s="96" t="inlineStr">
        <is>
          <t>K0120021</t>
        </is>
      </c>
      <c r="W148" s="96" t="inlineStr">
        <is>
          <t>THAI VEGETABLE OIL PUBLIC COMPANY</t>
        </is>
      </c>
      <c r="X148" s="96" t="inlineStr">
        <is>
          <t>VFD</t>
        </is>
      </c>
      <c r="Y148" s="96" t="inlineStr">
        <is>
          <t>TO THE ORDER OF KOOKMIN BANK</t>
        </is>
      </c>
      <c r="Z148" s="96" t="inlineStr">
        <is>
          <t>CJ CHEILJEDANG CORPORATION</t>
        </is>
      </c>
      <c r="AA148" s="97" t="n">
        <v>21100</v>
      </c>
      <c r="AB148" s="96" t="inlineStr">
        <is>
          <t>BKK04</t>
        </is>
      </c>
      <c r="AC148" s="96" t="inlineStr">
        <is>
          <t>PTK02</t>
        </is>
      </c>
    </row>
    <row r="149" ht="12" customHeight="1">
      <c r="A149" s="96" t="inlineStr">
        <is>
          <t>SKLU1999205</t>
        </is>
      </c>
      <c r="B149" s="161" t="inlineStr">
        <is>
          <t>2026-10-08</t>
        </is>
      </c>
      <c r="C149" s="96" t="inlineStr">
        <is>
          <t>SWSP</t>
        </is>
      </c>
      <c r="D149" s="96" t="inlineStr">
        <is>
          <t>2609N</t>
        </is>
      </c>
      <c r="E149" s="96" t="inlineStr">
        <is>
          <t>22GP</t>
        </is>
      </c>
      <c r="F149" s="96" t="inlineStr">
        <is>
          <t>SD</t>
        </is>
      </c>
      <c r="G149" s="96" t="inlineStr">
        <is>
          <t>THBKK</t>
        </is>
      </c>
      <c r="H149" s="96" t="inlineStr">
        <is>
          <t>THBKK</t>
        </is>
      </c>
      <c r="I149" s="96" t="inlineStr">
        <is>
          <t>VNSGN</t>
        </is>
      </c>
      <c r="J149" s="96" t="inlineStr">
        <is>
          <t>VNSGN</t>
        </is>
      </c>
      <c r="K149" s="96" t="inlineStr">
        <is>
          <t>F</t>
        </is>
      </c>
      <c r="L149" s="96" t="inlineStr">
        <is>
          <t>ONE</t>
        </is>
      </c>
      <c r="M149" s="96" t="inlineStr">
        <is>
          <t>VFL</t>
        </is>
      </c>
      <c r="N149" s="96" t="inlineStr">
        <is>
          <t>BKK04</t>
        </is>
      </c>
      <c r="O149" s="96" t="inlineStr">
        <is>
          <t>BKK</t>
        </is>
      </c>
      <c r="P149" s="96" t="inlineStr">
        <is>
          <t>TH</t>
        </is>
      </c>
      <c r="Q149" s="96" t="inlineStr">
        <is>
          <t>HASLS22260900939</t>
        </is>
      </c>
      <c r="R149" s="96" t="inlineStr">
        <is>
          <t>N</t>
        </is>
      </c>
      <c r="S149" s="96" t="inlineStr">
        <is>
          <t>N</t>
        </is>
      </c>
      <c r="T149" s="96" t="inlineStr">
        <is>
          <t>BTS</t>
        </is>
      </c>
      <c r="U149" s="97" t="n"/>
      <c r="V149" s="96" t="inlineStr">
        <is>
          <t>K0120021</t>
        </is>
      </c>
      <c r="W149" s="96" t="inlineStr">
        <is>
          <t>EVERSHINING INGREDIENT CO.,LTD.</t>
        </is>
      </c>
      <c r="X149" s="96" t="inlineStr">
        <is>
          <t>VFD</t>
        </is>
      </c>
      <c r="Y149" s="96" t="inlineStr">
        <is>
          <t>MODERN VETERINARY TRADING CO., LTD.</t>
        </is>
      </c>
      <c r="Z149" s="96" t="inlineStr">
        <is>
          <t>MODERN VETERINARY TRADING CO., LTD.</t>
        </is>
      </c>
      <c r="AA149" s="97" t="n">
        <v>20100</v>
      </c>
      <c r="AB149" s="96" t="inlineStr">
        <is>
          <t>BKK04</t>
        </is>
      </c>
      <c r="AC149" s="96" t="inlineStr">
        <is>
          <t>SGN03</t>
        </is>
      </c>
    </row>
    <row r="150" ht="12" customHeight="1">
      <c r="A150" s="96" t="inlineStr">
        <is>
          <t>SKLU2019012</t>
        </is>
      </c>
      <c r="B150" s="161" t="inlineStr">
        <is>
          <t>2026-10-08</t>
        </is>
      </c>
      <c r="C150" s="96" t="inlineStr">
        <is>
          <t>SWSP</t>
        </is>
      </c>
      <c r="D150" s="96" t="inlineStr">
        <is>
          <t>2609N</t>
        </is>
      </c>
      <c r="E150" s="96" t="inlineStr">
        <is>
          <t>22GP</t>
        </is>
      </c>
      <c r="F150" s="96" t="inlineStr">
        <is>
          <t>SD</t>
        </is>
      </c>
      <c r="G150" s="96" t="inlineStr">
        <is>
          <t>THBKK</t>
        </is>
      </c>
      <c r="H150" s="96" t="inlineStr">
        <is>
          <t>THBKK</t>
        </is>
      </c>
      <c r="I150" s="96" t="inlineStr">
        <is>
          <t>KRPTK</t>
        </is>
      </c>
      <c r="J150" s="96" t="inlineStr">
        <is>
          <t>KRPTK</t>
        </is>
      </c>
      <c r="K150" s="96" t="inlineStr">
        <is>
          <t>F</t>
        </is>
      </c>
      <c r="L150" s="96" t="inlineStr">
        <is>
          <t>ONE</t>
        </is>
      </c>
      <c r="M150" s="96" t="inlineStr">
        <is>
          <t>VFL</t>
        </is>
      </c>
      <c r="N150" s="96" t="inlineStr">
        <is>
          <t>BKK04</t>
        </is>
      </c>
      <c r="O150" s="96" t="inlineStr">
        <is>
          <t>BKK</t>
        </is>
      </c>
      <c r="P150" s="96" t="inlineStr">
        <is>
          <t>TH</t>
        </is>
      </c>
      <c r="Q150" s="96" t="inlineStr">
        <is>
          <t>HASLS22260801914</t>
        </is>
      </c>
      <c r="R150" s="96" t="inlineStr">
        <is>
          <t>N</t>
        </is>
      </c>
      <c r="S150" s="96" t="inlineStr">
        <is>
          <t>N</t>
        </is>
      </c>
      <c r="T150" s="96" t="inlineStr">
        <is>
          <t>BTS</t>
        </is>
      </c>
      <c r="U150" s="97" t="n"/>
      <c r="V150" s="96" t="inlineStr">
        <is>
          <t>K0120021</t>
        </is>
      </c>
      <c r="W150" s="96" t="inlineStr">
        <is>
          <t>THAI VEGETABLE OIL PUBLIC COMPANY</t>
        </is>
      </c>
      <c r="X150" s="96" t="inlineStr">
        <is>
          <t>VFD</t>
        </is>
      </c>
      <c r="Y150" s="96" t="inlineStr">
        <is>
          <t>TO THE ORDER OF KOOKMIN BANK</t>
        </is>
      </c>
      <c r="Z150" s="96" t="inlineStr">
        <is>
          <t>CJ CHEILJEDANG CORPORATION</t>
        </is>
      </c>
      <c r="AA150" s="97" t="n">
        <v>21100</v>
      </c>
      <c r="AB150" s="96" t="inlineStr">
        <is>
          <t>BKK04</t>
        </is>
      </c>
      <c r="AC150" s="96" t="inlineStr">
        <is>
          <t>PTK02</t>
        </is>
      </c>
    </row>
    <row r="151" ht="12" customHeight="1">
      <c r="A151" s="96" t="inlineStr">
        <is>
          <t>SKLU2022910</t>
        </is>
      </c>
      <c r="B151" s="161" t="inlineStr">
        <is>
          <t>2026-10-08</t>
        </is>
      </c>
      <c r="C151" s="96" t="inlineStr">
        <is>
          <t>SWSP</t>
        </is>
      </c>
      <c r="D151" s="96" t="inlineStr">
        <is>
          <t>2609N</t>
        </is>
      </c>
      <c r="E151" s="96" t="inlineStr">
        <is>
          <t>22GP</t>
        </is>
      </c>
      <c r="F151" s="96" t="inlineStr">
        <is>
          <t>SD</t>
        </is>
      </c>
      <c r="G151" s="96" t="inlineStr">
        <is>
          <t>THBKK</t>
        </is>
      </c>
      <c r="H151" s="96" t="inlineStr">
        <is>
          <t>THBKK</t>
        </is>
      </c>
      <c r="I151" s="96" t="inlineStr">
        <is>
          <t>KRPTK</t>
        </is>
      </c>
      <c r="J151" s="96" t="inlineStr">
        <is>
          <t>KRPTK</t>
        </is>
      </c>
      <c r="K151" s="96" t="inlineStr">
        <is>
          <t>F</t>
        </is>
      </c>
      <c r="L151" s="96" t="inlineStr">
        <is>
          <t>ONE</t>
        </is>
      </c>
      <c r="M151" s="96" t="inlineStr">
        <is>
          <t>VFL</t>
        </is>
      </c>
      <c r="N151" s="96" t="inlineStr">
        <is>
          <t>BKK04</t>
        </is>
      </c>
      <c r="O151" s="96" t="inlineStr">
        <is>
          <t>BKK</t>
        </is>
      </c>
      <c r="P151" s="96" t="inlineStr">
        <is>
          <t>TH</t>
        </is>
      </c>
      <c r="Q151" s="96" t="inlineStr">
        <is>
          <t>HASLS22260801914</t>
        </is>
      </c>
      <c r="R151" s="96" t="inlineStr">
        <is>
          <t>N</t>
        </is>
      </c>
      <c r="S151" s="96" t="inlineStr">
        <is>
          <t>N</t>
        </is>
      </c>
      <c r="T151" s="96" t="inlineStr">
        <is>
          <t>BTS</t>
        </is>
      </c>
      <c r="U151" s="97" t="n"/>
      <c r="V151" s="96" t="inlineStr">
        <is>
          <t>K0120021</t>
        </is>
      </c>
      <c r="W151" s="96" t="inlineStr">
        <is>
          <t>THAI VEGETABLE OIL PUBLIC COMPANY</t>
        </is>
      </c>
      <c r="X151" s="96" t="inlineStr">
        <is>
          <t>VFD</t>
        </is>
      </c>
      <c r="Y151" s="96" t="inlineStr">
        <is>
          <t>TO THE ORDER OF KOOKMIN BANK</t>
        </is>
      </c>
      <c r="Z151" s="96" t="inlineStr">
        <is>
          <t>CJ CHEILJEDANG CORPORATION</t>
        </is>
      </c>
      <c r="AA151" s="97" t="n">
        <v>21100</v>
      </c>
      <c r="AB151" s="96" t="inlineStr">
        <is>
          <t>BKK04</t>
        </is>
      </c>
      <c r="AC151" s="96" t="inlineStr">
        <is>
          <t>PTK02</t>
        </is>
      </c>
    </row>
    <row r="152" ht="12" customHeight="1">
      <c r="A152" s="96" t="inlineStr">
        <is>
          <t>SKLU2027511</t>
        </is>
      </c>
      <c r="B152" s="161" t="inlineStr">
        <is>
          <t>2026-10-08</t>
        </is>
      </c>
      <c r="C152" s="96" t="inlineStr">
        <is>
          <t>SWSP</t>
        </is>
      </c>
      <c r="D152" s="96" t="inlineStr">
        <is>
          <t>2609N</t>
        </is>
      </c>
      <c r="E152" s="96" t="inlineStr">
        <is>
          <t>22GP</t>
        </is>
      </c>
      <c r="F152" s="96" t="inlineStr">
        <is>
          <t>SD</t>
        </is>
      </c>
      <c r="G152" s="96" t="inlineStr">
        <is>
          <t>THBKK</t>
        </is>
      </c>
      <c r="H152" s="96" t="inlineStr">
        <is>
          <t>THBKK</t>
        </is>
      </c>
      <c r="I152" s="96" t="inlineStr">
        <is>
          <t>KRPTK</t>
        </is>
      </c>
      <c r="J152" s="96" t="inlineStr">
        <is>
          <t>KRPTK</t>
        </is>
      </c>
      <c r="K152" s="96" t="inlineStr">
        <is>
          <t>F</t>
        </is>
      </c>
      <c r="L152" s="96" t="inlineStr">
        <is>
          <t>ONE</t>
        </is>
      </c>
      <c r="M152" s="96" t="inlineStr">
        <is>
          <t>VFL</t>
        </is>
      </c>
      <c r="N152" s="96" t="inlineStr">
        <is>
          <t>BKK04</t>
        </is>
      </c>
      <c r="O152" s="96" t="inlineStr">
        <is>
          <t>BKK</t>
        </is>
      </c>
      <c r="P152" s="96" t="inlineStr">
        <is>
          <t>TH</t>
        </is>
      </c>
      <c r="Q152" s="96" t="inlineStr">
        <is>
          <t>HASLS22260801914</t>
        </is>
      </c>
      <c r="R152" s="96" t="inlineStr">
        <is>
          <t>N</t>
        </is>
      </c>
      <c r="S152" s="96" t="inlineStr">
        <is>
          <t>N</t>
        </is>
      </c>
      <c r="T152" s="96" t="inlineStr">
        <is>
          <t>BTS</t>
        </is>
      </c>
      <c r="U152" s="97" t="n"/>
      <c r="V152" s="96" t="inlineStr">
        <is>
          <t>K0120021</t>
        </is>
      </c>
      <c r="W152" s="96" t="inlineStr">
        <is>
          <t>THAI VEGETABLE OIL PUBLIC COMPANY</t>
        </is>
      </c>
      <c r="X152" s="96" t="inlineStr">
        <is>
          <t>VFD</t>
        </is>
      </c>
      <c r="Y152" s="96" t="inlineStr">
        <is>
          <t>TO THE ORDER OF KOOKMIN BANK</t>
        </is>
      </c>
      <c r="Z152" s="96" t="inlineStr">
        <is>
          <t>CJ CHEILJEDANG CORPORATION</t>
        </is>
      </c>
      <c r="AA152" s="97" t="n">
        <v>21100</v>
      </c>
      <c r="AB152" s="96" t="inlineStr">
        <is>
          <t>BKK04</t>
        </is>
      </c>
      <c r="AC152" s="96" t="inlineStr">
        <is>
          <t>PTK02</t>
        </is>
      </c>
    </row>
    <row r="153" ht="12" customHeight="1">
      <c r="A153" s="96" t="inlineStr">
        <is>
          <t>SKLU2034439</t>
        </is>
      </c>
      <c r="B153" s="161" t="inlineStr">
        <is>
          <t>2026-10-08</t>
        </is>
      </c>
      <c r="C153" s="96" t="inlineStr">
        <is>
          <t>SWSP</t>
        </is>
      </c>
      <c r="D153" s="96" t="inlineStr">
        <is>
          <t>2609N</t>
        </is>
      </c>
      <c r="E153" s="96" t="inlineStr">
        <is>
          <t>22GP</t>
        </is>
      </c>
      <c r="F153" s="96" t="inlineStr">
        <is>
          <t>SD</t>
        </is>
      </c>
      <c r="G153" s="96" t="inlineStr">
        <is>
          <t>THBKK</t>
        </is>
      </c>
      <c r="H153" s="96" t="inlineStr">
        <is>
          <t>THBKK</t>
        </is>
      </c>
      <c r="I153" s="96" t="inlineStr">
        <is>
          <t>KRPTK</t>
        </is>
      </c>
      <c r="J153" s="96" t="inlineStr">
        <is>
          <t>KRPTK</t>
        </is>
      </c>
      <c r="K153" s="96" t="inlineStr">
        <is>
          <t>F</t>
        </is>
      </c>
      <c r="L153" s="96" t="inlineStr">
        <is>
          <t>ONE</t>
        </is>
      </c>
      <c r="M153" s="96" t="inlineStr">
        <is>
          <t>VFL</t>
        </is>
      </c>
      <c r="N153" s="96" t="inlineStr">
        <is>
          <t>BKK04</t>
        </is>
      </c>
      <c r="O153" s="96" t="inlineStr">
        <is>
          <t>BKK</t>
        </is>
      </c>
      <c r="P153" s="96" t="inlineStr">
        <is>
          <t>TH</t>
        </is>
      </c>
      <c r="Q153" s="96" t="inlineStr">
        <is>
          <t>HASLS22260801914</t>
        </is>
      </c>
      <c r="R153" s="96" t="inlineStr">
        <is>
          <t>N</t>
        </is>
      </c>
      <c r="S153" s="96" t="inlineStr">
        <is>
          <t>N</t>
        </is>
      </c>
      <c r="T153" s="96" t="inlineStr">
        <is>
          <t>BTS</t>
        </is>
      </c>
      <c r="U153" s="97" t="n"/>
      <c r="V153" s="96" t="inlineStr">
        <is>
          <t>K0120021</t>
        </is>
      </c>
      <c r="W153" s="96" t="inlineStr">
        <is>
          <t>THAI VEGETABLE OIL PUBLIC COMPANY</t>
        </is>
      </c>
      <c r="X153" s="96" t="inlineStr">
        <is>
          <t>VFD</t>
        </is>
      </c>
      <c r="Y153" s="96" t="inlineStr">
        <is>
          <t>TO THE ORDER OF KOOKMIN BANK</t>
        </is>
      </c>
      <c r="Z153" s="96" t="inlineStr">
        <is>
          <t>CJ CHEILJEDANG CORPORATION</t>
        </is>
      </c>
      <c r="AA153" s="97" t="n">
        <v>21100</v>
      </c>
      <c r="AB153" s="96" t="inlineStr">
        <is>
          <t>BKK04</t>
        </is>
      </c>
      <c r="AC153" s="96" t="inlineStr">
        <is>
          <t>PTK02</t>
        </is>
      </c>
    </row>
    <row r="154" ht="12" customHeight="1">
      <c r="A154" s="96" t="inlineStr">
        <is>
          <t>SKLU2037079</t>
        </is>
      </c>
      <c r="B154" s="161" t="inlineStr">
        <is>
          <t>2026-10-08</t>
        </is>
      </c>
      <c r="C154" s="96" t="inlineStr">
        <is>
          <t>SWSP</t>
        </is>
      </c>
      <c r="D154" s="96" t="inlineStr">
        <is>
          <t>2609N</t>
        </is>
      </c>
      <c r="E154" s="96" t="inlineStr">
        <is>
          <t>22GP</t>
        </is>
      </c>
      <c r="F154" s="96" t="inlineStr">
        <is>
          <t>SD</t>
        </is>
      </c>
      <c r="G154" s="96" t="inlineStr">
        <is>
          <t>THBKK</t>
        </is>
      </c>
      <c r="H154" s="96" t="inlineStr">
        <is>
          <t>THBKK</t>
        </is>
      </c>
      <c r="I154" s="96" t="inlineStr">
        <is>
          <t>VNSGN</t>
        </is>
      </c>
      <c r="J154" s="96" t="inlineStr">
        <is>
          <t>VNSGN</t>
        </is>
      </c>
      <c r="K154" s="96" t="inlineStr">
        <is>
          <t>F</t>
        </is>
      </c>
      <c r="L154" s="96" t="inlineStr">
        <is>
          <t>ONE</t>
        </is>
      </c>
      <c r="M154" s="96" t="inlineStr">
        <is>
          <t>VFL</t>
        </is>
      </c>
      <c r="N154" s="96" t="inlineStr">
        <is>
          <t>BKK04</t>
        </is>
      </c>
      <c r="O154" s="96" t="inlineStr">
        <is>
          <t>BKK</t>
        </is>
      </c>
      <c r="P154" s="96" t="inlineStr">
        <is>
          <t>TH</t>
        </is>
      </c>
      <c r="Q154" s="96" t="inlineStr">
        <is>
          <t>HASLS22260900939</t>
        </is>
      </c>
      <c r="R154" s="96" t="inlineStr">
        <is>
          <t>N</t>
        </is>
      </c>
      <c r="S154" s="96" t="inlineStr">
        <is>
          <t>N</t>
        </is>
      </c>
      <c r="T154" s="96" t="inlineStr">
        <is>
          <t>BTS</t>
        </is>
      </c>
      <c r="U154" s="97" t="n"/>
      <c r="V154" s="96" t="inlineStr">
        <is>
          <t>K0120021</t>
        </is>
      </c>
      <c r="W154" s="96" t="inlineStr">
        <is>
          <t>EVERSHINING INGREDIENT CO.,LTD.</t>
        </is>
      </c>
      <c r="X154" s="96" t="inlineStr">
        <is>
          <t>VFD</t>
        </is>
      </c>
      <c r="Y154" s="96" t="inlineStr">
        <is>
          <t>MODERN VETERINARY TRADING CO., LTD.</t>
        </is>
      </c>
      <c r="Z154" s="96" t="inlineStr">
        <is>
          <t>MODERN VETERINARY TRADING CO., LTD.</t>
        </is>
      </c>
      <c r="AA154" s="97" t="n">
        <v>20100</v>
      </c>
      <c r="AB154" s="96" t="inlineStr">
        <is>
          <t>BKK04</t>
        </is>
      </c>
      <c r="AC154" s="96" t="inlineStr">
        <is>
          <t>SGN03</t>
        </is>
      </c>
    </row>
    <row r="155" ht="12" customHeight="1">
      <c r="A155" s="96" t="inlineStr">
        <is>
          <t>SKLU2039699</t>
        </is>
      </c>
      <c r="B155" s="161" t="inlineStr">
        <is>
          <t>2026-10-08</t>
        </is>
      </c>
      <c r="C155" s="96" t="inlineStr">
        <is>
          <t>SWSP</t>
        </is>
      </c>
      <c r="D155" s="96" t="inlineStr">
        <is>
          <t>2609N</t>
        </is>
      </c>
      <c r="E155" s="96" t="inlineStr">
        <is>
          <t>22GP</t>
        </is>
      </c>
      <c r="F155" s="96" t="inlineStr">
        <is>
          <t>SD</t>
        </is>
      </c>
      <c r="G155" s="96" t="inlineStr">
        <is>
          <t>THBKK</t>
        </is>
      </c>
      <c r="H155" s="96" t="inlineStr">
        <is>
          <t>THBKK</t>
        </is>
      </c>
      <c r="I155" s="96" t="inlineStr">
        <is>
          <t>KRPTK</t>
        </is>
      </c>
      <c r="J155" s="96" t="inlineStr">
        <is>
          <t>KRPTK</t>
        </is>
      </c>
      <c r="K155" s="96" t="inlineStr">
        <is>
          <t>F</t>
        </is>
      </c>
      <c r="L155" s="96" t="inlineStr">
        <is>
          <t>ONE</t>
        </is>
      </c>
      <c r="M155" s="96" t="inlineStr">
        <is>
          <t>VFL</t>
        </is>
      </c>
      <c r="N155" s="96" t="inlineStr">
        <is>
          <t>BKK04</t>
        </is>
      </c>
      <c r="O155" s="96" t="inlineStr">
        <is>
          <t>BKK</t>
        </is>
      </c>
      <c r="P155" s="96" t="inlineStr">
        <is>
          <t>TH</t>
        </is>
      </c>
      <c r="Q155" s="96" t="inlineStr">
        <is>
          <t>HASLS22260801914</t>
        </is>
      </c>
      <c r="R155" s="96" t="inlineStr">
        <is>
          <t>N</t>
        </is>
      </c>
      <c r="S155" s="96" t="inlineStr">
        <is>
          <t>N</t>
        </is>
      </c>
      <c r="T155" s="96" t="inlineStr">
        <is>
          <t>BTS</t>
        </is>
      </c>
      <c r="U155" s="97" t="n"/>
      <c r="V155" s="96" t="inlineStr">
        <is>
          <t>S1120012</t>
        </is>
      </c>
      <c r="W155" s="96" t="inlineStr">
        <is>
          <t>THAI VEGETABLE OIL PUBLIC COMPANY</t>
        </is>
      </c>
      <c r="X155" s="96" t="inlineStr">
        <is>
          <t>VFD</t>
        </is>
      </c>
      <c r="Y155" s="96" t="inlineStr">
        <is>
          <t>TO THE ORDER OF KOOKMIN BANK</t>
        </is>
      </c>
      <c r="Z155" s="96" t="inlineStr">
        <is>
          <t>CJ CHEILJEDANG CORPORATION</t>
        </is>
      </c>
      <c r="AA155" s="97" t="n">
        <v>21100</v>
      </c>
      <c r="AB155" s="96" t="inlineStr">
        <is>
          <t>BKK04</t>
        </is>
      </c>
      <c r="AC155" s="96" t="inlineStr">
        <is>
          <t>PTK02</t>
        </is>
      </c>
    </row>
    <row r="156" ht="12" customHeight="1">
      <c r="A156" s="96" t="inlineStr">
        <is>
          <t>SKLU2048880</t>
        </is>
      </c>
      <c r="B156" s="161" t="inlineStr">
        <is>
          <t>2026-10-08</t>
        </is>
      </c>
      <c r="C156" s="96" t="inlineStr">
        <is>
          <t>SWSP</t>
        </is>
      </c>
      <c r="D156" s="96" t="inlineStr">
        <is>
          <t>2609N</t>
        </is>
      </c>
      <c r="E156" s="96" t="inlineStr">
        <is>
          <t>22GP</t>
        </is>
      </c>
      <c r="F156" s="96" t="inlineStr">
        <is>
          <t>SD</t>
        </is>
      </c>
      <c r="G156" s="96" t="inlineStr">
        <is>
          <t>THBKK</t>
        </is>
      </c>
      <c r="H156" s="96" t="inlineStr">
        <is>
          <t>THBKK</t>
        </is>
      </c>
      <c r="I156" s="96" t="inlineStr">
        <is>
          <t>KRPUS</t>
        </is>
      </c>
      <c r="J156" s="96" t="inlineStr">
        <is>
          <t>JPSBS</t>
        </is>
      </c>
      <c r="K156" s="96" t="inlineStr">
        <is>
          <t>F</t>
        </is>
      </c>
      <c r="L156" s="96" t="inlineStr">
        <is>
          <t>ONE</t>
        </is>
      </c>
      <c r="M156" s="96" t="inlineStr">
        <is>
          <t>VFL</t>
        </is>
      </c>
      <c r="N156" s="96" t="inlineStr">
        <is>
          <t>BKK04</t>
        </is>
      </c>
      <c r="O156" s="96" t="inlineStr">
        <is>
          <t>BKK</t>
        </is>
      </c>
      <c r="P156" s="96" t="inlineStr">
        <is>
          <t>TH</t>
        </is>
      </c>
      <c r="Q156" s="96" t="inlineStr">
        <is>
          <t>HASLS22260901396</t>
        </is>
      </c>
      <c r="R156" s="96" t="inlineStr">
        <is>
          <t>Y</t>
        </is>
      </c>
      <c r="S156" s="96" t="inlineStr">
        <is>
          <t>N</t>
        </is>
      </c>
      <c r="T156" s="96" t="inlineStr">
        <is>
          <t>BTS</t>
        </is>
      </c>
      <c r="U156" s="97" t="n"/>
      <c r="V156" s="96" t="inlineStr">
        <is>
          <t>K0120021</t>
        </is>
      </c>
      <c r="W156" s="96" t="inlineStr">
        <is>
          <t>TASCO INTERNATIONAL CO., LTD.</t>
        </is>
      </c>
      <c r="X156" s="96" t="inlineStr">
        <is>
          <t>VFD</t>
        </is>
      </c>
      <c r="Y156" s="96" t="inlineStr">
        <is>
          <t>TO ORDER OF SHIPPER</t>
        </is>
      </c>
      <c r="Z156" s="96" t="inlineStr">
        <is>
          <t>KANEMATSU CORPORATION</t>
        </is>
      </c>
      <c r="AA156" s="97" t="n">
        <v>20040</v>
      </c>
      <c r="AB156" s="96" t="inlineStr">
        <is>
          <t>BKK04</t>
        </is>
      </c>
      <c r="AC156" s="96" t="inlineStr">
        <is>
          <t>SBS01</t>
        </is>
      </c>
    </row>
    <row r="157" ht="12" customHeight="1">
      <c r="A157" s="96" t="inlineStr">
        <is>
          <t>SKLU2052469</t>
        </is>
      </c>
      <c r="B157" s="161" t="inlineStr">
        <is>
          <t>2026-10-08</t>
        </is>
      </c>
      <c r="C157" s="96" t="inlineStr">
        <is>
          <t>SWSP</t>
        </is>
      </c>
      <c r="D157" s="96" t="inlineStr">
        <is>
          <t>2609N</t>
        </is>
      </c>
      <c r="E157" s="96" t="inlineStr">
        <is>
          <t>22GP</t>
        </is>
      </c>
      <c r="F157" s="96" t="inlineStr">
        <is>
          <t>SD</t>
        </is>
      </c>
      <c r="G157" s="96" t="inlineStr">
        <is>
          <t>THBKK</t>
        </is>
      </c>
      <c r="H157" s="96" t="inlineStr">
        <is>
          <t>THBKK</t>
        </is>
      </c>
      <c r="I157" s="96" t="inlineStr">
        <is>
          <t>KRPTK</t>
        </is>
      </c>
      <c r="J157" s="96" t="inlineStr">
        <is>
          <t>KRPTK</t>
        </is>
      </c>
      <c r="K157" s="96" t="inlineStr">
        <is>
          <t>F</t>
        </is>
      </c>
      <c r="L157" s="96" t="inlineStr">
        <is>
          <t>ONE</t>
        </is>
      </c>
      <c r="M157" s="96" t="inlineStr">
        <is>
          <t>VFL</t>
        </is>
      </c>
      <c r="N157" s="96" t="inlineStr">
        <is>
          <t>BKK04</t>
        </is>
      </c>
      <c r="O157" s="96" t="inlineStr">
        <is>
          <t>BKK</t>
        </is>
      </c>
      <c r="P157" s="96" t="inlineStr">
        <is>
          <t>TH</t>
        </is>
      </c>
      <c r="Q157" s="96" t="inlineStr">
        <is>
          <t>HASLS22260801914</t>
        </is>
      </c>
      <c r="R157" s="96" t="inlineStr">
        <is>
          <t>N</t>
        </is>
      </c>
      <c r="S157" s="96" t="inlineStr">
        <is>
          <t>N</t>
        </is>
      </c>
      <c r="T157" s="96" t="inlineStr">
        <is>
          <t>BTS</t>
        </is>
      </c>
      <c r="U157" s="97" t="n"/>
      <c r="V157" s="96" t="inlineStr">
        <is>
          <t>K0120021</t>
        </is>
      </c>
      <c r="W157" s="96" t="inlineStr">
        <is>
          <t>THAI VEGETABLE OIL PUBLIC COMPANY</t>
        </is>
      </c>
      <c r="X157" s="96" t="inlineStr">
        <is>
          <t>VFD</t>
        </is>
      </c>
      <c r="Y157" s="96" t="inlineStr">
        <is>
          <t>TO THE ORDER OF KOOKMIN BANK</t>
        </is>
      </c>
      <c r="Z157" s="96" t="inlineStr">
        <is>
          <t>CJ CHEILJEDANG CORPORATION</t>
        </is>
      </c>
      <c r="AA157" s="97" t="n">
        <v>21100</v>
      </c>
      <c r="AB157" s="96" t="inlineStr">
        <is>
          <t>BKK04</t>
        </is>
      </c>
      <c r="AC157" s="96" t="inlineStr">
        <is>
          <t>PTK02</t>
        </is>
      </c>
    </row>
    <row r="158" ht="12" customHeight="1">
      <c r="A158" s="96" t="inlineStr">
        <is>
          <t>SKLU2067643</t>
        </is>
      </c>
      <c r="B158" s="161" t="inlineStr">
        <is>
          <t>2026-10-08</t>
        </is>
      </c>
      <c r="C158" s="96" t="inlineStr">
        <is>
          <t>SWSP</t>
        </is>
      </c>
      <c r="D158" s="96" t="inlineStr">
        <is>
          <t>2609N</t>
        </is>
      </c>
      <c r="E158" s="96" t="inlineStr">
        <is>
          <t>22GP</t>
        </is>
      </c>
      <c r="F158" s="96" t="inlineStr">
        <is>
          <t>SD</t>
        </is>
      </c>
      <c r="G158" s="96" t="inlineStr">
        <is>
          <t>THBKK</t>
        </is>
      </c>
      <c r="H158" s="96" t="inlineStr">
        <is>
          <t>THBKK</t>
        </is>
      </c>
      <c r="I158" s="96" t="inlineStr">
        <is>
          <t>KRPUS</t>
        </is>
      </c>
      <c r="J158" s="96" t="inlineStr">
        <is>
          <t>JPSEN</t>
        </is>
      </c>
      <c r="K158" s="96" t="inlineStr">
        <is>
          <t>F</t>
        </is>
      </c>
      <c r="L158" s="96" t="inlineStr">
        <is>
          <t>ONE</t>
        </is>
      </c>
      <c r="M158" s="96" t="inlineStr">
        <is>
          <t>VFL</t>
        </is>
      </c>
      <c r="N158" s="96" t="inlineStr">
        <is>
          <t>BKK04</t>
        </is>
      </c>
      <c r="O158" s="96" t="inlineStr">
        <is>
          <t>BKK</t>
        </is>
      </c>
      <c r="P158" s="96" t="inlineStr">
        <is>
          <t>TH</t>
        </is>
      </c>
      <c r="Q158" s="96" t="inlineStr">
        <is>
          <t>HASLS22260900196</t>
        </is>
      </c>
      <c r="R158" s="96" t="inlineStr">
        <is>
          <t>Y</t>
        </is>
      </c>
      <c r="S158" s="96" t="inlineStr">
        <is>
          <t>N</t>
        </is>
      </c>
      <c r="T158" s="96" t="inlineStr">
        <is>
          <t>BTS</t>
        </is>
      </c>
      <c r="U158" s="97" t="n"/>
      <c r="V158" s="96" t="inlineStr">
        <is>
          <t>K0120021</t>
        </is>
      </c>
      <c r="W158" s="96" t="inlineStr">
        <is>
          <t>SANGUAN WONGSE STARCH CO., LTD.</t>
        </is>
      </c>
      <c r="X158" s="96" t="inlineStr">
        <is>
          <t>VFD</t>
        </is>
      </c>
      <c r="Y158" s="96" t="inlineStr">
        <is>
          <t>SANSHO CO., LTD.</t>
        </is>
      </c>
      <c r="Z158" s="96" t="inlineStr">
        <is>
          <t>SANSHO CO., LTD.</t>
        </is>
      </c>
      <c r="AA158" s="97" t="n">
        <v>17190</v>
      </c>
      <c r="AB158" s="96" t="inlineStr">
        <is>
          <t>BKK04</t>
        </is>
      </c>
      <c r="AC158" s="96" t="inlineStr">
        <is>
          <t>SEN01</t>
        </is>
      </c>
    </row>
    <row r="159" ht="12" customHeight="1">
      <c r="A159" s="96" t="inlineStr">
        <is>
          <t>SKLU2074468</t>
        </is>
      </c>
      <c r="B159" s="161" t="inlineStr">
        <is>
          <t>2026-10-08</t>
        </is>
      </c>
      <c r="C159" s="96" t="inlineStr">
        <is>
          <t>SWSP</t>
        </is>
      </c>
      <c r="D159" s="96" t="inlineStr">
        <is>
          <t>2609N</t>
        </is>
      </c>
      <c r="E159" s="96" t="inlineStr">
        <is>
          <t>22GP</t>
        </is>
      </c>
      <c r="F159" s="96" t="inlineStr">
        <is>
          <t>SD</t>
        </is>
      </c>
      <c r="G159" s="96" t="inlineStr">
        <is>
          <t>THBKK</t>
        </is>
      </c>
      <c r="H159" s="96" t="inlineStr">
        <is>
          <t>THBKK</t>
        </is>
      </c>
      <c r="I159" s="96" t="inlineStr">
        <is>
          <t>VNSGN</t>
        </is>
      </c>
      <c r="J159" s="96" t="inlineStr">
        <is>
          <t>VNSGN</t>
        </is>
      </c>
      <c r="K159" s="96" t="inlineStr">
        <is>
          <t>F</t>
        </is>
      </c>
      <c r="L159" s="96" t="inlineStr">
        <is>
          <t>ONE</t>
        </is>
      </c>
      <c r="M159" s="96" t="inlineStr">
        <is>
          <t>VFL</t>
        </is>
      </c>
      <c r="N159" s="96" t="inlineStr">
        <is>
          <t>BKK04</t>
        </is>
      </c>
      <c r="O159" s="96" t="inlineStr">
        <is>
          <t>BKK</t>
        </is>
      </c>
      <c r="P159" s="96" t="inlineStr">
        <is>
          <t>TH</t>
        </is>
      </c>
      <c r="Q159" s="96" t="inlineStr">
        <is>
          <t>HASLS22260900630</t>
        </is>
      </c>
      <c r="R159" s="96" t="inlineStr">
        <is>
          <t>N</t>
        </is>
      </c>
      <c r="S159" s="96" t="inlineStr">
        <is>
          <t>N</t>
        </is>
      </c>
      <c r="T159" s="96" t="inlineStr">
        <is>
          <t>BTS</t>
        </is>
      </c>
      <c r="U159" s="97" t="n"/>
      <c r="V159" s="96" t="inlineStr">
        <is>
          <t>K0120021</t>
        </is>
      </c>
      <c r="W159" s="96" t="inlineStr">
        <is>
          <t>THANAKORN VEGETABLE OIL PRODUCTS</t>
        </is>
      </c>
      <c r="X159" s="96" t="inlineStr">
        <is>
          <t>VFD</t>
        </is>
      </c>
      <c r="Y159" s="96" t="inlineStr">
        <is>
          <t>MEKONG COMMODITIES JSC</t>
        </is>
      </c>
      <c r="Z159" s="96" t="inlineStr">
        <is>
          <t>AUSTRALASIAN COMMODITIES PTY LTD</t>
        </is>
      </c>
      <c r="AA159" s="97" t="n">
        <v>21140</v>
      </c>
      <c r="AB159" s="96" t="inlineStr">
        <is>
          <t>BKK04</t>
        </is>
      </c>
      <c r="AC159" s="96" t="inlineStr">
        <is>
          <t>SGN03</t>
        </is>
      </c>
    </row>
    <row r="160" ht="12" customHeight="1">
      <c r="A160" s="96" t="inlineStr">
        <is>
          <t>SKLU2079731</t>
        </is>
      </c>
      <c r="B160" s="161" t="inlineStr">
        <is>
          <t>2026-10-08</t>
        </is>
      </c>
      <c r="C160" s="96" t="inlineStr">
        <is>
          <t>SWSP</t>
        </is>
      </c>
      <c r="D160" s="96" t="inlineStr">
        <is>
          <t>2609N</t>
        </is>
      </c>
      <c r="E160" s="96" t="inlineStr">
        <is>
          <t>22GP</t>
        </is>
      </c>
      <c r="F160" s="96" t="inlineStr">
        <is>
          <t>SD</t>
        </is>
      </c>
      <c r="G160" s="96" t="inlineStr">
        <is>
          <t>THBKK</t>
        </is>
      </c>
      <c r="H160" s="96" t="inlineStr">
        <is>
          <t>THBKK</t>
        </is>
      </c>
      <c r="I160" s="96" t="inlineStr">
        <is>
          <t>KRPTK</t>
        </is>
      </c>
      <c r="J160" s="96" t="inlineStr">
        <is>
          <t>KRPTK</t>
        </is>
      </c>
      <c r="K160" s="96" t="inlineStr">
        <is>
          <t>F</t>
        </is>
      </c>
      <c r="L160" s="96" t="inlineStr">
        <is>
          <t>ONE</t>
        </is>
      </c>
      <c r="M160" s="96" t="inlineStr">
        <is>
          <t>VFL</t>
        </is>
      </c>
      <c r="N160" s="96" t="inlineStr">
        <is>
          <t>BKK04</t>
        </is>
      </c>
      <c r="O160" s="96" t="inlineStr">
        <is>
          <t>BKK</t>
        </is>
      </c>
      <c r="P160" s="96" t="inlineStr">
        <is>
          <t>TH</t>
        </is>
      </c>
      <c r="Q160" s="96" t="inlineStr">
        <is>
          <t>HASLS22260801914</t>
        </is>
      </c>
      <c r="R160" s="96" t="inlineStr">
        <is>
          <t>N</t>
        </is>
      </c>
      <c r="S160" s="96" t="inlineStr">
        <is>
          <t>N</t>
        </is>
      </c>
      <c r="T160" s="96" t="inlineStr">
        <is>
          <t>BTS</t>
        </is>
      </c>
      <c r="U160" s="97" t="n"/>
      <c r="V160" s="96" t="inlineStr">
        <is>
          <t>K0120021</t>
        </is>
      </c>
      <c r="W160" s="96" t="inlineStr">
        <is>
          <t>THAI VEGETABLE OIL PUBLIC COMPANY</t>
        </is>
      </c>
      <c r="X160" s="96" t="inlineStr">
        <is>
          <t>VFD</t>
        </is>
      </c>
      <c r="Y160" s="96" t="inlineStr">
        <is>
          <t>TO THE ORDER OF KOOKMIN BANK</t>
        </is>
      </c>
      <c r="Z160" s="96" t="inlineStr">
        <is>
          <t>CJ CHEILJEDANG CORPORATION</t>
        </is>
      </c>
      <c r="AA160" s="97" t="n">
        <v>21100</v>
      </c>
      <c r="AB160" s="96" t="inlineStr">
        <is>
          <t>BKK04</t>
        </is>
      </c>
      <c r="AC160" s="96" t="inlineStr">
        <is>
          <t>PTK02</t>
        </is>
      </c>
    </row>
    <row r="161" ht="12" customHeight="1">
      <c r="A161" s="96" t="inlineStr">
        <is>
          <t>SKLU2114257</t>
        </is>
      </c>
      <c r="B161" s="161" t="inlineStr">
        <is>
          <t>2026-10-08</t>
        </is>
      </c>
      <c r="C161" s="96" t="inlineStr">
        <is>
          <t>SWSP</t>
        </is>
      </c>
      <c r="D161" s="96" t="inlineStr">
        <is>
          <t>2609N</t>
        </is>
      </c>
      <c r="E161" s="96" t="inlineStr">
        <is>
          <t>22GP</t>
        </is>
      </c>
      <c r="F161" s="96" t="inlineStr">
        <is>
          <t>SD</t>
        </is>
      </c>
      <c r="G161" s="96" t="inlineStr">
        <is>
          <t>THBKK</t>
        </is>
      </c>
      <c r="H161" s="96" t="inlineStr">
        <is>
          <t>THBKK</t>
        </is>
      </c>
      <c r="I161" s="96" t="inlineStr">
        <is>
          <t>KRPUS</t>
        </is>
      </c>
      <c r="J161" s="96" t="inlineStr">
        <is>
          <t>JPHHE</t>
        </is>
      </c>
      <c r="K161" s="96" t="inlineStr">
        <is>
          <t>F</t>
        </is>
      </c>
      <c r="L161" s="96" t="inlineStr">
        <is>
          <t>ONE</t>
        </is>
      </c>
      <c r="M161" s="96" t="inlineStr">
        <is>
          <t>VFL</t>
        </is>
      </c>
      <c r="N161" s="96" t="inlineStr">
        <is>
          <t>BKK04</t>
        </is>
      </c>
      <c r="O161" s="96" t="inlineStr">
        <is>
          <t>BKK</t>
        </is>
      </c>
      <c r="P161" s="96" t="inlineStr">
        <is>
          <t>TH</t>
        </is>
      </c>
      <c r="Q161" s="96" t="inlineStr">
        <is>
          <t>HASLS22260900941</t>
        </is>
      </c>
      <c r="R161" s="96" t="inlineStr">
        <is>
          <t>Y</t>
        </is>
      </c>
      <c r="S161" s="96" t="inlineStr">
        <is>
          <t>N</t>
        </is>
      </c>
      <c r="T161" s="96" t="inlineStr">
        <is>
          <t>BTS</t>
        </is>
      </c>
      <c r="U161" s="97" t="n"/>
      <c r="V161" s="96" t="inlineStr">
        <is>
          <t>K0120021</t>
        </is>
      </c>
      <c r="W161" s="96" t="inlineStr">
        <is>
          <t>THAI FLOUR INDUSTRY CO.,LTD.</t>
        </is>
      </c>
      <c r="X161" s="96" t="inlineStr">
        <is>
          <t>VFD</t>
        </is>
      </c>
      <c r="Y161" s="96" t="inlineStr">
        <is>
          <t>THAIMEI CO.,LTD.</t>
        </is>
      </c>
      <c r="Z161" s="96" t="inlineStr">
        <is>
          <t>THAIMEI CO.,LTD.</t>
        </is>
      </c>
      <c r="AA161" s="97" t="n">
        <v>20400</v>
      </c>
      <c r="AB161" s="96" t="inlineStr">
        <is>
          <t>BKK04</t>
        </is>
      </c>
      <c r="AC161" s="96" t="inlineStr">
        <is>
          <t>HHE01</t>
        </is>
      </c>
    </row>
    <row r="162" ht="12" customHeight="1">
      <c r="A162" s="96" t="inlineStr">
        <is>
          <t>SKLU2129278</t>
        </is>
      </c>
      <c r="B162" s="161" t="inlineStr">
        <is>
          <t>2026-10-08</t>
        </is>
      </c>
      <c r="C162" s="96" t="inlineStr">
        <is>
          <t>SWSP</t>
        </is>
      </c>
      <c r="D162" s="96" t="inlineStr">
        <is>
          <t>2609N</t>
        </is>
      </c>
      <c r="E162" s="96" t="inlineStr">
        <is>
          <t>22GP</t>
        </is>
      </c>
      <c r="F162" s="96" t="inlineStr">
        <is>
          <t>SD</t>
        </is>
      </c>
      <c r="G162" s="96" t="inlineStr">
        <is>
          <t>THBKK</t>
        </is>
      </c>
      <c r="H162" s="96" t="inlineStr">
        <is>
          <t>THBKK</t>
        </is>
      </c>
      <c r="I162" s="96" t="inlineStr">
        <is>
          <t>VNSGN</t>
        </is>
      </c>
      <c r="J162" s="96" t="inlineStr">
        <is>
          <t>VNSGN</t>
        </is>
      </c>
      <c r="K162" s="96" t="inlineStr">
        <is>
          <t>F</t>
        </is>
      </c>
      <c r="L162" s="96" t="inlineStr">
        <is>
          <t>ONE</t>
        </is>
      </c>
      <c r="M162" s="96" t="inlineStr">
        <is>
          <t>VFL</t>
        </is>
      </c>
      <c r="N162" s="96" t="inlineStr">
        <is>
          <t>BKK04</t>
        </is>
      </c>
      <c r="O162" s="96" t="inlineStr">
        <is>
          <t>BKK</t>
        </is>
      </c>
      <c r="P162" s="96" t="inlineStr">
        <is>
          <t>TH</t>
        </is>
      </c>
      <c r="Q162" s="96" t="inlineStr">
        <is>
          <t>HASLS22260800838</t>
        </is>
      </c>
      <c r="R162" s="96" t="inlineStr">
        <is>
          <t>N</t>
        </is>
      </c>
      <c r="S162" s="96" t="inlineStr">
        <is>
          <t>N</t>
        </is>
      </c>
      <c r="T162" s="96" t="inlineStr">
        <is>
          <t>BTS</t>
        </is>
      </c>
      <c r="U162" s="97" t="n"/>
      <c r="V162" s="96" t="inlineStr">
        <is>
          <t>S1120012</t>
        </is>
      </c>
      <c r="W162" s="96" t="inlineStr">
        <is>
          <t>SCG INTERNATIONAL CORPORATION CO.,</t>
        </is>
      </c>
      <c r="X162" s="96" t="inlineStr">
        <is>
          <t>VFD</t>
        </is>
      </c>
      <c r="Y162" s="96" t="inlineStr">
        <is>
          <t>BUU LONG INDUSTRY AND INVESTMENT</t>
        </is>
      </c>
      <c r="Z162" s="96" t="inlineStr">
        <is>
          <t>BUU LONG INDUSTRY AND INVESTMENT</t>
        </is>
      </c>
      <c r="AA162" s="97" t="n">
        <v>25300</v>
      </c>
      <c r="AB162" s="96" t="inlineStr">
        <is>
          <t>BKK04</t>
        </is>
      </c>
      <c r="AC162" s="96" t="inlineStr">
        <is>
          <t>SGN03</t>
        </is>
      </c>
    </row>
    <row r="163" ht="12" customHeight="1">
      <c r="A163" s="96" t="inlineStr">
        <is>
          <t>SKLU2301263</t>
        </is>
      </c>
      <c r="B163" s="161" t="inlineStr">
        <is>
          <t>2026-10-08</t>
        </is>
      </c>
      <c r="C163" s="96" t="inlineStr">
        <is>
          <t>SWSP</t>
        </is>
      </c>
      <c r="D163" s="96" t="inlineStr">
        <is>
          <t>2609N</t>
        </is>
      </c>
      <c r="E163" s="96" t="inlineStr">
        <is>
          <t>22GP</t>
        </is>
      </c>
      <c r="F163" s="96" t="inlineStr">
        <is>
          <t>SD</t>
        </is>
      </c>
      <c r="G163" s="96" t="inlineStr">
        <is>
          <t>THBKK</t>
        </is>
      </c>
      <c r="H163" s="96" t="inlineStr">
        <is>
          <t>THBKK</t>
        </is>
      </c>
      <c r="I163" s="96" t="inlineStr">
        <is>
          <t>VNSGN</t>
        </is>
      </c>
      <c r="J163" s="96" t="inlineStr">
        <is>
          <t>VNSGN</t>
        </is>
      </c>
      <c r="K163" s="96" t="inlineStr">
        <is>
          <t>F</t>
        </is>
      </c>
      <c r="L163" s="96" t="inlineStr">
        <is>
          <t>ONE</t>
        </is>
      </c>
      <c r="M163" s="96" t="inlineStr">
        <is>
          <t>VFL</t>
        </is>
      </c>
      <c r="N163" s="96" t="inlineStr">
        <is>
          <t>BKK04</t>
        </is>
      </c>
      <c r="O163" s="96" t="inlineStr">
        <is>
          <t>BKK</t>
        </is>
      </c>
      <c r="P163" s="96" t="inlineStr">
        <is>
          <t>TH</t>
        </is>
      </c>
      <c r="Q163" s="96" t="inlineStr">
        <is>
          <t>HASLS22260900995</t>
        </is>
      </c>
      <c r="R163" s="96" t="inlineStr">
        <is>
          <t>N</t>
        </is>
      </c>
      <c r="S163" s="96" t="inlineStr">
        <is>
          <t>N</t>
        </is>
      </c>
      <c r="T163" s="96" t="inlineStr">
        <is>
          <t>BTS</t>
        </is>
      </c>
      <c r="U163" s="97" t="n"/>
      <c r="V163" s="96" t="inlineStr">
        <is>
          <t>K0120021</t>
        </is>
      </c>
      <c r="W163" s="96" t="inlineStr">
        <is>
          <t>BEE LOGISTICS (THAILAND) CO., LTD.</t>
        </is>
      </c>
      <c r="X163" s="96" t="inlineStr">
        <is>
          <t>VFD</t>
        </is>
      </c>
      <c r="Y163" s="96" t="inlineStr">
        <is>
          <t>BEE LOGISTICS CORPORATION -</t>
        </is>
      </c>
      <c r="Z163" s="96" t="inlineStr">
        <is>
          <t>BEE LOGISTICS CORPORATION -</t>
        </is>
      </c>
      <c r="AA163" s="97" t="n">
        <v>8617.780000000001</v>
      </c>
      <c r="AB163" s="96" t="inlineStr">
        <is>
          <t>BKK04</t>
        </is>
      </c>
      <c r="AC163" s="96" t="inlineStr">
        <is>
          <t>SGN03</t>
        </is>
      </c>
    </row>
    <row r="164" ht="12" customHeight="1">
      <c r="A164" s="96" t="inlineStr">
        <is>
          <t>SKLU2305891</t>
        </is>
      </c>
      <c r="B164" s="161" t="inlineStr">
        <is>
          <t>2026-10-08</t>
        </is>
      </c>
      <c r="C164" s="96" t="inlineStr">
        <is>
          <t>SWSP</t>
        </is>
      </c>
      <c r="D164" s="96" t="inlineStr">
        <is>
          <t>2609N</t>
        </is>
      </c>
      <c r="E164" s="96" t="inlineStr">
        <is>
          <t>22GP</t>
        </is>
      </c>
      <c r="F164" s="96" t="inlineStr">
        <is>
          <t>SD</t>
        </is>
      </c>
      <c r="G164" s="96" t="inlineStr">
        <is>
          <t>THBKK</t>
        </is>
      </c>
      <c r="H164" s="96" t="inlineStr">
        <is>
          <t>THBKK</t>
        </is>
      </c>
      <c r="I164" s="96" t="inlineStr">
        <is>
          <t>KRPTK</t>
        </is>
      </c>
      <c r="J164" s="96" t="inlineStr">
        <is>
          <t>KRPTK</t>
        </is>
      </c>
      <c r="K164" s="96" t="inlineStr">
        <is>
          <t>F</t>
        </is>
      </c>
      <c r="L164" s="96" t="inlineStr">
        <is>
          <t>ONE</t>
        </is>
      </c>
      <c r="M164" s="96" t="inlineStr">
        <is>
          <t>VFL</t>
        </is>
      </c>
      <c r="N164" s="96" t="inlineStr">
        <is>
          <t>BKK04</t>
        </is>
      </c>
      <c r="O164" s="96" t="inlineStr">
        <is>
          <t>BKK</t>
        </is>
      </c>
      <c r="P164" s="96" t="inlineStr">
        <is>
          <t>TH</t>
        </is>
      </c>
      <c r="Q164" s="96" t="inlineStr">
        <is>
          <t>HASLS22260801914</t>
        </is>
      </c>
      <c r="R164" s="96" t="inlineStr">
        <is>
          <t>N</t>
        </is>
      </c>
      <c r="S164" s="96" t="inlineStr">
        <is>
          <t>N</t>
        </is>
      </c>
      <c r="T164" s="96" t="inlineStr">
        <is>
          <t>BTS</t>
        </is>
      </c>
      <c r="U164" s="97" t="n"/>
      <c r="V164" s="96" t="inlineStr">
        <is>
          <t>K0120021</t>
        </is>
      </c>
      <c r="W164" s="96" t="inlineStr">
        <is>
          <t>THAI VEGETABLE OIL PUBLIC COMPANY</t>
        </is>
      </c>
      <c r="X164" s="96" t="inlineStr">
        <is>
          <t>VFD</t>
        </is>
      </c>
      <c r="Y164" s="96" t="inlineStr">
        <is>
          <t>TO THE ORDER OF KOOKMIN BANK</t>
        </is>
      </c>
      <c r="Z164" s="96" t="inlineStr">
        <is>
          <t>CJ CHEILJEDANG CORPORATION</t>
        </is>
      </c>
      <c r="AA164" s="97" t="n">
        <v>21100</v>
      </c>
      <c r="AB164" s="96" t="inlineStr">
        <is>
          <t>BKK04</t>
        </is>
      </c>
      <c r="AC164" s="96" t="inlineStr">
        <is>
          <t>PTK02</t>
        </is>
      </c>
    </row>
    <row r="165" ht="12" customHeight="1">
      <c r="A165" s="96" t="inlineStr">
        <is>
          <t>SKLU2308503</t>
        </is>
      </c>
      <c r="B165" s="161" t="inlineStr">
        <is>
          <t>2026-10-08</t>
        </is>
      </c>
      <c r="C165" s="96" t="inlineStr">
        <is>
          <t>SWSP</t>
        </is>
      </c>
      <c r="D165" s="96" t="inlineStr">
        <is>
          <t>2609N</t>
        </is>
      </c>
      <c r="E165" s="96" t="inlineStr">
        <is>
          <t>22GP</t>
        </is>
      </c>
      <c r="F165" s="96" t="inlineStr">
        <is>
          <t>SD</t>
        </is>
      </c>
      <c r="G165" s="96" t="inlineStr">
        <is>
          <t>THBKK</t>
        </is>
      </c>
      <c r="H165" s="96" t="inlineStr">
        <is>
          <t>THBKK</t>
        </is>
      </c>
      <c r="I165" s="96" t="inlineStr">
        <is>
          <t>KRPUS</t>
        </is>
      </c>
      <c r="J165" s="96" t="inlineStr">
        <is>
          <t>JPSEN</t>
        </is>
      </c>
      <c r="K165" s="96" t="inlineStr">
        <is>
          <t>F</t>
        </is>
      </c>
      <c r="L165" s="96" t="inlineStr">
        <is>
          <t>ONE</t>
        </is>
      </c>
      <c r="M165" s="96" t="inlineStr">
        <is>
          <t>VFL</t>
        </is>
      </c>
      <c r="N165" s="96" t="inlineStr">
        <is>
          <t>BKK04</t>
        </is>
      </c>
      <c r="O165" s="96" t="inlineStr">
        <is>
          <t>BKK</t>
        </is>
      </c>
      <c r="P165" s="96" t="inlineStr">
        <is>
          <t>TH</t>
        </is>
      </c>
      <c r="Q165" s="96" t="inlineStr">
        <is>
          <t>HASLS22260900196</t>
        </is>
      </c>
      <c r="R165" s="96" t="inlineStr">
        <is>
          <t>Y</t>
        </is>
      </c>
      <c r="S165" s="96" t="inlineStr">
        <is>
          <t>N</t>
        </is>
      </c>
      <c r="T165" s="96" t="inlineStr">
        <is>
          <t>BTS</t>
        </is>
      </c>
      <c r="U165" s="97" t="n"/>
      <c r="V165" s="96" t="inlineStr">
        <is>
          <t>K0120021</t>
        </is>
      </c>
      <c r="W165" s="96" t="inlineStr">
        <is>
          <t>SANGUAN WONGSE STARCH CO., LTD.</t>
        </is>
      </c>
      <c r="X165" s="96" t="inlineStr">
        <is>
          <t>VFD</t>
        </is>
      </c>
      <c r="Y165" s="96" t="inlineStr">
        <is>
          <t>SANSHO CO., LTD.</t>
        </is>
      </c>
      <c r="Z165" s="96" t="inlineStr">
        <is>
          <t>SANSHO CO., LTD.</t>
        </is>
      </c>
      <c r="AA165" s="97" t="n">
        <v>17190</v>
      </c>
      <c r="AB165" s="96" t="inlineStr">
        <is>
          <t>BKK04</t>
        </is>
      </c>
      <c r="AC165" s="96" t="inlineStr">
        <is>
          <t>SEN01</t>
        </is>
      </c>
    </row>
    <row r="166" ht="12" customHeight="1">
      <c r="A166" s="96" t="inlineStr">
        <is>
          <t>SKLU2328449</t>
        </is>
      </c>
      <c r="B166" s="161" t="inlineStr">
        <is>
          <t>2026-10-08</t>
        </is>
      </c>
      <c r="C166" s="96" t="inlineStr">
        <is>
          <t>SWSP</t>
        </is>
      </c>
      <c r="D166" s="96" t="inlineStr">
        <is>
          <t>2609N</t>
        </is>
      </c>
      <c r="E166" s="96" t="inlineStr">
        <is>
          <t>22GP</t>
        </is>
      </c>
      <c r="F166" s="96" t="inlineStr">
        <is>
          <t>SD</t>
        </is>
      </c>
      <c r="G166" s="96" t="inlineStr">
        <is>
          <t>THBKK</t>
        </is>
      </c>
      <c r="H166" s="96" t="inlineStr">
        <is>
          <t>THBKK</t>
        </is>
      </c>
      <c r="I166" s="96" t="inlineStr">
        <is>
          <t>VNSGN</t>
        </is>
      </c>
      <c r="J166" s="96" t="inlineStr">
        <is>
          <t>VNSGN</t>
        </is>
      </c>
      <c r="K166" s="96" t="inlineStr">
        <is>
          <t>F</t>
        </is>
      </c>
      <c r="L166" s="96" t="inlineStr">
        <is>
          <t>ONE</t>
        </is>
      </c>
      <c r="M166" s="96" t="inlineStr">
        <is>
          <t>VFL</t>
        </is>
      </c>
      <c r="N166" s="96" t="inlineStr">
        <is>
          <t>BKK04</t>
        </is>
      </c>
      <c r="O166" s="96" t="inlineStr">
        <is>
          <t>BKK</t>
        </is>
      </c>
      <c r="P166" s="96" t="inlineStr">
        <is>
          <t>TH</t>
        </is>
      </c>
      <c r="Q166" s="96" t="inlineStr">
        <is>
          <t>HASLS22260901178</t>
        </is>
      </c>
      <c r="R166" s="96" t="inlineStr">
        <is>
          <t>N</t>
        </is>
      </c>
      <c r="S166" s="96" t="inlineStr">
        <is>
          <t>N</t>
        </is>
      </c>
      <c r="T166" s="96" t="inlineStr">
        <is>
          <t>BTS</t>
        </is>
      </c>
      <c r="U166" s="97" t="n"/>
      <c r="V166" s="96" t="inlineStr">
        <is>
          <t>K0120021</t>
        </is>
      </c>
      <c r="W166" s="96" t="inlineStr">
        <is>
          <t>WICE LOGISTICS PUBLIC COMPANY</t>
        </is>
      </c>
      <c r="X166" s="96" t="inlineStr">
        <is>
          <t>VFD</t>
        </is>
      </c>
      <c r="Y166" s="96" t="inlineStr">
        <is>
          <t>M&amp;P INTERNATIONAL CO., LTD.</t>
        </is>
      </c>
      <c r="Z166" s="96" t="inlineStr">
        <is>
          <t>M&amp;P INTERNATIONAL CO., LTD.</t>
        </is>
      </c>
      <c r="AA166" s="97" t="n">
        <v>19550</v>
      </c>
      <c r="AB166" s="96" t="inlineStr">
        <is>
          <t>BKK04</t>
        </is>
      </c>
      <c r="AC166" s="96" t="inlineStr">
        <is>
          <t>SGN03</t>
        </is>
      </c>
    </row>
    <row r="167" ht="12" customHeight="1">
      <c r="A167" s="96" t="inlineStr">
        <is>
          <t>SKLU2331144</t>
        </is>
      </c>
      <c r="B167" s="161" t="inlineStr">
        <is>
          <t>2026-10-08</t>
        </is>
      </c>
      <c r="C167" s="96" t="inlineStr">
        <is>
          <t>SWSP</t>
        </is>
      </c>
      <c r="D167" s="96" t="inlineStr">
        <is>
          <t>2609N</t>
        </is>
      </c>
      <c r="E167" s="96" t="inlineStr">
        <is>
          <t>22GP</t>
        </is>
      </c>
      <c r="F167" s="96" t="inlineStr">
        <is>
          <t>SD</t>
        </is>
      </c>
      <c r="G167" s="96" t="inlineStr">
        <is>
          <t>THBKK</t>
        </is>
      </c>
      <c r="H167" s="96" t="inlineStr">
        <is>
          <t>THBKK</t>
        </is>
      </c>
      <c r="I167" s="96" t="inlineStr">
        <is>
          <t>KRPUS</t>
        </is>
      </c>
      <c r="J167" s="96" t="inlineStr">
        <is>
          <t>JPMIZ</t>
        </is>
      </c>
      <c r="K167" s="96" t="inlineStr">
        <is>
          <t>F</t>
        </is>
      </c>
      <c r="L167" s="96" t="inlineStr">
        <is>
          <t>ONE</t>
        </is>
      </c>
      <c r="M167" s="96" t="inlineStr">
        <is>
          <t>VFL</t>
        </is>
      </c>
      <c r="N167" s="96" t="inlineStr">
        <is>
          <t>BKK04</t>
        </is>
      </c>
      <c r="O167" s="96" t="inlineStr">
        <is>
          <t>BKK</t>
        </is>
      </c>
      <c r="P167" s="96" t="inlineStr">
        <is>
          <t>TH</t>
        </is>
      </c>
      <c r="Q167" s="96" t="inlineStr">
        <is>
          <t>HASLS22260901245</t>
        </is>
      </c>
      <c r="R167" s="96" t="inlineStr">
        <is>
          <t>Y</t>
        </is>
      </c>
      <c r="S167" s="96" t="inlineStr">
        <is>
          <t>N</t>
        </is>
      </c>
      <c r="T167" s="96" t="inlineStr">
        <is>
          <t>BTS</t>
        </is>
      </c>
      <c r="U167" s="97" t="n"/>
      <c r="V167" s="96" t="inlineStr">
        <is>
          <t>K0120021</t>
        </is>
      </c>
      <c r="W167" s="96" t="inlineStr">
        <is>
          <t>BANGKOK COLD STORAGE SERVICE, LTD.</t>
        </is>
      </c>
      <c r="X167" s="96" t="inlineStr">
        <is>
          <t>VFD</t>
        </is>
      </c>
      <c r="Y167" s="96" t="inlineStr">
        <is>
          <t>HARVEST WORLD EXPRESS</t>
        </is>
      </c>
      <c r="Z167" s="96" t="inlineStr">
        <is>
          <t>HARVEST WORLD EXPRESS</t>
        </is>
      </c>
      <c r="AA167" s="97" t="n">
        <v>20400</v>
      </c>
      <c r="AB167" s="96" t="inlineStr">
        <is>
          <t>BKK04</t>
        </is>
      </c>
      <c r="AC167" s="96" t="inlineStr">
        <is>
          <t>MIZ01</t>
        </is>
      </c>
    </row>
    <row r="168" ht="12" customHeight="1">
      <c r="A168" s="96" t="inlineStr">
        <is>
          <t>SKLU2336742</t>
        </is>
      </c>
      <c r="B168" s="161" t="inlineStr">
        <is>
          <t>2026-10-08</t>
        </is>
      </c>
      <c r="C168" s="96" t="inlineStr">
        <is>
          <t>SWSP</t>
        </is>
      </c>
      <c r="D168" s="96" t="inlineStr">
        <is>
          <t>2609N</t>
        </is>
      </c>
      <c r="E168" s="96" t="inlineStr">
        <is>
          <t>22GP</t>
        </is>
      </c>
      <c r="F168" s="96" t="inlineStr">
        <is>
          <t>SD</t>
        </is>
      </c>
      <c r="G168" s="96" t="inlineStr">
        <is>
          <t>THBKK</t>
        </is>
      </c>
      <c r="H168" s="96" t="inlineStr">
        <is>
          <t>THBKK</t>
        </is>
      </c>
      <c r="I168" s="96" t="inlineStr">
        <is>
          <t>VNSGN</t>
        </is>
      </c>
      <c r="J168" s="96" t="inlineStr">
        <is>
          <t>VNSGN</t>
        </is>
      </c>
      <c r="K168" s="96" t="inlineStr">
        <is>
          <t>F</t>
        </is>
      </c>
      <c r="L168" s="96" t="inlineStr">
        <is>
          <t>ONE</t>
        </is>
      </c>
      <c r="M168" s="96" t="inlineStr">
        <is>
          <t>VFL</t>
        </is>
      </c>
      <c r="N168" s="96" t="inlineStr">
        <is>
          <t>BKK04</t>
        </is>
      </c>
      <c r="O168" s="96" t="inlineStr">
        <is>
          <t>BKK</t>
        </is>
      </c>
      <c r="P168" s="96" t="inlineStr">
        <is>
          <t>TH</t>
        </is>
      </c>
      <c r="Q168" s="96" t="inlineStr">
        <is>
          <t>HASLS22260900374</t>
        </is>
      </c>
      <c r="R168" s="96" t="inlineStr">
        <is>
          <t>N</t>
        </is>
      </c>
      <c r="S168" s="96" t="inlineStr">
        <is>
          <t>N</t>
        </is>
      </c>
      <c r="T168" s="96" t="inlineStr">
        <is>
          <t>BTS</t>
        </is>
      </c>
      <c r="U168" s="97" t="n"/>
      <c r="V168" s="96" t="inlineStr">
        <is>
          <t>K0120021</t>
        </is>
      </c>
      <c r="W168" s="96" t="inlineStr">
        <is>
          <t>SCG (THAILAND) CO., LTD.</t>
        </is>
      </c>
      <c r="X168" s="96" t="inlineStr">
        <is>
          <t>VFD</t>
        </is>
      </c>
      <c r="Y168" s="96" t="inlineStr">
        <is>
          <t>SOUTHERN GAS TRADING JOINT STOCK CO</t>
        </is>
      </c>
      <c r="Z168" s="96" t="inlineStr">
        <is>
          <t>SOUTHERN GAS TRADING JOINT STOCK CO</t>
        </is>
      </c>
      <c r="AA168" s="97" t="n">
        <v>18782</v>
      </c>
      <c r="AB168" s="96" t="inlineStr">
        <is>
          <t>BKK04</t>
        </is>
      </c>
      <c r="AC168" s="96" t="inlineStr">
        <is>
          <t>SGN03</t>
        </is>
      </c>
    </row>
    <row r="169" ht="12" customHeight="1">
      <c r="A169" s="96" t="inlineStr">
        <is>
          <t>SKLU2346397</t>
        </is>
      </c>
      <c r="B169" s="161" t="inlineStr">
        <is>
          <t>2026-10-08</t>
        </is>
      </c>
      <c r="C169" s="96" t="inlineStr">
        <is>
          <t>SWSP</t>
        </is>
      </c>
      <c r="D169" s="96" t="inlineStr">
        <is>
          <t>2609N</t>
        </is>
      </c>
      <c r="E169" s="96" t="inlineStr">
        <is>
          <t>22GP</t>
        </is>
      </c>
      <c r="F169" s="96" t="inlineStr">
        <is>
          <t>SD</t>
        </is>
      </c>
      <c r="G169" s="96" t="inlineStr">
        <is>
          <t>THBKK</t>
        </is>
      </c>
      <c r="H169" s="96" t="inlineStr">
        <is>
          <t>THBKK</t>
        </is>
      </c>
      <c r="I169" s="96" t="inlineStr">
        <is>
          <t>KRPTK</t>
        </is>
      </c>
      <c r="J169" s="96" t="inlineStr">
        <is>
          <t>KRPTK</t>
        </is>
      </c>
      <c r="K169" s="96" t="inlineStr">
        <is>
          <t>F</t>
        </is>
      </c>
      <c r="L169" s="96" t="inlineStr">
        <is>
          <t>ONE</t>
        </is>
      </c>
      <c r="M169" s="96" t="inlineStr">
        <is>
          <t>VFL</t>
        </is>
      </c>
      <c r="N169" s="96" t="inlineStr">
        <is>
          <t>BKK04</t>
        </is>
      </c>
      <c r="O169" s="96" t="inlineStr">
        <is>
          <t>BKK</t>
        </is>
      </c>
      <c r="P169" s="96" t="inlineStr">
        <is>
          <t>TH</t>
        </is>
      </c>
      <c r="Q169" s="96" t="inlineStr">
        <is>
          <t>HASLS22260801914</t>
        </is>
      </c>
      <c r="R169" s="96" t="inlineStr">
        <is>
          <t>N</t>
        </is>
      </c>
      <c r="S169" s="96" t="inlineStr">
        <is>
          <t>N</t>
        </is>
      </c>
      <c r="T169" s="96" t="inlineStr">
        <is>
          <t>BTS</t>
        </is>
      </c>
      <c r="U169" s="97" t="n"/>
      <c r="V169" s="96" t="inlineStr">
        <is>
          <t>K0120021</t>
        </is>
      </c>
      <c r="W169" s="96" t="inlineStr">
        <is>
          <t>THAI VEGETABLE OIL PUBLIC COMPANY</t>
        </is>
      </c>
      <c r="X169" s="96" t="inlineStr">
        <is>
          <t>VFD</t>
        </is>
      </c>
      <c r="Y169" s="96" t="inlineStr">
        <is>
          <t>TO THE ORDER OF KOOKMIN BANK</t>
        </is>
      </c>
      <c r="Z169" s="96" t="inlineStr">
        <is>
          <t>CJ CHEILJEDANG CORPORATION</t>
        </is>
      </c>
      <c r="AA169" s="97" t="n">
        <v>21100</v>
      </c>
      <c r="AB169" s="96" t="inlineStr">
        <is>
          <t>BKK04</t>
        </is>
      </c>
      <c r="AC169" s="96" t="inlineStr">
        <is>
          <t>PTK02</t>
        </is>
      </c>
    </row>
    <row r="170" ht="12" customHeight="1">
      <c r="A170" s="96" t="inlineStr">
        <is>
          <t>SKLU2348152</t>
        </is>
      </c>
      <c r="B170" s="161" t="inlineStr">
        <is>
          <t>2026-10-08</t>
        </is>
      </c>
      <c r="C170" s="96" t="inlineStr">
        <is>
          <t>SWSP</t>
        </is>
      </c>
      <c r="D170" s="96" t="inlineStr">
        <is>
          <t>2609N</t>
        </is>
      </c>
      <c r="E170" s="96" t="inlineStr">
        <is>
          <t>22GP</t>
        </is>
      </c>
      <c r="F170" s="96" t="inlineStr">
        <is>
          <t>SD</t>
        </is>
      </c>
      <c r="G170" s="96" t="inlineStr">
        <is>
          <t>THBKK</t>
        </is>
      </c>
      <c r="H170" s="96" t="inlineStr">
        <is>
          <t>THBKK</t>
        </is>
      </c>
      <c r="I170" s="96" t="inlineStr">
        <is>
          <t>KRPUS</t>
        </is>
      </c>
      <c r="J170" s="96" t="inlineStr">
        <is>
          <t>JPMIZ</t>
        </is>
      </c>
      <c r="K170" s="96" t="inlineStr">
        <is>
          <t>F</t>
        </is>
      </c>
      <c r="L170" s="96" t="inlineStr">
        <is>
          <t>ONE</t>
        </is>
      </c>
      <c r="M170" s="96" t="inlineStr">
        <is>
          <t>VFL</t>
        </is>
      </c>
      <c r="N170" s="96" t="inlineStr">
        <is>
          <t>BKK04</t>
        </is>
      </c>
      <c r="O170" s="96" t="inlineStr">
        <is>
          <t>BKK</t>
        </is>
      </c>
      <c r="P170" s="96" t="inlineStr">
        <is>
          <t>TH</t>
        </is>
      </c>
      <c r="Q170" s="96" t="inlineStr">
        <is>
          <t>HASLS22260901245</t>
        </is>
      </c>
      <c r="R170" s="96" t="inlineStr">
        <is>
          <t>Y</t>
        </is>
      </c>
      <c r="S170" s="96" t="inlineStr">
        <is>
          <t>N</t>
        </is>
      </c>
      <c r="T170" s="96" t="inlineStr">
        <is>
          <t>BTS</t>
        </is>
      </c>
      <c r="U170" s="97" t="n"/>
      <c r="V170" s="96" t="inlineStr">
        <is>
          <t>K0120021</t>
        </is>
      </c>
      <c r="W170" s="96" t="inlineStr">
        <is>
          <t>BANGKOK COLD STORAGE SERVICE, LTD.</t>
        </is>
      </c>
      <c r="X170" s="96" t="inlineStr">
        <is>
          <t>VFD</t>
        </is>
      </c>
      <c r="Y170" s="96" t="inlineStr">
        <is>
          <t>HARVEST WORLD EXPRESS</t>
        </is>
      </c>
      <c r="Z170" s="96" t="inlineStr">
        <is>
          <t>HARVEST WORLD EXPRESS</t>
        </is>
      </c>
      <c r="AA170" s="97" t="n">
        <v>20400</v>
      </c>
      <c r="AB170" s="96" t="inlineStr">
        <is>
          <t>BKK04</t>
        </is>
      </c>
      <c r="AC170" s="96" t="inlineStr">
        <is>
          <t>MIZ01</t>
        </is>
      </c>
    </row>
    <row r="171" ht="12" customHeight="1">
      <c r="A171" s="96" t="inlineStr">
        <is>
          <t>SKLU2349483</t>
        </is>
      </c>
      <c r="B171" s="161" t="inlineStr">
        <is>
          <t>2026-10-08</t>
        </is>
      </c>
      <c r="C171" s="96" t="inlineStr">
        <is>
          <t>SWSP</t>
        </is>
      </c>
      <c r="D171" s="96" t="inlineStr">
        <is>
          <t>2609N</t>
        </is>
      </c>
      <c r="E171" s="96" t="inlineStr">
        <is>
          <t>22GP</t>
        </is>
      </c>
      <c r="F171" s="96" t="inlineStr">
        <is>
          <t>SD</t>
        </is>
      </c>
      <c r="G171" s="96" t="inlineStr">
        <is>
          <t>THBKK</t>
        </is>
      </c>
      <c r="H171" s="96" t="inlineStr">
        <is>
          <t>THBKK</t>
        </is>
      </c>
      <c r="I171" s="96" t="inlineStr">
        <is>
          <t>VNSGN</t>
        </is>
      </c>
      <c r="J171" s="96" t="inlineStr">
        <is>
          <t>VNSGN</t>
        </is>
      </c>
      <c r="K171" s="96" t="inlineStr">
        <is>
          <t>F</t>
        </is>
      </c>
      <c r="L171" s="96" t="inlineStr">
        <is>
          <t>ONE</t>
        </is>
      </c>
      <c r="M171" s="96" t="inlineStr">
        <is>
          <t>VFL</t>
        </is>
      </c>
      <c r="N171" s="96" t="inlineStr">
        <is>
          <t>BKK04</t>
        </is>
      </c>
      <c r="O171" s="96" t="inlineStr">
        <is>
          <t>BKK</t>
        </is>
      </c>
      <c r="P171" s="96" t="inlineStr">
        <is>
          <t>TH</t>
        </is>
      </c>
      <c r="Q171" s="96" t="inlineStr">
        <is>
          <t>HASLS22260900875</t>
        </is>
      </c>
      <c r="R171" s="96" t="inlineStr">
        <is>
          <t>N</t>
        </is>
      </c>
      <c r="S171" s="96" t="inlineStr">
        <is>
          <t>N</t>
        </is>
      </c>
      <c r="T171" s="96" t="inlineStr">
        <is>
          <t>BTS</t>
        </is>
      </c>
      <c r="U171" s="97" t="n"/>
      <c r="V171" s="96" t="inlineStr">
        <is>
          <t>K0120021</t>
        </is>
      </c>
      <c r="W171" s="96" t="inlineStr">
        <is>
          <t>PACIFIC STAR ALLIANCE CO.,LTD.</t>
        </is>
      </c>
      <c r="X171" s="96" t="inlineStr">
        <is>
          <t>VFD</t>
        </is>
      </c>
      <c r="Y171" s="96" t="inlineStr">
        <is>
          <t>KC INTERNATIONAL (VIETNAM) LTD</t>
        </is>
      </c>
      <c r="Z171" s="96" t="inlineStr">
        <is>
          <t>KC INTERNATIONAL (VIETNAM) LTD</t>
        </is>
      </c>
      <c r="AA171" s="97" t="n">
        <v>21840</v>
      </c>
      <c r="AB171" s="96" t="inlineStr">
        <is>
          <t>BKK04</t>
        </is>
      </c>
      <c r="AC171" s="96" t="inlineStr">
        <is>
          <t>SGN03</t>
        </is>
      </c>
    </row>
    <row r="172" ht="12" customHeight="1">
      <c r="A172" s="96" t="inlineStr">
        <is>
          <t>SKLU2361175</t>
        </is>
      </c>
      <c r="B172" s="161" t="inlineStr">
        <is>
          <t>2026-10-08</t>
        </is>
      </c>
      <c r="C172" s="96" t="inlineStr">
        <is>
          <t>SWSP</t>
        </is>
      </c>
      <c r="D172" s="96" t="inlineStr">
        <is>
          <t>2609N</t>
        </is>
      </c>
      <c r="E172" s="96" t="inlineStr">
        <is>
          <t>22GP</t>
        </is>
      </c>
      <c r="F172" s="96" t="inlineStr">
        <is>
          <t>SD</t>
        </is>
      </c>
      <c r="G172" s="96" t="inlineStr">
        <is>
          <t>THBKK</t>
        </is>
      </c>
      <c r="H172" s="96" t="inlineStr">
        <is>
          <t>THBKK</t>
        </is>
      </c>
      <c r="I172" s="96" t="inlineStr">
        <is>
          <t>KRPUS</t>
        </is>
      </c>
      <c r="J172" s="96" t="inlineStr">
        <is>
          <t>JPSBS</t>
        </is>
      </c>
      <c r="K172" s="96" t="inlineStr">
        <is>
          <t>F</t>
        </is>
      </c>
      <c r="L172" s="96" t="inlineStr">
        <is>
          <t>ONE</t>
        </is>
      </c>
      <c r="M172" s="96" t="inlineStr">
        <is>
          <t>VFL</t>
        </is>
      </c>
      <c r="N172" s="96" t="inlineStr">
        <is>
          <t>BKK04</t>
        </is>
      </c>
      <c r="O172" s="96" t="inlineStr">
        <is>
          <t>BKK</t>
        </is>
      </c>
      <c r="P172" s="96" t="inlineStr">
        <is>
          <t>TH</t>
        </is>
      </c>
      <c r="Q172" s="96" t="inlineStr">
        <is>
          <t>HASLS22260901396</t>
        </is>
      </c>
      <c r="R172" s="96" t="inlineStr">
        <is>
          <t>Y</t>
        </is>
      </c>
      <c r="S172" s="96" t="inlineStr">
        <is>
          <t>N</t>
        </is>
      </c>
      <c r="T172" s="96" t="inlineStr">
        <is>
          <t>BTS</t>
        </is>
      </c>
      <c r="U172" s="97" t="n"/>
      <c r="V172" s="96" t="inlineStr">
        <is>
          <t>K0120021</t>
        </is>
      </c>
      <c r="W172" s="96" t="inlineStr">
        <is>
          <t>TASCO INTERNATIONAL CO., LTD.</t>
        </is>
      </c>
      <c r="X172" s="96" t="inlineStr">
        <is>
          <t>VFD</t>
        </is>
      </c>
      <c r="Y172" s="96" t="inlineStr">
        <is>
          <t>TO ORDER OF SHIPPER</t>
        </is>
      </c>
      <c r="Z172" s="96" t="inlineStr">
        <is>
          <t>KANEMATSU CORPORATION</t>
        </is>
      </c>
      <c r="AA172" s="97" t="n">
        <v>20040</v>
      </c>
      <c r="AB172" s="96" t="inlineStr">
        <is>
          <t>BKK04</t>
        </is>
      </c>
      <c r="AC172" s="96" t="inlineStr">
        <is>
          <t>SBS01</t>
        </is>
      </c>
    </row>
    <row r="173" ht="12" customHeight="1">
      <c r="A173" s="96" t="inlineStr">
        <is>
          <t>SKLU2425686</t>
        </is>
      </c>
      <c r="B173" s="161" t="inlineStr">
        <is>
          <t>2026-10-08</t>
        </is>
      </c>
      <c r="C173" s="96" t="inlineStr">
        <is>
          <t>SWSP</t>
        </is>
      </c>
      <c r="D173" s="96" t="inlineStr">
        <is>
          <t>2609N</t>
        </is>
      </c>
      <c r="E173" s="96" t="inlineStr">
        <is>
          <t>22GP</t>
        </is>
      </c>
      <c r="F173" s="96" t="inlineStr">
        <is>
          <t>SD</t>
        </is>
      </c>
      <c r="G173" s="96" t="inlineStr">
        <is>
          <t>THBKK</t>
        </is>
      </c>
      <c r="H173" s="96" t="inlineStr">
        <is>
          <t>THBKK</t>
        </is>
      </c>
      <c r="I173" s="96" t="inlineStr">
        <is>
          <t>VNSGN</t>
        </is>
      </c>
      <c r="J173" s="96" t="inlineStr">
        <is>
          <t>VNSGN</t>
        </is>
      </c>
      <c r="K173" s="96" t="inlineStr">
        <is>
          <t>F</t>
        </is>
      </c>
      <c r="L173" s="96" t="inlineStr">
        <is>
          <t>ONE</t>
        </is>
      </c>
      <c r="M173" s="96" t="inlineStr">
        <is>
          <t>VFL</t>
        </is>
      </c>
      <c r="N173" s="96" t="inlineStr">
        <is>
          <t>BKK04</t>
        </is>
      </c>
      <c r="O173" s="96" t="inlineStr">
        <is>
          <t>BKK</t>
        </is>
      </c>
      <c r="P173" s="96" t="inlineStr">
        <is>
          <t>TH</t>
        </is>
      </c>
      <c r="Q173" s="96" t="inlineStr">
        <is>
          <t>HASLS22260901178</t>
        </is>
      </c>
      <c r="R173" s="96" t="inlineStr">
        <is>
          <t>N</t>
        </is>
      </c>
      <c r="S173" s="96" t="inlineStr">
        <is>
          <t>N</t>
        </is>
      </c>
      <c r="T173" s="96" t="inlineStr">
        <is>
          <t>BTS</t>
        </is>
      </c>
      <c r="U173" s="97" t="n"/>
      <c r="V173" s="96" t="inlineStr">
        <is>
          <t>K0120021</t>
        </is>
      </c>
      <c r="W173" s="96" t="inlineStr">
        <is>
          <t>WICE LOGISTICS PUBLIC COMPANY</t>
        </is>
      </c>
      <c r="X173" s="96" t="inlineStr">
        <is>
          <t>VFD</t>
        </is>
      </c>
      <c r="Y173" s="96" t="inlineStr">
        <is>
          <t>M&amp;P INTERNATIONAL CO., LTD.</t>
        </is>
      </c>
      <c r="Z173" s="96" t="inlineStr">
        <is>
          <t>M&amp;P INTERNATIONAL CO., LTD.</t>
        </is>
      </c>
      <c r="AA173" s="97" t="n">
        <v>19550</v>
      </c>
      <c r="AB173" s="96" t="inlineStr">
        <is>
          <t>BKK04</t>
        </is>
      </c>
      <c r="AC173" s="96" t="inlineStr">
        <is>
          <t>SGN03</t>
        </is>
      </c>
    </row>
    <row r="174" ht="12" customHeight="1">
      <c r="A174" s="96" t="inlineStr">
        <is>
          <t>SKLU2429742</t>
        </is>
      </c>
      <c r="B174" s="161" t="inlineStr">
        <is>
          <t>2026-10-08</t>
        </is>
      </c>
      <c r="C174" s="96" t="inlineStr">
        <is>
          <t>SWSP</t>
        </is>
      </c>
      <c r="D174" s="96" t="inlineStr">
        <is>
          <t>2609N</t>
        </is>
      </c>
      <c r="E174" s="96" t="inlineStr">
        <is>
          <t>22GP</t>
        </is>
      </c>
      <c r="F174" s="96" t="inlineStr">
        <is>
          <t>SD</t>
        </is>
      </c>
      <c r="G174" s="96" t="inlineStr">
        <is>
          <t>THBKK</t>
        </is>
      </c>
      <c r="H174" s="96" t="inlineStr">
        <is>
          <t>THBKK</t>
        </is>
      </c>
      <c r="I174" s="96" t="inlineStr">
        <is>
          <t>KRPUS</t>
        </is>
      </c>
      <c r="J174" s="96" t="inlineStr">
        <is>
          <t>JPHHE</t>
        </is>
      </c>
      <c r="K174" s="96" t="inlineStr">
        <is>
          <t>F</t>
        </is>
      </c>
      <c r="L174" s="96" t="inlineStr">
        <is>
          <t>ONE</t>
        </is>
      </c>
      <c r="M174" s="96" t="inlineStr">
        <is>
          <t>VFL</t>
        </is>
      </c>
      <c r="N174" s="96" t="inlineStr">
        <is>
          <t>BKK04</t>
        </is>
      </c>
      <c r="O174" s="96" t="inlineStr">
        <is>
          <t>BKK</t>
        </is>
      </c>
      <c r="P174" s="96" t="inlineStr">
        <is>
          <t>TH</t>
        </is>
      </c>
      <c r="Q174" s="96" t="inlineStr">
        <is>
          <t>HASLS22260900941</t>
        </is>
      </c>
      <c r="R174" s="96" t="inlineStr">
        <is>
          <t>Y</t>
        </is>
      </c>
      <c r="S174" s="96" t="inlineStr">
        <is>
          <t>N</t>
        </is>
      </c>
      <c r="T174" s="96" t="inlineStr">
        <is>
          <t>BTS</t>
        </is>
      </c>
      <c r="U174" s="97" t="n"/>
      <c r="V174" s="96" t="inlineStr">
        <is>
          <t>K0120021</t>
        </is>
      </c>
      <c r="W174" s="96" t="inlineStr">
        <is>
          <t>THAI FLOUR INDUSTRY CO.,LTD.</t>
        </is>
      </c>
      <c r="X174" s="96" t="inlineStr">
        <is>
          <t>VFD</t>
        </is>
      </c>
      <c r="Y174" s="96" t="inlineStr">
        <is>
          <t>THAIMEI CO.,LTD.</t>
        </is>
      </c>
      <c r="Z174" s="96" t="inlineStr">
        <is>
          <t>THAIMEI CO.,LTD.</t>
        </is>
      </c>
      <c r="AA174" s="97" t="n">
        <v>20400</v>
      </c>
      <c r="AB174" s="96" t="inlineStr">
        <is>
          <t>BKK04</t>
        </is>
      </c>
      <c r="AC174" s="96" t="inlineStr">
        <is>
          <t>HHE01</t>
        </is>
      </c>
    </row>
    <row r="175" ht="12" customHeight="1">
      <c r="A175" s="96" t="inlineStr">
        <is>
          <t>SKLU2487029</t>
        </is>
      </c>
      <c r="B175" s="161" t="inlineStr">
        <is>
          <t>2026-10-08</t>
        </is>
      </c>
      <c r="C175" s="96" t="inlineStr">
        <is>
          <t>SWSP</t>
        </is>
      </c>
      <c r="D175" s="96" t="inlineStr">
        <is>
          <t>2609N</t>
        </is>
      </c>
      <c r="E175" s="96" t="inlineStr">
        <is>
          <t>22GP</t>
        </is>
      </c>
      <c r="F175" s="96" t="inlineStr">
        <is>
          <t>SD</t>
        </is>
      </c>
      <c r="G175" s="96" t="inlineStr">
        <is>
          <t>THBKK</t>
        </is>
      </c>
      <c r="H175" s="96" t="inlineStr">
        <is>
          <t>THBKK</t>
        </is>
      </c>
      <c r="I175" s="96" t="inlineStr">
        <is>
          <t>VNSGN</t>
        </is>
      </c>
      <c r="J175" s="96" t="inlineStr">
        <is>
          <t>VNSGN</t>
        </is>
      </c>
      <c r="K175" s="96" t="inlineStr">
        <is>
          <t>F</t>
        </is>
      </c>
      <c r="L175" s="96" t="inlineStr">
        <is>
          <t>ONE</t>
        </is>
      </c>
      <c r="M175" s="96" t="inlineStr">
        <is>
          <t>VFL</t>
        </is>
      </c>
      <c r="N175" s="96" t="inlineStr">
        <is>
          <t>BKK04</t>
        </is>
      </c>
      <c r="O175" s="96" t="inlineStr">
        <is>
          <t>BKK</t>
        </is>
      </c>
      <c r="P175" s="96" t="inlineStr">
        <is>
          <t>TH</t>
        </is>
      </c>
      <c r="Q175" s="96" t="inlineStr">
        <is>
          <t>HASLS22260800838</t>
        </is>
      </c>
      <c r="R175" s="96" t="inlineStr">
        <is>
          <t>N</t>
        </is>
      </c>
      <c r="S175" s="96" t="inlineStr">
        <is>
          <t>N</t>
        </is>
      </c>
      <c r="T175" s="96" t="inlineStr">
        <is>
          <t>BTS</t>
        </is>
      </c>
      <c r="U175" s="97" t="n"/>
      <c r="V175" s="96" t="inlineStr">
        <is>
          <t>K0120021</t>
        </is>
      </c>
      <c r="W175" s="96" t="inlineStr">
        <is>
          <t>SCG INTERNATIONAL CORPORATION CO.,</t>
        </is>
      </c>
      <c r="X175" s="96" t="inlineStr">
        <is>
          <t>VFD</t>
        </is>
      </c>
      <c r="Y175" s="96" t="inlineStr">
        <is>
          <t>BUU LONG INDUSTRY AND INVESTMENT</t>
        </is>
      </c>
      <c r="Z175" s="96" t="inlineStr">
        <is>
          <t>BUU LONG INDUSTRY AND INVESTMENT</t>
        </is>
      </c>
      <c r="AA175" s="97" t="n">
        <v>25250</v>
      </c>
      <c r="AB175" s="96" t="inlineStr">
        <is>
          <t>BKK04</t>
        </is>
      </c>
      <c r="AC175" s="96" t="inlineStr">
        <is>
          <t>SGN03</t>
        </is>
      </c>
    </row>
    <row r="176" ht="12" customHeight="1">
      <c r="A176" s="96" t="inlineStr">
        <is>
          <t>SKLU2489612</t>
        </is>
      </c>
      <c r="B176" s="161" t="inlineStr">
        <is>
          <t>2026-10-08</t>
        </is>
      </c>
      <c r="C176" s="96" t="inlineStr">
        <is>
          <t>SWSP</t>
        </is>
      </c>
      <c r="D176" s="96" t="inlineStr">
        <is>
          <t>2609N</t>
        </is>
      </c>
      <c r="E176" s="96" t="inlineStr">
        <is>
          <t>22GP</t>
        </is>
      </c>
      <c r="F176" s="96" t="inlineStr">
        <is>
          <t>SD</t>
        </is>
      </c>
      <c r="G176" s="96" t="inlineStr">
        <is>
          <t>THBKK</t>
        </is>
      </c>
      <c r="H176" s="96" t="inlineStr">
        <is>
          <t>THBKK</t>
        </is>
      </c>
      <c r="I176" s="96" t="inlineStr">
        <is>
          <t>KRPUS</t>
        </is>
      </c>
      <c r="J176" s="96" t="inlineStr">
        <is>
          <t>JPISS</t>
        </is>
      </c>
      <c r="K176" s="96" t="inlineStr">
        <is>
          <t>F</t>
        </is>
      </c>
      <c r="L176" s="96" t="inlineStr">
        <is>
          <t>ONE</t>
        </is>
      </c>
      <c r="M176" s="96" t="inlineStr">
        <is>
          <t>VFL</t>
        </is>
      </c>
      <c r="N176" s="96" t="inlineStr">
        <is>
          <t>BKK04</t>
        </is>
      </c>
      <c r="O176" s="96" t="inlineStr">
        <is>
          <t>BKK</t>
        </is>
      </c>
      <c r="P176" s="96" t="inlineStr">
        <is>
          <t>TH</t>
        </is>
      </c>
      <c r="Q176" s="96" t="inlineStr">
        <is>
          <t>HASLS22260900106</t>
        </is>
      </c>
      <c r="R176" s="96" t="inlineStr">
        <is>
          <t>Y</t>
        </is>
      </c>
      <c r="S176" s="96" t="inlineStr">
        <is>
          <t>N</t>
        </is>
      </c>
      <c r="T176" s="96" t="inlineStr">
        <is>
          <t>BTS</t>
        </is>
      </c>
      <c r="U176" s="97" t="n"/>
      <c r="V176" s="96" t="inlineStr">
        <is>
          <t>K0120021</t>
        </is>
      </c>
      <c r="W176" s="96" t="inlineStr">
        <is>
          <t>UNICORD PUBLIC COMPANY LIMITED.</t>
        </is>
      </c>
      <c r="X176" s="96" t="inlineStr">
        <is>
          <t>VFD</t>
        </is>
      </c>
      <c r="Y176" s="96" t="inlineStr">
        <is>
          <t>TOEI TRADING CO.,LTD</t>
        </is>
      </c>
      <c r="Z176" s="96" t="inlineStr">
        <is>
          <t>TOEI TRADING CO.,LTD</t>
        </is>
      </c>
      <c r="AA176" s="97" t="n">
        <v>19720</v>
      </c>
      <c r="AB176" s="96" t="inlineStr">
        <is>
          <t>BKK04</t>
        </is>
      </c>
      <c r="AC176" s="96" t="inlineStr">
        <is>
          <t>ISS02</t>
        </is>
      </c>
    </row>
    <row r="177" ht="12" customHeight="1">
      <c r="A177" s="96" t="inlineStr">
        <is>
          <t>SKLU3519460</t>
        </is>
      </c>
      <c r="B177" s="161" t="inlineStr">
        <is>
          <t>2026-10-08</t>
        </is>
      </c>
      <c r="C177" s="96" t="inlineStr">
        <is>
          <t>SWSP</t>
        </is>
      </c>
      <c r="D177" s="96" t="inlineStr">
        <is>
          <t>2609N</t>
        </is>
      </c>
      <c r="E177" s="96" t="inlineStr">
        <is>
          <t>22GP</t>
        </is>
      </c>
      <c r="F177" s="96" t="inlineStr">
        <is>
          <t>SD</t>
        </is>
      </c>
      <c r="G177" s="96" t="inlineStr">
        <is>
          <t>THBKK</t>
        </is>
      </c>
      <c r="H177" s="96" t="inlineStr">
        <is>
          <t>THBKK</t>
        </is>
      </c>
      <c r="I177" s="96" t="inlineStr">
        <is>
          <t>KRPTK</t>
        </is>
      </c>
      <c r="J177" s="96" t="inlineStr">
        <is>
          <t>KRPTK</t>
        </is>
      </c>
      <c r="K177" s="96" t="inlineStr">
        <is>
          <t>F</t>
        </is>
      </c>
      <c r="L177" s="96" t="inlineStr">
        <is>
          <t>ONE</t>
        </is>
      </c>
      <c r="M177" s="96" t="inlineStr">
        <is>
          <t>VFL</t>
        </is>
      </c>
      <c r="N177" s="96" t="inlineStr">
        <is>
          <t>BKK04</t>
        </is>
      </c>
      <c r="O177" s="96" t="inlineStr">
        <is>
          <t>BKK</t>
        </is>
      </c>
      <c r="P177" s="96" t="inlineStr">
        <is>
          <t>TH</t>
        </is>
      </c>
      <c r="Q177" s="96" t="inlineStr">
        <is>
          <t>HASLS22260801914</t>
        </is>
      </c>
      <c r="R177" s="96" t="inlineStr">
        <is>
          <t>N</t>
        </is>
      </c>
      <c r="S177" s="96" t="inlineStr">
        <is>
          <t>N</t>
        </is>
      </c>
      <c r="T177" s="96" t="inlineStr">
        <is>
          <t>BTS</t>
        </is>
      </c>
      <c r="U177" s="97" t="n"/>
      <c r="V177" s="96" t="inlineStr">
        <is>
          <t>K0120021</t>
        </is>
      </c>
      <c r="W177" s="96" t="inlineStr">
        <is>
          <t>THAI VEGETABLE OIL PUBLIC COMPANY</t>
        </is>
      </c>
      <c r="X177" s="96" t="inlineStr">
        <is>
          <t>VFD</t>
        </is>
      </c>
      <c r="Y177" s="96" t="inlineStr">
        <is>
          <t>TO THE ORDER OF KOOKMIN BANK</t>
        </is>
      </c>
      <c r="Z177" s="96" t="inlineStr">
        <is>
          <t>CJ CHEILJEDANG CORPORATION</t>
        </is>
      </c>
      <c r="AA177" s="97" t="n">
        <v>21100</v>
      </c>
      <c r="AB177" s="96" t="inlineStr">
        <is>
          <t>BKK04</t>
        </is>
      </c>
      <c r="AC177" s="96" t="inlineStr">
        <is>
          <t>PTK02</t>
        </is>
      </c>
    </row>
    <row r="178" ht="12" customHeight="1">
      <c r="A178" s="96" t="inlineStr">
        <is>
          <t>SKRU1900438</t>
        </is>
      </c>
      <c r="B178" s="161" t="inlineStr">
        <is>
          <t>2026-10-08</t>
        </is>
      </c>
      <c r="C178" s="96" t="inlineStr">
        <is>
          <t>SWSP</t>
        </is>
      </c>
      <c r="D178" s="96" t="inlineStr">
        <is>
          <t>2609N</t>
        </is>
      </c>
      <c r="E178" s="96" t="inlineStr">
        <is>
          <t>22RE</t>
        </is>
      </c>
      <c r="F178" s="96" t="inlineStr">
        <is>
          <t>SD</t>
        </is>
      </c>
      <c r="G178" s="96" t="inlineStr">
        <is>
          <t>THBKK</t>
        </is>
      </c>
      <c r="H178" s="96" t="inlineStr">
        <is>
          <t>THBKK</t>
        </is>
      </c>
      <c r="I178" s="96" t="inlineStr">
        <is>
          <t>VNSGN</t>
        </is>
      </c>
      <c r="J178" s="96" t="inlineStr">
        <is>
          <t>VNSGN</t>
        </is>
      </c>
      <c r="K178" s="96" t="inlineStr">
        <is>
          <t>F</t>
        </is>
      </c>
      <c r="L178" s="96" t="inlineStr">
        <is>
          <t>ONE</t>
        </is>
      </c>
      <c r="M178" s="96" t="inlineStr">
        <is>
          <t>VFL</t>
        </is>
      </c>
      <c r="N178" s="96" t="inlineStr">
        <is>
          <t>BKK04</t>
        </is>
      </c>
      <c r="O178" s="96" t="inlineStr">
        <is>
          <t>BKK</t>
        </is>
      </c>
      <c r="P178" s="96" t="inlineStr">
        <is>
          <t>TH</t>
        </is>
      </c>
      <c r="Q178" s="96" t="inlineStr">
        <is>
          <t>HASLS22260901286</t>
        </is>
      </c>
      <c r="R178" s="96" t="inlineStr">
        <is>
          <t>N</t>
        </is>
      </c>
      <c r="S178" s="96" t="inlineStr">
        <is>
          <t>N</t>
        </is>
      </c>
      <c r="T178" s="96" t="inlineStr">
        <is>
          <t>BTS</t>
        </is>
      </c>
      <c r="U178" s="97" t="n"/>
      <c r="V178" s="96" t="inlineStr">
        <is>
          <t>K0120024</t>
        </is>
      </c>
      <c r="W178" s="96" t="inlineStr">
        <is>
          <t>ROYAL SUVARNABHUMI LOGISTIC</t>
        </is>
      </c>
      <c r="X178" s="96" t="inlineStr">
        <is>
          <t>VFD</t>
        </is>
      </c>
      <c r="Y178" s="96" t="inlineStr">
        <is>
          <t>VIETRANS INT'L FREIGHT FORWARDER .,</t>
        </is>
      </c>
      <c r="Z178" s="96" t="inlineStr">
        <is>
          <t>VIETRANS INT'L FREIGHT FORWARDER</t>
        </is>
      </c>
      <c r="AA178" s="97" t="n">
        <v>6901.8</v>
      </c>
      <c r="AB178" s="96" t="inlineStr">
        <is>
          <t>BKK04</t>
        </is>
      </c>
      <c r="AC178" s="96" t="inlineStr">
        <is>
          <t>SGN03</t>
        </is>
      </c>
    </row>
    <row r="179" ht="12" customHeight="1">
      <c r="A179" s="96" t="inlineStr">
        <is>
          <t>SKRU6503475</t>
        </is>
      </c>
      <c r="B179" s="161" t="inlineStr">
        <is>
          <t>2026-10-08</t>
        </is>
      </c>
      <c r="C179" s="96" t="inlineStr">
        <is>
          <t>SWSP</t>
        </is>
      </c>
      <c r="D179" s="96" t="inlineStr">
        <is>
          <t>2609N</t>
        </is>
      </c>
      <c r="E179" s="96" t="inlineStr">
        <is>
          <t>45RE</t>
        </is>
      </c>
      <c r="F179" s="96" t="inlineStr">
        <is>
          <t>SD</t>
        </is>
      </c>
      <c r="G179" s="96" t="inlineStr">
        <is>
          <t>THBKK</t>
        </is>
      </c>
      <c r="H179" s="96" t="inlineStr">
        <is>
          <t>THBKK</t>
        </is>
      </c>
      <c r="I179" s="96" t="inlineStr">
        <is>
          <t>KRPUS</t>
        </is>
      </c>
      <c r="J179" s="96" t="inlineStr">
        <is>
          <t>JPSDJ</t>
        </is>
      </c>
      <c r="K179" s="96" t="inlineStr">
        <is>
          <t>F</t>
        </is>
      </c>
      <c r="L179" s="96" t="inlineStr">
        <is>
          <t>ONE</t>
        </is>
      </c>
      <c r="M179" s="96" t="inlineStr">
        <is>
          <t>VFL</t>
        </is>
      </c>
      <c r="N179" s="96" t="inlineStr">
        <is>
          <t>BKK04</t>
        </is>
      </c>
      <c r="O179" s="96" t="inlineStr">
        <is>
          <t>BKK</t>
        </is>
      </c>
      <c r="P179" s="96" t="inlineStr">
        <is>
          <t>TH</t>
        </is>
      </c>
      <c r="Q179" s="96" t="inlineStr">
        <is>
          <t>HASLS22260902069</t>
        </is>
      </c>
      <c r="R179" s="96" t="inlineStr">
        <is>
          <t>Y</t>
        </is>
      </c>
      <c r="S179" s="96" t="inlineStr">
        <is>
          <t>N</t>
        </is>
      </c>
      <c r="T179" s="96" t="inlineStr">
        <is>
          <t>BTS</t>
        </is>
      </c>
      <c r="U179" s="97" t="n"/>
      <c r="V179" s="96" t="inlineStr">
        <is>
          <t>K0120025</t>
        </is>
      </c>
      <c r="W179" s="96" t="inlineStr">
        <is>
          <t>KODAI (THAILAND) CO., LTD.</t>
        </is>
      </c>
      <c r="X179" s="96" t="inlineStr">
        <is>
          <t>VFD</t>
        </is>
      </c>
      <c r="Y179" s="96" t="inlineStr">
        <is>
          <t>KODAI COMPANY LTD.</t>
        </is>
      </c>
      <c r="Z179" s="96" t="inlineStr">
        <is>
          <t>KODAI COMPANY LTD.</t>
        </is>
      </c>
      <c r="AA179" s="97" t="n">
        <v>22420.44</v>
      </c>
      <c r="AB179" s="96" t="inlineStr">
        <is>
          <t>BKK04</t>
        </is>
      </c>
      <c r="AC179" s="96" t="inlineStr">
        <is>
          <t>SDJ01</t>
        </is>
      </c>
    </row>
    <row r="180" ht="12" customHeight="1">
      <c r="A180" s="96" t="inlineStr">
        <is>
          <t>SKRU6505565</t>
        </is>
      </c>
      <c r="B180" s="161" t="inlineStr">
        <is>
          <t>2026-10-08</t>
        </is>
      </c>
      <c r="C180" s="96" t="inlineStr">
        <is>
          <t>SWSP</t>
        </is>
      </c>
      <c r="D180" s="96" t="inlineStr">
        <is>
          <t>2609N</t>
        </is>
      </c>
      <c r="E180" s="96" t="inlineStr">
        <is>
          <t>45RE</t>
        </is>
      </c>
      <c r="F180" s="96" t="inlineStr">
        <is>
          <t>SD</t>
        </is>
      </c>
      <c r="G180" s="96" t="inlineStr">
        <is>
          <t>THBKK</t>
        </is>
      </c>
      <c r="H180" s="96" t="inlineStr">
        <is>
          <t>THBKK</t>
        </is>
      </c>
      <c r="I180" s="96" t="inlineStr">
        <is>
          <t>VNSGN</t>
        </is>
      </c>
      <c r="J180" s="96" t="inlineStr">
        <is>
          <t>VNSGN</t>
        </is>
      </c>
      <c r="K180" s="96" t="inlineStr">
        <is>
          <t>F</t>
        </is>
      </c>
      <c r="L180" s="96" t="inlineStr">
        <is>
          <t>ONE</t>
        </is>
      </c>
      <c r="M180" s="96" t="inlineStr">
        <is>
          <t>VFL</t>
        </is>
      </c>
      <c r="N180" s="96" t="inlineStr">
        <is>
          <t>BKK04</t>
        </is>
      </c>
      <c r="O180" s="96" t="inlineStr">
        <is>
          <t>BKK</t>
        </is>
      </c>
      <c r="P180" s="96" t="inlineStr">
        <is>
          <t>TH</t>
        </is>
      </c>
      <c r="Q180" s="96" t="inlineStr">
        <is>
          <t>HASLS22260900909</t>
        </is>
      </c>
      <c r="R180" s="96" t="inlineStr">
        <is>
          <t>N</t>
        </is>
      </c>
      <c r="S180" s="96" t="inlineStr">
        <is>
          <t>N</t>
        </is>
      </c>
      <c r="T180" s="96" t="inlineStr">
        <is>
          <t>BTS</t>
        </is>
      </c>
      <c r="U180" s="97" t="n"/>
      <c r="V180" s="96" t="inlineStr">
        <is>
          <t>K0120025</t>
        </is>
      </c>
      <c r="W180" s="96" t="inlineStr">
        <is>
          <t>SIAM I-LOGISTICS LTD.</t>
        </is>
      </c>
      <c r="X180" s="96" t="inlineStr">
        <is>
          <t>VFD</t>
        </is>
      </c>
      <c r="Y180" s="96" t="inlineStr">
        <is>
          <t>0319135354 #ITOCHU LOGISTICS</t>
        </is>
      </c>
      <c r="Z180" s="96" t="inlineStr">
        <is>
          <t>0319135354 #ITOCHU LOGISTICS</t>
        </is>
      </c>
      <c r="AA180" s="97" t="n">
        <v>24920</v>
      </c>
      <c r="AB180" s="96" t="inlineStr">
        <is>
          <t>BKK04</t>
        </is>
      </c>
      <c r="AC180" s="96" t="inlineStr">
        <is>
          <t>SGN03</t>
        </is>
      </c>
    </row>
    <row r="181" ht="12" customHeight="1">
      <c r="A181" s="96" t="inlineStr">
        <is>
          <t>SKRU6505890</t>
        </is>
      </c>
      <c r="B181" s="161" t="inlineStr">
        <is>
          <t>2026-10-08</t>
        </is>
      </c>
      <c r="C181" s="96" t="inlineStr">
        <is>
          <t>SWSP</t>
        </is>
      </c>
      <c r="D181" s="96" t="inlineStr">
        <is>
          <t>2609N</t>
        </is>
      </c>
      <c r="E181" s="96" t="inlineStr">
        <is>
          <t>45RE</t>
        </is>
      </c>
      <c r="F181" s="96" t="inlineStr">
        <is>
          <t>SD</t>
        </is>
      </c>
      <c r="G181" s="96" t="inlineStr">
        <is>
          <t>THBKK</t>
        </is>
      </c>
      <c r="H181" s="96" t="inlineStr">
        <is>
          <t>THBKK</t>
        </is>
      </c>
      <c r="I181" s="96" t="inlineStr">
        <is>
          <t>VNSGN</t>
        </is>
      </c>
      <c r="J181" s="96" t="inlineStr">
        <is>
          <t>VNSGN</t>
        </is>
      </c>
      <c r="K181" s="96" t="inlineStr">
        <is>
          <t>F</t>
        </is>
      </c>
      <c r="L181" s="96" t="inlineStr">
        <is>
          <t>ONE</t>
        </is>
      </c>
      <c r="M181" s="96" t="inlineStr">
        <is>
          <t>VFL</t>
        </is>
      </c>
      <c r="N181" s="96" t="inlineStr">
        <is>
          <t>BKK04</t>
        </is>
      </c>
      <c r="O181" s="96" t="inlineStr">
        <is>
          <t>BKK</t>
        </is>
      </c>
      <c r="P181" s="96" t="inlineStr">
        <is>
          <t>TH</t>
        </is>
      </c>
      <c r="Q181" s="96" t="inlineStr">
        <is>
          <t>HASLS22260900909</t>
        </is>
      </c>
      <c r="R181" s="96" t="inlineStr">
        <is>
          <t>N</t>
        </is>
      </c>
      <c r="S181" s="96" t="inlineStr">
        <is>
          <t>N</t>
        </is>
      </c>
      <c r="T181" s="96" t="inlineStr">
        <is>
          <t>BTS</t>
        </is>
      </c>
      <c r="U181" s="97" t="n"/>
      <c r="V181" s="96" t="inlineStr">
        <is>
          <t>K0120025</t>
        </is>
      </c>
      <c r="W181" s="96" t="inlineStr">
        <is>
          <t>SIAM I-LOGISTICS LTD.</t>
        </is>
      </c>
      <c r="X181" s="96" t="inlineStr">
        <is>
          <t>VFD</t>
        </is>
      </c>
      <c r="Y181" s="96" t="inlineStr">
        <is>
          <t>0319135354 #ITOCHU LOGISTICS</t>
        </is>
      </c>
      <c r="Z181" s="96" t="inlineStr">
        <is>
          <t>0319135354 #ITOCHU LOGISTICS</t>
        </is>
      </c>
      <c r="AA181" s="97" t="n">
        <v>24940</v>
      </c>
      <c r="AB181" s="96" t="inlineStr">
        <is>
          <t>BKK04</t>
        </is>
      </c>
      <c r="AC181" s="96" t="inlineStr">
        <is>
          <t>SGN03</t>
        </is>
      </c>
    </row>
    <row r="182" ht="12" customHeight="1">
      <c r="A182" s="96" t="inlineStr">
        <is>
          <t>SKRU9200960</t>
        </is>
      </c>
      <c r="B182" s="161" t="inlineStr">
        <is>
          <t>2026-10-08</t>
        </is>
      </c>
      <c r="C182" s="96" t="inlineStr">
        <is>
          <t>SWSP</t>
        </is>
      </c>
      <c r="D182" s="96" t="inlineStr">
        <is>
          <t>2609N</t>
        </is>
      </c>
      <c r="E182" s="96" t="inlineStr">
        <is>
          <t>45RE</t>
        </is>
      </c>
      <c r="F182" s="96" t="inlineStr">
        <is>
          <t>SD</t>
        </is>
      </c>
      <c r="G182" s="96" t="inlineStr">
        <is>
          <t>THBKK</t>
        </is>
      </c>
      <c r="H182" s="96" t="inlineStr">
        <is>
          <t>THBKK</t>
        </is>
      </c>
      <c r="I182" s="96" t="inlineStr">
        <is>
          <t>KRPUS</t>
        </is>
      </c>
      <c r="J182" s="96" t="inlineStr">
        <is>
          <t>RUVVO</t>
        </is>
      </c>
      <c r="K182" s="96" t="inlineStr">
        <is>
          <t>F</t>
        </is>
      </c>
      <c r="L182" s="96" t="inlineStr">
        <is>
          <t>ONE</t>
        </is>
      </c>
      <c r="M182" s="96" t="inlineStr">
        <is>
          <t>VFL</t>
        </is>
      </c>
      <c r="N182" s="96" t="inlineStr">
        <is>
          <t>BKK04</t>
        </is>
      </c>
      <c r="O182" s="96" t="inlineStr">
        <is>
          <t>BKK</t>
        </is>
      </c>
      <c r="P182" s="96" t="inlineStr">
        <is>
          <t>TH</t>
        </is>
      </c>
      <c r="Q182" s="96" t="inlineStr">
        <is>
          <t>HASLS22260902459</t>
        </is>
      </c>
      <c r="R182" s="96" t="inlineStr">
        <is>
          <t>Y</t>
        </is>
      </c>
      <c r="S182" s="96" t="inlineStr">
        <is>
          <t>N</t>
        </is>
      </c>
      <c r="T182" s="96" t="inlineStr">
        <is>
          <t>BTS</t>
        </is>
      </c>
      <c r="U182" s="97" t="n"/>
      <c r="V182" s="96" t="inlineStr">
        <is>
          <t>K0120025</t>
        </is>
      </c>
      <c r="W182" s="96" t="inlineStr">
        <is>
          <t>VENTE TRADE CO.,LTD.</t>
        </is>
      </c>
      <c r="X182" s="96" t="inlineStr">
        <is>
          <t>VFD</t>
        </is>
      </c>
      <c r="Y182" s="96" t="inlineStr">
        <is>
          <t>JOINT-STOCK COMPANY "GRAND-TRADE"</t>
        </is>
      </c>
      <c r="Z182" s="96" t="inlineStr">
        <is>
          <t>NOURISH HUB FOOD AND BEVERAGES</t>
        </is>
      </c>
      <c r="AA182" s="97" t="n">
        <v>22418.61</v>
      </c>
      <c r="AB182" s="96" t="inlineStr">
        <is>
          <t>BKK04</t>
        </is>
      </c>
      <c r="AC182" s="96" t="inlineStr">
        <is>
          <t>VVO01</t>
        </is>
      </c>
    </row>
    <row r="183" ht="12" customHeight="1">
      <c r="A183" s="96" t="inlineStr">
        <is>
          <t>SZLU9373250</t>
        </is>
      </c>
      <c r="B183" s="161" t="inlineStr">
        <is>
          <t>2026-10-08</t>
        </is>
      </c>
      <c r="C183" s="96" t="inlineStr">
        <is>
          <t>SWSP</t>
        </is>
      </c>
      <c r="D183" s="96" t="inlineStr">
        <is>
          <t>2609N</t>
        </is>
      </c>
      <c r="E183" s="96" t="inlineStr">
        <is>
          <t>45RE</t>
        </is>
      </c>
      <c r="F183" s="96" t="inlineStr">
        <is>
          <t>SD</t>
        </is>
      </c>
      <c r="G183" s="96" t="inlineStr">
        <is>
          <t>THBKK</t>
        </is>
      </c>
      <c r="H183" s="96" t="inlineStr">
        <is>
          <t>THBKK</t>
        </is>
      </c>
      <c r="I183" s="96" t="inlineStr">
        <is>
          <t>KRPTK</t>
        </is>
      </c>
      <c r="J183" s="96" t="inlineStr">
        <is>
          <t>KRPTK</t>
        </is>
      </c>
      <c r="K183" s="96" t="inlineStr">
        <is>
          <t>F</t>
        </is>
      </c>
      <c r="L183" s="96" t="inlineStr">
        <is>
          <t>L/T</t>
        </is>
      </c>
      <c r="M183" s="96" t="inlineStr">
        <is>
          <t>VFL</t>
        </is>
      </c>
      <c r="N183" s="96" t="inlineStr">
        <is>
          <t>BKK04</t>
        </is>
      </c>
      <c r="O183" s="96" t="inlineStr">
        <is>
          <t>BKK</t>
        </is>
      </c>
      <c r="P183" s="96" t="inlineStr">
        <is>
          <t>TH</t>
        </is>
      </c>
      <c r="Q183" s="96" t="inlineStr">
        <is>
          <t>HASLS22260901105</t>
        </is>
      </c>
      <c r="R183" s="96" t="inlineStr">
        <is>
          <t>N</t>
        </is>
      </c>
      <c r="S183" s="96" t="inlineStr">
        <is>
          <t>N</t>
        </is>
      </c>
      <c r="T183" s="96" t="inlineStr">
        <is>
          <t>BTS</t>
        </is>
      </c>
      <c r="U183" s="97" t="n"/>
      <c r="V183" s="96" t="inlineStr">
        <is>
          <t>TAO17L06</t>
        </is>
      </c>
      <c r="W183" s="96" t="inlineStr">
        <is>
          <t>SAHA FARMS INTERNATIONAL CO.,LTD.</t>
        </is>
      </c>
      <c r="X183" s="96" t="inlineStr">
        <is>
          <t>VFD</t>
        </is>
      </c>
      <c r="Y183" s="96" t="inlineStr">
        <is>
          <t>SASE CO.,LTD.</t>
        </is>
      </c>
      <c r="Z183" s="96" t="inlineStr">
        <is>
          <t>SASE CO.,LTD.</t>
        </is>
      </c>
      <c r="AA183" s="97" t="n">
        <v>23100</v>
      </c>
      <c r="AB183" s="96" t="inlineStr">
        <is>
          <t>BKK04</t>
        </is>
      </c>
      <c r="AC183" s="96" t="inlineStr">
        <is>
          <t>PTK02</t>
        </is>
      </c>
    </row>
    <row r="184" ht="12" customHeight="1">
      <c r="A184" s="96" t="inlineStr">
        <is>
          <t>TCKU1493263</t>
        </is>
      </c>
      <c r="B184" s="161" t="inlineStr">
        <is>
          <t>2026-10-08</t>
        </is>
      </c>
      <c r="C184" s="96" t="inlineStr">
        <is>
          <t>SWSP</t>
        </is>
      </c>
      <c r="D184" s="96" t="inlineStr">
        <is>
          <t>2609N</t>
        </is>
      </c>
      <c r="E184" s="96" t="inlineStr">
        <is>
          <t>22GP</t>
        </is>
      </c>
      <c r="F184" s="96" t="inlineStr">
        <is>
          <t>SD</t>
        </is>
      </c>
      <c r="G184" s="96" t="inlineStr">
        <is>
          <t>THBKK</t>
        </is>
      </c>
      <c r="H184" s="96" t="inlineStr">
        <is>
          <t>THBKK</t>
        </is>
      </c>
      <c r="I184" s="96" t="inlineStr">
        <is>
          <t>VNSGN</t>
        </is>
      </c>
      <c r="J184" s="96" t="inlineStr">
        <is>
          <t>VNSGN</t>
        </is>
      </c>
      <c r="K184" s="96" t="inlineStr">
        <is>
          <t>F</t>
        </is>
      </c>
      <c r="L184" s="96" t="inlineStr">
        <is>
          <t>ONE</t>
        </is>
      </c>
      <c r="M184" s="96" t="inlineStr">
        <is>
          <t>VFL</t>
        </is>
      </c>
      <c r="N184" s="96" t="inlineStr">
        <is>
          <t>BKK04</t>
        </is>
      </c>
      <c r="O184" s="96" t="inlineStr">
        <is>
          <t>BKK</t>
        </is>
      </c>
      <c r="P184" s="96" t="inlineStr">
        <is>
          <t>TH</t>
        </is>
      </c>
      <c r="Q184" s="96" t="inlineStr">
        <is>
          <t>HASLS22260901598</t>
        </is>
      </c>
      <c r="R184" s="96" t="inlineStr">
        <is>
          <t>N</t>
        </is>
      </c>
      <c r="S184" s="96" t="inlineStr">
        <is>
          <t>N</t>
        </is>
      </c>
      <c r="T184" s="96" t="inlineStr">
        <is>
          <t>BTS</t>
        </is>
      </c>
      <c r="U184" s="97" t="n"/>
      <c r="V184" s="96" t="inlineStr">
        <is>
          <t>K0120021</t>
        </is>
      </c>
      <c r="W184" s="96" t="inlineStr">
        <is>
          <t>CHAROEN POKPHAND PRODUCE CO.,LTD.</t>
        </is>
      </c>
      <c r="X184" s="96" t="inlineStr">
        <is>
          <t>VFD</t>
        </is>
      </c>
      <c r="Y184" s="96" t="inlineStr">
        <is>
          <t>C.P.SEEDS (VIETNAM) CO.,LTD.</t>
        </is>
      </c>
      <c r="Z184" s="96" t="inlineStr">
        <is>
          <t>C.P.SEEDS (VIETNAM) CO.,LTD.</t>
        </is>
      </c>
      <c r="AA184" s="97" t="n">
        <v>20200</v>
      </c>
      <c r="AB184" s="96" t="inlineStr">
        <is>
          <t>BKK04</t>
        </is>
      </c>
      <c r="AC184" s="96" t="inlineStr">
        <is>
          <t>SGN03</t>
        </is>
      </c>
    </row>
    <row r="185" ht="12" customHeight="1">
      <c r="A185" s="96" t="inlineStr">
        <is>
          <t>TCLU1556939</t>
        </is>
      </c>
      <c r="B185" s="161" t="inlineStr">
        <is>
          <t>2026-10-08</t>
        </is>
      </c>
      <c r="C185" s="96" t="inlineStr">
        <is>
          <t>SWSP</t>
        </is>
      </c>
      <c r="D185" s="96" t="inlineStr">
        <is>
          <t>2609N</t>
        </is>
      </c>
      <c r="E185" s="96" t="inlineStr">
        <is>
          <t>45GP</t>
        </is>
      </c>
      <c r="F185" s="96" t="inlineStr">
        <is>
          <t>SD</t>
        </is>
      </c>
      <c r="G185" s="96" t="inlineStr">
        <is>
          <t>THBKK</t>
        </is>
      </c>
      <c r="H185" s="96" t="inlineStr">
        <is>
          <t>THBKK</t>
        </is>
      </c>
      <c r="I185" s="96" t="inlineStr">
        <is>
          <t>VNSGN</t>
        </is>
      </c>
      <c r="J185" s="96" t="inlineStr">
        <is>
          <t>VNSGN</t>
        </is>
      </c>
      <c r="K185" s="96" t="inlineStr">
        <is>
          <t>F</t>
        </is>
      </c>
      <c r="L185" s="96" t="inlineStr">
        <is>
          <t>ONE</t>
        </is>
      </c>
      <c r="M185" s="96" t="inlineStr">
        <is>
          <t>VFL</t>
        </is>
      </c>
      <c r="N185" s="96" t="inlineStr">
        <is>
          <t>BKK04</t>
        </is>
      </c>
      <c r="O185" s="96" t="inlineStr">
        <is>
          <t>BKK</t>
        </is>
      </c>
      <c r="P185" s="96" t="inlineStr">
        <is>
          <t>TH</t>
        </is>
      </c>
      <c r="Q185" s="96" t="inlineStr">
        <is>
          <t>HASLS22260902260</t>
        </is>
      </c>
      <c r="R185" s="96" t="inlineStr">
        <is>
          <t>N</t>
        </is>
      </c>
      <c r="S185" s="96" t="inlineStr">
        <is>
          <t>N</t>
        </is>
      </c>
      <c r="T185" s="96" t="inlineStr">
        <is>
          <t>BTS</t>
        </is>
      </c>
      <c r="U185" s="97" t="n"/>
      <c r="V185" s="96" t="inlineStr">
        <is>
          <t>K0120023</t>
        </is>
      </c>
      <c r="W185" s="96" t="inlineStr">
        <is>
          <t>CAPRICORN LOGISTICS CO.,LTD.</t>
        </is>
      </c>
      <c r="X185" s="96" t="inlineStr">
        <is>
          <t>VFD</t>
        </is>
      </c>
      <c r="Y185" s="96" t="inlineStr">
        <is>
          <t>BLUE OCEAN INTERNATIONAL</t>
        </is>
      </c>
      <c r="Z185" s="96" t="inlineStr">
        <is>
          <t>BLUE OCEAN INTERNATIONAL</t>
        </is>
      </c>
      <c r="AA185" s="97" t="n">
        <v>10980</v>
      </c>
      <c r="AB185" s="96" t="inlineStr">
        <is>
          <t>BKK04</t>
        </is>
      </c>
      <c r="AC185" s="96" t="inlineStr">
        <is>
          <t>SGN03</t>
        </is>
      </c>
    </row>
    <row r="186" ht="12" customHeight="1">
      <c r="A186" s="96" t="inlineStr">
        <is>
          <t>TEMU6540573</t>
        </is>
      </c>
      <c r="B186" s="161" t="inlineStr">
        <is>
          <t>2026-10-08</t>
        </is>
      </c>
      <c r="C186" s="96" t="inlineStr">
        <is>
          <t>SWSP</t>
        </is>
      </c>
      <c r="D186" s="96" t="inlineStr">
        <is>
          <t>2609N</t>
        </is>
      </c>
      <c r="E186" s="96" t="inlineStr">
        <is>
          <t>45GP</t>
        </is>
      </c>
      <c r="F186" s="96" t="inlineStr">
        <is>
          <t>SD</t>
        </is>
      </c>
      <c r="G186" s="96" t="inlineStr">
        <is>
          <t>THBKK</t>
        </is>
      </c>
      <c r="H186" s="96" t="inlineStr">
        <is>
          <t>THBKK</t>
        </is>
      </c>
      <c r="I186" s="96" t="inlineStr">
        <is>
          <t>KRPTK</t>
        </is>
      </c>
      <c r="J186" s="96" t="inlineStr">
        <is>
          <t>KRPTK</t>
        </is>
      </c>
      <c r="K186" s="96" t="inlineStr">
        <is>
          <t>F</t>
        </is>
      </c>
      <c r="L186" s="96" t="inlineStr">
        <is>
          <t>ONE</t>
        </is>
      </c>
      <c r="M186" s="96" t="inlineStr">
        <is>
          <t>VFL</t>
        </is>
      </c>
      <c r="N186" s="96" t="inlineStr">
        <is>
          <t>BKK04</t>
        </is>
      </c>
      <c r="O186" s="96" t="inlineStr">
        <is>
          <t>BKK</t>
        </is>
      </c>
      <c r="P186" s="96" t="inlineStr">
        <is>
          <t>TH</t>
        </is>
      </c>
      <c r="Q186" s="96" t="inlineStr">
        <is>
          <t>HASLS22260801164</t>
        </is>
      </c>
      <c r="R186" s="96" t="inlineStr">
        <is>
          <t>N</t>
        </is>
      </c>
      <c r="S186" s="96" t="inlineStr">
        <is>
          <t>N</t>
        </is>
      </c>
      <c r="T186" s="96" t="inlineStr">
        <is>
          <t>BTS</t>
        </is>
      </c>
      <c r="U186" s="97" t="n"/>
      <c r="V186" s="96" t="inlineStr">
        <is>
          <t>K0120023</t>
        </is>
      </c>
      <c r="W186" s="96" t="inlineStr">
        <is>
          <t>MAXTOP LOGISTICS (THAILAND)</t>
        </is>
      </c>
      <c r="X186" s="96" t="inlineStr">
        <is>
          <t>VFD</t>
        </is>
      </c>
      <c r="Y186" s="96" t="inlineStr">
        <is>
          <t>SUNGRIM GLOBAL CO.,LTD.</t>
        </is>
      </c>
      <c r="Z186" s="96" t="inlineStr">
        <is>
          <t>SUNGRIM GLOBAL CO.,LTD.</t>
        </is>
      </c>
      <c r="AA186" s="97" t="n">
        <v>22704</v>
      </c>
      <c r="AB186" s="96" t="inlineStr">
        <is>
          <t>BKK04</t>
        </is>
      </c>
      <c r="AC186" s="96" t="inlineStr">
        <is>
          <t>PTK02</t>
        </is>
      </c>
    </row>
    <row r="187" ht="12" customHeight="1">
      <c r="A187" s="96" t="inlineStr">
        <is>
          <t>TGCU2414945</t>
        </is>
      </c>
      <c r="B187" s="161" t="inlineStr">
        <is>
          <t>2026-10-08</t>
        </is>
      </c>
      <c r="C187" s="96" t="inlineStr">
        <is>
          <t>SWSP</t>
        </is>
      </c>
      <c r="D187" s="96" t="inlineStr">
        <is>
          <t>2609N</t>
        </is>
      </c>
      <c r="E187" s="96" t="inlineStr">
        <is>
          <t>22GP</t>
        </is>
      </c>
      <c r="F187" s="96" t="inlineStr">
        <is>
          <t>SD</t>
        </is>
      </c>
      <c r="G187" s="96" t="inlineStr">
        <is>
          <t>THBKK</t>
        </is>
      </c>
      <c r="H187" s="96" t="inlineStr">
        <is>
          <t>THBKK</t>
        </is>
      </c>
      <c r="I187" s="96" t="inlineStr">
        <is>
          <t>VNSGN</t>
        </is>
      </c>
      <c r="J187" s="96" t="inlineStr">
        <is>
          <t>VNSGN</t>
        </is>
      </c>
      <c r="K187" s="96" t="inlineStr">
        <is>
          <t>F</t>
        </is>
      </c>
      <c r="L187" s="96" t="inlineStr">
        <is>
          <t>ONE</t>
        </is>
      </c>
      <c r="M187" s="96" t="inlineStr">
        <is>
          <t>VFL</t>
        </is>
      </c>
      <c r="N187" s="96" t="inlineStr">
        <is>
          <t>BKK04</t>
        </is>
      </c>
      <c r="O187" s="96" t="inlineStr">
        <is>
          <t>BKK</t>
        </is>
      </c>
      <c r="P187" s="96" t="inlineStr">
        <is>
          <t>TH</t>
        </is>
      </c>
      <c r="Q187" s="96" t="inlineStr">
        <is>
          <t>HASLS22260901077</t>
        </is>
      </c>
      <c r="R187" s="96" t="inlineStr">
        <is>
          <t>N</t>
        </is>
      </c>
      <c r="S187" s="96" t="inlineStr">
        <is>
          <t>N</t>
        </is>
      </c>
      <c r="T187" s="96" t="inlineStr">
        <is>
          <t>BTS</t>
        </is>
      </c>
      <c r="U187" s="97" t="n"/>
      <c r="V187" s="96" t="inlineStr">
        <is>
          <t>K0120021</t>
        </is>
      </c>
      <c r="W187" s="96" t="inlineStr">
        <is>
          <t>EAST-LINK CORPORATION CO. , LTD.</t>
        </is>
      </c>
      <c r="X187" s="96" t="inlineStr">
        <is>
          <t>VFD</t>
        </is>
      </c>
      <c r="Y187" s="96" t="inlineStr">
        <is>
          <t>BEE LOGISTICS CORP - HANOI BRANCH</t>
        </is>
      </c>
      <c r="Z187" s="96" t="inlineStr">
        <is>
          <t>BEE LOGISTICS CORP - HANOI BRANCH</t>
        </is>
      </c>
      <c r="AA187" s="97" t="n">
        <v>2035.94</v>
      </c>
      <c r="AB187" s="96" t="inlineStr">
        <is>
          <t>BKK04</t>
        </is>
      </c>
      <c r="AC187" s="96" t="inlineStr">
        <is>
          <t>SGN03</t>
        </is>
      </c>
    </row>
    <row r="188" ht="12" customHeight="1">
      <c r="A188" s="96" t="inlineStr">
        <is>
          <t>TRHU5293940</t>
        </is>
      </c>
      <c r="B188" s="161" t="inlineStr">
        <is>
          <t>2026-10-08</t>
        </is>
      </c>
      <c r="C188" s="96" t="inlineStr">
        <is>
          <t>SWSP</t>
        </is>
      </c>
      <c r="D188" s="96" t="inlineStr">
        <is>
          <t>2609N</t>
        </is>
      </c>
      <c r="E188" s="96" t="inlineStr">
        <is>
          <t>45GP</t>
        </is>
      </c>
      <c r="F188" s="96" t="inlineStr">
        <is>
          <t>SD</t>
        </is>
      </c>
      <c r="G188" s="96" t="inlineStr">
        <is>
          <t>THBKK</t>
        </is>
      </c>
      <c r="H188" s="96" t="inlineStr">
        <is>
          <t>THBKK</t>
        </is>
      </c>
      <c r="I188" s="96" t="inlineStr">
        <is>
          <t>VNSGN</t>
        </is>
      </c>
      <c r="J188" s="96" t="inlineStr">
        <is>
          <t>VNSGN</t>
        </is>
      </c>
      <c r="K188" s="96" t="inlineStr">
        <is>
          <t>F</t>
        </is>
      </c>
      <c r="L188" s="96" t="inlineStr">
        <is>
          <t>ONE</t>
        </is>
      </c>
      <c r="M188" s="96" t="inlineStr">
        <is>
          <t>VFL</t>
        </is>
      </c>
      <c r="N188" s="96" t="inlineStr">
        <is>
          <t>BKK04</t>
        </is>
      </c>
      <c r="O188" s="96" t="inlineStr">
        <is>
          <t>BKK</t>
        </is>
      </c>
      <c r="P188" s="96" t="inlineStr">
        <is>
          <t>TH</t>
        </is>
      </c>
      <c r="Q188" s="96" t="inlineStr">
        <is>
          <t>HASLS22260901036</t>
        </is>
      </c>
      <c r="R188" s="96" t="inlineStr">
        <is>
          <t>N</t>
        </is>
      </c>
      <c r="S188" s="96" t="inlineStr">
        <is>
          <t>N</t>
        </is>
      </c>
      <c r="T188" s="96" t="inlineStr">
        <is>
          <t>BTS</t>
        </is>
      </c>
      <c r="U188" s="97" t="n"/>
      <c r="V188" s="96" t="inlineStr">
        <is>
          <t>K0120023</t>
        </is>
      </c>
      <c r="W188" s="96" t="inlineStr">
        <is>
          <t>KANGWAL POLYESTER CO., LTD.</t>
        </is>
      </c>
      <c r="X188" s="96" t="inlineStr">
        <is>
          <t>VFD</t>
        </is>
      </c>
      <c r="Y188" s="96" t="inlineStr">
        <is>
          <t>TO ORDER OF VIETNAM INTERNATIONAL</t>
        </is>
      </c>
      <c r="Z188" s="96" t="inlineStr">
        <is>
          <t>VIET THANG CORPORATION (VICOTEX)</t>
        </is>
      </c>
      <c r="AA188" s="97" t="n">
        <v>25175.9</v>
      </c>
      <c r="AB188" s="96" t="inlineStr">
        <is>
          <t>BKK04</t>
        </is>
      </c>
      <c r="AC188" s="96" t="inlineStr">
        <is>
          <t>SGN03</t>
        </is>
      </c>
    </row>
    <row r="189" ht="12" customHeight="1">
      <c r="A189" s="96" t="inlineStr">
        <is>
          <t>TRHU5296888</t>
        </is>
      </c>
      <c r="B189" s="161" t="inlineStr">
        <is>
          <t>2026-10-08</t>
        </is>
      </c>
      <c r="C189" s="96" t="inlineStr">
        <is>
          <t>SWSP</t>
        </is>
      </c>
      <c r="D189" s="96" t="inlineStr">
        <is>
          <t>2609N</t>
        </is>
      </c>
      <c r="E189" s="96" t="inlineStr">
        <is>
          <t>45GP</t>
        </is>
      </c>
      <c r="F189" s="96" t="inlineStr">
        <is>
          <t>SD</t>
        </is>
      </c>
      <c r="G189" s="96" t="inlineStr">
        <is>
          <t>THBKK</t>
        </is>
      </c>
      <c r="H189" s="96" t="inlineStr">
        <is>
          <t>THBKK</t>
        </is>
      </c>
      <c r="I189" s="96" t="inlineStr">
        <is>
          <t>VNSGN</t>
        </is>
      </c>
      <c r="J189" s="96" t="inlineStr">
        <is>
          <t>VNSGN</t>
        </is>
      </c>
      <c r="K189" s="96" t="inlineStr">
        <is>
          <t>F</t>
        </is>
      </c>
      <c r="L189" s="96" t="inlineStr">
        <is>
          <t>ONE</t>
        </is>
      </c>
      <c r="M189" s="96" t="inlineStr">
        <is>
          <t>VFL</t>
        </is>
      </c>
      <c r="N189" s="96" t="inlineStr">
        <is>
          <t>BKK04</t>
        </is>
      </c>
      <c r="O189" s="96" t="inlineStr">
        <is>
          <t>BKK</t>
        </is>
      </c>
      <c r="P189" s="96" t="inlineStr">
        <is>
          <t>TH</t>
        </is>
      </c>
      <c r="Q189" s="96" t="inlineStr">
        <is>
          <t>HASLS22260901036</t>
        </is>
      </c>
      <c r="R189" s="96" t="inlineStr">
        <is>
          <t>N</t>
        </is>
      </c>
      <c r="S189" s="96" t="inlineStr">
        <is>
          <t>N</t>
        </is>
      </c>
      <c r="T189" s="96" t="inlineStr">
        <is>
          <t>BTS</t>
        </is>
      </c>
      <c r="U189" s="97" t="n"/>
      <c r="V189" s="96" t="inlineStr">
        <is>
          <t>K0120023</t>
        </is>
      </c>
      <c r="W189" s="96" t="inlineStr">
        <is>
          <t>KANGWAL POLYESTER CO., LTD.</t>
        </is>
      </c>
      <c r="X189" s="96" t="inlineStr">
        <is>
          <t>VFD</t>
        </is>
      </c>
      <c r="Y189" s="96" t="inlineStr">
        <is>
          <t>TO ORDER OF VIETNAM INTERNATIONAL</t>
        </is>
      </c>
      <c r="Z189" s="96" t="inlineStr">
        <is>
          <t>VIET THANG CORPORATION (VICOTEX)</t>
        </is>
      </c>
      <c r="AA189" s="97" t="n">
        <v>25154.9</v>
      </c>
      <c r="AB189" s="96" t="inlineStr">
        <is>
          <t>BKK04</t>
        </is>
      </c>
      <c r="AC189" s="96" t="inlineStr">
        <is>
          <t>SGN03</t>
        </is>
      </c>
    </row>
    <row r="190" ht="12" customHeight="1">
      <c r="A190" s="96" t="inlineStr">
        <is>
          <t>TRIU6734806</t>
        </is>
      </c>
      <c r="B190" s="161" t="inlineStr">
        <is>
          <t>2026-10-08</t>
        </is>
      </c>
      <c r="C190" s="96" t="inlineStr">
        <is>
          <t>SWSP</t>
        </is>
      </c>
      <c r="D190" s="96" t="inlineStr">
        <is>
          <t>2609N</t>
        </is>
      </c>
      <c r="E190" s="96" t="inlineStr">
        <is>
          <t>22RE</t>
        </is>
      </c>
      <c r="F190" s="96" t="inlineStr">
        <is>
          <t>SD</t>
        </is>
      </c>
      <c r="G190" s="96" t="inlineStr">
        <is>
          <t>THBKK</t>
        </is>
      </c>
      <c r="H190" s="96" t="inlineStr">
        <is>
          <t>THBKK</t>
        </is>
      </c>
      <c r="I190" s="96" t="inlineStr">
        <is>
          <t>KRPUS</t>
        </is>
      </c>
      <c r="J190" s="96" t="inlineStr">
        <is>
          <t>KRPUS</t>
        </is>
      </c>
      <c r="K190" s="96" t="inlineStr">
        <is>
          <t>F</t>
        </is>
      </c>
      <c r="L190" s="96" t="inlineStr">
        <is>
          <t>ONE</t>
        </is>
      </c>
      <c r="M190" s="96" t="inlineStr">
        <is>
          <t>VFL</t>
        </is>
      </c>
      <c r="N190" s="96" t="inlineStr">
        <is>
          <t>BKK04</t>
        </is>
      </c>
      <c r="O190" s="96" t="inlineStr">
        <is>
          <t>BKK</t>
        </is>
      </c>
      <c r="P190" s="96" t="inlineStr">
        <is>
          <t>TH</t>
        </is>
      </c>
      <c r="Q190" s="96" t="inlineStr">
        <is>
          <t>HASLS22260902651</t>
        </is>
      </c>
      <c r="R190" s="96" t="inlineStr">
        <is>
          <t>N</t>
        </is>
      </c>
      <c r="S190" s="96" t="inlineStr">
        <is>
          <t>N</t>
        </is>
      </c>
      <c r="T190" s="96" t="inlineStr">
        <is>
          <t>BTS</t>
        </is>
      </c>
      <c r="U190" s="97" t="n"/>
      <c r="V190" s="96" t="inlineStr">
        <is>
          <t>K0120024</t>
        </is>
      </c>
      <c r="W190" s="96" t="inlineStr">
        <is>
          <t>KCTC THAI LOGISTICS CO., LTD.</t>
        </is>
      </c>
      <c r="X190" s="96" t="inlineStr">
        <is>
          <t>VFD</t>
        </is>
      </c>
      <c r="Y190" s="96" t="inlineStr">
        <is>
          <t>GLOBAL HAEHYUN CO.,LTD.</t>
        </is>
      </c>
      <c r="Z190" s="96" t="inlineStr">
        <is>
          <t>GLOBAL HAEHYUN CO.,LTD.</t>
        </is>
      </c>
      <c r="AA190" s="97" t="n">
        <v>11655</v>
      </c>
      <c r="AB190" s="96" t="inlineStr">
        <is>
          <t>BKK04</t>
        </is>
      </c>
      <c r="AC190" s="96" t="inlineStr">
        <is>
          <t>PUS05</t>
        </is>
      </c>
    </row>
    <row r="191" ht="12" customHeight="1">
      <c r="A191" s="96" t="n"/>
      <c r="B191" s="161" t="n"/>
      <c r="C191" s="96" t="n"/>
      <c r="D191" s="96" t="n"/>
      <c r="E191" s="96" t="n"/>
      <c r="F191" s="96" t="n"/>
      <c r="G191" s="96" t="n"/>
      <c r="H191" s="96" t="n"/>
      <c r="I191" s="96" t="n"/>
      <c r="J191" s="96" t="n"/>
      <c r="K191" s="96" t="n"/>
      <c r="L191" s="96" t="n"/>
      <c r="M191" s="96" t="n"/>
      <c r="N191" s="96" t="n"/>
      <c r="O191" s="96" t="n"/>
      <c r="P191" s="96" t="n"/>
      <c r="Q191" s="96" t="n"/>
      <c r="R191" s="96" t="n"/>
      <c r="S191" s="96" t="n"/>
      <c r="T191" s="96" t="n"/>
      <c r="U191" s="97" t="n"/>
      <c r="V191" s="96" t="n"/>
      <c r="W191" s="96" t="n"/>
      <c r="X191" s="96" t="n"/>
      <c r="Y191" s="96" t="n"/>
      <c r="Z191" s="96" t="n"/>
      <c r="AA191" s="97" t="n">
        <v>3525972.956</v>
      </c>
      <c r="AB191" s="96" t="n"/>
      <c r="AC191" s="96" t="n"/>
    </row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73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HASLS22260901997</t>
        </is>
      </c>
      <c r="B2" s="96" t="inlineStr">
        <is>
          <t>20RFx1</t>
        </is>
      </c>
      <c r="C2" s="97" t="n">
        <v>1</v>
      </c>
      <c r="D2" s="97" t="n">
        <v>1</v>
      </c>
      <c r="E2" s="97" t="n"/>
      <c r="F2" s="97" t="n">
        <v>0</v>
      </c>
      <c r="G2" s="97" t="n">
        <v>1</v>
      </c>
      <c r="H2" s="97" t="n">
        <v>0</v>
      </c>
      <c r="I2" s="97" t="n">
        <v>0</v>
      </c>
      <c r="J2" s="97" t="n">
        <v>1</v>
      </c>
      <c r="K2" s="96" t="inlineStr">
        <is>
          <t>N</t>
        </is>
      </c>
      <c r="L2" s="96" t="inlineStr">
        <is>
          <t>BTS</t>
        </is>
      </c>
      <c r="M2" s="96" t="inlineStr">
        <is>
          <t>SWSP</t>
        </is>
      </c>
      <c r="N2" s="96" t="inlineStr">
        <is>
          <t>2609N</t>
        </is>
      </c>
      <c r="O2" s="96" t="inlineStr">
        <is>
          <t>THBKK</t>
        </is>
      </c>
      <c r="P2" s="96" t="inlineStr">
        <is>
          <t>BKK04</t>
        </is>
      </c>
      <c r="Q2" s="96" t="inlineStr">
        <is>
          <t>IA</t>
        </is>
      </c>
      <c r="R2" s="161" t="inlineStr">
        <is>
          <t>2026-10-08</t>
        </is>
      </c>
      <c r="S2" s="96" t="inlineStr">
        <is>
          <t>RUVVO</t>
        </is>
      </c>
      <c r="T2" s="96" t="inlineStr">
        <is>
          <t>VVO01</t>
        </is>
      </c>
      <c r="U2" s="96" t="inlineStr">
        <is>
          <t>RUVVO</t>
        </is>
      </c>
      <c r="V2" s="161" t="inlineStr">
        <is>
          <t>2026-10-28</t>
        </is>
      </c>
      <c r="W2" s="96" t="inlineStr">
        <is>
          <t>RU</t>
        </is>
      </c>
      <c r="X2" s="97" t="n"/>
      <c r="Y2" s="97" t="inlineStr">
        <is>
          <t>PUS05</t>
        </is>
      </c>
      <c r="Z2" s="97" t="inlineStr">
        <is>
          <t>KRPUS</t>
        </is>
      </c>
      <c r="AA2" s="96" t="inlineStr">
        <is>
          <t>BRIO LOGISTICS (THAILAND) CO., LTD.</t>
        </is>
      </c>
      <c r="AB2" s="96" t="inlineStr">
        <is>
          <t>LUCK SIAM GLOBAL COMPANY LIMITED</t>
        </is>
      </c>
      <c r="AC2" s="163" t="n">
        <v>17399</v>
      </c>
      <c r="AD2" s="163" t="n">
        <v>19599</v>
      </c>
      <c r="AE2" s="96" t="inlineStr">
        <is>
          <t>OK</t>
        </is>
      </c>
      <c r="AF2" s="96" t="inlineStr">
        <is>
          <t>SR</t>
        </is>
      </c>
      <c r="AG2" s="97" t="n"/>
      <c r="AH2" s="96" t="inlineStr">
        <is>
          <t>CHK</t>
        </is>
      </c>
      <c r="AI2" s="97" t="n"/>
      <c r="AJ2" s="97" t="n"/>
      <c r="AK2" s="97" t="n"/>
      <c r="AL2" s="97" t="n"/>
      <c r="AM2" s="96" t="inlineStr">
        <is>
          <t>RUVO17</t>
        </is>
      </c>
      <c r="AN2" s="96" t="inlineStr">
        <is>
          <t>Insuk Heo</t>
        </is>
      </c>
      <c r="AO2" s="96" t="inlineStr">
        <is>
          <t>CANNED TUNA</t>
        </is>
      </c>
      <c r="AP2" s="96" t="inlineStr">
        <is>
          <t>T/S</t>
        </is>
      </c>
      <c r="AQ2" s="97" t="n"/>
      <c r="AR2" s="97" t="n"/>
      <c r="AS2" s="97" t="inlineStr">
        <is>
          <t>RF// MIN:+18.0 MAX:+18.0 [COVER:CLOSE]</t>
        </is>
      </c>
      <c r="AT2" s="97" t="inlineStr">
        <is>
          <t xml:space="preserve">22REx1 </t>
        </is>
      </c>
      <c r="AU2" s="97" t="n"/>
      <c r="AV2" s="97" t="n"/>
      <c r="AW2" s="97" t="n">
        <v>0</v>
      </c>
      <c r="AX2" s="96" t="inlineStr">
        <is>
          <t>N</t>
        </is>
      </c>
      <c r="AY2" s="97" t="n"/>
      <c r="AZ2" s="96" t="inlineStr">
        <is>
          <t xml:space="preserve">[FIX][FIX][FIX]Pickup : 2026-10-03, Return : 2026-10-04 (Temp +18.0 / Vent Close)
CLS TIME : 05/10/2026 @16.00 </t>
        </is>
      </c>
      <c r="BA2" s="97" t="inlineStr">
        <is>
          <t>SC#R01-2501005  (Silk Way Logistic)</t>
        </is>
      </c>
      <c r="BB2" s="96" t="inlineStr">
        <is>
          <t>C</t>
        </is>
      </c>
      <c r="BC2" s="161" t="inlineStr">
        <is>
          <t>2026-09-22</t>
        </is>
      </c>
      <c r="BD2" s="161" t="inlineStr">
        <is>
          <t>2026-10-02</t>
        </is>
      </c>
      <c r="BE2" s="96" t="inlineStr">
        <is>
          <t>Y</t>
        </is>
      </c>
      <c r="BF2" s="96" t="inlineStr">
        <is>
          <t>CANNED TUNA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BKK27</t>
        </is>
      </c>
      <c r="BL2" s="161" t="inlineStr">
        <is>
          <t>2026-10-03</t>
        </is>
      </c>
      <c r="BM2" s="127" t="n"/>
      <c r="BN2" s="127" t="n"/>
      <c r="BO2" s="127" t="n"/>
      <c r="BP2" s="127" t="n"/>
      <c r="BQ2" s="127" t="n">
        <v>1</v>
      </c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>
        <v>7</v>
      </c>
      <c r="CA2" s="96" t="inlineStr">
        <is>
          <t>Y</t>
        </is>
      </c>
      <c r="CB2" s="97" t="n"/>
      <c r="CC2" s="96" t="inlineStr">
        <is>
          <t>BKK04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inlineStr">
        <is>
          <t>POL: THBKK [SWSP/2609N]; T/S(1st): KRPUS [SDTR/2630N]; POD: RUVVO [/]</t>
        </is>
      </c>
      <c r="CI2" s="96" t="inlineStr">
        <is>
          <t>june@briologistics.com</t>
        </is>
      </c>
      <c r="CJ2" s="96" t="inlineStr">
        <is>
          <t>BRIO LOGISTICS (THAILAND) CO.,LTD.</t>
        </is>
      </c>
      <c r="CK2" s="96" t="inlineStr">
        <is>
          <t>DV NEVADA CO.,LTD.</t>
        </is>
      </c>
      <c r="CL2" s="96" t="inlineStr">
        <is>
          <t>SILK WAY LOGISTIC LLC</t>
        </is>
      </c>
      <c r="CM2" s="97" t="n"/>
      <c r="CN2" s="96" t="inlineStr">
        <is>
          <t>202610021700</t>
        </is>
      </c>
      <c r="CO2" s="96" t="inlineStr">
        <is>
          <t>202610051200</t>
        </is>
      </c>
      <c r="CP2" s="97" t="inlineStr">
        <is>
          <t>22RE x1: RF(Temp:+18.0' / Cover:CLOSE)</t>
        </is>
      </c>
      <c r="CQ2" s="96" t="inlineStr">
        <is>
          <t>R01-2501005</t>
        </is>
      </c>
      <c r="CR2" s="96" t="inlineStr">
        <is>
          <t>TH03WH</t>
        </is>
      </c>
      <c r="CS2" s="96" t="inlineStr">
        <is>
          <t>BRIO LOGISTICS (THAILAND) CO., LTD.</t>
        </is>
      </c>
      <c r="CT2" s="96" t="inlineStr">
        <is>
          <t>N</t>
        </is>
      </c>
      <c r="CU2" s="97" t="n"/>
      <c r="CV2" s="97" t="n"/>
      <c r="CW2" s="161" t="inlineStr">
        <is>
          <t>2026-10-07</t>
        </is>
      </c>
      <c r="CX2" s="97" t="inlineStr">
        <is>
          <t>160414</t>
        </is>
      </c>
      <c r="CY2" s="156" t="n"/>
    </row>
    <row r="3" ht="12" customHeight="1">
      <c r="A3" s="116" t="inlineStr">
        <is>
          <t>HASLS22260902651</t>
        </is>
      </c>
      <c r="B3" s="96" t="inlineStr">
        <is>
          <t>20RFx1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BTS</t>
        </is>
      </c>
      <c r="M3" s="96" t="inlineStr">
        <is>
          <t>SWSP</t>
        </is>
      </c>
      <c r="N3" s="96" t="inlineStr">
        <is>
          <t>2609N</t>
        </is>
      </c>
      <c r="O3" s="96" t="inlineStr">
        <is>
          <t>THBKK</t>
        </is>
      </c>
      <c r="P3" s="96" t="inlineStr">
        <is>
          <t>BKK04</t>
        </is>
      </c>
      <c r="Q3" s="96" t="inlineStr">
        <is>
          <t>IA</t>
        </is>
      </c>
      <c r="R3" s="161" t="inlineStr">
        <is>
          <t>2026-10-08</t>
        </is>
      </c>
      <c r="S3" s="96" t="inlineStr">
        <is>
          <t>KRPUS</t>
        </is>
      </c>
      <c r="T3" s="96" t="inlineStr">
        <is>
          <t>PUS05</t>
        </is>
      </c>
      <c r="U3" s="96" t="inlineStr">
        <is>
          <t>KRPUS</t>
        </is>
      </c>
      <c r="V3" s="161" t="inlineStr">
        <is>
          <t>2026-10-19</t>
        </is>
      </c>
      <c r="W3" s="96" t="inlineStr">
        <is>
          <t>KR</t>
        </is>
      </c>
      <c r="X3" s="97" t="n"/>
      <c r="Y3" s="97" t="n"/>
      <c r="Z3" s="97" t="n"/>
      <c r="AA3" s="96" t="inlineStr">
        <is>
          <t>KCTC THAI LOGISTICS CO., LTD.</t>
        </is>
      </c>
      <c r="AB3" s="96" t="inlineStr">
        <is>
          <t>BANGKOK SEAFOOD CO., LTD.</t>
        </is>
      </c>
      <c r="AC3" s="163" t="n">
        <v>11655</v>
      </c>
      <c r="AD3" s="163" t="n">
        <v>13855</v>
      </c>
      <c r="AE3" s="96" t="inlineStr">
        <is>
          <t>OK</t>
        </is>
      </c>
      <c r="AF3" s="96" t="inlineStr">
        <is>
          <t>SR</t>
        </is>
      </c>
      <c r="AG3" s="97" t="n"/>
      <c r="AH3" s="96" t="inlineStr">
        <is>
          <t>CHK</t>
        </is>
      </c>
      <c r="AI3" s="97" t="n"/>
      <c r="AJ3" s="97" t="n"/>
      <c r="AK3" s="97" t="n"/>
      <c r="AL3" s="97" t="n"/>
      <c r="AM3" s="96" t="inlineStr">
        <is>
          <t>TBKK13</t>
        </is>
      </c>
      <c r="AN3" s="96" t="inlineStr">
        <is>
          <t>Dharaporn</t>
        </is>
      </c>
      <c r="AO3" s="96" t="inlineStr">
        <is>
          <t>FROZEN BABY OCTOPUS CUT, FROZEN WHOLE CLEANED BABY OCTOPUS</t>
        </is>
      </c>
      <c r="AP3" s="96" t="inlineStr">
        <is>
          <t>Normal</t>
        </is>
      </c>
      <c r="AQ3" s="97" t="n"/>
      <c r="AR3" s="97" t="n"/>
      <c r="AS3" s="97" t="inlineStr">
        <is>
          <t>RF// MIN:-20.0 MAX:-20.0 [COVER:CLOSE]</t>
        </is>
      </c>
      <c r="AT3" s="97" t="inlineStr">
        <is>
          <t xml:space="preserve">22REx1 </t>
        </is>
      </c>
      <c r="AU3" s="97" t="n"/>
      <c r="AV3" s="97" t="n"/>
      <c r="AW3" s="97" t="n">
        <v>0</v>
      </c>
      <c r="AX3" s="96" t="inlineStr">
        <is>
          <t>N</t>
        </is>
      </c>
      <c r="AY3" s="97" t="n"/>
      <c r="AZ3" s="96" t="inlineStr">
        <is>
          <t>Pickup : 2026-10-03, Return : 2026-10-05 (Temp -20.0℃ / Vent Close)
CLS TIME DD.05/10/2026 @23.59HRS. 
REQUEST: CONTAINER FOOD GRADE, NO LEAKAGE, NO SMELL, DRY AND CLEAN</t>
        </is>
      </c>
      <c r="BA3" s="97" t="inlineStr">
        <is>
          <t>REQUEST: CONTAINER FOOD GRADE, NO LEAKAGE, NO SMELL, DRY AND CLEAN(TEMP -20'C / VENT CLOSE) *** NOT PRE-COOL ***</t>
        </is>
      </c>
      <c r="BB3" s="96" t="inlineStr">
        <is>
          <t>P</t>
        </is>
      </c>
      <c r="BC3" s="161" t="inlineStr">
        <is>
          <t>2026-09-29</t>
        </is>
      </c>
      <c r="BD3" s="161" t="inlineStr">
        <is>
          <t>2026-10-06</t>
        </is>
      </c>
      <c r="BE3" s="96" t="inlineStr">
        <is>
          <t>Y</t>
        </is>
      </c>
      <c r="BF3" s="96" t="inlineStr">
        <is>
          <t>FROZEN BABY OCTOPUS CUT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BKK27</t>
        </is>
      </c>
      <c r="BL3" s="161" t="inlineStr">
        <is>
          <t>2026-10-03</t>
        </is>
      </c>
      <c r="BM3" s="127" t="n"/>
      <c r="BN3" s="127" t="n"/>
      <c r="BO3" s="127" t="n"/>
      <c r="BP3" s="127" t="n"/>
      <c r="BQ3" s="127" t="n">
        <v>1</v>
      </c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/>
      <c r="CA3" s="96" t="inlineStr">
        <is>
          <t>Y</t>
        </is>
      </c>
      <c r="CB3" s="97" t="n"/>
      <c r="CC3" s="96" t="inlineStr">
        <is>
          <t>BKK04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n"/>
      <c r="CI3" s="96" t="inlineStr">
        <is>
          <t>outbound@kctcthai.co.th</t>
        </is>
      </c>
      <c r="CJ3" s="96" t="inlineStr">
        <is>
          <t>KCTC THAI LOGISTICS CO., LTD.</t>
        </is>
      </c>
      <c r="CK3" s="96" t="inlineStr">
        <is>
          <t>GLOBAL HAEHYUN CO.,LTD.</t>
        </is>
      </c>
      <c r="CL3" s="96" t="inlineStr">
        <is>
          <t>GLOBAL HAEHYUN CO.,LTD.</t>
        </is>
      </c>
      <c r="CM3" s="97" t="n"/>
      <c r="CN3" s="96" t="inlineStr">
        <is>
          <t>202610021700</t>
        </is>
      </c>
      <c r="CO3" s="96" t="inlineStr">
        <is>
          <t>202610051200</t>
        </is>
      </c>
      <c r="CP3" s="97" t="inlineStr">
        <is>
          <t>22RE x1: RF(Temp:-20.0' / Cover:CLOSE)</t>
        </is>
      </c>
      <c r="CQ3" s="96" t="inlineStr">
        <is>
          <t>S22-2502002</t>
        </is>
      </c>
      <c r="CR3" s="96" t="inlineStr">
        <is>
          <t>THTKFV</t>
        </is>
      </c>
      <c r="CS3" s="96" t="inlineStr">
        <is>
          <t>KCTC THAI LOGISTICS CO., LTD.</t>
        </is>
      </c>
      <c r="CT3" s="96" t="inlineStr">
        <is>
          <t>N</t>
        </is>
      </c>
      <c r="CU3" s="97" t="n"/>
      <c r="CV3" s="97" t="n"/>
      <c r="CW3" s="161" t="inlineStr">
        <is>
          <t>2026-10-07</t>
        </is>
      </c>
      <c r="CX3" s="97" t="n"/>
      <c r="CY3" s="183" t="n"/>
    </row>
    <row r="4" ht="12" customHeight="1">
      <c r="A4" s="116" t="inlineStr">
        <is>
          <t>HASLS22260901286</t>
        </is>
      </c>
      <c r="B4" s="96" t="inlineStr">
        <is>
          <t>20RFx1</t>
        </is>
      </c>
      <c r="C4" s="97" t="n">
        <v>1</v>
      </c>
      <c r="D4" s="97" t="n">
        <v>1</v>
      </c>
      <c r="E4" s="97" t="n"/>
      <c r="F4" s="97" t="n">
        <v>0</v>
      </c>
      <c r="G4" s="97" t="n">
        <v>1</v>
      </c>
      <c r="H4" s="97" t="n">
        <v>0</v>
      </c>
      <c r="I4" s="97" t="n">
        <v>0</v>
      </c>
      <c r="J4" s="97" t="n">
        <v>1</v>
      </c>
      <c r="K4" s="96" t="inlineStr">
        <is>
          <t>N</t>
        </is>
      </c>
      <c r="L4" s="96" t="inlineStr">
        <is>
          <t>BTS</t>
        </is>
      </c>
      <c r="M4" s="96" t="inlineStr">
        <is>
          <t>SWSP</t>
        </is>
      </c>
      <c r="N4" s="96" t="inlineStr">
        <is>
          <t>2609N</t>
        </is>
      </c>
      <c r="O4" s="96" t="inlineStr">
        <is>
          <t>THBKK</t>
        </is>
      </c>
      <c r="P4" s="96" t="inlineStr">
        <is>
          <t>BKK04</t>
        </is>
      </c>
      <c r="Q4" s="96" t="inlineStr">
        <is>
          <t>IA</t>
        </is>
      </c>
      <c r="R4" s="161" t="inlineStr">
        <is>
          <t>2026-10-08</t>
        </is>
      </c>
      <c r="S4" s="96" t="inlineStr">
        <is>
          <t>VNSGN</t>
        </is>
      </c>
      <c r="T4" s="96" t="inlineStr">
        <is>
          <t>SGN03</t>
        </is>
      </c>
      <c r="U4" s="96" t="inlineStr">
        <is>
          <t>VNSGN</t>
        </is>
      </c>
      <c r="V4" s="161" t="inlineStr">
        <is>
          <t>2026-10-11</t>
        </is>
      </c>
      <c r="W4" s="96" t="inlineStr">
        <is>
          <t>IA</t>
        </is>
      </c>
      <c r="X4" s="97" t="n"/>
      <c r="Y4" s="97" t="n"/>
      <c r="Z4" s="97" t="n"/>
      <c r="AA4" s="96" t="inlineStr">
        <is>
          <t>ROYAL SUVARNABHUMI LOGISTIC CO., LTD.</t>
        </is>
      </c>
      <c r="AB4" s="96" t="inlineStr">
        <is>
          <t>TOP PACIFIC CO., LTD.</t>
        </is>
      </c>
      <c r="AC4" s="163" t="n">
        <v>6901.8</v>
      </c>
      <c r="AD4" s="163" t="n">
        <v>9101.799999999999</v>
      </c>
      <c r="AE4" s="96" t="inlineStr">
        <is>
          <t>OK</t>
        </is>
      </c>
      <c r="AF4" s="96" t="inlineStr">
        <is>
          <t>SR</t>
        </is>
      </c>
      <c r="AG4" s="97" t="n"/>
      <c r="AH4" s="96" t="inlineStr">
        <is>
          <t>CHK</t>
        </is>
      </c>
      <c r="AI4" s="97" t="inlineStr">
        <is>
          <t>OK</t>
        </is>
      </c>
      <c r="AJ4" s="97" t="n"/>
      <c r="AK4" s="97" t="n"/>
      <c r="AL4" s="97" t="n"/>
      <c r="AM4" s="96" t="inlineStr">
        <is>
          <t>TBKK28</t>
        </is>
      </c>
      <c r="AN4" s="96" t="inlineStr">
        <is>
          <t>Nustsireerach</t>
        </is>
      </c>
      <c r="AO4" s="96" t="inlineStr">
        <is>
          <t>NATURAL MENTHOL CRYSTAL</t>
        </is>
      </c>
      <c r="AP4" s="96" t="inlineStr">
        <is>
          <t>Normal</t>
        </is>
      </c>
      <c r="AQ4" s="97" t="n"/>
      <c r="AR4" s="97" t="n"/>
      <c r="AS4" s="97" t="inlineStr">
        <is>
          <t>RF// MIN:+18.0 MAX:+18.0 [COVER:CLOSE]</t>
        </is>
      </c>
      <c r="AT4" s="97" t="inlineStr">
        <is>
          <t xml:space="preserve">22REx1 </t>
        </is>
      </c>
      <c r="AU4" s="97" t="n"/>
      <c r="AV4" s="97" t="n"/>
      <c r="AW4" s="97" t="n">
        <v>0</v>
      </c>
      <c r="AX4" s="96" t="inlineStr">
        <is>
          <t>N</t>
        </is>
      </c>
      <c r="AY4" s="97" t="n"/>
      <c r="AZ4" s="96" t="inlineStr">
        <is>
          <t xml:space="preserve">Pickup : 2026-10-05, Return : 2026-10-05 (Temp +18.0 / Vent Close) *PRE-COOL*
COST PRECOOL = 1,000 BAHT  // CLS TIME 05/10/2026 @23.59 </t>
        </is>
      </c>
      <c r="BA4" s="97" t="inlineStr">
        <is>
          <t>COST PRECOOL = 1,000 BAHT 
FM DJCF 0152N DD 16/09 REQUEST CONTAINER GRADE A, WITH NO RUST, DUST DENT LEK CLEAN NO SMELLPre-Cooling:   +18'CTemperature:   +18'CVentilation:   Closed</t>
        </is>
      </c>
      <c r="BB4" s="96" t="inlineStr">
        <is>
          <t>P</t>
        </is>
      </c>
      <c r="BC4" s="161" t="inlineStr">
        <is>
          <t>2026-09-15</t>
        </is>
      </c>
      <c r="BD4" s="161" t="inlineStr">
        <is>
          <t>2026-10-06</t>
        </is>
      </c>
      <c r="BE4" s="96" t="inlineStr">
        <is>
          <t>Y</t>
        </is>
      </c>
      <c r="BF4" s="96" t="inlineStr">
        <is>
          <t>NATURAL MENTHOL CRYSTAL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BKK27</t>
        </is>
      </c>
      <c r="BL4" s="161" t="inlineStr">
        <is>
          <t>2026-10-05</t>
        </is>
      </c>
      <c r="BM4" s="127" t="n"/>
      <c r="BN4" s="127" t="n"/>
      <c r="BO4" s="127" t="n"/>
      <c r="BP4" s="127" t="n"/>
      <c r="BQ4" s="127" t="n">
        <v>1</v>
      </c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/>
      <c r="CA4" s="96" t="inlineStr">
        <is>
          <t>Y</t>
        </is>
      </c>
      <c r="CB4" s="97" t="n"/>
      <c r="CC4" s="96" t="inlineStr">
        <is>
          <t>BKK04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n"/>
      <c r="CI4" s="96" t="inlineStr">
        <is>
          <t>oprs.cs@royallogthai.com</t>
        </is>
      </c>
      <c r="CJ4" s="96" t="inlineStr">
        <is>
          <t>ROYAL SUVARNABHUMI LOGISTIC</t>
        </is>
      </c>
      <c r="CK4" s="96" t="inlineStr">
        <is>
          <t>VIETRANS INT'L FREIGHT FORWARDER .,</t>
        </is>
      </c>
      <c r="CL4" s="96" t="inlineStr">
        <is>
          <t>VIETRANS INT'L FREIGHT FORWARDER</t>
        </is>
      </c>
      <c r="CM4" s="97" t="n"/>
      <c r="CN4" s="96" t="inlineStr">
        <is>
          <t>202610021700</t>
        </is>
      </c>
      <c r="CO4" s="96" t="inlineStr">
        <is>
          <t>202610051200</t>
        </is>
      </c>
      <c r="CP4" s="97" t="inlineStr">
        <is>
          <t>22RE x1: RF(Temp:+18.0' / Cover:CLOSE)</t>
        </is>
      </c>
      <c r="CQ4" s="96" t="inlineStr">
        <is>
          <t>S19-2009029</t>
        </is>
      </c>
      <c r="CR4" s="96" t="inlineStr">
        <is>
          <t>TH044N</t>
        </is>
      </c>
      <c r="CS4" s="96" t="inlineStr">
        <is>
          <t>ROYAL SUVARNABHUMI LOGISTIC CO., LTD.</t>
        </is>
      </c>
      <c r="CT4" s="96" t="inlineStr">
        <is>
          <t>N</t>
        </is>
      </c>
      <c r="CU4" s="97" t="n"/>
      <c r="CV4" s="97" t="n"/>
      <c r="CW4" s="161" t="inlineStr">
        <is>
          <t>2026-10-07</t>
        </is>
      </c>
      <c r="CX4" s="97" t="inlineStr">
        <is>
          <t>290611</t>
        </is>
      </c>
      <c r="CY4" s="183" t="n"/>
    </row>
    <row r="5" ht="12" customHeight="1">
      <c r="A5" s="116" t="inlineStr">
        <is>
          <t>HASLS22260901077</t>
        </is>
      </c>
      <c r="B5" s="96" t="inlineStr">
        <is>
          <t>20'x1</t>
        </is>
      </c>
      <c r="C5" s="97" t="n">
        <v>1</v>
      </c>
      <c r="D5" s="97" t="n">
        <v>1</v>
      </c>
      <c r="E5" s="97" t="n"/>
      <c r="F5" s="97" t="n">
        <v>0</v>
      </c>
      <c r="G5" s="97" t="n">
        <v>1</v>
      </c>
      <c r="H5" s="97" t="n">
        <v>0</v>
      </c>
      <c r="I5" s="97" t="n">
        <v>0</v>
      </c>
      <c r="J5" s="97" t="n">
        <v>1</v>
      </c>
      <c r="K5" s="96" t="inlineStr">
        <is>
          <t>N</t>
        </is>
      </c>
      <c r="L5" s="96" t="inlineStr">
        <is>
          <t>BTS</t>
        </is>
      </c>
      <c r="M5" s="96" t="inlineStr">
        <is>
          <t>SWSP</t>
        </is>
      </c>
      <c r="N5" s="96" t="inlineStr">
        <is>
          <t>2609N</t>
        </is>
      </c>
      <c r="O5" s="96" t="inlineStr">
        <is>
          <t>THBKK</t>
        </is>
      </c>
      <c r="P5" s="96" t="inlineStr">
        <is>
          <t>BKK04</t>
        </is>
      </c>
      <c r="Q5" s="96" t="inlineStr">
        <is>
          <t>IA</t>
        </is>
      </c>
      <c r="R5" s="161" t="inlineStr">
        <is>
          <t>2026-10-08</t>
        </is>
      </c>
      <c r="S5" s="96" t="inlineStr">
        <is>
          <t>VNSGN</t>
        </is>
      </c>
      <c r="T5" s="96" t="inlineStr">
        <is>
          <t>SGN03</t>
        </is>
      </c>
      <c r="U5" s="96" t="inlineStr">
        <is>
          <t>VNSGN</t>
        </is>
      </c>
      <c r="V5" s="161" t="inlineStr">
        <is>
          <t>2026-10-11</t>
        </is>
      </c>
      <c r="W5" s="96" t="inlineStr">
        <is>
          <t>IA</t>
        </is>
      </c>
      <c r="X5" s="97" t="n"/>
      <c r="Y5" s="97" t="n"/>
      <c r="Z5" s="97" t="n"/>
      <c r="AA5" s="96" t="inlineStr">
        <is>
          <t>EAST-LINK CORPORATION CO., LTD.</t>
        </is>
      </c>
      <c r="AB5" s="96" t="inlineStr">
        <is>
          <t>SIAM FUKOKU CO.,LTD.</t>
        </is>
      </c>
      <c r="AC5" s="163" t="n">
        <v>2035.94</v>
      </c>
      <c r="AD5" s="163" t="n">
        <v>4235.94</v>
      </c>
      <c r="AE5" s="96" t="inlineStr">
        <is>
          <t>OK</t>
        </is>
      </c>
      <c r="AF5" s="96" t="inlineStr">
        <is>
          <t>SR</t>
        </is>
      </c>
      <c r="AG5" s="97" t="n"/>
      <c r="AH5" s="96" t="inlineStr">
        <is>
          <t>CON</t>
        </is>
      </c>
      <c r="AI5" s="97" t="inlineStr">
        <is>
          <t>OK</t>
        </is>
      </c>
      <c r="AJ5" s="97" t="n"/>
      <c r="AK5" s="97" t="n"/>
      <c r="AL5" s="97" t="n"/>
      <c r="AM5" s="96" t="inlineStr">
        <is>
          <t>TBKK13</t>
        </is>
      </c>
      <c r="AN5" s="96" t="inlineStr">
        <is>
          <t>Dharaporn</t>
        </is>
      </c>
      <c r="AO5" s="96" t="inlineStr">
        <is>
          <t>BLADE RUBBER</t>
        </is>
      </c>
      <c r="AP5" s="96" t="inlineStr">
        <is>
          <t>Normal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n"/>
      <c r="AZ5" s="96" t="inlineStr">
        <is>
          <t>Pickup : 2026-10-02, Return : 2026-10-03  *CLS TIME DD.05/10/2026 @23.59*</t>
        </is>
      </c>
      <c r="BA5" s="97" t="inlineStr">
        <is>
          <t>FM 1X40'HQ DD 22/09 RQS CLEAN &amp; GOOD CONTAINER CONDITION.</t>
        </is>
      </c>
      <c r="BB5" s="96" t="inlineStr">
        <is>
          <t>C</t>
        </is>
      </c>
      <c r="BC5" s="161" t="inlineStr">
        <is>
          <t>2026-09-14</t>
        </is>
      </c>
      <c r="BD5" s="161" t="inlineStr">
        <is>
          <t>2026-10-06</t>
        </is>
      </c>
      <c r="BE5" s="96" t="inlineStr">
        <is>
          <t>Y</t>
        </is>
      </c>
      <c r="BF5" s="96" t="inlineStr">
        <is>
          <t>BLADE RUBBER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BKK25</t>
        </is>
      </c>
      <c r="BL5" s="161" t="inlineStr">
        <is>
          <t>2026-10-02</t>
        </is>
      </c>
      <c r="BM5" s="127" t="n"/>
      <c r="BN5" s="127" t="n">
        <v>1</v>
      </c>
      <c r="BO5" s="127" t="n"/>
      <c r="BP5" s="127" t="n"/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/>
      <c r="CA5" s="96" t="inlineStr">
        <is>
          <t>Y</t>
        </is>
      </c>
      <c r="CB5" s="97" t="n"/>
      <c r="CC5" s="96" t="inlineStr">
        <is>
          <t>BKK04</t>
        </is>
      </c>
      <c r="CD5" s="97" t="n"/>
      <c r="CE5" s="97" t="n"/>
      <c r="CF5" s="96" t="inlineStr">
        <is>
          <t>0 Teu</t>
        </is>
      </c>
      <c r="CG5" s="96" t="inlineStr">
        <is>
          <t>CY/CY</t>
        </is>
      </c>
      <c r="CH5" s="97" t="n"/>
      <c r="CI5" s="96" t="inlineStr">
        <is>
          <t>rockwell@eastlink-group.com</t>
        </is>
      </c>
      <c r="CJ5" s="96" t="inlineStr">
        <is>
          <t>EAST-LINK CORPORATION CO. , LTD.</t>
        </is>
      </c>
      <c r="CK5" s="96" t="inlineStr">
        <is>
          <t>BEE LOGISTICS CORP - HANOI BRANCH</t>
        </is>
      </c>
      <c r="CL5" s="96" t="inlineStr">
        <is>
          <t>BEE LOGISTICS CORP - HANOI BRANCH</t>
        </is>
      </c>
      <c r="CM5" s="97" t="n"/>
      <c r="CN5" s="96" t="inlineStr">
        <is>
          <t>202610021700</t>
        </is>
      </c>
      <c r="CO5" s="96" t="inlineStr">
        <is>
          <t>202610051200</t>
        </is>
      </c>
      <c r="CP5" s="97" t="n"/>
      <c r="CQ5" s="96" t="inlineStr">
        <is>
          <t>S22-2308019</t>
        </is>
      </c>
      <c r="CR5" s="96" t="inlineStr">
        <is>
          <t>TH03OT</t>
        </is>
      </c>
      <c r="CS5" s="96" t="inlineStr">
        <is>
          <t>EAST-LINK CORPORATION CO., LTD.</t>
        </is>
      </c>
      <c r="CT5" s="96" t="inlineStr">
        <is>
          <t>N</t>
        </is>
      </c>
      <c r="CU5" s="97" t="n"/>
      <c r="CV5" s="97" t="n"/>
      <c r="CW5" s="161" t="inlineStr">
        <is>
          <t>2026-10-07</t>
        </is>
      </c>
      <c r="CX5" s="97" t="inlineStr">
        <is>
          <t>401699</t>
        </is>
      </c>
      <c r="CY5" s="183" t="n"/>
    </row>
    <row r="6" ht="12" customHeight="1">
      <c r="A6" s="116" t="inlineStr">
        <is>
          <t>HASLS22260900523</t>
        </is>
      </c>
      <c r="B6" s="96" t="inlineStr">
        <is>
          <t>20'x1</t>
        </is>
      </c>
      <c r="C6" s="97" t="n">
        <v>1</v>
      </c>
      <c r="D6" s="97" t="n">
        <v>1</v>
      </c>
      <c r="E6" s="97" t="n"/>
      <c r="F6" s="97" t="n">
        <v>0</v>
      </c>
      <c r="G6" s="97" t="n">
        <v>1</v>
      </c>
      <c r="H6" s="97" t="n">
        <v>0</v>
      </c>
      <c r="I6" s="97" t="n">
        <v>0</v>
      </c>
      <c r="J6" s="97" t="n">
        <v>1</v>
      </c>
      <c r="K6" s="96" t="inlineStr">
        <is>
          <t>N</t>
        </is>
      </c>
      <c r="L6" s="96" t="inlineStr">
        <is>
          <t>BTS</t>
        </is>
      </c>
      <c r="M6" s="96" t="inlineStr">
        <is>
          <t>SWSP</t>
        </is>
      </c>
      <c r="N6" s="96" t="inlineStr">
        <is>
          <t>2609N</t>
        </is>
      </c>
      <c r="O6" s="96" t="inlineStr">
        <is>
          <t>THBKK</t>
        </is>
      </c>
      <c r="P6" s="96" t="inlineStr">
        <is>
          <t>BKK04</t>
        </is>
      </c>
      <c r="Q6" s="96" t="inlineStr">
        <is>
          <t>IA</t>
        </is>
      </c>
      <c r="R6" s="161" t="inlineStr">
        <is>
          <t>2026-10-08</t>
        </is>
      </c>
      <c r="S6" s="96" t="inlineStr">
        <is>
          <t>VNSGN</t>
        </is>
      </c>
      <c r="T6" s="96" t="inlineStr">
        <is>
          <t>SGN03</t>
        </is>
      </c>
      <c r="U6" s="96" t="inlineStr">
        <is>
          <t>VNSGN</t>
        </is>
      </c>
      <c r="V6" s="161" t="inlineStr">
        <is>
          <t>2026-10-11</t>
        </is>
      </c>
      <c r="W6" s="96" t="inlineStr">
        <is>
          <t>IA</t>
        </is>
      </c>
      <c r="X6" s="97" t="n"/>
      <c r="Y6" s="97" t="n"/>
      <c r="Z6" s="97" t="n"/>
      <c r="AA6" s="96" t="inlineStr">
        <is>
          <t>QUALITY ACCESS GLOBAL LOGISTICS CO., LTD</t>
        </is>
      </c>
      <c r="AB6" s="96" t="inlineStr">
        <is>
          <t>AQUACULTURE PROMOTION CO., LTD.</t>
        </is>
      </c>
      <c r="AC6" s="163" t="n">
        <v>17836.5</v>
      </c>
      <c r="AD6" s="163" t="n">
        <v>20036.5</v>
      </c>
      <c r="AE6" s="96" t="inlineStr">
        <is>
          <t>OK</t>
        </is>
      </c>
      <c r="AF6" s="96" t="inlineStr">
        <is>
          <t>SR</t>
        </is>
      </c>
      <c r="AG6" s="97" t="n"/>
      <c r="AH6" s="96" t="inlineStr">
        <is>
          <t>CHK</t>
        </is>
      </c>
      <c r="AI6" s="97" t="inlineStr">
        <is>
          <t>OK</t>
        </is>
      </c>
      <c r="AJ6" s="97" t="n"/>
      <c r="AK6" s="97" t="n"/>
      <c r="AL6" s="97" t="n"/>
      <c r="AM6" s="96" t="inlineStr">
        <is>
          <t>TBKK13</t>
        </is>
      </c>
      <c r="AN6" s="96" t="inlineStr">
        <is>
          <t>Dharaporn</t>
        </is>
      </c>
      <c r="AO6" s="96" t="inlineStr">
        <is>
          <t>PREMIX TW-IN</t>
        </is>
      </c>
      <c r="AP6" s="96" t="inlineStr">
        <is>
          <t>Normal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n"/>
      <c r="AZ6" s="96" t="inlineStr">
        <is>
          <t>Pickup : 2026-10-01, Return : 2026-10-02</t>
        </is>
      </c>
      <c r="BA6" s="97" t="inlineStr">
        <is>
          <t xml:space="preserve">FM 2X20GP 21/09
FM BKK25 BY CUST DD. 30/09 GRADE A  CONTANER REQUEST FREE TIME 14/14 DAYS AT DESTINATION PORT </t>
        </is>
      </c>
      <c r="BB6" s="96" t="inlineStr">
        <is>
          <t>P</t>
        </is>
      </c>
      <c r="BC6" s="161" t="inlineStr">
        <is>
          <t>2026-09-07</t>
        </is>
      </c>
      <c r="BD6" s="161" t="inlineStr">
        <is>
          <t>2026-10-06</t>
        </is>
      </c>
      <c r="BE6" s="96" t="inlineStr">
        <is>
          <t>Y</t>
        </is>
      </c>
      <c r="BF6" s="96" t="inlineStr">
        <is>
          <t>PREMIX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BKK27</t>
        </is>
      </c>
      <c r="BL6" s="161" t="inlineStr">
        <is>
          <t>2026-10-01</t>
        </is>
      </c>
      <c r="BM6" s="127" t="n"/>
      <c r="BN6" s="127" t="n">
        <v>1</v>
      </c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/>
      <c r="CA6" s="96" t="inlineStr">
        <is>
          <t>Y</t>
        </is>
      </c>
      <c r="CB6" s="97" t="n"/>
      <c r="CC6" s="96" t="inlineStr">
        <is>
          <t>BKK04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n"/>
      <c r="CI6" s="96" t="inlineStr">
        <is>
          <t>cs@qualityaccess.co.th;sarawut@qualityaccess.co.th</t>
        </is>
      </c>
      <c r="CJ6" s="96" t="inlineStr">
        <is>
          <t>AQUACULTURE PROMOTION CO.,LTD.</t>
        </is>
      </c>
      <c r="CK6" s="96" t="inlineStr">
        <is>
          <t>C.P.VIETNAM CORPORATION</t>
        </is>
      </c>
      <c r="CL6" s="96" t="inlineStr">
        <is>
          <t>C.P.VIETNAM CORPORATION</t>
        </is>
      </c>
      <c r="CM6" s="97" t="n"/>
      <c r="CN6" s="96" t="inlineStr">
        <is>
          <t>202610021700</t>
        </is>
      </c>
      <c r="CO6" s="96" t="inlineStr">
        <is>
          <t>202610051200</t>
        </is>
      </c>
      <c r="CP6" s="97" t="n"/>
      <c r="CQ6" s="96" t="inlineStr">
        <is>
          <t>S22-2312033</t>
        </is>
      </c>
      <c r="CR6" s="96" t="inlineStr">
        <is>
          <t>THTUBJ</t>
        </is>
      </c>
      <c r="CS6" s="96" t="inlineStr">
        <is>
          <t>QUALITY ACCESS GLOBAL LOGISTICS CO., LTD</t>
        </is>
      </c>
      <c r="CT6" s="96" t="inlineStr">
        <is>
          <t>N</t>
        </is>
      </c>
      <c r="CU6" s="97" t="n"/>
      <c r="CV6" s="97" t="n"/>
      <c r="CW6" s="161" t="inlineStr">
        <is>
          <t>2026-10-05</t>
        </is>
      </c>
      <c r="CX6" s="97" t="inlineStr">
        <is>
          <t>230990</t>
        </is>
      </c>
      <c r="CY6" s="183" t="n"/>
    </row>
    <row r="7" ht="12" customHeight="1">
      <c r="A7" s="116" t="inlineStr">
        <is>
          <t>HASLS22260900106</t>
        </is>
      </c>
      <c r="B7" s="96" t="inlineStr">
        <is>
          <t>20'x1</t>
        </is>
      </c>
      <c r="C7" s="97" t="n">
        <v>1</v>
      </c>
      <c r="D7" s="97" t="n">
        <v>1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BTS</t>
        </is>
      </c>
      <c r="M7" s="96" t="inlineStr">
        <is>
          <t>SWSP</t>
        </is>
      </c>
      <c r="N7" s="96" t="inlineStr">
        <is>
          <t>2609N</t>
        </is>
      </c>
      <c r="O7" s="96" t="inlineStr">
        <is>
          <t>THBKK</t>
        </is>
      </c>
      <c r="P7" s="96" t="inlineStr">
        <is>
          <t>BKK04</t>
        </is>
      </c>
      <c r="Q7" s="96" t="inlineStr">
        <is>
          <t>IA</t>
        </is>
      </c>
      <c r="R7" s="161" t="inlineStr">
        <is>
          <t>2026-10-08</t>
        </is>
      </c>
      <c r="S7" s="96" t="inlineStr">
        <is>
          <t>JPISS</t>
        </is>
      </c>
      <c r="T7" s="96" t="inlineStr">
        <is>
          <t>ISS02</t>
        </is>
      </c>
      <c r="U7" s="96" t="inlineStr">
        <is>
          <t>JPISS</t>
        </is>
      </c>
      <c r="V7" s="161" t="inlineStr">
        <is>
          <t>2026-11-02</t>
        </is>
      </c>
      <c r="W7" s="96" t="inlineStr">
        <is>
          <t>JP</t>
        </is>
      </c>
      <c r="X7" s="97" t="n"/>
      <c r="Y7" s="97" t="inlineStr">
        <is>
          <t>PUS05</t>
        </is>
      </c>
      <c r="Z7" s="97" t="inlineStr">
        <is>
          <t>KRPUS</t>
        </is>
      </c>
      <c r="AA7" s="96" t="inlineStr">
        <is>
          <t>BORNEO LOGISTICS CO., LTD.</t>
        </is>
      </c>
      <c r="AB7" s="96" t="inlineStr">
        <is>
          <t>UNICORD PUBLIC COMPANY LIMITED</t>
        </is>
      </c>
      <c r="AC7" s="163" t="n">
        <v>19720</v>
      </c>
      <c r="AD7" s="163" t="n">
        <v>21920</v>
      </c>
      <c r="AE7" s="96" t="inlineStr">
        <is>
          <t>OK</t>
        </is>
      </c>
      <c r="AF7" s="96" t="inlineStr">
        <is>
          <t>SR</t>
        </is>
      </c>
      <c r="AG7" s="97" t="n"/>
      <c r="AH7" s="96" t="inlineStr">
        <is>
          <t>CHK</t>
        </is>
      </c>
      <c r="AI7" s="97" t="inlineStr">
        <is>
          <t>OK</t>
        </is>
      </c>
      <c r="AJ7" s="97" t="n"/>
      <c r="AK7" s="97" t="n"/>
      <c r="AL7" s="97" t="n"/>
      <c r="AM7" s="96" t="inlineStr">
        <is>
          <t>TBKK28</t>
        </is>
      </c>
      <c r="AN7" s="96" t="inlineStr">
        <is>
          <t>Nustsireerach</t>
        </is>
      </c>
      <c r="AO7" s="96" t="inlineStr">
        <is>
          <t>CANNED GOODS</t>
        </is>
      </c>
      <c r="AP7" s="96" t="inlineStr">
        <is>
          <t>T/S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n"/>
      <c r="AZ7" s="96" t="inlineStr">
        <is>
          <t>[FIX]Pickup : 2026-09-30, Return : 2026-10-01</t>
        </is>
      </c>
      <c r="BA7" s="97" t="inlineStr">
        <is>
          <t>FM 2X20'GP DD 10/09 LOCAL CHARGE:  PLS. ISSUE PAYER NAME ON INVOICE UNICORD PUBLIC COMPANY LIMITED 39/3 MOO 8, SETTHAKIJ 1 ROAD, THASAI  MUANG,  SAMUTSAKHON, 74000 THAILAND TAX NO: 0107536000757 HEAD OFFICE   PLS. SEND FIRST DRAFT BL &amp; EXPENSES  TO BL@BORNEOLOGISTICS.COM</t>
        </is>
      </c>
      <c r="BB7" s="96" t="inlineStr">
        <is>
          <t>P</t>
        </is>
      </c>
      <c r="BC7" s="161" t="inlineStr">
        <is>
          <t>2026-09-01</t>
        </is>
      </c>
      <c r="BD7" s="161" t="inlineStr">
        <is>
          <t>2026-10-02</t>
        </is>
      </c>
      <c r="BE7" s="96" t="inlineStr">
        <is>
          <t>Y</t>
        </is>
      </c>
      <c r="BF7" s="96" t="inlineStr">
        <is>
          <t>CANNED GOODS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BKK27</t>
        </is>
      </c>
      <c r="BL7" s="161" t="inlineStr">
        <is>
          <t>2026-09-30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>
        <v>11</v>
      </c>
      <c r="CA7" s="96" t="inlineStr">
        <is>
          <t>Y</t>
        </is>
      </c>
      <c r="CB7" s="97" t="n"/>
      <c r="CC7" s="96" t="inlineStr">
        <is>
          <t>BKK04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inlineStr">
        <is>
          <t>POL: THBKK [SWSP/2609N]; T/S(1st): KRPUS [HAKT/2640E]; POD: JPISS [/]</t>
        </is>
      </c>
      <c r="CI7" s="96" t="inlineStr">
        <is>
          <t>cs@borneologistics.com</t>
        </is>
      </c>
      <c r="CJ7" s="96" t="inlineStr">
        <is>
          <t>UNICORD PUBLIC COMPANY LIMITED.</t>
        </is>
      </c>
      <c r="CK7" s="96" t="inlineStr">
        <is>
          <t>TOEI TRADING CO.,LTD</t>
        </is>
      </c>
      <c r="CL7" s="96" t="inlineStr">
        <is>
          <t>TOEI TRADING CO.,LTD</t>
        </is>
      </c>
      <c r="CM7" s="97" t="n"/>
      <c r="CN7" s="96" t="inlineStr">
        <is>
          <t>202610021700</t>
        </is>
      </c>
      <c r="CO7" s="96" t="inlineStr">
        <is>
          <t>202610051200</t>
        </is>
      </c>
      <c r="CP7" s="97" t="n"/>
      <c r="CQ7" s="96" t="inlineStr">
        <is>
          <t>S19-2301005</t>
        </is>
      </c>
      <c r="CR7" s="96" t="inlineStr">
        <is>
          <t>TH000P</t>
        </is>
      </c>
      <c r="CS7" s="96" t="inlineStr">
        <is>
          <t>BORNEO LOGISTICS CO., LTD.</t>
        </is>
      </c>
      <c r="CT7" s="96" t="inlineStr">
        <is>
          <t>N</t>
        </is>
      </c>
      <c r="CU7" s="97" t="n"/>
      <c r="CV7" s="97" t="n"/>
      <c r="CW7" s="161" t="inlineStr">
        <is>
          <t>2026-10-05</t>
        </is>
      </c>
      <c r="CX7" s="97" t="inlineStr">
        <is>
          <t>230910</t>
        </is>
      </c>
      <c r="CY7" s="183" t="n"/>
    </row>
    <row r="8" ht="12" customHeight="1">
      <c r="A8" s="116" t="inlineStr">
        <is>
          <t>HASLS22260901638</t>
        </is>
      </c>
      <c r="B8" s="96" t="inlineStr">
        <is>
          <t>20'x1</t>
        </is>
      </c>
      <c r="C8" s="97" t="n">
        <v>1</v>
      </c>
      <c r="D8" s="97" t="n">
        <v>1</v>
      </c>
      <c r="E8" s="97" t="n"/>
      <c r="F8" s="97" t="n">
        <v>0</v>
      </c>
      <c r="G8" s="97" t="n">
        <v>1</v>
      </c>
      <c r="H8" s="97" t="n">
        <v>0</v>
      </c>
      <c r="I8" s="97" t="n">
        <v>0</v>
      </c>
      <c r="J8" s="97" t="n">
        <v>1</v>
      </c>
      <c r="K8" s="96" t="inlineStr">
        <is>
          <t>N</t>
        </is>
      </c>
      <c r="L8" s="96" t="inlineStr">
        <is>
          <t>BTS</t>
        </is>
      </c>
      <c r="M8" s="96" t="inlineStr">
        <is>
          <t>SWSP</t>
        </is>
      </c>
      <c r="N8" s="96" t="inlineStr">
        <is>
          <t>2609N</t>
        </is>
      </c>
      <c r="O8" s="96" t="inlineStr">
        <is>
          <t>THBKK</t>
        </is>
      </c>
      <c r="P8" s="96" t="inlineStr">
        <is>
          <t>BKK04</t>
        </is>
      </c>
      <c r="Q8" s="96" t="inlineStr">
        <is>
          <t>IA</t>
        </is>
      </c>
      <c r="R8" s="161" t="inlineStr">
        <is>
          <t>2026-10-08</t>
        </is>
      </c>
      <c r="S8" s="96" t="inlineStr">
        <is>
          <t>VNSGN</t>
        </is>
      </c>
      <c r="T8" s="96" t="inlineStr">
        <is>
          <t>SGN03</t>
        </is>
      </c>
      <c r="U8" s="96" t="inlineStr">
        <is>
          <t>VNSGN</t>
        </is>
      </c>
      <c r="V8" s="161" t="inlineStr">
        <is>
          <t>2026-10-11</t>
        </is>
      </c>
      <c r="W8" s="96" t="inlineStr">
        <is>
          <t>IA</t>
        </is>
      </c>
      <c r="X8" s="97" t="n"/>
      <c r="Y8" s="97" t="n"/>
      <c r="Z8" s="97" t="n"/>
      <c r="AA8" s="96" t="inlineStr">
        <is>
          <t>SDS-ACUTECH CO., LTD.</t>
        </is>
      </c>
      <c r="AB8" s="96" t="inlineStr">
        <is>
          <t>APEX CIRCUIT (THAILAND) CO., LTD.</t>
        </is>
      </c>
      <c r="AC8" s="163" t="n">
        <v>3133.19</v>
      </c>
      <c r="AD8" s="163" t="n">
        <v>5333.19</v>
      </c>
      <c r="AE8" s="96" t="inlineStr">
        <is>
          <t>OK</t>
        </is>
      </c>
      <c r="AF8" s="96" t="n"/>
      <c r="AG8" s="97" t="n"/>
      <c r="AH8" s="96" t="inlineStr">
        <is>
          <t>CHK</t>
        </is>
      </c>
      <c r="AI8" s="97" t="n"/>
      <c r="AJ8" s="97" t="n"/>
      <c r="AK8" s="97" t="n"/>
      <c r="AL8" s="97" t="n"/>
      <c r="AM8" s="96" t="inlineStr">
        <is>
          <t>390011</t>
        </is>
      </c>
      <c r="AN8" s="96" t="inlineStr">
        <is>
          <t>LEE SEUNG MIN</t>
        </is>
      </c>
      <c r="AO8" s="96" t="inlineStr">
        <is>
          <t xml:space="preserve">BACKLIGHT BOARD </t>
        </is>
      </c>
      <c r="AP8" s="96" t="inlineStr">
        <is>
          <t>Normal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n"/>
      <c r="AZ8" s="96" t="inlineStr">
        <is>
          <t>Pickup : 2026-10-01, Return : 2026-10-02</t>
        </is>
      </c>
      <c r="BA8" s="97" t="n"/>
      <c r="BB8" s="96" t="inlineStr">
        <is>
          <t>C</t>
        </is>
      </c>
      <c r="BC8" s="161" t="inlineStr">
        <is>
          <t>2026-09-18</t>
        </is>
      </c>
      <c r="BD8" s="161" t="inlineStr">
        <is>
          <t>2026-10-05</t>
        </is>
      </c>
      <c r="BE8" s="96" t="inlineStr">
        <is>
          <t>Y</t>
        </is>
      </c>
      <c r="BF8" s="96" t="inlineStr">
        <is>
          <t>PRINTED CIRCUIT BOARD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BKK27</t>
        </is>
      </c>
      <c r="BL8" s="161" t="inlineStr">
        <is>
          <t>2026-10-01</t>
        </is>
      </c>
      <c r="BM8" s="127" t="n"/>
      <c r="BN8" s="127" t="n">
        <v>1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/>
      <c r="CA8" s="96" t="inlineStr">
        <is>
          <t>Y</t>
        </is>
      </c>
      <c r="CB8" s="97" t="n"/>
      <c r="CC8" s="96" t="inlineStr">
        <is>
          <t>BKK04</t>
        </is>
      </c>
      <c r="CD8" s="97" t="n"/>
      <c r="CE8" s="97" t="n"/>
      <c r="CF8" s="96" t="inlineStr">
        <is>
          <t>0 Teu</t>
        </is>
      </c>
      <c r="CG8" s="96" t="inlineStr">
        <is>
          <t>CY/CY</t>
        </is>
      </c>
      <c r="CH8" s="97" t="n"/>
      <c r="CI8" s="96" t="inlineStr">
        <is>
          <t>sapanna.t@partner.samsung.com;cello-expth@partner.samsung.com</t>
        </is>
      </c>
      <c r="CJ8" s="96" t="inlineStr">
        <is>
          <t>APEX CIRCUIT (THAILAND) CO.,LTD.</t>
        </is>
      </c>
      <c r="CK8" s="96" t="inlineStr">
        <is>
          <t>SAMSUNG ELECTRONICS HCMC CE COMPLEX</t>
        </is>
      </c>
      <c r="CL8" s="96" t="inlineStr">
        <is>
          <t>SAMSUNG SDS VIETNAM CO., LTD -</t>
        </is>
      </c>
      <c r="CM8" s="97" t="n"/>
      <c r="CN8" s="96" t="inlineStr">
        <is>
          <t>202610021700</t>
        </is>
      </c>
      <c r="CO8" s="96" t="inlineStr">
        <is>
          <t>202610051200</t>
        </is>
      </c>
      <c r="CP8" s="97" t="n"/>
      <c r="CQ8" s="96" t="inlineStr">
        <is>
          <t>SDS2026GMT</t>
        </is>
      </c>
      <c r="CR8" s="96" t="inlineStr">
        <is>
          <t>THTIER</t>
        </is>
      </c>
      <c r="CS8" s="96" t="inlineStr">
        <is>
          <t>SDS-ACUTECH CO., LTD.</t>
        </is>
      </c>
      <c r="CT8" s="96" t="inlineStr">
        <is>
          <t>N</t>
        </is>
      </c>
      <c r="CU8" s="97" t="n"/>
      <c r="CV8" s="97" t="n"/>
      <c r="CW8" s="161" t="inlineStr">
        <is>
          <t>2026-10-04</t>
        </is>
      </c>
      <c r="CX8" s="97" t="inlineStr">
        <is>
          <t>853400</t>
        </is>
      </c>
      <c r="CY8" s="183" t="n"/>
    </row>
    <row r="9" ht="12" customHeight="1">
      <c r="A9" s="116" t="inlineStr">
        <is>
          <t>HASLS22260901581</t>
        </is>
      </c>
      <c r="B9" s="96" t="inlineStr">
        <is>
          <t>20'x1</t>
        </is>
      </c>
      <c r="C9" s="97" t="n">
        <v>1</v>
      </c>
      <c r="D9" s="97" t="n">
        <v>1</v>
      </c>
      <c r="E9" s="97" t="n"/>
      <c r="F9" s="97" t="n">
        <v>0</v>
      </c>
      <c r="G9" s="97" t="n">
        <v>1</v>
      </c>
      <c r="H9" s="97" t="n">
        <v>0</v>
      </c>
      <c r="I9" s="97" t="n">
        <v>0</v>
      </c>
      <c r="J9" s="97" t="n">
        <v>1</v>
      </c>
      <c r="K9" s="96" t="inlineStr">
        <is>
          <t>N</t>
        </is>
      </c>
      <c r="L9" s="96" t="inlineStr">
        <is>
          <t>BTS</t>
        </is>
      </c>
      <c r="M9" s="96" t="inlineStr">
        <is>
          <t>SWSP</t>
        </is>
      </c>
      <c r="N9" s="96" t="inlineStr">
        <is>
          <t>2609N</t>
        </is>
      </c>
      <c r="O9" s="96" t="inlineStr">
        <is>
          <t>THBKK</t>
        </is>
      </c>
      <c r="P9" s="96" t="inlineStr">
        <is>
          <t>BKK04</t>
        </is>
      </c>
      <c r="Q9" s="96" t="inlineStr">
        <is>
          <t>IA</t>
        </is>
      </c>
      <c r="R9" s="161" t="inlineStr">
        <is>
          <t>2026-10-08</t>
        </is>
      </c>
      <c r="S9" s="96" t="inlineStr">
        <is>
          <t>VNSGN</t>
        </is>
      </c>
      <c r="T9" s="96" t="inlineStr">
        <is>
          <t>SGN03</t>
        </is>
      </c>
      <c r="U9" s="96" t="inlineStr">
        <is>
          <t>VNSGN</t>
        </is>
      </c>
      <c r="V9" s="161" t="inlineStr">
        <is>
          <t>2026-10-11</t>
        </is>
      </c>
      <c r="W9" s="96" t="inlineStr">
        <is>
          <t>IA</t>
        </is>
      </c>
      <c r="X9" s="97" t="n"/>
      <c r="Y9" s="97" t="n"/>
      <c r="Z9" s="97" t="n"/>
      <c r="AA9" s="96" t="inlineStr">
        <is>
          <t>BEE LOGISTICS (THAILAND) CO., LTD.</t>
        </is>
      </c>
      <c r="AB9" s="96" t="inlineStr">
        <is>
          <t>AJINOMOTO CO., (THAILAND) LTD.</t>
        </is>
      </c>
      <c r="AC9" s="163" t="n">
        <v>15004.8</v>
      </c>
      <c r="AD9" s="163" t="n">
        <v>17204.8</v>
      </c>
      <c r="AE9" s="96" t="inlineStr">
        <is>
          <t>OK</t>
        </is>
      </c>
      <c r="AF9" s="96" t="inlineStr">
        <is>
          <t>SR</t>
        </is>
      </c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TBKK28</t>
        </is>
      </c>
      <c r="AN9" s="96" t="inlineStr">
        <is>
          <t>Nustsireerach</t>
        </is>
      </c>
      <c r="AO9" s="96" t="inlineStr">
        <is>
          <t>AJITIDE I+G</t>
        </is>
      </c>
      <c r="AP9" s="96" t="inlineStr">
        <is>
          <t>Normal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n"/>
      <c r="AZ9" s="96" t="inlineStr">
        <is>
          <t>Pickup : 2026-10-01, Return : 2026-10-02</t>
        </is>
      </c>
      <c r="BA9" s="97" t="inlineStr">
        <is>
          <t>PLS ARRANGE GRADE A CONTAINER FOR FOODSTUFF PRODUCT WITH 6 RINGS IN ORDER TO HOOK NET IN THE CONTAINER.</t>
        </is>
      </c>
      <c r="BB9" s="96" t="inlineStr">
        <is>
          <t>P</t>
        </is>
      </c>
      <c r="BC9" s="161" t="inlineStr">
        <is>
          <t>2026-09-17</t>
        </is>
      </c>
      <c r="BD9" s="161" t="inlineStr">
        <is>
          <t>2026-10-05</t>
        </is>
      </c>
      <c r="BE9" s="96" t="inlineStr">
        <is>
          <t>Y</t>
        </is>
      </c>
      <c r="BF9" s="96" t="inlineStr">
        <is>
          <t>AJITIDE I+G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BKK25</t>
        </is>
      </c>
      <c r="BL9" s="161" t="inlineStr">
        <is>
          <t>2026-10-01</t>
        </is>
      </c>
      <c r="BM9" s="127" t="n"/>
      <c r="BN9" s="127" t="n">
        <v>1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/>
      <c r="CA9" s="96" t="inlineStr">
        <is>
          <t>Y</t>
        </is>
      </c>
      <c r="CB9" s="97" t="n"/>
      <c r="CC9" s="96" t="inlineStr">
        <is>
          <t>BKK04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n"/>
      <c r="CI9" s="96" t="inlineStr">
        <is>
          <t>exp1.th@beelogistics.com</t>
        </is>
      </c>
      <c r="CJ9" s="96" t="inlineStr">
        <is>
          <t>AJINOMOTO CO., (THAILAND) LTD.</t>
        </is>
      </c>
      <c r="CK9" s="96" t="inlineStr">
        <is>
          <t>AJINOMOTO VIETNAM CO., LTD.</t>
        </is>
      </c>
      <c r="CL9" s="96" t="inlineStr">
        <is>
          <t>AJINOMOTO VIETNAM CO., LTD.</t>
        </is>
      </c>
      <c r="CM9" s="97" t="n"/>
      <c r="CN9" s="96" t="inlineStr">
        <is>
          <t>202610021700</t>
        </is>
      </c>
      <c r="CO9" s="96" t="inlineStr">
        <is>
          <t>202610051200</t>
        </is>
      </c>
      <c r="CP9" s="97" t="n"/>
      <c r="CQ9" s="96" t="inlineStr">
        <is>
          <t>S22-2308015</t>
        </is>
      </c>
      <c r="CR9" s="96" t="inlineStr">
        <is>
          <t>THTIK1</t>
        </is>
      </c>
      <c r="CS9" s="96" t="inlineStr">
        <is>
          <t>BEE LOGISTICS (THAILAND) CO., LTD.</t>
        </is>
      </c>
      <c r="CT9" s="96" t="inlineStr">
        <is>
          <t>N</t>
        </is>
      </c>
      <c r="CU9" s="97" t="n"/>
      <c r="CV9" s="97" t="n"/>
      <c r="CW9" s="161" t="inlineStr">
        <is>
          <t>2026-10-04</t>
        </is>
      </c>
      <c r="CX9" s="97" t="inlineStr">
        <is>
          <t>293499</t>
        </is>
      </c>
      <c r="CY9" s="183" t="n"/>
    </row>
    <row r="10" ht="12" customHeight="1">
      <c r="A10" s="116" t="inlineStr">
        <is>
          <t>HASLS22260900916</t>
        </is>
      </c>
      <c r="B10" s="96" t="inlineStr">
        <is>
          <t>20'x1</t>
        </is>
      </c>
      <c r="C10" s="97" t="n">
        <v>1</v>
      </c>
      <c r="D10" s="97" t="n">
        <v>1</v>
      </c>
      <c r="E10" s="97" t="n"/>
      <c r="F10" s="97" t="n">
        <v>0</v>
      </c>
      <c r="G10" s="97" t="n">
        <v>1</v>
      </c>
      <c r="H10" s="97" t="n">
        <v>0</v>
      </c>
      <c r="I10" s="97" t="n">
        <v>0</v>
      </c>
      <c r="J10" s="97" t="n">
        <v>1</v>
      </c>
      <c r="K10" s="96" t="inlineStr">
        <is>
          <t>N</t>
        </is>
      </c>
      <c r="L10" s="96" t="inlineStr">
        <is>
          <t>BTS</t>
        </is>
      </c>
      <c r="M10" s="96" t="inlineStr">
        <is>
          <t>SWSP</t>
        </is>
      </c>
      <c r="N10" s="96" t="inlineStr">
        <is>
          <t>2609N</t>
        </is>
      </c>
      <c r="O10" s="96" t="inlineStr">
        <is>
          <t>THBKK</t>
        </is>
      </c>
      <c r="P10" s="96" t="inlineStr">
        <is>
          <t>BKK04</t>
        </is>
      </c>
      <c r="Q10" s="96" t="inlineStr">
        <is>
          <t>IA</t>
        </is>
      </c>
      <c r="R10" s="161" t="inlineStr">
        <is>
          <t>2026-10-08</t>
        </is>
      </c>
      <c r="S10" s="96" t="inlineStr">
        <is>
          <t>RUVVO</t>
        </is>
      </c>
      <c r="T10" s="96" t="inlineStr">
        <is>
          <t>VVO01</t>
        </is>
      </c>
      <c r="U10" s="96" t="inlineStr">
        <is>
          <t>RUVVO</t>
        </is>
      </c>
      <c r="V10" s="161" t="inlineStr">
        <is>
          <t>2026-10-28</t>
        </is>
      </c>
      <c r="W10" s="96" t="inlineStr">
        <is>
          <t>RU</t>
        </is>
      </c>
      <c r="X10" s="97" t="n"/>
      <c r="Y10" s="97" t="inlineStr">
        <is>
          <t>PUS05</t>
        </is>
      </c>
      <c r="Z10" s="97" t="inlineStr">
        <is>
          <t>KRPUS</t>
        </is>
      </c>
      <c r="AA10" s="96" t="inlineStr">
        <is>
          <t>MJ LOGISTICS (THAILAND) CO., LTD.</t>
        </is>
      </c>
      <c r="AB10" s="96" t="inlineStr">
        <is>
          <t>RIVER KWAI INTERNATIONAL FOOD INDUSTRY CO., LTD.</t>
        </is>
      </c>
      <c r="AC10" s="163" t="n">
        <v>20904.74</v>
      </c>
      <c r="AD10" s="163" t="n">
        <v>23104.74</v>
      </c>
      <c r="AE10" s="96" t="inlineStr">
        <is>
          <t>OK</t>
        </is>
      </c>
      <c r="AF10" s="96" t="inlineStr">
        <is>
          <t>SR</t>
        </is>
      </c>
      <c r="AG10" s="97" t="n"/>
      <c r="AH10" s="96" t="inlineStr">
        <is>
          <t>CHK</t>
        </is>
      </c>
      <c r="AI10" s="97" t="inlineStr">
        <is>
          <t>OK</t>
        </is>
      </c>
      <c r="AJ10" s="97" t="n"/>
      <c r="AK10" s="97" t="n"/>
      <c r="AL10" s="97" t="n"/>
      <c r="AM10" s="96" t="inlineStr">
        <is>
          <t>E0011</t>
        </is>
      </c>
      <c r="AN10" s="96" t="inlineStr">
        <is>
          <t>KIM JEONG HWAN</t>
        </is>
      </c>
      <c r="AO10" s="96" t="inlineStr">
        <is>
          <t>CANNED SWEET KERNEL CORN IN BRINE</t>
        </is>
      </c>
      <c r="AP10" s="96" t="inlineStr">
        <is>
          <t>T/S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n"/>
      <c r="AZ10" s="96" t="inlineStr">
        <is>
          <t>SWSP/2609N/10/18[FIX] Pickup : 2026-10-02, Return : 2026-10-03</t>
        </is>
      </c>
      <c r="BA10" s="97" t="n"/>
      <c r="BB10" s="96" t="inlineStr">
        <is>
          <t>C</t>
        </is>
      </c>
      <c r="BC10" s="161" t="inlineStr">
        <is>
          <t>2026-09-10</t>
        </is>
      </c>
      <c r="BD10" s="161" t="inlineStr">
        <is>
          <t>2026-10-06</t>
        </is>
      </c>
      <c r="BE10" s="96" t="inlineStr">
        <is>
          <t>Y</t>
        </is>
      </c>
      <c r="BF10" s="96" t="inlineStr">
        <is>
          <t>WHOLE KERNEL SWEET CORN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BKK27</t>
        </is>
      </c>
      <c r="BL10" s="161" t="inlineStr">
        <is>
          <t>2026-10-02</t>
        </is>
      </c>
      <c r="BM10" s="127" t="n"/>
      <c r="BN10" s="127" t="n">
        <v>1</v>
      </c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>
        <v>7</v>
      </c>
      <c r="CA10" s="96" t="inlineStr">
        <is>
          <t>Y</t>
        </is>
      </c>
      <c r="CB10" s="97" t="n"/>
      <c r="CC10" s="96" t="inlineStr">
        <is>
          <t>BKK04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inlineStr">
        <is>
          <t>POL: THBKK [SWSP/2609N]; T/S(1st): KRPUS [SDTR/2630N]; POD: RUVVO [/]</t>
        </is>
      </c>
      <c r="CI10" s="96" t="inlineStr">
        <is>
          <t>bkk@mjlog.co.th</t>
        </is>
      </c>
      <c r="CJ10" s="96" t="inlineStr">
        <is>
          <t>RIVER KWAI INTERNATIONAL FOOD INDUS</t>
        </is>
      </c>
      <c r="CK10" s="96" t="inlineStr">
        <is>
          <t>DV NEVADA CO., LTD.</t>
        </is>
      </c>
      <c r="CL10" s="96" t="inlineStr">
        <is>
          <t>FAR EAST BRANCH RUSCON LTD.</t>
        </is>
      </c>
      <c r="CM10" s="97" t="n"/>
      <c r="CN10" s="96" t="inlineStr">
        <is>
          <t>202610021700</t>
        </is>
      </c>
      <c r="CO10" s="96" t="inlineStr">
        <is>
          <t>202610051200</t>
        </is>
      </c>
      <c r="CP10" s="97" t="n"/>
      <c r="CQ10" s="96" t="inlineStr">
        <is>
          <t>K01-2310041</t>
        </is>
      </c>
      <c r="CR10" s="96" t="inlineStr">
        <is>
          <t>THTKFU</t>
        </is>
      </c>
      <c r="CS10" s="96" t="inlineStr">
        <is>
          <t>MJ LOGISTICS (THAILAND) CO., LTD.</t>
        </is>
      </c>
      <c r="CT10" s="96" t="inlineStr">
        <is>
          <t>N</t>
        </is>
      </c>
      <c r="CU10" s="97" t="n"/>
      <c r="CV10" s="97" t="n"/>
      <c r="CW10" s="161" t="inlineStr">
        <is>
          <t>2026-10-07</t>
        </is>
      </c>
      <c r="CX10" s="97" t="inlineStr">
        <is>
          <t>200580</t>
        </is>
      </c>
      <c r="CY10" s="183" t="n"/>
    </row>
    <row r="11" ht="12" customHeight="1">
      <c r="A11" s="116" t="inlineStr">
        <is>
          <t>HASLS22260900942</t>
        </is>
      </c>
      <c r="B11" s="96" t="inlineStr">
        <is>
          <t>20'x1</t>
        </is>
      </c>
      <c r="C11" s="97" t="n">
        <v>1</v>
      </c>
      <c r="D11" s="97" t="n">
        <v>1</v>
      </c>
      <c r="E11" s="97" t="n"/>
      <c r="F11" s="97" t="n">
        <v>0</v>
      </c>
      <c r="G11" s="97" t="n">
        <v>1</v>
      </c>
      <c r="H11" s="97" t="n">
        <v>0</v>
      </c>
      <c r="I11" s="97" t="n">
        <v>0</v>
      </c>
      <c r="J11" s="97" t="n">
        <v>1</v>
      </c>
      <c r="K11" s="96" t="inlineStr">
        <is>
          <t>N</t>
        </is>
      </c>
      <c r="L11" s="96" t="inlineStr">
        <is>
          <t>BTS</t>
        </is>
      </c>
      <c r="M11" s="96" t="inlineStr">
        <is>
          <t>SWSP</t>
        </is>
      </c>
      <c r="N11" s="96" t="inlineStr">
        <is>
          <t>2609N</t>
        </is>
      </c>
      <c r="O11" s="96" t="inlineStr">
        <is>
          <t>THBKK</t>
        </is>
      </c>
      <c r="P11" s="96" t="inlineStr">
        <is>
          <t>BKK04</t>
        </is>
      </c>
      <c r="Q11" s="96" t="inlineStr">
        <is>
          <t>IA</t>
        </is>
      </c>
      <c r="R11" s="161" t="inlineStr">
        <is>
          <t>2026-10-08</t>
        </is>
      </c>
      <c r="S11" s="96" t="inlineStr">
        <is>
          <t>VNSGN</t>
        </is>
      </c>
      <c r="T11" s="96" t="inlineStr">
        <is>
          <t>SGN03</t>
        </is>
      </c>
      <c r="U11" s="96" t="inlineStr">
        <is>
          <t>VNSGN</t>
        </is>
      </c>
      <c r="V11" s="161" t="inlineStr">
        <is>
          <t>2026-10-11</t>
        </is>
      </c>
      <c r="W11" s="96" t="inlineStr">
        <is>
          <t>IA</t>
        </is>
      </c>
      <c r="X11" s="97" t="n"/>
      <c r="Y11" s="97" t="n"/>
      <c r="Z11" s="97" t="n"/>
      <c r="AA11" s="96" t="inlineStr">
        <is>
          <t>MACPRO EXPRESS CO., LTD.</t>
        </is>
      </c>
      <c r="AB11" s="96" t="inlineStr">
        <is>
          <t>THAI NAKORN PATANA CO., LTD.</t>
        </is>
      </c>
      <c r="AC11" s="163" t="n">
        <v>10269.24</v>
      </c>
      <c r="AD11" s="163" t="n">
        <v>12469.24</v>
      </c>
      <c r="AE11" s="96" t="inlineStr">
        <is>
          <t>OK</t>
        </is>
      </c>
      <c r="AF11" s="96" t="inlineStr">
        <is>
          <t>SR</t>
        </is>
      </c>
      <c r="AG11" s="97" t="n"/>
      <c r="AH11" s="96" t="inlineStr">
        <is>
          <t>CHK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TBKK19</t>
        </is>
      </c>
      <c r="AN11" s="96" t="inlineStr">
        <is>
          <t>Kanokporn</t>
        </is>
      </c>
      <c r="AO11" s="96" t="inlineStr">
        <is>
          <t>MEDICAL PRODUCT</t>
        </is>
      </c>
      <c r="AP11" s="96" t="inlineStr">
        <is>
          <t>Normal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n"/>
      <c r="AZ11" s="96" t="inlineStr">
        <is>
          <t>Pickup : 2026-10-01, Return : 2026-10-02</t>
        </is>
      </c>
      <c r="BA11" s="97" t="inlineStr">
        <is>
          <t>REQUEST CLOSING TIME :  29/09 @23.59 HRS. GOOD &amp; CLEAN CONTAINER</t>
        </is>
      </c>
      <c r="BB11" s="96" t="inlineStr">
        <is>
          <t>P</t>
        </is>
      </c>
      <c r="BC11" s="161" t="inlineStr">
        <is>
          <t>2026-09-11</t>
        </is>
      </c>
      <c r="BD11" s="161" t="inlineStr">
        <is>
          <t>2026-10-05</t>
        </is>
      </c>
      <c r="BE11" s="96" t="inlineStr">
        <is>
          <t>Y</t>
        </is>
      </c>
      <c r="BF11" s="96" t="inlineStr">
        <is>
          <t>MEDICAL PRODUCT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BKK27</t>
        </is>
      </c>
      <c r="BL11" s="161" t="inlineStr">
        <is>
          <t>2026-10-01</t>
        </is>
      </c>
      <c r="BM11" s="127" t="n"/>
      <c r="BN11" s="127" t="n">
        <v>1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/>
      <c r="CA11" s="96" t="inlineStr">
        <is>
          <t>Y</t>
        </is>
      </c>
      <c r="CB11" s="97" t="n"/>
      <c r="CC11" s="96" t="inlineStr">
        <is>
          <t>BKK04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n"/>
      <c r="CI11" s="96" t="inlineStr">
        <is>
          <t>kamolchanok@macproexpress.com</t>
        </is>
      </c>
      <c r="CJ11" s="96" t="inlineStr">
        <is>
          <t>THAI NAKORN PATANA CO., LTD.</t>
        </is>
      </c>
      <c r="CK11" s="96" t="inlineStr">
        <is>
          <t>THAI NAKORN PATANA (VIETNAM)</t>
        </is>
      </c>
      <c r="CL11" s="96" t="inlineStr">
        <is>
          <t>THAI NAKORN PATANA (VIETNAM)</t>
        </is>
      </c>
      <c r="CM11" s="97" t="n"/>
      <c r="CN11" s="96" t="inlineStr">
        <is>
          <t>202610021700</t>
        </is>
      </c>
      <c r="CO11" s="96" t="inlineStr">
        <is>
          <t>202610051200</t>
        </is>
      </c>
      <c r="CP11" s="97" t="n"/>
      <c r="CQ11" s="96" t="inlineStr">
        <is>
          <t>S19-2001007</t>
        </is>
      </c>
      <c r="CR11" s="96" t="inlineStr">
        <is>
          <t>THTH5F</t>
        </is>
      </c>
      <c r="CS11" s="96" t="inlineStr">
        <is>
          <t>MACPRO EXPRESS CO., LTD.</t>
        </is>
      </c>
      <c r="CT11" s="96" t="inlineStr">
        <is>
          <t>N</t>
        </is>
      </c>
      <c r="CU11" s="97" t="n"/>
      <c r="CV11" s="97" t="n"/>
      <c r="CW11" s="161" t="inlineStr">
        <is>
          <t>2026-10-05</t>
        </is>
      </c>
      <c r="CX11" s="97" t="inlineStr">
        <is>
          <t>290621</t>
        </is>
      </c>
      <c r="CY11" s="183" t="n"/>
    </row>
    <row r="12" ht="12" customHeight="1">
      <c r="A12" s="116" t="inlineStr">
        <is>
          <t>HASLS22260901542</t>
        </is>
      </c>
      <c r="B12" s="96" t="inlineStr">
        <is>
          <t>20'x1</t>
        </is>
      </c>
      <c r="C12" s="97" t="n">
        <v>1</v>
      </c>
      <c r="D12" s="97" t="n">
        <v>1</v>
      </c>
      <c r="E12" s="97" t="n"/>
      <c r="F12" s="97" t="n">
        <v>0</v>
      </c>
      <c r="G12" s="97" t="n">
        <v>1</v>
      </c>
      <c r="H12" s="97" t="n">
        <v>0</v>
      </c>
      <c r="I12" s="97" t="n">
        <v>0</v>
      </c>
      <c r="J12" s="97" t="n">
        <v>1</v>
      </c>
      <c r="K12" s="96" t="inlineStr">
        <is>
          <t>N</t>
        </is>
      </c>
      <c r="L12" s="96" t="inlineStr">
        <is>
          <t>BTS</t>
        </is>
      </c>
      <c r="M12" s="96" t="inlineStr">
        <is>
          <t>SWSP</t>
        </is>
      </c>
      <c r="N12" s="96" t="inlineStr">
        <is>
          <t>2609N</t>
        </is>
      </c>
      <c r="O12" s="96" t="inlineStr">
        <is>
          <t>THBKK</t>
        </is>
      </c>
      <c r="P12" s="96" t="inlineStr">
        <is>
          <t>BKK04</t>
        </is>
      </c>
      <c r="Q12" s="96" t="inlineStr">
        <is>
          <t>IA</t>
        </is>
      </c>
      <c r="R12" s="161" t="inlineStr">
        <is>
          <t>2026-10-08</t>
        </is>
      </c>
      <c r="S12" s="96" t="inlineStr">
        <is>
          <t>VNSGN</t>
        </is>
      </c>
      <c r="T12" s="96" t="inlineStr">
        <is>
          <t>SGN03</t>
        </is>
      </c>
      <c r="U12" s="96" t="inlineStr">
        <is>
          <t>VNSGN</t>
        </is>
      </c>
      <c r="V12" s="161" t="inlineStr">
        <is>
          <t>2026-10-11</t>
        </is>
      </c>
      <c r="W12" s="96" t="inlineStr">
        <is>
          <t>IA</t>
        </is>
      </c>
      <c r="X12" s="97" t="n"/>
      <c r="Y12" s="97" t="n"/>
      <c r="Z12" s="97" t="n"/>
      <c r="AA12" s="96" t="inlineStr">
        <is>
          <t>COS LOGISTICS COMPANY LIMITED</t>
        </is>
      </c>
      <c r="AB12" s="96" t="inlineStr">
        <is>
          <t>JEWELRY PLASTER LIMITED</t>
        </is>
      </c>
      <c r="AC12" s="163" t="n">
        <v>23190</v>
      </c>
      <c r="AD12" s="163" t="n">
        <v>25390</v>
      </c>
      <c r="AE12" s="96" t="inlineStr">
        <is>
          <t>OK</t>
        </is>
      </c>
      <c r="AF12" s="96" t="inlineStr">
        <is>
          <t>SR</t>
        </is>
      </c>
      <c r="AG12" s="97" t="n"/>
      <c r="AH12" s="96" t="inlineStr">
        <is>
          <t>CHK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TH0011</t>
        </is>
      </c>
      <c r="AN12" s="96" t="inlineStr">
        <is>
          <t>Nannaapust Sukporntaweewat</t>
        </is>
      </c>
      <c r="AO12" s="96" t="inlineStr">
        <is>
          <t>INVESTMENT POWDER</t>
        </is>
      </c>
      <c r="AP12" s="96" t="inlineStr">
        <is>
          <t>Normal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n"/>
      <c r="AZ12" s="96" t="inlineStr">
        <is>
          <t>Pickup : 2026-09-30, Return : 2026-10-01</t>
        </is>
      </c>
      <c r="BA12" s="97" t="inlineStr">
        <is>
          <t>FM DJCF 0152N 18/09REQUEST GOOD AND CLEAN THE CONTAINERCY BKK 29/09RTN BKK 30/09</t>
        </is>
      </c>
      <c r="BB12" s="96" t="inlineStr">
        <is>
          <t>P</t>
        </is>
      </c>
      <c r="BC12" s="161" t="inlineStr">
        <is>
          <t>2026-09-17</t>
        </is>
      </c>
      <c r="BD12" s="161" t="inlineStr">
        <is>
          <t>2026-09-30</t>
        </is>
      </c>
      <c r="BE12" s="96" t="inlineStr">
        <is>
          <t>Y</t>
        </is>
      </c>
      <c r="BF12" s="96" t="inlineStr">
        <is>
          <t>INVESTMENT POWDER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BKK27</t>
        </is>
      </c>
      <c r="BL12" s="161" t="inlineStr">
        <is>
          <t>2026-09-30</t>
        </is>
      </c>
      <c r="BM12" s="127" t="n"/>
      <c r="BN12" s="127" t="n">
        <v>1</v>
      </c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/>
      <c r="CA12" s="96" t="inlineStr">
        <is>
          <t>Y</t>
        </is>
      </c>
      <c r="CB12" s="97" t="n"/>
      <c r="CC12" s="96" t="inlineStr">
        <is>
          <t>BKK04</t>
        </is>
      </c>
      <c r="CD12" s="97" t="n"/>
      <c r="CE12" s="97" t="n"/>
      <c r="CF12" s="96" t="inlineStr">
        <is>
          <t>0 Teu</t>
        </is>
      </c>
      <c r="CG12" s="96" t="inlineStr">
        <is>
          <t>CY/CY</t>
        </is>
      </c>
      <c r="CH12" s="97" t="n"/>
      <c r="CI12" s="96" t="inlineStr">
        <is>
          <t>sopon.cos@gmail.com</t>
        </is>
      </c>
      <c r="CJ12" s="96" t="inlineStr">
        <is>
          <t>JEWELRY PLASTER LIMITED</t>
        </is>
      </c>
      <c r="CK12" s="96" t="inlineStr">
        <is>
          <t>KIM THINH PHAT INVESTMENT AND</t>
        </is>
      </c>
      <c r="CL12" s="96" t="inlineStr">
        <is>
          <t>KIM THINH PHAT INVESTMENT AND</t>
        </is>
      </c>
      <c r="CM12" s="97" t="n"/>
      <c r="CN12" s="96" t="inlineStr">
        <is>
          <t>202610021700</t>
        </is>
      </c>
      <c r="CO12" s="96" t="inlineStr">
        <is>
          <t>202610051200</t>
        </is>
      </c>
      <c r="CP12" s="97" t="n"/>
      <c r="CQ12" s="96" t="inlineStr">
        <is>
          <t>S22-2409022</t>
        </is>
      </c>
      <c r="CR12" s="96" t="inlineStr">
        <is>
          <t>THTNH3</t>
        </is>
      </c>
      <c r="CS12" s="96" t="inlineStr">
        <is>
          <t>COS LOGISTICS COMPANY LIMITED</t>
        </is>
      </c>
      <c r="CT12" s="96" t="inlineStr">
        <is>
          <t>N</t>
        </is>
      </c>
      <c r="CU12" s="97" t="n"/>
      <c r="CV12" s="97" t="n"/>
      <c r="CW12" s="161" t="inlineStr">
        <is>
          <t>2026-10-05</t>
        </is>
      </c>
      <c r="CX12" s="97" t="inlineStr">
        <is>
          <t>252020</t>
        </is>
      </c>
      <c r="CY12" s="183" t="n"/>
    </row>
    <row r="13" ht="12" customHeight="1">
      <c r="A13" s="116" t="inlineStr">
        <is>
          <t>HASLS22260901663</t>
        </is>
      </c>
      <c r="B13" s="96" t="inlineStr">
        <is>
          <t>20'x1</t>
        </is>
      </c>
      <c r="C13" s="97" t="n">
        <v>1</v>
      </c>
      <c r="D13" s="97" t="n">
        <v>1</v>
      </c>
      <c r="E13" s="97" t="n"/>
      <c r="F13" s="97" t="n">
        <v>0</v>
      </c>
      <c r="G13" s="97" t="n">
        <v>1</v>
      </c>
      <c r="H13" s="97" t="n">
        <v>0</v>
      </c>
      <c r="I13" s="97" t="n">
        <v>0</v>
      </c>
      <c r="J13" s="97" t="n">
        <v>1</v>
      </c>
      <c r="K13" s="96" t="inlineStr">
        <is>
          <t>N</t>
        </is>
      </c>
      <c r="L13" s="96" t="inlineStr">
        <is>
          <t>BTS</t>
        </is>
      </c>
      <c r="M13" s="96" t="inlineStr">
        <is>
          <t>SWSP</t>
        </is>
      </c>
      <c r="N13" s="96" t="inlineStr">
        <is>
          <t>2609N</t>
        </is>
      </c>
      <c r="O13" s="96" t="inlineStr">
        <is>
          <t>THBKK</t>
        </is>
      </c>
      <c r="P13" s="96" t="inlineStr">
        <is>
          <t>BKK04</t>
        </is>
      </c>
      <c r="Q13" s="96" t="inlineStr">
        <is>
          <t>IA</t>
        </is>
      </c>
      <c r="R13" s="161" t="inlineStr">
        <is>
          <t>2026-10-08</t>
        </is>
      </c>
      <c r="S13" s="96" t="inlineStr">
        <is>
          <t>VNSGN</t>
        </is>
      </c>
      <c r="T13" s="96" t="inlineStr">
        <is>
          <t>SGN03</t>
        </is>
      </c>
      <c r="U13" s="96" t="inlineStr">
        <is>
          <t>VNSGN</t>
        </is>
      </c>
      <c r="V13" s="161" t="inlineStr">
        <is>
          <t>2026-10-11</t>
        </is>
      </c>
      <c r="W13" s="96" t="inlineStr">
        <is>
          <t>IA</t>
        </is>
      </c>
      <c r="X13" s="97" t="n"/>
      <c r="Y13" s="97" t="n"/>
      <c r="Z13" s="97" t="n"/>
      <c r="AA13" s="96" t="inlineStr">
        <is>
          <t>DIMERCO EXPRESS (THAILAND) CO., LTD.</t>
        </is>
      </c>
      <c r="AB13" s="96" t="inlineStr">
        <is>
          <t>EVEREST TEXTILE (THAILAND) CO., LTD.</t>
        </is>
      </c>
      <c r="AC13" s="163" t="n">
        <v>3389.5</v>
      </c>
      <c r="AD13" s="163" t="n">
        <v>5589.5</v>
      </c>
      <c r="AE13" s="96" t="inlineStr">
        <is>
          <t>OK</t>
        </is>
      </c>
      <c r="AF13" s="96" t="n"/>
      <c r="AG13" s="97" t="n"/>
      <c r="AH13" s="96" t="inlineStr">
        <is>
          <t>CHK</t>
        </is>
      </c>
      <c r="AI13" s="97" t="inlineStr">
        <is>
          <t>OK</t>
        </is>
      </c>
      <c r="AJ13" s="97" t="n"/>
      <c r="AK13" s="97" t="n"/>
      <c r="AL13" s="97" t="n"/>
      <c r="AM13" s="96" t="inlineStr">
        <is>
          <t>TBKK28</t>
        </is>
      </c>
      <c r="AN13" s="96" t="inlineStr">
        <is>
          <t>Nustsireerach</t>
        </is>
      </c>
      <c r="AO13" s="96" t="inlineStr">
        <is>
          <t>FABRIC</t>
        </is>
      </c>
      <c r="AP13" s="96" t="inlineStr">
        <is>
          <t>Normal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n"/>
      <c r="AZ13" s="96" t="inlineStr">
        <is>
          <t>Pickup : 2026-10-01, Return : 2026-10-02</t>
        </is>
      </c>
      <c r="BA13" s="97" t="inlineStr">
        <is>
          <t>FM 2X40HQ 25/09</t>
        </is>
      </c>
      <c r="BB13" s="96" t="inlineStr">
        <is>
          <t>P</t>
        </is>
      </c>
      <c r="BC13" s="161" t="inlineStr">
        <is>
          <t>2026-09-18</t>
        </is>
      </c>
      <c r="BD13" s="161" t="inlineStr">
        <is>
          <t>2026-10-05</t>
        </is>
      </c>
      <c r="BE13" s="96" t="inlineStr">
        <is>
          <t>Y</t>
        </is>
      </c>
      <c r="BF13" s="96" t="inlineStr">
        <is>
          <t>FABRIC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BKK27</t>
        </is>
      </c>
      <c r="BL13" s="161" t="inlineStr">
        <is>
          <t>2026-10-01</t>
        </is>
      </c>
      <c r="BM13" s="127" t="n"/>
      <c r="BN13" s="127" t="n">
        <v>1</v>
      </c>
      <c r="BO13" s="127" t="n"/>
      <c r="BP13" s="127" t="n"/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/>
      <c r="CA13" s="96" t="inlineStr">
        <is>
          <t>Y</t>
        </is>
      </c>
      <c r="CB13" s="97" t="n"/>
      <c r="CC13" s="96" t="inlineStr">
        <is>
          <t>BKK04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n"/>
      <c r="CI13" s="96" t="inlineStr">
        <is>
          <t>oe_dimbkk@dimerco.com</t>
        </is>
      </c>
      <c r="CJ13" s="96" t="inlineStr">
        <is>
          <t>DIMERCO EXPRESS (THAILAND) CO.,LTD.</t>
        </is>
      </c>
      <c r="CK13" s="96" t="inlineStr">
        <is>
          <t>DIMERCO EXPRESS (VIETNAM) CO., LTD</t>
        </is>
      </c>
      <c r="CL13" s="96" t="inlineStr">
        <is>
          <t>DIMERCO EXPRESS (VIETNAM) CO., LTD</t>
        </is>
      </c>
      <c r="CM13" s="97" t="n"/>
      <c r="CN13" s="96" t="inlineStr">
        <is>
          <t>202610021700</t>
        </is>
      </c>
      <c r="CO13" s="96" t="inlineStr">
        <is>
          <t>202610051200</t>
        </is>
      </c>
      <c r="CP13" s="97" t="n"/>
      <c r="CQ13" s="96" t="inlineStr">
        <is>
          <t>S19-2307006</t>
        </is>
      </c>
      <c r="CR13" s="96" t="inlineStr">
        <is>
          <t>BB0164</t>
        </is>
      </c>
      <c r="CS13" s="96" t="inlineStr">
        <is>
          <t>DIMERCO EXPRESS (THAILAND) CO., LTD.</t>
        </is>
      </c>
      <c r="CT13" s="96" t="inlineStr">
        <is>
          <t>N</t>
        </is>
      </c>
      <c r="CU13" s="97" t="n"/>
      <c r="CV13" s="97" t="n"/>
      <c r="CW13" s="161" t="inlineStr">
        <is>
          <t>2026-10-05</t>
        </is>
      </c>
      <c r="CX13" s="97" t="inlineStr">
        <is>
          <t>540752</t>
        </is>
      </c>
      <c r="CY13" s="183" t="n"/>
    </row>
    <row r="14" ht="12" customHeight="1">
      <c r="A14" s="116" t="inlineStr">
        <is>
          <t>HASLS22260900796</t>
        </is>
      </c>
      <c r="B14" s="96" t="inlineStr">
        <is>
          <t>20'x1</t>
        </is>
      </c>
      <c r="C14" s="97" t="n">
        <v>1</v>
      </c>
      <c r="D14" s="97" t="n">
        <v>1</v>
      </c>
      <c r="E14" s="97" t="n"/>
      <c r="F14" s="97" t="n">
        <v>0</v>
      </c>
      <c r="G14" s="97" t="n">
        <v>1</v>
      </c>
      <c r="H14" s="97" t="n">
        <v>0</v>
      </c>
      <c r="I14" s="97" t="n">
        <v>0</v>
      </c>
      <c r="J14" s="97" t="n">
        <v>1</v>
      </c>
      <c r="K14" s="96" t="inlineStr">
        <is>
          <t>N</t>
        </is>
      </c>
      <c r="L14" s="96" t="inlineStr">
        <is>
          <t>BTS</t>
        </is>
      </c>
      <c r="M14" s="96" t="inlineStr">
        <is>
          <t>SWSP</t>
        </is>
      </c>
      <c r="N14" s="96" t="inlineStr">
        <is>
          <t>2609N</t>
        </is>
      </c>
      <c r="O14" s="96" t="inlineStr">
        <is>
          <t>THBKK</t>
        </is>
      </c>
      <c r="P14" s="96" t="inlineStr">
        <is>
          <t>BKK04</t>
        </is>
      </c>
      <c r="Q14" s="96" t="inlineStr">
        <is>
          <t>IA</t>
        </is>
      </c>
      <c r="R14" s="161" t="inlineStr">
        <is>
          <t>2026-10-08</t>
        </is>
      </c>
      <c r="S14" s="96" t="inlineStr">
        <is>
          <t>JPSDJ</t>
        </is>
      </c>
      <c r="T14" s="96" t="inlineStr">
        <is>
          <t>SDJ01</t>
        </is>
      </c>
      <c r="U14" s="96" t="inlineStr">
        <is>
          <t>JPSDJ</t>
        </is>
      </c>
      <c r="V14" s="161" t="inlineStr">
        <is>
          <t>2026-11-06</t>
        </is>
      </c>
      <c r="W14" s="96" t="inlineStr">
        <is>
          <t>JP</t>
        </is>
      </c>
      <c r="X14" s="97" t="n"/>
      <c r="Y14" s="97" t="inlineStr">
        <is>
          <t>PUS05</t>
        </is>
      </c>
      <c r="Z14" s="97" t="inlineStr">
        <is>
          <t>KRPUS</t>
        </is>
      </c>
      <c r="AA14" s="96" t="inlineStr">
        <is>
          <t>BIRLA CARBON (THAILAND) PUBLIC COMPANY LIMITED</t>
        </is>
      </c>
      <c r="AB14" s="96" t="inlineStr">
        <is>
          <t>BIRLA CARBON (THAILAND) PUBLIC COMPANY LIMITED</t>
        </is>
      </c>
      <c r="AC14" s="163" t="n">
        <v>9640</v>
      </c>
      <c r="AD14" s="163" t="n">
        <v>11840</v>
      </c>
      <c r="AE14" s="96" t="inlineStr">
        <is>
          <t>OK</t>
        </is>
      </c>
      <c r="AF14" s="96" t="n"/>
      <c r="AG14" s="97" t="n"/>
      <c r="AH14" s="96" t="inlineStr">
        <is>
          <t>CHK</t>
        </is>
      </c>
      <c r="AI14" s="97" t="inlineStr">
        <is>
          <t>OK</t>
        </is>
      </c>
      <c r="AJ14" s="97" t="n"/>
      <c r="AK14" s="97" t="n"/>
      <c r="AL14" s="97" t="n"/>
      <c r="AM14" s="96" t="inlineStr">
        <is>
          <t>TBKK13</t>
        </is>
      </c>
      <c r="AN14" s="96" t="inlineStr">
        <is>
          <t>Dharaporn</t>
        </is>
      </c>
      <c r="AO14" s="96" t="inlineStr">
        <is>
          <t>CARBON BLACK</t>
        </is>
      </c>
      <c r="AP14" s="96" t="inlineStr">
        <is>
          <t>T/S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n"/>
      <c r="AZ14" s="96" t="inlineStr">
        <is>
          <t>[FIX]Pickup : 2026-09-30, Return : 2026-10-01 (1ST RTN DD: 03/10/26 WO/RENT)</t>
        </is>
      </c>
      <c r="BA14" s="97" t="n"/>
      <c r="BB14" s="96" t="inlineStr">
        <is>
          <t>P</t>
        </is>
      </c>
      <c r="BC14" s="161" t="inlineStr">
        <is>
          <t>2026-09-09</t>
        </is>
      </c>
      <c r="BD14" s="161" t="inlineStr">
        <is>
          <t>2026-10-06</t>
        </is>
      </c>
      <c r="BE14" s="96" t="inlineStr">
        <is>
          <t>Y</t>
        </is>
      </c>
      <c r="BF14" s="96" t="inlineStr">
        <is>
          <t>CABON BLACK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BKK27</t>
        </is>
      </c>
      <c r="BL14" s="161" t="inlineStr">
        <is>
          <t>2026-09-30</t>
        </is>
      </c>
      <c r="BM14" s="127" t="n"/>
      <c r="BN14" s="127" t="n">
        <v>1</v>
      </c>
      <c r="BO14" s="127" t="n"/>
      <c r="BP14" s="127" t="n"/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>
        <v>13</v>
      </c>
      <c r="CA14" s="96" t="inlineStr">
        <is>
          <t>Y</t>
        </is>
      </c>
      <c r="CB14" s="97" t="n"/>
      <c r="CC14" s="96" t="inlineStr">
        <is>
          <t>BKK04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inlineStr">
        <is>
          <t>POL: THBKK [SWSP/2609N]; T/S(1st): KRPUS [TYTR/2641E]; POD: JPSDJ [/]</t>
        </is>
      </c>
      <c r="CI14" s="96" t="inlineStr">
        <is>
          <t>siriphan.hom@adityabirla.com</t>
        </is>
      </c>
      <c r="CJ14" s="96" t="inlineStr">
        <is>
          <t>BIRLA CARBON (THAILAND) PUBLIC</t>
        </is>
      </c>
      <c r="CK14" s="96" t="inlineStr">
        <is>
          <t>TOYO TIRE CORPORATION PROCUREMENT</t>
        </is>
      </c>
      <c r="CL14" s="96" t="inlineStr">
        <is>
          <t>TOYO TIRE CORPORATION PROCUREMENT</t>
        </is>
      </c>
      <c r="CM14" s="97" t="n"/>
      <c r="CN14" s="96" t="inlineStr">
        <is>
          <t>202610021700</t>
        </is>
      </c>
      <c r="CO14" s="96" t="inlineStr">
        <is>
          <t>202610051200</t>
        </is>
      </c>
      <c r="CP14" s="97" t="n"/>
      <c r="CQ14" s="96" t="inlineStr">
        <is>
          <t>S22-2508024</t>
        </is>
      </c>
      <c r="CR14" s="96" t="inlineStr">
        <is>
          <t>THTKYV</t>
        </is>
      </c>
      <c r="CS14" s="96" t="inlineStr">
        <is>
          <t>BIRLA CARBON (THAILAND) PUBLIC COMPANY LIMITED</t>
        </is>
      </c>
      <c r="CT14" s="96" t="inlineStr">
        <is>
          <t>N</t>
        </is>
      </c>
      <c r="CU14" s="97" t="n"/>
      <c r="CV14" s="97" t="n"/>
      <c r="CW14" s="161" t="inlineStr">
        <is>
          <t>2026-10-07</t>
        </is>
      </c>
      <c r="CX14" s="97" t="inlineStr">
        <is>
          <t>280300</t>
        </is>
      </c>
      <c r="CY14" s="183" t="n"/>
    </row>
    <row r="15" ht="12" customHeight="1">
      <c r="A15" s="116" t="inlineStr">
        <is>
          <t>HASLS22260900903</t>
        </is>
      </c>
      <c r="B15" s="96" t="inlineStr">
        <is>
          <t>20'x1</t>
        </is>
      </c>
      <c r="C15" s="97" t="n">
        <v>1</v>
      </c>
      <c r="D15" s="97" t="n">
        <v>1</v>
      </c>
      <c r="E15" s="97" t="n"/>
      <c r="F15" s="97" t="n">
        <v>0</v>
      </c>
      <c r="G15" s="97" t="n">
        <v>1</v>
      </c>
      <c r="H15" s="97" t="n">
        <v>0</v>
      </c>
      <c r="I15" s="97" t="n">
        <v>0</v>
      </c>
      <c r="J15" s="97" t="n">
        <v>1</v>
      </c>
      <c r="K15" s="96" t="inlineStr">
        <is>
          <t>N</t>
        </is>
      </c>
      <c r="L15" s="96" t="inlineStr">
        <is>
          <t>BTS</t>
        </is>
      </c>
      <c r="M15" s="96" t="inlineStr">
        <is>
          <t>SWSP</t>
        </is>
      </c>
      <c r="N15" s="96" t="inlineStr">
        <is>
          <t>2609N</t>
        </is>
      </c>
      <c r="O15" s="96" t="inlineStr">
        <is>
          <t>THBKK</t>
        </is>
      </c>
      <c r="P15" s="96" t="inlineStr">
        <is>
          <t>BKK04</t>
        </is>
      </c>
      <c r="Q15" s="96" t="inlineStr">
        <is>
          <t>IA</t>
        </is>
      </c>
      <c r="R15" s="161" t="inlineStr">
        <is>
          <t>2026-10-08</t>
        </is>
      </c>
      <c r="S15" s="96" t="inlineStr">
        <is>
          <t>VNSGN</t>
        </is>
      </c>
      <c r="T15" s="96" t="inlineStr">
        <is>
          <t>SGN03</t>
        </is>
      </c>
      <c r="U15" s="96" t="inlineStr">
        <is>
          <t>VNSGN</t>
        </is>
      </c>
      <c r="V15" s="161" t="inlineStr">
        <is>
          <t>2026-10-11</t>
        </is>
      </c>
      <c r="W15" s="96" t="inlineStr">
        <is>
          <t>IA</t>
        </is>
      </c>
      <c r="X15" s="97" t="n"/>
      <c r="Y15" s="97" t="n"/>
      <c r="Z15" s="97" t="n"/>
      <c r="AA15" s="96" t="inlineStr">
        <is>
          <t>FIBS LOGISTICS CO., LTD.</t>
        </is>
      </c>
      <c r="AB15" s="96" t="inlineStr">
        <is>
          <t>WORLD NATURAL FOOD CO., LTD.</t>
        </is>
      </c>
      <c r="AC15" s="163" t="n">
        <v>18892.65</v>
      </c>
      <c r="AD15" s="163" t="n">
        <v>21092.65</v>
      </c>
      <c r="AE15" s="96" t="inlineStr">
        <is>
          <t>OK</t>
        </is>
      </c>
      <c r="AF15" s="96" t="inlineStr">
        <is>
          <t>SR</t>
        </is>
      </c>
      <c r="AG15" s="97" t="n"/>
      <c r="AH15" s="96" t="inlineStr">
        <is>
          <t>CON</t>
        </is>
      </c>
      <c r="AI15" s="97" t="n"/>
      <c r="AJ15" s="97" t="n"/>
      <c r="AK15" s="97" t="n"/>
      <c r="AL15" s="97" t="n"/>
      <c r="AM15" s="96" t="inlineStr">
        <is>
          <t>TH0011</t>
        </is>
      </c>
      <c r="AN15" s="96" t="inlineStr">
        <is>
          <t>Nannaapust Sukporntaweewat</t>
        </is>
      </c>
      <c r="AO15" s="96" t="inlineStr">
        <is>
          <t>PICKLED GINGER</t>
        </is>
      </c>
      <c r="AP15" s="96" t="inlineStr">
        <is>
          <t>Normal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n"/>
      <c r="AZ15" s="96" t="inlineStr">
        <is>
          <t xml:space="preserve">Pickup : 2026-10-02, Return : 2026-10-04 </t>
        </is>
      </c>
      <c r="BA15" s="97" t="inlineStr">
        <is>
          <t>REQUEST CLEAN CONTAINER AND GOOD CONDITIONEXTEND CLOSING 29/09/2026 @ 23.59 HRS.
MAINTAIN SWSP 2609N DD.01/10</t>
        </is>
      </c>
      <c r="BB15" s="96" t="inlineStr">
        <is>
          <t>P</t>
        </is>
      </c>
      <c r="BC15" s="161" t="inlineStr">
        <is>
          <t>2026-09-10</t>
        </is>
      </c>
      <c r="BD15" s="161" t="inlineStr">
        <is>
          <t>2026-10-01</t>
        </is>
      </c>
      <c r="BE15" s="96" t="inlineStr">
        <is>
          <t>Y</t>
        </is>
      </c>
      <c r="BF15" s="96" t="inlineStr">
        <is>
          <t>PICKLED GINGER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BKK25</t>
        </is>
      </c>
      <c r="BL15" s="161" t="inlineStr">
        <is>
          <t>2026-10-02</t>
        </is>
      </c>
      <c r="BM15" s="127" t="n"/>
      <c r="BN15" s="127" t="n">
        <v>1</v>
      </c>
      <c r="BO15" s="127" t="n"/>
      <c r="BP15" s="127" t="n"/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inlineStr">
        <is>
          <t>Y</t>
        </is>
      </c>
      <c r="CB15" s="97" t="n"/>
      <c r="CC15" s="96" t="inlineStr">
        <is>
          <t>BKK04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n"/>
      <c r="CI15" s="96" t="inlineStr">
        <is>
          <t>opsbkk@fibs-logistics.com</t>
        </is>
      </c>
      <c r="CJ15" s="96" t="inlineStr">
        <is>
          <t>FIBS LOGISTICS CO., LTD.</t>
        </is>
      </c>
      <c r="CK15" s="96" t="inlineStr">
        <is>
          <t>CARRY ALL LOGISTICS VIETNAM</t>
        </is>
      </c>
      <c r="CL15" s="96" t="inlineStr">
        <is>
          <t>CARRY ALL LOGISTICS VIETNAM</t>
        </is>
      </c>
      <c r="CM15" s="97" t="n"/>
      <c r="CN15" s="96" t="inlineStr">
        <is>
          <t>202610021700</t>
        </is>
      </c>
      <c r="CO15" s="96" t="inlineStr">
        <is>
          <t>202610051200</t>
        </is>
      </c>
      <c r="CP15" s="97" t="n"/>
      <c r="CQ15" s="96" t="inlineStr">
        <is>
          <t>S19-2109016</t>
        </is>
      </c>
      <c r="CR15" s="96" t="inlineStr">
        <is>
          <t>THTOKN</t>
        </is>
      </c>
      <c r="CS15" s="96" t="inlineStr">
        <is>
          <t>FIBS LOGISTICS CO., LTD.</t>
        </is>
      </c>
      <c r="CT15" s="96" t="inlineStr">
        <is>
          <t>N</t>
        </is>
      </c>
      <c r="CU15" s="97" t="n"/>
      <c r="CV15" s="97" t="n"/>
      <c r="CW15" s="161" t="inlineStr">
        <is>
          <t>2026-10-01</t>
        </is>
      </c>
      <c r="CX15" s="97" t="inlineStr">
        <is>
          <t>200190</t>
        </is>
      </c>
      <c r="CY15" s="183" t="n"/>
    </row>
    <row r="16" ht="12" customHeight="1">
      <c r="A16" s="116" t="inlineStr">
        <is>
          <t>HASLS22260900374</t>
        </is>
      </c>
      <c r="B16" s="96" t="inlineStr">
        <is>
          <t>20'x1</t>
        </is>
      </c>
      <c r="C16" s="97" t="n">
        <v>1</v>
      </c>
      <c r="D16" s="97" t="n">
        <v>1</v>
      </c>
      <c r="E16" s="97" t="n"/>
      <c r="F16" s="97" t="n">
        <v>0</v>
      </c>
      <c r="G16" s="97" t="n">
        <v>1</v>
      </c>
      <c r="H16" s="97" t="n">
        <v>0</v>
      </c>
      <c r="I16" s="97" t="n">
        <v>0</v>
      </c>
      <c r="J16" s="97" t="n">
        <v>1</v>
      </c>
      <c r="K16" s="96" t="inlineStr">
        <is>
          <t>N</t>
        </is>
      </c>
      <c r="L16" s="96" t="inlineStr">
        <is>
          <t>BTS</t>
        </is>
      </c>
      <c r="M16" s="96" t="inlineStr">
        <is>
          <t>SWSP</t>
        </is>
      </c>
      <c r="N16" s="96" t="inlineStr">
        <is>
          <t>2609N</t>
        </is>
      </c>
      <c r="O16" s="96" t="inlineStr">
        <is>
          <t>THBKK</t>
        </is>
      </c>
      <c r="P16" s="96" t="inlineStr">
        <is>
          <t>BKK04</t>
        </is>
      </c>
      <c r="Q16" s="96" t="inlineStr">
        <is>
          <t>IA</t>
        </is>
      </c>
      <c r="R16" s="161" t="inlineStr">
        <is>
          <t>2026-10-08</t>
        </is>
      </c>
      <c r="S16" s="96" t="inlineStr">
        <is>
          <t>VNSGN</t>
        </is>
      </c>
      <c r="T16" s="96" t="inlineStr">
        <is>
          <t>SGN03</t>
        </is>
      </c>
      <c r="U16" s="96" t="inlineStr">
        <is>
          <t>VNSGN</t>
        </is>
      </c>
      <c r="V16" s="161" t="inlineStr">
        <is>
          <t>2026-10-11</t>
        </is>
      </c>
      <c r="W16" s="96" t="inlineStr">
        <is>
          <t>IA</t>
        </is>
      </c>
      <c r="X16" s="97" t="n"/>
      <c r="Y16" s="97" t="n"/>
      <c r="Z16" s="97" t="n"/>
      <c r="AA16" s="96" t="inlineStr">
        <is>
          <t>GROWTH ON LOGISTICS CO., LTD.</t>
        </is>
      </c>
      <c r="AB16" s="96" t="inlineStr">
        <is>
          <t>SCG (THAILAND) CO., LTD.</t>
        </is>
      </c>
      <c r="AC16" s="163" t="n">
        <v>18782</v>
      </c>
      <c r="AD16" s="163" t="n">
        <v>20982</v>
      </c>
      <c r="AE16" s="96" t="inlineStr">
        <is>
          <t>OK</t>
        </is>
      </c>
      <c r="AF16" s="96" t="inlineStr">
        <is>
          <t>SR</t>
        </is>
      </c>
      <c r="AG16" s="97" t="n"/>
      <c r="AH16" s="96" t="inlineStr">
        <is>
          <t>CHK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TBKK97</t>
        </is>
      </c>
      <c r="AN16" s="96" t="inlineStr">
        <is>
          <t>Arunphat W. (Aiw)</t>
        </is>
      </c>
      <c r="AO16" s="96" t="inlineStr">
        <is>
          <t>POL LPG CYLINDER SAFETY VALVE MODEL V9S1 (D-V9-B.61)</t>
        </is>
      </c>
      <c r="AP16" s="96" t="inlineStr">
        <is>
          <t>Normal</t>
        </is>
      </c>
      <c r="AQ16" s="97" t="n"/>
      <c r="AR16" s="97" t="n"/>
      <c r="AS16" s="97" t="n"/>
      <c r="AT16" s="97" t="n"/>
      <c r="AU16" s="97" t="n"/>
      <c r="AV16" s="97" t="n"/>
      <c r="AW16" s="97" t="n">
        <v>0</v>
      </c>
      <c r="AX16" s="96" t="inlineStr">
        <is>
          <t>N</t>
        </is>
      </c>
      <c r="AY16" s="97" t="n"/>
      <c r="AZ16" s="96" t="inlineStr">
        <is>
          <t>Pickup : 2026-10-03, Return : 2026-10-03</t>
        </is>
      </c>
      <c r="BA16" s="97" t="inlineStr">
        <is>
          <t>please show agent at destination on b/l , please show free time at destination on b/l</t>
        </is>
      </c>
      <c r="BB16" s="96" t="inlineStr">
        <is>
          <t>P</t>
        </is>
      </c>
      <c r="BC16" s="161" t="inlineStr">
        <is>
          <t>2026-09-04</t>
        </is>
      </c>
      <c r="BD16" s="161" t="inlineStr">
        <is>
          <t>2026-10-01</t>
        </is>
      </c>
      <c r="BE16" s="96" t="inlineStr">
        <is>
          <t>Y</t>
        </is>
      </c>
      <c r="BF16" s="96" t="inlineStr">
        <is>
          <t>VALVE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BKK27</t>
        </is>
      </c>
      <c r="BL16" s="161" t="inlineStr">
        <is>
          <t>2026-10-03</t>
        </is>
      </c>
      <c r="BM16" s="127" t="n"/>
      <c r="BN16" s="127" t="n">
        <v>1</v>
      </c>
      <c r="BO16" s="127" t="n"/>
      <c r="BP16" s="127" t="n"/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/>
      <c r="CA16" s="96" t="inlineStr">
        <is>
          <t>Y</t>
        </is>
      </c>
      <c r="CB16" s="97" t="n"/>
      <c r="CC16" s="96" t="inlineStr">
        <is>
          <t>BKK04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n"/>
      <c r="CI16" s="96" t="inlineStr">
        <is>
          <t>anukoon@growth-onlogistics.co.th</t>
        </is>
      </c>
      <c r="CJ16" s="96" t="inlineStr">
        <is>
          <t>SCG (THAILAND) CO., LTD.</t>
        </is>
      </c>
      <c r="CK16" s="96" t="inlineStr">
        <is>
          <t>SOUTHERN GAS TRADING JOINT STOCK CO</t>
        </is>
      </c>
      <c r="CL16" s="96" t="inlineStr">
        <is>
          <t>SOUTHERN GAS TRADING JOINT STOCK CO</t>
        </is>
      </c>
      <c r="CM16" s="97" t="n"/>
      <c r="CN16" s="96" t="inlineStr">
        <is>
          <t>202610021700</t>
        </is>
      </c>
      <c r="CO16" s="96" t="inlineStr">
        <is>
          <t>202610051200</t>
        </is>
      </c>
      <c r="CP16" s="97" t="n"/>
      <c r="CQ16" s="96" t="inlineStr">
        <is>
          <t>S22-2311033</t>
        </is>
      </c>
      <c r="CR16" s="96" t="inlineStr">
        <is>
          <t>THTROC</t>
        </is>
      </c>
      <c r="CS16" s="96" t="inlineStr">
        <is>
          <t>GROWTH ON LOGISTICS CO., LTD.</t>
        </is>
      </c>
      <c r="CT16" s="96" t="inlineStr">
        <is>
          <t>N</t>
        </is>
      </c>
      <c r="CU16" s="97" t="n"/>
      <c r="CV16" s="97" t="n"/>
      <c r="CW16" s="161" t="inlineStr">
        <is>
          <t>2026-10-01</t>
        </is>
      </c>
      <c r="CX16" s="97" t="inlineStr">
        <is>
          <t>848140</t>
        </is>
      </c>
      <c r="CY16" s="183" t="n"/>
    </row>
    <row r="17" ht="12" customHeight="1">
      <c r="A17" s="116" t="inlineStr">
        <is>
          <t>HASLS22260901637</t>
        </is>
      </c>
      <c r="B17" s="96" t="inlineStr">
        <is>
          <t>20'x1</t>
        </is>
      </c>
      <c r="C17" s="97" t="n">
        <v>1</v>
      </c>
      <c r="D17" s="97" t="n">
        <v>1</v>
      </c>
      <c r="E17" s="97" t="n"/>
      <c r="F17" s="97" t="n">
        <v>0</v>
      </c>
      <c r="G17" s="97" t="n">
        <v>1</v>
      </c>
      <c r="H17" s="97" t="n">
        <v>0</v>
      </c>
      <c r="I17" s="97" t="n">
        <v>0</v>
      </c>
      <c r="J17" s="97" t="n">
        <v>1</v>
      </c>
      <c r="K17" s="96" t="inlineStr">
        <is>
          <t>N</t>
        </is>
      </c>
      <c r="L17" s="96" t="inlineStr">
        <is>
          <t>BTS</t>
        </is>
      </c>
      <c r="M17" s="96" t="inlineStr">
        <is>
          <t>SWSP</t>
        </is>
      </c>
      <c r="N17" s="96" t="inlineStr">
        <is>
          <t>2609N</t>
        </is>
      </c>
      <c r="O17" s="96" t="inlineStr">
        <is>
          <t>THBKK</t>
        </is>
      </c>
      <c r="P17" s="96" t="inlineStr">
        <is>
          <t>BKK04</t>
        </is>
      </c>
      <c r="Q17" s="96" t="inlineStr">
        <is>
          <t>IA</t>
        </is>
      </c>
      <c r="R17" s="161" t="inlineStr">
        <is>
          <t>2026-10-08</t>
        </is>
      </c>
      <c r="S17" s="96" t="inlineStr">
        <is>
          <t>VNSGN</t>
        </is>
      </c>
      <c r="T17" s="96" t="inlineStr">
        <is>
          <t>SGN03</t>
        </is>
      </c>
      <c r="U17" s="96" t="inlineStr">
        <is>
          <t>VNSGN</t>
        </is>
      </c>
      <c r="V17" s="161" t="inlineStr">
        <is>
          <t>2026-10-11</t>
        </is>
      </c>
      <c r="W17" s="96" t="inlineStr">
        <is>
          <t>IA</t>
        </is>
      </c>
      <c r="X17" s="97" t="n"/>
      <c r="Y17" s="97" t="n"/>
      <c r="Z17" s="97" t="n"/>
      <c r="AA17" s="96" t="inlineStr">
        <is>
          <t>SDS-ACUTECH CO., LTD.</t>
        </is>
      </c>
      <c r="AB17" s="96" t="inlineStr">
        <is>
          <t>APEX CIRCUIT (THAILAND) CO., LTD.</t>
        </is>
      </c>
      <c r="AC17" s="163" t="n">
        <v>4218.44</v>
      </c>
      <c r="AD17" s="163" t="n">
        <v>6418.44</v>
      </c>
      <c r="AE17" s="96" t="inlineStr">
        <is>
          <t>OK</t>
        </is>
      </c>
      <c r="AF17" s="96" t="n"/>
      <c r="AG17" s="97" t="n"/>
      <c r="AH17" s="96" t="inlineStr">
        <is>
          <t>CHK</t>
        </is>
      </c>
      <c r="AI17" s="97" t="n"/>
      <c r="AJ17" s="97" t="n"/>
      <c r="AK17" s="97" t="n"/>
      <c r="AL17" s="97" t="n"/>
      <c r="AM17" s="96" t="inlineStr">
        <is>
          <t>390011</t>
        </is>
      </c>
      <c r="AN17" s="96" t="inlineStr">
        <is>
          <t>LEE SEUNG MIN</t>
        </is>
      </c>
      <c r="AO17" s="96" t="inlineStr">
        <is>
          <t xml:space="preserve">PRINTED CIRCUIT BOARD "NO BRAND"   </t>
        </is>
      </c>
      <c r="AP17" s="96" t="inlineStr">
        <is>
          <t>Normal</t>
        </is>
      </c>
      <c r="AQ17" s="97" t="n"/>
      <c r="AR17" s="97" t="n"/>
      <c r="AS17" s="97" t="n"/>
      <c r="AT17" s="97" t="n"/>
      <c r="AU17" s="97" t="n"/>
      <c r="AV17" s="97" t="n"/>
      <c r="AW17" s="97" t="n">
        <v>0</v>
      </c>
      <c r="AX17" s="96" t="inlineStr">
        <is>
          <t>N</t>
        </is>
      </c>
      <c r="AY17" s="97" t="n"/>
      <c r="AZ17" s="96" t="inlineStr">
        <is>
          <t>Pickup : 2026-10-01, Return : 2026-10-02</t>
        </is>
      </c>
      <c r="BA17" s="97" t="n"/>
      <c r="BB17" s="96" t="inlineStr">
        <is>
          <t>C</t>
        </is>
      </c>
      <c r="BC17" s="161" t="inlineStr">
        <is>
          <t>2026-09-18</t>
        </is>
      </c>
      <c r="BD17" s="161" t="inlineStr">
        <is>
          <t>2026-10-07</t>
        </is>
      </c>
      <c r="BE17" s="96" t="inlineStr">
        <is>
          <t>Y</t>
        </is>
      </c>
      <c r="BF17" s="96" t="inlineStr">
        <is>
          <t>PRINTED CIRCUIT BOARD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BKK27</t>
        </is>
      </c>
      <c r="BL17" s="161" t="inlineStr">
        <is>
          <t>2026-10-01</t>
        </is>
      </c>
      <c r="BM17" s="127" t="n"/>
      <c r="BN17" s="127" t="n">
        <v>1</v>
      </c>
      <c r="BO17" s="127" t="n"/>
      <c r="BP17" s="127" t="n"/>
      <c r="BQ17" s="127" t="n"/>
      <c r="BR17" s="127" t="n"/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/>
      <c r="CA17" s="96" t="inlineStr">
        <is>
          <t>Y</t>
        </is>
      </c>
      <c r="CB17" s="97" t="n"/>
      <c r="CC17" s="96" t="inlineStr">
        <is>
          <t>BKK04</t>
        </is>
      </c>
      <c r="CD17" s="97" t="n"/>
      <c r="CE17" s="97" t="n"/>
      <c r="CF17" s="96" t="inlineStr">
        <is>
          <t>0 Teu</t>
        </is>
      </c>
      <c r="CG17" s="96" t="inlineStr">
        <is>
          <t>CY/CY</t>
        </is>
      </c>
      <c r="CH17" s="97" t="n"/>
      <c r="CI17" s="96" t="inlineStr">
        <is>
          <t>sapanna.t@partner.samsung.com;cello-expth@partner.samsung.com</t>
        </is>
      </c>
      <c r="CJ17" s="96" t="inlineStr">
        <is>
          <t>APEX CIRCUIT (THAILAND) CO.,LTD.</t>
        </is>
      </c>
      <c r="CK17" s="96" t="inlineStr">
        <is>
          <t>SAMSUNG ELECTRONICS HCMC CE COMPLEX</t>
        </is>
      </c>
      <c r="CL17" s="96" t="inlineStr">
        <is>
          <t>SAMSUNG SDS VIETNAM CO., LTD -</t>
        </is>
      </c>
      <c r="CM17" s="97" t="n"/>
      <c r="CN17" s="96" t="inlineStr">
        <is>
          <t>202610021700</t>
        </is>
      </c>
      <c r="CO17" s="96" t="inlineStr">
        <is>
          <t>202610051200</t>
        </is>
      </c>
      <c r="CP17" s="97" t="n"/>
      <c r="CQ17" s="96" t="inlineStr">
        <is>
          <t>SDS2026GMT</t>
        </is>
      </c>
      <c r="CR17" s="96" t="inlineStr">
        <is>
          <t>THTIER</t>
        </is>
      </c>
      <c r="CS17" s="96" t="inlineStr">
        <is>
          <t>SDS-ACUTECH CO., LTD.</t>
        </is>
      </c>
      <c r="CT17" s="96" t="inlineStr">
        <is>
          <t>N</t>
        </is>
      </c>
      <c r="CU17" s="97" t="n"/>
      <c r="CV17" s="97" t="n"/>
      <c r="CW17" s="161" t="inlineStr">
        <is>
          <t>2026-10-04</t>
        </is>
      </c>
      <c r="CX17" s="97" t="inlineStr">
        <is>
          <t>853400</t>
        </is>
      </c>
      <c r="CY17" s="183" t="n"/>
    </row>
    <row r="18" ht="12" customHeight="1">
      <c r="A18" s="116" t="inlineStr">
        <is>
          <t>HASLS22260901431</t>
        </is>
      </c>
      <c r="B18" s="96" t="inlineStr">
        <is>
          <t>20'x1</t>
        </is>
      </c>
      <c r="C18" s="97" t="n">
        <v>1</v>
      </c>
      <c r="D18" s="97" t="n">
        <v>1</v>
      </c>
      <c r="E18" s="97" t="n"/>
      <c r="F18" s="97" t="n">
        <v>0</v>
      </c>
      <c r="G18" s="97" t="n">
        <v>1</v>
      </c>
      <c r="H18" s="97" t="n">
        <v>0</v>
      </c>
      <c r="I18" s="97" t="n">
        <v>0</v>
      </c>
      <c r="J18" s="97" t="n">
        <v>1</v>
      </c>
      <c r="K18" s="96" t="inlineStr">
        <is>
          <t>N</t>
        </is>
      </c>
      <c r="L18" s="96" t="inlineStr">
        <is>
          <t>BTS</t>
        </is>
      </c>
      <c r="M18" s="96" t="inlineStr">
        <is>
          <t>SWSP</t>
        </is>
      </c>
      <c r="N18" s="96" t="inlineStr">
        <is>
          <t>2609N</t>
        </is>
      </c>
      <c r="O18" s="96" t="inlineStr">
        <is>
          <t>THBKK</t>
        </is>
      </c>
      <c r="P18" s="96" t="inlineStr">
        <is>
          <t>BKK04</t>
        </is>
      </c>
      <c r="Q18" s="96" t="inlineStr">
        <is>
          <t>IA</t>
        </is>
      </c>
      <c r="R18" s="161" t="inlineStr">
        <is>
          <t>2026-10-08</t>
        </is>
      </c>
      <c r="S18" s="96" t="inlineStr">
        <is>
          <t>VNSGN</t>
        </is>
      </c>
      <c r="T18" s="96" t="inlineStr">
        <is>
          <t>SGN03</t>
        </is>
      </c>
      <c r="U18" s="96" t="inlineStr">
        <is>
          <t>VNSGN</t>
        </is>
      </c>
      <c r="V18" s="161" t="inlineStr">
        <is>
          <t>2026-10-11</t>
        </is>
      </c>
      <c r="W18" s="96" t="inlineStr">
        <is>
          <t>IA</t>
        </is>
      </c>
      <c r="X18" s="97" t="n"/>
      <c r="Y18" s="97" t="n"/>
      <c r="Z18" s="97" t="n"/>
      <c r="AA18" s="96" t="inlineStr">
        <is>
          <t>BIZCON LOGISTICS CO., LTD.</t>
        </is>
      </c>
      <c r="AB18" s="96" t="inlineStr">
        <is>
          <t>CHANG JEWELRY POWDER CO., LTD.</t>
        </is>
      </c>
      <c r="AC18" s="163" t="n">
        <v>21840</v>
      </c>
      <c r="AD18" s="163" t="n">
        <v>24040</v>
      </c>
      <c r="AE18" s="96" t="inlineStr">
        <is>
          <t>OK</t>
        </is>
      </c>
      <c r="AF18" s="96" t="inlineStr">
        <is>
          <t>SR</t>
        </is>
      </c>
      <c r="AG18" s="97" t="n"/>
      <c r="AH18" s="96" t="inlineStr">
        <is>
          <t>CHK</t>
        </is>
      </c>
      <c r="AI18" s="97" t="inlineStr">
        <is>
          <t>OK</t>
        </is>
      </c>
      <c r="AJ18" s="97" t="n"/>
      <c r="AK18" s="97" t="n"/>
      <c r="AL18" s="97" t="n"/>
      <c r="AM18" s="96" t="inlineStr">
        <is>
          <t>TBKK97</t>
        </is>
      </c>
      <c r="AN18" s="96" t="inlineStr">
        <is>
          <t>Arunphat W. (Aiw)</t>
        </is>
      </c>
      <c r="AO18" s="96" t="inlineStr">
        <is>
          <t>CASTING PLASTER</t>
        </is>
      </c>
      <c r="AP18" s="96" t="inlineStr">
        <is>
          <t>Normal</t>
        </is>
      </c>
      <c r="AQ18" s="97" t="n"/>
      <c r="AR18" s="97" t="n"/>
      <c r="AS18" s="97" t="n"/>
      <c r="AT18" s="97" t="n"/>
      <c r="AU18" s="97" t="n"/>
      <c r="AV18" s="97" t="n"/>
      <c r="AW18" s="97" t="n">
        <v>0</v>
      </c>
      <c r="AX18" s="96" t="inlineStr">
        <is>
          <t>N</t>
        </is>
      </c>
      <c r="AY18" s="97" t="n"/>
      <c r="AZ18" s="96" t="inlineStr">
        <is>
          <t xml:space="preserve">Pickup : 2026-09-30, Return : 2026-10-01 </t>
        </is>
      </c>
      <c r="BA18" s="97" t="inlineStr">
        <is>
          <t>please advise first date RTN without fee ka. CY 29 SEP, RTN 30 SEP</t>
        </is>
      </c>
      <c r="BB18" s="96" t="inlineStr">
        <is>
          <t>P</t>
        </is>
      </c>
      <c r="BC18" s="161" t="inlineStr">
        <is>
          <t>2026-09-16</t>
        </is>
      </c>
      <c r="BD18" s="161" t="inlineStr">
        <is>
          <t>2026-10-01</t>
        </is>
      </c>
      <c r="BE18" s="96" t="inlineStr">
        <is>
          <t>Y</t>
        </is>
      </c>
      <c r="BF18" s="96" t="inlineStr">
        <is>
          <t>CASTING PLASTER</t>
        </is>
      </c>
      <c r="BG18" s="96" t="inlineStr">
        <is>
          <t>Line</t>
        </is>
      </c>
      <c r="BH18" s="96" t="inlineStr">
        <is>
          <t>S22</t>
        </is>
      </c>
      <c r="BI18" s="97" t="n"/>
      <c r="BJ18" s="97" t="n"/>
      <c r="BK18" s="96" t="inlineStr">
        <is>
          <t>BKK25</t>
        </is>
      </c>
      <c r="BL18" s="161" t="inlineStr">
        <is>
          <t>2026-09-30</t>
        </is>
      </c>
      <c r="BM18" s="127" t="n"/>
      <c r="BN18" s="127" t="n">
        <v>1</v>
      </c>
      <c r="BO18" s="127" t="n"/>
      <c r="BP18" s="127" t="n"/>
      <c r="BQ18" s="127" t="n"/>
      <c r="BR18" s="127" t="n"/>
      <c r="BS18" s="127" t="n"/>
      <c r="BT18" s="127" t="n"/>
      <c r="BU18" s="127" t="n"/>
      <c r="BV18" s="127" t="n"/>
      <c r="BW18" s="127" t="n"/>
      <c r="BX18" s="127" t="n"/>
      <c r="BY18" s="96" t="inlineStr">
        <is>
          <t>FULL</t>
        </is>
      </c>
      <c r="BZ18" s="97" t="n"/>
      <c r="CA18" s="96" t="inlineStr">
        <is>
          <t>Y</t>
        </is>
      </c>
      <c r="CB18" s="97" t="n"/>
      <c r="CC18" s="96" t="inlineStr">
        <is>
          <t>BKK04</t>
        </is>
      </c>
      <c r="CD18" s="97" t="n"/>
      <c r="CE18" s="97" t="n"/>
      <c r="CF18" s="96" t="inlineStr">
        <is>
          <t>0 Teu</t>
        </is>
      </c>
      <c r="CG18" s="96" t="inlineStr">
        <is>
          <t>CY/CY</t>
        </is>
      </c>
      <c r="CH18" s="97" t="n"/>
      <c r="CI18" s="96" t="inlineStr">
        <is>
          <t>cs@bizconth.com</t>
        </is>
      </c>
      <c r="CJ18" s="96" t="inlineStr">
        <is>
          <t>CHANG JEWELRY POWDER CO.,LTD.</t>
        </is>
      </c>
      <c r="CK18" s="96" t="inlineStr">
        <is>
          <t>HUPLUS TRADING COMPANY LIMITED</t>
        </is>
      </c>
      <c r="CL18" s="96" t="inlineStr">
        <is>
          <t>HUPLUS TRADING COMPANY LIMITED</t>
        </is>
      </c>
      <c r="CM18" s="97" t="n"/>
      <c r="CN18" s="96" t="inlineStr">
        <is>
          <t>202610021700</t>
        </is>
      </c>
      <c r="CO18" s="96" t="inlineStr">
        <is>
          <t>202610051200</t>
        </is>
      </c>
      <c r="CP18" s="97" t="n"/>
      <c r="CQ18" s="96" t="inlineStr">
        <is>
          <t>S22-2601006</t>
        </is>
      </c>
      <c r="CR18" s="96" t="inlineStr">
        <is>
          <t>THTHMS</t>
        </is>
      </c>
      <c r="CS18" s="96" t="inlineStr">
        <is>
          <t>BIZCON LOGISTICS CO., LTD.</t>
        </is>
      </c>
      <c r="CT18" s="96" t="inlineStr">
        <is>
          <t>N</t>
        </is>
      </c>
      <c r="CU18" s="97" t="n"/>
      <c r="CV18" s="97" t="n"/>
      <c r="CW18" s="161" t="inlineStr">
        <is>
          <t>2026-10-05</t>
        </is>
      </c>
      <c r="CX18" s="97" t="inlineStr">
        <is>
          <t>252020</t>
        </is>
      </c>
      <c r="CY18" s="183" t="n"/>
    </row>
    <row r="19" ht="12" customHeight="1">
      <c r="A19" s="116" t="inlineStr">
        <is>
          <t>HASLS22260901076</t>
        </is>
      </c>
      <c r="B19" s="96" t="inlineStr">
        <is>
          <t>20'x1</t>
        </is>
      </c>
      <c r="C19" s="97" t="n">
        <v>1</v>
      </c>
      <c r="D19" s="97" t="n">
        <v>1</v>
      </c>
      <c r="E19" s="97" t="n"/>
      <c r="F19" s="97" t="n">
        <v>0</v>
      </c>
      <c r="G19" s="97" t="n">
        <v>1</v>
      </c>
      <c r="H19" s="97" t="n">
        <v>0</v>
      </c>
      <c r="I19" s="97" t="n">
        <v>0</v>
      </c>
      <c r="J19" s="97" t="n">
        <v>1</v>
      </c>
      <c r="K19" s="96" t="inlineStr">
        <is>
          <t>N</t>
        </is>
      </c>
      <c r="L19" s="96" t="inlineStr">
        <is>
          <t>BTS</t>
        </is>
      </c>
      <c r="M19" s="96" t="inlineStr">
        <is>
          <t>SWSP</t>
        </is>
      </c>
      <c r="N19" s="96" t="inlineStr">
        <is>
          <t>2609N</t>
        </is>
      </c>
      <c r="O19" s="96" t="inlineStr">
        <is>
          <t>THBKK</t>
        </is>
      </c>
      <c r="P19" s="96" t="inlineStr">
        <is>
          <t>BKK04</t>
        </is>
      </c>
      <c r="Q19" s="96" t="inlineStr">
        <is>
          <t>IA</t>
        </is>
      </c>
      <c r="R19" s="161" t="inlineStr">
        <is>
          <t>2026-10-08</t>
        </is>
      </c>
      <c r="S19" s="96" t="inlineStr">
        <is>
          <t>VNSGN</t>
        </is>
      </c>
      <c r="T19" s="96" t="inlineStr">
        <is>
          <t>SGN03</t>
        </is>
      </c>
      <c r="U19" s="96" t="inlineStr">
        <is>
          <t>VNSGN</t>
        </is>
      </c>
      <c r="V19" s="161" t="inlineStr">
        <is>
          <t>2026-10-11</t>
        </is>
      </c>
      <c r="W19" s="96" t="inlineStr">
        <is>
          <t>IA</t>
        </is>
      </c>
      <c r="X19" s="97" t="n"/>
      <c r="Y19" s="97" t="n"/>
      <c r="Z19" s="97" t="n"/>
      <c r="AA19" s="96" t="inlineStr">
        <is>
          <t>EAST-LINK CORPORATION CO., LTD.</t>
        </is>
      </c>
      <c r="AB19" s="96" t="inlineStr">
        <is>
          <t>AROMATECH FLAVOURS CO., LTD.</t>
        </is>
      </c>
      <c r="AC19" s="163" t="n">
        <v>4590</v>
      </c>
      <c r="AD19" s="163" t="n">
        <v>6790</v>
      </c>
      <c r="AE19" s="96" t="inlineStr">
        <is>
          <t>OK</t>
        </is>
      </c>
      <c r="AF19" s="96" t="inlineStr">
        <is>
          <t>SR</t>
        </is>
      </c>
      <c r="AG19" s="97" t="n"/>
      <c r="AH19" s="96" t="inlineStr">
        <is>
          <t>CON</t>
        </is>
      </c>
      <c r="AI19" s="97" t="inlineStr">
        <is>
          <t>OK</t>
        </is>
      </c>
      <c r="AJ19" s="97" t="n"/>
      <c r="AK19" s="97" t="n"/>
      <c r="AL19" s="97" t="n"/>
      <c r="AM19" s="96" t="inlineStr">
        <is>
          <t>TBKK13</t>
        </is>
      </c>
      <c r="AN19" s="96" t="inlineStr">
        <is>
          <t>Dharaporn</t>
        </is>
      </c>
      <c r="AO19" s="96" t="inlineStr">
        <is>
          <t>COFFEE FLAVOUR</t>
        </is>
      </c>
      <c r="AP19" s="96" t="inlineStr">
        <is>
          <t>Normal</t>
        </is>
      </c>
      <c r="AQ19" s="97" t="n"/>
      <c r="AR19" s="97" t="n"/>
      <c r="AS19" s="97" t="n"/>
      <c r="AT19" s="97" t="n"/>
      <c r="AU19" s="97" t="n"/>
      <c r="AV19" s="97" t="n"/>
      <c r="AW19" s="97" t="n">
        <v>0</v>
      </c>
      <c r="AX19" s="96" t="inlineStr">
        <is>
          <t>N</t>
        </is>
      </c>
      <c r="AY19" s="97" t="n"/>
      <c r="AZ19" s="96" t="inlineStr">
        <is>
          <t>Pickup : 2026-10-02, Return : 2026-10-03</t>
        </is>
      </c>
      <c r="BA19" s="97" t="inlineStr">
        <is>
          <t>FM DJCF 0152N 17/09RQS CONTAINER GRADE-A FOR FOOD COMMODITY.</t>
        </is>
      </c>
      <c r="BB19" s="96" t="inlineStr">
        <is>
          <t>C</t>
        </is>
      </c>
      <c r="BC19" s="161" t="inlineStr">
        <is>
          <t>2026-09-14</t>
        </is>
      </c>
      <c r="BD19" s="161" t="inlineStr">
        <is>
          <t>2026-10-05</t>
        </is>
      </c>
      <c r="BE19" s="96" t="inlineStr">
        <is>
          <t>Y</t>
        </is>
      </c>
      <c r="BF19" s="96" t="inlineStr">
        <is>
          <t>COFFEE FLAVOUR</t>
        </is>
      </c>
      <c r="BG19" s="96" t="inlineStr">
        <is>
          <t>Line</t>
        </is>
      </c>
      <c r="BH19" s="96" t="inlineStr">
        <is>
          <t>S22</t>
        </is>
      </c>
      <c r="BI19" s="97" t="n"/>
      <c r="BJ19" s="97" t="n"/>
      <c r="BK19" s="96" t="inlineStr">
        <is>
          <t>BKK25</t>
        </is>
      </c>
      <c r="BL19" s="161" t="inlineStr">
        <is>
          <t>2026-10-02</t>
        </is>
      </c>
      <c r="BM19" s="127" t="n"/>
      <c r="BN19" s="127" t="n">
        <v>1</v>
      </c>
      <c r="BO19" s="127" t="n"/>
      <c r="BP19" s="127" t="n"/>
      <c r="BQ19" s="127" t="n"/>
      <c r="BR19" s="127" t="n"/>
      <c r="BS19" s="127" t="n"/>
      <c r="BT19" s="127" t="n"/>
      <c r="BU19" s="127" t="n"/>
      <c r="BV19" s="127" t="n"/>
      <c r="BW19" s="127" t="n"/>
      <c r="BX19" s="127" t="n"/>
      <c r="BY19" s="96" t="inlineStr">
        <is>
          <t>FULL</t>
        </is>
      </c>
      <c r="BZ19" s="97" t="n"/>
      <c r="CA19" s="96" t="inlineStr">
        <is>
          <t>Y</t>
        </is>
      </c>
      <c r="CB19" s="97" t="n"/>
      <c r="CC19" s="96" t="inlineStr">
        <is>
          <t>BKK04</t>
        </is>
      </c>
      <c r="CD19" s="97" t="n"/>
      <c r="CE19" s="97" t="n"/>
      <c r="CF19" s="96" t="inlineStr">
        <is>
          <t>0 Teu</t>
        </is>
      </c>
      <c r="CG19" s="96" t="inlineStr">
        <is>
          <t>CY/CY</t>
        </is>
      </c>
      <c r="CH19" s="97" t="n"/>
      <c r="CI19" s="96" t="inlineStr">
        <is>
          <t>rockwell@eastlink-group.com</t>
        </is>
      </c>
      <c r="CJ19" s="96" t="inlineStr">
        <is>
          <t>EAST-LINK CORPORATION CO., LTD.</t>
        </is>
      </c>
      <c r="CK19" s="96" t="inlineStr">
        <is>
          <t>AT ASIA CO.,LTD- BRANCH</t>
        </is>
      </c>
      <c r="CL19" s="96" t="inlineStr">
        <is>
          <t>AT ASIA CO.,LTD- BRANCH</t>
        </is>
      </c>
      <c r="CM19" s="97" t="n"/>
      <c r="CN19" s="96" t="inlineStr">
        <is>
          <t>202610021700</t>
        </is>
      </c>
      <c r="CO19" s="96" t="inlineStr">
        <is>
          <t>202610051200</t>
        </is>
      </c>
      <c r="CP19" s="97" t="n"/>
      <c r="CQ19" s="96" t="inlineStr">
        <is>
          <t>S22-2308019</t>
        </is>
      </c>
      <c r="CR19" s="96" t="inlineStr">
        <is>
          <t>TH03OT</t>
        </is>
      </c>
      <c r="CS19" s="96" t="inlineStr">
        <is>
          <t>EAST-LINK CORPORATION CO., LTD.</t>
        </is>
      </c>
      <c r="CT19" s="96" t="inlineStr">
        <is>
          <t>N</t>
        </is>
      </c>
      <c r="CU19" s="97" t="n"/>
      <c r="CV19" s="97" t="n"/>
      <c r="CW19" s="161" t="inlineStr">
        <is>
          <t>2026-10-07</t>
        </is>
      </c>
      <c r="CX19" s="97" t="inlineStr">
        <is>
          <t>330210</t>
        </is>
      </c>
      <c r="CY19" s="183" t="n"/>
    </row>
    <row r="20" ht="12" customHeight="1">
      <c r="A20" s="116" t="inlineStr">
        <is>
          <t>HASLS22260900875</t>
        </is>
      </c>
      <c r="B20" s="96" t="inlineStr">
        <is>
          <t>20'x1</t>
        </is>
      </c>
      <c r="C20" s="97" t="n">
        <v>1</v>
      </c>
      <c r="D20" s="97" t="n">
        <v>1</v>
      </c>
      <c r="E20" s="97" t="n"/>
      <c r="F20" s="97" t="n">
        <v>0</v>
      </c>
      <c r="G20" s="97" t="n">
        <v>1</v>
      </c>
      <c r="H20" s="97" t="n">
        <v>0</v>
      </c>
      <c r="I20" s="97" t="n">
        <v>0</v>
      </c>
      <c r="J20" s="97" t="n">
        <v>1</v>
      </c>
      <c r="K20" s="96" t="inlineStr">
        <is>
          <t>N</t>
        </is>
      </c>
      <c r="L20" s="96" t="inlineStr">
        <is>
          <t>BTS</t>
        </is>
      </c>
      <c r="M20" s="96" t="inlineStr">
        <is>
          <t>SWSP</t>
        </is>
      </c>
      <c r="N20" s="96" t="inlineStr">
        <is>
          <t>2609N</t>
        </is>
      </c>
      <c r="O20" s="96" t="inlineStr">
        <is>
          <t>THBKK</t>
        </is>
      </c>
      <c r="P20" s="96" t="inlineStr">
        <is>
          <t>BKK04</t>
        </is>
      </c>
      <c r="Q20" s="96" t="inlineStr">
        <is>
          <t>IA</t>
        </is>
      </c>
      <c r="R20" s="161" t="inlineStr">
        <is>
          <t>2026-10-08</t>
        </is>
      </c>
      <c r="S20" s="96" t="inlineStr">
        <is>
          <t>VNSGN</t>
        </is>
      </c>
      <c r="T20" s="96" t="inlineStr">
        <is>
          <t>SGN03</t>
        </is>
      </c>
      <c r="U20" s="96" t="inlineStr">
        <is>
          <t>VNSGN</t>
        </is>
      </c>
      <c r="V20" s="161" t="inlineStr">
        <is>
          <t>2026-10-11</t>
        </is>
      </c>
      <c r="W20" s="96" t="inlineStr">
        <is>
          <t>IA</t>
        </is>
      </c>
      <c r="X20" s="97" t="n"/>
      <c r="Y20" s="97" t="n"/>
      <c r="Z20" s="97" t="n"/>
      <c r="AA20" s="96" t="inlineStr">
        <is>
          <t>PACIFIC STAR ALLIANCE CO., LTD.</t>
        </is>
      </c>
      <c r="AB20" s="96" t="inlineStr">
        <is>
          <t>CODEL</t>
        </is>
      </c>
      <c r="AC20" s="163" t="n">
        <v>21840</v>
      </c>
      <c r="AD20" s="163" t="n">
        <v>24040</v>
      </c>
      <c r="AE20" s="96" t="inlineStr">
        <is>
          <t>OK</t>
        </is>
      </c>
      <c r="AF20" s="96" t="inlineStr">
        <is>
          <t>SR</t>
        </is>
      </c>
      <c r="AG20" s="97" t="n"/>
      <c r="AH20" s="96" t="inlineStr">
        <is>
          <t>CHK</t>
        </is>
      </c>
      <c r="AI20" s="97" t="inlineStr">
        <is>
          <t>OK</t>
        </is>
      </c>
      <c r="AJ20" s="97" t="n"/>
      <c r="AK20" s="97" t="n"/>
      <c r="AL20" s="97" t="n"/>
      <c r="AM20" s="96" t="inlineStr">
        <is>
          <t>TBKK19</t>
        </is>
      </c>
      <c r="AN20" s="96" t="inlineStr">
        <is>
          <t>Kanokporn</t>
        </is>
      </c>
      <c r="AO20" s="96" t="inlineStr">
        <is>
          <t>WATER TREATMENT</t>
        </is>
      </c>
      <c r="AP20" s="96" t="inlineStr">
        <is>
          <t>Normal</t>
        </is>
      </c>
      <c r="AQ20" s="97" t="n"/>
      <c r="AR20" s="97" t="n"/>
      <c r="AS20" s="97" t="n"/>
      <c r="AT20" s="97" t="n"/>
      <c r="AU20" s="97" t="n"/>
      <c r="AV20" s="97" t="n"/>
      <c r="AW20" s="97" t="n">
        <v>0</v>
      </c>
      <c r="AX20" s="96" t="inlineStr">
        <is>
          <t>N</t>
        </is>
      </c>
      <c r="AY20" s="97" t="n"/>
      <c r="AZ20" s="96" t="inlineStr">
        <is>
          <t>Pickup : 2026-09-30, Return : 2026-10-01</t>
        </is>
      </c>
      <c r="BA20" s="97" t="inlineStr">
        <is>
          <t xml:space="preserve">FM SHPR: N.D.RUBBER PUBLIC COMPANY LIMITED / COMM: MOTORCYCLE TYRE / 1X40HQ 10/09
FM THLCH 17/09
FM PICKUP BKK DD.18/09/26GOOD &amp; CLEAN &amp; NO SMELL CONTAINERCY-RETURN AT BANGKOK ONLY </t>
        </is>
      </c>
      <c r="BB20" s="96" t="inlineStr">
        <is>
          <t>P</t>
        </is>
      </c>
      <c r="BC20" s="161" t="inlineStr">
        <is>
          <t>2026-09-10</t>
        </is>
      </c>
      <c r="BD20" s="161" t="inlineStr">
        <is>
          <t>2026-10-01</t>
        </is>
      </c>
      <c r="BE20" s="96" t="inlineStr">
        <is>
          <t>Y</t>
        </is>
      </c>
      <c r="BF20" s="96" t="inlineStr">
        <is>
          <t>WATER TREATMENT</t>
        </is>
      </c>
      <c r="BG20" s="96" t="inlineStr">
        <is>
          <t>Line</t>
        </is>
      </c>
      <c r="BH20" s="96" t="inlineStr">
        <is>
          <t>S22</t>
        </is>
      </c>
      <c r="BI20" s="97" t="n"/>
      <c r="BJ20" s="97" t="n"/>
      <c r="BK20" s="96" t="inlineStr">
        <is>
          <t>BKK25</t>
        </is>
      </c>
      <c r="BL20" s="161" t="inlineStr">
        <is>
          <t>2026-09-30</t>
        </is>
      </c>
      <c r="BM20" s="127" t="n"/>
      <c r="BN20" s="127" t="n">
        <v>1</v>
      </c>
      <c r="BO20" s="127" t="n"/>
      <c r="BP20" s="127" t="n"/>
      <c r="BQ20" s="127" t="n"/>
      <c r="BR20" s="127" t="n"/>
      <c r="BS20" s="127" t="n"/>
      <c r="BT20" s="127" t="n"/>
      <c r="BU20" s="127" t="n"/>
      <c r="BV20" s="127" t="n"/>
      <c r="BW20" s="127" t="n"/>
      <c r="BX20" s="127" t="n"/>
      <c r="BY20" s="96" t="inlineStr">
        <is>
          <t>FULL</t>
        </is>
      </c>
      <c r="BZ20" s="97" t="n"/>
      <c r="CA20" s="96" t="inlineStr">
        <is>
          <t>Y</t>
        </is>
      </c>
      <c r="CB20" s="97" t="n"/>
      <c r="CC20" s="96" t="inlineStr">
        <is>
          <t>BKK04</t>
        </is>
      </c>
      <c r="CD20" s="97" t="n"/>
      <c r="CE20" s="97" t="n"/>
      <c r="CF20" s="96" t="inlineStr">
        <is>
          <t>0 Teu</t>
        </is>
      </c>
      <c r="CG20" s="96" t="inlineStr">
        <is>
          <t>CY/CY</t>
        </is>
      </c>
      <c r="CH20" s="97" t="n"/>
      <c r="CI20" s="96" t="inlineStr">
        <is>
          <t>CS@PACIFICSTAR.CO.TH</t>
        </is>
      </c>
      <c r="CJ20" s="96" t="inlineStr">
        <is>
          <t>PACIFIC STAR ALLIANCE CO.,LTD.</t>
        </is>
      </c>
      <c r="CK20" s="96" t="inlineStr">
        <is>
          <t>KC INTERNATIONAL (VIETNAM) LTD</t>
        </is>
      </c>
      <c r="CL20" s="96" t="inlineStr">
        <is>
          <t>KC INTERNATIONAL (VIETNAM) LTD</t>
        </is>
      </c>
      <c r="CM20" s="97" t="n"/>
      <c r="CN20" s="96" t="inlineStr">
        <is>
          <t>202610021700</t>
        </is>
      </c>
      <c r="CO20" s="96" t="inlineStr">
        <is>
          <t>202610051200</t>
        </is>
      </c>
      <c r="CP20" s="97" t="n"/>
      <c r="CQ20" s="96" t="inlineStr">
        <is>
          <t>S19-2106019</t>
        </is>
      </c>
      <c r="CR20" s="96" t="inlineStr">
        <is>
          <t>TH00ZZ</t>
        </is>
      </c>
      <c r="CS20" s="96" t="inlineStr">
        <is>
          <t>PACIFIC STAR ALLIANCE CO., LTD.</t>
        </is>
      </c>
      <c r="CT20" s="96" t="inlineStr">
        <is>
          <t>N</t>
        </is>
      </c>
      <c r="CU20" s="97" t="n"/>
      <c r="CV20" s="97" t="n"/>
      <c r="CW20" s="161" t="inlineStr">
        <is>
          <t>2026-10-05</t>
        </is>
      </c>
      <c r="CX20" s="97" t="inlineStr">
        <is>
          <t>300290</t>
        </is>
      </c>
      <c r="CY20" s="183" t="n"/>
    </row>
    <row r="21" ht="12" customHeight="1">
      <c r="A21" s="116" t="inlineStr">
        <is>
          <t>HASLS22260900995</t>
        </is>
      </c>
      <c r="B21" s="96" t="inlineStr">
        <is>
          <t>20'x1</t>
        </is>
      </c>
      <c r="C21" s="97" t="n">
        <v>1</v>
      </c>
      <c r="D21" s="97" t="n">
        <v>1</v>
      </c>
      <c r="E21" s="97" t="n"/>
      <c r="F21" s="97" t="n">
        <v>0</v>
      </c>
      <c r="G21" s="97" t="n">
        <v>1</v>
      </c>
      <c r="H21" s="97" t="n">
        <v>0</v>
      </c>
      <c r="I21" s="97" t="n">
        <v>0</v>
      </c>
      <c r="J21" s="97" t="n">
        <v>1</v>
      </c>
      <c r="K21" s="96" t="inlineStr">
        <is>
          <t>N</t>
        </is>
      </c>
      <c r="L21" s="96" t="inlineStr">
        <is>
          <t>BTS</t>
        </is>
      </c>
      <c r="M21" s="96" t="inlineStr">
        <is>
          <t>SWSP</t>
        </is>
      </c>
      <c r="N21" s="96" t="inlineStr">
        <is>
          <t>2609N</t>
        </is>
      </c>
      <c r="O21" s="96" t="inlineStr">
        <is>
          <t>THBKK</t>
        </is>
      </c>
      <c r="P21" s="96" t="inlineStr">
        <is>
          <t>BKK04</t>
        </is>
      </c>
      <c r="Q21" s="96" t="inlineStr">
        <is>
          <t>IA</t>
        </is>
      </c>
      <c r="R21" s="161" t="inlineStr">
        <is>
          <t>2026-10-08</t>
        </is>
      </c>
      <c r="S21" s="96" t="inlineStr">
        <is>
          <t>VNSGN</t>
        </is>
      </c>
      <c r="T21" s="96" t="inlineStr">
        <is>
          <t>SGN03</t>
        </is>
      </c>
      <c r="U21" s="96" t="inlineStr">
        <is>
          <t>VNSGN</t>
        </is>
      </c>
      <c r="V21" s="161" t="inlineStr">
        <is>
          <t>2026-10-11</t>
        </is>
      </c>
      <c r="W21" s="96" t="inlineStr">
        <is>
          <t>IA</t>
        </is>
      </c>
      <c r="X21" s="97" t="n"/>
      <c r="Y21" s="97" t="n"/>
      <c r="Z21" s="97" t="n"/>
      <c r="AA21" s="96" t="inlineStr">
        <is>
          <t>BEE LOGISTICS (THAILAND) CO., LTD.</t>
        </is>
      </c>
      <c r="AB21" s="96" t="inlineStr">
        <is>
          <t>HERITAGE SNACKS &amp; FOOD CO., LTD.</t>
        </is>
      </c>
      <c r="AC21" s="163" t="n">
        <v>8617.780000000001</v>
      </c>
      <c r="AD21" s="163" t="n">
        <v>10817.78</v>
      </c>
      <c r="AE21" s="96" t="inlineStr">
        <is>
          <t>OK</t>
        </is>
      </c>
      <c r="AF21" s="96" t="inlineStr">
        <is>
          <t>SR</t>
        </is>
      </c>
      <c r="AG21" s="97" t="n"/>
      <c r="AH21" s="96" t="inlineStr">
        <is>
          <t>CHK</t>
        </is>
      </c>
      <c r="AI21" s="97" t="inlineStr">
        <is>
          <t>OK</t>
        </is>
      </c>
      <c r="AJ21" s="97" t="n"/>
      <c r="AK21" s="97" t="n"/>
      <c r="AL21" s="97" t="n"/>
      <c r="AM21" s="96" t="inlineStr">
        <is>
          <t>TBKK28</t>
        </is>
      </c>
      <c r="AN21" s="96" t="inlineStr">
        <is>
          <t>Nustsireerach</t>
        </is>
      </c>
      <c r="AO21" s="96" t="inlineStr">
        <is>
          <t>FOODSTUFF ()ASSORTED NUTS</t>
        </is>
      </c>
      <c r="AP21" s="96" t="inlineStr">
        <is>
          <t>Normal</t>
        </is>
      </c>
      <c r="AQ21" s="97" t="n"/>
      <c r="AR21" s="97" t="n"/>
      <c r="AS21" s="97" t="n"/>
      <c r="AT21" s="97" t="n"/>
      <c r="AU21" s="97" t="n"/>
      <c r="AV21" s="97" t="n"/>
      <c r="AW21" s="97" t="n">
        <v>0</v>
      </c>
      <c r="AX21" s="96" t="inlineStr">
        <is>
          <t>N</t>
        </is>
      </c>
      <c r="AY21" s="97" t="n"/>
      <c r="AZ21" s="96" t="inlineStr">
        <is>
          <t xml:space="preserve">Pickup : 2026-10-02, Return : 2026-10-03
 </t>
        </is>
      </c>
      <c r="BA21" s="97" t="n"/>
      <c r="BB21" s="96" t="inlineStr">
        <is>
          <t>P</t>
        </is>
      </c>
      <c r="BC21" s="161" t="inlineStr">
        <is>
          <t>2026-09-11</t>
        </is>
      </c>
      <c r="BD21" s="161" t="inlineStr">
        <is>
          <t>2026-10-06</t>
        </is>
      </c>
      <c r="BE21" s="96" t="inlineStr">
        <is>
          <t>Y</t>
        </is>
      </c>
      <c r="BF21" s="96" t="inlineStr">
        <is>
          <t>FOODSTUFF</t>
        </is>
      </c>
      <c r="BG21" s="96" t="inlineStr">
        <is>
          <t>Line</t>
        </is>
      </c>
      <c r="BH21" s="96" t="inlineStr">
        <is>
          <t>S22</t>
        </is>
      </c>
      <c r="BI21" s="97" t="n"/>
      <c r="BJ21" s="97" t="n"/>
      <c r="BK21" s="96" t="inlineStr">
        <is>
          <t>BKK27</t>
        </is>
      </c>
      <c r="BL21" s="161" t="inlineStr">
        <is>
          <t>2026-10-02</t>
        </is>
      </c>
      <c r="BM21" s="127" t="n"/>
      <c r="BN21" s="127" t="n">
        <v>1</v>
      </c>
      <c r="BO21" s="127" t="n"/>
      <c r="BP21" s="127" t="n"/>
      <c r="BQ21" s="127" t="n"/>
      <c r="BR21" s="127" t="n"/>
      <c r="BS21" s="127" t="n"/>
      <c r="BT21" s="127" t="n"/>
      <c r="BU21" s="127" t="n"/>
      <c r="BV21" s="127" t="n"/>
      <c r="BW21" s="127" t="n"/>
      <c r="BX21" s="127" t="n"/>
      <c r="BY21" s="96" t="inlineStr">
        <is>
          <t>FULL</t>
        </is>
      </c>
      <c r="BZ21" s="97" t="n"/>
      <c r="CA21" s="96" t="inlineStr">
        <is>
          <t>Y</t>
        </is>
      </c>
      <c r="CB21" s="97" t="n"/>
      <c r="CC21" s="96" t="inlineStr">
        <is>
          <t>BKK04</t>
        </is>
      </c>
      <c r="CD21" s="97" t="n"/>
      <c r="CE21" s="97" t="n"/>
      <c r="CF21" s="96" t="inlineStr">
        <is>
          <t>0 Teu</t>
        </is>
      </c>
      <c r="CG21" s="96" t="inlineStr">
        <is>
          <t>CY/CY</t>
        </is>
      </c>
      <c r="CH21" s="97" t="n"/>
      <c r="CI21" s="96" t="inlineStr">
        <is>
          <t>exp3.th@beelogistics.com;csexp.th@beelogistics.com</t>
        </is>
      </c>
      <c r="CJ21" s="96" t="inlineStr">
        <is>
          <t>BEE LOGISTICS (THAILAND) CO., LTD.</t>
        </is>
      </c>
      <c r="CK21" s="96" t="inlineStr">
        <is>
          <t>BEE LOGISTICS CORPORATION -</t>
        </is>
      </c>
      <c r="CL21" s="96" t="inlineStr">
        <is>
          <t>BEE LOGISTICS CORPORATION -</t>
        </is>
      </c>
      <c r="CM21" s="97" t="n"/>
      <c r="CN21" s="96" t="inlineStr">
        <is>
          <t>202610021700</t>
        </is>
      </c>
      <c r="CO21" s="96" t="inlineStr">
        <is>
          <t>202610051200</t>
        </is>
      </c>
      <c r="CP21" s="97" t="n"/>
      <c r="CQ21" s="96" t="inlineStr">
        <is>
          <t>S22-2308015</t>
        </is>
      </c>
      <c r="CR21" s="96" t="inlineStr">
        <is>
          <t>THTIK1</t>
        </is>
      </c>
      <c r="CS21" s="96" t="inlineStr">
        <is>
          <t>BEE LOGISTICS (THAILAND) CO., LTD.</t>
        </is>
      </c>
      <c r="CT21" s="96" t="inlineStr">
        <is>
          <t>N</t>
        </is>
      </c>
      <c r="CU21" s="97" t="n"/>
      <c r="CV21" s="97" t="n"/>
      <c r="CW21" s="161" t="inlineStr">
        <is>
          <t>2026-10-05</t>
        </is>
      </c>
      <c r="CX21" s="97" t="inlineStr">
        <is>
          <t>200819</t>
        </is>
      </c>
      <c r="CY21" s="183" t="n"/>
    </row>
    <row r="22" ht="12" customHeight="1">
      <c r="A22" s="116" t="inlineStr">
        <is>
          <t>HASLS22260901817</t>
        </is>
      </c>
      <c r="B22" s="96" t="inlineStr">
        <is>
          <t>20'x1</t>
        </is>
      </c>
      <c r="C22" s="97" t="n">
        <v>1</v>
      </c>
      <c r="D22" s="97" t="n">
        <v>1</v>
      </c>
      <c r="E22" s="97" t="n"/>
      <c r="F22" s="97" t="n">
        <v>0</v>
      </c>
      <c r="G22" s="97" t="n">
        <v>1</v>
      </c>
      <c r="H22" s="97" t="n">
        <v>0</v>
      </c>
      <c r="I22" s="97" t="n">
        <v>0</v>
      </c>
      <c r="J22" s="97" t="n">
        <v>1</v>
      </c>
      <c r="K22" s="96" t="inlineStr">
        <is>
          <t>N</t>
        </is>
      </c>
      <c r="L22" s="96" t="inlineStr">
        <is>
          <t>BTS</t>
        </is>
      </c>
      <c r="M22" s="96" t="inlineStr">
        <is>
          <t>SWSP</t>
        </is>
      </c>
      <c r="N22" s="96" t="inlineStr">
        <is>
          <t>2609N</t>
        </is>
      </c>
      <c r="O22" s="96" t="inlineStr">
        <is>
          <t>THBKK</t>
        </is>
      </c>
      <c r="P22" s="96" t="inlineStr">
        <is>
          <t>BKK04</t>
        </is>
      </c>
      <c r="Q22" s="96" t="inlineStr">
        <is>
          <t>IA</t>
        </is>
      </c>
      <c r="R22" s="161" t="inlineStr">
        <is>
          <t>2026-10-08</t>
        </is>
      </c>
      <c r="S22" s="96" t="inlineStr">
        <is>
          <t>VNSGN</t>
        </is>
      </c>
      <c r="T22" s="96" t="inlineStr">
        <is>
          <t>SGN03</t>
        </is>
      </c>
      <c r="U22" s="96" t="inlineStr">
        <is>
          <t>VNSGN</t>
        </is>
      </c>
      <c r="V22" s="161" t="inlineStr">
        <is>
          <t>2026-10-11</t>
        </is>
      </c>
      <c r="W22" s="96" t="inlineStr">
        <is>
          <t>IA</t>
        </is>
      </c>
      <c r="X22" s="97" t="n"/>
      <c r="Y22" s="97" t="n"/>
      <c r="Z22" s="97" t="n"/>
      <c r="AA22" s="96" t="inlineStr">
        <is>
          <t>ATA GLOBAL LOGISTICS CO.,LTD.</t>
        </is>
      </c>
      <c r="AB22" s="96" t="inlineStr">
        <is>
          <t>ATA GLOBAL LOGISTICS CO.,LTD.</t>
        </is>
      </c>
      <c r="AC22" s="163" t="n">
        <v>4207</v>
      </c>
      <c r="AD22" s="163" t="n">
        <v>6407</v>
      </c>
      <c r="AE22" s="96" t="inlineStr">
        <is>
          <t>OK</t>
        </is>
      </c>
      <c r="AF22" s="96" t="inlineStr">
        <is>
          <t>SR</t>
        </is>
      </c>
      <c r="AG22" s="97" t="n"/>
      <c r="AH22" s="96" t="inlineStr">
        <is>
          <t>CHK</t>
        </is>
      </c>
      <c r="AI22" s="97" t="inlineStr">
        <is>
          <t>OK</t>
        </is>
      </c>
      <c r="AJ22" s="97" t="n"/>
      <c r="AK22" s="97" t="n"/>
      <c r="AL22" s="97" t="n"/>
      <c r="AM22" s="96" t="inlineStr">
        <is>
          <t>TH0011</t>
        </is>
      </c>
      <c r="AN22" s="96" t="inlineStr">
        <is>
          <t>Nannaapust Sukporntaweewat</t>
        </is>
      </c>
      <c r="AO22" s="96" t="inlineStr">
        <is>
          <t>AUTOMOTIVE PARTS</t>
        </is>
      </c>
      <c r="AP22" s="96" t="inlineStr">
        <is>
          <t>Normal</t>
        </is>
      </c>
      <c r="AQ22" s="97" t="n"/>
      <c r="AR22" s="97" t="n"/>
      <c r="AS22" s="97" t="n"/>
      <c r="AT22" s="97" t="n"/>
      <c r="AU22" s="97" t="n"/>
      <c r="AV22" s="97" t="n"/>
      <c r="AW22" s="97" t="n">
        <v>0</v>
      </c>
      <c r="AX22" s="96" t="inlineStr">
        <is>
          <t>N</t>
        </is>
      </c>
      <c r="AY22" s="97" t="n"/>
      <c r="AZ22" s="96" t="inlineStr">
        <is>
          <t>Pickup : 2026-10-02, Return : 2026-10-02</t>
        </is>
      </c>
      <c r="BA22" s="97" t="n"/>
      <c r="BB22" s="96" t="inlineStr">
        <is>
          <t>P</t>
        </is>
      </c>
      <c r="BC22" s="161" t="inlineStr">
        <is>
          <t>2026-09-21</t>
        </is>
      </c>
      <c r="BD22" s="161" t="inlineStr">
        <is>
          <t>2026-10-02</t>
        </is>
      </c>
      <c r="BE22" s="96" t="inlineStr">
        <is>
          <t>Y</t>
        </is>
      </c>
      <c r="BF22" s="96" t="inlineStr">
        <is>
          <t>AUTOMOTRVE PARTS</t>
        </is>
      </c>
      <c r="BG22" s="96" t="inlineStr">
        <is>
          <t>Line</t>
        </is>
      </c>
      <c r="BH22" s="96" t="inlineStr">
        <is>
          <t>S22</t>
        </is>
      </c>
      <c r="BI22" s="97" t="n"/>
      <c r="BJ22" s="97" t="n"/>
      <c r="BK22" s="96" t="inlineStr">
        <is>
          <t>BKK27</t>
        </is>
      </c>
      <c r="BL22" s="161" t="inlineStr">
        <is>
          <t>2026-10-02</t>
        </is>
      </c>
      <c r="BM22" s="127" t="n"/>
      <c r="BN22" s="127" t="n">
        <v>1</v>
      </c>
      <c r="BO22" s="127" t="n"/>
      <c r="BP22" s="127" t="n"/>
      <c r="BQ22" s="127" t="n"/>
      <c r="BR22" s="127" t="n"/>
      <c r="BS22" s="127" t="n"/>
      <c r="BT22" s="127" t="n"/>
      <c r="BU22" s="127" t="n"/>
      <c r="BV22" s="127" t="n"/>
      <c r="BW22" s="127" t="n"/>
      <c r="BX22" s="127" t="n"/>
      <c r="BY22" s="96" t="inlineStr">
        <is>
          <t>FULL</t>
        </is>
      </c>
      <c r="BZ22" s="97" t="n"/>
      <c r="CA22" s="96" t="inlineStr">
        <is>
          <t>Y</t>
        </is>
      </c>
      <c r="CB22" s="97" t="n"/>
      <c r="CC22" s="96" t="inlineStr">
        <is>
          <t>BKK04</t>
        </is>
      </c>
      <c r="CD22" s="97" t="n"/>
      <c r="CE22" s="97" t="n"/>
      <c r="CF22" s="96" t="inlineStr">
        <is>
          <t>0 Teu</t>
        </is>
      </c>
      <c r="CG22" s="96" t="inlineStr">
        <is>
          <t>CY/CY</t>
        </is>
      </c>
      <c r="CH22" s="97" t="n"/>
      <c r="CI22" s="96" t="inlineStr">
        <is>
          <t>sale2@ata-globallogistics.com</t>
        </is>
      </c>
      <c r="CJ22" s="96" t="inlineStr">
        <is>
          <t>ATA GLOBAL LOGISTICS CO., LTD</t>
        </is>
      </c>
      <c r="CK22" s="96" t="inlineStr">
        <is>
          <t>BLUE OCEAN TRANS CO., LTD.</t>
        </is>
      </c>
      <c r="CL22" s="96" t="inlineStr">
        <is>
          <t>BLUE OCEAN TRANS CO., LTD.</t>
        </is>
      </c>
      <c r="CM22" s="97" t="n"/>
      <c r="CN22" s="96" t="inlineStr">
        <is>
          <t>202610021700</t>
        </is>
      </c>
      <c r="CO22" s="96" t="inlineStr">
        <is>
          <t>202610051200</t>
        </is>
      </c>
      <c r="CP22" s="97" t="n"/>
      <c r="CQ22" s="96" t="inlineStr">
        <is>
          <t>S22-2308028</t>
        </is>
      </c>
      <c r="CR22" s="96" t="inlineStr">
        <is>
          <t>TH01I2</t>
        </is>
      </c>
      <c r="CS22" s="96" t="inlineStr">
        <is>
          <t>ATA GLOBAL LOGISTICS CO.,LTD.</t>
        </is>
      </c>
      <c r="CT22" s="96" t="inlineStr">
        <is>
          <t>N</t>
        </is>
      </c>
      <c r="CU22" s="97" t="n"/>
      <c r="CV22" s="97" t="n"/>
      <c r="CW22" s="161" t="inlineStr">
        <is>
          <t>2026-10-05</t>
        </is>
      </c>
      <c r="CX22" s="97" t="inlineStr">
        <is>
          <t>760429</t>
        </is>
      </c>
      <c r="CY22" s="183" t="n"/>
    </row>
    <row r="23" ht="12" customHeight="1">
      <c r="A23" s="116" t="inlineStr">
        <is>
          <t>HASLS22260800838</t>
        </is>
      </c>
      <c r="B23" s="96" t="inlineStr">
        <is>
          <t>20'x10</t>
        </is>
      </c>
      <c r="C23" s="97" t="n">
        <v>10</v>
      </c>
      <c r="D23" s="97" t="n">
        <v>10</v>
      </c>
      <c r="E23" s="97" t="n"/>
      <c r="F23" s="97" t="n">
        <v>0</v>
      </c>
      <c r="G23" s="97" t="n">
        <v>10</v>
      </c>
      <c r="H23" s="97" t="n">
        <v>0</v>
      </c>
      <c r="I23" s="97" t="n">
        <v>0</v>
      </c>
      <c r="J23" s="97" t="n">
        <v>10</v>
      </c>
      <c r="K23" s="96" t="inlineStr">
        <is>
          <t>N</t>
        </is>
      </c>
      <c r="L23" s="96" t="inlineStr">
        <is>
          <t>BTS</t>
        </is>
      </c>
      <c r="M23" s="96" t="inlineStr">
        <is>
          <t>SWSP</t>
        </is>
      </c>
      <c r="N23" s="96" t="inlineStr">
        <is>
          <t>2609N</t>
        </is>
      </c>
      <c r="O23" s="96" t="inlineStr">
        <is>
          <t>THBKK</t>
        </is>
      </c>
      <c r="P23" s="96" t="inlineStr">
        <is>
          <t>BKK04</t>
        </is>
      </c>
      <c r="Q23" s="96" t="inlineStr">
        <is>
          <t>IA</t>
        </is>
      </c>
      <c r="R23" s="161" t="inlineStr">
        <is>
          <t>2026-10-08</t>
        </is>
      </c>
      <c r="S23" s="96" t="inlineStr">
        <is>
          <t>VNSGN</t>
        </is>
      </c>
      <c r="T23" s="96" t="inlineStr">
        <is>
          <t>SGN03</t>
        </is>
      </c>
      <c r="U23" s="96" t="inlineStr">
        <is>
          <t>VNSGN</t>
        </is>
      </c>
      <c r="V23" s="161" t="inlineStr">
        <is>
          <t>2026-10-11</t>
        </is>
      </c>
      <c r="W23" s="96" t="inlineStr">
        <is>
          <t>IA</t>
        </is>
      </c>
      <c r="X23" s="97" t="n"/>
      <c r="Y23" s="97" t="n"/>
      <c r="Z23" s="97" t="n"/>
      <c r="AA23" s="96" t="inlineStr">
        <is>
          <t>SCGJWD LOGISTICS PUBLIC COMPANY LIMITED</t>
        </is>
      </c>
      <c r="AB23" s="96" t="inlineStr">
        <is>
          <t>SCG INTERNATIONAL CORPORATION CO., LTD.</t>
        </is>
      </c>
      <c r="AC23" s="163" t="n">
        <v>252870</v>
      </c>
      <c r="AD23" s="163" t="n">
        <v>274870</v>
      </c>
      <c r="AE23" s="96" t="inlineStr">
        <is>
          <t>OK</t>
        </is>
      </c>
      <c r="AF23" s="96" t="inlineStr">
        <is>
          <t>SR</t>
        </is>
      </c>
      <c r="AG23" s="97" t="n"/>
      <c r="AH23" s="96" t="inlineStr">
        <is>
          <t>CHK</t>
        </is>
      </c>
      <c r="AI23" s="97" t="inlineStr">
        <is>
          <t>OK</t>
        </is>
      </c>
      <c r="AJ23" s="97" t="n"/>
      <c r="AK23" s="97" t="n"/>
      <c r="AL23" s="97" t="n"/>
      <c r="AM23" s="96" t="inlineStr">
        <is>
          <t>TBKK19</t>
        </is>
      </c>
      <c r="AN23" s="96" t="inlineStr">
        <is>
          <t>Kanokporn</t>
        </is>
      </c>
      <c r="AO23" s="96" t="inlineStr">
        <is>
          <t>WHITE CLINKER</t>
        </is>
      </c>
      <c r="AP23" s="96" t="inlineStr">
        <is>
          <t>Normal</t>
        </is>
      </c>
      <c r="AQ23" s="97" t="n"/>
      <c r="AR23" s="97" t="n"/>
      <c r="AS23" s="97" t="n"/>
      <c r="AT23" s="97" t="n"/>
      <c r="AU23" s="97" t="n"/>
      <c r="AV23" s="97" t="n"/>
      <c r="AW23" s="97" t="n">
        <v>0</v>
      </c>
      <c r="AX23" s="96" t="inlineStr">
        <is>
          <t>N</t>
        </is>
      </c>
      <c r="AY23" s="97" t="n"/>
      <c r="AZ23" s="96" t="inlineStr">
        <is>
          <t xml:space="preserve">CY-RTN : 28-28/09/2026 (1ST RETURN 28/09/26)
(JB2606177029) </t>
        </is>
      </c>
      <c r="BA23" s="97" t="inlineStr">
        <is>
          <t xml:space="preserve">ROLL OVER FROM PREVIOUS VSL KMBK 2611N BY ALLOCATION TEAM MS.TARN APPROVED COST IS UNDER HAL DD.01/10
FM SWCP 2609N BY HAL DD.24/08
FM SWBT 2615N DD 01/09 </t>
        </is>
      </c>
      <c r="BB23" s="96" t="inlineStr">
        <is>
          <t>P</t>
        </is>
      </c>
      <c r="BC23" s="161" t="inlineStr">
        <is>
          <t>2026-08-11</t>
        </is>
      </c>
      <c r="BD23" s="161" t="inlineStr">
        <is>
          <t>2026-10-01</t>
        </is>
      </c>
      <c r="BE23" s="96" t="inlineStr">
        <is>
          <t>Y</t>
        </is>
      </c>
      <c r="BF23" s="96" t="inlineStr">
        <is>
          <t>WHITE CLINKER</t>
        </is>
      </c>
      <c r="BG23" s="96" t="inlineStr">
        <is>
          <t>Line</t>
        </is>
      </c>
      <c r="BH23" s="96" t="inlineStr">
        <is>
          <t>S22</t>
        </is>
      </c>
      <c r="BI23" s="97" t="n"/>
      <c r="BJ23" s="97" t="n"/>
      <c r="BK23" s="96" t="inlineStr">
        <is>
          <t>BKK27</t>
        </is>
      </c>
      <c r="BL23" s="161" t="inlineStr">
        <is>
          <t>2026-09-28</t>
        </is>
      </c>
      <c r="BM23" s="127" t="n"/>
      <c r="BN23" s="127" t="n">
        <v>10</v>
      </c>
      <c r="BO23" s="127" t="n"/>
      <c r="BP23" s="127" t="n"/>
      <c r="BQ23" s="127" t="n"/>
      <c r="BR23" s="127" t="n"/>
      <c r="BS23" s="127" t="n"/>
      <c r="BT23" s="127" t="n"/>
      <c r="BU23" s="127" t="n"/>
      <c r="BV23" s="127" t="n"/>
      <c r="BW23" s="127" t="n"/>
      <c r="BX23" s="127" t="n"/>
      <c r="BY23" s="96" t="inlineStr">
        <is>
          <t>FULL</t>
        </is>
      </c>
      <c r="BZ23" s="97" t="n"/>
      <c r="CA23" s="96" t="n"/>
      <c r="CB23" s="97" t="n"/>
      <c r="CC23" s="96" t="inlineStr">
        <is>
          <t>BKK04</t>
        </is>
      </c>
      <c r="CD23" s="97" t="n"/>
      <c r="CE23" s="97" t="n"/>
      <c r="CF23" s="96" t="inlineStr">
        <is>
          <t>0 Teu</t>
        </is>
      </c>
      <c r="CG23" s="96" t="inlineStr">
        <is>
          <t>CY/CY</t>
        </is>
      </c>
      <c r="CH23" s="97" t="n"/>
      <c r="CI23" s="96" t="inlineStr">
        <is>
          <t>chadchph@scgjwd.com</t>
        </is>
      </c>
      <c r="CJ23" s="96" t="inlineStr">
        <is>
          <t>SCG INTERNATIONAL CORPORATION CO.,</t>
        </is>
      </c>
      <c r="CK23" s="96" t="inlineStr">
        <is>
          <t>BUU LONG INDUSTRY AND INVESTMENT</t>
        </is>
      </c>
      <c r="CL23" s="96" t="inlineStr">
        <is>
          <t>BUU LONG INDUSTRY AND INVESTMENT</t>
        </is>
      </c>
      <c r="CM23" s="97" t="n"/>
      <c r="CN23" s="96" t="inlineStr">
        <is>
          <t>202610021700</t>
        </is>
      </c>
      <c r="CO23" s="96" t="inlineStr">
        <is>
          <t>202610051200</t>
        </is>
      </c>
      <c r="CP23" s="97" t="n"/>
      <c r="CQ23" s="96" t="inlineStr">
        <is>
          <t>S19-2308041</t>
        </is>
      </c>
      <c r="CR23" s="96" t="inlineStr">
        <is>
          <t>TH0235</t>
        </is>
      </c>
      <c r="CS23" s="96" t="inlineStr">
        <is>
          <t>SCGJWD LOGISTICS PUBLIC COMPANY LIMITED</t>
        </is>
      </c>
      <c r="CT23" s="96" t="inlineStr">
        <is>
          <t>N</t>
        </is>
      </c>
      <c r="CU23" s="97" t="n"/>
      <c r="CV23" s="97" t="n"/>
      <c r="CW23" s="161" t="inlineStr">
        <is>
          <t>2026-10-07</t>
        </is>
      </c>
      <c r="CX23" s="97" t="inlineStr">
        <is>
          <t>252310</t>
        </is>
      </c>
      <c r="CY23" s="183" t="inlineStr">
        <is>
          <t>ROLL OVER FROM PREVIOUS VSL KMBK 2611N BY ALLOCATION TEAM MS.TARN APPROVED COST IS UNDER HAL DD.01/10</t>
        </is>
      </c>
    </row>
    <row r="24" ht="12" customHeight="1">
      <c r="A24" s="116" t="inlineStr">
        <is>
          <t>HASLS22260900630</t>
        </is>
      </c>
      <c r="B24" s="96" t="inlineStr">
        <is>
          <t>20'x10</t>
        </is>
      </c>
      <c r="C24" s="97" t="n">
        <v>10</v>
      </c>
      <c r="D24" s="97" t="n">
        <v>10</v>
      </c>
      <c r="E24" s="97" t="n"/>
      <c r="F24" s="97" t="n">
        <v>0</v>
      </c>
      <c r="G24" s="97" t="n">
        <v>10</v>
      </c>
      <c r="H24" s="97" t="n">
        <v>0</v>
      </c>
      <c r="I24" s="97" t="n">
        <v>0</v>
      </c>
      <c r="J24" s="97" t="n">
        <v>10</v>
      </c>
      <c r="K24" s="96" t="inlineStr">
        <is>
          <t>N</t>
        </is>
      </c>
      <c r="L24" s="96" t="inlineStr">
        <is>
          <t>BTS</t>
        </is>
      </c>
      <c r="M24" s="96" t="inlineStr">
        <is>
          <t>SWSP</t>
        </is>
      </c>
      <c r="N24" s="96" t="inlineStr">
        <is>
          <t>2609N</t>
        </is>
      </c>
      <c r="O24" s="96" t="inlineStr">
        <is>
          <t>THBKK</t>
        </is>
      </c>
      <c r="P24" s="96" t="inlineStr">
        <is>
          <t>BKK04</t>
        </is>
      </c>
      <c r="Q24" s="96" t="inlineStr">
        <is>
          <t>IA</t>
        </is>
      </c>
      <c r="R24" s="161" t="inlineStr">
        <is>
          <t>2026-10-08</t>
        </is>
      </c>
      <c r="S24" s="96" t="inlineStr">
        <is>
          <t>VNSGN</t>
        </is>
      </c>
      <c r="T24" s="96" t="inlineStr">
        <is>
          <t>SGN03</t>
        </is>
      </c>
      <c r="U24" s="96" t="inlineStr">
        <is>
          <t>VNSGN</t>
        </is>
      </c>
      <c r="V24" s="161" t="inlineStr">
        <is>
          <t>2026-10-11</t>
        </is>
      </c>
      <c r="W24" s="96" t="inlineStr">
        <is>
          <t>IA</t>
        </is>
      </c>
      <c r="X24" s="97" t="n"/>
      <c r="Y24" s="97" t="n"/>
      <c r="Z24" s="97" t="n"/>
      <c r="AA24" s="96" t="inlineStr">
        <is>
          <t>ICONS GLOBAL LOGISTICS CO., LTD.</t>
        </is>
      </c>
      <c r="AB24" s="96" t="inlineStr">
        <is>
          <t>THANAKORN VEGETABLE OIL PRODUCTS CO., LTD.</t>
        </is>
      </c>
      <c r="AC24" s="163" t="n">
        <v>211000</v>
      </c>
      <c r="AD24" s="163" t="n">
        <v>233000</v>
      </c>
      <c r="AE24" s="96" t="inlineStr">
        <is>
          <t>OK</t>
        </is>
      </c>
      <c r="AF24" s="96" t="n"/>
      <c r="AG24" s="97" t="n"/>
      <c r="AH24" s="96" t="inlineStr">
        <is>
          <t>CHK</t>
        </is>
      </c>
      <c r="AI24" s="97" t="inlineStr">
        <is>
          <t>OK</t>
        </is>
      </c>
      <c r="AJ24" s="97" t="n"/>
      <c r="AK24" s="97" t="n"/>
      <c r="AL24" s="97" t="n"/>
      <c r="AM24" s="96" t="inlineStr">
        <is>
          <t>TBKK13</t>
        </is>
      </c>
      <c r="AN24" s="96" t="inlineStr">
        <is>
          <t>Dharaporn</t>
        </is>
      </c>
      <c r="AO24" s="96" t="inlineStr">
        <is>
          <t>CRUDE DEGUMMED SOYBEAN OIL</t>
        </is>
      </c>
      <c r="AP24" s="96" t="inlineStr">
        <is>
          <t>Normal</t>
        </is>
      </c>
      <c r="AQ24" s="97" t="n"/>
      <c r="AR24" s="97" t="n"/>
      <c r="AS24" s="97" t="n"/>
      <c r="AT24" s="97" t="n"/>
      <c r="AU24" s="97" t="n"/>
      <c r="AV24" s="97" t="n"/>
      <c r="AW24" s="97" t="n">
        <v>0</v>
      </c>
      <c r="AX24" s="96" t="inlineStr">
        <is>
          <t>Y</t>
        </is>
      </c>
      <c r="AY24" s="97" t="n"/>
      <c r="AZ24" s="96" t="inlineStr">
        <is>
          <t xml:space="preserve">**APPROVED BY H.W KANG DD.23/09/2026** *FLEXIBAG ONDECK*
Survey : 2026-09-30, Pickup : 2026-10-01, Return : 2026-10-02 </t>
        </is>
      </c>
      <c r="BA24" s="97" t="inlineStr">
        <is>
          <t>FM BKK25 BY CUST. DD 29/09
maintain SWSP 2609N DD.01/10</t>
        </is>
      </c>
      <c r="BB24" s="96" t="inlineStr">
        <is>
          <t>P</t>
        </is>
      </c>
      <c r="BC24" s="161" t="inlineStr">
        <is>
          <t>2026-09-08</t>
        </is>
      </c>
      <c r="BD24" s="161" t="inlineStr">
        <is>
          <t>2026-10-05</t>
        </is>
      </c>
      <c r="BE24" s="96" t="inlineStr">
        <is>
          <t>Y</t>
        </is>
      </c>
      <c r="BF24" s="96" t="inlineStr">
        <is>
          <t>SOYBEAN OIL</t>
        </is>
      </c>
      <c r="BG24" s="96" t="inlineStr">
        <is>
          <t>Line</t>
        </is>
      </c>
      <c r="BH24" s="96" t="inlineStr">
        <is>
          <t>S22</t>
        </is>
      </c>
      <c r="BI24" s="97" t="n"/>
      <c r="BJ24" s="97" t="n"/>
      <c r="BK24" s="96" t="inlineStr">
        <is>
          <t>BKK27</t>
        </is>
      </c>
      <c r="BL24" s="161" t="inlineStr">
        <is>
          <t>2026-09-30</t>
        </is>
      </c>
      <c r="BM24" s="127" t="n"/>
      <c r="BN24" s="127" t="n">
        <v>10</v>
      </c>
      <c r="BO24" s="127" t="n"/>
      <c r="BP24" s="127" t="n"/>
      <c r="BQ24" s="127" t="n"/>
      <c r="BR24" s="127" t="n"/>
      <c r="BS24" s="127" t="n"/>
      <c r="BT24" s="127" t="n"/>
      <c r="BU24" s="127" t="n"/>
      <c r="BV24" s="127" t="n"/>
      <c r="BW24" s="127" t="n"/>
      <c r="BX24" s="127" t="n"/>
      <c r="BY24" s="96" t="inlineStr">
        <is>
          <t>FULL</t>
        </is>
      </c>
      <c r="BZ24" s="97" t="n"/>
      <c r="CA24" s="96" t="inlineStr">
        <is>
          <t>Y</t>
        </is>
      </c>
      <c r="CB24" s="97" t="n"/>
      <c r="CC24" s="96" t="inlineStr">
        <is>
          <t>BKK04</t>
        </is>
      </c>
      <c r="CD24" s="97" t="n"/>
      <c r="CE24" s="97" t="n"/>
      <c r="CF24" s="96" t="inlineStr">
        <is>
          <t>0 Teu</t>
        </is>
      </c>
      <c r="CG24" s="96" t="inlineStr">
        <is>
          <t>CY/CY</t>
        </is>
      </c>
      <c r="CH24" s="97" t="n"/>
      <c r="CI24" s="96" t="inlineStr">
        <is>
          <t>csgroup@iconlogistic.com</t>
        </is>
      </c>
      <c r="CJ24" s="96" t="inlineStr">
        <is>
          <t>THANAKORN VEGETABLE OIL PRODUCTS</t>
        </is>
      </c>
      <c r="CK24" s="96" t="inlineStr">
        <is>
          <t>MEKONG COMMODITIES JSC</t>
        </is>
      </c>
      <c r="CL24" s="96" t="inlineStr">
        <is>
          <t>AUSTRALASIAN COMMODITIES PTY LTD</t>
        </is>
      </c>
      <c r="CM24" s="97" t="n"/>
      <c r="CN24" s="96" t="inlineStr">
        <is>
          <t>202610021700</t>
        </is>
      </c>
      <c r="CO24" s="96" t="inlineStr">
        <is>
          <t>202610051200</t>
        </is>
      </c>
      <c r="CP24" s="97" t="n"/>
      <c r="CQ24" s="96" t="inlineStr">
        <is>
          <t>S22-2308014</t>
        </is>
      </c>
      <c r="CR24" s="96" t="inlineStr">
        <is>
          <t>THTH7K</t>
        </is>
      </c>
      <c r="CS24" s="96" t="inlineStr">
        <is>
          <t>ICONS GLOBAL LOGISTICS CO., LTD.</t>
        </is>
      </c>
      <c r="CT24" s="96" t="inlineStr">
        <is>
          <t>N</t>
        </is>
      </c>
      <c r="CU24" s="97" t="n"/>
      <c r="CV24" s="97" t="n"/>
      <c r="CW24" s="161" t="inlineStr">
        <is>
          <t>2026-10-05</t>
        </is>
      </c>
      <c r="CX24" s="97" t="inlineStr">
        <is>
          <t>150710</t>
        </is>
      </c>
      <c r="CY24" s="183" t="n"/>
    </row>
    <row r="25" ht="12" customHeight="1">
      <c r="A25" s="116" t="inlineStr">
        <is>
          <t>HASLS22260900196</t>
        </is>
      </c>
      <c r="B25" s="96" t="inlineStr">
        <is>
          <t>20'x12</t>
        </is>
      </c>
      <c r="C25" s="97" t="n">
        <v>12</v>
      </c>
      <c r="D25" s="97" t="n">
        <v>12</v>
      </c>
      <c r="E25" s="97" t="n"/>
      <c r="F25" s="97" t="n">
        <v>0</v>
      </c>
      <c r="G25" s="97" t="n">
        <v>12</v>
      </c>
      <c r="H25" s="97" t="n">
        <v>0</v>
      </c>
      <c r="I25" s="97" t="n">
        <v>0</v>
      </c>
      <c r="J25" s="97" t="n">
        <v>12</v>
      </c>
      <c r="K25" s="96" t="inlineStr">
        <is>
          <t>N</t>
        </is>
      </c>
      <c r="L25" s="96" t="inlineStr">
        <is>
          <t>BTS</t>
        </is>
      </c>
      <c r="M25" s="96" t="inlineStr">
        <is>
          <t>SWSP</t>
        </is>
      </c>
      <c r="N25" s="96" t="inlineStr">
        <is>
          <t>2609N</t>
        </is>
      </c>
      <c r="O25" s="96" t="inlineStr">
        <is>
          <t>THBKK</t>
        </is>
      </c>
      <c r="P25" s="96" t="inlineStr">
        <is>
          <t>BKK04</t>
        </is>
      </c>
      <c r="Q25" s="96" t="inlineStr">
        <is>
          <t>IA</t>
        </is>
      </c>
      <c r="R25" s="161" t="inlineStr">
        <is>
          <t>2026-10-08</t>
        </is>
      </c>
      <c r="S25" s="96" t="inlineStr">
        <is>
          <t>JPSEN</t>
        </is>
      </c>
      <c r="T25" s="96" t="inlineStr">
        <is>
          <t>SEN01</t>
        </is>
      </c>
      <c r="U25" s="96" t="inlineStr">
        <is>
          <t>JPSEN</t>
        </is>
      </c>
      <c r="V25" s="161" t="inlineStr">
        <is>
          <t>2026-10-27</t>
        </is>
      </c>
      <c r="W25" s="96" t="inlineStr">
        <is>
          <t>JP</t>
        </is>
      </c>
      <c r="X25" s="97" t="n"/>
      <c r="Y25" s="97" t="inlineStr">
        <is>
          <t>PUS05</t>
        </is>
      </c>
      <c r="Z25" s="97" t="inlineStr">
        <is>
          <t>KRPUS</t>
        </is>
      </c>
      <c r="AA25" s="96" t="inlineStr">
        <is>
          <t>SANGUAN WONGSE STARCH CO., LTD.</t>
        </is>
      </c>
      <c r="AB25" s="96" t="inlineStr">
        <is>
          <t>SANGUAN WONGSE STARCH CO., LTD.</t>
        </is>
      </c>
      <c r="AC25" s="163" t="n">
        <v>206280</v>
      </c>
      <c r="AD25" s="163" t="n">
        <v>232680</v>
      </c>
      <c r="AE25" s="96" t="inlineStr">
        <is>
          <t>OK</t>
        </is>
      </c>
      <c r="AF25" s="96" t="n"/>
      <c r="AG25" s="97" t="n"/>
      <c r="AH25" s="96" t="inlineStr">
        <is>
          <t>CHK</t>
        </is>
      </c>
      <c r="AI25" s="97" t="inlineStr">
        <is>
          <t>OK</t>
        </is>
      </c>
      <c r="AJ25" s="97" t="n"/>
      <c r="AK25" s="97" t="n"/>
      <c r="AL25" s="97" t="n"/>
      <c r="AM25" s="96" t="inlineStr">
        <is>
          <t>JOSA18</t>
        </is>
      </c>
      <c r="AN25" s="96" t="inlineStr">
        <is>
          <t>Uetake Takahiro</t>
        </is>
      </c>
      <c r="AO25" s="96" t="inlineStr">
        <is>
          <t>MODIFIED TAPIOCA STARCH</t>
        </is>
      </c>
      <c r="AP25" s="96" t="inlineStr">
        <is>
          <t>T/S</t>
        </is>
      </c>
      <c r="AQ25" s="97" t="n"/>
      <c r="AR25" s="97" t="n"/>
      <c r="AS25" s="97" t="n"/>
      <c r="AT25" s="97" t="n"/>
      <c r="AU25" s="97" t="n"/>
      <c r="AV25" s="97" t="n"/>
      <c r="AW25" s="97" t="n">
        <v>0</v>
      </c>
      <c r="AX25" s="96" t="inlineStr">
        <is>
          <t>N</t>
        </is>
      </c>
      <c r="AY25" s="97" t="n"/>
      <c r="AZ25" s="96" t="inlineStr">
        <is>
          <t>Pickup : 2026-09-17, Return : 2026-09-19</t>
        </is>
      </c>
      <c r="BA25" s="97" t="inlineStr">
        <is>
          <t>ROLL OVER FROM PREVIOUS VSL SWMM 2609N BY ALLOCATION TEAM MS.TARN APPROVED COST IS UNDER HA DD.21/09</t>
        </is>
      </c>
      <c r="BB25" s="96" t="inlineStr">
        <is>
          <t>C</t>
        </is>
      </c>
      <c r="BC25" s="161" t="inlineStr">
        <is>
          <t>2026-09-02</t>
        </is>
      </c>
      <c r="BD25" s="161" t="inlineStr">
        <is>
          <t>2026-10-02</t>
        </is>
      </c>
      <c r="BE25" s="96" t="inlineStr">
        <is>
          <t>Y</t>
        </is>
      </c>
      <c r="BF25" s="96" t="inlineStr">
        <is>
          <t>TAPIOCA STARCH</t>
        </is>
      </c>
      <c r="BG25" s="96" t="inlineStr">
        <is>
          <t>Line</t>
        </is>
      </c>
      <c r="BH25" s="96" t="inlineStr">
        <is>
          <t>S22</t>
        </is>
      </c>
      <c r="BI25" s="97" t="n"/>
      <c r="BJ25" s="97" t="n"/>
      <c r="BK25" s="96" t="inlineStr">
        <is>
          <t>BKK25</t>
        </is>
      </c>
      <c r="BL25" s="161" t="inlineStr">
        <is>
          <t>2026-09-17</t>
        </is>
      </c>
      <c r="BM25" s="127" t="n"/>
      <c r="BN25" s="127" t="n">
        <v>12</v>
      </c>
      <c r="BO25" s="127" t="n"/>
      <c r="BP25" s="127" t="n"/>
      <c r="BQ25" s="127" t="n"/>
      <c r="BR25" s="127" t="n"/>
      <c r="BS25" s="127" t="n"/>
      <c r="BT25" s="127" t="n"/>
      <c r="BU25" s="127" t="n"/>
      <c r="BV25" s="127" t="n"/>
      <c r="BW25" s="127" t="n"/>
      <c r="BX25" s="127" t="n"/>
      <c r="BY25" s="96" t="inlineStr">
        <is>
          <t>FULL</t>
        </is>
      </c>
      <c r="BZ25" s="97" t="n">
        <v>4</v>
      </c>
      <c r="CA25" s="96" t="inlineStr">
        <is>
          <t>Y</t>
        </is>
      </c>
      <c r="CB25" s="97" t="n"/>
      <c r="CC25" s="96" t="inlineStr">
        <is>
          <t>BKK04</t>
        </is>
      </c>
      <c r="CD25" s="97" t="n"/>
      <c r="CE25" s="97" t="n"/>
      <c r="CF25" s="96" t="inlineStr">
        <is>
          <t>0 Teu</t>
        </is>
      </c>
      <c r="CG25" s="96" t="inlineStr">
        <is>
          <t>CY/CY</t>
        </is>
      </c>
      <c r="CH25" s="97" t="inlineStr">
        <is>
          <t>POL: THBKK [SWSP/2609N]; T/S(1st): KRPUS [SKNT/2642E]; POD: JPSEN [/]</t>
        </is>
      </c>
      <c r="CI25" s="96" t="inlineStr">
        <is>
          <t>winai@swi.co.th</t>
        </is>
      </c>
      <c r="CJ25" s="96" t="inlineStr">
        <is>
          <t>SANGUAN WONGSE STARCH CO., LTD.</t>
        </is>
      </c>
      <c r="CK25" s="96" t="inlineStr">
        <is>
          <t>SANSHO CO., LTD.</t>
        </is>
      </c>
      <c r="CL25" s="96" t="inlineStr">
        <is>
          <t>SANSHO CO., LTD.</t>
        </is>
      </c>
      <c r="CM25" s="97" t="n"/>
      <c r="CN25" s="96" t="inlineStr">
        <is>
          <t>202610021700</t>
        </is>
      </c>
      <c r="CO25" s="96" t="inlineStr">
        <is>
          <t>202610051200</t>
        </is>
      </c>
      <c r="CP25" s="97" t="n"/>
      <c r="CQ25" s="96" t="inlineStr">
        <is>
          <t>OSA14A0452-1</t>
        </is>
      </c>
      <c r="CR25" s="96" t="inlineStr">
        <is>
          <t>THTH5O</t>
        </is>
      </c>
      <c r="CS25" s="96" t="inlineStr">
        <is>
          <t>SANGUAN WONGSE STARCH CO., LTD.</t>
        </is>
      </c>
      <c r="CT25" s="96" t="inlineStr">
        <is>
          <t>N</t>
        </is>
      </c>
      <c r="CU25" s="97" t="n"/>
      <c r="CV25" s="97" t="n"/>
      <c r="CW25" s="161" t="inlineStr">
        <is>
          <t>2026-10-05</t>
        </is>
      </c>
      <c r="CX25" s="97" t="inlineStr">
        <is>
          <t>350510</t>
        </is>
      </c>
      <c r="CY25" s="183" t="inlineStr">
        <is>
          <t>ROLL OVER FROM PREVIOUS VSL SWMM 2609N BY ALLOCATION TEAM MS.TARN APPROVED COST IS UNDER HA DD.21/09</t>
        </is>
      </c>
    </row>
    <row r="26" ht="12" customHeight="1">
      <c r="A26" s="116" t="inlineStr">
        <is>
          <t>HASLS22260901537</t>
        </is>
      </c>
      <c r="B26" s="96" t="inlineStr">
        <is>
          <t>20'x2</t>
        </is>
      </c>
      <c r="C26" s="97" t="n">
        <v>2</v>
      </c>
      <c r="D26" s="97" t="n">
        <v>2</v>
      </c>
      <c r="E26" s="97" t="n"/>
      <c r="F26" s="97" t="n">
        <v>0</v>
      </c>
      <c r="G26" s="97" t="n">
        <v>2</v>
      </c>
      <c r="H26" s="97" t="n">
        <v>0</v>
      </c>
      <c r="I26" s="97" t="n">
        <v>0</v>
      </c>
      <c r="J26" s="97" t="n">
        <v>2</v>
      </c>
      <c r="K26" s="96" t="inlineStr">
        <is>
          <t>N</t>
        </is>
      </c>
      <c r="L26" s="96" t="inlineStr">
        <is>
          <t>BTS</t>
        </is>
      </c>
      <c r="M26" s="96" t="inlineStr">
        <is>
          <t>SWSP</t>
        </is>
      </c>
      <c r="N26" s="96" t="inlineStr">
        <is>
          <t>2609N</t>
        </is>
      </c>
      <c r="O26" s="96" t="inlineStr">
        <is>
          <t>THBKK</t>
        </is>
      </c>
      <c r="P26" s="96" t="inlineStr">
        <is>
          <t>BKK04</t>
        </is>
      </c>
      <c r="Q26" s="96" t="inlineStr">
        <is>
          <t>IA</t>
        </is>
      </c>
      <c r="R26" s="161" t="inlineStr">
        <is>
          <t>2026-10-08</t>
        </is>
      </c>
      <c r="S26" s="96" t="inlineStr">
        <is>
          <t>JPIYM</t>
        </is>
      </c>
      <c r="T26" s="96" t="inlineStr">
        <is>
          <t>IYM02</t>
        </is>
      </c>
      <c r="U26" s="96" t="inlineStr">
        <is>
          <t>JPIYM</t>
        </is>
      </c>
      <c r="V26" s="161" t="inlineStr">
        <is>
          <t>2026-10-24</t>
        </is>
      </c>
      <c r="W26" s="96" t="inlineStr">
        <is>
          <t>JP</t>
        </is>
      </c>
      <c r="X26" s="97" t="n"/>
      <c r="Y26" s="97" t="inlineStr">
        <is>
          <t>PUS05</t>
        </is>
      </c>
      <c r="Z26" s="97" t="inlineStr">
        <is>
          <t>KRPUS</t>
        </is>
      </c>
      <c r="AA26" s="96" t="inlineStr">
        <is>
          <t>SCGJWD LOGISTICS PUBLIC COMPANY LIMITED</t>
        </is>
      </c>
      <c r="AB26" s="96" t="inlineStr">
        <is>
          <t>SCG INTERNATIONAL CORPORATION CO., LTD.</t>
        </is>
      </c>
      <c r="AC26" s="163" t="n">
        <v>40220</v>
      </c>
      <c r="AD26" s="163" t="n">
        <v>44620</v>
      </c>
      <c r="AE26" s="96" t="inlineStr">
        <is>
          <t>OK</t>
        </is>
      </c>
      <c r="AF26" s="96" t="inlineStr">
        <is>
          <t>SR</t>
        </is>
      </c>
      <c r="AG26" s="97" t="n"/>
      <c r="AH26" s="96" t="inlineStr">
        <is>
          <t>CHK</t>
        </is>
      </c>
      <c r="AI26" s="97" t="inlineStr">
        <is>
          <t>OK</t>
        </is>
      </c>
      <c r="AJ26" s="97" t="n"/>
      <c r="AK26" s="97" t="n"/>
      <c r="AL26" s="97" t="n"/>
      <c r="AM26" s="96" t="inlineStr">
        <is>
          <t>TBKK19</t>
        </is>
      </c>
      <c r="AN26" s="96" t="inlineStr">
        <is>
          <t>Kanokporn</t>
        </is>
      </c>
      <c r="AO26" s="96" t="inlineStr">
        <is>
          <t>COPPER SCRAP BIRCH CLIFF</t>
        </is>
      </c>
      <c r="AP26" s="96" t="inlineStr">
        <is>
          <t>Normal</t>
        </is>
      </c>
      <c r="AQ26" s="97" t="n"/>
      <c r="AR26" s="97" t="n"/>
      <c r="AS26" s="97" t="n"/>
      <c r="AT26" s="97" t="n"/>
      <c r="AU26" s="97" t="n"/>
      <c r="AV26" s="97" t="n"/>
      <c r="AW26" s="97" t="n">
        <v>0</v>
      </c>
      <c r="AX26" s="96" t="inlineStr">
        <is>
          <t>N</t>
        </is>
      </c>
      <c r="AY26" s="97" t="n"/>
      <c r="AZ26" s="96" t="inlineStr">
        <is>
          <t>CY-RTN 25-27/09/26 (JB2609183466 )1ST RETURN DATE DD.29/09/26</t>
        </is>
      </c>
      <c r="BA26" s="97" t="inlineStr">
        <is>
          <t>ROLL OVER FROM PREVIOUS VSL KMBK 2611N BY ALLOCATION TEAM MS.TARN APPROVED COST IS UNDER HAL DD.01/10SI DD.29/9/26
CUST ACCEPT DEM 2 DAYS = THB1,500**REQUEST SURRENDER BL** FREIGHT PREPAID ***REQUEST SURRENDER BL** FREIGHT PREPAID **PLS SHOW AGENT AT DESTINATION ON BL** ISSUE INVOICE NAME : SCGJWD FREIGHT COMPANY LIMITED 36 KRUNGTHEP  KREETHA ROAD, HUAMARK,  BANGKAPI, BANGKOK 10240 (HEAD OFFICE) TAX ID :   0105567233336</t>
        </is>
      </c>
      <c r="BB26" s="96" t="inlineStr">
        <is>
          <t>P</t>
        </is>
      </c>
      <c r="BC26" s="161" t="inlineStr">
        <is>
          <t>2026-09-17</t>
        </is>
      </c>
      <c r="BD26" s="161" t="inlineStr">
        <is>
          <t>2026-10-06</t>
        </is>
      </c>
      <c r="BE26" s="96" t="inlineStr">
        <is>
          <t>Y</t>
        </is>
      </c>
      <c r="BF26" s="96" t="inlineStr">
        <is>
          <t>COPPER SCRAP</t>
        </is>
      </c>
      <c r="BG26" s="96" t="inlineStr">
        <is>
          <t>Line</t>
        </is>
      </c>
      <c r="BH26" s="96" t="inlineStr">
        <is>
          <t>S22</t>
        </is>
      </c>
      <c r="BI26" s="97" t="n"/>
      <c r="BJ26" s="97" t="n"/>
      <c r="BK26" s="96" t="inlineStr">
        <is>
          <t>BKK25</t>
        </is>
      </c>
      <c r="BL26" s="161" t="inlineStr">
        <is>
          <t>2026-09-25</t>
        </is>
      </c>
      <c r="BM26" s="127" t="n"/>
      <c r="BN26" s="127" t="n">
        <v>2</v>
      </c>
      <c r="BO26" s="127" t="n"/>
      <c r="BP26" s="127" t="n"/>
      <c r="BQ26" s="127" t="n"/>
      <c r="BR26" s="127" t="n"/>
      <c r="BS26" s="127" t="n"/>
      <c r="BT26" s="127" t="n"/>
      <c r="BU26" s="127" t="n"/>
      <c r="BV26" s="127" t="n"/>
      <c r="BW26" s="127" t="n"/>
      <c r="BX26" s="127" t="n"/>
      <c r="BY26" s="96" t="inlineStr">
        <is>
          <t>FULL</t>
        </is>
      </c>
      <c r="BZ26" s="97" t="n">
        <v>2</v>
      </c>
      <c r="CA26" s="96" t="n"/>
      <c r="CB26" s="97" t="n"/>
      <c r="CC26" s="96" t="inlineStr">
        <is>
          <t>BKK04</t>
        </is>
      </c>
      <c r="CD26" s="97" t="n"/>
      <c r="CE26" s="97" t="n"/>
      <c r="CF26" s="96" t="inlineStr">
        <is>
          <t>0 Teu</t>
        </is>
      </c>
      <c r="CG26" s="96" t="inlineStr">
        <is>
          <t>CY/CY</t>
        </is>
      </c>
      <c r="CH26" s="97" t="inlineStr">
        <is>
          <t>POL: THBKK [SWSP/2609N]; T/S(1st): KRPUS [MJEP/2664E]; POD: JPIYM [/]</t>
        </is>
      </c>
      <c r="CI26" s="96" t="inlineStr">
        <is>
          <t>witchaai@scgjwd.com</t>
        </is>
      </c>
      <c r="CJ26" s="96" t="inlineStr">
        <is>
          <t>SCG INTERNATIONAL CORPORATION</t>
        </is>
      </c>
      <c r="CK26" s="96" t="inlineStr">
        <is>
          <t>USUI METALS CORPORATION</t>
        </is>
      </c>
      <c r="CL26" s="96" t="inlineStr">
        <is>
          <t>USUI METALS CORPORATION</t>
        </is>
      </c>
      <c r="CM26" s="97" t="n"/>
      <c r="CN26" s="96" t="inlineStr">
        <is>
          <t>202610021700</t>
        </is>
      </c>
      <c r="CO26" s="96" t="inlineStr">
        <is>
          <t>202610051200</t>
        </is>
      </c>
      <c r="CP26" s="97" t="n"/>
      <c r="CQ26" s="96" t="inlineStr">
        <is>
          <t>S19-2308040</t>
        </is>
      </c>
      <c r="CR26" s="96" t="inlineStr">
        <is>
          <t>TH0235</t>
        </is>
      </c>
      <c r="CS26" s="96" t="inlineStr">
        <is>
          <t>SCGJWD LOGISTICS PUBLIC COMPANY LIMITED</t>
        </is>
      </c>
      <c r="CT26" s="96" t="inlineStr">
        <is>
          <t>N</t>
        </is>
      </c>
      <c r="CU26" s="97" t="n"/>
      <c r="CV26" s="97" t="n"/>
      <c r="CW26" s="161" t="inlineStr">
        <is>
          <t>2026-10-07</t>
        </is>
      </c>
      <c r="CX26" s="97" t="inlineStr">
        <is>
          <t>740400</t>
        </is>
      </c>
      <c r="CY26" s="183" t="inlineStr">
        <is>
          <t>ROLL OVER FROM PREVIOUS VSL KMBK 2611N BY ALLOCATION TEAM MS.TARN APPROVED COST IS UNDER HAL DD.01/10SI DD.29/9/26</t>
        </is>
      </c>
    </row>
    <row r="27" ht="12" customHeight="1">
      <c r="A27" s="116" t="inlineStr">
        <is>
          <t>HASLS22260901178</t>
        </is>
      </c>
      <c r="B27" s="96" t="inlineStr">
        <is>
          <t>20'x2</t>
        </is>
      </c>
      <c r="C27" s="97" t="n">
        <v>2</v>
      </c>
      <c r="D27" s="97" t="n">
        <v>2</v>
      </c>
      <c r="E27" s="97" t="n"/>
      <c r="F27" s="97" t="n">
        <v>0</v>
      </c>
      <c r="G27" s="97" t="n">
        <v>2</v>
      </c>
      <c r="H27" s="97" t="n">
        <v>0</v>
      </c>
      <c r="I27" s="97" t="n">
        <v>0</v>
      </c>
      <c r="J27" s="97" t="n">
        <v>2</v>
      </c>
      <c r="K27" s="96" t="inlineStr">
        <is>
          <t>N</t>
        </is>
      </c>
      <c r="L27" s="96" t="inlineStr">
        <is>
          <t>BTS</t>
        </is>
      </c>
      <c r="M27" s="96" t="inlineStr">
        <is>
          <t>SWSP</t>
        </is>
      </c>
      <c r="N27" s="96" t="inlineStr">
        <is>
          <t>2609N</t>
        </is>
      </c>
      <c r="O27" s="96" t="inlineStr">
        <is>
          <t>THBKK</t>
        </is>
      </c>
      <c r="P27" s="96" t="inlineStr">
        <is>
          <t>BKK04</t>
        </is>
      </c>
      <c r="Q27" s="96" t="inlineStr">
        <is>
          <t>IA</t>
        </is>
      </c>
      <c r="R27" s="161" t="inlineStr">
        <is>
          <t>2026-10-08</t>
        </is>
      </c>
      <c r="S27" s="96" t="inlineStr">
        <is>
          <t>VNSGN</t>
        </is>
      </c>
      <c r="T27" s="96" t="inlineStr">
        <is>
          <t>SGN03</t>
        </is>
      </c>
      <c r="U27" s="96" t="inlineStr">
        <is>
          <t>VNSGN</t>
        </is>
      </c>
      <c r="V27" s="161" t="inlineStr">
        <is>
          <t>2026-10-11</t>
        </is>
      </c>
      <c r="W27" s="96" t="inlineStr">
        <is>
          <t>IA</t>
        </is>
      </c>
      <c r="X27" s="97" t="n"/>
      <c r="Y27" s="97" t="n"/>
      <c r="Z27" s="97" t="n"/>
      <c r="AA27" s="96" t="inlineStr">
        <is>
          <t>WICE LOGISTICS PUBLIC COMPANY LIMITED</t>
        </is>
      </c>
      <c r="AB27" s="96" t="inlineStr">
        <is>
          <t>F.M.T. (THAILAND) CO., LTD. (HEAD OFFICE)</t>
        </is>
      </c>
      <c r="AC27" s="163" t="n">
        <v>39100</v>
      </c>
      <c r="AD27" s="163" t="n">
        <v>43500</v>
      </c>
      <c r="AE27" s="96" t="inlineStr">
        <is>
          <t>OK</t>
        </is>
      </c>
      <c r="AF27" s="96" t="n"/>
      <c r="AG27" s="97" t="n"/>
      <c r="AH27" s="96" t="inlineStr">
        <is>
          <t>CON</t>
        </is>
      </c>
      <c r="AI27" s="97" t="inlineStr">
        <is>
          <t>OK</t>
        </is>
      </c>
      <c r="AJ27" s="97" t="n"/>
      <c r="AK27" s="97" t="n"/>
      <c r="AL27" s="97" t="n"/>
      <c r="AM27" s="96" t="inlineStr">
        <is>
          <t>TBKK13</t>
        </is>
      </c>
      <c r="AN27" s="96" t="inlineStr">
        <is>
          <t>Dharaporn</t>
        </is>
      </c>
      <c r="AO27" s="96" t="inlineStr">
        <is>
          <t>WET GROUND CALCIUM CARBONATE,75% TSC</t>
        </is>
      </c>
      <c r="AP27" s="96" t="inlineStr">
        <is>
          <t>Normal</t>
        </is>
      </c>
      <c r="AQ27" s="97" t="n"/>
      <c r="AR27" s="97" t="n"/>
      <c r="AS27" s="97" t="n"/>
      <c r="AT27" s="97" t="n"/>
      <c r="AU27" s="97" t="n"/>
      <c r="AV27" s="97" t="n"/>
      <c r="AW27" s="97" t="n">
        <v>0</v>
      </c>
      <c r="AX27" s="96" t="inlineStr">
        <is>
          <t>N</t>
        </is>
      </c>
      <c r="AY27" s="97" t="n"/>
      <c r="AZ27" s="96" t="inlineStr">
        <is>
          <t>Pickup : 2026-09-28, Return : 2026-09-29</t>
        </is>
      </c>
      <c r="BA27" s="97" t="inlineStr">
        <is>
          <t>PLS SEND DRAFT TO BKKSEA2@WICE.CO.TH</t>
        </is>
      </c>
      <c r="BB27" s="96" t="inlineStr">
        <is>
          <t>P</t>
        </is>
      </c>
      <c r="BC27" s="161" t="inlineStr">
        <is>
          <t>2026-09-15</t>
        </is>
      </c>
      <c r="BD27" s="161" t="inlineStr">
        <is>
          <t>2026-10-01</t>
        </is>
      </c>
      <c r="BE27" s="96" t="inlineStr">
        <is>
          <t>Y</t>
        </is>
      </c>
      <c r="BF27" s="96" t="inlineStr">
        <is>
          <t>CALCIUM CARBONATE / HS CODE : 2836.50.90</t>
        </is>
      </c>
      <c r="BG27" s="96" t="inlineStr">
        <is>
          <t>Line</t>
        </is>
      </c>
      <c r="BH27" s="96" t="inlineStr">
        <is>
          <t>S22</t>
        </is>
      </c>
      <c r="BI27" s="97" t="n"/>
      <c r="BJ27" s="97" t="n"/>
      <c r="BK27" s="96" t="inlineStr">
        <is>
          <t>BKK25</t>
        </is>
      </c>
      <c r="BL27" s="161" t="inlineStr">
        <is>
          <t>2026-09-28</t>
        </is>
      </c>
      <c r="BM27" s="127" t="n"/>
      <c r="BN27" s="127" t="n">
        <v>2</v>
      </c>
      <c r="BO27" s="127" t="n"/>
      <c r="BP27" s="127" t="n"/>
      <c r="BQ27" s="127" t="n"/>
      <c r="BR27" s="127" t="n"/>
      <c r="BS27" s="127" t="n"/>
      <c r="BT27" s="127" t="n"/>
      <c r="BU27" s="127" t="n"/>
      <c r="BV27" s="127" t="n"/>
      <c r="BW27" s="127" t="n"/>
      <c r="BX27" s="127" t="n"/>
      <c r="BY27" s="96" t="inlineStr">
        <is>
          <t>FULL</t>
        </is>
      </c>
      <c r="BZ27" s="97" t="n"/>
      <c r="CA27" s="96" t="inlineStr">
        <is>
          <t>Y</t>
        </is>
      </c>
      <c r="CB27" s="97" t="n"/>
      <c r="CC27" s="96" t="inlineStr">
        <is>
          <t>BKK04</t>
        </is>
      </c>
      <c r="CD27" s="97" t="n"/>
      <c r="CE27" s="97" t="n"/>
      <c r="CF27" s="96" t="inlineStr">
        <is>
          <t>0 Teu</t>
        </is>
      </c>
      <c r="CG27" s="96" t="inlineStr">
        <is>
          <t>CY/CY</t>
        </is>
      </c>
      <c r="CH27" s="97" t="n"/>
      <c r="CI27" s="96" t="inlineStr">
        <is>
          <t>bkksea1@wice.co.th</t>
        </is>
      </c>
      <c r="CJ27" s="96" t="inlineStr">
        <is>
          <t>WICE LOGISTICS PUBLIC COMPANY</t>
        </is>
      </c>
      <c r="CK27" s="96" t="inlineStr">
        <is>
          <t>M&amp;P INTERNATIONAL CO., LTD.</t>
        </is>
      </c>
      <c r="CL27" s="96" t="inlineStr">
        <is>
          <t>M&amp;P INTERNATIONAL CO., LTD.</t>
        </is>
      </c>
      <c r="CM27" s="97" t="n"/>
      <c r="CN27" s="96" t="inlineStr">
        <is>
          <t>202610021700</t>
        </is>
      </c>
      <c r="CO27" s="96" t="inlineStr">
        <is>
          <t>202610051200</t>
        </is>
      </c>
      <c r="CP27" s="97" t="n"/>
      <c r="CQ27" s="96" t="inlineStr">
        <is>
          <t>S22-2309003</t>
        </is>
      </c>
      <c r="CR27" s="96" t="inlineStr">
        <is>
          <t>TH05J0</t>
        </is>
      </c>
      <c r="CS27" s="96" t="inlineStr">
        <is>
          <t>WICE LOGISTICS PUBLIC COMPANY LIMITED</t>
        </is>
      </c>
      <c r="CT27" s="96" t="inlineStr">
        <is>
          <t>N</t>
        </is>
      </c>
      <c r="CU27" s="97" t="n"/>
      <c r="CV27" s="97" t="n"/>
      <c r="CW27" s="161" t="inlineStr">
        <is>
          <t>2026-10-02</t>
        </is>
      </c>
      <c r="CX27" s="97" t="inlineStr">
        <is>
          <t>283650</t>
        </is>
      </c>
      <c r="CY27" s="183" t="n"/>
    </row>
    <row r="28" ht="12" customHeight="1">
      <c r="A28" s="116" t="inlineStr">
        <is>
          <t>HASLS22260900941</t>
        </is>
      </c>
      <c r="B28" s="96" t="inlineStr">
        <is>
          <t>20'x2</t>
        </is>
      </c>
      <c r="C28" s="97" t="n">
        <v>2</v>
      </c>
      <c r="D28" s="97" t="n">
        <v>2</v>
      </c>
      <c r="E28" s="97" t="n"/>
      <c r="F28" s="97" t="n">
        <v>0</v>
      </c>
      <c r="G28" s="97" t="n">
        <v>2</v>
      </c>
      <c r="H28" s="97" t="n">
        <v>0</v>
      </c>
      <c r="I28" s="97" t="n">
        <v>0</v>
      </c>
      <c r="J28" s="97" t="n">
        <v>2</v>
      </c>
      <c r="K28" s="96" t="inlineStr">
        <is>
          <t>N</t>
        </is>
      </c>
      <c r="L28" s="96" t="inlineStr">
        <is>
          <t>BTS</t>
        </is>
      </c>
      <c r="M28" s="96" t="inlineStr">
        <is>
          <t>SWSP</t>
        </is>
      </c>
      <c r="N28" s="96" t="inlineStr">
        <is>
          <t>2609N</t>
        </is>
      </c>
      <c r="O28" s="96" t="inlineStr">
        <is>
          <t>THBKK</t>
        </is>
      </c>
      <c r="P28" s="96" t="inlineStr">
        <is>
          <t>BKK04</t>
        </is>
      </c>
      <c r="Q28" s="96" t="inlineStr">
        <is>
          <t>IA</t>
        </is>
      </c>
      <c r="R28" s="161" t="inlineStr">
        <is>
          <t>2026-10-08</t>
        </is>
      </c>
      <c r="S28" s="96" t="inlineStr">
        <is>
          <t>JPHHE</t>
        </is>
      </c>
      <c r="T28" s="96" t="inlineStr">
        <is>
          <t>HHE01</t>
        </is>
      </c>
      <c r="U28" s="96" t="inlineStr">
        <is>
          <t>JPHHE</t>
        </is>
      </c>
      <c r="V28" s="161" t="inlineStr">
        <is>
          <t>2026-11-02</t>
        </is>
      </c>
      <c r="W28" s="96" t="inlineStr">
        <is>
          <t>JP</t>
        </is>
      </c>
      <c r="X28" s="97" t="n"/>
      <c r="Y28" s="97" t="inlineStr">
        <is>
          <t>PUS05</t>
        </is>
      </c>
      <c r="Z28" s="97" t="inlineStr">
        <is>
          <t>KRPUS</t>
        </is>
      </c>
      <c r="AA28" s="96" t="inlineStr">
        <is>
          <t>CTL INTERNATIONAL CO., LTD.</t>
        </is>
      </c>
      <c r="AB28" s="96" t="inlineStr">
        <is>
          <t>THAI FLOUR INDUSTRY CO., LTD.</t>
        </is>
      </c>
      <c r="AC28" s="163" t="n">
        <v>40800</v>
      </c>
      <c r="AD28" s="163" t="n">
        <v>45200</v>
      </c>
      <c r="AE28" s="96" t="inlineStr">
        <is>
          <t>OK</t>
        </is>
      </c>
      <c r="AF28" s="96" t="n"/>
      <c r="AG28" s="97" t="n"/>
      <c r="AH28" s="96" t="inlineStr">
        <is>
          <t>CHK</t>
        </is>
      </c>
      <c r="AI28" s="97" t="inlineStr">
        <is>
          <t>OK</t>
        </is>
      </c>
      <c r="AJ28" s="97" t="n"/>
      <c r="AK28" s="97" t="n"/>
      <c r="AL28" s="97" t="n"/>
      <c r="AM28" s="96" t="inlineStr">
        <is>
          <t>TH0042</t>
        </is>
      </c>
      <c r="AN28" s="96" t="inlineStr">
        <is>
          <t>Sukunpoj Damrongying</t>
        </is>
      </c>
      <c r="AO28" s="96" t="inlineStr">
        <is>
          <t>SUGAR- SORBITOL PREMIUM- MIX</t>
        </is>
      </c>
      <c r="AP28" s="96" t="inlineStr">
        <is>
          <t>T/S</t>
        </is>
      </c>
      <c r="AQ28" s="97" t="n"/>
      <c r="AR28" s="97" t="n"/>
      <c r="AS28" s="97" t="n"/>
      <c r="AT28" s="97" t="n"/>
      <c r="AU28" s="97" t="n"/>
      <c r="AV28" s="97" t="n"/>
      <c r="AW28" s="97" t="n">
        <v>0</v>
      </c>
      <c r="AX28" s="96" t="inlineStr">
        <is>
          <t>N</t>
        </is>
      </c>
      <c r="AY28" s="97" t="n"/>
      <c r="AZ28" s="96" t="inlineStr">
        <is>
          <t xml:space="preserve">[FIX]Pickup : 2026-09-26, Return : 2026-09-28 
 </t>
        </is>
      </c>
      <c r="BA28" s="97" t="inlineStr">
        <is>
          <t>ROLL OVER FROM PREVIOUS VSL KMBK 2611N BY ALLOCATION TEAM MS.TARN APPROVED COST IS UNDER HAL DD.01/10
ACCEPT TO ROLL Request free time extra request DEM21+Det 7Request container food grade without chargeAccept subject to roll</t>
        </is>
      </c>
      <c r="BB28" s="96" t="inlineStr">
        <is>
          <t>P</t>
        </is>
      </c>
      <c r="BC28" s="161" t="inlineStr">
        <is>
          <t>2026-09-11</t>
        </is>
      </c>
      <c r="BD28" s="161" t="inlineStr">
        <is>
          <t>2026-10-05</t>
        </is>
      </c>
      <c r="BE28" s="96" t="inlineStr">
        <is>
          <t>Y</t>
        </is>
      </c>
      <c r="BF28" s="96" t="inlineStr">
        <is>
          <t>SUGAR SORBITOL PREMIUM MIX (NO BRAND) //HS CODE2106.9054</t>
        </is>
      </c>
      <c r="BG28" s="96" t="inlineStr">
        <is>
          <t>Line</t>
        </is>
      </c>
      <c r="BH28" s="96" t="inlineStr">
        <is>
          <t>S22</t>
        </is>
      </c>
      <c r="BI28" s="97" t="n"/>
      <c r="BJ28" s="97" t="n"/>
      <c r="BK28" s="96" t="inlineStr">
        <is>
          <t>BKK27</t>
        </is>
      </c>
      <c r="BL28" s="161" t="inlineStr">
        <is>
          <t>2026-09-26</t>
        </is>
      </c>
      <c r="BM28" s="127" t="n"/>
      <c r="BN28" s="127" t="n">
        <v>2</v>
      </c>
      <c r="BO28" s="127" t="n"/>
      <c r="BP28" s="127" t="n"/>
      <c r="BQ28" s="127" t="n"/>
      <c r="BR28" s="127" t="n"/>
      <c r="BS28" s="127" t="n"/>
      <c r="BT28" s="127" t="n"/>
      <c r="BU28" s="127" t="n"/>
      <c r="BV28" s="127" t="n"/>
      <c r="BW28" s="127" t="n"/>
      <c r="BX28" s="127" t="n"/>
      <c r="BY28" s="96" t="inlineStr">
        <is>
          <t>FULL</t>
        </is>
      </c>
      <c r="BZ28" s="97" t="n">
        <v>8</v>
      </c>
      <c r="CA28" s="96" t="inlineStr">
        <is>
          <t>Y</t>
        </is>
      </c>
      <c r="CB28" s="97" t="n"/>
      <c r="CC28" s="96" t="inlineStr">
        <is>
          <t>BKK04</t>
        </is>
      </c>
      <c r="CD28" s="97" t="n"/>
      <c r="CE28" s="97" t="n"/>
      <c r="CF28" s="96" t="inlineStr">
        <is>
          <t>0 Teu</t>
        </is>
      </c>
      <c r="CG28" s="96" t="inlineStr">
        <is>
          <t>CY/CY</t>
        </is>
      </c>
      <c r="CH28" s="97" t="inlineStr">
        <is>
          <t>POL: THBKK [SWSP/2609N]; T/S(1st): KRPUS [HAHP/2639E]; POD: JPHHE [/]</t>
        </is>
      </c>
      <c r="CI28" s="96" t="inlineStr">
        <is>
          <t>cs_ctl@ctlinter.com</t>
        </is>
      </c>
      <c r="CJ28" s="96" t="inlineStr">
        <is>
          <t>THAI FLOUR INDUSTRY CO.,LTD.</t>
        </is>
      </c>
      <c r="CK28" s="96" t="inlineStr">
        <is>
          <t>THAIMEI CO.,LTD.</t>
        </is>
      </c>
      <c r="CL28" s="96" t="inlineStr">
        <is>
          <t>THAIMEI CO.,LTD.</t>
        </is>
      </c>
      <c r="CM28" s="97" t="n"/>
      <c r="CN28" s="96" t="inlineStr">
        <is>
          <t>202610021700</t>
        </is>
      </c>
      <c r="CO28" s="96" t="inlineStr">
        <is>
          <t>202610051200</t>
        </is>
      </c>
      <c r="CP28" s="97" t="n"/>
      <c r="CQ28" s="96" t="inlineStr">
        <is>
          <t>S22-2506035</t>
        </is>
      </c>
      <c r="CR28" s="96" t="inlineStr">
        <is>
          <t>THTNOO</t>
        </is>
      </c>
      <c r="CS28" s="96" t="inlineStr">
        <is>
          <t>CTL INTERNATIONAL CO., LTD.</t>
        </is>
      </c>
      <c r="CT28" s="96" t="inlineStr">
        <is>
          <t>N</t>
        </is>
      </c>
      <c r="CU28" s="97" t="n"/>
      <c r="CV28" s="97" t="n"/>
      <c r="CW28" s="161" t="inlineStr">
        <is>
          <t>2026-10-07</t>
        </is>
      </c>
      <c r="CX28" s="97" t="inlineStr">
        <is>
          <t>210690</t>
        </is>
      </c>
      <c r="CY28" s="183" t="inlineStr">
        <is>
          <t>ROLL OVER FROM PREVIOUS VSL KMBK 2611N BY ALLOCATION TEAM MS.TARN APPROVED COST IS UNDER HAL DD.01/10</t>
        </is>
      </c>
    </row>
    <row r="29" ht="12" customHeight="1">
      <c r="A29" s="116" t="inlineStr">
        <is>
          <t>HASLS22260900501</t>
        </is>
      </c>
      <c r="B29" s="96" t="inlineStr">
        <is>
          <t>20'x2</t>
        </is>
      </c>
      <c r="C29" s="97" t="n">
        <v>2</v>
      </c>
      <c r="D29" s="97" t="n">
        <v>2</v>
      </c>
      <c r="E29" s="97" t="n"/>
      <c r="F29" s="97" t="n">
        <v>0</v>
      </c>
      <c r="G29" s="97" t="n">
        <v>2</v>
      </c>
      <c r="H29" s="97" t="n">
        <v>0</v>
      </c>
      <c r="I29" s="97" t="n">
        <v>0</v>
      </c>
      <c r="J29" s="97" t="n">
        <v>2</v>
      </c>
      <c r="K29" s="96" t="inlineStr">
        <is>
          <t>N</t>
        </is>
      </c>
      <c r="L29" s="96" t="inlineStr">
        <is>
          <t>BTS</t>
        </is>
      </c>
      <c r="M29" s="96" t="inlineStr">
        <is>
          <t>SWSP</t>
        </is>
      </c>
      <c r="N29" s="96" t="inlineStr">
        <is>
          <t>2609N</t>
        </is>
      </c>
      <c r="O29" s="96" t="inlineStr">
        <is>
          <t>THBKK</t>
        </is>
      </c>
      <c r="P29" s="96" t="inlineStr">
        <is>
          <t>BKK04</t>
        </is>
      </c>
      <c r="Q29" s="96" t="inlineStr">
        <is>
          <t>IA</t>
        </is>
      </c>
      <c r="R29" s="161" t="inlineStr">
        <is>
          <t>2026-10-08</t>
        </is>
      </c>
      <c r="S29" s="96" t="inlineStr">
        <is>
          <t>VNSGN</t>
        </is>
      </c>
      <c r="T29" s="96" t="inlineStr">
        <is>
          <t>SGN03</t>
        </is>
      </c>
      <c r="U29" s="96" t="inlineStr">
        <is>
          <t>VNSGN</t>
        </is>
      </c>
      <c r="V29" s="161" t="inlineStr">
        <is>
          <t>2026-10-11</t>
        </is>
      </c>
      <c r="W29" s="96" t="inlineStr">
        <is>
          <t>IA</t>
        </is>
      </c>
      <c r="X29" s="97" t="n"/>
      <c r="Y29" s="97" t="n"/>
      <c r="Z29" s="97" t="n"/>
      <c r="AA29" s="96" t="inlineStr">
        <is>
          <t>MERCURIAL LOGISTICS  CO.,LTD</t>
        </is>
      </c>
      <c r="AB29" s="96" t="inlineStr">
        <is>
          <t>UENO FINE CHEMICALS INDUSTRY (THAILAND) LTD.</t>
        </is>
      </c>
      <c r="AC29" s="163" t="n">
        <v>40160</v>
      </c>
      <c r="AD29" s="163" t="n">
        <v>44560</v>
      </c>
      <c r="AE29" s="96" t="inlineStr">
        <is>
          <t>OK</t>
        </is>
      </c>
      <c r="AF29" s="96" t="n"/>
      <c r="AG29" s="97" t="n"/>
      <c r="AH29" s="96" t="inlineStr">
        <is>
          <t>CHK</t>
        </is>
      </c>
      <c r="AI29" s="97" t="inlineStr">
        <is>
          <t>OK</t>
        </is>
      </c>
      <c r="AJ29" s="97" t="n"/>
      <c r="AK29" s="97" t="n"/>
      <c r="AL29" s="97" t="n"/>
      <c r="AM29" s="96" t="inlineStr">
        <is>
          <t>TH0011</t>
        </is>
      </c>
      <c r="AN29" s="96" t="inlineStr">
        <is>
          <t>Nannaapust Sukporntaweewat</t>
        </is>
      </c>
      <c r="AO29" s="96" t="inlineStr">
        <is>
          <t>MALTITOL SYRUP</t>
        </is>
      </c>
      <c r="AP29" s="96" t="inlineStr">
        <is>
          <t>Normal</t>
        </is>
      </c>
      <c r="AQ29" s="97" t="n"/>
      <c r="AR29" s="97" t="n"/>
      <c r="AS29" s="97" t="n"/>
      <c r="AT29" s="97" t="n"/>
      <c r="AU29" s="97" t="n"/>
      <c r="AV29" s="97" t="n"/>
      <c r="AW29" s="97" t="n">
        <v>0</v>
      </c>
      <c r="AX29" s="96" t="inlineStr">
        <is>
          <t>N</t>
        </is>
      </c>
      <c r="AY29" s="97" t="n"/>
      <c r="AZ29" s="96" t="inlineStr">
        <is>
          <t>Pickup : 2026-09-29, Return : 2026-09-29</t>
        </is>
      </c>
      <c r="BA29" s="97" t="n"/>
      <c r="BB29" s="96" t="inlineStr">
        <is>
          <t>P</t>
        </is>
      </c>
      <c r="BC29" s="161" t="inlineStr">
        <is>
          <t>2026-09-07</t>
        </is>
      </c>
      <c r="BD29" s="161" t="inlineStr">
        <is>
          <t>2026-10-05</t>
        </is>
      </c>
      <c r="BE29" s="96" t="inlineStr">
        <is>
          <t>Y</t>
        </is>
      </c>
      <c r="BF29" s="96" t="inlineStr">
        <is>
          <t>MALTITOL SYRUP</t>
        </is>
      </c>
      <c r="BG29" s="96" t="inlineStr">
        <is>
          <t>Line</t>
        </is>
      </c>
      <c r="BH29" s="96" t="inlineStr">
        <is>
          <t>S22</t>
        </is>
      </c>
      <c r="BI29" s="97" t="n"/>
      <c r="BJ29" s="97" t="n"/>
      <c r="BK29" s="96" t="inlineStr">
        <is>
          <t>BKK27</t>
        </is>
      </c>
      <c r="BL29" s="161" t="inlineStr">
        <is>
          <t>2026-09-29</t>
        </is>
      </c>
      <c r="BM29" s="127" t="n"/>
      <c r="BN29" s="127" t="n">
        <v>2</v>
      </c>
      <c r="BO29" s="127" t="n"/>
      <c r="BP29" s="127" t="n"/>
      <c r="BQ29" s="127" t="n"/>
      <c r="BR29" s="127" t="n"/>
      <c r="BS29" s="127" t="n"/>
      <c r="BT29" s="127" t="n"/>
      <c r="BU29" s="127" t="n"/>
      <c r="BV29" s="127" t="n"/>
      <c r="BW29" s="127" t="n"/>
      <c r="BX29" s="127" t="n"/>
      <c r="BY29" s="96" t="inlineStr">
        <is>
          <t>FULL</t>
        </is>
      </c>
      <c r="BZ29" s="97" t="n"/>
      <c r="CA29" s="96" t="inlineStr">
        <is>
          <t>Y</t>
        </is>
      </c>
      <c r="CB29" s="97" t="n"/>
      <c r="CC29" s="96" t="inlineStr">
        <is>
          <t>BKK04</t>
        </is>
      </c>
      <c r="CD29" s="97" t="n"/>
      <c r="CE29" s="97" t="n"/>
      <c r="CF29" s="96" t="inlineStr">
        <is>
          <t>0 Teu</t>
        </is>
      </c>
      <c r="CG29" s="96" t="inlineStr">
        <is>
          <t>CY/CY</t>
        </is>
      </c>
      <c r="CH29" s="97" t="n"/>
      <c r="CI29" s="96" t="inlineStr">
        <is>
          <t>pongpasin@mercurial.co.th</t>
        </is>
      </c>
      <c r="CJ29" s="96" t="inlineStr">
        <is>
          <t>UENO FINE CHEMICALS INDUSTRY</t>
        </is>
      </c>
      <c r="CK29" s="96" t="inlineStr">
        <is>
          <t>YAKULT VIETNAM CO.,LTD.</t>
        </is>
      </c>
      <c r="CL29" s="96" t="inlineStr">
        <is>
          <t>YAKULT VIETNAM CO.,LTD.</t>
        </is>
      </c>
      <c r="CM29" s="97" t="n"/>
      <c r="CN29" s="96" t="inlineStr">
        <is>
          <t>202610021700</t>
        </is>
      </c>
      <c r="CO29" s="96" t="inlineStr">
        <is>
          <t>202610051200</t>
        </is>
      </c>
      <c r="CP29" s="97" t="n"/>
      <c r="CQ29" s="96" t="inlineStr">
        <is>
          <t>S22-2502030</t>
        </is>
      </c>
      <c r="CR29" s="96" t="inlineStr">
        <is>
          <t>THTTNE</t>
        </is>
      </c>
      <c r="CS29" s="96" t="inlineStr">
        <is>
          <t>MERCURIAL LOGISTICS  CO.,LTD</t>
        </is>
      </c>
      <c r="CT29" s="96" t="inlineStr">
        <is>
          <t>N</t>
        </is>
      </c>
      <c r="CU29" s="97" t="n"/>
      <c r="CV29" s="97" t="n"/>
      <c r="CW29" s="161" t="inlineStr">
        <is>
          <t>2026-10-02</t>
        </is>
      </c>
      <c r="CX29" s="97" t="inlineStr">
        <is>
          <t>382499</t>
        </is>
      </c>
      <c r="CY29" s="183" t="n"/>
    </row>
    <row r="30" ht="12" customHeight="1">
      <c r="A30" s="116" t="inlineStr">
        <is>
          <t>HASLS22260901598</t>
        </is>
      </c>
      <c r="B30" s="96" t="inlineStr">
        <is>
          <t>20'x3</t>
        </is>
      </c>
      <c r="C30" s="97" t="n">
        <v>3</v>
      </c>
      <c r="D30" s="97" t="n">
        <v>3</v>
      </c>
      <c r="E30" s="97" t="n"/>
      <c r="F30" s="97" t="n">
        <v>0</v>
      </c>
      <c r="G30" s="97" t="n">
        <v>3</v>
      </c>
      <c r="H30" s="97" t="n">
        <v>0</v>
      </c>
      <c r="I30" s="97" t="n">
        <v>0</v>
      </c>
      <c r="J30" s="97" t="n">
        <v>3</v>
      </c>
      <c r="K30" s="96" t="inlineStr">
        <is>
          <t>N</t>
        </is>
      </c>
      <c r="L30" s="96" t="inlineStr">
        <is>
          <t>BTS</t>
        </is>
      </c>
      <c r="M30" s="96" t="inlineStr">
        <is>
          <t>SWSP</t>
        </is>
      </c>
      <c r="N30" s="96" t="inlineStr">
        <is>
          <t>2609N</t>
        </is>
      </c>
      <c r="O30" s="96" t="inlineStr">
        <is>
          <t>THBKK</t>
        </is>
      </c>
      <c r="P30" s="96" t="inlineStr">
        <is>
          <t>BKK04</t>
        </is>
      </c>
      <c r="Q30" s="96" t="inlineStr">
        <is>
          <t>IA</t>
        </is>
      </c>
      <c r="R30" s="161" t="inlineStr">
        <is>
          <t>2026-10-08</t>
        </is>
      </c>
      <c r="S30" s="96" t="inlineStr">
        <is>
          <t>VNSGN</t>
        </is>
      </c>
      <c r="T30" s="96" t="inlineStr">
        <is>
          <t>SGN03</t>
        </is>
      </c>
      <c r="U30" s="96" t="inlineStr">
        <is>
          <t>VNSGN</t>
        </is>
      </c>
      <c r="V30" s="161" t="inlineStr">
        <is>
          <t>2026-10-11</t>
        </is>
      </c>
      <c r="W30" s="96" t="inlineStr">
        <is>
          <t>IA</t>
        </is>
      </c>
      <c r="X30" s="97" t="n"/>
      <c r="Y30" s="97" t="n"/>
      <c r="Z30" s="97" t="n"/>
      <c r="AA30" s="96" t="inlineStr">
        <is>
          <t>C.P. INTERTRADE CO., LTD.</t>
        </is>
      </c>
      <c r="AB30" s="96" t="inlineStr">
        <is>
          <t>CHAROEN POKPHAND PRODUCE CO., LTD.</t>
        </is>
      </c>
      <c r="AC30" s="163" t="n">
        <v>60600</v>
      </c>
      <c r="AD30" s="163" t="n">
        <v>67200</v>
      </c>
      <c r="AE30" s="96" t="inlineStr">
        <is>
          <t>OK</t>
        </is>
      </c>
      <c r="AF30" s="96" t="inlineStr">
        <is>
          <t>SR</t>
        </is>
      </c>
      <c r="AG30" s="97" t="n"/>
      <c r="AH30" s="96" t="inlineStr">
        <is>
          <t>CHK</t>
        </is>
      </c>
      <c r="AI30" s="97" t="inlineStr">
        <is>
          <t>OK</t>
        </is>
      </c>
      <c r="AJ30" s="97" t="n"/>
      <c r="AK30" s="97" t="n"/>
      <c r="AL30" s="97" t="n"/>
      <c r="AM30" s="96" t="inlineStr">
        <is>
          <t>TBKK55</t>
        </is>
      </c>
      <c r="AN30" s="96" t="inlineStr">
        <is>
          <t>Vilaiporn</t>
        </is>
      </c>
      <c r="AO30" s="96" t="inlineStr">
        <is>
          <t>CORN SEEDS</t>
        </is>
      </c>
      <c r="AP30" s="96" t="inlineStr">
        <is>
          <t>Normal</t>
        </is>
      </c>
      <c r="AQ30" s="97" t="n"/>
      <c r="AR30" s="97" t="n"/>
      <c r="AS30" s="97" t="n"/>
      <c r="AT30" s="97" t="n"/>
      <c r="AU30" s="97" t="n"/>
      <c r="AV30" s="97" t="n"/>
      <c r="AW30" s="97" t="n">
        <v>0</v>
      </c>
      <c r="AX30" s="96" t="inlineStr">
        <is>
          <t>N</t>
        </is>
      </c>
      <c r="AY30" s="97" t="n"/>
      <c r="AZ30" s="96" t="inlineStr">
        <is>
          <t>Pickup : 2026-10-01, Return : 2026-10-02</t>
        </is>
      </c>
      <c r="BA30" s="97" t="inlineStr">
        <is>
          <t xml:space="preserve">NOT ACCEPT ROLL OVER มีคุยจะย้ายเรือ บอกลูกค้าแล้วว่าลุ้นไปด้วยก้ัน
FM 4X20GP 22/09  REQ CLEAN AND GOOD CONTAINER GRADE A NOT ACCEPT ROLL OVER FINAL DEST: CAT LAI </t>
        </is>
      </c>
      <c r="BB30" s="96" t="inlineStr">
        <is>
          <t>P</t>
        </is>
      </c>
      <c r="BC30" s="161" t="inlineStr">
        <is>
          <t>2026-09-17</t>
        </is>
      </c>
      <c r="BD30" s="161" t="inlineStr">
        <is>
          <t>2026-10-05</t>
        </is>
      </c>
      <c r="BE30" s="96" t="inlineStr">
        <is>
          <t>Y</t>
        </is>
      </c>
      <c r="BF30" s="96" t="inlineStr">
        <is>
          <t>CORN SEEDS</t>
        </is>
      </c>
      <c r="BG30" s="96" t="inlineStr">
        <is>
          <t>Line</t>
        </is>
      </c>
      <c r="BH30" s="96" t="inlineStr">
        <is>
          <t>S22</t>
        </is>
      </c>
      <c r="BI30" s="97" t="n"/>
      <c r="BJ30" s="97" t="n"/>
      <c r="BK30" s="96" t="inlineStr">
        <is>
          <t>BKK27</t>
        </is>
      </c>
      <c r="BL30" s="161" t="inlineStr">
        <is>
          <t>2026-10-01</t>
        </is>
      </c>
      <c r="BM30" s="127" t="n"/>
      <c r="BN30" s="127" t="n">
        <v>3</v>
      </c>
      <c r="BO30" s="127" t="n"/>
      <c r="BP30" s="127" t="n"/>
      <c r="BQ30" s="127" t="n"/>
      <c r="BR30" s="127" t="n"/>
      <c r="BS30" s="127" t="n"/>
      <c r="BT30" s="127" t="n"/>
      <c r="BU30" s="127" t="n"/>
      <c r="BV30" s="127" t="n"/>
      <c r="BW30" s="127" t="n"/>
      <c r="BX30" s="127" t="n"/>
      <c r="BY30" s="96" t="inlineStr">
        <is>
          <t>FULL</t>
        </is>
      </c>
      <c r="BZ30" s="97" t="n"/>
      <c r="CA30" s="96" t="inlineStr">
        <is>
          <t>Y</t>
        </is>
      </c>
      <c r="CB30" s="97" t="n"/>
      <c r="CC30" s="96" t="inlineStr">
        <is>
          <t>BKK04</t>
        </is>
      </c>
      <c r="CD30" s="97" t="n"/>
      <c r="CE30" s="97" t="n"/>
      <c r="CF30" s="96" t="inlineStr">
        <is>
          <t>0 Teu</t>
        </is>
      </c>
      <c r="CG30" s="96" t="inlineStr">
        <is>
          <t>CY/CY</t>
        </is>
      </c>
      <c r="CH30" s="97" t="n"/>
      <c r="CI30" s="96" t="inlineStr">
        <is>
          <t>kanisorn.khu@cpintertrade.com;ornuma.sum@cpintertrade.com;kodchaphon.art@cpintertrade.com</t>
        </is>
      </c>
      <c r="CJ30" s="96" t="inlineStr">
        <is>
          <t>CHAROEN POKPHAND PRODUCE CO.,LTD.</t>
        </is>
      </c>
      <c r="CK30" s="96" t="inlineStr">
        <is>
          <t>C.P.SEEDS (VIETNAM) CO.,LTD.</t>
        </is>
      </c>
      <c r="CL30" s="96" t="inlineStr">
        <is>
          <t>C.P.SEEDS (VIETNAM) CO.,LTD.</t>
        </is>
      </c>
      <c r="CM30" s="97" t="n"/>
      <c r="CN30" s="96" t="inlineStr">
        <is>
          <t>202610021700</t>
        </is>
      </c>
      <c r="CO30" s="96" t="inlineStr">
        <is>
          <t>202610051200</t>
        </is>
      </c>
      <c r="CP30" s="97" t="n"/>
      <c r="CQ30" s="96" t="inlineStr">
        <is>
          <t>S19-2308018</t>
        </is>
      </c>
      <c r="CR30" s="96" t="inlineStr">
        <is>
          <t>THTQ0T</t>
        </is>
      </c>
      <c r="CS30" s="96" t="inlineStr">
        <is>
          <t>C.P. INTERTRADE CO., LTD.</t>
        </is>
      </c>
      <c r="CT30" s="96" t="inlineStr">
        <is>
          <t>N</t>
        </is>
      </c>
      <c r="CU30" s="97" t="n"/>
      <c r="CV30" s="97" t="n"/>
      <c r="CW30" s="161" t="inlineStr">
        <is>
          <t>2026-10-07</t>
        </is>
      </c>
      <c r="CX30" s="97" t="inlineStr">
        <is>
          <t>100510</t>
        </is>
      </c>
      <c r="CY30" s="183" t="n"/>
    </row>
    <row r="31" ht="12" customHeight="1">
      <c r="A31" s="116" t="inlineStr">
        <is>
          <t>HASLS22260901396</t>
        </is>
      </c>
      <c r="B31" s="96" t="inlineStr">
        <is>
          <t>20'x3</t>
        </is>
      </c>
      <c r="C31" s="97" t="n">
        <v>3</v>
      </c>
      <c r="D31" s="97" t="n">
        <v>3</v>
      </c>
      <c r="E31" s="97" t="n"/>
      <c r="F31" s="97" t="n">
        <v>0</v>
      </c>
      <c r="G31" s="97" t="n">
        <v>3</v>
      </c>
      <c r="H31" s="97" t="n">
        <v>0</v>
      </c>
      <c r="I31" s="97" t="n">
        <v>0</v>
      </c>
      <c r="J31" s="97" t="n">
        <v>3</v>
      </c>
      <c r="K31" s="96" t="inlineStr">
        <is>
          <t>N</t>
        </is>
      </c>
      <c r="L31" s="96" t="inlineStr">
        <is>
          <t>BTS</t>
        </is>
      </c>
      <c r="M31" s="96" t="inlineStr">
        <is>
          <t>SWSP</t>
        </is>
      </c>
      <c r="N31" s="96" t="inlineStr">
        <is>
          <t>2609N</t>
        </is>
      </c>
      <c r="O31" s="96" t="inlineStr">
        <is>
          <t>THBKK</t>
        </is>
      </c>
      <c r="P31" s="96" t="inlineStr">
        <is>
          <t>BKK04</t>
        </is>
      </c>
      <c r="Q31" s="96" t="inlineStr">
        <is>
          <t>IA</t>
        </is>
      </c>
      <c r="R31" s="161" t="inlineStr">
        <is>
          <t>2026-10-08</t>
        </is>
      </c>
      <c r="S31" s="96" t="inlineStr">
        <is>
          <t>JPSBS</t>
        </is>
      </c>
      <c r="T31" s="96" t="inlineStr">
        <is>
          <t>SBS01</t>
        </is>
      </c>
      <c r="U31" s="96" t="inlineStr">
        <is>
          <t>JPSBS</t>
        </is>
      </c>
      <c r="V31" s="161" t="inlineStr">
        <is>
          <t>2026-10-25</t>
        </is>
      </c>
      <c r="W31" s="96" t="inlineStr">
        <is>
          <t>JP</t>
        </is>
      </c>
      <c r="X31" s="97" t="n"/>
      <c r="Y31" s="97" t="inlineStr">
        <is>
          <t>PUS05</t>
        </is>
      </c>
      <c r="Z31" s="97" t="inlineStr">
        <is>
          <t>KRPUS</t>
        </is>
      </c>
      <c r="AA31" s="96" t="inlineStr">
        <is>
          <t>MILKYWAY INTERNATIONAL SUPPLY CHAIN SERVICES (THAILAND) CO., LTD.</t>
        </is>
      </c>
      <c r="AB31" s="96" t="inlineStr">
        <is>
          <t>TASCO INTERNATIONAL CO., LTD.</t>
        </is>
      </c>
      <c r="AC31" s="163" t="n">
        <v>60120</v>
      </c>
      <c r="AD31" s="163" t="n">
        <v>66720</v>
      </c>
      <c r="AE31" s="96" t="inlineStr">
        <is>
          <t>OK</t>
        </is>
      </c>
      <c r="AF31" s="96" t="inlineStr">
        <is>
          <t>SR</t>
        </is>
      </c>
      <c r="AG31" s="97" t="n"/>
      <c r="AH31" s="96" t="inlineStr">
        <is>
          <t>CHK</t>
        </is>
      </c>
      <c r="AI31" s="97" t="inlineStr">
        <is>
          <t>OK</t>
        </is>
      </c>
      <c r="AJ31" s="97" t="n"/>
      <c r="AK31" s="97" t="n"/>
      <c r="AL31" s="97" t="n"/>
      <c r="AM31" s="96" t="inlineStr">
        <is>
          <t>TBKK97</t>
        </is>
      </c>
      <c r="AN31" s="96" t="inlineStr">
        <is>
          <t>Arunphat W. (Aiw)</t>
        </is>
      </c>
      <c r="AO31" s="96" t="inlineStr">
        <is>
          <t>FISHMEAL AND FISH BONE MEAL</t>
        </is>
      </c>
      <c r="AP31" s="96" t="inlineStr">
        <is>
          <t>T/S</t>
        </is>
      </c>
      <c r="AQ31" s="97" t="n"/>
      <c r="AR31" s="97" t="n"/>
      <c r="AS31" s="97" t="n"/>
      <c r="AT31" s="97" t="n"/>
      <c r="AU31" s="97" t="n"/>
      <c r="AV31" s="97" t="n"/>
      <c r="AW31" s="97" t="n">
        <v>0</v>
      </c>
      <c r="AX31" s="96" t="inlineStr">
        <is>
          <t>N</t>
        </is>
      </c>
      <c r="AY31" s="97" t="n"/>
      <c r="AZ31" s="96" t="inlineStr">
        <is>
          <t>Pickup : 2026-09-30, Return : 2026-10-01 (EXTEND CLS 01/10/26 @23.59)</t>
        </is>
      </c>
      <c r="BA31" s="97" t="inlineStr">
        <is>
          <t>ROLL OVER FROM PREVIOUS VSL KMBK 2611N BY ALLOCATION TEAM MS.TARN APPROVED COST IS UNDER HAL DD.01/10SI DD.29/9/26
CY 28/09/26 RTN 29/09/26</t>
        </is>
      </c>
      <c r="BB31" s="96" t="inlineStr">
        <is>
          <t>P</t>
        </is>
      </c>
      <c r="BC31" s="161" t="inlineStr">
        <is>
          <t>2026-09-16</t>
        </is>
      </c>
      <c r="BD31" s="161" t="inlineStr">
        <is>
          <t>2026-10-01</t>
        </is>
      </c>
      <c r="BE31" s="96" t="inlineStr">
        <is>
          <t>Y</t>
        </is>
      </c>
      <c r="BF31" s="96" t="inlineStr">
        <is>
          <t>FISH MEAL</t>
        </is>
      </c>
      <c r="BG31" s="96" t="inlineStr">
        <is>
          <t>Line</t>
        </is>
      </c>
      <c r="BH31" s="96" t="inlineStr">
        <is>
          <t>S22</t>
        </is>
      </c>
      <c r="BI31" s="97" t="n"/>
      <c r="BJ31" s="97" t="n"/>
      <c r="BK31" s="96" t="inlineStr">
        <is>
          <t>BKK27</t>
        </is>
      </c>
      <c r="BL31" s="161" t="inlineStr">
        <is>
          <t>2026-09-30</t>
        </is>
      </c>
      <c r="BM31" s="127" t="n"/>
      <c r="BN31" s="127" t="n">
        <v>3</v>
      </c>
      <c r="BO31" s="127" t="n"/>
      <c r="BP31" s="127" t="n"/>
      <c r="BQ31" s="127" t="n"/>
      <c r="BR31" s="127" t="n"/>
      <c r="BS31" s="127" t="n"/>
      <c r="BT31" s="127" t="n"/>
      <c r="BU31" s="127" t="n"/>
      <c r="BV31" s="127" t="n"/>
      <c r="BW31" s="127" t="n"/>
      <c r="BX31" s="127" t="n"/>
      <c r="BY31" s="96" t="inlineStr">
        <is>
          <t>FULL</t>
        </is>
      </c>
      <c r="BZ31" s="97" t="n">
        <v>4</v>
      </c>
      <c r="CA31" s="96" t="inlineStr">
        <is>
          <t>Y</t>
        </is>
      </c>
      <c r="CB31" s="97" t="n"/>
      <c r="CC31" s="96" t="inlineStr">
        <is>
          <t>BKK04</t>
        </is>
      </c>
      <c r="CD31" s="97" t="n"/>
      <c r="CE31" s="97" t="n"/>
      <c r="CF31" s="96" t="inlineStr">
        <is>
          <t>0 Teu</t>
        </is>
      </c>
      <c r="CG31" s="96" t="inlineStr">
        <is>
          <t>CY/CY</t>
        </is>
      </c>
      <c r="CH31" s="97" t="inlineStr">
        <is>
          <t>POL: THBKK [SWSP/2609N]; T/S(1st): KRPUS [SKNT/2642E]; POD: JPSBS [/]</t>
        </is>
      </c>
      <c r="CI31" s="96" t="inlineStr">
        <is>
          <t>info.bkk@mwclg.com</t>
        </is>
      </c>
      <c r="CJ31" s="96" t="inlineStr">
        <is>
          <t>TASCO INTERNATIONAL CO., LTD.</t>
        </is>
      </c>
      <c r="CK31" s="96" t="inlineStr">
        <is>
          <t>TO ORDER OF SHIPPER</t>
        </is>
      </c>
      <c r="CL31" s="96" t="inlineStr">
        <is>
          <t>KANEMATSU CORPORATION</t>
        </is>
      </c>
      <c r="CM31" s="97" t="n"/>
      <c r="CN31" s="96" t="inlineStr">
        <is>
          <t>202610021700</t>
        </is>
      </c>
      <c r="CO31" s="96" t="inlineStr">
        <is>
          <t>202610051200</t>
        </is>
      </c>
      <c r="CP31" s="97" t="n"/>
      <c r="CQ31" s="96" t="inlineStr">
        <is>
          <t>S22-2605013</t>
        </is>
      </c>
      <c r="CR31" s="96" t="inlineStr">
        <is>
          <t>THTZHR</t>
        </is>
      </c>
      <c r="CS31" s="96" t="inlineStr">
        <is>
          <t>MILKYWAY INTERNATIONAL SUPPLY CHAIN SERVICES (THAILAND) CO., LTD.</t>
        </is>
      </c>
      <c r="CT31" s="96" t="inlineStr">
        <is>
          <t>N</t>
        </is>
      </c>
      <c r="CU31" s="97" t="n"/>
      <c r="CV31" s="97" t="n"/>
      <c r="CW31" s="161" t="inlineStr">
        <is>
          <t>2026-10-07</t>
        </is>
      </c>
      <c r="CX31" s="97" t="inlineStr">
        <is>
          <t>230110</t>
        </is>
      </c>
      <c r="CY31" s="183" t="inlineStr">
        <is>
          <t>ROLL OVER FROM PREVIOUS VSL KMBK 2611N BY ALLOCATION TEAM MS.TARN APPROVED COST IS UNDER HAL DD.01/10</t>
        </is>
      </c>
    </row>
    <row r="32" ht="12" customHeight="1">
      <c r="A32" s="116" t="inlineStr">
        <is>
          <t>HASLS22260801914</t>
        </is>
      </c>
      <c r="B32" s="96" t="inlineStr">
        <is>
          <t>20'x33</t>
        </is>
      </c>
      <c r="C32" s="97" t="n">
        <v>33</v>
      </c>
      <c r="D32" s="97" t="n">
        <v>33</v>
      </c>
      <c r="E32" s="97" t="n"/>
      <c r="F32" s="97" t="n">
        <v>0</v>
      </c>
      <c r="G32" s="97" t="n">
        <v>33</v>
      </c>
      <c r="H32" s="97" t="n">
        <v>0</v>
      </c>
      <c r="I32" s="97" t="n">
        <v>0</v>
      </c>
      <c r="J32" s="97" t="n">
        <v>33</v>
      </c>
      <c r="K32" s="96" t="inlineStr">
        <is>
          <t>N</t>
        </is>
      </c>
      <c r="L32" s="96" t="inlineStr">
        <is>
          <t>BTS</t>
        </is>
      </c>
      <c r="M32" s="96" t="inlineStr">
        <is>
          <t>SWSP</t>
        </is>
      </c>
      <c r="N32" s="96" t="inlineStr">
        <is>
          <t>2609N</t>
        </is>
      </c>
      <c r="O32" s="96" t="inlineStr">
        <is>
          <t>THBKK</t>
        </is>
      </c>
      <c r="P32" s="96" t="inlineStr">
        <is>
          <t>BKK04</t>
        </is>
      </c>
      <c r="Q32" s="96" t="inlineStr">
        <is>
          <t>IA</t>
        </is>
      </c>
      <c r="R32" s="161" t="inlineStr">
        <is>
          <t>2026-10-08</t>
        </is>
      </c>
      <c r="S32" s="96" t="inlineStr">
        <is>
          <t>KRPTK</t>
        </is>
      </c>
      <c r="T32" s="96" t="inlineStr">
        <is>
          <t>PTK02</t>
        </is>
      </c>
      <c r="U32" s="96" t="inlineStr">
        <is>
          <t>KRPTK</t>
        </is>
      </c>
      <c r="V32" s="161" t="inlineStr">
        <is>
          <t>2026-10-17</t>
        </is>
      </c>
      <c r="W32" s="96" t="inlineStr">
        <is>
          <t>KR</t>
        </is>
      </c>
      <c r="X32" s="97" t="n"/>
      <c r="Y32" s="97" t="n"/>
      <c r="Z32" s="97" t="n"/>
      <c r="AA32" s="96" t="inlineStr">
        <is>
          <t>DP WORLD LOGISTICS SOLUTIONS (THAILAND) COMPANY LIMITED</t>
        </is>
      </c>
      <c r="AB32" s="96" t="inlineStr">
        <is>
          <t>DP WORLD LOGISTICS SOLUTIONS (THAILAND) COMPANY LIMITED</t>
        </is>
      </c>
      <c r="AC32" s="163" t="n">
        <v>696300</v>
      </c>
      <c r="AD32" s="163" t="n">
        <v>768900</v>
      </c>
      <c r="AE32" s="96" t="inlineStr">
        <is>
          <t>OK</t>
        </is>
      </c>
      <c r="AF32" s="96" t="n"/>
      <c r="AG32" s="97" t="n"/>
      <c r="AH32" s="96" t="inlineStr">
        <is>
          <t>CHK</t>
        </is>
      </c>
      <c r="AI32" s="97" t="inlineStr">
        <is>
          <t>OK</t>
        </is>
      </c>
      <c r="AJ32" s="97" t="n"/>
      <c r="AK32" s="97" t="n"/>
      <c r="AL32" s="97" t="n"/>
      <c r="AM32" s="96" t="inlineStr">
        <is>
          <t>TH0011</t>
        </is>
      </c>
      <c r="AN32" s="96" t="inlineStr">
        <is>
          <t>Nannaapust Sukporntaweewat</t>
        </is>
      </c>
      <c r="AO32" s="96" t="inlineStr">
        <is>
          <t>CRUDE DEGUMMED SOYBEAN OIL</t>
        </is>
      </c>
      <c r="AP32" s="96" t="inlineStr">
        <is>
          <t>Normal</t>
        </is>
      </c>
      <c r="AQ32" s="97" t="n"/>
      <c r="AR32" s="97" t="n"/>
      <c r="AS32" s="97" t="n"/>
      <c r="AT32" s="97" t="n"/>
      <c r="AU32" s="97" t="n"/>
      <c r="AV32" s="97" t="n"/>
      <c r="AW32" s="97" t="n">
        <v>0</v>
      </c>
      <c r="AX32" s="96" t="inlineStr">
        <is>
          <t>Y</t>
        </is>
      </c>
      <c r="AY32" s="97" t="n"/>
      <c r="AZ32" s="96" t="inlineStr">
        <is>
          <t xml:space="preserve">** APPROVED BY H.W KANG DD.28/09/2026 ** *FLEXIBAG ONDECK*
Servey : 17/09/2026, Pickup : 18/09/2026, Return : 21/09/2026 *EXTEND CLS TIME : 22/09/2026 @06.00* </t>
        </is>
      </c>
      <c r="BA32" s="97" t="inlineStr">
        <is>
          <t xml:space="preserve">ROLL OVER FROM PREVIOUS VSL SWMM 2609N BY ALLOCATION TEAM MS.TARN APRPOVED COST IS UNDER HA DD.21/09
</t>
        </is>
      </c>
      <c r="BB32" s="96" t="inlineStr">
        <is>
          <t>P</t>
        </is>
      </c>
      <c r="BC32" s="161" t="inlineStr">
        <is>
          <t>2026-08-24</t>
        </is>
      </c>
      <c r="BD32" s="161" t="inlineStr">
        <is>
          <t>2026-10-02</t>
        </is>
      </c>
      <c r="BE32" s="96" t="inlineStr">
        <is>
          <t>Y</t>
        </is>
      </c>
      <c r="BF32" s="96" t="inlineStr">
        <is>
          <t>SOYBEAN OIL</t>
        </is>
      </c>
      <c r="BG32" s="96" t="inlineStr">
        <is>
          <t>Line</t>
        </is>
      </c>
      <c r="BH32" s="96" t="inlineStr">
        <is>
          <t>S22</t>
        </is>
      </c>
      <c r="BI32" s="97" t="n"/>
      <c r="BJ32" s="97" t="n"/>
      <c r="BK32" s="96" t="inlineStr">
        <is>
          <t>BKK27</t>
        </is>
      </c>
      <c r="BL32" s="161" t="inlineStr">
        <is>
          <t>2026-09-17</t>
        </is>
      </c>
      <c r="BM32" s="127" t="n"/>
      <c r="BN32" s="127" t="n">
        <v>33</v>
      </c>
      <c r="BO32" s="127" t="n"/>
      <c r="BP32" s="127" t="n"/>
      <c r="BQ32" s="127" t="n"/>
      <c r="BR32" s="127" t="n"/>
      <c r="BS32" s="127" t="n"/>
      <c r="BT32" s="127" t="n"/>
      <c r="BU32" s="127" t="n"/>
      <c r="BV32" s="127" t="n"/>
      <c r="BW32" s="127" t="n"/>
      <c r="BX32" s="127" t="n"/>
      <c r="BY32" s="96" t="inlineStr">
        <is>
          <t>FULL</t>
        </is>
      </c>
      <c r="BZ32" s="97" t="n"/>
      <c r="CA32" s="96" t="inlineStr">
        <is>
          <t>Y</t>
        </is>
      </c>
      <c r="CB32" s="97" t="n"/>
      <c r="CC32" s="96" t="inlineStr">
        <is>
          <t>BKK04</t>
        </is>
      </c>
      <c r="CD32" s="97" t="n"/>
      <c r="CE32" s="97" t="n"/>
      <c r="CF32" s="96" t="inlineStr">
        <is>
          <t>0 Teu</t>
        </is>
      </c>
      <c r="CG32" s="96" t="inlineStr">
        <is>
          <t>CY/CY</t>
        </is>
      </c>
      <c r="CH32" s="97" t="n"/>
      <c r="CI32" s="96" t="inlineStr">
        <is>
          <t>rattanaradee.suwanno@dpworld.com</t>
        </is>
      </c>
      <c r="CJ32" s="96" t="inlineStr">
        <is>
          <t>THAI VEGETABLE OIL PUBLIC COMPANY</t>
        </is>
      </c>
      <c r="CK32" s="96" t="inlineStr">
        <is>
          <t>TO THE ORDER OF KOOKMIN BANK</t>
        </is>
      </c>
      <c r="CL32" s="96" t="inlineStr">
        <is>
          <t>CJ CHEILJEDANG CORPORATION</t>
        </is>
      </c>
      <c r="CM32" s="97" t="n"/>
      <c r="CN32" s="96" t="inlineStr">
        <is>
          <t>202610021700</t>
        </is>
      </c>
      <c r="CO32" s="96" t="inlineStr">
        <is>
          <t>202610051200</t>
        </is>
      </c>
      <c r="CP32" s="97" t="n"/>
      <c r="CQ32" s="96" t="inlineStr">
        <is>
          <t>S22-2512021</t>
        </is>
      </c>
      <c r="CR32" s="96" t="inlineStr">
        <is>
          <t>THTWBW</t>
        </is>
      </c>
      <c r="CS32" s="96" t="inlineStr">
        <is>
          <t>DP WORLD LOGISTICS SOLUTIONS (THAILAND) COMPANY LIMITED</t>
        </is>
      </c>
      <c r="CT32" s="96" t="inlineStr">
        <is>
          <t>N</t>
        </is>
      </c>
      <c r="CU32" s="97" t="n"/>
      <c r="CV32" s="97" t="n"/>
      <c r="CW32" s="161" t="inlineStr">
        <is>
          <t>2026-10-05</t>
        </is>
      </c>
      <c r="CX32" s="97" t="n"/>
      <c r="CY32" s="183" t="inlineStr">
        <is>
          <t>ROLL OVER FROM PREVIOUS VSL SWMM 2609N BY ALLOCATION TEAM MS.TARN APRPOVED COST IS UNDER HA DD.21/09</t>
        </is>
      </c>
    </row>
    <row r="33" ht="12" customHeight="1">
      <c r="A33" s="116" t="inlineStr">
        <is>
          <t>HASLS22260900939</t>
        </is>
      </c>
      <c r="B33" s="96" t="inlineStr">
        <is>
          <t>20'x4</t>
        </is>
      </c>
      <c r="C33" s="97" t="n">
        <v>4</v>
      </c>
      <c r="D33" s="97" t="n">
        <v>4</v>
      </c>
      <c r="E33" s="97" t="n"/>
      <c r="F33" s="97" t="n">
        <v>0</v>
      </c>
      <c r="G33" s="97" t="n">
        <v>4</v>
      </c>
      <c r="H33" s="97" t="n">
        <v>0</v>
      </c>
      <c r="I33" s="97" t="n">
        <v>0</v>
      </c>
      <c r="J33" s="97" t="n">
        <v>4</v>
      </c>
      <c r="K33" s="96" t="inlineStr">
        <is>
          <t>N</t>
        </is>
      </c>
      <c r="L33" s="96" t="inlineStr">
        <is>
          <t>BTS</t>
        </is>
      </c>
      <c r="M33" s="96" t="inlineStr">
        <is>
          <t>SWSP</t>
        </is>
      </c>
      <c r="N33" s="96" t="inlineStr">
        <is>
          <t>2609N</t>
        </is>
      </c>
      <c r="O33" s="96" t="inlineStr">
        <is>
          <t>THBKK</t>
        </is>
      </c>
      <c r="P33" s="96" t="inlineStr">
        <is>
          <t>BKK04</t>
        </is>
      </c>
      <c r="Q33" s="96" t="inlineStr">
        <is>
          <t>IA</t>
        </is>
      </c>
      <c r="R33" s="161" t="inlineStr">
        <is>
          <t>2026-10-08</t>
        </is>
      </c>
      <c r="S33" s="96" t="inlineStr">
        <is>
          <t>VNSGN</t>
        </is>
      </c>
      <c r="T33" s="96" t="inlineStr">
        <is>
          <t>SGN03</t>
        </is>
      </c>
      <c r="U33" s="96" t="inlineStr">
        <is>
          <t>VNSGN</t>
        </is>
      </c>
      <c r="V33" s="161" t="inlineStr">
        <is>
          <t>2026-10-11</t>
        </is>
      </c>
      <c r="W33" s="96" t="inlineStr">
        <is>
          <t>IA</t>
        </is>
      </c>
      <c r="X33" s="97" t="n"/>
      <c r="Y33" s="97" t="n"/>
      <c r="Z33" s="97" t="n"/>
      <c r="AA33" s="96" t="inlineStr">
        <is>
          <t>POLAR STAR CO., LTD.</t>
        </is>
      </c>
      <c r="AB33" s="96" t="inlineStr">
        <is>
          <t>EVERSHINING INGREDIENT CO.,LTD.</t>
        </is>
      </c>
      <c r="AC33" s="163" t="n">
        <v>80400</v>
      </c>
      <c r="AD33" s="163" t="n">
        <v>89200</v>
      </c>
      <c r="AE33" s="96" t="inlineStr">
        <is>
          <t>OK</t>
        </is>
      </c>
      <c r="AF33" s="96" t="n"/>
      <c r="AG33" s="97" t="n"/>
      <c r="AH33" s="96" t="inlineStr">
        <is>
          <t>CHK</t>
        </is>
      </c>
      <c r="AI33" s="97" t="inlineStr">
        <is>
          <t>OK</t>
        </is>
      </c>
      <c r="AJ33" s="97" t="n"/>
      <c r="AK33" s="97" t="n"/>
      <c r="AL33" s="97" t="n"/>
      <c r="AM33" s="96" t="inlineStr">
        <is>
          <t>TBKK19</t>
        </is>
      </c>
      <c r="AN33" s="96" t="inlineStr">
        <is>
          <t>Kanokporn</t>
        </is>
      </c>
      <c r="AO33" s="96" t="inlineStr">
        <is>
          <t>ESP 500</t>
        </is>
      </c>
      <c r="AP33" s="96" t="inlineStr">
        <is>
          <t>Normal</t>
        </is>
      </c>
      <c r="AQ33" s="97" t="n"/>
      <c r="AR33" s="97" t="n"/>
      <c r="AS33" s="97" t="n"/>
      <c r="AT33" s="97" t="n"/>
      <c r="AU33" s="97" t="n"/>
      <c r="AV33" s="97" t="n"/>
      <c r="AW33" s="97" t="n">
        <v>0</v>
      </c>
      <c r="AX33" s="96" t="inlineStr">
        <is>
          <t>N</t>
        </is>
      </c>
      <c r="AY33" s="97" t="n"/>
      <c r="AZ33" s="96" t="inlineStr">
        <is>
          <t xml:space="preserve">Pickup : 2026-09-26, Return : 2026-09-28 </t>
        </is>
      </c>
      <c r="BA33" s="97" t="inlineStr">
        <is>
          <t>ROLL OVER FROM PREVIOUS VSL KMBK 2611N BY ALLOCATION TEAM MS.TARN APPROVED COST IS UNDER HAL DD.01/10</t>
        </is>
      </c>
      <c r="BB33" s="96" t="inlineStr">
        <is>
          <t>P</t>
        </is>
      </c>
      <c r="BC33" s="161" t="inlineStr">
        <is>
          <t>2026-09-11</t>
        </is>
      </c>
      <c r="BD33" s="161" t="inlineStr">
        <is>
          <t>2026-10-01</t>
        </is>
      </c>
      <c r="BE33" s="96" t="inlineStr">
        <is>
          <t>Y</t>
        </is>
      </c>
      <c r="BF33" s="96" t="inlineStr">
        <is>
          <t>PROTEIN ANIMAL FEED</t>
        </is>
      </c>
      <c r="BG33" s="96" t="inlineStr">
        <is>
          <t>Line</t>
        </is>
      </c>
      <c r="BH33" s="96" t="inlineStr">
        <is>
          <t>S22</t>
        </is>
      </c>
      <c r="BI33" s="97" t="n"/>
      <c r="BJ33" s="97" t="n"/>
      <c r="BK33" s="96" t="inlineStr">
        <is>
          <t>BKK27</t>
        </is>
      </c>
      <c r="BL33" s="161" t="inlineStr">
        <is>
          <t>2026-09-26</t>
        </is>
      </c>
      <c r="BM33" s="127" t="n"/>
      <c r="BN33" s="127" t="n">
        <v>4</v>
      </c>
      <c r="BO33" s="127" t="n"/>
      <c r="BP33" s="127" t="n"/>
      <c r="BQ33" s="127" t="n"/>
      <c r="BR33" s="127" t="n"/>
      <c r="BS33" s="127" t="n"/>
      <c r="BT33" s="127" t="n"/>
      <c r="BU33" s="127" t="n"/>
      <c r="BV33" s="127" t="n"/>
      <c r="BW33" s="127" t="n"/>
      <c r="BX33" s="127" t="n"/>
      <c r="BY33" s="96" t="inlineStr">
        <is>
          <t>FULL</t>
        </is>
      </c>
      <c r="BZ33" s="97" t="n"/>
      <c r="CA33" s="96" t="inlineStr">
        <is>
          <t>Y</t>
        </is>
      </c>
      <c r="CB33" s="97" t="n"/>
      <c r="CC33" s="96" t="inlineStr">
        <is>
          <t>BKK04</t>
        </is>
      </c>
      <c r="CD33" s="97" t="n"/>
      <c r="CE33" s="97" t="n"/>
      <c r="CF33" s="96" t="inlineStr">
        <is>
          <t>0 Teu</t>
        </is>
      </c>
      <c r="CG33" s="96" t="inlineStr">
        <is>
          <t>CY/CY</t>
        </is>
      </c>
      <c r="CH33" s="97" t="n"/>
      <c r="CI33" s="96" t="inlineStr">
        <is>
          <t>thanyaporn@polarstar.co.th</t>
        </is>
      </c>
      <c r="CJ33" s="96" t="inlineStr">
        <is>
          <t>EVERSHINING INGREDIENT CO.,LTD.</t>
        </is>
      </c>
      <c r="CK33" s="96" t="inlineStr">
        <is>
          <t>MODERN VETERINARY TRADING CO., LTD.</t>
        </is>
      </c>
      <c r="CL33" s="96" t="inlineStr">
        <is>
          <t>MODERN VETERINARY TRADING CO., LTD.</t>
        </is>
      </c>
      <c r="CM33" s="97" t="n"/>
      <c r="CN33" s="96" t="inlineStr">
        <is>
          <t>202610021700</t>
        </is>
      </c>
      <c r="CO33" s="96" t="inlineStr">
        <is>
          <t>202610051200</t>
        </is>
      </c>
      <c r="CP33" s="97" t="n"/>
      <c r="CQ33" s="96" t="inlineStr">
        <is>
          <t>S22-2210039</t>
        </is>
      </c>
      <c r="CR33" s="96" t="inlineStr">
        <is>
          <t>TH00A3</t>
        </is>
      </c>
      <c r="CS33" s="96" t="inlineStr">
        <is>
          <t>POLAR STAR CO., LTD.</t>
        </is>
      </c>
      <c r="CT33" s="96" t="inlineStr">
        <is>
          <t>N</t>
        </is>
      </c>
      <c r="CU33" s="97" t="n"/>
      <c r="CV33" s="97" t="n"/>
      <c r="CW33" s="161" t="inlineStr">
        <is>
          <t>2026-10-07</t>
        </is>
      </c>
      <c r="CX33" s="97" t="inlineStr">
        <is>
          <t>230990</t>
        </is>
      </c>
      <c r="CY33" s="183" t="inlineStr">
        <is>
          <t>ROLL OVER FROM PREVIOUS VSL KMBK 2611N BY ALLOCATION TEAM MS.TARN APPROVED COST IS UNDER HAL DD.01/10</t>
        </is>
      </c>
    </row>
    <row r="34" ht="12" customHeight="1">
      <c r="A34" s="116" t="inlineStr">
        <is>
          <t>HASLS22260901245</t>
        </is>
      </c>
      <c r="B34" s="96" t="inlineStr">
        <is>
          <t>20'x7</t>
        </is>
      </c>
      <c r="C34" s="97" t="n">
        <v>7</v>
      </c>
      <c r="D34" s="97" t="n">
        <v>7</v>
      </c>
      <c r="E34" s="97" t="n"/>
      <c r="F34" s="97" t="n">
        <v>0</v>
      </c>
      <c r="G34" s="97" t="n">
        <v>7</v>
      </c>
      <c r="H34" s="97" t="n">
        <v>0</v>
      </c>
      <c r="I34" s="97" t="n">
        <v>0</v>
      </c>
      <c r="J34" s="97" t="n">
        <v>7</v>
      </c>
      <c r="K34" s="96" t="inlineStr">
        <is>
          <t>N</t>
        </is>
      </c>
      <c r="L34" s="96" t="inlineStr">
        <is>
          <t>BTS</t>
        </is>
      </c>
      <c r="M34" s="96" t="inlineStr">
        <is>
          <t>SWSP</t>
        </is>
      </c>
      <c r="N34" s="96" t="inlineStr">
        <is>
          <t>2609N</t>
        </is>
      </c>
      <c r="O34" s="96" t="inlineStr">
        <is>
          <t>THBKK</t>
        </is>
      </c>
      <c r="P34" s="96" t="inlineStr">
        <is>
          <t>BKK04</t>
        </is>
      </c>
      <c r="Q34" s="96" t="inlineStr">
        <is>
          <t>IA</t>
        </is>
      </c>
      <c r="R34" s="161" t="inlineStr">
        <is>
          <t>2026-10-08</t>
        </is>
      </c>
      <c r="S34" s="96" t="inlineStr">
        <is>
          <t>JPMIZ</t>
        </is>
      </c>
      <c r="T34" s="96" t="inlineStr">
        <is>
          <t>MIZ01</t>
        </is>
      </c>
      <c r="U34" s="96" t="inlineStr">
        <is>
          <t>JPMIZ</t>
        </is>
      </c>
      <c r="V34" s="161" t="inlineStr">
        <is>
          <t>2026-10-24</t>
        </is>
      </c>
      <c r="W34" s="96" t="inlineStr">
        <is>
          <t>JP</t>
        </is>
      </c>
      <c r="X34" s="97" t="n"/>
      <c r="Y34" s="97" t="inlineStr">
        <is>
          <t>PUS05</t>
        </is>
      </c>
      <c r="Z34" s="97" t="inlineStr">
        <is>
          <t>KRPUS</t>
        </is>
      </c>
      <c r="AA34" s="96" t="inlineStr">
        <is>
          <t>BANGKOK COLD STORAGE SERVICE,LTD</t>
        </is>
      </c>
      <c r="AB34" s="96" t="inlineStr">
        <is>
          <t>UENO FINE CHEMICALS INDUSTRY (THAILAND) LTD.</t>
        </is>
      </c>
      <c r="AC34" s="163" t="n">
        <v>142800</v>
      </c>
      <c r="AD34" s="163" t="n">
        <v>158200</v>
      </c>
      <c r="AE34" s="96" t="inlineStr">
        <is>
          <t>OK</t>
        </is>
      </c>
      <c r="AF34" s="96" t="n"/>
      <c r="AG34" s="97" t="n"/>
      <c r="AH34" s="96" t="inlineStr">
        <is>
          <t>CON</t>
        </is>
      </c>
      <c r="AI34" s="97" t="inlineStr">
        <is>
          <t>OK</t>
        </is>
      </c>
      <c r="AJ34" s="97" t="n"/>
      <c r="AK34" s="97" t="n"/>
      <c r="AL34" s="97" t="n"/>
      <c r="AM34" s="96" t="inlineStr">
        <is>
          <t>JTYO12</t>
        </is>
      </c>
      <c r="AN34" s="96" t="inlineStr">
        <is>
          <t>Yasuaki Ueno</t>
        </is>
      </c>
      <c r="AO34" s="96" t="inlineStr">
        <is>
          <t>SUGAR AND SORBITOL</t>
        </is>
      </c>
      <c r="AP34" s="96" t="inlineStr">
        <is>
          <t>T/S</t>
        </is>
      </c>
      <c r="AQ34" s="97" t="n"/>
      <c r="AR34" s="97" t="n"/>
      <c r="AS34" s="97" t="n"/>
      <c r="AT34" s="97" t="n"/>
      <c r="AU34" s="97" t="n"/>
      <c r="AV34" s="97" t="n"/>
      <c r="AW34" s="97" t="n">
        <v>0</v>
      </c>
      <c r="AX34" s="96" t="inlineStr">
        <is>
          <t>N</t>
        </is>
      </c>
      <c r="AY34" s="97" t="n"/>
      <c r="AZ34" s="96" t="inlineStr">
        <is>
          <t xml:space="preserve">Pickup : 2026-09-29, Return : 2026-09-29 </t>
        </is>
      </c>
      <c r="BA34" s="97" t="inlineStr">
        <is>
          <t>ROLL OVER FROM PREVIOUS VSL KMBK 2611N BY ALLOCATION TEAM MS.TARN APPROVED COST IS UNDER HAL DD.01/10SI DD.29/9/26
CFM BY P'KUNG DD. 16/09/2026 
FM BKK25
REQ : CNTR FOOD GRADE(A) AND CLEAN NO SMELL</t>
        </is>
      </c>
      <c r="BB34" s="96" t="inlineStr">
        <is>
          <t>C</t>
        </is>
      </c>
      <c r="BC34" s="161" t="inlineStr">
        <is>
          <t>2026-09-15</t>
        </is>
      </c>
      <c r="BD34" s="161" t="inlineStr">
        <is>
          <t>2026-10-02</t>
        </is>
      </c>
      <c r="BE34" s="96" t="inlineStr">
        <is>
          <t>Y</t>
        </is>
      </c>
      <c r="BF34" s="96" t="inlineStr">
        <is>
          <t>SUGAR AND SORBITOL</t>
        </is>
      </c>
      <c r="BG34" s="96" t="inlineStr">
        <is>
          <t>Line</t>
        </is>
      </c>
      <c r="BH34" s="96" t="inlineStr">
        <is>
          <t>S22</t>
        </is>
      </c>
      <c r="BI34" s="97" t="n"/>
      <c r="BJ34" s="97" t="n"/>
      <c r="BK34" s="96" t="inlineStr">
        <is>
          <t>BKK27</t>
        </is>
      </c>
      <c r="BL34" s="161" t="inlineStr">
        <is>
          <t>2026-09-29</t>
        </is>
      </c>
      <c r="BM34" s="127" t="n"/>
      <c r="BN34" s="127" t="n">
        <v>7</v>
      </c>
      <c r="BO34" s="127" t="n"/>
      <c r="BP34" s="127" t="n"/>
      <c r="BQ34" s="127" t="n"/>
      <c r="BR34" s="127" t="n"/>
      <c r="BS34" s="127" t="n"/>
      <c r="BT34" s="127" t="n"/>
      <c r="BU34" s="127" t="n"/>
      <c r="BV34" s="127" t="n"/>
      <c r="BW34" s="127" t="n"/>
      <c r="BX34" s="127" t="n"/>
      <c r="BY34" s="96" t="inlineStr">
        <is>
          <t>FULL</t>
        </is>
      </c>
      <c r="BZ34" s="97" t="n">
        <v>2</v>
      </c>
      <c r="CA34" s="96" t="inlineStr">
        <is>
          <t>Y</t>
        </is>
      </c>
      <c r="CB34" s="97" t="n"/>
      <c r="CC34" s="96" t="inlineStr">
        <is>
          <t>BKK04</t>
        </is>
      </c>
      <c r="CD34" s="97" t="n"/>
      <c r="CE34" s="97" t="n"/>
      <c r="CF34" s="96" t="inlineStr">
        <is>
          <t>0 Teu</t>
        </is>
      </c>
      <c r="CG34" s="96" t="inlineStr">
        <is>
          <t>CY/CY</t>
        </is>
      </c>
      <c r="CH34" s="97" t="inlineStr">
        <is>
          <t>POL: THBKK [SWSP/2609N]; T/S(1st): KRPUS [MJEP/2664E]; POD: JPMIZ [/]</t>
        </is>
      </c>
      <c r="CI34" s="96" t="inlineStr">
        <is>
          <t>bcs-sp@bcs-kline.com</t>
        </is>
      </c>
      <c r="CJ34" s="96" t="inlineStr">
        <is>
          <t>BANGKOK COLD STORAGE SERVICE, LTD.</t>
        </is>
      </c>
      <c r="CK34" s="96" t="inlineStr">
        <is>
          <t>HARVEST WORLD EXPRESS</t>
        </is>
      </c>
      <c r="CL34" s="96" t="inlineStr">
        <is>
          <t>HARVEST WORLD EXPRESS</t>
        </is>
      </c>
      <c r="CM34" s="97" t="n"/>
      <c r="CN34" s="96" t="inlineStr">
        <is>
          <t>202610021700</t>
        </is>
      </c>
      <c r="CO34" s="96" t="inlineStr">
        <is>
          <t>202610051200</t>
        </is>
      </c>
      <c r="CP34" s="97" t="n"/>
      <c r="CQ34" s="96" t="inlineStr">
        <is>
          <t>J01-1909018</t>
        </is>
      </c>
      <c r="CR34" s="96" t="inlineStr">
        <is>
          <t>X0909</t>
        </is>
      </c>
      <c r="CS34" s="96" t="inlineStr">
        <is>
          <t>BANGKOK COLD STORAGE SERVICE,LTD</t>
        </is>
      </c>
      <c r="CT34" s="96" t="inlineStr">
        <is>
          <t>N</t>
        </is>
      </c>
      <c r="CU34" s="97" t="n"/>
      <c r="CV34" s="97" t="n"/>
      <c r="CW34" s="161" t="inlineStr">
        <is>
          <t>2026-10-07</t>
        </is>
      </c>
      <c r="CX34" s="97" t="inlineStr">
        <is>
          <t>210690</t>
        </is>
      </c>
      <c r="CY34" s="183" t="inlineStr">
        <is>
          <t>ROLL OVER FROM PREVIOUS VSL KMBK 2611N BY ALLOCATION TEAM MS.TARN APPROVED COST IS UNDER HAL DD.01/10SI DD.29/9/26</t>
        </is>
      </c>
    </row>
    <row r="35" ht="12" customHeight="1">
      <c r="A35" s="116" t="inlineStr">
        <is>
          <t>HASLS22260802437</t>
        </is>
      </c>
      <c r="B35" s="96" t="inlineStr">
        <is>
          <t>40Hx1</t>
        </is>
      </c>
      <c r="C35" s="97" t="n">
        <v>1</v>
      </c>
      <c r="D35" s="97" t="n">
        <v>1</v>
      </c>
      <c r="E35" s="97" t="n"/>
      <c r="F35" s="97" t="n">
        <v>0</v>
      </c>
      <c r="G35" s="97" t="n">
        <v>0</v>
      </c>
      <c r="H35" s="97" t="n">
        <v>0</v>
      </c>
      <c r="I35" s="97" t="n">
        <v>1</v>
      </c>
      <c r="J35" s="97" t="n">
        <v>2</v>
      </c>
      <c r="K35" s="96" t="inlineStr">
        <is>
          <t>N</t>
        </is>
      </c>
      <c r="L35" s="96" t="inlineStr">
        <is>
          <t>BTS</t>
        </is>
      </c>
      <c r="M35" s="96" t="inlineStr">
        <is>
          <t>SWSP</t>
        </is>
      </c>
      <c r="N35" s="96" t="inlineStr">
        <is>
          <t>2609N</t>
        </is>
      </c>
      <c r="O35" s="96" t="inlineStr">
        <is>
          <t>THBKK</t>
        </is>
      </c>
      <c r="P35" s="96" t="inlineStr">
        <is>
          <t>BKK04</t>
        </is>
      </c>
      <c r="Q35" s="96" t="inlineStr">
        <is>
          <t>IA</t>
        </is>
      </c>
      <c r="R35" s="161" t="inlineStr">
        <is>
          <t>2026-10-08</t>
        </is>
      </c>
      <c r="S35" s="96" t="inlineStr">
        <is>
          <t>JPIMI</t>
        </is>
      </c>
      <c r="T35" s="96" t="inlineStr">
        <is>
          <t>IMI01</t>
        </is>
      </c>
      <c r="U35" s="96" t="inlineStr">
        <is>
          <t>JPIMI</t>
        </is>
      </c>
      <c r="V35" s="161" t="inlineStr">
        <is>
          <t>2026-10-27</t>
        </is>
      </c>
      <c r="W35" s="96" t="inlineStr">
        <is>
          <t>JP</t>
        </is>
      </c>
      <c r="X35" s="97" t="n"/>
      <c r="Y35" s="97" t="inlineStr">
        <is>
          <t>PUS05</t>
        </is>
      </c>
      <c r="Z35" s="97" t="inlineStr">
        <is>
          <t>KRPUS</t>
        </is>
      </c>
      <c r="AA35" s="96" t="inlineStr">
        <is>
          <t>WOODWORKS THAI CO., LTD. (1980)</t>
        </is>
      </c>
      <c r="AB35" s="96" t="inlineStr">
        <is>
          <t>WOODWORKS THAI CO., LTD. (1980)</t>
        </is>
      </c>
      <c r="AC35" s="163" t="n">
        <v>11275</v>
      </c>
      <c r="AD35" s="163" t="n">
        <v>15275</v>
      </c>
      <c r="AE35" s="96" t="inlineStr">
        <is>
          <t>OK</t>
        </is>
      </c>
      <c r="AF35" s="96" t="inlineStr">
        <is>
          <t>SR</t>
        </is>
      </c>
      <c r="AG35" s="97" t="n"/>
      <c r="AH35" s="96" t="inlineStr">
        <is>
          <t>CHK</t>
        </is>
      </c>
      <c r="AI35" s="97" t="inlineStr">
        <is>
          <t>OK</t>
        </is>
      </c>
      <c r="AJ35" s="97" t="n"/>
      <c r="AK35" s="97" t="n"/>
      <c r="AL35" s="97" t="n"/>
      <c r="AM35" s="96" t="inlineStr">
        <is>
          <t>JMOJ04</t>
        </is>
      </c>
      <c r="AN35" s="96" t="inlineStr">
        <is>
          <t>Hiroaki Tamura</t>
        </is>
      </c>
      <c r="AO35" s="96" t="inlineStr">
        <is>
          <t>FURNITURE (STUDY DESK)</t>
        </is>
      </c>
      <c r="AP35" s="96" t="inlineStr">
        <is>
          <t>T/S</t>
        </is>
      </c>
      <c r="AQ35" s="97" t="n"/>
      <c r="AR35" s="97" t="n"/>
      <c r="AS35" s="97" t="n"/>
      <c r="AT35" s="97" t="n"/>
      <c r="AU35" s="97" t="n"/>
      <c r="AV35" s="97" t="n"/>
      <c r="AW35" s="97" t="n">
        <v>0</v>
      </c>
      <c r="AX35" s="96" t="inlineStr">
        <is>
          <t>N</t>
        </is>
      </c>
      <c r="AY35" s="97" t="n"/>
      <c r="AZ35" s="96" t="inlineStr">
        <is>
          <t>Pickup : 2026-10-02, Return : 2026-10-02</t>
        </is>
      </c>
      <c r="BA35" s="97" t="n"/>
      <c r="BB35" s="96" t="inlineStr">
        <is>
          <t>C</t>
        </is>
      </c>
      <c r="BC35" s="161" t="inlineStr">
        <is>
          <t>2026-08-28</t>
        </is>
      </c>
      <c r="BD35" s="161" t="inlineStr">
        <is>
          <t>2026-10-07</t>
        </is>
      </c>
      <c r="BE35" s="96" t="inlineStr">
        <is>
          <t>Y</t>
        </is>
      </c>
      <c r="BF35" s="96" t="inlineStr">
        <is>
          <t>FURNITURE (STUDY DESK)</t>
        </is>
      </c>
      <c r="BG35" s="96" t="inlineStr">
        <is>
          <t>Line</t>
        </is>
      </c>
      <c r="BH35" s="96" t="inlineStr">
        <is>
          <t>S22</t>
        </is>
      </c>
      <c r="BI35" s="97" t="n"/>
      <c r="BJ35" s="97" t="n"/>
      <c r="BK35" s="96" t="inlineStr">
        <is>
          <t>BKK27</t>
        </is>
      </c>
      <c r="BL35" s="161" t="inlineStr">
        <is>
          <t>2026-10-02</t>
        </is>
      </c>
      <c r="BM35" s="127" t="n"/>
      <c r="BN35" s="127" t="n"/>
      <c r="BO35" s="127" t="n"/>
      <c r="BP35" s="127" t="n">
        <v>1</v>
      </c>
      <c r="BQ35" s="127" t="n"/>
      <c r="BR35" s="127" t="n"/>
      <c r="BS35" s="127" t="n"/>
      <c r="BT35" s="127" t="n"/>
      <c r="BU35" s="127" t="n"/>
      <c r="BV35" s="127" t="n"/>
      <c r="BW35" s="127" t="n"/>
      <c r="BX35" s="127" t="n"/>
      <c r="BY35" s="96" t="inlineStr">
        <is>
          <t>FULL</t>
        </is>
      </c>
      <c r="BZ35" s="97" t="n">
        <v>7</v>
      </c>
      <c r="CA35" s="96" t="inlineStr">
        <is>
          <t>Y</t>
        </is>
      </c>
      <c r="CB35" s="97" t="n"/>
      <c r="CC35" s="96" t="inlineStr">
        <is>
          <t>BKK04</t>
        </is>
      </c>
      <c r="CD35" s="97" t="n"/>
      <c r="CE35" s="97" t="n"/>
      <c r="CF35" s="96" t="inlineStr">
        <is>
          <t>0 Teu</t>
        </is>
      </c>
      <c r="CG35" s="96" t="inlineStr">
        <is>
          <t>CY/CY</t>
        </is>
      </c>
      <c r="CH35" s="97" t="inlineStr">
        <is>
          <t>POL: THBKK [SWSP/2609N]; T/S(1st): KRPUS [MJEP/2665E]; POD: JPIMI [/]</t>
        </is>
      </c>
      <c r="CI35" s="96" t="inlineStr">
        <is>
          <t>sunee.wwtrc@gmail.com</t>
        </is>
      </c>
      <c r="CJ35" s="96" t="inlineStr">
        <is>
          <t>WOODWORKS THAI CO.,LTD.(1980)</t>
        </is>
      </c>
      <c r="CK35" s="96" t="inlineStr">
        <is>
          <t>DAISHO SANGYO CORPORATION</t>
        </is>
      </c>
      <c r="CL35" s="96" t="inlineStr">
        <is>
          <t>DAISHO SANGYO CORPORATION</t>
        </is>
      </c>
      <c r="CM35" s="97" t="n"/>
      <c r="CN35" s="96" t="inlineStr">
        <is>
          <t>202610021700</t>
        </is>
      </c>
      <c r="CO35" s="96" t="inlineStr">
        <is>
          <t>202610051200</t>
        </is>
      </c>
      <c r="CP35" s="97" t="n"/>
      <c r="CQ35" s="96" t="inlineStr">
        <is>
          <t>MOJ15A0329-1</t>
        </is>
      </c>
      <c r="CR35" s="96" t="inlineStr">
        <is>
          <t>X0897</t>
        </is>
      </c>
      <c r="CS35" s="96" t="inlineStr">
        <is>
          <t>WOODWORKS THAI CO., LTD. (1980)</t>
        </is>
      </c>
      <c r="CT35" s="96" t="inlineStr">
        <is>
          <t>N</t>
        </is>
      </c>
      <c r="CU35" s="97" t="n"/>
      <c r="CV35" s="97" t="n"/>
      <c r="CW35" s="161" t="inlineStr">
        <is>
          <t>2026-10-08</t>
        </is>
      </c>
      <c r="CX35" s="97" t="inlineStr">
        <is>
          <t>940360</t>
        </is>
      </c>
      <c r="CY35" s="183" t="n"/>
    </row>
    <row r="36" ht="12" customHeight="1">
      <c r="A36" s="116" t="inlineStr">
        <is>
          <t>HASLS22260901024</t>
        </is>
      </c>
      <c r="B36" s="96" t="inlineStr">
        <is>
          <t>40Hx1</t>
        </is>
      </c>
      <c r="C36" s="97" t="n">
        <v>1</v>
      </c>
      <c r="D36" s="97" t="n">
        <v>1</v>
      </c>
      <c r="E36" s="97" t="n"/>
      <c r="F36" s="97" t="n">
        <v>0</v>
      </c>
      <c r="G36" s="97" t="n">
        <v>0</v>
      </c>
      <c r="H36" s="97" t="n">
        <v>0</v>
      </c>
      <c r="I36" s="97" t="n">
        <v>1</v>
      </c>
      <c r="J36" s="97" t="n">
        <v>2</v>
      </c>
      <c r="K36" s="96" t="inlineStr">
        <is>
          <t>N</t>
        </is>
      </c>
      <c r="L36" s="96" t="inlineStr">
        <is>
          <t>BTS</t>
        </is>
      </c>
      <c r="M36" s="96" t="inlineStr">
        <is>
          <t>SWSP</t>
        </is>
      </c>
      <c r="N36" s="96" t="inlineStr">
        <is>
          <t>2609N</t>
        </is>
      </c>
      <c r="O36" s="96" t="inlineStr">
        <is>
          <t>THBKK</t>
        </is>
      </c>
      <c r="P36" s="96" t="inlineStr">
        <is>
          <t>BKK04</t>
        </is>
      </c>
      <c r="Q36" s="96" t="inlineStr">
        <is>
          <t>IA</t>
        </is>
      </c>
      <c r="R36" s="161" t="inlineStr">
        <is>
          <t>2026-10-08</t>
        </is>
      </c>
      <c r="S36" s="96" t="inlineStr">
        <is>
          <t>RUVVO</t>
        </is>
      </c>
      <c r="T36" s="96" t="inlineStr">
        <is>
          <t>VVO01</t>
        </is>
      </c>
      <c r="U36" s="96" t="inlineStr">
        <is>
          <t>RUVVO</t>
        </is>
      </c>
      <c r="V36" s="161" t="inlineStr">
        <is>
          <t>2026-10-28</t>
        </is>
      </c>
      <c r="W36" s="96" t="inlineStr">
        <is>
          <t>RU</t>
        </is>
      </c>
      <c r="X36" s="97" t="n"/>
      <c r="Y36" s="97" t="inlineStr">
        <is>
          <t>PUS05</t>
        </is>
      </c>
      <c r="Z36" s="97" t="inlineStr">
        <is>
          <t>KRPUS</t>
        </is>
      </c>
      <c r="AA36" s="96" t="inlineStr">
        <is>
          <t>MJ LOGISTICS (THAILAND) CO., LTD.</t>
        </is>
      </c>
      <c r="AB36" s="96" t="inlineStr">
        <is>
          <t>SINGHA WORLDWIDE INTERNATIONAL CO., LTD.</t>
        </is>
      </c>
      <c r="AC36" s="163" t="n">
        <v>22157.136</v>
      </c>
      <c r="AD36" s="163" t="n">
        <v>26157.136</v>
      </c>
      <c r="AE36" s="96" t="inlineStr">
        <is>
          <t>OK</t>
        </is>
      </c>
      <c r="AF36" s="96" t="inlineStr">
        <is>
          <t>SR</t>
        </is>
      </c>
      <c r="AG36" s="97" t="n"/>
      <c r="AH36" s="96" t="inlineStr">
        <is>
          <t>CHK</t>
        </is>
      </c>
      <c r="AI36" s="97" t="inlineStr">
        <is>
          <t>OK</t>
        </is>
      </c>
      <c r="AJ36" s="97" t="n"/>
      <c r="AK36" s="97" t="n"/>
      <c r="AL36" s="97" t="n"/>
      <c r="AM36" s="96" t="inlineStr">
        <is>
          <t>E0011</t>
        </is>
      </c>
      <c r="AN36" s="96" t="inlineStr">
        <is>
          <t>KIM JEONG HWAN</t>
        </is>
      </c>
      <c r="AO36" s="96" t="inlineStr">
        <is>
          <t>420 CASES OF SINGHA LAGER BEER BOTTLE (24X330 ML.) ALC 5%</t>
        </is>
      </c>
      <c r="AP36" s="96" t="inlineStr">
        <is>
          <t>T/S</t>
        </is>
      </c>
      <c r="AQ36" s="97" t="n"/>
      <c r="AR36" s="97" t="n"/>
      <c r="AS36" s="97" t="n"/>
      <c r="AT36" s="97" t="n"/>
      <c r="AU36" s="97" t="n"/>
      <c r="AV36" s="97" t="n"/>
      <c r="AW36" s="97" t="n">
        <v>0</v>
      </c>
      <c r="AX36" s="96" t="inlineStr">
        <is>
          <t>N</t>
        </is>
      </c>
      <c r="AY36" s="97" t="n"/>
      <c r="AZ36" s="96" t="inlineStr">
        <is>
          <t xml:space="preserve">SWSP/2609N/10/18[FIX] Pickup : 2026-10-01, Return : 2026-10-03 </t>
        </is>
      </c>
      <c r="BA36" s="97" t="n"/>
      <c r="BB36" s="96" t="inlineStr">
        <is>
          <t>C</t>
        </is>
      </c>
      <c r="BC36" s="161" t="inlineStr">
        <is>
          <t>2026-09-11</t>
        </is>
      </c>
      <c r="BD36" s="161" t="inlineStr">
        <is>
          <t>2026-10-06</t>
        </is>
      </c>
      <c r="BE36" s="96" t="inlineStr">
        <is>
          <t>Y</t>
        </is>
      </c>
      <c r="BF36" s="96" t="inlineStr">
        <is>
          <t>BEER ALC 5%</t>
        </is>
      </c>
      <c r="BG36" s="96" t="inlineStr">
        <is>
          <t>Line</t>
        </is>
      </c>
      <c r="BH36" s="96" t="inlineStr">
        <is>
          <t>S22</t>
        </is>
      </c>
      <c r="BI36" s="97" t="n"/>
      <c r="BJ36" s="97" t="n"/>
      <c r="BK36" s="96" t="inlineStr">
        <is>
          <t>BKK25</t>
        </is>
      </c>
      <c r="BL36" s="161" t="inlineStr">
        <is>
          <t>2026-10-01</t>
        </is>
      </c>
      <c r="BM36" s="127" t="n"/>
      <c r="BN36" s="127" t="n"/>
      <c r="BO36" s="127" t="n"/>
      <c r="BP36" s="127" t="n">
        <v>1</v>
      </c>
      <c r="BQ36" s="127" t="n"/>
      <c r="BR36" s="127" t="n"/>
      <c r="BS36" s="127" t="n"/>
      <c r="BT36" s="127" t="n"/>
      <c r="BU36" s="127" t="n"/>
      <c r="BV36" s="127" t="n"/>
      <c r="BW36" s="127" t="n"/>
      <c r="BX36" s="127" t="n"/>
      <c r="BY36" s="96" t="inlineStr">
        <is>
          <t>FULL</t>
        </is>
      </c>
      <c r="BZ36" s="97" t="n">
        <v>7</v>
      </c>
      <c r="CA36" s="96" t="inlineStr">
        <is>
          <t>Y</t>
        </is>
      </c>
      <c r="CB36" s="97" t="n"/>
      <c r="CC36" s="96" t="inlineStr">
        <is>
          <t>BKK04</t>
        </is>
      </c>
      <c r="CD36" s="97" t="n"/>
      <c r="CE36" s="97" t="n"/>
      <c r="CF36" s="96" t="inlineStr">
        <is>
          <t>0 Teu</t>
        </is>
      </c>
      <c r="CG36" s="96" t="inlineStr">
        <is>
          <t>CY/CY</t>
        </is>
      </c>
      <c r="CH36" s="97" t="inlineStr">
        <is>
          <t>POL: THBKK [SWSP/2609N]; T/S(1st): KRPUS [SDTR/2630N]; POD: RUVVO [/]</t>
        </is>
      </c>
      <c r="CI36" s="96" t="inlineStr">
        <is>
          <t>bkk@mjlog.co.th</t>
        </is>
      </c>
      <c r="CJ36" s="96" t="inlineStr">
        <is>
          <t>SINGHA WORLDWIDE INTERNATIONAL CO.,</t>
        </is>
      </c>
      <c r="CK36" s="96" t="inlineStr">
        <is>
          <t>DV NEVADA CO.,LTD.</t>
        </is>
      </c>
      <c r="CL36" s="96" t="inlineStr">
        <is>
          <t>FAR EAST BRANCH RUSCON LTD.</t>
        </is>
      </c>
      <c r="CM36" s="97" t="n"/>
      <c r="CN36" s="96" t="inlineStr">
        <is>
          <t>202610021700</t>
        </is>
      </c>
      <c r="CO36" s="96" t="inlineStr">
        <is>
          <t>202610051200</t>
        </is>
      </c>
      <c r="CP36" s="97" t="n"/>
      <c r="CQ36" s="96" t="inlineStr">
        <is>
          <t>K01-2310041</t>
        </is>
      </c>
      <c r="CR36" s="96" t="inlineStr">
        <is>
          <t>THTKFU</t>
        </is>
      </c>
      <c r="CS36" s="96" t="inlineStr">
        <is>
          <t>MJ LOGISTICS (THAILAND) CO., LTD.</t>
        </is>
      </c>
      <c r="CT36" s="96" t="inlineStr">
        <is>
          <t>N</t>
        </is>
      </c>
      <c r="CU36" s="97" t="n"/>
      <c r="CV36" s="97" t="n"/>
      <c r="CW36" s="161" t="inlineStr">
        <is>
          <t>2026-10-07</t>
        </is>
      </c>
      <c r="CX36" s="97" t="inlineStr">
        <is>
          <t>220300</t>
        </is>
      </c>
      <c r="CY36" s="183" t="n"/>
    </row>
    <row r="37" ht="12" customHeight="1">
      <c r="A37" s="116" t="inlineStr">
        <is>
          <t>HASLS22260901585</t>
        </is>
      </c>
      <c r="B37" s="96" t="inlineStr">
        <is>
          <t>40Hx1</t>
        </is>
      </c>
      <c r="C37" s="97" t="n">
        <v>1</v>
      </c>
      <c r="D37" s="97" t="n">
        <v>1</v>
      </c>
      <c r="E37" s="97" t="n"/>
      <c r="F37" s="97" t="n">
        <v>0</v>
      </c>
      <c r="G37" s="97" t="n">
        <v>0</v>
      </c>
      <c r="H37" s="97" t="n">
        <v>0</v>
      </c>
      <c r="I37" s="97" t="n">
        <v>1</v>
      </c>
      <c r="J37" s="97" t="n">
        <v>2</v>
      </c>
      <c r="K37" s="96" t="inlineStr">
        <is>
          <t>N</t>
        </is>
      </c>
      <c r="L37" s="96" t="inlineStr">
        <is>
          <t>BTS</t>
        </is>
      </c>
      <c r="M37" s="96" t="inlineStr">
        <is>
          <t>SWSP</t>
        </is>
      </c>
      <c r="N37" s="96" t="inlineStr">
        <is>
          <t>2609N</t>
        </is>
      </c>
      <c r="O37" s="96" t="inlineStr">
        <is>
          <t>THBKK</t>
        </is>
      </c>
      <c r="P37" s="96" t="inlineStr">
        <is>
          <t>BKK04</t>
        </is>
      </c>
      <c r="Q37" s="96" t="inlineStr">
        <is>
          <t>IA</t>
        </is>
      </c>
      <c r="R37" s="161" t="inlineStr">
        <is>
          <t>2026-10-08</t>
        </is>
      </c>
      <c r="S37" s="96" t="inlineStr">
        <is>
          <t>KRPUS</t>
        </is>
      </c>
      <c r="T37" s="96" t="inlineStr">
        <is>
          <t>PUS05</t>
        </is>
      </c>
      <c r="U37" s="96" t="inlineStr">
        <is>
          <t>KRPUS</t>
        </is>
      </c>
      <c r="V37" s="161" t="inlineStr">
        <is>
          <t>2026-10-19</t>
        </is>
      </c>
      <c r="W37" s="96" t="inlineStr">
        <is>
          <t>KR</t>
        </is>
      </c>
      <c r="X37" s="97" t="n"/>
      <c r="Y37" s="97" t="n"/>
      <c r="Z37" s="97" t="n"/>
      <c r="AA37" s="96" t="inlineStr">
        <is>
          <t>H &amp; FRIENDS GTL (THAILAND) CO., LTD.</t>
        </is>
      </c>
      <c r="AB37" s="96" t="inlineStr">
        <is>
          <t>AUTOLIV (THAILAND) LIMITED</t>
        </is>
      </c>
      <c r="AC37" s="163" t="n">
        <v>13511.63</v>
      </c>
      <c r="AD37" s="163" t="n">
        <v>17511.63</v>
      </c>
      <c r="AE37" s="96" t="inlineStr">
        <is>
          <t>OK</t>
        </is>
      </c>
      <c r="AF37" s="96" t="inlineStr">
        <is>
          <t>SR</t>
        </is>
      </c>
      <c r="AG37" s="97" t="n"/>
      <c r="AH37" s="96" t="inlineStr">
        <is>
          <t>CON</t>
        </is>
      </c>
      <c r="AI37" s="97" t="inlineStr">
        <is>
          <t>OK</t>
        </is>
      </c>
      <c r="AJ37" s="97" t="n"/>
      <c r="AK37" s="97" t="n"/>
      <c r="AL37" s="97" t="n"/>
      <c r="AM37" s="96" t="inlineStr">
        <is>
          <t>TBKK47</t>
        </is>
      </c>
      <c r="AN37" s="96" t="inlineStr">
        <is>
          <t>Tarn(Supaporn)</t>
        </is>
      </c>
      <c r="AO37" s="96" t="inlineStr">
        <is>
          <t>SEATBELT PRETENSIONER ASSEMBLY</t>
        </is>
      </c>
      <c r="AP37" s="96" t="inlineStr">
        <is>
          <t>Normal</t>
        </is>
      </c>
      <c r="AQ37" s="97" t="inlineStr">
        <is>
          <t>3268/9--</t>
        </is>
      </c>
      <c r="AR37" s="97" t="inlineStr">
        <is>
          <t xml:space="preserve">45GPx1 </t>
        </is>
      </c>
      <c r="AS37" s="97" t="n"/>
      <c r="AT37" s="97" t="n"/>
      <c r="AU37" s="97" t="n"/>
      <c r="AV37" s="97" t="n"/>
      <c r="AW37" s="97" t="n">
        <v>0</v>
      </c>
      <c r="AX37" s="96" t="inlineStr">
        <is>
          <t>N</t>
        </is>
      </c>
      <c r="AY37" s="97" t="n"/>
      <c r="AZ37" s="96" t="inlineStr">
        <is>
          <t xml:space="preserve">**APPROVAL IN SYSTEM DD.24/09/2026** DG45GPx1 (CLS 9 / UN 3268) 
Pickup : 2026-10-05, Return : 2026-10-05 *EXTEND CLS TIME : 05/10/2026 @23.59* </t>
        </is>
      </c>
      <c r="BA37" s="97" t="inlineStr">
        <is>
          <t>REQUEST CONTAINER CLEAN &amp; NO SMEL</t>
        </is>
      </c>
      <c r="BB37" s="96" t="inlineStr">
        <is>
          <t>P</t>
        </is>
      </c>
      <c r="BC37" s="161" t="inlineStr">
        <is>
          <t>2026-09-17</t>
        </is>
      </c>
      <c r="BD37" s="161" t="inlineStr">
        <is>
          <t>2026-10-05</t>
        </is>
      </c>
      <c r="BE37" s="96" t="inlineStr">
        <is>
          <t>Y</t>
        </is>
      </c>
      <c r="BF37" s="96" t="inlineStr">
        <is>
          <t>SEAT BELT</t>
        </is>
      </c>
      <c r="BG37" s="96" t="inlineStr">
        <is>
          <t>Line</t>
        </is>
      </c>
      <c r="BH37" s="96" t="inlineStr">
        <is>
          <t>S22</t>
        </is>
      </c>
      <c r="BI37" s="97" t="n"/>
      <c r="BJ37" s="97" t="n"/>
      <c r="BK37" s="96" t="inlineStr">
        <is>
          <t>BKK27</t>
        </is>
      </c>
      <c r="BL37" s="161" t="inlineStr">
        <is>
          <t>2026-10-05</t>
        </is>
      </c>
      <c r="BM37" s="127" t="n"/>
      <c r="BN37" s="127" t="n"/>
      <c r="BO37" s="127" t="n"/>
      <c r="BP37" s="127" t="n">
        <v>1</v>
      </c>
      <c r="BQ37" s="127" t="n"/>
      <c r="BR37" s="127" t="n"/>
      <c r="BS37" s="127" t="n"/>
      <c r="BT37" s="127" t="n"/>
      <c r="BU37" s="127" t="n"/>
      <c r="BV37" s="127" t="n"/>
      <c r="BW37" s="127" t="n"/>
      <c r="BX37" s="127" t="n"/>
      <c r="BY37" s="96" t="inlineStr">
        <is>
          <t>FULL</t>
        </is>
      </c>
      <c r="BZ37" s="97" t="n"/>
      <c r="CA37" s="96" t="inlineStr">
        <is>
          <t>Y</t>
        </is>
      </c>
      <c r="CB37" s="97" t="n"/>
      <c r="CC37" s="96" t="inlineStr">
        <is>
          <t>BKK04</t>
        </is>
      </c>
      <c r="CD37" s="97" t="n"/>
      <c r="CE37" s="97" t="n"/>
      <c r="CF37" s="96" t="inlineStr">
        <is>
          <t>9 Class x 2 Teu (Approval),</t>
        </is>
      </c>
      <c r="CG37" s="96" t="inlineStr">
        <is>
          <t>CY/CY</t>
        </is>
      </c>
      <c r="CH37" s="97" t="n"/>
      <c r="CI37" s="96" t="inlineStr">
        <is>
          <t>bkksea@hnfriends.com</t>
        </is>
      </c>
      <c r="CJ37" s="96" t="inlineStr">
        <is>
          <t>H &amp; FRIENDS GTL (THAILAND) CO.,LTD.</t>
        </is>
      </c>
      <c r="CK37" s="96" t="inlineStr">
        <is>
          <t>KWAY LOGIS CO.,LTD.</t>
        </is>
      </c>
      <c r="CL37" s="96" t="inlineStr">
        <is>
          <t>KWAY LOGIS CO.,LTD.</t>
        </is>
      </c>
      <c r="CM37" s="97" t="n"/>
      <c r="CN37" s="96" t="inlineStr">
        <is>
          <t>202610021700</t>
        </is>
      </c>
      <c r="CO37" s="96" t="inlineStr">
        <is>
          <t>202610051200</t>
        </is>
      </c>
      <c r="CP37" s="97" t="inlineStr">
        <is>
          <t>45GP x1: DG(UNNo.:3268/ Class:9)</t>
        </is>
      </c>
      <c r="CQ37" s="96" t="inlineStr">
        <is>
          <t>S19-1911051</t>
        </is>
      </c>
      <c r="CR37" s="96" t="inlineStr">
        <is>
          <t>THTIK5</t>
        </is>
      </c>
      <c r="CS37" s="96" t="inlineStr">
        <is>
          <t>H &amp; FRIENDS GTL (THAILAND) CO., LTD.</t>
        </is>
      </c>
      <c r="CT37" s="96" t="inlineStr">
        <is>
          <t>N</t>
        </is>
      </c>
      <c r="CU37" s="97" t="n"/>
      <c r="CV37" s="97" t="n"/>
      <c r="CW37" s="161" t="inlineStr">
        <is>
          <t>2026-10-07</t>
        </is>
      </c>
      <c r="CX37" s="97" t="n"/>
      <c r="CY37" s="183" t="n"/>
    </row>
    <row r="38" ht="12" customHeight="1">
      <c r="A38" s="116" t="inlineStr">
        <is>
          <t>HASLS22260900366</t>
        </is>
      </c>
      <c r="B38" s="96" t="inlineStr">
        <is>
          <t>40Hx1</t>
        </is>
      </c>
      <c r="C38" s="97" t="n">
        <v>1</v>
      </c>
      <c r="D38" s="97" t="n">
        <v>1</v>
      </c>
      <c r="E38" s="97" t="n"/>
      <c r="F38" s="97" t="n">
        <v>0</v>
      </c>
      <c r="G38" s="97" t="n">
        <v>0</v>
      </c>
      <c r="H38" s="97" t="n">
        <v>0</v>
      </c>
      <c r="I38" s="97" t="n">
        <v>1</v>
      </c>
      <c r="J38" s="97" t="n">
        <v>2</v>
      </c>
      <c r="K38" s="96" t="inlineStr">
        <is>
          <t>N</t>
        </is>
      </c>
      <c r="L38" s="96" t="inlineStr">
        <is>
          <t>BTS</t>
        </is>
      </c>
      <c r="M38" s="96" t="inlineStr">
        <is>
          <t>SWSP</t>
        </is>
      </c>
      <c r="N38" s="96" t="inlineStr">
        <is>
          <t>2609N</t>
        </is>
      </c>
      <c r="O38" s="96" t="inlineStr">
        <is>
          <t>THBKK</t>
        </is>
      </c>
      <c r="P38" s="96" t="inlineStr">
        <is>
          <t>BKK04</t>
        </is>
      </c>
      <c r="Q38" s="96" t="inlineStr">
        <is>
          <t>IA</t>
        </is>
      </c>
      <c r="R38" s="161" t="inlineStr">
        <is>
          <t>2026-10-08</t>
        </is>
      </c>
      <c r="S38" s="96" t="inlineStr">
        <is>
          <t>VNSGN</t>
        </is>
      </c>
      <c r="T38" s="96" t="inlineStr">
        <is>
          <t>SGN03</t>
        </is>
      </c>
      <c r="U38" s="96" t="inlineStr">
        <is>
          <t>VNSGN</t>
        </is>
      </c>
      <c r="V38" s="161" t="inlineStr">
        <is>
          <t>2026-10-11</t>
        </is>
      </c>
      <c r="W38" s="96" t="inlineStr">
        <is>
          <t>IA</t>
        </is>
      </c>
      <c r="X38" s="97" t="n"/>
      <c r="Y38" s="97" t="n"/>
      <c r="Z38" s="97" t="n"/>
      <c r="AA38" s="96" t="inlineStr">
        <is>
          <t>ASIA-PACIFIC LOGISTICS CO., LTD.</t>
        </is>
      </c>
      <c r="AB38" s="96" t="inlineStr">
        <is>
          <t>VISTA DISTRIBUTION CO.,LTD.</t>
        </is>
      </c>
      <c r="AC38" s="163" t="n">
        <v>12861.4</v>
      </c>
      <c r="AD38" s="163" t="n">
        <v>16861.4</v>
      </c>
      <c r="AE38" s="96" t="inlineStr">
        <is>
          <t>OK</t>
        </is>
      </c>
      <c r="AF38" s="96" t="inlineStr">
        <is>
          <t>SR</t>
        </is>
      </c>
      <c r="AG38" s="97" t="n"/>
      <c r="AH38" s="96" t="inlineStr">
        <is>
          <t>CHK</t>
        </is>
      </c>
      <c r="AI38" s="97" t="inlineStr">
        <is>
          <t>OK</t>
        </is>
      </c>
      <c r="AJ38" s="97" t="n"/>
      <c r="AK38" s="97" t="n"/>
      <c r="AL38" s="97" t="n"/>
      <c r="AM38" s="96" t="inlineStr">
        <is>
          <t>TBKK19</t>
        </is>
      </c>
      <c r="AN38" s="96" t="inlineStr">
        <is>
          <t>Kanokporn</t>
        </is>
      </c>
      <c r="AO38" s="96" t="inlineStr">
        <is>
          <t>MIX COCONUT BISCUITS WITH PINEAPPLE JAM</t>
        </is>
      </c>
      <c r="AP38" s="96" t="inlineStr">
        <is>
          <t>Normal</t>
        </is>
      </c>
      <c r="AQ38" s="97" t="n"/>
      <c r="AR38" s="97" t="n"/>
      <c r="AS38" s="97" t="n"/>
      <c r="AT38" s="97" t="n"/>
      <c r="AU38" s="97" t="n"/>
      <c r="AV38" s="97" t="n"/>
      <c r="AW38" s="97" t="n">
        <v>0</v>
      </c>
      <c r="AX38" s="96" t="inlineStr">
        <is>
          <t>N</t>
        </is>
      </c>
      <c r="AY38" s="97" t="n"/>
      <c r="AZ38" s="96" t="inlineStr">
        <is>
          <t>Pickup : 2026-09-29, Return : 2026-10-01</t>
        </is>
      </c>
      <c r="BA38" s="97" t="inlineStr">
        <is>
          <t xml:space="preserve">FM BKK25 BY CUST. DD 29/09 </t>
        </is>
      </c>
      <c r="BB38" s="96" t="inlineStr">
        <is>
          <t>P</t>
        </is>
      </c>
      <c r="BC38" s="161" t="inlineStr">
        <is>
          <t>2026-09-03</t>
        </is>
      </c>
      <c r="BD38" s="161" t="inlineStr">
        <is>
          <t>2026-10-01</t>
        </is>
      </c>
      <c r="BE38" s="96" t="inlineStr">
        <is>
          <t>Y</t>
        </is>
      </c>
      <c r="BF38" s="96" t="inlineStr">
        <is>
          <t>BISCUIT</t>
        </is>
      </c>
      <c r="BG38" s="96" t="inlineStr">
        <is>
          <t>Line</t>
        </is>
      </c>
      <c r="BH38" s="96" t="inlineStr">
        <is>
          <t>S22</t>
        </is>
      </c>
      <c r="BI38" s="97" t="n"/>
      <c r="BJ38" s="97" t="n"/>
      <c r="BK38" s="96" t="inlineStr">
        <is>
          <t>BKK27</t>
        </is>
      </c>
      <c r="BL38" s="161" t="inlineStr">
        <is>
          <t>2026-09-29</t>
        </is>
      </c>
      <c r="BM38" s="127" t="n"/>
      <c r="BN38" s="127" t="n"/>
      <c r="BO38" s="127" t="n"/>
      <c r="BP38" s="127" t="n">
        <v>1</v>
      </c>
      <c r="BQ38" s="127" t="n"/>
      <c r="BR38" s="127" t="n"/>
      <c r="BS38" s="127" t="n"/>
      <c r="BT38" s="127" t="n"/>
      <c r="BU38" s="127" t="n"/>
      <c r="BV38" s="127" t="n"/>
      <c r="BW38" s="127" t="n"/>
      <c r="BX38" s="127" t="n"/>
      <c r="BY38" s="96" t="inlineStr">
        <is>
          <t>FULL</t>
        </is>
      </c>
      <c r="BZ38" s="97" t="n"/>
      <c r="CA38" s="96" t="inlineStr">
        <is>
          <t>Y</t>
        </is>
      </c>
      <c r="CB38" s="97" t="n"/>
      <c r="CC38" s="96" t="inlineStr">
        <is>
          <t>BKK04</t>
        </is>
      </c>
      <c r="CD38" s="97" t="n"/>
      <c r="CE38" s="97" t="n"/>
      <c r="CF38" s="96" t="inlineStr">
        <is>
          <t>0 Teu</t>
        </is>
      </c>
      <c r="CG38" s="96" t="inlineStr">
        <is>
          <t>CY/CY</t>
        </is>
      </c>
      <c r="CH38" s="97" t="n"/>
      <c r="CI38" s="96" t="inlineStr">
        <is>
          <t>anand@asiapacificlogistics.co.th;wanthanee.asiapacific@gmail.com</t>
        </is>
      </c>
      <c r="CJ38" s="96" t="inlineStr">
        <is>
          <t>ASIA-PACIFIC LOGISTICS CO., LTD.</t>
        </is>
      </c>
      <c r="CK38" s="96" t="inlineStr">
        <is>
          <t>SPEED LOGS CO., LTD</t>
        </is>
      </c>
      <c r="CL38" s="96" t="inlineStr">
        <is>
          <t>SPEED LOGS CO., LTD</t>
        </is>
      </c>
      <c r="CM38" s="97" t="n"/>
      <c r="CN38" s="96" t="inlineStr">
        <is>
          <t>202610021700</t>
        </is>
      </c>
      <c r="CO38" s="96" t="inlineStr">
        <is>
          <t>202610051200</t>
        </is>
      </c>
      <c r="CP38" s="97" t="n"/>
      <c r="CQ38" s="96" t="inlineStr">
        <is>
          <t>S19-2006004</t>
        </is>
      </c>
      <c r="CR38" s="96" t="inlineStr">
        <is>
          <t>TH00PC</t>
        </is>
      </c>
      <c r="CS38" s="96" t="inlineStr">
        <is>
          <t>ASIA-PACIFIC LOGISTICS CO., LTD.</t>
        </is>
      </c>
      <c r="CT38" s="96" t="inlineStr">
        <is>
          <t>N</t>
        </is>
      </c>
      <c r="CU38" s="97" t="n"/>
      <c r="CV38" s="97" t="n"/>
      <c r="CW38" s="161" t="inlineStr">
        <is>
          <t>2026-10-05</t>
        </is>
      </c>
      <c r="CX38" s="97" t="inlineStr">
        <is>
          <t>190531</t>
        </is>
      </c>
      <c r="CY38" s="183" t="n"/>
    </row>
    <row r="39" ht="12" customHeight="1">
      <c r="A39" s="116" t="inlineStr">
        <is>
          <t>HASLS22260901647</t>
        </is>
      </c>
      <c r="B39" s="96" t="inlineStr">
        <is>
          <t>40Hx1</t>
        </is>
      </c>
      <c r="C39" s="97" t="n">
        <v>1</v>
      </c>
      <c r="D39" s="97" t="n">
        <v>1</v>
      </c>
      <c r="E39" s="97" t="n"/>
      <c r="F39" s="97" t="n">
        <v>0</v>
      </c>
      <c r="G39" s="97" t="n">
        <v>0</v>
      </c>
      <c r="H39" s="97" t="n">
        <v>0</v>
      </c>
      <c r="I39" s="97" t="n">
        <v>1</v>
      </c>
      <c r="J39" s="97" t="n">
        <v>2</v>
      </c>
      <c r="K39" s="96" t="inlineStr">
        <is>
          <t>N</t>
        </is>
      </c>
      <c r="L39" s="96" t="inlineStr">
        <is>
          <t>BTS</t>
        </is>
      </c>
      <c r="M39" s="96" t="inlineStr">
        <is>
          <t>SWSP</t>
        </is>
      </c>
      <c r="N39" s="96" t="inlineStr">
        <is>
          <t>2609N</t>
        </is>
      </c>
      <c r="O39" s="96" t="inlineStr">
        <is>
          <t>THBKK</t>
        </is>
      </c>
      <c r="P39" s="96" t="inlineStr">
        <is>
          <t>BKK04</t>
        </is>
      </c>
      <c r="Q39" s="96" t="inlineStr">
        <is>
          <t>IA</t>
        </is>
      </c>
      <c r="R39" s="161" t="inlineStr">
        <is>
          <t>2026-10-08</t>
        </is>
      </c>
      <c r="S39" s="96" t="inlineStr">
        <is>
          <t>VNSGN</t>
        </is>
      </c>
      <c r="T39" s="96" t="inlineStr">
        <is>
          <t>SGN03</t>
        </is>
      </c>
      <c r="U39" s="96" t="inlineStr">
        <is>
          <t>VNSGN</t>
        </is>
      </c>
      <c r="V39" s="161" t="inlineStr">
        <is>
          <t>2026-10-11</t>
        </is>
      </c>
      <c r="W39" s="96" t="inlineStr">
        <is>
          <t>IA</t>
        </is>
      </c>
      <c r="X39" s="97" t="n"/>
      <c r="Y39" s="97" t="n"/>
      <c r="Z39" s="97" t="n"/>
      <c r="AA39" s="96" t="inlineStr">
        <is>
          <t>SDS-ACUTECH CO., LTD.</t>
        </is>
      </c>
      <c r="AB39" s="96" t="inlineStr">
        <is>
          <t>APEX CIRCUIT (THAILAND) CO., LTD.</t>
        </is>
      </c>
      <c r="AC39" s="163" t="n">
        <v>10664.29</v>
      </c>
      <c r="AD39" s="163" t="n">
        <v>14664.29</v>
      </c>
      <c r="AE39" s="96" t="inlineStr">
        <is>
          <t>OK</t>
        </is>
      </c>
      <c r="AF39" s="96" t="n"/>
      <c r="AG39" s="97" t="n"/>
      <c r="AH39" s="96" t="inlineStr">
        <is>
          <t>CHK</t>
        </is>
      </c>
      <c r="AI39" s="97" t="n"/>
      <c r="AJ39" s="97" t="n"/>
      <c r="AK39" s="97" t="n"/>
      <c r="AL39" s="97" t="n"/>
      <c r="AM39" s="96" t="inlineStr">
        <is>
          <t>390011</t>
        </is>
      </c>
      <c r="AN39" s="96" t="inlineStr">
        <is>
          <t>LEE SEUNG MIN</t>
        </is>
      </c>
      <c r="AO39" s="96" t="inlineStr">
        <is>
          <t xml:space="preserve">PRINTED CIRCUIT BOARD "NO BRAND"   </t>
        </is>
      </c>
      <c r="AP39" s="96" t="inlineStr">
        <is>
          <t>Normal</t>
        </is>
      </c>
      <c r="AQ39" s="97" t="n"/>
      <c r="AR39" s="97" t="n"/>
      <c r="AS39" s="97" t="n"/>
      <c r="AT39" s="97" t="n"/>
      <c r="AU39" s="97" t="n"/>
      <c r="AV39" s="97" t="n"/>
      <c r="AW39" s="97" t="n">
        <v>0</v>
      </c>
      <c r="AX39" s="96" t="inlineStr">
        <is>
          <t>N</t>
        </is>
      </c>
      <c r="AY39" s="97" t="n"/>
      <c r="AZ39" s="96" t="inlineStr">
        <is>
          <t>Pickup : 2026-10-01, Return : 2026-10-02</t>
        </is>
      </c>
      <c r="BA39" s="97" t="n"/>
      <c r="BB39" s="96" t="inlineStr">
        <is>
          <t>C</t>
        </is>
      </c>
      <c r="BC39" s="161" t="inlineStr">
        <is>
          <t>2026-09-18</t>
        </is>
      </c>
      <c r="BD39" s="161" t="inlineStr">
        <is>
          <t>2026-10-05</t>
        </is>
      </c>
      <c r="BE39" s="96" t="inlineStr">
        <is>
          <t>Y</t>
        </is>
      </c>
      <c r="BF39" s="96" t="inlineStr">
        <is>
          <t>PRINTED CIRCUIT BOARD</t>
        </is>
      </c>
      <c r="BG39" s="96" t="inlineStr">
        <is>
          <t>Line</t>
        </is>
      </c>
      <c r="BH39" s="96" t="inlineStr">
        <is>
          <t>S22</t>
        </is>
      </c>
      <c r="BI39" s="97" t="n"/>
      <c r="BJ39" s="97" t="n"/>
      <c r="BK39" s="96" t="inlineStr">
        <is>
          <t>BKK27</t>
        </is>
      </c>
      <c r="BL39" s="161" t="inlineStr">
        <is>
          <t>2026-10-01</t>
        </is>
      </c>
      <c r="BM39" s="127" t="n"/>
      <c r="BN39" s="127" t="n"/>
      <c r="BO39" s="127" t="n"/>
      <c r="BP39" s="127" t="n">
        <v>1</v>
      </c>
      <c r="BQ39" s="127" t="n"/>
      <c r="BR39" s="127" t="n"/>
      <c r="BS39" s="127" t="n"/>
      <c r="BT39" s="127" t="n"/>
      <c r="BU39" s="127" t="n"/>
      <c r="BV39" s="127" t="n"/>
      <c r="BW39" s="127" t="n"/>
      <c r="BX39" s="127" t="n"/>
      <c r="BY39" s="96" t="inlineStr">
        <is>
          <t>FULL</t>
        </is>
      </c>
      <c r="BZ39" s="97" t="n"/>
      <c r="CA39" s="96" t="inlineStr">
        <is>
          <t>Y</t>
        </is>
      </c>
      <c r="CB39" s="97" t="n"/>
      <c r="CC39" s="96" t="inlineStr">
        <is>
          <t>BKK04</t>
        </is>
      </c>
      <c r="CD39" s="97" t="n"/>
      <c r="CE39" s="97" t="n"/>
      <c r="CF39" s="96" t="inlineStr">
        <is>
          <t>0 Teu</t>
        </is>
      </c>
      <c r="CG39" s="96" t="inlineStr">
        <is>
          <t>CY/CY</t>
        </is>
      </c>
      <c r="CH39" s="97" t="n"/>
      <c r="CI39" s="96" t="inlineStr">
        <is>
          <t>sapanna.t@partner.samsung.com;cello-expth@partner.samsung.com</t>
        </is>
      </c>
      <c r="CJ39" s="96" t="inlineStr">
        <is>
          <t>APEX CIRCUIT (THAILAND) CO.,LTD.</t>
        </is>
      </c>
      <c r="CK39" s="96" t="inlineStr">
        <is>
          <t>SAMSUNG ELECTRONICS HCMC CE COMPLEX</t>
        </is>
      </c>
      <c r="CL39" s="96" t="inlineStr">
        <is>
          <t>SAMSUNG SDS VIETNAM CO., LTD -</t>
        </is>
      </c>
      <c r="CM39" s="97" t="n"/>
      <c r="CN39" s="96" t="inlineStr">
        <is>
          <t>202610021700</t>
        </is>
      </c>
      <c r="CO39" s="96" t="inlineStr">
        <is>
          <t>202610051200</t>
        </is>
      </c>
      <c r="CP39" s="97" t="n"/>
      <c r="CQ39" s="96" t="inlineStr">
        <is>
          <t>SDS2026GMT</t>
        </is>
      </c>
      <c r="CR39" s="96" t="inlineStr">
        <is>
          <t>THTIER</t>
        </is>
      </c>
      <c r="CS39" s="96" t="inlineStr">
        <is>
          <t>SDS-ACUTECH CO., LTD.</t>
        </is>
      </c>
      <c r="CT39" s="96" t="inlineStr">
        <is>
          <t>N</t>
        </is>
      </c>
      <c r="CU39" s="97" t="n"/>
      <c r="CV39" s="97" t="n"/>
      <c r="CW39" s="161" t="inlineStr">
        <is>
          <t>2026-10-04</t>
        </is>
      </c>
      <c r="CX39" s="97" t="inlineStr">
        <is>
          <t>853400</t>
        </is>
      </c>
      <c r="CY39" s="183" t="n"/>
    </row>
    <row r="40" ht="12" customHeight="1">
      <c r="A40" s="116" t="inlineStr">
        <is>
          <t>HASLS22260802510</t>
        </is>
      </c>
      <c r="B40" s="96" t="inlineStr">
        <is>
          <t>40Hx1</t>
        </is>
      </c>
      <c r="C40" s="97" t="n">
        <v>1</v>
      </c>
      <c r="D40" s="97" t="n">
        <v>1</v>
      </c>
      <c r="E40" s="97" t="n"/>
      <c r="F40" s="97" t="n">
        <v>0</v>
      </c>
      <c r="G40" s="97" t="n">
        <v>0</v>
      </c>
      <c r="H40" s="97" t="n">
        <v>0</v>
      </c>
      <c r="I40" s="97" t="n">
        <v>1</v>
      </c>
      <c r="J40" s="97" t="n">
        <v>2</v>
      </c>
      <c r="K40" s="96" t="inlineStr">
        <is>
          <t>N</t>
        </is>
      </c>
      <c r="L40" s="96" t="inlineStr">
        <is>
          <t>BTS</t>
        </is>
      </c>
      <c r="M40" s="96" t="inlineStr">
        <is>
          <t>SWSP</t>
        </is>
      </c>
      <c r="N40" s="96" t="inlineStr">
        <is>
          <t>2609N</t>
        </is>
      </c>
      <c r="O40" s="96" t="inlineStr">
        <is>
          <t>THBKK</t>
        </is>
      </c>
      <c r="P40" s="96" t="inlineStr">
        <is>
          <t>BKK04</t>
        </is>
      </c>
      <c r="Q40" s="96" t="inlineStr">
        <is>
          <t>IA</t>
        </is>
      </c>
      <c r="R40" s="161" t="inlineStr">
        <is>
          <t>2026-10-08</t>
        </is>
      </c>
      <c r="S40" s="96" t="inlineStr">
        <is>
          <t>VNSGN</t>
        </is>
      </c>
      <c r="T40" s="96" t="inlineStr">
        <is>
          <t>SGN03</t>
        </is>
      </c>
      <c r="U40" s="96" t="inlineStr">
        <is>
          <t>VNSGN</t>
        </is>
      </c>
      <c r="V40" s="161" t="inlineStr">
        <is>
          <t>2026-10-11</t>
        </is>
      </c>
      <c r="W40" s="96" t="inlineStr">
        <is>
          <t>IA</t>
        </is>
      </c>
      <c r="X40" s="97" t="n"/>
      <c r="Y40" s="97" t="n"/>
      <c r="Z40" s="97" t="n"/>
      <c r="AA40" s="96" t="inlineStr">
        <is>
          <t>BEE LOGISTICS (THAILAND) CO., LTD.</t>
        </is>
      </c>
      <c r="AB40" s="96" t="inlineStr">
        <is>
          <t>DEESTONE CORPORATION PUBLIC COMPANY LIMITED</t>
        </is>
      </c>
      <c r="AC40" s="163" t="n">
        <v>11071.35</v>
      </c>
      <c r="AD40" s="163" t="n">
        <v>15071.35</v>
      </c>
      <c r="AE40" s="96" t="inlineStr">
        <is>
          <t>OK</t>
        </is>
      </c>
      <c r="AF40" s="96" t="inlineStr">
        <is>
          <t>SR</t>
        </is>
      </c>
      <c r="AG40" s="97" t="n"/>
      <c r="AH40" s="96" t="inlineStr">
        <is>
          <t>CHK</t>
        </is>
      </c>
      <c r="AI40" s="97" t="n"/>
      <c r="AJ40" s="97" t="n"/>
      <c r="AK40" s="97" t="n"/>
      <c r="AL40" s="97" t="n"/>
      <c r="AM40" s="96" t="inlineStr">
        <is>
          <t>TBKK28</t>
        </is>
      </c>
      <c r="AN40" s="96" t="inlineStr">
        <is>
          <t>Nustsireerach</t>
        </is>
      </c>
      <c r="AO40" s="96" t="inlineStr">
        <is>
          <t>TIRES</t>
        </is>
      </c>
      <c r="AP40" s="96" t="inlineStr">
        <is>
          <t>Normal</t>
        </is>
      </c>
      <c r="AQ40" s="97" t="n"/>
      <c r="AR40" s="97" t="n"/>
      <c r="AS40" s="97" t="n"/>
      <c r="AT40" s="97" t="n"/>
      <c r="AU40" s="97" t="n"/>
      <c r="AV40" s="97" t="n"/>
      <c r="AW40" s="97" t="n">
        <v>0</v>
      </c>
      <c r="AX40" s="96" t="inlineStr">
        <is>
          <t>N</t>
        </is>
      </c>
      <c r="AY40" s="97" t="n"/>
      <c r="AZ40" s="96" t="inlineStr">
        <is>
          <t>Pickup : 2026-09-28 Return : 2026-10-01</t>
        </is>
      </c>
      <c r="BA40" s="97" t="inlineStr">
        <is>
          <t xml:space="preserve"> SO26-064524</t>
        </is>
      </c>
      <c r="BB40" s="96" t="inlineStr">
        <is>
          <t>P</t>
        </is>
      </c>
      <c r="BC40" s="161" t="inlineStr">
        <is>
          <t>2026-08-30</t>
        </is>
      </c>
      <c r="BD40" s="161" t="inlineStr">
        <is>
          <t>2026-09-24</t>
        </is>
      </c>
      <c r="BE40" s="96" t="inlineStr">
        <is>
          <t>Y</t>
        </is>
      </c>
      <c r="BF40" s="96" t="inlineStr">
        <is>
          <t>TIRES</t>
        </is>
      </c>
      <c r="BG40" s="96" t="inlineStr">
        <is>
          <t>Line</t>
        </is>
      </c>
      <c r="BH40" s="96" t="inlineStr">
        <is>
          <t>S22</t>
        </is>
      </c>
      <c r="BI40" s="97" t="n"/>
      <c r="BJ40" s="97" t="n"/>
      <c r="BK40" s="96" t="inlineStr">
        <is>
          <t>BKK25</t>
        </is>
      </c>
      <c r="BL40" s="161" t="inlineStr">
        <is>
          <t>2026-09-28</t>
        </is>
      </c>
      <c r="BM40" s="127" t="n"/>
      <c r="BN40" s="127" t="n"/>
      <c r="BO40" s="127" t="n"/>
      <c r="BP40" s="127" t="n">
        <v>1</v>
      </c>
      <c r="BQ40" s="127" t="n"/>
      <c r="BR40" s="127" t="n"/>
      <c r="BS40" s="127" t="n"/>
      <c r="BT40" s="127" t="n"/>
      <c r="BU40" s="127" t="n"/>
      <c r="BV40" s="127" t="n"/>
      <c r="BW40" s="127" t="n"/>
      <c r="BX40" s="127" t="n"/>
      <c r="BY40" s="96" t="inlineStr">
        <is>
          <t>FULL</t>
        </is>
      </c>
      <c r="BZ40" s="97" t="n"/>
      <c r="CA40" s="96" t="inlineStr">
        <is>
          <t>Y</t>
        </is>
      </c>
      <c r="CB40" s="97" t="n"/>
      <c r="CC40" s="96" t="inlineStr">
        <is>
          <t>BKK04</t>
        </is>
      </c>
      <c r="CD40" s="97" t="n"/>
      <c r="CE40" s="97" t="n"/>
      <c r="CF40" s="96" t="inlineStr">
        <is>
          <t>0 Teu</t>
        </is>
      </c>
      <c r="CG40" s="96" t="inlineStr">
        <is>
          <t>CY/CY</t>
        </is>
      </c>
      <c r="CH40" s="97" t="n"/>
      <c r="CI40" s="96" t="inlineStr">
        <is>
          <t>exp4.th@beelogistics.com</t>
        </is>
      </c>
      <c r="CJ40" s="96" t="inlineStr">
        <is>
          <t>BEE LOGISTICS (THAILAND) CO., LTD.</t>
        </is>
      </c>
      <c r="CK40" s="96" t="inlineStr">
        <is>
          <t>BEE LOGISTICS CORPORATION -</t>
        </is>
      </c>
      <c r="CL40" s="96" t="inlineStr">
        <is>
          <t>BEE LOGISTICS CORPORATION -</t>
        </is>
      </c>
      <c r="CM40" s="97" t="n"/>
      <c r="CN40" s="96" t="inlineStr">
        <is>
          <t>202610021700</t>
        </is>
      </c>
      <c r="CO40" s="96" t="inlineStr">
        <is>
          <t>202610051200</t>
        </is>
      </c>
      <c r="CP40" s="97" t="n"/>
      <c r="CQ40" s="96" t="inlineStr">
        <is>
          <t>S22-2402015</t>
        </is>
      </c>
      <c r="CR40" s="96" t="inlineStr">
        <is>
          <t>THTIK1</t>
        </is>
      </c>
      <c r="CS40" s="96" t="inlineStr">
        <is>
          <t>BEE LOGISTICS (THAILAND) CO., LTD.</t>
        </is>
      </c>
      <c r="CT40" s="96" t="inlineStr">
        <is>
          <t>N</t>
        </is>
      </c>
      <c r="CU40" s="97" t="n"/>
      <c r="CV40" s="97" t="n"/>
      <c r="CW40" s="161" t="inlineStr">
        <is>
          <t>2026-10-05</t>
        </is>
      </c>
      <c r="CX40" s="97" t="inlineStr">
        <is>
          <t>401120</t>
        </is>
      </c>
      <c r="CY40" s="183" t="n"/>
    </row>
    <row r="41" ht="12" customHeight="1">
      <c r="A41" s="116" t="inlineStr">
        <is>
          <t>HASLS22260901645</t>
        </is>
      </c>
      <c r="B41" s="96" t="inlineStr">
        <is>
          <t>40Hx1</t>
        </is>
      </c>
      <c r="C41" s="97" t="n">
        <v>1</v>
      </c>
      <c r="D41" s="97" t="n">
        <v>1</v>
      </c>
      <c r="E41" s="97" t="n"/>
      <c r="F41" s="97" t="n">
        <v>0</v>
      </c>
      <c r="G41" s="97" t="n">
        <v>0</v>
      </c>
      <c r="H41" s="97" t="n">
        <v>0</v>
      </c>
      <c r="I41" s="97" t="n">
        <v>1</v>
      </c>
      <c r="J41" s="97" t="n">
        <v>2</v>
      </c>
      <c r="K41" s="96" t="inlineStr">
        <is>
          <t>N</t>
        </is>
      </c>
      <c r="L41" s="96" t="inlineStr">
        <is>
          <t>BTS</t>
        </is>
      </c>
      <c r="M41" s="96" t="inlineStr">
        <is>
          <t>SWSP</t>
        </is>
      </c>
      <c r="N41" s="96" t="inlineStr">
        <is>
          <t>2609N</t>
        </is>
      </c>
      <c r="O41" s="96" t="inlineStr">
        <is>
          <t>THBKK</t>
        </is>
      </c>
      <c r="P41" s="96" t="inlineStr">
        <is>
          <t>BKK04</t>
        </is>
      </c>
      <c r="Q41" s="96" t="inlineStr">
        <is>
          <t>IA</t>
        </is>
      </c>
      <c r="R41" s="161" t="inlineStr">
        <is>
          <t>2026-10-08</t>
        </is>
      </c>
      <c r="S41" s="96" t="inlineStr">
        <is>
          <t>VNSGN</t>
        </is>
      </c>
      <c r="T41" s="96" t="inlineStr">
        <is>
          <t>SGN03</t>
        </is>
      </c>
      <c r="U41" s="96" t="inlineStr">
        <is>
          <t>VNSGN</t>
        </is>
      </c>
      <c r="V41" s="161" t="inlineStr">
        <is>
          <t>2026-10-11</t>
        </is>
      </c>
      <c r="W41" s="96" t="inlineStr">
        <is>
          <t>IA</t>
        </is>
      </c>
      <c r="X41" s="97" t="n"/>
      <c r="Y41" s="97" t="n"/>
      <c r="Z41" s="97" t="n"/>
      <c r="AA41" s="96" t="inlineStr">
        <is>
          <t>SDS-ACUTECH CO., LTD.</t>
        </is>
      </c>
      <c r="AB41" s="96" t="inlineStr">
        <is>
          <t>APEX CIRCUIT (THAILAND) CO., LTD.</t>
        </is>
      </c>
      <c r="AC41" s="163" t="n">
        <v>11887.86</v>
      </c>
      <c r="AD41" s="163" t="n">
        <v>15887.86</v>
      </c>
      <c r="AE41" s="96" t="inlineStr">
        <is>
          <t>OK</t>
        </is>
      </c>
      <c r="AF41" s="96" t="n"/>
      <c r="AG41" s="97" t="n"/>
      <c r="AH41" s="96" t="inlineStr">
        <is>
          <t>CHK</t>
        </is>
      </c>
      <c r="AI41" s="97" t="n"/>
      <c r="AJ41" s="97" t="n"/>
      <c r="AK41" s="97" t="n"/>
      <c r="AL41" s="97" t="n"/>
      <c r="AM41" s="96" t="inlineStr">
        <is>
          <t>390011</t>
        </is>
      </c>
      <c r="AN41" s="96" t="inlineStr">
        <is>
          <t>LEE SEUNG MIN</t>
        </is>
      </c>
      <c r="AO41" s="96" t="inlineStr">
        <is>
          <t xml:space="preserve">PRINTED CIRCUIT BOARD "NO BRAND" </t>
        </is>
      </c>
      <c r="AP41" s="96" t="inlineStr">
        <is>
          <t>Normal</t>
        </is>
      </c>
      <c r="AQ41" s="97" t="n"/>
      <c r="AR41" s="97" t="n"/>
      <c r="AS41" s="97" t="n"/>
      <c r="AT41" s="97" t="n"/>
      <c r="AU41" s="97" t="n"/>
      <c r="AV41" s="97" t="n"/>
      <c r="AW41" s="97" t="n">
        <v>0</v>
      </c>
      <c r="AX41" s="96" t="inlineStr">
        <is>
          <t>N</t>
        </is>
      </c>
      <c r="AY41" s="97" t="n"/>
      <c r="AZ41" s="96" t="inlineStr">
        <is>
          <t>Pickup : 2026-10-01, Return : 2026-10-02</t>
        </is>
      </c>
      <c r="BA41" s="97" t="n"/>
      <c r="BB41" s="96" t="inlineStr">
        <is>
          <t>C</t>
        </is>
      </c>
      <c r="BC41" s="161" t="inlineStr">
        <is>
          <t>2026-09-18</t>
        </is>
      </c>
      <c r="BD41" s="161" t="inlineStr">
        <is>
          <t>2026-10-05</t>
        </is>
      </c>
      <c r="BE41" s="96" t="inlineStr">
        <is>
          <t>Y</t>
        </is>
      </c>
      <c r="BF41" s="96" t="inlineStr">
        <is>
          <t>PRINTED CIRCUIT BOARD</t>
        </is>
      </c>
      <c r="BG41" s="96" t="inlineStr">
        <is>
          <t>Line</t>
        </is>
      </c>
      <c r="BH41" s="96" t="inlineStr">
        <is>
          <t>S22</t>
        </is>
      </c>
      <c r="BI41" s="97" t="n"/>
      <c r="BJ41" s="97" t="n"/>
      <c r="BK41" s="96" t="inlineStr">
        <is>
          <t>BKK27</t>
        </is>
      </c>
      <c r="BL41" s="161" t="inlineStr">
        <is>
          <t>2026-10-01</t>
        </is>
      </c>
      <c r="BM41" s="127" t="n"/>
      <c r="BN41" s="127" t="n"/>
      <c r="BO41" s="127" t="n"/>
      <c r="BP41" s="127" t="n">
        <v>1</v>
      </c>
      <c r="BQ41" s="127" t="n"/>
      <c r="BR41" s="127" t="n"/>
      <c r="BS41" s="127" t="n"/>
      <c r="BT41" s="127" t="n"/>
      <c r="BU41" s="127" t="n"/>
      <c r="BV41" s="127" t="n"/>
      <c r="BW41" s="127" t="n"/>
      <c r="BX41" s="127" t="n"/>
      <c r="BY41" s="96" t="inlineStr">
        <is>
          <t>FULL</t>
        </is>
      </c>
      <c r="BZ41" s="97" t="n"/>
      <c r="CA41" s="96" t="inlineStr">
        <is>
          <t>Y</t>
        </is>
      </c>
      <c r="CB41" s="97" t="n"/>
      <c r="CC41" s="96" t="inlineStr">
        <is>
          <t>BKK04</t>
        </is>
      </c>
      <c r="CD41" s="97" t="n"/>
      <c r="CE41" s="97" t="n"/>
      <c r="CF41" s="96" t="inlineStr">
        <is>
          <t>0 Teu</t>
        </is>
      </c>
      <c r="CG41" s="96" t="inlineStr">
        <is>
          <t>CY/CY</t>
        </is>
      </c>
      <c r="CH41" s="97" t="n"/>
      <c r="CI41" s="96" t="inlineStr">
        <is>
          <t>sapanna.t@partner.samsung.com;cello-expth@partner.samsung.com</t>
        </is>
      </c>
      <c r="CJ41" s="96" t="inlineStr">
        <is>
          <t>APEX CIRCUIT (THAILAND) CO.,LTD.</t>
        </is>
      </c>
      <c r="CK41" s="96" t="inlineStr">
        <is>
          <t>SAMSUNG ELECTRONICS HCMC CE COMPLEX</t>
        </is>
      </c>
      <c r="CL41" s="96" t="inlineStr">
        <is>
          <t>SAMSUNG SDS VIETNAM CO., LTD -</t>
        </is>
      </c>
      <c r="CM41" s="97" t="n"/>
      <c r="CN41" s="96" t="inlineStr">
        <is>
          <t>202610021700</t>
        </is>
      </c>
      <c r="CO41" s="96" t="inlineStr">
        <is>
          <t>202610051200</t>
        </is>
      </c>
      <c r="CP41" s="97" t="n"/>
      <c r="CQ41" s="96" t="inlineStr">
        <is>
          <t>SDS2026GMT</t>
        </is>
      </c>
      <c r="CR41" s="96" t="inlineStr">
        <is>
          <t>THTIER</t>
        </is>
      </c>
      <c r="CS41" s="96" t="inlineStr">
        <is>
          <t>SDS-ACUTECH CO., LTD.</t>
        </is>
      </c>
      <c r="CT41" s="96" t="inlineStr">
        <is>
          <t>N</t>
        </is>
      </c>
      <c r="CU41" s="97" t="n"/>
      <c r="CV41" s="97" t="n"/>
      <c r="CW41" s="161" t="inlineStr">
        <is>
          <t>2026-10-04</t>
        </is>
      </c>
      <c r="CX41" s="97" t="inlineStr">
        <is>
          <t>853400</t>
        </is>
      </c>
      <c r="CY41" s="183" t="n"/>
    </row>
    <row r="42" ht="12" customHeight="1">
      <c r="A42" s="116" t="inlineStr">
        <is>
          <t>HASLS22260900444</t>
        </is>
      </c>
      <c r="B42" s="96" t="inlineStr">
        <is>
          <t>40Hx1</t>
        </is>
      </c>
      <c r="C42" s="97" t="n">
        <v>1</v>
      </c>
      <c r="D42" s="97" t="n">
        <v>1</v>
      </c>
      <c r="E42" s="97" t="n"/>
      <c r="F42" s="97" t="n">
        <v>0</v>
      </c>
      <c r="G42" s="97" t="n">
        <v>0</v>
      </c>
      <c r="H42" s="97" t="n">
        <v>0</v>
      </c>
      <c r="I42" s="97" t="n">
        <v>1</v>
      </c>
      <c r="J42" s="97" t="n">
        <v>2</v>
      </c>
      <c r="K42" s="96" t="inlineStr">
        <is>
          <t>N</t>
        </is>
      </c>
      <c r="L42" s="96" t="inlineStr">
        <is>
          <t>BTS</t>
        </is>
      </c>
      <c r="M42" s="96" t="inlineStr">
        <is>
          <t>SWSP</t>
        </is>
      </c>
      <c r="N42" s="96" t="inlineStr">
        <is>
          <t>2609N</t>
        </is>
      </c>
      <c r="O42" s="96" t="inlineStr">
        <is>
          <t>THBKK</t>
        </is>
      </c>
      <c r="P42" s="96" t="inlineStr">
        <is>
          <t>BKK04</t>
        </is>
      </c>
      <c r="Q42" s="96" t="inlineStr">
        <is>
          <t>IA</t>
        </is>
      </c>
      <c r="R42" s="161" t="inlineStr">
        <is>
          <t>2026-10-08</t>
        </is>
      </c>
      <c r="S42" s="96" t="inlineStr">
        <is>
          <t>KRKAN</t>
        </is>
      </c>
      <c r="T42" s="96" t="inlineStr">
        <is>
          <t>KAN04</t>
        </is>
      </c>
      <c r="U42" s="96" t="inlineStr">
        <is>
          <t>KRKAN</t>
        </is>
      </c>
      <c r="V42" s="161" t="inlineStr">
        <is>
          <t>2026-10-18</t>
        </is>
      </c>
      <c r="W42" s="96" t="inlineStr">
        <is>
          <t>KR</t>
        </is>
      </c>
      <c r="X42" s="97" t="n"/>
      <c r="Y42" s="97" t="n"/>
      <c r="Z42" s="97" t="n"/>
      <c r="AA42" s="96" t="inlineStr">
        <is>
          <t>BANGKOK STARCH INDUSTRIAL CO., LTD.</t>
        </is>
      </c>
      <c r="AB42" s="96" t="inlineStr">
        <is>
          <t>BANGKOK STARCH INDUSTRIAL CO., LTD.</t>
        </is>
      </c>
      <c r="AC42" s="163" t="n">
        <v>24456</v>
      </c>
      <c r="AD42" s="163" t="n">
        <v>28456</v>
      </c>
      <c r="AE42" s="96" t="inlineStr">
        <is>
          <t>OK</t>
        </is>
      </c>
      <c r="AF42" s="96" t="n"/>
      <c r="AG42" s="97" t="n"/>
      <c r="AH42" s="96" t="inlineStr">
        <is>
          <t>CHK</t>
        </is>
      </c>
      <c r="AI42" s="97" t="n"/>
      <c r="AJ42" s="97" t="n"/>
      <c r="AK42" s="97" t="n"/>
      <c r="AL42" s="97" t="n"/>
      <c r="AM42" s="96" t="inlineStr">
        <is>
          <t>TBKK55</t>
        </is>
      </c>
      <c r="AN42" s="96" t="inlineStr">
        <is>
          <t>Vilaiporn</t>
        </is>
      </c>
      <c r="AO42" s="96" t="inlineStr">
        <is>
          <t>ALPHA POTATO STARCH (SST-EB)</t>
        </is>
      </c>
      <c r="AP42" s="96" t="inlineStr">
        <is>
          <t>Normal</t>
        </is>
      </c>
      <c r="AQ42" s="97" t="n"/>
      <c r="AR42" s="97" t="n"/>
      <c r="AS42" s="97" t="n"/>
      <c r="AT42" s="97" t="n"/>
      <c r="AU42" s="97" t="n"/>
      <c r="AV42" s="97" t="n"/>
      <c r="AW42" s="97" t="n">
        <v>0</v>
      </c>
      <c r="AX42" s="96" t="inlineStr">
        <is>
          <t>N</t>
        </is>
      </c>
      <c r="AY42" s="97" t="n"/>
      <c r="AZ42" s="96" t="inlineStr">
        <is>
          <t>Pickup : 2026-10-01, Return : 2026-10-02</t>
        </is>
      </c>
      <c r="BA42" s="97" t="inlineStr">
        <is>
          <t xml:space="preserve">FM 2X40HC DD 14/09 
 </t>
        </is>
      </c>
      <c r="BB42" s="96" t="inlineStr">
        <is>
          <t>P</t>
        </is>
      </c>
      <c r="BC42" s="161" t="inlineStr">
        <is>
          <t>2026-09-04</t>
        </is>
      </c>
      <c r="BD42" s="161" t="inlineStr">
        <is>
          <t>2026-10-02</t>
        </is>
      </c>
      <c r="BE42" s="96" t="inlineStr">
        <is>
          <t>Y</t>
        </is>
      </c>
      <c r="BF42" s="96" t="inlineStr">
        <is>
          <t xml:space="preserve">STARCH </t>
        </is>
      </c>
      <c r="BG42" s="96" t="inlineStr">
        <is>
          <t>Line</t>
        </is>
      </c>
      <c r="BH42" s="96" t="inlineStr">
        <is>
          <t>S22</t>
        </is>
      </c>
      <c r="BI42" s="97" t="n"/>
      <c r="BJ42" s="97" t="n"/>
      <c r="BK42" s="96" t="inlineStr">
        <is>
          <t>BKK27</t>
        </is>
      </c>
      <c r="BL42" s="161" t="inlineStr">
        <is>
          <t>2026-10-01</t>
        </is>
      </c>
      <c r="BM42" s="127" t="n"/>
      <c r="BN42" s="127" t="n"/>
      <c r="BO42" s="127" t="n"/>
      <c r="BP42" s="127" t="n">
        <v>1</v>
      </c>
      <c r="BQ42" s="127" t="n"/>
      <c r="BR42" s="127" t="n"/>
      <c r="BS42" s="127" t="n"/>
      <c r="BT42" s="127" t="n"/>
      <c r="BU42" s="127" t="n"/>
      <c r="BV42" s="127" t="n"/>
      <c r="BW42" s="127" t="n"/>
      <c r="BX42" s="127" t="n"/>
      <c r="BY42" s="96" t="inlineStr">
        <is>
          <t>FULL</t>
        </is>
      </c>
      <c r="BZ42" s="97" t="n"/>
      <c r="CA42" s="96" t="inlineStr">
        <is>
          <t>Y</t>
        </is>
      </c>
      <c r="CB42" s="97" t="n"/>
      <c r="CC42" s="96" t="inlineStr">
        <is>
          <t>BKK04</t>
        </is>
      </c>
      <c r="CD42" s="97" t="n"/>
      <c r="CE42" s="97" t="n"/>
      <c r="CF42" s="96" t="inlineStr">
        <is>
          <t>0 Teu</t>
        </is>
      </c>
      <c r="CG42" s="96" t="inlineStr">
        <is>
          <t>CY/CY</t>
        </is>
      </c>
      <c r="CH42" s="97" t="n"/>
      <c r="CI42" s="96" t="inlineStr">
        <is>
          <t>logistic_export@bkkstarch.com</t>
        </is>
      </c>
      <c r="CJ42" s="96" t="inlineStr">
        <is>
          <t>BANGKOK STARCH INDUSTRIAL</t>
        </is>
      </c>
      <c r="CK42" s="96" t="inlineStr">
        <is>
          <t>TO ORDER</t>
        </is>
      </c>
      <c r="CL42" s="96" t="inlineStr">
        <is>
          <t>KOREA FEED CO., LTD.</t>
        </is>
      </c>
      <c r="CM42" s="97" t="n"/>
      <c r="CN42" s="96" t="inlineStr">
        <is>
          <t>202610021700</t>
        </is>
      </c>
      <c r="CO42" s="96" t="inlineStr">
        <is>
          <t>202610051200</t>
        </is>
      </c>
      <c r="CP42" s="97" t="n"/>
      <c r="CQ42" s="96" t="inlineStr">
        <is>
          <t>S19-2112022</t>
        </is>
      </c>
      <c r="CR42" s="96" t="inlineStr">
        <is>
          <t>BB0406</t>
        </is>
      </c>
      <c r="CS42" s="96" t="inlineStr">
        <is>
          <t>BANGKOK STARCH INDUSTRIAL CO., LTD.</t>
        </is>
      </c>
      <c r="CT42" s="96" t="inlineStr">
        <is>
          <t>N</t>
        </is>
      </c>
      <c r="CU42" s="97" t="n"/>
      <c r="CV42" s="97" t="n"/>
      <c r="CW42" s="161" t="inlineStr">
        <is>
          <t>2026-10-05</t>
        </is>
      </c>
      <c r="CX42" s="97" t="n"/>
      <c r="CY42" s="183" t="n"/>
    </row>
    <row r="43" ht="12" customHeight="1">
      <c r="A43" s="116" t="inlineStr">
        <is>
          <t>HASLS22260802590</t>
        </is>
      </c>
      <c r="B43" s="96" t="inlineStr">
        <is>
          <t>40Hx1</t>
        </is>
      </c>
      <c r="C43" s="97" t="n">
        <v>0</v>
      </c>
      <c r="D43" s="97" t="n">
        <v>0</v>
      </c>
      <c r="E43" s="97" t="n"/>
      <c r="F43" s="97" t="n">
        <v>0</v>
      </c>
      <c r="G43" s="97" t="n">
        <v>0</v>
      </c>
      <c r="H43" s="97" t="n">
        <v>0</v>
      </c>
      <c r="I43" s="97" t="n">
        <v>1</v>
      </c>
      <c r="J43" s="97" t="n">
        <v>2</v>
      </c>
      <c r="K43" s="96" t="inlineStr">
        <is>
          <t>N</t>
        </is>
      </c>
      <c r="L43" s="96" t="inlineStr">
        <is>
          <t>BTS</t>
        </is>
      </c>
      <c r="M43" s="96" t="inlineStr">
        <is>
          <t>SWSP</t>
        </is>
      </c>
      <c r="N43" s="96" t="inlineStr">
        <is>
          <t>2609N</t>
        </is>
      </c>
      <c r="O43" s="96" t="inlineStr">
        <is>
          <t>THBKK</t>
        </is>
      </c>
      <c r="P43" s="96" t="inlineStr">
        <is>
          <t>BKK04</t>
        </is>
      </c>
      <c r="Q43" s="96" t="inlineStr">
        <is>
          <t>IA</t>
        </is>
      </c>
      <c r="R43" s="161" t="inlineStr">
        <is>
          <t>2026-10-08</t>
        </is>
      </c>
      <c r="S43" s="96" t="inlineStr">
        <is>
          <t>VNSGN</t>
        </is>
      </c>
      <c r="T43" s="96" t="inlineStr">
        <is>
          <t>SGN03</t>
        </is>
      </c>
      <c r="U43" s="96" t="inlineStr">
        <is>
          <t>VNSGN</t>
        </is>
      </c>
      <c r="V43" s="161" t="inlineStr">
        <is>
          <t>2026-10-11</t>
        </is>
      </c>
      <c r="W43" s="96" t="inlineStr">
        <is>
          <t>IA</t>
        </is>
      </c>
      <c r="X43" s="97" t="n"/>
      <c r="Y43" s="97" t="n"/>
      <c r="Z43" s="97" t="n"/>
      <c r="AA43" s="96" t="inlineStr">
        <is>
          <t>QUANTERM LOGISTICS (THAILAND) CO., LTD.</t>
        </is>
      </c>
      <c r="AB43" s="96" t="inlineStr">
        <is>
          <t>QUANTERM LOGISTICS (THAILAND) CO., LTD.</t>
        </is>
      </c>
      <c r="AC43" s="163" t="n">
        <v>10000</v>
      </c>
      <c r="AD43" s="163" t="n">
        <v>14000</v>
      </c>
      <c r="AE43" s="96" t="inlineStr">
        <is>
          <t>OK</t>
        </is>
      </c>
      <c r="AF43" s="96" t="inlineStr">
        <is>
          <t>SR</t>
        </is>
      </c>
      <c r="AG43" s="97" t="n"/>
      <c r="AH43" s="96" t="inlineStr">
        <is>
          <t>CHK</t>
        </is>
      </c>
      <c r="AI43" s="97" t="n"/>
      <c r="AJ43" s="97" t="n"/>
      <c r="AK43" s="97" t="n"/>
      <c r="AL43" s="97" t="n"/>
      <c r="AM43" s="96" t="inlineStr">
        <is>
          <t>TH0013</t>
        </is>
      </c>
      <c r="AN43" s="96" t="inlineStr">
        <is>
          <t>Papavadee Chiengchin</t>
        </is>
      </c>
      <c r="AO43" s="96" t="inlineStr">
        <is>
          <t>GENERAL CARGO / CONSOL</t>
        </is>
      </c>
      <c r="AP43" s="96" t="inlineStr">
        <is>
          <t>Normal</t>
        </is>
      </c>
      <c r="AQ43" s="97" t="n"/>
      <c r="AR43" s="97" t="n"/>
      <c r="AS43" s="97" t="n"/>
      <c r="AT43" s="97" t="n"/>
      <c r="AU43" s="97" t="n"/>
      <c r="AV43" s="97" t="n"/>
      <c r="AW43" s="97" t="n">
        <v>0</v>
      </c>
      <c r="AX43" s="96" t="inlineStr">
        <is>
          <t>N</t>
        </is>
      </c>
      <c r="AY43" s="97" t="n"/>
      <c r="AZ43" s="96" t="inlineStr">
        <is>
          <t>Pickup : 2026-10-05, Return : 2026-10-05 CONSOL *EXTEND CLS TIME : 05/10/2026 @23.59*</t>
        </is>
      </c>
      <c r="BA43" s="97" t="inlineStr">
        <is>
          <t xml:space="preserve">P'KUNG CFM 2X40HC DD 01/10 
FM 2X40'HQ // ADD COST CANCEL 1X40'HQ  2,000THB DD 05/10 </t>
        </is>
      </c>
      <c r="BB43" s="96" t="inlineStr">
        <is>
          <t>P</t>
        </is>
      </c>
      <c r="BC43" s="161" t="inlineStr">
        <is>
          <t>2026-08-31</t>
        </is>
      </c>
      <c r="BD43" s="161" t="inlineStr">
        <is>
          <t>2026-10-06</t>
        </is>
      </c>
      <c r="BE43" s="96" t="inlineStr">
        <is>
          <t>Y</t>
        </is>
      </c>
      <c r="BF43" s="96" t="inlineStr">
        <is>
          <t>GENERAL CARGO / CONSOL</t>
        </is>
      </c>
      <c r="BG43" s="96" t="inlineStr">
        <is>
          <t>Line</t>
        </is>
      </c>
      <c r="BH43" s="96" t="inlineStr">
        <is>
          <t>S22</t>
        </is>
      </c>
      <c r="BI43" s="97" t="n"/>
      <c r="BJ43" s="97" t="n"/>
      <c r="BK43" s="96" t="inlineStr">
        <is>
          <t>BKK04</t>
        </is>
      </c>
      <c r="BL43" s="161" t="inlineStr">
        <is>
          <t>2026-10-05</t>
        </is>
      </c>
      <c r="BM43" s="127" t="n"/>
      <c r="BN43" s="127" t="n"/>
      <c r="BO43" s="127" t="n"/>
      <c r="BP43" s="127" t="n">
        <v>1</v>
      </c>
      <c r="BQ43" s="127" t="n"/>
      <c r="BR43" s="127" t="n"/>
      <c r="BS43" s="127" t="n"/>
      <c r="BT43" s="127" t="n"/>
      <c r="BU43" s="127" t="n"/>
      <c r="BV43" s="127" t="n"/>
      <c r="BW43" s="127" t="n"/>
      <c r="BX43" s="127" t="n"/>
      <c r="BY43" s="96" t="inlineStr">
        <is>
          <t>FULL</t>
        </is>
      </c>
      <c r="BZ43" s="97" t="n"/>
      <c r="CA43" s="96" t="inlineStr">
        <is>
          <t>Y</t>
        </is>
      </c>
      <c r="CB43" s="97" t="n"/>
      <c r="CC43" s="96" t="inlineStr">
        <is>
          <t>BKK04</t>
        </is>
      </c>
      <c r="CD43" s="97" t="n"/>
      <c r="CE43" s="97" t="inlineStr">
        <is>
          <t>CHECK</t>
        </is>
      </c>
      <c r="CF43" s="96" t="inlineStr">
        <is>
          <t>0 Teu</t>
        </is>
      </c>
      <c r="CG43" s="96" t="inlineStr">
        <is>
          <t>CY/CY</t>
        </is>
      </c>
      <c r="CH43" s="97" t="n"/>
      <c r="CI43" s="96" t="inlineStr">
        <is>
          <t>cs@quanterm.co.th</t>
        </is>
      </c>
      <c r="CJ43" s="96" t="inlineStr">
        <is>
          <t>QUANTERM LOGISTICS THAILAND</t>
        </is>
      </c>
      <c r="CK43" s="96" t="inlineStr">
        <is>
          <t>QUANTERM LOGISTICS  (VIETNAM)</t>
        </is>
      </c>
      <c r="CL43" s="96" t="inlineStr">
        <is>
          <t>QUANTERM LOGISTICS  (VIETNAM)</t>
        </is>
      </c>
      <c r="CM43" s="97" t="n"/>
      <c r="CN43" s="96" t="inlineStr">
        <is>
          <t>202610021700</t>
        </is>
      </c>
      <c r="CO43" s="96" t="inlineStr">
        <is>
          <t>202610051200</t>
        </is>
      </c>
      <c r="CP43" s="97" t="n"/>
      <c r="CQ43" s="96" t="inlineStr">
        <is>
          <t>S22-2607020</t>
        </is>
      </c>
      <c r="CR43" s="96" t="inlineStr">
        <is>
          <t>THTYD6</t>
        </is>
      </c>
      <c r="CS43" s="96" t="inlineStr">
        <is>
          <t>QUANTERM LOGISTICS (THAILAND) CO., LTD.</t>
        </is>
      </c>
      <c r="CT43" s="96" t="inlineStr">
        <is>
          <t>N</t>
        </is>
      </c>
      <c r="CU43" s="97" t="n"/>
      <c r="CV43" s="97" t="n"/>
      <c r="CW43" s="161" t="inlineStr">
        <is>
          <t>2026-10-07</t>
        </is>
      </c>
      <c r="CX43" s="97" t="inlineStr">
        <is>
          <t>490110</t>
        </is>
      </c>
      <c r="CY43" s="183" t="n"/>
    </row>
    <row r="44" ht="12" customHeight="1">
      <c r="A44" s="116" t="inlineStr">
        <is>
          <t>HASLS22260902456</t>
        </is>
      </c>
      <c r="B44" s="96" t="inlineStr">
        <is>
          <t>40Hx1</t>
        </is>
      </c>
      <c r="C44" s="97" t="n">
        <v>0</v>
      </c>
      <c r="D44" s="97" t="n">
        <v>0</v>
      </c>
      <c r="E44" s="97" t="n"/>
      <c r="F44" s="97" t="n">
        <v>0</v>
      </c>
      <c r="G44" s="97" t="n">
        <v>0</v>
      </c>
      <c r="H44" s="97" t="n">
        <v>0</v>
      </c>
      <c r="I44" s="97" t="n">
        <v>1</v>
      </c>
      <c r="J44" s="97" t="n">
        <v>2</v>
      </c>
      <c r="K44" s="96" t="inlineStr">
        <is>
          <t>N</t>
        </is>
      </c>
      <c r="L44" s="96" t="inlineStr">
        <is>
          <t>BTS</t>
        </is>
      </c>
      <c r="M44" s="96" t="inlineStr">
        <is>
          <t>SWSP</t>
        </is>
      </c>
      <c r="N44" s="96" t="inlineStr">
        <is>
          <t>2609N</t>
        </is>
      </c>
      <c r="O44" s="96" t="inlineStr">
        <is>
          <t>THBKK</t>
        </is>
      </c>
      <c r="P44" s="96" t="inlineStr">
        <is>
          <t>BKK04</t>
        </is>
      </c>
      <c r="Q44" s="96" t="inlineStr">
        <is>
          <t>IA</t>
        </is>
      </c>
      <c r="R44" s="161" t="inlineStr">
        <is>
          <t>2026-10-08</t>
        </is>
      </c>
      <c r="S44" s="96" t="inlineStr">
        <is>
          <t>KRPUS</t>
        </is>
      </c>
      <c r="T44" s="96" t="inlineStr">
        <is>
          <t>PUS05</t>
        </is>
      </c>
      <c r="U44" s="96" t="inlineStr">
        <is>
          <t>KRPUS</t>
        </is>
      </c>
      <c r="V44" s="161" t="inlineStr">
        <is>
          <t>2026-10-19</t>
        </is>
      </c>
      <c r="W44" s="96" t="inlineStr">
        <is>
          <t>KR</t>
        </is>
      </c>
      <c r="X44" s="97" t="n"/>
      <c r="Y44" s="97" t="n"/>
      <c r="Z44" s="97" t="n"/>
      <c r="AA44" s="96" t="inlineStr">
        <is>
          <t>MAC-NELS SHIPPING (THAILAND) LTD.</t>
        </is>
      </c>
      <c r="AB44" s="96" t="inlineStr">
        <is>
          <t>MAC-NELS SHIPPING (THAILAND) LTD.</t>
        </is>
      </c>
      <c r="AC44" s="163" t="n">
        <v>3751.66</v>
      </c>
      <c r="AD44" s="163" t="n">
        <v>7751.66</v>
      </c>
      <c r="AE44" s="96" t="inlineStr">
        <is>
          <t>OK</t>
        </is>
      </c>
      <c r="AF44" s="96" t="n"/>
      <c r="AG44" s="97" t="n"/>
      <c r="AH44" s="96" t="inlineStr">
        <is>
          <t>CON</t>
        </is>
      </c>
      <c r="AI44" s="97" t="inlineStr">
        <is>
          <t>OK</t>
        </is>
      </c>
      <c r="AJ44" s="97" t="n"/>
      <c r="AK44" s="97" t="n"/>
      <c r="AL44" s="97" t="n"/>
      <c r="AM44" s="96" t="inlineStr">
        <is>
          <t>TH0013</t>
        </is>
      </c>
      <c r="AN44" s="96" t="inlineStr">
        <is>
          <t>Papavadee Chiengchin</t>
        </is>
      </c>
      <c r="AO44" s="96" t="inlineStr">
        <is>
          <t>CONSOLIDATE CARGO</t>
        </is>
      </c>
      <c r="AP44" s="96" t="inlineStr">
        <is>
          <t>Normal</t>
        </is>
      </c>
      <c r="AQ44" s="97" t="n"/>
      <c r="AR44" s="97" t="n"/>
      <c r="AS44" s="97" t="n"/>
      <c r="AT44" s="97" t="n"/>
      <c r="AU44" s="97" t="n"/>
      <c r="AV44" s="97" t="n"/>
      <c r="AW44" s="97" t="n">
        <v>0</v>
      </c>
      <c r="AX44" s="96" t="inlineStr">
        <is>
          <t>N</t>
        </is>
      </c>
      <c r="AY44" s="97" t="n"/>
      <c r="AZ44" s="96" t="inlineStr">
        <is>
          <t>CY-RTN : 02-02/10/2026 CONSOL</t>
        </is>
      </c>
      <c r="BA44" s="97" t="inlineStr">
        <is>
          <t>SI DD.1/10/26</t>
        </is>
      </c>
      <c r="BB44" s="96" t="inlineStr">
        <is>
          <t>P</t>
        </is>
      </c>
      <c r="BC44" s="161" t="inlineStr">
        <is>
          <t>2026-09-29</t>
        </is>
      </c>
      <c r="BD44" s="161" t="inlineStr">
        <is>
          <t>2026-10-06</t>
        </is>
      </c>
      <c r="BE44" s="96" t="inlineStr">
        <is>
          <t>Y</t>
        </is>
      </c>
      <c r="BF44" s="96" t="inlineStr">
        <is>
          <t>GENERAL CARGO</t>
        </is>
      </c>
      <c r="BG44" s="96" t="inlineStr">
        <is>
          <t>Line</t>
        </is>
      </c>
      <c r="BH44" s="96" t="inlineStr">
        <is>
          <t>S22</t>
        </is>
      </c>
      <c r="BI44" s="97" t="n"/>
      <c r="BJ44" s="97" t="n"/>
      <c r="BK44" s="96" t="inlineStr">
        <is>
          <t>BKK04</t>
        </is>
      </c>
      <c r="BL44" s="161" t="inlineStr">
        <is>
          <t>2026-10-02</t>
        </is>
      </c>
      <c r="BM44" s="127" t="n"/>
      <c r="BN44" s="127" t="n"/>
      <c r="BO44" s="127" t="n"/>
      <c r="BP44" s="127" t="n">
        <v>1</v>
      </c>
      <c r="BQ44" s="127" t="n"/>
      <c r="BR44" s="127" t="n"/>
      <c r="BS44" s="127" t="n"/>
      <c r="BT44" s="127" t="n"/>
      <c r="BU44" s="127" t="n"/>
      <c r="BV44" s="127" t="n"/>
      <c r="BW44" s="127" t="n"/>
      <c r="BX44" s="127" t="n"/>
      <c r="BY44" s="96" t="inlineStr">
        <is>
          <t>FULL</t>
        </is>
      </c>
      <c r="BZ44" s="97" t="n"/>
      <c r="CA44" s="96" t="inlineStr">
        <is>
          <t>Y</t>
        </is>
      </c>
      <c r="CB44" s="97" t="n"/>
      <c r="CC44" s="96" t="inlineStr">
        <is>
          <t>BKK04</t>
        </is>
      </c>
      <c r="CD44" s="97" t="n"/>
      <c r="CE44" s="97" t="n"/>
      <c r="CF44" s="96" t="inlineStr">
        <is>
          <t>0 Teu</t>
        </is>
      </c>
      <c r="CG44" s="96" t="inlineStr">
        <is>
          <t>CY/CY</t>
        </is>
      </c>
      <c r="CH44" s="97" t="n"/>
      <c r="CI44" s="96" t="inlineStr">
        <is>
          <t>sasiwimol@macnels.co.th;virote@macnels.co.th</t>
        </is>
      </c>
      <c r="CJ44" s="96" t="inlineStr">
        <is>
          <t>MAC-NELS SHIPPING (THAILAND) LTD.</t>
        </is>
      </c>
      <c r="CK44" s="96" t="inlineStr">
        <is>
          <t>MNCL LINE CO.,LTD (BUSAN OFFICE)</t>
        </is>
      </c>
      <c r="CL44" s="96" t="inlineStr">
        <is>
          <t>MNCL LINE CO.,LTD (BUSAN OFFICE)</t>
        </is>
      </c>
      <c r="CM44" s="97" t="n"/>
      <c r="CN44" s="96" t="inlineStr">
        <is>
          <t>202610021700</t>
        </is>
      </c>
      <c r="CO44" s="96" t="inlineStr">
        <is>
          <t>202610051200</t>
        </is>
      </c>
      <c r="CP44" s="97" t="n"/>
      <c r="CQ44" s="96" t="inlineStr">
        <is>
          <t>S22-2505038</t>
        </is>
      </c>
      <c r="CR44" s="96" t="inlineStr">
        <is>
          <t>THTH0L</t>
        </is>
      </c>
      <c r="CS44" s="96" t="inlineStr">
        <is>
          <t>MAC-NELS SHIPPING (THAILAND) LTD.</t>
        </is>
      </c>
      <c r="CT44" s="96" t="inlineStr">
        <is>
          <t>N</t>
        </is>
      </c>
      <c r="CU44" s="97" t="n"/>
      <c r="CV44" s="97" t="n"/>
      <c r="CW44" s="161" t="inlineStr">
        <is>
          <t>2026-10-07</t>
        </is>
      </c>
      <c r="CX44" s="97" t="n"/>
      <c r="CY44" s="183" t="n"/>
    </row>
    <row r="45" ht="12" customHeight="1">
      <c r="A45" s="116" t="inlineStr">
        <is>
          <t>HASLS22260901649</t>
        </is>
      </c>
      <c r="B45" s="96" t="inlineStr">
        <is>
          <t>40Hx1</t>
        </is>
      </c>
      <c r="C45" s="97" t="n">
        <v>1</v>
      </c>
      <c r="D45" s="97" t="n">
        <v>1</v>
      </c>
      <c r="E45" s="97" t="n"/>
      <c r="F45" s="97" t="n">
        <v>0</v>
      </c>
      <c r="G45" s="97" t="n">
        <v>0</v>
      </c>
      <c r="H45" s="97" t="n">
        <v>0</v>
      </c>
      <c r="I45" s="97" t="n">
        <v>1</v>
      </c>
      <c r="J45" s="97" t="n">
        <v>2</v>
      </c>
      <c r="K45" s="96" t="inlineStr">
        <is>
          <t>N</t>
        </is>
      </c>
      <c r="L45" s="96" t="inlineStr">
        <is>
          <t>BTS</t>
        </is>
      </c>
      <c r="M45" s="96" t="inlineStr">
        <is>
          <t>SWSP</t>
        </is>
      </c>
      <c r="N45" s="96" t="inlineStr">
        <is>
          <t>2609N</t>
        </is>
      </c>
      <c r="O45" s="96" t="inlineStr">
        <is>
          <t>THBKK</t>
        </is>
      </c>
      <c r="P45" s="96" t="inlineStr">
        <is>
          <t>BKK04</t>
        </is>
      </c>
      <c r="Q45" s="96" t="inlineStr">
        <is>
          <t>IA</t>
        </is>
      </c>
      <c r="R45" s="161" t="inlineStr">
        <is>
          <t>2026-10-08</t>
        </is>
      </c>
      <c r="S45" s="96" t="inlineStr">
        <is>
          <t>VNSGN</t>
        </is>
      </c>
      <c r="T45" s="96" t="inlineStr">
        <is>
          <t>SGN03</t>
        </is>
      </c>
      <c r="U45" s="96" t="inlineStr">
        <is>
          <t>VNSGN</t>
        </is>
      </c>
      <c r="V45" s="161" t="inlineStr">
        <is>
          <t>2026-10-11</t>
        </is>
      </c>
      <c r="W45" s="96" t="inlineStr">
        <is>
          <t>IA</t>
        </is>
      </c>
      <c r="X45" s="97" t="n"/>
      <c r="Y45" s="97" t="n"/>
      <c r="Z45" s="97" t="n"/>
      <c r="AA45" s="96" t="inlineStr">
        <is>
          <t>SDS-ACUTECH CO., LTD.</t>
        </is>
      </c>
      <c r="AB45" s="96" t="inlineStr">
        <is>
          <t>APEX CIRCUIT (THAILAND) CO., LTD.</t>
        </is>
      </c>
      <c r="AC45" s="163" t="n">
        <v>12939.49</v>
      </c>
      <c r="AD45" s="163" t="n">
        <v>16939.49</v>
      </c>
      <c r="AE45" s="96" t="inlineStr">
        <is>
          <t>OK</t>
        </is>
      </c>
      <c r="AF45" s="96" t="n"/>
      <c r="AG45" s="97" t="n"/>
      <c r="AH45" s="96" t="inlineStr">
        <is>
          <t>CHK</t>
        </is>
      </c>
      <c r="AI45" s="97" t="n"/>
      <c r="AJ45" s="97" t="n"/>
      <c r="AK45" s="97" t="n"/>
      <c r="AL45" s="97" t="n"/>
      <c r="AM45" s="96" t="inlineStr">
        <is>
          <t>390011</t>
        </is>
      </c>
      <c r="AN45" s="96" t="inlineStr">
        <is>
          <t>LEE SEUNG MIN</t>
        </is>
      </c>
      <c r="AO45" s="96" t="inlineStr">
        <is>
          <t xml:space="preserve">PRINTED CIRCUIT BOARD "NO BRAND"  </t>
        </is>
      </c>
      <c r="AP45" s="96" t="inlineStr">
        <is>
          <t>Normal</t>
        </is>
      </c>
      <c r="AQ45" s="97" t="n"/>
      <c r="AR45" s="97" t="n"/>
      <c r="AS45" s="97" t="n"/>
      <c r="AT45" s="97" t="n"/>
      <c r="AU45" s="97" t="n"/>
      <c r="AV45" s="97" t="n"/>
      <c r="AW45" s="97" t="n">
        <v>0</v>
      </c>
      <c r="AX45" s="96" t="inlineStr">
        <is>
          <t>N</t>
        </is>
      </c>
      <c r="AY45" s="97" t="n"/>
      <c r="AZ45" s="96" t="inlineStr">
        <is>
          <t>Pickup : 2026-10-01, Return : 2026-10-02</t>
        </is>
      </c>
      <c r="BA45" s="97" t="n"/>
      <c r="BB45" s="96" t="inlineStr">
        <is>
          <t>C</t>
        </is>
      </c>
      <c r="BC45" s="161" t="inlineStr">
        <is>
          <t>2026-09-18</t>
        </is>
      </c>
      <c r="BD45" s="161" t="inlineStr">
        <is>
          <t>2026-10-05</t>
        </is>
      </c>
      <c r="BE45" s="96" t="inlineStr">
        <is>
          <t>Y</t>
        </is>
      </c>
      <c r="BF45" s="96" t="inlineStr">
        <is>
          <t>PRINTED CIRCUIT BOARD</t>
        </is>
      </c>
      <c r="BG45" s="96" t="inlineStr">
        <is>
          <t>Line</t>
        </is>
      </c>
      <c r="BH45" s="96" t="inlineStr">
        <is>
          <t>S22</t>
        </is>
      </c>
      <c r="BI45" s="97" t="n"/>
      <c r="BJ45" s="97" t="n"/>
      <c r="BK45" s="96" t="inlineStr">
        <is>
          <t>BKK27</t>
        </is>
      </c>
      <c r="BL45" s="161" t="inlineStr">
        <is>
          <t>2026-10-01</t>
        </is>
      </c>
      <c r="BM45" s="127" t="n"/>
      <c r="BN45" s="127" t="n"/>
      <c r="BO45" s="127" t="n"/>
      <c r="BP45" s="127" t="n">
        <v>1</v>
      </c>
      <c r="BQ45" s="127" t="n"/>
      <c r="BR45" s="127" t="n"/>
      <c r="BS45" s="127" t="n"/>
      <c r="BT45" s="127" t="n"/>
      <c r="BU45" s="127" t="n"/>
      <c r="BV45" s="127" t="n"/>
      <c r="BW45" s="127" t="n"/>
      <c r="BX45" s="127" t="n"/>
      <c r="BY45" s="96" t="inlineStr">
        <is>
          <t>FULL</t>
        </is>
      </c>
      <c r="BZ45" s="97" t="n"/>
      <c r="CA45" s="96" t="inlineStr">
        <is>
          <t>Y</t>
        </is>
      </c>
      <c r="CB45" s="97" t="n"/>
      <c r="CC45" s="96" t="inlineStr">
        <is>
          <t>BKK04</t>
        </is>
      </c>
      <c r="CD45" s="97" t="n"/>
      <c r="CE45" s="97" t="n"/>
      <c r="CF45" s="96" t="inlineStr">
        <is>
          <t>0 Teu</t>
        </is>
      </c>
      <c r="CG45" s="96" t="inlineStr">
        <is>
          <t>CY/CY</t>
        </is>
      </c>
      <c r="CH45" s="97" t="n"/>
      <c r="CI45" s="96" t="inlineStr">
        <is>
          <t>sapanna.t@partner.samsung.com;cello-expth@partner.samsung.com</t>
        </is>
      </c>
      <c r="CJ45" s="96" t="inlineStr">
        <is>
          <t>APEX CIRCUIT (THAILAND) CO.,LTD.</t>
        </is>
      </c>
      <c r="CK45" s="96" t="inlineStr">
        <is>
          <t>SAMSUNG ELECTRONICS HCMC CE COMPLEX</t>
        </is>
      </c>
      <c r="CL45" s="96" t="inlineStr">
        <is>
          <t>SAMSUNG SDS VIETNAM CO., LTD -</t>
        </is>
      </c>
      <c r="CM45" s="97" t="n"/>
      <c r="CN45" s="96" t="inlineStr">
        <is>
          <t>202610021700</t>
        </is>
      </c>
      <c r="CO45" s="96" t="inlineStr">
        <is>
          <t>202610051200</t>
        </is>
      </c>
      <c r="CP45" s="97" t="n"/>
      <c r="CQ45" s="96" t="inlineStr">
        <is>
          <t>SDS2026GMT</t>
        </is>
      </c>
      <c r="CR45" s="96" t="inlineStr">
        <is>
          <t>THTIER</t>
        </is>
      </c>
      <c r="CS45" s="96" t="inlineStr">
        <is>
          <t>SDS-ACUTECH CO., LTD.</t>
        </is>
      </c>
      <c r="CT45" s="96" t="inlineStr">
        <is>
          <t>N</t>
        </is>
      </c>
      <c r="CU45" s="97" t="n"/>
      <c r="CV45" s="97" t="n"/>
      <c r="CW45" s="161" t="inlineStr">
        <is>
          <t>2026-10-04</t>
        </is>
      </c>
      <c r="CX45" s="97" t="inlineStr">
        <is>
          <t>853400</t>
        </is>
      </c>
      <c r="CY45" s="183" t="n"/>
    </row>
    <row r="46" ht="12" customHeight="1">
      <c r="A46" s="116" t="inlineStr">
        <is>
          <t>HASLS22260901602</t>
        </is>
      </c>
      <c r="B46" s="96" t="inlineStr">
        <is>
          <t>40Hx1</t>
        </is>
      </c>
      <c r="C46" s="97" t="n">
        <v>0</v>
      </c>
      <c r="D46" s="97" t="n">
        <v>0</v>
      </c>
      <c r="E46" s="97" t="n"/>
      <c r="F46" s="97" t="n">
        <v>0</v>
      </c>
      <c r="G46" s="97" t="n">
        <v>0</v>
      </c>
      <c r="H46" s="97" t="n">
        <v>0</v>
      </c>
      <c r="I46" s="97" t="n">
        <v>1</v>
      </c>
      <c r="J46" s="97" t="n">
        <v>2</v>
      </c>
      <c r="K46" s="96" t="inlineStr">
        <is>
          <t>SOC</t>
        </is>
      </c>
      <c r="L46" s="96" t="inlineStr">
        <is>
          <t>BTS</t>
        </is>
      </c>
      <c r="M46" s="96" t="inlineStr">
        <is>
          <t>SWSP</t>
        </is>
      </c>
      <c r="N46" s="96" t="inlineStr">
        <is>
          <t>2609N</t>
        </is>
      </c>
      <c r="O46" s="96" t="inlineStr">
        <is>
          <t>THBKK</t>
        </is>
      </c>
      <c r="P46" s="96" t="inlineStr">
        <is>
          <t>BKK04</t>
        </is>
      </c>
      <c r="Q46" s="96" t="inlineStr">
        <is>
          <t>IA</t>
        </is>
      </c>
      <c r="R46" s="161" t="inlineStr">
        <is>
          <t>2026-10-08</t>
        </is>
      </c>
      <c r="S46" s="96" t="inlineStr">
        <is>
          <t>KRPUS</t>
        </is>
      </c>
      <c r="T46" s="96" t="inlineStr">
        <is>
          <t>PUS05</t>
        </is>
      </c>
      <c r="U46" s="96" t="inlineStr">
        <is>
          <t>KRPUS</t>
        </is>
      </c>
      <c r="V46" s="161" t="inlineStr">
        <is>
          <t>2026-10-19</t>
        </is>
      </c>
      <c r="W46" s="96" t="inlineStr">
        <is>
          <t>KR</t>
        </is>
      </c>
      <c r="X46" s="97" t="n"/>
      <c r="Y46" s="97" t="n"/>
      <c r="Z46" s="97" t="n"/>
      <c r="AA46" s="96" t="inlineStr">
        <is>
          <t>GATEWAY CONTAINER LINE CO., LTD.</t>
        </is>
      </c>
      <c r="AB46" s="96" t="inlineStr">
        <is>
          <t>GATEWAY CONTAINER LINE CO., LTD.</t>
        </is>
      </c>
      <c r="AC46" s="163" t="n">
        <v>10187.29</v>
      </c>
      <c r="AD46" s="163" t="n">
        <v>14187.29</v>
      </c>
      <c r="AE46" s="96" t="inlineStr">
        <is>
          <t>OK</t>
        </is>
      </c>
      <c r="AF46" s="96" t="inlineStr">
        <is>
          <t>SR</t>
        </is>
      </c>
      <c r="AG46" s="97" t="n"/>
      <c r="AH46" s="96" t="inlineStr">
        <is>
          <t>CON</t>
        </is>
      </c>
      <c r="AI46" s="97" t="n"/>
      <c r="AJ46" s="97" t="n"/>
      <c r="AK46" s="97" t="n"/>
      <c r="AL46" s="97" t="n"/>
      <c r="AM46" s="96" t="inlineStr">
        <is>
          <t>TH0013</t>
        </is>
      </c>
      <c r="AN46" s="96" t="inlineStr">
        <is>
          <t>Papavadee Chiengchin</t>
        </is>
      </c>
      <c r="AO46" s="96" t="inlineStr">
        <is>
          <t>GENERAL CARGO (SOC)</t>
        </is>
      </c>
      <c r="AP46" s="96" t="inlineStr">
        <is>
          <t>Normal</t>
        </is>
      </c>
      <c r="AQ46" s="97" t="n"/>
      <c r="AR46" s="97" t="n"/>
      <c r="AS46" s="97" t="n"/>
      <c r="AT46" s="97" t="n"/>
      <c r="AU46" s="97" t="n"/>
      <c r="AV46" s="97" t="n"/>
      <c r="AW46" s="97" t="n">
        <v>0</v>
      </c>
      <c r="AX46" s="96" t="inlineStr">
        <is>
          <t>N</t>
        </is>
      </c>
      <c r="AY46" s="97" t="n"/>
      <c r="AZ46" s="96" t="inlineStr">
        <is>
          <t xml:space="preserve">Pickup : 2026-10-01, Return : 2026-10-02 (SOC)
CUSTOMS FORMALITY BY GATEWAY / TAX ID : 0105547115478
</t>
        </is>
      </c>
      <c r="BA46" s="97" t="inlineStr">
        <is>
          <t>FM CONSOL TO SOC
FM SOC TO CONSOL
FM 1X40'HQ</t>
        </is>
      </c>
      <c r="BB46" s="96" t="inlineStr">
        <is>
          <t>P</t>
        </is>
      </c>
      <c r="BC46" s="161" t="inlineStr">
        <is>
          <t>2026-09-17</t>
        </is>
      </c>
      <c r="BD46" s="161" t="inlineStr">
        <is>
          <t>2026-10-06</t>
        </is>
      </c>
      <c r="BE46" s="96" t="inlineStr">
        <is>
          <t>Y</t>
        </is>
      </c>
      <c r="BF46" s="96" t="inlineStr">
        <is>
          <t>GENERAL CARGO (SOC)</t>
        </is>
      </c>
      <c r="BG46" s="96" t="inlineStr">
        <is>
          <t>Line</t>
        </is>
      </c>
      <c r="BH46" s="96" t="inlineStr">
        <is>
          <t>S22</t>
        </is>
      </c>
      <c r="BI46" s="97" t="n"/>
      <c r="BJ46" s="97" t="n"/>
      <c r="BK46" s="96" t="inlineStr">
        <is>
          <t>BKK04</t>
        </is>
      </c>
      <c r="BL46" s="161" t="inlineStr">
        <is>
          <t>2026-10-01</t>
        </is>
      </c>
      <c r="BM46" s="127" t="n"/>
      <c r="BN46" s="127" t="n"/>
      <c r="BO46" s="127" t="n"/>
      <c r="BP46" s="127" t="n">
        <v>1</v>
      </c>
      <c r="BQ46" s="127" t="n"/>
      <c r="BR46" s="127" t="n"/>
      <c r="BS46" s="127" t="n"/>
      <c r="BT46" s="127" t="n"/>
      <c r="BU46" s="127" t="n"/>
      <c r="BV46" s="127" t="n"/>
      <c r="BW46" s="127" t="n"/>
      <c r="BX46" s="127" t="n"/>
      <c r="BY46" s="96" t="inlineStr">
        <is>
          <t>FULL</t>
        </is>
      </c>
      <c r="BZ46" s="97" t="n"/>
      <c r="CA46" s="96" t="inlineStr">
        <is>
          <t>Y</t>
        </is>
      </c>
      <c r="CB46" s="97" t="n"/>
      <c r="CC46" s="96" t="inlineStr">
        <is>
          <t>BKK04</t>
        </is>
      </c>
      <c r="CD46" s="97" t="n"/>
      <c r="CE46" s="97" t="n"/>
      <c r="CF46" s="96" t="inlineStr">
        <is>
          <t>0 Teu</t>
        </is>
      </c>
      <c r="CG46" s="96" t="inlineStr">
        <is>
          <t>CY/CY</t>
        </is>
      </c>
      <c r="CH46" s="97" t="n"/>
      <c r="CI46" s="96" t="inlineStr">
        <is>
          <t>cs@gateway.co.th</t>
        </is>
      </c>
      <c r="CJ46" s="96" t="inlineStr">
        <is>
          <t>GATEWAY CONTAINER LINE CO.,LTD.</t>
        </is>
      </c>
      <c r="CK46" s="96" t="inlineStr">
        <is>
          <t>MOLAX</t>
        </is>
      </c>
      <c r="CL46" s="96" t="inlineStr">
        <is>
          <t>MOLAX</t>
        </is>
      </c>
      <c r="CM46" s="97" t="n"/>
      <c r="CN46" s="96" t="inlineStr">
        <is>
          <t>202610021700</t>
        </is>
      </c>
      <c r="CO46" s="96" t="inlineStr">
        <is>
          <t>202610051200</t>
        </is>
      </c>
      <c r="CP46" s="97" t="n"/>
      <c r="CQ46" s="96" t="inlineStr">
        <is>
          <t>S19-2410001</t>
        </is>
      </c>
      <c r="CR46" s="96" t="inlineStr">
        <is>
          <t>THTIB0</t>
        </is>
      </c>
      <c r="CS46" s="96" t="inlineStr">
        <is>
          <t>GATEWAY CONTAINER LINE CO., LTD.</t>
        </is>
      </c>
      <c r="CT46" s="96" t="inlineStr">
        <is>
          <t>N</t>
        </is>
      </c>
      <c r="CU46" s="97" t="n"/>
      <c r="CV46" s="97" t="n"/>
      <c r="CW46" s="161" t="inlineStr">
        <is>
          <t>2026-10-04</t>
        </is>
      </c>
      <c r="CX46" s="97" t="n"/>
      <c r="CY46" s="183" t="n"/>
    </row>
    <row r="47" ht="12" customHeight="1">
      <c r="A47" s="116" t="inlineStr">
        <is>
          <t>HASLS22260902212</t>
        </is>
      </c>
      <c r="B47" s="96" t="inlineStr">
        <is>
          <t>40Hx1</t>
        </is>
      </c>
      <c r="C47" s="97" t="n">
        <v>1</v>
      </c>
      <c r="D47" s="97" t="n">
        <v>1</v>
      </c>
      <c r="E47" s="97" t="n"/>
      <c r="F47" s="97" t="n">
        <v>0</v>
      </c>
      <c r="G47" s="97" t="n">
        <v>0</v>
      </c>
      <c r="H47" s="97" t="n">
        <v>0</v>
      </c>
      <c r="I47" s="97" t="n">
        <v>1</v>
      </c>
      <c r="J47" s="97" t="n">
        <v>2</v>
      </c>
      <c r="K47" s="96" t="inlineStr">
        <is>
          <t>N</t>
        </is>
      </c>
      <c r="L47" s="96" t="inlineStr">
        <is>
          <t>BTS</t>
        </is>
      </c>
      <c r="M47" s="96" t="inlineStr">
        <is>
          <t>SWSP</t>
        </is>
      </c>
      <c r="N47" s="96" t="inlineStr">
        <is>
          <t>2609N</t>
        </is>
      </c>
      <c r="O47" s="96" t="inlineStr">
        <is>
          <t>THBKK</t>
        </is>
      </c>
      <c r="P47" s="96" t="inlineStr">
        <is>
          <t>BKK04</t>
        </is>
      </c>
      <c r="Q47" s="96" t="inlineStr">
        <is>
          <t>IA</t>
        </is>
      </c>
      <c r="R47" s="161" t="inlineStr">
        <is>
          <t>2026-10-08</t>
        </is>
      </c>
      <c r="S47" s="96" t="inlineStr">
        <is>
          <t>VNSGN</t>
        </is>
      </c>
      <c r="T47" s="96" t="inlineStr">
        <is>
          <t>SGN03</t>
        </is>
      </c>
      <c r="U47" s="96" t="inlineStr">
        <is>
          <t>VNSGN</t>
        </is>
      </c>
      <c r="V47" s="161" t="inlineStr">
        <is>
          <t>2026-10-11</t>
        </is>
      </c>
      <c r="W47" s="96" t="inlineStr">
        <is>
          <t>IA</t>
        </is>
      </c>
      <c r="X47" s="97" t="n"/>
      <c r="Y47" s="97" t="n"/>
      <c r="Z47" s="97" t="n"/>
      <c r="AA47" s="96" t="inlineStr">
        <is>
          <t>EUROFREIGHT INTERNATIONAL CO.,LTD.</t>
        </is>
      </c>
      <c r="AB47" s="96" t="inlineStr">
        <is>
          <t>TOYO MILLENNIUM CO., LTD.</t>
        </is>
      </c>
      <c r="AC47" s="163" t="n">
        <v>3035.39</v>
      </c>
      <c r="AD47" s="163" t="n">
        <v>7035.39</v>
      </c>
      <c r="AE47" s="96" t="inlineStr">
        <is>
          <t>OK</t>
        </is>
      </c>
      <c r="AF47" s="96" t="inlineStr">
        <is>
          <t>SR</t>
        </is>
      </c>
      <c r="AG47" s="97" t="n"/>
      <c r="AH47" s="96" t="inlineStr">
        <is>
          <t>CHK</t>
        </is>
      </c>
      <c r="AI47" s="97" t="inlineStr">
        <is>
          <t>OK</t>
        </is>
      </c>
      <c r="AJ47" s="97" t="n"/>
      <c r="AK47" s="97" t="n"/>
      <c r="AL47" s="97" t="n"/>
      <c r="AM47" s="96" t="inlineStr">
        <is>
          <t>TBKK97</t>
        </is>
      </c>
      <c r="AN47" s="96" t="inlineStr">
        <is>
          <t>Arunphat W. (Aiw)</t>
        </is>
      </c>
      <c r="AO47" s="96" t="inlineStr">
        <is>
          <t>WELDED STAINLESS STEEL TUBE</t>
        </is>
      </c>
      <c r="AP47" s="96" t="inlineStr">
        <is>
          <t>Normal</t>
        </is>
      </c>
      <c r="AQ47" s="97" t="n"/>
      <c r="AR47" s="97" t="n"/>
      <c r="AS47" s="97" t="n"/>
      <c r="AT47" s="97" t="n"/>
      <c r="AU47" s="97" t="n"/>
      <c r="AV47" s="97" t="n"/>
      <c r="AW47" s="97" t="n">
        <v>0</v>
      </c>
      <c r="AX47" s="96" t="inlineStr">
        <is>
          <t>N</t>
        </is>
      </c>
      <c r="AY47" s="97" t="n"/>
      <c r="AZ47" s="96" t="inlineStr">
        <is>
          <t>Pickup : 2026-10-01, Return : 2026-10-02</t>
        </is>
      </c>
      <c r="BA47" s="97" t="inlineStr">
        <is>
          <t>GOOD AND CLEAN CONTAINER</t>
        </is>
      </c>
      <c r="BB47" s="96" t="inlineStr">
        <is>
          <t>P</t>
        </is>
      </c>
      <c r="BC47" s="161" t="inlineStr">
        <is>
          <t>2026-09-23</t>
        </is>
      </c>
      <c r="BD47" s="161" t="inlineStr">
        <is>
          <t>2026-10-06</t>
        </is>
      </c>
      <c r="BE47" s="96" t="inlineStr">
        <is>
          <t>Y</t>
        </is>
      </c>
      <c r="BF47" s="96" t="inlineStr">
        <is>
          <t>Steel</t>
        </is>
      </c>
      <c r="BG47" s="96" t="inlineStr">
        <is>
          <t>Line</t>
        </is>
      </c>
      <c r="BH47" s="96" t="inlineStr">
        <is>
          <t>S22</t>
        </is>
      </c>
      <c r="BI47" s="97" t="n"/>
      <c r="BJ47" s="97" t="n"/>
      <c r="BK47" s="96" t="inlineStr">
        <is>
          <t>BKK27</t>
        </is>
      </c>
      <c r="BL47" s="161" t="inlineStr">
        <is>
          <t>2026-10-01</t>
        </is>
      </c>
      <c r="BM47" s="127" t="n"/>
      <c r="BN47" s="127" t="n"/>
      <c r="BO47" s="127" t="n"/>
      <c r="BP47" s="127" t="n">
        <v>1</v>
      </c>
      <c r="BQ47" s="127" t="n"/>
      <c r="BR47" s="127" t="n"/>
      <c r="BS47" s="127" t="n"/>
      <c r="BT47" s="127" t="n"/>
      <c r="BU47" s="127" t="n"/>
      <c r="BV47" s="127" t="n"/>
      <c r="BW47" s="127" t="n"/>
      <c r="BX47" s="127" t="n"/>
      <c r="BY47" s="96" t="inlineStr">
        <is>
          <t>FULL</t>
        </is>
      </c>
      <c r="BZ47" s="97" t="n"/>
      <c r="CA47" s="96" t="inlineStr">
        <is>
          <t>Y</t>
        </is>
      </c>
      <c r="CB47" s="97" t="n"/>
      <c r="CC47" s="96" t="inlineStr">
        <is>
          <t>BKK04</t>
        </is>
      </c>
      <c r="CD47" s="97" t="n"/>
      <c r="CE47" s="97" t="n"/>
      <c r="CF47" s="96" t="inlineStr">
        <is>
          <t>0 Teu</t>
        </is>
      </c>
      <c r="CG47" s="96" t="inlineStr">
        <is>
          <t>CY/CY</t>
        </is>
      </c>
      <c r="CH47" s="97" t="n"/>
      <c r="CI47" s="96" t="inlineStr">
        <is>
          <t>eurofrt.admin@eurofrt.com</t>
        </is>
      </c>
      <c r="CJ47" s="96" t="inlineStr">
        <is>
          <t>TOYO MILLENNIUM CO., LTD.</t>
        </is>
      </c>
      <c r="CK47" s="96" t="inlineStr">
        <is>
          <t>MEKONG FLOW EQUIPMENT COMPANY</t>
        </is>
      </c>
      <c r="CL47" s="96" t="inlineStr">
        <is>
          <t>MEKONG FLOW EQUIPMENT COMPANY</t>
        </is>
      </c>
      <c r="CM47" s="97" t="n"/>
      <c r="CN47" s="96" t="inlineStr">
        <is>
          <t>202610021700</t>
        </is>
      </c>
      <c r="CO47" s="96" t="inlineStr">
        <is>
          <t>202610051200</t>
        </is>
      </c>
      <c r="CP47" s="97" t="n"/>
      <c r="CQ47" s="96" t="inlineStr">
        <is>
          <t>S22-2607010</t>
        </is>
      </c>
      <c r="CR47" s="96" t="inlineStr">
        <is>
          <t>TH03MB</t>
        </is>
      </c>
      <c r="CS47" s="96" t="inlineStr">
        <is>
          <t>EUROFREIGHT INTERNATIONAL CO.,LTD.</t>
        </is>
      </c>
      <c r="CT47" s="96" t="inlineStr">
        <is>
          <t>N</t>
        </is>
      </c>
      <c r="CU47" s="97" t="n"/>
      <c r="CV47" s="97" t="n"/>
      <c r="CW47" s="161" t="inlineStr">
        <is>
          <t>2026-10-05</t>
        </is>
      </c>
      <c r="CX47" s="97" t="inlineStr">
        <is>
          <t>730640</t>
        </is>
      </c>
      <c r="CY47" s="183" t="n"/>
    </row>
    <row r="48" ht="12" customHeight="1">
      <c r="A48" s="116" t="inlineStr">
        <is>
          <t>HASLS22260900864</t>
        </is>
      </c>
      <c r="B48" s="96" t="inlineStr">
        <is>
          <t>40Hx1</t>
        </is>
      </c>
      <c r="C48" s="97" t="n">
        <v>1</v>
      </c>
      <c r="D48" s="97" t="n">
        <v>1</v>
      </c>
      <c r="E48" s="97" t="n"/>
      <c r="F48" s="97" t="n">
        <v>0</v>
      </c>
      <c r="G48" s="97" t="n">
        <v>0</v>
      </c>
      <c r="H48" s="97" t="n">
        <v>0</v>
      </c>
      <c r="I48" s="97" t="n">
        <v>1</v>
      </c>
      <c r="J48" s="97" t="n">
        <v>2</v>
      </c>
      <c r="K48" s="96" t="inlineStr">
        <is>
          <t>N</t>
        </is>
      </c>
      <c r="L48" s="96" t="inlineStr">
        <is>
          <t>BTS</t>
        </is>
      </c>
      <c r="M48" s="96" t="inlineStr">
        <is>
          <t>SWSP</t>
        </is>
      </c>
      <c r="N48" s="96" t="inlineStr">
        <is>
          <t>2609N</t>
        </is>
      </c>
      <c r="O48" s="96" t="inlineStr">
        <is>
          <t>THBKK</t>
        </is>
      </c>
      <c r="P48" s="96" t="inlineStr">
        <is>
          <t>BKK04</t>
        </is>
      </c>
      <c r="Q48" s="96" t="inlineStr">
        <is>
          <t>IA</t>
        </is>
      </c>
      <c r="R48" s="161" t="inlineStr">
        <is>
          <t>2026-10-08</t>
        </is>
      </c>
      <c r="S48" s="96" t="inlineStr">
        <is>
          <t>VNSGN</t>
        </is>
      </c>
      <c r="T48" s="96" t="inlineStr">
        <is>
          <t>SGN03</t>
        </is>
      </c>
      <c r="U48" s="96" t="inlineStr">
        <is>
          <t>VNSGN</t>
        </is>
      </c>
      <c r="V48" s="161" t="inlineStr">
        <is>
          <t>2026-10-11</t>
        </is>
      </c>
      <c r="W48" s="96" t="inlineStr">
        <is>
          <t>IA</t>
        </is>
      </c>
      <c r="X48" s="97" t="n"/>
      <c r="Y48" s="97" t="n"/>
      <c r="Z48" s="97" t="n"/>
      <c r="AA48" s="96" t="inlineStr">
        <is>
          <t>CNTRANS EXPRESS CO., LTD.</t>
        </is>
      </c>
      <c r="AB48" s="96" t="inlineStr">
        <is>
          <t>HO CHEM CO., LTD</t>
        </is>
      </c>
      <c r="AC48" s="163" t="n">
        <v>9637.5</v>
      </c>
      <c r="AD48" s="163" t="n">
        <v>13637.5</v>
      </c>
      <c r="AE48" s="96" t="inlineStr">
        <is>
          <t>OK</t>
        </is>
      </c>
      <c r="AF48" s="96" t="inlineStr">
        <is>
          <t>SR</t>
        </is>
      </c>
      <c r="AG48" s="97" t="n"/>
      <c r="AH48" s="96" t="inlineStr">
        <is>
          <t>CHK</t>
        </is>
      </c>
      <c r="AI48" s="97" t="n"/>
      <c r="AJ48" s="97" t="n"/>
      <c r="AK48" s="97" t="n"/>
      <c r="AL48" s="97" t="n"/>
      <c r="AM48" s="96" t="inlineStr">
        <is>
          <t>TH0042</t>
        </is>
      </c>
      <c r="AN48" s="96" t="inlineStr">
        <is>
          <t>Sukunpoj Damrongying</t>
        </is>
      </c>
      <c r="AO48" s="96" t="inlineStr">
        <is>
          <t>PLASTIC BASKET</t>
        </is>
      </c>
      <c r="AP48" s="96" t="inlineStr">
        <is>
          <t>Normal</t>
        </is>
      </c>
      <c r="AQ48" s="97" t="n"/>
      <c r="AR48" s="97" t="n"/>
      <c r="AS48" s="97" t="n"/>
      <c r="AT48" s="97" t="n"/>
      <c r="AU48" s="97" t="n"/>
      <c r="AV48" s="97" t="n"/>
      <c r="AW48" s="97" t="n">
        <v>0</v>
      </c>
      <c r="AX48" s="96" t="inlineStr">
        <is>
          <t>N</t>
        </is>
      </c>
      <c r="AY48" s="97" t="n"/>
      <c r="AZ48" s="96" t="inlineStr">
        <is>
          <t xml:space="preserve">Pickup : 2026-09-30, Return : 2026-10-01 </t>
        </is>
      </c>
      <c r="BA48" s="97" t="n"/>
      <c r="BB48" s="96" t="inlineStr">
        <is>
          <t>P</t>
        </is>
      </c>
      <c r="BC48" s="161" t="inlineStr">
        <is>
          <t>2026-09-10</t>
        </is>
      </c>
      <c r="BD48" s="161" t="inlineStr">
        <is>
          <t>2026-10-01</t>
        </is>
      </c>
      <c r="BE48" s="96" t="inlineStr">
        <is>
          <t>Y</t>
        </is>
      </c>
      <c r="BF48" s="96" t="inlineStr">
        <is>
          <t>PLASTIC BASKET</t>
        </is>
      </c>
      <c r="BG48" s="96" t="inlineStr">
        <is>
          <t>Line</t>
        </is>
      </c>
      <c r="BH48" s="96" t="inlineStr">
        <is>
          <t>S22</t>
        </is>
      </c>
      <c r="BI48" s="97" t="n"/>
      <c r="BJ48" s="97" t="n"/>
      <c r="BK48" s="96" t="inlineStr">
        <is>
          <t>BKK25</t>
        </is>
      </c>
      <c r="BL48" s="161" t="inlineStr">
        <is>
          <t>2026-09-30</t>
        </is>
      </c>
      <c r="BM48" s="127" t="n"/>
      <c r="BN48" s="127" t="n"/>
      <c r="BO48" s="127" t="n"/>
      <c r="BP48" s="127" t="n">
        <v>1</v>
      </c>
      <c r="BQ48" s="127" t="n"/>
      <c r="BR48" s="127" t="n"/>
      <c r="BS48" s="127" t="n"/>
      <c r="BT48" s="127" t="n"/>
      <c r="BU48" s="127" t="n"/>
      <c r="BV48" s="127" t="n"/>
      <c r="BW48" s="127" t="n"/>
      <c r="BX48" s="127" t="n"/>
      <c r="BY48" s="96" t="inlineStr">
        <is>
          <t>FULL</t>
        </is>
      </c>
      <c r="BZ48" s="97" t="n"/>
      <c r="CA48" s="96" t="inlineStr">
        <is>
          <t>Y</t>
        </is>
      </c>
      <c r="CB48" s="97" t="n"/>
      <c r="CC48" s="96" t="inlineStr">
        <is>
          <t>BKK04</t>
        </is>
      </c>
      <c r="CD48" s="97" t="n"/>
      <c r="CE48" s="97" t="n"/>
      <c r="CF48" s="96" t="inlineStr">
        <is>
          <t>0 Teu</t>
        </is>
      </c>
      <c r="CG48" s="96" t="inlineStr">
        <is>
          <t>CY/CY</t>
        </is>
      </c>
      <c r="CH48" s="97" t="n"/>
      <c r="CI48" s="96" t="inlineStr">
        <is>
          <t>export@cntrans.co.th</t>
        </is>
      </c>
      <c r="CJ48" s="96" t="inlineStr">
        <is>
          <t>CNTRANS EXPRESS CO., LTD.</t>
        </is>
      </c>
      <c r="CK48" s="96" t="inlineStr">
        <is>
          <t>HL SHIPPING CO.,LTD.</t>
        </is>
      </c>
      <c r="CL48" s="96" t="inlineStr">
        <is>
          <t>HL SHIPPING CO.,LTD.</t>
        </is>
      </c>
      <c r="CM48" s="97" t="n"/>
      <c r="CN48" s="96" t="inlineStr">
        <is>
          <t>202610021700</t>
        </is>
      </c>
      <c r="CO48" s="96" t="inlineStr">
        <is>
          <t>202610051200</t>
        </is>
      </c>
      <c r="CP48" s="97" t="n"/>
      <c r="CQ48" s="96" t="inlineStr">
        <is>
          <t>S22-2408012</t>
        </is>
      </c>
      <c r="CR48" s="96" t="inlineStr">
        <is>
          <t>TH01XG</t>
        </is>
      </c>
      <c r="CS48" s="96" t="inlineStr">
        <is>
          <t>CNTRANS EXPRESS CO., LTD.</t>
        </is>
      </c>
      <c r="CT48" s="96" t="inlineStr">
        <is>
          <t>N</t>
        </is>
      </c>
      <c r="CU48" s="97" t="n"/>
      <c r="CV48" s="97" t="n"/>
      <c r="CW48" s="161" t="inlineStr">
        <is>
          <t>2026-10-05</t>
        </is>
      </c>
      <c r="CX48" s="97" t="inlineStr">
        <is>
          <t>392690</t>
        </is>
      </c>
      <c r="CY48" s="183" t="n"/>
    </row>
    <row r="49" ht="12" customHeight="1">
      <c r="A49" s="116" t="inlineStr">
        <is>
          <t>HASLS22260901640</t>
        </is>
      </c>
      <c r="B49" s="96" t="inlineStr">
        <is>
          <t>40Hx1</t>
        </is>
      </c>
      <c r="C49" s="97" t="n">
        <v>1</v>
      </c>
      <c r="D49" s="97" t="n">
        <v>1</v>
      </c>
      <c r="E49" s="97" t="n"/>
      <c r="F49" s="97" t="n">
        <v>0</v>
      </c>
      <c r="G49" s="97" t="n">
        <v>0</v>
      </c>
      <c r="H49" s="97" t="n">
        <v>0</v>
      </c>
      <c r="I49" s="97" t="n">
        <v>1</v>
      </c>
      <c r="J49" s="97" t="n">
        <v>2</v>
      </c>
      <c r="K49" s="96" t="inlineStr">
        <is>
          <t>N</t>
        </is>
      </c>
      <c r="L49" s="96" t="inlineStr">
        <is>
          <t>BTS</t>
        </is>
      </c>
      <c r="M49" s="96" t="inlineStr">
        <is>
          <t>SWSP</t>
        </is>
      </c>
      <c r="N49" s="96" t="inlineStr">
        <is>
          <t>2609N</t>
        </is>
      </c>
      <c r="O49" s="96" t="inlineStr">
        <is>
          <t>THBKK</t>
        </is>
      </c>
      <c r="P49" s="96" t="inlineStr">
        <is>
          <t>BKK04</t>
        </is>
      </c>
      <c r="Q49" s="96" t="inlineStr">
        <is>
          <t>IA</t>
        </is>
      </c>
      <c r="R49" s="161" t="inlineStr">
        <is>
          <t>2026-10-08</t>
        </is>
      </c>
      <c r="S49" s="96" t="inlineStr">
        <is>
          <t>VNSGN</t>
        </is>
      </c>
      <c r="T49" s="96" t="inlineStr">
        <is>
          <t>SGN03</t>
        </is>
      </c>
      <c r="U49" s="96" t="inlineStr">
        <is>
          <t>VNSGN</t>
        </is>
      </c>
      <c r="V49" s="161" t="inlineStr">
        <is>
          <t>2026-10-11</t>
        </is>
      </c>
      <c r="W49" s="96" t="inlineStr">
        <is>
          <t>IA</t>
        </is>
      </c>
      <c r="X49" s="97" t="n"/>
      <c r="Y49" s="97" t="n"/>
      <c r="Z49" s="97" t="n"/>
      <c r="AA49" s="96" t="inlineStr">
        <is>
          <t>SDS-ACUTECH CO., LTD.</t>
        </is>
      </c>
      <c r="AB49" s="96" t="inlineStr">
        <is>
          <t>APEX CIRCUIT (THAILAND) CO., LTD.</t>
        </is>
      </c>
      <c r="AC49" s="163" t="n">
        <v>10611.83</v>
      </c>
      <c r="AD49" s="163" t="n">
        <v>14611.83</v>
      </c>
      <c r="AE49" s="96" t="inlineStr">
        <is>
          <t>OK</t>
        </is>
      </c>
      <c r="AF49" s="96" t="n"/>
      <c r="AG49" s="97" t="n"/>
      <c r="AH49" s="96" t="inlineStr">
        <is>
          <t>CHK</t>
        </is>
      </c>
      <c r="AI49" s="97" t="n"/>
      <c r="AJ49" s="97" t="n"/>
      <c r="AK49" s="97" t="n"/>
      <c r="AL49" s="97" t="n"/>
      <c r="AM49" s="96" t="inlineStr">
        <is>
          <t>390011</t>
        </is>
      </c>
      <c r="AN49" s="96" t="inlineStr">
        <is>
          <t>LEE SEUNG MIN</t>
        </is>
      </c>
      <c r="AO49" s="96" t="inlineStr">
        <is>
          <t xml:space="preserve">PRINTED CIRCUIT BOARD "NO BRAND"   </t>
        </is>
      </c>
      <c r="AP49" s="96" t="inlineStr">
        <is>
          <t>Normal</t>
        </is>
      </c>
      <c r="AQ49" s="97" t="n"/>
      <c r="AR49" s="97" t="n"/>
      <c r="AS49" s="97" t="n"/>
      <c r="AT49" s="97" t="n"/>
      <c r="AU49" s="97" t="n"/>
      <c r="AV49" s="97" t="n"/>
      <c r="AW49" s="97" t="n">
        <v>0</v>
      </c>
      <c r="AX49" s="96" t="inlineStr">
        <is>
          <t>N</t>
        </is>
      </c>
      <c r="AY49" s="97" t="n"/>
      <c r="AZ49" s="96" t="inlineStr">
        <is>
          <t>Pickup : 2026-10-01, Return : 2026-10-02</t>
        </is>
      </c>
      <c r="BA49" s="97" t="n"/>
      <c r="BB49" s="96" t="inlineStr">
        <is>
          <t>C</t>
        </is>
      </c>
      <c r="BC49" s="161" t="inlineStr">
        <is>
          <t>2026-09-18</t>
        </is>
      </c>
      <c r="BD49" s="161" t="inlineStr">
        <is>
          <t>2026-10-05</t>
        </is>
      </c>
      <c r="BE49" s="96" t="inlineStr">
        <is>
          <t>Y</t>
        </is>
      </c>
      <c r="BF49" s="96" t="inlineStr">
        <is>
          <t>PRINTED CIRCUIT BOARD</t>
        </is>
      </c>
      <c r="BG49" s="96" t="inlineStr">
        <is>
          <t>Line</t>
        </is>
      </c>
      <c r="BH49" s="96" t="inlineStr">
        <is>
          <t>S22</t>
        </is>
      </c>
      <c r="BI49" s="97" t="n"/>
      <c r="BJ49" s="97" t="n"/>
      <c r="BK49" s="96" t="inlineStr">
        <is>
          <t>BKK27</t>
        </is>
      </c>
      <c r="BL49" s="161" t="inlineStr">
        <is>
          <t>2026-10-01</t>
        </is>
      </c>
      <c r="BM49" s="127" t="n"/>
      <c r="BN49" s="127" t="n"/>
      <c r="BO49" s="127" t="n"/>
      <c r="BP49" s="127" t="n">
        <v>1</v>
      </c>
      <c r="BQ49" s="127" t="n"/>
      <c r="BR49" s="127" t="n"/>
      <c r="BS49" s="127" t="n"/>
      <c r="BT49" s="127" t="n"/>
      <c r="BU49" s="127" t="n"/>
      <c r="BV49" s="127" t="n"/>
      <c r="BW49" s="127" t="n"/>
      <c r="BX49" s="127" t="n"/>
      <c r="BY49" s="96" t="inlineStr">
        <is>
          <t>FULL</t>
        </is>
      </c>
      <c r="BZ49" s="97" t="n"/>
      <c r="CA49" s="96" t="inlineStr">
        <is>
          <t>Y</t>
        </is>
      </c>
      <c r="CB49" s="97" t="n"/>
      <c r="CC49" s="96" t="inlineStr">
        <is>
          <t>BKK04</t>
        </is>
      </c>
      <c r="CD49" s="97" t="n"/>
      <c r="CE49" s="97" t="n"/>
      <c r="CF49" s="96" t="inlineStr">
        <is>
          <t>0 Teu</t>
        </is>
      </c>
      <c r="CG49" s="96" t="inlineStr">
        <is>
          <t>CY/CY</t>
        </is>
      </c>
      <c r="CH49" s="97" t="n"/>
      <c r="CI49" s="96" t="inlineStr">
        <is>
          <t>sapanna.t@partner.samsung.com;cello-expth@partner.samsung.com</t>
        </is>
      </c>
      <c r="CJ49" s="96" t="inlineStr">
        <is>
          <t>APEX CIRCUIT (THAILAND) CO.,LTD.</t>
        </is>
      </c>
      <c r="CK49" s="96" t="inlineStr">
        <is>
          <t>SAMSUNG ELECTRONICS HCMC CE COMPLEX</t>
        </is>
      </c>
      <c r="CL49" s="96" t="inlineStr">
        <is>
          <t>SAMSUNG SDS VIETNAM CO., LTD -</t>
        </is>
      </c>
      <c r="CM49" s="97" t="n"/>
      <c r="CN49" s="96" t="inlineStr">
        <is>
          <t>202610021700</t>
        </is>
      </c>
      <c r="CO49" s="96" t="inlineStr">
        <is>
          <t>202610051200</t>
        </is>
      </c>
      <c r="CP49" s="97" t="n"/>
      <c r="CQ49" s="96" t="inlineStr">
        <is>
          <t>SDS2026GMT</t>
        </is>
      </c>
      <c r="CR49" s="96" t="inlineStr">
        <is>
          <t>THTIER</t>
        </is>
      </c>
      <c r="CS49" s="96" t="inlineStr">
        <is>
          <t>SDS-ACUTECH CO., LTD.</t>
        </is>
      </c>
      <c r="CT49" s="96" t="inlineStr">
        <is>
          <t>N</t>
        </is>
      </c>
      <c r="CU49" s="97" t="n"/>
      <c r="CV49" s="97" t="n"/>
      <c r="CW49" s="161" t="inlineStr">
        <is>
          <t>2026-10-04</t>
        </is>
      </c>
      <c r="CX49" s="97" t="inlineStr">
        <is>
          <t>853400</t>
        </is>
      </c>
      <c r="CY49" s="183" t="n"/>
    </row>
    <row r="50" ht="12" customHeight="1">
      <c r="A50" s="116" t="inlineStr">
        <is>
          <t>HASLS22260900586</t>
        </is>
      </c>
      <c r="B50" s="96" t="inlineStr">
        <is>
          <t>40Hx10</t>
        </is>
      </c>
      <c r="C50" s="97" t="n">
        <v>10</v>
      </c>
      <c r="D50" s="97" t="n">
        <v>10</v>
      </c>
      <c r="E50" s="97" t="n"/>
      <c r="F50" s="97" t="n">
        <v>0</v>
      </c>
      <c r="G50" s="97" t="n">
        <v>0</v>
      </c>
      <c r="H50" s="97" t="n">
        <v>0</v>
      </c>
      <c r="I50" s="97" t="n">
        <v>10</v>
      </c>
      <c r="J50" s="97" t="n">
        <v>20</v>
      </c>
      <c r="K50" s="96" t="inlineStr">
        <is>
          <t>N</t>
        </is>
      </c>
      <c r="L50" s="96" t="inlineStr">
        <is>
          <t>BTS</t>
        </is>
      </c>
      <c r="M50" s="96" t="inlineStr">
        <is>
          <t>SWSP</t>
        </is>
      </c>
      <c r="N50" s="96" t="inlineStr">
        <is>
          <t>2609N</t>
        </is>
      </c>
      <c r="O50" s="96" t="inlineStr">
        <is>
          <t>THBKK</t>
        </is>
      </c>
      <c r="P50" s="96" t="inlineStr">
        <is>
          <t>BKK04</t>
        </is>
      </c>
      <c r="Q50" s="96" t="inlineStr">
        <is>
          <t>IA</t>
        </is>
      </c>
      <c r="R50" s="161" t="inlineStr">
        <is>
          <t>2026-10-08</t>
        </is>
      </c>
      <c r="S50" s="96" t="inlineStr">
        <is>
          <t>VNSGN</t>
        </is>
      </c>
      <c r="T50" s="96" t="inlineStr">
        <is>
          <t>SGN03</t>
        </is>
      </c>
      <c r="U50" s="96" t="inlineStr">
        <is>
          <t>VNSGN</t>
        </is>
      </c>
      <c r="V50" s="161" t="inlineStr">
        <is>
          <t>2026-10-11</t>
        </is>
      </c>
      <c r="W50" s="96" t="inlineStr">
        <is>
          <t>IA</t>
        </is>
      </c>
      <c r="X50" s="97" t="n"/>
      <c r="Y50" s="97" t="n"/>
      <c r="Z50" s="97" t="n"/>
      <c r="AA50" s="96" t="inlineStr">
        <is>
          <t>BIRLA CARBON (THAILAND) PUBLIC COMPANY LIMITED</t>
        </is>
      </c>
      <c r="AB50" s="96" t="inlineStr">
        <is>
          <t>BIRLA CARBON (THAILAND) PUBLIC COMPANY LIMITED</t>
        </is>
      </c>
      <c r="AC50" s="163" t="n">
        <v>223080</v>
      </c>
      <c r="AD50" s="163" t="n">
        <v>263080</v>
      </c>
      <c r="AE50" s="96" t="inlineStr">
        <is>
          <t>OK</t>
        </is>
      </c>
      <c r="AF50" s="96" t="n"/>
      <c r="AG50" s="97" t="n"/>
      <c r="AH50" s="96" t="inlineStr">
        <is>
          <t>CHK</t>
        </is>
      </c>
      <c r="AI50" s="97" t="inlineStr">
        <is>
          <t>OK</t>
        </is>
      </c>
      <c r="AJ50" s="97" t="n"/>
      <c r="AK50" s="97" t="n"/>
      <c r="AL50" s="97" t="n"/>
      <c r="AM50" s="96" t="inlineStr">
        <is>
          <t>TBKK13</t>
        </is>
      </c>
      <c r="AN50" s="96" t="inlineStr">
        <is>
          <t>Dharaporn</t>
        </is>
      </c>
      <c r="AO50" s="96" t="inlineStr">
        <is>
          <t>CARBON BLACK</t>
        </is>
      </c>
      <c r="AP50" s="96" t="inlineStr">
        <is>
          <t>Normal</t>
        </is>
      </c>
      <c r="AQ50" s="97" t="n"/>
      <c r="AR50" s="97" t="n"/>
      <c r="AS50" s="97" t="n"/>
      <c r="AT50" s="97" t="n"/>
      <c r="AU50" s="97" t="n"/>
      <c r="AV50" s="97" t="n"/>
      <c r="AW50" s="97" t="n">
        <v>0</v>
      </c>
      <c r="AX50" s="96" t="inlineStr">
        <is>
          <t>N</t>
        </is>
      </c>
      <c r="AY50" s="97" t="n"/>
      <c r="AZ50" s="96" t="inlineStr">
        <is>
          <t>Pickup : 2026-10-01, Return : 2026-10-02 (1ST RTN DD: 03/10/26 WO/RENT)</t>
        </is>
      </c>
      <c r="BA50" s="97" t="n"/>
      <c r="BB50" s="96" t="inlineStr">
        <is>
          <t>P</t>
        </is>
      </c>
      <c r="BC50" s="161" t="inlineStr">
        <is>
          <t>2026-09-07</t>
        </is>
      </c>
      <c r="BD50" s="161" t="inlineStr">
        <is>
          <t>2026-10-05</t>
        </is>
      </c>
      <c r="BE50" s="96" t="inlineStr">
        <is>
          <t>Y</t>
        </is>
      </c>
      <c r="BF50" s="96" t="inlineStr">
        <is>
          <t>CABON BLACK</t>
        </is>
      </c>
      <c r="BG50" s="96" t="inlineStr">
        <is>
          <t>Line</t>
        </is>
      </c>
      <c r="BH50" s="96" t="inlineStr">
        <is>
          <t>S22</t>
        </is>
      </c>
      <c r="BI50" s="97" t="n"/>
      <c r="BJ50" s="97" t="n"/>
      <c r="BK50" s="96" t="inlineStr">
        <is>
          <t>BKK27</t>
        </is>
      </c>
      <c r="BL50" s="161" t="inlineStr">
        <is>
          <t>2026-10-01</t>
        </is>
      </c>
      <c r="BM50" s="127" t="n"/>
      <c r="BN50" s="127" t="n"/>
      <c r="BO50" s="127" t="n"/>
      <c r="BP50" s="127" t="n">
        <v>10</v>
      </c>
      <c r="BQ50" s="127" t="n"/>
      <c r="BR50" s="127" t="n"/>
      <c r="BS50" s="127" t="n"/>
      <c r="BT50" s="127" t="n"/>
      <c r="BU50" s="127" t="n"/>
      <c r="BV50" s="127" t="n"/>
      <c r="BW50" s="127" t="n"/>
      <c r="BX50" s="127" t="n"/>
      <c r="BY50" s="96" t="inlineStr">
        <is>
          <t>FULL</t>
        </is>
      </c>
      <c r="BZ50" s="97" t="n"/>
      <c r="CA50" s="96" t="inlineStr">
        <is>
          <t>Y</t>
        </is>
      </c>
      <c r="CB50" s="97" t="n"/>
      <c r="CC50" s="96" t="inlineStr">
        <is>
          <t>BKK04</t>
        </is>
      </c>
      <c r="CD50" s="97" t="n"/>
      <c r="CE50" s="97" t="n"/>
      <c r="CF50" s="96" t="inlineStr">
        <is>
          <t>0 Teu</t>
        </is>
      </c>
      <c r="CG50" s="96" t="inlineStr">
        <is>
          <t>CY/CY</t>
        </is>
      </c>
      <c r="CH50" s="97" t="n"/>
      <c r="CI50" s="96" t="inlineStr">
        <is>
          <t>siriphan.hom@adityabirla.com</t>
        </is>
      </c>
      <c r="CJ50" s="96" t="inlineStr">
        <is>
          <t>BIRLA CARBON (THAILAND) PUBLIC</t>
        </is>
      </c>
      <c r="CK50" s="96" t="inlineStr">
        <is>
          <t>JINYU (VIETNAM) TIRE CO.,LTD</t>
        </is>
      </c>
      <c r="CL50" s="96" t="inlineStr">
        <is>
          <t>JINYU (VIETNAM) TIRE CO.,LTD</t>
        </is>
      </c>
      <c r="CM50" s="97" t="n"/>
      <c r="CN50" s="96" t="inlineStr">
        <is>
          <t>202610021700</t>
        </is>
      </c>
      <c r="CO50" s="96" t="inlineStr">
        <is>
          <t>202610051200</t>
        </is>
      </c>
      <c r="CP50" s="97" t="n"/>
      <c r="CQ50" s="96" t="inlineStr">
        <is>
          <t>S22-2508024</t>
        </is>
      </c>
      <c r="CR50" s="96" t="inlineStr">
        <is>
          <t>THTKYV</t>
        </is>
      </c>
      <c r="CS50" s="96" t="inlineStr">
        <is>
          <t>BIRLA CARBON (THAILAND) PUBLIC COMPANY LIMITED</t>
        </is>
      </c>
      <c r="CT50" s="96" t="inlineStr">
        <is>
          <t>N</t>
        </is>
      </c>
      <c r="CU50" s="97" t="n"/>
      <c r="CV50" s="97" t="n"/>
      <c r="CW50" s="161" t="inlineStr">
        <is>
          <t>2026-10-07</t>
        </is>
      </c>
      <c r="CX50" s="97" t="inlineStr">
        <is>
          <t>280300</t>
        </is>
      </c>
      <c r="CY50" s="183" t="n"/>
    </row>
    <row r="51" ht="12" customHeight="1">
      <c r="A51" s="116" t="inlineStr">
        <is>
          <t>HASLS22260901690</t>
        </is>
      </c>
      <c r="B51" s="96" t="inlineStr">
        <is>
          <t>40Hx2</t>
        </is>
      </c>
      <c r="C51" s="97" t="n">
        <v>2</v>
      </c>
      <c r="D51" s="97" t="n">
        <v>2</v>
      </c>
      <c r="E51" s="97" t="n"/>
      <c r="F51" s="97" t="n">
        <v>0</v>
      </c>
      <c r="G51" s="97" t="n">
        <v>0</v>
      </c>
      <c r="H51" s="97" t="n">
        <v>0</v>
      </c>
      <c r="I51" s="97" t="n">
        <v>2</v>
      </c>
      <c r="J51" s="97" t="n">
        <v>4</v>
      </c>
      <c r="K51" s="96" t="inlineStr">
        <is>
          <t>N</t>
        </is>
      </c>
      <c r="L51" s="96" t="inlineStr">
        <is>
          <t>BTS</t>
        </is>
      </c>
      <c r="M51" s="96" t="inlineStr">
        <is>
          <t>SWSP</t>
        </is>
      </c>
      <c r="N51" s="96" t="inlineStr">
        <is>
          <t>2609N</t>
        </is>
      </c>
      <c r="O51" s="96" t="inlineStr">
        <is>
          <t>THBKK</t>
        </is>
      </c>
      <c r="P51" s="96" t="inlineStr">
        <is>
          <t>BKK04</t>
        </is>
      </c>
      <c r="Q51" s="96" t="inlineStr">
        <is>
          <t>IA</t>
        </is>
      </c>
      <c r="R51" s="161" t="inlineStr">
        <is>
          <t>2026-10-08</t>
        </is>
      </c>
      <c r="S51" s="96" t="inlineStr">
        <is>
          <t>VNSGN</t>
        </is>
      </c>
      <c r="T51" s="96" t="inlineStr">
        <is>
          <t>SGN03</t>
        </is>
      </c>
      <c r="U51" s="96" t="inlineStr">
        <is>
          <t>VNSGN</t>
        </is>
      </c>
      <c r="V51" s="161" t="inlineStr">
        <is>
          <t>2026-10-11</t>
        </is>
      </c>
      <c r="W51" s="96" t="inlineStr">
        <is>
          <t>IA</t>
        </is>
      </c>
      <c r="X51" s="97" t="n"/>
      <c r="Y51" s="97" t="n"/>
      <c r="Z51" s="97" t="n"/>
      <c r="AA51" s="96" t="inlineStr">
        <is>
          <t>BEE LOGISTICS (THAILAND) CO., LTD.</t>
        </is>
      </c>
      <c r="AB51" s="96" t="inlineStr">
        <is>
          <t>DANONE SPECIALIZED NUTRITION (THAILAND) CO., LTD.</t>
        </is>
      </c>
      <c r="AC51" s="163" t="n">
        <v>37372.5</v>
      </c>
      <c r="AD51" s="163" t="n">
        <v>45372.5</v>
      </c>
      <c r="AE51" s="96" t="inlineStr">
        <is>
          <t>OK</t>
        </is>
      </c>
      <c r="AF51" s="96" t="inlineStr">
        <is>
          <t>SR</t>
        </is>
      </c>
      <c r="AG51" s="97" t="n"/>
      <c r="AH51" s="96" t="inlineStr">
        <is>
          <t>CHK</t>
        </is>
      </c>
      <c r="AI51" s="97" t="inlineStr">
        <is>
          <t>OK</t>
        </is>
      </c>
      <c r="AJ51" s="97" t="n"/>
      <c r="AK51" s="97" t="n"/>
      <c r="AL51" s="97" t="n"/>
      <c r="AM51" s="96" t="inlineStr">
        <is>
          <t>TBKK28</t>
        </is>
      </c>
      <c r="AN51" s="96" t="inlineStr">
        <is>
          <t>Nustsireerach</t>
        </is>
      </c>
      <c r="AO51" s="96" t="inlineStr">
        <is>
          <t>APTAMIL</t>
        </is>
      </c>
      <c r="AP51" s="96" t="inlineStr">
        <is>
          <t>Normal</t>
        </is>
      </c>
      <c r="AQ51" s="97" t="n"/>
      <c r="AR51" s="97" t="n"/>
      <c r="AS51" s="97" t="n"/>
      <c r="AT51" s="97" t="n"/>
      <c r="AU51" s="97" t="n"/>
      <c r="AV51" s="97" t="n"/>
      <c r="AW51" s="97" t="n">
        <v>0</v>
      </c>
      <c r="AX51" s="96" t="inlineStr">
        <is>
          <t>N</t>
        </is>
      </c>
      <c r="AY51" s="97" t="n"/>
      <c r="AZ51" s="96" t="inlineStr">
        <is>
          <t>Pickup : 2026-10-01, Return : 2026-10-03</t>
        </is>
      </c>
      <c r="BA51" s="97" t="n"/>
      <c r="BB51" s="96" t="inlineStr">
        <is>
          <t>P</t>
        </is>
      </c>
      <c r="BC51" s="161" t="inlineStr">
        <is>
          <t>2026-09-18</t>
        </is>
      </c>
      <c r="BD51" s="161" t="inlineStr">
        <is>
          <t>2026-10-06</t>
        </is>
      </c>
      <c r="BE51" s="96" t="inlineStr">
        <is>
          <t>Y</t>
        </is>
      </c>
      <c r="BF51" s="96" t="inlineStr">
        <is>
          <t>APTAMIL KID UHT</t>
        </is>
      </c>
      <c r="BG51" s="96" t="inlineStr">
        <is>
          <t>Line</t>
        </is>
      </c>
      <c r="BH51" s="96" t="inlineStr">
        <is>
          <t>S22</t>
        </is>
      </c>
      <c r="BI51" s="97" t="n"/>
      <c r="BJ51" s="97" t="n"/>
      <c r="BK51" s="96" t="inlineStr">
        <is>
          <t>BKK27</t>
        </is>
      </c>
      <c r="BL51" s="161" t="inlineStr">
        <is>
          <t>2026-10-01</t>
        </is>
      </c>
      <c r="BM51" s="127" t="n"/>
      <c r="BN51" s="127" t="n"/>
      <c r="BO51" s="127" t="n"/>
      <c r="BP51" s="127" t="n">
        <v>2</v>
      </c>
      <c r="BQ51" s="127" t="n"/>
      <c r="BR51" s="127" t="n"/>
      <c r="BS51" s="127" t="n"/>
      <c r="BT51" s="127" t="n"/>
      <c r="BU51" s="127" t="n"/>
      <c r="BV51" s="127" t="n"/>
      <c r="BW51" s="127" t="n"/>
      <c r="BX51" s="127" t="n"/>
      <c r="BY51" s="96" t="inlineStr">
        <is>
          <t>FULL</t>
        </is>
      </c>
      <c r="BZ51" s="97" t="n"/>
      <c r="CA51" s="96" t="inlineStr">
        <is>
          <t>Y</t>
        </is>
      </c>
      <c r="CB51" s="97" t="n"/>
      <c r="CC51" s="96" t="inlineStr">
        <is>
          <t>BKK04</t>
        </is>
      </c>
      <c r="CD51" s="97" t="n"/>
      <c r="CE51" s="97" t="n"/>
      <c r="CF51" s="96" t="inlineStr">
        <is>
          <t>0 Teu</t>
        </is>
      </c>
      <c r="CG51" s="96" t="inlineStr">
        <is>
          <t>CY/CY</t>
        </is>
      </c>
      <c r="CH51" s="97" t="n"/>
      <c r="CI51" s="96" t="inlineStr">
        <is>
          <t>exp3.th@beelogistics.com;csexp.th@beelogistics.com</t>
        </is>
      </c>
      <c r="CJ51" s="96" t="inlineStr">
        <is>
          <t>BEE LOGISTICS (THAILAND) CO., LTD.</t>
        </is>
      </c>
      <c r="CK51" s="96" t="inlineStr">
        <is>
          <t>BOND GLOBAL LOGISTICS JOINT STOCK</t>
        </is>
      </c>
      <c r="CL51" s="96" t="inlineStr">
        <is>
          <t>BOND GLOBAL LOGISTICS JOINT STOCK</t>
        </is>
      </c>
      <c r="CM51" s="97" t="n"/>
      <c r="CN51" s="96" t="inlineStr">
        <is>
          <t>202610021700</t>
        </is>
      </c>
      <c r="CO51" s="96" t="inlineStr">
        <is>
          <t>202610051200</t>
        </is>
      </c>
      <c r="CP51" s="97" t="n"/>
      <c r="CQ51" s="96" t="inlineStr">
        <is>
          <t>S22-2308015</t>
        </is>
      </c>
      <c r="CR51" s="96" t="inlineStr">
        <is>
          <t>THTIK1</t>
        </is>
      </c>
      <c r="CS51" s="96" t="inlineStr">
        <is>
          <t>BEE LOGISTICS (THAILAND) CO., LTD.</t>
        </is>
      </c>
      <c r="CT51" s="96" t="inlineStr">
        <is>
          <t>N</t>
        </is>
      </c>
      <c r="CU51" s="97" t="n"/>
      <c r="CV51" s="97" t="n"/>
      <c r="CW51" s="161" t="inlineStr">
        <is>
          <t>2026-10-04</t>
        </is>
      </c>
      <c r="CX51" s="97" t="inlineStr">
        <is>
          <t>220299</t>
        </is>
      </c>
      <c r="CY51" s="183" t="n"/>
    </row>
    <row r="52" ht="12" customHeight="1">
      <c r="A52" s="116" t="inlineStr">
        <is>
          <t>HASLS22260902578</t>
        </is>
      </c>
      <c r="B52" s="96" t="inlineStr">
        <is>
          <t>40Hx2</t>
        </is>
      </c>
      <c r="C52" s="97" t="n">
        <v>0</v>
      </c>
      <c r="D52" s="97" t="n">
        <v>0</v>
      </c>
      <c r="E52" s="97" t="n"/>
      <c r="F52" s="97" t="n">
        <v>0</v>
      </c>
      <c r="G52" s="97" t="n">
        <v>0</v>
      </c>
      <c r="H52" s="97" t="n">
        <v>0</v>
      </c>
      <c r="I52" s="97" t="n">
        <v>2</v>
      </c>
      <c r="J52" s="97" t="n">
        <v>4</v>
      </c>
      <c r="K52" s="96" t="inlineStr">
        <is>
          <t>SOC</t>
        </is>
      </c>
      <c r="L52" s="96" t="inlineStr">
        <is>
          <t>BTS</t>
        </is>
      </c>
      <c r="M52" s="96" t="inlineStr">
        <is>
          <t>SWSP</t>
        </is>
      </c>
      <c r="N52" s="96" t="inlineStr">
        <is>
          <t>2609N</t>
        </is>
      </c>
      <c r="O52" s="96" t="inlineStr">
        <is>
          <t>THBKK</t>
        </is>
      </c>
      <c r="P52" s="96" t="inlineStr">
        <is>
          <t>BKK04</t>
        </is>
      </c>
      <c r="Q52" s="96" t="inlineStr">
        <is>
          <t>IA</t>
        </is>
      </c>
      <c r="R52" s="161" t="inlineStr">
        <is>
          <t>2026-10-08</t>
        </is>
      </c>
      <c r="S52" s="96" t="inlineStr">
        <is>
          <t>RUVVO</t>
        </is>
      </c>
      <c r="T52" s="96" t="inlineStr">
        <is>
          <t>VVO01</t>
        </is>
      </c>
      <c r="U52" s="96" t="inlineStr">
        <is>
          <t>RUVVO</t>
        </is>
      </c>
      <c r="V52" s="161" t="inlineStr">
        <is>
          <t>2026-10-28</t>
        </is>
      </c>
      <c r="W52" s="96" t="inlineStr">
        <is>
          <t>RU</t>
        </is>
      </c>
      <c r="X52" s="97" t="n"/>
      <c r="Y52" s="97" t="inlineStr">
        <is>
          <t>PUS05</t>
        </is>
      </c>
      <c r="Z52" s="97" t="inlineStr">
        <is>
          <t>KRPUS</t>
        </is>
      </c>
      <c r="AA52" s="96" t="inlineStr">
        <is>
          <t>FREIGHT MARK ASIA (THAILAND) CO. LTD.</t>
        </is>
      </c>
      <c r="AB52" s="96" t="inlineStr">
        <is>
          <t>OTANI RADIAL CO., LTD.</t>
        </is>
      </c>
      <c r="AC52" s="163" t="n">
        <v>29904.42</v>
      </c>
      <c r="AD52" s="163" t="n">
        <v>37904.42</v>
      </c>
      <c r="AE52" s="96" t="inlineStr">
        <is>
          <t>OK</t>
        </is>
      </c>
      <c r="AF52" s="96" t="inlineStr">
        <is>
          <t>SR</t>
        </is>
      </c>
      <c r="AG52" s="97" t="n"/>
      <c r="AH52" s="96" t="inlineStr">
        <is>
          <t>CHK</t>
        </is>
      </c>
      <c r="AI52" s="97" t="inlineStr">
        <is>
          <t>OK</t>
        </is>
      </c>
      <c r="AJ52" s="97" t="n"/>
      <c r="AK52" s="97" t="n"/>
      <c r="AL52" s="97" t="n"/>
      <c r="AM52" s="96" t="inlineStr">
        <is>
          <t>RUVO04</t>
        </is>
      </c>
      <c r="AN52" s="96" t="inlineStr">
        <is>
          <t>Victoria Shitova</t>
        </is>
      </c>
      <c r="AO52" s="96" t="inlineStr">
        <is>
          <t>OTANI BRAND NEW TIRES</t>
        </is>
      </c>
      <c r="AP52" s="96" t="inlineStr">
        <is>
          <t>T/S</t>
        </is>
      </c>
      <c r="AQ52" s="97" t="n"/>
      <c r="AR52" s="97" t="n"/>
      <c r="AS52" s="97" t="n"/>
      <c r="AT52" s="97" t="n"/>
      <c r="AU52" s="97" t="n"/>
      <c r="AV52" s="97" t="n"/>
      <c r="AW52" s="97" t="n">
        <v>0</v>
      </c>
      <c r="AX52" s="96" t="inlineStr">
        <is>
          <t>N</t>
        </is>
      </c>
      <c r="AY52" s="97" t="n"/>
      <c r="AZ52" s="96" t="inlineStr">
        <is>
          <t>SWSP/2609N/10/18[FIX] Pickup : 2026-10-02, Return : 2026-10-03 SOC 
CUSTOMS FORMALITY (SOC) BY HAL = 1,000 baht</t>
        </is>
      </c>
      <c r="BA52" s="97" t="inlineStr">
        <is>
          <t>CUSTOMS FORMALITY (SOC) BY HAL = 1,000 baht
NEW SEAL 2QTYS = THB500Actual Shipper : OTANI RADIAL CO.,LTD.Please arrange formality by HAL.</t>
        </is>
      </c>
      <c r="BB52" s="96" t="inlineStr">
        <is>
          <t>C</t>
        </is>
      </c>
      <c r="BC52" s="161" t="inlineStr">
        <is>
          <t>2026-09-28</t>
        </is>
      </c>
      <c r="BD52" s="161" t="inlineStr">
        <is>
          <t>2026-10-06</t>
        </is>
      </c>
      <c r="BE52" s="96" t="inlineStr">
        <is>
          <t>Y</t>
        </is>
      </c>
      <c r="BF52" s="96" t="inlineStr">
        <is>
          <t>TIRE</t>
        </is>
      </c>
      <c r="BG52" s="96" t="inlineStr">
        <is>
          <t>Line</t>
        </is>
      </c>
      <c r="BH52" s="96" t="inlineStr">
        <is>
          <t>S22</t>
        </is>
      </c>
      <c r="BI52" s="97" t="n"/>
      <c r="BJ52" s="97" t="n"/>
      <c r="BK52" s="96" t="n"/>
      <c r="BL52" s="161" t="inlineStr">
        <is>
          <t>2026-10-02</t>
        </is>
      </c>
      <c r="BM52" s="127" t="n"/>
      <c r="BN52" s="127" t="n"/>
      <c r="BO52" s="127" t="n"/>
      <c r="BP52" s="127" t="n">
        <v>2</v>
      </c>
      <c r="BQ52" s="127" t="n"/>
      <c r="BR52" s="127" t="n"/>
      <c r="BS52" s="127" t="n"/>
      <c r="BT52" s="127" t="n"/>
      <c r="BU52" s="127" t="n"/>
      <c r="BV52" s="127" t="n"/>
      <c r="BW52" s="127" t="n"/>
      <c r="BX52" s="127" t="n"/>
      <c r="BY52" s="96" t="inlineStr">
        <is>
          <t>FULL</t>
        </is>
      </c>
      <c r="BZ52" s="97" t="n">
        <v>7</v>
      </c>
      <c r="CA52" s="96" t="inlineStr">
        <is>
          <t>Y</t>
        </is>
      </c>
      <c r="CB52" s="97" t="n"/>
      <c r="CC52" s="96" t="inlineStr">
        <is>
          <t>BKK04</t>
        </is>
      </c>
      <c r="CD52" s="97" t="n"/>
      <c r="CE52" s="97" t="n"/>
      <c r="CF52" s="96" t="inlineStr">
        <is>
          <t>0 Teu</t>
        </is>
      </c>
      <c r="CG52" s="96" t="inlineStr">
        <is>
          <t>CY/CY</t>
        </is>
      </c>
      <c r="CH52" s="97" t="inlineStr">
        <is>
          <t>POL: THBKK [SWSP/2609N]; T/S(1st): KRPUS [SDTR/2630N]; POD: RUVVO [/]</t>
        </is>
      </c>
      <c r="CI52" s="96" t="inlineStr">
        <is>
          <t>suchanya@freightmarkasia.com</t>
        </is>
      </c>
      <c r="CJ52" s="96" t="inlineStr">
        <is>
          <t>OTANI RADIAL CO., LTD.</t>
        </is>
      </c>
      <c r="CK52" s="96" t="inlineStr">
        <is>
          <t>LLC "STROYAVTOTRADE"</t>
        </is>
      </c>
      <c r="CL52" s="96" t="inlineStr">
        <is>
          <t>LLC "STROYAVTOTRADE"</t>
        </is>
      </c>
      <c r="CM52" s="97" t="n"/>
      <c r="CN52" s="96" t="inlineStr">
        <is>
          <t>202610021700</t>
        </is>
      </c>
      <c r="CO52" s="96" t="inlineStr">
        <is>
          <t>202610051200</t>
        </is>
      </c>
      <c r="CP52" s="97" t="n"/>
      <c r="CQ52" s="96" t="inlineStr">
        <is>
          <t>R01-2309017</t>
        </is>
      </c>
      <c r="CR52" s="96" t="inlineStr">
        <is>
          <t>THTXNK</t>
        </is>
      </c>
      <c r="CS52" s="96" t="inlineStr">
        <is>
          <t>FREIGHT MARK ASIA (THAILAND) CO. LTD.</t>
        </is>
      </c>
      <c r="CT52" s="96" t="inlineStr">
        <is>
          <t>N</t>
        </is>
      </c>
      <c r="CU52" s="97" t="n"/>
      <c r="CV52" s="97" t="n"/>
      <c r="CW52" s="161" t="inlineStr">
        <is>
          <t>2026-10-07</t>
        </is>
      </c>
      <c r="CX52" s="97" t="inlineStr">
        <is>
          <t>401120</t>
        </is>
      </c>
      <c r="CY52" s="183" t="n"/>
    </row>
    <row r="53" ht="12" customHeight="1">
      <c r="A53" s="116" t="inlineStr">
        <is>
          <t>HASLS22260900734</t>
        </is>
      </c>
      <c r="B53" s="96" t="inlineStr">
        <is>
          <t>40Hx2</t>
        </is>
      </c>
      <c r="C53" s="97" t="n">
        <v>2</v>
      </c>
      <c r="D53" s="97" t="n">
        <v>2</v>
      </c>
      <c r="E53" s="97" t="n"/>
      <c r="F53" s="97" t="n">
        <v>0</v>
      </c>
      <c r="G53" s="97" t="n">
        <v>0</v>
      </c>
      <c r="H53" s="97" t="n">
        <v>0</v>
      </c>
      <c r="I53" s="97" t="n">
        <v>2</v>
      </c>
      <c r="J53" s="97" t="n">
        <v>4</v>
      </c>
      <c r="K53" s="96" t="inlineStr">
        <is>
          <t>N</t>
        </is>
      </c>
      <c r="L53" s="96" t="inlineStr">
        <is>
          <t>BTS</t>
        </is>
      </c>
      <c r="M53" s="96" t="inlineStr">
        <is>
          <t>SWSP</t>
        </is>
      </c>
      <c r="N53" s="96" t="inlineStr">
        <is>
          <t>2609N</t>
        </is>
      </c>
      <c r="O53" s="96" t="inlineStr">
        <is>
          <t>THBKK</t>
        </is>
      </c>
      <c r="P53" s="96" t="inlineStr">
        <is>
          <t>BKK04</t>
        </is>
      </c>
      <c r="Q53" s="96" t="inlineStr">
        <is>
          <t>IA</t>
        </is>
      </c>
      <c r="R53" s="161" t="inlineStr">
        <is>
          <t>2026-10-08</t>
        </is>
      </c>
      <c r="S53" s="96" t="inlineStr">
        <is>
          <t>VNSGN</t>
        </is>
      </c>
      <c r="T53" s="96" t="inlineStr">
        <is>
          <t>SGN03</t>
        </is>
      </c>
      <c r="U53" s="96" t="inlineStr">
        <is>
          <t>VNSGN</t>
        </is>
      </c>
      <c r="V53" s="161" t="inlineStr">
        <is>
          <t>2026-10-11</t>
        </is>
      </c>
      <c r="W53" s="96" t="inlineStr">
        <is>
          <t>IA</t>
        </is>
      </c>
      <c r="X53" s="97" t="n"/>
      <c r="Y53" s="97" t="n"/>
      <c r="Z53" s="97" t="n"/>
      <c r="AA53" s="96" t="inlineStr">
        <is>
          <t>LOGMAN INTERNATIONAL CO., LTD.</t>
        </is>
      </c>
      <c r="AB53" s="96" t="inlineStr">
        <is>
          <t>OTANI RADIAL CO., LTD.</t>
        </is>
      </c>
      <c r="AC53" s="163" t="n">
        <v>33919.58</v>
      </c>
      <c r="AD53" s="163" t="n">
        <v>41919.58</v>
      </c>
      <c r="AE53" s="96" t="inlineStr">
        <is>
          <t>OK</t>
        </is>
      </c>
      <c r="AF53" s="96" t="inlineStr">
        <is>
          <t>SR</t>
        </is>
      </c>
      <c r="AG53" s="97" t="n"/>
      <c r="AH53" s="96" t="inlineStr">
        <is>
          <t>CON</t>
        </is>
      </c>
      <c r="AI53" s="97" t="n"/>
      <c r="AJ53" s="97" t="n"/>
      <c r="AK53" s="97" t="n"/>
      <c r="AL53" s="97" t="n"/>
      <c r="AM53" s="96" t="inlineStr">
        <is>
          <t>VSGN33</t>
        </is>
      </c>
      <c r="AN53" s="96" t="inlineStr">
        <is>
          <t>Nguyen Van Nam</t>
        </is>
      </c>
      <c r="AO53" s="96" t="inlineStr">
        <is>
          <t>NEW TIRE</t>
        </is>
      </c>
      <c r="AP53" s="96" t="inlineStr">
        <is>
          <t>Normal</t>
        </is>
      </c>
      <c r="AQ53" s="97" t="n"/>
      <c r="AR53" s="97" t="n"/>
      <c r="AS53" s="97" t="n"/>
      <c r="AT53" s="97" t="n"/>
      <c r="AU53" s="97" t="n"/>
      <c r="AV53" s="97" t="n"/>
      <c r="AW53" s="97" t="n">
        <v>0</v>
      </c>
      <c r="AX53" s="96" t="inlineStr">
        <is>
          <t>N</t>
        </is>
      </c>
      <c r="AY53" s="97" t="n"/>
      <c r="AZ53" s="96" t="inlineStr">
        <is>
          <t>Pickup : 2026-09-30, Return : 2026-10-01</t>
        </is>
      </c>
      <c r="BA53" s="97" t="inlineStr">
        <is>
          <t>FM SHPR LOGMAN INTERNATIONAL CO., LTD. DD 25/09 
FM 3X40'HQ DD 25/09 ACTUAL SHIPPER : OTANI RADIALCY-RTN : 30/9-1/10 AT BKK AREAREQUEST GOOD AND CLEAN CONTAINER</t>
        </is>
      </c>
      <c r="BB53" s="96" t="inlineStr">
        <is>
          <t>C</t>
        </is>
      </c>
      <c r="BC53" s="161" t="inlineStr">
        <is>
          <t>2026-09-09</t>
        </is>
      </c>
      <c r="BD53" s="161" t="inlineStr">
        <is>
          <t>2026-10-05</t>
        </is>
      </c>
      <c r="BE53" s="96" t="inlineStr">
        <is>
          <t>Y</t>
        </is>
      </c>
      <c r="BF53" s="96" t="inlineStr">
        <is>
          <t>NEW TIRE</t>
        </is>
      </c>
      <c r="BG53" s="96" t="inlineStr">
        <is>
          <t>Line</t>
        </is>
      </c>
      <c r="BH53" s="96" t="inlineStr">
        <is>
          <t>S22</t>
        </is>
      </c>
      <c r="BI53" s="97" t="n"/>
      <c r="BJ53" s="97" t="n"/>
      <c r="BK53" s="96" t="inlineStr">
        <is>
          <t>BKK25</t>
        </is>
      </c>
      <c r="BL53" s="161" t="inlineStr">
        <is>
          <t>2026-09-30</t>
        </is>
      </c>
      <c r="BM53" s="127" t="n"/>
      <c r="BN53" s="127" t="n"/>
      <c r="BO53" s="127" t="n"/>
      <c r="BP53" s="127" t="n">
        <v>2</v>
      </c>
      <c r="BQ53" s="127" t="n"/>
      <c r="BR53" s="127" t="n"/>
      <c r="BS53" s="127" t="n"/>
      <c r="BT53" s="127" t="n"/>
      <c r="BU53" s="127" t="n"/>
      <c r="BV53" s="127" t="n"/>
      <c r="BW53" s="127" t="n"/>
      <c r="BX53" s="127" t="n"/>
      <c r="BY53" s="96" t="inlineStr">
        <is>
          <t>FULL</t>
        </is>
      </c>
      <c r="BZ53" s="97" t="n"/>
      <c r="CA53" s="96" t="inlineStr">
        <is>
          <t>Y</t>
        </is>
      </c>
      <c r="CB53" s="97" t="n"/>
      <c r="CC53" s="96" t="inlineStr">
        <is>
          <t>BKK04</t>
        </is>
      </c>
      <c r="CD53" s="97" t="n"/>
      <c r="CE53" s="97" t="n"/>
      <c r="CF53" s="96" t="inlineStr">
        <is>
          <t>0 Teu</t>
        </is>
      </c>
      <c r="CG53" s="96" t="inlineStr">
        <is>
          <t>CY/CY</t>
        </is>
      </c>
      <c r="CH53" s="97" t="n"/>
      <c r="CI53" s="96" t="inlineStr">
        <is>
          <t>cs.dry@logman.co.th</t>
        </is>
      </c>
      <c r="CJ53" s="96" t="inlineStr">
        <is>
          <t>LOGMAN INTERNATIONAL CO.,LTD.</t>
        </is>
      </c>
      <c r="CK53" s="96" t="inlineStr">
        <is>
          <t>CARGOES LINKS TRANSPORTATION CO LTD</t>
        </is>
      </c>
      <c r="CL53" s="96" t="inlineStr">
        <is>
          <t>CARGOES LINKS TRANSPORTATION CO LTD</t>
        </is>
      </c>
      <c r="CM53" s="97" t="n"/>
      <c r="CN53" s="96" t="inlineStr">
        <is>
          <t>202610021700</t>
        </is>
      </c>
      <c r="CO53" s="96" t="inlineStr">
        <is>
          <t>202610051200</t>
        </is>
      </c>
      <c r="CP53" s="97" t="n"/>
      <c r="CQ53" s="96" t="inlineStr">
        <is>
          <t>S21-2301115</t>
        </is>
      </c>
      <c r="CR53" s="96" t="inlineStr">
        <is>
          <t>TH00XJ</t>
        </is>
      </c>
      <c r="CS53" s="96" t="inlineStr">
        <is>
          <t>LOGMAN INTERNATIONAL CO., LTD.</t>
        </is>
      </c>
      <c r="CT53" s="96" t="inlineStr">
        <is>
          <t>N</t>
        </is>
      </c>
      <c r="CU53" s="97" t="n"/>
      <c r="CV53" s="97" t="n"/>
      <c r="CW53" s="161" t="inlineStr">
        <is>
          <t>2026-10-05</t>
        </is>
      </c>
      <c r="CX53" s="97" t="inlineStr">
        <is>
          <t>401120</t>
        </is>
      </c>
      <c r="CY53" s="183" t="n"/>
    </row>
    <row r="54" ht="12" customHeight="1">
      <c r="A54" s="116" t="inlineStr">
        <is>
          <t>HASLS22260901811</t>
        </is>
      </c>
      <c r="B54" s="96" t="inlineStr">
        <is>
          <t>40Hx2</t>
        </is>
      </c>
      <c r="C54" s="97" t="n">
        <v>2</v>
      </c>
      <c r="D54" s="97" t="n">
        <v>2</v>
      </c>
      <c r="E54" s="97" t="n"/>
      <c r="F54" s="97" t="n">
        <v>0</v>
      </c>
      <c r="G54" s="97" t="n">
        <v>0</v>
      </c>
      <c r="H54" s="97" t="n">
        <v>0</v>
      </c>
      <c r="I54" s="97" t="n">
        <v>2</v>
      </c>
      <c r="J54" s="97" t="n">
        <v>4</v>
      </c>
      <c r="K54" s="96" t="inlineStr">
        <is>
          <t>N</t>
        </is>
      </c>
      <c r="L54" s="96" t="inlineStr">
        <is>
          <t>BTS</t>
        </is>
      </c>
      <c r="M54" s="96" t="inlineStr">
        <is>
          <t>SWSP</t>
        </is>
      </c>
      <c r="N54" s="96" t="inlineStr">
        <is>
          <t>2609N</t>
        </is>
      </c>
      <c r="O54" s="96" t="inlineStr">
        <is>
          <t>THBKK</t>
        </is>
      </c>
      <c r="P54" s="96" t="inlineStr">
        <is>
          <t>BKK04</t>
        </is>
      </c>
      <c r="Q54" s="96" t="inlineStr">
        <is>
          <t>IA</t>
        </is>
      </c>
      <c r="R54" s="161" t="inlineStr">
        <is>
          <t>2026-10-08</t>
        </is>
      </c>
      <c r="S54" s="96" t="inlineStr">
        <is>
          <t>VNSGN</t>
        </is>
      </c>
      <c r="T54" s="96" t="inlineStr">
        <is>
          <t>SGN03</t>
        </is>
      </c>
      <c r="U54" s="96" t="inlineStr">
        <is>
          <t>VNSGN</t>
        </is>
      </c>
      <c r="V54" s="161" t="inlineStr">
        <is>
          <t>2026-10-11</t>
        </is>
      </c>
      <c r="W54" s="96" t="inlineStr">
        <is>
          <t>IA</t>
        </is>
      </c>
      <c r="X54" s="97" t="n"/>
      <c r="Y54" s="97" t="n"/>
      <c r="Z54" s="97" t="n"/>
      <c r="AA54" s="96" t="inlineStr">
        <is>
          <t>BRIO LOGISTICS (THAILAND) CO., LTD.</t>
        </is>
      </c>
      <c r="AB54" s="96" t="inlineStr">
        <is>
          <t>GRIFFITH FOODS LTD.</t>
        </is>
      </c>
      <c r="AC54" s="163" t="n">
        <v>27060.5</v>
      </c>
      <c r="AD54" s="163" t="n">
        <v>35060.5</v>
      </c>
      <c r="AE54" s="96" t="inlineStr">
        <is>
          <t>OK</t>
        </is>
      </c>
      <c r="AF54" s="96" t="inlineStr">
        <is>
          <t>SR</t>
        </is>
      </c>
      <c r="AG54" s="97" t="n"/>
      <c r="AH54" s="96" t="inlineStr">
        <is>
          <t>CHK</t>
        </is>
      </c>
      <c r="AI54" s="97" t="inlineStr">
        <is>
          <t>OK</t>
        </is>
      </c>
      <c r="AJ54" s="97" t="n"/>
      <c r="AK54" s="97" t="n"/>
      <c r="AL54" s="97" t="n"/>
      <c r="AM54" s="96" t="inlineStr">
        <is>
          <t>VSGN65</t>
        </is>
      </c>
      <c r="AN54" s="96" t="inlineStr">
        <is>
          <t>Giang Chi Tuong</t>
        </is>
      </c>
      <c r="AO54" s="96" t="inlineStr">
        <is>
          <t>SEASONING</t>
        </is>
      </c>
      <c r="AP54" s="96" t="inlineStr">
        <is>
          <t>Normal</t>
        </is>
      </c>
      <c r="AQ54" s="97" t="n"/>
      <c r="AR54" s="97" t="n"/>
      <c r="AS54" s="97" t="n"/>
      <c r="AT54" s="97" t="n"/>
      <c r="AU54" s="97" t="n"/>
      <c r="AV54" s="97" t="n"/>
      <c r="AW54" s="97" t="n">
        <v>0</v>
      </c>
      <c r="AX54" s="96" t="inlineStr">
        <is>
          <t>N</t>
        </is>
      </c>
      <c r="AY54" s="97" t="n"/>
      <c r="AZ54" s="96" t="inlineStr">
        <is>
          <t>Pickup : 2026-10-02, Return : 2026-10-02</t>
        </is>
      </c>
      <c r="BA54" s="97" t="inlineStr">
        <is>
          <t>NEED FOOD GRADE / ODORLESS / CLEANED CONTAINERS.</t>
        </is>
      </c>
      <c r="BB54" s="96" t="inlineStr">
        <is>
          <t>C</t>
        </is>
      </c>
      <c r="BC54" s="161" t="inlineStr">
        <is>
          <t>2026-09-21</t>
        </is>
      </c>
      <c r="BD54" s="161" t="inlineStr">
        <is>
          <t>2026-10-02</t>
        </is>
      </c>
      <c r="BE54" s="96" t="inlineStr">
        <is>
          <t>Y</t>
        </is>
      </c>
      <c r="BF54" s="96" t="inlineStr">
        <is>
          <t>SAUCES (HS CODE : 2103.90)</t>
        </is>
      </c>
      <c r="BG54" s="96" t="inlineStr">
        <is>
          <t>Line</t>
        </is>
      </c>
      <c r="BH54" s="96" t="inlineStr">
        <is>
          <t>S22</t>
        </is>
      </c>
      <c r="BI54" s="97" t="n"/>
      <c r="BJ54" s="97" t="n"/>
      <c r="BK54" s="96" t="inlineStr">
        <is>
          <t>BKK27</t>
        </is>
      </c>
      <c r="BL54" s="161" t="inlineStr">
        <is>
          <t>2026-10-02</t>
        </is>
      </c>
      <c r="BM54" s="127" t="n"/>
      <c r="BN54" s="127" t="n"/>
      <c r="BO54" s="127" t="n"/>
      <c r="BP54" s="127" t="n">
        <v>2</v>
      </c>
      <c r="BQ54" s="127" t="n"/>
      <c r="BR54" s="127" t="n"/>
      <c r="BS54" s="127" t="n"/>
      <c r="BT54" s="127" t="n"/>
      <c r="BU54" s="127" t="n"/>
      <c r="BV54" s="127" t="n"/>
      <c r="BW54" s="127" t="n"/>
      <c r="BX54" s="127" t="n"/>
      <c r="BY54" s="96" t="inlineStr">
        <is>
          <t>FULL</t>
        </is>
      </c>
      <c r="BZ54" s="97" t="n"/>
      <c r="CA54" s="96" t="inlineStr">
        <is>
          <t>Y</t>
        </is>
      </c>
      <c r="CB54" s="97" t="n"/>
      <c r="CC54" s="96" t="inlineStr">
        <is>
          <t>BKK04</t>
        </is>
      </c>
      <c r="CD54" s="97" t="n"/>
      <c r="CE54" s="97" t="n"/>
      <c r="CF54" s="96" t="inlineStr">
        <is>
          <t>0 Teu</t>
        </is>
      </c>
      <c r="CG54" s="96" t="inlineStr">
        <is>
          <t>CY/CY</t>
        </is>
      </c>
      <c r="CH54" s="97" t="n"/>
      <c r="CI54" s="96" t="inlineStr">
        <is>
          <t>joy@briologistics.com</t>
        </is>
      </c>
      <c r="CJ54" s="96" t="inlineStr">
        <is>
          <t>BRIO LOGISTICS (THAILAND) CO.,LTD.</t>
        </is>
      </c>
      <c r="CK54" s="96" t="inlineStr">
        <is>
          <t>PROSPEROUS CARGO TRANSPORTATION</t>
        </is>
      </c>
      <c r="CL54" s="96" t="inlineStr">
        <is>
          <t>PROSPEROUS CARGO TRANSPORTATION</t>
        </is>
      </c>
      <c r="CM54" s="97" t="n"/>
      <c r="CN54" s="96" t="inlineStr">
        <is>
          <t>202610021700</t>
        </is>
      </c>
      <c r="CO54" s="96" t="inlineStr">
        <is>
          <t>202610051200</t>
        </is>
      </c>
      <c r="CP54" s="97" t="n"/>
      <c r="CQ54" s="96" t="inlineStr">
        <is>
          <t>S21-2308116</t>
        </is>
      </c>
      <c r="CR54" s="96" t="inlineStr">
        <is>
          <t>TH03WH</t>
        </is>
      </c>
      <c r="CS54" s="96" t="inlineStr">
        <is>
          <t>BRIO LOGISTICS (THAILAND) CO., LTD.</t>
        </is>
      </c>
      <c r="CT54" s="96" t="inlineStr">
        <is>
          <t>N</t>
        </is>
      </c>
      <c r="CU54" s="97" t="n"/>
      <c r="CV54" s="97" t="n"/>
      <c r="CW54" s="161" t="inlineStr">
        <is>
          <t>2026-10-05</t>
        </is>
      </c>
      <c r="CX54" s="97" t="inlineStr">
        <is>
          <t>210390</t>
        </is>
      </c>
      <c r="CY54" s="183" t="n"/>
    </row>
    <row r="55" ht="12" customHeight="1">
      <c r="A55" s="116" t="inlineStr">
        <is>
          <t>HASLS22260900834</t>
        </is>
      </c>
      <c r="B55" s="96" t="inlineStr">
        <is>
          <t>40Hx2</t>
        </is>
      </c>
      <c r="C55" s="97" t="n">
        <v>2</v>
      </c>
      <c r="D55" s="97" t="n">
        <v>2</v>
      </c>
      <c r="E55" s="97" t="n"/>
      <c r="F55" s="97" t="n">
        <v>0</v>
      </c>
      <c r="G55" s="97" t="n">
        <v>0</v>
      </c>
      <c r="H55" s="97" t="n">
        <v>0</v>
      </c>
      <c r="I55" s="97" t="n">
        <v>2</v>
      </c>
      <c r="J55" s="97" t="n">
        <v>4</v>
      </c>
      <c r="K55" s="96" t="inlineStr">
        <is>
          <t>N</t>
        </is>
      </c>
      <c r="L55" s="96" t="inlineStr">
        <is>
          <t>BTS</t>
        </is>
      </c>
      <c r="M55" s="96" t="inlineStr">
        <is>
          <t>SWSP</t>
        </is>
      </c>
      <c r="N55" s="96" t="inlineStr">
        <is>
          <t>2609N</t>
        </is>
      </c>
      <c r="O55" s="96" t="inlineStr">
        <is>
          <t>THBKK</t>
        </is>
      </c>
      <c r="P55" s="96" t="inlineStr">
        <is>
          <t>BKK04</t>
        </is>
      </c>
      <c r="Q55" s="96" t="inlineStr">
        <is>
          <t>IA</t>
        </is>
      </c>
      <c r="R55" s="161" t="inlineStr">
        <is>
          <t>2026-10-08</t>
        </is>
      </c>
      <c r="S55" s="96" t="inlineStr">
        <is>
          <t>VNSGN</t>
        </is>
      </c>
      <c r="T55" s="96" t="inlineStr">
        <is>
          <t>SGN03</t>
        </is>
      </c>
      <c r="U55" s="96" t="inlineStr">
        <is>
          <t>VNSGN</t>
        </is>
      </c>
      <c r="V55" s="161" t="inlineStr">
        <is>
          <t>2026-10-11</t>
        </is>
      </c>
      <c r="W55" s="96" t="inlineStr">
        <is>
          <t>IA</t>
        </is>
      </c>
      <c r="X55" s="97" t="n"/>
      <c r="Y55" s="97" t="n"/>
      <c r="Z55" s="97" t="n"/>
      <c r="AA55" s="96" t="inlineStr">
        <is>
          <t>CMS LOGISTICS GROUP (THAILAND) CO., LTD.</t>
        </is>
      </c>
      <c r="AB55" s="96" t="inlineStr">
        <is>
          <t>TETRA PAK (THAILAND) LIMITED</t>
        </is>
      </c>
      <c r="AC55" s="163" t="n">
        <v>15120</v>
      </c>
      <c r="AD55" s="163" t="n">
        <v>23120</v>
      </c>
      <c r="AE55" s="96" t="inlineStr">
        <is>
          <t>OK</t>
        </is>
      </c>
      <c r="AF55" s="96" t="inlineStr">
        <is>
          <t>SR</t>
        </is>
      </c>
      <c r="AG55" s="97" t="n"/>
      <c r="AH55" s="96" t="inlineStr">
        <is>
          <t>CHK</t>
        </is>
      </c>
      <c r="AI55" s="97" t="inlineStr">
        <is>
          <t>OK</t>
        </is>
      </c>
      <c r="AJ55" s="97" t="n"/>
      <c r="AK55" s="97" t="n"/>
      <c r="AL55" s="97" t="n"/>
      <c r="AM55" s="96" t="inlineStr">
        <is>
          <t>TH0011</t>
        </is>
      </c>
      <c r="AN55" s="96" t="inlineStr">
        <is>
          <t>Nannaapust Sukporntaweewat</t>
        </is>
      </c>
      <c r="AO55" s="96" t="inlineStr">
        <is>
          <t>USED PLASTIC PALLET</t>
        </is>
      </c>
      <c r="AP55" s="96" t="inlineStr">
        <is>
          <t>Normal</t>
        </is>
      </c>
      <c r="AQ55" s="97" t="n"/>
      <c r="AR55" s="97" t="n"/>
      <c r="AS55" s="97" t="n"/>
      <c r="AT55" s="97" t="n"/>
      <c r="AU55" s="97" t="n"/>
      <c r="AV55" s="97" t="n"/>
      <c r="AW55" s="97" t="n">
        <v>0</v>
      </c>
      <c r="AX55" s="96" t="inlineStr">
        <is>
          <t>N</t>
        </is>
      </c>
      <c r="AY55" s="97" t="n"/>
      <c r="AZ55" s="96" t="inlineStr">
        <is>
          <t xml:space="preserve">Pickup : 2026-10-03, Return : 2026-10-05 *EXTEND CLS TIME : 05/10/2026 @18.00* </t>
        </is>
      </c>
      <c r="BA55" s="97" t="inlineStr">
        <is>
          <t>FM BKK25 
maintain SWSP 2609N DD.01/10REQUEST CONTAINER GOODS &amp; CLEAN</t>
        </is>
      </c>
      <c r="BB55" s="96" t="inlineStr">
        <is>
          <t>P</t>
        </is>
      </c>
      <c r="BC55" s="161" t="inlineStr">
        <is>
          <t>2026-09-10</t>
        </is>
      </c>
      <c r="BD55" s="161" t="inlineStr">
        <is>
          <t>2026-10-02</t>
        </is>
      </c>
      <c r="BE55" s="96" t="inlineStr">
        <is>
          <t>Y</t>
        </is>
      </c>
      <c r="BF55" s="96" t="inlineStr">
        <is>
          <t>USED PLASTIC PALLET</t>
        </is>
      </c>
      <c r="BG55" s="96" t="inlineStr">
        <is>
          <t>Line</t>
        </is>
      </c>
      <c r="BH55" s="96" t="inlineStr">
        <is>
          <t>S22</t>
        </is>
      </c>
      <c r="BI55" s="97" t="n"/>
      <c r="BJ55" s="97" t="n"/>
      <c r="BK55" s="96" t="inlineStr">
        <is>
          <t>BKK27</t>
        </is>
      </c>
      <c r="BL55" s="161" t="inlineStr">
        <is>
          <t>2026-10-03</t>
        </is>
      </c>
      <c r="BM55" s="127" t="n"/>
      <c r="BN55" s="127" t="n"/>
      <c r="BO55" s="127" t="n"/>
      <c r="BP55" s="127" t="n">
        <v>2</v>
      </c>
      <c r="BQ55" s="127" t="n"/>
      <c r="BR55" s="127" t="n"/>
      <c r="BS55" s="127" t="n"/>
      <c r="BT55" s="127" t="n"/>
      <c r="BU55" s="127" t="n"/>
      <c r="BV55" s="127" t="n"/>
      <c r="BW55" s="127" t="n"/>
      <c r="BX55" s="127" t="n"/>
      <c r="BY55" s="96" t="inlineStr">
        <is>
          <t>FULL</t>
        </is>
      </c>
      <c r="BZ55" s="97" t="n"/>
      <c r="CA55" s="96" t="inlineStr">
        <is>
          <t>Y</t>
        </is>
      </c>
      <c r="CB55" s="97" t="n"/>
      <c r="CC55" s="96" t="inlineStr">
        <is>
          <t>BKK04</t>
        </is>
      </c>
      <c r="CD55" s="97" t="n"/>
      <c r="CE55" s="97" t="n"/>
      <c r="CF55" s="96" t="inlineStr">
        <is>
          <t>0 Teu</t>
        </is>
      </c>
      <c r="CG55" s="96" t="inlineStr">
        <is>
          <t>CY/CY</t>
        </is>
      </c>
      <c r="CH55" s="97" t="n"/>
      <c r="CI55" s="96" t="inlineStr">
        <is>
          <t>wunruedee.m@cmsthailand.co.th</t>
        </is>
      </c>
      <c r="CJ55" s="96" t="inlineStr">
        <is>
          <t>TETRA PAK (THAILAND) LIMITED</t>
        </is>
      </c>
      <c r="CK55" s="96" t="inlineStr">
        <is>
          <t>TETRA PAK BINH DUONG JOINT STOCK CO</t>
        </is>
      </c>
      <c r="CL55" s="96" t="inlineStr">
        <is>
          <t>MAERSK LOGISTICS &amp; SERVICES VIETNAM</t>
        </is>
      </c>
      <c r="CM55" s="97" t="n"/>
      <c r="CN55" s="96" t="inlineStr">
        <is>
          <t>202610021700</t>
        </is>
      </c>
      <c r="CO55" s="96" t="inlineStr">
        <is>
          <t>202610051200</t>
        </is>
      </c>
      <c r="CP55" s="97" t="n"/>
      <c r="CQ55" s="96" t="inlineStr">
        <is>
          <t>S22-2502023</t>
        </is>
      </c>
      <c r="CR55" s="96" t="inlineStr">
        <is>
          <t>THTKIF</t>
        </is>
      </c>
      <c r="CS55" s="96" t="inlineStr">
        <is>
          <t>CMS LOGISTICS GROUP (THAILAND) CO., LTD.</t>
        </is>
      </c>
      <c r="CT55" s="96" t="inlineStr">
        <is>
          <t>N</t>
        </is>
      </c>
      <c r="CU55" s="97" t="n"/>
      <c r="CV55" s="97" t="n"/>
      <c r="CW55" s="161" t="inlineStr">
        <is>
          <t>2026-10-07</t>
        </is>
      </c>
      <c r="CX55" s="97" t="inlineStr">
        <is>
          <t>392310</t>
        </is>
      </c>
      <c r="CY55" s="183" t="n"/>
    </row>
    <row r="56" ht="12" customHeight="1">
      <c r="A56" s="116" t="inlineStr">
        <is>
          <t>HASLS22260901954</t>
        </is>
      </c>
      <c r="B56" s="96" t="inlineStr">
        <is>
          <t>40Hx2</t>
        </is>
      </c>
      <c r="C56" s="97" t="n">
        <v>2</v>
      </c>
      <c r="D56" s="97" t="n">
        <v>2</v>
      </c>
      <c r="E56" s="97" t="n"/>
      <c r="F56" s="97" t="n">
        <v>0</v>
      </c>
      <c r="G56" s="97" t="n">
        <v>0</v>
      </c>
      <c r="H56" s="97" t="n">
        <v>0</v>
      </c>
      <c r="I56" s="97" t="n">
        <v>2</v>
      </c>
      <c r="J56" s="97" t="n">
        <v>4</v>
      </c>
      <c r="K56" s="96" t="inlineStr">
        <is>
          <t>N</t>
        </is>
      </c>
      <c r="L56" s="96" t="inlineStr">
        <is>
          <t>BTS</t>
        </is>
      </c>
      <c r="M56" s="96" t="inlineStr">
        <is>
          <t>SWSP</t>
        </is>
      </c>
      <c r="N56" s="96" t="inlineStr">
        <is>
          <t>2609N</t>
        </is>
      </c>
      <c r="O56" s="96" t="inlineStr">
        <is>
          <t>THBKK</t>
        </is>
      </c>
      <c r="P56" s="96" t="inlineStr">
        <is>
          <t>BKK04</t>
        </is>
      </c>
      <c r="Q56" s="96" t="inlineStr">
        <is>
          <t>IA</t>
        </is>
      </c>
      <c r="R56" s="161" t="inlineStr">
        <is>
          <t>2026-10-08</t>
        </is>
      </c>
      <c r="S56" s="96" t="inlineStr">
        <is>
          <t>VNSGN</t>
        </is>
      </c>
      <c r="T56" s="96" t="inlineStr">
        <is>
          <t>SGN03</t>
        </is>
      </c>
      <c r="U56" s="96" t="inlineStr">
        <is>
          <t>VNSGN</t>
        </is>
      </c>
      <c r="V56" s="161" t="inlineStr">
        <is>
          <t>2026-10-11</t>
        </is>
      </c>
      <c r="W56" s="96" t="inlineStr">
        <is>
          <t>IA</t>
        </is>
      </c>
      <c r="X56" s="97" t="n"/>
      <c r="Y56" s="97" t="n"/>
      <c r="Z56" s="97" t="n"/>
      <c r="AA56" s="96" t="inlineStr">
        <is>
          <t>BIRLA CARBON (THAILAND) PUBLIC COMPANY LIMITED</t>
        </is>
      </c>
      <c r="AB56" s="96" t="inlineStr">
        <is>
          <t>BIRLA CARBON (THAILAND) PUBLIC COMPANY LIMITED</t>
        </is>
      </c>
      <c r="AC56" s="163" t="n">
        <v>44616</v>
      </c>
      <c r="AD56" s="163" t="n">
        <v>52616</v>
      </c>
      <c r="AE56" s="96" t="inlineStr">
        <is>
          <t>OK</t>
        </is>
      </c>
      <c r="AF56" s="96" t="n"/>
      <c r="AG56" s="97" t="n"/>
      <c r="AH56" s="96" t="inlineStr">
        <is>
          <t>CHK</t>
        </is>
      </c>
      <c r="AI56" s="97" t="inlineStr">
        <is>
          <t>OK</t>
        </is>
      </c>
      <c r="AJ56" s="97" t="n"/>
      <c r="AK56" s="97" t="n"/>
      <c r="AL56" s="97" t="n"/>
      <c r="AM56" s="96" t="inlineStr">
        <is>
          <t>TBKK13</t>
        </is>
      </c>
      <c r="AN56" s="96" t="inlineStr">
        <is>
          <t>Dharaporn</t>
        </is>
      </c>
      <c r="AO56" s="96" t="inlineStr">
        <is>
          <t>CARBON BLACK</t>
        </is>
      </c>
      <c r="AP56" s="96" t="inlineStr">
        <is>
          <t>Normal</t>
        </is>
      </c>
      <c r="AQ56" s="97" t="n"/>
      <c r="AR56" s="97" t="n"/>
      <c r="AS56" s="97" t="n"/>
      <c r="AT56" s="97" t="n"/>
      <c r="AU56" s="97" t="n"/>
      <c r="AV56" s="97" t="n"/>
      <c r="AW56" s="97" t="n">
        <v>0</v>
      </c>
      <c r="AX56" s="96" t="inlineStr">
        <is>
          <t>N</t>
        </is>
      </c>
      <c r="AY56" s="97" t="n"/>
      <c r="AZ56" s="96" t="inlineStr">
        <is>
          <t>Pickup : 2026-09-23, Return : 2026-04-23 CLS TIME DD.23/09 BEFORE 2359HRS</t>
        </is>
      </c>
      <c r="BA56" s="97" t="inlineStr">
        <is>
          <t>CHANGE VSL NAME FROM SWMM 2609N DD.24/09 /HA AMEND GOOD CONTROL LIST /NO COST RENT</t>
        </is>
      </c>
      <c r="BB56" s="96" t="inlineStr">
        <is>
          <t>P</t>
        </is>
      </c>
      <c r="BC56" s="161" t="inlineStr">
        <is>
          <t>2026-09-22</t>
        </is>
      </c>
      <c r="BD56" s="161" t="inlineStr">
        <is>
          <t>2026-09-24</t>
        </is>
      </c>
      <c r="BE56" s="96" t="inlineStr">
        <is>
          <t>Y</t>
        </is>
      </c>
      <c r="BF56" s="96" t="inlineStr">
        <is>
          <t>CABON BLACK</t>
        </is>
      </c>
      <c r="BG56" s="96" t="inlineStr">
        <is>
          <t>Line</t>
        </is>
      </c>
      <c r="BH56" s="96" t="inlineStr">
        <is>
          <t>S22</t>
        </is>
      </c>
      <c r="BI56" s="97" t="n"/>
      <c r="BJ56" s="97" t="n"/>
      <c r="BK56" s="96" t="inlineStr">
        <is>
          <t>BKK27</t>
        </is>
      </c>
      <c r="BL56" s="161" t="inlineStr">
        <is>
          <t>2026-09-23</t>
        </is>
      </c>
      <c r="BM56" s="127" t="n"/>
      <c r="BN56" s="127" t="n"/>
      <c r="BO56" s="127" t="n"/>
      <c r="BP56" s="127" t="n">
        <v>2</v>
      </c>
      <c r="BQ56" s="127" t="n"/>
      <c r="BR56" s="127" t="n"/>
      <c r="BS56" s="127" t="n"/>
      <c r="BT56" s="127" t="n"/>
      <c r="BU56" s="127" t="n"/>
      <c r="BV56" s="127" t="n"/>
      <c r="BW56" s="127" t="n"/>
      <c r="BX56" s="127" t="n"/>
      <c r="BY56" s="96" t="inlineStr">
        <is>
          <t>FULL</t>
        </is>
      </c>
      <c r="BZ56" s="97" t="n"/>
      <c r="CA56" s="96" t="inlineStr">
        <is>
          <t>Y</t>
        </is>
      </c>
      <c r="CB56" s="97" t="n"/>
      <c r="CC56" s="96" t="inlineStr">
        <is>
          <t>BKK04</t>
        </is>
      </c>
      <c r="CD56" s="97" t="n"/>
      <c r="CE56" s="97" t="n"/>
      <c r="CF56" s="96" t="inlineStr">
        <is>
          <t>0 Teu</t>
        </is>
      </c>
      <c r="CG56" s="96" t="inlineStr">
        <is>
          <t>CY/CY</t>
        </is>
      </c>
      <c r="CH56" s="97" t="n"/>
      <c r="CI56" s="96" t="inlineStr">
        <is>
          <t>siriphan.hom@adityabirla.com</t>
        </is>
      </c>
      <c r="CJ56" s="96" t="inlineStr">
        <is>
          <t>BIRLA CARBON (THAILAND) PUBLIC</t>
        </is>
      </c>
      <c r="CK56" s="96" t="inlineStr">
        <is>
          <t>YOKOHAMA TYRE VIETNAM INC.</t>
        </is>
      </c>
      <c r="CL56" s="96" t="inlineStr">
        <is>
          <t>YOKOHAMA TYRE VIETNAM INC.</t>
        </is>
      </c>
      <c r="CM56" s="97" t="n"/>
      <c r="CN56" s="96" t="inlineStr">
        <is>
          <t>202610021700</t>
        </is>
      </c>
      <c r="CO56" s="96" t="inlineStr">
        <is>
          <t>202610051200</t>
        </is>
      </c>
      <c r="CP56" s="97" t="n"/>
      <c r="CQ56" s="96" t="inlineStr">
        <is>
          <t>S22-2508024</t>
        </is>
      </c>
      <c r="CR56" s="96" t="inlineStr">
        <is>
          <t>THTKYV</t>
        </is>
      </c>
      <c r="CS56" s="96" t="inlineStr">
        <is>
          <t>BIRLA CARBON (THAILAND) PUBLIC COMPANY LIMITED</t>
        </is>
      </c>
      <c r="CT56" s="96" t="inlineStr">
        <is>
          <t>N</t>
        </is>
      </c>
      <c r="CU56" s="97" t="n"/>
      <c r="CV56" s="97" t="n"/>
      <c r="CW56" s="161" t="inlineStr">
        <is>
          <t>2026-10-05</t>
        </is>
      </c>
      <c r="CX56" s="97" t="inlineStr">
        <is>
          <t>280300</t>
        </is>
      </c>
      <c r="CY56" s="183" t="n"/>
    </row>
    <row r="57" ht="12" customHeight="1">
      <c r="A57" s="116" t="inlineStr">
        <is>
          <t>HASLS22260801164</t>
        </is>
      </c>
      <c r="B57" s="96" t="inlineStr">
        <is>
          <t>40Hx3</t>
        </is>
      </c>
      <c r="C57" s="97" t="n">
        <v>3</v>
      </c>
      <c r="D57" s="97" t="n">
        <v>3</v>
      </c>
      <c r="E57" s="97" t="n"/>
      <c r="F57" s="97" t="n">
        <v>0</v>
      </c>
      <c r="G57" s="97" t="n">
        <v>0</v>
      </c>
      <c r="H57" s="97" t="n">
        <v>0</v>
      </c>
      <c r="I57" s="97" t="n">
        <v>3</v>
      </c>
      <c r="J57" s="97" t="n">
        <v>6</v>
      </c>
      <c r="K57" s="96" t="inlineStr">
        <is>
          <t>N</t>
        </is>
      </c>
      <c r="L57" s="96" t="inlineStr">
        <is>
          <t>BTS</t>
        </is>
      </c>
      <c r="M57" s="96" t="inlineStr">
        <is>
          <t>SWSP</t>
        </is>
      </c>
      <c r="N57" s="96" t="inlineStr">
        <is>
          <t>2609N</t>
        </is>
      </c>
      <c r="O57" s="96" t="inlineStr">
        <is>
          <t>THBKK</t>
        </is>
      </c>
      <c r="P57" s="96" t="inlineStr">
        <is>
          <t>BKK04</t>
        </is>
      </c>
      <c r="Q57" s="96" t="inlineStr">
        <is>
          <t>IA</t>
        </is>
      </c>
      <c r="R57" s="161" t="inlineStr">
        <is>
          <t>2026-10-08</t>
        </is>
      </c>
      <c r="S57" s="96" t="inlineStr">
        <is>
          <t>KRPTK</t>
        </is>
      </c>
      <c r="T57" s="96" t="inlineStr">
        <is>
          <t>PTK02</t>
        </is>
      </c>
      <c r="U57" s="96" t="inlineStr">
        <is>
          <t>KRPTK</t>
        </is>
      </c>
      <c r="V57" s="161" t="inlineStr">
        <is>
          <t>2026-10-17</t>
        </is>
      </c>
      <c r="W57" s="96" t="inlineStr">
        <is>
          <t>KR</t>
        </is>
      </c>
      <c r="X57" s="97" t="n"/>
      <c r="Y57" s="97" t="n"/>
      <c r="Z57" s="97" t="n"/>
      <c r="AA57" s="96" t="inlineStr">
        <is>
          <t>MAXTOP LOGISTICS (THAILAND) CO., LTD.</t>
        </is>
      </c>
      <c r="AB57" s="96" t="inlineStr">
        <is>
          <t>FAD THAI LTD.,PART</t>
        </is>
      </c>
      <c r="AC57" s="163" t="n">
        <v>68112</v>
      </c>
      <c r="AD57" s="163" t="n">
        <v>80112</v>
      </c>
      <c r="AE57" s="96" t="inlineStr">
        <is>
          <t>OK</t>
        </is>
      </c>
      <c r="AF57" s="96" t="inlineStr">
        <is>
          <t>SR</t>
        </is>
      </c>
      <c r="AG57" s="97" t="n"/>
      <c r="AH57" s="96" t="inlineStr">
        <is>
          <t>CHK</t>
        </is>
      </c>
      <c r="AI57" s="97" t="inlineStr">
        <is>
          <t>OK</t>
        </is>
      </c>
      <c r="AJ57" s="97" t="n"/>
      <c r="AK57" s="97" t="n"/>
      <c r="AL57" s="97" t="n"/>
      <c r="AM57" s="96" t="inlineStr">
        <is>
          <t>TBKK97</t>
        </is>
      </c>
      <c r="AN57" s="96" t="inlineStr">
        <is>
          <t>Arunphat W. (Aiw)</t>
        </is>
      </c>
      <c r="AO57" s="96" t="inlineStr">
        <is>
          <t>RICE HUSK ASH CARBON</t>
        </is>
      </c>
      <c r="AP57" s="96" t="inlineStr">
        <is>
          <t>Normal</t>
        </is>
      </c>
      <c r="AQ57" s="97" t="n"/>
      <c r="AR57" s="97" t="n"/>
      <c r="AS57" s="97" t="n"/>
      <c r="AT57" s="97" t="n"/>
      <c r="AU57" s="97" t="n"/>
      <c r="AV57" s="97" t="n"/>
      <c r="AW57" s="97" t="n">
        <v>0</v>
      </c>
      <c r="AX57" s="96" t="inlineStr">
        <is>
          <t>N</t>
        </is>
      </c>
      <c r="AY57" s="97" t="n"/>
      <c r="AZ57" s="96" t="inlineStr">
        <is>
          <t xml:space="preserve">Pickup : 2026-10-02, Return : 2026-10-03 </t>
        </is>
      </c>
      <c r="BA57" s="97" t="inlineStr">
        <is>
          <t xml:space="preserve">COMM. RICE HUSK ASH CARBON CFM BY P'AIW (S) DD. 04/09/2026 </t>
        </is>
      </c>
      <c r="BB57" s="96" t="inlineStr">
        <is>
          <t>P</t>
        </is>
      </c>
      <c r="BC57" s="161" t="inlineStr">
        <is>
          <t>2026-08-14</t>
        </is>
      </c>
      <c r="BD57" s="161" t="inlineStr">
        <is>
          <t>2026-10-06</t>
        </is>
      </c>
      <c r="BE57" s="96" t="inlineStr">
        <is>
          <t>Y</t>
        </is>
      </c>
      <c r="BF57" s="96" t="inlineStr">
        <is>
          <t>RICE HUSK ASH CARBON</t>
        </is>
      </c>
      <c r="BG57" s="96" t="inlineStr">
        <is>
          <t>Line</t>
        </is>
      </c>
      <c r="BH57" s="96" t="inlineStr">
        <is>
          <t>S22</t>
        </is>
      </c>
      <c r="BI57" s="97" t="n"/>
      <c r="BJ57" s="97" t="n"/>
      <c r="BK57" s="96" t="inlineStr">
        <is>
          <t>BKK27</t>
        </is>
      </c>
      <c r="BL57" s="161" t="inlineStr">
        <is>
          <t>2026-10-02</t>
        </is>
      </c>
      <c r="BM57" s="127" t="n"/>
      <c r="BN57" s="127" t="n"/>
      <c r="BO57" s="127" t="n"/>
      <c r="BP57" s="127" t="n">
        <v>3</v>
      </c>
      <c r="BQ57" s="127" t="n"/>
      <c r="BR57" s="127" t="n"/>
      <c r="BS57" s="127" t="n"/>
      <c r="BT57" s="127" t="n"/>
      <c r="BU57" s="127" t="n"/>
      <c r="BV57" s="127" t="n"/>
      <c r="BW57" s="127" t="n"/>
      <c r="BX57" s="127" t="n"/>
      <c r="BY57" s="96" t="inlineStr">
        <is>
          <t>FULL</t>
        </is>
      </c>
      <c r="BZ57" s="97" t="n"/>
      <c r="CA57" s="96" t="inlineStr">
        <is>
          <t>Y</t>
        </is>
      </c>
      <c r="CB57" s="97" t="n"/>
      <c r="CC57" s="96" t="inlineStr">
        <is>
          <t>BKK04</t>
        </is>
      </c>
      <c r="CD57" s="97" t="n"/>
      <c r="CE57" s="97" t="n"/>
      <c r="CF57" s="96" t="inlineStr">
        <is>
          <t>0 Teu</t>
        </is>
      </c>
      <c r="CG57" s="96" t="inlineStr">
        <is>
          <t>CY/CY</t>
        </is>
      </c>
      <c r="CH57" s="97" t="n"/>
      <c r="CI57" s="96" t="inlineStr">
        <is>
          <t>maxtop.thai@maxlogis.com</t>
        </is>
      </c>
      <c r="CJ57" s="96" t="inlineStr">
        <is>
          <t>MAXTOP LOGISTICS (THAILAND)</t>
        </is>
      </c>
      <c r="CK57" s="96" t="inlineStr">
        <is>
          <t>SUNGRIM GLOBAL CO.,LTD.</t>
        </is>
      </c>
      <c r="CL57" s="96" t="inlineStr">
        <is>
          <t>SUNGRIM GLOBAL CO.,LTD.</t>
        </is>
      </c>
      <c r="CM57" s="97" t="n"/>
      <c r="CN57" s="96" t="inlineStr">
        <is>
          <t>202610021700</t>
        </is>
      </c>
      <c r="CO57" s="96" t="inlineStr">
        <is>
          <t>202610051200</t>
        </is>
      </c>
      <c r="CP57" s="97" t="n"/>
      <c r="CQ57" s="96" t="inlineStr">
        <is>
          <t>S22-2602020</t>
        </is>
      </c>
      <c r="CR57" s="96" t="inlineStr">
        <is>
          <t>THTTF4</t>
        </is>
      </c>
      <c r="CS57" s="96" t="inlineStr">
        <is>
          <t>MAXTOP LOGISTICS (THAILAND) CO., LTD.</t>
        </is>
      </c>
      <c r="CT57" s="96" t="inlineStr">
        <is>
          <t>N</t>
        </is>
      </c>
      <c r="CU57" s="97" t="n"/>
      <c r="CV57" s="97" t="n"/>
      <c r="CW57" s="161" t="inlineStr">
        <is>
          <t>2026-10-07</t>
        </is>
      </c>
      <c r="CX57" s="97" t="n"/>
      <c r="CY57" s="183" t="n"/>
    </row>
    <row r="58" ht="12" customHeight="1">
      <c r="A58" s="116" t="inlineStr">
        <is>
          <t>HASLS22260902210</t>
        </is>
      </c>
      <c r="B58" s="96" t="inlineStr">
        <is>
          <t>40Hx5</t>
        </is>
      </c>
      <c r="C58" s="97" t="n">
        <v>5</v>
      </c>
      <c r="D58" s="97" t="n">
        <v>5</v>
      </c>
      <c r="E58" s="97" t="n"/>
      <c r="F58" s="97" t="n">
        <v>0</v>
      </c>
      <c r="G58" s="97" t="n">
        <v>0</v>
      </c>
      <c r="H58" s="97" t="n">
        <v>0</v>
      </c>
      <c r="I58" s="97" t="n">
        <v>5</v>
      </c>
      <c r="J58" s="97" t="n">
        <v>10</v>
      </c>
      <c r="K58" s="96" t="inlineStr">
        <is>
          <t>N</t>
        </is>
      </c>
      <c r="L58" s="96" t="inlineStr">
        <is>
          <t>BTS</t>
        </is>
      </c>
      <c r="M58" s="96" t="inlineStr">
        <is>
          <t>SWSP</t>
        </is>
      </c>
      <c r="N58" s="96" t="inlineStr">
        <is>
          <t>2609N</t>
        </is>
      </c>
      <c r="O58" s="96" t="inlineStr">
        <is>
          <t>THBKK</t>
        </is>
      </c>
      <c r="P58" s="96" t="inlineStr">
        <is>
          <t>BKK04</t>
        </is>
      </c>
      <c r="Q58" s="96" t="inlineStr">
        <is>
          <t>IA</t>
        </is>
      </c>
      <c r="R58" s="161" t="inlineStr">
        <is>
          <t>2026-10-08</t>
        </is>
      </c>
      <c r="S58" s="96" t="inlineStr">
        <is>
          <t>VNSGN</t>
        </is>
      </c>
      <c r="T58" s="96" t="inlineStr">
        <is>
          <t>SGN03</t>
        </is>
      </c>
      <c r="U58" s="96" t="inlineStr">
        <is>
          <t>VNSGN</t>
        </is>
      </c>
      <c r="V58" s="161" t="inlineStr">
        <is>
          <t>2026-10-11</t>
        </is>
      </c>
      <c r="W58" s="96" t="inlineStr">
        <is>
          <t>IA</t>
        </is>
      </c>
      <c r="X58" s="97" t="n"/>
      <c r="Y58" s="97" t="n"/>
      <c r="Z58" s="97" t="n"/>
      <c r="AA58" s="96" t="inlineStr">
        <is>
          <t>CAPRICORN LOGISTICS CO., LTD.</t>
        </is>
      </c>
      <c r="AB58" s="96" t="inlineStr">
        <is>
          <t>SWAN INDUSTRIES (THAILAND) LTD.</t>
        </is>
      </c>
      <c r="AC58" s="163" t="n">
        <v>26352.65</v>
      </c>
      <c r="AD58" s="163" t="n">
        <v>46352.65</v>
      </c>
      <c r="AE58" s="96" t="inlineStr">
        <is>
          <t>OK</t>
        </is>
      </c>
      <c r="AF58" s="96" t="inlineStr">
        <is>
          <t>SR</t>
        </is>
      </c>
      <c r="AG58" s="97" t="n"/>
      <c r="AH58" s="96" t="inlineStr">
        <is>
          <t>CHK</t>
        </is>
      </c>
      <c r="AI58" s="97" t="n"/>
      <c r="AJ58" s="97" t="n"/>
      <c r="AK58" s="97" t="n"/>
      <c r="AL58" s="97" t="n"/>
      <c r="AM58" s="96" t="inlineStr">
        <is>
          <t>VSGN21</t>
        </is>
      </c>
      <c r="AN58" s="96" t="inlineStr">
        <is>
          <t>Nguyen Xuan Toan</t>
        </is>
      </c>
      <c r="AO58" s="96" t="inlineStr">
        <is>
          <t>EMPTY CAN (FOOD CAN)</t>
        </is>
      </c>
      <c r="AP58" s="96" t="inlineStr">
        <is>
          <t>Normal</t>
        </is>
      </c>
      <c r="AQ58" s="97" t="n"/>
      <c r="AR58" s="97" t="n"/>
      <c r="AS58" s="97" t="n"/>
      <c r="AT58" s="97" t="n"/>
      <c r="AU58" s="97" t="n"/>
      <c r="AV58" s="97" t="n"/>
      <c r="AW58" s="97" t="n">
        <v>0</v>
      </c>
      <c r="AX58" s="96" t="inlineStr">
        <is>
          <t>N</t>
        </is>
      </c>
      <c r="AY58" s="97" t="n"/>
      <c r="AZ58" s="96" t="inlineStr">
        <is>
          <t xml:space="preserve">Pickup : 2026-10-03, Return : 2026-10-04 </t>
        </is>
      </c>
      <c r="BA58" s="97" t="inlineStr">
        <is>
          <t>CFM BY P'KUNG DD 24/09 
SERVICE NO. S21-2209099 // CONTRACT NO. 327/VN 26/LQ SWAN (LOT.1)need clean &amp; no smell new container for food grade sine our product is food packaging.(Container FOOD GRADE :Meaning it needs to have never transport toxic chemicals. They are high-quality containers that are extreme clean, watertight, and do not produce strong smells, mold, contamination, dents or leaks, no rotten)</t>
        </is>
      </c>
      <c r="BB58" s="96" t="inlineStr">
        <is>
          <t>C</t>
        </is>
      </c>
      <c r="BC58" s="161" t="inlineStr">
        <is>
          <t>2026-09-23</t>
        </is>
      </c>
      <c r="BD58" s="161" t="inlineStr">
        <is>
          <t>2026-10-05</t>
        </is>
      </c>
      <c r="BE58" s="96" t="inlineStr">
        <is>
          <t>Y</t>
        </is>
      </c>
      <c r="BF58" s="96" t="inlineStr">
        <is>
          <t>EMPTY CAN (FOOD CAN)</t>
        </is>
      </c>
      <c r="BG58" s="96" t="inlineStr">
        <is>
          <t>Line</t>
        </is>
      </c>
      <c r="BH58" s="96" t="inlineStr">
        <is>
          <t>S22</t>
        </is>
      </c>
      <c r="BI58" s="97" t="n"/>
      <c r="BJ58" s="97" t="n"/>
      <c r="BK58" s="96" t="inlineStr">
        <is>
          <t>BKK27</t>
        </is>
      </c>
      <c r="BL58" s="161" t="inlineStr">
        <is>
          <t>2026-10-03</t>
        </is>
      </c>
      <c r="BM58" s="127" t="n"/>
      <c r="BN58" s="127" t="n"/>
      <c r="BO58" s="127" t="n"/>
      <c r="BP58" s="127" t="n">
        <v>5</v>
      </c>
      <c r="BQ58" s="127" t="n"/>
      <c r="BR58" s="127" t="n"/>
      <c r="BS58" s="127" t="n"/>
      <c r="BT58" s="127" t="n"/>
      <c r="BU58" s="127" t="n"/>
      <c r="BV58" s="127" t="n"/>
      <c r="BW58" s="127" t="n"/>
      <c r="BX58" s="127" t="n"/>
      <c r="BY58" s="96" t="inlineStr">
        <is>
          <t>FULL</t>
        </is>
      </c>
      <c r="BZ58" s="97" t="n"/>
      <c r="CA58" s="96" t="inlineStr">
        <is>
          <t>Y</t>
        </is>
      </c>
      <c r="CB58" s="97" t="n"/>
      <c r="CC58" s="96" t="inlineStr">
        <is>
          <t>BKK04</t>
        </is>
      </c>
      <c r="CD58" s="97" t="n"/>
      <c r="CE58" s="97" t="inlineStr">
        <is>
          <t>CHECK</t>
        </is>
      </c>
      <c r="CF58" s="96" t="inlineStr">
        <is>
          <t>0 Teu</t>
        </is>
      </c>
      <c r="CG58" s="96" t="inlineStr">
        <is>
          <t>CY/CY</t>
        </is>
      </c>
      <c r="CH58" s="97" t="n"/>
      <c r="CI58" s="96" t="inlineStr">
        <is>
          <t>bkk@capricornlogistics.co.th</t>
        </is>
      </c>
      <c r="CJ58" s="96" t="inlineStr">
        <is>
          <t>CAPRICORN LOGISTICS CO.,LTD.</t>
        </is>
      </c>
      <c r="CK58" s="96" t="inlineStr">
        <is>
          <t>GIA NGUYEN INT'L LOGISTICS CO., LTD</t>
        </is>
      </c>
      <c r="CL58" s="96" t="inlineStr">
        <is>
          <t>GIA NGUYEN INT'L LOGISTICS CO., LTD</t>
        </is>
      </c>
      <c r="CM58" s="97" t="n"/>
      <c r="CN58" s="96" t="inlineStr">
        <is>
          <t>202610021700</t>
        </is>
      </c>
      <c r="CO58" s="96" t="inlineStr">
        <is>
          <t>202610051200</t>
        </is>
      </c>
      <c r="CP58" s="97" t="n"/>
      <c r="CQ58" s="96" t="inlineStr">
        <is>
          <t>S21-2209099</t>
        </is>
      </c>
      <c r="CR58" s="96" t="inlineStr">
        <is>
          <t>TH045C</t>
        </is>
      </c>
      <c r="CS58" s="96" t="inlineStr">
        <is>
          <t>CAPRICORN LOGISTICS CO., LTD.</t>
        </is>
      </c>
      <c r="CT58" s="96" t="inlineStr">
        <is>
          <t>N</t>
        </is>
      </c>
      <c r="CU58" s="97" t="n"/>
      <c r="CV58" s="97" t="n"/>
      <c r="CW58" s="161" t="inlineStr">
        <is>
          <t>2026-10-05</t>
        </is>
      </c>
      <c r="CX58" s="97" t="inlineStr">
        <is>
          <t>731021</t>
        </is>
      </c>
      <c r="CY58" s="183" t="n"/>
    </row>
    <row r="59" ht="12" customHeight="1">
      <c r="A59" s="116" t="inlineStr">
        <is>
          <t>HASLS22260901688</t>
        </is>
      </c>
      <c r="B59" s="96" t="inlineStr">
        <is>
          <t>40Hx6</t>
        </is>
      </c>
      <c r="C59" s="97" t="n">
        <v>6</v>
      </c>
      <c r="D59" s="97" t="n">
        <v>6</v>
      </c>
      <c r="E59" s="97" t="n"/>
      <c r="F59" s="97" t="n">
        <v>0</v>
      </c>
      <c r="G59" s="97" t="n">
        <v>0</v>
      </c>
      <c r="H59" s="97" t="n">
        <v>0</v>
      </c>
      <c r="I59" s="97" t="n">
        <v>6</v>
      </c>
      <c r="J59" s="97" t="n">
        <v>12</v>
      </c>
      <c r="K59" s="96" t="inlineStr">
        <is>
          <t>N</t>
        </is>
      </c>
      <c r="L59" s="96" t="inlineStr">
        <is>
          <t>BTS</t>
        </is>
      </c>
      <c r="M59" s="96" t="inlineStr">
        <is>
          <t>SWSP</t>
        </is>
      </c>
      <c r="N59" s="96" t="inlineStr">
        <is>
          <t>2609N</t>
        </is>
      </c>
      <c r="O59" s="96" t="inlineStr">
        <is>
          <t>THBKK</t>
        </is>
      </c>
      <c r="P59" s="96" t="inlineStr">
        <is>
          <t>BKK04</t>
        </is>
      </c>
      <c r="Q59" s="96" t="inlineStr">
        <is>
          <t>IA</t>
        </is>
      </c>
      <c r="R59" s="161" t="inlineStr">
        <is>
          <t>2026-10-08</t>
        </is>
      </c>
      <c r="S59" s="96" t="inlineStr">
        <is>
          <t>VNSGN</t>
        </is>
      </c>
      <c r="T59" s="96" t="inlineStr">
        <is>
          <t>SGN03</t>
        </is>
      </c>
      <c r="U59" s="96" t="inlineStr">
        <is>
          <t>VNSGN</t>
        </is>
      </c>
      <c r="V59" s="161" t="inlineStr">
        <is>
          <t>2026-10-11</t>
        </is>
      </c>
      <c r="W59" s="96" t="inlineStr">
        <is>
          <t>IA</t>
        </is>
      </c>
      <c r="X59" s="97" t="n"/>
      <c r="Y59" s="97" t="n"/>
      <c r="Z59" s="97" t="n"/>
      <c r="AA59" s="96" t="inlineStr">
        <is>
          <t>METRO PARTICLE CO., LTD.</t>
        </is>
      </c>
      <c r="AB59" s="96" t="inlineStr">
        <is>
          <t>METRO PARTICLE CO., LTD.</t>
        </is>
      </c>
      <c r="AC59" s="163" t="n">
        <v>165912</v>
      </c>
      <c r="AD59" s="163" t="n">
        <v>189912</v>
      </c>
      <c r="AE59" s="96" t="inlineStr">
        <is>
          <t>OK</t>
        </is>
      </c>
      <c r="AF59" s="96" t="n"/>
      <c r="AG59" s="97" t="n"/>
      <c r="AH59" s="96" t="inlineStr">
        <is>
          <t>CHK</t>
        </is>
      </c>
      <c r="AI59" s="97" t="inlineStr">
        <is>
          <t>OK</t>
        </is>
      </c>
      <c r="AJ59" s="97" t="n"/>
      <c r="AK59" s="97" t="n"/>
      <c r="AL59" s="97" t="n"/>
      <c r="AM59" s="96" t="inlineStr">
        <is>
          <t>TBKK28</t>
        </is>
      </c>
      <c r="AN59" s="96" t="inlineStr">
        <is>
          <t>Nustsireerach</t>
        </is>
      </c>
      <c r="AO59" s="96" t="inlineStr">
        <is>
          <t>PARTICLE BOARD EN312</t>
        </is>
      </c>
      <c r="AP59" s="96" t="inlineStr">
        <is>
          <t>Normal</t>
        </is>
      </c>
      <c r="AQ59" s="97" t="n"/>
      <c r="AR59" s="97" t="n"/>
      <c r="AS59" s="97" t="n"/>
      <c r="AT59" s="97" t="n"/>
      <c r="AU59" s="97" t="n"/>
      <c r="AV59" s="97" t="n"/>
      <c r="AW59" s="97" t="n">
        <v>0</v>
      </c>
      <c r="AX59" s="96" t="inlineStr">
        <is>
          <t>N</t>
        </is>
      </c>
      <c r="AY59" s="97" t="n"/>
      <c r="AZ59" s="96" t="inlineStr">
        <is>
          <t xml:space="preserve">CY-RTN DD.28/09 - 29/09 
</t>
        </is>
      </c>
      <c r="BA59" s="97" t="inlineStr">
        <is>
          <t>ROLL OVER FROM PREVIOUS VSL KMBK 2611N BY ALLOCATION TEAM MS.TARN APPROVED COST IS UNDER HAL DD.01/10
SI DD.29/9/26
CY-RTN DD.29/09 - 30/09</t>
        </is>
      </c>
      <c r="BB59" s="96" t="inlineStr">
        <is>
          <t>P</t>
        </is>
      </c>
      <c r="BC59" s="161" t="inlineStr">
        <is>
          <t>2026-09-18</t>
        </is>
      </c>
      <c r="BD59" s="161" t="inlineStr">
        <is>
          <t>2026-10-01</t>
        </is>
      </c>
      <c r="BE59" s="96" t="inlineStr">
        <is>
          <t>Y</t>
        </is>
      </c>
      <c r="BF59" s="96" t="inlineStr">
        <is>
          <t>PARTICLE BOARD</t>
        </is>
      </c>
      <c r="BG59" s="96" t="inlineStr">
        <is>
          <t>Line</t>
        </is>
      </c>
      <c r="BH59" s="96" t="inlineStr">
        <is>
          <t>S22</t>
        </is>
      </c>
      <c r="BI59" s="97" t="n"/>
      <c r="BJ59" s="97" t="n"/>
      <c r="BK59" s="96" t="inlineStr">
        <is>
          <t>BKK27</t>
        </is>
      </c>
      <c r="BL59" s="161" t="inlineStr">
        <is>
          <t>2026-09-28</t>
        </is>
      </c>
      <c r="BM59" s="127" t="n"/>
      <c r="BN59" s="127" t="n"/>
      <c r="BO59" s="127" t="n"/>
      <c r="BP59" s="127" t="n">
        <v>6</v>
      </c>
      <c r="BQ59" s="127" t="n"/>
      <c r="BR59" s="127" t="n"/>
      <c r="BS59" s="127" t="n"/>
      <c r="BT59" s="127" t="n"/>
      <c r="BU59" s="127" t="n"/>
      <c r="BV59" s="127" t="n"/>
      <c r="BW59" s="127" t="n"/>
      <c r="BX59" s="127" t="n"/>
      <c r="BY59" s="96" t="inlineStr">
        <is>
          <t>FULL</t>
        </is>
      </c>
      <c r="BZ59" s="97" t="n"/>
      <c r="CA59" s="96" t="n"/>
      <c r="CB59" s="97" t="n"/>
      <c r="CC59" s="96" t="inlineStr">
        <is>
          <t>BKK04</t>
        </is>
      </c>
      <c r="CD59" s="97" t="n"/>
      <c r="CE59" s="97" t="n"/>
      <c r="CF59" s="96" t="inlineStr">
        <is>
          <t>0 Teu</t>
        </is>
      </c>
      <c r="CG59" s="96" t="inlineStr">
        <is>
          <t>CY/CY</t>
        </is>
      </c>
      <c r="CH59" s="97" t="n"/>
      <c r="CI59" s="96" t="inlineStr">
        <is>
          <t>sirikarn.s@metroply.com</t>
        </is>
      </c>
      <c r="CJ59" s="96" t="inlineStr">
        <is>
          <t>METRO PARTICLE CO.,LTD.</t>
        </is>
      </c>
      <c r="CK59" s="96" t="inlineStr">
        <is>
          <t>YI LONG VIETNAM FURNITURE CO., LTD.</t>
        </is>
      </c>
      <c r="CL59" s="96" t="inlineStr">
        <is>
          <t>YI LONG VIETNAM FURNITURE CO., LTD.</t>
        </is>
      </c>
      <c r="CM59" s="97" t="n"/>
      <c r="CN59" s="96" t="inlineStr">
        <is>
          <t>202610021700</t>
        </is>
      </c>
      <c r="CO59" s="96" t="inlineStr">
        <is>
          <t>202610051200</t>
        </is>
      </c>
      <c r="CP59" s="97" t="n"/>
      <c r="CQ59" s="96" t="inlineStr">
        <is>
          <t>S19-1909006</t>
        </is>
      </c>
      <c r="CR59" s="96" t="inlineStr">
        <is>
          <t>TH01GA</t>
        </is>
      </c>
      <c r="CS59" s="96" t="inlineStr">
        <is>
          <t>METRO PARTICLE CO., LTD.</t>
        </is>
      </c>
      <c r="CT59" s="96" t="inlineStr">
        <is>
          <t>N</t>
        </is>
      </c>
      <c r="CU59" s="97" t="n"/>
      <c r="CV59" s="97" t="n"/>
      <c r="CW59" s="161" t="inlineStr">
        <is>
          <t>2026-10-07</t>
        </is>
      </c>
      <c r="CX59" s="97" t="inlineStr">
        <is>
          <t>441011</t>
        </is>
      </c>
      <c r="CY59" s="183" t="inlineStr">
        <is>
          <t>ROLL OVER FROM PREVIOUS VSL KMBK 2611N BY ALLOCATION TEAM MS.TARN APPROVED COST IS UNDER HAL DD.01/10</t>
        </is>
      </c>
    </row>
    <row r="60" ht="12" customHeight="1">
      <c r="A60" s="116" t="inlineStr">
        <is>
          <t>HASLS22260901036</t>
        </is>
      </c>
      <c r="B60" s="96" t="inlineStr">
        <is>
          <t>40Hx8</t>
        </is>
      </c>
      <c r="C60" s="97" t="n">
        <v>8</v>
      </c>
      <c r="D60" s="97" t="n">
        <v>8</v>
      </c>
      <c r="E60" s="97" t="n"/>
      <c r="F60" s="97" t="n">
        <v>0</v>
      </c>
      <c r="G60" s="97" t="n">
        <v>0</v>
      </c>
      <c r="H60" s="97" t="n">
        <v>0</v>
      </c>
      <c r="I60" s="97" t="n">
        <v>8</v>
      </c>
      <c r="J60" s="97" t="n">
        <v>16</v>
      </c>
      <c r="K60" s="96" t="inlineStr">
        <is>
          <t>N</t>
        </is>
      </c>
      <c r="L60" s="96" t="inlineStr">
        <is>
          <t>BTS</t>
        </is>
      </c>
      <c r="M60" s="96" t="inlineStr">
        <is>
          <t>SWSP</t>
        </is>
      </c>
      <c r="N60" s="96" t="inlineStr">
        <is>
          <t>2609N</t>
        </is>
      </c>
      <c r="O60" s="96" t="inlineStr">
        <is>
          <t>THBKK</t>
        </is>
      </c>
      <c r="P60" s="96" t="inlineStr">
        <is>
          <t>BKK04</t>
        </is>
      </c>
      <c r="Q60" s="96" t="inlineStr">
        <is>
          <t>IA</t>
        </is>
      </c>
      <c r="R60" s="161" t="inlineStr">
        <is>
          <t>2026-10-08</t>
        </is>
      </c>
      <c r="S60" s="96" t="inlineStr">
        <is>
          <t>VNSGN</t>
        </is>
      </c>
      <c r="T60" s="96" t="inlineStr">
        <is>
          <t>SGN03</t>
        </is>
      </c>
      <c r="U60" s="96" t="inlineStr">
        <is>
          <t>VNSGN</t>
        </is>
      </c>
      <c r="V60" s="161" t="inlineStr">
        <is>
          <t>2026-10-11</t>
        </is>
      </c>
      <c r="W60" s="96" t="inlineStr">
        <is>
          <t>IA</t>
        </is>
      </c>
      <c r="X60" s="97" t="n"/>
      <c r="Y60" s="97" t="n"/>
      <c r="Z60" s="97" t="n"/>
      <c r="AA60" s="96" t="inlineStr">
        <is>
          <t>PISIA INTERFREIGHT CO.,LTD.</t>
        </is>
      </c>
      <c r="AB60" s="96" t="inlineStr">
        <is>
          <t>KANGWAL POLYESTER CO., LTD.</t>
        </is>
      </c>
      <c r="AC60" s="163" t="n">
        <v>201433</v>
      </c>
      <c r="AD60" s="163" t="n">
        <v>233433</v>
      </c>
      <c r="AE60" s="96" t="inlineStr">
        <is>
          <t>OK</t>
        </is>
      </c>
      <c r="AF60" s="96" t="n"/>
      <c r="AG60" s="97" t="n"/>
      <c r="AH60" s="96" t="inlineStr">
        <is>
          <t>CHK</t>
        </is>
      </c>
      <c r="AI60" s="97" t="inlineStr">
        <is>
          <t>OK</t>
        </is>
      </c>
      <c r="AJ60" s="97" t="n"/>
      <c r="AK60" s="97" t="n"/>
      <c r="AL60" s="97" t="n"/>
      <c r="AM60" s="96" t="inlineStr">
        <is>
          <t>TH0011</t>
        </is>
      </c>
      <c r="AN60" s="96" t="inlineStr">
        <is>
          <t>Nannaapust Sukporntaweewat</t>
        </is>
      </c>
      <c r="AO60" s="96" t="inlineStr">
        <is>
          <t>POLYESTER STAPLE FIBER</t>
        </is>
      </c>
      <c r="AP60" s="96" t="inlineStr">
        <is>
          <t>Normal</t>
        </is>
      </c>
      <c r="AQ60" s="97" t="n"/>
      <c r="AR60" s="97" t="n"/>
      <c r="AS60" s="97" t="n"/>
      <c r="AT60" s="97" t="n"/>
      <c r="AU60" s="97" t="n"/>
      <c r="AV60" s="97" t="n"/>
      <c r="AW60" s="97" t="n">
        <v>0</v>
      </c>
      <c r="AX60" s="96" t="inlineStr">
        <is>
          <t>N</t>
        </is>
      </c>
      <c r="AY60" s="97" t="n"/>
      <c r="AZ60" s="96" t="inlineStr">
        <is>
          <t xml:space="preserve">Pickup : 2026-10-01, Return : 2026-10-02 
7X40'HQ CY AT B.C. DD. 01/10 
1X40'HQ CY AT SMART DD. 01/10 </t>
        </is>
      </c>
      <c r="BA60" s="97" t="inlineStr">
        <is>
          <t xml:space="preserve">FM KMBK 2611N 17/09
</t>
        </is>
      </c>
      <c r="BB60" s="96" t="inlineStr">
        <is>
          <t>P</t>
        </is>
      </c>
      <c r="BC60" s="161" t="inlineStr">
        <is>
          <t>2026-09-13</t>
        </is>
      </c>
      <c r="BD60" s="161" t="inlineStr">
        <is>
          <t>2026-10-02</t>
        </is>
      </c>
      <c r="BE60" s="96" t="inlineStr">
        <is>
          <t>Y</t>
        </is>
      </c>
      <c r="BF60" s="96" t="inlineStr">
        <is>
          <t>POLYESTER</t>
        </is>
      </c>
      <c r="BG60" s="96" t="inlineStr">
        <is>
          <t>Line</t>
        </is>
      </c>
      <c r="BH60" s="96" t="inlineStr">
        <is>
          <t>S22</t>
        </is>
      </c>
      <c r="BI60" s="97" t="n"/>
      <c r="BJ60" s="97" t="n"/>
      <c r="BK60" s="96" t="inlineStr">
        <is>
          <t>BKK25</t>
        </is>
      </c>
      <c r="BL60" s="161" t="inlineStr">
        <is>
          <t>2026-10-01</t>
        </is>
      </c>
      <c r="BM60" s="127" t="n"/>
      <c r="BN60" s="127" t="n"/>
      <c r="BO60" s="127" t="n"/>
      <c r="BP60" s="127" t="n">
        <v>8</v>
      </c>
      <c r="BQ60" s="127" t="n"/>
      <c r="BR60" s="127" t="n"/>
      <c r="BS60" s="127" t="n"/>
      <c r="BT60" s="127" t="n"/>
      <c r="BU60" s="127" t="n"/>
      <c r="BV60" s="127" t="n"/>
      <c r="BW60" s="127" t="n"/>
      <c r="BX60" s="127" t="n"/>
      <c r="BY60" s="96" t="inlineStr">
        <is>
          <t>FULL</t>
        </is>
      </c>
      <c r="BZ60" s="97" t="n"/>
      <c r="CA60" s="96" t="inlineStr">
        <is>
          <t>Y</t>
        </is>
      </c>
      <c r="CB60" s="97" t="n"/>
      <c r="CC60" s="96" t="inlineStr">
        <is>
          <t>BKK04</t>
        </is>
      </c>
      <c r="CD60" s="97" t="n"/>
      <c r="CE60" s="97" t="n"/>
      <c r="CF60" s="96" t="inlineStr">
        <is>
          <t>0 Teu</t>
        </is>
      </c>
      <c r="CG60" s="96" t="inlineStr">
        <is>
          <t>CY/CY</t>
        </is>
      </c>
      <c r="CH60" s="97" t="n"/>
      <c r="CI60" s="96" t="inlineStr">
        <is>
          <t>thanaroj.pisia@gmail.com</t>
        </is>
      </c>
      <c r="CJ60" s="96" t="inlineStr">
        <is>
          <t>KANGWAL POLYESTER CO., LTD.</t>
        </is>
      </c>
      <c r="CK60" s="96" t="inlineStr">
        <is>
          <t>TO ORDER OF VIETNAM INTERNATIONAL</t>
        </is>
      </c>
      <c r="CL60" s="96" t="inlineStr">
        <is>
          <t>VIET THANG CORPORATION (VICOTEX)</t>
        </is>
      </c>
      <c r="CM60" s="97" t="n"/>
      <c r="CN60" s="96" t="inlineStr">
        <is>
          <t>202610021700</t>
        </is>
      </c>
      <c r="CO60" s="96" t="inlineStr">
        <is>
          <t>202610051200</t>
        </is>
      </c>
      <c r="CP60" s="97" t="n"/>
      <c r="CQ60" s="96" t="inlineStr">
        <is>
          <t>S22-2408026</t>
        </is>
      </c>
      <c r="CR60" s="96" t="inlineStr">
        <is>
          <t>THTOSA</t>
        </is>
      </c>
      <c r="CS60" s="96" t="inlineStr">
        <is>
          <t>PISIA INTERFREIGHT CO.,LTD.</t>
        </is>
      </c>
      <c r="CT60" s="96" t="inlineStr">
        <is>
          <t>N</t>
        </is>
      </c>
      <c r="CU60" s="97" t="n"/>
      <c r="CV60" s="97" t="n"/>
      <c r="CW60" s="161" t="inlineStr">
        <is>
          <t>2026-10-05</t>
        </is>
      </c>
      <c r="CX60" s="97" t="inlineStr">
        <is>
          <t>550320</t>
        </is>
      </c>
      <c r="CY60" s="183" t="n"/>
    </row>
    <row r="61" ht="12" customHeight="1">
      <c r="A61" s="116" t="inlineStr">
        <is>
          <t>HASLS22260902260</t>
        </is>
      </c>
      <c r="B61" s="96" t="inlineStr">
        <is>
          <t>40Hx9</t>
        </is>
      </c>
      <c r="C61" s="97" t="n">
        <v>9</v>
      </c>
      <c r="D61" s="97" t="n">
        <v>9</v>
      </c>
      <c r="E61" s="97" t="n"/>
      <c r="F61" s="97" t="n">
        <v>0</v>
      </c>
      <c r="G61" s="97" t="n">
        <v>0</v>
      </c>
      <c r="H61" s="97" t="n">
        <v>0</v>
      </c>
      <c r="I61" s="97" t="n">
        <v>9</v>
      </c>
      <c r="J61" s="97" t="n">
        <v>18</v>
      </c>
      <c r="K61" s="96" t="inlineStr">
        <is>
          <t>N</t>
        </is>
      </c>
      <c r="L61" s="96" t="inlineStr">
        <is>
          <t>BTS</t>
        </is>
      </c>
      <c r="M61" s="96" t="inlineStr">
        <is>
          <t>SWSP</t>
        </is>
      </c>
      <c r="N61" s="96" t="inlineStr">
        <is>
          <t>2609N</t>
        </is>
      </c>
      <c r="O61" s="96" t="inlineStr">
        <is>
          <t>THBKK</t>
        </is>
      </c>
      <c r="P61" s="96" t="inlineStr">
        <is>
          <t>BKK04</t>
        </is>
      </c>
      <c r="Q61" s="96" t="inlineStr">
        <is>
          <t>IA</t>
        </is>
      </c>
      <c r="R61" s="161" t="inlineStr">
        <is>
          <t>2026-10-08</t>
        </is>
      </c>
      <c r="S61" s="96" t="inlineStr">
        <is>
          <t>VNSGN</t>
        </is>
      </c>
      <c r="T61" s="96" t="inlineStr">
        <is>
          <t>SGN03</t>
        </is>
      </c>
      <c r="U61" s="96" t="inlineStr">
        <is>
          <t>VNSGN</t>
        </is>
      </c>
      <c r="V61" s="161" t="inlineStr">
        <is>
          <t>2026-10-11</t>
        </is>
      </c>
      <c r="W61" s="96" t="inlineStr">
        <is>
          <t>IA</t>
        </is>
      </c>
      <c r="X61" s="97" t="n"/>
      <c r="Y61" s="97" t="n"/>
      <c r="Z61" s="97" t="n"/>
      <c r="AA61" s="96" t="inlineStr">
        <is>
          <t>CAPRICORN LOGISTICS CO., LTD.</t>
        </is>
      </c>
      <c r="AB61" s="96" t="inlineStr">
        <is>
          <t xml:space="preserve">MITSUBISHI HEAVY INDUSTRIES - MAHAJAK AIR CONDITIONERS CO., </t>
        </is>
      </c>
      <c r="AC61" s="163" t="n">
        <v>88436</v>
      </c>
      <c r="AD61" s="163" t="n">
        <v>124436</v>
      </c>
      <c r="AE61" s="96" t="inlineStr">
        <is>
          <t>OK</t>
        </is>
      </c>
      <c r="AF61" s="96" t="inlineStr">
        <is>
          <t>SR</t>
        </is>
      </c>
      <c r="AG61" s="97" t="n"/>
      <c r="AH61" s="96" t="inlineStr">
        <is>
          <t>CHK</t>
        </is>
      </c>
      <c r="AI61" s="97" t="inlineStr">
        <is>
          <t>OK</t>
        </is>
      </c>
      <c r="AJ61" s="97" t="n"/>
      <c r="AK61" s="97" t="n"/>
      <c r="AL61" s="97" t="n"/>
      <c r="AM61" s="96" t="inlineStr">
        <is>
          <t>TH0042</t>
        </is>
      </c>
      <c r="AN61" s="96" t="inlineStr">
        <is>
          <t>Sukunpoj Damrongying</t>
        </is>
      </c>
      <c r="AO61" s="96" t="inlineStr">
        <is>
          <t>AIR CONDITIONER</t>
        </is>
      </c>
      <c r="AP61" s="96" t="inlineStr">
        <is>
          <t>Normal</t>
        </is>
      </c>
      <c r="AQ61" s="97" t="n"/>
      <c r="AR61" s="97" t="n"/>
      <c r="AS61" s="97" t="n"/>
      <c r="AT61" s="97" t="n"/>
      <c r="AU61" s="97" t="n"/>
      <c r="AV61" s="97" t="n"/>
      <c r="AW61" s="97" t="n">
        <v>0</v>
      </c>
      <c r="AX61" s="96" t="inlineStr">
        <is>
          <t>N</t>
        </is>
      </c>
      <c r="AY61" s="97" t="n"/>
      <c r="AZ61" s="96" t="inlineStr">
        <is>
          <t xml:space="preserve">Pickup : 2026-09-29, Return : 2026-10-01 </t>
        </is>
      </c>
      <c r="BA61" s="97" t="inlineStr">
        <is>
          <t>FM 11X40'HQ DD 25/09
FM 11X40HQ 30/09REQUEST CONTAINER GOOD GRADEREQUEST F/T AT POD 21+7</t>
        </is>
      </c>
      <c r="BB61" s="96" t="inlineStr">
        <is>
          <t>P</t>
        </is>
      </c>
      <c r="BC61" s="161" t="inlineStr">
        <is>
          <t>2026-09-24</t>
        </is>
      </c>
      <c r="BD61" s="161" t="inlineStr">
        <is>
          <t>2026-10-02</t>
        </is>
      </c>
      <c r="BE61" s="96" t="inlineStr">
        <is>
          <t>Y</t>
        </is>
      </c>
      <c r="BF61" s="96" t="inlineStr">
        <is>
          <t>AIR CONDITIONER</t>
        </is>
      </c>
      <c r="BG61" s="96" t="inlineStr">
        <is>
          <t>Line</t>
        </is>
      </c>
      <c r="BH61" s="96" t="inlineStr">
        <is>
          <t>S22</t>
        </is>
      </c>
      <c r="BI61" s="97" t="n"/>
      <c r="BJ61" s="97" t="n"/>
      <c r="BK61" s="96" t="inlineStr">
        <is>
          <t>BKK27</t>
        </is>
      </c>
      <c r="BL61" s="161" t="inlineStr">
        <is>
          <t>2026-09-29</t>
        </is>
      </c>
      <c r="BM61" s="127" t="n"/>
      <c r="BN61" s="127" t="n"/>
      <c r="BO61" s="127" t="n"/>
      <c r="BP61" s="127" t="n">
        <v>9</v>
      </c>
      <c r="BQ61" s="127" t="n"/>
      <c r="BR61" s="127" t="n"/>
      <c r="BS61" s="127" t="n"/>
      <c r="BT61" s="127" t="n"/>
      <c r="BU61" s="127" t="n"/>
      <c r="BV61" s="127" t="n"/>
      <c r="BW61" s="127" t="n"/>
      <c r="BX61" s="127" t="n"/>
      <c r="BY61" s="96" t="inlineStr">
        <is>
          <t>FULL</t>
        </is>
      </c>
      <c r="BZ61" s="97" t="n"/>
      <c r="CA61" s="96" t="inlineStr">
        <is>
          <t>Y</t>
        </is>
      </c>
      <c r="CB61" s="97" t="n"/>
      <c r="CC61" s="96" t="inlineStr">
        <is>
          <t>BKK04</t>
        </is>
      </c>
      <c r="CD61" s="97" t="n"/>
      <c r="CE61" s="97" t="n"/>
      <c r="CF61" s="96" t="inlineStr">
        <is>
          <t>0 Teu</t>
        </is>
      </c>
      <c r="CG61" s="96" t="inlineStr">
        <is>
          <t>CY/CY</t>
        </is>
      </c>
      <c r="CH61" s="97" t="n"/>
      <c r="CI61" s="96" t="inlineStr">
        <is>
          <t>bkk@capricornlogistics.co.th</t>
        </is>
      </c>
      <c r="CJ61" s="96" t="inlineStr">
        <is>
          <t>CAPRICORN LOGISTICS CO.,LTD.</t>
        </is>
      </c>
      <c r="CK61" s="96" t="inlineStr">
        <is>
          <t>BLUE OCEAN INTERNATIONAL</t>
        </is>
      </c>
      <c r="CL61" s="96" t="inlineStr">
        <is>
          <t>BLUE OCEAN INTERNATIONAL</t>
        </is>
      </c>
      <c r="CM61" s="97" t="n"/>
      <c r="CN61" s="96" t="inlineStr">
        <is>
          <t>202610021700</t>
        </is>
      </c>
      <c r="CO61" s="96" t="inlineStr">
        <is>
          <t>202610051200</t>
        </is>
      </c>
      <c r="CP61" s="97" t="n"/>
      <c r="CQ61" s="96" t="inlineStr">
        <is>
          <t>S22-2609008</t>
        </is>
      </c>
      <c r="CR61" s="96" t="inlineStr">
        <is>
          <t>TH045C</t>
        </is>
      </c>
      <c r="CS61" s="96" t="inlineStr">
        <is>
          <t>CAPRICORN LOGISTICS CO., LTD.</t>
        </is>
      </c>
      <c r="CT61" s="96" t="inlineStr">
        <is>
          <t>N</t>
        </is>
      </c>
      <c r="CU61" s="97" t="n"/>
      <c r="CV61" s="97" t="n"/>
      <c r="CW61" s="161" t="inlineStr">
        <is>
          <t>2026-10-07</t>
        </is>
      </c>
      <c r="CX61" s="97" t="inlineStr">
        <is>
          <t>841510</t>
        </is>
      </c>
      <c r="CY61" s="183" t="n"/>
    </row>
    <row r="62" ht="12" customHeight="1">
      <c r="A62" s="116" t="inlineStr">
        <is>
          <t>HASLS22260802554</t>
        </is>
      </c>
      <c r="B62" s="96" t="inlineStr">
        <is>
          <t>R40Hx1</t>
        </is>
      </c>
      <c r="C62" s="97" t="n">
        <v>1</v>
      </c>
      <c r="D62" s="97" t="n">
        <v>1</v>
      </c>
      <c r="E62" s="97" t="n"/>
      <c r="F62" s="97" t="n">
        <v>0</v>
      </c>
      <c r="G62" s="97" t="n">
        <v>0</v>
      </c>
      <c r="H62" s="97" t="n">
        <v>0</v>
      </c>
      <c r="I62" s="97" t="n">
        <v>1</v>
      </c>
      <c r="J62" s="97" t="n">
        <v>2</v>
      </c>
      <c r="K62" s="96" t="inlineStr">
        <is>
          <t>N</t>
        </is>
      </c>
      <c r="L62" s="96" t="inlineStr">
        <is>
          <t>BTS</t>
        </is>
      </c>
      <c r="M62" s="96" t="inlineStr">
        <is>
          <t>SWSP</t>
        </is>
      </c>
      <c r="N62" s="96" t="inlineStr">
        <is>
          <t>2609N</t>
        </is>
      </c>
      <c r="O62" s="96" t="inlineStr">
        <is>
          <t>THBKK</t>
        </is>
      </c>
      <c r="P62" s="96" t="inlineStr">
        <is>
          <t>BKK04</t>
        </is>
      </c>
      <c r="Q62" s="96" t="inlineStr">
        <is>
          <t>IA</t>
        </is>
      </c>
      <c r="R62" s="161" t="inlineStr">
        <is>
          <t>2026-10-08</t>
        </is>
      </c>
      <c r="S62" s="96" t="inlineStr">
        <is>
          <t>KRPTK</t>
        </is>
      </c>
      <c r="T62" s="96" t="inlineStr">
        <is>
          <t>PTK02</t>
        </is>
      </c>
      <c r="U62" s="96" t="inlineStr">
        <is>
          <t>KRPTK</t>
        </is>
      </c>
      <c r="V62" s="161" t="inlineStr">
        <is>
          <t>2026-10-17</t>
        </is>
      </c>
      <c r="W62" s="96" t="inlineStr">
        <is>
          <t>KR</t>
        </is>
      </c>
      <c r="X62" s="97" t="n"/>
      <c r="Y62" s="97" t="n"/>
      <c r="Z62" s="97" t="n"/>
      <c r="AA62" s="96" t="inlineStr">
        <is>
          <t>LAND SEA SKY CO., LTD.</t>
        </is>
      </c>
      <c r="AB62" s="96" t="inlineStr">
        <is>
          <t>SAHA FARMS  INTERNATIONAL CO LTD</t>
        </is>
      </c>
      <c r="AC62" s="163" t="n">
        <v>21714</v>
      </c>
      <c r="AD62" s="163" t="n">
        <v>25714</v>
      </c>
      <c r="AE62" s="96" t="inlineStr">
        <is>
          <t>OK</t>
        </is>
      </c>
      <c r="AF62" s="96" t="n"/>
      <c r="AG62" s="97" t="n"/>
      <c r="AH62" s="96" t="inlineStr">
        <is>
          <t>CHK</t>
        </is>
      </c>
      <c r="AI62" s="97" t="inlineStr">
        <is>
          <t>OK</t>
        </is>
      </c>
      <c r="AJ62" s="97" t="n"/>
      <c r="AK62" s="97" t="n"/>
      <c r="AL62" s="97" t="n"/>
      <c r="AM62" s="96" t="inlineStr">
        <is>
          <t>TH0042</t>
        </is>
      </c>
      <c r="AN62" s="96" t="inlineStr">
        <is>
          <t>Sukunpoj Damrongying</t>
        </is>
      </c>
      <c r="AO62" s="96" t="inlineStr">
        <is>
          <t>FROZEN FULLY COOKED CHICKEN MEAT</t>
        </is>
      </c>
      <c r="AP62" s="96" t="inlineStr">
        <is>
          <t>Normal</t>
        </is>
      </c>
      <c r="AQ62" s="97" t="n"/>
      <c r="AR62" s="97" t="n"/>
      <c r="AS62" s="97" t="inlineStr">
        <is>
          <t>RF// MIN:-18.0 MAX:-18.0 [COVER:CLOSE]</t>
        </is>
      </c>
      <c r="AT62" s="97" t="inlineStr">
        <is>
          <t xml:space="preserve">45REx1 </t>
        </is>
      </c>
      <c r="AU62" s="97" t="n"/>
      <c r="AV62" s="97" t="n"/>
      <c r="AW62" s="97" t="n">
        <v>0</v>
      </c>
      <c r="AX62" s="96" t="inlineStr">
        <is>
          <t>N</t>
        </is>
      </c>
      <c r="AY62" s="97" t="n"/>
      <c r="AZ62" s="96" t="inlineStr">
        <is>
          <t xml:space="preserve">Pickup : 2026-09-28, Return : 2026-09-30 RF45REx1 (Temp -18.0 / Vent Close) 
 CLS TIME 02/10 @20.00 [1ST RTN 01/09 W/O ELECTRIC] </t>
        </is>
      </c>
      <c r="BA62" s="97" t="inlineStr">
        <is>
          <t>TEMP -18 C</t>
        </is>
      </c>
      <c r="BB62" s="96" t="inlineStr">
        <is>
          <t>P</t>
        </is>
      </c>
      <c r="BC62" s="161" t="inlineStr">
        <is>
          <t>2026-08-31</t>
        </is>
      </c>
      <c r="BD62" s="161" t="inlineStr">
        <is>
          <t>2026-10-02</t>
        </is>
      </c>
      <c r="BE62" s="96" t="inlineStr">
        <is>
          <t>Y</t>
        </is>
      </c>
      <c r="BF62" s="96" t="inlineStr">
        <is>
          <t>FROZEN CHICKEN COOK</t>
        </is>
      </c>
      <c r="BG62" s="96" t="inlineStr">
        <is>
          <t>Line</t>
        </is>
      </c>
      <c r="BH62" s="96" t="inlineStr">
        <is>
          <t>S22</t>
        </is>
      </c>
      <c r="BI62" s="97" t="n"/>
      <c r="BJ62" s="97" t="n"/>
      <c r="BK62" s="96" t="inlineStr">
        <is>
          <t>BKK27</t>
        </is>
      </c>
      <c r="BL62" s="161" t="inlineStr">
        <is>
          <t>2026-09-28</t>
        </is>
      </c>
      <c r="BM62" s="127" t="n"/>
      <c r="BN62" s="127" t="n"/>
      <c r="BO62" s="127" t="n"/>
      <c r="BP62" s="127" t="n"/>
      <c r="BQ62" s="127" t="n"/>
      <c r="BR62" s="127" t="n">
        <v>1</v>
      </c>
      <c r="BS62" s="127" t="n"/>
      <c r="BT62" s="127" t="n"/>
      <c r="BU62" s="127" t="n"/>
      <c r="BV62" s="127" t="n"/>
      <c r="BW62" s="127" t="n"/>
      <c r="BX62" s="127" t="n"/>
      <c r="BY62" s="96" t="inlineStr">
        <is>
          <t>FULL</t>
        </is>
      </c>
      <c r="BZ62" s="97" t="n"/>
      <c r="CA62" s="96" t="inlineStr">
        <is>
          <t>Y</t>
        </is>
      </c>
      <c r="CB62" s="97" t="n"/>
      <c r="CC62" s="96" t="inlineStr">
        <is>
          <t>BKK04</t>
        </is>
      </c>
      <c r="CD62" s="97" t="n"/>
      <c r="CE62" s="97" t="n"/>
      <c r="CF62" s="96" t="inlineStr">
        <is>
          <t>0 Teu</t>
        </is>
      </c>
      <c r="CG62" s="96" t="inlineStr">
        <is>
          <t>CY/CY</t>
        </is>
      </c>
      <c r="CH62" s="97" t="n"/>
      <c r="CI62" s="96" t="inlineStr">
        <is>
          <t>Booking@lss.co.th</t>
        </is>
      </c>
      <c r="CJ62" s="96" t="inlineStr">
        <is>
          <t>SAHA FARMS INTERNATIONAL CO.,LTD.</t>
        </is>
      </c>
      <c r="CK62" s="96" t="inlineStr">
        <is>
          <t>SASE CO.,LTD.</t>
        </is>
      </c>
      <c r="CL62" s="96" t="inlineStr">
        <is>
          <t>SASE CO.,LTD.</t>
        </is>
      </c>
      <c r="CM62" s="97" t="n"/>
      <c r="CN62" s="96" t="inlineStr">
        <is>
          <t>202610021700</t>
        </is>
      </c>
      <c r="CO62" s="96" t="inlineStr">
        <is>
          <t>202610051200</t>
        </is>
      </c>
      <c r="CP62" s="97" t="inlineStr">
        <is>
          <t>45RE x1: RF(Temp:-18.0' / Cover:CLOSE)</t>
        </is>
      </c>
      <c r="CQ62" s="96" t="inlineStr">
        <is>
          <t>S22-2206003</t>
        </is>
      </c>
      <c r="CR62" s="96" t="inlineStr">
        <is>
          <t>THTQLH</t>
        </is>
      </c>
      <c r="CS62" s="96" t="inlineStr">
        <is>
          <t>LAND SEA SKY CO., LTD.</t>
        </is>
      </c>
      <c r="CT62" s="96" t="inlineStr">
        <is>
          <t>N</t>
        </is>
      </c>
      <c r="CU62" s="97" t="n"/>
      <c r="CV62" s="97" t="n"/>
      <c r="CW62" s="161" t="inlineStr">
        <is>
          <t>2026-10-04</t>
        </is>
      </c>
      <c r="CX62" s="97" t="n"/>
      <c r="CY62" s="183" t="n"/>
    </row>
    <row r="63" ht="12" customHeight="1">
      <c r="A63" s="116" t="inlineStr">
        <is>
          <t>HASLS22260802552</t>
        </is>
      </c>
      <c r="B63" s="96" t="inlineStr">
        <is>
          <t>R40Hx1</t>
        </is>
      </c>
      <c r="C63" s="97" t="n">
        <v>1</v>
      </c>
      <c r="D63" s="97" t="n">
        <v>1</v>
      </c>
      <c r="E63" s="97" t="n"/>
      <c r="F63" s="97" t="n">
        <v>0</v>
      </c>
      <c r="G63" s="97" t="n">
        <v>0</v>
      </c>
      <c r="H63" s="97" t="n">
        <v>0</v>
      </c>
      <c r="I63" s="97" t="n">
        <v>1</v>
      </c>
      <c r="J63" s="97" t="n">
        <v>2</v>
      </c>
      <c r="K63" s="96" t="inlineStr">
        <is>
          <t>N</t>
        </is>
      </c>
      <c r="L63" s="96" t="inlineStr">
        <is>
          <t>BTS</t>
        </is>
      </c>
      <c r="M63" s="96" t="inlineStr">
        <is>
          <t>SWSP</t>
        </is>
      </c>
      <c r="N63" s="96" t="inlineStr">
        <is>
          <t>2609N</t>
        </is>
      </c>
      <c r="O63" s="96" t="inlineStr">
        <is>
          <t>THBKK</t>
        </is>
      </c>
      <c r="P63" s="96" t="inlineStr">
        <is>
          <t>BKK04</t>
        </is>
      </c>
      <c r="Q63" s="96" t="inlineStr">
        <is>
          <t>IA</t>
        </is>
      </c>
      <c r="R63" s="161" t="inlineStr">
        <is>
          <t>2026-10-08</t>
        </is>
      </c>
      <c r="S63" s="96" t="inlineStr">
        <is>
          <t>KRPTK</t>
        </is>
      </c>
      <c r="T63" s="96" t="inlineStr">
        <is>
          <t>PTK02</t>
        </is>
      </c>
      <c r="U63" s="96" t="inlineStr">
        <is>
          <t>KRPTK</t>
        </is>
      </c>
      <c r="V63" s="161" t="inlineStr">
        <is>
          <t>2026-10-17</t>
        </is>
      </c>
      <c r="W63" s="96" t="inlineStr">
        <is>
          <t>KR</t>
        </is>
      </c>
      <c r="X63" s="97" t="n"/>
      <c r="Y63" s="97" t="n"/>
      <c r="Z63" s="97" t="n"/>
      <c r="AA63" s="96" t="inlineStr">
        <is>
          <t>LAND SEA SKY CO., LTD.</t>
        </is>
      </c>
      <c r="AB63" s="96" t="inlineStr">
        <is>
          <t>SAHA FARMS  INTERNATIONAL CO LTD</t>
        </is>
      </c>
      <c r="AC63" s="163" t="n">
        <v>19211.6</v>
      </c>
      <c r="AD63" s="163" t="n">
        <v>23211.6</v>
      </c>
      <c r="AE63" s="96" t="inlineStr">
        <is>
          <t>OK</t>
        </is>
      </c>
      <c r="AF63" s="96" t="n"/>
      <c r="AG63" s="97" t="n"/>
      <c r="AH63" s="96" t="inlineStr">
        <is>
          <t>CHK</t>
        </is>
      </c>
      <c r="AI63" s="97" t="inlineStr">
        <is>
          <t>OK</t>
        </is>
      </c>
      <c r="AJ63" s="97" t="n"/>
      <c r="AK63" s="97" t="n"/>
      <c r="AL63" s="97" t="n"/>
      <c r="AM63" s="96" t="inlineStr">
        <is>
          <t>TH0042</t>
        </is>
      </c>
      <c r="AN63" s="96" t="inlineStr">
        <is>
          <t>Sukunpoj Damrongying</t>
        </is>
      </c>
      <c r="AO63" s="96" t="inlineStr">
        <is>
          <t>FROZEN FULLY COOKED CHICKEN MEAT</t>
        </is>
      </c>
      <c r="AP63" s="96" t="inlineStr">
        <is>
          <t>Normal</t>
        </is>
      </c>
      <c r="AQ63" s="97" t="n"/>
      <c r="AR63" s="97" t="n"/>
      <c r="AS63" s="97" t="inlineStr">
        <is>
          <t>RF// MIN:-18.0 MAX:-18.0 [COVER:CLOSE]</t>
        </is>
      </c>
      <c r="AT63" s="97" t="inlineStr">
        <is>
          <t xml:space="preserve">45REx1 </t>
        </is>
      </c>
      <c r="AU63" s="97" t="n"/>
      <c r="AV63" s="97" t="n"/>
      <c r="AW63" s="97" t="n">
        <v>0</v>
      </c>
      <c r="AX63" s="96" t="inlineStr">
        <is>
          <t>N</t>
        </is>
      </c>
      <c r="AY63" s="97" t="n"/>
      <c r="AZ63" s="96" t="inlineStr">
        <is>
          <t>Pickup : 2026-09-28, Return : 2026-09-30 RF45REx1 (Temp -18.0 / Vent Close) 
 CLS TIME 04/10/26 @05.00 (1ST DATE RTN 02/10/2026 W/O ELECTRIC)</t>
        </is>
      </c>
      <c r="BA63" s="97" t="inlineStr">
        <is>
          <t>FM THLCH DD 25/09 
FM POL: THBKK DD.22/09TEMP -18 C</t>
        </is>
      </c>
      <c r="BB63" s="96" t="inlineStr">
        <is>
          <t>P</t>
        </is>
      </c>
      <c r="BC63" s="161" t="inlineStr">
        <is>
          <t>2026-08-31</t>
        </is>
      </c>
      <c r="BD63" s="161" t="inlineStr">
        <is>
          <t>2026-10-02</t>
        </is>
      </c>
      <c r="BE63" s="96" t="inlineStr">
        <is>
          <t>Y</t>
        </is>
      </c>
      <c r="BF63" s="96" t="inlineStr">
        <is>
          <t>FROZEN CHICKEN COOK</t>
        </is>
      </c>
      <c r="BG63" s="96" t="inlineStr">
        <is>
          <t>Line</t>
        </is>
      </c>
      <c r="BH63" s="96" t="inlineStr">
        <is>
          <t>S22</t>
        </is>
      </c>
      <c r="BI63" s="97" t="n"/>
      <c r="BJ63" s="97" t="n"/>
      <c r="BK63" s="96" t="inlineStr">
        <is>
          <t>LCH27</t>
        </is>
      </c>
      <c r="BL63" s="161" t="inlineStr">
        <is>
          <t>2026-09-28</t>
        </is>
      </c>
      <c r="BM63" s="127" t="n"/>
      <c r="BN63" s="127" t="n"/>
      <c r="BO63" s="127" t="n"/>
      <c r="BP63" s="127" t="n"/>
      <c r="BQ63" s="127" t="n"/>
      <c r="BR63" s="127" t="n">
        <v>1</v>
      </c>
      <c r="BS63" s="127" t="n"/>
      <c r="BT63" s="127" t="n"/>
      <c r="BU63" s="127" t="n"/>
      <c r="BV63" s="127" t="n"/>
      <c r="BW63" s="127" t="n"/>
      <c r="BX63" s="127" t="n"/>
      <c r="BY63" s="96" t="inlineStr">
        <is>
          <t>FULL</t>
        </is>
      </c>
      <c r="BZ63" s="97" t="n"/>
      <c r="CA63" s="96" t="inlineStr">
        <is>
          <t>Y</t>
        </is>
      </c>
      <c r="CB63" s="97" t="n"/>
      <c r="CC63" s="96" t="inlineStr">
        <is>
          <t>BKK04</t>
        </is>
      </c>
      <c r="CD63" s="97" t="n"/>
      <c r="CE63" s="97" t="n"/>
      <c r="CF63" s="96" t="inlineStr">
        <is>
          <t>0 Teu</t>
        </is>
      </c>
      <c r="CG63" s="96" t="inlineStr">
        <is>
          <t>CY/CY</t>
        </is>
      </c>
      <c r="CH63" s="97" t="n"/>
      <c r="CI63" s="96" t="inlineStr">
        <is>
          <t>Booking@lss.co.th</t>
        </is>
      </c>
      <c r="CJ63" s="96" t="inlineStr">
        <is>
          <t>SAHA FARMS INTERNATIONAL CO.,LTD.</t>
        </is>
      </c>
      <c r="CK63" s="96" t="inlineStr">
        <is>
          <t>SASE CO.,LTD.</t>
        </is>
      </c>
      <c r="CL63" s="96" t="inlineStr">
        <is>
          <t>SASE CO.,LTD.</t>
        </is>
      </c>
      <c r="CM63" s="97" t="n"/>
      <c r="CN63" s="96" t="inlineStr">
        <is>
          <t>202610021700</t>
        </is>
      </c>
      <c r="CO63" s="96" t="inlineStr">
        <is>
          <t>202610051200</t>
        </is>
      </c>
      <c r="CP63" s="97" t="inlineStr">
        <is>
          <t>45RE x1: RF(Temp:-18.0' / Cover:CLOSE)</t>
        </is>
      </c>
      <c r="CQ63" s="96" t="inlineStr">
        <is>
          <t>S22-2206003</t>
        </is>
      </c>
      <c r="CR63" s="96" t="inlineStr">
        <is>
          <t>THTQLH</t>
        </is>
      </c>
      <c r="CS63" s="96" t="inlineStr">
        <is>
          <t>LAND SEA SKY CO., LTD.</t>
        </is>
      </c>
      <c r="CT63" s="96" t="inlineStr">
        <is>
          <t>N</t>
        </is>
      </c>
      <c r="CU63" s="97" t="n"/>
      <c r="CV63" s="97" t="n"/>
      <c r="CW63" s="161" t="inlineStr">
        <is>
          <t>2026-10-05</t>
        </is>
      </c>
      <c r="CX63" s="97" t="n"/>
      <c r="CY63" s="183" t="n"/>
    </row>
    <row r="64" ht="12" customHeight="1">
      <c r="A64" s="116" t="inlineStr">
        <is>
          <t>HASLS22260902069</t>
        </is>
      </c>
      <c r="B64" s="96" t="inlineStr">
        <is>
          <t>R40Hx1</t>
        </is>
      </c>
      <c r="C64" s="97" t="n">
        <v>1</v>
      </c>
      <c r="D64" s="97" t="n">
        <v>1</v>
      </c>
      <c r="E64" s="97" t="n"/>
      <c r="F64" s="97" t="n">
        <v>0</v>
      </c>
      <c r="G64" s="97" t="n">
        <v>0</v>
      </c>
      <c r="H64" s="97" t="n">
        <v>0</v>
      </c>
      <c r="I64" s="97" t="n">
        <v>1</v>
      </c>
      <c r="J64" s="97" t="n">
        <v>2</v>
      </c>
      <c r="K64" s="96" t="inlineStr">
        <is>
          <t>N</t>
        </is>
      </c>
      <c r="L64" s="96" t="inlineStr">
        <is>
          <t>BTS</t>
        </is>
      </c>
      <c r="M64" s="96" t="inlineStr">
        <is>
          <t>SWSP</t>
        </is>
      </c>
      <c r="N64" s="96" t="inlineStr">
        <is>
          <t>2609N</t>
        </is>
      </c>
      <c r="O64" s="96" t="inlineStr">
        <is>
          <t>THBKK</t>
        </is>
      </c>
      <c r="P64" s="96" t="inlineStr">
        <is>
          <t>BKK04</t>
        </is>
      </c>
      <c r="Q64" s="96" t="inlineStr">
        <is>
          <t>IA</t>
        </is>
      </c>
      <c r="R64" s="161" t="inlineStr">
        <is>
          <t>2026-10-08</t>
        </is>
      </c>
      <c r="S64" s="96" t="inlineStr">
        <is>
          <t>JPSDJ</t>
        </is>
      </c>
      <c r="T64" s="96" t="inlineStr">
        <is>
          <t>SDJ01</t>
        </is>
      </c>
      <c r="U64" s="96" t="inlineStr">
        <is>
          <t>JPSDJ</t>
        </is>
      </c>
      <c r="V64" s="161" t="inlineStr">
        <is>
          <t>2026-10-27</t>
        </is>
      </c>
      <c r="W64" s="96" t="inlineStr">
        <is>
          <t>JP</t>
        </is>
      </c>
      <c r="X64" s="97" t="n"/>
      <c r="Y64" s="97" t="inlineStr">
        <is>
          <t>PUS05</t>
        </is>
      </c>
      <c r="Z64" s="97" t="inlineStr">
        <is>
          <t>KRPUS</t>
        </is>
      </c>
      <c r="AA64" s="96" t="inlineStr">
        <is>
          <t>KODAI (THAILAND) CO., LTD.</t>
        </is>
      </c>
      <c r="AB64" s="96" t="inlineStr">
        <is>
          <t xml:space="preserve">MCKEY FOOD SERVICES   </t>
        </is>
      </c>
      <c r="AC64" s="163" t="n">
        <v>22420.44</v>
      </c>
      <c r="AD64" s="163" t="n">
        <v>26420.44</v>
      </c>
      <c r="AE64" s="96" t="inlineStr">
        <is>
          <t>OK</t>
        </is>
      </c>
      <c r="AF64" s="96" t="inlineStr">
        <is>
          <t>SR</t>
        </is>
      </c>
      <c r="AG64" s="97" t="n"/>
      <c r="AH64" s="96" t="inlineStr">
        <is>
          <t>CON</t>
        </is>
      </c>
      <c r="AI64" s="97" t="inlineStr">
        <is>
          <t>OK</t>
        </is>
      </c>
      <c r="AJ64" s="97" t="n"/>
      <c r="AK64" s="97" t="n"/>
      <c r="AL64" s="97" t="n"/>
      <c r="AM64" s="96" t="inlineStr">
        <is>
          <t>JTYO08</t>
        </is>
      </c>
      <c r="AN64" s="96" t="inlineStr">
        <is>
          <t>Takatsugu Nakagome(Mr.)</t>
        </is>
      </c>
      <c r="AO64" s="96" t="inlineStr">
        <is>
          <t>FROZEN CHICKEN (CHICKEN PATTY)</t>
        </is>
      </c>
      <c r="AP64" s="96" t="inlineStr">
        <is>
          <t>T/S</t>
        </is>
      </c>
      <c r="AQ64" s="97" t="n"/>
      <c r="AR64" s="97" t="n"/>
      <c r="AS64" s="97" t="inlineStr">
        <is>
          <t>RF// MIN:-25.0 MAX:-25.0 [COVER:CLOSE]</t>
        </is>
      </c>
      <c r="AT64" s="97" t="inlineStr">
        <is>
          <t xml:space="preserve">45REx1 </t>
        </is>
      </c>
      <c r="AU64" s="97" t="n"/>
      <c r="AV64" s="97" t="n"/>
      <c r="AW64" s="97" t="n">
        <v>0</v>
      </c>
      <c r="AX64" s="96" t="inlineStr">
        <is>
          <t>N</t>
        </is>
      </c>
      <c r="AY64" s="97" t="n"/>
      <c r="AZ64" s="96" t="inlineStr">
        <is>
          <t xml:space="preserve">[FIX][FIX]Pickup : 2026-10-01, Return : 2026-10-01 (Temp -25.0 / Vent Close) 
 CLS TIME 04/10 05.00 [1ST RTN 01/10 W/O RENT &amp; ELECTRIC] </t>
        </is>
      </c>
      <c r="BA64" s="97" t="inlineStr">
        <is>
          <t xml:space="preserve">POL : DEM 7 (Included PLUG) DET 7 </t>
        </is>
      </c>
      <c r="BB64" s="96" t="inlineStr">
        <is>
          <t>C</t>
        </is>
      </c>
      <c r="BC64" s="161" t="inlineStr">
        <is>
          <t>2026-09-23</t>
        </is>
      </c>
      <c r="BD64" s="161" t="inlineStr">
        <is>
          <t>2026-10-05</t>
        </is>
      </c>
      <c r="BE64" s="96" t="inlineStr">
        <is>
          <t>Y</t>
        </is>
      </c>
      <c r="BF64" s="96" t="inlineStr">
        <is>
          <t>FROZEN CHICKEN</t>
        </is>
      </c>
      <c r="BG64" s="96" t="inlineStr">
        <is>
          <t>Line</t>
        </is>
      </c>
      <c r="BH64" s="96" t="inlineStr">
        <is>
          <t>S22</t>
        </is>
      </c>
      <c r="BI64" s="97" t="n"/>
      <c r="BJ64" s="97" t="n"/>
      <c r="BK64" s="96" t="inlineStr">
        <is>
          <t>BKK27</t>
        </is>
      </c>
      <c r="BL64" s="161" t="inlineStr">
        <is>
          <t>2026-10-01</t>
        </is>
      </c>
      <c r="BM64" s="127" t="n"/>
      <c r="BN64" s="127" t="n"/>
      <c r="BO64" s="127" t="n"/>
      <c r="BP64" s="127" t="n"/>
      <c r="BQ64" s="127" t="n"/>
      <c r="BR64" s="127" t="n">
        <v>1</v>
      </c>
      <c r="BS64" s="127" t="n"/>
      <c r="BT64" s="127" t="n"/>
      <c r="BU64" s="127" t="n"/>
      <c r="BV64" s="127" t="n"/>
      <c r="BW64" s="127" t="n"/>
      <c r="BX64" s="127" t="n"/>
      <c r="BY64" s="96" t="inlineStr">
        <is>
          <t>FULL</t>
        </is>
      </c>
      <c r="BZ64" s="97" t="n">
        <v>3</v>
      </c>
      <c r="CA64" s="96" t="inlineStr">
        <is>
          <t>Y</t>
        </is>
      </c>
      <c r="CB64" s="97" t="n"/>
      <c r="CC64" s="96" t="inlineStr">
        <is>
          <t>BKK04</t>
        </is>
      </c>
      <c r="CD64" s="97" t="n"/>
      <c r="CE64" s="97" t="n"/>
      <c r="CF64" s="96" t="inlineStr">
        <is>
          <t>0 Teu</t>
        </is>
      </c>
      <c r="CG64" s="96" t="inlineStr">
        <is>
          <t>CY/CY</t>
        </is>
      </c>
      <c r="CH64" s="97" t="inlineStr">
        <is>
          <t>POL: THBKK [SWSP/2609N]; T/S(1st): KRPUS [TYTR/2638E]; POD: JPSDJ [/]</t>
        </is>
      </c>
      <c r="CI64" s="96" t="inlineStr">
        <is>
          <t>support@kodai-thailand.co.th</t>
        </is>
      </c>
      <c r="CJ64" s="96" t="inlineStr">
        <is>
          <t>KODAI (THAILAND) CO., LTD.</t>
        </is>
      </c>
      <c r="CK64" s="96" t="inlineStr">
        <is>
          <t>KODAI COMPANY LTD.</t>
        </is>
      </c>
      <c r="CL64" s="96" t="inlineStr">
        <is>
          <t>KODAI COMPANY LTD.</t>
        </is>
      </c>
      <c r="CM64" s="97" t="n"/>
      <c r="CN64" s="96" t="inlineStr">
        <is>
          <t>202610021700</t>
        </is>
      </c>
      <c r="CO64" s="96" t="inlineStr">
        <is>
          <t>202610051200</t>
        </is>
      </c>
      <c r="CP64" s="97" t="inlineStr">
        <is>
          <t>45RE x1: RF(Temp:-25.0' / Cover:CLOSE)</t>
        </is>
      </c>
      <c r="CQ64" s="96" t="inlineStr">
        <is>
          <t>TYO16A0065-1</t>
        </is>
      </c>
      <c r="CR64" s="96" t="inlineStr">
        <is>
          <t>THTJMC</t>
        </is>
      </c>
      <c r="CS64" s="96" t="inlineStr">
        <is>
          <t>KODAI (THAILAND) CO., LTD.</t>
        </is>
      </c>
      <c r="CT64" s="96" t="inlineStr">
        <is>
          <t>N</t>
        </is>
      </c>
      <c r="CU64" s="97" t="n"/>
      <c r="CV64" s="97" t="n"/>
      <c r="CW64" s="161" t="inlineStr">
        <is>
          <t>2026-10-05</t>
        </is>
      </c>
      <c r="CX64" s="97" t="inlineStr">
        <is>
          <t>160232</t>
        </is>
      </c>
      <c r="CY64" s="183" t="n"/>
    </row>
    <row r="65" ht="12" customHeight="1">
      <c r="A65" s="116" t="inlineStr">
        <is>
          <t>HASLS22260902459</t>
        </is>
      </c>
      <c r="B65" s="96" t="inlineStr">
        <is>
          <t>R40Hx1</t>
        </is>
      </c>
      <c r="C65" s="97" t="n">
        <v>1</v>
      </c>
      <c r="D65" s="97" t="n">
        <v>1</v>
      </c>
      <c r="E65" s="97" t="n"/>
      <c r="F65" s="97" t="n">
        <v>0</v>
      </c>
      <c r="G65" s="97" t="n">
        <v>0</v>
      </c>
      <c r="H65" s="97" t="n">
        <v>0</v>
      </c>
      <c r="I65" s="97" t="n">
        <v>1</v>
      </c>
      <c r="J65" s="97" t="n">
        <v>2</v>
      </c>
      <c r="K65" s="96" t="inlineStr">
        <is>
          <t>N</t>
        </is>
      </c>
      <c r="L65" s="96" t="inlineStr">
        <is>
          <t>BTS</t>
        </is>
      </c>
      <c r="M65" s="96" t="inlineStr">
        <is>
          <t>SWSP</t>
        </is>
      </c>
      <c r="N65" s="96" t="inlineStr">
        <is>
          <t>2609N</t>
        </is>
      </c>
      <c r="O65" s="96" t="inlineStr">
        <is>
          <t>THBKK</t>
        </is>
      </c>
      <c r="P65" s="96" t="inlineStr">
        <is>
          <t>BKK04</t>
        </is>
      </c>
      <c r="Q65" s="96" t="inlineStr">
        <is>
          <t>IA</t>
        </is>
      </c>
      <c r="R65" s="161" t="inlineStr">
        <is>
          <t>2026-10-08</t>
        </is>
      </c>
      <c r="S65" s="96" t="inlineStr">
        <is>
          <t>RUVVO</t>
        </is>
      </c>
      <c r="T65" s="96" t="inlineStr">
        <is>
          <t>VVO01</t>
        </is>
      </c>
      <c r="U65" s="96" t="inlineStr">
        <is>
          <t>RUVVO</t>
        </is>
      </c>
      <c r="V65" s="161" t="inlineStr">
        <is>
          <t>2026-10-28</t>
        </is>
      </c>
      <c r="W65" s="96" t="inlineStr">
        <is>
          <t>RU</t>
        </is>
      </c>
      <c r="X65" s="97" t="n"/>
      <c r="Y65" s="97" t="inlineStr">
        <is>
          <t>PUS05</t>
        </is>
      </c>
      <c r="Z65" s="97" t="inlineStr">
        <is>
          <t>KRPUS</t>
        </is>
      </c>
      <c r="AA65" s="96" t="inlineStr">
        <is>
          <t>VENTE TRADE CO.,LTD.</t>
        </is>
      </c>
      <c r="AB65" s="96" t="inlineStr">
        <is>
          <t>VENTE TRADE CO.,LTD.</t>
        </is>
      </c>
      <c r="AC65" s="163" t="n">
        <v>22418.61</v>
      </c>
      <c r="AD65" s="163" t="n">
        <v>26418.61</v>
      </c>
      <c r="AE65" s="96" t="inlineStr">
        <is>
          <t>OK</t>
        </is>
      </c>
      <c r="AF65" s="96" t="n"/>
      <c r="AG65" s="97" t="n"/>
      <c r="AH65" s="96" t="inlineStr">
        <is>
          <t>CHK</t>
        </is>
      </c>
      <c r="AI65" s="97" t="inlineStr">
        <is>
          <t>OK</t>
        </is>
      </c>
      <c r="AJ65" s="97" t="n"/>
      <c r="AK65" s="97" t="n"/>
      <c r="AL65" s="97" t="n"/>
      <c r="AM65" s="96" t="inlineStr">
        <is>
          <t>RUVO17</t>
        </is>
      </c>
      <c r="AN65" s="96" t="inlineStr">
        <is>
          <t>Insuk Heo</t>
        </is>
      </c>
      <c r="AO65" s="96" t="inlineStr">
        <is>
          <t>CANNED PINEAPPLE PIECES IN LIGHT SYRUP NORMAL LID</t>
        </is>
      </c>
      <c r="AP65" s="96" t="inlineStr">
        <is>
          <t>Normal</t>
        </is>
      </c>
      <c r="AQ65" s="97" t="n"/>
      <c r="AR65" s="97" t="n"/>
      <c r="AS65" s="97" t="inlineStr">
        <is>
          <t>RF// MIN:+20.0 MAX:+20.0 [COVER:CLOSE]</t>
        </is>
      </c>
      <c r="AT65" s="97" t="inlineStr">
        <is>
          <t xml:space="preserve">45REx1 </t>
        </is>
      </c>
      <c r="AU65" s="97" t="n"/>
      <c r="AV65" s="97" t="n"/>
      <c r="AW65" s="97" t="n">
        <v>0</v>
      </c>
      <c r="AX65" s="96" t="inlineStr">
        <is>
          <t>N</t>
        </is>
      </c>
      <c r="AY65" s="97" t="n"/>
      <c r="AZ65" s="96" t="inlineStr">
        <is>
          <t>[FIX][FIX][FIX]CY-RTN :30-02/10/2026 (TEMP : +20'C / VENT CLOSE)
CLS TIME DD.03/10/2026 @ 23.59 *1ST RETURN CNTR DD.02/10/2026 WITHOUT CHARGE*
ORDER NO: GT-743812</t>
        </is>
      </c>
      <c r="BA65" s="97" t="inlineStr">
        <is>
          <t>S/R DD.01/0/2026
FM TEMP : +10'C TO +20'C BY K'PURIM DD.06/10/2026 (HV LOI)</t>
        </is>
      </c>
      <c r="BB65" s="96" t="inlineStr">
        <is>
          <t>C</t>
        </is>
      </c>
      <c r="BC65" s="161" t="inlineStr">
        <is>
          <t>2026-09-25</t>
        </is>
      </c>
      <c r="BD65" s="161" t="inlineStr">
        <is>
          <t>2026-10-06</t>
        </is>
      </c>
      <c r="BE65" s="96" t="inlineStr">
        <is>
          <t>Y</t>
        </is>
      </c>
      <c r="BF65" s="96" t="inlineStr">
        <is>
          <t>CANNED FRUIT</t>
        </is>
      </c>
      <c r="BG65" s="96" t="inlineStr">
        <is>
          <t>Line</t>
        </is>
      </c>
      <c r="BH65" s="96" t="inlineStr">
        <is>
          <t>S22</t>
        </is>
      </c>
      <c r="BI65" s="97" t="n"/>
      <c r="BJ65" s="97" t="n"/>
      <c r="BK65" s="96" t="inlineStr">
        <is>
          <t>BKK27</t>
        </is>
      </c>
      <c r="BL65" s="161" t="inlineStr">
        <is>
          <t>2026-09-29</t>
        </is>
      </c>
      <c r="BM65" s="127" t="n"/>
      <c r="BN65" s="127" t="n"/>
      <c r="BO65" s="127" t="n"/>
      <c r="BP65" s="127" t="n"/>
      <c r="BQ65" s="127" t="n"/>
      <c r="BR65" s="127" t="n">
        <v>1</v>
      </c>
      <c r="BS65" s="127" t="n"/>
      <c r="BT65" s="127" t="n"/>
      <c r="BU65" s="127" t="n"/>
      <c r="BV65" s="127" t="n"/>
      <c r="BW65" s="127" t="n"/>
      <c r="BX65" s="127" t="n"/>
      <c r="BY65" s="96" t="inlineStr">
        <is>
          <t>FULL</t>
        </is>
      </c>
      <c r="BZ65" s="97" t="n">
        <v>7</v>
      </c>
      <c r="CA65" s="96" t="n"/>
      <c r="CB65" s="97" t="n"/>
      <c r="CC65" s="96" t="inlineStr">
        <is>
          <t>BKK04</t>
        </is>
      </c>
      <c r="CD65" s="97" t="n"/>
      <c r="CE65" s="97" t="n"/>
      <c r="CF65" s="96" t="inlineStr">
        <is>
          <t>0 Teu</t>
        </is>
      </c>
      <c r="CG65" s="96" t="inlineStr">
        <is>
          <t>CY/CY</t>
        </is>
      </c>
      <c r="CH65" s="97" t="inlineStr">
        <is>
          <t>POL: THBKK [SWSP/2609N]; T/S(1st): KRPUS [SDTR/2630N]; POD: RUVVO [/]</t>
        </is>
      </c>
      <c r="CI65" s="96" t="inlineStr">
        <is>
          <t>document1@vente.co.th</t>
        </is>
      </c>
      <c r="CJ65" s="96" t="inlineStr">
        <is>
          <t>VENTE TRADE CO.,LTD.</t>
        </is>
      </c>
      <c r="CK65" s="96" t="inlineStr">
        <is>
          <t>JOINT-STOCK COMPANY "GRAND-TRADE"</t>
        </is>
      </c>
      <c r="CL65" s="96" t="inlineStr">
        <is>
          <t>NOURISH HUB FOOD AND BEVERAGES</t>
        </is>
      </c>
      <c r="CM65" s="97" t="n"/>
      <c r="CN65" s="96" t="inlineStr">
        <is>
          <t>202610021700</t>
        </is>
      </c>
      <c r="CO65" s="96" t="inlineStr">
        <is>
          <t>202610051200</t>
        </is>
      </c>
      <c r="CP65" s="97" t="inlineStr">
        <is>
          <t>45RE x1: RF(Temp:+20.0' / Cover:CLOSE)</t>
        </is>
      </c>
      <c r="CQ65" s="96" t="inlineStr">
        <is>
          <t>R01-2604022</t>
        </is>
      </c>
      <c r="CR65" s="96" t="inlineStr">
        <is>
          <t>THTI5U</t>
        </is>
      </c>
      <c r="CS65" s="96" t="inlineStr">
        <is>
          <t>VENTE TRADE CO.,LTD.</t>
        </is>
      </c>
      <c r="CT65" s="96" t="inlineStr">
        <is>
          <t>N</t>
        </is>
      </c>
      <c r="CU65" s="97" t="n"/>
      <c r="CV65" s="97" t="n"/>
      <c r="CW65" s="161" t="inlineStr">
        <is>
          <t>2026-10-05</t>
        </is>
      </c>
      <c r="CX65" s="97" t="inlineStr">
        <is>
          <t>200820</t>
        </is>
      </c>
      <c r="CY65" s="183" t="n"/>
    </row>
    <row r="66" ht="12" customHeight="1">
      <c r="A66" s="116" t="inlineStr">
        <is>
          <t>HASLS22260902007</t>
        </is>
      </c>
      <c r="B66" s="96" t="inlineStr">
        <is>
          <t>R40Hx1</t>
        </is>
      </c>
      <c r="C66" s="97" t="n">
        <v>1</v>
      </c>
      <c r="D66" s="97" t="n">
        <v>1</v>
      </c>
      <c r="E66" s="97" t="n"/>
      <c r="F66" s="97" t="n">
        <v>0</v>
      </c>
      <c r="G66" s="97" t="n">
        <v>0</v>
      </c>
      <c r="H66" s="97" t="n">
        <v>0</v>
      </c>
      <c r="I66" s="97" t="n">
        <v>1</v>
      </c>
      <c r="J66" s="97" t="n">
        <v>2</v>
      </c>
      <c r="K66" s="96" t="inlineStr">
        <is>
          <t>N</t>
        </is>
      </c>
      <c r="L66" s="96" t="inlineStr">
        <is>
          <t>BTS</t>
        </is>
      </c>
      <c r="M66" s="96" t="inlineStr">
        <is>
          <t>SWSP</t>
        </is>
      </c>
      <c r="N66" s="96" t="inlineStr">
        <is>
          <t>2609N</t>
        </is>
      </c>
      <c r="O66" s="96" t="inlineStr">
        <is>
          <t>THBKK</t>
        </is>
      </c>
      <c r="P66" s="96" t="inlineStr">
        <is>
          <t>BKK04</t>
        </is>
      </c>
      <c r="Q66" s="96" t="inlineStr">
        <is>
          <t>IA</t>
        </is>
      </c>
      <c r="R66" s="161" t="inlineStr">
        <is>
          <t>2026-10-08</t>
        </is>
      </c>
      <c r="S66" s="96" t="inlineStr">
        <is>
          <t>VNSGN</t>
        </is>
      </c>
      <c r="T66" s="96" t="inlineStr">
        <is>
          <t>SGN03</t>
        </is>
      </c>
      <c r="U66" s="96" t="inlineStr">
        <is>
          <t>VNSGN</t>
        </is>
      </c>
      <c r="V66" s="161" t="inlineStr">
        <is>
          <t>2026-10-11</t>
        </is>
      </c>
      <c r="W66" s="96" t="inlineStr">
        <is>
          <t>IA</t>
        </is>
      </c>
      <c r="X66" s="97" t="n"/>
      <c r="Y66" s="97" t="n"/>
      <c r="Z66" s="97" t="n"/>
      <c r="AA66" s="96" t="inlineStr">
        <is>
          <t>PACIFIC FORWARDER INTERNATIONAL CO., LTD.</t>
        </is>
      </c>
      <c r="AB66" s="96" t="inlineStr">
        <is>
          <t>MEGA LIFESCIENCES PUBLIC CO., LTD.</t>
        </is>
      </c>
      <c r="AC66" s="163" t="n">
        <v>6340.9</v>
      </c>
      <c r="AD66" s="163" t="n">
        <v>10340.9</v>
      </c>
      <c r="AE66" s="96" t="inlineStr">
        <is>
          <t>OK</t>
        </is>
      </c>
      <c r="AF66" s="96" t="inlineStr">
        <is>
          <t>SR</t>
        </is>
      </c>
      <c r="AG66" s="97" t="n"/>
      <c r="AH66" s="96" t="inlineStr">
        <is>
          <t>CHK</t>
        </is>
      </c>
      <c r="AI66" s="97" t="inlineStr">
        <is>
          <t>OK</t>
        </is>
      </c>
      <c r="AJ66" s="97" t="n"/>
      <c r="AK66" s="97" t="n"/>
      <c r="AL66" s="97" t="n"/>
      <c r="AM66" s="96" t="inlineStr">
        <is>
          <t>TH0042</t>
        </is>
      </c>
      <c r="AN66" s="96" t="inlineStr">
        <is>
          <t>Sukunpoj Damrongying</t>
        </is>
      </c>
      <c r="AO66" s="96" t="inlineStr">
        <is>
          <t>PHARMACEUTICAL PRODUCTS</t>
        </is>
      </c>
      <c r="AP66" s="96" t="inlineStr">
        <is>
          <t>Normal</t>
        </is>
      </c>
      <c r="AQ66" s="97" t="n"/>
      <c r="AR66" s="97" t="n"/>
      <c r="AS66" s="97" t="inlineStr">
        <is>
          <t>RF// MIN:+22.0 MAX:+22.0 [COVER:CLOSE]</t>
        </is>
      </c>
      <c r="AT66" s="97" t="inlineStr">
        <is>
          <t xml:space="preserve">45REx1 </t>
        </is>
      </c>
      <c r="AU66" s="97" t="n"/>
      <c r="AV66" s="97" t="n"/>
      <c r="AW66" s="97" t="n">
        <v>0</v>
      </c>
      <c r="AX66" s="96" t="inlineStr">
        <is>
          <t>N</t>
        </is>
      </c>
      <c r="AY66" s="97" t="n"/>
      <c r="AZ66" s="96" t="inlineStr">
        <is>
          <t xml:space="preserve">Pickup : 2026-10-05 Return : 2026-10-05 (Temp +22.0 / Vent Close)
EXTEND CLS TIME 05/10/2026 @23.59  </t>
        </is>
      </c>
      <c r="BA66" s="97" t="inlineStr">
        <is>
          <t>Please adding mail phawaran.c@pfi-forwarder.co.th;cs_exp@pfi-forwarder.co.th for update notice kha</t>
        </is>
      </c>
      <c r="BB66" s="96" t="inlineStr">
        <is>
          <t>P</t>
        </is>
      </c>
      <c r="BC66" s="161" t="inlineStr">
        <is>
          <t>2026-09-22</t>
        </is>
      </c>
      <c r="BD66" s="161" t="inlineStr">
        <is>
          <t>2026-10-02</t>
        </is>
      </c>
      <c r="BE66" s="96" t="inlineStr">
        <is>
          <t>Y</t>
        </is>
      </c>
      <c r="BF66" s="96" t="inlineStr">
        <is>
          <t>PHARMACEUTICAL PRODUCTS</t>
        </is>
      </c>
      <c r="BG66" s="96" t="inlineStr">
        <is>
          <t>Line</t>
        </is>
      </c>
      <c r="BH66" s="96" t="inlineStr">
        <is>
          <t>S22</t>
        </is>
      </c>
      <c r="BI66" s="97" t="n"/>
      <c r="BJ66" s="97" t="n"/>
      <c r="BK66" s="96" t="inlineStr">
        <is>
          <t>BKK27</t>
        </is>
      </c>
      <c r="BL66" s="161" t="inlineStr">
        <is>
          <t>2026-10-05</t>
        </is>
      </c>
      <c r="BM66" s="127" t="n"/>
      <c r="BN66" s="127" t="n"/>
      <c r="BO66" s="127" t="n"/>
      <c r="BP66" s="127" t="n"/>
      <c r="BQ66" s="127" t="n"/>
      <c r="BR66" s="127" t="n">
        <v>1</v>
      </c>
      <c r="BS66" s="127" t="n"/>
      <c r="BT66" s="127" t="n"/>
      <c r="BU66" s="127" t="n"/>
      <c r="BV66" s="127" t="n"/>
      <c r="BW66" s="127" t="n"/>
      <c r="BX66" s="127" t="n"/>
      <c r="BY66" s="96" t="inlineStr">
        <is>
          <t>FULL</t>
        </is>
      </c>
      <c r="BZ66" s="97" t="n"/>
      <c r="CA66" s="96" t="inlineStr">
        <is>
          <t>Y</t>
        </is>
      </c>
      <c r="CB66" s="97" t="n"/>
      <c r="CC66" s="96" t="inlineStr">
        <is>
          <t>BKK04</t>
        </is>
      </c>
      <c r="CD66" s="97" t="n"/>
      <c r="CE66" s="97" t="n"/>
      <c r="CF66" s="96" t="inlineStr">
        <is>
          <t>0 Teu</t>
        </is>
      </c>
      <c r="CG66" s="96" t="inlineStr">
        <is>
          <t>CY/CY</t>
        </is>
      </c>
      <c r="CH66" s="97" t="n"/>
      <c r="CI66" s="96" t="inlineStr">
        <is>
          <t>phawaran.c@pfi-forwarder.co.th;cs_exp@pfi-forwarder.co.th</t>
        </is>
      </c>
      <c r="CJ66" s="96" t="inlineStr">
        <is>
          <t>MEGA LIFESCIENCES PUBLIC COMPANY</t>
        </is>
      </c>
      <c r="CK66" s="96" t="inlineStr">
        <is>
          <t>BRANCH OF DONG A PHARMACEUTICAL</t>
        </is>
      </c>
      <c r="CL66" s="96" t="inlineStr">
        <is>
          <t>BRANCH OF DONG A PHARMACEUTICAL</t>
        </is>
      </c>
      <c r="CM66" s="97" t="n"/>
      <c r="CN66" s="96" t="inlineStr">
        <is>
          <t>202610021700</t>
        </is>
      </c>
      <c r="CO66" s="96" t="inlineStr">
        <is>
          <t>202610051200</t>
        </is>
      </c>
      <c r="CP66" s="97" t="inlineStr">
        <is>
          <t>45RE x1: RF(Temp:+22.0' / Cover:CLOSE)</t>
        </is>
      </c>
      <c r="CQ66" s="96" t="inlineStr">
        <is>
          <t>S22-2601010</t>
        </is>
      </c>
      <c r="CR66" s="96" t="inlineStr">
        <is>
          <t>TH04DU</t>
        </is>
      </c>
      <c r="CS66" s="96" t="inlineStr">
        <is>
          <t>PACIFIC FORWARDER INTERNATIONAL CO., LTD.</t>
        </is>
      </c>
      <c r="CT66" s="96" t="inlineStr">
        <is>
          <t>N</t>
        </is>
      </c>
      <c r="CU66" s="97" t="n"/>
      <c r="CV66" s="97" t="n"/>
      <c r="CW66" s="161" t="inlineStr">
        <is>
          <t>2026-10-05</t>
        </is>
      </c>
      <c r="CX66" s="97" t="inlineStr">
        <is>
          <t>300490</t>
        </is>
      </c>
      <c r="CY66" s="183" t="n"/>
    </row>
    <row r="67" ht="12" customHeight="1">
      <c r="A67" s="116" t="inlineStr">
        <is>
          <t>HASLS22260901712</t>
        </is>
      </c>
      <c r="B67" s="96" t="inlineStr">
        <is>
          <t>R40Hx1</t>
        </is>
      </c>
      <c r="C67" s="97" t="n">
        <v>1</v>
      </c>
      <c r="D67" s="97" t="n">
        <v>1</v>
      </c>
      <c r="E67" s="97" t="n"/>
      <c r="F67" s="97" t="n">
        <v>0</v>
      </c>
      <c r="G67" s="97" t="n">
        <v>0</v>
      </c>
      <c r="H67" s="97" t="n">
        <v>0</v>
      </c>
      <c r="I67" s="97" t="n">
        <v>1</v>
      </c>
      <c r="J67" s="97" t="n">
        <v>2</v>
      </c>
      <c r="K67" s="96" t="inlineStr">
        <is>
          <t>N</t>
        </is>
      </c>
      <c r="L67" s="96" t="inlineStr">
        <is>
          <t>BTS</t>
        </is>
      </c>
      <c r="M67" s="96" t="inlineStr">
        <is>
          <t>SWSP</t>
        </is>
      </c>
      <c r="N67" s="96" t="inlineStr">
        <is>
          <t>2609N</t>
        </is>
      </c>
      <c r="O67" s="96" t="inlineStr">
        <is>
          <t>THBKK</t>
        </is>
      </c>
      <c r="P67" s="96" t="inlineStr">
        <is>
          <t>BKK04</t>
        </is>
      </c>
      <c r="Q67" s="96" t="inlineStr">
        <is>
          <t>IA</t>
        </is>
      </c>
      <c r="R67" s="161" t="inlineStr">
        <is>
          <t>2026-10-08</t>
        </is>
      </c>
      <c r="S67" s="96" t="inlineStr">
        <is>
          <t>JPNAH</t>
        </is>
      </c>
      <c r="T67" s="96" t="inlineStr">
        <is>
          <t>NAH01</t>
        </is>
      </c>
      <c r="U67" s="96" t="inlineStr">
        <is>
          <t>JPNAH</t>
        </is>
      </c>
      <c r="V67" s="161" t="inlineStr">
        <is>
          <t>2026-10-29</t>
        </is>
      </c>
      <c r="W67" s="96" t="inlineStr">
        <is>
          <t>JP</t>
        </is>
      </c>
      <c r="X67" s="97" t="n"/>
      <c r="Y67" s="97" t="inlineStr">
        <is>
          <t>PUS05</t>
        </is>
      </c>
      <c r="Z67" s="97" t="inlineStr">
        <is>
          <t>KRPUS</t>
        </is>
      </c>
      <c r="AA67" s="96" t="inlineStr">
        <is>
          <t>KODAI (THAILAND) CO., LTD.</t>
        </is>
      </c>
      <c r="AB67" s="96" t="inlineStr">
        <is>
          <t>CARGILL MEATS (THAILAND) LIMITED</t>
        </is>
      </c>
      <c r="AC67" s="163" t="n">
        <v>20690.64</v>
      </c>
      <c r="AD67" s="163" t="n">
        <v>24690.64</v>
      </c>
      <c r="AE67" s="96" t="inlineStr">
        <is>
          <t>OK</t>
        </is>
      </c>
      <c r="AF67" s="96" t="inlineStr">
        <is>
          <t>SR</t>
        </is>
      </c>
      <c r="AG67" s="97" t="n"/>
      <c r="AH67" s="96" t="inlineStr">
        <is>
          <t>CON</t>
        </is>
      </c>
      <c r="AI67" s="97" t="inlineStr">
        <is>
          <t>OK</t>
        </is>
      </c>
      <c r="AJ67" s="97" t="n"/>
      <c r="AK67" s="97" t="n"/>
      <c r="AL67" s="97" t="n"/>
      <c r="AM67" s="96" t="inlineStr">
        <is>
          <t>TH0031</t>
        </is>
      </c>
      <c r="AN67" s="96" t="inlineStr">
        <is>
          <t>Pattarapong Saengthong</t>
        </is>
      </c>
      <c r="AO67" s="96" t="inlineStr">
        <is>
          <t>FROZEN CHICKEN</t>
        </is>
      </c>
      <c r="AP67" s="96" t="inlineStr">
        <is>
          <t>T/S</t>
        </is>
      </c>
      <c r="AQ67" s="97" t="n"/>
      <c r="AR67" s="97" t="n"/>
      <c r="AS67" s="97" t="inlineStr">
        <is>
          <t>RF// MIN:-18.0 MAX:-18.0 [COVER:CLOSE]</t>
        </is>
      </c>
      <c r="AT67" s="97" t="inlineStr">
        <is>
          <t xml:space="preserve">45REx1 </t>
        </is>
      </c>
      <c r="AU67" s="97" t="n"/>
      <c r="AV67" s="97" t="n"/>
      <c r="AW67" s="97" t="n">
        <v>0</v>
      </c>
      <c r="AX67" s="96" t="inlineStr">
        <is>
          <t>N</t>
        </is>
      </c>
      <c r="AY67" s="97" t="n"/>
      <c r="AZ67" s="96" t="inlineStr">
        <is>
          <t xml:space="preserve">[FIX]Pickup : 2026-10-01, Return : 2026-10-01 (Temp -18.0 / Vent Close) 
CLS TIME DD.05/10/2026 @16.00 </t>
        </is>
      </c>
      <c r="BA67" s="97" t="inlineStr">
        <is>
          <t>POL  DET 7 DEM 7 include plug.ACTUAL SHIPPER: CARGILL MEATS*REQUEST CONTAINER GRADE A GOOD AND CLAEN CONTAINER**SURFACE CONTAINERIS FLAT, NO WHITE RUST OR RED RUST*</t>
        </is>
      </c>
      <c r="BB67" s="96" t="inlineStr">
        <is>
          <t>C</t>
        </is>
      </c>
      <c r="BC67" s="161" t="inlineStr">
        <is>
          <t>2026-09-18</t>
        </is>
      </c>
      <c r="BD67" s="161" t="inlineStr">
        <is>
          <t>2026-10-05</t>
        </is>
      </c>
      <c r="BE67" s="96" t="inlineStr">
        <is>
          <t>Y</t>
        </is>
      </c>
      <c r="BF67" s="96" t="inlineStr">
        <is>
          <t>FROZEN CHICKEN</t>
        </is>
      </c>
      <c r="BG67" s="96" t="inlineStr">
        <is>
          <t>Line</t>
        </is>
      </c>
      <c r="BH67" s="96" t="inlineStr">
        <is>
          <t>S22</t>
        </is>
      </c>
      <c r="BI67" s="97" t="n"/>
      <c r="BJ67" s="97" t="n"/>
      <c r="BK67" s="96" t="inlineStr">
        <is>
          <t>BKK27</t>
        </is>
      </c>
      <c r="BL67" s="161" t="inlineStr">
        <is>
          <t>2026-10-01</t>
        </is>
      </c>
      <c r="BM67" s="127" t="n"/>
      <c r="BN67" s="127" t="n"/>
      <c r="BO67" s="127" t="n"/>
      <c r="BP67" s="127" t="n"/>
      <c r="BQ67" s="127" t="n"/>
      <c r="BR67" s="127" t="n">
        <v>1</v>
      </c>
      <c r="BS67" s="127" t="n"/>
      <c r="BT67" s="127" t="n"/>
      <c r="BU67" s="127" t="n"/>
      <c r="BV67" s="127" t="n"/>
      <c r="BW67" s="127" t="n"/>
      <c r="BX67" s="127" t="n"/>
      <c r="BY67" s="96" t="inlineStr">
        <is>
          <t>FULL</t>
        </is>
      </c>
      <c r="BZ67" s="97" t="n">
        <v>4</v>
      </c>
      <c r="CA67" s="96" t="inlineStr">
        <is>
          <t>Y</t>
        </is>
      </c>
      <c r="CB67" s="97" t="n"/>
      <c r="CC67" s="96" t="inlineStr">
        <is>
          <t>BKK04</t>
        </is>
      </c>
      <c r="CD67" s="97" t="n"/>
      <c r="CE67" s="97" t="n"/>
      <c r="CF67" s="96" t="inlineStr">
        <is>
          <t>0 Teu</t>
        </is>
      </c>
      <c r="CG67" s="96" t="inlineStr">
        <is>
          <t>CY/CY</t>
        </is>
      </c>
      <c r="CH67" s="97" t="inlineStr">
        <is>
          <t>POL: THBKK [SWSP/2609N]; T/S(1st): KRPUS [IHG/0273S]; POD: JPNAH [/]</t>
        </is>
      </c>
      <c r="CI67" s="96" t="inlineStr">
        <is>
          <t>support@kodai-thailand.co.th</t>
        </is>
      </c>
      <c r="CJ67" s="96" t="inlineStr">
        <is>
          <t>KODAI THAILAND CO LTD</t>
        </is>
      </c>
      <c r="CK67" s="96" t="inlineStr">
        <is>
          <t>KODAI COMPANY LTD</t>
        </is>
      </c>
      <c r="CL67" s="96" t="inlineStr">
        <is>
          <t>KODAI COMPANY LTD</t>
        </is>
      </c>
      <c r="CM67" s="97" t="n"/>
      <c r="CN67" s="96" t="inlineStr">
        <is>
          <t>202610021700</t>
        </is>
      </c>
      <c r="CO67" s="96" t="inlineStr">
        <is>
          <t>202610051200</t>
        </is>
      </c>
      <c r="CP67" s="97" t="inlineStr">
        <is>
          <t>45RE x1: RF(Temp:-18.0' / Cover:CLOSE)</t>
        </is>
      </c>
      <c r="CQ67" s="96" t="inlineStr">
        <is>
          <t>S19-2112034</t>
        </is>
      </c>
      <c r="CR67" s="96" t="inlineStr">
        <is>
          <t>THTJMC</t>
        </is>
      </c>
      <c r="CS67" s="96" t="inlineStr">
        <is>
          <t>KODAI (THAILAND) CO., LTD.</t>
        </is>
      </c>
      <c r="CT67" s="96" t="inlineStr">
        <is>
          <t>N</t>
        </is>
      </c>
      <c r="CU67" s="97" t="n"/>
      <c r="CV67" s="97" t="n"/>
      <c r="CW67" s="161" t="inlineStr">
        <is>
          <t>2026-10-05</t>
        </is>
      </c>
      <c r="CX67" s="97" t="inlineStr">
        <is>
          <t>160232</t>
        </is>
      </c>
      <c r="CY67" s="183" t="n"/>
    </row>
    <row r="68" ht="12" customHeight="1">
      <c r="A68" s="116" t="inlineStr">
        <is>
          <t>HASLS22260901105</t>
        </is>
      </c>
      <c r="B68" s="96" t="inlineStr">
        <is>
          <t>R40Hx1</t>
        </is>
      </c>
      <c r="C68" s="97" t="n">
        <v>1</v>
      </c>
      <c r="D68" s="97" t="n">
        <v>1</v>
      </c>
      <c r="E68" s="97" t="n"/>
      <c r="F68" s="97" t="n">
        <v>0</v>
      </c>
      <c r="G68" s="97" t="n">
        <v>0</v>
      </c>
      <c r="H68" s="97" t="n">
        <v>0</v>
      </c>
      <c r="I68" s="97" t="n">
        <v>1</v>
      </c>
      <c r="J68" s="97" t="n">
        <v>2</v>
      </c>
      <c r="K68" s="96" t="inlineStr">
        <is>
          <t>N</t>
        </is>
      </c>
      <c r="L68" s="96" t="inlineStr">
        <is>
          <t>BTS</t>
        </is>
      </c>
      <c r="M68" s="96" t="inlineStr">
        <is>
          <t>SWSP</t>
        </is>
      </c>
      <c r="N68" s="96" t="inlineStr">
        <is>
          <t>2609N</t>
        </is>
      </c>
      <c r="O68" s="96" t="inlineStr">
        <is>
          <t>THBKK</t>
        </is>
      </c>
      <c r="P68" s="96" t="inlineStr">
        <is>
          <t>BKK04</t>
        </is>
      </c>
      <c r="Q68" s="96" t="inlineStr">
        <is>
          <t>IA</t>
        </is>
      </c>
      <c r="R68" s="161" t="inlineStr">
        <is>
          <t>2026-10-08</t>
        </is>
      </c>
      <c r="S68" s="96" t="inlineStr">
        <is>
          <t>KRPTK</t>
        </is>
      </c>
      <c r="T68" s="96" t="inlineStr">
        <is>
          <t>PTK02</t>
        </is>
      </c>
      <c r="U68" s="96" t="inlineStr">
        <is>
          <t>KRPTK</t>
        </is>
      </c>
      <c r="V68" s="161" t="inlineStr">
        <is>
          <t>2026-10-17</t>
        </is>
      </c>
      <c r="W68" s="96" t="inlineStr">
        <is>
          <t>KR</t>
        </is>
      </c>
      <c r="X68" s="97" t="n"/>
      <c r="Y68" s="97" t="n"/>
      <c r="Z68" s="97" t="n"/>
      <c r="AA68" s="96" t="inlineStr">
        <is>
          <t>LAND SEA SKY CO., LTD.</t>
        </is>
      </c>
      <c r="AB68" s="96" t="inlineStr">
        <is>
          <t>SAHA FARMS  INTERNATIONAL CO LTD</t>
        </is>
      </c>
      <c r="AC68" s="163" t="n">
        <v>23100</v>
      </c>
      <c r="AD68" s="163" t="n">
        <v>27100</v>
      </c>
      <c r="AE68" s="96" t="inlineStr">
        <is>
          <t>OK</t>
        </is>
      </c>
      <c r="AF68" s="96" t="n"/>
      <c r="AG68" s="97" t="n"/>
      <c r="AH68" s="96" t="inlineStr">
        <is>
          <t>CHK</t>
        </is>
      </c>
      <c r="AI68" s="97" t="inlineStr">
        <is>
          <t>OK</t>
        </is>
      </c>
      <c r="AJ68" s="97" t="n"/>
      <c r="AK68" s="97" t="n"/>
      <c r="AL68" s="97" t="n"/>
      <c r="AM68" s="96" t="inlineStr">
        <is>
          <t>TH0042</t>
        </is>
      </c>
      <c r="AN68" s="96" t="inlineStr">
        <is>
          <t>Sukunpoj Damrongying</t>
        </is>
      </c>
      <c r="AO68" s="96" t="inlineStr">
        <is>
          <t>FROZEN FULLY COOKED CHICKEN MEAT</t>
        </is>
      </c>
      <c r="AP68" s="96" t="inlineStr">
        <is>
          <t>Normal</t>
        </is>
      </c>
      <c r="AQ68" s="97" t="n"/>
      <c r="AR68" s="97" t="n"/>
      <c r="AS68" s="97" t="inlineStr">
        <is>
          <t>RF// MIN:-18.0 MAX:-18.0 [COVER:CLOSE]</t>
        </is>
      </c>
      <c r="AT68" s="97" t="inlineStr">
        <is>
          <t xml:space="preserve">45REx1 </t>
        </is>
      </c>
      <c r="AU68" s="97" t="n"/>
      <c r="AV68" s="97" t="n"/>
      <c r="AW68" s="97" t="n">
        <v>0</v>
      </c>
      <c r="AX68" s="96" t="inlineStr">
        <is>
          <t>N</t>
        </is>
      </c>
      <c r="AY68" s="97" t="n"/>
      <c r="AZ68" s="96" t="inlineStr">
        <is>
          <t>Pickup : 2026-09-30, Return : 2026-10-02 RF45REx1 (Temp -18.0 / Vent Close) 
CLS TIME : 03/10/26 @23.59 (1ST DATE RTN 02/10/2026 W/O ELECTRIC)</t>
        </is>
      </c>
      <c r="BA68" s="97" t="inlineStr">
        <is>
          <t>TEMP -18 C</t>
        </is>
      </c>
      <c r="BB68" s="96" t="inlineStr">
        <is>
          <t>P</t>
        </is>
      </c>
      <c r="BC68" s="161" t="inlineStr">
        <is>
          <t>2026-09-14</t>
        </is>
      </c>
      <c r="BD68" s="161" t="inlineStr">
        <is>
          <t>2026-10-02</t>
        </is>
      </c>
      <c r="BE68" s="96" t="inlineStr">
        <is>
          <t>Y</t>
        </is>
      </c>
      <c r="BF68" s="96" t="inlineStr">
        <is>
          <t>FROZEN CHICKEN COOK</t>
        </is>
      </c>
      <c r="BG68" s="96" t="inlineStr">
        <is>
          <t>Line</t>
        </is>
      </c>
      <c r="BH68" s="96" t="inlineStr">
        <is>
          <t>S22</t>
        </is>
      </c>
      <c r="BI68" s="97" t="n"/>
      <c r="BJ68" s="97" t="n"/>
      <c r="BK68" s="96" t="inlineStr">
        <is>
          <t>BKK27</t>
        </is>
      </c>
      <c r="BL68" s="161" t="inlineStr">
        <is>
          <t>2026-09-30</t>
        </is>
      </c>
      <c r="BM68" s="127" t="n"/>
      <c r="BN68" s="127" t="n"/>
      <c r="BO68" s="127" t="n"/>
      <c r="BP68" s="127" t="n"/>
      <c r="BQ68" s="127" t="n"/>
      <c r="BR68" s="127" t="n">
        <v>1</v>
      </c>
      <c r="BS68" s="127" t="n"/>
      <c r="BT68" s="127" t="n"/>
      <c r="BU68" s="127" t="n"/>
      <c r="BV68" s="127" t="n"/>
      <c r="BW68" s="127" t="n"/>
      <c r="BX68" s="127" t="n"/>
      <c r="BY68" s="96" t="inlineStr">
        <is>
          <t>FULL</t>
        </is>
      </c>
      <c r="BZ68" s="97" t="n"/>
      <c r="CA68" s="96" t="inlineStr">
        <is>
          <t>Y</t>
        </is>
      </c>
      <c r="CB68" s="97" t="n"/>
      <c r="CC68" s="96" t="inlineStr">
        <is>
          <t>BKK04</t>
        </is>
      </c>
      <c r="CD68" s="97" t="n"/>
      <c r="CE68" s="97" t="n"/>
      <c r="CF68" s="96" t="inlineStr">
        <is>
          <t>0 Teu</t>
        </is>
      </c>
      <c r="CG68" s="96" t="inlineStr">
        <is>
          <t>CY/CY</t>
        </is>
      </c>
      <c r="CH68" s="97" t="n"/>
      <c r="CI68" s="96" t="inlineStr">
        <is>
          <t>Booking@lss.co.th</t>
        </is>
      </c>
      <c r="CJ68" s="96" t="inlineStr">
        <is>
          <t>SAHA FARMS INTERNATIONAL CO.,LTD.</t>
        </is>
      </c>
      <c r="CK68" s="96" t="inlineStr">
        <is>
          <t>SASE CO.,LTD.</t>
        </is>
      </c>
      <c r="CL68" s="96" t="inlineStr">
        <is>
          <t>SASE CO.,LTD.</t>
        </is>
      </c>
      <c r="CM68" s="97" t="n"/>
      <c r="CN68" s="96" t="inlineStr">
        <is>
          <t>202610021700</t>
        </is>
      </c>
      <c r="CO68" s="96" t="inlineStr">
        <is>
          <t>202610051200</t>
        </is>
      </c>
      <c r="CP68" s="97" t="inlineStr">
        <is>
          <t>45RE x1: RF(Temp:-18.0' / Cover:CLOSE)</t>
        </is>
      </c>
      <c r="CQ68" s="96" t="inlineStr">
        <is>
          <t>S22-2206003</t>
        </is>
      </c>
      <c r="CR68" s="96" t="inlineStr">
        <is>
          <t>THTQLH</t>
        </is>
      </c>
      <c r="CS68" s="96" t="inlineStr">
        <is>
          <t>LAND SEA SKY CO., LTD.</t>
        </is>
      </c>
      <c r="CT68" s="96" t="inlineStr">
        <is>
          <t>N</t>
        </is>
      </c>
      <c r="CU68" s="97" t="n"/>
      <c r="CV68" s="97" t="n"/>
      <c r="CW68" s="161" t="inlineStr">
        <is>
          <t>2026-10-05</t>
        </is>
      </c>
      <c r="CX68" s="97" t="n"/>
      <c r="CY68" s="183" t="n"/>
    </row>
    <row r="69" ht="12" customHeight="1">
      <c r="A69" s="116" t="inlineStr">
        <is>
          <t>HASLS22260900909</t>
        </is>
      </c>
      <c r="B69" s="96" t="inlineStr">
        <is>
          <t>R40Hx6</t>
        </is>
      </c>
      <c r="C69" s="97" t="n">
        <v>6</v>
      </c>
      <c r="D69" s="97" t="n">
        <v>6</v>
      </c>
      <c r="E69" s="97" t="n"/>
      <c r="F69" s="97" t="n">
        <v>0</v>
      </c>
      <c r="G69" s="97" t="n">
        <v>0</v>
      </c>
      <c r="H69" s="97" t="n">
        <v>0</v>
      </c>
      <c r="I69" s="97" t="n">
        <v>6</v>
      </c>
      <c r="J69" s="97" t="n">
        <v>12</v>
      </c>
      <c r="K69" s="96" t="inlineStr">
        <is>
          <t>N</t>
        </is>
      </c>
      <c r="L69" s="96" t="inlineStr">
        <is>
          <t>BTS</t>
        </is>
      </c>
      <c r="M69" s="96" t="inlineStr">
        <is>
          <t>SWSP</t>
        </is>
      </c>
      <c r="N69" s="96" t="inlineStr">
        <is>
          <t>2609N</t>
        </is>
      </c>
      <c r="O69" s="96" t="inlineStr">
        <is>
          <t>THBKK</t>
        </is>
      </c>
      <c r="P69" s="96" t="inlineStr">
        <is>
          <t>BKK04</t>
        </is>
      </c>
      <c r="Q69" s="96" t="inlineStr">
        <is>
          <t>IA</t>
        </is>
      </c>
      <c r="R69" s="161" t="inlineStr">
        <is>
          <t>2026-10-08</t>
        </is>
      </c>
      <c r="S69" s="96" t="inlineStr">
        <is>
          <t>VNSGN</t>
        </is>
      </c>
      <c r="T69" s="96" t="inlineStr">
        <is>
          <t>SGN03</t>
        </is>
      </c>
      <c r="U69" s="96" t="inlineStr">
        <is>
          <t>VNSGN</t>
        </is>
      </c>
      <c r="V69" s="161" t="inlineStr">
        <is>
          <t>2026-10-11</t>
        </is>
      </c>
      <c r="W69" s="96" t="inlineStr">
        <is>
          <t>IA</t>
        </is>
      </c>
      <c r="X69" s="97" t="n"/>
      <c r="Y69" s="97" t="n"/>
      <c r="Z69" s="97" t="n"/>
      <c r="AA69" s="96" t="inlineStr">
        <is>
          <t>SIAM I-LOGISTICS LTD.</t>
        </is>
      </c>
      <c r="AB69" s="96" t="inlineStr">
        <is>
          <t>GOLDEN PRIZE CANNING CO., LTD.</t>
        </is>
      </c>
      <c r="AC69" s="163" t="n">
        <v>149100</v>
      </c>
      <c r="AD69" s="163" t="n">
        <v>173100</v>
      </c>
      <c r="AE69" s="96" t="inlineStr">
        <is>
          <t>OK</t>
        </is>
      </c>
      <c r="AF69" s="96" t="inlineStr">
        <is>
          <t>SR</t>
        </is>
      </c>
      <c r="AG69" s="97" t="n"/>
      <c r="AH69" s="96" t="inlineStr">
        <is>
          <t>CON</t>
        </is>
      </c>
      <c r="AI69" s="97" t="inlineStr">
        <is>
          <t>OK</t>
        </is>
      </c>
      <c r="AJ69" s="97" t="n"/>
      <c r="AK69" s="97" t="n"/>
      <c r="AL69" s="97" t="n"/>
      <c r="AM69" s="96" t="inlineStr">
        <is>
          <t>TH0011</t>
        </is>
      </c>
      <c r="AN69" s="96" t="inlineStr">
        <is>
          <t>Nannaapust Sukporntaweewat</t>
        </is>
      </c>
      <c r="AO69" s="96" t="inlineStr">
        <is>
          <t>FROZEN YELLOWFIN TUNA WHOLE ROUND#</t>
        </is>
      </c>
      <c r="AP69" s="96" t="inlineStr">
        <is>
          <t>Normal</t>
        </is>
      </c>
      <c r="AQ69" s="97" t="n"/>
      <c r="AR69" s="97" t="n"/>
      <c r="AS69" s="97" t="inlineStr">
        <is>
          <t>RF// MIN:-25.0 MAX:-25.0 [COVER:CLOSE]</t>
        </is>
      </c>
      <c r="AT69" s="97" t="inlineStr">
        <is>
          <t xml:space="preserve">45REx6 </t>
        </is>
      </c>
      <c r="AU69" s="97" t="n"/>
      <c r="AV69" s="97" t="n"/>
      <c r="AW69" s="97" t="n">
        <v>0</v>
      </c>
      <c r="AX69" s="96" t="inlineStr">
        <is>
          <t>N</t>
        </is>
      </c>
      <c r="AY69" s="97" t="n"/>
      <c r="AZ69" s="96" t="inlineStr">
        <is>
          <t>Pickup : 01/10/2026, Return : 03-05/10/2026 (Temp -25.0 / Vent Close) 
CLOSING TIME 2026-10-05 @23.59 (1ST 03/10/2026 RETURN W/O RENT)</t>
        </is>
      </c>
      <c r="BA69" s="97" t="inlineStr">
        <is>
          <t xml:space="preserve">CF BY SALE(MAY) DD.11/09TEMP -25'CNO PRECOOLREQUEST GOOD AND CLEAN CONTAINER
HV LOI HOT TEMP DD 02/10 </t>
        </is>
      </c>
      <c r="BB69" s="96" t="inlineStr">
        <is>
          <t>P</t>
        </is>
      </c>
      <c r="BC69" s="161" t="inlineStr">
        <is>
          <t>2026-09-10</t>
        </is>
      </c>
      <c r="BD69" s="161" t="inlineStr">
        <is>
          <t>2026-10-06</t>
        </is>
      </c>
      <c r="BE69" s="96" t="inlineStr">
        <is>
          <t>Y</t>
        </is>
      </c>
      <c r="BF69" s="96" t="inlineStr">
        <is>
          <t>FROZEN TUNA</t>
        </is>
      </c>
      <c r="BG69" s="96" t="inlineStr">
        <is>
          <t>Line</t>
        </is>
      </c>
      <c r="BH69" s="96" t="inlineStr">
        <is>
          <t>S22</t>
        </is>
      </c>
      <c r="BI69" s="97" t="n"/>
      <c r="BJ69" s="97" t="n"/>
      <c r="BK69" s="96" t="inlineStr">
        <is>
          <t>BKK27</t>
        </is>
      </c>
      <c r="BL69" s="161" t="inlineStr">
        <is>
          <t>2026-10-01</t>
        </is>
      </c>
      <c r="BM69" s="127" t="n"/>
      <c r="BN69" s="127" t="n"/>
      <c r="BO69" s="127" t="n"/>
      <c r="BP69" s="127" t="n"/>
      <c r="BQ69" s="127" t="n"/>
      <c r="BR69" s="127" t="n">
        <v>6</v>
      </c>
      <c r="BS69" s="127" t="n"/>
      <c r="BT69" s="127" t="n"/>
      <c r="BU69" s="127" t="n"/>
      <c r="BV69" s="127" t="n"/>
      <c r="BW69" s="127" t="n"/>
      <c r="BX69" s="127" t="n"/>
      <c r="BY69" s="96" t="inlineStr">
        <is>
          <t>FULL</t>
        </is>
      </c>
      <c r="BZ69" s="97" t="n"/>
      <c r="CA69" s="96" t="inlineStr">
        <is>
          <t>Y</t>
        </is>
      </c>
      <c r="CB69" s="97" t="n"/>
      <c r="CC69" s="96" t="inlineStr">
        <is>
          <t>BKK04</t>
        </is>
      </c>
      <c r="CD69" s="97" t="n"/>
      <c r="CE69" s="97" t="n"/>
      <c r="CF69" s="96" t="inlineStr">
        <is>
          <t>0 Teu</t>
        </is>
      </c>
      <c r="CG69" s="96" t="inlineStr">
        <is>
          <t>CY/CY</t>
        </is>
      </c>
      <c r="CH69" s="97" t="n"/>
      <c r="CI69" s="96" t="inlineStr">
        <is>
          <t>ocean-sil@th.itclogi.com</t>
        </is>
      </c>
      <c r="CJ69" s="96" t="inlineStr">
        <is>
          <t>SIAM I-LOGISTICS LTD.</t>
        </is>
      </c>
      <c r="CK69" s="96" t="inlineStr">
        <is>
          <t>0319135354 #ITOCHU LOGISTICS</t>
        </is>
      </c>
      <c r="CL69" s="96" t="inlineStr">
        <is>
          <t>0319135354 #ITOCHU LOGISTICS</t>
        </is>
      </c>
      <c r="CM69" s="97" t="n"/>
      <c r="CN69" s="96" t="inlineStr">
        <is>
          <t>202610021700</t>
        </is>
      </c>
      <c r="CO69" s="96" t="inlineStr">
        <is>
          <t>202610051200</t>
        </is>
      </c>
      <c r="CP69" s="97" t="inlineStr">
        <is>
          <t>45RE x6: RF(Temp:-25.0' / Cover:CLOSE)</t>
        </is>
      </c>
      <c r="CQ69" s="96" t="inlineStr">
        <is>
          <t>S22-2507010</t>
        </is>
      </c>
      <c r="CR69" s="96" t="inlineStr">
        <is>
          <t>BB0941</t>
        </is>
      </c>
      <c r="CS69" s="96" t="inlineStr">
        <is>
          <t>SIAM I-LOGISTICS LTD.</t>
        </is>
      </c>
      <c r="CT69" s="96" t="inlineStr">
        <is>
          <t>N</t>
        </is>
      </c>
      <c r="CU69" s="97" t="n"/>
      <c r="CV69" s="97" t="n"/>
      <c r="CW69" s="161" t="inlineStr">
        <is>
          <t>2026-10-06</t>
        </is>
      </c>
      <c r="CX69" s="97" t="inlineStr">
        <is>
          <t>030342</t>
        </is>
      </c>
      <c r="CY69" s="183" t="n"/>
    </row>
    <row r="70" ht="12" customHeight="1">
      <c r="A70" s="116" t="inlineStr">
        <is>
          <t xml:space="preserve">TOTAL </t>
        </is>
      </c>
      <c r="B70" s="96" t="inlineStr">
        <is>
          <t>1</t>
        </is>
      </c>
      <c r="C70" s="97" t="n"/>
      <c r="D70" s="97" t="n"/>
      <c r="E70" s="97" t="n"/>
      <c r="F70" s="97" t="n">
        <v>0</v>
      </c>
      <c r="G70" s="97" t="n">
        <v>111</v>
      </c>
      <c r="H70" s="97" t="n">
        <v>0</v>
      </c>
      <c r="I70" s="97" t="n">
        <v>81</v>
      </c>
      <c r="J70" s="97" t="n">
        <v>273</v>
      </c>
      <c r="K70" s="96" t="n"/>
      <c r="L70" s="96" t="n"/>
      <c r="M70" s="96" t="n"/>
      <c r="N70" s="96" t="n"/>
      <c r="O70" s="96" t="n"/>
      <c r="P70" s="96" t="n"/>
      <c r="Q70" s="96" t="n"/>
      <c r="R70" s="161" t="n"/>
      <c r="S70" s="96" t="n"/>
      <c r="T70" s="96" t="n"/>
      <c r="U70" s="96" t="n"/>
      <c r="V70" s="161" t="n"/>
      <c r="W70" s="96" t="n"/>
      <c r="X70" s="97" t="n"/>
      <c r="Y70" s="97" t="n"/>
      <c r="Z70" s="97" t="n"/>
      <c r="AA70" s="96" t="n"/>
      <c r="AB70" s="96" t="n"/>
      <c r="AC70" s="163" t="n">
        <v>3559080.246</v>
      </c>
      <c r="AD70" s="163" t="n">
        <v>4127280.246</v>
      </c>
      <c r="AE70" s="96" t="n"/>
      <c r="AF70" s="96" t="n"/>
      <c r="AG70" s="97" t="n"/>
      <c r="AH70" s="96" t="n"/>
      <c r="AI70" s="97" t="n"/>
      <c r="AJ70" s="97" t="n"/>
      <c r="AK70" s="97" t="n"/>
      <c r="AL70" s="97" t="n"/>
      <c r="AM70" s="96" t="n"/>
      <c r="AN70" s="96" t="n"/>
      <c r="AO70" s="96" t="n"/>
      <c r="AP70" s="96" t="n"/>
      <c r="AQ70" s="97" t="n"/>
      <c r="AR70" s="97" t="n"/>
      <c r="AS70" s="97" t="n"/>
      <c r="AT70" s="97" t="n"/>
      <c r="AU70" s="97" t="n"/>
      <c r="AV70" s="97" t="n"/>
      <c r="AW70" s="97" t="n"/>
      <c r="AX70" s="96" t="n"/>
      <c r="AY70" s="97" t="n"/>
      <c r="AZ70" s="96" t="n"/>
      <c r="BA70" s="97" t="n"/>
      <c r="BB70" s="96" t="n"/>
      <c r="BC70" s="161" t="n"/>
      <c r="BD70" s="161" t="n"/>
      <c r="BE70" s="96" t="n"/>
      <c r="BF70" s="96" t="n"/>
      <c r="BG70" s="96" t="n"/>
      <c r="BH70" s="96" t="n"/>
      <c r="BI70" s="97" t="n"/>
      <c r="BJ70" s="97" t="n"/>
      <c r="BK70" s="96" t="n"/>
      <c r="BL70" s="161" t="n"/>
      <c r="BM70" s="127" t="n">
        <v>0</v>
      </c>
      <c r="BN70" s="127" t="n">
        <v>108</v>
      </c>
      <c r="BO70" s="127" t="n">
        <v>0</v>
      </c>
      <c r="BP70" s="127" t="n">
        <v>68</v>
      </c>
      <c r="BQ70" s="127" t="n">
        <v>3</v>
      </c>
      <c r="BR70" s="127" t="n">
        <v>13</v>
      </c>
      <c r="BS70" s="127" t="n">
        <v>0</v>
      </c>
      <c r="BT70" s="127" t="n">
        <v>0</v>
      </c>
      <c r="BU70" s="127" t="n">
        <v>0</v>
      </c>
      <c r="BV70" s="127" t="n">
        <v>0</v>
      </c>
      <c r="BW70" s="127" t="n">
        <v>0</v>
      </c>
      <c r="BX70" s="127" t="n">
        <v>0</v>
      </c>
      <c r="BY70" s="96" t="n"/>
      <c r="BZ70" s="97" t="n"/>
      <c r="CA70" s="96" t="n"/>
      <c r="CB70" s="97" t="n"/>
      <c r="CC70" s="96" t="n"/>
      <c r="CD70" s="97" t="n"/>
      <c r="CE70" s="97" t="n"/>
      <c r="CF70" s="96" t="n"/>
      <c r="CG70" s="96" t="n"/>
      <c r="CH70" s="97" t="n"/>
      <c r="CI70" s="96" t="n"/>
      <c r="CJ70" s="96" t="n"/>
      <c r="CK70" s="96" t="n"/>
      <c r="CL70" s="96" t="n"/>
      <c r="CM70" s="97" t="n"/>
      <c r="CN70" s="96" t="n"/>
      <c r="CO70" s="96" t="n"/>
      <c r="CP70" s="97" t="n"/>
      <c r="CQ70" s="96" t="n"/>
      <c r="CR70" s="96" t="n"/>
      <c r="CS70" s="96" t="n"/>
      <c r="CT70" s="96" t="n"/>
      <c r="CU70" s="97" t="n"/>
      <c r="CV70" s="97" t="n"/>
      <c r="CW70" s="161" t="n"/>
      <c r="CX70" s="97" t="n"/>
      <c r="CY70" s="183" t="n"/>
    </row>
    <row r="71" ht="12" customHeight="1">
      <c r="A71" s="116" t="inlineStr">
        <is>
          <t xml:space="preserve">COC </t>
        </is>
      </c>
      <c r="B71" s="96" t="inlineStr">
        <is>
          <t>16</t>
        </is>
      </c>
      <c r="C71" s="97" t="n"/>
      <c r="D71" s="97" t="n"/>
      <c r="E71" s="97" t="n"/>
      <c r="F71" s="97" t="n">
        <v>0</v>
      </c>
      <c r="G71" s="97" t="n">
        <v>111</v>
      </c>
      <c r="H71" s="97" t="n">
        <v>0</v>
      </c>
      <c r="I71" s="97" t="n">
        <v>78</v>
      </c>
      <c r="J71" s="97" t="n">
        <v>267</v>
      </c>
      <c r="K71" s="96" t="n"/>
      <c r="L71" s="96" t="n"/>
      <c r="M71" s="96" t="n"/>
      <c r="N71" s="96" t="n"/>
      <c r="O71" s="96" t="n"/>
      <c r="P71" s="96" t="n"/>
      <c r="Q71" s="96" t="n"/>
      <c r="R71" s="161" t="n"/>
      <c r="S71" s="96" t="n"/>
      <c r="T71" s="96" t="n"/>
      <c r="U71" s="96" t="n"/>
      <c r="V71" s="161" t="n"/>
      <c r="W71" s="96" t="n"/>
      <c r="X71" s="97" t="n"/>
      <c r="Y71" s="97" t="n"/>
      <c r="Z71" s="97" t="n"/>
      <c r="AA71" s="96" t="n"/>
      <c r="AB71" s="96" t="n"/>
      <c r="AC71" s="163" t="n"/>
      <c r="AD71" s="163" t="n"/>
      <c r="AE71" s="96" t="n"/>
      <c r="AF71" s="96" t="n"/>
      <c r="AG71" s="97" t="n"/>
      <c r="AH71" s="96" t="n"/>
      <c r="AI71" s="97" t="n"/>
      <c r="AJ71" s="97" t="n"/>
      <c r="AK71" s="97" t="n"/>
      <c r="AL71" s="97" t="n"/>
      <c r="AM71" s="96" t="n"/>
      <c r="AN71" s="96" t="n"/>
      <c r="AO71" s="96" t="n"/>
      <c r="AP71" s="96" t="n"/>
      <c r="AQ71" s="97" t="n"/>
      <c r="AR71" s="97" t="n"/>
      <c r="AS71" s="97" t="n"/>
      <c r="AT71" s="97" t="n"/>
      <c r="AU71" s="97" t="n"/>
      <c r="AV71" s="97" t="n"/>
      <c r="AW71" s="97" t="n"/>
      <c r="AX71" s="96" t="n"/>
      <c r="AY71" s="97" t="n"/>
      <c r="AZ71" s="96" t="n"/>
      <c r="BA71" s="97" t="n"/>
      <c r="BB71" s="96" t="n"/>
      <c r="BC71" s="161" t="n"/>
      <c r="BD71" s="161" t="n"/>
      <c r="BE71" s="96" t="n"/>
      <c r="BF71" s="96" t="n"/>
      <c r="BG71" s="96" t="n"/>
      <c r="BH71" s="96" t="n"/>
      <c r="BI71" s="97" t="n"/>
      <c r="BJ71" s="97" t="n"/>
      <c r="BK71" s="96" t="n"/>
      <c r="BL71" s="161" t="n"/>
      <c r="BM71" s="127" t="n"/>
      <c r="BN71" s="127" t="n"/>
      <c r="BO71" s="127" t="n"/>
      <c r="BP71" s="127" t="n"/>
      <c r="BQ71" s="127" t="n"/>
      <c r="BR71" s="127" t="n"/>
      <c r="BS71" s="127" t="n"/>
      <c r="BT71" s="127" t="n"/>
      <c r="BU71" s="127" t="n"/>
      <c r="BV71" s="127" t="n"/>
      <c r="BW71" s="127" t="n"/>
      <c r="BX71" s="127" t="n"/>
      <c r="BY71" s="96" t="n"/>
      <c r="BZ71" s="97" t="n"/>
      <c r="CA71" s="96" t="n"/>
      <c r="CB71" s="97" t="n"/>
      <c r="CC71" s="96" t="n"/>
      <c r="CD71" s="97" t="n"/>
      <c r="CE71" s="97" t="n"/>
      <c r="CF71" s="96" t="n"/>
      <c r="CG71" s="96" t="n"/>
      <c r="CH71" s="97" t="n"/>
      <c r="CI71" s="96" t="n"/>
      <c r="CJ71" s="96" t="n"/>
      <c r="CK71" s="96" t="n"/>
      <c r="CL71" s="96" t="n"/>
      <c r="CM71" s="97" t="n"/>
      <c r="CN71" s="96" t="n"/>
      <c r="CO71" s="96" t="n"/>
      <c r="CP71" s="97" t="n"/>
      <c r="CQ71" s="96" t="n"/>
      <c r="CR71" s="96" t="n"/>
      <c r="CS71" s="96" t="n"/>
      <c r="CT71" s="96" t="n"/>
      <c r="CU71" s="97" t="n"/>
      <c r="CV71" s="97" t="n"/>
      <c r="CW71" s="161" t="n"/>
      <c r="CX71" s="97" t="n"/>
      <c r="CY71" s="183" t="n"/>
    </row>
    <row r="72" ht="12" customHeight="1">
      <c r="A72" s="116" t="inlineStr">
        <is>
          <t xml:space="preserve">SOC </t>
        </is>
      </c>
      <c r="B72" s="96" t="inlineStr">
        <is>
          <t>0</t>
        </is>
      </c>
      <c r="C72" s="97" t="n"/>
      <c r="D72" s="97" t="n"/>
      <c r="E72" s="97" t="n"/>
      <c r="F72" s="97" t="n">
        <v>0</v>
      </c>
      <c r="G72" s="97" t="n">
        <v>0</v>
      </c>
      <c r="H72" s="97" t="n">
        <v>0</v>
      </c>
      <c r="I72" s="97" t="n">
        <v>3</v>
      </c>
      <c r="J72" s="97" t="n">
        <v>6</v>
      </c>
      <c r="K72" s="96" t="n"/>
      <c r="L72" s="96" t="n"/>
      <c r="M72" s="96" t="n"/>
      <c r="N72" s="96" t="n"/>
      <c r="O72" s="96" t="n"/>
      <c r="P72" s="96" t="n"/>
      <c r="Q72" s="96" t="n"/>
      <c r="R72" s="161" t="n"/>
      <c r="S72" s="96" t="n"/>
      <c r="T72" s="96" t="n"/>
      <c r="U72" s="96" t="n"/>
      <c r="V72" s="161" t="n"/>
      <c r="W72" s="96" t="n"/>
      <c r="X72" s="97" t="n"/>
      <c r="Y72" s="97" t="n"/>
      <c r="Z72" s="97" t="n"/>
      <c r="AA72" s="96" t="n"/>
      <c r="AB72" s="96" t="n"/>
      <c r="AC72" s="163" t="n"/>
      <c r="AD72" s="163" t="n"/>
      <c r="AE72" s="96" t="n"/>
      <c r="AF72" s="96" t="n"/>
      <c r="AG72" s="97" t="n"/>
      <c r="AH72" s="96" t="n"/>
      <c r="AI72" s="97" t="n"/>
      <c r="AJ72" s="97" t="n"/>
      <c r="AK72" s="97" t="n"/>
      <c r="AL72" s="97" t="n"/>
      <c r="AM72" s="96" t="n"/>
      <c r="AN72" s="96" t="n"/>
      <c r="AO72" s="96" t="n"/>
      <c r="AP72" s="96" t="n"/>
      <c r="AQ72" s="97" t="n"/>
      <c r="AR72" s="97" t="n"/>
      <c r="AS72" s="97" t="n"/>
      <c r="AT72" s="97" t="n"/>
      <c r="AU72" s="97" t="n"/>
      <c r="AV72" s="97" t="n"/>
      <c r="AW72" s="97" t="n"/>
      <c r="AX72" s="96" t="n"/>
      <c r="AY72" s="97" t="n"/>
      <c r="AZ72" s="96" t="n"/>
      <c r="BA72" s="97" t="n"/>
      <c r="BB72" s="96" t="n"/>
      <c r="BC72" s="161" t="n"/>
      <c r="BD72" s="161" t="n"/>
      <c r="BE72" s="96" t="n"/>
      <c r="BF72" s="96" t="n"/>
      <c r="BG72" s="96" t="n"/>
      <c r="BH72" s="96" t="n"/>
      <c r="BI72" s="97" t="n"/>
      <c r="BJ72" s="97" t="n"/>
      <c r="BK72" s="96" t="n"/>
      <c r="BL72" s="161" t="n"/>
      <c r="BM72" s="127" t="n"/>
      <c r="BN72" s="127" t="n"/>
      <c r="BO72" s="127" t="n"/>
      <c r="BP72" s="127" t="n"/>
      <c r="BQ72" s="127" t="n"/>
      <c r="BR72" s="127" t="n"/>
      <c r="BS72" s="127" t="n"/>
      <c r="BT72" s="127" t="n"/>
      <c r="BU72" s="127" t="n"/>
      <c r="BV72" s="127" t="n"/>
      <c r="BW72" s="127" t="n"/>
      <c r="BX72" s="127" t="n"/>
      <c r="BY72" s="96" t="n"/>
      <c r="BZ72" s="97" t="n"/>
      <c r="CA72" s="96" t="n"/>
      <c r="CB72" s="97" t="n"/>
      <c r="CC72" s="96" t="n"/>
      <c r="CD72" s="97" t="n"/>
      <c r="CE72" s="97" t="n"/>
      <c r="CF72" s="96" t="n"/>
      <c r="CG72" s="96" t="n"/>
      <c r="CH72" s="97" t="n"/>
      <c r="CI72" s="96" t="n"/>
      <c r="CJ72" s="96" t="n"/>
      <c r="CK72" s="96" t="n"/>
      <c r="CL72" s="96" t="n"/>
      <c r="CM72" s="97" t="n"/>
      <c r="CN72" s="96" t="n"/>
      <c r="CO72" s="96" t="n"/>
      <c r="CP72" s="97" t="n"/>
      <c r="CQ72" s="96" t="n"/>
      <c r="CR72" s="96" t="n"/>
      <c r="CS72" s="96" t="n"/>
      <c r="CT72" s="96" t="n"/>
      <c r="CU72" s="97" t="n"/>
      <c r="CV72" s="97" t="n"/>
      <c r="CW72" s="161" t="n"/>
      <c r="CX72" s="97" t="n"/>
      <c r="CY72" s="183" t="n"/>
    </row>
    <row r="73" ht="12" customHeight="1">
      <c r="A73" s="116" t="inlineStr">
        <is>
          <t>68</t>
        </is>
      </c>
      <c r="B73" s="96" t="inlineStr">
        <is>
          <t>192</t>
        </is>
      </c>
      <c r="C73" s="97" t="n"/>
      <c r="D73" s="97" t="n"/>
      <c r="E73" s="97" t="n"/>
      <c r="F73" s="97" t="n"/>
      <c r="G73" s="97" t="n"/>
      <c r="H73" s="97" t="n"/>
      <c r="I73" s="97" t="n"/>
      <c r="J73" s="97" t="n"/>
      <c r="K73" s="96" t="n"/>
      <c r="L73" s="96" t="n"/>
      <c r="M73" s="96" t="n"/>
      <c r="N73" s="96" t="n"/>
      <c r="O73" s="96" t="n"/>
      <c r="P73" s="96" t="n"/>
      <c r="Q73" s="96" t="n"/>
      <c r="R73" s="161" t="n"/>
      <c r="S73" s="96" t="n"/>
      <c r="T73" s="96" t="n"/>
      <c r="U73" s="96" t="n"/>
      <c r="V73" s="161" t="n"/>
      <c r="W73" s="96" t="n"/>
      <c r="X73" s="97" t="n"/>
      <c r="Y73" s="97" t="n"/>
      <c r="Z73" s="97" t="n"/>
      <c r="AA73" s="96" t="n"/>
      <c r="AB73" s="96" t="n"/>
      <c r="AC73" s="163" t="n"/>
      <c r="AD73" s="163" t="n"/>
      <c r="AE73" s="96" t="n"/>
      <c r="AF73" s="96" t="n"/>
      <c r="AG73" s="97" t="n"/>
      <c r="AH73" s="96" t="n"/>
      <c r="AI73" s="97" t="n"/>
      <c r="AJ73" s="97" t="n"/>
      <c r="AK73" s="97" t="n"/>
      <c r="AL73" s="97" t="n"/>
      <c r="AM73" s="96" t="n"/>
      <c r="AN73" s="96" t="n"/>
      <c r="AO73" s="96" t="n"/>
      <c r="AP73" s="96" t="n"/>
      <c r="AQ73" s="97" t="n"/>
      <c r="AR73" s="97" t="n"/>
      <c r="AS73" s="97" t="n"/>
      <c r="AT73" s="97" t="n"/>
      <c r="AU73" s="97" t="n"/>
      <c r="AV73" s="97" t="n"/>
      <c r="AW73" s="97" t="n"/>
      <c r="AX73" s="96" t="n"/>
      <c r="AY73" s="97" t="n"/>
      <c r="AZ73" s="96" t="n"/>
      <c r="BA73" s="97" t="n"/>
      <c r="BB73" s="96" t="n"/>
      <c r="BC73" s="161" t="n"/>
      <c r="BD73" s="161" t="n"/>
      <c r="BE73" s="96" t="n"/>
      <c r="BF73" s="96" t="n"/>
      <c r="BG73" s="96" t="n"/>
      <c r="BH73" s="96" t="n"/>
      <c r="BI73" s="97" t="n"/>
      <c r="BJ73" s="97" t="n"/>
      <c r="BK73" s="96" t="n"/>
      <c r="BL73" s="161" t="n"/>
      <c r="BM73" s="127" t="n"/>
      <c r="BN73" s="127" t="n"/>
      <c r="BO73" s="127" t="n"/>
      <c r="BP73" s="127" t="n"/>
      <c r="BQ73" s="127" t="n"/>
      <c r="BR73" s="127" t="n"/>
      <c r="BS73" s="127" t="n"/>
      <c r="BT73" s="127" t="n"/>
      <c r="BU73" s="127" t="n"/>
      <c r="BV73" s="127" t="n"/>
      <c r="BW73" s="127" t="n"/>
      <c r="BX73" s="127" t="n"/>
      <c r="BY73" s="96" t="n"/>
      <c r="BZ73" s="97" t="n"/>
      <c r="CA73" s="96" t="n"/>
      <c r="CB73" s="97" t="n"/>
      <c r="CC73" s="96" t="n"/>
      <c r="CD73" s="97" t="n"/>
      <c r="CE73" s="97" t="n"/>
      <c r="CF73" s="96" t="n"/>
      <c r="CG73" s="96" t="n"/>
      <c r="CH73" s="97" t="n"/>
      <c r="CI73" s="96" t="n"/>
      <c r="CJ73" s="96" t="n"/>
      <c r="CK73" s="96" t="n"/>
      <c r="CL73" s="96" t="n"/>
      <c r="CM73" s="97" t="n"/>
      <c r="CN73" s="96" t="n"/>
      <c r="CO73" s="96" t="n"/>
      <c r="CP73" s="97" t="n"/>
      <c r="CQ73" s="96" t="n"/>
      <c r="CR73" s="96" t="n"/>
      <c r="CS73" s="96" t="n"/>
      <c r="CT73" s="96" t="n"/>
      <c r="CU73" s="97" t="n"/>
      <c r="CV73" s="97" t="n"/>
      <c r="CW73" s="161" t="n"/>
      <c r="CX73" s="97" t="n"/>
      <c r="CY73" s="183" t="n"/>
    </row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9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BEAU2428783</t>
        </is>
      </c>
      <c r="B2" s="108" t="inlineStr">
        <is>
          <t>BKK01</t>
        </is>
      </c>
      <c r="C2" s="108" t="inlineStr">
        <is>
          <t>IFV</t>
        </is>
      </c>
      <c r="D2" s="172" t="inlineStr">
        <is>
          <t>2026-09-28</t>
        </is>
      </c>
      <c r="E2" s="173" t="inlineStr">
        <is>
          <t>1711</t>
        </is>
      </c>
      <c r="F2" s="96" t="inlineStr">
        <is>
          <t>HASLS22260900939</t>
        </is>
      </c>
      <c r="G2" s="96" t="inlineStr">
        <is>
          <t>POLAR STAR CO., LTD.</t>
        </is>
      </c>
      <c r="H2" s="111" t="inlineStr">
        <is>
          <t>22GP</t>
        </is>
      </c>
      <c r="I2" s="96" t="n"/>
      <c r="J2" s="96" t="inlineStr">
        <is>
          <t>Chuanchuen</t>
        </is>
      </c>
      <c r="K2" s="96" t="inlineStr">
        <is>
          <t>SD</t>
        </is>
      </c>
      <c r="L2" s="111" t="inlineStr">
        <is>
          <t>Full</t>
        </is>
      </c>
      <c r="M2" s="96" t="inlineStr">
        <is>
          <t>HASLS22260900939</t>
        </is>
      </c>
      <c r="N2" s="96" t="inlineStr">
        <is>
          <t xml:space="preserve">20'x4 </t>
        </is>
      </c>
      <c r="O2" s="111" t="inlineStr">
        <is>
          <t>2015</t>
        </is>
      </c>
      <c r="P2" s="111" t="n"/>
      <c r="Q2" s="111" t="n"/>
      <c r="R2" s="96" t="n"/>
      <c r="S2" s="96" t="n"/>
      <c r="T2" s="96" t="inlineStr">
        <is>
          <t>BKK04</t>
        </is>
      </c>
      <c r="U2" s="96" t="inlineStr">
        <is>
          <t>THBKK</t>
        </is>
      </c>
      <c r="V2" s="161" t="inlineStr">
        <is>
          <t>2026-10-08</t>
        </is>
      </c>
      <c r="W2" s="96" t="inlineStr">
        <is>
          <t>VNSGN</t>
        </is>
      </c>
      <c r="X2" s="161" t="inlineStr">
        <is>
          <t>2026-10-11</t>
        </is>
      </c>
      <c r="Y2" s="97" t="n"/>
      <c r="Z2" s="97" t="n"/>
      <c r="AA2" s="97" t="n"/>
      <c r="AB2" s="97" t="n"/>
      <c r="AC2" s="97" t="n"/>
      <c r="AD2" s="161" t="inlineStr">
        <is>
          <t>2026-09-30</t>
        </is>
      </c>
      <c r="AE2" s="174" t="inlineStr">
        <is>
          <t>1246</t>
        </is>
      </c>
      <c r="AF2" s="96" t="inlineStr">
        <is>
          <t>TBKK07</t>
        </is>
      </c>
      <c r="AG2" s="97" t="n"/>
      <c r="AH2" s="97" t="n"/>
      <c r="AI2" s="97" t="n"/>
      <c r="AJ2" s="96" t="inlineStr">
        <is>
          <t>MODERN VETERINARY TRADING CO., LTD.</t>
        </is>
      </c>
      <c r="AK2" s="130" t="n">
        <v>0</v>
      </c>
    </row>
    <row r="3" ht="12" customHeight="1">
      <c r="A3" s="108" t="inlineStr">
        <is>
          <t>BMOU5940890</t>
        </is>
      </c>
      <c r="B3" s="108" t="inlineStr">
        <is>
          <t>BKK04</t>
        </is>
      </c>
      <c r="C3" s="108" t="inlineStr">
        <is>
          <t>IFW</t>
        </is>
      </c>
      <c r="D3" s="172" t="inlineStr">
        <is>
          <t>2026-10-06</t>
        </is>
      </c>
      <c r="E3" s="173" t="inlineStr">
        <is>
          <t>1808</t>
        </is>
      </c>
      <c r="F3" s="96" t="inlineStr">
        <is>
          <t>HASLS22260902456</t>
        </is>
      </c>
      <c r="G3" s="96" t="inlineStr">
        <is>
          <t>MAC-NELS SHIPPING (THAILAND) LTD.</t>
        </is>
      </c>
      <c r="H3" s="111" t="inlineStr">
        <is>
          <t>45GP</t>
        </is>
      </c>
      <c r="I3" s="96" t="n"/>
      <c r="J3" s="96" t="inlineStr">
        <is>
          <t>Chuanchuen</t>
        </is>
      </c>
      <c r="K3" s="96" t="inlineStr">
        <is>
          <t>SD</t>
        </is>
      </c>
      <c r="L3" s="111" t="inlineStr">
        <is>
          <t>Full</t>
        </is>
      </c>
      <c r="M3" s="96" t="inlineStr">
        <is>
          <t>HASLS22260902456</t>
        </is>
      </c>
      <c r="N3" s="96" t="inlineStr">
        <is>
          <t xml:space="preserve">40Hx1 </t>
        </is>
      </c>
      <c r="O3" s="111" t="inlineStr">
        <is>
          <t>2014</t>
        </is>
      </c>
      <c r="P3" s="111" t="n"/>
      <c r="Q3" s="111" t="n"/>
      <c r="R3" s="96" t="n"/>
      <c r="S3" s="96" t="n"/>
      <c r="T3" s="96" t="inlineStr">
        <is>
          <t>BKK04</t>
        </is>
      </c>
      <c r="U3" s="96" t="inlineStr">
        <is>
          <t>THBKK</t>
        </is>
      </c>
      <c r="V3" s="161" t="inlineStr">
        <is>
          <t>2026-10-08</t>
        </is>
      </c>
      <c r="W3" s="96" t="inlineStr">
        <is>
          <t>KRPUS</t>
        </is>
      </c>
      <c r="X3" s="161" t="inlineStr">
        <is>
          <t>2026-10-19</t>
        </is>
      </c>
      <c r="Y3" s="97" t="n"/>
      <c r="Z3" s="97" t="n"/>
      <c r="AA3" s="97" t="n"/>
      <c r="AB3" s="97" t="n"/>
      <c r="AC3" s="97" t="n"/>
      <c r="AD3" s="161" t="inlineStr">
        <is>
          <t>2026-10-07</t>
        </is>
      </c>
      <c r="AE3" s="174" t="inlineStr">
        <is>
          <t>1139</t>
        </is>
      </c>
      <c r="AF3" s="96" t="inlineStr">
        <is>
          <t>TBKK07</t>
        </is>
      </c>
      <c r="AG3" s="97" t="n"/>
      <c r="AH3" s="97" t="n"/>
      <c r="AI3" s="97" t="n"/>
      <c r="AJ3" s="96" t="inlineStr">
        <is>
          <t>MNCL LINE CO.,LTD (BUSAN OFFICE)</t>
        </is>
      </c>
      <c r="AK3" s="130" t="n">
        <v>0</v>
      </c>
    </row>
    <row r="4" ht="12" customHeight="1">
      <c r="A4" s="108" t="inlineStr">
        <is>
          <t>BMOU6068951</t>
        </is>
      </c>
      <c r="B4" s="108" t="inlineStr">
        <is>
          <t>BKK04</t>
        </is>
      </c>
      <c r="C4" s="108" t="inlineStr">
        <is>
          <t>IFV</t>
        </is>
      </c>
      <c r="D4" s="172" t="inlineStr">
        <is>
          <t>2026-10-02</t>
        </is>
      </c>
      <c r="E4" s="173" t="inlineStr">
        <is>
          <t>2147</t>
        </is>
      </c>
      <c r="F4" s="96" t="inlineStr">
        <is>
          <t>HASLS22260901036</t>
        </is>
      </c>
      <c r="G4" s="96" t="inlineStr">
        <is>
          <t>PISIA INTERFREIGHT CO.,LTD.</t>
        </is>
      </c>
      <c r="H4" s="111" t="inlineStr">
        <is>
          <t>45GP</t>
        </is>
      </c>
      <c r="I4" s="96" t="n"/>
      <c r="J4" s="96" t="inlineStr">
        <is>
          <t>Sirichai Prayochananon</t>
        </is>
      </c>
      <c r="K4" s="96" t="inlineStr">
        <is>
          <t>SD</t>
        </is>
      </c>
      <c r="L4" s="111" t="inlineStr">
        <is>
          <t>Full</t>
        </is>
      </c>
      <c r="M4" s="96" t="inlineStr">
        <is>
          <t>HASLS22260901036</t>
        </is>
      </c>
      <c r="N4" s="96" t="inlineStr">
        <is>
          <t xml:space="preserve">40Hx8 </t>
        </is>
      </c>
      <c r="O4" s="111" t="inlineStr">
        <is>
          <t>2015</t>
        </is>
      </c>
      <c r="P4" s="111" t="n"/>
      <c r="Q4" s="111" t="n"/>
      <c r="R4" s="96" t="n"/>
      <c r="S4" s="96" t="n"/>
      <c r="T4" s="96" t="inlineStr">
        <is>
          <t>BKK04</t>
        </is>
      </c>
      <c r="U4" s="96" t="inlineStr">
        <is>
          <t>THBKK</t>
        </is>
      </c>
      <c r="V4" s="161" t="inlineStr">
        <is>
          <t>2026-10-08</t>
        </is>
      </c>
      <c r="W4" s="96" t="inlineStr">
        <is>
          <t>VNSGN</t>
        </is>
      </c>
      <c r="X4" s="161" t="inlineStr">
        <is>
          <t>2026-10-11</t>
        </is>
      </c>
      <c r="Y4" s="97" t="n"/>
      <c r="Z4" s="97" t="n"/>
      <c r="AA4" s="97" t="n"/>
      <c r="AB4" s="97" t="n"/>
      <c r="AC4" s="97" t="n"/>
      <c r="AD4" s="161" t="inlineStr">
        <is>
          <t>2026-10-04</t>
        </is>
      </c>
      <c r="AE4" s="174" t="inlineStr">
        <is>
          <t>2005</t>
        </is>
      </c>
      <c r="AF4" s="96" t="inlineStr">
        <is>
          <t>TBKK42</t>
        </is>
      </c>
      <c r="AG4" s="97" t="n"/>
      <c r="AH4" s="97" t="n"/>
      <c r="AI4" s="97" t="n"/>
      <c r="AJ4" s="96" t="inlineStr">
        <is>
          <t>TO ORDER OF VIETNAM INTERNATIONAL</t>
        </is>
      </c>
      <c r="AK4" s="130" t="n">
        <v>0</v>
      </c>
    </row>
    <row r="5" ht="12" customHeight="1">
      <c r="A5" s="108" t="inlineStr">
        <is>
          <t>BMOU6075971</t>
        </is>
      </c>
      <c r="B5" s="108" t="inlineStr">
        <is>
          <t>BKK04</t>
        </is>
      </c>
      <c r="C5" s="108" t="inlineStr">
        <is>
          <t>IFW</t>
        </is>
      </c>
      <c r="D5" s="172" t="inlineStr">
        <is>
          <t>2026-10-06</t>
        </is>
      </c>
      <c r="E5" s="173" t="inlineStr">
        <is>
          <t>1828</t>
        </is>
      </c>
      <c r="F5" s="96" t="inlineStr">
        <is>
          <t>HASLS22260802590</t>
        </is>
      </c>
      <c r="G5" s="96" t="inlineStr">
        <is>
          <t>QUANTERM LOGISTICS (THAILAND) CO., LTD.</t>
        </is>
      </c>
      <c r="H5" s="111" t="inlineStr">
        <is>
          <t>45GP</t>
        </is>
      </c>
      <c r="I5" s="96" t="n"/>
      <c r="J5" s="96" t="inlineStr">
        <is>
          <t>Chuanchuen</t>
        </is>
      </c>
      <c r="K5" s="96" t="inlineStr">
        <is>
          <t>SD</t>
        </is>
      </c>
      <c r="L5" s="111" t="inlineStr">
        <is>
          <t>Full</t>
        </is>
      </c>
      <c r="M5" s="96" t="inlineStr">
        <is>
          <t>HASLS22260802590</t>
        </is>
      </c>
      <c r="N5" s="96" t="inlineStr">
        <is>
          <t xml:space="preserve">40Hx1 </t>
        </is>
      </c>
      <c r="O5" s="111" t="inlineStr">
        <is>
          <t>2015</t>
        </is>
      </c>
      <c r="P5" s="111" t="n"/>
      <c r="Q5" s="111" t="n"/>
      <c r="R5" s="96" t="n"/>
      <c r="S5" s="96" t="n"/>
      <c r="T5" s="96" t="inlineStr">
        <is>
          <t>BKK04</t>
        </is>
      </c>
      <c r="U5" s="96" t="inlineStr">
        <is>
          <t>THBKK</t>
        </is>
      </c>
      <c r="V5" s="161" t="inlineStr">
        <is>
          <t>2026-10-08</t>
        </is>
      </c>
      <c r="W5" s="96" t="inlineStr">
        <is>
          <t>VNSGN</t>
        </is>
      </c>
      <c r="X5" s="161" t="inlineStr">
        <is>
          <t>2026-10-11</t>
        </is>
      </c>
      <c r="Y5" s="97" t="n"/>
      <c r="Z5" s="97" t="n"/>
      <c r="AA5" s="97" t="n"/>
      <c r="AB5" s="97" t="n"/>
      <c r="AC5" s="97" t="n"/>
      <c r="AD5" s="161" t="inlineStr">
        <is>
          <t>2026-10-07</t>
        </is>
      </c>
      <c r="AE5" s="174" t="inlineStr">
        <is>
          <t>1139</t>
        </is>
      </c>
      <c r="AF5" s="96" t="inlineStr">
        <is>
          <t>TBKK07</t>
        </is>
      </c>
      <c r="AG5" s="97" t="n"/>
      <c r="AH5" s="97" t="n"/>
      <c r="AI5" s="97" t="n"/>
      <c r="AJ5" s="96" t="inlineStr">
        <is>
          <t>QUANTERM LOGISTICS  (VIETNAM)</t>
        </is>
      </c>
      <c r="AK5" s="130" t="n">
        <v>0</v>
      </c>
    </row>
    <row r="6" ht="12" customHeight="1">
      <c r="A6" s="108" t="inlineStr">
        <is>
          <t>CXDU2305139</t>
        </is>
      </c>
      <c r="B6" s="108" t="inlineStr">
        <is>
          <t>BKK01</t>
        </is>
      </c>
      <c r="C6" s="108" t="inlineStr">
        <is>
          <t>IFV</t>
        </is>
      </c>
      <c r="D6" s="172" t="inlineStr">
        <is>
          <t>2026-09-29</t>
        </is>
      </c>
      <c r="E6" s="173" t="inlineStr">
        <is>
          <t>1129</t>
        </is>
      </c>
      <c r="F6" s="96" t="inlineStr">
        <is>
          <t>HASLS22260800838</t>
        </is>
      </c>
      <c r="G6" s="96" t="inlineStr">
        <is>
          <t>SCGJWD LOGISTICS PUBLIC COMPANY LIMITED</t>
        </is>
      </c>
      <c r="H6" s="111" t="inlineStr">
        <is>
          <t>22GP</t>
        </is>
      </c>
      <c r="I6" s="96" t="n"/>
      <c r="J6" s="96" t="inlineStr">
        <is>
          <t>Chuanchuen</t>
        </is>
      </c>
      <c r="K6" s="96" t="inlineStr">
        <is>
          <t>SD</t>
        </is>
      </c>
      <c r="L6" s="111" t="inlineStr">
        <is>
          <t>Full</t>
        </is>
      </c>
      <c r="M6" s="96" t="inlineStr">
        <is>
          <t>HASLS22260800838</t>
        </is>
      </c>
      <c r="N6" s="96" t="inlineStr">
        <is>
          <t xml:space="preserve">20'x10 </t>
        </is>
      </c>
      <c r="O6" s="111" t="inlineStr">
        <is>
          <t>2014</t>
        </is>
      </c>
      <c r="P6" s="111" t="n"/>
      <c r="Q6" s="111" t="n"/>
      <c r="R6" s="96" t="n"/>
      <c r="S6" s="96" t="n"/>
      <c r="T6" s="96" t="inlineStr">
        <is>
          <t>BKK04</t>
        </is>
      </c>
      <c r="U6" s="96" t="inlineStr">
        <is>
          <t>THBKK</t>
        </is>
      </c>
      <c r="V6" s="161" t="inlineStr">
        <is>
          <t>2026-10-08</t>
        </is>
      </c>
      <c r="W6" s="96" t="inlineStr">
        <is>
          <t>VNSGN</t>
        </is>
      </c>
      <c r="X6" s="161" t="inlineStr">
        <is>
          <t>2026-10-11</t>
        </is>
      </c>
      <c r="Y6" s="97" t="n"/>
      <c r="Z6" s="97" t="n"/>
      <c r="AA6" s="97" t="n"/>
      <c r="AB6" s="97" t="n"/>
      <c r="AC6" s="97" t="n"/>
      <c r="AD6" s="161" t="inlineStr">
        <is>
          <t>2026-09-30</t>
        </is>
      </c>
      <c r="AE6" s="174" t="inlineStr">
        <is>
          <t>1042</t>
        </is>
      </c>
      <c r="AF6" s="96" t="inlineStr">
        <is>
          <t>TBKK07</t>
        </is>
      </c>
      <c r="AG6" s="97" t="n"/>
      <c r="AH6" s="97" t="n"/>
      <c r="AI6" s="97" t="n"/>
      <c r="AJ6" s="96" t="inlineStr">
        <is>
          <t>BUU LONG INDUSTRY AND INVESTMENT</t>
        </is>
      </c>
      <c r="AK6" s="130" t="n">
        <v>0</v>
      </c>
    </row>
    <row r="7" ht="12" customHeight="1">
      <c r="A7" s="108" t="inlineStr">
        <is>
          <t>DFSU3102503</t>
        </is>
      </c>
      <c r="B7" s="108" t="inlineStr">
        <is>
          <t>BKK01</t>
        </is>
      </c>
      <c r="C7" s="108" t="inlineStr">
        <is>
          <t>IFV</t>
        </is>
      </c>
      <c r="D7" s="172" t="inlineStr">
        <is>
          <t>2026-09-29</t>
        </is>
      </c>
      <c r="E7" s="173" t="inlineStr">
        <is>
          <t>0343</t>
        </is>
      </c>
      <c r="F7" s="96" t="inlineStr">
        <is>
          <t>HASLS22260800838</t>
        </is>
      </c>
      <c r="G7" s="96" t="inlineStr">
        <is>
          <t>SCGJWD LOGISTICS PUBLIC COMPANY LIMITED</t>
        </is>
      </c>
      <c r="H7" s="111" t="inlineStr">
        <is>
          <t>22GP</t>
        </is>
      </c>
      <c r="I7" s="96" t="n"/>
      <c r="J7" s="96" t="inlineStr">
        <is>
          <t>Chuanchuen</t>
        </is>
      </c>
      <c r="K7" s="96" t="inlineStr">
        <is>
          <t>SD</t>
        </is>
      </c>
      <c r="L7" s="111" t="inlineStr">
        <is>
          <t>Full</t>
        </is>
      </c>
      <c r="M7" s="96" t="inlineStr">
        <is>
          <t>HASLS22260800838</t>
        </is>
      </c>
      <c r="N7" s="96" t="inlineStr">
        <is>
          <t xml:space="preserve">20'x10 </t>
        </is>
      </c>
      <c r="O7" s="111" t="inlineStr">
        <is>
          <t>2015</t>
        </is>
      </c>
      <c r="P7" s="111" t="n"/>
      <c r="Q7" s="111" t="n"/>
      <c r="R7" s="96" t="n"/>
      <c r="S7" s="96" t="n"/>
      <c r="T7" s="96" t="inlineStr">
        <is>
          <t>BKK04</t>
        </is>
      </c>
      <c r="U7" s="96" t="inlineStr">
        <is>
          <t>THBKK</t>
        </is>
      </c>
      <c r="V7" s="161" t="inlineStr">
        <is>
          <t>2026-10-08</t>
        </is>
      </c>
      <c r="W7" s="96" t="inlineStr">
        <is>
          <t>VNSGN</t>
        </is>
      </c>
      <c r="X7" s="161" t="inlineStr">
        <is>
          <t>2026-10-11</t>
        </is>
      </c>
      <c r="Y7" s="97" t="n"/>
      <c r="Z7" s="97" t="n"/>
      <c r="AA7" s="97" t="n"/>
      <c r="AB7" s="97" t="n"/>
      <c r="AC7" s="97" t="n"/>
      <c r="AD7" s="161" t="inlineStr">
        <is>
          <t>2026-09-29</t>
        </is>
      </c>
      <c r="AE7" s="174" t="inlineStr">
        <is>
          <t>1049</t>
        </is>
      </c>
      <c r="AF7" s="96" t="inlineStr">
        <is>
          <t>TBKK07</t>
        </is>
      </c>
      <c r="AG7" s="97" t="n"/>
      <c r="AH7" s="97" t="n"/>
      <c r="AI7" s="97" t="n"/>
      <c r="AJ7" s="96" t="inlineStr">
        <is>
          <t>BUU LONG INDUSTRY AND INVESTMENT</t>
        </is>
      </c>
      <c r="AK7" s="130" t="n">
        <v>0</v>
      </c>
    </row>
    <row r="8" ht="12" customHeight="1">
      <c r="A8" s="108" t="inlineStr">
        <is>
          <t>FBIU5093827</t>
        </is>
      </c>
      <c r="B8" s="108" t="inlineStr">
        <is>
          <t>BKK04</t>
        </is>
      </c>
      <c r="C8" s="108" t="inlineStr">
        <is>
          <t>IFV</t>
        </is>
      </c>
      <c r="D8" s="172" t="inlineStr">
        <is>
          <t>2026-10-05</t>
        </is>
      </c>
      <c r="E8" s="173" t="inlineStr">
        <is>
          <t>1537</t>
        </is>
      </c>
      <c r="F8" s="96" t="inlineStr">
        <is>
          <t>HASLS22260900909</t>
        </is>
      </c>
      <c r="G8" s="96" t="inlineStr">
        <is>
          <t>SIAM I-LOGISTICS LTD.</t>
        </is>
      </c>
      <c r="H8" s="111" t="inlineStr">
        <is>
          <t>45RE</t>
        </is>
      </c>
      <c r="I8" s="96" t="n"/>
      <c r="J8" s="96" t="inlineStr">
        <is>
          <t>Chuanchuen</t>
        </is>
      </c>
      <c r="K8" s="96" t="inlineStr">
        <is>
          <t>SD</t>
        </is>
      </c>
      <c r="L8" s="111" t="inlineStr">
        <is>
          <t>Full</t>
        </is>
      </c>
      <c r="M8" s="96" t="inlineStr">
        <is>
          <t>HASLS22260900909</t>
        </is>
      </c>
      <c r="N8" s="96" t="inlineStr">
        <is>
          <t xml:space="preserve">R40Hx6 </t>
        </is>
      </c>
      <c r="O8" s="111" t="inlineStr">
        <is>
          <t>2021</t>
        </is>
      </c>
      <c r="P8" s="111" t="inlineStr">
        <is>
          <t>CARRIER</t>
        </is>
      </c>
      <c r="Q8" s="111" t="inlineStr">
        <is>
          <t>Primeline</t>
        </is>
      </c>
      <c r="R8" s="96" t="n"/>
      <c r="S8" s="96" t="n"/>
      <c r="T8" s="96" t="inlineStr">
        <is>
          <t>BKK04</t>
        </is>
      </c>
      <c r="U8" s="96" t="inlineStr">
        <is>
          <t>THBKK</t>
        </is>
      </c>
      <c r="V8" s="161" t="inlineStr">
        <is>
          <t>2026-10-08</t>
        </is>
      </c>
      <c r="W8" s="96" t="inlineStr">
        <is>
          <t>VNSGN</t>
        </is>
      </c>
      <c r="X8" s="161" t="inlineStr">
        <is>
          <t>2026-10-11</t>
        </is>
      </c>
      <c r="Y8" s="97" t="n"/>
      <c r="Z8" s="97" t="n"/>
      <c r="AA8" s="97" t="n"/>
      <c r="AB8" s="97" t="n"/>
      <c r="AC8" s="97" t="n"/>
      <c r="AD8" s="161" t="inlineStr">
        <is>
          <t>2026-10-06</t>
        </is>
      </c>
      <c r="AE8" s="174" t="inlineStr">
        <is>
          <t>1047</t>
        </is>
      </c>
      <c r="AF8" s="96" t="inlineStr">
        <is>
          <t>TBKK07</t>
        </is>
      </c>
      <c r="AG8" s="97" t="n"/>
      <c r="AH8" s="97" t="n"/>
      <c r="AI8" s="97" t="n"/>
      <c r="AJ8" s="96" t="inlineStr">
        <is>
          <t>0319135354 #ITOCHU LOGISTICS</t>
        </is>
      </c>
      <c r="AK8" s="130" t="n">
        <v>0</v>
      </c>
    </row>
    <row r="9" ht="12" customHeight="1">
      <c r="A9" s="108" t="inlineStr">
        <is>
          <t>FBIU5093935</t>
        </is>
      </c>
      <c r="B9" s="108" t="inlineStr">
        <is>
          <t>BKK04</t>
        </is>
      </c>
      <c r="C9" s="108" t="inlineStr">
        <is>
          <t>IFV</t>
        </is>
      </c>
      <c r="D9" s="172" t="inlineStr">
        <is>
          <t>2026-10-05</t>
        </is>
      </c>
      <c r="E9" s="173" t="inlineStr">
        <is>
          <t>1552</t>
        </is>
      </c>
      <c r="F9" s="96" t="inlineStr">
        <is>
          <t>HASLS22260902007</t>
        </is>
      </c>
      <c r="G9" s="96" t="inlineStr">
        <is>
          <t>PACIFIC FORWARDER INTERNATIONAL CO., LTD.</t>
        </is>
      </c>
      <c r="H9" s="111" t="inlineStr">
        <is>
          <t>45RE</t>
        </is>
      </c>
      <c r="I9" s="96" t="n"/>
      <c r="J9" s="96" t="inlineStr">
        <is>
          <t>Chuanchuen</t>
        </is>
      </c>
      <c r="K9" s="96" t="inlineStr">
        <is>
          <t>SD</t>
        </is>
      </c>
      <c r="L9" s="111" t="inlineStr">
        <is>
          <t>Full</t>
        </is>
      </c>
      <c r="M9" s="96" t="inlineStr">
        <is>
          <t>HASLS22260902007</t>
        </is>
      </c>
      <c r="N9" s="96" t="inlineStr">
        <is>
          <t xml:space="preserve">R40Hx1 </t>
        </is>
      </c>
      <c r="O9" s="111" t="inlineStr">
        <is>
          <t>2021</t>
        </is>
      </c>
      <c r="P9" s="111" t="inlineStr">
        <is>
          <t>CARRIER</t>
        </is>
      </c>
      <c r="Q9" s="111" t="inlineStr">
        <is>
          <t>Primeline</t>
        </is>
      </c>
      <c r="R9" s="96" t="n"/>
      <c r="S9" s="96" t="n"/>
      <c r="T9" s="96" t="inlineStr">
        <is>
          <t>BKK04</t>
        </is>
      </c>
      <c r="U9" s="96" t="inlineStr">
        <is>
          <t>THBKK</t>
        </is>
      </c>
      <c r="V9" s="161" t="inlineStr">
        <is>
          <t>2026-10-08</t>
        </is>
      </c>
      <c r="W9" s="96" t="inlineStr">
        <is>
          <t>VNSGN</t>
        </is>
      </c>
      <c r="X9" s="161" t="inlineStr">
        <is>
          <t>2026-10-11</t>
        </is>
      </c>
      <c r="Y9" s="97" t="n"/>
      <c r="Z9" s="97" t="n"/>
      <c r="AA9" s="97" t="n"/>
      <c r="AB9" s="97" t="n"/>
      <c r="AC9" s="97" t="n"/>
      <c r="AD9" s="161" t="inlineStr">
        <is>
          <t>2026-10-06</t>
        </is>
      </c>
      <c r="AE9" s="174" t="inlineStr">
        <is>
          <t>1123</t>
        </is>
      </c>
      <c r="AF9" s="96" t="inlineStr">
        <is>
          <t>TBKK07</t>
        </is>
      </c>
      <c r="AG9" s="97" t="n"/>
      <c r="AH9" s="97" t="n"/>
      <c r="AI9" s="97" t="n"/>
      <c r="AJ9" s="96" t="inlineStr">
        <is>
          <t>BRANCH OF DONG A PHARMACEUTICAL</t>
        </is>
      </c>
      <c r="AK9" s="130" t="n">
        <v>0</v>
      </c>
    </row>
    <row r="10" ht="12" customHeight="1">
      <c r="A10" s="108" t="inlineStr">
        <is>
          <t>FBIU5102847</t>
        </is>
      </c>
      <c r="B10" s="108" t="inlineStr">
        <is>
          <t>BKK04</t>
        </is>
      </c>
      <c r="C10" s="108" t="inlineStr">
        <is>
          <t>IFV</t>
        </is>
      </c>
      <c r="D10" s="172" t="inlineStr">
        <is>
          <t>2026-10-01</t>
        </is>
      </c>
      <c r="E10" s="173" t="inlineStr">
        <is>
          <t>2314</t>
        </is>
      </c>
      <c r="F10" s="96" t="inlineStr">
        <is>
          <t>HASLS22260802552</t>
        </is>
      </c>
      <c r="G10" s="96" t="inlineStr">
        <is>
          <t>LAND SEA SKY CO., LTD.</t>
        </is>
      </c>
      <c r="H10" s="111" t="inlineStr">
        <is>
          <t>45RE</t>
        </is>
      </c>
      <c r="I10" s="96" t="n"/>
      <c r="J10" s="96" t="inlineStr">
        <is>
          <t>Chuanchuen</t>
        </is>
      </c>
      <c r="K10" s="96" t="inlineStr">
        <is>
          <t>SD</t>
        </is>
      </c>
      <c r="L10" s="111" t="inlineStr">
        <is>
          <t>Full</t>
        </is>
      </c>
      <c r="M10" s="96" t="inlineStr">
        <is>
          <t>HASLS22260802552</t>
        </is>
      </c>
      <c r="N10" s="96" t="inlineStr">
        <is>
          <t xml:space="preserve">R40Hx1 </t>
        </is>
      </c>
      <c r="O10" s="111" t="inlineStr">
        <is>
          <t>2021</t>
        </is>
      </c>
      <c r="P10" s="111" t="inlineStr">
        <is>
          <t>CARRIER</t>
        </is>
      </c>
      <c r="Q10" s="111" t="inlineStr">
        <is>
          <t>69NT40-561-503</t>
        </is>
      </c>
      <c r="R10" s="96" t="n"/>
      <c r="S10" s="96" t="n"/>
      <c r="T10" s="96" t="inlineStr">
        <is>
          <t>BKK04</t>
        </is>
      </c>
      <c r="U10" s="96" t="inlineStr">
        <is>
          <t>THBKK</t>
        </is>
      </c>
      <c r="V10" s="161" t="inlineStr">
        <is>
          <t>2026-10-08</t>
        </is>
      </c>
      <c r="W10" s="96" t="inlineStr">
        <is>
          <t>KRPTK</t>
        </is>
      </c>
      <c r="X10" s="161" t="inlineStr">
        <is>
          <t>2026-10-17</t>
        </is>
      </c>
      <c r="Y10" s="97" t="n"/>
      <c r="Z10" s="97" t="n"/>
      <c r="AA10" s="97" t="n"/>
      <c r="AB10" s="97" t="n"/>
      <c r="AC10" s="97" t="n"/>
      <c r="AD10" s="161" t="inlineStr">
        <is>
          <t>2026-10-05</t>
        </is>
      </c>
      <c r="AE10" s="174" t="inlineStr">
        <is>
          <t>1213</t>
        </is>
      </c>
      <c r="AF10" s="96" t="inlineStr">
        <is>
          <t>TBKK07</t>
        </is>
      </c>
      <c r="AG10" s="97" t="n"/>
      <c r="AH10" s="97" t="n"/>
      <c r="AI10" s="97" t="n"/>
      <c r="AJ10" s="96" t="inlineStr">
        <is>
          <t>SASE CO.,LTD.</t>
        </is>
      </c>
      <c r="AK10" s="130" t="n">
        <v>0</v>
      </c>
    </row>
    <row r="11" ht="12" customHeight="1">
      <c r="A11" s="108" t="inlineStr">
        <is>
          <t>FCIU5648070</t>
        </is>
      </c>
      <c r="B11" s="108" t="inlineStr">
        <is>
          <t>BKK04</t>
        </is>
      </c>
      <c r="C11" s="108" t="inlineStr">
        <is>
          <t>IFV</t>
        </is>
      </c>
      <c r="D11" s="172" t="inlineStr">
        <is>
          <t>2026-09-19</t>
        </is>
      </c>
      <c r="E11" s="173" t="inlineStr">
        <is>
          <t>0335</t>
        </is>
      </c>
      <c r="F11" s="96" t="inlineStr">
        <is>
          <t>HASLS22260900196</t>
        </is>
      </c>
      <c r="G11" s="96" t="inlineStr">
        <is>
          <t>SANGUAN WONGSE STARCH CO., LTD.</t>
        </is>
      </c>
      <c r="H11" s="111" t="inlineStr">
        <is>
          <t>22GP</t>
        </is>
      </c>
      <c r="I11" s="96" t="n"/>
      <c r="J11" s="96" t="inlineStr">
        <is>
          <t>Sirichai Prayochananon</t>
        </is>
      </c>
      <c r="K11" s="96" t="inlineStr">
        <is>
          <t>SD</t>
        </is>
      </c>
      <c r="L11" s="111" t="inlineStr">
        <is>
          <t>Full</t>
        </is>
      </c>
      <c r="M11" s="96" t="inlineStr">
        <is>
          <t>HASLS22260900196</t>
        </is>
      </c>
      <c r="N11" s="96" t="inlineStr">
        <is>
          <t xml:space="preserve">20'x12 </t>
        </is>
      </c>
      <c r="O11" s="111" t="inlineStr">
        <is>
          <t>2014</t>
        </is>
      </c>
      <c r="P11" s="111" t="n"/>
      <c r="Q11" s="111" t="n"/>
      <c r="R11" s="96" t="n"/>
      <c r="S11" s="96" t="n"/>
      <c r="T11" s="96" t="inlineStr">
        <is>
          <t>BKK04</t>
        </is>
      </c>
      <c r="U11" s="96" t="inlineStr">
        <is>
          <t>THBKK</t>
        </is>
      </c>
      <c r="V11" s="161" t="inlineStr">
        <is>
          <t>2026-10-08</t>
        </is>
      </c>
      <c r="W11" s="96" t="inlineStr">
        <is>
          <t>JPSEN</t>
        </is>
      </c>
      <c r="X11" s="161" t="inlineStr">
        <is>
          <t>2026-10-19</t>
        </is>
      </c>
      <c r="Y11" s="97" t="n"/>
      <c r="Z11" s="97" t="n"/>
      <c r="AA11" s="97" t="n"/>
      <c r="AB11" s="97" t="n"/>
      <c r="AC11" s="97" t="n"/>
      <c r="AD11" s="161" t="inlineStr">
        <is>
          <t>2026-09-20</t>
        </is>
      </c>
      <c r="AE11" s="174" t="inlineStr">
        <is>
          <t>1743</t>
        </is>
      </c>
      <c r="AF11" s="96" t="inlineStr">
        <is>
          <t>TBKK42</t>
        </is>
      </c>
      <c r="AG11" s="97" t="n"/>
      <c r="AH11" s="97" t="n"/>
      <c r="AI11" s="97" t="n"/>
      <c r="AJ11" s="96" t="inlineStr">
        <is>
          <t>SANSHO CO., LTD.</t>
        </is>
      </c>
      <c r="AK11" s="130" t="n">
        <v>0</v>
      </c>
    </row>
    <row r="12" ht="12" customHeight="1">
      <c r="A12" s="108" t="inlineStr">
        <is>
          <t>FSCU5836461</t>
        </is>
      </c>
      <c r="B12" s="108" t="inlineStr">
        <is>
          <t>BKK04</t>
        </is>
      </c>
      <c r="C12" s="108" t="inlineStr">
        <is>
          <t>IFV</t>
        </is>
      </c>
      <c r="D12" s="172" t="inlineStr">
        <is>
          <t>2026-10-02</t>
        </is>
      </c>
      <c r="E12" s="173" t="inlineStr">
        <is>
          <t>2335</t>
        </is>
      </c>
      <c r="F12" s="96" t="inlineStr">
        <is>
          <t>HASLS22260901712</t>
        </is>
      </c>
      <c r="G12" s="96" t="inlineStr">
        <is>
          <t>KODAI (THAILAND) CO., LTD.</t>
        </is>
      </c>
      <c r="H12" s="111" t="inlineStr">
        <is>
          <t>45RE</t>
        </is>
      </c>
      <c r="I12" s="96" t="n"/>
      <c r="J12" s="96" t="inlineStr">
        <is>
          <t>Sirichai Prayochananon</t>
        </is>
      </c>
      <c r="K12" s="96" t="inlineStr">
        <is>
          <t>SD</t>
        </is>
      </c>
      <c r="L12" s="111" t="inlineStr">
        <is>
          <t>Full</t>
        </is>
      </c>
      <c r="M12" s="96" t="inlineStr">
        <is>
          <t>HASLS22260901712</t>
        </is>
      </c>
      <c r="N12" s="96" t="inlineStr">
        <is>
          <t xml:space="preserve">R40Hx1 </t>
        </is>
      </c>
      <c r="O12" s="111" t="inlineStr">
        <is>
          <t>2020</t>
        </is>
      </c>
      <c r="P12" s="111" t="inlineStr">
        <is>
          <t>CARRIER</t>
        </is>
      </c>
      <c r="Q12" s="111" t="inlineStr">
        <is>
          <t>69NT40-561-500</t>
        </is>
      </c>
      <c r="R12" s="96" t="n"/>
      <c r="S12" s="96" t="n"/>
      <c r="T12" s="96" t="inlineStr">
        <is>
          <t>BKK04</t>
        </is>
      </c>
      <c r="U12" s="96" t="inlineStr">
        <is>
          <t>THBKK</t>
        </is>
      </c>
      <c r="V12" s="161" t="inlineStr">
        <is>
          <t>2026-10-08</t>
        </is>
      </c>
      <c r="W12" s="96" t="inlineStr">
        <is>
          <t>JPNAH</t>
        </is>
      </c>
      <c r="X12" s="161" t="inlineStr">
        <is>
          <t>2026-10-19</t>
        </is>
      </c>
      <c r="Y12" s="97" t="n"/>
      <c r="Z12" s="97" t="n"/>
      <c r="AA12" s="97" t="n"/>
      <c r="AB12" s="97" t="n"/>
      <c r="AC12" s="97" t="n"/>
      <c r="AD12" s="161" t="inlineStr">
        <is>
          <t>2026-10-04</t>
        </is>
      </c>
      <c r="AE12" s="174" t="inlineStr">
        <is>
          <t>2005</t>
        </is>
      </c>
      <c r="AF12" s="96" t="inlineStr">
        <is>
          <t>TBKK42</t>
        </is>
      </c>
      <c r="AG12" s="97" t="n"/>
      <c r="AH12" s="97" t="n"/>
      <c r="AI12" s="97" t="n"/>
      <c r="AJ12" s="96" t="inlineStr">
        <is>
          <t>KODAI COMPANY LTD</t>
        </is>
      </c>
      <c r="AK12" s="130" t="n">
        <v>0</v>
      </c>
    </row>
    <row r="13" ht="12" customHeight="1">
      <c r="A13" s="108" t="inlineStr">
        <is>
          <t>FSCU5837128</t>
        </is>
      </c>
      <c r="B13" s="108" t="inlineStr">
        <is>
          <t>BKK04</t>
        </is>
      </c>
      <c r="C13" s="108" t="inlineStr">
        <is>
          <t>IFV</t>
        </is>
      </c>
      <c r="D13" s="172" t="inlineStr">
        <is>
          <t>2026-10-04</t>
        </is>
      </c>
      <c r="E13" s="173" t="inlineStr">
        <is>
          <t>0005</t>
        </is>
      </c>
      <c r="F13" s="96" t="inlineStr">
        <is>
          <t>HASLS22260900909</t>
        </is>
      </c>
      <c r="G13" s="96" t="inlineStr">
        <is>
          <t>SIAM I-LOGISTICS LTD.</t>
        </is>
      </c>
      <c r="H13" s="111" t="inlineStr">
        <is>
          <t>45RE</t>
        </is>
      </c>
      <c r="I13" s="96" t="n"/>
      <c r="J13" s="96" t="inlineStr">
        <is>
          <t>Sirichai Prayochananon</t>
        </is>
      </c>
      <c r="K13" s="96" t="inlineStr">
        <is>
          <t>SD</t>
        </is>
      </c>
      <c r="L13" s="111" t="inlineStr">
        <is>
          <t>Full</t>
        </is>
      </c>
      <c r="M13" s="96" t="inlineStr">
        <is>
          <t>HASLS22260900909</t>
        </is>
      </c>
      <c r="N13" s="96" t="inlineStr">
        <is>
          <t xml:space="preserve">R40Hx6 </t>
        </is>
      </c>
      <c r="O13" s="111" t="inlineStr">
        <is>
          <t>2020</t>
        </is>
      </c>
      <c r="P13" s="111" t="inlineStr">
        <is>
          <t>CARRIER</t>
        </is>
      </c>
      <c r="Q13" s="111" t="inlineStr">
        <is>
          <t>69NT40-561-500</t>
        </is>
      </c>
      <c r="R13" s="96" t="n"/>
      <c r="S13" s="96" t="n"/>
      <c r="T13" s="96" t="inlineStr">
        <is>
          <t>BKK04</t>
        </is>
      </c>
      <c r="U13" s="96" t="inlineStr">
        <is>
          <t>THBKK</t>
        </is>
      </c>
      <c r="V13" s="161" t="inlineStr">
        <is>
          <t>2026-10-08</t>
        </is>
      </c>
      <c r="W13" s="96" t="inlineStr">
        <is>
          <t>VNSGN</t>
        </is>
      </c>
      <c r="X13" s="161" t="inlineStr">
        <is>
          <t>2026-10-11</t>
        </is>
      </c>
      <c r="Y13" s="97" t="n"/>
      <c r="Z13" s="97" t="n"/>
      <c r="AA13" s="97" t="n"/>
      <c r="AB13" s="97" t="n"/>
      <c r="AC13" s="97" t="n"/>
      <c r="AD13" s="161" t="inlineStr">
        <is>
          <t>2026-10-04</t>
        </is>
      </c>
      <c r="AE13" s="174" t="inlineStr">
        <is>
          <t>2005</t>
        </is>
      </c>
      <c r="AF13" s="96" t="inlineStr">
        <is>
          <t>TBKK42</t>
        </is>
      </c>
      <c r="AG13" s="97" t="n"/>
      <c r="AH13" s="97" t="n"/>
      <c r="AI13" s="97" t="n"/>
      <c r="AJ13" s="96" t="inlineStr">
        <is>
          <t>0319135354 #ITOCHU LOGISTICS</t>
        </is>
      </c>
      <c r="AK13" s="130" t="n">
        <v>0</v>
      </c>
    </row>
    <row r="14" ht="12" customHeight="1">
      <c r="A14" s="108" t="inlineStr">
        <is>
          <t>FSCU5895525</t>
        </is>
      </c>
      <c r="B14" s="108" t="inlineStr">
        <is>
          <t>BKK04</t>
        </is>
      </c>
      <c r="C14" s="108" t="inlineStr">
        <is>
          <t>IFV</t>
        </is>
      </c>
      <c r="D14" s="172" t="inlineStr">
        <is>
          <t>2026-10-01</t>
        </is>
      </c>
      <c r="E14" s="173" t="inlineStr">
        <is>
          <t>1406</t>
        </is>
      </c>
      <c r="F14" s="96" t="inlineStr">
        <is>
          <t>HASLS22260802554</t>
        </is>
      </c>
      <c r="G14" s="96" t="inlineStr">
        <is>
          <t>LAND SEA SKY CO., LTD.</t>
        </is>
      </c>
      <c r="H14" s="111" t="inlineStr">
        <is>
          <t>45RE</t>
        </is>
      </c>
      <c r="I14" s="96" t="n"/>
      <c r="J14" s="96" t="inlineStr">
        <is>
          <t>Chuanchuen</t>
        </is>
      </c>
      <c r="K14" s="96" t="inlineStr">
        <is>
          <t>SD</t>
        </is>
      </c>
      <c r="L14" s="111" t="inlineStr">
        <is>
          <t>Full</t>
        </is>
      </c>
      <c r="M14" s="96" t="inlineStr">
        <is>
          <t>HASLS22260802554</t>
        </is>
      </c>
      <c r="N14" s="96" t="inlineStr">
        <is>
          <t xml:space="preserve">R40Hx1 </t>
        </is>
      </c>
      <c r="O14" s="111" t="inlineStr">
        <is>
          <t>2020</t>
        </is>
      </c>
      <c r="P14" s="111" t="inlineStr">
        <is>
          <t>CARRIER</t>
        </is>
      </c>
      <c r="Q14" s="111" t="inlineStr">
        <is>
          <t>69NT40-561-500</t>
        </is>
      </c>
      <c r="R14" s="96" t="n"/>
      <c r="S14" s="96" t="n"/>
      <c r="T14" s="96" t="inlineStr">
        <is>
          <t>BKK04</t>
        </is>
      </c>
      <c r="U14" s="96" t="inlineStr">
        <is>
          <t>THBKK</t>
        </is>
      </c>
      <c r="V14" s="161" t="inlineStr">
        <is>
          <t>2026-10-08</t>
        </is>
      </c>
      <c r="W14" s="96" t="inlineStr">
        <is>
          <t>KRPTK</t>
        </is>
      </c>
      <c r="X14" s="161" t="inlineStr">
        <is>
          <t>2026-10-17</t>
        </is>
      </c>
      <c r="Y14" s="97" t="n"/>
      <c r="Z14" s="97" t="n"/>
      <c r="AA14" s="97" t="n"/>
      <c r="AB14" s="97" t="n"/>
      <c r="AC14" s="97" t="n"/>
      <c r="AD14" s="161" t="inlineStr">
        <is>
          <t>2026-10-05</t>
        </is>
      </c>
      <c r="AE14" s="174" t="inlineStr">
        <is>
          <t>1213</t>
        </is>
      </c>
      <c r="AF14" s="96" t="inlineStr">
        <is>
          <t>TBKK07</t>
        </is>
      </c>
      <c r="AG14" s="97" t="n"/>
      <c r="AH14" s="97" t="n"/>
      <c r="AI14" s="97" t="n"/>
      <c r="AJ14" s="96" t="inlineStr">
        <is>
          <t>SASE CO.,LTD.</t>
        </is>
      </c>
      <c r="AK14" s="130" t="n">
        <v>0</v>
      </c>
    </row>
    <row r="15" ht="12" customHeight="1">
      <c r="A15" s="108" t="inlineStr">
        <is>
          <t>FSCU5896671</t>
        </is>
      </c>
      <c r="B15" s="108" t="inlineStr">
        <is>
          <t>BKK04</t>
        </is>
      </c>
      <c r="C15" s="108" t="inlineStr">
        <is>
          <t>IFV</t>
        </is>
      </c>
      <c r="D15" s="172" t="inlineStr">
        <is>
          <t>2026-10-05</t>
        </is>
      </c>
      <c r="E15" s="173" t="inlineStr">
        <is>
          <t>1238</t>
        </is>
      </c>
      <c r="F15" s="96" t="inlineStr">
        <is>
          <t>HASLS22260900909</t>
        </is>
      </c>
      <c r="G15" s="96" t="inlineStr">
        <is>
          <t>SIAM I-LOGISTICS LTD.</t>
        </is>
      </c>
      <c r="H15" s="111" t="inlineStr">
        <is>
          <t>45RE</t>
        </is>
      </c>
      <c r="I15" s="96" t="n"/>
      <c r="J15" s="96" t="inlineStr">
        <is>
          <t>Chuanchuen</t>
        </is>
      </c>
      <c r="K15" s="96" t="inlineStr">
        <is>
          <t>SD</t>
        </is>
      </c>
      <c r="L15" s="111" t="inlineStr">
        <is>
          <t>Full</t>
        </is>
      </c>
      <c r="M15" s="96" t="inlineStr">
        <is>
          <t>HASLS22260900909</t>
        </is>
      </c>
      <c r="N15" s="96" t="inlineStr">
        <is>
          <t xml:space="preserve">R40Hx6 </t>
        </is>
      </c>
      <c r="O15" s="111" t="inlineStr">
        <is>
          <t>2020</t>
        </is>
      </c>
      <c r="P15" s="111" t="inlineStr">
        <is>
          <t>CARRIER</t>
        </is>
      </c>
      <c r="Q15" s="111" t="inlineStr">
        <is>
          <t>69NT40-561-500</t>
        </is>
      </c>
      <c r="R15" s="96" t="n"/>
      <c r="S15" s="96" t="n"/>
      <c r="T15" s="96" t="inlineStr">
        <is>
          <t>BKK04</t>
        </is>
      </c>
      <c r="U15" s="96" t="inlineStr">
        <is>
          <t>THBKK</t>
        </is>
      </c>
      <c r="V15" s="161" t="inlineStr">
        <is>
          <t>2026-10-08</t>
        </is>
      </c>
      <c r="W15" s="96" t="inlineStr">
        <is>
          <t>VNSGN</t>
        </is>
      </c>
      <c r="X15" s="161" t="inlineStr">
        <is>
          <t>2026-10-11</t>
        </is>
      </c>
      <c r="Y15" s="97" t="n"/>
      <c r="Z15" s="97" t="n"/>
      <c r="AA15" s="97" t="n"/>
      <c r="AB15" s="97" t="n"/>
      <c r="AC15" s="97" t="n"/>
      <c r="AD15" s="161" t="inlineStr">
        <is>
          <t>2026-10-06</t>
        </is>
      </c>
      <c r="AE15" s="174" t="inlineStr">
        <is>
          <t>1047</t>
        </is>
      </c>
      <c r="AF15" s="96" t="inlineStr">
        <is>
          <t>TBKK07</t>
        </is>
      </c>
      <c r="AG15" s="97" t="n"/>
      <c r="AH15" s="97" t="n"/>
      <c r="AI15" s="97" t="n"/>
      <c r="AJ15" s="96" t="inlineStr">
        <is>
          <t>0319135354 #ITOCHU LOGISTICS</t>
        </is>
      </c>
      <c r="AK15" s="130" t="n">
        <v>0</v>
      </c>
    </row>
    <row r="16" ht="12" customHeight="1">
      <c r="A16" s="108" t="inlineStr">
        <is>
          <t>GCXU2421974</t>
        </is>
      </c>
      <c r="B16" s="108" t="inlineStr">
        <is>
          <t>BKK04</t>
        </is>
      </c>
      <c r="C16" s="108" t="inlineStr">
        <is>
          <t>IFV</t>
        </is>
      </c>
      <c r="D16" s="172" t="inlineStr">
        <is>
          <t>2026-09-19</t>
        </is>
      </c>
      <c r="E16" s="173" t="inlineStr">
        <is>
          <t>2124</t>
        </is>
      </c>
      <c r="F16" s="96" t="inlineStr">
        <is>
          <t>HASLS22260801914</t>
        </is>
      </c>
      <c r="G16" s="96" t="inlineStr">
        <is>
          <t>DP WORLD LOGISTICS SOLUTIONS (THAILAND) COMPANY LIMITED</t>
        </is>
      </c>
      <c r="H16" s="111" t="inlineStr">
        <is>
          <t>22GP</t>
        </is>
      </c>
      <c r="I16" s="96" t="n"/>
      <c r="J16" s="96" t="inlineStr">
        <is>
          <t>Sirichai Prayochananon</t>
        </is>
      </c>
      <c r="K16" s="96" t="inlineStr">
        <is>
          <t>SD</t>
        </is>
      </c>
      <c r="L16" s="111" t="inlineStr">
        <is>
          <t>Full</t>
        </is>
      </c>
      <c r="M16" s="96" t="inlineStr">
        <is>
          <t>HASLS22260801914</t>
        </is>
      </c>
      <c r="N16" s="96" t="inlineStr">
        <is>
          <t xml:space="preserve">20'x33 </t>
        </is>
      </c>
      <c r="O16" s="111" t="inlineStr">
        <is>
          <t>2024</t>
        </is>
      </c>
      <c r="P16" s="111" t="n"/>
      <c r="Q16" s="111" t="n"/>
      <c r="R16" s="96" t="n"/>
      <c r="S16" s="96" t="n"/>
      <c r="T16" s="96" t="inlineStr">
        <is>
          <t>BKK04</t>
        </is>
      </c>
      <c r="U16" s="96" t="inlineStr">
        <is>
          <t>THBKK</t>
        </is>
      </c>
      <c r="V16" s="161" t="inlineStr">
        <is>
          <t>2026-10-08</t>
        </is>
      </c>
      <c r="W16" s="96" t="inlineStr">
        <is>
          <t>KRPTK</t>
        </is>
      </c>
      <c r="X16" s="161" t="inlineStr">
        <is>
          <t>2026-10-17</t>
        </is>
      </c>
      <c r="Y16" s="97" t="n"/>
      <c r="Z16" s="97" t="n"/>
      <c r="AA16" s="97" t="n"/>
      <c r="AB16" s="97" t="n"/>
      <c r="AC16" s="97" t="n"/>
      <c r="AD16" s="161" t="inlineStr">
        <is>
          <t>2026-09-20</t>
        </is>
      </c>
      <c r="AE16" s="174" t="inlineStr">
        <is>
          <t>1743</t>
        </is>
      </c>
      <c r="AF16" s="96" t="inlineStr">
        <is>
          <t>TBKK42</t>
        </is>
      </c>
      <c r="AG16" s="97" t="n"/>
      <c r="AH16" s="97" t="n"/>
      <c r="AI16" s="97" t="n"/>
      <c r="AJ16" s="96" t="inlineStr">
        <is>
          <t>TO THE ORDER OF KOOKMIN BANK</t>
        </is>
      </c>
      <c r="AK16" s="130" t="n">
        <v>0</v>
      </c>
    </row>
    <row r="17" ht="12" customHeight="1">
      <c r="A17" s="108" t="inlineStr">
        <is>
          <t>GCXU5060849</t>
        </is>
      </c>
      <c r="B17" s="108" t="inlineStr">
        <is>
          <t>BKK04</t>
        </is>
      </c>
      <c r="C17" s="108" t="inlineStr">
        <is>
          <t>IFV</t>
        </is>
      </c>
      <c r="D17" s="172" t="inlineStr">
        <is>
          <t>2026-10-02</t>
        </is>
      </c>
      <c r="E17" s="173" t="inlineStr">
        <is>
          <t>1257</t>
        </is>
      </c>
      <c r="F17" s="96" t="inlineStr">
        <is>
          <t>HASLS22260902260</t>
        </is>
      </c>
      <c r="G17" s="96" t="inlineStr">
        <is>
          <t>CAPRICORN LOGISTICS CO., LTD.</t>
        </is>
      </c>
      <c r="H17" s="111" t="inlineStr">
        <is>
          <t>45GP</t>
        </is>
      </c>
      <c r="I17" s="96" t="n"/>
      <c r="J17" s="96" t="inlineStr">
        <is>
          <t>Chuanchuen</t>
        </is>
      </c>
      <c r="K17" s="96" t="inlineStr">
        <is>
          <t>SD</t>
        </is>
      </c>
      <c r="L17" s="111" t="inlineStr">
        <is>
          <t>Full</t>
        </is>
      </c>
      <c r="M17" s="96" t="inlineStr">
        <is>
          <t>HASLS22260902260</t>
        </is>
      </c>
      <c r="N17" s="96" t="inlineStr">
        <is>
          <t xml:space="preserve">40Hx9 </t>
        </is>
      </c>
      <c r="O17" s="111" t="inlineStr">
        <is>
          <t>2018</t>
        </is>
      </c>
      <c r="P17" s="111" t="n"/>
      <c r="Q17" s="111" t="n"/>
      <c r="R17" s="96" t="n"/>
      <c r="S17" s="96" t="n"/>
      <c r="T17" s="96" t="inlineStr">
        <is>
          <t>BKK04</t>
        </is>
      </c>
      <c r="U17" s="96" t="inlineStr">
        <is>
          <t>THBKK</t>
        </is>
      </c>
      <c r="V17" s="161" t="inlineStr">
        <is>
          <t>2026-10-08</t>
        </is>
      </c>
      <c r="W17" s="96" t="inlineStr">
        <is>
          <t>VNSGN</t>
        </is>
      </c>
      <c r="X17" s="161" t="inlineStr">
        <is>
          <t>2026-10-11</t>
        </is>
      </c>
      <c r="Y17" s="97" t="n"/>
      <c r="Z17" s="97" t="n"/>
      <c r="AA17" s="97" t="n"/>
      <c r="AB17" s="97" t="n"/>
      <c r="AC17" s="97" t="n"/>
      <c r="AD17" s="161" t="inlineStr">
        <is>
          <t>2026-10-02</t>
        </is>
      </c>
      <c r="AE17" s="174" t="inlineStr">
        <is>
          <t>2025</t>
        </is>
      </c>
      <c r="AF17" s="96" t="inlineStr">
        <is>
          <t>TBKK07</t>
        </is>
      </c>
      <c r="AG17" s="97" t="n"/>
      <c r="AH17" s="97" t="n"/>
      <c r="AI17" s="97" t="n"/>
      <c r="AJ17" s="96" t="inlineStr">
        <is>
          <t>BLUE OCEAN INTERNATIONAL</t>
        </is>
      </c>
      <c r="AK17" s="130" t="n">
        <v>0</v>
      </c>
    </row>
    <row r="18" ht="12" customHeight="1">
      <c r="A18" s="108" t="inlineStr">
        <is>
          <t>GCXU6006821</t>
        </is>
      </c>
      <c r="B18" s="108" t="inlineStr">
        <is>
          <t>BKK01</t>
        </is>
      </c>
      <c r="C18" s="108" t="inlineStr">
        <is>
          <t>IFV</t>
        </is>
      </c>
      <c r="D18" s="172" t="inlineStr">
        <is>
          <t>2026-09-29</t>
        </is>
      </c>
      <c r="E18" s="173" t="inlineStr">
        <is>
          <t>0146</t>
        </is>
      </c>
      <c r="F18" s="96" t="inlineStr">
        <is>
          <t>HASLS22260901688</t>
        </is>
      </c>
      <c r="G18" s="96" t="inlineStr">
        <is>
          <t>METRO PARTICLE CO., LTD.</t>
        </is>
      </c>
      <c r="H18" s="111" t="inlineStr">
        <is>
          <t>45GP</t>
        </is>
      </c>
      <c r="I18" s="96" t="n"/>
      <c r="J18" s="96" t="inlineStr">
        <is>
          <t>Chuanchuen</t>
        </is>
      </c>
      <c r="K18" s="96" t="inlineStr">
        <is>
          <t>SD</t>
        </is>
      </c>
      <c r="L18" s="111" t="inlineStr">
        <is>
          <t>Full</t>
        </is>
      </c>
      <c r="M18" s="96" t="inlineStr">
        <is>
          <t>HASLS22260901688</t>
        </is>
      </c>
      <c r="N18" s="96" t="inlineStr">
        <is>
          <t xml:space="preserve">40Hx6 </t>
        </is>
      </c>
      <c r="O18" s="111" t="inlineStr">
        <is>
          <t>2024</t>
        </is>
      </c>
      <c r="P18" s="111" t="n"/>
      <c r="Q18" s="111" t="n"/>
      <c r="R18" s="96" t="n"/>
      <c r="S18" s="96" t="n"/>
      <c r="T18" s="96" t="inlineStr">
        <is>
          <t>BKK04</t>
        </is>
      </c>
      <c r="U18" s="96" t="inlineStr">
        <is>
          <t>THBKK</t>
        </is>
      </c>
      <c r="V18" s="161" t="inlineStr">
        <is>
          <t>2026-10-08</t>
        </is>
      </c>
      <c r="W18" s="96" t="inlineStr">
        <is>
          <t>VNSGN</t>
        </is>
      </c>
      <c r="X18" s="161" t="inlineStr">
        <is>
          <t>2026-10-11</t>
        </is>
      </c>
      <c r="Y18" s="97" t="n"/>
      <c r="Z18" s="97" t="n"/>
      <c r="AA18" s="97" t="n"/>
      <c r="AB18" s="97" t="n"/>
      <c r="AC18" s="97" t="n"/>
      <c r="AD18" s="161" t="inlineStr">
        <is>
          <t>2026-09-29</t>
        </is>
      </c>
      <c r="AE18" s="174" t="inlineStr">
        <is>
          <t>1049</t>
        </is>
      </c>
      <c r="AF18" s="96" t="inlineStr">
        <is>
          <t>TBKK07</t>
        </is>
      </c>
      <c r="AG18" s="97" t="n"/>
      <c r="AH18" s="97" t="n"/>
      <c r="AI18" s="97" t="n"/>
      <c r="AJ18" s="96" t="inlineStr">
        <is>
          <t>YI LONG VIETNAM FURNITURE CO., LTD.</t>
        </is>
      </c>
      <c r="AK18" s="130" t="n">
        <v>0</v>
      </c>
    </row>
    <row r="19" ht="12" customHeight="1">
      <c r="A19" s="108" t="inlineStr">
        <is>
          <t>GCXU6008090</t>
        </is>
      </c>
      <c r="B19" s="108" t="inlineStr">
        <is>
          <t>BKK04</t>
        </is>
      </c>
      <c r="C19" s="108" t="inlineStr">
        <is>
          <t>IFV</t>
        </is>
      </c>
      <c r="D19" s="172" t="inlineStr">
        <is>
          <t>2026-10-04</t>
        </is>
      </c>
      <c r="E19" s="173" t="inlineStr">
        <is>
          <t>2318</t>
        </is>
      </c>
      <c r="F19" s="96" t="inlineStr">
        <is>
          <t>HASLS22260900586</t>
        </is>
      </c>
      <c r="G19" s="96" t="inlineStr">
        <is>
          <t>BIRLA CARBON (THAILAND) PUBLIC COMPANY LIMITED</t>
        </is>
      </c>
      <c r="H19" s="111" t="inlineStr">
        <is>
          <t>45GP</t>
        </is>
      </c>
      <c r="I19" s="96" t="n"/>
      <c r="J19" s="96" t="inlineStr">
        <is>
          <t>Chuanchuen</t>
        </is>
      </c>
      <c r="K19" s="96" t="inlineStr">
        <is>
          <t>SD</t>
        </is>
      </c>
      <c r="L19" s="111" t="inlineStr">
        <is>
          <t>Full</t>
        </is>
      </c>
      <c r="M19" s="96" t="inlineStr">
        <is>
          <t>HASLS22260900586</t>
        </is>
      </c>
      <c r="N19" s="96" t="inlineStr">
        <is>
          <t xml:space="preserve">40Hx10 </t>
        </is>
      </c>
      <c r="O19" s="111" t="inlineStr">
        <is>
          <t>2024</t>
        </is>
      </c>
      <c r="P19" s="111" t="n"/>
      <c r="Q19" s="111" t="n"/>
      <c r="R19" s="96" t="n"/>
      <c r="S19" s="96" t="n"/>
      <c r="T19" s="96" t="inlineStr">
        <is>
          <t>BKK04</t>
        </is>
      </c>
      <c r="U19" s="96" t="inlineStr">
        <is>
          <t>THBKK</t>
        </is>
      </c>
      <c r="V19" s="161" t="inlineStr">
        <is>
          <t>2026-10-08</t>
        </is>
      </c>
      <c r="W19" s="96" t="inlineStr">
        <is>
          <t>VNSGN</t>
        </is>
      </c>
      <c r="X19" s="161" t="inlineStr">
        <is>
          <t>2026-10-11</t>
        </is>
      </c>
      <c r="Y19" s="97" t="n"/>
      <c r="Z19" s="97" t="n"/>
      <c r="AA19" s="97" t="n"/>
      <c r="AB19" s="97" t="n"/>
      <c r="AC19" s="97" t="n"/>
      <c r="AD19" s="161" t="inlineStr">
        <is>
          <t>2026-10-05</t>
        </is>
      </c>
      <c r="AE19" s="174" t="inlineStr">
        <is>
          <t>1047</t>
        </is>
      </c>
      <c r="AF19" s="96" t="inlineStr">
        <is>
          <t>TBKK07</t>
        </is>
      </c>
      <c r="AG19" s="97" t="n"/>
      <c r="AH19" s="97" t="n"/>
      <c r="AI19" s="97" t="n"/>
      <c r="AJ19" s="96" t="inlineStr">
        <is>
          <t>JINYU (VIETNAM) TIRE CO.,LTD</t>
        </is>
      </c>
      <c r="AK19" s="130" t="n">
        <v>0</v>
      </c>
    </row>
    <row r="20" ht="12" customHeight="1">
      <c r="A20" s="108" t="inlineStr">
        <is>
          <t>GCXU6279430</t>
        </is>
      </c>
      <c r="B20" s="108" t="inlineStr">
        <is>
          <t>BKK04</t>
        </is>
      </c>
      <c r="C20" s="108" t="inlineStr">
        <is>
          <t>IFV</t>
        </is>
      </c>
      <c r="D20" s="172" t="inlineStr">
        <is>
          <t>2026-10-02</t>
        </is>
      </c>
      <c r="E20" s="173" t="inlineStr">
        <is>
          <t>1239</t>
        </is>
      </c>
      <c r="F20" s="96" t="inlineStr">
        <is>
          <t>HASLS22260901036</t>
        </is>
      </c>
      <c r="G20" s="96" t="inlineStr">
        <is>
          <t>PISIA INTERFREIGHT CO.,LTD.</t>
        </is>
      </c>
      <c r="H20" s="111" t="inlineStr">
        <is>
          <t>45GP</t>
        </is>
      </c>
      <c r="I20" s="96" t="n"/>
      <c r="J20" s="96" t="inlineStr">
        <is>
          <t>Chuanchuen</t>
        </is>
      </c>
      <c r="K20" s="96" t="inlineStr">
        <is>
          <t>SD</t>
        </is>
      </c>
      <c r="L20" s="111" t="inlineStr">
        <is>
          <t>Full</t>
        </is>
      </c>
      <c r="M20" s="96" t="inlineStr">
        <is>
          <t>HASLS22260901036</t>
        </is>
      </c>
      <c r="N20" s="96" t="inlineStr">
        <is>
          <t xml:space="preserve">40Hx8 </t>
        </is>
      </c>
      <c r="O20" s="111" t="inlineStr">
        <is>
          <t>2024</t>
        </is>
      </c>
      <c r="P20" s="111" t="n"/>
      <c r="Q20" s="111" t="n"/>
      <c r="R20" s="96" t="n"/>
      <c r="S20" s="96" t="n"/>
      <c r="T20" s="96" t="inlineStr">
        <is>
          <t>BKK04</t>
        </is>
      </c>
      <c r="U20" s="96" t="inlineStr">
        <is>
          <t>THBKK</t>
        </is>
      </c>
      <c r="V20" s="161" t="inlineStr">
        <is>
          <t>2026-10-08</t>
        </is>
      </c>
      <c r="W20" s="96" t="inlineStr">
        <is>
          <t>VNSGN</t>
        </is>
      </c>
      <c r="X20" s="161" t="inlineStr">
        <is>
          <t>2026-10-11</t>
        </is>
      </c>
      <c r="Y20" s="97" t="n"/>
      <c r="Z20" s="97" t="n"/>
      <c r="AA20" s="97" t="n"/>
      <c r="AB20" s="97" t="n"/>
      <c r="AC20" s="97" t="n"/>
      <c r="AD20" s="161" t="inlineStr">
        <is>
          <t>2026-10-02</t>
        </is>
      </c>
      <c r="AE20" s="174" t="inlineStr">
        <is>
          <t>2027</t>
        </is>
      </c>
      <c r="AF20" s="96" t="inlineStr">
        <is>
          <t>TBKK07</t>
        </is>
      </c>
      <c r="AG20" s="97" t="n"/>
      <c r="AH20" s="97" t="n"/>
      <c r="AI20" s="97" t="n"/>
      <c r="AJ20" s="96" t="inlineStr">
        <is>
          <t>TO ORDER OF VIETNAM INTERNATIONAL</t>
        </is>
      </c>
      <c r="AK20" s="130" t="n">
        <v>0</v>
      </c>
    </row>
    <row r="21" ht="12" customHeight="1">
      <c r="A21" s="108" t="inlineStr">
        <is>
          <t>HALU2021169</t>
        </is>
      </c>
      <c r="B21" s="108" t="inlineStr">
        <is>
          <t>BKK01</t>
        </is>
      </c>
      <c r="C21" s="108" t="inlineStr">
        <is>
          <t>IFV</t>
        </is>
      </c>
      <c r="D21" s="172" t="inlineStr">
        <is>
          <t>2026-09-29</t>
        </is>
      </c>
      <c r="E21" s="173" t="inlineStr">
        <is>
          <t>0240</t>
        </is>
      </c>
      <c r="F21" s="96" t="inlineStr">
        <is>
          <t>HASLS22260800838</t>
        </is>
      </c>
      <c r="G21" s="96" t="inlineStr">
        <is>
          <t>SCGJWD LOGISTICS PUBLIC COMPANY LIMITED</t>
        </is>
      </c>
      <c r="H21" s="111" t="inlineStr">
        <is>
          <t>22GP</t>
        </is>
      </c>
      <c r="I21" s="96" t="n"/>
      <c r="J21" s="96" t="inlineStr">
        <is>
          <t>Chuanchuen</t>
        </is>
      </c>
      <c r="K21" s="96" t="inlineStr">
        <is>
          <t>SD</t>
        </is>
      </c>
      <c r="L21" s="111" t="inlineStr">
        <is>
          <t>Full</t>
        </is>
      </c>
      <c r="M21" s="96" t="inlineStr">
        <is>
          <t>HASLS22260800838</t>
        </is>
      </c>
      <c r="N21" s="96" t="inlineStr">
        <is>
          <t xml:space="preserve">20'x10 </t>
        </is>
      </c>
      <c r="O21" s="111" t="inlineStr">
        <is>
          <t>2013</t>
        </is>
      </c>
      <c r="P21" s="111" t="n"/>
      <c r="Q21" s="111" t="n"/>
      <c r="R21" s="96" t="n"/>
      <c r="S21" s="96" t="n"/>
      <c r="T21" s="96" t="inlineStr">
        <is>
          <t>BKK04</t>
        </is>
      </c>
      <c r="U21" s="96" t="inlineStr">
        <is>
          <t>THBKK</t>
        </is>
      </c>
      <c r="V21" s="161" t="inlineStr">
        <is>
          <t>2026-10-08</t>
        </is>
      </c>
      <c r="W21" s="96" t="inlineStr">
        <is>
          <t>VNSGN</t>
        </is>
      </c>
      <c r="X21" s="161" t="inlineStr">
        <is>
          <t>2026-10-11</t>
        </is>
      </c>
      <c r="Y21" s="97" t="n"/>
      <c r="Z21" s="97" t="n"/>
      <c r="AA21" s="97" t="n"/>
      <c r="AB21" s="97" t="n"/>
      <c r="AC21" s="97" t="n"/>
      <c r="AD21" s="161" t="inlineStr">
        <is>
          <t>2026-09-29</t>
        </is>
      </c>
      <c r="AE21" s="174" t="inlineStr">
        <is>
          <t>1049</t>
        </is>
      </c>
      <c r="AF21" s="96" t="inlineStr">
        <is>
          <t>TBKK07</t>
        </is>
      </c>
      <c r="AG21" s="97" t="n"/>
      <c r="AH21" s="97" t="n"/>
      <c r="AI21" s="97" t="n"/>
      <c r="AJ21" s="96" t="inlineStr">
        <is>
          <t>BUU LONG INDUSTRY AND INVESTMENT</t>
        </is>
      </c>
      <c r="AK21" s="130" t="n">
        <v>0</v>
      </c>
    </row>
    <row r="22" ht="12" customHeight="1">
      <c r="A22" s="108" t="inlineStr">
        <is>
          <t>HALU2031784</t>
        </is>
      </c>
      <c r="B22" s="108" t="inlineStr">
        <is>
          <t>BKK01</t>
        </is>
      </c>
      <c r="C22" s="108" t="inlineStr">
        <is>
          <t>IFV</t>
        </is>
      </c>
      <c r="D22" s="172" t="inlineStr">
        <is>
          <t>2026-09-29</t>
        </is>
      </c>
      <c r="E22" s="173" t="inlineStr">
        <is>
          <t>0240</t>
        </is>
      </c>
      <c r="F22" s="96" t="inlineStr">
        <is>
          <t>HASLS22260800838</t>
        </is>
      </c>
      <c r="G22" s="96" t="inlineStr">
        <is>
          <t>SCGJWD LOGISTICS PUBLIC COMPANY LIMITED</t>
        </is>
      </c>
      <c r="H22" s="111" t="inlineStr">
        <is>
          <t>22GP</t>
        </is>
      </c>
      <c r="I22" s="96" t="n"/>
      <c r="J22" s="96" t="inlineStr">
        <is>
          <t>Chuanchuen</t>
        </is>
      </c>
      <c r="K22" s="96" t="inlineStr">
        <is>
          <t>SD</t>
        </is>
      </c>
      <c r="L22" s="111" t="inlineStr">
        <is>
          <t>Full</t>
        </is>
      </c>
      <c r="M22" s="96" t="inlineStr">
        <is>
          <t>HASLS22260800838</t>
        </is>
      </c>
      <c r="N22" s="96" t="inlineStr">
        <is>
          <t xml:space="preserve">20'x10 </t>
        </is>
      </c>
      <c r="O22" s="111" t="inlineStr">
        <is>
          <t>2014</t>
        </is>
      </c>
      <c r="P22" s="111" t="n"/>
      <c r="Q22" s="111" t="n"/>
      <c r="R22" s="96" t="n"/>
      <c r="S22" s="96" t="n"/>
      <c r="T22" s="96" t="inlineStr">
        <is>
          <t>BKK04</t>
        </is>
      </c>
      <c r="U22" s="96" t="inlineStr">
        <is>
          <t>THBKK</t>
        </is>
      </c>
      <c r="V22" s="161" t="inlineStr">
        <is>
          <t>2026-10-08</t>
        </is>
      </c>
      <c r="W22" s="96" t="inlineStr">
        <is>
          <t>VNSGN</t>
        </is>
      </c>
      <c r="X22" s="161" t="inlineStr">
        <is>
          <t>2026-10-11</t>
        </is>
      </c>
      <c r="Y22" s="97" t="n"/>
      <c r="Z22" s="97" t="n"/>
      <c r="AA22" s="97" t="n"/>
      <c r="AB22" s="97" t="n"/>
      <c r="AC22" s="97" t="n"/>
      <c r="AD22" s="161" t="inlineStr">
        <is>
          <t>2026-09-29</t>
        </is>
      </c>
      <c r="AE22" s="174" t="inlineStr">
        <is>
          <t>1049</t>
        </is>
      </c>
      <c r="AF22" s="96" t="inlineStr">
        <is>
          <t>TBKK07</t>
        </is>
      </c>
      <c r="AG22" s="97" t="n"/>
      <c r="AH22" s="97" t="n"/>
      <c r="AI22" s="97" t="n"/>
      <c r="AJ22" s="96" t="inlineStr">
        <is>
          <t>BUU LONG INDUSTRY AND INVESTMENT</t>
        </is>
      </c>
      <c r="AK22" s="130" t="n">
        <v>0</v>
      </c>
    </row>
    <row r="23" ht="12" customHeight="1">
      <c r="A23" s="108" t="inlineStr">
        <is>
          <t>HALU2303748</t>
        </is>
      </c>
      <c r="B23" s="108" t="inlineStr">
        <is>
          <t>BKK04</t>
        </is>
      </c>
      <c r="C23" s="108" t="inlineStr">
        <is>
          <t>IFV</t>
        </is>
      </c>
      <c r="D23" s="172" t="inlineStr">
        <is>
          <t>2026-09-19</t>
        </is>
      </c>
      <c r="E23" s="173" t="inlineStr">
        <is>
          <t>0118</t>
        </is>
      </c>
      <c r="F23" s="96" t="inlineStr">
        <is>
          <t>HASLS22260900196</t>
        </is>
      </c>
      <c r="G23" s="96" t="inlineStr">
        <is>
          <t>SANGUAN WONGSE STARCH CO., LTD.</t>
        </is>
      </c>
      <c r="H23" s="111" t="inlineStr">
        <is>
          <t>22GP</t>
        </is>
      </c>
      <c r="I23" s="96" t="n"/>
      <c r="J23" s="96" t="inlineStr">
        <is>
          <t>Sirichai Prayochananon</t>
        </is>
      </c>
      <c r="K23" s="96" t="inlineStr">
        <is>
          <t>SD</t>
        </is>
      </c>
      <c r="L23" s="111" t="inlineStr">
        <is>
          <t>Full</t>
        </is>
      </c>
      <c r="M23" s="96" t="inlineStr">
        <is>
          <t>HASLS22260900196</t>
        </is>
      </c>
      <c r="N23" s="96" t="inlineStr">
        <is>
          <t xml:space="preserve">20'x12 </t>
        </is>
      </c>
      <c r="O23" s="111" t="inlineStr">
        <is>
          <t>2023</t>
        </is>
      </c>
      <c r="P23" s="111" t="n"/>
      <c r="Q23" s="111" t="n"/>
      <c r="R23" s="96" t="n"/>
      <c r="S23" s="96" t="n"/>
      <c r="T23" s="96" t="inlineStr">
        <is>
          <t>BKK04</t>
        </is>
      </c>
      <c r="U23" s="96" t="inlineStr">
        <is>
          <t>THBKK</t>
        </is>
      </c>
      <c r="V23" s="161" t="inlineStr">
        <is>
          <t>2026-10-08</t>
        </is>
      </c>
      <c r="W23" s="96" t="inlineStr">
        <is>
          <t>JPSEN</t>
        </is>
      </c>
      <c r="X23" s="161" t="inlineStr">
        <is>
          <t>2026-10-19</t>
        </is>
      </c>
      <c r="Y23" s="97" t="n"/>
      <c r="Z23" s="97" t="n"/>
      <c r="AA23" s="97" t="n"/>
      <c r="AB23" s="97" t="n"/>
      <c r="AC23" s="97" t="n"/>
      <c r="AD23" s="161" t="inlineStr">
        <is>
          <t>2026-09-20</t>
        </is>
      </c>
      <c r="AE23" s="174" t="inlineStr">
        <is>
          <t>1743</t>
        </is>
      </c>
      <c r="AF23" s="96" t="inlineStr">
        <is>
          <t>TBKK42</t>
        </is>
      </c>
      <c r="AG23" s="97" t="n"/>
      <c r="AH23" s="97" t="n"/>
      <c r="AI23" s="97" t="n"/>
      <c r="AJ23" s="96" t="inlineStr">
        <is>
          <t>SANSHO CO., LTD.</t>
        </is>
      </c>
      <c r="AK23" s="130" t="n">
        <v>0</v>
      </c>
    </row>
    <row r="24" ht="12" customHeight="1">
      <c r="A24" s="108" t="inlineStr">
        <is>
          <t>HALU2311379</t>
        </is>
      </c>
      <c r="B24" s="108" t="inlineStr">
        <is>
          <t>BKK04</t>
        </is>
      </c>
      <c r="C24" s="108" t="inlineStr">
        <is>
          <t>IFV</t>
        </is>
      </c>
      <c r="D24" s="172" t="inlineStr">
        <is>
          <t>2026-10-02</t>
        </is>
      </c>
      <c r="E24" s="173" t="inlineStr">
        <is>
          <t>2001</t>
        </is>
      </c>
      <c r="F24" s="96" t="inlineStr">
        <is>
          <t>HASLS22260900630</t>
        </is>
      </c>
      <c r="G24" s="96" t="inlineStr">
        <is>
          <t>ICONS GLOBAL LOGISTICS CO., LTD.</t>
        </is>
      </c>
      <c r="H24" s="111" t="inlineStr">
        <is>
          <t>22GP</t>
        </is>
      </c>
      <c r="I24" s="96" t="n"/>
      <c r="J24" s="96" t="inlineStr">
        <is>
          <t>Sirichai Prayochananon</t>
        </is>
      </c>
      <c r="K24" s="96" t="inlineStr">
        <is>
          <t>SD</t>
        </is>
      </c>
      <c r="L24" s="111" t="inlineStr">
        <is>
          <t>Full</t>
        </is>
      </c>
      <c r="M24" s="96" t="inlineStr">
        <is>
          <t>HASLS22260900630</t>
        </is>
      </c>
      <c r="N24" s="96" t="inlineStr">
        <is>
          <t xml:space="preserve">20'x10 </t>
        </is>
      </c>
      <c r="O24" s="111" t="inlineStr">
        <is>
          <t>2023</t>
        </is>
      </c>
      <c r="P24" s="111" t="n"/>
      <c r="Q24" s="111" t="n"/>
      <c r="R24" s="96" t="n"/>
      <c r="S24" s="96" t="n"/>
      <c r="T24" s="96" t="inlineStr">
        <is>
          <t>BKK04</t>
        </is>
      </c>
      <c r="U24" s="96" t="inlineStr">
        <is>
          <t>THBKK</t>
        </is>
      </c>
      <c r="V24" s="161" t="inlineStr">
        <is>
          <t>2026-10-08</t>
        </is>
      </c>
      <c r="W24" s="96" t="inlineStr">
        <is>
          <t>VNSGN</t>
        </is>
      </c>
      <c r="X24" s="161" t="inlineStr">
        <is>
          <t>2026-10-11</t>
        </is>
      </c>
      <c r="Y24" s="97" t="n"/>
      <c r="Z24" s="97" t="n"/>
      <c r="AA24" s="97" t="n"/>
      <c r="AB24" s="97" t="n"/>
      <c r="AC24" s="97" t="n"/>
      <c r="AD24" s="161" t="inlineStr">
        <is>
          <t>2026-10-04</t>
        </is>
      </c>
      <c r="AE24" s="174" t="inlineStr">
        <is>
          <t>2005</t>
        </is>
      </c>
      <c r="AF24" s="96" t="inlineStr">
        <is>
          <t>TBKK42</t>
        </is>
      </c>
      <c r="AG24" s="97" t="n"/>
      <c r="AH24" s="97" t="n"/>
      <c r="AI24" s="97" t="n"/>
      <c r="AJ24" s="96" t="inlineStr">
        <is>
          <t>MEKONG COMMODITIES JSC</t>
        </is>
      </c>
      <c r="AK24" s="130" t="n">
        <v>0</v>
      </c>
    </row>
    <row r="25" ht="12" customHeight="1">
      <c r="A25" s="108" t="inlineStr">
        <is>
          <t>HALU2312478</t>
        </is>
      </c>
      <c r="B25" s="108" t="inlineStr">
        <is>
          <t>BKK04</t>
        </is>
      </c>
      <c r="C25" s="108" t="inlineStr">
        <is>
          <t>IFV</t>
        </is>
      </c>
      <c r="D25" s="172" t="inlineStr">
        <is>
          <t>2026-09-19</t>
        </is>
      </c>
      <c r="E25" s="173" t="inlineStr">
        <is>
          <t>0112</t>
        </is>
      </c>
      <c r="F25" s="96" t="inlineStr">
        <is>
          <t>HASLS22260900196</t>
        </is>
      </c>
      <c r="G25" s="96" t="inlineStr">
        <is>
          <t>SANGUAN WONGSE STARCH CO., LTD.</t>
        </is>
      </c>
      <c r="H25" s="111" t="inlineStr">
        <is>
          <t>22GP</t>
        </is>
      </c>
      <c r="I25" s="96" t="n"/>
      <c r="J25" s="96" t="inlineStr">
        <is>
          <t>Sirichai Prayochananon</t>
        </is>
      </c>
      <c r="K25" s="96" t="inlineStr">
        <is>
          <t>SD</t>
        </is>
      </c>
      <c r="L25" s="111" t="inlineStr">
        <is>
          <t>Full</t>
        </is>
      </c>
      <c r="M25" s="96" t="inlineStr">
        <is>
          <t>HASLS22260900196</t>
        </is>
      </c>
      <c r="N25" s="96" t="inlineStr">
        <is>
          <t xml:space="preserve">20'x12 </t>
        </is>
      </c>
      <c r="O25" s="111" t="inlineStr">
        <is>
          <t>2023</t>
        </is>
      </c>
      <c r="P25" s="111" t="n"/>
      <c r="Q25" s="111" t="n"/>
      <c r="R25" s="96" t="n"/>
      <c r="S25" s="96" t="n"/>
      <c r="T25" s="96" t="inlineStr">
        <is>
          <t>BKK04</t>
        </is>
      </c>
      <c r="U25" s="96" t="inlineStr">
        <is>
          <t>THBKK</t>
        </is>
      </c>
      <c r="V25" s="161" t="inlineStr">
        <is>
          <t>2026-10-08</t>
        </is>
      </c>
      <c r="W25" s="96" t="inlineStr">
        <is>
          <t>JPSEN</t>
        </is>
      </c>
      <c r="X25" s="161" t="inlineStr">
        <is>
          <t>2026-10-19</t>
        </is>
      </c>
      <c r="Y25" s="97" t="n"/>
      <c r="Z25" s="97" t="n"/>
      <c r="AA25" s="97" t="n"/>
      <c r="AB25" s="97" t="n"/>
      <c r="AC25" s="97" t="n"/>
      <c r="AD25" s="161" t="inlineStr">
        <is>
          <t>2026-09-20</t>
        </is>
      </c>
      <c r="AE25" s="174" t="inlineStr">
        <is>
          <t>1743</t>
        </is>
      </c>
      <c r="AF25" s="96" t="inlineStr">
        <is>
          <t>TBKK42</t>
        </is>
      </c>
      <c r="AG25" s="97" t="n"/>
      <c r="AH25" s="97" t="n"/>
      <c r="AI25" s="97" t="n"/>
      <c r="AJ25" s="96" t="inlineStr">
        <is>
          <t>SANSHO CO., LTD.</t>
        </is>
      </c>
      <c r="AK25" s="130" t="n">
        <v>0</v>
      </c>
    </row>
    <row r="26" ht="12" customHeight="1">
      <c r="A26" s="108" t="inlineStr">
        <is>
          <t>HALU2319528</t>
        </is>
      </c>
      <c r="B26" s="108" t="inlineStr">
        <is>
          <t>BKK04</t>
        </is>
      </c>
      <c r="C26" s="108" t="inlineStr">
        <is>
          <t>IFV</t>
        </is>
      </c>
      <c r="D26" s="172" t="inlineStr">
        <is>
          <t>2026-09-19</t>
        </is>
      </c>
      <c r="E26" s="173" t="inlineStr">
        <is>
          <t>2247</t>
        </is>
      </c>
      <c r="F26" s="96" t="inlineStr">
        <is>
          <t>HASLS22260801914</t>
        </is>
      </c>
      <c r="G26" s="96" t="inlineStr">
        <is>
          <t>DP WORLD LOGISTICS SOLUTIONS (THAILAND) COMPANY LIMITED</t>
        </is>
      </c>
      <c r="H26" s="111" t="inlineStr">
        <is>
          <t>22GP</t>
        </is>
      </c>
      <c r="I26" s="96" t="n"/>
      <c r="J26" s="96" t="inlineStr">
        <is>
          <t>Sirichai Prayochananon</t>
        </is>
      </c>
      <c r="K26" s="96" t="inlineStr">
        <is>
          <t>SD</t>
        </is>
      </c>
      <c r="L26" s="111" t="inlineStr">
        <is>
          <t>Full</t>
        </is>
      </c>
      <c r="M26" s="96" t="inlineStr">
        <is>
          <t>HASLS22260801914</t>
        </is>
      </c>
      <c r="N26" s="96" t="inlineStr">
        <is>
          <t xml:space="preserve">20'x33 </t>
        </is>
      </c>
      <c r="O26" s="111" t="inlineStr">
        <is>
          <t>2023</t>
        </is>
      </c>
      <c r="P26" s="111" t="n"/>
      <c r="Q26" s="111" t="n"/>
      <c r="R26" s="96" t="n"/>
      <c r="S26" s="96" t="n"/>
      <c r="T26" s="96" t="inlineStr">
        <is>
          <t>BKK04</t>
        </is>
      </c>
      <c r="U26" s="96" t="inlineStr">
        <is>
          <t>THBKK</t>
        </is>
      </c>
      <c r="V26" s="161" t="inlineStr">
        <is>
          <t>2026-10-08</t>
        </is>
      </c>
      <c r="W26" s="96" t="inlineStr">
        <is>
          <t>KRPTK</t>
        </is>
      </c>
      <c r="X26" s="161" t="inlineStr">
        <is>
          <t>2026-10-17</t>
        </is>
      </c>
      <c r="Y26" s="97" t="n"/>
      <c r="Z26" s="97" t="n"/>
      <c r="AA26" s="97" t="n"/>
      <c r="AB26" s="97" t="n"/>
      <c r="AC26" s="97" t="n"/>
      <c r="AD26" s="161" t="inlineStr">
        <is>
          <t>2026-09-20</t>
        </is>
      </c>
      <c r="AE26" s="174" t="inlineStr">
        <is>
          <t>1743</t>
        </is>
      </c>
      <c r="AF26" s="96" t="inlineStr">
        <is>
          <t>TBKK42</t>
        </is>
      </c>
      <c r="AG26" s="97" t="n"/>
      <c r="AH26" s="97" t="n"/>
      <c r="AI26" s="97" t="n"/>
      <c r="AJ26" s="96" t="inlineStr">
        <is>
          <t>TO THE ORDER OF KOOKMIN BANK</t>
        </is>
      </c>
      <c r="AK26" s="130" t="n">
        <v>0</v>
      </c>
    </row>
    <row r="27" ht="12" customHeight="1">
      <c r="A27" s="108" t="inlineStr">
        <is>
          <t>HALU2333491</t>
        </is>
      </c>
      <c r="B27" s="108" t="inlineStr">
        <is>
          <t>BKK04</t>
        </is>
      </c>
      <c r="C27" s="108" t="inlineStr">
        <is>
          <t>IFV</t>
        </is>
      </c>
      <c r="D27" s="172" t="inlineStr">
        <is>
          <t>2026-09-19</t>
        </is>
      </c>
      <c r="E27" s="173" t="inlineStr">
        <is>
          <t>0304</t>
        </is>
      </c>
      <c r="F27" s="96" t="inlineStr">
        <is>
          <t>HASLS22260900196</t>
        </is>
      </c>
      <c r="G27" s="96" t="inlineStr">
        <is>
          <t>SANGUAN WONGSE STARCH CO., LTD.</t>
        </is>
      </c>
      <c r="H27" s="111" t="inlineStr">
        <is>
          <t>22GP</t>
        </is>
      </c>
      <c r="I27" s="96" t="n"/>
      <c r="J27" s="96" t="inlineStr">
        <is>
          <t>Sirichai Prayochananon</t>
        </is>
      </c>
      <c r="K27" s="96" t="inlineStr">
        <is>
          <t>SD</t>
        </is>
      </c>
      <c r="L27" s="111" t="inlineStr">
        <is>
          <t>Full</t>
        </is>
      </c>
      <c r="M27" s="96" t="inlineStr">
        <is>
          <t>HASLS22260900196</t>
        </is>
      </c>
      <c r="N27" s="96" t="inlineStr">
        <is>
          <t xml:space="preserve">20'x12 </t>
        </is>
      </c>
      <c r="O27" s="111" t="inlineStr">
        <is>
          <t>2023</t>
        </is>
      </c>
      <c r="P27" s="111" t="n"/>
      <c r="Q27" s="111" t="n"/>
      <c r="R27" s="96" t="n"/>
      <c r="S27" s="96" t="n"/>
      <c r="T27" s="96" t="inlineStr">
        <is>
          <t>BKK04</t>
        </is>
      </c>
      <c r="U27" s="96" t="inlineStr">
        <is>
          <t>THBKK</t>
        </is>
      </c>
      <c r="V27" s="161" t="inlineStr">
        <is>
          <t>2026-10-08</t>
        </is>
      </c>
      <c r="W27" s="96" t="inlineStr">
        <is>
          <t>JPSEN</t>
        </is>
      </c>
      <c r="X27" s="161" t="inlineStr">
        <is>
          <t>2026-10-19</t>
        </is>
      </c>
      <c r="Y27" s="97" t="n"/>
      <c r="Z27" s="97" t="n"/>
      <c r="AA27" s="97" t="n"/>
      <c r="AB27" s="97" t="n"/>
      <c r="AC27" s="97" t="n"/>
      <c r="AD27" s="161" t="inlineStr">
        <is>
          <t>2026-09-20</t>
        </is>
      </c>
      <c r="AE27" s="174" t="inlineStr">
        <is>
          <t>1743</t>
        </is>
      </c>
      <c r="AF27" s="96" t="inlineStr">
        <is>
          <t>TBKK42</t>
        </is>
      </c>
      <c r="AG27" s="97" t="n"/>
      <c r="AH27" s="97" t="n"/>
      <c r="AI27" s="97" t="n"/>
      <c r="AJ27" s="96" t="inlineStr">
        <is>
          <t>SANSHO CO., LTD.</t>
        </is>
      </c>
      <c r="AK27" s="130" t="n">
        <v>0</v>
      </c>
    </row>
    <row r="28" ht="12" customHeight="1">
      <c r="A28" s="108" t="inlineStr">
        <is>
          <t>HALU2348402</t>
        </is>
      </c>
      <c r="B28" s="108" t="inlineStr">
        <is>
          <t>BKK04</t>
        </is>
      </c>
      <c r="C28" s="108" t="inlineStr">
        <is>
          <t>IFV</t>
        </is>
      </c>
      <c r="D28" s="172" t="inlineStr">
        <is>
          <t>2026-10-02</t>
        </is>
      </c>
      <c r="E28" s="173" t="inlineStr">
        <is>
          <t>2118</t>
        </is>
      </c>
      <c r="F28" s="96" t="inlineStr">
        <is>
          <t>HASLS22260901581</t>
        </is>
      </c>
      <c r="G28" s="96" t="inlineStr">
        <is>
          <t>BEE LOGISTICS (THAILAND) CO., LTD.</t>
        </is>
      </c>
      <c r="H28" s="111" t="inlineStr">
        <is>
          <t>22GP</t>
        </is>
      </c>
      <c r="I28" s="96" t="n"/>
      <c r="J28" s="96" t="inlineStr">
        <is>
          <t>Sirichai Prayochananon</t>
        </is>
      </c>
      <c r="K28" s="96" t="inlineStr">
        <is>
          <t>SD</t>
        </is>
      </c>
      <c r="L28" s="111" t="inlineStr">
        <is>
          <t>Full</t>
        </is>
      </c>
      <c r="M28" s="96" t="inlineStr">
        <is>
          <t>HASLS22260901581</t>
        </is>
      </c>
      <c r="N28" s="96" t="inlineStr">
        <is>
          <t xml:space="preserve">20'x1 </t>
        </is>
      </c>
      <c r="O28" s="111" t="inlineStr">
        <is>
          <t>2023</t>
        </is>
      </c>
      <c r="P28" s="111" t="n"/>
      <c r="Q28" s="111" t="n"/>
      <c r="R28" s="96" t="n"/>
      <c r="S28" s="96" t="n"/>
      <c r="T28" s="96" t="inlineStr">
        <is>
          <t>BKK04</t>
        </is>
      </c>
      <c r="U28" s="96" t="inlineStr">
        <is>
          <t>THBKK</t>
        </is>
      </c>
      <c r="V28" s="161" t="inlineStr">
        <is>
          <t>2026-10-08</t>
        </is>
      </c>
      <c r="W28" s="96" t="inlineStr">
        <is>
          <t>VNSGN</t>
        </is>
      </c>
      <c r="X28" s="161" t="inlineStr">
        <is>
          <t>2026-10-11</t>
        </is>
      </c>
      <c r="Y28" s="97" t="n"/>
      <c r="Z28" s="97" t="n"/>
      <c r="AA28" s="97" t="n"/>
      <c r="AB28" s="97" t="n"/>
      <c r="AC28" s="97" t="n"/>
      <c r="AD28" s="161" t="inlineStr">
        <is>
          <t>2026-10-04</t>
        </is>
      </c>
      <c r="AE28" s="174" t="inlineStr">
        <is>
          <t>2005</t>
        </is>
      </c>
      <c r="AF28" s="96" t="inlineStr">
        <is>
          <t>TBKK42</t>
        </is>
      </c>
      <c r="AG28" s="97" t="n"/>
      <c r="AH28" s="97" t="n"/>
      <c r="AI28" s="97" t="n"/>
      <c r="AJ28" s="96" t="inlineStr">
        <is>
          <t>AJINOMOTO VIETNAM CO., LTD.</t>
        </is>
      </c>
      <c r="AK28" s="130" t="n">
        <v>0</v>
      </c>
    </row>
    <row r="29" ht="12" customHeight="1">
      <c r="A29" s="108" t="inlineStr">
        <is>
          <t>HALU2363006</t>
        </is>
      </c>
      <c r="B29" s="108" t="inlineStr">
        <is>
          <t>BKK01</t>
        </is>
      </c>
      <c r="C29" s="108" t="inlineStr">
        <is>
          <t>IFV</t>
        </is>
      </c>
      <c r="D29" s="172" t="inlineStr">
        <is>
          <t>2026-09-30</t>
        </is>
      </c>
      <c r="E29" s="173" t="inlineStr">
        <is>
          <t>0143</t>
        </is>
      </c>
      <c r="F29" s="96" t="inlineStr">
        <is>
          <t>HASLS22260901245</t>
        </is>
      </c>
      <c r="G29" s="96" t="inlineStr">
        <is>
          <t>BANGKOK COLD STORAGE SERVICE,LTD</t>
        </is>
      </c>
      <c r="H29" s="111" t="inlineStr">
        <is>
          <t>22GP</t>
        </is>
      </c>
      <c r="I29" s="96" t="n"/>
      <c r="J29" s="96" t="inlineStr">
        <is>
          <t>Chuanchuen</t>
        </is>
      </c>
      <c r="K29" s="96" t="inlineStr">
        <is>
          <t>SD</t>
        </is>
      </c>
      <c r="L29" s="111" t="inlineStr">
        <is>
          <t>Full</t>
        </is>
      </c>
      <c r="M29" s="96" t="inlineStr">
        <is>
          <t>HASLS22260901245</t>
        </is>
      </c>
      <c r="N29" s="96" t="inlineStr">
        <is>
          <t xml:space="preserve">20'x7 </t>
        </is>
      </c>
      <c r="O29" s="111" t="inlineStr">
        <is>
          <t>2023</t>
        </is>
      </c>
      <c r="P29" s="111" t="n"/>
      <c r="Q29" s="111" t="n"/>
      <c r="R29" s="96" t="n"/>
      <c r="S29" s="96" t="n"/>
      <c r="T29" s="96" t="inlineStr">
        <is>
          <t>BKK04</t>
        </is>
      </c>
      <c r="U29" s="96" t="inlineStr">
        <is>
          <t>THBKK</t>
        </is>
      </c>
      <c r="V29" s="161" t="inlineStr">
        <is>
          <t>2026-10-08</t>
        </is>
      </c>
      <c r="W29" s="96" t="inlineStr">
        <is>
          <t>JPMIZ</t>
        </is>
      </c>
      <c r="X29" s="161" t="inlineStr">
        <is>
          <t>2026-10-19</t>
        </is>
      </c>
      <c r="Y29" s="97" t="n"/>
      <c r="Z29" s="97" t="n"/>
      <c r="AA29" s="97" t="n"/>
      <c r="AB29" s="97" t="n"/>
      <c r="AC29" s="97" t="n"/>
      <c r="AD29" s="161" t="inlineStr">
        <is>
          <t>2026-09-30</t>
        </is>
      </c>
      <c r="AE29" s="174" t="inlineStr">
        <is>
          <t>1049</t>
        </is>
      </c>
      <c r="AF29" s="96" t="inlineStr">
        <is>
          <t>TBKK07</t>
        </is>
      </c>
      <c r="AG29" s="97" t="n"/>
      <c r="AH29" s="97" t="n"/>
      <c r="AI29" s="97" t="n"/>
      <c r="AJ29" s="96" t="inlineStr">
        <is>
          <t>HARVEST WORLD EXPRESS</t>
        </is>
      </c>
      <c r="AK29" s="130" t="n">
        <v>0</v>
      </c>
    </row>
    <row r="30" ht="12" customHeight="1">
      <c r="A30" s="108" t="inlineStr">
        <is>
          <t>HALU2405570</t>
        </is>
      </c>
      <c r="B30" s="108" t="inlineStr">
        <is>
          <t>BKK04</t>
        </is>
      </c>
      <c r="C30" s="108" t="inlineStr">
        <is>
          <t>IFV</t>
        </is>
      </c>
      <c r="D30" s="172" t="inlineStr">
        <is>
          <t>2026-09-19</t>
        </is>
      </c>
      <c r="E30" s="173" t="inlineStr">
        <is>
          <t>0031</t>
        </is>
      </c>
      <c r="F30" s="96" t="inlineStr">
        <is>
          <t>HASLS22260900196</t>
        </is>
      </c>
      <c r="G30" s="96" t="inlineStr">
        <is>
          <t>SANGUAN WONGSE STARCH CO., LTD.</t>
        </is>
      </c>
      <c r="H30" s="111" t="inlineStr">
        <is>
          <t>22GP</t>
        </is>
      </c>
      <c r="I30" s="96" t="n"/>
      <c r="J30" s="96" t="inlineStr">
        <is>
          <t>Sirichai Prayochananon</t>
        </is>
      </c>
      <c r="K30" s="96" t="inlineStr">
        <is>
          <t>SD</t>
        </is>
      </c>
      <c r="L30" s="111" t="inlineStr">
        <is>
          <t>Full</t>
        </is>
      </c>
      <c r="M30" s="96" t="inlineStr">
        <is>
          <t>HASLS22260900196</t>
        </is>
      </c>
      <c r="N30" s="96" t="inlineStr">
        <is>
          <t xml:space="preserve">20'x12 </t>
        </is>
      </c>
      <c r="O30" s="111" t="inlineStr">
        <is>
          <t>2024</t>
        </is>
      </c>
      <c r="P30" s="111" t="n"/>
      <c r="Q30" s="111" t="n"/>
      <c r="R30" s="96" t="n"/>
      <c r="S30" s="96" t="n"/>
      <c r="T30" s="96" t="inlineStr">
        <is>
          <t>BKK04</t>
        </is>
      </c>
      <c r="U30" s="96" t="inlineStr">
        <is>
          <t>THBKK</t>
        </is>
      </c>
      <c r="V30" s="161" t="inlineStr">
        <is>
          <t>2026-10-08</t>
        </is>
      </c>
      <c r="W30" s="96" t="inlineStr">
        <is>
          <t>JPSEN</t>
        </is>
      </c>
      <c r="X30" s="161" t="inlineStr">
        <is>
          <t>2026-10-19</t>
        </is>
      </c>
      <c r="Y30" s="97" t="n"/>
      <c r="Z30" s="97" t="n"/>
      <c r="AA30" s="97" t="n"/>
      <c r="AB30" s="97" t="n"/>
      <c r="AC30" s="97" t="n"/>
      <c r="AD30" s="161" t="inlineStr">
        <is>
          <t>2026-09-20</t>
        </is>
      </c>
      <c r="AE30" s="174" t="inlineStr">
        <is>
          <t>1743</t>
        </is>
      </c>
      <c r="AF30" s="96" t="inlineStr">
        <is>
          <t>TBKK42</t>
        </is>
      </c>
      <c r="AG30" s="97" t="n"/>
      <c r="AH30" s="97" t="n"/>
      <c r="AI30" s="97" t="n"/>
      <c r="AJ30" s="96" t="inlineStr">
        <is>
          <t>SANSHO CO., LTD.</t>
        </is>
      </c>
      <c r="AK30" s="130" t="n">
        <v>0</v>
      </c>
    </row>
    <row r="31" ht="12" customHeight="1">
      <c r="A31" s="108" t="inlineStr">
        <is>
          <t>HALU2407193</t>
        </is>
      </c>
      <c r="B31" s="108" t="inlineStr">
        <is>
          <t>BKK04</t>
        </is>
      </c>
      <c r="C31" s="108" t="inlineStr">
        <is>
          <t>IFV</t>
        </is>
      </c>
      <c r="D31" s="172" t="inlineStr">
        <is>
          <t>2026-10-01</t>
        </is>
      </c>
      <c r="E31" s="173" t="inlineStr">
        <is>
          <t>0203</t>
        </is>
      </c>
      <c r="F31" s="96" t="inlineStr">
        <is>
          <t>HASLS22260900501</t>
        </is>
      </c>
      <c r="G31" s="96" t="inlineStr">
        <is>
          <t>MERCURIAL LOGISTICS  CO.,LTD</t>
        </is>
      </c>
      <c r="H31" s="111" t="inlineStr">
        <is>
          <t>22GP</t>
        </is>
      </c>
      <c r="I31" s="96" t="n"/>
      <c r="J31" s="96" t="inlineStr">
        <is>
          <t>Chuanchuen</t>
        </is>
      </c>
      <c r="K31" s="96" t="inlineStr">
        <is>
          <t>SD</t>
        </is>
      </c>
      <c r="L31" s="111" t="inlineStr">
        <is>
          <t>Full</t>
        </is>
      </c>
      <c r="M31" s="96" t="inlineStr">
        <is>
          <t>HASLS22260900501</t>
        </is>
      </c>
      <c r="N31" s="96" t="inlineStr">
        <is>
          <t xml:space="preserve">20'x2 </t>
        </is>
      </c>
      <c r="O31" s="111" t="inlineStr">
        <is>
          <t>2024</t>
        </is>
      </c>
      <c r="P31" s="111" t="n"/>
      <c r="Q31" s="111" t="n"/>
      <c r="R31" s="96" t="n"/>
      <c r="S31" s="96" t="n"/>
      <c r="T31" s="96" t="inlineStr">
        <is>
          <t>BKK04</t>
        </is>
      </c>
      <c r="U31" s="96" t="inlineStr">
        <is>
          <t>THBKK</t>
        </is>
      </c>
      <c r="V31" s="161" t="inlineStr">
        <is>
          <t>2026-10-08</t>
        </is>
      </c>
      <c r="W31" s="96" t="inlineStr">
        <is>
          <t>VNSGN</t>
        </is>
      </c>
      <c r="X31" s="161" t="inlineStr">
        <is>
          <t>2026-10-11</t>
        </is>
      </c>
      <c r="Y31" s="97" t="n"/>
      <c r="Z31" s="97" t="n"/>
      <c r="AA31" s="97" t="n"/>
      <c r="AB31" s="97" t="n"/>
      <c r="AC31" s="97" t="n"/>
      <c r="AD31" s="161" t="inlineStr">
        <is>
          <t>2026-10-01</t>
        </is>
      </c>
      <c r="AE31" s="174" t="inlineStr">
        <is>
          <t>1106</t>
        </is>
      </c>
      <c r="AF31" s="96" t="inlineStr">
        <is>
          <t>TBKK07</t>
        </is>
      </c>
      <c r="AG31" s="97" t="n"/>
      <c r="AH31" s="97" t="n"/>
      <c r="AI31" s="97" t="n"/>
      <c r="AJ31" s="96" t="inlineStr">
        <is>
          <t>YAKULT VIETNAM CO.,LTD.</t>
        </is>
      </c>
      <c r="AK31" s="130" t="n">
        <v>0</v>
      </c>
    </row>
    <row r="32" ht="12" customHeight="1">
      <c r="A32" s="108" t="inlineStr">
        <is>
          <t>HALU2410411</t>
        </is>
      </c>
      <c r="B32" s="108" t="inlineStr">
        <is>
          <t>BKK04</t>
        </is>
      </c>
      <c r="C32" s="108" t="inlineStr">
        <is>
          <t>IFV</t>
        </is>
      </c>
      <c r="D32" s="172" t="inlineStr">
        <is>
          <t>2026-10-05</t>
        </is>
      </c>
      <c r="E32" s="173" t="inlineStr">
        <is>
          <t>1031</t>
        </is>
      </c>
      <c r="F32" s="96" t="inlineStr">
        <is>
          <t>HASLS22260900903</t>
        </is>
      </c>
      <c r="G32" s="96" t="inlineStr">
        <is>
          <t>FIBS LOGISTICS CO., LTD.</t>
        </is>
      </c>
      <c r="H32" s="111" t="inlineStr">
        <is>
          <t>22GP</t>
        </is>
      </c>
      <c r="I32" s="96" t="n"/>
      <c r="J32" s="96" t="inlineStr">
        <is>
          <t>Chuanchuen</t>
        </is>
      </c>
      <c r="K32" s="96" t="inlineStr">
        <is>
          <t>SD</t>
        </is>
      </c>
      <c r="L32" s="111" t="inlineStr">
        <is>
          <t>Full</t>
        </is>
      </c>
      <c r="M32" s="96" t="inlineStr">
        <is>
          <t>HASLS22260900903</t>
        </is>
      </c>
      <c r="N32" s="96" t="inlineStr">
        <is>
          <t xml:space="preserve">20'x1 </t>
        </is>
      </c>
      <c r="O32" s="111" t="inlineStr">
        <is>
          <t>2024</t>
        </is>
      </c>
      <c r="P32" s="111" t="n"/>
      <c r="Q32" s="111" t="n"/>
      <c r="R32" s="96" t="n"/>
      <c r="S32" s="96" t="n"/>
      <c r="T32" s="96" t="inlineStr">
        <is>
          <t>BKK04</t>
        </is>
      </c>
      <c r="U32" s="96" t="inlineStr">
        <is>
          <t>THBKK</t>
        </is>
      </c>
      <c r="V32" s="161" t="inlineStr">
        <is>
          <t>2026-10-08</t>
        </is>
      </c>
      <c r="W32" s="96" t="inlineStr">
        <is>
          <t>VNSGN</t>
        </is>
      </c>
      <c r="X32" s="161" t="inlineStr">
        <is>
          <t>2026-10-11</t>
        </is>
      </c>
      <c r="Y32" s="97" t="n"/>
      <c r="Z32" s="97" t="n"/>
      <c r="AA32" s="97" t="n"/>
      <c r="AB32" s="97" t="n"/>
      <c r="AC32" s="97" t="n"/>
      <c r="AD32" s="161" t="inlineStr">
        <is>
          <t>2026-10-06</t>
        </is>
      </c>
      <c r="AE32" s="174" t="inlineStr">
        <is>
          <t>1047</t>
        </is>
      </c>
      <c r="AF32" s="96" t="inlineStr">
        <is>
          <t>TBKK07</t>
        </is>
      </c>
      <c r="AG32" s="97" t="n"/>
      <c r="AH32" s="97" t="n"/>
      <c r="AI32" s="97" t="n"/>
      <c r="AJ32" s="96" t="inlineStr">
        <is>
          <t>CARRY ALL LOGISTICS VIETNAM</t>
        </is>
      </c>
      <c r="AK32" s="130" t="n">
        <v>0</v>
      </c>
    </row>
    <row r="33" ht="12" customHeight="1">
      <c r="A33" s="108" t="inlineStr">
        <is>
          <t>HALU2434748</t>
        </is>
      </c>
      <c r="B33" s="108" t="inlineStr">
        <is>
          <t>BKK01</t>
        </is>
      </c>
      <c r="C33" s="108" t="inlineStr">
        <is>
          <t>IFV</t>
        </is>
      </c>
      <c r="D33" s="172" t="inlineStr">
        <is>
          <t>2026-09-30</t>
        </is>
      </c>
      <c r="E33" s="173" t="inlineStr">
        <is>
          <t>0138</t>
        </is>
      </c>
      <c r="F33" s="96" t="inlineStr">
        <is>
          <t>HASLS22260901245</t>
        </is>
      </c>
      <c r="G33" s="96" t="inlineStr">
        <is>
          <t>BANGKOK COLD STORAGE SERVICE,LTD</t>
        </is>
      </c>
      <c r="H33" s="111" t="inlineStr">
        <is>
          <t>22GP</t>
        </is>
      </c>
      <c r="I33" s="96" t="n"/>
      <c r="J33" s="96" t="inlineStr">
        <is>
          <t>Chuanchuen</t>
        </is>
      </c>
      <c r="K33" s="96" t="inlineStr">
        <is>
          <t>SD</t>
        </is>
      </c>
      <c r="L33" s="111" t="inlineStr">
        <is>
          <t>Full</t>
        </is>
      </c>
      <c r="M33" s="96" t="inlineStr">
        <is>
          <t>HASLS22260901245</t>
        </is>
      </c>
      <c r="N33" s="96" t="inlineStr">
        <is>
          <t xml:space="preserve">20'x7 </t>
        </is>
      </c>
      <c r="O33" s="111" t="inlineStr">
        <is>
          <t>2024</t>
        </is>
      </c>
      <c r="P33" s="111" t="n"/>
      <c r="Q33" s="111" t="n"/>
      <c r="R33" s="96" t="n"/>
      <c r="S33" s="96" t="n"/>
      <c r="T33" s="96" t="inlineStr">
        <is>
          <t>BKK04</t>
        </is>
      </c>
      <c r="U33" s="96" t="inlineStr">
        <is>
          <t>THBKK</t>
        </is>
      </c>
      <c r="V33" s="161" t="inlineStr">
        <is>
          <t>2026-10-08</t>
        </is>
      </c>
      <c r="W33" s="96" t="inlineStr">
        <is>
          <t>JPMIZ</t>
        </is>
      </c>
      <c r="X33" s="161" t="inlineStr">
        <is>
          <t>2026-10-19</t>
        </is>
      </c>
      <c r="Y33" s="97" t="n"/>
      <c r="Z33" s="97" t="n"/>
      <c r="AA33" s="97" t="n"/>
      <c r="AB33" s="97" t="n"/>
      <c r="AC33" s="97" t="n"/>
      <c r="AD33" s="161" t="inlineStr">
        <is>
          <t>2026-09-30</t>
        </is>
      </c>
      <c r="AE33" s="174" t="inlineStr">
        <is>
          <t>1049</t>
        </is>
      </c>
      <c r="AF33" s="96" t="inlineStr">
        <is>
          <t>TBKK07</t>
        </is>
      </c>
      <c r="AG33" s="97" t="n"/>
      <c r="AH33" s="97" t="n"/>
      <c r="AI33" s="97" t="n"/>
      <c r="AJ33" s="96" t="inlineStr">
        <is>
          <t>HARVEST WORLD EXPRESS</t>
        </is>
      </c>
      <c r="AK33" s="130" t="n">
        <v>0</v>
      </c>
    </row>
    <row r="34" ht="12" customHeight="1">
      <c r="A34" s="108" t="inlineStr">
        <is>
          <t>HALU2440165</t>
        </is>
      </c>
      <c r="B34" s="108" t="inlineStr">
        <is>
          <t>BKK04</t>
        </is>
      </c>
      <c r="C34" s="108" t="inlineStr">
        <is>
          <t>IFV</t>
        </is>
      </c>
      <c r="D34" s="172" t="inlineStr">
        <is>
          <t>2026-10-02</t>
        </is>
      </c>
      <c r="E34" s="173" t="inlineStr">
        <is>
          <t>1144</t>
        </is>
      </c>
      <c r="F34" s="96" t="inlineStr">
        <is>
          <t>HASLS22260900630</t>
        </is>
      </c>
      <c r="G34" s="96" t="inlineStr">
        <is>
          <t>ICONS GLOBAL LOGISTICS CO., LTD.</t>
        </is>
      </c>
      <c r="H34" s="111" t="inlineStr">
        <is>
          <t>22GP</t>
        </is>
      </c>
      <c r="I34" s="96" t="n"/>
      <c r="J34" s="96" t="inlineStr">
        <is>
          <t>Chuanchuen</t>
        </is>
      </c>
      <c r="K34" s="96" t="inlineStr">
        <is>
          <t>SD</t>
        </is>
      </c>
      <c r="L34" s="111" t="inlineStr">
        <is>
          <t>Full</t>
        </is>
      </c>
      <c r="M34" s="96" t="inlineStr">
        <is>
          <t>HASLS22260900630</t>
        </is>
      </c>
      <c r="N34" s="96" t="inlineStr">
        <is>
          <t xml:space="preserve">20'x10 </t>
        </is>
      </c>
      <c r="O34" s="111" t="inlineStr">
        <is>
          <t>2024</t>
        </is>
      </c>
      <c r="P34" s="111" t="n"/>
      <c r="Q34" s="111" t="n"/>
      <c r="R34" s="96" t="n"/>
      <c r="S34" s="96" t="n"/>
      <c r="T34" s="96" t="inlineStr">
        <is>
          <t>BKK04</t>
        </is>
      </c>
      <c r="U34" s="96" t="inlineStr">
        <is>
          <t>THBKK</t>
        </is>
      </c>
      <c r="V34" s="161" t="inlineStr">
        <is>
          <t>2026-10-08</t>
        </is>
      </c>
      <c r="W34" s="96" t="inlineStr">
        <is>
          <t>VNSGN</t>
        </is>
      </c>
      <c r="X34" s="161" t="inlineStr">
        <is>
          <t>2026-10-11</t>
        </is>
      </c>
      <c r="Y34" s="97" t="n"/>
      <c r="Z34" s="97" t="n"/>
      <c r="AA34" s="97" t="n"/>
      <c r="AB34" s="97" t="n"/>
      <c r="AC34" s="97" t="n"/>
      <c r="AD34" s="161" t="inlineStr">
        <is>
          <t>2026-10-02</t>
        </is>
      </c>
      <c r="AE34" s="174" t="inlineStr">
        <is>
          <t>2027</t>
        </is>
      </c>
      <c r="AF34" s="96" t="inlineStr">
        <is>
          <t>TBKK07</t>
        </is>
      </c>
      <c r="AG34" s="97" t="n"/>
      <c r="AH34" s="97" t="n"/>
      <c r="AI34" s="97" t="n"/>
      <c r="AJ34" s="96" t="inlineStr">
        <is>
          <t>MEKONG COMMODITIES JSC</t>
        </is>
      </c>
      <c r="AK34" s="130" t="n">
        <v>0</v>
      </c>
    </row>
    <row r="35" ht="12" customHeight="1">
      <c r="A35" s="108" t="inlineStr">
        <is>
          <t>HALU2443014</t>
        </is>
      </c>
      <c r="B35" s="108" t="inlineStr">
        <is>
          <t>BKK04</t>
        </is>
      </c>
      <c r="C35" s="108" t="inlineStr">
        <is>
          <t>IFV</t>
        </is>
      </c>
      <c r="D35" s="172" t="inlineStr">
        <is>
          <t>2026-10-02</t>
        </is>
      </c>
      <c r="E35" s="173" t="inlineStr">
        <is>
          <t>1227</t>
        </is>
      </c>
      <c r="F35" s="96" t="inlineStr">
        <is>
          <t>HASLS22260900523</t>
        </is>
      </c>
      <c r="G35" s="96" t="inlineStr">
        <is>
          <t>QUALITY ACCESS GLOBAL LOGISTICS CO., LTD</t>
        </is>
      </c>
      <c r="H35" s="111" t="inlineStr">
        <is>
          <t>22GP</t>
        </is>
      </c>
      <c r="I35" s="96" t="n"/>
      <c r="J35" s="96" t="inlineStr">
        <is>
          <t>Chuanchuen</t>
        </is>
      </c>
      <c r="K35" s="96" t="inlineStr">
        <is>
          <t>SD</t>
        </is>
      </c>
      <c r="L35" s="111" t="inlineStr">
        <is>
          <t>Full</t>
        </is>
      </c>
      <c r="M35" s="96" t="inlineStr">
        <is>
          <t>HASLS22260900523</t>
        </is>
      </c>
      <c r="N35" s="96" t="inlineStr">
        <is>
          <t xml:space="preserve">20'x1 </t>
        </is>
      </c>
      <c r="O35" s="111" t="inlineStr">
        <is>
          <t>2024</t>
        </is>
      </c>
      <c r="P35" s="111" t="n"/>
      <c r="Q35" s="111" t="n"/>
      <c r="R35" s="96" t="n"/>
      <c r="S35" s="96" t="n"/>
      <c r="T35" s="96" t="inlineStr">
        <is>
          <t>BKK04</t>
        </is>
      </c>
      <c r="U35" s="96" t="inlineStr">
        <is>
          <t>THBKK</t>
        </is>
      </c>
      <c r="V35" s="161" t="inlineStr">
        <is>
          <t>2026-10-08</t>
        </is>
      </c>
      <c r="W35" s="96" t="inlineStr">
        <is>
          <t>VNSGN</t>
        </is>
      </c>
      <c r="X35" s="161" t="inlineStr">
        <is>
          <t>2026-10-11</t>
        </is>
      </c>
      <c r="Y35" s="97" t="n"/>
      <c r="Z35" s="97" t="n"/>
      <c r="AA35" s="97" t="n"/>
      <c r="AB35" s="97" t="n"/>
      <c r="AC35" s="97" t="n"/>
      <c r="AD35" s="161" t="inlineStr">
        <is>
          <t>2026-10-02</t>
        </is>
      </c>
      <c r="AE35" s="174" t="inlineStr">
        <is>
          <t>2027</t>
        </is>
      </c>
      <c r="AF35" s="96" t="inlineStr">
        <is>
          <t>TBKK07</t>
        </is>
      </c>
      <c r="AG35" s="97" t="n"/>
      <c r="AH35" s="97" t="n"/>
      <c r="AI35" s="97" t="n"/>
      <c r="AJ35" s="96" t="inlineStr">
        <is>
          <t>C.P.VIETNAM CORPORATION</t>
        </is>
      </c>
      <c r="AK35" s="130" t="n">
        <v>0</v>
      </c>
    </row>
    <row r="36" ht="12" customHeight="1">
      <c r="A36" s="108" t="inlineStr">
        <is>
          <t>HALU2451010</t>
        </is>
      </c>
      <c r="B36" s="108" t="inlineStr">
        <is>
          <t>BKK04</t>
        </is>
      </c>
      <c r="C36" s="108" t="inlineStr">
        <is>
          <t>IFV</t>
        </is>
      </c>
      <c r="D36" s="172" t="inlineStr">
        <is>
          <t>2026-09-19</t>
        </is>
      </c>
      <c r="E36" s="173" t="inlineStr">
        <is>
          <t>2114</t>
        </is>
      </c>
      <c r="F36" s="96" t="inlineStr">
        <is>
          <t>HASLS22260801914</t>
        </is>
      </c>
      <c r="G36" s="96" t="inlineStr">
        <is>
          <t>DP WORLD LOGISTICS SOLUTIONS (THAILAND) COMPANY LIMITED</t>
        </is>
      </c>
      <c r="H36" s="111" t="inlineStr">
        <is>
          <t>22GP</t>
        </is>
      </c>
      <c r="I36" s="96" t="n"/>
      <c r="J36" s="96" t="inlineStr">
        <is>
          <t>Sirichai Prayochananon</t>
        </is>
      </c>
      <c r="K36" s="96" t="inlineStr">
        <is>
          <t>SD</t>
        </is>
      </c>
      <c r="L36" s="111" t="inlineStr">
        <is>
          <t>Full</t>
        </is>
      </c>
      <c r="M36" s="96" t="inlineStr">
        <is>
          <t>HASLS22260801914</t>
        </is>
      </c>
      <c r="N36" s="96" t="inlineStr">
        <is>
          <t xml:space="preserve">20'x33 </t>
        </is>
      </c>
      <c r="O36" s="111" t="inlineStr">
        <is>
          <t>2024</t>
        </is>
      </c>
      <c r="P36" s="111" t="n"/>
      <c r="Q36" s="111" t="n"/>
      <c r="R36" s="96" t="n"/>
      <c r="S36" s="96" t="n"/>
      <c r="T36" s="96" t="inlineStr">
        <is>
          <t>BKK04</t>
        </is>
      </c>
      <c r="U36" s="96" t="inlineStr">
        <is>
          <t>THBKK</t>
        </is>
      </c>
      <c r="V36" s="161" t="inlineStr">
        <is>
          <t>2026-10-08</t>
        </is>
      </c>
      <c r="W36" s="96" t="inlineStr">
        <is>
          <t>KRPTK</t>
        </is>
      </c>
      <c r="X36" s="161" t="inlineStr">
        <is>
          <t>2026-10-17</t>
        </is>
      </c>
      <c r="Y36" s="97" t="n"/>
      <c r="Z36" s="97" t="n"/>
      <c r="AA36" s="97" t="n"/>
      <c r="AB36" s="97" t="n"/>
      <c r="AC36" s="97" t="n"/>
      <c r="AD36" s="161" t="inlineStr">
        <is>
          <t>2026-09-20</t>
        </is>
      </c>
      <c r="AE36" s="174" t="inlineStr">
        <is>
          <t>1743</t>
        </is>
      </c>
      <c r="AF36" s="96" t="inlineStr">
        <is>
          <t>TBKK42</t>
        </is>
      </c>
      <c r="AG36" s="97" t="n"/>
      <c r="AH36" s="97" t="n"/>
      <c r="AI36" s="97" t="n"/>
      <c r="AJ36" s="96" t="inlineStr">
        <is>
          <t>TO THE ORDER OF KOOKMIN BANK</t>
        </is>
      </c>
      <c r="AK36" s="130" t="n">
        <v>0</v>
      </c>
    </row>
    <row r="37" ht="12" customHeight="1">
      <c r="A37" s="108" t="inlineStr">
        <is>
          <t>HALU2524899</t>
        </is>
      </c>
      <c r="B37" s="108" t="inlineStr">
        <is>
          <t>BKK01</t>
        </is>
      </c>
      <c r="C37" s="108" t="inlineStr">
        <is>
          <t>IFV</t>
        </is>
      </c>
      <c r="D37" s="172" t="inlineStr">
        <is>
          <t>2026-09-29</t>
        </is>
      </c>
      <c r="E37" s="173" t="inlineStr">
        <is>
          <t>2327</t>
        </is>
      </c>
      <c r="F37" s="96" t="inlineStr">
        <is>
          <t>HASLS22260901245</t>
        </is>
      </c>
      <c r="G37" s="96" t="inlineStr">
        <is>
          <t>BANGKOK COLD STORAGE SERVICE,LTD</t>
        </is>
      </c>
      <c r="H37" s="111" t="inlineStr">
        <is>
          <t>22GP</t>
        </is>
      </c>
      <c r="I37" s="96" t="n"/>
      <c r="J37" s="96" t="inlineStr">
        <is>
          <t>Chuanchuen</t>
        </is>
      </c>
      <c r="K37" s="96" t="inlineStr">
        <is>
          <t>SD</t>
        </is>
      </c>
      <c r="L37" s="111" t="inlineStr">
        <is>
          <t>Full</t>
        </is>
      </c>
      <c r="M37" s="96" t="inlineStr">
        <is>
          <t>HASLS22260901245</t>
        </is>
      </c>
      <c r="N37" s="96" t="inlineStr">
        <is>
          <t xml:space="preserve">20'x7 </t>
        </is>
      </c>
      <c r="O37" s="111" t="inlineStr">
        <is>
          <t>2025</t>
        </is>
      </c>
      <c r="P37" s="111" t="n"/>
      <c r="Q37" s="111" t="n"/>
      <c r="R37" s="96" t="n"/>
      <c r="S37" s="96" t="n"/>
      <c r="T37" s="96" t="inlineStr">
        <is>
          <t>BKK04</t>
        </is>
      </c>
      <c r="U37" s="96" t="inlineStr">
        <is>
          <t>THBKK</t>
        </is>
      </c>
      <c r="V37" s="161" t="inlineStr">
        <is>
          <t>2026-10-08</t>
        </is>
      </c>
      <c r="W37" s="96" t="inlineStr">
        <is>
          <t>JPMIZ</t>
        </is>
      </c>
      <c r="X37" s="161" t="inlineStr">
        <is>
          <t>2026-10-19</t>
        </is>
      </c>
      <c r="Y37" s="97" t="n"/>
      <c r="Z37" s="97" t="n"/>
      <c r="AA37" s="97" t="n"/>
      <c r="AB37" s="97" t="n"/>
      <c r="AC37" s="97" t="n"/>
      <c r="AD37" s="161" t="inlineStr">
        <is>
          <t>2026-09-30</t>
        </is>
      </c>
      <c r="AE37" s="174" t="inlineStr">
        <is>
          <t>1049</t>
        </is>
      </c>
      <c r="AF37" s="96" t="inlineStr">
        <is>
          <t>TBKK07</t>
        </is>
      </c>
      <c r="AG37" s="97" t="n"/>
      <c r="AH37" s="97" t="n"/>
      <c r="AI37" s="97" t="n"/>
      <c r="AJ37" s="96" t="inlineStr">
        <is>
          <t>HARVEST WORLD EXPRESS</t>
        </is>
      </c>
      <c r="AK37" s="130" t="n">
        <v>0</v>
      </c>
    </row>
    <row r="38" ht="12" customHeight="1">
      <c r="A38" s="108" t="inlineStr">
        <is>
          <t>HALU2557296</t>
        </is>
      </c>
      <c r="B38" s="108" t="inlineStr">
        <is>
          <t>BKK04</t>
        </is>
      </c>
      <c r="C38" s="108" t="inlineStr">
        <is>
          <t>IFV</t>
        </is>
      </c>
      <c r="D38" s="172" t="inlineStr">
        <is>
          <t>2026-10-01</t>
        </is>
      </c>
      <c r="E38" s="173" t="inlineStr">
        <is>
          <t>0204</t>
        </is>
      </c>
      <c r="F38" s="96" t="inlineStr">
        <is>
          <t>HASLS22260900501</t>
        </is>
      </c>
      <c r="G38" s="96" t="inlineStr">
        <is>
          <t>MERCURIAL LOGISTICS  CO.,LTD</t>
        </is>
      </c>
      <c r="H38" s="111" t="inlineStr">
        <is>
          <t>22GP</t>
        </is>
      </c>
      <c r="I38" s="96" t="n"/>
      <c r="J38" s="96" t="inlineStr">
        <is>
          <t>Chuanchuen</t>
        </is>
      </c>
      <c r="K38" s="96" t="inlineStr">
        <is>
          <t>SD</t>
        </is>
      </c>
      <c r="L38" s="111" t="inlineStr">
        <is>
          <t>Full</t>
        </is>
      </c>
      <c r="M38" s="96" t="inlineStr">
        <is>
          <t>HASLS22260900501</t>
        </is>
      </c>
      <c r="N38" s="96" t="inlineStr">
        <is>
          <t xml:space="preserve">20'x2 </t>
        </is>
      </c>
      <c r="O38" s="111" t="inlineStr">
        <is>
          <t>2025</t>
        </is>
      </c>
      <c r="P38" s="111" t="n"/>
      <c r="Q38" s="111" t="n"/>
      <c r="R38" s="96" t="n"/>
      <c r="S38" s="96" t="n"/>
      <c r="T38" s="96" t="inlineStr">
        <is>
          <t>BKK04</t>
        </is>
      </c>
      <c r="U38" s="96" t="inlineStr">
        <is>
          <t>THBKK</t>
        </is>
      </c>
      <c r="V38" s="161" t="inlineStr">
        <is>
          <t>2026-10-08</t>
        </is>
      </c>
      <c r="W38" s="96" t="inlineStr">
        <is>
          <t>VNSGN</t>
        </is>
      </c>
      <c r="X38" s="161" t="inlineStr">
        <is>
          <t>2026-10-11</t>
        </is>
      </c>
      <c r="Y38" s="97" t="n"/>
      <c r="Z38" s="97" t="n"/>
      <c r="AA38" s="97" t="n"/>
      <c r="AB38" s="97" t="n"/>
      <c r="AC38" s="97" t="n"/>
      <c r="AD38" s="161" t="inlineStr">
        <is>
          <t>2026-10-01</t>
        </is>
      </c>
      <c r="AE38" s="174" t="inlineStr">
        <is>
          <t>1106</t>
        </is>
      </c>
      <c r="AF38" s="96" t="inlineStr">
        <is>
          <t>TBKK07</t>
        </is>
      </c>
      <c r="AG38" s="97" t="n"/>
      <c r="AH38" s="97" t="n"/>
      <c r="AI38" s="97" t="n"/>
      <c r="AJ38" s="96" t="inlineStr">
        <is>
          <t>YAKULT VIETNAM CO.,LTD.</t>
        </is>
      </c>
      <c r="AK38" s="130" t="n">
        <v>0</v>
      </c>
    </row>
    <row r="39" ht="12" customHeight="1">
      <c r="A39" s="108" t="inlineStr">
        <is>
          <t>HALU2557423</t>
        </is>
      </c>
      <c r="B39" s="108" t="inlineStr">
        <is>
          <t>BKK01</t>
        </is>
      </c>
      <c r="C39" s="108" t="inlineStr">
        <is>
          <t>IFV</t>
        </is>
      </c>
      <c r="D39" s="172" t="inlineStr">
        <is>
          <t>2026-09-30</t>
        </is>
      </c>
      <c r="E39" s="173" t="inlineStr">
        <is>
          <t>0139</t>
        </is>
      </c>
      <c r="F39" s="96" t="inlineStr">
        <is>
          <t>HASLS22260901245</t>
        </is>
      </c>
      <c r="G39" s="96" t="inlineStr">
        <is>
          <t>BANGKOK COLD STORAGE SERVICE,LTD</t>
        </is>
      </c>
      <c r="H39" s="111" t="inlineStr">
        <is>
          <t>22GP</t>
        </is>
      </c>
      <c r="I39" s="96" t="n"/>
      <c r="J39" s="96" t="inlineStr">
        <is>
          <t>Chuanchuen</t>
        </is>
      </c>
      <c r="K39" s="96" t="inlineStr">
        <is>
          <t>SD</t>
        </is>
      </c>
      <c r="L39" s="111" t="inlineStr">
        <is>
          <t>Full</t>
        </is>
      </c>
      <c r="M39" s="96" t="inlineStr">
        <is>
          <t>HASLS22260901245</t>
        </is>
      </c>
      <c r="N39" s="96" t="inlineStr">
        <is>
          <t xml:space="preserve">20'x7 </t>
        </is>
      </c>
      <c r="O39" s="111" t="inlineStr">
        <is>
          <t>2025</t>
        </is>
      </c>
      <c r="P39" s="111" t="n"/>
      <c r="Q39" s="111" t="n"/>
      <c r="R39" s="96" t="n"/>
      <c r="S39" s="96" t="n"/>
      <c r="T39" s="96" t="inlineStr">
        <is>
          <t>BKK04</t>
        </is>
      </c>
      <c r="U39" s="96" t="inlineStr">
        <is>
          <t>THBKK</t>
        </is>
      </c>
      <c r="V39" s="161" t="inlineStr">
        <is>
          <t>2026-10-08</t>
        </is>
      </c>
      <c r="W39" s="96" t="inlineStr">
        <is>
          <t>JPMIZ</t>
        </is>
      </c>
      <c r="X39" s="161" t="inlineStr">
        <is>
          <t>2026-10-19</t>
        </is>
      </c>
      <c r="Y39" s="97" t="n"/>
      <c r="Z39" s="97" t="n"/>
      <c r="AA39" s="97" t="n"/>
      <c r="AB39" s="97" t="n"/>
      <c r="AC39" s="97" t="n"/>
      <c r="AD39" s="161" t="inlineStr">
        <is>
          <t>2026-09-30</t>
        </is>
      </c>
      <c r="AE39" s="174" t="inlineStr">
        <is>
          <t>1049</t>
        </is>
      </c>
      <c r="AF39" s="96" t="inlineStr">
        <is>
          <t>TBKK07</t>
        </is>
      </c>
      <c r="AG39" s="97" t="n"/>
      <c r="AH39" s="97" t="n"/>
      <c r="AI39" s="97" t="n"/>
      <c r="AJ39" s="96" t="inlineStr">
        <is>
          <t>HARVEST WORLD EXPRESS</t>
        </is>
      </c>
      <c r="AK39" s="130" t="n">
        <v>0</v>
      </c>
    </row>
    <row r="40" ht="12" customHeight="1">
      <c r="A40" s="108" t="inlineStr">
        <is>
          <t>HALU2559658</t>
        </is>
      </c>
      <c r="B40" s="108" t="inlineStr">
        <is>
          <t>BKK04</t>
        </is>
      </c>
      <c r="C40" s="108" t="inlineStr">
        <is>
          <t>IFV</t>
        </is>
      </c>
      <c r="D40" s="172" t="inlineStr">
        <is>
          <t>2026-10-02</t>
        </is>
      </c>
      <c r="E40" s="173" t="inlineStr">
        <is>
          <t>1122</t>
        </is>
      </c>
      <c r="F40" s="96" t="inlineStr">
        <is>
          <t>HASLS22260900942</t>
        </is>
      </c>
      <c r="G40" s="96" t="inlineStr">
        <is>
          <t>MACPRO EXPRESS CO., LTD.</t>
        </is>
      </c>
      <c r="H40" s="111" t="inlineStr">
        <is>
          <t>22GP</t>
        </is>
      </c>
      <c r="I40" s="96" t="n"/>
      <c r="J40" s="96" t="inlineStr">
        <is>
          <t>Chuanchuen</t>
        </is>
      </c>
      <c r="K40" s="96" t="inlineStr">
        <is>
          <t>SD</t>
        </is>
      </c>
      <c r="L40" s="111" t="inlineStr">
        <is>
          <t>Full</t>
        </is>
      </c>
      <c r="M40" s="96" t="inlineStr">
        <is>
          <t>HASLS22260900942</t>
        </is>
      </c>
      <c r="N40" s="96" t="inlineStr">
        <is>
          <t xml:space="preserve">20'x1 </t>
        </is>
      </c>
      <c r="O40" s="111" t="inlineStr">
        <is>
          <t>2025</t>
        </is>
      </c>
      <c r="P40" s="111" t="n"/>
      <c r="Q40" s="111" t="n"/>
      <c r="R40" s="96" t="n"/>
      <c r="S40" s="96" t="n"/>
      <c r="T40" s="96" t="inlineStr">
        <is>
          <t>BKK04</t>
        </is>
      </c>
      <c r="U40" s="96" t="inlineStr">
        <is>
          <t>THBKK</t>
        </is>
      </c>
      <c r="V40" s="161" t="inlineStr">
        <is>
          <t>2026-10-08</t>
        </is>
      </c>
      <c r="W40" s="96" t="inlineStr">
        <is>
          <t>VNSGN</t>
        </is>
      </c>
      <c r="X40" s="161" t="inlineStr">
        <is>
          <t>2026-10-11</t>
        </is>
      </c>
      <c r="Y40" s="97" t="n"/>
      <c r="Z40" s="97" t="n"/>
      <c r="AA40" s="97" t="n"/>
      <c r="AB40" s="97" t="n"/>
      <c r="AC40" s="97" t="n"/>
      <c r="AD40" s="161" t="inlineStr">
        <is>
          <t>2026-10-02</t>
        </is>
      </c>
      <c r="AE40" s="174" t="inlineStr">
        <is>
          <t>2027</t>
        </is>
      </c>
      <c r="AF40" s="96" t="inlineStr">
        <is>
          <t>TBKK07</t>
        </is>
      </c>
      <c r="AG40" s="97" t="n"/>
      <c r="AH40" s="97" t="n"/>
      <c r="AI40" s="97" t="n"/>
      <c r="AJ40" s="96" t="inlineStr">
        <is>
          <t>THAI NAKORN PATANA (VIETNAM)</t>
        </is>
      </c>
      <c r="AK40" s="130" t="n">
        <v>0</v>
      </c>
    </row>
    <row r="41" ht="12" customHeight="1">
      <c r="A41" s="108" t="inlineStr">
        <is>
          <t>HALU2561790</t>
        </is>
      </c>
      <c r="B41" s="108" t="inlineStr">
        <is>
          <t>BKK04</t>
        </is>
      </c>
      <c r="C41" s="108" t="inlineStr">
        <is>
          <t>IFV</t>
        </is>
      </c>
      <c r="D41" s="172" t="inlineStr">
        <is>
          <t>2026-09-19</t>
        </is>
      </c>
      <c r="E41" s="173" t="inlineStr">
        <is>
          <t>2156</t>
        </is>
      </c>
      <c r="F41" s="96" t="inlineStr">
        <is>
          <t>HASLS22260801914</t>
        </is>
      </c>
      <c r="G41" s="96" t="inlineStr">
        <is>
          <t>DP WORLD LOGISTICS SOLUTIONS (THAILAND) COMPANY LIMITED</t>
        </is>
      </c>
      <c r="H41" s="111" t="inlineStr">
        <is>
          <t>22GP</t>
        </is>
      </c>
      <c r="I41" s="96" t="n"/>
      <c r="J41" s="96" t="inlineStr">
        <is>
          <t>Sirichai Prayochananon</t>
        </is>
      </c>
      <c r="K41" s="96" t="inlineStr">
        <is>
          <t>SD</t>
        </is>
      </c>
      <c r="L41" s="111" t="inlineStr">
        <is>
          <t>Full</t>
        </is>
      </c>
      <c r="M41" s="96" t="inlineStr">
        <is>
          <t>HASLS22260801914</t>
        </is>
      </c>
      <c r="N41" s="96" t="inlineStr">
        <is>
          <t xml:space="preserve">20'x33 </t>
        </is>
      </c>
      <c r="O41" s="111" t="inlineStr">
        <is>
          <t>2025</t>
        </is>
      </c>
      <c r="P41" s="111" t="n"/>
      <c r="Q41" s="111" t="n"/>
      <c r="R41" s="96" t="n"/>
      <c r="S41" s="96" t="n"/>
      <c r="T41" s="96" t="inlineStr">
        <is>
          <t>BKK04</t>
        </is>
      </c>
      <c r="U41" s="96" t="inlineStr">
        <is>
          <t>THBKK</t>
        </is>
      </c>
      <c r="V41" s="161" t="inlineStr">
        <is>
          <t>2026-10-08</t>
        </is>
      </c>
      <c r="W41" s="96" t="inlineStr">
        <is>
          <t>KRPTK</t>
        </is>
      </c>
      <c r="X41" s="161" t="inlineStr">
        <is>
          <t>2026-10-17</t>
        </is>
      </c>
      <c r="Y41" s="97" t="n"/>
      <c r="Z41" s="97" t="n"/>
      <c r="AA41" s="97" t="n"/>
      <c r="AB41" s="97" t="n"/>
      <c r="AC41" s="97" t="n"/>
      <c r="AD41" s="161" t="inlineStr">
        <is>
          <t>2026-09-20</t>
        </is>
      </c>
      <c r="AE41" s="174" t="inlineStr">
        <is>
          <t>1743</t>
        </is>
      </c>
      <c r="AF41" s="96" t="inlineStr">
        <is>
          <t>TBKK42</t>
        </is>
      </c>
      <c r="AG41" s="97" t="n"/>
      <c r="AH41" s="97" t="n"/>
      <c r="AI41" s="97" t="n"/>
      <c r="AJ41" s="96" t="inlineStr">
        <is>
          <t>TO THE ORDER OF KOOKMIN BANK</t>
        </is>
      </c>
      <c r="AK41" s="130" t="n">
        <v>0</v>
      </c>
    </row>
    <row r="42" ht="12" customHeight="1">
      <c r="A42" s="108" t="inlineStr">
        <is>
          <t>HALU2570467</t>
        </is>
      </c>
      <c r="B42" s="108" t="inlineStr">
        <is>
          <t>BKK04</t>
        </is>
      </c>
      <c r="C42" s="108" t="inlineStr">
        <is>
          <t>IFV</t>
        </is>
      </c>
      <c r="D42" s="172" t="inlineStr">
        <is>
          <t>2026-09-19</t>
        </is>
      </c>
      <c r="E42" s="173" t="inlineStr">
        <is>
          <t>2113</t>
        </is>
      </c>
      <c r="F42" s="96" t="inlineStr">
        <is>
          <t>HASLS22260801914</t>
        </is>
      </c>
      <c r="G42" s="96" t="inlineStr">
        <is>
          <t>DP WORLD LOGISTICS SOLUTIONS (THAILAND) COMPANY LIMITED</t>
        </is>
      </c>
      <c r="H42" s="111" t="inlineStr">
        <is>
          <t>22GP</t>
        </is>
      </c>
      <c r="I42" s="96" t="n"/>
      <c r="J42" s="96" t="inlineStr">
        <is>
          <t>Sirichai Prayochananon</t>
        </is>
      </c>
      <c r="K42" s="96" t="inlineStr">
        <is>
          <t>SD</t>
        </is>
      </c>
      <c r="L42" s="111" t="inlineStr">
        <is>
          <t>Full</t>
        </is>
      </c>
      <c r="M42" s="96" t="inlineStr">
        <is>
          <t>HASLS22260801914</t>
        </is>
      </c>
      <c r="N42" s="96" t="inlineStr">
        <is>
          <t xml:space="preserve">20'x33 </t>
        </is>
      </c>
      <c r="O42" s="111" t="inlineStr">
        <is>
          <t>2025</t>
        </is>
      </c>
      <c r="P42" s="111" t="n"/>
      <c r="Q42" s="111" t="n"/>
      <c r="R42" s="96" t="n"/>
      <c r="S42" s="96" t="n"/>
      <c r="T42" s="96" t="inlineStr">
        <is>
          <t>BKK04</t>
        </is>
      </c>
      <c r="U42" s="96" t="inlineStr">
        <is>
          <t>THBKK</t>
        </is>
      </c>
      <c r="V42" s="161" t="inlineStr">
        <is>
          <t>2026-10-08</t>
        </is>
      </c>
      <c r="W42" s="96" t="inlineStr">
        <is>
          <t>KRPTK</t>
        </is>
      </c>
      <c r="X42" s="161" t="inlineStr">
        <is>
          <t>2026-10-17</t>
        </is>
      </c>
      <c r="Y42" s="97" t="n"/>
      <c r="Z42" s="97" t="n"/>
      <c r="AA42" s="97" t="n"/>
      <c r="AB42" s="97" t="n"/>
      <c r="AC42" s="97" t="n"/>
      <c r="AD42" s="161" t="inlineStr">
        <is>
          <t>2026-09-20</t>
        </is>
      </c>
      <c r="AE42" s="174" t="inlineStr">
        <is>
          <t>1743</t>
        </is>
      </c>
      <c r="AF42" s="96" t="inlineStr">
        <is>
          <t>TBKK42</t>
        </is>
      </c>
      <c r="AG42" s="97" t="n"/>
      <c r="AH42" s="97" t="n"/>
      <c r="AI42" s="97" t="n"/>
      <c r="AJ42" s="96" t="inlineStr">
        <is>
          <t>TO THE ORDER OF KOOKMIN BANK</t>
        </is>
      </c>
      <c r="AK42" s="130" t="n">
        <v>0</v>
      </c>
    </row>
    <row r="43" ht="12" customHeight="1">
      <c r="A43" s="108" t="inlineStr">
        <is>
          <t>HALU2581060</t>
        </is>
      </c>
      <c r="B43" s="108" t="inlineStr">
        <is>
          <t>BKK04</t>
        </is>
      </c>
      <c r="C43" s="108" t="inlineStr">
        <is>
          <t>IFV</t>
        </is>
      </c>
      <c r="D43" s="172" t="inlineStr">
        <is>
          <t>2026-10-03</t>
        </is>
      </c>
      <c r="E43" s="173" t="inlineStr">
        <is>
          <t>0238</t>
        </is>
      </c>
      <c r="F43" s="96" t="inlineStr">
        <is>
          <t>HASLS22260901076</t>
        </is>
      </c>
      <c r="G43" s="96" t="inlineStr">
        <is>
          <t>EAST-LINK CORPORATION CO., LTD.</t>
        </is>
      </c>
      <c r="H43" s="111" t="inlineStr">
        <is>
          <t>22GP</t>
        </is>
      </c>
      <c r="I43" s="96" t="n"/>
      <c r="J43" s="96" t="inlineStr">
        <is>
          <t>Sirichai Prayochananon</t>
        </is>
      </c>
      <c r="K43" s="96" t="inlineStr">
        <is>
          <t>SD</t>
        </is>
      </c>
      <c r="L43" s="111" t="inlineStr">
        <is>
          <t>Full</t>
        </is>
      </c>
      <c r="M43" s="96" t="inlineStr">
        <is>
          <t>HASLS22260901076</t>
        </is>
      </c>
      <c r="N43" s="96" t="inlineStr">
        <is>
          <t xml:space="preserve">20'x1 </t>
        </is>
      </c>
      <c r="O43" s="111" t="inlineStr">
        <is>
          <t>2025</t>
        </is>
      </c>
      <c r="P43" s="111" t="n"/>
      <c r="Q43" s="111" t="n"/>
      <c r="R43" s="96" t="n"/>
      <c r="S43" s="96" t="n"/>
      <c r="T43" s="96" t="inlineStr">
        <is>
          <t>BKK04</t>
        </is>
      </c>
      <c r="U43" s="96" t="inlineStr">
        <is>
          <t>THBKK</t>
        </is>
      </c>
      <c r="V43" s="161" t="inlineStr">
        <is>
          <t>2026-10-08</t>
        </is>
      </c>
      <c r="W43" s="96" t="inlineStr">
        <is>
          <t>VNSGN</t>
        </is>
      </c>
      <c r="X43" s="161" t="inlineStr">
        <is>
          <t>2026-10-11</t>
        </is>
      </c>
      <c r="Y43" s="97" t="n"/>
      <c r="Z43" s="97" t="n"/>
      <c r="AA43" s="97" t="n"/>
      <c r="AB43" s="97" t="n"/>
      <c r="AC43" s="97" t="n"/>
      <c r="AD43" s="161" t="inlineStr">
        <is>
          <t>2026-10-04</t>
        </is>
      </c>
      <c r="AE43" s="174" t="inlineStr">
        <is>
          <t>2005</t>
        </is>
      </c>
      <c r="AF43" s="96" t="inlineStr">
        <is>
          <t>TBKK42</t>
        </is>
      </c>
      <c r="AG43" s="97" t="n"/>
      <c r="AH43" s="97" t="n"/>
      <c r="AI43" s="97" t="n"/>
      <c r="AJ43" s="96" t="inlineStr">
        <is>
          <t>AT ASIA CO.,LTD- BRANCH</t>
        </is>
      </c>
      <c r="AK43" s="130" t="n">
        <v>0</v>
      </c>
    </row>
    <row r="44" ht="12" customHeight="1">
      <c r="A44" s="108" t="inlineStr">
        <is>
          <t>HALU8506640</t>
        </is>
      </c>
      <c r="B44" s="108" t="inlineStr">
        <is>
          <t>BKK04</t>
        </is>
      </c>
      <c r="C44" s="108" t="inlineStr">
        <is>
          <t>IFV</t>
        </is>
      </c>
      <c r="D44" s="172" t="inlineStr">
        <is>
          <t>2026-10-04</t>
        </is>
      </c>
      <c r="E44" s="173" t="inlineStr">
        <is>
          <t>0023</t>
        </is>
      </c>
      <c r="F44" s="96" t="inlineStr">
        <is>
          <t>HASLS22260900909</t>
        </is>
      </c>
      <c r="G44" s="96" t="inlineStr">
        <is>
          <t>SIAM I-LOGISTICS LTD.</t>
        </is>
      </c>
      <c r="H44" s="111" t="inlineStr">
        <is>
          <t>45RE</t>
        </is>
      </c>
      <c r="I44" s="96" t="n"/>
      <c r="J44" s="96" t="inlineStr">
        <is>
          <t>Sirichai Prayochananon</t>
        </is>
      </c>
      <c r="K44" s="96" t="inlineStr">
        <is>
          <t>SD</t>
        </is>
      </c>
      <c r="L44" s="111" t="inlineStr">
        <is>
          <t>Full</t>
        </is>
      </c>
      <c r="M44" s="96" t="inlineStr">
        <is>
          <t>HASLS22260900909</t>
        </is>
      </c>
      <c r="N44" s="96" t="inlineStr">
        <is>
          <t xml:space="preserve">R40Hx6 </t>
        </is>
      </c>
      <c r="O44" s="111" t="inlineStr">
        <is>
          <t>2025</t>
        </is>
      </c>
      <c r="P44" s="111" t="inlineStr">
        <is>
          <t>CARRIER</t>
        </is>
      </c>
      <c r="Q44" s="111" t="inlineStr">
        <is>
          <t>69NT40-571-112</t>
        </is>
      </c>
      <c r="R44" s="96" t="n"/>
      <c r="S44" s="96" t="n"/>
      <c r="T44" s="96" t="inlineStr">
        <is>
          <t>BKK04</t>
        </is>
      </c>
      <c r="U44" s="96" t="inlineStr">
        <is>
          <t>THBKK</t>
        </is>
      </c>
      <c r="V44" s="161" t="inlineStr">
        <is>
          <t>2026-10-08</t>
        </is>
      </c>
      <c r="W44" s="96" t="inlineStr">
        <is>
          <t>VNSGN</t>
        </is>
      </c>
      <c r="X44" s="161" t="inlineStr">
        <is>
          <t>2026-10-11</t>
        </is>
      </c>
      <c r="Y44" s="97" t="n"/>
      <c r="Z44" s="97" t="n"/>
      <c r="AA44" s="97" t="n"/>
      <c r="AB44" s="97" t="n"/>
      <c r="AC44" s="97" t="n"/>
      <c r="AD44" s="161" t="inlineStr">
        <is>
          <t>2026-10-04</t>
        </is>
      </c>
      <c r="AE44" s="174" t="inlineStr">
        <is>
          <t>2005</t>
        </is>
      </c>
      <c r="AF44" s="96" t="inlineStr">
        <is>
          <t>TBKK42</t>
        </is>
      </c>
      <c r="AG44" s="97" t="n"/>
      <c r="AH44" s="97" t="n"/>
      <c r="AI44" s="97" t="n"/>
      <c r="AJ44" s="96" t="inlineStr">
        <is>
          <t>0319135354 #ITOCHU LOGISTICS</t>
        </is>
      </c>
      <c r="AK44" s="130" t="n">
        <v>0</v>
      </c>
    </row>
    <row r="45" ht="12" customHeight="1">
      <c r="A45" s="108" t="inlineStr">
        <is>
          <t>HLHU6409055</t>
        </is>
      </c>
      <c r="B45" s="108" t="inlineStr">
        <is>
          <t>BKK04</t>
        </is>
      </c>
      <c r="C45" s="108" t="inlineStr">
        <is>
          <t>IFV</t>
        </is>
      </c>
      <c r="D45" s="172" t="inlineStr">
        <is>
          <t>2026-10-01</t>
        </is>
      </c>
      <c r="E45" s="173" t="inlineStr">
        <is>
          <t>0027</t>
        </is>
      </c>
      <c r="F45" s="96" t="inlineStr">
        <is>
          <t>HASLS22260900366</t>
        </is>
      </c>
      <c r="G45" s="96" t="inlineStr">
        <is>
          <t>ASIA-PACIFIC LOGISTICS CO., LTD.</t>
        </is>
      </c>
      <c r="H45" s="111" t="inlineStr">
        <is>
          <t>45GP</t>
        </is>
      </c>
      <c r="I45" s="96" t="n"/>
      <c r="J45" s="96" t="inlineStr">
        <is>
          <t>Chuanchuen</t>
        </is>
      </c>
      <c r="K45" s="96" t="inlineStr">
        <is>
          <t>SD</t>
        </is>
      </c>
      <c r="L45" s="111" t="inlineStr">
        <is>
          <t>Full</t>
        </is>
      </c>
      <c r="M45" s="96" t="inlineStr">
        <is>
          <t>HASLS22260900366</t>
        </is>
      </c>
      <c r="N45" s="96" t="inlineStr">
        <is>
          <t xml:space="preserve">40Hx1 </t>
        </is>
      </c>
      <c r="O45" s="111" t="inlineStr">
        <is>
          <t>2024</t>
        </is>
      </c>
      <c r="P45" s="111" t="n"/>
      <c r="Q45" s="111" t="n"/>
      <c r="R45" s="96" t="n"/>
      <c r="S45" s="96" t="n"/>
      <c r="T45" s="96" t="inlineStr">
        <is>
          <t>BKK04</t>
        </is>
      </c>
      <c r="U45" s="96" t="inlineStr">
        <is>
          <t>THBKK</t>
        </is>
      </c>
      <c r="V45" s="161" t="inlineStr">
        <is>
          <t>2026-10-08</t>
        </is>
      </c>
      <c r="W45" s="96" t="inlineStr">
        <is>
          <t>VNSGN</t>
        </is>
      </c>
      <c r="X45" s="161" t="inlineStr">
        <is>
          <t>2026-10-11</t>
        </is>
      </c>
      <c r="Y45" s="97" t="n"/>
      <c r="Z45" s="97" t="n"/>
      <c r="AA45" s="97" t="n"/>
      <c r="AB45" s="97" t="n"/>
      <c r="AC45" s="97" t="n"/>
      <c r="AD45" s="161" t="inlineStr">
        <is>
          <t>2026-10-01</t>
        </is>
      </c>
      <c r="AE45" s="174" t="inlineStr">
        <is>
          <t>1051</t>
        </is>
      </c>
      <c r="AF45" s="96" t="inlineStr">
        <is>
          <t>TBKK07</t>
        </is>
      </c>
      <c r="AG45" s="97" t="n"/>
      <c r="AH45" s="97" t="n"/>
      <c r="AI45" s="97" t="n"/>
      <c r="AJ45" s="96" t="inlineStr">
        <is>
          <t>SPEED LOGS CO., LTD</t>
        </is>
      </c>
      <c r="AK45" s="130" t="n">
        <v>0</v>
      </c>
    </row>
    <row r="46" ht="12" customHeight="1">
      <c r="A46" s="108" t="inlineStr">
        <is>
          <t>HLHU6411582</t>
        </is>
      </c>
      <c r="B46" s="108" t="inlineStr">
        <is>
          <t>BKK04</t>
        </is>
      </c>
      <c r="C46" s="108" t="inlineStr">
        <is>
          <t>IFV</t>
        </is>
      </c>
      <c r="D46" s="172" t="inlineStr">
        <is>
          <t>2026-10-04</t>
        </is>
      </c>
      <c r="E46" s="173" t="inlineStr">
        <is>
          <t>2237</t>
        </is>
      </c>
      <c r="F46" s="96" t="inlineStr">
        <is>
          <t>HASLS22260900586</t>
        </is>
      </c>
      <c r="G46" s="96" t="inlineStr">
        <is>
          <t>BIRLA CARBON (THAILAND) PUBLIC COMPANY LIMITED</t>
        </is>
      </c>
      <c r="H46" s="111" t="inlineStr">
        <is>
          <t>45GP</t>
        </is>
      </c>
      <c r="I46" s="96" t="n"/>
      <c r="J46" s="96" t="inlineStr">
        <is>
          <t>Chuanchuen</t>
        </is>
      </c>
      <c r="K46" s="96" t="inlineStr">
        <is>
          <t>SD</t>
        </is>
      </c>
      <c r="L46" s="111" t="inlineStr">
        <is>
          <t>Full</t>
        </is>
      </c>
      <c r="M46" s="96" t="inlineStr">
        <is>
          <t>HASLS22260900586</t>
        </is>
      </c>
      <c r="N46" s="96" t="inlineStr">
        <is>
          <t xml:space="preserve">40Hx10 </t>
        </is>
      </c>
      <c r="O46" s="111" t="inlineStr">
        <is>
          <t>2024</t>
        </is>
      </c>
      <c r="P46" s="111" t="n"/>
      <c r="Q46" s="111" t="n"/>
      <c r="R46" s="96" t="n"/>
      <c r="S46" s="96" t="n"/>
      <c r="T46" s="96" t="inlineStr">
        <is>
          <t>BKK04</t>
        </is>
      </c>
      <c r="U46" s="96" t="inlineStr">
        <is>
          <t>THBKK</t>
        </is>
      </c>
      <c r="V46" s="161" t="inlineStr">
        <is>
          <t>2026-10-08</t>
        </is>
      </c>
      <c r="W46" s="96" t="inlineStr">
        <is>
          <t>VNSGN</t>
        </is>
      </c>
      <c r="X46" s="161" t="inlineStr">
        <is>
          <t>2026-10-11</t>
        </is>
      </c>
      <c r="Y46" s="97" t="n"/>
      <c r="Z46" s="97" t="n"/>
      <c r="AA46" s="97" t="n"/>
      <c r="AB46" s="97" t="n"/>
      <c r="AC46" s="97" t="n"/>
      <c r="AD46" s="161" t="inlineStr">
        <is>
          <t>2026-10-05</t>
        </is>
      </c>
      <c r="AE46" s="174" t="inlineStr">
        <is>
          <t>1047</t>
        </is>
      </c>
      <c r="AF46" s="96" t="inlineStr">
        <is>
          <t>TBKK07</t>
        </is>
      </c>
      <c r="AG46" s="97" t="n"/>
      <c r="AH46" s="97" t="n"/>
      <c r="AI46" s="97" t="n"/>
      <c r="AJ46" s="96" t="inlineStr">
        <is>
          <t>JINYU (VIETNAM) TIRE CO.,LTD</t>
        </is>
      </c>
      <c r="AK46" s="130" t="n">
        <v>0</v>
      </c>
    </row>
    <row r="47" ht="12" customHeight="1">
      <c r="A47" s="108" t="inlineStr">
        <is>
          <t>HLHU8103742</t>
        </is>
      </c>
      <c r="B47" s="108" t="inlineStr">
        <is>
          <t>BKK04</t>
        </is>
      </c>
      <c r="C47" s="108" t="inlineStr">
        <is>
          <t>IFV</t>
        </is>
      </c>
      <c r="D47" s="172" t="inlineStr">
        <is>
          <t>2026-10-05</t>
        </is>
      </c>
      <c r="E47" s="173" t="inlineStr">
        <is>
          <t>0231</t>
        </is>
      </c>
      <c r="F47" s="96" t="inlineStr">
        <is>
          <t>HASLS22260900734</t>
        </is>
      </c>
      <c r="G47" s="96" t="inlineStr">
        <is>
          <t>LOGMAN INTERNATIONAL CO., LTD.</t>
        </is>
      </c>
      <c r="H47" s="111" t="inlineStr">
        <is>
          <t>45GP</t>
        </is>
      </c>
      <c r="I47" s="96" t="n"/>
      <c r="J47" s="96" t="inlineStr">
        <is>
          <t>Chuanchuen</t>
        </is>
      </c>
      <c r="K47" s="96" t="inlineStr">
        <is>
          <t>SD</t>
        </is>
      </c>
      <c r="L47" s="111" t="inlineStr">
        <is>
          <t>Full</t>
        </is>
      </c>
      <c r="M47" s="96" t="inlineStr">
        <is>
          <t>HASLS22260900734</t>
        </is>
      </c>
      <c r="N47" s="96" t="inlineStr">
        <is>
          <t xml:space="preserve">40Hx2 </t>
        </is>
      </c>
      <c r="O47" s="111" t="inlineStr">
        <is>
          <t>2021</t>
        </is>
      </c>
      <c r="P47" s="111" t="n"/>
      <c r="Q47" s="111" t="n"/>
      <c r="R47" s="96" t="n"/>
      <c r="S47" s="96" t="n"/>
      <c r="T47" s="96" t="inlineStr">
        <is>
          <t>BKK04</t>
        </is>
      </c>
      <c r="U47" s="96" t="inlineStr">
        <is>
          <t>THBKK</t>
        </is>
      </c>
      <c r="V47" s="161" t="inlineStr">
        <is>
          <t>2026-10-08</t>
        </is>
      </c>
      <c r="W47" s="96" t="inlineStr">
        <is>
          <t>VNSGN</t>
        </is>
      </c>
      <c r="X47" s="161" t="inlineStr">
        <is>
          <t>2026-10-11</t>
        </is>
      </c>
      <c r="Y47" s="97" t="n"/>
      <c r="Z47" s="97" t="n"/>
      <c r="AA47" s="97" t="n"/>
      <c r="AB47" s="97" t="n"/>
      <c r="AC47" s="97" t="n"/>
      <c r="AD47" s="161" t="inlineStr">
        <is>
          <t>2026-10-05</t>
        </is>
      </c>
      <c r="AE47" s="174" t="inlineStr">
        <is>
          <t>1047</t>
        </is>
      </c>
      <c r="AF47" s="96" t="inlineStr">
        <is>
          <t>TBKK07</t>
        </is>
      </c>
      <c r="AG47" s="97" t="n"/>
      <c r="AH47" s="97" t="n"/>
      <c r="AI47" s="97" t="n"/>
      <c r="AJ47" s="96" t="inlineStr">
        <is>
          <t>CARGOES LINKS TRANSPORTATION CO LTD</t>
        </is>
      </c>
      <c r="AK47" s="130" t="n">
        <v>0</v>
      </c>
    </row>
    <row r="48" ht="12" customHeight="1">
      <c r="A48" s="108" t="inlineStr">
        <is>
          <t>HLHU8200676</t>
        </is>
      </c>
      <c r="B48" s="108" t="inlineStr">
        <is>
          <t>BKK04</t>
        </is>
      </c>
      <c r="C48" s="108" t="inlineStr">
        <is>
          <t>IFV</t>
        </is>
      </c>
      <c r="D48" s="172" t="inlineStr">
        <is>
          <t>2026-10-03</t>
        </is>
      </c>
      <c r="E48" s="173" t="inlineStr">
        <is>
          <t>1449</t>
        </is>
      </c>
      <c r="F48" s="96" t="inlineStr">
        <is>
          <t>HASLS22260901690</t>
        </is>
      </c>
      <c r="G48" s="96" t="inlineStr">
        <is>
          <t>BEE LOGISTICS (THAILAND) CO., LTD.</t>
        </is>
      </c>
      <c r="H48" s="111" t="inlineStr">
        <is>
          <t>45GP</t>
        </is>
      </c>
      <c r="I48" s="96" t="n"/>
      <c r="J48" s="96" t="inlineStr">
        <is>
          <t>Sirichai Prayochananon</t>
        </is>
      </c>
      <c r="K48" s="96" t="inlineStr">
        <is>
          <t>SD</t>
        </is>
      </c>
      <c r="L48" s="111" t="inlineStr">
        <is>
          <t>Full</t>
        </is>
      </c>
      <c r="M48" s="96" t="inlineStr">
        <is>
          <t>HASLS22260901690</t>
        </is>
      </c>
      <c r="N48" s="96" t="inlineStr">
        <is>
          <t xml:space="preserve">40Hx2 </t>
        </is>
      </c>
      <c r="O48" s="111" t="inlineStr">
        <is>
          <t>2022</t>
        </is>
      </c>
      <c r="P48" s="111" t="n"/>
      <c r="Q48" s="111" t="n"/>
      <c r="R48" s="96" t="n"/>
      <c r="S48" s="96" t="n"/>
      <c r="T48" s="96" t="inlineStr">
        <is>
          <t>BKK04</t>
        </is>
      </c>
      <c r="U48" s="96" t="inlineStr">
        <is>
          <t>THBKK</t>
        </is>
      </c>
      <c r="V48" s="161" t="inlineStr">
        <is>
          <t>2026-10-08</t>
        </is>
      </c>
      <c r="W48" s="96" t="inlineStr">
        <is>
          <t>VNSGN</t>
        </is>
      </c>
      <c r="X48" s="161" t="inlineStr">
        <is>
          <t>2026-10-11</t>
        </is>
      </c>
      <c r="Y48" s="97" t="n"/>
      <c r="Z48" s="97" t="n"/>
      <c r="AA48" s="97" t="n"/>
      <c r="AB48" s="97" t="n"/>
      <c r="AC48" s="97" t="n"/>
      <c r="AD48" s="161" t="inlineStr">
        <is>
          <t>2026-10-04</t>
        </is>
      </c>
      <c r="AE48" s="174" t="inlineStr">
        <is>
          <t>2005</t>
        </is>
      </c>
      <c r="AF48" s="96" t="inlineStr">
        <is>
          <t>TBKK42</t>
        </is>
      </c>
      <c r="AG48" s="97" t="n"/>
      <c r="AH48" s="97" t="n"/>
      <c r="AI48" s="97" t="n"/>
      <c r="AJ48" s="96" t="inlineStr">
        <is>
          <t>BOND GLOBAL LOGISTICS JOINT STOCK</t>
        </is>
      </c>
      <c r="AK48" s="130" t="n">
        <v>0</v>
      </c>
    </row>
    <row r="49" ht="12" customHeight="1">
      <c r="A49" s="108" t="inlineStr">
        <is>
          <t>HLHU8309306</t>
        </is>
      </c>
      <c r="B49" s="108" t="inlineStr">
        <is>
          <t>BKK04</t>
        </is>
      </c>
      <c r="C49" s="108" t="inlineStr">
        <is>
          <t>IFV</t>
        </is>
      </c>
      <c r="D49" s="172" t="inlineStr">
        <is>
          <t>2026-10-02</t>
        </is>
      </c>
      <c r="E49" s="173" t="inlineStr">
        <is>
          <t>2044</t>
        </is>
      </c>
      <c r="F49" s="96" t="inlineStr">
        <is>
          <t>HASLS22260901811</t>
        </is>
      </c>
      <c r="G49" s="96" t="inlineStr">
        <is>
          <t>BRIO LOGISTICS (THAILAND) CO., LTD.</t>
        </is>
      </c>
      <c r="H49" s="111" t="inlineStr">
        <is>
          <t>45GP</t>
        </is>
      </c>
      <c r="I49" s="96" t="n"/>
      <c r="J49" s="96" t="inlineStr">
        <is>
          <t>Sirichai Prayochananon</t>
        </is>
      </c>
      <c r="K49" s="96" t="inlineStr">
        <is>
          <t>SD</t>
        </is>
      </c>
      <c r="L49" s="111" t="inlineStr">
        <is>
          <t>Full</t>
        </is>
      </c>
      <c r="M49" s="96" t="inlineStr">
        <is>
          <t>HASLS22260901811</t>
        </is>
      </c>
      <c r="N49" s="96" t="inlineStr">
        <is>
          <t xml:space="preserve">40Hx2 </t>
        </is>
      </c>
      <c r="O49" s="111" t="inlineStr">
        <is>
          <t>2023</t>
        </is>
      </c>
      <c r="P49" s="111" t="n"/>
      <c r="Q49" s="111" t="n"/>
      <c r="R49" s="96" t="n"/>
      <c r="S49" s="96" t="n"/>
      <c r="T49" s="96" t="inlineStr">
        <is>
          <t>BKK04</t>
        </is>
      </c>
      <c r="U49" s="96" t="inlineStr">
        <is>
          <t>THBKK</t>
        </is>
      </c>
      <c r="V49" s="161" t="inlineStr">
        <is>
          <t>2026-10-08</t>
        </is>
      </c>
      <c r="W49" s="96" t="inlineStr">
        <is>
          <t>VNSGN</t>
        </is>
      </c>
      <c r="X49" s="161" t="inlineStr">
        <is>
          <t>2026-10-11</t>
        </is>
      </c>
      <c r="Y49" s="97" t="n"/>
      <c r="Z49" s="97" t="n"/>
      <c r="AA49" s="97" t="n"/>
      <c r="AB49" s="97" t="n"/>
      <c r="AC49" s="97" t="n"/>
      <c r="AD49" s="161" t="inlineStr">
        <is>
          <t>2026-10-04</t>
        </is>
      </c>
      <c r="AE49" s="174" t="inlineStr">
        <is>
          <t>2005</t>
        </is>
      </c>
      <c r="AF49" s="96" t="inlineStr">
        <is>
          <t>TBKK42</t>
        </is>
      </c>
      <c r="AG49" s="97" t="n"/>
      <c r="AH49" s="97" t="n"/>
      <c r="AI49" s="97" t="n"/>
      <c r="AJ49" s="96" t="inlineStr">
        <is>
          <t>PROSPEROUS CARGO TRANSPORTATION</t>
        </is>
      </c>
      <c r="AK49" s="130" t="n">
        <v>0</v>
      </c>
    </row>
    <row r="50" ht="12" customHeight="1">
      <c r="A50" s="108" t="inlineStr">
        <is>
          <t>HLHU8311469</t>
        </is>
      </c>
      <c r="B50" s="108" t="inlineStr">
        <is>
          <t>BKK04</t>
        </is>
      </c>
      <c r="C50" s="108" t="inlineStr">
        <is>
          <t>IFV</t>
        </is>
      </c>
      <c r="D50" s="172" t="inlineStr">
        <is>
          <t>2026-10-03</t>
        </is>
      </c>
      <c r="E50" s="173" t="inlineStr">
        <is>
          <t>0134</t>
        </is>
      </c>
      <c r="F50" s="96" t="inlineStr">
        <is>
          <t>HASLS22260902210</t>
        </is>
      </c>
      <c r="G50" s="96" t="inlineStr">
        <is>
          <t>CAPRICORN LOGISTICS CO., LTD.</t>
        </is>
      </c>
      <c r="H50" s="111" t="inlineStr">
        <is>
          <t>45GP</t>
        </is>
      </c>
      <c r="I50" s="96" t="n"/>
      <c r="J50" s="96" t="inlineStr">
        <is>
          <t>Sirichai Prayochananon</t>
        </is>
      </c>
      <c r="K50" s="96" t="inlineStr">
        <is>
          <t>SD</t>
        </is>
      </c>
      <c r="L50" s="111" t="inlineStr">
        <is>
          <t>Full</t>
        </is>
      </c>
      <c r="M50" s="96" t="inlineStr">
        <is>
          <t>HASLS22260902210</t>
        </is>
      </c>
      <c r="N50" s="96" t="inlineStr">
        <is>
          <t xml:space="preserve">40Hx5 </t>
        </is>
      </c>
      <c r="O50" s="111" t="inlineStr">
        <is>
          <t>2023</t>
        </is>
      </c>
      <c r="P50" s="111" t="n"/>
      <c r="Q50" s="111" t="n"/>
      <c r="R50" s="96" t="n"/>
      <c r="S50" s="96" t="n"/>
      <c r="T50" s="96" t="inlineStr">
        <is>
          <t>BKK04</t>
        </is>
      </c>
      <c r="U50" s="96" t="inlineStr">
        <is>
          <t>THBKK</t>
        </is>
      </c>
      <c r="V50" s="161" t="inlineStr">
        <is>
          <t>2026-10-08</t>
        </is>
      </c>
      <c r="W50" s="96" t="inlineStr">
        <is>
          <t>VNSGN</t>
        </is>
      </c>
      <c r="X50" s="161" t="inlineStr">
        <is>
          <t>2026-10-11</t>
        </is>
      </c>
      <c r="Y50" s="97" t="n"/>
      <c r="Z50" s="97" t="n"/>
      <c r="AA50" s="97" t="n"/>
      <c r="AB50" s="97" t="n"/>
      <c r="AC50" s="97" t="n"/>
      <c r="AD50" s="161" t="inlineStr">
        <is>
          <t>2026-10-04</t>
        </is>
      </c>
      <c r="AE50" s="174" t="inlineStr">
        <is>
          <t>2005</t>
        </is>
      </c>
      <c r="AF50" s="96" t="inlineStr">
        <is>
          <t>TBKK42</t>
        </is>
      </c>
      <c r="AG50" s="97" t="n"/>
      <c r="AH50" s="97" t="n"/>
      <c r="AI50" s="97" t="n"/>
      <c r="AJ50" s="96" t="inlineStr">
        <is>
          <t>GIA NGUYEN INT'L LOGISTICS CO., LTD</t>
        </is>
      </c>
      <c r="AK50" s="130" t="n">
        <v>0</v>
      </c>
    </row>
    <row r="51" ht="12" customHeight="1">
      <c r="A51" s="108" t="inlineStr">
        <is>
          <t>HLHU8328348</t>
        </is>
      </c>
      <c r="B51" s="108" t="inlineStr">
        <is>
          <t>BKK04</t>
        </is>
      </c>
      <c r="C51" s="108" t="inlineStr">
        <is>
          <t>IFV</t>
        </is>
      </c>
      <c r="D51" s="172" t="inlineStr">
        <is>
          <t>2026-10-03</t>
        </is>
      </c>
      <c r="E51" s="173" t="inlineStr">
        <is>
          <t>0831</t>
        </is>
      </c>
      <c r="F51" s="96" t="inlineStr">
        <is>
          <t>HASLS22260900586</t>
        </is>
      </c>
      <c r="G51" s="96" t="inlineStr">
        <is>
          <t>BIRLA CARBON (THAILAND) PUBLIC COMPANY LIMITED</t>
        </is>
      </c>
      <c r="H51" s="111" t="inlineStr">
        <is>
          <t>45GP</t>
        </is>
      </c>
      <c r="I51" s="96" t="n"/>
      <c r="J51" s="96" t="inlineStr">
        <is>
          <t>Sirichai Prayochananon</t>
        </is>
      </c>
      <c r="K51" s="96" t="inlineStr">
        <is>
          <t>SD</t>
        </is>
      </c>
      <c r="L51" s="111" t="inlineStr">
        <is>
          <t>Full</t>
        </is>
      </c>
      <c r="M51" s="96" t="inlineStr">
        <is>
          <t>HASLS22260900586</t>
        </is>
      </c>
      <c r="N51" s="96" t="inlineStr">
        <is>
          <t xml:space="preserve">40Hx10 </t>
        </is>
      </c>
      <c r="O51" s="111" t="inlineStr">
        <is>
          <t>2023</t>
        </is>
      </c>
      <c r="P51" s="111" t="n"/>
      <c r="Q51" s="111" t="n"/>
      <c r="R51" s="96" t="n"/>
      <c r="S51" s="96" t="n"/>
      <c r="T51" s="96" t="inlineStr">
        <is>
          <t>BKK04</t>
        </is>
      </c>
      <c r="U51" s="96" t="inlineStr">
        <is>
          <t>THBKK</t>
        </is>
      </c>
      <c r="V51" s="161" t="inlineStr">
        <is>
          <t>2026-10-08</t>
        </is>
      </c>
      <c r="W51" s="96" t="inlineStr">
        <is>
          <t>VNSGN</t>
        </is>
      </c>
      <c r="X51" s="161" t="inlineStr">
        <is>
          <t>2026-10-11</t>
        </is>
      </c>
      <c r="Y51" s="97" t="n"/>
      <c r="Z51" s="97" t="n"/>
      <c r="AA51" s="97" t="n"/>
      <c r="AB51" s="97" t="n"/>
      <c r="AC51" s="97" t="n"/>
      <c r="AD51" s="161" t="inlineStr">
        <is>
          <t>2026-10-04</t>
        </is>
      </c>
      <c r="AE51" s="174" t="inlineStr">
        <is>
          <t>2005</t>
        </is>
      </c>
      <c r="AF51" s="96" t="inlineStr">
        <is>
          <t>TBKK42</t>
        </is>
      </c>
      <c r="AG51" s="97" t="n"/>
      <c r="AH51" s="97" t="n"/>
      <c r="AI51" s="97" t="n"/>
      <c r="AJ51" s="96" t="inlineStr">
        <is>
          <t>JINYU (VIETNAM) TIRE CO.,LTD</t>
        </is>
      </c>
      <c r="AK51" s="130" t="n">
        <v>0</v>
      </c>
    </row>
    <row r="52" ht="12" customHeight="1">
      <c r="A52" s="108" t="inlineStr">
        <is>
          <t>HLHU8343300</t>
        </is>
      </c>
      <c r="B52" s="108" t="inlineStr">
        <is>
          <t>BKK04</t>
        </is>
      </c>
      <c r="C52" s="108" t="inlineStr">
        <is>
          <t>IFV</t>
        </is>
      </c>
      <c r="D52" s="172" t="inlineStr">
        <is>
          <t>2026-10-02</t>
        </is>
      </c>
      <c r="E52" s="173" t="inlineStr">
        <is>
          <t>1309</t>
        </is>
      </c>
      <c r="F52" s="96" t="inlineStr">
        <is>
          <t>HASLS22260901036</t>
        </is>
      </c>
      <c r="G52" s="96" t="inlineStr">
        <is>
          <t>PISIA INTERFREIGHT CO.,LTD.</t>
        </is>
      </c>
      <c r="H52" s="111" t="inlineStr">
        <is>
          <t>45GP</t>
        </is>
      </c>
      <c r="I52" s="96" t="n"/>
      <c r="J52" s="96" t="inlineStr">
        <is>
          <t>Chuanchuen</t>
        </is>
      </c>
      <c r="K52" s="96" t="inlineStr">
        <is>
          <t>SD</t>
        </is>
      </c>
      <c r="L52" s="111" t="inlineStr">
        <is>
          <t>Full</t>
        </is>
      </c>
      <c r="M52" s="96" t="inlineStr">
        <is>
          <t>HASLS22260901036</t>
        </is>
      </c>
      <c r="N52" s="96" t="inlineStr">
        <is>
          <t xml:space="preserve">40Hx8 </t>
        </is>
      </c>
      <c r="O52" s="111" t="inlineStr">
        <is>
          <t>2023</t>
        </is>
      </c>
      <c r="P52" s="111" t="n"/>
      <c r="Q52" s="111" t="n"/>
      <c r="R52" s="96" t="n"/>
      <c r="S52" s="96" t="n"/>
      <c r="T52" s="96" t="inlineStr">
        <is>
          <t>BKK04</t>
        </is>
      </c>
      <c r="U52" s="96" t="inlineStr">
        <is>
          <t>THBKK</t>
        </is>
      </c>
      <c r="V52" s="161" t="inlineStr">
        <is>
          <t>2026-10-08</t>
        </is>
      </c>
      <c r="W52" s="96" t="inlineStr">
        <is>
          <t>VNSGN</t>
        </is>
      </c>
      <c r="X52" s="161" t="inlineStr">
        <is>
          <t>2026-10-11</t>
        </is>
      </c>
      <c r="Y52" s="97" t="n"/>
      <c r="Z52" s="97" t="n"/>
      <c r="AA52" s="97" t="n"/>
      <c r="AB52" s="97" t="n"/>
      <c r="AC52" s="97" t="n"/>
      <c r="AD52" s="161" t="inlineStr">
        <is>
          <t>2026-10-02</t>
        </is>
      </c>
      <c r="AE52" s="174" t="inlineStr">
        <is>
          <t>2027</t>
        </is>
      </c>
      <c r="AF52" s="96" t="inlineStr">
        <is>
          <t>TBKK07</t>
        </is>
      </c>
      <c r="AG52" s="97" t="n"/>
      <c r="AH52" s="97" t="n"/>
      <c r="AI52" s="97" t="n"/>
      <c r="AJ52" s="96" t="inlineStr">
        <is>
          <t>TO ORDER OF VIETNAM INTERNATIONAL</t>
        </is>
      </c>
      <c r="AK52" s="130" t="n">
        <v>0</v>
      </c>
    </row>
    <row r="53" ht="12" customHeight="1">
      <c r="A53" s="108" t="inlineStr">
        <is>
          <t>HLHU8350819</t>
        </is>
      </c>
      <c r="B53" s="108" t="inlineStr">
        <is>
          <t>BKK04</t>
        </is>
      </c>
      <c r="C53" s="108" t="inlineStr">
        <is>
          <t>IFV</t>
        </is>
      </c>
      <c r="D53" s="172" t="inlineStr">
        <is>
          <t>2026-10-04</t>
        </is>
      </c>
      <c r="E53" s="173" t="inlineStr">
        <is>
          <t>1751</t>
        </is>
      </c>
      <c r="F53" s="96" t="inlineStr">
        <is>
          <t>HASLS22260902260</t>
        </is>
      </c>
      <c r="G53" s="96" t="inlineStr">
        <is>
          <t>CAPRICORN LOGISTICS CO., LTD.</t>
        </is>
      </c>
      <c r="H53" s="111" t="inlineStr">
        <is>
          <t>45GP</t>
        </is>
      </c>
      <c r="I53" s="96" t="n"/>
      <c r="J53" s="96" t="inlineStr">
        <is>
          <t>Sirichai Prayochananon</t>
        </is>
      </c>
      <c r="K53" s="96" t="inlineStr">
        <is>
          <t>SD</t>
        </is>
      </c>
      <c r="L53" s="111" t="inlineStr">
        <is>
          <t>Full</t>
        </is>
      </c>
      <c r="M53" s="96" t="inlineStr">
        <is>
          <t>HASLS22260902260</t>
        </is>
      </c>
      <c r="N53" s="96" t="inlineStr">
        <is>
          <t xml:space="preserve">40Hx9 </t>
        </is>
      </c>
      <c r="O53" s="111" t="inlineStr">
        <is>
          <t>2023</t>
        </is>
      </c>
      <c r="P53" s="111" t="n"/>
      <c r="Q53" s="111" t="n"/>
      <c r="R53" s="96" t="n"/>
      <c r="S53" s="96" t="n"/>
      <c r="T53" s="96" t="inlineStr">
        <is>
          <t>BKK04</t>
        </is>
      </c>
      <c r="U53" s="96" t="inlineStr">
        <is>
          <t>THBKK</t>
        </is>
      </c>
      <c r="V53" s="161" t="inlineStr">
        <is>
          <t>2026-10-08</t>
        </is>
      </c>
      <c r="W53" s="96" t="inlineStr">
        <is>
          <t>VNSGN</t>
        </is>
      </c>
      <c r="X53" s="161" t="inlineStr">
        <is>
          <t>2026-10-11</t>
        </is>
      </c>
      <c r="Y53" s="97" t="n"/>
      <c r="Z53" s="97" t="n"/>
      <c r="AA53" s="97" t="n"/>
      <c r="AB53" s="97" t="n"/>
      <c r="AC53" s="97" t="n"/>
      <c r="AD53" s="161" t="inlineStr">
        <is>
          <t>2026-10-04</t>
        </is>
      </c>
      <c r="AE53" s="174" t="inlineStr">
        <is>
          <t>2005</t>
        </is>
      </c>
      <c r="AF53" s="96" t="inlineStr">
        <is>
          <t>TBKK42</t>
        </is>
      </c>
      <c r="AG53" s="97" t="n"/>
      <c r="AH53" s="97" t="n"/>
      <c r="AI53" s="97" t="n"/>
      <c r="AJ53" s="96" t="inlineStr">
        <is>
          <t>BLUE OCEAN INTERNATIONAL</t>
        </is>
      </c>
      <c r="AK53" s="130" t="n">
        <v>0</v>
      </c>
    </row>
    <row r="54" ht="12" customHeight="1">
      <c r="A54" s="108" t="inlineStr">
        <is>
          <t>HLHU8375400</t>
        </is>
      </c>
      <c r="B54" s="108" t="inlineStr">
        <is>
          <t>BKK04</t>
        </is>
      </c>
      <c r="C54" s="108" t="inlineStr">
        <is>
          <t>IFV</t>
        </is>
      </c>
      <c r="D54" s="172" t="inlineStr">
        <is>
          <t>2026-10-03</t>
        </is>
      </c>
      <c r="E54" s="173" t="inlineStr">
        <is>
          <t>0839</t>
        </is>
      </c>
      <c r="F54" s="96" t="inlineStr">
        <is>
          <t>HASLS22260900586</t>
        </is>
      </c>
      <c r="G54" s="96" t="inlineStr">
        <is>
          <t>BIRLA CARBON (THAILAND) PUBLIC COMPANY LIMITED</t>
        </is>
      </c>
      <c r="H54" s="111" t="inlineStr">
        <is>
          <t>45GP</t>
        </is>
      </c>
      <c r="I54" s="96" t="n"/>
      <c r="J54" s="96" t="inlineStr">
        <is>
          <t>Sirichai Prayochananon</t>
        </is>
      </c>
      <c r="K54" s="96" t="inlineStr">
        <is>
          <t>SD</t>
        </is>
      </c>
      <c r="L54" s="111" t="inlineStr">
        <is>
          <t>Full</t>
        </is>
      </c>
      <c r="M54" s="96" t="inlineStr">
        <is>
          <t>HASLS22260900586</t>
        </is>
      </c>
      <c r="N54" s="96" t="inlineStr">
        <is>
          <t xml:space="preserve">40Hx10 </t>
        </is>
      </c>
      <c r="O54" s="111" t="inlineStr">
        <is>
          <t>2023</t>
        </is>
      </c>
      <c r="P54" s="111" t="n"/>
      <c r="Q54" s="111" t="n"/>
      <c r="R54" s="96" t="n"/>
      <c r="S54" s="96" t="n"/>
      <c r="T54" s="96" t="inlineStr">
        <is>
          <t>BKK04</t>
        </is>
      </c>
      <c r="U54" s="96" t="inlineStr">
        <is>
          <t>THBKK</t>
        </is>
      </c>
      <c r="V54" s="161" t="inlineStr">
        <is>
          <t>2026-10-08</t>
        </is>
      </c>
      <c r="W54" s="96" t="inlineStr">
        <is>
          <t>VNSGN</t>
        </is>
      </c>
      <c r="X54" s="161" t="inlineStr">
        <is>
          <t>2026-10-11</t>
        </is>
      </c>
      <c r="Y54" s="97" t="n"/>
      <c r="Z54" s="97" t="n"/>
      <c r="AA54" s="97" t="n"/>
      <c r="AB54" s="97" t="n"/>
      <c r="AC54" s="97" t="n"/>
      <c r="AD54" s="161" t="inlineStr">
        <is>
          <t>2026-10-04</t>
        </is>
      </c>
      <c r="AE54" s="174" t="inlineStr">
        <is>
          <t>2005</t>
        </is>
      </c>
      <c r="AF54" s="96" t="inlineStr">
        <is>
          <t>TBKK42</t>
        </is>
      </c>
      <c r="AG54" s="97" t="n"/>
      <c r="AH54" s="97" t="n"/>
      <c r="AI54" s="97" t="n"/>
      <c r="AJ54" s="96" t="inlineStr">
        <is>
          <t>JINYU (VIETNAM) TIRE CO.,LTD</t>
        </is>
      </c>
      <c r="AK54" s="130" t="n">
        <v>0</v>
      </c>
    </row>
    <row r="55" ht="12" customHeight="1">
      <c r="A55" s="108" t="inlineStr">
        <is>
          <t>HLHU8376979</t>
        </is>
      </c>
      <c r="B55" s="108" t="inlineStr">
        <is>
          <t>BKK01</t>
        </is>
      </c>
      <c r="C55" s="108" t="inlineStr">
        <is>
          <t>IFV</t>
        </is>
      </c>
      <c r="D55" s="172" t="inlineStr">
        <is>
          <t>2026-09-29</t>
        </is>
      </c>
      <c r="E55" s="173" t="inlineStr">
        <is>
          <t>0006</t>
        </is>
      </c>
      <c r="F55" s="96" t="inlineStr">
        <is>
          <t>HASLS22260901688</t>
        </is>
      </c>
      <c r="G55" s="96" t="inlineStr">
        <is>
          <t>METRO PARTICLE CO., LTD.</t>
        </is>
      </c>
      <c r="H55" s="111" t="inlineStr">
        <is>
          <t>45GP</t>
        </is>
      </c>
      <c r="I55" s="96" t="n"/>
      <c r="J55" s="96" t="inlineStr">
        <is>
          <t>Chuanchuen</t>
        </is>
      </c>
      <c r="K55" s="96" t="inlineStr">
        <is>
          <t>SD</t>
        </is>
      </c>
      <c r="L55" s="111" t="inlineStr">
        <is>
          <t>Full</t>
        </is>
      </c>
      <c r="M55" s="96" t="inlineStr">
        <is>
          <t>HASLS22260901688</t>
        </is>
      </c>
      <c r="N55" s="96" t="inlineStr">
        <is>
          <t xml:space="preserve">40Hx6 </t>
        </is>
      </c>
      <c r="O55" s="111" t="inlineStr">
        <is>
          <t>2023</t>
        </is>
      </c>
      <c r="P55" s="111" t="n"/>
      <c r="Q55" s="111" t="n"/>
      <c r="R55" s="96" t="n"/>
      <c r="S55" s="96" t="n"/>
      <c r="T55" s="96" t="inlineStr">
        <is>
          <t>BKK04</t>
        </is>
      </c>
      <c r="U55" s="96" t="inlineStr">
        <is>
          <t>THBKK</t>
        </is>
      </c>
      <c r="V55" s="161" t="inlineStr">
        <is>
          <t>2026-10-08</t>
        </is>
      </c>
      <c r="W55" s="96" t="inlineStr">
        <is>
          <t>VNSGN</t>
        </is>
      </c>
      <c r="X55" s="161" t="inlineStr">
        <is>
          <t>2026-10-11</t>
        </is>
      </c>
      <c r="Y55" s="97" t="n"/>
      <c r="Z55" s="97" t="n"/>
      <c r="AA55" s="97" t="n"/>
      <c r="AB55" s="97" t="n"/>
      <c r="AC55" s="97" t="n"/>
      <c r="AD55" s="161" t="inlineStr">
        <is>
          <t>2026-09-29</t>
        </is>
      </c>
      <c r="AE55" s="174" t="inlineStr">
        <is>
          <t>1049</t>
        </is>
      </c>
      <c r="AF55" s="96" t="inlineStr">
        <is>
          <t>TBKK07</t>
        </is>
      </c>
      <c r="AG55" s="97" t="n"/>
      <c r="AH55" s="97" t="n"/>
      <c r="AI55" s="97" t="n"/>
      <c r="AJ55" s="96" t="inlineStr">
        <is>
          <t>YI LONG VIETNAM FURNITURE CO., LTD.</t>
        </is>
      </c>
      <c r="AK55" s="130" t="n">
        <v>0</v>
      </c>
    </row>
    <row r="56" ht="12" customHeight="1">
      <c r="A56" s="108" t="inlineStr">
        <is>
          <t>HLHU8400329</t>
        </is>
      </c>
      <c r="B56" s="108" t="inlineStr">
        <is>
          <t>BKK04</t>
        </is>
      </c>
      <c r="C56" s="108" t="inlineStr">
        <is>
          <t>IFV</t>
        </is>
      </c>
      <c r="D56" s="172" t="inlineStr">
        <is>
          <t>2026-10-02</t>
        </is>
      </c>
      <c r="E56" s="173" t="inlineStr">
        <is>
          <t>1728</t>
        </is>
      </c>
      <c r="F56" s="96" t="inlineStr">
        <is>
          <t>HASLS22260901036</t>
        </is>
      </c>
      <c r="G56" s="96" t="inlineStr">
        <is>
          <t>PISIA INTERFREIGHT CO.,LTD.</t>
        </is>
      </c>
      <c r="H56" s="111" t="inlineStr">
        <is>
          <t>45GP</t>
        </is>
      </c>
      <c r="I56" s="96" t="n"/>
      <c r="J56" s="96" t="inlineStr">
        <is>
          <t>Chuanchuen</t>
        </is>
      </c>
      <c r="K56" s="96" t="inlineStr">
        <is>
          <t>SD</t>
        </is>
      </c>
      <c r="L56" s="111" t="inlineStr">
        <is>
          <t>Full</t>
        </is>
      </c>
      <c r="M56" s="96" t="inlineStr">
        <is>
          <t>HASLS22260901036</t>
        </is>
      </c>
      <c r="N56" s="96" t="inlineStr">
        <is>
          <t xml:space="preserve">40Hx8 </t>
        </is>
      </c>
      <c r="O56" s="111" t="inlineStr">
        <is>
          <t>2024</t>
        </is>
      </c>
      <c r="P56" s="111" t="n"/>
      <c r="Q56" s="111" t="n"/>
      <c r="R56" s="96" t="n"/>
      <c r="S56" s="96" t="n"/>
      <c r="T56" s="96" t="inlineStr">
        <is>
          <t>BKK04</t>
        </is>
      </c>
      <c r="U56" s="96" t="inlineStr">
        <is>
          <t>THBKK</t>
        </is>
      </c>
      <c r="V56" s="161" t="inlineStr">
        <is>
          <t>2026-10-08</t>
        </is>
      </c>
      <c r="W56" s="96" t="inlineStr">
        <is>
          <t>VNSGN</t>
        </is>
      </c>
      <c r="X56" s="161" t="inlineStr">
        <is>
          <t>2026-10-11</t>
        </is>
      </c>
      <c r="Y56" s="97" t="n"/>
      <c r="Z56" s="97" t="n"/>
      <c r="AA56" s="97" t="n"/>
      <c r="AB56" s="97" t="n"/>
      <c r="AC56" s="97" t="n"/>
      <c r="AD56" s="161" t="inlineStr">
        <is>
          <t>2026-10-02</t>
        </is>
      </c>
      <c r="AE56" s="174" t="inlineStr">
        <is>
          <t>2027</t>
        </is>
      </c>
      <c r="AF56" s="96" t="inlineStr">
        <is>
          <t>TBKK07</t>
        </is>
      </c>
      <c r="AG56" s="97" t="n"/>
      <c r="AH56" s="97" t="n"/>
      <c r="AI56" s="97" t="n"/>
      <c r="AJ56" s="96" t="inlineStr">
        <is>
          <t>TO ORDER OF VIETNAM INTERNATIONAL</t>
        </is>
      </c>
      <c r="AK56" s="130" t="n">
        <v>0</v>
      </c>
    </row>
    <row r="57" ht="12" customHeight="1">
      <c r="A57" s="108" t="inlineStr">
        <is>
          <t>HLHU8401562</t>
        </is>
      </c>
      <c r="B57" s="108" t="inlineStr">
        <is>
          <t>BKK04</t>
        </is>
      </c>
      <c r="C57" s="108" t="inlineStr">
        <is>
          <t>IFV</t>
        </is>
      </c>
      <c r="D57" s="172" t="inlineStr">
        <is>
          <t>2026-10-03</t>
        </is>
      </c>
      <c r="E57" s="173" t="inlineStr">
        <is>
          <t>0429</t>
        </is>
      </c>
      <c r="F57" s="96" t="inlineStr">
        <is>
          <t>HASLS22260900586</t>
        </is>
      </c>
      <c r="G57" s="96" t="inlineStr">
        <is>
          <t>BIRLA CARBON (THAILAND) PUBLIC COMPANY LIMITED</t>
        </is>
      </c>
      <c r="H57" s="111" t="inlineStr">
        <is>
          <t>45GP</t>
        </is>
      </c>
      <c r="I57" s="96" t="n"/>
      <c r="J57" s="96" t="inlineStr">
        <is>
          <t>Sirichai Prayochananon</t>
        </is>
      </c>
      <c r="K57" s="96" t="inlineStr">
        <is>
          <t>SD</t>
        </is>
      </c>
      <c r="L57" s="111" t="inlineStr">
        <is>
          <t>Full</t>
        </is>
      </c>
      <c r="M57" s="96" t="inlineStr">
        <is>
          <t>HASLS22260900586</t>
        </is>
      </c>
      <c r="N57" s="96" t="inlineStr">
        <is>
          <t xml:space="preserve">40Hx10 </t>
        </is>
      </c>
      <c r="O57" s="111" t="inlineStr">
        <is>
          <t>2024</t>
        </is>
      </c>
      <c r="P57" s="111" t="n"/>
      <c r="Q57" s="111" t="n"/>
      <c r="R57" s="96" t="n"/>
      <c r="S57" s="96" t="n"/>
      <c r="T57" s="96" t="inlineStr">
        <is>
          <t>BKK04</t>
        </is>
      </c>
      <c r="U57" s="96" t="inlineStr">
        <is>
          <t>THBKK</t>
        </is>
      </c>
      <c r="V57" s="161" t="inlineStr">
        <is>
          <t>2026-10-08</t>
        </is>
      </c>
      <c r="W57" s="96" t="inlineStr">
        <is>
          <t>VNSGN</t>
        </is>
      </c>
      <c r="X57" s="161" t="inlineStr">
        <is>
          <t>2026-10-11</t>
        </is>
      </c>
      <c r="Y57" s="97" t="n"/>
      <c r="Z57" s="97" t="n"/>
      <c r="AA57" s="97" t="n"/>
      <c r="AB57" s="97" t="n"/>
      <c r="AC57" s="97" t="n"/>
      <c r="AD57" s="161" t="inlineStr">
        <is>
          <t>2026-10-04</t>
        </is>
      </c>
      <c r="AE57" s="174" t="inlineStr">
        <is>
          <t>2005</t>
        </is>
      </c>
      <c r="AF57" s="96" t="inlineStr">
        <is>
          <t>TBKK42</t>
        </is>
      </c>
      <c r="AG57" s="97" t="n"/>
      <c r="AH57" s="97" t="n"/>
      <c r="AI57" s="97" t="n"/>
      <c r="AJ57" s="96" t="inlineStr">
        <is>
          <t>JINYU (VIETNAM) TIRE CO.,LTD</t>
        </is>
      </c>
      <c r="AK57" s="130" t="n">
        <v>0</v>
      </c>
    </row>
    <row r="58" ht="12" customHeight="1">
      <c r="A58" s="108" t="inlineStr">
        <is>
          <t>HLHU8439260</t>
        </is>
      </c>
      <c r="B58" s="108" t="inlineStr">
        <is>
          <t>BKK04</t>
        </is>
      </c>
      <c r="C58" s="108" t="inlineStr">
        <is>
          <t>IFV</t>
        </is>
      </c>
      <c r="D58" s="172" t="inlineStr">
        <is>
          <t>2026-10-02</t>
        </is>
      </c>
      <c r="E58" s="173" t="inlineStr">
        <is>
          <t>2154</t>
        </is>
      </c>
      <c r="F58" s="96" t="inlineStr">
        <is>
          <t>HASLS22260901811</t>
        </is>
      </c>
      <c r="G58" s="96" t="inlineStr">
        <is>
          <t>BRIO LOGISTICS (THAILAND) CO., LTD.</t>
        </is>
      </c>
      <c r="H58" s="111" t="inlineStr">
        <is>
          <t>45GP</t>
        </is>
      </c>
      <c r="I58" s="96" t="n"/>
      <c r="J58" s="96" t="inlineStr">
        <is>
          <t>Sirichai Prayochananon</t>
        </is>
      </c>
      <c r="K58" s="96" t="inlineStr">
        <is>
          <t>SD</t>
        </is>
      </c>
      <c r="L58" s="111" t="inlineStr">
        <is>
          <t>Full</t>
        </is>
      </c>
      <c r="M58" s="96" t="inlineStr">
        <is>
          <t>HASLS22260901811</t>
        </is>
      </c>
      <c r="N58" s="96" t="inlineStr">
        <is>
          <t xml:space="preserve">40Hx2 </t>
        </is>
      </c>
      <c r="O58" s="111" t="inlineStr">
        <is>
          <t>2024</t>
        </is>
      </c>
      <c r="P58" s="111" t="n"/>
      <c r="Q58" s="111" t="n"/>
      <c r="R58" s="96" t="n"/>
      <c r="S58" s="96" t="n"/>
      <c r="T58" s="96" t="inlineStr">
        <is>
          <t>BKK04</t>
        </is>
      </c>
      <c r="U58" s="96" t="inlineStr">
        <is>
          <t>THBKK</t>
        </is>
      </c>
      <c r="V58" s="161" t="inlineStr">
        <is>
          <t>2026-10-08</t>
        </is>
      </c>
      <c r="W58" s="96" t="inlineStr">
        <is>
          <t>VNSGN</t>
        </is>
      </c>
      <c r="X58" s="161" t="inlineStr">
        <is>
          <t>2026-10-11</t>
        </is>
      </c>
      <c r="Y58" s="97" t="n"/>
      <c r="Z58" s="97" t="n"/>
      <c r="AA58" s="97" t="n"/>
      <c r="AB58" s="97" t="n"/>
      <c r="AC58" s="97" t="n"/>
      <c r="AD58" s="161" t="inlineStr">
        <is>
          <t>2026-10-04</t>
        </is>
      </c>
      <c r="AE58" s="174" t="inlineStr">
        <is>
          <t>2005</t>
        </is>
      </c>
      <c r="AF58" s="96" t="inlineStr">
        <is>
          <t>TBKK42</t>
        </is>
      </c>
      <c r="AG58" s="97" t="n"/>
      <c r="AH58" s="97" t="n"/>
      <c r="AI58" s="97" t="n"/>
      <c r="AJ58" s="96" t="inlineStr">
        <is>
          <t>PROSPEROUS CARGO TRANSPORTATION</t>
        </is>
      </c>
      <c r="AK58" s="130" t="n">
        <v>0</v>
      </c>
    </row>
    <row r="59" ht="12" customHeight="1">
      <c r="A59" s="108" t="inlineStr">
        <is>
          <t>HLHU8451603</t>
        </is>
      </c>
      <c r="B59" s="108" t="inlineStr">
        <is>
          <t>BKK04</t>
        </is>
      </c>
      <c r="C59" s="108" t="inlineStr">
        <is>
          <t>IFV</t>
        </is>
      </c>
      <c r="D59" s="172" t="inlineStr">
        <is>
          <t>2026-10-03</t>
        </is>
      </c>
      <c r="E59" s="173" t="inlineStr">
        <is>
          <t>0411</t>
        </is>
      </c>
      <c r="F59" s="96" t="inlineStr">
        <is>
          <t>HASLS22260901640</t>
        </is>
      </c>
      <c r="G59" s="96" t="inlineStr">
        <is>
          <t>SDS-ACUTECH CO., LTD.</t>
        </is>
      </c>
      <c r="H59" s="111" t="inlineStr">
        <is>
          <t>45GP</t>
        </is>
      </c>
      <c r="I59" s="96" t="n"/>
      <c r="J59" s="96" t="inlineStr">
        <is>
          <t>Sirichai Prayochananon</t>
        </is>
      </c>
      <c r="K59" s="96" t="inlineStr">
        <is>
          <t>SD</t>
        </is>
      </c>
      <c r="L59" s="111" t="inlineStr">
        <is>
          <t>Full</t>
        </is>
      </c>
      <c r="M59" s="96" t="inlineStr">
        <is>
          <t>HASLS22260901640</t>
        </is>
      </c>
      <c r="N59" s="96" t="inlineStr">
        <is>
          <t xml:space="preserve">40Hx1 </t>
        </is>
      </c>
      <c r="O59" s="111" t="inlineStr">
        <is>
          <t>2024</t>
        </is>
      </c>
      <c r="P59" s="111" t="n"/>
      <c r="Q59" s="111" t="n"/>
      <c r="R59" s="96" t="n"/>
      <c r="S59" s="96" t="n"/>
      <c r="T59" s="96" t="inlineStr">
        <is>
          <t>BKK04</t>
        </is>
      </c>
      <c r="U59" s="96" t="inlineStr">
        <is>
          <t>THBKK</t>
        </is>
      </c>
      <c r="V59" s="161" t="inlineStr">
        <is>
          <t>2026-10-08</t>
        </is>
      </c>
      <c r="W59" s="96" t="inlineStr">
        <is>
          <t>VNSGN</t>
        </is>
      </c>
      <c r="X59" s="161" t="inlineStr">
        <is>
          <t>2026-10-11</t>
        </is>
      </c>
      <c r="Y59" s="97" t="n"/>
      <c r="Z59" s="97" t="n"/>
      <c r="AA59" s="97" t="n"/>
      <c r="AB59" s="97" t="n"/>
      <c r="AC59" s="97" t="n"/>
      <c r="AD59" s="161" t="inlineStr">
        <is>
          <t>2026-10-04</t>
        </is>
      </c>
      <c r="AE59" s="174" t="inlineStr">
        <is>
          <t>2005</t>
        </is>
      </c>
      <c r="AF59" s="96" t="inlineStr">
        <is>
          <t>TBKK42</t>
        </is>
      </c>
      <c r="AG59" s="97" t="n"/>
      <c r="AH59" s="97" t="n"/>
      <c r="AI59" s="97" t="n"/>
      <c r="AJ59" s="96" t="inlineStr">
        <is>
          <t>SAMSUNG ELECTRONICS HCMC CE COMPLEX</t>
        </is>
      </c>
      <c r="AK59" s="130" t="n">
        <v>0</v>
      </c>
    </row>
    <row r="60" ht="12" customHeight="1">
      <c r="A60" s="108" t="inlineStr">
        <is>
          <t>HLHU8460816</t>
        </is>
      </c>
      <c r="B60" s="108" t="inlineStr">
        <is>
          <t>BKK04</t>
        </is>
      </c>
      <c r="C60" s="108" t="inlineStr">
        <is>
          <t>IFV</t>
        </is>
      </c>
      <c r="D60" s="172" t="inlineStr">
        <is>
          <t>2026-10-05</t>
        </is>
      </c>
      <c r="E60" s="173" t="inlineStr">
        <is>
          <t>0224</t>
        </is>
      </c>
      <c r="F60" s="96" t="inlineStr">
        <is>
          <t>HASLS22260900734</t>
        </is>
      </c>
      <c r="G60" s="96" t="inlineStr">
        <is>
          <t>LOGMAN INTERNATIONAL CO., LTD.</t>
        </is>
      </c>
      <c r="H60" s="111" t="inlineStr">
        <is>
          <t>45GP</t>
        </is>
      </c>
      <c r="I60" s="96" t="n"/>
      <c r="J60" s="96" t="inlineStr">
        <is>
          <t>Chuanchuen</t>
        </is>
      </c>
      <c r="K60" s="96" t="inlineStr">
        <is>
          <t>SD</t>
        </is>
      </c>
      <c r="L60" s="111" t="inlineStr">
        <is>
          <t>Full</t>
        </is>
      </c>
      <c r="M60" s="96" t="inlineStr">
        <is>
          <t>HASLS22260900734</t>
        </is>
      </c>
      <c r="N60" s="96" t="inlineStr">
        <is>
          <t xml:space="preserve">40Hx2 </t>
        </is>
      </c>
      <c r="O60" s="111" t="inlineStr">
        <is>
          <t>2024</t>
        </is>
      </c>
      <c r="P60" s="111" t="n"/>
      <c r="Q60" s="111" t="n"/>
      <c r="R60" s="96" t="n"/>
      <c r="S60" s="96" t="n"/>
      <c r="T60" s="96" t="inlineStr">
        <is>
          <t>BKK04</t>
        </is>
      </c>
      <c r="U60" s="96" t="inlineStr">
        <is>
          <t>THBKK</t>
        </is>
      </c>
      <c r="V60" s="161" t="inlineStr">
        <is>
          <t>2026-10-08</t>
        </is>
      </c>
      <c r="W60" s="96" t="inlineStr">
        <is>
          <t>VNSGN</t>
        </is>
      </c>
      <c r="X60" s="161" t="inlineStr">
        <is>
          <t>2026-10-11</t>
        </is>
      </c>
      <c r="Y60" s="97" t="n"/>
      <c r="Z60" s="97" t="n"/>
      <c r="AA60" s="97" t="n"/>
      <c r="AB60" s="97" t="n"/>
      <c r="AC60" s="97" t="n"/>
      <c r="AD60" s="161" t="inlineStr">
        <is>
          <t>2026-10-05</t>
        </is>
      </c>
      <c r="AE60" s="174" t="inlineStr">
        <is>
          <t>1047</t>
        </is>
      </c>
      <c r="AF60" s="96" t="inlineStr">
        <is>
          <t>TBKK07</t>
        </is>
      </c>
      <c r="AG60" s="97" t="n"/>
      <c r="AH60" s="97" t="n"/>
      <c r="AI60" s="97" t="n"/>
      <c r="AJ60" s="96" t="inlineStr">
        <is>
          <t>CARGOES LINKS TRANSPORTATION CO LTD</t>
        </is>
      </c>
      <c r="AK60" s="130" t="n">
        <v>0</v>
      </c>
    </row>
    <row r="61" ht="12" customHeight="1">
      <c r="A61" s="108" t="inlineStr">
        <is>
          <t>HLHU8461725</t>
        </is>
      </c>
      <c r="B61" s="108" t="inlineStr">
        <is>
          <t>BKK04</t>
        </is>
      </c>
      <c r="C61" s="108" t="inlineStr">
        <is>
          <t>IFV</t>
        </is>
      </c>
      <c r="D61" s="172" t="inlineStr">
        <is>
          <t>2026-10-02</t>
        </is>
      </c>
      <c r="E61" s="173" t="inlineStr">
        <is>
          <t>2310</t>
        </is>
      </c>
      <c r="F61" s="96" t="inlineStr">
        <is>
          <t>HASLS22260902260</t>
        </is>
      </c>
      <c r="G61" s="96" t="inlineStr">
        <is>
          <t>CAPRICORN LOGISTICS CO., LTD.</t>
        </is>
      </c>
      <c r="H61" s="111" t="inlineStr">
        <is>
          <t>45GP</t>
        </is>
      </c>
      <c r="I61" s="96" t="n"/>
      <c r="J61" s="96" t="inlineStr">
        <is>
          <t>Sirichai Prayochananon</t>
        </is>
      </c>
      <c r="K61" s="96" t="inlineStr">
        <is>
          <t>SD</t>
        </is>
      </c>
      <c r="L61" s="111" t="inlineStr">
        <is>
          <t>Full</t>
        </is>
      </c>
      <c r="M61" s="96" t="inlineStr">
        <is>
          <t>HASLS22260902260</t>
        </is>
      </c>
      <c r="N61" s="96" t="inlineStr">
        <is>
          <t xml:space="preserve">40Hx9 </t>
        </is>
      </c>
      <c r="O61" s="111" t="inlineStr">
        <is>
          <t>2024</t>
        </is>
      </c>
      <c r="P61" s="111" t="n"/>
      <c r="Q61" s="111" t="n"/>
      <c r="R61" s="96" t="n"/>
      <c r="S61" s="96" t="n"/>
      <c r="T61" s="96" t="inlineStr">
        <is>
          <t>BKK04</t>
        </is>
      </c>
      <c r="U61" s="96" t="inlineStr">
        <is>
          <t>THBKK</t>
        </is>
      </c>
      <c r="V61" s="161" t="inlineStr">
        <is>
          <t>2026-10-08</t>
        </is>
      </c>
      <c r="W61" s="96" t="inlineStr">
        <is>
          <t>VNSGN</t>
        </is>
      </c>
      <c r="X61" s="161" t="inlineStr">
        <is>
          <t>2026-10-11</t>
        </is>
      </c>
      <c r="Y61" s="97" t="n"/>
      <c r="Z61" s="97" t="n"/>
      <c r="AA61" s="97" t="n"/>
      <c r="AB61" s="97" t="n"/>
      <c r="AC61" s="97" t="n"/>
      <c r="AD61" s="161" t="inlineStr">
        <is>
          <t>2026-10-04</t>
        </is>
      </c>
      <c r="AE61" s="174" t="inlineStr">
        <is>
          <t>2005</t>
        </is>
      </c>
      <c r="AF61" s="96" t="inlineStr">
        <is>
          <t>TBKK42</t>
        </is>
      </c>
      <c r="AG61" s="97" t="n"/>
      <c r="AH61" s="97" t="n"/>
      <c r="AI61" s="97" t="n"/>
      <c r="AJ61" s="96" t="inlineStr">
        <is>
          <t>BLUE OCEAN INTERNATIONAL</t>
        </is>
      </c>
      <c r="AK61" s="130" t="n">
        <v>0</v>
      </c>
    </row>
    <row r="62" ht="12" customHeight="1">
      <c r="A62" s="108" t="inlineStr">
        <is>
          <t>HLHU8520052</t>
        </is>
      </c>
      <c r="B62" s="108" t="inlineStr">
        <is>
          <t>BKK04</t>
        </is>
      </c>
      <c r="C62" s="108" t="inlineStr">
        <is>
          <t>IFV</t>
        </is>
      </c>
      <c r="D62" s="172" t="inlineStr">
        <is>
          <t>2026-10-02</t>
        </is>
      </c>
      <c r="E62" s="173" t="inlineStr">
        <is>
          <t>1156</t>
        </is>
      </c>
      <c r="F62" s="96" t="inlineStr">
        <is>
          <t>HASLS22260902212</t>
        </is>
      </c>
      <c r="G62" s="96" t="inlineStr">
        <is>
          <t>EUROFREIGHT INTERNATIONAL CO.,LTD.</t>
        </is>
      </c>
      <c r="H62" s="111" t="inlineStr">
        <is>
          <t>45GP</t>
        </is>
      </c>
      <c r="I62" s="96" t="n"/>
      <c r="J62" s="96" t="inlineStr">
        <is>
          <t>Chuanchuen</t>
        </is>
      </c>
      <c r="K62" s="96" t="inlineStr">
        <is>
          <t>SD</t>
        </is>
      </c>
      <c r="L62" s="111" t="inlineStr">
        <is>
          <t>Full</t>
        </is>
      </c>
      <c r="M62" s="96" t="inlineStr">
        <is>
          <t>HASLS22260902212</t>
        </is>
      </c>
      <c r="N62" s="96" t="inlineStr">
        <is>
          <t xml:space="preserve">40Hx1 </t>
        </is>
      </c>
      <c r="O62" s="111" t="inlineStr">
        <is>
          <t>2025</t>
        </is>
      </c>
      <c r="P62" s="111" t="n"/>
      <c r="Q62" s="111" t="n"/>
      <c r="R62" s="96" t="n"/>
      <c r="S62" s="96" t="n"/>
      <c r="T62" s="96" t="inlineStr">
        <is>
          <t>BKK04</t>
        </is>
      </c>
      <c r="U62" s="96" t="inlineStr">
        <is>
          <t>THBKK</t>
        </is>
      </c>
      <c r="V62" s="161" t="inlineStr">
        <is>
          <t>2026-10-08</t>
        </is>
      </c>
      <c r="W62" s="96" t="inlineStr">
        <is>
          <t>VNSGN</t>
        </is>
      </c>
      <c r="X62" s="161" t="inlineStr">
        <is>
          <t>2026-10-11</t>
        </is>
      </c>
      <c r="Y62" s="97" t="n"/>
      <c r="Z62" s="97" t="n"/>
      <c r="AA62" s="97" t="n"/>
      <c r="AB62" s="97" t="n"/>
      <c r="AC62" s="97" t="n"/>
      <c r="AD62" s="161" t="inlineStr">
        <is>
          <t>2026-10-02</t>
        </is>
      </c>
      <c r="AE62" s="174" t="inlineStr">
        <is>
          <t>2027</t>
        </is>
      </c>
      <c r="AF62" s="96" t="inlineStr">
        <is>
          <t>TBKK07</t>
        </is>
      </c>
      <c r="AG62" s="97" t="n"/>
      <c r="AH62" s="97" t="n"/>
      <c r="AI62" s="97" t="n"/>
      <c r="AJ62" s="96" t="inlineStr">
        <is>
          <t>MEKONG FLOW EQUIPMENT COMPANY</t>
        </is>
      </c>
      <c r="AK62" s="130" t="n">
        <v>0</v>
      </c>
    </row>
    <row r="63" ht="12" customHeight="1">
      <c r="A63" s="108" t="inlineStr">
        <is>
          <t>HLHU8537013</t>
        </is>
      </c>
      <c r="B63" s="108" t="inlineStr">
        <is>
          <t>BKK04</t>
        </is>
      </c>
      <c r="C63" s="108" t="inlineStr">
        <is>
          <t>IFV</t>
        </is>
      </c>
      <c r="D63" s="172" t="inlineStr">
        <is>
          <t>2026-10-04</t>
        </is>
      </c>
      <c r="E63" s="173" t="inlineStr">
        <is>
          <t>0419</t>
        </is>
      </c>
      <c r="F63" s="96" t="inlineStr">
        <is>
          <t>HASLS22260902210</t>
        </is>
      </c>
      <c r="G63" s="96" t="inlineStr">
        <is>
          <t>CAPRICORN LOGISTICS CO., LTD.</t>
        </is>
      </c>
      <c r="H63" s="111" t="inlineStr">
        <is>
          <t>45GP</t>
        </is>
      </c>
      <c r="I63" s="96" t="n"/>
      <c r="J63" s="96" t="inlineStr">
        <is>
          <t>Sirichai Prayochananon</t>
        </is>
      </c>
      <c r="K63" s="96" t="inlineStr">
        <is>
          <t>SD</t>
        </is>
      </c>
      <c r="L63" s="111" t="inlineStr">
        <is>
          <t>Full</t>
        </is>
      </c>
      <c r="M63" s="96" t="inlineStr">
        <is>
          <t>HASLS22260902210</t>
        </is>
      </c>
      <c r="N63" s="96" t="inlineStr">
        <is>
          <t xml:space="preserve">40Hx5 </t>
        </is>
      </c>
      <c r="O63" s="111" t="inlineStr">
        <is>
          <t>2025</t>
        </is>
      </c>
      <c r="P63" s="111" t="n"/>
      <c r="Q63" s="111" t="n"/>
      <c r="R63" s="96" t="n"/>
      <c r="S63" s="96" t="n"/>
      <c r="T63" s="96" t="inlineStr">
        <is>
          <t>BKK04</t>
        </is>
      </c>
      <c r="U63" s="96" t="inlineStr">
        <is>
          <t>THBKK</t>
        </is>
      </c>
      <c r="V63" s="161" t="inlineStr">
        <is>
          <t>2026-10-08</t>
        </is>
      </c>
      <c r="W63" s="96" t="inlineStr">
        <is>
          <t>VNSGN</t>
        </is>
      </c>
      <c r="X63" s="161" t="inlineStr">
        <is>
          <t>2026-10-11</t>
        </is>
      </c>
      <c r="Y63" s="97" t="n"/>
      <c r="Z63" s="97" t="n"/>
      <c r="AA63" s="97" t="n"/>
      <c r="AB63" s="97" t="n"/>
      <c r="AC63" s="97" t="n"/>
      <c r="AD63" s="161" t="inlineStr">
        <is>
          <t>2026-10-04</t>
        </is>
      </c>
      <c r="AE63" s="174" t="inlineStr">
        <is>
          <t>2005</t>
        </is>
      </c>
      <c r="AF63" s="96" t="inlineStr">
        <is>
          <t>TBKK42</t>
        </is>
      </c>
      <c r="AG63" s="97" t="n"/>
      <c r="AH63" s="97" t="n"/>
      <c r="AI63" s="97" t="n"/>
      <c r="AJ63" s="96" t="inlineStr">
        <is>
          <t>GIA NGUYEN INT'L LOGISTICS CO., LTD</t>
        </is>
      </c>
      <c r="AK63" s="130" t="n">
        <v>0</v>
      </c>
    </row>
    <row r="64" ht="12" customHeight="1">
      <c r="A64" s="108" t="inlineStr">
        <is>
          <t>HLHU8541353</t>
        </is>
      </c>
      <c r="B64" s="108" t="inlineStr">
        <is>
          <t>BKK04</t>
        </is>
      </c>
      <c r="C64" s="108" t="inlineStr">
        <is>
          <t>IFV</t>
        </is>
      </c>
      <c r="D64" s="172" t="inlineStr">
        <is>
          <t>2026-09-24</t>
        </is>
      </c>
      <c r="E64" s="173" t="inlineStr">
        <is>
          <t>0106</t>
        </is>
      </c>
      <c r="F64" s="96" t="inlineStr">
        <is>
          <t>HASLS22260901954</t>
        </is>
      </c>
      <c r="G64" s="96" t="inlineStr">
        <is>
          <t>BIRLA CARBON (THAILAND) PUBLIC COMPANY LIMITED</t>
        </is>
      </c>
      <c r="H64" s="111" t="inlineStr">
        <is>
          <t>45GP</t>
        </is>
      </c>
      <c r="I64" s="96" t="n"/>
      <c r="J64" s="96" t="inlineStr">
        <is>
          <t>Chuanchuen</t>
        </is>
      </c>
      <c r="K64" s="96" t="inlineStr">
        <is>
          <t>SD</t>
        </is>
      </c>
      <c r="L64" s="111" t="inlineStr">
        <is>
          <t>Full</t>
        </is>
      </c>
      <c r="M64" s="96" t="inlineStr">
        <is>
          <t>HASLS22260901954</t>
        </is>
      </c>
      <c r="N64" s="96" t="inlineStr">
        <is>
          <t xml:space="preserve">40Hx2 </t>
        </is>
      </c>
      <c r="O64" s="111" t="inlineStr">
        <is>
          <t>2025</t>
        </is>
      </c>
      <c r="P64" s="111" t="n"/>
      <c r="Q64" s="111" t="n"/>
      <c r="R64" s="96" t="n"/>
      <c r="S64" s="96" t="n"/>
      <c r="T64" s="96" t="inlineStr">
        <is>
          <t>BKK04</t>
        </is>
      </c>
      <c r="U64" s="96" t="inlineStr">
        <is>
          <t>THBKK</t>
        </is>
      </c>
      <c r="V64" s="161" t="inlineStr">
        <is>
          <t>2026-10-08</t>
        </is>
      </c>
      <c r="W64" s="96" t="inlineStr">
        <is>
          <t>VNSGN</t>
        </is>
      </c>
      <c r="X64" s="161" t="inlineStr">
        <is>
          <t>2026-10-11</t>
        </is>
      </c>
      <c r="Y64" s="97" t="n"/>
      <c r="Z64" s="97" t="n"/>
      <c r="AA64" s="97" t="n"/>
      <c r="AB64" s="97" t="n"/>
      <c r="AC64" s="97" t="n"/>
      <c r="AD64" s="161" t="inlineStr">
        <is>
          <t>2026-09-24</t>
        </is>
      </c>
      <c r="AE64" s="174" t="inlineStr">
        <is>
          <t>1103</t>
        </is>
      </c>
      <c r="AF64" s="96" t="inlineStr">
        <is>
          <t>TBKK07</t>
        </is>
      </c>
      <c r="AG64" s="97" t="n"/>
      <c r="AH64" s="97" t="n"/>
      <c r="AI64" s="97" t="n"/>
      <c r="AJ64" s="96" t="inlineStr">
        <is>
          <t>YOKOHAMA TYRE VIETNAM INC.</t>
        </is>
      </c>
      <c r="AK64" s="130" t="n">
        <v>0</v>
      </c>
    </row>
    <row r="65" ht="12" customHeight="1">
      <c r="A65" s="108" t="inlineStr">
        <is>
          <t>HLHU8543335</t>
        </is>
      </c>
      <c r="B65" s="108" t="inlineStr">
        <is>
          <t>BKK04</t>
        </is>
      </c>
      <c r="C65" s="108" t="inlineStr">
        <is>
          <t>IFV</t>
        </is>
      </c>
      <c r="D65" s="172" t="inlineStr">
        <is>
          <t>2026-10-04</t>
        </is>
      </c>
      <c r="E65" s="173" t="inlineStr">
        <is>
          <t>2234</t>
        </is>
      </c>
      <c r="F65" s="96" t="inlineStr">
        <is>
          <t>HASLS22260900586</t>
        </is>
      </c>
      <c r="G65" s="96" t="inlineStr">
        <is>
          <t>BIRLA CARBON (THAILAND) PUBLIC COMPANY LIMITED</t>
        </is>
      </c>
      <c r="H65" s="111" t="inlineStr">
        <is>
          <t>45GP</t>
        </is>
      </c>
      <c r="I65" s="96" t="n"/>
      <c r="J65" s="96" t="inlineStr">
        <is>
          <t>Chuanchuen</t>
        </is>
      </c>
      <c r="K65" s="96" t="inlineStr">
        <is>
          <t>SD</t>
        </is>
      </c>
      <c r="L65" s="111" t="inlineStr">
        <is>
          <t>Full</t>
        </is>
      </c>
      <c r="M65" s="96" t="inlineStr">
        <is>
          <t>HASLS22260900586</t>
        </is>
      </c>
      <c r="N65" s="96" t="inlineStr">
        <is>
          <t xml:space="preserve">40Hx10 </t>
        </is>
      </c>
      <c r="O65" s="111" t="inlineStr">
        <is>
          <t>2025</t>
        </is>
      </c>
      <c r="P65" s="111" t="n"/>
      <c r="Q65" s="111" t="n"/>
      <c r="R65" s="96" t="n"/>
      <c r="S65" s="96" t="n"/>
      <c r="T65" s="96" t="inlineStr">
        <is>
          <t>BKK04</t>
        </is>
      </c>
      <c r="U65" s="96" t="inlineStr">
        <is>
          <t>THBKK</t>
        </is>
      </c>
      <c r="V65" s="161" t="inlineStr">
        <is>
          <t>2026-10-08</t>
        </is>
      </c>
      <c r="W65" s="96" t="inlineStr">
        <is>
          <t>VNSGN</t>
        </is>
      </c>
      <c r="X65" s="161" t="inlineStr">
        <is>
          <t>2026-10-11</t>
        </is>
      </c>
      <c r="Y65" s="97" t="n"/>
      <c r="Z65" s="97" t="n"/>
      <c r="AA65" s="97" t="n"/>
      <c r="AB65" s="97" t="n"/>
      <c r="AC65" s="97" t="n"/>
      <c r="AD65" s="161" t="inlineStr">
        <is>
          <t>2026-10-05</t>
        </is>
      </c>
      <c r="AE65" s="174" t="inlineStr">
        <is>
          <t>1047</t>
        </is>
      </c>
      <c r="AF65" s="96" t="inlineStr">
        <is>
          <t>TBKK07</t>
        </is>
      </c>
      <c r="AG65" s="97" t="n"/>
      <c r="AH65" s="97" t="n"/>
      <c r="AI65" s="97" t="n"/>
      <c r="AJ65" s="96" t="inlineStr">
        <is>
          <t>JINYU (VIETNAM) TIRE CO.,LTD</t>
        </is>
      </c>
      <c r="AK65" s="130" t="n">
        <v>0</v>
      </c>
    </row>
    <row r="66" ht="12" customHeight="1">
      <c r="A66" s="108" t="inlineStr">
        <is>
          <t>HLHU8573978</t>
        </is>
      </c>
      <c r="B66" s="108" t="inlineStr">
        <is>
          <t>BKK04</t>
        </is>
      </c>
      <c r="C66" s="108" t="inlineStr">
        <is>
          <t>IFV</t>
        </is>
      </c>
      <c r="D66" s="172" t="inlineStr">
        <is>
          <t>2026-10-04</t>
        </is>
      </c>
      <c r="E66" s="173" t="inlineStr">
        <is>
          <t>1508</t>
        </is>
      </c>
      <c r="F66" s="96" t="inlineStr">
        <is>
          <t>HASLS22260902210</t>
        </is>
      </c>
      <c r="G66" s="96" t="inlineStr">
        <is>
          <t>CAPRICORN LOGISTICS CO., LTD.</t>
        </is>
      </c>
      <c r="H66" s="111" t="inlineStr">
        <is>
          <t>45GP</t>
        </is>
      </c>
      <c r="I66" s="96" t="n"/>
      <c r="J66" s="96" t="inlineStr">
        <is>
          <t>Sirichai Prayochananon</t>
        </is>
      </c>
      <c r="K66" s="96" t="inlineStr">
        <is>
          <t>SD</t>
        </is>
      </c>
      <c r="L66" s="111" t="inlineStr">
        <is>
          <t>Full</t>
        </is>
      </c>
      <c r="M66" s="96" t="inlineStr">
        <is>
          <t>HASLS22260902210</t>
        </is>
      </c>
      <c r="N66" s="96" t="inlineStr">
        <is>
          <t xml:space="preserve">40Hx5 </t>
        </is>
      </c>
      <c r="O66" s="111" t="inlineStr">
        <is>
          <t>2025</t>
        </is>
      </c>
      <c r="P66" s="111" t="n"/>
      <c r="Q66" s="111" t="n"/>
      <c r="R66" s="96" t="n"/>
      <c r="S66" s="96" t="n"/>
      <c r="T66" s="96" t="inlineStr">
        <is>
          <t>BKK04</t>
        </is>
      </c>
      <c r="U66" s="96" t="inlineStr">
        <is>
          <t>THBKK</t>
        </is>
      </c>
      <c r="V66" s="161" t="inlineStr">
        <is>
          <t>2026-10-08</t>
        </is>
      </c>
      <c r="W66" s="96" t="inlineStr">
        <is>
          <t>VNSGN</t>
        </is>
      </c>
      <c r="X66" s="161" t="inlineStr">
        <is>
          <t>2026-10-11</t>
        </is>
      </c>
      <c r="Y66" s="97" t="n"/>
      <c r="Z66" s="97" t="n"/>
      <c r="AA66" s="97" t="n"/>
      <c r="AB66" s="97" t="n"/>
      <c r="AC66" s="97" t="n"/>
      <c r="AD66" s="161" t="inlineStr">
        <is>
          <t>2026-10-04</t>
        </is>
      </c>
      <c r="AE66" s="174" t="inlineStr">
        <is>
          <t>2005</t>
        </is>
      </c>
      <c r="AF66" s="96" t="inlineStr">
        <is>
          <t>TBKK42</t>
        </is>
      </c>
      <c r="AG66" s="97" t="n"/>
      <c r="AH66" s="97" t="n"/>
      <c r="AI66" s="97" t="n"/>
      <c r="AJ66" s="96" t="inlineStr">
        <is>
          <t>GIA NGUYEN INT'L LOGISTICS CO., LTD</t>
        </is>
      </c>
      <c r="AK66" s="130" t="n">
        <v>0</v>
      </c>
    </row>
    <row r="67" ht="12" customHeight="1">
      <c r="A67" s="108" t="inlineStr">
        <is>
          <t>HLHU8574110</t>
        </is>
      </c>
      <c r="B67" s="108" t="inlineStr">
        <is>
          <t>BKK01</t>
        </is>
      </c>
      <c r="C67" s="108" t="inlineStr">
        <is>
          <t>IFV</t>
        </is>
      </c>
      <c r="D67" s="172" t="inlineStr">
        <is>
          <t>2026-09-29</t>
        </is>
      </c>
      <c r="E67" s="173" t="inlineStr">
        <is>
          <t>1216</t>
        </is>
      </c>
      <c r="F67" s="96" t="inlineStr">
        <is>
          <t>HASLS22260901688</t>
        </is>
      </c>
      <c r="G67" s="96" t="inlineStr">
        <is>
          <t>METRO PARTICLE CO., LTD.</t>
        </is>
      </c>
      <c r="H67" s="111" t="inlineStr">
        <is>
          <t>45GP</t>
        </is>
      </c>
      <c r="I67" s="96" t="n"/>
      <c r="J67" s="96" t="inlineStr">
        <is>
          <t>Chuanchuen</t>
        </is>
      </c>
      <c r="K67" s="96" t="inlineStr">
        <is>
          <t>SD</t>
        </is>
      </c>
      <c r="L67" s="111" t="inlineStr">
        <is>
          <t>Full</t>
        </is>
      </c>
      <c r="M67" s="96" t="inlineStr">
        <is>
          <t>HASLS22260901688</t>
        </is>
      </c>
      <c r="N67" s="96" t="inlineStr">
        <is>
          <t xml:space="preserve">40Hx6 </t>
        </is>
      </c>
      <c r="O67" s="111" t="inlineStr">
        <is>
          <t>2025</t>
        </is>
      </c>
      <c r="P67" s="111" t="n"/>
      <c r="Q67" s="111" t="n"/>
      <c r="R67" s="96" t="n"/>
      <c r="S67" s="96" t="n"/>
      <c r="T67" s="96" t="inlineStr">
        <is>
          <t>BKK04</t>
        </is>
      </c>
      <c r="U67" s="96" t="inlineStr">
        <is>
          <t>THBKK</t>
        </is>
      </c>
      <c r="V67" s="161" t="inlineStr">
        <is>
          <t>2026-10-08</t>
        </is>
      </c>
      <c r="W67" s="96" t="inlineStr">
        <is>
          <t>VNSGN</t>
        </is>
      </c>
      <c r="X67" s="161" t="inlineStr">
        <is>
          <t>2026-10-11</t>
        </is>
      </c>
      <c r="Y67" s="97" t="n"/>
      <c r="Z67" s="97" t="n"/>
      <c r="AA67" s="97" t="n"/>
      <c r="AB67" s="97" t="n"/>
      <c r="AC67" s="97" t="n"/>
      <c r="AD67" s="161" t="inlineStr">
        <is>
          <t>2026-09-30</t>
        </is>
      </c>
      <c r="AE67" s="174" t="inlineStr">
        <is>
          <t>1042</t>
        </is>
      </c>
      <c r="AF67" s="96" t="inlineStr">
        <is>
          <t>TBKK07</t>
        </is>
      </c>
      <c r="AG67" s="97" t="n"/>
      <c r="AH67" s="97" t="n"/>
      <c r="AI67" s="97" t="n"/>
      <c r="AJ67" s="96" t="inlineStr">
        <is>
          <t>YI LONG VIETNAM FURNITURE CO., LTD.</t>
        </is>
      </c>
      <c r="AK67" s="130" t="n">
        <v>0</v>
      </c>
    </row>
    <row r="68" ht="12" customHeight="1">
      <c r="A68" s="108" t="inlineStr">
        <is>
          <t>HLHU8588200</t>
        </is>
      </c>
      <c r="B68" s="108" t="inlineStr">
        <is>
          <t>BKK04</t>
        </is>
      </c>
      <c r="C68" s="108" t="inlineStr">
        <is>
          <t>IFV</t>
        </is>
      </c>
      <c r="D68" s="172" t="inlineStr">
        <is>
          <t>2026-09-24</t>
        </is>
      </c>
      <c r="E68" s="173" t="inlineStr">
        <is>
          <t>0104</t>
        </is>
      </c>
      <c r="F68" s="96" t="inlineStr">
        <is>
          <t>HASLS22260901954</t>
        </is>
      </c>
      <c r="G68" s="96" t="inlineStr">
        <is>
          <t>BIRLA CARBON (THAILAND) PUBLIC COMPANY LIMITED</t>
        </is>
      </c>
      <c r="H68" s="111" t="inlineStr">
        <is>
          <t>45GP</t>
        </is>
      </c>
      <c r="I68" s="96" t="n"/>
      <c r="J68" s="96" t="inlineStr">
        <is>
          <t>Chuanchuen</t>
        </is>
      </c>
      <c r="K68" s="96" t="inlineStr">
        <is>
          <t>SD</t>
        </is>
      </c>
      <c r="L68" s="111" t="inlineStr">
        <is>
          <t>Full</t>
        </is>
      </c>
      <c r="M68" s="96" t="inlineStr">
        <is>
          <t>HASLS22260901954</t>
        </is>
      </c>
      <c r="N68" s="96" t="inlineStr">
        <is>
          <t xml:space="preserve">40Hx2 </t>
        </is>
      </c>
      <c r="O68" s="111" t="inlineStr">
        <is>
          <t>2025</t>
        </is>
      </c>
      <c r="P68" s="111" t="n"/>
      <c r="Q68" s="111" t="n"/>
      <c r="R68" s="96" t="n"/>
      <c r="S68" s="96" t="n"/>
      <c r="T68" s="96" t="inlineStr">
        <is>
          <t>BKK04</t>
        </is>
      </c>
      <c r="U68" s="96" t="inlineStr">
        <is>
          <t>THBKK</t>
        </is>
      </c>
      <c r="V68" s="161" t="inlineStr">
        <is>
          <t>2026-10-08</t>
        </is>
      </c>
      <c r="W68" s="96" t="inlineStr">
        <is>
          <t>VNSGN</t>
        </is>
      </c>
      <c r="X68" s="161" t="inlineStr">
        <is>
          <t>2026-10-11</t>
        </is>
      </c>
      <c r="Y68" s="97" t="n"/>
      <c r="Z68" s="97" t="n"/>
      <c r="AA68" s="97" t="n"/>
      <c r="AB68" s="97" t="n"/>
      <c r="AC68" s="97" t="n"/>
      <c r="AD68" s="161" t="inlineStr">
        <is>
          <t>2026-09-24</t>
        </is>
      </c>
      <c r="AE68" s="174" t="inlineStr">
        <is>
          <t>1103</t>
        </is>
      </c>
      <c r="AF68" s="96" t="inlineStr">
        <is>
          <t>TBKK07</t>
        </is>
      </c>
      <c r="AG68" s="97" t="n"/>
      <c r="AH68" s="97" t="n"/>
      <c r="AI68" s="97" t="n"/>
      <c r="AJ68" s="96" t="inlineStr">
        <is>
          <t>YOKOHAMA TYRE VIETNAM INC.</t>
        </is>
      </c>
      <c r="AK68" s="130" t="n">
        <v>0</v>
      </c>
    </row>
    <row r="69" ht="12" customHeight="1">
      <c r="A69" s="108" t="inlineStr">
        <is>
          <t>SEGU2340919</t>
        </is>
      </c>
      <c r="B69" s="108" t="inlineStr">
        <is>
          <t>BKK04</t>
        </is>
      </c>
      <c r="C69" s="108" t="inlineStr">
        <is>
          <t>IFV</t>
        </is>
      </c>
      <c r="D69" s="172" t="inlineStr">
        <is>
          <t>2026-09-21</t>
        </is>
      </c>
      <c r="E69" s="173" t="inlineStr">
        <is>
          <t>2102</t>
        </is>
      </c>
      <c r="F69" s="96" t="inlineStr">
        <is>
          <t>HASLS22260801914</t>
        </is>
      </c>
      <c r="G69" s="96" t="inlineStr">
        <is>
          <t>DP WORLD LOGISTICS SOLUTIONS (THAILAND) COMPANY LIMITED</t>
        </is>
      </c>
      <c r="H69" s="111" t="inlineStr">
        <is>
          <t>22GP</t>
        </is>
      </c>
      <c r="I69" s="96" t="n"/>
      <c r="J69" s="96" t="inlineStr">
        <is>
          <t>Chuanchuen</t>
        </is>
      </c>
      <c r="K69" s="96" t="inlineStr">
        <is>
          <t>SD</t>
        </is>
      </c>
      <c r="L69" s="111" t="inlineStr">
        <is>
          <t>Full</t>
        </is>
      </c>
      <c r="M69" s="96" t="inlineStr">
        <is>
          <t>HASLS22260801914</t>
        </is>
      </c>
      <c r="N69" s="96" t="inlineStr">
        <is>
          <t xml:space="preserve">20'x33 </t>
        </is>
      </c>
      <c r="O69" s="111" t="inlineStr">
        <is>
          <t>2015</t>
        </is>
      </c>
      <c r="P69" s="111" t="n"/>
      <c r="Q69" s="111" t="n"/>
      <c r="R69" s="96" t="n"/>
      <c r="S69" s="96" t="n"/>
      <c r="T69" s="96" t="inlineStr">
        <is>
          <t>BKK04</t>
        </is>
      </c>
      <c r="U69" s="96" t="inlineStr">
        <is>
          <t>THBKK</t>
        </is>
      </c>
      <c r="V69" s="161" t="inlineStr">
        <is>
          <t>2026-10-08</t>
        </is>
      </c>
      <c r="W69" s="96" t="inlineStr">
        <is>
          <t>KRPTK</t>
        </is>
      </c>
      <c r="X69" s="161" t="inlineStr">
        <is>
          <t>2026-10-17</t>
        </is>
      </c>
      <c r="Y69" s="97" t="n"/>
      <c r="Z69" s="97" t="n"/>
      <c r="AA69" s="97" t="n"/>
      <c r="AB69" s="97" t="n"/>
      <c r="AC69" s="97" t="n"/>
      <c r="AD69" s="161" t="inlineStr">
        <is>
          <t>2026-09-22</t>
        </is>
      </c>
      <c r="AE69" s="174" t="inlineStr">
        <is>
          <t>1046</t>
        </is>
      </c>
      <c r="AF69" s="96" t="inlineStr">
        <is>
          <t>TBKK07</t>
        </is>
      </c>
      <c r="AG69" s="97" t="n"/>
      <c r="AH69" s="97" t="n"/>
      <c r="AI69" s="97" t="n"/>
      <c r="AJ69" s="96" t="inlineStr">
        <is>
          <t>TO THE ORDER OF KOOKMIN BANK</t>
        </is>
      </c>
      <c r="AK69" s="130" t="n">
        <v>0</v>
      </c>
    </row>
    <row r="70" ht="12" customHeight="1">
      <c r="A70" s="108" t="inlineStr">
        <is>
          <t>SEKU4968806</t>
        </is>
      </c>
      <c r="B70" s="108" t="inlineStr">
        <is>
          <t>BKK01</t>
        </is>
      </c>
      <c r="C70" s="108" t="inlineStr">
        <is>
          <t>IFV</t>
        </is>
      </c>
      <c r="D70" s="172" t="inlineStr">
        <is>
          <t>2026-09-29</t>
        </is>
      </c>
      <c r="E70" s="173" t="inlineStr">
        <is>
          <t>0003</t>
        </is>
      </c>
      <c r="F70" s="96" t="inlineStr">
        <is>
          <t>HASLS22260901688</t>
        </is>
      </c>
      <c r="G70" s="96" t="inlineStr">
        <is>
          <t>METRO PARTICLE CO., LTD.</t>
        </is>
      </c>
      <c r="H70" s="111" t="inlineStr">
        <is>
          <t>45GP</t>
        </is>
      </c>
      <c r="I70" s="96" t="n"/>
      <c r="J70" s="96" t="inlineStr">
        <is>
          <t>Chuanchuen</t>
        </is>
      </c>
      <c r="K70" s="96" t="inlineStr">
        <is>
          <t>SD</t>
        </is>
      </c>
      <c r="L70" s="111" t="inlineStr">
        <is>
          <t>Full</t>
        </is>
      </c>
      <c r="M70" s="96" t="inlineStr">
        <is>
          <t>HASLS22260901688</t>
        </is>
      </c>
      <c r="N70" s="96" t="inlineStr">
        <is>
          <t xml:space="preserve">40Hx6 </t>
        </is>
      </c>
      <c r="O70" s="111" t="inlineStr">
        <is>
          <t>2021</t>
        </is>
      </c>
      <c r="P70" s="111" t="n"/>
      <c r="Q70" s="111" t="n"/>
      <c r="R70" s="96" t="n"/>
      <c r="S70" s="96" t="n"/>
      <c r="T70" s="96" t="inlineStr">
        <is>
          <t>BKK04</t>
        </is>
      </c>
      <c r="U70" s="96" t="inlineStr">
        <is>
          <t>THBKK</t>
        </is>
      </c>
      <c r="V70" s="161" t="inlineStr">
        <is>
          <t>2026-10-08</t>
        </is>
      </c>
      <c r="W70" s="96" t="inlineStr">
        <is>
          <t>VNSGN</t>
        </is>
      </c>
      <c r="X70" s="161" t="inlineStr">
        <is>
          <t>2026-10-11</t>
        </is>
      </c>
      <c r="Y70" s="97" t="n"/>
      <c r="Z70" s="97" t="n"/>
      <c r="AA70" s="97" t="n"/>
      <c r="AB70" s="97" t="n"/>
      <c r="AC70" s="97" t="n"/>
      <c r="AD70" s="161" t="inlineStr">
        <is>
          <t>2026-09-29</t>
        </is>
      </c>
      <c r="AE70" s="174" t="inlineStr">
        <is>
          <t>1049</t>
        </is>
      </c>
      <c r="AF70" s="96" t="inlineStr">
        <is>
          <t>TBKK07</t>
        </is>
      </c>
      <c r="AG70" s="97" t="n"/>
      <c r="AH70" s="97" t="n"/>
      <c r="AI70" s="97" t="n"/>
      <c r="AJ70" s="96" t="inlineStr">
        <is>
          <t>YI LONG VIETNAM FURNITURE CO., LTD.</t>
        </is>
      </c>
      <c r="AK70" s="130" t="n">
        <v>0</v>
      </c>
    </row>
    <row r="71" ht="12" customHeight="1">
      <c r="A71" s="108" t="inlineStr">
        <is>
          <t>SEKU4978548</t>
        </is>
      </c>
      <c r="B71" s="108" t="inlineStr">
        <is>
          <t>BKK04</t>
        </is>
      </c>
      <c r="C71" s="108" t="inlineStr">
        <is>
          <t>IFV</t>
        </is>
      </c>
      <c r="D71" s="172" t="inlineStr">
        <is>
          <t>2026-10-01</t>
        </is>
      </c>
      <c r="E71" s="173" t="inlineStr">
        <is>
          <t>2227</t>
        </is>
      </c>
      <c r="F71" s="96" t="inlineStr">
        <is>
          <t>HASLS22260900864</t>
        </is>
      </c>
      <c r="G71" s="96" t="inlineStr">
        <is>
          <t>CNTRANS EXPRESS CO., LTD.</t>
        </is>
      </c>
      <c r="H71" s="111" t="inlineStr">
        <is>
          <t>45GP</t>
        </is>
      </c>
      <c r="I71" s="96" t="n"/>
      <c r="J71" s="96" t="inlineStr">
        <is>
          <t>Chuanchuen</t>
        </is>
      </c>
      <c r="K71" s="96" t="inlineStr">
        <is>
          <t>SD</t>
        </is>
      </c>
      <c r="L71" s="111" t="inlineStr">
        <is>
          <t>Full</t>
        </is>
      </c>
      <c r="M71" s="96" t="inlineStr">
        <is>
          <t>HASLS22260900864</t>
        </is>
      </c>
      <c r="N71" s="96" t="inlineStr">
        <is>
          <t xml:space="preserve">40Hx1 </t>
        </is>
      </c>
      <c r="O71" s="111" t="inlineStr">
        <is>
          <t>2021</t>
        </is>
      </c>
      <c r="P71" s="111" t="n"/>
      <c r="Q71" s="111" t="n"/>
      <c r="R71" s="96" t="n"/>
      <c r="S71" s="96" t="n"/>
      <c r="T71" s="96" t="inlineStr">
        <is>
          <t>BKK04</t>
        </is>
      </c>
      <c r="U71" s="96" t="inlineStr">
        <is>
          <t>THBKK</t>
        </is>
      </c>
      <c r="V71" s="161" t="inlineStr">
        <is>
          <t>2026-10-08</t>
        </is>
      </c>
      <c r="W71" s="96" t="inlineStr">
        <is>
          <t>VNSGN</t>
        </is>
      </c>
      <c r="X71" s="161" t="inlineStr">
        <is>
          <t>2026-10-11</t>
        </is>
      </c>
      <c r="Y71" s="97" t="n"/>
      <c r="Z71" s="97" t="n"/>
      <c r="AA71" s="97" t="n"/>
      <c r="AB71" s="97" t="n"/>
      <c r="AC71" s="97" t="n"/>
      <c r="AD71" s="161" t="inlineStr">
        <is>
          <t>2026-10-02</t>
        </is>
      </c>
      <c r="AE71" s="174" t="inlineStr">
        <is>
          <t>1040</t>
        </is>
      </c>
      <c r="AF71" s="96" t="inlineStr">
        <is>
          <t>TBKK07</t>
        </is>
      </c>
      <c r="AG71" s="97" t="n"/>
      <c r="AH71" s="97" t="n"/>
      <c r="AI71" s="97" t="n"/>
      <c r="AJ71" s="96" t="inlineStr">
        <is>
          <t>HL SHIPPING CO.,LTD.</t>
        </is>
      </c>
      <c r="AK71" s="130" t="n">
        <v>0</v>
      </c>
    </row>
    <row r="72" ht="12" customHeight="1">
      <c r="A72" s="108" t="inlineStr">
        <is>
          <t>SEKU9004119</t>
        </is>
      </c>
      <c r="B72" s="108" t="inlineStr">
        <is>
          <t>BKK04</t>
        </is>
      </c>
      <c r="C72" s="108" t="inlineStr">
        <is>
          <t>IFV</t>
        </is>
      </c>
      <c r="D72" s="172" t="inlineStr">
        <is>
          <t>2026-10-04</t>
        </is>
      </c>
      <c r="E72" s="173" t="inlineStr">
        <is>
          <t>0844</t>
        </is>
      </c>
      <c r="F72" s="96" t="inlineStr">
        <is>
          <t>HASLS22260901997</t>
        </is>
      </c>
      <c r="G72" s="96" t="inlineStr">
        <is>
          <t>BRIO LOGISTICS (THAILAND) CO., LTD.</t>
        </is>
      </c>
      <c r="H72" s="111" t="inlineStr">
        <is>
          <t>22RE</t>
        </is>
      </c>
      <c r="I72" s="96" t="n"/>
      <c r="J72" s="96" t="inlineStr">
        <is>
          <t>Sirichai Prayochananon</t>
        </is>
      </c>
      <c r="K72" s="96" t="inlineStr">
        <is>
          <t>SD</t>
        </is>
      </c>
      <c r="L72" s="111" t="inlineStr">
        <is>
          <t>Full</t>
        </is>
      </c>
      <c r="M72" s="96" t="inlineStr">
        <is>
          <t>HASLS22260901997</t>
        </is>
      </c>
      <c r="N72" s="96" t="inlineStr">
        <is>
          <t xml:space="preserve">20RFx1 </t>
        </is>
      </c>
      <c r="O72" s="111" t="inlineStr">
        <is>
          <t>2021</t>
        </is>
      </c>
      <c r="P72" s="111" t="inlineStr">
        <is>
          <t>CARRIER</t>
        </is>
      </c>
      <c r="Q72" s="111" t="inlineStr">
        <is>
          <t>69NT40-561-507</t>
        </is>
      </c>
      <c r="R72" s="96" t="n"/>
      <c r="S72" s="96" t="n"/>
      <c r="T72" s="96" t="inlineStr">
        <is>
          <t>BKK04</t>
        </is>
      </c>
      <c r="U72" s="96" t="inlineStr">
        <is>
          <t>THBKK</t>
        </is>
      </c>
      <c r="V72" s="161" t="inlineStr">
        <is>
          <t>2026-10-08</t>
        </is>
      </c>
      <c r="W72" s="96" t="inlineStr">
        <is>
          <t>RUVVO</t>
        </is>
      </c>
      <c r="X72" s="161" t="inlineStr">
        <is>
          <t>2026-10-19</t>
        </is>
      </c>
      <c r="Y72" s="97" t="n"/>
      <c r="Z72" s="97" t="n"/>
      <c r="AA72" s="97" t="n"/>
      <c r="AB72" s="97" t="n"/>
      <c r="AC72" s="97" t="n"/>
      <c r="AD72" s="161" t="inlineStr">
        <is>
          <t>2026-10-04</t>
        </is>
      </c>
      <c r="AE72" s="174" t="inlineStr">
        <is>
          <t>2005</t>
        </is>
      </c>
      <c r="AF72" s="96" t="inlineStr">
        <is>
          <t>TBKK42</t>
        </is>
      </c>
      <c r="AG72" s="97" t="n"/>
      <c r="AH72" s="97" t="n"/>
      <c r="AI72" s="97" t="n"/>
      <c r="AJ72" s="96" t="inlineStr">
        <is>
          <t>DV NEVADA CO.,LTD.</t>
        </is>
      </c>
      <c r="AK72" s="130" t="n">
        <v>0</v>
      </c>
    </row>
    <row r="73" ht="12" customHeight="1">
      <c r="A73" s="108" t="inlineStr">
        <is>
          <t>SKHU6305021</t>
        </is>
      </c>
      <c r="B73" s="108" t="inlineStr">
        <is>
          <t>BKK04</t>
        </is>
      </c>
      <c r="C73" s="108" t="inlineStr">
        <is>
          <t>IFV</t>
        </is>
      </c>
      <c r="D73" s="172" t="inlineStr">
        <is>
          <t>2026-10-03</t>
        </is>
      </c>
      <c r="E73" s="173" t="inlineStr">
        <is>
          <t>0838</t>
        </is>
      </c>
      <c r="F73" s="96" t="inlineStr">
        <is>
          <t>HASLS22260900586</t>
        </is>
      </c>
      <c r="G73" s="96" t="inlineStr">
        <is>
          <t>BIRLA CARBON (THAILAND) PUBLIC COMPANY LIMITED</t>
        </is>
      </c>
      <c r="H73" s="111" t="inlineStr">
        <is>
          <t>45GP</t>
        </is>
      </c>
      <c r="I73" s="96" t="n"/>
      <c r="J73" s="96" t="inlineStr">
        <is>
          <t>Sirichai Prayochananon</t>
        </is>
      </c>
      <c r="K73" s="96" t="inlineStr">
        <is>
          <t>SD</t>
        </is>
      </c>
      <c r="L73" s="111" t="inlineStr">
        <is>
          <t>Full</t>
        </is>
      </c>
      <c r="M73" s="96" t="inlineStr">
        <is>
          <t>HASLS22260900586</t>
        </is>
      </c>
      <c r="N73" s="96" t="inlineStr">
        <is>
          <t xml:space="preserve">40Hx10 </t>
        </is>
      </c>
      <c r="O73" s="111" t="inlineStr">
        <is>
          <t>2023</t>
        </is>
      </c>
      <c r="P73" s="111" t="n"/>
      <c r="Q73" s="111" t="n"/>
      <c r="R73" s="96" t="n"/>
      <c r="S73" s="96" t="n"/>
      <c r="T73" s="96" t="inlineStr">
        <is>
          <t>BKK04</t>
        </is>
      </c>
      <c r="U73" s="96" t="inlineStr">
        <is>
          <t>THBKK</t>
        </is>
      </c>
      <c r="V73" s="161" t="inlineStr">
        <is>
          <t>2026-10-08</t>
        </is>
      </c>
      <c r="W73" s="96" t="inlineStr">
        <is>
          <t>VNSGN</t>
        </is>
      </c>
      <c r="X73" s="161" t="inlineStr">
        <is>
          <t>2026-10-11</t>
        </is>
      </c>
      <c r="Y73" s="97" t="n"/>
      <c r="Z73" s="97" t="n"/>
      <c r="AA73" s="97" t="n"/>
      <c r="AB73" s="97" t="n"/>
      <c r="AC73" s="97" t="n"/>
      <c r="AD73" s="161" t="inlineStr">
        <is>
          <t>2026-10-04</t>
        </is>
      </c>
      <c r="AE73" s="174" t="inlineStr">
        <is>
          <t>2005</t>
        </is>
      </c>
      <c r="AF73" s="96" t="inlineStr">
        <is>
          <t>TBKK42</t>
        </is>
      </c>
      <c r="AG73" s="97" t="n"/>
      <c r="AH73" s="97" t="n"/>
      <c r="AI73" s="97" t="n"/>
      <c r="AJ73" s="96" t="inlineStr">
        <is>
          <t>JINYU (VIETNAM) TIRE CO.,LTD</t>
        </is>
      </c>
      <c r="AK73" s="130" t="n">
        <v>0</v>
      </c>
    </row>
    <row r="74" ht="12" customHeight="1">
      <c r="A74" s="108" t="inlineStr">
        <is>
          <t>SKHU6305720</t>
        </is>
      </c>
      <c r="B74" s="108" t="inlineStr">
        <is>
          <t>BKK01</t>
        </is>
      </c>
      <c r="C74" s="108" t="inlineStr">
        <is>
          <t>IFV</t>
        </is>
      </c>
      <c r="D74" s="172" t="inlineStr">
        <is>
          <t>2026-09-29</t>
        </is>
      </c>
      <c r="E74" s="173" t="inlineStr">
        <is>
          <t>0042</t>
        </is>
      </c>
      <c r="F74" s="96" t="inlineStr">
        <is>
          <t>HASLS22260901688</t>
        </is>
      </c>
      <c r="G74" s="96" t="inlineStr">
        <is>
          <t>METRO PARTICLE CO., LTD.</t>
        </is>
      </c>
      <c r="H74" s="111" t="inlineStr">
        <is>
          <t>45GP</t>
        </is>
      </c>
      <c r="I74" s="96" t="n"/>
      <c r="J74" s="96" t="inlineStr">
        <is>
          <t>Chuanchuen</t>
        </is>
      </c>
      <c r="K74" s="96" t="inlineStr">
        <is>
          <t>SD</t>
        </is>
      </c>
      <c r="L74" s="111" t="inlineStr">
        <is>
          <t>Full</t>
        </is>
      </c>
      <c r="M74" s="96" t="inlineStr">
        <is>
          <t>HASLS22260901688</t>
        </is>
      </c>
      <c r="N74" s="96" t="inlineStr">
        <is>
          <t xml:space="preserve">40Hx6 </t>
        </is>
      </c>
      <c r="O74" s="111" t="inlineStr">
        <is>
          <t>2023</t>
        </is>
      </c>
      <c r="P74" s="111" t="n"/>
      <c r="Q74" s="111" t="n"/>
      <c r="R74" s="96" t="n"/>
      <c r="S74" s="96" t="n"/>
      <c r="T74" s="96" t="inlineStr">
        <is>
          <t>BKK04</t>
        </is>
      </c>
      <c r="U74" s="96" t="inlineStr">
        <is>
          <t>THBKK</t>
        </is>
      </c>
      <c r="V74" s="161" t="inlineStr">
        <is>
          <t>2026-10-08</t>
        </is>
      </c>
      <c r="W74" s="96" t="inlineStr">
        <is>
          <t>VNSGN</t>
        </is>
      </c>
      <c r="X74" s="161" t="inlineStr">
        <is>
          <t>2026-10-11</t>
        </is>
      </c>
      <c r="Y74" s="97" t="n"/>
      <c r="Z74" s="97" t="n"/>
      <c r="AA74" s="97" t="n"/>
      <c r="AB74" s="97" t="n"/>
      <c r="AC74" s="97" t="n"/>
      <c r="AD74" s="161" t="inlineStr">
        <is>
          <t>2026-09-29</t>
        </is>
      </c>
      <c r="AE74" s="174" t="inlineStr">
        <is>
          <t>1049</t>
        </is>
      </c>
      <c r="AF74" s="96" t="inlineStr">
        <is>
          <t>TBKK07</t>
        </is>
      </c>
      <c r="AG74" s="97" t="n"/>
      <c r="AH74" s="97" t="n"/>
      <c r="AI74" s="97" t="n"/>
      <c r="AJ74" s="96" t="inlineStr">
        <is>
          <t>YI LONG VIETNAM FURNITURE CO., LTD.</t>
        </is>
      </c>
      <c r="AK74" s="130" t="n">
        <v>0</v>
      </c>
    </row>
    <row r="75" ht="12" customHeight="1">
      <c r="A75" s="108" t="inlineStr">
        <is>
          <t>SKHU6313346</t>
        </is>
      </c>
      <c r="B75" s="108" t="inlineStr">
        <is>
          <t>BKK04</t>
        </is>
      </c>
      <c r="C75" s="108" t="inlineStr">
        <is>
          <t>IFV</t>
        </is>
      </c>
      <c r="D75" s="172" t="inlineStr">
        <is>
          <t>2026-10-03</t>
        </is>
      </c>
      <c r="E75" s="173" t="inlineStr">
        <is>
          <t>0832</t>
        </is>
      </c>
      <c r="F75" s="96" t="inlineStr">
        <is>
          <t>HASLS22260900586</t>
        </is>
      </c>
      <c r="G75" s="96" t="inlineStr">
        <is>
          <t>BIRLA CARBON (THAILAND) PUBLIC COMPANY LIMITED</t>
        </is>
      </c>
      <c r="H75" s="111" t="inlineStr">
        <is>
          <t>45GP</t>
        </is>
      </c>
      <c r="I75" s="96" t="n"/>
      <c r="J75" s="96" t="inlineStr">
        <is>
          <t>Sirichai Prayochananon</t>
        </is>
      </c>
      <c r="K75" s="96" t="inlineStr">
        <is>
          <t>SD</t>
        </is>
      </c>
      <c r="L75" s="111" t="inlineStr">
        <is>
          <t>Full</t>
        </is>
      </c>
      <c r="M75" s="96" t="inlineStr">
        <is>
          <t>HASLS22260900586</t>
        </is>
      </c>
      <c r="N75" s="96" t="inlineStr">
        <is>
          <t xml:space="preserve">40Hx10 </t>
        </is>
      </c>
      <c r="O75" s="111" t="inlineStr">
        <is>
          <t>2023</t>
        </is>
      </c>
      <c r="P75" s="111" t="n"/>
      <c r="Q75" s="111" t="n"/>
      <c r="R75" s="96" t="n"/>
      <c r="S75" s="96" t="n"/>
      <c r="T75" s="96" t="inlineStr">
        <is>
          <t>BKK04</t>
        </is>
      </c>
      <c r="U75" s="96" t="inlineStr">
        <is>
          <t>THBKK</t>
        </is>
      </c>
      <c r="V75" s="161" t="inlineStr">
        <is>
          <t>2026-10-08</t>
        </is>
      </c>
      <c r="W75" s="96" t="inlineStr">
        <is>
          <t>VNSGN</t>
        </is>
      </c>
      <c r="X75" s="161" t="inlineStr">
        <is>
          <t>2026-10-11</t>
        </is>
      </c>
      <c r="Y75" s="97" t="n"/>
      <c r="Z75" s="97" t="n"/>
      <c r="AA75" s="97" t="n"/>
      <c r="AB75" s="97" t="n"/>
      <c r="AC75" s="97" t="n"/>
      <c r="AD75" s="161" t="inlineStr">
        <is>
          <t>2026-10-04</t>
        </is>
      </c>
      <c r="AE75" s="174" t="inlineStr">
        <is>
          <t>2005</t>
        </is>
      </c>
      <c r="AF75" s="96" t="inlineStr">
        <is>
          <t>TBKK42</t>
        </is>
      </c>
      <c r="AG75" s="97" t="n"/>
      <c r="AH75" s="97" t="n"/>
      <c r="AI75" s="97" t="n"/>
      <c r="AJ75" s="96" t="inlineStr">
        <is>
          <t>JINYU (VIETNAM) TIRE CO.,LTD</t>
        </is>
      </c>
      <c r="AK75" s="130" t="n">
        <v>0</v>
      </c>
    </row>
    <row r="76" ht="12" customHeight="1">
      <c r="A76" s="108" t="inlineStr">
        <is>
          <t>SKHU6314189</t>
        </is>
      </c>
      <c r="B76" s="108" t="inlineStr">
        <is>
          <t>BKK04</t>
        </is>
      </c>
      <c r="C76" s="108" t="inlineStr">
        <is>
          <t>IFV</t>
        </is>
      </c>
      <c r="D76" s="172" t="inlineStr">
        <is>
          <t>2026-10-03</t>
        </is>
      </c>
      <c r="E76" s="173" t="inlineStr">
        <is>
          <t>1431</t>
        </is>
      </c>
      <c r="F76" s="96" t="inlineStr">
        <is>
          <t>HASLS22260902260</t>
        </is>
      </c>
      <c r="G76" s="96" t="inlineStr">
        <is>
          <t>CAPRICORN LOGISTICS CO., LTD.</t>
        </is>
      </c>
      <c r="H76" s="111" t="inlineStr">
        <is>
          <t>45GP</t>
        </is>
      </c>
      <c r="I76" s="96" t="n"/>
      <c r="J76" s="96" t="inlineStr">
        <is>
          <t>Sirichai Prayochananon</t>
        </is>
      </c>
      <c r="K76" s="96" t="inlineStr">
        <is>
          <t>SD</t>
        </is>
      </c>
      <c r="L76" s="111" t="inlineStr">
        <is>
          <t>Full</t>
        </is>
      </c>
      <c r="M76" s="96" t="inlineStr">
        <is>
          <t>HASLS22260902260</t>
        </is>
      </c>
      <c r="N76" s="96" t="inlineStr">
        <is>
          <t xml:space="preserve">40Hx9 </t>
        </is>
      </c>
      <c r="O76" s="111" t="inlineStr">
        <is>
          <t>2023</t>
        </is>
      </c>
      <c r="P76" s="111" t="n"/>
      <c r="Q76" s="111" t="n"/>
      <c r="R76" s="96" t="n"/>
      <c r="S76" s="96" t="n"/>
      <c r="T76" s="96" t="inlineStr">
        <is>
          <t>BKK04</t>
        </is>
      </c>
      <c r="U76" s="96" t="inlineStr">
        <is>
          <t>THBKK</t>
        </is>
      </c>
      <c r="V76" s="161" t="inlineStr">
        <is>
          <t>2026-10-08</t>
        </is>
      </c>
      <c r="W76" s="96" t="inlineStr">
        <is>
          <t>VNSGN</t>
        </is>
      </c>
      <c r="X76" s="161" t="inlineStr">
        <is>
          <t>2026-10-11</t>
        </is>
      </c>
      <c r="Y76" s="97" t="n"/>
      <c r="Z76" s="97" t="n"/>
      <c r="AA76" s="97" t="n"/>
      <c r="AB76" s="97" t="n"/>
      <c r="AC76" s="97" t="n"/>
      <c r="AD76" s="161" t="inlineStr">
        <is>
          <t>2026-10-04</t>
        </is>
      </c>
      <c r="AE76" s="174" t="inlineStr">
        <is>
          <t>2005</t>
        </is>
      </c>
      <c r="AF76" s="96" t="inlineStr">
        <is>
          <t>TBKK42</t>
        </is>
      </c>
      <c r="AG76" s="97" t="n"/>
      <c r="AH76" s="97" t="n"/>
      <c r="AI76" s="97" t="n"/>
      <c r="AJ76" s="96" t="inlineStr">
        <is>
          <t>BLUE OCEAN INTERNATIONAL</t>
        </is>
      </c>
      <c r="AK76" s="130" t="n">
        <v>0</v>
      </c>
    </row>
    <row r="77" ht="12" customHeight="1">
      <c r="A77" s="108" t="inlineStr">
        <is>
          <t>SKHU6336700</t>
        </is>
      </c>
      <c r="B77" s="108" t="inlineStr">
        <is>
          <t>BKK04</t>
        </is>
      </c>
      <c r="C77" s="108" t="inlineStr">
        <is>
          <t>IFV</t>
        </is>
      </c>
      <c r="D77" s="172" t="inlineStr">
        <is>
          <t>2026-10-02</t>
        </is>
      </c>
      <c r="E77" s="173" t="inlineStr">
        <is>
          <t>1255</t>
        </is>
      </c>
      <c r="F77" s="96" t="inlineStr">
        <is>
          <t>HASLS22260902260</t>
        </is>
      </c>
      <c r="G77" s="96" t="inlineStr">
        <is>
          <t>CAPRICORN LOGISTICS CO., LTD.</t>
        </is>
      </c>
      <c r="H77" s="111" t="inlineStr">
        <is>
          <t>45GP</t>
        </is>
      </c>
      <c r="I77" s="96" t="n"/>
      <c r="J77" s="96" t="inlineStr">
        <is>
          <t>Chuanchuen</t>
        </is>
      </c>
      <c r="K77" s="96" t="inlineStr">
        <is>
          <t>SD</t>
        </is>
      </c>
      <c r="L77" s="111" t="inlineStr">
        <is>
          <t>Full</t>
        </is>
      </c>
      <c r="M77" s="96" t="inlineStr">
        <is>
          <t>HASLS22260902260</t>
        </is>
      </c>
      <c r="N77" s="96" t="inlineStr">
        <is>
          <t xml:space="preserve">40Hx9 </t>
        </is>
      </c>
      <c r="O77" s="111" t="inlineStr">
        <is>
          <t>2023</t>
        </is>
      </c>
      <c r="P77" s="111" t="n"/>
      <c r="Q77" s="111" t="n"/>
      <c r="R77" s="96" t="n"/>
      <c r="S77" s="96" t="n"/>
      <c r="T77" s="96" t="inlineStr">
        <is>
          <t>BKK04</t>
        </is>
      </c>
      <c r="U77" s="96" t="inlineStr">
        <is>
          <t>THBKK</t>
        </is>
      </c>
      <c r="V77" s="161" t="inlineStr">
        <is>
          <t>2026-10-08</t>
        </is>
      </c>
      <c r="W77" s="96" t="inlineStr">
        <is>
          <t>VNSGN</t>
        </is>
      </c>
      <c r="X77" s="161" t="inlineStr">
        <is>
          <t>2026-10-11</t>
        </is>
      </c>
      <c r="Y77" s="97" t="n"/>
      <c r="Z77" s="97" t="n"/>
      <c r="AA77" s="97" t="n"/>
      <c r="AB77" s="97" t="n"/>
      <c r="AC77" s="97" t="n"/>
      <c r="AD77" s="161" t="inlineStr">
        <is>
          <t>2026-10-02</t>
        </is>
      </c>
      <c r="AE77" s="174" t="inlineStr">
        <is>
          <t>2025</t>
        </is>
      </c>
      <c r="AF77" s="96" t="inlineStr">
        <is>
          <t>TBKK07</t>
        </is>
      </c>
      <c r="AG77" s="97" t="n"/>
      <c r="AH77" s="97" t="n"/>
      <c r="AI77" s="97" t="n"/>
      <c r="AJ77" s="96" t="inlineStr">
        <is>
          <t>BLUE OCEAN INTERNATIONAL</t>
        </is>
      </c>
      <c r="AK77" s="130" t="n">
        <v>0</v>
      </c>
    </row>
    <row r="78" ht="12" customHeight="1">
      <c r="A78" s="108" t="inlineStr">
        <is>
          <t>SKHU6336871</t>
        </is>
      </c>
      <c r="B78" s="108" t="inlineStr">
        <is>
          <t>BKK04</t>
        </is>
      </c>
      <c r="C78" s="108" t="inlineStr">
        <is>
          <t>IFV</t>
        </is>
      </c>
      <c r="D78" s="172" t="inlineStr">
        <is>
          <t>2026-10-03</t>
        </is>
      </c>
      <c r="E78" s="173" t="inlineStr">
        <is>
          <t>0843</t>
        </is>
      </c>
      <c r="F78" s="96" t="inlineStr">
        <is>
          <t>HASLS22260901649</t>
        </is>
      </c>
      <c r="G78" s="96" t="inlineStr">
        <is>
          <t>SDS-ACUTECH CO., LTD.</t>
        </is>
      </c>
      <c r="H78" s="111" t="inlineStr">
        <is>
          <t>45GP</t>
        </is>
      </c>
      <c r="I78" s="96" t="n"/>
      <c r="J78" s="96" t="inlineStr">
        <is>
          <t>Sirichai Prayochananon</t>
        </is>
      </c>
      <c r="K78" s="96" t="inlineStr">
        <is>
          <t>SD</t>
        </is>
      </c>
      <c r="L78" s="111" t="inlineStr">
        <is>
          <t>Full</t>
        </is>
      </c>
      <c r="M78" s="96" t="inlineStr">
        <is>
          <t>HASLS22260901649</t>
        </is>
      </c>
      <c r="N78" s="96" t="inlineStr">
        <is>
          <t xml:space="preserve">40Hx1 </t>
        </is>
      </c>
      <c r="O78" s="111" t="inlineStr">
        <is>
          <t>2023</t>
        </is>
      </c>
      <c r="P78" s="111" t="n"/>
      <c r="Q78" s="111" t="n"/>
      <c r="R78" s="96" t="n"/>
      <c r="S78" s="96" t="n"/>
      <c r="T78" s="96" t="inlineStr">
        <is>
          <t>BKK04</t>
        </is>
      </c>
      <c r="U78" s="96" t="inlineStr">
        <is>
          <t>THBKK</t>
        </is>
      </c>
      <c r="V78" s="161" t="inlineStr">
        <is>
          <t>2026-10-08</t>
        </is>
      </c>
      <c r="W78" s="96" t="inlineStr">
        <is>
          <t>VNSGN</t>
        </is>
      </c>
      <c r="X78" s="161" t="inlineStr">
        <is>
          <t>2026-10-11</t>
        </is>
      </c>
      <c r="Y78" s="97" t="n"/>
      <c r="Z78" s="97" t="n"/>
      <c r="AA78" s="97" t="n"/>
      <c r="AB78" s="97" t="n"/>
      <c r="AC78" s="97" t="n"/>
      <c r="AD78" s="161" t="inlineStr">
        <is>
          <t>2026-10-04</t>
        </is>
      </c>
      <c r="AE78" s="174" t="inlineStr">
        <is>
          <t>2005</t>
        </is>
      </c>
      <c r="AF78" s="96" t="inlineStr">
        <is>
          <t>TBKK42</t>
        </is>
      </c>
      <c r="AG78" s="97" t="n"/>
      <c r="AH78" s="97" t="n"/>
      <c r="AI78" s="97" t="n"/>
      <c r="AJ78" s="96" t="inlineStr">
        <is>
          <t>SAMSUNG ELECTRONICS HCMC CE COMPLEX</t>
        </is>
      </c>
      <c r="AK78" s="130" t="n">
        <v>0</v>
      </c>
    </row>
    <row r="79" ht="12" customHeight="1">
      <c r="A79" s="108" t="inlineStr">
        <is>
          <t>SKHU6365801</t>
        </is>
      </c>
      <c r="B79" s="108" t="inlineStr">
        <is>
          <t>BKK04</t>
        </is>
      </c>
      <c r="C79" s="108" t="inlineStr">
        <is>
          <t>IFV</t>
        </is>
      </c>
      <c r="D79" s="172" t="inlineStr">
        <is>
          <t>2026-10-05</t>
        </is>
      </c>
      <c r="E79" s="173" t="inlineStr">
        <is>
          <t>1105</t>
        </is>
      </c>
      <c r="F79" s="96" t="inlineStr">
        <is>
          <t>HASLS22260900834</t>
        </is>
      </c>
      <c r="G79" s="96" t="inlineStr">
        <is>
          <t>CMS LOGISTICS GROUP (THAILAND) CO., LTD.</t>
        </is>
      </c>
      <c r="H79" s="111" t="inlineStr">
        <is>
          <t>45GP</t>
        </is>
      </c>
      <c r="I79" s="96" t="n"/>
      <c r="J79" s="96" t="inlineStr">
        <is>
          <t>Chuanchuen</t>
        </is>
      </c>
      <c r="K79" s="96" t="inlineStr">
        <is>
          <t>SD</t>
        </is>
      </c>
      <c r="L79" s="111" t="inlineStr">
        <is>
          <t>Full</t>
        </is>
      </c>
      <c r="M79" s="96" t="inlineStr">
        <is>
          <t>HASLS22260900834</t>
        </is>
      </c>
      <c r="N79" s="96" t="inlineStr">
        <is>
          <t xml:space="preserve">40Hx2 </t>
        </is>
      </c>
      <c r="O79" s="111" t="inlineStr">
        <is>
          <t>2023</t>
        </is>
      </c>
      <c r="P79" s="111" t="n"/>
      <c r="Q79" s="111" t="n"/>
      <c r="R79" s="96" t="n"/>
      <c r="S79" s="96" t="n"/>
      <c r="T79" s="96" t="inlineStr">
        <is>
          <t>BKK04</t>
        </is>
      </c>
      <c r="U79" s="96" t="inlineStr">
        <is>
          <t>THBKK</t>
        </is>
      </c>
      <c r="V79" s="161" t="inlineStr">
        <is>
          <t>2026-10-08</t>
        </is>
      </c>
      <c r="W79" s="96" t="inlineStr">
        <is>
          <t>VNSGN</t>
        </is>
      </c>
      <c r="X79" s="161" t="inlineStr">
        <is>
          <t>2026-10-11</t>
        </is>
      </c>
      <c r="Y79" s="97" t="n"/>
      <c r="Z79" s="97" t="n"/>
      <c r="AA79" s="97" t="n"/>
      <c r="AB79" s="97" t="n"/>
      <c r="AC79" s="97" t="n"/>
      <c r="AD79" s="161" t="inlineStr">
        <is>
          <t>2026-10-06</t>
        </is>
      </c>
      <c r="AE79" s="174" t="inlineStr">
        <is>
          <t>1047</t>
        </is>
      </c>
      <c r="AF79" s="96" t="inlineStr">
        <is>
          <t>TBKK07</t>
        </is>
      </c>
      <c r="AG79" s="97" t="n"/>
      <c r="AH79" s="97" t="n"/>
      <c r="AI79" s="97" t="n"/>
      <c r="AJ79" s="96" t="inlineStr">
        <is>
          <t>TETRA PAK BINH DUONG JOINT STOCK CO</t>
        </is>
      </c>
      <c r="AK79" s="130" t="n">
        <v>0</v>
      </c>
    </row>
    <row r="80" ht="12" customHeight="1">
      <c r="A80" s="108" t="inlineStr">
        <is>
          <t>SKHU6428411</t>
        </is>
      </c>
      <c r="B80" s="108" t="inlineStr">
        <is>
          <t>BKK04</t>
        </is>
      </c>
      <c r="C80" s="108" t="inlineStr">
        <is>
          <t>IFV</t>
        </is>
      </c>
      <c r="D80" s="172" t="inlineStr">
        <is>
          <t>2026-10-02</t>
        </is>
      </c>
      <c r="E80" s="173" t="inlineStr">
        <is>
          <t>1249</t>
        </is>
      </c>
      <c r="F80" s="96" t="inlineStr">
        <is>
          <t>HASLS22260900444</t>
        </is>
      </c>
      <c r="G80" s="96" t="inlineStr">
        <is>
          <t>BANGKOK STARCH INDUSTRIAL CO., LTD.</t>
        </is>
      </c>
      <c r="H80" s="111" t="inlineStr">
        <is>
          <t>45GP</t>
        </is>
      </c>
      <c r="I80" s="96" t="n"/>
      <c r="J80" s="96" t="inlineStr">
        <is>
          <t>Chuanchuen</t>
        </is>
      </c>
      <c r="K80" s="96" t="inlineStr">
        <is>
          <t>SD</t>
        </is>
      </c>
      <c r="L80" s="111" t="inlineStr">
        <is>
          <t>Full</t>
        </is>
      </c>
      <c r="M80" s="96" t="inlineStr">
        <is>
          <t>HASLS22260900444</t>
        </is>
      </c>
      <c r="N80" s="96" t="inlineStr">
        <is>
          <t xml:space="preserve">40Hx1 </t>
        </is>
      </c>
      <c r="O80" s="111" t="inlineStr">
        <is>
          <t>2024</t>
        </is>
      </c>
      <c r="P80" s="111" t="n"/>
      <c r="Q80" s="111" t="n"/>
      <c r="R80" s="96" t="n"/>
      <c r="S80" s="96" t="n"/>
      <c r="T80" s="96" t="inlineStr">
        <is>
          <t>BKK04</t>
        </is>
      </c>
      <c r="U80" s="96" t="inlineStr">
        <is>
          <t>THBKK</t>
        </is>
      </c>
      <c r="V80" s="161" t="inlineStr">
        <is>
          <t>2026-10-08</t>
        </is>
      </c>
      <c r="W80" s="96" t="inlineStr">
        <is>
          <t>KRKAN</t>
        </is>
      </c>
      <c r="X80" s="161" t="inlineStr">
        <is>
          <t>2026-10-18</t>
        </is>
      </c>
      <c r="Y80" s="97" t="n"/>
      <c r="Z80" s="97" t="n"/>
      <c r="AA80" s="97" t="n"/>
      <c r="AB80" s="97" t="n"/>
      <c r="AC80" s="97" t="n"/>
      <c r="AD80" s="161" t="inlineStr">
        <is>
          <t>2026-10-02</t>
        </is>
      </c>
      <c r="AE80" s="174" t="inlineStr">
        <is>
          <t>2027</t>
        </is>
      </c>
      <c r="AF80" s="96" t="inlineStr">
        <is>
          <t>TBKK07</t>
        </is>
      </c>
      <c r="AG80" s="97" t="n"/>
      <c r="AH80" s="97" t="n"/>
      <c r="AI80" s="97" t="n"/>
      <c r="AJ80" s="96" t="inlineStr">
        <is>
          <t>TO ORDER</t>
        </is>
      </c>
      <c r="AK80" s="130" t="n">
        <v>0</v>
      </c>
    </row>
    <row r="81" ht="12" customHeight="1">
      <c r="A81" s="108" t="inlineStr">
        <is>
          <t>SKHU6432962</t>
        </is>
      </c>
      <c r="B81" s="108" t="inlineStr">
        <is>
          <t>BKK01</t>
        </is>
      </c>
      <c r="C81" s="108" t="inlineStr">
        <is>
          <t>IFV</t>
        </is>
      </c>
      <c r="D81" s="172" t="inlineStr">
        <is>
          <t>2026-09-29</t>
        </is>
      </c>
      <c r="E81" s="173" t="inlineStr">
        <is>
          <t>0019</t>
        </is>
      </c>
      <c r="F81" s="96" t="inlineStr">
        <is>
          <t>HASLS22260901688</t>
        </is>
      </c>
      <c r="G81" s="96" t="inlineStr">
        <is>
          <t>METRO PARTICLE CO., LTD.</t>
        </is>
      </c>
      <c r="H81" s="111" t="inlineStr">
        <is>
          <t>45GP</t>
        </is>
      </c>
      <c r="I81" s="96" t="n"/>
      <c r="J81" s="96" t="inlineStr">
        <is>
          <t>Chuanchuen</t>
        </is>
      </c>
      <c r="K81" s="96" t="inlineStr">
        <is>
          <t>SD</t>
        </is>
      </c>
      <c r="L81" s="111" t="inlineStr">
        <is>
          <t>Full</t>
        </is>
      </c>
      <c r="M81" s="96" t="inlineStr">
        <is>
          <t>HASLS22260901688</t>
        </is>
      </c>
      <c r="N81" s="96" t="inlineStr">
        <is>
          <t xml:space="preserve">40Hx6 </t>
        </is>
      </c>
      <c r="O81" s="111" t="inlineStr">
        <is>
          <t>2024</t>
        </is>
      </c>
      <c r="P81" s="111" t="n"/>
      <c r="Q81" s="111" t="n"/>
      <c r="R81" s="96" t="n"/>
      <c r="S81" s="96" t="n"/>
      <c r="T81" s="96" t="inlineStr">
        <is>
          <t>BKK04</t>
        </is>
      </c>
      <c r="U81" s="96" t="inlineStr">
        <is>
          <t>THBKK</t>
        </is>
      </c>
      <c r="V81" s="161" t="inlineStr">
        <is>
          <t>2026-10-08</t>
        </is>
      </c>
      <c r="W81" s="96" t="inlineStr">
        <is>
          <t>VNSGN</t>
        </is>
      </c>
      <c r="X81" s="161" t="inlineStr">
        <is>
          <t>2026-10-11</t>
        </is>
      </c>
      <c r="Y81" s="97" t="n"/>
      <c r="Z81" s="97" t="n"/>
      <c r="AA81" s="97" t="n"/>
      <c r="AB81" s="97" t="n"/>
      <c r="AC81" s="97" t="n"/>
      <c r="AD81" s="161" t="inlineStr">
        <is>
          <t>2026-09-29</t>
        </is>
      </c>
      <c r="AE81" s="174" t="inlineStr">
        <is>
          <t>1049</t>
        </is>
      </c>
      <c r="AF81" s="96" t="inlineStr">
        <is>
          <t>TBKK07</t>
        </is>
      </c>
      <c r="AG81" s="97" t="n"/>
      <c r="AH81" s="97" t="n"/>
      <c r="AI81" s="97" t="n"/>
      <c r="AJ81" s="96" t="inlineStr">
        <is>
          <t>YI LONG VIETNAM FURNITURE CO., LTD.</t>
        </is>
      </c>
      <c r="AK81" s="130" t="n">
        <v>0</v>
      </c>
    </row>
    <row r="82" ht="12" customHeight="1">
      <c r="A82" s="108" t="inlineStr">
        <is>
          <t>SKHU6447746</t>
        </is>
      </c>
      <c r="B82" s="108" t="inlineStr">
        <is>
          <t>BKK04</t>
        </is>
      </c>
      <c r="C82" s="108" t="inlineStr">
        <is>
          <t>IFV</t>
        </is>
      </c>
      <c r="D82" s="172" t="inlineStr">
        <is>
          <t>2026-10-05</t>
        </is>
      </c>
      <c r="E82" s="173" t="inlineStr">
        <is>
          <t>1329</t>
        </is>
      </c>
      <c r="F82" s="96" t="inlineStr">
        <is>
          <t>HASLS22260900834</t>
        </is>
      </c>
      <c r="G82" s="96" t="inlineStr">
        <is>
          <t>CMS LOGISTICS GROUP (THAILAND) CO., LTD.</t>
        </is>
      </c>
      <c r="H82" s="111" t="inlineStr">
        <is>
          <t>45GP</t>
        </is>
      </c>
      <c r="I82" s="96" t="n"/>
      <c r="J82" s="96" t="inlineStr">
        <is>
          <t>Chuanchuen</t>
        </is>
      </c>
      <c r="K82" s="96" t="inlineStr">
        <is>
          <t>SD</t>
        </is>
      </c>
      <c r="L82" s="111" t="inlineStr">
        <is>
          <t>Full</t>
        </is>
      </c>
      <c r="M82" s="96" t="inlineStr">
        <is>
          <t>HASLS22260900834</t>
        </is>
      </c>
      <c r="N82" s="96" t="inlineStr">
        <is>
          <t xml:space="preserve">40Hx2 </t>
        </is>
      </c>
      <c r="O82" s="111" t="inlineStr">
        <is>
          <t>2024</t>
        </is>
      </c>
      <c r="P82" s="111" t="n"/>
      <c r="Q82" s="111" t="n"/>
      <c r="R82" s="96" t="n"/>
      <c r="S82" s="96" t="n"/>
      <c r="T82" s="96" t="inlineStr">
        <is>
          <t>BKK04</t>
        </is>
      </c>
      <c r="U82" s="96" t="inlineStr">
        <is>
          <t>THBKK</t>
        </is>
      </c>
      <c r="V82" s="161" t="inlineStr">
        <is>
          <t>2026-10-08</t>
        </is>
      </c>
      <c r="W82" s="96" t="inlineStr">
        <is>
          <t>VNSGN</t>
        </is>
      </c>
      <c r="X82" s="161" t="inlineStr">
        <is>
          <t>2026-10-11</t>
        </is>
      </c>
      <c r="Y82" s="97" t="n"/>
      <c r="Z82" s="97" t="n"/>
      <c r="AA82" s="97" t="n"/>
      <c r="AB82" s="97" t="n"/>
      <c r="AC82" s="97" t="n"/>
      <c r="AD82" s="161" t="inlineStr">
        <is>
          <t>2026-10-06</t>
        </is>
      </c>
      <c r="AE82" s="174" t="inlineStr">
        <is>
          <t>1047</t>
        </is>
      </c>
      <c r="AF82" s="96" t="inlineStr">
        <is>
          <t>TBKK07</t>
        </is>
      </c>
      <c r="AG82" s="97" t="n"/>
      <c r="AH82" s="97" t="n"/>
      <c r="AI82" s="97" t="n"/>
      <c r="AJ82" s="96" t="inlineStr">
        <is>
          <t>TETRA PAK BINH DUONG JOINT STOCK CO</t>
        </is>
      </c>
      <c r="AK82" s="130" t="n">
        <v>0</v>
      </c>
    </row>
    <row r="83" ht="12" customHeight="1">
      <c r="A83" s="108" t="inlineStr">
        <is>
          <t>SKHU6455818</t>
        </is>
      </c>
      <c r="B83" s="108" t="inlineStr">
        <is>
          <t>BKK04</t>
        </is>
      </c>
      <c r="C83" s="108" t="inlineStr">
        <is>
          <t>IFV</t>
        </is>
      </c>
      <c r="D83" s="172" t="inlineStr">
        <is>
          <t>2026-10-02</t>
        </is>
      </c>
      <c r="E83" s="173" t="inlineStr">
        <is>
          <t>1621</t>
        </is>
      </c>
      <c r="F83" s="96" t="inlineStr">
        <is>
          <t>HASLS22260901036</t>
        </is>
      </c>
      <c r="G83" s="96" t="inlineStr">
        <is>
          <t>PISIA INTERFREIGHT CO.,LTD.</t>
        </is>
      </c>
      <c r="H83" s="111" t="inlineStr">
        <is>
          <t>45GP</t>
        </is>
      </c>
      <c r="I83" s="96" t="n"/>
      <c r="J83" s="96" t="inlineStr">
        <is>
          <t>Chuanchuen</t>
        </is>
      </c>
      <c r="K83" s="96" t="inlineStr">
        <is>
          <t>SD</t>
        </is>
      </c>
      <c r="L83" s="111" t="inlineStr">
        <is>
          <t>Full</t>
        </is>
      </c>
      <c r="M83" s="96" t="inlineStr">
        <is>
          <t>HASLS22260901036</t>
        </is>
      </c>
      <c r="N83" s="96" t="inlineStr">
        <is>
          <t xml:space="preserve">40Hx8 </t>
        </is>
      </c>
      <c r="O83" s="111" t="inlineStr">
        <is>
          <t>2024</t>
        </is>
      </c>
      <c r="P83" s="111" t="n"/>
      <c r="Q83" s="111" t="n"/>
      <c r="R83" s="96" t="n"/>
      <c r="S83" s="96" t="n"/>
      <c r="T83" s="96" t="inlineStr">
        <is>
          <t>BKK04</t>
        </is>
      </c>
      <c r="U83" s="96" t="inlineStr">
        <is>
          <t>THBKK</t>
        </is>
      </c>
      <c r="V83" s="161" t="inlineStr">
        <is>
          <t>2026-10-08</t>
        </is>
      </c>
      <c r="W83" s="96" t="inlineStr">
        <is>
          <t>VNSGN</t>
        </is>
      </c>
      <c r="X83" s="161" t="inlineStr">
        <is>
          <t>2026-10-11</t>
        </is>
      </c>
      <c r="Y83" s="97" t="n"/>
      <c r="Z83" s="97" t="n"/>
      <c r="AA83" s="97" t="n"/>
      <c r="AB83" s="97" t="n"/>
      <c r="AC83" s="97" t="n"/>
      <c r="AD83" s="161" t="inlineStr">
        <is>
          <t>2026-10-02</t>
        </is>
      </c>
      <c r="AE83" s="174" t="inlineStr">
        <is>
          <t>2027</t>
        </is>
      </c>
      <c r="AF83" s="96" t="inlineStr">
        <is>
          <t>TBKK07</t>
        </is>
      </c>
      <c r="AG83" s="97" t="n"/>
      <c r="AH83" s="97" t="n"/>
      <c r="AI83" s="97" t="n"/>
      <c r="AJ83" s="96" t="inlineStr">
        <is>
          <t>TO ORDER OF VIETNAM INTERNATIONAL</t>
        </is>
      </c>
      <c r="AK83" s="130" t="n">
        <v>0</v>
      </c>
    </row>
    <row r="84" ht="12" customHeight="1">
      <c r="A84" s="108" t="inlineStr">
        <is>
          <t>SKHU6480019</t>
        </is>
      </c>
      <c r="B84" s="108" t="inlineStr">
        <is>
          <t>BKK04</t>
        </is>
      </c>
      <c r="C84" s="108" t="inlineStr">
        <is>
          <t>IFV</t>
        </is>
      </c>
      <c r="D84" s="172" t="inlineStr">
        <is>
          <t>2026-10-04</t>
        </is>
      </c>
      <c r="E84" s="173" t="inlineStr">
        <is>
          <t>1312</t>
        </is>
      </c>
      <c r="F84" s="96" t="inlineStr">
        <is>
          <t>HASLS22260902210</t>
        </is>
      </c>
      <c r="G84" s="96" t="inlineStr">
        <is>
          <t>CAPRICORN LOGISTICS CO., LTD.</t>
        </is>
      </c>
      <c r="H84" s="111" t="inlineStr">
        <is>
          <t>45GP</t>
        </is>
      </c>
      <c r="I84" s="96" t="n"/>
      <c r="J84" s="96" t="inlineStr">
        <is>
          <t>Sirichai Prayochananon</t>
        </is>
      </c>
      <c r="K84" s="96" t="inlineStr">
        <is>
          <t>SD</t>
        </is>
      </c>
      <c r="L84" s="111" t="inlineStr">
        <is>
          <t>Full</t>
        </is>
      </c>
      <c r="M84" s="96" t="inlineStr">
        <is>
          <t>HASLS22260902210</t>
        </is>
      </c>
      <c r="N84" s="96" t="inlineStr">
        <is>
          <t xml:space="preserve">40Hx5 </t>
        </is>
      </c>
      <c r="O84" s="111" t="inlineStr">
        <is>
          <t>2024</t>
        </is>
      </c>
      <c r="P84" s="111" t="n"/>
      <c r="Q84" s="111" t="n"/>
      <c r="R84" s="96" t="n"/>
      <c r="S84" s="96" t="n"/>
      <c r="T84" s="96" t="inlineStr">
        <is>
          <t>BKK04</t>
        </is>
      </c>
      <c r="U84" s="96" t="inlineStr">
        <is>
          <t>THBKK</t>
        </is>
      </c>
      <c r="V84" s="161" t="inlineStr">
        <is>
          <t>2026-10-08</t>
        </is>
      </c>
      <c r="W84" s="96" t="inlineStr">
        <is>
          <t>VNSGN</t>
        </is>
      </c>
      <c r="X84" s="161" t="inlineStr">
        <is>
          <t>2026-10-11</t>
        </is>
      </c>
      <c r="Y84" s="97" t="n"/>
      <c r="Z84" s="97" t="n"/>
      <c r="AA84" s="97" t="n"/>
      <c r="AB84" s="97" t="n"/>
      <c r="AC84" s="97" t="n"/>
      <c r="AD84" s="161" t="inlineStr">
        <is>
          <t>2026-10-04</t>
        </is>
      </c>
      <c r="AE84" s="174" t="inlineStr">
        <is>
          <t>2005</t>
        </is>
      </c>
      <c r="AF84" s="96" t="inlineStr">
        <is>
          <t>TBKK42</t>
        </is>
      </c>
      <c r="AG84" s="97" t="n"/>
      <c r="AH84" s="97" t="n"/>
      <c r="AI84" s="97" t="n"/>
      <c r="AJ84" s="96" t="inlineStr">
        <is>
          <t>GIA NGUYEN INT'L LOGISTICS CO., LTD</t>
        </is>
      </c>
      <c r="AK84" s="130" t="n">
        <v>0</v>
      </c>
    </row>
    <row r="85" ht="12" customHeight="1">
      <c r="A85" s="108" t="inlineStr">
        <is>
          <t>SKHU6521062</t>
        </is>
      </c>
      <c r="B85" s="108" t="inlineStr">
        <is>
          <t>BKK04</t>
        </is>
      </c>
      <c r="C85" s="108" t="inlineStr">
        <is>
          <t>IFV</t>
        </is>
      </c>
      <c r="D85" s="172" t="inlineStr">
        <is>
          <t>2026-10-02</t>
        </is>
      </c>
      <c r="E85" s="173" t="inlineStr">
        <is>
          <t>2317</t>
        </is>
      </c>
      <c r="F85" s="96" t="inlineStr">
        <is>
          <t>HASLS22260902260</t>
        </is>
      </c>
      <c r="G85" s="96" t="inlineStr">
        <is>
          <t>CAPRICORN LOGISTICS CO., LTD.</t>
        </is>
      </c>
      <c r="H85" s="111" t="inlineStr">
        <is>
          <t>45GP</t>
        </is>
      </c>
      <c r="I85" s="96" t="n"/>
      <c r="J85" s="96" t="inlineStr">
        <is>
          <t>Sirichai Prayochananon</t>
        </is>
      </c>
      <c r="K85" s="96" t="inlineStr">
        <is>
          <t>SD</t>
        </is>
      </c>
      <c r="L85" s="111" t="inlineStr">
        <is>
          <t>Full</t>
        </is>
      </c>
      <c r="M85" s="96" t="inlineStr">
        <is>
          <t>HASLS22260902260</t>
        </is>
      </c>
      <c r="N85" s="96" t="inlineStr">
        <is>
          <t xml:space="preserve">40Hx9 </t>
        </is>
      </c>
      <c r="O85" s="111" t="inlineStr">
        <is>
          <t>2025</t>
        </is>
      </c>
      <c r="P85" s="111" t="n"/>
      <c r="Q85" s="111" t="n"/>
      <c r="R85" s="96" t="n"/>
      <c r="S85" s="96" t="n"/>
      <c r="T85" s="96" t="inlineStr">
        <is>
          <t>BKK04</t>
        </is>
      </c>
      <c r="U85" s="96" t="inlineStr">
        <is>
          <t>THBKK</t>
        </is>
      </c>
      <c r="V85" s="161" t="inlineStr">
        <is>
          <t>2026-10-08</t>
        </is>
      </c>
      <c r="W85" s="96" t="inlineStr">
        <is>
          <t>VNSGN</t>
        </is>
      </c>
      <c r="X85" s="161" t="inlineStr">
        <is>
          <t>2026-10-11</t>
        </is>
      </c>
      <c r="Y85" s="97" t="n"/>
      <c r="Z85" s="97" t="n"/>
      <c r="AA85" s="97" t="n"/>
      <c r="AB85" s="97" t="n"/>
      <c r="AC85" s="97" t="n"/>
      <c r="AD85" s="161" t="inlineStr">
        <is>
          <t>2026-10-04</t>
        </is>
      </c>
      <c r="AE85" s="174" t="inlineStr">
        <is>
          <t>2005</t>
        </is>
      </c>
      <c r="AF85" s="96" t="inlineStr">
        <is>
          <t>TBKK42</t>
        </is>
      </c>
      <c r="AG85" s="97" t="n"/>
      <c r="AH85" s="97" t="n"/>
      <c r="AI85" s="97" t="n"/>
      <c r="AJ85" s="96" t="inlineStr">
        <is>
          <t>BLUE OCEAN INTERNATIONAL</t>
        </is>
      </c>
      <c r="AK85" s="130" t="n">
        <v>0</v>
      </c>
    </row>
    <row r="86" ht="12" customHeight="1">
      <c r="A86" s="108" t="inlineStr">
        <is>
          <t>SKHU6557912</t>
        </is>
      </c>
      <c r="B86" s="108" t="inlineStr">
        <is>
          <t>BKK04</t>
        </is>
      </c>
      <c r="C86" s="108" t="inlineStr">
        <is>
          <t>IFV</t>
        </is>
      </c>
      <c r="D86" s="172" t="inlineStr">
        <is>
          <t>2026-10-02</t>
        </is>
      </c>
      <c r="E86" s="173" t="inlineStr">
        <is>
          <t>1505</t>
        </is>
      </c>
      <c r="F86" s="96" t="inlineStr">
        <is>
          <t>HASLS22260901036</t>
        </is>
      </c>
      <c r="G86" s="96" t="inlineStr">
        <is>
          <t>PISIA INTERFREIGHT CO.,LTD.</t>
        </is>
      </c>
      <c r="H86" s="111" t="inlineStr">
        <is>
          <t>45GP</t>
        </is>
      </c>
      <c r="I86" s="96" t="n"/>
      <c r="J86" s="96" t="inlineStr">
        <is>
          <t>Chuanchuen</t>
        </is>
      </c>
      <c r="K86" s="96" t="inlineStr">
        <is>
          <t>SD</t>
        </is>
      </c>
      <c r="L86" s="111" t="inlineStr">
        <is>
          <t>Full</t>
        </is>
      </c>
      <c r="M86" s="96" t="inlineStr">
        <is>
          <t>HASLS22260901036</t>
        </is>
      </c>
      <c r="N86" s="96" t="inlineStr">
        <is>
          <t xml:space="preserve">40Hx8 </t>
        </is>
      </c>
      <c r="O86" s="111" t="inlineStr">
        <is>
          <t>2024</t>
        </is>
      </c>
      <c r="P86" s="111" t="n"/>
      <c r="Q86" s="111" t="n"/>
      <c r="R86" s="96" t="n"/>
      <c r="S86" s="96" t="n"/>
      <c r="T86" s="96" t="inlineStr">
        <is>
          <t>BKK04</t>
        </is>
      </c>
      <c r="U86" s="96" t="inlineStr">
        <is>
          <t>THBKK</t>
        </is>
      </c>
      <c r="V86" s="161" t="inlineStr">
        <is>
          <t>2026-10-08</t>
        </is>
      </c>
      <c r="W86" s="96" t="inlineStr">
        <is>
          <t>VNSGN</t>
        </is>
      </c>
      <c r="X86" s="161" t="inlineStr">
        <is>
          <t>2026-10-11</t>
        </is>
      </c>
      <c r="Y86" s="97" t="n"/>
      <c r="Z86" s="97" t="n"/>
      <c r="AA86" s="97" t="n"/>
      <c r="AB86" s="97" t="n"/>
      <c r="AC86" s="97" t="n"/>
      <c r="AD86" s="161" t="inlineStr">
        <is>
          <t>2026-10-02</t>
        </is>
      </c>
      <c r="AE86" s="174" t="inlineStr">
        <is>
          <t>2027</t>
        </is>
      </c>
      <c r="AF86" s="96" t="inlineStr">
        <is>
          <t>TBKK07</t>
        </is>
      </c>
      <c r="AG86" s="97" t="n"/>
      <c r="AH86" s="97" t="n"/>
      <c r="AI86" s="97" t="n"/>
      <c r="AJ86" s="96" t="inlineStr">
        <is>
          <t>TO ORDER OF VIETNAM INTERNATIONAL</t>
        </is>
      </c>
      <c r="AK86" s="130" t="n">
        <v>0</v>
      </c>
    </row>
    <row r="87" ht="12" customHeight="1">
      <c r="A87" s="108" t="inlineStr">
        <is>
          <t>SKHU6580086</t>
        </is>
      </c>
      <c r="B87" s="108" t="inlineStr">
        <is>
          <t>BKK04</t>
        </is>
      </c>
      <c r="C87" s="108" t="inlineStr">
        <is>
          <t>IFV</t>
        </is>
      </c>
      <c r="D87" s="172" t="inlineStr">
        <is>
          <t>2026-10-05</t>
        </is>
      </c>
      <c r="E87" s="173" t="inlineStr">
        <is>
          <t>0135</t>
        </is>
      </c>
      <c r="F87" s="96" t="inlineStr">
        <is>
          <t>HASLS22260901645</t>
        </is>
      </c>
      <c r="G87" s="96" t="inlineStr">
        <is>
          <t>SDS-ACUTECH CO., LTD.</t>
        </is>
      </c>
      <c r="H87" s="111" t="inlineStr">
        <is>
          <t>45GP</t>
        </is>
      </c>
      <c r="I87" s="96" t="n"/>
      <c r="J87" s="96" t="inlineStr">
        <is>
          <t>Chuanchuen</t>
        </is>
      </c>
      <c r="K87" s="96" t="inlineStr">
        <is>
          <t>SD</t>
        </is>
      </c>
      <c r="L87" s="111" t="inlineStr">
        <is>
          <t>Full</t>
        </is>
      </c>
      <c r="M87" s="96" t="inlineStr">
        <is>
          <t>HASLS22260901645</t>
        </is>
      </c>
      <c r="N87" s="96" t="inlineStr">
        <is>
          <t xml:space="preserve">40Hx1 </t>
        </is>
      </c>
      <c r="O87" s="111" t="inlineStr">
        <is>
          <t>2025</t>
        </is>
      </c>
      <c r="P87" s="111" t="n"/>
      <c r="Q87" s="111" t="n"/>
      <c r="R87" s="96" t="n"/>
      <c r="S87" s="96" t="n"/>
      <c r="T87" s="96" t="inlineStr">
        <is>
          <t>BKK04</t>
        </is>
      </c>
      <c r="U87" s="96" t="inlineStr">
        <is>
          <t>THBKK</t>
        </is>
      </c>
      <c r="V87" s="161" t="inlineStr">
        <is>
          <t>2026-10-08</t>
        </is>
      </c>
      <c r="W87" s="96" t="inlineStr">
        <is>
          <t>VNSGN</t>
        </is>
      </c>
      <c r="X87" s="161" t="inlineStr">
        <is>
          <t>2026-10-11</t>
        </is>
      </c>
      <c r="Y87" s="97" t="n"/>
      <c r="Z87" s="97" t="n"/>
      <c r="AA87" s="97" t="n"/>
      <c r="AB87" s="97" t="n"/>
      <c r="AC87" s="97" t="n"/>
      <c r="AD87" s="161" t="inlineStr">
        <is>
          <t>2026-10-05</t>
        </is>
      </c>
      <c r="AE87" s="174" t="inlineStr">
        <is>
          <t>1045</t>
        </is>
      </c>
      <c r="AF87" s="96" t="inlineStr">
        <is>
          <t>TBKK07</t>
        </is>
      </c>
      <c r="AG87" s="97" t="n"/>
      <c r="AH87" s="97" t="n"/>
      <c r="AI87" s="97" t="n"/>
      <c r="AJ87" s="96" t="inlineStr">
        <is>
          <t>SAMSUNG ELECTRONICS HCMC CE COMPLEX</t>
        </is>
      </c>
      <c r="AK87" s="130" t="n">
        <v>0</v>
      </c>
    </row>
    <row r="88" ht="12" customHeight="1">
      <c r="A88" s="108" t="inlineStr">
        <is>
          <t>SKHU6582978</t>
        </is>
      </c>
      <c r="B88" s="108" t="inlineStr">
        <is>
          <t>BKK04</t>
        </is>
      </c>
      <c r="C88" s="108" t="inlineStr">
        <is>
          <t>IFV</t>
        </is>
      </c>
      <c r="D88" s="172" t="inlineStr">
        <is>
          <t>2026-10-04</t>
        </is>
      </c>
      <c r="E88" s="173" t="inlineStr">
        <is>
          <t>2205</t>
        </is>
      </c>
      <c r="F88" s="96" t="inlineStr">
        <is>
          <t>HASLS22260900586</t>
        </is>
      </c>
      <c r="G88" s="96" t="inlineStr">
        <is>
          <t>BIRLA CARBON (THAILAND) PUBLIC COMPANY LIMITED</t>
        </is>
      </c>
      <c r="H88" s="111" t="inlineStr">
        <is>
          <t>45GP</t>
        </is>
      </c>
      <c r="I88" s="96" t="n"/>
      <c r="J88" s="96" t="inlineStr">
        <is>
          <t>Chuanchuen</t>
        </is>
      </c>
      <c r="K88" s="96" t="inlineStr">
        <is>
          <t>SD</t>
        </is>
      </c>
      <c r="L88" s="111" t="inlineStr">
        <is>
          <t>Full</t>
        </is>
      </c>
      <c r="M88" s="96" t="inlineStr">
        <is>
          <t>HASLS22260900586</t>
        </is>
      </c>
      <c r="N88" s="96" t="inlineStr">
        <is>
          <t xml:space="preserve">40Hx10 </t>
        </is>
      </c>
      <c r="O88" s="111" t="inlineStr">
        <is>
          <t>2025</t>
        </is>
      </c>
      <c r="P88" s="111" t="n"/>
      <c r="Q88" s="111" t="n"/>
      <c r="R88" s="96" t="n"/>
      <c r="S88" s="96" t="n"/>
      <c r="T88" s="96" t="inlineStr">
        <is>
          <t>BKK04</t>
        </is>
      </c>
      <c r="U88" s="96" t="inlineStr">
        <is>
          <t>THBKK</t>
        </is>
      </c>
      <c r="V88" s="161" t="inlineStr">
        <is>
          <t>2026-10-08</t>
        </is>
      </c>
      <c r="W88" s="96" t="inlineStr">
        <is>
          <t>VNSGN</t>
        </is>
      </c>
      <c r="X88" s="161" t="inlineStr">
        <is>
          <t>2026-10-11</t>
        </is>
      </c>
      <c r="Y88" s="97" t="n"/>
      <c r="Z88" s="97" t="n"/>
      <c r="AA88" s="97" t="n"/>
      <c r="AB88" s="97" t="n"/>
      <c r="AC88" s="97" t="n"/>
      <c r="AD88" s="161" t="inlineStr">
        <is>
          <t>2026-10-05</t>
        </is>
      </c>
      <c r="AE88" s="174" t="inlineStr">
        <is>
          <t>1047</t>
        </is>
      </c>
      <c r="AF88" s="96" t="inlineStr">
        <is>
          <t>TBKK07</t>
        </is>
      </c>
      <c r="AG88" s="97" t="n"/>
      <c r="AH88" s="97" t="n"/>
      <c r="AI88" s="97" t="n"/>
      <c r="AJ88" s="96" t="inlineStr">
        <is>
          <t>JINYU (VIETNAM) TIRE CO.,LTD</t>
        </is>
      </c>
      <c r="AK88" s="130" t="n">
        <v>0</v>
      </c>
    </row>
    <row r="89" ht="12" customHeight="1">
      <c r="A89" s="108" t="inlineStr">
        <is>
          <t>SKHU8304894</t>
        </is>
      </c>
      <c r="B89" s="108" t="inlineStr">
        <is>
          <t>BKK04</t>
        </is>
      </c>
      <c r="C89" s="108" t="inlineStr">
        <is>
          <t>IFV</t>
        </is>
      </c>
      <c r="D89" s="172" t="inlineStr">
        <is>
          <t>2026-10-03</t>
        </is>
      </c>
      <c r="E89" s="173" t="inlineStr">
        <is>
          <t>1448</t>
        </is>
      </c>
      <c r="F89" s="96" t="inlineStr">
        <is>
          <t>HASLS22260801164</t>
        </is>
      </c>
      <c r="G89" s="96" t="inlineStr">
        <is>
          <t>MAXTOP LOGISTICS (THAILAND) CO., LTD.</t>
        </is>
      </c>
      <c r="H89" s="111" t="inlineStr">
        <is>
          <t>45GP</t>
        </is>
      </c>
      <c r="I89" s="96" t="n"/>
      <c r="J89" s="96" t="inlineStr">
        <is>
          <t>Chuanchuen</t>
        </is>
      </c>
      <c r="K89" s="96" t="inlineStr">
        <is>
          <t>SD</t>
        </is>
      </c>
      <c r="L89" s="111" t="inlineStr">
        <is>
          <t>Full</t>
        </is>
      </c>
      <c r="M89" s="96" t="inlineStr">
        <is>
          <t>HASLS22260801164</t>
        </is>
      </c>
      <c r="N89" s="96" t="inlineStr">
        <is>
          <t xml:space="preserve">40Hx3 </t>
        </is>
      </c>
      <c r="O89" s="111" t="inlineStr">
        <is>
          <t>2003</t>
        </is>
      </c>
      <c r="P89" s="111" t="n"/>
      <c r="Q89" s="111" t="n"/>
      <c r="R89" s="96" t="n"/>
      <c r="S89" s="96" t="n"/>
      <c r="T89" s="96" t="inlineStr">
        <is>
          <t>BKK04</t>
        </is>
      </c>
      <c r="U89" s="96" t="inlineStr">
        <is>
          <t>THBKK</t>
        </is>
      </c>
      <c r="V89" s="161" t="inlineStr">
        <is>
          <t>2026-10-08</t>
        </is>
      </c>
      <c r="W89" s="96" t="inlineStr">
        <is>
          <t>KRPTK</t>
        </is>
      </c>
      <c r="X89" s="161" t="inlineStr">
        <is>
          <t>2026-10-17</t>
        </is>
      </c>
      <c r="Y89" s="97" t="n"/>
      <c r="Z89" s="97" t="n"/>
      <c r="AA89" s="97" t="n"/>
      <c r="AB89" s="97" t="n"/>
      <c r="AC89" s="97" t="n"/>
      <c r="AD89" s="161" t="inlineStr">
        <is>
          <t>2026-10-05</t>
        </is>
      </c>
      <c r="AE89" s="174" t="inlineStr">
        <is>
          <t>1213</t>
        </is>
      </c>
      <c r="AF89" s="96" t="inlineStr">
        <is>
          <t>TBKK07</t>
        </is>
      </c>
      <c r="AG89" s="97" t="n"/>
      <c r="AH89" s="97" t="n"/>
      <c r="AI89" s="97" t="n"/>
      <c r="AJ89" s="96" t="inlineStr">
        <is>
          <t>SUNGRIM GLOBAL CO.,LTD.</t>
        </is>
      </c>
      <c r="AK89" s="130" t="n">
        <v>0</v>
      </c>
    </row>
    <row r="90" ht="12" customHeight="1">
      <c r="A90" s="108" t="inlineStr">
        <is>
          <t>SKHU8414572</t>
        </is>
      </c>
      <c r="B90" s="108" t="inlineStr">
        <is>
          <t>BKK04</t>
        </is>
      </c>
      <c r="C90" s="108" t="inlineStr">
        <is>
          <t>IFV</t>
        </is>
      </c>
      <c r="D90" s="172" t="inlineStr">
        <is>
          <t>2026-10-04</t>
        </is>
      </c>
      <c r="E90" s="173" t="inlineStr">
        <is>
          <t>1229</t>
        </is>
      </c>
      <c r="F90" s="96" t="inlineStr">
        <is>
          <t>HASLS22260902260</t>
        </is>
      </c>
      <c r="G90" s="96" t="inlineStr">
        <is>
          <t>CAPRICORN LOGISTICS CO., LTD.</t>
        </is>
      </c>
      <c r="H90" s="111" t="inlineStr">
        <is>
          <t>45GP</t>
        </is>
      </c>
      <c r="I90" s="96" t="n"/>
      <c r="J90" s="96" t="inlineStr">
        <is>
          <t>Sirichai Prayochananon</t>
        </is>
      </c>
      <c r="K90" s="96" t="inlineStr">
        <is>
          <t>SD</t>
        </is>
      </c>
      <c r="L90" s="111" t="inlineStr">
        <is>
          <t>Full</t>
        </is>
      </c>
      <c r="M90" s="96" t="inlineStr">
        <is>
          <t>HASLS22260902260</t>
        </is>
      </c>
      <c r="N90" s="96" t="inlineStr">
        <is>
          <t xml:space="preserve">40Hx9 </t>
        </is>
      </c>
      <c r="O90" s="111" t="inlineStr">
        <is>
          <t>2024</t>
        </is>
      </c>
      <c r="P90" s="111" t="n"/>
      <c r="Q90" s="111" t="n"/>
      <c r="R90" s="96" t="n"/>
      <c r="S90" s="96" t="n"/>
      <c r="T90" s="96" t="inlineStr">
        <is>
          <t>BKK04</t>
        </is>
      </c>
      <c r="U90" s="96" t="inlineStr">
        <is>
          <t>THBKK</t>
        </is>
      </c>
      <c r="V90" s="161" t="inlineStr">
        <is>
          <t>2026-10-08</t>
        </is>
      </c>
      <c r="W90" s="96" t="inlineStr">
        <is>
          <t>VNSGN</t>
        </is>
      </c>
      <c r="X90" s="161" t="inlineStr">
        <is>
          <t>2026-10-11</t>
        </is>
      </c>
      <c r="Y90" s="97" t="n"/>
      <c r="Z90" s="97" t="n"/>
      <c r="AA90" s="97" t="n"/>
      <c r="AB90" s="97" t="n"/>
      <c r="AC90" s="97" t="n"/>
      <c r="AD90" s="161" t="inlineStr">
        <is>
          <t>2026-10-04</t>
        </is>
      </c>
      <c r="AE90" s="174" t="inlineStr">
        <is>
          <t>2005</t>
        </is>
      </c>
      <c r="AF90" s="96" t="inlineStr">
        <is>
          <t>TBKK42</t>
        </is>
      </c>
      <c r="AG90" s="97" t="n"/>
      <c r="AH90" s="97" t="n"/>
      <c r="AI90" s="97" t="n"/>
      <c r="AJ90" s="96" t="inlineStr">
        <is>
          <t>BLUE OCEAN INTERNATIONAL</t>
        </is>
      </c>
      <c r="AK90" s="130" t="n">
        <v>0</v>
      </c>
    </row>
    <row r="91" ht="12" customHeight="1">
      <c r="A91" s="108" t="inlineStr">
        <is>
          <t>SKHU8705670</t>
        </is>
      </c>
      <c r="B91" s="108" t="inlineStr">
        <is>
          <t>BKK04</t>
        </is>
      </c>
      <c r="C91" s="108" t="inlineStr">
        <is>
          <t>IFV</t>
        </is>
      </c>
      <c r="D91" s="172" t="inlineStr">
        <is>
          <t>2026-10-01</t>
        </is>
      </c>
      <c r="E91" s="173" t="inlineStr">
        <is>
          <t>0326</t>
        </is>
      </c>
      <c r="F91" s="96" t="inlineStr">
        <is>
          <t>HASLS22260802510</t>
        </is>
      </c>
      <c r="G91" s="96" t="inlineStr">
        <is>
          <t>BEE LOGISTICS (THAILAND) CO., LTD.</t>
        </is>
      </c>
      <c r="H91" s="111" t="inlineStr">
        <is>
          <t>45GP</t>
        </is>
      </c>
      <c r="I91" s="96" t="n"/>
      <c r="J91" s="96" t="inlineStr">
        <is>
          <t>Chuanchuen</t>
        </is>
      </c>
      <c r="K91" s="96" t="inlineStr">
        <is>
          <t>SD</t>
        </is>
      </c>
      <c r="L91" s="111" t="inlineStr">
        <is>
          <t>Full</t>
        </is>
      </c>
      <c r="M91" s="96" t="inlineStr">
        <is>
          <t>HASLS22260802510</t>
        </is>
      </c>
      <c r="N91" s="96" t="inlineStr">
        <is>
          <t xml:space="preserve">40Hx1 </t>
        </is>
      </c>
      <c r="O91" s="111" t="inlineStr">
        <is>
          <t>2007</t>
        </is>
      </c>
      <c r="P91" s="111" t="n"/>
      <c r="Q91" s="111" t="n"/>
      <c r="R91" s="96" t="n"/>
      <c r="S91" s="96" t="n"/>
      <c r="T91" s="96" t="inlineStr">
        <is>
          <t>BKK04</t>
        </is>
      </c>
      <c r="U91" s="96" t="inlineStr">
        <is>
          <t>THBKK</t>
        </is>
      </c>
      <c r="V91" s="161" t="inlineStr">
        <is>
          <t>2026-10-08</t>
        </is>
      </c>
      <c r="W91" s="96" t="inlineStr">
        <is>
          <t>VNSGN</t>
        </is>
      </c>
      <c r="X91" s="161" t="inlineStr">
        <is>
          <t>2026-10-11</t>
        </is>
      </c>
      <c r="Y91" s="97" t="n"/>
      <c r="Z91" s="97" t="n"/>
      <c r="AA91" s="97" t="n"/>
      <c r="AB91" s="97" t="n"/>
      <c r="AC91" s="97" t="n"/>
      <c r="AD91" s="161" t="inlineStr">
        <is>
          <t>2026-10-05</t>
        </is>
      </c>
      <c r="AE91" s="174" t="inlineStr">
        <is>
          <t>1213</t>
        </is>
      </c>
      <c r="AF91" s="96" t="inlineStr">
        <is>
          <t>TBKK07</t>
        </is>
      </c>
      <c r="AG91" s="97" t="n"/>
      <c r="AH91" s="97" t="n"/>
      <c r="AI91" s="97" t="n"/>
      <c r="AJ91" s="96" t="inlineStr">
        <is>
          <t>BEE LOGISTICS CORPORATION -</t>
        </is>
      </c>
      <c r="AK91" s="130" t="n">
        <v>0</v>
      </c>
    </row>
    <row r="92" ht="12" customHeight="1">
      <c r="A92" s="108" t="inlineStr">
        <is>
          <t>SKHU8902089</t>
        </is>
      </c>
      <c r="B92" s="108" t="inlineStr">
        <is>
          <t>BKK04</t>
        </is>
      </c>
      <c r="C92" s="108" t="inlineStr">
        <is>
          <t>IFV</t>
        </is>
      </c>
      <c r="D92" s="172" t="inlineStr">
        <is>
          <t>2026-10-03</t>
        </is>
      </c>
      <c r="E92" s="173" t="inlineStr">
        <is>
          <t>1639</t>
        </is>
      </c>
      <c r="F92" s="96" t="inlineStr">
        <is>
          <t>HASLS22260901690</t>
        </is>
      </c>
      <c r="G92" s="96" t="inlineStr">
        <is>
          <t>BEE LOGISTICS (THAILAND) CO., LTD.</t>
        </is>
      </c>
      <c r="H92" s="111" t="inlineStr">
        <is>
          <t>45GP</t>
        </is>
      </c>
      <c r="I92" s="96" t="n"/>
      <c r="J92" s="96" t="inlineStr">
        <is>
          <t>Sirichai Prayochananon</t>
        </is>
      </c>
      <c r="K92" s="96" t="inlineStr">
        <is>
          <t>SD</t>
        </is>
      </c>
      <c r="L92" s="111" t="inlineStr">
        <is>
          <t>Full</t>
        </is>
      </c>
      <c r="M92" s="96" t="inlineStr">
        <is>
          <t>HASLS22260901690</t>
        </is>
      </c>
      <c r="N92" s="96" t="inlineStr">
        <is>
          <t xml:space="preserve">40Hx2 </t>
        </is>
      </c>
      <c r="O92" s="111" t="inlineStr">
        <is>
          <t>2019</t>
        </is>
      </c>
      <c r="P92" s="111" t="n"/>
      <c r="Q92" s="111" t="n"/>
      <c r="R92" s="96" t="n"/>
      <c r="S92" s="96" t="n"/>
      <c r="T92" s="96" t="inlineStr">
        <is>
          <t>BKK04</t>
        </is>
      </c>
      <c r="U92" s="96" t="inlineStr">
        <is>
          <t>THBKK</t>
        </is>
      </c>
      <c r="V92" s="161" t="inlineStr">
        <is>
          <t>2026-10-08</t>
        </is>
      </c>
      <c r="W92" s="96" t="inlineStr">
        <is>
          <t>VNSGN</t>
        </is>
      </c>
      <c r="X92" s="161" t="inlineStr">
        <is>
          <t>2026-10-11</t>
        </is>
      </c>
      <c r="Y92" s="97" t="n"/>
      <c r="Z92" s="97" t="n"/>
      <c r="AA92" s="97" t="n"/>
      <c r="AB92" s="97" t="n"/>
      <c r="AC92" s="97" t="n"/>
      <c r="AD92" s="161" t="inlineStr">
        <is>
          <t>2026-10-04</t>
        </is>
      </c>
      <c r="AE92" s="174" t="inlineStr">
        <is>
          <t>2005</t>
        </is>
      </c>
      <c r="AF92" s="96" t="inlineStr">
        <is>
          <t>TBKK42</t>
        </is>
      </c>
      <c r="AG92" s="97" t="n"/>
      <c r="AH92" s="97" t="n"/>
      <c r="AI92" s="97" t="n"/>
      <c r="AJ92" s="96" t="inlineStr">
        <is>
          <t>BOND GLOBAL LOGISTICS JOINT STOCK</t>
        </is>
      </c>
      <c r="AK92" s="130" t="n">
        <v>0</v>
      </c>
    </row>
    <row r="93" ht="12" customHeight="1">
      <c r="A93" s="108" t="inlineStr">
        <is>
          <t>SKHU9110949</t>
        </is>
      </c>
      <c r="B93" s="108" t="inlineStr">
        <is>
          <t>BKK04</t>
        </is>
      </c>
      <c r="C93" s="108" t="inlineStr">
        <is>
          <t>IFV</t>
        </is>
      </c>
      <c r="D93" s="172" t="inlineStr">
        <is>
          <t>2026-10-04</t>
        </is>
      </c>
      <c r="E93" s="173" t="inlineStr">
        <is>
          <t>1356</t>
        </is>
      </c>
      <c r="F93" s="96" t="inlineStr">
        <is>
          <t>HASLS22260902260</t>
        </is>
      </c>
      <c r="G93" s="96" t="inlineStr">
        <is>
          <t>CAPRICORN LOGISTICS CO., LTD.</t>
        </is>
      </c>
      <c r="H93" s="111" t="inlineStr">
        <is>
          <t>45GP</t>
        </is>
      </c>
      <c r="I93" s="96" t="n"/>
      <c r="J93" s="96" t="inlineStr">
        <is>
          <t>Sirichai Prayochananon</t>
        </is>
      </c>
      <c r="K93" s="96" t="inlineStr">
        <is>
          <t>SD</t>
        </is>
      </c>
      <c r="L93" s="111" t="inlineStr">
        <is>
          <t>Full</t>
        </is>
      </c>
      <c r="M93" s="96" t="inlineStr">
        <is>
          <t>HASLS22260902260</t>
        </is>
      </c>
      <c r="N93" s="96" t="inlineStr">
        <is>
          <t xml:space="preserve">40Hx9 </t>
        </is>
      </c>
      <c r="O93" s="111" t="inlineStr">
        <is>
          <t>2011</t>
        </is>
      </c>
      <c r="P93" s="111" t="n"/>
      <c r="Q93" s="111" t="n"/>
      <c r="R93" s="96" t="n"/>
      <c r="S93" s="96" t="n"/>
      <c r="T93" s="96" t="inlineStr">
        <is>
          <t>BKK04</t>
        </is>
      </c>
      <c r="U93" s="96" t="inlineStr">
        <is>
          <t>THBKK</t>
        </is>
      </c>
      <c r="V93" s="161" t="inlineStr">
        <is>
          <t>2026-10-08</t>
        </is>
      </c>
      <c r="W93" s="96" t="inlineStr">
        <is>
          <t>VNSGN</t>
        </is>
      </c>
      <c r="X93" s="161" t="inlineStr">
        <is>
          <t>2026-10-11</t>
        </is>
      </c>
      <c r="Y93" s="97" t="n"/>
      <c r="Z93" s="97" t="n"/>
      <c r="AA93" s="97" t="n"/>
      <c r="AB93" s="97" t="n"/>
      <c r="AC93" s="97" t="n"/>
      <c r="AD93" s="161" t="inlineStr">
        <is>
          <t>2026-10-04</t>
        </is>
      </c>
      <c r="AE93" s="174" t="inlineStr">
        <is>
          <t>2005</t>
        </is>
      </c>
      <c r="AF93" s="96" t="inlineStr">
        <is>
          <t>TBKK42</t>
        </is>
      </c>
      <c r="AG93" s="97" t="n"/>
      <c r="AH93" s="97" t="n"/>
      <c r="AI93" s="97" t="n"/>
      <c r="AJ93" s="96" t="inlineStr">
        <is>
          <t>BLUE OCEAN INTERNATIONAL</t>
        </is>
      </c>
      <c r="AK93" s="130" t="n">
        <v>0</v>
      </c>
    </row>
    <row r="94" ht="12" customHeight="1">
      <c r="A94" s="108" t="inlineStr">
        <is>
          <t>SKHU9415336</t>
        </is>
      </c>
      <c r="B94" s="108" t="inlineStr">
        <is>
          <t>BKK04</t>
        </is>
      </c>
      <c r="C94" s="108" t="inlineStr">
        <is>
          <t>IFV</t>
        </is>
      </c>
      <c r="D94" s="172" t="inlineStr">
        <is>
          <t>2026-10-02</t>
        </is>
      </c>
      <c r="E94" s="173" t="inlineStr">
        <is>
          <t>2124</t>
        </is>
      </c>
      <c r="F94" s="96" t="inlineStr">
        <is>
          <t>HASLS22260802437</t>
        </is>
      </c>
      <c r="G94" s="96" t="inlineStr">
        <is>
          <t>WOODWORKS THAI CO., LTD. (1980)</t>
        </is>
      </c>
      <c r="H94" s="111" t="inlineStr">
        <is>
          <t>45GP</t>
        </is>
      </c>
      <c r="I94" s="96" t="n"/>
      <c r="J94" s="96" t="inlineStr">
        <is>
          <t>Sirichai Prayochananon</t>
        </is>
      </c>
      <c r="K94" s="96" t="inlineStr">
        <is>
          <t>SD</t>
        </is>
      </c>
      <c r="L94" s="111" t="inlineStr">
        <is>
          <t>Full</t>
        </is>
      </c>
      <c r="M94" s="96" t="inlineStr">
        <is>
          <t>HASLS22260802437</t>
        </is>
      </c>
      <c r="N94" s="96" t="inlineStr">
        <is>
          <t xml:space="preserve">40Hx1 </t>
        </is>
      </c>
      <c r="O94" s="111" t="inlineStr">
        <is>
          <t>2014</t>
        </is>
      </c>
      <c r="P94" s="111" t="n"/>
      <c r="Q94" s="111" t="n"/>
      <c r="R94" s="96" t="n"/>
      <c r="S94" s="96" t="n"/>
      <c r="T94" s="96" t="inlineStr">
        <is>
          <t>BKK04</t>
        </is>
      </c>
      <c r="U94" s="96" t="inlineStr">
        <is>
          <t>THBKK</t>
        </is>
      </c>
      <c r="V94" s="161" t="inlineStr">
        <is>
          <t>2026-10-08</t>
        </is>
      </c>
      <c r="W94" s="96" t="inlineStr">
        <is>
          <t>JPIMI</t>
        </is>
      </c>
      <c r="X94" s="161" t="inlineStr">
        <is>
          <t>2026-10-19</t>
        </is>
      </c>
      <c r="Y94" s="97" t="n"/>
      <c r="Z94" s="97" t="n"/>
      <c r="AA94" s="97" t="n"/>
      <c r="AB94" s="97" t="n"/>
      <c r="AC94" s="97" t="n"/>
      <c r="AD94" s="161" t="inlineStr">
        <is>
          <t>2026-10-04</t>
        </is>
      </c>
      <c r="AE94" s="174" t="inlineStr">
        <is>
          <t>2005</t>
        </is>
      </c>
      <c r="AF94" s="96" t="inlineStr">
        <is>
          <t>TBKK42</t>
        </is>
      </c>
      <c r="AG94" s="97" t="n"/>
      <c r="AH94" s="97" t="n"/>
      <c r="AI94" s="97" t="n"/>
      <c r="AJ94" s="96" t="inlineStr">
        <is>
          <t>DAISHO SANGYO CORPORATION</t>
        </is>
      </c>
      <c r="AK94" s="130" t="n">
        <v>0</v>
      </c>
    </row>
    <row r="95" ht="12" customHeight="1">
      <c r="A95" s="108" t="inlineStr">
        <is>
          <t>SKHU9507746</t>
        </is>
      </c>
      <c r="B95" s="108" t="inlineStr">
        <is>
          <t>BKK04</t>
        </is>
      </c>
      <c r="C95" s="108" t="inlineStr">
        <is>
          <t>IFV</t>
        </is>
      </c>
      <c r="D95" s="172" t="inlineStr">
        <is>
          <t>2026-10-03</t>
        </is>
      </c>
      <c r="E95" s="173" t="inlineStr">
        <is>
          <t>0328</t>
        </is>
      </c>
      <c r="F95" s="96" t="inlineStr">
        <is>
          <t>HASLS22260901647</t>
        </is>
      </c>
      <c r="G95" s="96" t="inlineStr">
        <is>
          <t>SDS-ACUTECH CO., LTD.</t>
        </is>
      </c>
      <c r="H95" s="111" t="inlineStr">
        <is>
          <t>45GP</t>
        </is>
      </c>
      <c r="I95" s="96" t="n"/>
      <c r="J95" s="96" t="inlineStr">
        <is>
          <t>Sirichai Prayochananon</t>
        </is>
      </c>
      <c r="K95" s="96" t="inlineStr">
        <is>
          <t>SD</t>
        </is>
      </c>
      <c r="L95" s="111" t="inlineStr">
        <is>
          <t>Full</t>
        </is>
      </c>
      <c r="M95" s="96" t="inlineStr">
        <is>
          <t>HASLS22260901647</t>
        </is>
      </c>
      <c r="N95" s="96" t="inlineStr">
        <is>
          <t xml:space="preserve">40Hx1 </t>
        </is>
      </c>
      <c r="O95" s="111" t="inlineStr">
        <is>
          <t>2015</t>
        </is>
      </c>
      <c r="P95" s="111" t="n"/>
      <c r="Q95" s="111" t="n"/>
      <c r="R95" s="96" t="n"/>
      <c r="S95" s="96" t="n"/>
      <c r="T95" s="96" t="inlineStr">
        <is>
          <t>BKK04</t>
        </is>
      </c>
      <c r="U95" s="96" t="inlineStr">
        <is>
          <t>THBKK</t>
        </is>
      </c>
      <c r="V95" s="161" t="inlineStr">
        <is>
          <t>2026-10-08</t>
        </is>
      </c>
      <c r="W95" s="96" t="inlineStr">
        <is>
          <t>VNSGN</t>
        </is>
      </c>
      <c r="X95" s="161" t="inlineStr">
        <is>
          <t>2026-10-11</t>
        </is>
      </c>
      <c r="Y95" s="97" t="n"/>
      <c r="Z95" s="97" t="n"/>
      <c r="AA95" s="97" t="n"/>
      <c r="AB95" s="97" t="n"/>
      <c r="AC95" s="97" t="n"/>
      <c r="AD95" s="161" t="inlineStr">
        <is>
          <t>2026-10-04</t>
        </is>
      </c>
      <c r="AE95" s="174" t="inlineStr">
        <is>
          <t>2005</t>
        </is>
      </c>
      <c r="AF95" s="96" t="inlineStr">
        <is>
          <t>TBKK42</t>
        </is>
      </c>
      <c r="AG95" s="97" t="n"/>
      <c r="AH95" s="97" t="n"/>
      <c r="AI95" s="97" t="n"/>
      <c r="AJ95" s="96" t="inlineStr">
        <is>
          <t>SAMSUNG ELECTRONICS HCMC CE COMPLEX</t>
        </is>
      </c>
      <c r="AK95" s="130" t="n">
        <v>0</v>
      </c>
    </row>
    <row r="96" ht="12" customHeight="1">
      <c r="A96" s="108" t="inlineStr">
        <is>
          <t>SKHU9626133</t>
        </is>
      </c>
      <c r="B96" s="108" t="inlineStr">
        <is>
          <t>BKK04</t>
        </is>
      </c>
      <c r="C96" s="108" t="inlineStr">
        <is>
          <t>IFV</t>
        </is>
      </c>
      <c r="D96" s="172" t="inlineStr">
        <is>
          <t>2026-10-05</t>
        </is>
      </c>
      <c r="E96" s="173" t="inlineStr">
        <is>
          <t>1607</t>
        </is>
      </c>
      <c r="F96" s="96" t="inlineStr">
        <is>
          <t>HASLS22260901585</t>
        </is>
      </c>
      <c r="G96" s="96" t="inlineStr">
        <is>
          <t>H &amp; FRIENDS GTL (THAILAND) CO., LTD.</t>
        </is>
      </c>
      <c r="H96" s="111" t="inlineStr">
        <is>
          <t>45GP</t>
        </is>
      </c>
      <c r="I96" s="96" t="n"/>
      <c r="J96" s="96" t="inlineStr">
        <is>
          <t>Chuanchuen</t>
        </is>
      </c>
      <c r="K96" s="96" t="inlineStr">
        <is>
          <t>SD</t>
        </is>
      </c>
      <c r="L96" s="111" t="inlineStr">
        <is>
          <t>Full</t>
        </is>
      </c>
      <c r="M96" s="96" t="inlineStr">
        <is>
          <t>HASLS22260901585</t>
        </is>
      </c>
      <c r="N96" s="96" t="inlineStr">
        <is>
          <t xml:space="preserve">40Hx1 </t>
        </is>
      </c>
      <c r="O96" s="111" t="inlineStr">
        <is>
          <t>2016</t>
        </is>
      </c>
      <c r="P96" s="111" t="n"/>
      <c r="Q96" s="111" t="n"/>
      <c r="R96" s="96" t="n"/>
      <c r="S96" s="96" t="n"/>
      <c r="T96" s="96" t="inlineStr">
        <is>
          <t>BKK04</t>
        </is>
      </c>
      <c r="U96" s="96" t="inlineStr">
        <is>
          <t>THBKK</t>
        </is>
      </c>
      <c r="V96" s="161" t="inlineStr">
        <is>
          <t>2026-10-08</t>
        </is>
      </c>
      <c r="W96" s="96" t="inlineStr">
        <is>
          <t>KRPUS</t>
        </is>
      </c>
      <c r="X96" s="161" t="inlineStr">
        <is>
          <t>2026-10-19</t>
        </is>
      </c>
      <c r="Y96" s="97" t="n"/>
      <c r="Z96" s="97" t="n"/>
      <c r="AA96" s="97" t="n"/>
      <c r="AB96" s="97" t="n"/>
      <c r="AC96" s="97" t="n"/>
      <c r="AD96" s="161" t="inlineStr">
        <is>
          <t>2026-10-06</t>
        </is>
      </c>
      <c r="AE96" s="174" t="inlineStr">
        <is>
          <t>1044</t>
        </is>
      </c>
      <c r="AF96" s="96" t="inlineStr">
        <is>
          <t>TBKK07</t>
        </is>
      </c>
      <c r="AG96" s="97" t="n"/>
      <c r="AH96" s="97" t="n"/>
      <c r="AI96" s="97" t="n"/>
      <c r="AJ96" s="96" t="inlineStr">
        <is>
          <t>KWAY LOGIS CO.,LTD.</t>
        </is>
      </c>
      <c r="AK96" s="130" t="n">
        <v>0</v>
      </c>
    </row>
    <row r="97" ht="12" customHeight="1">
      <c r="A97" s="108" t="inlineStr">
        <is>
          <t>SKHU9633847</t>
        </is>
      </c>
      <c r="B97" s="108" t="inlineStr">
        <is>
          <t>BKK04</t>
        </is>
      </c>
      <c r="C97" s="108" t="inlineStr">
        <is>
          <t>IFV</t>
        </is>
      </c>
      <c r="D97" s="172" t="inlineStr">
        <is>
          <t>2026-10-04</t>
        </is>
      </c>
      <c r="E97" s="173" t="inlineStr">
        <is>
          <t>2232</t>
        </is>
      </c>
      <c r="F97" s="96" t="inlineStr">
        <is>
          <t>HASLS22260900586</t>
        </is>
      </c>
      <c r="G97" s="96" t="inlineStr">
        <is>
          <t>BIRLA CARBON (THAILAND) PUBLIC COMPANY LIMITED</t>
        </is>
      </c>
      <c r="H97" s="111" t="inlineStr">
        <is>
          <t>45GP</t>
        </is>
      </c>
      <c r="I97" s="96" t="n"/>
      <c r="J97" s="96" t="inlineStr">
        <is>
          <t>Chuanchuen</t>
        </is>
      </c>
      <c r="K97" s="96" t="inlineStr">
        <is>
          <t>SD</t>
        </is>
      </c>
      <c r="L97" s="111" t="inlineStr">
        <is>
          <t>Full</t>
        </is>
      </c>
      <c r="M97" s="96" t="inlineStr">
        <is>
          <t>HASLS22260900586</t>
        </is>
      </c>
      <c r="N97" s="96" t="inlineStr">
        <is>
          <t xml:space="preserve">40Hx10 </t>
        </is>
      </c>
      <c r="O97" s="111" t="inlineStr">
        <is>
          <t>2016</t>
        </is>
      </c>
      <c r="P97" s="111" t="n"/>
      <c r="Q97" s="111" t="n"/>
      <c r="R97" s="96" t="n"/>
      <c r="S97" s="96" t="n"/>
      <c r="T97" s="96" t="inlineStr">
        <is>
          <t>BKK04</t>
        </is>
      </c>
      <c r="U97" s="96" t="inlineStr">
        <is>
          <t>THBKK</t>
        </is>
      </c>
      <c r="V97" s="161" t="inlineStr">
        <is>
          <t>2026-10-08</t>
        </is>
      </c>
      <c r="W97" s="96" t="inlineStr">
        <is>
          <t>VNSGN</t>
        </is>
      </c>
      <c r="X97" s="161" t="inlineStr">
        <is>
          <t>2026-10-11</t>
        </is>
      </c>
      <c r="Y97" s="97" t="n"/>
      <c r="Z97" s="97" t="n"/>
      <c r="AA97" s="97" t="n"/>
      <c r="AB97" s="97" t="n"/>
      <c r="AC97" s="97" t="n"/>
      <c r="AD97" s="161" t="inlineStr">
        <is>
          <t>2026-10-05</t>
        </is>
      </c>
      <c r="AE97" s="174" t="inlineStr">
        <is>
          <t>1047</t>
        </is>
      </c>
      <c r="AF97" s="96" t="inlineStr">
        <is>
          <t>TBKK07</t>
        </is>
      </c>
      <c r="AG97" s="97" t="n"/>
      <c r="AH97" s="97" t="n"/>
      <c r="AI97" s="97" t="n"/>
      <c r="AJ97" s="96" t="inlineStr">
        <is>
          <t>JINYU (VIETNAM) TIRE CO.,LTD</t>
        </is>
      </c>
      <c r="AK97" s="130" t="n">
        <v>0</v>
      </c>
    </row>
    <row r="98" ht="12" customHeight="1">
      <c r="A98" s="108" t="inlineStr">
        <is>
          <t>SKHU9801771</t>
        </is>
      </c>
      <c r="B98" s="108" t="inlineStr">
        <is>
          <t>BKK04</t>
        </is>
      </c>
      <c r="C98" s="108" t="inlineStr">
        <is>
          <t>IFV</t>
        </is>
      </c>
      <c r="D98" s="172" t="inlineStr">
        <is>
          <t>2026-10-02</t>
        </is>
      </c>
      <c r="E98" s="173" t="inlineStr">
        <is>
          <t>2142</t>
        </is>
      </c>
      <c r="F98" s="96" t="inlineStr">
        <is>
          <t>HASLS22260901024</t>
        </is>
      </c>
      <c r="G98" s="96" t="inlineStr">
        <is>
          <t>MJ LOGISTICS (THAILAND) CO., LTD.</t>
        </is>
      </c>
      <c r="H98" s="111" t="inlineStr">
        <is>
          <t>45GP</t>
        </is>
      </c>
      <c r="I98" s="96" t="n"/>
      <c r="J98" s="96" t="inlineStr">
        <is>
          <t>Sirichai Prayochananon</t>
        </is>
      </c>
      <c r="K98" s="96" t="inlineStr">
        <is>
          <t>SD</t>
        </is>
      </c>
      <c r="L98" s="111" t="inlineStr">
        <is>
          <t>Full</t>
        </is>
      </c>
      <c r="M98" s="96" t="inlineStr">
        <is>
          <t>HASLS22260901024</t>
        </is>
      </c>
      <c r="N98" s="96" t="inlineStr">
        <is>
          <t xml:space="preserve">40Hx1 </t>
        </is>
      </c>
      <c r="O98" s="111" t="inlineStr">
        <is>
          <t>2018</t>
        </is>
      </c>
      <c r="P98" s="111" t="n"/>
      <c r="Q98" s="111" t="n"/>
      <c r="R98" s="96" t="n"/>
      <c r="S98" s="96" t="n"/>
      <c r="T98" s="96" t="inlineStr">
        <is>
          <t>BKK04</t>
        </is>
      </c>
      <c r="U98" s="96" t="inlineStr">
        <is>
          <t>THBKK</t>
        </is>
      </c>
      <c r="V98" s="161" t="inlineStr">
        <is>
          <t>2026-10-08</t>
        </is>
      </c>
      <c r="W98" s="96" t="inlineStr">
        <is>
          <t>RUVVO</t>
        </is>
      </c>
      <c r="X98" s="161" t="inlineStr">
        <is>
          <t>2026-10-19</t>
        </is>
      </c>
      <c r="Y98" s="97" t="n"/>
      <c r="Z98" s="97" t="n"/>
      <c r="AA98" s="97" t="n"/>
      <c r="AB98" s="97" t="n"/>
      <c r="AC98" s="97" t="n"/>
      <c r="AD98" s="161" t="inlineStr">
        <is>
          <t>2026-10-04</t>
        </is>
      </c>
      <c r="AE98" s="174" t="inlineStr">
        <is>
          <t>2005</t>
        </is>
      </c>
      <c r="AF98" s="96" t="inlineStr">
        <is>
          <t>TBKK42</t>
        </is>
      </c>
      <c r="AG98" s="97" t="n"/>
      <c r="AH98" s="97" t="n"/>
      <c r="AI98" s="97" t="n"/>
      <c r="AJ98" s="96" t="inlineStr">
        <is>
          <t>DV NEVADA CO.,LTD.</t>
        </is>
      </c>
      <c r="AK98" s="130" t="n">
        <v>0</v>
      </c>
    </row>
    <row r="99" ht="12" customHeight="1">
      <c r="A99" s="108" t="inlineStr">
        <is>
          <t>SKHU9815796</t>
        </is>
      </c>
      <c r="B99" s="108" t="inlineStr">
        <is>
          <t>BKK04</t>
        </is>
      </c>
      <c r="C99" s="108" t="inlineStr">
        <is>
          <t>IFV</t>
        </is>
      </c>
      <c r="D99" s="172" t="inlineStr">
        <is>
          <t>2026-10-04</t>
        </is>
      </c>
      <c r="E99" s="173" t="inlineStr">
        <is>
          <t>1140</t>
        </is>
      </c>
      <c r="F99" s="96" t="inlineStr">
        <is>
          <t>HASLS22260902210</t>
        </is>
      </c>
      <c r="G99" s="96" t="inlineStr">
        <is>
          <t>CAPRICORN LOGISTICS CO., LTD.</t>
        </is>
      </c>
      <c r="H99" s="111" t="inlineStr">
        <is>
          <t>45GP</t>
        </is>
      </c>
      <c r="I99" s="96" t="n"/>
      <c r="J99" s="96" t="inlineStr">
        <is>
          <t>Sirichai Prayochananon</t>
        </is>
      </c>
      <c r="K99" s="96" t="inlineStr">
        <is>
          <t>SD</t>
        </is>
      </c>
      <c r="L99" s="111" t="inlineStr">
        <is>
          <t>Full</t>
        </is>
      </c>
      <c r="M99" s="96" t="inlineStr">
        <is>
          <t>HASLS22260902210</t>
        </is>
      </c>
      <c r="N99" s="96" t="inlineStr">
        <is>
          <t xml:space="preserve">40Hx5 </t>
        </is>
      </c>
      <c r="O99" s="111" t="inlineStr">
        <is>
          <t>2018</t>
        </is>
      </c>
      <c r="P99" s="111" t="n"/>
      <c r="Q99" s="111" t="n"/>
      <c r="R99" s="96" t="n"/>
      <c r="S99" s="96" t="n"/>
      <c r="T99" s="96" t="inlineStr">
        <is>
          <t>BKK04</t>
        </is>
      </c>
      <c r="U99" s="96" t="inlineStr">
        <is>
          <t>THBKK</t>
        </is>
      </c>
      <c r="V99" s="161" t="inlineStr">
        <is>
          <t>2026-10-08</t>
        </is>
      </c>
      <c r="W99" s="96" t="inlineStr">
        <is>
          <t>VNSGN</t>
        </is>
      </c>
      <c r="X99" s="161" t="inlineStr">
        <is>
          <t>2026-10-11</t>
        </is>
      </c>
      <c r="Y99" s="97" t="n"/>
      <c r="Z99" s="97" t="n"/>
      <c r="AA99" s="97" t="n"/>
      <c r="AB99" s="97" t="n"/>
      <c r="AC99" s="97" t="n"/>
      <c r="AD99" s="161" t="inlineStr">
        <is>
          <t>2026-10-04</t>
        </is>
      </c>
      <c r="AE99" s="174" t="inlineStr">
        <is>
          <t>2005</t>
        </is>
      </c>
      <c r="AF99" s="96" t="inlineStr">
        <is>
          <t>TBKK42</t>
        </is>
      </c>
      <c r="AG99" s="97" t="n"/>
      <c r="AH99" s="97" t="n"/>
      <c r="AI99" s="97" t="n"/>
      <c r="AJ99" s="96" t="inlineStr">
        <is>
          <t>GIA NGUYEN INT'L LOGISTICS CO., LTD</t>
        </is>
      </c>
      <c r="AK99" s="130" t="n">
        <v>0</v>
      </c>
    </row>
    <row r="100" ht="12" customHeight="1">
      <c r="A100" s="108" t="inlineStr">
        <is>
          <t>SKHU9944303</t>
        </is>
      </c>
      <c r="B100" s="108" t="inlineStr">
        <is>
          <t>BKK04</t>
        </is>
      </c>
      <c r="C100" s="108" t="inlineStr">
        <is>
          <t>IFV</t>
        </is>
      </c>
      <c r="D100" s="172" t="inlineStr">
        <is>
          <t>2026-10-03</t>
        </is>
      </c>
      <c r="E100" s="173" t="inlineStr">
        <is>
          <t>1314</t>
        </is>
      </c>
      <c r="F100" s="96" t="inlineStr">
        <is>
          <t>HASLS22260801164</t>
        </is>
      </c>
      <c r="G100" s="96" t="inlineStr">
        <is>
          <t>MAXTOP LOGISTICS (THAILAND) CO., LTD.</t>
        </is>
      </c>
      <c r="H100" s="111" t="inlineStr">
        <is>
          <t>45GP</t>
        </is>
      </c>
      <c r="I100" s="96" t="n"/>
      <c r="J100" s="96" t="inlineStr">
        <is>
          <t>Chuanchuen</t>
        </is>
      </c>
      <c r="K100" s="96" t="inlineStr">
        <is>
          <t>SD</t>
        </is>
      </c>
      <c r="L100" s="111" t="inlineStr">
        <is>
          <t>Full</t>
        </is>
      </c>
      <c r="M100" s="96" t="inlineStr">
        <is>
          <t>HASLS22260801164</t>
        </is>
      </c>
      <c r="N100" s="96" t="inlineStr">
        <is>
          <t xml:space="preserve">40Hx3 </t>
        </is>
      </c>
      <c r="O100" s="111" t="inlineStr">
        <is>
          <t>2019</t>
        </is>
      </c>
      <c r="P100" s="111" t="n"/>
      <c r="Q100" s="111" t="n"/>
      <c r="R100" s="96" t="n"/>
      <c r="S100" s="96" t="n"/>
      <c r="T100" s="96" t="inlineStr">
        <is>
          <t>BKK04</t>
        </is>
      </c>
      <c r="U100" s="96" t="inlineStr">
        <is>
          <t>THBKK</t>
        </is>
      </c>
      <c r="V100" s="161" t="inlineStr">
        <is>
          <t>2026-10-08</t>
        </is>
      </c>
      <c r="W100" s="96" t="inlineStr">
        <is>
          <t>KRPTK</t>
        </is>
      </c>
      <c r="X100" s="161" t="inlineStr">
        <is>
          <t>2026-10-17</t>
        </is>
      </c>
      <c r="Y100" s="97" t="n"/>
      <c r="Z100" s="97" t="n"/>
      <c r="AA100" s="97" t="n"/>
      <c r="AB100" s="97" t="n"/>
      <c r="AC100" s="97" t="n"/>
      <c r="AD100" s="161" t="inlineStr">
        <is>
          <t>2026-10-05</t>
        </is>
      </c>
      <c r="AE100" s="174" t="inlineStr">
        <is>
          <t>1213</t>
        </is>
      </c>
      <c r="AF100" s="96" t="inlineStr">
        <is>
          <t>TBKK07</t>
        </is>
      </c>
      <c r="AG100" s="97" t="n"/>
      <c r="AH100" s="97" t="n"/>
      <c r="AI100" s="97" t="n"/>
      <c r="AJ100" s="96" t="inlineStr">
        <is>
          <t>SUNGRIM GLOBAL CO.,LTD.</t>
        </is>
      </c>
      <c r="AK100" s="130" t="n">
        <v>0</v>
      </c>
    </row>
    <row r="101" ht="12" customHeight="1">
      <c r="A101" s="108" t="inlineStr">
        <is>
          <t>SKLU0568034</t>
        </is>
      </c>
      <c r="B101" s="108" t="inlineStr">
        <is>
          <t>BKK01</t>
        </is>
      </c>
      <c r="C101" s="108" t="inlineStr">
        <is>
          <t>IFV</t>
        </is>
      </c>
      <c r="D101" s="172" t="inlineStr">
        <is>
          <t>2026-09-30</t>
        </is>
      </c>
      <c r="E101" s="173" t="inlineStr">
        <is>
          <t>0143</t>
        </is>
      </c>
      <c r="F101" s="96" t="inlineStr">
        <is>
          <t>HASLS22260901245</t>
        </is>
      </c>
      <c r="G101" s="96" t="inlineStr">
        <is>
          <t>BANGKOK COLD STORAGE SERVICE,LTD</t>
        </is>
      </c>
      <c r="H101" s="111" t="inlineStr">
        <is>
          <t>22GP</t>
        </is>
      </c>
      <c r="I101" s="96" t="n"/>
      <c r="J101" s="96" t="inlineStr">
        <is>
          <t>Chuanchuen</t>
        </is>
      </c>
      <c r="K101" s="96" t="inlineStr">
        <is>
          <t>SD</t>
        </is>
      </c>
      <c r="L101" s="111" t="inlineStr">
        <is>
          <t>Full</t>
        </is>
      </c>
      <c r="M101" s="96" t="inlineStr">
        <is>
          <t>HASLS22260901245</t>
        </is>
      </c>
      <c r="N101" s="96" t="inlineStr">
        <is>
          <t xml:space="preserve">20'x7 </t>
        </is>
      </c>
      <c r="O101" s="111" t="inlineStr">
        <is>
          <t>2025</t>
        </is>
      </c>
      <c r="P101" s="111" t="n"/>
      <c r="Q101" s="111" t="n"/>
      <c r="R101" s="96" t="n"/>
      <c r="S101" s="96" t="n"/>
      <c r="T101" s="96" t="inlineStr">
        <is>
          <t>BKK04</t>
        </is>
      </c>
      <c r="U101" s="96" t="inlineStr">
        <is>
          <t>THBKK</t>
        </is>
      </c>
      <c r="V101" s="161" t="inlineStr">
        <is>
          <t>2026-10-08</t>
        </is>
      </c>
      <c r="W101" s="96" t="inlineStr">
        <is>
          <t>JPMIZ</t>
        </is>
      </c>
      <c r="X101" s="161" t="inlineStr">
        <is>
          <t>2026-10-19</t>
        </is>
      </c>
      <c r="Y101" s="97" t="n"/>
      <c r="Z101" s="97" t="n"/>
      <c r="AA101" s="97" t="n"/>
      <c r="AB101" s="97" t="n"/>
      <c r="AC101" s="97" t="n"/>
      <c r="AD101" s="161" t="inlineStr">
        <is>
          <t>2026-09-30</t>
        </is>
      </c>
      <c r="AE101" s="174" t="inlineStr">
        <is>
          <t>1049</t>
        </is>
      </c>
      <c r="AF101" s="96" t="inlineStr">
        <is>
          <t>TBKK07</t>
        </is>
      </c>
      <c r="AG101" s="97" t="n"/>
      <c r="AH101" s="97" t="n"/>
      <c r="AI101" s="97" t="n"/>
      <c r="AJ101" s="96" t="inlineStr">
        <is>
          <t>HARVEST WORLD EXPRESS</t>
        </is>
      </c>
      <c r="AK101" s="130" t="n">
        <v>0</v>
      </c>
    </row>
    <row r="102" ht="12" customHeight="1">
      <c r="A102" s="108" t="inlineStr">
        <is>
          <t>SKLU0569112</t>
        </is>
      </c>
      <c r="B102" s="108" t="inlineStr">
        <is>
          <t>BKK04</t>
        </is>
      </c>
      <c r="C102" s="108" t="inlineStr">
        <is>
          <t>IFV</t>
        </is>
      </c>
      <c r="D102" s="172" t="inlineStr">
        <is>
          <t>2026-10-01</t>
        </is>
      </c>
      <c r="E102" s="173" t="inlineStr">
        <is>
          <t>1207</t>
        </is>
      </c>
      <c r="F102" s="96" t="inlineStr">
        <is>
          <t>HASLS22260901431</t>
        </is>
      </c>
      <c r="G102" s="96" t="inlineStr">
        <is>
          <t>BIZCON LOGISTICS CO., LTD.</t>
        </is>
      </c>
      <c r="H102" s="111" t="inlineStr">
        <is>
          <t>22GP</t>
        </is>
      </c>
      <c r="I102" s="96" t="n"/>
      <c r="J102" s="96" t="inlineStr">
        <is>
          <t>Chuanchuen</t>
        </is>
      </c>
      <c r="K102" s="96" t="inlineStr">
        <is>
          <t>SD</t>
        </is>
      </c>
      <c r="L102" s="111" t="inlineStr">
        <is>
          <t>Full</t>
        </is>
      </c>
      <c r="M102" s="96" t="inlineStr">
        <is>
          <t>HASLS22260901431</t>
        </is>
      </c>
      <c r="N102" s="96" t="inlineStr">
        <is>
          <t xml:space="preserve">20'x1 </t>
        </is>
      </c>
      <c r="O102" s="111" t="inlineStr">
        <is>
          <t>2025</t>
        </is>
      </c>
      <c r="P102" s="111" t="n"/>
      <c r="Q102" s="111" t="n"/>
      <c r="R102" s="96" t="n"/>
      <c r="S102" s="96" t="n"/>
      <c r="T102" s="96" t="inlineStr">
        <is>
          <t>BKK04</t>
        </is>
      </c>
      <c r="U102" s="96" t="inlineStr">
        <is>
          <t>THBKK</t>
        </is>
      </c>
      <c r="V102" s="161" t="inlineStr">
        <is>
          <t>2026-10-08</t>
        </is>
      </c>
      <c r="W102" s="96" t="inlineStr">
        <is>
          <t>VNSGN</t>
        </is>
      </c>
      <c r="X102" s="161" t="inlineStr">
        <is>
          <t>2026-10-11</t>
        </is>
      </c>
      <c r="Y102" s="97" t="n"/>
      <c r="Z102" s="97" t="n"/>
      <c r="AA102" s="97" t="n"/>
      <c r="AB102" s="97" t="n"/>
      <c r="AC102" s="97" t="n"/>
      <c r="AD102" s="161" t="inlineStr">
        <is>
          <t>2026-10-05</t>
        </is>
      </c>
      <c r="AE102" s="174" t="inlineStr">
        <is>
          <t>1213</t>
        </is>
      </c>
      <c r="AF102" s="96" t="inlineStr">
        <is>
          <t>TBKK07</t>
        </is>
      </c>
      <c r="AG102" s="97" t="n"/>
      <c r="AH102" s="97" t="n"/>
      <c r="AI102" s="97" t="n"/>
      <c r="AJ102" s="96" t="inlineStr">
        <is>
          <t>HUPLUS TRADING COMPANY LIMITED</t>
        </is>
      </c>
      <c r="AK102" s="130" t="n">
        <v>0</v>
      </c>
    </row>
    <row r="103" ht="12" customHeight="1">
      <c r="A103" s="108" t="inlineStr">
        <is>
          <t>SKLU0585957</t>
        </is>
      </c>
      <c r="B103" s="108" t="inlineStr">
        <is>
          <t>BKK04</t>
        </is>
      </c>
      <c r="C103" s="108" t="inlineStr">
        <is>
          <t>IFV</t>
        </is>
      </c>
      <c r="D103" s="172" t="inlineStr">
        <is>
          <t>2026-09-19</t>
        </is>
      </c>
      <c r="E103" s="173" t="inlineStr">
        <is>
          <t>0108</t>
        </is>
      </c>
      <c r="F103" s="96" t="inlineStr">
        <is>
          <t>HASLS22260900196</t>
        </is>
      </c>
      <c r="G103" s="96" t="inlineStr">
        <is>
          <t>SANGUAN WONGSE STARCH CO., LTD.</t>
        </is>
      </c>
      <c r="H103" s="111" t="inlineStr">
        <is>
          <t>22GP</t>
        </is>
      </c>
      <c r="I103" s="96" t="n"/>
      <c r="J103" s="96" t="inlineStr">
        <is>
          <t>Sirichai Prayochananon</t>
        </is>
      </c>
      <c r="K103" s="96" t="inlineStr">
        <is>
          <t>SD</t>
        </is>
      </c>
      <c r="L103" s="111" t="inlineStr">
        <is>
          <t>Full</t>
        </is>
      </c>
      <c r="M103" s="96" t="inlineStr">
        <is>
          <t>HASLS22260900196</t>
        </is>
      </c>
      <c r="N103" s="96" t="inlineStr">
        <is>
          <t xml:space="preserve">20'x12 </t>
        </is>
      </c>
      <c r="O103" s="111" t="inlineStr">
        <is>
          <t>2025</t>
        </is>
      </c>
      <c r="P103" s="111" t="n"/>
      <c r="Q103" s="111" t="n"/>
      <c r="R103" s="96" t="n"/>
      <c r="S103" s="96" t="n"/>
      <c r="T103" s="96" t="inlineStr">
        <is>
          <t>BKK04</t>
        </is>
      </c>
      <c r="U103" s="96" t="inlineStr">
        <is>
          <t>THBKK</t>
        </is>
      </c>
      <c r="V103" s="161" t="inlineStr">
        <is>
          <t>2026-10-08</t>
        </is>
      </c>
      <c r="W103" s="96" t="inlineStr">
        <is>
          <t>JPSEN</t>
        </is>
      </c>
      <c r="X103" s="161" t="inlineStr">
        <is>
          <t>2026-10-19</t>
        </is>
      </c>
      <c r="Y103" s="97" t="n"/>
      <c r="Z103" s="97" t="n"/>
      <c r="AA103" s="97" t="n"/>
      <c r="AB103" s="97" t="n"/>
      <c r="AC103" s="97" t="n"/>
      <c r="AD103" s="161" t="inlineStr">
        <is>
          <t>2026-09-20</t>
        </is>
      </c>
      <c r="AE103" s="174" t="inlineStr">
        <is>
          <t>1743</t>
        </is>
      </c>
      <c r="AF103" s="96" t="inlineStr">
        <is>
          <t>TBKK42</t>
        </is>
      </c>
      <c r="AG103" s="97" t="n"/>
      <c r="AH103" s="97" t="n"/>
      <c r="AI103" s="97" t="n"/>
      <c r="AJ103" s="96" t="inlineStr">
        <is>
          <t>SANSHO CO., LTD.</t>
        </is>
      </c>
      <c r="AK103" s="130" t="n">
        <v>0</v>
      </c>
    </row>
    <row r="104" ht="12" customHeight="1">
      <c r="A104" s="108" t="inlineStr">
        <is>
          <t>SKLU0590819</t>
        </is>
      </c>
      <c r="B104" s="108" t="inlineStr">
        <is>
          <t>BKK04</t>
        </is>
      </c>
      <c r="C104" s="108" t="inlineStr">
        <is>
          <t>IFV</t>
        </is>
      </c>
      <c r="D104" s="172" t="inlineStr">
        <is>
          <t>2026-09-19</t>
        </is>
      </c>
      <c r="E104" s="173" t="inlineStr">
        <is>
          <t>0040</t>
        </is>
      </c>
      <c r="F104" s="96" t="inlineStr">
        <is>
          <t>HASLS22260900196</t>
        </is>
      </c>
      <c r="G104" s="96" t="inlineStr">
        <is>
          <t>SANGUAN WONGSE STARCH CO., LTD.</t>
        </is>
      </c>
      <c r="H104" s="111" t="inlineStr">
        <is>
          <t>22GP</t>
        </is>
      </c>
      <c r="I104" s="96" t="n"/>
      <c r="J104" s="96" t="inlineStr">
        <is>
          <t>Sirichai Prayochananon</t>
        </is>
      </c>
      <c r="K104" s="96" t="inlineStr">
        <is>
          <t>SD</t>
        </is>
      </c>
      <c r="L104" s="111" t="inlineStr">
        <is>
          <t>Full</t>
        </is>
      </c>
      <c r="M104" s="96" t="inlineStr">
        <is>
          <t>HASLS22260900196</t>
        </is>
      </c>
      <c r="N104" s="96" t="inlineStr">
        <is>
          <t xml:space="preserve">20'x12 </t>
        </is>
      </c>
      <c r="O104" s="111" t="inlineStr">
        <is>
          <t>2025</t>
        </is>
      </c>
      <c r="P104" s="111" t="n"/>
      <c r="Q104" s="111" t="n"/>
      <c r="R104" s="96" t="n"/>
      <c r="S104" s="96" t="n"/>
      <c r="T104" s="96" t="inlineStr">
        <is>
          <t>BKK04</t>
        </is>
      </c>
      <c r="U104" s="96" t="inlineStr">
        <is>
          <t>THBKK</t>
        </is>
      </c>
      <c r="V104" s="161" t="inlineStr">
        <is>
          <t>2026-10-08</t>
        </is>
      </c>
      <c r="W104" s="96" t="inlineStr">
        <is>
          <t>JPSEN</t>
        </is>
      </c>
      <c r="X104" s="161" t="inlineStr">
        <is>
          <t>2026-10-19</t>
        </is>
      </c>
      <c r="Y104" s="97" t="n"/>
      <c r="Z104" s="97" t="n"/>
      <c r="AA104" s="97" t="n"/>
      <c r="AB104" s="97" t="n"/>
      <c r="AC104" s="97" t="n"/>
      <c r="AD104" s="161" t="inlineStr">
        <is>
          <t>2026-09-20</t>
        </is>
      </c>
      <c r="AE104" s="174" t="inlineStr">
        <is>
          <t>1743</t>
        </is>
      </c>
      <c r="AF104" s="96" t="inlineStr">
        <is>
          <t>TBKK42</t>
        </is>
      </c>
      <c r="AG104" s="97" t="n"/>
      <c r="AH104" s="97" t="n"/>
      <c r="AI104" s="97" t="n"/>
      <c r="AJ104" s="96" t="inlineStr">
        <is>
          <t>SANSHO CO., LTD.</t>
        </is>
      </c>
      <c r="AK104" s="130" t="n">
        <v>0</v>
      </c>
    </row>
    <row r="105" ht="12" customHeight="1">
      <c r="A105" s="108" t="inlineStr">
        <is>
          <t>SKLU0742589</t>
        </is>
      </c>
      <c r="B105" s="108" t="inlineStr">
        <is>
          <t>BKK01</t>
        </is>
      </c>
      <c r="C105" s="108" t="inlineStr">
        <is>
          <t>IFV</t>
        </is>
      </c>
      <c r="D105" s="172" t="inlineStr">
        <is>
          <t>2026-09-29</t>
        </is>
      </c>
      <c r="E105" s="173" t="inlineStr">
        <is>
          <t>0147</t>
        </is>
      </c>
      <c r="F105" s="96" t="inlineStr">
        <is>
          <t>HASLS22260901537</t>
        </is>
      </c>
      <c r="G105" s="96" t="inlineStr">
        <is>
          <t>SCGJWD LOGISTICS PUBLIC COMPANY LIMITED</t>
        </is>
      </c>
      <c r="H105" s="111" t="inlineStr">
        <is>
          <t>22GP</t>
        </is>
      </c>
      <c r="I105" s="96" t="n"/>
      <c r="J105" s="96" t="inlineStr">
        <is>
          <t>Chuanchuen</t>
        </is>
      </c>
      <c r="K105" s="96" t="inlineStr">
        <is>
          <t>SD</t>
        </is>
      </c>
      <c r="L105" s="111" t="inlineStr">
        <is>
          <t>Full</t>
        </is>
      </c>
      <c r="M105" s="96" t="inlineStr">
        <is>
          <t>HASLS22260901537</t>
        </is>
      </c>
      <c r="N105" s="96" t="inlineStr">
        <is>
          <t xml:space="preserve">20'x2 </t>
        </is>
      </c>
      <c r="O105" s="111" t="inlineStr">
        <is>
          <t>2007</t>
        </is>
      </c>
      <c r="P105" s="111" t="n"/>
      <c r="Q105" s="111" t="n"/>
      <c r="R105" s="96" t="n"/>
      <c r="S105" s="96" t="n"/>
      <c r="T105" s="96" t="inlineStr">
        <is>
          <t>BKK04</t>
        </is>
      </c>
      <c r="U105" s="96" t="inlineStr">
        <is>
          <t>THBKK</t>
        </is>
      </c>
      <c r="V105" s="161" t="inlineStr">
        <is>
          <t>2026-10-08</t>
        </is>
      </c>
      <c r="W105" s="96" t="inlineStr">
        <is>
          <t>JPIYM</t>
        </is>
      </c>
      <c r="X105" s="161" t="inlineStr">
        <is>
          <t>2026-10-19</t>
        </is>
      </c>
      <c r="Y105" s="97" t="n"/>
      <c r="Z105" s="97" t="n"/>
      <c r="AA105" s="97" t="n"/>
      <c r="AB105" s="97" t="n"/>
      <c r="AC105" s="97" t="n"/>
      <c r="AD105" s="161" t="inlineStr">
        <is>
          <t>2026-09-29</t>
        </is>
      </c>
      <c r="AE105" s="174" t="inlineStr">
        <is>
          <t>1052</t>
        </is>
      </c>
      <c r="AF105" s="96" t="inlineStr">
        <is>
          <t>TBKK07</t>
        </is>
      </c>
      <c r="AG105" s="97" t="n"/>
      <c r="AH105" s="97" t="n"/>
      <c r="AI105" s="97" t="n"/>
      <c r="AJ105" s="96" t="inlineStr">
        <is>
          <t>USUI METALS CORPORATION</t>
        </is>
      </c>
      <c r="AK105" s="130" t="n">
        <v>0</v>
      </c>
    </row>
    <row r="106" ht="12" customHeight="1">
      <c r="A106" s="108" t="inlineStr">
        <is>
          <t>SKLU0744220</t>
        </is>
      </c>
      <c r="B106" s="108" t="inlineStr">
        <is>
          <t>BKK01</t>
        </is>
      </c>
      <c r="C106" s="108" t="inlineStr">
        <is>
          <t>IFV</t>
        </is>
      </c>
      <c r="D106" s="172" t="inlineStr">
        <is>
          <t>2026-09-28</t>
        </is>
      </c>
      <c r="E106" s="173" t="inlineStr">
        <is>
          <t>0417</t>
        </is>
      </c>
      <c r="F106" s="96" t="inlineStr">
        <is>
          <t>HASLS22260800838</t>
        </is>
      </c>
      <c r="G106" s="96" t="inlineStr">
        <is>
          <t>SCGJWD LOGISTICS PUBLIC COMPANY LIMITED</t>
        </is>
      </c>
      <c r="H106" s="111" t="inlineStr">
        <is>
          <t>22GP</t>
        </is>
      </c>
      <c r="I106" s="96" t="n"/>
      <c r="J106" s="96" t="inlineStr">
        <is>
          <t>Chuanchuen</t>
        </is>
      </c>
      <c r="K106" s="96" t="inlineStr">
        <is>
          <t>SD</t>
        </is>
      </c>
      <c r="L106" s="111" t="inlineStr">
        <is>
          <t>Full</t>
        </is>
      </c>
      <c r="M106" s="96" t="inlineStr">
        <is>
          <t>HASLS22260800838</t>
        </is>
      </c>
      <c r="N106" s="96" t="inlineStr">
        <is>
          <t xml:space="preserve">20'x10 </t>
        </is>
      </c>
      <c r="O106" s="111" t="inlineStr">
        <is>
          <t>2007</t>
        </is>
      </c>
      <c r="P106" s="111" t="n"/>
      <c r="Q106" s="111" t="n"/>
      <c r="R106" s="96" t="n"/>
      <c r="S106" s="96" t="n"/>
      <c r="T106" s="96" t="inlineStr">
        <is>
          <t>BKK04</t>
        </is>
      </c>
      <c r="U106" s="96" t="inlineStr">
        <is>
          <t>THBKK</t>
        </is>
      </c>
      <c r="V106" s="161" t="inlineStr">
        <is>
          <t>2026-10-08</t>
        </is>
      </c>
      <c r="W106" s="96" t="inlineStr">
        <is>
          <t>VNSGN</t>
        </is>
      </c>
      <c r="X106" s="161" t="inlineStr">
        <is>
          <t>2026-10-11</t>
        </is>
      </c>
      <c r="Y106" s="97" t="n"/>
      <c r="Z106" s="97" t="n"/>
      <c r="AA106" s="97" t="n"/>
      <c r="AB106" s="97" t="n"/>
      <c r="AC106" s="97" t="n"/>
      <c r="AD106" s="161" t="inlineStr">
        <is>
          <t>2026-09-28</t>
        </is>
      </c>
      <c r="AE106" s="174" t="inlineStr">
        <is>
          <t>1055</t>
        </is>
      </c>
      <c r="AF106" s="96" t="inlineStr">
        <is>
          <t>TBKK07</t>
        </is>
      </c>
      <c r="AG106" s="97" t="n"/>
      <c r="AH106" s="97" t="n"/>
      <c r="AI106" s="97" t="n"/>
      <c r="AJ106" s="96" t="inlineStr">
        <is>
          <t>BUU LONG INDUSTRY AND INVESTMENT</t>
        </is>
      </c>
      <c r="AK106" s="130" t="n">
        <v>0</v>
      </c>
    </row>
    <row r="107" ht="12" customHeight="1">
      <c r="A107" s="108" t="inlineStr">
        <is>
          <t>SKLU1002340</t>
        </is>
      </c>
      <c r="B107" s="108" t="inlineStr">
        <is>
          <t>BKK01</t>
        </is>
      </c>
      <c r="C107" s="108" t="inlineStr">
        <is>
          <t>IFV</t>
        </is>
      </c>
      <c r="D107" s="172" t="inlineStr">
        <is>
          <t>2026-09-28</t>
        </is>
      </c>
      <c r="E107" s="173" t="inlineStr">
        <is>
          <t>0304</t>
        </is>
      </c>
      <c r="F107" s="96" t="inlineStr">
        <is>
          <t>HASLS22260800838</t>
        </is>
      </c>
      <c r="G107" s="96" t="inlineStr">
        <is>
          <t>SCGJWD LOGISTICS PUBLIC COMPANY LIMITED</t>
        </is>
      </c>
      <c r="H107" s="111" t="inlineStr">
        <is>
          <t>22GP</t>
        </is>
      </c>
      <c r="I107" s="96" t="n"/>
      <c r="J107" s="96" t="inlineStr">
        <is>
          <t>Chuanchuen</t>
        </is>
      </c>
      <c r="K107" s="96" t="inlineStr">
        <is>
          <t>SD</t>
        </is>
      </c>
      <c r="L107" s="111" t="inlineStr">
        <is>
          <t>Full</t>
        </is>
      </c>
      <c r="M107" s="96" t="inlineStr">
        <is>
          <t>HASLS22260800838</t>
        </is>
      </c>
      <c r="N107" s="96" t="inlineStr">
        <is>
          <t xml:space="preserve">20'x10 </t>
        </is>
      </c>
      <c r="O107" s="111" t="inlineStr">
        <is>
          <t>2010</t>
        </is>
      </c>
      <c r="P107" s="111" t="n"/>
      <c r="Q107" s="111" t="n"/>
      <c r="R107" s="96" t="n"/>
      <c r="S107" s="96" t="n"/>
      <c r="T107" s="96" t="inlineStr">
        <is>
          <t>BKK04</t>
        </is>
      </c>
      <c r="U107" s="96" t="inlineStr">
        <is>
          <t>THBKK</t>
        </is>
      </c>
      <c r="V107" s="161" t="inlineStr">
        <is>
          <t>2026-10-08</t>
        </is>
      </c>
      <c r="W107" s="96" t="inlineStr">
        <is>
          <t>VNSGN</t>
        </is>
      </c>
      <c r="X107" s="161" t="inlineStr">
        <is>
          <t>2026-10-11</t>
        </is>
      </c>
      <c r="Y107" s="97" t="n"/>
      <c r="Z107" s="97" t="n"/>
      <c r="AA107" s="97" t="n"/>
      <c r="AB107" s="97" t="n"/>
      <c r="AC107" s="97" t="n"/>
      <c r="AD107" s="161" t="inlineStr">
        <is>
          <t>2026-09-28</t>
        </is>
      </c>
      <c r="AE107" s="174" t="inlineStr">
        <is>
          <t>1055</t>
        </is>
      </c>
      <c r="AF107" s="96" t="inlineStr">
        <is>
          <t>TBKK07</t>
        </is>
      </c>
      <c r="AG107" s="97" t="n"/>
      <c r="AH107" s="97" t="n"/>
      <c r="AI107" s="97" t="n"/>
      <c r="AJ107" s="96" t="inlineStr">
        <is>
          <t>BUU LONG INDUSTRY AND INVESTMENT</t>
        </is>
      </c>
      <c r="AK107" s="130" t="n">
        <v>0</v>
      </c>
    </row>
    <row r="108" ht="12" customHeight="1">
      <c r="A108" s="108" t="inlineStr">
        <is>
          <t>SKLU1103582</t>
        </is>
      </c>
      <c r="B108" s="108" t="inlineStr">
        <is>
          <t>BKK04</t>
        </is>
      </c>
      <c r="C108" s="108" t="inlineStr">
        <is>
          <t>IFV</t>
        </is>
      </c>
      <c r="D108" s="172" t="inlineStr">
        <is>
          <t>2026-09-19</t>
        </is>
      </c>
      <c r="E108" s="173" t="inlineStr">
        <is>
          <t>2104</t>
        </is>
      </c>
      <c r="F108" s="96" t="inlineStr">
        <is>
          <t>HASLS22260801914</t>
        </is>
      </c>
      <c r="G108" s="96" t="inlineStr">
        <is>
          <t>DP WORLD LOGISTICS SOLUTIONS (THAILAND) COMPANY LIMITED</t>
        </is>
      </c>
      <c r="H108" s="111" t="inlineStr">
        <is>
          <t>22GP</t>
        </is>
      </c>
      <c r="I108" s="96" t="n"/>
      <c r="J108" s="96" t="inlineStr">
        <is>
          <t>Sirichai Prayochananon</t>
        </is>
      </c>
      <c r="K108" s="96" t="inlineStr">
        <is>
          <t>SD</t>
        </is>
      </c>
      <c r="L108" s="111" t="inlineStr">
        <is>
          <t>Full</t>
        </is>
      </c>
      <c r="M108" s="96" t="inlineStr">
        <is>
          <t>HASLS22260801914</t>
        </is>
      </c>
      <c r="N108" s="96" t="inlineStr">
        <is>
          <t xml:space="preserve">20'x33 </t>
        </is>
      </c>
      <c r="O108" s="111" t="inlineStr">
        <is>
          <t>2011</t>
        </is>
      </c>
      <c r="P108" s="111" t="n"/>
      <c r="Q108" s="111" t="n"/>
      <c r="R108" s="96" t="n"/>
      <c r="S108" s="96" t="n"/>
      <c r="T108" s="96" t="inlineStr">
        <is>
          <t>BKK04</t>
        </is>
      </c>
      <c r="U108" s="96" t="inlineStr">
        <is>
          <t>THBKK</t>
        </is>
      </c>
      <c r="V108" s="161" t="inlineStr">
        <is>
          <t>2026-10-08</t>
        </is>
      </c>
      <c r="W108" s="96" t="inlineStr">
        <is>
          <t>KRPTK</t>
        </is>
      </c>
      <c r="X108" s="161" t="inlineStr">
        <is>
          <t>2026-10-17</t>
        </is>
      </c>
      <c r="Y108" s="97" t="n"/>
      <c r="Z108" s="97" t="n"/>
      <c r="AA108" s="97" t="n"/>
      <c r="AB108" s="97" t="n"/>
      <c r="AC108" s="97" t="n"/>
      <c r="AD108" s="161" t="inlineStr">
        <is>
          <t>2026-09-20</t>
        </is>
      </c>
      <c r="AE108" s="174" t="inlineStr">
        <is>
          <t>1743</t>
        </is>
      </c>
      <c r="AF108" s="96" t="inlineStr">
        <is>
          <t>TBKK42</t>
        </is>
      </c>
      <c r="AG108" s="97" t="n"/>
      <c r="AH108" s="97" t="n"/>
      <c r="AI108" s="97" t="n"/>
      <c r="AJ108" s="96" t="inlineStr">
        <is>
          <t>TO THE ORDER OF KOOKMIN BANK</t>
        </is>
      </c>
      <c r="AK108" s="130" t="n">
        <v>0</v>
      </c>
    </row>
    <row r="109" ht="12" customHeight="1">
      <c r="A109" s="108" t="inlineStr">
        <is>
          <t>SKLU1116975</t>
        </is>
      </c>
      <c r="B109" s="108" t="inlineStr">
        <is>
          <t>BKK01</t>
        </is>
      </c>
      <c r="C109" s="108" t="inlineStr">
        <is>
          <t>IFV</t>
        </is>
      </c>
      <c r="D109" s="172" t="inlineStr">
        <is>
          <t>2026-09-28</t>
        </is>
      </c>
      <c r="E109" s="173" t="inlineStr">
        <is>
          <t>0142</t>
        </is>
      </c>
      <c r="F109" s="96" t="inlineStr">
        <is>
          <t>HASLS22260800838</t>
        </is>
      </c>
      <c r="G109" s="96" t="inlineStr">
        <is>
          <t>SCGJWD LOGISTICS PUBLIC COMPANY LIMITED</t>
        </is>
      </c>
      <c r="H109" s="111" t="inlineStr">
        <is>
          <t>22GP</t>
        </is>
      </c>
      <c r="I109" s="96" t="n"/>
      <c r="J109" s="96" t="inlineStr">
        <is>
          <t>Chuanchuen</t>
        </is>
      </c>
      <c r="K109" s="96" t="inlineStr">
        <is>
          <t>SD</t>
        </is>
      </c>
      <c r="L109" s="111" t="inlineStr">
        <is>
          <t>Full</t>
        </is>
      </c>
      <c r="M109" s="96" t="inlineStr">
        <is>
          <t>HASLS22260800838</t>
        </is>
      </c>
      <c r="N109" s="96" t="inlineStr">
        <is>
          <t xml:space="preserve">20'x10 </t>
        </is>
      </c>
      <c r="O109" s="111" t="inlineStr">
        <is>
          <t>2011</t>
        </is>
      </c>
      <c r="P109" s="111" t="n"/>
      <c r="Q109" s="111" t="n"/>
      <c r="R109" s="96" t="n"/>
      <c r="S109" s="96" t="n"/>
      <c r="T109" s="96" t="inlineStr">
        <is>
          <t>BKK04</t>
        </is>
      </c>
      <c r="U109" s="96" t="inlineStr">
        <is>
          <t>THBKK</t>
        </is>
      </c>
      <c r="V109" s="161" t="inlineStr">
        <is>
          <t>2026-10-08</t>
        </is>
      </c>
      <c r="W109" s="96" t="inlineStr">
        <is>
          <t>VNSGN</t>
        </is>
      </c>
      <c r="X109" s="161" t="inlineStr">
        <is>
          <t>2026-10-11</t>
        </is>
      </c>
      <c r="Y109" s="97" t="n"/>
      <c r="Z109" s="97" t="n"/>
      <c r="AA109" s="97" t="n"/>
      <c r="AB109" s="97" t="n"/>
      <c r="AC109" s="97" t="n"/>
      <c r="AD109" s="161" t="inlineStr">
        <is>
          <t>2026-09-28</t>
        </is>
      </c>
      <c r="AE109" s="174" t="inlineStr">
        <is>
          <t>1055</t>
        </is>
      </c>
      <c r="AF109" s="96" t="inlineStr">
        <is>
          <t>TBKK07</t>
        </is>
      </c>
      <c r="AG109" s="97" t="n"/>
      <c r="AH109" s="97" t="n"/>
      <c r="AI109" s="97" t="n"/>
      <c r="AJ109" s="96" t="inlineStr">
        <is>
          <t>BUU LONG INDUSTRY AND INVESTMENT</t>
        </is>
      </c>
      <c r="AK109" s="130" t="n">
        <v>0</v>
      </c>
    </row>
    <row r="110" ht="12" customHeight="1">
      <c r="A110" s="108" t="inlineStr">
        <is>
          <t>SKLU1201336</t>
        </is>
      </c>
      <c r="B110" s="108" t="inlineStr">
        <is>
          <t>BKK04</t>
        </is>
      </c>
      <c r="C110" s="108" t="inlineStr">
        <is>
          <t>IFV</t>
        </is>
      </c>
      <c r="D110" s="172" t="inlineStr">
        <is>
          <t>2026-09-19</t>
        </is>
      </c>
      <c r="E110" s="173" t="inlineStr">
        <is>
          <t>2117</t>
        </is>
      </c>
      <c r="F110" s="96" t="inlineStr">
        <is>
          <t>HASLS22260801914</t>
        </is>
      </c>
      <c r="G110" s="96" t="inlineStr">
        <is>
          <t>DP WORLD LOGISTICS SOLUTIONS (THAILAND) COMPANY LIMITED</t>
        </is>
      </c>
      <c r="H110" s="111" t="inlineStr">
        <is>
          <t>22GP</t>
        </is>
      </c>
      <c r="I110" s="96" t="n"/>
      <c r="J110" s="96" t="inlineStr">
        <is>
          <t>Sirichai Prayochananon</t>
        </is>
      </c>
      <c r="K110" s="96" t="inlineStr">
        <is>
          <t>SD</t>
        </is>
      </c>
      <c r="L110" s="111" t="inlineStr">
        <is>
          <t>Full</t>
        </is>
      </c>
      <c r="M110" s="96" t="inlineStr">
        <is>
          <t>HASLS22260801914</t>
        </is>
      </c>
      <c r="N110" s="96" t="inlineStr">
        <is>
          <t xml:space="preserve">20'x33 </t>
        </is>
      </c>
      <c r="O110" s="111" t="inlineStr">
        <is>
          <t>2012</t>
        </is>
      </c>
      <c r="P110" s="111" t="n"/>
      <c r="Q110" s="111" t="n"/>
      <c r="R110" s="96" t="n"/>
      <c r="S110" s="96" t="n"/>
      <c r="T110" s="96" t="inlineStr">
        <is>
          <t>BKK04</t>
        </is>
      </c>
      <c r="U110" s="96" t="inlineStr">
        <is>
          <t>THBKK</t>
        </is>
      </c>
      <c r="V110" s="161" t="inlineStr">
        <is>
          <t>2026-10-08</t>
        </is>
      </c>
      <c r="W110" s="96" t="inlineStr">
        <is>
          <t>KRPTK</t>
        </is>
      </c>
      <c r="X110" s="161" t="inlineStr">
        <is>
          <t>2026-10-17</t>
        </is>
      </c>
      <c r="Y110" s="97" t="n"/>
      <c r="Z110" s="97" t="n"/>
      <c r="AA110" s="97" t="n"/>
      <c r="AB110" s="97" t="n"/>
      <c r="AC110" s="97" t="n"/>
      <c r="AD110" s="161" t="inlineStr">
        <is>
          <t>2026-09-20</t>
        </is>
      </c>
      <c r="AE110" s="174" t="inlineStr">
        <is>
          <t>1743</t>
        </is>
      </c>
      <c r="AF110" s="96" t="inlineStr">
        <is>
          <t>TBKK42</t>
        </is>
      </c>
      <c r="AG110" s="97" t="n"/>
      <c r="AH110" s="97" t="n"/>
      <c r="AI110" s="97" t="n"/>
      <c r="AJ110" s="96" t="inlineStr">
        <is>
          <t>TO THE ORDER OF KOOKMIN BANK</t>
        </is>
      </c>
      <c r="AK110" s="130" t="n">
        <v>0</v>
      </c>
    </row>
    <row r="111" ht="12" customHeight="1">
      <c r="A111" s="108" t="inlineStr">
        <is>
          <t>SKLU1205326</t>
        </is>
      </c>
      <c r="B111" s="108" t="inlineStr">
        <is>
          <t>BKK04</t>
        </is>
      </c>
      <c r="C111" s="108" t="inlineStr">
        <is>
          <t>IFV</t>
        </is>
      </c>
      <c r="D111" s="172" t="inlineStr">
        <is>
          <t>2026-09-19</t>
        </is>
      </c>
      <c r="E111" s="173" t="inlineStr">
        <is>
          <t>2201</t>
        </is>
      </c>
      <c r="F111" s="96" t="inlineStr">
        <is>
          <t>HASLS22260801914</t>
        </is>
      </c>
      <c r="G111" s="96" t="inlineStr">
        <is>
          <t>DP WORLD LOGISTICS SOLUTIONS (THAILAND) COMPANY LIMITED</t>
        </is>
      </c>
      <c r="H111" s="111" t="inlineStr">
        <is>
          <t>22GP</t>
        </is>
      </c>
      <c r="I111" s="96" t="n"/>
      <c r="J111" s="96" t="inlineStr">
        <is>
          <t>Sirichai Prayochananon</t>
        </is>
      </c>
      <c r="K111" s="96" t="inlineStr">
        <is>
          <t>SD</t>
        </is>
      </c>
      <c r="L111" s="111" t="inlineStr">
        <is>
          <t>Full</t>
        </is>
      </c>
      <c r="M111" s="96" t="inlineStr">
        <is>
          <t>HASLS22260801914</t>
        </is>
      </c>
      <c r="N111" s="96" t="inlineStr">
        <is>
          <t xml:space="preserve">20'x33 </t>
        </is>
      </c>
      <c r="O111" s="111" t="inlineStr">
        <is>
          <t>2012</t>
        </is>
      </c>
      <c r="P111" s="111" t="n"/>
      <c r="Q111" s="111" t="n"/>
      <c r="R111" s="96" t="n"/>
      <c r="S111" s="96" t="n"/>
      <c r="T111" s="96" t="inlineStr">
        <is>
          <t>BKK04</t>
        </is>
      </c>
      <c r="U111" s="96" t="inlineStr">
        <is>
          <t>THBKK</t>
        </is>
      </c>
      <c r="V111" s="161" t="inlineStr">
        <is>
          <t>2026-10-08</t>
        </is>
      </c>
      <c r="W111" s="96" t="inlineStr">
        <is>
          <t>KRPTK</t>
        </is>
      </c>
      <c r="X111" s="161" t="inlineStr">
        <is>
          <t>2026-10-17</t>
        </is>
      </c>
      <c r="Y111" s="97" t="n"/>
      <c r="Z111" s="97" t="n"/>
      <c r="AA111" s="97" t="n"/>
      <c r="AB111" s="97" t="n"/>
      <c r="AC111" s="97" t="n"/>
      <c r="AD111" s="161" t="inlineStr">
        <is>
          <t>2026-09-20</t>
        </is>
      </c>
      <c r="AE111" s="174" t="inlineStr">
        <is>
          <t>1743</t>
        </is>
      </c>
      <c r="AF111" s="96" t="inlineStr">
        <is>
          <t>TBKK42</t>
        </is>
      </c>
      <c r="AG111" s="97" t="n"/>
      <c r="AH111" s="97" t="n"/>
      <c r="AI111" s="97" t="n"/>
      <c r="AJ111" s="96" t="inlineStr">
        <is>
          <t>TO THE ORDER OF KOOKMIN BANK</t>
        </is>
      </c>
      <c r="AK111" s="130" t="n">
        <v>0</v>
      </c>
    </row>
    <row r="112" ht="12" customHeight="1">
      <c r="A112" s="108" t="inlineStr">
        <is>
          <t>SKLU1301464</t>
        </is>
      </c>
      <c r="B112" s="108" t="inlineStr">
        <is>
          <t>BKK04</t>
        </is>
      </c>
      <c r="C112" s="108" t="inlineStr">
        <is>
          <t>IFV</t>
        </is>
      </c>
      <c r="D112" s="172" t="inlineStr">
        <is>
          <t>2026-10-04</t>
        </is>
      </c>
      <c r="E112" s="173" t="inlineStr">
        <is>
          <t>1325</t>
        </is>
      </c>
      <c r="F112" s="96" t="inlineStr">
        <is>
          <t>HASLS22260901638</t>
        </is>
      </c>
      <c r="G112" s="96" t="inlineStr">
        <is>
          <t>SDS-ACUTECH CO., LTD.</t>
        </is>
      </c>
      <c r="H112" s="111" t="inlineStr">
        <is>
          <t>22GP</t>
        </is>
      </c>
      <c r="I112" s="96" t="n"/>
      <c r="J112" s="96" t="inlineStr">
        <is>
          <t>Sirichai Prayochananon</t>
        </is>
      </c>
      <c r="K112" s="96" t="inlineStr">
        <is>
          <t>SD</t>
        </is>
      </c>
      <c r="L112" s="111" t="inlineStr">
        <is>
          <t>Full</t>
        </is>
      </c>
      <c r="M112" s="96" t="inlineStr">
        <is>
          <t>HASLS22260901638</t>
        </is>
      </c>
      <c r="N112" s="96" t="inlineStr">
        <is>
          <t xml:space="preserve">20'x1 </t>
        </is>
      </c>
      <c r="O112" s="111" t="inlineStr">
        <is>
          <t>2013</t>
        </is>
      </c>
      <c r="P112" s="111" t="n"/>
      <c r="Q112" s="111" t="n"/>
      <c r="R112" s="96" t="n"/>
      <c r="S112" s="96" t="n"/>
      <c r="T112" s="96" t="inlineStr">
        <is>
          <t>BKK04</t>
        </is>
      </c>
      <c r="U112" s="96" t="inlineStr">
        <is>
          <t>THBKK</t>
        </is>
      </c>
      <c r="V112" s="161" t="inlineStr">
        <is>
          <t>2026-10-08</t>
        </is>
      </c>
      <c r="W112" s="96" t="inlineStr">
        <is>
          <t>VNSGN</t>
        </is>
      </c>
      <c r="X112" s="161" t="inlineStr">
        <is>
          <t>2026-10-11</t>
        </is>
      </c>
      <c r="Y112" s="97" t="n"/>
      <c r="Z112" s="97" t="n"/>
      <c r="AA112" s="97" t="n"/>
      <c r="AB112" s="97" t="n"/>
      <c r="AC112" s="97" t="n"/>
      <c r="AD112" s="161" t="inlineStr">
        <is>
          <t>2026-10-04</t>
        </is>
      </c>
      <c r="AE112" s="174" t="inlineStr">
        <is>
          <t>2005</t>
        </is>
      </c>
      <c r="AF112" s="96" t="inlineStr">
        <is>
          <t>TBKK42</t>
        </is>
      </c>
      <c r="AG112" s="97" t="n"/>
      <c r="AH112" s="97" t="n"/>
      <c r="AI112" s="97" t="n"/>
      <c r="AJ112" s="96" t="inlineStr">
        <is>
          <t>SAMSUNG ELECTRONICS HCMC CE COMPLEX</t>
        </is>
      </c>
      <c r="AK112" s="130" t="n">
        <v>0</v>
      </c>
    </row>
    <row r="113" ht="12" customHeight="1">
      <c r="A113" s="108" t="inlineStr">
        <is>
          <t>SKLU1302202</t>
        </is>
      </c>
      <c r="B113" s="108" t="inlineStr">
        <is>
          <t>BKK04</t>
        </is>
      </c>
      <c r="C113" s="108" t="inlineStr">
        <is>
          <t>IFV</t>
        </is>
      </c>
      <c r="D113" s="172" t="inlineStr">
        <is>
          <t>2026-09-19</t>
        </is>
      </c>
      <c r="E113" s="173" t="inlineStr">
        <is>
          <t>2102</t>
        </is>
      </c>
      <c r="F113" s="96" t="inlineStr">
        <is>
          <t>HASLS22260801914</t>
        </is>
      </c>
      <c r="G113" s="96" t="inlineStr">
        <is>
          <t>DP WORLD LOGISTICS SOLUTIONS (THAILAND) COMPANY LIMITED</t>
        </is>
      </c>
      <c r="H113" s="111" t="inlineStr">
        <is>
          <t>22GP</t>
        </is>
      </c>
      <c r="I113" s="96" t="n"/>
      <c r="J113" s="96" t="inlineStr">
        <is>
          <t>Sirichai Prayochananon</t>
        </is>
      </c>
      <c r="K113" s="96" t="inlineStr">
        <is>
          <t>SD</t>
        </is>
      </c>
      <c r="L113" s="111" t="inlineStr">
        <is>
          <t>Full</t>
        </is>
      </c>
      <c r="M113" s="96" t="inlineStr">
        <is>
          <t>HASLS22260801914</t>
        </is>
      </c>
      <c r="N113" s="96" t="inlineStr">
        <is>
          <t xml:space="preserve">20'x33 </t>
        </is>
      </c>
      <c r="O113" s="111" t="inlineStr">
        <is>
          <t>2013</t>
        </is>
      </c>
      <c r="P113" s="111" t="n"/>
      <c r="Q113" s="111" t="n"/>
      <c r="R113" s="96" t="n"/>
      <c r="S113" s="96" t="n"/>
      <c r="T113" s="96" t="inlineStr">
        <is>
          <t>BKK04</t>
        </is>
      </c>
      <c r="U113" s="96" t="inlineStr">
        <is>
          <t>THBKK</t>
        </is>
      </c>
      <c r="V113" s="161" t="inlineStr">
        <is>
          <t>2026-10-08</t>
        </is>
      </c>
      <c r="W113" s="96" t="inlineStr">
        <is>
          <t>KRPTK</t>
        </is>
      </c>
      <c r="X113" s="161" t="inlineStr">
        <is>
          <t>2026-10-17</t>
        </is>
      </c>
      <c r="Y113" s="97" t="n"/>
      <c r="Z113" s="97" t="n"/>
      <c r="AA113" s="97" t="n"/>
      <c r="AB113" s="97" t="n"/>
      <c r="AC113" s="97" t="n"/>
      <c r="AD113" s="161" t="inlineStr">
        <is>
          <t>2026-09-20</t>
        </is>
      </c>
      <c r="AE113" s="174" t="inlineStr">
        <is>
          <t>1743</t>
        </is>
      </c>
      <c r="AF113" s="96" t="inlineStr">
        <is>
          <t>TBKK42</t>
        </is>
      </c>
      <c r="AG113" s="97" t="n"/>
      <c r="AH113" s="97" t="n"/>
      <c r="AI113" s="97" t="n"/>
      <c r="AJ113" s="96" t="inlineStr">
        <is>
          <t>TO THE ORDER OF KOOKMIN BANK</t>
        </is>
      </c>
      <c r="AK113" s="130" t="n">
        <v>0</v>
      </c>
    </row>
    <row r="114" ht="12" customHeight="1">
      <c r="A114" s="108" t="inlineStr">
        <is>
          <t>SKLU1303132</t>
        </is>
      </c>
      <c r="B114" s="108" t="inlineStr">
        <is>
          <t>BKK04</t>
        </is>
      </c>
      <c r="C114" s="108" t="inlineStr">
        <is>
          <t>IFV</t>
        </is>
      </c>
      <c r="D114" s="172" t="inlineStr">
        <is>
          <t>2026-09-19</t>
        </is>
      </c>
      <c r="E114" s="173" t="inlineStr">
        <is>
          <t>2104</t>
        </is>
      </c>
      <c r="F114" s="96" t="inlineStr">
        <is>
          <t>HASLS22260801914</t>
        </is>
      </c>
      <c r="G114" s="96" t="inlineStr">
        <is>
          <t>DP WORLD LOGISTICS SOLUTIONS (THAILAND) COMPANY LIMITED</t>
        </is>
      </c>
      <c r="H114" s="111" t="inlineStr">
        <is>
          <t>22GP</t>
        </is>
      </c>
      <c r="I114" s="96" t="n"/>
      <c r="J114" s="96" t="inlineStr">
        <is>
          <t>Sirichai Prayochananon</t>
        </is>
      </c>
      <c r="K114" s="96" t="inlineStr">
        <is>
          <t>SD</t>
        </is>
      </c>
      <c r="L114" s="111" t="inlineStr">
        <is>
          <t>Full</t>
        </is>
      </c>
      <c r="M114" s="96" t="inlineStr">
        <is>
          <t>HASLS22260801914</t>
        </is>
      </c>
      <c r="N114" s="96" t="inlineStr">
        <is>
          <t xml:space="preserve">20'x33 </t>
        </is>
      </c>
      <c r="O114" s="111" t="inlineStr">
        <is>
          <t>2013</t>
        </is>
      </c>
      <c r="P114" s="111" t="n"/>
      <c r="Q114" s="111" t="n"/>
      <c r="R114" s="96" t="n"/>
      <c r="S114" s="96" t="n"/>
      <c r="T114" s="96" t="inlineStr">
        <is>
          <t>BKK04</t>
        </is>
      </c>
      <c r="U114" s="96" t="inlineStr">
        <is>
          <t>THBKK</t>
        </is>
      </c>
      <c r="V114" s="161" t="inlineStr">
        <is>
          <t>2026-10-08</t>
        </is>
      </c>
      <c r="W114" s="96" t="inlineStr">
        <is>
          <t>KRPTK</t>
        </is>
      </c>
      <c r="X114" s="161" t="inlineStr">
        <is>
          <t>2026-10-17</t>
        </is>
      </c>
      <c r="Y114" s="97" t="n"/>
      <c r="Z114" s="97" t="n"/>
      <c r="AA114" s="97" t="n"/>
      <c r="AB114" s="97" t="n"/>
      <c r="AC114" s="97" t="n"/>
      <c r="AD114" s="161" t="inlineStr">
        <is>
          <t>2026-09-20</t>
        </is>
      </c>
      <c r="AE114" s="174" t="inlineStr">
        <is>
          <t>1743</t>
        </is>
      </c>
      <c r="AF114" s="96" t="inlineStr">
        <is>
          <t>TBKK42</t>
        </is>
      </c>
      <c r="AG114" s="97" t="n"/>
      <c r="AH114" s="97" t="n"/>
      <c r="AI114" s="97" t="n"/>
      <c r="AJ114" s="96" t="inlineStr">
        <is>
          <t>TO THE ORDER OF KOOKMIN BANK</t>
        </is>
      </c>
      <c r="AK114" s="130" t="n">
        <v>0</v>
      </c>
    </row>
    <row r="115" ht="12" customHeight="1">
      <c r="A115" s="108" t="inlineStr">
        <is>
          <t>SKLU1327495</t>
        </is>
      </c>
      <c r="B115" s="108" t="inlineStr">
        <is>
          <t>BKK04</t>
        </is>
      </c>
      <c r="C115" s="108" t="inlineStr">
        <is>
          <t>IFV</t>
        </is>
      </c>
      <c r="D115" s="172" t="inlineStr">
        <is>
          <t>2026-10-02</t>
        </is>
      </c>
      <c r="E115" s="173" t="inlineStr">
        <is>
          <t>2001</t>
        </is>
      </c>
      <c r="F115" s="96" t="inlineStr">
        <is>
          <t>HASLS22260900630</t>
        </is>
      </c>
      <c r="G115" s="96" t="inlineStr">
        <is>
          <t>ICONS GLOBAL LOGISTICS CO., LTD.</t>
        </is>
      </c>
      <c r="H115" s="111" t="inlineStr">
        <is>
          <t>22GP</t>
        </is>
      </c>
      <c r="I115" s="96" t="n"/>
      <c r="J115" s="96" t="inlineStr">
        <is>
          <t>Sirichai Prayochananon</t>
        </is>
      </c>
      <c r="K115" s="96" t="inlineStr">
        <is>
          <t>SD</t>
        </is>
      </c>
      <c r="L115" s="111" t="inlineStr">
        <is>
          <t>Full</t>
        </is>
      </c>
      <c r="M115" s="96" t="inlineStr">
        <is>
          <t>HASLS22260900630</t>
        </is>
      </c>
      <c r="N115" s="96" t="inlineStr">
        <is>
          <t xml:space="preserve">20'x10 </t>
        </is>
      </c>
      <c r="O115" s="111" t="inlineStr">
        <is>
          <t>2013</t>
        </is>
      </c>
      <c r="P115" s="111" t="n"/>
      <c r="Q115" s="111" t="n"/>
      <c r="R115" s="96" t="n"/>
      <c r="S115" s="96" t="n"/>
      <c r="T115" s="96" t="inlineStr">
        <is>
          <t>BKK04</t>
        </is>
      </c>
      <c r="U115" s="96" t="inlineStr">
        <is>
          <t>THBKK</t>
        </is>
      </c>
      <c r="V115" s="161" t="inlineStr">
        <is>
          <t>2026-10-08</t>
        </is>
      </c>
      <c r="W115" s="96" t="inlineStr">
        <is>
          <t>VNSGN</t>
        </is>
      </c>
      <c r="X115" s="161" t="inlineStr">
        <is>
          <t>2026-10-11</t>
        </is>
      </c>
      <c r="Y115" s="97" t="n"/>
      <c r="Z115" s="97" t="n"/>
      <c r="AA115" s="97" t="n"/>
      <c r="AB115" s="97" t="n"/>
      <c r="AC115" s="97" t="n"/>
      <c r="AD115" s="161" t="inlineStr">
        <is>
          <t>2026-10-04</t>
        </is>
      </c>
      <c r="AE115" s="174" t="inlineStr">
        <is>
          <t>2005</t>
        </is>
      </c>
      <c r="AF115" s="96" t="inlineStr">
        <is>
          <t>TBKK42</t>
        </is>
      </c>
      <c r="AG115" s="97" t="n"/>
      <c r="AH115" s="97" t="n"/>
      <c r="AI115" s="97" t="n"/>
      <c r="AJ115" s="96" t="inlineStr">
        <is>
          <t>MEKONG COMMODITIES JSC</t>
        </is>
      </c>
      <c r="AK115" s="130" t="n">
        <v>0</v>
      </c>
    </row>
    <row r="116" ht="12" customHeight="1">
      <c r="A116" s="108" t="inlineStr">
        <is>
          <t>SKLU1404436</t>
        </is>
      </c>
      <c r="B116" s="108" t="inlineStr">
        <is>
          <t>BKK01</t>
        </is>
      </c>
      <c r="C116" s="108" t="inlineStr">
        <is>
          <t>IFV</t>
        </is>
      </c>
      <c r="D116" s="172" t="inlineStr">
        <is>
          <t>2026-09-29</t>
        </is>
      </c>
      <c r="E116" s="173" t="inlineStr">
        <is>
          <t>0223</t>
        </is>
      </c>
      <c r="F116" s="96" t="inlineStr">
        <is>
          <t>HASLS22260901537</t>
        </is>
      </c>
      <c r="G116" s="96" t="inlineStr">
        <is>
          <t>SCGJWD LOGISTICS PUBLIC COMPANY LIMITED</t>
        </is>
      </c>
      <c r="H116" s="111" t="inlineStr">
        <is>
          <t>22GP</t>
        </is>
      </c>
      <c r="I116" s="96" t="n"/>
      <c r="J116" s="96" t="inlineStr">
        <is>
          <t>Chuanchuen</t>
        </is>
      </c>
      <c r="K116" s="96" t="inlineStr">
        <is>
          <t>SD</t>
        </is>
      </c>
      <c r="L116" s="111" t="inlineStr">
        <is>
          <t>Full</t>
        </is>
      </c>
      <c r="M116" s="96" t="inlineStr">
        <is>
          <t>HASLS22260901537</t>
        </is>
      </c>
      <c r="N116" s="96" t="inlineStr">
        <is>
          <t xml:space="preserve">20'x2 </t>
        </is>
      </c>
      <c r="O116" s="111" t="inlineStr">
        <is>
          <t>2014</t>
        </is>
      </c>
      <c r="P116" s="111" t="n"/>
      <c r="Q116" s="111" t="n"/>
      <c r="R116" s="96" t="n"/>
      <c r="S116" s="96" t="n"/>
      <c r="T116" s="96" t="inlineStr">
        <is>
          <t>BKK04</t>
        </is>
      </c>
      <c r="U116" s="96" t="inlineStr">
        <is>
          <t>THBKK</t>
        </is>
      </c>
      <c r="V116" s="161" t="inlineStr">
        <is>
          <t>2026-10-08</t>
        </is>
      </c>
      <c r="W116" s="96" t="inlineStr">
        <is>
          <t>JPIYM</t>
        </is>
      </c>
      <c r="X116" s="161" t="inlineStr">
        <is>
          <t>2026-10-19</t>
        </is>
      </c>
      <c r="Y116" s="97" t="n"/>
      <c r="Z116" s="97" t="n"/>
      <c r="AA116" s="97" t="n"/>
      <c r="AB116" s="97" t="n"/>
      <c r="AC116" s="97" t="n"/>
      <c r="AD116" s="161" t="inlineStr">
        <is>
          <t>2026-09-29</t>
        </is>
      </c>
      <c r="AE116" s="174" t="inlineStr">
        <is>
          <t>1052</t>
        </is>
      </c>
      <c r="AF116" s="96" t="inlineStr">
        <is>
          <t>TBKK07</t>
        </is>
      </c>
      <c r="AG116" s="97" t="n"/>
      <c r="AH116" s="97" t="n"/>
      <c r="AI116" s="97" t="n"/>
      <c r="AJ116" s="96" t="inlineStr">
        <is>
          <t>USUI METALS CORPORATION</t>
        </is>
      </c>
      <c r="AK116" s="130" t="n">
        <v>0</v>
      </c>
    </row>
    <row r="117" ht="12" customHeight="1">
      <c r="A117" s="108" t="inlineStr">
        <is>
          <t>SKLU1411137</t>
        </is>
      </c>
      <c r="B117" s="108" t="inlineStr">
        <is>
          <t>BKK04</t>
        </is>
      </c>
      <c r="C117" s="108" t="inlineStr">
        <is>
          <t>IFV</t>
        </is>
      </c>
      <c r="D117" s="172" t="inlineStr">
        <is>
          <t>2026-09-19</t>
        </is>
      </c>
      <c r="E117" s="173" t="inlineStr">
        <is>
          <t>2045</t>
        </is>
      </c>
      <c r="F117" s="96" t="inlineStr">
        <is>
          <t>HASLS22260801914</t>
        </is>
      </c>
      <c r="G117" s="96" t="inlineStr">
        <is>
          <t>DP WORLD LOGISTICS SOLUTIONS (THAILAND) COMPANY LIMITED</t>
        </is>
      </c>
      <c r="H117" s="111" t="inlineStr">
        <is>
          <t>22GP</t>
        </is>
      </c>
      <c r="I117" s="96" t="n"/>
      <c r="J117" s="96" t="inlineStr">
        <is>
          <t>Sirichai Prayochananon</t>
        </is>
      </c>
      <c r="K117" s="96" t="inlineStr">
        <is>
          <t>SD</t>
        </is>
      </c>
      <c r="L117" s="111" t="inlineStr">
        <is>
          <t>Full</t>
        </is>
      </c>
      <c r="M117" s="96" t="inlineStr">
        <is>
          <t>HASLS22260801914</t>
        </is>
      </c>
      <c r="N117" s="96" t="inlineStr">
        <is>
          <t xml:space="preserve">20'x33 </t>
        </is>
      </c>
      <c r="O117" s="111" t="inlineStr">
        <is>
          <t>2014</t>
        </is>
      </c>
      <c r="P117" s="111" t="n"/>
      <c r="Q117" s="111" t="n"/>
      <c r="R117" s="96" t="n"/>
      <c r="S117" s="96" t="n"/>
      <c r="T117" s="96" t="inlineStr">
        <is>
          <t>BKK04</t>
        </is>
      </c>
      <c r="U117" s="96" t="inlineStr">
        <is>
          <t>THBKK</t>
        </is>
      </c>
      <c r="V117" s="161" t="inlineStr">
        <is>
          <t>2026-10-08</t>
        </is>
      </c>
      <c r="W117" s="96" t="inlineStr">
        <is>
          <t>KRPTK</t>
        </is>
      </c>
      <c r="X117" s="161" t="inlineStr">
        <is>
          <t>2026-10-17</t>
        </is>
      </c>
      <c r="Y117" s="97" t="n"/>
      <c r="Z117" s="97" t="n"/>
      <c r="AA117" s="97" t="n"/>
      <c r="AB117" s="97" t="n"/>
      <c r="AC117" s="97" t="n"/>
      <c r="AD117" s="161" t="inlineStr">
        <is>
          <t>2026-09-20</t>
        </is>
      </c>
      <c r="AE117" s="174" t="inlineStr">
        <is>
          <t>1743</t>
        </is>
      </c>
      <c r="AF117" s="96" t="inlineStr">
        <is>
          <t>TBKK42</t>
        </is>
      </c>
      <c r="AG117" s="97" t="n"/>
      <c r="AH117" s="97" t="n"/>
      <c r="AI117" s="97" t="n"/>
      <c r="AJ117" s="96" t="inlineStr">
        <is>
          <t>TO THE ORDER OF KOOKMIN BANK</t>
        </is>
      </c>
      <c r="AK117" s="130" t="n">
        <v>0</v>
      </c>
    </row>
    <row r="118" ht="12" customHeight="1">
      <c r="A118" s="108" t="inlineStr">
        <is>
          <t>SKLU1436217</t>
        </is>
      </c>
      <c r="B118" s="108" t="inlineStr">
        <is>
          <t>BKK04</t>
        </is>
      </c>
      <c r="C118" s="108" t="inlineStr">
        <is>
          <t>IFV</t>
        </is>
      </c>
      <c r="D118" s="172" t="inlineStr">
        <is>
          <t>2026-10-02</t>
        </is>
      </c>
      <c r="E118" s="173" t="inlineStr">
        <is>
          <t>2010</t>
        </is>
      </c>
      <c r="F118" s="96" t="inlineStr">
        <is>
          <t>HASLS22260901598</t>
        </is>
      </c>
      <c r="G118" s="96" t="inlineStr">
        <is>
          <t>C.P. INTERTRADE CO., LTD.</t>
        </is>
      </c>
      <c r="H118" s="111" t="inlineStr">
        <is>
          <t>22GP</t>
        </is>
      </c>
      <c r="I118" s="96" t="n"/>
      <c r="J118" s="96" t="inlineStr">
        <is>
          <t>Sirichai Prayochananon</t>
        </is>
      </c>
      <c r="K118" s="96" t="inlineStr">
        <is>
          <t>SD</t>
        </is>
      </c>
      <c r="L118" s="111" t="inlineStr">
        <is>
          <t>Full</t>
        </is>
      </c>
      <c r="M118" s="96" t="inlineStr">
        <is>
          <t>HASLS22260901598</t>
        </is>
      </c>
      <c r="N118" s="96" t="inlineStr">
        <is>
          <t xml:space="preserve">20'x3 </t>
        </is>
      </c>
      <c r="O118" s="111" t="inlineStr">
        <is>
          <t>2014</t>
        </is>
      </c>
      <c r="P118" s="111" t="n"/>
      <c r="Q118" s="111" t="n"/>
      <c r="R118" s="96" t="n"/>
      <c r="S118" s="96" t="n"/>
      <c r="T118" s="96" t="inlineStr">
        <is>
          <t>BKK04</t>
        </is>
      </c>
      <c r="U118" s="96" t="inlineStr">
        <is>
          <t>THBKK</t>
        </is>
      </c>
      <c r="V118" s="161" t="inlineStr">
        <is>
          <t>2026-10-08</t>
        </is>
      </c>
      <c r="W118" s="96" t="inlineStr">
        <is>
          <t>VNSGN</t>
        </is>
      </c>
      <c r="X118" s="161" t="inlineStr">
        <is>
          <t>2026-10-11</t>
        </is>
      </c>
      <c r="Y118" s="97" t="n"/>
      <c r="Z118" s="97" t="n"/>
      <c r="AA118" s="97" t="n"/>
      <c r="AB118" s="97" t="n"/>
      <c r="AC118" s="97" t="n"/>
      <c r="AD118" s="161" t="inlineStr">
        <is>
          <t>2026-10-04</t>
        </is>
      </c>
      <c r="AE118" s="174" t="inlineStr">
        <is>
          <t>2005</t>
        </is>
      </c>
      <c r="AF118" s="96" t="inlineStr">
        <is>
          <t>TBKK42</t>
        </is>
      </c>
      <c r="AG118" s="97" t="n"/>
      <c r="AH118" s="97" t="n"/>
      <c r="AI118" s="97" t="n"/>
      <c r="AJ118" s="96" t="inlineStr">
        <is>
          <t>C.P.SEEDS (VIETNAM) CO.,LTD.</t>
        </is>
      </c>
      <c r="AK118" s="130" t="n">
        <v>0</v>
      </c>
    </row>
    <row r="119" ht="12" customHeight="1">
      <c r="A119" s="108" t="inlineStr">
        <is>
          <t>SKLU1441661</t>
        </is>
      </c>
      <c r="B119" s="108" t="inlineStr">
        <is>
          <t>BKK04</t>
        </is>
      </c>
      <c r="C119" s="108" t="inlineStr">
        <is>
          <t>IFV</t>
        </is>
      </c>
      <c r="D119" s="172" t="inlineStr">
        <is>
          <t>2026-09-19</t>
        </is>
      </c>
      <c r="E119" s="173" t="inlineStr">
        <is>
          <t>0022</t>
        </is>
      </c>
      <c r="F119" s="96" t="inlineStr">
        <is>
          <t>HASLS22260900196</t>
        </is>
      </c>
      <c r="G119" s="96" t="inlineStr">
        <is>
          <t>SANGUAN WONGSE STARCH CO., LTD.</t>
        </is>
      </c>
      <c r="H119" s="111" t="inlineStr">
        <is>
          <t>22GP</t>
        </is>
      </c>
      <c r="I119" s="96" t="n"/>
      <c r="J119" s="96" t="inlineStr">
        <is>
          <t>Sirichai Prayochananon</t>
        </is>
      </c>
      <c r="K119" s="96" t="inlineStr">
        <is>
          <t>SD</t>
        </is>
      </c>
      <c r="L119" s="111" t="inlineStr">
        <is>
          <t>Full</t>
        </is>
      </c>
      <c r="M119" s="96" t="inlineStr">
        <is>
          <t>HASLS22260900196</t>
        </is>
      </c>
      <c r="N119" s="96" t="inlineStr">
        <is>
          <t xml:space="preserve">20'x12 </t>
        </is>
      </c>
      <c r="O119" s="111" t="inlineStr">
        <is>
          <t>2014</t>
        </is>
      </c>
      <c r="P119" s="111" t="n"/>
      <c r="Q119" s="111" t="n"/>
      <c r="R119" s="96" t="n"/>
      <c r="S119" s="96" t="n"/>
      <c r="T119" s="96" t="inlineStr">
        <is>
          <t>BKK04</t>
        </is>
      </c>
      <c r="U119" s="96" t="inlineStr">
        <is>
          <t>THBKK</t>
        </is>
      </c>
      <c r="V119" s="161" t="inlineStr">
        <is>
          <t>2026-10-08</t>
        </is>
      </c>
      <c r="W119" s="96" t="inlineStr">
        <is>
          <t>JPSEN</t>
        </is>
      </c>
      <c r="X119" s="161" t="inlineStr">
        <is>
          <t>2026-10-19</t>
        </is>
      </c>
      <c r="Y119" s="97" t="n"/>
      <c r="Z119" s="97" t="n"/>
      <c r="AA119" s="97" t="n"/>
      <c r="AB119" s="97" t="n"/>
      <c r="AC119" s="97" t="n"/>
      <c r="AD119" s="161" t="inlineStr">
        <is>
          <t>2026-09-20</t>
        </is>
      </c>
      <c r="AE119" s="174" t="inlineStr">
        <is>
          <t>1743</t>
        </is>
      </c>
      <c r="AF119" s="96" t="inlineStr">
        <is>
          <t>TBKK42</t>
        </is>
      </c>
      <c r="AG119" s="97" t="n"/>
      <c r="AH119" s="97" t="n"/>
      <c r="AI119" s="97" t="n"/>
      <c r="AJ119" s="96" t="inlineStr">
        <is>
          <t>SANSHO CO., LTD.</t>
        </is>
      </c>
      <c r="AK119" s="130" t="n">
        <v>0</v>
      </c>
    </row>
    <row r="120" ht="12" customHeight="1">
      <c r="A120" s="108" t="inlineStr">
        <is>
          <t>SKLU1509777</t>
        </is>
      </c>
      <c r="B120" s="108" t="inlineStr">
        <is>
          <t>BKK04</t>
        </is>
      </c>
      <c r="C120" s="108" t="inlineStr">
        <is>
          <t>IFV</t>
        </is>
      </c>
      <c r="D120" s="172" t="inlineStr">
        <is>
          <t>2026-10-02</t>
        </is>
      </c>
      <c r="E120" s="173" t="inlineStr">
        <is>
          <t>1417</t>
        </is>
      </c>
      <c r="F120" s="96" t="inlineStr">
        <is>
          <t>HASLS22260900630</t>
        </is>
      </c>
      <c r="G120" s="96" t="inlineStr">
        <is>
          <t>ICONS GLOBAL LOGISTICS CO., LTD.</t>
        </is>
      </c>
      <c r="H120" s="111" t="inlineStr">
        <is>
          <t>22GP</t>
        </is>
      </c>
      <c r="I120" s="96" t="n"/>
      <c r="J120" s="96" t="inlineStr">
        <is>
          <t>Chuanchuen</t>
        </is>
      </c>
      <c r="K120" s="96" t="inlineStr">
        <is>
          <t>SD</t>
        </is>
      </c>
      <c r="L120" s="111" t="inlineStr">
        <is>
          <t>Full</t>
        </is>
      </c>
      <c r="M120" s="96" t="inlineStr">
        <is>
          <t>HASLS22260900630</t>
        </is>
      </c>
      <c r="N120" s="96" t="inlineStr">
        <is>
          <t xml:space="preserve">20'x10 </t>
        </is>
      </c>
      <c r="O120" s="111" t="inlineStr">
        <is>
          <t>2015</t>
        </is>
      </c>
      <c r="P120" s="111" t="n"/>
      <c r="Q120" s="111" t="n"/>
      <c r="R120" s="96" t="n"/>
      <c r="S120" s="96" t="n"/>
      <c r="T120" s="96" t="inlineStr">
        <is>
          <t>BKK04</t>
        </is>
      </c>
      <c r="U120" s="96" t="inlineStr">
        <is>
          <t>THBKK</t>
        </is>
      </c>
      <c r="V120" s="161" t="inlineStr">
        <is>
          <t>2026-10-08</t>
        </is>
      </c>
      <c r="W120" s="96" t="inlineStr">
        <is>
          <t>VNSGN</t>
        </is>
      </c>
      <c r="X120" s="161" t="inlineStr">
        <is>
          <t>2026-10-11</t>
        </is>
      </c>
      <c r="Y120" s="97" t="n"/>
      <c r="Z120" s="97" t="n"/>
      <c r="AA120" s="97" t="n"/>
      <c r="AB120" s="97" t="n"/>
      <c r="AC120" s="97" t="n"/>
      <c r="AD120" s="161" t="inlineStr">
        <is>
          <t>2026-10-02</t>
        </is>
      </c>
      <c r="AE120" s="174" t="inlineStr">
        <is>
          <t>2027</t>
        </is>
      </c>
      <c r="AF120" s="96" t="inlineStr">
        <is>
          <t>TBKK07</t>
        </is>
      </c>
      <c r="AG120" s="97" t="n"/>
      <c r="AH120" s="97" t="n"/>
      <c r="AI120" s="97" t="n"/>
      <c r="AJ120" s="96" t="inlineStr">
        <is>
          <t>MEKONG COMMODITIES JSC</t>
        </is>
      </c>
      <c r="AK120" s="130" t="n">
        <v>0</v>
      </c>
    </row>
    <row r="121" ht="12" customHeight="1">
      <c r="A121" s="108" t="inlineStr">
        <is>
          <t>SKLU1526012</t>
        </is>
      </c>
      <c r="B121" s="108" t="inlineStr">
        <is>
          <t>BKK04</t>
        </is>
      </c>
      <c r="C121" s="108" t="inlineStr">
        <is>
          <t>IFV</t>
        </is>
      </c>
      <c r="D121" s="172" t="inlineStr">
        <is>
          <t>2026-10-02</t>
        </is>
      </c>
      <c r="E121" s="173" t="inlineStr">
        <is>
          <t>0044</t>
        </is>
      </c>
      <c r="F121" s="96" t="inlineStr">
        <is>
          <t>HASLS22260900796</t>
        </is>
      </c>
      <c r="G121" s="96" t="inlineStr">
        <is>
          <t>BIRLA CARBON (THAILAND) PUBLIC COMPANY LIMITED</t>
        </is>
      </c>
      <c r="H121" s="111" t="inlineStr">
        <is>
          <t>22GP</t>
        </is>
      </c>
      <c r="I121" s="96" t="n"/>
      <c r="J121" s="96" t="inlineStr">
        <is>
          <t>Chuanchuen</t>
        </is>
      </c>
      <c r="K121" s="96" t="inlineStr">
        <is>
          <t>SD</t>
        </is>
      </c>
      <c r="L121" s="111" t="inlineStr">
        <is>
          <t>Full</t>
        </is>
      </c>
      <c r="M121" s="96" t="inlineStr">
        <is>
          <t>HASLS22260900796</t>
        </is>
      </c>
      <c r="N121" s="96" t="inlineStr">
        <is>
          <t xml:space="preserve">20'x1 </t>
        </is>
      </c>
      <c r="O121" s="111" t="inlineStr">
        <is>
          <t>2015</t>
        </is>
      </c>
      <c r="P121" s="111" t="n"/>
      <c r="Q121" s="111" t="n"/>
      <c r="R121" s="96" t="n"/>
      <c r="S121" s="96" t="n"/>
      <c r="T121" s="96" t="inlineStr">
        <is>
          <t>BKK04</t>
        </is>
      </c>
      <c r="U121" s="96" t="inlineStr">
        <is>
          <t>THBKK</t>
        </is>
      </c>
      <c r="V121" s="161" t="inlineStr">
        <is>
          <t>2026-10-08</t>
        </is>
      </c>
      <c r="W121" s="96" t="inlineStr">
        <is>
          <t>JPSDJ</t>
        </is>
      </c>
      <c r="X121" s="161" t="inlineStr">
        <is>
          <t>2026-10-19</t>
        </is>
      </c>
      <c r="Y121" s="97" t="n"/>
      <c r="Z121" s="97" t="n"/>
      <c r="AA121" s="97" t="n"/>
      <c r="AB121" s="97" t="n"/>
      <c r="AC121" s="97" t="n"/>
      <c r="AD121" s="161" t="inlineStr">
        <is>
          <t>2026-10-02</t>
        </is>
      </c>
      <c r="AE121" s="174" t="inlineStr">
        <is>
          <t>1102</t>
        </is>
      </c>
      <c r="AF121" s="96" t="inlineStr">
        <is>
          <t>TBKK07</t>
        </is>
      </c>
      <c r="AG121" s="97" t="n"/>
      <c r="AH121" s="97" t="n"/>
      <c r="AI121" s="97" t="n"/>
      <c r="AJ121" s="96" t="inlineStr">
        <is>
          <t>TOYO TIRE CORPORATION PROCUREMENT</t>
        </is>
      </c>
      <c r="AK121" s="130" t="n">
        <v>0</v>
      </c>
    </row>
    <row r="122" ht="12" customHeight="1">
      <c r="A122" s="108" t="inlineStr">
        <is>
          <t>SKLU1532490</t>
        </is>
      </c>
      <c r="B122" s="108" t="inlineStr">
        <is>
          <t>BKK04</t>
        </is>
      </c>
      <c r="C122" s="108" t="inlineStr">
        <is>
          <t>IFV</t>
        </is>
      </c>
      <c r="D122" s="172" t="inlineStr">
        <is>
          <t>2026-10-02</t>
        </is>
      </c>
      <c r="E122" s="173" t="inlineStr">
        <is>
          <t>1547</t>
        </is>
      </c>
      <c r="F122" s="96" t="inlineStr">
        <is>
          <t>HASLS22260900630</t>
        </is>
      </c>
      <c r="G122" s="96" t="inlineStr">
        <is>
          <t>ICONS GLOBAL LOGISTICS CO., LTD.</t>
        </is>
      </c>
      <c r="H122" s="111" t="inlineStr">
        <is>
          <t>22GP</t>
        </is>
      </c>
      <c r="I122" s="96" t="n"/>
      <c r="J122" s="96" t="inlineStr">
        <is>
          <t>Chuanchuen</t>
        </is>
      </c>
      <c r="K122" s="96" t="inlineStr">
        <is>
          <t>SD</t>
        </is>
      </c>
      <c r="L122" s="111" t="inlineStr">
        <is>
          <t>Full</t>
        </is>
      </c>
      <c r="M122" s="96" t="inlineStr">
        <is>
          <t>HASLS22260900630</t>
        </is>
      </c>
      <c r="N122" s="96" t="inlineStr">
        <is>
          <t xml:space="preserve">20'x10 </t>
        </is>
      </c>
      <c r="O122" s="111" t="inlineStr">
        <is>
          <t>2015</t>
        </is>
      </c>
      <c r="P122" s="111" t="n"/>
      <c r="Q122" s="111" t="n"/>
      <c r="R122" s="96" t="n"/>
      <c r="S122" s="96" t="n"/>
      <c r="T122" s="96" t="inlineStr">
        <is>
          <t>BKK04</t>
        </is>
      </c>
      <c r="U122" s="96" t="inlineStr">
        <is>
          <t>THBKK</t>
        </is>
      </c>
      <c r="V122" s="161" t="inlineStr">
        <is>
          <t>2026-10-08</t>
        </is>
      </c>
      <c r="W122" s="96" t="inlineStr">
        <is>
          <t>VNSGN</t>
        </is>
      </c>
      <c r="X122" s="161" t="inlineStr">
        <is>
          <t>2026-10-11</t>
        </is>
      </c>
      <c r="Y122" s="97" t="n"/>
      <c r="Z122" s="97" t="n"/>
      <c r="AA122" s="97" t="n"/>
      <c r="AB122" s="97" t="n"/>
      <c r="AC122" s="97" t="n"/>
      <c r="AD122" s="161" t="inlineStr">
        <is>
          <t>2026-10-02</t>
        </is>
      </c>
      <c r="AE122" s="174" t="inlineStr">
        <is>
          <t>2027</t>
        </is>
      </c>
      <c r="AF122" s="96" t="inlineStr">
        <is>
          <t>TBKK07</t>
        </is>
      </c>
      <c r="AG122" s="97" t="n"/>
      <c r="AH122" s="97" t="n"/>
      <c r="AI122" s="97" t="n"/>
      <c r="AJ122" s="96" t="inlineStr">
        <is>
          <t>MEKONG COMMODITIES JSC</t>
        </is>
      </c>
      <c r="AK122" s="130" t="n">
        <v>0</v>
      </c>
    </row>
    <row r="123" ht="12" customHeight="1">
      <c r="A123" s="108" t="inlineStr">
        <is>
          <t>SKLU1534105</t>
        </is>
      </c>
      <c r="B123" s="108" t="inlineStr">
        <is>
          <t>BKK04</t>
        </is>
      </c>
      <c r="C123" s="108" t="inlineStr">
        <is>
          <t>IFV</t>
        </is>
      </c>
      <c r="D123" s="172" t="inlineStr">
        <is>
          <t>2026-10-02</t>
        </is>
      </c>
      <c r="E123" s="173" t="inlineStr">
        <is>
          <t>1202</t>
        </is>
      </c>
      <c r="F123" s="96" t="inlineStr">
        <is>
          <t>HASLS22260900630</t>
        </is>
      </c>
      <c r="G123" s="96" t="inlineStr">
        <is>
          <t>ICONS GLOBAL LOGISTICS CO., LTD.</t>
        </is>
      </c>
      <c r="H123" s="111" t="inlineStr">
        <is>
          <t>22GP</t>
        </is>
      </c>
      <c r="I123" s="96" t="n"/>
      <c r="J123" s="96" t="inlineStr">
        <is>
          <t>Chuanchuen</t>
        </is>
      </c>
      <c r="K123" s="96" t="inlineStr">
        <is>
          <t>SD</t>
        </is>
      </c>
      <c r="L123" s="111" t="inlineStr">
        <is>
          <t>Full</t>
        </is>
      </c>
      <c r="M123" s="96" t="inlineStr">
        <is>
          <t>HASLS22260900630</t>
        </is>
      </c>
      <c r="N123" s="96" t="inlineStr">
        <is>
          <t xml:space="preserve">20'x10 </t>
        </is>
      </c>
      <c r="O123" s="111" t="inlineStr">
        <is>
          <t>2015</t>
        </is>
      </c>
      <c r="P123" s="111" t="n"/>
      <c r="Q123" s="111" t="n"/>
      <c r="R123" s="96" t="n"/>
      <c r="S123" s="96" t="n"/>
      <c r="T123" s="96" t="inlineStr">
        <is>
          <t>BKK04</t>
        </is>
      </c>
      <c r="U123" s="96" t="inlineStr">
        <is>
          <t>THBKK</t>
        </is>
      </c>
      <c r="V123" s="161" t="inlineStr">
        <is>
          <t>2026-10-08</t>
        </is>
      </c>
      <c r="W123" s="96" t="inlineStr">
        <is>
          <t>VNSGN</t>
        </is>
      </c>
      <c r="X123" s="161" t="inlineStr">
        <is>
          <t>2026-10-11</t>
        </is>
      </c>
      <c r="Y123" s="97" t="n"/>
      <c r="Z123" s="97" t="n"/>
      <c r="AA123" s="97" t="n"/>
      <c r="AB123" s="97" t="n"/>
      <c r="AC123" s="97" t="n"/>
      <c r="AD123" s="161" t="inlineStr">
        <is>
          <t>2026-10-02</t>
        </is>
      </c>
      <c r="AE123" s="174" t="inlineStr">
        <is>
          <t>2027</t>
        </is>
      </c>
      <c r="AF123" s="96" t="inlineStr">
        <is>
          <t>TBKK07</t>
        </is>
      </c>
      <c r="AG123" s="97" t="n"/>
      <c r="AH123" s="97" t="n"/>
      <c r="AI123" s="97" t="n"/>
      <c r="AJ123" s="96" t="inlineStr">
        <is>
          <t>MEKONG COMMODITIES JSC</t>
        </is>
      </c>
      <c r="AK123" s="130" t="n">
        <v>0</v>
      </c>
    </row>
    <row r="124" ht="12" customHeight="1">
      <c r="A124" s="108" t="inlineStr">
        <is>
          <t>SKLU1568379</t>
        </is>
      </c>
      <c r="B124" s="108" t="inlineStr">
        <is>
          <t>BKK04</t>
        </is>
      </c>
      <c r="C124" s="108" t="inlineStr">
        <is>
          <t>IFV</t>
        </is>
      </c>
      <c r="D124" s="172" t="inlineStr">
        <is>
          <t>2026-10-02</t>
        </is>
      </c>
      <c r="E124" s="173" t="inlineStr">
        <is>
          <t>1201</t>
        </is>
      </c>
      <c r="F124" s="96" t="inlineStr">
        <is>
          <t>HASLS22260900630</t>
        </is>
      </c>
      <c r="G124" s="96" t="inlineStr">
        <is>
          <t>ICONS GLOBAL LOGISTICS CO., LTD.</t>
        </is>
      </c>
      <c r="H124" s="111" t="inlineStr">
        <is>
          <t>22GP</t>
        </is>
      </c>
      <c r="I124" s="96" t="n"/>
      <c r="J124" s="96" t="inlineStr">
        <is>
          <t>Chuanchuen</t>
        </is>
      </c>
      <c r="K124" s="96" t="inlineStr">
        <is>
          <t>SD</t>
        </is>
      </c>
      <c r="L124" s="111" t="inlineStr">
        <is>
          <t>Full</t>
        </is>
      </c>
      <c r="M124" s="96" t="inlineStr">
        <is>
          <t>HASLS22260900630</t>
        </is>
      </c>
      <c r="N124" s="96" t="inlineStr">
        <is>
          <t xml:space="preserve">20'x10 </t>
        </is>
      </c>
      <c r="O124" s="111" t="inlineStr">
        <is>
          <t>2015</t>
        </is>
      </c>
      <c r="P124" s="111" t="n"/>
      <c r="Q124" s="111" t="n"/>
      <c r="R124" s="96" t="n"/>
      <c r="S124" s="96" t="n"/>
      <c r="T124" s="96" t="inlineStr">
        <is>
          <t>BKK04</t>
        </is>
      </c>
      <c r="U124" s="96" t="inlineStr">
        <is>
          <t>THBKK</t>
        </is>
      </c>
      <c r="V124" s="161" t="inlineStr">
        <is>
          <t>2026-10-08</t>
        </is>
      </c>
      <c r="W124" s="96" t="inlineStr">
        <is>
          <t>VNSGN</t>
        </is>
      </c>
      <c r="X124" s="161" t="inlineStr">
        <is>
          <t>2026-10-11</t>
        </is>
      </c>
      <c r="Y124" s="97" t="n"/>
      <c r="Z124" s="97" t="n"/>
      <c r="AA124" s="97" t="n"/>
      <c r="AB124" s="97" t="n"/>
      <c r="AC124" s="97" t="n"/>
      <c r="AD124" s="161" t="inlineStr">
        <is>
          <t>2026-10-02</t>
        </is>
      </c>
      <c r="AE124" s="174" t="inlineStr">
        <is>
          <t>2027</t>
        </is>
      </c>
      <c r="AF124" s="96" t="inlineStr">
        <is>
          <t>TBKK07</t>
        </is>
      </c>
      <c r="AG124" s="97" t="n"/>
      <c r="AH124" s="97" t="n"/>
      <c r="AI124" s="97" t="n"/>
      <c r="AJ124" s="96" t="inlineStr">
        <is>
          <t>MEKONG COMMODITIES JSC</t>
        </is>
      </c>
      <c r="AK124" s="130" t="n">
        <v>0</v>
      </c>
    </row>
    <row r="125" ht="12" customHeight="1">
      <c r="A125" s="108" t="inlineStr">
        <is>
          <t>SKLU1568764</t>
        </is>
      </c>
      <c r="B125" s="108" t="inlineStr">
        <is>
          <t>BKK04</t>
        </is>
      </c>
      <c r="C125" s="108" t="inlineStr">
        <is>
          <t>IFV</t>
        </is>
      </c>
      <c r="D125" s="172" t="inlineStr">
        <is>
          <t>2026-10-02</t>
        </is>
      </c>
      <c r="E125" s="173" t="inlineStr">
        <is>
          <t>1916</t>
        </is>
      </c>
      <c r="F125" s="96" t="inlineStr">
        <is>
          <t>HASLS22260901817</t>
        </is>
      </c>
      <c r="G125" s="96" t="inlineStr">
        <is>
          <t>ATA GLOBAL LOGISTICS CO.,LTD.</t>
        </is>
      </c>
      <c r="H125" s="111" t="inlineStr">
        <is>
          <t>22GP</t>
        </is>
      </c>
      <c r="I125" s="96" t="n"/>
      <c r="J125" s="96" t="inlineStr">
        <is>
          <t>Chuanchuen</t>
        </is>
      </c>
      <c r="K125" s="96" t="inlineStr">
        <is>
          <t>SD</t>
        </is>
      </c>
      <c r="L125" s="111" t="inlineStr">
        <is>
          <t>Full</t>
        </is>
      </c>
      <c r="M125" s="96" t="inlineStr">
        <is>
          <t>HASLS22260901817</t>
        </is>
      </c>
      <c r="N125" s="96" t="inlineStr">
        <is>
          <t xml:space="preserve">20'x1 </t>
        </is>
      </c>
      <c r="O125" s="111" t="inlineStr">
        <is>
          <t>2015</t>
        </is>
      </c>
      <c r="P125" s="111" t="n"/>
      <c r="Q125" s="111" t="n"/>
      <c r="R125" s="96" t="n"/>
      <c r="S125" s="96" t="n"/>
      <c r="T125" s="96" t="inlineStr">
        <is>
          <t>BKK04</t>
        </is>
      </c>
      <c r="U125" s="96" t="inlineStr">
        <is>
          <t>THBKK</t>
        </is>
      </c>
      <c r="V125" s="161" t="inlineStr">
        <is>
          <t>2026-10-08</t>
        </is>
      </c>
      <c r="W125" s="96" t="inlineStr">
        <is>
          <t>VNSGN</t>
        </is>
      </c>
      <c r="X125" s="161" t="inlineStr">
        <is>
          <t>2026-10-11</t>
        </is>
      </c>
      <c r="Y125" s="97" t="n"/>
      <c r="Z125" s="97" t="n"/>
      <c r="AA125" s="97" t="n"/>
      <c r="AB125" s="97" t="n"/>
      <c r="AC125" s="97" t="n"/>
      <c r="AD125" s="161" t="inlineStr">
        <is>
          <t>2026-10-05</t>
        </is>
      </c>
      <c r="AE125" s="174" t="inlineStr">
        <is>
          <t>1213</t>
        </is>
      </c>
      <c r="AF125" s="96" t="inlineStr">
        <is>
          <t>TBKK07</t>
        </is>
      </c>
      <c r="AG125" s="97" t="n"/>
      <c r="AH125" s="97" t="n"/>
      <c r="AI125" s="97" t="n"/>
      <c r="AJ125" s="96" t="inlineStr">
        <is>
          <t>BLUE OCEAN TRANS CO., LTD.</t>
        </is>
      </c>
      <c r="AK125" s="130" t="n">
        <v>0</v>
      </c>
    </row>
    <row r="126" ht="12" customHeight="1">
      <c r="A126" s="108" t="inlineStr">
        <is>
          <t>SKLU1575866</t>
        </is>
      </c>
      <c r="B126" s="108" t="inlineStr">
        <is>
          <t>BKK04</t>
        </is>
      </c>
      <c r="C126" s="108" t="inlineStr">
        <is>
          <t>IFV</t>
        </is>
      </c>
      <c r="D126" s="172" t="inlineStr">
        <is>
          <t>2026-10-03</t>
        </is>
      </c>
      <c r="E126" s="173" t="inlineStr">
        <is>
          <t>0428</t>
        </is>
      </c>
      <c r="F126" s="96" t="inlineStr">
        <is>
          <t>HASLS22260901598</t>
        </is>
      </c>
      <c r="G126" s="96" t="inlineStr">
        <is>
          <t>C.P. INTERTRADE CO., LTD.</t>
        </is>
      </c>
      <c r="H126" s="111" t="inlineStr">
        <is>
          <t>22GP</t>
        </is>
      </c>
      <c r="I126" s="96" t="n"/>
      <c r="J126" s="96" t="inlineStr">
        <is>
          <t>Sirichai Prayochananon</t>
        </is>
      </c>
      <c r="K126" s="96" t="inlineStr">
        <is>
          <t>SD</t>
        </is>
      </c>
      <c r="L126" s="111" t="inlineStr">
        <is>
          <t>Full</t>
        </is>
      </c>
      <c r="M126" s="96" t="inlineStr">
        <is>
          <t>HASLS22260901598</t>
        </is>
      </c>
      <c r="N126" s="96" t="inlineStr">
        <is>
          <t xml:space="preserve">20'x3 </t>
        </is>
      </c>
      <c r="O126" s="111" t="inlineStr">
        <is>
          <t>2015</t>
        </is>
      </c>
      <c r="P126" s="111" t="n"/>
      <c r="Q126" s="111" t="n"/>
      <c r="R126" s="96" t="n"/>
      <c r="S126" s="96" t="n"/>
      <c r="T126" s="96" t="inlineStr">
        <is>
          <t>BKK04</t>
        </is>
      </c>
      <c r="U126" s="96" t="inlineStr">
        <is>
          <t>THBKK</t>
        </is>
      </c>
      <c r="V126" s="161" t="inlineStr">
        <is>
          <t>2026-10-08</t>
        </is>
      </c>
      <c r="W126" s="96" t="inlineStr">
        <is>
          <t>VNSGN</t>
        </is>
      </c>
      <c r="X126" s="161" t="inlineStr">
        <is>
          <t>2026-10-11</t>
        </is>
      </c>
      <c r="Y126" s="97" t="n"/>
      <c r="Z126" s="97" t="n"/>
      <c r="AA126" s="97" t="n"/>
      <c r="AB126" s="97" t="n"/>
      <c r="AC126" s="97" t="n"/>
      <c r="AD126" s="161" t="inlineStr">
        <is>
          <t>2026-10-04</t>
        </is>
      </c>
      <c r="AE126" s="174" t="inlineStr">
        <is>
          <t>2005</t>
        </is>
      </c>
      <c r="AF126" s="96" t="inlineStr">
        <is>
          <t>TBKK42</t>
        </is>
      </c>
      <c r="AG126" s="97" t="n"/>
      <c r="AH126" s="97" t="n"/>
      <c r="AI126" s="97" t="n"/>
      <c r="AJ126" s="96" t="inlineStr">
        <is>
          <t>C.P.SEEDS (VIETNAM) CO.,LTD.</t>
        </is>
      </c>
      <c r="AK126" s="130" t="n">
        <v>0</v>
      </c>
    </row>
    <row r="127" ht="12" customHeight="1">
      <c r="A127" s="108" t="inlineStr">
        <is>
          <t>SKLU1581370</t>
        </is>
      </c>
      <c r="B127" s="108" t="inlineStr">
        <is>
          <t>BKK04</t>
        </is>
      </c>
      <c r="C127" s="108" t="inlineStr">
        <is>
          <t>IFV</t>
        </is>
      </c>
      <c r="D127" s="172" t="inlineStr">
        <is>
          <t>2026-10-03</t>
        </is>
      </c>
      <c r="E127" s="173" t="inlineStr">
        <is>
          <t>0837</t>
        </is>
      </c>
      <c r="F127" s="96" t="inlineStr">
        <is>
          <t>HASLS22260900916</t>
        </is>
      </c>
      <c r="G127" s="96" t="inlineStr">
        <is>
          <t>MJ LOGISTICS (THAILAND) CO., LTD.</t>
        </is>
      </c>
      <c r="H127" s="111" t="inlineStr">
        <is>
          <t>22GP</t>
        </is>
      </c>
      <c r="I127" s="96" t="n"/>
      <c r="J127" s="96" t="inlineStr">
        <is>
          <t>Sirichai Prayochananon</t>
        </is>
      </c>
      <c r="K127" s="96" t="inlineStr">
        <is>
          <t>SD</t>
        </is>
      </c>
      <c r="L127" s="111" t="inlineStr">
        <is>
          <t>Full</t>
        </is>
      </c>
      <c r="M127" s="96" t="inlineStr">
        <is>
          <t>HASLS22260900916</t>
        </is>
      </c>
      <c r="N127" s="96" t="inlineStr">
        <is>
          <t xml:space="preserve">20'x1 </t>
        </is>
      </c>
      <c r="O127" s="111" t="inlineStr">
        <is>
          <t>2015</t>
        </is>
      </c>
      <c r="P127" s="111" t="n"/>
      <c r="Q127" s="111" t="n"/>
      <c r="R127" s="96" t="n"/>
      <c r="S127" s="96" t="n"/>
      <c r="T127" s="96" t="inlineStr">
        <is>
          <t>BKK04</t>
        </is>
      </c>
      <c r="U127" s="96" t="inlineStr">
        <is>
          <t>THBKK</t>
        </is>
      </c>
      <c r="V127" s="161" t="inlineStr">
        <is>
          <t>2026-10-08</t>
        </is>
      </c>
      <c r="W127" s="96" t="inlineStr">
        <is>
          <t>RUVVO</t>
        </is>
      </c>
      <c r="X127" s="161" t="inlineStr">
        <is>
          <t>2026-10-19</t>
        </is>
      </c>
      <c r="Y127" s="97" t="n"/>
      <c r="Z127" s="97" t="n"/>
      <c r="AA127" s="97" t="n"/>
      <c r="AB127" s="97" t="n"/>
      <c r="AC127" s="97" t="n"/>
      <c r="AD127" s="161" t="inlineStr">
        <is>
          <t>2026-10-04</t>
        </is>
      </c>
      <c r="AE127" s="174" t="inlineStr">
        <is>
          <t>2005</t>
        </is>
      </c>
      <c r="AF127" s="96" t="inlineStr">
        <is>
          <t>TBKK42</t>
        </is>
      </c>
      <c r="AG127" s="97" t="n"/>
      <c r="AH127" s="97" t="n"/>
      <c r="AI127" s="97" t="n"/>
      <c r="AJ127" s="96" t="inlineStr">
        <is>
          <t>DV NEVADA CO., LTD.</t>
        </is>
      </c>
      <c r="AK127" s="130" t="n">
        <v>0</v>
      </c>
    </row>
    <row r="128" ht="12" customHeight="1">
      <c r="A128" s="108" t="inlineStr">
        <is>
          <t>SKLU1582037</t>
        </is>
      </c>
      <c r="B128" s="108" t="inlineStr">
        <is>
          <t>BKK01</t>
        </is>
      </c>
      <c r="C128" s="108" t="inlineStr">
        <is>
          <t>IFV</t>
        </is>
      </c>
      <c r="D128" s="172" t="inlineStr">
        <is>
          <t>2026-09-28</t>
        </is>
      </c>
      <c r="E128" s="173" t="inlineStr">
        <is>
          <t>0002</t>
        </is>
      </c>
      <c r="F128" s="96" t="inlineStr">
        <is>
          <t>HASLS22260800838</t>
        </is>
      </c>
      <c r="G128" s="96" t="inlineStr">
        <is>
          <t>SCGJWD LOGISTICS PUBLIC COMPANY LIMITED</t>
        </is>
      </c>
      <c r="H128" s="111" t="inlineStr">
        <is>
          <t>22GP</t>
        </is>
      </c>
      <c r="I128" s="96" t="n"/>
      <c r="J128" s="96" t="inlineStr">
        <is>
          <t>Chuanchuen</t>
        </is>
      </c>
      <c r="K128" s="96" t="inlineStr">
        <is>
          <t>SD</t>
        </is>
      </c>
      <c r="L128" s="111" t="inlineStr">
        <is>
          <t>Full</t>
        </is>
      </c>
      <c r="M128" s="96" t="inlineStr">
        <is>
          <t>HASLS22260800838</t>
        </is>
      </c>
      <c r="N128" s="96" t="inlineStr">
        <is>
          <t xml:space="preserve">20'x10 </t>
        </is>
      </c>
      <c r="O128" s="111" t="inlineStr">
        <is>
          <t>2015</t>
        </is>
      </c>
      <c r="P128" s="111" t="n"/>
      <c r="Q128" s="111" t="n"/>
      <c r="R128" s="96" t="n"/>
      <c r="S128" s="96" t="n"/>
      <c r="T128" s="96" t="inlineStr">
        <is>
          <t>BKK04</t>
        </is>
      </c>
      <c r="U128" s="96" t="inlineStr">
        <is>
          <t>THBKK</t>
        </is>
      </c>
      <c r="V128" s="161" t="inlineStr">
        <is>
          <t>2026-10-08</t>
        </is>
      </c>
      <c r="W128" s="96" t="inlineStr">
        <is>
          <t>VNSGN</t>
        </is>
      </c>
      <c r="X128" s="161" t="inlineStr">
        <is>
          <t>2026-10-11</t>
        </is>
      </c>
      <c r="Y128" s="97" t="n"/>
      <c r="Z128" s="97" t="n"/>
      <c r="AA128" s="97" t="n"/>
      <c r="AB128" s="97" t="n"/>
      <c r="AC128" s="97" t="n"/>
      <c r="AD128" s="161" t="inlineStr">
        <is>
          <t>2026-09-28</t>
        </is>
      </c>
      <c r="AE128" s="174" t="inlineStr">
        <is>
          <t>1055</t>
        </is>
      </c>
      <c r="AF128" s="96" t="inlineStr">
        <is>
          <t>TBKK07</t>
        </is>
      </c>
      <c r="AG128" s="97" t="n"/>
      <c r="AH128" s="97" t="n"/>
      <c r="AI128" s="97" t="n"/>
      <c r="AJ128" s="96" t="inlineStr">
        <is>
          <t>BUU LONG INDUSTRY AND INVESTMENT</t>
        </is>
      </c>
      <c r="AK128" s="130" t="n">
        <v>0</v>
      </c>
    </row>
    <row r="129" ht="12" customHeight="1">
      <c r="A129" s="108" t="inlineStr">
        <is>
          <t>SKLU1587321</t>
        </is>
      </c>
      <c r="B129" s="108" t="inlineStr">
        <is>
          <t>BKK04</t>
        </is>
      </c>
      <c r="C129" s="108" t="inlineStr">
        <is>
          <t>IFV</t>
        </is>
      </c>
      <c r="D129" s="172" t="inlineStr">
        <is>
          <t>2026-10-02</t>
        </is>
      </c>
      <c r="E129" s="173" t="inlineStr">
        <is>
          <t>1416</t>
        </is>
      </c>
      <c r="F129" s="96" t="inlineStr">
        <is>
          <t>HASLS22260900630</t>
        </is>
      </c>
      <c r="G129" s="96" t="inlineStr">
        <is>
          <t>ICONS GLOBAL LOGISTICS CO., LTD.</t>
        </is>
      </c>
      <c r="H129" s="111" t="inlineStr">
        <is>
          <t>22GP</t>
        </is>
      </c>
      <c r="I129" s="96" t="n"/>
      <c r="J129" s="96" t="inlineStr">
        <is>
          <t>Chuanchuen</t>
        </is>
      </c>
      <c r="K129" s="96" t="inlineStr">
        <is>
          <t>SD</t>
        </is>
      </c>
      <c r="L129" s="111" t="inlineStr">
        <is>
          <t>Full</t>
        </is>
      </c>
      <c r="M129" s="96" t="inlineStr">
        <is>
          <t>HASLS22260900630</t>
        </is>
      </c>
      <c r="N129" s="96" t="inlineStr">
        <is>
          <t xml:space="preserve">20'x10 </t>
        </is>
      </c>
      <c r="O129" s="111" t="inlineStr">
        <is>
          <t>2015</t>
        </is>
      </c>
      <c r="P129" s="111" t="n"/>
      <c r="Q129" s="111" t="n"/>
      <c r="R129" s="96" t="n"/>
      <c r="S129" s="96" t="n"/>
      <c r="T129" s="96" t="inlineStr">
        <is>
          <t>BKK04</t>
        </is>
      </c>
      <c r="U129" s="96" t="inlineStr">
        <is>
          <t>THBKK</t>
        </is>
      </c>
      <c r="V129" s="161" t="inlineStr">
        <is>
          <t>2026-10-08</t>
        </is>
      </c>
      <c r="W129" s="96" t="inlineStr">
        <is>
          <t>VNSGN</t>
        </is>
      </c>
      <c r="X129" s="161" t="inlineStr">
        <is>
          <t>2026-10-11</t>
        </is>
      </c>
      <c r="Y129" s="97" t="n"/>
      <c r="Z129" s="97" t="n"/>
      <c r="AA129" s="97" t="n"/>
      <c r="AB129" s="97" t="n"/>
      <c r="AC129" s="97" t="n"/>
      <c r="AD129" s="161" t="inlineStr">
        <is>
          <t>2026-10-02</t>
        </is>
      </c>
      <c r="AE129" s="174" t="inlineStr">
        <is>
          <t>2027</t>
        </is>
      </c>
      <c r="AF129" s="96" t="inlineStr">
        <is>
          <t>TBKK07</t>
        </is>
      </c>
      <c r="AG129" s="97" t="n"/>
      <c r="AH129" s="97" t="n"/>
      <c r="AI129" s="97" t="n"/>
      <c r="AJ129" s="96" t="inlineStr">
        <is>
          <t>MEKONG COMMODITIES JSC</t>
        </is>
      </c>
      <c r="AK129" s="130" t="n">
        <v>0</v>
      </c>
    </row>
    <row r="130" ht="12" customHeight="1">
      <c r="A130" s="108" t="inlineStr">
        <is>
          <t>SKLU1587677</t>
        </is>
      </c>
      <c r="B130" s="108" t="inlineStr">
        <is>
          <t>BKK04</t>
        </is>
      </c>
      <c r="C130" s="108" t="inlineStr">
        <is>
          <t>IFV</t>
        </is>
      </c>
      <c r="D130" s="172" t="inlineStr">
        <is>
          <t>2026-09-19</t>
        </is>
      </c>
      <c r="E130" s="173" t="inlineStr">
        <is>
          <t>2118</t>
        </is>
      </c>
      <c r="F130" s="96" t="inlineStr">
        <is>
          <t>HASLS22260801914</t>
        </is>
      </c>
      <c r="G130" s="96" t="inlineStr">
        <is>
          <t>DP WORLD LOGISTICS SOLUTIONS (THAILAND) COMPANY LIMITED</t>
        </is>
      </c>
      <c r="H130" s="111" t="inlineStr">
        <is>
          <t>22GP</t>
        </is>
      </c>
      <c r="I130" s="96" t="n"/>
      <c r="J130" s="96" t="inlineStr">
        <is>
          <t>Sirichai Prayochananon</t>
        </is>
      </c>
      <c r="K130" s="96" t="inlineStr">
        <is>
          <t>SD</t>
        </is>
      </c>
      <c r="L130" s="111" t="inlineStr">
        <is>
          <t>Full</t>
        </is>
      </c>
      <c r="M130" s="96" t="inlineStr">
        <is>
          <t>HASLS22260801914</t>
        </is>
      </c>
      <c r="N130" s="96" t="inlineStr">
        <is>
          <t xml:space="preserve">20'x33 </t>
        </is>
      </c>
      <c r="O130" s="111" t="inlineStr">
        <is>
          <t>2015</t>
        </is>
      </c>
      <c r="P130" s="111" t="n"/>
      <c r="Q130" s="111" t="n"/>
      <c r="R130" s="96" t="n"/>
      <c r="S130" s="96" t="n"/>
      <c r="T130" s="96" t="inlineStr">
        <is>
          <t>BKK04</t>
        </is>
      </c>
      <c r="U130" s="96" t="inlineStr">
        <is>
          <t>THBKK</t>
        </is>
      </c>
      <c r="V130" s="161" t="inlineStr">
        <is>
          <t>2026-10-08</t>
        </is>
      </c>
      <c r="W130" s="96" t="inlineStr">
        <is>
          <t>KRPTK</t>
        </is>
      </c>
      <c r="X130" s="161" t="inlineStr">
        <is>
          <t>2026-10-17</t>
        </is>
      </c>
      <c r="Y130" s="97" t="n"/>
      <c r="Z130" s="97" t="n"/>
      <c r="AA130" s="97" t="n"/>
      <c r="AB130" s="97" t="n"/>
      <c r="AC130" s="97" t="n"/>
      <c r="AD130" s="161" t="inlineStr">
        <is>
          <t>2026-09-20</t>
        </is>
      </c>
      <c r="AE130" s="174" t="inlineStr">
        <is>
          <t>1743</t>
        </is>
      </c>
      <c r="AF130" s="96" t="inlineStr">
        <is>
          <t>TBKK42</t>
        </is>
      </c>
      <c r="AG130" s="97" t="n"/>
      <c r="AH130" s="97" t="n"/>
      <c r="AI130" s="97" t="n"/>
      <c r="AJ130" s="96" t="inlineStr">
        <is>
          <t>TO THE ORDER OF KOOKMIN BANK</t>
        </is>
      </c>
      <c r="AK130" s="130" t="n">
        <v>0</v>
      </c>
    </row>
    <row r="131" ht="12" customHeight="1">
      <c r="A131" s="108" t="inlineStr">
        <is>
          <t>SKLU1641633</t>
        </is>
      </c>
      <c r="B131" s="108" t="inlineStr">
        <is>
          <t>BKK04</t>
        </is>
      </c>
      <c r="C131" s="108" t="inlineStr">
        <is>
          <t>IFV</t>
        </is>
      </c>
      <c r="D131" s="172" t="inlineStr">
        <is>
          <t>2026-09-19</t>
        </is>
      </c>
      <c r="E131" s="173" t="inlineStr">
        <is>
          <t>2051</t>
        </is>
      </c>
      <c r="F131" s="96" t="inlineStr">
        <is>
          <t>HASLS22260801914</t>
        </is>
      </c>
      <c r="G131" s="96" t="inlineStr">
        <is>
          <t>DP WORLD LOGISTICS SOLUTIONS (THAILAND) COMPANY LIMITED</t>
        </is>
      </c>
      <c r="H131" s="111" t="inlineStr">
        <is>
          <t>22GP</t>
        </is>
      </c>
      <c r="I131" s="96" t="n"/>
      <c r="J131" s="96" t="inlineStr">
        <is>
          <t>Sirichai Prayochananon</t>
        </is>
      </c>
      <c r="K131" s="96" t="inlineStr">
        <is>
          <t>SD</t>
        </is>
      </c>
      <c r="L131" s="111" t="inlineStr">
        <is>
          <t>Full</t>
        </is>
      </c>
      <c r="M131" s="96" t="inlineStr">
        <is>
          <t>HASLS22260801914</t>
        </is>
      </c>
      <c r="N131" s="96" t="inlineStr">
        <is>
          <t xml:space="preserve">20'x33 </t>
        </is>
      </c>
      <c r="O131" s="111" t="inlineStr">
        <is>
          <t>2016</t>
        </is>
      </c>
      <c r="P131" s="111" t="n"/>
      <c r="Q131" s="111" t="n"/>
      <c r="R131" s="96" t="n"/>
      <c r="S131" s="96" t="n"/>
      <c r="T131" s="96" t="inlineStr">
        <is>
          <t>BKK04</t>
        </is>
      </c>
      <c r="U131" s="96" t="inlineStr">
        <is>
          <t>THBKK</t>
        </is>
      </c>
      <c r="V131" s="161" t="inlineStr">
        <is>
          <t>2026-10-08</t>
        </is>
      </c>
      <c r="W131" s="96" t="inlineStr">
        <is>
          <t>KRPTK</t>
        </is>
      </c>
      <c r="X131" s="161" t="inlineStr">
        <is>
          <t>2026-10-17</t>
        </is>
      </c>
      <c r="Y131" s="97" t="n"/>
      <c r="Z131" s="97" t="n"/>
      <c r="AA131" s="97" t="n"/>
      <c r="AB131" s="97" t="n"/>
      <c r="AC131" s="97" t="n"/>
      <c r="AD131" s="161" t="inlineStr">
        <is>
          <t>2026-09-20</t>
        </is>
      </c>
      <c r="AE131" s="174" t="inlineStr">
        <is>
          <t>1743</t>
        </is>
      </c>
      <c r="AF131" s="96" t="inlineStr">
        <is>
          <t>TBKK42</t>
        </is>
      </c>
      <c r="AG131" s="97" t="n"/>
      <c r="AH131" s="97" t="n"/>
      <c r="AI131" s="97" t="n"/>
      <c r="AJ131" s="96" t="inlineStr">
        <is>
          <t>TO THE ORDER OF KOOKMIN BANK</t>
        </is>
      </c>
      <c r="AK131" s="130" t="n">
        <v>0</v>
      </c>
    </row>
    <row r="132" ht="12" customHeight="1">
      <c r="A132" s="108" t="inlineStr">
        <is>
          <t>SKLU1641905</t>
        </is>
      </c>
      <c r="B132" s="108" t="inlineStr">
        <is>
          <t>BKK04</t>
        </is>
      </c>
      <c r="C132" s="108" t="inlineStr">
        <is>
          <t>IFV</t>
        </is>
      </c>
      <c r="D132" s="172" t="inlineStr">
        <is>
          <t>2026-09-19</t>
        </is>
      </c>
      <c r="E132" s="173" t="inlineStr">
        <is>
          <t>2033</t>
        </is>
      </c>
      <c r="F132" s="96" t="inlineStr">
        <is>
          <t>HASLS22260801914</t>
        </is>
      </c>
      <c r="G132" s="96" t="inlineStr">
        <is>
          <t>DP WORLD LOGISTICS SOLUTIONS (THAILAND) COMPANY LIMITED</t>
        </is>
      </c>
      <c r="H132" s="111" t="inlineStr">
        <is>
          <t>22GP</t>
        </is>
      </c>
      <c r="I132" s="96" t="n"/>
      <c r="J132" s="96" t="inlineStr">
        <is>
          <t>Sirichai Prayochananon</t>
        </is>
      </c>
      <c r="K132" s="96" t="inlineStr">
        <is>
          <t>SD</t>
        </is>
      </c>
      <c r="L132" s="111" t="inlineStr">
        <is>
          <t>Full</t>
        </is>
      </c>
      <c r="M132" s="96" t="inlineStr">
        <is>
          <t>HASLS22260801914</t>
        </is>
      </c>
      <c r="N132" s="96" t="inlineStr">
        <is>
          <t xml:space="preserve">20'x33 </t>
        </is>
      </c>
      <c r="O132" s="111" t="inlineStr">
        <is>
          <t>2016</t>
        </is>
      </c>
      <c r="P132" s="111" t="n"/>
      <c r="Q132" s="111" t="n"/>
      <c r="R132" s="96" t="n"/>
      <c r="S132" s="96" t="n"/>
      <c r="T132" s="96" t="inlineStr">
        <is>
          <t>BKK04</t>
        </is>
      </c>
      <c r="U132" s="96" t="inlineStr">
        <is>
          <t>THBKK</t>
        </is>
      </c>
      <c r="V132" s="161" t="inlineStr">
        <is>
          <t>2026-10-08</t>
        </is>
      </c>
      <c r="W132" s="96" t="inlineStr">
        <is>
          <t>KRPTK</t>
        </is>
      </c>
      <c r="X132" s="161" t="inlineStr">
        <is>
          <t>2026-10-17</t>
        </is>
      </c>
      <c r="Y132" s="97" t="n"/>
      <c r="Z132" s="97" t="n"/>
      <c r="AA132" s="97" t="n"/>
      <c r="AB132" s="97" t="n"/>
      <c r="AC132" s="97" t="n"/>
      <c r="AD132" s="161" t="inlineStr">
        <is>
          <t>2026-09-20</t>
        </is>
      </c>
      <c r="AE132" s="174" t="inlineStr">
        <is>
          <t>1743</t>
        </is>
      </c>
      <c r="AF132" s="96" t="inlineStr">
        <is>
          <t>TBKK42</t>
        </is>
      </c>
      <c r="AG132" s="97" t="n"/>
      <c r="AH132" s="97" t="n"/>
      <c r="AI132" s="97" t="n"/>
      <c r="AJ132" s="96" t="inlineStr">
        <is>
          <t>TO THE ORDER OF KOOKMIN BANK</t>
        </is>
      </c>
      <c r="AK132" s="130" t="n">
        <v>0</v>
      </c>
    </row>
    <row r="133" ht="12" customHeight="1">
      <c r="A133" s="108" t="inlineStr">
        <is>
          <t>SKLU1661368</t>
        </is>
      </c>
      <c r="B133" s="108" t="inlineStr">
        <is>
          <t>BKK04</t>
        </is>
      </c>
      <c r="C133" s="108" t="inlineStr">
        <is>
          <t>IFV</t>
        </is>
      </c>
      <c r="D133" s="172" t="inlineStr">
        <is>
          <t>2026-09-19</t>
        </is>
      </c>
      <c r="E133" s="173" t="inlineStr">
        <is>
          <t>2046</t>
        </is>
      </c>
      <c r="F133" s="96" t="inlineStr">
        <is>
          <t>HASLS22260801914</t>
        </is>
      </c>
      <c r="G133" s="96" t="inlineStr">
        <is>
          <t>DP WORLD LOGISTICS SOLUTIONS (THAILAND) COMPANY LIMITED</t>
        </is>
      </c>
      <c r="H133" s="111" t="inlineStr">
        <is>
          <t>22GP</t>
        </is>
      </c>
      <c r="I133" s="96" t="n"/>
      <c r="J133" s="96" t="inlineStr">
        <is>
          <t>Sirichai Prayochananon</t>
        </is>
      </c>
      <c r="K133" s="96" t="inlineStr">
        <is>
          <t>SD</t>
        </is>
      </c>
      <c r="L133" s="111" t="inlineStr">
        <is>
          <t>Full</t>
        </is>
      </c>
      <c r="M133" s="96" t="inlineStr">
        <is>
          <t>HASLS22260801914</t>
        </is>
      </c>
      <c r="N133" s="96" t="inlineStr">
        <is>
          <t xml:space="preserve">20'x33 </t>
        </is>
      </c>
      <c r="O133" s="111" t="inlineStr">
        <is>
          <t>2016</t>
        </is>
      </c>
      <c r="P133" s="111" t="n"/>
      <c r="Q133" s="111" t="n"/>
      <c r="R133" s="96" t="n"/>
      <c r="S133" s="96" t="n"/>
      <c r="T133" s="96" t="inlineStr">
        <is>
          <t>BKK04</t>
        </is>
      </c>
      <c r="U133" s="96" t="inlineStr">
        <is>
          <t>THBKK</t>
        </is>
      </c>
      <c r="V133" s="161" t="inlineStr">
        <is>
          <t>2026-10-08</t>
        </is>
      </c>
      <c r="W133" s="96" t="inlineStr">
        <is>
          <t>KRPTK</t>
        </is>
      </c>
      <c r="X133" s="161" t="inlineStr">
        <is>
          <t>2026-10-17</t>
        </is>
      </c>
      <c r="Y133" s="97" t="n"/>
      <c r="Z133" s="97" t="n"/>
      <c r="AA133" s="97" t="n"/>
      <c r="AB133" s="97" t="n"/>
      <c r="AC133" s="97" t="n"/>
      <c r="AD133" s="161" t="inlineStr">
        <is>
          <t>2026-09-20</t>
        </is>
      </c>
      <c r="AE133" s="174" t="inlineStr">
        <is>
          <t>1743</t>
        </is>
      </c>
      <c r="AF133" s="96" t="inlineStr">
        <is>
          <t>TBKK42</t>
        </is>
      </c>
      <c r="AG133" s="97" t="n"/>
      <c r="AH133" s="97" t="n"/>
      <c r="AI133" s="97" t="n"/>
      <c r="AJ133" s="96" t="inlineStr">
        <is>
          <t>TO THE ORDER OF KOOKMIN BANK</t>
        </is>
      </c>
      <c r="AK133" s="130" t="n">
        <v>0</v>
      </c>
    </row>
    <row r="134" ht="12" customHeight="1">
      <c r="A134" s="108" t="inlineStr">
        <is>
          <t>SKLU1661413</t>
        </is>
      </c>
      <c r="B134" s="108" t="inlineStr">
        <is>
          <t>BKK01</t>
        </is>
      </c>
      <c r="C134" s="108" t="inlineStr">
        <is>
          <t>IFV</t>
        </is>
      </c>
      <c r="D134" s="172" t="inlineStr">
        <is>
          <t>2026-10-01</t>
        </is>
      </c>
      <c r="E134" s="173" t="inlineStr">
        <is>
          <t>1832</t>
        </is>
      </c>
      <c r="F134" s="96" t="inlineStr">
        <is>
          <t>HASLS22260901396</t>
        </is>
      </c>
      <c r="G134" s="96" t="inlineStr">
        <is>
          <t>MILKYWAY INTERNATIONAL SUPPLY CHAIN SERVICES (THAILAND) CO., LTD.</t>
        </is>
      </c>
      <c r="H134" s="111" t="inlineStr">
        <is>
          <t>22GP</t>
        </is>
      </c>
      <c r="I134" s="96" t="n"/>
      <c r="J134" s="96" t="inlineStr">
        <is>
          <t>Chuanchuen</t>
        </is>
      </c>
      <c r="K134" s="96" t="inlineStr">
        <is>
          <t>SD</t>
        </is>
      </c>
      <c r="L134" s="111" t="inlineStr">
        <is>
          <t>Full</t>
        </is>
      </c>
      <c r="M134" s="96" t="inlineStr">
        <is>
          <t>HASLS22260901396</t>
        </is>
      </c>
      <c r="N134" s="96" t="inlineStr">
        <is>
          <t xml:space="preserve">20'x3 </t>
        </is>
      </c>
      <c r="O134" s="111" t="inlineStr">
        <is>
          <t>2016</t>
        </is>
      </c>
      <c r="P134" s="111" t="n"/>
      <c r="Q134" s="111" t="n"/>
      <c r="R134" s="96" t="n"/>
      <c r="S134" s="96" t="n"/>
      <c r="T134" s="96" t="inlineStr">
        <is>
          <t>BKK04</t>
        </is>
      </c>
      <c r="U134" s="96" t="inlineStr">
        <is>
          <t>THBKK</t>
        </is>
      </c>
      <c r="V134" s="161" t="inlineStr">
        <is>
          <t>2026-10-08</t>
        </is>
      </c>
      <c r="W134" s="96" t="inlineStr">
        <is>
          <t>JPSBS</t>
        </is>
      </c>
      <c r="X134" s="161" t="inlineStr">
        <is>
          <t>2026-10-19</t>
        </is>
      </c>
      <c r="Y134" s="97" t="n"/>
      <c r="Z134" s="97" t="n"/>
      <c r="AA134" s="97" t="n"/>
      <c r="AB134" s="97" t="n"/>
      <c r="AC134" s="97" t="n"/>
      <c r="AD134" s="161" t="inlineStr">
        <is>
          <t>2026-10-02</t>
        </is>
      </c>
      <c r="AE134" s="174" t="inlineStr">
        <is>
          <t>1101</t>
        </is>
      </c>
      <c r="AF134" s="96" t="inlineStr">
        <is>
          <t>TBKK07</t>
        </is>
      </c>
      <c r="AG134" s="97" t="n"/>
      <c r="AH134" s="97" t="n"/>
      <c r="AI134" s="97" t="n"/>
      <c r="AJ134" s="96" t="inlineStr">
        <is>
          <t>TO ORDER OF SHIPPER</t>
        </is>
      </c>
      <c r="AK134" s="130" t="n">
        <v>0</v>
      </c>
    </row>
    <row r="135" ht="12" customHeight="1">
      <c r="A135" s="108" t="inlineStr">
        <is>
          <t>SKLU1663720</t>
        </is>
      </c>
      <c r="B135" s="108" t="inlineStr">
        <is>
          <t>BKK04</t>
        </is>
      </c>
      <c r="C135" s="108" t="inlineStr">
        <is>
          <t>IFV</t>
        </is>
      </c>
      <c r="D135" s="172" t="inlineStr">
        <is>
          <t>2026-09-19</t>
        </is>
      </c>
      <c r="E135" s="173" t="inlineStr">
        <is>
          <t>2157</t>
        </is>
      </c>
      <c r="F135" s="96" t="inlineStr">
        <is>
          <t>HASLS22260801914</t>
        </is>
      </c>
      <c r="G135" s="96" t="inlineStr">
        <is>
          <t>DP WORLD LOGISTICS SOLUTIONS (THAILAND) COMPANY LIMITED</t>
        </is>
      </c>
      <c r="H135" s="111" t="inlineStr">
        <is>
          <t>22GP</t>
        </is>
      </c>
      <c r="I135" s="96" t="n"/>
      <c r="J135" s="96" t="inlineStr">
        <is>
          <t>Sirichai Prayochananon</t>
        </is>
      </c>
      <c r="K135" s="96" t="inlineStr">
        <is>
          <t>SD</t>
        </is>
      </c>
      <c r="L135" s="111" t="inlineStr">
        <is>
          <t>Full</t>
        </is>
      </c>
      <c r="M135" s="96" t="inlineStr">
        <is>
          <t>HASLS22260801914</t>
        </is>
      </c>
      <c r="N135" s="96" t="inlineStr">
        <is>
          <t xml:space="preserve">20'x33 </t>
        </is>
      </c>
      <c r="O135" s="111" t="inlineStr">
        <is>
          <t>2016</t>
        </is>
      </c>
      <c r="P135" s="111" t="n"/>
      <c r="Q135" s="111" t="n"/>
      <c r="R135" s="96" t="n"/>
      <c r="S135" s="96" t="n"/>
      <c r="T135" s="96" t="inlineStr">
        <is>
          <t>BKK04</t>
        </is>
      </c>
      <c r="U135" s="96" t="inlineStr">
        <is>
          <t>THBKK</t>
        </is>
      </c>
      <c r="V135" s="161" t="inlineStr">
        <is>
          <t>2026-10-08</t>
        </is>
      </c>
      <c r="W135" s="96" t="inlineStr">
        <is>
          <t>KRPTK</t>
        </is>
      </c>
      <c r="X135" s="161" t="inlineStr">
        <is>
          <t>2026-10-17</t>
        </is>
      </c>
      <c r="Y135" s="97" t="n"/>
      <c r="Z135" s="97" t="n"/>
      <c r="AA135" s="97" t="n"/>
      <c r="AB135" s="97" t="n"/>
      <c r="AC135" s="97" t="n"/>
      <c r="AD135" s="161" t="inlineStr">
        <is>
          <t>2026-09-20</t>
        </is>
      </c>
      <c r="AE135" s="174" t="inlineStr">
        <is>
          <t>1743</t>
        </is>
      </c>
      <c r="AF135" s="96" t="inlineStr">
        <is>
          <t>TBKK42</t>
        </is>
      </c>
      <c r="AG135" s="97" t="n"/>
      <c r="AH135" s="97" t="n"/>
      <c r="AI135" s="97" t="n"/>
      <c r="AJ135" s="96" t="inlineStr">
        <is>
          <t>TO THE ORDER OF KOOKMIN BANK</t>
        </is>
      </c>
      <c r="AK135" s="130" t="n">
        <v>0</v>
      </c>
    </row>
    <row r="136" ht="12" customHeight="1">
      <c r="A136" s="108" t="inlineStr">
        <is>
          <t>SKLU1666591</t>
        </is>
      </c>
      <c r="B136" s="108" t="inlineStr">
        <is>
          <t>BKK04</t>
        </is>
      </c>
      <c r="C136" s="108" t="inlineStr">
        <is>
          <t>IFV</t>
        </is>
      </c>
      <c r="D136" s="172" t="inlineStr">
        <is>
          <t>2026-09-19</t>
        </is>
      </c>
      <c r="E136" s="173" t="inlineStr">
        <is>
          <t>2150</t>
        </is>
      </c>
      <c r="F136" s="96" t="inlineStr">
        <is>
          <t>HASLS22260801914</t>
        </is>
      </c>
      <c r="G136" s="96" t="inlineStr">
        <is>
          <t>DP WORLD LOGISTICS SOLUTIONS (THAILAND) COMPANY LIMITED</t>
        </is>
      </c>
      <c r="H136" s="111" t="inlineStr">
        <is>
          <t>22GP</t>
        </is>
      </c>
      <c r="I136" s="96" t="n"/>
      <c r="J136" s="96" t="inlineStr">
        <is>
          <t>Sirichai Prayochananon</t>
        </is>
      </c>
      <c r="K136" s="96" t="inlineStr">
        <is>
          <t>SD</t>
        </is>
      </c>
      <c r="L136" s="111" t="inlineStr">
        <is>
          <t>Full</t>
        </is>
      </c>
      <c r="M136" s="96" t="inlineStr">
        <is>
          <t>HASLS22260801914</t>
        </is>
      </c>
      <c r="N136" s="96" t="inlineStr">
        <is>
          <t xml:space="preserve">20'x33 </t>
        </is>
      </c>
      <c r="O136" s="111" t="inlineStr">
        <is>
          <t>2016</t>
        </is>
      </c>
      <c r="P136" s="111" t="n"/>
      <c r="Q136" s="111" t="n"/>
      <c r="R136" s="96" t="n"/>
      <c r="S136" s="96" t="n"/>
      <c r="T136" s="96" t="inlineStr">
        <is>
          <t>BKK04</t>
        </is>
      </c>
      <c r="U136" s="96" t="inlineStr">
        <is>
          <t>THBKK</t>
        </is>
      </c>
      <c r="V136" s="161" t="inlineStr">
        <is>
          <t>2026-10-08</t>
        </is>
      </c>
      <c r="W136" s="96" t="inlineStr">
        <is>
          <t>KRPTK</t>
        </is>
      </c>
      <c r="X136" s="161" t="inlineStr">
        <is>
          <t>2026-10-17</t>
        </is>
      </c>
      <c r="Y136" s="97" t="n"/>
      <c r="Z136" s="97" t="n"/>
      <c r="AA136" s="97" t="n"/>
      <c r="AB136" s="97" t="n"/>
      <c r="AC136" s="97" t="n"/>
      <c r="AD136" s="161" t="inlineStr">
        <is>
          <t>2026-09-20</t>
        </is>
      </c>
      <c r="AE136" s="174" t="inlineStr">
        <is>
          <t>1743</t>
        </is>
      </c>
      <c r="AF136" s="96" t="inlineStr">
        <is>
          <t>TBKK42</t>
        </is>
      </c>
      <c r="AG136" s="97" t="n"/>
      <c r="AH136" s="97" t="n"/>
      <c r="AI136" s="97" t="n"/>
      <c r="AJ136" s="96" t="inlineStr">
        <is>
          <t>TO THE ORDER OF KOOKMIN BANK</t>
        </is>
      </c>
      <c r="AK136" s="130" t="n">
        <v>0</v>
      </c>
    </row>
    <row r="137" ht="12" customHeight="1">
      <c r="A137" s="108" t="inlineStr">
        <is>
          <t>SKLU1821342</t>
        </is>
      </c>
      <c r="B137" s="108" t="inlineStr">
        <is>
          <t>BKK04</t>
        </is>
      </c>
      <c r="C137" s="108" t="inlineStr">
        <is>
          <t>IFV</t>
        </is>
      </c>
      <c r="D137" s="172" t="inlineStr">
        <is>
          <t>2026-10-02</t>
        </is>
      </c>
      <c r="E137" s="173" t="inlineStr">
        <is>
          <t>1146</t>
        </is>
      </c>
      <c r="F137" s="96" t="inlineStr">
        <is>
          <t>HASLS22260900630</t>
        </is>
      </c>
      <c r="G137" s="96" t="inlineStr">
        <is>
          <t>ICONS GLOBAL LOGISTICS CO., LTD.</t>
        </is>
      </c>
      <c r="H137" s="111" t="inlineStr">
        <is>
          <t>22GP</t>
        </is>
      </c>
      <c r="I137" s="96" t="n"/>
      <c r="J137" s="96" t="inlineStr">
        <is>
          <t>Chuanchuen</t>
        </is>
      </c>
      <c r="K137" s="96" t="inlineStr">
        <is>
          <t>SD</t>
        </is>
      </c>
      <c r="L137" s="111" t="inlineStr">
        <is>
          <t>Full</t>
        </is>
      </c>
      <c r="M137" s="96" t="inlineStr">
        <is>
          <t>HASLS22260900630</t>
        </is>
      </c>
      <c r="N137" s="96" t="inlineStr">
        <is>
          <t xml:space="preserve">20'x10 </t>
        </is>
      </c>
      <c r="O137" s="111" t="inlineStr">
        <is>
          <t>2018</t>
        </is>
      </c>
      <c r="P137" s="111" t="n"/>
      <c r="Q137" s="111" t="n"/>
      <c r="R137" s="96" t="n"/>
      <c r="S137" s="96" t="n"/>
      <c r="T137" s="96" t="inlineStr">
        <is>
          <t>BKK04</t>
        </is>
      </c>
      <c r="U137" s="96" t="inlineStr">
        <is>
          <t>THBKK</t>
        </is>
      </c>
      <c r="V137" s="161" t="inlineStr">
        <is>
          <t>2026-10-08</t>
        </is>
      </c>
      <c r="W137" s="96" t="inlineStr">
        <is>
          <t>VNSGN</t>
        </is>
      </c>
      <c r="X137" s="161" t="inlineStr">
        <is>
          <t>2026-10-11</t>
        </is>
      </c>
      <c r="Y137" s="97" t="n"/>
      <c r="Z137" s="97" t="n"/>
      <c r="AA137" s="97" t="n"/>
      <c r="AB137" s="97" t="n"/>
      <c r="AC137" s="97" t="n"/>
      <c r="AD137" s="161" t="inlineStr">
        <is>
          <t>2026-10-02</t>
        </is>
      </c>
      <c r="AE137" s="174" t="inlineStr">
        <is>
          <t>2027</t>
        </is>
      </c>
      <c r="AF137" s="96" t="inlineStr">
        <is>
          <t>TBKK07</t>
        </is>
      </c>
      <c r="AG137" s="97" t="n"/>
      <c r="AH137" s="97" t="n"/>
      <c r="AI137" s="97" t="n"/>
      <c r="AJ137" s="96" t="inlineStr">
        <is>
          <t>MEKONG COMMODITIES JSC</t>
        </is>
      </c>
      <c r="AK137" s="130" t="n">
        <v>0</v>
      </c>
    </row>
    <row r="138" ht="12" customHeight="1">
      <c r="A138" s="108" t="inlineStr">
        <is>
          <t>SKLU1824737</t>
        </is>
      </c>
      <c r="B138" s="108" t="inlineStr">
        <is>
          <t>BKK01</t>
        </is>
      </c>
      <c r="C138" s="108" t="inlineStr">
        <is>
          <t>IFV</t>
        </is>
      </c>
      <c r="D138" s="172" t="inlineStr">
        <is>
          <t>2026-09-28</t>
        </is>
      </c>
      <c r="E138" s="173" t="inlineStr">
        <is>
          <t>1715</t>
        </is>
      </c>
      <c r="F138" s="96" t="inlineStr">
        <is>
          <t>HASLS22260900939</t>
        </is>
      </c>
      <c r="G138" s="96" t="inlineStr">
        <is>
          <t>POLAR STAR CO., LTD.</t>
        </is>
      </c>
      <c r="H138" s="111" t="inlineStr">
        <is>
          <t>22GP</t>
        </is>
      </c>
      <c r="I138" s="96" t="n"/>
      <c r="J138" s="96" t="inlineStr">
        <is>
          <t>Chuanchuen</t>
        </is>
      </c>
      <c r="K138" s="96" t="inlineStr">
        <is>
          <t>SD</t>
        </is>
      </c>
      <c r="L138" s="111" t="inlineStr">
        <is>
          <t>Full</t>
        </is>
      </c>
      <c r="M138" s="96" t="inlineStr">
        <is>
          <t>HASLS22260900939</t>
        </is>
      </c>
      <c r="N138" s="96" t="inlineStr">
        <is>
          <t xml:space="preserve">20'x4 </t>
        </is>
      </c>
      <c r="O138" s="111" t="inlineStr">
        <is>
          <t>2018</t>
        </is>
      </c>
      <c r="P138" s="111" t="n"/>
      <c r="Q138" s="111" t="n"/>
      <c r="R138" s="96" t="n"/>
      <c r="S138" s="96" t="n"/>
      <c r="T138" s="96" t="inlineStr">
        <is>
          <t>BKK04</t>
        </is>
      </c>
      <c r="U138" s="96" t="inlineStr">
        <is>
          <t>THBKK</t>
        </is>
      </c>
      <c r="V138" s="161" t="inlineStr">
        <is>
          <t>2026-10-08</t>
        </is>
      </c>
      <c r="W138" s="96" t="inlineStr">
        <is>
          <t>VNSGN</t>
        </is>
      </c>
      <c r="X138" s="161" t="inlineStr">
        <is>
          <t>2026-10-11</t>
        </is>
      </c>
      <c r="Y138" s="97" t="n"/>
      <c r="Z138" s="97" t="n"/>
      <c r="AA138" s="97" t="n"/>
      <c r="AB138" s="97" t="n"/>
      <c r="AC138" s="97" t="n"/>
      <c r="AD138" s="161" t="inlineStr">
        <is>
          <t>2026-09-30</t>
        </is>
      </c>
      <c r="AE138" s="174" t="inlineStr">
        <is>
          <t>1246</t>
        </is>
      </c>
      <c r="AF138" s="96" t="inlineStr">
        <is>
          <t>TBKK07</t>
        </is>
      </c>
      <c r="AG138" s="97" t="n"/>
      <c r="AH138" s="97" t="n"/>
      <c r="AI138" s="97" t="n"/>
      <c r="AJ138" s="96" t="inlineStr">
        <is>
          <t>MODERN VETERINARY TRADING CO., LTD.</t>
        </is>
      </c>
      <c r="AK138" s="130" t="n">
        <v>0</v>
      </c>
    </row>
    <row r="139" ht="12" customHeight="1">
      <c r="A139" s="108" t="inlineStr">
        <is>
          <t>SKLU1913921</t>
        </is>
      </c>
      <c r="B139" s="108" t="inlineStr">
        <is>
          <t>BKK04</t>
        </is>
      </c>
      <c r="C139" s="108" t="inlineStr">
        <is>
          <t>IFV</t>
        </is>
      </c>
      <c r="D139" s="172" t="inlineStr">
        <is>
          <t>2026-10-04</t>
        </is>
      </c>
      <c r="E139" s="173" t="inlineStr">
        <is>
          <t>1325</t>
        </is>
      </c>
      <c r="F139" s="96" t="inlineStr">
        <is>
          <t>HASLS22260901637</t>
        </is>
      </c>
      <c r="G139" s="96" t="inlineStr">
        <is>
          <t>SDS-ACUTECH CO., LTD.</t>
        </is>
      </c>
      <c r="H139" s="111" t="inlineStr">
        <is>
          <t>22GP</t>
        </is>
      </c>
      <c r="I139" s="96" t="n"/>
      <c r="J139" s="96" t="inlineStr">
        <is>
          <t>Sirichai Prayochananon</t>
        </is>
      </c>
      <c r="K139" s="96" t="inlineStr">
        <is>
          <t>SD</t>
        </is>
      </c>
      <c r="L139" s="111" t="inlineStr">
        <is>
          <t>Full</t>
        </is>
      </c>
      <c r="M139" s="96" t="inlineStr">
        <is>
          <t>HASLS22260901637</t>
        </is>
      </c>
      <c r="N139" s="96" t="inlineStr">
        <is>
          <t xml:space="preserve">20'x1 </t>
        </is>
      </c>
      <c r="O139" s="111" t="inlineStr">
        <is>
          <t>2019</t>
        </is>
      </c>
      <c r="P139" s="111" t="n"/>
      <c r="Q139" s="111" t="n"/>
      <c r="R139" s="96" t="n"/>
      <c r="S139" s="96" t="n"/>
      <c r="T139" s="96" t="inlineStr">
        <is>
          <t>BKK04</t>
        </is>
      </c>
      <c r="U139" s="96" t="inlineStr">
        <is>
          <t>THBKK</t>
        </is>
      </c>
      <c r="V139" s="161" t="inlineStr">
        <is>
          <t>2026-10-08</t>
        </is>
      </c>
      <c r="W139" s="96" t="inlineStr">
        <is>
          <t>VNSGN</t>
        </is>
      </c>
      <c r="X139" s="161" t="inlineStr">
        <is>
          <t>2026-10-11</t>
        </is>
      </c>
      <c r="Y139" s="97" t="n"/>
      <c r="Z139" s="97" t="n"/>
      <c r="AA139" s="97" t="n"/>
      <c r="AB139" s="97" t="n"/>
      <c r="AC139" s="97" t="n"/>
      <c r="AD139" s="161" t="inlineStr">
        <is>
          <t>2026-10-04</t>
        </is>
      </c>
      <c r="AE139" s="174" t="inlineStr">
        <is>
          <t>2005</t>
        </is>
      </c>
      <c r="AF139" s="96" t="inlineStr">
        <is>
          <t>TBKK42</t>
        </is>
      </c>
      <c r="AG139" s="97" t="n"/>
      <c r="AH139" s="97" t="n"/>
      <c r="AI139" s="97" t="n"/>
      <c r="AJ139" s="96" t="inlineStr">
        <is>
          <t>SAMSUNG ELECTRONICS HCMC CE COMPLEX</t>
        </is>
      </c>
      <c r="AK139" s="130" t="n">
        <v>0</v>
      </c>
    </row>
    <row r="140" ht="12" customHeight="1">
      <c r="A140" s="108" t="inlineStr">
        <is>
          <t>SKLU1919787</t>
        </is>
      </c>
      <c r="B140" s="108" t="inlineStr">
        <is>
          <t>BKK04</t>
        </is>
      </c>
      <c r="C140" s="108" t="inlineStr">
        <is>
          <t>IFV</t>
        </is>
      </c>
      <c r="D140" s="172" t="inlineStr">
        <is>
          <t>2026-10-01</t>
        </is>
      </c>
      <c r="E140" s="173" t="inlineStr">
        <is>
          <t>1138</t>
        </is>
      </c>
      <c r="F140" s="96" t="inlineStr">
        <is>
          <t>HASLS22260901542</t>
        </is>
      </c>
      <c r="G140" s="96" t="inlineStr">
        <is>
          <t>COS LOGISTICS COMPANY LIMITED</t>
        </is>
      </c>
      <c r="H140" s="111" t="inlineStr">
        <is>
          <t>22GP</t>
        </is>
      </c>
      <c r="I140" s="96" t="n"/>
      <c r="J140" s="96" t="inlineStr">
        <is>
          <t>Chuanchuen</t>
        </is>
      </c>
      <c r="K140" s="96" t="inlineStr">
        <is>
          <t>SD</t>
        </is>
      </c>
      <c r="L140" s="111" t="inlineStr">
        <is>
          <t>Full</t>
        </is>
      </c>
      <c r="M140" s="96" t="inlineStr">
        <is>
          <t>HASLS22260901542</t>
        </is>
      </c>
      <c r="N140" s="96" t="inlineStr">
        <is>
          <t xml:space="preserve">20'x1 </t>
        </is>
      </c>
      <c r="O140" s="111" t="inlineStr">
        <is>
          <t>2019</t>
        </is>
      </c>
      <c r="P140" s="111" t="n"/>
      <c r="Q140" s="111" t="n"/>
      <c r="R140" s="96" t="n"/>
      <c r="S140" s="96" t="n"/>
      <c r="T140" s="96" t="inlineStr">
        <is>
          <t>BKK04</t>
        </is>
      </c>
      <c r="U140" s="96" t="inlineStr">
        <is>
          <t>THBKK</t>
        </is>
      </c>
      <c r="V140" s="161" t="inlineStr">
        <is>
          <t>2026-10-08</t>
        </is>
      </c>
      <c r="W140" s="96" t="inlineStr">
        <is>
          <t>VNSGN</t>
        </is>
      </c>
      <c r="X140" s="161" t="inlineStr">
        <is>
          <t>2026-10-11</t>
        </is>
      </c>
      <c r="Y140" s="97" t="n"/>
      <c r="Z140" s="97" t="n"/>
      <c r="AA140" s="97" t="n"/>
      <c r="AB140" s="97" t="n"/>
      <c r="AC140" s="97" t="n"/>
      <c r="AD140" s="161" t="inlineStr">
        <is>
          <t>2026-10-02</t>
        </is>
      </c>
      <c r="AE140" s="174" t="inlineStr">
        <is>
          <t>1040</t>
        </is>
      </c>
      <c r="AF140" s="96" t="inlineStr">
        <is>
          <t>TBKK07</t>
        </is>
      </c>
      <c r="AG140" s="97" t="n"/>
      <c r="AH140" s="97" t="n"/>
      <c r="AI140" s="97" t="n"/>
      <c r="AJ140" s="96" t="inlineStr">
        <is>
          <t>KIM THINH PHAT INVESTMENT AND</t>
        </is>
      </c>
      <c r="AK140" s="130" t="n">
        <v>0</v>
      </c>
    </row>
    <row r="141" ht="12" customHeight="1">
      <c r="A141" s="108" t="inlineStr">
        <is>
          <t>SKLU1939130</t>
        </is>
      </c>
      <c r="B141" s="108" t="inlineStr">
        <is>
          <t>BKK04</t>
        </is>
      </c>
      <c r="C141" s="108" t="inlineStr">
        <is>
          <t>IFV</t>
        </is>
      </c>
      <c r="D141" s="172" t="inlineStr">
        <is>
          <t>2026-09-21</t>
        </is>
      </c>
      <c r="E141" s="173" t="inlineStr">
        <is>
          <t>1343</t>
        </is>
      </c>
      <c r="F141" s="96" t="inlineStr">
        <is>
          <t>HASLS22260801914</t>
        </is>
      </c>
      <c r="G141" s="96" t="inlineStr">
        <is>
          <t>DP WORLD LOGISTICS SOLUTIONS (THAILAND) COMPANY LIMITED</t>
        </is>
      </c>
      <c r="H141" s="111" t="inlineStr">
        <is>
          <t>22GP</t>
        </is>
      </c>
      <c r="I141" s="96" t="n"/>
      <c r="J141" s="96" t="inlineStr">
        <is>
          <t>Chuanchuen</t>
        </is>
      </c>
      <c r="K141" s="96" t="inlineStr">
        <is>
          <t>SD</t>
        </is>
      </c>
      <c r="L141" s="111" t="inlineStr">
        <is>
          <t>Full</t>
        </is>
      </c>
      <c r="M141" s="96" t="inlineStr">
        <is>
          <t>HASLS22260801914</t>
        </is>
      </c>
      <c r="N141" s="96" t="inlineStr">
        <is>
          <t xml:space="preserve">20'x33 </t>
        </is>
      </c>
      <c r="O141" s="111" t="inlineStr">
        <is>
          <t>2019</t>
        </is>
      </c>
      <c r="P141" s="111" t="n"/>
      <c r="Q141" s="111" t="n"/>
      <c r="R141" s="96" t="n"/>
      <c r="S141" s="96" t="n"/>
      <c r="T141" s="96" t="inlineStr">
        <is>
          <t>BKK04</t>
        </is>
      </c>
      <c r="U141" s="96" t="inlineStr">
        <is>
          <t>THBKK</t>
        </is>
      </c>
      <c r="V141" s="161" t="inlineStr">
        <is>
          <t>2026-10-08</t>
        </is>
      </c>
      <c r="W141" s="96" t="inlineStr">
        <is>
          <t>KRPTK</t>
        </is>
      </c>
      <c r="X141" s="161" t="inlineStr">
        <is>
          <t>2026-10-17</t>
        </is>
      </c>
      <c r="Y141" s="97" t="n"/>
      <c r="Z141" s="97" t="n"/>
      <c r="AA141" s="97" t="n"/>
      <c r="AB141" s="97" t="n"/>
      <c r="AC141" s="97" t="n"/>
      <c r="AD141" s="161" t="inlineStr">
        <is>
          <t>2026-09-22</t>
        </is>
      </c>
      <c r="AE141" s="174" t="inlineStr">
        <is>
          <t>1046</t>
        </is>
      </c>
      <c r="AF141" s="96" t="inlineStr">
        <is>
          <t>TBKK07</t>
        </is>
      </c>
      <c r="AG141" s="97" t="n"/>
      <c r="AH141" s="97" t="n"/>
      <c r="AI141" s="97" t="n"/>
      <c r="AJ141" s="96" t="inlineStr">
        <is>
          <t>TO THE ORDER OF KOOKMIN BANK</t>
        </is>
      </c>
      <c r="AK141" s="130" t="n">
        <v>0</v>
      </c>
    </row>
    <row r="142" ht="12" customHeight="1">
      <c r="A142" s="108" t="inlineStr">
        <is>
          <t>SKLU1951367</t>
        </is>
      </c>
      <c r="B142" s="108" t="inlineStr">
        <is>
          <t>BKK04</t>
        </is>
      </c>
      <c r="C142" s="108" t="inlineStr">
        <is>
          <t>IFV</t>
        </is>
      </c>
      <c r="D142" s="172" t="inlineStr">
        <is>
          <t>2026-09-19</t>
        </is>
      </c>
      <c r="E142" s="173" t="inlineStr">
        <is>
          <t>2246</t>
        </is>
      </c>
      <c r="F142" s="96" t="inlineStr">
        <is>
          <t>HASLS22260801914</t>
        </is>
      </c>
      <c r="G142" s="96" t="inlineStr">
        <is>
          <t>DP WORLD LOGISTICS SOLUTIONS (THAILAND) COMPANY LIMITED</t>
        </is>
      </c>
      <c r="H142" s="111" t="inlineStr">
        <is>
          <t>22GP</t>
        </is>
      </c>
      <c r="I142" s="96" t="n"/>
      <c r="J142" s="96" t="inlineStr">
        <is>
          <t>Sirichai Prayochananon</t>
        </is>
      </c>
      <c r="K142" s="96" t="inlineStr">
        <is>
          <t>SD</t>
        </is>
      </c>
      <c r="L142" s="111" t="inlineStr">
        <is>
          <t>Full</t>
        </is>
      </c>
      <c r="M142" s="96" t="inlineStr">
        <is>
          <t>HASLS22260801914</t>
        </is>
      </c>
      <c r="N142" s="96" t="inlineStr">
        <is>
          <t xml:space="preserve">20'x33 </t>
        </is>
      </c>
      <c r="O142" s="111" t="inlineStr">
        <is>
          <t>2019</t>
        </is>
      </c>
      <c r="P142" s="111" t="n"/>
      <c r="Q142" s="111" t="n"/>
      <c r="R142" s="96" t="n"/>
      <c r="S142" s="96" t="n"/>
      <c r="T142" s="96" t="inlineStr">
        <is>
          <t>BKK04</t>
        </is>
      </c>
      <c r="U142" s="96" t="inlineStr">
        <is>
          <t>THBKK</t>
        </is>
      </c>
      <c r="V142" s="161" t="inlineStr">
        <is>
          <t>2026-10-08</t>
        </is>
      </c>
      <c r="W142" s="96" t="inlineStr">
        <is>
          <t>KRPTK</t>
        </is>
      </c>
      <c r="X142" s="161" t="inlineStr">
        <is>
          <t>2026-10-17</t>
        </is>
      </c>
      <c r="Y142" s="97" t="n"/>
      <c r="Z142" s="97" t="n"/>
      <c r="AA142" s="97" t="n"/>
      <c r="AB142" s="97" t="n"/>
      <c r="AC142" s="97" t="n"/>
      <c r="AD142" s="161" t="inlineStr">
        <is>
          <t>2026-09-20</t>
        </is>
      </c>
      <c r="AE142" s="174" t="inlineStr">
        <is>
          <t>1743</t>
        </is>
      </c>
      <c r="AF142" s="96" t="inlineStr">
        <is>
          <t>TBKK42</t>
        </is>
      </c>
      <c r="AG142" s="97" t="n"/>
      <c r="AH142" s="97" t="n"/>
      <c r="AI142" s="97" t="n"/>
      <c r="AJ142" s="96" t="inlineStr">
        <is>
          <t>TO THE ORDER OF KOOKMIN BANK</t>
        </is>
      </c>
      <c r="AK142" s="130" t="n">
        <v>0</v>
      </c>
    </row>
    <row r="143" ht="12" customHeight="1">
      <c r="A143" s="108" t="inlineStr">
        <is>
          <t>SKLU1972267</t>
        </is>
      </c>
      <c r="B143" s="108" t="inlineStr">
        <is>
          <t>BKK04</t>
        </is>
      </c>
      <c r="C143" s="108" t="inlineStr">
        <is>
          <t>IFV</t>
        </is>
      </c>
      <c r="D143" s="172" t="inlineStr">
        <is>
          <t>2026-09-19</t>
        </is>
      </c>
      <c r="E143" s="173" t="inlineStr">
        <is>
          <t>0109</t>
        </is>
      </c>
      <c r="F143" s="96" t="inlineStr">
        <is>
          <t>HASLS22260900196</t>
        </is>
      </c>
      <c r="G143" s="96" t="inlineStr">
        <is>
          <t>SANGUAN WONGSE STARCH CO., LTD.</t>
        </is>
      </c>
      <c r="H143" s="111" t="inlineStr">
        <is>
          <t>22GP</t>
        </is>
      </c>
      <c r="I143" s="96" t="n"/>
      <c r="J143" s="96" t="inlineStr">
        <is>
          <t>Sirichai Prayochananon</t>
        </is>
      </c>
      <c r="K143" s="96" t="inlineStr">
        <is>
          <t>SD</t>
        </is>
      </c>
      <c r="L143" s="111" t="inlineStr">
        <is>
          <t>Full</t>
        </is>
      </c>
      <c r="M143" s="96" t="inlineStr">
        <is>
          <t>HASLS22260900196</t>
        </is>
      </c>
      <c r="N143" s="96" t="inlineStr">
        <is>
          <t xml:space="preserve">20'x12 </t>
        </is>
      </c>
      <c r="O143" s="111" t="inlineStr">
        <is>
          <t>2019</t>
        </is>
      </c>
      <c r="P143" s="111" t="n"/>
      <c r="Q143" s="111" t="n"/>
      <c r="R143" s="96" t="n"/>
      <c r="S143" s="96" t="n"/>
      <c r="T143" s="96" t="inlineStr">
        <is>
          <t>BKK04</t>
        </is>
      </c>
      <c r="U143" s="96" t="inlineStr">
        <is>
          <t>THBKK</t>
        </is>
      </c>
      <c r="V143" s="161" t="inlineStr">
        <is>
          <t>2026-10-08</t>
        </is>
      </c>
      <c r="W143" s="96" t="inlineStr">
        <is>
          <t>JPSEN</t>
        </is>
      </c>
      <c r="X143" s="161" t="inlineStr">
        <is>
          <t>2026-10-19</t>
        </is>
      </c>
      <c r="Y143" s="97" t="n"/>
      <c r="Z143" s="97" t="n"/>
      <c r="AA143" s="97" t="n"/>
      <c r="AB143" s="97" t="n"/>
      <c r="AC143" s="97" t="n"/>
      <c r="AD143" s="161" t="inlineStr">
        <is>
          <t>2026-09-20</t>
        </is>
      </c>
      <c r="AE143" s="174" t="inlineStr">
        <is>
          <t>1743</t>
        </is>
      </c>
      <c r="AF143" s="96" t="inlineStr">
        <is>
          <t>TBKK42</t>
        </is>
      </c>
      <c r="AG143" s="97" t="n"/>
      <c r="AH143" s="97" t="n"/>
      <c r="AI143" s="97" t="n"/>
      <c r="AJ143" s="96" t="inlineStr">
        <is>
          <t>SANSHO CO., LTD.</t>
        </is>
      </c>
      <c r="AK143" s="130" t="n">
        <v>0</v>
      </c>
    </row>
    <row r="144" ht="12" customHeight="1">
      <c r="A144" s="108" t="inlineStr">
        <is>
          <t>SKLU1972776</t>
        </is>
      </c>
      <c r="B144" s="108" t="inlineStr">
        <is>
          <t>BKK04</t>
        </is>
      </c>
      <c r="C144" s="108" t="inlineStr">
        <is>
          <t>IFV</t>
        </is>
      </c>
      <c r="D144" s="172" t="inlineStr">
        <is>
          <t>2026-09-19</t>
        </is>
      </c>
      <c r="E144" s="173" t="inlineStr">
        <is>
          <t>2101</t>
        </is>
      </c>
      <c r="F144" s="96" t="inlineStr">
        <is>
          <t>HASLS22260801914</t>
        </is>
      </c>
      <c r="G144" s="96" t="inlineStr">
        <is>
          <t>DP WORLD LOGISTICS SOLUTIONS (THAILAND) COMPANY LIMITED</t>
        </is>
      </c>
      <c r="H144" s="111" t="inlineStr">
        <is>
          <t>22GP</t>
        </is>
      </c>
      <c r="I144" s="96" t="n"/>
      <c r="J144" s="96" t="inlineStr">
        <is>
          <t>Sirichai Prayochananon</t>
        </is>
      </c>
      <c r="K144" s="96" t="inlineStr">
        <is>
          <t>SD</t>
        </is>
      </c>
      <c r="L144" s="111" t="inlineStr">
        <is>
          <t>Full</t>
        </is>
      </c>
      <c r="M144" s="96" t="inlineStr">
        <is>
          <t>HASLS22260801914</t>
        </is>
      </c>
      <c r="N144" s="96" t="inlineStr">
        <is>
          <t xml:space="preserve">20'x33 </t>
        </is>
      </c>
      <c r="O144" s="111" t="inlineStr">
        <is>
          <t>2019</t>
        </is>
      </c>
      <c r="P144" s="111" t="n"/>
      <c r="Q144" s="111" t="n"/>
      <c r="R144" s="96" t="n"/>
      <c r="S144" s="96" t="n"/>
      <c r="T144" s="96" t="inlineStr">
        <is>
          <t>BKK04</t>
        </is>
      </c>
      <c r="U144" s="96" t="inlineStr">
        <is>
          <t>THBKK</t>
        </is>
      </c>
      <c r="V144" s="161" t="inlineStr">
        <is>
          <t>2026-10-08</t>
        </is>
      </c>
      <c r="W144" s="96" t="inlineStr">
        <is>
          <t>KRPTK</t>
        </is>
      </c>
      <c r="X144" s="161" t="inlineStr">
        <is>
          <t>2026-10-17</t>
        </is>
      </c>
      <c r="Y144" s="97" t="n"/>
      <c r="Z144" s="97" t="n"/>
      <c r="AA144" s="97" t="n"/>
      <c r="AB144" s="97" t="n"/>
      <c r="AC144" s="97" t="n"/>
      <c r="AD144" s="161" t="inlineStr">
        <is>
          <t>2026-09-20</t>
        </is>
      </c>
      <c r="AE144" s="174" t="inlineStr">
        <is>
          <t>1743</t>
        </is>
      </c>
      <c r="AF144" s="96" t="inlineStr">
        <is>
          <t>TBKK42</t>
        </is>
      </c>
      <c r="AG144" s="97" t="n"/>
      <c r="AH144" s="97" t="n"/>
      <c r="AI144" s="97" t="n"/>
      <c r="AJ144" s="96" t="inlineStr">
        <is>
          <t>TO THE ORDER OF KOOKMIN BANK</t>
        </is>
      </c>
      <c r="AK144" s="130" t="n">
        <v>0</v>
      </c>
    </row>
    <row r="145" ht="12" customHeight="1">
      <c r="A145" s="108" t="inlineStr">
        <is>
          <t>SKLU1973047</t>
        </is>
      </c>
      <c r="B145" s="108" t="inlineStr">
        <is>
          <t>BKK04</t>
        </is>
      </c>
      <c r="C145" s="108" t="inlineStr">
        <is>
          <t>IFV</t>
        </is>
      </c>
      <c r="D145" s="172" t="inlineStr">
        <is>
          <t>2026-10-03</t>
        </is>
      </c>
      <c r="E145" s="173" t="inlineStr">
        <is>
          <t>0014</t>
        </is>
      </c>
      <c r="F145" s="96" t="inlineStr">
        <is>
          <t>HASLS22260901663</t>
        </is>
      </c>
      <c r="G145" s="96" t="inlineStr">
        <is>
          <t>DIMERCO EXPRESS (THAILAND) CO., LTD.</t>
        </is>
      </c>
      <c r="H145" s="111" t="inlineStr">
        <is>
          <t>22GP</t>
        </is>
      </c>
      <c r="I145" s="96" t="n"/>
      <c r="J145" s="96" t="inlineStr">
        <is>
          <t>Sirichai Prayochananon</t>
        </is>
      </c>
      <c r="K145" s="96" t="inlineStr">
        <is>
          <t>SD</t>
        </is>
      </c>
      <c r="L145" s="111" t="inlineStr">
        <is>
          <t>Full</t>
        </is>
      </c>
      <c r="M145" s="96" t="inlineStr">
        <is>
          <t>HASLS22260901663</t>
        </is>
      </c>
      <c r="N145" s="96" t="inlineStr">
        <is>
          <t xml:space="preserve">20'x1 </t>
        </is>
      </c>
      <c r="O145" s="111" t="inlineStr">
        <is>
          <t>2019</t>
        </is>
      </c>
      <c r="P145" s="111" t="n"/>
      <c r="Q145" s="111" t="n"/>
      <c r="R145" s="96" t="n"/>
      <c r="S145" s="96" t="n"/>
      <c r="T145" s="96" t="inlineStr">
        <is>
          <t>BKK04</t>
        </is>
      </c>
      <c r="U145" s="96" t="inlineStr">
        <is>
          <t>THBKK</t>
        </is>
      </c>
      <c r="V145" s="161" t="inlineStr">
        <is>
          <t>2026-10-08</t>
        </is>
      </c>
      <c r="W145" s="96" t="inlineStr">
        <is>
          <t>VNSGN</t>
        </is>
      </c>
      <c r="X145" s="161" t="inlineStr">
        <is>
          <t>2026-10-11</t>
        </is>
      </c>
      <c r="Y145" s="97" t="n"/>
      <c r="Z145" s="97" t="n"/>
      <c r="AA145" s="97" t="n"/>
      <c r="AB145" s="97" t="n"/>
      <c r="AC145" s="97" t="n"/>
      <c r="AD145" s="161" t="inlineStr">
        <is>
          <t>2026-10-04</t>
        </is>
      </c>
      <c r="AE145" s="174" t="inlineStr">
        <is>
          <t>2005</t>
        </is>
      </c>
      <c r="AF145" s="96" t="inlineStr">
        <is>
          <t>TBKK42</t>
        </is>
      </c>
      <c r="AG145" s="97" t="n"/>
      <c r="AH145" s="97" t="n"/>
      <c r="AI145" s="97" t="n"/>
      <c r="AJ145" s="96" t="inlineStr">
        <is>
          <t>DIMERCO EXPRESS (VIETNAM) CO., LTD</t>
        </is>
      </c>
      <c r="AK145" s="130" t="n">
        <v>0</v>
      </c>
    </row>
    <row r="146" ht="12" customHeight="1">
      <c r="A146" s="108" t="inlineStr">
        <is>
          <t>SKLU1987436</t>
        </is>
      </c>
      <c r="B146" s="108" t="inlineStr">
        <is>
          <t>BKK04</t>
        </is>
      </c>
      <c r="C146" s="108" t="inlineStr">
        <is>
          <t>IFV</t>
        </is>
      </c>
      <c r="D146" s="172" t="inlineStr">
        <is>
          <t>2026-09-19</t>
        </is>
      </c>
      <c r="E146" s="173" t="inlineStr">
        <is>
          <t>0102</t>
        </is>
      </c>
      <c r="F146" s="96" t="inlineStr">
        <is>
          <t>HASLS22260900196</t>
        </is>
      </c>
      <c r="G146" s="96" t="inlineStr">
        <is>
          <t>SANGUAN WONGSE STARCH CO., LTD.</t>
        </is>
      </c>
      <c r="H146" s="111" t="inlineStr">
        <is>
          <t>22GP</t>
        </is>
      </c>
      <c r="I146" s="96" t="n"/>
      <c r="J146" s="96" t="inlineStr">
        <is>
          <t>Sirichai Prayochananon</t>
        </is>
      </c>
      <c r="K146" s="96" t="inlineStr">
        <is>
          <t>SD</t>
        </is>
      </c>
      <c r="L146" s="111" t="inlineStr">
        <is>
          <t>Full</t>
        </is>
      </c>
      <c r="M146" s="96" t="inlineStr">
        <is>
          <t>HASLS22260900196</t>
        </is>
      </c>
      <c r="N146" s="96" t="inlineStr">
        <is>
          <t xml:space="preserve">20'x12 </t>
        </is>
      </c>
      <c r="O146" s="111" t="inlineStr">
        <is>
          <t>2019</t>
        </is>
      </c>
      <c r="P146" s="111" t="n"/>
      <c r="Q146" s="111" t="n"/>
      <c r="R146" s="96" t="n"/>
      <c r="S146" s="96" t="n"/>
      <c r="T146" s="96" t="inlineStr">
        <is>
          <t>BKK04</t>
        </is>
      </c>
      <c r="U146" s="96" t="inlineStr">
        <is>
          <t>THBKK</t>
        </is>
      </c>
      <c r="V146" s="161" t="inlineStr">
        <is>
          <t>2026-10-08</t>
        </is>
      </c>
      <c r="W146" s="96" t="inlineStr">
        <is>
          <t>JPSEN</t>
        </is>
      </c>
      <c r="X146" s="161" t="inlineStr">
        <is>
          <t>2026-10-19</t>
        </is>
      </c>
      <c r="Y146" s="97" t="n"/>
      <c r="Z146" s="97" t="n"/>
      <c r="AA146" s="97" t="n"/>
      <c r="AB146" s="97" t="n"/>
      <c r="AC146" s="97" t="n"/>
      <c r="AD146" s="161" t="inlineStr">
        <is>
          <t>2026-09-20</t>
        </is>
      </c>
      <c r="AE146" s="174" t="inlineStr">
        <is>
          <t>1743</t>
        </is>
      </c>
      <c r="AF146" s="96" t="inlineStr">
        <is>
          <t>TBKK42</t>
        </is>
      </c>
      <c r="AG146" s="97" t="n"/>
      <c r="AH146" s="97" t="n"/>
      <c r="AI146" s="97" t="n"/>
      <c r="AJ146" s="96" t="inlineStr">
        <is>
          <t>SANSHO CO., LTD.</t>
        </is>
      </c>
      <c r="AK146" s="130" t="n">
        <v>0</v>
      </c>
    </row>
    <row r="147" ht="12" customHeight="1">
      <c r="A147" s="108" t="inlineStr">
        <is>
          <t>SKLU1997542</t>
        </is>
      </c>
      <c r="B147" s="108" t="inlineStr">
        <is>
          <t>BKK04</t>
        </is>
      </c>
      <c r="C147" s="108" t="inlineStr">
        <is>
          <t>IFV</t>
        </is>
      </c>
      <c r="D147" s="172" t="inlineStr">
        <is>
          <t>2026-09-19</t>
        </is>
      </c>
      <c r="E147" s="173" t="inlineStr">
        <is>
          <t>2149</t>
        </is>
      </c>
      <c r="F147" s="96" t="inlineStr">
        <is>
          <t>HASLS22260801914</t>
        </is>
      </c>
      <c r="G147" s="96" t="inlineStr">
        <is>
          <t>DP WORLD LOGISTICS SOLUTIONS (THAILAND) COMPANY LIMITED</t>
        </is>
      </c>
      <c r="H147" s="111" t="inlineStr">
        <is>
          <t>22GP</t>
        </is>
      </c>
      <c r="I147" s="96" t="n"/>
      <c r="J147" s="96" t="inlineStr">
        <is>
          <t>Sirichai Prayochananon</t>
        </is>
      </c>
      <c r="K147" s="96" t="inlineStr">
        <is>
          <t>SD</t>
        </is>
      </c>
      <c r="L147" s="111" t="inlineStr">
        <is>
          <t>Full</t>
        </is>
      </c>
      <c r="M147" s="96" t="inlineStr">
        <is>
          <t>HASLS22260801914</t>
        </is>
      </c>
      <c r="N147" s="96" t="inlineStr">
        <is>
          <t xml:space="preserve">20'x33 </t>
        </is>
      </c>
      <c r="O147" s="111" t="inlineStr">
        <is>
          <t>2019</t>
        </is>
      </c>
      <c r="P147" s="111" t="n"/>
      <c r="Q147" s="111" t="n"/>
      <c r="R147" s="96" t="n"/>
      <c r="S147" s="96" t="n"/>
      <c r="T147" s="96" t="inlineStr">
        <is>
          <t>BKK04</t>
        </is>
      </c>
      <c r="U147" s="96" t="inlineStr">
        <is>
          <t>THBKK</t>
        </is>
      </c>
      <c r="V147" s="161" t="inlineStr">
        <is>
          <t>2026-10-08</t>
        </is>
      </c>
      <c r="W147" s="96" t="inlineStr">
        <is>
          <t>KRPTK</t>
        </is>
      </c>
      <c r="X147" s="161" t="inlineStr">
        <is>
          <t>2026-10-17</t>
        </is>
      </c>
      <c r="Y147" s="97" t="n"/>
      <c r="Z147" s="97" t="n"/>
      <c r="AA147" s="97" t="n"/>
      <c r="AB147" s="97" t="n"/>
      <c r="AC147" s="97" t="n"/>
      <c r="AD147" s="161" t="inlineStr">
        <is>
          <t>2026-09-20</t>
        </is>
      </c>
      <c r="AE147" s="174" t="inlineStr">
        <is>
          <t>1743</t>
        </is>
      </c>
      <c r="AF147" s="96" t="inlineStr">
        <is>
          <t>TBKK42</t>
        </is>
      </c>
      <c r="AG147" s="97" t="n"/>
      <c r="AH147" s="97" t="n"/>
      <c r="AI147" s="97" t="n"/>
      <c r="AJ147" s="96" t="inlineStr">
        <is>
          <t>TO THE ORDER OF KOOKMIN BANK</t>
        </is>
      </c>
      <c r="AK147" s="130" t="n">
        <v>0</v>
      </c>
    </row>
    <row r="148" ht="12" customHeight="1">
      <c r="A148" s="108" t="inlineStr">
        <is>
          <t>SKLU1998960</t>
        </is>
      </c>
      <c r="B148" s="108" t="inlineStr">
        <is>
          <t>BKK04</t>
        </is>
      </c>
      <c r="C148" s="108" t="inlineStr">
        <is>
          <t>IFV</t>
        </is>
      </c>
      <c r="D148" s="172" t="inlineStr">
        <is>
          <t>2026-09-21</t>
        </is>
      </c>
      <c r="E148" s="173" t="inlineStr">
        <is>
          <t>2052</t>
        </is>
      </c>
      <c r="F148" s="96" t="inlineStr">
        <is>
          <t>HASLS22260801914</t>
        </is>
      </c>
      <c r="G148" s="96" t="inlineStr">
        <is>
          <t>DP WORLD LOGISTICS SOLUTIONS (THAILAND) COMPANY LIMITED</t>
        </is>
      </c>
      <c r="H148" s="111" t="inlineStr">
        <is>
          <t>22GP</t>
        </is>
      </c>
      <c r="I148" s="96" t="n"/>
      <c r="J148" s="96" t="inlineStr">
        <is>
          <t>Chuanchuen</t>
        </is>
      </c>
      <c r="K148" s="96" t="inlineStr">
        <is>
          <t>SD</t>
        </is>
      </c>
      <c r="L148" s="111" t="inlineStr">
        <is>
          <t>Full</t>
        </is>
      </c>
      <c r="M148" s="96" t="inlineStr">
        <is>
          <t>HASLS22260801914</t>
        </is>
      </c>
      <c r="N148" s="96" t="inlineStr">
        <is>
          <t xml:space="preserve">20'x33 </t>
        </is>
      </c>
      <c r="O148" s="111" t="inlineStr">
        <is>
          <t>2019</t>
        </is>
      </c>
      <c r="P148" s="111" t="n"/>
      <c r="Q148" s="111" t="n"/>
      <c r="R148" s="96" t="n"/>
      <c r="S148" s="96" t="n"/>
      <c r="T148" s="96" t="inlineStr">
        <is>
          <t>BKK04</t>
        </is>
      </c>
      <c r="U148" s="96" t="inlineStr">
        <is>
          <t>THBKK</t>
        </is>
      </c>
      <c r="V148" s="161" t="inlineStr">
        <is>
          <t>2026-10-08</t>
        </is>
      </c>
      <c r="W148" s="96" t="inlineStr">
        <is>
          <t>KRPTK</t>
        </is>
      </c>
      <c r="X148" s="161" t="inlineStr">
        <is>
          <t>2026-10-17</t>
        </is>
      </c>
      <c r="Y148" s="97" t="n"/>
      <c r="Z148" s="97" t="n"/>
      <c r="AA148" s="97" t="n"/>
      <c r="AB148" s="97" t="n"/>
      <c r="AC148" s="97" t="n"/>
      <c r="AD148" s="161" t="inlineStr">
        <is>
          <t>2026-09-22</t>
        </is>
      </c>
      <c r="AE148" s="174" t="inlineStr">
        <is>
          <t>1046</t>
        </is>
      </c>
      <c r="AF148" s="96" t="inlineStr">
        <is>
          <t>TBKK07</t>
        </is>
      </c>
      <c r="AG148" s="97" t="n"/>
      <c r="AH148" s="97" t="n"/>
      <c r="AI148" s="97" t="n"/>
      <c r="AJ148" s="96" t="inlineStr">
        <is>
          <t>TO THE ORDER OF KOOKMIN BANK</t>
        </is>
      </c>
      <c r="AK148" s="130" t="n">
        <v>0</v>
      </c>
    </row>
    <row r="149" ht="12" customHeight="1">
      <c r="A149" s="108" t="inlineStr">
        <is>
          <t>SKLU1999205</t>
        </is>
      </c>
      <c r="B149" s="108" t="inlineStr">
        <is>
          <t>BKK01</t>
        </is>
      </c>
      <c r="C149" s="108" t="inlineStr">
        <is>
          <t>IFV</t>
        </is>
      </c>
      <c r="D149" s="172" t="inlineStr">
        <is>
          <t>2026-09-28</t>
        </is>
      </c>
      <c r="E149" s="173" t="inlineStr">
        <is>
          <t>1711</t>
        </is>
      </c>
      <c r="F149" s="96" t="inlineStr">
        <is>
          <t>HASLS22260900939</t>
        </is>
      </c>
      <c r="G149" s="96" t="inlineStr">
        <is>
          <t>POLAR STAR CO., LTD.</t>
        </is>
      </c>
      <c r="H149" s="111" t="inlineStr">
        <is>
          <t>22GP</t>
        </is>
      </c>
      <c r="I149" s="96" t="n"/>
      <c r="J149" s="96" t="inlineStr">
        <is>
          <t>Chuanchuen</t>
        </is>
      </c>
      <c r="K149" s="96" t="inlineStr">
        <is>
          <t>SD</t>
        </is>
      </c>
      <c r="L149" s="111" t="inlineStr">
        <is>
          <t>Full</t>
        </is>
      </c>
      <c r="M149" s="96" t="inlineStr">
        <is>
          <t>HASLS22260900939</t>
        </is>
      </c>
      <c r="N149" s="96" t="inlineStr">
        <is>
          <t xml:space="preserve">20'x4 </t>
        </is>
      </c>
      <c r="O149" s="111" t="inlineStr">
        <is>
          <t>2019</t>
        </is>
      </c>
      <c r="P149" s="111" t="n"/>
      <c r="Q149" s="111" t="n"/>
      <c r="R149" s="96" t="n"/>
      <c r="S149" s="96" t="n"/>
      <c r="T149" s="96" t="inlineStr">
        <is>
          <t>BKK04</t>
        </is>
      </c>
      <c r="U149" s="96" t="inlineStr">
        <is>
          <t>THBKK</t>
        </is>
      </c>
      <c r="V149" s="161" t="inlineStr">
        <is>
          <t>2026-10-08</t>
        </is>
      </c>
      <c r="W149" s="96" t="inlineStr">
        <is>
          <t>VNSGN</t>
        </is>
      </c>
      <c r="X149" s="161" t="inlineStr">
        <is>
          <t>2026-10-11</t>
        </is>
      </c>
      <c r="Y149" s="97" t="n"/>
      <c r="Z149" s="97" t="n"/>
      <c r="AA149" s="97" t="n"/>
      <c r="AB149" s="97" t="n"/>
      <c r="AC149" s="97" t="n"/>
      <c r="AD149" s="161" t="inlineStr">
        <is>
          <t>2026-09-30</t>
        </is>
      </c>
      <c r="AE149" s="174" t="inlineStr">
        <is>
          <t>1246</t>
        </is>
      </c>
      <c r="AF149" s="96" t="inlineStr">
        <is>
          <t>TBKK07</t>
        </is>
      </c>
      <c r="AG149" s="97" t="n"/>
      <c r="AH149" s="97" t="n"/>
      <c r="AI149" s="97" t="n"/>
      <c r="AJ149" s="96" t="inlineStr">
        <is>
          <t>MODERN VETERINARY TRADING CO., LTD.</t>
        </is>
      </c>
      <c r="AK149" s="130" t="n">
        <v>0</v>
      </c>
    </row>
    <row r="150" ht="12" customHeight="1">
      <c r="A150" s="108" t="inlineStr">
        <is>
          <t>SKLU2019012</t>
        </is>
      </c>
      <c r="B150" s="108" t="inlineStr">
        <is>
          <t>BKK04</t>
        </is>
      </c>
      <c r="C150" s="108" t="inlineStr">
        <is>
          <t>IFV</t>
        </is>
      </c>
      <c r="D150" s="172" t="inlineStr">
        <is>
          <t>2026-09-19</t>
        </is>
      </c>
      <c r="E150" s="173" t="inlineStr">
        <is>
          <t>2126</t>
        </is>
      </c>
      <c r="F150" s="96" t="inlineStr">
        <is>
          <t>HASLS22260801914</t>
        </is>
      </c>
      <c r="G150" s="96" t="inlineStr">
        <is>
          <t>DP WORLD LOGISTICS SOLUTIONS (THAILAND) COMPANY LIMITED</t>
        </is>
      </c>
      <c r="H150" s="111" t="inlineStr">
        <is>
          <t>22GP</t>
        </is>
      </c>
      <c r="I150" s="96" t="n"/>
      <c r="J150" s="96" t="inlineStr">
        <is>
          <t>Sirichai Prayochananon</t>
        </is>
      </c>
      <c r="K150" s="96" t="inlineStr">
        <is>
          <t>SD</t>
        </is>
      </c>
      <c r="L150" s="111" t="inlineStr">
        <is>
          <t>Full</t>
        </is>
      </c>
      <c r="M150" s="96" t="inlineStr">
        <is>
          <t>HASLS22260801914</t>
        </is>
      </c>
      <c r="N150" s="96" t="inlineStr">
        <is>
          <t xml:space="preserve">20'x33 </t>
        </is>
      </c>
      <c r="O150" s="111" t="inlineStr">
        <is>
          <t>2019</t>
        </is>
      </c>
      <c r="P150" s="111" t="n"/>
      <c r="Q150" s="111" t="n"/>
      <c r="R150" s="96" t="n"/>
      <c r="S150" s="96" t="n"/>
      <c r="T150" s="96" t="inlineStr">
        <is>
          <t>BKK04</t>
        </is>
      </c>
      <c r="U150" s="96" t="inlineStr">
        <is>
          <t>THBKK</t>
        </is>
      </c>
      <c r="V150" s="161" t="inlineStr">
        <is>
          <t>2026-10-08</t>
        </is>
      </c>
      <c r="W150" s="96" t="inlineStr">
        <is>
          <t>KRPTK</t>
        </is>
      </c>
      <c r="X150" s="161" t="inlineStr">
        <is>
          <t>2026-10-17</t>
        </is>
      </c>
      <c r="Y150" s="97" t="n"/>
      <c r="Z150" s="97" t="n"/>
      <c r="AA150" s="97" t="n"/>
      <c r="AB150" s="97" t="n"/>
      <c r="AC150" s="97" t="n"/>
      <c r="AD150" s="161" t="inlineStr">
        <is>
          <t>2026-09-20</t>
        </is>
      </c>
      <c r="AE150" s="174" t="inlineStr">
        <is>
          <t>1743</t>
        </is>
      </c>
      <c r="AF150" s="96" t="inlineStr">
        <is>
          <t>TBKK42</t>
        </is>
      </c>
      <c r="AG150" s="97" t="n"/>
      <c r="AH150" s="97" t="n"/>
      <c r="AI150" s="97" t="n"/>
      <c r="AJ150" s="96" t="inlineStr">
        <is>
          <t>TO THE ORDER OF KOOKMIN BANK</t>
        </is>
      </c>
      <c r="AK150" s="130" t="n">
        <v>0</v>
      </c>
    </row>
    <row r="151" ht="12" customHeight="1">
      <c r="A151" s="108" t="inlineStr">
        <is>
          <t>SKLU2022910</t>
        </is>
      </c>
      <c r="B151" s="108" t="inlineStr">
        <is>
          <t>BKK04</t>
        </is>
      </c>
      <c r="C151" s="108" t="inlineStr">
        <is>
          <t>IFV</t>
        </is>
      </c>
      <c r="D151" s="172" t="inlineStr">
        <is>
          <t>2026-09-21</t>
        </is>
      </c>
      <c r="E151" s="173" t="inlineStr">
        <is>
          <t>2051</t>
        </is>
      </c>
      <c r="F151" s="96" t="inlineStr">
        <is>
          <t>HASLS22260801914</t>
        </is>
      </c>
      <c r="G151" s="96" t="inlineStr">
        <is>
          <t>DP WORLD LOGISTICS SOLUTIONS (THAILAND) COMPANY LIMITED</t>
        </is>
      </c>
      <c r="H151" s="111" t="inlineStr">
        <is>
          <t>22GP</t>
        </is>
      </c>
      <c r="I151" s="96" t="n"/>
      <c r="J151" s="96" t="inlineStr">
        <is>
          <t>Chuanchuen</t>
        </is>
      </c>
      <c r="K151" s="96" t="inlineStr">
        <is>
          <t>SD</t>
        </is>
      </c>
      <c r="L151" s="111" t="inlineStr">
        <is>
          <t>Full</t>
        </is>
      </c>
      <c r="M151" s="96" t="inlineStr">
        <is>
          <t>HASLS22260801914</t>
        </is>
      </c>
      <c r="N151" s="96" t="inlineStr">
        <is>
          <t xml:space="preserve">20'x33 </t>
        </is>
      </c>
      <c r="O151" s="111" t="inlineStr">
        <is>
          <t>2019</t>
        </is>
      </c>
      <c r="P151" s="111" t="n"/>
      <c r="Q151" s="111" t="n"/>
      <c r="R151" s="96" t="n"/>
      <c r="S151" s="96" t="n"/>
      <c r="T151" s="96" t="inlineStr">
        <is>
          <t>BKK04</t>
        </is>
      </c>
      <c r="U151" s="96" t="inlineStr">
        <is>
          <t>THBKK</t>
        </is>
      </c>
      <c r="V151" s="161" t="inlineStr">
        <is>
          <t>2026-10-08</t>
        </is>
      </c>
      <c r="W151" s="96" t="inlineStr">
        <is>
          <t>KRPTK</t>
        </is>
      </c>
      <c r="X151" s="161" t="inlineStr">
        <is>
          <t>2026-10-17</t>
        </is>
      </c>
      <c r="Y151" s="97" t="n"/>
      <c r="Z151" s="97" t="n"/>
      <c r="AA151" s="97" t="n"/>
      <c r="AB151" s="97" t="n"/>
      <c r="AC151" s="97" t="n"/>
      <c r="AD151" s="161" t="inlineStr">
        <is>
          <t>2026-09-22</t>
        </is>
      </c>
      <c r="AE151" s="174" t="inlineStr">
        <is>
          <t>1046</t>
        </is>
      </c>
      <c r="AF151" s="96" t="inlineStr">
        <is>
          <t>TBKK07</t>
        </is>
      </c>
      <c r="AG151" s="97" t="n"/>
      <c r="AH151" s="97" t="n"/>
      <c r="AI151" s="97" t="n"/>
      <c r="AJ151" s="96" t="inlineStr">
        <is>
          <t>TO THE ORDER OF KOOKMIN BANK</t>
        </is>
      </c>
      <c r="AK151" s="130" t="n">
        <v>0</v>
      </c>
    </row>
    <row r="152" ht="12" customHeight="1">
      <c r="A152" s="108" t="inlineStr">
        <is>
          <t>SKLU2027511</t>
        </is>
      </c>
      <c r="B152" s="108" t="inlineStr">
        <is>
          <t>BKK04</t>
        </is>
      </c>
      <c r="C152" s="108" t="inlineStr">
        <is>
          <t>IFV</t>
        </is>
      </c>
      <c r="D152" s="172" t="inlineStr">
        <is>
          <t>2026-09-19</t>
        </is>
      </c>
      <c r="E152" s="173" t="inlineStr">
        <is>
          <t>2105</t>
        </is>
      </c>
      <c r="F152" s="96" t="inlineStr">
        <is>
          <t>HASLS22260801914</t>
        </is>
      </c>
      <c r="G152" s="96" t="inlineStr">
        <is>
          <t>DP WORLD LOGISTICS SOLUTIONS (THAILAND) COMPANY LIMITED</t>
        </is>
      </c>
      <c r="H152" s="111" t="inlineStr">
        <is>
          <t>22GP</t>
        </is>
      </c>
      <c r="I152" s="96" t="n"/>
      <c r="J152" s="96" t="inlineStr">
        <is>
          <t>Sirichai Prayochananon</t>
        </is>
      </c>
      <c r="K152" s="96" t="inlineStr">
        <is>
          <t>SD</t>
        </is>
      </c>
      <c r="L152" s="111" t="inlineStr">
        <is>
          <t>Full</t>
        </is>
      </c>
      <c r="M152" s="96" t="inlineStr">
        <is>
          <t>HASLS22260801914</t>
        </is>
      </c>
      <c r="N152" s="96" t="inlineStr">
        <is>
          <t xml:space="preserve">20'x33 </t>
        </is>
      </c>
      <c r="O152" s="111" t="inlineStr">
        <is>
          <t>2019</t>
        </is>
      </c>
      <c r="P152" s="111" t="n"/>
      <c r="Q152" s="111" t="n"/>
      <c r="R152" s="96" t="n"/>
      <c r="S152" s="96" t="n"/>
      <c r="T152" s="96" t="inlineStr">
        <is>
          <t>BKK04</t>
        </is>
      </c>
      <c r="U152" s="96" t="inlineStr">
        <is>
          <t>THBKK</t>
        </is>
      </c>
      <c r="V152" s="161" t="inlineStr">
        <is>
          <t>2026-10-08</t>
        </is>
      </c>
      <c r="W152" s="96" t="inlineStr">
        <is>
          <t>KRPTK</t>
        </is>
      </c>
      <c r="X152" s="161" t="inlineStr">
        <is>
          <t>2026-10-17</t>
        </is>
      </c>
      <c r="Y152" s="97" t="n"/>
      <c r="Z152" s="97" t="n"/>
      <c r="AA152" s="97" t="n"/>
      <c r="AB152" s="97" t="n"/>
      <c r="AC152" s="97" t="n"/>
      <c r="AD152" s="161" t="inlineStr">
        <is>
          <t>2026-09-20</t>
        </is>
      </c>
      <c r="AE152" s="174" t="inlineStr">
        <is>
          <t>1743</t>
        </is>
      </c>
      <c r="AF152" s="96" t="inlineStr">
        <is>
          <t>TBKK42</t>
        </is>
      </c>
      <c r="AG152" s="97" t="n"/>
      <c r="AH152" s="97" t="n"/>
      <c r="AI152" s="97" t="n"/>
      <c r="AJ152" s="96" t="inlineStr">
        <is>
          <t>TO THE ORDER OF KOOKMIN BANK</t>
        </is>
      </c>
      <c r="AK152" s="130" t="n">
        <v>0</v>
      </c>
    </row>
    <row r="153" ht="12" customHeight="1">
      <c r="A153" s="108" t="inlineStr">
        <is>
          <t>SKLU2034439</t>
        </is>
      </c>
      <c r="B153" s="108" t="inlineStr">
        <is>
          <t>BKK04</t>
        </is>
      </c>
      <c r="C153" s="108" t="inlineStr">
        <is>
          <t>IFV</t>
        </is>
      </c>
      <c r="D153" s="172" t="inlineStr">
        <is>
          <t>2026-09-19</t>
        </is>
      </c>
      <c r="E153" s="173" t="inlineStr">
        <is>
          <t>2050</t>
        </is>
      </c>
      <c r="F153" s="96" t="inlineStr">
        <is>
          <t>HASLS22260801914</t>
        </is>
      </c>
      <c r="G153" s="96" t="inlineStr">
        <is>
          <t>DP WORLD LOGISTICS SOLUTIONS (THAILAND) COMPANY LIMITED</t>
        </is>
      </c>
      <c r="H153" s="111" t="inlineStr">
        <is>
          <t>22GP</t>
        </is>
      </c>
      <c r="I153" s="96" t="n"/>
      <c r="J153" s="96" t="inlineStr">
        <is>
          <t>Sirichai Prayochananon</t>
        </is>
      </c>
      <c r="K153" s="96" t="inlineStr">
        <is>
          <t>SD</t>
        </is>
      </c>
      <c r="L153" s="111" t="inlineStr">
        <is>
          <t>Full</t>
        </is>
      </c>
      <c r="M153" s="96" t="inlineStr">
        <is>
          <t>HASLS22260801914</t>
        </is>
      </c>
      <c r="N153" s="96" t="inlineStr">
        <is>
          <t xml:space="preserve">20'x33 </t>
        </is>
      </c>
      <c r="O153" s="111" t="inlineStr">
        <is>
          <t>2019</t>
        </is>
      </c>
      <c r="P153" s="111" t="n"/>
      <c r="Q153" s="111" t="n"/>
      <c r="R153" s="96" t="n"/>
      <c r="S153" s="96" t="n"/>
      <c r="T153" s="96" t="inlineStr">
        <is>
          <t>BKK04</t>
        </is>
      </c>
      <c r="U153" s="96" t="inlineStr">
        <is>
          <t>THBKK</t>
        </is>
      </c>
      <c r="V153" s="161" t="inlineStr">
        <is>
          <t>2026-10-08</t>
        </is>
      </c>
      <c r="W153" s="96" t="inlineStr">
        <is>
          <t>KRPTK</t>
        </is>
      </c>
      <c r="X153" s="161" t="inlineStr">
        <is>
          <t>2026-10-17</t>
        </is>
      </c>
      <c r="Y153" s="97" t="n"/>
      <c r="Z153" s="97" t="n"/>
      <c r="AA153" s="97" t="n"/>
      <c r="AB153" s="97" t="n"/>
      <c r="AC153" s="97" t="n"/>
      <c r="AD153" s="161" t="inlineStr">
        <is>
          <t>2026-09-20</t>
        </is>
      </c>
      <c r="AE153" s="174" t="inlineStr">
        <is>
          <t>1743</t>
        </is>
      </c>
      <c r="AF153" s="96" t="inlineStr">
        <is>
          <t>TBKK42</t>
        </is>
      </c>
      <c r="AG153" s="97" t="n"/>
      <c r="AH153" s="97" t="n"/>
      <c r="AI153" s="97" t="n"/>
      <c r="AJ153" s="96" t="inlineStr">
        <is>
          <t>TO THE ORDER OF KOOKMIN BANK</t>
        </is>
      </c>
      <c r="AK153" s="130" t="n">
        <v>0</v>
      </c>
    </row>
    <row r="154" ht="12" customHeight="1">
      <c r="A154" s="108" t="inlineStr">
        <is>
          <t>SKLU2037079</t>
        </is>
      </c>
      <c r="B154" s="108" t="inlineStr">
        <is>
          <t>BKK01</t>
        </is>
      </c>
      <c r="C154" s="108" t="inlineStr">
        <is>
          <t>IFV</t>
        </is>
      </c>
      <c r="D154" s="172" t="inlineStr">
        <is>
          <t>2026-09-28</t>
        </is>
      </c>
      <c r="E154" s="173" t="inlineStr">
        <is>
          <t>1714</t>
        </is>
      </c>
      <c r="F154" s="96" t="inlineStr">
        <is>
          <t>HASLS22260900939</t>
        </is>
      </c>
      <c r="G154" s="96" t="inlineStr">
        <is>
          <t>POLAR STAR CO., LTD.</t>
        </is>
      </c>
      <c r="H154" s="111" t="inlineStr">
        <is>
          <t>22GP</t>
        </is>
      </c>
      <c r="I154" s="96" t="n"/>
      <c r="J154" s="96" t="inlineStr">
        <is>
          <t>Chuanchuen</t>
        </is>
      </c>
      <c r="K154" s="96" t="inlineStr">
        <is>
          <t>SD</t>
        </is>
      </c>
      <c r="L154" s="111" t="inlineStr">
        <is>
          <t>Full</t>
        </is>
      </c>
      <c r="M154" s="96" t="inlineStr">
        <is>
          <t>HASLS22260900939</t>
        </is>
      </c>
      <c r="N154" s="96" t="inlineStr">
        <is>
          <t xml:space="preserve">20'x4 </t>
        </is>
      </c>
      <c r="O154" s="111" t="inlineStr">
        <is>
          <t>2019</t>
        </is>
      </c>
      <c r="P154" s="111" t="n"/>
      <c r="Q154" s="111" t="n"/>
      <c r="R154" s="96" t="n"/>
      <c r="S154" s="96" t="n"/>
      <c r="T154" s="96" t="inlineStr">
        <is>
          <t>BKK04</t>
        </is>
      </c>
      <c r="U154" s="96" t="inlineStr">
        <is>
          <t>THBKK</t>
        </is>
      </c>
      <c r="V154" s="161" t="inlineStr">
        <is>
          <t>2026-10-08</t>
        </is>
      </c>
      <c r="W154" s="96" t="inlineStr">
        <is>
          <t>VNSGN</t>
        </is>
      </c>
      <c r="X154" s="161" t="inlineStr">
        <is>
          <t>2026-10-11</t>
        </is>
      </c>
      <c r="Y154" s="97" t="n"/>
      <c r="Z154" s="97" t="n"/>
      <c r="AA154" s="97" t="n"/>
      <c r="AB154" s="97" t="n"/>
      <c r="AC154" s="97" t="n"/>
      <c r="AD154" s="161" t="inlineStr">
        <is>
          <t>2026-09-30</t>
        </is>
      </c>
      <c r="AE154" s="174" t="inlineStr">
        <is>
          <t>1246</t>
        </is>
      </c>
      <c r="AF154" s="96" t="inlineStr">
        <is>
          <t>TBKK07</t>
        </is>
      </c>
      <c r="AG154" s="97" t="n"/>
      <c r="AH154" s="97" t="n"/>
      <c r="AI154" s="97" t="n"/>
      <c r="AJ154" s="96" t="inlineStr">
        <is>
          <t>MODERN VETERINARY TRADING CO., LTD.</t>
        </is>
      </c>
      <c r="AK154" s="130" t="n">
        <v>0</v>
      </c>
    </row>
    <row r="155" ht="12" customHeight="1">
      <c r="A155" s="108" t="inlineStr">
        <is>
          <t>SKLU2039699</t>
        </is>
      </c>
      <c r="B155" s="108" t="inlineStr">
        <is>
          <t>BKK04</t>
        </is>
      </c>
      <c r="C155" s="108" t="inlineStr">
        <is>
          <t>IFV</t>
        </is>
      </c>
      <c r="D155" s="172" t="inlineStr">
        <is>
          <t>2026-09-21</t>
        </is>
      </c>
      <c r="E155" s="173" t="inlineStr">
        <is>
          <t>2102</t>
        </is>
      </c>
      <c r="F155" s="96" t="inlineStr">
        <is>
          <t>HASLS22260801914</t>
        </is>
      </c>
      <c r="G155" s="96" t="inlineStr">
        <is>
          <t>DP WORLD LOGISTICS SOLUTIONS (THAILAND) COMPANY LIMITED</t>
        </is>
      </c>
      <c r="H155" s="111" t="inlineStr">
        <is>
          <t>22GP</t>
        </is>
      </c>
      <c r="I155" s="96" t="n"/>
      <c r="J155" s="96" t="inlineStr">
        <is>
          <t>Chuanchuen</t>
        </is>
      </c>
      <c r="K155" s="96" t="inlineStr">
        <is>
          <t>SD</t>
        </is>
      </c>
      <c r="L155" s="111" t="inlineStr">
        <is>
          <t>Full</t>
        </is>
      </c>
      <c r="M155" s="96" t="inlineStr">
        <is>
          <t>HASLS22260801914</t>
        </is>
      </c>
      <c r="N155" s="96" t="inlineStr">
        <is>
          <t xml:space="preserve">20'x33 </t>
        </is>
      </c>
      <c r="O155" s="111" t="inlineStr">
        <is>
          <t>2019</t>
        </is>
      </c>
      <c r="P155" s="111" t="n"/>
      <c r="Q155" s="111" t="n"/>
      <c r="R155" s="96" t="n"/>
      <c r="S155" s="96" t="n"/>
      <c r="T155" s="96" t="inlineStr">
        <is>
          <t>BKK04</t>
        </is>
      </c>
      <c r="U155" s="96" t="inlineStr">
        <is>
          <t>THBKK</t>
        </is>
      </c>
      <c r="V155" s="161" t="inlineStr">
        <is>
          <t>2026-10-08</t>
        </is>
      </c>
      <c r="W155" s="96" t="inlineStr">
        <is>
          <t>KRPTK</t>
        </is>
      </c>
      <c r="X155" s="161" t="inlineStr">
        <is>
          <t>2026-10-17</t>
        </is>
      </c>
      <c r="Y155" s="97" t="n"/>
      <c r="Z155" s="97" t="n"/>
      <c r="AA155" s="97" t="n"/>
      <c r="AB155" s="97" t="n"/>
      <c r="AC155" s="97" t="n"/>
      <c r="AD155" s="161" t="inlineStr">
        <is>
          <t>2026-09-22</t>
        </is>
      </c>
      <c r="AE155" s="174" t="inlineStr">
        <is>
          <t>1046</t>
        </is>
      </c>
      <c r="AF155" s="96" t="inlineStr">
        <is>
          <t>TBKK07</t>
        </is>
      </c>
      <c r="AG155" s="97" t="n"/>
      <c r="AH155" s="97" t="n"/>
      <c r="AI155" s="97" t="n"/>
      <c r="AJ155" s="96" t="inlineStr">
        <is>
          <t>TO THE ORDER OF KOOKMIN BANK</t>
        </is>
      </c>
      <c r="AK155" s="130" t="n">
        <v>0</v>
      </c>
    </row>
    <row r="156" ht="12" customHeight="1">
      <c r="A156" s="108" t="inlineStr">
        <is>
          <t>SKLU2048880</t>
        </is>
      </c>
      <c r="B156" s="108" t="inlineStr">
        <is>
          <t>BKK01</t>
        </is>
      </c>
      <c r="C156" s="108" t="inlineStr">
        <is>
          <t>IFV</t>
        </is>
      </c>
      <c r="D156" s="172" t="inlineStr">
        <is>
          <t>2026-10-01</t>
        </is>
      </c>
      <c r="E156" s="173" t="inlineStr">
        <is>
          <t>1824</t>
        </is>
      </c>
      <c r="F156" s="96" t="inlineStr">
        <is>
          <t>HASLS22260901396</t>
        </is>
      </c>
      <c r="G156" s="96" t="inlineStr">
        <is>
          <t>MILKYWAY INTERNATIONAL SUPPLY CHAIN SERVICES (THAILAND) CO., LTD.</t>
        </is>
      </c>
      <c r="H156" s="111" t="inlineStr">
        <is>
          <t>22GP</t>
        </is>
      </c>
      <c r="I156" s="96" t="n"/>
      <c r="J156" s="96" t="inlineStr">
        <is>
          <t>Chuanchuen</t>
        </is>
      </c>
      <c r="K156" s="96" t="inlineStr">
        <is>
          <t>SD</t>
        </is>
      </c>
      <c r="L156" s="111" t="inlineStr">
        <is>
          <t>Full</t>
        </is>
      </c>
      <c r="M156" s="96" t="inlineStr">
        <is>
          <t>HASLS22260901396</t>
        </is>
      </c>
      <c r="N156" s="96" t="inlineStr">
        <is>
          <t xml:space="preserve">20'x3 </t>
        </is>
      </c>
      <c r="O156" s="111" t="inlineStr">
        <is>
          <t>2019</t>
        </is>
      </c>
      <c r="P156" s="111" t="n"/>
      <c r="Q156" s="111" t="n"/>
      <c r="R156" s="96" t="n"/>
      <c r="S156" s="96" t="n"/>
      <c r="T156" s="96" t="inlineStr">
        <is>
          <t>BKK04</t>
        </is>
      </c>
      <c r="U156" s="96" t="inlineStr">
        <is>
          <t>THBKK</t>
        </is>
      </c>
      <c r="V156" s="161" t="inlineStr">
        <is>
          <t>2026-10-08</t>
        </is>
      </c>
      <c r="W156" s="96" t="inlineStr">
        <is>
          <t>JPSBS</t>
        </is>
      </c>
      <c r="X156" s="161" t="inlineStr">
        <is>
          <t>2026-10-19</t>
        </is>
      </c>
      <c r="Y156" s="97" t="n"/>
      <c r="Z156" s="97" t="n"/>
      <c r="AA156" s="97" t="n"/>
      <c r="AB156" s="97" t="n"/>
      <c r="AC156" s="97" t="n"/>
      <c r="AD156" s="161" t="inlineStr">
        <is>
          <t>2026-10-02</t>
        </is>
      </c>
      <c r="AE156" s="174" t="inlineStr">
        <is>
          <t>1101</t>
        </is>
      </c>
      <c r="AF156" s="96" t="inlineStr">
        <is>
          <t>TBKK07</t>
        </is>
      </c>
      <c r="AG156" s="97" t="n"/>
      <c r="AH156" s="97" t="n"/>
      <c r="AI156" s="97" t="n"/>
      <c r="AJ156" s="96" t="inlineStr">
        <is>
          <t>TO ORDER OF SHIPPER</t>
        </is>
      </c>
      <c r="AK156" s="130" t="n">
        <v>0</v>
      </c>
    </row>
    <row r="157" ht="12" customHeight="1">
      <c r="A157" s="108" t="inlineStr">
        <is>
          <t>SKLU2052469</t>
        </is>
      </c>
      <c r="B157" s="108" t="inlineStr">
        <is>
          <t>BKK04</t>
        </is>
      </c>
      <c r="C157" s="108" t="inlineStr">
        <is>
          <t>IFV</t>
        </is>
      </c>
      <c r="D157" s="172" t="inlineStr">
        <is>
          <t>2026-09-19</t>
        </is>
      </c>
      <c r="E157" s="173" t="inlineStr">
        <is>
          <t>2202</t>
        </is>
      </c>
      <c r="F157" s="96" t="inlineStr">
        <is>
          <t>HASLS22260801914</t>
        </is>
      </c>
      <c r="G157" s="96" t="inlineStr">
        <is>
          <t>DP WORLD LOGISTICS SOLUTIONS (THAILAND) COMPANY LIMITED</t>
        </is>
      </c>
      <c r="H157" s="111" t="inlineStr">
        <is>
          <t>22GP</t>
        </is>
      </c>
      <c r="I157" s="96" t="n"/>
      <c r="J157" s="96" t="inlineStr">
        <is>
          <t>Sirichai Prayochananon</t>
        </is>
      </c>
      <c r="K157" s="96" t="inlineStr">
        <is>
          <t>SD</t>
        </is>
      </c>
      <c r="L157" s="111" t="inlineStr">
        <is>
          <t>Full</t>
        </is>
      </c>
      <c r="M157" s="96" t="inlineStr">
        <is>
          <t>HASLS22260801914</t>
        </is>
      </c>
      <c r="N157" s="96" t="inlineStr">
        <is>
          <t xml:space="preserve">20'x33 </t>
        </is>
      </c>
      <c r="O157" s="111" t="inlineStr">
        <is>
          <t>2019</t>
        </is>
      </c>
      <c r="P157" s="111" t="n"/>
      <c r="Q157" s="111" t="n"/>
      <c r="R157" s="96" t="n"/>
      <c r="S157" s="96" t="n"/>
      <c r="T157" s="96" t="inlineStr">
        <is>
          <t>BKK04</t>
        </is>
      </c>
      <c r="U157" s="96" t="inlineStr">
        <is>
          <t>THBKK</t>
        </is>
      </c>
      <c r="V157" s="161" t="inlineStr">
        <is>
          <t>2026-10-08</t>
        </is>
      </c>
      <c r="W157" s="96" t="inlineStr">
        <is>
          <t>KRPTK</t>
        </is>
      </c>
      <c r="X157" s="161" t="inlineStr">
        <is>
          <t>2026-10-17</t>
        </is>
      </c>
      <c r="Y157" s="97" t="n"/>
      <c r="Z157" s="97" t="n"/>
      <c r="AA157" s="97" t="n"/>
      <c r="AB157" s="97" t="n"/>
      <c r="AC157" s="97" t="n"/>
      <c r="AD157" s="161" t="inlineStr">
        <is>
          <t>2026-09-20</t>
        </is>
      </c>
      <c r="AE157" s="174" t="inlineStr">
        <is>
          <t>1743</t>
        </is>
      </c>
      <c r="AF157" s="96" t="inlineStr">
        <is>
          <t>TBKK42</t>
        </is>
      </c>
      <c r="AG157" s="97" t="n"/>
      <c r="AH157" s="97" t="n"/>
      <c r="AI157" s="97" t="n"/>
      <c r="AJ157" s="96" t="inlineStr">
        <is>
          <t>TO THE ORDER OF KOOKMIN BANK</t>
        </is>
      </c>
      <c r="AK157" s="130" t="n">
        <v>0</v>
      </c>
    </row>
    <row r="158" ht="12" customHeight="1">
      <c r="A158" s="108" t="inlineStr">
        <is>
          <t>SKLU2067643</t>
        </is>
      </c>
      <c r="B158" s="108" t="inlineStr">
        <is>
          <t>BKK04</t>
        </is>
      </c>
      <c r="C158" s="108" t="inlineStr">
        <is>
          <t>IFV</t>
        </is>
      </c>
      <c r="D158" s="172" t="inlineStr">
        <is>
          <t>2026-09-19</t>
        </is>
      </c>
      <c r="E158" s="173" t="inlineStr">
        <is>
          <t>0108</t>
        </is>
      </c>
      <c r="F158" s="96" t="inlineStr">
        <is>
          <t>HASLS22260900196</t>
        </is>
      </c>
      <c r="G158" s="96" t="inlineStr">
        <is>
          <t>SANGUAN WONGSE STARCH CO., LTD.</t>
        </is>
      </c>
      <c r="H158" s="111" t="inlineStr">
        <is>
          <t>22GP</t>
        </is>
      </c>
      <c r="I158" s="96" t="n"/>
      <c r="J158" s="96" t="inlineStr">
        <is>
          <t>Sirichai Prayochananon</t>
        </is>
      </c>
      <c r="K158" s="96" t="inlineStr">
        <is>
          <t>SD</t>
        </is>
      </c>
      <c r="L158" s="111" t="inlineStr">
        <is>
          <t>Full</t>
        </is>
      </c>
      <c r="M158" s="96" t="inlineStr">
        <is>
          <t>HASLS22260900196</t>
        </is>
      </c>
      <c r="N158" s="96" t="inlineStr">
        <is>
          <t xml:space="preserve">20'x12 </t>
        </is>
      </c>
      <c r="O158" s="111" t="inlineStr">
        <is>
          <t>2019</t>
        </is>
      </c>
      <c r="P158" s="111" t="n"/>
      <c r="Q158" s="111" t="n"/>
      <c r="R158" s="96" t="n"/>
      <c r="S158" s="96" t="n"/>
      <c r="T158" s="96" t="inlineStr">
        <is>
          <t>BKK04</t>
        </is>
      </c>
      <c r="U158" s="96" t="inlineStr">
        <is>
          <t>THBKK</t>
        </is>
      </c>
      <c r="V158" s="161" t="inlineStr">
        <is>
          <t>2026-10-08</t>
        </is>
      </c>
      <c r="W158" s="96" t="inlineStr">
        <is>
          <t>JPSEN</t>
        </is>
      </c>
      <c r="X158" s="161" t="inlineStr">
        <is>
          <t>2026-10-19</t>
        </is>
      </c>
      <c r="Y158" s="97" t="n"/>
      <c r="Z158" s="97" t="n"/>
      <c r="AA158" s="97" t="n"/>
      <c r="AB158" s="97" t="n"/>
      <c r="AC158" s="97" t="n"/>
      <c r="AD158" s="161" t="inlineStr">
        <is>
          <t>2026-09-20</t>
        </is>
      </c>
      <c r="AE158" s="174" t="inlineStr">
        <is>
          <t>1743</t>
        </is>
      </c>
      <c r="AF158" s="96" t="inlineStr">
        <is>
          <t>TBKK42</t>
        </is>
      </c>
      <c r="AG158" s="97" t="n"/>
      <c r="AH158" s="97" t="n"/>
      <c r="AI158" s="97" t="n"/>
      <c r="AJ158" s="96" t="inlineStr">
        <is>
          <t>SANSHO CO., LTD.</t>
        </is>
      </c>
      <c r="AK158" s="130" t="n">
        <v>0</v>
      </c>
    </row>
    <row r="159" ht="12" customHeight="1">
      <c r="A159" s="108" t="inlineStr">
        <is>
          <t>SKLU2074468</t>
        </is>
      </c>
      <c r="B159" s="108" t="inlineStr">
        <is>
          <t>BKK04</t>
        </is>
      </c>
      <c r="C159" s="108" t="inlineStr">
        <is>
          <t>IFV</t>
        </is>
      </c>
      <c r="D159" s="172" t="inlineStr">
        <is>
          <t>2026-10-02</t>
        </is>
      </c>
      <c r="E159" s="173" t="inlineStr">
        <is>
          <t>1548</t>
        </is>
      </c>
      <c r="F159" s="96" t="inlineStr">
        <is>
          <t>HASLS22260900630</t>
        </is>
      </c>
      <c r="G159" s="96" t="inlineStr">
        <is>
          <t>ICONS GLOBAL LOGISTICS CO., LTD.</t>
        </is>
      </c>
      <c r="H159" s="111" t="inlineStr">
        <is>
          <t>22GP</t>
        </is>
      </c>
      <c r="I159" s="96" t="n"/>
      <c r="J159" s="96" t="inlineStr">
        <is>
          <t>Chuanchuen</t>
        </is>
      </c>
      <c r="K159" s="96" t="inlineStr">
        <is>
          <t>SD</t>
        </is>
      </c>
      <c r="L159" s="111" t="inlineStr">
        <is>
          <t>Full</t>
        </is>
      </c>
      <c r="M159" s="96" t="inlineStr">
        <is>
          <t>HASLS22260900630</t>
        </is>
      </c>
      <c r="N159" s="96" t="inlineStr">
        <is>
          <t xml:space="preserve">20'x10 </t>
        </is>
      </c>
      <c r="O159" s="111" t="inlineStr">
        <is>
          <t>2019</t>
        </is>
      </c>
      <c r="P159" s="111" t="n"/>
      <c r="Q159" s="111" t="n"/>
      <c r="R159" s="96" t="n"/>
      <c r="S159" s="96" t="n"/>
      <c r="T159" s="96" t="inlineStr">
        <is>
          <t>BKK04</t>
        </is>
      </c>
      <c r="U159" s="96" t="inlineStr">
        <is>
          <t>THBKK</t>
        </is>
      </c>
      <c r="V159" s="161" t="inlineStr">
        <is>
          <t>2026-10-08</t>
        </is>
      </c>
      <c r="W159" s="96" t="inlineStr">
        <is>
          <t>VNSGN</t>
        </is>
      </c>
      <c r="X159" s="161" t="inlineStr">
        <is>
          <t>2026-10-11</t>
        </is>
      </c>
      <c r="Y159" s="97" t="n"/>
      <c r="Z159" s="97" t="n"/>
      <c r="AA159" s="97" t="n"/>
      <c r="AB159" s="97" t="n"/>
      <c r="AC159" s="97" t="n"/>
      <c r="AD159" s="161" t="inlineStr">
        <is>
          <t>2026-10-02</t>
        </is>
      </c>
      <c r="AE159" s="174" t="inlineStr">
        <is>
          <t>2027</t>
        </is>
      </c>
      <c r="AF159" s="96" t="inlineStr">
        <is>
          <t>TBKK07</t>
        </is>
      </c>
      <c r="AG159" s="97" t="n"/>
      <c r="AH159" s="97" t="n"/>
      <c r="AI159" s="97" t="n"/>
      <c r="AJ159" s="96" t="inlineStr">
        <is>
          <t>MEKONG COMMODITIES JSC</t>
        </is>
      </c>
      <c r="AK159" s="130" t="n">
        <v>0</v>
      </c>
    </row>
    <row r="160" ht="12" customHeight="1">
      <c r="A160" s="108" t="inlineStr">
        <is>
          <t>SKLU2079731</t>
        </is>
      </c>
      <c r="B160" s="108" t="inlineStr">
        <is>
          <t>BKK04</t>
        </is>
      </c>
      <c r="C160" s="108" t="inlineStr">
        <is>
          <t>IFV</t>
        </is>
      </c>
      <c r="D160" s="172" t="inlineStr">
        <is>
          <t>2026-09-19</t>
        </is>
      </c>
      <c r="E160" s="173" t="inlineStr">
        <is>
          <t>2047</t>
        </is>
      </c>
      <c r="F160" s="96" t="inlineStr">
        <is>
          <t>HASLS22260801914</t>
        </is>
      </c>
      <c r="G160" s="96" t="inlineStr">
        <is>
          <t>DP WORLD LOGISTICS SOLUTIONS (THAILAND) COMPANY LIMITED</t>
        </is>
      </c>
      <c r="H160" s="111" t="inlineStr">
        <is>
          <t>22GP</t>
        </is>
      </c>
      <c r="I160" s="96" t="n"/>
      <c r="J160" s="96" t="inlineStr">
        <is>
          <t>Sirichai Prayochananon</t>
        </is>
      </c>
      <c r="K160" s="96" t="inlineStr">
        <is>
          <t>SD</t>
        </is>
      </c>
      <c r="L160" s="111" t="inlineStr">
        <is>
          <t>Full</t>
        </is>
      </c>
      <c r="M160" s="96" t="inlineStr">
        <is>
          <t>HASLS22260801914</t>
        </is>
      </c>
      <c r="N160" s="96" t="inlineStr">
        <is>
          <t xml:space="preserve">20'x33 </t>
        </is>
      </c>
      <c r="O160" s="111" t="inlineStr">
        <is>
          <t>2019</t>
        </is>
      </c>
      <c r="P160" s="111" t="n"/>
      <c r="Q160" s="111" t="n"/>
      <c r="R160" s="96" t="n"/>
      <c r="S160" s="96" t="n"/>
      <c r="T160" s="96" t="inlineStr">
        <is>
          <t>BKK04</t>
        </is>
      </c>
      <c r="U160" s="96" t="inlineStr">
        <is>
          <t>THBKK</t>
        </is>
      </c>
      <c r="V160" s="161" t="inlineStr">
        <is>
          <t>2026-10-08</t>
        </is>
      </c>
      <c r="W160" s="96" t="inlineStr">
        <is>
          <t>KRPTK</t>
        </is>
      </c>
      <c r="X160" s="161" t="inlineStr">
        <is>
          <t>2026-10-17</t>
        </is>
      </c>
      <c r="Y160" s="97" t="n"/>
      <c r="Z160" s="97" t="n"/>
      <c r="AA160" s="97" t="n"/>
      <c r="AB160" s="97" t="n"/>
      <c r="AC160" s="97" t="n"/>
      <c r="AD160" s="161" t="inlineStr">
        <is>
          <t>2026-09-20</t>
        </is>
      </c>
      <c r="AE160" s="174" t="inlineStr">
        <is>
          <t>1743</t>
        </is>
      </c>
      <c r="AF160" s="96" t="inlineStr">
        <is>
          <t>TBKK42</t>
        </is>
      </c>
      <c r="AG160" s="97" t="n"/>
      <c r="AH160" s="97" t="n"/>
      <c r="AI160" s="97" t="n"/>
      <c r="AJ160" s="96" t="inlineStr">
        <is>
          <t>TO THE ORDER OF KOOKMIN BANK</t>
        </is>
      </c>
      <c r="AK160" s="130" t="n">
        <v>0</v>
      </c>
    </row>
    <row r="161" ht="12" customHeight="1">
      <c r="A161" s="108" t="inlineStr">
        <is>
          <t>SKLU2114257</t>
        </is>
      </c>
      <c r="B161" s="108" t="inlineStr">
        <is>
          <t>BKK01</t>
        </is>
      </c>
      <c r="C161" s="108" t="inlineStr">
        <is>
          <t>IFV</t>
        </is>
      </c>
      <c r="D161" s="172" t="inlineStr">
        <is>
          <t>2026-09-28</t>
        </is>
      </c>
      <c r="E161" s="173" t="inlineStr">
        <is>
          <t>2308</t>
        </is>
      </c>
      <c r="F161" s="96" t="inlineStr">
        <is>
          <t>HASLS22260900941</t>
        </is>
      </c>
      <c r="G161" s="96" t="inlineStr">
        <is>
          <t>CTL INTERNATIONAL CO., LTD.</t>
        </is>
      </c>
      <c r="H161" s="111" t="inlineStr">
        <is>
          <t>22GP</t>
        </is>
      </c>
      <c r="I161" s="96" t="n"/>
      <c r="J161" s="96" t="inlineStr">
        <is>
          <t>Chuanchuen</t>
        </is>
      </c>
      <c r="K161" s="96" t="inlineStr">
        <is>
          <t>SD</t>
        </is>
      </c>
      <c r="L161" s="111" t="inlineStr">
        <is>
          <t>Full</t>
        </is>
      </c>
      <c r="M161" s="96" t="inlineStr">
        <is>
          <t>HASLS22260900941</t>
        </is>
      </c>
      <c r="N161" s="96" t="inlineStr">
        <is>
          <t xml:space="preserve">20'x2 </t>
        </is>
      </c>
      <c r="O161" s="111" t="inlineStr">
        <is>
          <t>2021</t>
        </is>
      </c>
      <c r="P161" s="111" t="n"/>
      <c r="Q161" s="111" t="n"/>
      <c r="R161" s="96" t="n"/>
      <c r="S161" s="96" t="n"/>
      <c r="T161" s="96" t="inlineStr">
        <is>
          <t>BKK04</t>
        </is>
      </c>
      <c r="U161" s="96" t="inlineStr">
        <is>
          <t>THBKK</t>
        </is>
      </c>
      <c r="V161" s="161" t="inlineStr">
        <is>
          <t>2026-10-08</t>
        </is>
      </c>
      <c r="W161" s="96" t="inlineStr">
        <is>
          <t>JPHHE</t>
        </is>
      </c>
      <c r="X161" s="161" t="inlineStr">
        <is>
          <t>2026-10-19</t>
        </is>
      </c>
      <c r="Y161" s="97" t="n"/>
      <c r="Z161" s="97" t="n"/>
      <c r="AA161" s="97" t="n"/>
      <c r="AB161" s="97" t="n"/>
      <c r="AC161" s="97" t="n"/>
      <c r="AD161" s="161" t="inlineStr">
        <is>
          <t>2026-09-29</t>
        </is>
      </c>
      <c r="AE161" s="174" t="inlineStr">
        <is>
          <t>1052</t>
        </is>
      </c>
      <c r="AF161" s="96" t="inlineStr">
        <is>
          <t>TBKK07</t>
        </is>
      </c>
      <c r="AG161" s="97" t="n"/>
      <c r="AH161" s="97" t="n"/>
      <c r="AI161" s="97" t="n"/>
      <c r="AJ161" s="96" t="inlineStr">
        <is>
          <t>THAIMEI CO.,LTD.</t>
        </is>
      </c>
      <c r="AK161" s="130" t="n">
        <v>0</v>
      </c>
    </row>
    <row r="162" ht="12" customHeight="1">
      <c r="A162" s="108" t="inlineStr">
        <is>
          <t>SKLU2129278</t>
        </is>
      </c>
      <c r="B162" s="108" t="inlineStr">
        <is>
          <t>BKK01</t>
        </is>
      </c>
      <c r="C162" s="108" t="inlineStr">
        <is>
          <t>IFV</t>
        </is>
      </c>
      <c r="D162" s="172" t="inlineStr">
        <is>
          <t>2026-09-28</t>
        </is>
      </c>
      <c r="E162" s="173" t="inlineStr">
        <is>
          <t>0142</t>
        </is>
      </c>
      <c r="F162" s="96" t="inlineStr">
        <is>
          <t>HASLS22260800838</t>
        </is>
      </c>
      <c r="G162" s="96" t="inlineStr">
        <is>
          <t>SCGJWD LOGISTICS PUBLIC COMPANY LIMITED</t>
        </is>
      </c>
      <c r="H162" s="111" t="inlineStr">
        <is>
          <t>22GP</t>
        </is>
      </c>
      <c r="I162" s="96" t="n"/>
      <c r="J162" s="96" t="inlineStr">
        <is>
          <t>Chuanchuen</t>
        </is>
      </c>
      <c r="K162" s="96" t="inlineStr">
        <is>
          <t>SD</t>
        </is>
      </c>
      <c r="L162" s="111" t="inlineStr">
        <is>
          <t>Full</t>
        </is>
      </c>
      <c r="M162" s="96" t="inlineStr">
        <is>
          <t>HASLS22260800838</t>
        </is>
      </c>
      <c r="N162" s="96" t="inlineStr">
        <is>
          <t xml:space="preserve">20'x10 </t>
        </is>
      </c>
      <c r="O162" s="111" t="inlineStr">
        <is>
          <t>2021</t>
        </is>
      </c>
      <c r="P162" s="111" t="n"/>
      <c r="Q162" s="111" t="n"/>
      <c r="R162" s="96" t="n"/>
      <c r="S162" s="96" t="n"/>
      <c r="T162" s="96" t="inlineStr">
        <is>
          <t>BKK04</t>
        </is>
      </c>
      <c r="U162" s="96" t="inlineStr">
        <is>
          <t>THBKK</t>
        </is>
      </c>
      <c r="V162" s="161" t="inlineStr">
        <is>
          <t>2026-10-08</t>
        </is>
      </c>
      <c r="W162" s="96" t="inlineStr">
        <is>
          <t>VNSGN</t>
        </is>
      </c>
      <c r="X162" s="161" t="inlineStr">
        <is>
          <t>2026-10-11</t>
        </is>
      </c>
      <c r="Y162" s="97" t="n"/>
      <c r="Z162" s="97" t="n"/>
      <c r="AA162" s="97" t="n"/>
      <c r="AB162" s="97" t="n"/>
      <c r="AC162" s="97" t="n"/>
      <c r="AD162" s="161" t="inlineStr">
        <is>
          <t>2026-09-28</t>
        </is>
      </c>
      <c r="AE162" s="174" t="inlineStr">
        <is>
          <t>1055</t>
        </is>
      </c>
      <c r="AF162" s="96" t="inlineStr">
        <is>
          <t>TBKK07</t>
        </is>
      </c>
      <c r="AG162" s="97" t="n"/>
      <c r="AH162" s="97" t="n"/>
      <c r="AI162" s="97" t="n"/>
      <c r="AJ162" s="96" t="inlineStr">
        <is>
          <t>BUU LONG INDUSTRY AND INVESTMENT</t>
        </is>
      </c>
      <c r="AK162" s="130" t="n">
        <v>0</v>
      </c>
    </row>
    <row r="163" ht="12" customHeight="1">
      <c r="A163" s="108" t="inlineStr">
        <is>
          <t>SKLU2301263</t>
        </is>
      </c>
      <c r="B163" s="108" t="inlineStr">
        <is>
          <t>BKK04</t>
        </is>
      </c>
      <c r="C163" s="108" t="inlineStr">
        <is>
          <t>IFV</t>
        </is>
      </c>
      <c r="D163" s="172" t="inlineStr">
        <is>
          <t>2026-10-03</t>
        </is>
      </c>
      <c r="E163" s="173" t="inlineStr">
        <is>
          <t>1627</t>
        </is>
      </c>
      <c r="F163" s="96" t="inlineStr">
        <is>
          <t>HASLS22260900995</t>
        </is>
      </c>
      <c r="G163" s="96" t="inlineStr">
        <is>
          <t>BEE LOGISTICS (THAILAND) CO., LTD.</t>
        </is>
      </c>
      <c r="H163" s="111" t="inlineStr">
        <is>
          <t>22GP</t>
        </is>
      </c>
      <c r="I163" s="96" t="n"/>
      <c r="J163" s="96" t="inlineStr">
        <is>
          <t>Sirichai Prayochananon</t>
        </is>
      </c>
      <c r="K163" s="96" t="inlineStr">
        <is>
          <t>SD</t>
        </is>
      </c>
      <c r="L163" s="111" t="inlineStr">
        <is>
          <t>Full</t>
        </is>
      </c>
      <c r="M163" s="96" t="inlineStr">
        <is>
          <t>HASLS22260900995</t>
        </is>
      </c>
      <c r="N163" s="96" t="inlineStr">
        <is>
          <t xml:space="preserve">20'x1 </t>
        </is>
      </c>
      <c r="O163" s="111" t="inlineStr">
        <is>
          <t>2023</t>
        </is>
      </c>
      <c r="P163" s="111" t="n"/>
      <c r="Q163" s="111" t="n"/>
      <c r="R163" s="96" t="n"/>
      <c r="S163" s="96" t="n"/>
      <c r="T163" s="96" t="inlineStr">
        <is>
          <t>BKK04</t>
        </is>
      </c>
      <c r="U163" s="96" t="inlineStr">
        <is>
          <t>THBKK</t>
        </is>
      </c>
      <c r="V163" s="161" t="inlineStr">
        <is>
          <t>2026-10-08</t>
        </is>
      </c>
      <c r="W163" s="96" t="inlineStr">
        <is>
          <t>VNSGN</t>
        </is>
      </c>
      <c r="X163" s="161" t="inlineStr">
        <is>
          <t>2026-10-11</t>
        </is>
      </c>
      <c r="Y163" s="97" t="n"/>
      <c r="Z163" s="97" t="n"/>
      <c r="AA163" s="97" t="n"/>
      <c r="AB163" s="97" t="n"/>
      <c r="AC163" s="97" t="n"/>
      <c r="AD163" s="161" t="inlineStr">
        <is>
          <t>2026-10-04</t>
        </is>
      </c>
      <c r="AE163" s="174" t="inlineStr">
        <is>
          <t>2005</t>
        </is>
      </c>
      <c r="AF163" s="96" t="inlineStr">
        <is>
          <t>TBKK42</t>
        </is>
      </c>
      <c r="AG163" s="97" t="n"/>
      <c r="AH163" s="97" t="n"/>
      <c r="AI163" s="97" t="n"/>
      <c r="AJ163" s="96" t="inlineStr">
        <is>
          <t>BEE LOGISTICS CORPORATION -</t>
        </is>
      </c>
      <c r="AK163" s="130" t="n">
        <v>0</v>
      </c>
    </row>
    <row r="164" ht="12" customHeight="1">
      <c r="A164" s="108" t="inlineStr">
        <is>
          <t>SKLU2305891</t>
        </is>
      </c>
      <c r="B164" s="108" t="inlineStr">
        <is>
          <t>BKK04</t>
        </is>
      </c>
      <c r="C164" s="108" t="inlineStr">
        <is>
          <t>IFV</t>
        </is>
      </c>
      <c r="D164" s="172" t="inlineStr">
        <is>
          <t>2026-09-19</t>
        </is>
      </c>
      <c r="E164" s="173" t="inlineStr">
        <is>
          <t>2104</t>
        </is>
      </c>
      <c r="F164" s="96" t="inlineStr">
        <is>
          <t>HASLS22260801914</t>
        </is>
      </c>
      <c r="G164" s="96" t="inlineStr">
        <is>
          <t>DP WORLD LOGISTICS SOLUTIONS (THAILAND) COMPANY LIMITED</t>
        </is>
      </c>
      <c r="H164" s="111" t="inlineStr">
        <is>
          <t>22GP</t>
        </is>
      </c>
      <c r="I164" s="96" t="n"/>
      <c r="J164" s="96" t="inlineStr">
        <is>
          <t>Sirichai Prayochananon</t>
        </is>
      </c>
      <c r="K164" s="96" t="inlineStr">
        <is>
          <t>SD</t>
        </is>
      </c>
      <c r="L164" s="111" t="inlineStr">
        <is>
          <t>Full</t>
        </is>
      </c>
      <c r="M164" s="96" t="inlineStr">
        <is>
          <t>HASLS22260801914</t>
        </is>
      </c>
      <c r="N164" s="96" t="inlineStr">
        <is>
          <t xml:space="preserve">20'x33 </t>
        </is>
      </c>
      <c r="O164" s="111" t="inlineStr">
        <is>
          <t>2023</t>
        </is>
      </c>
      <c r="P164" s="111" t="n"/>
      <c r="Q164" s="111" t="n"/>
      <c r="R164" s="96" t="n"/>
      <c r="S164" s="96" t="n"/>
      <c r="T164" s="96" t="inlineStr">
        <is>
          <t>BKK04</t>
        </is>
      </c>
      <c r="U164" s="96" t="inlineStr">
        <is>
          <t>THBKK</t>
        </is>
      </c>
      <c r="V164" s="161" t="inlineStr">
        <is>
          <t>2026-10-08</t>
        </is>
      </c>
      <c r="W164" s="96" t="inlineStr">
        <is>
          <t>KRPTK</t>
        </is>
      </c>
      <c r="X164" s="161" t="inlineStr">
        <is>
          <t>2026-10-17</t>
        </is>
      </c>
      <c r="Y164" s="97" t="n"/>
      <c r="Z164" s="97" t="n"/>
      <c r="AA164" s="97" t="n"/>
      <c r="AB164" s="97" t="n"/>
      <c r="AC164" s="97" t="n"/>
      <c r="AD164" s="161" t="inlineStr">
        <is>
          <t>2026-09-20</t>
        </is>
      </c>
      <c r="AE164" s="174" t="inlineStr">
        <is>
          <t>1743</t>
        </is>
      </c>
      <c r="AF164" s="96" t="inlineStr">
        <is>
          <t>TBKK42</t>
        </is>
      </c>
      <c r="AG164" s="97" t="n"/>
      <c r="AH164" s="97" t="n"/>
      <c r="AI164" s="97" t="n"/>
      <c r="AJ164" s="96" t="inlineStr">
        <is>
          <t>TO THE ORDER OF KOOKMIN BANK</t>
        </is>
      </c>
      <c r="AK164" s="130" t="n">
        <v>0</v>
      </c>
    </row>
    <row r="165" ht="12" customHeight="1">
      <c r="A165" s="108" t="inlineStr">
        <is>
          <t>SKLU2308503</t>
        </is>
      </c>
      <c r="B165" s="108" t="inlineStr">
        <is>
          <t>BKK04</t>
        </is>
      </c>
      <c r="C165" s="108" t="inlineStr">
        <is>
          <t>IFV</t>
        </is>
      </c>
      <c r="D165" s="172" t="inlineStr">
        <is>
          <t>2026-09-19</t>
        </is>
      </c>
      <c r="E165" s="173" t="inlineStr">
        <is>
          <t>0111</t>
        </is>
      </c>
      <c r="F165" s="96" t="inlineStr">
        <is>
          <t>HASLS22260900196</t>
        </is>
      </c>
      <c r="G165" s="96" t="inlineStr">
        <is>
          <t>SANGUAN WONGSE STARCH CO., LTD.</t>
        </is>
      </c>
      <c r="H165" s="111" t="inlineStr">
        <is>
          <t>22GP</t>
        </is>
      </c>
      <c r="I165" s="96" t="n"/>
      <c r="J165" s="96" t="inlineStr">
        <is>
          <t>Sirichai Prayochananon</t>
        </is>
      </c>
      <c r="K165" s="96" t="inlineStr">
        <is>
          <t>SD</t>
        </is>
      </c>
      <c r="L165" s="111" t="inlineStr">
        <is>
          <t>Full</t>
        </is>
      </c>
      <c r="M165" s="96" t="inlineStr">
        <is>
          <t>HASLS22260900196</t>
        </is>
      </c>
      <c r="N165" s="96" t="inlineStr">
        <is>
          <t xml:space="preserve">20'x12 </t>
        </is>
      </c>
      <c r="O165" s="111" t="inlineStr">
        <is>
          <t>2023</t>
        </is>
      </c>
      <c r="P165" s="111" t="n"/>
      <c r="Q165" s="111" t="n"/>
      <c r="R165" s="96" t="n"/>
      <c r="S165" s="96" t="n"/>
      <c r="T165" s="96" t="inlineStr">
        <is>
          <t>BKK04</t>
        </is>
      </c>
      <c r="U165" s="96" t="inlineStr">
        <is>
          <t>THBKK</t>
        </is>
      </c>
      <c r="V165" s="161" t="inlineStr">
        <is>
          <t>2026-10-08</t>
        </is>
      </c>
      <c r="W165" s="96" t="inlineStr">
        <is>
          <t>JPSEN</t>
        </is>
      </c>
      <c r="X165" s="161" t="inlineStr">
        <is>
          <t>2026-10-19</t>
        </is>
      </c>
      <c r="Y165" s="97" t="n"/>
      <c r="Z165" s="97" t="n"/>
      <c r="AA165" s="97" t="n"/>
      <c r="AB165" s="97" t="n"/>
      <c r="AC165" s="97" t="n"/>
      <c r="AD165" s="161" t="inlineStr">
        <is>
          <t>2026-09-20</t>
        </is>
      </c>
      <c r="AE165" s="174" t="inlineStr">
        <is>
          <t>1743</t>
        </is>
      </c>
      <c r="AF165" s="96" t="inlineStr">
        <is>
          <t>TBKK42</t>
        </is>
      </c>
      <c r="AG165" s="97" t="n"/>
      <c r="AH165" s="97" t="n"/>
      <c r="AI165" s="97" t="n"/>
      <c r="AJ165" s="96" t="inlineStr">
        <is>
          <t>SANSHO CO., LTD.</t>
        </is>
      </c>
      <c r="AK165" s="130" t="n">
        <v>0</v>
      </c>
    </row>
    <row r="166" ht="12" customHeight="1">
      <c r="A166" s="108" t="inlineStr">
        <is>
          <t>SKLU2328449</t>
        </is>
      </c>
      <c r="B166" s="108" t="inlineStr">
        <is>
          <t>BKK04</t>
        </is>
      </c>
      <c r="C166" s="108" t="inlineStr">
        <is>
          <t>IFV</t>
        </is>
      </c>
      <c r="D166" s="172" t="inlineStr">
        <is>
          <t>2026-09-28</t>
        </is>
      </c>
      <c r="E166" s="173" t="inlineStr">
        <is>
          <t>1734</t>
        </is>
      </c>
      <c r="F166" s="96" t="inlineStr">
        <is>
          <t>HASLS22260901178</t>
        </is>
      </c>
      <c r="G166" s="96" t="inlineStr">
        <is>
          <t>WICE LOGISTICS PUBLIC COMPANY LIMITED</t>
        </is>
      </c>
      <c r="H166" s="111" t="inlineStr">
        <is>
          <t>22GP</t>
        </is>
      </c>
      <c r="I166" s="96" t="n"/>
      <c r="J166" s="96" t="inlineStr">
        <is>
          <t>Chuanchuen</t>
        </is>
      </c>
      <c r="K166" s="96" t="inlineStr">
        <is>
          <t>SD</t>
        </is>
      </c>
      <c r="L166" s="111" t="inlineStr">
        <is>
          <t>Full</t>
        </is>
      </c>
      <c r="M166" s="96" t="inlineStr">
        <is>
          <t>HASLS22260901178</t>
        </is>
      </c>
      <c r="N166" s="96" t="inlineStr">
        <is>
          <t xml:space="preserve">20'x2 </t>
        </is>
      </c>
      <c r="O166" s="111" t="inlineStr">
        <is>
          <t>2023</t>
        </is>
      </c>
      <c r="P166" s="111" t="n"/>
      <c r="Q166" s="111" t="n"/>
      <c r="R166" s="96" t="n"/>
      <c r="S166" s="96" t="n"/>
      <c r="T166" s="96" t="inlineStr">
        <is>
          <t>BKK04</t>
        </is>
      </c>
      <c r="U166" s="96" t="inlineStr">
        <is>
          <t>THBKK</t>
        </is>
      </c>
      <c r="V166" s="161" t="inlineStr">
        <is>
          <t>2026-10-08</t>
        </is>
      </c>
      <c r="W166" s="96" t="inlineStr">
        <is>
          <t>VNSGN</t>
        </is>
      </c>
      <c r="X166" s="161" t="inlineStr">
        <is>
          <t>2026-10-11</t>
        </is>
      </c>
      <c r="Y166" s="97" t="n"/>
      <c r="Z166" s="97" t="n"/>
      <c r="AA166" s="97" t="n"/>
      <c r="AB166" s="97" t="n"/>
      <c r="AC166" s="97" t="n"/>
      <c r="AD166" s="161" t="inlineStr">
        <is>
          <t>2026-09-29</t>
        </is>
      </c>
      <c r="AE166" s="174" t="inlineStr">
        <is>
          <t>1057</t>
        </is>
      </c>
      <c r="AF166" s="96" t="inlineStr">
        <is>
          <t>TBKK07</t>
        </is>
      </c>
      <c r="AG166" s="97" t="n"/>
      <c r="AH166" s="97" t="n"/>
      <c r="AI166" s="97" t="n"/>
      <c r="AJ166" s="96" t="inlineStr">
        <is>
          <t>M&amp;P INTERNATIONAL CO., LTD.</t>
        </is>
      </c>
      <c r="AK166" s="130" t="n">
        <v>0</v>
      </c>
    </row>
    <row r="167" ht="12" customHeight="1">
      <c r="A167" s="108" t="inlineStr">
        <is>
          <t>SKLU2331144</t>
        </is>
      </c>
      <c r="B167" s="108" t="inlineStr">
        <is>
          <t>BKK01</t>
        </is>
      </c>
      <c r="C167" s="108" t="inlineStr">
        <is>
          <t>IFV</t>
        </is>
      </c>
      <c r="D167" s="172" t="inlineStr">
        <is>
          <t>2026-09-29</t>
        </is>
      </c>
      <c r="E167" s="173" t="inlineStr">
        <is>
          <t>1541</t>
        </is>
      </c>
      <c r="F167" s="96" t="inlineStr">
        <is>
          <t>HASLS22260901245</t>
        </is>
      </c>
      <c r="G167" s="96" t="inlineStr">
        <is>
          <t>BANGKOK COLD STORAGE SERVICE,LTD</t>
        </is>
      </c>
      <c r="H167" s="111" t="inlineStr">
        <is>
          <t>22GP</t>
        </is>
      </c>
      <c r="I167" s="96" t="n"/>
      <c r="J167" s="96" t="inlineStr">
        <is>
          <t>Chuanchuen</t>
        </is>
      </c>
      <c r="K167" s="96" t="inlineStr">
        <is>
          <t>SD</t>
        </is>
      </c>
      <c r="L167" s="111" t="inlineStr">
        <is>
          <t>Full</t>
        </is>
      </c>
      <c r="M167" s="96" t="inlineStr">
        <is>
          <t>HASLS22260901245</t>
        </is>
      </c>
      <c r="N167" s="96" t="inlineStr">
        <is>
          <t xml:space="preserve">20'x7 </t>
        </is>
      </c>
      <c r="O167" s="111" t="inlineStr">
        <is>
          <t>2023</t>
        </is>
      </c>
      <c r="P167" s="111" t="n"/>
      <c r="Q167" s="111" t="n"/>
      <c r="R167" s="96" t="n"/>
      <c r="S167" s="96" t="n"/>
      <c r="T167" s="96" t="inlineStr">
        <is>
          <t>BKK04</t>
        </is>
      </c>
      <c r="U167" s="96" t="inlineStr">
        <is>
          <t>THBKK</t>
        </is>
      </c>
      <c r="V167" s="161" t="inlineStr">
        <is>
          <t>2026-10-08</t>
        </is>
      </c>
      <c r="W167" s="96" t="inlineStr">
        <is>
          <t>JPMIZ</t>
        </is>
      </c>
      <c r="X167" s="161" t="inlineStr">
        <is>
          <t>2026-10-19</t>
        </is>
      </c>
      <c r="Y167" s="97" t="n"/>
      <c r="Z167" s="97" t="n"/>
      <c r="AA167" s="97" t="n"/>
      <c r="AB167" s="97" t="n"/>
      <c r="AC167" s="97" t="n"/>
      <c r="AD167" s="161" t="inlineStr">
        <is>
          <t>2026-09-30</t>
        </is>
      </c>
      <c r="AE167" s="174" t="inlineStr">
        <is>
          <t>1049</t>
        </is>
      </c>
      <c r="AF167" s="96" t="inlineStr">
        <is>
          <t>TBKK07</t>
        </is>
      </c>
      <c r="AG167" s="97" t="n"/>
      <c r="AH167" s="97" t="n"/>
      <c r="AI167" s="97" t="n"/>
      <c r="AJ167" s="96" t="inlineStr">
        <is>
          <t>HARVEST WORLD EXPRESS</t>
        </is>
      </c>
      <c r="AK167" s="130" t="n">
        <v>0</v>
      </c>
    </row>
    <row r="168" ht="12" customHeight="1">
      <c r="A168" s="108" t="inlineStr">
        <is>
          <t>SKLU2336742</t>
        </is>
      </c>
      <c r="B168" s="108" t="inlineStr">
        <is>
          <t>BKK04</t>
        </is>
      </c>
      <c r="C168" s="108" t="inlineStr">
        <is>
          <t>IFV</t>
        </is>
      </c>
      <c r="D168" s="172" t="inlineStr">
        <is>
          <t>2026-10-03</t>
        </is>
      </c>
      <c r="E168" s="173" t="inlineStr">
        <is>
          <t>1110</t>
        </is>
      </c>
      <c r="F168" s="96" t="inlineStr">
        <is>
          <t>HASLS22260900374</t>
        </is>
      </c>
      <c r="G168" s="96" t="inlineStr">
        <is>
          <t>GROWTH ON LOGISTICS CO., LTD.</t>
        </is>
      </c>
      <c r="H168" s="111" t="inlineStr">
        <is>
          <t>22GP</t>
        </is>
      </c>
      <c r="I168" s="96" t="n"/>
      <c r="J168" s="96" t="inlineStr">
        <is>
          <t>Sirichai Prayochananon</t>
        </is>
      </c>
      <c r="K168" s="96" t="inlineStr">
        <is>
          <t>SD</t>
        </is>
      </c>
      <c r="L168" s="111" t="inlineStr">
        <is>
          <t>Full</t>
        </is>
      </c>
      <c r="M168" s="96" t="inlineStr">
        <is>
          <t>HASLS22260900374</t>
        </is>
      </c>
      <c r="N168" s="96" t="inlineStr">
        <is>
          <t xml:space="preserve">20'x1 </t>
        </is>
      </c>
      <c r="O168" s="111" t="inlineStr">
        <is>
          <t>2023</t>
        </is>
      </c>
      <c r="P168" s="111" t="n"/>
      <c r="Q168" s="111" t="n"/>
      <c r="R168" s="96" t="n"/>
      <c r="S168" s="96" t="n"/>
      <c r="T168" s="96" t="inlineStr">
        <is>
          <t>BKK04</t>
        </is>
      </c>
      <c r="U168" s="96" t="inlineStr">
        <is>
          <t>THBKK</t>
        </is>
      </c>
      <c r="V168" s="161" t="inlineStr">
        <is>
          <t>2026-10-08</t>
        </is>
      </c>
      <c r="W168" s="96" t="inlineStr">
        <is>
          <t>VNSGN</t>
        </is>
      </c>
      <c r="X168" s="161" t="inlineStr">
        <is>
          <t>2026-10-11</t>
        </is>
      </c>
      <c r="Y168" s="97" t="n"/>
      <c r="Z168" s="97" t="n"/>
      <c r="AA168" s="97" t="n"/>
      <c r="AB168" s="97" t="n"/>
      <c r="AC168" s="97" t="n"/>
      <c r="AD168" s="161" t="inlineStr">
        <is>
          <t>2026-10-04</t>
        </is>
      </c>
      <c r="AE168" s="174" t="inlineStr">
        <is>
          <t>2005</t>
        </is>
      </c>
      <c r="AF168" s="96" t="inlineStr">
        <is>
          <t>TBKK42</t>
        </is>
      </c>
      <c r="AG168" s="97" t="n"/>
      <c r="AH168" s="97" t="n"/>
      <c r="AI168" s="97" t="n"/>
      <c r="AJ168" s="96" t="inlineStr">
        <is>
          <t>SOUTHERN GAS TRADING JOINT STOCK CO</t>
        </is>
      </c>
      <c r="AK168" s="130" t="n">
        <v>0</v>
      </c>
    </row>
    <row r="169" ht="12" customHeight="1">
      <c r="A169" s="108" t="inlineStr">
        <is>
          <t>SKLU2346397</t>
        </is>
      </c>
      <c r="B169" s="108" t="inlineStr">
        <is>
          <t>BKK04</t>
        </is>
      </c>
      <c r="C169" s="108" t="inlineStr">
        <is>
          <t>IFV</t>
        </is>
      </c>
      <c r="D169" s="172" t="inlineStr">
        <is>
          <t>2026-09-19</t>
        </is>
      </c>
      <c r="E169" s="173" t="inlineStr">
        <is>
          <t>2047</t>
        </is>
      </c>
      <c r="F169" s="96" t="inlineStr">
        <is>
          <t>HASLS22260801914</t>
        </is>
      </c>
      <c r="G169" s="96" t="inlineStr">
        <is>
          <t>DP WORLD LOGISTICS SOLUTIONS (THAILAND) COMPANY LIMITED</t>
        </is>
      </c>
      <c r="H169" s="111" t="inlineStr">
        <is>
          <t>22GP</t>
        </is>
      </c>
      <c r="I169" s="96" t="n"/>
      <c r="J169" s="96" t="inlineStr">
        <is>
          <t>Sirichai Prayochananon</t>
        </is>
      </c>
      <c r="K169" s="96" t="inlineStr">
        <is>
          <t>SD</t>
        </is>
      </c>
      <c r="L169" s="111" t="inlineStr">
        <is>
          <t>Full</t>
        </is>
      </c>
      <c r="M169" s="96" t="inlineStr">
        <is>
          <t>HASLS22260801914</t>
        </is>
      </c>
      <c r="N169" s="96" t="inlineStr">
        <is>
          <t xml:space="preserve">20'x33 </t>
        </is>
      </c>
      <c r="O169" s="111" t="inlineStr">
        <is>
          <t>2023</t>
        </is>
      </c>
      <c r="P169" s="111" t="n"/>
      <c r="Q169" s="111" t="n"/>
      <c r="R169" s="96" t="n"/>
      <c r="S169" s="96" t="n"/>
      <c r="T169" s="96" t="inlineStr">
        <is>
          <t>BKK04</t>
        </is>
      </c>
      <c r="U169" s="96" t="inlineStr">
        <is>
          <t>THBKK</t>
        </is>
      </c>
      <c r="V169" s="161" t="inlineStr">
        <is>
          <t>2026-10-08</t>
        </is>
      </c>
      <c r="W169" s="96" t="inlineStr">
        <is>
          <t>KRPTK</t>
        </is>
      </c>
      <c r="X169" s="161" t="inlineStr">
        <is>
          <t>2026-10-17</t>
        </is>
      </c>
      <c r="Y169" s="97" t="n"/>
      <c r="Z169" s="97" t="n"/>
      <c r="AA169" s="97" t="n"/>
      <c r="AB169" s="97" t="n"/>
      <c r="AC169" s="97" t="n"/>
      <c r="AD169" s="161" t="inlineStr">
        <is>
          <t>2026-09-20</t>
        </is>
      </c>
      <c r="AE169" s="174" t="inlineStr">
        <is>
          <t>1743</t>
        </is>
      </c>
      <c r="AF169" s="96" t="inlineStr">
        <is>
          <t>TBKK42</t>
        </is>
      </c>
      <c r="AG169" s="97" t="n"/>
      <c r="AH169" s="97" t="n"/>
      <c r="AI169" s="97" t="n"/>
      <c r="AJ169" s="96" t="inlineStr">
        <is>
          <t>TO THE ORDER OF KOOKMIN BANK</t>
        </is>
      </c>
      <c r="AK169" s="130" t="n">
        <v>0</v>
      </c>
    </row>
    <row r="170" ht="12" customHeight="1">
      <c r="A170" s="108" t="inlineStr">
        <is>
          <t>SKLU2348152</t>
        </is>
      </c>
      <c r="B170" s="108" t="inlineStr">
        <is>
          <t>BKK01</t>
        </is>
      </c>
      <c r="C170" s="108" t="inlineStr">
        <is>
          <t>IFV</t>
        </is>
      </c>
      <c r="D170" s="172" t="inlineStr">
        <is>
          <t>2026-09-29</t>
        </is>
      </c>
      <c r="E170" s="173" t="inlineStr">
        <is>
          <t>2327</t>
        </is>
      </c>
      <c r="F170" s="96" t="inlineStr">
        <is>
          <t>HASLS22260901245</t>
        </is>
      </c>
      <c r="G170" s="96" t="inlineStr">
        <is>
          <t>BANGKOK COLD STORAGE SERVICE,LTD</t>
        </is>
      </c>
      <c r="H170" s="111" t="inlineStr">
        <is>
          <t>22GP</t>
        </is>
      </c>
      <c r="I170" s="96" t="n"/>
      <c r="J170" s="96" t="inlineStr">
        <is>
          <t>Chuanchuen</t>
        </is>
      </c>
      <c r="K170" s="96" t="inlineStr">
        <is>
          <t>SD</t>
        </is>
      </c>
      <c r="L170" s="111" t="inlineStr">
        <is>
          <t>Full</t>
        </is>
      </c>
      <c r="M170" s="96" t="inlineStr">
        <is>
          <t>HASLS22260901245</t>
        </is>
      </c>
      <c r="N170" s="96" t="inlineStr">
        <is>
          <t xml:space="preserve">20'x7 </t>
        </is>
      </c>
      <c r="O170" s="111" t="inlineStr">
        <is>
          <t>2023</t>
        </is>
      </c>
      <c r="P170" s="111" t="n"/>
      <c r="Q170" s="111" t="n"/>
      <c r="R170" s="96" t="n"/>
      <c r="S170" s="96" t="n"/>
      <c r="T170" s="96" t="inlineStr">
        <is>
          <t>BKK04</t>
        </is>
      </c>
      <c r="U170" s="96" t="inlineStr">
        <is>
          <t>THBKK</t>
        </is>
      </c>
      <c r="V170" s="161" t="inlineStr">
        <is>
          <t>2026-10-08</t>
        </is>
      </c>
      <c r="W170" s="96" t="inlineStr">
        <is>
          <t>JPMIZ</t>
        </is>
      </c>
      <c r="X170" s="161" t="inlineStr">
        <is>
          <t>2026-10-19</t>
        </is>
      </c>
      <c r="Y170" s="97" t="n"/>
      <c r="Z170" s="97" t="n"/>
      <c r="AA170" s="97" t="n"/>
      <c r="AB170" s="97" t="n"/>
      <c r="AC170" s="97" t="n"/>
      <c r="AD170" s="161" t="inlineStr">
        <is>
          <t>2026-09-30</t>
        </is>
      </c>
      <c r="AE170" s="174" t="inlineStr">
        <is>
          <t>1049</t>
        </is>
      </c>
      <c r="AF170" s="96" t="inlineStr">
        <is>
          <t>TBKK07</t>
        </is>
      </c>
      <c r="AG170" s="97" t="n"/>
      <c r="AH170" s="97" t="n"/>
      <c r="AI170" s="97" t="n"/>
      <c r="AJ170" s="96" t="inlineStr">
        <is>
          <t>HARVEST WORLD EXPRESS</t>
        </is>
      </c>
      <c r="AK170" s="130" t="n">
        <v>0</v>
      </c>
    </row>
    <row r="171" ht="12" customHeight="1">
      <c r="A171" s="108" t="inlineStr">
        <is>
          <t>SKLU2349483</t>
        </is>
      </c>
      <c r="B171" s="108" t="inlineStr">
        <is>
          <t>BKK04</t>
        </is>
      </c>
      <c r="C171" s="108" t="inlineStr">
        <is>
          <t>IFV</t>
        </is>
      </c>
      <c r="D171" s="172" t="inlineStr">
        <is>
          <t>2026-10-01</t>
        </is>
      </c>
      <c r="E171" s="173" t="inlineStr">
        <is>
          <t>1447</t>
        </is>
      </c>
      <c r="F171" s="96" t="inlineStr">
        <is>
          <t>HASLS22260900875</t>
        </is>
      </c>
      <c r="G171" s="96" t="inlineStr">
        <is>
          <t>PACIFIC STAR ALLIANCE CO., LTD.</t>
        </is>
      </c>
      <c r="H171" s="111" t="inlineStr">
        <is>
          <t>22GP</t>
        </is>
      </c>
      <c r="I171" s="96" t="n"/>
      <c r="J171" s="96" t="inlineStr">
        <is>
          <t>Chuanchuen</t>
        </is>
      </c>
      <c r="K171" s="96" t="inlineStr">
        <is>
          <t>SD</t>
        </is>
      </c>
      <c r="L171" s="111" t="inlineStr">
        <is>
          <t>Full</t>
        </is>
      </c>
      <c r="M171" s="96" t="inlineStr">
        <is>
          <t>HASLS22260900875</t>
        </is>
      </c>
      <c r="N171" s="96" t="inlineStr">
        <is>
          <t xml:space="preserve">20'x1 </t>
        </is>
      </c>
      <c r="O171" s="111" t="inlineStr">
        <is>
          <t>2023</t>
        </is>
      </c>
      <c r="P171" s="111" t="n"/>
      <c r="Q171" s="111" t="n"/>
      <c r="R171" s="96" t="n"/>
      <c r="S171" s="96" t="n"/>
      <c r="T171" s="96" t="inlineStr">
        <is>
          <t>BKK04</t>
        </is>
      </c>
      <c r="U171" s="96" t="inlineStr">
        <is>
          <t>THBKK</t>
        </is>
      </c>
      <c r="V171" s="161" t="inlineStr">
        <is>
          <t>2026-10-08</t>
        </is>
      </c>
      <c r="W171" s="96" t="inlineStr">
        <is>
          <t>VNSGN</t>
        </is>
      </c>
      <c r="X171" s="161" t="inlineStr">
        <is>
          <t>2026-10-11</t>
        </is>
      </c>
      <c r="Y171" s="97" t="n"/>
      <c r="Z171" s="97" t="n"/>
      <c r="AA171" s="97" t="n"/>
      <c r="AB171" s="97" t="n"/>
      <c r="AC171" s="97" t="n"/>
      <c r="AD171" s="161" t="inlineStr">
        <is>
          <t>2026-10-02</t>
        </is>
      </c>
      <c r="AE171" s="174" t="inlineStr">
        <is>
          <t>1102</t>
        </is>
      </c>
      <c r="AF171" s="96" t="inlineStr">
        <is>
          <t>TBKK07</t>
        </is>
      </c>
      <c r="AG171" s="97" t="n"/>
      <c r="AH171" s="97" t="n"/>
      <c r="AI171" s="97" t="n"/>
      <c r="AJ171" s="96" t="inlineStr">
        <is>
          <t>KC INTERNATIONAL (VIETNAM) LTD</t>
        </is>
      </c>
      <c r="AK171" s="130" t="n">
        <v>0</v>
      </c>
    </row>
    <row r="172" ht="12" customHeight="1">
      <c r="A172" s="108" t="inlineStr">
        <is>
          <t>SKLU2361175</t>
        </is>
      </c>
      <c r="B172" s="108" t="inlineStr">
        <is>
          <t>BKK01</t>
        </is>
      </c>
      <c r="C172" s="108" t="inlineStr">
        <is>
          <t>IFV</t>
        </is>
      </c>
      <c r="D172" s="172" t="inlineStr">
        <is>
          <t>2026-10-01</t>
        </is>
      </c>
      <c r="E172" s="173" t="inlineStr">
        <is>
          <t>1825</t>
        </is>
      </c>
      <c r="F172" s="96" t="inlineStr">
        <is>
          <t>HASLS22260901396</t>
        </is>
      </c>
      <c r="G172" s="96" t="inlineStr">
        <is>
          <t>MILKYWAY INTERNATIONAL SUPPLY CHAIN SERVICES (THAILAND) CO., LTD.</t>
        </is>
      </c>
      <c r="H172" s="111" t="inlineStr">
        <is>
          <t>22GP</t>
        </is>
      </c>
      <c r="I172" s="96" t="n"/>
      <c r="J172" s="96" t="inlineStr">
        <is>
          <t>Chuanchuen</t>
        </is>
      </c>
      <c r="K172" s="96" t="inlineStr">
        <is>
          <t>SD</t>
        </is>
      </c>
      <c r="L172" s="111" t="inlineStr">
        <is>
          <t>Full</t>
        </is>
      </c>
      <c r="M172" s="96" t="inlineStr">
        <is>
          <t>HASLS22260901396</t>
        </is>
      </c>
      <c r="N172" s="96" t="inlineStr">
        <is>
          <t xml:space="preserve">20'x3 </t>
        </is>
      </c>
      <c r="O172" s="111" t="inlineStr">
        <is>
          <t>2023</t>
        </is>
      </c>
      <c r="P172" s="111" t="n"/>
      <c r="Q172" s="111" t="n"/>
      <c r="R172" s="96" t="n"/>
      <c r="S172" s="96" t="n"/>
      <c r="T172" s="96" t="inlineStr">
        <is>
          <t>BKK04</t>
        </is>
      </c>
      <c r="U172" s="96" t="inlineStr">
        <is>
          <t>THBKK</t>
        </is>
      </c>
      <c r="V172" s="161" t="inlineStr">
        <is>
          <t>2026-10-08</t>
        </is>
      </c>
      <c r="W172" s="96" t="inlineStr">
        <is>
          <t>JPSBS</t>
        </is>
      </c>
      <c r="X172" s="161" t="inlineStr">
        <is>
          <t>2026-10-19</t>
        </is>
      </c>
      <c r="Y172" s="97" t="n"/>
      <c r="Z172" s="97" t="n"/>
      <c r="AA172" s="97" t="n"/>
      <c r="AB172" s="97" t="n"/>
      <c r="AC172" s="97" t="n"/>
      <c r="AD172" s="161" t="inlineStr">
        <is>
          <t>2026-10-02</t>
        </is>
      </c>
      <c r="AE172" s="174" t="inlineStr">
        <is>
          <t>1101</t>
        </is>
      </c>
      <c r="AF172" s="96" t="inlineStr">
        <is>
          <t>TBKK07</t>
        </is>
      </c>
      <c r="AG172" s="97" t="n"/>
      <c r="AH172" s="97" t="n"/>
      <c r="AI172" s="97" t="n"/>
      <c r="AJ172" s="96" t="inlineStr">
        <is>
          <t>TO ORDER OF SHIPPER</t>
        </is>
      </c>
      <c r="AK172" s="130" t="n">
        <v>0</v>
      </c>
    </row>
    <row r="173" ht="12" customHeight="1">
      <c r="A173" s="108" t="inlineStr">
        <is>
          <t>SKLU2425686</t>
        </is>
      </c>
      <c r="B173" s="108" t="inlineStr">
        <is>
          <t>BKK04</t>
        </is>
      </c>
      <c r="C173" s="108" t="inlineStr">
        <is>
          <t>IFV</t>
        </is>
      </c>
      <c r="D173" s="172" t="inlineStr">
        <is>
          <t>2026-09-28</t>
        </is>
      </c>
      <c r="E173" s="173" t="inlineStr">
        <is>
          <t>1741</t>
        </is>
      </c>
      <c r="F173" s="96" t="inlineStr">
        <is>
          <t>HASLS22260901178</t>
        </is>
      </c>
      <c r="G173" s="96" t="inlineStr">
        <is>
          <t>WICE LOGISTICS PUBLIC COMPANY LIMITED</t>
        </is>
      </c>
      <c r="H173" s="111" t="inlineStr">
        <is>
          <t>22GP</t>
        </is>
      </c>
      <c r="I173" s="96" t="n"/>
      <c r="J173" s="96" t="inlineStr">
        <is>
          <t>Chuanchuen</t>
        </is>
      </c>
      <c r="K173" s="96" t="inlineStr">
        <is>
          <t>SD</t>
        </is>
      </c>
      <c r="L173" s="111" t="inlineStr">
        <is>
          <t>Full</t>
        </is>
      </c>
      <c r="M173" s="96" t="inlineStr">
        <is>
          <t>HASLS22260901178</t>
        </is>
      </c>
      <c r="N173" s="96" t="inlineStr">
        <is>
          <t xml:space="preserve">20'x2 </t>
        </is>
      </c>
      <c r="O173" s="111" t="inlineStr">
        <is>
          <t>2024</t>
        </is>
      </c>
      <c r="P173" s="111" t="n"/>
      <c r="Q173" s="111" t="n"/>
      <c r="R173" s="96" t="n"/>
      <c r="S173" s="96" t="n"/>
      <c r="T173" s="96" t="inlineStr">
        <is>
          <t>BKK04</t>
        </is>
      </c>
      <c r="U173" s="96" t="inlineStr">
        <is>
          <t>THBKK</t>
        </is>
      </c>
      <c r="V173" s="161" t="inlineStr">
        <is>
          <t>2026-10-08</t>
        </is>
      </c>
      <c r="W173" s="96" t="inlineStr">
        <is>
          <t>VNSGN</t>
        </is>
      </c>
      <c r="X173" s="161" t="inlineStr">
        <is>
          <t>2026-10-11</t>
        </is>
      </c>
      <c r="Y173" s="97" t="n"/>
      <c r="Z173" s="97" t="n"/>
      <c r="AA173" s="97" t="n"/>
      <c r="AB173" s="97" t="n"/>
      <c r="AC173" s="97" t="n"/>
      <c r="AD173" s="161" t="inlineStr">
        <is>
          <t>2026-09-29</t>
        </is>
      </c>
      <c r="AE173" s="174" t="inlineStr">
        <is>
          <t>1057</t>
        </is>
      </c>
      <c r="AF173" s="96" t="inlineStr">
        <is>
          <t>TBKK07</t>
        </is>
      </c>
      <c r="AG173" s="97" t="n"/>
      <c r="AH173" s="97" t="n"/>
      <c r="AI173" s="97" t="n"/>
      <c r="AJ173" s="96" t="inlineStr">
        <is>
          <t>M&amp;P INTERNATIONAL CO., LTD.</t>
        </is>
      </c>
      <c r="AK173" s="130" t="n">
        <v>0</v>
      </c>
    </row>
    <row r="174" ht="12" customHeight="1">
      <c r="A174" s="108" t="inlineStr">
        <is>
          <t>SKLU2429742</t>
        </is>
      </c>
      <c r="B174" s="108" t="inlineStr">
        <is>
          <t>BKK01</t>
        </is>
      </c>
      <c r="C174" s="108" t="inlineStr">
        <is>
          <t>IFV</t>
        </is>
      </c>
      <c r="D174" s="172" t="inlineStr">
        <is>
          <t>2026-09-28</t>
        </is>
      </c>
      <c r="E174" s="173" t="inlineStr">
        <is>
          <t>2307</t>
        </is>
      </c>
      <c r="F174" s="96" t="inlineStr">
        <is>
          <t>HASLS22260900941</t>
        </is>
      </c>
      <c r="G174" s="96" t="inlineStr">
        <is>
          <t>CTL INTERNATIONAL CO., LTD.</t>
        </is>
      </c>
      <c r="H174" s="111" t="inlineStr">
        <is>
          <t>22GP</t>
        </is>
      </c>
      <c r="I174" s="96" t="n"/>
      <c r="J174" s="96" t="inlineStr">
        <is>
          <t>Chuanchuen</t>
        </is>
      </c>
      <c r="K174" s="96" t="inlineStr">
        <is>
          <t>SD</t>
        </is>
      </c>
      <c r="L174" s="111" t="inlineStr">
        <is>
          <t>Full</t>
        </is>
      </c>
      <c r="M174" s="96" t="inlineStr">
        <is>
          <t>HASLS22260900941</t>
        </is>
      </c>
      <c r="N174" s="96" t="inlineStr">
        <is>
          <t xml:space="preserve">20'x2 </t>
        </is>
      </c>
      <c r="O174" s="111" t="inlineStr">
        <is>
          <t>2024</t>
        </is>
      </c>
      <c r="P174" s="111" t="n"/>
      <c r="Q174" s="111" t="n"/>
      <c r="R174" s="96" t="n"/>
      <c r="S174" s="96" t="n"/>
      <c r="T174" s="96" t="inlineStr">
        <is>
          <t>BKK04</t>
        </is>
      </c>
      <c r="U174" s="96" t="inlineStr">
        <is>
          <t>THBKK</t>
        </is>
      </c>
      <c r="V174" s="161" t="inlineStr">
        <is>
          <t>2026-10-08</t>
        </is>
      </c>
      <c r="W174" s="96" t="inlineStr">
        <is>
          <t>JPHHE</t>
        </is>
      </c>
      <c r="X174" s="161" t="inlineStr">
        <is>
          <t>2026-10-19</t>
        </is>
      </c>
      <c r="Y174" s="97" t="n"/>
      <c r="Z174" s="97" t="n"/>
      <c r="AA174" s="97" t="n"/>
      <c r="AB174" s="97" t="n"/>
      <c r="AC174" s="97" t="n"/>
      <c r="AD174" s="161" t="inlineStr">
        <is>
          <t>2026-09-29</t>
        </is>
      </c>
      <c r="AE174" s="174" t="inlineStr">
        <is>
          <t>1052</t>
        </is>
      </c>
      <c r="AF174" s="96" t="inlineStr">
        <is>
          <t>TBKK07</t>
        </is>
      </c>
      <c r="AG174" s="97" t="n"/>
      <c r="AH174" s="97" t="n"/>
      <c r="AI174" s="97" t="n"/>
      <c r="AJ174" s="96" t="inlineStr">
        <is>
          <t>THAIMEI CO.,LTD.</t>
        </is>
      </c>
      <c r="AK174" s="130" t="n">
        <v>0</v>
      </c>
    </row>
    <row r="175" ht="12" customHeight="1">
      <c r="A175" s="108" t="inlineStr">
        <is>
          <t>SKLU2487029</t>
        </is>
      </c>
      <c r="B175" s="108" t="inlineStr">
        <is>
          <t>BKK01</t>
        </is>
      </c>
      <c r="C175" s="108" t="inlineStr">
        <is>
          <t>IFV</t>
        </is>
      </c>
      <c r="D175" s="172" t="inlineStr">
        <is>
          <t>2026-09-28</t>
        </is>
      </c>
      <c r="E175" s="173" t="inlineStr">
        <is>
          <t>0016</t>
        </is>
      </c>
      <c r="F175" s="96" t="inlineStr">
        <is>
          <t>HASLS22260800838</t>
        </is>
      </c>
      <c r="G175" s="96" t="inlineStr">
        <is>
          <t>SCGJWD LOGISTICS PUBLIC COMPANY LIMITED</t>
        </is>
      </c>
      <c r="H175" s="111" t="inlineStr">
        <is>
          <t>22GP</t>
        </is>
      </c>
      <c r="I175" s="96" t="n"/>
      <c r="J175" s="96" t="inlineStr">
        <is>
          <t>Chuanchuen</t>
        </is>
      </c>
      <c r="K175" s="96" t="inlineStr">
        <is>
          <t>SD</t>
        </is>
      </c>
      <c r="L175" s="111" t="inlineStr">
        <is>
          <t>Full</t>
        </is>
      </c>
      <c r="M175" s="96" t="inlineStr">
        <is>
          <t>HASLS22260800838</t>
        </is>
      </c>
      <c r="N175" s="96" t="inlineStr">
        <is>
          <t xml:space="preserve">20'x10 </t>
        </is>
      </c>
      <c r="O175" s="111" t="inlineStr">
        <is>
          <t>2024</t>
        </is>
      </c>
      <c r="P175" s="111" t="n"/>
      <c r="Q175" s="111" t="n"/>
      <c r="R175" s="96" t="n"/>
      <c r="S175" s="96" t="n"/>
      <c r="T175" s="96" t="inlineStr">
        <is>
          <t>BKK04</t>
        </is>
      </c>
      <c r="U175" s="96" t="inlineStr">
        <is>
          <t>THBKK</t>
        </is>
      </c>
      <c r="V175" s="161" t="inlineStr">
        <is>
          <t>2026-10-08</t>
        </is>
      </c>
      <c r="W175" s="96" t="inlineStr">
        <is>
          <t>VNSGN</t>
        </is>
      </c>
      <c r="X175" s="161" t="inlineStr">
        <is>
          <t>2026-10-11</t>
        </is>
      </c>
      <c r="Y175" s="97" t="n"/>
      <c r="Z175" s="97" t="n"/>
      <c r="AA175" s="97" t="n"/>
      <c r="AB175" s="97" t="n"/>
      <c r="AC175" s="97" t="n"/>
      <c r="AD175" s="161" t="inlineStr">
        <is>
          <t>2026-09-28</t>
        </is>
      </c>
      <c r="AE175" s="174" t="inlineStr">
        <is>
          <t>1055</t>
        </is>
      </c>
      <c r="AF175" s="96" t="inlineStr">
        <is>
          <t>TBKK07</t>
        </is>
      </c>
      <c r="AG175" s="97" t="n"/>
      <c r="AH175" s="97" t="n"/>
      <c r="AI175" s="97" t="n"/>
      <c r="AJ175" s="96" t="inlineStr">
        <is>
          <t>BUU LONG INDUSTRY AND INVESTMENT</t>
        </is>
      </c>
      <c r="AK175" s="130" t="n">
        <v>0</v>
      </c>
    </row>
    <row r="176" ht="12" customHeight="1">
      <c r="A176" s="108" t="inlineStr">
        <is>
          <t>SKLU2489612</t>
        </is>
      </c>
      <c r="B176" s="108" t="inlineStr">
        <is>
          <t>BKK04</t>
        </is>
      </c>
      <c r="C176" s="108" t="inlineStr">
        <is>
          <t>IFV</t>
        </is>
      </c>
      <c r="D176" s="172" t="inlineStr">
        <is>
          <t>2026-10-02</t>
        </is>
      </c>
      <c r="E176" s="173" t="inlineStr">
        <is>
          <t>0043</t>
        </is>
      </c>
      <c r="F176" s="96" t="inlineStr">
        <is>
          <t>HASLS22260900106</t>
        </is>
      </c>
      <c r="G176" s="96" t="inlineStr">
        <is>
          <t>BORNEO LOGISTICS CO., LTD.</t>
        </is>
      </c>
      <c r="H176" s="111" t="inlineStr">
        <is>
          <t>22GP</t>
        </is>
      </c>
      <c r="I176" s="96" t="n"/>
      <c r="J176" s="96" t="inlineStr">
        <is>
          <t>Chuanchuen</t>
        </is>
      </c>
      <c r="K176" s="96" t="inlineStr">
        <is>
          <t>SD</t>
        </is>
      </c>
      <c r="L176" s="111" t="inlineStr">
        <is>
          <t>Full</t>
        </is>
      </c>
      <c r="M176" s="96" t="inlineStr">
        <is>
          <t>HASLS22260900106</t>
        </is>
      </c>
      <c r="N176" s="96" t="inlineStr">
        <is>
          <t xml:space="preserve">20'x1 </t>
        </is>
      </c>
      <c r="O176" s="111" t="inlineStr">
        <is>
          <t>2024</t>
        </is>
      </c>
      <c r="P176" s="111" t="n"/>
      <c r="Q176" s="111" t="n"/>
      <c r="R176" s="96" t="n"/>
      <c r="S176" s="96" t="n"/>
      <c r="T176" s="96" t="inlineStr">
        <is>
          <t>BKK04</t>
        </is>
      </c>
      <c r="U176" s="96" t="inlineStr">
        <is>
          <t>THBKK</t>
        </is>
      </c>
      <c r="V176" s="161" t="inlineStr">
        <is>
          <t>2026-10-08</t>
        </is>
      </c>
      <c r="W176" s="96" t="inlineStr">
        <is>
          <t>JPISS</t>
        </is>
      </c>
      <c r="X176" s="161" t="inlineStr">
        <is>
          <t>2026-10-19</t>
        </is>
      </c>
      <c r="Y176" s="97" t="n"/>
      <c r="Z176" s="97" t="n"/>
      <c r="AA176" s="97" t="n"/>
      <c r="AB176" s="97" t="n"/>
      <c r="AC176" s="97" t="n"/>
      <c r="AD176" s="161" t="inlineStr">
        <is>
          <t>2026-10-02</t>
        </is>
      </c>
      <c r="AE176" s="174" t="inlineStr">
        <is>
          <t>1040</t>
        </is>
      </c>
      <c r="AF176" s="96" t="inlineStr">
        <is>
          <t>TBKK07</t>
        </is>
      </c>
      <c r="AG176" s="97" t="n"/>
      <c r="AH176" s="97" t="n"/>
      <c r="AI176" s="97" t="n"/>
      <c r="AJ176" s="96" t="inlineStr">
        <is>
          <t>TOEI TRADING CO.,LTD</t>
        </is>
      </c>
      <c r="AK176" s="130" t="n">
        <v>0</v>
      </c>
    </row>
    <row r="177" ht="12" customHeight="1">
      <c r="A177" s="108" t="inlineStr">
        <is>
          <t>SKLU3519460</t>
        </is>
      </c>
      <c r="B177" s="108" t="inlineStr">
        <is>
          <t>BKK04</t>
        </is>
      </c>
      <c r="C177" s="108" t="inlineStr">
        <is>
          <t>IFV</t>
        </is>
      </c>
      <c r="D177" s="172" t="inlineStr">
        <is>
          <t>2026-09-19</t>
        </is>
      </c>
      <c r="E177" s="173" t="inlineStr">
        <is>
          <t>2033</t>
        </is>
      </c>
      <c r="F177" s="96" t="inlineStr">
        <is>
          <t>HASLS22260801914</t>
        </is>
      </c>
      <c r="G177" s="96" t="inlineStr">
        <is>
          <t>DP WORLD LOGISTICS SOLUTIONS (THAILAND) COMPANY LIMITED</t>
        </is>
      </c>
      <c r="H177" s="111" t="inlineStr">
        <is>
          <t>22GP</t>
        </is>
      </c>
      <c r="I177" s="96" t="n"/>
      <c r="J177" s="96" t="inlineStr">
        <is>
          <t>Sirichai Prayochananon</t>
        </is>
      </c>
      <c r="K177" s="96" t="inlineStr">
        <is>
          <t>SD</t>
        </is>
      </c>
      <c r="L177" s="111" t="inlineStr">
        <is>
          <t>Full</t>
        </is>
      </c>
      <c r="M177" s="96" t="inlineStr">
        <is>
          <t>HASLS22260801914</t>
        </is>
      </c>
      <c r="N177" s="96" t="inlineStr">
        <is>
          <t xml:space="preserve">20'x33 </t>
        </is>
      </c>
      <c r="O177" s="111" t="inlineStr">
        <is>
          <t>2015</t>
        </is>
      </c>
      <c r="P177" s="111" t="n"/>
      <c r="Q177" s="111" t="n"/>
      <c r="R177" s="96" t="n"/>
      <c r="S177" s="96" t="n"/>
      <c r="T177" s="96" t="inlineStr">
        <is>
          <t>BKK04</t>
        </is>
      </c>
      <c r="U177" s="96" t="inlineStr">
        <is>
          <t>THBKK</t>
        </is>
      </c>
      <c r="V177" s="161" t="inlineStr">
        <is>
          <t>2026-10-08</t>
        </is>
      </c>
      <c r="W177" s="96" t="inlineStr">
        <is>
          <t>KRPTK</t>
        </is>
      </c>
      <c r="X177" s="161" t="inlineStr">
        <is>
          <t>2026-10-17</t>
        </is>
      </c>
      <c r="Y177" s="97" t="n"/>
      <c r="Z177" s="97" t="n"/>
      <c r="AA177" s="97" t="n"/>
      <c r="AB177" s="97" t="n"/>
      <c r="AC177" s="97" t="n"/>
      <c r="AD177" s="161" t="inlineStr">
        <is>
          <t>2026-09-20</t>
        </is>
      </c>
      <c r="AE177" s="174" t="inlineStr">
        <is>
          <t>1743</t>
        </is>
      </c>
      <c r="AF177" s="96" t="inlineStr">
        <is>
          <t>TBKK42</t>
        </is>
      </c>
      <c r="AG177" s="97" t="n"/>
      <c r="AH177" s="97" t="n"/>
      <c r="AI177" s="97" t="n"/>
      <c r="AJ177" s="96" t="inlineStr">
        <is>
          <t>TO THE ORDER OF KOOKMIN BANK</t>
        </is>
      </c>
      <c r="AK177" s="130" t="n">
        <v>0</v>
      </c>
    </row>
    <row r="178" ht="12" customHeight="1">
      <c r="A178" s="108" t="inlineStr">
        <is>
          <t>SKRU1900438</t>
        </is>
      </c>
      <c r="B178" s="108" t="inlineStr">
        <is>
          <t>BKK04</t>
        </is>
      </c>
      <c r="C178" s="108" t="inlineStr">
        <is>
          <t>IFV</t>
        </is>
      </c>
      <c r="D178" s="172" t="inlineStr">
        <is>
          <t>2026-10-05</t>
        </is>
      </c>
      <c r="E178" s="173" t="inlineStr">
        <is>
          <t>1550</t>
        </is>
      </c>
      <c r="F178" s="96" t="inlineStr">
        <is>
          <t>HASLS22260901286</t>
        </is>
      </c>
      <c r="G178" s="96" t="inlineStr">
        <is>
          <t>ROYAL SUVARNABHUMI LOGISTIC CO., LTD.</t>
        </is>
      </c>
      <c r="H178" s="111" t="inlineStr">
        <is>
          <t>22RE</t>
        </is>
      </c>
      <c r="I178" s="96" t="n"/>
      <c r="J178" s="96" t="inlineStr">
        <is>
          <t>Chuanchuen</t>
        </is>
      </c>
      <c r="K178" s="96" t="inlineStr">
        <is>
          <t>SD</t>
        </is>
      </c>
      <c r="L178" s="111" t="inlineStr">
        <is>
          <t>Full</t>
        </is>
      </c>
      <c r="M178" s="96" t="inlineStr">
        <is>
          <t>HASLS22260901286</t>
        </is>
      </c>
      <c r="N178" s="96" t="inlineStr">
        <is>
          <t xml:space="preserve">20RFx1 </t>
        </is>
      </c>
      <c r="O178" s="111" t="inlineStr">
        <is>
          <t>2019</t>
        </is>
      </c>
      <c r="P178" s="111" t="inlineStr">
        <is>
          <t>CARRIER</t>
        </is>
      </c>
      <c r="Q178" s="111" t="inlineStr">
        <is>
          <t>Primeline</t>
        </is>
      </c>
      <c r="R178" s="96" t="n"/>
      <c r="S178" s="96" t="n"/>
      <c r="T178" s="96" t="inlineStr">
        <is>
          <t>BKK04</t>
        </is>
      </c>
      <c r="U178" s="96" t="inlineStr">
        <is>
          <t>THBKK</t>
        </is>
      </c>
      <c r="V178" s="161" t="inlineStr">
        <is>
          <t>2026-10-08</t>
        </is>
      </c>
      <c r="W178" s="96" t="inlineStr">
        <is>
          <t>VNSGN</t>
        </is>
      </c>
      <c r="X178" s="161" t="inlineStr">
        <is>
          <t>2026-10-11</t>
        </is>
      </c>
      <c r="Y178" s="97" t="n"/>
      <c r="Z178" s="97" t="n"/>
      <c r="AA178" s="97" t="n"/>
      <c r="AB178" s="97" t="n"/>
      <c r="AC178" s="97" t="n"/>
      <c r="AD178" s="161" t="inlineStr">
        <is>
          <t>2026-10-06</t>
        </is>
      </c>
      <c r="AE178" s="174" t="inlineStr">
        <is>
          <t>1047</t>
        </is>
      </c>
      <c r="AF178" s="96" t="inlineStr">
        <is>
          <t>TBKK07</t>
        </is>
      </c>
      <c r="AG178" s="97" t="n"/>
      <c r="AH178" s="97" t="n"/>
      <c r="AI178" s="97" t="n"/>
      <c r="AJ178" s="96" t="inlineStr">
        <is>
          <t>VIETRANS INT'L FREIGHT FORWARDER .,</t>
        </is>
      </c>
      <c r="AK178" s="130" t="n">
        <v>0</v>
      </c>
    </row>
    <row r="179" ht="12" customHeight="1">
      <c r="A179" s="108" t="inlineStr">
        <is>
          <t>SKRU6503475</t>
        </is>
      </c>
      <c r="B179" s="108" t="inlineStr">
        <is>
          <t>BKK04</t>
        </is>
      </c>
      <c r="C179" s="108" t="inlineStr">
        <is>
          <t>IFV</t>
        </is>
      </c>
      <c r="D179" s="172" t="inlineStr">
        <is>
          <t>2026-10-02</t>
        </is>
      </c>
      <c r="E179" s="173" t="inlineStr">
        <is>
          <t>1422</t>
        </is>
      </c>
      <c r="F179" s="96" t="inlineStr">
        <is>
          <t>HASLS22260902069</t>
        </is>
      </c>
      <c r="G179" s="96" t="inlineStr">
        <is>
          <t>KODAI (THAILAND) CO., LTD.</t>
        </is>
      </c>
      <c r="H179" s="111" t="inlineStr">
        <is>
          <t>45RE</t>
        </is>
      </c>
      <c r="I179" s="96" t="n"/>
      <c r="J179" s="96" t="inlineStr">
        <is>
          <t>Chuanchuen</t>
        </is>
      </c>
      <c r="K179" s="96" t="inlineStr">
        <is>
          <t>SD</t>
        </is>
      </c>
      <c r="L179" s="111" t="inlineStr">
        <is>
          <t>Full</t>
        </is>
      </c>
      <c r="M179" s="96" t="inlineStr">
        <is>
          <t>HASLS22260902069</t>
        </is>
      </c>
      <c r="N179" s="96" t="inlineStr">
        <is>
          <t xml:space="preserve">R40Hx1 </t>
        </is>
      </c>
      <c r="O179" s="111" t="inlineStr">
        <is>
          <t>2025</t>
        </is>
      </c>
      <c r="P179" s="111" t="inlineStr">
        <is>
          <t>CARRIER</t>
        </is>
      </c>
      <c r="Q179" s="111" t="inlineStr">
        <is>
          <t>69NT40-571-112</t>
        </is>
      </c>
      <c r="R179" s="96" t="n"/>
      <c r="S179" s="96" t="n"/>
      <c r="T179" s="96" t="inlineStr">
        <is>
          <t>BKK04</t>
        </is>
      </c>
      <c r="U179" s="96" t="inlineStr">
        <is>
          <t>THBKK</t>
        </is>
      </c>
      <c r="V179" s="161" t="inlineStr">
        <is>
          <t>2026-10-08</t>
        </is>
      </c>
      <c r="W179" s="96" t="inlineStr">
        <is>
          <t>JPSDJ</t>
        </is>
      </c>
      <c r="X179" s="161" t="inlineStr">
        <is>
          <t>2026-10-19</t>
        </is>
      </c>
      <c r="Y179" s="97" t="n"/>
      <c r="Z179" s="97" t="n"/>
      <c r="AA179" s="97" t="n"/>
      <c r="AB179" s="97" t="n"/>
      <c r="AC179" s="97" t="n"/>
      <c r="AD179" s="161" t="inlineStr">
        <is>
          <t>2026-10-02</t>
        </is>
      </c>
      <c r="AE179" s="174" t="inlineStr">
        <is>
          <t>2025</t>
        </is>
      </c>
      <c r="AF179" s="96" t="inlineStr">
        <is>
          <t>TBKK07</t>
        </is>
      </c>
      <c r="AG179" s="97" t="n"/>
      <c r="AH179" s="97" t="n"/>
      <c r="AI179" s="97" t="n"/>
      <c r="AJ179" s="96" t="inlineStr">
        <is>
          <t>KODAI COMPANY LTD.</t>
        </is>
      </c>
      <c r="AK179" s="130" t="n">
        <v>0</v>
      </c>
    </row>
    <row r="180" ht="12" customHeight="1">
      <c r="A180" s="108" t="inlineStr">
        <is>
          <t>SKRU6505565</t>
        </is>
      </c>
      <c r="B180" s="108" t="inlineStr">
        <is>
          <t>BKK04</t>
        </is>
      </c>
      <c r="C180" s="108" t="inlineStr">
        <is>
          <t>IFV</t>
        </is>
      </c>
      <c r="D180" s="172" t="inlineStr">
        <is>
          <t>2026-10-04</t>
        </is>
      </c>
      <c r="E180" s="173" t="inlineStr">
        <is>
          <t>0003</t>
        </is>
      </c>
      <c r="F180" s="96" t="inlineStr">
        <is>
          <t>HASLS22260900909</t>
        </is>
      </c>
      <c r="G180" s="96" t="inlineStr">
        <is>
          <t>SIAM I-LOGISTICS LTD.</t>
        </is>
      </c>
      <c r="H180" s="111" t="inlineStr">
        <is>
          <t>45RE</t>
        </is>
      </c>
      <c r="I180" s="96" t="n"/>
      <c r="J180" s="96" t="inlineStr">
        <is>
          <t>Sirichai Prayochananon</t>
        </is>
      </c>
      <c r="K180" s="96" t="inlineStr">
        <is>
          <t>SD</t>
        </is>
      </c>
      <c r="L180" s="111" t="inlineStr">
        <is>
          <t>Full</t>
        </is>
      </c>
      <c r="M180" s="96" t="inlineStr">
        <is>
          <t>HASLS22260900909</t>
        </is>
      </c>
      <c r="N180" s="96" t="inlineStr">
        <is>
          <t xml:space="preserve">R40Hx6 </t>
        </is>
      </c>
      <c r="O180" s="111" t="inlineStr">
        <is>
          <t>2025</t>
        </is>
      </c>
      <c r="P180" s="111" t="inlineStr">
        <is>
          <t>CARRIER</t>
        </is>
      </c>
      <c r="Q180" s="111" t="inlineStr">
        <is>
          <t>69NT40-571-112</t>
        </is>
      </c>
      <c r="R180" s="96" t="n"/>
      <c r="S180" s="96" t="n"/>
      <c r="T180" s="96" t="inlineStr">
        <is>
          <t>BKK04</t>
        </is>
      </c>
      <c r="U180" s="96" t="inlineStr">
        <is>
          <t>THBKK</t>
        </is>
      </c>
      <c r="V180" s="161" t="inlineStr">
        <is>
          <t>2026-10-08</t>
        </is>
      </c>
      <c r="W180" s="96" t="inlineStr">
        <is>
          <t>VNSGN</t>
        </is>
      </c>
      <c r="X180" s="161" t="inlineStr">
        <is>
          <t>2026-10-11</t>
        </is>
      </c>
      <c r="Y180" s="97" t="n"/>
      <c r="Z180" s="97" t="n"/>
      <c r="AA180" s="97" t="n"/>
      <c r="AB180" s="97" t="n"/>
      <c r="AC180" s="97" t="n"/>
      <c r="AD180" s="161" t="inlineStr">
        <is>
          <t>2026-10-04</t>
        </is>
      </c>
      <c r="AE180" s="174" t="inlineStr">
        <is>
          <t>2005</t>
        </is>
      </c>
      <c r="AF180" s="96" t="inlineStr">
        <is>
          <t>TBKK42</t>
        </is>
      </c>
      <c r="AG180" s="97" t="n"/>
      <c r="AH180" s="97" t="n"/>
      <c r="AI180" s="97" t="n"/>
      <c r="AJ180" s="96" t="inlineStr">
        <is>
          <t>0319135354 #ITOCHU LOGISTICS</t>
        </is>
      </c>
      <c r="AK180" s="130" t="n">
        <v>0</v>
      </c>
    </row>
    <row r="181" ht="12" customHeight="1">
      <c r="A181" s="108" t="inlineStr">
        <is>
          <t>SKRU6505890</t>
        </is>
      </c>
      <c r="B181" s="108" t="inlineStr">
        <is>
          <t>BKK04</t>
        </is>
      </c>
      <c r="C181" s="108" t="inlineStr">
        <is>
          <t>IFV</t>
        </is>
      </c>
      <c r="D181" s="172" t="inlineStr">
        <is>
          <t>2026-10-05</t>
        </is>
      </c>
      <c r="E181" s="173" t="inlineStr">
        <is>
          <t>1907</t>
        </is>
      </c>
      <c r="F181" s="96" t="inlineStr">
        <is>
          <t>HASLS22260900909</t>
        </is>
      </c>
      <c r="G181" s="96" t="inlineStr">
        <is>
          <t>SIAM I-LOGISTICS LTD.</t>
        </is>
      </c>
      <c r="H181" s="111" t="inlineStr">
        <is>
          <t>45RE</t>
        </is>
      </c>
      <c r="I181" s="96" t="n"/>
      <c r="J181" s="96" t="inlineStr">
        <is>
          <t>Chuanchuen</t>
        </is>
      </c>
      <c r="K181" s="96" t="inlineStr">
        <is>
          <t>SD</t>
        </is>
      </c>
      <c r="L181" s="111" t="inlineStr">
        <is>
          <t>Full</t>
        </is>
      </c>
      <c r="M181" s="96" t="inlineStr">
        <is>
          <t>HASLS22260900909</t>
        </is>
      </c>
      <c r="N181" s="96" t="inlineStr">
        <is>
          <t xml:space="preserve">R40Hx6 </t>
        </is>
      </c>
      <c r="O181" s="111" t="inlineStr">
        <is>
          <t>2025</t>
        </is>
      </c>
      <c r="P181" s="111" t="inlineStr">
        <is>
          <t>CARRIER</t>
        </is>
      </c>
      <c r="Q181" s="111" t="inlineStr">
        <is>
          <t>69NT40-571-112</t>
        </is>
      </c>
      <c r="R181" s="96" t="n"/>
      <c r="S181" s="96" t="n"/>
      <c r="T181" s="96" t="inlineStr">
        <is>
          <t>BKK04</t>
        </is>
      </c>
      <c r="U181" s="96" t="inlineStr">
        <is>
          <t>THBKK</t>
        </is>
      </c>
      <c r="V181" s="161" t="inlineStr">
        <is>
          <t>2026-10-08</t>
        </is>
      </c>
      <c r="W181" s="96" t="inlineStr">
        <is>
          <t>VNSGN</t>
        </is>
      </c>
      <c r="X181" s="161" t="inlineStr">
        <is>
          <t>2026-10-11</t>
        </is>
      </c>
      <c r="Y181" s="97" t="n"/>
      <c r="Z181" s="97" t="n"/>
      <c r="AA181" s="97" t="n"/>
      <c r="AB181" s="97" t="n"/>
      <c r="AC181" s="97" t="n"/>
      <c r="AD181" s="161" t="inlineStr">
        <is>
          <t>2026-10-06</t>
        </is>
      </c>
      <c r="AE181" s="174" t="inlineStr">
        <is>
          <t>1047</t>
        </is>
      </c>
      <c r="AF181" s="96" t="inlineStr">
        <is>
          <t>TBKK07</t>
        </is>
      </c>
      <c r="AG181" s="97" t="n"/>
      <c r="AH181" s="97" t="n"/>
      <c r="AI181" s="97" t="n"/>
      <c r="AJ181" s="96" t="inlineStr">
        <is>
          <t>0319135354 #ITOCHU LOGISTICS</t>
        </is>
      </c>
      <c r="AK181" s="130" t="n">
        <v>0</v>
      </c>
    </row>
    <row r="182" ht="12" customHeight="1">
      <c r="A182" s="108" t="inlineStr">
        <is>
          <t>SKRU9200960</t>
        </is>
      </c>
      <c r="B182" s="108" t="inlineStr">
        <is>
          <t>BKK04</t>
        </is>
      </c>
      <c r="C182" s="108" t="inlineStr">
        <is>
          <t>IFV</t>
        </is>
      </c>
      <c r="D182" s="172" t="inlineStr">
        <is>
          <t>2026-10-02</t>
        </is>
      </c>
      <c r="E182" s="173" t="inlineStr">
        <is>
          <t>0027</t>
        </is>
      </c>
      <c r="F182" s="96" t="inlineStr">
        <is>
          <t>HASLS22260902459</t>
        </is>
      </c>
      <c r="G182" s="96" t="inlineStr">
        <is>
          <t>VENTE TRADE CO.,LTD.</t>
        </is>
      </c>
      <c r="H182" s="111" t="inlineStr">
        <is>
          <t>45RE</t>
        </is>
      </c>
      <c r="I182" s="96" t="n"/>
      <c r="J182" s="96" t="inlineStr">
        <is>
          <t>Chuanchuen</t>
        </is>
      </c>
      <c r="K182" s="96" t="inlineStr">
        <is>
          <t>SD</t>
        </is>
      </c>
      <c r="L182" s="111" t="inlineStr">
        <is>
          <t>Full</t>
        </is>
      </c>
      <c r="M182" s="96" t="inlineStr">
        <is>
          <t>HASLS22260902459</t>
        </is>
      </c>
      <c r="N182" s="96" t="inlineStr">
        <is>
          <t xml:space="preserve">R40Hx1 </t>
        </is>
      </c>
      <c r="O182" s="111" t="inlineStr">
        <is>
          <t>2012</t>
        </is>
      </c>
      <c r="P182" s="111" t="inlineStr">
        <is>
          <t>CARRIER</t>
        </is>
      </c>
      <c r="Q182" s="111" t="inlineStr">
        <is>
          <t>69NT40-561-009</t>
        </is>
      </c>
      <c r="R182" s="96" t="n"/>
      <c r="S182" s="96" t="n"/>
      <c r="T182" s="96" t="inlineStr">
        <is>
          <t>BKK04</t>
        </is>
      </c>
      <c r="U182" s="96" t="inlineStr">
        <is>
          <t>THBKK</t>
        </is>
      </c>
      <c r="V182" s="161" t="inlineStr">
        <is>
          <t>2026-10-08</t>
        </is>
      </c>
      <c r="W182" s="96" t="inlineStr">
        <is>
          <t>RUVVO</t>
        </is>
      </c>
      <c r="X182" s="161" t="inlineStr">
        <is>
          <t>2026-10-19</t>
        </is>
      </c>
      <c r="Y182" s="97" t="n"/>
      <c r="Z182" s="97" t="n"/>
      <c r="AA182" s="97" t="n"/>
      <c r="AB182" s="97" t="n"/>
      <c r="AC182" s="97" t="n"/>
      <c r="AD182" s="161" t="inlineStr">
        <is>
          <t>2026-10-02</t>
        </is>
      </c>
      <c r="AE182" s="174" t="inlineStr">
        <is>
          <t>1102</t>
        </is>
      </c>
      <c r="AF182" s="96" t="inlineStr">
        <is>
          <t>TBKK07</t>
        </is>
      </c>
      <c r="AG182" s="97" t="n"/>
      <c r="AH182" s="97" t="n"/>
      <c r="AI182" s="97" t="n"/>
      <c r="AJ182" s="96" t="inlineStr">
        <is>
          <t>JOINT-STOCK COMPANY "GRAND-TRADE"</t>
        </is>
      </c>
      <c r="AK182" s="130" t="n">
        <v>0</v>
      </c>
    </row>
    <row r="183" ht="12" customHeight="1">
      <c r="A183" s="108" t="inlineStr">
        <is>
          <t>SZLU9373250</t>
        </is>
      </c>
      <c r="B183" s="108" t="inlineStr">
        <is>
          <t>BKK04</t>
        </is>
      </c>
      <c r="C183" s="108" t="inlineStr">
        <is>
          <t>IFV</t>
        </is>
      </c>
      <c r="D183" s="172" t="inlineStr">
        <is>
          <t>2026-10-02</t>
        </is>
      </c>
      <c r="E183" s="173" t="inlineStr">
        <is>
          <t>0322</t>
        </is>
      </c>
      <c r="F183" s="96" t="inlineStr">
        <is>
          <t>HASLS22260901105</t>
        </is>
      </c>
      <c r="G183" s="96" t="inlineStr">
        <is>
          <t>LAND SEA SKY CO., LTD.</t>
        </is>
      </c>
      <c r="H183" s="111" t="inlineStr">
        <is>
          <t>45RE</t>
        </is>
      </c>
      <c r="I183" s="96" t="n"/>
      <c r="J183" s="96" t="inlineStr">
        <is>
          <t>Chuanchuen</t>
        </is>
      </c>
      <c r="K183" s="96" t="inlineStr">
        <is>
          <t>SD</t>
        </is>
      </c>
      <c r="L183" s="111" t="inlineStr">
        <is>
          <t>Full</t>
        </is>
      </c>
      <c r="M183" s="96" t="inlineStr">
        <is>
          <t>HASLS22260901105</t>
        </is>
      </c>
      <c r="N183" s="96" t="inlineStr">
        <is>
          <t xml:space="preserve">R40Hx1 </t>
        </is>
      </c>
      <c r="O183" s="111" t="inlineStr">
        <is>
          <t>2017</t>
        </is>
      </c>
      <c r="P183" s="111" t="inlineStr">
        <is>
          <t>CARRIER</t>
        </is>
      </c>
      <c r="Q183" s="111" t="inlineStr">
        <is>
          <t>NT561</t>
        </is>
      </c>
      <c r="R183" s="96" t="n"/>
      <c r="S183" s="96" t="n"/>
      <c r="T183" s="96" t="inlineStr">
        <is>
          <t>BKK04</t>
        </is>
      </c>
      <c r="U183" s="96" t="inlineStr">
        <is>
          <t>THBKK</t>
        </is>
      </c>
      <c r="V183" s="161" t="inlineStr">
        <is>
          <t>2026-10-08</t>
        </is>
      </c>
      <c r="W183" s="96" t="inlineStr">
        <is>
          <t>KRPTK</t>
        </is>
      </c>
      <c r="X183" s="161" t="inlineStr">
        <is>
          <t>2026-10-17</t>
        </is>
      </c>
      <c r="Y183" s="97" t="n"/>
      <c r="Z183" s="97" t="n"/>
      <c r="AA183" s="97" t="n"/>
      <c r="AB183" s="97" t="n"/>
      <c r="AC183" s="97" t="n"/>
      <c r="AD183" s="161" t="inlineStr">
        <is>
          <t>2026-10-05</t>
        </is>
      </c>
      <c r="AE183" s="174" t="inlineStr">
        <is>
          <t>1213</t>
        </is>
      </c>
      <c r="AF183" s="96" t="inlineStr">
        <is>
          <t>TBKK07</t>
        </is>
      </c>
      <c r="AG183" s="97" t="n"/>
      <c r="AH183" s="97" t="n"/>
      <c r="AI183" s="97" t="n"/>
      <c r="AJ183" s="96" t="inlineStr">
        <is>
          <t>SASE CO.,LTD.</t>
        </is>
      </c>
      <c r="AK183" s="130" t="n">
        <v>0</v>
      </c>
    </row>
    <row r="184" ht="12" customHeight="1">
      <c r="A184" s="108" t="inlineStr">
        <is>
          <t>TCKU1493263</t>
        </is>
      </c>
      <c r="B184" s="108" t="inlineStr">
        <is>
          <t>BKK04</t>
        </is>
      </c>
      <c r="C184" s="108" t="inlineStr">
        <is>
          <t>IFV</t>
        </is>
      </c>
      <c r="D184" s="172" t="inlineStr">
        <is>
          <t>2026-10-02</t>
        </is>
      </c>
      <c r="E184" s="173" t="inlineStr">
        <is>
          <t>2217</t>
        </is>
      </c>
      <c r="F184" s="96" t="inlineStr">
        <is>
          <t>HASLS22260901598</t>
        </is>
      </c>
      <c r="G184" s="96" t="inlineStr">
        <is>
          <t>C.P. INTERTRADE CO., LTD.</t>
        </is>
      </c>
      <c r="H184" s="111" t="inlineStr">
        <is>
          <t>22GP</t>
        </is>
      </c>
      <c r="I184" s="96" t="n"/>
      <c r="J184" s="96" t="inlineStr">
        <is>
          <t>Sirichai Prayochananon</t>
        </is>
      </c>
      <c r="K184" s="96" t="inlineStr">
        <is>
          <t>SD</t>
        </is>
      </c>
      <c r="L184" s="111" t="inlineStr">
        <is>
          <t>Full</t>
        </is>
      </c>
      <c r="M184" s="96" t="inlineStr">
        <is>
          <t>HASLS22260901598</t>
        </is>
      </c>
      <c r="N184" s="96" t="inlineStr">
        <is>
          <t xml:space="preserve">20'x3 </t>
        </is>
      </c>
      <c r="O184" s="111" t="inlineStr">
        <is>
          <t>2008</t>
        </is>
      </c>
      <c r="P184" s="111" t="n"/>
      <c r="Q184" s="111" t="n"/>
      <c r="R184" s="96" t="n"/>
      <c r="S184" s="96" t="n"/>
      <c r="T184" s="96" t="inlineStr">
        <is>
          <t>BKK04</t>
        </is>
      </c>
      <c r="U184" s="96" t="inlineStr">
        <is>
          <t>THBKK</t>
        </is>
      </c>
      <c r="V184" s="161" t="inlineStr">
        <is>
          <t>2026-10-08</t>
        </is>
      </c>
      <c r="W184" s="96" t="inlineStr">
        <is>
          <t>VNSGN</t>
        </is>
      </c>
      <c r="X184" s="161" t="inlineStr">
        <is>
          <t>2026-10-11</t>
        </is>
      </c>
      <c r="Y184" s="97" t="n"/>
      <c r="Z184" s="97" t="n"/>
      <c r="AA184" s="97" t="n"/>
      <c r="AB184" s="97" t="n"/>
      <c r="AC184" s="97" t="n"/>
      <c r="AD184" s="161" t="inlineStr">
        <is>
          <t>2026-10-04</t>
        </is>
      </c>
      <c r="AE184" s="174" t="inlineStr">
        <is>
          <t>2005</t>
        </is>
      </c>
      <c r="AF184" s="96" t="inlineStr">
        <is>
          <t>TBKK42</t>
        </is>
      </c>
      <c r="AG184" s="97" t="n"/>
      <c r="AH184" s="97" t="n"/>
      <c r="AI184" s="97" t="n"/>
      <c r="AJ184" s="96" t="inlineStr">
        <is>
          <t>C.P.SEEDS (VIETNAM) CO.,LTD.</t>
        </is>
      </c>
      <c r="AK184" s="130" t="n">
        <v>0</v>
      </c>
    </row>
    <row r="185" ht="12" customHeight="1">
      <c r="A185" s="108" t="inlineStr">
        <is>
          <t>TCLU1556939</t>
        </is>
      </c>
      <c r="B185" s="108" t="inlineStr">
        <is>
          <t>BKK04</t>
        </is>
      </c>
      <c r="C185" s="108" t="inlineStr">
        <is>
          <t>IFV</t>
        </is>
      </c>
      <c r="D185" s="172" t="inlineStr">
        <is>
          <t>2026-10-03</t>
        </is>
      </c>
      <c r="E185" s="173" t="inlineStr">
        <is>
          <t>0837</t>
        </is>
      </c>
      <c r="F185" s="96" t="inlineStr">
        <is>
          <t>HASLS22260902260</t>
        </is>
      </c>
      <c r="G185" s="96" t="inlineStr">
        <is>
          <t>CAPRICORN LOGISTICS CO., LTD.</t>
        </is>
      </c>
      <c r="H185" s="111" t="inlineStr">
        <is>
          <t>45GP</t>
        </is>
      </c>
      <c r="I185" s="96" t="n"/>
      <c r="J185" s="96" t="inlineStr">
        <is>
          <t>Sirichai Prayochananon</t>
        </is>
      </c>
      <c r="K185" s="96" t="inlineStr">
        <is>
          <t>SD</t>
        </is>
      </c>
      <c r="L185" s="111" t="inlineStr">
        <is>
          <t>Full</t>
        </is>
      </c>
      <c r="M185" s="96" t="inlineStr">
        <is>
          <t>HASLS22260902260</t>
        </is>
      </c>
      <c r="N185" s="96" t="inlineStr">
        <is>
          <t xml:space="preserve">40Hx9 </t>
        </is>
      </c>
      <c r="O185" s="111" t="inlineStr">
        <is>
          <t>2013</t>
        </is>
      </c>
      <c r="P185" s="111" t="n"/>
      <c r="Q185" s="111" t="n"/>
      <c r="R185" s="96" t="n"/>
      <c r="S185" s="96" t="n"/>
      <c r="T185" s="96" t="inlineStr">
        <is>
          <t>BKK04</t>
        </is>
      </c>
      <c r="U185" s="96" t="inlineStr">
        <is>
          <t>THBKK</t>
        </is>
      </c>
      <c r="V185" s="161" t="inlineStr">
        <is>
          <t>2026-10-08</t>
        </is>
      </c>
      <c r="W185" s="96" t="inlineStr">
        <is>
          <t>VNSGN</t>
        </is>
      </c>
      <c r="X185" s="161" t="inlineStr">
        <is>
          <t>2026-10-11</t>
        </is>
      </c>
      <c r="Y185" s="97" t="n"/>
      <c r="Z185" s="97" t="n"/>
      <c r="AA185" s="97" t="n"/>
      <c r="AB185" s="97" t="n"/>
      <c r="AC185" s="97" t="n"/>
      <c r="AD185" s="161" t="inlineStr">
        <is>
          <t>2026-10-04</t>
        </is>
      </c>
      <c r="AE185" s="174" t="inlineStr">
        <is>
          <t>2005</t>
        </is>
      </c>
      <c r="AF185" s="96" t="inlineStr">
        <is>
          <t>TBKK42</t>
        </is>
      </c>
      <c r="AG185" s="97" t="n"/>
      <c r="AH185" s="97" t="n"/>
      <c r="AI185" s="97" t="n"/>
      <c r="AJ185" s="96" t="inlineStr">
        <is>
          <t>BLUE OCEAN INTERNATIONAL</t>
        </is>
      </c>
      <c r="AK185" s="130" t="n">
        <v>0</v>
      </c>
    </row>
    <row r="186" ht="12" customHeight="1">
      <c r="A186" s="108" t="inlineStr">
        <is>
          <t>TEMU6540573</t>
        </is>
      </c>
      <c r="B186" s="108" t="inlineStr">
        <is>
          <t>BKK04</t>
        </is>
      </c>
      <c r="C186" s="108" t="inlineStr">
        <is>
          <t>IFV</t>
        </is>
      </c>
      <c r="D186" s="172" t="inlineStr">
        <is>
          <t>2026-10-03</t>
        </is>
      </c>
      <c r="E186" s="173" t="inlineStr">
        <is>
          <t>1558</t>
        </is>
      </c>
      <c r="F186" s="96" t="inlineStr">
        <is>
          <t>HASLS22260801164</t>
        </is>
      </c>
      <c r="G186" s="96" t="inlineStr">
        <is>
          <t>MAXTOP LOGISTICS (THAILAND) CO., LTD.</t>
        </is>
      </c>
      <c r="H186" s="111" t="inlineStr">
        <is>
          <t>45GP</t>
        </is>
      </c>
      <c r="I186" s="96" t="n"/>
      <c r="J186" s="96" t="inlineStr">
        <is>
          <t>Chuanchuen</t>
        </is>
      </c>
      <c r="K186" s="96" t="inlineStr">
        <is>
          <t>SD</t>
        </is>
      </c>
      <c r="L186" s="111" t="inlineStr">
        <is>
          <t>Full</t>
        </is>
      </c>
      <c r="M186" s="96" t="inlineStr">
        <is>
          <t>HASLS22260801164</t>
        </is>
      </c>
      <c r="N186" s="96" t="inlineStr">
        <is>
          <t xml:space="preserve">40Hx3 </t>
        </is>
      </c>
      <c r="O186" s="111" t="inlineStr">
        <is>
          <t>2012</t>
        </is>
      </c>
      <c r="P186" s="111" t="n"/>
      <c r="Q186" s="111" t="n"/>
      <c r="R186" s="96" t="n"/>
      <c r="S186" s="96" t="n"/>
      <c r="T186" s="96" t="inlineStr">
        <is>
          <t>BKK04</t>
        </is>
      </c>
      <c r="U186" s="96" t="inlineStr">
        <is>
          <t>THBKK</t>
        </is>
      </c>
      <c r="V186" s="161" t="inlineStr">
        <is>
          <t>2026-10-08</t>
        </is>
      </c>
      <c r="W186" s="96" t="inlineStr">
        <is>
          <t>KRPTK</t>
        </is>
      </c>
      <c r="X186" s="161" t="inlineStr">
        <is>
          <t>2026-10-17</t>
        </is>
      </c>
      <c r="Y186" s="97" t="n"/>
      <c r="Z186" s="97" t="n"/>
      <c r="AA186" s="97" t="n"/>
      <c r="AB186" s="97" t="n"/>
      <c r="AC186" s="97" t="n"/>
      <c r="AD186" s="161" t="inlineStr">
        <is>
          <t>2026-10-05</t>
        </is>
      </c>
      <c r="AE186" s="174" t="inlineStr">
        <is>
          <t>1213</t>
        </is>
      </c>
      <c r="AF186" s="96" t="inlineStr">
        <is>
          <t>TBKK07</t>
        </is>
      </c>
      <c r="AG186" s="97" t="n"/>
      <c r="AH186" s="97" t="n"/>
      <c r="AI186" s="97" t="n"/>
      <c r="AJ186" s="96" t="inlineStr">
        <is>
          <t>SUNGRIM GLOBAL CO.,LTD.</t>
        </is>
      </c>
      <c r="AK186" s="130" t="n">
        <v>0</v>
      </c>
    </row>
    <row r="187" ht="12" customHeight="1">
      <c r="A187" s="108" t="inlineStr">
        <is>
          <t>TGCU2414945</t>
        </is>
      </c>
      <c r="B187" s="108" t="inlineStr">
        <is>
          <t>BKK04</t>
        </is>
      </c>
      <c r="C187" s="108" t="inlineStr">
        <is>
          <t>IFV</t>
        </is>
      </c>
      <c r="D187" s="172" t="inlineStr">
        <is>
          <t>2026-10-05</t>
        </is>
      </c>
      <c r="E187" s="173" t="inlineStr">
        <is>
          <t>1638</t>
        </is>
      </c>
      <c r="F187" s="96" t="inlineStr">
        <is>
          <t>HASLS22260901077</t>
        </is>
      </c>
      <c r="G187" s="96" t="inlineStr">
        <is>
          <t>EAST-LINK CORPORATION CO., LTD.</t>
        </is>
      </c>
      <c r="H187" s="111" t="inlineStr">
        <is>
          <t>22GP</t>
        </is>
      </c>
      <c r="I187" s="96" t="n"/>
      <c r="J187" s="96" t="inlineStr">
        <is>
          <t>Chuanchuen</t>
        </is>
      </c>
      <c r="K187" s="96" t="inlineStr">
        <is>
          <t>SD</t>
        </is>
      </c>
      <c r="L187" s="111" t="inlineStr">
        <is>
          <t>Full</t>
        </is>
      </c>
      <c r="M187" s="96" t="inlineStr">
        <is>
          <t>HASLS22260901077</t>
        </is>
      </c>
      <c r="N187" s="96" t="inlineStr">
        <is>
          <t xml:space="preserve">20'x1 </t>
        </is>
      </c>
      <c r="O187" s="111" t="inlineStr">
        <is>
          <t>2023</t>
        </is>
      </c>
      <c r="P187" s="111" t="n"/>
      <c r="Q187" s="111" t="n"/>
      <c r="R187" s="96" t="n"/>
      <c r="S187" s="96" t="n"/>
      <c r="T187" s="96" t="inlineStr">
        <is>
          <t>BKK04</t>
        </is>
      </c>
      <c r="U187" s="96" t="inlineStr">
        <is>
          <t>THBKK</t>
        </is>
      </c>
      <c r="V187" s="161" t="inlineStr">
        <is>
          <t>2026-10-08</t>
        </is>
      </c>
      <c r="W187" s="96" t="inlineStr">
        <is>
          <t>VNSGN</t>
        </is>
      </c>
      <c r="X187" s="161" t="inlineStr">
        <is>
          <t>2026-10-11</t>
        </is>
      </c>
      <c r="Y187" s="97" t="n"/>
      <c r="Z187" s="97" t="n"/>
      <c r="AA187" s="97" t="n"/>
      <c r="AB187" s="97" t="n"/>
      <c r="AC187" s="97" t="n"/>
      <c r="AD187" s="161" t="inlineStr">
        <is>
          <t>2026-10-06</t>
        </is>
      </c>
      <c r="AE187" s="174" t="inlineStr">
        <is>
          <t>1047</t>
        </is>
      </c>
      <c r="AF187" s="96" t="inlineStr">
        <is>
          <t>TBKK07</t>
        </is>
      </c>
      <c r="AG187" s="97" t="n"/>
      <c r="AH187" s="97" t="n"/>
      <c r="AI187" s="97" t="n"/>
      <c r="AJ187" s="96" t="inlineStr">
        <is>
          <t>BEE LOGISTICS CORP - HANOI BRANCH</t>
        </is>
      </c>
      <c r="AK187" s="130" t="n">
        <v>0</v>
      </c>
    </row>
    <row r="188" ht="12" customHeight="1">
      <c r="A188" s="108" t="inlineStr">
        <is>
          <t>TRHU5293940</t>
        </is>
      </c>
      <c r="B188" s="108" t="inlineStr">
        <is>
          <t>BKK04</t>
        </is>
      </c>
      <c r="C188" s="108" t="inlineStr">
        <is>
          <t>IFV</t>
        </is>
      </c>
      <c r="D188" s="172" t="inlineStr">
        <is>
          <t>2026-10-02</t>
        </is>
      </c>
      <c r="E188" s="173" t="inlineStr">
        <is>
          <t>1308</t>
        </is>
      </c>
      <c r="F188" s="96" t="inlineStr">
        <is>
          <t>HASLS22260901036</t>
        </is>
      </c>
      <c r="G188" s="96" t="inlineStr">
        <is>
          <t>PISIA INTERFREIGHT CO.,LTD.</t>
        </is>
      </c>
      <c r="H188" s="111" t="inlineStr">
        <is>
          <t>45GP</t>
        </is>
      </c>
      <c r="I188" s="96" t="n"/>
      <c r="J188" s="96" t="inlineStr">
        <is>
          <t>Chuanchuen</t>
        </is>
      </c>
      <c r="K188" s="96" t="inlineStr">
        <is>
          <t>SD</t>
        </is>
      </c>
      <c r="L188" s="111" t="inlineStr">
        <is>
          <t>Full</t>
        </is>
      </c>
      <c r="M188" s="96" t="inlineStr">
        <is>
          <t>HASLS22260901036</t>
        </is>
      </c>
      <c r="N188" s="96" t="inlineStr">
        <is>
          <t xml:space="preserve">40Hx8 </t>
        </is>
      </c>
      <c r="O188" s="111" t="inlineStr">
        <is>
          <t>2021</t>
        </is>
      </c>
      <c r="P188" s="111" t="n"/>
      <c r="Q188" s="111" t="n"/>
      <c r="R188" s="96" t="n"/>
      <c r="S188" s="96" t="n"/>
      <c r="T188" s="96" t="inlineStr">
        <is>
          <t>BKK04</t>
        </is>
      </c>
      <c r="U188" s="96" t="inlineStr">
        <is>
          <t>THBKK</t>
        </is>
      </c>
      <c r="V188" s="161" t="inlineStr">
        <is>
          <t>2026-10-08</t>
        </is>
      </c>
      <c r="W188" s="96" t="inlineStr">
        <is>
          <t>VNSGN</t>
        </is>
      </c>
      <c r="X188" s="161" t="inlineStr">
        <is>
          <t>2026-10-11</t>
        </is>
      </c>
      <c r="Y188" s="97" t="n"/>
      <c r="Z188" s="97" t="n"/>
      <c r="AA188" s="97" t="n"/>
      <c r="AB188" s="97" t="n"/>
      <c r="AC188" s="97" t="n"/>
      <c r="AD188" s="161" t="inlineStr">
        <is>
          <t>2026-10-02</t>
        </is>
      </c>
      <c r="AE188" s="174" t="inlineStr">
        <is>
          <t>2027</t>
        </is>
      </c>
      <c r="AF188" s="96" t="inlineStr">
        <is>
          <t>TBKK07</t>
        </is>
      </c>
      <c r="AG188" s="97" t="n"/>
      <c r="AH188" s="97" t="n"/>
      <c r="AI188" s="97" t="n"/>
      <c r="AJ188" s="96" t="inlineStr">
        <is>
          <t>TO ORDER OF VIETNAM INTERNATIONAL</t>
        </is>
      </c>
      <c r="AK188" s="130" t="n">
        <v>0</v>
      </c>
    </row>
    <row r="189" ht="12" customHeight="1">
      <c r="A189" s="108" t="inlineStr">
        <is>
          <t>TRHU5296888</t>
        </is>
      </c>
      <c r="B189" s="108" t="inlineStr">
        <is>
          <t>BKK04</t>
        </is>
      </c>
      <c r="C189" s="108" t="inlineStr">
        <is>
          <t>IFV</t>
        </is>
      </c>
      <c r="D189" s="172" t="inlineStr">
        <is>
          <t>2026-10-02</t>
        </is>
      </c>
      <c r="E189" s="173" t="inlineStr">
        <is>
          <t>1404</t>
        </is>
      </c>
      <c r="F189" s="96" t="inlineStr">
        <is>
          <t>HASLS22260901036</t>
        </is>
      </c>
      <c r="G189" s="96" t="inlineStr">
        <is>
          <t>PISIA INTERFREIGHT CO.,LTD.</t>
        </is>
      </c>
      <c r="H189" s="111" t="inlineStr">
        <is>
          <t>45GP</t>
        </is>
      </c>
      <c r="I189" s="96" t="n"/>
      <c r="J189" s="96" t="inlineStr">
        <is>
          <t>Chuanchuen</t>
        </is>
      </c>
      <c r="K189" s="96" t="inlineStr">
        <is>
          <t>SD</t>
        </is>
      </c>
      <c r="L189" s="111" t="inlineStr">
        <is>
          <t>Full</t>
        </is>
      </c>
      <c r="M189" s="96" t="inlineStr">
        <is>
          <t>HASLS22260901036</t>
        </is>
      </c>
      <c r="N189" s="96" t="inlineStr">
        <is>
          <t xml:space="preserve">40Hx8 </t>
        </is>
      </c>
      <c r="O189" s="111" t="inlineStr">
        <is>
          <t>2021</t>
        </is>
      </c>
      <c r="P189" s="111" t="n"/>
      <c r="Q189" s="111" t="n"/>
      <c r="R189" s="96" t="n"/>
      <c r="S189" s="96" t="n"/>
      <c r="T189" s="96" t="inlineStr">
        <is>
          <t>BKK04</t>
        </is>
      </c>
      <c r="U189" s="96" t="inlineStr">
        <is>
          <t>THBKK</t>
        </is>
      </c>
      <c r="V189" s="161" t="inlineStr">
        <is>
          <t>2026-10-08</t>
        </is>
      </c>
      <c r="W189" s="96" t="inlineStr">
        <is>
          <t>VNSGN</t>
        </is>
      </c>
      <c r="X189" s="161" t="inlineStr">
        <is>
          <t>2026-10-11</t>
        </is>
      </c>
      <c r="Y189" s="97" t="n"/>
      <c r="Z189" s="97" t="n"/>
      <c r="AA189" s="97" t="n"/>
      <c r="AB189" s="97" t="n"/>
      <c r="AC189" s="97" t="n"/>
      <c r="AD189" s="161" t="inlineStr">
        <is>
          <t>2026-10-02</t>
        </is>
      </c>
      <c r="AE189" s="174" t="inlineStr">
        <is>
          <t>2027</t>
        </is>
      </c>
      <c r="AF189" s="96" t="inlineStr">
        <is>
          <t>TBKK07</t>
        </is>
      </c>
      <c r="AG189" s="97" t="n"/>
      <c r="AH189" s="97" t="n"/>
      <c r="AI189" s="97" t="n"/>
      <c r="AJ189" s="96" t="inlineStr">
        <is>
          <t>TO ORDER OF VIETNAM INTERNATIONAL</t>
        </is>
      </c>
      <c r="AK189" s="130" t="n">
        <v>0</v>
      </c>
    </row>
    <row r="190" ht="12" customHeight="1">
      <c r="A190" s="108" t="inlineStr">
        <is>
          <t>TRIU6734806</t>
        </is>
      </c>
      <c r="B190" s="108" t="inlineStr">
        <is>
          <t>BKK04</t>
        </is>
      </c>
      <c r="C190" s="108" t="inlineStr">
        <is>
          <t>IFV</t>
        </is>
      </c>
      <c r="D190" s="172" t="inlineStr">
        <is>
          <t>2026-10-05</t>
        </is>
      </c>
      <c r="E190" s="173" t="inlineStr">
        <is>
          <t>2215</t>
        </is>
      </c>
      <c r="F190" s="96" t="inlineStr">
        <is>
          <t>HASLS22260902651</t>
        </is>
      </c>
      <c r="G190" s="96" t="inlineStr">
        <is>
          <t>KCTC THAI LOGISTICS CO., LTD.</t>
        </is>
      </c>
      <c r="H190" s="111" t="inlineStr">
        <is>
          <t>22RE</t>
        </is>
      </c>
      <c r="I190" s="96" t="n"/>
      <c r="J190" s="96" t="inlineStr">
        <is>
          <t>Chuanchuen</t>
        </is>
      </c>
      <c r="K190" s="96" t="inlineStr">
        <is>
          <t>SD</t>
        </is>
      </c>
      <c r="L190" s="111" t="inlineStr">
        <is>
          <t>Full</t>
        </is>
      </c>
      <c r="M190" s="96" t="inlineStr">
        <is>
          <t>HASLS22260902651</t>
        </is>
      </c>
      <c r="N190" s="96" t="inlineStr">
        <is>
          <t xml:space="preserve">20RFx1 </t>
        </is>
      </c>
      <c r="O190" s="111" t="inlineStr">
        <is>
          <t>2014</t>
        </is>
      </c>
      <c r="P190" s="111" t="inlineStr">
        <is>
          <t>CARRIER</t>
        </is>
      </c>
      <c r="Q190" s="111" t="inlineStr">
        <is>
          <t>Carrier Transicold/ThinLine/69NT40-</t>
        </is>
      </c>
      <c r="R190" s="96" t="n"/>
      <c r="S190" s="96" t="n"/>
      <c r="T190" s="96" t="inlineStr">
        <is>
          <t>BKK04</t>
        </is>
      </c>
      <c r="U190" s="96" t="inlineStr">
        <is>
          <t>THBKK</t>
        </is>
      </c>
      <c r="V190" s="161" t="inlineStr">
        <is>
          <t>2026-10-08</t>
        </is>
      </c>
      <c r="W190" s="96" t="inlineStr">
        <is>
          <t>KRPUS</t>
        </is>
      </c>
      <c r="X190" s="161" t="inlineStr">
        <is>
          <t>2026-10-19</t>
        </is>
      </c>
      <c r="Y190" s="97" t="n"/>
      <c r="Z190" s="97" t="n"/>
      <c r="AA190" s="97" t="n"/>
      <c r="AB190" s="97" t="n"/>
      <c r="AC190" s="97" t="n"/>
      <c r="AD190" s="161" t="inlineStr">
        <is>
          <t>2026-10-06</t>
        </is>
      </c>
      <c r="AE190" s="174" t="inlineStr">
        <is>
          <t>1047</t>
        </is>
      </c>
      <c r="AF190" s="96" t="inlineStr">
        <is>
          <t>TBKK07</t>
        </is>
      </c>
      <c r="AG190" s="97" t="n"/>
      <c r="AH190" s="97" t="n"/>
      <c r="AI190" s="97" t="n"/>
      <c r="AJ190" s="96" t="inlineStr">
        <is>
          <t>GLOBAL HAEHYUN CO.,LTD.</t>
        </is>
      </c>
      <c r="AK190" s="130" t="n">
        <v>0</v>
      </c>
    </row>
    <row r="191" ht="12" customHeight="1">
      <c r="A191" s="108" t="inlineStr">
        <is>
          <t>BEAU2428783</t>
        </is>
      </c>
      <c r="B191" s="108" t="n"/>
      <c r="C191" s="108" t="n"/>
      <c r="D191" s="172" t="n"/>
      <c r="E191" s="173" t="n"/>
      <c r="F191" s="96" t="n"/>
      <c r="G191" s="96" t="n"/>
      <c r="H191" s="111" t="n"/>
      <c r="I191" s="96" t="n"/>
      <c r="J191" s="96" t="n"/>
      <c r="K191" s="96" t="n"/>
      <c r="L191" s="111" t="n"/>
      <c r="M191" s="96" t="n"/>
      <c r="N191" s="96" t="n"/>
      <c r="O191" s="111" t="n"/>
      <c r="P191" s="111" t="n"/>
      <c r="Q191" s="111" t="n"/>
      <c r="R191" s="96" t="n"/>
      <c r="S191" s="96" t="n"/>
      <c r="T191" s="96" t="n"/>
      <c r="U191" s="96" t="n"/>
      <c r="V191" s="161" t="n"/>
      <c r="W191" s="96" t="n"/>
      <c r="X191" s="161" t="n"/>
      <c r="Y191" s="97" t="n"/>
      <c r="Z191" s="97" t="n"/>
      <c r="AA191" s="97" t="n"/>
      <c r="AB191" s="97" t="n"/>
      <c r="AC191" s="97" t="n"/>
      <c r="AD191" s="161" t="n"/>
      <c r="AE191" s="174" t="n"/>
      <c r="AF191" s="96" t="n"/>
      <c r="AG191" s="97" t="n"/>
      <c r="AH191" s="97" t="n"/>
      <c r="AI191" s="97" t="n"/>
      <c r="AJ191" s="96" t="n"/>
      <c r="AK191" s="130" t="n"/>
    </row>
    <row r="192" ht="12" customHeight="1">
      <c r="A192" s="108" t="inlineStr">
        <is>
          <t>BMOU5940890</t>
        </is>
      </c>
      <c r="B192" s="108" t="n"/>
      <c r="C192" s="108" t="n"/>
      <c r="D192" s="172" t="n"/>
      <c r="E192" s="173" t="n"/>
      <c r="F192" s="96" t="n"/>
      <c r="G192" s="96" t="n"/>
      <c r="H192" s="111" t="n"/>
      <c r="I192" s="96" t="n"/>
      <c r="J192" s="96" t="n"/>
      <c r="K192" s="96" t="n"/>
      <c r="L192" s="111" t="n"/>
      <c r="M192" s="96" t="n"/>
      <c r="N192" s="96" t="n"/>
      <c r="O192" s="111" t="n"/>
      <c r="P192" s="111" t="n"/>
      <c r="Q192" s="111" t="n"/>
      <c r="R192" s="96" t="n"/>
      <c r="S192" s="96" t="n"/>
      <c r="T192" s="96" t="n"/>
      <c r="U192" s="96" t="n"/>
      <c r="V192" s="161" t="n"/>
      <c r="W192" s="96" t="n"/>
      <c r="X192" s="161" t="n"/>
      <c r="Y192" s="97" t="n"/>
      <c r="Z192" s="97" t="n"/>
      <c r="AA192" s="97" t="n"/>
      <c r="AB192" s="97" t="n"/>
      <c r="AC192" s="97" t="n"/>
      <c r="AD192" s="161" t="n"/>
      <c r="AE192" s="174" t="n"/>
      <c r="AF192" s="96" t="n"/>
      <c r="AG192" s="97" t="n"/>
      <c r="AH192" s="97" t="n"/>
      <c r="AI192" s="97" t="n"/>
      <c r="AJ192" s="96" t="n"/>
      <c r="AK192" s="130" t="n"/>
    </row>
    <row r="193" ht="12" customHeight="1">
      <c r="A193" s="108" t="inlineStr">
        <is>
          <t>BMOU6068951</t>
        </is>
      </c>
      <c r="B193" s="108" t="n"/>
      <c r="C193" s="108" t="n"/>
      <c r="D193" s="172" t="n"/>
      <c r="E193" s="173" t="n"/>
      <c r="F193" s="96" t="n"/>
      <c r="G193" s="96" t="n"/>
      <c r="H193" s="111" t="n"/>
      <c r="I193" s="96" t="n"/>
      <c r="J193" s="96" t="n"/>
      <c r="K193" s="96" t="n"/>
      <c r="L193" s="111" t="n"/>
      <c r="M193" s="96" t="n"/>
      <c r="N193" s="96" t="n"/>
      <c r="O193" s="111" t="n"/>
      <c r="P193" s="111" t="n"/>
      <c r="Q193" s="111" t="n"/>
      <c r="R193" s="96" t="n"/>
      <c r="S193" s="96" t="n"/>
      <c r="T193" s="96" t="n"/>
      <c r="U193" s="96" t="n"/>
      <c r="V193" s="161" t="n"/>
      <c r="W193" s="96" t="n"/>
      <c r="X193" s="161" t="n"/>
      <c r="Y193" s="97" t="n"/>
      <c r="Z193" s="97" t="n"/>
      <c r="AA193" s="97" t="n"/>
      <c r="AB193" s="97" t="n"/>
      <c r="AC193" s="97" t="n"/>
      <c r="AD193" s="161" t="n"/>
      <c r="AE193" s="174" t="n"/>
      <c r="AF193" s="96" t="n"/>
      <c r="AG193" s="97" t="n"/>
      <c r="AH193" s="97" t="n"/>
      <c r="AI193" s="97" t="n"/>
      <c r="AJ193" s="96" t="n"/>
      <c r="AK193" s="130" t="n"/>
    </row>
    <row r="194" ht="12" customHeight="1">
      <c r="A194" s="108" t="inlineStr">
        <is>
          <t>BMOU6075971</t>
        </is>
      </c>
      <c r="B194" s="108" t="n"/>
      <c r="C194" s="108" t="n"/>
      <c r="D194" s="172" t="n"/>
      <c r="E194" s="173" t="n"/>
      <c r="F194" s="96" t="n"/>
      <c r="G194" s="96" t="n"/>
      <c r="H194" s="111" t="n"/>
      <c r="I194" s="96" t="n"/>
      <c r="J194" s="96" t="n"/>
      <c r="K194" s="96" t="n"/>
      <c r="L194" s="111" t="n"/>
      <c r="M194" s="96" t="n"/>
      <c r="N194" s="96" t="n"/>
      <c r="O194" s="111" t="n"/>
      <c r="P194" s="111" t="n"/>
      <c r="Q194" s="111" t="n"/>
      <c r="R194" s="96" t="n"/>
      <c r="S194" s="96" t="n"/>
      <c r="T194" s="96" t="n"/>
      <c r="U194" s="96" t="n"/>
      <c r="V194" s="161" t="n"/>
      <c r="W194" s="96" t="n"/>
      <c r="X194" s="161" t="n"/>
      <c r="Y194" s="97" t="n"/>
      <c r="Z194" s="97" t="n"/>
      <c r="AA194" s="97" t="n"/>
      <c r="AB194" s="97" t="n"/>
      <c r="AC194" s="97" t="n"/>
      <c r="AD194" s="161" t="n"/>
      <c r="AE194" s="174" t="n"/>
      <c r="AF194" s="96" t="n"/>
      <c r="AG194" s="97" t="n"/>
      <c r="AH194" s="97" t="n"/>
      <c r="AI194" s="97" t="n"/>
      <c r="AJ194" s="96" t="n"/>
      <c r="AK194" s="130" t="n"/>
    </row>
    <row r="195" ht="12" customHeight="1">
      <c r="A195" s="108" t="inlineStr">
        <is>
          <t>CXDU2305139</t>
        </is>
      </c>
      <c r="B195" s="108" t="n"/>
      <c r="C195" s="108" t="n"/>
      <c r="D195" s="172" t="n"/>
      <c r="E195" s="173" t="n"/>
      <c r="F195" s="96" t="n"/>
      <c r="G195" s="96" t="n"/>
      <c r="H195" s="111" t="n"/>
      <c r="I195" s="96" t="n"/>
      <c r="J195" s="96" t="n"/>
      <c r="K195" s="96" t="n"/>
      <c r="L195" s="111" t="n"/>
      <c r="M195" s="96" t="n"/>
      <c r="N195" s="96" t="n"/>
      <c r="O195" s="111" t="n"/>
      <c r="P195" s="111" t="n"/>
      <c r="Q195" s="111" t="n"/>
      <c r="R195" s="96" t="n"/>
      <c r="S195" s="96" t="n"/>
      <c r="T195" s="96" t="n"/>
      <c r="U195" s="96" t="n"/>
      <c r="V195" s="161" t="n"/>
      <c r="W195" s="96" t="n"/>
      <c r="X195" s="161" t="n"/>
      <c r="Y195" s="97" t="n"/>
      <c r="Z195" s="97" t="n"/>
      <c r="AA195" s="97" t="n"/>
      <c r="AB195" s="97" t="n"/>
      <c r="AC195" s="97" t="n"/>
      <c r="AD195" s="161" t="n"/>
      <c r="AE195" s="174" t="n"/>
      <c r="AF195" s="96" t="n"/>
      <c r="AG195" s="97" t="n"/>
      <c r="AH195" s="97" t="n"/>
      <c r="AI195" s="97" t="n"/>
      <c r="AJ195" s="96" t="n"/>
      <c r="AK195" s="130" t="n"/>
    </row>
    <row r="196" ht="12" customHeight="1">
      <c r="A196" s="108" t="inlineStr">
        <is>
          <t>DFSU3102503</t>
        </is>
      </c>
      <c r="B196" s="108" t="n"/>
      <c r="C196" s="108" t="n"/>
      <c r="D196" s="172" t="n"/>
      <c r="E196" s="173" t="n"/>
      <c r="F196" s="96" t="n"/>
      <c r="G196" s="96" t="n"/>
      <c r="H196" s="111" t="n"/>
      <c r="I196" s="96" t="n"/>
      <c r="J196" s="96" t="n"/>
      <c r="K196" s="96" t="n"/>
      <c r="L196" s="111" t="n"/>
      <c r="M196" s="96" t="n"/>
      <c r="N196" s="96" t="n"/>
      <c r="O196" s="111" t="n"/>
      <c r="P196" s="111" t="n"/>
      <c r="Q196" s="111" t="n"/>
      <c r="R196" s="96" t="n"/>
      <c r="S196" s="96" t="n"/>
      <c r="T196" s="96" t="n"/>
      <c r="U196" s="96" t="n"/>
      <c r="V196" s="161" t="n"/>
      <c r="W196" s="96" t="n"/>
      <c r="X196" s="161" t="n"/>
      <c r="Y196" s="97" t="n"/>
      <c r="Z196" s="97" t="n"/>
      <c r="AA196" s="97" t="n"/>
      <c r="AB196" s="97" t="n"/>
      <c r="AC196" s="97" t="n"/>
      <c r="AD196" s="161" t="n"/>
      <c r="AE196" s="174" t="n"/>
      <c r="AF196" s="96" t="n"/>
      <c r="AG196" s="97" t="n"/>
      <c r="AH196" s="97" t="n"/>
      <c r="AI196" s="97" t="n"/>
      <c r="AJ196" s="96" t="n"/>
      <c r="AK196" s="130" t="n"/>
    </row>
    <row r="197" ht="12" customHeight="1">
      <c r="A197" s="108" t="inlineStr">
        <is>
          <t>FBIU5093827</t>
        </is>
      </c>
      <c r="B197" s="108" t="n"/>
      <c r="C197" s="108" t="n"/>
      <c r="D197" s="172" t="n"/>
      <c r="E197" s="173" t="n"/>
      <c r="F197" s="96" t="n"/>
      <c r="G197" s="96" t="n"/>
      <c r="H197" s="111" t="n"/>
      <c r="I197" s="96" t="n"/>
      <c r="J197" s="96" t="n"/>
      <c r="K197" s="96" t="n"/>
      <c r="L197" s="111" t="n"/>
      <c r="M197" s="96" t="n"/>
      <c r="N197" s="96" t="n"/>
      <c r="O197" s="111" t="n"/>
      <c r="P197" s="111" t="n"/>
      <c r="Q197" s="111" t="n"/>
      <c r="R197" s="96" t="n"/>
      <c r="S197" s="96" t="n"/>
      <c r="T197" s="96" t="n"/>
      <c r="U197" s="96" t="n"/>
      <c r="V197" s="161" t="n"/>
      <c r="W197" s="96" t="n"/>
      <c r="X197" s="161" t="n"/>
      <c r="Y197" s="97" t="n"/>
      <c r="Z197" s="97" t="n"/>
      <c r="AA197" s="97" t="n"/>
      <c r="AB197" s="97" t="n"/>
      <c r="AC197" s="97" t="n"/>
      <c r="AD197" s="161" t="n"/>
      <c r="AE197" s="174" t="n"/>
      <c r="AF197" s="96" t="n"/>
      <c r="AG197" s="97" t="n"/>
      <c r="AH197" s="97" t="n"/>
      <c r="AI197" s="97" t="n"/>
      <c r="AJ197" s="96" t="n"/>
      <c r="AK197" s="130" t="n"/>
    </row>
    <row r="198" ht="12" customHeight="1">
      <c r="A198" s="108" t="inlineStr">
        <is>
          <t>FBIU5093935</t>
        </is>
      </c>
      <c r="B198" s="108" t="n"/>
      <c r="C198" s="108" t="n"/>
      <c r="D198" s="172" t="n"/>
      <c r="E198" s="173" t="n"/>
      <c r="F198" s="96" t="n"/>
      <c r="G198" s="96" t="n"/>
      <c r="H198" s="111" t="n"/>
      <c r="I198" s="96" t="n"/>
      <c r="J198" s="96" t="n"/>
      <c r="K198" s="96" t="n"/>
      <c r="L198" s="111" t="n"/>
      <c r="M198" s="96" t="n"/>
      <c r="N198" s="96" t="n"/>
      <c r="O198" s="111" t="n"/>
      <c r="P198" s="111" t="n"/>
      <c r="Q198" s="111" t="n"/>
      <c r="R198" s="96" t="n"/>
      <c r="S198" s="96" t="n"/>
      <c r="T198" s="96" t="n"/>
      <c r="U198" s="96" t="n"/>
      <c r="V198" s="161" t="n"/>
      <c r="W198" s="96" t="n"/>
      <c r="X198" s="161" t="n"/>
      <c r="Y198" s="97" t="n"/>
      <c r="Z198" s="97" t="n"/>
      <c r="AA198" s="97" t="n"/>
      <c r="AB198" s="97" t="n"/>
      <c r="AC198" s="97" t="n"/>
      <c r="AD198" s="161" t="n"/>
      <c r="AE198" s="174" t="n"/>
      <c r="AF198" s="96" t="n"/>
      <c r="AG198" s="97" t="n"/>
      <c r="AH198" s="97" t="n"/>
      <c r="AI198" s="97" t="n"/>
      <c r="AJ198" s="96" t="n"/>
      <c r="AK198" s="130" t="n"/>
    </row>
    <row r="199" ht="12" customHeight="1">
      <c r="A199" s="108" t="inlineStr">
        <is>
          <t>FBIU5102847</t>
        </is>
      </c>
      <c r="B199" s="108" t="n"/>
      <c r="C199" s="108" t="n"/>
      <c r="D199" s="172" t="n"/>
      <c r="E199" s="173" t="n"/>
      <c r="F199" s="96" t="n"/>
      <c r="G199" s="96" t="n"/>
      <c r="H199" s="111" t="n"/>
      <c r="I199" s="96" t="n"/>
      <c r="J199" s="96" t="n"/>
      <c r="K199" s="96" t="n"/>
      <c r="L199" s="111" t="n"/>
      <c r="M199" s="96" t="n"/>
      <c r="N199" s="96" t="n"/>
      <c r="O199" s="111" t="n"/>
      <c r="P199" s="111" t="n"/>
      <c r="Q199" s="111" t="n"/>
      <c r="R199" s="96" t="n"/>
      <c r="S199" s="96" t="n"/>
      <c r="T199" s="96" t="n"/>
      <c r="U199" s="96" t="n"/>
      <c r="V199" s="161" t="n"/>
      <c r="W199" s="96" t="n"/>
      <c r="X199" s="161" t="n"/>
      <c r="Y199" s="97" t="n"/>
      <c r="Z199" s="97" t="n"/>
      <c r="AA199" s="97" t="n"/>
      <c r="AB199" s="97" t="n"/>
      <c r="AC199" s="97" t="n"/>
      <c r="AD199" s="161" t="n"/>
      <c r="AE199" s="174" t="n"/>
      <c r="AF199" s="96" t="n"/>
      <c r="AG199" s="97" t="n"/>
      <c r="AH199" s="97" t="n"/>
      <c r="AI199" s="97" t="n"/>
      <c r="AJ199" s="96" t="n"/>
      <c r="AK199" s="130" t="n"/>
    </row>
    <row r="200" ht="12" customHeight="1">
      <c r="A200" s="108" t="inlineStr">
        <is>
          <t>FCIU5648070</t>
        </is>
      </c>
      <c r="B200" s="108" t="n"/>
      <c r="C200" s="108" t="n"/>
      <c r="D200" s="172" t="n"/>
      <c r="E200" s="173" t="n"/>
      <c r="F200" s="96" t="n"/>
      <c r="G200" s="96" t="n"/>
      <c r="H200" s="111" t="n"/>
      <c r="I200" s="96" t="n"/>
      <c r="J200" s="96" t="n"/>
      <c r="K200" s="96" t="n"/>
      <c r="L200" s="111" t="n"/>
      <c r="M200" s="96" t="n"/>
      <c r="N200" s="96" t="n"/>
      <c r="O200" s="111" t="n"/>
      <c r="P200" s="111" t="n"/>
      <c r="Q200" s="111" t="n"/>
      <c r="R200" s="96" t="n"/>
      <c r="S200" s="96" t="n"/>
      <c r="T200" s="96" t="n"/>
      <c r="U200" s="96" t="n"/>
      <c r="V200" s="161" t="n"/>
      <c r="W200" s="96" t="n"/>
      <c r="X200" s="161" t="n"/>
      <c r="Y200" s="97" t="n"/>
      <c r="Z200" s="97" t="n"/>
      <c r="AA200" s="97" t="n"/>
      <c r="AB200" s="97" t="n"/>
      <c r="AC200" s="97" t="n"/>
      <c r="AD200" s="161" t="n"/>
      <c r="AE200" s="174" t="n"/>
      <c r="AF200" s="96" t="n"/>
      <c r="AG200" s="97" t="n"/>
      <c r="AH200" s="97" t="n"/>
      <c r="AI200" s="97" t="n"/>
      <c r="AJ200" s="96" t="n"/>
      <c r="AK200" s="130" t="n"/>
    </row>
    <row r="201" ht="12" customHeight="1">
      <c r="A201" s="108" t="inlineStr">
        <is>
          <t>FSCU5836461</t>
        </is>
      </c>
      <c r="B201" s="108" t="n"/>
      <c r="C201" s="108" t="n"/>
      <c r="D201" s="172" t="n"/>
      <c r="E201" s="173" t="n"/>
      <c r="F201" s="96" t="n"/>
      <c r="G201" s="96" t="n"/>
      <c r="H201" s="111" t="n"/>
      <c r="I201" s="96" t="n"/>
      <c r="J201" s="96" t="n"/>
      <c r="K201" s="96" t="n"/>
      <c r="L201" s="111" t="n"/>
      <c r="M201" s="96" t="n"/>
      <c r="N201" s="96" t="n"/>
      <c r="O201" s="111" t="n"/>
      <c r="P201" s="111" t="n"/>
      <c r="Q201" s="111" t="n"/>
      <c r="R201" s="96" t="n"/>
      <c r="S201" s="96" t="n"/>
      <c r="T201" s="96" t="n"/>
      <c r="U201" s="96" t="n"/>
      <c r="V201" s="161" t="n"/>
      <c r="W201" s="96" t="n"/>
      <c r="X201" s="161" t="n"/>
      <c r="Y201" s="97" t="n"/>
      <c r="Z201" s="97" t="n"/>
      <c r="AA201" s="97" t="n"/>
      <c r="AB201" s="97" t="n"/>
      <c r="AC201" s="97" t="n"/>
      <c r="AD201" s="161" t="n"/>
      <c r="AE201" s="174" t="n"/>
      <c r="AF201" s="96" t="n"/>
      <c r="AG201" s="97" t="n"/>
      <c r="AH201" s="97" t="n"/>
      <c r="AI201" s="97" t="n"/>
      <c r="AJ201" s="96" t="n"/>
      <c r="AK201" s="130" t="n"/>
    </row>
    <row r="202" ht="12" customHeight="1">
      <c r="A202" s="108" t="inlineStr">
        <is>
          <t>FSCU5837128</t>
        </is>
      </c>
      <c r="B202" s="108" t="n"/>
      <c r="C202" s="108" t="n"/>
      <c r="D202" s="172" t="n"/>
      <c r="E202" s="173" t="n"/>
      <c r="F202" s="96" t="n"/>
      <c r="G202" s="96" t="n"/>
      <c r="H202" s="111" t="n"/>
      <c r="I202" s="96" t="n"/>
      <c r="J202" s="96" t="n"/>
      <c r="K202" s="96" t="n"/>
      <c r="L202" s="111" t="n"/>
      <c r="M202" s="96" t="n"/>
      <c r="N202" s="96" t="n"/>
      <c r="O202" s="111" t="n"/>
      <c r="P202" s="111" t="n"/>
      <c r="Q202" s="111" t="n"/>
      <c r="R202" s="96" t="n"/>
      <c r="S202" s="96" t="n"/>
      <c r="T202" s="96" t="n"/>
      <c r="U202" s="96" t="n"/>
      <c r="V202" s="161" t="n"/>
      <c r="W202" s="96" t="n"/>
      <c r="X202" s="161" t="n"/>
      <c r="Y202" s="97" t="n"/>
      <c r="Z202" s="97" t="n"/>
      <c r="AA202" s="97" t="n"/>
      <c r="AB202" s="97" t="n"/>
      <c r="AC202" s="97" t="n"/>
      <c r="AD202" s="161" t="n"/>
      <c r="AE202" s="174" t="n"/>
      <c r="AF202" s="96" t="n"/>
      <c r="AG202" s="97" t="n"/>
      <c r="AH202" s="97" t="n"/>
      <c r="AI202" s="97" t="n"/>
      <c r="AJ202" s="96" t="n"/>
      <c r="AK202" s="130" t="n"/>
    </row>
    <row r="203" ht="12" customHeight="1">
      <c r="A203" s="108" t="inlineStr">
        <is>
          <t>FSCU5895525</t>
        </is>
      </c>
      <c r="B203" s="108" t="n"/>
      <c r="C203" s="108" t="n"/>
      <c r="D203" s="172" t="n"/>
      <c r="E203" s="173" t="n"/>
      <c r="F203" s="96" t="n"/>
      <c r="G203" s="96" t="n"/>
      <c r="H203" s="111" t="n"/>
      <c r="I203" s="96" t="n"/>
      <c r="J203" s="96" t="n"/>
      <c r="K203" s="96" t="n"/>
      <c r="L203" s="111" t="n"/>
      <c r="M203" s="96" t="n"/>
      <c r="N203" s="96" t="n"/>
      <c r="O203" s="111" t="n"/>
      <c r="P203" s="111" t="n"/>
      <c r="Q203" s="111" t="n"/>
      <c r="R203" s="96" t="n"/>
      <c r="S203" s="96" t="n"/>
      <c r="T203" s="96" t="n"/>
      <c r="U203" s="96" t="n"/>
      <c r="V203" s="161" t="n"/>
      <c r="W203" s="96" t="n"/>
      <c r="X203" s="161" t="n"/>
      <c r="Y203" s="97" t="n"/>
      <c r="Z203" s="97" t="n"/>
      <c r="AA203" s="97" t="n"/>
      <c r="AB203" s="97" t="n"/>
      <c r="AC203" s="97" t="n"/>
      <c r="AD203" s="161" t="n"/>
      <c r="AE203" s="174" t="n"/>
      <c r="AF203" s="96" t="n"/>
      <c r="AG203" s="97" t="n"/>
      <c r="AH203" s="97" t="n"/>
      <c r="AI203" s="97" t="n"/>
      <c r="AJ203" s="96" t="n"/>
      <c r="AK203" s="130" t="n"/>
    </row>
    <row r="204" ht="12" customHeight="1">
      <c r="A204" s="108" t="inlineStr">
        <is>
          <t>FSCU5896671</t>
        </is>
      </c>
      <c r="B204" s="108" t="n"/>
      <c r="C204" s="108" t="n"/>
      <c r="D204" s="172" t="n"/>
      <c r="E204" s="173" t="n"/>
      <c r="F204" s="96" t="n"/>
      <c r="G204" s="96" t="n"/>
      <c r="H204" s="111" t="n"/>
      <c r="I204" s="96" t="n"/>
      <c r="J204" s="96" t="n"/>
      <c r="K204" s="96" t="n"/>
      <c r="L204" s="111" t="n"/>
      <c r="M204" s="96" t="n"/>
      <c r="N204" s="96" t="n"/>
      <c r="O204" s="111" t="n"/>
      <c r="P204" s="111" t="n"/>
      <c r="Q204" s="111" t="n"/>
      <c r="R204" s="96" t="n"/>
      <c r="S204" s="96" t="n"/>
      <c r="T204" s="96" t="n"/>
      <c r="U204" s="96" t="n"/>
      <c r="V204" s="161" t="n"/>
      <c r="W204" s="96" t="n"/>
      <c r="X204" s="161" t="n"/>
      <c r="Y204" s="97" t="n"/>
      <c r="Z204" s="97" t="n"/>
      <c r="AA204" s="97" t="n"/>
      <c r="AB204" s="97" t="n"/>
      <c r="AC204" s="97" t="n"/>
      <c r="AD204" s="161" t="n"/>
      <c r="AE204" s="174" t="n"/>
      <c r="AF204" s="96" t="n"/>
      <c r="AG204" s="97" t="n"/>
      <c r="AH204" s="97" t="n"/>
      <c r="AI204" s="97" t="n"/>
      <c r="AJ204" s="96" t="n"/>
      <c r="AK204" s="130" t="n"/>
    </row>
    <row r="205" ht="12" customHeight="1">
      <c r="A205" s="108" t="inlineStr">
        <is>
          <t>GCXU2421974</t>
        </is>
      </c>
      <c r="B205" s="108" t="n"/>
      <c r="C205" s="108" t="n"/>
      <c r="D205" s="172" t="n"/>
      <c r="E205" s="173" t="n"/>
      <c r="F205" s="96" t="n"/>
      <c r="G205" s="96" t="n"/>
      <c r="H205" s="111" t="n"/>
      <c r="I205" s="96" t="n"/>
      <c r="J205" s="96" t="n"/>
      <c r="K205" s="96" t="n"/>
      <c r="L205" s="111" t="n"/>
      <c r="M205" s="96" t="n"/>
      <c r="N205" s="96" t="n"/>
      <c r="O205" s="111" t="n"/>
      <c r="P205" s="111" t="n"/>
      <c r="Q205" s="111" t="n"/>
      <c r="R205" s="96" t="n"/>
      <c r="S205" s="96" t="n"/>
      <c r="T205" s="96" t="n"/>
      <c r="U205" s="96" t="n"/>
      <c r="V205" s="161" t="n"/>
      <c r="W205" s="96" t="n"/>
      <c r="X205" s="161" t="n"/>
      <c r="Y205" s="97" t="n"/>
      <c r="Z205" s="97" t="n"/>
      <c r="AA205" s="97" t="n"/>
      <c r="AB205" s="97" t="n"/>
      <c r="AC205" s="97" t="n"/>
      <c r="AD205" s="161" t="n"/>
      <c r="AE205" s="174" t="n"/>
      <c r="AF205" s="96" t="n"/>
      <c r="AG205" s="97" t="n"/>
      <c r="AH205" s="97" t="n"/>
      <c r="AI205" s="97" t="n"/>
      <c r="AJ205" s="96" t="n"/>
      <c r="AK205" s="130" t="n"/>
    </row>
    <row r="206" ht="12" customHeight="1">
      <c r="A206" s="108" t="inlineStr">
        <is>
          <t>GCXU5060849</t>
        </is>
      </c>
      <c r="B206" s="108" t="n"/>
      <c r="C206" s="108" t="n"/>
      <c r="D206" s="172" t="n"/>
      <c r="E206" s="173" t="n"/>
      <c r="F206" s="96" t="n"/>
      <c r="G206" s="96" t="n"/>
      <c r="H206" s="111" t="n"/>
      <c r="I206" s="96" t="n"/>
      <c r="J206" s="96" t="n"/>
      <c r="K206" s="96" t="n"/>
      <c r="L206" s="111" t="n"/>
      <c r="M206" s="96" t="n"/>
      <c r="N206" s="96" t="n"/>
      <c r="O206" s="111" t="n"/>
      <c r="P206" s="111" t="n"/>
      <c r="Q206" s="111" t="n"/>
      <c r="R206" s="96" t="n"/>
      <c r="S206" s="96" t="n"/>
      <c r="T206" s="96" t="n"/>
      <c r="U206" s="96" t="n"/>
      <c r="V206" s="161" t="n"/>
      <c r="W206" s="96" t="n"/>
      <c r="X206" s="161" t="n"/>
      <c r="Y206" s="97" t="n"/>
      <c r="Z206" s="97" t="n"/>
      <c r="AA206" s="97" t="n"/>
      <c r="AB206" s="97" t="n"/>
      <c r="AC206" s="97" t="n"/>
      <c r="AD206" s="161" t="n"/>
      <c r="AE206" s="174" t="n"/>
      <c r="AF206" s="96" t="n"/>
      <c r="AG206" s="97" t="n"/>
      <c r="AH206" s="97" t="n"/>
      <c r="AI206" s="97" t="n"/>
      <c r="AJ206" s="96" t="n"/>
      <c r="AK206" s="130" t="n"/>
    </row>
    <row r="207" ht="12" customHeight="1">
      <c r="A207" s="108" t="inlineStr">
        <is>
          <t>GCXU6006821</t>
        </is>
      </c>
      <c r="B207" s="108" t="n"/>
      <c r="C207" s="108" t="n"/>
      <c r="D207" s="172" t="n"/>
      <c r="E207" s="173" t="n"/>
      <c r="F207" s="96" t="n"/>
      <c r="G207" s="96" t="n"/>
      <c r="H207" s="111" t="n"/>
      <c r="I207" s="96" t="n"/>
      <c r="J207" s="96" t="n"/>
      <c r="K207" s="96" t="n"/>
      <c r="L207" s="111" t="n"/>
      <c r="M207" s="96" t="n"/>
      <c r="N207" s="96" t="n"/>
      <c r="O207" s="111" t="n"/>
      <c r="P207" s="111" t="n"/>
      <c r="Q207" s="111" t="n"/>
      <c r="R207" s="96" t="n"/>
      <c r="S207" s="96" t="n"/>
      <c r="T207" s="96" t="n"/>
      <c r="U207" s="96" t="n"/>
      <c r="V207" s="161" t="n"/>
      <c r="W207" s="96" t="n"/>
      <c r="X207" s="161" t="n"/>
      <c r="Y207" s="97" t="n"/>
      <c r="Z207" s="97" t="n"/>
      <c r="AA207" s="97" t="n"/>
      <c r="AB207" s="97" t="n"/>
      <c r="AC207" s="97" t="n"/>
      <c r="AD207" s="161" t="n"/>
      <c r="AE207" s="174" t="n"/>
      <c r="AF207" s="96" t="n"/>
      <c r="AG207" s="97" t="n"/>
      <c r="AH207" s="97" t="n"/>
      <c r="AI207" s="97" t="n"/>
      <c r="AJ207" s="96" t="n"/>
      <c r="AK207" s="130" t="n"/>
    </row>
    <row r="208" ht="12" customHeight="1">
      <c r="A208" s="108" t="inlineStr">
        <is>
          <t>GCXU6008090</t>
        </is>
      </c>
      <c r="B208" s="108" t="n"/>
      <c r="C208" s="108" t="n"/>
      <c r="D208" s="172" t="n"/>
      <c r="E208" s="173" t="n"/>
      <c r="F208" s="96" t="n"/>
      <c r="G208" s="96" t="n"/>
      <c r="H208" s="111" t="n"/>
      <c r="I208" s="96" t="n"/>
      <c r="J208" s="96" t="n"/>
      <c r="K208" s="96" t="n"/>
      <c r="L208" s="111" t="n"/>
      <c r="M208" s="96" t="n"/>
      <c r="N208" s="96" t="n"/>
      <c r="O208" s="111" t="n"/>
      <c r="P208" s="111" t="n"/>
      <c r="Q208" s="111" t="n"/>
      <c r="R208" s="96" t="n"/>
      <c r="S208" s="96" t="n"/>
      <c r="T208" s="96" t="n"/>
      <c r="U208" s="96" t="n"/>
      <c r="V208" s="161" t="n"/>
      <c r="W208" s="96" t="n"/>
      <c r="X208" s="161" t="n"/>
      <c r="Y208" s="97" t="n"/>
      <c r="Z208" s="97" t="n"/>
      <c r="AA208" s="97" t="n"/>
      <c r="AB208" s="97" t="n"/>
      <c r="AC208" s="97" t="n"/>
      <c r="AD208" s="161" t="n"/>
      <c r="AE208" s="174" t="n"/>
      <c r="AF208" s="96" t="n"/>
      <c r="AG208" s="97" t="n"/>
      <c r="AH208" s="97" t="n"/>
      <c r="AI208" s="97" t="n"/>
      <c r="AJ208" s="96" t="n"/>
      <c r="AK208" s="130" t="n"/>
    </row>
    <row r="209" ht="12" customHeight="1">
      <c r="A209" s="108" t="inlineStr">
        <is>
          <t>GCXU6279430</t>
        </is>
      </c>
      <c r="B209" s="108" t="n"/>
      <c r="C209" s="108" t="n"/>
      <c r="D209" s="172" t="n"/>
      <c r="E209" s="173" t="n"/>
      <c r="F209" s="96" t="n"/>
      <c r="G209" s="96" t="n"/>
      <c r="H209" s="111" t="n"/>
      <c r="I209" s="96" t="n"/>
      <c r="J209" s="96" t="n"/>
      <c r="K209" s="96" t="n"/>
      <c r="L209" s="111" t="n"/>
      <c r="M209" s="96" t="n"/>
      <c r="N209" s="96" t="n"/>
      <c r="O209" s="111" t="n"/>
      <c r="P209" s="111" t="n"/>
      <c r="Q209" s="111" t="n"/>
      <c r="R209" s="96" t="n"/>
      <c r="S209" s="96" t="n"/>
      <c r="T209" s="96" t="n"/>
      <c r="U209" s="96" t="n"/>
      <c r="V209" s="161" t="n"/>
      <c r="W209" s="96" t="n"/>
      <c r="X209" s="161" t="n"/>
      <c r="Y209" s="97" t="n"/>
      <c r="Z209" s="97" t="n"/>
      <c r="AA209" s="97" t="n"/>
      <c r="AB209" s="97" t="n"/>
      <c r="AC209" s="97" t="n"/>
      <c r="AD209" s="161" t="n"/>
      <c r="AE209" s="174" t="n"/>
      <c r="AF209" s="96" t="n"/>
      <c r="AG209" s="97" t="n"/>
      <c r="AH209" s="97" t="n"/>
      <c r="AI209" s="97" t="n"/>
      <c r="AJ209" s="96" t="n"/>
      <c r="AK209" s="130" t="n"/>
    </row>
    <row r="210" ht="12" customHeight="1">
      <c r="A210" s="108" t="inlineStr">
        <is>
          <t>HALU2021169</t>
        </is>
      </c>
      <c r="B210" s="108" t="n"/>
      <c r="C210" s="108" t="n"/>
      <c r="D210" s="172" t="n"/>
      <c r="E210" s="173" t="n"/>
      <c r="F210" s="96" t="n"/>
      <c r="G210" s="96" t="n"/>
      <c r="H210" s="111" t="n"/>
      <c r="I210" s="96" t="n"/>
      <c r="J210" s="96" t="n"/>
      <c r="K210" s="96" t="n"/>
      <c r="L210" s="111" t="n"/>
      <c r="M210" s="96" t="n"/>
      <c r="N210" s="96" t="n"/>
      <c r="O210" s="111" t="n"/>
      <c r="P210" s="111" t="n"/>
      <c r="Q210" s="111" t="n"/>
      <c r="R210" s="96" t="n"/>
      <c r="S210" s="96" t="n"/>
      <c r="T210" s="96" t="n"/>
      <c r="U210" s="96" t="n"/>
      <c r="V210" s="161" t="n"/>
      <c r="W210" s="96" t="n"/>
      <c r="X210" s="161" t="n"/>
      <c r="Y210" s="97" t="n"/>
      <c r="Z210" s="97" t="n"/>
      <c r="AA210" s="97" t="n"/>
      <c r="AB210" s="97" t="n"/>
      <c r="AC210" s="97" t="n"/>
      <c r="AD210" s="161" t="n"/>
      <c r="AE210" s="174" t="n"/>
      <c r="AF210" s="96" t="n"/>
      <c r="AG210" s="97" t="n"/>
      <c r="AH210" s="97" t="n"/>
      <c r="AI210" s="97" t="n"/>
      <c r="AJ210" s="96" t="n"/>
      <c r="AK210" s="130" t="n"/>
    </row>
    <row r="211" ht="12" customHeight="1">
      <c r="A211" s="108" t="inlineStr">
        <is>
          <t>HALU2031784</t>
        </is>
      </c>
      <c r="B211" s="108" t="n"/>
      <c r="C211" s="108" t="n"/>
      <c r="D211" s="172" t="n"/>
      <c r="E211" s="173" t="n"/>
      <c r="F211" s="96" t="n"/>
      <c r="G211" s="96" t="n"/>
      <c r="H211" s="111" t="n"/>
      <c r="I211" s="96" t="n"/>
      <c r="J211" s="96" t="n"/>
      <c r="K211" s="96" t="n"/>
      <c r="L211" s="111" t="n"/>
      <c r="M211" s="96" t="n"/>
      <c r="N211" s="96" t="n"/>
      <c r="O211" s="111" t="n"/>
      <c r="P211" s="111" t="n"/>
      <c r="Q211" s="111" t="n"/>
      <c r="R211" s="96" t="n"/>
      <c r="S211" s="96" t="n"/>
      <c r="T211" s="96" t="n"/>
      <c r="U211" s="96" t="n"/>
      <c r="V211" s="161" t="n"/>
      <c r="W211" s="96" t="n"/>
      <c r="X211" s="161" t="n"/>
      <c r="Y211" s="97" t="n"/>
      <c r="Z211" s="97" t="n"/>
      <c r="AA211" s="97" t="n"/>
      <c r="AB211" s="97" t="n"/>
      <c r="AC211" s="97" t="n"/>
      <c r="AD211" s="161" t="n"/>
      <c r="AE211" s="174" t="n"/>
      <c r="AF211" s="96" t="n"/>
      <c r="AG211" s="97" t="n"/>
      <c r="AH211" s="97" t="n"/>
      <c r="AI211" s="97" t="n"/>
      <c r="AJ211" s="96" t="n"/>
      <c r="AK211" s="130" t="n"/>
    </row>
    <row r="212" ht="12" customHeight="1">
      <c r="A212" s="108" t="inlineStr">
        <is>
          <t>HALU2303748</t>
        </is>
      </c>
      <c r="B212" s="108" t="n"/>
      <c r="C212" s="108" t="n"/>
      <c r="D212" s="172" t="n"/>
      <c r="E212" s="173" t="n"/>
      <c r="F212" s="96" t="n"/>
      <c r="G212" s="96" t="n"/>
      <c r="H212" s="111" t="n"/>
      <c r="I212" s="96" t="n"/>
      <c r="J212" s="96" t="n"/>
      <c r="K212" s="96" t="n"/>
      <c r="L212" s="111" t="n"/>
      <c r="M212" s="96" t="n"/>
      <c r="N212" s="96" t="n"/>
      <c r="O212" s="111" t="n"/>
      <c r="P212" s="111" t="n"/>
      <c r="Q212" s="111" t="n"/>
      <c r="R212" s="96" t="n"/>
      <c r="S212" s="96" t="n"/>
      <c r="T212" s="96" t="n"/>
      <c r="U212" s="96" t="n"/>
      <c r="V212" s="161" t="n"/>
      <c r="W212" s="96" t="n"/>
      <c r="X212" s="161" t="n"/>
      <c r="Y212" s="97" t="n"/>
      <c r="Z212" s="97" t="n"/>
      <c r="AA212" s="97" t="n"/>
      <c r="AB212" s="97" t="n"/>
      <c r="AC212" s="97" t="n"/>
      <c r="AD212" s="161" t="n"/>
      <c r="AE212" s="174" t="n"/>
      <c r="AF212" s="96" t="n"/>
      <c r="AG212" s="97" t="n"/>
      <c r="AH212" s="97" t="n"/>
      <c r="AI212" s="97" t="n"/>
      <c r="AJ212" s="96" t="n"/>
      <c r="AK212" s="130" t="n"/>
    </row>
    <row r="213" ht="12" customHeight="1">
      <c r="A213" s="108" t="inlineStr">
        <is>
          <t>HALU2311379</t>
        </is>
      </c>
      <c r="B213" s="108" t="n"/>
      <c r="C213" s="108" t="n"/>
      <c r="D213" s="172" t="n"/>
      <c r="E213" s="173" t="n"/>
      <c r="F213" s="96" t="n"/>
      <c r="G213" s="96" t="n"/>
      <c r="H213" s="111" t="n"/>
      <c r="I213" s="96" t="n"/>
      <c r="J213" s="96" t="n"/>
      <c r="K213" s="96" t="n"/>
      <c r="L213" s="111" t="n"/>
      <c r="M213" s="96" t="n"/>
      <c r="N213" s="96" t="n"/>
      <c r="O213" s="111" t="n"/>
      <c r="P213" s="111" t="n"/>
      <c r="Q213" s="111" t="n"/>
      <c r="R213" s="96" t="n"/>
      <c r="S213" s="96" t="n"/>
      <c r="T213" s="96" t="n"/>
      <c r="U213" s="96" t="n"/>
      <c r="V213" s="161" t="n"/>
      <c r="W213" s="96" t="n"/>
      <c r="X213" s="161" t="n"/>
      <c r="Y213" s="97" t="n"/>
      <c r="Z213" s="97" t="n"/>
      <c r="AA213" s="97" t="n"/>
      <c r="AB213" s="97" t="n"/>
      <c r="AC213" s="97" t="n"/>
      <c r="AD213" s="161" t="n"/>
      <c r="AE213" s="174" t="n"/>
      <c r="AF213" s="96" t="n"/>
      <c r="AG213" s="97" t="n"/>
      <c r="AH213" s="97" t="n"/>
      <c r="AI213" s="97" t="n"/>
      <c r="AJ213" s="96" t="n"/>
      <c r="AK213" s="130" t="n"/>
    </row>
    <row r="214" ht="12" customHeight="1">
      <c r="A214" s="108" t="inlineStr">
        <is>
          <t>HALU2312478</t>
        </is>
      </c>
      <c r="B214" s="108" t="n"/>
      <c r="C214" s="108" t="n"/>
      <c r="D214" s="172" t="n"/>
      <c r="E214" s="173" t="n"/>
      <c r="F214" s="96" t="n"/>
      <c r="G214" s="96" t="n"/>
      <c r="H214" s="111" t="n"/>
      <c r="I214" s="96" t="n"/>
      <c r="J214" s="96" t="n"/>
      <c r="K214" s="96" t="n"/>
      <c r="L214" s="111" t="n"/>
      <c r="M214" s="96" t="n"/>
      <c r="N214" s="96" t="n"/>
      <c r="O214" s="111" t="n"/>
      <c r="P214" s="111" t="n"/>
      <c r="Q214" s="111" t="n"/>
      <c r="R214" s="96" t="n"/>
      <c r="S214" s="96" t="n"/>
      <c r="T214" s="96" t="n"/>
      <c r="U214" s="96" t="n"/>
      <c r="V214" s="161" t="n"/>
      <c r="W214" s="96" t="n"/>
      <c r="X214" s="161" t="n"/>
      <c r="Y214" s="97" t="n"/>
      <c r="Z214" s="97" t="n"/>
      <c r="AA214" s="97" t="n"/>
      <c r="AB214" s="97" t="n"/>
      <c r="AC214" s="97" t="n"/>
      <c r="AD214" s="161" t="n"/>
      <c r="AE214" s="174" t="n"/>
      <c r="AF214" s="96" t="n"/>
      <c r="AG214" s="97" t="n"/>
      <c r="AH214" s="97" t="n"/>
      <c r="AI214" s="97" t="n"/>
      <c r="AJ214" s="96" t="n"/>
      <c r="AK214" s="130" t="n"/>
    </row>
    <row r="215" ht="12" customHeight="1">
      <c r="A215" s="108" t="inlineStr">
        <is>
          <t>HALU2319528</t>
        </is>
      </c>
      <c r="B215" s="108" t="n"/>
      <c r="C215" s="108" t="n"/>
      <c r="D215" s="172" t="n"/>
      <c r="E215" s="173" t="n"/>
      <c r="F215" s="96" t="n"/>
      <c r="G215" s="96" t="n"/>
      <c r="H215" s="111" t="n"/>
      <c r="I215" s="96" t="n"/>
      <c r="J215" s="96" t="n"/>
      <c r="K215" s="96" t="n"/>
      <c r="L215" s="111" t="n"/>
      <c r="M215" s="96" t="n"/>
      <c r="N215" s="96" t="n"/>
      <c r="O215" s="111" t="n"/>
      <c r="P215" s="111" t="n"/>
      <c r="Q215" s="111" t="n"/>
      <c r="R215" s="96" t="n"/>
      <c r="S215" s="96" t="n"/>
      <c r="T215" s="96" t="n"/>
      <c r="U215" s="96" t="n"/>
      <c r="V215" s="161" t="n"/>
      <c r="W215" s="96" t="n"/>
      <c r="X215" s="161" t="n"/>
      <c r="Y215" s="97" t="n"/>
      <c r="Z215" s="97" t="n"/>
      <c r="AA215" s="97" t="n"/>
      <c r="AB215" s="97" t="n"/>
      <c r="AC215" s="97" t="n"/>
      <c r="AD215" s="161" t="n"/>
      <c r="AE215" s="174" t="n"/>
      <c r="AF215" s="96" t="n"/>
      <c r="AG215" s="97" t="n"/>
      <c r="AH215" s="97" t="n"/>
      <c r="AI215" s="97" t="n"/>
      <c r="AJ215" s="96" t="n"/>
      <c r="AK215" s="130" t="n"/>
    </row>
    <row r="216" ht="12" customHeight="1">
      <c r="A216" s="108" t="inlineStr">
        <is>
          <t>HALU2333491</t>
        </is>
      </c>
      <c r="B216" s="108" t="n"/>
      <c r="C216" s="108" t="n"/>
      <c r="D216" s="172" t="n"/>
      <c r="E216" s="173" t="n"/>
      <c r="F216" s="96" t="n"/>
      <c r="G216" s="96" t="n"/>
      <c r="H216" s="111" t="n"/>
      <c r="I216" s="96" t="n"/>
      <c r="J216" s="96" t="n"/>
      <c r="K216" s="96" t="n"/>
      <c r="L216" s="111" t="n"/>
      <c r="M216" s="96" t="n"/>
      <c r="N216" s="96" t="n"/>
      <c r="O216" s="111" t="n"/>
      <c r="P216" s="111" t="n"/>
      <c r="Q216" s="111" t="n"/>
      <c r="R216" s="96" t="n"/>
      <c r="S216" s="96" t="n"/>
      <c r="T216" s="96" t="n"/>
      <c r="U216" s="96" t="n"/>
      <c r="V216" s="161" t="n"/>
      <c r="W216" s="96" t="n"/>
      <c r="X216" s="161" t="n"/>
      <c r="Y216" s="97" t="n"/>
      <c r="Z216" s="97" t="n"/>
      <c r="AA216" s="97" t="n"/>
      <c r="AB216" s="97" t="n"/>
      <c r="AC216" s="97" t="n"/>
      <c r="AD216" s="161" t="n"/>
      <c r="AE216" s="174" t="n"/>
      <c r="AF216" s="96" t="n"/>
      <c r="AG216" s="97" t="n"/>
      <c r="AH216" s="97" t="n"/>
      <c r="AI216" s="97" t="n"/>
      <c r="AJ216" s="96" t="n"/>
      <c r="AK216" s="130" t="n"/>
    </row>
    <row r="217" ht="12" customHeight="1">
      <c r="A217" s="108" t="inlineStr">
        <is>
          <t>HALU2348402</t>
        </is>
      </c>
      <c r="B217" s="108" t="n"/>
      <c r="C217" s="108" t="n"/>
      <c r="D217" s="172" t="n"/>
      <c r="E217" s="173" t="n"/>
      <c r="F217" s="96" t="n"/>
      <c r="G217" s="96" t="n"/>
      <c r="H217" s="111" t="n"/>
      <c r="I217" s="96" t="n"/>
      <c r="J217" s="96" t="n"/>
      <c r="K217" s="96" t="n"/>
      <c r="L217" s="111" t="n"/>
      <c r="M217" s="96" t="n"/>
      <c r="N217" s="96" t="n"/>
      <c r="O217" s="111" t="n"/>
      <c r="P217" s="111" t="n"/>
      <c r="Q217" s="111" t="n"/>
      <c r="R217" s="96" t="n"/>
      <c r="S217" s="96" t="n"/>
      <c r="T217" s="96" t="n"/>
      <c r="U217" s="96" t="n"/>
      <c r="V217" s="161" t="n"/>
      <c r="W217" s="96" t="n"/>
      <c r="X217" s="161" t="n"/>
      <c r="Y217" s="97" t="n"/>
      <c r="Z217" s="97" t="n"/>
      <c r="AA217" s="97" t="n"/>
      <c r="AB217" s="97" t="n"/>
      <c r="AC217" s="97" t="n"/>
      <c r="AD217" s="161" t="n"/>
      <c r="AE217" s="174" t="n"/>
      <c r="AF217" s="96" t="n"/>
      <c r="AG217" s="97" t="n"/>
      <c r="AH217" s="97" t="n"/>
      <c r="AI217" s="97" t="n"/>
      <c r="AJ217" s="96" t="n"/>
      <c r="AK217" s="130" t="n"/>
    </row>
    <row r="218" ht="12" customHeight="1">
      <c r="A218" s="108" t="inlineStr">
        <is>
          <t>HALU2363006</t>
        </is>
      </c>
      <c r="B218" s="108" t="n"/>
      <c r="C218" s="108" t="n"/>
      <c r="D218" s="172" t="n"/>
      <c r="E218" s="173" t="n"/>
      <c r="F218" s="96" t="n"/>
      <c r="G218" s="96" t="n"/>
      <c r="H218" s="111" t="n"/>
      <c r="I218" s="96" t="n"/>
      <c r="J218" s="96" t="n"/>
      <c r="K218" s="96" t="n"/>
      <c r="L218" s="111" t="n"/>
      <c r="M218" s="96" t="n"/>
      <c r="N218" s="96" t="n"/>
      <c r="O218" s="111" t="n"/>
      <c r="P218" s="111" t="n"/>
      <c r="Q218" s="111" t="n"/>
      <c r="R218" s="96" t="n"/>
      <c r="S218" s="96" t="n"/>
      <c r="T218" s="96" t="n"/>
      <c r="U218" s="96" t="n"/>
      <c r="V218" s="161" t="n"/>
      <c r="W218" s="96" t="n"/>
      <c r="X218" s="161" t="n"/>
      <c r="Y218" s="97" t="n"/>
      <c r="Z218" s="97" t="n"/>
      <c r="AA218" s="97" t="n"/>
      <c r="AB218" s="97" t="n"/>
      <c r="AC218" s="97" t="n"/>
      <c r="AD218" s="161" t="n"/>
      <c r="AE218" s="174" t="n"/>
      <c r="AF218" s="96" t="n"/>
      <c r="AG218" s="97" t="n"/>
      <c r="AH218" s="97" t="n"/>
      <c r="AI218" s="97" t="n"/>
      <c r="AJ218" s="96" t="n"/>
      <c r="AK218" s="130" t="n"/>
    </row>
    <row r="219" ht="12" customHeight="1">
      <c r="A219" s="108" t="inlineStr">
        <is>
          <t>HALU2405570</t>
        </is>
      </c>
      <c r="B219" s="108" t="n"/>
      <c r="C219" s="108" t="n"/>
      <c r="D219" s="172" t="n"/>
      <c r="E219" s="173" t="n"/>
      <c r="F219" s="96" t="n"/>
      <c r="G219" s="96" t="n"/>
      <c r="H219" s="111" t="n"/>
      <c r="I219" s="96" t="n"/>
      <c r="J219" s="96" t="n"/>
      <c r="K219" s="96" t="n"/>
      <c r="L219" s="111" t="n"/>
      <c r="M219" s="96" t="n"/>
      <c r="N219" s="96" t="n"/>
      <c r="O219" s="111" t="n"/>
      <c r="P219" s="111" t="n"/>
      <c r="Q219" s="111" t="n"/>
      <c r="R219" s="96" t="n"/>
      <c r="S219" s="96" t="n"/>
      <c r="T219" s="96" t="n"/>
      <c r="U219" s="96" t="n"/>
      <c r="V219" s="161" t="n"/>
      <c r="W219" s="96" t="n"/>
      <c r="X219" s="161" t="n"/>
      <c r="Y219" s="97" t="n"/>
      <c r="Z219" s="97" t="n"/>
      <c r="AA219" s="97" t="n"/>
      <c r="AB219" s="97" t="n"/>
      <c r="AC219" s="97" t="n"/>
      <c r="AD219" s="161" t="n"/>
      <c r="AE219" s="174" t="n"/>
      <c r="AF219" s="96" t="n"/>
      <c r="AG219" s="97" t="n"/>
      <c r="AH219" s="97" t="n"/>
      <c r="AI219" s="97" t="n"/>
      <c r="AJ219" s="96" t="n"/>
      <c r="AK219" s="130" t="n"/>
    </row>
    <row r="220" ht="12" customHeight="1">
      <c r="A220" s="108" t="inlineStr">
        <is>
          <t>HALU2407193</t>
        </is>
      </c>
      <c r="B220" s="108" t="n"/>
      <c r="C220" s="108" t="n"/>
      <c r="D220" s="172" t="n"/>
      <c r="E220" s="173" t="n"/>
      <c r="F220" s="96" t="n"/>
      <c r="G220" s="96" t="n"/>
      <c r="H220" s="111" t="n"/>
      <c r="I220" s="96" t="n"/>
      <c r="J220" s="96" t="n"/>
      <c r="K220" s="96" t="n"/>
      <c r="L220" s="111" t="n"/>
      <c r="M220" s="96" t="n"/>
      <c r="N220" s="96" t="n"/>
      <c r="O220" s="111" t="n"/>
      <c r="P220" s="111" t="n"/>
      <c r="Q220" s="111" t="n"/>
      <c r="R220" s="96" t="n"/>
      <c r="S220" s="96" t="n"/>
      <c r="T220" s="96" t="n"/>
      <c r="U220" s="96" t="n"/>
      <c r="V220" s="161" t="n"/>
      <c r="W220" s="96" t="n"/>
      <c r="X220" s="161" t="n"/>
      <c r="Y220" s="97" t="n"/>
      <c r="Z220" s="97" t="n"/>
      <c r="AA220" s="97" t="n"/>
      <c r="AB220" s="97" t="n"/>
      <c r="AC220" s="97" t="n"/>
      <c r="AD220" s="161" t="n"/>
      <c r="AE220" s="174" t="n"/>
      <c r="AF220" s="96" t="n"/>
      <c r="AG220" s="97" t="n"/>
      <c r="AH220" s="97" t="n"/>
      <c r="AI220" s="97" t="n"/>
      <c r="AJ220" s="96" t="n"/>
      <c r="AK220" s="130" t="n"/>
    </row>
    <row r="221" ht="12" customHeight="1">
      <c r="A221" s="108" t="inlineStr">
        <is>
          <t>HALU2410411</t>
        </is>
      </c>
      <c r="B221" s="108" t="n"/>
      <c r="C221" s="108" t="n"/>
      <c r="D221" s="172" t="n"/>
      <c r="E221" s="173" t="n"/>
      <c r="F221" s="96" t="n"/>
      <c r="G221" s="96" t="n"/>
      <c r="H221" s="111" t="n"/>
      <c r="I221" s="96" t="n"/>
      <c r="J221" s="96" t="n"/>
      <c r="K221" s="96" t="n"/>
      <c r="L221" s="111" t="n"/>
      <c r="M221" s="96" t="n"/>
      <c r="N221" s="96" t="n"/>
      <c r="O221" s="111" t="n"/>
      <c r="P221" s="111" t="n"/>
      <c r="Q221" s="111" t="n"/>
      <c r="R221" s="96" t="n"/>
      <c r="S221" s="96" t="n"/>
      <c r="T221" s="96" t="n"/>
      <c r="U221" s="96" t="n"/>
      <c r="V221" s="161" t="n"/>
      <c r="W221" s="96" t="n"/>
      <c r="X221" s="161" t="n"/>
      <c r="Y221" s="97" t="n"/>
      <c r="Z221" s="97" t="n"/>
      <c r="AA221" s="97" t="n"/>
      <c r="AB221" s="97" t="n"/>
      <c r="AC221" s="97" t="n"/>
      <c r="AD221" s="161" t="n"/>
      <c r="AE221" s="174" t="n"/>
      <c r="AF221" s="96" t="n"/>
      <c r="AG221" s="97" t="n"/>
      <c r="AH221" s="97" t="n"/>
      <c r="AI221" s="97" t="n"/>
      <c r="AJ221" s="96" t="n"/>
      <c r="AK221" s="130" t="n"/>
    </row>
    <row r="222" ht="12" customHeight="1">
      <c r="A222" s="108" t="inlineStr">
        <is>
          <t>HALU2434748</t>
        </is>
      </c>
      <c r="B222" s="108" t="n"/>
      <c r="C222" s="108" t="n"/>
      <c r="D222" s="172" t="n"/>
      <c r="E222" s="173" t="n"/>
      <c r="F222" s="96" t="n"/>
      <c r="G222" s="96" t="n"/>
      <c r="H222" s="111" t="n"/>
      <c r="I222" s="96" t="n"/>
      <c r="J222" s="96" t="n"/>
      <c r="K222" s="96" t="n"/>
      <c r="L222" s="111" t="n"/>
      <c r="M222" s="96" t="n"/>
      <c r="N222" s="96" t="n"/>
      <c r="O222" s="111" t="n"/>
      <c r="P222" s="111" t="n"/>
      <c r="Q222" s="111" t="n"/>
      <c r="R222" s="96" t="n"/>
      <c r="S222" s="96" t="n"/>
      <c r="T222" s="96" t="n"/>
      <c r="U222" s="96" t="n"/>
      <c r="V222" s="161" t="n"/>
      <c r="W222" s="96" t="n"/>
      <c r="X222" s="161" t="n"/>
      <c r="Y222" s="97" t="n"/>
      <c r="Z222" s="97" t="n"/>
      <c r="AA222" s="97" t="n"/>
      <c r="AB222" s="97" t="n"/>
      <c r="AC222" s="97" t="n"/>
      <c r="AD222" s="161" t="n"/>
      <c r="AE222" s="174" t="n"/>
      <c r="AF222" s="96" t="n"/>
      <c r="AG222" s="97" t="n"/>
      <c r="AH222" s="97" t="n"/>
      <c r="AI222" s="97" t="n"/>
      <c r="AJ222" s="96" t="n"/>
      <c r="AK222" s="130" t="n"/>
    </row>
    <row r="223" ht="12" customHeight="1">
      <c r="A223" s="108" t="inlineStr">
        <is>
          <t>HALU2440165</t>
        </is>
      </c>
      <c r="B223" s="108" t="n"/>
      <c r="C223" s="108" t="n"/>
      <c r="D223" s="172" t="n"/>
      <c r="E223" s="173" t="n"/>
      <c r="F223" s="96" t="n"/>
      <c r="G223" s="96" t="n"/>
      <c r="H223" s="111" t="n"/>
      <c r="I223" s="96" t="n"/>
      <c r="J223" s="96" t="n"/>
      <c r="K223" s="96" t="n"/>
      <c r="L223" s="111" t="n"/>
      <c r="M223" s="96" t="n"/>
      <c r="N223" s="96" t="n"/>
      <c r="O223" s="111" t="n"/>
      <c r="P223" s="111" t="n"/>
      <c r="Q223" s="111" t="n"/>
      <c r="R223" s="96" t="n"/>
      <c r="S223" s="96" t="n"/>
      <c r="T223" s="96" t="n"/>
      <c r="U223" s="96" t="n"/>
      <c r="V223" s="161" t="n"/>
      <c r="W223" s="96" t="n"/>
      <c r="X223" s="161" t="n"/>
      <c r="Y223" s="97" t="n"/>
      <c r="Z223" s="97" t="n"/>
      <c r="AA223" s="97" t="n"/>
      <c r="AB223" s="97" t="n"/>
      <c r="AC223" s="97" t="n"/>
      <c r="AD223" s="161" t="n"/>
      <c r="AE223" s="174" t="n"/>
      <c r="AF223" s="96" t="n"/>
      <c r="AG223" s="97" t="n"/>
      <c r="AH223" s="97" t="n"/>
      <c r="AI223" s="97" t="n"/>
      <c r="AJ223" s="96" t="n"/>
      <c r="AK223" s="130" t="n"/>
    </row>
    <row r="224" ht="12" customHeight="1">
      <c r="A224" s="108" t="inlineStr">
        <is>
          <t>HALU2443014</t>
        </is>
      </c>
      <c r="B224" s="108" t="n"/>
      <c r="C224" s="108" t="n"/>
      <c r="D224" s="172" t="n"/>
      <c r="E224" s="173" t="n"/>
      <c r="F224" s="96" t="n"/>
      <c r="G224" s="96" t="n"/>
      <c r="H224" s="111" t="n"/>
      <c r="I224" s="96" t="n"/>
      <c r="J224" s="96" t="n"/>
      <c r="K224" s="96" t="n"/>
      <c r="L224" s="111" t="n"/>
      <c r="M224" s="96" t="n"/>
      <c r="N224" s="96" t="n"/>
      <c r="O224" s="111" t="n"/>
      <c r="P224" s="111" t="n"/>
      <c r="Q224" s="111" t="n"/>
      <c r="R224" s="96" t="n"/>
      <c r="S224" s="96" t="n"/>
      <c r="T224" s="96" t="n"/>
      <c r="U224" s="96" t="n"/>
      <c r="V224" s="161" t="n"/>
      <c r="W224" s="96" t="n"/>
      <c r="X224" s="161" t="n"/>
      <c r="Y224" s="97" t="n"/>
      <c r="Z224" s="97" t="n"/>
      <c r="AA224" s="97" t="n"/>
      <c r="AB224" s="97" t="n"/>
      <c r="AC224" s="97" t="n"/>
      <c r="AD224" s="161" t="n"/>
      <c r="AE224" s="174" t="n"/>
      <c r="AF224" s="96" t="n"/>
      <c r="AG224" s="97" t="n"/>
      <c r="AH224" s="97" t="n"/>
      <c r="AI224" s="97" t="n"/>
      <c r="AJ224" s="96" t="n"/>
      <c r="AK224" s="130" t="n"/>
    </row>
    <row r="225" ht="12" customHeight="1">
      <c r="A225" s="108" t="inlineStr">
        <is>
          <t>HALU2451010</t>
        </is>
      </c>
      <c r="B225" s="108" t="n"/>
      <c r="C225" s="108" t="n"/>
      <c r="D225" s="172" t="n"/>
      <c r="E225" s="173" t="n"/>
      <c r="F225" s="96" t="n"/>
      <c r="G225" s="96" t="n"/>
      <c r="H225" s="111" t="n"/>
      <c r="I225" s="96" t="n"/>
      <c r="J225" s="96" t="n"/>
      <c r="K225" s="96" t="n"/>
      <c r="L225" s="111" t="n"/>
      <c r="M225" s="96" t="n"/>
      <c r="N225" s="96" t="n"/>
      <c r="O225" s="111" t="n"/>
      <c r="P225" s="111" t="n"/>
      <c r="Q225" s="111" t="n"/>
      <c r="R225" s="96" t="n"/>
      <c r="S225" s="96" t="n"/>
      <c r="T225" s="96" t="n"/>
      <c r="U225" s="96" t="n"/>
      <c r="V225" s="161" t="n"/>
      <c r="W225" s="96" t="n"/>
      <c r="X225" s="161" t="n"/>
      <c r="Y225" s="97" t="n"/>
      <c r="Z225" s="97" t="n"/>
      <c r="AA225" s="97" t="n"/>
      <c r="AB225" s="97" t="n"/>
      <c r="AC225" s="97" t="n"/>
      <c r="AD225" s="161" t="n"/>
      <c r="AE225" s="174" t="n"/>
      <c r="AF225" s="96" t="n"/>
      <c r="AG225" s="97" t="n"/>
      <c r="AH225" s="97" t="n"/>
      <c r="AI225" s="97" t="n"/>
      <c r="AJ225" s="96" t="n"/>
      <c r="AK225" s="130" t="n"/>
    </row>
    <row r="226" ht="12" customHeight="1">
      <c r="A226" s="108" t="inlineStr">
        <is>
          <t>HALU2524899</t>
        </is>
      </c>
      <c r="B226" s="108" t="n"/>
      <c r="C226" s="108" t="n"/>
      <c r="D226" s="172" t="n"/>
      <c r="E226" s="173" t="n"/>
      <c r="F226" s="96" t="n"/>
      <c r="G226" s="96" t="n"/>
      <c r="H226" s="111" t="n"/>
      <c r="I226" s="96" t="n"/>
      <c r="J226" s="96" t="n"/>
      <c r="K226" s="96" t="n"/>
      <c r="L226" s="111" t="n"/>
      <c r="M226" s="96" t="n"/>
      <c r="N226" s="96" t="n"/>
      <c r="O226" s="111" t="n"/>
      <c r="P226" s="111" t="n"/>
      <c r="Q226" s="111" t="n"/>
      <c r="R226" s="96" t="n"/>
      <c r="S226" s="96" t="n"/>
      <c r="T226" s="96" t="n"/>
      <c r="U226" s="96" t="n"/>
      <c r="V226" s="161" t="n"/>
      <c r="W226" s="96" t="n"/>
      <c r="X226" s="161" t="n"/>
      <c r="Y226" s="97" t="n"/>
      <c r="Z226" s="97" t="n"/>
      <c r="AA226" s="97" t="n"/>
      <c r="AB226" s="97" t="n"/>
      <c r="AC226" s="97" t="n"/>
      <c r="AD226" s="161" t="n"/>
      <c r="AE226" s="174" t="n"/>
      <c r="AF226" s="96" t="n"/>
      <c r="AG226" s="97" t="n"/>
      <c r="AH226" s="97" t="n"/>
      <c r="AI226" s="97" t="n"/>
      <c r="AJ226" s="96" t="n"/>
      <c r="AK226" s="130" t="n"/>
    </row>
    <row r="227" ht="12" customHeight="1">
      <c r="A227" s="108" t="inlineStr">
        <is>
          <t>HALU2557296</t>
        </is>
      </c>
      <c r="B227" s="108" t="n"/>
      <c r="C227" s="108" t="n"/>
      <c r="D227" s="172" t="n"/>
      <c r="E227" s="173" t="n"/>
      <c r="F227" s="96" t="n"/>
      <c r="G227" s="96" t="n"/>
      <c r="H227" s="111" t="n"/>
      <c r="I227" s="96" t="n"/>
      <c r="J227" s="96" t="n"/>
      <c r="K227" s="96" t="n"/>
      <c r="L227" s="111" t="n"/>
      <c r="M227" s="96" t="n"/>
      <c r="N227" s="96" t="n"/>
      <c r="O227" s="111" t="n"/>
      <c r="P227" s="111" t="n"/>
      <c r="Q227" s="111" t="n"/>
      <c r="R227" s="96" t="n"/>
      <c r="S227" s="96" t="n"/>
      <c r="T227" s="96" t="n"/>
      <c r="U227" s="96" t="n"/>
      <c r="V227" s="161" t="n"/>
      <c r="W227" s="96" t="n"/>
      <c r="X227" s="161" t="n"/>
      <c r="Y227" s="97" t="n"/>
      <c r="Z227" s="97" t="n"/>
      <c r="AA227" s="97" t="n"/>
      <c r="AB227" s="97" t="n"/>
      <c r="AC227" s="97" t="n"/>
      <c r="AD227" s="161" t="n"/>
      <c r="AE227" s="174" t="n"/>
      <c r="AF227" s="96" t="n"/>
      <c r="AG227" s="97" t="n"/>
      <c r="AH227" s="97" t="n"/>
      <c r="AI227" s="97" t="n"/>
      <c r="AJ227" s="96" t="n"/>
      <c r="AK227" s="130" t="n"/>
    </row>
    <row r="228" ht="12" customHeight="1">
      <c r="A228" s="108" t="inlineStr">
        <is>
          <t>HALU2557423</t>
        </is>
      </c>
      <c r="B228" s="108" t="n"/>
      <c r="C228" s="108" t="n"/>
      <c r="D228" s="172" t="n"/>
      <c r="E228" s="173" t="n"/>
      <c r="F228" s="96" t="n"/>
      <c r="G228" s="96" t="n"/>
      <c r="H228" s="111" t="n"/>
      <c r="I228" s="96" t="n"/>
      <c r="J228" s="96" t="n"/>
      <c r="K228" s="96" t="n"/>
      <c r="L228" s="111" t="n"/>
      <c r="M228" s="96" t="n"/>
      <c r="N228" s="96" t="n"/>
      <c r="O228" s="111" t="n"/>
      <c r="P228" s="111" t="n"/>
      <c r="Q228" s="111" t="n"/>
      <c r="R228" s="96" t="n"/>
      <c r="S228" s="96" t="n"/>
      <c r="T228" s="96" t="n"/>
      <c r="U228" s="96" t="n"/>
      <c r="V228" s="161" t="n"/>
      <c r="W228" s="96" t="n"/>
      <c r="X228" s="161" t="n"/>
      <c r="Y228" s="97" t="n"/>
      <c r="Z228" s="97" t="n"/>
      <c r="AA228" s="97" t="n"/>
      <c r="AB228" s="97" t="n"/>
      <c r="AC228" s="97" t="n"/>
      <c r="AD228" s="161" t="n"/>
      <c r="AE228" s="174" t="n"/>
      <c r="AF228" s="96" t="n"/>
      <c r="AG228" s="97" t="n"/>
      <c r="AH228" s="97" t="n"/>
      <c r="AI228" s="97" t="n"/>
      <c r="AJ228" s="96" t="n"/>
      <c r="AK228" s="130" t="n"/>
    </row>
    <row r="229" ht="12" customHeight="1">
      <c r="A229" s="108" t="inlineStr">
        <is>
          <t>HALU2559658</t>
        </is>
      </c>
      <c r="B229" s="108" t="n"/>
      <c r="C229" s="108" t="n"/>
      <c r="D229" s="172" t="n"/>
      <c r="E229" s="173" t="n"/>
      <c r="F229" s="96" t="n"/>
      <c r="G229" s="96" t="n"/>
      <c r="H229" s="111" t="n"/>
      <c r="I229" s="96" t="n"/>
      <c r="J229" s="96" t="n"/>
      <c r="K229" s="96" t="n"/>
      <c r="L229" s="111" t="n"/>
      <c r="M229" s="96" t="n"/>
      <c r="N229" s="96" t="n"/>
      <c r="O229" s="111" t="n"/>
      <c r="P229" s="111" t="n"/>
      <c r="Q229" s="111" t="n"/>
      <c r="R229" s="96" t="n"/>
      <c r="S229" s="96" t="n"/>
      <c r="T229" s="96" t="n"/>
      <c r="U229" s="96" t="n"/>
      <c r="V229" s="161" t="n"/>
      <c r="W229" s="96" t="n"/>
      <c r="X229" s="161" t="n"/>
      <c r="Y229" s="97" t="n"/>
      <c r="Z229" s="97" t="n"/>
      <c r="AA229" s="97" t="n"/>
      <c r="AB229" s="97" t="n"/>
      <c r="AC229" s="97" t="n"/>
      <c r="AD229" s="161" t="n"/>
      <c r="AE229" s="174" t="n"/>
      <c r="AF229" s="96" t="n"/>
      <c r="AG229" s="97" t="n"/>
      <c r="AH229" s="97" t="n"/>
      <c r="AI229" s="97" t="n"/>
      <c r="AJ229" s="96" t="n"/>
      <c r="AK229" s="130" t="n"/>
    </row>
    <row r="230" ht="12" customHeight="1">
      <c r="A230" s="108" t="inlineStr">
        <is>
          <t>HALU2561790</t>
        </is>
      </c>
      <c r="B230" s="108" t="n"/>
      <c r="C230" s="108" t="n"/>
      <c r="D230" s="172" t="n"/>
      <c r="E230" s="173" t="n"/>
      <c r="F230" s="96" t="n"/>
      <c r="G230" s="96" t="n"/>
      <c r="H230" s="111" t="n"/>
      <c r="I230" s="96" t="n"/>
      <c r="J230" s="96" t="n"/>
      <c r="K230" s="96" t="n"/>
      <c r="L230" s="111" t="n"/>
      <c r="M230" s="96" t="n"/>
      <c r="N230" s="96" t="n"/>
      <c r="O230" s="111" t="n"/>
      <c r="P230" s="111" t="n"/>
      <c r="Q230" s="111" t="n"/>
      <c r="R230" s="96" t="n"/>
      <c r="S230" s="96" t="n"/>
      <c r="T230" s="96" t="n"/>
      <c r="U230" s="96" t="n"/>
      <c r="V230" s="161" t="n"/>
      <c r="W230" s="96" t="n"/>
      <c r="X230" s="161" t="n"/>
      <c r="Y230" s="97" t="n"/>
      <c r="Z230" s="97" t="n"/>
      <c r="AA230" s="97" t="n"/>
      <c r="AB230" s="97" t="n"/>
      <c r="AC230" s="97" t="n"/>
      <c r="AD230" s="161" t="n"/>
      <c r="AE230" s="174" t="n"/>
      <c r="AF230" s="96" t="n"/>
      <c r="AG230" s="97" t="n"/>
      <c r="AH230" s="97" t="n"/>
      <c r="AI230" s="97" t="n"/>
      <c r="AJ230" s="96" t="n"/>
      <c r="AK230" s="130" t="n"/>
    </row>
    <row r="231" ht="12" customHeight="1">
      <c r="A231" s="108" t="inlineStr">
        <is>
          <t>HALU2570467</t>
        </is>
      </c>
      <c r="B231" s="108" t="n"/>
      <c r="C231" s="108" t="n"/>
      <c r="D231" s="172" t="n"/>
      <c r="E231" s="173" t="n"/>
      <c r="F231" s="96" t="n"/>
      <c r="G231" s="96" t="n"/>
      <c r="H231" s="111" t="n"/>
      <c r="I231" s="96" t="n"/>
      <c r="J231" s="96" t="n"/>
      <c r="K231" s="96" t="n"/>
      <c r="L231" s="111" t="n"/>
      <c r="M231" s="96" t="n"/>
      <c r="N231" s="96" t="n"/>
      <c r="O231" s="111" t="n"/>
      <c r="P231" s="111" t="n"/>
      <c r="Q231" s="111" t="n"/>
      <c r="R231" s="96" t="n"/>
      <c r="S231" s="96" t="n"/>
      <c r="T231" s="96" t="n"/>
      <c r="U231" s="96" t="n"/>
      <c r="V231" s="161" t="n"/>
      <c r="W231" s="96" t="n"/>
      <c r="X231" s="161" t="n"/>
      <c r="Y231" s="97" t="n"/>
      <c r="Z231" s="97" t="n"/>
      <c r="AA231" s="97" t="n"/>
      <c r="AB231" s="97" t="n"/>
      <c r="AC231" s="97" t="n"/>
      <c r="AD231" s="161" t="n"/>
      <c r="AE231" s="174" t="n"/>
      <c r="AF231" s="96" t="n"/>
      <c r="AG231" s="97" t="n"/>
      <c r="AH231" s="97" t="n"/>
      <c r="AI231" s="97" t="n"/>
      <c r="AJ231" s="96" t="n"/>
      <c r="AK231" s="130" t="n"/>
    </row>
    <row r="232" ht="12" customHeight="1">
      <c r="A232" s="108" t="inlineStr">
        <is>
          <t>HALU2581060</t>
        </is>
      </c>
      <c r="B232" s="108" t="n"/>
      <c r="C232" s="108" t="n"/>
      <c r="D232" s="172" t="n"/>
      <c r="E232" s="173" t="n"/>
      <c r="F232" s="96" t="n"/>
      <c r="G232" s="96" t="n"/>
      <c r="H232" s="111" t="n"/>
      <c r="I232" s="96" t="n"/>
      <c r="J232" s="96" t="n"/>
      <c r="K232" s="96" t="n"/>
      <c r="L232" s="111" t="n"/>
      <c r="M232" s="96" t="n"/>
      <c r="N232" s="96" t="n"/>
      <c r="O232" s="111" t="n"/>
      <c r="P232" s="111" t="n"/>
      <c r="Q232" s="111" t="n"/>
      <c r="R232" s="96" t="n"/>
      <c r="S232" s="96" t="n"/>
      <c r="T232" s="96" t="n"/>
      <c r="U232" s="96" t="n"/>
      <c r="V232" s="161" t="n"/>
      <c r="W232" s="96" t="n"/>
      <c r="X232" s="161" t="n"/>
      <c r="Y232" s="97" t="n"/>
      <c r="Z232" s="97" t="n"/>
      <c r="AA232" s="97" t="n"/>
      <c r="AB232" s="97" t="n"/>
      <c r="AC232" s="97" t="n"/>
      <c r="AD232" s="161" t="n"/>
      <c r="AE232" s="174" t="n"/>
      <c r="AF232" s="96" t="n"/>
      <c r="AG232" s="97" t="n"/>
      <c r="AH232" s="97" t="n"/>
      <c r="AI232" s="97" t="n"/>
      <c r="AJ232" s="96" t="n"/>
      <c r="AK232" s="130" t="n"/>
    </row>
    <row r="233" ht="12" customHeight="1">
      <c r="A233" s="108" t="inlineStr">
        <is>
          <t>HALU8506640</t>
        </is>
      </c>
      <c r="B233" s="108" t="n"/>
      <c r="C233" s="108" t="n"/>
      <c r="D233" s="172" t="n"/>
      <c r="E233" s="173" t="n"/>
      <c r="F233" s="96" t="n"/>
      <c r="G233" s="96" t="n"/>
      <c r="H233" s="111" t="n"/>
      <c r="I233" s="96" t="n"/>
      <c r="J233" s="96" t="n"/>
      <c r="K233" s="96" t="n"/>
      <c r="L233" s="111" t="n"/>
      <c r="M233" s="96" t="n"/>
      <c r="N233" s="96" t="n"/>
      <c r="O233" s="111" t="n"/>
      <c r="P233" s="111" t="n"/>
      <c r="Q233" s="111" t="n"/>
      <c r="R233" s="96" t="n"/>
      <c r="S233" s="96" t="n"/>
      <c r="T233" s="96" t="n"/>
      <c r="U233" s="96" t="n"/>
      <c r="V233" s="161" t="n"/>
      <c r="W233" s="96" t="n"/>
      <c r="X233" s="161" t="n"/>
      <c r="Y233" s="97" t="n"/>
      <c r="Z233" s="97" t="n"/>
      <c r="AA233" s="97" t="n"/>
      <c r="AB233" s="97" t="n"/>
      <c r="AC233" s="97" t="n"/>
      <c r="AD233" s="161" t="n"/>
      <c r="AE233" s="174" t="n"/>
      <c r="AF233" s="96" t="n"/>
      <c r="AG233" s="97" t="n"/>
      <c r="AH233" s="97" t="n"/>
      <c r="AI233" s="97" t="n"/>
      <c r="AJ233" s="96" t="n"/>
      <c r="AK233" s="130" t="n"/>
    </row>
    <row r="234" ht="12" customHeight="1">
      <c r="A234" s="108" t="inlineStr">
        <is>
          <t>HLHU6409055</t>
        </is>
      </c>
      <c r="B234" s="108" t="n"/>
      <c r="C234" s="108" t="n"/>
      <c r="D234" s="172" t="n"/>
      <c r="E234" s="173" t="n"/>
      <c r="F234" s="96" t="n"/>
      <c r="G234" s="96" t="n"/>
      <c r="H234" s="111" t="n"/>
      <c r="I234" s="96" t="n"/>
      <c r="J234" s="96" t="n"/>
      <c r="K234" s="96" t="n"/>
      <c r="L234" s="111" t="n"/>
      <c r="M234" s="96" t="n"/>
      <c r="N234" s="96" t="n"/>
      <c r="O234" s="111" t="n"/>
      <c r="P234" s="111" t="n"/>
      <c r="Q234" s="111" t="n"/>
      <c r="R234" s="96" t="n"/>
      <c r="S234" s="96" t="n"/>
      <c r="T234" s="96" t="n"/>
      <c r="U234" s="96" t="n"/>
      <c r="V234" s="161" t="n"/>
      <c r="W234" s="96" t="n"/>
      <c r="X234" s="161" t="n"/>
      <c r="Y234" s="97" t="n"/>
      <c r="Z234" s="97" t="n"/>
      <c r="AA234" s="97" t="n"/>
      <c r="AB234" s="97" t="n"/>
      <c r="AC234" s="97" t="n"/>
      <c r="AD234" s="161" t="n"/>
      <c r="AE234" s="174" t="n"/>
      <c r="AF234" s="96" t="n"/>
      <c r="AG234" s="97" t="n"/>
      <c r="AH234" s="97" t="n"/>
      <c r="AI234" s="97" t="n"/>
      <c r="AJ234" s="96" t="n"/>
      <c r="AK234" s="130" t="n"/>
    </row>
    <row r="235" ht="12" customHeight="1">
      <c r="A235" s="108" t="inlineStr">
        <is>
          <t>HLHU6411582</t>
        </is>
      </c>
      <c r="B235" s="108" t="n"/>
      <c r="C235" s="108" t="n"/>
      <c r="D235" s="172" t="n"/>
      <c r="E235" s="173" t="n"/>
      <c r="F235" s="96" t="n"/>
      <c r="G235" s="96" t="n"/>
      <c r="H235" s="111" t="n"/>
      <c r="I235" s="96" t="n"/>
      <c r="J235" s="96" t="n"/>
      <c r="K235" s="96" t="n"/>
      <c r="L235" s="111" t="n"/>
      <c r="M235" s="96" t="n"/>
      <c r="N235" s="96" t="n"/>
      <c r="O235" s="111" t="n"/>
      <c r="P235" s="111" t="n"/>
      <c r="Q235" s="111" t="n"/>
      <c r="R235" s="96" t="n"/>
      <c r="S235" s="96" t="n"/>
      <c r="T235" s="96" t="n"/>
      <c r="U235" s="96" t="n"/>
      <c r="V235" s="161" t="n"/>
      <c r="W235" s="96" t="n"/>
      <c r="X235" s="161" t="n"/>
      <c r="Y235" s="97" t="n"/>
      <c r="Z235" s="97" t="n"/>
      <c r="AA235" s="97" t="n"/>
      <c r="AB235" s="97" t="n"/>
      <c r="AC235" s="97" t="n"/>
      <c r="AD235" s="161" t="n"/>
      <c r="AE235" s="174" t="n"/>
      <c r="AF235" s="96" t="n"/>
      <c r="AG235" s="97" t="n"/>
      <c r="AH235" s="97" t="n"/>
      <c r="AI235" s="97" t="n"/>
      <c r="AJ235" s="96" t="n"/>
      <c r="AK235" s="130" t="n"/>
    </row>
    <row r="236" ht="12" customHeight="1">
      <c r="A236" s="108" t="inlineStr">
        <is>
          <t>HLHU8103742</t>
        </is>
      </c>
      <c r="B236" s="108" t="n"/>
      <c r="C236" s="108" t="n"/>
      <c r="D236" s="172" t="n"/>
      <c r="E236" s="173" t="n"/>
      <c r="F236" s="96" t="n"/>
      <c r="G236" s="96" t="n"/>
      <c r="H236" s="111" t="n"/>
      <c r="I236" s="96" t="n"/>
      <c r="J236" s="96" t="n"/>
      <c r="K236" s="96" t="n"/>
      <c r="L236" s="111" t="n"/>
      <c r="M236" s="96" t="n"/>
      <c r="N236" s="96" t="n"/>
      <c r="O236" s="111" t="n"/>
      <c r="P236" s="111" t="n"/>
      <c r="Q236" s="111" t="n"/>
      <c r="R236" s="96" t="n"/>
      <c r="S236" s="96" t="n"/>
      <c r="T236" s="96" t="n"/>
      <c r="U236" s="96" t="n"/>
      <c r="V236" s="161" t="n"/>
      <c r="W236" s="96" t="n"/>
      <c r="X236" s="161" t="n"/>
      <c r="Y236" s="97" t="n"/>
      <c r="Z236" s="97" t="n"/>
      <c r="AA236" s="97" t="n"/>
      <c r="AB236" s="97" t="n"/>
      <c r="AC236" s="97" t="n"/>
      <c r="AD236" s="161" t="n"/>
      <c r="AE236" s="174" t="n"/>
      <c r="AF236" s="96" t="n"/>
      <c r="AG236" s="97" t="n"/>
      <c r="AH236" s="97" t="n"/>
      <c r="AI236" s="97" t="n"/>
      <c r="AJ236" s="96" t="n"/>
      <c r="AK236" s="130" t="n"/>
    </row>
    <row r="237" ht="12" customHeight="1">
      <c r="A237" s="108" t="inlineStr">
        <is>
          <t>HLHU8200676</t>
        </is>
      </c>
      <c r="B237" s="108" t="n"/>
      <c r="C237" s="108" t="n"/>
      <c r="D237" s="172" t="n"/>
      <c r="E237" s="173" t="n"/>
      <c r="F237" s="96" t="n"/>
      <c r="G237" s="96" t="n"/>
      <c r="H237" s="111" t="n"/>
      <c r="I237" s="96" t="n"/>
      <c r="J237" s="96" t="n"/>
      <c r="K237" s="96" t="n"/>
      <c r="L237" s="111" t="n"/>
      <c r="M237" s="96" t="n"/>
      <c r="N237" s="96" t="n"/>
      <c r="O237" s="111" t="n"/>
      <c r="P237" s="111" t="n"/>
      <c r="Q237" s="111" t="n"/>
      <c r="R237" s="96" t="n"/>
      <c r="S237" s="96" t="n"/>
      <c r="T237" s="96" t="n"/>
      <c r="U237" s="96" t="n"/>
      <c r="V237" s="161" t="n"/>
      <c r="W237" s="96" t="n"/>
      <c r="X237" s="161" t="n"/>
      <c r="Y237" s="97" t="n"/>
      <c r="Z237" s="97" t="n"/>
      <c r="AA237" s="97" t="n"/>
      <c r="AB237" s="97" t="n"/>
      <c r="AC237" s="97" t="n"/>
      <c r="AD237" s="161" t="n"/>
      <c r="AE237" s="174" t="n"/>
      <c r="AF237" s="96" t="n"/>
      <c r="AG237" s="97" t="n"/>
      <c r="AH237" s="97" t="n"/>
      <c r="AI237" s="97" t="n"/>
      <c r="AJ237" s="96" t="n"/>
      <c r="AK237" s="130" t="n"/>
    </row>
    <row r="238" ht="12" customHeight="1">
      <c r="A238" s="108" t="inlineStr">
        <is>
          <t>HLHU8309306</t>
        </is>
      </c>
      <c r="B238" s="108" t="n"/>
      <c r="C238" s="108" t="n"/>
      <c r="D238" s="172" t="n"/>
      <c r="E238" s="173" t="n"/>
      <c r="F238" s="96" t="n"/>
      <c r="G238" s="96" t="n"/>
      <c r="H238" s="111" t="n"/>
      <c r="I238" s="96" t="n"/>
      <c r="J238" s="96" t="n"/>
      <c r="K238" s="96" t="n"/>
      <c r="L238" s="111" t="n"/>
      <c r="M238" s="96" t="n"/>
      <c r="N238" s="96" t="n"/>
      <c r="O238" s="111" t="n"/>
      <c r="P238" s="111" t="n"/>
      <c r="Q238" s="111" t="n"/>
      <c r="R238" s="96" t="n"/>
      <c r="S238" s="96" t="n"/>
      <c r="T238" s="96" t="n"/>
      <c r="U238" s="96" t="n"/>
      <c r="V238" s="161" t="n"/>
      <c r="W238" s="96" t="n"/>
      <c r="X238" s="161" t="n"/>
      <c r="Y238" s="97" t="n"/>
      <c r="Z238" s="97" t="n"/>
      <c r="AA238" s="97" t="n"/>
      <c r="AB238" s="97" t="n"/>
      <c r="AC238" s="97" t="n"/>
      <c r="AD238" s="161" t="n"/>
      <c r="AE238" s="174" t="n"/>
      <c r="AF238" s="96" t="n"/>
      <c r="AG238" s="97" t="n"/>
      <c r="AH238" s="97" t="n"/>
      <c r="AI238" s="97" t="n"/>
      <c r="AJ238" s="96" t="n"/>
      <c r="AK238" s="130" t="n"/>
    </row>
    <row r="239" ht="12" customHeight="1">
      <c r="A239" s="108" t="inlineStr">
        <is>
          <t>HLHU8311469</t>
        </is>
      </c>
      <c r="B239" s="108" t="n"/>
      <c r="C239" s="108" t="n"/>
      <c r="D239" s="172" t="n"/>
      <c r="E239" s="173" t="n"/>
      <c r="F239" s="96" t="n"/>
      <c r="G239" s="96" t="n"/>
      <c r="H239" s="111" t="n"/>
      <c r="I239" s="96" t="n"/>
      <c r="J239" s="96" t="n"/>
      <c r="K239" s="96" t="n"/>
      <c r="L239" s="111" t="n"/>
      <c r="M239" s="96" t="n"/>
      <c r="N239" s="96" t="n"/>
      <c r="O239" s="111" t="n"/>
      <c r="P239" s="111" t="n"/>
      <c r="Q239" s="111" t="n"/>
      <c r="R239" s="96" t="n"/>
      <c r="S239" s="96" t="n"/>
      <c r="T239" s="96" t="n"/>
      <c r="U239" s="96" t="n"/>
      <c r="V239" s="161" t="n"/>
      <c r="W239" s="96" t="n"/>
      <c r="X239" s="161" t="n"/>
      <c r="Y239" s="97" t="n"/>
      <c r="Z239" s="97" t="n"/>
      <c r="AA239" s="97" t="n"/>
      <c r="AB239" s="97" t="n"/>
      <c r="AC239" s="97" t="n"/>
      <c r="AD239" s="161" t="n"/>
      <c r="AE239" s="174" t="n"/>
      <c r="AF239" s="96" t="n"/>
      <c r="AG239" s="97" t="n"/>
      <c r="AH239" s="97" t="n"/>
      <c r="AI239" s="97" t="n"/>
      <c r="AJ239" s="96" t="n"/>
      <c r="AK239" s="130" t="n"/>
    </row>
    <row r="240" ht="12" customHeight="1">
      <c r="A240" s="108" t="inlineStr">
        <is>
          <t>HLHU8328348</t>
        </is>
      </c>
      <c r="B240" s="108" t="n"/>
      <c r="C240" s="108" t="n"/>
      <c r="D240" s="172" t="n"/>
      <c r="E240" s="173" t="n"/>
      <c r="F240" s="96" t="n"/>
      <c r="G240" s="96" t="n"/>
      <c r="H240" s="111" t="n"/>
      <c r="I240" s="96" t="n"/>
      <c r="J240" s="96" t="n"/>
      <c r="K240" s="96" t="n"/>
      <c r="L240" s="111" t="n"/>
      <c r="M240" s="96" t="n"/>
      <c r="N240" s="96" t="n"/>
      <c r="O240" s="111" t="n"/>
      <c r="P240" s="111" t="n"/>
      <c r="Q240" s="111" t="n"/>
      <c r="R240" s="96" t="n"/>
      <c r="S240" s="96" t="n"/>
      <c r="T240" s="96" t="n"/>
      <c r="U240" s="96" t="n"/>
      <c r="V240" s="161" t="n"/>
      <c r="W240" s="96" t="n"/>
      <c r="X240" s="161" t="n"/>
      <c r="Y240" s="97" t="n"/>
      <c r="Z240" s="97" t="n"/>
      <c r="AA240" s="97" t="n"/>
      <c r="AB240" s="97" t="n"/>
      <c r="AC240" s="97" t="n"/>
      <c r="AD240" s="161" t="n"/>
      <c r="AE240" s="174" t="n"/>
      <c r="AF240" s="96" t="n"/>
      <c r="AG240" s="97" t="n"/>
      <c r="AH240" s="97" t="n"/>
      <c r="AI240" s="97" t="n"/>
      <c r="AJ240" s="96" t="n"/>
      <c r="AK240" s="130" t="n"/>
    </row>
    <row r="241" ht="12" customHeight="1">
      <c r="A241" s="108" t="inlineStr">
        <is>
          <t>HLHU8343300</t>
        </is>
      </c>
      <c r="B241" s="108" t="n"/>
      <c r="C241" s="108" t="n"/>
      <c r="D241" s="172" t="n"/>
      <c r="E241" s="173" t="n"/>
      <c r="F241" s="96" t="n"/>
      <c r="G241" s="96" t="n"/>
      <c r="H241" s="111" t="n"/>
      <c r="I241" s="96" t="n"/>
      <c r="J241" s="96" t="n"/>
      <c r="K241" s="96" t="n"/>
      <c r="L241" s="111" t="n"/>
      <c r="M241" s="96" t="n"/>
      <c r="N241" s="96" t="n"/>
      <c r="O241" s="111" t="n"/>
      <c r="P241" s="111" t="n"/>
      <c r="Q241" s="111" t="n"/>
      <c r="R241" s="96" t="n"/>
      <c r="S241" s="96" t="n"/>
      <c r="T241" s="96" t="n"/>
      <c r="U241" s="96" t="n"/>
      <c r="V241" s="161" t="n"/>
      <c r="W241" s="96" t="n"/>
      <c r="X241" s="161" t="n"/>
      <c r="Y241" s="97" t="n"/>
      <c r="Z241" s="97" t="n"/>
      <c r="AA241" s="97" t="n"/>
      <c r="AB241" s="97" t="n"/>
      <c r="AC241" s="97" t="n"/>
      <c r="AD241" s="161" t="n"/>
      <c r="AE241" s="174" t="n"/>
      <c r="AF241" s="96" t="n"/>
      <c r="AG241" s="97" t="n"/>
      <c r="AH241" s="97" t="n"/>
      <c r="AI241" s="97" t="n"/>
      <c r="AJ241" s="96" t="n"/>
      <c r="AK241" s="130" t="n"/>
    </row>
    <row r="242" ht="12" customHeight="1">
      <c r="A242" s="108" t="inlineStr">
        <is>
          <t>HLHU8350819</t>
        </is>
      </c>
      <c r="B242" s="108" t="n"/>
      <c r="C242" s="108" t="n"/>
      <c r="D242" s="172" t="n"/>
      <c r="E242" s="173" t="n"/>
      <c r="F242" s="96" t="n"/>
      <c r="G242" s="96" t="n"/>
      <c r="H242" s="111" t="n"/>
      <c r="I242" s="96" t="n"/>
      <c r="J242" s="96" t="n"/>
      <c r="K242" s="96" t="n"/>
      <c r="L242" s="111" t="n"/>
      <c r="M242" s="96" t="n"/>
      <c r="N242" s="96" t="n"/>
      <c r="O242" s="111" t="n"/>
      <c r="P242" s="111" t="n"/>
      <c r="Q242" s="111" t="n"/>
      <c r="R242" s="96" t="n"/>
      <c r="S242" s="96" t="n"/>
      <c r="T242" s="96" t="n"/>
      <c r="U242" s="96" t="n"/>
      <c r="V242" s="161" t="n"/>
      <c r="W242" s="96" t="n"/>
      <c r="X242" s="161" t="n"/>
      <c r="Y242" s="97" t="n"/>
      <c r="Z242" s="97" t="n"/>
      <c r="AA242" s="97" t="n"/>
      <c r="AB242" s="97" t="n"/>
      <c r="AC242" s="97" t="n"/>
      <c r="AD242" s="161" t="n"/>
      <c r="AE242" s="174" t="n"/>
      <c r="AF242" s="96" t="n"/>
      <c r="AG242" s="97" t="n"/>
      <c r="AH242" s="97" t="n"/>
      <c r="AI242" s="97" t="n"/>
      <c r="AJ242" s="96" t="n"/>
      <c r="AK242" s="130" t="n"/>
    </row>
    <row r="243" ht="12" customHeight="1">
      <c r="A243" s="108" t="inlineStr">
        <is>
          <t>HLHU8375400</t>
        </is>
      </c>
      <c r="B243" s="108" t="n"/>
      <c r="C243" s="108" t="n"/>
      <c r="D243" s="172" t="n"/>
      <c r="E243" s="173" t="n"/>
      <c r="F243" s="96" t="n"/>
      <c r="G243" s="96" t="n"/>
      <c r="H243" s="111" t="n"/>
      <c r="I243" s="96" t="n"/>
      <c r="J243" s="96" t="n"/>
      <c r="K243" s="96" t="n"/>
      <c r="L243" s="111" t="n"/>
      <c r="M243" s="96" t="n"/>
      <c r="N243" s="96" t="n"/>
      <c r="O243" s="111" t="n"/>
      <c r="P243" s="111" t="n"/>
      <c r="Q243" s="111" t="n"/>
      <c r="R243" s="96" t="n"/>
      <c r="S243" s="96" t="n"/>
      <c r="T243" s="96" t="n"/>
      <c r="U243" s="96" t="n"/>
      <c r="V243" s="161" t="n"/>
      <c r="W243" s="96" t="n"/>
      <c r="X243" s="161" t="n"/>
      <c r="Y243" s="97" t="n"/>
      <c r="Z243" s="97" t="n"/>
      <c r="AA243" s="97" t="n"/>
      <c r="AB243" s="97" t="n"/>
      <c r="AC243" s="97" t="n"/>
      <c r="AD243" s="161" t="n"/>
      <c r="AE243" s="174" t="n"/>
      <c r="AF243" s="96" t="n"/>
      <c r="AG243" s="97" t="n"/>
      <c r="AH243" s="97" t="n"/>
      <c r="AI243" s="97" t="n"/>
      <c r="AJ243" s="96" t="n"/>
      <c r="AK243" s="130" t="n"/>
    </row>
    <row r="244" ht="12" customHeight="1">
      <c r="A244" s="108" t="inlineStr">
        <is>
          <t>HLHU8376979</t>
        </is>
      </c>
      <c r="B244" s="108" t="n"/>
      <c r="C244" s="108" t="n"/>
      <c r="D244" s="172" t="n"/>
      <c r="E244" s="173" t="n"/>
      <c r="F244" s="96" t="n"/>
      <c r="G244" s="96" t="n"/>
      <c r="H244" s="111" t="n"/>
      <c r="I244" s="96" t="n"/>
      <c r="J244" s="96" t="n"/>
      <c r="K244" s="96" t="n"/>
      <c r="L244" s="111" t="n"/>
      <c r="M244" s="96" t="n"/>
      <c r="N244" s="96" t="n"/>
      <c r="O244" s="111" t="n"/>
      <c r="P244" s="111" t="n"/>
      <c r="Q244" s="111" t="n"/>
      <c r="R244" s="96" t="n"/>
      <c r="S244" s="96" t="n"/>
      <c r="T244" s="96" t="n"/>
      <c r="U244" s="96" t="n"/>
      <c r="V244" s="161" t="n"/>
      <c r="W244" s="96" t="n"/>
      <c r="X244" s="161" t="n"/>
      <c r="Y244" s="97" t="n"/>
      <c r="Z244" s="97" t="n"/>
      <c r="AA244" s="97" t="n"/>
      <c r="AB244" s="97" t="n"/>
      <c r="AC244" s="97" t="n"/>
      <c r="AD244" s="161" t="n"/>
      <c r="AE244" s="174" t="n"/>
      <c r="AF244" s="96" t="n"/>
      <c r="AG244" s="97" t="n"/>
      <c r="AH244" s="97" t="n"/>
      <c r="AI244" s="97" t="n"/>
      <c r="AJ244" s="96" t="n"/>
      <c r="AK244" s="130" t="n"/>
    </row>
    <row r="245" ht="12" customHeight="1">
      <c r="A245" s="108" t="inlineStr">
        <is>
          <t>HLHU8400329</t>
        </is>
      </c>
      <c r="B245" s="108" t="n"/>
      <c r="C245" s="108" t="n"/>
      <c r="D245" s="172" t="n"/>
      <c r="E245" s="173" t="n"/>
      <c r="F245" s="96" t="n"/>
      <c r="G245" s="96" t="n"/>
      <c r="H245" s="111" t="n"/>
      <c r="I245" s="96" t="n"/>
      <c r="J245" s="96" t="n"/>
      <c r="K245" s="96" t="n"/>
      <c r="L245" s="111" t="n"/>
      <c r="M245" s="96" t="n"/>
      <c r="N245" s="96" t="n"/>
      <c r="O245" s="111" t="n"/>
      <c r="P245" s="111" t="n"/>
      <c r="Q245" s="111" t="n"/>
      <c r="R245" s="96" t="n"/>
      <c r="S245" s="96" t="n"/>
      <c r="T245" s="96" t="n"/>
      <c r="U245" s="96" t="n"/>
      <c r="V245" s="161" t="n"/>
      <c r="W245" s="96" t="n"/>
      <c r="X245" s="161" t="n"/>
      <c r="Y245" s="97" t="n"/>
      <c r="Z245" s="97" t="n"/>
      <c r="AA245" s="97" t="n"/>
      <c r="AB245" s="97" t="n"/>
      <c r="AC245" s="97" t="n"/>
      <c r="AD245" s="161" t="n"/>
      <c r="AE245" s="174" t="n"/>
      <c r="AF245" s="96" t="n"/>
      <c r="AG245" s="97" t="n"/>
      <c r="AH245" s="97" t="n"/>
      <c r="AI245" s="97" t="n"/>
      <c r="AJ245" s="96" t="n"/>
      <c r="AK245" s="130" t="n"/>
    </row>
    <row r="246" ht="12" customHeight="1">
      <c r="A246" s="108" t="inlineStr">
        <is>
          <t>HLHU8401562</t>
        </is>
      </c>
      <c r="B246" s="108" t="n"/>
      <c r="C246" s="108" t="n"/>
      <c r="D246" s="172" t="n"/>
      <c r="E246" s="173" t="n"/>
      <c r="F246" s="96" t="n"/>
      <c r="G246" s="96" t="n"/>
      <c r="H246" s="111" t="n"/>
      <c r="I246" s="96" t="n"/>
      <c r="J246" s="96" t="n"/>
      <c r="K246" s="96" t="n"/>
      <c r="L246" s="111" t="n"/>
      <c r="M246" s="96" t="n"/>
      <c r="N246" s="96" t="n"/>
      <c r="O246" s="111" t="n"/>
      <c r="P246" s="111" t="n"/>
      <c r="Q246" s="111" t="n"/>
      <c r="R246" s="96" t="n"/>
      <c r="S246" s="96" t="n"/>
      <c r="T246" s="96" t="n"/>
      <c r="U246" s="96" t="n"/>
      <c r="V246" s="161" t="n"/>
      <c r="W246" s="96" t="n"/>
      <c r="X246" s="161" t="n"/>
      <c r="Y246" s="97" t="n"/>
      <c r="Z246" s="97" t="n"/>
      <c r="AA246" s="97" t="n"/>
      <c r="AB246" s="97" t="n"/>
      <c r="AC246" s="97" t="n"/>
      <c r="AD246" s="161" t="n"/>
      <c r="AE246" s="174" t="n"/>
      <c r="AF246" s="96" t="n"/>
      <c r="AG246" s="97" t="n"/>
      <c r="AH246" s="97" t="n"/>
      <c r="AI246" s="97" t="n"/>
      <c r="AJ246" s="96" t="n"/>
      <c r="AK246" s="130" t="n"/>
    </row>
    <row r="247" ht="12" customHeight="1">
      <c r="A247" s="108" t="inlineStr">
        <is>
          <t>HLHU8439260</t>
        </is>
      </c>
      <c r="B247" s="108" t="n"/>
      <c r="C247" s="108" t="n"/>
      <c r="D247" s="172" t="n"/>
      <c r="E247" s="173" t="n"/>
      <c r="F247" s="96" t="n"/>
      <c r="G247" s="96" t="n"/>
      <c r="H247" s="111" t="n"/>
      <c r="I247" s="96" t="n"/>
      <c r="J247" s="96" t="n"/>
      <c r="K247" s="96" t="n"/>
      <c r="L247" s="111" t="n"/>
      <c r="M247" s="96" t="n"/>
      <c r="N247" s="96" t="n"/>
      <c r="O247" s="111" t="n"/>
      <c r="P247" s="111" t="n"/>
      <c r="Q247" s="111" t="n"/>
      <c r="R247" s="96" t="n"/>
      <c r="S247" s="96" t="n"/>
      <c r="T247" s="96" t="n"/>
      <c r="U247" s="96" t="n"/>
      <c r="V247" s="161" t="n"/>
      <c r="W247" s="96" t="n"/>
      <c r="X247" s="161" t="n"/>
      <c r="Y247" s="97" t="n"/>
      <c r="Z247" s="97" t="n"/>
      <c r="AA247" s="97" t="n"/>
      <c r="AB247" s="97" t="n"/>
      <c r="AC247" s="97" t="n"/>
      <c r="AD247" s="161" t="n"/>
      <c r="AE247" s="174" t="n"/>
      <c r="AF247" s="96" t="n"/>
      <c r="AG247" s="97" t="n"/>
      <c r="AH247" s="97" t="n"/>
      <c r="AI247" s="97" t="n"/>
      <c r="AJ247" s="96" t="n"/>
      <c r="AK247" s="130" t="n"/>
    </row>
    <row r="248" ht="12" customHeight="1">
      <c r="A248" s="108" t="inlineStr">
        <is>
          <t>HLHU8451603</t>
        </is>
      </c>
      <c r="B248" s="108" t="n"/>
      <c r="C248" s="108" t="n"/>
      <c r="D248" s="172" t="n"/>
      <c r="E248" s="173" t="n"/>
      <c r="F248" s="96" t="n"/>
      <c r="G248" s="96" t="n"/>
      <c r="H248" s="111" t="n"/>
      <c r="I248" s="96" t="n"/>
      <c r="J248" s="96" t="n"/>
      <c r="K248" s="96" t="n"/>
      <c r="L248" s="111" t="n"/>
      <c r="M248" s="96" t="n"/>
      <c r="N248" s="96" t="n"/>
      <c r="O248" s="111" t="n"/>
      <c r="P248" s="111" t="n"/>
      <c r="Q248" s="111" t="n"/>
      <c r="R248" s="96" t="n"/>
      <c r="S248" s="96" t="n"/>
      <c r="T248" s="96" t="n"/>
      <c r="U248" s="96" t="n"/>
      <c r="V248" s="161" t="n"/>
      <c r="W248" s="96" t="n"/>
      <c r="X248" s="161" t="n"/>
      <c r="Y248" s="97" t="n"/>
      <c r="Z248" s="97" t="n"/>
      <c r="AA248" s="97" t="n"/>
      <c r="AB248" s="97" t="n"/>
      <c r="AC248" s="97" t="n"/>
      <c r="AD248" s="161" t="n"/>
      <c r="AE248" s="174" t="n"/>
      <c r="AF248" s="96" t="n"/>
      <c r="AG248" s="97" t="n"/>
      <c r="AH248" s="97" t="n"/>
      <c r="AI248" s="97" t="n"/>
      <c r="AJ248" s="96" t="n"/>
      <c r="AK248" s="130" t="n"/>
    </row>
    <row r="249" ht="12" customHeight="1">
      <c r="A249" s="108" t="inlineStr">
        <is>
          <t>HLHU8460816</t>
        </is>
      </c>
      <c r="B249" s="108" t="n"/>
      <c r="C249" s="108" t="n"/>
      <c r="D249" s="172" t="n"/>
      <c r="E249" s="173" t="n"/>
      <c r="F249" s="96" t="n"/>
      <c r="G249" s="96" t="n"/>
      <c r="H249" s="111" t="n"/>
      <c r="I249" s="96" t="n"/>
      <c r="J249" s="96" t="n"/>
      <c r="K249" s="96" t="n"/>
      <c r="L249" s="111" t="n"/>
      <c r="M249" s="96" t="n"/>
      <c r="N249" s="96" t="n"/>
      <c r="O249" s="111" t="n"/>
      <c r="P249" s="111" t="n"/>
      <c r="Q249" s="111" t="n"/>
      <c r="R249" s="96" t="n"/>
      <c r="S249" s="96" t="n"/>
      <c r="T249" s="96" t="n"/>
      <c r="U249" s="96" t="n"/>
      <c r="V249" s="161" t="n"/>
      <c r="W249" s="96" t="n"/>
      <c r="X249" s="161" t="n"/>
      <c r="Y249" s="97" t="n"/>
      <c r="Z249" s="97" t="n"/>
      <c r="AA249" s="97" t="n"/>
      <c r="AB249" s="97" t="n"/>
      <c r="AC249" s="97" t="n"/>
      <c r="AD249" s="161" t="n"/>
      <c r="AE249" s="174" t="n"/>
      <c r="AF249" s="96" t="n"/>
      <c r="AG249" s="97" t="n"/>
      <c r="AH249" s="97" t="n"/>
      <c r="AI249" s="97" t="n"/>
      <c r="AJ249" s="96" t="n"/>
      <c r="AK249" s="130" t="n"/>
    </row>
    <row r="250" ht="12" customHeight="1">
      <c r="A250" s="108" t="inlineStr">
        <is>
          <t>HLHU8461725</t>
        </is>
      </c>
      <c r="B250" s="108" t="n"/>
      <c r="C250" s="108" t="n"/>
      <c r="D250" s="172" t="n"/>
      <c r="E250" s="173" t="n"/>
      <c r="F250" s="96" t="n"/>
      <c r="G250" s="96" t="n"/>
      <c r="H250" s="111" t="n"/>
      <c r="I250" s="96" t="n"/>
      <c r="J250" s="96" t="n"/>
      <c r="K250" s="96" t="n"/>
      <c r="L250" s="111" t="n"/>
      <c r="M250" s="96" t="n"/>
      <c r="N250" s="96" t="n"/>
      <c r="O250" s="111" t="n"/>
      <c r="P250" s="111" t="n"/>
      <c r="Q250" s="111" t="n"/>
      <c r="R250" s="96" t="n"/>
      <c r="S250" s="96" t="n"/>
      <c r="T250" s="96" t="n"/>
      <c r="U250" s="96" t="n"/>
      <c r="V250" s="161" t="n"/>
      <c r="W250" s="96" t="n"/>
      <c r="X250" s="161" t="n"/>
      <c r="Y250" s="97" t="n"/>
      <c r="Z250" s="97" t="n"/>
      <c r="AA250" s="97" t="n"/>
      <c r="AB250" s="97" t="n"/>
      <c r="AC250" s="97" t="n"/>
      <c r="AD250" s="161" t="n"/>
      <c r="AE250" s="174" t="n"/>
      <c r="AF250" s="96" t="n"/>
      <c r="AG250" s="97" t="n"/>
      <c r="AH250" s="97" t="n"/>
      <c r="AI250" s="97" t="n"/>
      <c r="AJ250" s="96" t="n"/>
      <c r="AK250" s="130" t="n"/>
    </row>
    <row r="251" ht="12" customHeight="1">
      <c r="A251" s="108" t="inlineStr">
        <is>
          <t>HLHU8520052</t>
        </is>
      </c>
      <c r="B251" s="108" t="n"/>
      <c r="C251" s="108" t="n"/>
      <c r="D251" s="172" t="n"/>
      <c r="E251" s="173" t="n"/>
      <c r="F251" s="96" t="n"/>
      <c r="G251" s="96" t="n"/>
      <c r="H251" s="111" t="n"/>
      <c r="I251" s="96" t="n"/>
      <c r="J251" s="96" t="n"/>
      <c r="K251" s="96" t="n"/>
      <c r="L251" s="111" t="n"/>
      <c r="M251" s="96" t="n"/>
      <c r="N251" s="96" t="n"/>
      <c r="O251" s="111" t="n"/>
      <c r="P251" s="111" t="n"/>
      <c r="Q251" s="111" t="n"/>
      <c r="R251" s="96" t="n"/>
      <c r="S251" s="96" t="n"/>
      <c r="T251" s="96" t="n"/>
      <c r="U251" s="96" t="n"/>
      <c r="V251" s="161" t="n"/>
      <c r="W251" s="96" t="n"/>
      <c r="X251" s="161" t="n"/>
      <c r="Y251" s="97" t="n"/>
      <c r="Z251" s="97" t="n"/>
      <c r="AA251" s="97" t="n"/>
      <c r="AB251" s="97" t="n"/>
      <c r="AC251" s="97" t="n"/>
      <c r="AD251" s="161" t="n"/>
      <c r="AE251" s="174" t="n"/>
      <c r="AF251" s="96" t="n"/>
      <c r="AG251" s="97" t="n"/>
      <c r="AH251" s="97" t="n"/>
      <c r="AI251" s="97" t="n"/>
      <c r="AJ251" s="96" t="n"/>
      <c r="AK251" s="130" t="n"/>
    </row>
    <row r="252" ht="12" customHeight="1">
      <c r="A252" s="108" t="inlineStr">
        <is>
          <t>HLHU8537013</t>
        </is>
      </c>
      <c r="B252" s="108" t="n"/>
      <c r="C252" s="108" t="n"/>
      <c r="D252" s="172" t="n"/>
      <c r="E252" s="173" t="n"/>
      <c r="F252" s="96" t="n"/>
      <c r="G252" s="96" t="n"/>
      <c r="H252" s="111" t="n"/>
      <c r="I252" s="96" t="n"/>
      <c r="J252" s="96" t="n"/>
      <c r="K252" s="96" t="n"/>
      <c r="L252" s="111" t="n"/>
      <c r="M252" s="96" t="n"/>
      <c r="N252" s="96" t="n"/>
      <c r="O252" s="111" t="n"/>
      <c r="P252" s="111" t="n"/>
      <c r="Q252" s="111" t="n"/>
      <c r="R252" s="96" t="n"/>
      <c r="S252" s="96" t="n"/>
      <c r="T252" s="96" t="n"/>
      <c r="U252" s="96" t="n"/>
      <c r="V252" s="161" t="n"/>
      <c r="W252" s="96" t="n"/>
      <c r="X252" s="161" t="n"/>
      <c r="Y252" s="97" t="n"/>
      <c r="Z252" s="97" t="n"/>
      <c r="AA252" s="97" t="n"/>
      <c r="AB252" s="97" t="n"/>
      <c r="AC252" s="97" t="n"/>
      <c r="AD252" s="161" t="n"/>
      <c r="AE252" s="174" t="n"/>
      <c r="AF252" s="96" t="n"/>
      <c r="AG252" s="97" t="n"/>
      <c r="AH252" s="97" t="n"/>
      <c r="AI252" s="97" t="n"/>
      <c r="AJ252" s="96" t="n"/>
      <c r="AK252" s="130" t="n"/>
    </row>
    <row r="253" ht="12" customHeight="1">
      <c r="A253" s="108" t="inlineStr">
        <is>
          <t>HLHU8541353</t>
        </is>
      </c>
      <c r="B253" s="108" t="n"/>
      <c r="C253" s="108" t="n"/>
      <c r="D253" s="172" t="n"/>
      <c r="E253" s="173" t="n"/>
      <c r="F253" s="96" t="n"/>
      <c r="G253" s="96" t="n"/>
      <c r="H253" s="111" t="n"/>
      <c r="I253" s="96" t="n"/>
      <c r="J253" s="96" t="n"/>
      <c r="K253" s="96" t="n"/>
      <c r="L253" s="111" t="n"/>
      <c r="M253" s="96" t="n"/>
      <c r="N253" s="96" t="n"/>
      <c r="O253" s="111" t="n"/>
      <c r="P253" s="111" t="n"/>
      <c r="Q253" s="111" t="n"/>
      <c r="R253" s="96" t="n"/>
      <c r="S253" s="96" t="n"/>
      <c r="T253" s="96" t="n"/>
      <c r="U253" s="96" t="n"/>
      <c r="V253" s="161" t="n"/>
      <c r="W253" s="96" t="n"/>
      <c r="X253" s="161" t="n"/>
      <c r="Y253" s="97" t="n"/>
      <c r="Z253" s="97" t="n"/>
      <c r="AA253" s="97" t="n"/>
      <c r="AB253" s="97" t="n"/>
      <c r="AC253" s="97" t="n"/>
      <c r="AD253" s="161" t="n"/>
      <c r="AE253" s="174" t="n"/>
      <c r="AF253" s="96" t="n"/>
      <c r="AG253" s="97" t="n"/>
      <c r="AH253" s="97" t="n"/>
      <c r="AI253" s="97" t="n"/>
      <c r="AJ253" s="96" t="n"/>
      <c r="AK253" s="130" t="n"/>
    </row>
    <row r="254" ht="12" customHeight="1">
      <c r="A254" s="108" t="inlineStr">
        <is>
          <t>HLHU8543335</t>
        </is>
      </c>
      <c r="B254" s="108" t="n"/>
      <c r="C254" s="108" t="n"/>
      <c r="D254" s="172" t="n"/>
      <c r="E254" s="173" t="n"/>
      <c r="F254" s="96" t="n"/>
      <c r="G254" s="96" t="n"/>
      <c r="H254" s="111" t="n"/>
      <c r="I254" s="96" t="n"/>
      <c r="J254" s="96" t="n"/>
      <c r="K254" s="96" t="n"/>
      <c r="L254" s="111" t="n"/>
      <c r="M254" s="96" t="n"/>
      <c r="N254" s="96" t="n"/>
      <c r="O254" s="111" t="n"/>
      <c r="P254" s="111" t="n"/>
      <c r="Q254" s="111" t="n"/>
      <c r="R254" s="96" t="n"/>
      <c r="S254" s="96" t="n"/>
      <c r="T254" s="96" t="n"/>
      <c r="U254" s="96" t="n"/>
      <c r="V254" s="161" t="n"/>
      <c r="W254" s="96" t="n"/>
      <c r="X254" s="161" t="n"/>
      <c r="Y254" s="97" t="n"/>
      <c r="Z254" s="97" t="n"/>
      <c r="AA254" s="97" t="n"/>
      <c r="AB254" s="97" t="n"/>
      <c r="AC254" s="97" t="n"/>
      <c r="AD254" s="161" t="n"/>
      <c r="AE254" s="174" t="n"/>
      <c r="AF254" s="96" t="n"/>
      <c r="AG254" s="97" t="n"/>
      <c r="AH254" s="97" t="n"/>
      <c r="AI254" s="97" t="n"/>
      <c r="AJ254" s="96" t="n"/>
      <c r="AK254" s="130" t="n"/>
    </row>
    <row r="255" ht="12" customHeight="1">
      <c r="A255" s="108" t="inlineStr">
        <is>
          <t>HLHU8573978</t>
        </is>
      </c>
      <c r="B255" s="108" t="n"/>
      <c r="C255" s="108" t="n"/>
      <c r="D255" s="172" t="n"/>
      <c r="E255" s="173" t="n"/>
      <c r="F255" s="96" t="n"/>
      <c r="G255" s="96" t="n"/>
      <c r="H255" s="111" t="n"/>
      <c r="I255" s="96" t="n"/>
      <c r="J255" s="96" t="n"/>
      <c r="K255" s="96" t="n"/>
      <c r="L255" s="111" t="n"/>
      <c r="M255" s="96" t="n"/>
      <c r="N255" s="96" t="n"/>
      <c r="O255" s="111" t="n"/>
      <c r="P255" s="111" t="n"/>
      <c r="Q255" s="111" t="n"/>
      <c r="R255" s="96" t="n"/>
      <c r="S255" s="96" t="n"/>
      <c r="T255" s="96" t="n"/>
      <c r="U255" s="96" t="n"/>
      <c r="V255" s="161" t="n"/>
      <c r="W255" s="96" t="n"/>
      <c r="X255" s="161" t="n"/>
      <c r="Y255" s="97" t="n"/>
      <c r="Z255" s="97" t="n"/>
      <c r="AA255" s="97" t="n"/>
      <c r="AB255" s="97" t="n"/>
      <c r="AC255" s="97" t="n"/>
      <c r="AD255" s="161" t="n"/>
      <c r="AE255" s="174" t="n"/>
      <c r="AF255" s="96" t="n"/>
      <c r="AG255" s="97" t="n"/>
      <c r="AH255" s="97" t="n"/>
      <c r="AI255" s="97" t="n"/>
      <c r="AJ255" s="96" t="n"/>
      <c r="AK255" s="130" t="n"/>
    </row>
    <row r="256" ht="12" customHeight="1">
      <c r="A256" s="108" t="inlineStr">
        <is>
          <t>HLHU8574110</t>
        </is>
      </c>
      <c r="B256" s="108" t="n"/>
      <c r="C256" s="108" t="n"/>
      <c r="D256" s="172" t="n"/>
      <c r="E256" s="173" t="n"/>
      <c r="F256" s="96" t="n"/>
      <c r="G256" s="96" t="n"/>
      <c r="H256" s="111" t="n"/>
      <c r="I256" s="96" t="n"/>
      <c r="J256" s="96" t="n"/>
      <c r="K256" s="96" t="n"/>
      <c r="L256" s="111" t="n"/>
      <c r="M256" s="96" t="n"/>
      <c r="N256" s="96" t="n"/>
      <c r="O256" s="111" t="n"/>
      <c r="P256" s="111" t="n"/>
      <c r="Q256" s="111" t="n"/>
      <c r="R256" s="96" t="n"/>
      <c r="S256" s="96" t="n"/>
      <c r="T256" s="96" t="n"/>
      <c r="U256" s="96" t="n"/>
      <c r="V256" s="161" t="n"/>
      <c r="W256" s="96" t="n"/>
      <c r="X256" s="161" t="n"/>
      <c r="Y256" s="97" t="n"/>
      <c r="Z256" s="97" t="n"/>
      <c r="AA256" s="97" t="n"/>
      <c r="AB256" s="97" t="n"/>
      <c r="AC256" s="97" t="n"/>
      <c r="AD256" s="161" t="n"/>
      <c r="AE256" s="174" t="n"/>
      <c r="AF256" s="96" t="n"/>
      <c r="AG256" s="97" t="n"/>
      <c r="AH256" s="97" t="n"/>
      <c r="AI256" s="97" t="n"/>
      <c r="AJ256" s="96" t="n"/>
      <c r="AK256" s="130" t="n"/>
    </row>
    <row r="257" ht="12" customHeight="1">
      <c r="A257" s="108" t="inlineStr">
        <is>
          <t>HLHU8588200</t>
        </is>
      </c>
      <c r="B257" s="108" t="n"/>
      <c r="C257" s="108" t="n"/>
      <c r="D257" s="172" t="n"/>
      <c r="E257" s="173" t="n"/>
      <c r="F257" s="96" t="n"/>
      <c r="G257" s="96" t="n"/>
      <c r="H257" s="111" t="n"/>
      <c r="I257" s="96" t="n"/>
      <c r="J257" s="96" t="n"/>
      <c r="K257" s="96" t="n"/>
      <c r="L257" s="111" t="n"/>
      <c r="M257" s="96" t="n"/>
      <c r="N257" s="96" t="n"/>
      <c r="O257" s="111" t="n"/>
      <c r="P257" s="111" t="n"/>
      <c r="Q257" s="111" t="n"/>
      <c r="R257" s="96" t="n"/>
      <c r="S257" s="96" t="n"/>
      <c r="T257" s="96" t="n"/>
      <c r="U257" s="96" t="n"/>
      <c r="V257" s="161" t="n"/>
      <c r="W257" s="96" t="n"/>
      <c r="X257" s="161" t="n"/>
      <c r="Y257" s="97" t="n"/>
      <c r="Z257" s="97" t="n"/>
      <c r="AA257" s="97" t="n"/>
      <c r="AB257" s="97" t="n"/>
      <c r="AC257" s="97" t="n"/>
      <c r="AD257" s="161" t="n"/>
      <c r="AE257" s="174" t="n"/>
      <c r="AF257" s="96" t="n"/>
      <c r="AG257" s="97" t="n"/>
      <c r="AH257" s="97" t="n"/>
      <c r="AI257" s="97" t="n"/>
      <c r="AJ257" s="96" t="n"/>
      <c r="AK257" s="130" t="n"/>
    </row>
    <row r="258" ht="12" customHeight="1">
      <c r="A258" s="108" t="inlineStr">
        <is>
          <t>SEGU2340919</t>
        </is>
      </c>
      <c r="B258" s="108" t="n"/>
      <c r="C258" s="108" t="n"/>
      <c r="D258" s="172" t="n"/>
      <c r="E258" s="173" t="n"/>
      <c r="F258" s="96" t="n"/>
      <c r="G258" s="96" t="n"/>
      <c r="H258" s="111" t="n"/>
      <c r="I258" s="96" t="n"/>
      <c r="J258" s="96" t="n"/>
      <c r="K258" s="96" t="n"/>
      <c r="L258" s="111" t="n"/>
      <c r="M258" s="96" t="n"/>
      <c r="N258" s="96" t="n"/>
      <c r="O258" s="111" t="n"/>
      <c r="P258" s="111" t="n"/>
      <c r="Q258" s="111" t="n"/>
      <c r="R258" s="96" t="n"/>
      <c r="S258" s="96" t="n"/>
      <c r="T258" s="96" t="n"/>
      <c r="U258" s="96" t="n"/>
      <c r="V258" s="161" t="n"/>
      <c r="W258" s="96" t="n"/>
      <c r="X258" s="161" t="n"/>
      <c r="Y258" s="97" t="n"/>
      <c r="Z258" s="97" t="n"/>
      <c r="AA258" s="97" t="n"/>
      <c r="AB258" s="97" t="n"/>
      <c r="AC258" s="97" t="n"/>
      <c r="AD258" s="161" t="n"/>
      <c r="AE258" s="174" t="n"/>
      <c r="AF258" s="96" t="n"/>
      <c r="AG258" s="97" t="n"/>
      <c r="AH258" s="97" t="n"/>
      <c r="AI258" s="97" t="n"/>
      <c r="AJ258" s="96" t="n"/>
      <c r="AK258" s="130" t="n"/>
    </row>
    <row r="259" ht="12" customHeight="1">
      <c r="A259" s="108" t="inlineStr">
        <is>
          <t>SEKU4968806</t>
        </is>
      </c>
      <c r="B259" s="108" t="n"/>
      <c r="C259" s="108" t="n"/>
      <c r="D259" s="172" t="n"/>
      <c r="E259" s="173" t="n"/>
      <c r="F259" s="96" t="n"/>
      <c r="G259" s="96" t="n"/>
      <c r="H259" s="111" t="n"/>
      <c r="I259" s="96" t="n"/>
      <c r="J259" s="96" t="n"/>
      <c r="K259" s="96" t="n"/>
      <c r="L259" s="111" t="n"/>
      <c r="M259" s="96" t="n"/>
      <c r="N259" s="96" t="n"/>
      <c r="O259" s="111" t="n"/>
      <c r="P259" s="111" t="n"/>
      <c r="Q259" s="111" t="n"/>
      <c r="R259" s="96" t="n"/>
      <c r="S259" s="96" t="n"/>
      <c r="T259" s="96" t="n"/>
      <c r="U259" s="96" t="n"/>
      <c r="V259" s="161" t="n"/>
      <c r="W259" s="96" t="n"/>
      <c r="X259" s="161" t="n"/>
      <c r="Y259" s="97" t="n"/>
      <c r="Z259" s="97" t="n"/>
      <c r="AA259" s="97" t="n"/>
      <c r="AB259" s="97" t="n"/>
      <c r="AC259" s="97" t="n"/>
      <c r="AD259" s="161" t="n"/>
      <c r="AE259" s="174" t="n"/>
      <c r="AF259" s="96" t="n"/>
      <c r="AG259" s="97" t="n"/>
      <c r="AH259" s="97" t="n"/>
      <c r="AI259" s="97" t="n"/>
      <c r="AJ259" s="96" t="n"/>
      <c r="AK259" s="130" t="n"/>
    </row>
    <row r="260" ht="12" customHeight="1">
      <c r="A260" s="108" t="inlineStr">
        <is>
          <t>SEKU4978548</t>
        </is>
      </c>
      <c r="B260" s="108" t="n"/>
      <c r="C260" s="108" t="n"/>
      <c r="D260" s="172" t="n"/>
      <c r="E260" s="173" t="n"/>
      <c r="F260" s="96" t="n"/>
      <c r="G260" s="96" t="n"/>
      <c r="H260" s="111" t="n"/>
      <c r="I260" s="96" t="n"/>
      <c r="J260" s="96" t="n"/>
      <c r="K260" s="96" t="n"/>
      <c r="L260" s="111" t="n"/>
      <c r="M260" s="96" t="n"/>
      <c r="N260" s="96" t="n"/>
      <c r="O260" s="111" t="n"/>
      <c r="P260" s="111" t="n"/>
      <c r="Q260" s="111" t="n"/>
      <c r="R260" s="96" t="n"/>
      <c r="S260" s="96" t="n"/>
      <c r="T260" s="96" t="n"/>
      <c r="U260" s="96" t="n"/>
      <c r="V260" s="161" t="n"/>
      <c r="W260" s="96" t="n"/>
      <c r="X260" s="161" t="n"/>
      <c r="Y260" s="97" t="n"/>
      <c r="Z260" s="97" t="n"/>
      <c r="AA260" s="97" t="n"/>
      <c r="AB260" s="97" t="n"/>
      <c r="AC260" s="97" t="n"/>
      <c r="AD260" s="161" t="n"/>
      <c r="AE260" s="174" t="n"/>
      <c r="AF260" s="96" t="n"/>
      <c r="AG260" s="97" t="n"/>
      <c r="AH260" s="97" t="n"/>
      <c r="AI260" s="97" t="n"/>
      <c r="AJ260" s="96" t="n"/>
      <c r="AK260" s="130" t="n"/>
    </row>
    <row r="261" ht="12" customHeight="1">
      <c r="A261" s="108" t="inlineStr">
        <is>
          <t>SEKU9004119</t>
        </is>
      </c>
      <c r="B261" s="108" t="n"/>
      <c r="C261" s="108" t="n"/>
      <c r="D261" s="172" t="n"/>
      <c r="E261" s="173" t="n"/>
      <c r="F261" s="96" t="n"/>
      <c r="G261" s="96" t="n"/>
      <c r="H261" s="111" t="n"/>
      <c r="I261" s="96" t="n"/>
      <c r="J261" s="96" t="n"/>
      <c r="K261" s="96" t="n"/>
      <c r="L261" s="111" t="n"/>
      <c r="M261" s="96" t="n"/>
      <c r="N261" s="96" t="n"/>
      <c r="O261" s="111" t="n"/>
      <c r="P261" s="111" t="n"/>
      <c r="Q261" s="111" t="n"/>
      <c r="R261" s="96" t="n"/>
      <c r="S261" s="96" t="n"/>
      <c r="T261" s="96" t="n"/>
      <c r="U261" s="96" t="n"/>
      <c r="V261" s="161" t="n"/>
      <c r="W261" s="96" t="n"/>
      <c r="X261" s="161" t="n"/>
      <c r="Y261" s="97" t="n"/>
      <c r="Z261" s="97" t="n"/>
      <c r="AA261" s="97" t="n"/>
      <c r="AB261" s="97" t="n"/>
      <c r="AC261" s="97" t="n"/>
      <c r="AD261" s="161" t="n"/>
      <c r="AE261" s="174" t="n"/>
      <c r="AF261" s="96" t="n"/>
      <c r="AG261" s="97" t="n"/>
      <c r="AH261" s="97" t="n"/>
      <c r="AI261" s="97" t="n"/>
      <c r="AJ261" s="96" t="n"/>
      <c r="AK261" s="130" t="n"/>
    </row>
    <row r="262" ht="12" customHeight="1">
      <c r="A262" s="108" t="inlineStr">
        <is>
          <t>SKHU6305021</t>
        </is>
      </c>
      <c r="B262" s="108" t="n"/>
      <c r="C262" s="108" t="n"/>
      <c r="D262" s="172" t="n"/>
      <c r="E262" s="173" t="n"/>
      <c r="F262" s="96" t="n"/>
      <c r="G262" s="96" t="n"/>
      <c r="H262" s="111" t="n"/>
      <c r="I262" s="96" t="n"/>
      <c r="J262" s="96" t="n"/>
      <c r="K262" s="96" t="n"/>
      <c r="L262" s="111" t="n"/>
      <c r="M262" s="96" t="n"/>
      <c r="N262" s="96" t="n"/>
      <c r="O262" s="111" t="n"/>
      <c r="P262" s="111" t="n"/>
      <c r="Q262" s="111" t="n"/>
      <c r="R262" s="96" t="n"/>
      <c r="S262" s="96" t="n"/>
      <c r="T262" s="96" t="n"/>
      <c r="U262" s="96" t="n"/>
      <c r="V262" s="161" t="n"/>
      <c r="W262" s="96" t="n"/>
      <c r="X262" s="161" t="n"/>
      <c r="Y262" s="97" t="n"/>
      <c r="Z262" s="97" t="n"/>
      <c r="AA262" s="97" t="n"/>
      <c r="AB262" s="97" t="n"/>
      <c r="AC262" s="97" t="n"/>
      <c r="AD262" s="161" t="n"/>
      <c r="AE262" s="174" t="n"/>
      <c r="AF262" s="96" t="n"/>
      <c r="AG262" s="97" t="n"/>
      <c r="AH262" s="97" t="n"/>
      <c r="AI262" s="97" t="n"/>
      <c r="AJ262" s="96" t="n"/>
      <c r="AK262" s="130" t="n"/>
    </row>
    <row r="263" ht="12" customHeight="1">
      <c r="A263" s="108" t="inlineStr">
        <is>
          <t>SKHU6305720</t>
        </is>
      </c>
      <c r="B263" s="108" t="n"/>
      <c r="C263" s="108" t="n"/>
      <c r="D263" s="172" t="n"/>
      <c r="E263" s="173" t="n"/>
      <c r="F263" s="96" t="n"/>
      <c r="G263" s="96" t="n"/>
      <c r="H263" s="111" t="n"/>
      <c r="I263" s="96" t="n"/>
      <c r="J263" s="96" t="n"/>
      <c r="K263" s="96" t="n"/>
      <c r="L263" s="111" t="n"/>
      <c r="M263" s="96" t="n"/>
      <c r="N263" s="96" t="n"/>
      <c r="O263" s="111" t="n"/>
      <c r="P263" s="111" t="n"/>
      <c r="Q263" s="111" t="n"/>
      <c r="R263" s="96" t="n"/>
      <c r="S263" s="96" t="n"/>
      <c r="T263" s="96" t="n"/>
      <c r="U263" s="96" t="n"/>
      <c r="V263" s="161" t="n"/>
      <c r="W263" s="96" t="n"/>
      <c r="X263" s="161" t="n"/>
      <c r="Y263" s="97" t="n"/>
      <c r="Z263" s="97" t="n"/>
      <c r="AA263" s="97" t="n"/>
      <c r="AB263" s="97" t="n"/>
      <c r="AC263" s="97" t="n"/>
      <c r="AD263" s="161" t="n"/>
      <c r="AE263" s="174" t="n"/>
      <c r="AF263" s="96" t="n"/>
      <c r="AG263" s="97" t="n"/>
      <c r="AH263" s="97" t="n"/>
      <c r="AI263" s="97" t="n"/>
      <c r="AJ263" s="96" t="n"/>
      <c r="AK263" s="130" t="n"/>
    </row>
    <row r="264" ht="12" customHeight="1">
      <c r="A264" s="108" t="inlineStr">
        <is>
          <t>SKHU6313346</t>
        </is>
      </c>
      <c r="B264" s="108" t="n"/>
      <c r="C264" s="108" t="n"/>
      <c r="D264" s="172" t="n"/>
      <c r="E264" s="173" t="n"/>
      <c r="F264" s="96" t="n"/>
      <c r="G264" s="96" t="n"/>
      <c r="H264" s="111" t="n"/>
      <c r="I264" s="96" t="n"/>
      <c r="J264" s="96" t="n"/>
      <c r="K264" s="96" t="n"/>
      <c r="L264" s="111" t="n"/>
      <c r="M264" s="96" t="n"/>
      <c r="N264" s="96" t="n"/>
      <c r="O264" s="111" t="n"/>
      <c r="P264" s="111" t="n"/>
      <c r="Q264" s="111" t="n"/>
      <c r="R264" s="96" t="n"/>
      <c r="S264" s="96" t="n"/>
      <c r="T264" s="96" t="n"/>
      <c r="U264" s="96" t="n"/>
      <c r="V264" s="161" t="n"/>
      <c r="W264" s="96" t="n"/>
      <c r="X264" s="161" t="n"/>
      <c r="Y264" s="97" t="n"/>
      <c r="Z264" s="97" t="n"/>
      <c r="AA264" s="97" t="n"/>
      <c r="AB264" s="97" t="n"/>
      <c r="AC264" s="97" t="n"/>
      <c r="AD264" s="161" t="n"/>
      <c r="AE264" s="174" t="n"/>
      <c r="AF264" s="96" t="n"/>
      <c r="AG264" s="97" t="n"/>
      <c r="AH264" s="97" t="n"/>
      <c r="AI264" s="97" t="n"/>
      <c r="AJ264" s="96" t="n"/>
      <c r="AK264" s="130" t="n"/>
    </row>
    <row r="265" ht="12" customHeight="1">
      <c r="A265" s="108" t="inlineStr">
        <is>
          <t>SKHU6314189</t>
        </is>
      </c>
      <c r="B265" s="108" t="n"/>
      <c r="C265" s="108" t="n"/>
      <c r="D265" s="172" t="n"/>
      <c r="E265" s="173" t="n"/>
      <c r="F265" s="96" t="n"/>
      <c r="G265" s="96" t="n"/>
      <c r="H265" s="111" t="n"/>
      <c r="I265" s="96" t="n"/>
      <c r="J265" s="96" t="n"/>
      <c r="K265" s="96" t="n"/>
      <c r="L265" s="111" t="n"/>
      <c r="M265" s="96" t="n"/>
      <c r="N265" s="96" t="n"/>
      <c r="O265" s="111" t="n"/>
      <c r="P265" s="111" t="n"/>
      <c r="Q265" s="111" t="n"/>
      <c r="R265" s="96" t="n"/>
      <c r="S265" s="96" t="n"/>
      <c r="T265" s="96" t="n"/>
      <c r="U265" s="96" t="n"/>
      <c r="V265" s="161" t="n"/>
      <c r="W265" s="96" t="n"/>
      <c r="X265" s="161" t="n"/>
      <c r="Y265" s="97" t="n"/>
      <c r="Z265" s="97" t="n"/>
      <c r="AA265" s="97" t="n"/>
      <c r="AB265" s="97" t="n"/>
      <c r="AC265" s="97" t="n"/>
      <c r="AD265" s="161" t="n"/>
      <c r="AE265" s="174" t="n"/>
      <c r="AF265" s="96" t="n"/>
      <c r="AG265" s="97" t="n"/>
      <c r="AH265" s="97" t="n"/>
      <c r="AI265" s="97" t="n"/>
      <c r="AJ265" s="96" t="n"/>
      <c r="AK265" s="130" t="n"/>
    </row>
    <row r="266" ht="12" customHeight="1">
      <c r="A266" s="108" t="inlineStr">
        <is>
          <t>SKHU6336700</t>
        </is>
      </c>
      <c r="B266" s="108" t="n"/>
      <c r="C266" s="108" t="n"/>
      <c r="D266" s="172" t="n"/>
      <c r="E266" s="173" t="n"/>
      <c r="F266" s="96" t="n"/>
      <c r="G266" s="96" t="n"/>
      <c r="H266" s="111" t="n"/>
      <c r="I266" s="96" t="n"/>
      <c r="J266" s="96" t="n"/>
      <c r="K266" s="96" t="n"/>
      <c r="L266" s="111" t="n"/>
      <c r="M266" s="96" t="n"/>
      <c r="N266" s="96" t="n"/>
      <c r="O266" s="111" t="n"/>
      <c r="P266" s="111" t="n"/>
      <c r="Q266" s="111" t="n"/>
      <c r="R266" s="96" t="n"/>
      <c r="S266" s="96" t="n"/>
      <c r="T266" s="96" t="n"/>
      <c r="U266" s="96" t="n"/>
      <c r="V266" s="161" t="n"/>
      <c r="W266" s="96" t="n"/>
      <c r="X266" s="161" t="n"/>
      <c r="Y266" s="97" t="n"/>
      <c r="Z266" s="97" t="n"/>
      <c r="AA266" s="97" t="n"/>
      <c r="AB266" s="97" t="n"/>
      <c r="AC266" s="97" t="n"/>
      <c r="AD266" s="161" t="n"/>
      <c r="AE266" s="174" t="n"/>
      <c r="AF266" s="96" t="n"/>
      <c r="AG266" s="97" t="n"/>
      <c r="AH266" s="97" t="n"/>
      <c r="AI266" s="97" t="n"/>
      <c r="AJ266" s="96" t="n"/>
      <c r="AK266" s="130" t="n"/>
    </row>
    <row r="267" ht="12" customHeight="1">
      <c r="A267" s="108" t="inlineStr">
        <is>
          <t>SKHU6336871</t>
        </is>
      </c>
      <c r="B267" s="108" t="n"/>
      <c r="C267" s="108" t="n"/>
      <c r="D267" s="172" t="n"/>
      <c r="E267" s="173" t="n"/>
      <c r="F267" s="96" t="n"/>
      <c r="G267" s="96" t="n"/>
      <c r="H267" s="111" t="n"/>
      <c r="I267" s="96" t="n"/>
      <c r="J267" s="96" t="n"/>
      <c r="K267" s="96" t="n"/>
      <c r="L267" s="111" t="n"/>
      <c r="M267" s="96" t="n"/>
      <c r="N267" s="96" t="n"/>
      <c r="O267" s="111" t="n"/>
      <c r="P267" s="111" t="n"/>
      <c r="Q267" s="111" t="n"/>
      <c r="R267" s="96" t="n"/>
      <c r="S267" s="96" t="n"/>
      <c r="T267" s="96" t="n"/>
      <c r="U267" s="96" t="n"/>
      <c r="V267" s="161" t="n"/>
      <c r="W267" s="96" t="n"/>
      <c r="X267" s="161" t="n"/>
      <c r="Y267" s="97" t="n"/>
      <c r="Z267" s="97" t="n"/>
      <c r="AA267" s="97" t="n"/>
      <c r="AB267" s="97" t="n"/>
      <c r="AC267" s="97" t="n"/>
      <c r="AD267" s="161" t="n"/>
      <c r="AE267" s="174" t="n"/>
      <c r="AF267" s="96" t="n"/>
      <c r="AG267" s="97" t="n"/>
      <c r="AH267" s="97" t="n"/>
      <c r="AI267" s="97" t="n"/>
      <c r="AJ267" s="96" t="n"/>
      <c r="AK267" s="130" t="n"/>
    </row>
    <row r="268" ht="12" customHeight="1">
      <c r="A268" s="108" t="inlineStr">
        <is>
          <t>SKHU6365801</t>
        </is>
      </c>
      <c r="B268" s="108" t="n"/>
      <c r="C268" s="108" t="n"/>
      <c r="D268" s="172" t="n"/>
      <c r="E268" s="173" t="n"/>
      <c r="F268" s="96" t="n"/>
      <c r="G268" s="96" t="n"/>
      <c r="H268" s="111" t="n"/>
      <c r="I268" s="96" t="n"/>
      <c r="J268" s="96" t="n"/>
      <c r="K268" s="96" t="n"/>
      <c r="L268" s="111" t="n"/>
      <c r="M268" s="96" t="n"/>
      <c r="N268" s="96" t="n"/>
      <c r="O268" s="111" t="n"/>
      <c r="P268" s="111" t="n"/>
      <c r="Q268" s="111" t="n"/>
      <c r="R268" s="96" t="n"/>
      <c r="S268" s="96" t="n"/>
      <c r="T268" s="96" t="n"/>
      <c r="U268" s="96" t="n"/>
      <c r="V268" s="161" t="n"/>
      <c r="W268" s="96" t="n"/>
      <c r="X268" s="161" t="n"/>
      <c r="Y268" s="97" t="n"/>
      <c r="Z268" s="97" t="n"/>
      <c r="AA268" s="97" t="n"/>
      <c r="AB268" s="97" t="n"/>
      <c r="AC268" s="97" t="n"/>
      <c r="AD268" s="161" t="n"/>
      <c r="AE268" s="174" t="n"/>
      <c r="AF268" s="96" t="n"/>
      <c r="AG268" s="97" t="n"/>
      <c r="AH268" s="97" t="n"/>
      <c r="AI268" s="97" t="n"/>
      <c r="AJ268" s="96" t="n"/>
      <c r="AK268" s="130" t="n"/>
    </row>
    <row r="269" ht="12" customHeight="1">
      <c r="A269" s="108" t="inlineStr">
        <is>
          <t>SKHU6428411</t>
        </is>
      </c>
      <c r="B269" s="108" t="n"/>
      <c r="C269" s="108" t="n"/>
      <c r="D269" s="172" t="n"/>
      <c r="E269" s="173" t="n"/>
      <c r="F269" s="96" t="n"/>
      <c r="G269" s="96" t="n"/>
      <c r="H269" s="111" t="n"/>
      <c r="I269" s="96" t="n"/>
      <c r="J269" s="96" t="n"/>
      <c r="K269" s="96" t="n"/>
      <c r="L269" s="111" t="n"/>
      <c r="M269" s="96" t="n"/>
      <c r="N269" s="96" t="n"/>
      <c r="O269" s="111" t="n"/>
      <c r="P269" s="111" t="n"/>
      <c r="Q269" s="111" t="n"/>
      <c r="R269" s="96" t="n"/>
      <c r="S269" s="96" t="n"/>
      <c r="T269" s="96" t="n"/>
      <c r="U269" s="96" t="n"/>
      <c r="V269" s="161" t="n"/>
      <c r="W269" s="96" t="n"/>
      <c r="X269" s="161" t="n"/>
      <c r="Y269" s="97" t="n"/>
      <c r="Z269" s="97" t="n"/>
      <c r="AA269" s="97" t="n"/>
      <c r="AB269" s="97" t="n"/>
      <c r="AC269" s="97" t="n"/>
      <c r="AD269" s="161" t="n"/>
      <c r="AE269" s="174" t="n"/>
      <c r="AF269" s="96" t="n"/>
      <c r="AG269" s="97" t="n"/>
      <c r="AH269" s="97" t="n"/>
      <c r="AI269" s="97" t="n"/>
      <c r="AJ269" s="96" t="n"/>
      <c r="AK269" s="130" t="n"/>
    </row>
    <row r="270" ht="12" customHeight="1">
      <c r="A270" s="108" t="inlineStr">
        <is>
          <t>SKHU6432962</t>
        </is>
      </c>
      <c r="B270" s="108" t="n"/>
      <c r="C270" s="108" t="n"/>
      <c r="D270" s="172" t="n"/>
      <c r="E270" s="173" t="n"/>
      <c r="F270" s="96" t="n"/>
      <c r="G270" s="96" t="n"/>
      <c r="H270" s="111" t="n"/>
      <c r="I270" s="96" t="n"/>
      <c r="J270" s="96" t="n"/>
      <c r="K270" s="96" t="n"/>
      <c r="L270" s="111" t="n"/>
      <c r="M270" s="96" t="n"/>
      <c r="N270" s="96" t="n"/>
      <c r="O270" s="111" t="n"/>
      <c r="P270" s="111" t="n"/>
      <c r="Q270" s="111" t="n"/>
      <c r="R270" s="96" t="n"/>
      <c r="S270" s="96" t="n"/>
      <c r="T270" s="96" t="n"/>
      <c r="U270" s="96" t="n"/>
      <c r="V270" s="161" t="n"/>
      <c r="W270" s="96" t="n"/>
      <c r="X270" s="161" t="n"/>
      <c r="Y270" s="97" t="n"/>
      <c r="Z270" s="97" t="n"/>
      <c r="AA270" s="97" t="n"/>
      <c r="AB270" s="97" t="n"/>
      <c r="AC270" s="97" t="n"/>
      <c r="AD270" s="161" t="n"/>
      <c r="AE270" s="174" t="n"/>
      <c r="AF270" s="96" t="n"/>
      <c r="AG270" s="97" t="n"/>
      <c r="AH270" s="97" t="n"/>
      <c r="AI270" s="97" t="n"/>
      <c r="AJ270" s="96" t="n"/>
      <c r="AK270" s="130" t="n"/>
    </row>
    <row r="271" ht="12" customHeight="1">
      <c r="A271" s="108" t="inlineStr">
        <is>
          <t>SKHU6447746</t>
        </is>
      </c>
      <c r="B271" s="108" t="n"/>
      <c r="C271" s="108" t="n"/>
      <c r="D271" s="172" t="n"/>
      <c r="E271" s="173" t="n"/>
      <c r="F271" s="96" t="n"/>
      <c r="G271" s="96" t="n"/>
      <c r="H271" s="111" t="n"/>
      <c r="I271" s="96" t="n"/>
      <c r="J271" s="96" t="n"/>
      <c r="K271" s="96" t="n"/>
      <c r="L271" s="111" t="n"/>
      <c r="M271" s="96" t="n"/>
      <c r="N271" s="96" t="n"/>
      <c r="O271" s="111" t="n"/>
      <c r="P271" s="111" t="n"/>
      <c r="Q271" s="111" t="n"/>
      <c r="R271" s="96" t="n"/>
      <c r="S271" s="96" t="n"/>
      <c r="T271" s="96" t="n"/>
      <c r="U271" s="96" t="n"/>
      <c r="V271" s="161" t="n"/>
      <c r="W271" s="96" t="n"/>
      <c r="X271" s="161" t="n"/>
      <c r="Y271" s="97" t="n"/>
      <c r="Z271" s="97" t="n"/>
      <c r="AA271" s="97" t="n"/>
      <c r="AB271" s="97" t="n"/>
      <c r="AC271" s="97" t="n"/>
      <c r="AD271" s="161" t="n"/>
      <c r="AE271" s="174" t="n"/>
      <c r="AF271" s="96" t="n"/>
      <c r="AG271" s="97" t="n"/>
      <c r="AH271" s="97" t="n"/>
      <c r="AI271" s="97" t="n"/>
      <c r="AJ271" s="96" t="n"/>
      <c r="AK271" s="130" t="n"/>
    </row>
    <row r="272" ht="12" customHeight="1">
      <c r="A272" s="108" t="inlineStr">
        <is>
          <t>SKHU6455818</t>
        </is>
      </c>
      <c r="B272" s="108" t="n"/>
      <c r="C272" s="108" t="n"/>
      <c r="D272" s="172" t="n"/>
      <c r="E272" s="173" t="n"/>
      <c r="F272" s="96" t="n"/>
      <c r="G272" s="96" t="n"/>
      <c r="H272" s="111" t="n"/>
      <c r="I272" s="96" t="n"/>
      <c r="J272" s="96" t="n"/>
      <c r="K272" s="96" t="n"/>
      <c r="L272" s="111" t="n"/>
      <c r="M272" s="96" t="n"/>
      <c r="N272" s="96" t="n"/>
      <c r="O272" s="111" t="n"/>
      <c r="P272" s="111" t="n"/>
      <c r="Q272" s="111" t="n"/>
      <c r="R272" s="96" t="n"/>
      <c r="S272" s="96" t="n"/>
      <c r="T272" s="96" t="n"/>
      <c r="U272" s="96" t="n"/>
      <c r="V272" s="161" t="n"/>
      <c r="W272" s="96" t="n"/>
      <c r="X272" s="161" t="n"/>
      <c r="Y272" s="97" t="n"/>
      <c r="Z272" s="97" t="n"/>
      <c r="AA272" s="97" t="n"/>
      <c r="AB272" s="97" t="n"/>
      <c r="AC272" s="97" t="n"/>
      <c r="AD272" s="161" t="n"/>
      <c r="AE272" s="174" t="n"/>
      <c r="AF272" s="96" t="n"/>
      <c r="AG272" s="97" t="n"/>
      <c r="AH272" s="97" t="n"/>
      <c r="AI272" s="97" t="n"/>
      <c r="AJ272" s="96" t="n"/>
      <c r="AK272" s="130" t="n"/>
    </row>
    <row r="273" ht="12" customHeight="1">
      <c r="A273" s="108" t="inlineStr">
        <is>
          <t>SKHU6480019</t>
        </is>
      </c>
      <c r="B273" s="108" t="n"/>
      <c r="C273" s="108" t="n"/>
      <c r="D273" s="172" t="n"/>
      <c r="E273" s="173" t="n"/>
      <c r="F273" s="96" t="n"/>
      <c r="G273" s="96" t="n"/>
      <c r="H273" s="111" t="n"/>
      <c r="I273" s="96" t="n"/>
      <c r="J273" s="96" t="n"/>
      <c r="K273" s="96" t="n"/>
      <c r="L273" s="111" t="n"/>
      <c r="M273" s="96" t="n"/>
      <c r="N273" s="96" t="n"/>
      <c r="O273" s="111" t="n"/>
      <c r="P273" s="111" t="n"/>
      <c r="Q273" s="111" t="n"/>
      <c r="R273" s="96" t="n"/>
      <c r="S273" s="96" t="n"/>
      <c r="T273" s="96" t="n"/>
      <c r="U273" s="96" t="n"/>
      <c r="V273" s="161" t="n"/>
      <c r="W273" s="96" t="n"/>
      <c r="X273" s="161" t="n"/>
      <c r="Y273" s="97" t="n"/>
      <c r="Z273" s="97" t="n"/>
      <c r="AA273" s="97" t="n"/>
      <c r="AB273" s="97" t="n"/>
      <c r="AC273" s="97" t="n"/>
      <c r="AD273" s="161" t="n"/>
      <c r="AE273" s="174" t="n"/>
      <c r="AF273" s="96" t="n"/>
      <c r="AG273" s="97" t="n"/>
      <c r="AH273" s="97" t="n"/>
      <c r="AI273" s="97" t="n"/>
      <c r="AJ273" s="96" t="n"/>
      <c r="AK273" s="130" t="n"/>
    </row>
    <row r="274" ht="12" customHeight="1">
      <c r="A274" s="108" t="inlineStr">
        <is>
          <t>SKHU6521062</t>
        </is>
      </c>
      <c r="B274" s="108" t="n"/>
      <c r="C274" s="108" t="n"/>
      <c r="D274" s="172" t="n"/>
      <c r="E274" s="173" t="n"/>
      <c r="F274" s="96" t="n"/>
      <c r="G274" s="96" t="n"/>
      <c r="H274" s="111" t="n"/>
      <c r="I274" s="96" t="n"/>
      <c r="J274" s="96" t="n"/>
      <c r="K274" s="96" t="n"/>
      <c r="L274" s="111" t="n"/>
      <c r="M274" s="96" t="n"/>
      <c r="N274" s="96" t="n"/>
      <c r="O274" s="111" t="n"/>
      <c r="P274" s="111" t="n"/>
      <c r="Q274" s="111" t="n"/>
      <c r="R274" s="96" t="n"/>
      <c r="S274" s="96" t="n"/>
      <c r="T274" s="96" t="n"/>
      <c r="U274" s="96" t="n"/>
      <c r="V274" s="161" t="n"/>
      <c r="W274" s="96" t="n"/>
      <c r="X274" s="161" t="n"/>
      <c r="Y274" s="97" t="n"/>
      <c r="Z274" s="97" t="n"/>
      <c r="AA274" s="97" t="n"/>
      <c r="AB274" s="97" t="n"/>
      <c r="AC274" s="97" t="n"/>
      <c r="AD274" s="161" t="n"/>
      <c r="AE274" s="174" t="n"/>
      <c r="AF274" s="96" t="n"/>
      <c r="AG274" s="97" t="n"/>
      <c r="AH274" s="97" t="n"/>
      <c r="AI274" s="97" t="n"/>
      <c r="AJ274" s="96" t="n"/>
      <c r="AK274" s="130" t="n"/>
    </row>
    <row r="275" ht="12" customHeight="1">
      <c r="A275" s="108" t="inlineStr">
        <is>
          <t>SKHU6557912</t>
        </is>
      </c>
      <c r="B275" s="108" t="n"/>
      <c r="C275" s="108" t="n"/>
      <c r="D275" s="172" t="n"/>
      <c r="E275" s="173" t="n"/>
      <c r="F275" s="96" t="n"/>
      <c r="G275" s="96" t="n"/>
      <c r="H275" s="111" t="n"/>
      <c r="I275" s="96" t="n"/>
      <c r="J275" s="96" t="n"/>
      <c r="K275" s="96" t="n"/>
      <c r="L275" s="111" t="n"/>
      <c r="M275" s="96" t="n"/>
      <c r="N275" s="96" t="n"/>
      <c r="O275" s="111" t="n"/>
      <c r="P275" s="111" t="n"/>
      <c r="Q275" s="111" t="n"/>
      <c r="R275" s="96" t="n"/>
      <c r="S275" s="96" t="n"/>
      <c r="T275" s="96" t="n"/>
      <c r="U275" s="96" t="n"/>
      <c r="V275" s="161" t="n"/>
      <c r="W275" s="96" t="n"/>
      <c r="X275" s="161" t="n"/>
      <c r="Y275" s="97" t="n"/>
      <c r="Z275" s="97" t="n"/>
      <c r="AA275" s="97" t="n"/>
      <c r="AB275" s="97" t="n"/>
      <c r="AC275" s="97" t="n"/>
      <c r="AD275" s="161" t="n"/>
      <c r="AE275" s="174" t="n"/>
      <c r="AF275" s="96" t="n"/>
      <c r="AG275" s="97" t="n"/>
      <c r="AH275" s="97" t="n"/>
      <c r="AI275" s="97" t="n"/>
      <c r="AJ275" s="96" t="n"/>
      <c r="AK275" s="130" t="n"/>
    </row>
    <row r="276" ht="12" customHeight="1">
      <c r="A276" s="108" t="inlineStr">
        <is>
          <t>SKHU6580086</t>
        </is>
      </c>
      <c r="B276" s="108" t="n"/>
      <c r="C276" s="108" t="n"/>
      <c r="D276" s="172" t="n"/>
      <c r="E276" s="173" t="n"/>
      <c r="F276" s="96" t="n"/>
      <c r="G276" s="96" t="n"/>
      <c r="H276" s="111" t="n"/>
      <c r="I276" s="96" t="n"/>
      <c r="J276" s="96" t="n"/>
      <c r="K276" s="96" t="n"/>
      <c r="L276" s="111" t="n"/>
      <c r="M276" s="96" t="n"/>
      <c r="N276" s="96" t="n"/>
      <c r="O276" s="111" t="n"/>
      <c r="P276" s="111" t="n"/>
      <c r="Q276" s="111" t="n"/>
      <c r="R276" s="96" t="n"/>
      <c r="S276" s="96" t="n"/>
      <c r="T276" s="96" t="n"/>
      <c r="U276" s="96" t="n"/>
      <c r="V276" s="161" t="n"/>
      <c r="W276" s="96" t="n"/>
      <c r="X276" s="161" t="n"/>
      <c r="Y276" s="97" t="n"/>
      <c r="Z276" s="97" t="n"/>
      <c r="AA276" s="97" t="n"/>
      <c r="AB276" s="97" t="n"/>
      <c r="AC276" s="97" t="n"/>
      <c r="AD276" s="161" t="n"/>
      <c r="AE276" s="174" t="n"/>
      <c r="AF276" s="96" t="n"/>
      <c r="AG276" s="97" t="n"/>
      <c r="AH276" s="97" t="n"/>
      <c r="AI276" s="97" t="n"/>
      <c r="AJ276" s="96" t="n"/>
      <c r="AK276" s="130" t="n"/>
    </row>
    <row r="277" ht="12" customHeight="1">
      <c r="A277" s="108" t="inlineStr">
        <is>
          <t>SKHU6582978</t>
        </is>
      </c>
      <c r="B277" s="108" t="n"/>
      <c r="C277" s="108" t="n"/>
      <c r="D277" s="172" t="n"/>
      <c r="E277" s="173" t="n"/>
      <c r="F277" s="96" t="n"/>
      <c r="G277" s="96" t="n"/>
      <c r="H277" s="111" t="n"/>
      <c r="I277" s="96" t="n"/>
      <c r="J277" s="96" t="n"/>
      <c r="K277" s="96" t="n"/>
      <c r="L277" s="111" t="n"/>
      <c r="M277" s="96" t="n"/>
      <c r="N277" s="96" t="n"/>
      <c r="O277" s="111" t="n"/>
      <c r="P277" s="111" t="n"/>
      <c r="Q277" s="111" t="n"/>
      <c r="R277" s="96" t="n"/>
      <c r="S277" s="96" t="n"/>
      <c r="T277" s="96" t="n"/>
      <c r="U277" s="96" t="n"/>
      <c r="V277" s="161" t="n"/>
      <c r="W277" s="96" t="n"/>
      <c r="X277" s="161" t="n"/>
      <c r="Y277" s="97" t="n"/>
      <c r="Z277" s="97" t="n"/>
      <c r="AA277" s="97" t="n"/>
      <c r="AB277" s="97" t="n"/>
      <c r="AC277" s="97" t="n"/>
      <c r="AD277" s="161" t="n"/>
      <c r="AE277" s="174" t="n"/>
      <c r="AF277" s="96" t="n"/>
      <c r="AG277" s="97" t="n"/>
      <c r="AH277" s="97" t="n"/>
      <c r="AI277" s="97" t="n"/>
      <c r="AJ277" s="96" t="n"/>
      <c r="AK277" s="130" t="n"/>
    </row>
    <row r="278" ht="12" customHeight="1">
      <c r="A278" s="108" t="inlineStr">
        <is>
          <t>SKHU8304894</t>
        </is>
      </c>
      <c r="B278" s="108" t="n"/>
      <c r="C278" s="108" t="n"/>
      <c r="D278" s="172" t="n"/>
      <c r="E278" s="173" t="n"/>
      <c r="F278" s="96" t="n"/>
      <c r="G278" s="96" t="n"/>
      <c r="H278" s="111" t="n"/>
      <c r="I278" s="96" t="n"/>
      <c r="J278" s="96" t="n"/>
      <c r="K278" s="96" t="n"/>
      <c r="L278" s="111" t="n"/>
      <c r="M278" s="96" t="n"/>
      <c r="N278" s="96" t="n"/>
      <c r="O278" s="111" t="n"/>
      <c r="P278" s="111" t="n"/>
      <c r="Q278" s="111" t="n"/>
      <c r="R278" s="96" t="n"/>
      <c r="S278" s="96" t="n"/>
      <c r="T278" s="96" t="n"/>
      <c r="U278" s="96" t="n"/>
      <c r="V278" s="161" t="n"/>
      <c r="W278" s="96" t="n"/>
      <c r="X278" s="161" t="n"/>
      <c r="Y278" s="97" t="n"/>
      <c r="Z278" s="97" t="n"/>
      <c r="AA278" s="97" t="n"/>
      <c r="AB278" s="97" t="n"/>
      <c r="AC278" s="97" t="n"/>
      <c r="AD278" s="161" t="n"/>
      <c r="AE278" s="174" t="n"/>
      <c r="AF278" s="96" t="n"/>
      <c r="AG278" s="97" t="n"/>
      <c r="AH278" s="97" t="n"/>
      <c r="AI278" s="97" t="n"/>
      <c r="AJ278" s="96" t="n"/>
      <c r="AK278" s="130" t="n"/>
    </row>
    <row r="279" ht="12" customHeight="1">
      <c r="A279" s="108" t="inlineStr">
        <is>
          <t>SKHU8414572</t>
        </is>
      </c>
      <c r="B279" s="108" t="n"/>
      <c r="C279" s="108" t="n"/>
      <c r="D279" s="172" t="n"/>
      <c r="E279" s="173" t="n"/>
      <c r="F279" s="96" t="n"/>
      <c r="G279" s="96" t="n"/>
      <c r="H279" s="111" t="n"/>
      <c r="I279" s="96" t="n"/>
      <c r="J279" s="96" t="n"/>
      <c r="K279" s="96" t="n"/>
      <c r="L279" s="111" t="n"/>
      <c r="M279" s="96" t="n"/>
      <c r="N279" s="96" t="n"/>
      <c r="O279" s="111" t="n"/>
      <c r="P279" s="111" t="n"/>
      <c r="Q279" s="111" t="n"/>
      <c r="R279" s="96" t="n"/>
      <c r="S279" s="96" t="n"/>
      <c r="T279" s="96" t="n"/>
      <c r="U279" s="96" t="n"/>
      <c r="V279" s="161" t="n"/>
      <c r="W279" s="96" t="n"/>
      <c r="X279" s="161" t="n"/>
      <c r="Y279" s="97" t="n"/>
      <c r="Z279" s="97" t="n"/>
      <c r="AA279" s="97" t="n"/>
      <c r="AB279" s="97" t="n"/>
      <c r="AC279" s="97" t="n"/>
      <c r="AD279" s="161" t="n"/>
      <c r="AE279" s="174" t="n"/>
      <c r="AF279" s="96" t="n"/>
      <c r="AG279" s="97" t="n"/>
      <c r="AH279" s="97" t="n"/>
      <c r="AI279" s="97" t="n"/>
      <c r="AJ279" s="96" t="n"/>
      <c r="AK279" s="130" t="n"/>
    </row>
    <row r="280" ht="12" customHeight="1">
      <c r="A280" s="108" t="inlineStr">
        <is>
          <t>SKHU8705670</t>
        </is>
      </c>
      <c r="B280" s="108" t="n"/>
      <c r="C280" s="108" t="n"/>
      <c r="D280" s="172" t="n"/>
      <c r="E280" s="173" t="n"/>
      <c r="F280" s="96" t="n"/>
      <c r="G280" s="96" t="n"/>
      <c r="H280" s="111" t="n"/>
      <c r="I280" s="96" t="n"/>
      <c r="J280" s="96" t="n"/>
      <c r="K280" s="96" t="n"/>
      <c r="L280" s="111" t="n"/>
      <c r="M280" s="96" t="n"/>
      <c r="N280" s="96" t="n"/>
      <c r="O280" s="111" t="n"/>
      <c r="P280" s="111" t="n"/>
      <c r="Q280" s="111" t="n"/>
      <c r="R280" s="96" t="n"/>
      <c r="S280" s="96" t="n"/>
      <c r="T280" s="96" t="n"/>
      <c r="U280" s="96" t="n"/>
      <c r="V280" s="161" t="n"/>
      <c r="W280" s="96" t="n"/>
      <c r="X280" s="161" t="n"/>
      <c r="Y280" s="97" t="n"/>
      <c r="Z280" s="97" t="n"/>
      <c r="AA280" s="97" t="n"/>
      <c r="AB280" s="97" t="n"/>
      <c r="AC280" s="97" t="n"/>
      <c r="AD280" s="161" t="n"/>
      <c r="AE280" s="174" t="n"/>
      <c r="AF280" s="96" t="n"/>
      <c r="AG280" s="97" t="n"/>
      <c r="AH280" s="97" t="n"/>
      <c r="AI280" s="97" t="n"/>
      <c r="AJ280" s="96" t="n"/>
      <c r="AK280" s="130" t="n"/>
    </row>
    <row r="281" ht="12" customHeight="1">
      <c r="A281" s="108" t="inlineStr">
        <is>
          <t>SKHU8902089</t>
        </is>
      </c>
      <c r="B281" s="108" t="n"/>
      <c r="C281" s="108" t="n"/>
      <c r="D281" s="172" t="n"/>
      <c r="E281" s="173" t="n"/>
      <c r="F281" s="96" t="n"/>
      <c r="G281" s="96" t="n"/>
      <c r="H281" s="111" t="n"/>
      <c r="I281" s="96" t="n"/>
      <c r="J281" s="96" t="n"/>
      <c r="K281" s="96" t="n"/>
      <c r="L281" s="111" t="n"/>
      <c r="M281" s="96" t="n"/>
      <c r="N281" s="96" t="n"/>
      <c r="O281" s="111" t="n"/>
      <c r="P281" s="111" t="n"/>
      <c r="Q281" s="111" t="n"/>
      <c r="R281" s="96" t="n"/>
      <c r="S281" s="96" t="n"/>
      <c r="T281" s="96" t="n"/>
      <c r="U281" s="96" t="n"/>
      <c r="V281" s="161" t="n"/>
      <c r="W281" s="96" t="n"/>
      <c r="X281" s="161" t="n"/>
      <c r="Y281" s="97" t="n"/>
      <c r="Z281" s="97" t="n"/>
      <c r="AA281" s="97" t="n"/>
      <c r="AB281" s="97" t="n"/>
      <c r="AC281" s="97" t="n"/>
      <c r="AD281" s="161" t="n"/>
      <c r="AE281" s="174" t="n"/>
      <c r="AF281" s="96" t="n"/>
      <c r="AG281" s="97" t="n"/>
      <c r="AH281" s="97" t="n"/>
      <c r="AI281" s="97" t="n"/>
      <c r="AJ281" s="96" t="n"/>
      <c r="AK281" s="130" t="n"/>
    </row>
    <row r="282" ht="12" customHeight="1">
      <c r="A282" s="108" t="inlineStr">
        <is>
          <t>SKHU9110949</t>
        </is>
      </c>
      <c r="B282" s="108" t="n"/>
      <c r="C282" s="108" t="n"/>
      <c r="D282" s="172" t="n"/>
      <c r="E282" s="173" t="n"/>
      <c r="F282" s="96" t="n"/>
      <c r="G282" s="96" t="n"/>
      <c r="H282" s="111" t="n"/>
      <c r="I282" s="96" t="n"/>
      <c r="J282" s="96" t="n"/>
      <c r="K282" s="96" t="n"/>
      <c r="L282" s="111" t="n"/>
      <c r="M282" s="96" t="n"/>
      <c r="N282" s="96" t="n"/>
      <c r="O282" s="111" t="n"/>
      <c r="P282" s="111" t="n"/>
      <c r="Q282" s="111" t="n"/>
      <c r="R282" s="96" t="n"/>
      <c r="S282" s="96" t="n"/>
      <c r="T282" s="96" t="n"/>
      <c r="U282" s="96" t="n"/>
      <c r="V282" s="161" t="n"/>
      <c r="W282" s="96" t="n"/>
      <c r="X282" s="161" t="n"/>
      <c r="Y282" s="97" t="n"/>
      <c r="Z282" s="97" t="n"/>
      <c r="AA282" s="97" t="n"/>
      <c r="AB282" s="97" t="n"/>
      <c r="AC282" s="97" t="n"/>
      <c r="AD282" s="161" t="n"/>
      <c r="AE282" s="174" t="n"/>
      <c r="AF282" s="96" t="n"/>
      <c r="AG282" s="97" t="n"/>
      <c r="AH282" s="97" t="n"/>
      <c r="AI282" s="97" t="n"/>
      <c r="AJ282" s="96" t="n"/>
      <c r="AK282" s="130" t="n"/>
    </row>
    <row r="283" ht="12" customHeight="1">
      <c r="A283" s="108" t="inlineStr">
        <is>
          <t>SKHU9415336</t>
        </is>
      </c>
      <c r="B283" s="108" t="n"/>
      <c r="C283" s="108" t="n"/>
      <c r="D283" s="172" t="n"/>
      <c r="E283" s="173" t="n"/>
      <c r="F283" s="96" t="n"/>
      <c r="G283" s="96" t="n"/>
      <c r="H283" s="111" t="n"/>
      <c r="I283" s="96" t="n"/>
      <c r="J283" s="96" t="n"/>
      <c r="K283" s="96" t="n"/>
      <c r="L283" s="111" t="n"/>
      <c r="M283" s="96" t="n"/>
      <c r="N283" s="96" t="n"/>
      <c r="O283" s="111" t="n"/>
      <c r="P283" s="111" t="n"/>
      <c r="Q283" s="111" t="n"/>
      <c r="R283" s="96" t="n"/>
      <c r="S283" s="96" t="n"/>
      <c r="T283" s="96" t="n"/>
      <c r="U283" s="96" t="n"/>
      <c r="V283" s="161" t="n"/>
      <c r="W283" s="96" t="n"/>
      <c r="X283" s="161" t="n"/>
      <c r="Y283" s="97" t="n"/>
      <c r="Z283" s="97" t="n"/>
      <c r="AA283" s="97" t="n"/>
      <c r="AB283" s="97" t="n"/>
      <c r="AC283" s="97" t="n"/>
      <c r="AD283" s="161" t="n"/>
      <c r="AE283" s="174" t="n"/>
      <c r="AF283" s="96" t="n"/>
      <c r="AG283" s="97" t="n"/>
      <c r="AH283" s="97" t="n"/>
      <c r="AI283" s="97" t="n"/>
      <c r="AJ283" s="96" t="n"/>
      <c r="AK283" s="130" t="n"/>
    </row>
    <row r="284" ht="12" customHeight="1">
      <c r="A284" s="108" t="inlineStr">
        <is>
          <t>SKHU9507746</t>
        </is>
      </c>
      <c r="B284" s="108" t="n"/>
      <c r="C284" s="108" t="n"/>
      <c r="D284" s="172" t="n"/>
      <c r="E284" s="173" t="n"/>
      <c r="F284" s="96" t="n"/>
      <c r="G284" s="96" t="n"/>
      <c r="H284" s="111" t="n"/>
      <c r="I284" s="96" t="n"/>
      <c r="J284" s="96" t="n"/>
      <c r="K284" s="96" t="n"/>
      <c r="L284" s="111" t="n"/>
      <c r="M284" s="96" t="n"/>
      <c r="N284" s="96" t="n"/>
      <c r="O284" s="111" t="n"/>
      <c r="P284" s="111" t="n"/>
      <c r="Q284" s="111" t="n"/>
      <c r="R284" s="96" t="n"/>
      <c r="S284" s="96" t="n"/>
      <c r="T284" s="96" t="n"/>
      <c r="U284" s="96" t="n"/>
      <c r="V284" s="161" t="n"/>
      <c r="W284" s="96" t="n"/>
      <c r="X284" s="161" t="n"/>
      <c r="Y284" s="97" t="n"/>
      <c r="Z284" s="97" t="n"/>
      <c r="AA284" s="97" t="n"/>
      <c r="AB284" s="97" t="n"/>
      <c r="AC284" s="97" t="n"/>
      <c r="AD284" s="161" t="n"/>
      <c r="AE284" s="174" t="n"/>
      <c r="AF284" s="96" t="n"/>
      <c r="AG284" s="97" t="n"/>
      <c r="AH284" s="97" t="n"/>
      <c r="AI284" s="97" t="n"/>
      <c r="AJ284" s="96" t="n"/>
      <c r="AK284" s="130" t="n"/>
    </row>
    <row r="285" ht="12" customHeight="1">
      <c r="A285" s="108" t="inlineStr">
        <is>
          <t>SKHU9626133</t>
        </is>
      </c>
      <c r="B285" s="108" t="n"/>
      <c r="C285" s="108" t="n"/>
      <c r="D285" s="172" t="n"/>
      <c r="E285" s="173" t="n"/>
      <c r="F285" s="96" t="n"/>
      <c r="G285" s="96" t="n"/>
      <c r="H285" s="111" t="n"/>
      <c r="I285" s="96" t="n"/>
      <c r="J285" s="96" t="n"/>
      <c r="K285" s="96" t="n"/>
      <c r="L285" s="111" t="n"/>
      <c r="M285" s="96" t="n"/>
      <c r="N285" s="96" t="n"/>
      <c r="O285" s="111" t="n"/>
      <c r="P285" s="111" t="n"/>
      <c r="Q285" s="111" t="n"/>
      <c r="R285" s="96" t="n"/>
      <c r="S285" s="96" t="n"/>
      <c r="T285" s="96" t="n"/>
      <c r="U285" s="96" t="n"/>
      <c r="V285" s="161" t="n"/>
      <c r="W285" s="96" t="n"/>
      <c r="X285" s="161" t="n"/>
      <c r="Y285" s="97" t="n"/>
      <c r="Z285" s="97" t="n"/>
      <c r="AA285" s="97" t="n"/>
      <c r="AB285" s="97" t="n"/>
      <c r="AC285" s="97" t="n"/>
      <c r="AD285" s="161" t="n"/>
      <c r="AE285" s="174" t="n"/>
      <c r="AF285" s="96" t="n"/>
      <c r="AG285" s="97" t="n"/>
      <c r="AH285" s="97" t="n"/>
      <c r="AI285" s="97" t="n"/>
      <c r="AJ285" s="96" t="n"/>
      <c r="AK285" s="130" t="n"/>
    </row>
    <row r="286" ht="12" customHeight="1">
      <c r="A286" s="108" t="inlineStr">
        <is>
          <t>SKHU9633847</t>
        </is>
      </c>
      <c r="B286" s="108" t="n"/>
      <c r="C286" s="108" t="n"/>
      <c r="D286" s="172" t="n"/>
      <c r="E286" s="173" t="n"/>
      <c r="F286" s="96" t="n"/>
      <c r="G286" s="96" t="n"/>
      <c r="H286" s="111" t="n"/>
      <c r="I286" s="96" t="n"/>
      <c r="J286" s="96" t="n"/>
      <c r="K286" s="96" t="n"/>
      <c r="L286" s="111" t="n"/>
      <c r="M286" s="96" t="n"/>
      <c r="N286" s="96" t="n"/>
      <c r="O286" s="111" t="n"/>
      <c r="P286" s="111" t="n"/>
      <c r="Q286" s="111" t="n"/>
      <c r="R286" s="96" t="n"/>
      <c r="S286" s="96" t="n"/>
      <c r="T286" s="96" t="n"/>
      <c r="U286" s="96" t="n"/>
      <c r="V286" s="161" t="n"/>
      <c r="W286" s="96" t="n"/>
      <c r="X286" s="161" t="n"/>
      <c r="Y286" s="97" t="n"/>
      <c r="Z286" s="97" t="n"/>
      <c r="AA286" s="97" t="n"/>
      <c r="AB286" s="97" t="n"/>
      <c r="AC286" s="97" t="n"/>
      <c r="AD286" s="161" t="n"/>
      <c r="AE286" s="174" t="n"/>
      <c r="AF286" s="96" t="n"/>
      <c r="AG286" s="97" t="n"/>
      <c r="AH286" s="97" t="n"/>
      <c r="AI286" s="97" t="n"/>
      <c r="AJ286" s="96" t="n"/>
      <c r="AK286" s="130" t="n"/>
    </row>
    <row r="287" ht="12" customHeight="1">
      <c r="A287" s="108" t="inlineStr">
        <is>
          <t>SKHU9801771</t>
        </is>
      </c>
      <c r="B287" s="108" t="n"/>
      <c r="C287" s="108" t="n"/>
      <c r="D287" s="172" t="n"/>
      <c r="E287" s="173" t="n"/>
      <c r="F287" s="96" t="n"/>
      <c r="G287" s="96" t="n"/>
      <c r="H287" s="111" t="n"/>
      <c r="I287" s="96" t="n"/>
      <c r="J287" s="96" t="n"/>
      <c r="K287" s="96" t="n"/>
      <c r="L287" s="111" t="n"/>
      <c r="M287" s="96" t="n"/>
      <c r="N287" s="96" t="n"/>
      <c r="O287" s="111" t="n"/>
      <c r="P287" s="111" t="n"/>
      <c r="Q287" s="111" t="n"/>
      <c r="R287" s="96" t="n"/>
      <c r="S287" s="96" t="n"/>
      <c r="T287" s="96" t="n"/>
      <c r="U287" s="96" t="n"/>
      <c r="V287" s="161" t="n"/>
      <c r="W287" s="96" t="n"/>
      <c r="X287" s="161" t="n"/>
      <c r="Y287" s="97" t="n"/>
      <c r="Z287" s="97" t="n"/>
      <c r="AA287" s="97" t="n"/>
      <c r="AB287" s="97" t="n"/>
      <c r="AC287" s="97" t="n"/>
      <c r="AD287" s="161" t="n"/>
      <c r="AE287" s="174" t="n"/>
      <c r="AF287" s="96" t="n"/>
      <c r="AG287" s="97" t="n"/>
      <c r="AH287" s="97" t="n"/>
      <c r="AI287" s="97" t="n"/>
      <c r="AJ287" s="96" t="n"/>
      <c r="AK287" s="130" t="n"/>
    </row>
    <row r="288" ht="12" customHeight="1">
      <c r="A288" s="108" t="inlineStr">
        <is>
          <t>SKHU9815796</t>
        </is>
      </c>
      <c r="B288" s="108" t="n"/>
      <c r="C288" s="108" t="n"/>
      <c r="D288" s="172" t="n"/>
      <c r="E288" s="173" t="n"/>
      <c r="F288" s="96" t="n"/>
      <c r="G288" s="96" t="n"/>
      <c r="H288" s="111" t="n"/>
      <c r="I288" s="96" t="n"/>
      <c r="J288" s="96" t="n"/>
      <c r="K288" s="96" t="n"/>
      <c r="L288" s="111" t="n"/>
      <c r="M288" s="96" t="n"/>
      <c r="N288" s="96" t="n"/>
      <c r="O288" s="111" t="n"/>
      <c r="P288" s="111" t="n"/>
      <c r="Q288" s="111" t="n"/>
      <c r="R288" s="96" t="n"/>
      <c r="S288" s="96" t="n"/>
      <c r="T288" s="96" t="n"/>
      <c r="U288" s="96" t="n"/>
      <c r="V288" s="161" t="n"/>
      <c r="W288" s="96" t="n"/>
      <c r="X288" s="161" t="n"/>
      <c r="Y288" s="97" t="n"/>
      <c r="Z288" s="97" t="n"/>
      <c r="AA288" s="97" t="n"/>
      <c r="AB288" s="97" t="n"/>
      <c r="AC288" s="97" t="n"/>
      <c r="AD288" s="161" t="n"/>
      <c r="AE288" s="174" t="n"/>
      <c r="AF288" s="96" t="n"/>
      <c r="AG288" s="97" t="n"/>
      <c r="AH288" s="97" t="n"/>
      <c r="AI288" s="97" t="n"/>
      <c r="AJ288" s="96" t="n"/>
      <c r="AK288" s="130" t="n"/>
    </row>
    <row r="289" ht="12" customHeight="1">
      <c r="A289" s="108" t="inlineStr">
        <is>
          <t>SKHU9944303</t>
        </is>
      </c>
      <c r="B289" s="108" t="n"/>
      <c r="C289" s="108" t="n"/>
      <c r="D289" s="172" t="n"/>
      <c r="E289" s="173" t="n"/>
      <c r="F289" s="96" t="n"/>
      <c r="G289" s="96" t="n"/>
      <c r="H289" s="111" t="n"/>
      <c r="I289" s="96" t="n"/>
      <c r="J289" s="96" t="n"/>
      <c r="K289" s="96" t="n"/>
      <c r="L289" s="111" t="n"/>
      <c r="M289" s="96" t="n"/>
      <c r="N289" s="96" t="n"/>
      <c r="O289" s="111" t="n"/>
      <c r="P289" s="111" t="n"/>
      <c r="Q289" s="111" t="n"/>
      <c r="R289" s="96" t="n"/>
      <c r="S289" s="96" t="n"/>
      <c r="T289" s="96" t="n"/>
      <c r="U289" s="96" t="n"/>
      <c r="V289" s="161" t="n"/>
      <c r="W289" s="96" t="n"/>
      <c r="X289" s="161" t="n"/>
      <c r="Y289" s="97" t="n"/>
      <c r="Z289" s="97" t="n"/>
      <c r="AA289" s="97" t="n"/>
      <c r="AB289" s="97" t="n"/>
      <c r="AC289" s="97" t="n"/>
      <c r="AD289" s="161" t="n"/>
      <c r="AE289" s="174" t="n"/>
      <c r="AF289" s="96" t="n"/>
      <c r="AG289" s="97" t="n"/>
      <c r="AH289" s="97" t="n"/>
      <c r="AI289" s="97" t="n"/>
      <c r="AJ289" s="96" t="n"/>
      <c r="AK289" s="130" t="n"/>
    </row>
    <row r="290" ht="12" customHeight="1">
      <c r="A290" s="108" t="inlineStr">
        <is>
          <t>SKLU0568034</t>
        </is>
      </c>
      <c r="B290" s="108" t="n"/>
      <c r="C290" s="108" t="n"/>
      <c r="D290" s="172" t="n"/>
      <c r="E290" s="173" t="n"/>
      <c r="F290" s="96" t="n"/>
      <c r="G290" s="96" t="n"/>
      <c r="H290" s="111" t="n"/>
      <c r="I290" s="96" t="n"/>
      <c r="J290" s="96" t="n"/>
      <c r="K290" s="96" t="n"/>
      <c r="L290" s="111" t="n"/>
      <c r="M290" s="96" t="n"/>
      <c r="N290" s="96" t="n"/>
      <c r="O290" s="111" t="n"/>
      <c r="P290" s="111" t="n"/>
      <c r="Q290" s="111" t="n"/>
      <c r="R290" s="96" t="n"/>
      <c r="S290" s="96" t="n"/>
      <c r="T290" s="96" t="n"/>
      <c r="U290" s="96" t="n"/>
      <c r="V290" s="161" t="n"/>
      <c r="W290" s="96" t="n"/>
      <c r="X290" s="161" t="n"/>
      <c r="Y290" s="97" t="n"/>
      <c r="Z290" s="97" t="n"/>
      <c r="AA290" s="97" t="n"/>
      <c r="AB290" s="97" t="n"/>
      <c r="AC290" s="97" t="n"/>
      <c r="AD290" s="161" t="n"/>
      <c r="AE290" s="174" t="n"/>
      <c r="AF290" s="96" t="n"/>
      <c r="AG290" s="97" t="n"/>
      <c r="AH290" s="97" t="n"/>
      <c r="AI290" s="97" t="n"/>
      <c r="AJ290" s="96" t="n"/>
      <c r="AK290" s="130" t="n"/>
    </row>
    <row r="291" ht="12" customHeight="1">
      <c r="A291" s="108" t="inlineStr">
        <is>
          <t>SKLU0569112</t>
        </is>
      </c>
      <c r="B291" s="108" t="n"/>
      <c r="C291" s="108" t="n"/>
      <c r="D291" s="172" t="n"/>
      <c r="E291" s="173" t="n"/>
      <c r="F291" s="96" t="n"/>
      <c r="G291" s="96" t="n"/>
      <c r="H291" s="111" t="n"/>
      <c r="I291" s="96" t="n"/>
      <c r="J291" s="96" t="n"/>
      <c r="K291" s="96" t="n"/>
      <c r="L291" s="111" t="n"/>
      <c r="M291" s="96" t="n"/>
      <c r="N291" s="96" t="n"/>
      <c r="O291" s="111" t="n"/>
      <c r="P291" s="111" t="n"/>
      <c r="Q291" s="111" t="n"/>
      <c r="R291" s="96" t="n"/>
      <c r="S291" s="96" t="n"/>
      <c r="T291" s="96" t="n"/>
      <c r="U291" s="96" t="n"/>
      <c r="V291" s="161" t="n"/>
      <c r="W291" s="96" t="n"/>
      <c r="X291" s="161" t="n"/>
      <c r="Y291" s="97" t="n"/>
      <c r="Z291" s="97" t="n"/>
      <c r="AA291" s="97" t="n"/>
      <c r="AB291" s="97" t="n"/>
      <c r="AC291" s="97" t="n"/>
      <c r="AD291" s="161" t="n"/>
      <c r="AE291" s="174" t="n"/>
      <c r="AF291" s="96" t="n"/>
      <c r="AG291" s="97" t="n"/>
      <c r="AH291" s="97" t="n"/>
      <c r="AI291" s="97" t="n"/>
      <c r="AJ291" s="96" t="n"/>
      <c r="AK291" s="130" t="n"/>
    </row>
    <row r="292" ht="12" customHeight="1">
      <c r="A292" s="108" t="inlineStr">
        <is>
          <t>SKLU0585957</t>
        </is>
      </c>
      <c r="B292" s="108" t="n"/>
      <c r="C292" s="108" t="n"/>
      <c r="D292" s="172" t="n"/>
      <c r="E292" s="173" t="n"/>
      <c r="F292" s="96" t="n"/>
      <c r="G292" s="96" t="n"/>
      <c r="H292" s="111" t="n"/>
      <c r="I292" s="96" t="n"/>
      <c r="J292" s="96" t="n"/>
      <c r="K292" s="96" t="n"/>
      <c r="L292" s="111" t="n"/>
      <c r="M292" s="96" t="n"/>
      <c r="N292" s="96" t="n"/>
      <c r="O292" s="111" t="n"/>
      <c r="P292" s="111" t="n"/>
      <c r="Q292" s="111" t="n"/>
      <c r="R292" s="96" t="n"/>
      <c r="S292" s="96" t="n"/>
      <c r="T292" s="96" t="n"/>
      <c r="U292" s="96" t="n"/>
      <c r="V292" s="161" t="n"/>
      <c r="W292" s="96" t="n"/>
      <c r="X292" s="161" t="n"/>
      <c r="Y292" s="97" t="n"/>
      <c r="Z292" s="97" t="n"/>
      <c r="AA292" s="97" t="n"/>
      <c r="AB292" s="97" t="n"/>
      <c r="AC292" s="97" t="n"/>
      <c r="AD292" s="161" t="n"/>
      <c r="AE292" s="174" t="n"/>
      <c r="AF292" s="96" t="n"/>
      <c r="AG292" s="97" t="n"/>
      <c r="AH292" s="97" t="n"/>
      <c r="AI292" s="97" t="n"/>
      <c r="AJ292" s="96" t="n"/>
      <c r="AK292" s="130" t="n"/>
    </row>
    <row r="293" ht="12" customHeight="1">
      <c r="A293" s="108" t="inlineStr">
        <is>
          <t>SKLU0590819</t>
        </is>
      </c>
      <c r="B293" s="108" t="n"/>
      <c r="C293" s="108" t="n"/>
      <c r="D293" s="172" t="n"/>
      <c r="E293" s="173" t="n"/>
      <c r="F293" s="96" t="n"/>
      <c r="G293" s="96" t="n"/>
      <c r="H293" s="111" t="n"/>
      <c r="I293" s="96" t="n"/>
      <c r="J293" s="96" t="n"/>
      <c r="K293" s="96" t="n"/>
      <c r="L293" s="111" t="n"/>
      <c r="M293" s="96" t="n"/>
      <c r="N293" s="96" t="n"/>
      <c r="O293" s="111" t="n"/>
      <c r="P293" s="111" t="n"/>
      <c r="Q293" s="111" t="n"/>
      <c r="R293" s="96" t="n"/>
      <c r="S293" s="96" t="n"/>
      <c r="T293" s="96" t="n"/>
      <c r="U293" s="96" t="n"/>
      <c r="V293" s="161" t="n"/>
      <c r="W293" s="96" t="n"/>
      <c r="X293" s="161" t="n"/>
      <c r="Y293" s="97" t="n"/>
      <c r="Z293" s="97" t="n"/>
      <c r="AA293" s="97" t="n"/>
      <c r="AB293" s="97" t="n"/>
      <c r="AC293" s="97" t="n"/>
      <c r="AD293" s="161" t="n"/>
      <c r="AE293" s="174" t="n"/>
      <c r="AF293" s="96" t="n"/>
      <c r="AG293" s="97" t="n"/>
      <c r="AH293" s="97" t="n"/>
      <c r="AI293" s="97" t="n"/>
      <c r="AJ293" s="96" t="n"/>
      <c r="AK293" s="130" t="n"/>
    </row>
    <row r="294" ht="12" customHeight="1">
      <c r="A294" s="108" t="inlineStr">
        <is>
          <t>SKLU0742589</t>
        </is>
      </c>
      <c r="B294" s="108" t="n"/>
      <c r="C294" s="108" t="n"/>
      <c r="D294" s="172" t="n"/>
      <c r="E294" s="173" t="n"/>
      <c r="F294" s="96" t="n"/>
      <c r="G294" s="96" t="n"/>
      <c r="H294" s="111" t="n"/>
      <c r="I294" s="96" t="n"/>
      <c r="J294" s="96" t="n"/>
      <c r="K294" s="96" t="n"/>
      <c r="L294" s="111" t="n"/>
      <c r="M294" s="96" t="n"/>
      <c r="N294" s="96" t="n"/>
      <c r="O294" s="111" t="n"/>
      <c r="P294" s="111" t="n"/>
      <c r="Q294" s="111" t="n"/>
      <c r="R294" s="96" t="n"/>
      <c r="S294" s="96" t="n"/>
      <c r="T294" s="96" t="n"/>
      <c r="U294" s="96" t="n"/>
      <c r="V294" s="161" t="n"/>
      <c r="W294" s="96" t="n"/>
      <c r="X294" s="161" t="n"/>
      <c r="Y294" s="97" t="n"/>
      <c r="Z294" s="97" t="n"/>
      <c r="AA294" s="97" t="n"/>
      <c r="AB294" s="97" t="n"/>
      <c r="AC294" s="97" t="n"/>
      <c r="AD294" s="161" t="n"/>
      <c r="AE294" s="174" t="n"/>
      <c r="AF294" s="96" t="n"/>
      <c r="AG294" s="97" t="n"/>
      <c r="AH294" s="97" t="n"/>
      <c r="AI294" s="97" t="n"/>
      <c r="AJ294" s="96" t="n"/>
      <c r="AK294" s="130" t="n"/>
    </row>
    <row r="295" ht="12" customHeight="1">
      <c r="A295" s="108" t="inlineStr">
        <is>
          <t>SKLU0744220</t>
        </is>
      </c>
      <c r="B295" s="108" t="n"/>
      <c r="C295" s="108" t="n"/>
      <c r="D295" s="172" t="n"/>
      <c r="E295" s="173" t="n"/>
      <c r="F295" s="96" t="n"/>
      <c r="G295" s="96" t="n"/>
      <c r="H295" s="111" t="n"/>
      <c r="I295" s="96" t="n"/>
      <c r="J295" s="96" t="n"/>
      <c r="K295" s="96" t="n"/>
      <c r="L295" s="111" t="n"/>
      <c r="M295" s="96" t="n"/>
      <c r="N295" s="96" t="n"/>
      <c r="O295" s="111" t="n"/>
      <c r="P295" s="111" t="n"/>
      <c r="Q295" s="111" t="n"/>
      <c r="R295" s="96" t="n"/>
      <c r="S295" s="96" t="n"/>
      <c r="T295" s="96" t="n"/>
      <c r="U295" s="96" t="n"/>
      <c r="V295" s="161" t="n"/>
      <c r="W295" s="96" t="n"/>
      <c r="X295" s="161" t="n"/>
      <c r="Y295" s="97" t="n"/>
      <c r="Z295" s="97" t="n"/>
      <c r="AA295" s="97" t="n"/>
      <c r="AB295" s="97" t="n"/>
      <c r="AC295" s="97" t="n"/>
      <c r="AD295" s="161" t="n"/>
      <c r="AE295" s="174" t="n"/>
      <c r="AF295" s="96" t="n"/>
      <c r="AG295" s="97" t="n"/>
      <c r="AH295" s="97" t="n"/>
      <c r="AI295" s="97" t="n"/>
      <c r="AJ295" s="96" t="n"/>
      <c r="AK295" s="130" t="n"/>
    </row>
    <row r="296" ht="12" customHeight="1">
      <c r="A296" s="108" t="inlineStr">
        <is>
          <t>SKLU1002340</t>
        </is>
      </c>
      <c r="B296" s="108" t="n"/>
      <c r="C296" s="108" t="n"/>
      <c r="D296" s="172" t="n"/>
      <c r="E296" s="173" t="n"/>
      <c r="F296" s="96" t="n"/>
      <c r="G296" s="96" t="n"/>
      <c r="H296" s="111" t="n"/>
      <c r="I296" s="96" t="n"/>
      <c r="J296" s="96" t="n"/>
      <c r="K296" s="96" t="n"/>
      <c r="L296" s="111" t="n"/>
      <c r="M296" s="96" t="n"/>
      <c r="N296" s="96" t="n"/>
      <c r="O296" s="111" t="n"/>
      <c r="P296" s="111" t="n"/>
      <c r="Q296" s="111" t="n"/>
      <c r="R296" s="96" t="n"/>
      <c r="S296" s="96" t="n"/>
      <c r="T296" s="96" t="n"/>
      <c r="U296" s="96" t="n"/>
      <c r="V296" s="161" t="n"/>
      <c r="W296" s="96" t="n"/>
      <c r="X296" s="161" t="n"/>
      <c r="Y296" s="97" t="n"/>
      <c r="Z296" s="97" t="n"/>
      <c r="AA296" s="97" t="n"/>
      <c r="AB296" s="97" t="n"/>
      <c r="AC296" s="97" t="n"/>
      <c r="AD296" s="161" t="n"/>
      <c r="AE296" s="174" t="n"/>
      <c r="AF296" s="96" t="n"/>
      <c r="AG296" s="97" t="n"/>
      <c r="AH296" s="97" t="n"/>
      <c r="AI296" s="97" t="n"/>
      <c r="AJ296" s="96" t="n"/>
      <c r="AK296" s="130" t="n"/>
    </row>
    <row r="297" ht="12" customHeight="1">
      <c r="A297" s="108" t="inlineStr">
        <is>
          <t>SKLU1103582</t>
        </is>
      </c>
      <c r="B297" s="108" t="n"/>
      <c r="C297" s="108" t="n"/>
      <c r="D297" s="172" t="n"/>
      <c r="E297" s="173" t="n"/>
      <c r="F297" s="96" t="n"/>
      <c r="G297" s="96" t="n"/>
      <c r="H297" s="111" t="n"/>
      <c r="I297" s="96" t="n"/>
      <c r="J297" s="96" t="n"/>
      <c r="K297" s="96" t="n"/>
      <c r="L297" s="111" t="n"/>
      <c r="M297" s="96" t="n"/>
      <c r="N297" s="96" t="n"/>
      <c r="O297" s="111" t="n"/>
      <c r="P297" s="111" t="n"/>
      <c r="Q297" s="111" t="n"/>
      <c r="R297" s="96" t="n"/>
      <c r="S297" s="96" t="n"/>
      <c r="T297" s="96" t="n"/>
      <c r="U297" s="96" t="n"/>
      <c r="V297" s="161" t="n"/>
      <c r="W297" s="96" t="n"/>
      <c r="X297" s="161" t="n"/>
      <c r="Y297" s="97" t="n"/>
      <c r="Z297" s="97" t="n"/>
      <c r="AA297" s="97" t="n"/>
      <c r="AB297" s="97" t="n"/>
      <c r="AC297" s="97" t="n"/>
      <c r="AD297" s="161" t="n"/>
      <c r="AE297" s="174" t="n"/>
      <c r="AF297" s="96" t="n"/>
      <c r="AG297" s="97" t="n"/>
      <c r="AH297" s="97" t="n"/>
      <c r="AI297" s="97" t="n"/>
      <c r="AJ297" s="96" t="n"/>
      <c r="AK297" s="130" t="n"/>
    </row>
    <row r="298" ht="12" customHeight="1">
      <c r="A298" s="108" t="inlineStr">
        <is>
          <t>SKLU1116975</t>
        </is>
      </c>
      <c r="B298" s="108" t="n"/>
      <c r="C298" s="108" t="n"/>
      <c r="D298" s="172" t="n"/>
      <c r="E298" s="173" t="n"/>
      <c r="F298" s="96" t="n"/>
      <c r="G298" s="96" t="n"/>
      <c r="H298" s="111" t="n"/>
      <c r="I298" s="96" t="n"/>
      <c r="J298" s="96" t="n"/>
      <c r="K298" s="96" t="n"/>
      <c r="L298" s="111" t="n"/>
      <c r="M298" s="96" t="n"/>
      <c r="N298" s="96" t="n"/>
      <c r="O298" s="111" t="n"/>
      <c r="P298" s="111" t="n"/>
      <c r="Q298" s="111" t="n"/>
      <c r="R298" s="96" t="n"/>
      <c r="S298" s="96" t="n"/>
      <c r="T298" s="96" t="n"/>
      <c r="U298" s="96" t="n"/>
      <c r="V298" s="161" t="n"/>
      <c r="W298" s="96" t="n"/>
      <c r="X298" s="161" t="n"/>
      <c r="Y298" s="97" t="n"/>
      <c r="Z298" s="97" t="n"/>
      <c r="AA298" s="97" t="n"/>
      <c r="AB298" s="97" t="n"/>
      <c r="AC298" s="97" t="n"/>
      <c r="AD298" s="161" t="n"/>
      <c r="AE298" s="174" t="n"/>
      <c r="AF298" s="96" t="n"/>
      <c r="AG298" s="97" t="n"/>
      <c r="AH298" s="97" t="n"/>
      <c r="AI298" s="97" t="n"/>
      <c r="AJ298" s="96" t="n"/>
      <c r="AK298" s="130" t="n"/>
    </row>
    <row r="299" ht="12" customHeight="1">
      <c r="A299" s="108" t="inlineStr">
        <is>
          <t>SKLU1201336</t>
        </is>
      </c>
      <c r="B299" s="108" t="n"/>
      <c r="C299" s="108" t="n"/>
      <c r="D299" s="172" t="n"/>
      <c r="E299" s="173" t="n"/>
      <c r="F299" s="96" t="n"/>
      <c r="G299" s="96" t="n"/>
      <c r="H299" s="111" t="n"/>
      <c r="I299" s="96" t="n"/>
      <c r="J299" s="96" t="n"/>
      <c r="K299" s="96" t="n"/>
      <c r="L299" s="111" t="n"/>
      <c r="M299" s="96" t="n"/>
      <c r="N299" s="96" t="n"/>
      <c r="O299" s="111" t="n"/>
      <c r="P299" s="111" t="n"/>
      <c r="Q299" s="111" t="n"/>
      <c r="R299" s="96" t="n"/>
      <c r="S299" s="96" t="n"/>
      <c r="T299" s="96" t="n"/>
      <c r="U299" s="96" t="n"/>
      <c r="V299" s="161" t="n"/>
      <c r="W299" s="96" t="n"/>
      <c r="X299" s="161" t="n"/>
      <c r="Y299" s="97" t="n"/>
      <c r="Z299" s="97" t="n"/>
      <c r="AA299" s="97" t="n"/>
      <c r="AB299" s="97" t="n"/>
      <c r="AC299" s="97" t="n"/>
      <c r="AD299" s="161" t="n"/>
      <c r="AE299" s="174" t="n"/>
      <c r="AF299" s="96" t="n"/>
      <c r="AG299" s="97" t="n"/>
      <c r="AH299" s="97" t="n"/>
      <c r="AI299" s="97" t="n"/>
      <c r="AJ299" s="96" t="n"/>
      <c r="AK299" s="130" t="n"/>
    </row>
    <row r="300" ht="12" customHeight="1">
      <c r="A300" s="108" t="inlineStr">
        <is>
          <t>SKLU1205326</t>
        </is>
      </c>
      <c r="B300" s="108" t="n"/>
      <c r="C300" s="108" t="n"/>
      <c r="D300" s="172" t="n"/>
      <c r="E300" s="173" t="n"/>
      <c r="F300" s="96" t="n"/>
      <c r="G300" s="96" t="n"/>
      <c r="H300" s="111" t="n"/>
      <c r="I300" s="96" t="n"/>
      <c r="J300" s="96" t="n"/>
      <c r="K300" s="96" t="n"/>
      <c r="L300" s="111" t="n"/>
      <c r="M300" s="96" t="n"/>
      <c r="N300" s="96" t="n"/>
      <c r="O300" s="111" t="n"/>
      <c r="P300" s="111" t="n"/>
      <c r="Q300" s="111" t="n"/>
      <c r="R300" s="96" t="n"/>
      <c r="S300" s="96" t="n"/>
      <c r="T300" s="96" t="n"/>
      <c r="U300" s="96" t="n"/>
      <c r="V300" s="161" t="n"/>
      <c r="W300" s="96" t="n"/>
      <c r="X300" s="161" t="n"/>
      <c r="Y300" s="97" t="n"/>
      <c r="Z300" s="97" t="n"/>
      <c r="AA300" s="97" t="n"/>
      <c r="AB300" s="97" t="n"/>
      <c r="AC300" s="97" t="n"/>
      <c r="AD300" s="161" t="n"/>
      <c r="AE300" s="174" t="n"/>
      <c r="AF300" s="96" t="n"/>
      <c r="AG300" s="97" t="n"/>
      <c r="AH300" s="97" t="n"/>
      <c r="AI300" s="97" t="n"/>
      <c r="AJ300" s="96" t="n"/>
      <c r="AK300" s="130" t="n"/>
    </row>
    <row r="301" ht="12" customHeight="1">
      <c r="A301" s="108" t="inlineStr">
        <is>
          <t>SKLU1301464</t>
        </is>
      </c>
      <c r="B301" s="108" t="n"/>
      <c r="C301" s="108" t="n"/>
      <c r="D301" s="172" t="n"/>
      <c r="E301" s="173" t="n"/>
      <c r="F301" s="96" t="n"/>
      <c r="G301" s="96" t="n"/>
      <c r="H301" s="111" t="n"/>
      <c r="I301" s="96" t="n"/>
      <c r="J301" s="96" t="n"/>
      <c r="K301" s="96" t="n"/>
      <c r="L301" s="111" t="n"/>
      <c r="M301" s="96" t="n"/>
      <c r="N301" s="96" t="n"/>
      <c r="O301" s="111" t="n"/>
      <c r="P301" s="111" t="n"/>
      <c r="Q301" s="111" t="n"/>
      <c r="R301" s="96" t="n"/>
      <c r="S301" s="96" t="n"/>
      <c r="T301" s="96" t="n"/>
      <c r="U301" s="96" t="n"/>
      <c r="V301" s="161" t="n"/>
      <c r="W301" s="96" t="n"/>
      <c r="X301" s="161" t="n"/>
      <c r="Y301" s="97" t="n"/>
      <c r="Z301" s="97" t="n"/>
      <c r="AA301" s="97" t="n"/>
      <c r="AB301" s="97" t="n"/>
      <c r="AC301" s="97" t="n"/>
      <c r="AD301" s="161" t="n"/>
      <c r="AE301" s="174" t="n"/>
      <c r="AF301" s="96" t="n"/>
      <c r="AG301" s="97" t="n"/>
      <c r="AH301" s="97" t="n"/>
      <c r="AI301" s="97" t="n"/>
      <c r="AJ301" s="96" t="n"/>
      <c r="AK301" s="130" t="n"/>
    </row>
    <row r="302" ht="12" customHeight="1">
      <c r="A302" s="108" t="inlineStr">
        <is>
          <t>SKLU1302202</t>
        </is>
      </c>
      <c r="B302" s="108" t="n"/>
      <c r="C302" s="108" t="n"/>
      <c r="D302" s="172" t="n"/>
      <c r="E302" s="173" t="n"/>
      <c r="F302" s="96" t="n"/>
      <c r="G302" s="96" t="n"/>
      <c r="H302" s="111" t="n"/>
      <c r="I302" s="96" t="n"/>
      <c r="J302" s="96" t="n"/>
      <c r="K302" s="96" t="n"/>
      <c r="L302" s="111" t="n"/>
      <c r="M302" s="96" t="n"/>
      <c r="N302" s="96" t="n"/>
      <c r="O302" s="111" t="n"/>
      <c r="P302" s="111" t="n"/>
      <c r="Q302" s="111" t="n"/>
      <c r="R302" s="96" t="n"/>
      <c r="S302" s="96" t="n"/>
      <c r="T302" s="96" t="n"/>
      <c r="U302" s="96" t="n"/>
      <c r="V302" s="161" t="n"/>
      <c r="W302" s="96" t="n"/>
      <c r="X302" s="161" t="n"/>
      <c r="Y302" s="97" t="n"/>
      <c r="Z302" s="97" t="n"/>
      <c r="AA302" s="97" t="n"/>
      <c r="AB302" s="97" t="n"/>
      <c r="AC302" s="97" t="n"/>
      <c r="AD302" s="161" t="n"/>
      <c r="AE302" s="174" t="n"/>
      <c r="AF302" s="96" t="n"/>
      <c r="AG302" s="97" t="n"/>
      <c r="AH302" s="97" t="n"/>
      <c r="AI302" s="97" t="n"/>
      <c r="AJ302" s="96" t="n"/>
      <c r="AK302" s="130" t="n"/>
    </row>
    <row r="303" ht="12" customHeight="1">
      <c r="A303" s="108" t="inlineStr">
        <is>
          <t>SKLU1303132</t>
        </is>
      </c>
      <c r="B303" s="108" t="n"/>
      <c r="C303" s="108" t="n"/>
      <c r="D303" s="172" t="n"/>
      <c r="E303" s="173" t="n"/>
      <c r="F303" s="96" t="n"/>
      <c r="G303" s="96" t="n"/>
      <c r="H303" s="111" t="n"/>
      <c r="I303" s="96" t="n"/>
      <c r="J303" s="96" t="n"/>
      <c r="K303" s="96" t="n"/>
      <c r="L303" s="111" t="n"/>
      <c r="M303" s="96" t="n"/>
      <c r="N303" s="96" t="n"/>
      <c r="O303" s="111" t="n"/>
      <c r="P303" s="111" t="n"/>
      <c r="Q303" s="111" t="n"/>
      <c r="R303" s="96" t="n"/>
      <c r="S303" s="96" t="n"/>
      <c r="T303" s="96" t="n"/>
      <c r="U303" s="96" t="n"/>
      <c r="V303" s="161" t="n"/>
      <c r="W303" s="96" t="n"/>
      <c r="X303" s="161" t="n"/>
      <c r="Y303" s="97" t="n"/>
      <c r="Z303" s="97" t="n"/>
      <c r="AA303" s="97" t="n"/>
      <c r="AB303" s="97" t="n"/>
      <c r="AC303" s="97" t="n"/>
      <c r="AD303" s="161" t="n"/>
      <c r="AE303" s="174" t="n"/>
      <c r="AF303" s="96" t="n"/>
      <c r="AG303" s="97" t="n"/>
      <c r="AH303" s="97" t="n"/>
      <c r="AI303" s="97" t="n"/>
      <c r="AJ303" s="96" t="n"/>
      <c r="AK303" s="130" t="n"/>
    </row>
    <row r="304" ht="12" customHeight="1">
      <c r="A304" s="108" t="inlineStr">
        <is>
          <t>SKLU1327495</t>
        </is>
      </c>
      <c r="B304" s="108" t="n"/>
      <c r="C304" s="108" t="n"/>
      <c r="D304" s="172" t="n"/>
      <c r="E304" s="173" t="n"/>
      <c r="F304" s="96" t="n"/>
      <c r="G304" s="96" t="n"/>
      <c r="H304" s="111" t="n"/>
      <c r="I304" s="96" t="n"/>
      <c r="J304" s="96" t="n"/>
      <c r="K304" s="96" t="n"/>
      <c r="L304" s="111" t="n"/>
      <c r="M304" s="96" t="n"/>
      <c r="N304" s="96" t="n"/>
      <c r="O304" s="111" t="n"/>
      <c r="P304" s="111" t="n"/>
      <c r="Q304" s="111" t="n"/>
      <c r="R304" s="96" t="n"/>
      <c r="S304" s="96" t="n"/>
      <c r="T304" s="96" t="n"/>
      <c r="U304" s="96" t="n"/>
      <c r="V304" s="161" t="n"/>
      <c r="W304" s="96" t="n"/>
      <c r="X304" s="161" t="n"/>
      <c r="Y304" s="97" t="n"/>
      <c r="Z304" s="97" t="n"/>
      <c r="AA304" s="97" t="n"/>
      <c r="AB304" s="97" t="n"/>
      <c r="AC304" s="97" t="n"/>
      <c r="AD304" s="161" t="n"/>
      <c r="AE304" s="174" t="n"/>
      <c r="AF304" s="96" t="n"/>
      <c r="AG304" s="97" t="n"/>
      <c r="AH304" s="97" t="n"/>
      <c r="AI304" s="97" t="n"/>
      <c r="AJ304" s="96" t="n"/>
      <c r="AK304" s="130" t="n"/>
    </row>
    <row r="305" ht="12" customHeight="1">
      <c r="A305" s="108" t="inlineStr">
        <is>
          <t>SKLU1404436</t>
        </is>
      </c>
      <c r="B305" s="108" t="n"/>
      <c r="C305" s="108" t="n"/>
      <c r="D305" s="172" t="n"/>
      <c r="E305" s="173" t="n"/>
      <c r="F305" s="96" t="n"/>
      <c r="G305" s="96" t="n"/>
      <c r="H305" s="111" t="n"/>
      <c r="I305" s="96" t="n"/>
      <c r="J305" s="96" t="n"/>
      <c r="K305" s="96" t="n"/>
      <c r="L305" s="111" t="n"/>
      <c r="M305" s="96" t="n"/>
      <c r="N305" s="96" t="n"/>
      <c r="O305" s="111" t="n"/>
      <c r="P305" s="111" t="n"/>
      <c r="Q305" s="111" t="n"/>
      <c r="R305" s="96" t="n"/>
      <c r="S305" s="96" t="n"/>
      <c r="T305" s="96" t="n"/>
      <c r="U305" s="96" t="n"/>
      <c r="V305" s="161" t="n"/>
      <c r="W305" s="96" t="n"/>
      <c r="X305" s="161" t="n"/>
      <c r="Y305" s="97" t="n"/>
      <c r="Z305" s="97" t="n"/>
      <c r="AA305" s="97" t="n"/>
      <c r="AB305" s="97" t="n"/>
      <c r="AC305" s="97" t="n"/>
      <c r="AD305" s="161" t="n"/>
      <c r="AE305" s="174" t="n"/>
      <c r="AF305" s="96" t="n"/>
      <c r="AG305" s="97" t="n"/>
      <c r="AH305" s="97" t="n"/>
      <c r="AI305" s="97" t="n"/>
      <c r="AJ305" s="96" t="n"/>
      <c r="AK305" s="130" t="n"/>
    </row>
    <row r="306" ht="12" customHeight="1">
      <c r="A306" s="108" t="inlineStr">
        <is>
          <t>SKLU1411137</t>
        </is>
      </c>
      <c r="B306" s="108" t="n"/>
      <c r="C306" s="108" t="n"/>
      <c r="D306" s="172" t="n"/>
      <c r="E306" s="173" t="n"/>
      <c r="F306" s="96" t="n"/>
      <c r="G306" s="96" t="n"/>
      <c r="H306" s="111" t="n"/>
      <c r="I306" s="96" t="n"/>
      <c r="J306" s="96" t="n"/>
      <c r="K306" s="96" t="n"/>
      <c r="L306" s="111" t="n"/>
      <c r="M306" s="96" t="n"/>
      <c r="N306" s="96" t="n"/>
      <c r="O306" s="111" t="n"/>
      <c r="P306" s="111" t="n"/>
      <c r="Q306" s="111" t="n"/>
      <c r="R306" s="96" t="n"/>
      <c r="S306" s="96" t="n"/>
      <c r="T306" s="96" t="n"/>
      <c r="U306" s="96" t="n"/>
      <c r="V306" s="161" t="n"/>
      <c r="W306" s="96" t="n"/>
      <c r="X306" s="161" t="n"/>
      <c r="Y306" s="97" t="n"/>
      <c r="Z306" s="97" t="n"/>
      <c r="AA306" s="97" t="n"/>
      <c r="AB306" s="97" t="n"/>
      <c r="AC306" s="97" t="n"/>
      <c r="AD306" s="161" t="n"/>
      <c r="AE306" s="174" t="n"/>
      <c r="AF306" s="96" t="n"/>
      <c r="AG306" s="97" t="n"/>
      <c r="AH306" s="97" t="n"/>
      <c r="AI306" s="97" t="n"/>
      <c r="AJ306" s="96" t="n"/>
      <c r="AK306" s="130" t="n"/>
    </row>
    <row r="307" ht="12" customHeight="1">
      <c r="A307" s="108" t="inlineStr">
        <is>
          <t>SKLU1436217</t>
        </is>
      </c>
      <c r="B307" s="108" t="n"/>
      <c r="C307" s="108" t="n"/>
      <c r="D307" s="172" t="n"/>
      <c r="E307" s="173" t="n"/>
      <c r="F307" s="96" t="n"/>
      <c r="G307" s="96" t="n"/>
      <c r="H307" s="111" t="n"/>
      <c r="I307" s="96" t="n"/>
      <c r="J307" s="96" t="n"/>
      <c r="K307" s="96" t="n"/>
      <c r="L307" s="111" t="n"/>
      <c r="M307" s="96" t="n"/>
      <c r="N307" s="96" t="n"/>
      <c r="O307" s="111" t="n"/>
      <c r="P307" s="111" t="n"/>
      <c r="Q307" s="111" t="n"/>
      <c r="R307" s="96" t="n"/>
      <c r="S307" s="96" t="n"/>
      <c r="T307" s="96" t="n"/>
      <c r="U307" s="96" t="n"/>
      <c r="V307" s="161" t="n"/>
      <c r="W307" s="96" t="n"/>
      <c r="X307" s="161" t="n"/>
      <c r="Y307" s="97" t="n"/>
      <c r="Z307" s="97" t="n"/>
      <c r="AA307" s="97" t="n"/>
      <c r="AB307" s="97" t="n"/>
      <c r="AC307" s="97" t="n"/>
      <c r="AD307" s="161" t="n"/>
      <c r="AE307" s="174" t="n"/>
      <c r="AF307" s="96" t="n"/>
      <c r="AG307" s="97" t="n"/>
      <c r="AH307" s="97" t="n"/>
      <c r="AI307" s="97" t="n"/>
      <c r="AJ307" s="96" t="n"/>
      <c r="AK307" s="130" t="n"/>
    </row>
    <row r="308" ht="12" customHeight="1">
      <c r="A308" s="108" t="inlineStr">
        <is>
          <t>SKLU1441661</t>
        </is>
      </c>
      <c r="B308" s="108" t="n"/>
      <c r="C308" s="108" t="n"/>
      <c r="D308" s="172" t="n"/>
      <c r="E308" s="173" t="n"/>
      <c r="F308" s="96" t="n"/>
      <c r="G308" s="96" t="n"/>
      <c r="H308" s="111" t="n"/>
      <c r="I308" s="96" t="n"/>
      <c r="J308" s="96" t="n"/>
      <c r="K308" s="96" t="n"/>
      <c r="L308" s="111" t="n"/>
      <c r="M308" s="96" t="n"/>
      <c r="N308" s="96" t="n"/>
      <c r="O308" s="111" t="n"/>
      <c r="P308" s="111" t="n"/>
      <c r="Q308" s="111" t="n"/>
      <c r="R308" s="96" t="n"/>
      <c r="S308" s="96" t="n"/>
      <c r="T308" s="96" t="n"/>
      <c r="U308" s="96" t="n"/>
      <c r="V308" s="161" t="n"/>
      <c r="W308" s="96" t="n"/>
      <c r="X308" s="161" t="n"/>
      <c r="Y308" s="97" t="n"/>
      <c r="Z308" s="97" t="n"/>
      <c r="AA308" s="97" t="n"/>
      <c r="AB308" s="97" t="n"/>
      <c r="AC308" s="97" t="n"/>
      <c r="AD308" s="161" t="n"/>
      <c r="AE308" s="174" t="n"/>
      <c r="AF308" s="96" t="n"/>
      <c r="AG308" s="97" t="n"/>
      <c r="AH308" s="97" t="n"/>
      <c r="AI308" s="97" t="n"/>
      <c r="AJ308" s="96" t="n"/>
      <c r="AK308" s="130" t="n"/>
    </row>
    <row r="309" ht="12" customHeight="1">
      <c r="A309" s="108" t="inlineStr">
        <is>
          <t>SKLU1509777</t>
        </is>
      </c>
      <c r="B309" s="108" t="n"/>
      <c r="C309" s="108" t="n"/>
      <c r="D309" s="172" t="n"/>
      <c r="E309" s="173" t="n"/>
      <c r="F309" s="96" t="n"/>
      <c r="G309" s="96" t="n"/>
      <c r="H309" s="111" t="n"/>
      <c r="I309" s="96" t="n"/>
      <c r="J309" s="96" t="n"/>
      <c r="K309" s="96" t="n"/>
      <c r="L309" s="111" t="n"/>
      <c r="M309" s="96" t="n"/>
      <c r="N309" s="96" t="n"/>
      <c r="O309" s="111" t="n"/>
      <c r="P309" s="111" t="n"/>
      <c r="Q309" s="111" t="n"/>
      <c r="R309" s="96" t="n"/>
      <c r="S309" s="96" t="n"/>
      <c r="T309" s="96" t="n"/>
      <c r="U309" s="96" t="n"/>
      <c r="V309" s="161" t="n"/>
      <c r="W309" s="96" t="n"/>
      <c r="X309" s="161" t="n"/>
      <c r="Y309" s="97" t="n"/>
      <c r="Z309" s="97" t="n"/>
      <c r="AA309" s="97" t="n"/>
      <c r="AB309" s="97" t="n"/>
      <c r="AC309" s="97" t="n"/>
      <c r="AD309" s="161" t="n"/>
      <c r="AE309" s="174" t="n"/>
      <c r="AF309" s="96" t="n"/>
      <c r="AG309" s="97" t="n"/>
      <c r="AH309" s="97" t="n"/>
      <c r="AI309" s="97" t="n"/>
      <c r="AJ309" s="96" t="n"/>
      <c r="AK309" s="130" t="n"/>
    </row>
    <row r="310" ht="12" customHeight="1">
      <c r="A310" s="108" t="inlineStr">
        <is>
          <t>SKLU1526012</t>
        </is>
      </c>
      <c r="B310" s="108" t="n"/>
      <c r="C310" s="108" t="n"/>
      <c r="D310" s="172" t="n"/>
      <c r="E310" s="173" t="n"/>
      <c r="F310" s="96" t="n"/>
      <c r="G310" s="96" t="n"/>
      <c r="H310" s="111" t="n"/>
      <c r="I310" s="96" t="n"/>
      <c r="J310" s="96" t="n"/>
      <c r="K310" s="96" t="n"/>
      <c r="L310" s="111" t="n"/>
      <c r="M310" s="96" t="n"/>
      <c r="N310" s="96" t="n"/>
      <c r="O310" s="111" t="n"/>
      <c r="P310" s="111" t="n"/>
      <c r="Q310" s="111" t="n"/>
      <c r="R310" s="96" t="n"/>
      <c r="S310" s="96" t="n"/>
      <c r="T310" s="96" t="n"/>
      <c r="U310" s="96" t="n"/>
      <c r="V310" s="161" t="n"/>
      <c r="W310" s="96" t="n"/>
      <c r="X310" s="161" t="n"/>
      <c r="Y310" s="97" t="n"/>
      <c r="Z310" s="97" t="n"/>
      <c r="AA310" s="97" t="n"/>
      <c r="AB310" s="97" t="n"/>
      <c r="AC310" s="97" t="n"/>
      <c r="AD310" s="161" t="n"/>
      <c r="AE310" s="174" t="n"/>
      <c r="AF310" s="96" t="n"/>
      <c r="AG310" s="97" t="n"/>
      <c r="AH310" s="97" t="n"/>
      <c r="AI310" s="97" t="n"/>
      <c r="AJ310" s="96" t="n"/>
      <c r="AK310" s="130" t="n"/>
    </row>
    <row r="311" ht="12" customHeight="1">
      <c r="A311" s="108" t="inlineStr">
        <is>
          <t>SKLU1532490</t>
        </is>
      </c>
      <c r="B311" s="108" t="n"/>
      <c r="C311" s="108" t="n"/>
      <c r="D311" s="172" t="n"/>
      <c r="E311" s="173" t="n"/>
      <c r="F311" s="96" t="n"/>
      <c r="G311" s="96" t="n"/>
      <c r="H311" s="111" t="n"/>
      <c r="I311" s="96" t="n"/>
      <c r="J311" s="96" t="n"/>
      <c r="K311" s="96" t="n"/>
      <c r="L311" s="111" t="n"/>
      <c r="M311" s="96" t="n"/>
      <c r="N311" s="96" t="n"/>
      <c r="O311" s="111" t="n"/>
      <c r="P311" s="111" t="n"/>
      <c r="Q311" s="111" t="n"/>
      <c r="R311" s="96" t="n"/>
      <c r="S311" s="96" t="n"/>
      <c r="T311" s="96" t="n"/>
      <c r="U311" s="96" t="n"/>
      <c r="V311" s="161" t="n"/>
      <c r="W311" s="96" t="n"/>
      <c r="X311" s="161" t="n"/>
      <c r="Y311" s="97" t="n"/>
      <c r="Z311" s="97" t="n"/>
      <c r="AA311" s="97" t="n"/>
      <c r="AB311" s="97" t="n"/>
      <c r="AC311" s="97" t="n"/>
      <c r="AD311" s="161" t="n"/>
      <c r="AE311" s="174" t="n"/>
      <c r="AF311" s="96" t="n"/>
      <c r="AG311" s="97" t="n"/>
      <c r="AH311" s="97" t="n"/>
      <c r="AI311" s="97" t="n"/>
      <c r="AJ311" s="96" t="n"/>
      <c r="AK311" s="130" t="n"/>
    </row>
    <row r="312" ht="12" customHeight="1">
      <c r="A312" s="108" t="inlineStr">
        <is>
          <t>SKLU1534105</t>
        </is>
      </c>
      <c r="B312" s="108" t="n"/>
      <c r="C312" s="108" t="n"/>
      <c r="D312" s="172" t="n"/>
      <c r="E312" s="173" t="n"/>
      <c r="F312" s="96" t="n"/>
      <c r="G312" s="96" t="n"/>
      <c r="H312" s="111" t="n"/>
      <c r="I312" s="96" t="n"/>
      <c r="J312" s="96" t="n"/>
      <c r="K312" s="96" t="n"/>
      <c r="L312" s="111" t="n"/>
      <c r="M312" s="96" t="n"/>
      <c r="N312" s="96" t="n"/>
      <c r="O312" s="111" t="n"/>
      <c r="P312" s="111" t="n"/>
      <c r="Q312" s="111" t="n"/>
      <c r="R312" s="96" t="n"/>
      <c r="S312" s="96" t="n"/>
      <c r="T312" s="96" t="n"/>
      <c r="U312" s="96" t="n"/>
      <c r="V312" s="161" t="n"/>
      <c r="W312" s="96" t="n"/>
      <c r="X312" s="161" t="n"/>
      <c r="Y312" s="97" t="n"/>
      <c r="Z312" s="97" t="n"/>
      <c r="AA312" s="97" t="n"/>
      <c r="AB312" s="97" t="n"/>
      <c r="AC312" s="97" t="n"/>
      <c r="AD312" s="161" t="n"/>
      <c r="AE312" s="174" t="n"/>
      <c r="AF312" s="96" t="n"/>
      <c r="AG312" s="97" t="n"/>
      <c r="AH312" s="97" t="n"/>
      <c r="AI312" s="97" t="n"/>
      <c r="AJ312" s="96" t="n"/>
      <c r="AK312" s="130" t="n"/>
    </row>
    <row r="313" ht="12" customHeight="1">
      <c r="A313" s="108" t="inlineStr">
        <is>
          <t>SKLU1568379</t>
        </is>
      </c>
      <c r="B313" s="108" t="n"/>
      <c r="C313" s="108" t="n"/>
      <c r="D313" s="172" t="n"/>
      <c r="E313" s="173" t="n"/>
      <c r="F313" s="96" t="n"/>
      <c r="G313" s="96" t="n"/>
      <c r="H313" s="111" t="n"/>
      <c r="I313" s="96" t="n"/>
      <c r="J313" s="96" t="n"/>
      <c r="K313" s="96" t="n"/>
      <c r="L313" s="111" t="n"/>
      <c r="M313" s="96" t="n"/>
      <c r="N313" s="96" t="n"/>
      <c r="O313" s="111" t="n"/>
      <c r="P313" s="111" t="n"/>
      <c r="Q313" s="111" t="n"/>
      <c r="R313" s="96" t="n"/>
      <c r="S313" s="96" t="n"/>
      <c r="T313" s="96" t="n"/>
      <c r="U313" s="96" t="n"/>
      <c r="V313" s="161" t="n"/>
      <c r="W313" s="96" t="n"/>
      <c r="X313" s="161" t="n"/>
      <c r="Y313" s="97" t="n"/>
      <c r="Z313" s="97" t="n"/>
      <c r="AA313" s="97" t="n"/>
      <c r="AB313" s="97" t="n"/>
      <c r="AC313" s="97" t="n"/>
      <c r="AD313" s="161" t="n"/>
      <c r="AE313" s="174" t="n"/>
      <c r="AF313" s="96" t="n"/>
      <c r="AG313" s="97" t="n"/>
      <c r="AH313" s="97" t="n"/>
      <c r="AI313" s="97" t="n"/>
      <c r="AJ313" s="96" t="n"/>
      <c r="AK313" s="130" t="n"/>
    </row>
    <row r="314" ht="12" customHeight="1">
      <c r="A314" s="108" t="inlineStr">
        <is>
          <t>SKLU1568764</t>
        </is>
      </c>
      <c r="B314" s="108" t="n"/>
      <c r="C314" s="108" t="n"/>
      <c r="D314" s="172" t="n"/>
      <c r="E314" s="173" t="n"/>
      <c r="F314" s="96" t="n"/>
      <c r="G314" s="96" t="n"/>
      <c r="H314" s="111" t="n"/>
      <c r="I314" s="96" t="n"/>
      <c r="J314" s="96" t="n"/>
      <c r="K314" s="96" t="n"/>
      <c r="L314" s="111" t="n"/>
      <c r="M314" s="96" t="n"/>
      <c r="N314" s="96" t="n"/>
      <c r="O314" s="111" t="n"/>
      <c r="P314" s="111" t="n"/>
      <c r="Q314" s="111" t="n"/>
      <c r="R314" s="96" t="n"/>
      <c r="S314" s="96" t="n"/>
      <c r="T314" s="96" t="n"/>
      <c r="U314" s="96" t="n"/>
      <c r="V314" s="161" t="n"/>
      <c r="W314" s="96" t="n"/>
      <c r="X314" s="161" t="n"/>
      <c r="Y314" s="97" t="n"/>
      <c r="Z314" s="97" t="n"/>
      <c r="AA314" s="97" t="n"/>
      <c r="AB314" s="97" t="n"/>
      <c r="AC314" s="97" t="n"/>
      <c r="AD314" s="161" t="n"/>
      <c r="AE314" s="174" t="n"/>
      <c r="AF314" s="96" t="n"/>
      <c r="AG314" s="97" t="n"/>
      <c r="AH314" s="97" t="n"/>
      <c r="AI314" s="97" t="n"/>
      <c r="AJ314" s="96" t="n"/>
      <c r="AK314" s="130" t="n"/>
    </row>
    <row r="315" ht="12" customHeight="1">
      <c r="A315" s="108" t="inlineStr">
        <is>
          <t>SKLU1575866</t>
        </is>
      </c>
      <c r="B315" s="108" t="n"/>
      <c r="C315" s="108" t="n"/>
      <c r="D315" s="172" t="n"/>
      <c r="E315" s="173" t="n"/>
      <c r="F315" s="96" t="n"/>
      <c r="G315" s="96" t="n"/>
      <c r="H315" s="111" t="n"/>
      <c r="I315" s="96" t="n"/>
      <c r="J315" s="96" t="n"/>
      <c r="K315" s="96" t="n"/>
      <c r="L315" s="111" t="n"/>
      <c r="M315" s="96" t="n"/>
      <c r="N315" s="96" t="n"/>
      <c r="O315" s="111" t="n"/>
      <c r="P315" s="111" t="n"/>
      <c r="Q315" s="111" t="n"/>
      <c r="R315" s="96" t="n"/>
      <c r="S315" s="96" t="n"/>
      <c r="T315" s="96" t="n"/>
      <c r="U315" s="96" t="n"/>
      <c r="V315" s="161" t="n"/>
      <c r="W315" s="96" t="n"/>
      <c r="X315" s="161" t="n"/>
      <c r="Y315" s="97" t="n"/>
      <c r="Z315" s="97" t="n"/>
      <c r="AA315" s="97" t="n"/>
      <c r="AB315" s="97" t="n"/>
      <c r="AC315" s="97" t="n"/>
      <c r="AD315" s="161" t="n"/>
      <c r="AE315" s="174" t="n"/>
      <c r="AF315" s="96" t="n"/>
      <c r="AG315" s="97" t="n"/>
      <c r="AH315" s="97" t="n"/>
      <c r="AI315" s="97" t="n"/>
      <c r="AJ315" s="96" t="n"/>
      <c r="AK315" s="130" t="n"/>
    </row>
    <row r="316" ht="12" customHeight="1">
      <c r="A316" s="108" t="inlineStr">
        <is>
          <t>SKLU1581370</t>
        </is>
      </c>
      <c r="B316" s="108" t="n"/>
      <c r="C316" s="108" t="n"/>
      <c r="D316" s="172" t="n"/>
      <c r="E316" s="173" t="n"/>
      <c r="F316" s="96" t="n"/>
      <c r="G316" s="96" t="n"/>
      <c r="H316" s="111" t="n"/>
      <c r="I316" s="96" t="n"/>
      <c r="J316" s="96" t="n"/>
      <c r="K316" s="96" t="n"/>
      <c r="L316" s="111" t="n"/>
      <c r="M316" s="96" t="n"/>
      <c r="N316" s="96" t="n"/>
      <c r="O316" s="111" t="n"/>
      <c r="P316" s="111" t="n"/>
      <c r="Q316" s="111" t="n"/>
      <c r="R316" s="96" t="n"/>
      <c r="S316" s="96" t="n"/>
      <c r="T316" s="96" t="n"/>
      <c r="U316" s="96" t="n"/>
      <c r="V316" s="161" t="n"/>
      <c r="W316" s="96" t="n"/>
      <c r="X316" s="161" t="n"/>
      <c r="Y316" s="97" t="n"/>
      <c r="Z316" s="97" t="n"/>
      <c r="AA316" s="97" t="n"/>
      <c r="AB316" s="97" t="n"/>
      <c r="AC316" s="97" t="n"/>
      <c r="AD316" s="161" t="n"/>
      <c r="AE316" s="174" t="n"/>
      <c r="AF316" s="96" t="n"/>
      <c r="AG316" s="97" t="n"/>
      <c r="AH316" s="97" t="n"/>
      <c r="AI316" s="97" t="n"/>
      <c r="AJ316" s="96" t="n"/>
      <c r="AK316" s="130" t="n"/>
    </row>
    <row r="317" ht="12" customHeight="1">
      <c r="A317" s="108" t="inlineStr">
        <is>
          <t>SKLU1582037</t>
        </is>
      </c>
      <c r="B317" s="108" t="n"/>
      <c r="C317" s="108" t="n"/>
      <c r="D317" s="172" t="n"/>
      <c r="E317" s="173" t="n"/>
      <c r="F317" s="96" t="n"/>
      <c r="G317" s="96" t="n"/>
      <c r="H317" s="111" t="n"/>
      <c r="I317" s="96" t="n"/>
      <c r="J317" s="96" t="n"/>
      <c r="K317" s="96" t="n"/>
      <c r="L317" s="111" t="n"/>
      <c r="M317" s="96" t="n"/>
      <c r="N317" s="96" t="n"/>
      <c r="O317" s="111" t="n"/>
      <c r="P317" s="111" t="n"/>
      <c r="Q317" s="111" t="n"/>
      <c r="R317" s="96" t="n"/>
      <c r="S317" s="96" t="n"/>
      <c r="T317" s="96" t="n"/>
      <c r="U317" s="96" t="n"/>
      <c r="V317" s="161" t="n"/>
      <c r="W317" s="96" t="n"/>
      <c r="X317" s="161" t="n"/>
      <c r="Y317" s="97" t="n"/>
      <c r="Z317" s="97" t="n"/>
      <c r="AA317" s="97" t="n"/>
      <c r="AB317" s="97" t="n"/>
      <c r="AC317" s="97" t="n"/>
      <c r="AD317" s="161" t="n"/>
      <c r="AE317" s="174" t="n"/>
      <c r="AF317" s="96" t="n"/>
      <c r="AG317" s="97" t="n"/>
      <c r="AH317" s="97" t="n"/>
      <c r="AI317" s="97" t="n"/>
      <c r="AJ317" s="96" t="n"/>
      <c r="AK317" s="130" t="n"/>
    </row>
    <row r="318" ht="12" customHeight="1">
      <c r="A318" s="108" t="inlineStr">
        <is>
          <t>SKLU1587321</t>
        </is>
      </c>
      <c r="B318" s="108" t="n"/>
      <c r="C318" s="108" t="n"/>
      <c r="D318" s="172" t="n"/>
      <c r="E318" s="173" t="n"/>
      <c r="F318" s="96" t="n"/>
      <c r="G318" s="96" t="n"/>
      <c r="H318" s="111" t="n"/>
      <c r="I318" s="96" t="n"/>
      <c r="J318" s="96" t="n"/>
      <c r="K318" s="96" t="n"/>
      <c r="L318" s="111" t="n"/>
      <c r="M318" s="96" t="n"/>
      <c r="N318" s="96" t="n"/>
      <c r="O318" s="111" t="n"/>
      <c r="P318" s="111" t="n"/>
      <c r="Q318" s="111" t="n"/>
      <c r="R318" s="96" t="n"/>
      <c r="S318" s="96" t="n"/>
      <c r="T318" s="96" t="n"/>
      <c r="U318" s="96" t="n"/>
      <c r="V318" s="161" t="n"/>
      <c r="W318" s="96" t="n"/>
      <c r="X318" s="161" t="n"/>
      <c r="Y318" s="97" t="n"/>
      <c r="Z318" s="97" t="n"/>
      <c r="AA318" s="97" t="n"/>
      <c r="AB318" s="97" t="n"/>
      <c r="AC318" s="97" t="n"/>
      <c r="AD318" s="161" t="n"/>
      <c r="AE318" s="174" t="n"/>
      <c r="AF318" s="96" t="n"/>
      <c r="AG318" s="97" t="n"/>
      <c r="AH318" s="97" t="n"/>
      <c r="AI318" s="97" t="n"/>
      <c r="AJ318" s="96" t="n"/>
      <c r="AK318" s="130" t="n"/>
    </row>
    <row r="319" ht="12" customHeight="1">
      <c r="A319" s="108" t="inlineStr">
        <is>
          <t>SKLU1587677</t>
        </is>
      </c>
      <c r="B319" s="108" t="n"/>
      <c r="C319" s="108" t="n"/>
      <c r="D319" s="172" t="n"/>
      <c r="E319" s="173" t="n"/>
      <c r="F319" s="96" t="n"/>
      <c r="G319" s="96" t="n"/>
      <c r="H319" s="111" t="n"/>
      <c r="I319" s="96" t="n"/>
      <c r="J319" s="96" t="n"/>
      <c r="K319" s="96" t="n"/>
      <c r="L319" s="111" t="n"/>
      <c r="M319" s="96" t="n"/>
      <c r="N319" s="96" t="n"/>
      <c r="O319" s="111" t="n"/>
      <c r="P319" s="111" t="n"/>
      <c r="Q319" s="111" t="n"/>
      <c r="R319" s="96" t="n"/>
      <c r="S319" s="96" t="n"/>
      <c r="T319" s="96" t="n"/>
      <c r="U319" s="96" t="n"/>
      <c r="V319" s="161" t="n"/>
      <c r="W319" s="96" t="n"/>
      <c r="X319" s="161" t="n"/>
      <c r="Y319" s="97" t="n"/>
      <c r="Z319" s="97" t="n"/>
      <c r="AA319" s="97" t="n"/>
      <c r="AB319" s="97" t="n"/>
      <c r="AC319" s="97" t="n"/>
      <c r="AD319" s="161" t="n"/>
      <c r="AE319" s="174" t="n"/>
      <c r="AF319" s="96" t="n"/>
      <c r="AG319" s="97" t="n"/>
      <c r="AH319" s="97" t="n"/>
      <c r="AI319" s="97" t="n"/>
      <c r="AJ319" s="96" t="n"/>
      <c r="AK319" s="130" t="n"/>
    </row>
    <row r="320" ht="12" customHeight="1">
      <c r="A320" s="108" t="inlineStr">
        <is>
          <t>SKLU1641633</t>
        </is>
      </c>
      <c r="B320" s="108" t="n"/>
      <c r="C320" s="108" t="n"/>
      <c r="D320" s="172" t="n"/>
      <c r="E320" s="173" t="n"/>
      <c r="F320" s="96" t="n"/>
      <c r="G320" s="96" t="n"/>
      <c r="H320" s="111" t="n"/>
      <c r="I320" s="96" t="n"/>
      <c r="J320" s="96" t="n"/>
      <c r="K320" s="96" t="n"/>
      <c r="L320" s="111" t="n"/>
      <c r="M320" s="96" t="n"/>
      <c r="N320" s="96" t="n"/>
      <c r="O320" s="111" t="n"/>
      <c r="P320" s="111" t="n"/>
      <c r="Q320" s="111" t="n"/>
      <c r="R320" s="96" t="n"/>
      <c r="S320" s="96" t="n"/>
      <c r="T320" s="96" t="n"/>
      <c r="U320" s="96" t="n"/>
      <c r="V320" s="161" t="n"/>
      <c r="W320" s="96" t="n"/>
      <c r="X320" s="161" t="n"/>
      <c r="Y320" s="97" t="n"/>
      <c r="Z320" s="97" t="n"/>
      <c r="AA320" s="97" t="n"/>
      <c r="AB320" s="97" t="n"/>
      <c r="AC320" s="97" t="n"/>
      <c r="AD320" s="161" t="n"/>
      <c r="AE320" s="174" t="n"/>
      <c r="AF320" s="96" t="n"/>
      <c r="AG320" s="97" t="n"/>
      <c r="AH320" s="97" t="n"/>
      <c r="AI320" s="97" t="n"/>
      <c r="AJ320" s="96" t="n"/>
      <c r="AK320" s="130" t="n"/>
    </row>
    <row r="321" ht="12" customHeight="1">
      <c r="A321" s="108" t="inlineStr">
        <is>
          <t>SKLU1641905</t>
        </is>
      </c>
      <c r="B321" s="108" t="n"/>
      <c r="C321" s="108" t="n"/>
      <c r="D321" s="172" t="n"/>
      <c r="E321" s="173" t="n"/>
      <c r="F321" s="96" t="n"/>
      <c r="G321" s="96" t="n"/>
      <c r="H321" s="111" t="n"/>
      <c r="I321" s="96" t="n"/>
      <c r="J321" s="96" t="n"/>
      <c r="K321" s="96" t="n"/>
      <c r="L321" s="111" t="n"/>
      <c r="M321" s="96" t="n"/>
      <c r="N321" s="96" t="n"/>
      <c r="O321" s="111" t="n"/>
      <c r="P321" s="111" t="n"/>
      <c r="Q321" s="111" t="n"/>
      <c r="R321" s="96" t="n"/>
      <c r="S321" s="96" t="n"/>
      <c r="T321" s="96" t="n"/>
      <c r="U321" s="96" t="n"/>
      <c r="V321" s="161" t="n"/>
      <c r="W321" s="96" t="n"/>
      <c r="X321" s="161" t="n"/>
      <c r="Y321" s="97" t="n"/>
      <c r="Z321" s="97" t="n"/>
      <c r="AA321" s="97" t="n"/>
      <c r="AB321" s="97" t="n"/>
      <c r="AC321" s="97" t="n"/>
      <c r="AD321" s="161" t="n"/>
      <c r="AE321" s="174" t="n"/>
      <c r="AF321" s="96" t="n"/>
      <c r="AG321" s="97" t="n"/>
      <c r="AH321" s="97" t="n"/>
      <c r="AI321" s="97" t="n"/>
      <c r="AJ321" s="96" t="n"/>
      <c r="AK321" s="130" t="n"/>
    </row>
    <row r="322" ht="12" customHeight="1">
      <c r="A322" s="108" t="inlineStr">
        <is>
          <t>SKLU1661368</t>
        </is>
      </c>
      <c r="B322" s="108" t="n"/>
      <c r="C322" s="108" t="n"/>
      <c r="D322" s="172" t="n"/>
      <c r="E322" s="173" t="n"/>
      <c r="F322" s="96" t="n"/>
      <c r="G322" s="96" t="n"/>
      <c r="H322" s="111" t="n"/>
      <c r="I322" s="96" t="n"/>
      <c r="J322" s="96" t="n"/>
      <c r="K322" s="96" t="n"/>
      <c r="L322" s="111" t="n"/>
      <c r="M322" s="96" t="n"/>
      <c r="N322" s="96" t="n"/>
      <c r="O322" s="111" t="n"/>
      <c r="P322" s="111" t="n"/>
      <c r="Q322" s="111" t="n"/>
      <c r="R322" s="96" t="n"/>
      <c r="S322" s="96" t="n"/>
      <c r="T322" s="96" t="n"/>
      <c r="U322" s="96" t="n"/>
      <c r="V322" s="161" t="n"/>
      <c r="W322" s="96" t="n"/>
      <c r="X322" s="161" t="n"/>
      <c r="Y322" s="97" t="n"/>
      <c r="Z322" s="97" t="n"/>
      <c r="AA322" s="97" t="n"/>
      <c r="AB322" s="97" t="n"/>
      <c r="AC322" s="97" t="n"/>
      <c r="AD322" s="161" t="n"/>
      <c r="AE322" s="174" t="n"/>
      <c r="AF322" s="96" t="n"/>
      <c r="AG322" s="97" t="n"/>
      <c r="AH322" s="97" t="n"/>
      <c r="AI322" s="97" t="n"/>
      <c r="AJ322" s="96" t="n"/>
      <c r="AK322" s="130" t="n"/>
    </row>
    <row r="323" ht="12" customHeight="1">
      <c r="A323" s="108" t="inlineStr">
        <is>
          <t>SKLU1661413</t>
        </is>
      </c>
      <c r="B323" s="108" t="n"/>
      <c r="C323" s="108" t="n"/>
      <c r="D323" s="172" t="n"/>
      <c r="E323" s="173" t="n"/>
      <c r="F323" s="96" t="n"/>
      <c r="G323" s="96" t="n"/>
      <c r="H323" s="111" t="n"/>
      <c r="I323" s="96" t="n"/>
      <c r="J323" s="96" t="n"/>
      <c r="K323" s="96" t="n"/>
      <c r="L323" s="111" t="n"/>
      <c r="M323" s="96" t="n"/>
      <c r="N323" s="96" t="n"/>
      <c r="O323" s="111" t="n"/>
      <c r="P323" s="111" t="n"/>
      <c r="Q323" s="111" t="n"/>
      <c r="R323" s="96" t="n"/>
      <c r="S323" s="96" t="n"/>
      <c r="T323" s="96" t="n"/>
      <c r="U323" s="96" t="n"/>
      <c r="V323" s="161" t="n"/>
      <c r="W323" s="96" t="n"/>
      <c r="X323" s="161" t="n"/>
      <c r="Y323" s="97" t="n"/>
      <c r="Z323" s="97" t="n"/>
      <c r="AA323" s="97" t="n"/>
      <c r="AB323" s="97" t="n"/>
      <c r="AC323" s="97" t="n"/>
      <c r="AD323" s="161" t="n"/>
      <c r="AE323" s="174" t="n"/>
      <c r="AF323" s="96" t="n"/>
      <c r="AG323" s="97" t="n"/>
      <c r="AH323" s="97" t="n"/>
      <c r="AI323" s="97" t="n"/>
      <c r="AJ323" s="96" t="n"/>
      <c r="AK323" s="130" t="n"/>
    </row>
    <row r="324" ht="12" customHeight="1">
      <c r="A324" s="108" t="inlineStr">
        <is>
          <t>SKLU1663720</t>
        </is>
      </c>
      <c r="B324" s="108" t="n"/>
      <c r="C324" s="108" t="n"/>
      <c r="D324" s="172" t="n"/>
      <c r="E324" s="173" t="n"/>
      <c r="F324" s="96" t="n"/>
      <c r="G324" s="96" t="n"/>
      <c r="H324" s="111" t="n"/>
      <c r="I324" s="96" t="n"/>
      <c r="J324" s="96" t="n"/>
      <c r="K324" s="96" t="n"/>
      <c r="L324" s="111" t="n"/>
      <c r="M324" s="96" t="n"/>
      <c r="N324" s="96" t="n"/>
      <c r="O324" s="111" t="n"/>
      <c r="P324" s="111" t="n"/>
      <c r="Q324" s="111" t="n"/>
      <c r="R324" s="96" t="n"/>
      <c r="S324" s="96" t="n"/>
      <c r="T324" s="96" t="n"/>
      <c r="U324" s="96" t="n"/>
      <c r="V324" s="161" t="n"/>
      <c r="W324" s="96" t="n"/>
      <c r="X324" s="161" t="n"/>
      <c r="Y324" s="97" t="n"/>
      <c r="Z324" s="97" t="n"/>
      <c r="AA324" s="97" t="n"/>
      <c r="AB324" s="97" t="n"/>
      <c r="AC324" s="97" t="n"/>
      <c r="AD324" s="161" t="n"/>
      <c r="AE324" s="174" t="n"/>
      <c r="AF324" s="96" t="n"/>
      <c r="AG324" s="97" t="n"/>
      <c r="AH324" s="97" t="n"/>
      <c r="AI324" s="97" t="n"/>
      <c r="AJ324" s="96" t="n"/>
      <c r="AK324" s="130" t="n"/>
    </row>
    <row r="325" ht="12" customHeight="1">
      <c r="A325" s="108" t="inlineStr">
        <is>
          <t>SKLU1666591</t>
        </is>
      </c>
      <c r="B325" s="108" t="n"/>
      <c r="C325" s="108" t="n"/>
      <c r="D325" s="172" t="n"/>
      <c r="E325" s="173" t="n"/>
      <c r="F325" s="96" t="n"/>
      <c r="G325" s="96" t="n"/>
      <c r="H325" s="111" t="n"/>
      <c r="I325" s="96" t="n"/>
      <c r="J325" s="96" t="n"/>
      <c r="K325" s="96" t="n"/>
      <c r="L325" s="111" t="n"/>
      <c r="M325" s="96" t="n"/>
      <c r="N325" s="96" t="n"/>
      <c r="O325" s="111" t="n"/>
      <c r="P325" s="111" t="n"/>
      <c r="Q325" s="111" t="n"/>
      <c r="R325" s="96" t="n"/>
      <c r="S325" s="96" t="n"/>
      <c r="T325" s="96" t="n"/>
      <c r="U325" s="96" t="n"/>
      <c r="V325" s="161" t="n"/>
      <c r="W325" s="96" t="n"/>
      <c r="X325" s="161" t="n"/>
      <c r="Y325" s="97" t="n"/>
      <c r="Z325" s="97" t="n"/>
      <c r="AA325" s="97" t="n"/>
      <c r="AB325" s="97" t="n"/>
      <c r="AC325" s="97" t="n"/>
      <c r="AD325" s="161" t="n"/>
      <c r="AE325" s="174" t="n"/>
      <c r="AF325" s="96" t="n"/>
      <c r="AG325" s="97" t="n"/>
      <c r="AH325" s="97" t="n"/>
      <c r="AI325" s="97" t="n"/>
      <c r="AJ325" s="96" t="n"/>
      <c r="AK325" s="130" t="n"/>
    </row>
    <row r="326" ht="12" customHeight="1">
      <c r="A326" s="108" t="inlineStr">
        <is>
          <t>SKLU1821342</t>
        </is>
      </c>
      <c r="B326" s="108" t="n"/>
      <c r="C326" s="108" t="n"/>
      <c r="D326" s="172" t="n"/>
      <c r="E326" s="173" t="n"/>
      <c r="F326" s="96" t="n"/>
      <c r="G326" s="96" t="n"/>
      <c r="H326" s="111" t="n"/>
      <c r="I326" s="96" t="n"/>
      <c r="J326" s="96" t="n"/>
      <c r="K326" s="96" t="n"/>
      <c r="L326" s="111" t="n"/>
      <c r="M326" s="96" t="n"/>
      <c r="N326" s="96" t="n"/>
      <c r="O326" s="111" t="n"/>
      <c r="P326" s="111" t="n"/>
      <c r="Q326" s="111" t="n"/>
      <c r="R326" s="96" t="n"/>
      <c r="S326" s="96" t="n"/>
      <c r="T326" s="96" t="n"/>
      <c r="U326" s="96" t="n"/>
      <c r="V326" s="161" t="n"/>
      <c r="W326" s="96" t="n"/>
      <c r="X326" s="161" t="n"/>
      <c r="Y326" s="97" t="n"/>
      <c r="Z326" s="97" t="n"/>
      <c r="AA326" s="97" t="n"/>
      <c r="AB326" s="97" t="n"/>
      <c r="AC326" s="97" t="n"/>
      <c r="AD326" s="161" t="n"/>
      <c r="AE326" s="174" t="n"/>
      <c r="AF326" s="96" t="n"/>
      <c r="AG326" s="97" t="n"/>
      <c r="AH326" s="97" t="n"/>
      <c r="AI326" s="97" t="n"/>
      <c r="AJ326" s="96" t="n"/>
      <c r="AK326" s="130" t="n"/>
    </row>
    <row r="327" ht="12" customHeight="1">
      <c r="A327" s="108" t="inlineStr">
        <is>
          <t>SKLU1824737</t>
        </is>
      </c>
      <c r="B327" s="108" t="n"/>
      <c r="C327" s="108" t="n"/>
      <c r="D327" s="172" t="n"/>
      <c r="E327" s="173" t="n"/>
      <c r="F327" s="96" t="n"/>
      <c r="G327" s="96" t="n"/>
      <c r="H327" s="111" t="n"/>
      <c r="I327" s="96" t="n"/>
      <c r="J327" s="96" t="n"/>
      <c r="K327" s="96" t="n"/>
      <c r="L327" s="111" t="n"/>
      <c r="M327" s="96" t="n"/>
      <c r="N327" s="96" t="n"/>
      <c r="O327" s="111" t="n"/>
      <c r="P327" s="111" t="n"/>
      <c r="Q327" s="111" t="n"/>
      <c r="R327" s="96" t="n"/>
      <c r="S327" s="96" t="n"/>
      <c r="T327" s="96" t="n"/>
      <c r="U327" s="96" t="n"/>
      <c r="V327" s="161" t="n"/>
      <c r="W327" s="96" t="n"/>
      <c r="X327" s="161" t="n"/>
      <c r="Y327" s="97" t="n"/>
      <c r="Z327" s="97" t="n"/>
      <c r="AA327" s="97" t="n"/>
      <c r="AB327" s="97" t="n"/>
      <c r="AC327" s="97" t="n"/>
      <c r="AD327" s="161" t="n"/>
      <c r="AE327" s="174" t="n"/>
      <c r="AF327" s="96" t="n"/>
      <c r="AG327" s="97" t="n"/>
      <c r="AH327" s="97" t="n"/>
      <c r="AI327" s="97" t="n"/>
      <c r="AJ327" s="96" t="n"/>
      <c r="AK327" s="130" t="n"/>
    </row>
    <row r="328" ht="12" customHeight="1">
      <c r="A328" s="108" t="inlineStr">
        <is>
          <t>SKLU1913921</t>
        </is>
      </c>
      <c r="B328" s="108" t="n"/>
      <c r="C328" s="108" t="n"/>
      <c r="D328" s="172" t="n"/>
      <c r="E328" s="173" t="n"/>
      <c r="F328" s="96" t="n"/>
      <c r="G328" s="96" t="n"/>
      <c r="H328" s="111" t="n"/>
      <c r="I328" s="96" t="n"/>
      <c r="J328" s="96" t="n"/>
      <c r="K328" s="96" t="n"/>
      <c r="L328" s="111" t="n"/>
      <c r="M328" s="96" t="n"/>
      <c r="N328" s="96" t="n"/>
      <c r="O328" s="111" t="n"/>
      <c r="P328" s="111" t="n"/>
      <c r="Q328" s="111" t="n"/>
      <c r="R328" s="96" t="n"/>
      <c r="S328" s="96" t="n"/>
      <c r="T328" s="96" t="n"/>
      <c r="U328" s="96" t="n"/>
      <c r="V328" s="161" t="n"/>
      <c r="W328" s="96" t="n"/>
      <c r="X328" s="161" t="n"/>
      <c r="Y328" s="97" t="n"/>
      <c r="Z328" s="97" t="n"/>
      <c r="AA328" s="97" t="n"/>
      <c r="AB328" s="97" t="n"/>
      <c r="AC328" s="97" t="n"/>
      <c r="AD328" s="161" t="n"/>
      <c r="AE328" s="174" t="n"/>
      <c r="AF328" s="96" t="n"/>
      <c r="AG328" s="97" t="n"/>
      <c r="AH328" s="97" t="n"/>
      <c r="AI328" s="97" t="n"/>
      <c r="AJ328" s="96" t="n"/>
      <c r="AK328" s="130" t="n"/>
    </row>
    <row r="329" ht="12" customHeight="1">
      <c r="A329" s="108" t="inlineStr">
        <is>
          <t>SKLU1919787</t>
        </is>
      </c>
      <c r="B329" s="108" t="n"/>
      <c r="C329" s="108" t="n"/>
      <c r="D329" s="172" t="n"/>
      <c r="E329" s="173" t="n"/>
      <c r="F329" s="96" t="n"/>
      <c r="G329" s="96" t="n"/>
      <c r="H329" s="111" t="n"/>
      <c r="I329" s="96" t="n"/>
      <c r="J329" s="96" t="n"/>
      <c r="K329" s="96" t="n"/>
      <c r="L329" s="111" t="n"/>
      <c r="M329" s="96" t="n"/>
      <c r="N329" s="96" t="n"/>
      <c r="O329" s="111" t="n"/>
      <c r="P329" s="111" t="n"/>
      <c r="Q329" s="111" t="n"/>
      <c r="R329" s="96" t="n"/>
      <c r="S329" s="96" t="n"/>
      <c r="T329" s="96" t="n"/>
      <c r="U329" s="96" t="n"/>
      <c r="V329" s="161" t="n"/>
      <c r="W329" s="96" t="n"/>
      <c r="X329" s="161" t="n"/>
      <c r="Y329" s="97" t="n"/>
      <c r="Z329" s="97" t="n"/>
      <c r="AA329" s="97" t="n"/>
      <c r="AB329" s="97" t="n"/>
      <c r="AC329" s="97" t="n"/>
      <c r="AD329" s="161" t="n"/>
      <c r="AE329" s="174" t="n"/>
      <c r="AF329" s="96" t="n"/>
      <c r="AG329" s="97" t="n"/>
      <c r="AH329" s="97" t="n"/>
      <c r="AI329" s="97" t="n"/>
      <c r="AJ329" s="96" t="n"/>
      <c r="AK329" s="130" t="n"/>
    </row>
    <row r="330" ht="12" customHeight="1">
      <c r="A330" s="108" t="inlineStr">
        <is>
          <t>SKLU1939130</t>
        </is>
      </c>
      <c r="B330" s="108" t="n"/>
      <c r="C330" s="108" t="n"/>
      <c r="D330" s="172" t="n"/>
      <c r="E330" s="173" t="n"/>
      <c r="F330" s="96" t="n"/>
      <c r="G330" s="96" t="n"/>
      <c r="H330" s="111" t="n"/>
      <c r="I330" s="96" t="n"/>
      <c r="J330" s="96" t="n"/>
      <c r="K330" s="96" t="n"/>
      <c r="L330" s="111" t="n"/>
      <c r="M330" s="96" t="n"/>
      <c r="N330" s="96" t="n"/>
      <c r="O330" s="111" t="n"/>
      <c r="P330" s="111" t="n"/>
      <c r="Q330" s="111" t="n"/>
      <c r="R330" s="96" t="n"/>
      <c r="S330" s="96" t="n"/>
      <c r="T330" s="96" t="n"/>
      <c r="U330" s="96" t="n"/>
      <c r="V330" s="161" t="n"/>
      <c r="W330" s="96" t="n"/>
      <c r="X330" s="161" t="n"/>
      <c r="Y330" s="97" t="n"/>
      <c r="Z330" s="97" t="n"/>
      <c r="AA330" s="97" t="n"/>
      <c r="AB330" s="97" t="n"/>
      <c r="AC330" s="97" t="n"/>
      <c r="AD330" s="161" t="n"/>
      <c r="AE330" s="174" t="n"/>
      <c r="AF330" s="96" t="n"/>
      <c r="AG330" s="97" t="n"/>
      <c r="AH330" s="97" t="n"/>
      <c r="AI330" s="97" t="n"/>
      <c r="AJ330" s="96" t="n"/>
      <c r="AK330" s="130" t="n"/>
    </row>
    <row r="331" ht="12" customHeight="1">
      <c r="A331" s="108" t="inlineStr">
        <is>
          <t>SKLU1951367</t>
        </is>
      </c>
      <c r="B331" s="108" t="n"/>
      <c r="C331" s="108" t="n"/>
      <c r="D331" s="172" t="n"/>
      <c r="E331" s="173" t="n"/>
      <c r="F331" s="96" t="n"/>
      <c r="G331" s="96" t="n"/>
      <c r="H331" s="111" t="n"/>
      <c r="I331" s="96" t="n"/>
      <c r="J331" s="96" t="n"/>
      <c r="K331" s="96" t="n"/>
      <c r="L331" s="111" t="n"/>
      <c r="M331" s="96" t="n"/>
      <c r="N331" s="96" t="n"/>
      <c r="O331" s="111" t="n"/>
      <c r="P331" s="111" t="n"/>
      <c r="Q331" s="111" t="n"/>
      <c r="R331" s="96" t="n"/>
      <c r="S331" s="96" t="n"/>
      <c r="T331" s="96" t="n"/>
      <c r="U331" s="96" t="n"/>
      <c r="V331" s="161" t="n"/>
      <c r="W331" s="96" t="n"/>
      <c r="X331" s="161" t="n"/>
      <c r="Y331" s="97" t="n"/>
      <c r="Z331" s="97" t="n"/>
      <c r="AA331" s="97" t="n"/>
      <c r="AB331" s="97" t="n"/>
      <c r="AC331" s="97" t="n"/>
      <c r="AD331" s="161" t="n"/>
      <c r="AE331" s="174" t="n"/>
      <c r="AF331" s="96" t="n"/>
      <c r="AG331" s="97" t="n"/>
      <c r="AH331" s="97" t="n"/>
      <c r="AI331" s="97" t="n"/>
      <c r="AJ331" s="96" t="n"/>
      <c r="AK331" s="130" t="n"/>
    </row>
    <row r="332" ht="12" customHeight="1">
      <c r="A332" s="108" t="inlineStr">
        <is>
          <t>SKLU1972267</t>
        </is>
      </c>
      <c r="B332" s="108" t="n"/>
      <c r="C332" s="108" t="n"/>
      <c r="D332" s="172" t="n"/>
      <c r="E332" s="173" t="n"/>
      <c r="F332" s="96" t="n"/>
      <c r="G332" s="96" t="n"/>
      <c r="H332" s="111" t="n"/>
      <c r="I332" s="96" t="n"/>
      <c r="J332" s="96" t="n"/>
      <c r="K332" s="96" t="n"/>
      <c r="L332" s="111" t="n"/>
      <c r="M332" s="96" t="n"/>
      <c r="N332" s="96" t="n"/>
      <c r="O332" s="111" t="n"/>
      <c r="P332" s="111" t="n"/>
      <c r="Q332" s="111" t="n"/>
      <c r="R332" s="96" t="n"/>
      <c r="S332" s="96" t="n"/>
      <c r="T332" s="96" t="n"/>
      <c r="U332" s="96" t="n"/>
      <c r="V332" s="161" t="n"/>
      <c r="W332" s="96" t="n"/>
      <c r="X332" s="161" t="n"/>
      <c r="Y332" s="97" t="n"/>
      <c r="Z332" s="97" t="n"/>
      <c r="AA332" s="97" t="n"/>
      <c r="AB332" s="97" t="n"/>
      <c r="AC332" s="97" t="n"/>
      <c r="AD332" s="161" t="n"/>
      <c r="AE332" s="174" t="n"/>
      <c r="AF332" s="96" t="n"/>
      <c r="AG332" s="97" t="n"/>
      <c r="AH332" s="97" t="n"/>
      <c r="AI332" s="97" t="n"/>
      <c r="AJ332" s="96" t="n"/>
      <c r="AK332" s="130" t="n"/>
    </row>
    <row r="333" ht="12" customHeight="1">
      <c r="A333" s="108" t="inlineStr">
        <is>
          <t>SKLU1972776</t>
        </is>
      </c>
      <c r="B333" s="108" t="n"/>
      <c r="C333" s="108" t="n"/>
      <c r="D333" s="172" t="n"/>
      <c r="E333" s="173" t="n"/>
      <c r="F333" s="96" t="n"/>
      <c r="G333" s="96" t="n"/>
      <c r="H333" s="111" t="n"/>
      <c r="I333" s="96" t="n"/>
      <c r="J333" s="96" t="n"/>
      <c r="K333" s="96" t="n"/>
      <c r="L333" s="111" t="n"/>
      <c r="M333" s="96" t="n"/>
      <c r="N333" s="96" t="n"/>
      <c r="O333" s="111" t="n"/>
      <c r="P333" s="111" t="n"/>
      <c r="Q333" s="111" t="n"/>
      <c r="R333" s="96" t="n"/>
      <c r="S333" s="96" t="n"/>
      <c r="T333" s="96" t="n"/>
      <c r="U333" s="96" t="n"/>
      <c r="V333" s="161" t="n"/>
      <c r="W333" s="96" t="n"/>
      <c r="X333" s="161" t="n"/>
      <c r="Y333" s="97" t="n"/>
      <c r="Z333" s="97" t="n"/>
      <c r="AA333" s="97" t="n"/>
      <c r="AB333" s="97" t="n"/>
      <c r="AC333" s="97" t="n"/>
      <c r="AD333" s="161" t="n"/>
      <c r="AE333" s="174" t="n"/>
      <c r="AF333" s="96" t="n"/>
      <c r="AG333" s="97" t="n"/>
      <c r="AH333" s="97" t="n"/>
      <c r="AI333" s="97" t="n"/>
      <c r="AJ333" s="96" t="n"/>
      <c r="AK333" s="130" t="n"/>
    </row>
    <row r="334" ht="12" customHeight="1">
      <c r="A334" s="108" t="inlineStr">
        <is>
          <t>SKLU1973047</t>
        </is>
      </c>
      <c r="B334" s="108" t="n"/>
      <c r="C334" s="108" t="n"/>
      <c r="D334" s="172" t="n"/>
      <c r="E334" s="173" t="n"/>
      <c r="F334" s="96" t="n"/>
      <c r="G334" s="96" t="n"/>
      <c r="H334" s="111" t="n"/>
      <c r="I334" s="96" t="n"/>
      <c r="J334" s="96" t="n"/>
      <c r="K334" s="96" t="n"/>
      <c r="L334" s="111" t="n"/>
      <c r="M334" s="96" t="n"/>
      <c r="N334" s="96" t="n"/>
      <c r="O334" s="111" t="n"/>
      <c r="P334" s="111" t="n"/>
      <c r="Q334" s="111" t="n"/>
      <c r="R334" s="96" t="n"/>
      <c r="S334" s="96" t="n"/>
      <c r="T334" s="96" t="n"/>
      <c r="U334" s="96" t="n"/>
      <c r="V334" s="161" t="n"/>
      <c r="W334" s="96" t="n"/>
      <c r="X334" s="161" t="n"/>
      <c r="Y334" s="97" t="n"/>
      <c r="Z334" s="97" t="n"/>
      <c r="AA334" s="97" t="n"/>
      <c r="AB334" s="97" t="n"/>
      <c r="AC334" s="97" t="n"/>
      <c r="AD334" s="161" t="n"/>
      <c r="AE334" s="174" t="n"/>
      <c r="AF334" s="96" t="n"/>
      <c r="AG334" s="97" t="n"/>
      <c r="AH334" s="97" t="n"/>
      <c r="AI334" s="97" t="n"/>
      <c r="AJ334" s="96" t="n"/>
      <c r="AK334" s="130" t="n"/>
    </row>
    <row r="335" ht="12" customHeight="1">
      <c r="A335" s="108" t="inlineStr">
        <is>
          <t>SKLU1987436</t>
        </is>
      </c>
      <c r="B335" s="108" t="n"/>
      <c r="C335" s="108" t="n"/>
      <c r="D335" s="172" t="n"/>
      <c r="E335" s="173" t="n"/>
      <c r="F335" s="96" t="n"/>
      <c r="G335" s="96" t="n"/>
      <c r="H335" s="111" t="n"/>
      <c r="I335" s="96" t="n"/>
      <c r="J335" s="96" t="n"/>
      <c r="K335" s="96" t="n"/>
      <c r="L335" s="111" t="n"/>
      <c r="M335" s="96" t="n"/>
      <c r="N335" s="96" t="n"/>
      <c r="O335" s="111" t="n"/>
      <c r="P335" s="111" t="n"/>
      <c r="Q335" s="111" t="n"/>
      <c r="R335" s="96" t="n"/>
      <c r="S335" s="96" t="n"/>
      <c r="T335" s="96" t="n"/>
      <c r="U335" s="96" t="n"/>
      <c r="V335" s="161" t="n"/>
      <c r="W335" s="96" t="n"/>
      <c r="X335" s="161" t="n"/>
      <c r="Y335" s="97" t="n"/>
      <c r="Z335" s="97" t="n"/>
      <c r="AA335" s="97" t="n"/>
      <c r="AB335" s="97" t="n"/>
      <c r="AC335" s="97" t="n"/>
      <c r="AD335" s="161" t="n"/>
      <c r="AE335" s="174" t="n"/>
      <c r="AF335" s="96" t="n"/>
      <c r="AG335" s="97" t="n"/>
      <c r="AH335" s="97" t="n"/>
      <c r="AI335" s="97" t="n"/>
      <c r="AJ335" s="96" t="n"/>
      <c r="AK335" s="130" t="n"/>
    </row>
    <row r="336" ht="12" customHeight="1">
      <c r="A336" s="108" t="inlineStr">
        <is>
          <t>SKLU1997542</t>
        </is>
      </c>
      <c r="B336" s="108" t="n"/>
      <c r="C336" s="108" t="n"/>
      <c r="D336" s="172" t="n"/>
      <c r="E336" s="173" t="n"/>
      <c r="F336" s="96" t="n"/>
      <c r="G336" s="96" t="n"/>
      <c r="H336" s="111" t="n"/>
      <c r="I336" s="96" t="n"/>
      <c r="J336" s="96" t="n"/>
      <c r="K336" s="96" t="n"/>
      <c r="L336" s="111" t="n"/>
      <c r="M336" s="96" t="n"/>
      <c r="N336" s="96" t="n"/>
      <c r="O336" s="111" t="n"/>
      <c r="P336" s="111" t="n"/>
      <c r="Q336" s="111" t="n"/>
      <c r="R336" s="96" t="n"/>
      <c r="S336" s="96" t="n"/>
      <c r="T336" s="96" t="n"/>
      <c r="U336" s="96" t="n"/>
      <c r="V336" s="161" t="n"/>
      <c r="W336" s="96" t="n"/>
      <c r="X336" s="161" t="n"/>
      <c r="Y336" s="97" t="n"/>
      <c r="Z336" s="97" t="n"/>
      <c r="AA336" s="97" t="n"/>
      <c r="AB336" s="97" t="n"/>
      <c r="AC336" s="97" t="n"/>
      <c r="AD336" s="161" t="n"/>
      <c r="AE336" s="174" t="n"/>
      <c r="AF336" s="96" t="n"/>
      <c r="AG336" s="97" t="n"/>
      <c r="AH336" s="97" t="n"/>
      <c r="AI336" s="97" t="n"/>
      <c r="AJ336" s="96" t="n"/>
      <c r="AK336" s="130" t="n"/>
    </row>
    <row r="337" ht="12" customHeight="1">
      <c r="A337" s="108" t="inlineStr">
        <is>
          <t>SKLU1998960</t>
        </is>
      </c>
      <c r="B337" s="108" t="n"/>
      <c r="C337" s="108" t="n"/>
      <c r="D337" s="172" t="n"/>
      <c r="E337" s="173" t="n"/>
      <c r="F337" s="96" t="n"/>
      <c r="G337" s="96" t="n"/>
      <c r="H337" s="111" t="n"/>
      <c r="I337" s="96" t="n"/>
      <c r="J337" s="96" t="n"/>
      <c r="K337" s="96" t="n"/>
      <c r="L337" s="111" t="n"/>
      <c r="M337" s="96" t="n"/>
      <c r="N337" s="96" t="n"/>
      <c r="O337" s="111" t="n"/>
      <c r="P337" s="111" t="n"/>
      <c r="Q337" s="111" t="n"/>
      <c r="R337" s="96" t="n"/>
      <c r="S337" s="96" t="n"/>
      <c r="T337" s="96" t="n"/>
      <c r="U337" s="96" t="n"/>
      <c r="V337" s="161" t="n"/>
      <c r="W337" s="96" t="n"/>
      <c r="X337" s="161" t="n"/>
      <c r="Y337" s="97" t="n"/>
      <c r="Z337" s="97" t="n"/>
      <c r="AA337" s="97" t="n"/>
      <c r="AB337" s="97" t="n"/>
      <c r="AC337" s="97" t="n"/>
      <c r="AD337" s="161" t="n"/>
      <c r="AE337" s="174" t="n"/>
      <c r="AF337" s="96" t="n"/>
      <c r="AG337" s="97" t="n"/>
      <c r="AH337" s="97" t="n"/>
      <c r="AI337" s="97" t="n"/>
      <c r="AJ337" s="96" t="n"/>
      <c r="AK337" s="130" t="n"/>
    </row>
    <row r="338" ht="12" customHeight="1">
      <c r="A338" s="108" t="inlineStr">
        <is>
          <t>SKLU1999205</t>
        </is>
      </c>
      <c r="B338" s="108" t="n"/>
      <c r="C338" s="108" t="n"/>
      <c r="D338" s="172" t="n"/>
      <c r="E338" s="173" t="n"/>
      <c r="F338" s="96" t="n"/>
      <c r="G338" s="96" t="n"/>
      <c r="H338" s="111" t="n"/>
      <c r="I338" s="96" t="n"/>
      <c r="J338" s="96" t="n"/>
      <c r="K338" s="96" t="n"/>
      <c r="L338" s="111" t="n"/>
      <c r="M338" s="96" t="n"/>
      <c r="N338" s="96" t="n"/>
      <c r="O338" s="111" t="n"/>
      <c r="P338" s="111" t="n"/>
      <c r="Q338" s="111" t="n"/>
      <c r="R338" s="96" t="n"/>
      <c r="S338" s="96" t="n"/>
      <c r="T338" s="96" t="n"/>
      <c r="U338" s="96" t="n"/>
      <c r="V338" s="161" t="n"/>
      <c r="W338" s="96" t="n"/>
      <c r="X338" s="161" t="n"/>
      <c r="Y338" s="97" t="n"/>
      <c r="Z338" s="97" t="n"/>
      <c r="AA338" s="97" t="n"/>
      <c r="AB338" s="97" t="n"/>
      <c r="AC338" s="97" t="n"/>
      <c r="AD338" s="161" t="n"/>
      <c r="AE338" s="174" t="n"/>
      <c r="AF338" s="96" t="n"/>
      <c r="AG338" s="97" t="n"/>
      <c r="AH338" s="97" t="n"/>
      <c r="AI338" s="97" t="n"/>
      <c r="AJ338" s="96" t="n"/>
      <c r="AK338" s="130" t="n"/>
    </row>
    <row r="339" ht="12" customHeight="1">
      <c r="A339" s="108" t="inlineStr">
        <is>
          <t>SKLU2019012</t>
        </is>
      </c>
      <c r="B339" s="108" t="n"/>
      <c r="C339" s="108" t="n"/>
      <c r="D339" s="172" t="n"/>
      <c r="E339" s="173" t="n"/>
      <c r="F339" s="96" t="n"/>
      <c r="G339" s="96" t="n"/>
      <c r="H339" s="111" t="n"/>
      <c r="I339" s="96" t="n"/>
      <c r="J339" s="96" t="n"/>
      <c r="K339" s="96" t="n"/>
      <c r="L339" s="111" t="n"/>
      <c r="M339" s="96" t="n"/>
      <c r="N339" s="96" t="n"/>
      <c r="O339" s="111" t="n"/>
      <c r="P339" s="111" t="n"/>
      <c r="Q339" s="111" t="n"/>
      <c r="R339" s="96" t="n"/>
      <c r="S339" s="96" t="n"/>
      <c r="T339" s="96" t="n"/>
      <c r="U339" s="96" t="n"/>
      <c r="V339" s="161" t="n"/>
      <c r="W339" s="96" t="n"/>
      <c r="X339" s="161" t="n"/>
      <c r="Y339" s="97" t="n"/>
      <c r="Z339" s="97" t="n"/>
      <c r="AA339" s="97" t="n"/>
      <c r="AB339" s="97" t="n"/>
      <c r="AC339" s="97" t="n"/>
      <c r="AD339" s="161" t="n"/>
      <c r="AE339" s="174" t="n"/>
      <c r="AF339" s="96" t="n"/>
      <c r="AG339" s="97" t="n"/>
      <c r="AH339" s="97" t="n"/>
      <c r="AI339" s="97" t="n"/>
      <c r="AJ339" s="96" t="n"/>
      <c r="AK339" s="130" t="n"/>
    </row>
    <row r="340" ht="12" customHeight="1">
      <c r="A340" s="108" t="inlineStr">
        <is>
          <t>SKLU2022910</t>
        </is>
      </c>
      <c r="B340" s="108" t="n"/>
      <c r="C340" s="108" t="n"/>
      <c r="D340" s="172" t="n"/>
      <c r="E340" s="173" t="n"/>
      <c r="F340" s="96" t="n"/>
      <c r="G340" s="96" t="n"/>
      <c r="H340" s="111" t="n"/>
      <c r="I340" s="96" t="n"/>
      <c r="J340" s="96" t="n"/>
      <c r="K340" s="96" t="n"/>
      <c r="L340" s="111" t="n"/>
      <c r="M340" s="96" t="n"/>
      <c r="N340" s="96" t="n"/>
      <c r="O340" s="111" t="n"/>
      <c r="P340" s="111" t="n"/>
      <c r="Q340" s="111" t="n"/>
      <c r="R340" s="96" t="n"/>
      <c r="S340" s="96" t="n"/>
      <c r="T340" s="96" t="n"/>
      <c r="U340" s="96" t="n"/>
      <c r="V340" s="161" t="n"/>
      <c r="W340" s="96" t="n"/>
      <c r="X340" s="161" t="n"/>
      <c r="Y340" s="97" t="n"/>
      <c r="Z340" s="97" t="n"/>
      <c r="AA340" s="97" t="n"/>
      <c r="AB340" s="97" t="n"/>
      <c r="AC340" s="97" t="n"/>
      <c r="AD340" s="161" t="n"/>
      <c r="AE340" s="174" t="n"/>
      <c r="AF340" s="96" t="n"/>
      <c r="AG340" s="97" t="n"/>
      <c r="AH340" s="97" t="n"/>
      <c r="AI340" s="97" t="n"/>
      <c r="AJ340" s="96" t="n"/>
      <c r="AK340" s="130" t="n"/>
    </row>
    <row r="341" ht="12" customHeight="1">
      <c r="A341" s="108" t="inlineStr">
        <is>
          <t>SKLU2027511</t>
        </is>
      </c>
      <c r="B341" s="108" t="n"/>
      <c r="C341" s="108" t="n"/>
      <c r="D341" s="172" t="n"/>
      <c r="E341" s="173" t="n"/>
      <c r="F341" s="96" t="n"/>
      <c r="G341" s="96" t="n"/>
      <c r="H341" s="111" t="n"/>
      <c r="I341" s="96" t="n"/>
      <c r="J341" s="96" t="n"/>
      <c r="K341" s="96" t="n"/>
      <c r="L341" s="111" t="n"/>
      <c r="M341" s="96" t="n"/>
      <c r="N341" s="96" t="n"/>
      <c r="O341" s="111" t="n"/>
      <c r="P341" s="111" t="n"/>
      <c r="Q341" s="111" t="n"/>
      <c r="R341" s="96" t="n"/>
      <c r="S341" s="96" t="n"/>
      <c r="T341" s="96" t="n"/>
      <c r="U341" s="96" t="n"/>
      <c r="V341" s="161" t="n"/>
      <c r="W341" s="96" t="n"/>
      <c r="X341" s="161" t="n"/>
      <c r="Y341" s="97" t="n"/>
      <c r="Z341" s="97" t="n"/>
      <c r="AA341" s="97" t="n"/>
      <c r="AB341" s="97" t="n"/>
      <c r="AC341" s="97" t="n"/>
      <c r="AD341" s="161" t="n"/>
      <c r="AE341" s="174" t="n"/>
      <c r="AF341" s="96" t="n"/>
      <c r="AG341" s="97" t="n"/>
      <c r="AH341" s="97" t="n"/>
      <c r="AI341" s="97" t="n"/>
      <c r="AJ341" s="96" t="n"/>
      <c r="AK341" s="130" t="n"/>
    </row>
    <row r="342" ht="12" customHeight="1">
      <c r="A342" s="108" t="inlineStr">
        <is>
          <t>SKLU2034439</t>
        </is>
      </c>
      <c r="B342" s="108" t="n"/>
      <c r="C342" s="108" t="n"/>
      <c r="D342" s="172" t="n"/>
      <c r="E342" s="173" t="n"/>
      <c r="F342" s="96" t="n"/>
      <c r="G342" s="96" t="n"/>
      <c r="H342" s="111" t="n"/>
      <c r="I342" s="96" t="n"/>
      <c r="J342" s="96" t="n"/>
      <c r="K342" s="96" t="n"/>
      <c r="L342" s="111" t="n"/>
      <c r="M342" s="96" t="n"/>
      <c r="N342" s="96" t="n"/>
      <c r="O342" s="111" t="n"/>
      <c r="P342" s="111" t="n"/>
      <c r="Q342" s="111" t="n"/>
      <c r="R342" s="96" t="n"/>
      <c r="S342" s="96" t="n"/>
      <c r="T342" s="96" t="n"/>
      <c r="U342" s="96" t="n"/>
      <c r="V342" s="161" t="n"/>
      <c r="W342" s="96" t="n"/>
      <c r="X342" s="161" t="n"/>
      <c r="Y342" s="97" t="n"/>
      <c r="Z342" s="97" t="n"/>
      <c r="AA342" s="97" t="n"/>
      <c r="AB342" s="97" t="n"/>
      <c r="AC342" s="97" t="n"/>
      <c r="AD342" s="161" t="n"/>
      <c r="AE342" s="174" t="n"/>
      <c r="AF342" s="96" t="n"/>
      <c r="AG342" s="97" t="n"/>
      <c r="AH342" s="97" t="n"/>
      <c r="AI342" s="97" t="n"/>
      <c r="AJ342" s="96" t="n"/>
      <c r="AK342" s="130" t="n"/>
    </row>
    <row r="343" ht="12" customHeight="1">
      <c r="A343" s="108" t="inlineStr">
        <is>
          <t>SKLU2037079</t>
        </is>
      </c>
      <c r="B343" s="108" t="n"/>
      <c r="C343" s="108" t="n"/>
      <c r="D343" s="172" t="n"/>
      <c r="E343" s="173" t="n"/>
      <c r="F343" s="96" t="n"/>
      <c r="G343" s="96" t="n"/>
      <c r="H343" s="111" t="n"/>
      <c r="I343" s="96" t="n"/>
      <c r="J343" s="96" t="n"/>
      <c r="K343" s="96" t="n"/>
      <c r="L343" s="111" t="n"/>
      <c r="M343" s="96" t="n"/>
      <c r="N343" s="96" t="n"/>
      <c r="O343" s="111" t="n"/>
      <c r="P343" s="111" t="n"/>
      <c r="Q343" s="111" t="n"/>
      <c r="R343" s="96" t="n"/>
      <c r="S343" s="96" t="n"/>
      <c r="T343" s="96" t="n"/>
      <c r="U343" s="96" t="n"/>
      <c r="V343" s="161" t="n"/>
      <c r="W343" s="96" t="n"/>
      <c r="X343" s="161" t="n"/>
      <c r="Y343" s="97" t="n"/>
      <c r="Z343" s="97" t="n"/>
      <c r="AA343" s="97" t="n"/>
      <c r="AB343" s="97" t="n"/>
      <c r="AC343" s="97" t="n"/>
      <c r="AD343" s="161" t="n"/>
      <c r="AE343" s="174" t="n"/>
      <c r="AF343" s="96" t="n"/>
      <c r="AG343" s="97" t="n"/>
      <c r="AH343" s="97" t="n"/>
      <c r="AI343" s="97" t="n"/>
      <c r="AJ343" s="96" t="n"/>
      <c r="AK343" s="130" t="n"/>
    </row>
    <row r="344" ht="12" customHeight="1">
      <c r="A344" s="108" t="inlineStr">
        <is>
          <t>SKLU2039699</t>
        </is>
      </c>
      <c r="B344" s="108" t="n"/>
      <c r="C344" s="108" t="n"/>
      <c r="D344" s="172" t="n"/>
      <c r="E344" s="173" t="n"/>
      <c r="F344" s="96" t="n"/>
      <c r="G344" s="96" t="n"/>
      <c r="H344" s="111" t="n"/>
      <c r="I344" s="96" t="n"/>
      <c r="J344" s="96" t="n"/>
      <c r="K344" s="96" t="n"/>
      <c r="L344" s="111" t="n"/>
      <c r="M344" s="96" t="n"/>
      <c r="N344" s="96" t="n"/>
      <c r="O344" s="111" t="n"/>
      <c r="P344" s="111" t="n"/>
      <c r="Q344" s="111" t="n"/>
      <c r="R344" s="96" t="n"/>
      <c r="S344" s="96" t="n"/>
      <c r="T344" s="96" t="n"/>
      <c r="U344" s="96" t="n"/>
      <c r="V344" s="161" t="n"/>
      <c r="W344" s="96" t="n"/>
      <c r="X344" s="161" t="n"/>
      <c r="Y344" s="97" t="n"/>
      <c r="Z344" s="97" t="n"/>
      <c r="AA344" s="97" t="n"/>
      <c r="AB344" s="97" t="n"/>
      <c r="AC344" s="97" t="n"/>
      <c r="AD344" s="161" t="n"/>
      <c r="AE344" s="174" t="n"/>
      <c r="AF344" s="96" t="n"/>
      <c r="AG344" s="97" t="n"/>
      <c r="AH344" s="97" t="n"/>
      <c r="AI344" s="97" t="n"/>
      <c r="AJ344" s="96" t="n"/>
      <c r="AK344" s="130" t="n"/>
    </row>
    <row r="345" ht="12" customHeight="1">
      <c r="A345" s="108" t="inlineStr">
        <is>
          <t>SKLU2048880</t>
        </is>
      </c>
      <c r="B345" s="108" t="n"/>
      <c r="C345" s="108" t="n"/>
      <c r="D345" s="172" t="n"/>
      <c r="E345" s="173" t="n"/>
      <c r="F345" s="96" t="n"/>
      <c r="G345" s="96" t="n"/>
      <c r="H345" s="111" t="n"/>
      <c r="I345" s="96" t="n"/>
      <c r="J345" s="96" t="n"/>
      <c r="K345" s="96" t="n"/>
      <c r="L345" s="111" t="n"/>
      <c r="M345" s="96" t="n"/>
      <c r="N345" s="96" t="n"/>
      <c r="O345" s="111" t="n"/>
      <c r="P345" s="111" t="n"/>
      <c r="Q345" s="111" t="n"/>
      <c r="R345" s="96" t="n"/>
      <c r="S345" s="96" t="n"/>
      <c r="T345" s="96" t="n"/>
      <c r="U345" s="96" t="n"/>
      <c r="V345" s="161" t="n"/>
      <c r="W345" s="96" t="n"/>
      <c r="X345" s="161" t="n"/>
      <c r="Y345" s="97" t="n"/>
      <c r="Z345" s="97" t="n"/>
      <c r="AA345" s="97" t="n"/>
      <c r="AB345" s="97" t="n"/>
      <c r="AC345" s="97" t="n"/>
      <c r="AD345" s="161" t="n"/>
      <c r="AE345" s="174" t="n"/>
      <c r="AF345" s="96" t="n"/>
      <c r="AG345" s="97" t="n"/>
      <c r="AH345" s="97" t="n"/>
      <c r="AI345" s="97" t="n"/>
      <c r="AJ345" s="96" t="n"/>
      <c r="AK345" s="130" t="n"/>
    </row>
    <row r="346" ht="12" customHeight="1">
      <c r="A346" s="108" t="inlineStr">
        <is>
          <t>SKLU2052469</t>
        </is>
      </c>
      <c r="B346" s="108" t="n"/>
      <c r="C346" s="108" t="n"/>
      <c r="D346" s="172" t="n"/>
      <c r="E346" s="173" t="n"/>
      <c r="F346" s="96" t="n"/>
      <c r="G346" s="96" t="n"/>
      <c r="H346" s="111" t="n"/>
      <c r="I346" s="96" t="n"/>
      <c r="J346" s="96" t="n"/>
      <c r="K346" s="96" t="n"/>
      <c r="L346" s="111" t="n"/>
      <c r="M346" s="96" t="n"/>
      <c r="N346" s="96" t="n"/>
      <c r="O346" s="111" t="n"/>
      <c r="P346" s="111" t="n"/>
      <c r="Q346" s="111" t="n"/>
      <c r="R346" s="96" t="n"/>
      <c r="S346" s="96" t="n"/>
      <c r="T346" s="96" t="n"/>
      <c r="U346" s="96" t="n"/>
      <c r="V346" s="161" t="n"/>
      <c r="W346" s="96" t="n"/>
      <c r="X346" s="161" t="n"/>
      <c r="Y346" s="97" t="n"/>
      <c r="Z346" s="97" t="n"/>
      <c r="AA346" s="97" t="n"/>
      <c r="AB346" s="97" t="n"/>
      <c r="AC346" s="97" t="n"/>
      <c r="AD346" s="161" t="n"/>
      <c r="AE346" s="174" t="n"/>
      <c r="AF346" s="96" t="n"/>
      <c r="AG346" s="97" t="n"/>
      <c r="AH346" s="97" t="n"/>
      <c r="AI346" s="97" t="n"/>
      <c r="AJ346" s="96" t="n"/>
      <c r="AK346" s="130" t="n"/>
    </row>
    <row r="347" ht="12" customHeight="1">
      <c r="A347" s="108" t="inlineStr">
        <is>
          <t>SKLU2067643</t>
        </is>
      </c>
      <c r="B347" s="108" t="n"/>
      <c r="C347" s="108" t="n"/>
      <c r="D347" s="172" t="n"/>
      <c r="E347" s="173" t="n"/>
      <c r="F347" s="96" t="n"/>
      <c r="G347" s="96" t="n"/>
      <c r="H347" s="111" t="n"/>
      <c r="I347" s="96" t="n"/>
      <c r="J347" s="96" t="n"/>
      <c r="K347" s="96" t="n"/>
      <c r="L347" s="111" t="n"/>
      <c r="M347" s="96" t="n"/>
      <c r="N347" s="96" t="n"/>
      <c r="O347" s="111" t="n"/>
      <c r="P347" s="111" t="n"/>
      <c r="Q347" s="111" t="n"/>
      <c r="R347" s="96" t="n"/>
      <c r="S347" s="96" t="n"/>
      <c r="T347" s="96" t="n"/>
      <c r="U347" s="96" t="n"/>
      <c r="V347" s="161" t="n"/>
      <c r="W347" s="96" t="n"/>
      <c r="X347" s="161" t="n"/>
      <c r="Y347" s="97" t="n"/>
      <c r="Z347" s="97" t="n"/>
      <c r="AA347" s="97" t="n"/>
      <c r="AB347" s="97" t="n"/>
      <c r="AC347" s="97" t="n"/>
      <c r="AD347" s="161" t="n"/>
      <c r="AE347" s="174" t="n"/>
      <c r="AF347" s="96" t="n"/>
      <c r="AG347" s="97" t="n"/>
      <c r="AH347" s="97" t="n"/>
      <c r="AI347" s="97" t="n"/>
      <c r="AJ347" s="96" t="n"/>
      <c r="AK347" s="130" t="n"/>
    </row>
    <row r="348" ht="12" customHeight="1">
      <c r="A348" s="108" t="inlineStr">
        <is>
          <t>SKLU2074468</t>
        </is>
      </c>
      <c r="B348" s="108" t="n"/>
      <c r="C348" s="108" t="n"/>
      <c r="D348" s="172" t="n"/>
      <c r="E348" s="173" t="n"/>
      <c r="F348" s="96" t="n"/>
      <c r="G348" s="96" t="n"/>
      <c r="H348" s="111" t="n"/>
      <c r="I348" s="96" t="n"/>
      <c r="J348" s="96" t="n"/>
      <c r="K348" s="96" t="n"/>
      <c r="L348" s="111" t="n"/>
      <c r="M348" s="96" t="n"/>
      <c r="N348" s="96" t="n"/>
      <c r="O348" s="111" t="n"/>
      <c r="P348" s="111" t="n"/>
      <c r="Q348" s="111" t="n"/>
      <c r="R348" s="96" t="n"/>
      <c r="S348" s="96" t="n"/>
      <c r="T348" s="96" t="n"/>
      <c r="U348" s="96" t="n"/>
      <c r="V348" s="161" t="n"/>
      <c r="W348" s="96" t="n"/>
      <c r="X348" s="161" t="n"/>
      <c r="Y348" s="97" t="n"/>
      <c r="Z348" s="97" t="n"/>
      <c r="AA348" s="97" t="n"/>
      <c r="AB348" s="97" t="n"/>
      <c r="AC348" s="97" t="n"/>
      <c r="AD348" s="161" t="n"/>
      <c r="AE348" s="174" t="n"/>
      <c r="AF348" s="96" t="n"/>
      <c r="AG348" s="97" t="n"/>
      <c r="AH348" s="97" t="n"/>
      <c r="AI348" s="97" t="n"/>
      <c r="AJ348" s="96" t="n"/>
      <c r="AK348" s="130" t="n"/>
    </row>
    <row r="349" ht="12" customHeight="1">
      <c r="A349" s="108" t="inlineStr">
        <is>
          <t>SKLU2079731</t>
        </is>
      </c>
      <c r="B349" s="108" t="n"/>
      <c r="C349" s="108" t="n"/>
      <c r="D349" s="172" t="n"/>
      <c r="E349" s="173" t="n"/>
      <c r="F349" s="96" t="n"/>
      <c r="G349" s="96" t="n"/>
      <c r="H349" s="111" t="n"/>
      <c r="I349" s="96" t="n"/>
      <c r="J349" s="96" t="n"/>
      <c r="K349" s="96" t="n"/>
      <c r="L349" s="111" t="n"/>
      <c r="M349" s="96" t="n"/>
      <c r="N349" s="96" t="n"/>
      <c r="O349" s="111" t="n"/>
      <c r="P349" s="111" t="n"/>
      <c r="Q349" s="111" t="n"/>
      <c r="R349" s="96" t="n"/>
      <c r="S349" s="96" t="n"/>
      <c r="T349" s="96" t="n"/>
      <c r="U349" s="96" t="n"/>
      <c r="V349" s="161" t="n"/>
      <c r="W349" s="96" t="n"/>
      <c r="X349" s="161" t="n"/>
      <c r="Y349" s="97" t="n"/>
      <c r="Z349" s="97" t="n"/>
      <c r="AA349" s="97" t="n"/>
      <c r="AB349" s="97" t="n"/>
      <c r="AC349" s="97" t="n"/>
      <c r="AD349" s="161" t="n"/>
      <c r="AE349" s="174" t="n"/>
      <c r="AF349" s="96" t="n"/>
      <c r="AG349" s="97" t="n"/>
      <c r="AH349" s="97" t="n"/>
      <c r="AI349" s="97" t="n"/>
      <c r="AJ349" s="96" t="n"/>
      <c r="AK349" s="130" t="n"/>
    </row>
    <row r="350" ht="12" customHeight="1">
      <c r="A350" s="108" t="inlineStr">
        <is>
          <t>SKLU2114257</t>
        </is>
      </c>
      <c r="B350" s="108" t="n"/>
      <c r="C350" s="108" t="n"/>
      <c r="D350" s="172" t="n"/>
      <c r="E350" s="173" t="n"/>
      <c r="F350" s="96" t="n"/>
      <c r="G350" s="96" t="n"/>
      <c r="H350" s="111" t="n"/>
      <c r="I350" s="96" t="n"/>
      <c r="J350" s="96" t="n"/>
      <c r="K350" s="96" t="n"/>
      <c r="L350" s="111" t="n"/>
      <c r="M350" s="96" t="n"/>
      <c r="N350" s="96" t="n"/>
      <c r="O350" s="111" t="n"/>
      <c r="P350" s="111" t="n"/>
      <c r="Q350" s="111" t="n"/>
      <c r="R350" s="96" t="n"/>
      <c r="S350" s="96" t="n"/>
      <c r="T350" s="96" t="n"/>
      <c r="U350" s="96" t="n"/>
      <c r="V350" s="161" t="n"/>
      <c r="W350" s="96" t="n"/>
      <c r="X350" s="161" t="n"/>
      <c r="Y350" s="97" t="n"/>
      <c r="Z350" s="97" t="n"/>
      <c r="AA350" s="97" t="n"/>
      <c r="AB350" s="97" t="n"/>
      <c r="AC350" s="97" t="n"/>
      <c r="AD350" s="161" t="n"/>
      <c r="AE350" s="174" t="n"/>
      <c r="AF350" s="96" t="n"/>
      <c r="AG350" s="97" t="n"/>
      <c r="AH350" s="97" t="n"/>
      <c r="AI350" s="97" t="n"/>
      <c r="AJ350" s="96" t="n"/>
      <c r="AK350" s="130" t="n"/>
    </row>
    <row r="351" ht="12" customHeight="1">
      <c r="A351" s="108" t="inlineStr">
        <is>
          <t>SKLU2129278</t>
        </is>
      </c>
      <c r="B351" s="108" t="n"/>
      <c r="C351" s="108" t="n"/>
      <c r="D351" s="172" t="n"/>
      <c r="E351" s="173" t="n"/>
      <c r="F351" s="96" t="n"/>
      <c r="G351" s="96" t="n"/>
      <c r="H351" s="111" t="n"/>
      <c r="I351" s="96" t="n"/>
      <c r="J351" s="96" t="n"/>
      <c r="K351" s="96" t="n"/>
      <c r="L351" s="111" t="n"/>
      <c r="M351" s="96" t="n"/>
      <c r="N351" s="96" t="n"/>
      <c r="O351" s="111" t="n"/>
      <c r="P351" s="111" t="n"/>
      <c r="Q351" s="111" t="n"/>
      <c r="R351" s="96" t="n"/>
      <c r="S351" s="96" t="n"/>
      <c r="T351" s="96" t="n"/>
      <c r="U351" s="96" t="n"/>
      <c r="V351" s="161" t="n"/>
      <c r="W351" s="96" t="n"/>
      <c r="X351" s="161" t="n"/>
      <c r="Y351" s="97" t="n"/>
      <c r="Z351" s="97" t="n"/>
      <c r="AA351" s="97" t="n"/>
      <c r="AB351" s="97" t="n"/>
      <c r="AC351" s="97" t="n"/>
      <c r="AD351" s="161" t="n"/>
      <c r="AE351" s="174" t="n"/>
      <c r="AF351" s="96" t="n"/>
      <c r="AG351" s="97" t="n"/>
      <c r="AH351" s="97" t="n"/>
      <c r="AI351" s="97" t="n"/>
      <c r="AJ351" s="96" t="n"/>
      <c r="AK351" s="130" t="n"/>
    </row>
    <row r="352" ht="12" customHeight="1">
      <c r="A352" s="108" t="inlineStr">
        <is>
          <t>SKLU2301263</t>
        </is>
      </c>
      <c r="B352" s="108" t="n"/>
      <c r="C352" s="108" t="n"/>
      <c r="D352" s="172" t="n"/>
      <c r="E352" s="173" t="n"/>
      <c r="F352" s="96" t="n"/>
      <c r="G352" s="96" t="n"/>
      <c r="H352" s="111" t="n"/>
      <c r="I352" s="96" t="n"/>
      <c r="J352" s="96" t="n"/>
      <c r="K352" s="96" t="n"/>
      <c r="L352" s="111" t="n"/>
      <c r="M352" s="96" t="n"/>
      <c r="N352" s="96" t="n"/>
      <c r="O352" s="111" t="n"/>
      <c r="P352" s="111" t="n"/>
      <c r="Q352" s="111" t="n"/>
      <c r="R352" s="96" t="n"/>
      <c r="S352" s="96" t="n"/>
      <c r="T352" s="96" t="n"/>
      <c r="U352" s="96" t="n"/>
      <c r="V352" s="161" t="n"/>
      <c r="W352" s="96" t="n"/>
      <c r="X352" s="161" t="n"/>
      <c r="Y352" s="97" t="n"/>
      <c r="Z352" s="97" t="n"/>
      <c r="AA352" s="97" t="n"/>
      <c r="AB352" s="97" t="n"/>
      <c r="AC352" s="97" t="n"/>
      <c r="AD352" s="161" t="n"/>
      <c r="AE352" s="174" t="n"/>
      <c r="AF352" s="96" t="n"/>
      <c r="AG352" s="97" t="n"/>
      <c r="AH352" s="97" t="n"/>
      <c r="AI352" s="97" t="n"/>
      <c r="AJ352" s="96" t="n"/>
      <c r="AK352" s="130" t="n"/>
    </row>
    <row r="353" ht="12" customHeight="1">
      <c r="A353" s="108" t="inlineStr">
        <is>
          <t>SKLU2305891</t>
        </is>
      </c>
      <c r="B353" s="108" t="n"/>
      <c r="C353" s="108" t="n"/>
      <c r="D353" s="172" t="n"/>
      <c r="E353" s="173" t="n"/>
      <c r="F353" s="96" t="n"/>
      <c r="G353" s="96" t="n"/>
      <c r="H353" s="111" t="n"/>
      <c r="I353" s="96" t="n"/>
      <c r="J353" s="96" t="n"/>
      <c r="K353" s="96" t="n"/>
      <c r="L353" s="111" t="n"/>
      <c r="M353" s="96" t="n"/>
      <c r="N353" s="96" t="n"/>
      <c r="O353" s="111" t="n"/>
      <c r="P353" s="111" t="n"/>
      <c r="Q353" s="111" t="n"/>
      <c r="R353" s="96" t="n"/>
      <c r="S353" s="96" t="n"/>
      <c r="T353" s="96" t="n"/>
      <c r="U353" s="96" t="n"/>
      <c r="V353" s="161" t="n"/>
      <c r="W353" s="96" t="n"/>
      <c r="X353" s="161" t="n"/>
      <c r="Y353" s="97" t="n"/>
      <c r="Z353" s="97" t="n"/>
      <c r="AA353" s="97" t="n"/>
      <c r="AB353" s="97" t="n"/>
      <c r="AC353" s="97" t="n"/>
      <c r="AD353" s="161" t="n"/>
      <c r="AE353" s="174" t="n"/>
      <c r="AF353" s="96" t="n"/>
      <c r="AG353" s="97" t="n"/>
      <c r="AH353" s="97" t="n"/>
      <c r="AI353" s="97" t="n"/>
      <c r="AJ353" s="96" t="n"/>
      <c r="AK353" s="130" t="n"/>
    </row>
    <row r="354" ht="12" customHeight="1">
      <c r="A354" s="108" t="inlineStr">
        <is>
          <t>SKLU2308503</t>
        </is>
      </c>
      <c r="B354" s="108" t="n"/>
      <c r="C354" s="108" t="n"/>
      <c r="D354" s="172" t="n"/>
      <c r="E354" s="173" t="n"/>
      <c r="F354" s="96" t="n"/>
      <c r="G354" s="96" t="n"/>
      <c r="H354" s="111" t="n"/>
      <c r="I354" s="96" t="n"/>
      <c r="J354" s="96" t="n"/>
      <c r="K354" s="96" t="n"/>
      <c r="L354" s="111" t="n"/>
      <c r="M354" s="96" t="n"/>
      <c r="N354" s="96" t="n"/>
      <c r="O354" s="111" t="n"/>
      <c r="P354" s="111" t="n"/>
      <c r="Q354" s="111" t="n"/>
      <c r="R354" s="96" t="n"/>
      <c r="S354" s="96" t="n"/>
      <c r="T354" s="96" t="n"/>
      <c r="U354" s="96" t="n"/>
      <c r="V354" s="161" t="n"/>
      <c r="W354" s="96" t="n"/>
      <c r="X354" s="161" t="n"/>
      <c r="Y354" s="97" t="n"/>
      <c r="Z354" s="97" t="n"/>
      <c r="AA354" s="97" t="n"/>
      <c r="AB354" s="97" t="n"/>
      <c r="AC354" s="97" t="n"/>
      <c r="AD354" s="161" t="n"/>
      <c r="AE354" s="174" t="n"/>
      <c r="AF354" s="96" t="n"/>
      <c r="AG354" s="97" t="n"/>
      <c r="AH354" s="97" t="n"/>
      <c r="AI354" s="97" t="n"/>
      <c r="AJ354" s="96" t="n"/>
      <c r="AK354" s="130" t="n"/>
    </row>
    <row r="355" ht="12" customHeight="1">
      <c r="A355" s="108" t="inlineStr">
        <is>
          <t>SKLU2328449</t>
        </is>
      </c>
      <c r="B355" s="108" t="n"/>
      <c r="C355" s="108" t="n"/>
      <c r="D355" s="172" t="n"/>
      <c r="E355" s="173" t="n"/>
      <c r="F355" s="96" t="n"/>
      <c r="G355" s="96" t="n"/>
      <c r="H355" s="111" t="n"/>
      <c r="I355" s="96" t="n"/>
      <c r="J355" s="96" t="n"/>
      <c r="K355" s="96" t="n"/>
      <c r="L355" s="111" t="n"/>
      <c r="M355" s="96" t="n"/>
      <c r="N355" s="96" t="n"/>
      <c r="O355" s="111" t="n"/>
      <c r="P355" s="111" t="n"/>
      <c r="Q355" s="111" t="n"/>
      <c r="R355" s="96" t="n"/>
      <c r="S355" s="96" t="n"/>
      <c r="T355" s="96" t="n"/>
      <c r="U355" s="96" t="n"/>
      <c r="V355" s="161" t="n"/>
      <c r="W355" s="96" t="n"/>
      <c r="X355" s="161" t="n"/>
      <c r="Y355" s="97" t="n"/>
      <c r="Z355" s="97" t="n"/>
      <c r="AA355" s="97" t="n"/>
      <c r="AB355" s="97" t="n"/>
      <c r="AC355" s="97" t="n"/>
      <c r="AD355" s="161" t="n"/>
      <c r="AE355" s="174" t="n"/>
      <c r="AF355" s="96" t="n"/>
      <c r="AG355" s="97" t="n"/>
      <c r="AH355" s="97" t="n"/>
      <c r="AI355" s="97" t="n"/>
      <c r="AJ355" s="96" t="n"/>
      <c r="AK355" s="130" t="n"/>
    </row>
    <row r="356" ht="12" customHeight="1">
      <c r="A356" s="108" t="inlineStr">
        <is>
          <t>SKLU2331144</t>
        </is>
      </c>
      <c r="B356" s="108" t="n"/>
      <c r="C356" s="108" t="n"/>
      <c r="D356" s="172" t="n"/>
      <c r="E356" s="173" t="n"/>
      <c r="F356" s="96" t="n"/>
      <c r="G356" s="96" t="n"/>
      <c r="H356" s="111" t="n"/>
      <c r="I356" s="96" t="n"/>
      <c r="J356" s="96" t="n"/>
      <c r="K356" s="96" t="n"/>
      <c r="L356" s="111" t="n"/>
      <c r="M356" s="96" t="n"/>
      <c r="N356" s="96" t="n"/>
      <c r="O356" s="111" t="n"/>
      <c r="P356" s="111" t="n"/>
      <c r="Q356" s="111" t="n"/>
      <c r="R356" s="96" t="n"/>
      <c r="S356" s="96" t="n"/>
      <c r="T356" s="96" t="n"/>
      <c r="U356" s="96" t="n"/>
      <c r="V356" s="161" t="n"/>
      <c r="W356" s="96" t="n"/>
      <c r="X356" s="161" t="n"/>
      <c r="Y356" s="97" t="n"/>
      <c r="Z356" s="97" t="n"/>
      <c r="AA356" s="97" t="n"/>
      <c r="AB356" s="97" t="n"/>
      <c r="AC356" s="97" t="n"/>
      <c r="AD356" s="161" t="n"/>
      <c r="AE356" s="174" t="n"/>
      <c r="AF356" s="96" t="n"/>
      <c r="AG356" s="97" t="n"/>
      <c r="AH356" s="97" t="n"/>
      <c r="AI356" s="97" t="n"/>
      <c r="AJ356" s="96" t="n"/>
      <c r="AK356" s="130" t="n"/>
    </row>
    <row r="357" ht="12" customHeight="1">
      <c r="A357" s="108" t="inlineStr">
        <is>
          <t>SKLU2336742</t>
        </is>
      </c>
      <c r="B357" s="108" t="n"/>
      <c r="C357" s="108" t="n"/>
      <c r="D357" s="172" t="n"/>
      <c r="E357" s="173" t="n"/>
      <c r="F357" s="96" t="n"/>
      <c r="G357" s="96" t="n"/>
      <c r="H357" s="111" t="n"/>
      <c r="I357" s="96" t="n"/>
      <c r="J357" s="96" t="n"/>
      <c r="K357" s="96" t="n"/>
      <c r="L357" s="111" t="n"/>
      <c r="M357" s="96" t="n"/>
      <c r="N357" s="96" t="n"/>
      <c r="O357" s="111" t="n"/>
      <c r="P357" s="111" t="n"/>
      <c r="Q357" s="111" t="n"/>
      <c r="R357" s="96" t="n"/>
      <c r="S357" s="96" t="n"/>
      <c r="T357" s="96" t="n"/>
      <c r="U357" s="96" t="n"/>
      <c r="V357" s="161" t="n"/>
      <c r="W357" s="96" t="n"/>
      <c r="X357" s="161" t="n"/>
      <c r="Y357" s="97" t="n"/>
      <c r="Z357" s="97" t="n"/>
      <c r="AA357" s="97" t="n"/>
      <c r="AB357" s="97" t="n"/>
      <c r="AC357" s="97" t="n"/>
      <c r="AD357" s="161" t="n"/>
      <c r="AE357" s="174" t="n"/>
      <c r="AF357" s="96" t="n"/>
      <c r="AG357" s="97" t="n"/>
      <c r="AH357" s="97" t="n"/>
      <c r="AI357" s="97" t="n"/>
      <c r="AJ357" s="96" t="n"/>
      <c r="AK357" s="130" t="n"/>
    </row>
    <row r="358" ht="12" customHeight="1">
      <c r="A358" s="108" t="inlineStr">
        <is>
          <t>SKLU2346397</t>
        </is>
      </c>
      <c r="B358" s="108" t="n"/>
      <c r="C358" s="108" t="n"/>
      <c r="D358" s="172" t="n"/>
      <c r="E358" s="173" t="n"/>
      <c r="F358" s="96" t="n"/>
      <c r="G358" s="96" t="n"/>
      <c r="H358" s="111" t="n"/>
      <c r="I358" s="96" t="n"/>
      <c r="J358" s="96" t="n"/>
      <c r="K358" s="96" t="n"/>
      <c r="L358" s="111" t="n"/>
      <c r="M358" s="96" t="n"/>
      <c r="N358" s="96" t="n"/>
      <c r="O358" s="111" t="n"/>
      <c r="P358" s="111" t="n"/>
      <c r="Q358" s="111" t="n"/>
      <c r="R358" s="96" t="n"/>
      <c r="S358" s="96" t="n"/>
      <c r="T358" s="96" t="n"/>
      <c r="U358" s="96" t="n"/>
      <c r="V358" s="161" t="n"/>
      <c r="W358" s="96" t="n"/>
      <c r="X358" s="161" t="n"/>
      <c r="Y358" s="97" t="n"/>
      <c r="Z358" s="97" t="n"/>
      <c r="AA358" s="97" t="n"/>
      <c r="AB358" s="97" t="n"/>
      <c r="AC358" s="97" t="n"/>
      <c r="AD358" s="161" t="n"/>
      <c r="AE358" s="174" t="n"/>
      <c r="AF358" s="96" t="n"/>
      <c r="AG358" s="97" t="n"/>
      <c r="AH358" s="97" t="n"/>
      <c r="AI358" s="97" t="n"/>
      <c r="AJ358" s="96" t="n"/>
      <c r="AK358" s="130" t="n"/>
    </row>
    <row r="359" ht="12" customHeight="1">
      <c r="A359" s="108" t="inlineStr">
        <is>
          <t>SKLU2348152</t>
        </is>
      </c>
      <c r="B359" s="108" t="n"/>
      <c r="C359" s="108" t="n"/>
      <c r="D359" s="172" t="n"/>
      <c r="E359" s="173" t="n"/>
      <c r="F359" s="96" t="n"/>
      <c r="G359" s="96" t="n"/>
      <c r="H359" s="111" t="n"/>
      <c r="I359" s="96" t="n"/>
      <c r="J359" s="96" t="n"/>
      <c r="K359" s="96" t="n"/>
      <c r="L359" s="111" t="n"/>
      <c r="M359" s="96" t="n"/>
      <c r="N359" s="96" t="n"/>
      <c r="O359" s="111" t="n"/>
      <c r="P359" s="111" t="n"/>
      <c r="Q359" s="111" t="n"/>
      <c r="R359" s="96" t="n"/>
      <c r="S359" s="96" t="n"/>
      <c r="T359" s="96" t="n"/>
      <c r="U359" s="96" t="n"/>
      <c r="V359" s="161" t="n"/>
      <c r="W359" s="96" t="n"/>
      <c r="X359" s="161" t="n"/>
      <c r="Y359" s="97" t="n"/>
      <c r="Z359" s="97" t="n"/>
      <c r="AA359" s="97" t="n"/>
      <c r="AB359" s="97" t="n"/>
      <c r="AC359" s="97" t="n"/>
      <c r="AD359" s="161" t="n"/>
      <c r="AE359" s="174" t="n"/>
      <c r="AF359" s="96" t="n"/>
      <c r="AG359" s="97" t="n"/>
      <c r="AH359" s="97" t="n"/>
      <c r="AI359" s="97" t="n"/>
      <c r="AJ359" s="96" t="n"/>
      <c r="AK359" s="130" t="n"/>
    </row>
    <row r="360" ht="12" customHeight="1">
      <c r="A360" s="108" t="inlineStr">
        <is>
          <t>SKLU2349483</t>
        </is>
      </c>
      <c r="B360" s="108" t="n"/>
      <c r="C360" s="108" t="n"/>
      <c r="D360" s="172" t="n"/>
      <c r="E360" s="173" t="n"/>
      <c r="F360" s="96" t="n"/>
      <c r="G360" s="96" t="n"/>
      <c r="H360" s="111" t="n"/>
      <c r="I360" s="96" t="n"/>
      <c r="J360" s="96" t="n"/>
      <c r="K360" s="96" t="n"/>
      <c r="L360" s="111" t="n"/>
      <c r="M360" s="96" t="n"/>
      <c r="N360" s="96" t="n"/>
      <c r="O360" s="111" t="n"/>
      <c r="P360" s="111" t="n"/>
      <c r="Q360" s="111" t="n"/>
      <c r="R360" s="96" t="n"/>
      <c r="S360" s="96" t="n"/>
      <c r="T360" s="96" t="n"/>
      <c r="U360" s="96" t="n"/>
      <c r="V360" s="161" t="n"/>
      <c r="W360" s="96" t="n"/>
      <c r="X360" s="161" t="n"/>
      <c r="Y360" s="97" t="n"/>
      <c r="Z360" s="97" t="n"/>
      <c r="AA360" s="97" t="n"/>
      <c r="AB360" s="97" t="n"/>
      <c r="AC360" s="97" t="n"/>
      <c r="AD360" s="161" t="n"/>
      <c r="AE360" s="174" t="n"/>
      <c r="AF360" s="96" t="n"/>
      <c r="AG360" s="97" t="n"/>
      <c r="AH360" s="97" t="n"/>
      <c r="AI360" s="97" t="n"/>
      <c r="AJ360" s="96" t="n"/>
      <c r="AK360" s="130" t="n"/>
    </row>
    <row r="361" ht="12" customHeight="1">
      <c r="A361" s="108" t="inlineStr">
        <is>
          <t>SKLU2361175</t>
        </is>
      </c>
      <c r="B361" s="108" t="n"/>
      <c r="C361" s="108" t="n"/>
      <c r="D361" s="172" t="n"/>
      <c r="E361" s="173" t="n"/>
      <c r="F361" s="96" t="n"/>
      <c r="G361" s="96" t="n"/>
      <c r="H361" s="111" t="n"/>
      <c r="I361" s="96" t="n"/>
      <c r="J361" s="96" t="n"/>
      <c r="K361" s="96" t="n"/>
      <c r="L361" s="111" t="n"/>
      <c r="M361" s="96" t="n"/>
      <c r="N361" s="96" t="n"/>
      <c r="O361" s="111" t="n"/>
      <c r="P361" s="111" t="n"/>
      <c r="Q361" s="111" t="n"/>
      <c r="R361" s="96" t="n"/>
      <c r="S361" s="96" t="n"/>
      <c r="T361" s="96" t="n"/>
      <c r="U361" s="96" t="n"/>
      <c r="V361" s="161" t="n"/>
      <c r="W361" s="96" t="n"/>
      <c r="X361" s="161" t="n"/>
      <c r="Y361" s="97" t="n"/>
      <c r="Z361" s="97" t="n"/>
      <c r="AA361" s="97" t="n"/>
      <c r="AB361" s="97" t="n"/>
      <c r="AC361" s="97" t="n"/>
      <c r="AD361" s="161" t="n"/>
      <c r="AE361" s="174" t="n"/>
      <c r="AF361" s="96" t="n"/>
      <c r="AG361" s="97" t="n"/>
      <c r="AH361" s="97" t="n"/>
      <c r="AI361" s="97" t="n"/>
      <c r="AJ361" s="96" t="n"/>
      <c r="AK361" s="130" t="n"/>
    </row>
    <row r="362" ht="12" customHeight="1">
      <c r="A362" s="108" t="inlineStr">
        <is>
          <t>SKLU2425686</t>
        </is>
      </c>
      <c r="B362" s="108" t="n"/>
      <c r="C362" s="108" t="n"/>
      <c r="D362" s="172" t="n"/>
      <c r="E362" s="173" t="n"/>
      <c r="F362" s="96" t="n"/>
      <c r="G362" s="96" t="n"/>
      <c r="H362" s="111" t="n"/>
      <c r="I362" s="96" t="n"/>
      <c r="J362" s="96" t="n"/>
      <c r="K362" s="96" t="n"/>
      <c r="L362" s="111" t="n"/>
      <c r="M362" s="96" t="n"/>
      <c r="N362" s="96" t="n"/>
      <c r="O362" s="111" t="n"/>
      <c r="P362" s="111" t="n"/>
      <c r="Q362" s="111" t="n"/>
      <c r="R362" s="96" t="n"/>
      <c r="S362" s="96" t="n"/>
      <c r="T362" s="96" t="n"/>
      <c r="U362" s="96" t="n"/>
      <c r="V362" s="161" t="n"/>
      <c r="W362" s="96" t="n"/>
      <c r="X362" s="161" t="n"/>
      <c r="Y362" s="97" t="n"/>
      <c r="Z362" s="97" t="n"/>
      <c r="AA362" s="97" t="n"/>
      <c r="AB362" s="97" t="n"/>
      <c r="AC362" s="97" t="n"/>
      <c r="AD362" s="161" t="n"/>
      <c r="AE362" s="174" t="n"/>
      <c r="AF362" s="96" t="n"/>
      <c r="AG362" s="97" t="n"/>
      <c r="AH362" s="97" t="n"/>
      <c r="AI362" s="97" t="n"/>
      <c r="AJ362" s="96" t="n"/>
      <c r="AK362" s="130" t="n"/>
    </row>
    <row r="363" ht="12" customHeight="1">
      <c r="A363" s="108" t="inlineStr">
        <is>
          <t>SKLU2429742</t>
        </is>
      </c>
      <c r="B363" s="108" t="n"/>
      <c r="C363" s="108" t="n"/>
      <c r="D363" s="172" t="n"/>
      <c r="E363" s="173" t="n"/>
      <c r="F363" s="96" t="n"/>
      <c r="G363" s="96" t="n"/>
      <c r="H363" s="111" t="n"/>
      <c r="I363" s="96" t="n"/>
      <c r="J363" s="96" t="n"/>
      <c r="K363" s="96" t="n"/>
      <c r="L363" s="111" t="n"/>
      <c r="M363" s="96" t="n"/>
      <c r="N363" s="96" t="n"/>
      <c r="O363" s="111" t="n"/>
      <c r="P363" s="111" t="n"/>
      <c r="Q363" s="111" t="n"/>
      <c r="R363" s="96" t="n"/>
      <c r="S363" s="96" t="n"/>
      <c r="T363" s="96" t="n"/>
      <c r="U363" s="96" t="n"/>
      <c r="V363" s="161" t="n"/>
      <c r="W363" s="96" t="n"/>
      <c r="X363" s="161" t="n"/>
      <c r="Y363" s="97" t="n"/>
      <c r="Z363" s="97" t="n"/>
      <c r="AA363" s="97" t="n"/>
      <c r="AB363" s="97" t="n"/>
      <c r="AC363" s="97" t="n"/>
      <c r="AD363" s="161" t="n"/>
      <c r="AE363" s="174" t="n"/>
      <c r="AF363" s="96" t="n"/>
      <c r="AG363" s="97" t="n"/>
      <c r="AH363" s="97" t="n"/>
      <c r="AI363" s="97" t="n"/>
      <c r="AJ363" s="96" t="n"/>
      <c r="AK363" s="130" t="n"/>
    </row>
    <row r="364" ht="12" customHeight="1">
      <c r="A364" s="108" t="inlineStr">
        <is>
          <t>SKLU2487029</t>
        </is>
      </c>
      <c r="B364" s="108" t="n"/>
      <c r="C364" s="108" t="n"/>
      <c r="D364" s="172" t="n"/>
      <c r="E364" s="173" t="n"/>
      <c r="F364" s="96" t="n"/>
      <c r="G364" s="96" t="n"/>
      <c r="H364" s="111" t="n"/>
      <c r="I364" s="96" t="n"/>
      <c r="J364" s="96" t="n"/>
      <c r="K364" s="96" t="n"/>
      <c r="L364" s="111" t="n"/>
      <c r="M364" s="96" t="n"/>
      <c r="N364" s="96" t="n"/>
      <c r="O364" s="111" t="n"/>
      <c r="P364" s="111" t="n"/>
      <c r="Q364" s="111" t="n"/>
      <c r="R364" s="96" t="n"/>
      <c r="S364" s="96" t="n"/>
      <c r="T364" s="96" t="n"/>
      <c r="U364" s="96" t="n"/>
      <c r="V364" s="161" t="n"/>
      <c r="W364" s="96" t="n"/>
      <c r="X364" s="161" t="n"/>
      <c r="Y364" s="97" t="n"/>
      <c r="Z364" s="97" t="n"/>
      <c r="AA364" s="97" t="n"/>
      <c r="AB364" s="97" t="n"/>
      <c r="AC364" s="97" t="n"/>
      <c r="AD364" s="161" t="n"/>
      <c r="AE364" s="174" t="n"/>
      <c r="AF364" s="96" t="n"/>
      <c r="AG364" s="97" t="n"/>
      <c r="AH364" s="97" t="n"/>
      <c r="AI364" s="97" t="n"/>
      <c r="AJ364" s="96" t="n"/>
      <c r="AK364" s="130" t="n"/>
    </row>
    <row r="365" ht="12" customHeight="1">
      <c r="A365" s="108" t="inlineStr">
        <is>
          <t>SKLU2489612</t>
        </is>
      </c>
      <c r="B365" s="108" t="n"/>
      <c r="C365" s="108" t="n"/>
      <c r="D365" s="172" t="n"/>
      <c r="E365" s="173" t="n"/>
      <c r="F365" s="96" t="n"/>
      <c r="G365" s="96" t="n"/>
      <c r="H365" s="111" t="n"/>
      <c r="I365" s="96" t="n"/>
      <c r="J365" s="96" t="n"/>
      <c r="K365" s="96" t="n"/>
      <c r="L365" s="111" t="n"/>
      <c r="M365" s="96" t="n"/>
      <c r="N365" s="96" t="n"/>
      <c r="O365" s="111" t="n"/>
      <c r="P365" s="111" t="n"/>
      <c r="Q365" s="111" t="n"/>
      <c r="R365" s="96" t="n"/>
      <c r="S365" s="96" t="n"/>
      <c r="T365" s="96" t="n"/>
      <c r="U365" s="96" t="n"/>
      <c r="V365" s="161" t="n"/>
      <c r="W365" s="96" t="n"/>
      <c r="X365" s="161" t="n"/>
      <c r="Y365" s="97" t="n"/>
      <c r="Z365" s="97" t="n"/>
      <c r="AA365" s="97" t="n"/>
      <c r="AB365" s="97" t="n"/>
      <c r="AC365" s="97" t="n"/>
      <c r="AD365" s="161" t="n"/>
      <c r="AE365" s="174" t="n"/>
      <c r="AF365" s="96" t="n"/>
      <c r="AG365" s="97" t="n"/>
      <c r="AH365" s="97" t="n"/>
      <c r="AI365" s="97" t="n"/>
      <c r="AJ365" s="96" t="n"/>
      <c r="AK365" s="130" t="n"/>
    </row>
    <row r="366" ht="12" customHeight="1">
      <c r="A366" s="108" t="inlineStr">
        <is>
          <t>SKLU3519460</t>
        </is>
      </c>
      <c r="B366" s="108" t="n"/>
      <c r="C366" s="108" t="n"/>
      <c r="D366" s="172" t="n"/>
      <c r="E366" s="173" t="n"/>
      <c r="F366" s="96" t="n"/>
      <c r="G366" s="96" t="n"/>
      <c r="H366" s="111" t="n"/>
      <c r="I366" s="96" t="n"/>
      <c r="J366" s="96" t="n"/>
      <c r="K366" s="96" t="n"/>
      <c r="L366" s="111" t="n"/>
      <c r="M366" s="96" t="n"/>
      <c r="N366" s="96" t="n"/>
      <c r="O366" s="111" t="n"/>
      <c r="P366" s="111" t="n"/>
      <c r="Q366" s="111" t="n"/>
      <c r="R366" s="96" t="n"/>
      <c r="S366" s="96" t="n"/>
      <c r="T366" s="96" t="n"/>
      <c r="U366" s="96" t="n"/>
      <c r="V366" s="161" t="n"/>
      <c r="W366" s="96" t="n"/>
      <c r="X366" s="161" t="n"/>
      <c r="Y366" s="97" t="n"/>
      <c r="Z366" s="97" t="n"/>
      <c r="AA366" s="97" t="n"/>
      <c r="AB366" s="97" t="n"/>
      <c r="AC366" s="97" t="n"/>
      <c r="AD366" s="161" t="n"/>
      <c r="AE366" s="174" t="n"/>
      <c r="AF366" s="96" t="n"/>
      <c r="AG366" s="97" t="n"/>
      <c r="AH366" s="97" t="n"/>
      <c r="AI366" s="97" t="n"/>
      <c r="AJ366" s="96" t="n"/>
      <c r="AK366" s="130" t="n"/>
    </row>
    <row r="367" ht="12" customHeight="1">
      <c r="A367" s="108" t="inlineStr">
        <is>
          <t>SKRU1900438</t>
        </is>
      </c>
      <c r="B367" s="108" t="n"/>
      <c r="C367" s="108" t="n"/>
      <c r="D367" s="172" t="n"/>
      <c r="E367" s="173" t="n"/>
      <c r="F367" s="96" t="n"/>
      <c r="G367" s="96" t="n"/>
      <c r="H367" s="111" t="n"/>
      <c r="I367" s="96" t="n"/>
      <c r="J367" s="96" t="n"/>
      <c r="K367" s="96" t="n"/>
      <c r="L367" s="111" t="n"/>
      <c r="M367" s="96" t="n"/>
      <c r="N367" s="96" t="n"/>
      <c r="O367" s="111" t="n"/>
      <c r="P367" s="111" t="n"/>
      <c r="Q367" s="111" t="n"/>
      <c r="R367" s="96" t="n"/>
      <c r="S367" s="96" t="n"/>
      <c r="T367" s="96" t="n"/>
      <c r="U367" s="96" t="n"/>
      <c r="V367" s="161" t="n"/>
      <c r="W367" s="96" t="n"/>
      <c r="X367" s="161" t="n"/>
      <c r="Y367" s="97" t="n"/>
      <c r="Z367" s="97" t="n"/>
      <c r="AA367" s="97" t="n"/>
      <c r="AB367" s="97" t="n"/>
      <c r="AC367" s="97" t="n"/>
      <c r="AD367" s="161" t="n"/>
      <c r="AE367" s="174" t="n"/>
      <c r="AF367" s="96" t="n"/>
      <c r="AG367" s="97" t="n"/>
      <c r="AH367" s="97" t="n"/>
      <c r="AI367" s="97" t="n"/>
      <c r="AJ367" s="96" t="n"/>
      <c r="AK367" s="130" t="n"/>
    </row>
    <row r="368" ht="12" customHeight="1">
      <c r="A368" s="108" t="inlineStr">
        <is>
          <t>SKRU6503475</t>
        </is>
      </c>
      <c r="B368" s="108" t="n"/>
      <c r="C368" s="108" t="n"/>
      <c r="D368" s="172" t="n"/>
      <c r="E368" s="173" t="n"/>
      <c r="F368" s="96" t="n"/>
      <c r="G368" s="96" t="n"/>
      <c r="H368" s="111" t="n"/>
      <c r="I368" s="96" t="n"/>
      <c r="J368" s="96" t="n"/>
      <c r="K368" s="96" t="n"/>
      <c r="L368" s="111" t="n"/>
      <c r="M368" s="96" t="n"/>
      <c r="N368" s="96" t="n"/>
      <c r="O368" s="111" t="n"/>
      <c r="P368" s="111" t="n"/>
      <c r="Q368" s="111" t="n"/>
      <c r="R368" s="96" t="n"/>
      <c r="S368" s="96" t="n"/>
      <c r="T368" s="96" t="n"/>
      <c r="U368" s="96" t="n"/>
      <c r="V368" s="161" t="n"/>
      <c r="W368" s="96" t="n"/>
      <c r="X368" s="161" t="n"/>
      <c r="Y368" s="97" t="n"/>
      <c r="Z368" s="97" t="n"/>
      <c r="AA368" s="97" t="n"/>
      <c r="AB368" s="97" t="n"/>
      <c r="AC368" s="97" t="n"/>
      <c r="AD368" s="161" t="n"/>
      <c r="AE368" s="174" t="n"/>
      <c r="AF368" s="96" t="n"/>
      <c r="AG368" s="97" t="n"/>
      <c r="AH368" s="97" t="n"/>
      <c r="AI368" s="97" t="n"/>
      <c r="AJ368" s="96" t="n"/>
      <c r="AK368" s="130" t="n"/>
    </row>
    <row r="369" ht="12" customHeight="1">
      <c r="A369" s="108" t="inlineStr">
        <is>
          <t>SKRU6505565</t>
        </is>
      </c>
      <c r="B369" s="108" t="n"/>
      <c r="C369" s="108" t="n"/>
      <c r="D369" s="172" t="n"/>
      <c r="E369" s="173" t="n"/>
      <c r="F369" s="96" t="n"/>
      <c r="G369" s="96" t="n"/>
      <c r="H369" s="111" t="n"/>
      <c r="I369" s="96" t="n"/>
      <c r="J369" s="96" t="n"/>
      <c r="K369" s="96" t="n"/>
      <c r="L369" s="111" t="n"/>
      <c r="M369" s="96" t="n"/>
      <c r="N369" s="96" t="n"/>
      <c r="O369" s="111" t="n"/>
      <c r="P369" s="111" t="n"/>
      <c r="Q369" s="111" t="n"/>
      <c r="R369" s="96" t="n"/>
      <c r="S369" s="96" t="n"/>
      <c r="T369" s="96" t="n"/>
      <c r="U369" s="96" t="n"/>
      <c r="V369" s="161" t="n"/>
      <c r="W369" s="96" t="n"/>
      <c r="X369" s="161" t="n"/>
      <c r="Y369" s="97" t="n"/>
      <c r="Z369" s="97" t="n"/>
      <c r="AA369" s="97" t="n"/>
      <c r="AB369" s="97" t="n"/>
      <c r="AC369" s="97" t="n"/>
      <c r="AD369" s="161" t="n"/>
      <c r="AE369" s="174" t="n"/>
      <c r="AF369" s="96" t="n"/>
      <c r="AG369" s="97" t="n"/>
      <c r="AH369" s="97" t="n"/>
      <c r="AI369" s="97" t="n"/>
      <c r="AJ369" s="96" t="n"/>
      <c r="AK369" s="130" t="n"/>
    </row>
    <row r="370" ht="12" customHeight="1">
      <c r="A370" s="108" t="inlineStr">
        <is>
          <t>SKRU6505890</t>
        </is>
      </c>
      <c r="B370" s="108" t="n"/>
      <c r="C370" s="108" t="n"/>
      <c r="D370" s="172" t="n"/>
      <c r="E370" s="173" t="n"/>
      <c r="F370" s="96" t="n"/>
      <c r="G370" s="96" t="n"/>
      <c r="H370" s="111" t="n"/>
      <c r="I370" s="96" t="n"/>
      <c r="J370" s="96" t="n"/>
      <c r="K370" s="96" t="n"/>
      <c r="L370" s="111" t="n"/>
      <c r="M370" s="96" t="n"/>
      <c r="N370" s="96" t="n"/>
      <c r="O370" s="111" t="n"/>
      <c r="P370" s="111" t="n"/>
      <c r="Q370" s="111" t="n"/>
      <c r="R370" s="96" t="n"/>
      <c r="S370" s="96" t="n"/>
      <c r="T370" s="96" t="n"/>
      <c r="U370" s="96" t="n"/>
      <c r="V370" s="161" t="n"/>
      <c r="W370" s="96" t="n"/>
      <c r="X370" s="161" t="n"/>
      <c r="Y370" s="97" t="n"/>
      <c r="Z370" s="97" t="n"/>
      <c r="AA370" s="97" t="n"/>
      <c r="AB370" s="97" t="n"/>
      <c r="AC370" s="97" t="n"/>
      <c r="AD370" s="161" t="n"/>
      <c r="AE370" s="174" t="n"/>
      <c r="AF370" s="96" t="n"/>
      <c r="AG370" s="97" t="n"/>
      <c r="AH370" s="97" t="n"/>
      <c r="AI370" s="97" t="n"/>
      <c r="AJ370" s="96" t="n"/>
      <c r="AK370" s="130" t="n"/>
    </row>
    <row r="371" ht="12" customHeight="1">
      <c r="A371" s="108" t="inlineStr">
        <is>
          <t>SKRU9200960</t>
        </is>
      </c>
      <c r="B371" s="108" t="n"/>
      <c r="C371" s="108" t="n"/>
      <c r="D371" s="172" t="n"/>
      <c r="E371" s="173" t="n"/>
      <c r="F371" s="96" t="n"/>
      <c r="G371" s="96" t="n"/>
      <c r="H371" s="111" t="n"/>
      <c r="I371" s="96" t="n"/>
      <c r="J371" s="96" t="n"/>
      <c r="K371" s="96" t="n"/>
      <c r="L371" s="111" t="n"/>
      <c r="M371" s="96" t="n"/>
      <c r="N371" s="96" t="n"/>
      <c r="O371" s="111" t="n"/>
      <c r="P371" s="111" t="n"/>
      <c r="Q371" s="111" t="n"/>
      <c r="R371" s="96" t="n"/>
      <c r="S371" s="96" t="n"/>
      <c r="T371" s="96" t="n"/>
      <c r="U371" s="96" t="n"/>
      <c r="V371" s="161" t="n"/>
      <c r="W371" s="96" t="n"/>
      <c r="X371" s="161" t="n"/>
      <c r="Y371" s="97" t="n"/>
      <c r="Z371" s="97" t="n"/>
      <c r="AA371" s="97" t="n"/>
      <c r="AB371" s="97" t="n"/>
      <c r="AC371" s="97" t="n"/>
      <c r="AD371" s="161" t="n"/>
      <c r="AE371" s="174" t="n"/>
      <c r="AF371" s="96" t="n"/>
      <c r="AG371" s="97" t="n"/>
      <c r="AH371" s="97" t="n"/>
      <c r="AI371" s="97" t="n"/>
      <c r="AJ371" s="96" t="n"/>
      <c r="AK371" s="130" t="n"/>
    </row>
    <row r="372" ht="12" customHeight="1">
      <c r="A372" s="108" t="inlineStr">
        <is>
          <t>SZLU9373250</t>
        </is>
      </c>
      <c r="B372" s="108" t="n"/>
      <c r="C372" s="108" t="n"/>
      <c r="D372" s="172" t="n"/>
      <c r="E372" s="173" t="n"/>
      <c r="F372" s="96" t="n"/>
      <c r="G372" s="96" t="n"/>
      <c r="H372" s="111" t="n"/>
      <c r="I372" s="96" t="n"/>
      <c r="J372" s="96" t="n"/>
      <c r="K372" s="96" t="n"/>
      <c r="L372" s="111" t="n"/>
      <c r="M372" s="96" t="n"/>
      <c r="N372" s="96" t="n"/>
      <c r="O372" s="111" t="n"/>
      <c r="P372" s="111" t="n"/>
      <c r="Q372" s="111" t="n"/>
      <c r="R372" s="96" t="n"/>
      <c r="S372" s="96" t="n"/>
      <c r="T372" s="96" t="n"/>
      <c r="U372" s="96" t="n"/>
      <c r="V372" s="161" t="n"/>
      <c r="W372" s="96" t="n"/>
      <c r="X372" s="161" t="n"/>
      <c r="Y372" s="97" t="n"/>
      <c r="Z372" s="97" t="n"/>
      <c r="AA372" s="97" t="n"/>
      <c r="AB372" s="97" t="n"/>
      <c r="AC372" s="97" t="n"/>
      <c r="AD372" s="161" t="n"/>
      <c r="AE372" s="174" t="n"/>
      <c r="AF372" s="96" t="n"/>
      <c r="AG372" s="97" t="n"/>
      <c r="AH372" s="97" t="n"/>
      <c r="AI372" s="97" t="n"/>
      <c r="AJ372" s="96" t="n"/>
      <c r="AK372" s="130" t="n"/>
    </row>
    <row r="373" ht="12" customHeight="1">
      <c r="A373" s="108" t="inlineStr">
        <is>
          <t>TCKU1493263</t>
        </is>
      </c>
      <c r="B373" s="108" t="n"/>
      <c r="C373" s="108" t="n"/>
      <c r="D373" s="172" t="n"/>
      <c r="E373" s="173" t="n"/>
      <c r="F373" s="96" t="n"/>
      <c r="G373" s="96" t="n"/>
      <c r="H373" s="111" t="n"/>
      <c r="I373" s="96" t="n"/>
      <c r="J373" s="96" t="n"/>
      <c r="K373" s="96" t="n"/>
      <c r="L373" s="111" t="n"/>
      <c r="M373" s="96" t="n"/>
      <c r="N373" s="96" t="n"/>
      <c r="O373" s="111" t="n"/>
      <c r="P373" s="111" t="n"/>
      <c r="Q373" s="111" t="n"/>
      <c r="R373" s="96" t="n"/>
      <c r="S373" s="96" t="n"/>
      <c r="T373" s="96" t="n"/>
      <c r="U373" s="96" t="n"/>
      <c r="V373" s="161" t="n"/>
      <c r="W373" s="96" t="n"/>
      <c r="X373" s="161" t="n"/>
      <c r="Y373" s="97" t="n"/>
      <c r="Z373" s="97" t="n"/>
      <c r="AA373" s="97" t="n"/>
      <c r="AB373" s="97" t="n"/>
      <c r="AC373" s="97" t="n"/>
      <c r="AD373" s="161" t="n"/>
      <c r="AE373" s="174" t="n"/>
      <c r="AF373" s="96" t="n"/>
      <c r="AG373" s="97" t="n"/>
      <c r="AH373" s="97" t="n"/>
      <c r="AI373" s="97" t="n"/>
      <c r="AJ373" s="96" t="n"/>
      <c r="AK373" s="130" t="n"/>
    </row>
    <row r="374" ht="12" customHeight="1">
      <c r="A374" s="108" t="inlineStr">
        <is>
          <t>TCLU1556939</t>
        </is>
      </c>
      <c r="B374" s="108" t="n"/>
      <c r="C374" s="108" t="n"/>
      <c r="D374" s="172" t="n"/>
      <c r="E374" s="173" t="n"/>
      <c r="F374" s="96" t="n"/>
      <c r="G374" s="96" t="n"/>
      <c r="H374" s="111" t="n"/>
      <c r="I374" s="96" t="n"/>
      <c r="J374" s="96" t="n"/>
      <c r="K374" s="96" t="n"/>
      <c r="L374" s="111" t="n"/>
      <c r="M374" s="96" t="n"/>
      <c r="N374" s="96" t="n"/>
      <c r="O374" s="111" t="n"/>
      <c r="P374" s="111" t="n"/>
      <c r="Q374" s="111" t="n"/>
      <c r="R374" s="96" t="n"/>
      <c r="S374" s="96" t="n"/>
      <c r="T374" s="96" t="n"/>
      <c r="U374" s="96" t="n"/>
      <c r="V374" s="161" t="n"/>
      <c r="W374" s="96" t="n"/>
      <c r="X374" s="161" t="n"/>
      <c r="Y374" s="97" t="n"/>
      <c r="Z374" s="97" t="n"/>
      <c r="AA374" s="97" t="n"/>
      <c r="AB374" s="97" t="n"/>
      <c r="AC374" s="97" t="n"/>
      <c r="AD374" s="161" t="n"/>
      <c r="AE374" s="174" t="n"/>
      <c r="AF374" s="96" t="n"/>
      <c r="AG374" s="97" t="n"/>
      <c r="AH374" s="97" t="n"/>
      <c r="AI374" s="97" t="n"/>
      <c r="AJ374" s="96" t="n"/>
      <c r="AK374" s="130" t="n"/>
    </row>
    <row r="375" ht="12" customHeight="1">
      <c r="A375" s="108" t="inlineStr">
        <is>
          <t>TEMU6540573</t>
        </is>
      </c>
      <c r="B375" s="108" t="n"/>
      <c r="C375" s="108" t="n"/>
      <c r="D375" s="172" t="n"/>
      <c r="E375" s="173" t="n"/>
      <c r="F375" s="96" t="n"/>
      <c r="G375" s="96" t="n"/>
      <c r="H375" s="111" t="n"/>
      <c r="I375" s="96" t="n"/>
      <c r="J375" s="96" t="n"/>
      <c r="K375" s="96" t="n"/>
      <c r="L375" s="111" t="n"/>
      <c r="M375" s="96" t="n"/>
      <c r="N375" s="96" t="n"/>
      <c r="O375" s="111" t="n"/>
      <c r="P375" s="111" t="n"/>
      <c r="Q375" s="111" t="n"/>
      <c r="R375" s="96" t="n"/>
      <c r="S375" s="96" t="n"/>
      <c r="T375" s="96" t="n"/>
      <c r="U375" s="96" t="n"/>
      <c r="V375" s="161" t="n"/>
      <c r="W375" s="96" t="n"/>
      <c r="X375" s="161" t="n"/>
      <c r="Y375" s="97" t="n"/>
      <c r="Z375" s="97" t="n"/>
      <c r="AA375" s="97" t="n"/>
      <c r="AB375" s="97" t="n"/>
      <c r="AC375" s="97" t="n"/>
      <c r="AD375" s="161" t="n"/>
      <c r="AE375" s="174" t="n"/>
      <c r="AF375" s="96" t="n"/>
      <c r="AG375" s="97" t="n"/>
      <c r="AH375" s="97" t="n"/>
      <c r="AI375" s="97" t="n"/>
      <c r="AJ375" s="96" t="n"/>
      <c r="AK375" s="130" t="n"/>
    </row>
    <row r="376" ht="12" customHeight="1">
      <c r="A376" s="108" t="inlineStr">
        <is>
          <t>TGCU2414945</t>
        </is>
      </c>
      <c r="B376" s="108" t="n"/>
      <c r="C376" s="108" t="n"/>
      <c r="D376" s="172" t="n"/>
      <c r="E376" s="173" t="n"/>
      <c r="F376" s="96" t="n"/>
      <c r="G376" s="96" t="n"/>
      <c r="H376" s="111" t="n"/>
      <c r="I376" s="96" t="n"/>
      <c r="J376" s="96" t="n"/>
      <c r="K376" s="96" t="n"/>
      <c r="L376" s="111" t="n"/>
      <c r="M376" s="96" t="n"/>
      <c r="N376" s="96" t="n"/>
      <c r="O376" s="111" t="n"/>
      <c r="P376" s="111" t="n"/>
      <c r="Q376" s="111" t="n"/>
      <c r="R376" s="96" t="n"/>
      <c r="S376" s="96" t="n"/>
      <c r="T376" s="96" t="n"/>
      <c r="U376" s="96" t="n"/>
      <c r="V376" s="161" t="n"/>
      <c r="W376" s="96" t="n"/>
      <c r="X376" s="161" t="n"/>
      <c r="Y376" s="97" t="n"/>
      <c r="Z376" s="97" t="n"/>
      <c r="AA376" s="97" t="n"/>
      <c r="AB376" s="97" t="n"/>
      <c r="AC376" s="97" t="n"/>
      <c r="AD376" s="161" t="n"/>
      <c r="AE376" s="174" t="n"/>
      <c r="AF376" s="96" t="n"/>
      <c r="AG376" s="97" t="n"/>
      <c r="AH376" s="97" t="n"/>
      <c r="AI376" s="97" t="n"/>
      <c r="AJ376" s="96" t="n"/>
      <c r="AK376" s="130" t="n"/>
    </row>
    <row r="377" ht="12" customHeight="1">
      <c r="A377" s="108" t="inlineStr">
        <is>
          <t>TRHU5293940</t>
        </is>
      </c>
      <c r="B377" s="108" t="n"/>
      <c r="C377" s="108" t="n"/>
      <c r="D377" s="172" t="n"/>
      <c r="E377" s="173" t="n"/>
      <c r="F377" s="96" t="n"/>
      <c r="G377" s="96" t="n"/>
      <c r="H377" s="111" t="n"/>
      <c r="I377" s="96" t="n"/>
      <c r="J377" s="96" t="n"/>
      <c r="K377" s="96" t="n"/>
      <c r="L377" s="111" t="n"/>
      <c r="M377" s="96" t="n"/>
      <c r="N377" s="96" t="n"/>
      <c r="O377" s="111" t="n"/>
      <c r="P377" s="111" t="n"/>
      <c r="Q377" s="111" t="n"/>
      <c r="R377" s="96" t="n"/>
      <c r="S377" s="96" t="n"/>
      <c r="T377" s="96" t="n"/>
      <c r="U377" s="96" t="n"/>
      <c r="V377" s="161" t="n"/>
      <c r="W377" s="96" t="n"/>
      <c r="X377" s="161" t="n"/>
      <c r="Y377" s="97" t="n"/>
      <c r="Z377" s="97" t="n"/>
      <c r="AA377" s="97" t="n"/>
      <c r="AB377" s="97" t="n"/>
      <c r="AC377" s="97" t="n"/>
      <c r="AD377" s="161" t="n"/>
      <c r="AE377" s="174" t="n"/>
      <c r="AF377" s="96" t="n"/>
      <c r="AG377" s="97" t="n"/>
      <c r="AH377" s="97" t="n"/>
      <c r="AI377" s="97" t="n"/>
      <c r="AJ377" s="96" t="n"/>
      <c r="AK377" s="130" t="n"/>
    </row>
    <row r="378" ht="12" customHeight="1">
      <c r="A378" s="108" t="inlineStr">
        <is>
          <t>TRHU5296888</t>
        </is>
      </c>
      <c r="B378" s="108" t="n"/>
      <c r="C378" s="108" t="n"/>
      <c r="D378" s="172" t="n"/>
      <c r="E378" s="173" t="n"/>
      <c r="F378" s="96" t="n"/>
      <c r="G378" s="96" t="n"/>
      <c r="H378" s="111" t="n"/>
      <c r="I378" s="96" t="n"/>
      <c r="J378" s="96" t="n"/>
      <c r="K378" s="96" t="n"/>
      <c r="L378" s="111" t="n"/>
      <c r="M378" s="96" t="n"/>
      <c r="N378" s="96" t="n"/>
      <c r="O378" s="111" t="n"/>
      <c r="P378" s="111" t="n"/>
      <c r="Q378" s="111" t="n"/>
      <c r="R378" s="96" t="n"/>
      <c r="S378" s="96" t="n"/>
      <c r="T378" s="96" t="n"/>
      <c r="U378" s="96" t="n"/>
      <c r="V378" s="161" t="n"/>
      <c r="W378" s="96" t="n"/>
      <c r="X378" s="161" t="n"/>
      <c r="Y378" s="97" t="n"/>
      <c r="Z378" s="97" t="n"/>
      <c r="AA378" s="97" t="n"/>
      <c r="AB378" s="97" t="n"/>
      <c r="AC378" s="97" t="n"/>
      <c r="AD378" s="161" t="n"/>
      <c r="AE378" s="174" t="n"/>
      <c r="AF378" s="96" t="n"/>
      <c r="AG378" s="97" t="n"/>
      <c r="AH378" s="97" t="n"/>
      <c r="AI378" s="97" t="n"/>
      <c r="AJ378" s="96" t="n"/>
      <c r="AK378" s="130" t="n"/>
    </row>
    <row r="379" ht="12" customHeight="1">
      <c r="A379" s="108" t="inlineStr">
        <is>
          <t>TRIU6734806</t>
        </is>
      </c>
      <c r="B379" s="108" t="n"/>
      <c r="C379" s="108" t="n"/>
      <c r="D379" s="172" t="n"/>
      <c r="E379" s="173" t="n"/>
      <c r="F379" s="96" t="n"/>
      <c r="G379" s="96" t="n"/>
      <c r="H379" s="111" t="n"/>
      <c r="I379" s="96" t="n"/>
      <c r="J379" s="96" t="n"/>
      <c r="K379" s="96" t="n"/>
      <c r="L379" s="111" t="n"/>
      <c r="M379" s="96" t="n"/>
      <c r="N379" s="96" t="n"/>
      <c r="O379" s="111" t="n"/>
      <c r="P379" s="111" t="n"/>
      <c r="Q379" s="111" t="n"/>
      <c r="R379" s="96" t="n"/>
      <c r="S379" s="96" t="n"/>
      <c r="T379" s="96" t="n"/>
      <c r="U379" s="96" t="n"/>
      <c r="V379" s="161" t="n"/>
      <c r="W379" s="96" t="n"/>
      <c r="X379" s="161" t="n"/>
      <c r="Y379" s="97" t="n"/>
      <c r="Z379" s="97" t="n"/>
      <c r="AA379" s="97" t="n"/>
      <c r="AB379" s="97" t="n"/>
      <c r="AC379" s="97" t="n"/>
      <c r="AD379" s="161" t="n"/>
      <c r="AE379" s="174" t="n"/>
      <c r="AF379" s="96" t="n"/>
      <c r="AG379" s="97" t="n"/>
      <c r="AH379" s="97" t="n"/>
      <c r="AI379" s="97" t="n"/>
      <c r="AJ379" s="96" t="n"/>
      <c r="AK379" s="130" t="n"/>
    </row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191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331925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331925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BEAU2428783</t>
        </is>
      </c>
      <c r="B3" s="4" t="str">
        <f>IF(C3=Charge!$M$1,Charge!$J$1,IF(C3=Charge!$M$23,Charge!$J$23,IF(C3=Charge!$M$17,Charge!$J$17,IF(C3=Charge!$N$17,Charge!$J$17,Charge!$J$7))))</f>
        <v>G3</v>
      </c>
      <c r="C3" s="61" t="str">
        <f>VLOOKUP(A3,'1.Loading'!A:R,14,FALSE)</f>
        <v>BKK04</v>
      </c>
      <c r="D3" s="61" t="str">
        <f>VLOOKUP(A3,'1.Loading'!A:R,17,FALSE)</f>
        <v>HASLS22260900939</v>
      </c>
      <c r="E3" s="62" t="str">
        <f>VLOOKUP(D3,'2.Bookinglist'!A:CT,27,FALSE)</f>
        <v>POLAR STAR CO., LTD.</v>
      </c>
      <c r="F3" s="62" t="str">
        <f>VLOOKUP(D3,'2.Bookinglist'!A:CT,28,FALSE)</f>
        <v>EVERSHINING INGREDIENT CO.,LTD.</v>
      </c>
      <c r="G3" s="60">
        <f>VLOOKUP(D3,'2.Bookinglist'!A:E,5,FALSE)</f>
        <v>0</v>
      </c>
      <c r="H3" s="61" t="str">
        <f>VLOOKUP(D3,'2.Bookinglist'!A:CT,15,FALSE)</f>
        <v>THBKK</v>
      </c>
      <c r="I3" s="61" t="str">
        <f>VLOOKUP(D3,'2.Bookinglist'!A:CT,19,FALSE)</f>
        <v>VNSGN</v>
      </c>
      <c r="J3" s="61">
        <f>VLOOKUP(D3,'2.Bookinglist'!A:CT,26,FALSE)</f>
        <v>0</v>
      </c>
      <c r="K3" s="61" t="str">
        <f>VLOOKUP(A3,'1.Loading'!A:R,5,FALSE)</f>
        <v>22GP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/>
      </c>
      <c r="O3" s="61" t="str">
        <f>VLOOKUP(A3,'1.Loading'!A:R,3,FALSE)</f>
        <v>SWSP</v>
      </c>
      <c r="P3" s="61" t="str">
        <f>VLOOKUP(A3,'1.Loading'!A:R,4,FALSE)</f>
        <v>2609N</v>
      </c>
      <c r="Q3" s="61" t="str">
        <f>VLOOKUP(D3,'2.Bookinglist'!A:CT,12,FALSE)</f>
        <v>BTS</v>
      </c>
      <c r="R3" s="60" t="str">
        <f>IF(LEFT(K3,2)="22","20'","40'")</f>
        <v>20'</v>
      </c>
      <c r="S3" s="101" t="n"/>
      <c r="T3" s="61" t="str">
        <f>VLOOKUP(A3,'1.Loading'!A:R,2,FALSE)</f>
        <v>2026-10-08</v>
      </c>
      <c r="U3" s="63">
        <f>T3-S3</f>
        <v>46303</v>
      </c>
      <c r="V3" s="178" t="n"/>
      <c r="W3" s="61" t="str">
        <f>VLOOKUP(A3,'3.GateMove'!A:D,4,FALSE)</f>
        <v>2026-09-28</v>
      </c>
      <c r="X3" s="63">
        <f>((T3-W3)+1)</f>
        <v>11</v>
      </c>
      <c r="Y3" s="64">
        <f>IF(AND(OR(C3="BKK01",C3="BKK04"),L3="CFS/CY"),0,IF(M3="DG",1,IF(LEFT(C3,3)="LCH",7,IF(C3="BKK02",5,3))))</f>
        <v>3</v>
      </c>
      <c r="Z3" s="63">
        <f>IF(IF(AND(AC3="TML",AB3&gt;0),((T3-W3)+1)-AB3,((T3-W3)+1)-Y3)&gt;0,IF(AND(AC3="TML",AB3&gt;0),((T3-W3)+1)-AB3,((T3-W3)+1)-Y3),0)</f>
        <v>8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1395</v>
      </c>
      <c r="AB3" s="4" t="n"/>
      <c r="AC3" s="4" t="n"/>
      <c r="AD3" s="60">
        <f>IF(M3="DG",3,IF(N3="RF",3,5))+IF(AND(LEFT(C3,3)="BKK",N3="RF",Q3="KTS"),1,0)+IF(Q3="KHS",1,0)</f>
        <v>5</v>
      </c>
      <c r="AE3" s="63">
        <f>(T3-V3)+1</f>
        <v>46304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1395</v>
      </c>
      <c r="AJ3" s="70" t="n"/>
      <c r="AK3" s="62" t="str">
        <f>VLOOKUP(D3,'2.Bookinglist'!A:CT,40,FALSE)</f>
        <v>Kanokporn</v>
      </c>
      <c r="AL3" s="60" t="str">
        <f>VLOOKUP(D3,'2.Bookinglist'!A:CW,101,FALSE)</f>
        <v>2026-10-07</v>
      </c>
      <c r="AM3" s="60" t="str">
        <f>VLOOKUP(D3,'2.Bookinglist'!A:BK,63,FALSE)</f>
        <v>BKK27</v>
      </c>
      <c r="AN3" s="62" t="str">
        <f>VLOOKUP(D3,'2.Bookinglist'!A:AZ,52,FALSE)</f>
        <v>Pickup : 2026-09-26, Return : 2026-09-28 </v>
      </c>
      <c r="AO3" s="62" t="str">
        <f>VLOOKUP(D3,'2.Bookinglist'!A:CY,103,FALSE)</f>
        <v>ROLL OVER FROM PREVIOUS VSL KMBK 2611N BY ALLOCATION TEAM MS.TARN APPROVED COST IS UNDER HAL DD.01/10</v>
      </c>
    </row>
    <row r="4" ht="12.95" customHeight="1">
      <c r="A4" s="96" t="inlineStr">
        <is>
          <t>BMOU5940890</t>
        </is>
      </c>
      <c r="B4" s="184" t="str">
        <f>IF(C4=Charge!$M$1,Charge!$J$1,IF(C4=Charge!$M$23,Charge!$J$23,IF(C4=Charge!$M$17,Charge!$J$17,IF(C4=Charge!$N$17,Charge!$J$17,Charge!$J$7))))</f>
        <v>G3</v>
      </c>
      <c r="C4" s="61" t="str">
        <f>VLOOKUP(A4,'1.Loading'!A:R,14,FALSE)</f>
        <v>BKK04</v>
      </c>
      <c r="D4" s="61" t="str">
        <f>VLOOKUP(A4,'1.Loading'!A:R,17,FALSE)</f>
        <v>HASLS22260902456</v>
      </c>
      <c r="E4" s="62" t="str">
        <f>VLOOKUP(D4,'2.Bookinglist'!A:CT,27,FALSE)</f>
        <v>MAC-NELS SHIPPING (THAILAND) LTD.</v>
      </c>
      <c r="F4" s="62" t="str">
        <f>VLOOKUP(D4,'2.Bookinglist'!A:CT,28,FALSE)</f>
        <v>MAC-NELS SHIPPING (THAILAND) LTD.</v>
      </c>
      <c r="G4" s="60">
        <f>VLOOKUP(D4,'2.Bookinglist'!A:E,5,FALSE)</f>
        <v>0</v>
      </c>
      <c r="H4" s="61" t="str">
        <f>VLOOKUP(D4,'2.Bookinglist'!A:CT,15,FALSE)</f>
        <v>THBKK</v>
      </c>
      <c r="I4" s="61" t="str">
        <f>VLOOKUP(D4,'2.Bookinglist'!A:CT,19,FALSE)</f>
        <v>KRPUS</v>
      </c>
      <c r="J4" s="61">
        <f>VLOOKUP(D4,'2.Bookinglist'!A:CT,26,FALSE)</f>
        <v>0</v>
      </c>
      <c r="K4" s="61" t="str">
        <f>VLOOKUP(A4,'1.Loading'!A:R,5,FALSE)</f>
        <v>45GP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/>
      </c>
      <c r="O4" s="61" t="str">
        <f>VLOOKUP(A4,'1.Loading'!A:R,3,FALSE)</f>
        <v>SWSP</v>
      </c>
      <c r="P4" s="61" t="str">
        <f>VLOOKUP(A4,'1.Loading'!A:R,4,FALSE)</f>
        <v>2609N</v>
      </c>
      <c r="Q4" s="61" t="str">
        <f>VLOOKUP(D4,'2.Bookinglist'!A:CT,12,FALSE)</f>
        <v>BTS</v>
      </c>
      <c r="R4" s="60" t="str">
        <f>IF(LEFT(K4,2)="22","20'","40'")</f>
        <v>40'</v>
      </c>
      <c r="S4" s="185" t="n"/>
      <c r="T4" s="61" t="str">
        <f>VLOOKUP(A4,'1.Loading'!A:R,2,FALSE)</f>
        <v>2026-10-08</v>
      </c>
      <c r="U4" s="63">
        <f>T4-S4</f>
        <v>46303</v>
      </c>
      <c r="V4" s="186" t="n"/>
      <c r="W4" s="61" t="str">
        <f>VLOOKUP(A4,'3.GateMove'!A:D,4,FALSE)</f>
        <v>2026-10-06</v>
      </c>
      <c r="X4" s="63">
        <f>((T4-W4)+1)</f>
        <v>3</v>
      </c>
      <c r="Y4" s="64">
        <f>IF(AND(OR(C4="BKK01",C4="BKK04"),L4="CFS/CY"),0,IF(M4="DG",1,IF(LEFT(C4,3)="LCH",7,IF(C4="BKK02",5,3))))</f>
        <v>3</v>
      </c>
      <c r="Z4" s="63">
        <f>IF(IF(AND(AC4="TML",AB4&gt;0),((T4-W4)+1)-AB4,((T4-W4)+1)-Y4)&gt;0,IF(AND(AC4="TML",AB4&gt;0),((T4-W4)+1)-AB4,((T4-W4)+1)-Y4),0)</f>
        <v>0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0</v>
      </c>
      <c r="AB4" s="184" t="n"/>
      <c r="AC4" s="184" t="n"/>
      <c r="AD4" s="60">
        <f>IF(M4="DG",3,IF(N4="RF",3,5))+IF(AND(LEFT(C4,3)="BKK",N4="RF",Q4="KTS"),1,0)+IF(Q4="KHS",1,0)</f>
        <v>5</v>
      </c>
      <c r="AE4" s="63">
        <f>(T4-V4)+1</f>
        <v>46304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0</v>
      </c>
      <c r="AJ4" s="188" t="n"/>
      <c r="AK4" s="62" t="str">
        <f>VLOOKUP(D4,'2.Bookinglist'!A:CT,40,FALSE)</f>
        <v>Papavadee Chiengchin</v>
      </c>
      <c r="AL4" s="60" t="str">
        <f>VLOOKUP(D4,'2.Bookinglist'!A:CW,101,FALSE)</f>
        <v>2026-10-07</v>
      </c>
      <c r="AM4" s="60" t="str">
        <f>VLOOKUP(D4,'2.Bookinglist'!A:BK,63,FALSE)</f>
        <v>BKK04</v>
      </c>
      <c r="AN4" s="62" t="str">
        <f>VLOOKUP(D4,'2.Bookinglist'!A:AZ,52,FALSE)</f>
        <v>CY-RTN : 02-02/10/2026 CONSOL</v>
      </c>
      <c r="AO4" s="62">
        <f>VLOOKUP(D4,'2.Bookinglist'!A:CY,103,FALSE)</f>
        <v>0</v>
      </c>
    </row>
    <row r="5" ht="12.95" customHeight="1">
      <c r="A5" s="96" t="inlineStr">
        <is>
          <t>BMOU6068951</t>
        </is>
      </c>
      <c r="B5" s="184" t="str">
        <f>IF(C5=Charge!$M$1,Charge!$J$1,IF(C5=Charge!$M$23,Charge!$J$23,IF(C5=Charge!$M$17,Charge!$J$17,IF(C5=Charge!$N$17,Charge!$J$17,Charge!$J$7))))</f>
        <v>G3</v>
      </c>
      <c r="C5" s="61" t="str">
        <f>VLOOKUP(A5,'1.Loading'!A:R,14,FALSE)</f>
        <v>BKK04</v>
      </c>
      <c r="D5" s="61" t="str">
        <f>VLOOKUP(A5,'1.Loading'!A:R,17,FALSE)</f>
        <v>HASLS22260901036</v>
      </c>
      <c r="E5" s="62" t="str">
        <f>VLOOKUP(D5,'2.Bookinglist'!A:CT,27,FALSE)</f>
        <v>PISIA INTERFREIGHT CO.,LTD.</v>
      </c>
      <c r="F5" s="62" t="str">
        <f>VLOOKUP(D5,'2.Bookinglist'!A:CT,28,FALSE)</f>
        <v>KANGWAL POLYESTER CO., LTD.</v>
      </c>
      <c r="G5" s="60">
        <f>VLOOKUP(D5,'2.Bookinglist'!A:E,5,FALSE)</f>
        <v>0</v>
      </c>
      <c r="H5" s="61" t="str">
        <f>VLOOKUP(D5,'2.Bookinglist'!A:CT,15,FALSE)</f>
        <v>THBKK</v>
      </c>
      <c r="I5" s="61" t="str">
        <f>VLOOKUP(D5,'2.Bookinglist'!A:CT,19,FALSE)</f>
        <v>VNSGN</v>
      </c>
      <c r="J5" s="61">
        <f>VLOOKUP(D5,'2.Bookinglist'!A:CT,26,FALSE)</f>
        <v>0</v>
      </c>
      <c r="K5" s="61" t="str">
        <f>VLOOKUP(A5,'1.Loading'!A:R,5,FALSE)</f>
        <v>45GP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/>
      </c>
      <c r="O5" s="61" t="str">
        <f>VLOOKUP(A5,'1.Loading'!A:R,3,FALSE)</f>
        <v>SWSP</v>
      </c>
      <c r="P5" s="61" t="str">
        <f>VLOOKUP(A5,'1.Loading'!A:R,4,FALSE)</f>
        <v>2609N</v>
      </c>
      <c r="Q5" s="61" t="str">
        <f>VLOOKUP(D5,'2.Bookinglist'!A:CT,12,FALSE)</f>
        <v>BTS</v>
      </c>
      <c r="R5" s="60" t="str">
        <f>IF(LEFT(K5,2)="22","20'","40'")</f>
        <v>40'</v>
      </c>
      <c r="S5" s="185" t="n"/>
      <c r="T5" s="61" t="str">
        <f>VLOOKUP(A5,'1.Loading'!A:R,2,FALSE)</f>
        <v>2026-10-08</v>
      </c>
      <c r="U5" s="63">
        <f>T5-S5</f>
        <v>46303</v>
      </c>
      <c r="V5" s="186" t="n"/>
      <c r="W5" s="61" t="str">
        <f>VLOOKUP(A5,'3.GateMove'!A:D,4,FALSE)</f>
        <v>2026-10-02</v>
      </c>
      <c r="X5" s="63">
        <f>((T5-W5)+1)</f>
        <v>7</v>
      </c>
      <c r="Y5" s="64">
        <f>IF(AND(OR(C5="BKK01",C5="BKK04"),L5="CFS/CY"),0,IF(M5="DG",1,IF(LEFT(C5,3)="LCH",7,IF(C5="BKK02",5,3))))</f>
        <v>3</v>
      </c>
      <c r="Z5" s="63">
        <f>IF(IF(AND(AC5="TML",AB5&gt;0),((T5-W5)+1)-AB5,((T5-W5)+1)-Y5)&gt;0,IF(AND(AC5="TML",AB5&gt;0),((T5-W5)+1)-AB5,((T5-W5)+1)-Y5),0)</f>
        <v>4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1280</v>
      </c>
      <c r="AB5" s="184" t="n"/>
      <c r="AC5" s="184" t="n"/>
      <c r="AD5" s="60">
        <f>IF(M5="DG",3,IF(N5="RF",3,5))+IF(AND(LEFT(C5,3)="BKK",N5="RF",Q5="KTS"),1,0)+IF(Q5="KHS",1,0)</f>
        <v>5</v>
      </c>
      <c r="AE5" s="63">
        <f>(T5-V5)+1</f>
        <v>46304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1280</v>
      </c>
      <c r="AJ5" s="188" t="n"/>
      <c r="AK5" s="62" t="str">
        <f>VLOOKUP(D5,'2.Bookinglist'!A:CT,40,FALSE)</f>
        <v>Nannaapust Sukporntaweewat</v>
      </c>
      <c r="AL5" s="60" t="str">
        <f>VLOOKUP(D5,'2.Bookinglist'!A:CW,101,FALSE)</f>
        <v>2026-10-05</v>
      </c>
      <c r="AM5" s="60" t="str">
        <f>VLOOKUP(D5,'2.Bookinglist'!A:BK,63,FALSE)</f>
        <v>BKK25</v>
      </c>
      <c r="AN5" s="62" t="str">
        <f>VLOOKUP(D5,'2.Bookinglist'!A:AZ,52,FALSE)</f>
        <v>Pickup : 2026-10-01, Return : 2026-10-02 
7X40'HQ CY AT B.C. DD. 01/10 
1X40'HQ CY AT SMART DD. 01/10 </v>
      </c>
      <c r="AO5" s="62">
        <f>VLOOKUP(D5,'2.Bookinglist'!A:CY,103,FALSE)</f>
        <v>0</v>
      </c>
    </row>
    <row r="6" ht="12.95" customHeight="1">
      <c r="A6" s="96" t="inlineStr">
        <is>
          <t>BMOU6075971</t>
        </is>
      </c>
      <c r="B6" s="184" t="str">
        <f>IF(C6=Charge!$M$1,Charge!$J$1,IF(C6=Charge!$M$23,Charge!$J$23,IF(C6=Charge!$M$17,Charge!$J$17,IF(C6=Charge!$N$17,Charge!$J$17,Charge!$J$7))))</f>
        <v>G3</v>
      </c>
      <c r="C6" s="61" t="str">
        <f>VLOOKUP(A6,'1.Loading'!A:R,14,FALSE)</f>
        <v>BKK04</v>
      </c>
      <c r="D6" s="61" t="str">
        <f>VLOOKUP(A6,'1.Loading'!A:R,17,FALSE)</f>
        <v>HASLS22260802590</v>
      </c>
      <c r="E6" s="62" t="str">
        <f>VLOOKUP(D6,'2.Bookinglist'!A:CT,27,FALSE)</f>
        <v>QUANTERM LOGISTICS (THAILAND) CO., LTD.</v>
      </c>
      <c r="F6" s="62" t="str">
        <f>VLOOKUP(D6,'2.Bookinglist'!A:CT,28,FALSE)</f>
        <v>QUANTERM LOGISTICS (THAILAND) CO., LTD.</v>
      </c>
      <c r="G6" s="60">
        <f>VLOOKUP(D6,'2.Bookinglist'!A:E,5,FALSE)</f>
        <v>0</v>
      </c>
      <c r="H6" s="61" t="str">
        <f>VLOOKUP(D6,'2.Bookinglist'!A:CT,15,FALSE)</f>
        <v>THBKK</v>
      </c>
      <c r="I6" s="61" t="str">
        <f>VLOOKUP(D6,'2.Bookinglist'!A:CT,19,FALSE)</f>
        <v>VNSGN</v>
      </c>
      <c r="J6" s="61">
        <f>VLOOKUP(D6,'2.Bookinglist'!A:CT,26,FALSE)</f>
        <v>0</v>
      </c>
      <c r="K6" s="61" t="str">
        <f>VLOOKUP(A6,'1.Loading'!A:R,5,FALSE)</f>
        <v>45GP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/>
      </c>
      <c r="O6" s="61" t="str">
        <f>VLOOKUP(A6,'1.Loading'!A:R,3,FALSE)</f>
        <v>SWSP</v>
      </c>
      <c r="P6" s="61" t="str">
        <f>VLOOKUP(A6,'1.Loading'!A:R,4,FALSE)</f>
        <v>2609N</v>
      </c>
      <c r="Q6" s="61" t="str">
        <f>VLOOKUP(D6,'2.Bookinglist'!A:CT,12,FALSE)</f>
        <v>BTS</v>
      </c>
      <c r="R6" s="60" t="str">
        <f>IF(LEFT(K6,2)="22","20'","40'")</f>
        <v>40'</v>
      </c>
      <c r="S6" s="185" t="n"/>
      <c r="T6" s="61" t="str">
        <f>VLOOKUP(A6,'1.Loading'!A:R,2,FALSE)</f>
        <v>2026-10-08</v>
      </c>
      <c r="U6" s="63">
        <f>T6-S6</f>
        <v>46303</v>
      </c>
      <c r="V6" s="186" t="n"/>
      <c r="W6" s="61" t="str">
        <f>VLOOKUP(A6,'3.GateMove'!A:D,4,FALSE)</f>
        <v>2026-10-06</v>
      </c>
      <c r="X6" s="63">
        <f>((T6-W6)+1)</f>
        <v>3</v>
      </c>
      <c r="Y6" s="64">
        <f>IF(AND(OR(C6="BKK01",C6="BKK04"),L6="CFS/CY"),0,IF(M6="DG",1,IF(LEFT(C6,3)="LCH",7,IF(C6="BKK02",5,3))))</f>
        <v>3</v>
      </c>
      <c r="Z6" s="63">
        <f>IF(IF(AND(AC6="TML",AB6&gt;0),((T6-W6)+1)-AB6,((T6-W6)+1)-Y6)&gt;0,IF(AND(AC6="TML",AB6&gt;0),((T6-W6)+1)-AB6,((T6-W6)+1)-Y6),0)</f>
        <v>0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0</v>
      </c>
      <c r="AB6" s="184" t="n"/>
      <c r="AC6" s="184" t="n"/>
      <c r="AD6" s="60">
        <f>IF(M6="DG",3,IF(N6="RF",3,5))+IF(AND(LEFT(C6,3)="BKK",N6="RF",Q6="KTS"),1,0)+IF(Q6="KHS",1,0)</f>
        <v>5</v>
      </c>
      <c r="AE6" s="63">
        <f>(T6-V6)+1</f>
        <v>46304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0</v>
      </c>
      <c r="AJ6" s="188" t="n"/>
      <c r="AK6" s="62" t="str">
        <f>VLOOKUP(D6,'2.Bookinglist'!A:CT,40,FALSE)</f>
        <v>Papavadee Chiengchin</v>
      </c>
      <c r="AL6" s="60" t="str">
        <f>VLOOKUP(D6,'2.Bookinglist'!A:CW,101,FALSE)</f>
        <v>2026-10-07</v>
      </c>
      <c r="AM6" s="60" t="str">
        <f>VLOOKUP(D6,'2.Bookinglist'!A:BK,63,FALSE)</f>
        <v>BKK04</v>
      </c>
      <c r="AN6" s="62" t="str">
        <f>VLOOKUP(D6,'2.Bookinglist'!A:AZ,52,FALSE)</f>
        <v>Pickup : 2026-10-05, Return : 2026-10-05 CONSOL *EXTEND CLS TIME : 05/10/2026 @23.59*</v>
      </c>
      <c r="AO6" s="62">
        <f>VLOOKUP(D6,'2.Bookinglist'!A:CY,103,FALSE)</f>
        <v>0</v>
      </c>
    </row>
    <row r="7" ht="12.95" customHeight="1">
      <c r="A7" s="96" t="inlineStr">
        <is>
          <t>CXDU2305139</t>
        </is>
      </c>
      <c r="B7" s="184" t="str">
        <f>IF(C7=Charge!$M$1,Charge!$J$1,IF(C7=Charge!$M$23,Charge!$J$23,IF(C7=Charge!$M$17,Charge!$J$17,IF(C7=Charge!$N$17,Charge!$J$17,Charge!$J$7))))</f>
        <v>G3</v>
      </c>
      <c r="C7" s="61" t="str">
        <f>VLOOKUP(A7,'1.Loading'!A:R,14,FALSE)</f>
        <v>BKK04</v>
      </c>
      <c r="D7" s="61" t="str">
        <f>VLOOKUP(A7,'1.Loading'!A:R,17,FALSE)</f>
        <v>HASLS22260800838</v>
      </c>
      <c r="E7" s="62" t="str">
        <f>VLOOKUP(D7,'2.Bookinglist'!A:CT,27,FALSE)</f>
        <v>SCGJWD LOGISTICS PUBLIC COMPANY LIMITED</v>
      </c>
      <c r="F7" s="62" t="str">
        <f>VLOOKUP(D7,'2.Bookinglist'!A:CT,28,FALSE)</f>
        <v>SCG INTERNATIONAL CORPORATION CO., LTD.</v>
      </c>
      <c r="G7" s="60">
        <f>VLOOKUP(D7,'2.Bookinglist'!A:E,5,FALSE)</f>
        <v>0</v>
      </c>
      <c r="H7" s="61" t="str">
        <f>VLOOKUP(D7,'2.Bookinglist'!A:CT,15,FALSE)</f>
        <v>THBKK</v>
      </c>
      <c r="I7" s="61" t="str">
        <f>VLOOKUP(D7,'2.Bookinglist'!A:CT,19,FALSE)</f>
        <v>VNSGN</v>
      </c>
      <c r="J7" s="61">
        <f>VLOOKUP(D7,'2.Bookinglist'!A:CT,26,FALSE)</f>
        <v>0</v>
      </c>
      <c r="K7" s="61" t="str">
        <f>VLOOKUP(A7,'1.Loading'!A:R,5,FALSE)</f>
        <v>22GP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SWSP</v>
      </c>
      <c r="P7" s="61" t="str">
        <f>VLOOKUP(A7,'1.Loading'!A:R,4,FALSE)</f>
        <v>2609N</v>
      </c>
      <c r="Q7" s="61" t="str">
        <f>VLOOKUP(D7,'2.Bookinglist'!A:CT,12,FALSE)</f>
        <v>BTS</v>
      </c>
      <c r="R7" s="60" t="str">
        <f>IF(LEFT(K7,2)="22","20'","40'")</f>
        <v>20'</v>
      </c>
      <c r="S7" s="185" t="n"/>
      <c r="T7" s="61" t="str">
        <f>VLOOKUP(A7,'1.Loading'!A:R,2,FALSE)</f>
        <v>2026-10-08</v>
      </c>
      <c r="U7" s="63">
        <f>T7-S7</f>
        <v>46303</v>
      </c>
      <c r="V7" s="186" t="n"/>
      <c r="W7" s="61" t="str">
        <f>VLOOKUP(A7,'3.GateMove'!A:D,4,FALSE)</f>
        <v>2026-09-29</v>
      </c>
      <c r="X7" s="63">
        <f>((T7-W7)+1)</f>
        <v>10</v>
      </c>
      <c r="Y7" s="64">
        <f>IF(AND(OR(C7="BKK01",C7="BKK04"),L7="CFS/CY"),0,IF(M7="DG",1,IF(LEFT(C7,3)="LCH",7,IF(C7="BKK02",5,3))))</f>
        <v>3</v>
      </c>
      <c r="Z7" s="63">
        <f>IF(IF(AND(AC7="TML",AB7&gt;0),((T7-W7)+1)-AB7,((T7-W7)+1)-Y7)&gt;0,IF(AND(AC7="TML",AB7&gt;0),((T7-W7)+1)-AB7,((T7-W7)+1)-Y7),0)</f>
        <v>7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1120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46304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1120</v>
      </c>
      <c r="AJ7" s="188" t="n"/>
      <c r="AK7" s="62" t="str">
        <f>VLOOKUP(D7,'2.Bookinglist'!A:CT,40,FALSE)</f>
        <v>Kanokporn</v>
      </c>
      <c r="AL7" s="60" t="str">
        <f>VLOOKUP(D7,'2.Bookinglist'!A:CW,101,FALSE)</f>
        <v>2026-10-07</v>
      </c>
      <c r="AM7" s="60" t="str">
        <f>VLOOKUP(D7,'2.Bookinglist'!A:BK,63,FALSE)</f>
        <v>BKK27</v>
      </c>
      <c r="AN7" s="62" t="str">
        <f>VLOOKUP(D7,'2.Bookinglist'!A:AZ,52,FALSE)</f>
        <v>CY-RTN : 28-28/09/2026 (1ST RETURN 28/09/26)
(JB2606177029) </v>
      </c>
      <c r="AO7" s="62" t="str">
        <f>VLOOKUP(D7,'2.Bookinglist'!A:CY,103,FALSE)</f>
        <v>ROLL OVER FROM PREVIOUS VSL KMBK 2611N BY ALLOCATION TEAM MS.TARN APPROVED COST IS UNDER HAL DD.01/10</v>
      </c>
    </row>
    <row r="8" ht="12.95" customHeight="1">
      <c r="A8" s="96" t="inlineStr">
        <is>
          <t>DFSU3102503</t>
        </is>
      </c>
      <c r="B8" s="184" t="str">
        <f>IF(C8=Charge!$M$1,Charge!$J$1,IF(C8=Charge!$M$23,Charge!$J$23,IF(C8=Charge!$M$17,Charge!$J$17,IF(C8=Charge!$N$17,Charge!$J$17,Charge!$J$7))))</f>
        <v>G3</v>
      </c>
      <c r="C8" s="61" t="str">
        <f>VLOOKUP(A8,'1.Loading'!A:R,14,FALSE)</f>
        <v>BKK04</v>
      </c>
      <c r="D8" s="61" t="str">
        <f>VLOOKUP(A8,'1.Loading'!A:R,17,FALSE)</f>
        <v>HASLS22260800838</v>
      </c>
      <c r="E8" s="62" t="str">
        <f>VLOOKUP(D8,'2.Bookinglist'!A:CT,27,FALSE)</f>
        <v>SCGJWD LOGISTICS PUBLIC COMPANY LIMITED</v>
      </c>
      <c r="F8" s="62" t="str">
        <f>VLOOKUP(D8,'2.Bookinglist'!A:CT,28,FALSE)</f>
        <v>SCG INTERNATIONAL CORPORATION CO., LTD.</v>
      </c>
      <c r="G8" s="60">
        <f>VLOOKUP(D8,'2.Bookinglist'!A:E,5,FALSE)</f>
        <v>0</v>
      </c>
      <c r="H8" s="61" t="str">
        <f>VLOOKUP(D8,'2.Bookinglist'!A:CT,15,FALSE)</f>
        <v>THBKK</v>
      </c>
      <c r="I8" s="61" t="str">
        <f>VLOOKUP(D8,'2.Bookinglist'!A:CT,19,FALSE)</f>
        <v>VNSGN</v>
      </c>
      <c r="J8" s="61">
        <f>VLOOKUP(D8,'2.Bookinglist'!A:CT,26,FALSE)</f>
        <v>0</v>
      </c>
      <c r="K8" s="61" t="str">
        <f>VLOOKUP(A8,'1.Loading'!A:R,5,FALSE)</f>
        <v>22GP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SWSP</v>
      </c>
      <c r="P8" s="61" t="str">
        <f>VLOOKUP(A8,'1.Loading'!A:R,4,FALSE)</f>
        <v>2609N</v>
      </c>
      <c r="Q8" s="61" t="str">
        <f>VLOOKUP(D8,'2.Bookinglist'!A:CT,12,FALSE)</f>
        <v>BTS</v>
      </c>
      <c r="R8" s="60" t="str">
        <f>IF(LEFT(K8,2)="22","20'","40'")</f>
        <v>20'</v>
      </c>
      <c r="S8" s="185" t="n"/>
      <c r="T8" s="61" t="str">
        <f>VLOOKUP(A8,'1.Loading'!A:R,2,FALSE)</f>
        <v>2026-10-08</v>
      </c>
      <c r="U8" s="63">
        <f>T8-S8</f>
        <v>46303</v>
      </c>
      <c r="V8" s="186" t="n"/>
      <c r="W8" s="61" t="str">
        <f>VLOOKUP(A8,'3.GateMove'!A:D,4,FALSE)</f>
        <v>2026-09-29</v>
      </c>
      <c r="X8" s="63">
        <f>((T8-W8)+1)</f>
        <v>10</v>
      </c>
      <c r="Y8" s="64">
        <f>IF(AND(OR(C8="BKK01",C8="BKK04"),L8="CFS/CY"),0,IF(M8="DG",1,IF(LEFT(C8,3)="LCH",7,IF(C8="BKK02",5,3))))</f>
        <v>3</v>
      </c>
      <c r="Z8" s="63">
        <f>IF(IF(AND(AC8="TML",AB8&gt;0),((T8-W8)+1)-AB8,((T8-W8)+1)-Y8)&gt;0,IF(AND(AC8="TML",AB8&gt;0),((T8-W8)+1)-AB8,((T8-W8)+1)-Y8),0)</f>
        <v>7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1120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46304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1120</v>
      </c>
      <c r="AJ8" s="188" t="n"/>
      <c r="AK8" s="62" t="str">
        <f>VLOOKUP(D8,'2.Bookinglist'!A:CT,40,FALSE)</f>
        <v>Kanokporn</v>
      </c>
      <c r="AL8" s="60" t="str">
        <f>VLOOKUP(D8,'2.Bookinglist'!A:CW,101,FALSE)</f>
        <v>2026-10-07</v>
      </c>
      <c r="AM8" s="60" t="str">
        <f>VLOOKUP(D8,'2.Bookinglist'!A:BK,63,FALSE)</f>
        <v>BKK27</v>
      </c>
      <c r="AN8" s="62" t="str">
        <f>VLOOKUP(D8,'2.Bookinglist'!A:AZ,52,FALSE)</f>
        <v>CY-RTN : 28-28/09/2026 (1ST RETURN 28/09/26)
(JB2606177029) </v>
      </c>
      <c r="AO8" s="62" t="str">
        <f>VLOOKUP(D8,'2.Bookinglist'!A:CY,103,FALSE)</f>
        <v>ROLL OVER FROM PREVIOUS VSL KMBK 2611N BY ALLOCATION TEAM MS.TARN APPROVED COST IS UNDER HAL DD.01/10</v>
      </c>
    </row>
    <row r="9" ht="12.95" customHeight="1">
      <c r="A9" s="96" t="inlineStr">
        <is>
          <t>FBIU5093827</t>
        </is>
      </c>
      <c r="B9" s="184" t="str">
        <f>IF(C9=Charge!$M$1,Charge!$J$1,IF(C9=Charge!$M$23,Charge!$J$23,IF(C9=Charge!$M$17,Charge!$J$17,IF(C9=Charge!$N$17,Charge!$J$17,Charge!$J$7))))</f>
        <v>G3</v>
      </c>
      <c r="C9" s="61" t="str">
        <f>VLOOKUP(A9,'1.Loading'!A:R,14,FALSE)</f>
        <v>BKK04</v>
      </c>
      <c r="D9" s="61" t="str">
        <f>VLOOKUP(A9,'1.Loading'!A:R,17,FALSE)</f>
        <v>HASLS22260900909</v>
      </c>
      <c r="E9" s="62" t="str">
        <f>VLOOKUP(D9,'2.Bookinglist'!A:CT,27,FALSE)</f>
        <v>SIAM I-LOGISTICS LTD.</v>
      </c>
      <c r="F9" s="62" t="str">
        <f>VLOOKUP(D9,'2.Bookinglist'!A:CT,28,FALSE)</f>
        <v>GOLDEN PRIZE CANNING CO., LTD.</v>
      </c>
      <c r="G9" s="60">
        <f>VLOOKUP(D9,'2.Bookinglist'!A:E,5,FALSE)</f>
        <v>0</v>
      </c>
      <c r="H9" s="61" t="str">
        <f>VLOOKUP(D9,'2.Bookinglist'!A:CT,15,FALSE)</f>
        <v>THBKK</v>
      </c>
      <c r="I9" s="61" t="str">
        <f>VLOOKUP(D9,'2.Bookinglist'!A:CT,19,FALSE)</f>
        <v>VNSGN</v>
      </c>
      <c r="J9" s="61">
        <f>VLOOKUP(D9,'2.Bookinglist'!A:CT,26,FALSE)</f>
        <v>0</v>
      </c>
      <c r="K9" s="61" t="str">
        <f>VLOOKUP(A9,'1.Loading'!A:R,5,FALSE)</f>
        <v>45RE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>RF</v>
      </c>
      <c r="O9" s="61" t="str">
        <f>VLOOKUP(A9,'1.Loading'!A:R,3,FALSE)</f>
        <v>SWSP</v>
      </c>
      <c r="P9" s="61" t="str">
        <f>VLOOKUP(A9,'1.Loading'!A:R,4,FALSE)</f>
        <v>2609N</v>
      </c>
      <c r="Q9" s="61" t="str">
        <f>VLOOKUP(D9,'2.Bookinglist'!A:CT,12,FALSE)</f>
        <v>BTS</v>
      </c>
      <c r="R9" s="60" t="str">
        <f>IF(LEFT(K9,2)="22","20'","40'")</f>
        <v>40'</v>
      </c>
      <c r="S9" s="185" t="n"/>
      <c r="T9" s="61" t="str">
        <f>VLOOKUP(A9,'1.Loading'!A:R,2,FALSE)</f>
        <v>2026-10-08</v>
      </c>
      <c r="U9" s="63">
        <f>T9-S9</f>
        <v>46303</v>
      </c>
      <c r="V9" s="186" t="n"/>
      <c r="W9" s="61" t="str">
        <f>VLOOKUP(A9,'3.GateMove'!A:D,4,FALSE)</f>
        <v>2026-10-05</v>
      </c>
      <c r="X9" s="63">
        <f>((T9-W9)+1)</f>
        <v>4</v>
      </c>
      <c r="Y9" s="64">
        <f>IF(AND(OR(C9="BKK01",C9="BKK04"),L9="CFS/CY"),0,IF(M9="DG",1,IF(LEFT(C9,3)="LCH",7,IF(C9="BKK02",5,3))))</f>
        <v>3</v>
      </c>
      <c r="Z9" s="63">
        <f>IF(IF(AND(AC9="TML",AB9&gt;0),((T9-W9)+1)-AB9,((T9-W9)+1)-Y9)&gt;0,IF(AND(AC9="TML",AB9&gt;0),((T9-W9)+1)-AB9,((T9-W9)+1)-Y9),0)</f>
        <v>1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320</v>
      </c>
      <c r="AB9" s="184" t="n"/>
      <c r="AC9" s="184" t="n"/>
      <c r="AD9" s="60">
        <f>IF(M9="DG",3,IF(N9="RF",3,5))+IF(AND(LEFT(C9,3)="BKK",N9="RF",Q9="KTS"),1,0)+IF(Q9="KHS",1,0)</f>
        <v>3</v>
      </c>
      <c r="AE9" s="63">
        <f>(T9-V9)+1</f>
        <v>46304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320</v>
      </c>
      <c r="AJ9" s="188" t="n"/>
      <c r="AK9" s="62" t="str">
        <f>VLOOKUP(D9,'2.Bookinglist'!A:CT,40,FALSE)</f>
        <v>Nannaapust Sukporntaweewat</v>
      </c>
      <c r="AL9" s="60" t="str">
        <f>VLOOKUP(D9,'2.Bookinglist'!A:CW,101,FALSE)</f>
        <v>2026-10-06</v>
      </c>
      <c r="AM9" s="60" t="str">
        <f>VLOOKUP(D9,'2.Bookinglist'!A:BK,63,FALSE)</f>
        <v>BKK27</v>
      </c>
      <c r="AN9" s="62" t="str">
        <f>VLOOKUP(D9,'2.Bookinglist'!A:AZ,52,FALSE)</f>
        <v>Pickup : 01/10/2026, Return : 03-05/10/2026 (Temp -25.0 / Vent Close) 
CLOSING TIME 2026-10-05 @23.59 (1ST 03/10/2026 RETURN W/O RENT)</v>
      </c>
      <c r="AO9" s="62">
        <f>VLOOKUP(D9,'2.Bookinglist'!A:CY,103,FALSE)</f>
        <v>0</v>
      </c>
    </row>
    <row r="10" ht="12.95" customHeight="1">
      <c r="A10" s="96" t="inlineStr">
        <is>
          <t>FBIU5093935</t>
        </is>
      </c>
      <c r="B10" s="184" t="str">
        <f>IF(C10=Charge!$M$1,Charge!$J$1,IF(C10=Charge!$M$23,Charge!$J$23,IF(C10=Charge!$M$17,Charge!$J$17,IF(C10=Charge!$N$17,Charge!$J$17,Charge!$J$7))))</f>
        <v>G3</v>
      </c>
      <c r="C10" s="61" t="str">
        <f>VLOOKUP(A10,'1.Loading'!A:R,14,FALSE)</f>
        <v>BKK04</v>
      </c>
      <c r="D10" s="61" t="str">
        <f>VLOOKUP(A10,'1.Loading'!A:R,17,FALSE)</f>
        <v>HASLS22260902007</v>
      </c>
      <c r="E10" s="62" t="str">
        <f>VLOOKUP(D10,'2.Bookinglist'!A:CT,27,FALSE)</f>
        <v>PACIFIC FORWARDER INTERNATIONAL CO., LTD.</v>
      </c>
      <c r="F10" s="62" t="str">
        <f>VLOOKUP(D10,'2.Bookinglist'!A:CT,28,FALSE)</f>
        <v>MEGA LIFESCIENCES PUBLIC CO., LTD.</v>
      </c>
      <c r="G10" s="60">
        <f>VLOOKUP(D10,'2.Bookinglist'!A:E,5,FALSE)</f>
        <v>0</v>
      </c>
      <c r="H10" s="61" t="str">
        <f>VLOOKUP(D10,'2.Bookinglist'!A:CT,15,FALSE)</f>
        <v>THBKK</v>
      </c>
      <c r="I10" s="61" t="str">
        <f>VLOOKUP(D10,'2.Bookinglist'!A:CT,19,FALSE)</f>
        <v>VNSGN</v>
      </c>
      <c r="J10" s="61">
        <f>VLOOKUP(D10,'2.Bookinglist'!A:CT,26,FALSE)</f>
        <v>0</v>
      </c>
      <c r="K10" s="61" t="str">
        <f>VLOOKUP(A10,'1.Loading'!A:R,5,FALSE)</f>
        <v>45RE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>RF</v>
      </c>
      <c r="O10" s="61" t="str">
        <f>VLOOKUP(A10,'1.Loading'!A:R,3,FALSE)</f>
        <v>SWSP</v>
      </c>
      <c r="P10" s="61" t="str">
        <f>VLOOKUP(A10,'1.Loading'!A:R,4,FALSE)</f>
        <v>2609N</v>
      </c>
      <c r="Q10" s="61" t="str">
        <f>VLOOKUP(D10,'2.Bookinglist'!A:CT,12,FALSE)</f>
        <v>BTS</v>
      </c>
      <c r="R10" s="60" t="str">
        <f>IF(LEFT(K10,2)="22","20'","40'")</f>
        <v>40'</v>
      </c>
      <c r="S10" s="185" t="n"/>
      <c r="T10" s="61" t="str">
        <f>VLOOKUP(A10,'1.Loading'!A:R,2,FALSE)</f>
        <v>2026-10-08</v>
      </c>
      <c r="U10" s="63">
        <f>T10-S10</f>
        <v>46303</v>
      </c>
      <c r="V10" s="186" t="n"/>
      <c r="W10" s="61" t="str">
        <f>VLOOKUP(A10,'3.GateMove'!A:D,4,FALSE)</f>
        <v>2026-10-05</v>
      </c>
      <c r="X10" s="63">
        <f>((T10-W10)+1)</f>
        <v>4</v>
      </c>
      <c r="Y10" s="64">
        <f>IF(AND(OR(C10="BKK01",C10="BKK04"),L10="CFS/CY"),0,IF(M10="DG",1,IF(LEFT(C10,3)="LCH",7,IF(C10="BKK02",5,3))))</f>
        <v>3</v>
      </c>
      <c r="Z10" s="63">
        <f>IF(IF(AND(AC10="TML",AB10&gt;0),((T10-W10)+1)-AB10,((T10-W10)+1)-Y10)&gt;0,IF(AND(AC10="TML",AB10&gt;0),((T10-W10)+1)-AB10,((T10-W10)+1)-Y10),0)</f>
        <v>1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320</v>
      </c>
      <c r="AB10" s="184" t="n"/>
      <c r="AC10" s="184" t="n"/>
      <c r="AD10" s="60">
        <f>IF(M10="DG",3,IF(N10="RF",3,5))+IF(AND(LEFT(C10,3)="BKK",N10="RF",Q10="KTS"),1,0)+IF(Q10="KHS",1,0)</f>
        <v>3</v>
      </c>
      <c r="AE10" s="63">
        <f>(T10-V10)+1</f>
        <v>46304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320</v>
      </c>
      <c r="AJ10" s="188" t="n"/>
      <c r="AK10" s="62" t="str">
        <f>VLOOKUP(D10,'2.Bookinglist'!A:CT,40,FALSE)</f>
        <v>Sukunpoj Damrongying</v>
      </c>
      <c r="AL10" s="60" t="str">
        <f>VLOOKUP(D10,'2.Bookinglist'!A:CW,101,FALSE)</f>
        <v>2026-10-05</v>
      </c>
      <c r="AM10" s="60" t="str">
        <f>VLOOKUP(D10,'2.Bookinglist'!A:BK,63,FALSE)</f>
        <v>BKK27</v>
      </c>
      <c r="AN10" s="62" t="str">
        <f>VLOOKUP(D10,'2.Bookinglist'!A:AZ,52,FALSE)</f>
        <v>Pickup : 2026-10-05 Return : 2026-10-05 (Temp +22.0 / Vent Close)
EXTEND CLS TIME 05/10/2026 @23.59  </v>
      </c>
      <c r="AO10" s="62">
        <f>VLOOKUP(D10,'2.Bookinglist'!A:CY,103,FALSE)</f>
        <v>0</v>
      </c>
    </row>
    <row r="11" ht="12.95" customHeight="1">
      <c r="A11" s="96" t="inlineStr">
        <is>
          <t>FBIU5102847</t>
        </is>
      </c>
      <c r="B11" s="184" t="str">
        <f>IF(C11=Charge!$M$1,Charge!$J$1,IF(C11=Charge!$M$23,Charge!$J$23,IF(C11=Charge!$M$17,Charge!$J$17,IF(C11=Charge!$N$17,Charge!$J$17,Charge!$J$7))))</f>
        <v>G3</v>
      </c>
      <c r="C11" s="61" t="str">
        <f>VLOOKUP(A11,'1.Loading'!A:R,14,FALSE)</f>
        <v>BKK04</v>
      </c>
      <c r="D11" s="61" t="str">
        <f>VLOOKUP(A11,'1.Loading'!A:R,17,FALSE)</f>
        <v>HASLS22260802552</v>
      </c>
      <c r="E11" s="62" t="str">
        <f>VLOOKUP(D11,'2.Bookinglist'!A:CT,27,FALSE)</f>
        <v>LAND SEA SKY CO., LTD.</v>
      </c>
      <c r="F11" s="62" t="str">
        <f>VLOOKUP(D11,'2.Bookinglist'!A:CT,28,FALSE)</f>
        <v>SAHA FARMS  INTERNATIONAL CO LTD</v>
      </c>
      <c r="G11" s="60">
        <f>VLOOKUP(D11,'2.Bookinglist'!A:E,5,FALSE)</f>
        <v>0</v>
      </c>
      <c r="H11" s="61" t="str">
        <f>VLOOKUP(D11,'2.Bookinglist'!A:CT,15,FALSE)</f>
        <v>THBKK</v>
      </c>
      <c r="I11" s="61" t="str">
        <f>VLOOKUP(D11,'2.Bookinglist'!A:CT,19,FALSE)</f>
        <v>KRPTK</v>
      </c>
      <c r="J11" s="61">
        <f>VLOOKUP(D11,'2.Bookinglist'!A:CT,26,FALSE)</f>
        <v>0</v>
      </c>
      <c r="K11" s="61" t="str">
        <f>VLOOKUP(A11,'1.Loading'!A:R,5,FALSE)</f>
        <v>45RE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>RF</v>
      </c>
      <c r="O11" s="61" t="str">
        <f>VLOOKUP(A11,'1.Loading'!A:R,3,FALSE)</f>
        <v>SWSP</v>
      </c>
      <c r="P11" s="61" t="str">
        <f>VLOOKUP(A11,'1.Loading'!A:R,4,FALSE)</f>
        <v>2609N</v>
      </c>
      <c r="Q11" s="61" t="str">
        <f>VLOOKUP(D11,'2.Bookinglist'!A:CT,12,FALSE)</f>
        <v>BTS</v>
      </c>
      <c r="R11" s="60" t="str">
        <f>IF(LEFT(K11,2)="22","20'","40'")</f>
        <v>40'</v>
      </c>
      <c r="S11" s="185" t="n"/>
      <c r="T11" s="61" t="str">
        <f>VLOOKUP(A11,'1.Loading'!A:R,2,FALSE)</f>
        <v>2026-10-08</v>
      </c>
      <c r="U11" s="63">
        <f>T11-S11</f>
        <v>46303</v>
      </c>
      <c r="V11" s="186" t="n"/>
      <c r="W11" s="61" t="str">
        <f>VLOOKUP(A11,'3.GateMove'!A:D,4,FALSE)</f>
        <v>2026-10-01</v>
      </c>
      <c r="X11" s="63">
        <f>((T11-W11)+1)</f>
        <v>8</v>
      </c>
      <c r="Y11" s="64">
        <f>IF(AND(OR(C11="BKK01",C11="BKK04"),L11="CFS/CY"),0,IF(M11="DG",1,IF(LEFT(C11,3)="LCH",7,IF(C11="BKK02",5,3))))</f>
        <v>3</v>
      </c>
      <c r="Z11" s="63">
        <f>IF(IF(AND(AC11="TML",AB11&gt;0),((T11-W11)+1)-AB11,((T11-W11)+1)-Y11)&gt;0,IF(AND(AC11="TML",AB11&gt;0),((T11-W11)+1)-AB11,((T11-W11)+1)-Y11),0)</f>
        <v>5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1600</v>
      </c>
      <c r="AB11" s="184" t="n"/>
      <c r="AC11" s="184" t="n"/>
      <c r="AD11" s="60">
        <f>IF(M11="DG",3,IF(N11="RF",3,5))+IF(AND(LEFT(C11,3)="BKK",N11="RF",Q11="KTS"),1,0)+IF(Q11="KHS",1,0)</f>
        <v>3</v>
      </c>
      <c r="AE11" s="63">
        <f>(T11-V11)+1</f>
        <v>46304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1600</v>
      </c>
      <c r="AJ11" s="188" t="n"/>
      <c r="AK11" s="62" t="str">
        <f>VLOOKUP(D11,'2.Bookinglist'!A:CT,40,FALSE)</f>
        <v>Sukunpoj Damrongying</v>
      </c>
      <c r="AL11" s="60" t="str">
        <f>VLOOKUP(D11,'2.Bookinglist'!A:CW,101,FALSE)</f>
        <v>2026-10-05</v>
      </c>
      <c r="AM11" s="60" t="str">
        <f>VLOOKUP(D11,'2.Bookinglist'!A:BK,63,FALSE)</f>
        <v>LCH27</v>
      </c>
      <c r="AN11" s="62" t="str">
        <f>VLOOKUP(D11,'2.Bookinglist'!A:AZ,52,FALSE)</f>
        <v>Pickup : 2026-09-28, Return : 2026-09-30 RF45REx1 (Temp -18.0 / Vent Close) 
 CLS TIME 04/10/26 @05.00 (1ST DATE RTN 02/10/2026 W/O ELECTRIC)</v>
      </c>
      <c r="AO11" s="62">
        <f>VLOOKUP(D11,'2.Bookinglist'!A:CY,103,FALSE)</f>
        <v>0</v>
      </c>
    </row>
    <row r="12" ht="12.95" customHeight="1">
      <c r="A12" s="96" t="inlineStr">
        <is>
          <t>FCIU5648070</t>
        </is>
      </c>
      <c r="B12" s="184" t="str">
        <f>IF(C12=Charge!$M$1,Charge!$J$1,IF(C12=Charge!$M$23,Charge!$J$23,IF(C12=Charge!$M$17,Charge!$J$17,IF(C12=Charge!$N$17,Charge!$J$17,Charge!$J$7))))</f>
        <v>G3</v>
      </c>
      <c r="C12" s="61" t="str">
        <f>VLOOKUP(A12,'1.Loading'!A:R,14,FALSE)</f>
        <v>BKK04</v>
      </c>
      <c r="D12" s="61" t="str">
        <f>VLOOKUP(A12,'1.Loading'!A:R,17,FALSE)</f>
        <v>HASLS22260900196</v>
      </c>
      <c r="E12" s="62" t="str">
        <f>VLOOKUP(D12,'2.Bookinglist'!A:CT,27,FALSE)</f>
        <v>SANGUAN WONGSE STARCH CO., LTD.</v>
      </c>
      <c r="F12" s="62" t="str">
        <f>VLOOKUP(D12,'2.Bookinglist'!A:CT,28,FALSE)</f>
        <v>SANGUAN WONGSE STARCH CO., LTD.</v>
      </c>
      <c r="G12" s="60">
        <f>VLOOKUP(D12,'2.Bookinglist'!A:E,5,FALSE)</f>
        <v>0</v>
      </c>
      <c r="H12" s="61" t="str">
        <f>VLOOKUP(D12,'2.Bookinglist'!A:CT,15,FALSE)</f>
        <v>THBKK</v>
      </c>
      <c r="I12" s="61" t="str">
        <f>VLOOKUP(D12,'2.Bookinglist'!A:CT,19,FALSE)</f>
        <v>JPSEN</v>
      </c>
      <c r="J12" s="61" t="str">
        <f>VLOOKUP(D12,'2.Bookinglist'!A:CT,26,FALSE)</f>
        <v>KRPUS</v>
      </c>
      <c r="K12" s="61" t="str">
        <f>VLOOKUP(A12,'1.Loading'!A:R,5,FALSE)</f>
        <v>22GP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SWSP</v>
      </c>
      <c r="P12" s="61" t="str">
        <f>VLOOKUP(A12,'1.Loading'!A:R,4,FALSE)</f>
        <v>2609N</v>
      </c>
      <c r="Q12" s="61" t="str">
        <f>VLOOKUP(D12,'2.Bookinglist'!A:CT,12,FALSE)</f>
        <v>BTS</v>
      </c>
      <c r="R12" s="60" t="str">
        <f>IF(LEFT(K12,2)="22","20'","40'")</f>
        <v>20'</v>
      </c>
      <c r="S12" s="185" t="n"/>
      <c r="T12" s="61" t="str">
        <f>VLOOKUP(A12,'1.Loading'!A:R,2,FALSE)</f>
        <v>2026-10-08</v>
      </c>
      <c r="U12" s="63">
        <f>T12-S12</f>
        <v>46303</v>
      </c>
      <c r="V12" s="186" t="n"/>
      <c r="W12" s="61" t="str">
        <f>VLOOKUP(A12,'3.GateMove'!A:D,4,FALSE)</f>
        <v>2026-09-19</v>
      </c>
      <c r="X12" s="63">
        <f>((T12-W12)+1)</f>
        <v>20</v>
      </c>
      <c r="Y12" s="64">
        <f>IF(AND(OR(C12="BKK01",C12="BKK04"),L12="CFS/CY"),0,IF(M12="DG",1,IF(LEFT(C12,3)="LCH",7,IF(C12="BKK02",5,3))))</f>
        <v>3</v>
      </c>
      <c r="Z12" s="63">
        <f>IF(IF(AND(AC12="TML",AB12&gt;0),((T12-W12)+1)-AB12,((T12-W12)+1)-Y12)&gt;0,IF(AND(AC12="TML",AB12&gt;0),((T12-W12)+1)-AB12,((T12-W12)+1)-Y12),0)</f>
        <v>17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4215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46304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4215</v>
      </c>
      <c r="AJ12" s="188" t="n"/>
      <c r="AK12" s="62" t="str">
        <f>VLOOKUP(D12,'2.Bookinglist'!A:CT,40,FALSE)</f>
        <v>Uetake Takahiro</v>
      </c>
      <c r="AL12" s="60" t="str">
        <f>VLOOKUP(D12,'2.Bookinglist'!A:CW,101,FALSE)</f>
        <v>2026-10-05</v>
      </c>
      <c r="AM12" s="60" t="str">
        <f>VLOOKUP(D12,'2.Bookinglist'!A:BK,63,FALSE)</f>
        <v>BKK25</v>
      </c>
      <c r="AN12" s="62" t="str">
        <f>VLOOKUP(D12,'2.Bookinglist'!A:AZ,52,FALSE)</f>
        <v>Pickup : 2026-09-17, Return : 2026-09-19</v>
      </c>
      <c r="AO12" s="62" t="str">
        <f>VLOOKUP(D12,'2.Bookinglist'!A:CY,103,FALSE)</f>
        <v>ROLL OVER FROM PREVIOUS VSL SWMM 2609N BY ALLOCATION TEAM MS.TARN APPROVED COST IS UNDER HA DD.21/09</v>
      </c>
    </row>
    <row r="13" ht="12.95" customHeight="1">
      <c r="A13" s="96" t="inlineStr">
        <is>
          <t>FSCU5836461</t>
        </is>
      </c>
      <c r="B13" s="184" t="str">
        <f>IF(C13=Charge!$M$1,Charge!$J$1,IF(C13=Charge!$M$23,Charge!$J$23,IF(C13=Charge!$M$17,Charge!$J$17,IF(C13=Charge!$N$17,Charge!$J$17,Charge!$J$7))))</f>
        <v>G3</v>
      </c>
      <c r="C13" s="61" t="str">
        <f>VLOOKUP(A13,'1.Loading'!A:R,14,FALSE)</f>
        <v>BKK04</v>
      </c>
      <c r="D13" s="61" t="str">
        <f>VLOOKUP(A13,'1.Loading'!A:R,17,FALSE)</f>
        <v>HASLS22260901712</v>
      </c>
      <c r="E13" s="62" t="str">
        <f>VLOOKUP(D13,'2.Bookinglist'!A:CT,27,FALSE)</f>
        <v>KODAI (THAILAND) CO., LTD.</v>
      </c>
      <c r="F13" s="62" t="str">
        <f>VLOOKUP(D13,'2.Bookinglist'!A:CT,28,FALSE)</f>
        <v>CARGILL MEATS (THAILAND) LIMITED</v>
      </c>
      <c r="G13" s="60">
        <f>VLOOKUP(D13,'2.Bookinglist'!A:E,5,FALSE)</f>
        <v>0</v>
      </c>
      <c r="H13" s="61" t="str">
        <f>VLOOKUP(D13,'2.Bookinglist'!A:CT,15,FALSE)</f>
        <v>THBKK</v>
      </c>
      <c r="I13" s="61" t="str">
        <f>VLOOKUP(D13,'2.Bookinglist'!A:CT,19,FALSE)</f>
        <v>JPNAH</v>
      </c>
      <c r="J13" s="61" t="str">
        <f>VLOOKUP(D13,'2.Bookinglist'!A:CT,26,FALSE)</f>
        <v>KRPUS</v>
      </c>
      <c r="K13" s="61" t="str">
        <f>VLOOKUP(A13,'1.Loading'!A:R,5,FALSE)</f>
        <v>45RE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>RF</v>
      </c>
      <c r="O13" s="61" t="str">
        <f>VLOOKUP(A13,'1.Loading'!A:R,3,FALSE)</f>
        <v>SWSP</v>
      </c>
      <c r="P13" s="61" t="str">
        <f>VLOOKUP(A13,'1.Loading'!A:R,4,FALSE)</f>
        <v>2609N</v>
      </c>
      <c r="Q13" s="61" t="str">
        <f>VLOOKUP(D13,'2.Bookinglist'!A:CT,12,FALSE)</f>
        <v>BTS</v>
      </c>
      <c r="R13" s="60" t="str">
        <f>IF(LEFT(K13,2)="22","20'","40'")</f>
        <v>40'</v>
      </c>
      <c r="S13" s="185" t="n"/>
      <c r="T13" s="61" t="str">
        <f>VLOOKUP(A13,'1.Loading'!A:R,2,FALSE)</f>
        <v>2026-10-08</v>
      </c>
      <c r="U13" s="63">
        <f>T13-S13</f>
        <v>46303</v>
      </c>
      <c r="V13" s="186" t="n"/>
      <c r="W13" s="61" t="str">
        <f>VLOOKUP(A13,'3.GateMove'!A:D,4,FALSE)</f>
        <v>2026-10-02</v>
      </c>
      <c r="X13" s="63">
        <f>((T13-W13)+1)</f>
        <v>7</v>
      </c>
      <c r="Y13" s="64">
        <f>IF(AND(OR(C13="BKK01",C13="BKK04"),L13="CFS/CY"),0,IF(M13="DG",1,IF(LEFT(C13,3)="LCH",7,IF(C13="BKK02",5,3))))</f>
        <v>3</v>
      </c>
      <c r="Z13" s="63">
        <f>IF(IF(AND(AC13="TML",AB13&gt;0),((T13-W13)+1)-AB13,((T13-W13)+1)-Y13)&gt;0,IF(AND(AC13="TML",AB13&gt;0),((T13-W13)+1)-AB13,((T13-W13)+1)-Y13),0)</f>
        <v>4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1280</v>
      </c>
      <c r="AB13" s="184" t="n"/>
      <c r="AC13" s="184" t="n"/>
      <c r="AD13" s="60">
        <f>IF(M13="DG",3,IF(N13="RF",3,5))+IF(AND(LEFT(C13,3)="BKK",N13="RF",Q13="KTS"),1,0)+IF(Q13="KHS",1,0)</f>
        <v>3</v>
      </c>
      <c r="AE13" s="63">
        <f>(T13-V13)+1</f>
        <v>46304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1280</v>
      </c>
      <c r="AJ13" s="188" t="n"/>
      <c r="AK13" s="62" t="str">
        <f>VLOOKUP(D13,'2.Bookinglist'!A:CT,40,FALSE)</f>
        <v>Pattarapong Saengthong</v>
      </c>
      <c r="AL13" s="60" t="str">
        <f>VLOOKUP(D13,'2.Bookinglist'!A:CW,101,FALSE)</f>
        <v>2026-10-05</v>
      </c>
      <c r="AM13" s="60" t="str">
        <f>VLOOKUP(D13,'2.Bookinglist'!A:BK,63,FALSE)</f>
        <v>BKK27</v>
      </c>
      <c r="AN13" s="62" t="str">
        <f>VLOOKUP(D13,'2.Bookinglist'!A:AZ,52,FALSE)</f>
        <v>[FIX]Pickup : 2026-10-01, Return : 2026-10-01 (Temp -18.0 / Vent Close) 
CLS TIME DD.05/10/2026 @16.00 </v>
      </c>
      <c r="AO13" s="62">
        <f>VLOOKUP(D13,'2.Bookinglist'!A:CY,103,FALSE)</f>
        <v>0</v>
      </c>
    </row>
    <row r="14" ht="12.95" customHeight="1">
      <c r="A14" s="96" t="inlineStr">
        <is>
          <t>FSCU5837128</t>
        </is>
      </c>
      <c r="B14" s="184" t="str">
        <f>IF(C14=Charge!$M$1,Charge!$J$1,IF(C14=Charge!$M$23,Charge!$J$23,IF(C14=Charge!$M$17,Charge!$J$17,IF(C14=Charge!$N$17,Charge!$J$17,Charge!$J$7))))</f>
        <v>G3</v>
      </c>
      <c r="C14" s="61" t="str">
        <f>VLOOKUP(A14,'1.Loading'!A:R,14,FALSE)</f>
        <v>BKK04</v>
      </c>
      <c r="D14" s="61" t="str">
        <f>VLOOKUP(A14,'1.Loading'!A:R,17,FALSE)</f>
        <v>HASLS22260900909</v>
      </c>
      <c r="E14" s="62" t="str">
        <f>VLOOKUP(D14,'2.Bookinglist'!A:CT,27,FALSE)</f>
        <v>SIAM I-LOGISTICS LTD.</v>
      </c>
      <c r="F14" s="62" t="str">
        <f>VLOOKUP(D14,'2.Bookinglist'!A:CT,28,FALSE)</f>
        <v>GOLDEN PRIZE CANNING CO., LTD.</v>
      </c>
      <c r="G14" s="60">
        <f>VLOOKUP(D14,'2.Bookinglist'!A:E,5,FALSE)</f>
        <v>0</v>
      </c>
      <c r="H14" s="61" t="str">
        <f>VLOOKUP(D14,'2.Bookinglist'!A:CT,15,FALSE)</f>
        <v>THBKK</v>
      </c>
      <c r="I14" s="61" t="str">
        <f>VLOOKUP(D14,'2.Bookinglist'!A:CT,19,FALSE)</f>
        <v>VNSGN</v>
      </c>
      <c r="J14" s="61">
        <f>VLOOKUP(D14,'2.Bookinglist'!A:CT,26,FALSE)</f>
        <v>0</v>
      </c>
      <c r="K14" s="61" t="str">
        <f>VLOOKUP(A14,'1.Loading'!A:R,5,FALSE)</f>
        <v>45RE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>RF</v>
      </c>
      <c r="O14" s="61" t="str">
        <f>VLOOKUP(A14,'1.Loading'!A:R,3,FALSE)</f>
        <v>SWSP</v>
      </c>
      <c r="P14" s="61" t="str">
        <f>VLOOKUP(A14,'1.Loading'!A:R,4,FALSE)</f>
        <v>2609N</v>
      </c>
      <c r="Q14" s="61" t="str">
        <f>VLOOKUP(D14,'2.Bookinglist'!A:CT,12,FALSE)</f>
        <v>BTS</v>
      </c>
      <c r="R14" s="60" t="str">
        <f>IF(LEFT(K14,2)="22","20'","40'")</f>
        <v>40'</v>
      </c>
      <c r="S14" s="185" t="n"/>
      <c r="T14" s="61" t="str">
        <f>VLOOKUP(A14,'1.Loading'!A:R,2,FALSE)</f>
        <v>2026-10-08</v>
      </c>
      <c r="U14" s="63">
        <f>T14-S14</f>
        <v>46303</v>
      </c>
      <c r="V14" s="186" t="n"/>
      <c r="W14" s="61" t="str">
        <f>VLOOKUP(A14,'3.GateMove'!A:D,4,FALSE)</f>
        <v>2026-10-04</v>
      </c>
      <c r="X14" s="63">
        <f>((T14-W14)+1)</f>
        <v>5</v>
      </c>
      <c r="Y14" s="64">
        <f>IF(AND(OR(C14="BKK01",C14="BKK04"),L14="CFS/CY"),0,IF(M14="DG",1,IF(LEFT(C14,3)="LCH",7,IF(C14="BKK02",5,3))))</f>
        <v>3</v>
      </c>
      <c r="Z14" s="63">
        <f>IF(IF(AND(AC14="TML",AB14&gt;0),((T14-W14)+1)-AB14,((T14-W14)+1)-Y14)&gt;0,IF(AND(AC14="TML",AB14&gt;0),((T14-W14)+1)-AB14,((T14-W14)+1)-Y14),0)</f>
        <v>2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640</v>
      </c>
      <c r="AB14" s="184" t="n"/>
      <c r="AC14" s="184" t="n"/>
      <c r="AD14" s="60">
        <f>IF(M14="DG",3,IF(N14="RF",3,5))+IF(AND(LEFT(C14,3)="BKK",N14="RF",Q14="KTS"),1,0)+IF(Q14="KHS",1,0)</f>
        <v>3</v>
      </c>
      <c r="AE14" s="63">
        <f>(T14-V14)+1</f>
        <v>46304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640</v>
      </c>
      <c r="AJ14" s="188" t="n"/>
      <c r="AK14" s="62" t="str">
        <f>VLOOKUP(D14,'2.Bookinglist'!A:CT,40,FALSE)</f>
        <v>Nannaapust Sukporntaweewat</v>
      </c>
      <c r="AL14" s="60" t="str">
        <f>VLOOKUP(D14,'2.Bookinglist'!A:CW,101,FALSE)</f>
        <v>2026-10-06</v>
      </c>
      <c r="AM14" s="60" t="str">
        <f>VLOOKUP(D14,'2.Bookinglist'!A:BK,63,FALSE)</f>
        <v>BKK27</v>
      </c>
      <c r="AN14" s="62" t="str">
        <f>VLOOKUP(D14,'2.Bookinglist'!A:AZ,52,FALSE)</f>
        <v>Pickup : 01/10/2026, Return : 03-05/10/2026 (Temp -25.0 / Vent Close) 
CLOSING TIME 2026-10-05 @23.59 (1ST 03/10/2026 RETURN W/O RENT)</v>
      </c>
      <c r="AO14" s="62">
        <f>VLOOKUP(D14,'2.Bookinglist'!A:CY,103,FALSE)</f>
        <v>0</v>
      </c>
    </row>
    <row r="15" ht="12.95" customHeight="1">
      <c r="A15" s="96" t="inlineStr">
        <is>
          <t>FSCU5895525</t>
        </is>
      </c>
      <c r="B15" s="184" t="str">
        <f>IF(C15=Charge!$M$1,Charge!$J$1,IF(C15=Charge!$M$23,Charge!$J$23,IF(C15=Charge!$M$17,Charge!$J$17,IF(C15=Charge!$N$17,Charge!$J$17,Charge!$J$7))))</f>
        <v>G3</v>
      </c>
      <c r="C15" s="61" t="str">
        <f>VLOOKUP(A15,'1.Loading'!A:R,14,FALSE)</f>
        <v>BKK04</v>
      </c>
      <c r="D15" s="61" t="str">
        <f>VLOOKUP(A15,'1.Loading'!A:R,17,FALSE)</f>
        <v>HASLS22260802554</v>
      </c>
      <c r="E15" s="62" t="str">
        <f>VLOOKUP(D15,'2.Bookinglist'!A:CT,27,FALSE)</f>
        <v>LAND SEA SKY CO., LTD.</v>
      </c>
      <c r="F15" s="62" t="str">
        <f>VLOOKUP(D15,'2.Bookinglist'!A:CT,28,FALSE)</f>
        <v>SAHA FARMS  INTERNATIONAL CO LTD</v>
      </c>
      <c r="G15" s="60">
        <f>VLOOKUP(D15,'2.Bookinglist'!A:E,5,FALSE)</f>
        <v>0</v>
      </c>
      <c r="H15" s="61" t="str">
        <f>VLOOKUP(D15,'2.Bookinglist'!A:CT,15,FALSE)</f>
        <v>THBKK</v>
      </c>
      <c r="I15" s="61" t="str">
        <f>VLOOKUP(D15,'2.Bookinglist'!A:CT,19,FALSE)</f>
        <v>KRPTK</v>
      </c>
      <c r="J15" s="61">
        <f>VLOOKUP(D15,'2.Bookinglist'!A:CT,26,FALSE)</f>
        <v>0</v>
      </c>
      <c r="K15" s="61" t="str">
        <f>VLOOKUP(A15,'1.Loading'!A:R,5,FALSE)</f>
        <v>45RE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>RF</v>
      </c>
      <c r="O15" s="61" t="str">
        <f>VLOOKUP(A15,'1.Loading'!A:R,3,FALSE)</f>
        <v>SWSP</v>
      </c>
      <c r="P15" s="61" t="str">
        <f>VLOOKUP(A15,'1.Loading'!A:R,4,FALSE)</f>
        <v>2609N</v>
      </c>
      <c r="Q15" s="61" t="str">
        <f>VLOOKUP(D15,'2.Bookinglist'!A:CT,12,FALSE)</f>
        <v>BTS</v>
      </c>
      <c r="R15" s="60" t="str">
        <f>IF(LEFT(K15,2)="22","20'","40'")</f>
        <v>40'</v>
      </c>
      <c r="S15" s="185" t="n"/>
      <c r="T15" s="61" t="str">
        <f>VLOOKUP(A15,'1.Loading'!A:R,2,FALSE)</f>
        <v>2026-10-08</v>
      </c>
      <c r="U15" s="63">
        <f>T15-S15</f>
        <v>46303</v>
      </c>
      <c r="V15" s="186" t="n"/>
      <c r="W15" s="61" t="str">
        <f>VLOOKUP(A15,'3.GateMove'!A:D,4,FALSE)</f>
        <v>2026-10-01</v>
      </c>
      <c r="X15" s="63">
        <f>((T15-W15)+1)</f>
        <v>8</v>
      </c>
      <c r="Y15" s="64">
        <f>IF(AND(OR(C15="BKK01",C15="BKK04"),L15="CFS/CY"),0,IF(M15="DG",1,IF(LEFT(C15,3)="LCH",7,IF(C15="BKK02",5,3))))</f>
        <v>3</v>
      </c>
      <c r="Z15" s="63">
        <f>IF(IF(AND(AC15="TML",AB15&gt;0),((T15-W15)+1)-AB15,((T15-W15)+1)-Y15)&gt;0,IF(AND(AC15="TML",AB15&gt;0),((T15-W15)+1)-AB15,((T15-W15)+1)-Y15),0)</f>
        <v>5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1600</v>
      </c>
      <c r="AB15" s="184" t="n"/>
      <c r="AC15" s="184" t="n"/>
      <c r="AD15" s="60">
        <f>IF(M15="DG",3,IF(N15="RF",3,5))+IF(AND(LEFT(C15,3)="BKK",N15="RF",Q15="KTS"),1,0)+IF(Q15="KHS",1,0)</f>
        <v>3</v>
      </c>
      <c r="AE15" s="63">
        <f>(T15-V15)+1</f>
        <v>46304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1600</v>
      </c>
      <c r="AJ15" s="188" t="n"/>
      <c r="AK15" s="62" t="str">
        <f>VLOOKUP(D15,'2.Bookinglist'!A:CT,40,FALSE)</f>
        <v>Sukunpoj Damrongying</v>
      </c>
      <c r="AL15" s="60" t="str">
        <f>VLOOKUP(D15,'2.Bookinglist'!A:CW,101,FALSE)</f>
        <v>2026-10-04</v>
      </c>
      <c r="AM15" s="60" t="str">
        <f>VLOOKUP(D15,'2.Bookinglist'!A:BK,63,FALSE)</f>
        <v>BKK27</v>
      </c>
      <c r="AN15" s="62" t="str">
        <f>VLOOKUP(D15,'2.Bookinglist'!A:AZ,52,FALSE)</f>
        <v>Pickup : 2026-09-28, Return : 2026-09-30 RF45REx1 (Temp -18.0 / Vent Close) 
 CLS TIME 02/10 @20.00 [1ST RTN 01/09 W/O ELECTRIC] </v>
      </c>
      <c r="AO15" s="62">
        <f>VLOOKUP(D15,'2.Bookinglist'!A:CY,103,FALSE)</f>
        <v>0</v>
      </c>
    </row>
    <row r="16" ht="12.95" customHeight="1">
      <c r="A16" s="96" t="inlineStr">
        <is>
          <t>FSCU5896671</t>
        </is>
      </c>
      <c r="B16" s="184" t="str">
        <f>IF(C16=Charge!$M$1,Charge!$J$1,IF(C16=Charge!$M$23,Charge!$J$23,IF(C16=Charge!$M$17,Charge!$J$17,IF(C16=Charge!$N$17,Charge!$J$17,Charge!$J$7))))</f>
        <v>G3</v>
      </c>
      <c r="C16" s="61" t="str">
        <f>VLOOKUP(A16,'1.Loading'!A:R,14,FALSE)</f>
        <v>BKK04</v>
      </c>
      <c r="D16" s="61" t="str">
        <f>VLOOKUP(A16,'1.Loading'!A:R,17,FALSE)</f>
        <v>HASLS22260900909</v>
      </c>
      <c r="E16" s="62" t="str">
        <f>VLOOKUP(D16,'2.Bookinglist'!A:CT,27,FALSE)</f>
        <v>SIAM I-LOGISTICS LTD.</v>
      </c>
      <c r="F16" s="62" t="str">
        <f>VLOOKUP(D16,'2.Bookinglist'!A:CT,28,FALSE)</f>
        <v>GOLDEN PRIZE CANNING CO., LTD.</v>
      </c>
      <c r="G16" s="60">
        <f>VLOOKUP(D16,'2.Bookinglist'!A:E,5,FALSE)</f>
        <v>0</v>
      </c>
      <c r="H16" s="61" t="str">
        <f>VLOOKUP(D16,'2.Bookinglist'!A:CT,15,FALSE)</f>
        <v>THBKK</v>
      </c>
      <c r="I16" s="61" t="str">
        <f>VLOOKUP(D16,'2.Bookinglist'!A:CT,19,FALSE)</f>
        <v>VNSGN</v>
      </c>
      <c r="J16" s="61">
        <f>VLOOKUP(D16,'2.Bookinglist'!A:CT,26,FALSE)</f>
        <v>0</v>
      </c>
      <c r="K16" s="61" t="str">
        <f>VLOOKUP(A16,'1.Loading'!A:R,5,FALSE)</f>
        <v>45RE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>RF</v>
      </c>
      <c r="O16" s="61" t="str">
        <f>VLOOKUP(A16,'1.Loading'!A:R,3,FALSE)</f>
        <v>SWSP</v>
      </c>
      <c r="P16" s="61" t="str">
        <f>VLOOKUP(A16,'1.Loading'!A:R,4,FALSE)</f>
        <v>2609N</v>
      </c>
      <c r="Q16" s="61" t="str">
        <f>VLOOKUP(D16,'2.Bookinglist'!A:CT,12,FALSE)</f>
        <v>BTS</v>
      </c>
      <c r="R16" s="60" t="str">
        <f>IF(LEFT(K16,2)="22","20'","40'")</f>
        <v>40'</v>
      </c>
      <c r="S16" s="185" t="n"/>
      <c r="T16" s="61" t="str">
        <f>VLOOKUP(A16,'1.Loading'!A:R,2,FALSE)</f>
        <v>2026-10-08</v>
      </c>
      <c r="U16" s="63">
        <f>T16-S16</f>
        <v>46303</v>
      </c>
      <c r="V16" s="186" t="n"/>
      <c r="W16" s="61" t="str">
        <f>VLOOKUP(A16,'3.GateMove'!A:D,4,FALSE)</f>
        <v>2026-10-05</v>
      </c>
      <c r="X16" s="63">
        <f>((T16-W16)+1)</f>
        <v>4</v>
      </c>
      <c r="Y16" s="64">
        <f>IF(AND(OR(C16="BKK01",C16="BKK04"),L16="CFS/CY"),0,IF(M16="DG",1,IF(LEFT(C16,3)="LCH",7,IF(C16="BKK02",5,3))))</f>
        <v>3</v>
      </c>
      <c r="Z16" s="63">
        <f>IF(IF(AND(AC16="TML",AB16&gt;0),((T16-W16)+1)-AB16,((T16-W16)+1)-Y16)&gt;0,IF(AND(AC16="TML",AB16&gt;0),((T16-W16)+1)-AB16,((T16-W16)+1)-Y16),0)</f>
        <v>1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320</v>
      </c>
      <c r="AB16" s="184" t="n"/>
      <c r="AC16" s="184" t="n"/>
      <c r="AD16" s="60">
        <f>IF(M16="DG",3,IF(N16="RF",3,5))+IF(AND(LEFT(C16,3)="BKK",N16="RF",Q16="KTS"),1,0)+IF(Q16="KHS",1,0)</f>
        <v>3</v>
      </c>
      <c r="AE16" s="63">
        <f>(T16-V16)+1</f>
        <v>46304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320</v>
      </c>
      <c r="AJ16" s="188" t="n"/>
      <c r="AK16" s="62" t="str">
        <f>VLOOKUP(D16,'2.Bookinglist'!A:CT,40,FALSE)</f>
        <v>Nannaapust Sukporntaweewat</v>
      </c>
      <c r="AL16" s="60" t="str">
        <f>VLOOKUP(D16,'2.Bookinglist'!A:CW,101,FALSE)</f>
        <v>2026-10-06</v>
      </c>
      <c r="AM16" s="60" t="str">
        <f>VLOOKUP(D16,'2.Bookinglist'!A:BK,63,FALSE)</f>
        <v>BKK27</v>
      </c>
      <c r="AN16" s="62" t="str">
        <f>VLOOKUP(D16,'2.Bookinglist'!A:AZ,52,FALSE)</f>
        <v>Pickup : 01/10/2026, Return : 03-05/10/2026 (Temp -25.0 / Vent Close) 
CLOSING TIME 2026-10-05 @23.59 (1ST 03/10/2026 RETURN W/O RENT)</v>
      </c>
      <c r="AO16" s="62">
        <f>VLOOKUP(D16,'2.Bookinglist'!A:CY,103,FALSE)</f>
        <v>0</v>
      </c>
    </row>
    <row r="17" ht="12.95" customHeight="1">
      <c r="A17" s="96" t="inlineStr">
        <is>
          <t>GCXU2421974</t>
        </is>
      </c>
      <c r="B17" s="184" t="str">
        <f>IF(C17=Charge!$M$1,Charge!$J$1,IF(C17=Charge!$M$23,Charge!$J$23,IF(C17=Charge!$M$17,Charge!$J$17,IF(C17=Charge!$N$17,Charge!$J$17,Charge!$J$7))))</f>
        <v>G3</v>
      </c>
      <c r="C17" s="61" t="str">
        <f>VLOOKUP(A17,'1.Loading'!A:R,14,FALSE)</f>
        <v>BKK04</v>
      </c>
      <c r="D17" s="61" t="str">
        <f>VLOOKUP(A17,'1.Loading'!A:R,17,FALSE)</f>
        <v>HASLS22260801914</v>
      </c>
      <c r="E17" s="62" t="str">
        <f>VLOOKUP(D17,'2.Bookinglist'!A:CT,27,FALSE)</f>
        <v>DP WORLD LOGISTICS SOLUTIONS (THAILAND) COMPANY LIMITED</v>
      </c>
      <c r="F17" s="62" t="str">
        <f>VLOOKUP(D17,'2.Bookinglist'!A:CT,28,FALSE)</f>
        <v>DP WORLD LOGISTICS SOLUTIONS (THAILAND) COMPANY LIMITED</v>
      </c>
      <c r="G17" s="60">
        <f>VLOOKUP(D17,'2.Bookinglist'!A:E,5,FALSE)</f>
        <v>0</v>
      </c>
      <c r="H17" s="61" t="str">
        <f>VLOOKUP(D17,'2.Bookinglist'!A:CT,15,FALSE)</f>
        <v>THBKK</v>
      </c>
      <c r="I17" s="61" t="str">
        <f>VLOOKUP(D17,'2.Bookinglist'!A:CT,19,FALSE)</f>
        <v>KRPTK</v>
      </c>
      <c r="J17" s="61">
        <f>VLOOKUP(D17,'2.Bookinglist'!A:CT,26,FALSE)</f>
        <v>0</v>
      </c>
      <c r="K17" s="61" t="str">
        <f>VLOOKUP(A17,'1.Loading'!A:R,5,FALSE)</f>
        <v>22GP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SWSP</v>
      </c>
      <c r="P17" s="61" t="str">
        <f>VLOOKUP(A17,'1.Loading'!A:R,4,FALSE)</f>
        <v>2609N</v>
      </c>
      <c r="Q17" s="61" t="str">
        <f>VLOOKUP(D17,'2.Bookinglist'!A:CT,12,FALSE)</f>
        <v>BTS</v>
      </c>
      <c r="R17" s="60" t="str">
        <f>IF(LEFT(K17,2)="22","20'","40'")</f>
        <v>20'</v>
      </c>
      <c r="S17" s="185" t="n"/>
      <c r="T17" s="61" t="str">
        <f>VLOOKUP(A17,'1.Loading'!A:R,2,FALSE)</f>
        <v>2026-10-08</v>
      </c>
      <c r="U17" s="63">
        <f>T17-S17</f>
        <v>46303</v>
      </c>
      <c r="V17" s="186" t="n"/>
      <c r="W17" s="61" t="str">
        <f>VLOOKUP(A17,'3.GateMove'!A:D,4,FALSE)</f>
        <v>2026-09-19</v>
      </c>
      <c r="X17" s="63">
        <f>((T17-W17)+1)</f>
        <v>20</v>
      </c>
      <c r="Y17" s="64">
        <f>IF(AND(OR(C17="BKK01",C17="BKK04"),L17="CFS/CY"),0,IF(M17="DG",1,IF(LEFT(C17,3)="LCH",7,IF(C17="BKK02",5,3))))</f>
        <v>3</v>
      </c>
      <c r="Z17" s="63">
        <f>IF(IF(AND(AC17="TML",AB17&gt;0),((T17-W17)+1)-AB17,((T17-W17)+1)-Y17)&gt;0,IF(AND(AC17="TML",AB17&gt;0),((T17-W17)+1)-AB17,((T17-W17)+1)-Y17),0)</f>
        <v>17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4215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46304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4215</v>
      </c>
      <c r="AJ17" s="188" t="n"/>
      <c r="AK17" s="62" t="str">
        <f>VLOOKUP(D17,'2.Bookinglist'!A:CT,40,FALSE)</f>
        <v>Nannaapust Sukporntaweewat</v>
      </c>
      <c r="AL17" s="60" t="str">
        <f>VLOOKUP(D17,'2.Bookinglist'!A:CW,101,FALSE)</f>
        <v>2026-10-05</v>
      </c>
      <c r="AM17" s="60" t="str">
        <f>VLOOKUP(D17,'2.Bookinglist'!A:BK,63,FALSE)</f>
        <v>BKK27</v>
      </c>
      <c r="AN17" s="62" t="str">
        <f>VLOOKUP(D17,'2.Bookinglist'!A:AZ,52,FALSE)</f>
        <v>** APPROVED BY H.W KANG DD.28/09/2026 ** *FLEXIBAG ONDECK*
Servey : 17/09/2026, Pickup : 18/09/2026, Return : 21/09/2026 *EXTEND CLS TIME : 22/09/2026 @06.00* </v>
      </c>
      <c r="AO17" s="62" t="str">
        <f>VLOOKUP(D17,'2.Bookinglist'!A:CY,103,FALSE)</f>
        <v>ROLL OVER FROM PREVIOUS VSL SWMM 2609N BY ALLOCATION TEAM MS.TARN APRPOVED COST IS UNDER HA DD.21/09</v>
      </c>
    </row>
    <row r="18" ht="12.95" customHeight="1">
      <c r="A18" s="96" t="inlineStr">
        <is>
          <t>GCXU5060849</t>
        </is>
      </c>
      <c r="B18" s="184" t="str">
        <f>IF(C18=Charge!$M$1,Charge!$J$1,IF(C18=Charge!$M$23,Charge!$J$23,IF(C18=Charge!$M$17,Charge!$J$17,IF(C18=Charge!$N$17,Charge!$J$17,Charge!$J$7))))</f>
        <v>G3</v>
      </c>
      <c r="C18" s="61" t="str">
        <f>VLOOKUP(A18,'1.Loading'!A:R,14,FALSE)</f>
        <v>BKK04</v>
      </c>
      <c r="D18" s="61" t="str">
        <f>VLOOKUP(A18,'1.Loading'!A:R,17,FALSE)</f>
        <v>HASLS22260902260</v>
      </c>
      <c r="E18" s="62" t="str">
        <f>VLOOKUP(D18,'2.Bookinglist'!A:CT,27,FALSE)</f>
        <v>CAPRICORN LOGISTICS CO., LTD.</v>
      </c>
      <c r="F18" s="62" t="str">
        <f>VLOOKUP(D18,'2.Bookinglist'!A:CT,28,FALSE)</f>
        <v>MITSUBISHI HEAVY INDUSTRIES - MAHAJAK AIR CONDITIONERS CO., </v>
      </c>
      <c r="G18" s="60">
        <f>VLOOKUP(D18,'2.Bookinglist'!A:E,5,FALSE)</f>
        <v>0</v>
      </c>
      <c r="H18" s="61" t="str">
        <f>VLOOKUP(D18,'2.Bookinglist'!A:CT,15,FALSE)</f>
        <v>THBKK</v>
      </c>
      <c r="I18" s="61" t="str">
        <f>VLOOKUP(D18,'2.Bookinglist'!A:CT,19,FALSE)</f>
        <v>VNSGN</v>
      </c>
      <c r="J18" s="61">
        <f>VLOOKUP(D18,'2.Bookinglist'!A:CT,26,FALSE)</f>
        <v>0</v>
      </c>
      <c r="K18" s="61" t="str">
        <f>VLOOKUP(A18,'1.Loading'!A:R,5,FALSE)</f>
        <v>45GP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SWSP</v>
      </c>
      <c r="P18" s="61" t="str">
        <f>VLOOKUP(A18,'1.Loading'!A:R,4,FALSE)</f>
        <v>2609N</v>
      </c>
      <c r="Q18" s="61" t="str">
        <f>VLOOKUP(D18,'2.Bookinglist'!A:CT,12,FALSE)</f>
        <v>BTS</v>
      </c>
      <c r="R18" s="60" t="str">
        <f>IF(LEFT(K18,2)="22","20'","40'")</f>
        <v>40'</v>
      </c>
      <c r="S18" s="185" t="n"/>
      <c r="T18" s="61" t="str">
        <f>VLOOKUP(A18,'1.Loading'!A:R,2,FALSE)</f>
        <v>2026-10-08</v>
      </c>
      <c r="U18" s="63">
        <f>T18-S18</f>
        <v>46303</v>
      </c>
      <c r="V18" s="186" t="n"/>
      <c r="W18" s="61" t="str">
        <f>VLOOKUP(A18,'3.GateMove'!A:D,4,FALSE)</f>
        <v>2026-10-02</v>
      </c>
      <c r="X18" s="63">
        <f>((T18-W18)+1)</f>
        <v>7</v>
      </c>
      <c r="Y18" s="64">
        <f>IF(AND(OR(C18="BKK01",C18="BKK04"),L18="CFS/CY"),0,IF(M18="DG",1,IF(LEFT(C18,3)="LCH",7,IF(C18="BKK02",5,3))))</f>
        <v>3</v>
      </c>
      <c r="Z18" s="63">
        <f>IF(IF(AND(AC18="TML",AB18&gt;0),((T18-W18)+1)-AB18,((T18-W18)+1)-Y18)&gt;0,IF(AND(AC18="TML",AB18&gt;0),((T18-W18)+1)-AB18,((T18-W18)+1)-Y18),0)</f>
        <v>4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1280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46304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1280</v>
      </c>
      <c r="AJ18" s="188" t="n"/>
      <c r="AK18" s="62" t="str">
        <f>VLOOKUP(D18,'2.Bookinglist'!A:CT,40,FALSE)</f>
        <v>Sukunpoj Damrongying</v>
      </c>
      <c r="AL18" s="60" t="str">
        <f>VLOOKUP(D18,'2.Bookinglist'!A:CW,101,FALSE)</f>
        <v>2026-10-07</v>
      </c>
      <c r="AM18" s="60" t="str">
        <f>VLOOKUP(D18,'2.Bookinglist'!A:BK,63,FALSE)</f>
        <v>BKK27</v>
      </c>
      <c r="AN18" s="62" t="str">
        <f>VLOOKUP(D18,'2.Bookinglist'!A:AZ,52,FALSE)</f>
        <v>Pickup : 2026-09-29, Return : 2026-10-01 </v>
      </c>
      <c r="AO18" s="62">
        <f>VLOOKUP(D18,'2.Bookinglist'!A:CY,103,FALSE)</f>
        <v>0</v>
      </c>
    </row>
    <row r="19" ht="12.95" customHeight="1">
      <c r="A19" s="96" t="inlineStr">
        <is>
          <t>GCXU6006821</t>
        </is>
      </c>
      <c r="B19" s="184" t="str">
        <f>IF(C19=Charge!$M$1,Charge!$J$1,IF(C19=Charge!$M$23,Charge!$J$23,IF(C19=Charge!$M$17,Charge!$J$17,IF(C19=Charge!$N$17,Charge!$J$17,Charge!$J$7))))</f>
        <v>G3</v>
      </c>
      <c r="C19" s="61" t="str">
        <f>VLOOKUP(A19,'1.Loading'!A:R,14,FALSE)</f>
        <v>BKK04</v>
      </c>
      <c r="D19" s="61" t="str">
        <f>VLOOKUP(A19,'1.Loading'!A:R,17,FALSE)</f>
        <v>HASLS22260901688</v>
      </c>
      <c r="E19" s="62" t="str">
        <f>VLOOKUP(D19,'2.Bookinglist'!A:CT,27,FALSE)</f>
        <v>METRO PARTICLE CO., LTD.</v>
      </c>
      <c r="F19" s="62" t="str">
        <f>VLOOKUP(D19,'2.Bookinglist'!A:CT,28,FALSE)</f>
        <v>METRO PARTICLE CO., LTD.</v>
      </c>
      <c r="G19" s="60">
        <f>VLOOKUP(D19,'2.Bookinglist'!A:E,5,FALSE)</f>
        <v>0</v>
      </c>
      <c r="H19" s="61" t="str">
        <f>VLOOKUP(D19,'2.Bookinglist'!A:CT,15,FALSE)</f>
        <v>THBKK</v>
      </c>
      <c r="I19" s="61" t="str">
        <f>VLOOKUP(D19,'2.Bookinglist'!A:CT,19,FALSE)</f>
        <v>VNSGN</v>
      </c>
      <c r="J19" s="61">
        <f>VLOOKUP(D19,'2.Bookinglist'!A:CT,26,FALSE)</f>
        <v>0</v>
      </c>
      <c r="K19" s="61" t="str">
        <f>VLOOKUP(A19,'1.Loading'!A:R,5,FALSE)</f>
        <v>45GP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SWSP</v>
      </c>
      <c r="P19" s="61" t="str">
        <f>VLOOKUP(A19,'1.Loading'!A:R,4,FALSE)</f>
        <v>2609N</v>
      </c>
      <c r="Q19" s="61" t="str">
        <f>VLOOKUP(D19,'2.Bookinglist'!A:CT,12,FALSE)</f>
        <v>BTS</v>
      </c>
      <c r="R19" s="60" t="str">
        <f>IF(LEFT(K19,2)="22","20'","40'")</f>
        <v>40'</v>
      </c>
      <c r="S19" s="185" t="n"/>
      <c r="T19" s="61" t="str">
        <f>VLOOKUP(A19,'1.Loading'!A:R,2,FALSE)</f>
        <v>2026-10-08</v>
      </c>
      <c r="U19" s="63">
        <f>T19-S19</f>
        <v>46303</v>
      </c>
      <c r="V19" s="186" t="n"/>
      <c r="W19" s="61" t="str">
        <f>VLOOKUP(A19,'3.GateMove'!A:D,4,FALSE)</f>
        <v>2026-09-29</v>
      </c>
      <c r="X19" s="63">
        <f>((T19-W19)+1)</f>
        <v>10</v>
      </c>
      <c r="Y19" s="64">
        <f>IF(AND(OR(C19="BKK01",C19="BKK04"),L19="CFS/CY"),0,IF(M19="DG",1,IF(LEFT(C19,3)="LCH",7,IF(C19="BKK02",5,3))))</f>
        <v>3</v>
      </c>
      <c r="Z19" s="63">
        <f>IF(IF(AND(AC19="TML",AB19&gt;0),((T19-W19)+1)-AB19,((T19-W19)+1)-Y19)&gt;0,IF(AND(AC19="TML",AB19&gt;0),((T19-W19)+1)-AB19,((T19-W19)+1)-Y19),0)</f>
        <v>7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2240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46304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2240</v>
      </c>
      <c r="AJ19" s="188" t="n"/>
      <c r="AK19" s="62" t="str">
        <f>VLOOKUP(D19,'2.Bookinglist'!A:CT,40,FALSE)</f>
        <v>Nustsireerach</v>
      </c>
      <c r="AL19" s="60" t="str">
        <f>VLOOKUP(D19,'2.Bookinglist'!A:CW,101,FALSE)</f>
        <v>2026-10-07</v>
      </c>
      <c r="AM19" s="60" t="str">
        <f>VLOOKUP(D19,'2.Bookinglist'!A:BK,63,FALSE)</f>
        <v>BKK27</v>
      </c>
      <c r="AN19" s="62" t="str">
        <f>VLOOKUP(D19,'2.Bookinglist'!A:AZ,52,FALSE)</f>
        <v>CY-RTN DD.28/09 - 29/09 
</v>
      </c>
      <c r="AO19" s="62" t="str">
        <f>VLOOKUP(D19,'2.Bookinglist'!A:CY,103,FALSE)</f>
        <v>ROLL OVER FROM PREVIOUS VSL KMBK 2611N BY ALLOCATION TEAM MS.TARN APPROVED COST IS UNDER HAL DD.01/10</v>
      </c>
    </row>
    <row r="20" ht="12.95" customHeight="1">
      <c r="A20" s="96" t="inlineStr">
        <is>
          <t>GCXU6008090</t>
        </is>
      </c>
      <c r="B20" s="184" t="str">
        <f>IF(C20=Charge!$M$1,Charge!$J$1,IF(C20=Charge!$M$23,Charge!$J$23,IF(C20=Charge!$M$17,Charge!$J$17,IF(C20=Charge!$N$17,Charge!$J$17,Charge!$J$7))))</f>
        <v>G3</v>
      </c>
      <c r="C20" s="61" t="str">
        <f>VLOOKUP(A20,'1.Loading'!A:R,14,FALSE)</f>
        <v>BKK04</v>
      </c>
      <c r="D20" s="61" t="str">
        <f>VLOOKUP(A20,'1.Loading'!A:R,17,FALSE)</f>
        <v>HASLS22260900586</v>
      </c>
      <c r="E20" s="62" t="str">
        <f>VLOOKUP(D20,'2.Bookinglist'!A:CT,27,FALSE)</f>
        <v>BIRLA CARBON (THAILAND) PUBLIC COMPANY LIMITED</v>
      </c>
      <c r="F20" s="62" t="str">
        <f>VLOOKUP(D20,'2.Bookinglist'!A:CT,28,FALSE)</f>
        <v>BIRLA CARBON (THAILAND) PUBLIC COMPANY LIMITED</v>
      </c>
      <c r="G20" s="60">
        <f>VLOOKUP(D20,'2.Bookinglist'!A:E,5,FALSE)</f>
        <v>0</v>
      </c>
      <c r="H20" s="61" t="str">
        <f>VLOOKUP(D20,'2.Bookinglist'!A:CT,15,FALSE)</f>
        <v>THBKK</v>
      </c>
      <c r="I20" s="61" t="str">
        <f>VLOOKUP(D20,'2.Bookinglist'!A:CT,19,FALSE)</f>
        <v>VNSGN</v>
      </c>
      <c r="J20" s="61">
        <f>VLOOKUP(D20,'2.Bookinglist'!A:CT,26,FALSE)</f>
        <v>0</v>
      </c>
      <c r="K20" s="61" t="str">
        <f>VLOOKUP(A20,'1.Loading'!A:R,5,FALSE)</f>
        <v>45GP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SWSP</v>
      </c>
      <c r="P20" s="61" t="str">
        <f>VLOOKUP(A20,'1.Loading'!A:R,4,FALSE)</f>
        <v>2609N</v>
      </c>
      <c r="Q20" s="61" t="str">
        <f>VLOOKUP(D20,'2.Bookinglist'!A:CT,12,FALSE)</f>
        <v>BTS</v>
      </c>
      <c r="R20" s="60" t="str">
        <f>IF(LEFT(K20,2)="22","20'","40'")</f>
        <v>40'</v>
      </c>
      <c r="S20" s="185" t="n"/>
      <c r="T20" s="61" t="str">
        <f>VLOOKUP(A20,'1.Loading'!A:R,2,FALSE)</f>
        <v>2026-10-08</v>
      </c>
      <c r="U20" s="63">
        <f>T20-S20</f>
        <v>46303</v>
      </c>
      <c r="V20" s="186" t="n"/>
      <c r="W20" s="61" t="str">
        <f>VLOOKUP(A20,'3.GateMove'!A:D,4,FALSE)</f>
        <v>2026-10-04</v>
      </c>
      <c r="X20" s="63">
        <f>((T20-W20)+1)</f>
        <v>5</v>
      </c>
      <c r="Y20" s="64">
        <f>IF(AND(OR(C20="BKK01",C20="BKK04"),L20="CFS/CY"),0,IF(M20="DG",1,IF(LEFT(C20,3)="LCH",7,IF(C20="BKK02",5,3))))</f>
        <v>3</v>
      </c>
      <c r="Z20" s="63">
        <f>IF(IF(AND(AC20="TML",AB20&gt;0),((T20-W20)+1)-AB20,((T20-W20)+1)-Y20)&gt;0,IF(AND(AC20="TML",AB20&gt;0),((T20-W20)+1)-AB20,((T20-W20)+1)-Y20),0)</f>
        <v>2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640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46304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640</v>
      </c>
      <c r="AJ20" s="188" t="n"/>
      <c r="AK20" s="62" t="str">
        <f>VLOOKUP(D20,'2.Bookinglist'!A:CT,40,FALSE)</f>
        <v>Dharaporn</v>
      </c>
      <c r="AL20" s="60" t="str">
        <f>VLOOKUP(D20,'2.Bookinglist'!A:CW,101,FALSE)</f>
        <v>2026-10-07</v>
      </c>
      <c r="AM20" s="60" t="str">
        <f>VLOOKUP(D20,'2.Bookinglist'!A:BK,63,FALSE)</f>
        <v>BKK27</v>
      </c>
      <c r="AN20" s="62" t="str">
        <f>VLOOKUP(D20,'2.Bookinglist'!A:AZ,52,FALSE)</f>
        <v>Pickup : 2026-10-01, Return : 2026-10-02 (1ST RTN DD: 03/10/26 WO/RENT)</v>
      </c>
      <c r="AO20" s="62">
        <f>VLOOKUP(D20,'2.Bookinglist'!A:CY,103,FALSE)</f>
        <v>0</v>
      </c>
    </row>
    <row r="21" ht="12.95" customHeight="1">
      <c r="A21" s="96" t="inlineStr">
        <is>
          <t>GCXU6279430</t>
        </is>
      </c>
      <c r="B21" s="184" t="str">
        <f>IF(C21=Charge!$M$1,Charge!$J$1,IF(C21=Charge!$M$23,Charge!$J$23,IF(C21=Charge!$M$17,Charge!$J$17,IF(C21=Charge!$N$17,Charge!$J$17,Charge!$J$7))))</f>
        <v>G3</v>
      </c>
      <c r="C21" s="61" t="str">
        <f>VLOOKUP(A21,'1.Loading'!A:R,14,FALSE)</f>
        <v>BKK04</v>
      </c>
      <c r="D21" s="61" t="str">
        <f>VLOOKUP(A21,'1.Loading'!A:R,17,FALSE)</f>
        <v>HASLS22260901036</v>
      </c>
      <c r="E21" s="62" t="str">
        <f>VLOOKUP(D21,'2.Bookinglist'!A:CT,27,FALSE)</f>
        <v>PISIA INTERFREIGHT CO.,LTD.</v>
      </c>
      <c r="F21" s="62" t="str">
        <f>VLOOKUP(D21,'2.Bookinglist'!A:CT,28,FALSE)</f>
        <v>KANGWAL POLYESTER CO., LTD.</v>
      </c>
      <c r="G21" s="60">
        <f>VLOOKUP(D21,'2.Bookinglist'!A:E,5,FALSE)</f>
        <v>0</v>
      </c>
      <c r="H21" s="61" t="str">
        <f>VLOOKUP(D21,'2.Bookinglist'!A:CT,15,FALSE)</f>
        <v>THBKK</v>
      </c>
      <c r="I21" s="61" t="str">
        <f>VLOOKUP(D21,'2.Bookinglist'!A:CT,19,FALSE)</f>
        <v>VNSGN</v>
      </c>
      <c r="J21" s="61">
        <f>VLOOKUP(D21,'2.Bookinglist'!A:CT,26,FALSE)</f>
        <v>0</v>
      </c>
      <c r="K21" s="61" t="str">
        <f>VLOOKUP(A21,'1.Loading'!A:R,5,FALSE)</f>
        <v>45GP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/>
      </c>
      <c r="O21" s="61" t="str">
        <f>VLOOKUP(A21,'1.Loading'!A:R,3,FALSE)</f>
        <v>SWSP</v>
      </c>
      <c r="P21" s="61" t="str">
        <f>VLOOKUP(A21,'1.Loading'!A:R,4,FALSE)</f>
        <v>2609N</v>
      </c>
      <c r="Q21" s="61" t="str">
        <f>VLOOKUP(D21,'2.Bookinglist'!A:CT,12,FALSE)</f>
        <v>BTS</v>
      </c>
      <c r="R21" s="60" t="str">
        <f>IF(LEFT(K21,2)="22","20'","40'")</f>
        <v>40'</v>
      </c>
      <c r="S21" s="185" t="n"/>
      <c r="T21" s="61" t="str">
        <f>VLOOKUP(A21,'1.Loading'!A:R,2,FALSE)</f>
        <v>2026-10-08</v>
      </c>
      <c r="U21" s="63">
        <f>T21-S21</f>
        <v>46303</v>
      </c>
      <c r="V21" s="186" t="n"/>
      <c r="W21" s="61" t="str">
        <f>VLOOKUP(A21,'3.GateMove'!A:D,4,FALSE)</f>
        <v>2026-10-02</v>
      </c>
      <c r="X21" s="63">
        <f>((T21-W21)+1)</f>
        <v>7</v>
      </c>
      <c r="Y21" s="64">
        <f>IF(AND(OR(C21="BKK01",C21="BKK04"),L21="CFS/CY"),0,IF(M21="DG",1,IF(LEFT(C21,3)="LCH",7,IF(C21="BKK02",5,3))))</f>
        <v>3</v>
      </c>
      <c r="Z21" s="63">
        <f>IF(IF(AND(AC21="TML",AB21&gt;0),((T21-W21)+1)-AB21,((T21-W21)+1)-Y21)&gt;0,IF(AND(AC21="TML",AB21&gt;0),((T21-W21)+1)-AB21,((T21-W21)+1)-Y21),0)</f>
        <v>4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1280</v>
      </c>
      <c r="AB21" s="184" t="n"/>
      <c r="AC21" s="184" t="n"/>
      <c r="AD21" s="60">
        <f>IF(M21="DG",3,IF(N21="RF",3,5))+IF(AND(LEFT(C21,3)="BKK",N21="RF",Q21="KTS"),1,0)+IF(Q21="KHS",1,0)</f>
        <v>5</v>
      </c>
      <c r="AE21" s="63">
        <f>(T21-V21)+1</f>
        <v>46304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1280</v>
      </c>
      <c r="AJ21" s="188" t="n"/>
      <c r="AK21" s="62" t="str">
        <f>VLOOKUP(D21,'2.Bookinglist'!A:CT,40,FALSE)</f>
        <v>Nannaapust Sukporntaweewat</v>
      </c>
      <c r="AL21" s="60" t="str">
        <f>VLOOKUP(D21,'2.Bookinglist'!A:CW,101,FALSE)</f>
        <v>2026-10-05</v>
      </c>
      <c r="AM21" s="60" t="str">
        <f>VLOOKUP(D21,'2.Bookinglist'!A:BK,63,FALSE)</f>
        <v>BKK25</v>
      </c>
      <c r="AN21" s="62" t="str">
        <f>VLOOKUP(D21,'2.Bookinglist'!A:AZ,52,FALSE)</f>
        <v>Pickup : 2026-10-01, Return : 2026-10-02 
7X40'HQ CY AT B.C. DD. 01/10 
1X40'HQ CY AT SMART DD. 01/10 </v>
      </c>
      <c r="AO21" s="62">
        <f>VLOOKUP(D21,'2.Bookinglist'!A:CY,103,FALSE)</f>
        <v>0</v>
      </c>
    </row>
    <row r="22" ht="12.95" customHeight="1">
      <c r="A22" s="96" t="inlineStr">
        <is>
          <t>HALU2021169</t>
        </is>
      </c>
      <c r="B22" s="184" t="str">
        <f>IF(C22=Charge!$M$1,Charge!$J$1,IF(C22=Charge!$M$23,Charge!$J$23,IF(C22=Charge!$M$17,Charge!$J$17,IF(C22=Charge!$N$17,Charge!$J$17,Charge!$J$7))))</f>
        <v>G3</v>
      </c>
      <c r="C22" s="61" t="str">
        <f>VLOOKUP(A22,'1.Loading'!A:R,14,FALSE)</f>
        <v>BKK04</v>
      </c>
      <c r="D22" s="61" t="str">
        <f>VLOOKUP(A22,'1.Loading'!A:R,17,FALSE)</f>
        <v>HASLS22260800838</v>
      </c>
      <c r="E22" s="62" t="str">
        <f>VLOOKUP(D22,'2.Bookinglist'!A:CT,27,FALSE)</f>
        <v>SCGJWD LOGISTICS PUBLIC COMPANY LIMITED</v>
      </c>
      <c r="F22" s="62" t="str">
        <f>VLOOKUP(D22,'2.Bookinglist'!A:CT,28,FALSE)</f>
        <v>SCG INTERNATIONAL CORPORATION CO., LTD.</v>
      </c>
      <c r="G22" s="60">
        <f>VLOOKUP(D22,'2.Bookinglist'!A:E,5,FALSE)</f>
        <v>0</v>
      </c>
      <c r="H22" s="61" t="str">
        <f>VLOOKUP(D22,'2.Bookinglist'!A:CT,15,FALSE)</f>
        <v>THBKK</v>
      </c>
      <c r="I22" s="61" t="str">
        <f>VLOOKUP(D22,'2.Bookinglist'!A:CT,19,FALSE)</f>
        <v>VNSGN</v>
      </c>
      <c r="J22" s="61">
        <f>VLOOKUP(D22,'2.Bookinglist'!A:CT,26,FALSE)</f>
        <v>0</v>
      </c>
      <c r="K22" s="61" t="str">
        <f>VLOOKUP(A22,'1.Loading'!A:R,5,FALSE)</f>
        <v>22GP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/>
      </c>
      <c r="O22" s="61" t="str">
        <f>VLOOKUP(A22,'1.Loading'!A:R,3,FALSE)</f>
        <v>SWSP</v>
      </c>
      <c r="P22" s="61" t="str">
        <f>VLOOKUP(A22,'1.Loading'!A:R,4,FALSE)</f>
        <v>2609N</v>
      </c>
      <c r="Q22" s="61" t="str">
        <f>VLOOKUP(D22,'2.Bookinglist'!A:CT,12,FALSE)</f>
        <v>BTS</v>
      </c>
      <c r="R22" s="60" t="str">
        <f>IF(LEFT(K22,2)="22","20'","40'")</f>
        <v>20'</v>
      </c>
      <c r="S22" s="185" t="n"/>
      <c r="T22" s="61" t="str">
        <f>VLOOKUP(A22,'1.Loading'!A:R,2,FALSE)</f>
        <v>2026-10-08</v>
      </c>
      <c r="U22" s="63">
        <f>T22-S22</f>
        <v>46303</v>
      </c>
      <c r="V22" s="186" t="n"/>
      <c r="W22" s="61" t="str">
        <f>VLOOKUP(A22,'3.GateMove'!A:D,4,FALSE)</f>
        <v>2026-09-29</v>
      </c>
      <c r="X22" s="63">
        <f>((T22-W22)+1)</f>
        <v>10</v>
      </c>
      <c r="Y22" s="64">
        <f>IF(AND(OR(C22="BKK01",C22="BKK04"),L22="CFS/CY"),0,IF(M22="DG",1,IF(LEFT(C22,3)="LCH",7,IF(C22="BKK02",5,3))))</f>
        <v>3</v>
      </c>
      <c r="Z22" s="63">
        <f>IF(IF(AND(AC22="TML",AB22&gt;0),((T22-W22)+1)-AB22,((T22-W22)+1)-Y22)&gt;0,IF(AND(AC22="TML",AB22&gt;0),((T22-W22)+1)-AB22,((T22-W22)+1)-Y22),0)</f>
        <v>7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1120</v>
      </c>
      <c r="AB22" s="184" t="n"/>
      <c r="AC22" s="184" t="n"/>
      <c r="AD22" s="60">
        <f>IF(M22="DG",3,IF(N22="RF",3,5))+IF(AND(LEFT(C22,3)="BKK",N22="RF",Q22="KTS"),1,0)+IF(Q22="KHS",1,0)</f>
        <v>5</v>
      </c>
      <c r="AE22" s="63">
        <f>(T22-V22)+1</f>
        <v>46304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1120</v>
      </c>
      <c r="AJ22" s="188" t="n"/>
      <c r="AK22" s="62" t="str">
        <f>VLOOKUP(D22,'2.Bookinglist'!A:CT,40,FALSE)</f>
        <v>Kanokporn</v>
      </c>
      <c r="AL22" s="60" t="str">
        <f>VLOOKUP(D22,'2.Bookinglist'!A:CW,101,FALSE)</f>
        <v>2026-10-07</v>
      </c>
      <c r="AM22" s="60" t="str">
        <f>VLOOKUP(D22,'2.Bookinglist'!A:BK,63,FALSE)</f>
        <v>BKK27</v>
      </c>
      <c r="AN22" s="62" t="str">
        <f>VLOOKUP(D22,'2.Bookinglist'!A:AZ,52,FALSE)</f>
        <v>CY-RTN : 28-28/09/2026 (1ST RETURN 28/09/26)
(JB2606177029) </v>
      </c>
      <c r="AO22" s="62" t="str">
        <f>VLOOKUP(D22,'2.Bookinglist'!A:CY,103,FALSE)</f>
        <v>ROLL OVER FROM PREVIOUS VSL KMBK 2611N BY ALLOCATION TEAM MS.TARN APPROVED COST IS UNDER HAL DD.01/10</v>
      </c>
    </row>
    <row r="23" ht="12.95" customHeight="1">
      <c r="A23" s="96" t="inlineStr">
        <is>
          <t>HALU2031784</t>
        </is>
      </c>
      <c r="B23" s="184" t="str">
        <f>IF(C23=Charge!$M$1,Charge!$J$1,IF(C23=Charge!$M$23,Charge!$J$23,IF(C23=Charge!$M$17,Charge!$J$17,IF(C23=Charge!$N$17,Charge!$J$17,Charge!$J$7))))</f>
        <v>G3</v>
      </c>
      <c r="C23" s="61" t="str">
        <f>VLOOKUP(A23,'1.Loading'!A:R,14,FALSE)</f>
        <v>BKK04</v>
      </c>
      <c r="D23" s="61" t="str">
        <f>VLOOKUP(A23,'1.Loading'!A:R,17,FALSE)</f>
        <v>HASLS22260800838</v>
      </c>
      <c r="E23" s="62" t="str">
        <f>VLOOKUP(D23,'2.Bookinglist'!A:CT,27,FALSE)</f>
        <v>SCGJWD LOGISTICS PUBLIC COMPANY LIMITED</v>
      </c>
      <c r="F23" s="62" t="str">
        <f>VLOOKUP(D23,'2.Bookinglist'!A:CT,28,FALSE)</f>
        <v>SCG INTERNATIONAL CORPORATION CO., LTD.</v>
      </c>
      <c r="G23" s="60">
        <f>VLOOKUP(D23,'2.Bookinglist'!A:E,5,FALSE)</f>
        <v>0</v>
      </c>
      <c r="H23" s="61" t="str">
        <f>VLOOKUP(D23,'2.Bookinglist'!A:CT,15,FALSE)</f>
        <v>THBKK</v>
      </c>
      <c r="I23" s="61" t="str">
        <f>VLOOKUP(D23,'2.Bookinglist'!A:CT,19,FALSE)</f>
        <v>VNSGN</v>
      </c>
      <c r="J23" s="61">
        <f>VLOOKUP(D23,'2.Bookinglist'!A:CT,26,FALSE)</f>
        <v>0</v>
      </c>
      <c r="K23" s="61" t="str">
        <f>VLOOKUP(A23,'1.Loading'!A:R,5,FALSE)</f>
        <v>22GP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SWSP</v>
      </c>
      <c r="P23" s="61" t="str">
        <f>VLOOKUP(A23,'1.Loading'!A:R,4,FALSE)</f>
        <v>2609N</v>
      </c>
      <c r="Q23" s="61" t="str">
        <f>VLOOKUP(D23,'2.Bookinglist'!A:CT,12,FALSE)</f>
        <v>BTS</v>
      </c>
      <c r="R23" s="60" t="str">
        <f>IF(LEFT(K23,2)="22","20'","40'")</f>
        <v>20'</v>
      </c>
      <c r="S23" s="185" t="n"/>
      <c r="T23" s="61" t="str">
        <f>VLOOKUP(A23,'1.Loading'!A:R,2,FALSE)</f>
        <v>2026-10-08</v>
      </c>
      <c r="U23" s="63">
        <f>T23-S23</f>
        <v>46303</v>
      </c>
      <c r="V23" s="186" t="n"/>
      <c r="W23" s="61" t="str">
        <f>VLOOKUP(A23,'3.GateMove'!A:D,4,FALSE)</f>
        <v>2026-09-29</v>
      </c>
      <c r="X23" s="63">
        <f>((T23-W23)+1)</f>
        <v>10</v>
      </c>
      <c r="Y23" s="64">
        <f>IF(AND(OR(C23="BKK01",C23="BKK04"),L23="CFS/CY"),0,IF(M23="DG",1,IF(LEFT(C23,3)="LCH",7,IF(C23="BKK02",5,3))))</f>
        <v>3</v>
      </c>
      <c r="Z23" s="63">
        <f>IF(IF(AND(AC23="TML",AB23&gt;0),((T23-W23)+1)-AB23,((T23-W23)+1)-Y23)&gt;0,IF(AND(AC23="TML",AB23&gt;0),((T23-W23)+1)-AB23,((T23-W23)+1)-Y23),0)</f>
        <v>7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1120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46304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1120</v>
      </c>
      <c r="AJ23" s="188" t="n"/>
      <c r="AK23" s="62" t="str">
        <f>VLOOKUP(D23,'2.Bookinglist'!A:CT,40,FALSE)</f>
        <v>Kanokporn</v>
      </c>
      <c r="AL23" s="60" t="str">
        <f>VLOOKUP(D23,'2.Bookinglist'!A:CW,101,FALSE)</f>
        <v>2026-10-07</v>
      </c>
      <c r="AM23" s="60" t="str">
        <f>VLOOKUP(D23,'2.Bookinglist'!A:BK,63,FALSE)</f>
        <v>BKK27</v>
      </c>
      <c r="AN23" s="62" t="str">
        <f>VLOOKUP(D23,'2.Bookinglist'!A:AZ,52,FALSE)</f>
        <v>CY-RTN : 28-28/09/2026 (1ST RETURN 28/09/26)
(JB2606177029) </v>
      </c>
      <c r="AO23" s="62" t="str">
        <f>VLOOKUP(D23,'2.Bookinglist'!A:CY,103,FALSE)</f>
        <v>ROLL OVER FROM PREVIOUS VSL KMBK 2611N BY ALLOCATION TEAM MS.TARN APPROVED COST IS UNDER HAL DD.01/10</v>
      </c>
    </row>
    <row r="24" ht="12.95" customHeight="1">
      <c r="A24" s="96" t="inlineStr">
        <is>
          <t>HALU2303748</t>
        </is>
      </c>
      <c r="B24" s="184" t="str">
        <f>IF(C24=Charge!$M$1,Charge!$J$1,IF(C24=Charge!$M$23,Charge!$J$23,IF(C24=Charge!$M$17,Charge!$J$17,IF(C24=Charge!$N$17,Charge!$J$17,Charge!$J$7))))</f>
        <v>G3</v>
      </c>
      <c r="C24" s="61" t="str">
        <f>VLOOKUP(A24,'1.Loading'!A:R,14,FALSE)</f>
        <v>BKK04</v>
      </c>
      <c r="D24" s="61" t="str">
        <f>VLOOKUP(A24,'1.Loading'!A:R,17,FALSE)</f>
        <v>HASLS22260900196</v>
      </c>
      <c r="E24" s="62" t="str">
        <f>VLOOKUP(D24,'2.Bookinglist'!A:CT,27,FALSE)</f>
        <v>SANGUAN WONGSE STARCH CO., LTD.</v>
      </c>
      <c r="F24" s="62" t="str">
        <f>VLOOKUP(D24,'2.Bookinglist'!A:CT,28,FALSE)</f>
        <v>SANGUAN WONGSE STARCH CO., LTD.</v>
      </c>
      <c r="G24" s="60">
        <f>VLOOKUP(D24,'2.Bookinglist'!A:E,5,FALSE)</f>
        <v>0</v>
      </c>
      <c r="H24" s="61" t="str">
        <f>VLOOKUP(D24,'2.Bookinglist'!A:CT,15,FALSE)</f>
        <v>THBKK</v>
      </c>
      <c r="I24" s="61" t="str">
        <f>VLOOKUP(D24,'2.Bookinglist'!A:CT,19,FALSE)</f>
        <v>JPSEN</v>
      </c>
      <c r="J24" s="61" t="str">
        <f>VLOOKUP(D24,'2.Bookinglist'!A:CT,26,FALSE)</f>
        <v>KRPUS</v>
      </c>
      <c r="K24" s="61" t="str">
        <f>VLOOKUP(A24,'1.Loading'!A:R,5,FALSE)</f>
        <v>22GP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SWSP</v>
      </c>
      <c r="P24" s="61" t="str">
        <f>VLOOKUP(A24,'1.Loading'!A:R,4,FALSE)</f>
        <v>2609N</v>
      </c>
      <c r="Q24" s="61" t="str">
        <f>VLOOKUP(D24,'2.Bookinglist'!A:CT,12,FALSE)</f>
        <v>BTS</v>
      </c>
      <c r="R24" s="60" t="str">
        <f>IF(LEFT(K24,2)="22","20'","40'")</f>
        <v>20'</v>
      </c>
      <c r="S24" s="185" t="n"/>
      <c r="T24" s="61" t="str">
        <f>VLOOKUP(A24,'1.Loading'!A:R,2,FALSE)</f>
        <v>2026-10-08</v>
      </c>
      <c r="U24" s="63">
        <f>T24-S24</f>
        <v>46303</v>
      </c>
      <c r="V24" s="186" t="n"/>
      <c r="W24" s="61" t="str">
        <f>VLOOKUP(A24,'3.GateMove'!A:D,4,FALSE)</f>
        <v>2026-09-19</v>
      </c>
      <c r="X24" s="63">
        <f>((T24-W24)+1)</f>
        <v>20</v>
      </c>
      <c r="Y24" s="64">
        <f>IF(AND(OR(C24="BKK01",C24="BKK04"),L24="CFS/CY"),0,IF(M24="DG",1,IF(LEFT(C24,3)="LCH",7,IF(C24="BKK02",5,3))))</f>
        <v>3</v>
      </c>
      <c r="Z24" s="63">
        <f>IF(IF(AND(AC24="TML",AB24&gt;0),((T24-W24)+1)-AB24,((T24-W24)+1)-Y24)&gt;0,IF(AND(AC24="TML",AB24&gt;0),((T24-W24)+1)-AB24,((T24-W24)+1)-Y24),0)</f>
        <v>17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4215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46304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4215</v>
      </c>
      <c r="AJ24" s="188" t="n"/>
      <c r="AK24" s="62" t="str">
        <f>VLOOKUP(D24,'2.Bookinglist'!A:CT,40,FALSE)</f>
        <v>Uetake Takahiro</v>
      </c>
      <c r="AL24" s="60" t="str">
        <f>VLOOKUP(D24,'2.Bookinglist'!A:CW,101,FALSE)</f>
        <v>2026-10-05</v>
      </c>
      <c r="AM24" s="60" t="str">
        <f>VLOOKUP(D24,'2.Bookinglist'!A:BK,63,FALSE)</f>
        <v>BKK25</v>
      </c>
      <c r="AN24" s="62" t="str">
        <f>VLOOKUP(D24,'2.Bookinglist'!A:AZ,52,FALSE)</f>
        <v>Pickup : 2026-09-17, Return : 2026-09-19</v>
      </c>
      <c r="AO24" s="62" t="str">
        <f>VLOOKUP(D24,'2.Bookinglist'!A:CY,103,FALSE)</f>
        <v>ROLL OVER FROM PREVIOUS VSL SWMM 2609N BY ALLOCATION TEAM MS.TARN APPROVED COST IS UNDER HA DD.21/09</v>
      </c>
    </row>
    <row r="25" ht="12.95" customHeight="1">
      <c r="A25" s="96" t="inlineStr">
        <is>
          <t>HALU2311379</t>
        </is>
      </c>
      <c r="B25" s="184" t="str">
        <f>IF(C25=Charge!$M$1,Charge!$J$1,IF(C25=Charge!$M$23,Charge!$J$23,IF(C25=Charge!$M$17,Charge!$J$17,IF(C25=Charge!$N$17,Charge!$J$17,Charge!$J$7))))</f>
        <v>G3</v>
      </c>
      <c r="C25" s="61" t="str">
        <f>VLOOKUP(A25,'1.Loading'!A:R,14,FALSE)</f>
        <v>BKK04</v>
      </c>
      <c r="D25" s="61" t="str">
        <f>VLOOKUP(A25,'1.Loading'!A:R,17,FALSE)</f>
        <v>HASLS22260900630</v>
      </c>
      <c r="E25" s="62" t="str">
        <f>VLOOKUP(D25,'2.Bookinglist'!A:CT,27,FALSE)</f>
        <v>ICONS GLOBAL LOGISTICS CO., LTD.</v>
      </c>
      <c r="F25" s="62" t="str">
        <f>VLOOKUP(D25,'2.Bookinglist'!A:CT,28,FALSE)</f>
        <v>THANAKORN VEGETABLE OIL PRODUCTS CO., LTD.</v>
      </c>
      <c r="G25" s="60">
        <f>VLOOKUP(D25,'2.Bookinglist'!A:E,5,FALSE)</f>
        <v>0</v>
      </c>
      <c r="H25" s="61" t="str">
        <f>VLOOKUP(D25,'2.Bookinglist'!A:CT,15,FALSE)</f>
        <v>THBKK</v>
      </c>
      <c r="I25" s="61" t="str">
        <f>VLOOKUP(D25,'2.Bookinglist'!A:CT,19,FALSE)</f>
        <v>VNSGN</v>
      </c>
      <c r="J25" s="61">
        <f>VLOOKUP(D25,'2.Bookinglist'!A:CT,26,FALSE)</f>
        <v>0</v>
      </c>
      <c r="K25" s="61" t="str">
        <f>VLOOKUP(A25,'1.Loading'!A:R,5,FALSE)</f>
        <v>22GP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SWSP</v>
      </c>
      <c r="P25" s="61" t="str">
        <f>VLOOKUP(A25,'1.Loading'!A:R,4,FALSE)</f>
        <v>2609N</v>
      </c>
      <c r="Q25" s="61" t="str">
        <f>VLOOKUP(D25,'2.Bookinglist'!A:CT,12,FALSE)</f>
        <v>BTS</v>
      </c>
      <c r="R25" s="60" t="str">
        <f>IF(LEFT(K25,2)="22","20'","40'")</f>
        <v>20'</v>
      </c>
      <c r="S25" s="185" t="n"/>
      <c r="T25" s="61" t="str">
        <f>VLOOKUP(A25,'1.Loading'!A:R,2,FALSE)</f>
        <v>2026-10-08</v>
      </c>
      <c r="U25" s="63">
        <f>T25-S25</f>
        <v>46303</v>
      </c>
      <c r="V25" s="186" t="n"/>
      <c r="W25" s="61" t="str">
        <f>VLOOKUP(A25,'3.GateMove'!A:D,4,FALSE)</f>
        <v>2026-10-02</v>
      </c>
      <c r="X25" s="63">
        <f>((T25-W25)+1)</f>
        <v>7</v>
      </c>
      <c r="Y25" s="64">
        <f>IF(AND(OR(C25="BKK01",C25="BKK04"),L25="CFS/CY"),0,IF(M25="DG",1,IF(LEFT(C25,3)="LCH",7,IF(C25="BKK02",5,3))))</f>
        <v>3</v>
      </c>
      <c r="Z25" s="63">
        <f>IF(IF(AND(AC25="TML",AB25&gt;0),((T25-W25)+1)-AB25,((T25-W25)+1)-Y25)&gt;0,IF(AND(AC25="TML",AB25&gt;0),((T25-W25)+1)-AB25,((T25-W25)+1)-Y25),0)</f>
        <v>4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640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46304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640</v>
      </c>
      <c r="AJ25" s="188" t="n"/>
      <c r="AK25" s="62" t="str">
        <f>VLOOKUP(D25,'2.Bookinglist'!A:CT,40,FALSE)</f>
        <v>Dharaporn</v>
      </c>
      <c r="AL25" s="60" t="str">
        <f>VLOOKUP(D25,'2.Bookinglist'!A:CW,101,FALSE)</f>
        <v>2026-10-05</v>
      </c>
      <c r="AM25" s="60" t="str">
        <f>VLOOKUP(D25,'2.Bookinglist'!A:BK,63,FALSE)</f>
        <v>BKK27</v>
      </c>
      <c r="AN25" s="62" t="str">
        <f>VLOOKUP(D25,'2.Bookinglist'!A:AZ,52,FALSE)</f>
        <v>**APPROVED BY H.W KANG DD.23/09/2026** *FLEXIBAG ONDECK*
Survey : 2026-09-30, Pickup : 2026-10-01, Return : 2026-10-02 </v>
      </c>
      <c r="AO25" s="62">
        <f>VLOOKUP(D25,'2.Bookinglist'!A:CY,103,FALSE)</f>
        <v>0</v>
      </c>
    </row>
    <row r="26" ht="12.95" customHeight="1">
      <c r="A26" s="96" t="inlineStr">
        <is>
          <t>HALU2312478</t>
        </is>
      </c>
      <c r="B26" s="184" t="str">
        <f>IF(C26=Charge!$M$1,Charge!$J$1,IF(C26=Charge!$M$23,Charge!$J$23,IF(C26=Charge!$M$17,Charge!$J$17,IF(C26=Charge!$N$17,Charge!$J$17,Charge!$J$7))))</f>
        <v>G3</v>
      </c>
      <c r="C26" s="61" t="str">
        <f>VLOOKUP(A26,'1.Loading'!A:R,14,FALSE)</f>
        <v>BKK04</v>
      </c>
      <c r="D26" s="61" t="str">
        <f>VLOOKUP(A26,'1.Loading'!A:R,17,FALSE)</f>
        <v>HASLS22260900196</v>
      </c>
      <c r="E26" s="62" t="str">
        <f>VLOOKUP(D26,'2.Bookinglist'!A:CT,27,FALSE)</f>
        <v>SANGUAN WONGSE STARCH CO., LTD.</v>
      </c>
      <c r="F26" s="62" t="str">
        <f>VLOOKUP(D26,'2.Bookinglist'!A:CT,28,FALSE)</f>
        <v>SANGUAN WONGSE STARCH CO., LTD.</v>
      </c>
      <c r="G26" s="60">
        <f>VLOOKUP(D26,'2.Bookinglist'!A:E,5,FALSE)</f>
        <v>0</v>
      </c>
      <c r="H26" s="61" t="str">
        <f>VLOOKUP(D26,'2.Bookinglist'!A:CT,15,FALSE)</f>
        <v>THBKK</v>
      </c>
      <c r="I26" s="61" t="str">
        <f>VLOOKUP(D26,'2.Bookinglist'!A:CT,19,FALSE)</f>
        <v>JPSEN</v>
      </c>
      <c r="J26" s="61" t="str">
        <f>VLOOKUP(D26,'2.Bookinglist'!A:CT,26,FALSE)</f>
        <v>KRPUS</v>
      </c>
      <c r="K26" s="61" t="str">
        <f>VLOOKUP(A26,'1.Loading'!A:R,5,FALSE)</f>
        <v>22GP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SWSP</v>
      </c>
      <c r="P26" s="61" t="str">
        <f>VLOOKUP(A26,'1.Loading'!A:R,4,FALSE)</f>
        <v>2609N</v>
      </c>
      <c r="Q26" s="61" t="str">
        <f>VLOOKUP(D26,'2.Bookinglist'!A:CT,12,FALSE)</f>
        <v>BTS</v>
      </c>
      <c r="R26" s="60" t="str">
        <f>IF(LEFT(K26,2)="22","20'","40'")</f>
        <v>20'</v>
      </c>
      <c r="S26" s="185" t="n"/>
      <c r="T26" s="61" t="str">
        <f>VLOOKUP(A26,'1.Loading'!A:R,2,FALSE)</f>
        <v>2026-10-08</v>
      </c>
      <c r="U26" s="63">
        <f>T26-S26</f>
        <v>46303</v>
      </c>
      <c r="V26" s="186" t="n"/>
      <c r="W26" s="61" t="str">
        <f>VLOOKUP(A26,'3.GateMove'!A:D,4,FALSE)</f>
        <v>2026-09-19</v>
      </c>
      <c r="X26" s="63">
        <f>((T26-W26)+1)</f>
        <v>20</v>
      </c>
      <c r="Y26" s="64">
        <f>IF(AND(OR(C26="BKK01",C26="BKK04"),L26="CFS/CY"),0,IF(M26="DG",1,IF(LEFT(C26,3)="LCH",7,IF(C26="BKK02",5,3))))</f>
        <v>3</v>
      </c>
      <c r="Z26" s="63">
        <f>IF(IF(AND(AC26="TML",AB26&gt;0),((T26-W26)+1)-AB26,((T26-W26)+1)-Y26)&gt;0,IF(AND(AC26="TML",AB26&gt;0),((T26-W26)+1)-AB26,((T26-W26)+1)-Y26),0)</f>
        <v>17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4215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46304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4215</v>
      </c>
      <c r="AJ26" s="188" t="n"/>
      <c r="AK26" s="62" t="str">
        <f>VLOOKUP(D26,'2.Bookinglist'!A:CT,40,FALSE)</f>
        <v>Uetake Takahiro</v>
      </c>
      <c r="AL26" s="60" t="str">
        <f>VLOOKUP(D26,'2.Bookinglist'!A:CW,101,FALSE)</f>
        <v>2026-10-05</v>
      </c>
      <c r="AM26" s="60" t="str">
        <f>VLOOKUP(D26,'2.Bookinglist'!A:BK,63,FALSE)</f>
        <v>BKK25</v>
      </c>
      <c r="AN26" s="62" t="str">
        <f>VLOOKUP(D26,'2.Bookinglist'!A:AZ,52,FALSE)</f>
        <v>Pickup : 2026-09-17, Return : 2026-09-19</v>
      </c>
      <c r="AO26" s="62" t="str">
        <f>VLOOKUP(D26,'2.Bookinglist'!A:CY,103,FALSE)</f>
        <v>ROLL OVER FROM PREVIOUS VSL SWMM 2609N BY ALLOCATION TEAM MS.TARN APPROVED COST IS UNDER HA DD.21/09</v>
      </c>
    </row>
    <row r="27" ht="12.95" customHeight="1">
      <c r="A27" s="96" t="inlineStr">
        <is>
          <t>HALU2319528</t>
        </is>
      </c>
      <c r="B27" s="184" t="str">
        <f>IF(C27=Charge!$M$1,Charge!$J$1,IF(C27=Charge!$M$23,Charge!$J$23,IF(C27=Charge!$M$17,Charge!$J$17,IF(C27=Charge!$N$17,Charge!$J$17,Charge!$J$7))))</f>
        <v>G3</v>
      </c>
      <c r="C27" s="61" t="str">
        <f>VLOOKUP(A27,'1.Loading'!A:R,14,FALSE)</f>
        <v>BKK04</v>
      </c>
      <c r="D27" s="61" t="str">
        <f>VLOOKUP(A27,'1.Loading'!A:R,17,FALSE)</f>
        <v>HASLS22260801914</v>
      </c>
      <c r="E27" s="62" t="str">
        <f>VLOOKUP(D27,'2.Bookinglist'!A:CT,27,FALSE)</f>
        <v>DP WORLD LOGISTICS SOLUTIONS (THAILAND) COMPANY LIMITED</v>
      </c>
      <c r="F27" s="62" t="str">
        <f>VLOOKUP(D27,'2.Bookinglist'!A:CT,28,FALSE)</f>
        <v>DP WORLD LOGISTICS SOLUTIONS (THAILAND) COMPANY LIMITED</v>
      </c>
      <c r="G27" s="60">
        <f>VLOOKUP(D27,'2.Bookinglist'!A:E,5,FALSE)</f>
        <v>0</v>
      </c>
      <c r="H27" s="61" t="str">
        <f>VLOOKUP(D27,'2.Bookinglist'!A:CT,15,FALSE)</f>
        <v>THBKK</v>
      </c>
      <c r="I27" s="61" t="str">
        <f>VLOOKUP(D27,'2.Bookinglist'!A:CT,19,FALSE)</f>
        <v>KRPTK</v>
      </c>
      <c r="J27" s="61">
        <f>VLOOKUP(D27,'2.Bookinglist'!A:CT,26,FALSE)</f>
        <v>0</v>
      </c>
      <c r="K27" s="61" t="str">
        <f>VLOOKUP(A27,'1.Loading'!A:R,5,FALSE)</f>
        <v>22GP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SWSP</v>
      </c>
      <c r="P27" s="61" t="str">
        <f>VLOOKUP(A27,'1.Loading'!A:R,4,FALSE)</f>
        <v>2609N</v>
      </c>
      <c r="Q27" s="61" t="str">
        <f>VLOOKUP(D27,'2.Bookinglist'!A:CT,12,FALSE)</f>
        <v>BTS</v>
      </c>
      <c r="R27" s="60" t="str">
        <f>IF(LEFT(K27,2)="22","20'","40'")</f>
        <v>20'</v>
      </c>
      <c r="S27" s="185" t="n"/>
      <c r="T27" s="61" t="str">
        <f>VLOOKUP(A27,'1.Loading'!A:R,2,FALSE)</f>
        <v>2026-10-08</v>
      </c>
      <c r="U27" s="63">
        <f>T27-S27</f>
        <v>46303</v>
      </c>
      <c r="V27" s="186" t="n"/>
      <c r="W27" s="61" t="str">
        <f>VLOOKUP(A27,'3.GateMove'!A:D,4,FALSE)</f>
        <v>2026-09-19</v>
      </c>
      <c r="X27" s="63">
        <f>((T27-W27)+1)</f>
        <v>20</v>
      </c>
      <c r="Y27" s="64">
        <f>IF(AND(OR(C27="BKK01",C27="BKK04"),L27="CFS/CY"),0,IF(M27="DG",1,IF(LEFT(C27,3)="LCH",7,IF(C27="BKK02",5,3))))</f>
        <v>3</v>
      </c>
      <c r="Z27" s="63">
        <f>IF(IF(AND(AC27="TML",AB27&gt;0),((T27-W27)+1)-AB27,((T27-W27)+1)-Y27)&gt;0,IF(AND(AC27="TML",AB27&gt;0),((T27-W27)+1)-AB27,((T27-W27)+1)-Y27),0)</f>
        <v>17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4215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46304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4215</v>
      </c>
      <c r="AJ27" s="188" t="n"/>
      <c r="AK27" s="62" t="str">
        <f>VLOOKUP(D27,'2.Bookinglist'!A:CT,40,FALSE)</f>
        <v>Nannaapust Sukporntaweewat</v>
      </c>
      <c r="AL27" s="60" t="str">
        <f>VLOOKUP(D27,'2.Bookinglist'!A:CW,101,FALSE)</f>
        <v>2026-10-05</v>
      </c>
      <c r="AM27" s="60" t="str">
        <f>VLOOKUP(D27,'2.Bookinglist'!A:BK,63,FALSE)</f>
        <v>BKK27</v>
      </c>
      <c r="AN27" s="62" t="str">
        <f>VLOOKUP(D27,'2.Bookinglist'!A:AZ,52,FALSE)</f>
        <v>** APPROVED BY H.W KANG DD.28/09/2026 ** *FLEXIBAG ONDECK*
Servey : 17/09/2026, Pickup : 18/09/2026, Return : 21/09/2026 *EXTEND CLS TIME : 22/09/2026 @06.00* </v>
      </c>
      <c r="AO27" s="62" t="str">
        <f>VLOOKUP(D27,'2.Bookinglist'!A:CY,103,FALSE)</f>
        <v>ROLL OVER FROM PREVIOUS VSL SWMM 2609N BY ALLOCATION TEAM MS.TARN APRPOVED COST IS UNDER HA DD.21/09</v>
      </c>
    </row>
    <row r="28" ht="12.95" customHeight="1">
      <c r="A28" s="96" t="inlineStr">
        <is>
          <t>HALU2333491</t>
        </is>
      </c>
      <c r="B28" s="184" t="str">
        <f>IF(C28=Charge!$M$1,Charge!$J$1,IF(C28=Charge!$M$23,Charge!$J$23,IF(C28=Charge!$M$17,Charge!$J$17,IF(C28=Charge!$N$17,Charge!$J$17,Charge!$J$7))))</f>
        <v>G3</v>
      </c>
      <c r="C28" s="61" t="str">
        <f>VLOOKUP(A28,'1.Loading'!A:R,14,FALSE)</f>
        <v>BKK04</v>
      </c>
      <c r="D28" s="61" t="str">
        <f>VLOOKUP(A28,'1.Loading'!A:R,17,FALSE)</f>
        <v>HASLS22260900196</v>
      </c>
      <c r="E28" s="62" t="str">
        <f>VLOOKUP(D28,'2.Bookinglist'!A:CT,27,FALSE)</f>
        <v>SANGUAN WONGSE STARCH CO., LTD.</v>
      </c>
      <c r="F28" s="62" t="str">
        <f>VLOOKUP(D28,'2.Bookinglist'!A:CT,28,FALSE)</f>
        <v>SANGUAN WONGSE STARCH CO., LTD.</v>
      </c>
      <c r="G28" s="60">
        <f>VLOOKUP(D28,'2.Bookinglist'!A:E,5,FALSE)</f>
        <v>0</v>
      </c>
      <c r="H28" s="61" t="str">
        <f>VLOOKUP(D28,'2.Bookinglist'!A:CT,15,FALSE)</f>
        <v>THBKK</v>
      </c>
      <c r="I28" s="61" t="str">
        <f>VLOOKUP(D28,'2.Bookinglist'!A:CT,19,FALSE)</f>
        <v>JPSEN</v>
      </c>
      <c r="J28" s="61" t="str">
        <f>VLOOKUP(D28,'2.Bookinglist'!A:CT,26,FALSE)</f>
        <v>KRPUS</v>
      </c>
      <c r="K28" s="61" t="str">
        <f>VLOOKUP(A28,'1.Loading'!A:R,5,FALSE)</f>
        <v>22GP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SWSP</v>
      </c>
      <c r="P28" s="61" t="str">
        <f>VLOOKUP(A28,'1.Loading'!A:R,4,FALSE)</f>
        <v>2609N</v>
      </c>
      <c r="Q28" s="61" t="str">
        <f>VLOOKUP(D28,'2.Bookinglist'!A:CT,12,FALSE)</f>
        <v>BTS</v>
      </c>
      <c r="R28" s="60" t="str">
        <f>IF(LEFT(K28,2)="22","20'","40'")</f>
        <v>20'</v>
      </c>
      <c r="S28" s="185" t="n"/>
      <c r="T28" s="61" t="str">
        <f>VLOOKUP(A28,'1.Loading'!A:R,2,FALSE)</f>
        <v>2026-10-08</v>
      </c>
      <c r="U28" s="63">
        <f>T28-S28</f>
        <v>46303</v>
      </c>
      <c r="V28" s="186" t="n"/>
      <c r="W28" s="61" t="str">
        <f>VLOOKUP(A28,'3.GateMove'!A:D,4,FALSE)</f>
        <v>2026-09-19</v>
      </c>
      <c r="X28" s="63">
        <f>((T28-W28)+1)</f>
        <v>20</v>
      </c>
      <c r="Y28" s="64">
        <f>IF(AND(OR(C28="BKK01",C28="BKK04"),L28="CFS/CY"),0,IF(M28="DG",1,IF(LEFT(C28,3)="LCH",7,IF(C28="BKK02",5,3))))</f>
        <v>3</v>
      </c>
      <c r="Z28" s="63">
        <f>IF(IF(AND(AC28="TML",AB28&gt;0),((T28-W28)+1)-AB28,((T28-W28)+1)-Y28)&gt;0,IF(AND(AC28="TML",AB28&gt;0),((T28-W28)+1)-AB28,((T28-W28)+1)-Y28),0)</f>
        <v>17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4215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46304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4215</v>
      </c>
      <c r="AJ28" s="188" t="n"/>
      <c r="AK28" s="62" t="str">
        <f>VLOOKUP(D28,'2.Bookinglist'!A:CT,40,FALSE)</f>
        <v>Uetake Takahiro</v>
      </c>
      <c r="AL28" s="60" t="str">
        <f>VLOOKUP(D28,'2.Bookinglist'!A:CW,101,FALSE)</f>
        <v>2026-10-05</v>
      </c>
      <c r="AM28" s="60" t="str">
        <f>VLOOKUP(D28,'2.Bookinglist'!A:BK,63,FALSE)</f>
        <v>BKK25</v>
      </c>
      <c r="AN28" s="62" t="str">
        <f>VLOOKUP(D28,'2.Bookinglist'!A:AZ,52,FALSE)</f>
        <v>Pickup : 2026-09-17, Return : 2026-09-19</v>
      </c>
      <c r="AO28" s="62" t="str">
        <f>VLOOKUP(D28,'2.Bookinglist'!A:CY,103,FALSE)</f>
        <v>ROLL OVER FROM PREVIOUS VSL SWMM 2609N BY ALLOCATION TEAM MS.TARN APPROVED COST IS UNDER HA DD.21/09</v>
      </c>
    </row>
    <row r="29" ht="12.95" customHeight="1">
      <c r="A29" s="96" t="inlineStr">
        <is>
          <t>HALU2348402</t>
        </is>
      </c>
      <c r="B29" s="184" t="str">
        <f>IF(C29=Charge!$M$1,Charge!$J$1,IF(C29=Charge!$M$23,Charge!$J$23,IF(C29=Charge!$M$17,Charge!$J$17,IF(C29=Charge!$N$17,Charge!$J$17,Charge!$J$7))))</f>
        <v>G3</v>
      </c>
      <c r="C29" s="61" t="str">
        <f>VLOOKUP(A29,'1.Loading'!A:R,14,FALSE)</f>
        <v>BKK04</v>
      </c>
      <c r="D29" s="61" t="str">
        <f>VLOOKUP(A29,'1.Loading'!A:R,17,FALSE)</f>
        <v>HASLS22260901581</v>
      </c>
      <c r="E29" s="62" t="str">
        <f>VLOOKUP(D29,'2.Bookinglist'!A:CT,27,FALSE)</f>
        <v>BEE LOGISTICS (THAILAND) CO., LTD.</v>
      </c>
      <c r="F29" s="62" t="str">
        <f>VLOOKUP(D29,'2.Bookinglist'!A:CT,28,FALSE)</f>
        <v>AJINOMOTO CO., (THAILAND) LTD.</v>
      </c>
      <c r="G29" s="60">
        <f>VLOOKUP(D29,'2.Bookinglist'!A:E,5,FALSE)</f>
        <v>0</v>
      </c>
      <c r="H29" s="61" t="str">
        <f>VLOOKUP(D29,'2.Bookinglist'!A:CT,15,FALSE)</f>
        <v>THBKK</v>
      </c>
      <c r="I29" s="61" t="str">
        <f>VLOOKUP(D29,'2.Bookinglist'!A:CT,19,FALSE)</f>
        <v>VNSGN</v>
      </c>
      <c r="J29" s="61">
        <f>VLOOKUP(D29,'2.Bookinglist'!A:CT,26,FALSE)</f>
        <v>0</v>
      </c>
      <c r="K29" s="61" t="str">
        <f>VLOOKUP(A29,'1.Loading'!A:R,5,FALSE)</f>
        <v>22GP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/>
      </c>
      <c r="O29" s="61" t="str">
        <f>VLOOKUP(A29,'1.Loading'!A:R,3,FALSE)</f>
        <v>SWSP</v>
      </c>
      <c r="P29" s="61" t="str">
        <f>VLOOKUP(A29,'1.Loading'!A:R,4,FALSE)</f>
        <v>2609N</v>
      </c>
      <c r="Q29" s="61" t="str">
        <f>VLOOKUP(D29,'2.Bookinglist'!A:CT,12,FALSE)</f>
        <v>BTS</v>
      </c>
      <c r="R29" s="60" t="str">
        <f>IF(LEFT(K29,2)="22","20'","40'")</f>
        <v>20'</v>
      </c>
      <c r="S29" s="185" t="n"/>
      <c r="T29" s="61" t="str">
        <f>VLOOKUP(A29,'1.Loading'!A:R,2,FALSE)</f>
        <v>2026-10-08</v>
      </c>
      <c r="U29" s="63">
        <f>T29-S29</f>
        <v>46303</v>
      </c>
      <c r="V29" s="186" t="n"/>
      <c r="W29" s="61" t="str">
        <f>VLOOKUP(A29,'3.GateMove'!A:D,4,FALSE)</f>
        <v>2026-10-02</v>
      </c>
      <c r="X29" s="63">
        <f>((T29-W29)+1)</f>
        <v>7</v>
      </c>
      <c r="Y29" s="64">
        <f>IF(AND(OR(C29="BKK01",C29="BKK04"),L29="CFS/CY"),0,IF(M29="DG",1,IF(LEFT(C29,3)="LCH",7,IF(C29="BKK02",5,3))))</f>
        <v>3</v>
      </c>
      <c r="Z29" s="63">
        <f>IF(IF(AND(AC29="TML",AB29&gt;0),((T29-W29)+1)-AB29,((T29-W29)+1)-Y29)&gt;0,IF(AND(AC29="TML",AB29&gt;0),((T29-W29)+1)-AB29,((T29-W29)+1)-Y29),0)</f>
        <v>4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640</v>
      </c>
      <c r="AB29" s="184" t="n"/>
      <c r="AC29" s="184" t="n"/>
      <c r="AD29" s="60">
        <f>IF(M29="DG",3,IF(N29="RF",3,5))+IF(AND(LEFT(C29,3)="BKK",N29="RF",Q29="KTS"),1,0)+IF(Q29="KHS",1,0)</f>
        <v>5</v>
      </c>
      <c r="AE29" s="63">
        <f>(T29-V29)+1</f>
        <v>46304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640</v>
      </c>
      <c r="AJ29" s="188" t="n"/>
      <c r="AK29" s="62" t="str">
        <f>VLOOKUP(D29,'2.Bookinglist'!A:CT,40,FALSE)</f>
        <v>Nustsireerach</v>
      </c>
      <c r="AL29" s="60" t="str">
        <f>VLOOKUP(D29,'2.Bookinglist'!A:CW,101,FALSE)</f>
        <v>2026-10-04</v>
      </c>
      <c r="AM29" s="60" t="str">
        <f>VLOOKUP(D29,'2.Bookinglist'!A:BK,63,FALSE)</f>
        <v>BKK25</v>
      </c>
      <c r="AN29" s="62" t="str">
        <f>VLOOKUP(D29,'2.Bookinglist'!A:AZ,52,FALSE)</f>
        <v>Pickup : 2026-10-01, Return : 2026-10-02</v>
      </c>
      <c r="AO29" s="62">
        <f>VLOOKUP(D29,'2.Bookinglist'!A:CY,103,FALSE)</f>
        <v>0</v>
      </c>
    </row>
    <row r="30" ht="12.95" customHeight="1">
      <c r="A30" s="96" t="inlineStr">
        <is>
          <t>HALU2363006</t>
        </is>
      </c>
      <c r="B30" s="184" t="str">
        <f>IF(C30=Charge!$M$1,Charge!$J$1,IF(C30=Charge!$M$23,Charge!$J$23,IF(C30=Charge!$M$17,Charge!$J$17,IF(C30=Charge!$N$17,Charge!$J$17,Charge!$J$7))))</f>
        <v>G3</v>
      </c>
      <c r="C30" s="61" t="str">
        <f>VLOOKUP(A30,'1.Loading'!A:R,14,FALSE)</f>
        <v>BKK04</v>
      </c>
      <c r="D30" s="61" t="str">
        <f>VLOOKUP(A30,'1.Loading'!A:R,17,FALSE)</f>
        <v>HASLS22260901245</v>
      </c>
      <c r="E30" s="62" t="str">
        <f>VLOOKUP(D30,'2.Bookinglist'!A:CT,27,FALSE)</f>
        <v>BANGKOK COLD STORAGE SERVICE,LTD</v>
      </c>
      <c r="F30" s="62" t="str">
        <f>VLOOKUP(D30,'2.Bookinglist'!A:CT,28,FALSE)</f>
        <v>UENO FINE CHEMICALS INDUSTRY (THAILAND) LTD.</v>
      </c>
      <c r="G30" s="60">
        <f>VLOOKUP(D30,'2.Bookinglist'!A:E,5,FALSE)</f>
        <v>0</v>
      </c>
      <c r="H30" s="61" t="str">
        <f>VLOOKUP(D30,'2.Bookinglist'!A:CT,15,FALSE)</f>
        <v>THBKK</v>
      </c>
      <c r="I30" s="61" t="str">
        <f>VLOOKUP(D30,'2.Bookinglist'!A:CT,19,FALSE)</f>
        <v>JPMIZ</v>
      </c>
      <c r="J30" s="61" t="str">
        <f>VLOOKUP(D30,'2.Bookinglist'!A:CT,26,FALSE)</f>
        <v>KRPUS</v>
      </c>
      <c r="K30" s="61" t="str">
        <f>VLOOKUP(A30,'1.Loading'!A:R,5,FALSE)</f>
        <v>22GP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/>
      </c>
      <c r="O30" s="61" t="str">
        <f>VLOOKUP(A30,'1.Loading'!A:R,3,FALSE)</f>
        <v>SWSP</v>
      </c>
      <c r="P30" s="61" t="str">
        <f>VLOOKUP(A30,'1.Loading'!A:R,4,FALSE)</f>
        <v>2609N</v>
      </c>
      <c r="Q30" s="61" t="str">
        <f>VLOOKUP(D30,'2.Bookinglist'!A:CT,12,FALSE)</f>
        <v>BTS</v>
      </c>
      <c r="R30" s="60" t="str">
        <f>IF(LEFT(K30,2)="22","20'","40'")</f>
        <v>20'</v>
      </c>
      <c r="S30" s="185" t="n"/>
      <c r="T30" s="61" t="str">
        <f>VLOOKUP(A30,'1.Loading'!A:R,2,FALSE)</f>
        <v>2026-10-08</v>
      </c>
      <c r="U30" s="63">
        <f>T30-S30</f>
        <v>46303</v>
      </c>
      <c r="V30" s="186" t="n"/>
      <c r="W30" s="61" t="str">
        <f>VLOOKUP(A30,'3.GateMove'!A:D,4,FALSE)</f>
        <v>2026-09-30</v>
      </c>
      <c r="X30" s="63">
        <f>((T30-W30)+1)</f>
        <v>9</v>
      </c>
      <c r="Y30" s="64">
        <f>IF(AND(OR(C30="BKK01",C30="BKK04"),L30="CFS/CY"),0,IF(M30="DG",1,IF(LEFT(C30,3)="LCH",7,IF(C30="BKK02",5,3))))</f>
        <v>3</v>
      </c>
      <c r="Z30" s="63">
        <f>IF(IF(AND(AC30="TML",AB30&gt;0),((T30-W30)+1)-AB30,((T30-W30)+1)-Y30)&gt;0,IF(AND(AC30="TML",AB30&gt;0),((T30-W30)+1)-AB30,((T30-W30)+1)-Y30),0)</f>
        <v>6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960</v>
      </c>
      <c r="AB30" s="184" t="n"/>
      <c r="AC30" s="184" t="n"/>
      <c r="AD30" s="60">
        <f>IF(M30="DG",3,IF(N30="RF",3,5))+IF(AND(LEFT(C30,3)="BKK",N30="RF",Q30="KTS"),1,0)+IF(Q30="KHS",1,0)</f>
        <v>5</v>
      </c>
      <c r="AE30" s="63">
        <f>(T30-V30)+1</f>
        <v>46304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960</v>
      </c>
      <c r="AJ30" s="188" t="n"/>
      <c r="AK30" s="62" t="str">
        <f>VLOOKUP(D30,'2.Bookinglist'!A:CT,40,FALSE)</f>
        <v>Yasuaki Ueno</v>
      </c>
      <c r="AL30" s="60" t="str">
        <f>VLOOKUP(D30,'2.Bookinglist'!A:CW,101,FALSE)</f>
        <v>2026-10-07</v>
      </c>
      <c r="AM30" s="60" t="str">
        <f>VLOOKUP(D30,'2.Bookinglist'!A:BK,63,FALSE)</f>
        <v>BKK27</v>
      </c>
      <c r="AN30" s="62" t="str">
        <f>VLOOKUP(D30,'2.Bookinglist'!A:AZ,52,FALSE)</f>
        <v>Pickup : 2026-09-29, Return : 2026-09-29 </v>
      </c>
      <c r="AO30" s="62" t="str">
        <f>VLOOKUP(D30,'2.Bookinglist'!A:CY,103,FALSE)</f>
        <v>ROLL OVER FROM PREVIOUS VSL KMBK 2611N BY ALLOCATION TEAM MS.TARN APPROVED COST IS UNDER HAL DD.01/10SI DD.29/9/26</v>
      </c>
    </row>
    <row r="31" ht="12.95" customHeight="1">
      <c r="A31" s="96" t="inlineStr">
        <is>
          <t>HALU2405570</t>
        </is>
      </c>
      <c r="B31" s="184" t="str">
        <f>IF(C31=Charge!$M$1,Charge!$J$1,IF(C31=Charge!$M$23,Charge!$J$23,IF(C31=Charge!$M$17,Charge!$J$17,IF(C31=Charge!$N$17,Charge!$J$17,Charge!$J$7))))</f>
        <v>G3</v>
      </c>
      <c r="C31" s="61" t="str">
        <f>VLOOKUP(A31,'1.Loading'!A:R,14,FALSE)</f>
        <v>BKK04</v>
      </c>
      <c r="D31" s="61" t="str">
        <f>VLOOKUP(A31,'1.Loading'!A:R,17,FALSE)</f>
        <v>HASLS22260900196</v>
      </c>
      <c r="E31" s="62" t="str">
        <f>VLOOKUP(D31,'2.Bookinglist'!A:CT,27,FALSE)</f>
        <v>SANGUAN WONGSE STARCH CO., LTD.</v>
      </c>
      <c r="F31" s="62" t="str">
        <f>VLOOKUP(D31,'2.Bookinglist'!A:CT,28,FALSE)</f>
        <v>SANGUAN WONGSE STARCH CO., LTD.</v>
      </c>
      <c r="G31" s="60">
        <f>VLOOKUP(D31,'2.Bookinglist'!A:E,5,FALSE)</f>
        <v>0</v>
      </c>
      <c r="H31" s="61" t="str">
        <f>VLOOKUP(D31,'2.Bookinglist'!A:CT,15,FALSE)</f>
        <v>THBKK</v>
      </c>
      <c r="I31" s="61" t="str">
        <f>VLOOKUP(D31,'2.Bookinglist'!A:CT,19,FALSE)</f>
        <v>JPSEN</v>
      </c>
      <c r="J31" s="61" t="str">
        <f>VLOOKUP(D31,'2.Bookinglist'!A:CT,26,FALSE)</f>
        <v>KRPUS</v>
      </c>
      <c r="K31" s="61" t="str">
        <f>VLOOKUP(A31,'1.Loading'!A:R,5,FALSE)</f>
        <v>22GP</v>
      </c>
      <c r="L31" s="60" t="str">
        <f>VLOOKUP(D31,'2.Bookinglist'!A:CT,85,FALSE)</f>
        <v>CY/CY</v>
      </c>
      <c r="M31" s="60" t="str">
        <f>IF(VLOOKUP(D31,'2.Bookinglist'!A:CT,43,FALSE)=0,"","DG")</f>
        <v/>
      </c>
      <c r="N31" s="60" t="str">
        <f>IF(RIGHT(K31,2)="RE","RF","")</f>
        <v/>
      </c>
      <c r="O31" s="61" t="str">
        <f>VLOOKUP(A31,'1.Loading'!A:R,3,FALSE)</f>
        <v>SWSP</v>
      </c>
      <c r="P31" s="61" t="str">
        <f>VLOOKUP(A31,'1.Loading'!A:R,4,FALSE)</f>
        <v>2609N</v>
      </c>
      <c r="Q31" s="61" t="str">
        <f>VLOOKUP(D31,'2.Bookinglist'!A:CT,12,FALSE)</f>
        <v>BTS</v>
      </c>
      <c r="R31" s="60" t="str">
        <f>IF(LEFT(K31,2)="22","20'","40'")</f>
        <v>20'</v>
      </c>
      <c r="S31" s="185" t="n"/>
      <c r="T31" s="61" t="str">
        <f>VLOOKUP(A31,'1.Loading'!A:R,2,FALSE)</f>
        <v>2026-10-08</v>
      </c>
      <c r="U31" s="63">
        <f>T31-S31</f>
        <v>46303</v>
      </c>
      <c r="V31" s="186" t="n"/>
      <c r="W31" s="61" t="str">
        <f>VLOOKUP(A31,'3.GateMove'!A:D,4,FALSE)</f>
        <v>2026-09-19</v>
      </c>
      <c r="X31" s="63">
        <f>((T31-W31)+1)</f>
        <v>20</v>
      </c>
      <c r="Y31" s="64">
        <f>IF(AND(OR(C31="BKK01",C31="BKK04"),L31="CFS/CY"),0,IF(M31="DG",1,IF(LEFT(C31,3)="LCH",7,IF(C31="BKK02",5,3))))</f>
        <v>3</v>
      </c>
      <c r="Z31" s="63">
        <f>IF(IF(AND(AC31="TML",AB31&gt;0),((T31-W31)+1)-AB31,((T31-W31)+1)-Y31)&gt;0,IF(AND(AC31="TML",AB31&gt;0),((T31-W31)+1)-AB31,((T31-W31)+1)-Y31),0)</f>
        <v>17</v>
      </c>
      <c r="AA31" s="187">
        <f>IF(AND(B31="G1",M31=""),IF(R31="20'",
VLOOKUP(Z31,Charge!$K$2:$M$5,2,TRUE)+(Z31-VLOOKUP(Z31,Charge!$K$2:$M$5,1,TRUE))*VLOOKUP(Z31,Charge!$K$2:$M$5,3,TRUE),
VLOOKUP(Z31,Charge!$N$2:$P$5,2,TRUE)+(Z31-VLOOKUP(Z31,Charge!$N$2:$P$5,1,TRUE))*VLOOKUP(Z31,Charge!$N$2:$P$5,3,TRUE)),
IF(AND(B31="G1",M31="DG"),IF(R31="20'",
VLOOKUP(Z31,Charge!$R$2:$T$5,2,TRUE)+(Z31-VLOOKUP(Z31,Charge!$R$2:$T$5,1,TRUE))*VLOOKUP(Z31,Charge!$R$2:$T$5,3,TRUE),
VLOOKUP(Z31,Charge!$U$2:$W$5,2,TRUE)+(Z31-VLOOKUP(Z31,Charge!$U$2:$W$5,1,TRUE))*VLOOKUP(Z31,Charge!$U$2:$W$5,3,TRUE)),
IF(AND(B31="G3",M31=""),IF(R31="20'",
VLOOKUP(Z31,Charge!$K$18:$M$21,2,TRUE)+(Z31-VLOOKUP(Z31,Charge!$K$18:$M$21,1,TRUE))*VLOOKUP(Z31,Charge!$K$18:$M$21,3,TRUE),
VLOOKUP(Z31,Charge!$N$18:$P$21,2,TRUE)+(Z31-VLOOKUP(Z31,Charge!$N$18:$P$21,1,TRUE))*VLOOKUP(Z31,Charge!$N$18:$P$21,3,TRUE)),
IF(AND(B31="G3",M31="DG"),IF(R31="20'",
VLOOKUP(Z31,Charge!$R$18:$T$21,2,TRUE)+(Z31-VLOOKUP(Z31,Charge!$R$18:$T$21,1,TRUE))*VLOOKUP(Z31,Charge!$R$18:$T$21,3,TRUE),
VLOOKUP(Z31,Charge!$U$18:$W$21,2,TRUE)+(Z31-VLOOKUP(Z31,Charge!$U$18:$W$21,1,TRUE))*VLOOKUP(Z31,Charge!$U$18:$W$21,3,TRUE)),
IF(AND(B31="G2",M31=""),IF(R31="20'",
VLOOKUP(Z31,Charge!$K$9:$M$12,2,TRUE)+(Z31-VLOOKUP(Z31,Charge!$K$9:$M$12,1,TRUE))*VLOOKUP(Z31,Charge!$K$9:$M$12,3,TRUE),
VLOOKUP(Z31,Charge!$N$9:$P$12,2,TRUE)+(Z31-VLOOKUP(Z31,Charge!$N$9:$P$12,1,TRUE))*VLOOKUP(Z31,Charge!$N$9:$P$12,3,TRUE)),
IF(AND(B31="G2",M31="DG"),IF(R31="20'",
VLOOKUP(Z31,Charge!$R$9:$T$12,2,TRUE)+(Z31-VLOOKUP(Z31,Charge!$R$9:$T$12,1,TRUE))*VLOOKUP(Z31,Charge!$R$9:$T$12,3,TRUE),
VLOOKUP(Z31,Charge!$U$9:$W$12,2,TRUE)+(Z31-VLOOKUP(Z31,Charge!$U$9:$W$12,1,TRUE))*VLOOKUP(Z31,Charge!$U$9:$W$12,3,TRUE)),IF(AND(B31="G4",M31=""),IF(R31="20'",Z31*Charge!$M$25,Z31*Charge!$P$25),IF(AND(B31="G4",M31="DG"),IF(R31="20'",Z31*Charge!$T$25,Z31*Charge!$W$25),0))))))))</f>
        <v>4215</v>
      </c>
      <c r="AB31" s="184" t="n"/>
      <c r="AC31" s="184" t="n"/>
      <c r="AD31" s="60">
        <f>IF(M31="DG",3,IF(N31="RF",3,5))+IF(AND(LEFT(C31,3)="BKK",N31="RF",Q31="KTS"),1,0)+IF(Q31="KHS",1,0)</f>
        <v>5</v>
      </c>
      <c r="AE31" s="63">
        <f>(T31-V31)+1</f>
        <v>46304</v>
      </c>
      <c r="AF31" s="63">
        <f>IF(AB31&gt;IF((V31-W31)&gt;0,V31-W31,0),0,IF(AB31&lt;IF((V31-W31)&gt;0,V31-W31,0),IF((V31-W31)&gt;0,V31-W31,0)-AB31,IF((V31-W31)&gt;0,V31-W31,0)))</f>
        <v>0</v>
      </c>
      <c r="AG31" s="187">
        <f>IF(AND(M31=""),IF(R31="20'",
VLOOKUP(AF31,Charge!$K$31:$M$34,2,TRUE)+(AF31-VLOOKUP(AF31,Charge!$K$31:$M$34,1,TRUE))*VLOOKUP(AF31,Charge!$K$31:$M$34,3,TRUE),
VLOOKUP(AF31,Charge!$N$31:$P$34,2,TRUE)+(AF31-VLOOKUP(AF31,Charge!$N$31:$P$34,1,TRUE))*VLOOKUP(AF31,Charge!$N$31:$P$34,3,TRUE)),
IF(AND(M31="DG"),IF(R31="20'",
VLOOKUP(AF31,Charge!$R$31:$T$34,2,TRUE)+(AF31-VLOOKUP(AF31,Charge!$R$31:$T$34,1,TRUE))*VLOOKUP(AF31,Charge!$R$31:$T$34,3,TRUE),
VLOOKUP(AF31,Charge!$U$31:$W$34,2,TRUE)+(AF31-VLOOKUP(AF31,Charge!$U$31:$W$34,1,TRUE))*VLOOKUP(AF31,Charge!$U$31:$W$34,3,TRUE)),0))</f>
        <v>0</v>
      </c>
      <c r="AH31" s="65" t="n"/>
      <c r="AI31" s="65">
        <f>AA31-AH31</f>
        <v>4215</v>
      </c>
      <c r="AJ31" s="188" t="n"/>
      <c r="AK31" s="62" t="str">
        <f>VLOOKUP(D31,'2.Bookinglist'!A:CT,40,FALSE)</f>
        <v>Uetake Takahiro</v>
      </c>
      <c r="AL31" s="60" t="str">
        <f>VLOOKUP(D31,'2.Bookinglist'!A:CW,101,FALSE)</f>
        <v>2026-10-05</v>
      </c>
      <c r="AM31" s="60" t="str">
        <f>VLOOKUP(D31,'2.Bookinglist'!A:BK,63,FALSE)</f>
        <v>BKK25</v>
      </c>
      <c r="AN31" s="62" t="str">
        <f>VLOOKUP(D31,'2.Bookinglist'!A:AZ,52,FALSE)</f>
        <v>Pickup : 2026-09-17, Return : 2026-09-19</v>
      </c>
      <c r="AO31" s="62" t="str">
        <f>VLOOKUP(D31,'2.Bookinglist'!A:CY,103,FALSE)</f>
        <v>ROLL OVER FROM PREVIOUS VSL SWMM 2609N BY ALLOCATION TEAM MS.TARN APPROVED COST IS UNDER HA DD.21/09</v>
      </c>
    </row>
    <row r="32" ht="12.95" customHeight="1">
      <c r="A32" s="96" t="inlineStr">
        <is>
          <t>HALU2407193</t>
        </is>
      </c>
      <c r="B32" s="184" t="str">
        <f>IF(C32=Charge!$M$1,Charge!$J$1,IF(C32=Charge!$M$23,Charge!$J$23,IF(C32=Charge!$M$17,Charge!$J$17,IF(C32=Charge!$N$17,Charge!$J$17,Charge!$J$7))))</f>
        <v>G3</v>
      </c>
      <c r="C32" s="61" t="str">
        <f>VLOOKUP(A32,'1.Loading'!A:R,14,FALSE)</f>
        <v>BKK04</v>
      </c>
      <c r="D32" s="61" t="str">
        <f>VLOOKUP(A32,'1.Loading'!A:R,17,FALSE)</f>
        <v>HASLS22260900501</v>
      </c>
      <c r="E32" s="62" t="str">
        <f>VLOOKUP(D32,'2.Bookinglist'!A:CT,27,FALSE)</f>
        <v>MERCURIAL LOGISTICS  CO.,LTD</v>
      </c>
      <c r="F32" s="62" t="str">
        <f>VLOOKUP(D32,'2.Bookinglist'!A:CT,28,FALSE)</f>
        <v>UENO FINE CHEMICALS INDUSTRY (THAILAND) LTD.</v>
      </c>
      <c r="G32" s="60">
        <f>VLOOKUP(D32,'2.Bookinglist'!A:E,5,FALSE)</f>
        <v>0</v>
      </c>
      <c r="H32" s="61" t="str">
        <f>VLOOKUP(D32,'2.Bookinglist'!A:CT,15,FALSE)</f>
        <v>THBKK</v>
      </c>
      <c r="I32" s="61" t="str">
        <f>VLOOKUP(D32,'2.Bookinglist'!A:CT,19,FALSE)</f>
        <v>VNSGN</v>
      </c>
      <c r="J32" s="61">
        <f>VLOOKUP(D32,'2.Bookinglist'!A:CT,26,FALSE)</f>
        <v>0</v>
      </c>
      <c r="K32" s="61" t="str">
        <f>VLOOKUP(A32,'1.Loading'!A:R,5,FALSE)</f>
        <v>22GP</v>
      </c>
      <c r="L32" s="60" t="str">
        <f>VLOOKUP(D32,'2.Bookinglist'!A:CT,85,FALSE)</f>
        <v>CY/CY</v>
      </c>
      <c r="M32" s="60" t="str">
        <f>IF(VLOOKUP(D32,'2.Bookinglist'!A:CT,43,FALSE)=0,"","DG")</f>
        <v/>
      </c>
      <c r="N32" s="60" t="str">
        <f>IF(RIGHT(K32,2)="RE","RF","")</f>
        <v/>
      </c>
      <c r="O32" s="61" t="str">
        <f>VLOOKUP(A32,'1.Loading'!A:R,3,FALSE)</f>
        <v>SWSP</v>
      </c>
      <c r="P32" s="61" t="str">
        <f>VLOOKUP(A32,'1.Loading'!A:R,4,FALSE)</f>
        <v>2609N</v>
      </c>
      <c r="Q32" s="61" t="str">
        <f>VLOOKUP(D32,'2.Bookinglist'!A:CT,12,FALSE)</f>
        <v>BTS</v>
      </c>
      <c r="R32" s="60" t="str">
        <f>IF(LEFT(K32,2)="22","20'","40'")</f>
        <v>20'</v>
      </c>
      <c r="S32" s="185" t="n"/>
      <c r="T32" s="61" t="str">
        <f>VLOOKUP(A32,'1.Loading'!A:R,2,FALSE)</f>
        <v>2026-10-08</v>
      </c>
      <c r="U32" s="63">
        <f>T32-S32</f>
        <v>46303</v>
      </c>
      <c r="V32" s="186" t="n"/>
      <c r="W32" s="61" t="str">
        <f>VLOOKUP(A32,'3.GateMove'!A:D,4,FALSE)</f>
        <v>2026-10-01</v>
      </c>
      <c r="X32" s="63">
        <f>((T32-W32)+1)</f>
        <v>8</v>
      </c>
      <c r="Y32" s="64">
        <f>IF(AND(OR(C32="BKK01",C32="BKK04"),L32="CFS/CY"),0,IF(M32="DG",1,IF(LEFT(C32,3)="LCH",7,IF(C32="BKK02",5,3))))</f>
        <v>3</v>
      </c>
      <c r="Z32" s="63">
        <f>IF(IF(AND(AC32="TML",AB32&gt;0),((T32-W32)+1)-AB32,((T32-W32)+1)-Y32)&gt;0,IF(AND(AC32="TML",AB32&gt;0),((T32-W32)+1)-AB32,((T32-W32)+1)-Y32),0)</f>
        <v>5</v>
      </c>
      <c r="AA32" s="187">
        <f>IF(AND(B32="G1",M32=""),IF(R32="20'",
VLOOKUP(Z32,Charge!$K$2:$M$5,2,TRUE)+(Z32-VLOOKUP(Z32,Charge!$K$2:$M$5,1,TRUE))*VLOOKUP(Z32,Charge!$K$2:$M$5,3,TRUE),
VLOOKUP(Z32,Charge!$N$2:$P$5,2,TRUE)+(Z32-VLOOKUP(Z32,Charge!$N$2:$P$5,1,TRUE))*VLOOKUP(Z32,Charge!$N$2:$P$5,3,TRUE)),
IF(AND(B32="G1",M32="DG"),IF(R32="20'",
VLOOKUP(Z32,Charge!$R$2:$T$5,2,TRUE)+(Z32-VLOOKUP(Z32,Charge!$R$2:$T$5,1,TRUE))*VLOOKUP(Z32,Charge!$R$2:$T$5,3,TRUE),
VLOOKUP(Z32,Charge!$U$2:$W$5,2,TRUE)+(Z32-VLOOKUP(Z32,Charge!$U$2:$W$5,1,TRUE))*VLOOKUP(Z32,Charge!$U$2:$W$5,3,TRUE)),
IF(AND(B32="G3",M32=""),IF(R32="20'",
VLOOKUP(Z32,Charge!$K$18:$M$21,2,TRUE)+(Z32-VLOOKUP(Z32,Charge!$K$18:$M$21,1,TRUE))*VLOOKUP(Z32,Charge!$K$18:$M$21,3,TRUE),
VLOOKUP(Z32,Charge!$N$18:$P$21,2,TRUE)+(Z32-VLOOKUP(Z32,Charge!$N$18:$P$21,1,TRUE))*VLOOKUP(Z32,Charge!$N$18:$P$21,3,TRUE)),
IF(AND(B32="G3",M32="DG"),IF(R32="20'",
VLOOKUP(Z32,Charge!$R$18:$T$21,2,TRUE)+(Z32-VLOOKUP(Z32,Charge!$R$18:$T$21,1,TRUE))*VLOOKUP(Z32,Charge!$R$18:$T$21,3,TRUE),
VLOOKUP(Z32,Charge!$U$18:$W$21,2,TRUE)+(Z32-VLOOKUP(Z32,Charge!$U$18:$W$21,1,TRUE))*VLOOKUP(Z32,Charge!$U$18:$W$21,3,TRUE)),
IF(AND(B32="G2",M32=""),IF(R32="20'",
VLOOKUP(Z32,Charge!$K$9:$M$12,2,TRUE)+(Z32-VLOOKUP(Z32,Charge!$K$9:$M$12,1,TRUE))*VLOOKUP(Z32,Charge!$K$9:$M$12,3,TRUE),
VLOOKUP(Z32,Charge!$N$9:$P$12,2,TRUE)+(Z32-VLOOKUP(Z32,Charge!$N$9:$P$12,1,TRUE))*VLOOKUP(Z32,Charge!$N$9:$P$12,3,TRUE)),
IF(AND(B32="G2",M32="DG"),IF(R32="20'",
VLOOKUP(Z32,Charge!$R$9:$T$12,2,TRUE)+(Z32-VLOOKUP(Z32,Charge!$R$9:$T$12,1,TRUE))*VLOOKUP(Z32,Charge!$R$9:$T$12,3,TRUE),
VLOOKUP(Z32,Charge!$U$9:$W$12,2,TRUE)+(Z32-VLOOKUP(Z32,Charge!$U$9:$W$12,1,TRUE))*VLOOKUP(Z32,Charge!$U$9:$W$12,3,TRUE)),IF(AND(B32="G4",M32=""),IF(R32="20'",Z32*Charge!$M$25,Z32*Charge!$P$25),IF(AND(B32="G4",M32="DG"),IF(R32="20'",Z32*Charge!$T$25,Z32*Charge!$W$25),0))))))))</f>
        <v>800</v>
      </c>
      <c r="AB32" s="184" t="n"/>
      <c r="AC32" s="184" t="n"/>
      <c r="AD32" s="60">
        <f>IF(M32="DG",3,IF(N32="RF",3,5))+IF(AND(LEFT(C32,3)="BKK",N32="RF",Q32="KTS"),1,0)+IF(Q32="KHS",1,0)</f>
        <v>5</v>
      </c>
      <c r="AE32" s="63">
        <f>(T32-V32)+1</f>
        <v>46304</v>
      </c>
      <c r="AF32" s="63">
        <f>IF(AB32&gt;IF((V32-W32)&gt;0,V32-W32,0),0,IF(AB32&lt;IF((V32-W32)&gt;0,V32-W32,0),IF((V32-W32)&gt;0,V32-W32,0)-AB32,IF((V32-W32)&gt;0,V32-W32,0)))</f>
        <v>0</v>
      </c>
      <c r="AG32" s="187">
        <f>IF(AND(M32=""),IF(R32="20'",
VLOOKUP(AF32,Charge!$K$31:$M$34,2,TRUE)+(AF32-VLOOKUP(AF32,Charge!$K$31:$M$34,1,TRUE))*VLOOKUP(AF32,Charge!$K$31:$M$34,3,TRUE),
VLOOKUP(AF32,Charge!$N$31:$P$34,2,TRUE)+(AF32-VLOOKUP(AF32,Charge!$N$31:$P$34,1,TRUE))*VLOOKUP(AF32,Charge!$N$31:$P$34,3,TRUE)),
IF(AND(M32="DG"),IF(R32="20'",
VLOOKUP(AF32,Charge!$R$31:$T$34,2,TRUE)+(AF32-VLOOKUP(AF32,Charge!$R$31:$T$34,1,TRUE))*VLOOKUP(AF32,Charge!$R$31:$T$34,3,TRUE),
VLOOKUP(AF32,Charge!$U$31:$W$34,2,TRUE)+(AF32-VLOOKUP(AF32,Charge!$U$31:$W$34,1,TRUE))*VLOOKUP(AF32,Charge!$U$31:$W$34,3,TRUE)),0))</f>
        <v>0</v>
      </c>
      <c r="AH32" s="65" t="n"/>
      <c r="AI32" s="65">
        <f>AA32-AH32</f>
        <v>800</v>
      </c>
      <c r="AJ32" s="188" t="n"/>
      <c r="AK32" s="62" t="str">
        <f>VLOOKUP(D32,'2.Bookinglist'!A:CT,40,FALSE)</f>
        <v>Nannaapust Sukporntaweewat</v>
      </c>
      <c r="AL32" s="60" t="str">
        <f>VLOOKUP(D32,'2.Bookinglist'!A:CW,101,FALSE)</f>
        <v>2026-10-02</v>
      </c>
      <c r="AM32" s="60" t="str">
        <f>VLOOKUP(D32,'2.Bookinglist'!A:BK,63,FALSE)</f>
        <v>BKK27</v>
      </c>
      <c r="AN32" s="62" t="str">
        <f>VLOOKUP(D32,'2.Bookinglist'!A:AZ,52,FALSE)</f>
        <v>Pickup : 2026-09-29, Return : 2026-09-29</v>
      </c>
      <c r="AO32" s="62">
        <f>VLOOKUP(D32,'2.Bookinglist'!A:CY,103,FALSE)</f>
        <v>0</v>
      </c>
    </row>
    <row r="33" ht="12.95" customHeight="1">
      <c r="A33" s="96" t="inlineStr">
        <is>
          <t>HALU2410411</t>
        </is>
      </c>
      <c r="B33" s="184" t="str">
        <f>IF(C33=Charge!$M$1,Charge!$J$1,IF(C33=Charge!$M$23,Charge!$J$23,IF(C33=Charge!$M$17,Charge!$J$17,IF(C33=Charge!$N$17,Charge!$J$17,Charge!$J$7))))</f>
        <v>G3</v>
      </c>
      <c r="C33" s="61" t="str">
        <f>VLOOKUP(A33,'1.Loading'!A:R,14,FALSE)</f>
        <v>BKK04</v>
      </c>
      <c r="D33" s="61" t="str">
        <f>VLOOKUP(A33,'1.Loading'!A:R,17,FALSE)</f>
        <v>HASLS22260900903</v>
      </c>
      <c r="E33" s="62" t="str">
        <f>VLOOKUP(D33,'2.Bookinglist'!A:CT,27,FALSE)</f>
        <v>FIBS LOGISTICS CO., LTD.</v>
      </c>
      <c r="F33" s="62" t="str">
        <f>VLOOKUP(D33,'2.Bookinglist'!A:CT,28,FALSE)</f>
        <v>WORLD NATURAL FOOD CO., LTD.</v>
      </c>
      <c r="G33" s="60">
        <f>VLOOKUP(D33,'2.Bookinglist'!A:E,5,FALSE)</f>
        <v>0</v>
      </c>
      <c r="H33" s="61" t="str">
        <f>VLOOKUP(D33,'2.Bookinglist'!A:CT,15,FALSE)</f>
        <v>THBKK</v>
      </c>
      <c r="I33" s="61" t="str">
        <f>VLOOKUP(D33,'2.Bookinglist'!A:CT,19,FALSE)</f>
        <v>VNSGN</v>
      </c>
      <c r="J33" s="61">
        <f>VLOOKUP(D33,'2.Bookinglist'!A:CT,26,FALSE)</f>
        <v>0</v>
      </c>
      <c r="K33" s="61" t="str">
        <f>VLOOKUP(A33,'1.Loading'!A:R,5,FALSE)</f>
        <v>22GP</v>
      </c>
      <c r="L33" s="60" t="str">
        <f>VLOOKUP(D33,'2.Bookinglist'!A:CT,85,FALSE)</f>
        <v>CY/CY</v>
      </c>
      <c r="M33" s="60" t="str">
        <f>IF(VLOOKUP(D33,'2.Bookinglist'!A:CT,43,FALSE)=0,"","DG")</f>
        <v/>
      </c>
      <c r="N33" s="60" t="str">
        <f>IF(RIGHT(K33,2)="RE","RF","")</f>
        <v/>
      </c>
      <c r="O33" s="61" t="str">
        <f>VLOOKUP(A33,'1.Loading'!A:R,3,FALSE)</f>
        <v>SWSP</v>
      </c>
      <c r="P33" s="61" t="str">
        <f>VLOOKUP(A33,'1.Loading'!A:R,4,FALSE)</f>
        <v>2609N</v>
      </c>
      <c r="Q33" s="61" t="str">
        <f>VLOOKUP(D33,'2.Bookinglist'!A:CT,12,FALSE)</f>
        <v>BTS</v>
      </c>
      <c r="R33" s="60" t="str">
        <f>IF(LEFT(K33,2)="22","20'","40'")</f>
        <v>20'</v>
      </c>
      <c r="S33" s="185" t="n"/>
      <c r="T33" s="61" t="str">
        <f>VLOOKUP(A33,'1.Loading'!A:R,2,FALSE)</f>
        <v>2026-10-08</v>
      </c>
      <c r="U33" s="63">
        <f>T33-S33</f>
        <v>46303</v>
      </c>
      <c r="V33" s="186" t="n"/>
      <c r="W33" s="61" t="str">
        <f>VLOOKUP(A33,'3.GateMove'!A:D,4,FALSE)</f>
        <v>2026-10-05</v>
      </c>
      <c r="X33" s="63">
        <f>((T33-W33)+1)</f>
        <v>4</v>
      </c>
      <c r="Y33" s="64">
        <f>IF(AND(OR(C33="BKK01",C33="BKK04"),L33="CFS/CY"),0,IF(M33="DG",1,IF(LEFT(C33,3)="LCH",7,IF(C33="BKK02",5,3))))</f>
        <v>3</v>
      </c>
      <c r="Z33" s="63">
        <f>IF(IF(AND(AC33="TML",AB33&gt;0),((T33-W33)+1)-AB33,((T33-W33)+1)-Y33)&gt;0,IF(AND(AC33="TML",AB33&gt;0),((T33-W33)+1)-AB33,((T33-W33)+1)-Y33),0)</f>
        <v>1</v>
      </c>
      <c r="AA33" s="187">
        <f>IF(AND(B33="G1",M33=""),IF(R33="20'",
VLOOKUP(Z33,Charge!$K$2:$M$5,2,TRUE)+(Z33-VLOOKUP(Z33,Charge!$K$2:$M$5,1,TRUE))*VLOOKUP(Z33,Charge!$K$2:$M$5,3,TRUE),
VLOOKUP(Z33,Charge!$N$2:$P$5,2,TRUE)+(Z33-VLOOKUP(Z33,Charge!$N$2:$P$5,1,TRUE))*VLOOKUP(Z33,Charge!$N$2:$P$5,3,TRUE)),
IF(AND(B33="G1",M33="DG"),IF(R33="20'",
VLOOKUP(Z33,Charge!$R$2:$T$5,2,TRUE)+(Z33-VLOOKUP(Z33,Charge!$R$2:$T$5,1,TRUE))*VLOOKUP(Z33,Charge!$R$2:$T$5,3,TRUE),
VLOOKUP(Z33,Charge!$U$2:$W$5,2,TRUE)+(Z33-VLOOKUP(Z33,Charge!$U$2:$W$5,1,TRUE))*VLOOKUP(Z33,Charge!$U$2:$W$5,3,TRUE)),
IF(AND(B33="G3",M33=""),IF(R33="20'",
VLOOKUP(Z33,Charge!$K$18:$M$21,2,TRUE)+(Z33-VLOOKUP(Z33,Charge!$K$18:$M$21,1,TRUE))*VLOOKUP(Z33,Charge!$K$18:$M$21,3,TRUE),
VLOOKUP(Z33,Charge!$N$18:$P$21,2,TRUE)+(Z33-VLOOKUP(Z33,Charge!$N$18:$P$21,1,TRUE))*VLOOKUP(Z33,Charge!$N$18:$P$21,3,TRUE)),
IF(AND(B33="G3",M33="DG"),IF(R33="20'",
VLOOKUP(Z33,Charge!$R$18:$T$21,2,TRUE)+(Z33-VLOOKUP(Z33,Charge!$R$18:$T$21,1,TRUE))*VLOOKUP(Z33,Charge!$R$18:$T$21,3,TRUE),
VLOOKUP(Z33,Charge!$U$18:$W$21,2,TRUE)+(Z33-VLOOKUP(Z33,Charge!$U$18:$W$21,1,TRUE))*VLOOKUP(Z33,Charge!$U$18:$W$21,3,TRUE)),
IF(AND(B33="G2",M33=""),IF(R33="20'",
VLOOKUP(Z33,Charge!$K$9:$M$12,2,TRUE)+(Z33-VLOOKUP(Z33,Charge!$K$9:$M$12,1,TRUE))*VLOOKUP(Z33,Charge!$K$9:$M$12,3,TRUE),
VLOOKUP(Z33,Charge!$N$9:$P$12,2,TRUE)+(Z33-VLOOKUP(Z33,Charge!$N$9:$P$12,1,TRUE))*VLOOKUP(Z33,Charge!$N$9:$P$12,3,TRUE)),
IF(AND(B33="G2",M33="DG"),IF(R33="20'",
VLOOKUP(Z33,Charge!$R$9:$T$12,2,TRUE)+(Z33-VLOOKUP(Z33,Charge!$R$9:$T$12,1,TRUE))*VLOOKUP(Z33,Charge!$R$9:$T$12,3,TRUE),
VLOOKUP(Z33,Charge!$U$9:$W$12,2,TRUE)+(Z33-VLOOKUP(Z33,Charge!$U$9:$W$12,1,TRUE))*VLOOKUP(Z33,Charge!$U$9:$W$12,3,TRUE)),IF(AND(B33="G4",M33=""),IF(R33="20'",Z33*Charge!$M$25,Z33*Charge!$P$25),IF(AND(B33="G4",M33="DG"),IF(R33="20'",Z33*Charge!$T$25,Z33*Charge!$W$25),0))))))))</f>
        <v>160</v>
      </c>
      <c r="AB33" s="184" t="n"/>
      <c r="AC33" s="184" t="n"/>
      <c r="AD33" s="60">
        <f>IF(M33="DG",3,IF(N33="RF",3,5))+IF(AND(LEFT(C33,3)="BKK",N33="RF",Q33="KTS"),1,0)+IF(Q33="KHS",1,0)</f>
        <v>5</v>
      </c>
      <c r="AE33" s="63">
        <f>(T33-V33)+1</f>
        <v>46304</v>
      </c>
      <c r="AF33" s="63">
        <f>IF(AB33&gt;IF((V33-W33)&gt;0,V33-W33,0),0,IF(AB33&lt;IF((V33-W33)&gt;0,V33-W33,0),IF((V33-W33)&gt;0,V33-W33,0)-AB33,IF((V33-W33)&gt;0,V33-W33,0)))</f>
        <v>0</v>
      </c>
      <c r="AG33" s="187">
        <f>IF(AND(M33=""),IF(R33="20'",
VLOOKUP(AF33,Charge!$K$31:$M$34,2,TRUE)+(AF33-VLOOKUP(AF33,Charge!$K$31:$M$34,1,TRUE))*VLOOKUP(AF33,Charge!$K$31:$M$34,3,TRUE),
VLOOKUP(AF33,Charge!$N$31:$P$34,2,TRUE)+(AF33-VLOOKUP(AF33,Charge!$N$31:$P$34,1,TRUE))*VLOOKUP(AF33,Charge!$N$31:$P$34,3,TRUE)),
IF(AND(M33="DG"),IF(R33="20'",
VLOOKUP(AF33,Charge!$R$31:$T$34,2,TRUE)+(AF33-VLOOKUP(AF33,Charge!$R$31:$T$34,1,TRUE))*VLOOKUP(AF33,Charge!$R$31:$T$34,3,TRUE),
VLOOKUP(AF33,Charge!$U$31:$W$34,2,TRUE)+(AF33-VLOOKUP(AF33,Charge!$U$31:$W$34,1,TRUE))*VLOOKUP(AF33,Charge!$U$31:$W$34,3,TRUE)),0))</f>
        <v>0</v>
      </c>
      <c r="AH33" s="65" t="n"/>
      <c r="AI33" s="65">
        <f>AA33-AH33</f>
        <v>160</v>
      </c>
      <c r="AJ33" s="188" t="n"/>
      <c r="AK33" s="62" t="str">
        <f>VLOOKUP(D33,'2.Bookinglist'!A:CT,40,FALSE)</f>
        <v>Nannaapust Sukporntaweewat</v>
      </c>
      <c r="AL33" s="60" t="str">
        <f>VLOOKUP(D33,'2.Bookinglist'!A:CW,101,FALSE)</f>
        <v>2026-10-01</v>
      </c>
      <c r="AM33" s="60" t="str">
        <f>VLOOKUP(D33,'2.Bookinglist'!A:BK,63,FALSE)</f>
        <v>BKK25</v>
      </c>
      <c r="AN33" s="62" t="str">
        <f>VLOOKUP(D33,'2.Bookinglist'!A:AZ,52,FALSE)</f>
        <v>Pickup : 2026-10-02, Return : 2026-10-04 </v>
      </c>
      <c r="AO33" s="62">
        <f>VLOOKUP(D33,'2.Bookinglist'!A:CY,103,FALSE)</f>
        <v>0</v>
      </c>
    </row>
    <row r="34" ht="12.95" customHeight="1">
      <c r="A34" s="96" t="inlineStr">
        <is>
          <t>HALU2434748</t>
        </is>
      </c>
      <c r="B34" s="184" t="str">
        <f>IF(C34=Charge!$M$1,Charge!$J$1,IF(C34=Charge!$M$23,Charge!$J$23,IF(C34=Charge!$M$17,Charge!$J$17,IF(C34=Charge!$N$17,Charge!$J$17,Charge!$J$7))))</f>
        <v>G3</v>
      </c>
      <c r="C34" s="61" t="str">
        <f>VLOOKUP(A34,'1.Loading'!A:R,14,FALSE)</f>
        <v>BKK04</v>
      </c>
      <c r="D34" s="61" t="str">
        <f>VLOOKUP(A34,'1.Loading'!A:R,17,FALSE)</f>
        <v>HASLS22260901245</v>
      </c>
      <c r="E34" s="62" t="str">
        <f>VLOOKUP(D34,'2.Bookinglist'!A:CT,27,FALSE)</f>
        <v>BANGKOK COLD STORAGE SERVICE,LTD</v>
      </c>
      <c r="F34" s="62" t="str">
        <f>VLOOKUP(D34,'2.Bookinglist'!A:CT,28,FALSE)</f>
        <v>UENO FINE CHEMICALS INDUSTRY (THAILAND) LTD.</v>
      </c>
      <c r="G34" s="60">
        <f>VLOOKUP(D34,'2.Bookinglist'!A:E,5,FALSE)</f>
        <v>0</v>
      </c>
      <c r="H34" s="61" t="str">
        <f>VLOOKUP(D34,'2.Bookinglist'!A:CT,15,FALSE)</f>
        <v>THBKK</v>
      </c>
      <c r="I34" s="61" t="str">
        <f>VLOOKUP(D34,'2.Bookinglist'!A:CT,19,FALSE)</f>
        <v>JPMIZ</v>
      </c>
      <c r="J34" s="61" t="str">
        <f>VLOOKUP(D34,'2.Bookinglist'!A:CT,26,FALSE)</f>
        <v>KRPUS</v>
      </c>
      <c r="K34" s="61" t="str">
        <f>VLOOKUP(A34,'1.Loading'!A:R,5,FALSE)</f>
        <v>22GP</v>
      </c>
      <c r="L34" s="60" t="str">
        <f>VLOOKUP(D34,'2.Bookinglist'!A:CT,85,FALSE)</f>
        <v>CY/CY</v>
      </c>
      <c r="M34" s="60" t="str">
        <f>IF(VLOOKUP(D34,'2.Bookinglist'!A:CT,43,FALSE)=0,"","DG")</f>
        <v/>
      </c>
      <c r="N34" s="60" t="str">
        <f>IF(RIGHT(K34,2)="RE","RF","")</f>
        <v/>
      </c>
      <c r="O34" s="61" t="str">
        <f>VLOOKUP(A34,'1.Loading'!A:R,3,FALSE)</f>
        <v>SWSP</v>
      </c>
      <c r="P34" s="61" t="str">
        <f>VLOOKUP(A34,'1.Loading'!A:R,4,FALSE)</f>
        <v>2609N</v>
      </c>
      <c r="Q34" s="61" t="str">
        <f>VLOOKUP(D34,'2.Bookinglist'!A:CT,12,FALSE)</f>
        <v>BTS</v>
      </c>
      <c r="R34" s="60" t="str">
        <f>IF(LEFT(K34,2)="22","20'","40'")</f>
        <v>20'</v>
      </c>
      <c r="S34" s="185" t="n"/>
      <c r="T34" s="61" t="str">
        <f>VLOOKUP(A34,'1.Loading'!A:R,2,FALSE)</f>
        <v>2026-10-08</v>
      </c>
      <c r="U34" s="63">
        <f>T34-S34</f>
        <v>46303</v>
      </c>
      <c r="V34" s="186" t="n"/>
      <c r="W34" s="61" t="str">
        <f>VLOOKUP(A34,'3.GateMove'!A:D,4,FALSE)</f>
        <v>2026-09-30</v>
      </c>
      <c r="X34" s="63">
        <f>((T34-W34)+1)</f>
        <v>9</v>
      </c>
      <c r="Y34" s="64">
        <f>IF(AND(OR(C34="BKK01",C34="BKK04"),L34="CFS/CY"),0,IF(M34="DG",1,IF(LEFT(C34,3)="LCH",7,IF(C34="BKK02",5,3))))</f>
        <v>3</v>
      </c>
      <c r="Z34" s="63">
        <f>IF(IF(AND(AC34="TML",AB34&gt;0),((T34-W34)+1)-AB34,((T34-W34)+1)-Y34)&gt;0,IF(AND(AC34="TML",AB34&gt;0),((T34-W34)+1)-AB34,((T34-W34)+1)-Y34),0)</f>
        <v>6</v>
      </c>
      <c r="AA34" s="187">
        <f>IF(AND(B34="G1",M34=""),IF(R34="20'",
VLOOKUP(Z34,Charge!$K$2:$M$5,2,TRUE)+(Z34-VLOOKUP(Z34,Charge!$K$2:$M$5,1,TRUE))*VLOOKUP(Z34,Charge!$K$2:$M$5,3,TRUE),
VLOOKUP(Z34,Charge!$N$2:$P$5,2,TRUE)+(Z34-VLOOKUP(Z34,Charge!$N$2:$P$5,1,TRUE))*VLOOKUP(Z34,Charge!$N$2:$P$5,3,TRUE)),
IF(AND(B34="G1",M34="DG"),IF(R34="20'",
VLOOKUP(Z34,Charge!$R$2:$T$5,2,TRUE)+(Z34-VLOOKUP(Z34,Charge!$R$2:$T$5,1,TRUE))*VLOOKUP(Z34,Charge!$R$2:$T$5,3,TRUE),
VLOOKUP(Z34,Charge!$U$2:$W$5,2,TRUE)+(Z34-VLOOKUP(Z34,Charge!$U$2:$W$5,1,TRUE))*VLOOKUP(Z34,Charge!$U$2:$W$5,3,TRUE)),
IF(AND(B34="G3",M34=""),IF(R34="20'",
VLOOKUP(Z34,Charge!$K$18:$M$21,2,TRUE)+(Z34-VLOOKUP(Z34,Charge!$K$18:$M$21,1,TRUE))*VLOOKUP(Z34,Charge!$K$18:$M$21,3,TRUE),
VLOOKUP(Z34,Charge!$N$18:$P$21,2,TRUE)+(Z34-VLOOKUP(Z34,Charge!$N$18:$P$21,1,TRUE))*VLOOKUP(Z34,Charge!$N$18:$P$21,3,TRUE)),
IF(AND(B34="G3",M34="DG"),IF(R34="20'",
VLOOKUP(Z34,Charge!$R$18:$T$21,2,TRUE)+(Z34-VLOOKUP(Z34,Charge!$R$18:$T$21,1,TRUE))*VLOOKUP(Z34,Charge!$R$18:$T$21,3,TRUE),
VLOOKUP(Z34,Charge!$U$18:$W$21,2,TRUE)+(Z34-VLOOKUP(Z34,Charge!$U$18:$W$21,1,TRUE))*VLOOKUP(Z34,Charge!$U$18:$W$21,3,TRUE)),
IF(AND(B34="G2",M34=""),IF(R34="20'",
VLOOKUP(Z34,Charge!$K$9:$M$12,2,TRUE)+(Z34-VLOOKUP(Z34,Charge!$K$9:$M$12,1,TRUE))*VLOOKUP(Z34,Charge!$K$9:$M$12,3,TRUE),
VLOOKUP(Z34,Charge!$N$9:$P$12,2,TRUE)+(Z34-VLOOKUP(Z34,Charge!$N$9:$P$12,1,TRUE))*VLOOKUP(Z34,Charge!$N$9:$P$12,3,TRUE)),
IF(AND(B34="G2",M34="DG"),IF(R34="20'",
VLOOKUP(Z34,Charge!$R$9:$T$12,2,TRUE)+(Z34-VLOOKUP(Z34,Charge!$R$9:$T$12,1,TRUE))*VLOOKUP(Z34,Charge!$R$9:$T$12,3,TRUE),
VLOOKUP(Z34,Charge!$U$9:$W$12,2,TRUE)+(Z34-VLOOKUP(Z34,Charge!$U$9:$W$12,1,TRUE))*VLOOKUP(Z34,Charge!$U$9:$W$12,3,TRUE)),IF(AND(B34="G4",M34=""),IF(R34="20'",Z34*Charge!$M$25,Z34*Charge!$P$25),IF(AND(B34="G4",M34="DG"),IF(R34="20'",Z34*Charge!$T$25,Z34*Charge!$W$25),0))))))))</f>
        <v>960</v>
      </c>
      <c r="AB34" s="184" t="n"/>
      <c r="AC34" s="184" t="n"/>
      <c r="AD34" s="60">
        <f>IF(M34="DG",3,IF(N34="RF",3,5))+IF(AND(LEFT(C34,3)="BKK",N34="RF",Q34="KTS"),1,0)+IF(Q34="KHS",1,0)</f>
        <v>5</v>
      </c>
      <c r="AE34" s="63">
        <f>(T34-V34)+1</f>
        <v>46304</v>
      </c>
      <c r="AF34" s="63">
        <f>IF(AB34&gt;IF((V34-W34)&gt;0,V34-W34,0),0,IF(AB34&lt;IF((V34-W34)&gt;0,V34-W34,0),IF((V34-W34)&gt;0,V34-W34,0)-AB34,IF((V34-W34)&gt;0,V34-W34,0)))</f>
        <v>0</v>
      </c>
      <c r="AG34" s="187">
        <f>IF(AND(M34=""),IF(R34="20'",
VLOOKUP(AF34,Charge!$K$31:$M$34,2,TRUE)+(AF34-VLOOKUP(AF34,Charge!$K$31:$M$34,1,TRUE))*VLOOKUP(AF34,Charge!$K$31:$M$34,3,TRUE),
VLOOKUP(AF34,Charge!$N$31:$P$34,2,TRUE)+(AF34-VLOOKUP(AF34,Charge!$N$31:$P$34,1,TRUE))*VLOOKUP(AF34,Charge!$N$31:$P$34,3,TRUE)),
IF(AND(M34="DG"),IF(R34="20'",
VLOOKUP(AF34,Charge!$R$31:$T$34,2,TRUE)+(AF34-VLOOKUP(AF34,Charge!$R$31:$T$34,1,TRUE))*VLOOKUP(AF34,Charge!$R$31:$T$34,3,TRUE),
VLOOKUP(AF34,Charge!$U$31:$W$34,2,TRUE)+(AF34-VLOOKUP(AF34,Charge!$U$31:$W$34,1,TRUE))*VLOOKUP(AF34,Charge!$U$31:$W$34,3,TRUE)),0))</f>
        <v>0</v>
      </c>
      <c r="AH34" s="65" t="n"/>
      <c r="AI34" s="65">
        <f>AA34-AH34</f>
        <v>960</v>
      </c>
      <c r="AJ34" s="188" t="n"/>
      <c r="AK34" s="62" t="str">
        <f>VLOOKUP(D34,'2.Bookinglist'!A:CT,40,FALSE)</f>
        <v>Yasuaki Ueno</v>
      </c>
      <c r="AL34" s="60" t="str">
        <f>VLOOKUP(D34,'2.Bookinglist'!A:CW,101,FALSE)</f>
        <v>2026-10-07</v>
      </c>
      <c r="AM34" s="60" t="str">
        <f>VLOOKUP(D34,'2.Bookinglist'!A:BK,63,FALSE)</f>
        <v>BKK27</v>
      </c>
      <c r="AN34" s="62" t="str">
        <f>VLOOKUP(D34,'2.Bookinglist'!A:AZ,52,FALSE)</f>
        <v>Pickup : 2026-09-29, Return : 2026-09-29 </v>
      </c>
      <c r="AO34" s="62" t="str">
        <f>VLOOKUP(D34,'2.Bookinglist'!A:CY,103,FALSE)</f>
        <v>ROLL OVER FROM PREVIOUS VSL KMBK 2611N BY ALLOCATION TEAM MS.TARN APPROVED COST IS UNDER HAL DD.01/10SI DD.29/9/26</v>
      </c>
    </row>
    <row r="35" ht="12.95" customHeight="1">
      <c r="A35" s="96" t="inlineStr">
        <is>
          <t>HALU2440165</t>
        </is>
      </c>
      <c r="B35" s="184" t="str">
        <f>IF(C35=Charge!$M$1,Charge!$J$1,IF(C35=Charge!$M$23,Charge!$J$23,IF(C35=Charge!$M$17,Charge!$J$17,IF(C35=Charge!$N$17,Charge!$J$17,Charge!$J$7))))</f>
        <v>G3</v>
      </c>
      <c r="C35" s="61" t="str">
        <f>VLOOKUP(A35,'1.Loading'!A:R,14,FALSE)</f>
        <v>BKK04</v>
      </c>
      <c r="D35" s="61" t="str">
        <f>VLOOKUP(A35,'1.Loading'!A:R,17,FALSE)</f>
        <v>HASLS22260900630</v>
      </c>
      <c r="E35" s="62" t="str">
        <f>VLOOKUP(D35,'2.Bookinglist'!A:CT,27,FALSE)</f>
        <v>ICONS GLOBAL LOGISTICS CO., LTD.</v>
      </c>
      <c r="F35" s="62" t="str">
        <f>VLOOKUP(D35,'2.Bookinglist'!A:CT,28,FALSE)</f>
        <v>THANAKORN VEGETABLE OIL PRODUCTS CO., LTD.</v>
      </c>
      <c r="G35" s="60">
        <f>VLOOKUP(D35,'2.Bookinglist'!A:E,5,FALSE)</f>
        <v>0</v>
      </c>
      <c r="H35" s="61" t="str">
        <f>VLOOKUP(D35,'2.Bookinglist'!A:CT,15,FALSE)</f>
        <v>THBKK</v>
      </c>
      <c r="I35" s="61" t="str">
        <f>VLOOKUP(D35,'2.Bookinglist'!A:CT,19,FALSE)</f>
        <v>VNSGN</v>
      </c>
      <c r="J35" s="61">
        <f>VLOOKUP(D35,'2.Bookinglist'!A:CT,26,FALSE)</f>
        <v>0</v>
      </c>
      <c r="K35" s="61" t="str">
        <f>VLOOKUP(A35,'1.Loading'!A:R,5,FALSE)</f>
        <v>22GP</v>
      </c>
      <c r="L35" s="60" t="str">
        <f>VLOOKUP(D35,'2.Bookinglist'!A:CT,85,FALSE)</f>
        <v>CY/CY</v>
      </c>
      <c r="M35" s="60" t="str">
        <f>IF(VLOOKUP(D35,'2.Bookinglist'!A:CT,43,FALSE)=0,"","DG")</f>
        <v/>
      </c>
      <c r="N35" s="60" t="str">
        <f>IF(RIGHT(K35,2)="RE","RF","")</f>
        <v/>
      </c>
      <c r="O35" s="61" t="str">
        <f>VLOOKUP(A35,'1.Loading'!A:R,3,FALSE)</f>
        <v>SWSP</v>
      </c>
      <c r="P35" s="61" t="str">
        <f>VLOOKUP(A35,'1.Loading'!A:R,4,FALSE)</f>
        <v>2609N</v>
      </c>
      <c r="Q35" s="61" t="str">
        <f>VLOOKUP(D35,'2.Bookinglist'!A:CT,12,FALSE)</f>
        <v>BTS</v>
      </c>
      <c r="R35" s="60" t="str">
        <f>IF(LEFT(K35,2)="22","20'","40'")</f>
        <v>20'</v>
      </c>
      <c r="S35" s="185" t="n"/>
      <c r="T35" s="61" t="str">
        <f>VLOOKUP(A35,'1.Loading'!A:R,2,FALSE)</f>
        <v>2026-10-08</v>
      </c>
      <c r="U35" s="63">
        <f>T35-S35</f>
        <v>46303</v>
      </c>
      <c r="V35" s="186" t="n"/>
      <c r="W35" s="61" t="str">
        <f>VLOOKUP(A35,'3.GateMove'!A:D,4,FALSE)</f>
        <v>2026-10-02</v>
      </c>
      <c r="X35" s="63">
        <f>((T35-W35)+1)</f>
        <v>7</v>
      </c>
      <c r="Y35" s="64">
        <f>IF(AND(OR(C35="BKK01",C35="BKK04"),L35="CFS/CY"),0,IF(M35="DG",1,IF(LEFT(C35,3)="LCH",7,IF(C35="BKK02",5,3))))</f>
        <v>3</v>
      </c>
      <c r="Z35" s="63">
        <f>IF(IF(AND(AC35="TML",AB35&gt;0),((T35-W35)+1)-AB35,((T35-W35)+1)-Y35)&gt;0,IF(AND(AC35="TML",AB35&gt;0),((T35-W35)+1)-AB35,((T35-W35)+1)-Y35),0)</f>
        <v>4</v>
      </c>
      <c r="AA35" s="187">
        <f>IF(AND(B35="G1",M35=""),IF(R35="20'",
VLOOKUP(Z35,Charge!$K$2:$M$5,2,TRUE)+(Z35-VLOOKUP(Z35,Charge!$K$2:$M$5,1,TRUE))*VLOOKUP(Z35,Charge!$K$2:$M$5,3,TRUE),
VLOOKUP(Z35,Charge!$N$2:$P$5,2,TRUE)+(Z35-VLOOKUP(Z35,Charge!$N$2:$P$5,1,TRUE))*VLOOKUP(Z35,Charge!$N$2:$P$5,3,TRUE)),
IF(AND(B35="G1",M35="DG"),IF(R35="20'",
VLOOKUP(Z35,Charge!$R$2:$T$5,2,TRUE)+(Z35-VLOOKUP(Z35,Charge!$R$2:$T$5,1,TRUE))*VLOOKUP(Z35,Charge!$R$2:$T$5,3,TRUE),
VLOOKUP(Z35,Charge!$U$2:$W$5,2,TRUE)+(Z35-VLOOKUP(Z35,Charge!$U$2:$W$5,1,TRUE))*VLOOKUP(Z35,Charge!$U$2:$W$5,3,TRUE)),
IF(AND(B35="G3",M35=""),IF(R35="20'",
VLOOKUP(Z35,Charge!$K$18:$M$21,2,TRUE)+(Z35-VLOOKUP(Z35,Charge!$K$18:$M$21,1,TRUE))*VLOOKUP(Z35,Charge!$K$18:$M$21,3,TRUE),
VLOOKUP(Z35,Charge!$N$18:$P$21,2,TRUE)+(Z35-VLOOKUP(Z35,Charge!$N$18:$P$21,1,TRUE))*VLOOKUP(Z35,Charge!$N$18:$P$21,3,TRUE)),
IF(AND(B35="G3",M35="DG"),IF(R35="20'",
VLOOKUP(Z35,Charge!$R$18:$T$21,2,TRUE)+(Z35-VLOOKUP(Z35,Charge!$R$18:$T$21,1,TRUE))*VLOOKUP(Z35,Charge!$R$18:$T$21,3,TRUE),
VLOOKUP(Z35,Charge!$U$18:$W$21,2,TRUE)+(Z35-VLOOKUP(Z35,Charge!$U$18:$W$21,1,TRUE))*VLOOKUP(Z35,Charge!$U$18:$W$21,3,TRUE)),
IF(AND(B35="G2",M35=""),IF(R35="20'",
VLOOKUP(Z35,Charge!$K$9:$M$12,2,TRUE)+(Z35-VLOOKUP(Z35,Charge!$K$9:$M$12,1,TRUE))*VLOOKUP(Z35,Charge!$K$9:$M$12,3,TRUE),
VLOOKUP(Z35,Charge!$N$9:$P$12,2,TRUE)+(Z35-VLOOKUP(Z35,Charge!$N$9:$P$12,1,TRUE))*VLOOKUP(Z35,Charge!$N$9:$P$12,3,TRUE)),
IF(AND(B35="G2",M35="DG"),IF(R35="20'",
VLOOKUP(Z35,Charge!$R$9:$T$12,2,TRUE)+(Z35-VLOOKUP(Z35,Charge!$R$9:$T$12,1,TRUE))*VLOOKUP(Z35,Charge!$R$9:$T$12,3,TRUE),
VLOOKUP(Z35,Charge!$U$9:$W$12,2,TRUE)+(Z35-VLOOKUP(Z35,Charge!$U$9:$W$12,1,TRUE))*VLOOKUP(Z35,Charge!$U$9:$W$12,3,TRUE)),IF(AND(B35="G4",M35=""),IF(R35="20'",Z35*Charge!$M$25,Z35*Charge!$P$25),IF(AND(B35="G4",M35="DG"),IF(R35="20'",Z35*Charge!$T$25,Z35*Charge!$W$25),0))))))))</f>
        <v>640</v>
      </c>
      <c r="AB35" s="184" t="n"/>
      <c r="AC35" s="184" t="n"/>
      <c r="AD35" s="60">
        <f>IF(M35="DG",3,IF(N35="RF",3,5))+IF(AND(LEFT(C35,3)="BKK",N35="RF",Q35="KTS"),1,0)+IF(Q35="KHS",1,0)</f>
        <v>5</v>
      </c>
      <c r="AE35" s="63">
        <f>(T35-V35)+1</f>
        <v>46304</v>
      </c>
      <c r="AF35" s="63">
        <f>IF(AB35&gt;IF((V35-W35)&gt;0,V35-W35,0),0,IF(AB35&lt;IF((V35-W35)&gt;0,V35-W35,0),IF((V35-W35)&gt;0,V35-W35,0)-AB35,IF((V35-W35)&gt;0,V35-W35,0)))</f>
        <v>0</v>
      </c>
      <c r="AG35" s="187">
        <f>IF(AND(M35=""),IF(R35="20'",
VLOOKUP(AF35,Charge!$K$31:$M$34,2,TRUE)+(AF35-VLOOKUP(AF35,Charge!$K$31:$M$34,1,TRUE))*VLOOKUP(AF35,Charge!$K$31:$M$34,3,TRUE),
VLOOKUP(AF35,Charge!$N$31:$P$34,2,TRUE)+(AF35-VLOOKUP(AF35,Charge!$N$31:$P$34,1,TRUE))*VLOOKUP(AF35,Charge!$N$31:$P$34,3,TRUE)),
IF(AND(M35="DG"),IF(R35="20'",
VLOOKUP(AF35,Charge!$R$31:$T$34,2,TRUE)+(AF35-VLOOKUP(AF35,Charge!$R$31:$T$34,1,TRUE))*VLOOKUP(AF35,Charge!$R$31:$T$34,3,TRUE),
VLOOKUP(AF35,Charge!$U$31:$W$34,2,TRUE)+(AF35-VLOOKUP(AF35,Charge!$U$31:$W$34,1,TRUE))*VLOOKUP(AF35,Charge!$U$31:$W$34,3,TRUE)),0))</f>
        <v>0</v>
      </c>
      <c r="AH35" s="65" t="n"/>
      <c r="AI35" s="65">
        <f>AA35-AH35</f>
        <v>640</v>
      </c>
      <c r="AJ35" s="188" t="n"/>
      <c r="AK35" s="62" t="str">
        <f>VLOOKUP(D35,'2.Bookinglist'!A:CT,40,FALSE)</f>
        <v>Dharaporn</v>
      </c>
      <c r="AL35" s="60" t="str">
        <f>VLOOKUP(D35,'2.Bookinglist'!A:CW,101,FALSE)</f>
        <v>2026-10-05</v>
      </c>
      <c r="AM35" s="60" t="str">
        <f>VLOOKUP(D35,'2.Bookinglist'!A:BK,63,FALSE)</f>
        <v>BKK27</v>
      </c>
      <c r="AN35" s="62" t="str">
        <f>VLOOKUP(D35,'2.Bookinglist'!A:AZ,52,FALSE)</f>
        <v>**APPROVED BY H.W KANG DD.23/09/2026** *FLEXIBAG ONDECK*
Survey : 2026-09-30, Pickup : 2026-10-01, Return : 2026-10-02 </v>
      </c>
      <c r="AO35" s="62">
        <f>VLOOKUP(D35,'2.Bookinglist'!A:CY,103,FALSE)</f>
        <v>0</v>
      </c>
    </row>
    <row r="36" ht="12.95" customHeight="1">
      <c r="A36" s="96" t="inlineStr">
        <is>
          <t>HALU2443014</t>
        </is>
      </c>
      <c r="B36" s="184" t="str">
        <f>IF(C36=Charge!$M$1,Charge!$J$1,IF(C36=Charge!$M$23,Charge!$J$23,IF(C36=Charge!$M$17,Charge!$J$17,IF(C36=Charge!$N$17,Charge!$J$17,Charge!$J$7))))</f>
        <v>G3</v>
      </c>
      <c r="C36" s="61" t="str">
        <f>VLOOKUP(A36,'1.Loading'!A:R,14,FALSE)</f>
        <v>BKK04</v>
      </c>
      <c r="D36" s="61" t="str">
        <f>VLOOKUP(A36,'1.Loading'!A:R,17,FALSE)</f>
        <v>HASLS22260900523</v>
      </c>
      <c r="E36" s="62" t="str">
        <f>VLOOKUP(D36,'2.Bookinglist'!A:CT,27,FALSE)</f>
        <v>QUALITY ACCESS GLOBAL LOGISTICS CO., LTD</v>
      </c>
      <c r="F36" s="62" t="str">
        <f>VLOOKUP(D36,'2.Bookinglist'!A:CT,28,FALSE)</f>
        <v>AQUACULTURE PROMOTION CO., LTD.</v>
      </c>
      <c r="G36" s="60">
        <f>VLOOKUP(D36,'2.Bookinglist'!A:E,5,FALSE)</f>
        <v>0</v>
      </c>
      <c r="H36" s="61" t="str">
        <f>VLOOKUP(D36,'2.Bookinglist'!A:CT,15,FALSE)</f>
        <v>THBKK</v>
      </c>
      <c r="I36" s="61" t="str">
        <f>VLOOKUP(D36,'2.Bookinglist'!A:CT,19,FALSE)</f>
        <v>VNSGN</v>
      </c>
      <c r="J36" s="61">
        <f>VLOOKUP(D36,'2.Bookinglist'!A:CT,26,FALSE)</f>
        <v>0</v>
      </c>
      <c r="K36" s="61" t="str">
        <f>VLOOKUP(A36,'1.Loading'!A:R,5,FALSE)</f>
        <v>22GP</v>
      </c>
      <c r="L36" s="60" t="str">
        <f>VLOOKUP(D36,'2.Bookinglist'!A:CT,85,FALSE)</f>
        <v>CY/CY</v>
      </c>
      <c r="M36" s="60" t="str">
        <f>IF(VLOOKUP(D36,'2.Bookinglist'!A:CT,43,FALSE)=0,"","DG")</f>
        <v/>
      </c>
      <c r="N36" s="60" t="str">
        <f>IF(RIGHT(K36,2)="RE","RF","")</f>
        <v/>
      </c>
      <c r="O36" s="61" t="str">
        <f>VLOOKUP(A36,'1.Loading'!A:R,3,FALSE)</f>
        <v>SWSP</v>
      </c>
      <c r="P36" s="61" t="str">
        <f>VLOOKUP(A36,'1.Loading'!A:R,4,FALSE)</f>
        <v>2609N</v>
      </c>
      <c r="Q36" s="61" t="str">
        <f>VLOOKUP(D36,'2.Bookinglist'!A:CT,12,FALSE)</f>
        <v>BTS</v>
      </c>
      <c r="R36" s="60" t="str">
        <f>IF(LEFT(K36,2)="22","20'","40'")</f>
        <v>20'</v>
      </c>
      <c r="S36" s="185" t="n"/>
      <c r="T36" s="61" t="str">
        <f>VLOOKUP(A36,'1.Loading'!A:R,2,FALSE)</f>
        <v>2026-10-08</v>
      </c>
      <c r="U36" s="63">
        <f>T36-S36</f>
        <v>46303</v>
      </c>
      <c r="V36" s="186" t="n"/>
      <c r="W36" s="61" t="str">
        <f>VLOOKUP(A36,'3.GateMove'!A:D,4,FALSE)</f>
        <v>2026-10-02</v>
      </c>
      <c r="X36" s="63">
        <f>((T36-W36)+1)</f>
        <v>7</v>
      </c>
      <c r="Y36" s="64">
        <f>IF(AND(OR(C36="BKK01",C36="BKK04"),L36="CFS/CY"),0,IF(M36="DG",1,IF(LEFT(C36,3)="LCH",7,IF(C36="BKK02",5,3))))</f>
        <v>3</v>
      </c>
      <c r="Z36" s="63">
        <f>IF(IF(AND(AC36="TML",AB36&gt;0),((T36-W36)+1)-AB36,((T36-W36)+1)-Y36)&gt;0,IF(AND(AC36="TML",AB36&gt;0),((T36-W36)+1)-AB36,((T36-W36)+1)-Y36),0)</f>
        <v>4</v>
      </c>
      <c r="AA36" s="187">
        <f>IF(AND(B36="G1",M36=""),IF(R36="20'",
VLOOKUP(Z36,Charge!$K$2:$M$5,2,TRUE)+(Z36-VLOOKUP(Z36,Charge!$K$2:$M$5,1,TRUE))*VLOOKUP(Z36,Charge!$K$2:$M$5,3,TRUE),
VLOOKUP(Z36,Charge!$N$2:$P$5,2,TRUE)+(Z36-VLOOKUP(Z36,Charge!$N$2:$P$5,1,TRUE))*VLOOKUP(Z36,Charge!$N$2:$P$5,3,TRUE)),
IF(AND(B36="G1",M36="DG"),IF(R36="20'",
VLOOKUP(Z36,Charge!$R$2:$T$5,2,TRUE)+(Z36-VLOOKUP(Z36,Charge!$R$2:$T$5,1,TRUE))*VLOOKUP(Z36,Charge!$R$2:$T$5,3,TRUE),
VLOOKUP(Z36,Charge!$U$2:$W$5,2,TRUE)+(Z36-VLOOKUP(Z36,Charge!$U$2:$W$5,1,TRUE))*VLOOKUP(Z36,Charge!$U$2:$W$5,3,TRUE)),
IF(AND(B36="G3",M36=""),IF(R36="20'",
VLOOKUP(Z36,Charge!$K$18:$M$21,2,TRUE)+(Z36-VLOOKUP(Z36,Charge!$K$18:$M$21,1,TRUE))*VLOOKUP(Z36,Charge!$K$18:$M$21,3,TRUE),
VLOOKUP(Z36,Charge!$N$18:$P$21,2,TRUE)+(Z36-VLOOKUP(Z36,Charge!$N$18:$P$21,1,TRUE))*VLOOKUP(Z36,Charge!$N$18:$P$21,3,TRUE)),
IF(AND(B36="G3",M36="DG"),IF(R36="20'",
VLOOKUP(Z36,Charge!$R$18:$T$21,2,TRUE)+(Z36-VLOOKUP(Z36,Charge!$R$18:$T$21,1,TRUE))*VLOOKUP(Z36,Charge!$R$18:$T$21,3,TRUE),
VLOOKUP(Z36,Charge!$U$18:$W$21,2,TRUE)+(Z36-VLOOKUP(Z36,Charge!$U$18:$W$21,1,TRUE))*VLOOKUP(Z36,Charge!$U$18:$W$21,3,TRUE)),
IF(AND(B36="G2",M36=""),IF(R36="20'",
VLOOKUP(Z36,Charge!$K$9:$M$12,2,TRUE)+(Z36-VLOOKUP(Z36,Charge!$K$9:$M$12,1,TRUE))*VLOOKUP(Z36,Charge!$K$9:$M$12,3,TRUE),
VLOOKUP(Z36,Charge!$N$9:$P$12,2,TRUE)+(Z36-VLOOKUP(Z36,Charge!$N$9:$P$12,1,TRUE))*VLOOKUP(Z36,Charge!$N$9:$P$12,3,TRUE)),
IF(AND(B36="G2",M36="DG"),IF(R36="20'",
VLOOKUP(Z36,Charge!$R$9:$T$12,2,TRUE)+(Z36-VLOOKUP(Z36,Charge!$R$9:$T$12,1,TRUE))*VLOOKUP(Z36,Charge!$R$9:$T$12,3,TRUE),
VLOOKUP(Z36,Charge!$U$9:$W$12,2,TRUE)+(Z36-VLOOKUP(Z36,Charge!$U$9:$W$12,1,TRUE))*VLOOKUP(Z36,Charge!$U$9:$W$12,3,TRUE)),IF(AND(B36="G4",M36=""),IF(R36="20'",Z36*Charge!$M$25,Z36*Charge!$P$25),IF(AND(B36="G4",M36="DG"),IF(R36="20'",Z36*Charge!$T$25,Z36*Charge!$W$25),0))))))))</f>
        <v>640</v>
      </c>
      <c r="AB36" s="184" t="n"/>
      <c r="AC36" s="184" t="n"/>
      <c r="AD36" s="60">
        <f>IF(M36="DG",3,IF(N36="RF",3,5))+IF(AND(LEFT(C36,3)="BKK",N36="RF",Q36="KTS"),1,0)+IF(Q36="KHS",1,0)</f>
        <v>5</v>
      </c>
      <c r="AE36" s="63">
        <f>(T36-V36)+1</f>
        <v>46304</v>
      </c>
      <c r="AF36" s="63">
        <f>IF(AB36&gt;IF((V36-W36)&gt;0,V36-W36,0),0,IF(AB36&lt;IF((V36-W36)&gt;0,V36-W36,0),IF((V36-W36)&gt;0,V36-W36,0)-AB36,IF((V36-W36)&gt;0,V36-W36,0)))</f>
        <v>0</v>
      </c>
      <c r="AG36" s="187">
        <f>IF(AND(M36=""),IF(R36="20'",
VLOOKUP(AF36,Charge!$K$31:$M$34,2,TRUE)+(AF36-VLOOKUP(AF36,Charge!$K$31:$M$34,1,TRUE))*VLOOKUP(AF36,Charge!$K$31:$M$34,3,TRUE),
VLOOKUP(AF36,Charge!$N$31:$P$34,2,TRUE)+(AF36-VLOOKUP(AF36,Charge!$N$31:$P$34,1,TRUE))*VLOOKUP(AF36,Charge!$N$31:$P$34,3,TRUE)),
IF(AND(M36="DG"),IF(R36="20'",
VLOOKUP(AF36,Charge!$R$31:$T$34,2,TRUE)+(AF36-VLOOKUP(AF36,Charge!$R$31:$T$34,1,TRUE))*VLOOKUP(AF36,Charge!$R$31:$T$34,3,TRUE),
VLOOKUP(AF36,Charge!$U$31:$W$34,2,TRUE)+(AF36-VLOOKUP(AF36,Charge!$U$31:$W$34,1,TRUE))*VLOOKUP(AF36,Charge!$U$31:$W$34,3,TRUE)),0))</f>
        <v>0</v>
      </c>
      <c r="AH36" s="65" t="n"/>
      <c r="AI36" s="65">
        <f>AA36-AH36</f>
        <v>640</v>
      </c>
      <c r="AJ36" s="188" t="n"/>
      <c r="AK36" s="62" t="str">
        <f>VLOOKUP(D36,'2.Bookinglist'!A:CT,40,FALSE)</f>
        <v>Dharaporn</v>
      </c>
      <c r="AL36" s="60" t="str">
        <f>VLOOKUP(D36,'2.Bookinglist'!A:CW,101,FALSE)</f>
        <v>2026-10-05</v>
      </c>
      <c r="AM36" s="60" t="str">
        <f>VLOOKUP(D36,'2.Bookinglist'!A:BK,63,FALSE)</f>
        <v>BKK27</v>
      </c>
      <c r="AN36" s="62" t="str">
        <f>VLOOKUP(D36,'2.Bookinglist'!A:AZ,52,FALSE)</f>
        <v>Pickup : 2026-10-01, Return : 2026-10-02</v>
      </c>
      <c r="AO36" s="62">
        <f>VLOOKUP(D36,'2.Bookinglist'!A:CY,103,FALSE)</f>
        <v>0</v>
      </c>
    </row>
    <row r="37" ht="12.95" customHeight="1">
      <c r="A37" s="96" t="inlineStr">
        <is>
          <t>HALU2451010</t>
        </is>
      </c>
      <c r="B37" s="184" t="str">
        <f>IF(C37=Charge!$M$1,Charge!$J$1,IF(C37=Charge!$M$23,Charge!$J$23,IF(C37=Charge!$M$17,Charge!$J$17,IF(C37=Charge!$N$17,Charge!$J$17,Charge!$J$7))))</f>
        <v>G3</v>
      </c>
      <c r="C37" s="61" t="str">
        <f>VLOOKUP(A37,'1.Loading'!A:R,14,FALSE)</f>
        <v>BKK04</v>
      </c>
      <c r="D37" s="61" t="str">
        <f>VLOOKUP(A37,'1.Loading'!A:R,17,FALSE)</f>
        <v>HASLS22260801914</v>
      </c>
      <c r="E37" s="62" t="str">
        <f>VLOOKUP(D37,'2.Bookinglist'!A:CT,27,FALSE)</f>
        <v>DP WORLD LOGISTICS SOLUTIONS (THAILAND) COMPANY LIMITED</v>
      </c>
      <c r="F37" s="62" t="str">
        <f>VLOOKUP(D37,'2.Bookinglist'!A:CT,28,FALSE)</f>
        <v>DP WORLD LOGISTICS SOLUTIONS (THAILAND) COMPANY LIMITED</v>
      </c>
      <c r="G37" s="60">
        <f>VLOOKUP(D37,'2.Bookinglist'!A:E,5,FALSE)</f>
        <v>0</v>
      </c>
      <c r="H37" s="61" t="str">
        <f>VLOOKUP(D37,'2.Bookinglist'!A:CT,15,FALSE)</f>
        <v>THBKK</v>
      </c>
      <c r="I37" s="61" t="str">
        <f>VLOOKUP(D37,'2.Bookinglist'!A:CT,19,FALSE)</f>
        <v>KRPTK</v>
      </c>
      <c r="J37" s="61">
        <f>VLOOKUP(D37,'2.Bookinglist'!A:CT,26,FALSE)</f>
        <v>0</v>
      </c>
      <c r="K37" s="61" t="str">
        <f>VLOOKUP(A37,'1.Loading'!A:R,5,FALSE)</f>
        <v>22GP</v>
      </c>
      <c r="L37" s="60" t="str">
        <f>VLOOKUP(D37,'2.Bookinglist'!A:CT,85,FALSE)</f>
        <v>CY/CY</v>
      </c>
      <c r="M37" s="60" t="str">
        <f>IF(VLOOKUP(D37,'2.Bookinglist'!A:CT,43,FALSE)=0,"","DG")</f>
        <v/>
      </c>
      <c r="N37" s="60" t="str">
        <f>IF(RIGHT(K37,2)="RE","RF","")</f>
        <v/>
      </c>
      <c r="O37" s="61" t="str">
        <f>VLOOKUP(A37,'1.Loading'!A:R,3,FALSE)</f>
        <v>SWSP</v>
      </c>
      <c r="P37" s="61" t="str">
        <f>VLOOKUP(A37,'1.Loading'!A:R,4,FALSE)</f>
        <v>2609N</v>
      </c>
      <c r="Q37" s="61" t="str">
        <f>VLOOKUP(D37,'2.Bookinglist'!A:CT,12,FALSE)</f>
        <v>BTS</v>
      </c>
      <c r="R37" s="60" t="str">
        <f>IF(LEFT(K37,2)="22","20'","40'")</f>
        <v>20'</v>
      </c>
      <c r="S37" s="185" t="n"/>
      <c r="T37" s="61" t="str">
        <f>VLOOKUP(A37,'1.Loading'!A:R,2,FALSE)</f>
        <v>2026-10-08</v>
      </c>
      <c r="U37" s="63">
        <f>T37-S37</f>
        <v>46303</v>
      </c>
      <c r="V37" s="186" t="n"/>
      <c r="W37" s="61" t="str">
        <f>VLOOKUP(A37,'3.GateMove'!A:D,4,FALSE)</f>
        <v>2026-09-19</v>
      </c>
      <c r="X37" s="63">
        <f>((T37-W37)+1)</f>
        <v>20</v>
      </c>
      <c r="Y37" s="64">
        <f>IF(AND(OR(C37="BKK01",C37="BKK04"),L37="CFS/CY"),0,IF(M37="DG",1,IF(LEFT(C37,3)="LCH",7,IF(C37="BKK02",5,3))))</f>
        <v>3</v>
      </c>
      <c r="Z37" s="63">
        <f>IF(IF(AND(AC37="TML",AB37&gt;0),((T37-W37)+1)-AB37,((T37-W37)+1)-Y37)&gt;0,IF(AND(AC37="TML",AB37&gt;0),((T37-W37)+1)-AB37,((T37-W37)+1)-Y37),0)</f>
        <v>17</v>
      </c>
      <c r="AA37" s="187">
        <f>IF(AND(B37="G1",M37=""),IF(R37="20'",
VLOOKUP(Z37,Charge!$K$2:$M$5,2,TRUE)+(Z37-VLOOKUP(Z37,Charge!$K$2:$M$5,1,TRUE))*VLOOKUP(Z37,Charge!$K$2:$M$5,3,TRUE),
VLOOKUP(Z37,Charge!$N$2:$P$5,2,TRUE)+(Z37-VLOOKUP(Z37,Charge!$N$2:$P$5,1,TRUE))*VLOOKUP(Z37,Charge!$N$2:$P$5,3,TRUE)),
IF(AND(B37="G1",M37="DG"),IF(R37="20'",
VLOOKUP(Z37,Charge!$R$2:$T$5,2,TRUE)+(Z37-VLOOKUP(Z37,Charge!$R$2:$T$5,1,TRUE))*VLOOKUP(Z37,Charge!$R$2:$T$5,3,TRUE),
VLOOKUP(Z37,Charge!$U$2:$W$5,2,TRUE)+(Z37-VLOOKUP(Z37,Charge!$U$2:$W$5,1,TRUE))*VLOOKUP(Z37,Charge!$U$2:$W$5,3,TRUE)),
IF(AND(B37="G3",M37=""),IF(R37="20'",
VLOOKUP(Z37,Charge!$K$18:$M$21,2,TRUE)+(Z37-VLOOKUP(Z37,Charge!$K$18:$M$21,1,TRUE))*VLOOKUP(Z37,Charge!$K$18:$M$21,3,TRUE),
VLOOKUP(Z37,Charge!$N$18:$P$21,2,TRUE)+(Z37-VLOOKUP(Z37,Charge!$N$18:$P$21,1,TRUE))*VLOOKUP(Z37,Charge!$N$18:$P$21,3,TRUE)),
IF(AND(B37="G3",M37="DG"),IF(R37="20'",
VLOOKUP(Z37,Charge!$R$18:$T$21,2,TRUE)+(Z37-VLOOKUP(Z37,Charge!$R$18:$T$21,1,TRUE))*VLOOKUP(Z37,Charge!$R$18:$T$21,3,TRUE),
VLOOKUP(Z37,Charge!$U$18:$W$21,2,TRUE)+(Z37-VLOOKUP(Z37,Charge!$U$18:$W$21,1,TRUE))*VLOOKUP(Z37,Charge!$U$18:$W$21,3,TRUE)),
IF(AND(B37="G2",M37=""),IF(R37="20'",
VLOOKUP(Z37,Charge!$K$9:$M$12,2,TRUE)+(Z37-VLOOKUP(Z37,Charge!$K$9:$M$12,1,TRUE))*VLOOKUP(Z37,Charge!$K$9:$M$12,3,TRUE),
VLOOKUP(Z37,Charge!$N$9:$P$12,2,TRUE)+(Z37-VLOOKUP(Z37,Charge!$N$9:$P$12,1,TRUE))*VLOOKUP(Z37,Charge!$N$9:$P$12,3,TRUE)),
IF(AND(B37="G2",M37="DG"),IF(R37="20'",
VLOOKUP(Z37,Charge!$R$9:$T$12,2,TRUE)+(Z37-VLOOKUP(Z37,Charge!$R$9:$T$12,1,TRUE))*VLOOKUP(Z37,Charge!$R$9:$T$12,3,TRUE),
VLOOKUP(Z37,Charge!$U$9:$W$12,2,TRUE)+(Z37-VLOOKUP(Z37,Charge!$U$9:$W$12,1,TRUE))*VLOOKUP(Z37,Charge!$U$9:$W$12,3,TRUE)),IF(AND(B37="G4",M37=""),IF(R37="20'",Z37*Charge!$M$25,Z37*Charge!$P$25),IF(AND(B37="G4",M37="DG"),IF(R37="20'",Z37*Charge!$T$25,Z37*Charge!$W$25),0))))))))</f>
        <v>4215</v>
      </c>
      <c r="AB37" s="184" t="n"/>
      <c r="AC37" s="184" t="n"/>
      <c r="AD37" s="60">
        <f>IF(M37="DG",3,IF(N37="RF",3,5))+IF(AND(LEFT(C37,3)="BKK",N37="RF",Q37="KTS"),1,0)+IF(Q37="KHS",1,0)</f>
        <v>5</v>
      </c>
      <c r="AE37" s="63">
        <f>(T37-V37)+1</f>
        <v>46304</v>
      </c>
      <c r="AF37" s="63">
        <f>IF(AB37&gt;IF((V37-W37)&gt;0,V37-W37,0),0,IF(AB37&lt;IF((V37-W37)&gt;0,V37-W37,0),IF((V37-W37)&gt;0,V37-W37,0)-AB37,IF((V37-W37)&gt;0,V37-W37,0)))</f>
        <v>0</v>
      </c>
      <c r="AG37" s="187">
        <f>IF(AND(M37=""),IF(R37="20'",
VLOOKUP(AF37,Charge!$K$31:$M$34,2,TRUE)+(AF37-VLOOKUP(AF37,Charge!$K$31:$M$34,1,TRUE))*VLOOKUP(AF37,Charge!$K$31:$M$34,3,TRUE),
VLOOKUP(AF37,Charge!$N$31:$P$34,2,TRUE)+(AF37-VLOOKUP(AF37,Charge!$N$31:$P$34,1,TRUE))*VLOOKUP(AF37,Charge!$N$31:$P$34,3,TRUE)),
IF(AND(M37="DG"),IF(R37="20'",
VLOOKUP(AF37,Charge!$R$31:$T$34,2,TRUE)+(AF37-VLOOKUP(AF37,Charge!$R$31:$T$34,1,TRUE))*VLOOKUP(AF37,Charge!$R$31:$T$34,3,TRUE),
VLOOKUP(AF37,Charge!$U$31:$W$34,2,TRUE)+(AF37-VLOOKUP(AF37,Charge!$U$31:$W$34,1,TRUE))*VLOOKUP(AF37,Charge!$U$31:$W$34,3,TRUE)),0))</f>
        <v>0</v>
      </c>
      <c r="AH37" s="65" t="n"/>
      <c r="AI37" s="65">
        <f>AA37-AH37</f>
        <v>4215</v>
      </c>
      <c r="AJ37" s="188" t="n"/>
      <c r="AK37" s="62" t="str">
        <f>VLOOKUP(D37,'2.Bookinglist'!A:CT,40,FALSE)</f>
        <v>Nannaapust Sukporntaweewat</v>
      </c>
      <c r="AL37" s="60" t="str">
        <f>VLOOKUP(D37,'2.Bookinglist'!A:CW,101,FALSE)</f>
        <v>2026-10-05</v>
      </c>
      <c r="AM37" s="60" t="str">
        <f>VLOOKUP(D37,'2.Bookinglist'!A:BK,63,FALSE)</f>
        <v>BKK27</v>
      </c>
      <c r="AN37" s="62" t="str">
        <f>VLOOKUP(D37,'2.Bookinglist'!A:AZ,52,FALSE)</f>
        <v>** APPROVED BY H.W KANG DD.28/09/2026 ** *FLEXIBAG ONDECK*
Servey : 17/09/2026, Pickup : 18/09/2026, Return : 21/09/2026 *EXTEND CLS TIME : 22/09/2026 @06.00* </v>
      </c>
      <c r="AO37" s="62" t="str">
        <f>VLOOKUP(D37,'2.Bookinglist'!A:CY,103,FALSE)</f>
        <v>ROLL OVER FROM PREVIOUS VSL SWMM 2609N BY ALLOCATION TEAM MS.TARN APRPOVED COST IS UNDER HA DD.21/09</v>
      </c>
    </row>
    <row r="38" ht="12.95" customHeight="1">
      <c r="A38" s="96" t="inlineStr">
        <is>
          <t>HALU2524899</t>
        </is>
      </c>
      <c r="B38" s="184" t="str">
        <f>IF(C38=Charge!$M$1,Charge!$J$1,IF(C38=Charge!$M$23,Charge!$J$23,IF(C38=Charge!$M$17,Charge!$J$17,IF(C38=Charge!$N$17,Charge!$J$17,Charge!$J$7))))</f>
        <v>G3</v>
      </c>
      <c r="C38" s="61" t="str">
        <f>VLOOKUP(A38,'1.Loading'!A:R,14,FALSE)</f>
        <v>BKK04</v>
      </c>
      <c r="D38" s="61" t="str">
        <f>VLOOKUP(A38,'1.Loading'!A:R,17,FALSE)</f>
        <v>HASLS22260901245</v>
      </c>
      <c r="E38" s="62" t="str">
        <f>VLOOKUP(D38,'2.Bookinglist'!A:CT,27,FALSE)</f>
        <v>BANGKOK COLD STORAGE SERVICE,LTD</v>
      </c>
      <c r="F38" s="62" t="str">
        <f>VLOOKUP(D38,'2.Bookinglist'!A:CT,28,FALSE)</f>
        <v>UENO FINE CHEMICALS INDUSTRY (THAILAND) LTD.</v>
      </c>
      <c r="G38" s="60">
        <f>VLOOKUP(D38,'2.Bookinglist'!A:E,5,FALSE)</f>
        <v>0</v>
      </c>
      <c r="H38" s="61" t="str">
        <f>VLOOKUP(D38,'2.Bookinglist'!A:CT,15,FALSE)</f>
        <v>THBKK</v>
      </c>
      <c r="I38" s="61" t="str">
        <f>VLOOKUP(D38,'2.Bookinglist'!A:CT,19,FALSE)</f>
        <v>JPMIZ</v>
      </c>
      <c r="J38" s="61" t="str">
        <f>VLOOKUP(D38,'2.Bookinglist'!A:CT,26,FALSE)</f>
        <v>KRPUS</v>
      </c>
      <c r="K38" s="61" t="str">
        <f>VLOOKUP(A38,'1.Loading'!A:R,5,FALSE)</f>
        <v>22GP</v>
      </c>
      <c r="L38" s="60" t="str">
        <f>VLOOKUP(D38,'2.Bookinglist'!A:CT,85,FALSE)</f>
        <v>CY/CY</v>
      </c>
      <c r="M38" s="60" t="str">
        <f>IF(VLOOKUP(D38,'2.Bookinglist'!A:CT,43,FALSE)=0,"","DG")</f>
        <v/>
      </c>
      <c r="N38" s="60" t="str">
        <f>IF(RIGHT(K38,2)="RE","RF","")</f>
        <v/>
      </c>
      <c r="O38" s="61" t="str">
        <f>VLOOKUP(A38,'1.Loading'!A:R,3,FALSE)</f>
        <v>SWSP</v>
      </c>
      <c r="P38" s="61" t="str">
        <f>VLOOKUP(A38,'1.Loading'!A:R,4,FALSE)</f>
        <v>2609N</v>
      </c>
      <c r="Q38" s="61" t="str">
        <f>VLOOKUP(D38,'2.Bookinglist'!A:CT,12,FALSE)</f>
        <v>BTS</v>
      </c>
      <c r="R38" s="60" t="str">
        <f>IF(LEFT(K38,2)="22","20'","40'")</f>
        <v>20'</v>
      </c>
      <c r="S38" s="185" t="n"/>
      <c r="T38" s="61" t="str">
        <f>VLOOKUP(A38,'1.Loading'!A:R,2,FALSE)</f>
        <v>2026-10-08</v>
      </c>
      <c r="U38" s="63">
        <f>T38-S38</f>
        <v>46303</v>
      </c>
      <c r="V38" s="186" t="n"/>
      <c r="W38" s="61" t="str">
        <f>VLOOKUP(A38,'3.GateMove'!A:D,4,FALSE)</f>
        <v>2026-09-29</v>
      </c>
      <c r="X38" s="63">
        <f>((T38-W38)+1)</f>
        <v>10</v>
      </c>
      <c r="Y38" s="64">
        <f>IF(AND(OR(C38="BKK01",C38="BKK04"),L38="CFS/CY"),0,IF(M38="DG",1,IF(LEFT(C38,3)="LCH",7,IF(C38="BKK02",5,3))))</f>
        <v>3</v>
      </c>
      <c r="Z38" s="63">
        <f>IF(IF(AND(AC38="TML",AB38&gt;0),((T38-W38)+1)-AB38,((T38-W38)+1)-Y38)&gt;0,IF(AND(AC38="TML",AB38&gt;0),((T38-W38)+1)-AB38,((T38-W38)+1)-Y38),0)</f>
        <v>7</v>
      </c>
      <c r="AA38" s="187">
        <f>IF(AND(B38="G1",M38=""),IF(R38="20'",
VLOOKUP(Z38,Charge!$K$2:$M$5,2,TRUE)+(Z38-VLOOKUP(Z38,Charge!$K$2:$M$5,1,TRUE))*VLOOKUP(Z38,Charge!$K$2:$M$5,3,TRUE),
VLOOKUP(Z38,Charge!$N$2:$P$5,2,TRUE)+(Z38-VLOOKUP(Z38,Charge!$N$2:$P$5,1,TRUE))*VLOOKUP(Z38,Charge!$N$2:$P$5,3,TRUE)),
IF(AND(B38="G1",M38="DG"),IF(R38="20'",
VLOOKUP(Z38,Charge!$R$2:$T$5,2,TRUE)+(Z38-VLOOKUP(Z38,Charge!$R$2:$T$5,1,TRUE))*VLOOKUP(Z38,Charge!$R$2:$T$5,3,TRUE),
VLOOKUP(Z38,Charge!$U$2:$W$5,2,TRUE)+(Z38-VLOOKUP(Z38,Charge!$U$2:$W$5,1,TRUE))*VLOOKUP(Z38,Charge!$U$2:$W$5,3,TRUE)),
IF(AND(B38="G3",M38=""),IF(R38="20'",
VLOOKUP(Z38,Charge!$K$18:$M$21,2,TRUE)+(Z38-VLOOKUP(Z38,Charge!$K$18:$M$21,1,TRUE))*VLOOKUP(Z38,Charge!$K$18:$M$21,3,TRUE),
VLOOKUP(Z38,Charge!$N$18:$P$21,2,TRUE)+(Z38-VLOOKUP(Z38,Charge!$N$18:$P$21,1,TRUE))*VLOOKUP(Z38,Charge!$N$18:$P$21,3,TRUE)),
IF(AND(B38="G3",M38="DG"),IF(R38="20'",
VLOOKUP(Z38,Charge!$R$18:$T$21,2,TRUE)+(Z38-VLOOKUP(Z38,Charge!$R$18:$T$21,1,TRUE))*VLOOKUP(Z38,Charge!$R$18:$T$21,3,TRUE),
VLOOKUP(Z38,Charge!$U$18:$W$21,2,TRUE)+(Z38-VLOOKUP(Z38,Charge!$U$18:$W$21,1,TRUE))*VLOOKUP(Z38,Charge!$U$18:$W$21,3,TRUE)),
IF(AND(B38="G2",M38=""),IF(R38="20'",
VLOOKUP(Z38,Charge!$K$9:$M$12,2,TRUE)+(Z38-VLOOKUP(Z38,Charge!$K$9:$M$12,1,TRUE))*VLOOKUP(Z38,Charge!$K$9:$M$12,3,TRUE),
VLOOKUP(Z38,Charge!$N$9:$P$12,2,TRUE)+(Z38-VLOOKUP(Z38,Charge!$N$9:$P$12,1,TRUE))*VLOOKUP(Z38,Charge!$N$9:$P$12,3,TRUE)),
IF(AND(B38="G2",M38="DG"),IF(R38="20'",
VLOOKUP(Z38,Charge!$R$9:$T$12,2,TRUE)+(Z38-VLOOKUP(Z38,Charge!$R$9:$T$12,1,TRUE))*VLOOKUP(Z38,Charge!$R$9:$T$12,3,TRUE),
VLOOKUP(Z38,Charge!$U$9:$W$12,2,TRUE)+(Z38-VLOOKUP(Z38,Charge!$U$9:$W$12,1,TRUE))*VLOOKUP(Z38,Charge!$U$9:$W$12,3,TRUE)),IF(AND(B38="G4",M38=""),IF(R38="20'",Z38*Charge!$M$25,Z38*Charge!$P$25),IF(AND(B38="G4",M38="DG"),IF(R38="20'",Z38*Charge!$T$25,Z38*Charge!$W$25),0))))))))</f>
        <v>1120</v>
      </c>
      <c r="AB38" s="184" t="n"/>
      <c r="AC38" s="184" t="n"/>
      <c r="AD38" s="60">
        <f>IF(M38="DG",3,IF(N38="RF",3,5))+IF(AND(LEFT(C38,3)="BKK",N38="RF",Q38="KTS"),1,0)+IF(Q38="KHS",1,0)</f>
        <v>5</v>
      </c>
      <c r="AE38" s="63">
        <f>(T38-V38)+1</f>
        <v>46304</v>
      </c>
      <c r="AF38" s="63">
        <f>IF(AB38&gt;IF((V38-W38)&gt;0,V38-W38,0),0,IF(AB38&lt;IF((V38-W38)&gt;0,V38-W38,0),IF((V38-W38)&gt;0,V38-W38,0)-AB38,IF((V38-W38)&gt;0,V38-W38,0)))</f>
        <v>0</v>
      </c>
      <c r="AG38" s="187">
        <f>IF(AND(M38=""),IF(R38="20'",
VLOOKUP(AF38,Charge!$K$31:$M$34,2,TRUE)+(AF38-VLOOKUP(AF38,Charge!$K$31:$M$34,1,TRUE))*VLOOKUP(AF38,Charge!$K$31:$M$34,3,TRUE),
VLOOKUP(AF38,Charge!$N$31:$P$34,2,TRUE)+(AF38-VLOOKUP(AF38,Charge!$N$31:$P$34,1,TRUE))*VLOOKUP(AF38,Charge!$N$31:$P$34,3,TRUE)),
IF(AND(M38="DG"),IF(R38="20'",
VLOOKUP(AF38,Charge!$R$31:$T$34,2,TRUE)+(AF38-VLOOKUP(AF38,Charge!$R$31:$T$34,1,TRUE))*VLOOKUP(AF38,Charge!$R$31:$T$34,3,TRUE),
VLOOKUP(AF38,Charge!$U$31:$W$34,2,TRUE)+(AF38-VLOOKUP(AF38,Charge!$U$31:$W$34,1,TRUE))*VLOOKUP(AF38,Charge!$U$31:$W$34,3,TRUE)),0))</f>
        <v>0</v>
      </c>
      <c r="AH38" s="65" t="n"/>
      <c r="AI38" s="65">
        <f>AA38-AH38</f>
        <v>1120</v>
      </c>
      <c r="AJ38" s="188" t="n"/>
      <c r="AK38" s="62" t="str">
        <f>VLOOKUP(D38,'2.Bookinglist'!A:CT,40,FALSE)</f>
        <v>Yasuaki Ueno</v>
      </c>
      <c r="AL38" s="60" t="str">
        <f>VLOOKUP(D38,'2.Bookinglist'!A:CW,101,FALSE)</f>
        <v>2026-10-07</v>
      </c>
      <c r="AM38" s="60" t="str">
        <f>VLOOKUP(D38,'2.Bookinglist'!A:BK,63,FALSE)</f>
        <v>BKK27</v>
      </c>
      <c r="AN38" s="62" t="str">
        <f>VLOOKUP(D38,'2.Bookinglist'!A:AZ,52,FALSE)</f>
        <v>Pickup : 2026-09-29, Return : 2026-09-29 </v>
      </c>
      <c r="AO38" s="62" t="str">
        <f>VLOOKUP(D38,'2.Bookinglist'!A:CY,103,FALSE)</f>
        <v>ROLL OVER FROM PREVIOUS VSL KMBK 2611N BY ALLOCATION TEAM MS.TARN APPROVED COST IS UNDER HAL DD.01/10SI DD.29/9/26</v>
      </c>
    </row>
    <row r="39" ht="12.95" customHeight="1">
      <c r="A39" s="96" t="inlineStr">
        <is>
          <t>HALU2557296</t>
        </is>
      </c>
      <c r="B39" s="184" t="str">
        <f>IF(C39=Charge!$M$1,Charge!$J$1,IF(C39=Charge!$M$23,Charge!$J$23,IF(C39=Charge!$M$17,Charge!$J$17,IF(C39=Charge!$N$17,Charge!$J$17,Charge!$J$7))))</f>
        <v>G3</v>
      </c>
      <c r="C39" s="61" t="str">
        <f>VLOOKUP(A39,'1.Loading'!A:R,14,FALSE)</f>
        <v>BKK04</v>
      </c>
      <c r="D39" s="61" t="str">
        <f>VLOOKUP(A39,'1.Loading'!A:R,17,FALSE)</f>
        <v>HASLS22260900501</v>
      </c>
      <c r="E39" s="62" t="str">
        <f>VLOOKUP(D39,'2.Bookinglist'!A:CT,27,FALSE)</f>
        <v>MERCURIAL LOGISTICS  CO.,LTD</v>
      </c>
      <c r="F39" s="62" t="str">
        <f>VLOOKUP(D39,'2.Bookinglist'!A:CT,28,FALSE)</f>
        <v>UENO FINE CHEMICALS INDUSTRY (THAILAND) LTD.</v>
      </c>
      <c r="G39" s="60">
        <f>VLOOKUP(D39,'2.Bookinglist'!A:E,5,FALSE)</f>
        <v>0</v>
      </c>
      <c r="H39" s="61" t="str">
        <f>VLOOKUP(D39,'2.Bookinglist'!A:CT,15,FALSE)</f>
        <v>THBKK</v>
      </c>
      <c r="I39" s="61" t="str">
        <f>VLOOKUP(D39,'2.Bookinglist'!A:CT,19,FALSE)</f>
        <v>VNSGN</v>
      </c>
      <c r="J39" s="61">
        <f>VLOOKUP(D39,'2.Bookinglist'!A:CT,26,FALSE)</f>
        <v>0</v>
      </c>
      <c r="K39" s="61" t="str">
        <f>VLOOKUP(A39,'1.Loading'!A:R,5,FALSE)</f>
        <v>22GP</v>
      </c>
      <c r="L39" s="60" t="str">
        <f>VLOOKUP(D39,'2.Bookinglist'!A:CT,85,FALSE)</f>
        <v>CY/CY</v>
      </c>
      <c r="M39" s="60" t="str">
        <f>IF(VLOOKUP(D39,'2.Bookinglist'!A:CT,43,FALSE)=0,"","DG")</f>
        <v/>
      </c>
      <c r="N39" s="60" t="str">
        <f>IF(RIGHT(K39,2)="RE","RF","")</f>
        <v/>
      </c>
      <c r="O39" s="61" t="str">
        <f>VLOOKUP(A39,'1.Loading'!A:R,3,FALSE)</f>
        <v>SWSP</v>
      </c>
      <c r="P39" s="61" t="str">
        <f>VLOOKUP(A39,'1.Loading'!A:R,4,FALSE)</f>
        <v>2609N</v>
      </c>
      <c r="Q39" s="61" t="str">
        <f>VLOOKUP(D39,'2.Bookinglist'!A:CT,12,FALSE)</f>
        <v>BTS</v>
      </c>
      <c r="R39" s="60" t="str">
        <f>IF(LEFT(K39,2)="22","20'","40'")</f>
        <v>20'</v>
      </c>
      <c r="S39" s="185" t="n"/>
      <c r="T39" s="61" t="str">
        <f>VLOOKUP(A39,'1.Loading'!A:R,2,FALSE)</f>
        <v>2026-10-08</v>
      </c>
      <c r="U39" s="63">
        <f>T39-S39</f>
        <v>46303</v>
      </c>
      <c r="V39" s="186" t="n"/>
      <c r="W39" s="61" t="str">
        <f>VLOOKUP(A39,'3.GateMove'!A:D,4,FALSE)</f>
        <v>2026-10-01</v>
      </c>
      <c r="X39" s="63">
        <f>((T39-W39)+1)</f>
        <v>8</v>
      </c>
      <c r="Y39" s="64">
        <f>IF(AND(OR(C39="BKK01",C39="BKK04"),L39="CFS/CY"),0,IF(M39="DG",1,IF(LEFT(C39,3)="LCH",7,IF(C39="BKK02",5,3))))</f>
        <v>3</v>
      </c>
      <c r="Z39" s="63">
        <f>IF(IF(AND(AC39="TML",AB39&gt;0),((T39-W39)+1)-AB39,((T39-W39)+1)-Y39)&gt;0,IF(AND(AC39="TML",AB39&gt;0),((T39-W39)+1)-AB39,((T39-W39)+1)-Y39),0)</f>
        <v>5</v>
      </c>
      <c r="AA39" s="187">
        <f>IF(AND(B39="G1",M39=""),IF(R39="20'",
VLOOKUP(Z39,Charge!$K$2:$M$5,2,TRUE)+(Z39-VLOOKUP(Z39,Charge!$K$2:$M$5,1,TRUE))*VLOOKUP(Z39,Charge!$K$2:$M$5,3,TRUE),
VLOOKUP(Z39,Charge!$N$2:$P$5,2,TRUE)+(Z39-VLOOKUP(Z39,Charge!$N$2:$P$5,1,TRUE))*VLOOKUP(Z39,Charge!$N$2:$P$5,3,TRUE)),
IF(AND(B39="G1",M39="DG"),IF(R39="20'",
VLOOKUP(Z39,Charge!$R$2:$T$5,2,TRUE)+(Z39-VLOOKUP(Z39,Charge!$R$2:$T$5,1,TRUE))*VLOOKUP(Z39,Charge!$R$2:$T$5,3,TRUE),
VLOOKUP(Z39,Charge!$U$2:$W$5,2,TRUE)+(Z39-VLOOKUP(Z39,Charge!$U$2:$W$5,1,TRUE))*VLOOKUP(Z39,Charge!$U$2:$W$5,3,TRUE)),
IF(AND(B39="G3",M39=""),IF(R39="20'",
VLOOKUP(Z39,Charge!$K$18:$M$21,2,TRUE)+(Z39-VLOOKUP(Z39,Charge!$K$18:$M$21,1,TRUE))*VLOOKUP(Z39,Charge!$K$18:$M$21,3,TRUE),
VLOOKUP(Z39,Charge!$N$18:$P$21,2,TRUE)+(Z39-VLOOKUP(Z39,Charge!$N$18:$P$21,1,TRUE))*VLOOKUP(Z39,Charge!$N$18:$P$21,3,TRUE)),
IF(AND(B39="G3",M39="DG"),IF(R39="20'",
VLOOKUP(Z39,Charge!$R$18:$T$21,2,TRUE)+(Z39-VLOOKUP(Z39,Charge!$R$18:$T$21,1,TRUE))*VLOOKUP(Z39,Charge!$R$18:$T$21,3,TRUE),
VLOOKUP(Z39,Charge!$U$18:$W$21,2,TRUE)+(Z39-VLOOKUP(Z39,Charge!$U$18:$W$21,1,TRUE))*VLOOKUP(Z39,Charge!$U$18:$W$21,3,TRUE)),
IF(AND(B39="G2",M39=""),IF(R39="20'",
VLOOKUP(Z39,Charge!$K$9:$M$12,2,TRUE)+(Z39-VLOOKUP(Z39,Charge!$K$9:$M$12,1,TRUE))*VLOOKUP(Z39,Charge!$K$9:$M$12,3,TRUE),
VLOOKUP(Z39,Charge!$N$9:$P$12,2,TRUE)+(Z39-VLOOKUP(Z39,Charge!$N$9:$P$12,1,TRUE))*VLOOKUP(Z39,Charge!$N$9:$P$12,3,TRUE)),
IF(AND(B39="G2",M39="DG"),IF(R39="20'",
VLOOKUP(Z39,Charge!$R$9:$T$12,2,TRUE)+(Z39-VLOOKUP(Z39,Charge!$R$9:$T$12,1,TRUE))*VLOOKUP(Z39,Charge!$R$9:$T$12,3,TRUE),
VLOOKUP(Z39,Charge!$U$9:$W$12,2,TRUE)+(Z39-VLOOKUP(Z39,Charge!$U$9:$W$12,1,TRUE))*VLOOKUP(Z39,Charge!$U$9:$W$12,3,TRUE)),IF(AND(B39="G4",M39=""),IF(R39="20'",Z39*Charge!$M$25,Z39*Charge!$P$25),IF(AND(B39="G4",M39="DG"),IF(R39="20'",Z39*Charge!$T$25,Z39*Charge!$W$25),0))))))))</f>
        <v>800</v>
      </c>
      <c r="AB39" s="184" t="n"/>
      <c r="AC39" s="184" t="n"/>
      <c r="AD39" s="60">
        <f>IF(M39="DG",3,IF(N39="RF",3,5))+IF(AND(LEFT(C39,3)="BKK",N39="RF",Q39="KTS"),1,0)+IF(Q39="KHS",1,0)</f>
        <v>5</v>
      </c>
      <c r="AE39" s="63">
        <f>(T39-V39)+1</f>
        <v>46304</v>
      </c>
      <c r="AF39" s="63">
        <f>IF(AB39&gt;IF((V39-W39)&gt;0,V39-W39,0),0,IF(AB39&lt;IF((V39-W39)&gt;0,V39-W39,0),IF((V39-W39)&gt;0,V39-W39,0)-AB39,IF((V39-W39)&gt;0,V39-W39,0)))</f>
        <v>0</v>
      </c>
      <c r="AG39" s="187">
        <f>IF(AND(M39=""),IF(R39="20'",
VLOOKUP(AF39,Charge!$K$31:$M$34,2,TRUE)+(AF39-VLOOKUP(AF39,Charge!$K$31:$M$34,1,TRUE))*VLOOKUP(AF39,Charge!$K$31:$M$34,3,TRUE),
VLOOKUP(AF39,Charge!$N$31:$P$34,2,TRUE)+(AF39-VLOOKUP(AF39,Charge!$N$31:$P$34,1,TRUE))*VLOOKUP(AF39,Charge!$N$31:$P$34,3,TRUE)),
IF(AND(M39="DG"),IF(R39="20'",
VLOOKUP(AF39,Charge!$R$31:$T$34,2,TRUE)+(AF39-VLOOKUP(AF39,Charge!$R$31:$T$34,1,TRUE))*VLOOKUP(AF39,Charge!$R$31:$T$34,3,TRUE),
VLOOKUP(AF39,Charge!$U$31:$W$34,2,TRUE)+(AF39-VLOOKUP(AF39,Charge!$U$31:$W$34,1,TRUE))*VLOOKUP(AF39,Charge!$U$31:$W$34,3,TRUE)),0))</f>
        <v>0</v>
      </c>
      <c r="AH39" s="65" t="n"/>
      <c r="AI39" s="65">
        <f>AA39-AH39</f>
        <v>800</v>
      </c>
      <c r="AJ39" s="188" t="n"/>
      <c r="AK39" s="62" t="str">
        <f>VLOOKUP(D39,'2.Bookinglist'!A:CT,40,FALSE)</f>
        <v>Nannaapust Sukporntaweewat</v>
      </c>
      <c r="AL39" s="60" t="str">
        <f>VLOOKUP(D39,'2.Bookinglist'!A:CW,101,FALSE)</f>
        <v>2026-10-02</v>
      </c>
      <c r="AM39" s="60" t="str">
        <f>VLOOKUP(D39,'2.Bookinglist'!A:BK,63,FALSE)</f>
        <v>BKK27</v>
      </c>
      <c r="AN39" s="62" t="str">
        <f>VLOOKUP(D39,'2.Bookinglist'!A:AZ,52,FALSE)</f>
        <v>Pickup : 2026-09-29, Return : 2026-09-29</v>
      </c>
      <c r="AO39" s="62">
        <f>VLOOKUP(D39,'2.Bookinglist'!A:CY,103,FALSE)</f>
        <v>0</v>
      </c>
    </row>
    <row r="40" ht="12.95" customHeight="1">
      <c r="A40" s="96" t="inlineStr">
        <is>
          <t>HALU2557423</t>
        </is>
      </c>
      <c r="B40" s="184" t="str">
        <f>IF(C40=Charge!$M$1,Charge!$J$1,IF(C40=Charge!$M$23,Charge!$J$23,IF(C40=Charge!$M$17,Charge!$J$17,IF(C40=Charge!$N$17,Charge!$J$17,Charge!$J$7))))</f>
        <v>G3</v>
      </c>
      <c r="C40" s="61" t="str">
        <f>VLOOKUP(A40,'1.Loading'!A:R,14,FALSE)</f>
        <v>BKK04</v>
      </c>
      <c r="D40" s="61" t="str">
        <f>VLOOKUP(A40,'1.Loading'!A:R,17,FALSE)</f>
        <v>HASLS22260901245</v>
      </c>
      <c r="E40" s="62" t="str">
        <f>VLOOKUP(D40,'2.Bookinglist'!A:CT,27,FALSE)</f>
        <v>BANGKOK COLD STORAGE SERVICE,LTD</v>
      </c>
      <c r="F40" s="62" t="str">
        <f>VLOOKUP(D40,'2.Bookinglist'!A:CT,28,FALSE)</f>
        <v>UENO FINE CHEMICALS INDUSTRY (THAILAND) LTD.</v>
      </c>
      <c r="G40" s="60">
        <f>VLOOKUP(D40,'2.Bookinglist'!A:E,5,FALSE)</f>
        <v>0</v>
      </c>
      <c r="H40" s="61" t="str">
        <f>VLOOKUP(D40,'2.Bookinglist'!A:CT,15,FALSE)</f>
        <v>THBKK</v>
      </c>
      <c r="I40" s="61" t="str">
        <f>VLOOKUP(D40,'2.Bookinglist'!A:CT,19,FALSE)</f>
        <v>JPMIZ</v>
      </c>
      <c r="J40" s="61" t="str">
        <f>VLOOKUP(D40,'2.Bookinglist'!A:CT,26,FALSE)</f>
        <v>KRPUS</v>
      </c>
      <c r="K40" s="61" t="str">
        <f>VLOOKUP(A40,'1.Loading'!A:R,5,FALSE)</f>
        <v>22GP</v>
      </c>
      <c r="L40" s="60" t="str">
        <f>VLOOKUP(D40,'2.Bookinglist'!A:CT,85,FALSE)</f>
        <v>CY/CY</v>
      </c>
      <c r="M40" s="60" t="str">
        <f>IF(VLOOKUP(D40,'2.Bookinglist'!A:CT,43,FALSE)=0,"","DG")</f>
        <v/>
      </c>
      <c r="N40" s="60" t="str">
        <f>IF(RIGHT(K40,2)="RE","RF","")</f>
        <v/>
      </c>
      <c r="O40" s="61" t="str">
        <f>VLOOKUP(A40,'1.Loading'!A:R,3,FALSE)</f>
        <v>SWSP</v>
      </c>
      <c r="P40" s="61" t="str">
        <f>VLOOKUP(A40,'1.Loading'!A:R,4,FALSE)</f>
        <v>2609N</v>
      </c>
      <c r="Q40" s="61" t="str">
        <f>VLOOKUP(D40,'2.Bookinglist'!A:CT,12,FALSE)</f>
        <v>BTS</v>
      </c>
      <c r="R40" s="60" t="str">
        <f>IF(LEFT(K40,2)="22","20'","40'")</f>
        <v>20'</v>
      </c>
      <c r="S40" s="185" t="n"/>
      <c r="T40" s="61" t="str">
        <f>VLOOKUP(A40,'1.Loading'!A:R,2,FALSE)</f>
        <v>2026-10-08</v>
      </c>
      <c r="U40" s="63">
        <f>T40-S40</f>
        <v>46303</v>
      </c>
      <c r="V40" s="186" t="n"/>
      <c r="W40" s="61" t="str">
        <f>VLOOKUP(A40,'3.GateMove'!A:D,4,FALSE)</f>
        <v>2026-09-30</v>
      </c>
      <c r="X40" s="63">
        <f>((T40-W40)+1)</f>
        <v>9</v>
      </c>
      <c r="Y40" s="64">
        <f>IF(AND(OR(C40="BKK01",C40="BKK04"),L40="CFS/CY"),0,IF(M40="DG",1,IF(LEFT(C40,3)="LCH",7,IF(C40="BKK02",5,3))))</f>
        <v>3</v>
      </c>
      <c r="Z40" s="63">
        <f>IF(IF(AND(AC40="TML",AB40&gt;0),((T40-W40)+1)-AB40,((T40-W40)+1)-Y40)&gt;0,IF(AND(AC40="TML",AB40&gt;0),((T40-W40)+1)-AB40,((T40-W40)+1)-Y40),0)</f>
        <v>6</v>
      </c>
      <c r="AA40" s="187">
        <f>IF(AND(B40="G1",M40=""),IF(R40="20'",
VLOOKUP(Z40,Charge!$K$2:$M$5,2,TRUE)+(Z40-VLOOKUP(Z40,Charge!$K$2:$M$5,1,TRUE))*VLOOKUP(Z40,Charge!$K$2:$M$5,3,TRUE),
VLOOKUP(Z40,Charge!$N$2:$P$5,2,TRUE)+(Z40-VLOOKUP(Z40,Charge!$N$2:$P$5,1,TRUE))*VLOOKUP(Z40,Charge!$N$2:$P$5,3,TRUE)),
IF(AND(B40="G1",M40="DG"),IF(R40="20'",
VLOOKUP(Z40,Charge!$R$2:$T$5,2,TRUE)+(Z40-VLOOKUP(Z40,Charge!$R$2:$T$5,1,TRUE))*VLOOKUP(Z40,Charge!$R$2:$T$5,3,TRUE),
VLOOKUP(Z40,Charge!$U$2:$W$5,2,TRUE)+(Z40-VLOOKUP(Z40,Charge!$U$2:$W$5,1,TRUE))*VLOOKUP(Z40,Charge!$U$2:$W$5,3,TRUE)),
IF(AND(B40="G3",M40=""),IF(R40="20'",
VLOOKUP(Z40,Charge!$K$18:$M$21,2,TRUE)+(Z40-VLOOKUP(Z40,Charge!$K$18:$M$21,1,TRUE))*VLOOKUP(Z40,Charge!$K$18:$M$21,3,TRUE),
VLOOKUP(Z40,Charge!$N$18:$P$21,2,TRUE)+(Z40-VLOOKUP(Z40,Charge!$N$18:$P$21,1,TRUE))*VLOOKUP(Z40,Charge!$N$18:$P$21,3,TRUE)),
IF(AND(B40="G3",M40="DG"),IF(R40="20'",
VLOOKUP(Z40,Charge!$R$18:$T$21,2,TRUE)+(Z40-VLOOKUP(Z40,Charge!$R$18:$T$21,1,TRUE))*VLOOKUP(Z40,Charge!$R$18:$T$21,3,TRUE),
VLOOKUP(Z40,Charge!$U$18:$W$21,2,TRUE)+(Z40-VLOOKUP(Z40,Charge!$U$18:$W$21,1,TRUE))*VLOOKUP(Z40,Charge!$U$18:$W$21,3,TRUE)),
IF(AND(B40="G2",M40=""),IF(R40="20'",
VLOOKUP(Z40,Charge!$K$9:$M$12,2,TRUE)+(Z40-VLOOKUP(Z40,Charge!$K$9:$M$12,1,TRUE))*VLOOKUP(Z40,Charge!$K$9:$M$12,3,TRUE),
VLOOKUP(Z40,Charge!$N$9:$P$12,2,TRUE)+(Z40-VLOOKUP(Z40,Charge!$N$9:$P$12,1,TRUE))*VLOOKUP(Z40,Charge!$N$9:$P$12,3,TRUE)),
IF(AND(B40="G2",M40="DG"),IF(R40="20'",
VLOOKUP(Z40,Charge!$R$9:$T$12,2,TRUE)+(Z40-VLOOKUP(Z40,Charge!$R$9:$T$12,1,TRUE))*VLOOKUP(Z40,Charge!$R$9:$T$12,3,TRUE),
VLOOKUP(Z40,Charge!$U$9:$W$12,2,TRUE)+(Z40-VLOOKUP(Z40,Charge!$U$9:$W$12,1,TRUE))*VLOOKUP(Z40,Charge!$U$9:$W$12,3,TRUE)),IF(AND(B40="G4",M40=""),IF(R40="20'",Z40*Charge!$M$25,Z40*Charge!$P$25),IF(AND(B40="G4",M40="DG"),IF(R40="20'",Z40*Charge!$T$25,Z40*Charge!$W$25),0))))))))</f>
        <v>960</v>
      </c>
      <c r="AB40" s="184" t="n"/>
      <c r="AC40" s="184" t="n"/>
      <c r="AD40" s="60">
        <f>IF(M40="DG",3,IF(N40="RF",3,5))+IF(AND(LEFT(C40,3)="BKK",N40="RF",Q40="KTS"),1,0)+IF(Q40="KHS",1,0)</f>
        <v>5</v>
      </c>
      <c r="AE40" s="63">
        <f>(T40-V40)+1</f>
        <v>46304</v>
      </c>
      <c r="AF40" s="63">
        <f>IF(AB40&gt;IF((V40-W40)&gt;0,V40-W40,0),0,IF(AB40&lt;IF((V40-W40)&gt;0,V40-W40,0),IF((V40-W40)&gt;0,V40-W40,0)-AB40,IF((V40-W40)&gt;0,V40-W40,0)))</f>
        <v>0</v>
      </c>
      <c r="AG40" s="187">
        <f>IF(AND(M40=""),IF(R40="20'",
VLOOKUP(AF40,Charge!$K$31:$M$34,2,TRUE)+(AF40-VLOOKUP(AF40,Charge!$K$31:$M$34,1,TRUE))*VLOOKUP(AF40,Charge!$K$31:$M$34,3,TRUE),
VLOOKUP(AF40,Charge!$N$31:$P$34,2,TRUE)+(AF40-VLOOKUP(AF40,Charge!$N$31:$P$34,1,TRUE))*VLOOKUP(AF40,Charge!$N$31:$P$34,3,TRUE)),
IF(AND(M40="DG"),IF(R40="20'",
VLOOKUP(AF40,Charge!$R$31:$T$34,2,TRUE)+(AF40-VLOOKUP(AF40,Charge!$R$31:$T$34,1,TRUE))*VLOOKUP(AF40,Charge!$R$31:$T$34,3,TRUE),
VLOOKUP(AF40,Charge!$U$31:$W$34,2,TRUE)+(AF40-VLOOKUP(AF40,Charge!$U$31:$W$34,1,TRUE))*VLOOKUP(AF40,Charge!$U$31:$W$34,3,TRUE)),0))</f>
        <v>0</v>
      </c>
      <c r="AH40" s="65" t="n"/>
      <c r="AI40" s="65">
        <f>AA40-AH40</f>
        <v>960</v>
      </c>
      <c r="AJ40" s="188" t="n"/>
      <c r="AK40" s="62" t="str">
        <f>VLOOKUP(D40,'2.Bookinglist'!A:CT,40,FALSE)</f>
        <v>Yasuaki Ueno</v>
      </c>
      <c r="AL40" s="60" t="str">
        <f>VLOOKUP(D40,'2.Bookinglist'!A:CW,101,FALSE)</f>
        <v>2026-10-07</v>
      </c>
      <c r="AM40" s="60" t="str">
        <f>VLOOKUP(D40,'2.Bookinglist'!A:BK,63,FALSE)</f>
        <v>BKK27</v>
      </c>
      <c r="AN40" s="62" t="str">
        <f>VLOOKUP(D40,'2.Bookinglist'!A:AZ,52,FALSE)</f>
        <v>Pickup : 2026-09-29, Return : 2026-09-29 </v>
      </c>
      <c r="AO40" s="62" t="str">
        <f>VLOOKUP(D40,'2.Bookinglist'!A:CY,103,FALSE)</f>
        <v>ROLL OVER FROM PREVIOUS VSL KMBK 2611N BY ALLOCATION TEAM MS.TARN APPROVED COST IS UNDER HAL DD.01/10SI DD.29/9/26</v>
      </c>
    </row>
    <row r="41" ht="12.95" customHeight="1">
      <c r="A41" s="96" t="inlineStr">
        <is>
          <t>HALU2559658</t>
        </is>
      </c>
      <c r="B41" s="184" t="str">
        <f>IF(C41=Charge!$M$1,Charge!$J$1,IF(C41=Charge!$M$23,Charge!$J$23,IF(C41=Charge!$M$17,Charge!$J$17,IF(C41=Charge!$N$17,Charge!$J$17,Charge!$J$7))))</f>
        <v>G3</v>
      </c>
      <c r="C41" s="61" t="str">
        <f>VLOOKUP(A41,'1.Loading'!A:R,14,FALSE)</f>
        <v>BKK04</v>
      </c>
      <c r="D41" s="61" t="str">
        <f>VLOOKUP(A41,'1.Loading'!A:R,17,FALSE)</f>
        <v>HASLS22260900942</v>
      </c>
      <c r="E41" s="62" t="str">
        <f>VLOOKUP(D41,'2.Bookinglist'!A:CT,27,FALSE)</f>
        <v>MACPRO EXPRESS CO., LTD.</v>
      </c>
      <c r="F41" s="62" t="str">
        <f>VLOOKUP(D41,'2.Bookinglist'!A:CT,28,FALSE)</f>
        <v>THAI NAKORN PATANA CO., LTD.</v>
      </c>
      <c r="G41" s="60">
        <f>VLOOKUP(D41,'2.Bookinglist'!A:E,5,FALSE)</f>
        <v>0</v>
      </c>
      <c r="H41" s="61" t="str">
        <f>VLOOKUP(D41,'2.Bookinglist'!A:CT,15,FALSE)</f>
        <v>THBKK</v>
      </c>
      <c r="I41" s="61" t="str">
        <f>VLOOKUP(D41,'2.Bookinglist'!A:CT,19,FALSE)</f>
        <v>VNSGN</v>
      </c>
      <c r="J41" s="61">
        <f>VLOOKUP(D41,'2.Bookinglist'!A:CT,26,FALSE)</f>
        <v>0</v>
      </c>
      <c r="K41" s="61" t="str">
        <f>VLOOKUP(A41,'1.Loading'!A:R,5,FALSE)</f>
        <v>22GP</v>
      </c>
      <c r="L41" s="60" t="str">
        <f>VLOOKUP(D41,'2.Bookinglist'!A:CT,85,FALSE)</f>
        <v>CY/CY</v>
      </c>
      <c r="M41" s="60" t="str">
        <f>IF(VLOOKUP(D41,'2.Bookinglist'!A:CT,43,FALSE)=0,"","DG")</f>
        <v/>
      </c>
      <c r="N41" s="60" t="str">
        <f>IF(RIGHT(K41,2)="RE","RF","")</f>
        <v/>
      </c>
      <c r="O41" s="61" t="str">
        <f>VLOOKUP(A41,'1.Loading'!A:R,3,FALSE)</f>
        <v>SWSP</v>
      </c>
      <c r="P41" s="61" t="str">
        <f>VLOOKUP(A41,'1.Loading'!A:R,4,FALSE)</f>
        <v>2609N</v>
      </c>
      <c r="Q41" s="61" t="str">
        <f>VLOOKUP(D41,'2.Bookinglist'!A:CT,12,FALSE)</f>
        <v>BTS</v>
      </c>
      <c r="R41" s="60" t="str">
        <f>IF(LEFT(K41,2)="22","20'","40'")</f>
        <v>20'</v>
      </c>
      <c r="S41" s="185" t="n"/>
      <c r="T41" s="61" t="str">
        <f>VLOOKUP(A41,'1.Loading'!A:R,2,FALSE)</f>
        <v>2026-10-08</v>
      </c>
      <c r="U41" s="63">
        <f>T41-S41</f>
        <v>46303</v>
      </c>
      <c r="V41" s="186" t="n"/>
      <c r="W41" s="61" t="str">
        <f>VLOOKUP(A41,'3.GateMove'!A:D,4,FALSE)</f>
        <v>2026-10-02</v>
      </c>
      <c r="X41" s="63">
        <f>((T41-W41)+1)</f>
        <v>7</v>
      </c>
      <c r="Y41" s="64">
        <f>IF(AND(OR(C41="BKK01",C41="BKK04"),L41="CFS/CY"),0,IF(M41="DG",1,IF(LEFT(C41,3)="LCH",7,IF(C41="BKK02",5,3))))</f>
        <v>3</v>
      </c>
      <c r="Z41" s="63">
        <f>IF(IF(AND(AC41="TML",AB41&gt;0),((T41-W41)+1)-AB41,((T41-W41)+1)-Y41)&gt;0,IF(AND(AC41="TML",AB41&gt;0),((T41-W41)+1)-AB41,((T41-W41)+1)-Y41),0)</f>
        <v>4</v>
      </c>
      <c r="AA41" s="187">
        <f>IF(AND(B41="G1",M41=""),IF(R41="20'",
VLOOKUP(Z41,Charge!$K$2:$M$5,2,TRUE)+(Z41-VLOOKUP(Z41,Charge!$K$2:$M$5,1,TRUE))*VLOOKUP(Z41,Charge!$K$2:$M$5,3,TRUE),
VLOOKUP(Z41,Charge!$N$2:$P$5,2,TRUE)+(Z41-VLOOKUP(Z41,Charge!$N$2:$P$5,1,TRUE))*VLOOKUP(Z41,Charge!$N$2:$P$5,3,TRUE)),
IF(AND(B41="G1",M41="DG"),IF(R41="20'",
VLOOKUP(Z41,Charge!$R$2:$T$5,2,TRUE)+(Z41-VLOOKUP(Z41,Charge!$R$2:$T$5,1,TRUE))*VLOOKUP(Z41,Charge!$R$2:$T$5,3,TRUE),
VLOOKUP(Z41,Charge!$U$2:$W$5,2,TRUE)+(Z41-VLOOKUP(Z41,Charge!$U$2:$W$5,1,TRUE))*VLOOKUP(Z41,Charge!$U$2:$W$5,3,TRUE)),
IF(AND(B41="G3",M41=""),IF(R41="20'",
VLOOKUP(Z41,Charge!$K$18:$M$21,2,TRUE)+(Z41-VLOOKUP(Z41,Charge!$K$18:$M$21,1,TRUE))*VLOOKUP(Z41,Charge!$K$18:$M$21,3,TRUE),
VLOOKUP(Z41,Charge!$N$18:$P$21,2,TRUE)+(Z41-VLOOKUP(Z41,Charge!$N$18:$P$21,1,TRUE))*VLOOKUP(Z41,Charge!$N$18:$P$21,3,TRUE)),
IF(AND(B41="G3",M41="DG"),IF(R41="20'",
VLOOKUP(Z41,Charge!$R$18:$T$21,2,TRUE)+(Z41-VLOOKUP(Z41,Charge!$R$18:$T$21,1,TRUE))*VLOOKUP(Z41,Charge!$R$18:$T$21,3,TRUE),
VLOOKUP(Z41,Charge!$U$18:$W$21,2,TRUE)+(Z41-VLOOKUP(Z41,Charge!$U$18:$W$21,1,TRUE))*VLOOKUP(Z41,Charge!$U$18:$W$21,3,TRUE)),
IF(AND(B41="G2",M41=""),IF(R41="20'",
VLOOKUP(Z41,Charge!$K$9:$M$12,2,TRUE)+(Z41-VLOOKUP(Z41,Charge!$K$9:$M$12,1,TRUE))*VLOOKUP(Z41,Charge!$K$9:$M$12,3,TRUE),
VLOOKUP(Z41,Charge!$N$9:$P$12,2,TRUE)+(Z41-VLOOKUP(Z41,Charge!$N$9:$P$12,1,TRUE))*VLOOKUP(Z41,Charge!$N$9:$P$12,3,TRUE)),
IF(AND(B41="G2",M41="DG"),IF(R41="20'",
VLOOKUP(Z41,Charge!$R$9:$T$12,2,TRUE)+(Z41-VLOOKUP(Z41,Charge!$R$9:$T$12,1,TRUE))*VLOOKUP(Z41,Charge!$R$9:$T$12,3,TRUE),
VLOOKUP(Z41,Charge!$U$9:$W$12,2,TRUE)+(Z41-VLOOKUP(Z41,Charge!$U$9:$W$12,1,TRUE))*VLOOKUP(Z41,Charge!$U$9:$W$12,3,TRUE)),IF(AND(B41="G4",M41=""),IF(R41="20'",Z41*Charge!$M$25,Z41*Charge!$P$25),IF(AND(B41="G4",M41="DG"),IF(R41="20'",Z41*Charge!$T$25,Z41*Charge!$W$25),0))))))))</f>
        <v>640</v>
      </c>
      <c r="AB41" s="184" t="n"/>
      <c r="AC41" s="184" t="n"/>
      <c r="AD41" s="60">
        <f>IF(M41="DG",3,IF(N41="RF",3,5))+IF(AND(LEFT(C41,3)="BKK",N41="RF",Q41="KTS"),1,0)+IF(Q41="KHS",1,0)</f>
        <v>5</v>
      </c>
      <c r="AE41" s="63">
        <f>(T41-V41)+1</f>
        <v>46304</v>
      </c>
      <c r="AF41" s="63">
        <f>IF(AB41&gt;IF((V41-W41)&gt;0,V41-W41,0),0,IF(AB41&lt;IF((V41-W41)&gt;0,V41-W41,0),IF((V41-W41)&gt;0,V41-W41,0)-AB41,IF((V41-W41)&gt;0,V41-W41,0)))</f>
        <v>0</v>
      </c>
      <c r="AG41" s="187">
        <f>IF(AND(M41=""),IF(R41="20'",
VLOOKUP(AF41,Charge!$K$31:$M$34,2,TRUE)+(AF41-VLOOKUP(AF41,Charge!$K$31:$M$34,1,TRUE))*VLOOKUP(AF41,Charge!$K$31:$M$34,3,TRUE),
VLOOKUP(AF41,Charge!$N$31:$P$34,2,TRUE)+(AF41-VLOOKUP(AF41,Charge!$N$31:$P$34,1,TRUE))*VLOOKUP(AF41,Charge!$N$31:$P$34,3,TRUE)),
IF(AND(M41="DG"),IF(R41="20'",
VLOOKUP(AF41,Charge!$R$31:$T$34,2,TRUE)+(AF41-VLOOKUP(AF41,Charge!$R$31:$T$34,1,TRUE))*VLOOKUP(AF41,Charge!$R$31:$T$34,3,TRUE),
VLOOKUP(AF41,Charge!$U$31:$W$34,2,TRUE)+(AF41-VLOOKUP(AF41,Charge!$U$31:$W$34,1,TRUE))*VLOOKUP(AF41,Charge!$U$31:$W$34,3,TRUE)),0))</f>
        <v>0</v>
      </c>
      <c r="AH41" s="65" t="n"/>
      <c r="AI41" s="65">
        <f>AA41-AH41</f>
        <v>640</v>
      </c>
      <c r="AJ41" s="188" t="n"/>
      <c r="AK41" s="62" t="str">
        <f>VLOOKUP(D41,'2.Bookinglist'!A:CT,40,FALSE)</f>
        <v>Kanokporn</v>
      </c>
      <c r="AL41" s="60" t="str">
        <f>VLOOKUP(D41,'2.Bookinglist'!A:CW,101,FALSE)</f>
        <v>2026-10-05</v>
      </c>
      <c r="AM41" s="60" t="str">
        <f>VLOOKUP(D41,'2.Bookinglist'!A:BK,63,FALSE)</f>
        <v>BKK27</v>
      </c>
      <c r="AN41" s="62" t="str">
        <f>VLOOKUP(D41,'2.Bookinglist'!A:AZ,52,FALSE)</f>
        <v>Pickup : 2026-10-01, Return : 2026-10-02</v>
      </c>
      <c r="AO41" s="62">
        <f>VLOOKUP(D41,'2.Bookinglist'!A:CY,103,FALSE)</f>
        <v>0</v>
      </c>
    </row>
    <row r="42" ht="12.95" customHeight="1">
      <c r="A42" s="96" t="inlineStr">
        <is>
          <t>HALU2561790</t>
        </is>
      </c>
      <c r="B42" s="184" t="str">
        <f>IF(C42=Charge!$M$1,Charge!$J$1,IF(C42=Charge!$M$23,Charge!$J$23,IF(C42=Charge!$M$17,Charge!$J$17,IF(C42=Charge!$N$17,Charge!$J$17,Charge!$J$7))))</f>
        <v>G3</v>
      </c>
      <c r="C42" s="61" t="str">
        <f>VLOOKUP(A42,'1.Loading'!A:R,14,FALSE)</f>
        <v>BKK04</v>
      </c>
      <c r="D42" s="61" t="str">
        <f>VLOOKUP(A42,'1.Loading'!A:R,17,FALSE)</f>
        <v>HASLS22260801914</v>
      </c>
      <c r="E42" s="62" t="str">
        <f>VLOOKUP(D42,'2.Bookinglist'!A:CT,27,FALSE)</f>
        <v>DP WORLD LOGISTICS SOLUTIONS (THAILAND) COMPANY LIMITED</v>
      </c>
      <c r="F42" s="62" t="str">
        <f>VLOOKUP(D42,'2.Bookinglist'!A:CT,28,FALSE)</f>
        <v>DP WORLD LOGISTICS SOLUTIONS (THAILAND) COMPANY LIMITED</v>
      </c>
      <c r="G42" s="60">
        <f>VLOOKUP(D42,'2.Bookinglist'!A:E,5,FALSE)</f>
        <v>0</v>
      </c>
      <c r="H42" s="61" t="str">
        <f>VLOOKUP(D42,'2.Bookinglist'!A:CT,15,FALSE)</f>
        <v>THBKK</v>
      </c>
      <c r="I42" s="61" t="str">
        <f>VLOOKUP(D42,'2.Bookinglist'!A:CT,19,FALSE)</f>
        <v>KRPTK</v>
      </c>
      <c r="J42" s="61">
        <f>VLOOKUP(D42,'2.Bookinglist'!A:CT,26,FALSE)</f>
        <v>0</v>
      </c>
      <c r="K42" s="61" t="str">
        <f>VLOOKUP(A42,'1.Loading'!A:R,5,FALSE)</f>
        <v>22GP</v>
      </c>
      <c r="L42" s="60" t="str">
        <f>VLOOKUP(D42,'2.Bookinglist'!A:CT,85,FALSE)</f>
        <v>CY/CY</v>
      </c>
      <c r="M42" s="60" t="str">
        <f>IF(VLOOKUP(D42,'2.Bookinglist'!A:CT,43,FALSE)=0,"","DG")</f>
        <v/>
      </c>
      <c r="N42" s="60" t="str">
        <f>IF(RIGHT(K42,2)="RE","RF","")</f>
        <v/>
      </c>
      <c r="O42" s="61" t="str">
        <f>VLOOKUP(A42,'1.Loading'!A:R,3,FALSE)</f>
        <v>SWSP</v>
      </c>
      <c r="P42" s="61" t="str">
        <f>VLOOKUP(A42,'1.Loading'!A:R,4,FALSE)</f>
        <v>2609N</v>
      </c>
      <c r="Q42" s="61" t="str">
        <f>VLOOKUP(D42,'2.Bookinglist'!A:CT,12,FALSE)</f>
        <v>BTS</v>
      </c>
      <c r="R42" s="60" t="str">
        <f>IF(LEFT(K42,2)="22","20'","40'")</f>
        <v>20'</v>
      </c>
      <c r="S42" s="185" t="n"/>
      <c r="T42" s="61" t="str">
        <f>VLOOKUP(A42,'1.Loading'!A:R,2,FALSE)</f>
        <v>2026-10-08</v>
      </c>
      <c r="U42" s="63">
        <f>T42-S42</f>
        <v>46303</v>
      </c>
      <c r="V42" s="186" t="n"/>
      <c r="W42" s="61" t="str">
        <f>VLOOKUP(A42,'3.GateMove'!A:D,4,FALSE)</f>
        <v>2026-09-19</v>
      </c>
      <c r="X42" s="63">
        <f>((T42-W42)+1)</f>
        <v>20</v>
      </c>
      <c r="Y42" s="64">
        <f>IF(AND(OR(C42="BKK01",C42="BKK04"),L42="CFS/CY"),0,IF(M42="DG",1,IF(LEFT(C42,3)="LCH",7,IF(C42="BKK02",5,3))))</f>
        <v>3</v>
      </c>
      <c r="Z42" s="63">
        <f>IF(IF(AND(AC42="TML",AB42&gt;0),((T42-W42)+1)-AB42,((T42-W42)+1)-Y42)&gt;0,IF(AND(AC42="TML",AB42&gt;0),((T42-W42)+1)-AB42,((T42-W42)+1)-Y42),0)</f>
        <v>17</v>
      </c>
      <c r="AA42" s="187">
        <f>IF(AND(B42="G1",M42=""),IF(R42="20'",
VLOOKUP(Z42,Charge!$K$2:$M$5,2,TRUE)+(Z42-VLOOKUP(Z42,Charge!$K$2:$M$5,1,TRUE))*VLOOKUP(Z42,Charge!$K$2:$M$5,3,TRUE),
VLOOKUP(Z42,Charge!$N$2:$P$5,2,TRUE)+(Z42-VLOOKUP(Z42,Charge!$N$2:$P$5,1,TRUE))*VLOOKUP(Z42,Charge!$N$2:$P$5,3,TRUE)),
IF(AND(B42="G1",M42="DG"),IF(R42="20'",
VLOOKUP(Z42,Charge!$R$2:$T$5,2,TRUE)+(Z42-VLOOKUP(Z42,Charge!$R$2:$T$5,1,TRUE))*VLOOKUP(Z42,Charge!$R$2:$T$5,3,TRUE),
VLOOKUP(Z42,Charge!$U$2:$W$5,2,TRUE)+(Z42-VLOOKUP(Z42,Charge!$U$2:$W$5,1,TRUE))*VLOOKUP(Z42,Charge!$U$2:$W$5,3,TRUE)),
IF(AND(B42="G3",M42=""),IF(R42="20'",
VLOOKUP(Z42,Charge!$K$18:$M$21,2,TRUE)+(Z42-VLOOKUP(Z42,Charge!$K$18:$M$21,1,TRUE))*VLOOKUP(Z42,Charge!$K$18:$M$21,3,TRUE),
VLOOKUP(Z42,Charge!$N$18:$P$21,2,TRUE)+(Z42-VLOOKUP(Z42,Charge!$N$18:$P$21,1,TRUE))*VLOOKUP(Z42,Charge!$N$18:$P$21,3,TRUE)),
IF(AND(B42="G3",M42="DG"),IF(R42="20'",
VLOOKUP(Z42,Charge!$R$18:$T$21,2,TRUE)+(Z42-VLOOKUP(Z42,Charge!$R$18:$T$21,1,TRUE))*VLOOKUP(Z42,Charge!$R$18:$T$21,3,TRUE),
VLOOKUP(Z42,Charge!$U$18:$W$21,2,TRUE)+(Z42-VLOOKUP(Z42,Charge!$U$18:$W$21,1,TRUE))*VLOOKUP(Z42,Charge!$U$18:$W$21,3,TRUE)),
IF(AND(B42="G2",M42=""),IF(R42="20'",
VLOOKUP(Z42,Charge!$K$9:$M$12,2,TRUE)+(Z42-VLOOKUP(Z42,Charge!$K$9:$M$12,1,TRUE))*VLOOKUP(Z42,Charge!$K$9:$M$12,3,TRUE),
VLOOKUP(Z42,Charge!$N$9:$P$12,2,TRUE)+(Z42-VLOOKUP(Z42,Charge!$N$9:$P$12,1,TRUE))*VLOOKUP(Z42,Charge!$N$9:$P$12,3,TRUE)),
IF(AND(B42="G2",M42="DG"),IF(R42="20'",
VLOOKUP(Z42,Charge!$R$9:$T$12,2,TRUE)+(Z42-VLOOKUP(Z42,Charge!$R$9:$T$12,1,TRUE))*VLOOKUP(Z42,Charge!$R$9:$T$12,3,TRUE),
VLOOKUP(Z42,Charge!$U$9:$W$12,2,TRUE)+(Z42-VLOOKUP(Z42,Charge!$U$9:$W$12,1,TRUE))*VLOOKUP(Z42,Charge!$U$9:$W$12,3,TRUE)),IF(AND(B42="G4",M42=""),IF(R42="20'",Z42*Charge!$M$25,Z42*Charge!$P$25),IF(AND(B42="G4",M42="DG"),IF(R42="20'",Z42*Charge!$T$25,Z42*Charge!$W$25),0))))))))</f>
        <v>4215</v>
      </c>
      <c r="AB42" s="184" t="n"/>
      <c r="AC42" s="184" t="n"/>
      <c r="AD42" s="60">
        <f>IF(M42="DG",3,IF(N42="RF",3,5))+IF(AND(LEFT(C42,3)="BKK",N42="RF",Q42="KTS"),1,0)+IF(Q42="KHS",1,0)</f>
        <v>5</v>
      </c>
      <c r="AE42" s="63">
        <f>(T42-V42)+1</f>
        <v>46304</v>
      </c>
      <c r="AF42" s="63">
        <f>IF(AB42&gt;IF((V42-W42)&gt;0,V42-W42,0),0,IF(AB42&lt;IF((V42-W42)&gt;0,V42-W42,0),IF((V42-W42)&gt;0,V42-W42,0)-AB42,IF((V42-W42)&gt;0,V42-W42,0)))</f>
        <v>0</v>
      </c>
      <c r="AG42" s="187">
        <f>IF(AND(M42=""),IF(R42="20'",
VLOOKUP(AF42,Charge!$K$31:$M$34,2,TRUE)+(AF42-VLOOKUP(AF42,Charge!$K$31:$M$34,1,TRUE))*VLOOKUP(AF42,Charge!$K$31:$M$34,3,TRUE),
VLOOKUP(AF42,Charge!$N$31:$P$34,2,TRUE)+(AF42-VLOOKUP(AF42,Charge!$N$31:$P$34,1,TRUE))*VLOOKUP(AF42,Charge!$N$31:$P$34,3,TRUE)),
IF(AND(M42="DG"),IF(R42="20'",
VLOOKUP(AF42,Charge!$R$31:$T$34,2,TRUE)+(AF42-VLOOKUP(AF42,Charge!$R$31:$T$34,1,TRUE))*VLOOKUP(AF42,Charge!$R$31:$T$34,3,TRUE),
VLOOKUP(AF42,Charge!$U$31:$W$34,2,TRUE)+(AF42-VLOOKUP(AF42,Charge!$U$31:$W$34,1,TRUE))*VLOOKUP(AF42,Charge!$U$31:$W$34,3,TRUE)),0))</f>
        <v>0</v>
      </c>
      <c r="AH42" s="65" t="n"/>
      <c r="AI42" s="65">
        <f>AA42-AH42</f>
        <v>4215</v>
      </c>
      <c r="AJ42" s="188" t="n"/>
      <c r="AK42" s="62" t="str">
        <f>VLOOKUP(D42,'2.Bookinglist'!A:CT,40,FALSE)</f>
        <v>Nannaapust Sukporntaweewat</v>
      </c>
      <c r="AL42" s="60" t="str">
        <f>VLOOKUP(D42,'2.Bookinglist'!A:CW,101,FALSE)</f>
        <v>2026-10-05</v>
      </c>
      <c r="AM42" s="60" t="str">
        <f>VLOOKUP(D42,'2.Bookinglist'!A:BK,63,FALSE)</f>
        <v>BKK27</v>
      </c>
      <c r="AN42" s="62" t="str">
        <f>VLOOKUP(D42,'2.Bookinglist'!A:AZ,52,FALSE)</f>
        <v>** APPROVED BY H.W KANG DD.28/09/2026 ** *FLEXIBAG ONDECK*
Servey : 17/09/2026, Pickup : 18/09/2026, Return : 21/09/2026 *EXTEND CLS TIME : 22/09/2026 @06.00* </v>
      </c>
      <c r="AO42" s="62" t="str">
        <f>VLOOKUP(D42,'2.Bookinglist'!A:CY,103,FALSE)</f>
        <v>ROLL OVER FROM PREVIOUS VSL SWMM 2609N BY ALLOCATION TEAM MS.TARN APRPOVED COST IS UNDER HA DD.21/09</v>
      </c>
    </row>
    <row r="43" ht="12.95" customHeight="1">
      <c r="A43" s="96" t="inlineStr">
        <is>
          <t>HALU2570467</t>
        </is>
      </c>
      <c r="B43" s="184" t="str">
        <f>IF(C43=Charge!$M$1,Charge!$J$1,IF(C43=Charge!$M$23,Charge!$J$23,IF(C43=Charge!$M$17,Charge!$J$17,IF(C43=Charge!$N$17,Charge!$J$17,Charge!$J$7))))</f>
        <v>G3</v>
      </c>
      <c r="C43" s="61" t="str">
        <f>VLOOKUP(A43,'1.Loading'!A:R,14,FALSE)</f>
        <v>BKK04</v>
      </c>
      <c r="D43" s="61" t="str">
        <f>VLOOKUP(A43,'1.Loading'!A:R,17,FALSE)</f>
        <v>HASLS22260801914</v>
      </c>
      <c r="E43" s="62" t="str">
        <f>VLOOKUP(D43,'2.Bookinglist'!A:CT,27,FALSE)</f>
        <v>DP WORLD LOGISTICS SOLUTIONS (THAILAND) COMPANY LIMITED</v>
      </c>
      <c r="F43" s="62" t="str">
        <f>VLOOKUP(D43,'2.Bookinglist'!A:CT,28,FALSE)</f>
        <v>DP WORLD LOGISTICS SOLUTIONS (THAILAND) COMPANY LIMITED</v>
      </c>
      <c r="G43" s="60">
        <f>VLOOKUP(D43,'2.Bookinglist'!A:E,5,FALSE)</f>
        <v>0</v>
      </c>
      <c r="H43" s="61" t="str">
        <f>VLOOKUP(D43,'2.Bookinglist'!A:CT,15,FALSE)</f>
        <v>THBKK</v>
      </c>
      <c r="I43" s="61" t="str">
        <f>VLOOKUP(D43,'2.Bookinglist'!A:CT,19,FALSE)</f>
        <v>KRPTK</v>
      </c>
      <c r="J43" s="61">
        <f>VLOOKUP(D43,'2.Bookinglist'!A:CT,26,FALSE)</f>
        <v>0</v>
      </c>
      <c r="K43" s="61" t="str">
        <f>VLOOKUP(A43,'1.Loading'!A:R,5,FALSE)</f>
        <v>22GP</v>
      </c>
      <c r="L43" s="60" t="str">
        <f>VLOOKUP(D43,'2.Bookinglist'!A:CT,85,FALSE)</f>
        <v>CY/CY</v>
      </c>
      <c r="M43" s="60" t="str">
        <f>IF(VLOOKUP(D43,'2.Bookinglist'!A:CT,43,FALSE)=0,"","DG")</f>
        <v/>
      </c>
      <c r="N43" s="60" t="str">
        <f>IF(RIGHT(K43,2)="RE","RF","")</f>
        <v/>
      </c>
      <c r="O43" s="61" t="str">
        <f>VLOOKUP(A43,'1.Loading'!A:R,3,FALSE)</f>
        <v>SWSP</v>
      </c>
      <c r="P43" s="61" t="str">
        <f>VLOOKUP(A43,'1.Loading'!A:R,4,FALSE)</f>
        <v>2609N</v>
      </c>
      <c r="Q43" s="61" t="str">
        <f>VLOOKUP(D43,'2.Bookinglist'!A:CT,12,FALSE)</f>
        <v>BTS</v>
      </c>
      <c r="R43" s="60" t="str">
        <f>IF(LEFT(K43,2)="22","20'","40'")</f>
        <v>20'</v>
      </c>
      <c r="S43" s="185" t="n"/>
      <c r="T43" s="61" t="str">
        <f>VLOOKUP(A43,'1.Loading'!A:R,2,FALSE)</f>
        <v>2026-10-08</v>
      </c>
      <c r="U43" s="63">
        <f>T43-S43</f>
        <v>46303</v>
      </c>
      <c r="V43" s="186" t="n"/>
      <c r="W43" s="61" t="str">
        <f>VLOOKUP(A43,'3.GateMove'!A:D,4,FALSE)</f>
        <v>2026-09-19</v>
      </c>
      <c r="X43" s="63">
        <f>((T43-W43)+1)</f>
        <v>20</v>
      </c>
      <c r="Y43" s="64">
        <f>IF(AND(OR(C43="BKK01",C43="BKK04"),L43="CFS/CY"),0,IF(M43="DG",1,IF(LEFT(C43,3)="LCH",7,IF(C43="BKK02",5,3))))</f>
        <v>3</v>
      </c>
      <c r="Z43" s="63">
        <f>IF(IF(AND(AC43="TML",AB43&gt;0),((T43-W43)+1)-AB43,((T43-W43)+1)-Y43)&gt;0,IF(AND(AC43="TML",AB43&gt;0),((T43-W43)+1)-AB43,((T43-W43)+1)-Y43),0)</f>
        <v>17</v>
      </c>
      <c r="AA43" s="187">
        <f>IF(AND(B43="G1",M43=""),IF(R43="20'",
VLOOKUP(Z43,Charge!$K$2:$M$5,2,TRUE)+(Z43-VLOOKUP(Z43,Charge!$K$2:$M$5,1,TRUE))*VLOOKUP(Z43,Charge!$K$2:$M$5,3,TRUE),
VLOOKUP(Z43,Charge!$N$2:$P$5,2,TRUE)+(Z43-VLOOKUP(Z43,Charge!$N$2:$P$5,1,TRUE))*VLOOKUP(Z43,Charge!$N$2:$P$5,3,TRUE)),
IF(AND(B43="G1",M43="DG"),IF(R43="20'",
VLOOKUP(Z43,Charge!$R$2:$T$5,2,TRUE)+(Z43-VLOOKUP(Z43,Charge!$R$2:$T$5,1,TRUE))*VLOOKUP(Z43,Charge!$R$2:$T$5,3,TRUE),
VLOOKUP(Z43,Charge!$U$2:$W$5,2,TRUE)+(Z43-VLOOKUP(Z43,Charge!$U$2:$W$5,1,TRUE))*VLOOKUP(Z43,Charge!$U$2:$W$5,3,TRUE)),
IF(AND(B43="G3",M43=""),IF(R43="20'",
VLOOKUP(Z43,Charge!$K$18:$M$21,2,TRUE)+(Z43-VLOOKUP(Z43,Charge!$K$18:$M$21,1,TRUE))*VLOOKUP(Z43,Charge!$K$18:$M$21,3,TRUE),
VLOOKUP(Z43,Charge!$N$18:$P$21,2,TRUE)+(Z43-VLOOKUP(Z43,Charge!$N$18:$P$21,1,TRUE))*VLOOKUP(Z43,Charge!$N$18:$P$21,3,TRUE)),
IF(AND(B43="G3",M43="DG"),IF(R43="20'",
VLOOKUP(Z43,Charge!$R$18:$T$21,2,TRUE)+(Z43-VLOOKUP(Z43,Charge!$R$18:$T$21,1,TRUE))*VLOOKUP(Z43,Charge!$R$18:$T$21,3,TRUE),
VLOOKUP(Z43,Charge!$U$18:$W$21,2,TRUE)+(Z43-VLOOKUP(Z43,Charge!$U$18:$W$21,1,TRUE))*VLOOKUP(Z43,Charge!$U$18:$W$21,3,TRUE)),
IF(AND(B43="G2",M43=""),IF(R43="20'",
VLOOKUP(Z43,Charge!$K$9:$M$12,2,TRUE)+(Z43-VLOOKUP(Z43,Charge!$K$9:$M$12,1,TRUE))*VLOOKUP(Z43,Charge!$K$9:$M$12,3,TRUE),
VLOOKUP(Z43,Charge!$N$9:$P$12,2,TRUE)+(Z43-VLOOKUP(Z43,Charge!$N$9:$P$12,1,TRUE))*VLOOKUP(Z43,Charge!$N$9:$P$12,3,TRUE)),
IF(AND(B43="G2",M43="DG"),IF(R43="20'",
VLOOKUP(Z43,Charge!$R$9:$T$12,2,TRUE)+(Z43-VLOOKUP(Z43,Charge!$R$9:$T$12,1,TRUE))*VLOOKUP(Z43,Charge!$R$9:$T$12,3,TRUE),
VLOOKUP(Z43,Charge!$U$9:$W$12,2,TRUE)+(Z43-VLOOKUP(Z43,Charge!$U$9:$W$12,1,TRUE))*VLOOKUP(Z43,Charge!$U$9:$W$12,3,TRUE)),IF(AND(B43="G4",M43=""),IF(R43="20'",Z43*Charge!$M$25,Z43*Charge!$P$25),IF(AND(B43="G4",M43="DG"),IF(R43="20'",Z43*Charge!$T$25,Z43*Charge!$W$25),0))))))))</f>
        <v>4215</v>
      </c>
      <c r="AB43" s="184" t="n"/>
      <c r="AC43" s="184" t="n"/>
      <c r="AD43" s="60">
        <f>IF(M43="DG",3,IF(N43="RF",3,5))+IF(AND(LEFT(C43,3)="BKK",N43="RF",Q43="KTS"),1,0)+IF(Q43="KHS",1,0)</f>
        <v>5</v>
      </c>
      <c r="AE43" s="63">
        <f>(T43-V43)+1</f>
        <v>46304</v>
      </c>
      <c r="AF43" s="63">
        <f>IF(AB43&gt;IF((V43-W43)&gt;0,V43-W43,0),0,IF(AB43&lt;IF((V43-W43)&gt;0,V43-W43,0),IF((V43-W43)&gt;0,V43-W43,0)-AB43,IF((V43-W43)&gt;0,V43-W43,0)))</f>
        <v>0</v>
      </c>
      <c r="AG43" s="187">
        <f>IF(AND(M43=""),IF(R43="20'",
VLOOKUP(AF43,Charge!$K$31:$M$34,2,TRUE)+(AF43-VLOOKUP(AF43,Charge!$K$31:$M$34,1,TRUE))*VLOOKUP(AF43,Charge!$K$31:$M$34,3,TRUE),
VLOOKUP(AF43,Charge!$N$31:$P$34,2,TRUE)+(AF43-VLOOKUP(AF43,Charge!$N$31:$P$34,1,TRUE))*VLOOKUP(AF43,Charge!$N$31:$P$34,3,TRUE)),
IF(AND(M43="DG"),IF(R43="20'",
VLOOKUP(AF43,Charge!$R$31:$T$34,2,TRUE)+(AF43-VLOOKUP(AF43,Charge!$R$31:$T$34,1,TRUE))*VLOOKUP(AF43,Charge!$R$31:$T$34,3,TRUE),
VLOOKUP(AF43,Charge!$U$31:$W$34,2,TRUE)+(AF43-VLOOKUP(AF43,Charge!$U$31:$W$34,1,TRUE))*VLOOKUP(AF43,Charge!$U$31:$W$34,3,TRUE)),0))</f>
        <v>0</v>
      </c>
      <c r="AH43" s="65" t="n"/>
      <c r="AI43" s="65">
        <f>AA43-AH43</f>
        <v>4215</v>
      </c>
      <c r="AJ43" s="188" t="n"/>
      <c r="AK43" s="62" t="str">
        <f>VLOOKUP(D43,'2.Bookinglist'!A:CT,40,FALSE)</f>
        <v>Nannaapust Sukporntaweewat</v>
      </c>
      <c r="AL43" s="60" t="str">
        <f>VLOOKUP(D43,'2.Bookinglist'!A:CW,101,FALSE)</f>
        <v>2026-10-05</v>
      </c>
      <c r="AM43" s="60" t="str">
        <f>VLOOKUP(D43,'2.Bookinglist'!A:BK,63,FALSE)</f>
        <v>BKK27</v>
      </c>
      <c r="AN43" s="62" t="str">
        <f>VLOOKUP(D43,'2.Bookinglist'!A:AZ,52,FALSE)</f>
        <v>** APPROVED BY H.W KANG DD.28/09/2026 ** *FLEXIBAG ONDECK*
Servey : 17/09/2026, Pickup : 18/09/2026, Return : 21/09/2026 *EXTEND CLS TIME : 22/09/2026 @06.00* </v>
      </c>
      <c r="AO43" s="62" t="str">
        <f>VLOOKUP(D43,'2.Bookinglist'!A:CY,103,FALSE)</f>
        <v>ROLL OVER FROM PREVIOUS VSL SWMM 2609N BY ALLOCATION TEAM MS.TARN APRPOVED COST IS UNDER HA DD.21/09</v>
      </c>
    </row>
    <row r="44" ht="12.95" customHeight="1">
      <c r="A44" s="96" t="inlineStr">
        <is>
          <t>HALU2581060</t>
        </is>
      </c>
      <c r="B44" s="184" t="str">
        <f>IF(C44=Charge!$M$1,Charge!$J$1,IF(C44=Charge!$M$23,Charge!$J$23,IF(C44=Charge!$M$17,Charge!$J$17,IF(C44=Charge!$N$17,Charge!$J$17,Charge!$J$7))))</f>
        <v>G3</v>
      </c>
      <c r="C44" s="61" t="str">
        <f>VLOOKUP(A44,'1.Loading'!A:R,14,FALSE)</f>
        <v>BKK04</v>
      </c>
      <c r="D44" s="61" t="str">
        <f>VLOOKUP(A44,'1.Loading'!A:R,17,FALSE)</f>
        <v>HASLS22260901076</v>
      </c>
      <c r="E44" s="62" t="str">
        <f>VLOOKUP(D44,'2.Bookinglist'!A:CT,27,FALSE)</f>
        <v>EAST-LINK CORPORATION CO., LTD.</v>
      </c>
      <c r="F44" s="62" t="str">
        <f>VLOOKUP(D44,'2.Bookinglist'!A:CT,28,FALSE)</f>
        <v>AROMATECH FLAVOURS CO., LTD.</v>
      </c>
      <c r="G44" s="60">
        <f>VLOOKUP(D44,'2.Bookinglist'!A:E,5,FALSE)</f>
        <v>0</v>
      </c>
      <c r="H44" s="61" t="str">
        <f>VLOOKUP(D44,'2.Bookinglist'!A:CT,15,FALSE)</f>
        <v>THBKK</v>
      </c>
      <c r="I44" s="61" t="str">
        <f>VLOOKUP(D44,'2.Bookinglist'!A:CT,19,FALSE)</f>
        <v>VNSGN</v>
      </c>
      <c r="J44" s="61">
        <f>VLOOKUP(D44,'2.Bookinglist'!A:CT,26,FALSE)</f>
        <v>0</v>
      </c>
      <c r="K44" s="61" t="str">
        <f>VLOOKUP(A44,'1.Loading'!A:R,5,FALSE)</f>
        <v>22GP</v>
      </c>
      <c r="L44" s="60" t="str">
        <f>VLOOKUP(D44,'2.Bookinglist'!A:CT,85,FALSE)</f>
        <v>CY/CY</v>
      </c>
      <c r="M44" s="60" t="str">
        <f>IF(VLOOKUP(D44,'2.Bookinglist'!A:CT,43,FALSE)=0,"","DG")</f>
        <v/>
      </c>
      <c r="N44" s="60" t="str">
        <f>IF(RIGHT(K44,2)="RE","RF","")</f>
        <v/>
      </c>
      <c r="O44" s="61" t="str">
        <f>VLOOKUP(A44,'1.Loading'!A:R,3,FALSE)</f>
        <v>SWSP</v>
      </c>
      <c r="P44" s="61" t="str">
        <f>VLOOKUP(A44,'1.Loading'!A:R,4,FALSE)</f>
        <v>2609N</v>
      </c>
      <c r="Q44" s="61" t="str">
        <f>VLOOKUP(D44,'2.Bookinglist'!A:CT,12,FALSE)</f>
        <v>BTS</v>
      </c>
      <c r="R44" s="60" t="str">
        <f>IF(LEFT(K44,2)="22","20'","40'")</f>
        <v>20'</v>
      </c>
      <c r="S44" s="185" t="n"/>
      <c r="T44" s="61" t="str">
        <f>VLOOKUP(A44,'1.Loading'!A:R,2,FALSE)</f>
        <v>2026-10-08</v>
      </c>
      <c r="U44" s="63">
        <f>T44-S44</f>
        <v>46303</v>
      </c>
      <c r="V44" s="186" t="n"/>
      <c r="W44" s="61" t="str">
        <f>VLOOKUP(A44,'3.GateMove'!A:D,4,FALSE)</f>
        <v>2026-10-03</v>
      </c>
      <c r="X44" s="63">
        <f>((T44-W44)+1)</f>
        <v>6</v>
      </c>
      <c r="Y44" s="64">
        <f>IF(AND(OR(C44="BKK01",C44="BKK04"),L44="CFS/CY"),0,IF(M44="DG",1,IF(LEFT(C44,3)="LCH",7,IF(C44="BKK02",5,3))))</f>
        <v>3</v>
      </c>
      <c r="Z44" s="63">
        <f>IF(IF(AND(AC44="TML",AB44&gt;0),((T44-W44)+1)-AB44,((T44-W44)+1)-Y44)&gt;0,IF(AND(AC44="TML",AB44&gt;0),((T44-W44)+1)-AB44,((T44-W44)+1)-Y44),0)</f>
        <v>3</v>
      </c>
      <c r="AA44" s="187">
        <f>IF(AND(B44="G1",M44=""),IF(R44="20'",
VLOOKUP(Z44,Charge!$K$2:$M$5,2,TRUE)+(Z44-VLOOKUP(Z44,Charge!$K$2:$M$5,1,TRUE))*VLOOKUP(Z44,Charge!$K$2:$M$5,3,TRUE),
VLOOKUP(Z44,Charge!$N$2:$P$5,2,TRUE)+(Z44-VLOOKUP(Z44,Charge!$N$2:$P$5,1,TRUE))*VLOOKUP(Z44,Charge!$N$2:$P$5,3,TRUE)),
IF(AND(B44="G1",M44="DG"),IF(R44="20'",
VLOOKUP(Z44,Charge!$R$2:$T$5,2,TRUE)+(Z44-VLOOKUP(Z44,Charge!$R$2:$T$5,1,TRUE))*VLOOKUP(Z44,Charge!$R$2:$T$5,3,TRUE),
VLOOKUP(Z44,Charge!$U$2:$W$5,2,TRUE)+(Z44-VLOOKUP(Z44,Charge!$U$2:$W$5,1,TRUE))*VLOOKUP(Z44,Charge!$U$2:$W$5,3,TRUE)),
IF(AND(B44="G3",M44=""),IF(R44="20'",
VLOOKUP(Z44,Charge!$K$18:$M$21,2,TRUE)+(Z44-VLOOKUP(Z44,Charge!$K$18:$M$21,1,TRUE))*VLOOKUP(Z44,Charge!$K$18:$M$21,3,TRUE),
VLOOKUP(Z44,Charge!$N$18:$P$21,2,TRUE)+(Z44-VLOOKUP(Z44,Charge!$N$18:$P$21,1,TRUE))*VLOOKUP(Z44,Charge!$N$18:$P$21,3,TRUE)),
IF(AND(B44="G3",M44="DG"),IF(R44="20'",
VLOOKUP(Z44,Charge!$R$18:$T$21,2,TRUE)+(Z44-VLOOKUP(Z44,Charge!$R$18:$T$21,1,TRUE))*VLOOKUP(Z44,Charge!$R$18:$T$21,3,TRUE),
VLOOKUP(Z44,Charge!$U$18:$W$21,2,TRUE)+(Z44-VLOOKUP(Z44,Charge!$U$18:$W$21,1,TRUE))*VLOOKUP(Z44,Charge!$U$18:$W$21,3,TRUE)),
IF(AND(B44="G2",M44=""),IF(R44="20'",
VLOOKUP(Z44,Charge!$K$9:$M$12,2,TRUE)+(Z44-VLOOKUP(Z44,Charge!$K$9:$M$12,1,TRUE))*VLOOKUP(Z44,Charge!$K$9:$M$12,3,TRUE),
VLOOKUP(Z44,Charge!$N$9:$P$12,2,TRUE)+(Z44-VLOOKUP(Z44,Charge!$N$9:$P$12,1,TRUE))*VLOOKUP(Z44,Charge!$N$9:$P$12,3,TRUE)),
IF(AND(B44="G2",M44="DG"),IF(R44="20'",
VLOOKUP(Z44,Charge!$R$9:$T$12,2,TRUE)+(Z44-VLOOKUP(Z44,Charge!$R$9:$T$12,1,TRUE))*VLOOKUP(Z44,Charge!$R$9:$T$12,3,TRUE),
VLOOKUP(Z44,Charge!$U$9:$W$12,2,TRUE)+(Z44-VLOOKUP(Z44,Charge!$U$9:$W$12,1,TRUE))*VLOOKUP(Z44,Charge!$U$9:$W$12,3,TRUE)),IF(AND(B44="G4",M44=""),IF(R44="20'",Z44*Charge!$M$25,Z44*Charge!$P$25),IF(AND(B44="G4",M44="DG"),IF(R44="20'",Z44*Charge!$T$25,Z44*Charge!$W$25),0))))))))</f>
        <v>480</v>
      </c>
      <c r="AB44" s="184" t="n"/>
      <c r="AC44" s="184" t="n"/>
      <c r="AD44" s="60">
        <f>IF(M44="DG",3,IF(N44="RF",3,5))+IF(AND(LEFT(C44,3)="BKK",N44="RF",Q44="KTS"),1,0)+IF(Q44="KHS",1,0)</f>
        <v>5</v>
      </c>
      <c r="AE44" s="63">
        <f>(T44-V44)+1</f>
        <v>46304</v>
      </c>
      <c r="AF44" s="63">
        <f>IF(AB44&gt;IF((V44-W44)&gt;0,V44-W44,0),0,IF(AB44&lt;IF((V44-W44)&gt;0,V44-W44,0),IF((V44-W44)&gt;0,V44-W44,0)-AB44,IF((V44-W44)&gt;0,V44-W44,0)))</f>
        <v>0</v>
      </c>
      <c r="AG44" s="187">
        <f>IF(AND(M44=""),IF(R44="20'",
VLOOKUP(AF44,Charge!$K$31:$M$34,2,TRUE)+(AF44-VLOOKUP(AF44,Charge!$K$31:$M$34,1,TRUE))*VLOOKUP(AF44,Charge!$K$31:$M$34,3,TRUE),
VLOOKUP(AF44,Charge!$N$31:$P$34,2,TRUE)+(AF44-VLOOKUP(AF44,Charge!$N$31:$P$34,1,TRUE))*VLOOKUP(AF44,Charge!$N$31:$P$34,3,TRUE)),
IF(AND(M44="DG"),IF(R44="20'",
VLOOKUP(AF44,Charge!$R$31:$T$34,2,TRUE)+(AF44-VLOOKUP(AF44,Charge!$R$31:$T$34,1,TRUE))*VLOOKUP(AF44,Charge!$R$31:$T$34,3,TRUE),
VLOOKUP(AF44,Charge!$U$31:$W$34,2,TRUE)+(AF44-VLOOKUP(AF44,Charge!$U$31:$W$34,1,TRUE))*VLOOKUP(AF44,Charge!$U$31:$W$34,3,TRUE)),0))</f>
        <v>0</v>
      </c>
      <c r="AH44" s="65" t="n"/>
      <c r="AI44" s="65">
        <f>AA44-AH44</f>
        <v>480</v>
      </c>
      <c r="AJ44" s="188" t="n"/>
      <c r="AK44" s="62" t="str">
        <f>VLOOKUP(D44,'2.Bookinglist'!A:CT,40,FALSE)</f>
        <v>Dharaporn</v>
      </c>
      <c r="AL44" s="60" t="str">
        <f>VLOOKUP(D44,'2.Bookinglist'!A:CW,101,FALSE)</f>
        <v>2026-10-07</v>
      </c>
      <c r="AM44" s="60" t="str">
        <f>VLOOKUP(D44,'2.Bookinglist'!A:BK,63,FALSE)</f>
        <v>BKK25</v>
      </c>
      <c r="AN44" s="62" t="str">
        <f>VLOOKUP(D44,'2.Bookinglist'!A:AZ,52,FALSE)</f>
        <v>Pickup : 2026-10-02, Return : 2026-10-03</v>
      </c>
      <c r="AO44" s="62">
        <f>VLOOKUP(D44,'2.Bookinglist'!A:CY,103,FALSE)</f>
        <v>0</v>
      </c>
    </row>
    <row r="45" ht="12.95" customHeight="1">
      <c r="A45" s="96" t="inlineStr">
        <is>
          <t>HALU8506640</t>
        </is>
      </c>
      <c r="B45" s="184" t="str">
        <f>IF(C45=Charge!$M$1,Charge!$J$1,IF(C45=Charge!$M$23,Charge!$J$23,IF(C45=Charge!$M$17,Charge!$J$17,IF(C45=Charge!$N$17,Charge!$J$17,Charge!$J$7))))</f>
        <v>G3</v>
      </c>
      <c r="C45" s="61" t="str">
        <f>VLOOKUP(A45,'1.Loading'!A:R,14,FALSE)</f>
        <v>BKK04</v>
      </c>
      <c r="D45" s="61" t="str">
        <f>VLOOKUP(A45,'1.Loading'!A:R,17,FALSE)</f>
        <v>HASLS22260900909</v>
      </c>
      <c r="E45" s="62" t="str">
        <f>VLOOKUP(D45,'2.Bookinglist'!A:CT,27,FALSE)</f>
        <v>SIAM I-LOGISTICS LTD.</v>
      </c>
      <c r="F45" s="62" t="str">
        <f>VLOOKUP(D45,'2.Bookinglist'!A:CT,28,FALSE)</f>
        <v>GOLDEN PRIZE CANNING CO., LTD.</v>
      </c>
      <c r="G45" s="60">
        <f>VLOOKUP(D45,'2.Bookinglist'!A:E,5,FALSE)</f>
        <v>0</v>
      </c>
      <c r="H45" s="61" t="str">
        <f>VLOOKUP(D45,'2.Bookinglist'!A:CT,15,FALSE)</f>
        <v>THBKK</v>
      </c>
      <c r="I45" s="61" t="str">
        <f>VLOOKUP(D45,'2.Bookinglist'!A:CT,19,FALSE)</f>
        <v>VNSGN</v>
      </c>
      <c r="J45" s="61">
        <f>VLOOKUP(D45,'2.Bookinglist'!A:CT,26,FALSE)</f>
        <v>0</v>
      </c>
      <c r="K45" s="61" t="str">
        <f>VLOOKUP(A45,'1.Loading'!A:R,5,FALSE)</f>
        <v>45RE</v>
      </c>
      <c r="L45" s="60" t="str">
        <f>VLOOKUP(D45,'2.Bookinglist'!A:CT,85,FALSE)</f>
        <v>CY/CY</v>
      </c>
      <c r="M45" s="60" t="str">
        <f>IF(VLOOKUP(D45,'2.Bookinglist'!A:CT,43,FALSE)=0,"","DG")</f>
        <v/>
      </c>
      <c r="N45" s="60" t="str">
        <f>IF(RIGHT(K45,2)="RE","RF","")</f>
        <v>RF</v>
      </c>
      <c r="O45" s="61" t="str">
        <f>VLOOKUP(A45,'1.Loading'!A:R,3,FALSE)</f>
        <v>SWSP</v>
      </c>
      <c r="P45" s="61" t="str">
        <f>VLOOKUP(A45,'1.Loading'!A:R,4,FALSE)</f>
        <v>2609N</v>
      </c>
      <c r="Q45" s="61" t="str">
        <f>VLOOKUP(D45,'2.Bookinglist'!A:CT,12,FALSE)</f>
        <v>BTS</v>
      </c>
      <c r="R45" s="60" t="str">
        <f>IF(LEFT(K45,2)="22","20'","40'")</f>
        <v>40'</v>
      </c>
      <c r="S45" s="185" t="n"/>
      <c r="T45" s="61" t="str">
        <f>VLOOKUP(A45,'1.Loading'!A:R,2,FALSE)</f>
        <v>2026-10-08</v>
      </c>
      <c r="U45" s="63">
        <f>T45-S45</f>
        <v>46303</v>
      </c>
      <c r="V45" s="186" t="n"/>
      <c r="W45" s="61" t="str">
        <f>VLOOKUP(A45,'3.GateMove'!A:D,4,FALSE)</f>
        <v>2026-10-04</v>
      </c>
      <c r="X45" s="63">
        <f>((T45-W45)+1)</f>
        <v>5</v>
      </c>
      <c r="Y45" s="64">
        <f>IF(AND(OR(C45="BKK01",C45="BKK04"),L45="CFS/CY"),0,IF(M45="DG",1,IF(LEFT(C45,3)="LCH",7,IF(C45="BKK02",5,3))))</f>
        <v>3</v>
      </c>
      <c r="Z45" s="63">
        <f>IF(IF(AND(AC45="TML",AB45&gt;0),((T45-W45)+1)-AB45,((T45-W45)+1)-Y45)&gt;0,IF(AND(AC45="TML",AB45&gt;0),((T45-W45)+1)-AB45,((T45-W45)+1)-Y45),0)</f>
        <v>2</v>
      </c>
      <c r="AA45" s="187">
        <f>IF(AND(B45="G1",M45=""),IF(R45="20'",
VLOOKUP(Z45,Charge!$K$2:$M$5,2,TRUE)+(Z45-VLOOKUP(Z45,Charge!$K$2:$M$5,1,TRUE))*VLOOKUP(Z45,Charge!$K$2:$M$5,3,TRUE),
VLOOKUP(Z45,Charge!$N$2:$P$5,2,TRUE)+(Z45-VLOOKUP(Z45,Charge!$N$2:$P$5,1,TRUE))*VLOOKUP(Z45,Charge!$N$2:$P$5,3,TRUE)),
IF(AND(B45="G1",M45="DG"),IF(R45="20'",
VLOOKUP(Z45,Charge!$R$2:$T$5,2,TRUE)+(Z45-VLOOKUP(Z45,Charge!$R$2:$T$5,1,TRUE))*VLOOKUP(Z45,Charge!$R$2:$T$5,3,TRUE),
VLOOKUP(Z45,Charge!$U$2:$W$5,2,TRUE)+(Z45-VLOOKUP(Z45,Charge!$U$2:$W$5,1,TRUE))*VLOOKUP(Z45,Charge!$U$2:$W$5,3,TRUE)),
IF(AND(B45="G3",M45=""),IF(R45="20'",
VLOOKUP(Z45,Charge!$K$18:$M$21,2,TRUE)+(Z45-VLOOKUP(Z45,Charge!$K$18:$M$21,1,TRUE))*VLOOKUP(Z45,Charge!$K$18:$M$21,3,TRUE),
VLOOKUP(Z45,Charge!$N$18:$P$21,2,TRUE)+(Z45-VLOOKUP(Z45,Charge!$N$18:$P$21,1,TRUE))*VLOOKUP(Z45,Charge!$N$18:$P$21,3,TRUE)),
IF(AND(B45="G3",M45="DG"),IF(R45="20'",
VLOOKUP(Z45,Charge!$R$18:$T$21,2,TRUE)+(Z45-VLOOKUP(Z45,Charge!$R$18:$T$21,1,TRUE))*VLOOKUP(Z45,Charge!$R$18:$T$21,3,TRUE),
VLOOKUP(Z45,Charge!$U$18:$W$21,2,TRUE)+(Z45-VLOOKUP(Z45,Charge!$U$18:$W$21,1,TRUE))*VLOOKUP(Z45,Charge!$U$18:$W$21,3,TRUE)),
IF(AND(B45="G2",M45=""),IF(R45="20'",
VLOOKUP(Z45,Charge!$K$9:$M$12,2,TRUE)+(Z45-VLOOKUP(Z45,Charge!$K$9:$M$12,1,TRUE))*VLOOKUP(Z45,Charge!$K$9:$M$12,3,TRUE),
VLOOKUP(Z45,Charge!$N$9:$P$12,2,TRUE)+(Z45-VLOOKUP(Z45,Charge!$N$9:$P$12,1,TRUE))*VLOOKUP(Z45,Charge!$N$9:$P$12,3,TRUE)),
IF(AND(B45="G2",M45="DG"),IF(R45="20'",
VLOOKUP(Z45,Charge!$R$9:$T$12,2,TRUE)+(Z45-VLOOKUP(Z45,Charge!$R$9:$T$12,1,TRUE))*VLOOKUP(Z45,Charge!$R$9:$T$12,3,TRUE),
VLOOKUP(Z45,Charge!$U$9:$W$12,2,TRUE)+(Z45-VLOOKUP(Z45,Charge!$U$9:$W$12,1,TRUE))*VLOOKUP(Z45,Charge!$U$9:$W$12,3,TRUE)),IF(AND(B45="G4",M45=""),IF(R45="20'",Z45*Charge!$M$25,Z45*Charge!$P$25),IF(AND(B45="G4",M45="DG"),IF(R45="20'",Z45*Charge!$T$25,Z45*Charge!$W$25),0))))))))</f>
        <v>640</v>
      </c>
      <c r="AB45" s="184" t="n"/>
      <c r="AC45" s="184" t="n"/>
      <c r="AD45" s="60">
        <f>IF(M45="DG",3,IF(N45="RF",3,5))+IF(AND(LEFT(C45,3)="BKK",N45="RF",Q45="KTS"),1,0)+IF(Q45="KHS",1,0)</f>
        <v>3</v>
      </c>
      <c r="AE45" s="63">
        <f>(T45-V45)+1</f>
        <v>46304</v>
      </c>
      <c r="AF45" s="63">
        <f>IF(AB45&gt;IF((V45-W45)&gt;0,V45-W45,0),0,IF(AB45&lt;IF((V45-W45)&gt;0,V45-W45,0),IF((V45-W45)&gt;0,V45-W45,0)-AB45,IF((V45-W45)&gt;0,V45-W45,0)))</f>
        <v>0</v>
      </c>
      <c r="AG45" s="187">
        <f>IF(AND(M45=""),IF(R45="20'",
VLOOKUP(AF45,Charge!$K$31:$M$34,2,TRUE)+(AF45-VLOOKUP(AF45,Charge!$K$31:$M$34,1,TRUE))*VLOOKUP(AF45,Charge!$K$31:$M$34,3,TRUE),
VLOOKUP(AF45,Charge!$N$31:$P$34,2,TRUE)+(AF45-VLOOKUP(AF45,Charge!$N$31:$P$34,1,TRUE))*VLOOKUP(AF45,Charge!$N$31:$P$34,3,TRUE)),
IF(AND(M45="DG"),IF(R45="20'",
VLOOKUP(AF45,Charge!$R$31:$T$34,2,TRUE)+(AF45-VLOOKUP(AF45,Charge!$R$31:$T$34,1,TRUE))*VLOOKUP(AF45,Charge!$R$31:$T$34,3,TRUE),
VLOOKUP(AF45,Charge!$U$31:$W$34,2,TRUE)+(AF45-VLOOKUP(AF45,Charge!$U$31:$W$34,1,TRUE))*VLOOKUP(AF45,Charge!$U$31:$W$34,3,TRUE)),0))</f>
        <v>0</v>
      </c>
      <c r="AH45" s="65" t="n"/>
      <c r="AI45" s="65">
        <f>AA45-AH45</f>
        <v>640</v>
      </c>
      <c r="AJ45" s="188" t="n"/>
      <c r="AK45" s="62" t="str">
        <f>VLOOKUP(D45,'2.Bookinglist'!A:CT,40,FALSE)</f>
        <v>Nannaapust Sukporntaweewat</v>
      </c>
      <c r="AL45" s="60" t="str">
        <f>VLOOKUP(D45,'2.Bookinglist'!A:CW,101,FALSE)</f>
        <v>2026-10-06</v>
      </c>
      <c r="AM45" s="60" t="str">
        <f>VLOOKUP(D45,'2.Bookinglist'!A:BK,63,FALSE)</f>
        <v>BKK27</v>
      </c>
      <c r="AN45" s="62" t="str">
        <f>VLOOKUP(D45,'2.Bookinglist'!A:AZ,52,FALSE)</f>
        <v>Pickup : 01/10/2026, Return : 03-05/10/2026 (Temp -25.0 / Vent Close) 
CLOSING TIME 2026-10-05 @23.59 (1ST 03/10/2026 RETURN W/O RENT)</v>
      </c>
      <c r="AO45" s="62">
        <f>VLOOKUP(D45,'2.Bookinglist'!A:CY,103,FALSE)</f>
        <v>0</v>
      </c>
    </row>
    <row r="46" ht="12.95" customHeight="1">
      <c r="A46" s="96" t="inlineStr">
        <is>
          <t>HLHU6409055</t>
        </is>
      </c>
      <c r="B46" s="184" t="str">
        <f>IF(C46=Charge!$M$1,Charge!$J$1,IF(C46=Charge!$M$23,Charge!$J$23,IF(C46=Charge!$M$17,Charge!$J$17,IF(C46=Charge!$N$17,Charge!$J$17,Charge!$J$7))))</f>
        <v>G3</v>
      </c>
      <c r="C46" s="61" t="str">
        <f>VLOOKUP(A46,'1.Loading'!A:R,14,FALSE)</f>
        <v>BKK04</v>
      </c>
      <c r="D46" s="61" t="str">
        <f>VLOOKUP(A46,'1.Loading'!A:R,17,FALSE)</f>
        <v>HASLS22260900366</v>
      </c>
      <c r="E46" s="62" t="str">
        <f>VLOOKUP(D46,'2.Bookinglist'!A:CT,27,FALSE)</f>
        <v>ASIA-PACIFIC LOGISTICS CO., LTD.</v>
      </c>
      <c r="F46" s="62" t="str">
        <f>VLOOKUP(D46,'2.Bookinglist'!A:CT,28,FALSE)</f>
        <v>VISTA DISTRIBUTION CO.,LTD.</v>
      </c>
      <c r="G46" s="60">
        <f>VLOOKUP(D46,'2.Bookinglist'!A:E,5,FALSE)</f>
        <v>0</v>
      </c>
      <c r="H46" s="61" t="str">
        <f>VLOOKUP(D46,'2.Bookinglist'!A:CT,15,FALSE)</f>
        <v>THBKK</v>
      </c>
      <c r="I46" s="61" t="str">
        <f>VLOOKUP(D46,'2.Bookinglist'!A:CT,19,FALSE)</f>
        <v>VNSGN</v>
      </c>
      <c r="J46" s="61">
        <f>VLOOKUP(D46,'2.Bookinglist'!A:CT,26,FALSE)</f>
        <v>0</v>
      </c>
      <c r="K46" s="61" t="str">
        <f>VLOOKUP(A46,'1.Loading'!A:R,5,FALSE)</f>
        <v>45GP</v>
      </c>
      <c r="L46" s="60" t="str">
        <f>VLOOKUP(D46,'2.Bookinglist'!A:CT,85,FALSE)</f>
        <v>CY/CY</v>
      </c>
      <c r="M46" s="60" t="str">
        <f>IF(VLOOKUP(D46,'2.Bookinglist'!A:CT,43,FALSE)=0,"","DG")</f>
        <v/>
      </c>
      <c r="N46" s="60" t="str">
        <f>IF(RIGHT(K46,2)="RE","RF","")</f>
        <v/>
      </c>
      <c r="O46" s="61" t="str">
        <f>VLOOKUP(A46,'1.Loading'!A:R,3,FALSE)</f>
        <v>SWSP</v>
      </c>
      <c r="P46" s="61" t="str">
        <f>VLOOKUP(A46,'1.Loading'!A:R,4,FALSE)</f>
        <v>2609N</v>
      </c>
      <c r="Q46" s="61" t="str">
        <f>VLOOKUP(D46,'2.Bookinglist'!A:CT,12,FALSE)</f>
        <v>BTS</v>
      </c>
      <c r="R46" s="60" t="str">
        <f>IF(LEFT(K46,2)="22","20'","40'")</f>
        <v>40'</v>
      </c>
      <c r="S46" s="185" t="n"/>
      <c r="T46" s="61" t="str">
        <f>VLOOKUP(A46,'1.Loading'!A:R,2,FALSE)</f>
        <v>2026-10-08</v>
      </c>
      <c r="U46" s="63">
        <f>T46-S46</f>
        <v>46303</v>
      </c>
      <c r="V46" s="186" t="n"/>
      <c r="W46" s="61" t="str">
        <f>VLOOKUP(A46,'3.GateMove'!A:D,4,FALSE)</f>
        <v>2026-10-01</v>
      </c>
      <c r="X46" s="63">
        <f>((T46-W46)+1)</f>
        <v>8</v>
      </c>
      <c r="Y46" s="64">
        <f>IF(AND(OR(C46="BKK01",C46="BKK04"),L46="CFS/CY"),0,IF(M46="DG",1,IF(LEFT(C46,3)="LCH",7,IF(C46="BKK02",5,3))))</f>
        <v>3</v>
      </c>
      <c r="Z46" s="63">
        <f>IF(IF(AND(AC46="TML",AB46&gt;0),((T46-W46)+1)-AB46,((T46-W46)+1)-Y46)&gt;0,IF(AND(AC46="TML",AB46&gt;0),((T46-W46)+1)-AB46,((T46-W46)+1)-Y46),0)</f>
        <v>5</v>
      </c>
      <c r="AA46" s="187">
        <f>IF(AND(B46="G1",M46=""),IF(R46="20'",
VLOOKUP(Z46,Charge!$K$2:$M$5,2,TRUE)+(Z46-VLOOKUP(Z46,Charge!$K$2:$M$5,1,TRUE))*VLOOKUP(Z46,Charge!$K$2:$M$5,3,TRUE),
VLOOKUP(Z46,Charge!$N$2:$P$5,2,TRUE)+(Z46-VLOOKUP(Z46,Charge!$N$2:$P$5,1,TRUE))*VLOOKUP(Z46,Charge!$N$2:$P$5,3,TRUE)),
IF(AND(B46="G1",M46="DG"),IF(R46="20'",
VLOOKUP(Z46,Charge!$R$2:$T$5,2,TRUE)+(Z46-VLOOKUP(Z46,Charge!$R$2:$T$5,1,TRUE))*VLOOKUP(Z46,Charge!$R$2:$T$5,3,TRUE),
VLOOKUP(Z46,Charge!$U$2:$W$5,2,TRUE)+(Z46-VLOOKUP(Z46,Charge!$U$2:$W$5,1,TRUE))*VLOOKUP(Z46,Charge!$U$2:$W$5,3,TRUE)),
IF(AND(B46="G3",M46=""),IF(R46="20'",
VLOOKUP(Z46,Charge!$K$18:$M$21,2,TRUE)+(Z46-VLOOKUP(Z46,Charge!$K$18:$M$21,1,TRUE))*VLOOKUP(Z46,Charge!$K$18:$M$21,3,TRUE),
VLOOKUP(Z46,Charge!$N$18:$P$21,2,TRUE)+(Z46-VLOOKUP(Z46,Charge!$N$18:$P$21,1,TRUE))*VLOOKUP(Z46,Charge!$N$18:$P$21,3,TRUE)),
IF(AND(B46="G3",M46="DG"),IF(R46="20'",
VLOOKUP(Z46,Charge!$R$18:$T$21,2,TRUE)+(Z46-VLOOKUP(Z46,Charge!$R$18:$T$21,1,TRUE))*VLOOKUP(Z46,Charge!$R$18:$T$21,3,TRUE),
VLOOKUP(Z46,Charge!$U$18:$W$21,2,TRUE)+(Z46-VLOOKUP(Z46,Charge!$U$18:$W$21,1,TRUE))*VLOOKUP(Z46,Charge!$U$18:$W$21,3,TRUE)),
IF(AND(B46="G2",M46=""),IF(R46="20'",
VLOOKUP(Z46,Charge!$K$9:$M$12,2,TRUE)+(Z46-VLOOKUP(Z46,Charge!$K$9:$M$12,1,TRUE))*VLOOKUP(Z46,Charge!$K$9:$M$12,3,TRUE),
VLOOKUP(Z46,Charge!$N$9:$P$12,2,TRUE)+(Z46-VLOOKUP(Z46,Charge!$N$9:$P$12,1,TRUE))*VLOOKUP(Z46,Charge!$N$9:$P$12,3,TRUE)),
IF(AND(B46="G2",M46="DG"),IF(R46="20'",
VLOOKUP(Z46,Charge!$R$9:$T$12,2,TRUE)+(Z46-VLOOKUP(Z46,Charge!$R$9:$T$12,1,TRUE))*VLOOKUP(Z46,Charge!$R$9:$T$12,3,TRUE),
VLOOKUP(Z46,Charge!$U$9:$W$12,2,TRUE)+(Z46-VLOOKUP(Z46,Charge!$U$9:$W$12,1,TRUE))*VLOOKUP(Z46,Charge!$U$9:$W$12,3,TRUE)),IF(AND(B46="G4",M46=""),IF(R46="20'",Z46*Charge!$M$25,Z46*Charge!$P$25),IF(AND(B46="G4",M46="DG"),IF(R46="20'",Z46*Charge!$T$25,Z46*Charge!$W$25),0))))))))</f>
        <v>1600</v>
      </c>
      <c r="AB46" s="184" t="n"/>
      <c r="AC46" s="184" t="n"/>
      <c r="AD46" s="60">
        <f>IF(M46="DG",3,IF(N46="RF",3,5))+IF(AND(LEFT(C46,3)="BKK",N46="RF",Q46="KTS"),1,0)+IF(Q46="KHS",1,0)</f>
        <v>5</v>
      </c>
      <c r="AE46" s="63">
        <f>(T46-V46)+1</f>
        <v>46304</v>
      </c>
      <c r="AF46" s="63">
        <f>IF(AB46&gt;IF((V46-W46)&gt;0,V46-W46,0),0,IF(AB46&lt;IF((V46-W46)&gt;0,V46-W46,0),IF((V46-W46)&gt;0,V46-W46,0)-AB46,IF((V46-W46)&gt;0,V46-W46,0)))</f>
        <v>0</v>
      </c>
      <c r="AG46" s="187">
        <f>IF(AND(M46=""),IF(R46="20'",
VLOOKUP(AF46,Charge!$K$31:$M$34,2,TRUE)+(AF46-VLOOKUP(AF46,Charge!$K$31:$M$34,1,TRUE))*VLOOKUP(AF46,Charge!$K$31:$M$34,3,TRUE),
VLOOKUP(AF46,Charge!$N$31:$P$34,2,TRUE)+(AF46-VLOOKUP(AF46,Charge!$N$31:$P$34,1,TRUE))*VLOOKUP(AF46,Charge!$N$31:$P$34,3,TRUE)),
IF(AND(M46="DG"),IF(R46="20'",
VLOOKUP(AF46,Charge!$R$31:$T$34,2,TRUE)+(AF46-VLOOKUP(AF46,Charge!$R$31:$T$34,1,TRUE))*VLOOKUP(AF46,Charge!$R$31:$T$34,3,TRUE),
VLOOKUP(AF46,Charge!$U$31:$W$34,2,TRUE)+(AF46-VLOOKUP(AF46,Charge!$U$31:$W$34,1,TRUE))*VLOOKUP(AF46,Charge!$U$31:$W$34,3,TRUE)),0))</f>
        <v>0</v>
      </c>
      <c r="AH46" s="65" t="n"/>
      <c r="AI46" s="65">
        <f>AA46-AH46</f>
        <v>1600</v>
      </c>
      <c r="AJ46" s="188" t="n"/>
      <c r="AK46" s="62" t="str">
        <f>VLOOKUP(D46,'2.Bookinglist'!A:CT,40,FALSE)</f>
        <v>Kanokporn</v>
      </c>
      <c r="AL46" s="60" t="str">
        <f>VLOOKUP(D46,'2.Bookinglist'!A:CW,101,FALSE)</f>
        <v>2026-10-05</v>
      </c>
      <c r="AM46" s="60" t="str">
        <f>VLOOKUP(D46,'2.Bookinglist'!A:BK,63,FALSE)</f>
        <v>BKK27</v>
      </c>
      <c r="AN46" s="62" t="str">
        <f>VLOOKUP(D46,'2.Bookinglist'!A:AZ,52,FALSE)</f>
        <v>Pickup : 2026-09-29, Return : 2026-10-01</v>
      </c>
      <c r="AO46" s="62">
        <f>VLOOKUP(D46,'2.Bookinglist'!A:CY,103,FALSE)</f>
        <v>0</v>
      </c>
    </row>
    <row r="47" ht="12.95" customHeight="1">
      <c r="A47" s="96" t="inlineStr">
        <is>
          <t>HLHU6411582</t>
        </is>
      </c>
      <c r="B47" s="184" t="str">
        <f>IF(C47=Charge!$M$1,Charge!$J$1,IF(C47=Charge!$M$23,Charge!$J$23,IF(C47=Charge!$M$17,Charge!$J$17,IF(C47=Charge!$N$17,Charge!$J$17,Charge!$J$7))))</f>
        <v>G3</v>
      </c>
      <c r="C47" s="61" t="str">
        <f>VLOOKUP(A47,'1.Loading'!A:R,14,FALSE)</f>
        <v>BKK04</v>
      </c>
      <c r="D47" s="61" t="str">
        <f>VLOOKUP(A47,'1.Loading'!A:R,17,FALSE)</f>
        <v>HASLS22260900586</v>
      </c>
      <c r="E47" s="62" t="str">
        <f>VLOOKUP(D47,'2.Bookinglist'!A:CT,27,FALSE)</f>
        <v>BIRLA CARBON (THAILAND) PUBLIC COMPANY LIMITED</v>
      </c>
      <c r="F47" s="62" t="str">
        <f>VLOOKUP(D47,'2.Bookinglist'!A:CT,28,FALSE)</f>
        <v>BIRLA CARBON (THAILAND) PUBLIC COMPANY LIMITED</v>
      </c>
      <c r="G47" s="60">
        <f>VLOOKUP(D47,'2.Bookinglist'!A:E,5,FALSE)</f>
        <v>0</v>
      </c>
      <c r="H47" s="61" t="str">
        <f>VLOOKUP(D47,'2.Bookinglist'!A:CT,15,FALSE)</f>
        <v>THBKK</v>
      </c>
      <c r="I47" s="61" t="str">
        <f>VLOOKUP(D47,'2.Bookinglist'!A:CT,19,FALSE)</f>
        <v>VNSGN</v>
      </c>
      <c r="J47" s="61">
        <f>VLOOKUP(D47,'2.Bookinglist'!A:CT,26,FALSE)</f>
        <v>0</v>
      </c>
      <c r="K47" s="61" t="str">
        <f>VLOOKUP(A47,'1.Loading'!A:R,5,FALSE)</f>
        <v>45GP</v>
      </c>
      <c r="L47" s="60" t="str">
        <f>VLOOKUP(D47,'2.Bookinglist'!A:CT,85,FALSE)</f>
        <v>CY/CY</v>
      </c>
      <c r="M47" s="60" t="str">
        <f>IF(VLOOKUP(D47,'2.Bookinglist'!A:CT,43,FALSE)=0,"","DG")</f>
        <v/>
      </c>
      <c r="N47" s="60" t="str">
        <f>IF(RIGHT(K47,2)="RE","RF","")</f>
        <v/>
      </c>
      <c r="O47" s="61" t="str">
        <f>VLOOKUP(A47,'1.Loading'!A:R,3,FALSE)</f>
        <v>SWSP</v>
      </c>
      <c r="P47" s="61" t="str">
        <f>VLOOKUP(A47,'1.Loading'!A:R,4,FALSE)</f>
        <v>2609N</v>
      </c>
      <c r="Q47" s="61" t="str">
        <f>VLOOKUP(D47,'2.Bookinglist'!A:CT,12,FALSE)</f>
        <v>BTS</v>
      </c>
      <c r="R47" s="60" t="str">
        <f>IF(LEFT(K47,2)="22","20'","40'")</f>
        <v>40'</v>
      </c>
      <c r="S47" s="185" t="n"/>
      <c r="T47" s="61" t="str">
        <f>VLOOKUP(A47,'1.Loading'!A:R,2,FALSE)</f>
        <v>2026-10-08</v>
      </c>
      <c r="U47" s="63">
        <f>T47-S47</f>
        <v>46303</v>
      </c>
      <c r="V47" s="186" t="n"/>
      <c r="W47" s="61" t="str">
        <f>VLOOKUP(A47,'3.GateMove'!A:D,4,FALSE)</f>
        <v>2026-10-04</v>
      </c>
      <c r="X47" s="63">
        <f>((T47-W47)+1)</f>
        <v>5</v>
      </c>
      <c r="Y47" s="64">
        <f>IF(AND(OR(C47="BKK01",C47="BKK04"),L47="CFS/CY"),0,IF(M47="DG",1,IF(LEFT(C47,3)="LCH",7,IF(C47="BKK02",5,3))))</f>
        <v>3</v>
      </c>
      <c r="Z47" s="63">
        <f>IF(IF(AND(AC47="TML",AB47&gt;0),((T47-W47)+1)-AB47,((T47-W47)+1)-Y47)&gt;0,IF(AND(AC47="TML",AB47&gt;0),((T47-W47)+1)-AB47,((T47-W47)+1)-Y47),0)</f>
        <v>2</v>
      </c>
      <c r="AA47" s="187">
        <f>IF(AND(B47="G1",M47=""),IF(R47="20'",
VLOOKUP(Z47,Charge!$K$2:$M$5,2,TRUE)+(Z47-VLOOKUP(Z47,Charge!$K$2:$M$5,1,TRUE))*VLOOKUP(Z47,Charge!$K$2:$M$5,3,TRUE),
VLOOKUP(Z47,Charge!$N$2:$P$5,2,TRUE)+(Z47-VLOOKUP(Z47,Charge!$N$2:$P$5,1,TRUE))*VLOOKUP(Z47,Charge!$N$2:$P$5,3,TRUE)),
IF(AND(B47="G1",M47="DG"),IF(R47="20'",
VLOOKUP(Z47,Charge!$R$2:$T$5,2,TRUE)+(Z47-VLOOKUP(Z47,Charge!$R$2:$T$5,1,TRUE))*VLOOKUP(Z47,Charge!$R$2:$T$5,3,TRUE),
VLOOKUP(Z47,Charge!$U$2:$W$5,2,TRUE)+(Z47-VLOOKUP(Z47,Charge!$U$2:$W$5,1,TRUE))*VLOOKUP(Z47,Charge!$U$2:$W$5,3,TRUE)),
IF(AND(B47="G3",M47=""),IF(R47="20'",
VLOOKUP(Z47,Charge!$K$18:$M$21,2,TRUE)+(Z47-VLOOKUP(Z47,Charge!$K$18:$M$21,1,TRUE))*VLOOKUP(Z47,Charge!$K$18:$M$21,3,TRUE),
VLOOKUP(Z47,Charge!$N$18:$P$21,2,TRUE)+(Z47-VLOOKUP(Z47,Charge!$N$18:$P$21,1,TRUE))*VLOOKUP(Z47,Charge!$N$18:$P$21,3,TRUE)),
IF(AND(B47="G3",M47="DG"),IF(R47="20'",
VLOOKUP(Z47,Charge!$R$18:$T$21,2,TRUE)+(Z47-VLOOKUP(Z47,Charge!$R$18:$T$21,1,TRUE))*VLOOKUP(Z47,Charge!$R$18:$T$21,3,TRUE),
VLOOKUP(Z47,Charge!$U$18:$W$21,2,TRUE)+(Z47-VLOOKUP(Z47,Charge!$U$18:$W$21,1,TRUE))*VLOOKUP(Z47,Charge!$U$18:$W$21,3,TRUE)),
IF(AND(B47="G2",M47=""),IF(R47="20'",
VLOOKUP(Z47,Charge!$K$9:$M$12,2,TRUE)+(Z47-VLOOKUP(Z47,Charge!$K$9:$M$12,1,TRUE))*VLOOKUP(Z47,Charge!$K$9:$M$12,3,TRUE),
VLOOKUP(Z47,Charge!$N$9:$P$12,2,TRUE)+(Z47-VLOOKUP(Z47,Charge!$N$9:$P$12,1,TRUE))*VLOOKUP(Z47,Charge!$N$9:$P$12,3,TRUE)),
IF(AND(B47="G2",M47="DG"),IF(R47="20'",
VLOOKUP(Z47,Charge!$R$9:$T$12,2,TRUE)+(Z47-VLOOKUP(Z47,Charge!$R$9:$T$12,1,TRUE))*VLOOKUP(Z47,Charge!$R$9:$T$12,3,TRUE),
VLOOKUP(Z47,Charge!$U$9:$W$12,2,TRUE)+(Z47-VLOOKUP(Z47,Charge!$U$9:$W$12,1,TRUE))*VLOOKUP(Z47,Charge!$U$9:$W$12,3,TRUE)),IF(AND(B47="G4",M47=""),IF(R47="20'",Z47*Charge!$M$25,Z47*Charge!$P$25),IF(AND(B47="G4",M47="DG"),IF(R47="20'",Z47*Charge!$T$25,Z47*Charge!$W$25),0))))))))</f>
        <v>640</v>
      </c>
      <c r="AB47" s="184" t="n"/>
      <c r="AC47" s="184" t="n"/>
      <c r="AD47" s="60">
        <f>IF(M47="DG",3,IF(N47="RF",3,5))+IF(AND(LEFT(C47,3)="BKK",N47="RF",Q47="KTS"),1,0)+IF(Q47="KHS",1,0)</f>
        <v>5</v>
      </c>
      <c r="AE47" s="63">
        <f>(T47-V47)+1</f>
        <v>46304</v>
      </c>
      <c r="AF47" s="63">
        <f>IF(AB47&gt;IF((V47-W47)&gt;0,V47-W47,0),0,IF(AB47&lt;IF((V47-W47)&gt;0,V47-W47,0),IF((V47-W47)&gt;0,V47-W47,0)-AB47,IF((V47-W47)&gt;0,V47-W47,0)))</f>
        <v>0</v>
      </c>
      <c r="AG47" s="187">
        <f>IF(AND(M47=""),IF(R47="20'",
VLOOKUP(AF47,Charge!$K$31:$M$34,2,TRUE)+(AF47-VLOOKUP(AF47,Charge!$K$31:$M$34,1,TRUE))*VLOOKUP(AF47,Charge!$K$31:$M$34,3,TRUE),
VLOOKUP(AF47,Charge!$N$31:$P$34,2,TRUE)+(AF47-VLOOKUP(AF47,Charge!$N$31:$P$34,1,TRUE))*VLOOKUP(AF47,Charge!$N$31:$P$34,3,TRUE)),
IF(AND(M47="DG"),IF(R47="20'",
VLOOKUP(AF47,Charge!$R$31:$T$34,2,TRUE)+(AF47-VLOOKUP(AF47,Charge!$R$31:$T$34,1,TRUE))*VLOOKUP(AF47,Charge!$R$31:$T$34,3,TRUE),
VLOOKUP(AF47,Charge!$U$31:$W$34,2,TRUE)+(AF47-VLOOKUP(AF47,Charge!$U$31:$W$34,1,TRUE))*VLOOKUP(AF47,Charge!$U$31:$W$34,3,TRUE)),0))</f>
        <v>0</v>
      </c>
      <c r="AH47" s="65" t="n"/>
      <c r="AI47" s="65">
        <f>AA47-AH47</f>
        <v>640</v>
      </c>
      <c r="AJ47" s="188" t="n"/>
      <c r="AK47" s="62" t="str">
        <f>VLOOKUP(D47,'2.Bookinglist'!A:CT,40,FALSE)</f>
        <v>Dharaporn</v>
      </c>
      <c r="AL47" s="60" t="str">
        <f>VLOOKUP(D47,'2.Bookinglist'!A:CW,101,FALSE)</f>
        <v>2026-10-07</v>
      </c>
      <c r="AM47" s="60" t="str">
        <f>VLOOKUP(D47,'2.Bookinglist'!A:BK,63,FALSE)</f>
        <v>BKK27</v>
      </c>
      <c r="AN47" s="62" t="str">
        <f>VLOOKUP(D47,'2.Bookinglist'!A:AZ,52,FALSE)</f>
        <v>Pickup : 2026-10-01, Return : 2026-10-02 (1ST RTN DD: 03/10/26 WO/RENT)</v>
      </c>
      <c r="AO47" s="62">
        <f>VLOOKUP(D47,'2.Bookinglist'!A:CY,103,FALSE)</f>
        <v>0</v>
      </c>
    </row>
    <row r="48" ht="12.95" customHeight="1">
      <c r="A48" s="96" t="inlineStr">
        <is>
          <t>HLHU8103742</t>
        </is>
      </c>
      <c r="B48" s="184" t="str">
        <f>IF(C48=Charge!$M$1,Charge!$J$1,IF(C48=Charge!$M$23,Charge!$J$23,IF(C48=Charge!$M$17,Charge!$J$17,IF(C48=Charge!$N$17,Charge!$J$17,Charge!$J$7))))</f>
        <v>G3</v>
      </c>
      <c r="C48" s="61" t="str">
        <f>VLOOKUP(A48,'1.Loading'!A:R,14,FALSE)</f>
        <v>BKK04</v>
      </c>
      <c r="D48" s="61" t="str">
        <f>VLOOKUP(A48,'1.Loading'!A:R,17,FALSE)</f>
        <v>HASLS22260900734</v>
      </c>
      <c r="E48" s="62" t="str">
        <f>VLOOKUP(D48,'2.Bookinglist'!A:CT,27,FALSE)</f>
        <v>LOGMAN INTERNATIONAL CO., LTD.</v>
      </c>
      <c r="F48" s="62" t="str">
        <f>VLOOKUP(D48,'2.Bookinglist'!A:CT,28,FALSE)</f>
        <v>OTANI RADIAL CO., LTD.</v>
      </c>
      <c r="G48" s="60">
        <f>VLOOKUP(D48,'2.Bookinglist'!A:E,5,FALSE)</f>
        <v>0</v>
      </c>
      <c r="H48" s="61" t="str">
        <f>VLOOKUP(D48,'2.Bookinglist'!A:CT,15,FALSE)</f>
        <v>THBKK</v>
      </c>
      <c r="I48" s="61" t="str">
        <f>VLOOKUP(D48,'2.Bookinglist'!A:CT,19,FALSE)</f>
        <v>VNSGN</v>
      </c>
      <c r="J48" s="61">
        <f>VLOOKUP(D48,'2.Bookinglist'!A:CT,26,FALSE)</f>
        <v>0</v>
      </c>
      <c r="K48" s="61" t="str">
        <f>VLOOKUP(A48,'1.Loading'!A:R,5,FALSE)</f>
        <v>45GP</v>
      </c>
      <c r="L48" s="60" t="str">
        <f>VLOOKUP(D48,'2.Bookinglist'!A:CT,85,FALSE)</f>
        <v>CY/CY</v>
      </c>
      <c r="M48" s="60" t="str">
        <f>IF(VLOOKUP(D48,'2.Bookinglist'!A:CT,43,FALSE)=0,"","DG")</f>
        <v/>
      </c>
      <c r="N48" s="60" t="str">
        <f>IF(RIGHT(K48,2)="RE","RF","")</f>
        <v/>
      </c>
      <c r="O48" s="61" t="str">
        <f>VLOOKUP(A48,'1.Loading'!A:R,3,FALSE)</f>
        <v>SWSP</v>
      </c>
      <c r="P48" s="61" t="str">
        <f>VLOOKUP(A48,'1.Loading'!A:R,4,FALSE)</f>
        <v>2609N</v>
      </c>
      <c r="Q48" s="61" t="str">
        <f>VLOOKUP(D48,'2.Bookinglist'!A:CT,12,FALSE)</f>
        <v>BTS</v>
      </c>
      <c r="R48" s="60" t="str">
        <f>IF(LEFT(K48,2)="22","20'","40'")</f>
        <v>40'</v>
      </c>
      <c r="S48" s="185" t="n"/>
      <c r="T48" s="61" t="str">
        <f>VLOOKUP(A48,'1.Loading'!A:R,2,FALSE)</f>
        <v>2026-10-08</v>
      </c>
      <c r="U48" s="63">
        <f>T48-S48</f>
        <v>46303</v>
      </c>
      <c r="V48" s="186" t="n"/>
      <c r="W48" s="61" t="str">
        <f>VLOOKUP(A48,'3.GateMove'!A:D,4,FALSE)</f>
        <v>2026-10-05</v>
      </c>
      <c r="X48" s="63">
        <f>((T48-W48)+1)</f>
        <v>4</v>
      </c>
      <c r="Y48" s="64">
        <f>IF(AND(OR(C48="BKK01",C48="BKK04"),L48="CFS/CY"),0,IF(M48="DG",1,IF(LEFT(C48,3)="LCH",7,IF(C48="BKK02",5,3))))</f>
        <v>3</v>
      </c>
      <c r="Z48" s="63">
        <f>IF(IF(AND(AC48="TML",AB48&gt;0),((T48-W48)+1)-AB48,((T48-W48)+1)-Y48)&gt;0,IF(AND(AC48="TML",AB48&gt;0),((T48-W48)+1)-AB48,((T48-W48)+1)-Y48),0)</f>
        <v>1</v>
      </c>
      <c r="AA48" s="187">
        <f>IF(AND(B48="G1",M48=""),IF(R48="20'",
VLOOKUP(Z48,Charge!$K$2:$M$5,2,TRUE)+(Z48-VLOOKUP(Z48,Charge!$K$2:$M$5,1,TRUE))*VLOOKUP(Z48,Charge!$K$2:$M$5,3,TRUE),
VLOOKUP(Z48,Charge!$N$2:$P$5,2,TRUE)+(Z48-VLOOKUP(Z48,Charge!$N$2:$P$5,1,TRUE))*VLOOKUP(Z48,Charge!$N$2:$P$5,3,TRUE)),
IF(AND(B48="G1",M48="DG"),IF(R48="20'",
VLOOKUP(Z48,Charge!$R$2:$T$5,2,TRUE)+(Z48-VLOOKUP(Z48,Charge!$R$2:$T$5,1,TRUE))*VLOOKUP(Z48,Charge!$R$2:$T$5,3,TRUE),
VLOOKUP(Z48,Charge!$U$2:$W$5,2,TRUE)+(Z48-VLOOKUP(Z48,Charge!$U$2:$W$5,1,TRUE))*VLOOKUP(Z48,Charge!$U$2:$W$5,3,TRUE)),
IF(AND(B48="G3",M48=""),IF(R48="20'",
VLOOKUP(Z48,Charge!$K$18:$M$21,2,TRUE)+(Z48-VLOOKUP(Z48,Charge!$K$18:$M$21,1,TRUE))*VLOOKUP(Z48,Charge!$K$18:$M$21,3,TRUE),
VLOOKUP(Z48,Charge!$N$18:$P$21,2,TRUE)+(Z48-VLOOKUP(Z48,Charge!$N$18:$P$21,1,TRUE))*VLOOKUP(Z48,Charge!$N$18:$P$21,3,TRUE)),
IF(AND(B48="G3",M48="DG"),IF(R48="20'",
VLOOKUP(Z48,Charge!$R$18:$T$21,2,TRUE)+(Z48-VLOOKUP(Z48,Charge!$R$18:$T$21,1,TRUE))*VLOOKUP(Z48,Charge!$R$18:$T$21,3,TRUE),
VLOOKUP(Z48,Charge!$U$18:$W$21,2,TRUE)+(Z48-VLOOKUP(Z48,Charge!$U$18:$W$21,1,TRUE))*VLOOKUP(Z48,Charge!$U$18:$W$21,3,TRUE)),
IF(AND(B48="G2",M48=""),IF(R48="20'",
VLOOKUP(Z48,Charge!$K$9:$M$12,2,TRUE)+(Z48-VLOOKUP(Z48,Charge!$K$9:$M$12,1,TRUE))*VLOOKUP(Z48,Charge!$K$9:$M$12,3,TRUE),
VLOOKUP(Z48,Charge!$N$9:$P$12,2,TRUE)+(Z48-VLOOKUP(Z48,Charge!$N$9:$P$12,1,TRUE))*VLOOKUP(Z48,Charge!$N$9:$P$12,3,TRUE)),
IF(AND(B48="G2",M48="DG"),IF(R48="20'",
VLOOKUP(Z48,Charge!$R$9:$T$12,2,TRUE)+(Z48-VLOOKUP(Z48,Charge!$R$9:$T$12,1,TRUE))*VLOOKUP(Z48,Charge!$R$9:$T$12,3,TRUE),
VLOOKUP(Z48,Charge!$U$9:$W$12,2,TRUE)+(Z48-VLOOKUP(Z48,Charge!$U$9:$W$12,1,TRUE))*VLOOKUP(Z48,Charge!$U$9:$W$12,3,TRUE)),IF(AND(B48="G4",M48=""),IF(R48="20'",Z48*Charge!$M$25,Z48*Charge!$P$25),IF(AND(B48="G4",M48="DG"),IF(R48="20'",Z48*Charge!$T$25,Z48*Charge!$W$25),0))))))))</f>
        <v>320</v>
      </c>
      <c r="AB48" s="184" t="n"/>
      <c r="AC48" s="184" t="n"/>
      <c r="AD48" s="60">
        <f>IF(M48="DG",3,IF(N48="RF",3,5))+IF(AND(LEFT(C48,3)="BKK",N48="RF",Q48="KTS"),1,0)+IF(Q48="KHS",1,0)</f>
        <v>5</v>
      </c>
      <c r="AE48" s="63">
        <f>(T48-V48)+1</f>
        <v>46304</v>
      </c>
      <c r="AF48" s="63">
        <f>IF(AB48&gt;IF((V48-W48)&gt;0,V48-W48,0),0,IF(AB48&lt;IF((V48-W48)&gt;0,V48-W48,0),IF((V48-W48)&gt;0,V48-W48,0)-AB48,IF((V48-W48)&gt;0,V48-W48,0)))</f>
        <v>0</v>
      </c>
      <c r="AG48" s="187">
        <f>IF(AND(M48=""),IF(R48="20'",
VLOOKUP(AF48,Charge!$K$31:$M$34,2,TRUE)+(AF48-VLOOKUP(AF48,Charge!$K$31:$M$34,1,TRUE))*VLOOKUP(AF48,Charge!$K$31:$M$34,3,TRUE),
VLOOKUP(AF48,Charge!$N$31:$P$34,2,TRUE)+(AF48-VLOOKUP(AF48,Charge!$N$31:$P$34,1,TRUE))*VLOOKUP(AF48,Charge!$N$31:$P$34,3,TRUE)),
IF(AND(M48="DG"),IF(R48="20'",
VLOOKUP(AF48,Charge!$R$31:$T$34,2,TRUE)+(AF48-VLOOKUP(AF48,Charge!$R$31:$T$34,1,TRUE))*VLOOKUP(AF48,Charge!$R$31:$T$34,3,TRUE),
VLOOKUP(AF48,Charge!$U$31:$W$34,2,TRUE)+(AF48-VLOOKUP(AF48,Charge!$U$31:$W$34,1,TRUE))*VLOOKUP(AF48,Charge!$U$31:$W$34,3,TRUE)),0))</f>
        <v>0</v>
      </c>
      <c r="AH48" s="65" t="n"/>
      <c r="AI48" s="65">
        <f>AA48-AH48</f>
        <v>320</v>
      </c>
      <c r="AJ48" s="188" t="n"/>
      <c r="AK48" s="62" t="str">
        <f>VLOOKUP(D48,'2.Bookinglist'!A:CT,40,FALSE)</f>
        <v>Nguyen Van Nam</v>
      </c>
      <c r="AL48" s="60" t="str">
        <f>VLOOKUP(D48,'2.Bookinglist'!A:CW,101,FALSE)</f>
        <v>2026-10-05</v>
      </c>
      <c r="AM48" s="60" t="str">
        <f>VLOOKUP(D48,'2.Bookinglist'!A:BK,63,FALSE)</f>
        <v>BKK25</v>
      </c>
      <c r="AN48" s="62" t="str">
        <f>VLOOKUP(D48,'2.Bookinglist'!A:AZ,52,FALSE)</f>
        <v>Pickup : 2026-09-30, Return : 2026-10-01</v>
      </c>
      <c r="AO48" s="62">
        <f>VLOOKUP(D48,'2.Bookinglist'!A:CY,103,FALSE)</f>
        <v>0</v>
      </c>
    </row>
    <row r="49" ht="12.95" customHeight="1">
      <c r="A49" s="96" t="inlineStr">
        <is>
          <t>HLHU8200676</t>
        </is>
      </c>
      <c r="B49" s="184" t="str">
        <f>IF(C49=Charge!$M$1,Charge!$J$1,IF(C49=Charge!$M$23,Charge!$J$23,IF(C49=Charge!$M$17,Charge!$J$17,IF(C49=Charge!$N$17,Charge!$J$17,Charge!$J$7))))</f>
        <v>G3</v>
      </c>
      <c r="C49" s="61" t="str">
        <f>VLOOKUP(A49,'1.Loading'!A:R,14,FALSE)</f>
        <v>BKK04</v>
      </c>
      <c r="D49" s="61" t="str">
        <f>VLOOKUP(A49,'1.Loading'!A:R,17,FALSE)</f>
        <v>HASLS22260901690</v>
      </c>
      <c r="E49" s="62" t="str">
        <f>VLOOKUP(D49,'2.Bookinglist'!A:CT,27,FALSE)</f>
        <v>BEE LOGISTICS (THAILAND) CO., LTD.</v>
      </c>
      <c r="F49" s="62" t="str">
        <f>VLOOKUP(D49,'2.Bookinglist'!A:CT,28,FALSE)</f>
        <v>DANONE SPECIALIZED NUTRITION (THAILAND) CO., LTD.</v>
      </c>
      <c r="G49" s="60">
        <f>VLOOKUP(D49,'2.Bookinglist'!A:E,5,FALSE)</f>
        <v>0</v>
      </c>
      <c r="H49" s="61" t="str">
        <f>VLOOKUP(D49,'2.Bookinglist'!A:CT,15,FALSE)</f>
        <v>THBKK</v>
      </c>
      <c r="I49" s="61" t="str">
        <f>VLOOKUP(D49,'2.Bookinglist'!A:CT,19,FALSE)</f>
        <v>VNSGN</v>
      </c>
      <c r="J49" s="61">
        <f>VLOOKUP(D49,'2.Bookinglist'!A:CT,26,FALSE)</f>
        <v>0</v>
      </c>
      <c r="K49" s="61" t="str">
        <f>VLOOKUP(A49,'1.Loading'!A:R,5,FALSE)</f>
        <v>45GP</v>
      </c>
      <c r="L49" s="60" t="str">
        <f>VLOOKUP(D49,'2.Bookinglist'!A:CT,85,FALSE)</f>
        <v>CY/CY</v>
      </c>
      <c r="M49" s="60" t="str">
        <f>IF(VLOOKUP(D49,'2.Bookinglist'!A:CT,43,FALSE)=0,"","DG")</f>
        <v/>
      </c>
      <c r="N49" s="60" t="str">
        <f>IF(RIGHT(K49,2)="RE","RF","")</f>
        <v/>
      </c>
      <c r="O49" s="61" t="str">
        <f>VLOOKUP(A49,'1.Loading'!A:R,3,FALSE)</f>
        <v>SWSP</v>
      </c>
      <c r="P49" s="61" t="str">
        <f>VLOOKUP(A49,'1.Loading'!A:R,4,FALSE)</f>
        <v>2609N</v>
      </c>
      <c r="Q49" s="61" t="str">
        <f>VLOOKUP(D49,'2.Bookinglist'!A:CT,12,FALSE)</f>
        <v>BTS</v>
      </c>
      <c r="R49" s="60" t="str">
        <f>IF(LEFT(K49,2)="22","20'","40'")</f>
        <v>40'</v>
      </c>
      <c r="S49" s="185" t="n"/>
      <c r="T49" s="61" t="str">
        <f>VLOOKUP(A49,'1.Loading'!A:R,2,FALSE)</f>
        <v>2026-10-08</v>
      </c>
      <c r="U49" s="63">
        <f>T49-S49</f>
        <v>46303</v>
      </c>
      <c r="V49" s="186" t="n"/>
      <c r="W49" s="61" t="str">
        <f>VLOOKUP(A49,'3.GateMove'!A:D,4,FALSE)</f>
        <v>2026-10-03</v>
      </c>
      <c r="X49" s="63">
        <f>((T49-W49)+1)</f>
        <v>6</v>
      </c>
      <c r="Y49" s="64">
        <f>IF(AND(OR(C49="BKK01",C49="BKK04"),L49="CFS/CY"),0,IF(M49="DG",1,IF(LEFT(C49,3)="LCH",7,IF(C49="BKK02",5,3))))</f>
        <v>3</v>
      </c>
      <c r="Z49" s="63">
        <f>IF(IF(AND(AC49="TML",AB49&gt;0),((T49-W49)+1)-AB49,((T49-W49)+1)-Y49)&gt;0,IF(AND(AC49="TML",AB49&gt;0),((T49-W49)+1)-AB49,((T49-W49)+1)-Y49),0)</f>
        <v>3</v>
      </c>
      <c r="AA49" s="187">
        <f>IF(AND(B49="G1",M49=""),IF(R49="20'",
VLOOKUP(Z49,Charge!$K$2:$M$5,2,TRUE)+(Z49-VLOOKUP(Z49,Charge!$K$2:$M$5,1,TRUE))*VLOOKUP(Z49,Charge!$K$2:$M$5,3,TRUE),
VLOOKUP(Z49,Charge!$N$2:$P$5,2,TRUE)+(Z49-VLOOKUP(Z49,Charge!$N$2:$P$5,1,TRUE))*VLOOKUP(Z49,Charge!$N$2:$P$5,3,TRUE)),
IF(AND(B49="G1",M49="DG"),IF(R49="20'",
VLOOKUP(Z49,Charge!$R$2:$T$5,2,TRUE)+(Z49-VLOOKUP(Z49,Charge!$R$2:$T$5,1,TRUE))*VLOOKUP(Z49,Charge!$R$2:$T$5,3,TRUE),
VLOOKUP(Z49,Charge!$U$2:$W$5,2,TRUE)+(Z49-VLOOKUP(Z49,Charge!$U$2:$W$5,1,TRUE))*VLOOKUP(Z49,Charge!$U$2:$W$5,3,TRUE)),
IF(AND(B49="G3",M49=""),IF(R49="20'",
VLOOKUP(Z49,Charge!$K$18:$M$21,2,TRUE)+(Z49-VLOOKUP(Z49,Charge!$K$18:$M$21,1,TRUE))*VLOOKUP(Z49,Charge!$K$18:$M$21,3,TRUE),
VLOOKUP(Z49,Charge!$N$18:$P$21,2,TRUE)+(Z49-VLOOKUP(Z49,Charge!$N$18:$P$21,1,TRUE))*VLOOKUP(Z49,Charge!$N$18:$P$21,3,TRUE)),
IF(AND(B49="G3",M49="DG"),IF(R49="20'",
VLOOKUP(Z49,Charge!$R$18:$T$21,2,TRUE)+(Z49-VLOOKUP(Z49,Charge!$R$18:$T$21,1,TRUE))*VLOOKUP(Z49,Charge!$R$18:$T$21,3,TRUE),
VLOOKUP(Z49,Charge!$U$18:$W$21,2,TRUE)+(Z49-VLOOKUP(Z49,Charge!$U$18:$W$21,1,TRUE))*VLOOKUP(Z49,Charge!$U$18:$W$21,3,TRUE)),
IF(AND(B49="G2",M49=""),IF(R49="20'",
VLOOKUP(Z49,Charge!$K$9:$M$12,2,TRUE)+(Z49-VLOOKUP(Z49,Charge!$K$9:$M$12,1,TRUE))*VLOOKUP(Z49,Charge!$K$9:$M$12,3,TRUE),
VLOOKUP(Z49,Charge!$N$9:$P$12,2,TRUE)+(Z49-VLOOKUP(Z49,Charge!$N$9:$P$12,1,TRUE))*VLOOKUP(Z49,Charge!$N$9:$P$12,3,TRUE)),
IF(AND(B49="G2",M49="DG"),IF(R49="20'",
VLOOKUP(Z49,Charge!$R$9:$T$12,2,TRUE)+(Z49-VLOOKUP(Z49,Charge!$R$9:$T$12,1,TRUE))*VLOOKUP(Z49,Charge!$R$9:$T$12,3,TRUE),
VLOOKUP(Z49,Charge!$U$9:$W$12,2,TRUE)+(Z49-VLOOKUP(Z49,Charge!$U$9:$W$12,1,TRUE))*VLOOKUP(Z49,Charge!$U$9:$W$12,3,TRUE)),IF(AND(B49="G4",M49=""),IF(R49="20'",Z49*Charge!$M$25,Z49*Charge!$P$25),IF(AND(B49="G4",M49="DG"),IF(R49="20'",Z49*Charge!$T$25,Z49*Charge!$W$25),0))))))))</f>
        <v>960</v>
      </c>
      <c r="AB49" s="184" t="n"/>
      <c r="AC49" s="184" t="n"/>
      <c r="AD49" s="60">
        <f>IF(M49="DG",3,IF(N49="RF",3,5))+IF(AND(LEFT(C49,3)="BKK",N49="RF",Q49="KTS"),1,0)+IF(Q49="KHS",1,0)</f>
        <v>5</v>
      </c>
      <c r="AE49" s="63">
        <f>(T49-V49)+1</f>
        <v>46304</v>
      </c>
      <c r="AF49" s="63">
        <f>IF(AB49&gt;IF((V49-W49)&gt;0,V49-W49,0),0,IF(AB49&lt;IF((V49-W49)&gt;0,V49-W49,0),IF((V49-W49)&gt;0,V49-W49,0)-AB49,IF((V49-W49)&gt;0,V49-W49,0)))</f>
        <v>0</v>
      </c>
      <c r="AG49" s="187">
        <f>IF(AND(M49=""),IF(R49="20'",
VLOOKUP(AF49,Charge!$K$31:$M$34,2,TRUE)+(AF49-VLOOKUP(AF49,Charge!$K$31:$M$34,1,TRUE))*VLOOKUP(AF49,Charge!$K$31:$M$34,3,TRUE),
VLOOKUP(AF49,Charge!$N$31:$P$34,2,TRUE)+(AF49-VLOOKUP(AF49,Charge!$N$31:$P$34,1,TRUE))*VLOOKUP(AF49,Charge!$N$31:$P$34,3,TRUE)),
IF(AND(M49="DG"),IF(R49="20'",
VLOOKUP(AF49,Charge!$R$31:$T$34,2,TRUE)+(AF49-VLOOKUP(AF49,Charge!$R$31:$T$34,1,TRUE))*VLOOKUP(AF49,Charge!$R$31:$T$34,3,TRUE),
VLOOKUP(AF49,Charge!$U$31:$W$34,2,TRUE)+(AF49-VLOOKUP(AF49,Charge!$U$31:$W$34,1,TRUE))*VLOOKUP(AF49,Charge!$U$31:$W$34,3,TRUE)),0))</f>
        <v>0</v>
      </c>
      <c r="AH49" s="65" t="n"/>
      <c r="AI49" s="65">
        <f>AA49-AH49</f>
        <v>960</v>
      </c>
      <c r="AJ49" s="188" t="n"/>
      <c r="AK49" s="62" t="str">
        <f>VLOOKUP(D49,'2.Bookinglist'!A:CT,40,FALSE)</f>
        <v>Nustsireerach</v>
      </c>
      <c r="AL49" s="60" t="str">
        <f>VLOOKUP(D49,'2.Bookinglist'!A:CW,101,FALSE)</f>
        <v>2026-10-04</v>
      </c>
      <c r="AM49" s="60" t="str">
        <f>VLOOKUP(D49,'2.Bookinglist'!A:BK,63,FALSE)</f>
        <v>BKK27</v>
      </c>
      <c r="AN49" s="62" t="str">
        <f>VLOOKUP(D49,'2.Bookinglist'!A:AZ,52,FALSE)</f>
        <v>Pickup : 2026-10-01, Return : 2026-10-03</v>
      </c>
      <c r="AO49" s="62">
        <f>VLOOKUP(D49,'2.Bookinglist'!A:CY,103,FALSE)</f>
        <v>0</v>
      </c>
    </row>
    <row r="50" ht="12.95" customHeight="1">
      <c r="A50" s="96" t="inlineStr">
        <is>
          <t>HLHU8309306</t>
        </is>
      </c>
      <c r="B50" s="184" t="str">
        <f>IF(C50=Charge!$M$1,Charge!$J$1,IF(C50=Charge!$M$23,Charge!$J$23,IF(C50=Charge!$M$17,Charge!$J$17,IF(C50=Charge!$N$17,Charge!$J$17,Charge!$J$7))))</f>
        <v>G3</v>
      </c>
      <c r="C50" s="61" t="str">
        <f>VLOOKUP(A50,'1.Loading'!A:R,14,FALSE)</f>
        <v>BKK04</v>
      </c>
      <c r="D50" s="61" t="str">
        <f>VLOOKUP(A50,'1.Loading'!A:R,17,FALSE)</f>
        <v>HASLS22260901811</v>
      </c>
      <c r="E50" s="62" t="str">
        <f>VLOOKUP(D50,'2.Bookinglist'!A:CT,27,FALSE)</f>
        <v>BRIO LOGISTICS (THAILAND) CO., LTD.</v>
      </c>
      <c r="F50" s="62" t="str">
        <f>VLOOKUP(D50,'2.Bookinglist'!A:CT,28,FALSE)</f>
        <v>GRIFFITH FOODS LTD.</v>
      </c>
      <c r="G50" s="60">
        <f>VLOOKUP(D50,'2.Bookinglist'!A:E,5,FALSE)</f>
        <v>0</v>
      </c>
      <c r="H50" s="61" t="str">
        <f>VLOOKUP(D50,'2.Bookinglist'!A:CT,15,FALSE)</f>
        <v>THBKK</v>
      </c>
      <c r="I50" s="61" t="str">
        <f>VLOOKUP(D50,'2.Bookinglist'!A:CT,19,FALSE)</f>
        <v>VNSGN</v>
      </c>
      <c r="J50" s="61">
        <f>VLOOKUP(D50,'2.Bookinglist'!A:CT,26,FALSE)</f>
        <v>0</v>
      </c>
      <c r="K50" s="61" t="str">
        <f>VLOOKUP(A50,'1.Loading'!A:R,5,FALSE)</f>
        <v>45GP</v>
      </c>
      <c r="L50" s="60" t="str">
        <f>VLOOKUP(D50,'2.Bookinglist'!A:CT,85,FALSE)</f>
        <v>CY/CY</v>
      </c>
      <c r="M50" s="60" t="str">
        <f>IF(VLOOKUP(D50,'2.Bookinglist'!A:CT,43,FALSE)=0,"","DG")</f>
        <v/>
      </c>
      <c r="N50" s="60" t="str">
        <f>IF(RIGHT(K50,2)="RE","RF","")</f>
        <v/>
      </c>
      <c r="O50" s="61" t="str">
        <f>VLOOKUP(A50,'1.Loading'!A:R,3,FALSE)</f>
        <v>SWSP</v>
      </c>
      <c r="P50" s="61" t="str">
        <f>VLOOKUP(A50,'1.Loading'!A:R,4,FALSE)</f>
        <v>2609N</v>
      </c>
      <c r="Q50" s="61" t="str">
        <f>VLOOKUP(D50,'2.Bookinglist'!A:CT,12,FALSE)</f>
        <v>BTS</v>
      </c>
      <c r="R50" s="60" t="str">
        <f>IF(LEFT(K50,2)="22","20'","40'")</f>
        <v>40'</v>
      </c>
      <c r="S50" s="185" t="n"/>
      <c r="T50" s="61" t="str">
        <f>VLOOKUP(A50,'1.Loading'!A:R,2,FALSE)</f>
        <v>2026-10-08</v>
      </c>
      <c r="U50" s="63">
        <f>T50-S50</f>
        <v>46303</v>
      </c>
      <c r="V50" s="186" t="n"/>
      <c r="W50" s="61" t="str">
        <f>VLOOKUP(A50,'3.GateMove'!A:D,4,FALSE)</f>
        <v>2026-10-02</v>
      </c>
      <c r="X50" s="63">
        <f>((T50-W50)+1)</f>
        <v>7</v>
      </c>
      <c r="Y50" s="64">
        <f>IF(AND(OR(C50="BKK01",C50="BKK04"),L50="CFS/CY"),0,IF(M50="DG",1,IF(LEFT(C50,3)="LCH",7,IF(C50="BKK02",5,3))))</f>
        <v>3</v>
      </c>
      <c r="Z50" s="63">
        <f>IF(IF(AND(AC50="TML",AB50&gt;0),((T50-W50)+1)-AB50,((T50-W50)+1)-Y50)&gt;0,IF(AND(AC50="TML",AB50&gt;0),((T50-W50)+1)-AB50,((T50-W50)+1)-Y50),0)</f>
        <v>4</v>
      </c>
      <c r="AA50" s="187">
        <f>IF(AND(B50="G1",M50=""),IF(R50="20'",
VLOOKUP(Z50,Charge!$K$2:$M$5,2,TRUE)+(Z50-VLOOKUP(Z50,Charge!$K$2:$M$5,1,TRUE))*VLOOKUP(Z50,Charge!$K$2:$M$5,3,TRUE),
VLOOKUP(Z50,Charge!$N$2:$P$5,2,TRUE)+(Z50-VLOOKUP(Z50,Charge!$N$2:$P$5,1,TRUE))*VLOOKUP(Z50,Charge!$N$2:$P$5,3,TRUE)),
IF(AND(B50="G1",M50="DG"),IF(R50="20'",
VLOOKUP(Z50,Charge!$R$2:$T$5,2,TRUE)+(Z50-VLOOKUP(Z50,Charge!$R$2:$T$5,1,TRUE))*VLOOKUP(Z50,Charge!$R$2:$T$5,3,TRUE),
VLOOKUP(Z50,Charge!$U$2:$W$5,2,TRUE)+(Z50-VLOOKUP(Z50,Charge!$U$2:$W$5,1,TRUE))*VLOOKUP(Z50,Charge!$U$2:$W$5,3,TRUE)),
IF(AND(B50="G3",M50=""),IF(R50="20'",
VLOOKUP(Z50,Charge!$K$18:$M$21,2,TRUE)+(Z50-VLOOKUP(Z50,Charge!$K$18:$M$21,1,TRUE))*VLOOKUP(Z50,Charge!$K$18:$M$21,3,TRUE),
VLOOKUP(Z50,Charge!$N$18:$P$21,2,TRUE)+(Z50-VLOOKUP(Z50,Charge!$N$18:$P$21,1,TRUE))*VLOOKUP(Z50,Charge!$N$18:$P$21,3,TRUE)),
IF(AND(B50="G3",M50="DG"),IF(R50="20'",
VLOOKUP(Z50,Charge!$R$18:$T$21,2,TRUE)+(Z50-VLOOKUP(Z50,Charge!$R$18:$T$21,1,TRUE))*VLOOKUP(Z50,Charge!$R$18:$T$21,3,TRUE),
VLOOKUP(Z50,Charge!$U$18:$W$21,2,TRUE)+(Z50-VLOOKUP(Z50,Charge!$U$18:$W$21,1,TRUE))*VLOOKUP(Z50,Charge!$U$18:$W$21,3,TRUE)),
IF(AND(B50="G2",M50=""),IF(R50="20'",
VLOOKUP(Z50,Charge!$K$9:$M$12,2,TRUE)+(Z50-VLOOKUP(Z50,Charge!$K$9:$M$12,1,TRUE))*VLOOKUP(Z50,Charge!$K$9:$M$12,3,TRUE),
VLOOKUP(Z50,Charge!$N$9:$P$12,2,TRUE)+(Z50-VLOOKUP(Z50,Charge!$N$9:$P$12,1,TRUE))*VLOOKUP(Z50,Charge!$N$9:$P$12,3,TRUE)),
IF(AND(B50="G2",M50="DG"),IF(R50="20'",
VLOOKUP(Z50,Charge!$R$9:$T$12,2,TRUE)+(Z50-VLOOKUP(Z50,Charge!$R$9:$T$12,1,TRUE))*VLOOKUP(Z50,Charge!$R$9:$T$12,3,TRUE),
VLOOKUP(Z50,Charge!$U$9:$W$12,2,TRUE)+(Z50-VLOOKUP(Z50,Charge!$U$9:$W$12,1,TRUE))*VLOOKUP(Z50,Charge!$U$9:$W$12,3,TRUE)),IF(AND(B50="G4",M50=""),IF(R50="20'",Z50*Charge!$M$25,Z50*Charge!$P$25),IF(AND(B50="G4",M50="DG"),IF(R50="20'",Z50*Charge!$T$25,Z50*Charge!$W$25),0))))))))</f>
        <v>1280</v>
      </c>
      <c r="AB50" s="184" t="n"/>
      <c r="AC50" s="184" t="n"/>
      <c r="AD50" s="60">
        <f>IF(M50="DG",3,IF(N50="RF",3,5))+IF(AND(LEFT(C50,3)="BKK",N50="RF",Q50="KTS"),1,0)+IF(Q50="KHS",1,0)</f>
        <v>5</v>
      </c>
      <c r="AE50" s="63">
        <f>(T50-V50)+1</f>
        <v>46304</v>
      </c>
      <c r="AF50" s="63">
        <f>IF(AB50&gt;IF((V50-W50)&gt;0,V50-W50,0),0,IF(AB50&lt;IF((V50-W50)&gt;0,V50-W50,0),IF((V50-W50)&gt;0,V50-W50,0)-AB50,IF((V50-W50)&gt;0,V50-W50,0)))</f>
        <v>0</v>
      </c>
      <c r="AG50" s="187">
        <f>IF(AND(M50=""),IF(R50="20'",
VLOOKUP(AF50,Charge!$K$31:$M$34,2,TRUE)+(AF50-VLOOKUP(AF50,Charge!$K$31:$M$34,1,TRUE))*VLOOKUP(AF50,Charge!$K$31:$M$34,3,TRUE),
VLOOKUP(AF50,Charge!$N$31:$P$34,2,TRUE)+(AF50-VLOOKUP(AF50,Charge!$N$31:$P$34,1,TRUE))*VLOOKUP(AF50,Charge!$N$31:$P$34,3,TRUE)),
IF(AND(M50="DG"),IF(R50="20'",
VLOOKUP(AF50,Charge!$R$31:$T$34,2,TRUE)+(AF50-VLOOKUP(AF50,Charge!$R$31:$T$34,1,TRUE))*VLOOKUP(AF50,Charge!$R$31:$T$34,3,TRUE),
VLOOKUP(AF50,Charge!$U$31:$W$34,2,TRUE)+(AF50-VLOOKUP(AF50,Charge!$U$31:$W$34,1,TRUE))*VLOOKUP(AF50,Charge!$U$31:$W$34,3,TRUE)),0))</f>
        <v>0</v>
      </c>
      <c r="AH50" s="65" t="n"/>
      <c r="AI50" s="65">
        <f>AA50-AH50</f>
        <v>1280</v>
      </c>
      <c r="AJ50" s="188" t="n"/>
      <c r="AK50" s="62" t="str">
        <f>VLOOKUP(D50,'2.Bookinglist'!A:CT,40,FALSE)</f>
        <v>Giang Chi Tuong</v>
      </c>
      <c r="AL50" s="60" t="str">
        <f>VLOOKUP(D50,'2.Bookinglist'!A:CW,101,FALSE)</f>
        <v>2026-10-05</v>
      </c>
      <c r="AM50" s="60" t="str">
        <f>VLOOKUP(D50,'2.Bookinglist'!A:BK,63,FALSE)</f>
        <v>BKK27</v>
      </c>
      <c r="AN50" s="62" t="str">
        <f>VLOOKUP(D50,'2.Bookinglist'!A:AZ,52,FALSE)</f>
        <v>Pickup : 2026-10-02, Return : 2026-10-02</v>
      </c>
      <c r="AO50" s="62">
        <f>VLOOKUP(D50,'2.Bookinglist'!A:CY,103,FALSE)</f>
        <v>0</v>
      </c>
    </row>
    <row r="51" ht="12.95" customHeight="1">
      <c r="A51" s="96" t="inlineStr">
        <is>
          <t>HLHU8311469</t>
        </is>
      </c>
      <c r="B51" s="184" t="str">
        <f>IF(C51=Charge!$M$1,Charge!$J$1,IF(C51=Charge!$M$23,Charge!$J$23,IF(C51=Charge!$M$17,Charge!$J$17,IF(C51=Charge!$N$17,Charge!$J$17,Charge!$J$7))))</f>
        <v>G3</v>
      </c>
      <c r="C51" s="61" t="str">
        <f>VLOOKUP(A51,'1.Loading'!A:R,14,FALSE)</f>
        <v>BKK04</v>
      </c>
      <c r="D51" s="61" t="str">
        <f>VLOOKUP(A51,'1.Loading'!A:R,17,FALSE)</f>
        <v>HASLS22260902210</v>
      </c>
      <c r="E51" s="62" t="str">
        <f>VLOOKUP(D51,'2.Bookinglist'!A:CT,27,FALSE)</f>
        <v>CAPRICORN LOGISTICS CO., LTD.</v>
      </c>
      <c r="F51" s="62" t="str">
        <f>VLOOKUP(D51,'2.Bookinglist'!A:CT,28,FALSE)</f>
        <v>SWAN INDUSTRIES (THAILAND) LTD.</v>
      </c>
      <c r="G51" s="60">
        <f>VLOOKUP(D51,'2.Bookinglist'!A:E,5,FALSE)</f>
        <v>0</v>
      </c>
      <c r="H51" s="61" t="str">
        <f>VLOOKUP(D51,'2.Bookinglist'!A:CT,15,FALSE)</f>
        <v>THBKK</v>
      </c>
      <c r="I51" s="61" t="str">
        <f>VLOOKUP(D51,'2.Bookinglist'!A:CT,19,FALSE)</f>
        <v>VNSGN</v>
      </c>
      <c r="J51" s="61">
        <f>VLOOKUP(D51,'2.Bookinglist'!A:CT,26,FALSE)</f>
        <v>0</v>
      </c>
      <c r="K51" s="61" t="str">
        <f>VLOOKUP(A51,'1.Loading'!A:R,5,FALSE)</f>
        <v>45GP</v>
      </c>
      <c r="L51" s="60" t="str">
        <f>VLOOKUP(D51,'2.Bookinglist'!A:CT,85,FALSE)</f>
        <v>CY/CY</v>
      </c>
      <c r="M51" s="60" t="str">
        <f>IF(VLOOKUP(D51,'2.Bookinglist'!A:CT,43,FALSE)=0,"","DG")</f>
        <v/>
      </c>
      <c r="N51" s="60" t="str">
        <f>IF(RIGHT(K51,2)="RE","RF","")</f>
        <v/>
      </c>
      <c r="O51" s="61" t="str">
        <f>VLOOKUP(A51,'1.Loading'!A:R,3,FALSE)</f>
        <v>SWSP</v>
      </c>
      <c r="P51" s="61" t="str">
        <f>VLOOKUP(A51,'1.Loading'!A:R,4,FALSE)</f>
        <v>2609N</v>
      </c>
      <c r="Q51" s="61" t="str">
        <f>VLOOKUP(D51,'2.Bookinglist'!A:CT,12,FALSE)</f>
        <v>BTS</v>
      </c>
      <c r="R51" s="60" t="str">
        <f>IF(LEFT(K51,2)="22","20'","40'")</f>
        <v>40'</v>
      </c>
      <c r="S51" s="185" t="n"/>
      <c r="T51" s="61" t="str">
        <f>VLOOKUP(A51,'1.Loading'!A:R,2,FALSE)</f>
        <v>2026-10-08</v>
      </c>
      <c r="U51" s="63">
        <f>T51-S51</f>
        <v>46303</v>
      </c>
      <c r="V51" s="186" t="n"/>
      <c r="W51" s="61" t="str">
        <f>VLOOKUP(A51,'3.GateMove'!A:D,4,FALSE)</f>
        <v>2026-10-03</v>
      </c>
      <c r="X51" s="63">
        <f>((T51-W51)+1)</f>
        <v>6</v>
      </c>
      <c r="Y51" s="64">
        <f>IF(AND(OR(C51="BKK01",C51="BKK04"),L51="CFS/CY"),0,IF(M51="DG",1,IF(LEFT(C51,3)="LCH",7,IF(C51="BKK02",5,3))))</f>
        <v>3</v>
      </c>
      <c r="Z51" s="63">
        <f>IF(IF(AND(AC51="TML",AB51&gt;0),((T51-W51)+1)-AB51,((T51-W51)+1)-Y51)&gt;0,IF(AND(AC51="TML",AB51&gt;0),((T51-W51)+1)-AB51,((T51-W51)+1)-Y51),0)</f>
        <v>3</v>
      </c>
      <c r="AA51" s="187">
        <f>IF(AND(B51="G1",M51=""),IF(R51="20'",
VLOOKUP(Z51,Charge!$K$2:$M$5,2,TRUE)+(Z51-VLOOKUP(Z51,Charge!$K$2:$M$5,1,TRUE))*VLOOKUP(Z51,Charge!$K$2:$M$5,3,TRUE),
VLOOKUP(Z51,Charge!$N$2:$P$5,2,TRUE)+(Z51-VLOOKUP(Z51,Charge!$N$2:$P$5,1,TRUE))*VLOOKUP(Z51,Charge!$N$2:$P$5,3,TRUE)),
IF(AND(B51="G1",M51="DG"),IF(R51="20'",
VLOOKUP(Z51,Charge!$R$2:$T$5,2,TRUE)+(Z51-VLOOKUP(Z51,Charge!$R$2:$T$5,1,TRUE))*VLOOKUP(Z51,Charge!$R$2:$T$5,3,TRUE),
VLOOKUP(Z51,Charge!$U$2:$W$5,2,TRUE)+(Z51-VLOOKUP(Z51,Charge!$U$2:$W$5,1,TRUE))*VLOOKUP(Z51,Charge!$U$2:$W$5,3,TRUE)),
IF(AND(B51="G3",M51=""),IF(R51="20'",
VLOOKUP(Z51,Charge!$K$18:$M$21,2,TRUE)+(Z51-VLOOKUP(Z51,Charge!$K$18:$M$21,1,TRUE))*VLOOKUP(Z51,Charge!$K$18:$M$21,3,TRUE),
VLOOKUP(Z51,Charge!$N$18:$P$21,2,TRUE)+(Z51-VLOOKUP(Z51,Charge!$N$18:$P$21,1,TRUE))*VLOOKUP(Z51,Charge!$N$18:$P$21,3,TRUE)),
IF(AND(B51="G3",M51="DG"),IF(R51="20'",
VLOOKUP(Z51,Charge!$R$18:$T$21,2,TRUE)+(Z51-VLOOKUP(Z51,Charge!$R$18:$T$21,1,TRUE))*VLOOKUP(Z51,Charge!$R$18:$T$21,3,TRUE),
VLOOKUP(Z51,Charge!$U$18:$W$21,2,TRUE)+(Z51-VLOOKUP(Z51,Charge!$U$18:$W$21,1,TRUE))*VLOOKUP(Z51,Charge!$U$18:$W$21,3,TRUE)),
IF(AND(B51="G2",M51=""),IF(R51="20'",
VLOOKUP(Z51,Charge!$K$9:$M$12,2,TRUE)+(Z51-VLOOKUP(Z51,Charge!$K$9:$M$12,1,TRUE))*VLOOKUP(Z51,Charge!$K$9:$M$12,3,TRUE),
VLOOKUP(Z51,Charge!$N$9:$P$12,2,TRUE)+(Z51-VLOOKUP(Z51,Charge!$N$9:$P$12,1,TRUE))*VLOOKUP(Z51,Charge!$N$9:$P$12,3,TRUE)),
IF(AND(B51="G2",M51="DG"),IF(R51="20'",
VLOOKUP(Z51,Charge!$R$9:$T$12,2,TRUE)+(Z51-VLOOKUP(Z51,Charge!$R$9:$T$12,1,TRUE))*VLOOKUP(Z51,Charge!$R$9:$T$12,3,TRUE),
VLOOKUP(Z51,Charge!$U$9:$W$12,2,TRUE)+(Z51-VLOOKUP(Z51,Charge!$U$9:$W$12,1,TRUE))*VLOOKUP(Z51,Charge!$U$9:$W$12,3,TRUE)),IF(AND(B51="G4",M51=""),IF(R51="20'",Z51*Charge!$M$25,Z51*Charge!$P$25),IF(AND(B51="G4",M51="DG"),IF(R51="20'",Z51*Charge!$T$25,Z51*Charge!$W$25),0))))))))</f>
        <v>960</v>
      </c>
      <c r="AB51" s="184" t="n"/>
      <c r="AC51" s="184" t="n"/>
      <c r="AD51" s="60">
        <f>IF(M51="DG",3,IF(N51="RF",3,5))+IF(AND(LEFT(C51,3)="BKK",N51="RF",Q51="KTS"),1,0)+IF(Q51="KHS",1,0)</f>
        <v>5</v>
      </c>
      <c r="AE51" s="63">
        <f>(T51-V51)+1</f>
        <v>46304</v>
      </c>
      <c r="AF51" s="63">
        <f>IF(AB51&gt;IF((V51-W51)&gt;0,V51-W51,0),0,IF(AB51&lt;IF((V51-W51)&gt;0,V51-W51,0),IF((V51-W51)&gt;0,V51-W51,0)-AB51,IF((V51-W51)&gt;0,V51-W51,0)))</f>
        <v>0</v>
      </c>
      <c r="AG51" s="187">
        <f>IF(AND(M51=""),IF(R51="20'",
VLOOKUP(AF51,Charge!$K$31:$M$34,2,TRUE)+(AF51-VLOOKUP(AF51,Charge!$K$31:$M$34,1,TRUE))*VLOOKUP(AF51,Charge!$K$31:$M$34,3,TRUE),
VLOOKUP(AF51,Charge!$N$31:$P$34,2,TRUE)+(AF51-VLOOKUP(AF51,Charge!$N$31:$P$34,1,TRUE))*VLOOKUP(AF51,Charge!$N$31:$P$34,3,TRUE)),
IF(AND(M51="DG"),IF(R51="20'",
VLOOKUP(AF51,Charge!$R$31:$T$34,2,TRUE)+(AF51-VLOOKUP(AF51,Charge!$R$31:$T$34,1,TRUE))*VLOOKUP(AF51,Charge!$R$31:$T$34,3,TRUE),
VLOOKUP(AF51,Charge!$U$31:$W$34,2,TRUE)+(AF51-VLOOKUP(AF51,Charge!$U$31:$W$34,1,TRUE))*VLOOKUP(AF51,Charge!$U$31:$W$34,3,TRUE)),0))</f>
        <v>0</v>
      </c>
      <c r="AH51" s="65" t="n"/>
      <c r="AI51" s="65">
        <f>AA51-AH51</f>
        <v>960</v>
      </c>
      <c r="AJ51" s="188" t="n"/>
      <c r="AK51" s="62" t="str">
        <f>VLOOKUP(D51,'2.Bookinglist'!A:CT,40,FALSE)</f>
        <v>Nguyen Xuan Toan</v>
      </c>
      <c r="AL51" s="60" t="str">
        <f>VLOOKUP(D51,'2.Bookinglist'!A:CW,101,FALSE)</f>
        <v>2026-10-05</v>
      </c>
      <c r="AM51" s="60" t="str">
        <f>VLOOKUP(D51,'2.Bookinglist'!A:BK,63,FALSE)</f>
        <v>BKK27</v>
      </c>
      <c r="AN51" s="62" t="str">
        <f>VLOOKUP(D51,'2.Bookinglist'!A:AZ,52,FALSE)</f>
        <v>Pickup : 2026-10-03, Return : 2026-10-04 </v>
      </c>
      <c r="AO51" s="62">
        <f>VLOOKUP(D51,'2.Bookinglist'!A:CY,103,FALSE)</f>
        <v>0</v>
      </c>
    </row>
    <row r="52" ht="12.95" customHeight="1">
      <c r="A52" s="96" t="inlineStr">
        <is>
          <t>HLHU8328348</t>
        </is>
      </c>
      <c r="B52" s="184" t="str">
        <f>IF(C52=Charge!$M$1,Charge!$J$1,IF(C52=Charge!$M$23,Charge!$J$23,IF(C52=Charge!$M$17,Charge!$J$17,IF(C52=Charge!$N$17,Charge!$J$17,Charge!$J$7))))</f>
        <v>G3</v>
      </c>
      <c r="C52" s="61" t="str">
        <f>VLOOKUP(A52,'1.Loading'!A:R,14,FALSE)</f>
        <v>BKK04</v>
      </c>
      <c r="D52" s="61" t="str">
        <f>VLOOKUP(A52,'1.Loading'!A:R,17,FALSE)</f>
        <v>HASLS22260900586</v>
      </c>
      <c r="E52" s="62" t="str">
        <f>VLOOKUP(D52,'2.Bookinglist'!A:CT,27,FALSE)</f>
        <v>BIRLA CARBON (THAILAND) PUBLIC COMPANY LIMITED</v>
      </c>
      <c r="F52" s="62" t="str">
        <f>VLOOKUP(D52,'2.Bookinglist'!A:CT,28,FALSE)</f>
        <v>BIRLA CARBON (THAILAND) PUBLIC COMPANY LIMITED</v>
      </c>
      <c r="G52" s="60">
        <f>VLOOKUP(D52,'2.Bookinglist'!A:E,5,FALSE)</f>
        <v>0</v>
      </c>
      <c r="H52" s="61" t="str">
        <f>VLOOKUP(D52,'2.Bookinglist'!A:CT,15,FALSE)</f>
        <v>THBKK</v>
      </c>
      <c r="I52" s="61" t="str">
        <f>VLOOKUP(D52,'2.Bookinglist'!A:CT,19,FALSE)</f>
        <v>VNSGN</v>
      </c>
      <c r="J52" s="61">
        <f>VLOOKUP(D52,'2.Bookinglist'!A:CT,26,FALSE)</f>
        <v>0</v>
      </c>
      <c r="K52" s="61" t="str">
        <f>VLOOKUP(A52,'1.Loading'!A:R,5,FALSE)</f>
        <v>45GP</v>
      </c>
      <c r="L52" s="60" t="str">
        <f>VLOOKUP(D52,'2.Bookinglist'!A:CT,85,FALSE)</f>
        <v>CY/CY</v>
      </c>
      <c r="M52" s="60" t="str">
        <f>IF(VLOOKUP(D52,'2.Bookinglist'!A:CT,43,FALSE)=0,"","DG")</f>
        <v/>
      </c>
      <c r="N52" s="60" t="str">
        <f>IF(RIGHT(K52,2)="RE","RF","")</f>
        <v/>
      </c>
      <c r="O52" s="61" t="str">
        <f>VLOOKUP(A52,'1.Loading'!A:R,3,FALSE)</f>
        <v>SWSP</v>
      </c>
      <c r="P52" s="61" t="str">
        <f>VLOOKUP(A52,'1.Loading'!A:R,4,FALSE)</f>
        <v>2609N</v>
      </c>
      <c r="Q52" s="61" t="str">
        <f>VLOOKUP(D52,'2.Bookinglist'!A:CT,12,FALSE)</f>
        <v>BTS</v>
      </c>
      <c r="R52" s="60" t="str">
        <f>IF(LEFT(K52,2)="22","20'","40'")</f>
        <v>40'</v>
      </c>
      <c r="S52" s="185" t="n"/>
      <c r="T52" s="61" t="str">
        <f>VLOOKUP(A52,'1.Loading'!A:R,2,FALSE)</f>
        <v>2026-10-08</v>
      </c>
      <c r="U52" s="63">
        <f>T52-S52</f>
        <v>46303</v>
      </c>
      <c r="V52" s="186" t="n"/>
      <c r="W52" s="61" t="str">
        <f>VLOOKUP(A52,'3.GateMove'!A:D,4,FALSE)</f>
        <v>2026-10-03</v>
      </c>
      <c r="X52" s="63">
        <f>((T52-W52)+1)</f>
        <v>6</v>
      </c>
      <c r="Y52" s="64">
        <f>IF(AND(OR(C52="BKK01",C52="BKK04"),L52="CFS/CY"),0,IF(M52="DG",1,IF(LEFT(C52,3)="LCH",7,IF(C52="BKK02",5,3))))</f>
        <v>3</v>
      </c>
      <c r="Z52" s="63">
        <f>IF(IF(AND(AC52="TML",AB52&gt;0),((T52-W52)+1)-AB52,((T52-W52)+1)-Y52)&gt;0,IF(AND(AC52="TML",AB52&gt;0),((T52-W52)+1)-AB52,((T52-W52)+1)-Y52),0)</f>
        <v>3</v>
      </c>
      <c r="AA52" s="187">
        <f>IF(AND(B52="G1",M52=""),IF(R52="20'",
VLOOKUP(Z52,Charge!$K$2:$M$5,2,TRUE)+(Z52-VLOOKUP(Z52,Charge!$K$2:$M$5,1,TRUE))*VLOOKUP(Z52,Charge!$K$2:$M$5,3,TRUE),
VLOOKUP(Z52,Charge!$N$2:$P$5,2,TRUE)+(Z52-VLOOKUP(Z52,Charge!$N$2:$P$5,1,TRUE))*VLOOKUP(Z52,Charge!$N$2:$P$5,3,TRUE)),
IF(AND(B52="G1",M52="DG"),IF(R52="20'",
VLOOKUP(Z52,Charge!$R$2:$T$5,2,TRUE)+(Z52-VLOOKUP(Z52,Charge!$R$2:$T$5,1,TRUE))*VLOOKUP(Z52,Charge!$R$2:$T$5,3,TRUE),
VLOOKUP(Z52,Charge!$U$2:$W$5,2,TRUE)+(Z52-VLOOKUP(Z52,Charge!$U$2:$W$5,1,TRUE))*VLOOKUP(Z52,Charge!$U$2:$W$5,3,TRUE)),
IF(AND(B52="G3",M52=""),IF(R52="20'",
VLOOKUP(Z52,Charge!$K$18:$M$21,2,TRUE)+(Z52-VLOOKUP(Z52,Charge!$K$18:$M$21,1,TRUE))*VLOOKUP(Z52,Charge!$K$18:$M$21,3,TRUE),
VLOOKUP(Z52,Charge!$N$18:$P$21,2,TRUE)+(Z52-VLOOKUP(Z52,Charge!$N$18:$P$21,1,TRUE))*VLOOKUP(Z52,Charge!$N$18:$P$21,3,TRUE)),
IF(AND(B52="G3",M52="DG"),IF(R52="20'",
VLOOKUP(Z52,Charge!$R$18:$T$21,2,TRUE)+(Z52-VLOOKUP(Z52,Charge!$R$18:$T$21,1,TRUE))*VLOOKUP(Z52,Charge!$R$18:$T$21,3,TRUE),
VLOOKUP(Z52,Charge!$U$18:$W$21,2,TRUE)+(Z52-VLOOKUP(Z52,Charge!$U$18:$W$21,1,TRUE))*VLOOKUP(Z52,Charge!$U$18:$W$21,3,TRUE)),
IF(AND(B52="G2",M52=""),IF(R52="20'",
VLOOKUP(Z52,Charge!$K$9:$M$12,2,TRUE)+(Z52-VLOOKUP(Z52,Charge!$K$9:$M$12,1,TRUE))*VLOOKUP(Z52,Charge!$K$9:$M$12,3,TRUE),
VLOOKUP(Z52,Charge!$N$9:$P$12,2,TRUE)+(Z52-VLOOKUP(Z52,Charge!$N$9:$P$12,1,TRUE))*VLOOKUP(Z52,Charge!$N$9:$P$12,3,TRUE)),
IF(AND(B52="G2",M52="DG"),IF(R52="20'",
VLOOKUP(Z52,Charge!$R$9:$T$12,2,TRUE)+(Z52-VLOOKUP(Z52,Charge!$R$9:$T$12,1,TRUE))*VLOOKUP(Z52,Charge!$R$9:$T$12,3,TRUE),
VLOOKUP(Z52,Charge!$U$9:$W$12,2,TRUE)+(Z52-VLOOKUP(Z52,Charge!$U$9:$W$12,1,TRUE))*VLOOKUP(Z52,Charge!$U$9:$W$12,3,TRUE)),IF(AND(B52="G4",M52=""),IF(R52="20'",Z52*Charge!$M$25,Z52*Charge!$P$25),IF(AND(B52="G4",M52="DG"),IF(R52="20'",Z52*Charge!$T$25,Z52*Charge!$W$25),0))))))))</f>
        <v>960</v>
      </c>
      <c r="AB52" s="184" t="n"/>
      <c r="AC52" s="184" t="n"/>
      <c r="AD52" s="60">
        <f>IF(M52="DG",3,IF(N52="RF",3,5))+IF(AND(LEFT(C52,3)="BKK",N52="RF",Q52="KTS"),1,0)+IF(Q52="KHS",1,0)</f>
        <v>5</v>
      </c>
      <c r="AE52" s="63">
        <f>(T52-V52)+1</f>
        <v>46304</v>
      </c>
      <c r="AF52" s="63">
        <f>IF(AB52&gt;IF((V52-W52)&gt;0,V52-W52,0),0,IF(AB52&lt;IF((V52-W52)&gt;0,V52-W52,0),IF((V52-W52)&gt;0,V52-W52,0)-AB52,IF((V52-W52)&gt;0,V52-W52,0)))</f>
        <v>0</v>
      </c>
      <c r="AG52" s="187">
        <f>IF(AND(M52=""),IF(R52="20'",
VLOOKUP(AF52,Charge!$K$31:$M$34,2,TRUE)+(AF52-VLOOKUP(AF52,Charge!$K$31:$M$34,1,TRUE))*VLOOKUP(AF52,Charge!$K$31:$M$34,3,TRUE),
VLOOKUP(AF52,Charge!$N$31:$P$34,2,TRUE)+(AF52-VLOOKUP(AF52,Charge!$N$31:$P$34,1,TRUE))*VLOOKUP(AF52,Charge!$N$31:$P$34,3,TRUE)),
IF(AND(M52="DG"),IF(R52="20'",
VLOOKUP(AF52,Charge!$R$31:$T$34,2,TRUE)+(AF52-VLOOKUP(AF52,Charge!$R$31:$T$34,1,TRUE))*VLOOKUP(AF52,Charge!$R$31:$T$34,3,TRUE),
VLOOKUP(AF52,Charge!$U$31:$W$34,2,TRUE)+(AF52-VLOOKUP(AF52,Charge!$U$31:$W$34,1,TRUE))*VLOOKUP(AF52,Charge!$U$31:$W$34,3,TRUE)),0))</f>
        <v>0</v>
      </c>
      <c r="AH52" s="65" t="n"/>
      <c r="AI52" s="65">
        <f>AA52-AH52</f>
        <v>960</v>
      </c>
      <c r="AJ52" s="188" t="n"/>
      <c r="AK52" s="62" t="str">
        <f>VLOOKUP(D52,'2.Bookinglist'!A:CT,40,FALSE)</f>
        <v>Dharaporn</v>
      </c>
      <c r="AL52" s="60" t="str">
        <f>VLOOKUP(D52,'2.Bookinglist'!A:CW,101,FALSE)</f>
        <v>2026-10-07</v>
      </c>
      <c r="AM52" s="60" t="str">
        <f>VLOOKUP(D52,'2.Bookinglist'!A:BK,63,FALSE)</f>
        <v>BKK27</v>
      </c>
      <c r="AN52" s="62" t="str">
        <f>VLOOKUP(D52,'2.Bookinglist'!A:AZ,52,FALSE)</f>
        <v>Pickup : 2026-10-01, Return : 2026-10-02 (1ST RTN DD: 03/10/26 WO/RENT)</v>
      </c>
      <c r="AO52" s="62">
        <f>VLOOKUP(D52,'2.Bookinglist'!A:CY,103,FALSE)</f>
        <v>0</v>
      </c>
    </row>
    <row r="53" ht="12.95" customHeight="1">
      <c r="A53" s="96" t="inlineStr">
        <is>
          <t>HLHU8343300</t>
        </is>
      </c>
      <c r="B53" s="184" t="str">
        <f>IF(C53=Charge!$M$1,Charge!$J$1,IF(C53=Charge!$M$23,Charge!$J$23,IF(C53=Charge!$M$17,Charge!$J$17,IF(C53=Charge!$N$17,Charge!$J$17,Charge!$J$7))))</f>
        <v>G3</v>
      </c>
      <c r="C53" s="61" t="str">
        <f>VLOOKUP(A53,'1.Loading'!A:R,14,FALSE)</f>
        <v>BKK04</v>
      </c>
      <c r="D53" s="61" t="str">
        <f>VLOOKUP(A53,'1.Loading'!A:R,17,FALSE)</f>
        <v>HASLS22260901036</v>
      </c>
      <c r="E53" s="62" t="str">
        <f>VLOOKUP(D53,'2.Bookinglist'!A:CT,27,FALSE)</f>
        <v>PISIA INTERFREIGHT CO.,LTD.</v>
      </c>
      <c r="F53" s="62" t="str">
        <f>VLOOKUP(D53,'2.Bookinglist'!A:CT,28,FALSE)</f>
        <v>KANGWAL POLYESTER CO., LTD.</v>
      </c>
      <c r="G53" s="60">
        <f>VLOOKUP(D53,'2.Bookinglist'!A:E,5,FALSE)</f>
        <v>0</v>
      </c>
      <c r="H53" s="61" t="str">
        <f>VLOOKUP(D53,'2.Bookinglist'!A:CT,15,FALSE)</f>
        <v>THBKK</v>
      </c>
      <c r="I53" s="61" t="str">
        <f>VLOOKUP(D53,'2.Bookinglist'!A:CT,19,FALSE)</f>
        <v>VNSGN</v>
      </c>
      <c r="J53" s="61">
        <f>VLOOKUP(D53,'2.Bookinglist'!A:CT,26,FALSE)</f>
        <v>0</v>
      </c>
      <c r="K53" s="61" t="str">
        <f>VLOOKUP(A53,'1.Loading'!A:R,5,FALSE)</f>
        <v>45GP</v>
      </c>
      <c r="L53" s="60" t="str">
        <f>VLOOKUP(D53,'2.Bookinglist'!A:CT,85,FALSE)</f>
        <v>CY/CY</v>
      </c>
      <c r="M53" s="60" t="str">
        <f>IF(VLOOKUP(D53,'2.Bookinglist'!A:CT,43,FALSE)=0,"","DG")</f>
        <v/>
      </c>
      <c r="N53" s="60" t="str">
        <f>IF(RIGHT(K53,2)="RE","RF","")</f>
        <v/>
      </c>
      <c r="O53" s="61" t="str">
        <f>VLOOKUP(A53,'1.Loading'!A:R,3,FALSE)</f>
        <v>SWSP</v>
      </c>
      <c r="P53" s="61" t="str">
        <f>VLOOKUP(A53,'1.Loading'!A:R,4,FALSE)</f>
        <v>2609N</v>
      </c>
      <c r="Q53" s="61" t="str">
        <f>VLOOKUP(D53,'2.Bookinglist'!A:CT,12,FALSE)</f>
        <v>BTS</v>
      </c>
      <c r="R53" s="60" t="str">
        <f>IF(LEFT(K53,2)="22","20'","40'")</f>
        <v>40'</v>
      </c>
      <c r="S53" s="185" t="n"/>
      <c r="T53" s="61" t="str">
        <f>VLOOKUP(A53,'1.Loading'!A:R,2,FALSE)</f>
        <v>2026-10-08</v>
      </c>
      <c r="U53" s="63">
        <f>T53-S53</f>
        <v>46303</v>
      </c>
      <c r="V53" s="186" t="n"/>
      <c r="W53" s="61" t="str">
        <f>VLOOKUP(A53,'3.GateMove'!A:D,4,FALSE)</f>
        <v>2026-10-02</v>
      </c>
      <c r="X53" s="63">
        <f>((T53-W53)+1)</f>
        <v>7</v>
      </c>
      <c r="Y53" s="64">
        <f>IF(AND(OR(C53="BKK01",C53="BKK04"),L53="CFS/CY"),0,IF(M53="DG",1,IF(LEFT(C53,3)="LCH",7,IF(C53="BKK02",5,3))))</f>
        <v>3</v>
      </c>
      <c r="Z53" s="63">
        <f>IF(IF(AND(AC53="TML",AB53&gt;0),((T53-W53)+1)-AB53,((T53-W53)+1)-Y53)&gt;0,IF(AND(AC53="TML",AB53&gt;0),((T53-W53)+1)-AB53,((T53-W53)+1)-Y53),0)</f>
        <v>4</v>
      </c>
      <c r="AA53" s="187">
        <f>IF(AND(B53="G1",M53=""),IF(R53="20'",
VLOOKUP(Z53,Charge!$K$2:$M$5,2,TRUE)+(Z53-VLOOKUP(Z53,Charge!$K$2:$M$5,1,TRUE))*VLOOKUP(Z53,Charge!$K$2:$M$5,3,TRUE),
VLOOKUP(Z53,Charge!$N$2:$P$5,2,TRUE)+(Z53-VLOOKUP(Z53,Charge!$N$2:$P$5,1,TRUE))*VLOOKUP(Z53,Charge!$N$2:$P$5,3,TRUE)),
IF(AND(B53="G1",M53="DG"),IF(R53="20'",
VLOOKUP(Z53,Charge!$R$2:$T$5,2,TRUE)+(Z53-VLOOKUP(Z53,Charge!$R$2:$T$5,1,TRUE))*VLOOKUP(Z53,Charge!$R$2:$T$5,3,TRUE),
VLOOKUP(Z53,Charge!$U$2:$W$5,2,TRUE)+(Z53-VLOOKUP(Z53,Charge!$U$2:$W$5,1,TRUE))*VLOOKUP(Z53,Charge!$U$2:$W$5,3,TRUE)),
IF(AND(B53="G3",M53=""),IF(R53="20'",
VLOOKUP(Z53,Charge!$K$18:$M$21,2,TRUE)+(Z53-VLOOKUP(Z53,Charge!$K$18:$M$21,1,TRUE))*VLOOKUP(Z53,Charge!$K$18:$M$21,3,TRUE),
VLOOKUP(Z53,Charge!$N$18:$P$21,2,TRUE)+(Z53-VLOOKUP(Z53,Charge!$N$18:$P$21,1,TRUE))*VLOOKUP(Z53,Charge!$N$18:$P$21,3,TRUE)),
IF(AND(B53="G3",M53="DG"),IF(R53="20'",
VLOOKUP(Z53,Charge!$R$18:$T$21,2,TRUE)+(Z53-VLOOKUP(Z53,Charge!$R$18:$T$21,1,TRUE))*VLOOKUP(Z53,Charge!$R$18:$T$21,3,TRUE),
VLOOKUP(Z53,Charge!$U$18:$W$21,2,TRUE)+(Z53-VLOOKUP(Z53,Charge!$U$18:$W$21,1,TRUE))*VLOOKUP(Z53,Charge!$U$18:$W$21,3,TRUE)),
IF(AND(B53="G2",M53=""),IF(R53="20'",
VLOOKUP(Z53,Charge!$K$9:$M$12,2,TRUE)+(Z53-VLOOKUP(Z53,Charge!$K$9:$M$12,1,TRUE))*VLOOKUP(Z53,Charge!$K$9:$M$12,3,TRUE),
VLOOKUP(Z53,Charge!$N$9:$P$12,2,TRUE)+(Z53-VLOOKUP(Z53,Charge!$N$9:$P$12,1,TRUE))*VLOOKUP(Z53,Charge!$N$9:$P$12,3,TRUE)),
IF(AND(B53="G2",M53="DG"),IF(R53="20'",
VLOOKUP(Z53,Charge!$R$9:$T$12,2,TRUE)+(Z53-VLOOKUP(Z53,Charge!$R$9:$T$12,1,TRUE))*VLOOKUP(Z53,Charge!$R$9:$T$12,3,TRUE),
VLOOKUP(Z53,Charge!$U$9:$W$12,2,TRUE)+(Z53-VLOOKUP(Z53,Charge!$U$9:$W$12,1,TRUE))*VLOOKUP(Z53,Charge!$U$9:$W$12,3,TRUE)),IF(AND(B53="G4",M53=""),IF(R53="20'",Z53*Charge!$M$25,Z53*Charge!$P$25),IF(AND(B53="G4",M53="DG"),IF(R53="20'",Z53*Charge!$T$25,Z53*Charge!$W$25),0))))))))</f>
        <v>1280</v>
      </c>
      <c r="AB53" s="184" t="n"/>
      <c r="AC53" s="184" t="n"/>
      <c r="AD53" s="60">
        <f>IF(M53="DG",3,IF(N53="RF",3,5))+IF(AND(LEFT(C53,3)="BKK",N53="RF",Q53="KTS"),1,0)+IF(Q53="KHS",1,0)</f>
        <v>5</v>
      </c>
      <c r="AE53" s="63">
        <f>(T53-V53)+1</f>
        <v>46304</v>
      </c>
      <c r="AF53" s="63">
        <f>IF(AB53&gt;IF((V53-W53)&gt;0,V53-W53,0),0,IF(AB53&lt;IF((V53-W53)&gt;0,V53-W53,0),IF((V53-W53)&gt;0,V53-W53,0)-AB53,IF((V53-W53)&gt;0,V53-W53,0)))</f>
        <v>0</v>
      </c>
      <c r="AG53" s="187">
        <f>IF(AND(M53=""),IF(R53="20'",
VLOOKUP(AF53,Charge!$K$31:$M$34,2,TRUE)+(AF53-VLOOKUP(AF53,Charge!$K$31:$M$34,1,TRUE))*VLOOKUP(AF53,Charge!$K$31:$M$34,3,TRUE),
VLOOKUP(AF53,Charge!$N$31:$P$34,2,TRUE)+(AF53-VLOOKUP(AF53,Charge!$N$31:$P$34,1,TRUE))*VLOOKUP(AF53,Charge!$N$31:$P$34,3,TRUE)),
IF(AND(M53="DG"),IF(R53="20'",
VLOOKUP(AF53,Charge!$R$31:$T$34,2,TRUE)+(AF53-VLOOKUP(AF53,Charge!$R$31:$T$34,1,TRUE))*VLOOKUP(AF53,Charge!$R$31:$T$34,3,TRUE),
VLOOKUP(AF53,Charge!$U$31:$W$34,2,TRUE)+(AF53-VLOOKUP(AF53,Charge!$U$31:$W$34,1,TRUE))*VLOOKUP(AF53,Charge!$U$31:$W$34,3,TRUE)),0))</f>
        <v>0</v>
      </c>
      <c r="AH53" s="65" t="n"/>
      <c r="AI53" s="65">
        <f>AA53-AH53</f>
        <v>1280</v>
      </c>
      <c r="AJ53" s="188" t="n"/>
      <c r="AK53" s="62" t="str">
        <f>VLOOKUP(D53,'2.Bookinglist'!A:CT,40,FALSE)</f>
        <v>Nannaapust Sukporntaweewat</v>
      </c>
      <c r="AL53" s="60" t="str">
        <f>VLOOKUP(D53,'2.Bookinglist'!A:CW,101,FALSE)</f>
        <v>2026-10-05</v>
      </c>
      <c r="AM53" s="60" t="str">
        <f>VLOOKUP(D53,'2.Bookinglist'!A:BK,63,FALSE)</f>
        <v>BKK25</v>
      </c>
      <c r="AN53" s="62" t="str">
        <f>VLOOKUP(D53,'2.Bookinglist'!A:AZ,52,FALSE)</f>
        <v>Pickup : 2026-10-01, Return : 2026-10-02 
7X40'HQ CY AT B.C. DD. 01/10 
1X40'HQ CY AT SMART DD. 01/10 </v>
      </c>
      <c r="AO53" s="62">
        <f>VLOOKUP(D53,'2.Bookinglist'!A:CY,103,FALSE)</f>
        <v>0</v>
      </c>
    </row>
    <row r="54" ht="12.95" customHeight="1">
      <c r="A54" s="96" t="inlineStr">
        <is>
          <t>HLHU8350819</t>
        </is>
      </c>
      <c r="B54" s="184" t="str">
        <f>IF(C54=Charge!$M$1,Charge!$J$1,IF(C54=Charge!$M$23,Charge!$J$23,IF(C54=Charge!$M$17,Charge!$J$17,IF(C54=Charge!$N$17,Charge!$J$17,Charge!$J$7))))</f>
        <v>G3</v>
      </c>
      <c r="C54" s="61" t="str">
        <f>VLOOKUP(A54,'1.Loading'!A:R,14,FALSE)</f>
        <v>BKK04</v>
      </c>
      <c r="D54" s="61" t="str">
        <f>VLOOKUP(A54,'1.Loading'!A:R,17,FALSE)</f>
        <v>HASLS22260902260</v>
      </c>
      <c r="E54" s="62" t="str">
        <f>VLOOKUP(D54,'2.Bookinglist'!A:CT,27,FALSE)</f>
        <v>CAPRICORN LOGISTICS CO., LTD.</v>
      </c>
      <c r="F54" s="62" t="str">
        <f>VLOOKUP(D54,'2.Bookinglist'!A:CT,28,FALSE)</f>
        <v>MITSUBISHI HEAVY INDUSTRIES - MAHAJAK AIR CONDITIONERS CO., </v>
      </c>
      <c r="G54" s="60">
        <f>VLOOKUP(D54,'2.Bookinglist'!A:E,5,FALSE)</f>
        <v>0</v>
      </c>
      <c r="H54" s="61" t="str">
        <f>VLOOKUP(D54,'2.Bookinglist'!A:CT,15,FALSE)</f>
        <v>THBKK</v>
      </c>
      <c r="I54" s="61" t="str">
        <f>VLOOKUP(D54,'2.Bookinglist'!A:CT,19,FALSE)</f>
        <v>VNSGN</v>
      </c>
      <c r="J54" s="61">
        <f>VLOOKUP(D54,'2.Bookinglist'!A:CT,26,FALSE)</f>
        <v>0</v>
      </c>
      <c r="K54" s="61" t="str">
        <f>VLOOKUP(A54,'1.Loading'!A:R,5,FALSE)</f>
        <v>45GP</v>
      </c>
      <c r="L54" s="60" t="str">
        <f>VLOOKUP(D54,'2.Bookinglist'!A:CT,85,FALSE)</f>
        <v>CY/CY</v>
      </c>
      <c r="M54" s="60" t="str">
        <f>IF(VLOOKUP(D54,'2.Bookinglist'!A:CT,43,FALSE)=0,"","DG")</f>
        <v/>
      </c>
      <c r="N54" s="60" t="str">
        <f>IF(RIGHT(K54,2)="RE","RF","")</f>
        <v/>
      </c>
      <c r="O54" s="61" t="str">
        <f>VLOOKUP(A54,'1.Loading'!A:R,3,FALSE)</f>
        <v>SWSP</v>
      </c>
      <c r="P54" s="61" t="str">
        <f>VLOOKUP(A54,'1.Loading'!A:R,4,FALSE)</f>
        <v>2609N</v>
      </c>
      <c r="Q54" s="61" t="str">
        <f>VLOOKUP(D54,'2.Bookinglist'!A:CT,12,FALSE)</f>
        <v>BTS</v>
      </c>
      <c r="R54" s="60" t="str">
        <f>IF(LEFT(K54,2)="22","20'","40'")</f>
        <v>40'</v>
      </c>
      <c r="S54" s="185" t="n"/>
      <c r="T54" s="61" t="str">
        <f>VLOOKUP(A54,'1.Loading'!A:R,2,FALSE)</f>
        <v>2026-10-08</v>
      </c>
      <c r="U54" s="63">
        <f>T54-S54</f>
        <v>46303</v>
      </c>
      <c r="V54" s="186" t="n"/>
      <c r="W54" s="61" t="str">
        <f>VLOOKUP(A54,'3.GateMove'!A:D,4,FALSE)</f>
        <v>2026-10-04</v>
      </c>
      <c r="X54" s="63">
        <f>((T54-W54)+1)</f>
        <v>5</v>
      </c>
      <c r="Y54" s="64">
        <f>IF(AND(OR(C54="BKK01",C54="BKK04"),L54="CFS/CY"),0,IF(M54="DG",1,IF(LEFT(C54,3)="LCH",7,IF(C54="BKK02",5,3))))</f>
        <v>3</v>
      </c>
      <c r="Z54" s="63">
        <f>IF(IF(AND(AC54="TML",AB54&gt;0),((T54-W54)+1)-AB54,((T54-W54)+1)-Y54)&gt;0,IF(AND(AC54="TML",AB54&gt;0),((T54-W54)+1)-AB54,((T54-W54)+1)-Y54),0)</f>
        <v>2</v>
      </c>
      <c r="AA54" s="187">
        <f>IF(AND(B54="G1",M54=""),IF(R54="20'",
VLOOKUP(Z54,Charge!$K$2:$M$5,2,TRUE)+(Z54-VLOOKUP(Z54,Charge!$K$2:$M$5,1,TRUE))*VLOOKUP(Z54,Charge!$K$2:$M$5,3,TRUE),
VLOOKUP(Z54,Charge!$N$2:$P$5,2,TRUE)+(Z54-VLOOKUP(Z54,Charge!$N$2:$P$5,1,TRUE))*VLOOKUP(Z54,Charge!$N$2:$P$5,3,TRUE)),
IF(AND(B54="G1",M54="DG"),IF(R54="20'",
VLOOKUP(Z54,Charge!$R$2:$T$5,2,TRUE)+(Z54-VLOOKUP(Z54,Charge!$R$2:$T$5,1,TRUE))*VLOOKUP(Z54,Charge!$R$2:$T$5,3,TRUE),
VLOOKUP(Z54,Charge!$U$2:$W$5,2,TRUE)+(Z54-VLOOKUP(Z54,Charge!$U$2:$W$5,1,TRUE))*VLOOKUP(Z54,Charge!$U$2:$W$5,3,TRUE)),
IF(AND(B54="G3",M54=""),IF(R54="20'",
VLOOKUP(Z54,Charge!$K$18:$M$21,2,TRUE)+(Z54-VLOOKUP(Z54,Charge!$K$18:$M$21,1,TRUE))*VLOOKUP(Z54,Charge!$K$18:$M$21,3,TRUE),
VLOOKUP(Z54,Charge!$N$18:$P$21,2,TRUE)+(Z54-VLOOKUP(Z54,Charge!$N$18:$P$21,1,TRUE))*VLOOKUP(Z54,Charge!$N$18:$P$21,3,TRUE)),
IF(AND(B54="G3",M54="DG"),IF(R54="20'",
VLOOKUP(Z54,Charge!$R$18:$T$21,2,TRUE)+(Z54-VLOOKUP(Z54,Charge!$R$18:$T$21,1,TRUE))*VLOOKUP(Z54,Charge!$R$18:$T$21,3,TRUE),
VLOOKUP(Z54,Charge!$U$18:$W$21,2,TRUE)+(Z54-VLOOKUP(Z54,Charge!$U$18:$W$21,1,TRUE))*VLOOKUP(Z54,Charge!$U$18:$W$21,3,TRUE)),
IF(AND(B54="G2",M54=""),IF(R54="20'",
VLOOKUP(Z54,Charge!$K$9:$M$12,2,TRUE)+(Z54-VLOOKUP(Z54,Charge!$K$9:$M$12,1,TRUE))*VLOOKUP(Z54,Charge!$K$9:$M$12,3,TRUE),
VLOOKUP(Z54,Charge!$N$9:$P$12,2,TRUE)+(Z54-VLOOKUP(Z54,Charge!$N$9:$P$12,1,TRUE))*VLOOKUP(Z54,Charge!$N$9:$P$12,3,TRUE)),
IF(AND(B54="G2",M54="DG"),IF(R54="20'",
VLOOKUP(Z54,Charge!$R$9:$T$12,2,TRUE)+(Z54-VLOOKUP(Z54,Charge!$R$9:$T$12,1,TRUE))*VLOOKUP(Z54,Charge!$R$9:$T$12,3,TRUE),
VLOOKUP(Z54,Charge!$U$9:$W$12,2,TRUE)+(Z54-VLOOKUP(Z54,Charge!$U$9:$W$12,1,TRUE))*VLOOKUP(Z54,Charge!$U$9:$W$12,3,TRUE)),IF(AND(B54="G4",M54=""),IF(R54="20'",Z54*Charge!$M$25,Z54*Charge!$P$25),IF(AND(B54="G4",M54="DG"),IF(R54="20'",Z54*Charge!$T$25,Z54*Charge!$W$25),0))))))))</f>
        <v>640</v>
      </c>
      <c r="AB54" s="184" t="n"/>
      <c r="AC54" s="184" t="n"/>
      <c r="AD54" s="60">
        <f>IF(M54="DG",3,IF(N54="RF",3,5))+IF(AND(LEFT(C54,3)="BKK",N54="RF",Q54="KTS"),1,0)+IF(Q54="KHS",1,0)</f>
        <v>5</v>
      </c>
      <c r="AE54" s="63">
        <f>(T54-V54)+1</f>
        <v>46304</v>
      </c>
      <c r="AF54" s="63">
        <f>IF(AB54&gt;IF((V54-W54)&gt;0,V54-W54,0),0,IF(AB54&lt;IF((V54-W54)&gt;0,V54-W54,0),IF((V54-W54)&gt;0,V54-W54,0)-AB54,IF((V54-W54)&gt;0,V54-W54,0)))</f>
        <v>0</v>
      </c>
      <c r="AG54" s="187">
        <f>IF(AND(M54=""),IF(R54="20'",
VLOOKUP(AF54,Charge!$K$31:$M$34,2,TRUE)+(AF54-VLOOKUP(AF54,Charge!$K$31:$M$34,1,TRUE))*VLOOKUP(AF54,Charge!$K$31:$M$34,3,TRUE),
VLOOKUP(AF54,Charge!$N$31:$P$34,2,TRUE)+(AF54-VLOOKUP(AF54,Charge!$N$31:$P$34,1,TRUE))*VLOOKUP(AF54,Charge!$N$31:$P$34,3,TRUE)),
IF(AND(M54="DG"),IF(R54="20'",
VLOOKUP(AF54,Charge!$R$31:$T$34,2,TRUE)+(AF54-VLOOKUP(AF54,Charge!$R$31:$T$34,1,TRUE))*VLOOKUP(AF54,Charge!$R$31:$T$34,3,TRUE),
VLOOKUP(AF54,Charge!$U$31:$W$34,2,TRUE)+(AF54-VLOOKUP(AF54,Charge!$U$31:$W$34,1,TRUE))*VLOOKUP(AF54,Charge!$U$31:$W$34,3,TRUE)),0))</f>
        <v>0</v>
      </c>
      <c r="AH54" s="65" t="n"/>
      <c r="AI54" s="65">
        <f>AA54-AH54</f>
        <v>640</v>
      </c>
      <c r="AJ54" s="188" t="n"/>
      <c r="AK54" s="62" t="str">
        <f>VLOOKUP(D54,'2.Bookinglist'!A:CT,40,FALSE)</f>
        <v>Sukunpoj Damrongying</v>
      </c>
      <c r="AL54" s="60" t="str">
        <f>VLOOKUP(D54,'2.Bookinglist'!A:CW,101,FALSE)</f>
        <v>2026-10-07</v>
      </c>
      <c r="AM54" s="60" t="str">
        <f>VLOOKUP(D54,'2.Bookinglist'!A:BK,63,FALSE)</f>
        <v>BKK27</v>
      </c>
      <c r="AN54" s="62" t="str">
        <f>VLOOKUP(D54,'2.Bookinglist'!A:AZ,52,FALSE)</f>
        <v>Pickup : 2026-09-29, Return : 2026-10-01 </v>
      </c>
      <c r="AO54" s="62">
        <f>VLOOKUP(D54,'2.Bookinglist'!A:CY,103,FALSE)</f>
        <v>0</v>
      </c>
    </row>
    <row r="55" ht="12.95" customHeight="1">
      <c r="A55" s="96" t="inlineStr">
        <is>
          <t>HLHU8375400</t>
        </is>
      </c>
      <c r="B55" s="184" t="str">
        <f>IF(C55=Charge!$M$1,Charge!$J$1,IF(C55=Charge!$M$23,Charge!$J$23,IF(C55=Charge!$M$17,Charge!$J$17,IF(C55=Charge!$N$17,Charge!$J$17,Charge!$J$7))))</f>
        <v>G3</v>
      </c>
      <c r="C55" s="61" t="str">
        <f>VLOOKUP(A55,'1.Loading'!A:R,14,FALSE)</f>
        <v>BKK04</v>
      </c>
      <c r="D55" s="61" t="str">
        <f>VLOOKUP(A55,'1.Loading'!A:R,17,FALSE)</f>
        <v>HASLS22260900586</v>
      </c>
      <c r="E55" s="62" t="str">
        <f>VLOOKUP(D55,'2.Bookinglist'!A:CT,27,FALSE)</f>
        <v>BIRLA CARBON (THAILAND) PUBLIC COMPANY LIMITED</v>
      </c>
      <c r="F55" s="62" t="str">
        <f>VLOOKUP(D55,'2.Bookinglist'!A:CT,28,FALSE)</f>
        <v>BIRLA CARBON (THAILAND) PUBLIC COMPANY LIMITED</v>
      </c>
      <c r="G55" s="60">
        <f>VLOOKUP(D55,'2.Bookinglist'!A:E,5,FALSE)</f>
        <v>0</v>
      </c>
      <c r="H55" s="61" t="str">
        <f>VLOOKUP(D55,'2.Bookinglist'!A:CT,15,FALSE)</f>
        <v>THBKK</v>
      </c>
      <c r="I55" s="61" t="str">
        <f>VLOOKUP(D55,'2.Bookinglist'!A:CT,19,FALSE)</f>
        <v>VNSGN</v>
      </c>
      <c r="J55" s="61">
        <f>VLOOKUP(D55,'2.Bookinglist'!A:CT,26,FALSE)</f>
        <v>0</v>
      </c>
      <c r="K55" s="61" t="str">
        <f>VLOOKUP(A55,'1.Loading'!A:R,5,FALSE)</f>
        <v>45GP</v>
      </c>
      <c r="L55" s="60" t="str">
        <f>VLOOKUP(D55,'2.Bookinglist'!A:CT,85,FALSE)</f>
        <v>CY/CY</v>
      </c>
      <c r="M55" s="60" t="str">
        <f>IF(VLOOKUP(D55,'2.Bookinglist'!A:CT,43,FALSE)=0,"","DG")</f>
        <v/>
      </c>
      <c r="N55" s="60" t="str">
        <f>IF(RIGHT(K55,2)="RE","RF","")</f>
        <v/>
      </c>
      <c r="O55" s="61" t="str">
        <f>VLOOKUP(A55,'1.Loading'!A:R,3,FALSE)</f>
        <v>SWSP</v>
      </c>
      <c r="P55" s="61" t="str">
        <f>VLOOKUP(A55,'1.Loading'!A:R,4,FALSE)</f>
        <v>2609N</v>
      </c>
      <c r="Q55" s="61" t="str">
        <f>VLOOKUP(D55,'2.Bookinglist'!A:CT,12,FALSE)</f>
        <v>BTS</v>
      </c>
      <c r="R55" s="60" t="str">
        <f>IF(LEFT(K55,2)="22","20'","40'")</f>
        <v>40'</v>
      </c>
      <c r="S55" s="185" t="n"/>
      <c r="T55" s="61" t="str">
        <f>VLOOKUP(A55,'1.Loading'!A:R,2,FALSE)</f>
        <v>2026-10-08</v>
      </c>
      <c r="U55" s="63">
        <f>T55-S55</f>
        <v>46303</v>
      </c>
      <c r="V55" s="186" t="n"/>
      <c r="W55" s="61" t="str">
        <f>VLOOKUP(A55,'3.GateMove'!A:D,4,FALSE)</f>
        <v>2026-10-03</v>
      </c>
      <c r="X55" s="63">
        <f>((T55-W55)+1)</f>
        <v>6</v>
      </c>
      <c r="Y55" s="64">
        <f>IF(AND(OR(C55="BKK01",C55="BKK04"),L55="CFS/CY"),0,IF(M55="DG",1,IF(LEFT(C55,3)="LCH",7,IF(C55="BKK02",5,3))))</f>
        <v>3</v>
      </c>
      <c r="Z55" s="63">
        <f>IF(IF(AND(AC55="TML",AB55&gt;0),((T55-W55)+1)-AB55,((T55-W55)+1)-Y55)&gt;0,IF(AND(AC55="TML",AB55&gt;0),((T55-W55)+1)-AB55,((T55-W55)+1)-Y55),0)</f>
        <v>3</v>
      </c>
      <c r="AA55" s="187">
        <f>IF(AND(B55="G1",M55=""),IF(R55="20'",
VLOOKUP(Z55,Charge!$K$2:$M$5,2,TRUE)+(Z55-VLOOKUP(Z55,Charge!$K$2:$M$5,1,TRUE))*VLOOKUP(Z55,Charge!$K$2:$M$5,3,TRUE),
VLOOKUP(Z55,Charge!$N$2:$P$5,2,TRUE)+(Z55-VLOOKUP(Z55,Charge!$N$2:$P$5,1,TRUE))*VLOOKUP(Z55,Charge!$N$2:$P$5,3,TRUE)),
IF(AND(B55="G1",M55="DG"),IF(R55="20'",
VLOOKUP(Z55,Charge!$R$2:$T$5,2,TRUE)+(Z55-VLOOKUP(Z55,Charge!$R$2:$T$5,1,TRUE))*VLOOKUP(Z55,Charge!$R$2:$T$5,3,TRUE),
VLOOKUP(Z55,Charge!$U$2:$W$5,2,TRUE)+(Z55-VLOOKUP(Z55,Charge!$U$2:$W$5,1,TRUE))*VLOOKUP(Z55,Charge!$U$2:$W$5,3,TRUE)),
IF(AND(B55="G3",M55=""),IF(R55="20'",
VLOOKUP(Z55,Charge!$K$18:$M$21,2,TRUE)+(Z55-VLOOKUP(Z55,Charge!$K$18:$M$21,1,TRUE))*VLOOKUP(Z55,Charge!$K$18:$M$21,3,TRUE),
VLOOKUP(Z55,Charge!$N$18:$P$21,2,TRUE)+(Z55-VLOOKUP(Z55,Charge!$N$18:$P$21,1,TRUE))*VLOOKUP(Z55,Charge!$N$18:$P$21,3,TRUE)),
IF(AND(B55="G3",M55="DG"),IF(R55="20'",
VLOOKUP(Z55,Charge!$R$18:$T$21,2,TRUE)+(Z55-VLOOKUP(Z55,Charge!$R$18:$T$21,1,TRUE))*VLOOKUP(Z55,Charge!$R$18:$T$21,3,TRUE),
VLOOKUP(Z55,Charge!$U$18:$W$21,2,TRUE)+(Z55-VLOOKUP(Z55,Charge!$U$18:$W$21,1,TRUE))*VLOOKUP(Z55,Charge!$U$18:$W$21,3,TRUE)),
IF(AND(B55="G2",M55=""),IF(R55="20'",
VLOOKUP(Z55,Charge!$K$9:$M$12,2,TRUE)+(Z55-VLOOKUP(Z55,Charge!$K$9:$M$12,1,TRUE))*VLOOKUP(Z55,Charge!$K$9:$M$12,3,TRUE),
VLOOKUP(Z55,Charge!$N$9:$P$12,2,TRUE)+(Z55-VLOOKUP(Z55,Charge!$N$9:$P$12,1,TRUE))*VLOOKUP(Z55,Charge!$N$9:$P$12,3,TRUE)),
IF(AND(B55="G2",M55="DG"),IF(R55="20'",
VLOOKUP(Z55,Charge!$R$9:$T$12,2,TRUE)+(Z55-VLOOKUP(Z55,Charge!$R$9:$T$12,1,TRUE))*VLOOKUP(Z55,Charge!$R$9:$T$12,3,TRUE),
VLOOKUP(Z55,Charge!$U$9:$W$12,2,TRUE)+(Z55-VLOOKUP(Z55,Charge!$U$9:$W$12,1,TRUE))*VLOOKUP(Z55,Charge!$U$9:$W$12,3,TRUE)),IF(AND(B55="G4",M55=""),IF(R55="20'",Z55*Charge!$M$25,Z55*Charge!$P$25),IF(AND(B55="G4",M55="DG"),IF(R55="20'",Z55*Charge!$T$25,Z55*Charge!$W$25),0))))))))</f>
        <v>960</v>
      </c>
      <c r="AB55" s="184" t="n"/>
      <c r="AC55" s="184" t="n"/>
      <c r="AD55" s="60">
        <f>IF(M55="DG",3,IF(N55="RF",3,5))+IF(AND(LEFT(C55,3)="BKK",N55="RF",Q55="KTS"),1,0)+IF(Q55="KHS",1,0)</f>
        <v>5</v>
      </c>
      <c r="AE55" s="63">
        <f>(T55-V55)+1</f>
        <v>46304</v>
      </c>
      <c r="AF55" s="63">
        <f>IF(AB55&gt;IF((V55-W55)&gt;0,V55-W55,0),0,IF(AB55&lt;IF((V55-W55)&gt;0,V55-W55,0),IF((V55-W55)&gt;0,V55-W55,0)-AB55,IF((V55-W55)&gt;0,V55-W55,0)))</f>
        <v>0</v>
      </c>
      <c r="AG55" s="187">
        <f>IF(AND(M55=""),IF(R55="20'",
VLOOKUP(AF55,Charge!$K$31:$M$34,2,TRUE)+(AF55-VLOOKUP(AF55,Charge!$K$31:$M$34,1,TRUE))*VLOOKUP(AF55,Charge!$K$31:$M$34,3,TRUE),
VLOOKUP(AF55,Charge!$N$31:$P$34,2,TRUE)+(AF55-VLOOKUP(AF55,Charge!$N$31:$P$34,1,TRUE))*VLOOKUP(AF55,Charge!$N$31:$P$34,3,TRUE)),
IF(AND(M55="DG"),IF(R55="20'",
VLOOKUP(AF55,Charge!$R$31:$T$34,2,TRUE)+(AF55-VLOOKUP(AF55,Charge!$R$31:$T$34,1,TRUE))*VLOOKUP(AF55,Charge!$R$31:$T$34,3,TRUE),
VLOOKUP(AF55,Charge!$U$31:$W$34,2,TRUE)+(AF55-VLOOKUP(AF55,Charge!$U$31:$W$34,1,TRUE))*VLOOKUP(AF55,Charge!$U$31:$W$34,3,TRUE)),0))</f>
        <v>0</v>
      </c>
      <c r="AH55" s="65" t="n"/>
      <c r="AI55" s="65">
        <f>AA55-AH55</f>
        <v>960</v>
      </c>
      <c r="AJ55" s="188" t="n"/>
      <c r="AK55" s="62" t="str">
        <f>VLOOKUP(D55,'2.Bookinglist'!A:CT,40,FALSE)</f>
        <v>Dharaporn</v>
      </c>
      <c r="AL55" s="60" t="str">
        <f>VLOOKUP(D55,'2.Bookinglist'!A:CW,101,FALSE)</f>
        <v>2026-10-07</v>
      </c>
      <c r="AM55" s="60" t="str">
        <f>VLOOKUP(D55,'2.Bookinglist'!A:BK,63,FALSE)</f>
        <v>BKK27</v>
      </c>
      <c r="AN55" s="62" t="str">
        <f>VLOOKUP(D55,'2.Bookinglist'!A:AZ,52,FALSE)</f>
        <v>Pickup : 2026-10-01, Return : 2026-10-02 (1ST RTN DD: 03/10/26 WO/RENT)</v>
      </c>
      <c r="AO55" s="62">
        <f>VLOOKUP(D55,'2.Bookinglist'!A:CY,103,FALSE)</f>
        <v>0</v>
      </c>
    </row>
    <row r="56" ht="12.95" customHeight="1">
      <c r="A56" s="96" t="inlineStr">
        <is>
          <t>HLHU8376979</t>
        </is>
      </c>
      <c r="B56" s="184" t="str">
        <f>IF(C56=Charge!$M$1,Charge!$J$1,IF(C56=Charge!$M$23,Charge!$J$23,IF(C56=Charge!$M$17,Charge!$J$17,IF(C56=Charge!$N$17,Charge!$J$17,Charge!$J$7))))</f>
        <v>G3</v>
      </c>
      <c r="C56" s="61" t="str">
        <f>VLOOKUP(A56,'1.Loading'!A:R,14,FALSE)</f>
        <v>BKK04</v>
      </c>
      <c r="D56" s="61" t="str">
        <f>VLOOKUP(A56,'1.Loading'!A:R,17,FALSE)</f>
        <v>HASLS22260901688</v>
      </c>
      <c r="E56" s="62" t="str">
        <f>VLOOKUP(D56,'2.Bookinglist'!A:CT,27,FALSE)</f>
        <v>METRO PARTICLE CO., LTD.</v>
      </c>
      <c r="F56" s="62" t="str">
        <f>VLOOKUP(D56,'2.Bookinglist'!A:CT,28,FALSE)</f>
        <v>METRO PARTICLE CO., LTD.</v>
      </c>
      <c r="G56" s="60">
        <f>VLOOKUP(D56,'2.Bookinglist'!A:E,5,FALSE)</f>
        <v>0</v>
      </c>
      <c r="H56" s="61" t="str">
        <f>VLOOKUP(D56,'2.Bookinglist'!A:CT,15,FALSE)</f>
        <v>THBKK</v>
      </c>
      <c r="I56" s="61" t="str">
        <f>VLOOKUP(D56,'2.Bookinglist'!A:CT,19,FALSE)</f>
        <v>VNSGN</v>
      </c>
      <c r="J56" s="61">
        <f>VLOOKUP(D56,'2.Bookinglist'!A:CT,26,FALSE)</f>
        <v>0</v>
      </c>
      <c r="K56" s="61" t="str">
        <f>VLOOKUP(A56,'1.Loading'!A:R,5,FALSE)</f>
        <v>45GP</v>
      </c>
      <c r="L56" s="60" t="str">
        <f>VLOOKUP(D56,'2.Bookinglist'!A:CT,85,FALSE)</f>
        <v>CY/CY</v>
      </c>
      <c r="M56" s="60" t="str">
        <f>IF(VLOOKUP(D56,'2.Bookinglist'!A:CT,43,FALSE)=0,"","DG")</f>
        <v/>
      </c>
      <c r="N56" s="60" t="str">
        <f>IF(RIGHT(K56,2)="RE","RF","")</f>
        <v/>
      </c>
      <c r="O56" s="61" t="str">
        <f>VLOOKUP(A56,'1.Loading'!A:R,3,FALSE)</f>
        <v>SWSP</v>
      </c>
      <c r="P56" s="61" t="str">
        <f>VLOOKUP(A56,'1.Loading'!A:R,4,FALSE)</f>
        <v>2609N</v>
      </c>
      <c r="Q56" s="61" t="str">
        <f>VLOOKUP(D56,'2.Bookinglist'!A:CT,12,FALSE)</f>
        <v>BTS</v>
      </c>
      <c r="R56" s="60" t="str">
        <f>IF(LEFT(K56,2)="22","20'","40'")</f>
        <v>40'</v>
      </c>
      <c r="S56" s="185" t="n"/>
      <c r="T56" s="61" t="str">
        <f>VLOOKUP(A56,'1.Loading'!A:R,2,FALSE)</f>
        <v>2026-10-08</v>
      </c>
      <c r="U56" s="63">
        <f>T56-S56</f>
        <v>46303</v>
      </c>
      <c r="V56" s="186" t="n"/>
      <c r="W56" s="61" t="str">
        <f>VLOOKUP(A56,'3.GateMove'!A:D,4,FALSE)</f>
        <v>2026-09-29</v>
      </c>
      <c r="X56" s="63">
        <f>((T56-W56)+1)</f>
        <v>10</v>
      </c>
      <c r="Y56" s="64">
        <f>IF(AND(OR(C56="BKK01",C56="BKK04"),L56="CFS/CY"),0,IF(M56="DG",1,IF(LEFT(C56,3)="LCH",7,IF(C56="BKK02",5,3))))</f>
        <v>3</v>
      </c>
      <c r="Z56" s="63">
        <f>IF(IF(AND(AC56="TML",AB56&gt;0),((T56-W56)+1)-AB56,((T56-W56)+1)-Y56)&gt;0,IF(AND(AC56="TML",AB56&gt;0),((T56-W56)+1)-AB56,((T56-W56)+1)-Y56),0)</f>
        <v>7</v>
      </c>
      <c r="AA56" s="187">
        <f>IF(AND(B56="G1",M56=""),IF(R56="20'",
VLOOKUP(Z56,Charge!$K$2:$M$5,2,TRUE)+(Z56-VLOOKUP(Z56,Charge!$K$2:$M$5,1,TRUE))*VLOOKUP(Z56,Charge!$K$2:$M$5,3,TRUE),
VLOOKUP(Z56,Charge!$N$2:$P$5,2,TRUE)+(Z56-VLOOKUP(Z56,Charge!$N$2:$P$5,1,TRUE))*VLOOKUP(Z56,Charge!$N$2:$P$5,3,TRUE)),
IF(AND(B56="G1",M56="DG"),IF(R56="20'",
VLOOKUP(Z56,Charge!$R$2:$T$5,2,TRUE)+(Z56-VLOOKUP(Z56,Charge!$R$2:$T$5,1,TRUE))*VLOOKUP(Z56,Charge!$R$2:$T$5,3,TRUE),
VLOOKUP(Z56,Charge!$U$2:$W$5,2,TRUE)+(Z56-VLOOKUP(Z56,Charge!$U$2:$W$5,1,TRUE))*VLOOKUP(Z56,Charge!$U$2:$W$5,3,TRUE)),
IF(AND(B56="G3",M56=""),IF(R56="20'",
VLOOKUP(Z56,Charge!$K$18:$M$21,2,TRUE)+(Z56-VLOOKUP(Z56,Charge!$K$18:$M$21,1,TRUE))*VLOOKUP(Z56,Charge!$K$18:$M$21,3,TRUE),
VLOOKUP(Z56,Charge!$N$18:$P$21,2,TRUE)+(Z56-VLOOKUP(Z56,Charge!$N$18:$P$21,1,TRUE))*VLOOKUP(Z56,Charge!$N$18:$P$21,3,TRUE)),
IF(AND(B56="G3",M56="DG"),IF(R56="20'",
VLOOKUP(Z56,Charge!$R$18:$T$21,2,TRUE)+(Z56-VLOOKUP(Z56,Charge!$R$18:$T$21,1,TRUE))*VLOOKUP(Z56,Charge!$R$18:$T$21,3,TRUE),
VLOOKUP(Z56,Charge!$U$18:$W$21,2,TRUE)+(Z56-VLOOKUP(Z56,Charge!$U$18:$W$21,1,TRUE))*VLOOKUP(Z56,Charge!$U$18:$W$21,3,TRUE)),
IF(AND(B56="G2",M56=""),IF(R56="20'",
VLOOKUP(Z56,Charge!$K$9:$M$12,2,TRUE)+(Z56-VLOOKUP(Z56,Charge!$K$9:$M$12,1,TRUE))*VLOOKUP(Z56,Charge!$K$9:$M$12,3,TRUE),
VLOOKUP(Z56,Charge!$N$9:$P$12,2,TRUE)+(Z56-VLOOKUP(Z56,Charge!$N$9:$P$12,1,TRUE))*VLOOKUP(Z56,Charge!$N$9:$P$12,3,TRUE)),
IF(AND(B56="G2",M56="DG"),IF(R56="20'",
VLOOKUP(Z56,Charge!$R$9:$T$12,2,TRUE)+(Z56-VLOOKUP(Z56,Charge!$R$9:$T$12,1,TRUE))*VLOOKUP(Z56,Charge!$R$9:$T$12,3,TRUE),
VLOOKUP(Z56,Charge!$U$9:$W$12,2,TRUE)+(Z56-VLOOKUP(Z56,Charge!$U$9:$W$12,1,TRUE))*VLOOKUP(Z56,Charge!$U$9:$W$12,3,TRUE)),IF(AND(B56="G4",M56=""),IF(R56="20'",Z56*Charge!$M$25,Z56*Charge!$P$25),IF(AND(B56="G4",M56="DG"),IF(R56="20'",Z56*Charge!$T$25,Z56*Charge!$W$25),0))))))))</f>
        <v>2240</v>
      </c>
      <c r="AB56" s="184" t="n"/>
      <c r="AC56" s="184" t="n"/>
      <c r="AD56" s="60">
        <f>IF(M56="DG",3,IF(N56="RF",3,5))+IF(AND(LEFT(C56,3)="BKK",N56="RF",Q56="KTS"),1,0)+IF(Q56="KHS",1,0)</f>
        <v>5</v>
      </c>
      <c r="AE56" s="63">
        <f>(T56-V56)+1</f>
        <v>46304</v>
      </c>
      <c r="AF56" s="63">
        <f>IF(AB56&gt;IF((V56-W56)&gt;0,V56-W56,0),0,IF(AB56&lt;IF((V56-W56)&gt;0,V56-W56,0),IF((V56-W56)&gt;0,V56-W56,0)-AB56,IF((V56-W56)&gt;0,V56-W56,0)))</f>
        <v>0</v>
      </c>
      <c r="AG56" s="187">
        <f>IF(AND(M56=""),IF(R56="20'",
VLOOKUP(AF56,Charge!$K$31:$M$34,2,TRUE)+(AF56-VLOOKUP(AF56,Charge!$K$31:$M$34,1,TRUE))*VLOOKUP(AF56,Charge!$K$31:$M$34,3,TRUE),
VLOOKUP(AF56,Charge!$N$31:$P$34,2,TRUE)+(AF56-VLOOKUP(AF56,Charge!$N$31:$P$34,1,TRUE))*VLOOKUP(AF56,Charge!$N$31:$P$34,3,TRUE)),
IF(AND(M56="DG"),IF(R56="20'",
VLOOKUP(AF56,Charge!$R$31:$T$34,2,TRUE)+(AF56-VLOOKUP(AF56,Charge!$R$31:$T$34,1,TRUE))*VLOOKUP(AF56,Charge!$R$31:$T$34,3,TRUE),
VLOOKUP(AF56,Charge!$U$31:$W$34,2,TRUE)+(AF56-VLOOKUP(AF56,Charge!$U$31:$W$34,1,TRUE))*VLOOKUP(AF56,Charge!$U$31:$W$34,3,TRUE)),0))</f>
        <v>0</v>
      </c>
      <c r="AH56" s="65" t="n"/>
      <c r="AI56" s="65">
        <f>AA56-AH56</f>
        <v>2240</v>
      </c>
      <c r="AJ56" s="188" t="n"/>
      <c r="AK56" s="62" t="str">
        <f>VLOOKUP(D56,'2.Bookinglist'!A:CT,40,FALSE)</f>
        <v>Nustsireerach</v>
      </c>
      <c r="AL56" s="60" t="str">
        <f>VLOOKUP(D56,'2.Bookinglist'!A:CW,101,FALSE)</f>
        <v>2026-10-07</v>
      </c>
      <c r="AM56" s="60" t="str">
        <f>VLOOKUP(D56,'2.Bookinglist'!A:BK,63,FALSE)</f>
        <v>BKK27</v>
      </c>
      <c r="AN56" s="62" t="str">
        <f>VLOOKUP(D56,'2.Bookinglist'!A:AZ,52,FALSE)</f>
        <v>CY-RTN DD.28/09 - 29/09 
</v>
      </c>
      <c r="AO56" s="62" t="str">
        <f>VLOOKUP(D56,'2.Bookinglist'!A:CY,103,FALSE)</f>
        <v>ROLL OVER FROM PREVIOUS VSL KMBK 2611N BY ALLOCATION TEAM MS.TARN APPROVED COST IS UNDER HAL DD.01/10</v>
      </c>
    </row>
    <row r="57" ht="12.95" customHeight="1">
      <c r="A57" s="96" t="inlineStr">
        <is>
          <t>HLHU8400329</t>
        </is>
      </c>
      <c r="B57" s="184" t="str">
        <f>IF(C57=Charge!$M$1,Charge!$J$1,IF(C57=Charge!$M$23,Charge!$J$23,IF(C57=Charge!$M$17,Charge!$J$17,IF(C57=Charge!$N$17,Charge!$J$17,Charge!$J$7))))</f>
        <v>G3</v>
      </c>
      <c r="C57" s="61" t="str">
        <f>VLOOKUP(A57,'1.Loading'!A:R,14,FALSE)</f>
        <v>BKK04</v>
      </c>
      <c r="D57" s="61" t="str">
        <f>VLOOKUP(A57,'1.Loading'!A:R,17,FALSE)</f>
        <v>HASLS22260901036</v>
      </c>
      <c r="E57" s="62" t="str">
        <f>VLOOKUP(D57,'2.Bookinglist'!A:CT,27,FALSE)</f>
        <v>PISIA INTERFREIGHT CO.,LTD.</v>
      </c>
      <c r="F57" s="62" t="str">
        <f>VLOOKUP(D57,'2.Bookinglist'!A:CT,28,FALSE)</f>
        <v>KANGWAL POLYESTER CO., LTD.</v>
      </c>
      <c r="G57" s="60">
        <f>VLOOKUP(D57,'2.Bookinglist'!A:E,5,FALSE)</f>
        <v>0</v>
      </c>
      <c r="H57" s="61" t="str">
        <f>VLOOKUP(D57,'2.Bookinglist'!A:CT,15,FALSE)</f>
        <v>THBKK</v>
      </c>
      <c r="I57" s="61" t="str">
        <f>VLOOKUP(D57,'2.Bookinglist'!A:CT,19,FALSE)</f>
        <v>VNSGN</v>
      </c>
      <c r="J57" s="61">
        <f>VLOOKUP(D57,'2.Bookinglist'!A:CT,26,FALSE)</f>
        <v>0</v>
      </c>
      <c r="K57" s="61" t="str">
        <f>VLOOKUP(A57,'1.Loading'!A:R,5,FALSE)</f>
        <v>45GP</v>
      </c>
      <c r="L57" s="60" t="str">
        <f>VLOOKUP(D57,'2.Bookinglist'!A:CT,85,FALSE)</f>
        <v>CY/CY</v>
      </c>
      <c r="M57" s="60" t="str">
        <f>IF(VLOOKUP(D57,'2.Bookinglist'!A:CT,43,FALSE)=0,"","DG")</f>
        <v/>
      </c>
      <c r="N57" s="60" t="str">
        <f>IF(RIGHT(K57,2)="RE","RF","")</f>
        <v/>
      </c>
      <c r="O57" s="61" t="str">
        <f>VLOOKUP(A57,'1.Loading'!A:R,3,FALSE)</f>
        <v>SWSP</v>
      </c>
      <c r="P57" s="61" t="str">
        <f>VLOOKUP(A57,'1.Loading'!A:R,4,FALSE)</f>
        <v>2609N</v>
      </c>
      <c r="Q57" s="61" t="str">
        <f>VLOOKUP(D57,'2.Bookinglist'!A:CT,12,FALSE)</f>
        <v>BTS</v>
      </c>
      <c r="R57" s="60" t="str">
        <f>IF(LEFT(K57,2)="22","20'","40'")</f>
        <v>40'</v>
      </c>
      <c r="S57" s="185" t="n"/>
      <c r="T57" s="61" t="str">
        <f>VLOOKUP(A57,'1.Loading'!A:R,2,FALSE)</f>
        <v>2026-10-08</v>
      </c>
      <c r="U57" s="63">
        <f>T57-S57</f>
        <v>46303</v>
      </c>
      <c r="V57" s="186" t="n"/>
      <c r="W57" s="61" t="str">
        <f>VLOOKUP(A57,'3.GateMove'!A:D,4,FALSE)</f>
        <v>2026-10-02</v>
      </c>
      <c r="X57" s="63">
        <f>((T57-W57)+1)</f>
        <v>7</v>
      </c>
      <c r="Y57" s="64">
        <f>IF(AND(OR(C57="BKK01",C57="BKK04"),L57="CFS/CY"),0,IF(M57="DG",1,IF(LEFT(C57,3)="LCH",7,IF(C57="BKK02",5,3))))</f>
        <v>3</v>
      </c>
      <c r="Z57" s="63">
        <f>IF(IF(AND(AC57="TML",AB57&gt;0),((T57-W57)+1)-AB57,((T57-W57)+1)-Y57)&gt;0,IF(AND(AC57="TML",AB57&gt;0),((T57-W57)+1)-AB57,((T57-W57)+1)-Y57),0)</f>
        <v>4</v>
      </c>
      <c r="AA57" s="187">
        <f>IF(AND(B57="G1",M57=""),IF(R57="20'",
VLOOKUP(Z57,Charge!$K$2:$M$5,2,TRUE)+(Z57-VLOOKUP(Z57,Charge!$K$2:$M$5,1,TRUE))*VLOOKUP(Z57,Charge!$K$2:$M$5,3,TRUE),
VLOOKUP(Z57,Charge!$N$2:$P$5,2,TRUE)+(Z57-VLOOKUP(Z57,Charge!$N$2:$P$5,1,TRUE))*VLOOKUP(Z57,Charge!$N$2:$P$5,3,TRUE)),
IF(AND(B57="G1",M57="DG"),IF(R57="20'",
VLOOKUP(Z57,Charge!$R$2:$T$5,2,TRUE)+(Z57-VLOOKUP(Z57,Charge!$R$2:$T$5,1,TRUE))*VLOOKUP(Z57,Charge!$R$2:$T$5,3,TRUE),
VLOOKUP(Z57,Charge!$U$2:$W$5,2,TRUE)+(Z57-VLOOKUP(Z57,Charge!$U$2:$W$5,1,TRUE))*VLOOKUP(Z57,Charge!$U$2:$W$5,3,TRUE)),
IF(AND(B57="G3",M57=""),IF(R57="20'",
VLOOKUP(Z57,Charge!$K$18:$M$21,2,TRUE)+(Z57-VLOOKUP(Z57,Charge!$K$18:$M$21,1,TRUE))*VLOOKUP(Z57,Charge!$K$18:$M$21,3,TRUE),
VLOOKUP(Z57,Charge!$N$18:$P$21,2,TRUE)+(Z57-VLOOKUP(Z57,Charge!$N$18:$P$21,1,TRUE))*VLOOKUP(Z57,Charge!$N$18:$P$21,3,TRUE)),
IF(AND(B57="G3",M57="DG"),IF(R57="20'",
VLOOKUP(Z57,Charge!$R$18:$T$21,2,TRUE)+(Z57-VLOOKUP(Z57,Charge!$R$18:$T$21,1,TRUE))*VLOOKUP(Z57,Charge!$R$18:$T$21,3,TRUE),
VLOOKUP(Z57,Charge!$U$18:$W$21,2,TRUE)+(Z57-VLOOKUP(Z57,Charge!$U$18:$W$21,1,TRUE))*VLOOKUP(Z57,Charge!$U$18:$W$21,3,TRUE)),
IF(AND(B57="G2",M57=""),IF(R57="20'",
VLOOKUP(Z57,Charge!$K$9:$M$12,2,TRUE)+(Z57-VLOOKUP(Z57,Charge!$K$9:$M$12,1,TRUE))*VLOOKUP(Z57,Charge!$K$9:$M$12,3,TRUE),
VLOOKUP(Z57,Charge!$N$9:$P$12,2,TRUE)+(Z57-VLOOKUP(Z57,Charge!$N$9:$P$12,1,TRUE))*VLOOKUP(Z57,Charge!$N$9:$P$12,3,TRUE)),
IF(AND(B57="G2",M57="DG"),IF(R57="20'",
VLOOKUP(Z57,Charge!$R$9:$T$12,2,TRUE)+(Z57-VLOOKUP(Z57,Charge!$R$9:$T$12,1,TRUE))*VLOOKUP(Z57,Charge!$R$9:$T$12,3,TRUE),
VLOOKUP(Z57,Charge!$U$9:$W$12,2,TRUE)+(Z57-VLOOKUP(Z57,Charge!$U$9:$W$12,1,TRUE))*VLOOKUP(Z57,Charge!$U$9:$W$12,3,TRUE)),IF(AND(B57="G4",M57=""),IF(R57="20'",Z57*Charge!$M$25,Z57*Charge!$P$25),IF(AND(B57="G4",M57="DG"),IF(R57="20'",Z57*Charge!$T$25,Z57*Charge!$W$25),0))))))))</f>
        <v>1280</v>
      </c>
      <c r="AB57" s="184" t="n"/>
      <c r="AC57" s="184" t="n"/>
      <c r="AD57" s="60">
        <f>IF(M57="DG",3,IF(N57="RF",3,5))+IF(AND(LEFT(C57,3)="BKK",N57="RF",Q57="KTS"),1,0)+IF(Q57="KHS",1,0)</f>
        <v>5</v>
      </c>
      <c r="AE57" s="63">
        <f>(T57-V57)+1</f>
        <v>46304</v>
      </c>
      <c r="AF57" s="63">
        <f>IF(AB57&gt;IF((V57-W57)&gt;0,V57-W57,0),0,IF(AB57&lt;IF((V57-W57)&gt;0,V57-W57,0),IF((V57-W57)&gt;0,V57-W57,0)-AB57,IF((V57-W57)&gt;0,V57-W57,0)))</f>
        <v>0</v>
      </c>
      <c r="AG57" s="187">
        <f>IF(AND(M57=""),IF(R57="20'",
VLOOKUP(AF57,Charge!$K$31:$M$34,2,TRUE)+(AF57-VLOOKUP(AF57,Charge!$K$31:$M$34,1,TRUE))*VLOOKUP(AF57,Charge!$K$31:$M$34,3,TRUE),
VLOOKUP(AF57,Charge!$N$31:$P$34,2,TRUE)+(AF57-VLOOKUP(AF57,Charge!$N$31:$P$34,1,TRUE))*VLOOKUP(AF57,Charge!$N$31:$P$34,3,TRUE)),
IF(AND(M57="DG"),IF(R57="20'",
VLOOKUP(AF57,Charge!$R$31:$T$34,2,TRUE)+(AF57-VLOOKUP(AF57,Charge!$R$31:$T$34,1,TRUE))*VLOOKUP(AF57,Charge!$R$31:$T$34,3,TRUE),
VLOOKUP(AF57,Charge!$U$31:$W$34,2,TRUE)+(AF57-VLOOKUP(AF57,Charge!$U$31:$W$34,1,TRUE))*VLOOKUP(AF57,Charge!$U$31:$W$34,3,TRUE)),0))</f>
        <v>0</v>
      </c>
      <c r="AH57" s="65" t="n"/>
      <c r="AI57" s="65">
        <f>AA57-AH57</f>
        <v>1280</v>
      </c>
      <c r="AJ57" s="188" t="n"/>
      <c r="AK57" s="62" t="str">
        <f>VLOOKUP(D57,'2.Bookinglist'!A:CT,40,FALSE)</f>
        <v>Nannaapust Sukporntaweewat</v>
      </c>
      <c r="AL57" s="60" t="str">
        <f>VLOOKUP(D57,'2.Bookinglist'!A:CW,101,FALSE)</f>
        <v>2026-10-05</v>
      </c>
      <c r="AM57" s="60" t="str">
        <f>VLOOKUP(D57,'2.Bookinglist'!A:BK,63,FALSE)</f>
        <v>BKK25</v>
      </c>
      <c r="AN57" s="62" t="str">
        <f>VLOOKUP(D57,'2.Bookinglist'!A:AZ,52,FALSE)</f>
        <v>Pickup : 2026-10-01, Return : 2026-10-02 
7X40'HQ CY AT B.C. DD. 01/10 
1X40'HQ CY AT SMART DD. 01/10 </v>
      </c>
      <c r="AO57" s="62">
        <f>VLOOKUP(D57,'2.Bookinglist'!A:CY,103,FALSE)</f>
        <v>0</v>
      </c>
    </row>
    <row r="58" ht="12.95" customHeight="1">
      <c r="A58" s="96" t="inlineStr">
        <is>
          <t>HLHU8401562</t>
        </is>
      </c>
      <c r="B58" s="184" t="str">
        <f>IF(C58=Charge!$M$1,Charge!$J$1,IF(C58=Charge!$M$23,Charge!$J$23,IF(C58=Charge!$M$17,Charge!$J$17,IF(C58=Charge!$N$17,Charge!$J$17,Charge!$J$7))))</f>
        <v>G3</v>
      </c>
      <c r="C58" s="61" t="str">
        <f>VLOOKUP(A58,'1.Loading'!A:R,14,FALSE)</f>
        <v>BKK04</v>
      </c>
      <c r="D58" s="61" t="str">
        <f>VLOOKUP(A58,'1.Loading'!A:R,17,FALSE)</f>
        <v>HASLS22260900586</v>
      </c>
      <c r="E58" s="62" t="str">
        <f>VLOOKUP(D58,'2.Bookinglist'!A:CT,27,FALSE)</f>
        <v>BIRLA CARBON (THAILAND) PUBLIC COMPANY LIMITED</v>
      </c>
      <c r="F58" s="62" t="str">
        <f>VLOOKUP(D58,'2.Bookinglist'!A:CT,28,FALSE)</f>
        <v>BIRLA CARBON (THAILAND) PUBLIC COMPANY LIMITED</v>
      </c>
      <c r="G58" s="60">
        <f>VLOOKUP(D58,'2.Bookinglist'!A:E,5,FALSE)</f>
        <v>0</v>
      </c>
      <c r="H58" s="61" t="str">
        <f>VLOOKUP(D58,'2.Bookinglist'!A:CT,15,FALSE)</f>
        <v>THBKK</v>
      </c>
      <c r="I58" s="61" t="str">
        <f>VLOOKUP(D58,'2.Bookinglist'!A:CT,19,FALSE)</f>
        <v>VNSGN</v>
      </c>
      <c r="J58" s="61">
        <f>VLOOKUP(D58,'2.Bookinglist'!A:CT,26,FALSE)</f>
        <v>0</v>
      </c>
      <c r="K58" s="61" t="str">
        <f>VLOOKUP(A58,'1.Loading'!A:R,5,FALSE)</f>
        <v>45GP</v>
      </c>
      <c r="L58" s="60" t="str">
        <f>VLOOKUP(D58,'2.Bookinglist'!A:CT,85,FALSE)</f>
        <v>CY/CY</v>
      </c>
      <c r="M58" s="60" t="str">
        <f>IF(VLOOKUP(D58,'2.Bookinglist'!A:CT,43,FALSE)=0,"","DG")</f>
        <v/>
      </c>
      <c r="N58" s="60" t="str">
        <f>IF(RIGHT(K58,2)="RE","RF","")</f>
        <v/>
      </c>
      <c r="O58" s="61" t="str">
        <f>VLOOKUP(A58,'1.Loading'!A:R,3,FALSE)</f>
        <v>SWSP</v>
      </c>
      <c r="P58" s="61" t="str">
        <f>VLOOKUP(A58,'1.Loading'!A:R,4,FALSE)</f>
        <v>2609N</v>
      </c>
      <c r="Q58" s="61" t="str">
        <f>VLOOKUP(D58,'2.Bookinglist'!A:CT,12,FALSE)</f>
        <v>BTS</v>
      </c>
      <c r="R58" s="60" t="str">
        <f>IF(LEFT(K58,2)="22","20'","40'")</f>
        <v>40'</v>
      </c>
      <c r="S58" s="185" t="n"/>
      <c r="T58" s="61" t="str">
        <f>VLOOKUP(A58,'1.Loading'!A:R,2,FALSE)</f>
        <v>2026-10-08</v>
      </c>
      <c r="U58" s="63">
        <f>T58-S58</f>
        <v>46303</v>
      </c>
      <c r="V58" s="186" t="n"/>
      <c r="W58" s="61" t="str">
        <f>VLOOKUP(A58,'3.GateMove'!A:D,4,FALSE)</f>
        <v>2026-10-03</v>
      </c>
      <c r="X58" s="63">
        <f>((T58-W58)+1)</f>
        <v>6</v>
      </c>
      <c r="Y58" s="64">
        <f>IF(AND(OR(C58="BKK01",C58="BKK04"),L58="CFS/CY"),0,IF(M58="DG",1,IF(LEFT(C58,3)="LCH",7,IF(C58="BKK02",5,3))))</f>
        <v>3</v>
      </c>
      <c r="Z58" s="63">
        <f>IF(IF(AND(AC58="TML",AB58&gt;0),((T58-W58)+1)-AB58,((T58-W58)+1)-Y58)&gt;0,IF(AND(AC58="TML",AB58&gt;0),((T58-W58)+1)-AB58,((T58-W58)+1)-Y58),0)</f>
        <v>3</v>
      </c>
      <c r="AA58" s="187">
        <f>IF(AND(B58="G1",M58=""),IF(R58="20'",
VLOOKUP(Z58,Charge!$K$2:$M$5,2,TRUE)+(Z58-VLOOKUP(Z58,Charge!$K$2:$M$5,1,TRUE))*VLOOKUP(Z58,Charge!$K$2:$M$5,3,TRUE),
VLOOKUP(Z58,Charge!$N$2:$P$5,2,TRUE)+(Z58-VLOOKUP(Z58,Charge!$N$2:$P$5,1,TRUE))*VLOOKUP(Z58,Charge!$N$2:$P$5,3,TRUE)),
IF(AND(B58="G1",M58="DG"),IF(R58="20'",
VLOOKUP(Z58,Charge!$R$2:$T$5,2,TRUE)+(Z58-VLOOKUP(Z58,Charge!$R$2:$T$5,1,TRUE))*VLOOKUP(Z58,Charge!$R$2:$T$5,3,TRUE),
VLOOKUP(Z58,Charge!$U$2:$W$5,2,TRUE)+(Z58-VLOOKUP(Z58,Charge!$U$2:$W$5,1,TRUE))*VLOOKUP(Z58,Charge!$U$2:$W$5,3,TRUE)),
IF(AND(B58="G3",M58=""),IF(R58="20'",
VLOOKUP(Z58,Charge!$K$18:$M$21,2,TRUE)+(Z58-VLOOKUP(Z58,Charge!$K$18:$M$21,1,TRUE))*VLOOKUP(Z58,Charge!$K$18:$M$21,3,TRUE),
VLOOKUP(Z58,Charge!$N$18:$P$21,2,TRUE)+(Z58-VLOOKUP(Z58,Charge!$N$18:$P$21,1,TRUE))*VLOOKUP(Z58,Charge!$N$18:$P$21,3,TRUE)),
IF(AND(B58="G3",M58="DG"),IF(R58="20'",
VLOOKUP(Z58,Charge!$R$18:$T$21,2,TRUE)+(Z58-VLOOKUP(Z58,Charge!$R$18:$T$21,1,TRUE))*VLOOKUP(Z58,Charge!$R$18:$T$21,3,TRUE),
VLOOKUP(Z58,Charge!$U$18:$W$21,2,TRUE)+(Z58-VLOOKUP(Z58,Charge!$U$18:$W$21,1,TRUE))*VLOOKUP(Z58,Charge!$U$18:$W$21,3,TRUE)),
IF(AND(B58="G2",M58=""),IF(R58="20'",
VLOOKUP(Z58,Charge!$K$9:$M$12,2,TRUE)+(Z58-VLOOKUP(Z58,Charge!$K$9:$M$12,1,TRUE))*VLOOKUP(Z58,Charge!$K$9:$M$12,3,TRUE),
VLOOKUP(Z58,Charge!$N$9:$P$12,2,TRUE)+(Z58-VLOOKUP(Z58,Charge!$N$9:$P$12,1,TRUE))*VLOOKUP(Z58,Charge!$N$9:$P$12,3,TRUE)),
IF(AND(B58="G2",M58="DG"),IF(R58="20'",
VLOOKUP(Z58,Charge!$R$9:$T$12,2,TRUE)+(Z58-VLOOKUP(Z58,Charge!$R$9:$T$12,1,TRUE))*VLOOKUP(Z58,Charge!$R$9:$T$12,3,TRUE),
VLOOKUP(Z58,Charge!$U$9:$W$12,2,TRUE)+(Z58-VLOOKUP(Z58,Charge!$U$9:$W$12,1,TRUE))*VLOOKUP(Z58,Charge!$U$9:$W$12,3,TRUE)),IF(AND(B58="G4",M58=""),IF(R58="20'",Z58*Charge!$M$25,Z58*Charge!$P$25),IF(AND(B58="G4",M58="DG"),IF(R58="20'",Z58*Charge!$T$25,Z58*Charge!$W$25),0))))))))</f>
        <v>960</v>
      </c>
      <c r="AB58" s="184" t="n"/>
      <c r="AC58" s="184" t="n"/>
      <c r="AD58" s="60">
        <f>IF(M58="DG",3,IF(N58="RF",3,5))+IF(AND(LEFT(C58,3)="BKK",N58="RF",Q58="KTS"),1,0)+IF(Q58="KHS",1,0)</f>
        <v>5</v>
      </c>
      <c r="AE58" s="63">
        <f>(T58-V58)+1</f>
        <v>46304</v>
      </c>
      <c r="AF58" s="63">
        <f>IF(AB58&gt;IF((V58-W58)&gt;0,V58-W58,0),0,IF(AB58&lt;IF((V58-W58)&gt;0,V58-W58,0),IF((V58-W58)&gt;0,V58-W58,0)-AB58,IF((V58-W58)&gt;0,V58-W58,0)))</f>
        <v>0</v>
      </c>
      <c r="AG58" s="187">
        <f>IF(AND(M58=""),IF(R58="20'",
VLOOKUP(AF58,Charge!$K$31:$M$34,2,TRUE)+(AF58-VLOOKUP(AF58,Charge!$K$31:$M$34,1,TRUE))*VLOOKUP(AF58,Charge!$K$31:$M$34,3,TRUE),
VLOOKUP(AF58,Charge!$N$31:$P$34,2,TRUE)+(AF58-VLOOKUP(AF58,Charge!$N$31:$P$34,1,TRUE))*VLOOKUP(AF58,Charge!$N$31:$P$34,3,TRUE)),
IF(AND(M58="DG"),IF(R58="20'",
VLOOKUP(AF58,Charge!$R$31:$T$34,2,TRUE)+(AF58-VLOOKUP(AF58,Charge!$R$31:$T$34,1,TRUE))*VLOOKUP(AF58,Charge!$R$31:$T$34,3,TRUE),
VLOOKUP(AF58,Charge!$U$31:$W$34,2,TRUE)+(AF58-VLOOKUP(AF58,Charge!$U$31:$W$34,1,TRUE))*VLOOKUP(AF58,Charge!$U$31:$W$34,3,TRUE)),0))</f>
        <v>0</v>
      </c>
      <c r="AH58" s="65" t="n"/>
      <c r="AI58" s="65">
        <f>AA58-AH58</f>
        <v>960</v>
      </c>
      <c r="AJ58" s="188" t="n"/>
      <c r="AK58" s="62" t="str">
        <f>VLOOKUP(D58,'2.Bookinglist'!A:CT,40,FALSE)</f>
        <v>Dharaporn</v>
      </c>
      <c r="AL58" s="60" t="str">
        <f>VLOOKUP(D58,'2.Bookinglist'!A:CW,101,FALSE)</f>
        <v>2026-10-07</v>
      </c>
      <c r="AM58" s="60" t="str">
        <f>VLOOKUP(D58,'2.Bookinglist'!A:BK,63,FALSE)</f>
        <v>BKK27</v>
      </c>
      <c r="AN58" s="62" t="str">
        <f>VLOOKUP(D58,'2.Bookinglist'!A:AZ,52,FALSE)</f>
        <v>Pickup : 2026-10-01, Return : 2026-10-02 (1ST RTN DD: 03/10/26 WO/RENT)</v>
      </c>
      <c r="AO58" s="62">
        <f>VLOOKUP(D58,'2.Bookinglist'!A:CY,103,FALSE)</f>
        <v>0</v>
      </c>
    </row>
    <row r="59" ht="12.95" customHeight="1">
      <c r="A59" s="96" t="inlineStr">
        <is>
          <t>HLHU8439260</t>
        </is>
      </c>
      <c r="B59" s="184" t="str">
        <f>IF(C59=Charge!$M$1,Charge!$J$1,IF(C59=Charge!$M$23,Charge!$J$23,IF(C59=Charge!$M$17,Charge!$J$17,IF(C59=Charge!$N$17,Charge!$J$17,Charge!$J$7))))</f>
        <v>G3</v>
      </c>
      <c r="C59" s="61" t="str">
        <f>VLOOKUP(A59,'1.Loading'!A:R,14,FALSE)</f>
        <v>BKK04</v>
      </c>
      <c r="D59" s="61" t="str">
        <f>VLOOKUP(A59,'1.Loading'!A:R,17,FALSE)</f>
        <v>HASLS22260901811</v>
      </c>
      <c r="E59" s="62" t="str">
        <f>VLOOKUP(D59,'2.Bookinglist'!A:CT,27,FALSE)</f>
        <v>BRIO LOGISTICS (THAILAND) CO., LTD.</v>
      </c>
      <c r="F59" s="62" t="str">
        <f>VLOOKUP(D59,'2.Bookinglist'!A:CT,28,FALSE)</f>
        <v>GRIFFITH FOODS LTD.</v>
      </c>
      <c r="G59" s="60">
        <f>VLOOKUP(D59,'2.Bookinglist'!A:E,5,FALSE)</f>
        <v>0</v>
      </c>
      <c r="H59" s="61" t="str">
        <f>VLOOKUP(D59,'2.Bookinglist'!A:CT,15,FALSE)</f>
        <v>THBKK</v>
      </c>
      <c r="I59" s="61" t="str">
        <f>VLOOKUP(D59,'2.Bookinglist'!A:CT,19,FALSE)</f>
        <v>VNSGN</v>
      </c>
      <c r="J59" s="61">
        <f>VLOOKUP(D59,'2.Bookinglist'!A:CT,26,FALSE)</f>
        <v>0</v>
      </c>
      <c r="K59" s="61" t="str">
        <f>VLOOKUP(A59,'1.Loading'!A:R,5,FALSE)</f>
        <v>45GP</v>
      </c>
      <c r="L59" s="60" t="str">
        <f>VLOOKUP(D59,'2.Bookinglist'!A:CT,85,FALSE)</f>
        <v>CY/CY</v>
      </c>
      <c r="M59" s="60" t="str">
        <f>IF(VLOOKUP(D59,'2.Bookinglist'!A:CT,43,FALSE)=0,"","DG")</f>
        <v/>
      </c>
      <c r="N59" s="60" t="str">
        <f>IF(RIGHT(K59,2)="RE","RF","")</f>
        <v/>
      </c>
      <c r="O59" s="61" t="str">
        <f>VLOOKUP(A59,'1.Loading'!A:R,3,FALSE)</f>
        <v>SWSP</v>
      </c>
      <c r="P59" s="61" t="str">
        <f>VLOOKUP(A59,'1.Loading'!A:R,4,FALSE)</f>
        <v>2609N</v>
      </c>
      <c r="Q59" s="61" t="str">
        <f>VLOOKUP(D59,'2.Bookinglist'!A:CT,12,FALSE)</f>
        <v>BTS</v>
      </c>
      <c r="R59" s="60" t="str">
        <f>IF(LEFT(K59,2)="22","20'","40'")</f>
        <v>40'</v>
      </c>
      <c r="S59" s="185" t="n"/>
      <c r="T59" s="61" t="str">
        <f>VLOOKUP(A59,'1.Loading'!A:R,2,FALSE)</f>
        <v>2026-10-08</v>
      </c>
      <c r="U59" s="63">
        <f>T59-S59</f>
        <v>46303</v>
      </c>
      <c r="V59" s="186" t="n"/>
      <c r="W59" s="61" t="str">
        <f>VLOOKUP(A59,'3.GateMove'!A:D,4,FALSE)</f>
        <v>2026-10-02</v>
      </c>
      <c r="X59" s="63">
        <f>((T59-W59)+1)</f>
        <v>7</v>
      </c>
      <c r="Y59" s="64">
        <f>IF(AND(OR(C59="BKK01",C59="BKK04"),L59="CFS/CY"),0,IF(M59="DG",1,IF(LEFT(C59,3)="LCH",7,IF(C59="BKK02",5,3))))</f>
        <v>3</v>
      </c>
      <c r="Z59" s="63">
        <f>IF(IF(AND(AC59="TML",AB59&gt;0),((T59-W59)+1)-AB59,((T59-W59)+1)-Y59)&gt;0,IF(AND(AC59="TML",AB59&gt;0),((T59-W59)+1)-AB59,((T59-W59)+1)-Y59),0)</f>
        <v>4</v>
      </c>
      <c r="AA59" s="187">
        <f>IF(AND(B59="G1",M59=""),IF(R59="20'",
VLOOKUP(Z59,Charge!$K$2:$M$5,2,TRUE)+(Z59-VLOOKUP(Z59,Charge!$K$2:$M$5,1,TRUE))*VLOOKUP(Z59,Charge!$K$2:$M$5,3,TRUE),
VLOOKUP(Z59,Charge!$N$2:$P$5,2,TRUE)+(Z59-VLOOKUP(Z59,Charge!$N$2:$P$5,1,TRUE))*VLOOKUP(Z59,Charge!$N$2:$P$5,3,TRUE)),
IF(AND(B59="G1",M59="DG"),IF(R59="20'",
VLOOKUP(Z59,Charge!$R$2:$T$5,2,TRUE)+(Z59-VLOOKUP(Z59,Charge!$R$2:$T$5,1,TRUE))*VLOOKUP(Z59,Charge!$R$2:$T$5,3,TRUE),
VLOOKUP(Z59,Charge!$U$2:$W$5,2,TRUE)+(Z59-VLOOKUP(Z59,Charge!$U$2:$W$5,1,TRUE))*VLOOKUP(Z59,Charge!$U$2:$W$5,3,TRUE)),
IF(AND(B59="G3",M59=""),IF(R59="20'",
VLOOKUP(Z59,Charge!$K$18:$M$21,2,TRUE)+(Z59-VLOOKUP(Z59,Charge!$K$18:$M$21,1,TRUE))*VLOOKUP(Z59,Charge!$K$18:$M$21,3,TRUE),
VLOOKUP(Z59,Charge!$N$18:$P$21,2,TRUE)+(Z59-VLOOKUP(Z59,Charge!$N$18:$P$21,1,TRUE))*VLOOKUP(Z59,Charge!$N$18:$P$21,3,TRUE)),
IF(AND(B59="G3",M59="DG"),IF(R59="20'",
VLOOKUP(Z59,Charge!$R$18:$T$21,2,TRUE)+(Z59-VLOOKUP(Z59,Charge!$R$18:$T$21,1,TRUE))*VLOOKUP(Z59,Charge!$R$18:$T$21,3,TRUE),
VLOOKUP(Z59,Charge!$U$18:$W$21,2,TRUE)+(Z59-VLOOKUP(Z59,Charge!$U$18:$W$21,1,TRUE))*VLOOKUP(Z59,Charge!$U$18:$W$21,3,TRUE)),
IF(AND(B59="G2",M59=""),IF(R59="20'",
VLOOKUP(Z59,Charge!$K$9:$M$12,2,TRUE)+(Z59-VLOOKUP(Z59,Charge!$K$9:$M$12,1,TRUE))*VLOOKUP(Z59,Charge!$K$9:$M$12,3,TRUE),
VLOOKUP(Z59,Charge!$N$9:$P$12,2,TRUE)+(Z59-VLOOKUP(Z59,Charge!$N$9:$P$12,1,TRUE))*VLOOKUP(Z59,Charge!$N$9:$P$12,3,TRUE)),
IF(AND(B59="G2",M59="DG"),IF(R59="20'",
VLOOKUP(Z59,Charge!$R$9:$T$12,2,TRUE)+(Z59-VLOOKUP(Z59,Charge!$R$9:$T$12,1,TRUE))*VLOOKUP(Z59,Charge!$R$9:$T$12,3,TRUE),
VLOOKUP(Z59,Charge!$U$9:$W$12,2,TRUE)+(Z59-VLOOKUP(Z59,Charge!$U$9:$W$12,1,TRUE))*VLOOKUP(Z59,Charge!$U$9:$W$12,3,TRUE)),IF(AND(B59="G4",M59=""),IF(R59="20'",Z59*Charge!$M$25,Z59*Charge!$P$25),IF(AND(B59="G4",M59="DG"),IF(R59="20'",Z59*Charge!$T$25,Z59*Charge!$W$25),0))))))))</f>
        <v>1280</v>
      </c>
      <c r="AB59" s="184" t="n"/>
      <c r="AC59" s="184" t="n"/>
      <c r="AD59" s="60">
        <f>IF(M59="DG",3,IF(N59="RF",3,5))+IF(AND(LEFT(C59,3)="BKK",N59="RF",Q59="KTS"),1,0)+IF(Q59="KHS",1,0)</f>
        <v>5</v>
      </c>
      <c r="AE59" s="63">
        <f>(T59-V59)+1</f>
        <v>46304</v>
      </c>
      <c r="AF59" s="63">
        <f>IF(AB59&gt;IF((V59-W59)&gt;0,V59-W59,0),0,IF(AB59&lt;IF((V59-W59)&gt;0,V59-W59,0),IF((V59-W59)&gt;0,V59-W59,0)-AB59,IF((V59-W59)&gt;0,V59-W59,0)))</f>
        <v>0</v>
      </c>
      <c r="AG59" s="187">
        <f>IF(AND(M59=""),IF(R59="20'",
VLOOKUP(AF59,Charge!$K$31:$M$34,2,TRUE)+(AF59-VLOOKUP(AF59,Charge!$K$31:$M$34,1,TRUE))*VLOOKUP(AF59,Charge!$K$31:$M$34,3,TRUE),
VLOOKUP(AF59,Charge!$N$31:$P$34,2,TRUE)+(AF59-VLOOKUP(AF59,Charge!$N$31:$P$34,1,TRUE))*VLOOKUP(AF59,Charge!$N$31:$P$34,3,TRUE)),
IF(AND(M59="DG"),IF(R59="20'",
VLOOKUP(AF59,Charge!$R$31:$T$34,2,TRUE)+(AF59-VLOOKUP(AF59,Charge!$R$31:$T$34,1,TRUE))*VLOOKUP(AF59,Charge!$R$31:$T$34,3,TRUE),
VLOOKUP(AF59,Charge!$U$31:$W$34,2,TRUE)+(AF59-VLOOKUP(AF59,Charge!$U$31:$W$34,1,TRUE))*VLOOKUP(AF59,Charge!$U$31:$W$34,3,TRUE)),0))</f>
        <v>0</v>
      </c>
      <c r="AH59" s="65" t="n"/>
      <c r="AI59" s="65">
        <f>AA59-AH59</f>
        <v>1280</v>
      </c>
      <c r="AJ59" s="188" t="n"/>
      <c r="AK59" s="62" t="str">
        <f>VLOOKUP(D59,'2.Bookinglist'!A:CT,40,FALSE)</f>
        <v>Giang Chi Tuong</v>
      </c>
      <c r="AL59" s="60" t="str">
        <f>VLOOKUP(D59,'2.Bookinglist'!A:CW,101,FALSE)</f>
        <v>2026-10-05</v>
      </c>
      <c r="AM59" s="60" t="str">
        <f>VLOOKUP(D59,'2.Bookinglist'!A:BK,63,FALSE)</f>
        <v>BKK27</v>
      </c>
      <c r="AN59" s="62" t="str">
        <f>VLOOKUP(D59,'2.Bookinglist'!A:AZ,52,FALSE)</f>
        <v>Pickup : 2026-10-02, Return : 2026-10-02</v>
      </c>
      <c r="AO59" s="62">
        <f>VLOOKUP(D59,'2.Bookinglist'!A:CY,103,FALSE)</f>
        <v>0</v>
      </c>
    </row>
    <row r="60" ht="12.95" customHeight="1">
      <c r="A60" s="96" t="inlineStr">
        <is>
          <t>HLHU8451603</t>
        </is>
      </c>
      <c r="B60" s="184" t="str">
        <f>IF(C60=Charge!$M$1,Charge!$J$1,IF(C60=Charge!$M$23,Charge!$J$23,IF(C60=Charge!$M$17,Charge!$J$17,IF(C60=Charge!$N$17,Charge!$J$17,Charge!$J$7))))</f>
        <v>G3</v>
      </c>
      <c r="C60" s="61" t="str">
        <f>VLOOKUP(A60,'1.Loading'!A:R,14,FALSE)</f>
        <v>BKK04</v>
      </c>
      <c r="D60" s="61" t="str">
        <f>VLOOKUP(A60,'1.Loading'!A:R,17,FALSE)</f>
        <v>HASLS22260901640</v>
      </c>
      <c r="E60" s="62" t="str">
        <f>VLOOKUP(D60,'2.Bookinglist'!A:CT,27,FALSE)</f>
        <v>SDS-ACUTECH CO., LTD.</v>
      </c>
      <c r="F60" s="62" t="str">
        <f>VLOOKUP(D60,'2.Bookinglist'!A:CT,28,FALSE)</f>
        <v>APEX CIRCUIT (THAILAND) CO., LTD.</v>
      </c>
      <c r="G60" s="60">
        <f>VLOOKUP(D60,'2.Bookinglist'!A:E,5,FALSE)</f>
        <v>0</v>
      </c>
      <c r="H60" s="61" t="str">
        <f>VLOOKUP(D60,'2.Bookinglist'!A:CT,15,FALSE)</f>
        <v>THBKK</v>
      </c>
      <c r="I60" s="61" t="str">
        <f>VLOOKUP(D60,'2.Bookinglist'!A:CT,19,FALSE)</f>
        <v>VNSGN</v>
      </c>
      <c r="J60" s="61">
        <f>VLOOKUP(D60,'2.Bookinglist'!A:CT,26,FALSE)</f>
        <v>0</v>
      </c>
      <c r="K60" s="61" t="str">
        <f>VLOOKUP(A60,'1.Loading'!A:R,5,FALSE)</f>
        <v>45GP</v>
      </c>
      <c r="L60" s="60" t="str">
        <f>VLOOKUP(D60,'2.Bookinglist'!A:CT,85,FALSE)</f>
        <v>CY/CY</v>
      </c>
      <c r="M60" s="60" t="str">
        <f>IF(VLOOKUP(D60,'2.Bookinglist'!A:CT,43,FALSE)=0,"","DG")</f>
        <v/>
      </c>
      <c r="N60" s="60" t="str">
        <f>IF(RIGHT(K60,2)="RE","RF","")</f>
        <v/>
      </c>
      <c r="O60" s="61" t="str">
        <f>VLOOKUP(A60,'1.Loading'!A:R,3,FALSE)</f>
        <v>SWSP</v>
      </c>
      <c r="P60" s="61" t="str">
        <f>VLOOKUP(A60,'1.Loading'!A:R,4,FALSE)</f>
        <v>2609N</v>
      </c>
      <c r="Q60" s="61" t="str">
        <f>VLOOKUP(D60,'2.Bookinglist'!A:CT,12,FALSE)</f>
        <v>BTS</v>
      </c>
      <c r="R60" s="60" t="str">
        <f>IF(LEFT(K60,2)="22","20'","40'")</f>
        <v>40'</v>
      </c>
      <c r="S60" s="185" t="n"/>
      <c r="T60" s="61" t="str">
        <f>VLOOKUP(A60,'1.Loading'!A:R,2,FALSE)</f>
        <v>2026-10-08</v>
      </c>
      <c r="U60" s="63">
        <f>T60-S60</f>
        <v>46303</v>
      </c>
      <c r="V60" s="186" t="n"/>
      <c r="W60" s="61" t="str">
        <f>VLOOKUP(A60,'3.GateMove'!A:D,4,FALSE)</f>
        <v>2026-10-03</v>
      </c>
      <c r="X60" s="63">
        <f>((T60-W60)+1)</f>
        <v>6</v>
      </c>
      <c r="Y60" s="64">
        <f>IF(AND(OR(C60="BKK01",C60="BKK04"),L60="CFS/CY"),0,IF(M60="DG",1,IF(LEFT(C60,3)="LCH",7,IF(C60="BKK02",5,3))))</f>
        <v>3</v>
      </c>
      <c r="Z60" s="63">
        <f>IF(IF(AND(AC60="TML",AB60&gt;0),((T60-W60)+1)-AB60,((T60-W60)+1)-Y60)&gt;0,IF(AND(AC60="TML",AB60&gt;0),((T60-W60)+1)-AB60,((T60-W60)+1)-Y60),0)</f>
        <v>3</v>
      </c>
      <c r="AA60" s="187">
        <f>IF(AND(B60="G1",M60=""),IF(R60="20'",
VLOOKUP(Z60,Charge!$K$2:$M$5,2,TRUE)+(Z60-VLOOKUP(Z60,Charge!$K$2:$M$5,1,TRUE))*VLOOKUP(Z60,Charge!$K$2:$M$5,3,TRUE),
VLOOKUP(Z60,Charge!$N$2:$P$5,2,TRUE)+(Z60-VLOOKUP(Z60,Charge!$N$2:$P$5,1,TRUE))*VLOOKUP(Z60,Charge!$N$2:$P$5,3,TRUE)),
IF(AND(B60="G1",M60="DG"),IF(R60="20'",
VLOOKUP(Z60,Charge!$R$2:$T$5,2,TRUE)+(Z60-VLOOKUP(Z60,Charge!$R$2:$T$5,1,TRUE))*VLOOKUP(Z60,Charge!$R$2:$T$5,3,TRUE),
VLOOKUP(Z60,Charge!$U$2:$W$5,2,TRUE)+(Z60-VLOOKUP(Z60,Charge!$U$2:$W$5,1,TRUE))*VLOOKUP(Z60,Charge!$U$2:$W$5,3,TRUE)),
IF(AND(B60="G3",M60=""),IF(R60="20'",
VLOOKUP(Z60,Charge!$K$18:$M$21,2,TRUE)+(Z60-VLOOKUP(Z60,Charge!$K$18:$M$21,1,TRUE))*VLOOKUP(Z60,Charge!$K$18:$M$21,3,TRUE),
VLOOKUP(Z60,Charge!$N$18:$P$21,2,TRUE)+(Z60-VLOOKUP(Z60,Charge!$N$18:$P$21,1,TRUE))*VLOOKUP(Z60,Charge!$N$18:$P$21,3,TRUE)),
IF(AND(B60="G3",M60="DG"),IF(R60="20'",
VLOOKUP(Z60,Charge!$R$18:$T$21,2,TRUE)+(Z60-VLOOKUP(Z60,Charge!$R$18:$T$21,1,TRUE))*VLOOKUP(Z60,Charge!$R$18:$T$21,3,TRUE),
VLOOKUP(Z60,Charge!$U$18:$W$21,2,TRUE)+(Z60-VLOOKUP(Z60,Charge!$U$18:$W$21,1,TRUE))*VLOOKUP(Z60,Charge!$U$18:$W$21,3,TRUE)),
IF(AND(B60="G2",M60=""),IF(R60="20'",
VLOOKUP(Z60,Charge!$K$9:$M$12,2,TRUE)+(Z60-VLOOKUP(Z60,Charge!$K$9:$M$12,1,TRUE))*VLOOKUP(Z60,Charge!$K$9:$M$12,3,TRUE),
VLOOKUP(Z60,Charge!$N$9:$P$12,2,TRUE)+(Z60-VLOOKUP(Z60,Charge!$N$9:$P$12,1,TRUE))*VLOOKUP(Z60,Charge!$N$9:$P$12,3,TRUE)),
IF(AND(B60="G2",M60="DG"),IF(R60="20'",
VLOOKUP(Z60,Charge!$R$9:$T$12,2,TRUE)+(Z60-VLOOKUP(Z60,Charge!$R$9:$T$12,1,TRUE))*VLOOKUP(Z60,Charge!$R$9:$T$12,3,TRUE),
VLOOKUP(Z60,Charge!$U$9:$W$12,2,TRUE)+(Z60-VLOOKUP(Z60,Charge!$U$9:$W$12,1,TRUE))*VLOOKUP(Z60,Charge!$U$9:$W$12,3,TRUE)),IF(AND(B60="G4",M60=""),IF(R60="20'",Z60*Charge!$M$25,Z60*Charge!$P$25),IF(AND(B60="G4",M60="DG"),IF(R60="20'",Z60*Charge!$T$25,Z60*Charge!$W$25),0))))))))</f>
        <v>960</v>
      </c>
      <c r="AB60" s="184" t="n"/>
      <c r="AC60" s="184" t="n"/>
      <c r="AD60" s="60">
        <f>IF(M60="DG",3,IF(N60="RF",3,5))+IF(AND(LEFT(C60,3)="BKK",N60="RF",Q60="KTS"),1,0)+IF(Q60="KHS",1,0)</f>
        <v>5</v>
      </c>
      <c r="AE60" s="63">
        <f>(T60-V60)+1</f>
        <v>46304</v>
      </c>
      <c r="AF60" s="63">
        <f>IF(AB60&gt;IF((V60-W60)&gt;0,V60-W60,0),0,IF(AB60&lt;IF((V60-W60)&gt;0,V60-W60,0),IF((V60-W60)&gt;0,V60-W60,0)-AB60,IF((V60-W60)&gt;0,V60-W60,0)))</f>
        <v>0</v>
      </c>
      <c r="AG60" s="187">
        <f>IF(AND(M60=""),IF(R60="20'",
VLOOKUP(AF60,Charge!$K$31:$M$34,2,TRUE)+(AF60-VLOOKUP(AF60,Charge!$K$31:$M$34,1,TRUE))*VLOOKUP(AF60,Charge!$K$31:$M$34,3,TRUE),
VLOOKUP(AF60,Charge!$N$31:$P$34,2,TRUE)+(AF60-VLOOKUP(AF60,Charge!$N$31:$P$34,1,TRUE))*VLOOKUP(AF60,Charge!$N$31:$P$34,3,TRUE)),
IF(AND(M60="DG"),IF(R60="20'",
VLOOKUP(AF60,Charge!$R$31:$T$34,2,TRUE)+(AF60-VLOOKUP(AF60,Charge!$R$31:$T$34,1,TRUE))*VLOOKUP(AF60,Charge!$R$31:$T$34,3,TRUE),
VLOOKUP(AF60,Charge!$U$31:$W$34,2,TRUE)+(AF60-VLOOKUP(AF60,Charge!$U$31:$W$34,1,TRUE))*VLOOKUP(AF60,Charge!$U$31:$W$34,3,TRUE)),0))</f>
        <v>0</v>
      </c>
      <c r="AH60" s="65" t="n"/>
      <c r="AI60" s="65">
        <f>AA60-AH60</f>
        <v>960</v>
      </c>
      <c r="AJ60" s="188" t="n"/>
      <c r="AK60" s="62" t="str">
        <f>VLOOKUP(D60,'2.Bookinglist'!A:CT,40,FALSE)</f>
        <v>LEE SEUNG MIN</v>
      </c>
      <c r="AL60" s="60" t="str">
        <f>VLOOKUP(D60,'2.Bookinglist'!A:CW,101,FALSE)</f>
        <v>2026-10-04</v>
      </c>
      <c r="AM60" s="60" t="str">
        <f>VLOOKUP(D60,'2.Bookinglist'!A:BK,63,FALSE)</f>
        <v>BKK27</v>
      </c>
      <c r="AN60" s="62" t="str">
        <f>VLOOKUP(D60,'2.Bookinglist'!A:AZ,52,FALSE)</f>
        <v>Pickup : 2026-10-01, Return : 2026-10-02</v>
      </c>
      <c r="AO60" s="62">
        <f>VLOOKUP(D60,'2.Bookinglist'!A:CY,103,FALSE)</f>
        <v>0</v>
      </c>
    </row>
    <row r="61" ht="12.95" customHeight="1">
      <c r="A61" s="96" t="inlineStr">
        <is>
          <t>HLHU8460816</t>
        </is>
      </c>
      <c r="B61" s="184" t="str">
        <f>IF(C61=Charge!$M$1,Charge!$J$1,IF(C61=Charge!$M$23,Charge!$J$23,IF(C61=Charge!$M$17,Charge!$J$17,IF(C61=Charge!$N$17,Charge!$J$17,Charge!$J$7))))</f>
        <v>G3</v>
      </c>
      <c r="C61" s="61" t="str">
        <f>VLOOKUP(A61,'1.Loading'!A:R,14,FALSE)</f>
        <v>BKK04</v>
      </c>
      <c r="D61" s="61" t="str">
        <f>VLOOKUP(A61,'1.Loading'!A:R,17,FALSE)</f>
        <v>HASLS22260900734</v>
      </c>
      <c r="E61" s="62" t="str">
        <f>VLOOKUP(D61,'2.Bookinglist'!A:CT,27,FALSE)</f>
        <v>LOGMAN INTERNATIONAL CO., LTD.</v>
      </c>
      <c r="F61" s="62" t="str">
        <f>VLOOKUP(D61,'2.Bookinglist'!A:CT,28,FALSE)</f>
        <v>OTANI RADIAL CO., LTD.</v>
      </c>
      <c r="G61" s="60">
        <f>VLOOKUP(D61,'2.Bookinglist'!A:E,5,FALSE)</f>
        <v>0</v>
      </c>
      <c r="H61" s="61" t="str">
        <f>VLOOKUP(D61,'2.Bookinglist'!A:CT,15,FALSE)</f>
        <v>THBKK</v>
      </c>
      <c r="I61" s="61" t="str">
        <f>VLOOKUP(D61,'2.Bookinglist'!A:CT,19,FALSE)</f>
        <v>VNSGN</v>
      </c>
      <c r="J61" s="61">
        <f>VLOOKUP(D61,'2.Bookinglist'!A:CT,26,FALSE)</f>
        <v>0</v>
      </c>
      <c r="K61" s="61" t="str">
        <f>VLOOKUP(A61,'1.Loading'!A:R,5,FALSE)</f>
        <v>45GP</v>
      </c>
      <c r="L61" s="60" t="str">
        <f>VLOOKUP(D61,'2.Bookinglist'!A:CT,85,FALSE)</f>
        <v>CY/CY</v>
      </c>
      <c r="M61" s="60" t="str">
        <f>IF(VLOOKUP(D61,'2.Bookinglist'!A:CT,43,FALSE)=0,"","DG")</f>
        <v/>
      </c>
      <c r="N61" s="60" t="str">
        <f>IF(RIGHT(K61,2)="RE","RF","")</f>
        <v/>
      </c>
      <c r="O61" s="61" t="str">
        <f>VLOOKUP(A61,'1.Loading'!A:R,3,FALSE)</f>
        <v>SWSP</v>
      </c>
      <c r="P61" s="61" t="str">
        <f>VLOOKUP(A61,'1.Loading'!A:R,4,FALSE)</f>
        <v>2609N</v>
      </c>
      <c r="Q61" s="61" t="str">
        <f>VLOOKUP(D61,'2.Bookinglist'!A:CT,12,FALSE)</f>
        <v>BTS</v>
      </c>
      <c r="R61" s="60" t="str">
        <f>IF(LEFT(K61,2)="22","20'","40'")</f>
        <v>40'</v>
      </c>
      <c r="S61" s="185" t="n"/>
      <c r="T61" s="61" t="str">
        <f>VLOOKUP(A61,'1.Loading'!A:R,2,FALSE)</f>
        <v>2026-10-08</v>
      </c>
      <c r="U61" s="63">
        <f>T61-S61</f>
        <v>46303</v>
      </c>
      <c r="V61" s="186" t="n"/>
      <c r="W61" s="61" t="str">
        <f>VLOOKUP(A61,'3.GateMove'!A:D,4,FALSE)</f>
        <v>2026-10-05</v>
      </c>
      <c r="X61" s="63">
        <f>((T61-W61)+1)</f>
        <v>4</v>
      </c>
      <c r="Y61" s="64">
        <f>IF(AND(OR(C61="BKK01",C61="BKK04"),L61="CFS/CY"),0,IF(M61="DG",1,IF(LEFT(C61,3)="LCH",7,IF(C61="BKK02",5,3))))</f>
        <v>3</v>
      </c>
      <c r="Z61" s="63">
        <f>IF(IF(AND(AC61="TML",AB61&gt;0),((T61-W61)+1)-AB61,((T61-W61)+1)-Y61)&gt;0,IF(AND(AC61="TML",AB61&gt;0),((T61-W61)+1)-AB61,((T61-W61)+1)-Y61),0)</f>
        <v>1</v>
      </c>
      <c r="AA61" s="187">
        <f>IF(AND(B61="G1",M61=""),IF(R61="20'",
VLOOKUP(Z61,Charge!$K$2:$M$5,2,TRUE)+(Z61-VLOOKUP(Z61,Charge!$K$2:$M$5,1,TRUE))*VLOOKUP(Z61,Charge!$K$2:$M$5,3,TRUE),
VLOOKUP(Z61,Charge!$N$2:$P$5,2,TRUE)+(Z61-VLOOKUP(Z61,Charge!$N$2:$P$5,1,TRUE))*VLOOKUP(Z61,Charge!$N$2:$P$5,3,TRUE)),
IF(AND(B61="G1",M61="DG"),IF(R61="20'",
VLOOKUP(Z61,Charge!$R$2:$T$5,2,TRUE)+(Z61-VLOOKUP(Z61,Charge!$R$2:$T$5,1,TRUE))*VLOOKUP(Z61,Charge!$R$2:$T$5,3,TRUE),
VLOOKUP(Z61,Charge!$U$2:$W$5,2,TRUE)+(Z61-VLOOKUP(Z61,Charge!$U$2:$W$5,1,TRUE))*VLOOKUP(Z61,Charge!$U$2:$W$5,3,TRUE)),
IF(AND(B61="G3",M61=""),IF(R61="20'",
VLOOKUP(Z61,Charge!$K$18:$M$21,2,TRUE)+(Z61-VLOOKUP(Z61,Charge!$K$18:$M$21,1,TRUE))*VLOOKUP(Z61,Charge!$K$18:$M$21,3,TRUE),
VLOOKUP(Z61,Charge!$N$18:$P$21,2,TRUE)+(Z61-VLOOKUP(Z61,Charge!$N$18:$P$21,1,TRUE))*VLOOKUP(Z61,Charge!$N$18:$P$21,3,TRUE)),
IF(AND(B61="G3",M61="DG"),IF(R61="20'",
VLOOKUP(Z61,Charge!$R$18:$T$21,2,TRUE)+(Z61-VLOOKUP(Z61,Charge!$R$18:$T$21,1,TRUE))*VLOOKUP(Z61,Charge!$R$18:$T$21,3,TRUE),
VLOOKUP(Z61,Charge!$U$18:$W$21,2,TRUE)+(Z61-VLOOKUP(Z61,Charge!$U$18:$W$21,1,TRUE))*VLOOKUP(Z61,Charge!$U$18:$W$21,3,TRUE)),
IF(AND(B61="G2",M61=""),IF(R61="20'",
VLOOKUP(Z61,Charge!$K$9:$M$12,2,TRUE)+(Z61-VLOOKUP(Z61,Charge!$K$9:$M$12,1,TRUE))*VLOOKUP(Z61,Charge!$K$9:$M$12,3,TRUE),
VLOOKUP(Z61,Charge!$N$9:$P$12,2,TRUE)+(Z61-VLOOKUP(Z61,Charge!$N$9:$P$12,1,TRUE))*VLOOKUP(Z61,Charge!$N$9:$P$12,3,TRUE)),
IF(AND(B61="G2",M61="DG"),IF(R61="20'",
VLOOKUP(Z61,Charge!$R$9:$T$12,2,TRUE)+(Z61-VLOOKUP(Z61,Charge!$R$9:$T$12,1,TRUE))*VLOOKUP(Z61,Charge!$R$9:$T$12,3,TRUE),
VLOOKUP(Z61,Charge!$U$9:$W$12,2,TRUE)+(Z61-VLOOKUP(Z61,Charge!$U$9:$W$12,1,TRUE))*VLOOKUP(Z61,Charge!$U$9:$W$12,3,TRUE)),IF(AND(B61="G4",M61=""),IF(R61="20'",Z61*Charge!$M$25,Z61*Charge!$P$25),IF(AND(B61="G4",M61="DG"),IF(R61="20'",Z61*Charge!$T$25,Z61*Charge!$W$25),0))))))))</f>
        <v>320</v>
      </c>
      <c r="AB61" s="184" t="n"/>
      <c r="AC61" s="184" t="n"/>
      <c r="AD61" s="60">
        <f>IF(M61="DG",3,IF(N61="RF",3,5))+IF(AND(LEFT(C61,3)="BKK",N61="RF",Q61="KTS"),1,0)+IF(Q61="KHS",1,0)</f>
        <v>5</v>
      </c>
      <c r="AE61" s="63">
        <f>(T61-V61)+1</f>
        <v>46304</v>
      </c>
      <c r="AF61" s="63">
        <f>IF(AB61&gt;IF((V61-W61)&gt;0,V61-W61,0),0,IF(AB61&lt;IF((V61-W61)&gt;0,V61-W61,0),IF((V61-W61)&gt;0,V61-W61,0)-AB61,IF((V61-W61)&gt;0,V61-W61,0)))</f>
        <v>0</v>
      </c>
      <c r="AG61" s="187">
        <f>IF(AND(M61=""),IF(R61="20'",
VLOOKUP(AF61,Charge!$K$31:$M$34,2,TRUE)+(AF61-VLOOKUP(AF61,Charge!$K$31:$M$34,1,TRUE))*VLOOKUP(AF61,Charge!$K$31:$M$34,3,TRUE),
VLOOKUP(AF61,Charge!$N$31:$P$34,2,TRUE)+(AF61-VLOOKUP(AF61,Charge!$N$31:$P$34,1,TRUE))*VLOOKUP(AF61,Charge!$N$31:$P$34,3,TRUE)),
IF(AND(M61="DG"),IF(R61="20'",
VLOOKUP(AF61,Charge!$R$31:$T$34,2,TRUE)+(AF61-VLOOKUP(AF61,Charge!$R$31:$T$34,1,TRUE))*VLOOKUP(AF61,Charge!$R$31:$T$34,3,TRUE),
VLOOKUP(AF61,Charge!$U$31:$W$34,2,TRUE)+(AF61-VLOOKUP(AF61,Charge!$U$31:$W$34,1,TRUE))*VLOOKUP(AF61,Charge!$U$31:$W$34,3,TRUE)),0))</f>
        <v>0</v>
      </c>
      <c r="AH61" s="65" t="n"/>
      <c r="AI61" s="65">
        <f>AA61-AH61</f>
        <v>320</v>
      </c>
      <c r="AJ61" s="188" t="n"/>
      <c r="AK61" s="62" t="str">
        <f>VLOOKUP(D61,'2.Bookinglist'!A:CT,40,FALSE)</f>
        <v>Nguyen Van Nam</v>
      </c>
      <c r="AL61" s="60" t="str">
        <f>VLOOKUP(D61,'2.Bookinglist'!A:CW,101,FALSE)</f>
        <v>2026-10-05</v>
      </c>
      <c r="AM61" s="60" t="str">
        <f>VLOOKUP(D61,'2.Bookinglist'!A:BK,63,FALSE)</f>
        <v>BKK25</v>
      </c>
      <c r="AN61" s="62" t="str">
        <f>VLOOKUP(D61,'2.Bookinglist'!A:AZ,52,FALSE)</f>
        <v>Pickup : 2026-09-30, Return : 2026-10-01</v>
      </c>
      <c r="AO61" s="62">
        <f>VLOOKUP(D61,'2.Bookinglist'!A:CY,103,FALSE)</f>
        <v>0</v>
      </c>
    </row>
    <row r="62" ht="12.95" customHeight="1">
      <c r="A62" s="96" t="inlineStr">
        <is>
          <t>HLHU8461725</t>
        </is>
      </c>
      <c r="B62" s="184" t="str">
        <f>IF(C62=Charge!$M$1,Charge!$J$1,IF(C62=Charge!$M$23,Charge!$J$23,IF(C62=Charge!$M$17,Charge!$J$17,IF(C62=Charge!$N$17,Charge!$J$17,Charge!$J$7))))</f>
        <v>G3</v>
      </c>
      <c r="C62" s="61" t="str">
        <f>VLOOKUP(A62,'1.Loading'!A:R,14,FALSE)</f>
        <v>BKK04</v>
      </c>
      <c r="D62" s="61" t="str">
        <f>VLOOKUP(A62,'1.Loading'!A:R,17,FALSE)</f>
        <v>HASLS22260902260</v>
      </c>
      <c r="E62" s="62" t="str">
        <f>VLOOKUP(D62,'2.Bookinglist'!A:CT,27,FALSE)</f>
        <v>CAPRICORN LOGISTICS CO., LTD.</v>
      </c>
      <c r="F62" s="62" t="str">
        <f>VLOOKUP(D62,'2.Bookinglist'!A:CT,28,FALSE)</f>
        <v>MITSUBISHI HEAVY INDUSTRIES - MAHAJAK AIR CONDITIONERS CO., </v>
      </c>
      <c r="G62" s="60">
        <f>VLOOKUP(D62,'2.Bookinglist'!A:E,5,FALSE)</f>
        <v>0</v>
      </c>
      <c r="H62" s="61" t="str">
        <f>VLOOKUP(D62,'2.Bookinglist'!A:CT,15,FALSE)</f>
        <v>THBKK</v>
      </c>
      <c r="I62" s="61" t="str">
        <f>VLOOKUP(D62,'2.Bookinglist'!A:CT,19,FALSE)</f>
        <v>VNSGN</v>
      </c>
      <c r="J62" s="61">
        <f>VLOOKUP(D62,'2.Bookinglist'!A:CT,26,FALSE)</f>
        <v>0</v>
      </c>
      <c r="K62" s="61" t="str">
        <f>VLOOKUP(A62,'1.Loading'!A:R,5,FALSE)</f>
        <v>45GP</v>
      </c>
      <c r="L62" s="60" t="str">
        <f>VLOOKUP(D62,'2.Bookinglist'!A:CT,85,FALSE)</f>
        <v>CY/CY</v>
      </c>
      <c r="M62" s="60" t="str">
        <f>IF(VLOOKUP(D62,'2.Bookinglist'!A:CT,43,FALSE)=0,"","DG")</f>
        <v/>
      </c>
      <c r="N62" s="60" t="str">
        <f>IF(RIGHT(K62,2)="RE","RF","")</f>
        <v/>
      </c>
      <c r="O62" s="61" t="str">
        <f>VLOOKUP(A62,'1.Loading'!A:R,3,FALSE)</f>
        <v>SWSP</v>
      </c>
      <c r="P62" s="61" t="str">
        <f>VLOOKUP(A62,'1.Loading'!A:R,4,FALSE)</f>
        <v>2609N</v>
      </c>
      <c r="Q62" s="61" t="str">
        <f>VLOOKUP(D62,'2.Bookinglist'!A:CT,12,FALSE)</f>
        <v>BTS</v>
      </c>
      <c r="R62" s="60" t="str">
        <f>IF(LEFT(K62,2)="22","20'","40'")</f>
        <v>40'</v>
      </c>
      <c r="S62" s="185" t="n"/>
      <c r="T62" s="61" t="str">
        <f>VLOOKUP(A62,'1.Loading'!A:R,2,FALSE)</f>
        <v>2026-10-08</v>
      </c>
      <c r="U62" s="63">
        <f>T62-S62</f>
        <v>46303</v>
      </c>
      <c r="V62" s="186" t="n"/>
      <c r="W62" s="61" t="str">
        <f>VLOOKUP(A62,'3.GateMove'!A:D,4,FALSE)</f>
        <v>2026-10-02</v>
      </c>
      <c r="X62" s="63">
        <f>((T62-W62)+1)</f>
        <v>7</v>
      </c>
      <c r="Y62" s="64">
        <f>IF(AND(OR(C62="BKK01",C62="BKK04"),L62="CFS/CY"),0,IF(M62="DG",1,IF(LEFT(C62,3)="LCH",7,IF(C62="BKK02",5,3))))</f>
        <v>3</v>
      </c>
      <c r="Z62" s="63">
        <f>IF(IF(AND(AC62="TML",AB62&gt;0),((T62-W62)+1)-AB62,((T62-W62)+1)-Y62)&gt;0,IF(AND(AC62="TML",AB62&gt;0),((T62-W62)+1)-AB62,((T62-W62)+1)-Y62),0)</f>
        <v>4</v>
      </c>
      <c r="AA62" s="187">
        <f>IF(AND(B62="G1",M62=""),IF(R62="20'",
VLOOKUP(Z62,Charge!$K$2:$M$5,2,TRUE)+(Z62-VLOOKUP(Z62,Charge!$K$2:$M$5,1,TRUE))*VLOOKUP(Z62,Charge!$K$2:$M$5,3,TRUE),
VLOOKUP(Z62,Charge!$N$2:$P$5,2,TRUE)+(Z62-VLOOKUP(Z62,Charge!$N$2:$P$5,1,TRUE))*VLOOKUP(Z62,Charge!$N$2:$P$5,3,TRUE)),
IF(AND(B62="G1",M62="DG"),IF(R62="20'",
VLOOKUP(Z62,Charge!$R$2:$T$5,2,TRUE)+(Z62-VLOOKUP(Z62,Charge!$R$2:$T$5,1,TRUE))*VLOOKUP(Z62,Charge!$R$2:$T$5,3,TRUE),
VLOOKUP(Z62,Charge!$U$2:$W$5,2,TRUE)+(Z62-VLOOKUP(Z62,Charge!$U$2:$W$5,1,TRUE))*VLOOKUP(Z62,Charge!$U$2:$W$5,3,TRUE)),
IF(AND(B62="G3",M62=""),IF(R62="20'",
VLOOKUP(Z62,Charge!$K$18:$M$21,2,TRUE)+(Z62-VLOOKUP(Z62,Charge!$K$18:$M$21,1,TRUE))*VLOOKUP(Z62,Charge!$K$18:$M$21,3,TRUE),
VLOOKUP(Z62,Charge!$N$18:$P$21,2,TRUE)+(Z62-VLOOKUP(Z62,Charge!$N$18:$P$21,1,TRUE))*VLOOKUP(Z62,Charge!$N$18:$P$21,3,TRUE)),
IF(AND(B62="G3",M62="DG"),IF(R62="20'",
VLOOKUP(Z62,Charge!$R$18:$T$21,2,TRUE)+(Z62-VLOOKUP(Z62,Charge!$R$18:$T$21,1,TRUE))*VLOOKUP(Z62,Charge!$R$18:$T$21,3,TRUE),
VLOOKUP(Z62,Charge!$U$18:$W$21,2,TRUE)+(Z62-VLOOKUP(Z62,Charge!$U$18:$W$21,1,TRUE))*VLOOKUP(Z62,Charge!$U$18:$W$21,3,TRUE)),
IF(AND(B62="G2",M62=""),IF(R62="20'",
VLOOKUP(Z62,Charge!$K$9:$M$12,2,TRUE)+(Z62-VLOOKUP(Z62,Charge!$K$9:$M$12,1,TRUE))*VLOOKUP(Z62,Charge!$K$9:$M$12,3,TRUE),
VLOOKUP(Z62,Charge!$N$9:$P$12,2,TRUE)+(Z62-VLOOKUP(Z62,Charge!$N$9:$P$12,1,TRUE))*VLOOKUP(Z62,Charge!$N$9:$P$12,3,TRUE)),
IF(AND(B62="G2",M62="DG"),IF(R62="20'",
VLOOKUP(Z62,Charge!$R$9:$T$12,2,TRUE)+(Z62-VLOOKUP(Z62,Charge!$R$9:$T$12,1,TRUE))*VLOOKUP(Z62,Charge!$R$9:$T$12,3,TRUE),
VLOOKUP(Z62,Charge!$U$9:$W$12,2,TRUE)+(Z62-VLOOKUP(Z62,Charge!$U$9:$W$12,1,TRUE))*VLOOKUP(Z62,Charge!$U$9:$W$12,3,TRUE)),IF(AND(B62="G4",M62=""),IF(R62="20'",Z62*Charge!$M$25,Z62*Charge!$P$25),IF(AND(B62="G4",M62="DG"),IF(R62="20'",Z62*Charge!$T$25,Z62*Charge!$W$25),0))))))))</f>
        <v>1280</v>
      </c>
      <c r="AB62" s="184" t="n"/>
      <c r="AC62" s="184" t="n"/>
      <c r="AD62" s="60">
        <f>IF(M62="DG",3,IF(N62="RF",3,5))+IF(AND(LEFT(C62,3)="BKK",N62="RF",Q62="KTS"),1,0)+IF(Q62="KHS",1,0)</f>
        <v>5</v>
      </c>
      <c r="AE62" s="63">
        <f>(T62-V62)+1</f>
        <v>46304</v>
      </c>
      <c r="AF62" s="63">
        <f>IF(AB62&gt;IF((V62-W62)&gt;0,V62-W62,0),0,IF(AB62&lt;IF((V62-W62)&gt;0,V62-W62,0),IF((V62-W62)&gt;0,V62-W62,0)-AB62,IF((V62-W62)&gt;0,V62-W62,0)))</f>
        <v>0</v>
      </c>
      <c r="AG62" s="187">
        <f>IF(AND(M62=""),IF(R62="20'",
VLOOKUP(AF62,Charge!$K$31:$M$34,2,TRUE)+(AF62-VLOOKUP(AF62,Charge!$K$31:$M$34,1,TRUE))*VLOOKUP(AF62,Charge!$K$31:$M$34,3,TRUE),
VLOOKUP(AF62,Charge!$N$31:$P$34,2,TRUE)+(AF62-VLOOKUP(AF62,Charge!$N$31:$P$34,1,TRUE))*VLOOKUP(AF62,Charge!$N$31:$P$34,3,TRUE)),
IF(AND(M62="DG"),IF(R62="20'",
VLOOKUP(AF62,Charge!$R$31:$T$34,2,TRUE)+(AF62-VLOOKUP(AF62,Charge!$R$31:$T$34,1,TRUE))*VLOOKUP(AF62,Charge!$R$31:$T$34,3,TRUE),
VLOOKUP(AF62,Charge!$U$31:$W$34,2,TRUE)+(AF62-VLOOKUP(AF62,Charge!$U$31:$W$34,1,TRUE))*VLOOKUP(AF62,Charge!$U$31:$W$34,3,TRUE)),0))</f>
        <v>0</v>
      </c>
      <c r="AH62" s="65" t="n"/>
      <c r="AI62" s="65">
        <f>AA62-AH62</f>
        <v>1280</v>
      </c>
      <c r="AJ62" s="188" t="n"/>
      <c r="AK62" s="62" t="str">
        <f>VLOOKUP(D62,'2.Bookinglist'!A:CT,40,FALSE)</f>
        <v>Sukunpoj Damrongying</v>
      </c>
      <c r="AL62" s="60" t="str">
        <f>VLOOKUP(D62,'2.Bookinglist'!A:CW,101,FALSE)</f>
        <v>2026-10-07</v>
      </c>
      <c r="AM62" s="60" t="str">
        <f>VLOOKUP(D62,'2.Bookinglist'!A:BK,63,FALSE)</f>
        <v>BKK27</v>
      </c>
      <c r="AN62" s="62" t="str">
        <f>VLOOKUP(D62,'2.Bookinglist'!A:AZ,52,FALSE)</f>
        <v>Pickup : 2026-09-29, Return : 2026-10-01 </v>
      </c>
      <c r="AO62" s="62">
        <f>VLOOKUP(D62,'2.Bookinglist'!A:CY,103,FALSE)</f>
        <v>0</v>
      </c>
    </row>
    <row r="63" ht="12.95" customHeight="1">
      <c r="A63" s="96" t="inlineStr">
        <is>
          <t>HLHU8520052</t>
        </is>
      </c>
      <c r="B63" s="184" t="str">
        <f>IF(C63=Charge!$M$1,Charge!$J$1,IF(C63=Charge!$M$23,Charge!$J$23,IF(C63=Charge!$M$17,Charge!$J$17,IF(C63=Charge!$N$17,Charge!$J$17,Charge!$J$7))))</f>
        <v>G3</v>
      </c>
      <c r="C63" s="61" t="str">
        <f>VLOOKUP(A63,'1.Loading'!A:R,14,FALSE)</f>
        <v>BKK04</v>
      </c>
      <c r="D63" s="61" t="str">
        <f>VLOOKUP(A63,'1.Loading'!A:R,17,FALSE)</f>
        <v>HASLS22260902212</v>
      </c>
      <c r="E63" s="62" t="str">
        <f>VLOOKUP(D63,'2.Bookinglist'!A:CT,27,FALSE)</f>
        <v>EUROFREIGHT INTERNATIONAL CO.,LTD.</v>
      </c>
      <c r="F63" s="62" t="str">
        <f>VLOOKUP(D63,'2.Bookinglist'!A:CT,28,FALSE)</f>
        <v>TOYO MILLENNIUM CO., LTD.</v>
      </c>
      <c r="G63" s="60">
        <f>VLOOKUP(D63,'2.Bookinglist'!A:E,5,FALSE)</f>
        <v>0</v>
      </c>
      <c r="H63" s="61" t="str">
        <f>VLOOKUP(D63,'2.Bookinglist'!A:CT,15,FALSE)</f>
        <v>THBKK</v>
      </c>
      <c r="I63" s="61" t="str">
        <f>VLOOKUP(D63,'2.Bookinglist'!A:CT,19,FALSE)</f>
        <v>VNSGN</v>
      </c>
      <c r="J63" s="61">
        <f>VLOOKUP(D63,'2.Bookinglist'!A:CT,26,FALSE)</f>
        <v>0</v>
      </c>
      <c r="K63" s="61" t="str">
        <f>VLOOKUP(A63,'1.Loading'!A:R,5,FALSE)</f>
        <v>45GP</v>
      </c>
      <c r="L63" s="60" t="str">
        <f>VLOOKUP(D63,'2.Bookinglist'!A:CT,85,FALSE)</f>
        <v>CY/CY</v>
      </c>
      <c r="M63" s="60" t="str">
        <f>IF(VLOOKUP(D63,'2.Bookinglist'!A:CT,43,FALSE)=0,"","DG")</f>
        <v/>
      </c>
      <c r="N63" s="60" t="str">
        <f>IF(RIGHT(K63,2)="RE","RF","")</f>
        <v/>
      </c>
      <c r="O63" s="61" t="str">
        <f>VLOOKUP(A63,'1.Loading'!A:R,3,FALSE)</f>
        <v>SWSP</v>
      </c>
      <c r="P63" s="61" t="str">
        <f>VLOOKUP(A63,'1.Loading'!A:R,4,FALSE)</f>
        <v>2609N</v>
      </c>
      <c r="Q63" s="61" t="str">
        <f>VLOOKUP(D63,'2.Bookinglist'!A:CT,12,FALSE)</f>
        <v>BTS</v>
      </c>
      <c r="R63" s="60" t="str">
        <f>IF(LEFT(K63,2)="22","20'","40'")</f>
        <v>40'</v>
      </c>
      <c r="S63" s="185" t="n"/>
      <c r="T63" s="61" t="str">
        <f>VLOOKUP(A63,'1.Loading'!A:R,2,FALSE)</f>
        <v>2026-10-08</v>
      </c>
      <c r="U63" s="63">
        <f>T63-S63</f>
        <v>46303</v>
      </c>
      <c r="V63" s="186" t="n"/>
      <c r="W63" s="61" t="str">
        <f>VLOOKUP(A63,'3.GateMove'!A:D,4,FALSE)</f>
        <v>2026-10-02</v>
      </c>
      <c r="X63" s="63">
        <f>((T63-W63)+1)</f>
        <v>7</v>
      </c>
      <c r="Y63" s="64">
        <f>IF(AND(OR(C63="BKK01",C63="BKK04"),L63="CFS/CY"),0,IF(M63="DG",1,IF(LEFT(C63,3)="LCH",7,IF(C63="BKK02",5,3))))</f>
        <v>3</v>
      </c>
      <c r="Z63" s="63">
        <f>IF(IF(AND(AC63="TML",AB63&gt;0),((T63-W63)+1)-AB63,((T63-W63)+1)-Y63)&gt;0,IF(AND(AC63="TML",AB63&gt;0),((T63-W63)+1)-AB63,((T63-W63)+1)-Y63),0)</f>
        <v>4</v>
      </c>
      <c r="AA63" s="187">
        <f>IF(AND(B63="G1",M63=""),IF(R63="20'",
VLOOKUP(Z63,Charge!$K$2:$M$5,2,TRUE)+(Z63-VLOOKUP(Z63,Charge!$K$2:$M$5,1,TRUE))*VLOOKUP(Z63,Charge!$K$2:$M$5,3,TRUE),
VLOOKUP(Z63,Charge!$N$2:$P$5,2,TRUE)+(Z63-VLOOKUP(Z63,Charge!$N$2:$P$5,1,TRUE))*VLOOKUP(Z63,Charge!$N$2:$P$5,3,TRUE)),
IF(AND(B63="G1",M63="DG"),IF(R63="20'",
VLOOKUP(Z63,Charge!$R$2:$T$5,2,TRUE)+(Z63-VLOOKUP(Z63,Charge!$R$2:$T$5,1,TRUE))*VLOOKUP(Z63,Charge!$R$2:$T$5,3,TRUE),
VLOOKUP(Z63,Charge!$U$2:$W$5,2,TRUE)+(Z63-VLOOKUP(Z63,Charge!$U$2:$W$5,1,TRUE))*VLOOKUP(Z63,Charge!$U$2:$W$5,3,TRUE)),
IF(AND(B63="G3",M63=""),IF(R63="20'",
VLOOKUP(Z63,Charge!$K$18:$M$21,2,TRUE)+(Z63-VLOOKUP(Z63,Charge!$K$18:$M$21,1,TRUE))*VLOOKUP(Z63,Charge!$K$18:$M$21,3,TRUE),
VLOOKUP(Z63,Charge!$N$18:$P$21,2,TRUE)+(Z63-VLOOKUP(Z63,Charge!$N$18:$P$21,1,TRUE))*VLOOKUP(Z63,Charge!$N$18:$P$21,3,TRUE)),
IF(AND(B63="G3",M63="DG"),IF(R63="20'",
VLOOKUP(Z63,Charge!$R$18:$T$21,2,TRUE)+(Z63-VLOOKUP(Z63,Charge!$R$18:$T$21,1,TRUE))*VLOOKUP(Z63,Charge!$R$18:$T$21,3,TRUE),
VLOOKUP(Z63,Charge!$U$18:$W$21,2,TRUE)+(Z63-VLOOKUP(Z63,Charge!$U$18:$W$21,1,TRUE))*VLOOKUP(Z63,Charge!$U$18:$W$21,3,TRUE)),
IF(AND(B63="G2",M63=""),IF(R63="20'",
VLOOKUP(Z63,Charge!$K$9:$M$12,2,TRUE)+(Z63-VLOOKUP(Z63,Charge!$K$9:$M$12,1,TRUE))*VLOOKUP(Z63,Charge!$K$9:$M$12,3,TRUE),
VLOOKUP(Z63,Charge!$N$9:$P$12,2,TRUE)+(Z63-VLOOKUP(Z63,Charge!$N$9:$P$12,1,TRUE))*VLOOKUP(Z63,Charge!$N$9:$P$12,3,TRUE)),
IF(AND(B63="G2",M63="DG"),IF(R63="20'",
VLOOKUP(Z63,Charge!$R$9:$T$12,2,TRUE)+(Z63-VLOOKUP(Z63,Charge!$R$9:$T$12,1,TRUE))*VLOOKUP(Z63,Charge!$R$9:$T$12,3,TRUE),
VLOOKUP(Z63,Charge!$U$9:$W$12,2,TRUE)+(Z63-VLOOKUP(Z63,Charge!$U$9:$W$12,1,TRUE))*VLOOKUP(Z63,Charge!$U$9:$W$12,3,TRUE)),IF(AND(B63="G4",M63=""),IF(R63="20'",Z63*Charge!$M$25,Z63*Charge!$P$25),IF(AND(B63="G4",M63="DG"),IF(R63="20'",Z63*Charge!$T$25,Z63*Charge!$W$25),0))))))))</f>
        <v>1280</v>
      </c>
      <c r="AB63" s="184" t="n"/>
      <c r="AC63" s="184" t="n"/>
      <c r="AD63" s="60">
        <f>IF(M63="DG",3,IF(N63="RF",3,5))+IF(AND(LEFT(C63,3)="BKK",N63="RF",Q63="KTS"),1,0)+IF(Q63="KHS",1,0)</f>
        <v>5</v>
      </c>
      <c r="AE63" s="63">
        <f>(T63-V63)+1</f>
        <v>46304</v>
      </c>
      <c r="AF63" s="63">
        <f>IF(AB63&gt;IF((V63-W63)&gt;0,V63-W63,0),0,IF(AB63&lt;IF((V63-W63)&gt;0,V63-W63,0),IF((V63-W63)&gt;0,V63-W63,0)-AB63,IF((V63-W63)&gt;0,V63-W63,0)))</f>
        <v>0</v>
      </c>
      <c r="AG63" s="187">
        <f>IF(AND(M63=""),IF(R63="20'",
VLOOKUP(AF63,Charge!$K$31:$M$34,2,TRUE)+(AF63-VLOOKUP(AF63,Charge!$K$31:$M$34,1,TRUE))*VLOOKUP(AF63,Charge!$K$31:$M$34,3,TRUE),
VLOOKUP(AF63,Charge!$N$31:$P$34,2,TRUE)+(AF63-VLOOKUP(AF63,Charge!$N$31:$P$34,1,TRUE))*VLOOKUP(AF63,Charge!$N$31:$P$34,3,TRUE)),
IF(AND(M63="DG"),IF(R63="20'",
VLOOKUP(AF63,Charge!$R$31:$T$34,2,TRUE)+(AF63-VLOOKUP(AF63,Charge!$R$31:$T$34,1,TRUE))*VLOOKUP(AF63,Charge!$R$31:$T$34,3,TRUE),
VLOOKUP(AF63,Charge!$U$31:$W$34,2,TRUE)+(AF63-VLOOKUP(AF63,Charge!$U$31:$W$34,1,TRUE))*VLOOKUP(AF63,Charge!$U$31:$W$34,3,TRUE)),0))</f>
        <v>0</v>
      </c>
      <c r="AH63" s="65" t="n"/>
      <c r="AI63" s="65">
        <f>AA63-AH63</f>
        <v>1280</v>
      </c>
      <c r="AJ63" s="188" t="n"/>
      <c r="AK63" s="62" t="str">
        <f>VLOOKUP(D63,'2.Bookinglist'!A:CT,40,FALSE)</f>
        <v>Arunphat W. (Aiw)</v>
      </c>
      <c r="AL63" s="60" t="str">
        <f>VLOOKUP(D63,'2.Bookinglist'!A:CW,101,FALSE)</f>
        <v>2026-10-05</v>
      </c>
      <c r="AM63" s="60" t="str">
        <f>VLOOKUP(D63,'2.Bookinglist'!A:BK,63,FALSE)</f>
        <v>BKK27</v>
      </c>
      <c r="AN63" s="62" t="str">
        <f>VLOOKUP(D63,'2.Bookinglist'!A:AZ,52,FALSE)</f>
        <v>Pickup : 2026-10-01, Return : 2026-10-02</v>
      </c>
      <c r="AO63" s="62">
        <f>VLOOKUP(D63,'2.Bookinglist'!A:CY,103,FALSE)</f>
        <v>0</v>
      </c>
    </row>
    <row r="64" ht="12.95" customHeight="1">
      <c r="A64" s="96" t="inlineStr">
        <is>
          <t>HLHU8537013</t>
        </is>
      </c>
      <c r="B64" s="184" t="str">
        <f>IF(C64=Charge!$M$1,Charge!$J$1,IF(C64=Charge!$M$23,Charge!$J$23,IF(C64=Charge!$M$17,Charge!$J$17,IF(C64=Charge!$N$17,Charge!$J$17,Charge!$J$7))))</f>
        <v>G3</v>
      </c>
      <c r="C64" s="61" t="str">
        <f>VLOOKUP(A64,'1.Loading'!A:R,14,FALSE)</f>
        <v>BKK04</v>
      </c>
      <c r="D64" s="61" t="str">
        <f>VLOOKUP(A64,'1.Loading'!A:R,17,FALSE)</f>
        <v>HASLS22260902210</v>
      </c>
      <c r="E64" s="62" t="str">
        <f>VLOOKUP(D64,'2.Bookinglist'!A:CT,27,FALSE)</f>
        <v>CAPRICORN LOGISTICS CO., LTD.</v>
      </c>
      <c r="F64" s="62" t="str">
        <f>VLOOKUP(D64,'2.Bookinglist'!A:CT,28,FALSE)</f>
        <v>SWAN INDUSTRIES (THAILAND) LTD.</v>
      </c>
      <c r="G64" s="60">
        <f>VLOOKUP(D64,'2.Bookinglist'!A:E,5,FALSE)</f>
        <v>0</v>
      </c>
      <c r="H64" s="61" t="str">
        <f>VLOOKUP(D64,'2.Bookinglist'!A:CT,15,FALSE)</f>
        <v>THBKK</v>
      </c>
      <c r="I64" s="61" t="str">
        <f>VLOOKUP(D64,'2.Bookinglist'!A:CT,19,FALSE)</f>
        <v>VNSGN</v>
      </c>
      <c r="J64" s="61">
        <f>VLOOKUP(D64,'2.Bookinglist'!A:CT,26,FALSE)</f>
        <v>0</v>
      </c>
      <c r="K64" s="61" t="str">
        <f>VLOOKUP(A64,'1.Loading'!A:R,5,FALSE)</f>
        <v>45GP</v>
      </c>
      <c r="L64" s="60" t="str">
        <f>VLOOKUP(D64,'2.Bookinglist'!A:CT,85,FALSE)</f>
        <v>CY/CY</v>
      </c>
      <c r="M64" s="60" t="str">
        <f>IF(VLOOKUP(D64,'2.Bookinglist'!A:CT,43,FALSE)=0,"","DG")</f>
        <v/>
      </c>
      <c r="N64" s="60" t="str">
        <f>IF(RIGHT(K64,2)="RE","RF","")</f>
        <v/>
      </c>
      <c r="O64" s="61" t="str">
        <f>VLOOKUP(A64,'1.Loading'!A:R,3,FALSE)</f>
        <v>SWSP</v>
      </c>
      <c r="P64" s="61" t="str">
        <f>VLOOKUP(A64,'1.Loading'!A:R,4,FALSE)</f>
        <v>2609N</v>
      </c>
      <c r="Q64" s="61" t="str">
        <f>VLOOKUP(D64,'2.Bookinglist'!A:CT,12,FALSE)</f>
        <v>BTS</v>
      </c>
      <c r="R64" s="60" t="str">
        <f>IF(LEFT(K64,2)="22","20'","40'")</f>
        <v>40'</v>
      </c>
      <c r="S64" s="185" t="n"/>
      <c r="T64" s="61" t="str">
        <f>VLOOKUP(A64,'1.Loading'!A:R,2,FALSE)</f>
        <v>2026-10-08</v>
      </c>
      <c r="U64" s="63">
        <f>T64-S64</f>
        <v>46303</v>
      </c>
      <c r="V64" s="186" t="n"/>
      <c r="W64" s="61" t="str">
        <f>VLOOKUP(A64,'3.GateMove'!A:D,4,FALSE)</f>
        <v>2026-10-04</v>
      </c>
      <c r="X64" s="63">
        <f>((T64-W64)+1)</f>
        <v>5</v>
      </c>
      <c r="Y64" s="64">
        <f>IF(AND(OR(C64="BKK01",C64="BKK04"),L64="CFS/CY"),0,IF(M64="DG",1,IF(LEFT(C64,3)="LCH",7,IF(C64="BKK02",5,3))))</f>
        <v>3</v>
      </c>
      <c r="Z64" s="63">
        <f>IF(IF(AND(AC64="TML",AB64&gt;0),((T64-W64)+1)-AB64,((T64-W64)+1)-Y64)&gt;0,IF(AND(AC64="TML",AB64&gt;0),((T64-W64)+1)-AB64,((T64-W64)+1)-Y64),0)</f>
        <v>2</v>
      </c>
      <c r="AA64" s="187">
        <f>IF(AND(B64="G1",M64=""),IF(R64="20'",
VLOOKUP(Z64,Charge!$K$2:$M$5,2,TRUE)+(Z64-VLOOKUP(Z64,Charge!$K$2:$M$5,1,TRUE))*VLOOKUP(Z64,Charge!$K$2:$M$5,3,TRUE),
VLOOKUP(Z64,Charge!$N$2:$P$5,2,TRUE)+(Z64-VLOOKUP(Z64,Charge!$N$2:$P$5,1,TRUE))*VLOOKUP(Z64,Charge!$N$2:$P$5,3,TRUE)),
IF(AND(B64="G1",M64="DG"),IF(R64="20'",
VLOOKUP(Z64,Charge!$R$2:$T$5,2,TRUE)+(Z64-VLOOKUP(Z64,Charge!$R$2:$T$5,1,TRUE))*VLOOKUP(Z64,Charge!$R$2:$T$5,3,TRUE),
VLOOKUP(Z64,Charge!$U$2:$W$5,2,TRUE)+(Z64-VLOOKUP(Z64,Charge!$U$2:$W$5,1,TRUE))*VLOOKUP(Z64,Charge!$U$2:$W$5,3,TRUE)),
IF(AND(B64="G3",M64=""),IF(R64="20'",
VLOOKUP(Z64,Charge!$K$18:$M$21,2,TRUE)+(Z64-VLOOKUP(Z64,Charge!$K$18:$M$21,1,TRUE))*VLOOKUP(Z64,Charge!$K$18:$M$21,3,TRUE),
VLOOKUP(Z64,Charge!$N$18:$P$21,2,TRUE)+(Z64-VLOOKUP(Z64,Charge!$N$18:$P$21,1,TRUE))*VLOOKUP(Z64,Charge!$N$18:$P$21,3,TRUE)),
IF(AND(B64="G3",M64="DG"),IF(R64="20'",
VLOOKUP(Z64,Charge!$R$18:$T$21,2,TRUE)+(Z64-VLOOKUP(Z64,Charge!$R$18:$T$21,1,TRUE))*VLOOKUP(Z64,Charge!$R$18:$T$21,3,TRUE),
VLOOKUP(Z64,Charge!$U$18:$W$21,2,TRUE)+(Z64-VLOOKUP(Z64,Charge!$U$18:$W$21,1,TRUE))*VLOOKUP(Z64,Charge!$U$18:$W$21,3,TRUE)),
IF(AND(B64="G2",M64=""),IF(R64="20'",
VLOOKUP(Z64,Charge!$K$9:$M$12,2,TRUE)+(Z64-VLOOKUP(Z64,Charge!$K$9:$M$12,1,TRUE))*VLOOKUP(Z64,Charge!$K$9:$M$12,3,TRUE),
VLOOKUP(Z64,Charge!$N$9:$P$12,2,TRUE)+(Z64-VLOOKUP(Z64,Charge!$N$9:$P$12,1,TRUE))*VLOOKUP(Z64,Charge!$N$9:$P$12,3,TRUE)),
IF(AND(B64="G2",M64="DG"),IF(R64="20'",
VLOOKUP(Z64,Charge!$R$9:$T$12,2,TRUE)+(Z64-VLOOKUP(Z64,Charge!$R$9:$T$12,1,TRUE))*VLOOKUP(Z64,Charge!$R$9:$T$12,3,TRUE),
VLOOKUP(Z64,Charge!$U$9:$W$12,2,TRUE)+(Z64-VLOOKUP(Z64,Charge!$U$9:$W$12,1,TRUE))*VLOOKUP(Z64,Charge!$U$9:$W$12,3,TRUE)),IF(AND(B64="G4",M64=""),IF(R64="20'",Z64*Charge!$M$25,Z64*Charge!$P$25),IF(AND(B64="G4",M64="DG"),IF(R64="20'",Z64*Charge!$T$25,Z64*Charge!$W$25),0))))))))</f>
        <v>640</v>
      </c>
      <c r="AB64" s="184" t="n"/>
      <c r="AC64" s="184" t="n"/>
      <c r="AD64" s="60">
        <f>IF(M64="DG",3,IF(N64="RF",3,5))+IF(AND(LEFT(C64,3)="BKK",N64="RF",Q64="KTS"),1,0)+IF(Q64="KHS",1,0)</f>
        <v>5</v>
      </c>
      <c r="AE64" s="63">
        <f>(T64-V64)+1</f>
        <v>46304</v>
      </c>
      <c r="AF64" s="63">
        <f>IF(AB64&gt;IF((V64-W64)&gt;0,V64-W64,0),0,IF(AB64&lt;IF((V64-W64)&gt;0,V64-W64,0),IF((V64-W64)&gt;0,V64-W64,0)-AB64,IF((V64-W64)&gt;0,V64-W64,0)))</f>
        <v>0</v>
      </c>
      <c r="AG64" s="187">
        <f>IF(AND(M64=""),IF(R64="20'",
VLOOKUP(AF64,Charge!$K$31:$M$34,2,TRUE)+(AF64-VLOOKUP(AF64,Charge!$K$31:$M$34,1,TRUE))*VLOOKUP(AF64,Charge!$K$31:$M$34,3,TRUE),
VLOOKUP(AF64,Charge!$N$31:$P$34,2,TRUE)+(AF64-VLOOKUP(AF64,Charge!$N$31:$P$34,1,TRUE))*VLOOKUP(AF64,Charge!$N$31:$P$34,3,TRUE)),
IF(AND(M64="DG"),IF(R64="20'",
VLOOKUP(AF64,Charge!$R$31:$T$34,2,TRUE)+(AF64-VLOOKUP(AF64,Charge!$R$31:$T$34,1,TRUE))*VLOOKUP(AF64,Charge!$R$31:$T$34,3,TRUE),
VLOOKUP(AF64,Charge!$U$31:$W$34,2,TRUE)+(AF64-VLOOKUP(AF64,Charge!$U$31:$W$34,1,TRUE))*VLOOKUP(AF64,Charge!$U$31:$W$34,3,TRUE)),0))</f>
        <v>0</v>
      </c>
      <c r="AH64" s="65" t="n"/>
      <c r="AI64" s="65">
        <f>AA64-AH64</f>
        <v>640</v>
      </c>
      <c r="AJ64" s="188" t="n"/>
      <c r="AK64" s="62" t="str">
        <f>VLOOKUP(D64,'2.Bookinglist'!A:CT,40,FALSE)</f>
        <v>Nguyen Xuan Toan</v>
      </c>
      <c r="AL64" s="60" t="str">
        <f>VLOOKUP(D64,'2.Bookinglist'!A:CW,101,FALSE)</f>
        <v>2026-10-05</v>
      </c>
      <c r="AM64" s="60" t="str">
        <f>VLOOKUP(D64,'2.Bookinglist'!A:BK,63,FALSE)</f>
        <v>BKK27</v>
      </c>
      <c r="AN64" s="62" t="str">
        <f>VLOOKUP(D64,'2.Bookinglist'!A:AZ,52,FALSE)</f>
        <v>Pickup : 2026-10-03, Return : 2026-10-04 </v>
      </c>
      <c r="AO64" s="62">
        <f>VLOOKUP(D64,'2.Bookinglist'!A:CY,103,FALSE)</f>
        <v>0</v>
      </c>
    </row>
    <row r="65" ht="12.95" customHeight="1">
      <c r="A65" s="96" t="inlineStr">
        <is>
          <t>HLHU8541353</t>
        </is>
      </c>
      <c r="B65" s="184" t="str">
        <f>IF(C65=Charge!$M$1,Charge!$J$1,IF(C65=Charge!$M$23,Charge!$J$23,IF(C65=Charge!$M$17,Charge!$J$17,IF(C65=Charge!$N$17,Charge!$J$17,Charge!$J$7))))</f>
        <v>G3</v>
      </c>
      <c r="C65" s="61" t="str">
        <f>VLOOKUP(A65,'1.Loading'!A:R,14,FALSE)</f>
        <v>BKK04</v>
      </c>
      <c r="D65" s="61" t="str">
        <f>VLOOKUP(A65,'1.Loading'!A:R,17,FALSE)</f>
        <v>HASLS22260901954</v>
      </c>
      <c r="E65" s="62" t="str">
        <f>VLOOKUP(D65,'2.Bookinglist'!A:CT,27,FALSE)</f>
        <v>BIRLA CARBON (THAILAND) PUBLIC COMPANY LIMITED</v>
      </c>
      <c r="F65" s="62" t="str">
        <f>VLOOKUP(D65,'2.Bookinglist'!A:CT,28,FALSE)</f>
        <v>BIRLA CARBON (THAILAND) PUBLIC COMPANY LIMITED</v>
      </c>
      <c r="G65" s="60">
        <f>VLOOKUP(D65,'2.Bookinglist'!A:E,5,FALSE)</f>
        <v>0</v>
      </c>
      <c r="H65" s="61" t="str">
        <f>VLOOKUP(D65,'2.Bookinglist'!A:CT,15,FALSE)</f>
        <v>THBKK</v>
      </c>
      <c r="I65" s="61" t="str">
        <f>VLOOKUP(D65,'2.Bookinglist'!A:CT,19,FALSE)</f>
        <v>VNSGN</v>
      </c>
      <c r="J65" s="61">
        <f>VLOOKUP(D65,'2.Bookinglist'!A:CT,26,FALSE)</f>
        <v>0</v>
      </c>
      <c r="K65" s="61" t="str">
        <f>VLOOKUP(A65,'1.Loading'!A:R,5,FALSE)</f>
        <v>45GP</v>
      </c>
      <c r="L65" s="60" t="str">
        <f>VLOOKUP(D65,'2.Bookinglist'!A:CT,85,FALSE)</f>
        <v>CY/CY</v>
      </c>
      <c r="M65" s="60" t="str">
        <f>IF(VLOOKUP(D65,'2.Bookinglist'!A:CT,43,FALSE)=0,"","DG")</f>
        <v/>
      </c>
      <c r="N65" s="60" t="str">
        <f>IF(RIGHT(K65,2)="RE","RF","")</f>
        <v/>
      </c>
      <c r="O65" s="61" t="str">
        <f>VLOOKUP(A65,'1.Loading'!A:R,3,FALSE)</f>
        <v>SWSP</v>
      </c>
      <c r="P65" s="61" t="str">
        <f>VLOOKUP(A65,'1.Loading'!A:R,4,FALSE)</f>
        <v>2609N</v>
      </c>
      <c r="Q65" s="61" t="str">
        <f>VLOOKUP(D65,'2.Bookinglist'!A:CT,12,FALSE)</f>
        <v>BTS</v>
      </c>
      <c r="R65" s="60" t="str">
        <f>IF(LEFT(K65,2)="22","20'","40'")</f>
        <v>40'</v>
      </c>
      <c r="S65" s="185" t="n"/>
      <c r="T65" s="61" t="str">
        <f>VLOOKUP(A65,'1.Loading'!A:R,2,FALSE)</f>
        <v>2026-10-08</v>
      </c>
      <c r="U65" s="63">
        <f>T65-S65</f>
        <v>46303</v>
      </c>
      <c r="V65" s="186" t="n"/>
      <c r="W65" s="61" t="str">
        <f>VLOOKUP(A65,'3.GateMove'!A:D,4,FALSE)</f>
        <v>2026-09-24</v>
      </c>
      <c r="X65" s="63">
        <f>((T65-W65)+1)</f>
        <v>15</v>
      </c>
      <c r="Y65" s="64">
        <f>IF(AND(OR(C65="BKK01",C65="BKK04"),L65="CFS/CY"),0,IF(M65="DG",1,IF(LEFT(C65,3)="LCH",7,IF(C65="BKK02",5,3))))</f>
        <v>3</v>
      </c>
      <c r="Z65" s="63">
        <f>IF(IF(AND(AC65="TML",AB65&gt;0),((T65-W65)+1)-AB65,((T65-W65)+1)-Y65)&gt;0,IF(AND(AC65="TML",AB65&gt;0),((T65-W65)+1)-AB65,((T65-W65)+1)-Y65),0)</f>
        <v>12</v>
      </c>
      <c r="AA65" s="187">
        <f>IF(AND(B65="G1",M65=""),IF(R65="20'",
VLOOKUP(Z65,Charge!$K$2:$M$5,2,TRUE)+(Z65-VLOOKUP(Z65,Charge!$K$2:$M$5,1,TRUE))*VLOOKUP(Z65,Charge!$K$2:$M$5,3,TRUE),
VLOOKUP(Z65,Charge!$N$2:$P$5,2,TRUE)+(Z65-VLOOKUP(Z65,Charge!$N$2:$P$5,1,TRUE))*VLOOKUP(Z65,Charge!$N$2:$P$5,3,TRUE)),
IF(AND(B65="G1",M65="DG"),IF(R65="20'",
VLOOKUP(Z65,Charge!$R$2:$T$5,2,TRUE)+(Z65-VLOOKUP(Z65,Charge!$R$2:$T$5,1,TRUE))*VLOOKUP(Z65,Charge!$R$2:$T$5,3,TRUE),
VLOOKUP(Z65,Charge!$U$2:$W$5,2,TRUE)+(Z65-VLOOKUP(Z65,Charge!$U$2:$W$5,1,TRUE))*VLOOKUP(Z65,Charge!$U$2:$W$5,3,TRUE)),
IF(AND(B65="G3",M65=""),IF(R65="20'",
VLOOKUP(Z65,Charge!$K$18:$M$21,2,TRUE)+(Z65-VLOOKUP(Z65,Charge!$K$18:$M$21,1,TRUE))*VLOOKUP(Z65,Charge!$K$18:$M$21,3,TRUE),
VLOOKUP(Z65,Charge!$N$18:$P$21,2,TRUE)+(Z65-VLOOKUP(Z65,Charge!$N$18:$P$21,1,TRUE))*VLOOKUP(Z65,Charge!$N$18:$P$21,3,TRUE)),
IF(AND(B65="G3",M65="DG"),IF(R65="20'",
VLOOKUP(Z65,Charge!$R$18:$T$21,2,TRUE)+(Z65-VLOOKUP(Z65,Charge!$R$18:$T$21,1,TRUE))*VLOOKUP(Z65,Charge!$R$18:$T$21,3,TRUE),
VLOOKUP(Z65,Charge!$U$18:$W$21,2,TRUE)+(Z65-VLOOKUP(Z65,Charge!$U$18:$W$21,1,TRUE))*VLOOKUP(Z65,Charge!$U$18:$W$21,3,TRUE)),
IF(AND(B65="G2",M65=""),IF(R65="20'",
VLOOKUP(Z65,Charge!$K$9:$M$12,2,TRUE)+(Z65-VLOOKUP(Z65,Charge!$K$9:$M$12,1,TRUE))*VLOOKUP(Z65,Charge!$K$9:$M$12,3,TRUE),
VLOOKUP(Z65,Charge!$N$9:$P$12,2,TRUE)+(Z65-VLOOKUP(Z65,Charge!$N$9:$P$12,1,TRUE))*VLOOKUP(Z65,Charge!$N$9:$P$12,3,TRUE)),
IF(AND(B65="G2",M65="DG"),IF(R65="20'",
VLOOKUP(Z65,Charge!$R$9:$T$12,2,TRUE)+(Z65-VLOOKUP(Z65,Charge!$R$9:$T$12,1,TRUE))*VLOOKUP(Z65,Charge!$R$9:$T$12,3,TRUE),
VLOOKUP(Z65,Charge!$U$9:$W$12,2,TRUE)+(Z65-VLOOKUP(Z65,Charge!$U$9:$W$12,1,TRUE))*VLOOKUP(Z65,Charge!$U$9:$W$12,3,TRUE)),IF(AND(B65="G4",M65=""),IF(R65="20'",Z65*Charge!$M$25,Z65*Charge!$P$25),IF(AND(B65="G4",M65="DG"),IF(R65="20'",Z65*Charge!$T$25,Z65*Charge!$W$25),0))))))))</f>
        <v>4990</v>
      </c>
      <c r="AB65" s="184" t="n"/>
      <c r="AC65" s="184" t="n"/>
      <c r="AD65" s="60">
        <f>IF(M65="DG",3,IF(N65="RF",3,5))+IF(AND(LEFT(C65,3)="BKK",N65="RF",Q65="KTS"),1,0)+IF(Q65="KHS",1,0)</f>
        <v>5</v>
      </c>
      <c r="AE65" s="63">
        <f>(T65-V65)+1</f>
        <v>46304</v>
      </c>
      <c r="AF65" s="63">
        <f>IF(AB65&gt;IF((V65-W65)&gt;0,V65-W65,0),0,IF(AB65&lt;IF((V65-W65)&gt;0,V65-W65,0),IF((V65-W65)&gt;0,V65-W65,0)-AB65,IF((V65-W65)&gt;0,V65-W65,0)))</f>
        <v>0</v>
      </c>
      <c r="AG65" s="187">
        <f>IF(AND(M65=""),IF(R65="20'",
VLOOKUP(AF65,Charge!$K$31:$M$34,2,TRUE)+(AF65-VLOOKUP(AF65,Charge!$K$31:$M$34,1,TRUE))*VLOOKUP(AF65,Charge!$K$31:$M$34,3,TRUE),
VLOOKUP(AF65,Charge!$N$31:$P$34,2,TRUE)+(AF65-VLOOKUP(AF65,Charge!$N$31:$P$34,1,TRUE))*VLOOKUP(AF65,Charge!$N$31:$P$34,3,TRUE)),
IF(AND(M65="DG"),IF(R65="20'",
VLOOKUP(AF65,Charge!$R$31:$T$34,2,TRUE)+(AF65-VLOOKUP(AF65,Charge!$R$31:$T$34,1,TRUE))*VLOOKUP(AF65,Charge!$R$31:$T$34,3,TRUE),
VLOOKUP(AF65,Charge!$U$31:$W$34,2,TRUE)+(AF65-VLOOKUP(AF65,Charge!$U$31:$W$34,1,TRUE))*VLOOKUP(AF65,Charge!$U$31:$W$34,3,TRUE)),0))</f>
        <v>0</v>
      </c>
      <c r="AH65" s="65" t="n"/>
      <c r="AI65" s="65">
        <f>AA65-AH65</f>
        <v>4990</v>
      </c>
      <c r="AJ65" s="188" t="n"/>
      <c r="AK65" s="62" t="str">
        <f>VLOOKUP(D65,'2.Bookinglist'!A:CT,40,FALSE)</f>
        <v>Dharaporn</v>
      </c>
      <c r="AL65" s="60" t="str">
        <f>VLOOKUP(D65,'2.Bookinglist'!A:CW,101,FALSE)</f>
        <v>2026-10-05</v>
      </c>
      <c r="AM65" s="60" t="str">
        <f>VLOOKUP(D65,'2.Bookinglist'!A:BK,63,FALSE)</f>
        <v>BKK27</v>
      </c>
      <c r="AN65" s="62" t="str">
        <f>VLOOKUP(D65,'2.Bookinglist'!A:AZ,52,FALSE)</f>
        <v>Pickup : 2026-09-23, Return : 2026-04-23 CLS TIME DD.23/09 BEFORE 2359HRS</v>
      </c>
      <c r="AO65" s="62">
        <f>VLOOKUP(D65,'2.Bookinglist'!A:CY,103,FALSE)</f>
        <v>0</v>
      </c>
    </row>
    <row r="66" ht="12.95" customHeight="1">
      <c r="A66" s="96" t="inlineStr">
        <is>
          <t>HLHU8543335</t>
        </is>
      </c>
      <c r="B66" s="184" t="str">
        <f>IF(C66=Charge!$M$1,Charge!$J$1,IF(C66=Charge!$M$23,Charge!$J$23,IF(C66=Charge!$M$17,Charge!$J$17,IF(C66=Charge!$N$17,Charge!$J$17,Charge!$J$7))))</f>
        <v>G3</v>
      </c>
      <c r="C66" s="61" t="str">
        <f>VLOOKUP(A66,'1.Loading'!A:R,14,FALSE)</f>
        <v>BKK04</v>
      </c>
      <c r="D66" s="61" t="str">
        <f>VLOOKUP(A66,'1.Loading'!A:R,17,FALSE)</f>
        <v>HASLS22260900586</v>
      </c>
      <c r="E66" s="62" t="str">
        <f>VLOOKUP(D66,'2.Bookinglist'!A:CT,27,FALSE)</f>
        <v>BIRLA CARBON (THAILAND) PUBLIC COMPANY LIMITED</v>
      </c>
      <c r="F66" s="62" t="str">
        <f>VLOOKUP(D66,'2.Bookinglist'!A:CT,28,FALSE)</f>
        <v>BIRLA CARBON (THAILAND) PUBLIC COMPANY LIMITED</v>
      </c>
      <c r="G66" s="60">
        <f>VLOOKUP(D66,'2.Bookinglist'!A:E,5,FALSE)</f>
        <v>0</v>
      </c>
      <c r="H66" s="61" t="str">
        <f>VLOOKUP(D66,'2.Bookinglist'!A:CT,15,FALSE)</f>
        <v>THBKK</v>
      </c>
      <c r="I66" s="61" t="str">
        <f>VLOOKUP(D66,'2.Bookinglist'!A:CT,19,FALSE)</f>
        <v>VNSGN</v>
      </c>
      <c r="J66" s="61">
        <f>VLOOKUP(D66,'2.Bookinglist'!A:CT,26,FALSE)</f>
        <v>0</v>
      </c>
      <c r="K66" s="61" t="str">
        <f>VLOOKUP(A66,'1.Loading'!A:R,5,FALSE)</f>
        <v>45GP</v>
      </c>
      <c r="L66" s="60" t="str">
        <f>VLOOKUP(D66,'2.Bookinglist'!A:CT,85,FALSE)</f>
        <v>CY/CY</v>
      </c>
      <c r="M66" s="60" t="str">
        <f>IF(VLOOKUP(D66,'2.Bookinglist'!A:CT,43,FALSE)=0,"","DG")</f>
        <v/>
      </c>
      <c r="N66" s="60" t="str">
        <f>IF(RIGHT(K66,2)="RE","RF","")</f>
        <v/>
      </c>
      <c r="O66" s="61" t="str">
        <f>VLOOKUP(A66,'1.Loading'!A:R,3,FALSE)</f>
        <v>SWSP</v>
      </c>
      <c r="P66" s="61" t="str">
        <f>VLOOKUP(A66,'1.Loading'!A:R,4,FALSE)</f>
        <v>2609N</v>
      </c>
      <c r="Q66" s="61" t="str">
        <f>VLOOKUP(D66,'2.Bookinglist'!A:CT,12,FALSE)</f>
        <v>BTS</v>
      </c>
      <c r="R66" s="60" t="str">
        <f>IF(LEFT(K66,2)="22","20'","40'")</f>
        <v>40'</v>
      </c>
      <c r="S66" s="185" t="n"/>
      <c r="T66" s="61" t="str">
        <f>VLOOKUP(A66,'1.Loading'!A:R,2,FALSE)</f>
        <v>2026-10-08</v>
      </c>
      <c r="U66" s="63">
        <f>T66-S66</f>
        <v>46303</v>
      </c>
      <c r="V66" s="186" t="n"/>
      <c r="W66" s="61" t="str">
        <f>VLOOKUP(A66,'3.GateMove'!A:D,4,FALSE)</f>
        <v>2026-10-04</v>
      </c>
      <c r="X66" s="63">
        <f>((T66-W66)+1)</f>
        <v>5</v>
      </c>
      <c r="Y66" s="64">
        <f>IF(AND(OR(C66="BKK01",C66="BKK04"),L66="CFS/CY"),0,IF(M66="DG",1,IF(LEFT(C66,3)="LCH",7,IF(C66="BKK02",5,3))))</f>
        <v>3</v>
      </c>
      <c r="Z66" s="63">
        <f>IF(IF(AND(AC66="TML",AB66&gt;0),((T66-W66)+1)-AB66,((T66-W66)+1)-Y66)&gt;0,IF(AND(AC66="TML",AB66&gt;0),((T66-W66)+1)-AB66,((T66-W66)+1)-Y66),0)</f>
        <v>2</v>
      </c>
      <c r="AA66" s="187">
        <f>IF(AND(B66="G1",M66=""),IF(R66="20'",
VLOOKUP(Z66,Charge!$K$2:$M$5,2,TRUE)+(Z66-VLOOKUP(Z66,Charge!$K$2:$M$5,1,TRUE))*VLOOKUP(Z66,Charge!$K$2:$M$5,3,TRUE),
VLOOKUP(Z66,Charge!$N$2:$P$5,2,TRUE)+(Z66-VLOOKUP(Z66,Charge!$N$2:$P$5,1,TRUE))*VLOOKUP(Z66,Charge!$N$2:$P$5,3,TRUE)),
IF(AND(B66="G1",M66="DG"),IF(R66="20'",
VLOOKUP(Z66,Charge!$R$2:$T$5,2,TRUE)+(Z66-VLOOKUP(Z66,Charge!$R$2:$T$5,1,TRUE))*VLOOKUP(Z66,Charge!$R$2:$T$5,3,TRUE),
VLOOKUP(Z66,Charge!$U$2:$W$5,2,TRUE)+(Z66-VLOOKUP(Z66,Charge!$U$2:$W$5,1,TRUE))*VLOOKUP(Z66,Charge!$U$2:$W$5,3,TRUE)),
IF(AND(B66="G3",M66=""),IF(R66="20'",
VLOOKUP(Z66,Charge!$K$18:$M$21,2,TRUE)+(Z66-VLOOKUP(Z66,Charge!$K$18:$M$21,1,TRUE))*VLOOKUP(Z66,Charge!$K$18:$M$21,3,TRUE),
VLOOKUP(Z66,Charge!$N$18:$P$21,2,TRUE)+(Z66-VLOOKUP(Z66,Charge!$N$18:$P$21,1,TRUE))*VLOOKUP(Z66,Charge!$N$18:$P$21,3,TRUE)),
IF(AND(B66="G3",M66="DG"),IF(R66="20'",
VLOOKUP(Z66,Charge!$R$18:$T$21,2,TRUE)+(Z66-VLOOKUP(Z66,Charge!$R$18:$T$21,1,TRUE))*VLOOKUP(Z66,Charge!$R$18:$T$21,3,TRUE),
VLOOKUP(Z66,Charge!$U$18:$W$21,2,TRUE)+(Z66-VLOOKUP(Z66,Charge!$U$18:$W$21,1,TRUE))*VLOOKUP(Z66,Charge!$U$18:$W$21,3,TRUE)),
IF(AND(B66="G2",M66=""),IF(R66="20'",
VLOOKUP(Z66,Charge!$K$9:$M$12,2,TRUE)+(Z66-VLOOKUP(Z66,Charge!$K$9:$M$12,1,TRUE))*VLOOKUP(Z66,Charge!$K$9:$M$12,3,TRUE),
VLOOKUP(Z66,Charge!$N$9:$P$12,2,TRUE)+(Z66-VLOOKUP(Z66,Charge!$N$9:$P$12,1,TRUE))*VLOOKUP(Z66,Charge!$N$9:$P$12,3,TRUE)),
IF(AND(B66="G2",M66="DG"),IF(R66="20'",
VLOOKUP(Z66,Charge!$R$9:$T$12,2,TRUE)+(Z66-VLOOKUP(Z66,Charge!$R$9:$T$12,1,TRUE))*VLOOKUP(Z66,Charge!$R$9:$T$12,3,TRUE),
VLOOKUP(Z66,Charge!$U$9:$W$12,2,TRUE)+(Z66-VLOOKUP(Z66,Charge!$U$9:$W$12,1,TRUE))*VLOOKUP(Z66,Charge!$U$9:$W$12,3,TRUE)),IF(AND(B66="G4",M66=""),IF(R66="20'",Z66*Charge!$M$25,Z66*Charge!$P$25),IF(AND(B66="G4",M66="DG"),IF(R66="20'",Z66*Charge!$T$25,Z66*Charge!$W$25),0))))))))</f>
        <v>640</v>
      </c>
      <c r="AB66" s="184" t="n"/>
      <c r="AC66" s="184" t="n"/>
      <c r="AD66" s="60">
        <f>IF(M66="DG",3,IF(N66="RF",3,5))+IF(AND(LEFT(C66,3)="BKK",N66="RF",Q66="KTS"),1,0)+IF(Q66="KHS",1,0)</f>
        <v>5</v>
      </c>
      <c r="AE66" s="63">
        <f>(T66-V66)+1</f>
        <v>46304</v>
      </c>
      <c r="AF66" s="63">
        <f>IF(AB66&gt;IF((V66-W66)&gt;0,V66-W66,0),0,IF(AB66&lt;IF((V66-W66)&gt;0,V66-W66,0),IF((V66-W66)&gt;0,V66-W66,0)-AB66,IF((V66-W66)&gt;0,V66-W66,0)))</f>
        <v>0</v>
      </c>
      <c r="AG66" s="187">
        <f>IF(AND(M66=""),IF(R66="20'",
VLOOKUP(AF66,Charge!$K$31:$M$34,2,TRUE)+(AF66-VLOOKUP(AF66,Charge!$K$31:$M$34,1,TRUE))*VLOOKUP(AF66,Charge!$K$31:$M$34,3,TRUE),
VLOOKUP(AF66,Charge!$N$31:$P$34,2,TRUE)+(AF66-VLOOKUP(AF66,Charge!$N$31:$P$34,1,TRUE))*VLOOKUP(AF66,Charge!$N$31:$P$34,3,TRUE)),
IF(AND(M66="DG"),IF(R66="20'",
VLOOKUP(AF66,Charge!$R$31:$T$34,2,TRUE)+(AF66-VLOOKUP(AF66,Charge!$R$31:$T$34,1,TRUE))*VLOOKUP(AF66,Charge!$R$31:$T$34,3,TRUE),
VLOOKUP(AF66,Charge!$U$31:$W$34,2,TRUE)+(AF66-VLOOKUP(AF66,Charge!$U$31:$W$34,1,TRUE))*VLOOKUP(AF66,Charge!$U$31:$W$34,3,TRUE)),0))</f>
        <v>0</v>
      </c>
      <c r="AH66" s="65" t="n"/>
      <c r="AI66" s="65">
        <f>AA66-AH66</f>
        <v>640</v>
      </c>
      <c r="AJ66" s="188" t="n"/>
      <c r="AK66" s="62" t="str">
        <f>VLOOKUP(D66,'2.Bookinglist'!A:CT,40,FALSE)</f>
        <v>Dharaporn</v>
      </c>
      <c r="AL66" s="60" t="str">
        <f>VLOOKUP(D66,'2.Bookinglist'!A:CW,101,FALSE)</f>
        <v>2026-10-07</v>
      </c>
      <c r="AM66" s="60" t="str">
        <f>VLOOKUP(D66,'2.Bookinglist'!A:BK,63,FALSE)</f>
        <v>BKK27</v>
      </c>
      <c r="AN66" s="62" t="str">
        <f>VLOOKUP(D66,'2.Bookinglist'!A:AZ,52,FALSE)</f>
        <v>Pickup : 2026-10-01, Return : 2026-10-02 (1ST RTN DD: 03/10/26 WO/RENT)</v>
      </c>
      <c r="AO66" s="62">
        <f>VLOOKUP(D66,'2.Bookinglist'!A:CY,103,FALSE)</f>
        <v>0</v>
      </c>
    </row>
    <row r="67" ht="12.95" customHeight="1">
      <c r="A67" s="96" t="inlineStr">
        <is>
          <t>HLHU8573978</t>
        </is>
      </c>
      <c r="B67" s="184" t="str">
        <f>IF(C67=Charge!$M$1,Charge!$J$1,IF(C67=Charge!$M$23,Charge!$J$23,IF(C67=Charge!$M$17,Charge!$J$17,IF(C67=Charge!$N$17,Charge!$J$17,Charge!$J$7))))</f>
        <v>G3</v>
      </c>
      <c r="C67" s="61" t="str">
        <f>VLOOKUP(A67,'1.Loading'!A:R,14,FALSE)</f>
        <v>BKK04</v>
      </c>
      <c r="D67" s="61" t="str">
        <f>VLOOKUP(A67,'1.Loading'!A:R,17,FALSE)</f>
        <v>HASLS22260902210</v>
      </c>
      <c r="E67" s="62" t="str">
        <f>VLOOKUP(D67,'2.Bookinglist'!A:CT,27,FALSE)</f>
        <v>CAPRICORN LOGISTICS CO., LTD.</v>
      </c>
      <c r="F67" s="62" t="str">
        <f>VLOOKUP(D67,'2.Bookinglist'!A:CT,28,FALSE)</f>
        <v>SWAN INDUSTRIES (THAILAND) LTD.</v>
      </c>
      <c r="G67" s="60">
        <f>VLOOKUP(D67,'2.Bookinglist'!A:E,5,FALSE)</f>
        <v>0</v>
      </c>
      <c r="H67" s="61" t="str">
        <f>VLOOKUP(D67,'2.Bookinglist'!A:CT,15,FALSE)</f>
        <v>THBKK</v>
      </c>
      <c r="I67" s="61" t="str">
        <f>VLOOKUP(D67,'2.Bookinglist'!A:CT,19,FALSE)</f>
        <v>VNSGN</v>
      </c>
      <c r="J67" s="61">
        <f>VLOOKUP(D67,'2.Bookinglist'!A:CT,26,FALSE)</f>
        <v>0</v>
      </c>
      <c r="K67" s="61" t="str">
        <f>VLOOKUP(A67,'1.Loading'!A:R,5,FALSE)</f>
        <v>45GP</v>
      </c>
      <c r="L67" s="60" t="str">
        <f>VLOOKUP(D67,'2.Bookinglist'!A:CT,85,FALSE)</f>
        <v>CY/CY</v>
      </c>
      <c r="M67" s="60" t="str">
        <f>IF(VLOOKUP(D67,'2.Bookinglist'!A:CT,43,FALSE)=0,"","DG")</f>
        <v/>
      </c>
      <c r="N67" s="60" t="str">
        <f>IF(RIGHT(K67,2)="RE","RF","")</f>
        <v/>
      </c>
      <c r="O67" s="61" t="str">
        <f>VLOOKUP(A67,'1.Loading'!A:R,3,FALSE)</f>
        <v>SWSP</v>
      </c>
      <c r="P67" s="61" t="str">
        <f>VLOOKUP(A67,'1.Loading'!A:R,4,FALSE)</f>
        <v>2609N</v>
      </c>
      <c r="Q67" s="61" t="str">
        <f>VLOOKUP(D67,'2.Bookinglist'!A:CT,12,FALSE)</f>
        <v>BTS</v>
      </c>
      <c r="R67" s="60" t="str">
        <f>IF(LEFT(K67,2)="22","20'","40'")</f>
        <v>40'</v>
      </c>
      <c r="S67" s="185" t="n"/>
      <c r="T67" s="61" t="str">
        <f>VLOOKUP(A67,'1.Loading'!A:R,2,FALSE)</f>
        <v>2026-10-08</v>
      </c>
      <c r="U67" s="63">
        <f>T67-S67</f>
        <v>46303</v>
      </c>
      <c r="V67" s="186" t="n"/>
      <c r="W67" s="61" t="str">
        <f>VLOOKUP(A67,'3.GateMove'!A:D,4,FALSE)</f>
        <v>2026-10-04</v>
      </c>
      <c r="X67" s="63">
        <f>((T67-W67)+1)</f>
        <v>5</v>
      </c>
      <c r="Y67" s="64">
        <f>IF(AND(OR(C67="BKK01",C67="BKK04"),L67="CFS/CY"),0,IF(M67="DG",1,IF(LEFT(C67,3)="LCH",7,IF(C67="BKK02",5,3))))</f>
        <v>3</v>
      </c>
      <c r="Z67" s="63">
        <f>IF(IF(AND(AC67="TML",AB67&gt;0),((T67-W67)+1)-AB67,((T67-W67)+1)-Y67)&gt;0,IF(AND(AC67="TML",AB67&gt;0),((T67-W67)+1)-AB67,((T67-W67)+1)-Y67),0)</f>
        <v>2</v>
      </c>
      <c r="AA67" s="187">
        <f>IF(AND(B67="G1",M67=""),IF(R67="20'",
VLOOKUP(Z67,Charge!$K$2:$M$5,2,TRUE)+(Z67-VLOOKUP(Z67,Charge!$K$2:$M$5,1,TRUE))*VLOOKUP(Z67,Charge!$K$2:$M$5,3,TRUE),
VLOOKUP(Z67,Charge!$N$2:$P$5,2,TRUE)+(Z67-VLOOKUP(Z67,Charge!$N$2:$P$5,1,TRUE))*VLOOKUP(Z67,Charge!$N$2:$P$5,3,TRUE)),
IF(AND(B67="G1",M67="DG"),IF(R67="20'",
VLOOKUP(Z67,Charge!$R$2:$T$5,2,TRUE)+(Z67-VLOOKUP(Z67,Charge!$R$2:$T$5,1,TRUE))*VLOOKUP(Z67,Charge!$R$2:$T$5,3,TRUE),
VLOOKUP(Z67,Charge!$U$2:$W$5,2,TRUE)+(Z67-VLOOKUP(Z67,Charge!$U$2:$W$5,1,TRUE))*VLOOKUP(Z67,Charge!$U$2:$W$5,3,TRUE)),
IF(AND(B67="G3",M67=""),IF(R67="20'",
VLOOKUP(Z67,Charge!$K$18:$M$21,2,TRUE)+(Z67-VLOOKUP(Z67,Charge!$K$18:$M$21,1,TRUE))*VLOOKUP(Z67,Charge!$K$18:$M$21,3,TRUE),
VLOOKUP(Z67,Charge!$N$18:$P$21,2,TRUE)+(Z67-VLOOKUP(Z67,Charge!$N$18:$P$21,1,TRUE))*VLOOKUP(Z67,Charge!$N$18:$P$21,3,TRUE)),
IF(AND(B67="G3",M67="DG"),IF(R67="20'",
VLOOKUP(Z67,Charge!$R$18:$T$21,2,TRUE)+(Z67-VLOOKUP(Z67,Charge!$R$18:$T$21,1,TRUE))*VLOOKUP(Z67,Charge!$R$18:$T$21,3,TRUE),
VLOOKUP(Z67,Charge!$U$18:$W$21,2,TRUE)+(Z67-VLOOKUP(Z67,Charge!$U$18:$W$21,1,TRUE))*VLOOKUP(Z67,Charge!$U$18:$W$21,3,TRUE)),
IF(AND(B67="G2",M67=""),IF(R67="20'",
VLOOKUP(Z67,Charge!$K$9:$M$12,2,TRUE)+(Z67-VLOOKUP(Z67,Charge!$K$9:$M$12,1,TRUE))*VLOOKUP(Z67,Charge!$K$9:$M$12,3,TRUE),
VLOOKUP(Z67,Charge!$N$9:$P$12,2,TRUE)+(Z67-VLOOKUP(Z67,Charge!$N$9:$P$12,1,TRUE))*VLOOKUP(Z67,Charge!$N$9:$P$12,3,TRUE)),
IF(AND(B67="G2",M67="DG"),IF(R67="20'",
VLOOKUP(Z67,Charge!$R$9:$T$12,2,TRUE)+(Z67-VLOOKUP(Z67,Charge!$R$9:$T$12,1,TRUE))*VLOOKUP(Z67,Charge!$R$9:$T$12,3,TRUE),
VLOOKUP(Z67,Charge!$U$9:$W$12,2,TRUE)+(Z67-VLOOKUP(Z67,Charge!$U$9:$W$12,1,TRUE))*VLOOKUP(Z67,Charge!$U$9:$W$12,3,TRUE)),IF(AND(B67="G4",M67=""),IF(R67="20'",Z67*Charge!$M$25,Z67*Charge!$P$25),IF(AND(B67="G4",M67="DG"),IF(R67="20'",Z67*Charge!$T$25,Z67*Charge!$W$25),0))))))))</f>
        <v>640</v>
      </c>
      <c r="AB67" s="184" t="n"/>
      <c r="AC67" s="184" t="n"/>
      <c r="AD67" s="60">
        <f>IF(M67="DG",3,IF(N67="RF",3,5))+IF(AND(LEFT(C67,3)="BKK",N67="RF",Q67="KTS"),1,0)+IF(Q67="KHS",1,0)</f>
        <v>5</v>
      </c>
      <c r="AE67" s="63">
        <f>(T67-V67)+1</f>
        <v>46304</v>
      </c>
      <c r="AF67" s="63">
        <f>IF(AB67&gt;IF((V67-W67)&gt;0,V67-W67,0),0,IF(AB67&lt;IF((V67-W67)&gt;0,V67-W67,0),IF((V67-W67)&gt;0,V67-W67,0)-AB67,IF((V67-W67)&gt;0,V67-W67,0)))</f>
        <v>0</v>
      </c>
      <c r="AG67" s="187">
        <f>IF(AND(M67=""),IF(R67="20'",
VLOOKUP(AF67,Charge!$K$31:$M$34,2,TRUE)+(AF67-VLOOKUP(AF67,Charge!$K$31:$M$34,1,TRUE))*VLOOKUP(AF67,Charge!$K$31:$M$34,3,TRUE),
VLOOKUP(AF67,Charge!$N$31:$P$34,2,TRUE)+(AF67-VLOOKUP(AF67,Charge!$N$31:$P$34,1,TRUE))*VLOOKUP(AF67,Charge!$N$31:$P$34,3,TRUE)),
IF(AND(M67="DG"),IF(R67="20'",
VLOOKUP(AF67,Charge!$R$31:$T$34,2,TRUE)+(AF67-VLOOKUP(AF67,Charge!$R$31:$T$34,1,TRUE))*VLOOKUP(AF67,Charge!$R$31:$T$34,3,TRUE),
VLOOKUP(AF67,Charge!$U$31:$W$34,2,TRUE)+(AF67-VLOOKUP(AF67,Charge!$U$31:$W$34,1,TRUE))*VLOOKUP(AF67,Charge!$U$31:$W$34,3,TRUE)),0))</f>
        <v>0</v>
      </c>
      <c r="AH67" s="65" t="n"/>
      <c r="AI67" s="65">
        <f>AA67-AH67</f>
        <v>640</v>
      </c>
      <c r="AJ67" s="188" t="n"/>
      <c r="AK67" s="62" t="str">
        <f>VLOOKUP(D67,'2.Bookinglist'!A:CT,40,FALSE)</f>
        <v>Nguyen Xuan Toan</v>
      </c>
      <c r="AL67" s="60" t="str">
        <f>VLOOKUP(D67,'2.Bookinglist'!A:CW,101,FALSE)</f>
        <v>2026-10-05</v>
      </c>
      <c r="AM67" s="60" t="str">
        <f>VLOOKUP(D67,'2.Bookinglist'!A:BK,63,FALSE)</f>
        <v>BKK27</v>
      </c>
      <c r="AN67" s="62" t="str">
        <f>VLOOKUP(D67,'2.Bookinglist'!A:AZ,52,FALSE)</f>
        <v>Pickup : 2026-10-03, Return : 2026-10-04 </v>
      </c>
      <c r="AO67" s="62">
        <f>VLOOKUP(D67,'2.Bookinglist'!A:CY,103,FALSE)</f>
        <v>0</v>
      </c>
    </row>
    <row r="68" ht="12.95" customHeight="1">
      <c r="A68" s="96" t="inlineStr">
        <is>
          <t>HLHU8574110</t>
        </is>
      </c>
      <c r="B68" s="184" t="str">
        <f>IF(C68=Charge!$M$1,Charge!$J$1,IF(C68=Charge!$M$23,Charge!$J$23,IF(C68=Charge!$M$17,Charge!$J$17,IF(C68=Charge!$N$17,Charge!$J$17,Charge!$J$7))))</f>
        <v>G3</v>
      </c>
      <c r="C68" s="61" t="str">
        <f>VLOOKUP(A68,'1.Loading'!A:R,14,FALSE)</f>
        <v>BKK04</v>
      </c>
      <c r="D68" s="61" t="str">
        <f>VLOOKUP(A68,'1.Loading'!A:R,17,FALSE)</f>
        <v>HASLS22260901688</v>
      </c>
      <c r="E68" s="62" t="str">
        <f>VLOOKUP(D68,'2.Bookinglist'!A:CT,27,FALSE)</f>
        <v>METRO PARTICLE CO., LTD.</v>
      </c>
      <c r="F68" s="62" t="str">
        <f>VLOOKUP(D68,'2.Bookinglist'!A:CT,28,FALSE)</f>
        <v>METRO PARTICLE CO., LTD.</v>
      </c>
      <c r="G68" s="60">
        <f>VLOOKUP(D68,'2.Bookinglist'!A:E,5,FALSE)</f>
        <v>0</v>
      </c>
      <c r="H68" s="61" t="str">
        <f>VLOOKUP(D68,'2.Bookinglist'!A:CT,15,FALSE)</f>
        <v>THBKK</v>
      </c>
      <c r="I68" s="61" t="str">
        <f>VLOOKUP(D68,'2.Bookinglist'!A:CT,19,FALSE)</f>
        <v>VNSGN</v>
      </c>
      <c r="J68" s="61">
        <f>VLOOKUP(D68,'2.Bookinglist'!A:CT,26,FALSE)</f>
        <v>0</v>
      </c>
      <c r="K68" s="61" t="str">
        <f>VLOOKUP(A68,'1.Loading'!A:R,5,FALSE)</f>
        <v>45GP</v>
      </c>
      <c r="L68" s="60" t="str">
        <f>VLOOKUP(D68,'2.Bookinglist'!A:CT,85,FALSE)</f>
        <v>CY/CY</v>
      </c>
      <c r="M68" s="60" t="str">
        <f>IF(VLOOKUP(D68,'2.Bookinglist'!A:CT,43,FALSE)=0,"","DG")</f>
        <v/>
      </c>
      <c r="N68" s="60" t="str">
        <f>IF(RIGHT(K68,2)="RE","RF","")</f>
        <v/>
      </c>
      <c r="O68" s="61" t="str">
        <f>VLOOKUP(A68,'1.Loading'!A:R,3,FALSE)</f>
        <v>SWSP</v>
      </c>
      <c r="P68" s="61" t="str">
        <f>VLOOKUP(A68,'1.Loading'!A:R,4,FALSE)</f>
        <v>2609N</v>
      </c>
      <c r="Q68" s="61" t="str">
        <f>VLOOKUP(D68,'2.Bookinglist'!A:CT,12,FALSE)</f>
        <v>BTS</v>
      </c>
      <c r="R68" s="60" t="str">
        <f>IF(LEFT(K68,2)="22","20'","40'")</f>
        <v>40'</v>
      </c>
      <c r="S68" s="185" t="n"/>
      <c r="T68" s="61" t="str">
        <f>VLOOKUP(A68,'1.Loading'!A:R,2,FALSE)</f>
        <v>2026-10-08</v>
      </c>
      <c r="U68" s="63">
        <f>T68-S68</f>
        <v>46303</v>
      </c>
      <c r="V68" s="186" t="n"/>
      <c r="W68" s="61" t="str">
        <f>VLOOKUP(A68,'3.GateMove'!A:D,4,FALSE)</f>
        <v>2026-09-29</v>
      </c>
      <c r="X68" s="63">
        <f>((T68-W68)+1)</f>
        <v>10</v>
      </c>
      <c r="Y68" s="64">
        <f>IF(AND(OR(C68="BKK01",C68="BKK04"),L68="CFS/CY"),0,IF(M68="DG",1,IF(LEFT(C68,3)="LCH",7,IF(C68="BKK02",5,3))))</f>
        <v>3</v>
      </c>
      <c r="Z68" s="63">
        <f>IF(IF(AND(AC68="TML",AB68&gt;0),((T68-W68)+1)-AB68,((T68-W68)+1)-Y68)&gt;0,IF(AND(AC68="TML",AB68&gt;0),((T68-W68)+1)-AB68,((T68-W68)+1)-Y68),0)</f>
        <v>7</v>
      </c>
      <c r="AA68" s="187">
        <f>IF(AND(B68="G1",M68=""),IF(R68="20'",
VLOOKUP(Z68,Charge!$K$2:$M$5,2,TRUE)+(Z68-VLOOKUP(Z68,Charge!$K$2:$M$5,1,TRUE))*VLOOKUP(Z68,Charge!$K$2:$M$5,3,TRUE),
VLOOKUP(Z68,Charge!$N$2:$P$5,2,TRUE)+(Z68-VLOOKUP(Z68,Charge!$N$2:$P$5,1,TRUE))*VLOOKUP(Z68,Charge!$N$2:$P$5,3,TRUE)),
IF(AND(B68="G1",M68="DG"),IF(R68="20'",
VLOOKUP(Z68,Charge!$R$2:$T$5,2,TRUE)+(Z68-VLOOKUP(Z68,Charge!$R$2:$T$5,1,TRUE))*VLOOKUP(Z68,Charge!$R$2:$T$5,3,TRUE),
VLOOKUP(Z68,Charge!$U$2:$W$5,2,TRUE)+(Z68-VLOOKUP(Z68,Charge!$U$2:$W$5,1,TRUE))*VLOOKUP(Z68,Charge!$U$2:$W$5,3,TRUE)),
IF(AND(B68="G3",M68=""),IF(R68="20'",
VLOOKUP(Z68,Charge!$K$18:$M$21,2,TRUE)+(Z68-VLOOKUP(Z68,Charge!$K$18:$M$21,1,TRUE))*VLOOKUP(Z68,Charge!$K$18:$M$21,3,TRUE),
VLOOKUP(Z68,Charge!$N$18:$P$21,2,TRUE)+(Z68-VLOOKUP(Z68,Charge!$N$18:$P$21,1,TRUE))*VLOOKUP(Z68,Charge!$N$18:$P$21,3,TRUE)),
IF(AND(B68="G3",M68="DG"),IF(R68="20'",
VLOOKUP(Z68,Charge!$R$18:$T$21,2,TRUE)+(Z68-VLOOKUP(Z68,Charge!$R$18:$T$21,1,TRUE))*VLOOKUP(Z68,Charge!$R$18:$T$21,3,TRUE),
VLOOKUP(Z68,Charge!$U$18:$W$21,2,TRUE)+(Z68-VLOOKUP(Z68,Charge!$U$18:$W$21,1,TRUE))*VLOOKUP(Z68,Charge!$U$18:$W$21,3,TRUE)),
IF(AND(B68="G2",M68=""),IF(R68="20'",
VLOOKUP(Z68,Charge!$K$9:$M$12,2,TRUE)+(Z68-VLOOKUP(Z68,Charge!$K$9:$M$12,1,TRUE))*VLOOKUP(Z68,Charge!$K$9:$M$12,3,TRUE),
VLOOKUP(Z68,Charge!$N$9:$P$12,2,TRUE)+(Z68-VLOOKUP(Z68,Charge!$N$9:$P$12,1,TRUE))*VLOOKUP(Z68,Charge!$N$9:$P$12,3,TRUE)),
IF(AND(B68="G2",M68="DG"),IF(R68="20'",
VLOOKUP(Z68,Charge!$R$9:$T$12,2,TRUE)+(Z68-VLOOKUP(Z68,Charge!$R$9:$T$12,1,TRUE))*VLOOKUP(Z68,Charge!$R$9:$T$12,3,TRUE),
VLOOKUP(Z68,Charge!$U$9:$W$12,2,TRUE)+(Z68-VLOOKUP(Z68,Charge!$U$9:$W$12,1,TRUE))*VLOOKUP(Z68,Charge!$U$9:$W$12,3,TRUE)),IF(AND(B68="G4",M68=""),IF(R68="20'",Z68*Charge!$M$25,Z68*Charge!$P$25),IF(AND(B68="G4",M68="DG"),IF(R68="20'",Z68*Charge!$T$25,Z68*Charge!$W$25),0))))))))</f>
        <v>2240</v>
      </c>
      <c r="AB68" s="184" t="n"/>
      <c r="AC68" s="184" t="n"/>
      <c r="AD68" s="60">
        <f>IF(M68="DG",3,IF(N68="RF",3,5))+IF(AND(LEFT(C68,3)="BKK",N68="RF",Q68="KTS"),1,0)+IF(Q68="KHS",1,0)</f>
        <v>5</v>
      </c>
      <c r="AE68" s="63">
        <f>(T68-V68)+1</f>
        <v>46304</v>
      </c>
      <c r="AF68" s="63">
        <f>IF(AB68&gt;IF((V68-W68)&gt;0,V68-W68,0),0,IF(AB68&lt;IF((V68-W68)&gt;0,V68-W68,0),IF((V68-W68)&gt;0,V68-W68,0)-AB68,IF((V68-W68)&gt;0,V68-W68,0)))</f>
        <v>0</v>
      </c>
      <c r="AG68" s="187">
        <f>IF(AND(M68=""),IF(R68="20'",
VLOOKUP(AF68,Charge!$K$31:$M$34,2,TRUE)+(AF68-VLOOKUP(AF68,Charge!$K$31:$M$34,1,TRUE))*VLOOKUP(AF68,Charge!$K$31:$M$34,3,TRUE),
VLOOKUP(AF68,Charge!$N$31:$P$34,2,TRUE)+(AF68-VLOOKUP(AF68,Charge!$N$31:$P$34,1,TRUE))*VLOOKUP(AF68,Charge!$N$31:$P$34,3,TRUE)),
IF(AND(M68="DG"),IF(R68="20'",
VLOOKUP(AF68,Charge!$R$31:$T$34,2,TRUE)+(AF68-VLOOKUP(AF68,Charge!$R$31:$T$34,1,TRUE))*VLOOKUP(AF68,Charge!$R$31:$T$34,3,TRUE),
VLOOKUP(AF68,Charge!$U$31:$W$34,2,TRUE)+(AF68-VLOOKUP(AF68,Charge!$U$31:$W$34,1,TRUE))*VLOOKUP(AF68,Charge!$U$31:$W$34,3,TRUE)),0))</f>
        <v>0</v>
      </c>
      <c r="AH68" s="65" t="n"/>
      <c r="AI68" s="65">
        <f>AA68-AH68</f>
        <v>2240</v>
      </c>
      <c r="AJ68" s="188" t="n"/>
      <c r="AK68" s="62" t="str">
        <f>VLOOKUP(D68,'2.Bookinglist'!A:CT,40,FALSE)</f>
        <v>Nustsireerach</v>
      </c>
      <c r="AL68" s="60" t="str">
        <f>VLOOKUP(D68,'2.Bookinglist'!A:CW,101,FALSE)</f>
        <v>2026-10-07</v>
      </c>
      <c r="AM68" s="60" t="str">
        <f>VLOOKUP(D68,'2.Bookinglist'!A:BK,63,FALSE)</f>
        <v>BKK27</v>
      </c>
      <c r="AN68" s="62" t="str">
        <f>VLOOKUP(D68,'2.Bookinglist'!A:AZ,52,FALSE)</f>
        <v>CY-RTN DD.28/09 - 29/09 
</v>
      </c>
      <c r="AO68" s="62" t="str">
        <f>VLOOKUP(D68,'2.Bookinglist'!A:CY,103,FALSE)</f>
        <v>ROLL OVER FROM PREVIOUS VSL KMBK 2611N BY ALLOCATION TEAM MS.TARN APPROVED COST IS UNDER HAL DD.01/10</v>
      </c>
    </row>
    <row r="69" ht="12.95" customHeight="1">
      <c r="A69" s="96" t="inlineStr">
        <is>
          <t>HLHU8588200</t>
        </is>
      </c>
      <c r="B69" s="184" t="str">
        <f>IF(C69=Charge!$M$1,Charge!$J$1,IF(C69=Charge!$M$23,Charge!$J$23,IF(C69=Charge!$M$17,Charge!$J$17,IF(C69=Charge!$N$17,Charge!$J$17,Charge!$J$7))))</f>
        <v>G3</v>
      </c>
      <c r="C69" s="61" t="str">
        <f>VLOOKUP(A69,'1.Loading'!A:R,14,FALSE)</f>
        <v>BKK04</v>
      </c>
      <c r="D69" s="61" t="str">
        <f>VLOOKUP(A69,'1.Loading'!A:R,17,FALSE)</f>
        <v>HASLS22260901954</v>
      </c>
      <c r="E69" s="62" t="str">
        <f>VLOOKUP(D69,'2.Bookinglist'!A:CT,27,FALSE)</f>
        <v>BIRLA CARBON (THAILAND) PUBLIC COMPANY LIMITED</v>
      </c>
      <c r="F69" s="62" t="str">
        <f>VLOOKUP(D69,'2.Bookinglist'!A:CT,28,FALSE)</f>
        <v>BIRLA CARBON (THAILAND) PUBLIC COMPANY LIMITED</v>
      </c>
      <c r="G69" s="60">
        <f>VLOOKUP(D69,'2.Bookinglist'!A:E,5,FALSE)</f>
        <v>0</v>
      </c>
      <c r="H69" s="61" t="str">
        <f>VLOOKUP(D69,'2.Bookinglist'!A:CT,15,FALSE)</f>
        <v>THBKK</v>
      </c>
      <c r="I69" s="61" t="str">
        <f>VLOOKUP(D69,'2.Bookinglist'!A:CT,19,FALSE)</f>
        <v>VNSGN</v>
      </c>
      <c r="J69" s="61">
        <f>VLOOKUP(D69,'2.Bookinglist'!A:CT,26,FALSE)</f>
        <v>0</v>
      </c>
      <c r="K69" s="61" t="str">
        <f>VLOOKUP(A69,'1.Loading'!A:R,5,FALSE)</f>
        <v>45GP</v>
      </c>
      <c r="L69" s="60" t="str">
        <f>VLOOKUP(D69,'2.Bookinglist'!A:CT,85,FALSE)</f>
        <v>CY/CY</v>
      </c>
      <c r="M69" s="60" t="str">
        <f>IF(VLOOKUP(D69,'2.Bookinglist'!A:CT,43,FALSE)=0,"","DG")</f>
        <v/>
      </c>
      <c r="N69" s="60" t="str">
        <f>IF(RIGHT(K69,2)="RE","RF","")</f>
        <v/>
      </c>
      <c r="O69" s="61" t="str">
        <f>VLOOKUP(A69,'1.Loading'!A:R,3,FALSE)</f>
        <v>SWSP</v>
      </c>
      <c r="P69" s="61" t="str">
        <f>VLOOKUP(A69,'1.Loading'!A:R,4,FALSE)</f>
        <v>2609N</v>
      </c>
      <c r="Q69" s="61" t="str">
        <f>VLOOKUP(D69,'2.Bookinglist'!A:CT,12,FALSE)</f>
        <v>BTS</v>
      </c>
      <c r="R69" s="60" t="str">
        <f>IF(LEFT(K69,2)="22","20'","40'")</f>
        <v>40'</v>
      </c>
      <c r="S69" s="185" t="n"/>
      <c r="T69" s="61" t="str">
        <f>VLOOKUP(A69,'1.Loading'!A:R,2,FALSE)</f>
        <v>2026-10-08</v>
      </c>
      <c r="U69" s="63">
        <f>T69-S69</f>
        <v>46303</v>
      </c>
      <c r="V69" s="186" t="n"/>
      <c r="W69" s="61" t="str">
        <f>VLOOKUP(A69,'3.GateMove'!A:D,4,FALSE)</f>
        <v>2026-09-24</v>
      </c>
      <c r="X69" s="63">
        <f>((T69-W69)+1)</f>
        <v>15</v>
      </c>
      <c r="Y69" s="64">
        <f>IF(AND(OR(C69="BKK01",C69="BKK04"),L69="CFS/CY"),0,IF(M69="DG",1,IF(LEFT(C69,3)="LCH",7,IF(C69="BKK02",5,3))))</f>
        <v>3</v>
      </c>
      <c r="Z69" s="63">
        <f>IF(IF(AND(AC69="TML",AB69&gt;0),((T69-W69)+1)-AB69,((T69-W69)+1)-Y69)&gt;0,IF(AND(AC69="TML",AB69&gt;0),((T69-W69)+1)-AB69,((T69-W69)+1)-Y69),0)</f>
        <v>12</v>
      </c>
      <c r="AA69" s="187">
        <f>IF(AND(B69="G1",M69=""),IF(R69="20'",
VLOOKUP(Z69,Charge!$K$2:$M$5,2,TRUE)+(Z69-VLOOKUP(Z69,Charge!$K$2:$M$5,1,TRUE))*VLOOKUP(Z69,Charge!$K$2:$M$5,3,TRUE),
VLOOKUP(Z69,Charge!$N$2:$P$5,2,TRUE)+(Z69-VLOOKUP(Z69,Charge!$N$2:$P$5,1,TRUE))*VLOOKUP(Z69,Charge!$N$2:$P$5,3,TRUE)),
IF(AND(B69="G1",M69="DG"),IF(R69="20'",
VLOOKUP(Z69,Charge!$R$2:$T$5,2,TRUE)+(Z69-VLOOKUP(Z69,Charge!$R$2:$T$5,1,TRUE))*VLOOKUP(Z69,Charge!$R$2:$T$5,3,TRUE),
VLOOKUP(Z69,Charge!$U$2:$W$5,2,TRUE)+(Z69-VLOOKUP(Z69,Charge!$U$2:$W$5,1,TRUE))*VLOOKUP(Z69,Charge!$U$2:$W$5,3,TRUE)),
IF(AND(B69="G3",M69=""),IF(R69="20'",
VLOOKUP(Z69,Charge!$K$18:$M$21,2,TRUE)+(Z69-VLOOKUP(Z69,Charge!$K$18:$M$21,1,TRUE))*VLOOKUP(Z69,Charge!$K$18:$M$21,3,TRUE),
VLOOKUP(Z69,Charge!$N$18:$P$21,2,TRUE)+(Z69-VLOOKUP(Z69,Charge!$N$18:$P$21,1,TRUE))*VLOOKUP(Z69,Charge!$N$18:$P$21,3,TRUE)),
IF(AND(B69="G3",M69="DG"),IF(R69="20'",
VLOOKUP(Z69,Charge!$R$18:$T$21,2,TRUE)+(Z69-VLOOKUP(Z69,Charge!$R$18:$T$21,1,TRUE))*VLOOKUP(Z69,Charge!$R$18:$T$21,3,TRUE),
VLOOKUP(Z69,Charge!$U$18:$W$21,2,TRUE)+(Z69-VLOOKUP(Z69,Charge!$U$18:$W$21,1,TRUE))*VLOOKUP(Z69,Charge!$U$18:$W$21,3,TRUE)),
IF(AND(B69="G2",M69=""),IF(R69="20'",
VLOOKUP(Z69,Charge!$K$9:$M$12,2,TRUE)+(Z69-VLOOKUP(Z69,Charge!$K$9:$M$12,1,TRUE))*VLOOKUP(Z69,Charge!$K$9:$M$12,3,TRUE),
VLOOKUP(Z69,Charge!$N$9:$P$12,2,TRUE)+(Z69-VLOOKUP(Z69,Charge!$N$9:$P$12,1,TRUE))*VLOOKUP(Z69,Charge!$N$9:$P$12,3,TRUE)),
IF(AND(B69="G2",M69="DG"),IF(R69="20'",
VLOOKUP(Z69,Charge!$R$9:$T$12,2,TRUE)+(Z69-VLOOKUP(Z69,Charge!$R$9:$T$12,1,TRUE))*VLOOKUP(Z69,Charge!$R$9:$T$12,3,TRUE),
VLOOKUP(Z69,Charge!$U$9:$W$12,2,TRUE)+(Z69-VLOOKUP(Z69,Charge!$U$9:$W$12,1,TRUE))*VLOOKUP(Z69,Charge!$U$9:$W$12,3,TRUE)),IF(AND(B69="G4",M69=""),IF(R69="20'",Z69*Charge!$M$25,Z69*Charge!$P$25),IF(AND(B69="G4",M69="DG"),IF(R69="20'",Z69*Charge!$T$25,Z69*Charge!$W$25),0))))))))</f>
        <v>4990</v>
      </c>
      <c r="AB69" s="184" t="n"/>
      <c r="AC69" s="184" t="n"/>
      <c r="AD69" s="60">
        <f>IF(M69="DG",3,IF(N69="RF",3,5))+IF(AND(LEFT(C69,3)="BKK",N69="RF",Q69="KTS"),1,0)+IF(Q69="KHS",1,0)</f>
        <v>5</v>
      </c>
      <c r="AE69" s="63">
        <f>(T69-V69)+1</f>
        <v>46304</v>
      </c>
      <c r="AF69" s="63">
        <f>IF(AB69&gt;IF((V69-W69)&gt;0,V69-W69,0),0,IF(AB69&lt;IF((V69-W69)&gt;0,V69-W69,0),IF((V69-W69)&gt;0,V69-W69,0)-AB69,IF((V69-W69)&gt;0,V69-W69,0)))</f>
        <v>0</v>
      </c>
      <c r="AG69" s="187">
        <f>IF(AND(M69=""),IF(R69="20'",
VLOOKUP(AF69,Charge!$K$31:$M$34,2,TRUE)+(AF69-VLOOKUP(AF69,Charge!$K$31:$M$34,1,TRUE))*VLOOKUP(AF69,Charge!$K$31:$M$34,3,TRUE),
VLOOKUP(AF69,Charge!$N$31:$P$34,2,TRUE)+(AF69-VLOOKUP(AF69,Charge!$N$31:$P$34,1,TRUE))*VLOOKUP(AF69,Charge!$N$31:$P$34,3,TRUE)),
IF(AND(M69="DG"),IF(R69="20'",
VLOOKUP(AF69,Charge!$R$31:$T$34,2,TRUE)+(AF69-VLOOKUP(AF69,Charge!$R$31:$T$34,1,TRUE))*VLOOKUP(AF69,Charge!$R$31:$T$34,3,TRUE),
VLOOKUP(AF69,Charge!$U$31:$W$34,2,TRUE)+(AF69-VLOOKUP(AF69,Charge!$U$31:$W$34,1,TRUE))*VLOOKUP(AF69,Charge!$U$31:$W$34,3,TRUE)),0))</f>
        <v>0</v>
      </c>
      <c r="AH69" s="65" t="n"/>
      <c r="AI69" s="65">
        <f>AA69-AH69</f>
        <v>4990</v>
      </c>
      <c r="AJ69" s="188" t="n"/>
      <c r="AK69" s="62" t="str">
        <f>VLOOKUP(D69,'2.Bookinglist'!A:CT,40,FALSE)</f>
        <v>Dharaporn</v>
      </c>
      <c r="AL69" s="60" t="str">
        <f>VLOOKUP(D69,'2.Bookinglist'!A:CW,101,FALSE)</f>
        <v>2026-10-05</v>
      </c>
      <c r="AM69" s="60" t="str">
        <f>VLOOKUP(D69,'2.Bookinglist'!A:BK,63,FALSE)</f>
        <v>BKK27</v>
      </c>
      <c r="AN69" s="62" t="str">
        <f>VLOOKUP(D69,'2.Bookinglist'!A:AZ,52,FALSE)</f>
        <v>Pickup : 2026-09-23, Return : 2026-04-23 CLS TIME DD.23/09 BEFORE 2359HRS</v>
      </c>
      <c r="AO69" s="62">
        <f>VLOOKUP(D69,'2.Bookinglist'!A:CY,103,FALSE)</f>
        <v>0</v>
      </c>
    </row>
    <row r="70" ht="12.95" customHeight="1">
      <c r="A70" s="96" t="inlineStr">
        <is>
          <t>SEGU2340919</t>
        </is>
      </c>
      <c r="B70" s="184" t="str">
        <f>IF(C70=Charge!$M$1,Charge!$J$1,IF(C70=Charge!$M$23,Charge!$J$23,IF(C70=Charge!$M$17,Charge!$J$17,IF(C70=Charge!$N$17,Charge!$J$17,Charge!$J$7))))</f>
        <v>G3</v>
      </c>
      <c r="C70" s="61" t="str">
        <f>VLOOKUP(A70,'1.Loading'!A:R,14,FALSE)</f>
        <v>BKK04</v>
      </c>
      <c r="D70" s="61" t="str">
        <f>VLOOKUP(A70,'1.Loading'!A:R,17,FALSE)</f>
        <v>HASLS22260801914</v>
      </c>
      <c r="E70" s="62" t="str">
        <f>VLOOKUP(D70,'2.Bookinglist'!A:CT,27,FALSE)</f>
        <v>DP WORLD LOGISTICS SOLUTIONS (THAILAND) COMPANY LIMITED</v>
      </c>
      <c r="F70" s="62" t="str">
        <f>VLOOKUP(D70,'2.Bookinglist'!A:CT,28,FALSE)</f>
        <v>DP WORLD LOGISTICS SOLUTIONS (THAILAND) COMPANY LIMITED</v>
      </c>
      <c r="G70" s="60">
        <f>VLOOKUP(D70,'2.Bookinglist'!A:E,5,FALSE)</f>
        <v>0</v>
      </c>
      <c r="H70" s="61" t="str">
        <f>VLOOKUP(D70,'2.Bookinglist'!A:CT,15,FALSE)</f>
        <v>THBKK</v>
      </c>
      <c r="I70" s="61" t="str">
        <f>VLOOKUP(D70,'2.Bookinglist'!A:CT,19,FALSE)</f>
        <v>KRPTK</v>
      </c>
      <c r="J70" s="61">
        <f>VLOOKUP(D70,'2.Bookinglist'!A:CT,26,FALSE)</f>
        <v>0</v>
      </c>
      <c r="K70" s="61" t="str">
        <f>VLOOKUP(A70,'1.Loading'!A:R,5,FALSE)</f>
        <v>22GP</v>
      </c>
      <c r="L70" s="60" t="str">
        <f>VLOOKUP(D70,'2.Bookinglist'!A:CT,85,FALSE)</f>
        <v>CY/CY</v>
      </c>
      <c r="M70" s="60" t="str">
        <f>IF(VLOOKUP(D70,'2.Bookinglist'!A:CT,43,FALSE)=0,"","DG")</f>
        <v/>
      </c>
      <c r="N70" s="60" t="str">
        <f>IF(RIGHT(K70,2)="RE","RF","")</f>
        <v/>
      </c>
      <c r="O70" s="61" t="str">
        <f>VLOOKUP(A70,'1.Loading'!A:R,3,FALSE)</f>
        <v>SWSP</v>
      </c>
      <c r="P70" s="61" t="str">
        <f>VLOOKUP(A70,'1.Loading'!A:R,4,FALSE)</f>
        <v>2609N</v>
      </c>
      <c r="Q70" s="61" t="str">
        <f>VLOOKUP(D70,'2.Bookinglist'!A:CT,12,FALSE)</f>
        <v>BTS</v>
      </c>
      <c r="R70" s="60" t="str">
        <f>IF(LEFT(K70,2)="22","20'","40'")</f>
        <v>20'</v>
      </c>
      <c r="S70" s="185" t="n"/>
      <c r="T70" s="61" t="str">
        <f>VLOOKUP(A70,'1.Loading'!A:R,2,FALSE)</f>
        <v>2026-10-08</v>
      </c>
      <c r="U70" s="63">
        <f>T70-S70</f>
        <v>46303</v>
      </c>
      <c r="V70" s="186" t="n"/>
      <c r="W70" s="61" t="str">
        <f>VLOOKUP(A70,'3.GateMove'!A:D,4,FALSE)</f>
        <v>2026-09-21</v>
      </c>
      <c r="X70" s="63">
        <f>((T70-W70)+1)</f>
        <v>18</v>
      </c>
      <c r="Y70" s="64">
        <f>IF(AND(OR(C70="BKK01",C70="BKK04"),L70="CFS/CY"),0,IF(M70="DG",1,IF(LEFT(C70,3)="LCH",7,IF(C70="BKK02",5,3))))</f>
        <v>3</v>
      </c>
      <c r="Z70" s="63">
        <f>IF(IF(AND(AC70="TML",AB70&gt;0),((T70-W70)+1)-AB70,((T70-W70)+1)-Y70)&gt;0,IF(AND(AC70="TML",AB70&gt;0),((T70-W70)+1)-AB70,((T70-W70)+1)-Y70),0)</f>
        <v>15</v>
      </c>
      <c r="AA70" s="187">
        <f>IF(AND(B70="G1",M70=""),IF(R70="20'",
VLOOKUP(Z70,Charge!$K$2:$M$5,2,TRUE)+(Z70-VLOOKUP(Z70,Charge!$K$2:$M$5,1,TRUE))*VLOOKUP(Z70,Charge!$K$2:$M$5,3,TRUE),
VLOOKUP(Z70,Charge!$N$2:$P$5,2,TRUE)+(Z70-VLOOKUP(Z70,Charge!$N$2:$P$5,1,TRUE))*VLOOKUP(Z70,Charge!$N$2:$P$5,3,TRUE)),
IF(AND(B70="G1",M70="DG"),IF(R70="20'",
VLOOKUP(Z70,Charge!$R$2:$T$5,2,TRUE)+(Z70-VLOOKUP(Z70,Charge!$R$2:$T$5,1,TRUE))*VLOOKUP(Z70,Charge!$R$2:$T$5,3,TRUE),
VLOOKUP(Z70,Charge!$U$2:$W$5,2,TRUE)+(Z70-VLOOKUP(Z70,Charge!$U$2:$W$5,1,TRUE))*VLOOKUP(Z70,Charge!$U$2:$W$5,3,TRUE)),
IF(AND(B70="G3",M70=""),IF(R70="20'",
VLOOKUP(Z70,Charge!$K$18:$M$21,2,TRUE)+(Z70-VLOOKUP(Z70,Charge!$K$18:$M$21,1,TRUE))*VLOOKUP(Z70,Charge!$K$18:$M$21,3,TRUE),
VLOOKUP(Z70,Charge!$N$18:$P$21,2,TRUE)+(Z70-VLOOKUP(Z70,Charge!$N$18:$P$21,1,TRUE))*VLOOKUP(Z70,Charge!$N$18:$P$21,3,TRUE)),
IF(AND(B70="G3",M70="DG"),IF(R70="20'",
VLOOKUP(Z70,Charge!$R$18:$T$21,2,TRUE)+(Z70-VLOOKUP(Z70,Charge!$R$18:$T$21,1,TRUE))*VLOOKUP(Z70,Charge!$R$18:$T$21,3,TRUE),
VLOOKUP(Z70,Charge!$U$18:$W$21,2,TRUE)+(Z70-VLOOKUP(Z70,Charge!$U$18:$W$21,1,TRUE))*VLOOKUP(Z70,Charge!$U$18:$W$21,3,TRUE)),
IF(AND(B70="G2",M70=""),IF(R70="20'",
VLOOKUP(Z70,Charge!$K$9:$M$12,2,TRUE)+(Z70-VLOOKUP(Z70,Charge!$K$9:$M$12,1,TRUE))*VLOOKUP(Z70,Charge!$K$9:$M$12,3,TRUE),
VLOOKUP(Z70,Charge!$N$9:$P$12,2,TRUE)+(Z70-VLOOKUP(Z70,Charge!$N$9:$P$12,1,TRUE))*VLOOKUP(Z70,Charge!$N$9:$P$12,3,TRUE)),
IF(AND(B70="G2",M70="DG"),IF(R70="20'",
VLOOKUP(Z70,Charge!$R$9:$T$12,2,TRUE)+(Z70-VLOOKUP(Z70,Charge!$R$9:$T$12,1,TRUE))*VLOOKUP(Z70,Charge!$R$9:$T$12,3,TRUE),
VLOOKUP(Z70,Charge!$U$9:$W$12,2,TRUE)+(Z70-VLOOKUP(Z70,Charge!$U$9:$W$12,1,TRUE))*VLOOKUP(Z70,Charge!$U$9:$W$12,3,TRUE)),IF(AND(B70="G4",M70=""),IF(R70="20'",Z70*Charge!$M$25,Z70*Charge!$P$25),IF(AND(B70="G4",M70="DG"),IF(R70="20'",Z70*Charge!$T$25,Z70*Charge!$W$25),0))))))))</f>
        <v>3435</v>
      </c>
      <c r="AB70" s="184" t="n"/>
      <c r="AC70" s="184" t="n"/>
      <c r="AD70" s="60">
        <f>IF(M70="DG",3,IF(N70="RF",3,5))+IF(AND(LEFT(C70,3)="BKK",N70="RF",Q70="KTS"),1,0)+IF(Q70="KHS",1,0)</f>
        <v>5</v>
      </c>
      <c r="AE70" s="63">
        <f>(T70-V70)+1</f>
        <v>46304</v>
      </c>
      <c r="AF70" s="63">
        <f>IF(AB70&gt;IF((V70-W70)&gt;0,V70-W70,0),0,IF(AB70&lt;IF((V70-W70)&gt;0,V70-W70,0),IF((V70-W70)&gt;0,V70-W70,0)-AB70,IF((V70-W70)&gt;0,V70-W70,0)))</f>
        <v>0</v>
      </c>
      <c r="AG70" s="187">
        <f>IF(AND(M70=""),IF(R70="20'",
VLOOKUP(AF70,Charge!$K$31:$M$34,2,TRUE)+(AF70-VLOOKUP(AF70,Charge!$K$31:$M$34,1,TRUE))*VLOOKUP(AF70,Charge!$K$31:$M$34,3,TRUE),
VLOOKUP(AF70,Charge!$N$31:$P$34,2,TRUE)+(AF70-VLOOKUP(AF70,Charge!$N$31:$P$34,1,TRUE))*VLOOKUP(AF70,Charge!$N$31:$P$34,3,TRUE)),
IF(AND(M70="DG"),IF(R70="20'",
VLOOKUP(AF70,Charge!$R$31:$T$34,2,TRUE)+(AF70-VLOOKUP(AF70,Charge!$R$31:$T$34,1,TRUE))*VLOOKUP(AF70,Charge!$R$31:$T$34,3,TRUE),
VLOOKUP(AF70,Charge!$U$31:$W$34,2,TRUE)+(AF70-VLOOKUP(AF70,Charge!$U$31:$W$34,1,TRUE))*VLOOKUP(AF70,Charge!$U$31:$W$34,3,TRUE)),0))</f>
        <v>0</v>
      </c>
      <c r="AH70" s="65" t="n"/>
      <c r="AI70" s="65">
        <f>AA70-AH70</f>
        <v>3435</v>
      </c>
      <c r="AJ70" s="188" t="n"/>
      <c r="AK70" s="62" t="str">
        <f>VLOOKUP(D70,'2.Bookinglist'!A:CT,40,FALSE)</f>
        <v>Nannaapust Sukporntaweewat</v>
      </c>
      <c r="AL70" s="60" t="str">
        <f>VLOOKUP(D70,'2.Bookinglist'!A:CW,101,FALSE)</f>
        <v>2026-10-05</v>
      </c>
      <c r="AM70" s="60" t="str">
        <f>VLOOKUP(D70,'2.Bookinglist'!A:BK,63,FALSE)</f>
        <v>BKK27</v>
      </c>
      <c r="AN70" s="62" t="str">
        <f>VLOOKUP(D70,'2.Bookinglist'!A:AZ,52,FALSE)</f>
        <v>** APPROVED BY H.W KANG DD.28/09/2026 ** *FLEXIBAG ONDECK*
Servey : 17/09/2026, Pickup : 18/09/2026, Return : 21/09/2026 *EXTEND CLS TIME : 22/09/2026 @06.00* </v>
      </c>
      <c r="AO70" s="62" t="str">
        <f>VLOOKUP(D70,'2.Bookinglist'!A:CY,103,FALSE)</f>
        <v>ROLL OVER FROM PREVIOUS VSL SWMM 2609N BY ALLOCATION TEAM MS.TARN APRPOVED COST IS UNDER HA DD.21/09</v>
      </c>
    </row>
    <row r="71" ht="12.95" customHeight="1">
      <c r="A71" s="96" t="inlineStr">
        <is>
          <t>SEKU4968806</t>
        </is>
      </c>
      <c r="B71" s="184" t="str">
        <f>IF(C71=Charge!$M$1,Charge!$J$1,IF(C71=Charge!$M$23,Charge!$J$23,IF(C71=Charge!$M$17,Charge!$J$17,IF(C71=Charge!$N$17,Charge!$J$17,Charge!$J$7))))</f>
        <v>G3</v>
      </c>
      <c r="C71" s="61" t="str">
        <f>VLOOKUP(A71,'1.Loading'!A:R,14,FALSE)</f>
        <v>BKK04</v>
      </c>
      <c r="D71" s="61" t="str">
        <f>VLOOKUP(A71,'1.Loading'!A:R,17,FALSE)</f>
        <v>HASLS22260901688</v>
      </c>
      <c r="E71" s="62" t="str">
        <f>VLOOKUP(D71,'2.Bookinglist'!A:CT,27,FALSE)</f>
        <v>METRO PARTICLE CO., LTD.</v>
      </c>
      <c r="F71" s="62" t="str">
        <f>VLOOKUP(D71,'2.Bookinglist'!A:CT,28,FALSE)</f>
        <v>METRO PARTICLE CO., LTD.</v>
      </c>
      <c r="G71" s="60">
        <f>VLOOKUP(D71,'2.Bookinglist'!A:E,5,FALSE)</f>
        <v>0</v>
      </c>
      <c r="H71" s="61" t="str">
        <f>VLOOKUP(D71,'2.Bookinglist'!A:CT,15,FALSE)</f>
        <v>THBKK</v>
      </c>
      <c r="I71" s="61" t="str">
        <f>VLOOKUP(D71,'2.Bookinglist'!A:CT,19,FALSE)</f>
        <v>VNSGN</v>
      </c>
      <c r="J71" s="61">
        <f>VLOOKUP(D71,'2.Bookinglist'!A:CT,26,FALSE)</f>
        <v>0</v>
      </c>
      <c r="K71" s="61" t="str">
        <f>VLOOKUP(A71,'1.Loading'!A:R,5,FALSE)</f>
        <v>45GP</v>
      </c>
      <c r="L71" s="60" t="str">
        <f>VLOOKUP(D71,'2.Bookinglist'!A:CT,85,FALSE)</f>
        <v>CY/CY</v>
      </c>
      <c r="M71" s="60" t="str">
        <f>IF(VLOOKUP(D71,'2.Bookinglist'!A:CT,43,FALSE)=0,"","DG")</f>
        <v/>
      </c>
      <c r="N71" s="60" t="str">
        <f>IF(RIGHT(K71,2)="RE","RF","")</f>
        <v/>
      </c>
      <c r="O71" s="61" t="str">
        <f>VLOOKUP(A71,'1.Loading'!A:R,3,FALSE)</f>
        <v>SWSP</v>
      </c>
      <c r="P71" s="61" t="str">
        <f>VLOOKUP(A71,'1.Loading'!A:R,4,FALSE)</f>
        <v>2609N</v>
      </c>
      <c r="Q71" s="61" t="str">
        <f>VLOOKUP(D71,'2.Bookinglist'!A:CT,12,FALSE)</f>
        <v>BTS</v>
      </c>
      <c r="R71" s="60" t="str">
        <f>IF(LEFT(K71,2)="22","20'","40'")</f>
        <v>40'</v>
      </c>
      <c r="S71" s="185" t="n"/>
      <c r="T71" s="61" t="str">
        <f>VLOOKUP(A71,'1.Loading'!A:R,2,FALSE)</f>
        <v>2026-10-08</v>
      </c>
      <c r="U71" s="63">
        <f>T71-S71</f>
        <v>46303</v>
      </c>
      <c r="V71" s="186" t="n"/>
      <c r="W71" s="61" t="str">
        <f>VLOOKUP(A71,'3.GateMove'!A:D,4,FALSE)</f>
        <v>2026-09-29</v>
      </c>
      <c r="X71" s="63">
        <f>((T71-W71)+1)</f>
        <v>10</v>
      </c>
      <c r="Y71" s="64">
        <f>IF(AND(OR(C71="BKK01",C71="BKK04"),L71="CFS/CY"),0,IF(M71="DG",1,IF(LEFT(C71,3)="LCH",7,IF(C71="BKK02",5,3))))</f>
        <v>3</v>
      </c>
      <c r="Z71" s="63">
        <f>IF(IF(AND(AC71="TML",AB71&gt;0),((T71-W71)+1)-AB71,((T71-W71)+1)-Y71)&gt;0,IF(AND(AC71="TML",AB71&gt;0),((T71-W71)+1)-AB71,((T71-W71)+1)-Y71),0)</f>
        <v>7</v>
      </c>
      <c r="AA71" s="187">
        <f>IF(AND(B71="G1",M71=""),IF(R71="20'",
VLOOKUP(Z71,Charge!$K$2:$M$5,2,TRUE)+(Z71-VLOOKUP(Z71,Charge!$K$2:$M$5,1,TRUE))*VLOOKUP(Z71,Charge!$K$2:$M$5,3,TRUE),
VLOOKUP(Z71,Charge!$N$2:$P$5,2,TRUE)+(Z71-VLOOKUP(Z71,Charge!$N$2:$P$5,1,TRUE))*VLOOKUP(Z71,Charge!$N$2:$P$5,3,TRUE)),
IF(AND(B71="G1",M71="DG"),IF(R71="20'",
VLOOKUP(Z71,Charge!$R$2:$T$5,2,TRUE)+(Z71-VLOOKUP(Z71,Charge!$R$2:$T$5,1,TRUE))*VLOOKUP(Z71,Charge!$R$2:$T$5,3,TRUE),
VLOOKUP(Z71,Charge!$U$2:$W$5,2,TRUE)+(Z71-VLOOKUP(Z71,Charge!$U$2:$W$5,1,TRUE))*VLOOKUP(Z71,Charge!$U$2:$W$5,3,TRUE)),
IF(AND(B71="G3",M71=""),IF(R71="20'",
VLOOKUP(Z71,Charge!$K$18:$M$21,2,TRUE)+(Z71-VLOOKUP(Z71,Charge!$K$18:$M$21,1,TRUE))*VLOOKUP(Z71,Charge!$K$18:$M$21,3,TRUE),
VLOOKUP(Z71,Charge!$N$18:$P$21,2,TRUE)+(Z71-VLOOKUP(Z71,Charge!$N$18:$P$21,1,TRUE))*VLOOKUP(Z71,Charge!$N$18:$P$21,3,TRUE)),
IF(AND(B71="G3",M71="DG"),IF(R71="20'",
VLOOKUP(Z71,Charge!$R$18:$T$21,2,TRUE)+(Z71-VLOOKUP(Z71,Charge!$R$18:$T$21,1,TRUE))*VLOOKUP(Z71,Charge!$R$18:$T$21,3,TRUE),
VLOOKUP(Z71,Charge!$U$18:$W$21,2,TRUE)+(Z71-VLOOKUP(Z71,Charge!$U$18:$W$21,1,TRUE))*VLOOKUP(Z71,Charge!$U$18:$W$21,3,TRUE)),
IF(AND(B71="G2",M71=""),IF(R71="20'",
VLOOKUP(Z71,Charge!$K$9:$M$12,2,TRUE)+(Z71-VLOOKUP(Z71,Charge!$K$9:$M$12,1,TRUE))*VLOOKUP(Z71,Charge!$K$9:$M$12,3,TRUE),
VLOOKUP(Z71,Charge!$N$9:$P$12,2,TRUE)+(Z71-VLOOKUP(Z71,Charge!$N$9:$P$12,1,TRUE))*VLOOKUP(Z71,Charge!$N$9:$P$12,3,TRUE)),
IF(AND(B71="G2",M71="DG"),IF(R71="20'",
VLOOKUP(Z71,Charge!$R$9:$T$12,2,TRUE)+(Z71-VLOOKUP(Z71,Charge!$R$9:$T$12,1,TRUE))*VLOOKUP(Z71,Charge!$R$9:$T$12,3,TRUE),
VLOOKUP(Z71,Charge!$U$9:$W$12,2,TRUE)+(Z71-VLOOKUP(Z71,Charge!$U$9:$W$12,1,TRUE))*VLOOKUP(Z71,Charge!$U$9:$W$12,3,TRUE)),IF(AND(B71="G4",M71=""),IF(R71="20'",Z71*Charge!$M$25,Z71*Charge!$P$25),IF(AND(B71="G4",M71="DG"),IF(R71="20'",Z71*Charge!$T$25,Z71*Charge!$W$25),0))))))))</f>
        <v>2240</v>
      </c>
      <c r="AB71" s="184" t="n"/>
      <c r="AC71" s="184" t="n"/>
      <c r="AD71" s="60">
        <f>IF(M71="DG",3,IF(N71="RF",3,5))+IF(AND(LEFT(C71,3)="BKK",N71="RF",Q71="KTS"),1,0)+IF(Q71="KHS",1,0)</f>
        <v>5</v>
      </c>
      <c r="AE71" s="63">
        <f>(T71-V71)+1</f>
        <v>46304</v>
      </c>
      <c r="AF71" s="63">
        <f>IF(AB71&gt;IF((V71-W71)&gt;0,V71-W71,0),0,IF(AB71&lt;IF((V71-W71)&gt;0,V71-W71,0),IF((V71-W71)&gt;0,V71-W71,0)-AB71,IF((V71-W71)&gt;0,V71-W71,0)))</f>
        <v>0</v>
      </c>
      <c r="AG71" s="187">
        <f>IF(AND(M71=""),IF(R71="20'",
VLOOKUP(AF71,Charge!$K$31:$M$34,2,TRUE)+(AF71-VLOOKUP(AF71,Charge!$K$31:$M$34,1,TRUE))*VLOOKUP(AF71,Charge!$K$31:$M$34,3,TRUE),
VLOOKUP(AF71,Charge!$N$31:$P$34,2,TRUE)+(AF71-VLOOKUP(AF71,Charge!$N$31:$P$34,1,TRUE))*VLOOKUP(AF71,Charge!$N$31:$P$34,3,TRUE)),
IF(AND(M71="DG"),IF(R71="20'",
VLOOKUP(AF71,Charge!$R$31:$T$34,2,TRUE)+(AF71-VLOOKUP(AF71,Charge!$R$31:$T$34,1,TRUE))*VLOOKUP(AF71,Charge!$R$31:$T$34,3,TRUE),
VLOOKUP(AF71,Charge!$U$31:$W$34,2,TRUE)+(AF71-VLOOKUP(AF71,Charge!$U$31:$W$34,1,TRUE))*VLOOKUP(AF71,Charge!$U$31:$W$34,3,TRUE)),0))</f>
        <v>0</v>
      </c>
      <c r="AH71" s="65" t="n"/>
      <c r="AI71" s="65">
        <f>AA71-AH71</f>
        <v>2240</v>
      </c>
      <c r="AJ71" s="188" t="n"/>
      <c r="AK71" s="62" t="str">
        <f>VLOOKUP(D71,'2.Bookinglist'!A:CT,40,FALSE)</f>
        <v>Nustsireerach</v>
      </c>
      <c r="AL71" s="60" t="str">
        <f>VLOOKUP(D71,'2.Bookinglist'!A:CW,101,FALSE)</f>
        <v>2026-10-07</v>
      </c>
      <c r="AM71" s="60" t="str">
        <f>VLOOKUP(D71,'2.Bookinglist'!A:BK,63,FALSE)</f>
        <v>BKK27</v>
      </c>
      <c r="AN71" s="62" t="str">
        <f>VLOOKUP(D71,'2.Bookinglist'!A:AZ,52,FALSE)</f>
        <v>CY-RTN DD.28/09 - 29/09 
</v>
      </c>
      <c r="AO71" s="62" t="str">
        <f>VLOOKUP(D71,'2.Bookinglist'!A:CY,103,FALSE)</f>
        <v>ROLL OVER FROM PREVIOUS VSL KMBK 2611N BY ALLOCATION TEAM MS.TARN APPROVED COST IS UNDER HAL DD.01/10</v>
      </c>
    </row>
    <row r="72" ht="12.95" customHeight="1">
      <c r="A72" s="96" t="inlineStr">
        <is>
          <t>SEKU4978548</t>
        </is>
      </c>
      <c r="B72" s="184" t="str">
        <f>IF(C72=Charge!$M$1,Charge!$J$1,IF(C72=Charge!$M$23,Charge!$J$23,IF(C72=Charge!$M$17,Charge!$J$17,IF(C72=Charge!$N$17,Charge!$J$17,Charge!$J$7))))</f>
        <v>G3</v>
      </c>
      <c r="C72" s="61" t="str">
        <f>VLOOKUP(A72,'1.Loading'!A:R,14,FALSE)</f>
        <v>BKK04</v>
      </c>
      <c r="D72" s="61" t="str">
        <f>VLOOKUP(A72,'1.Loading'!A:R,17,FALSE)</f>
        <v>HASLS22260900864</v>
      </c>
      <c r="E72" s="62" t="str">
        <f>VLOOKUP(D72,'2.Bookinglist'!A:CT,27,FALSE)</f>
        <v>CNTRANS EXPRESS CO., LTD.</v>
      </c>
      <c r="F72" s="62" t="str">
        <f>VLOOKUP(D72,'2.Bookinglist'!A:CT,28,FALSE)</f>
        <v>HO CHEM CO., LTD</v>
      </c>
      <c r="G72" s="60">
        <f>VLOOKUP(D72,'2.Bookinglist'!A:E,5,FALSE)</f>
        <v>0</v>
      </c>
      <c r="H72" s="61" t="str">
        <f>VLOOKUP(D72,'2.Bookinglist'!A:CT,15,FALSE)</f>
        <v>THBKK</v>
      </c>
      <c r="I72" s="61" t="str">
        <f>VLOOKUP(D72,'2.Bookinglist'!A:CT,19,FALSE)</f>
        <v>VNSGN</v>
      </c>
      <c r="J72" s="61">
        <f>VLOOKUP(D72,'2.Bookinglist'!A:CT,26,FALSE)</f>
        <v>0</v>
      </c>
      <c r="K72" s="61" t="str">
        <f>VLOOKUP(A72,'1.Loading'!A:R,5,FALSE)</f>
        <v>45GP</v>
      </c>
      <c r="L72" s="60" t="str">
        <f>VLOOKUP(D72,'2.Bookinglist'!A:CT,85,FALSE)</f>
        <v>CY/CY</v>
      </c>
      <c r="M72" s="60" t="str">
        <f>IF(VLOOKUP(D72,'2.Bookinglist'!A:CT,43,FALSE)=0,"","DG")</f>
        <v/>
      </c>
      <c r="N72" s="60" t="str">
        <f>IF(RIGHT(K72,2)="RE","RF","")</f>
        <v/>
      </c>
      <c r="O72" s="61" t="str">
        <f>VLOOKUP(A72,'1.Loading'!A:R,3,FALSE)</f>
        <v>SWSP</v>
      </c>
      <c r="P72" s="61" t="str">
        <f>VLOOKUP(A72,'1.Loading'!A:R,4,FALSE)</f>
        <v>2609N</v>
      </c>
      <c r="Q72" s="61" t="str">
        <f>VLOOKUP(D72,'2.Bookinglist'!A:CT,12,FALSE)</f>
        <v>BTS</v>
      </c>
      <c r="R72" s="60" t="str">
        <f>IF(LEFT(K72,2)="22","20'","40'")</f>
        <v>40'</v>
      </c>
      <c r="S72" s="185" t="n"/>
      <c r="T72" s="61" t="str">
        <f>VLOOKUP(A72,'1.Loading'!A:R,2,FALSE)</f>
        <v>2026-10-08</v>
      </c>
      <c r="U72" s="63">
        <f>T72-S72</f>
        <v>46303</v>
      </c>
      <c r="V72" s="186" t="n"/>
      <c r="W72" s="61" t="str">
        <f>VLOOKUP(A72,'3.GateMove'!A:D,4,FALSE)</f>
        <v>2026-10-01</v>
      </c>
      <c r="X72" s="63">
        <f>((T72-W72)+1)</f>
        <v>8</v>
      </c>
      <c r="Y72" s="64">
        <f>IF(AND(OR(C72="BKK01",C72="BKK04"),L72="CFS/CY"),0,IF(M72="DG",1,IF(LEFT(C72,3)="LCH",7,IF(C72="BKK02",5,3))))</f>
        <v>3</v>
      </c>
      <c r="Z72" s="63">
        <f>IF(IF(AND(AC72="TML",AB72&gt;0),((T72-W72)+1)-AB72,((T72-W72)+1)-Y72)&gt;0,IF(AND(AC72="TML",AB72&gt;0),((T72-W72)+1)-AB72,((T72-W72)+1)-Y72),0)</f>
        <v>5</v>
      </c>
      <c r="AA72" s="187">
        <f>IF(AND(B72="G1",M72=""),IF(R72="20'",
VLOOKUP(Z72,Charge!$K$2:$M$5,2,TRUE)+(Z72-VLOOKUP(Z72,Charge!$K$2:$M$5,1,TRUE))*VLOOKUP(Z72,Charge!$K$2:$M$5,3,TRUE),
VLOOKUP(Z72,Charge!$N$2:$P$5,2,TRUE)+(Z72-VLOOKUP(Z72,Charge!$N$2:$P$5,1,TRUE))*VLOOKUP(Z72,Charge!$N$2:$P$5,3,TRUE)),
IF(AND(B72="G1",M72="DG"),IF(R72="20'",
VLOOKUP(Z72,Charge!$R$2:$T$5,2,TRUE)+(Z72-VLOOKUP(Z72,Charge!$R$2:$T$5,1,TRUE))*VLOOKUP(Z72,Charge!$R$2:$T$5,3,TRUE),
VLOOKUP(Z72,Charge!$U$2:$W$5,2,TRUE)+(Z72-VLOOKUP(Z72,Charge!$U$2:$W$5,1,TRUE))*VLOOKUP(Z72,Charge!$U$2:$W$5,3,TRUE)),
IF(AND(B72="G3",M72=""),IF(R72="20'",
VLOOKUP(Z72,Charge!$K$18:$M$21,2,TRUE)+(Z72-VLOOKUP(Z72,Charge!$K$18:$M$21,1,TRUE))*VLOOKUP(Z72,Charge!$K$18:$M$21,3,TRUE),
VLOOKUP(Z72,Charge!$N$18:$P$21,2,TRUE)+(Z72-VLOOKUP(Z72,Charge!$N$18:$P$21,1,TRUE))*VLOOKUP(Z72,Charge!$N$18:$P$21,3,TRUE)),
IF(AND(B72="G3",M72="DG"),IF(R72="20'",
VLOOKUP(Z72,Charge!$R$18:$T$21,2,TRUE)+(Z72-VLOOKUP(Z72,Charge!$R$18:$T$21,1,TRUE))*VLOOKUP(Z72,Charge!$R$18:$T$21,3,TRUE),
VLOOKUP(Z72,Charge!$U$18:$W$21,2,TRUE)+(Z72-VLOOKUP(Z72,Charge!$U$18:$W$21,1,TRUE))*VLOOKUP(Z72,Charge!$U$18:$W$21,3,TRUE)),
IF(AND(B72="G2",M72=""),IF(R72="20'",
VLOOKUP(Z72,Charge!$K$9:$M$12,2,TRUE)+(Z72-VLOOKUP(Z72,Charge!$K$9:$M$12,1,TRUE))*VLOOKUP(Z72,Charge!$K$9:$M$12,3,TRUE),
VLOOKUP(Z72,Charge!$N$9:$P$12,2,TRUE)+(Z72-VLOOKUP(Z72,Charge!$N$9:$P$12,1,TRUE))*VLOOKUP(Z72,Charge!$N$9:$P$12,3,TRUE)),
IF(AND(B72="G2",M72="DG"),IF(R72="20'",
VLOOKUP(Z72,Charge!$R$9:$T$12,2,TRUE)+(Z72-VLOOKUP(Z72,Charge!$R$9:$T$12,1,TRUE))*VLOOKUP(Z72,Charge!$R$9:$T$12,3,TRUE),
VLOOKUP(Z72,Charge!$U$9:$W$12,2,TRUE)+(Z72-VLOOKUP(Z72,Charge!$U$9:$W$12,1,TRUE))*VLOOKUP(Z72,Charge!$U$9:$W$12,3,TRUE)),IF(AND(B72="G4",M72=""),IF(R72="20'",Z72*Charge!$M$25,Z72*Charge!$P$25),IF(AND(B72="G4",M72="DG"),IF(R72="20'",Z72*Charge!$T$25,Z72*Charge!$W$25),0))))))))</f>
        <v>1600</v>
      </c>
      <c r="AB72" s="184" t="n"/>
      <c r="AC72" s="184" t="n"/>
      <c r="AD72" s="60">
        <f>IF(M72="DG",3,IF(N72="RF",3,5))+IF(AND(LEFT(C72,3)="BKK",N72="RF",Q72="KTS"),1,0)+IF(Q72="KHS",1,0)</f>
        <v>5</v>
      </c>
      <c r="AE72" s="63">
        <f>(T72-V72)+1</f>
        <v>46304</v>
      </c>
      <c r="AF72" s="63">
        <f>IF(AB72&gt;IF((V72-W72)&gt;0,V72-W72,0),0,IF(AB72&lt;IF((V72-W72)&gt;0,V72-W72,0),IF((V72-W72)&gt;0,V72-W72,0)-AB72,IF((V72-W72)&gt;0,V72-W72,0)))</f>
        <v>0</v>
      </c>
      <c r="AG72" s="187">
        <f>IF(AND(M72=""),IF(R72="20'",
VLOOKUP(AF72,Charge!$K$31:$M$34,2,TRUE)+(AF72-VLOOKUP(AF72,Charge!$K$31:$M$34,1,TRUE))*VLOOKUP(AF72,Charge!$K$31:$M$34,3,TRUE),
VLOOKUP(AF72,Charge!$N$31:$P$34,2,TRUE)+(AF72-VLOOKUP(AF72,Charge!$N$31:$P$34,1,TRUE))*VLOOKUP(AF72,Charge!$N$31:$P$34,3,TRUE)),
IF(AND(M72="DG"),IF(R72="20'",
VLOOKUP(AF72,Charge!$R$31:$T$34,2,TRUE)+(AF72-VLOOKUP(AF72,Charge!$R$31:$T$34,1,TRUE))*VLOOKUP(AF72,Charge!$R$31:$T$34,3,TRUE),
VLOOKUP(AF72,Charge!$U$31:$W$34,2,TRUE)+(AF72-VLOOKUP(AF72,Charge!$U$31:$W$34,1,TRUE))*VLOOKUP(AF72,Charge!$U$31:$W$34,3,TRUE)),0))</f>
        <v>0</v>
      </c>
      <c r="AH72" s="65" t="n"/>
      <c r="AI72" s="65">
        <f>AA72-AH72</f>
        <v>1600</v>
      </c>
      <c r="AJ72" s="188" t="n"/>
      <c r="AK72" s="62" t="str">
        <f>VLOOKUP(D72,'2.Bookinglist'!A:CT,40,FALSE)</f>
        <v>Sukunpoj Damrongying</v>
      </c>
      <c r="AL72" s="60" t="str">
        <f>VLOOKUP(D72,'2.Bookinglist'!A:CW,101,FALSE)</f>
        <v>2026-10-05</v>
      </c>
      <c r="AM72" s="60" t="str">
        <f>VLOOKUP(D72,'2.Bookinglist'!A:BK,63,FALSE)</f>
        <v>BKK25</v>
      </c>
      <c r="AN72" s="62" t="str">
        <f>VLOOKUP(D72,'2.Bookinglist'!A:AZ,52,FALSE)</f>
        <v>Pickup : 2026-09-30, Return : 2026-10-01 </v>
      </c>
      <c r="AO72" s="62">
        <f>VLOOKUP(D72,'2.Bookinglist'!A:CY,103,FALSE)</f>
        <v>0</v>
      </c>
    </row>
    <row r="73" ht="12.95" customHeight="1">
      <c r="A73" s="96" t="inlineStr">
        <is>
          <t>SEKU9004119</t>
        </is>
      </c>
      <c r="B73" s="184" t="str">
        <f>IF(C73=Charge!$M$1,Charge!$J$1,IF(C73=Charge!$M$23,Charge!$J$23,IF(C73=Charge!$M$17,Charge!$J$17,IF(C73=Charge!$N$17,Charge!$J$17,Charge!$J$7))))</f>
        <v>G3</v>
      </c>
      <c r="C73" s="61" t="str">
        <f>VLOOKUP(A73,'1.Loading'!A:R,14,FALSE)</f>
        <v>BKK04</v>
      </c>
      <c r="D73" s="61" t="str">
        <f>VLOOKUP(A73,'1.Loading'!A:R,17,FALSE)</f>
        <v>HASLS22260901997</v>
      </c>
      <c r="E73" s="62" t="str">
        <f>VLOOKUP(D73,'2.Bookinglist'!A:CT,27,FALSE)</f>
        <v>BRIO LOGISTICS (THAILAND) CO., LTD.</v>
      </c>
      <c r="F73" s="62" t="str">
        <f>VLOOKUP(D73,'2.Bookinglist'!A:CT,28,FALSE)</f>
        <v>LUCK SIAM GLOBAL COMPANY LIMITED</v>
      </c>
      <c r="G73" s="60">
        <f>VLOOKUP(D73,'2.Bookinglist'!A:E,5,FALSE)</f>
        <v>0</v>
      </c>
      <c r="H73" s="61" t="str">
        <f>VLOOKUP(D73,'2.Bookinglist'!A:CT,15,FALSE)</f>
        <v>THBKK</v>
      </c>
      <c r="I73" s="61" t="str">
        <f>VLOOKUP(D73,'2.Bookinglist'!A:CT,19,FALSE)</f>
        <v>RUVVO</v>
      </c>
      <c r="J73" s="61" t="str">
        <f>VLOOKUP(D73,'2.Bookinglist'!A:CT,26,FALSE)</f>
        <v>KRPUS</v>
      </c>
      <c r="K73" s="61" t="str">
        <f>VLOOKUP(A73,'1.Loading'!A:R,5,FALSE)</f>
        <v>22RE</v>
      </c>
      <c r="L73" s="60" t="str">
        <f>VLOOKUP(D73,'2.Bookinglist'!A:CT,85,FALSE)</f>
        <v>CY/CY</v>
      </c>
      <c r="M73" s="60" t="str">
        <f>IF(VLOOKUP(D73,'2.Bookinglist'!A:CT,43,FALSE)=0,"","DG")</f>
        <v/>
      </c>
      <c r="N73" s="60" t="str">
        <f>IF(RIGHT(K73,2)="RE","RF","")</f>
        <v>RF</v>
      </c>
      <c r="O73" s="61" t="str">
        <f>VLOOKUP(A73,'1.Loading'!A:R,3,FALSE)</f>
        <v>SWSP</v>
      </c>
      <c r="P73" s="61" t="str">
        <f>VLOOKUP(A73,'1.Loading'!A:R,4,FALSE)</f>
        <v>2609N</v>
      </c>
      <c r="Q73" s="61" t="str">
        <f>VLOOKUP(D73,'2.Bookinglist'!A:CT,12,FALSE)</f>
        <v>BTS</v>
      </c>
      <c r="R73" s="60" t="str">
        <f>IF(LEFT(K73,2)="22","20'","40'")</f>
        <v>20'</v>
      </c>
      <c r="S73" s="185" t="n"/>
      <c r="T73" s="61" t="str">
        <f>VLOOKUP(A73,'1.Loading'!A:R,2,FALSE)</f>
        <v>2026-10-08</v>
      </c>
      <c r="U73" s="63">
        <f>T73-S73</f>
        <v>46303</v>
      </c>
      <c r="V73" s="186" t="n"/>
      <c r="W73" s="61" t="str">
        <f>VLOOKUP(A73,'3.GateMove'!A:D,4,FALSE)</f>
        <v>2026-10-04</v>
      </c>
      <c r="X73" s="63">
        <f>((T73-W73)+1)</f>
        <v>5</v>
      </c>
      <c r="Y73" s="64">
        <f>IF(AND(OR(C73="BKK01",C73="BKK04"),L73="CFS/CY"),0,IF(M73="DG",1,IF(LEFT(C73,3)="LCH",7,IF(C73="BKK02",5,3))))</f>
        <v>3</v>
      </c>
      <c r="Z73" s="63">
        <f>IF(IF(AND(AC73="TML",AB73&gt;0),((T73-W73)+1)-AB73,((T73-W73)+1)-Y73)&gt;0,IF(AND(AC73="TML",AB73&gt;0),((T73-W73)+1)-AB73,((T73-W73)+1)-Y73),0)</f>
        <v>2</v>
      </c>
      <c r="AA73" s="187">
        <f>IF(AND(B73="G1",M73=""),IF(R73="20'",
VLOOKUP(Z73,Charge!$K$2:$M$5,2,TRUE)+(Z73-VLOOKUP(Z73,Charge!$K$2:$M$5,1,TRUE))*VLOOKUP(Z73,Charge!$K$2:$M$5,3,TRUE),
VLOOKUP(Z73,Charge!$N$2:$P$5,2,TRUE)+(Z73-VLOOKUP(Z73,Charge!$N$2:$P$5,1,TRUE))*VLOOKUP(Z73,Charge!$N$2:$P$5,3,TRUE)),
IF(AND(B73="G1",M73="DG"),IF(R73="20'",
VLOOKUP(Z73,Charge!$R$2:$T$5,2,TRUE)+(Z73-VLOOKUP(Z73,Charge!$R$2:$T$5,1,TRUE))*VLOOKUP(Z73,Charge!$R$2:$T$5,3,TRUE),
VLOOKUP(Z73,Charge!$U$2:$W$5,2,TRUE)+(Z73-VLOOKUP(Z73,Charge!$U$2:$W$5,1,TRUE))*VLOOKUP(Z73,Charge!$U$2:$W$5,3,TRUE)),
IF(AND(B73="G3",M73=""),IF(R73="20'",
VLOOKUP(Z73,Charge!$K$18:$M$21,2,TRUE)+(Z73-VLOOKUP(Z73,Charge!$K$18:$M$21,1,TRUE))*VLOOKUP(Z73,Charge!$K$18:$M$21,3,TRUE),
VLOOKUP(Z73,Charge!$N$18:$P$21,2,TRUE)+(Z73-VLOOKUP(Z73,Charge!$N$18:$P$21,1,TRUE))*VLOOKUP(Z73,Charge!$N$18:$P$21,3,TRUE)),
IF(AND(B73="G3",M73="DG"),IF(R73="20'",
VLOOKUP(Z73,Charge!$R$18:$T$21,2,TRUE)+(Z73-VLOOKUP(Z73,Charge!$R$18:$T$21,1,TRUE))*VLOOKUP(Z73,Charge!$R$18:$T$21,3,TRUE),
VLOOKUP(Z73,Charge!$U$18:$W$21,2,TRUE)+(Z73-VLOOKUP(Z73,Charge!$U$18:$W$21,1,TRUE))*VLOOKUP(Z73,Charge!$U$18:$W$21,3,TRUE)),
IF(AND(B73="G2",M73=""),IF(R73="20'",
VLOOKUP(Z73,Charge!$K$9:$M$12,2,TRUE)+(Z73-VLOOKUP(Z73,Charge!$K$9:$M$12,1,TRUE))*VLOOKUP(Z73,Charge!$K$9:$M$12,3,TRUE),
VLOOKUP(Z73,Charge!$N$9:$P$12,2,TRUE)+(Z73-VLOOKUP(Z73,Charge!$N$9:$P$12,1,TRUE))*VLOOKUP(Z73,Charge!$N$9:$P$12,3,TRUE)),
IF(AND(B73="G2",M73="DG"),IF(R73="20'",
VLOOKUP(Z73,Charge!$R$9:$T$12,2,TRUE)+(Z73-VLOOKUP(Z73,Charge!$R$9:$T$12,1,TRUE))*VLOOKUP(Z73,Charge!$R$9:$T$12,3,TRUE),
VLOOKUP(Z73,Charge!$U$9:$W$12,2,TRUE)+(Z73-VLOOKUP(Z73,Charge!$U$9:$W$12,1,TRUE))*VLOOKUP(Z73,Charge!$U$9:$W$12,3,TRUE)),IF(AND(B73="G4",M73=""),IF(R73="20'",Z73*Charge!$M$25,Z73*Charge!$P$25),IF(AND(B73="G4",M73="DG"),IF(R73="20'",Z73*Charge!$T$25,Z73*Charge!$W$25),0))))))))</f>
        <v>320</v>
      </c>
      <c r="AB73" s="184" t="n"/>
      <c r="AC73" s="184" t="n"/>
      <c r="AD73" s="60">
        <f>IF(M73="DG",3,IF(N73="RF",3,5))+IF(AND(LEFT(C73,3)="BKK",N73="RF",Q73="KTS"),1,0)+IF(Q73="KHS",1,0)</f>
        <v>3</v>
      </c>
      <c r="AE73" s="63">
        <f>(T73-V73)+1</f>
        <v>46304</v>
      </c>
      <c r="AF73" s="63">
        <f>IF(AB73&gt;IF((V73-W73)&gt;0,V73-W73,0),0,IF(AB73&lt;IF((V73-W73)&gt;0,V73-W73,0),IF((V73-W73)&gt;0,V73-W73,0)-AB73,IF((V73-W73)&gt;0,V73-W73,0)))</f>
        <v>0</v>
      </c>
      <c r="AG73" s="187">
        <f>IF(AND(M73=""),IF(R73="20'",
VLOOKUP(AF73,Charge!$K$31:$M$34,2,TRUE)+(AF73-VLOOKUP(AF73,Charge!$K$31:$M$34,1,TRUE))*VLOOKUP(AF73,Charge!$K$31:$M$34,3,TRUE),
VLOOKUP(AF73,Charge!$N$31:$P$34,2,TRUE)+(AF73-VLOOKUP(AF73,Charge!$N$31:$P$34,1,TRUE))*VLOOKUP(AF73,Charge!$N$31:$P$34,3,TRUE)),
IF(AND(M73="DG"),IF(R73="20'",
VLOOKUP(AF73,Charge!$R$31:$T$34,2,TRUE)+(AF73-VLOOKUP(AF73,Charge!$R$31:$T$34,1,TRUE))*VLOOKUP(AF73,Charge!$R$31:$T$34,3,TRUE),
VLOOKUP(AF73,Charge!$U$31:$W$34,2,TRUE)+(AF73-VLOOKUP(AF73,Charge!$U$31:$W$34,1,TRUE))*VLOOKUP(AF73,Charge!$U$31:$W$34,3,TRUE)),0))</f>
        <v>0</v>
      </c>
      <c r="AH73" s="65" t="n"/>
      <c r="AI73" s="65">
        <f>AA73-AH73</f>
        <v>320</v>
      </c>
      <c r="AJ73" s="188" t="n"/>
      <c r="AK73" s="62" t="str">
        <f>VLOOKUP(D73,'2.Bookinglist'!A:CT,40,FALSE)</f>
        <v>Insuk Heo</v>
      </c>
      <c r="AL73" s="60" t="str">
        <f>VLOOKUP(D73,'2.Bookinglist'!A:CW,101,FALSE)</f>
        <v>2026-10-07</v>
      </c>
      <c r="AM73" s="60" t="str">
        <f>VLOOKUP(D73,'2.Bookinglist'!A:BK,63,FALSE)</f>
        <v>BKK27</v>
      </c>
      <c r="AN73" s="62" t="str">
        <f>VLOOKUP(D73,'2.Bookinglist'!A:AZ,52,FALSE)</f>
        <v>[FIX][FIX][FIX]Pickup : 2026-10-03, Return : 2026-10-04 (Temp +18.0 / Vent Close)
CLS TIME : 05/10/2026 @16.00 </v>
      </c>
      <c r="AO73" s="62">
        <f>VLOOKUP(D73,'2.Bookinglist'!A:CY,103,FALSE)</f>
        <v>0</v>
      </c>
    </row>
    <row r="74" ht="12.95" customHeight="1">
      <c r="A74" s="96" t="inlineStr">
        <is>
          <t>SKHU6305021</t>
        </is>
      </c>
      <c r="B74" s="184" t="str">
        <f>IF(C74=Charge!$M$1,Charge!$J$1,IF(C74=Charge!$M$23,Charge!$J$23,IF(C74=Charge!$M$17,Charge!$J$17,IF(C74=Charge!$N$17,Charge!$J$17,Charge!$J$7))))</f>
        <v>G3</v>
      </c>
      <c r="C74" s="61" t="str">
        <f>VLOOKUP(A74,'1.Loading'!A:R,14,FALSE)</f>
        <v>BKK04</v>
      </c>
      <c r="D74" s="61" t="str">
        <f>VLOOKUP(A74,'1.Loading'!A:R,17,FALSE)</f>
        <v>HASLS22260900586</v>
      </c>
      <c r="E74" s="62" t="str">
        <f>VLOOKUP(D74,'2.Bookinglist'!A:CT,27,FALSE)</f>
        <v>BIRLA CARBON (THAILAND) PUBLIC COMPANY LIMITED</v>
      </c>
      <c r="F74" s="62" t="str">
        <f>VLOOKUP(D74,'2.Bookinglist'!A:CT,28,FALSE)</f>
        <v>BIRLA CARBON (THAILAND) PUBLIC COMPANY LIMITED</v>
      </c>
      <c r="G74" s="60">
        <f>VLOOKUP(D74,'2.Bookinglist'!A:E,5,FALSE)</f>
        <v>0</v>
      </c>
      <c r="H74" s="61" t="str">
        <f>VLOOKUP(D74,'2.Bookinglist'!A:CT,15,FALSE)</f>
        <v>THBKK</v>
      </c>
      <c r="I74" s="61" t="str">
        <f>VLOOKUP(D74,'2.Bookinglist'!A:CT,19,FALSE)</f>
        <v>VNSGN</v>
      </c>
      <c r="J74" s="61">
        <f>VLOOKUP(D74,'2.Bookinglist'!A:CT,26,FALSE)</f>
        <v>0</v>
      </c>
      <c r="K74" s="61" t="str">
        <f>VLOOKUP(A74,'1.Loading'!A:R,5,FALSE)</f>
        <v>45GP</v>
      </c>
      <c r="L74" s="60" t="str">
        <f>VLOOKUP(D74,'2.Bookinglist'!A:CT,85,FALSE)</f>
        <v>CY/CY</v>
      </c>
      <c r="M74" s="60" t="str">
        <f>IF(VLOOKUP(D74,'2.Bookinglist'!A:CT,43,FALSE)=0,"","DG")</f>
        <v/>
      </c>
      <c r="N74" s="60" t="str">
        <f>IF(RIGHT(K74,2)="RE","RF","")</f>
        <v/>
      </c>
      <c r="O74" s="61" t="str">
        <f>VLOOKUP(A74,'1.Loading'!A:R,3,FALSE)</f>
        <v>SWSP</v>
      </c>
      <c r="P74" s="61" t="str">
        <f>VLOOKUP(A74,'1.Loading'!A:R,4,FALSE)</f>
        <v>2609N</v>
      </c>
      <c r="Q74" s="61" t="str">
        <f>VLOOKUP(D74,'2.Bookinglist'!A:CT,12,FALSE)</f>
        <v>BTS</v>
      </c>
      <c r="R74" s="60" t="str">
        <f>IF(LEFT(K74,2)="22","20'","40'")</f>
        <v>40'</v>
      </c>
      <c r="S74" s="185" t="n"/>
      <c r="T74" s="61" t="str">
        <f>VLOOKUP(A74,'1.Loading'!A:R,2,FALSE)</f>
        <v>2026-10-08</v>
      </c>
      <c r="U74" s="63">
        <f>T74-S74</f>
        <v>46303</v>
      </c>
      <c r="V74" s="186" t="n"/>
      <c r="W74" s="61" t="str">
        <f>VLOOKUP(A74,'3.GateMove'!A:D,4,FALSE)</f>
        <v>2026-10-03</v>
      </c>
      <c r="X74" s="63">
        <f>((T74-W74)+1)</f>
        <v>6</v>
      </c>
      <c r="Y74" s="64">
        <f>IF(AND(OR(C74="BKK01",C74="BKK04"),L74="CFS/CY"),0,IF(M74="DG",1,IF(LEFT(C74,3)="LCH",7,IF(C74="BKK02",5,3))))</f>
        <v>3</v>
      </c>
      <c r="Z74" s="63">
        <f>IF(IF(AND(AC74="TML",AB74&gt;0),((T74-W74)+1)-AB74,((T74-W74)+1)-Y74)&gt;0,IF(AND(AC74="TML",AB74&gt;0),((T74-W74)+1)-AB74,((T74-W74)+1)-Y74),0)</f>
        <v>3</v>
      </c>
      <c r="AA74" s="187">
        <f>IF(AND(B74="G1",M74=""),IF(R74="20'",
VLOOKUP(Z74,Charge!$K$2:$M$5,2,TRUE)+(Z74-VLOOKUP(Z74,Charge!$K$2:$M$5,1,TRUE))*VLOOKUP(Z74,Charge!$K$2:$M$5,3,TRUE),
VLOOKUP(Z74,Charge!$N$2:$P$5,2,TRUE)+(Z74-VLOOKUP(Z74,Charge!$N$2:$P$5,1,TRUE))*VLOOKUP(Z74,Charge!$N$2:$P$5,3,TRUE)),
IF(AND(B74="G1",M74="DG"),IF(R74="20'",
VLOOKUP(Z74,Charge!$R$2:$T$5,2,TRUE)+(Z74-VLOOKUP(Z74,Charge!$R$2:$T$5,1,TRUE))*VLOOKUP(Z74,Charge!$R$2:$T$5,3,TRUE),
VLOOKUP(Z74,Charge!$U$2:$W$5,2,TRUE)+(Z74-VLOOKUP(Z74,Charge!$U$2:$W$5,1,TRUE))*VLOOKUP(Z74,Charge!$U$2:$W$5,3,TRUE)),
IF(AND(B74="G3",M74=""),IF(R74="20'",
VLOOKUP(Z74,Charge!$K$18:$M$21,2,TRUE)+(Z74-VLOOKUP(Z74,Charge!$K$18:$M$21,1,TRUE))*VLOOKUP(Z74,Charge!$K$18:$M$21,3,TRUE),
VLOOKUP(Z74,Charge!$N$18:$P$21,2,TRUE)+(Z74-VLOOKUP(Z74,Charge!$N$18:$P$21,1,TRUE))*VLOOKUP(Z74,Charge!$N$18:$P$21,3,TRUE)),
IF(AND(B74="G3",M74="DG"),IF(R74="20'",
VLOOKUP(Z74,Charge!$R$18:$T$21,2,TRUE)+(Z74-VLOOKUP(Z74,Charge!$R$18:$T$21,1,TRUE))*VLOOKUP(Z74,Charge!$R$18:$T$21,3,TRUE),
VLOOKUP(Z74,Charge!$U$18:$W$21,2,TRUE)+(Z74-VLOOKUP(Z74,Charge!$U$18:$W$21,1,TRUE))*VLOOKUP(Z74,Charge!$U$18:$W$21,3,TRUE)),
IF(AND(B74="G2",M74=""),IF(R74="20'",
VLOOKUP(Z74,Charge!$K$9:$M$12,2,TRUE)+(Z74-VLOOKUP(Z74,Charge!$K$9:$M$12,1,TRUE))*VLOOKUP(Z74,Charge!$K$9:$M$12,3,TRUE),
VLOOKUP(Z74,Charge!$N$9:$P$12,2,TRUE)+(Z74-VLOOKUP(Z74,Charge!$N$9:$P$12,1,TRUE))*VLOOKUP(Z74,Charge!$N$9:$P$12,3,TRUE)),
IF(AND(B74="G2",M74="DG"),IF(R74="20'",
VLOOKUP(Z74,Charge!$R$9:$T$12,2,TRUE)+(Z74-VLOOKUP(Z74,Charge!$R$9:$T$12,1,TRUE))*VLOOKUP(Z74,Charge!$R$9:$T$12,3,TRUE),
VLOOKUP(Z74,Charge!$U$9:$W$12,2,TRUE)+(Z74-VLOOKUP(Z74,Charge!$U$9:$W$12,1,TRUE))*VLOOKUP(Z74,Charge!$U$9:$W$12,3,TRUE)),IF(AND(B74="G4",M74=""),IF(R74="20'",Z74*Charge!$M$25,Z74*Charge!$P$25),IF(AND(B74="G4",M74="DG"),IF(R74="20'",Z74*Charge!$T$25,Z74*Charge!$W$25),0))))))))</f>
        <v>960</v>
      </c>
      <c r="AB74" s="184" t="n"/>
      <c r="AC74" s="184" t="n"/>
      <c r="AD74" s="60">
        <f>IF(M74="DG",3,IF(N74="RF",3,5))+IF(AND(LEFT(C74,3)="BKK",N74="RF",Q74="KTS"),1,0)+IF(Q74="KHS",1,0)</f>
        <v>5</v>
      </c>
      <c r="AE74" s="63">
        <f>(T74-V74)+1</f>
        <v>46304</v>
      </c>
      <c r="AF74" s="63">
        <f>IF(AB74&gt;IF((V74-W74)&gt;0,V74-W74,0),0,IF(AB74&lt;IF((V74-W74)&gt;0,V74-W74,0),IF((V74-W74)&gt;0,V74-W74,0)-AB74,IF((V74-W74)&gt;0,V74-W74,0)))</f>
        <v>0</v>
      </c>
      <c r="AG74" s="187">
        <f>IF(AND(M74=""),IF(R74="20'",
VLOOKUP(AF74,Charge!$K$31:$M$34,2,TRUE)+(AF74-VLOOKUP(AF74,Charge!$K$31:$M$34,1,TRUE))*VLOOKUP(AF74,Charge!$K$31:$M$34,3,TRUE),
VLOOKUP(AF74,Charge!$N$31:$P$34,2,TRUE)+(AF74-VLOOKUP(AF74,Charge!$N$31:$P$34,1,TRUE))*VLOOKUP(AF74,Charge!$N$31:$P$34,3,TRUE)),
IF(AND(M74="DG"),IF(R74="20'",
VLOOKUP(AF74,Charge!$R$31:$T$34,2,TRUE)+(AF74-VLOOKUP(AF74,Charge!$R$31:$T$34,1,TRUE))*VLOOKUP(AF74,Charge!$R$31:$T$34,3,TRUE),
VLOOKUP(AF74,Charge!$U$31:$W$34,2,TRUE)+(AF74-VLOOKUP(AF74,Charge!$U$31:$W$34,1,TRUE))*VLOOKUP(AF74,Charge!$U$31:$W$34,3,TRUE)),0))</f>
        <v>0</v>
      </c>
      <c r="AH74" s="65" t="n"/>
      <c r="AI74" s="65">
        <f>AA74-AH74</f>
        <v>960</v>
      </c>
      <c r="AJ74" s="188" t="n"/>
      <c r="AK74" s="62" t="str">
        <f>VLOOKUP(D74,'2.Bookinglist'!A:CT,40,FALSE)</f>
        <v>Dharaporn</v>
      </c>
      <c r="AL74" s="60" t="str">
        <f>VLOOKUP(D74,'2.Bookinglist'!A:CW,101,FALSE)</f>
        <v>2026-10-07</v>
      </c>
      <c r="AM74" s="60" t="str">
        <f>VLOOKUP(D74,'2.Bookinglist'!A:BK,63,FALSE)</f>
        <v>BKK27</v>
      </c>
      <c r="AN74" s="62" t="str">
        <f>VLOOKUP(D74,'2.Bookinglist'!A:AZ,52,FALSE)</f>
        <v>Pickup : 2026-10-01, Return : 2026-10-02 (1ST RTN DD: 03/10/26 WO/RENT)</v>
      </c>
      <c r="AO74" s="62">
        <f>VLOOKUP(D74,'2.Bookinglist'!A:CY,103,FALSE)</f>
        <v>0</v>
      </c>
    </row>
    <row r="75" ht="12.95" customHeight="1">
      <c r="A75" s="96" t="inlineStr">
        <is>
          <t>SKHU6305720</t>
        </is>
      </c>
      <c r="B75" s="184" t="str">
        <f>IF(C75=Charge!$M$1,Charge!$J$1,IF(C75=Charge!$M$23,Charge!$J$23,IF(C75=Charge!$M$17,Charge!$J$17,IF(C75=Charge!$N$17,Charge!$J$17,Charge!$J$7))))</f>
        <v>G3</v>
      </c>
      <c r="C75" s="61" t="str">
        <f>VLOOKUP(A75,'1.Loading'!A:R,14,FALSE)</f>
        <v>BKK04</v>
      </c>
      <c r="D75" s="61" t="str">
        <f>VLOOKUP(A75,'1.Loading'!A:R,17,FALSE)</f>
        <v>HASLS22260901688</v>
      </c>
      <c r="E75" s="62" t="str">
        <f>VLOOKUP(D75,'2.Bookinglist'!A:CT,27,FALSE)</f>
        <v>METRO PARTICLE CO., LTD.</v>
      </c>
      <c r="F75" s="62" t="str">
        <f>VLOOKUP(D75,'2.Bookinglist'!A:CT,28,FALSE)</f>
        <v>METRO PARTICLE CO., LTD.</v>
      </c>
      <c r="G75" s="60">
        <f>VLOOKUP(D75,'2.Bookinglist'!A:E,5,FALSE)</f>
        <v>0</v>
      </c>
      <c r="H75" s="61" t="str">
        <f>VLOOKUP(D75,'2.Bookinglist'!A:CT,15,FALSE)</f>
        <v>THBKK</v>
      </c>
      <c r="I75" s="61" t="str">
        <f>VLOOKUP(D75,'2.Bookinglist'!A:CT,19,FALSE)</f>
        <v>VNSGN</v>
      </c>
      <c r="J75" s="61">
        <f>VLOOKUP(D75,'2.Bookinglist'!A:CT,26,FALSE)</f>
        <v>0</v>
      </c>
      <c r="K75" s="61" t="str">
        <f>VLOOKUP(A75,'1.Loading'!A:R,5,FALSE)</f>
        <v>45GP</v>
      </c>
      <c r="L75" s="60" t="str">
        <f>VLOOKUP(D75,'2.Bookinglist'!A:CT,85,FALSE)</f>
        <v>CY/CY</v>
      </c>
      <c r="M75" s="60" t="str">
        <f>IF(VLOOKUP(D75,'2.Bookinglist'!A:CT,43,FALSE)=0,"","DG")</f>
        <v/>
      </c>
      <c r="N75" s="60" t="str">
        <f>IF(RIGHT(K75,2)="RE","RF","")</f>
        <v/>
      </c>
      <c r="O75" s="61" t="str">
        <f>VLOOKUP(A75,'1.Loading'!A:R,3,FALSE)</f>
        <v>SWSP</v>
      </c>
      <c r="P75" s="61" t="str">
        <f>VLOOKUP(A75,'1.Loading'!A:R,4,FALSE)</f>
        <v>2609N</v>
      </c>
      <c r="Q75" s="61" t="str">
        <f>VLOOKUP(D75,'2.Bookinglist'!A:CT,12,FALSE)</f>
        <v>BTS</v>
      </c>
      <c r="R75" s="60" t="str">
        <f>IF(LEFT(K75,2)="22","20'","40'")</f>
        <v>40'</v>
      </c>
      <c r="S75" s="185" t="n"/>
      <c r="T75" s="61" t="str">
        <f>VLOOKUP(A75,'1.Loading'!A:R,2,FALSE)</f>
        <v>2026-10-08</v>
      </c>
      <c r="U75" s="63">
        <f>T75-S75</f>
        <v>46303</v>
      </c>
      <c r="V75" s="186" t="n"/>
      <c r="W75" s="61" t="str">
        <f>VLOOKUP(A75,'3.GateMove'!A:D,4,FALSE)</f>
        <v>2026-09-29</v>
      </c>
      <c r="X75" s="63">
        <f>((T75-W75)+1)</f>
        <v>10</v>
      </c>
      <c r="Y75" s="64">
        <f>IF(AND(OR(C75="BKK01",C75="BKK04"),L75="CFS/CY"),0,IF(M75="DG",1,IF(LEFT(C75,3)="LCH",7,IF(C75="BKK02",5,3))))</f>
        <v>3</v>
      </c>
      <c r="Z75" s="63">
        <f>IF(IF(AND(AC75="TML",AB75&gt;0),((T75-W75)+1)-AB75,((T75-W75)+1)-Y75)&gt;0,IF(AND(AC75="TML",AB75&gt;0),((T75-W75)+1)-AB75,((T75-W75)+1)-Y75),0)</f>
        <v>7</v>
      </c>
      <c r="AA75" s="187">
        <f>IF(AND(B75="G1",M75=""),IF(R75="20'",
VLOOKUP(Z75,Charge!$K$2:$M$5,2,TRUE)+(Z75-VLOOKUP(Z75,Charge!$K$2:$M$5,1,TRUE))*VLOOKUP(Z75,Charge!$K$2:$M$5,3,TRUE),
VLOOKUP(Z75,Charge!$N$2:$P$5,2,TRUE)+(Z75-VLOOKUP(Z75,Charge!$N$2:$P$5,1,TRUE))*VLOOKUP(Z75,Charge!$N$2:$P$5,3,TRUE)),
IF(AND(B75="G1",M75="DG"),IF(R75="20'",
VLOOKUP(Z75,Charge!$R$2:$T$5,2,TRUE)+(Z75-VLOOKUP(Z75,Charge!$R$2:$T$5,1,TRUE))*VLOOKUP(Z75,Charge!$R$2:$T$5,3,TRUE),
VLOOKUP(Z75,Charge!$U$2:$W$5,2,TRUE)+(Z75-VLOOKUP(Z75,Charge!$U$2:$W$5,1,TRUE))*VLOOKUP(Z75,Charge!$U$2:$W$5,3,TRUE)),
IF(AND(B75="G3",M75=""),IF(R75="20'",
VLOOKUP(Z75,Charge!$K$18:$M$21,2,TRUE)+(Z75-VLOOKUP(Z75,Charge!$K$18:$M$21,1,TRUE))*VLOOKUP(Z75,Charge!$K$18:$M$21,3,TRUE),
VLOOKUP(Z75,Charge!$N$18:$P$21,2,TRUE)+(Z75-VLOOKUP(Z75,Charge!$N$18:$P$21,1,TRUE))*VLOOKUP(Z75,Charge!$N$18:$P$21,3,TRUE)),
IF(AND(B75="G3",M75="DG"),IF(R75="20'",
VLOOKUP(Z75,Charge!$R$18:$T$21,2,TRUE)+(Z75-VLOOKUP(Z75,Charge!$R$18:$T$21,1,TRUE))*VLOOKUP(Z75,Charge!$R$18:$T$21,3,TRUE),
VLOOKUP(Z75,Charge!$U$18:$W$21,2,TRUE)+(Z75-VLOOKUP(Z75,Charge!$U$18:$W$21,1,TRUE))*VLOOKUP(Z75,Charge!$U$18:$W$21,3,TRUE)),
IF(AND(B75="G2",M75=""),IF(R75="20'",
VLOOKUP(Z75,Charge!$K$9:$M$12,2,TRUE)+(Z75-VLOOKUP(Z75,Charge!$K$9:$M$12,1,TRUE))*VLOOKUP(Z75,Charge!$K$9:$M$12,3,TRUE),
VLOOKUP(Z75,Charge!$N$9:$P$12,2,TRUE)+(Z75-VLOOKUP(Z75,Charge!$N$9:$P$12,1,TRUE))*VLOOKUP(Z75,Charge!$N$9:$P$12,3,TRUE)),
IF(AND(B75="G2",M75="DG"),IF(R75="20'",
VLOOKUP(Z75,Charge!$R$9:$T$12,2,TRUE)+(Z75-VLOOKUP(Z75,Charge!$R$9:$T$12,1,TRUE))*VLOOKUP(Z75,Charge!$R$9:$T$12,3,TRUE),
VLOOKUP(Z75,Charge!$U$9:$W$12,2,TRUE)+(Z75-VLOOKUP(Z75,Charge!$U$9:$W$12,1,TRUE))*VLOOKUP(Z75,Charge!$U$9:$W$12,3,TRUE)),IF(AND(B75="G4",M75=""),IF(R75="20'",Z75*Charge!$M$25,Z75*Charge!$P$25),IF(AND(B75="G4",M75="DG"),IF(R75="20'",Z75*Charge!$T$25,Z75*Charge!$W$25),0))))))))</f>
        <v>2240</v>
      </c>
      <c r="AB75" s="184" t="n"/>
      <c r="AC75" s="184" t="n"/>
      <c r="AD75" s="60">
        <f>IF(M75="DG",3,IF(N75="RF",3,5))+IF(AND(LEFT(C75,3)="BKK",N75="RF",Q75="KTS"),1,0)+IF(Q75="KHS",1,0)</f>
        <v>5</v>
      </c>
      <c r="AE75" s="63">
        <f>(T75-V75)+1</f>
        <v>46304</v>
      </c>
      <c r="AF75" s="63">
        <f>IF(AB75&gt;IF((V75-W75)&gt;0,V75-W75,0),0,IF(AB75&lt;IF((V75-W75)&gt;0,V75-W75,0),IF((V75-W75)&gt;0,V75-W75,0)-AB75,IF((V75-W75)&gt;0,V75-W75,0)))</f>
        <v>0</v>
      </c>
      <c r="AG75" s="187">
        <f>IF(AND(M75=""),IF(R75="20'",
VLOOKUP(AF75,Charge!$K$31:$M$34,2,TRUE)+(AF75-VLOOKUP(AF75,Charge!$K$31:$M$34,1,TRUE))*VLOOKUP(AF75,Charge!$K$31:$M$34,3,TRUE),
VLOOKUP(AF75,Charge!$N$31:$P$34,2,TRUE)+(AF75-VLOOKUP(AF75,Charge!$N$31:$P$34,1,TRUE))*VLOOKUP(AF75,Charge!$N$31:$P$34,3,TRUE)),
IF(AND(M75="DG"),IF(R75="20'",
VLOOKUP(AF75,Charge!$R$31:$T$34,2,TRUE)+(AF75-VLOOKUP(AF75,Charge!$R$31:$T$34,1,TRUE))*VLOOKUP(AF75,Charge!$R$31:$T$34,3,TRUE),
VLOOKUP(AF75,Charge!$U$31:$W$34,2,TRUE)+(AF75-VLOOKUP(AF75,Charge!$U$31:$W$34,1,TRUE))*VLOOKUP(AF75,Charge!$U$31:$W$34,3,TRUE)),0))</f>
        <v>0</v>
      </c>
      <c r="AH75" s="65" t="n"/>
      <c r="AI75" s="65">
        <f>AA75-AH75</f>
        <v>2240</v>
      </c>
      <c r="AJ75" s="188" t="n"/>
      <c r="AK75" s="62" t="str">
        <f>VLOOKUP(D75,'2.Bookinglist'!A:CT,40,FALSE)</f>
        <v>Nustsireerach</v>
      </c>
      <c r="AL75" s="60" t="str">
        <f>VLOOKUP(D75,'2.Bookinglist'!A:CW,101,FALSE)</f>
        <v>2026-10-07</v>
      </c>
      <c r="AM75" s="60" t="str">
        <f>VLOOKUP(D75,'2.Bookinglist'!A:BK,63,FALSE)</f>
        <v>BKK27</v>
      </c>
      <c r="AN75" s="62" t="str">
        <f>VLOOKUP(D75,'2.Bookinglist'!A:AZ,52,FALSE)</f>
        <v>CY-RTN DD.28/09 - 29/09 
</v>
      </c>
      <c r="AO75" s="62" t="str">
        <f>VLOOKUP(D75,'2.Bookinglist'!A:CY,103,FALSE)</f>
        <v>ROLL OVER FROM PREVIOUS VSL KMBK 2611N BY ALLOCATION TEAM MS.TARN APPROVED COST IS UNDER HAL DD.01/10</v>
      </c>
    </row>
    <row r="76" ht="12.95" customHeight="1">
      <c r="A76" s="96" t="inlineStr">
        <is>
          <t>SKHU6313346</t>
        </is>
      </c>
      <c r="B76" s="184" t="str">
        <f>IF(C76=Charge!$M$1,Charge!$J$1,IF(C76=Charge!$M$23,Charge!$J$23,IF(C76=Charge!$M$17,Charge!$J$17,IF(C76=Charge!$N$17,Charge!$J$17,Charge!$J$7))))</f>
        <v>G3</v>
      </c>
      <c r="C76" s="61" t="str">
        <f>VLOOKUP(A76,'1.Loading'!A:R,14,FALSE)</f>
        <v>BKK04</v>
      </c>
      <c r="D76" s="61" t="str">
        <f>VLOOKUP(A76,'1.Loading'!A:R,17,FALSE)</f>
        <v>HASLS22260900586</v>
      </c>
      <c r="E76" s="62" t="str">
        <f>VLOOKUP(D76,'2.Bookinglist'!A:CT,27,FALSE)</f>
        <v>BIRLA CARBON (THAILAND) PUBLIC COMPANY LIMITED</v>
      </c>
      <c r="F76" s="62" t="str">
        <f>VLOOKUP(D76,'2.Bookinglist'!A:CT,28,FALSE)</f>
        <v>BIRLA CARBON (THAILAND) PUBLIC COMPANY LIMITED</v>
      </c>
      <c r="G76" s="60">
        <f>VLOOKUP(D76,'2.Bookinglist'!A:E,5,FALSE)</f>
        <v>0</v>
      </c>
      <c r="H76" s="61" t="str">
        <f>VLOOKUP(D76,'2.Bookinglist'!A:CT,15,FALSE)</f>
        <v>THBKK</v>
      </c>
      <c r="I76" s="61" t="str">
        <f>VLOOKUP(D76,'2.Bookinglist'!A:CT,19,FALSE)</f>
        <v>VNSGN</v>
      </c>
      <c r="J76" s="61">
        <f>VLOOKUP(D76,'2.Bookinglist'!A:CT,26,FALSE)</f>
        <v>0</v>
      </c>
      <c r="K76" s="61" t="str">
        <f>VLOOKUP(A76,'1.Loading'!A:R,5,FALSE)</f>
        <v>45GP</v>
      </c>
      <c r="L76" s="60" t="str">
        <f>VLOOKUP(D76,'2.Bookinglist'!A:CT,85,FALSE)</f>
        <v>CY/CY</v>
      </c>
      <c r="M76" s="60" t="str">
        <f>IF(VLOOKUP(D76,'2.Bookinglist'!A:CT,43,FALSE)=0,"","DG")</f>
        <v/>
      </c>
      <c r="N76" s="60" t="str">
        <f>IF(RIGHT(K76,2)="RE","RF","")</f>
        <v/>
      </c>
      <c r="O76" s="61" t="str">
        <f>VLOOKUP(A76,'1.Loading'!A:R,3,FALSE)</f>
        <v>SWSP</v>
      </c>
      <c r="P76" s="61" t="str">
        <f>VLOOKUP(A76,'1.Loading'!A:R,4,FALSE)</f>
        <v>2609N</v>
      </c>
      <c r="Q76" s="61" t="str">
        <f>VLOOKUP(D76,'2.Bookinglist'!A:CT,12,FALSE)</f>
        <v>BTS</v>
      </c>
      <c r="R76" s="60" t="str">
        <f>IF(LEFT(K76,2)="22","20'","40'")</f>
        <v>40'</v>
      </c>
      <c r="S76" s="185" t="n"/>
      <c r="T76" s="61" t="str">
        <f>VLOOKUP(A76,'1.Loading'!A:R,2,FALSE)</f>
        <v>2026-10-08</v>
      </c>
      <c r="U76" s="63">
        <f>T76-S76</f>
        <v>46303</v>
      </c>
      <c r="V76" s="186" t="n"/>
      <c r="W76" s="61" t="str">
        <f>VLOOKUP(A76,'3.GateMove'!A:D,4,FALSE)</f>
        <v>2026-10-03</v>
      </c>
      <c r="X76" s="63">
        <f>((T76-W76)+1)</f>
        <v>6</v>
      </c>
      <c r="Y76" s="64">
        <f>IF(AND(OR(C76="BKK01",C76="BKK04"),L76="CFS/CY"),0,IF(M76="DG",1,IF(LEFT(C76,3)="LCH",7,IF(C76="BKK02",5,3))))</f>
        <v>3</v>
      </c>
      <c r="Z76" s="63">
        <f>IF(IF(AND(AC76="TML",AB76&gt;0),((T76-W76)+1)-AB76,((T76-W76)+1)-Y76)&gt;0,IF(AND(AC76="TML",AB76&gt;0),((T76-W76)+1)-AB76,((T76-W76)+1)-Y76),0)</f>
        <v>3</v>
      </c>
      <c r="AA76" s="187">
        <f>IF(AND(B76="G1",M76=""),IF(R76="20'",
VLOOKUP(Z76,Charge!$K$2:$M$5,2,TRUE)+(Z76-VLOOKUP(Z76,Charge!$K$2:$M$5,1,TRUE))*VLOOKUP(Z76,Charge!$K$2:$M$5,3,TRUE),
VLOOKUP(Z76,Charge!$N$2:$P$5,2,TRUE)+(Z76-VLOOKUP(Z76,Charge!$N$2:$P$5,1,TRUE))*VLOOKUP(Z76,Charge!$N$2:$P$5,3,TRUE)),
IF(AND(B76="G1",M76="DG"),IF(R76="20'",
VLOOKUP(Z76,Charge!$R$2:$T$5,2,TRUE)+(Z76-VLOOKUP(Z76,Charge!$R$2:$T$5,1,TRUE))*VLOOKUP(Z76,Charge!$R$2:$T$5,3,TRUE),
VLOOKUP(Z76,Charge!$U$2:$W$5,2,TRUE)+(Z76-VLOOKUP(Z76,Charge!$U$2:$W$5,1,TRUE))*VLOOKUP(Z76,Charge!$U$2:$W$5,3,TRUE)),
IF(AND(B76="G3",M76=""),IF(R76="20'",
VLOOKUP(Z76,Charge!$K$18:$M$21,2,TRUE)+(Z76-VLOOKUP(Z76,Charge!$K$18:$M$21,1,TRUE))*VLOOKUP(Z76,Charge!$K$18:$M$21,3,TRUE),
VLOOKUP(Z76,Charge!$N$18:$P$21,2,TRUE)+(Z76-VLOOKUP(Z76,Charge!$N$18:$P$21,1,TRUE))*VLOOKUP(Z76,Charge!$N$18:$P$21,3,TRUE)),
IF(AND(B76="G3",M76="DG"),IF(R76="20'",
VLOOKUP(Z76,Charge!$R$18:$T$21,2,TRUE)+(Z76-VLOOKUP(Z76,Charge!$R$18:$T$21,1,TRUE))*VLOOKUP(Z76,Charge!$R$18:$T$21,3,TRUE),
VLOOKUP(Z76,Charge!$U$18:$W$21,2,TRUE)+(Z76-VLOOKUP(Z76,Charge!$U$18:$W$21,1,TRUE))*VLOOKUP(Z76,Charge!$U$18:$W$21,3,TRUE)),
IF(AND(B76="G2",M76=""),IF(R76="20'",
VLOOKUP(Z76,Charge!$K$9:$M$12,2,TRUE)+(Z76-VLOOKUP(Z76,Charge!$K$9:$M$12,1,TRUE))*VLOOKUP(Z76,Charge!$K$9:$M$12,3,TRUE),
VLOOKUP(Z76,Charge!$N$9:$P$12,2,TRUE)+(Z76-VLOOKUP(Z76,Charge!$N$9:$P$12,1,TRUE))*VLOOKUP(Z76,Charge!$N$9:$P$12,3,TRUE)),
IF(AND(B76="G2",M76="DG"),IF(R76="20'",
VLOOKUP(Z76,Charge!$R$9:$T$12,2,TRUE)+(Z76-VLOOKUP(Z76,Charge!$R$9:$T$12,1,TRUE))*VLOOKUP(Z76,Charge!$R$9:$T$12,3,TRUE),
VLOOKUP(Z76,Charge!$U$9:$W$12,2,TRUE)+(Z76-VLOOKUP(Z76,Charge!$U$9:$W$12,1,TRUE))*VLOOKUP(Z76,Charge!$U$9:$W$12,3,TRUE)),IF(AND(B76="G4",M76=""),IF(R76="20'",Z76*Charge!$M$25,Z76*Charge!$P$25),IF(AND(B76="G4",M76="DG"),IF(R76="20'",Z76*Charge!$T$25,Z76*Charge!$W$25),0))))))))</f>
        <v>960</v>
      </c>
      <c r="AB76" s="184" t="n"/>
      <c r="AC76" s="184" t="n"/>
      <c r="AD76" s="60">
        <f>IF(M76="DG",3,IF(N76="RF",3,5))+IF(AND(LEFT(C76,3)="BKK",N76="RF",Q76="KTS"),1,0)+IF(Q76="KHS",1,0)</f>
        <v>5</v>
      </c>
      <c r="AE76" s="63">
        <f>(T76-V76)+1</f>
        <v>46304</v>
      </c>
      <c r="AF76" s="63">
        <f>IF(AB76&gt;IF((V76-W76)&gt;0,V76-W76,0),0,IF(AB76&lt;IF((V76-W76)&gt;0,V76-W76,0),IF((V76-W76)&gt;0,V76-W76,0)-AB76,IF((V76-W76)&gt;0,V76-W76,0)))</f>
        <v>0</v>
      </c>
      <c r="AG76" s="187">
        <f>IF(AND(M76=""),IF(R76="20'",
VLOOKUP(AF76,Charge!$K$31:$M$34,2,TRUE)+(AF76-VLOOKUP(AF76,Charge!$K$31:$M$34,1,TRUE))*VLOOKUP(AF76,Charge!$K$31:$M$34,3,TRUE),
VLOOKUP(AF76,Charge!$N$31:$P$34,2,TRUE)+(AF76-VLOOKUP(AF76,Charge!$N$31:$P$34,1,TRUE))*VLOOKUP(AF76,Charge!$N$31:$P$34,3,TRUE)),
IF(AND(M76="DG"),IF(R76="20'",
VLOOKUP(AF76,Charge!$R$31:$T$34,2,TRUE)+(AF76-VLOOKUP(AF76,Charge!$R$31:$T$34,1,TRUE))*VLOOKUP(AF76,Charge!$R$31:$T$34,3,TRUE),
VLOOKUP(AF76,Charge!$U$31:$W$34,2,TRUE)+(AF76-VLOOKUP(AF76,Charge!$U$31:$W$34,1,TRUE))*VLOOKUP(AF76,Charge!$U$31:$W$34,3,TRUE)),0))</f>
        <v>0</v>
      </c>
      <c r="AH76" s="65" t="n"/>
      <c r="AI76" s="65">
        <f>AA76-AH76</f>
        <v>960</v>
      </c>
      <c r="AJ76" s="188" t="n"/>
      <c r="AK76" s="62" t="str">
        <f>VLOOKUP(D76,'2.Bookinglist'!A:CT,40,FALSE)</f>
        <v>Dharaporn</v>
      </c>
      <c r="AL76" s="60" t="str">
        <f>VLOOKUP(D76,'2.Bookinglist'!A:CW,101,FALSE)</f>
        <v>2026-10-07</v>
      </c>
      <c r="AM76" s="60" t="str">
        <f>VLOOKUP(D76,'2.Bookinglist'!A:BK,63,FALSE)</f>
        <v>BKK27</v>
      </c>
      <c r="AN76" s="62" t="str">
        <f>VLOOKUP(D76,'2.Bookinglist'!A:AZ,52,FALSE)</f>
        <v>Pickup : 2026-10-01, Return : 2026-10-02 (1ST RTN DD: 03/10/26 WO/RENT)</v>
      </c>
      <c r="AO76" s="62">
        <f>VLOOKUP(D76,'2.Bookinglist'!A:CY,103,FALSE)</f>
        <v>0</v>
      </c>
    </row>
    <row r="77" ht="12.95" customHeight="1">
      <c r="A77" s="96" t="inlineStr">
        <is>
          <t>SKHU6314189</t>
        </is>
      </c>
      <c r="B77" s="184" t="str">
        <f>IF(C77=Charge!$M$1,Charge!$J$1,IF(C77=Charge!$M$23,Charge!$J$23,IF(C77=Charge!$M$17,Charge!$J$17,IF(C77=Charge!$N$17,Charge!$J$17,Charge!$J$7))))</f>
        <v>G3</v>
      </c>
      <c r="C77" s="61" t="str">
        <f>VLOOKUP(A77,'1.Loading'!A:R,14,FALSE)</f>
        <v>BKK04</v>
      </c>
      <c r="D77" s="61" t="str">
        <f>VLOOKUP(A77,'1.Loading'!A:R,17,FALSE)</f>
        <v>HASLS22260902260</v>
      </c>
      <c r="E77" s="62" t="str">
        <f>VLOOKUP(D77,'2.Bookinglist'!A:CT,27,FALSE)</f>
        <v>CAPRICORN LOGISTICS CO., LTD.</v>
      </c>
      <c r="F77" s="62" t="str">
        <f>VLOOKUP(D77,'2.Bookinglist'!A:CT,28,FALSE)</f>
        <v>MITSUBISHI HEAVY INDUSTRIES - MAHAJAK AIR CONDITIONERS CO., </v>
      </c>
      <c r="G77" s="60">
        <f>VLOOKUP(D77,'2.Bookinglist'!A:E,5,FALSE)</f>
        <v>0</v>
      </c>
      <c r="H77" s="61" t="str">
        <f>VLOOKUP(D77,'2.Bookinglist'!A:CT,15,FALSE)</f>
        <v>THBKK</v>
      </c>
      <c r="I77" s="61" t="str">
        <f>VLOOKUP(D77,'2.Bookinglist'!A:CT,19,FALSE)</f>
        <v>VNSGN</v>
      </c>
      <c r="J77" s="61">
        <f>VLOOKUP(D77,'2.Bookinglist'!A:CT,26,FALSE)</f>
        <v>0</v>
      </c>
      <c r="K77" s="61" t="str">
        <f>VLOOKUP(A77,'1.Loading'!A:R,5,FALSE)</f>
        <v>45GP</v>
      </c>
      <c r="L77" s="60" t="str">
        <f>VLOOKUP(D77,'2.Bookinglist'!A:CT,85,FALSE)</f>
        <v>CY/CY</v>
      </c>
      <c r="M77" s="60" t="str">
        <f>IF(VLOOKUP(D77,'2.Bookinglist'!A:CT,43,FALSE)=0,"","DG")</f>
        <v/>
      </c>
      <c r="N77" s="60" t="str">
        <f>IF(RIGHT(K77,2)="RE","RF","")</f>
        <v/>
      </c>
      <c r="O77" s="61" t="str">
        <f>VLOOKUP(A77,'1.Loading'!A:R,3,FALSE)</f>
        <v>SWSP</v>
      </c>
      <c r="P77" s="61" t="str">
        <f>VLOOKUP(A77,'1.Loading'!A:R,4,FALSE)</f>
        <v>2609N</v>
      </c>
      <c r="Q77" s="61" t="str">
        <f>VLOOKUP(D77,'2.Bookinglist'!A:CT,12,FALSE)</f>
        <v>BTS</v>
      </c>
      <c r="R77" s="60" t="str">
        <f>IF(LEFT(K77,2)="22","20'","40'")</f>
        <v>40'</v>
      </c>
      <c r="S77" s="185" t="n"/>
      <c r="T77" s="61" t="str">
        <f>VLOOKUP(A77,'1.Loading'!A:R,2,FALSE)</f>
        <v>2026-10-08</v>
      </c>
      <c r="U77" s="63">
        <f>T77-S77</f>
        <v>46303</v>
      </c>
      <c r="V77" s="186" t="n"/>
      <c r="W77" s="61" t="str">
        <f>VLOOKUP(A77,'3.GateMove'!A:D,4,FALSE)</f>
        <v>2026-10-03</v>
      </c>
      <c r="X77" s="63">
        <f>((T77-W77)+1)</f>
        <v>6</v>
      </c>
      <c r="Y77" s="64">
        <f>IF(AND(OR(C77="BKK01",C77="BKK04"),L77="CFS/CY"),0,IF(M77="DG",1,IF(LEFT(C77,3)="LCH",7,IF(C77="BKK02",5,3))))</f>
        <v>3</v>
      </c>
      <c r="Z77" s="63">
        <f>IF(IF(AND(AC77="TML",AB77&gt;0),((T77-W77)+1)-AB77,((T77-W77)+1)-Y77)&gt;0,IF(AND(AC77="TML",AB77&gt;0),((T77-W77)+1)-AB77,((T77-W77)+1)-Y77),0)</f>
        <v>3</v>
      </c>
      <c r="AA77" s="187">
        <f>IF(AND(B77="G1",M77=""),IF(R77="20'",
VLOOKUP(Z77,Charge!$K$2:$M$5,2,TRUE)+(Z77-VLOOKUP(Z77,Charge!$K$2:$M$5,1,TRUE))*VLOOKUP(Z77,Charge!$K$2:$M$5,3,TRUE),
VLOOKUP(Z77,Charge!$N$2:$P$5,2,TRUE)+(Z77-VLOOKUP(Z77,Charge!$N$2:$P$5,1,TRUE))*VLOOKUP(Z77,Charge!$N$2:$P$5,3,TRUE)),
IF(AND(B77="G1",M77="DG"),IF(R77="20'",
VLOOKUP(Z77,Charge!$R$2:$T$5,2,TRUE)+(Z77-VLOOKUP(Z77,Charge!$R$2:$T$5,1,TRUE))*VLOOKUP(Z77,Charge!$R$2:$T$5,3,TRUE),
VLOOKUP(Z77,Charge!$U$2:$W$5,2,TRUE)+(Z77-VLOOKUP(Z77,Charge!$U$2:$W$5,1,TRUE))*VLOOKUP(Z77,Charge!$U$2:$W$5,3,TRUE)),
IF(AND(B77="G3",M77=""),IF(R77="20'",
VLOOKUP(Z77,Charge!$K$18:$M$21,2,TRUE)+(Z77-VLOOKUP(Z77,Charge!$K$18:$M$21,1,TRUE))*VLOOKUP(Z77,Charge!$K$18:$M$21,3,TRUE),
VLOOKUP(Z77,Charge!$N$18:$P$21,2,TRUE)+(Z77-VLOOKUP(Z77,Charge!$N$18:$P$21,1,TRUE))*VLOOKUP(Z77,Charge!$N$18:$P$21,3,TRUE)),
IF(AND(B77="G3",M77="DG"),IF(R77="20'",
VLOOKUP(Z77,Charge!$R$18:$T$21,2,TRUE)+(Z77-VLOOKUP(Z77,Charge!$R$18:$T$21,1,TRUE))*VLOOKUP(Z77,Charge!$R$18:$T$21,3,TRUE),
VLOOKUP(Z77,Charge!$U$18:$W$21,2,TRUE)+(Z77-VLOOKUP(Z77,Charge!$U$18:$W$21,1,TRUE))*VLOOKUP(Z77,Charge!$U$18:$W$21,3,TRUE)),
IF(AND(B77="G2",M77=""),IF(R77="20'",
VLOOKUP(Z77,Charge!$K$9:$M$12,2,TRUE)+(Z77-VLOOKUP(Z77,Charge!$K$9:$M$12,1,TRUE))*VLOOKUP(Z77,Charge!$K$9:$M$12,3,TRUE),
VLOOKUP(Z77,Charge!$N$9:$P$12,2,TRUE)+(Z77-VLOOKUP(Z77,Charge!$N$9:$P$12,1,TRUE))*VLOOKUP(Z77,Charge!$N$9:$P$12,3,TRUE)),
IF(AND(B77="G2",M77="DG"),IF(R77="20'",
VLOOKUP(Z77,Charge!$R$9:$T$12,2,TRUE)+(Z77-VLOOKUP(Z77,Charge!$R$9:$T$12,1,TRUE))*VLOOKUP(Z77,Charge!$R$9:$T$12,3,TRUE),
VLOOKUP(Z77,Charge!$U$9:$W$12,2,TRUE)+(Z77-VLOOKUP(Z77,Charge!$U$9:$W$12,1,TRUE))*VLOOKUP(Z77,Charge!$U$9:$W$12,3,TRUE)),IF(AND(B77="G4",M77=""),IF(R77="20'",Z77*Charge!$M$25,Z77*Charge!$P$25),IF(AND(B77="G4",M77="DG"),IF(R77="20'",Z77*Charge!$T$25,Z77*Charge!$W$25),0))))))))</f>
        <v>960</v>
      </c>
      <c r="AB77" s="184" t="n"/>
      <c r="AC77" s="184" t="n"/>
      <c r="AD77" s="60">
        <f>IF(M77="DG",3,IF(N77="RF",3,5))+IF(AND(LEFT(C77,3)="BKK",N77="RF",Q77="KTS"),1,0)+IF(Q77="KHS",1,0)</f>
        <v>5</v>
      </c>
      <c r="AE77" s="63">
        <f>(T77-V77)+1</f>
        <v>46304</v>
      </c>
      <c r="AF77" s="63">
        <f>IF(AB77&gt;IF((V77-W77)&gt;0,V77-W77,0),0,IF(AB77&lt;IF((V77-W77)&gt;0,V77-W77,0),IF((V77-W77)&gt;0,V77-W77,0)-AB77,IF((V77-W77)&gt;0,V77-W77,0)))</f>
        <v>0</v>
      </c>
      <c r="AG77" s="187">
        <f>IF(AND(M77=""),IF(R77="20'",
VLOOKUP(AF77,Charge!$K$31:$M$34,2,TRUE)+(AF77-VLOOKUP(AF77,Charge!$K$31:$M$34,1,TRUE))*VLOOKUP(AF77,Charge!$K$31:$M$34,3,TRUE),
VLOOKUP(AF77,Charge!$N$31:$P$34,2,TRUE)+(AF77-VLOOKUP(AF77,Charge!$N$31:$P$34,1,TRUE))*VLOOKUP(AF77,Charge!$N$31:$P$34,3,TRUE)),
IF(AND(M77="DG"),IF(R77="20'",
VLOOKUP(AF77,Charge!$R$31:$T$34,2,TRUE)+(AF77-VLOOKUP(AF77,Charge!$R$31:$T$34,1,TRUE))*VLOOKUP(AF77,Charge!$R$31:$T$34,3,TRUE),
VLOOKUP(AF77,Charge!$U$31:$W$34,2,TRUE)+(AF77-VLOOKUP(AF77,Charge!$U$31:$W$34,1,TRUE))*VLOOKUP(AF77,Charge!$U$31:$W$34,3,TRUE)),0))</f>
        <v>0</v>
      </c>
      <c r="AH77" s="65" t="n"/>
      <c r="AI77" s="65">
        <f>AA77-AH77</f>
        <v>960</v>
      </c>
      <c r="AJ77" s="188" t="n"/>
      <c r="AK77" s="62" t="str">
        <f>VLOOKUP(D77,'2.Bookinglist'!A:CT,40,FALSE)</f>
        <v>Sukunpoj Damrongying</v>
      </c>
      <c r="AL77" s="60" t="str">
        <f>VLOOKUP(D77,'2.Bookinglist'!A:CW,101,FALSE)</f>
        <v>2026-10-07</v>
      </c>
      <c r="AM77" s="60" t="str">
        <f>VLOOKUP(D77,'2.Bookinglist'!A:BK,63,FALSE)</f>
        <v>BKK27</v>
      </c>
      <c r="AN77" s="62" t="str">
        <f>VLOOKUP(D77,'2.Bookinglist'!A:AZ,52,FALSE)</f>
        <v>Pickup : 2026-09-29, Return : 2026-10-01 </v>
      </c>
      <c r="AO77" s="62">
        <f>VLOOKUP(D77,'2.Bookinglist'!A:CY,103,FALSE)</f>
        <v>0</v>
      </c>
    </row>
    <row r="78" ht="12.95" customHeight="1">
      <c r="A78" s="96" t="inlineStr">
        <is>
          <t>SKHU6336700</t>
        </is>
      </c>
      <c r="B78" s="184" t="str">
        <f>IF(C78=Charge!$M$1,Charge!$J$1,IF(C78=Charge!$M$23,Charge!$J$23,IF(C78=Charge!$M$17,Charge!$J$17,IF(C78=Charge!$N$17,Charge!$J$17,Charge!$J$7))))</f>
        <v>G3</v>
      </c>
      <c r="C78" s="61" t="str">
        <f>VLOOKUP(A78,'1.Loading'!A:R,14,FALSE)</f>
        <v>BKK04</v>
      </c>
      <c r="D78" s="61" t="str">
        <f>VLOOKUP(A78,'1.Loading'!A:R,17,FALSE)</f>
        <v>HASLS22260902260</v>
      </c>
      <c r="E78" s="62" t="str">
        <f>VLOOKUP(D78,'2.Bookinglist'!A:CT,27,FALSE)</f>
        <v>CAPRICORN LOGISTICS CO., LTD.</v>
      </c>
      <c r="F78" s="62" t="str">
        <f>VLOOKUP(D78,'2.Bookinglist'!A:CT,28,FALSE)</f>
        <v>MITSUBISHI HEAVY INDUSTRIES - MAHAJAK AIR CONDITIONERS CO., </v>
      </c>
      <c r="G78" s="60">
        <f>VLOOKUP(D78,'2.Bookinglist'!A:E,5,FALSE)</f>
        <v>0</v>
      </c>
      <c r="H78" s="61" t="str">
        <f>VLOOKUP(D78,'2.Bookinglist'!A:CT,15,FALSE)</f>
        <v>THBKK</v>
      </c>
      <c r="I78" s="61" t="str">
        <f>VLOOKUP(D78,'2.Bookinglist'!A:CT,19,FALSE)</f>
        <v>VNSGN</v>
      </c>
      <c r="J78" s="61">
        <f>VLOOKUP(D78,'2.Bookinglist'!A:CT,26,FALSE)</f>
        <v>0</v>
      </c>
      <c r="K78" s="61" t="str">
        <f>VLOOKUP(A78,'1.Loading'!A:R,5,FALSE)</f>
        <v>45GP</v>
      </c>
      <c r="L78" s="60" t="str">
        <f>VLOOKUP(D78,'2.Bookinglist'!A:CT,85,FALSE)</f>
        <v>CY/CY</v>
      </c>
      <c r="M78" s="60" t="str">
        <f>IF(VLOOKUP(D78,'2.Bookinglist'!A:CT,43,FALSE)=0,"","DG")</f>
        <v/>
      </c>
      <c r="N78" s="60" t="str">
        <f>IF(RIGHT(K78,2)="RE","RF","")</f>
        <v/>
      </c>
      <c r="O78" s="61" t="str">
        <f>VLOOKUP(A78,'1.Loading'!A:R,3,FALSE)</f>
        <v>SWSP</v>
      </c>
      <c r="P78" s="61" t="str">
        <f>VLOOKUP(A78,'1.Loading'!A:R,4,FALSE)</f>
        <v>2609N</v>
      </c>
      <c r="Q78" s="61" t="str">
        <f>VLOOKUP(D78,'2.Bookinglist'!A:CT,12,FALSE)</f>
        <v>BTS</v>
      </c>
      <c r="R78" s="60" t="str">
        <f>IF(LEFT(K78,2)="22","20'","40'")</f>
        <v>40'</v>
      </c>
      <c r="S78" s="185" t="n"/>
      <c r="T78" s="61" t="str">
        <f>VLOOKUP(A78,'1.Loading'!A:R,2,FALSE)</f>
        <v>2026-10-08</v>
      </c>
      <c r="U78" s="63">
        <f>T78-S78</f>
        <v>46303</v>
      </c>
      <c r="V78" s="186" t="n"/>
      <c r="W78" s="61" t="str">
        <f>VLOOKUP(A78,'3.GateMove'!A:D,4,FALSE)</f>
        <v>2026-10-02</v>
      </c>
      <c r="X78" s="63">
        <f>((T78-W78)+1)</f>
        <v>7</v>
      </c>
      <c r="Y78" s="64">
        <f>IF(AND(OR(C78="BKK01",C78="BKK04"),L78="CFS/CY"),0,IF(M78="DG",1,IF(LEFT(C78,3)="LCH",7,IF(C78="BKK02",5,3))))</f>
        <v>3</v>
      </c>
      <c r="Z78" s="63">
        <f>IF(IF(AND(AC78="TML",AB78&gt;0),((T78-W78)+1)-AB78,((T78-W78)+1)-Y78)&gt;0,IF(AND(AC78="TML",AB78&gt;0),((T78-W78)+1)-AB78,((T78-W78)+1)-Y78),0)</f>
        <v>4</v>
      </c>
      <c r="AA78" s="187">
        <f>IF(AND(B78="G1",M78=""),IF(R78="20'",
VLOOKUP(Z78,Charge!$K$2:$M$5,2,TRUE)+(Z78-VLOOKUP(Z78,Charge!$K$2:$M$5,1,TRUE))*VLOOKUP(Z78,Charge!$K$2:$M$5,3,TRUE),
VLOOKUP(Z78,Charge!$N$2:$P$5,2,TRUE)+(Z78-VLOOKUP(Z78,Charge!$N$2:$P$5,1,TRUE))*VLOOKUP(Z78,Charge!$N$2:$P$5,3,TRUE)),
IF(AND(B78="G1",M78="DG"),IF(R78="20'",
VLOOKUP(Z78,Charge!$R$2:$T$5,2,TRUE)+(Z78-VLOOKUP(Z78,Charge!$R$2:$T$5,1,TRUE))*VLOOKUP(Z78,Charge!$R$2:$T$5,3,TRUE),
VLOOKUP(Z78,Charge!$U$2:$W$5,2,TRUE)+(Z78-VLOOKUP(Z78,Charge!$U$2:$W$5,1,TRUE))*VLOOKUP(Z78,Charge!$U$2:$W$5,3,TRUE)),
IF(AND(B78="G3",M78=""),IF(R78="20'",
VLOOKUP(Z78,Charge!$K$18:$M$21,2,TRUE)+(Z78-VLOOKUP(Z78,Charge!$K$18:$M$21,1,TRUE))*VLOOKUP(Z78,Charge!$K$18:$M$21,3,TRUE),
VLOOKUP(Z78,Charge!$N$18:$P$21,2,TRUE)+(Z78-VLOOKUP(Z78,Charge!$N$18:$P$21,1,TRUE))*VLOOKUP(Z78,Charge!$N$18:$P$21,3,TRUE)),
IF(AND(B78="G3",M78="DG"),IF(R78="20'",
VLOOKUP(Z78,Charge!$R$18:$T$21,2,TRUE)+(Z78-VLOOKUP(Z78,Charge!$R$18:$T$21,1,TRUE))*VLOOKUP(Z78,Charge!$R$18:$T$21,3,TRUE),
VLOOKUP(Z78,Charge!$U$18:$W$21,2,TRUE)+(Z78-VLOOKUP(Z78,Charge!$U$18:$W$21,1,TRUE))*VLOOKUP(Z78,Charge!$U$18:$W$21,3,TRUE)),
IF(AND(B78="G2",M78=""),IF(R78="20'",
VLOOKUP(Z78,Charge!$K$9:$M$12,2,TRUE)+(Z78-VLOOKUP(Z78,Charge!$K$9:$M$12,1,TRUE))*VLOOKUP(Z78,Charge!$K$9:$M$12,3,TRUE),
VLOOKUP(Z78,Charge!$N$9:$P$12,2,TRUE)+(Z78-VLOOKUP(Z78,Charge!$N$9:$P$12,1,TRUE))*VLOOKUP(Z78,Charge!$N$9:$P$12,3,TRUE)),
IF(AND(B78="G2",M78="DG"),IF(R78="20'",
VLOOKUP(Z78,Charge!$R$9:$T$12,2,TRUE)+(Z78-VLOOKUP(Z78,Charge!$R$9:$T$12,1,TRUE))*VLOOKUP(Z78,Charge!$R$9:$T$12,3,TRUE),
VLOOKUP(Z78,Charge!$U$9:$W$12,2,TRUE)+(Z78-VLOOKUP(Z78,Charge!$U$9:$W$12,1,TRUE))*VLOOKUP(Z78,Charge!$U$9:$W$12,3,TRUE)),IF(AND(B78="G4",M78=""),IF(R78="20'",Z78*Charge!$M$25,Z78*Charge!$P$25),IF(AND(B78="G4",M78="DG"),IF(R78="20'",Z78*Charge!$T$25,Z78*Charge!$W$25),0))))))))</f>
        <v>1280</v>
      </c>
      <c r="AB78" s="184" t="n"/>
      <c r="AC78" s="184" t="n"/>
      <c r="AD78" s="60">
        <f>IF(M78="DG",3,IF(N78="RF",3,5))+IF(AND(LEFT(C78,3)="BKK",N78="RF",Q78="KTS"),1,0)+IF(Q78="KHS",1,0)</f>
        <v>5</v>
      </c>
      <c r="AE78" s="63">
        <f>(T78-V78)+1</f>
        <v>46304</v>
      </c>
      <c r="AF78" s="63">
        <f>IF(AB78&gt;IF((V78-W78)&gt;0,V78-W78,0),0,IF(AB78&lt;IF((V78-W78)&gt;0,V78-W78,0),IF((V78-W78)&gt;0,V78-W78,0)-AB78,IF((V78-W78)&gt;0,V78-W78,0)))</f>
        <v>0</v>
      </c>
      <c r="AG78" s="187">
        <f>IF(AND(M78=""),IF(R78="20'",
VLOOKUP(AF78,Charge!$K$31:$M$34,2,TRUE)+(AF78-VLOOKUP(AF78,Charge!$K$31:$M$34,1,TRUE))*VLOOKUP(AF78,Charge!$K$31:$M$34,3,TRUE),
VLOOKUP(AF78,Charge!$N$31:$P$34,2,TRUE)+(AF78-VLOOKUP(AF78,Charge!$N$31:$P$34,1,TRUE))*VLOOKUP(AF78,Charge!$N$31:$P$34,3,TRUE)),
IF(AND(M78="DG"),IF(R78="20'",
VLOOKUP(AF78,Charge!$R$31:$T$34,2,TRUE)+(AF78-VLOOKUP(AF78,Charge!$R$31:$T$34,1,TRUE))*VLOOKUP(AF78,Charge!$R$31:$T$34,3,TRUE),
VLOOKUP(AF78,Charge!$U$31:$W$34,2,TRUE)+(AF78-VLOOKUP(AF78,Charge!$U$31:$W$34,1,TRUE))*VLOOKUP(AF78,Charge!$U$31:$W$34,3,TRUE)),0))</f>
        <v>0</v>
      </c>
      <c r="AH78" s="65" t="n"/>
      <c r="AI78" s="65">
        <f>AA78-AH78</f>
        <v>1280</v>
      </c>
      <c r="AJ78" s="188" t="n"/>
      <c r="AK78" s="62" t="str">
        <f>VLOOKUP(D78,'2.Bookinglist'!A:CT,40,FALSE)</f>
        <v>Sukunpoj Damrongying</v>
      </c>
      <c r="AL78" s="60" t="str">
        <f>VLOOKUP(D78,'2.Bookinglist'!A:CW,101,FALSE)</f>
        <v>2026-10-07</v>
      </c>
      <c r="AM78" s="60" t="str">
        <f>VLOOKUP(D78,'2.Bookinglist'!A:BK,63,FALSE)</f>
        <v>BKK27</v>
      </c>
      <c r="AN78" s="62" t="str">
        <f>VLOOKUP(D78,'2.Bookinglist'!A:AZ,52,FALSE)</f>
        <v>Pickup : 2026-09-29, Return : 2026-10-01 </v>
      </c>
      <c r="AO78" s="62">
        <f>VLOOKUP(D78,'2.Bookinglist'!A:CY,103,FALSE)</f>
        <v>0</v>
      </c>
    </row>
    <row r="79" ht="12.95" customHeight="1">
      <c r="A79" s="96" t="inlineStr">
        <is>
          <t>SKHU6336871</t>
        </is>
      </c>
      <c r="B79" s="184" t="str">
        <f>IF(C79=Charge!$M$1,Charge!$J$1,IF(C79=Charge!$M$23,Charge!$J$23,IF(C79=Charge!$M$17,Charge!$J$17,IF(C79=Charge!$N$17,Charge!$J$17,Charge!$J$7))))</f>
        <v>G3</v>
      </c>
      <c r="C79" s="61" t="str">
        <f>VLOOKUP(A79,'1.Loading'!A:R,14,FALSE)</f>
        <v>BKK04</v>
      </c>
      <c r="D79" s="61" t="str">
        <f>VLOOKUP(A79,'1.Loading'!A:R,17,FALSE)</f>
        <v>HASLS22260901649</v>
      </c>
      <c r="E79" s="62" t="str">
        <f>VLOOKUP(D79,'2.Bookinglist'!A:CT,27,FALSE)</f>
        <v>SDS-ACUTECH CO., LTD.</v>
      </c>
      <c r="F79" s="62" t="str">
        <f>VLOOKUP(D79,'2.Bookinglist'!A:CT,28,FALSE)</f>
        <v>APEX CIRCUIT (THAILAND) CO., LTD.</v>
      </c>
      <c r="G79" s="60">
        <f>VLOOKUP(D79,'2.Bookinglist'!A:E,5,FALSE)</f>
        <v>0</v>
      </c>
      <c r="H79" s="61" t="str">
        <f>VLOOKUP(D79,'2.Bookinglist'!A:CT,15,FALSE)</f>
        <v>THBKK</v>
      </c>
      <c r="I79" s="61" t="str">
        <f>VLOOKUP(D79,'2.Bookinglist'!A:CT,19,FALSE)</f>
        <v>VNSGN</v>
      </c>
      <c r="J79" s="61">
        <f>VLOOKUP(D79,'2.Bookinglist'!A:CT,26,FALSE)</f>
        <v>0</v>
      </c>
      <c r="K79" s="61" t="str">
        <f>VLOOKUP(A79,'1.Loading'!A:R,5,FALSE)</f>
        <v>45GP</v>
      </c>
      <c r="L79" s="60" t="str">
        <f>VLOOKUP(D79,'2.Bookinglist'!A:CT,85,FALSE)</f>
        <v>CY/CY</v>
      </c>
      <c r="M79" s="60" t="str">
        <f>IF(VLOOKUP(D79,'2.Bookinglist'!A:CT,43,FALSE)=0,"","DG")</f>
        <v/>
      </c>
      <c r="N79" s="60" t="str">
        <f>IF(RIGHT(K79,2)="RE","RF","")</f>
        <v/>
      </c>
      <c r="O79" s="61" t="str">
        <f>VLOOKUP(A79,'1.Loading'!A:R,3,FALSE)</f>
        <v>SWSP</v>
      </c>
      <c r="P79" s="61" t="str">
        <f>VLOOKUP(A79,'1.Loading'!A:R,4,FALSE)</f>
        <v>2609N</v>
      </c>
      <c r="Q79" s="61" t="str">
        <f>VLOOKUP(D79,'2.Bookinglist'!A:CT,12,FALSE)</f>
        <v>BTS</v>
      </c>
      <c r="R79" s="60" t="str">
        <f>IF(LEFT(K79,2)="22","20'","40'")</f>
        <v>40'</v>
      </c>
      <c r="S79" s="185" t="n"/>
      <c r="T79" s="61" t="str">
        <f>VLOOKUP(A79,'1.Loading'!A:R,2,FALSE)</f>
        <v>2026-10-08</v>
      </c>
      <c r="U79" s="63">
        <f>T79-S79</f>
        <v>46303</v>
      </c>
      <c r="V79" s="186" t="n"/>
      <c r="W79" s="61" t="str">
        <f>VLOOKUP(A79,'3.GateMove'!A:D,4,FALSE)</f>
        <v>2026-10-03</v>
      </c>
      <c r="X79" s="63">
        <f>((T79-W79)+1)</f>
        <v>6</v>
      </c>
      <c r="Y79" s="64">
        <f>IF(AND(OR(C79="BKK01",C79="BKK04"),L79="CFS/CY"),0,IF(M79="DG",1,IF(LEFT(C79,3)="LCH",7,IF(C79="BKK02",5,3))))</f>
        <v>3</v>
      </c>
      <c r="Z79" s="63">
        <f>IF(IF(AND(AC79="TML",AB79&gt;0),((T79-W79)+1)-AB79,((T79-W79)+1)-Y79)&gt;0,IF(AND(AC79="TML",AB79&gt;0),((T79-W79)+1)-AB79,((T79-W79)+1)-Y79),0)</f>
        <v>3</v>
      </c>
      <c r="AA79" s="187">
        <f>IF(AND(B79="G1",M79=""),IF(R79="20'",
VLOOKUP(Z79,Charge!$K$2:$M$5,2,TRUE)+(Z79-VLOOKUP(Z79,Charge!$K$2:$M$5,1,TRUE))*VLOOKUP(Z79,Charge!$K$2:$M$5,3,TRUE),
VLOOKUP(Z79,Charge!$N$2:$P$5,2,TRUE)+(Z79-VLOOKUP(Z79,Charge!$N$2:$P$5,1,TRUE))*VLOOKUP(Z79,Charge!$N$2:$P$5,3,TRUE)),
IF(AND(B79="G1",M79="DG"),IF(R79="20'",
VLOOKUP(Z79,Charge!$R$2:$T$5,2,TRUE)+(Z79-VLOOKUP(Z79,Charge!$R$2:$T$5,1,TRUE))*VLOOKUP(Z79,Charge!$R$2:$T$5,3,TRUE),
VLOOKUP(Z79,Charge!$U$2:$W$5,2,TRUE)+(Z79-VLOOKUP(Z79,Charge!$U$2:$W$5,1,TRUE))*VLOOKUP(Z79,Charge!$U$2:$W$5,3,TRUE)),
IF(AND(B79="G3",M79=""),IF(R79="20'",
VLOOKUP(Z79,Charge!$K$18:$M$21,2,TRUE)+(Z79-VLOOKUP(Z79,Charge!$K$18:$M$21,1,TRUE))*VLOOKUP(Z79,Charge!$K$18:$M$21,3,TRUE),
VLOOKUP(Z79,Charge!$N$18:$P$21,2,TRUE)+(Z79-VLOOKUP(Z79,Charge!$N$18:$P$21,1,TRUE))*VLOOKUP(Z79,Charge!$N$18:$P$21,3,TRUE)),
IF(AND(B79="G3",M79="DG"),IF(R79="20'",
VLOOKUP(Z79,Charge!$R$18:$T$21,2,TRUE)+(Z79-VLOOKUP(Z79,Charge!$R$18:$T$21,1,TRUE))*VLOOKUP(Z79,Charge!$R$18:$T$21,3,TRUE),
VLOOKUP(Z79,Charge!$U$18:$W$21,2,TRUE)+(Z79-VLOOKUP(Z79,Charge!$U$18:$W$21,1,TRUE))*VLOOKUP(Z79,Charge!$U$18:$W$21,3,TRUE)),
IF(AND(B79="G2",M79=""),IF(R79="20'",
VLOOKUP(Z79,Charge!$K$9:$M$12,2,TRUE)+(Z79-VLOOKUP(Z79,Charge!$K$9:$M$12,1,TRUE))*VLOOKUP(Z79,Charge!$K$9:$M$12,3,TRUE),
VLOOKUP(Z79,Charge!$N$9:$P$12,2,TRUE)+(Z79-VLOOKUP(Z79,Charge!$N$9:$P$12,1,TRUE))*VLOOKUP(Z79,Charge!$N$9:$P$12,3,TRUE)),
IF(AND(B79="G2",M79="DG"),IF(R79="20'",
VLOOKUP(Z79,Charge!$R$9:$T$12,2,TRUE)+(Z79-VLOOKUP(Z79,Charge!$R$9:$T$12,1,TRUE))*VLOOKUP(Z79,Charge!$R$9:$T$12,3,TRUE),
VLOOKUP(Z79,Charge!$U$9:$W$12,2,TRUE)+(Z79-VLOOKUP(Z79,Charge!$U$9:$W$12,1,TRUE))*VLOOKUP(Z79,Charge!$U$9:$W$12,3,TRUE)),IF(AND(B79="G4",M79=""),IF(R79="20'",Z79*Charge!$M$25,Z79*Charge!$P$25),IF(AND(B79="G4",M79="DG"),IF(R79="20'",Z79*Charge!$T$25,Z79*Charge!$W$25),0))))))))</f>
        <v>960</v>
      </c>
      <c r="AB79" s="184" t="n"/>
      <c r="AC79" s="184" t="n"/>
      <c r="AD79" s="60">
        <f>IF(M79="DG",3,IF(N79="RF",3,5))+IF(AND(LEFT(C79,3)="BKK",N79="RF",Q79="KTS"),1,0)+IF(Q79="KHS",1,0)</f>
        <v>5</v>
      </c>
      <c r="AE79" s="63">
        <f>(T79-V79)+1</f>
        <v>46304</v>
      </c>
      <c r="AF79" s="63">
        <f>IF(AB79&gt;IF((V79-W79)&gt;0,V79-W79,0),0,IF(AB79&lt;IF((V79-W79)&gt;0,V79-W79,0),IF((V79-W79)&gt;0,V79-W79,0)-AB79,IF((V79-W79)&gt;0,V79-W79,0)))</f>
        <v>0</v>
      </c>
      <c r="AG79" s="187">
        <f>IF(AND(M79=""),IF(R79="20'",
VLOOKUP(AF79,Charge!$K$31:$M$34,2,TRUE)+(AF79-VLOOKUP(AF79,Charge!$K$31:$M$34,1,TRUE))*VLOOKUP(AF79,Charge!$K$31:$M$34,3,TRUE),
VLOOKUP(AF79,Charge!$N$31:$P$34,2,TRUE)+(AF79-VLOOKUP(AF79,Charge!$N$31:$P$34,1,TRUE))*VLOOKUP(AF79,Charge!$N$31:$P$34,3,TRUE)),
IF(AND(M79="DG"),IF(R79="20'",
VLOOKUP(AF79,Charge!$R$31:$T$34,2,TRUE)+(AF79-VLOOKUP(AF79,Charge!$R$31:$T$34,1,TRUE))*VLOOKUP(AF79,Charge!$R$31:$T$34,3,TRUE),
VLOOKUP(AF79,Charge!$U$31:$W$34,2,TRUE)+(AF79-VLOOKUP(AF79,Charge!$U$31:$W$34,1,TRUE))*VLOOKUP(AF79,Charge!$U$31:$W$34,3,TRUE)),0))</f>
        <v>0</v>
      </c>
      <c r="AH79" s="65" t="n"/>
      <c r="AI79" s="65">
        <f>AA79-AH79</f>
        <v>960</v>
      </c>
      <c r="AJ79" s="188" t="n"/>
      <c r="AK79" s="62" t="str">
        <f>VLOOKUP(D79,'2.Bookinglist'!A:CT,40,FALSE)</f>
        <v>LEE SEUNG MIN</v>
      </c>
      <c r="AL79" s="60" t="str">
        <f>VLOOKUP(D79,'2.Bookinglist'!A:CW,101,FALSE)</f>
        <v>2026-10-04</v>
      </c>
      <c r="AM79" s="60" t="str">
        <f>VLOOKUP(D79,'2.Bookinglist'!A:BK,63,FALSE)</f>
        <v>BKK27</v>
      </c>
      <c r="AN79" s="62" t="str">
        <f>VLOOKUP(D79,'2.Bookinglist'!A:AZ,52,FALSE)</f>
        <v>Pickup : 2026-10-01, Return : 2026-10-02</v>
      </c>
      <c r="AO79" s="62">
        <f>VLOOKUP(D79,'2.Bookinglist'!A:CY,103,FALSE)</f>
        <v>0</v>
      </c>
    </row>
    <row r="80" ht="12.95" customHeight="1">
      <c r="A80" s="96" t="inlineStr">
        <is>
          <t>SKHU6365801</t>
        </is>
      </c>
      <c r="B80" s="184" t="str">
        <f>IF(C80=Charge!$M$1,Charge!$J$1,IF(C80=Charge!$M$23,Charge!$J$23,IF(C80=Charge!$M$17,Charge!$J$17,IF(C80=Charge!$N$17,Charge!$J$17,Charge!$J$7))))</f>
        <v>G3</v>
      </c>
      <c r="C80" s="61" t="str">
        <f>VLOOKUP(A80,'1.Loading'!A:R,14,FALSE)</f>
        <v>BKK04</v>
      </c>
      <c r="D80" s="61" t="str">
        <f>VLOOKUP(A80,'1.Loading'!A:R,17,FALSE)</f>
        <v>HASLS22260900834</v>
      </c>
      <c r="E80" s="62" t="str">
        <f>VLOOKUP(D80,'2.Bookinglist'!A:CT,27,FALSE)</f>
        <v>CMS LOGISTICS GROUP (THAILAND) CO., LTD.</v>
      </c>
      <c r="F80" s="62" t="str">
        <f>VLOOKUP(D80,'2.Bookinglist'!A:CT,28,FALSE)</f>
        <v>TETRA PAK (THAILAND) LIMITED</v>
      </c>
      <c r="G80" s="60">
        <f>VLOOKUP(D80,'2.Bookinglist'!A:E,5,FALSE)</f>
        <v>0</v>
      </c>
      <c r="H80" s="61" t="str">
        <f>VLOOKUP(D80,'2.Bookinglist'!A:CT,15,FALSE)</f>
        <v>THBKK</v>
      </c>
      <c r="I80" s="61" t="str">
        <f>VLOOKUP(D80,'2.Bookinglist'!A:CT,19,FALSE)</f>
        <v>VNSGN</v>
      </c>
      <c r="J80" s="61">
        <f>VLOOKUP(D80,'2.Bookinglist'!A:CT,26,FALSE)</f>
        <v>0</v>
      </c>
      <c r="K80" s="61" t="str">
        <f>VLOOKUP(A80,'1.Loading'!A:R,5,FALSE)</f>
        <v>45GP</v>
      </c>
      <c r="L80" s="60" t="str">
        <f>VLOOKUP(D80,'2.Bookinglist'!A:CT,85,FALSE)</f>
        <v>CY/CY</v>
      </c>
      <c r="M80" s="60" t="str">
        <f>IF(VLOOKUP(D80,'2.Bookinglist'!A:CT,43,FALSE)=0,"","DG")</f>
        <v/>
      </c>
      <c r="N80" s="60" t="str">
        <f>IF(RIGHT(K80,2)="RE","RF","")</f>
        <v/>
      </c>
      <c r="O80" s="61" t="str">
        <f>VLOOKUP(A80,'1.Loading'!A:R,3,FALSE)</f>
        <v>SWSP</v>
      </c>
      <c r="P80" s="61" t="str">
        <f>VLOOKUP(A80,'1.Loading'!A:R,4,FALSE)</f>
        <v>2609N</v>
      </c>
      <c r="Q80" s="61" t="str">
        <f>VLOOKUP(D80,'2.Bookinglist'!A:CT,12,FALSE)</f>
        <v>BTS</v>
      </c>
      <c r="R80" s="60" t="str">
        <f>IF(LEFT(K80,2)="22","20'","40'")</f>
        <v>40'</v>
      </c>
      <c r="S80" s="185" t="n"/>
      <c r="T80" s="61" t="str">
        <f>VLOOKUP(A80,'1.Loading'!A:R,2,FALSE)</f>
        <v>2026-10-08</v>
      </c>
      <c r="U80" s="63">
        <f>T80-S80</f>
        <v>46303</v>
      </c>
      <c r="V80" s="186" t="n"/>
      <c r="W80" s="61" t="str">
        <f>VLOOKUP(A80,'3.GateMove'!A:D,4,FALSE)</f>
        <v>2026-10-05</v>
      </c>
      <c r="X80" s="63">
        <f>((T80-W80)+1)</f>
        <v>4</v>
      </c>
      <c r="Y80" s="64">
        <f>IF(AND(OR(C80="BKK01",C80="BKK04"),L80="CFS/CY"),0,IF(M80="DG",1,IF(LEFT(C80,3)="LCH",7,IF(C80="BKK02",5,3))))</f>
        <v>3</v>
      </c>
      <c r="Z80" s="63">
        <f>IF(IF(AND(AC80="TML",AB80&gt;0),((T80-W80)+1)-AB80,((T80-W80)+1)-Y80)&gt;0,IF(AND(AC80="TML",AB80&gt;0),((T80-W80)+1)-AB80,((T80-W80)+1)-Y80),0)</f>
        <v>1</v>
      </c>
      <c r="AA80" s="187">
        <f>IF(AND(B80="G1",M80=""),IF(R80="20'",
VLOOKUP(Z80,Charge!$K$2:$M$5,2,TRUE)+(Z80-VLOOKUP(Z80,Charge!$K$2:$M$5,1,TRUE))*VLOOKUP(Z80,Charge!$K$2:$M$5,3,TRUE),
VLOOKUP(Z80,Charge!$N$2:$P$5,2,TRUE)+(Z80-VLOOKUP(Z80,Charge!$N$2:$P$5,1,TRUE))*VLOOKUP(Z80,Charge!$N$2:$P$5,3,TRUE)),
IF(AND(B80="G1",M80="DG"),IF(R80="20'",
VLOOKUP(Z80,Charge!$R$2:$T$5,2,TRUE)+(Z80-VLOOKUP(Z80,Charge!$R$2:$T$5,1,TRUE))*VLOOKUP(Z80,Charge!$R$2:$T$5,3,TRUE),
VLOOKUP(Z80,Charge!$U$2:$W$5,2,TRUE)+(Z80-VLOOKUP(Z80,Charge!$U$2:$W$5,1,TRUE))*VLOOKUP(Z80,Charge!$U$2:$W$5,3,TRUE)),
IF(AND(B80="G3",M80=""),IF(R80="20'",
VLOOKUP(Z80,Charge!$K$18:$M$21,2,TRUE)+(Z80-VLOOKUP(Z80,Charge!$K$18:$M$21,1,TRUE))*VLOOKUP(Z80,Charge!$K$18:$M$21,3,TRUE),
VLOOKUP(Z80,Charge!$N$18:$P$21,2,TRUE)+(Z80-VLOOKUP(Z80,Charge!$N$18:$P$21,1,TRUE))*VLOOKUP(Z80,Charge!$N$18:$P$21,3,TRUE)),
IF(AND(B80="G3",M80="DG"),IF(R80="20'",
VLOOKUP(Z80,Charge!$R$18:$T$21,2,TRUE)+(Z80-VLOOKUP(Z80,Charge!$R$18:$T$21,1,TRUE))*VLOOKUP(Z80,Charge!$R$18:$T$21,3,TRUE),
VLOOKUP(Z80,Charge!$U$18:$W$21,2,TRUE)+(Z80-VLOOKUP(Z80,Charge!$U$18:$W$21,1,TRUE))*VLOOKUP(Z80,Charge!$U$18:$W$21,3,TRUE)),
IF(AND(B80="G2",M80=""),IF(R80="20'",
VLOOKUP(Z80,Charge!$K$9:$M$12,2,TRUE)+(Z80-VLOOKUP(Z80,Charge!$K$9:$M$12,1,TRUE))*VLOOKUP(Z80,Charge!$K$9:$M$12,3,TRUE),
VLOOKUP(Z80,Charge!$N$9:$P$12,2,TRUE)+(Z80-VLOOKUP(Z80,Charge!$N$9:$P$12,1,TRUE))*VLOOKUP(Z80,Charge!$N$9:$P$12,3,TRUE)),
IF(AND(B80="G2",M80="DG"),IF(R80="20'",
VLOOKUP(Z80,Charge!$R$9:$T$12,2,TRUE)+(Z80-VLOOKUP(Z80,Charge!$R$9:$T$12,1,TRUE))*VLOOKUP(Z80,Charge!$R$9:$T$12,3,TRUE),
VLOOKUP(Z80,Charge!$U$9:$W$12,2,TRUE)+(Z80-VLOOKUP(Z80,Charge!$U$9:$W$12,1,TRUE))*VLOOKUP(Z80,Charge!$U$9:$W$12,3,TRUE)),IF(AND(B80="G4",M80=""),IF(R80="20'",Z80*Charge!$M$25,Z80*Charge!$P$25),IF(AND(B80="G4",M80="DG"),IF(R80="20'",Z80*Charge!$T$25,Z80*Charge!$W$25),0))))))))</f>
        <v>320</v>
      </c>
      <c r="AB80" s="184" t="n"/>
      <c r="AC80" s="184" t="n"/>
      <c r="AD80" s="60">
        <f>IF(M80="DG",3,IF(N80="RF",3,5))+IF(AND(LEFT(C80,3)="BKK",N80="RF",Q80="KTS"),1,0)+IF(Q80="KHS",1,0)</f>
        <v>5</v>
      </c>
      <c r="AE80" s="63">
        <f>(T80-V80)+1</f>
        <v>46304</v>
      </c>
      <c r="AF80" s="63">
        <f>IF(AB80&gt;IF((V80-W80)&gt;0,V80-W80,0),0,IF(AB80&lt;IF((V80-W80)&gt;0,V80-W80,0),IF((V80-W80)&gt;0,V80-W80,0)-AB80,IF((V80-W80)&gt;0,V80-W80,0)))</f>
        <v>0</v>
      </c>
      <c r="AG80" s="187">
        <f>IF(AND(M80=""),IF(R80="20'",
VLOOKUP(AF80,Charge!$K$31:$M$34,2,TRUE)+(AF80-VLOOKUP(AF80,Charge!$K$31:$M$34,1,TRUE))*VLOOKUP(AF80,Charge!$K$31:$M$34,3,TRUE),
VLOOKUP(AF80,Charge!$N$31:$P$34,2,TRUE)+(AF80-VLOOKUP(AF80,Charge!$N$31:$P$34,1,TRUE))*VLOOKUP(AF80,Charge!$N$31:$P$34,3,TRUE)),
IF(AND(M80="DG"),IF(R80="20'",
VLOOKUP(AF80,Charge!$R$31:$T$34,2,TRUE)+(AF80-VLOOKUP(AF80,Charge!$R$31:$T$34,1,TRUE))*VLOOKUP(AF80,Charge!$R$31:$T$34,3,TRUE),
VLOOKUP(AF80,Charge!$U$31:$W$34,2,TRUE)+(AF80-VLOOKUP(AF80,Charge!$U$31:$W$34,1,TRUE))*VLOOKUP(AF80,Charge!$U$31:$W$34,3,TRUE)),0))</f>
        <v>0</v>
      </c>
      <c r="AH80" s="65" t="n"/>
      <c r="AI80" s="65">
        <f>AA80-AH80</f>
        <v>320</v>
      </c>
      <c r="AJ80" s="188" t="n"/>
      <c r="AK80" s="62" t="str">
        <f>VLOOKUP(D80,'2.Bookinglist'!A:CT,40,FALSE)</f>
        <v>Nannaapust Sukporntaweewat</v>
      </c>
      <c r="AL80" s="60" t="str">
        <f>VLOOKUP(D80,'2.Bookinglist'!A:CW,101,FALSE)</f>
        <v>2026-10-07</v>
      </c>
      <c r="AM80" s="60" t="str">
        <f>VLOOKUP(D80,'2.Bookinglist'!A:BK,63,FALSE)</f>
        <v>BKK27</v>
      </c>
      <c r="AN80" s="62" t="str">
        <f>VLOOKUP(D80,'2.Bookinglist'!A:AZ,52,FALSE)</f>
        <v>Pickup : 2026-10-03, Return : 2026-10-05 *EXTEND CLS TIME : 05/10/2026 @18.00* </v>
      </c>
      <c r="AO80" s="62">
        <f>VLOOKUP(D80,'2.Bookinglist'!A:CY,103,FALSE)</f>
        <v>0</v>
      </c>
    </row>
    <row r="81" ht="12.95" customHeight="1">
      <c r="A81" s="96" t="inlineStr">
        <is>
          <t>SKHU6428411</t>
        </is>
      </c>
      <c r="B81" s="184" t="str">
        <f>IF(C81=Charge!$M$1,Charge!$J$1,IF(C81=Charge!$M$23,Charge!$J$23,IF(C81=Charge!$M$17,Charge!$J$17,IF(C81=Charge!$N$17,Charge!$J$17,Charge!$J$7))))</f>
        <v>G3</v>
      </c>
      <c r="C81" s="61" t="str">
        <f>VLOOKUP(A81,'1.Loading'!A:R,14,FALSE)</f>
        <v>BKK04</v>
      </c>
      <c r="D81" s="61" t="str">
        <f>VLOOKUP(A81,'1.Loading'!A:R,17,FALSE)</f>
        <v>HASLS22260900444</v>
      </c>
      <c r="E81" s="62" t="str">
        <f>VLOOKUP(D81,'2.Bookinglist'!A:CT,27,FALSE)</f>
        <v>BANGKOK STARCH INDUSTRIAL CO., LTD.</v>
      </c>
      <c r="F81" s="62" t="str">
        <f>VLOOKUP(D81,'2.Bookinglist'!A:CT,28,FALSE)</f>
        <v>BANGKOK STARCH INDUSTRIAL CO., LTD.</v>
      </c>
      <c r="G81" s="60">
        <f>VLOOKUP(D81,'2.Bookinglist'!A:E,5,FALSE)</f>
        <v>0</v>
      </c>
      <c r="H81" s="61" t="str">
        <f>VLOOKUP(D81,'2.Bookinglist'!A:CT,15,FALSE)</f>
        <v>THBKK</v>
      </c>
      <c r="I81" s="61" t="str">
        <f>VLOOKUP(D81,'2.Bookinglist'!A:CT,19,FALSE)</f>
        <v>KRKAN</v>
      </c>
      <c r="J81" s="61">
        <f>VLOOKUP(D81,'2.Bookinglist'!A:CT,26,FALSE)</f>
        <v>0</v>
      </c>
      <c r="K81" s="61" t="str">
        <f>VLOOKUP(A81,'1.Loading'!A:R,5,FALSE)</f>
        <v>45GP</v>
      </c>
      <c r="L81" s="60" t="str">
        <f>VLOOKUP(D81,'2.Bookinglist'!A:CT,85,FALSE)</f>
        <v>CY/CY</v>
      </c>
      <c r="M81" s="60" t="str">
        <f>IF(VLOOKUP(D81,'2.Bookinglist'!A:CT,43,FALSE)=0,"","DG")</f>
        <v/>
      </c>
      <c r="N81" s="60" t="str">
        <f>IF(RIGHT(K81,2)="RE","RF","")</f>
        <v/>
      </c>
      <c r="O81" s="61" t="str">
        <f>VLOOKUP(A81,'1.Loading'!A:R,3,FALSE)</f>
        <v>SWSP</v>
      </c>
      <c r="P81" s="61" t="str">
        <f>VLOOKUP(A81,'1.Loading'!A:R,4,FALSE)</f>
        <v>2609N</v>
      </c>
      <c r="Q81" s="61" t="str">
        <f>VLOOKUP(D81,'2.Bookinglist'!A:CT,12,FALSE)</f>
        <v>BTS</v>
      </c>
      <c r="R81" s="60" t="str">
        <f>IF(LEFT(K81,2)="22","20'","40'")</f>
        <v>40'</v>
      </c>
      <c r="S81" s="185" t="n"/>
      <c r="T81" s="61" t="str">
        <f>VLOOKUP(A81,'1.Loading'!A:R,2,FALSE)</f>
        <v>2026-10-08</v>
      </c>
      <c r="U81" s="63">
        <f>T81-S81</f>
        <v>46303</v>
      </c>
      <c r="V81" s="186" t="n"/>
      <c r="W81" s="61" t="str">
        <f>VLOOKUP(A81,'3.GateMove'!A:D,4,FALSE)</f>
        <v>2026-10-02</v>
      </c>
      <c r="X81" s="63">
        <f>((T81-W81)+1)</f>
        <v>7</v>
      </c>
      <c r="Y81" s="64">
        <f>IF(AND(OR(C81="BKK01",C81="BKK04"),L81="CFS/CY"),0,IF(M81="DG",1,IF(LEFT(C81,3)="LCH",7,IF(C81="BKK02",5,3))))</f>
        <v>3</v>
      </c>
      <c r="Z81" s="63">
        <f>IF(IF(AND(AC81="TML",AB81&gt;0),((T81-W81)+1)-AB81,((T81-W81)+1)-Y81)&gt;0,IF(AND(AC81="TML",AB81&gt;0),((T81-W81)+1)-AB81,((T81-W81)+1)-Y81),0)</f>
        <v>4</v>
      </c>
      <c r="AA81" s="187">
        <f>IF(AND(B81="G1",M81=""),IF(R81="20'",
VLOOKUP(Z81,Charge!$K$2:$M$5,2,TRUE)+(Z81-VLOOKUP(Z81,Charge!$K$2:$M$5,1,TRUE))*VLOOKUP(Z81,Charge!$K$2:$M$5,3,TRUE),
VLOOKUP(Z81,Charge!$N$2:$P$5,2,TRUE)+(Z81-VLOOKUP(Z81,Charge!$N$2:$P$5,1,TRUE))*VLOOKUP(Z81,Charge!$N$2:$P$5,3,TRUE)),
IF(AND(B81="G1",M81="DG"),IF(R81="20'",
VLOOKUP(Z81,Charge!$R$2:$T$5,2,TRUE)+(Z81-VLOOKUP(Z81,Charge!$R$2:$T$5,1,TRUE))*VLOOKUP(Z81,Charge!$R$2:$T$5,3,TRUE),
VLOOKUP(Z81,Charge!$U$2:$W$5,2,TRUE)+(Z81-VLOOKUP(Z81,Charge!$U$2:$W$5,1,TRUE))*VLOOKUP(Z81,Charge!$U$2:$W$5,3,TRUE)),
IF(AND(B81="G3",M81=""),IF(R81="20'",
VLOOKUP(Z81,Charge!$K$18:$M$21,2,TRUE)+(Z81-VLOOKUP(Z81,Charge!$K$18:$M$21,1,TRUE))*VLOOKUP(Z81,Charge!$K$18:$M$21,3,TRUE),
VLOOKUP(Z81,Charge!$N$18:$P$21,2,TRUE)+(Z81-VLOOKUP(Z81,Charge!$N$18:$P$21,1,TRUE))*VLOOKUP(Z81,Charge!$N$18:$P$21,3,TRUE)),
IF(AND(B81="G3",M81="DG"),IF(R81="20'",
VLOOKUP(Z81,Charge!$R$18:$T$21,2,TRUE)+(Z81-VLOOKUP(Z81,Charge!$R$18:$T$21,1,TRUE))*VLOOKUP(Z81,Charge!$R$18:$T$21,3,TRUE),
VLOOKUP(Z81,Charge!$U$18:$W$21,2,TRUE)+(Z81-VLOOKUP(Z81,Charge!$U$18:$W$21,1,TRUE))*VLOOKUP(Z81,Charge!$U$18:$W$21,3,TRUE)),
IF(AND(B81="G2",M81=""),IF(R81="20'",
VLOOKUP(Z81,Charge!$K$9:$M$12,2,TRUE)+(Z81-VLOOKUP(Z81,Charge!$K$9:$M$12,1,TRUE))*VLOOKUP(Z81,Charge!$K$9:$M$12,3,TRUE),
VLOOKUP(Z81,Charge!$N$9:$P$12,2,TRUE)+(Z81-VLOOKUP(Z81,Charge!$N$9:$P$12,1,TRUE))*VLOOKUP(Z81,Charge!$N$9:$P$12,3,TRUE)),
IF(AND(B81="G2",M81="DG"),IF(R81="20'",
VLOOKUP(Z81,Charge!$R$9:$T$12,2,TRUE)+(Z81-VLOOKUP(Z81,Charge!$R$9:$T$12,1,TRUE))*VLOOKUP(Z81,Charge!$R$9:$T$12,3,TRUE),
VLOOKUP(Z81,Charge!$U$9:$W$12,2,TRUE)+(Z81-VLOOKUP(Z81,Charge!$U$9:$W$12,1,TRUE))*VLOOKUP(Z81,Charge!$U$9:$W$12,3,TRUE)),IF(AND(B81="G4",M81=""),IF(R81="20'",Z81*Charge!$M$25,Z81*Charge!$P$25),IF(AND(B81="G4",M81="DG"),IF(R81="20'",Z81*Charge!$T$25,Z81*Charge!$W$25),0))))))))</f>
        <v>1280</v>
      </c>
      <c r="AB81" s="184" t="n"/>
      <c r="AC81" s="184" t="n"/>
      <c r="AD81" s="60">
        <f>IF(M81="DG",3,IF(N81="RF",3,5))+IF(AND(LEFT(C81,3)="BKK",N81="RF",Q81="KTS"),1,0)+IF(Q81="KHS",1,0)</f>
        <v>5</v>
      </c>
      <c r="AE81" s="63">
        <f>(T81-V81)+1</f>
        <v>46304</v>
      </c>
      <c r="AF81" s="63">
        <f>IF(AB81&gt;IF((V81-W81)&gt;0,V81-W81,0),0,IF(AB81&lt;IF((V81-W81)&gt;0,V81-W81,0),IF((V81-W81)&gt;0,V81-W81,0)-AB81,IF((V81-W81)&gt;0,V81-W81,0)))</f>
        <v>0</v>
      </c>
      <c r="AG81" s="187">
        <f>IF(AND(M81=""),IF(R81="20'",
VLOOKUP(AF81,Charge!$K$31:$M$34,2,TRUE)+(AF81-VLOOKUP(AF81,Charge!$K$31:$M$34,1,TRUE))*VLOOKUP(AF81,Charge!$K$31:$M$34,3,TRUE),
VLOOKUP(AF81,Charge!$N$31:$P$34,2,TRUE)+(AF81-VLOOKUP(AF81,Charge!$N$31:$P$34,1,TRUE))*VLOOKUP(AF81,Charge!$N$31:$P$34,3,TRUE)),
IF(AND(M81="DG"),IF(R81="20'",
VLOOKUP(AF81,Charge!$R$31:$T$34,2,TRUE)+(AF81-VLOOKUP(AF81,Charge!$R$31:$T$34,1,TRUE))*VLOOKUP(AF81,Charge!$R$31:$T$34,3,TRUE),
VLOOKUP(AF81,Charge!$U$31:$W$34,2,TRUE)+(AF81-VLOOKUP(AF81,Charge!$U$31:$W$34,1,TRUE))*VLOOKUP(AF81,Charge!$U$31:$W$34,3,TRUE)),0))</f>
        <v>0</v>
      </c>
      <c r="AH81" s="65" t="n"/>
      <c r="AI81" s="65">
        <f>AA81-AH81</f>
        <v>1280</v>
      </c>
      <c r="AJ81" s="188" t="n"/>
      <c r="AK81" s="62" t="str">
        <f>VLOOKUP(D81,'2.Bookinglist'!A:CT,40,FALSE)</f>
        <v>Vilaiporn</v>
      </c>
      <c r="AL81" s="60" t="str">
        <f>VLOOKUP(D81,'2.Bookinglist'!A:CW,101,FALSE)</f>
        <v>2026-10-05</v>
      </c>
      <c r="AM81" s="60" t="str">
        <f>VLOOKUP(D81,'2.Bookinglist'!A:BK,63,FALSE)</f>
        <v>BKK27</v>
      </c>
      <c r="AN81" s="62" t="str">
        <f>VLOOKUP(D81,'2.Bookinglist'!A:AZ,52,FALSE)</f>
        <v>Pickup : 2026-10-01, Return : 2026-10-02</v>
      </c>
      <c r="AO81" s="62">
        <f>VLOOKUP(D81,'2.Bookinglist'!A:CY,103,FALSE)</f>
        <v>0</v>
      </c>
    </row>
    <row r="82" ht="12.95" customHeight="1">
      <c r="A82" s="96" t="inlineStr">
        <is>
          <t>SKHU6432962</t>
        </is>
      </c>
      <c r="B82" s="184" t="str">
        <f>IF(C82=Charge!$M$1,Charge!$J$1,IF(C82=Charge!$M$23,Charge!$J$23,IF(C82=Charge!$M$17,Charge!$J$17,IF(C82=Charge!$N$17,Charge!$J$17,Charge!$J$7))))</f>
        <v>G3</v>
      </c>
      <c r="C82" s="61" t="str">
        <f>VLOOKUP(A82,'1.Loading'!A:R,14,FALSE)</f>
        <v>BKK04</v>
      </c>
      <c r="D82" s="61" t="str">
        <f>VLOOKUP(A82,'1.Loading'!A:R,17,FALSE)</f>
        <v>HASLS22260901688</v>
      </c>
      <c r="E82" s="62" t="str">
        <f>VLOOKUP(D82,'2.Bookinglist'!A:CT,27,FALSE)</f>
        <v>METRO PARTICLE CO., LTD.</v>
      </c>
      <c r="F82" s="62" t="str">
        <f>VLOOKUP(D82,'2.Bookinglist'!A:CT,28,FALSE)</f>
        <v>METRO PARTICLE CO., LTD.</v>
      </c>
      <c r="G82" s="60">
        <f>VLOOKUP(D82,'2.Bookinglist'!A:E,5,FALSE)</f>
        <v>0</v>
      </c>
      <c r="H82" s="61" t="str">
        <f>VLOOKUP(D82,'2.Bookinglist'!A:CT,15,FALSE)</f>
        <v>THBKK</v>
      </c>
      <c r="I82" s="61" t="str">
        <f>VLOOKUP(D82,'2.Bookinglist'!A:CT,19,FALSE)</f>
        <v>VNSGN</v>
      </c>
      <c r="J82" s="61">
        <f>VLOOKUP(D82,'2.Bookinglist'!A:CT,26,FALSE)</f>
        <v>0</v>
      </c>
      <c r="K82" s="61" t="str">
        <f>VLOOKUP(A82,'1.Loading'!A:R,5,FALSE)</f>
        <v>45GP</v>
      </c>
      <c r="L82" s="60" t="str">
        <f>VLOOKUP(D82,'2.Bookinglist'!A:CT,85,FALSE)</f>
        <v>CY/CY</v>
      </c>
      <c r="M82" s="60" t="str">
        <f>IF(VLOOKUP(D82,'2.Bookinglist'!A:CT,43,FALSE)=0,"","DG")</f>
        <v/>
      </c>
      <c r="N82" s="60" t="str">
        <f>IF(RIGHT(K82,2)="RE","RF","")</f>
        <v/>
      </c>
      <c r="O82" s="61" t="str">
        <f>VLOOKUP(A82,'1.Loading'!A:R,3,FALSE)</f>
        <v>SWSP</v>
      </c>
      <c r="P82" s="61" t="str">
        <f>VLOOKUP(A82,'1.Loading'!A:R,4,FALSE)</f>
        <v>2609N</v>
      </c>
      <c r="Q82" s="61" t="str">
        <f>VLOOKUP(D82,'2.Bookinglist'!A:CT,12,FALSE)</f>
        <v>BTS</v>
      </c>
      <c r="R82" s="60" t="str">
        <f>IF(LEFT(K82,2)="22","20'","40'")</f>
        <v>40'</v>
      </c>
      <c r="S82" s="185" t="n"/>
      <c r="T82" s="61" t="str">
        <f>VLOOKUP(A82,'1.Loading'!A:R,2,FALSE)</f>
        <v>2026-10-08</v>
      </c>
      <c r="U82" s="63">
        <f>T82-S82</f>
        <v>46303</v>
      </c>
      <c r="V82" s="186" t="n"/>
      <c r="W82" s="61" t="str">
        <f>VLOOKUP(A82,'3.GateMove'!A:D,4,FALSE)</f>
        <v>2026-09-29</v>
      </c>
      <c r="X82" s="63">
        <f>((T82-W82)+1)</f>
        <v>10</v>
      </c>
      <c r="Y82" s="64">
        <f>IF(AND(OR(C82="BKK01",C82="BKK04"),L82="CFS/CY"),0,IF(M82="DG",1,IF(LEFT(C82,3)="LCH",7,IF(C82="BKK02",5,3))))</f>
        <v>3</v>
      </c>
      <c r="Z82" s="63">
        <f>IF(IF(AND(AC82="TML",AB82&gt;0),((T82-W82)+1)-AB82,((T82-W82)+1)-Y82)&gt;0,IF(AND(AC82="TML",AB82&gt;0),((T82-W82)+1)-AB82,((T82-W82)+1)-Y82),0)</f>
        <v>7</v>
      </c>
      <c r="AA82" s="187">
        <f>IF(AND(B82="G1",M82=""),IF(R82="20'",
VLOOKUP(Z82,Charge!$K$2:$M$5,2,TRUE)+(Z82-VLOOKUP(Z82,Charge!$K$2:$M$5,1,TRUE))*VLOOKUP(Z82,Charge!$K$2:$M$5,3,TRUE),
VLOOKUP(Z82,Charge!$N$2:$P$5,2,TRUE)+(Z82-VLOOKUP(Z82,Charge!$N$2:$P$5,1,TRUE))*VLOOKUP(Z82,Charge!$N$2:$P$5,3,TRUE)),
IF(AND(B82="G1",M82="DG"),IF(R82="20'",
VLOOKUP(Z82,Charge!$R$2:$T$5,2,TRUE)+(Z82-VLOOKUP(Z82,Charge!$R$2:$T$5,1,TRUE))*VLOOKUP(Z82,Charge!$R$2:$T$5,3,TRUE),
VLOOKUP(Z82,Charge!$U$2:$W$5,2,TRUE)+(Z82-VLOOKUP(Z82,Charge!$U$2:$W$5,1,TRUE))*VLOOKUP(Z82,Charge!$U$2:$W$5,3,TRUE)),
IF(AND(B82="G3",M82=""),IF(R82="20'",
VLOOKUP(Z82,Charge!$K$18:$M$21,2,TRUE)+(Z82-VLOOKUP(Z82,Charge!$K$18:$M$21,1,TRUE))*VLOOKUP(Z82,Charge!$K$18:$M$21,3,TRUE),
VLOOKUP(Z82,Charge!$N$18:$P$21,2,TRUE)+(Z82-VLOOKUP(Z82,Charge!$N$18:$P$21,1,TRUE))*VLOOKUP(Z82,Charge!$N$18:$P$21,3,TRUE)),
IF(AND(B82="G3",M82="DG"),IF(R82="20'",
VLOOKUP(Z82,Charge!$R$18:$T$21,2,TRUE)+(Z82-VLOOKUP(Z82,Charge!$R$18:$T$21,1,TRUE))*VLOOKUP(Z82,Charge!$R$18:$T$21,3,TRUE),
VLOOKUP(Z82,Charge!$U$18:$W$21,2,TRUE)+(Z82-VLOOKUP(Z82,Charge!$U$18:$W$21,1,TRUE))*VLOOKUP(Z82,Charge!$U$18:$W$21,3,TRUE)),
IF(AND(B82="G2",M82=""),IF(R82="20'",
VLOOKUP(Z82,Charge!$K$9:$M$12,2,TRUE)+(Z82-VLOOKUP(Z82,Charge!$K$9:$M$12,1,TRUE))*VLOOKUP(Z82,Charge!$K$9:$M$12,3,TRUE),
VLOOKUP(Z82,Charge!$N$9:$P$12,2,TRUE)+(Z82-VLOOKUP(Z82,Charge!$N$9:$P$12,1,TRUE))*VLOOKUP(Z82,Charge!$N$9:$P$12,3,TRUE)),
IF(AND(B82="G2",M82="DG"),IF(R82="20'",
VLOOKUP(Z82,Charge!$R$9:$T$12,2,TRUE)+(Z82-VLOOKUP(Z82,Charge!$R$9:$T$12,1,TRUE))*VLOOKUP(Z82,Charge!$R$9:$T$12,3,TRUE),
VLOOKUP(Z82,Charge!$U$9:$W$12,2,TRUE)+(Z82-VLOOKUP(Z82,Charge!$U$9:$W$12,1,TRUE))*VLOOKUP(Z82,Charge!$U$9:$W$12,3,TRUE)),IF(AND(B82="G4",M82=""),IF(R82="20'",Z82*Charge!$M$25,Z82*Charge!$P$25),IF(AND(B82="G4",M82="DG"),IF(R82="20'",Z82*Charge!$T$25,Z82*Charge!$W$25),0))))))))</f>
        <v>2240</v>
      </c>
      <c r="AB82" s="184" t="n"/>
      <c r="AC82" s="184" t="n"/>
      <c r="AD82" s="60">
        <f>IF(M82="DG",3,IF(N82="RF",3,5))+IF(AND(LEFT(C82,3)="BKK",N82="RF",Q82="KTS"),1,0)+IF(Q82="KHS",1,0)</f>
        <v>5</v>
      </c>
      <c r="AE82" s="63">
        <f>(T82-V82)+1</f>
        <v>46304</v>
      </c>
      <c r="AF82" s="63">
        <f>IF(AB82&gt;IF((V82-W82)&gt;0,V82-W82,0),0,IF(AB82&lt;IF((V82-W82)&gt;0,V82-W82,0),IF((V82-W82)&gt;0,V82-W82,0)-AB82,IF((V82-W82)&gt;0,V82-W82,0)))</f>
        <v>0</v>
      </c>
      <c r="AG82" s="187">
        <f>IF(AND(M82=""),IF(R82="20'",
VLOOKUP(AF82,Charge!$K$31:$M$34,2,TRUE)+(AF82-VLOOKUP(AF82,Charge!$K$31:$M$34,1,TRUE))*VLOOKUP(AF82,Charge!$K$31:$M$34,3,TRUE),
VLOOKUP(AF82,Charge!$N$31:$P$34,2,TRUE)+(AF82-VLOOKUP(AF82,Charge!$N$31:$P$34,1,TRUE))*VLOOKUP(AF82,Charge!$N$31:$P$34,3,TRUE)),
IF(AND(M82="DG"),IF(R82="20'",
VLOOKUP(AF82,Charge!$R$31:$T$34,2,TRUE)+(AF82-VLOOKUP(AF82,Charge!$R$31:$T$34,1,TRUE))*VLOOKUP(AF82,Charge!$R$31:$T$34,3,TRUE),
VLOOKUP(AF82,Charge!$U$31:$W$34,2,TRUE)+(AF82-VLOOKUP(AF82,Charge!$U$31:$W$34,1,TRUE))*VLOOKUP(AF82,Charge!$U$31:$W$34,3,TRUE)),0))</f>
        <v>0</v>
      </c>
      <c r="AH82" s="65" t="n"/>
      <c r="AI82" s="65">
        <f>AA82-AH82</f>
        <v>2240</v>
      </c>
      <c r="AJ82" s="188" t="n"/>
      <c r="AK82" s="62" t="str">
        <f>VLOOKUP(D82,'2.Bookinglist'!A:CT,40,FALSE)</f>
        <v>Nustsireerach</v>
      </c>
      <c r="AL82" s="60" t="str">
        <f>VLOOKUP(D82,'2.Bookinglist'!A:CW,101,FALSE)</f>
        <v>2026-10-07</v>
      </c>
      <c r="AM82" s="60" t="str">
        <f>VLOOKUP(D82,'2.Bookinglist'!A:BK,63,FALSE)</f>
        <v>BKK27</v>
      </c>
      <c r="AN82" s="62" t="str">
        <f>VLOOKUP(D82,'2.Bookinglist'!A:AZ,52,FALSE)</f>
        <v>CY-RTN DD.28/09 - 29/09 
</v>
      </c>
      <c r="AO82" s="62" t="str">
        <f>VLOOKUP(D82,'2.Bookinglist'!A:CY,103,FALSE)</f>
        <v>ROLL OVER FROM PREVIOUS VSL KMBK 2611N BY ALLOCATION TEAM MS.TARN APPROVED COST IS UNDER HAL DD.01/10</v>
      </c>
    </row>
    <row r="83" ht="12.95" customHeight="1">
      <c r="A83" s="96" t="inlineStr">
        <is>
          <t>SKHU6447746</t>
        </is>
      </c>
      <c r="B83" s="184" t="str">
        <f>IF(C83=Charge!$M$1,Charge!$J$1,IF(C83=Charge!$M$23,Charge!$J$23,IF(C83=Charge!$M$17,Charge!$J$17,IF(C83=Charge!$N$17,Charge!$J$17,Charge!$J$7))))</f>
        <v>G3</v>
      </c>
      <c r="C83" s="61" t="str">
        <f>VLOOKUP(A83,'1.Loading'!A:R,14,FALSE)</f>
        <v>BKK04</v>
      </c>
      <c r="D83" s="61" t="str">
        <f>VLOOKUP(A83,'1.Loading'!A:R,17,FALSE)</f>
        <v>HASLS22260900834</v>
      </c>
      <c r="E83" s="62" t="str">
        <f>VLOOKUP(D83,'2.Bookinglist'!A:CT,27,FALSE)</f>
        <v>CMS LOGISTICS GROUP (THAILAND) CO., LTD.</v>
      </c>
      <c r="F83" s="62" t="str">
        <f>VLOOKUP(D83,'2.Bookinglist'!A:CT,28,FALSE)</f>
        <v>TETRA PAK (THAILAND) LIMITED</v>
      </c>
      <c r="G83" s="60">
        <f>VLOOKUP(D83,'2.Bookinglist'!A:E,5,FALSE)</f>
        <v>0</v>
      </c>
      <c r="H83" s="61" t="str">
        <f>VLOOKUP(D83,'2.Bookinglist'!A:CT,15,FALSE)</f>
        <v>THBKK</v>
      </c>
      <c r="I83" s="61" t="str">
        <f>VLOOKUP(D83,'2.Bookinglist'!A:CT,19,FALSE)</f>
        <v>VNSGN</v>
      </c>
      <c r="J83" s="61">
        <f>VLOOKUP(D83,'2.Bookinglist'!A:CT,26,FALSE)</f>
        <v>0</v>
      </c>
      <c r="K83" s="61" t="str">
        <f>VLOOKUP(A83,'1.Loading'!A:R,5,FALSE)</f>
        <v>45GP</v>
      </c>
      <c r="L83" s="60" t="str">
        <f>VLOOKUP(D83,'2.Bookinglist'!A:CT,85,FALSE)</f>
        <v>CY/CY</v>
      </c>
      <c r="M83" s="60" t="str">
        <f>IF(VLOOKUP(D83,'2.Bookinglist'!A:CT,43,FALSE)=0,"","DG")</f>
        <v/>
      </c>
      <c r="N83" s="60" t="str">
        <f>IF(RIGHT(K83,2)="RE","RF","")</f>
        <v/>
      </c>
      <c r="O83" s="61" t="str">
        <f>VLOOKUP(A83,'1.Loading'!A:R,3,FALSE)</f>
        <v>SWSP</v>
      </c>
      <c r="P83" s="61" t="str">
        <f>VLOOKUP(A83,'1.Loading'!A:R,4,FALSE)</f>
        <v>2609N</v>
      </c>
      <c r="Q83" s="61" t="str">
        <f>VLOOKUP(D83,'2.Bookinglist'!A:CT,12,FALSE)</f>
        <v>BTS</v>
      </c>
      <c r="R83" s="60" t="str">
        <f>IF(LEFT(K83,2)="22","20'","40'")</f>
        <v>40'</v>
      </c>
      <c r="S83" s="185" t="n"/>
      <c r="T83" s="61" t="str">
        <f>VLOOKUP(A83,'1.Loading'!A:R,2,FALSE)</f>
        <v>2026-10-08</v>
      </c>
      <c r="U83" s="63">
        <f>T83-S83</f>
        <v>46303</v>
      </c>
      <c r="V83" s="186" t="n"/>
      <c r="W83" s="61" t="str">
        <f>VLOOKUP(A83,'3.GateMove'!A:D,4,FALSE)</f>
        <v>2026-10-05</v>
      </c>
      <c r="X83" s="63">
        <f>((T83-W83)+1)</f>
        <v>4</v>
      </c>
      <c r="Y83" s="64">
        <f>IF(AND(OR(C83="BKK01",C83="BKK04"),L83="CFS/CY"),0,IF(M83="DG",1,IF(LEFT(C83,3)="LCH",7,IF(C83="BKK02",5,3))))</f>
        <v>3</v>
      </c>
      <c r="Z83" s="63">
        <f>IF(IF(AND(AC83="TML",AB83&gt;0),((T83-W83)+1)-AB83,((T83-W83)+1)-Y83)&gt;0,IF(AND(AC83="TML",AB83&gt;0),((T83-W83)+1)-AB83,((T83-W83)+1)-Y83),0)</f>
        <v>1</v>
      </c>
      <c r="AA83" s="187">
        <f>IF(AND(B83="G1",M83=""),IF(R83="20'",
VLOOKUP(Z83,Charge!$K$2:$M$5,2,TRUE)+(Z83-VLOOKUP(Z83,Charge!$K$2:$M$5,1,TRUE))*VLOOKUP(Z83,Charge!$K$2:$M$5,3,TRUE),
VLOOKUP(Z83,Charge!$N$2:$P$5,2,TRUE)+(Z83-VLOOKUP(Z83,Charge!$N$2:$P$5,1,TRUE))*VLOOKUP(Z83,Charge!$N$2:$P$5,3,TRUE)),
IF(AND(B83="G1",M83="DG"),IF(R83="20'",
VLOOKUP(Z83,Charge!$R$2:$T$5,2,TRUE)+(Z83-VLOOKUP(Z83,Charge!$R$2:$T$5,1,TRUE))*VLOOKUP(Z83,Charge!$R$2:$T$5,3,TRUE),
VLOOKUP(Z83,Charge!$U$2:$W$5,2,TRUE)+(Z83-VLOOKUP(Z83,Charge!$U$2:$W$5,1,TRUE))*VLOOKUP(Z83,Charge!$U$2:$W$5,3,TRUE)),
IF(AND(B83="G3",M83=""),IF(R83="20'",
VLOOKUP(Z83,Charge!$K$18:$M$21,2,TRUE)+(Z83-VLOOKUP(Z83,Charge!$K$18:$M$21,1,TRUE))*VLOOKUP(Z83,Charge!$K$18:$M$21,3,TRUE),
VLOOKUP(Z83,Charge!$N$18:$P$21,2,TRUE)+(Z83-VLOOKUP(Z83,Charge!$N$18:$P$21,1,TRUE))*VLOOKUP(Z83,Charge!$N$18:$P$21,3,TRUE)),
IF(AND(B83="G3",M83="DG"),IF(R83="20'",
VLOOKUP(Z83,Charge!$R$18:$T$21,2,TRUE)+(Z83-VLOOKUP(Z83,Charge!$R$18:$T$21,1,TRUE))*VLOOKUP(Z83,Charge!$R$18:$T$21,3,TRUE),
VLOOKUP(Z83,Charge!$U$18:$W$21,2,TRUE)+(Z83-VLOOKUP(Z83,Charge!$U$18:$W$21,1,TRUE))*VLOOKUP(Z83,Charge!$U$18:$W$21,3,TRUE)),
IF(AND(B83="G2",M83=""),IF(R83="20'",
VLOOKUP(Z83,Charge!$K$9:$M$12,2,TRUE)+(Z83-VLOOKUP(Z83,Charge!$K$9:$M$12,1,TRUE))*VLOOKUP(Z83,Charge!$K$9:$M$12,3,TRUE),
VLOOKUP(Z83,Charge!$N$9:$P$12,2,TRUE)+(Z83-VLOOKUP(Z83,Charge!$N$9:$P$12,1,TRUE))*VLOOKUP(Z83,Charge!$N$9:$P$12,3,TRUE)),
IF(AND(B83="G2",M83="DG"),IF(R83="20'",
VLOOKUP(Z83,Charge!$R$9:$T$12,2,TRUE)+(Z83-VLOOKUP(Z83,Charge!$R$9:$T$12,1,TRUE))*VLOOKUP(Z83,Charge!$R$9:$T$12,3,TRUE),
VLOOKUP(Z83,Charge!$U$9:$W$12,2,TRUE)+(Z83-VLOOKUP(Z83,Charge!$U$9:$W$12,1,TRUE))*VLOOKUP(Z83,Charge!$U$9:$W$12,3,TRUE)),IF(AND(B83="G4",M83=""),IF(R83="20'",Z83*Charge!$M$25,Z83*Charge!$P$25),IF(AND(B83="G4",M83="DG"),IF(R83="20'",Z83*Charge!$T$25,Z83*Charge!$W$25),0))))))))</f>
        <v>320</v>
      </c>
      <c r="AB83" s="184" t="n"/>
      <c r="AC83" s="184" t="n"/>
      <c r="AD83" s="60">
        <f>IF(M83="DG",3,IF(N83="RF",3,5))+IF(AND(LEFT(C83,3)="BKK",N83="RF",Q83="KTS"),1,0)+IF(Q83="KHS",1,0)</f>
        <v>5</v>
      </c>
      <c r="AE83" s="63">
        <f>(T83-V83)+1</f>
        <v>46304</v>
      </c>
      <c r="AF83" s="63">
        <f>IF(AB83&gt;IF((V83-W83)&gt;0,V83-W83,0),0,IF(AB83&lt;IF((V83-W83)&gt;0,V83-W83,0),IF((V83-W83)&gt;0,V83-W83,0)-AB83,IF((V83-W83)&gt;0,V83-W83,0)))</f>
        <v>0</v>
      </c>
      <c r="AG83" s="187">
        <f>IF(AND(M83=""),IF(R83="20'",
VLOOKUP(AF83,Charge!$K$31:$M$34,2,TRUE)+(AF83-VLOOKUP(AF83,Charge!$K$31:$M$34,1,TRUE))*VLOOKUP(AF83,Charge!$K$31:$M$34,3,TRUE),
VLOOKUP(AF83,Charge!$N$31:$P$34,2,TRUE)+(AF83-VLOOKUP(AF83,Charge!$N$31:$P$34,1,TRUE))*VLOOKUP(AF83,Charge!$N$31:$P$34,3,TRUE)),
IF(AND(M83="DG"),IF(R83="20'",
VLOOKUP(AF83,Charge!$R$31:$T$34,2,TRUE)+(AF83-VLOOKUP(AF83,Charge!$R$31:$T$34,1,TRUE))*VLOOKUP(AF83,Charge!$R$31:$T$34,3,TRUE),
VLOOKUP(AF83,Charge!$U$31:$W$34,2,TRUE)+(AF83-VLOOKUP(AF83,Charge!$U$31:$W$34,1,TRUE))*VLOOKUP(AF83,Charge!$U$31:$W$34,3,TRUE)),0))</f>
        <v>0</v>
      </c>
      <c r="AH83" s="65" t="n"/>
      <c r="AI83" s="65">
        <f>AA83-AH83</f>
        <v>320</v>
      </c>
      <c r="AJ83" s="188" t="n"/>
      <c r="AK83" s="62" t="str">
        <f>VLOOKUP(D83,'2.Bookinglist'!A:CT,40,FALSE)</f>
        <v>Nannaapust Sukporntaweewat</v>
      </c>
      <c r="AL83" s="60" t="str">
        <f>VLOOKUP(D83,'2.Bookinglist'!A:CW,101,FALSE)</f>
        <v>2026-10-07</v>
      </c>
      <c r="AM83" s="60" t="str">
        <f>VLOOKUP(D83,'2.Bookinglist'!A:BK,63,FALSE)</f>
        <v>BKK27</v>
      </c>
      <c r="AN83" s="62" t="str">
        <f>VLOOKUP(D83,'2.Bookinglist'!A:AZ,52,FALSE)</f>
        <v>Pickup : 2026-10-03, Return : 2026-10-05 *EXTEND CLS TIME : 05/10/2026 @18.00* </v>
      </c>
      <c r="AO83" s="62">
        <f>VLOOKUP(D83,'2.Bookinglist'!A:CY,103,FALSE)</f>
        <v>0</v>
      </c>
    </row>
    <row r="84" ht="12.95" customHeight="1">
      <c r="A84" s="96" t="inlineStr">
        <is>
          <t>SKHU6455818</t>
        </is>
      </c>
      <c r="B84" s="184" t="str">
        <f>IF(C84=Charge!$M$1,Charge!$J$1,IF(C84=Charge!$M$23,Charge!$J$23,IF(C84=Charge!$M$17,Charge!$J$17,IF(C84=Charge!$N$17,Charge!$J$17,Charge!$J$7))))</f>
        <v>G3</v>
      </c>
      <c r="C84" s="61" t="str">
        <f>VLOOKUP(A84,'1.Loading'!A:R,14,FALSE)</f>
        <v>BKK04</v>
      </c>
      <c r="D84" s="61" t="str">
        <f>VLOOKUP(A84,'1.Loading'!A:R,17,FALSE)</f>
        <v>HASLS22260901036</v>
      </c>
      <c r="E84" s="62" t="str">
        <f>VLOOKUP(D84,'2.Bookinglist'!A:CT,27,FALSE)</f>
        <v>PISIA INTERFREIGHT CO.,LTD.</v>
      </c>
      <c r="F84" s="62" t="str">
        <f>VLOOKUP(D84,'2.Bookinglist'!A:CT,28,FALSE)</f>
        <v>KANGWAL POLYESTER CO., LTD.</v>
      </c>
      <c r="G84" s="60">
        <f>VLOOKUP(D84,'2.Bookinglist'!A:E,5,FALSE)</f>
        <v>0</v>
      </c>
      <c r="H84" s="61" t="str">
        <f>VLOOKUP(D84,'2.Bookinglist'!A:CT,15,FALSE)</f>
        <v>THBKK</v>
      </c>
      <c r="I84" s="61" t="str">
        <f>VLOOKUP(D84,'2.Bookinglist'!A:CT,19,FALSE)</f>
        <v>VNSGN</v>
      </c>
      <c r="J84" s="61">
        <f>VLOOKUP(D84,'2.Bookinglist'!A:CT,26,FALSE)</f>
        <v>0</v>
      </c>
      <c r="K84" s="61" t="str">
        <f>VLOOKUP(A84,'1.Loading'!A:R,5,FALSE)</f>
        <v>45GP</v>
      </c>
      <c r="L84" s="60" t="str">
        <f>VLOOKUP(D84,'2.Bookinglist'!A:CT,85,FALSE)</f>
        <v>CY/CY</v>
      </c>
      <c r="M84" s="60" t="str">
        <f>IF(VLOOKUP(D84,'2.Bookinglist'!A:CT,43,FALSE)=0,"","DG")</f>
        <v/>
      </c>
      <c r="N84" s="60" t="str">
        <f>IF(RIGHT(K84,2)="RE","RF","")</f>
        <v/>
      </c>
      <c r="O84" s="61" t="str">
        <f>VLOOKUP(A84,'1.Loading'!A:R,3,FALSE)</f>
        <v>SWSP</v>
      </c>
      <c r="P84" s="61" t="str">
        <f>VLOOKUP(A84,'1.Loading'!A:R,4,FALSE)</f>
        <v>2609N</v>
      </c>
      <c r="Q84" s="61" t="str">
        <f>VLOOKUP(D84,'2.Bookinglist'!A:CT,12,FALSE)</f>
        <v>BTS</v>
      </c>
      <c r="R84" s="60" t="str">
        <f>IF(LEFT(K84,2)="22","20'","40'")</f>
        <v>40'</v>
      </c>
      <c r="S84" s="185" t="n"/>
      <c r="T84" s="61" t="str">
        <f>VLOOKUP(A84,'1.Loading'!A:R,2,FALSE)</f>
        <v>2026-10-08</v>
      </c>
      <c r="U84" s="63">
        <f>T84-S84</f>
        <v>46303</v>
      </c>
      <c r="V84" s="186" t="n"/>
      <c r="W84" s="61" t="str">
        <f>VLOOKUP(A84,'3.GateMove'!A:D,4,FALSE)</f>
        <v>2026-10-02</v>
      </c>
      <c r="X84" s="63">
        <f>((T84-W84)+1)</f>
        <v>7</v>
      </c>
      <c r="Y84" s="64">
        <f>IF(AND(OR(C84="BKK01",C84="BKK04"),L84="CFS/CY"),0,IF(M84="DG",1,IF(LEFT(C84,3)="LCH",7,IF(C84="BKK02",5,3))))</f>
        <v>3</v>
      </c>
      <c r="Z84" s="63">
        <f>IF(IF(AND(AC84="TML",AB84&gt;0),((T84-W84)+1)-AB84,((T84-W84)+1)-Y84)&gt;0,IF(AND(AC84="TML",AB84&gt;0),((T84-W84)+1)-AB84,((T84-W84)+1)-Y84),0)</f>
        <v>4</v>
      </c>
      <c r="AA84" s="187">
        <f>IF(AND(B84="G1",M84=""),IF(R84="20'",
VLOOKUP(Z84,Charge!$K$2:$M$5,2,TRUE)+(Z84-VLOOKUP(Z84,Charge!$K$2:$M$5,1,TRUE))*VLOOKUP(Z84,Charge!$K$2:$M$5,3,TRUE),
VLOOKUP(Z84,Charge!$N$2:$P$5,2,TRUE)+(Z84-VLOOKUP(Z84,Charge!$N$2:$P$5,1,TRUE))*VLOOKUP(Z84,Charge!$N$2:$P$5,3,TRUE)),
IF(AND(B84="G1",M84="DG"),IF(R84="20'",
VLOOKUP(Z84,Charge!$R$2:$T$5,2,TRUE)+(Z84-VLOOKUP(Z84,Charge!$R$2:$T$5,1,TRUE))*VLOOKUP(Z84,Charge!$R$2:$T$5,3,TRUE),
VLOOKUP(Z84,Charge!$U$2:$W$5,2,TRUE)+(Z84-VLOOKUP(Z84,Charge!$U$2:$W$5,1,TRUE))*VLOOKUP(Z84,Charge!$U$2:$W$5,3,TRUE)),
IF(AND(B84="G3",M84=""),IF(R84="20'",
VLOOKUP(Z84,Charge!$K$18:$M$21,2,TRUE)+(Z84-VLOOKUP(Z84,Charge!$K$18:$M$21,1,TRUE))*VLOOKUP(Z84,Charge!$K$18:$M$21,3,TRUE),
VLOOKUP(Z84,Charge!$N$18:$P$21,2,TRUE)+(Z84-VLOOKUP(Z84,Charge!$N$18:$P$21,1,TRUE))*VLOOKUP(Z84,Charge!$N$18:$P$21,3,TRUE)),
IF(AND(B84="G3",M84="DG"),IF(R84="20'",
VLOOKUP(Z84,Charge!$R$18:$T$21,2,TRUE)+(Z84-VLOOKUP(Z84,Charge!$R$18:$T$21,1,TRUE))*VLOOKUP(Z84,Charge!$R$18:$T$21,3,TRUE),
VLOOKUP(Z84,Charge!$U$18:$W$21,2,TRUE)+(Z84-VLOOKUP(Z84,Charge!$U$18:$W$21,1,TRUE))*VLOOKUP(Z84,Charge!$U$18:$W$21,3,TRUE)),
IF(AND(B84="G2",M84=""),IF(R84="20'",
VLOOKUP(Z84,Charge!$K$9:$M$12,2,TRUE)+(Z84-VLOOKUP(Z84,Charge!$K$9:$M$12,1,TRUE))*VLOOKUP(Z84,Charge!$K$9:$M$12,3,TRUE),
VLOOKUP(Z84,Charge!$N$9:$P$12,2,TRUE)+(Z84-VLOOKUP(Z84,Charge!$N$9:$P$12,1,TRUE))*VLOOKUP(Z84,Charge!$N$9:$P$12,3,TRUE)),
IF(AND(B84="G2",M84="DG"),IF(R84="20'",
VLOOKUP(Z84,Charge!$R$9:$T$12,2,TRUE)+(Z84-VLOOKUP(Z84,Charge!$R$9:$T$12,1,TRUE))*VLOOKUP(Z84,Charge!$R$9:$T$12,3,TRUE),
VLOOKUP(Z84,Charge!$U$9:$W$12,2,TRUE)+(Z84-VLOOKUP(Z84,Charge!$U$9:$W$12,1,TRUE))*VLOOKUP(Z84,Charge!$U$9:$W$12,3,TRUE)),IF(AND(B84="G4",M84=""),IF(R84="20'",Z84*Charge!$M$25,Z84*Charge!$P$25),IF(AND(B84="G4",M84="DG"),IF(R84="20'",Z84*Charge!$T$25,Z84*Charge!$W$25),0))))))))</f>
        <v>1280</v>
      </c>
      <c r="AB84" s="184" t="n"/>
      <c r="AC84" s="184" t="n"/>
      <c r="AD84" s="60">
        <f>IF(M84="DG",3,IF(N84="RF",3,5))+IF(AND(LEFT(C84,3)="BKK",N84="RF",Q84="KTS"),1,0)+IF(Q84="KHS",1,0)</f>
        <v>5</v>
      </c>
      <c r="AE84" s="63">
        <f>(T84-V84)+1</f>
        <v>46304</v>
      </c>
      <c r="AF84" s="63">
        <f>IF(AB84&gt;IF((V84-W84)&gt;0,V84-W84,0),0,IF(AB84&lt;IF((V84-W84)&gt;0,V84-W84,0),IF((V84-W84)&gt;0,V84-W84,0)-AB84,IF((V84-W84)&gt;0,V84-W84,0)))</f>
        <v>0</v>
      </c>
      <c r="AG84" s="187">
        <f>IF(AND(M84=""),IF(R84="20'",
VLOOKUP(AF84,Charge!$K$31:$M$34,2,TRUE)+(AF84-VLOOKUP(AF84,Charge!$K$31:$M$34,1,TRUE))*VLOOKUP(AF84,Charge!$K$31:$M$34,3,TRUE),
VLOOKUP(AF84,Charge!$N$31:$P$34,2,TRUE)+(AF84-VLOOKUP(AF84,Charge!$N$31:$P$34,1,TRUE))*VLOOKUP(AF84,Charge!$N$31:$P$34,3,TRUE)),
IF(AND(M84="DG"),IF(R84="20'",
VLOOKUP(AF84,Charge!$R$31:$T$34,2,TRUE)+(AF84-VLOOKUP(AF84,Charge!$R$31:$T$34,1,TRUE))*VLOOKUP(AF84,Charge!$R$31:$T$34,3,TRUE),
VLOOKUP(AF84,Charge!$U$31:$W$34,2,TRUE)+(AF84-VLOOKUP(AF84,Charge!$U$31:$W$34,1,TRUE))*VLOOKUP(AF84,Charge!$U$31:$W$34,3,TRUE)),0))</f>
        <v>0</v>
      </c>
      <c r="AH84" s="65" t="n"/>
      <c r="AI84" s="65">
        <f>AA84-AH84</f>
        <v>1280</v>
      </c>
      <c r="AJ84" s="188" t="n"/>
      <c r="AK84" s="62" t="str">
        <f>VLOOKUP(D84,'2.Bookinglist'!A:CT,40,FALSE)</f>
        <v>Nannaapust Sukporntaweewat</v>
      </c>
      <c r="AL84" s="60" t="str">
        <f>VLOOKUP(D84,'2.Bookinglist'!A:CW,101,FALSE)</f>
        <v>2026-10-05</v>
      </c>
      <c r="AM84" s="60" t="str">
        <f>VLOOKUP(D84,'2.Bookinglist'!A:BK,63,FALSE)</f>
        <v>BKK25</v>
      </c>
      <c r="AN84" s="62" t="str">
        <f>VLOOKUP(D84,'2.Bookinglist'!A:AZ,52,FALSE)</f>
        <v>Pickup : 2026-10-01, Return : 2026-10-02 
7X40'HQ CY AT B.C. DD. 01/10 
1X40'HQ CY AT SMART DD. 01/10 </v>
      </c>
      <c r="AO84" s="62">
        <f>VLOOKUP(D84,'2.Bookinglist'!A:CY,103,FALSE)</f>
        <v>0</v>
      </c>
    </row>
    <row r="85" ht="12.95" customHeight="1">
      <c r="A85" s="96" t="inlineStr">
        <is>
          <t>SKHU6480019</t>
        </is>
      </c>
      <c r="B85" s="184" t="str">
        <f>IF(C85=Charge!$M$1,Charge!$J$1,IF(C85=Charge!$M$23,Charge!$J$23,IF(C85=Charge!$M$17,Charge!$J$17,IF(C85=Charge!$N$17,Charge!$J$17,Charge!$J$7))))</f>
        <v>G3</v>
      </c>
      <c r="C85" s="61" t="str">
        <f>VLOOKUP(A85,'1.Loading'!A:R,14,FALSE)</f>
        <v>BKK04</v>
      </c>
      <c r="D85" s="61" t="str">
        <f>VLOOKUP(A85,'1.Loading'!A:R,17,FALSE)</f>
        <v>HASLS22260902210</v>
      </c>
      <c r="E85" s="62" t="str">
        <f>VLOOKUP(D85,'2.Bookinglist'!A:CT,27,FALSE)</f>
        <v>CAPRICORN LOGISTICS CO., LTD.</v>
      </c>
      <c r="F85" s="62" t="str">
        <f>VLOOKUP(D85,'2.Bookinglist'!A:CT,28,FALSE)</f>
        <v>SWAN INDUSTRIES (THAILAND) LTD.</v>
      </c>
      <c r="G85" s="60">
        <f>VLOOKUP(D85,'2.Bookinglist'!A:E,5,FALSE)</f>
        <v>0</v>
      </c>
      <c r="H85" s="61" t="str">
        <f>VLOOKUP(D85,'2.Bookinglist'!A:CT,15,FALSE)</f>
        <v>THBKK</v>
      </c>
      <c r="I85" s="61" t="str">
        <f>VLOOKUP(D85,'2.Bookinglist'!A:CT,19,FALSE)</f>
        <v>VNSGN</v>
      </c>
      <c r="J85" s="61">
        <f>VLOOKUP(D85,'2.Bookinglist'!A:CT,26,FALSE)</f>
        <v>0</v>
      </c>
      <c r="K85" s="61" t="str">
        <f>VLOOKUP(A85,'1.Loading'!A:R,5,FALSE)</f>
        <v>45GP</v>
      </c>
      <c r="L85" s="60" t="str">
        <f>VLOOKUP(D85,'2.Bookinglist'!A:CT,85,FALSE)</f>
        <v>CY/CY</v>
      </c>
      <c r="M85" s="60" t="str">
        <f>IF(VLOOKUP(D85,'2.Bookinglist'!A:CT,43,FALSE)=0,"","DG")</f>
        <v/>
      </c>
      <c r="N85" s="60" t="str">
        <f>IF(RIGHT(K85,2)="RE","RF","")</f>
        <v/>
      </c>
      <c r="O85" s="61" t="str">
        <f>VLOOKUP(A85,'1.Loading'!A:R,3,FALSE)</f>
        <v>SWSP</v>
      </c>
      <c r="P85" s="61" t="str">
        <f>VLOOKUP(A85,'1.Loading'!A:R,4,FALSE)</f>
        <v>2609N</v>
      </c>
      <c r="Q85" s="61" t="str">
        <f>VLOOKUP(D85,'2.Bookinglist'!A:CT,12,FALSE)</f>
        <v>BTS</v>
      </c>
      <c r="R85" s="60" t="str">
        <f>IF(LEFT(K85,2)="22","20'","40'")</f>
        <v>40'</v>
      </c>
      <c r="S85" s="185" t="n"/>
      <c r="T85" s="61" t="str">
        <f>VLOOKUP(A85,'1.Loading'!A:R,2,FALSE)</f>
        <v>2026-10-08</v>
      </c>
      <c r="U85" s="63">
        <f>T85-S85</f>
        <v>46303</v>
      </c>
      <c r="V85" s="186" t="n"/>
      <c r="W85" s="61" t="str">
        <f>VLOOKUP(A85,'3.GateMove'!A:D,4,FALSE)</f>
        <v>2026-10-04</v>
      </c>
      <c r="X85" s="63">
        <f>((T85-W85)+1)</f>
        <v>5</v>
      </c>
      <c r="Y85" s="64">
        <f>IF(AND(OR(C85="BKK01",C85="BKK04"),L85="CFS/CY"),0,IF(M85="DG",1,IF(LEFT(C85,3)="LCH",7,IF(C85="BKK02",5,3))))</f>
        <v>3</v>
      </c>
      <c r="Z85" s="63">
        <f>IF(IF(AND(AC85="TML",AB85&gt;0),((T85-W85)+1)-AB85,((T85-W85)+1)-Y85)&gt;0,IF(AND(AC85="TML",AB85&gt;0),((T85-W85)+1)-AB85,((T85-W85)+1)-Y85),0)</f>
        <v>2</v>
      </c>
      <c r="AA85" s="187">
        <f>IF(AND(B85="G1",M85=""),IF(R85="20'",
VLOOKUP(Z85,Charge!$K$2:$M$5,2,TRUE)+(Z85-VLOOKUP(Z85,Charge!$K$2:$M$5,1,TRUE))*VLOOKUP(Z85,Charge!$K$2:$M$5,3,TRUE),
VLOOKUP(Z85,Charge!$N$2:$P$5,2,TRUE)+(Z85-VLOOKUP(Z85,Charge!$N$2:$P$5,1,TRUE))*VLOOKUP(Z85,Charge!$N$2:$P$5,3,TRUE)),
IF(AND(B85="G1",M85="DG"),IF(R85="20'",
VLOOKUP(Z85,Charge!$R$2:$T$5,2,TRUE)+(Z85-VLOOKUP(Z85,Charge!$R$2:$T$5,1,TRUE))*VLOOKUP(Z85,Charge!$R$2:$T$5,3,TRUE),
VLOOKUP(Z85,Charge!$U$2:$W$5,2,TRUE)+(Z85-VLOOKUP(Z85,Charge!$U$2:$W$5,1,TRUE))*VLOOKUP(Z85,Charge!$U$2:$W$5,3,TRUE)),
IF(AND(B85="G3",M85=""),IF(R85="20'",
VLOOKUP(Z85,Charge!$K$18:$M$21,2,TRUE)+(Z85-VLOOKUP(Z85,Charge!$K$18:$M$21,1,TRUE))*VLOOKUP(Z85,Charge!$K$18:$M$21,3,TRUE),
VLOOKUP(Z85,Charge!$N$18:$P$21,2,TRUE)+(Z85-VLOOKUP(Z85,Charge!$N$18:$P$21,1,TRUE))*VLOOKUP(Z85,Charge!$N$18:$P$21,3,TRUE)),
IF(AND(B85="G3",M85="DG"),IF(R85="20'",
VLOOKUP(Z85,Charge!$R$18:$T$21,2,TRUE)+(Z85-VLOOKUP(Z85,Charge!$R$18:$T$21,1,TRUE))*VLOOKUP(Z85,Charge!$R$18:$T$21,3,TRUE),
VLOOKUP(Z85,Charge!$U$18:$W$21,2,TRUE)+(Z85-VLOOKUP(Z85,Charge!$U$18:$W$21,1,TRUE))*VLOOKUP(Z85,Charge!$U$18:$W$21,3,TRUE)),
IF(AND(B85="G2",M85=""),IF(R85="20'",
VLOOKUP(Z85,Charge!$K$9:$M$12,2,TRUE)+(Z85-VLOOKUP(Z85,Charge!$K$9:$M$12,1,TRUE))*VLOOKUP(Z85,Charge!$K$9:$M$12,3,TRUE),
VLOOKUP(Z85,Charge!$N$9:$P$12,2,TRUE)+(Z85-VLOOKUP(Z85,Charge!$N$9:$P$12,1,TRUE))*VLOOKUP(Z85,Charge!$N$9:$P$12,3,TRUE)),
IF(AND(B85="G2",M85="DG"),IF(R85="20'",
VLOOKUP(Z85,Charge!$R$9:$T$12,2,TRUE)+(Z85-VLOOKUP(Z85,Charge!$R$9:$T$12,1,TRUE))*VLOOKUP(Z85,Charge!$R$9:$T$12,3,TRUE),
VLOOKUP(Z85,Charge!$U$9:$W$12,2,TRUE)+(Z85-VLOOKUP(Z85,Charge!$U$9:$W$12,1,TRUE))*VLOOKUP(Z85,Charge!$U$9:$W$12,3,TRUE)),IF(AND(B85="G4",M85=""),IF(R85="20'",Z85*Charge!$M$25,Z85*Charge!$P$25),IF(AND(B85="G4",M85="DG"),IF(R85="20'",Z85*Charge!$T$25,Z85*Charge!$W$25),0))))))))</f>
        <v>640</v>
      </c>
      <c r="AB85" s="184" t="n"/>
      <c r="AC85" s="184" t="n"/>
      <c r="AD85" s="60">
        <f>IF(M85="DG",3,IF(N85="RF",3,5))+IF(AND(LEFT(C85,3)="BKK",N85="RF",Q85="KTS"),1,0)+IF(Q85="KHS",1,0)</f>
        <v>5</v>
      </c>
      <c r="AE85" s="63">
        <f>(T85-V85)+1</f>
        <v>46304</v>
      </c>
      <c r="AF85" s="63">
        <f>IF(AB85&gt;IF((V85-W85)&gt;0,V85-W85,0),0,IF(AB85&lt;IF((V85-W85)&gt;0,V85-W85,0),IF((V85-W85)&gt;0,V85-W85,0)-AB85,IF((V85-W85)&gt;0,V85-W85,0)))</f>
        <v>0</v>
      </c>
      <c r="AG85" s="187">
        <f>IF(AND(M85=""),IF(R85="20'",
VLOOKUP(AF85,Charge!$K$31:$M$34,2,TRUE)+(AF85-VLOOKUP(AF85,Charge!$K$31:$M$34,1,TRUE))*VLOOKUP(AF85,Charge!$K$31:$M$34,3,TRUE),
VLOOKUP(AF85,Charge!$N$31:$P$34,2,TRUE)+(AF85-VLOOKUP(AF85,Charge!$N$31:$P$34,1,TRUE))*VLOOKUP(AF85,Charge!$N$31:$P$34,3,TRUE)),
IF(AND(M85="DG"),IF(R85="20'",
VLOOKUP(AF85,Charge!$R$31:$T$34,2,TRUE)+(AF85-VLOOKUP(AF85,Charge!$R$31:$T$34,1,TRUE))*VLOOKUP(AF85,Charge!$R$31:$T$34,3,TRUE),
VLOOKUP(AF85,Charge!$U$31:$W$34,2,TRUE)+(AF85-VLOOKUP(AF85,Charge!$U$31:$W$34,1,TRUE))*VLOOKUP(AF85,Charge!$U$31:$W$34,3,TRUE)),0))</f>
        <v>0</v>
      </c>
      <c r="AH85" s="65" t="n"/>
      <c r="AI85" s="65">
        <f>AA85-AH85</f>
        <v>640</v>
      </c>
      <c r="AJ85" s="188" t="n"/>
      <c r="AK85" s="62" t="str">
        <f>VLOOKUP(D85,'2.Bookinglist'!A:CT,40,FALSE)</f>
        <v>Nguyen Xuan Toan</v>
      </c>
      <c r="AL85" s="60" t="str">
        <f>VLOOKUP(D85,'2.Bookinglist'!A:CW,101,FALSE)</f>
        <v>2026-10-05</v>
      </c>
      <c r="AM85" s="60" t="str">
        <f>VLOOKUP(D85,'2.Bookinglist'!A:BK,63,FALSE)</f>
        <v>BKK27</v>
      </c>
      <c r="AN85" s="62" t="str">
        <f>VLOOKUP(D85,'2.Bookinglist'!A:AZ,52,FALSE)</f>
        <v>Pickup : 2026-10-03, Return : 2026-10-04 </v>
      </c>
      <c r="AO85" s="62">
        <f>VLOOKUP(D85,'2.Bookinglist'!A:CY,103,FALSE)</f>
        <v>0</v>
      </c>
    </row>
    <row r="86" ht="12.95" customHeight="1">
      <c r="A86" s="96" t="inlineStr">
        <is>
          <t>SKHU6521062</t>
        </is>
      </c>
      <c r="B86" s="184" t="str">
        <f>IF(C86=Charge!$M$1,Charge!$J$1,IF(C86=Charge!$M$23,Charge!$J$23,IF(C86=Charge!$M$17,Charge!$J$17,IF(C86=Charge!$N$17,Charge!$J$17,Charge!$J$7))))</f>
        <v>G3</v>
      </c>
      <c r="C86" s="61" t="str">
        <f>VLOOKUP(A86,'1.Loading'!A:R,14,FALSE)</f>
        <v>BKK04</v>
      </c>
      <c r="D86" s="61" t="str">
        <f>VLOOKUP(A86,'1.Loading'!A:R,17,FALSE)</f>
        <v>HASLS22260902260</v>
      </c>
      <c r="E86" s="62" t="str">
        <f>VLOOKUP(D86,'2.Bookinglist'!A:CT,27,FALSE)</f>
        <v>CAPRICORN LOGISTICS CO., LTD.</v>
      </c>
      <c r="F86" s="62" t="str">
        <f>VLOOKUP(D86,'2.Bookinglist'!A:CT,28,FALSE)</f>
        <v>MITSUBISHI HEAVY INDUSTRIES - MAHAJAK AIR CONDITIONERS CO., </v>
      </c>
      <c r="G86" s="60">
        <f>VLOOKUP(D86,'2.Bookinglist'!A:E,5,FALSE)</f>
        <v>0</v>
      </c>
      <c r="H86" s="61" t="str">
        <f>VLOOKUP(D86,'2.Bookinglist'!A:CT,15,FALSE)</f>
        <v>THBKK</v>
      </c>
      <c r="I86" s="61" t="str">
        <f>VLOOKUP(D86,'2.Bookinglist'!A:CT,19,FALSE)</f>
        <v>VNSGN</v>
      </c>
      <c r="J86" s="61">
        <f>VLOOKUP(D86,'2.Bookinglist'!A:CT,26,FALSE)</f>
        <v>0</v>
      </c>
      <c r="K86" s="61" t="str">
        <f>VLOOKUP(A86,'1.Loading'!A:R,5,FALSE)</f>
        <v>45GP</v>
      </c>
      <c r="L86" s="60" t="str">
        <f>VLOOKUP(D86,'2.Bookinglist'!A:CT,85,FALSE)</f>
        <v>CY/CY</v>
      </c>
      <c r="M86" s="60" t="str">
        <f>IF(VLOOKUP(D86,'2.Bookinglist'!A:CT,43,FALSE)=0,"","DG")</f>
        <v/>
      </c>
      <c r="N86" s="60" t="str">
        <f>IF(RIGHT(K86,2)="RE","RF","")</f>
        <v/>
      </c>
      <c r="O86" s="61" t="str">
        <f>VLOOKUP(A86,'1.Loading'!A:R,3,FALSE)</f>
        <v>SWSP</v>
      </c>
      <c r="P86" s="61" t="str">
        <f>VLOOKUP(A86,'1.Loading'!A:R,4,FALSE)</f>
        <v>2609N</v>
      </c>
      <c r="Q86" s="61" t="str">
        <f>VLOOKUP(D86,'2.Bookinglist'!A:CT,12,FALSE)</f>
        <v>BTS</v>
      </c>
      <c r="R86" s="60" t="str">
        <f>IF(LEFT(K86,2)="22","20'","40'")</f>
        <v>40'</v>
      </c>
      <c r="S86" s="185" t="n"/>
      <c r="T86" s="61" t="str">
        <f>VLOOKUP(A86,'1.Loading'!A:R,2,FALSE)</f>
        <v>2026-10-08</v>
      </c>
      <c r="U86" s="63">
        <f>T86-S86</f>
        <v>46303</v>
      </c>
      <c r="V86" s="186" t="n"/>
      <c r="W86" s="61" t="str">
        <f>VLOOKUP(A86,'3.GateMove'!A:D,4,FALSE)</f>
        <v>2026-10-02</v>
      </c>
      <c r="X86" s="63">
        <f>((T86-W86)+1)</f>
        <v>7</v>
      </c>
      <c r="Y86" s="64">
        <f>IF(AND(OR(C86="BKK01",C86="BKK04"),L86="CFS/CY"),0,IF(M86="DG",1,IF(LEFT(C86,3)="LCH",7,IF(C86="BKK02",5,3))))</f>
        <v>3</v>
      </c>
      <c r="Z86" s="63">
        <f>IF(IF(AND(AC86="TML",AB86&gt;0),((T86-W86)+1)-AB86,((T86-W86)+1)-Y86)&gt;0,IF(AND(AC86="TML",AB86&gt;0),((T86-W86)+1)-AB86,((T86-W86)+1)-Y86),0)</f>
        <v>4</v>
      </c>
      <c r="AA86" s="187">
        <f>IF(AND(B86="G1",M86=""),IF(R86="20'",
VLOOKUP(Z86,Charge!$K$2:$M$5,2,TRUE)+(Z86-VLOOKUP(Z86,Charge!$K$2:$M$5,1,TRUE))*VLOOKUP(Z86,Charge!$K$2:$M$5,3,TRUE),
VLOOKUP(Z86,Charge!$N$2:$P$5,2,TRUE)+(Z86-VLOOKUP(Z86,Charge!$N$2:$P$5,1,TRUE))*VLOOKUP(Z86,Charge!$N$2:$P$5,3,TRUE)),
IF(AND(B86="G1",M86="DG"),IF(R86="20'",
VLOOKUP(Z86,Charge!$R$2:$T$5,2,TRUE)+(Z86-VLOOKUP(Z86,Charge!$R$2:$T$5,1,TRUE))*VLOOKUP(Z86,Charge!$R$2:$T$5,3,TRUE),
VLOOKUP(Z86,Charge!$U$2:$W$5,2,TRUE)+(Z86-VLOOKUP(Z86,Charge!$U$2:$W$5,1,TRUE))*VLOOKUP(Z86,Charge!$U$2:$W$5,3,TRUE)),
IF(AND(B86="G3",M86=""),IF(R86="20'",
VLOOKUP(Z86,Charge!$K$18:$M$21,2,TRUE)+(Z86-VLOOKUP(Z86,Charge!$K$18:$M$21,1,TRUE))*VLOOKUP(Z86,Charge!$K$18:$M$21,3,TRUE),
VLOOKUP(Z86,Charge!$N$18:$P$21,2,TRUE)+(Z86-VLOOKUP(Z86,Charge!$N$18:$P$21,1,TRUE))*VLOOKUP(Z86,Charge!$N$18:$P$21,3,TRUE)),
IF(AND(B86="G3",M86="DG"),IF(R86="20'",
VLOOKUP(Z86,Charge!$R$18:$T$21,2,TRUE)+(Z86-VLOOKUP(Z86,Charge!$R$18:$T$21,1,TRUE))*VLOOKUP(Z86,Charge!$R$18:$T$21,3,TRUE),
VLOOKUP(Z86,Charge!$U$18:$W$21,2,TRUE)+(Z86-VLOOKUP(Z86,Charge!$U$18:$W$21,1,TRUE))*VLOOKUP(Z86,Charge!$U$18:$W$21,3,TRUE)),
IF(AND(B86="G2",M86=""),IF(R86="20'",
VLOOKUP(Z86,Charge!$K$9:$M$12,2,TRUE)+(Z86-VLOOKUP(Z86,Charge!$K$9:$M$12,1,TRUE))*VLOOKUP(Z86,Charge!$K$9:$M$12,3,TRUE),
VLOOKUP(Z86,Charge!$N$9:$P$12,2,TRUE)+(Z86-VLOOKUP(Z86,Charge!$N$9:$P$12,1,TRUE))*VLOOKUP(Z86,Charge!$N$9:$P$12,3,TRUE)),
IF(AND(B86="G2",M86="DG"),IF(R86="20'",
VLOOKUP(Z86,Charge!$R$9:$T$12,2,TRUE)+(Z86-VLOOKUP(Z86,Charge!$R$9:$T$12,1,TRUE))*VLOOKUP(Z86,Charge!$R$9:$T$12,3,TRUE),
VLOOKUP(Z86,Charge!$U$9:$W$12,2,TRUE)+(Z86-VLOOKUP(Z86,Charge!$U$9:$W$12,1,TRUE))*VLOOKUP(Z86,Charge!$U$9:$W$12,3,TRUE)),IF(AND(B86="G4",M86=""),IF(R86="20'",Z86*Charge!$M$25,Z86*Charge!$P$25),IF(AND(B86="G4",M86="DG"),IF(R86="20'",Z86*Charge!$T$25,Z86*Charge!$W$25),0))))))))</f>
        <v>1280</v>
      </c>
      <c r="AB86" s="184" t="n"/>
      <c r="AC86" s="184" t="n"/>
      <c r="AD86" s="60">
        <f>IF(M86="DG",3,IF(N86="RF",3,5))+IF(AND(LEFT(C86,3)="BKK",N86="RF",Q86="KTS"),1,0)+IF(Q86="KHS",1,0)</f>
        <v>5</v>
      </c>
      <c r="AE86" s="63">
        <f>(T86-V86)+1</f>
        <v>46304</v>
      </c>
      <c r="AF86" s="63">
        <f>IF(AB86&gt;IF((V86-W86)&gt;0,V86-W86,0),0,IF(AB86&lt;IF((V86-W86)&gt;0,V86-W86,0),IF((V86-W86)&gt;0,V86-W86,0)-AB86,IF((V86-W86)&gt;0,V86-W86,0)))</f>
        <v>0</v>
      </c>
      <c r="AG86" s="187">
        <f>IF(AND(M86=""),IF(R86="20'",
VLOOKUP(AF86,Charge!$K$31:$M$34,2,TRUE)+(AF86-VLOOKUP(AF86,Charge!$K$31:$M$34,1,TRUE))*VLOOKUP(AF86,Charge!$K$31:$M$34,3,TRUE),
VLOOKUP(AF86,Charge!$N$31:$P$34,2,TRUE)+(AF86-VLOOKUP(AF86,Charge!$N$31:$P$34,1,TRUE))*VLOOKUP(AF86,Charge!$N$31:$P$34,3,TRUE)),
IF(AND(M86="DG"),IF(R86="20'",
VLOOKUP(AF86,Charge!$R$31:$T$34,2,TRUE)+(AF86-VLOOKUP(AF86,Charge!$R$31:$T$34,1,TRUE))*VLOOKUP(AF86,Charge!$R$31:$T$34,3,TRUE),
VLOOKUP(AF86,Charge!$U$31:$W$34,2,TRUE)+(AF86-VLOOKUP(AF86,Charge!$U$31:$W$34,1,TRUE))*VLOOKUP(AF86,Charge!$U$31:$W$34,3,TRUE)),0))</f>
        <v>0</v>
      </c>
      <c r="AH86" s="65" t="n"/>
      <c r="AI86" s="65">
        <f>AA86-AH86</f>
        <v>1280</v>
      </c>
      <c r="AJ86" s="188" t="n"/>
      <c r="AK86" s="62" t="str">
        <f>VLOOKUP(D86,'2.Bookinglist'!A:CT,40,FALSE)</f>
        <v>Sukunpoj Damrongying</v>
      </c>
      <c r="AL86" s="60" t="str">
        <f>VLOOKUP(D86,'2.Bookinglist'!A:CW,101,FALSE)</f>
        <v>2026-10-07</v>
      </c>
      <c r="AM86" s="60" t="str">
        <f>VLOOKUP(D86,'2.Bookinglist'!A:BK,63,FALSE)</f>
        <v>BKK27</v>
      </c>
      <c r="AN86" s="62" t="str">
        <f>VLOOKUP(D86,'2.Bookinglist'!A:AZ,52,FALSE)</f>
        <v>Pickup : 2026-09-29, Return : 2026-10-01 </v>
      </c>
      <c r="AO86" s="62">
        <f>VLOOKUP(D86,'2.Bookinglist'!A:CY,103,FALSE)</f>
        <v>0</v>
      </c>
    </row>
    <row r="87" ht="12.95" customHeight="1">
      <c r="A87" s="96" t="inlineStr">
        <is>
          <t>SKHU6557912</t>
        </is>
      </c>
      <c r="B87" s="184" t="str">
        <f>IF(C87=Charge!$M$1,Charge!$J$1,IF(C87=Charge!$M$23,Charge!$J$23,IF(C87=Charge!$M$17,Charge!$J$17,IF(C87=Charge!$N$17,Charge!$J$17,Charge!$J$7))))</f>
        <v>G3</v>
      </c>
      <c r="C87" s="61" t="str">
        <f>VLOOKUP(A87,'1.Loading'!A:R,14,FALSE)</f>
        <v>BKK04</v>
      </c>
      <c r="D87" s="61" t="str">
        <f>VLOOKUP(A87,'1.Loading'!A:R,17,FALSE)</f>
        <v>HASLS22260901036</v>
      </c>
      <c r="E87" s="62" t="str">
        <f>VLOOKUP(D87,'2.Bookinglist'!A:CT,27,FALSE)</f>
        <v>PISIA INTERFREIGHT CO.,LTD.</v>
      </c>
      <c r="F87" s="62" t="str">
        <f>VLOOKUP(D87,'2.Bookinglist'!A:CT,28,FALSE)</f>
        <v>KANGWAL POLYESTER CO., LTD.</v>
      </c>
      <c r="G87" s="60">
        <f>VLOOKUP(D87,'2.Bookinglist'!A:E,5,FALSE)</f>
        <v>0</v>
      </c>
      <c r="H87" s="61" t="str">
        <f>VLOOKUP(D87,'2.Bookinglist'!A:CT,15,FALSE)</f>
        <v>THBKK</v>
      </c>
      <c r="I87" s="61" t="str">
        <f>VLOOKUP(D87,'2.Bookinglist'!A:CT,19,FALSE)</f>
        <v>VNSGN</v>
      </c>
      <c r="J87" s="61">
        <f>VLOOKUP(D87,'2.Bookinglist'!A:CT,26,FALSE)</f>
        <v>0</v>
      </c>
      <c r="K87" s="61" t="str">
        <f>VLOOKUP(A87,'1.Loading'!A:R,5,FALSE)</f>
        <v>45GP</v>
      </c>
      <c r="L87" s="60" t="str">
        <f>VLOOKUP(D87,'2.Bookinglist'!A:CT,85,FALSE)</f>
        <v>CY/CY</v>
      </c>
      <c r="M87" s="60" t="str">
        <f>IF(VLOOKUP(D87,'2.Bookinglist'!A:CT,43,FALSE)=0,"","DG")</f>
        <v/>
      </c>
      <c r="N87" s="60" t="str">
        <f>IF(RIGHT(K87,2)="RE","RF","")</f>
        <v/>
      </c>
      <c r="O87" s="61" t="str">
        <f>VLOOKUP(A87,'1.Loading'!A:R,3,FALSE)</f>
        <v>SWSP</v>
      </c>
      <c r="P87" s="61" t="str">
        <f>VLOOKUP(A87,'1.Loading'!A:R,4,FALSE)</f>
        <v>2609N</v>
      </c>
      <c r="Q87" s="61" t="str">
        <f>VLOOKUP(D87,'2.Bookinglist'!A:CT,12,FALSE)</f>
        <v>BTS</v>
      </c>
      <c r="R87" s="60" t="str">
        <f>IF(LEFT(K87,2)="22","20'","40'")</f>
        <v>40'</v>
      </c>
      <c r="S87" s="185" t="n"/>
      <c r="T87" s="61" t="str">
        <f>VLOOKUP(A87,'1.Loading'!A:R,2,FALSE)</f>
        <v>2026-10-08</v>
      </c>
      <c r="U87" s="63">
        <f>T87-S87</f>
        <v>46303</v>
      </c>
      <c r="V87" s="186" t="n"/>
      <c r="W87" s="61" t="str">
        <f>VLOOKUP(A87,'3.GateMove'!A:D,4,FALSE)</f>
        <v>2026-10-02</v>
      </c>
      <c r="X87" s="63">
        <f>((T87-W87)+1)</f>
        <v>7</v>
      </c>
      <c r="Y87" s="64">
        <f>IF(AND(OR(C87="BKK01",C87="BKK04"),L87="CFS/CY"),0,IF(M87="DG",1,IF(LEFT(C87,3)="LCH",7,IF(C87="BKK02",5,3))))</f>
        <v>3</v>
      </c>
      <c r="Z87" s="63">
        <f>IF(IF(AND(AC87="TML",AB87&gt;0),((T87-W87)+1)-AB87,((T87-W87)+1)-Y87)&gt;0,IF(AND(AC87="TML",AB87&gt;0),((T87-W87)+1)-AB87,((T87-W87)+1)-Y87),0)</f>
        <v>4</v>
      </c>
      <c r="AA87" s="187">
        <f>IF(AND(B87="G1",M87=""),IF(R87="20'",
VLOOKUP(Z87,Charge!$K$2:$M$5,2,TRUE)+(Z87-VLOOKUP(Z87,Charge!$K$2:$M$5,1,TRUE))*VLOOKUP(Z87,Charge!$K$2:$M$5,3,TRUE),
VLOOKUP(Z87,Charge!$N$2:$P$5,2,TRUE)+(Z87-VLOOKUP(Z87,Charge!$N$2:$P$5,1,TRUE))*VLOOKUP(Z87,Charge!$N$2:$P$5,3,TRUE)),
IF(AND(B87="G1",M87="DG"),IF(R87="20'",
VLOOKUP(Z87,Charge!$R$2:$T$5,2,TRUE)+(Z87-VLOOKUP(Z87,Charge!$R$2:$T$5,1,TRUE))*VLOOKUP(Z87,Charge!$R$2:$T$5,3,TRUE),
VLOOKUP(Z87,Charge!$U$2:$W$5,2,TRUE)+(Z87-VLOOKUP(Z87,Charge!$U$2:$W$5,1,TRUE))*VLOOKUP(Z87,Charge!$U$2:$W$5,3,TRUE)),
IF(AND(B87="G3",M87=""),IF(R87="20'",
VLOOKUP(Z87,Charge!$K$18:$M$21,2,TRUE)+(Z87-VLOOKUP(Z87,Charge!$K$18:$M$21,1,TRUE))*VLOOKUP(Z87,Charge!$K$18:$M$21,3,TRUE),
VLOOKUP(Z87,Charge!$N$18:$P$21,2,TRUE)+(Z87-VLOOKUP(Z87,Charge!$N$18:$P$21,1,TRUE))*VLOOKUP(Z87,Charge!$N$18:$P$21,3,TRUE)),
IF(AND(B87="G3",M87="DG"),IF(R87="20'",
VLOOKUP(Z87,Charge!$R$18:$T$21,2,TRUE)+(Z87-VLOOKUP(Z87,Charge!$R$18:$T$21,1,TRUE))*VLOOKUP(Z87,Charge!$R$18:$T$21,3,TRUE),
VLOOKUP(Z87,Charge!$U$18:$W$21,2,TRUE)+(Z87-VLOOKUP(Z87,Charge!$U$18:$W$21,1,TRUE))*VLOOKUP(Z87,Charge!$U$18:$W$21,3,TRUE)),
IF(AND(B87="G2",M87=""),IF(R87="20'",
VLOOKUP(Z87,Charge!$K$9:$M$12,2,TRUE)+(Z87-VLOOKUP(Z87,Charge!$K$9:$M$12,1,TRUE))*VLOOKUP(Z87,Charge!$K$9:$M$12,3,TRUE),
VLOOKUP(Z87,Charge!$N$9:$P$12,2,TRUE)+(Z87-VLOOKUP(Z87,Charge!$N$9:$P$12,1,TRUE))*VLOOKUP(Z87,Charge!$N$9:$P$12,3,TRUE)),
IF(AND(B87="G2",M87="DG"),IF(R87="20'",
VLOOKUP(Z87,Charge!$R$9:$T$12,2,TRUE)+(Z87-VLOOKUP(Z87,Charge!$R$9:$T$12,1,TRUE))*VLOOKUP(Z87,Charge!$R$9:$T$12,3,TRUE),
VLOOKUP(Z87,Charge!$U$9:$W$12,2,TRUE)+(Z87-VLOOKUP(Z87,Charge!$U$9:$W$12,1,TRUE))*VLOOKUP(Z87,Charge!$U$9:$W$12,3,TRUE)),IF(AND(B87="G4",M87=""),IF(R87="20'",Z87*Charge!$M$25,Z87*Charge!$P$25),IF(AND(B87="G4",M87="DG"),IF(R87="20'",Z87*Charge!$T$25,Z87*Charge!$W$25),0))))))))</f>
        <v>1280</v>
      </c>
      <c r="AB87" s="184" t="n"/>
      <c r="AC87" s="184" t="n"/>
      <c r="AD87" s="60">
        <f>IF(M87="DG",3,IF(N87="RF",3,5))+IF(AND(LEFT(C87,3)="BKK",N87="RF",Q87="KTS"),1,0)+IF(Q87="KHS",1,0)</f>
        <v>5</v>
      </c>
      <c r="AE87" s="63">
        <f>(T87-V87)+1</f>
        <v>46304</v>
      </c>
      <c r="AF87" s="63">
        <f>IF(AB87&gt;IF((V87-W87)&gt;0,V87-W87,0),0,IF(AB87&lt;IF((V87-W87)&gt;0,V87-W87,0),IF((V87-W87)&gt;0,V87-W87,0)-AB87,IF((V87-W87)&gt;0,V87-W87,0)))</f>
        <v>0</v>
      </c>
      <c r="AG87" s="187">
        <f>IF(AND(M87=""),IF(R87="20'",
VLOOKUP(AF87,Charge!$K$31:$M$34,2,TRUE)+(AF87-VLOOKUP(AF87,Charge!$K$31:$M$34,1,TRUE))*VLOOKUP(AF87,Charge!$K$31:$M$34,3,TRUE),
VLOOKUP(AF87,Charge!$N$31:$P$34,2,TRUE)+(AF87-VLOOKUP(AF87,Charge!$N$31:$P$34,1,TRUE))*VLOOKUP(AF87,Charge!$N$31:$P$34,3,TRUE)),
IF(AND(M87="DG"),IF(R87="20'",
VLOOKUP(AF87,Charge!$R$31:$T$34,2,TRUE)+(AF87-VLOOKUP(AF87,Charge!$R$31:$T$34,1,TRUE))*VLOOKUP(AF87,Charge!$R$31:$T$34,3,TRUE),
VLOOKUP(AF87,Charge!$U$31:$W$34,2,TRUE)+(AF87-VLOOKUP(AF87,Charge!$U$31:$W$34,1,TRUE))*VLOOKUP(AF87,Charge!$U$31:$W$34,3,TRUE)),0))</f>
        <v>0</v>
      </c>
      <c r="AH87" s="65" t="n"/>
      <c r="AI87" s="65">
        <f>AA87-AH87</f>
        <v>1280</v>
      </c>
      <c r="AJ87" s="188" t="n"/>
      <c r="AK87" s="62" t="str">
        <f>VLOOKUP(D87,'2.Bookinglist'!A:CT,40,FALSE)</f>
        <v>Nannaapust Sukporntaweewat</v>
      </c>
      <c r="AL87" s="60" t="str">
        <f>VLOOKUP(D87,'2.Bookinglist'!A:CW,101,FALSE)</f>
        <v>2026-10-05</v>
      </c>
      <c r="AM87" s="60" t="str">
        <f>VLOOKUP(D87,'2.Bookinglist'!A:BK,63,FALSE)</f>
        <v>BKK25</v>
      </c>
      <c r="AN87" s="62" t="str">
        <f>VLOOKUP(D87,'2.Bookinglist'!A:AZ,52,FALSE)</f>
        <v>Pickup : 2026-10-01, Return : 2026-10-02 
7X40'HQ CY AT B.C. DD. 01/10 
1X40'HQ CY AT SMART DD. 01/10 </v>
      </c>
      <c r="AO87" s="62">
        <f>VLOOKUP(D87,'2.Bookinglist'!A:CY,103,FALSE)</f>
        <v>0</v>
      </c>
    </row>
    <row r="88" ht="12.95" customHeight="1">
      <c r="A88" s="96" t="inlineStr">
        <is>
          <t>SKHU6580086</t>
        </is>
      </c>
      <c r="B88" s="184" t="str">
        <f>IF(C88=Charge!$M$1,Charge!$J$1,IF(C88=Charge!$M$23,Charge!$J$23,IF(C88=Charge!$M$17,Charge!$J$17,IF(C88=Charge!$N$17,Charge!$J$17,Charge!$J$7))))</f>
        <v>G3</v>
      </c>
      <c r="C88" s="61" t="str">
        <f>VLOOKUP(A88,'1.Loading'!A:R,14,FALSE)</f>
        <v>BKK04</v>
      </c>
      <c r="D88" s="61" t="str">
        <f>VLOOKUP(A88,'1.Loading'!A:R,17,FALSE)</f>
        <v>HASLS22260901645</v>
      </c>
      <c r="E88" s="62" t="str">
        <f>VLOOKUP(D88,'2.Bookinglist'!A:CT,27,FALSE)</f>
        <v>SDS-ACUTECH CO., LTD.</v>
      </c>
      <c r="F88" s="62" t="str">
        <f>VLOOKUP(D88,'2.Bookinglist'!A:CT,28,FALSE)</f>
        <v>APEX CIRCUIT (THAILAND) CO., LTD.</v>
      </c>
      <c r="G88" s="60">
        <f>VLOOKUP(D88,'2.Bookinglist'!A:E,5,FALSE)</f>
        <v>0</v>
      </c>
      <c r="H88" s="61" t="str">
        <f>VLOOKUP(D88,'2.Bookinglist'!A:CT,15,FALSE)</f>
        <v>THBKK</v>
      </c>
      <c r="I88" s="61" t="str">
        <f>VLOOKUP(D88,'2.Bookinglist'!A:CT,19,FALSE)</f>
        <v>VNSGN</v>
      </c>
      <c r="J88" s="61">
        <f>VLOOKUP(D88,'2.Bookinglist'!A:CT,26,FALSE)</f>
        <v>0</v>
      </c>
      <c r="K88" s="61" t="str">
        <f>VLOOKUP(A88,'1.Loading'!A:R,5,FALSE)</f>
        <v>45GP</v>
      </c>
      <c r="L88" s="60" t="str">
        <f>VLOOKUP(D88,'2.Bookinglist'!A:CT,85,FALSE)</f>
        <v>CY/CY</v>
      </c>
      <c r="M88" s="60" t="str">
        <f>IF(VLOOKUP(D88,'2.Bookinglist'!A:CT,43,FALSE)=0,"","DG")</f>
        <v/>
      </c>
      <c r="N88" s="60" t="str">
        <f>IF(RIGHT(K88,2)="RE","RF","")</f>
        <v/>
      </c>
      <c r="O88" s="61" t="str">
        <f>VLOOKUP(A88,'1.Loading'!A:R,3,FALSE)</f>
        <v>SWSP</v>
      </c>
      <c r="P88" s="61" t="str">
        <f>VLOOKUP(A88,'1.Loading'!A:R,4,FALSE)</f>
        <v>2609N</v>
      </c>
      <c r="Q88" s="61" t="str">
        <f>VLOOKUP(D88,'2.Bookinglist'!A:CT,12,FALSE)</f>
        <v>BTS</v>
      </c>
      <c r="R88" s="60" t="str">
        <f>IF(LEFT(K88,2)="22","20'","40'")</f>
        <v>40'</v>
      </c>
      <c r="S88" s="185" t="n"/>
      <c r="T88" s="61" t="str">
        <f>VLOOKUP(A88,'1.Loading'!A:R,2,FALSE)</f>
        <v>2026-10-08</v>
      </c>
      <c r="U88" s="63">
        <f>T88-S88</f>
        <v>46303</v>
      </c>
      <c r="V88" s="186" t="n"/>
      <c r="W88" s="61" t="str">
        <f>VLOOKUP(A88,'3.GateMove'!A:D,4,FALSE)</f>
        <v>2026-10-05</v>
      </c>
      <c r="X88" s="63">
        <f>((T88-W88)+1)</f>
        <v>4</v>
      </c>
      <c r="Y88" s="64">
        <f>IF(AND(OR(C88="BKK01",C88="BKK04"),L88="CFS/CY"),0,IF(M88="DG",1,IF(LEFT(C88,3)="LCH",7,IF(C88="BKK02",5,3))))</f>
        <v>3</v>
      </c>
      <c r="Z88" s="63">
        <f>IF(IF(AND(AC88="TML",AB88&gt;0),((T88-W88)+1)-AB88,((T88-W88)+1)-Y88)&gt;0,IF(AND(AC88="TML",AB88&gt;0),((T88-W88)+1)-AB88,((T88-W88)+1)-Y88),0)</f>
        <v>1</v>
      </c>
      <c r="AA88" s="187">
        <f>IF(AND(B88="G1",M88=""),IF(R88="20'",
VLOOKUP(Z88,Charge!$K$2:$M$5,2,TRUE)+(Z88-VLOOKUP(Z88,Charge!$K$2:$M$5,1,TRUE))*VLOOKUP(Z88,Charge!$K$2:$M$5,3,TRUE),
VLOOKUP(Z88,Charge!$N$2:$P$5,2,TRUE)+(Z88-VLOOKUP(Z88,Charge!$N$2:$P$5,1,TRUE))*VLOOKUP(Z88,Charge!$N$2:$P$5,3,TRUE)),
IF(AND(B88="G1",M88="DG"),IF(R88="20'",
VLOOKUP(Z88,Charge!$R$2:$T$5,2,TRUE)+(Z88-VLOOKUP(Z88,Charge!$R$2:$T$5,1,TRUE))*VLOOKUP(Z88,Charge!$R$2:$T$5,3,TRUE),
VLOOKUP(Z88,Charge!$U$2:$W$5,2,TRUE)+(Z88-VLOOKUP(Z88,Charge!$U$2:$W$5,1,TRUE))*VLOOKUP(Z88,Charge!$U$2:$W$5,3,TRUE)),
IF(AND(B88="G3",M88=""),IF(R88="20'",
VLOOKUP(Z88,Charge!$K$18:$M$21,2,TRUE)+(Z88-VLOOKUP(Z88,Charge!$K$18:$M$21,1,TRUE))*VLOOKUP(Z88,Charge!$K$18:$M$21,3,TRUE),
VLOOKUP(Z88,Charge!$N$18:$P$21,2,TRUE)+(Z88-VLOOKUP(Z88,Charge!$N$18:$P$21,1,TRUE))*VLOOKUP(Z88,Charge!$N$18:$P$21,3,TRUE)),
IF(AND(B88="G3",M88="DG"),IF(R88="20'",
VLOOKUP(Z88,Charge!$R$18:$T$21,2,TRUE)+(Z88-VLOOKUP(Z88,Charge!$R$18:$T$21,1,TRUE))*VLOOKUP(Z88,Charge!$R$18:$T$21,3,TRUE),
VLOOKUP(Z88,Charge!$U$18:$W$21,2,TRUE)+(Z88-VLOOKUP(Z88,Charge!$U$18:$W$21,1,TRUE))*VLOOKUP(Z88,Charge!$U$18:$W$21,3,TRUE)),
IF(AND(B88="G2",M88=""),IF(R88="20'",
VLOOKUP(Z88,Charge!$K$9:$M$12,2,TRUE)+(Z88-VLOOKUP(Z88,Charge!$K$9:$M$12,1,TRUE))*VLOOKUP(Z88,Charge!$K$9:$M$12,3,TRUE),
VLOOKUP(Z88,Charge!$N$9:$P$12,2,TRUE)+(Z88-VLOOKUP(Z88,Charge!$N$9:$P$12,1,TRUE))*VLOOKUP(Z88,Charge!$N$9:$P$12,3,TRUE)),
IF(AND(B88="G2",M88="DG"),IF(R88="20'",
VLOOKUP(Z88,Charge!$R$9:$T$12,2,TRUE)+(Z88-VLOOKUP(Z88,Charge!$R$9:$T$12,1,TRUE))*VLOOKUP(Z88,Charge!$R$9:$T$12,3,TRUE),
VLOOKUP(Z88,Charge!$U$9:$W$12,2,TRUE)+(Z88-VLOOKUP(Z88,Charge!$U$9:$W$12,1,TRUE))*VLOOKUP(Z88,Charge!$U$9:$W$12,3,TRUE)),IF(AND(B88="G4",M88=""),IF(R88="20'",Z88*Charge!$M$25,Z88*Charge!$P$25),IF(AND(B88="G4",M88="DG"),IF(R88="20'",Z88*Charge!$T$25,Z88*Charge!$W$25),0))))))))</f>
        <v>320</v>
      </c>
      <c r="AB88" s="184" t="n"/>
      <c r="AC88" s="184" t="n"/>
      <c r="AD88" s="60">
        <f>IF(M88="DG",3,IF(N88="RF",3,5))+IF(AND(LEFT(C88,3)="BKK",N88="RF",Q88="KTS"),1,0)+IF(Q88="KHS",1,0)</f>
        <v>5</v>
      </c>
      <c r="AE88" s="63">
        <f>(T88-V88)+1</f>
        <v>46304</v>
      </c>
      <c r="AF88" s="63">
        <f>IF(AB88&gt;IF((V88-W88)&gt;0,V88-W88,0),0,IF(AB88&lt;IF((V88-W88)&gt;0,V88-W88,0),IF((V88-W88)&gt;0,V88-W88,0)-AB88,IF((V88-W88)&gt;0,V88-W88,0)))</f>
        <v>0</v>
      </c>
      <c r="AG88" s="187">
        <f>IF(AND(M88=""),IF(R88="20'",
VLOOKUP(AF88,Charge!$K$31:$M$34,2,TRUE)+(AF88-VLOOKUP(AF88,Charge!$K$31:$M$34,1,TRUE))*VLOOKUP(AF88,Charge!$K$31:$M$34,3,TRUE),
VLOOKUP(AF88,Charge!$N$31:$P$34,2,TRUE)+(AF88-VLOOKUP(AF88,Charge!$N$31:$P$34,1,TRUE))*VLOOKUP(AF88,Charge!$N$31:$P$34,3,TRUE)),
IF(AND(M88="DG"),IF(R88="20'",
VLOOKUP(AF88,Charge!$R$31:$T$34,2,TRUE)+(AF88-VLOOKUP(AF88,Charge!$R$31:$T$34,1,TRUE))*VLOOKUP(AF88,Charge!$R$31:$T$34,3,TRUE),
VLOOKUP(AF88,Charge!$U$31:$W$34,2,TRUE)+(AF88-VLOOKUP(AF88,Charge!$U$31:$W$34,1,TRUE))*VLOOKUP(AF88,Charge!$U$31:$W$34,3,TRUE)),0))</f>
        <v>0</v>
      </c>
      <c r="AH88" s="65" t="n"/>
      <c r="AI88" s="65">
        <f>AA88-AH88</f>
        <v>320</v>
      </c>
      <c r="AJ88" s="188" t="n"/>
      <c r="AK88" s="62" t="str">
        <f>VLOOKUP(D88,'2.Bookinglist'!A:CT,40,FALSE)</f>
        <v>LEE SEUNG MIN</v>
      </c>
      <c r="AL88" s="60" t="str">
        <f>VLOOKUP(D88,'2.Bookinglist'!A:CW,101,FALSE)</f>
        <v>2026-10-04</v>
      </c>
      <c r="AM88" s="60" t="str">
        <f>VLOOKUP(D88,'2.Bookinglist'!A:BK,63,FALSE)</f>
        <v>BKK27</v>
      </c>
      <c r="AN88" s="62" t="str">
        <f>VLOOKUP(D88,'2.Bookinglist'!A:AZ,52,FALSE)</f>
        <v>Pickup : 2026-10-01, Return : 2026-10-02</v>
      </c>
      <c r="AO88" s="62">
        <f>VLOOKUP(D88,'2.Bookinglist'!A:CY,103,FALSE)</f>
        <v>0</v>
      </c>
    </row>
    <row r="89" ht="12.95" customHeight="1">
      <c r="A89" s="96" t="inlineStr">
        <is>
          <t>SKHU6582978</t>
        </is>
      </c>
      <c r="B89" s="184" t="str">
        <f>IF(C89=Charge!$M$1,Charge!$J$1,IF(C89=Charge!$M$23,Charge!$J$23,IF(C89=Charge!$M$17,Charge!$J$17,IF(C89=Charge!$N$17,Charge!$J$17,Charge!$J$7))))</f>
        <v>G3</v>
      </c>
      <c r="C89" s="61" t="str">
        <f>VLOOKUP(A89,'1.Loading'!A:R,14,FALSE)</f>
        <v>BKK04</v>
      </c>
      <c r="D89" s="61" t="str">
        <f>VLOOKUP(A89,'1.Loading'!A:R,17,FALSE)</f>
        <v>HASLS22260900586</v>
      </c>
      <c r="E89" s="62" t="str">
        <f>VLOOKUP(D89,'2.Bookinglist'!A:CT,27,FALSE)</f>
        <v>BIRLA CARBON (THAILAND) PUBLIC COMPANY LIMITED</v>
      </c>
      <c r="F89" s="62" t="str">
        <f>VLOOKUP(D89,'2.Bookinglist'!A:CT,28,FALSE)</f>
        <v>BIRLA CARBON (THAILAND) PUBLIC COMPANY LIMITED</v>
      </c>
      <c r="G89" s="60">
        <f>VLOOKUP(D89,'2.Bookinglist'!A:E,5,FALSE)</f>
        <v>0</v>
      </c>
      <c r="H89" s="61" t="str">
        <f>VLOOKUP(D89,'2.Bookinglist'!A:CT,15,FALSE)</f>
        <v>THBKK</v>
      </c>
      <c r="I89" s="61" t="str">
        <f>VLOOKUP(D89,'2.Bookinglist'!A:CT,19,FALSE)</f>
        <v>VNSGN</v>
      </c>
      <c r="J89" s="61">
        <f>VLOOKUP(D89,'2.Bookinglist'!A:CT,26,FALSE)</f>
        <v>0</v>
      </c>
      <c r="K89" s="61" t="str">
        <f>VLOOKUP(A89,'1.Loading'!A:R,5,FALSE)</f>
        <v>45GP</v>
      </c>
      <c r="L89" s="60" t="str">
        <f>VLOOKUP(D89,'2.Bookinglist'!A:CT,85,FALSE)</f>
        <v>CY/CY</v>
      </c>
      <c r="M89" s="60" t="str">
        <f>IF(VLOOKUP(D89,'2.Bookinglist'!A:CT,43,FALSE)=0,"","DG")</f>
        <v/>
      </c>
      <c r="N89" s="60" t="str">
        <f>IF(RIGHT(K89,2)="RE","RF","")</f>
        <v/>
      </c>
      <c r="O89" s="61" t="str">
        <f>VLOOKUP(A89,'1.Loading'!A:R,3,FALSE)</f>
        <v>SWSP</v>
      </c>
      <c r="P89" s="61" t="str">
        <f>VLOOKUP(A89,'1.Loading'!A:R,4,FALSE)</f>
        <v>2609N</v>
      </c>
      <c r="Q89" s="61" t="str">
        <f>VLOOKUP(D89,'2.Bookinglist'!A:CT,12,FALSE)</f>
        <v>BTS</v>
      </c>
      <c r="R89" s="60" t="str">
        <f>IF(LEFT(K89,2)="22","20'","40'")</f>
        <v>40'</v>
      </c>
      <c r="S89" s="185" t="n"/>
      <c r="T89" s="61" t="str">
        <f>VLOOKUP(A89,'1.Loading'!A:R,2,FALSE)</f>
        <v>2026-10-08</v>
      </c>
      <c r="U89" s="63">
        <f>T89-S89</f>
        <v>46303</v>
      </c>
      <c r="V89" s="186" t="n"/>
      <c r="W89" s="61" t="str">
        <f>VLOOKUP(A89,'3.GateMove'!A:D,4,FALSE)</f>
        <v>2026-10-04</v>
      </c>
      <c r="X89" s="63">
        <f>((T89-W89)+1)</f>
        <v>5</v>
      </c>
      <c r="Y89" s="64">
        <f>IF(AND(OR(C89="BKK01",C89="BKK04"),L89="CFS/CY"),0,IF(M89="DG",1,IF(LEFT(C89,3)="LCH",7,IF(C89="BKK02",5,3))))</f>
        <v>3</v>
      </c>
      <c r="Z89" s="63">
        <f>IF(IF(AND(AC89="TML",AB89&gt;0),((T89-W89)+1)-AB89,((T89-W89)+1)-Y89)&gt;0,IF(AND(AC89="TML",AB89&gt;0),((T89-W89)+1)-AB89,((T89-W89)+1)-Y89),0)</f>
        <v>2</v>
      </c>
      <c r="AA89" s="187">
        <f>IF(AND(B89="G1",M89=""),IF(R89="20'",
VLOOKUP(Z89,Charge!$K$2:$M$5,2,TRUE)+(Z89-VLOOKUP(Z89,Charge!$K$2:$M$5,1,TRUE))*VLOOKUP(Z89,Charge!$K$2:$M$5,3,TRUE),
VLOOKUP(Z89,Charge!$N$2:$P$5,2,TRUE)+(Z89-VLOOKUP(Z89,Charge!$N$2:$P$5,1,TRUE))*VLOOKUP(Z89,Charge!$N$2:$P$5,3,TRUE)),
IF(AND(B89="G1",M89="DG"),IF(R89="20'",
VLOOKUP(Z89,Charge!$R$2:$T$5,2,TRUE)+(Z89-VLOOKUP(Z89,Charge!$R$2:$T$5,1,TRUE))*VLOOKUP(Z89,Charge!$R$2:$T$5,3,TRUE),
VLOOKUP(Z89,Charge!$U$2:$W$5,2,TRUE)+(Z89-VLOOKUP(Z89,Charge!$U$2:$W$5,1,TRUE))*VLOOKUP(Z89,Charge!$U$2:$W$5,3,TRUE)),
IF(AND(B89="G3",M89=""),IF(R89="20'",
VLOOKUP(Z89,Charge!$K$18:$M$21,2,TRUE)+(Z89-VLOOKUP(Z89,Charge!$K$18:$M$21,1,TRUE))*VLOOKUP(Z89,Charge!$K$18:$M$21,3,TRUE),
VLOOKUP(Z89,Charge!$N$18:$P$21,2,TRUE)+(Z89-VLOOKUP(Z89,Charge!$N$18:$P$21,1,TRUE))*VLOOKUP(Z89,Charge!$N$18:$P$21,3,TRUE)),
IF(AND(B89="G3",M89="DG"),IF(R89="20'",
VLOOKUP(Z89,Charge!$R$18:$T$21,2,TRUE)+(Z89-VLOOKUP(Z89,Charge!$R$18:$T$21,1,TRUE))*VLOOKUP(Z89,Charge!$R$18:$T$21,3,TRUE),
VLOOKUP(Z89,Charge!$U$18:$W$21,2,TRUE)+(Z89-VLOOKUP(Z89,Charge!$U$18:$W$21,1,TRUE))*VLOOKUP(Z89,Charge!$U$18:$W$21,3,TRUE)),
IF(AND(B89="G2",M89=""),IF(R89="20'",
VLOOKUP(Z89,Charge!$K$9:$M$12,2,TRUE)+(Z89-VLOOKUP(Z89,Charge!$K$9:$M$12,1,TRUE))*VLOOKUP(Z89,Charge!$K$9:$M$12,3,TRUE),
VLOOKUP(Z89,Charge!$N$9:$P$12,2,TRUE)+(Z89-VLOOKUP(Z89,Charge!$N$9:$P$12,1,TRUE))*VLOOKUP(Z89,Charge!$N$9:$P$12,3,TRUE)),
IF(AND(B89="G2",M89="DG"),IF(R89="20'",
VLOOKUP(Z89,Charge!$R$9:$T$12,2,TRUE)+(Z89-VLOOKUP(Z89,Charge!$R$9:$T$12,1,TRUE))*VLOOKUP(Z89,Charge!$R$9:$T$12,3,TRUE),
VLOOKUP(Z89,Charge!$U$9:$W$12,2,TRUE)+(Z89-VLOOKUP(Z89,Charge!$U$9:$W$12,1,TRUE))*VLOOKUP(Z89,Charge!$U$9:$W$12,3,TRUE)),IF(AND(B89="G4",M89=""),IF(R89="20'",Z89*Charge!$M$25,Z89*Charge!$P$25),IF(AND(B89="G4",M89="DG"),IF(R89="20'",Z89*Charge!$T$25,Z89*Charge!$W$25),0))))))))</f>
        <v>640</v>
      </c>
      <c r="AB89" s="184" t="n"/>
      <c r="AC89" s="184" t="n"/>
      <c r="AD89" s="60">
        <f>IF(M89="DG",3,IF(N89="RF",3,5))+IF(AND(LEFT(C89,3)="BKK",N89="RF",Q89="KTS"),1,0)+IF(Q89="KHS",1,0)</f>
        <v>5</v>
      </c>
      <c r="AE89" s="63">
        <f>(T89-V89)+1</f>
        <v>46304</v>
      </c>
      <c r="AF89" s="63">
        <f>IF(AB89&gt;IF((V89-W89)&gt;0,V89-W89,0),0,IF(AB89&lt;IF((V89-W89)&gt;0,V89-W89,0),IF((V89-W89)&gt;0,V89-W89,0)-AB89,IF((V89-W89)&gt;0,V89-W89,0)))</f>
        <v>0</v>
      </c>
      <c r="AG89" s="187">
        <f>IF(AND(M89=""),IF(R89="20'",
VLOOKUP(AF89,Charge!$K$31:$M$34,2,TRUE)+(AF89-VLOOKUP(AF89,Charge!$K$31:$M$34,1,TRUE))*VLOOKUP(AF89,Charge!$K$31:$M$34,3,TRUE),
VLOOKUP(AF89,Charge!$N$31:$P$34,2,TRUE)+(AF89-VLOOKUP(AF89,Charge!$N$31:$P$34,1,TRUE))*VLOOKUP(AF89,Charge!$N$31:$P$34,3,TRUE)),
IF(AND(M89="DG"),IF(R89="20'",
VLOOKUP(AF89,Charge!$R$31:$T$34,2,TRUE)+(AF89-VLOOKUP(AF89,Charge!$R$31:$T$34,1,TRUE))*VLOOKUP(AF89,Charge!$R$31:$T$34,3,TRUE),
VLOOKUP(AF89,Charge!$U$31:$W$34,2,TRUE)+(AF89-VLOOKUP(AF89,Charge!$U$31:$W$34,1,TRUE))*VLOOKUP(AF89,Charge!$U$31:$W$34,3,TRUE)),0))</f>
        <v>0</v>
      </c>
      <c r="AH89" s="65" t="n"/>
      <c r="AI89" s="65">
        <f>AA89-AH89</f>
        <v>640</v>
      </c>
      <c r="AJ89" s="188" t="n"/>
      <c r="AK89" s="62" t="str">
        <f>VLOOKUP(D89,'2.Bookinglist'!A:CT,40,FALSE)</f>
        <v>Dharaporn</v>
      </c>
      <c r="AL89" s="60" t="str">
        <f>VLOOKUP(D89,'2.Bookinglist'!A:CW,101,FALSE)</f>
        <v>2026-10-07</v>
      </c>
      <c r="AM89" s="60" t="str">
        <f>VLOOKUP(D89,'2.Bookinglist'!A:BK,63,FALSE)</f>
        <v>BKK27</v>
      </c>
      <c r="AN89" s="62" t="str">
        <f>VLOOKUP(D89,'2.Bookinglist'!A:AZ,52,FALSE)</f>
        <v>Pickup : 2026-10-01, Return : 2026-10-02 (1ST RTN DD: 03/10/26 WO/RENT)</v>
      </c>
      <c r="AO89" s="62">
        <f>VLOOKUP(D89,'2.Bookinglist'!A:CY,103,FALSE)</f>
        <v>0</v>
      </c>
    </row>
    <row r="90" ht="12.95" customHeight="1">
      <c r="A90" s="96" t="inlineStr">
        <is>
          <t>SKHU8304894</t>
        </is>
      </c>
      <c r="B90" s="184" t="str">
        <f>IF(C90=Charge!$M$1,Charge!$J$1,IF(C90=Charge!$M$23,Charge!$J$23,IF(C90=Charge!$M$17,Charge!$J$17,IF(C90=Charge!$N$17,Charge!$J$17,Charge!$J$7))))</f>
        <v>G3</v>
      </c>
      <c r="C90" s="61" t="str">
        <f>VLOOKUP(A90,'1.Loading'!A:R,14,FALSE)</f>
        <v>BKK04</v>
      </c>
      <c r="D90" s="61" t="str">
        <f>VLOOKUP(A90,'1.Loading'!A:R,17,FALSE)</f>
        <v>HASLS22260801164</v>
      </c>
      <c r="E90" s="62" t="str">
        <f>VLOOKUP(D90,'2.Bookinglist'!A:CT,27,FALSE)</f>
        <v>MAXTOP LOGISTICS (THAILAND) CO., LTD.</v>
      </c>
      <c r="F90" s="62" t="str">
        <f>VLOOKUP(D90,'2.Bookinglist'!A:CT,28,FALSE)</f>
        <v>FAD THAI LTD.,PART</v>
      </c>
      <c r="G90" s="60">
        <f>VLOOKUP(D90,'2.Bookinglist'!A:E,5,FALSE)</f>
        <v>0</v>
      </c>
      <c r="H90" s="61" t="str">
        <f>VLOOKUP(D90,'2.Bookinglist'!A:CT,15,FALSE)</f>
        <v>THBKK</v>
      </c>
      <c r="I90" s="61" t="str">
        <f>VLOOKUP(D90,'2.Bookinglist'!A:CT,19,FALSE)</f>
        <v>KRPTK</v>
      </c>
      <c r="J90" s="61">
        <f>VLOOKUP(D90,'2.Bookinglist'!A:CT,26,FALSE)</f>
        <v>0</v>
      </c>
      <c r="K90" s="61" t="str">
        <f>VLOOKUP(A90,'1.Loading'!A:R,5,FALSE)</f>
        <v>45GP</v>
      </c>
      <c r="L90" s="60" t="str">
        <f>VLOOKUP(D90,'2.Bookinglist'!A:CT,85,FALSE)</f>
        <v>CY/CY</v>
      </c>
      <c r="M90" s="60" t="str">
        <f>IF(VLOOKUP(D90,'2.Bookinglist'!A:CT,43,FALSE)=0,"","DG")</f>
        <v/>
      </c>
      <c r="N90" s="60" t="str">
        <f>IF(RIGHT(K90,2)="RE","RF","")</f>
        <v/>
      </c>
      <c r="O90" s="61" t="str">
        <f>VLOOKUP(A90,'1.Loading'!A:R,3,FALSE)</f>
        <v>SWSP</v>
      </c>
      <c r="P90" s="61" t="str">
        <f>VLOOKUP(A90,'1.Loading'!A:R,4,FALSE)</f>
        <v>2609N</v>
      </c>
      <c r="Q90" s="61" t="str">
        <f>VLOOKUP(D90,'2.Bookinglist'!A:CT,12,FALSE)</f>
        <v>BTS</v>
      </c>
      <c r="R90" s="60" t="str">
        <f>IF(LEFT(K90,2)="22","20'","40'")</f>
        <v>40'</v>
      </c>
      <c r="S90" s="185" t="n"/>
      <c r="T90" s="61" t="str">
        <f>VLOOKUP(A90,'1.Loading'!A:R,2,FALSE)</f>
        <v>2026-10-08</v>
      </c>
      <c r="U90" s="63">
        <f>T90-S90</f>
        <v>46303</v>
      </c>
      <c r="V90" s="186" t="n"/>
      <c r="W90" s="61" t="str">
        <f>VLOOKUP(A90,'3.GateMove'!A:D,4,FALSE)</f>
        <v>2026-10-03</v>
      </c>
      <c r="X90" s="63">
        <f>((T90-W90)+1)</f>
        <v>6</v>
      </c>
      <c r="Y90" s="64">
        <f>IF(AND(OR(C90="BKK01",C90="BKK04"),L90="CFS/CY"),0,IF(M90="DG",1,IF(LEFT(C90,3)="LCH",7,IF(C90="BKK02",5,3))))</f>
        <v>3</v>
      </c>
      <c r="Z90" s="63">
        <f>IF(IF(AND(AC90="TML",AB90&gt;0),((T90-W90)+1)-AB90,((T90-W90)+1)-Y90)&gt;0,IF(AND(AC90="TML",AB90&gt;0),((T90-W90)+1)-AB90,((T90-W90)+1)-Y90),0)</f>
        <v>3</v>
      </c>
      <c r="AA90" s="187">
        <f>IF(AND(B90="G1",M90=""),IF(R90="20'",
VLOOKUP(Z90,Charge!$K$2:$M$5,2,TRUE)+(Z90-VLOOKUP(Z90,Charge!$K$2:$M$5,1,TRUE))*VLOOKUP(Z90,Charge!$K$2:$M$5,3,TRUE),
VLOOKUP(Z90,Charge!$N$2:$P$5,2,TRUE)+(Z90-VLOOKUP(Z90,Charge!$N$2:$P$5,1,TRUE))*VLOOKUP(Z90,Charge!$N$2:$P$5,3,TRUE)),
IF(AND(B90="G1",M90="DG"),IF(R90="20'",
VLOOKUP(Z90,Charge!$R$2:$T$5,2,TRUE)+(Z90-VLOOKUP(Z90,Charge!$R$2:$T$5,1,TRUE))*VLOOKUP(Z90,Charge!$R$2:$T$5,3,TRUE),
VLOOKUP(Z90,Charge!$U$2:$W$5,2,TRUE)+(Z90-VLOOKUP(Z90,Charge!$U$2:$W$5,1,TRUE))*VLOOKUP(Z90,Charge!$U$2:$W$5,3,TRUE)),
IF(AND(B90="G3",M90=""),IF(R90="20'",
VLOOKUP(Z90,Charge!$K$18:$M$21,2,TRUE)+(Z90-VLOOKUP(Z90,Charge!$K$18:$M$21,1,TRUE))*VLOOKUP(Z90,Charge!$K$18:$M$21,3,TRUE),
VLOOKUP(Z90,Charge!$N$18:$P$21,2,TRUE)+(Z90-VLOOKUP(Z90,Charge!$N$18:$P$21,1,TRUE))*VLOOKUP(Z90,Charge!$N$18:$P$21,3,TRUE)),
IF(AND(B90="G3",M90="DG"),IF(R90="20'",
VLOOKUP(Z90,Charge!$R$18:$T$21,2,TRUE)+(Z90-VLOOKUP(Z90,Charge!$R$18:$T$21,1,TRUE))*VLOOKUP(Z90,Charge!$R$18:$T$21,3,TRUE),
VLOOKUP(Z90,Charge!$U$18:$W$21,2,TRUE)+(Z90-VLOOKUP(Z90,Charge!$U$18:$W$21,1,TRUE))*VLOOKUP(Z90,Charge!$U$18:$W$21,3,TRUE)),
IF(AND(B90="G2",M90=""),IF(R90="20'",
VLOOKUP(Z90,Charge!$K$9:$M$12,2,TRUE)+(Z90-VLOOKUP(Z90,Charge!$K$9:$M$12,1,TRUE))*VLOOKUP(Z90,Charge!$K$9:$M$12,3,TRUE),
VLOOKUP(Z90,Charge!$N$9:$P$12,2,TRUE)+(Z90-VLOOKUP(Z90,Charge!$N$9:$P$12,1,TRUE))*VLOOKUP(Z90,Charge!$N$9:$P$12,3,TRUE)),
IF(AND(B90="G2",M90="DG"),IF(R90="20'",
VLOOKUP(Z90,Charge!$R$9:$T$12,2,TRUE)+(Z90-VLOOKUP(Z90,Charge!$R$9:$T$12,1,TRUE))*VLOOKUP(Z90,Charge!$R$9:$T$12,3,TRUE),
VLOOKUP(Z90,Charge!$U$9:$W$12,2,TRUE)+(Z90-VLOOKUP(Z90,Charge!$U$9:$W$12,1,TRUE))*VLOOKUP(Z90,Charge!$U$9:$W$12,3,TRUE)),IF(AND(B90="G4",M90=""),IF(R90="20'",Z90*Charge!$M$25,Z90*Charge!$P$25),IF(AND(B90="G4",M90="DG"),IF(R90="20'",Z90*Charge!$T$25,Z90*Charge!$W$25),0))))))))</f>
        <v>960</v>
      </c>
      <c r="AB90" s="184" t="n"/>
      <c r="AC90" s="184" t="n"/>
      <c r="AD90" s="60">
        <f>IF(M90="DG",3,IF(N90="RF",3,5))+IF(AND(LEFT(C90,3)="BKK",N90="RF",Q90="KTS"),1,0)+IF(Q90="KHS",1,0)</f>
        <v>5</v>
      </c>
      <c r="AE90" s="63">
        <f>(T90-V90)+1</f>
        <v>46304</v>
      </c>
      <c r="AF90" s="63">
        <f>IF(AB90&gt;IF((V90-W90)&gt;0,V90-W90,0),0,IF(AB90&lt;IF((V90-W90)&gt;0,V90-W90,0),IF((V90-W90)&gt;0,V90-W90,0)-AB90,IF((V90-W90)&gt;0,V90-W90,0)))</f>
        <v>0</v>
      </c>
      <c r="AG90" s="187">
        <f>IF(AND(M90=""),IF(R90="20'",
VLOOKUP(AF90,Charge!$K$31:$M$34,2,TRUE)+(AF90-VLOOKUP(AF90,Charge!$K$31:$M$34,1,TRUE))*VLOOKUP(AF90,Charge!$K$31:$M$34,3,TRUE),
VLOOKUP(AF90,Charge!$N$31:$P$34,2,TRUE)+(AF90-VLOOKUP(AF90,Charge!$N$31:$P$34,1,TRUE))*VLOOKUP(AF90,Charge!$N$31:$P$34,3,TRUE)),
IF(AND(M90="DG"),IF(R90="20'",
VLOOKUP(AF90,Charge!$R$31:$T$34,2,TRUE)+(AF90-VLOOKUP(AF90,Charge!$R$31:$T$34,1,TRUE))*VLOOKUP(AF90,Charge!$R$31:$T$34,3,TRUE),
VLOOKUP(AF90,Charge!$U$31:$W$34,2,TRUE)+(AF90-VLOOKUP(AF90,Charge!$U$31:$W$34,1,TRUE))*VLOOKUP(AF90,Charge!$U$31:$W$34,3,TRUE)),0))</f>
        <v>0</v>
      </c>
      <c r="AH90" s="65" t="n"/>
      <c r="AI90" s="65">
        <f>AA90-AH90</f>
        <v>960</v>
      </c>
      <c r="AJ90" s="188" t="n"/>
      <c r="AK90" s="62" t="str">
        <f>VLOOKUP(D90,'2.Bookinglist'!A:CT,40,FALSE)</f>
        <v>Arunphat W. (Aiw)</v>
      </c>
      <c r="AL90" s="60" t="str">
        <f>VLOOKUP(D90,'2.Bookinglist'!A:CW,101,FALSE)</f>
        <v>2026-10-07</v>
      </c>
      <c r="AM90" s="60" t="str">
        <f>VLOOKUP(D90,'2.Bookinglist'!A:BK,63,FALSE)</f>
        <v>BKK27</v>
      </c>
      <c r="AN90" s="62" t="str">
        <f>VLOOKUP(D90,'2.Bookinglist'!A:AZ,52,FALSE)</f>
        <v>Pickup : 2026-10-02, Return : 2026-10-03 </v>
      </c>
      <c r="AO90" s="62">
        <f>VLOOKUP(D90,'2.Bookinglist'!A:CY,103,FALSE)</f>
        <v>0</v>
      </c>
    </row>
    <row r="91" ht="12.95" customHeight="1">
      <c r="A91" s="96" t="inlineStr">
        <is>
          <t>SKHU8414572</t>
        </is>
      </c>
      <c r="B91" s="184" t="str">
        <f>IF(C91=Charge!$M$1,Charge!$J$1,IF(C91=Charge!$M$23,Charge!$J$23,IF(C91=Charge!$M$17,Charge!$J$17,IF(C91=Charge!$N$17,Charge!$J$17,Charge!$J$7))))</f>
        <v>G3</v>
      </c>
      <c r="C91" s="61" t="str">
        <f>VLOOKUP(A91,'1.Loading'!A:R,14,FALSE)</f>
        <v>BKK04</v>
      </c>
      <c r="D91" s="61" t="str">
        <f>VLOOKUP(A91,'1.Loading'!A:R,17,FALSE)</f>
        <v>HASLS22260902260</v>
      </c>
      <c r="E91" s="62" t="str">
        <f>VLOOKUP(D91,'2.Bookinglist'!A:CT,27,FALSE)</f>
        <v>CAPRICORN LOGISTICS CO., LTD.</v>
      </c>
      <c r="F91" s="62" t="str">
        <f>VLOOKUP(D91,'2.Bookinglist'!A:CT,28,FALSE)</f>
        <v>MITSUBISHI HEAVY INDUSTRIES - MAHAJAK AIR CONDITIONERS CO., </v>
      </c>
      <c r="G91" s="60">
        <f>VLOOKUP(D91,'2.Bookinglist'!A:E,5,FALSE)</f>
        <v>0</v>
      </c>
      <c r="H91" s="61" t="str">
        <f>VLOOKUP(D91,'2.Bookinglist'!A:CT,15,FALSE)</f>
        <v>THBKK</v>
      </c>
      <c r="I91" s="61" t="str">
        <f>VLOOKUP(D91,'2.Bookinglist'!A:CT,19,FALSE)</f>
        <v>VNSGN</v>
      </c>
      <c r="J91" s="61">
        <f>VLOOKUP(D91,'2.Bookinglist'!A:CT,26,FALSE)</f>
        <v>0</v>
      </c>
      <c r="K91" s="61" t="str">
        <f>VLOOKUP(A91,'1.Loading'!A:R,5,FALSE)</f>
        <v>45GP</v>
      </c>
      <c r="L91" s="60" t="str">
        <f>VLOOKUP(D91,'2.Bookinglist'!A:CT,85,FALSE)</f>
        <v>CY/CY</v>
      </c>
      <c r="M91" s="60" t="str">
        <f>IF(VLOOKUP(D91,'2.Bookinglist'!A:CT,43,FALSE)=0,"","DG")</f>
        <v/>
      </c>
      <c r="N91" s="60" t="str">
        <f>IF(RIGHT(K91,2)="RE","RF","")</f>
        <v/>
      </c>
      <c r="O91" s="61" t="str">
        <f>VLOOKUP(A91,'1.Loading'!A:R,3,FALSE)</f>
        <v>SWSP</v>
      </c>
      <c r="P91" s="61" t="str">
        <f>VLOOKUP(A91,'1.Loading'!A:R,4,FALSE)</f>
        <v>2609N</v>
      </c>
      <c r="Q91" s="61" t="str">
        <f>VLOOKUP(D91,'2.Bookinglist'!A:CT,12,FALSE)</f>
        <v>BTS</v>
      </c>
      <c r="R91" s="60" t="str">
        <f>IF(LEFT(K91,2)="22","20'","40'")</f>
        <v>40'</v>
      </c>
      <c r="S91" s="185" t="n"/>
      <c r="T91" s="61" t="str">
        <f>VLOOKUP(A91,'1.Loading'!A:R,2,FALSE)</f>
        <v>2026-10-08</v>
      </c>
      <c r="U91" s="63">
        <f>T91-S91</f>
        <v>46303</v>
      </c>
      <c r="V91" s="186" t="n"/>
      <c r="W91" s="61" t="str">
        <f>VLOOKUP(A91,'3.GateMove'!A:D,4,FALSE)</f>
        <v>2026-10-04</v>
      </c>
      <c r="X91" s="63">
        <f>((T91-W91)+1)</f>
        <v>5</v>
      </c>
      <c r="Y91" s="64">
        <f>IF(AND(OR(C91="BKK01",C91="BKK04"),L91="CFS/CY"),0,IF(M91="DG",1,IF(LEFT(C91,3)="LCH",7,IF(C91="BKK02",5,3))))</f>
        <v>3</v>
      </c>
      <c r="Z91" s="63">
        <f>IF(IF(AND(AC91="TML",AB91&gt;0),((T91-W91)+1)-AB91,((T91-W91)+1)-Y91)&gt;0,IF(AND(AC91="TML",AB91&gt;0),((T91-W91)+1)-AB91,((T91-W91)+1)-Y91),0)</f>
        <v>2</v>
      </c>
      <c r="AA91" s="187">
        <f>IF(AND(B91="G1",M91=""),IF(R91="20'",
VLOOKUP(Z91,Charge!$K$2:$M$5,2,TRUE)+(Z91-VLOOKUP(Z91,Charge!$K$2:$M$5,1,TRUE))*VLOOKUP(Z91,Charge!$K$2:$M$5,3,TRUE),
VLOOKUP(Z91,Charge!$N$2:$P$5,2,TRUE)+(Z91-VLOOKUP(Z91,Charge!$N$2:$P$5,1,TRUE))*VLOOKUP(Z91,Charge!$N$2:$P$5,3,TRUE)),
IF(AND(B91="G1",M91="DG"),IF(R91="20'",
VLOOKUP(Z91,Charge!$R$2:$T$5,2,TRUE)+(Z91-VLOOKUP(Z91,Charge!$R$2:$T$5,1,TRUE))*VLOOKUP(Z91,Charge!$R$2:$T$5,3,TRUE),
VLOOKUP(Z91,Charge!$U$2:$W$5,2,TRUE)+(Z91-VLOOKUP(Z91,Charge!$U$2:$W$5,1,TRUE))*VLOOKUP(Z91,Charge!$U$2:$W$5,3,TRUE)),
IF(AND(B91="G3",M91=""),IF(R91="20'",
VLOOKUP(Z91,Charge!$K$18:$M$21,2,TRUE)+(Z91-VLOOKUP(Z91,Charge!$K$18:$M$21,1,TRUE))*VLOOKUP(Z91,Charge!$K$18:$M$21,3,TRUE),
VLOOKUP(Z91,Charge!$N$18:$P$21,2,TRUE)+(Z91-VLOOKUP(Z91,Charge!$N$18:$P$21,1,TRUE))*VLOOKUP(Z91,Charge!$N$18:$P$21,3,TRUE)),
IF(AND(B91="G3",M91="DG"),IF(R91="20'",
VLOOKUP(Z91,Charge!$R$18:$T$21,2,TRUE)+(Z91-VLOOKUP(Z91,Charge!$R$18:$T$21,1,TRUE))*VLOOKUP(Z91,Charge!$R$18:$T$21,3,TRUE),
VLOOKUP(Z91,Charge!$U$18:$W$21,2,TRUE)+(Z91-VLOOKUP(Z91,Charge!$U$18:$W$21,1,TRUE))*VLOOKUP(Z91,Charge!$U$18:$W$21,3,TRUE)),
IF(AND(B91="G2",M91=""),IF(R91="20'",
VLOOKUP(Z91,Charge!$K$9:$M$12,2,TRUE)+(Z91-VLOOKUP(Z91,Charge!$K$9:$M$12,1,TRUE))*VLOOKUP(Z91,Charge!$K$9:$M$12,3,TRUE),
VLOOKUP(Z91,Charge!$N$9:$P$12,2,TRUE)+(Z91-VLOOKUP(Z91,Charge!$N$9:$P$12,1,TRUE))*VLOOKUP(Z91,Charge!$N$9:$P$12,3,TRUE)),
IF(AND(B91="G2",M91="DG"),IF(R91="20'",
VLOOKUP(Z91,Charge!$R$9:$T$12,2,TRUE)+(Z91-VLOOKUP(Z91,Charge!$R$9:$T$12,1,TRUE))*VLOOKUP(Z91,Charge!$R$9:$T$12,3,TRUE),
VLOOKUP(Z91,Charge!$U$9:$W$12,2,TRUE)+(Z91-VLOOKUP(Z91,Charge!$U$9:$W$12,1,TRUE))*VLOOKUP(Z91,Charge!$U$9:$W$12,3,TRUE)),IF(AND(B91="G4",M91=""),IF(R91="20'",Z91*Charge!$M$25,Z91*Charge!$P$25),IF(AND(B91="G4",M91="DG"),IF(R91="20'",Z91*Charge!$T$25,Z91*Charge!$W$25),0))))))))</f>
        <v>640</v>
      </c>
      <c r="AB91" s="184" t="n"/>
      <c r="AC91" s="184" t="n"/>
      <c r="AD91" s="60">
        <f>IF(M91="DG",3,IF(N91="RF",3,5))+IF(AND(LEFT(C91,3)="BKK",N91="RF",Q91="KTS"),1,0)+IF(Q91="KHS",1,0)</f>
        <v>5</v>
      </c>
      <c r="AE91" s="63">
        <f>(T91-V91)+1</f>
        <v>46304</v>
      </c>
      <c r="AF91" s="63">
        <f>IF(AB91&gt;IF((V91-W91)&gt;0,V91-W91,0),0,IF(AB91&lt;IF((V91-W91)&gt;0,V91-W91,0),IF((V91-W91)&gt;0,V91-W91,0)-AB91,IF((V91-W91)&gt;0,V91-W91,0)))</f>
        <v>0</v>
      </c>
      <c r="AG91" s="187">
        <f>IF(AND(M91=""),IF(R91="20'",
VLOOKUP(AF91,Charge!$K$31:$M$34,2,TRUE)+(AF91-VLOOKUP(AF91,Charge!$K$31:$M$34,1,TRUE))*VLOOKUP(AF91,Charge!$K$31:$M$34,3,TRUE),
VLOOKUP(AF91,Charge!$N$31:$P$34,2,TRUE)+(AF91-VLOOKUP(AF91,Charge!$N$31:$P$34,1,TRUE))*VLOOKUP(AF91,Charge!$N$31:$P$34,3,TRUE)),
IF(AND(M91="DG"),IF(R91="20'",
VLOOKUP(AF91,Charge!$R$31:$T$34,2,TRUE)+(AF91-VLOOKUP(AF91,Charge!$R$31:$T$34,1,TRUE))*VLOOKUP(AF91,Charge!$R$31:$T$34,3,TRUE),
VLOOKUP(AF91,Charge!$U$31:$W$34,2,TRUE)+(AF91-VLOOKUP(AF91,Charge!$U$31:$W$34,1,TRUE))*VLOOKUP(AF91,Charge!$U$31:$W$34,3,TRUE)),0))</f>
        <v>0</v>
      </c>
      <c r="AH91" s="65" t="n"/>
      <c r="AI91" s="65">
        <f>AA91-AH91</f>
        <v>640</v>
      </c>
      <c r="AJ91" s="188" t="n"/>
      <c r="AK91" s="62" t="str">
        <f>VLOOKUP(D91,'2.Bookinglist'!A:CT,40,FALSE)</f>
        <v>Sukunpoj Damrongying</v>
      </c>
      <c r="AL91" s="60" t="str">
        <f>VLOOKUP(D91,'2.Bookinglist'!A:CW,101,FALSE)</f>
        <v>2026-10-07</v>
      </c>
      <c r="AM91" s="60" t="str">
        <f>VLOOKUP(D91,'2.Bookinglist'!A:BK,63,FALSE)</f>
        <v>BKK27</v>
      </c>
      <c r="AN91" s="62" t="str">
        <f>VLOOKUP(D91,'2.Bookinglist'!A:AZ,52,FALSE)</f>
        <v>Pickup : 2026-09-29, Return : 2026-10-01 </v>
      </c>
      <c r="AO91" s="62">
        <f>VLOOKUP(D91,'2.Bookinglist'!A:CY,103,FALSE)</f>
        <v>0</v>
      </c>
    </row>
    <row r="92" ht="12.95" customHeight="1">
      <c r="A92" s="96" t="inlineStr">
        <is>
          <t>SKHU8705670</t>
        </is>
      </c>
      <c r="B92" s="184" t="str">
        <f>IF(C92=Charge!$M$1,Charge!$J$1,IF(C92=Charge!$M$23,Charge!$J$23,IF(C92=Charge!$M$17,Charge!$J$17,IF(C92=Charge!$N$17,Charge!$J$17,Charge!$J$7))))</f>
        <v>G3</v>
      </c>
      <c r="C92" s="61" t="str">
        <f>VLOOKUP(A92,'1.Loading'!A:R,14,FALSE)</f>
        <v>BKK04</v>
      </c>
      <c r="D92" s="61" t="str">
        <f>VLOOKUP(A92,'1.Loading'!A:R,17,FALSE)</f>
        <v>HASLS22260802510</v>
      </c>
      <c r="E92" s="62" t="str">
        <f>VLOOKUP(D92,'2.Bookinglist'!A:CT,27,FALSE)</f>
        <v>BEE LOGISTICS (THAILAND) CO., LTD.</v>
      </c>
      <c r="F92" s="62" t="str">
        <f>VLOOKUP(D92,'2.Bookinglist'!A:CT,28,FALSE)</f>
        <v>DEESTONE CORPORATION PUBLIC COMPANY LIMITED</v>
      </c>
      <c r="G92" s="60">
        <f>VLOOKUP(D92,'2.Bookinglist'!A:E,5,FALSE)</f>
        <v>0</v>
      </c>
      <c r="H92" s="61" t="str">
        <f>VLOOKUP(D92,'2.Bookinglist'!A:CT,15,FALSE)</f>
        <v>THBKK</v>
      </c>
      <c r="I92" s="61" t="str">
        <f>VLOOKUP(D92,'2.Bookinglist'!A:CT,19,FALSE)</f>
        <v>VNSGN</v>
      </c>
      <c r="J92" s="61">
        <f>VLOOKUP(D92,'2.Bookinglist'!A:CT,26,FALSE)</f>
        <v>0</v>
      </c>
      <c r="K92" s="61" t="str">
        <f>VLOOKUP(A92,'1.Loading'!A:R,5,FALSE)</f>
        <v>45GP</v>
      </c>
      <c r="L92" s="60" t="str">
        <f>VLOOKUP(D92,'2.Bookinglist'!A:CT,85,FALSE)</f>
        <v>CY/CY</v>
      </c>
      <c r="M92" s="60" t="str">
        <f>IF(VLOOKUP(D92,'2.Bookinglist'!A:CT,43,FALSE)=0,"","DG")</f>
        <v/>
      </c>
      <c r="N92" s="60" t="str">
        <f>IF(RIGHT(K92,2)="RE","RF","")</f>
        <v/>
      </c>
      <c r="O92" s="61" t="str">
        <f>VLOOKUP(A92,'1.Loading'!A:R,3,FALSE)</f>
        <v>SWSP</v>
      </c>
      <c r="P92" s="61" t="str">
        <f>VLOOKUP(A92,'1.Loading'!A:R,4,FALSE)</f>
        <v>2609N</v>
      </c>
      <c r="Q92" s="61" t="str">
        <f>VLOOKUP(D92,'2.Bookinglist'!A:CT,12,FALSE)</f>
        <v>BTS</v>
      </c>
      <c r="R92" s="60" t="str">
        <f>IF(LEFT(K92,2)="22","20'","40'")</f>
        <v>40'</v>
      </c>
      <c r="S92" s="185" t="n"/>
      <c r="T92" s="61" t="str">
        <f>VLOOKUP(A92,'1.Loading'!A:R,2,FALSE)</f>
        <v>2026-10-08</v>
      </c>
      <c r="U92" s="63">
        <f>T92-S92</f>
        <v>46303</v>
      </c>
      <c r="V92" s="186" t="n"/>
      <c r="W92" s="61" t="str">
        <f>VLOOKUP(A92,'3.GateMove'!A:D,4,FALSE)</f>
        <v>2026-10-01</v>
      </c>
      <c r="X92" s="63">
        <f>((T92-W92)+1)</f>
        <v>8</v>
      </c>
      <c r="Y92" s="64">
        <f>IF(AND(OR(C92="BKK01",C92="BKK04"),L92="CFS/CY"),0,IF(M92="DG",1,IF(LEFT(C92,3)="LCH",7,IF(C92="BKK02",5,3))))</f>
        <v>3</v>
      </c>
      <c r="Z92" s="63">
        <f>IF(IF(AND(AC92="TML",AB92&gt;0),((T92-W92)+1)-AB92,((T92-W92)+1)-Y92)&gt;0,IF(AND(AC92="TML",AB92&gt;0),((T92-W92)+1)-AB92,((T92-W92)+1)-Y92),0)</f>
        <v>5</v>
      </c>
      <c r="AA92" s="187">
        <f>IF(AND(B92="G1",M92=""),IF(R92="20'",
VLOOKUP(Z92,Charge!$K$2:$M$5,2,TRUE)+(Z92-VLOOKUP(Z92,Charge!$K$2:$M$5,1,TRUE))*VLOOKUP(Z92,Charge!$K$2:$M$5,3,TRUE),
VLOOKUP(Z92,Charge!$N$2:$P$5,2,TRUE)+(Z92-VLOOKUP(Z92,Charge!$N$2:$P$5,1,TRUE))*VLOOKUP(Z92,Charge!$N$2:$P$5,3,TRUE)),
IF(AND(B92="G1",M92="DG"),IF(R92="20'",
VLOOKUP(Z92,Charge!$R$2:$T$5,2,TRUE)+(Z92-VLOOKUP(Z92,Charge!$R$2:$T$5,1,TRUE))*VLOOKUP(Z92,Charge!$R$2:$T$5,3,TRUE),
VLOOKUP(Z92,Charge!$U$2:$W$5,2,TRUE)+(Z92-VLOOKUP(Z92,Charge!$U$2:$W$5,1,TRUE))*VLOOKUP(Z92,Charge!$U$2:$W$5,3,TRUE)),
IF(AND(B92="G3",M92=""),IF(R92="20'",
VLOOKUP(Z92,Charge!$K$18:$M$21,2,TRUE)+(Z92-VLOOKUP(Z92,Charge!$K$18:$M$21,1,TRUE))*VLOOKUP(Z92,Charge!$K$18:$M$21,3,TRUE),
VLOOKUP(Z92,Charge!$N$18:$P$21,2,TRUE)+(Z92-VLOOKUP(Z92,Charge!$N$18:$P$21,1,TRUE))*VLOOKUP(Z92,Charge!$N$18:$P$21,3,TRUE)),
IF(AND(B92="G3",M92="DG"),IF(R92="20'",
VLOOKUP(Z92,Charge!$R$18:$T$21,2,TRUE)+(Z92-VLOOKUP(Z92,Charge!$R$18:$T$21,1,TRUE))*VLOOKUP(Z92,Charge!$R$18:$T$21,3,TRUE),
VLOOKUP(Z92,Charge!$U$18:$W$21,2,TRUE)+(Z92-VLOOKUP(Z92,Charge!$U$18:$W$21,1,TRUE))*VLOOKUP(Z92,Charge!$U$18:$W$21,3,TRUE)),
IF(AND(B92="G2",M92=""),IF(R92="20'",
VLOOKUP(Z92,Charge!$K$9:$M$12,2,TRUE)+(Z92-VLOOKUP(Z92,Charge!$K$9:$M$12,1,TRUE))*VLOOKUP(Z92,Charge!$K$9:$M$12,3,TRUE),
VLOOKUP(Z92,Charge!$N$9:$P$12,2,TRUE)+(Z92-VLOOKUP(Z92,Charge!$N$9:$P$12,1,TRUE))*VLOOKUP(Z92,Charge!$N$9:$P$12,3,TRUE)),
IF(AND(B92="G2",M92="DG"),IF(R92="20'",
VLOOKUP(Z92,Charge!$R$9:$T$12,2,TRUE)+(Z92-VLOOKUP(Z92,Charge!$R$9:$T$12,1,TRUE))*VLOOKUP(Z92,Charge!$R$9:$T$12,3,TRUE),
VLOOKUP(Z92,Charge!$U$9:$W$12,2,TRUE)+(Z92-VLOOKUP(Z92,Charge!$U$9:$W$12,1,TRUE))*VLOOKUP(Z92,Charge!$U$9:$W$12,3,TRUE)),IF(AND(B92="G4",M92=""),IF(R92="20'",Z92*Charge!$M$25,Z92*Charge!$P$25),IF(AND(B92="G4",M92="DG"),IF(R92="20'",Z92*Charge!$T$25,Z92*Charge!$W$25),0))))))))</f>
        <v>1600</v>
      </c>
      <c r="AB92" s="184" t="n"/>
      <c r="AC92" s="184" t="n"/>
      <c r="AD92" s="60">
        <f>IF(M92="DG",3,IF(N92="RF",3,5))+IF(AND(LEFT(C92,3)="BKK",N92="RF",Q92="KTS"),1,0)+IF(Q92="KHS",1,0)</f>
        <v>5</v>
      </c>
      <c r="AE92" s="63">
        <f>(T92-V92)+1</f>
        <v>46304</v>
      </c>
      <c r="AF92" s="63">
        <f>IF(AB92&gt;IF((V92-W92)&gt;0,V92-W92,0),0,IF(AB92&lt;IF((V92-W92)&gt;0,V92-W92,0),IF((V92-W92)&gt;0,V92-W92,0)-AB92,IF((V92-W92)&gt;0,V92-W92,0)))</f>
        <v>0</v>
      </c>
      <c r="AG92" s="187">
        <f>IF(AND(M92=""),IF(R92="20'",
VLOOKUP(AF92,Charge!$K$31:$M$34,2,TRUE)+(AF92-VLOOKUP(AF92,Charge!$K$31:$M$34,1,TRUE))*VLOOKUP(AF92,Charge!$K$31:$M$34,3,TRUE),
VLOOKUP(AF92,Charge!$N$31:$P$34,2,TRUE)+(AF92-VLOOKUP(AF92,Charge!$N$31:$P$34,1,TRUE))*VLOOKUP(AF92,Charge!$N$31:$P$34,3,TRUE)),
IF(AND(M92="DG"),IF(R92="20'",
VLOOKUP(AF92,Charge!$R$31:$T$34,2,TRUE)+(AF92-VLOOKUP(AF92,Charge!$R$31:$T$34,1,TRUE))*VLOOKUP(AF92,Charge!$R$31:$T$34,3,TRUE),
VLOOKUP(AF92,Charge!$U$31:$W$34,2,TRUE)+(AF92-VLOOKUP(AF92,Charge!$U$31:$W$34,1,TRUE))*VLOOKUP(AF92,Charge!$U$31:$W$34,3,TRUE)),0))</f>
        <v>0</v>
      </c>
      <c r="AH92" s="65" t="n"/>
      <c r="AI92" s="65">
        <f>AA92-AH92</f>
        <v>1600</v>
      </c>
      <c r="AJ92" s="188" t="n"/>
      <c r="AK92" s="62" t="str">
        <f>VLOOKUP(D92,'2.Bookinglist'!A:CT,40,FALSE)</f>
        <v>Nustsireerach</v>
      </c>
      <c r="AL92" s="60" t="str">
        <f>VLOOKUP(D92,'2.Bookinglist'!A:CW,101,FALSE)</f>
        <v>2026-10-05</v>
      </c>
      <c r="AM92" s="60" t="str">
        <f>VLOOKUP(D92,'2.Bookinglist'!A:BK,63,FALSE)</f>
        <v>BKK25</v>
      </c>
      <c r="AN92" s="62" t="str">
        <f>VLOOKUP(D92,'2.Bookinglist'!A:AZ,52,FALSE)</f>
        <v>Pickup : 2026-09-28 Return : 2026-10-01</v>
      </c>
      <c r="AO92" s="62">
        <f>VLOOKUP(D92,'2.Bookinglist'!A:CY,103,FALSE)</f>
        <v>0</v>
      </c>
    </row>
    <row r="93" ht="12.95" customHeight="1">
      <c r="A93" s="96" t="inlineStr">
        <is>
          <t>SKHU8902089</t>
        </is>
      </c>
      <c r="B93" s="184" t="str">
        <f>IF(C93=Charge!$M$1,Charge!$J$1,IF(C93=Charge!$M$23,Charge!$J$23,IF(C93=Charge!$M$17,Charge!$J$17,IF(C93=Charge!$N$17,Charge!$J$17,Charge!$J$7))))</f>
        <v>G3</v>
      </c>
      <c r="C93" s="61" t="str">
        <f>VLOOKUP(A93,'1.Loading'!A:R,14,FALSE)</f>
        <v>BKK04</v>
      </c>
      <c r="D93" s="61" t="str">
        <f>VLOOKUP(A93,'1.Loading'!A:R,17,FALSE)</f>
        <v>HASLS22260901690</v>
      </c>
      <c r="E93" s="62" t="str">
        <f>VLOOKUP(D93,'2.Bookinglist'!A:CT,27,FALSE)</f>
        <v>BEE LOGISTICS (THAILAND) CO., LTD.</v>
      </c>
      <c r="F93" s="62" t="str">
        <f>VLOOKUP(D93,'2.Bookinglist'!A:CT,28,FALSE)</f>
        <v>DANONE SPECIALIZED NUTRITION (THAILAND) CO., LTD.</v>
      </c>
      <c r="G93" s="60">
        <f>VLOOKUP(D93,'2.Bookinglist'!A:E,5,FALSE)</f>
        <v>0</v>
      </c>
      <c r="H93" s="61" t="str">
        <f>VLOOKUP(D93,'2.Bookinglist'!A:CT,15,FALSE)</f>
        <v>THBKK</v>
      </c>
      <c r="I93" s="61" t="str">
        <f>VLOOKUP(D93,'2.Bookinglist'!A:CT,19,FALSE)</f>
        <v>VNSGN</v>
      </c>
      <c r="J93" s="61">
        <f>VLOOKUP(D93,'2.Bookinglist'!A:CT,26,FALSE)</f>
        <v>0</v>
      </c>
      <c r="K93" s="61" t="str">
        <f>VLOOKUP(A93,'1.Loading'!A:R,5,FALSE)</f>
        <v>45GP</v>
      </c>
      <c r="L93" s="60" t="str">
        <f>VLOOKUP(D93,'2.Bookinglist'!A:CT,85,FALSE)</f>
        <v>CY/CY</v>
      </c>
      <c r="M93" s="60" t="str">
        <f>IF(VLOOKUP(D93,'2.Bookinglist'!A:CT,43,FALSE)=0,"","DG")</f>
        <v/>
      </c>
      <c r="N93" s="60" t="str">
        <f>IF(RIGHT(K93,2)="RE","RF","")</f>
        <v/>
      </c>
      <c r="O93" s="61" t="str">
        <f>VLOOKUP(A93,'1.Loading'!A:R,3,FALSE)</f>
        <v>SWSP</v>
      </c>
      <c r="P93" s="61" t="str">
        <f>VLOOKUP(A93,'1.Loading'!A:R,4,FALSE)</f>
        <v>2609N</v>
      </c>
      <c r="Q93" s="61" t="str">
        <f>VLOOKUP(D93,'2.Bookinglist'!A:CT,12,FALSE)</f>
        <v>BTS</v>
      </c>
      <c r="R93" s="60" t="str">
        <f>IF(LEFT(K93,2)="22","20'","40'")</f>
        <v>40'</v>
      </c>
      <c r="S93" s="185" t="n"/>
      <c r="T93" s="61" t="str">
        <f>VLOOKUP(A93,'1.Loading'!A:R,2,FALSE)</f>
        <v>2026-10-08</v>
      </c>
      <c r="U93" s="63">
        <f>T93-S93</f>
        <v>46303</v>
      </c>
      <c r="V93" s="186" t="n"/>
      <c r="W93" s="61" t="str">
        <f>VLOOKUP(A93,'3.GateMove'!A:D,4,FALSE)</f>
        <v>2026-10-03</v>
      </c>
      <c r="X93" s="63">
        <f>((T93-W93)+1)</f>
        <v>6</v>
      </c>
      <c r="Y93" s="64">
        <f>IF(AND(OR(C93="BKK01",C93="BKK04"),L93="CFS/CY"),0,IF(M93="DG",1,IF(LEFT(C93,3)="LCH",7,IF(C93="BKK02",5,3))))</f>
        <v>3</v>
      </c>
      <c r="Z93" s="63">
        <f>IF(IF(AND(AC93="TML",AB93&gt;0),((T93-W93)+1)-AB93,((T93-W93)+1)-Y93)&gt;0,IF(AND(AC93="TML",AB93&gt;0),((T93-W93)+1)-AB93,((T93-W93)+1)-Y93),0)</f>
        <v>3</v>
      </c>
      <c r="AA93" s="187">
        <f>IF(AND(B93="G1",M93=""),IF(R93="20'",
VLOOKUP(Z93,Charge!$K$2:$M$5,2,TRUE)+(Z93-VLOOKUP(Z93,Charge!$K$2:$M$5,1,TRUE))*VLOOKUP(Z93,Charge!$K$2:$M$5,3,TRUE),
VLOOKUP(Z93,Charge!$N$2:$P$5,2,TRUE)+(Z93-VLOOKUP(Z93,Charge!$N$2:$P$5,1,TRUE))*VLOOKUP(Z93,Charge!$N$2:$P$5,3,TRUE)),
IF(AND(B93="G1",M93="DG"),IF(R93="20'",
VLOOKUP(Z93,Charge!$R$2:$T$5,2,TRUE)+(Z93-VLOOKUP(Z93,Charge!$R$2:$T$5,1,TRUE))*VLOOKUP(Z93,Charge!$R$2:$T$5,3,TRUE),
VLOOKUP(Z93,Charge!$U$2:$W$5,2,TRUE)+(Z93-VLOOKUP(Z93,Charge!$U$2:$W$5,1,TRUE))*VLOOKUP(Z93,Charge!$U$2:$W$5,3,TRUE)),
IF(AND(B93="G3",M93=""),IF(R93="20'",
VLOOKUP(Z93,Charge!$K$18:$M$21,2,TRUE)+(Z93-VLOOKUP(Z93,Charge!$K$18:$M$21,1,TRUE))*VLOOKUP(Z93,Charge!$K$18:$M$21,3,TRUE),
VLOOKUP(Z93,Charge!$N$18:$P$21,2,TRUE)+(Z93-VLOOKUP(Z93,Charge!$N$18:$P$21,1,TRUE))*VLOOKUP(Z93,Charge!$N$18:$P$21,3,TRUE)),
IF(AND(B93="G3",M93="DG"),IF(R93="20'",
VLOOKUP(Z93,Charge!$R$18:$T$21,2,TRUE)+(Z93-VLOOKUP(Z93,Charge!$R$18:$T$21,1,TRUE))*VLOOKUP(Z93,Charge!$R$18:$T$21,3,TRUE),
VLOOKUP(Z93,Charge!$U$18:$W$21,2,TRUE)+(Z93-VLOOKUP(Z93,Charge!$U$18:$W$21,1,TRUE))*VLOOKUP(Z93,Charge!$U$18:$W$21,3,TRUE)),
IF(AND(B93="G2",M93=""),IF(R93="20'",
VLOOKUP(Z93,Charge!$K$9:$M$12,2,TRUE)+(Z93-VLOOKUP(Z93,Charge!$K$9:$M$12,1,TRUE))*VLOOKUP(Z93,Charge!$K$9:$M$12,3,TRUE),
VLOOKUP(Z93,Charge!$N$9:$P$12,2,TRUE)+(Z93-VLOOKUP(Z93,Charge!$N$9:$P$12,1,TRUE))*VLOOKUP(Z93,Charge!$N$9:$P$12,3,TRUE)),
IF(AND(B93="G2",M93="DG"),IF(R93="20'",
VLOOKUP(Z93,Charge!$R$9:$T$12,2,TRUE)+(Z93-VLOOKUP(Z93,Charge!$R$9:$T$12,1,TRUE))*VLOOKUP(Z93,Charge!$R$9:$T$12,3,TRUE),
VLOOKUP(Z93,Charge!$U$9:$W$12,2,TRUE)+(Z93-VLOOKUP(Z93,Charge!$U$9:$W$12,1,TRUE))*VLOOKUP(Z93,Charge!$U$9:$W$12,3,TRUE)),IF(AND(B93="G4",M93=""),IF(R93="20'",Z93*Charge!$M$25,Z93*Charge!$P$25),IF(AND(B93="G4",M93="DG"),IF(R93="20'",Z93*Charge!$T$25,Z93*Charge!$W$25),0))))))))</f>
        <v>960</v>
      </c>
      <c r="AB93" s="184" t="n"/>
      <c r="AC93" s="184" t="n"/>
      <c r="AD93" s="60">
        <f>IF(M93="DG",3,IF(N93="RF",3,5))+IF(AND(LEFT(C93,3)="BKK",N93="RF",Q93="KTS"),1,0)+IF(Q93="KHS",1,0)</f>
        <v>5</v>
      </c>
      <c r="AE93" s="63">
        <f>(T93-V93)+1</f>
        <v>46304</v>
      </c>
      <c r="AF93" s="63">
        <f>IF(AB93&gt;IF((V93-W93)&gt;0,V93-W93,0),0,IF(AB93&lt;IF((V93-W93)&gt;0,V93-W93,0),IF((V93-W93)&gt;0,V93-W93,0)-AB93,IF((V93-W93)&gt;0,V93-W93,0)))</f>
        <v>0</v>
      </c>
      <c r="AG93" s="187">
        <f>IF(AND(M93=""),IF(R93="20'",
VLOOKUP(AF93,Charge!$K$31:$M$34,2,TRUE)+(AF93-VLOOKUP(AF93,Charge!$K$31:$M$34,1,TRUE))*VLOOKUP(AF93,Charge!$K$31:$M$34,3,TRUE),
VLOOKUP(AF93,Charge!$N$31:$P$34,2,TRUE)+(AF93-VLOOKUP(AF93,Charge!$N$31:$P$34,1,TRUE))*VLOOKUP(AF93,Charge!$N$31:$P$34,3,TRUE)),
IF(AND(M93="DG"),IF(R93="20'",
VLOOKUP(AF93,Charge!$R$31:$T$34,2,TRUE)+(AF93-VLOOKUP(AF93,Charge!$R$31:$T$34,1,TRUE))*VLOOKUP(AF93,Charge!$R$31:$T$34,3,TRUE),
VLOOKUP(AF93,Charge!$U$31:$W$34,2,TRUE)+(AF93-VLOOKUP(AF93,Charge!$U$31:$W$34,1,TRUE))*VLOOKUP(AF93,Charge!$U$31:$W$34,3,TRUE)),0))</f>
        <v>0</v>
      </c>
      <c r="AH93" s="65" t="n"/>
      <c r="AI93" s="65">
        <f>AA93-AH93</f>
        <v>960</v>
      </c>
      <c r="AJ93" s="188" t="n"/>
      <c r="AK93" s="62" t="str">
        <f>VLOOKUP(D93,'2.Bookinglist'!A:CT,40,FALSE)</f>
        <v>Nustsireerach</v>
      </c>
      <c r="AL93" s="60" t="str">
        <f>VLOOKUP(D93,'2.Bookinglist'!A:CW,101,FALSE)</f>
        <v>2026-10-04</v>
      </c>
      <c r="AM93" s="60" t="str">
        <f>VLOOKUP(D93,'2.Bookinglist'!A:BK,63,FALSE)</f>
        <v>BKK27</v>
      </c>
      <c r="AN93" s="62" t="str">
        <f>VLOOKUP(D93,'2.Bookinglist'!A:AZ,52,FALSE)</f>
        <v>Pickup : 2026-10-01, Return : 2026-10-03</v>
      </c>
      <c r="AO93" s="62">
        <f>VLOOKUP(D93,'2.Bookinglist'!A:CY,103,FALSE)</f>
        <v>0</v>
      </c>
    </row>
    <row r="94" ht="12.95" customHeight="1">
      <c r="A94" s="96" t="inlineStr">
        <is>
          <t>SKHU9110949</t>
        </is>
      </c>
      <c r="B94" s="184" t="str">
        <f>IF(C94=Charge!$M$1,Charge!$J$1,IF(C94=Charge!$M$23,Charge!$J$23,IF(C94=Charge!$M$17,Charge!$J$17,IF(C94=Charge!$N$17,Charge!$J$17,Charge!$J$7))))</f>
        <v>G3</v>
      </c>
      <c r="C94" s="61" t="str">
        <f>VLOOKUP(A94,'1.Loading'!A:R,14,FALSE)</f>
        <v>BKK04</v>
      </c>
      <c r="D94" s="61" t="str">
        <f>VLOOKUP(A94,'1.Loading'!A:R,17,FALSE)</f>
        <v>HASLS22260902260</v>
      </c>
      <c r="E94" s="62" t="str">
        <f>VLOOKUP(D94,'2.Bookinglist'!A:CT,27,FALSE)</f>
        <v>CAPRICORN LOGISTICS CO., LTD.</v>
      </c>
      <c r="F94" s="62" t="str">
        <f>VLOOKUP(D94,'2.Bookinglist'!A:CT,28,FALSE)</f>
        <v>MITSUBISHI HEAVY INDUSTRIES - MAHAJAK AIR CONDITIONERS CO., </v>
      </c>
      <c r="G94" s="60">
        <f>VLOOKUP(D94,'2.Bookinglist'!A:E,5,FALSE)</f>
        <v>0</v>
      </c>
      <c r="H94" s="61" t="str">
        <f>VLOOKUP(D94,'2.Bookinglist'!A:CT,15,FALSE)</f>
        <v>THBKK</v>
      </c>
      <c r="I94" s="61" t="str">
        <f>VLOOKUP(D94,'2.Bookinglist'!A:CT,19,FALSE)</f>
        <v>VNSGN</v>
      </c>
      <c r="J94" s="61">
        <f>VLOOKUP(D94,'2.Bookinglist'!A:CT,26,FALSE)</f>
        <v>0</v>
      </c>
      <c r="K94" s="61" t="str">
        <f>VLOOKUP(A94,'1.Loading'!A:R,5,FALSE)</f>
        <v>45GP</v>
      </c>
      <c r="L94" s="60" t="str">
        <f>VLOOKUP(D94,'2.Bookinglist'!A:CT,85,FALSE)</f>
        <v>CY/CY</v>
      </c>
      <c r="M94" s="60" t="str">
        <f>IF(VLOOKUP(D94,'2.Bookinglist'!A:CT,43,FALSE)=0,"","DG")</f>
        <v/>
      </c>
      <c r="N94" s="60" t="str">
        <f>IF(RIGHT(K94,2)="RE","RF","")</f>
        <v/>
      </c>
      <c r="O94" s="61" t="str">
        <f>VLOOKUP(A94,'1.Loading'!A:R,3,FALSE)</f>
        <v>SWSP</v>
      </c>
      <c r="P94" s="61" t="str">
        <f>VLOOKUP(A94,'1.Loading'!A:R,4,FALSE)</f>
        <v>2609N</v>
      </c>
      <c r="Q94" s="61" t="str">
        <f>VLOOKUP(D94,'2.Bookinglist'!A:CT,12,FALSE)</f>
        <v>BTS</v>
      </c>
      <c r="R94" s="60" t="str">
        <f>IF(LEFT(K94,2)="22","20'","40'")</f>
        <v>40'</v>
      </c>
      <c r="S94" s="185" t="n"/>
      <c r="T94" s="61" t="str">
        <f>VLOOKUP(A94,'1.Loading'!A:R,2,FALSE)</f>
        <v>2026-10-08</v>
      </c>
      <c r="U94" s="63">
        <f>T94-S94</f>
        <v>46303</v>
      </c>
      <c r="V94" s="186" t="n"/>
      <c r="W94" s="61" t="str">
        <f>VLOOKUP(A94,'3.GateMove'!A:D,4,FALSE)</f>
        <v>2026-10-04</v>
      </c>
      <c r="X94" s="63">
        <f>((T94-W94)+1)</f>
        <v>5</v>
      </c>
      <c r="Y94" s="64">
        <f>IF(AND(OR(C94="BKK01",C94="BKK04"),L94="CFS/CY"),0,IF(M94="DG",1,IF(LEFT(C94,3)="LCH",7,IF(C94="BKK02",5,3))))</f>
        <v>3</v>
      </c>
      <c r="Z94" s="63">
        <f>IF(IF(AND(AC94="TML",AB94&gt;0),((T94-W94)+1)-AB94,((T94-W94)+1)-Y94)&gt;0,IF(AND(AC94="TML",AB94&gt;0),((T94-W94)+1)-AB94,((T94-W94)+1)-Y94),0)</f>
        <v>2</v>
      </c>
      <c r="AA94" s="187">
        <f>IF(AND(B94="G1",M94=""),IF(R94="20'",
VLOOKUP(Z94,Charge!$K$2:$M$5,2,TRUE)+(Z94-VLOOKUP(Z94,Charge!$K$2:$M$5,1,TRUE))*VLOOKUP(Z94,Charge!$K$2:$M$5,3,TRUE),
VLOOKUP(Z94,Charge!$N$2:$P$5,2,TRUE)+(Z94-VLOOKUP(Z94,Charge!$N$2:$P$5,1,TRUE))*VLOOKUP(Z94,Charge!$N$2:$P$5,3,TRUE)),
IF(AND(B94="G1",M94="DG"),IF(R94="20'",
VLOOKUP(Z94,Charge!$R$2:$T$5,2,TRUE)+(Z94-VLOOKUP(Z94,Charge!$R$2:$T$5,1,TRUE))*VLOOKUP(Z94,Charge!$R$2:$T$5,3,TRUE),
VLOOKUP(Z94,Charge!$U$2:$W$5,2,TRUE)+(Z94-VLOOKUP(Z94,Charge!$U$2:$W$5,1,TRUE))*VLOOKUP(Z94,Charge!$U$2:$W$5,3,TRUE)),
IF(AND(B94="G3",M94=""),IF(R94="20'",
VLOOKUP(Z94,Charge!$K$18:$M$21,2,TRUE)+(Z94-VLOOKUP(Z94,Charge!$K$18:$M$21,1,TRUE))*VLOOKUP(Z94,Charge!$K$18:$M$21,3,TRUE),
VLOOKUP(Z94,Charge!$N$18:$P$21,2,TRUE)+(Z94-VLOOKUP(Z94,Charge!$N$18:$P$21,1,TRUE))*VLOOKUP(Z94,Charge!$N$18:$P$21,3,TRUE)),
IF(AND(B94="G3",M94="DG"),IF(R94="20'",
VLOOKUP(Z94,Charge!$R$18:$T$21,2,TRUE)+(Z94-VLOOKUP(Z94,Charge!$R$18:$T$21,1,TRUE))*VLOOKUP(Z94,Charge!$R$18:$T$21,3,TRUE),
VLOOKUP(Z94,Charge!$U$18:$W$21,2,TRUE)+(Z94-VLOOKUP(Z94,Charge!$U$18:$W$21,1,TRUE))*VLOOKUP(Z94,Charge!$U$18:$W$21,3,TRUE)),
IF(AND(B94="G2",M94=""),IF(R94="20'",
VLOOKUP(Z94,Charge!$K$9:$M$12,2,TRUE)+(Z94-VLOOKUP(Z94,Charge!$K$9:$M$12,1,TRUE))*VLOOKUP(Z94,Charge!$K$9:$M$12,3,TRUE),
VLOOKUP(Z94,Charge!$N$9:$P$12,2,TRUE)+(Z94-VLOOKUP(Z94,Charge!$N$9:$P$12,1,TRUE))*VLOOKUP(Z94,Charge!$N$9:$P$12,3,TRUE)),
IF(AND(B94="G2",M94="DG"),IF(R94="20'",
VLOOKUP(Z94,Charge!$R$9:$T$12,2,TRUE)+(Z94-VLOOKUP(Z94,Charge!$R$9:$T$12,1,TRUE))*VLOOKUP(Z94,Charge!$R$9:$T$12,3,TRUE),
VLOOKUP(Z94,Charge!$U$9:$W$12,2,TRUE)+(Z94-VLOOKUP(Z94,Charge!$U$9:$W$12,1,TRUE))*VLOOKUP(Z94,Charge!$U$9:$W$12,3,TRUE)),IF(AND(B94="G4",M94=""),IF(R94="20'",Z94*Charge!$M$25,Z94*Charge!$P$25),IF(AND(B94="G4",M94="DG"),IF(R94="20'",Z94*Charge!$T$25,Z94*Charge!$W$25),0))))))))</f>
        <v>640</v>
      </c>
      <c r="AB94" s="184" t="n"/>
      <c r="AC94" s="184" t="n"/>
      <c r="AD94" s="60">
        <f>IF(M94="DG",3,IF(N94="RF",3,5))+IF(AND(LEFT(C94,3)="BKK",N94="RF",Q94="KTS"),1,0)+IF(Q94="KHS",1,0)</f>
        <v>5</v>
      </c>
      <c r="AE94" s="63">
        <f>(T94-V94)+1</f>
        <v>46304</v>
      </c>
      <c r="AF94" s="63">
        <f>IF(AB94&gt;IF((V94-W94)&gt;0,V94-W94,0),0,IF(AB94&lt;IF((V94-W94)&gt;0,V94-W94,0),IF((V94-W94)&gt;0,V94-W94,0)-AB94,IF((V94-W94)&gt;0,V94-W94,0)))</f>
        <v>0</v>
      </c>
      <c r="AG94" s="187">
        <f>IF(AND(M94=""),IF(R94="20'",
VLOOKUP(AF94,Charge!$K$31:$M$34,2,TRUE)+(AF94-VLOOKUP(AF94,Charge!$K$31:$M$34,1,TRUE))*VLOOKUP(AF94,Charge!$K$31:$M$34,3,TRUE),
VLOOKUP(AF94,Charge!$N$31:$P$34,2,TRUE)+(AF94-VLOOKUP(AF94,Charge!$N$31:$P$34,1,TRUE))*VLOOKUP(AF94,Charge!$N$31:$P$34,3,TRUE)),
IF(AND(M94="DG"),IF(R94="20'",
VLOOKUP(AF94,Charge!$R$31:$T$34,2,TRUE)+(AF94-VLOOKUP(AF94,Charge!$R$31:$T$34,1,TRUE))*VLOOKUP(AF94,Charge!$R$31:$T$34,3,TRUE),
VLOOKUP(AF94,Charge!$U$31:$W$34,2,TRUE)+(AF94-VLOOKUP(AF94,Charge!$U$31:$W$34,1,TRUE))*VLOOKUP(AF94,Charge!$U$31:$W$34,3,TRUE)),0))</f>
        <v>0</v>
      </c>
      <c r="AH94" s="65" t="n"/>
      <c r="AI94" s="65">
        <f>AA94-AH94</f>
        <v>640</v>
      </c>
      <c r="AJ94" s="188" t="n"/>
      <c r="AK94" s="62" t="str">
        <f>VLOOKUP(D94,'2.Bookinglist'!A:CT,40,FALSE)</f>
        <v>Sukunpoj Damrongying</v>
      </c>
      <c r="AL94" s="60" t="str">
        <f>VLOOKUP(D94,'2.Bookinglist'!A:CW,101,FALSE)</f>
        <v>2026-10-07</v>
      </c>
      <c r="AM94" s="60" t="str">
        <f>VLOOKUP(D94,'2.Bookinglist'!A:BK,63,FALSE)</f>
        <v>BKK27</v>
      </c>
      <c r="AN94" s="62" t="str">
        <f>VLOOKUP(D94,'2.Bookinglist'!A:AZ,52,FALSE)</f>
        <v>Pickup : 2026-09-29, Return : 2026-10-01 </v>
      </c>
      <c r="AO94" s="62">
        <f>VLOOKUP(D94,'2.Bookinglist'!A:CY,103,FALSE)</f>
        <v>0</v>
      </c>
    </row>
    <row r="95" ht="12.95" customHeight="1">
      <c r="A95" s="96" t="inlineStr">
        <is>
          <t>SKHU9415336</t>
        </is>
      </c>
      <c r="B95" s="184" t="str">
        <f>IF(C95=Charge!$M$1,Charge!$J$1,IF(C95=Charge!$M$23,Charge!$J$23,IF(C95=Charge!$M$17,Charge!$J$17,IF(C95=Charge!$N$17,Charge!$J$17,Charge!$J$7))))</f>
        <v>G3</v>
      </c>
      <c r="C95" s="61" t="str">
        <f>VLOOKUP(A95,'1.Loading'!A:R,14,FALSE)</f>
        <v>BKK04</v>
      </c>
      <c r="D95" s="61" t="str">
        <f>VLOOKUP(A95,'1.Loading'!A:R,17,FALSE)</f>
        <v>HASLS22260802437</v>
      </c>
      <c r="E95" s="62" t="str">
        <f>VLOOKUP(D95,'2.Bookinglist'!A:CT,27,FALSE)</f>
        <v>WOODWORKS THAI CO., LTD. (1980)</v>
      </c>
      <c r="F95" s="62" t="str">
        <f>VLOOKUP(D95,'2.Bookinglist'!A:CT,28,FALSE)</f>
        <v>WOODWORKS THAI CO., LTD. (1980)</v>
      </c>
      <c r="G95" s="60">
        <f>VLOOKUP(D95,'2.Bookinglist'!A:E,5,FALSE)</f>
        <v>0</v>
      </c>
      <c r="H95" s="61" t="str">
        <f>VLOOKUP(D95,'2.Bookinglist'!A:CT,15,FALSE)</f>
        <v>THBKK</v>
      </c>
      <c r="I95" s="61" t="str">
        <f>VLOOKUP(D95,'2.Bookinglist'!A:CT,19,FALSE)</f>
        <v>JPIMI</v>
      </c>
      <c r="J95" s="61" t="str">
        <f>VLOOKUP(D95,'2.Bookinglist'!A:CT,26,FALSE)</f>
        <v>KRPUS</v>
      </c>
      <c r="K95" s="61" t="str">
        <f>VLOOKUP(A95,'1.Loading'!A:R,5,FALSE)</f>
        <v>45GP</v>
      </c>
      <c r="L95" s="60" t="str">
        <f>VLOOKUP(D95,'2.Bookinglist'!A:CT,85,FALSE)</f>
        <v>CY/CY</v>
      </c>
      <c r="M95" s="60" t="str">
        <f>IF(VLOOKUP(D95,'2.Bookinglist'!A:CT,43,FALSE)=0,"","DG")</f>
        <v/>
      </c>
      <c r="N95" s="60" t="str">
        <f>IF(RIGHT(K95,2)="RE","RF","")</f>
        <v/>
      </c>
      <c r="O95" s="61" t="str">
        <f>VLOOKUP(A95,'1.Loading'!A:R,3,FALSE)</f>
        <v>SWSP</v>
      </c>
      <c r="P95" s="61" t="str">
        <f>VLOOKUP(A95,'1.Loading'!A:R,4,FALSE)</f>
        <v>2609N</v>
      </c>
      <c r="Q95" s="61" t="str">
        <f>VLOOKUP(D95,'2.Bookinglist'!A:CT,12,FALSE)</f>
        <v>BTS</v>
      </c>
      <c r="R95" s="60" t="str">
        <f>IF(LEFT(K95,2)="22","20'","40'")</f>
        <v>40'</v>
      </c>
      <c r="S95" s="185" t="n"/>
      <c r="T95" s="61" t="str">
        <f>VLOOKUP(A95,'1.Loading'!A:R,2,FALSE)</f>
        <v>2026-10-08</v>
      </c>
      <c r="U95" s="63">
        <f>T95-S95</f>
        <v>46303</v>
      </c>
      <c r="V95" s="186" t="n"/>
      <c r="W95" s="61" t="str">
        <f>VLOOKUP(A95,'3.GateMove'!A:D,4,FALSE)</f>
        <v>2026-10-02</v>
      </c>
      <c r="X95" s="63">
        <f>((T95-W95)+1)</f>
        <v>7</v>
      </c>
      <c r="Y95" s="64">
        <f>IF(AND(OR(C95="BKK01",C95="BKK04"),L95="CFS/CY"),0,IF(M95="DG",1,IF(LEFT(C95,3)="LCH",7,IF(C95="BKK02",5,3))))</f>
        <v>3</v>
      </c>
      <c r="Z95" s="63">
        <f>IF(IF(AND(AC95="TML",AB95&gt;0),((T95-W95)+1)-AB95,((T95-W95)+1)-Y95)&gt;0,IF(AND(AC95="TML",AB95&gt;0),((T95-W95)+1)-AB95,((T95-W95)+1)-Y95),0)</f>
        <v>4</v>
      </c>
      <c r="AA95" s="187">
        <f>IF(AND(B95="G1",M95=""),IF(R95="20'",
VLOOKUP(Z95,Charge!$K$2:$M$5,2,TRUE)+(Z95-VLOOKUP(Z95,Charge!$K$2:$M$5,1,TRUE))*VLOOKUP(Z95,Charge!$K$2:$M$5,3,TRUE),
VLOOKUP(Z95,Charge!$N$2:$P$5,2,TRUE)+(Z95-VLOOKUP(Z95,Charge!$N$2:$P$5,1,TRUE))*VLOOKUP(Z95,Charge!$N$2:$P$5,3,TRUE)),
IF(AND(B95="G1",M95="DG"),IF(R95="20'",
VLOOKUP(Z95,Charge!$R$2:$T$5,2,TRUE)+(Z95-VLOOKUP(Z95,Charge!$R$2:$T$5,1,TRUE))*VLOOKUP(Z95,Charge!$R$2:$T$5,3,TRUE),
VLOOKUP(Z95,Charge!$U$2:$W$5,2,TRUE)+(Z95-VLOOKUP(Z95,Charge!$U$2:$W$5,1,TRUE))*VLOOKUP(Z95,Charge!$U$2:$W$5,3,TRUE)),
IF(AND(B95="G3",M95=""),IF(R95="20'",
VLOOKUP(Z95,Charge!$K$18:$M$21,2,TRUE)+(Z95-VLOOKUP(Z95,Charge!$K$18:$M$21,1,TRUE))*VLOOKUP(Z95,Charge!$K$18:$M$21,3,TRUE),
VLOOKUP(Z95,Charge!$N$18:$P$21,2,TRUE)+(Z95-VLOOKUP(Z95,Charge!$N$18:$P$21,1,TRUE))*VLOOKUP(Z95,Charge!$N$18:$P$21,3,TRUE)),
IF(AND(B95="G3",M95="DG"),IF(R95="20'",
VLOOKUP(Z95,Charge!$R$18:$T$21,2,TRUE)+(Z95-VLOOKUP(Z95,Charge!$R$18:$T$21,1,TRUE))*VLOOKUP(Z95,Charge!$R$18:$T$21,3,TRUE),
VLOOKUP(Z95,Charge!$U$18:$W$21,2,TRUE)+(Z95-VLOOKUP(Z95,Charge!$U$18:$W$21,1,TRUE))*VLOOKUP(Z95,Charge!$U$18:$W$21,3,TRUE)),
IF(AND(B95="G2",M95=""),IF(R95="20'",
VLOOKUP(Z95,Charge!$K$9:$M$12,2,TRUE)+(Z95-VLOOKUP(Z95,Charge!$K$9:$M$12,1,TRUE))*VLOOKUP(Z95,Charge!$K$9:$M$12,3,TRUE),
VLOOKUP(Z95,Charge!$N$9:$P$12,2,TRUE)+(Z95-VLOOKUP(Z95,Charge!$N$9:$P$12,1,TRUE))*VLOOKUP(Z95,Charge!$N$9:$P$12,3,TRUE)),
IF(AND(B95="G2",M95="DG"),IF(R95="20'",
VLOOKUP(Z95,Charge!$R$9:$T$12,2,TRUE)+(Z95-VLOOKUP(Z95,Charge!$R$9:$T$12,1,TRUE))*VLOOKUP(Z95,Charge!$R$9:$T$12,3,TRUE),
VLOOKUP(Z95,Charge!$U$9:$W$12,2,TRUE)+(Z95-VLOOKUP(Z95,Charge!$U$9:$W$12,1,TRUE))*VLOOKUP(Z95,Charge!$U$9:$W$12,3,TRUE)),IF(AND(B95="G4",M95=""),IF(R95="20'",Z95*Charge!$M$25,Z95*Charge!$P$25),IF(AND(B95="G4",M95="DG"),IF(R95="20'",Z95*Charge!$T$25,Z95*Charge!$W$25),0))))))))</f>
        <v>1280</v>
      </c>
      <c r="AB95" s="184" t="n"/>
      <c r="AC95" s="184" t="n"/>
      <c r="AD95" s="60">
        <f>IF(M95="DG",3,IF(N95="RF",3,5))+IF(AND(LEFT(C95,3)="BKK",N95="RF",Q95="KTS"),1,0)+IF(Q95="KHS",1,0)</f>
        <v>5</v>
      </c>
      <c r="AE95" s="63">
        <f>(T95-V95)+1</f>
        <v>46304</v>
      </c>
      <c r="AF95" s="63">
        <f>IF(AB95&gt;IF((V95-W95)&gt;0,V95-W95,0),0,IF(AB95&lt;IF((V95-W95)&gt;0,V95-W95,0),IF((V95-W95)&gt;0,V95-W95,0)-AB95,IF((V95-W95)&gt;0,V95-W95,0)))</f>
        <v>0</v>
      </c>
      <c r="AG95" s="187">
        <f>IF(AND(M95=""),IF(R95="20'",
VLOOKUP(AF95,Charge!$K$31:$M$34,2,TRUE)+(AF95-VLOOKUP(AF95,Charge!$K$31:$M$34,1,TRUE))*VLOOKUP(AF95,Charge!$K$31:$M$34,3,TRUE),
VLOOKUP(AF95,Charge!$N$31:$P$34,2,TRUE)+(AF95-VLOOKUP(AF95,Charge!$N$31:$P$34,1,TRUE))*VLOOKUP(AF95,Charge!$N$31:$P$34,3,TRUE)),
IF(AND(M95="DG"),IF(R95="20'",
VLOOKUP(AF95,Charge!$R$31:$T$34,2,TRUE)+(AF95-VLOOKUP(AF95,Charge!$R$31:$T$34,1,TRUE))*VLOOKUP(AF95,Charge!$R$31:$T$34,3,TRUE),
VLOOKUP(AF95,Charge!$U$31:$W$34,2,TRUE)+(AF95-VLOOKUP(AF95,Charge!$U$31:$W$34,1,TRUE))*VLOOKUP(AF95,Charge!$U$31:$W$34,3,TRUE)),0))</f>
        <v>0</v>
      </c>
      <c r="AH95" s="65" t="n"/>
      <c r="AI95" s="65">
        <f>AA95-AH95</f>
        <v>1280</v>
      </c>
      <c r="AJ95" s="188" t="n"/>
      <c r="AK95" s="62" t="str">
        <f>VLOOKUP(D95,'2.Bookinglist'!A:CT,40,FALSE)</f>
        <v>Hiroaki Tamura</v>
      </c>
      <c r="AL95" s="60" t="str">
        <f>VLOOKUP(D95,'2.Bookinglist'!A:CW,101,FALSE)</f>
        <v>2026-10-08</v>
      </c>
      <c r="AM95" s="60" t="str">
        <f>VLOOKUP(D95,'2.Bookinglist'!A:BK,63,FALSE)</f>
        <v>BKK27</v>
      </c>
      <c r="AN95" s="62" t="str">
        <f>VLOOKUP(D95,'2.Bookinglist'!A:AZ,52,FALSE)</f>
        <v>Pickup : 2026-10-02, Return : 2026-10-02</v>
      </c>
      <c r="AO95" s="62">
        <f>VLOOKUP(D95,'2.Bookinglist'!A:CY,103,FALSE)</f>
        <v>0</v>
      </c>
    </row>
    <row r="96" ht="12.95" customHeight="1">
      <c r="A96" s="96" t="inlineStr">
        <is>
          <t>SKHU9507746</t>
        </is>
      </c>
      <c r="B96" s="184" t="str">
        <f>IF(C96=Charge!$M$1,Charge!$J$1,IF(C96=Charge!$M$23,Charge!$J$23,IF(C96=Charge!$M$17,Charge!$J$17,IF(C96=Charge!$N$17,Charge!$J$17,Charge!$J$7))))</f>
        <v>G3</v>
      </c>
      <c r="C96" s="61" t="str">
        <f>VLOOKUP(A96,'1.Loading'!A:R,14,FALSE)</f>
        <v>BKK04</v>
      </c>
      <c r="D96" s="61" t="str">
        <f>VLOOKUP(A96,'1.Loading'!A:R,17,FALSE)</f>
        <v>HASLS22260901647</v>
      </c>
      <c r="E96" s="62" t="str">
        <f>VLOOKUP(D96,'2.Bookinglist'!A:CT,27,FALSE)</f>
        <v>SDS-ACUTECH CO., LTD.</v>
      </c>
      <c r="F96" s="62" t="str">
        <f>VLOOKUP(D96,'2.Bookinglist'!A:CT,28,FALSE)</f>
        <v>APEX CIRCUIT (THAILAND) CO., LTD.</v>
      </c>
      <c r="G96" s="60">
        <f>VLOOKUP(D96,'2.Bookinglist'!A:E,5,FALSE)</f>
        <v>0</v>
      </c>
      <c r="H96" s="61" t="str">
        <f>VLOOKUP(D96,'2.Bookinglist'!A:CT,15,FALSE)</f>
        <v>THBKK</v>
      </c>
      <c r="I96" s="61" t="str">
        <f>VLOOKUP(D96,'2.Bookinglist'!A:CT,19,FALSE)</f>
        <v>VNSGN</v>
      </c>
      <c r="J96" s="61">
        <f>VLOOKUP(D96,'2.Bookinglist'!A:CT,26,FALSE)</f>
        <v>0</v>
      </c>
      <c r="K96" s="61" t="str">
        <f>VLOOKUP(A96,'1.Loading'!A:R,5,FALSE)</f>
        <v>45GP</v>
      </c>
      <c r="L96" s="60" t="str">
        <f>VLOOKUP(D96,'2.Bookinglist'!A:CT,85,FALSE)</f>
        <v>CY/CY</v>
      </c>
      <c r="M96" s="60" t="str">
        <f>IF(VLOOKUP(D96,'2.Bookinglist'!A:CT,43,FALSE)=0,"","DG")</f>
        <v/>
      </c>
      <c r="N96" s="60" t="str">
        <f>IF(RIGHT(K96,2)="RE","RF","")</f>
        <v/>
      </c>
      <c r="O96" s="61" t="str">
        <f>VLOOKUP(A96,'1.Loading'!A:R,3,FALSE)</f>
        <v>SWSP</v>
      </c>
      <c r="P96" s="61" t="str">
        <f>VLOOKUP(A96,'1.Loading'!A:R,4,FALSE)</f>
        <v>2609N</v>
      </c>
      <c r="Q96" s="61" t="str">
        <f>VLOOKUP(D96,'2.Bookinglist'!A:CT,12,FALSE)</f>
        <v>BTS</v>
      </c>
      <c r="R96" s="60" t="str">
        <f>IF(LEFT(K96,2)="22","20'","40'")</f>
        <v>40'</v>
      </c>
      <c r="S96" s="185" t="n"/>
      <c r="T96" s="61" t="str">
        <f>VLOOKUP(A96,'1.Loading'!A:R,2,FALSE)</f>
        <v>2026-10-08</v>
      </c>
      <c r="U96" s="63">
        <f>T96-S96</f>
        <v>46303</v>
      </c>
      <c r="V96" s="186" t="n"/>
      <c r="W96" s="61" t="str">
        <f>VLOOKUP(A96,'3.GateMove'!A:D,4,FALSE)</f>
        <v>2026-10-03</v>
      </c>
      <c r="X96" s="63">
        <f>((T96-W96)+1)</f>
        <v>6</v>
      </c>
      <c r="Y96" s="64">
        <f>IF(AND(OR(C96="BKK01",C96="BKK04"),L96="CFS/CY"),0,IF(M96="DG",1,IF(LEFT(C96,3)="LCH",7,IF(C96="BKK02",5,3))))</f>
        <v>3</v>
      </c>
      <c r="Z96" s="63">
        <f>IF(IF(AND(AC96="TML",AB96&gt;0),((T96-W96)+1)-AB96,((T96-W96)+1)-Y96)&gt;0,IF(AND(AC96="TML",AB96&gt;0),((T96-W96)+1)-AB96,((T96-W96)+1)-Y96),0)</f>
        <v>3</v>
      </c>
      <c r="AA96" s="187">
        <f>IF(AND(B96="G1",M96=""),IF(R96="20'",
VLOOKUP(Z96,Charge!$K$2:$M$5,2,TRUE)+(Z96-VLOOKUP(Z96,Charge!$K$2:$M$5,1,TRUE))*VLOOKUP(Z96,Charge!$K$2:$M$5,3,TRUE),
VLOOKUP(Z96,Charge!$N$2:$P$5,2,TRUE)+(Z96-VLOOKUP(Z96,Charge!$N$2:$P$5,1,TRUE))*VLOOKUP(Z96,Charge!$N$2:$P$5,3,TRUE)),
IF(AND(B96="G1",M96="DG"),IF(R96="20'",
VLOOKUP(Z96,Charge!$R$2:$T$5,2,TRUE)+(Z96-VLOOKUP(Z96,Charge!$R$2:$T$5,1,TRUE))*VLOOKUP(Z96,Charge!$R$2:$T$5,3,TRUE),
VLOOKUP(Z96,Charge!$U$2:$W$5,2,TRUE)+(Z96-VLOOKUP(Z96,Charge!$U$2:$W$5,1,TRUE))*VLOOKUP(Z96,Charge!$U$2:$W$5,3,TRUE)),
IF(AND(B96="G3",M96=""),IF(R96="20'",
VLOOKUP(Z96,Charge!$K$18:$M$21,2,TRUE)+(Z96-VLOOKUP(Z96,Charge!$K$18:$M$21,1,TRUE))*VLOOKUP(Z96,Charge!$K$18:$M$21,3,TRUE),
VLOOKUP(Z96,Charge!$N$18:$P$21,2,TRUE)+(Z96-VLOOKUP(Z96,Charge!$N$18:$P$21,1,TRUE))*VLOOKUP(Z96,Charge!$N$18:$P$21,3,TRUE)),
IF(AND(B96="G3",M96="DG"),IF(R96="20'",
VLOOKUP(Z96,Charge!$R$18:$T$21,2,TRUE)+(Z96-VLOOKUP(Z96,Charge!$R$18:$T$21,1,TRUE))*VLOOKUP(Z96,Charge!$R$18:$T$21,3,TRUE),
VLOOKUP(Z96,Charge!$U$18:$W$21,2,TRUE)+(Z96-VLOOKUP(Z96,Charge!$U$18:$W$21,1,TRUE))*VLOOKUP(Z96,Charge!$U$18:$W$21,3,TRUE)),
IF(AND(B96="G2",M96=""),IF(R96="20'",
VLOOKUP(Z96,Charge!$K$9:$M$12,2,TRUE)+(Z96-VLOOKUP(Z96,Charge!$K$9:$M$12,1,TRUE))*VLOOKUP(Z96,Charge!$K$9:$M$12,3,TRUE),
VLOOKUP(Z96,Charge!$N$9:$P$12,2,TRUE)+(Z96-VLOOKUP(Z96,Charge!$N$9:$P$12,1,TRUE))*VLOOKUP(Z96,Charge!$N$9:$P$12,3,TRUE)),
IF(AND(B96="G2",M96="DG"),IF(R96="20'",
VLOOKUP(Z96,Charge!$R$9:$T$12,2,TRUE)+(Z96-VLOOKUP(Z96,Charge!$R$9:$T$12,1,TRUE))*VLOOKUP(Z96,Charge!$R$9:$T$12,3,TRUE),
VLOOKUP(Z96,Charge!$U$9:$W$12,2,TRUE)+(Z96-VLOOKUP(Z96,Charge!$U$9:$W$12,1,TRUE))*VLOOKUP(Z96,Charge!$U$9:$W$12,3,TRUE)),IF(AND(B96="G4",M96=""),IF(R96="20'",Z96*Charge!$M$25,Z96*Charge!$P$25),IF(AND(B96="G4",M96="DG"),IF(R96="20'",Z96*Charge!$T$25,Z96*Charge!$W$25),0))))))))</f>
        <v>960</v>
      </c>
      <c r="AB96" s="184" t="n"/>
      <c r="AC96" s="184" t="n"/>
      <c r="AD96" s="60">
        <f>IF(M96="DG",3,IF(N96="RF",3,5))+IF(AND(LEFT(C96,3)="BKK",N96="RF",Q96="KTS"),1,0)+IF(Q96="KHS",1,0)</f>
        <v>5</v>
      </c>
      <c r="AE96" s="63">
        <f>(T96-V96)+1</f>
        <v>46304</v>
      </c>
      <c r="AF96" s="63">
        <f>IF(AB96&gt;IF((V96-W96)&gt;0,V96-W96,0),0,IF(AB96&lt;IF((V96-W96)&gt;0,V96-W96,0),IF((V96-W96)&gt;0,V96-W96,0)-AB96,IF((V96-W96)&gt;0,V96-W96,0)))</f>
        <v>0</v>
      </c>
      <c r="AG96" s="187">
        <f>IF(AND(M96=""),IF(R96="20'",
VLOOKUP(AF96,Charge!$K$31:$M$34,2,TRUE)+(AF96-VLOOKUP(AF96,Charge!$K$31:$M$34,1,TRUE))*VLOOKUP(AF96,Charge!$K$31:$M$34,3,TRUE),
VLOOKUP(AF96,Charge!$N$31:$P$34,2,TRUE)+(AF96-VLOOKUP(AF96,Charge!$N$31:$P$34,1,TRUE))*VLOOKUP(AF96,Charge!$N$31:$P$34,3,TRUE)),
IF(AND(M96="DG"),IF(R96="20'",
VLOOKUP(AF96,Charge!$R$31:$T$34,2,TRUE)+(AF96-VLOOKUP(AF96,Charge!$R$31:$T$34,1,TRUE))*VLOOKUP(AF96,Charge!$R$31:$T$34,3,TRUE),
VLOOKUP(AF96,Charge!$U$31:$W$34,2,TRUE)+(AF96-VLOOKUP(AF96,Charge!$U$31:$W$34,1,TRUE))*VLOOKUP(AF96,Charge!$U$31:$W$34,3,TRUE)),0))</f>
        <v>0</v>
      </c>
      <c r="AH96" s="65" t="n"/>
      <c r="AI96" s="65">
        <f>AA96-AH96</f>
        <v>960</v>
      </c>
      <c r="AJ96" s="188" t="n"/>
      <c r="AK96" s="62" t="str">
        <f>VLOOKUP(D96,'2.Bookinglist'!A:CT,40,FALSE)</f>
        <v>LEE SEUNG MIN</v>
      </c>
      <c r="AL96" s="60" t="str">
        <f>VLOOKUP(D96,'2.Bookinglist'!A:CW,101,FALSE)</f>
        <v>2026-10-04</v>
      </c>
      <c r="AM96" s="60" t="str">
        <f>VLOOKUP(D96,'2.Bookinglist'!A:BK,63,FALSE)</f>
        <v>BKK27</v>
      </c>
      <c r="AN96" s="62" t="str">
        <f>VLOOKUP(D96,'2.Bookinglist'!A:AZ,52,FALSE)</f>
        <v>Pickup : 2026-10-01, Return : 2026-10-02</v>
      </c>
      <c r="AO96" s="62">
        <f>VLOOKUP(D96,'2.Bookinglist'!A:CY,103,FALSE)</f>
        <v>0</v>
      </c>
    </row>
    <row r="97" ht="12.95" customHeight="1">
      <c r="A97" s="96" t="inlineStr">
        <is>
          <t>SKHU9626133</t>
        </is>
      </c>
      <c r="B97" s="184" t="str">
        <f>IF(C97=Charge!$M$1,Charge!$J$1,IF(C97=Charge!$M$23,Charge!$J$23,IF(C97=Charge!$M$17,Charge!$J$17,IF(C97=Charge!$N$17,Charge!$J$17,Charge!$J$7))))</f>
        <v>G3</v>
      </c>
      <c r="C97" s="61" t="str">
        <f>VLOOKUP(A97,'1.Loading'!A:R,14,FALSE)</f>
        <v>BKK04</v>
      </c>
      <c r="D97" s="61" t="str">
        <f>VLOOKUP(A97,'1.Loading'!A:R,17,FALSE)</f>
        <v>HASLS22260901585</v>
      </c>
      <c r="E97" s="62" t="str">
        <f>VLOOKUP(D97,'2.Bookinglist'!A:CT,27,FALSE)</f>
        <v>H &amp; FRIENDS GTL (THAILAND) CO., LTD.</v>
      </c>
      <c r="F97" s="62" t="str">
        <f>VLOOKUP(D97,'2.Bookinglist'!A:CT,28,FALSE)</f>
        <v>AUTOLIV (THAILAND) LIMITED</v>
      </c>
      <c r="G97" s="60">
        <f>VLOOKUP(D97,'2.Bookinglist'!A:E,5,FALSE)</f>
        <v>0</v>
      </c>
      <c r="H97" s="61" t="str">
        <f>VLOOKUP(D97,'2.Bookinglist'!A:CT,15,FALSE)</f>
        <v>THBKK</v>
      </c>
      <c r="I97" s="61" t="str">
        <f>VLOOKUP(D97,'2.Bookinglist'!A:CT,19,FALSE)</f>
        <v>KRPUS</v>
      </c>
      <c r="J97" s="61">
        <f>VLOOKUP(D97,'2.Bookinglist'!A:CT,26,FALSE)</f>
        <v>0</v>
      </c>
      <c r="K97" s="61" t="str">
        <f>VLOOKUP(A97,'1.Loading'!A:R,5,FALSE)</f>
        <v>45GP</v>
      </c>
      <c r="L97" s="60" t="str">
        <f>VLOOKUP(D97,'2.Bookinglist'!A:CT,85,FALSE)</f>
        <v>CY/CY</v>
      </c>
      <c r="M97" s="60" t="str">
        <f>IF(VLOOKUP(D97,'2.Bookinglist'!A:CT,43,FALSE)=0,"","DG")</f>
        <v>DG</v>
      </c>
      <c r="N97" s="60" t="str">
        <f>IF(RIGHT(K97,2)="RE","RF","")</f>
        <v/>
      </c>
      <c r="O97" s="61" t="str">
        <f>VLOOKUP(A97,'1.Loading'!A:R,3,FALSE)</f>
        <v>SWSP</v>
      </c>
      <c r="P97" s="61" t="str">
        <f>VLOOKUP(A97,'1.Loading'!A:R,4,FALSE)</f>
        <v>2609N</v>
      </c>
      <c r="Q97" s="61" t="str">
        <f>VLOOKUP(D97,'2.Bookinglist'!A:CT,12,FALSE)</f>
        <v>BTS</v>
      </c>
      <c r="R97" s="60" t="str">
        <f>IF(LEFT(K97,2)="22","20'","40'")</f>
        <v>40'</v>
      </c>
      <c r="S97" s="185" t="n"/>
      <c r="T97" s="61" t="str">
        <f>VLOOKUP(A97,'1.Loading'!A:R,2,FALSE)</f>
        <v>2026-10-08</v>
      </c>
      <c r="U97" s="63">
        <f>T97-S97</f>
        <v>46303</v>
      </c>
      <c r="V97" s="186" t="n"/>
      <c r="W97" s="61" t="str">
        <f>VLOOKUP(A97,'3.GateMove'!A:D,4,FALSE)</f>
        <v>2026-10-05</v>
      </c>
      <c r="X97" s="63">
        <f>((T97-W97)+1)</f>
        <v>4</v>
      </c>
      <c r="Y97" s="64">
        <f>IF(AND(OR(C97="BKK01",C97="BKK04"),L97="CFS/CY"),0,IF(M97="DG",1,IF(LEFT(C97,3)="LCH",7,IF(C97="BKK02",5,3))))</f>
        <v>1</v>
      </c>
      <c r="Z97" s="63">
        <f>IF(IF(AND(AC97="TML",AB97&gt;0),((T97-W97)+1)-AB97,((T97-W97)+1)-Y97)&gt;0,IF(AND(AC97="TML",AB97&gt;0),((T97-W97)+1)-AB97,((T97-W97)+1)-Y97),0)</f>
        <v>3</v>
      </c>
      <c r="AA97" s="187">
        <f>IF(AND(B97="G1",M97=""),IF(R97="20'",
VLOOKUP(Z97,Charge!$K$2:$M$5,2,TRUE)+(Z97-VLOOKUP(Z97,Charge!$K$2:$M$5,1,TRUE))*VLOOKUP(Z97,Charge!$K$2:$M$5,3,TRUE),
VLOOKUP(Z97,Charge!$N$2:$P$5,2,TRUE)+(Z97-VLOOKUP(Z97,Charge!$N$2:$P$5,1,TRUE))*VLOOKUP(Z97,Charge!$N$2:$P$5,3,TRUE)),
IF(AND(B97="G1",M97="DG"),IF(R97="20'",
VLOOKUP(Z97,Charge!$R$2:$T$5,2,TRUE)+(Z97-VLOOKUP(Z97,Charge!$R$2:$T$5,1,TRUE))*VLOOKUP(Z97,Charge!$R$2:$T$5,3,TRUE),
VLOOKUP(Z97,Charge!$U$2:$W$5,2,TRUE)+(Z97-VLOOKUP(Z97,Charge!$U$2:$W$5,1,TRUE))*VLOOKUP(Z97,Charge!$U$2:$W$5,3,TRUE)),
IF(AND(B97="G3",M97=""),IF(R97="20'",
VLOOKUP(Z97,Charge!$K$18:$M$21,2,TRUE)+(Z97-VLOOKUP(Z97,Charge!$K$18:$M$21,1,TRUE))*VLOOKUP(Z97,Charge!$K$18:$M$21,3,TRUE),
VLOOKUP(Z97,Charge!$N$18:$P$21,2,TRUE)+(Z97-VLOOKUP(Z97,Charge!$N$18:$P$21,1,TRUE))*VLOOKUP(Z97,Charge!$N$18:$P$21,3,TRUE)),
IF(AND(B97="G3",M97="DG"),IF(R97="20'",
VLOOKUP(Z97,Charge!$R$18:$T$21,2,TRUE)+(Z97-VLOOKUP(Z97,Charge!$R$18:$T$21,1,TRUE))*VLOOKUP(Z97,Charge!$R$18:$T$21,3,TRUE),
VLOOKUP(Z97,Charge!$U$18:$W$21,2,TRUE)+(Z97-VLOOKUP(Z97,Charge!$U$18:$W$21,1,TRUE))*VLOOKUP(Z97,Charge!$U$18:$W$21,3,TRUE)),
IF(AND(B97="G2",M97=""),IF(R97="20'",
VLOOKUP(Z97,Charge!$K$9:$M$12,2,TRUE)+(Z97-VLOOKUP(Z97,Charge!$K$9:$M$12,1,TRUE))*VLOOKUP(Z97,Charge!$K$9:$M$12,3,TRUE),
VLOOKUP(Z97,Charge!$N$9:$P$12,2,TRUE)+(Z97-VLOOKUP(Z97,Charge!$N$9:$P$12,1,TRUE))*VLOOKUP(Z97,Charge!$N$9:$P$12,3,TRUE)),
IF(AND(B97="G2",M97="DG"),IF(R97="20'",
VLOOKUP(Z97,Charge!$R$9:$T$12,2,TRUE)+(Z97-VLOOKUP(Z97,Charge!$R$9:$T$12,1,TRUE))*VLOOKUP(Z97,Charge!$R$9:$T$12,3,TRUE),
VLOOKUP(Z97,Charge!$U$9:$W$12,2,TRUE)+(Z97-VLOOKUP(Z97,Charge!$U$9:$W$12,1,TRUE))*VLOOKUP(Z97,Charge!$U$9:$W$12,3,TRUE)),IF(AND(B97="G4",M97=""),IF(R97="20'",Z97*Charge!$M$25,Z97*Charge!$P$25),IF(AND(B97="G4",M97="DG"),IF(R97="20'",Z97*Charge!$T$25,Z97*Charge!$W$25),0))))))))</f>
        <v>2880</v>
      </c>
      <c r="AB97" s="184" t="n"/>
      <c r="AC97" s="184" t="n"/>
      <c r="AD97" s="60">
        <f>IF(M97="DG",3,IF(N97="RF",3,5))+IF(AND(LEFT(C97,3)="BKK",N97="RF",Q97="KTS"),1,0)+IF(Q97="KHS",1,0)</f>
        <v>3</v>
      </c>
      <c r="AE97" s="63">
        <f>(T97-V97)+1</f>
        <v>46304</v>
      </c>
      <c r="AF97" s="63">
        <f>IF(AB97&gt;IF((V97-W97)&gt;0,V97-W97,0),0,IF(AB97&lt;IF((V97-W97)&gt;0,V97-W97,0),IF((V97-W97)&gt;0,V97-W97,0)-AB97,IF((V97-W97)&gt;0,V97-W97,0)))</f>
        <v>0</v>
      </c>
      <c r="AG97" s="187">
        <f>IF(AND(M97=""),IF(R97="20'",
VLOOKUP(AF97,Charge!$K$31:$M$34,2,TRUE)+(AF97-VLOOKUP(AF97,Charge!$K$31:$M$34,1,TRUE))*VLOOKUP(AF97,Charge!$K$31:$M$34,3,TRUE),
VLOOKUP(AF97,Charge!$N$31:$P$34,2,TRUE)+(AF97-VLOOKUP(AF97,Charge!$N$31:$P$34,1,TRUE))*VLOOKUP(AF97,Charge!$N$31:$P$34,3,TRUE)),
IF(AND(M97="DG"),IF(R97="20'",
VLOOKUP(AF97,Charge!$R$31:$T$34,2,TRUE)+(AF97-VLOOKUP(AF97,Charge!$R$31:$T$34,1,TRUE))*VLOOKUP(AF97,Charge!$R$31:$T$34,3,TRUE),
VLOOKUP(AF97,Charge!$U$31:$W$34,2,TRUE)+(AF97-VLOOKUP(AF97,Charge!$U$31:$W$34,1,TRUE))*VLOOKUP(AF97,Charge!$U$31:$W$34,3,TRUE)),0))</f>
        <v>0</v>
      </c>
      <c r="AH97" s="65" t="n"/>
      <c r="AI97" s="65">
        <f>AA97-AH97</f>
        <v>2880</v>
      </c>
      <c r="AJ97" s="188" t="n"/>
      <c r="AK97" s="62" t="str">
        <f>VLOOKUP(D97,'2.Bookinglist'!A:CT,40,FALSE)</f>
        <v>Tarn(Supaporn)</v>
      </c>
      <c r="AL97" s="60" t="str">
        <f>VLOOKUP(D97,'2.Bookinglist'!A:CW,101,FALSE)</f>
        <v>2026-10-07</v>
      </c>
      <c r="AM97" s="60" t="str">
        <f>VLOOKUP(D97,'2.Bookinglist'!A:BK,63,FALSE)</f>
        <v>BKK27</v>
      </c>
      <c r="AN97" s="62" t="str">
        <f>VLOOKUP(D97,'2.Bookinglist'!A:AZ,52,FALSE)</f>
        <v>**APPROVAL IN SYSTEM DD.24/09/2026** DG45GPx1 (CLS 9 / UN 3268) 
Pickup : 2026-10-05, Return : 2026-10-05 *EXTEND CLS TIME : 05/10/2026 @23.59* </v>
      </c>
      <c r="AO97" s="62">
        <f>VLOOKUP(D97,'2.Bookinglist'!A:CY,103,FALSE)</f>
        <v>0</v>
      </c>
    </row>
    <row r="98" ht="12.95" customHeight="1">
      <c r="A98" s="96" t="inlineStr">
        <is>
          <t>SKHU9633847</t>
        </is>
      </c>
      <c r="B98" s="184" t="str">
        <f>IF(C98=Charge!$M$1,Charge!$J$1,IF(C98=Charge!$M$23,Charge!$J$23,IF(C98=Charge!$M$17,Charge!$J$17,IF(C98=Charge!$N$17,Charge!$J$17,Charge!$J$7))))</f>
        <v>G3</v>
      </c>
      <c r="C98" s="61" t="str">
        <f>VLOOKUP(A98,'1.Loading'!A:R,14,FALSE)</f>
        <v>BKK04</v>
      </c>
      <c r="D98" s="61" t="str">
        <f>VLOOKUP(A98,'1.Loading'!A:R,17,FALSE)</f>
        <v>HASLS22260900586</v>
      </c>
      <c r="E98" s="62" t="str">
        <f>VLOOKUP(D98,'2.Bookinglist'!A:CT,27,FALSE)</f>
        <v>BIRLA CARBON (THAILAND) PUBLIC COMPANY LIMITED</v>
      </c>
      <c r="F98" s="62" t="str">
        <f>VLOOKUP(D98,'2.Bookinglist'!A:CT,28,FALSE)</f>
        <v>BIRLA CARBON (THAILAND) PUBLIC COMPANY LIMITED</v>
      </c>
      <c r="G98" s="60">
        <f>VLOOKUP(D98,'2.Bookinglist'!A:E,5,FALSE)</f>
        <v>0</v>
      </c>
      <c r="H98" s="61" t="str">
        <f>VLOOKUP(D98,'2.Bookinglist'!A:CT,15,FALSE)</f>
        <v>THBKK</v>
      </c>
      <c r="I98" s="61" t="str">
        <f>VLOOKUP(D98,'2.Bookinglist'!A:CT,19,FALSE)</f>
        <v>VNSGN</v>
      </c>
      <c r="J98" s="61">
        <f>VLOOKUP(D98,'2.Bookinglist'!A:CT,26,FALSE)</f>
        <v>0</v>
      </c>
      <c r="K98" s="61" t="str">
        <f>VLOOKUP(A98,'1.Loading'!A:R,5,FALSE)</f>
        <v>45GP</v>
      </c>
      <c r="L98" s="60" t="str">
        <f>VLOOKUP(D98,'2.Bookinglist'!A:CT,85,FALSE)</f>
        <v>CY/CY</v>
      </c>
      <c r="M98" s="60" t="str">
        <f>IF(VLOOKUP(D98,'2.Bookinglist'!A:CT,43,FALSE)=0,"","DG")</f>
        <v/>
      </c>
      <c r="N98" s="60" t="str">
        <f>IF(RIGHT(K98,2)="RE","RF","")</f>
        <v/>
      </c>
      <c r="O98" s="61" t="str">
        <f>VLOOKUP(A98,'1.Loading'!A:R,3,FALSE)</f>
        <v>SWSP</v>
      </c>
      <c r="P98" s="61" t="str">
        <f>VLOOKUP(A98,'1.Loading'!A:R,4,FALSE)</f>
        <v>2609N</v>
      </c>
      <c r="Q98" s="61" t="str">
        <f>VLOOKUP(D98,'2.Bookinglist'!A:CT,12,FALSE)</f>
        <v>BTS</v>
      </c>
      <c r="R98" s="60" t="str">
        <f>IF(LEFT(K98,2)="22","20'","40'")</f>
        <v>40'</v>
      </c>
      <c r="S98" s="185" t="n"/>
      <c r="T98" s="61" t="str">
        <f>VLOOKUP(A98,'1.Loading'!A:R,2,FALSE)</f>
        <v>2026-10-08</v>
      </c>
      <c r="U98" s="63">
        <f>T98-S98</f>
        <v>46303</v>
      </c>
      <c r="V98" s="186" t="n"/>
      <c r="W98" s="61" t="str">
        <f>VLOOKUP(A98,'3.GateMove'!A:D,4,FALSE)</f>
        <v>2026-10-04</v>
      </c>
      <c r="X98" s="63">
        <f>((T98-W98)+1)</f>
        <v>5</v>
      </c>
      <c r="Y98" s="64">
        <f>IF(AND(OR(C98="BKK01",C98="BKK04"),L98="CFS/CY"),0,IF(M98="DG",1,IF(LEFT(C98,3)="LCH",7,IF(C98="BKK02",5,3))))</f>
        <v>3</v>
      </c>
      <c r="Z98" s="63">
        <f>IF(IF(AND(AC98="TML",AB98&gt;0),((T98-W98)+1)-AB98,((T98-W98)+1)-Y98)&gt;0,IF(AND(AC98="TML",AB98&gt;0),((T98-W98)+1)-AB98,((T98-W98)+1)-Y98),0)</f>
        <v>2</v>
      </c>
      <c r="AA98" s="187">
        <f>IF(AND(B98="G1",M98=""),IF(R98="20'",
VLOOKUP(Z98,Charge!$K$2:$M$5,2,TRUE)+(Z98-VLOOKUP(Z98,Charge!$K$2:$M$5,1,TRUE))*VLOOKUP(Z98,Charge!$K$2:$M$5,3,TRUE),
VLOOKUP(Z98,Charge!$N$2:$P$5,2,TRUE)+(Z98-VLOOKUP(Z98,Charge!$N$2:$P$5,1,TRUE))*VLOOKUP(Z98,Charge!$N$2:$P$5,3,TRUE)),
IF(AND(B98="G1",M98="DG"),IF(R98="20'",
VLOOKUP(Z98,Charge!$R$2:$T$5,2,TRUE)+(Z98-VLOOKUP(Z98,Charge!$R$2:$T$5,1,TRUE))*VLOOKUP(Z98,Charge!$R$2:$T$5,3,TRUE),
VLOOKUP(Z98,Charge!$U$2:$W$5,2,TRUE)+(Z98-VLOOKUP(Z98,Charge!$U$2:$W$5,1,TRUE))*VLOOKUP(Z98,Charge!$U$2:$W$5,3,TRUE)),
IF(AND(B98="G3",M98=""),IF(R98="20'",
VLOOKUP(Z98,Charge!$K$18:$M$21,2,TRUE)+(Z98-VLOOKUP(Z98,Charge!$K$18:$M$21,1,TRUE))*VLOOKUP(Z98,Charge!$K$18:$M$21,3,TRUE),
VLOOKUP(Z98,Charge!$N$18:$P$21,2,TRUE)+(Z98-VLOOKUP(Z98,Charge!$N$18:$P$21,1,TRUE))*VLOOKUP(Z98,Charge!$N$18:$P$21,3,TRUE)),
IF(AND(B98="G3",M98="DG"),IF(R98="20'",
VLOOKUP(Z98,Charge!$R$18:$T$21,2,TRUE)+(Z98-VLOOKUP(Z98,Charge!$R$18:$T$21,1,TRUE))*VLOOKUP(Z98,Charge!$R$18:$T$21,3,TRUE),
VLOOKUP(Z98,Charge!$U$18:$W$21,2,TRUE)+(Z98-VLOOKUP(Z98,Charge!$U$18:$W$21,1,TRUE))*VLOOKUP(Z98,Charge!$U$18:$W$21,3,TRUE)),
IF(AND(B98="G2",M98=""),IF(R98="20'",
VLOOKUP(Z98,Charge!$K$9:$M$12,2,TRUE)+(Z98-VLOOKUP(Z98,Charge!$K$9:$M$12,1,TRUE))*VLOOKUP(Z98,Charge!$K$9:$M$12,3,TRUE),
VLOOKUP(Z98,Charge!$N$9:$P$12,2,TRUE)+(Z98-VLOOKUP(Z98,Charge!$N$9:$P$12,1,TRUE))*VLOOKUP(Z98,Charge!$N$9:$P$12,3,TRUE)),
IF(AND(B98="G2",M98="DG"),IF(R98="20'",
VLOOKUP(Z98,Charge!$R$9:$T$12,2,TRUE)+(Z98-VLOOKUP(Z98,Charge!$R$9:$T$12,1,TRUE))*VLOOKUP(Z98,Charge!$R$9:$T$12,3,TRUE),
VLOOKUP(Z98,Charge!$U$9:$W$12,2,TRUE)+(Z98-VLOOKUP(Z98,Charge!$U$9:$W$12,1,TRUE))*VLOOKUP(Z98,Charge!$U$9:$W$12,3,TRUE)),IF(AND(B98="G4",M98=""),IF(R98="20'",Z98*Charge!$M$25,Z98*Charge!$P$25),IF(AND(B98="G4",M98="DG"),IF(R98="20'",Z98*Charge!$T$25,Z98*Charge!$W$25),0))))))))</f>
        <v>640</v>
      </c>
      <c r="AB98" s="184" t="n"/>
      <c r="AC98" s="184" t="n"/>
      <c r="AD98" s="60">
        <f>IF(M98="DG",3,IF(N98="RF",3,5))+IF(AND(LEFT(C98,3)="BKK",N98="RF",Q98="KTS"),1,0)+IF(Q98="KHS",1,0)</f>
        <v>5</v>
      </c>
      <c r="AE98" s="63">
        <f>(T98-V98)+1</f>
        <v>46304</v>
      </c>
      <c r="AF98" s="63">
        <f>IF(AB98&gt;IF((V98-W98)&gt;0,V98-W98,0),0,IF(AB98&lt;IF((V98-W98)&gt;0,V98-W98,0),IF((V98-W98)&gt;0,V98-W98,0)-AB98,IF((V98-W98)&gt;0,V98-W98,0)))</f>
        <v>0</v>
      </c>
      <c r="AG98" s="187">
        <f>IF(AND(M98=""),IF(R98="20'",
VLOOKUP(AF98,Charge!$K$31:$M$34,2,TRUE)+(AF98-VLOOKUP(AF98,Charge!$K$31:$M$34,1,TRUE))*VLOOKUP(AF98,Charge!$K$31:$M$34,3,TRUE),
VLOOKUP(AF98,Charge!$N$31:$P$34,2,TRUE)+(AF98-VLOOKUP(AF98,Charge!$N$31:$P$34,1,TRUE))*VLOOKUP(AF98,Charge!$N$31:$P$34,3,TRUE)),
IF(AND(M98="DG"),IF(R98="20'",
VLOOKUP(AF98,Charge!$R$31:$T$34,2,TRUE)+(AF98-VLOOKUP(AF98,Charge!$R$31:$T$34,1,TRUE))*VLOOKUP(AF98,Charge!$R$31:$T$34,3,TRUE),
VLOOKUP(AF98,Charge!$U$31:$W$34,2,TRUE)+(AF98-VLOOKUP(AF98,Charge!$U$31:$W$34,1,TRUE))*VLOOKUP(AF98,Charge!$U$31:$W$34,3,TRUE)),0))</f>
        <v>0</v>
      </c>
      <c r="AH98" s="65" t="n"/>
      <c r="AI98" s="65">
        <f>AA98-AH98</f>
        <v>640</v>
      </c>
      <c r="AJ98" s="188" t="n"/>
      <c r="AK98" s="62" t="str">
        <f>VLOOKUP(D98,'2.Bookinglist'!A:CT,40,FALSE)</f>
        <v>Dharaporn</v>
      </c>
      <c r="AL98" s="60" t="str">
        <f>VLOOKUP(D98,'2.Bookinglist'!A:CW,101,FALSE)</f>
        <v>2026-10-07</v>
      </c>
      <c r="AM98" s="60" t="str">
        <f>VLOOKUP(D98,'2.Bookinglist'!A:BK,63,FALSE)</f>
        <v>BKK27</v>
      </c>
      <c r="AN98" s="62" t="str">
        <f>VLOOKUP(D98,'2.Bookinglist'!A:AZ,52,FALSE)</f>
        <v>Pickup : 2026-10-01, Return : 2026-10-02 (1ST RTN DD: 03/10/26 WO/RENT)</v>
      </c>
      <c r="AO98" s="62">
        <f>VLOOKUP(D98,'2.Bookinglist'!A:CY,103,FALSE)</f>
        <v>0</v>
      </c>
    </row>
    <row r="99" ht="12.95" customHeight="1">
      <c r="A99" s="96" t="inlineStr">
        <is>
          <t>SKHU9801771</t>
        </is>
      </c>
      <c r="B99" s="184" t="str">
        <f>IF(C99=Charge!$M$1,Charge!$J$1,IF(C99=Charge!$M$23,Charge!$J$23,IF(C99=Charge!$M$17,Charge!$J$17,IF(C99=Charge!$N$17,Charge!$J$17,Charge!$J$7))))</f>
        <v>G3</v>
      </c>
      <c r="C99" s="61" t="str">
        <f>VLOOKUP(A99,'1.Loading'!A:R,14,FALSE)</f>
        <v>BKK04</v>
      </c>
      <c r="D99" s="61" t="str">
        <f>VLOOKUP(A99,'1.Loading'!A:R,17,FALSE)</f>
        <v>HASLS22260901024</v>
      </c>
      <c r="E99" s="62" t="str">
        <f>VLOOKUP(D99,'2.Bookinglist'!A:CT,27,FALSE)</f>
        <v>MJ LOGISTICS (THAILAND) CO., LTD.</v>
      </c>
      <c r="F99" s="62" t="str">
        <f>VLOOKUP(D99,'2.Bookinglist'!A:CT,28,FALSE)</f>
        <v>SINGHA WORLDWIDE INTERNATIONAL CO., LTD.</v>
      </c>
      <c r="G99" s="60">
        <f>VLOOKUP(D99,'2.Bookinglist'!A:E,5,FALSE)</f>
        <v>0</v>
      </c>
      <c r="H99" s="61" t="str">
        <f>VLOOKUP(D99,'2.Bookinglist'!A:CT,15,FALSE)</f>
        <v>THBKK</v>
      </c>
      <c r="I99" s="61" t="str">
        <f>VLOOKUP(D99,'2.Bookinglist'!A:CT,19,FALSE)</f>
        <v>RUVVO</v>
      </c>
      <c r="J99" s="61" t="str">
        <f>VLOOKUP(D99,'2.Bookinglist'!A:CT,26,FALSE)</f>
        <v>KRPUS</v>
      </c>
      <c r="K99" s="61" t="str">
        <f>VLOOKUP(A99,'1.Loading'!A:R,5,FALSE)</f>
        <v>45GP</v>
      </c>
      <c r="L99" s="60" t="str">
        <f>VLOOKUP(D99,'2.Bookinglist'!A:CT,85,FALSE)</f>
        <v>CY/CY</v>
      </c>
      <c r="M99" s="60" t="str">
        <f>IF(VLOOKUP(D99,'2.Bookinglist'!A:CT,43,FALSE)=0,"","DG")</f>
        <v/>
      </c>
      <c r="N99" s="60" t="str">
        <f>IF(RIGHT(K99,2)="RE","RF","")</f>
        <v/>
      </c>
      <c r="O99" s="61" t="str">
        <f>VLOOKUP(A99,'1.Loading'!A:R,3,FALSE)</f>
        <v>SWSP</v>
      </c>
      <c r="P99" s="61" t="str">
        <f>VLOOKUP(A99,'1.Loading'!A:R,4,FALSE)</f>
        <v>2609N</v>
      </c>
      <c r="Q99" s="61" t="str">
        <f>VLOOKUP(D99,'2.Bookinglist'!A:CT,12,FALSE)</f>
        <v>BTS</v>
      </c>
      <c r="R99" s="60" t="str">
        <f>IF(LEFT(K99,2)="22","20'","40'")</f>
        <v>40'</v>
      </c>
      <c r="S99" s="185" t="n"/>
      <c r="T99" s="61" t="str">
        <f>VLOOKUP(A99,'1.Loading'!A:R,2,FALSE)</f>
        <v>2026-10-08</v>
      </c>
      <c r="U99" s="63">
        <f>T99-S99</f>
        <v>46303</v>
      </c>
      <c r="V99" s="186" t="n"/>
      <c r="W99" s="61" t="str">
        <f>VLOOKUP(A99,'3.GateMove'!A:D,4,FALSE)</f>
        <v>2026-10-02</v>
      </c>
      <c r="X99" s="63">
        <f>((T99-W99)+1)</f>
        <v>7</v>
      </c>
      <c r="Y99" s="64">
        <f>IF(AND(OR(C99="BKK01",C99="BKK04"),L99="CFS/CY"),0,IF(M99="DG",1,IF(LEFT(C99,3)="LCH",7,IF(C99="BKK02",5,3))))</f>
        <v>3</v>
      </c>
      <c r="Z99" s="63">
        <f>IF(IF(AND(AC99="TML",AB99&gt;0),((T99-W99)+1)-AB99,((T99-W99)+1)-Y99)&gt;0,IF(AND(AC99="TML",AB99&gt;0),((T99-W99)+1)-AB99,((T99-W99)+1)-Y99),0)</f>
        <v>4</v>
      </c>
      <c r="AA99" s="187">
        <f>IF(AND(B99="G1",M99=""),IF(R99="20'",
VLOOKUP(Z99,Charge!$K$2:$M$5,2,TRUE)+(Z99-VLOOKUP(Z99,Charge!$K$2:$M$5,1,TRUE))*VLOOKUP(Z99,Charge!$K$2:$M$5,3,TRUE),
VLOOKUP(Z99,Charge!$N$2:$P$5,2,TRUE)+(Z99-VLOOKUP(Z99,Charge!$N$2:$P$5,1,TRUE))*VLOOKUP(Z99,Charge!$N$2:$P$5,3,TRUE)),
IF(AND(B99="G1",M99="DG"),IF(R99="20'",
VLOOKUP(Z99,Charge!$R$2:$T$5,2,TRUE)+(Z99-VLOOKUP(Z99,Charge!$R$2:$T$5,1,TRUE))*VLOOKUP(Z99,Charge!$R$2:$T$5,3,TRUE),
VLOOKUP(Z99,Charge!$U$2:$W$5,2,TRUE)+(Z99-VLOOKUP(Z99,Charge!$U$2:$W$5,1,TRUE))*VLOOKUP(Z99,Charge!$U$2:$W$5,3,TRUE)),
IF(AND(B99="G3",M99=""),IF(R99="20'",
VLOOKUP(Z99,Charge!$K$18:$M$21,2,TRUE)+(Z99-VLOOKUP(Z99,Charge!$K$18:$M$21,1,TRUE))*VLOOKUP(Z99,Charge!$K$18:$M$21,3,TRUE),
VLOOKUP(Z99,Charge!$N$18:$P$21,2,TRUE)+(Z99-VLOOKUP(Z99,Charge!$N$18:$P$21,1,TRUE))*VLOOKUP(Z99,Charge!$N$18:$P$21,3,TRUE)),
IF(AND(B99="G3",M99="DG"),IF(R99="20'",
VLOOKUP(Z99,Charge!$R$18:$T$21,2,TRUE)+(Z99-VLOOKUP(Z99,Charge!$R$18:$T$21,1,TRUE))*VLOOKUP(Z99,Charge!$R$18:$T$21,3,TRUE),
VLOOKUP(Z99,Charge!$U$18:$W$21,2,TRUE)+(Z99-VLOOKUP(Z99,Charge!$U$18:$W$21,1,TRUE))*VLOOKUP(Z99,Charge!$U$18:$W$21,3,TRUE)),
IF(AND(B99="G2",M99=""),IF(R99="20'",
VLOOKUP(Z99,Charge!$K$9:$M$12,2,TRUE)+(Z99-VLOOKUP(Z99,Charge!$K$9:$M$12,1,TRUE))*VLOOKUP(Z99,Charge!$K$9:$M$12,3,TRUE),
VLOOKUP(Z99,Charge!$N$9:$P$12,2,TRUE)+(Z99-VLOOKUP(Z99,Charge!$N$9:$P$12,1,TRUE))*VLOOKUP(Z99,Charge!$N$9:$P$12,3,TRUE)),
IF(AND(B99="G2",M99="DG"),IF(R99="20'",
VLOOKUP(Z99,Charge!$R$9:$T$12,2,TRUE)+(Z99-VLOOKUP(Z99,Charge!$R$9:$T$12,1,TRUE))*VLOOKUP(Z99,Charge!$R$9:$T$12,3,TRUE),
VLOOKUP(Z99,Charge!$U$9:$W$12,2,TRUE)+(Z99-VLOOKUP(Z99,Charge!$U$9:$W$12,1,TRUE))*VLOOKUP(Z99,Charge!$U$9:$W$12,3,TRUE)),IF(AND(B99="G4",M99=""),IF(R99="20'",Z99*Charge!$M$25,Z99*Charge!$P$25),IF(AND(B99="G4",M99="DG"),IF(R99="20'",Z99*Charge!$T$25,Z99*Charge!$W$25),0))))))))</f>
        <v>1280</v>
      </c>
      <c r="AB99" s="184" t="n"/>
      <c r="AC99" s="184" t="n"/>
      <c r="AD99" s="60">
        <f>IF(M99="DG",3,IF(N99="RF",3,5))+IF(AND(LEFT(C99,3)="BKK",N99="RF",Q99="KTS"),1,0)+IF(Q99="KHS",1,0)</f>
        <v>5</v>
      </c>
      <c r="AE99" s="63">
        <f>(T99-V99)+1</f>
        <v>46304</v>
      </c>
      <c r="AF99" s="63">
        <f>IF(AB99&gt;IF((V99-W99)&gt;0,V99-W99,0),0,IF(AB99&lt;IF((V99-W99)&gt;0,V99-W99,0),IF((V99-W99)&gt;0,V99-W99,0)-AB99,IF((V99-W99)&gt;0,V99-W99,0)))</f>
        <v>0</v>
      </c>
      <c r="AG99" s="187">
        <f>IF(AND(M99=""),IF(R99="20'",
VLOOKUP(AF99,Charge!$K$31:$M$34,2,TRUE)+(AF99-VLOOKUP(AF99,Charge!$K$31:$M$34,1,TRUE))*VLOOKUP(AF99,Charge!$K$31:$M$34,3,TRUE),
VLOOKUP(AF99,Charge!$N$31:$P$34,2,TRUE)+(AF99-VLOOKUP(AF99,Charge!$N$31:$P$34,1,TRUE))*VLOOKUP(AF99,Charge!$N$31:$P$34,3,TRUE)),
IF(AND(M99="DG"),IF(R99="20'",
VLOOKUP(AF99,Charge!$R$31:$T$34,2,TRUE)+(AF99-VLOOKUP(AF99,Charge!$R$31:$T$34,1,TRUE))*VLOOKUP(AF99,Charge!$R$31:$T$34,3,TRUE),
VLOOKUP(AF99,Charge!$U$31:$W$34,2,TRUE)+(AF99-VLOOKUP(AF99,Charge!$U$31:$W$34,1,TRUE))*VLOOKUP(AF99,Charge!$U$31:$W$34,3,TRUE)),0))</f>
        <v>0</v>
      </c>
      <c r="AH99" s="65" t="n"/>
      <c r="AI99" s="65">
        <f>AA99-AH99</f>
        <v>1280</v>
      </c>
      <c r="AJ99" s="188" t="n"/>
      <c r="AK99" s="62" t="str">
        <f>VLOOKUP(D99,'2.Bookinglist'!A:CT,40,FALSE)</f>
        <v>KIM JEONG HWAN</v>
      </c>
      <c r="AL99" s="60" t="str">
        <f>VLOOKUP(D99,'2.Bookinglist'!A:CW,101,FALSE)</f>
        <v>2026-10-07</v>
      </c>
      <c r="AM99" s="60" t="str">
        <f>VLOOKUP(D99,'2.Bookinglist'!A:BK,63,FALSE)</f>
        <v>BKK25</v>
      </c>
      <c r="AN99" s="62" t="str">
        <f>VLOOKUP(D99,'2.Bookinglist'!A:AZ,52,FALSE)</f>
        <v>SWSP/2609N/10/18[FIX] Pickup : 2026-10-01, Return : 2026-10-03 </v>
      </c>
      <c r="AO99" s="62">
        <f>VLOOKUP(D99,'2.Bookinglist'!A:CY,103,FALSE)</f>
        <v>0</v>
      </c>
    </row>
    <row r="100" ht="12.95" customHeight="1">
      <c r="A100" s="96" t="inlineStr">
        <is>
          <t>SKHU9815796</t>
        </is>
      </c>
      <c r="B100" s="184" t="str">
        <f>IF(C100=Charge!$M$1,Charge!$J$1,IF(C100=Charge!$M$23,Charge!$J$23,IF(C100=Charge!$M$17,Charge!$J$17,IF(C100=Charge!$N$17,Charge!$J$17,Charge!$J$7))))</f>
        <v>G3</v>
      </c>
      <c r="C100" s="61" t="str">
        <f>VLOOKUP(A100,'1.Loading'!A:R,14,FALSE)</f>
        <v>BKK04</v>
      </c>
      <c r="D100" s="61" t="str">
        <f>VLOOKUP(A100,'1.Loading'!A:R,17,FALSE)</f>
        <v>HASLS22260902210</v>
      </c>
      <c r="E100" s="62" t="str">
        <f>VLOOKUP(D100,'2.Bookinglist'!A:CT,27,FALSE)</f>
        <v>CAPRICORN LOGISTICS CO., LTD.</v>
      </c>
      <c r="F100" s="62" t="str">
        <f>VLOOKUP(D100,'2.Bookinglist'!A:CT,28,FALSE)</f>
        <v>SWAN INDUSTRIES (THAILAND) LTD.</v>
      </c>
      <c r="G100" s="60">
        <f>VLOOKUP(D100,'2.Bookinglist'!A:E,5,FALSE)</f>
        <v>0</v>
      </c>
      <c r="H100" s="61" t="str">
        <f>VLOOKUP(D100,'2.Bookinglist'!A:CT,15,FALSE)</f>
        <v>THBKK</v>
      </c>
      <c r="I100" s="61" t="str">
        <f>VLOOKUP(D100,'2.Bookinglist'!A:CT,19,FALSE)</f>
        <v>VNSGN</v>
      </c>
      <c r="J100" s="61">
        <f>VLOOKUP(D100,'2.Bookinglist'!A:CT,26,FALSE)</f>
        <v>0</v>
      </c>
      <c r="K100" s="61" t="str">
        <f>VLOOKUP(A100,'1.Loading'!A:R,5,FALSE)</f>
        <v>45GP</v>
      </c>
      <c r="L100" s="60" t="str">
        <f>VLOOKUP(D100,'2.Bookinglist'!A:CT,85,FALSE)</f>
        <v>CY/CY</v>
      </c>
      <c r="M100" s="60" t="str">
        <f>IF(VLOOKUP(D100,'2.Bookinglist'!A:CT,43,FALSE)=0,"","DG")</f>
        <v/>
      </c>
      <c r="N100" s="60" t="str">
        <f>IF(RIGHT(K100,2)="RE","RF","")</f>
        <v/>
      </c>
      <c r="O100" s="61" t="str">
        <f>VLOOKUP(A100,'1.Loading'!A:R,3,FALSE)</f>
        <v>SWSP</v>
      </c>
      <c r="P100" s="61" t="str">
        <f>VLOOKUP(A100,'1.Loading'!A:R,4,FALSE)</f>
        <v>2609N</v>
      </c>
      <c r="Q100" s="61" t="str">
        <f>VLOOKUP(D100,'2.Bookinglist'!A:CT,12,FALSE)</f>
        <v>BTS</v>
      </c>
      <c r="R100" s="60" t="str">
        <f>IF(LEFT(K100,2)="22","20'","40'")</f>
        <v>40'</v>
      </c>
      <c r="S100" s="185" t="n"/>
      <c r="T100" s="61" t="str">
        <f>VLOOKUP(A100,'1.Loading'!A:R,2,FALSE)</f>
        <v>2026-10-08</v>
      </c>
      <c r="U100" s="63">
        <f>T100-S100</f>
        <v>46303</v>
      </c>
      <c r="V100" s="186" t="n"/>
      <c r="W100" s="61" t="str">
        <f>VLOOKUP(A100,'3.GateMove'!A:D,4,FALSE)</f>
        <v>2026-10-04</v>
      </c>
      <c r="X100" s="63">
        <f>((T100-W100)+1)</f>
        <v>5</v>
      </c>
      <c r="Y100" s="64">
        <f>IF(AND(OR(C100="BKK01",C100="BKK04"),L100="CFS/CY"),0,IF(M100="DG",1,IF(LEFT(C100,3)="LCH",7,IF(C100="BKK02",5,3))))</f>
        <v>3</v>
      </c>
      <c r="Z100" s="63">
        <f>IF(IF(AND(AC100="TML",AB100&gt;0),((T100-W100)+1)-AB100,((T100-W100)+1)-Y100)&gt;0,IF(AND(AC100="TML",AB100&gt;0),((T100-W100)+1)-AB100,((T100-W100)+1)-Y100),0)</f>
        <v>2</v>
      </c>
      <c r="AA100" s="187">
        <f>IF(AND(B100="G1",M100=""),IF(R100="20'",
VLOOKUP(Z100,Charge!$K$2:$M$5,2,TRUE)+(Z100-VLOOKUP(Z100,Charge!$K$2:$M$5,1,TRUE))*VLOOKUP(Z100,Charge!$K$2:$M$5,3,TRUE),
VLOOKUP(Z100,Charge!$N$2:$P$5,2,TRUE)+(Z100-VLOOKUP(Z100,Charge!$N$2:$P$5,1,TRUE))*VLOOKUP(Z100,Charge!$N$2:$P$5,3,TRUE)),
IF(AND(B100="G1",M100="DG"),IF(R100="20'",
VLOOKUP(Z100,Charge!$R$2:$T$5,2,TRUE)+(Z100-VLOOKUP(Z100,Charge!$R$2:$T$5,1,TRUE))*VLOOKUP(Z100,Charge!$R$2:$T$5,3,TRUE),
VLOOKUP(Z100,Charge!$U$2:$W$5,2,TRUE)+(Z100-VLOOKUP(Z100,Charge!$U$2:$W$5,1,TRUE))*VLOOKUP(Z100,Charge!$U$2:$W$5,3,TRUE)),
IF(AND(B100="G3",M100=""),IF(R100="20'",
VLOOKUP(Z100,Charge!$K$18:$M$21,2,TRUE)+(Z100-VLOOKUP(Z100,Charge!$K$18:$M$21,1,TRUE))*VLOOKUP(Z100,Charge!$K$18:$M$21,3,TRUE),
VLOOKUP(Z100,Charge!$N$18:$P$21,2,TRUE)+(Z100-VLOOKUP(Z100,Charge!$N$18:$P$21,1,TRUE))*VLOOKUP(Z100,Charge!$N$18:$P$21,3,TRUE)),
IF(AND(B100="G3",M100="DG"),IF(R100="20'",
VLOOKUP(Z100,Charge!$R$18:$T$21,2,TRUE)+(Z100-VLOOKUP(Z100,Charge!$R$18:$T$21,1,TRUE))*VLOOKUP(Z100,Charge!$R$18:$T$21,3,TRUE),
VLOOKUP(Z100,Charge!$U$18:$W$21,2,TRUE)+(Z100-VLOOKUP(Z100,Charge!$U$18:$W$21,1,TRUE))*VLOOKUP(Z100,Charge!$U$18:$W$21,3,TRUE)),
IF(AND(B100="G2",M100=""),IF(R100="20'",
VLOOKUP(Z100,Charge!$K$9:$M$12,2,TRUE)+(Z100-VLOOKUP(Z100,Charge!$K$9:$M$12,1,TRUE))*VLOOKUP(Z100,Charge!$K$9:$M$12,3,TRUE),
VLOOKUP(Z100,Charge!$N$9:$P$12,2,TRUE)+(Z100-VLOOKUP(Z100,Charge!$N$9:$P$12,1,TRUE))*VLOOKUP(Z100,Charge!$N$9:$P$12,3,TRUE)),
IF(AND(B100="G2",M100="DG"),IF(R100="20'",
VLOOKUP(Z100,Charge!$R$9:$T$12,2,TRUE)+(Z100-VLOOKUP(Z100,Charge!$R$9:$T$12,1,TRUE))*VLOOKUP(Z100,Charge!$R$9:$T$12,3,TRUE),
VLOOKUP(Z100,Charge!$U$9:$W$12,2,TRUE)+(Z100-VLOOKUP(Z100,Charge!$U$9:$W$12,1,TRUE))*VLOOKUP(Z100,Charge!$U$9:$W$12,3,TRUE)),IF(AND(B100="G4",M100=""),IF(R100="20'",Z100*Charge!$M$25,Z100*Charge!$P$25),IF(AND(B100="G4",M100="DG"),IF(R100="20'",Z100*Charge!$T$25,Z100*Charge!$W$25),0))))))))</f>
        <v>640</v>
      </c>
      <c r="AB100" s="184" t="n"/>
      <c r="AC100" s="184" t="n"/>
      <c r="AD100" s="60">
        <f>IF(M100="DG",3,IF(N100="RF",3,5))+IF(AND(LEFT(C100,3)="BKK",N100="RF",Q100="KTS"),1,0)+IF(Q100="KHS",1,0)</f>
        <v>5</v>
      </c>
      <c r="AE100" s="63">
        <f>(T100-V100)+1</f>
        <v>46304</v>
      </c>
      <c r="AF100" s="63">
        <f>IF(AB100&gt;IF((V100-W100)&gt;0,V100-W100,0),0,IF(AB100&lt;IF((V100-W100)&gt;0,V100-W100,0),IF((V100-W100)&gt;0,V100-W100,0)-AB100,IF((V100-W100)&gt;0,V100-W100,0)))</f>
        <v>0</v>
      </c>
      <c r="AG100" s="187">
        <f>IF(AND(M100=""),IF(R100="20'",
VLOOKUP(AF100,Charge!$K$31:$M$34,2,TRUE)+(AF100-VLOOKUP(AF100,Charge!$K$31:$M$34,1,TRUE))*VLOOKUP(AF100,Charge!$K$31:$M$34,3,TRUE),
VLOOKUP(AF100,Charge!$N$31:$P$34,2,TRUE)+(AF100-VLOOKUP(AF100,Charge!$N$31:$P$34,1,TRUE))*VLOOKUP(AF100,Charge!$N$31:$P$34,3,TRUE)),
IF(AND(M100="DG"),IF(R100="20'",
VLOOKUP(AF100,Charge!$R$31:$T$34,2,TRUE)+(AF100-VLOOKUP(AF100,Charge!$R$31:$T$34,1,TRUE))*VLOOKUP(AF100,Charge!$R$31:$T$34,3,TRUE),
VLOOKUP(AF100,Charge!$U$31:$W$34,2,TRUE)+(AF100-VLOOKUP(AF100,Charge!$U$31:$W$34,1,TRUE))*VLOOKUP(AF100,Charge!$U$31:$W$34,3,TRUE)),0))</f>
        <v>0</v>
      </c>
      <c r="AH100" s="65" t="n"/>
      <c r="AI100" s="65">
        <f>AA100-AH100</f>
        <v>640</v>
      </c>
      <c r="AJ100" s="188" t="n"/>
      <c r="AK100" s="62" t="str">
        <f>VLOOKUP(D100,'2.Bookinglist'!A:CT,40,FALSE)</f>
        <v>Nguyen Xuan Toan</v>
      </c>
      <c r="AL100" s="60" t="str">
        <f>VLOOKUP(D100,'2.Bookinglist'!A:CW,101,FALSE)</f>
        <v>2026-10-05</v>
      </c>
      <c r="AM100" s="60" t="str">
        <f>VLOOKUP(D100,'2.Bookinglist'!A:BK,63,FALSE)</f>
        <v>BKK27</v>
      </c>
      <c r="AN100" s="62" t="str">
        <f>VLOOKUP(D100,'2.Bookinglist'!A:AZ,52,FALSE)</f>
        <v>Pickup : 2026-10-03, Return : 2026-10-04 </v>
      </c>
      <c r="AO100" s="62">
        <f>VLOOKUP(D100,'2.Bookinglist'!A:CY,103,FALSE)</f>
        <v>0</v>
      </c>
    </row>
    <row r="101" ht="12.95" customHeight="1">
      <c r="A101" s="96" t="inlineStr">
        <is>
          <t>SKHU9944303</t>
        </is>
      </c>
      <c r="B101" s="184" t="str">
        <f>IF(C101=Charge!$M$1,Charge!$J$1,IF(C101=Charge!$M$23,Charge!$J$23,IF(C101=Charge!$M$17,Charge!$J$17,IF(C101=Charge!$N$17,Charge!$J$17,Charge!$J$7))))</f>
        <v>G3</v>
      </c>
      <c r="C101" s="61" t="str">
        <f>VLOOKUP(A101,'1.Loading'!A:R,14,FALSE)</f>
        <v>BKK04</v>
      </c>
      <c r="D101" s="61" t="str">
        <f>VLOOKUP(A101,'1.Loading'!A:R,17,FALSE)</f>
        <v>HASLS22260801164</v>
      </c>
      <c r="E101" s="62" t="str">
        <f>VLOOKUP(D101,'2.Bookinglist'!A:CT,27,FALSE)</f>
        <v>MAXTOP LOGISTICS (THAILAND) CO., LTD.</v>
      </c>
      <c r="F101" s="62" t="str">
        <f>VLOOKUP(D101,'2.Bookinglist'!A:CT,28,FALSE)</f>
        <v>FAD THAI LTD.,PART</v>
      </c>
      <c r="G101" s="60">
        <f>VLOOKUP(D101,'2.Bookinglist'!A:E,5,FALSE)</f>
        <v>0</v>
      </c>
      <c r="H101" s="61" t="str">
        <f>VLOOKUP(D101,'2.Bookinglist'!A:CT,15,FALSE)</f>
        <v>THBKK</v>
      </c>
      <c r="I101" s="61" t="str">
        <f>VLOOKUP(D101,'2.Bookinglist'!A:CT,19,FALSE)</f>
        <v>KRPTK</v>
      </c>
      <c r="J101" s="61">
        <f>VLOOKUP(D101,'2.Bookinglist'!A:CT,26,FALSE)</f>
        <v>0</v>
      </c>
      <c r="K101" s="61" t="str">
        <f>VLOOKUP(A101,'1.Loading'!A:R,5,FALSE)</f>
        <v>45GP</v>
      </c>
      <c r="L101" s="60" t="str">
        <f>VLOOKUP(D101,'2.Bookinglist'!A:CT,85,FALSE)</f>
        <v>CY/CY</v>
      </c>
      <c r="M101" s="60" t="str">
        <f>IF(VLOOKUP(D101,'2.Bookinglist'!A:CT,43,FALSE)=0,"","DG")</f>
        <v/>
      </c>
      <c r="N101" s="60" t="str">
        <f>IF(RIGHT(K101,2)="RE","RF","")</f>
        <v/>
      </c>
      <c r="O101" s="61" t="str">
        <f>VLOOKUP(A101,'1.Loading'!A:R,3,FALSE)</f>
        <v>SWSP</v>
      </c>
      <c r="P101" s="61" t="str">
        <f>VLOOKUP(A101,'1.Loading'!A:R,4,FALSE)</f>
        <v>2609N</v>
      </c>
      <c r="Q101" s="61" t="str">
        <f>VLOOKUP(D101,'2.Bookinglist'!A:CT,12,FALSE)</f>
        <v>BTS</v>
      </c>
      <c r="R101" s="60" t="str">
        <f>IF(LEFT(K101,2)="22","20'","40'")</f>
        <v>40'</v>
      </c>
      <c r="S101" s="185" t="n"/>
      <c r="T101" s="61" t="str">
        <f>VLOOKUP(A101,'1.Loading'!A:R,2,FALSE)</f>
        <v>2026-10-08</v>
      </c>
      <c r="U101" s="63">
        <f>T101-S101</f>
        <v>46303</v>
      </c>
      <c r="V101" s="186" t="n"/>
      <c r="W101" s="61" t="str">
        <f>VLOOKUP(A101,'3.GateMove'!A:D,4,FALSE)</f>
        <v>2026-10-03</v>
      </c>
      <c r="X101" s="63">
        <f>((T101-W101)+1)</f>
        <v>6</v>
      </c>
      <c r="Y101" s="64">
        <f>IF(AND(OR(C101="BKK01",C101="BKK04"),L101="CFS/CY"),0,IF(M101="DG",1,IF(LEFT(C101,3)="LCH",7,IF(C101="BKK02",5,3))))</f>
        <v>3</v>
      </c>
      <c r="Z101" s="63">
        <f>IF(IF(AND(AC101="TML",AB101&gt;0),((T101-W101)+1)-AB101,((T101-W101)+1)-Y101)&gt;0,IF(AND(AC101="TML",AB101&gt;0),((T101-W101)+1)-AB101,((T101-W101)+1)-Y101),0)</f>
        <v>3</v>
      </c>
      <c r="AA101" s="187">
        <f>IF(AND(B101="G1",M101=""),IF(R101="20'",
VLOOKUP(Z101,Charge!$K$2:$M$5,2,TRUE)+(Z101-VLOOKUP(Z101,Charge!$K$2:$M$5,1,TRUE))*VLOOKUP(Z101,Charge!$K$2:$M$5,3,TRUE),
VLOOKUP(Z101,Charge!$N$2:$P$5,2,TRUE)+(Z101-VLOOKUP(Z101,Charge!$N$2:$P$5,1,TRUE))*VLOOKUP(Z101,Charge!$N$2:$P$5,3,TRUE)),
IF(AND(B101="G1",M101="DG"),IF(R101="20'",
VLOOKUP(Z101,Charge!$R$2:$T$5,2,TRUE)+(Z101-VLOOKUP(Z101,Charge!$R$2:$T$5,1,TRUE))*VLOOKUP(Z101,Charge!$R$2:$T$5,3,TRUE),
VLOOKUP(Z101,Charge!$U$2:$W$5,2,TRUE)+(Z101-VLOOKUP(Z101,Charge!$U$2:$W$5,1,TRUE))*VLOOKUP(Z101,Charge!$U$2:$W$5,3,TRUE)),
IF(AND(B101="G3",M101=""),IF(R101="20'",
VLOOKUP(Z101,Charge!$K$18:$M$21,2,TRUE)+(Z101-VLOOKUP(Z101,Charge!$K$18:$M$21,1,TRUE))*VLOOKUP(Z101,Charge!$K$18:$M$21,3,TRUE),
VLOOKUP(Z101,Charge!$N$18:$P$21,2,TRUE)+(Z101-VLOOKUP(Z101,Charge!$N$18:$P$21,1,TRUE))*VLOOKUP(Z101,Charge!$N$18:$P$21,3,TRUE)),
IF(AND(B101="G3",M101="DG"),IF(R101="20'",
VLOOKUP(Z101,Charge!$R$18:$T$21,2,TRUE)+(Z101-VLOOKUP(Z101,Charge!$R$18:$T$21,1,TRUE))*VLOOKUP(Z101,Charge!$R$18:$T$21,3,TRUE),
VLOOKUP(Z101,Charge!$U$18:$W$21,2,TRUE)+(Z101-VLOOKUP(Z101,Charge!$U$18:$W$21,1,TRUE))*VLOOKUP(Z101,Charge!$U$18:$W$21,3,TRUE)),
IF(AND(B101="G2",M101=""),IF(R101="20'",
VLOOKUP(Z101,Charge!$K$9:$M$12,2,TRUE)+(Z101-VLOOKUP(Z101,Charge!$K$9:$M$12,1,TRUE))*VLOOKUP(Z101,Charge!$K$9:$M$12,3,TRUE),
VLOOKUP(Z101,Charge!$N$9:$P$12,2,TRUE)+(Z101-VLOOKUP(Z101,Charge!$N$9:$P$12,1,TRUE))*VLOOKUP(Z101,Charge!$N$9:$P$12,3,TRUE)),
IF(AND(B101="G2",M101="DG"),IF(R101="20'",
VLOOKUP(Z101,Charge!$R$9:$T$12,2,TRUE)+(Z101-VLOOKUP(Z101,Charge!$R$9:$T$12,1,TRUE))*VLOOKUP(Z101,Charge!$R$9:$T$12,3,TRUE),
VLOOKUP(Z101,Charge!$U$9:$W$12,2,TRUE)+(Z101-VLOOKUP(Z101,Charge!$U$9:$W$12,1,TRUE))*VLOOKUP(Z101,Charge!$U$9:$W$12,3,TRUE)),IF(AND(B101="G4",M101=""),IF(R101="20'",Z101*Charge!$M$25,Z101*Charge!$P$25),IF(AND(B101="G4",M101="DG"),IF(R101="20'",Z101*Charge!$T$25,Z101*Charge!$W$25),0))))))))</f>
        <v>960</v>
      </c>
      <c r="AB101" s="184" t="n"/>
      <c r="AC101" s="184" t="n"/>
      <c r="AD101" s="60">
        <f>IF(M101="DG",3,IF(N101="RF",3,5))+IF(AND(LEFT(C101,3)="BKK",N101="RF",Q101="KTS"),1,0)+IF(Q101="KHS",1,0)</f>
        <v>5</v>
      </c>
      <c r="AE101" s="63">
        <f>(T101-V101)+1</f>
        <v>46304</v>
      </c>
      <c r="AF101" s="63">
        <f>IF(AB101&gt;IF((V101-W101)&gt;0,V101-W101,0),0,IF(AB101&lt;IF((V101-W101)&gt;0,V101-W101,0),IF((V101-W101)&gt;0,V101-W101,0)-AB101,IF((V101-W101)&gt;0,V101-W101,0)))</f>
        <v>0</v>
      </c>
      <c r="AG101" s="187">
        <f>IF(AND(M101=""),IF(R101="20'",
VLOOKUP(AF101,Charge!$K$31:$M$34,2,TRUE)+(AF101-VLOOKUP(AF101,Charge!$K$31:$M$34,1,TRUE))*VLOOKUP(AF101,Charge!$K$31:$M$34,3,TRUE),
VLOOKUP(AF101,Charge!$N$31:$P$34,2,TRUE)+(AF101-VLOOKUP(AF101,Charge!$N$31:$P$34,1,TRUE))*VLOOKUP(AF101,Charge!$N$31:$P$34,3,TRUE)),
IF(AND(M101="DG"),IF(R101="20'",
VLOOKUP(AF101,Charge!$R$31:$T$34,2,TRUE)+(AF101-VLOOKUP(AF101,Charge!$R$31:$T$34,1,TRUE))*VLOOKUP(AF101,Charge!$R$31:$T$34,3,TRUE),
VLOOKUP(AF101,Charge!$U$31:$W$34,2,TRUE)+(AF101-VLOOKUP(AF101,Charge!$U$31:$W$34,1,TRUE))*VLOOKUP(AF101,Charge!$U$31:$W$34,3,TRUE)),0))</f>
        <v>0</v>
      </c>
      <c r="AH101" s="65" t="n"/>
      <c r="AI101" s="65">
        <f>AA101-AH101</f>
        <v>960</v>
      </c>
      <c r="AJ101" s="188" t="n"/>
      <c r="AK101" s="62" t="str">
        <f>VLOOKUP(D101,'2.Bookinglist'!A:CT,40,FALSE)</f>
        <v>Arunphat W. (Aiw)</v>
      </c>
      <c r="AL101" s="60" t="str">
        <f>VLOOKUP(D101,'2.Bookinglist'!A:CW,101,FALSE)</f>
        <v>2026-10-07</v>
      </c>
      <c r="AM101" s="60" t="str">
        <f>VLOOKUP(D101,'2.Bookinglist'!A:BK,63,FALSE)</f>
        <v>BKK27</v>
      </c>
      <c r="AN101" s="62" t="str">
        <f>VLOOKUP(D101,'2.Bookinglist'!A:AZ,52,FALSE)</f>
        <v>Pickup : 2026-10-02, Return : 2026-10-03 </v>
      </c>
      <c r="AO101" s="62">
        <f>VLOOKUP(D101,'2.Bookinglist'!A:CY,103,FALSE)</f>
        <v>0</v>
      </c>
    </row>
    <row r="102" ht="12.95" customHeight="1">
      <c r="A102" s="96" t="inlineStr">
        <is>
          <t>SKLU0568034</t>
        </is>
      </c>
      <c r="B102" s="184" t="str">
        <f>IF(C102=Charge!$M$1,Charge!$J$1,IF(C102=Charge!$M$23,Charge!$J$23,IF(C102=Charge!$M$17,Charge!$J$17,IF(C102=Charge!$N$17,Charge!$J$17,Charge!$J$7))))</f>
        <v>G3</v>
      </c>
      <c r="C102" s="61" t="str">
        <f>VLOOKUP(A102,'1.Loading'!A:R,14,FALSE)</f>
        <v>BKK04</v>
      </c>
      <c r="D102" s="61" t="str">
        <f>VLOOKUP(A102,'1.Loading'!A:R,17,FALSE)</f>
        <v>HASLS22260901245</v>
      </c>
      <c r="E102" s="62" t="str">
        <f>VLOOKUP(D102,'2.Bookinglist'!A:CT,27,FALSE)</f>
        <v>BANGKOK COLD STORAGE SERVICE,LTD</v>
      </c>
      <c r="F102" s="62" t="str">
        <f>VLOOKUP(D102,'2.Bookinglist'!A:CT,28,FALSE)</f>
        <v>UENO FINE CHEMICALS INDUSTRY (THAILAND) LTD.</v>
      </c>
      <c r="G102" s="60">
        <f>VLOOKUP(D102,'2.Bookinglist'!A:E,5,FALSE)</f>
        <v>0</v>
      </c>
      <c r="H102" s="61" t="str">
        <f>VLOOKUP(D102,'2.Bookinglist'!A:CT,15,FALSE)</f>
        <v>THBKK</v>
      </c>
      <c r="I102" s="61" t="str">
        <f>VLOOKUP(D102,'2.Bookinglist'!A:CT,19,FALSE)</f>
        <v>JPMIZ</v>
      </c>
      <c r="J102" s="61" t="str">
        <f>VLOOKUP(D102,'2.Bookinglist'!A:CT,26,FALSE)</f>
        <v>KRPUS</v>
      </c>
      <c r="K102" s="61" t="str">
        <f>VLOOKUP(A102,'1.Loading'!A:R,5,FALSE)</f>
        <v>22GP</v>
      </c>
      <c r="L102" s="60" t="str">
        <f>VLOOKUP(D102,'2.Bookinglist'!A:CT,85,FALSE)</f>
        <v>CY/CY</v>
      </c>
      <c r="M102" s="60" t="str">
        <f>IF(VLOOKUP(D102,'2.Bookinglist'!A:CT,43,FALSE)=0,"","DG")</f>
        <v/>
      </c>
      <c r="N102" s="60" t="str">
        <f>IF(RIGHT(K102,2)="RE","RF","")</f>
        <v/>
      </c>
      <c r="O102" s="61" t="str">
        <f>VLOOKUP(A102,'1.Loading'!A:R,3,FALSE)</f>
        <v>SWSP</v>
      </c>
      <c r="P102" s="61" t="str">
        <f>VLOOKUP(A102,'1.Loading'!A:R,4,FALSE)</f>
        <v>2609N</v>
      </c>
      <c r="Q102" s="61" t="str">
        <f>VLOOKUP(D102,'2.Bookinglist'!A:CT,12,FALSE)</f>
        <v>BTS</v>
      </c>
      <c r="R102" s="60" t="str">
        <f>IF(LEFT(K102,2)="22","20'","40'")</f>
        <v>20'</v>
      </c>
      <c r="S102" s="185" t="n"/>
      <c r="T102" s="61" t="str">
        <f>VLOOKUP(A102,'1.Loading'!A:R,2,FALSE)</f>
        <v>2026-10-08</v>
      </c>
      <c r="U102" s="63">
        <f>T102-S102</f>
        <v>46303</v>
      </c>
      <c r="V102" s="186" t="n"/>
      <c r="W102" s="61" t="str">
        <f>VLOOKUP(A102,'3.GateMove'!A:D,4,FALSE)</f>
        <v>2026-09-30</v>
      </c>
      <c r="X102" s="63">
        <f>((T102-W102)+1)</f>
        <v>9</v>
      </c>
      <c r="Y102" s="64">
        <f>IF(AND(OR(C102="BKK01",C102="BKK04"),L102="CFS/CY"),0,IF(M102="DG",1,IF(LEFT(C102,3)="LCH",7,IF(C102="BKK02",5,3))))</f>
        <v>3</v>
      </c>
      <c r="Z102" s="63">
        <f>IF(IF(AND(AC102="TML",AB102&gt;0),((T102-W102)+1)-AB102,((T102-W102)+1)-Y102)&gt;0,IF(AND(AC102="TML",AB102&gt;0),((T102-W102)+1)-AB102,((T102-W102)+1)-Y102),0)</f>
        <v>6</v>
      </c>
      <c r="AA102" s="187">
        <f>IF(AND(B102="G1",M102=""),IF(R102="20'",
VLOOKUP(Z102,Charge!$K$2:$M$5,2,TRUE)+(Z102-VLOOKUP(Z102,Charge!$K$2:$M$5,1,TRUE))*VLOOKUP(Z102,Charge!$K$2:$M$5,3,TRUE),
VLOOKUP(Z102,Charge!$N$2:$P$5,2,TRUE)+(Z102-VLOOKUP(Z102,Charge!$N$2:$P$5,1,TRUE))*VLOOKUP(Z102,Charge!$N$2:$P$5,3,TRUE)),
IF(AND(B102="G1",M102="DG"),IF(R102="20'",
VLOOKUP(Z102,Charge!$R$2:$T$5,2,TRUE)+(Z102-VLOOKUP(Z102,Charge!$R$2:$T$5,1,TRUE))*VLOOKUP(Z102,Charge!$R$2:$T$5,3,TRUE),
VLOOKUP(Z102,Charge!$U$2:$W$5,2,TRUE)+(Z102-VLOOKUP(Z102,Charge!$U$2:$W$5,1,TRUE))*VLOOKUP(Z102,Charge!$U$2:$W$5,3,TRUE)),
IF(AND(B102="G3",M102=""),IF(R102="20'",
VLOOKUP(Z102,Charge!$K$18:$M$21,2,TRUE)+(Z102-VLOOKUP(Z102,Charge!$K$18:$M$21,1,TRUE))*VLOOKUP(Z102,Charge!$K$18:$M$21,3,TRUE),
VLOOKUP(Z102,Charge!$N$18:$P$21,2,TRUE)+(Z102-VLOOKUP(Z102,Charge!$N$18:$P$21,1,TRUE))*VLOOKUP(Z102,Charge!$N$18:$P$21,3,TRUE)),
IF(AND(B102="G3",M102="DG"),IF(R102="20'",
VLOOKUP(Z102,Charge!$R$18:$T$21,2,TRUE)+(Z102-VLOOKUP(Z102,Charge!$R$18:$T$21,1,TRUE))*VLOOKUP(Z102,Charge!$R$18:$T$21,3,TRUE),
VLOOKUP(Z102,Charge!$U$18:$W$21,2,TRUE)+(Z102-VLOOKUP(Z102,Charge!$U$18:$W$21,1,TRUE))*VLOOKUP(Z102,Charge!$U$18:$W$21,3,TRUE)),
IF(AND(B102="G2",M102=""),IF(R102="20'",
VLOOKUP(Z102,Charge!$K$9:$M$12,2,TRUE)+(Z102-VLOOKUP(Z102,Charge!$K$9:$M$12,1,TRUE))*VLOOKUP(Z102,Charge!$K$9:$M$12,3,TRUE),
VLOOKUP(Z102,Charge!$N$9:$P$12,2,TRUE)+(Z102-VLOOKUP(Z102,Charge!$N$9:$P$12,1,TRUE))*VLOOKUP(Z102,Charge!$N$9:$P$12,3,TRUE)),
IF(AND(B102="G2",M102="DG"),IF(R102="20'",
VLOOKUP(Z102,Charge!$R$9:$T$12,2,TRUE)+(Z102-VLOOKUP(Z102,Charge!$R$9:$T$12,1,TRUE))*VLOOKUP(Z102,Charge!$R$9:$T$12,3,TRUE),
VLOOKUP(Z102,Charge!$U$9:$W$12,2,TRUE)+(Z102-VLOOKUP(Z102,Charge!$U$9:$W$12,1,TRUE))*VLOOKUP(Z102,Charge!$U$9:$W$12,3,TRUE)),IF(AND(B102="G4",M102=""),IF(R102="20'",Z102*Charge!$M$25,Z102*Charge!$P$25),IF(AND(B102="G4",M102="DG"),IF(R102="20'",Z102*Charge!$T$25,Z102*Charge!$W$25),0))))))))</f>
        <v>960</v>
      </c>
      <c r="AB102" s="184" t="n"/>
      <c r="AC102" s="184" t="n"/>
      <c r="AD102" s="60">
        <f>IF(M102="DG",3,IF(N102="RF",3,5))+IF(AND(LEFT(C102,3)="BKK",N102="RF",Q102="KTS"),1,0)+IF(Q102="KHS",1,0)</f>
        <v>5</v>
      </c>
      <c r="AE102" s="63">
        <f>(T102-V102)+1</f>
        <v>46304</v>
      </c>
      <c r="AF102" s="63">
        <f>IF(AB102&gt;IF((V102-W102)&gt;0,V102-W102,0),0,IF(AB102&lt;IF((V102-W102)&gt;0,V102-W102,0),IF((V102-W102)&gt;0,V102-W102,0)-AB102,IF((V102-W102)&gt;0,V102-W102,0)))</f>
        <v>0</v>
      </c>
      <c r="AG102" s="187">
        <f>IF(AND(M102=""),IF(R102="20'",
VLOOKUP(AF102,Charge!$K$31:$M$34,2,TRUE)+(AF102-VLOOKUP(AF102,Charge!$K$31:$M$34,1,TRUE))*VLOOKUP(AF102,Charge!$K$31:$M$34,3,TRUE),
VLOOKUP(AF102,Charge!$N$31:$P$34,2,TRUE)+(AF102-VLOOKUP(AF102,Charge!$N$31:$P$34,1,TRUE))*VLOOKUP(AF102,Charge!$N$31:$P$34,3,TRUE)),
IF(AND(M102="DG"),IF(R102="20'",
VLOOKUP(AF102,Charge!$R$31:$T$34,2,TRUE)+(AF102-VLOOKUP(AF102,Charge!$R$31:$T$34,1,TRUE))*VLOOKUP(AF102,Charge!$R$31:$T$34,3,TRUE),
VLOOKUP(AF102,Charge!$U$31:$W$34,2,TRUE)+(AF102-VLOOKUP(AF102,Charge!$U$31:$W$34,1,TRUE))*VLOOKUP(AF102,Charge!$U$31:$W$34,3,TRUE)),0))</f>
        <v>0</v>
      </c>
      <c r="AH102" s="65" t="n"/>
      <c r="AI102" s="65">
        <f>AA102-AH102</f>
        <v>960</v>
      </c>
      <c r="AJ102" s="188" t="n"/>
      <c r="AK102" s="62" t="str">
        <f>VLOOKUP(D102,'2.Bookinglist'!A:CT,40,FALSE)</f>
        <v>Yasuaki Ueno</v>
      </c>
      <c r="AL102" s="60" t="str">
        <f>VLOOKUP(D102,'2.Bookinglist'!A:CW,101,FALSE)</f>
        <v>2026-10-07</v>
      </c>
      <c r="AM102" s="60" t="str">
        <f>VLOOKUP(D102,'2.Bookinglist'!A:BK,63,FALSE)</f>
        <v>BKK27</v>
      </c>
      <c r="AN102" s="62" t="str">
        <f>VLOOKUP(D102,'2.Bookinglist'!A:AZ,52,FALSE)</f>
        <v>Pickup : 2026-09-29, Return : 2026-09-29 </v>
      </c>
      <c r="AO102" s="62" t="str">
        <f>VLOOKUP(D102,'2.Bookinglist'!A:CY,103,FALSE)</f>
        <v>ROLL OVER FROM PREVIOUS VSL KMBK 2611N BY ALLOCATION TEAM MS.TARN APPROVED COST IS UNDER HAL DD.01/10SI DD.29/9/26</v>
      </c>
    </row>
    <row r="103" ht="12.95" customHeight="1">
      <c r="A103" s="96" t="inlineStr">
        <is>
          <t>SKLU0569112</t>
        </is>
      </c>
      <c r="B103" s="184" t="str">
        <f>IF(C103=Charge!$M$1,Charge!$J$1,IF(C103=Charge!$M$23,Charge!$J$23,IF(C103=Charge!$M$17,Charge!$J$17,IF(C103=Charge!$N$17,Charge!$J$17,Charge!$J$7))))</f>
        <v>G3</v>
      </c>
      <c r="C103" s="61" t="str">
        <f>VLOOKUP(A103,'1.Loading'!A:R,14,FALSE)</f>
        <v>BKK04</v>
      </c>
      <c r="D103" s="61" t="str">
        <f>VLOOKUP(A103,'1.Loading'!A:R,17,FALSE)</f>
        <v>HASLS22260901431</v>
      </c>
      <c r="E103" s="62" t="str">
        <f>VLOOKUP(D103,'2.Bookinglist'!A:CT,27,FALSE)</f>
        <v>BIZCON LOGISTICS CO., LTD.</v>
      </c>
      <c r="F103" s="62" t="str">
        <f>VLOOKUP(D103,'2.Bookinglist'!A:CT,28,FALSE)</f>
        <v>CHANG JEWELRY POWDER CO., LTD.</v>
      </c>
      <c r="G103" s="60">
        <f>VLOOKUP(D103,'2.Bookinglist'!A:E,5,FALSE)</f>
        <v>0</v>
      </c>
      <c r="H103" s="61" t="str">
        <f>VLOOKUP(D103,'2.Bookinglist'!A:CT,15,FALSE)</f>
        <v>THBKK</v>
      </c>
      <c r="I103" s="61" t="str">
        <f>VLOOKUP(D103,'2.Bookinglist'!A:CT,19,FALSE)</f>
        <v>VNSGN</v>
      </c>
      <c r="J103" s="61">
        <f>VLOOKUP(D103,'2.Bookinglist'!A:CT,26,FALSE)</f>
        <v>0</v>
      </c>
      <c r="K103" s="61" t="str">
        <f>VLOOKUP(A103,'1.Loading'!A:R,5,FALSE)</f>
        <v>22GP</v>
      </c>
      <c r="L103" s="60" t="str">
        <f>VLOOKUP(D103,'2.Bookinglist'!A:CT,85,FALSE)</f>
        <v>CY/CY</v>
      </c>
      <c r="M103" s="60" t="str">
        <f>IF(VLOOKUP(D103,'2.Bookinglist'!A:CT,43,FALSE)=0,"","DG")</f>
        <v/>
      </c>
      <c r="N103" s="60" t="str">
        <f>IF(RIGHT(K103,2)="RE","RF","")</f>
        <v/>
      </c>
      <c r="O103" s="61" t="str">
        <f>VLOOKUP(A103,'1.Loading'!A:R,3,FALSE)</f>
        <v>SWSP</v>
      </c>
      <c r="P103" s="61" t="str">
        <f>VLOOKUP(A103,'1.Loading'!A:R,4,FALSE)</f>
        <v>2609N</v>
      </c>
      <c r="Q103" s="61" t="str">
        <f>VLOOKUP(D103,'2.Bookinglist'!A:CT,12,FALSE)</f>
        <v>BTS</v>
      </c>
      <c r="R103" s="60" t="str">
        <f>IF(LEFT(K103,2)="22","20'","40'")</f>
        <v>20'</v>
      </c>
      <c r="S103" s="185" t="n"/>
      <c r="T103" s="61" t="str">
        <f>VLOOKUP(A103,'1.Loading'!A:R,2,FALSE)</f>
        <v>2026-10-08</v>
      </c>
      <c r="U103" s="63">
        <f>T103-S103</f>
        <v>46303</v>
      </c>
      <c r="V103" s="186" t="n"/>
      <c r="W103" s="61" t="str">
        <f>VLOOKUP(A103,'3.GateMove'!A:D,4,FALSE)</f>
        <v>2026-10-01</v>
      </c>
      <c r="X103" s="63">
        <f>((T103-W103)+1)</f>
        <v>8</v>
      </c>
      <c r="Y103" s="64">
        <f>IF(AND(OR(C103="BKK01",C103="BKK04"),L103="CFS/CY"),0,IF(M103="DG",1,IF(LEFT(C103,3)="LCH",7,IF(C103="BKK02",5,3))))</f>
        <v>3</v>
      </c>
      <c r="Z103" s="63">
        <f>IF(IF(AND(AC103="TML",AB103&gt;0),((T103-W103)+1)-AB103,((T103-W103)+1)-Y103)&gt;0,IF(AND(AC103="TML",AB103&gt;0),((T103-W103)+1)-AB103,((T103-W103)+1)-Y103),0)</f>
        <v>5</v>
      </c>
      <c r="AA103" s="187">
        <f>IF(AND(B103="G1",M103=""),IF(R103="20'",
VLOOKUP(Z103,Charge!$K$2:$M$5,2,TRUE)+(Z103-VLOOKUP(Z103,Charge!$K$2:$M$5,1,TRUE))*VLOOKUP(Z103,Charge!$K$2:$M$5,3,TRUE),
VLOOKUP(Z103,Charge!$N$2:$P$5,2,TRUE)+(Z103-VLOOKUP(Z103,Charge!$N$2:$P$5,1,TRUE))*VLOOKUP(Z103,Charge!$N$2:$P$5,3,TRUE)),
IF(AND(B103="G1",M103="DG"),IF(R103="20'",
VLOOKUP(Z103,Charge!$R$2:$T$5,2,TRUE)+(Z103-VLOOKUP(Z103,Charge!$R$2:$T$5,1,TRUE))*VLOOKUP(Z103,Charge!$R$2:$T$5,3,TRUE),
VLOOKUP(Z103,Charge!$U$2:$W$5,2,TRUE)+(Z103-VLOOKUP(Z103,Charge!$U$2:$W$5,1,TRUE))*VLOOKUP(Z103,Charge!$U$2:$W$5,3,TRUE)),
IF(AND(B103="G3",M103=""),IF(R103="20'",
VLOOKUP(Z103,Charge!$K$18:$M$21,2,TRUE)+(Z103-VLOOKUP(Z103,Charge!$K$18:$M$21,1,TRUE))*VLOOKUP(Z103,Charge!$K$18:$M$21,3,TRUE),
VLOOKUP(Z103,Charge!$N$18:$P$21,2,TRUE)+(Z103-VLOOKUP(Z103,Charge!$N$18:$P$21,1,TRUE))*VLOOKUP(Z103,Charge!$N$18:$P$21,3,TRUE)),
IF(AND(B103="G3",M103="DG"),IF(R103="20'",
VLOOKUP(Z103,Charge!$R$18:$T$21,2,TRUE)+(Z103-VLOOKUP(Z103,Charge!$R$18:$T$21,1,TRUE))*VLOOKUP(Z103,Charge!$R$18:$T$21,3,TRUE),
VLOOKUP(Z103,Charge!$U$18:$W$21,2,TRUE)+(Z103-VLOOKUP(Z103,Charge!$U$18:$W$21,1,TRUE))*VLOOKUP(Z103,Charge!$U$18:$W$21,3,TRUE)),
IF(AND(B103="G2",M103=""),IF(R103="20'",
VLOOKUP(Z103,Charge!$K$9:$M$12,2,TRUE)+(Z103-VLOOKUP(Z103,Charge!$K$9:$M$12,1,TRUE))*VLOOKUP(Z103,Charge!$K$9:$M$12,3,TRUE),
VLOOKUP(Z103,Charge!$N$9:$P$12,2,TRUE)+(Z103-VLOOKUP(Z103,Charge!$N$9:$P$12,1,TRUE))*VLOOKUP(Z103,Charge!$N$9:$P$12,3,TRUE)),
IF(AND(B103="G2",M103="DG"),IF(R103="20'",
VLOOKUP(Z103,Charge!$R$9:$T$12,2,TRUE)+(Z103-VLOOKUP(Z103,Charge!$R$9:$T$12,1,TRUE))*VLOOKUP(Z103,Charge!$R$9:$T$12,3,TRUE),
VLOOKUP(Z103,Charge!$U$9:$W$12,2,TRUE)+(Z103-VLOOKUP(Z103,Charge!$U$9:$W$12,1,TRUE))*VLOOKUP(Z103,Charge!$U$9:$W$12,3,TRUE)),IF(AND(B103="G4",M103=""),IF(R103="20'",Z103*Charge!$M$25,Z103*Charge!$P$25),IF(AND(B103="G4",M103="DG"),IF(R103="20'",Z103*Charge!$T$25,Z103*Charge!$W$25),0))))))))</f>
        <v>800</v>
      </c>
      <c r="AB103" s="184" t="n"/>
      <c r="AC103" s="184" t="n"/>
      <c r="AD103" s="60">
        <f>IF(M103="DG",3,IF(N103="RF",3,5))+IF(AND(LEFT(C103,3)="BKK",N103="RF",Q103="KTS"),1,0)+IF(Q103="KHS",1,0)</f>
        <v>5</v>
      </c>
      <c r="AE103" s="63">
        <f>(T103-V103)+1</f>
        <v>46304</v>
      </c>
      <c r="AF103" s="63">
        <f>IF(AB103&gt;IF((V103-W103)&gt;0,V103-W103,0),0,IF(AB103&lt;IF((V103-W103)&gt;0,V103-W103,0),IF((V103-W103)&gt;0,V103-W103,0)-AB103,IF((V103-W103)&gt;0,V103-W103,0)))</f>
        <v>0</v>
      </c>
      <c r="AG103" s="187">
        <f>IF(AND(M103=""),IF(R103="20'",
VLOOKUP(AF103,Charge!$K$31:$M$34,2,TRUE)+(AF103-VLOOKUP(AF103,Charge!$K$31:$M$34,1,TRUE))*VLOOKUP(AF103,Charge!$K$31:$M$34,3,TRUE),
VLOOKUP(AF103,Charge!$N$31:$P$34,2,TRUE)+(AF103-VLOOKUP(AF103,Charge!$N$31:$P$34,1,TRUE))*VLOOKUP(AF103,Charge!$N$31:$P$34,3,TRUE)),
IF(AND(M103="DG"),IF(R103="20'",
VLOOKUP(AF103,Charge!$R$31:$T$34,2,TRUE)+(AF103-VLOOKUP(AF103,Charge!$R$31:$T$34,1,TRUE))*VLOOKUP(AF103,Charge!$R$31:$T$34,3,TRUE),
VLOOKUP(AF103,Charge!$U$31:$W$34,2,TRUE)+(AF103-VLOOKUP(AF103,Charge!$U$31:$W$34,1,TRUE))*VLOOKUP(AF103,Charge!$U$31:$W$34,3,TRUE)),0))</f>
        <v>0</v>
      </c>
      <c r="AH103" s="65" t="n"/>
      <c r="AI103" s="65">
        <f>AA103-AH103</f>
        <v>800</v>
      </c>
      <c r="AJ103" s="188" t="n"/>
      <c r="AK103" s="62" t="str">
        <f>VLOOKUP(D103,'2.Bookinglist'!A:CT,40,FALSE)</f>
        <v>Arunphat W. (Aiw)</v>
      </c>
      <c r="AL103" s="60" t="str">
        <f>VLOOKUP(D103,'2.Bookinglist'!A:CW,101,FALSE)</f>
        <v>2026-10-05</v>
      </c>
      <c r="AM103" s="60" t="str">
        <f>VLOOKUP(D103,'2.Bookinglist'!A:BK,63,FALSE)</f>
        <v>BKK25</v>
      </c>
      <c r="AN103" s="62" t="str">
        <f>VLOOKUP(D103,'2.Bookinglist'!A:AZ,52,FALSE)</f>
        <v>Pickup : 2026-09-30, Return : 2026-10-01 </v>
      </c>
      <c r="AO103" s="62">
        <f>VLOOKUP(D103,'2.Bookinglist'!A:CY,103,FALSE)</f>
        <v>0</v>
      </c>
    </row>
    <row r="104" ht="12.95" customHeight="1">
      <c r="A104" s="96" t="inlineStr">
        <is>
          <t>SKLU0585957</t>
        </is>
      </c>
      <c r="B104" s="184" t="str">
        <f>IF(C104=Charge!$M$1,Charge!$J$1,IF(C104=Charge!$M$23,Charge!$J$23,IF(C104=Charge!$M$17,Charge!$J$17,IF(C104=Charge!$N$17,Charge!$J$17,Charge!$J$7))))</f>
        <v>G3</v>
      </c>
      <c r="C104" s="61" t="str">
        <f>VLOOKUP(A104,'1.Loading'!A:R,14,FALSE)</f>
        <v>BKK04</v>
      </c>
      <c r="D104" s="61" t="str">
        <f>VLOOKUP(A104,'1.Loading'!A:R,17,FALSE)</f>
        <v>HASLS22260900196</v>
      </c>
      <c r="E104" s="62" t="str">
        <f>VLOOKUP(D104,'2.Bookinglist'!A:CT,27,FALSE)</f>
        <v>SANGUAN WONGSE STARCH CO., LTD.</v>
      </c>
      <c r="F104" s="62" t="str">
        <f>VLOOKUP(D104,'2.Bookinglist'!A:CT,28,FALSE)</f>
        <v>SANGUAN WONGSE STARCH CO., LTD.</v>
      </c>
      <c r="G104" s="60">
        <f>VLOOKUP(D104,'2.Bookinglist'!A:E,5,FALSE)</f>
        <v>0</v>
      </c>
      <c r="H104" s="61" t="str">
        <f>VLOOKUP(D104,'2.Bookinglist'!A:CT,15,FALSE)</f>
        <v>THBKK</v>
      </c>
      <c r="I104" s="61" t="str">
        <f>VLOOKUP(D104,'2.Bookinglist'!A:CT,19,FALSE)</f>
        <v>JPSEN</v>
      </c>
      <c r="J104" s="61" t="str">
        <f>VLOOKUP(D104,'2.Bookinglist'!A:CT,26,FALSE)</f>
        <v>KRPUS</v>
      </c>
      <c r="K104" s="61" t="str">
        <f>VLOOKUP(A104,'1.Loading'!A:R,5,FALSE)</f>
        <v>22GP</v>
      </c>
      <c r="L104" s="60" t="str">
        <f>VLOOKUP(D104,'2.Bookinglist'!A:CT,85,FALSE)</f>
        <v>CY/CY</v>
      </c>
      <c r="M104" s="60" t="str">
        <f>IF(VLOOKUP(D104,'2.Bookinglist'!A:CT,43,FALSE)=0,"","DG")</f>
        <v/>
      </c>
      <c r="N104" s="60" t="str">
        <f>IF(RIGHT(K104,2)="RE","RF","")</f>
        <v/>
      </c>
      <c r="O104" s="61" t="str">
        <f>VLOOKUP(A104,'1.Loading'!A:R,3,FALSE)</f>
        <v>SWSP</v>
      </c>
      <c r="P104" s="61" t="str">
        <f>VLOOKUP(A104,'1.Loading'!A:R,4,FALSE)</f>
        <v>2609N</v>
      </c>
      <c r="Q104" s="61" t="str">
        <f>VLOOKUP(D104,'2.Bookinglist'!A:CT,12,FALSE)</f>
        <v>BTS</v>
      </c>
      <c r="R104" s="60" t="str">
        <f>IF(LEFT(K104,2)="22","20'","40'")</f>
        <v>20'</v>
      </c>
      <c r="S104" s="185" t="n"/>
      <c r="T104" s="61" t="str">
        <f>VLOOKUP(A104,'1.Loading'!A:R,2,FALSE)</f>
        <v>2026-10-08</v>
      </c>
      <c r="U104" s="63">
        <f>T104-S104</f>
        <v>46303</v>
      </c>
      <c r="V104" s="186" t="n"/>
      <c r="W104" s="61" t="str">
        <f>VLOOKUP(A104,'3.GateMove'!A:D,4,FALSE)</f>
        <v>2026-09-19</v>
      </c>
      <c r="X104" s="63">
        <f>((T104-W104)+1)</f>
        <v>20</v>
      </c>
      <c r="Y104" s="64">
        <f>IF(AND(OR(C104="BKK01",C104="BKK04"),L104="CFS/CY"),0,IF(M104="DG",1,IF(LEFT(C104,3)="LCH",7,IF(C104="BKK02",5,3))))</f>
        <v>3</v>
      </c>
      <c r="Z104" s="63">
        <f>IF(IF(AND(AC104="TML",AB104&gt;0),((T104-W104)+1)-AB104,((T104-W104)+1)-Y104)&gt;0,IF(AND(AC104="TML",AB104&gt;0),((T104-W104)+1)-AB104,((T104-W104)+1)-Y104),0)</f>
        <v>17</v>
      </c>
      <c r="AA104" s="187">
        <f>IF(AND(B104="G1",M104=""),IF(R104="20'",
VLOOKUP(Z104,Charge!$K$2:$M$5,2,TRUE)+(Z104-VLOOKUP(Z104,Charge!$K$2:$M$5,1,TRUE))*VLOOKUP(Z104,Charge!$K$2:$M$5,3,TRUE),
VLOOKUP(Z104,Charge!$N$2:$P$5,2,TRUE)+(Z104-VLOOKUP(Z104,Charge!$N$2:$P$5,1,TRUE))*VLOOKUP(Z104,Charge!$N$2:$P$5,3,TRUE)),
IF(AND(B104="G1",M104="DG"),IF(R104="20'",
VLOOKUP(Z104,Charge!$R$2:$T$5,2,TRUE)+(Z104-VLOOKUP(Z104,Charge!$R$2:$T$5,1,TRUE))*VLOOKUP(Z104,Charge!$R$2:$T$5,3,TRUE),
VLOOKUP(Z104,Charge!$U$2:$W$5,2,TRUE)+(Z104-VLOOKUP(Z104,Charge!$U$2:$W$5,1,TRUE))*VLOOKUP(Z104,Charge!$U$2:$W$5,3,TRUE)),
IF(AND(B104="G3",M104=""),IF(R104="20'",
VLOOKUP(Z104,Charge!$K$18:$M$21,2,TRUE)+(Z104-VLOOKUP(Z104,Charge!$K$18:$M$21,1,TRUE))*VLOOKUP(Z104,Charge!$K$18:$M$21,3,TRUE),
VLOOKUP(Z104,Charge!$N$18:$P$21,2,TRUE)+(Z104-VLOOKUP(Z104,Charge!$N$18:$P$21,1,TRUE))*VLOOKUP(Z104,Charge!$N$18:$P$21,3,TRUE)),
IF(AND(B104="G3",M104="DG"),IF(R104="20'",
VLOOKUP(Z104,Charge!$R$18:$T$21,2,TRUE)+(Z104-VLOOKUP(Z104,Charge!$R$18:$T$21,1,TRUE))*VLOOKUP(Z104,Charge!$R$18:$T$21,3,TRUE),
VLOOKUP(Z104,Charge!$U$18:$W$21,2,TRUE)+(Z104-VLOOKUP(Z104,Charge!$U$18:$W$21,1,TRUE))*VLOOKUP(Z104,Charge!$U$18:$W$21,3,TRUE)),
IF(AND(B104="G2",M104=""),IF(R104="20'",
VLOOKUP(Z104,Charge!$K$9:$M$12,2,TRUE)+(Z104-VLOOKUP(Z104,Charge!$K$9:$M$12,1,TRUE))*VLOOKUP(Z104,Charge!$K$9:$M$12,3,TRUE),
VLOOKUP(Z104,Charge!$N$9:$P$12,2,TRUE)+(Z104-VLOOKUP(Z104,Charge!$N$9:$P$12,1,TRUE))*VLOOKUP(Z104,Charge!$N$9:$P$12,3,TRUE)),
IF(AND(B104="G2",M104="DG"),IF(R104="20'",
VLOOKUP(Z104,Charge!$R$9:$T$12,2,TRUE)+(Z104-VLOOKUP(Z104,Charge!$R$9:$T$12,1,TRUE))*VLOOKUP(Z104,Charge!$R$9:$T$12,3,TRUE),
VLOOKUP(Z104,Charge!$U$9:$W$12,2,TRUE)+(Z104-VLOOKUP(Z104,Charge!$U$9:$W$12,1,TRUE))*VLOOKUP(Z104,Charge!$U$9:$W$12,3,TRUE)),IF(AND(B104="G4",M104=""),IF(R104="20'",Z104*Charge!$M$25,Z104*Charge!$P$25),IF(AND(B104="G4",M104="DG"),IF(R104="20'",Z104*Charge!$T$25,Z104*Charge!$W$25),0))))))))</f>
        <v>4215</v>
      </c>
      <c r="AB104" s="184" t="n"/>
      <c r="AC104" s="184" t="n"/>
      <c r="AD104" s="60">
        <f>IF(M104="DG",3,IF(N104="RF",3,5))+IF(AND(LEFT(C104,3)="BKK",N104="RF",Q104="KTS"),1,0)+IF(Q104="KHS",1,0)</f>
        <v>5</v>
      </c>
      <c r="AE104" s="63">
        <f>(T104-V104)+1</f>
        <v>46304</v>
      </c>
      <c r="AF104" s="63">
        <f>IF(AB104&gt;IF((V104-W104)&gt;0,V104-W104,0),0,IF(AB104&lt;IF((V104-W104)&gt;0,V104-W104,0),IF((V104-W104)&gt;0,V104-W104,0)-AB104,IF((V104-W104)&gt;0,V104-W104,0)))</f>
        <v>0</v>
      </c>
      <c r="AG104" s="187">
        <f>IF(AND(M104=""),IF(R104="20'",
VLOOKUP(AF104,Charge!$K$31:$M$34,2,TRUE)+(AF104-VLOOKUP(AF104,Charge!$K$31:$M$34,1,TRUE))*VLOOKUP(AF104,Charge!$K$31:$M$34,3,TRUE),
VLOOKUP(AF104,Charge!$N$31:$P$34,2,TRUE)+(AF104-VLOOKUP(AF104,Charge!$N$31:$P$34,1,TRUE))*VLOOKUP(AF104,Charge!$N$31:$P$34,3,TRUE)),
IF(AND(M104="DG"),IF(R104="20'",
VLOOKUP(AF104,Charge!$R$31:$T$34,2,TRUE)+(AF104-VLOOKUP(AF104,Charge!$R$31:$T$34,1,TRUE))*VLOOKUP(AF104,Charge!$R$31:$T$34,3,TRUE),
VLOOKUP(AF104,Charge!$U$31:$W$34,2,TRUE)+(AF104-VLOOKUP(AF104,Charge!$U$31:$W$34,1,TRUE))*VLOOKUP(AF104,Charge!$U$31:$W$34,3,TRUE)),0))</f>
        <v>0</v>
      </c>
      <c r="AH104" s="65" t="n"/>
      <c r="AI104" s="65">
        <f>AA104-AH104</f>
        <v>4215</v>
      </c>
      <c r="AJ104" s="188" t="n"/>
      <c r="AK104" s="62" t="str">
        <f>VLOOKUP(D104,'2.Bookinglist'!A:CT,40,FALSE)</f>
        <v>Uetake Takahiro</v>
      </c>
      <c r="AL104" s="60" t="str">
        <f>VLOOKUP(D104,'2.Bookinglist'!A:CW,101,FALSE)</f>
        <v>2026-10-05</v>
      </c>
      <c r="AM104" s="60" t="str">
        <f>VLOOKUP(D104,'2.Bookinglist'!A:BK,63,FALSE)</f>
        <v>BKK25</v>
      </c>
      <c r="AN104" s="62" t="str">
        <f>VLOOKUP(D104,'2.Bookinglist'!A:AZ,52,FALSE)</f>
        <v>Pickup : 2026-09-17, Return : 2026-09-19</v>
      </c>
      <c r="AO104" s="62" t="str">
        <f>VLOOKUP(D104,'2.Bookinglist'!A:CY,103,FALSE)</f>
        <v>ROLL OVER FROM PREVIOUS VSL SWMM 2609N BY ALLOCATION TEAM MS.TARN APPROVED COST IS UNDER HA DD.21/09</v>
      </c>
    </row>
    <row r="105" ht="12.95" customHeight="1">
      <c r="A105" s="96" t="inlineStr">
        <is>
          <t>SKLU0590819</t>
        </is>
      </c>
      <c r="B105" s="184" t="str">
        <f>IF(C105=Charge!$M$1,Charge!$J$1,IF(C105=Charge!$M$23,Charge!$J$23,IF(C105=Charge!$M$17,Charge!$J$17,IF(C105=Charge!$N$17,Charge!$J$17,Charge!$J$7))))</f>
        <v>G3</v>
      </c>
      <c r="C105" s="61" t="str">
        <f>VLOOKUP(A105,'1.Loading'!A:R,14,FALSE)</f>
        <v>BKK04</v>
      </c>
      <c r="D105" s="61" t="str">
        <f>VLOOKUP(A105,'1.Loading'!A:R,17,FALSE)</f>
        <v>HASLS22260900196</v>
      </c>
      <c r="E105" s="62" t="str">
        <f>VLOOKUP(D105,'2.Bookinglist'!A:CT,27,FALSE)</f>
        <v>SANGUAN WONGSE STARCH CO., LTD.</v>
      </c>
      <c r="F105" s="62" t="str">
        <f>VLOOKUP(D105,'2.Bookinglist'!A:CT,28,FALSE)</f>
        <v>SANGUAN WONGSE STARCH CO., LTD.</v>
      </c>
      <c r="G105" s="60">
        <f>VLOOKUP(D105,'2.Bookinglist'!A:E,5,FALSE)</f>
        <v>0</v>
      </c>
      <c r="H105" s="61" t="str">
        <f>VLOOKUP(D105,'2.Bookinglist'!A:CT,15,FALSE)</f>
        <v>THBKK</v>
      </c>
      <c r="I105" s="61" t="str">
        <f>VLOOKUP(D105,'2.Bookinglist'!A:CT,19,FALSE)</f>
        <v>JPSEN</v>
      </c>
      <c r="J105" s="61" t="str">
        <f>VLOOKUP(D105,'2.Bookinglist'!A:CT,26,FALSE)</f>
        <v>KRPUS</v>
      </c>
      <c r="K105" s="61" t="str">
        <f>VLOOKUP(A105,'1.Loading'!A:R,5,FALSE)</f>
        <v>22GP</v>
      </c>
      <c r="L105" s="60" t="str">
        <f>VLOOKUP(D105,'2.Bookinglist'!A:CT,85,FALSE)</f>
        <v>CY/CY</v>
      </c>
      <c r="M105" s="60" t="str">
        <f>IF(VLOOKUP(D105,'2.Bookinglist'!A:CT,43,FALSE)=0,"","DG")</f>
        <v/>
      </c>
      <c r="N105" s="60" t="str">
        <f>IF(RIGHT(K105,2)="RE","RF","")</f>
        <v/>
      </c>
      <c r="O105" s="61" t="str">
        <f>VLOOKUP(A105,'1.Loading'!A:R,3,FALSE)</f>
        <v>SWSP</v>
      </c>
      <c r="P105" s="61" t="str">
        <f>VLOOKUP(A105,'1.Loading'!A:R,4,FALSE)</f>
        <v>2609N</v>
      </c>
      <c r="Q105" s="61" t="str">
        <f>VLOOKUP(D105,'2.Bookinglist'!A:CT,12,FALSE)</f>
        <v>BTS</v>
      </c>
      <c r="R105" s="60" t="str">
        <f>IF(LEFT(K105,2)="22","20'","40'")</f>
        <v>20'</v>
      </c>
      <c r="S105" s="185" t="n"/>
      <c r="T105" s="61" t="str">
        <f>VLOOKUP(A105,'1.Loading'!A:R,2,FALSE)</f>
        <v>2026-10-08</v>
      </c>
      <c r="U105" s="63">
        <f>T105-S105</f>
        <v>46303</v>
      </c>
      <c r="V105" s="186" t="n"/>
      <c r="W105" s="61" t="str">
        <f>VLOOKUP(A105,'3.GateMove'!A:D,4,FALSE)</f>
        <v>2026-09-19</v>
      </c>
      <c r="X105" s="63">
        <f>((T105-W105)+1)</f>
        <v>20</v>
      </c>
      <c r="Y105" s="64">
        <f>IF(AND(OR(C105="BKK01",C105="BKK04"),L105="CFS/CY"),0,IF(M105="DG",1,IF(LEFT(C105,3)="LCH",7,IF(C105="BKK02",5,3))))</f>
        <v>3</v>
      </c>
      <c r="Z105" s="63">
        <f>IF(IF(AND(AC105="TML",AB105&gt;0),((T105-W105)+1)-AB105,((T105-W105)+1)-Y105)&gt;0,IF(AND(AC105="TML",AB105&gt;0),((T105-W105)+1)-AB105,((T105-W105)+1)-Y105),0)</f>
        <v>17</v>
      </c>
      <c r="AA105" s="187">
        <f>IF(AND(B105="G1",M105=""),IF(R105="20'",
VLOOKUP(Z105,Charge!$K$2:$M$5,2,TRUE)+(Z105-VLOOKUP(Z105,Charge!$K$2:$M$5,1,TRUE))*VLOOKUP(Z105,Charge!$K$2:$M$5,3,TRUE),
VLOOKUP(Z105,Charge!$N$2:$P$5,2,TRUE)+(Z105-VLOOKUP(Z105,Charge!$N$2:$P$5,1,TRUE))*VLOOKUP(Z105,Charge!$N$2:$P$5,3,TRUE)),
IF(AND(B105="G1",M105="DG"),IF(R105="20'",
VLOOKUP(Z105,Charge!$R$2:$T$5,2,TRUE)+(Z105-VLOOKUP(Z105,Charge!$R$2:$T$5,1,TRUE))*VLOOKUP(Z105,Charge!$R$2:$T$5,3,TRUE),
VLOOKUP(Z105,Charge!$U$2:$W$5,2,TRUE)+(Z105-VLOOKUP(Z105,Charge!$U$2:$W$5,1,TRUE))*VLOOKUP(Z105,Charge!$U$2:$W$5,3,TRUE)),
IF(AND(B105="G3",M105=""),IF(R105="20'",
VLOOKUP(Z105,Charge!$K$18:$M$21,2,TRUE)+(Z105-VLOOKUP(Z105,Charge!$K$18:$M$21,1,TRUE))*VLOOKUP(Z105,Charge!$K$18:$M$21,3,TRUE),
VLOOKUP(Z105,Charge!$N$18:$P$21,2,TRUE)+(Z105-VLOOKUP(Z105,Charge!$N$18:$P$21,1,TRUE))*VLOOKUP(Z105,Charge!$N$18:$P$21,3,TRUE)),
IF(AND(B105="G3",M105="DG"),IF(R105="20'",
VLOOKUP(Z105,Charge!$R$18:$T$21,2,TRUE)+(Z105-VLOOKUP(Z105,Charge!$R$18:$T$21,1,TRUE))*VLOOKUP(Z105,Charge!$R$18:$T$21,3,TRUE),
VLOOKUP(Z105,Charge!$U$18:$W$21,2,TRUE)+(Z105-VLOOKUP(Z105,Charge!$U$18:$W$21,1,TRUE))*VLOOKUP(Z105,Charge!$U$18:$W$21,3,TRUE)),
IF(AND(B105="G2",M105=""),IF(R105="20'",
VLOOKUP(Z105,Charge!$K$9:$M$12,2,TRUE)+(Z105-VLOOKUP(Z105,Charge!$K$9:$M$12,1,TRUE))*VLOOKUP(Z105,Charge!$K$9:$M$12,3,TRUE),
VLOOKUP(Z105,Charge!$N$9:$P$12,2,TRUE)+(Z105-VLOOKUP(Z105,Charge!$N$9:$P$12,1,TRUE))*VLOOKUP(Z105,Charge!$N$9:$P$12,3,TRUE)),
IF(AND(B105="G2",M105="DG"),IF(R105="20'",
VLOOKUP(Z105,Charge!$R$9:$T$12,2,TRUE)+(Z105-VLOOKUP(Z105,Charge!$R$9:$T$12,1,TRUE))*VLOOKUP(Z105,Charge!$R$9:$T$12,3,TRUE),
VLOOKUP(Z105,Charge!$U$9:$W$12,2,TRUE)+(Z105-VLOOKUP(Z105,Charge!$U$9:$W$12,1,TRUE))*VLOOKUP(Z105,Charge!$U$9:$W$12,3,TRUE)),IF(AND(B105="G4",M105=""),IF(R105="20'",Z105*Charge!$M$25,Z105*Charge!$P$25),IF(AND(B105="G4",M105="DG"),IF(R105="20'",Z105*Charge!$T$25,Z105*Charge!$W$25),0))))))))</f>
        <v>4215</v>
      </c>
      <c r="AB105" s="184" t="n"/>
      <c r="AC105" s="184" t="n"/>
      <c r="AD105" s="60">
        <f>IF(M105="DG",3,IF(N105="RF",3,5))+IF(AND(LEFT(C105,3)="BKK",N105="RF",Q105="KTS"),1,0)+IF(Q105="KHS",1,0)</f>
        <v>5</v>
      </c>
      <c r="AE105" s="63">
        <f>(T105-V105)+1</f>
        <v>46304</v>
      </c>
      <c r="AF105" s="63">
        <f>IF(AB105&gt;IF((V105-W105)&gt;0,V105-W105,0),0,IF(AB105&lt;IF((V105-W105)&gt;0,V105-W105,0),IF((V105-W105)&gt;0,V105-W105,0)-AB105,IF((V105-W105)&gt;0,V105-W105,0)))</f>
        <v>0</v>
      </c>
      <c r="AG105" s="187">
        <f>IF(AND(M105=""),IF(R105="20'",
VLOOKUP(AF105,Charge!$K$31:$M$34,2,TRUE)+(AF105-VLOOKUP(AF105,Charge!$K$31:$M$34,1,TRUE))*VLOOKUP(AF105,Charge!$K$31:$M$34,3,TRUE),
VLOOKUP(AF105,Charge!$N$31:$P$34,2,TRUE)+(AF105-VLOOKUP(AF105,Charge!$N$31:$P$34,1,TRUE))*VLOOKUP(AF105,Charge!$N$31:$P$34,3,TRUE)),
IF(AND(M105="DG"),IF(R105="20'",
VLOOKUP(AF105,Charge!$R$31:$T$34,2,TRUE)+(AF105-VLOOKUP(AF105,Charge!$R$31:$T$34,1,TRUE))*VLOOKUP(AF105,Charge!$R$31:$T$34,3,TRUE),
VLOOKUP(AF105,Charge!$U$31:$W$34,2,TRUE)+(AF105-VLOOKUP(AF105,Charge!$U$31:$W$34,1,TRUE))*VLOOKUP(AF105,Charge!$U$31:$W$34,3,TRUE)),0))</f>
        <v>0</v>
      </c>
      <c r="AH105" s="65" t="n"/>
      <c r="AI105" s="65">
        <f>AA105-AH105</f>
        <v>4215</v>
      </c>
      <c r="AJ105" s="188" t="n"/>
      <c r="AK105" s="62" t="str">
        <f>VLOOKUP(D105,'2.Bookinglist'!A:CT,40,FALSE)</f>
        <v>Uetake Takahiro</v>
      </c>
      <c r="AL105" s="60" t="str">
        <f>VLOOKUP(D105,'2.Bookinglist'!A:CW,101,FALSE)</f>
        <v>2026-10-05</v>
      </c>
      <c r="AM105" s="60" t="str">
        <f>VLOOKUP(D105,'2.Bookinglist'!A:BK,63,FALSE)</f>
        <v>BKK25</v>
      </c>
      <c r="AN105" s="62" t="str">
        <f>VLOOKUP(D105,'2.Bookinglist'!A:AZ,52,FALSE)</f>
        <v>Pickup : 2026-09-17, Return : 2026-09-19</v>
      </c>
      <c r="AO105" s="62" t="str">
        <f>VLOOKUP(D105,'2.Bookinglist'!A:CY,103,FALSE)</f>
        <v>ROLL OVER FROM PREVIOUS VSL SWMM 2609N BY ALLOCATION TEAM MS.TARN APPROVED COST IS UNDER HA DD.21/09</v>
      </c>
    </row>
    <row r="106" ht="12.95" customHeight="1">
      <c r="A106" s="96" t="inlineStr">
        <is>
          <t>SKLU0742589</t>
        </is>
      </c>
      <c r="B106" s="184" t="str">
        <f>IF(C106=Charge!$M$1,Charge!$J$1,IF(C106=Charge!$M$23,Charge!$J$23,IF(C106=Charge!$M$17,Charge!$J$17,IF(C106=Charge!$N$17,Charge!$J$17,Charge!$J$7))))</f>
        <v>G3</v>
      </c>
      <c r="C106" s="61" t="str">
        <f>VLOOKUP(A106,'1.Loading'!A:R,14,FALSE)</f>
        <v>BKK04</v>
      </c>
      <c r="D106" s="61" t="str">
        <f>VLOOKUP(A106,'1.Loading'!A:R,17,FALSE)</f>
        <v>HASLS22260901537</v>
      </c>
      <c r="E106" s="62" t="str">
        <f>VLOOKUP(D106,'2.Bookinglist'!A:CT,27,FALSE)</f>
        <v>SCGJWD LOGISTICS PUBLIC COMPANY LIMITED</v>
      </c>
      <c r="F106" s="62" t="str">
        <f>VLOOKUP(D106,'2.Bookinglist'!A:CT,28,FALSE)</f>
        <v>SCG INTERNATIONAL CORPORATION CO., LTD.</v>
      </c>
      <c r="G106" s="60">
        <f>VLOOKUP(D106,'2.Bookinglist'!A:E,5,FALSE)</f>
        <v>0</v>
      </c>
      <c r="H106" s="61" t="str">
        <f>VLOOKUP(D106,'2.Bookinglist'!A:CT,15,FALSE)</f>
        <v>THBKK</v>
      </c>
      <c r="I106" s="61" t="str">
        <f>VLOOKUP(D106,'2.Bookinglist'!A:CT,19,FALSE)</f>
        <v>JPIYM</v>
      </c>
      <c r="J106" s="61" t="str">
        <f>VLOOKUP(D106,'2.Bookinglist'!A:CT,26,FALSE)</f>
        <v>KRPUS</v>
      </c>
      <c r="K106" s="61" t="str">
        <f>VLOOKUP(A106,'1.Loading'!A:R,5,FALSE)</f>
        <v>22GP</v>
      </c>
      <c r="L106" s="60" t="str">
        <f>VLOOKUP(D106,'2.Bookinglist'!A:CT,85,FALSE)</f>
        <v>CY/CY</v>
      </c>
      <c r="M106" s="60" t="str">
        <f>IF(VLOOKUP(D106,'2.Bookinglist'!A:CT,43,FALSE)=0,"","DG")</f>
        <v/>
      </c>
      <c r="N106" s="60" t="str">
        <f>IF(RIGHT(K106,2)="RE","RF","")</f>
        <v/>
      </c>
      <c r="O106" s="61" t="str">
        <f>VLOOKUP(A106,'1.Loading'!A:R,3,FALSE)</f>
        <v>SWSP</v>
      </c>
      <c r="P106" s="61" t="str">
        <f>VLOOKUP(A106,'1.Loading'!A:R,4,FALSE)</f>
        <v>2609N</v>
      </c>
      <c r="Q106" s="61" t="str">
        <f>VLOOKUP(D106,'2.Bookinglist'!A:CT,12,FALSE)</f>
        <v>BTS</v>
      </c>
      <c r="R106" s="60" t="str">
        <f>IF(LEFT(K106,2)="22","20'","40'")</f>
        <v>20'</v>
      </c>
      <c r="S106" s="185" t="n"/>
      <c r="T106" s="61" t="str">
        <f>VLOOKUP(A106,'1.Loading'!A:R,2,FALSE)</f>
        <v>2026-10-08</v>
      </c>
      <c r="U106" s="63">
        <f>T106-S106</f>
        <v>46303</v>
      </c>
      <c r="V106" s="186" t="n"/>
      <c r="W106" s="61" t="str">
        <f>VLOOKUP(A106,'3.GateMove'!A:D,4,FALSE)</f>
        <v>2026-09-29</v>
      </c>
      <c r="X106" s="63">
        <f>((T106-W106)+1)</f>
        <v>10</v>
      </c>
      <c r="Y106" s="64">
        <f>IF(AND(OR(C106="BKK01",C106="BKK04"),L106="CFS/CY"),0,IF(M106="DG",1,IF(LEFT(C106,3)="LCH",7,IF(C106="BKK02",5,3))))</f>
        <v>3</v>
      </c>
      <c r="Z106" s="63">
        <f>IF(IF(AND(AC106="TML",AB106&gt;0),((T106-W106)+1)-AB106,((T106-W106)+1)-Y106)&gt;0,IF(AND(AC106="TML",AB106&gt;0),((T106-W106)+1)-AB106,((T106-W106)+1)-Y106),0)</f>
        <v>7</v>
      </c>
      <c r="AA106" s="187">
        <f>IF(AND(B106="G1",M106=""),IF(R106="20'",
VLOOKUP(Z106,Charge!$K$2:$M$5,2,TRUE)+(Z106-VLOOKUP(Z106,Charge!$K$2:$M$5,1,TRUE))*VLOOKUP(Z106,Charge!$K$2:$M$5,3,TRUE),
VLOOKUP(Z106,Charge!$N$2:$P$5,2,TRUE)+(Z106-VLOOKUP(Z106,Charge!$N$2:$P$5,1,TRUE))*VLOOKUP(Z106,Charge!$N$2:$P$5,3,TRUE)),
IF(AND(B106="G1",M106="DG"),IF(R106="20'",
VLOOKUP(Z106,Charge!$R$2:$T$5,2,TRUE)+(Z106-VLOOKUP(Z106,Charge!$R$2:$T$5,1,TRUE))*VLOOKUP(Z106,Charge!$R$2:$T$5,3,TRUE),
VLOOKUP(Z106,Charge!$U$2:$W$5,2,TRUE)+(Z106-VLOOKUP(Z106,Charge!$U$2:$W$5,1,TRUE))*VLOOKUP(Z106,Charge!$U$2:$W$5,3,TRUE)),
IF(AND(B106="G3",M106=""),IF(R106="20'",
VLOOKUP(Z106,Charge!$K$18:$M$21,2,TRUE)+(Z106-VLOOKUP(Z106,Charge!$K$18:$M$21,1,TRUE))*VLOOKUP(Z106,Charge!$K$18:$M$21,3,TRUE),
VLOOKUP(Z106,Charge!$N$18:$P$21,2,TRUE)+(Z106-VLOOKUP(Z106,Charge!$N$18:$P$21,1,TRUE))*VLOOKUP(Z106,Charge!$N$18:$P$21,3,TRUE)),
IF(AND(B106="G3",M106="DG"),IF(R106="20'",
VLOOKUP(Z106,Charge!$R$18:$T$21,2,TRUE)+(Z106-VLOOKUP(Z106,Charge!$R$18:$T$21,1,TRUE))*VLOOKUP(Z106,Charge!$R$18:$T$21,3,TRUE),
VLOOKUP(Z106,Charge!$U$18:$W$21,2,TRUE)+(Z106-VLOOKUP(Z106,Charge!$U$18:$W$21,1,TRUE))*VLOOKUP(Z106,Charge!$U$18:$W$21,3,TRUE)),
IF(AND(B106="G2",M106=""),IF(R106="20'",
VLOOKUP(Z106,Charge!$K$9:$M$12,2,TRUE)+(Z106-VLOOKUP(Z106,Charge!$K$9:$M$12,1,TRUE))*VLOOKUP(Z106,Charge!$K$9:$M$12,3,TRUE),
VLOOKUP(Z106,Charge!$N$9:$P$12,2,TRUE)+(Z106-VLOOKUP(Z106,Charge!$N$9:$P$12,1,TRUE))*VLOOKUP(Z106,Charge!$N$9:$P$12,3,TRUE)),
IF(AND(B106="G2",M106="DG"),IF(R106="20'",
VLOOKUP(Z106,Charge!$R$9:$T$12,2,TRUE)+(Z106-VLOOKUP(Z106,Charge!$R$9:$T$12,1,TRUE))*VLOOKUP(Z106,Charge!$R$9:$T$12,3,TRUE),
VLOOKUP(Z106,Charge!$U$9:$W$12,2,TRUE)+(Z106-VLOOKUP(Z106,Charge!$U$9:$W$12,1,TRUE))*VLOOKUP(Z106,Charge!$U$9:$W$12,3,TRUE)),IF(AND(B106="G4",M106=""),IF(R106="20'",Z106*Charge!$M$25,Z106*Charge!$P$25),IF(AND(B106="G4",M106="DG"),IF(R106="20'",Z106*Charge!$T$25,Z106*Charge!$W$25),0))))))))</f>
        <v>1120</v>
      </c>
      <c r="AB106" s="184" t="n"/>
      <c r="AC106" s="184" t="n"/>
      <c r="AD106" s="60">
        <f>IF(M106="DG",3,IF(N106="RF",3,5))+IF(AND(LEFT(C106,3)="BKK",N106="RF",Q106="KTS"),1,0)+IF(Q106="KHS",1,0)</f>
        <v>5</v>
      </c>
      <c r="AE106" s="63">
        <f>(T106-V106)+1</f>
        <v>46304</v>
      </c>
      <c r="AF106" s="63">
        <f>IF(AB106&gt;IF((V106-W106)&gt;0,V106-W106,0),0,IF(AB106&lt;IF((V106-W106)&gt;0,V106-W106,0),IF((V106-W106)&gt;0,V106-W106,0)-AB106,IF((V106-W106)&gt;0,V106-W106,0)))</f>
        <v>0</v>
      </c>
      <c r="AG106" s="187">
        <f>IF(AND(M106=""),IF(R106="20'",
VLOOKUP(AF106,Charge!$K$31:$M$34,2,TRUE)+(AF106-VLOOKUP(AF106,Charge!$K$31:$M$34,1,TRUE))*VLOOKUP(AF106,Charge!$K$31:$M$34,3,TRUE),
VLOOKUP(AF106,Charge!$N$31:$P$34,2,TRUE)+(AF106-VLOOKUP(AF106,Charge!$N$31:$P$34,1,TRUE))*VLOOKUP(AF106,Charge!$N$31:$P$34,3,TRUE)),
IF(AND(M106="DG"),IF(R106="20'",
VLOOKUP(AF106,Charge!$R$31:$T$34,2,TRUE)+(AF106-VLOOKUP(AF106,Charge!$R$31:$T$34,1,TRUE))*VLOOKUP(AF106,Charge!$R$31:$T$34,3,TRUE),
VLOOKUP(AF106,Charge!$U$31:$W$34,2,TRUE)+(AF106-VLOOKUP(AF106,Charge!$U$31:$W$34,1,TRUE))*VLOOKUP(AF106,Charge!$U$31:$W$34,3,TRUE)),0))</f>
        <v>0</v>
      </c>
      <c r="AH106" s="65" t="n"/>
      <c r="AI106" s="65">
        <f>AA106-AH106</f>
        <v>1120</v>
      </c>
      <c r="AJ106" s="188" t="n"/>
      <c r="AK106" s="62" t="str">
        <f>VLOOKUP(D106,'2.Bookinglist'!A:CT,40,FALSE)</f>
        <v>Kanokporn</v>
      </c>
      <c r="AL106" s="60" t="str">
        <f>VLOOKUP(D106,'2.Bookinglist'!A:CW,101,FALSE)</f>
        <v>2026-10-07</v>
      </c>
      <c r="AM106" s="60" t="str">
        <f>VLOOKUP(D106,'2.Bookinglist'!A:BK,63,FALSE)</f>
        <v>BKK25</v>
      </c>
      <c r="AN106" s="62" t="str">
        <f>VLOOKUP(D106,'2.Bookinglist'!A:AZ,52,FALSE)</f>
        <v>CY-RTN 25-27/09/26 (JB2609183466 )1ST RETURN DATE DD.29/09/26</v>
      </c>
      <c r="AO106" s="62" t="str">
        <f>VLOOKUP(D106,'2.Bookinglist'!A:CY,103,FALSE)</f>
        <v>ROLL OVER FROM PREVIOUS VSL KMBK 2611N BY ALLOCATION TEAM MS.TARN APPROVED COST IS UNDER HAL DD.01/10SI DD.29/9/26</v>
      </c>
    </row>
    <row r="107" ht="12.95" customHeight="1">
      <c r="A107" s="96" t="inlineStr">
        <is>
          <t>SKLU0744220</t>
        </is>
      </c>
      <c r="B107" s="184" t="str">
        <f>IF(C107=Charge!$M$1,Charge!$J$1,IF(C107=Charge!$M$23,Charge!$J$23,IF(C107=Charge!$M$17,Charge!$J$17,IF(C107=Charge!$N$17,Charge!$J$17,Charge!$J$7))))</f>
        <v>G3</v>
      </c>
      <c r="C107" s="61" t="str">
        <f>VLOOKUP(A107,'1.Loading'!A:R,14,FALSE)</f>
        <v>BKK04</v>
      </c>
      <c r="D107" s="61" t="str">
        <f>VLOOKUP(A107,'1.Loading'!A:R,17,FALSE)</f>
        <v>HASLS22260800838</v>
      </c>
      <c r="E107" s="62" t="str">
        <f>VLOOKUP(D107,'2.Bookinglist'!A:CT,27,FALSE)</f>
        <v>SCGJWD LOGISTICS PUBLIC COMPANY LIMITED</v>
      </c>
      <c r="F107" s="62" t="str">
        <f>VLOOKUP(D107,'2.Bookinglist'!A:CT,28,FALSE)</f>
        <v>SCG INTERNATIONAL CORPORATION CO., LTD.</v>
      </c>
      <c r="G107" s="60">
        <f>VLOOKUP(D107,'2.Bookinglist'!A:E,5,FALSE)</f>
        <v>0</v>
      </c>
      <c r="H107" s="61" t="str">
        <f>VLOOKUP(D107,'2.Bookinglist'!A:CT,15,FALSE)</f>
        <v>THBKK</v>
      </c>
      <c r="I107" s="61" t="str">
        <f>VLOOKUP(D107,'2.Bookinglist'!A:CT,19,FALSE)</f>
        <v>VNSGN</v>
      </c>
      <c r="J107" s="61">
        <f>VLOOKUP(D107,'2.Bookinglist'!A:CT,26,FALSE)</f>
        <v>0</v>
      </c>
      <c r="K107" s="61" t="str">
        <f>VLOOKUP(A107,'1.Loading'!A:R,5,FALSE)</f>
        <v>22GP</v>
      </c>
      <c r="L107" s="60" t="str">
        <f>VLOOKUP(D107,'2.Bookinglist'!A:CT,85,FALSE)</f>
        <v>CY/CY</v>
      </c>
      <c r="M107" s="60" t="str">
        <f>IF(VLOOKUP(D107,'2.Bookinglist'!A:CT,43,FALSE)=0,"","DG")</f>
        <v/>
      </c>
      <c r="N107" s="60" t="str">
        <f>IF(RIGHT(K107,2)="RE","RF","")</f>
        <v/>
      </c>
      <c r="O107" s="61" t="str">
        <f>VLOOKUP(A107,'1.Loading'!A:R,3,FALSE)</f>
        <v>SWSP</v>
      </c>
      <c r="P107" s="61" t="str">
        <f>VLOOKUP(A107,'1.Loading'!A:R,4,FALSE)</f>
        <v>2609N</v>
      </c>
      <c r="Q107" s="61" t="str">
        <f>VLOOKUP(D107,'2.Bookinglist'!A:CT,12,FALSE)</f>
        <v>BTS</v>
      </c>
      <c r="R107" s="60" t="str">
        <f>IF(LEFT(K107,2)="22","20'","40'")</f>
        <v>20'</v>
      </c>
      <c r="S107" s="185" t="n"/>
      <c r="T107" s="61" t="str">
        <f>VLOOKUP(A107,'1.Loading'!A:R,2,FALSE)</f>
        <v>2026-10-08</v>
      </c>
      <c r="U107" s="63">
        <f>T107-S107</f>
        <v>46303</v>
      </c>
      <c r="V107" s="186" t="n"/>
      <c r="W107" s="61" t="str">
        <f>VLOOKUP(A107,'3.GateMove'!A:D,4,FALSE)</f>
        <v>2026-09-28</v>
      </c>
      <c r="X107" s="63">
        <f>((T107-W107)+1)</f>
        <v>11</v>
      </c>
      <c r="Y107" s="64">
        <f>IF(AND(OR(C107="BKK01",C107="BKK04"),L107="CFS/CY"),0,IF(M107="DG",1,IF(LEFT(C107,3)="LCH",7,IF(C107="BKK02",5,3))))</f>
        <v>3</v>
      </c>
      <c r="Z107" s="63">
        <f>IF(IF(AND(AC107="TML",AB107&gt;0),((T107-W107)+1)-AB107,((T107-W107)+1)-Y107)&gt;0,IF(AND(AC107="TML",AB107&gt;0),((T107-W107)+1)-AB107,((T107-W107)+1)-Y107),0)</f>
        <v>8</v>
      </c>
      <c r="AA107" s="187">
        <f>IF(AND(B107="G1",M107=""),IF(R107="20'",
VLOOKUP(Z107,Charge!$K$2:$M$5,2,TRUE)+(Z107-VLOOKUP(Z107,Charge!$K$2:$M$5,1,TRUE))*VLOOKUP(Z107,Charge!$K$2:$M$5,3,TRUE),
VLOOKUP(Z107,Charge!$N$2:$P$5,2,TRUE)+(Z107-VLOOKUP(Z107,Charge!$N$2:$P$5,1,TRUE))*VLOOKUP(Z107,Charge!$N$2:$P$5,3,TRUE)),
IF(AND(B107="G1",M107="DG"),IF(R107="20'",
VLOOKUP(Z107,Charge!$R$2:$T$5,2,TRUE)+(Z107-VLOOKUP(Z107,Charge!$R$2:$T$5,1,TRUE))*VLOOKUP(Z107,Charge!$R$2:$T$5,3,TRUE),
VLOOKUP(Z107,Charge!$U$2:$W$5,2,TRUE)+(Z107-VLOOKUP(Z107,Charge!$U$2:$W$5,1,TRUE))*VLOOKUP(Z107,Charge!$U$2:$W$5,3,TRUE)),
IF(AND(B107="G3",M107=""),IF(R107="20'",
VLOOKUP(Z107,Charge!$K$18:$M$21,2,TRUE)+(Z107-VLOOKUP(Z107,Charge!$K$18:$M$21,1,TRUE))*VLOOKUP(Z107,Charge!$K$18:$M$21,3,TRUE),
VLOOKUP(Z107,Charge!$N$18:$P$21,2,TRUE)+(Z107-VLOOKUP(Z107,Charge!$N$18:$P$21,1,TRUE))*VLOOKUP(Z107,Charge!$N$18:$P$21,3,TRUE)),
IF(AND(B107="G3",M107="DG"),IF(R107="20'",
VLOOKUP(Z107,Charge!$R$18:$T$21,2,TRUE)+(Z107-VLOOKUP(Z107,Charge!$R$18:$T$21,1,TRUE))*VLOOKUP(Z107,Charge!$R$18:$T$21,3,TRUE),
VLOOKUP(Z107,Charge!$U$18:$W$21,2,TRUE)+(Z107-VLOOKUP(Z107,Charge!$U$18:$W$21,1,TRUE))*VLOOKUP(Z107,Charge!$U$18:$W$21,3,TRUE)),
IF(AND(B107="G2",M107=""),IF(R107="20'",
VLOOKUP(Z107,Charge!$K$9:$M$12,2,TRUE)+(Z107-VLOOKUP(Z107,Charge!$K$9:$M$12,1,TRUE))*VLOOKUP(Z107,Charge!$K$9:$M$12,3,TRUE),
VLOOKUP(Z107,Charge!$N$9:$P$12,2,TRUE)+(Z107-VLOOKUP(Z107,Charge!$N$9:$P$12,1,TRUE))*VLOOKUP(Z107,Charge!$N$9:$P$12,3,TRUE)),
IF(AND(B107="G2",M107="DG"),IF(R107="20'",
VLOOKUP(Z107,Charge!$R$9:$T$12,2,TRUE)+(Z107-VLOOKUP(Z107,Charge!$R$9:$T$12,1,TRUE))*VLOOKUP(Z107,Charge!$R$9:$T$12,3,TRUE),
VLOOKUP(Z107,Charge!$U$9:$W$12,2,TRUE)+(Z107-VLOOKUP(Z107,Charge!$U$9:$W$12,1,TRUE))*VLOOKUP(Z107,Charge!$U$9:$W$12,3,TRUE)),IF(AND(B107="G4",M107=""),IF(R107="20'",Z107*Charge!$M$25,Z107*Charge!$P$25),IF(AND(B107="G4",M107="DG"),IF(R107="20'",Z107*Charge!$T$25,Z107*Charge!$W$25),0))))))))</f>
        <v>1395</v>
      </c>
      <c r="AB107" s="184" t="n"/>
      <c r="AC107" s="184" t="n"/>
      <c r="AD107" s="60">
        <f>IF(M107="DG",3,IF(N107="RF",3,5))+IF(AND(LEFT(C107,3)="BKK",N107="RF",Q107="KTS"),1,0)+IF(Q107="KHS",1,0)</f>
        <v>5</v>
      </c>
      <c r="AE107" s="63">
        <f>(T107-V107)+1</f>
        <v>46304</v>
      </c>
      <c r="AF107" s="63">
        <f>IF(AB107&gt;IF((V107-W107)&gt;0,V107-W107,0),0,IF(AB107&lt;IF((V107-W107)&gt;0,V107-W107,0),IF((V107-W107)&gt;0,V107-W107,0)-AB107,IF((V107-W107)&gt;0,V107-W107,0)))</f>
        <v>0</v>
      </c>
      <c r="AG107" s="187">
        <f>IF(AND(M107=""),IF(R107="20'",
VLOOKUP(AF107,Charge!$K$31:$M$34,2,TRUE)+(AF107-VLOOKUP(AF107,Charge!$K$31:$M$34,1,TRUE))*VLOOKUP(AF107,Charge!$K$31:$M$34,3,TRUE),
VLOOKUP(AF107,Charge!$N$31:$P$34,2,TRUE)+(AF107-VLOOKUP(AF107,Charge!$N$31:$P$34,1,TRUE))*VLOOKUP(AF107,Charge!$N$31:$P$34,3,TRUE)),
IF(AND(M107="DG"),IF(R107="20'",
VLOOKUP(AF107,Charge!$R$31:$T$34,2,TRUE)+(AF107-VLOOKUP(AF107,Charge!$R$31:$T$34,1,TRUE))*VLOOKUP(AF107,Charge!$R$31:$T$34,3,TRUE),
VLOOKUP(AF107,Charge!$U$31:$W$34,2,TRUE)+(AF107-VLOOKUP(AF107,Charge!$U$31:$W$34,1,TRUE))*VLOOKUP(AF107,Charge!$U$31:$W$34,3,TRUE)),0))</f>
        <v>0</v>
      </c>
      <c r="AH107" s="65" t="n"/>
      <c r="AI107" s="65">
        <f>AA107-AH107</f>
        <v>1395</v>
      </c>
      <c r="AJ107" s="188" t="n"/>
      <c r="AK107" s="62" t="str">
        <f>VLOOKUP(D107,'2.Bookinglist'!A:CT,40,FALSE)</f>
        <v>Kanokporn</v>
      </c>
      <c r="AL107" s="60" t="str">
        <f>VLOOKUP(D107,'2.Bookinglist'!A:CW,101,FALSE)</f>
        <v>2026-10-07</v>
      </c>
      <c r="AM107" s="60" t="str">
        <f>VLOOKUP(D107,'2.Bookinglist'!A:BK,63,FALSE)</f>
        <v>BKK27</v>
      </c>
      <c r="AN107" s="62" t="str">
        <f>VLOOKUP(D107,'2.Bookinglist'!A:AZ,52,FALSE)</f>
        <v>CY-RTN : 28-28/09/2026 (1ST RETURN 28/09/26)
(JB2606177029) </v>
      </c>
      <c r="AO107" s="62" t="str">
        <f>VLOOKUP(D107,'2.Bookinglist'!A:CY,103,FALSE)</f>
        <v>ROLL OVER FROM PREVIOUS VSL KMBK 2611N BY ALLOCATION TEAM MS.TARN APPROVED COST IS UNDER HAL DD.01/10</v>
      </c>
    </row>
    <row r="108" ht="12.95" customHeight="1">
      <c r="A108" s="96" t="inlineStr">
        <is>
          <t>SKLU1002340</t>
        </is>
      </c>
      <c r="B108" s="184" t="str">
        <f>IF(C108=Charge!$M$1,Charge!$J$1,IF(C108=Charge!$M$23,Charge!$J$23,IF(C108=Charge!$M$17,Charge!$J$17,IF(C108=Charge!$N$17,Charge!$J$17,Charge!$J$7))))</f>
        <v>G3</v>
      </c>
      <c r="C108" s="61" t="str">
        <f>VLOOKUP(A108,'1.Loading'!A:R,14,FALSE)</f>
        <v>BKK04</v>
      </c>
      <c r="D108" s="61" t="str">
        <f>VLOOKUP(A108,'1.Loading'!A:R,17,FALSE)</f>
        <v>HASLS22260800838</v>
      </c>
      <c r="E108" s="62" t="str">
        <f>VLOOKUP(D108,'2.Bookinglist'!A:CT,27,FALSE)</f>
        <v>SCGJWD LOGISTICS PUBLIC COMPANY LIMITED</v>
      </c>
      <c r="F108" s="62" t="str">
        <f>VLOOKUP(D108,'2.Bookinglist'!A:CT,28,FALSE)</f>
        <v>SCG INTERNATIONAL CORPORATION CO., LTD.</v>
      </c>
      <c r="G108" s="60">
        <f>VLOOKUP(D108,'2.Bookinglist'!A:E,5,FALSE)</f>
        <v>0</v>
      </c>
      <c r="H108" s="61" t="str">
        <f>VLOOKUP(D108,'2.Bookinglist'!A:CT,15,FALSE)</f>
        <v>THBKK</v>
      </c>
      <c r="I108" s="61" t="str">
        <f>VLOOKUP(D108,'2.Bookinglist'!A:CT,19,FALSE)</f>
        <v>VNSGN</v>
      </c>
      <c r="J108" s="61">
        <f>VLOOKUP(D108,'2.Bookinglist'!A:CT,26,FALSE)</f>
        <v>0</v>
      </c>
      <c r="K108" s="61" t="str">
        <f>VLOOKUP(A108,'1.Loading'!A:R,5,FALSE)</f>
        <v>22GP</v>
      </c>
      <c r="L108" s="60" t="str">
        <f>VLOOKUP(D108,'2.Bookinglist'!A:CT,85,FALSE)</f>
        <v>CY/CY</v>
      </c>
      <c r="M108" s="60" t="str">
        <f>IF(VLOOKUP(D108,'2.Bookinglist'!A:CT,43,FALSE)=0,"","DG")</f>
        <v/>
      </c>
      <c r="N108" s="60" t="str">
        <f>IF(RIGHT(K108,2)="RE","RF","")</f>
        <v/>
      </c>
      <c r="O108" s="61" t="str">
        <f>VLOOKUP(A108,'1.Loading'!A:R,3,FALSE)</f>
        <v>SWSP</v>
      </c>
      <c r="P108" s="61" t="str">
        <f>VLOOKUP(A108,'1.Loading'!A:R,4,FALSE)</f>
        <v>2609N</v>
      </c>
      <c r="Q108" s="61" t="str">
        <f>VLOOKUP(D108,'2.Bookinglist'!A:CT,12,FALSE)</f>
        <v>BTS</v>
      </c>
      <c r="R108" s="60" t="str">
        <f>IF(LEFT(K108,2)="22","20'","40'")</f>
        <v>20'</v>
      </c>
      <c r="S108" s="185" t="n"/>
      <c r="T108" s="61" t="str">
        <f>VLOOKUP(A108,'1.Loading'!A:R,2,FALSE)</f>
        <v>2026-10-08</v>
      </c>
      <c r="U108" s="63">
        <f>T108-S108</f>
        <v>46303</v>
      </c>
      <c r="V108" s="186" t="n"/>
      <c r="W108" s="61" t="str">
        <f>VLOOKUP(A108,'3.GateMove'!A:D,4,FALSE)</f>
        <v>2026-09-28</v>
      </c>
      <c r="X108" s="63">
        <f>((T108-W108)+1)</f>
        <v>11</v>
      </c>
      <c r="Y108" s="64">
        <f>IF(AND(OR(C108="BKK01",C108="BKK04"),L108="CFS/CY"),0,IF(M108="DG",1,IF(LEFT(C108,3)="LCH",7,IF(C108="BKK02",5,3))))</f>
        <v>3</v>
      </c>
      <c r="Z108" s="63">
        <f>IF(IF(AND(AC108="TML",AB108&gt;0),((T108-W108)+1)-AB108,((T108-W108)+1)-Y108)&gt;0,IF(AND(AC108="TML",AB108&gt;0),((T108-W108)+1)-AB108,((T108-W108)+1)-Y108),0)</f>
        <v>8</v>
      </c>
      <c r="AA108" s="187">
        <f>IF(AND(B108="G1",M108=""),IF(R108="20'",
VLOOKUP(Z108,Charge!$K$2:$M$5,2,TRUE)+(Z108-VLOOKUP(Z108,Charge!$K$2:$M$5,1,TRUE))*VLOOKUP(Z108,Charge!$K$2:$M$5,3,TRUE),
VLOOKUP(Z108,Charge!$N$2:$P$5,2,TRUE)+(Z108-VLOOKUP(Z108,Charge!$N$2:$P$5,1,TRUE))*VLOOKUP(Z108,Charge!$N$2:$P$5,3,TRUE)),
IF(AND(B108="G1",M108="DG"),IF(R108="20'",
VLOOKUP(Z108,Charge!$R$2:$T$5,2,TRUE)+(Z108-VLOOKUP(Z108,Charge!$R$2:$T$5,1,TRUE))*VLOOKUP(Z108,Charge!$R$2:$T$5,3,TRUE),
VLOOKUP(Z108,Charge!$U$2:$W$5,2,TRUE)+(Z108-VLOOKUP(Z108,Charge!$U$2:$W$5,1,TRUE))*VLOOKUP(Z108,Charge!$U$2:$W$5,3,TRUE)),
IF(AND(B108="G3",M108=""),IF(R108="20'",
VLOOKUP(Z108,Charge!$K$18:$M$21,2,TRUE)+(Z108-VLOOKUP(Z108,Charge!$K$18:$M$21,1,TRUE))*VLOOKUP(Z108,Charge!$K$18:$M$21,3,TRUE),
VLOOKUP(Z108,Charge!$N$18:$P$21,2,TRUE)+(Z108-VLOOKUP(Z108,Charge!$N$18:$P$21,1,TRUE))*VLOOKUP(Z108,Charge!$N$18:$P$21,3,TRUE)),
IF(AND(B108="G3",M108="DG"),IF(R108="20'",
VLOOKUP(Z108,Charge!$R$18:$T$21,2,TRUE)+(Z108-VLOOKUP(Z108,Charge!$R$18:$T$21,1,TRUE))*VLOOKUP(Z108,Charge!$R$18:$T$21,3,TRUE),
VLOOKUP(Z108,Charge!$U$18:$W$21,2,TRUE)+(Z108-VLOOKUP(Z108,Charge!$U$18:$W$21,1,TRUE))*VLOOKUP(Z108,Charge!$U$18:$W$21,3,TRUE)),
IF(AND(B108="G2",M108=""),IF(R108="20'",
VLOOKUP(Z108,Charge!$K$9:$M$12,2,TRUE)+(Z108-VLOOKUP(Z108,Charge!$K$9:$M$12,1,TRUE))*VLOOKUP(Z108,Charge!$K$9:$M$12,3,TRUE),
VLOOKUP(Z108,Charge!$N$9:$P$12,2,TRUE)+(Z108-VLOOKUP(Z108,Charge!$N$9:$P$12,1,TRUE))*VLOOKUP(Z108,Charge!$N$9:$P$12,3,TRUE)),
IF(AND(B108="G2",M108="DG"),IF(R108="20'",
VLOOKUP(Z108,Charge!$R$9:$T$12,2,TRUE)+(Z108-VLOOKUP(Z108,Charge!$R$9:$T$12,1,TRUE))*VLOOKUP(Z108,Charge!$R$9:$T$12,3,TRUE),
VLOOKUP(Z108,Charge!$U$9:$W$12,2,TRUE)+(Z108-VLOOKUP(Z108,Charge!$U$9:$W$12,1,TRUE))*VLOOKUP(Z108,Charge!$U$9:$W$12,3,TRUE)),IF(AND(B108="G4",M108=""),IF(R108="20'",Z108*Charge!$M$25,Z108*Charge!$P$25),IF(AND(B108="G4",M108="DG"),IF(R108="20'",Z108*Charge!$T$25,Z108*Charge!$W$25),0))))))))</f>
        <v>1395</v>
      </c>
      <c r="AB108" s="184" t="n"/>
      <c r="AC108" s="184" t="n"/>
      <c r="AD108" s="60">
        <f>IF(M108="DG",3,IF(N108="RF",3,5))+IF(AND(LEFT(C108,3)="BKK",N108="RF",Q108="KTS"),1,0)+IF(Q108="KHS",1,0)</f>
        <v>5</v>
      </c>
      <c r="AE108" s="63">
        <f>(T108-V108)+1</f>
        <v>46304</v>
      </c>
      <c r="AF108" s="63">
        <f>IF(AB108&gt;IF((V108-W108)&gt;0,V108-W108,0),0,IF(AB108&lt;IF((V108-W108)&gt;0,V108-W108,0),IF((V108-W108)&gt;0,V108-W108,0)-AB108,IF((V108-W108)&gt;0,V108-W108,0)))</f>
        <v>0</v>
      </c>
      <c r="AG108" s="187">
        <f>IF(AND(M108=""),IF(R108="20'",
VLOOKUP(AF108,Charge!$K$31:$M$34,2,TRUE)+(AF108-VLOOKUP(AF108,Charge!$K$31:$M$34,1,TRUE))*VLOOKUP(AF108,Charge!$K$31:$M$34,3,TRUE),
VLOOKUP(AF108,Charge!$N$31:$P$34,2,TRUE)+(AF108-VLOOKUP(AF108,Charge!$N$31:$P$34,1,TRUE))*VLOOKUP(AF108,Charge!$N$31:$P$34,3,TRUE)),
IF(AND(M108="DG"),IF(R108="20'",
VLOOKUP(AF108,Charge!$R$31:$T$34,2,TRUE)+(AF108-VLOOKUP(AF108,Charge!$R$31:$T$34,1,TRUE))*VLOOKUP(AF108,Charge!$R$31:$T$34,3,TRUE),
VLOOKUP(AF108,Charge!$U$31:$W$34,2,TRUE)+(AF108-VLOOKUP(AF108,Charge!$U$31:$W$34,1,TRUE))*VLOOKUP(AF108,Charge!$U$31:$W$34,3,TRUE)),0))</f>
        <v>0</v>
      </c>
      <c r="AH108" s="65" t="n"/>
      <c r="AI108" s="65">
        <f>AA108-AH108</f>
        <v>1395</v>
      </c>
      <c r="AJ108" s="188" t="n"/>
      <c r="AK108" s="62" t="str">
        <f>VLOOKUP(D108,'2.Bookinglist'!A:CT,40,FALSE)</f>
        <v>Kanokporn</v>
      </c>
      <c r="AL108" s="60" t="str">
        <f>VLOOKUP(D108,'2.Bookinglist'!A:CW,101,FALSE)</f>
        <v>2026-10-07</v>
      </c>
      <c r="AM108" s="60" t="str">
        <f>VLOOKUP(D108,'2.Bookinglist'!A:BK,63,FALSE)</f>
        <v>BKK27</v>
      </c>
      <c r="AN108" s="62" t="str">
        <f>VLOOKUP(D108,'2.Bookinglist'!A:AZ,52,FALSE)</f>
        <v>CY-RTN : 28-28/09/2026 (1ST RETURN 28/09/26)
(JB2606177029) </v>
      </c>
      <c r="AO108" s="62" t="str">
        <f>VLOOKUP(D108,'2.Bookinglist'!A:CY,103,FALSE)</f>
        <v>ROLL OVER FROM PREVIOUS VSL KMBK 2611N BY ALLOCATION TEAM MS.TARN APPROVED COST IS UNDER HAL DD.01/10</v>
      </c>
    </row>
    <row r="109" ht="12.95" customHeight="1">
      <c r="A109" s="96" t="inlineStr">
        <is>
          <t>SKLU1103582</t>
        </is>
      </c>
      <c r="B109" s="184" t="str">
        <f>IF(C109=Charge!$M$1,Charge!$J$1,IF(C109=Charge!$M$23,Charge!$J$23,IF(C109=Charge!$M$17,Charge!$J$17,IF(C109=Charge!$N$17,Charge!$J$17,Charge!$J$7))))</f>
        <v>G3</v>
      </c>
      <c r="C109" s="61" t="str">
        <f>VLOOKUP(A109,'1.Loading'!A:R,14,FALSE)</f>
        <v>BKK04</v>
      </c>
      <c r="D109" s="61" t="str">
        <f>VLOOKUP(A109,'1.Loading'!A:R,17,FALSE)</f>
        <v>HASLS22260801914</v>
      </c>
      <c r="E109" s="62" t="str">
        <f>VLOOKUP(D109,'2.Bookinglist'!A:CT,27,FALSE)</f>
        <v>DP WORLD LOGISTICS SOLUTIONS (THAILAND) COMPANY LIMITED</v>
      </c>
      <c r="F109" s="62" t="str">
        <f>VLOOKUP(D109,'2.Bookinglist'!A:CT,28,FALSE)</f>
        <v>DP WORLD LOGISTICS SOLUTIONS (THAILAND) COMPANY LIMITED</v>
      </c>
      <c r="G109" s="60">
        <f>VLOOKUP(D109,'2.Bookinglist'!A:E,5,FALSE)</f>
        <v>0</v>
      </c>
      <c r="H109" s="61" t="str">
        <f>VLOOKUP(D109,'2.Bookinglist'!A:CT,15,FALSE)</f>
        <v>THBKK</v>
      </c>
      <c r="I109" s="61" t="str">
        <f>VLOOKUP(D109,'2.Bookinglist'!A:CT,19,FALSE)</f>
        <v>KRPTK</v>
      </c>
      <c r="J109" s="61">
        <f>VLOOKUP(D109,'2.Bookinglist'!A:CT,26,FALSE)</f>
        <v>0</v>
      </c>
      <c r="K109" s="61" t="str">
        <f>VLOOKUP(A109,'1.Loading'!A:R,5,FALSE)</f>
        <v>22GP</v>
      </c>
      <c r="L109" s="60" t="str">
        <f>VLOOKUP(D109,'2.Bookinglist'!A:CT,85,FALSE)</f>
        <v>CY/CY</v>
      </c>
      <c r="M109" s="60" t="str">
        <f>IF(VLOOKUP(D109,'2.Bookinglist'!A:CT,43,FALSE)=0,"","DG")</f>
        <v/>
      </c>
      <c r="N109" s="60" t="str">
        <f>IF(RIGHT(K109,2)="RE","RF","")</f>
        <v/>
      </c>
      <c r="O109" s="61" t="str">
        <f>VLOOKUP(A109,'1.Loading'!A:R,3,FALSE)</f>
        <v>SWSP</v>
      </c>
      <c r="P109" s="61" t="str">
        <f>VLOOKUP(A109,'1.Loading'!A:R,4,FALSE)</f>
        <v>2609N</v>
      </c>
      <c r="Q109" s="61" t="str">
        <f>VLOOKUP(D109,'2.Bookinglist'!A:CT,12,FALSE)</f>
        <v>BTS</v>
      </c>
      <c r="R109" s="60" t="str">
        <f>IF(LEFT(K109,2)="22","20'","40'")</f>
        <v>20'</v>
      </c>
      <c r="S109" s="185" t="n"/>
      <c r="T109" s="61" t="str">
        <f>VLOOKUP(A109,'1.Loading'!A:R,2,FALSE)</f>
        <v>2026-10-08</v>
      </c>
      <c r="U109" s="63">
        <f>T109-S109</f>
        <v>46303</v>
      </c>
      <c r="V109" s="186" t="n"/>
      <c r="W109" s="61" t="str">
        <f>VLOOKUP(A109,'3.GateMove'!A:D,4,FALSE)</f>
        <v>2026-09-19</v>
      </c>
      <c r="X109" s="63">
        <f>((T109-W109)+1)</f>
        <v>20</v>
      </c>
      <c r="Y109" s="64">
        <f>IF(AND(OR(C109="BKK01",C109="BKK04"),L109="CFS/CY"),0,IF(M109="DG",1,IF(LEFT(C109,3)="LCH",7,IF(C109="BKK02",5,3))))</f>
        <v>3</v>
      </c>
      <c r="Z109" s="63">
        <f>IF(IF(AND(AC109="TML",AB109&gt;0),((T109-W109)+1)-AB109,((T109-W109)+1)-Y109)&gt;0,IF(AND(AC109="TML",AB109&gt;0),((T109-W109)+1)-AB109,((T109-W109)+1)-Y109),0)</f>
        <v>17</v>
      </c>
      <c r="AA109" s="187">
        <f>IF(AND(B109="G1",M109=""),IF(R109="20'",
VLOOKUP(Z109,Charge!$K$2:$M$5,2,TRUE)+(Z109-VLOOKUP(Z109,Charge!$K$2:$M$5,1,TRUE))*VLOOKUP(Z109,Charge!$K$2:$M$5,3,TRUE),
VLOOKUP(Z109,Charge!$N$2:$P$5,2,TRUE)+(Z109-VLOOKUP(Z109,Charge!$N$2:$P$5,1,TRUE))*VLOOKUP(Z109,Charge!$N$2:$P$5,3,TRUE)),
IF(AND(B109="G1",M109="DG"),IF(R109="20'",
VLOOKUP(Z109,Charge!$R$2:$T$5,2,TRUE)+(Z109-VLOOKUP(Z109,Charge!$R$2:$T$5,1,TRUE))*VLOOKUP(Z109,Charge!$R$2:$T$5,3,TRUE),
VLOOKUP(Z109,Charge!$U$2:$W$5,2,TRUE)+(Z109-VLOOKUP(Z109,Charge!$U$2:$W$5,1,TRUE))*VLOOKUP(Z109,Charge!$U$2:$W$5,3,TRUE)),
IF(AND(B109="G3",M109=""),IF(R109="20'",
VLOOKUP(Z109,Charge!$K$18:$M$21,2,TRUE)+(Z109-VLOOKUP(Z109,Charge!$K$18:$M$21,1,TRUE))*VLOOKUP(Z109,Charge!$K$18:$M$21,3,TRUE),
VLOOKUP(Z109,Charge!$N$18:$P$21,2,TRUE)+(Z109-VLOOKUP(Z109,Charge!$N$18:$P$21,1,TRUE))*VLOOKUP(Z109,Charge!$N$18:$P$21,3,TRUE)),
IF(AND(B109="G3",M109="DG"),IF(R109="20'",
VLOOKUP(Z109,Charge!$R$18:$T$21,2,TRUE)+(Z109-VLOOKUP(Z109,Charge!$R$18:$T$21,1,TRUE))*VLOOKUP(Z109,Charge!$R$18:$T$21,3,TRUE),
VLOOKUP(Z109,Charge!$U$18:$W$21,2,TRUE)+(Z109-VLOOKUP(Z109,Charge!$U$18:$W$21,1,TRUE))*VLOOKUP(Z109,Charge!$U$18:$W$21,3,TRUE)),
IF(AND(B109="G2",M109=""),IF(R109="20'",
VLOOKUP(Z109,Charge!$K$9:$M$12,2,TRUE)+(Z109-VLOOKUP(Z109,Charge!$K$9:$M$12,1,TRUE))*VLOOKUP(Z109,Charge!$K$9:$M$12,3,TRUE),
VLOOKUP(Z109,Charge!$N$9:$P$12,2,TRUE)+(Z109-VLOOKUP(Z109,Charge!$N$9:$P$12,1,TRUE))*VLOOKUP(Z109,Charge!$N$9:$P$12,3,TRUE)),
IF(AND(B109="G2",M109="DG"),IF(R109="20'",
VLOOKUP(Z109,Charge!$R$9:$T$12,2,TRUE)+(Z109-VLOOKUP(Z109,Charge!$R$9:$T$12,1,TRUE))*VLOOKUP(Z109,Charge!$R$9:$T$12,3,TRUE),
VLOOKUP(Z109,Charge!$U$9:$W$12,2,TRUE)+(Z109-VLOOKUP(Z109,Charge!$U$9:$W$12,1,TRUE))*VLOOKUP(Z109,Charge!$U$9:$W$12,3,TRUE)),IF(AND(B109="G4",M109=""),IF(R109="20'",Z109*Charge!$M$25,Z109*Charge!$P$25),IF(AND(B109="G4",M109="DG"),IF(R109="20'",Z109*Charge!$T$25,Z109*Charge!$W$25),0))))))))</f>
        <v>4215</v>
      </c>
      <c r="AB109" s="184" t="n"/>
      <c r="AC109" s="184" t="n"/>
      <c r="AD109" s="60">
        <f>IF(M109="DG",3,IF(N109="RF",3,5))+IF(AND(LEFT(C109,3)="BKK",N109="RF",Q109="KTS"),1,0)+IF(Q109="KHS",1,0)</f>
        <v>5</v>
      </c>
      <c r="AE109" s="63">
        <f>(T109-V109)+1</f>
        <v>46304</v>
      </c>
      <c r="AF109" s="63">
        <f>IF(AB109&gt;IF((V109-W109)&gt;0,V109-W109,0),0,IF(AB109&lt;IF((V109-W109)&gt;0,V109-W109,0),IF((V109-W109)&gt;0,V109-W109,0)-AB109,IF((V109-W109)&gt;0,V109-W109,0)))</f>
        <v>0</v>
      </c>
      <c r="AG109" s="187">
        <f>IF(AND(M109=""),IF(R109="20'",
VLOOKUP(AF109,Charge!$K$31:$M$34,2,TRUE)+(AF109-VLOOKUP(AF109,Charge!$K$31:$M$34,1,TRUE))*VLOOKUP(AF109,Charge!$K$31:$M$34,3,TRUE),
VLOOKUP(AF109,Charge!$N$31:$P$34,2,TRUE)+(AF109-VLOOKUP(AF109,Charge!$N$31:$P$34,1,TRUE))*VLOOKUP(AF109,Charge!$N$31:$P$34,3,TRUE)),
IF(AND(M109="DG"),IF(R109="20'",
VLOOKUP(AF109,Charge!$R$31:$T$34,2,TRUE)+(AF109-VLOOKUP(AF109,Charge!$R$31:$T$34,1,TRUE))*VLOOKUP(AF109,Charge!$R$31:$T$34,3,TRUE),
VLOOKUP(AF109,Charge!$U$31:$W$34,2,TRUE)+(AF109-VLOOKUP(AF109,Charge!$U$31:$W$34,1,TRUE))*VLOOKUP(AF109,Charge!$U$31:$W$34,3,TRUE)),0))</f>
        <v>0</v>
      </c>
      <c r="AH109" s="65" t="n"/>
      <c r="AI109" s="65">
        <f>AA109-AH109</f>
        <v>4215</v>
      </c>
      <c r="AJ109" s="188" t="n"/>
      <c r="AK109" s="62" t="str">
        <f>VLOOKUP(D109,'2.Bookinglist'!A:CT,40,FALSE)</f>
        <v>Nannaapust Sukporntaweewat</v>
      </c>
      <c r="AL109" s="60" t="str">
        <f>VLOOKUP(D109,'2.Bookinglist'!A:CW,101,FALSE)</f>
        <v>2026-10-05</v>
      </c>
      <c r="AM109" s="60" t="str">
        <f>VLOOKUP(D109,'2.Bookinglist'!A:BK,63,FALSE)</f>
        <v>BKK27</v>
      </c>
      <c r="AN109" s="62" t="str">
        <f>VLOOKUP(D109,'2.Bookinglist'!A:AZ,52,FALSE)</f>
        <v>** APPROVED BY H.W KANG DD.28/09/2026 ** *FLEXIBAG ONDECK*
Servey : 17/09/2026, Pickup : 18/09/2026, Return : 21/09/2026 *EXTEND CLS TIME : 22/09/2026 @06.00* </v>
      </c>
      <c r="AO109" s="62" t="str">
        <f>VLOOKUP(D109,'2.Bookinglist'!A:CY,103,FALSE)</f>
        <v>ROLL OVER FROM PREVIOUS VSL SWMM 2609N BY ALLOCATION TEAM MS.TARN APRPOVED COST IS UNDER HA DD.21/09</v>
      </c>
    </row>
    <row r="110" ht="12.95" customHeight="1">
      <c r="A110" s="96" t="inlineStr">
        <is>
          <t>SKLU1116975</t>
        </is>
      </c>
      <c r="B110" s="184" t="str">
        <f>IF(C110=Charge!$M$1,Charge!$J$1,IF(C110=Charge!$M$23,Charge!$J$23,IF(C110=Charge!$M$17,Charge!$J$17,IF(C110=Charge!$N$17,Charge!$J$17,Charge!$J$7))))</f>
        <v>G3</v>
      </c>
      <c r="C110" s="61" t="str">
        <f>VLOOKUP(A110,'1.Loading'!A:R,14,FALSE)</f>
        <v>BKK04</v>
      </c>
      <c r="D110" s="61" t="str">
        <f>VLOOKUP(A110,'1.Loading'!A:R,17,FALSE)</f>
        <v>HASLS22260800838</v>
      </c>
      <c r="E110" s="62" t="str">
        <f>VLOOKUP(D110,'2.Bookinglist'!A:CT,27,FALSE)</f>
        <v>SCGJWD LOGISTICS PUBLIC COMPANY LIMITED</v>
      </c>
      <c r="F110" s="62" t="str">
        <f>VLOOKUP(D110,'2.Bookinglist'!A:CT,28,FALSE)</f>
        <v>SCG INTERNATIONAL CORPORATION CO., LTD.</v>
      </c>
      <c r="G110" s="60">
        <f>VLOOKUP(D110,'2.Bookinglist'!A:E,5,FALSE)</f>
        <v>0</v>
      </c>
      <c r="H110" s="61" t="str">
        <f>VLOOKUP(D110,'2.Bookinglist'!A:CT,15,FALSE)</f>
        <v>THBKK</v>
      </c>
      <c r="I110" s="61" t="str">
        <f>VLOOKUP(D110,'2.Bookinglist'!A:CT,19,FALSE)</f>
        <v>VNSGN</v>
      </c>
      <c r="J110" s="61">
        <f>VLOOKUP(D110,'2.Bookinglist'!A:CT,26,FALSE)</f>
        <v>0</v>
      </c>
      <c r="K110" s="61" t="str">
        <f>VLOOKUP(A110,'1.Loading'!A:R,5,FALSE)</f>
        <v>22GP</v>
      </c>
      <c r="L110" s="60" t="str">
        <f>VLOOKUP(D110,'2.Bookinglist'!A:CT,85,FALSE)</f>
        <v>CY/CY</v>
      </c>
      <c r="M110" s="60" t="str">
        <f>IF(VLOOKUP(D110,'2.Bookinglist'!A:CT,43,FALSE)=0,"","DG")</f>
        <v/>
      </c>
      <c r="N110" s="60" t="str">
        <f>IF(RIGHT(K110,2)="RE","RF","")</f>
        <v/>
      </c>
      <c r="O110" s="61" t="str">
        <f>VLOOKUP(A110,'1.Loading'!A:R,3,FALSE)</f>
        <v>SWSP</v>
      </c>
      <c r="P110" s="61" t="str">
        <f>VLOOKUP(A110,'1.Loading'!A:R,4,FALSE)</f>
        <v>2609N</v>
      </c>
      <c r="Q110" s="61" t="str">
        <f>VLOOKUP(D110,'2.Bookinglist'!A:CT,12,FALSE)</f>
        <v>BTS</v>
      </c>
      <c r="R110" s="60" t="str">
        <f>IF(LEFT(K110,2)="22","20'","40'")</f>
        <v>20'</v>
      </c>
      <c r="S110" s="185" t="n"/>
      <c r="T110" s="61" t="str">
        <f>VLOOKUP(A110,'1.Loading'!A:R,2,FALSE)</f>
        <v>2026-10-08</v>
      </c>
      <c r="U110" s="63">
        <f>T110-S110</f>
        <v>46303</v>
      </c>
      <c r="V110" s="186" t="n"/>
      <c r="W110" s="61" t="str">
        <f>VLOOKUP(A110,'3.GateMove'!A:D,4,FALSE)</f>
        <v>2026-09-28</v>
      </c>
      <c r="X110" s="63">
        <f>((T110-W110)+1)</f>
        <v>11</v>
      </c>
      <c r="Y110" s="64">
        <f>IF(AND(OR(C110="BKK01",C110="BKK04"),L110="CFS/CY"),0,IF(M110="DG",1,IF(LEFT(C110,3)="LCH",7,IF(C110="BKK02",5,3))))</f>
        <v>3</v>
      </c>
      <c r="Z110" s="63">
        <f>IF(IF(AND(AC110="TML",AB110&gt;0),((T110-W110)+1)-AB110,((T110-W110)+1)-Y110)&gt;0,IF(AND(AC110="TML",AB110&gt;0),((T110-W110)+1)-AB110,((T110-W110)+1)-Y110),0)</f>
        <v>8</v>
      </c>
      <c r="AA110" s="187">
        <f>IF(AND(B110="G1",M110=""),IF(R110="20'",
VLOOKUP(Z110,Charge!$K$2:$M$5,2,TRUE)+(Z110-VLOOKUP(Z110,Charge!$K$2:$M$5,1,TRUE))*VLOOKUP(Z110,Charge!$K$2:$M$5,3,TRUE),
VLOOKUP(Z110,Charge!$N$2:$P$5,2,TRUE)+(Z110-VLOOKUP(Z110,Charge!$N$2:$P$5,1,TRUE))*VLOOKUP(Z110,Charge!$N$2:$P$5,3,TRUE)),
IF(AND(B110="G1",M110="DG"),IF(R110="20'",
VLOOKUP(Z110,Charge!$R$2:$T$5,2,TRUE)+(Z110-VLOOKUP(Z110,Charge!$R$2:$T$5,1,TRUE))*VLOOKUP(Z110,Charge!$R$2:$T$5,3,TRUE),
VLOOKUP(Z110,Charge!$U$2:$W$5,2,TRUE)+(Z110-VLOOKUP(Z110,Charge!$U$2:$W$5,1,TRUE))*VLOOKUP(Z110,Charge!$U$2:$W$5,3,TRUE)),
IF(AND(B110="G3",M110=""),IF(R110="20'",
VLOOKUP(Z110,Charge!$K$18:$M$21,2,TRUE)+(Z110-VLOOKUP(Z110,Charge!$K$18:$M$21,1,TRUE))*VLOOKUP(Z110,Charge!$K$18:$M$21,3,TRUE),
VLOOKUP(Z110,Charge!$N$18:$P$21,2,TRUE)+(Z110-VLOOKUP(Z110,Charge!$N$18:$P$21,1,TRUE))*VLOOKUP(Z110,Charge!$N$18:$P$21,3,TRUE)),
IF(AND(B110="G3",M110="DG"),IF(R110="20'",
VLOOKUP(Z110,Charge!$R$18:$T$21,2,TRUE)+(Z110-VLOOKUP(Z110,Charge!$R$18:$T$21,1,TRUE))*VLOOKUP(Z110,Charge!$R$18:$T$21,3,TRUE),
VLOOKUP(Z110,Charge!$U$18:$W$21,2,TRUE)+(Z110-VLOOKUP(Z110,Charge!$U$18:$W$21,1,TRUE))*VLOOKUP(Z110,Charge!$U$18:$W$21,3,TRUE)),
IF(AND(B110="G2",M110=""),IF(R110="20'",
VLOOKUP(Z110,Charge!$K$9:$M$12,2,TRUE)+(Z110-VLOOKUP(Z110,Charge!$K$9:$M$12,1,TRUE))*VLOOKUP(Z110,Charge!$K$9:$M$12,3,TRUE),
VLOOKUP(Z110,Charge!$N$9:$P$12,2,TRUE)+(Z110-VLOOKUP(Z110,Charge!$N$9:$P$12,1,TRUE))*VLOOKUP(Z110,Charge!$N$9:$P$12,3,TRUE)),
IF(AND(B110="G2",M110="DG"),IF(R110="20'",
VLOOKUP(Z110,Charge!$R$9:$T$12,2,TRUE)+(Z110-VLOOKUP(Z110,Charge!$R$9:$T$12,1,TRUE))*VLOOKUP(Z110,Charge!$R$9:$T$12,3,TRUE),
VLOOKUP(Z110,Charge!$U$9:$W$12,2,TRUE)+(Z110-VLOOKUP(Z110,Charge!$U$9:$W$12,1,TRUE))*VLOOKUP(Z110,Charge!$U$9:$W$12,3,TRUE)),IF(AND(B110="G4",M110=""),IF(R110="20'",Z110*Charge!$M$25,Z110*Charge!$P$25),IF(AND(B110="G4",M110="DG"),IF(R110="20'",Z110*Charge!$T$25,Z110*Charge!$W$25),0))))))))</f>
        <v>1395</v>
      </c>
      <c r="AB110" s="184" t="n"/>
      <c r="AC110" s="184" t="n"/>
      <c r="AD110" s="60">
        <f>IF(M110="DG",3,IF(N110="RF",3,5))+IF(AND(LEFT(C110,3)="BKK",N110="RF",Q110="KTS"),1,0)+IF(Q110="KHS",1,0)</f>
        <v>5</v>
      </c>
      <c r="AE110" s="63">
        <f>(T110-V110)+1</f>
        <v>46304</v>
      </c>
      <c r="AF110" s="63">
        <f>IF(AB110&gt;IF((V110-W110)&gt;0,V110-W110,0),0,IF(AB110&lt;IF((V110-W110)&gt;0,V110-W110,0),IF((V110-W110)&gt;0,V110-W110,0)-AB110,IF((V110-W110)&gt;0,V110-W110,0)))</f>
        <v>0</v>
      </c>
      <c r="AG110" s="187">
        <f>IF(AND(M110=""),IF(R110="20'",
VLOOKUP(AF110,Charge!$K$31:$M$34,2,TRUE)+(AF110-VLOOKUP(AF110,Charge!$K$31:$M$34,1,TRUE))*VLOOKUP(AF110,Charge!$K$31:$M$34,3,TRUE),
VLOOKUP(AF110,Charge!$N$31:$P$34,2,TRUE)+(AF110-VLOOKUP(AF110,Charge!$N$31:$P$34,1,TRUE))*VLOOKUP(AF110,Charge!$N$31:$P$34,3,TRUE)),
IF(AND(M110="DG"),IF(R110="20'",
VLOOKUP(AF110,Charge!$R$31:$T$34,2,TRUE)+(AF110-VLOOKUP(AF110,Charge!$R$31:$T$34,1,TRUE))*VLOOKUP(AF110,Charge!$R$31:$T$34,3,TRUE),
VLOOKUP(AF110,Charge!$U$31:$W$34,2,TRUE)+(AF110-VLOOKUP(AF110,Charge!$U$31:$W$34,1,TRUE))*VLOOKUP(AF110,Charge!$U$31:$W$34,3,TRUE)),0))</f>
        <v>0</v>
      </c>
      <c r="AH110" s="65" t="n"/>
      <c r="AI110" s="65">
        <f>AA110-AH110</f>
        <v>1395</v>
      </c>
      <c r="AJ110" s="188" t="n"/>
      <c r="AK110" s="62" t="str">
        <f>VLOOKUP(D110,'2.Bookinglist'!A:CT,40,FALSE)</f>
        <v>Kanokporn</v>
      </c>
      <c r="AL110" s="60" t="str">
        <f>VLOOKUP(D110,'2.Bookinglist'!A:CW,101,FALSE)</f>
        <v>2026-10-07</v>
      </c>
      <c r="AM110" s="60" t="str">
        <f>VLOOKUP(D110,'2.Bookinglist'!A:BK,63,FALSE)</f>
        <v>BKK27</v>
      </c>
      <c r="AN110" s="62" t="str">
        <f>VLOOKUP(D110,'2.Bookinglist'!A:AZ,52,FALSE)</f>
        <v>CY-RTN : 28-28/09/2026 (1ST RETURN 28/09/26)
(JB2606177029) </v>
      </c>
      <c r="AO110" s="62" t="str">
        <f>VLOOKUP(D110,'2.Bookinglist'!A:CY,103,FALSE)</f>
        <v>ROLL OVER FROM PREVIOUS VSL KMBK 2611N BY ALLOCATION TEAM MS.TARN APPROVED COST IS UNDER HAL DD.01/10</v>
      </c>
    </row>
    <row r="111" ht="12.95" customHeight="1">
      <c r="A111" s="96" t="inlineStr">
        <is>
          <t>SKLU1201336</t>
        </is>
      </c>
      <c r="B111" s="184" t="str">
        <f>IF(C111=Charge!$M$1,Charge!$J$1,IF(C111=Charge!$M$23,Charge!$J$23,IF(C111=Charge!$M$17,Charge!$J$17,IF(C111=Charge!$N$17,Charge!$J$17,Charge!$J$7))))</f>
        <v>G3</v>
      </c>
      <c r="C111" s="61" t="str">
        <f>VLOOKUP(A111,'1.Loading'!A:R,14,FALSE)</f>
        <v>BKK04</v>
      </c>
      <c r="D111" s="61" t="str">
        <f>VLOOKUP(A111,'1.Loading'!A:R,17,FALSE)</f>
        <v>HASLS22260801914</v>
      </c>
      <c r="E111" s="62" t="str">
        <f>VLOOKUP(D111,'2.Bookinglist'!A:CT,27,FALSE)</f>
        <v>DP WORLD LOGISTICS SOLUTIONS (THAILAND) COMPANY LIMITED</v>
      </c>
      <c r="F111" s="62" t="str">
        <f>VLOOKUP(D111,'2.Bookinglist'!A:CT,28,FALSE)</f>
        <v>DP WORLD LOGISTICS SOLUTIONS (THAILAND) COMPANY LIMITED</v>
      </c>
      <c r="G111" s="60">
        <f>VLOOKUP(D111,'2.Bookinglist'!A:E,5,FALSE)</f>
        <v>0</v>
      </c>
      <c r="H111" s="61" t="str">
        <f>VLOOKUP(D111,'2.Bookinglist'!A:CT,15,FALSE)</f>
        <v>THBKK</v>
      </c>
      <c r="I111" s="61" t="str">
        <f>VLOOKUP(D111,'2.Bookinglist'!A:CT,19,FALSE)</f>
        <v>KRPTK</v>
      </c>
      <c r="J111" s="61">
        <f>VLOOKUP(D111,'2.Bookinglist'!A:CT,26,FALSE)</f>
        <v>0</v>
      </c>
      <c r="K111" s="61" t="str">
        <f>VLOOKUP(A111,'1.Loading'!A:R,5,FALSE)</f>
        <v>22GP</v>
      </c>
      <c r="L111" s="60" t="str">
        <f>VLOOKUP(D111,'2.Bookinglist'!A:CT,85,FALSE)</f>
        <v>CY/CY</v>
      </c>
      <c r="M111" s="60" t="str">
        <f>IF(VLOOKUP(D111,'2.Bookinglist'!A:CT,43,FALSE)=0,"","DG")</f>
        <v/>
      </c>
      <c r="N111" s="60" t="str">
        <f>IF(RIGHT(K111,2)="RE","RF","")</f>
        <v/>
      </c>
      <c r="O111" s="61" t="str">
        <f>VLOOKUP(A111,'1.Loading'!A:R,3,FALSE)</f>
        <v>SWSP</v>
      </c>
      <c r="P111" s="61" t="str">
        <f>VLOOKUP(A111,'1.Loading'!A:R,4,FALSE)</f>
        <v>2609N</v>
      </c>
      <c r="Q111" s="61" t="str">
        <f>VLOOKUP(D111,'2.Bookinglist'!A:CT,12,FALSE)</f>
        <v>BTS</v>
      </c>
      <c r="R111" s="60" t="str">
        <f>IF(LEFT(K111,2)="22","20'","40'")</f>
        <v>20'</v>
      </c>
      <c r="S111" s="185" t="n"/>
      <c r="T111" s="61" t="str">
        <f>VLOOKUP(A111,'1.Loading'!A:R,2,FALSE)</f>
        <v>2026-10-08</v>
      </c>
      <c r="U111" s="63">
        <f>T111-S111</f>
        <v>46303</v>
      </c>
      <c r="V111" s="186" t="n"/>
      <c r="W111" s="61" t="str">
        <f>VLOOKUP(A111,'3.GateMove'!A:D,4,FALSE)</f>
        <v>2026-09-19</v>
      </c>
      <c r="X111" s="63">
        <f>((T111-W111)+1)</f>
        <v>20</v>
      </c>
      <c r="Y111" s="64">
        <f>IF(AND(OR(C111="BKK01",C111="BKK04"),L111="CFS/CY"),0,IF(M111="DG",1,IF(LEFT(C111,3)="LCH",7,IF(C111="BKK02",5,3))))</f>
        <v>3</v>
      </c>
      <c r="Z111" s="63">
        <f>IF(IF(AND(AC111="TML",AB111&gt;0),((T111-W111)+1)-AB111,((T111-W111)+1)-Y111)&gt;0,IF(AND(AC111="TML",AB111&gt;0),((T111-W111)+1)-AB111,((T111-W111)+1)-Y111),0)</f>
        <v>17</v>
      </c>
      <c r="AA111" s="187">
        <f>IF(AND(B111="G1",M111=""),IF(R111="20'",
VLOOKUP(Z111,Charge!$K$2:$M$5,2,TRUE)+(Z111-VLOOKUP(Z111,Charge!$K$2:$M$5,1,TRUE))*VLOOKUP(Z111,Charge!$K$2:$M$5,3,TRUE),
VLOOKUP(Z111,Charge!$N$2:$P$5,2,TRUE)+(Z111-VLOOKUP(Z111,Charge!$N$2:$P$5,1,TRUE))*VLOOKUP(Z111,Charge!$N$2:$P$5,3,TRUE)),
IF(AND(B111="G1",M111="DG"),IF(R111="20'",
VLOOKUP(Z111,Charge!$R$2:$T$5,2,TRUE)+(Z111-VLOOKUP(Z111,Charge!$R$2:$T$5,1,TRUE))*VLOOKUP(Z111,Charge!$R$2:$T$5,3,TRUE),
VLOOKUP(Z111,Charge!$U$2:$W$5,2,TRUE)+(Z111-VLOOKUP(Z111,Charge!$U$2:$W$5,1,TRUE))*VLOOKUP(Z111,Charge!$U$2:$W$5,3,TRUE)),
IF(AND(B111="G3",M111=""),IF(R111="20'",
VLOOKUP(Z111,Charge!$K$18:$M$21,2,TRUE)+(Z111-VLOOKUP(Z111,Charge!$K$18:$M$21,1,TRUE))*VLOOKUP(Z111,Charge!$K$18:$M$21,3,TRUE),
VLOOKUP(Z111,Charge!$N$18:$P$21,2,TRUE)+(Z111-VLOOKUP(Z111,Charge!$N$18:$P$21,1,TRUE))*VLOOKUP(Z111,Charge!$N$18:$P$21,3,TRUE)),
IF(AND(B111="G3",M111="DG"),IF(R111="20'",
VLOOKUP(Z111,Charge!$R$18:$T$21,2,TRUE)+(Z111-VLOOKUP(Z111,Charge!$R$18:$T$21,1,TRUE))*VLOOKUP(Z111,Charge!$R$18:$T$21,3,TRUE),
VLOOKUP(Z111,Charge!$U$18:$W$21,2,TRUE)+(Z111-VLOOKUP(Z111,Charge!$U$18:$W$21,1,TRUE))*VLOOKUP(Z111,Charge!$U$18:$W$21,3,TRUE)),
IF(AND(B111="G2",M111=""),IF(R111="20'",
VLOOKUP(Z111,Charge!$K$9:$M$12,2,TRUE)+(Z111-VLOOKUP(Z111,Charge!$K$9:$M$12,1,TRUE))*VLOOKUP(Z111,Charge!$K$9:$M$12,3,TRUE),
VLOOKUP(Z111,Charge!$N$9:$P$12,2,TRUE)+(Z111-VLOOKUP(Z111,Charge!$N$9:$P$12,1,TRUE))*VLOOKUP(Z111,Charge!$N$9:$P$12,3,TRUE)),
IF(AND(B111="G2",M111="DG"),IF(R111="20'",
VLOOKUP(Z111,Charge!$R$9:$T$12,2,TRUE)+(Z111-VLOOKUP(Z111,Charge!$R$9:$T$12,1,TRUE))*VLOOKUP(Z111,Charge!$R$9:$T$12,3,TRUE),
VLOOKUP(Z111,Charge!$U$9:$W$12,2,TRUE)+(Z111-VLOOKUP(Z111,Charge!$U$9:$W$12,1,TRUE))*VLOOKUP(Z111,Charge!$U$9:$W$12,3,TRUE)),IF(AND(B111="G4",M111=""),IF(R111="20'",Z111*Charge!$M$25,Z111*Charge!$P$25),IF(AND(B111="G4",M111="DG"),IF(R111="20'",Z111*Charge!$T$25,Z111*Charge!$W$25),0))))))))</f>
        <v>4215</v>
      </c>
      <c r="AB111" s="184" t="n"/>
      <c r="AC111" s="184" t="n"/>
      <c r="AD111" s="60">
        <f>IF(M111="DG",3,IF(N111="RF",3,5))+IF(AND(LEFT(C111,3)="BKK",N111="RF",Q111="KTS"),1,0)+IF(Q111="KHS",1,0)</f>
        <v>5</v>
      </c>
      <c r="AE111" s="63">
        <f>(T111-V111)+1</f>
        <v>46304</v>
      </c>
      <c r="AF111" s="63">
        <f>IF(AB111&gt;IF((V111-W111)&gt;0,V111-W111,0),0,IF(AB111&lt;IF((V111-W111)&gt;0,V111-W111,0),IF((V111-W111)&gt;0,V111-W111,0)-AB111,IF((V111-W111)&gt;0,V111-W111,0)))</f>
        <v>0</v>
      </c>
      <c r="AG111" s="187">
        <f>IF(AND(M111=""),IF(R111="20'",
VLOOKUP(AF111,Charge!$K$31:$M$34,2,TRUE)+(AF111-VLOOKUP(AF111,Charge!$K$31:$M$34,1,TRUE))*VLOOKUP(AF111,Charge!$K$31:$M$34,3,TRUE),
VLOOKUP(AF111,Charge!$N$31:$P$34,2,TRUE)+(AF111-VLOOKUP(AF111,Charge!$N$31:$P$34,1,TRUE))*VLOOKUP(AF111,Charge!$N$31:$P$34,3,TRUE)),
IF(AND(M111="DG"),IF(R111="20'",
VLOOKUP(AF111,Charge!$R$31:$T$34,2,TRUE)+(AF111-VLOOKUP(AF111,Charge!$R$31:$T$34,1,TRUE))*VLOOKUP(AF111,Charge!$R$31:$T$34,3,TRUE),
VLOOKUP(AF111,Charge!$U$31:$W$34,2,TRUE)+(AF111-VLOOKUP(AF111,Charge!$U$31:$W$34,1,TRUE))*VLOOKUP(AF111,Charge!$U$31:$W$34,3,TRUE)),0))</f>
        <v>0</v>
      </c>
      <c r="AH111" s="65" t="n"/>
      <c r="AI111" s="65">
        <f>AA111-AH111</f>
        <v>4215</v>
      </c>
      <c r="AJ111" s="188" t="n"/>
      <c r="AK111" s="62" t="str">
        <f>VLOOKUP(D111,'2.Bookinglist'!A:CT,40,FALSE)</f>
        <v>Nannaapust Sukporntaweewat</v>
      </c>
      <c r="AL111" s="60" t="str">
        <f>VLOOKUP(D111,'2.Bookinglist'!A:CW,101,FALSE)</f>
        <v>2026-10-05</v>
      </c>
      <c r="AM111" s="60" t="str">
        <f>VLOOKUP(D111,'2.Bookinglist'!A:BK,63,FALSE)</f>
        <v>BKK27</v>
      </c>
      <c r="AN111" s="62" t="str">
        <f>VLOOKUP(D111,'2.Bookinglist'!A:AZ,52,FALSE)</f>
        <v>** APPROVED BY H.W KANG DD.28/09/2026 ** *FLEXIBAG ONDECK*
Servey : 17/09/2026, Pickup : 18/09/2026, Return : 21/09/2026 *EXTEND CLS TIME : 22/09/2026 @06.00* </v>
      </c>
      <c r="AO111" s="62" t="str">
        <f>VLOOKUP(D111,'2.Bookinglist'!A:CY,103,FALSE)</f>
        <v>ROLL OVER FROM PREVIOUS VSL SWMM 2609N BY ALLOCATION TEAM MS.TARN APRPOVED COST IS UNDER HA DD.21/09</v>
      </c>
    </row>
    <row r="112" ht="12.95" customHeight="1">
      <c r="A112" s="96" t="inlineStr">
        <is>
          <t>SKLU1205326</t>
        </is>
      </c>
      <c r="B112" s="184" t="str">
        <f>IF(C112=Charge!$M$1,Charge!$J$1,IF(C112=Charge!$M$23,Charge!$J$23,IF(C112=Charge!$M$17,Charge!$J$17,IF(C112=Charge!$N$17,Charge!$J$17,Charge!$J$7))))</f>
        <v>G3</v>
      </c>
      <c r="C112" s="61" t="str">
        <f>VLOOKUP(A112,'1.Loading'!A:R,14,FALSE)</f>
        <v>BKK04</v>
      </c>
      <c r="D112" s="61" t="str">
        <f>VLOOKUP(A112,'1.Loading'!A:R,17,FALSE)</f>
        <v>HASLS22260801914</v>
      </c>
      <c r="E112" s="62" t="str">
        <f>VLOOKUP(D112,'2.Bookinglist'!A:CT,27,FALSE)</f>
        <v>DP WORLD LOGISTICS SOLUTIONS (THAILAND) COMPANY LIMITED</v>
      </c>
      <c r="F112" s="62" t="str">
        <f>VLOOKUP(D112,'2.Bookinglist'!A:CT,28,FALSE)</f>
        <v>DP WORLD LOGISTICS SOLUTIONS (THAILAND) COMPANY LIMITED</v>
      </c>
      <c r="G112" s="60">
        <f>VLOOKUP(D112,'2.Bookinglist'!A:E,5,FALSE)</f>
        <v>0</v>
      </c>
      <c r="H112" s="61" t="str">
        <f>VLOOKUP(D112,'2.Bookinglist'!A:CT,15,FALSE)</f>
        <v>THBKK</v>
      </c>
      <c r="I112" s="61" t="str">
        <f>VLOOKUP(D112,'2.Bookinglist'!A:CT,19,FALSE)</f>
        <v>KRPTK</v>
      </c>
      <c r="J112" s="61">
        <f>VLOOKUP(D112,'2.Bookinglist'!A:CT,26,FALSE)</f>
        <v>0</v>
      </c>
      <c r="K112" s="61" t="str">
        <f>VLOOKUP(A112,'1.Loading'!A:R,5,FALSE)</f>
        <v>22GP</v>
      </c>
      <c r="L112" s="60" t="str">
        <f>VLOOKUP(D112,'2.Bookinglist'!A:CT,85,FALSE)</f>
        <v>CY/CY</v>
      </c>
      <c r="M112" s="60" t="str">
        <f>IF(VLOOKUP(D112,'2.Bookinglist'!A:CT,43,FALSE)=0,"","DG")</f>
        <v/>
      </c>
      <c r="N112" s="60" t="str">
        <f>IF(RIGHT(K112,2)="RE","RF","")</f>
        <v/>
      </c>
      <c r="O112" s="61" t="str">
        <f>VLOOKUP(A112,'1.Loading'!A:R,3,FALSE)</f>
        <v>SWSP</v>
      </c>
      <c r="P112" s="61" t="str">
        <f>VLOOKUP(A112,'1.Loading'!A:R,4,FALSE)</f>
        <v>2609N</v>
      </c>
      <c r="Q112" s="61" t="str">
        <f>VLOOKUP(D112,'2.Bookinglist'!A:CT,12,FALSE)</f>
        <v>BTS</v>
      </c>
      <c r="R112" s="60" t="str">
        <f>IF(LEFT(K112,2)="22","20'","40'")</f>
        <v>20'</v>
      </c>
      <c r="S112" s="185" t="n"/>
      <c r="T112" s="61" t="str">
        <f>VLOOKUP(A112,'1.Loading'!A:R,2,FALSE)</f>
        <v>2026-10-08</v>
      </c>
      <c r="U112" s="63">
        <f>T112-S112</f>
        <v>46303</v>
      </c>
      <c r="V112" s="186" t="n"/>
      <c r="W112" s="61" t="str">
        <f>VLOOKUP(A112,'3.GateMove'!A:D,4,FALSE)</f>
        <v>2026-09-19</v>
      </c>
      <c r="X112" s="63">
        <f>((T112-W112)+1)</f>
        <v>20</v>
      </c>
      <c r="Y112" s="64">
        <f>IF(AND(OR(C112="BKK01",C112="BKK04"),L112="CFS/CY"),0,IF(M112="DG",1,IF(LEFT(C112,3)="LCH",7,IF(C112="BKK02",5,3))))</f>
        <v>3</v>
      </c>
      <c r="Z112" s="63">
        <f>IF(IF(AND(AC112="TML",AB112&gt;0),((T112-W112)+1)-AB112,((T112-W112)+1)-Y112)&gt;0,IF(AND(AC112="TML",AB112&gt;0),((T112-W112)+1)-AB112,((T112-W112)+1)-Y112),0)</f>
        <v>17</v>
      </c>
      <c r="AA112" s="187">
        <f>IF(AND(B112="G1",M112=""),IF(R112="20'",
VLOOKUP(Z112,Charge!$K$2:$M$5,2,TRUE)+(Z112-VLOOKUP(Z112,Charge!$K$2:$M$5,1,TRUE))*VLOOKUP(Z112,Charge!$K$2:$M$5,3,TRUE),
VLOOKUP(Z112,Charge!$N$2:$P$5,2,TRUE)+(Z112-VLOOKUP(Z112,Charge!$N$2:$P$5,1,TRUE))*VLOOKUP(Z112,Charge!$N$2:$P$5,3,TRUE)),
IF(AND(B112="G1",M112="DG"),IF(R112="20'",
VLOOKUP(Z112,Charge!$R$2:$T$5,2,TRUE)+(Z112-VLOOKUP(Z112,Charge!$R$2:$T$5,1,TRUE))*VLOOKUP(Z112,Charge!$R$2:$T$5,3,TRUE),
VLOOKUP(Z112,Charge!$U$2:$W$5,2,TRUE)+(Z112-VLOOKUP(Z112,Charge!$U$2:$W$5,1,TRUE))*VLOOKUP(Z112,Charge!$U$2:$W$5,3,TRUE)),
IF(AND(B112="G3",M112=""),IF(R112="20'",
VLOOKUP(Z112,Charge!$K$18:$M$21,2,TRUE)+(Z112-VLOOKUP(Z112,Charge!$K$18:$M$21,1,TRUE))*VLOOKUP(Z112,Charge!$K$18:$M$21,3,TRUE),
VLOOKUP(Z112,Charge!$N$18:$P$21,2,TRUE)+(Z112-VLOOKUP(Z112,Charge!$N$18:$P$21,1,TRUE))*VLOOKUP(Z112,Charge!$N$18:$P$21,3,TRUE)),
IF(AND(B112="G3",M112="DG"),IF(R112="20'",
VLOOKUP(Z112,Charge!$R$18:$T$21,2,TRUE)+(Z112-VLOOKUP(Z112,Charge!$R$18:$T$21,1,TRUE))*VLOOKUP(Z112,Charge!$R$18:$T$21,3,TRUE),
VLOOKUP(Z112,Charge!$U$18:$W$21,2,TRUE)+(Z112-VLOOKUP(Z112,Charge!$U$18:$W$21,1,TRUE))*VLOOKUP(Z112,Charge!$U$18:$W$21,3,TRUE)),
IF(AND(B112="G2",M112=""),IF(R112="20'",
VLOOKUP(Z112,Charge!$K$9:$M$12,2,TRUE)+(Z112-VLOOKUP(Z112,Charge!$K$9:$M$12,1,TRUE))*VLOOKUP(Z112,Charge!$K$9:$M$12,3,TRUE),
VLOOKUP(Z112,Charge!$N$9:$P$12,2,TRUE)+(Z112-VLOOKUP(Z112,Charge!$N$9:$P$12,1,TRUE))*VLOOKUP(Z112,Charge!$N$9:$P$12,3,TRUE)),
IF(AND(B112="G2",M112="DG"),IF(R112="20'",
VLOOKUP(Z112,Charge!$R$9:$T$12,2,TRUE)+(Z112-VLOOKUP(Z112,Charge!$R$9:$T$12,1,TRUE))*VLOOKUP(Z112,Charge!$R$9:$T$12,3,TRUE),
VLOOKUP(Z112,Charge!$U$9:$W$12,2,TRUE)+(Z112-VLOOKUP(Z112,Charge!$U$9:$W$12,1,TRUE))*VLOOKUP(Z112,Charge!$U$9:$W$12,3,TRUE)),IF(AND(B112="G4",M112=""),IF(R112="20'",Z112*Charge!$M$25,Z112*Charge!$P$25),IF(AND(B112="G4",M112="DG"),IF(R112="20'",Z112*Charge!$T$25,Z112*Charge!$W$25),0))))))))</f>
        <v>4215</v>
      </c>
      <c r="AB112" s="184" t="n"/>
      <c r="AC112" s="184" t="n"/>
      <c r="AD112" s="60">
        <f>IF(M112="DG",3,IF(N112="RF",3,5))+IF(AND(LEFT(C112,3)="BKK",N112="RF",Q112="KTS"),1,0)+IF(Q112="KHS",1,0)</f>
        <v>5</v>
      </c>
      <c r="AE112" s="63">
        <f>(T112-V112)+1</f>
        <v>46304</v>
      </c>
      <c r="AF112" s="63">
        <f>IF(AB112&gt;IF((V112-W112)&gt;0,V112-W112,0),0,IF(AB112&lt;IF((V112-W112)&gt;0,V112-W112,0),IF((V112-W112)&gt;0,V112-W112,0)-AB112,IF((V112-W112)&gt;0,V112-W112,0)))</f>
        <v>0</v>
      </c>
      <c r="AG112" s="187">
        <f>IF(AND(M112=""),IF(R112="20'",
VLOOKUP(AF112,Charge!$K$31:$M$34,2,TRUE)+(AF112-VLOOKUP(AF112,Charge!$K$31:$M$34,1,TRUE))*VLOOKUP(AF112,Charge!$K$31:$M$34,3,TRUE),
VLOOKUP(AF112,Charge!$N$31:$P$34,2,TRUE)+(AF112-VLOOKUP(AF112,Charge!$N$31:$P$34,1,TRUE))*VLOOKUP(AF112,Charge!$N$31:$P$34,3,TRUE)),
IF(AND(M112="DG"),IF(R112="20'",
VLOOKUP(AF112,Charge!$R$31:$T$34,2,TRUE)+(AF112-VLOOKUP(AF112,Charge!$R$31:$T$34,1,TRUE))*VLOOKUP(AF112,Charge!$R$31:$T$34,3,TRUE),
VLOOKUP(AF112,Charge!$U$31:$W$34,2,TRUE)+(AF112-VLOOKUP(AF112,Charge!$U$31:$W$34,1,TRUE))*VLOOKUP(AF112,Charge!$U$31:$W$34,3,TRUE)),0))</f>
        <v>0</v>
      </c>
      <c r="AH112" s="65" t="n"/>
      <c r="AI112" s="65">
        <f>AA112-AH112</f>
        <v>4215</v>
      </c>
      <c r="AJ112" s="188" t="n"/>
      <c r="AK112" s="62" t="str">
        <f>VLOOKUP(D112,'2.Bookinglist'!A:CT,40,FALSE)</f>
        <v>Nannaapust Sukporntaweewat</v>
      </c>
      <c r="AL112" s="60" t="str">
        <f>VLOOKUP(D112,'2.Bookinglist'!A:CW,101,FALSE)</f>
        <v>2026-10-05</v>
      </c>
      <c r="AM112" s="60" t="str">
        <f>VLOOKUP(D112,'2.Bookinglist'!A:BK,63,FALSE)</f>
        <v>BKK27</v>
      </c>
      <c r="AN112" s="62" t="str">
        <f>VLOOKUP(D112,'2.Bookinglist'!A:AZ,52,FALSE)</f>
        <v>** APPROVED BY H.W KANG DD.28/09/2026 ** *FLEXIBAG ONDECK*
Servey : 17/09/2026, Pickup : 18/09/2026, Return : 21/09/2026 *EXTEND CLS TIME : 22/09/2026 @06.00* </v>
      </c>
      <c r="AO112" s="62" t="str">
        <f>VLOOKUP(D112,'2.Bookinglist'!A:CY,103,FALSE)</f>
        <v>ROLL OVER FROM PREVIOUS VSL SWMM 2609N BY ALLOCATION TEAM MS.TARN APRPOVED COST IS UNDER HA DD.21/09</v>
      </c>
    </row>
    <row r="113" ht="12.95" customHeight="1">
      <c r="A113" s="96" t="inlineStr">
        <is>
          <t>SKLU1301464</t>
        </is>
      </c>
      <c r="B113" s="184" t="str">
        <f>IF(C113=Charge!$M$1,Charge!$J$1,IF(C113=Charge!$M$23,Charge!$J$23,IF(C113=Charge!$M$17,Charge!$J$17,IF(C113=Charge!$N$17,Charge!$J$17,Charge!$J$7))))</f>
        <v>G3</v>
      </c>
      <c r="C113" s="61" t="str">
        <f>VLOOKUP(A113,'1.Loading'!A:R,14,FALSE)</f>
        <v>BKK04</v>
      </c>
      <c r="D113" s="61" t="str">
        <f>VLOOKUP(A113,'1.Loading'!A:R,17,FALSE)</f>
        <v>HASLS22260901638</v>
      </c>
      <c r="E113" s="62" t="str">
        <f>VLOOKUP(D113,'2.Bookinglist'!A:CT,27,FALSE)</f>
        <v>SDS-ACUTECH CO., LTD.</v>
      </c>
      <c r="F113" s="62" t="str">
        <f>VLOOKUP(D113,'2.Bookinglist'!A:CT,28,FALSE)</f>
        <v>APEX CIRCUIT (THAILAND) CO., LTD.</v>
      </c>
      <c r="G113" s="60">
        <f>VLOOKUP(D113,'2.Bookinglist'!A:E,5,FALSE)</f>
        <v>0</v>
      </c>
      <c r="H113" s="61" t="str">
        <f>VLOOKUP(D113,'2.Bookinglist'!A:CT,15,FALSE)</f>
        <v>THBKK</v>
      </c>
      <c r="I113" s="61" t="str">
        <f>VLOOKUP(D113,'2.Bookinglist'!A:CT,19,FALSE)</f>
        <v>VNSGN</v>
      </c>
      <c r="J113" s="61">
        <f>VLOOKUP(D113,'2.Bookinglist'!A:CT,26,FALSE)</f>
        <v>0</v>
      </c>
      <c r="K113" s="61" t="str">
        <f>VLOOKUP(A113,'1.Loading'!A:R,5,FALSE)</f>
        <v>22GP</v>
      </c>
      <c r="L113" s="60" t="str">
        <f>VLOOKUP(D113,'2.Bookinglist'!A:CT,85,FALSE)</f>
        <v>CY/CY</v>
      </c>
      <c r="M113" s="60" t="str">
        <f>IF(VLOOKUP(D113,'2.Bookinglist'!A:CT,43,FALSE)=0,"","DG")</f>
        <v/>
      </c>
      <c r="N113" s="60" t="str">
        <f>IF(RIGHT(K113,2)="RE","RF","")</f>
        <v/>
      </c>
      <c r="O113" s="61" t="str">
        <f>VLOOKUP(A113,'1.Loading'!A:R,3,FALSE)</f>
        <v>SWSP</v>
      </c>
      <c r="P113" s="61" t="str">
        <f>VLOOKUP(A113,'1.Loading'!A:R,4,FALSE)</f>
        <v>2609N</v>
      </c>
      <c r="Q113" s="61" t="str">
        <f>VLOOKUP(D113,'2.Bookinglist'!A:CT,12,FALSE)</f>
        <v>BTS</v>
      </c>
      <c r="R113" s="60" t="str">
        <f>IF(LEFT(K113,2)="22","20'","40'")</f>
        <v>20'</v>
      </c>
      <c r="S113" s="185" t="n"/>
      <c r="T113" s="61" t="str">
        <f>VLOOKUP(A113,'1.Loading'!A:R,2,FALSE)</f>
        <v>2026-10-08</v>
      </c>
      <c r="U113" s="63">
        <f>T113-S113</f>
        <v>46303</v>
      </c>
      <c r="V113" s="186" t="n"/>
      <c r="W113" s="61" t="str">
        <f>VLOOKUP(A113,'3.GateMove'!A:D,4,FALSE)</f>
        <v>2026-10-04</v>
      </c>
      <c r="X113" s="63">
        <f>((T113-W113)+1)</f>
        <v>5</v>
      </c>
      <c r="Y113" s="64">
        <f>IF(AND(OR(C113="BKK01",C113="BKK04"),L113="CFS/CY"),0,IF(M113="DG",1,IF(LEFT(C113,3)="LCH",7,IF(C113="BKK02",5,3))))</f>
        <v>3</v>
      </c>
      <c r="Z113" s="63">
        <f>IF(IF(AND(AC113="TML",AB113&gt;0),((T113-W113)+1)-AB113,((T113-W113)+1)-Y113)&gt;0,IF(AND(AC113="TML",AB113&gt;0),((T113-W113)+1)-AB113,((T113-W113)+1)-Y113),0)</f>
        <v>2</v>
      </c>
      <c r="AA113" s="187">
        <f>IF(AND(B113="G1",M113=""),IF(R113="20'",
VLOOKUP(Z113,Charge!$K$2:$M$5,2,TRUE)+(Z113-VLOOKUP(Z113,Charge!$K$2:$M$5,1,TRUE))*VLOOKUP(Z113,Charge!$K$2:$M$5,3,TRUE),
VLOOKUP(Z113,Charge!$N$2:$P$5,2,TRUE)+(Z113-VLOOKUP(Z113,Charge!$N$2:$P$5,1,TRUE))*VLOOKUP(Z113,Charge!$N$2:$P$5,3,TRUE)),
IF(AND(B113="G1",M113="DG"),IF(R113="20'",
VLOOKUP(Z113,Charge!$R$2:$T$5,2,TRUE)+(Z113-VLOOKUP(Z113,Charge!$R$2:$T$5,1,TRUE))*VLOOKUP(Z113,Charge!$R$2:$T$5,3,TRUE),
VLOOKUP(Z113,Charge!$U$2:$W$5,2,TRUE)+(Z113-VLOOKUP(Z113,Charge!$U$2:$W$5,1,TRUE))*VLOOKUP(Z113,Charge!$U$2:$W$5,3,TRUE)),
IF(AND(B113="G3",M113=""),IF(R113="20'",
VLOOKUP(Z113,Charge!$K$18:$M$21,2,TRUE)+(Z113-VLOOKUP(Z113,Charge!$K$18:$M$21,1,TRUE))*VLOOKUP(Z113,Charge!$K$18:$M$21,3,TRUE),
VLOOKUP(Z113,Charge!$N$18:$P$21,2,TRUE)+(Z113-VLOOKUP(Z113,Charge!$N$18:$P$21,1,TRUE))*VLOOKUP(Z113,Charge!$N$18:$P$21,3,TRUE)),
IF(AND(B113="G3",M113="DG"),IF(R113="20'",
VLOOKUP(Z113,Charge!$R$18:$T$21,2,TRUE)+(Z113-VLOOKUP(Z113,Charge!$R$18:$T$21,1,TRUE))*VLOOKUP(Z113,Charge!$R$18:$T$21,3,TRUE),
VLOOKUP(Z113,Charge!$U$18:$W$21,2,TRUE)+(Z113-VLOOKUP(Z113,Charge!$U$18:$W$21,1,TRUE))*VLOOKUP(Z113,Charge!$U$18:$W$21,3,TRUE)),
IF(AND(B113="G2",M113=""),IF(R113="20'",
VLOOKUP(Z113,Charge!$K$9:$M$12,2,TRUE)+(Z113-VLOOKUP(Z113,Charge!$K$9:$M$12,1,TRUE))*VLOOKUP(Z113,Charge!$K$9:$M$12,3,TRUE),
VLOOKUP(Z113,Charge!$N$9:$P$12,2,TRUE)+(Z113-VLOOKUP(Z113,Charge!$N$9:$P$12,1,TRUE))*VLOOKUP(Z113,Charge!$N$9:$P$12,3,TRUE)),
IF(AND(B113="G2",M113="DG"),IF(R113="20'",
VLOOKUP(Z113,Charge!$R$9:$T$12,2,TRUE)+(Z113-VLOOKUP(Z113,Charge!$R$9:$T$12,1,TRUE))*VLOOKUP(Z113,Charge!$R$9:$T$12,3,TRUE),
VLOOKUP(Z113,Charge!$U$9:$W$12,2,TRUE)+(Z113-VLOOKUP(Z113,Charge!$U$9:$W$12,1,TRUE))*VLOOKUP(Z113,Charge!$U$9:$W$12,3,TRUE)),IF(AND(B113="G4",M113=""),IF(R113="20'",Z113*Charge!$M$25,Z113*Charge!$P$25),IF(AND(B113="G4",M113="DG"),IF(R113="20'",Z113*Charge!$T$25,Z113*Charge!$W$25),0))))))))</f>
        <v>320</v>
      </c>
      <c r="AB113" s="184" t="n"/>
      <c r="AC113" s="184" t="n"/>
      <c r="AD113" s="60">
        <f>IF(M113="DG",3,IF(N113="RF",3,5))+IF(AND(LEFT(C113,3)="BKK",N113="RF",Q113="KTS"),1,0)+IF(Q113="KHS",1,0)</f>
        <v>5</v>
      </c>
      <c r="AE113" s="63">
        <f>(T113-V113)+1</f>
        <v>46304</v>
      </c>
      <c r="AF113" s="63">
        <f>IF(AB113&gt;IF((V113-W113)&gt;0,V113-W113,0),0,IF(AB113&lt;IF((V113-W113)&gt;0,V113-W113,0),IF((V113-W113)&gt;0,V113-W113,0)-AB113,IF((V113-W113)&gt;0,V113-W113,0)))</f>
        <v>0</v>
      </c>
      <c r="AG113" s="187">
        <f>IF(AND(M113=""),IF(R113="20'",
VLOOKUP(AF113,Charge!$K$31:$M$34,2,TRUE)+(AF113-VLOOKUP(AF113,Charge!$K$31:$M$34,1,TRUE))*VLOOKUP(AF113,Charge!$K$31:$M$34,3,TRUE),
VLOOKUP(AF113,Charge!$N$31:$P$34,2,TRUE)+(AF113-VLOOKUP(AF113,Charge!$N$31:$P$34,1,TRUE))*VLOOKUP(AF113,Charge!$N$31:$P$34,3,TRUE)),
IF(AND(M113="DG"),IF(R113="20'",
VLOOKUP(AF113,Charge!$R$31:$T$34,2,TRUE)+(AF113-VLOOKUP(AF113,Charge!$R$31:$T$34,1,TRUE))*VLOOKUP(AF113,Charge!$R$31:$T$34,3,TRUE),
VLOOKUP(AF113,Charge!$U$31:$W$34,2,TRUE)+(AF113-VLOOKUP(AF113,Charge!$U$31:$W$34,1,TRUE))*VLOOKUP(AF113,Charge!$U$31:$W$34,3,TRUE)),0))</f>
        <v>0</v>
      </c>
      <c r="AH113" s="65" t="n"/>
      <c r="AI113" s="65">
        <f>AA113-AH113</f>
        <v>320</v>
      </c>
      <c r="AJ113" s="188" t="n"/>
      <c r="AK113" s="62" t="str">
        <f>VLOOKUP(D113,'2.Bookinglist'!A:CT,40,FALSE)</f>
        <v>LEE SEUNG MIN</v>
      </c>
      <c r="AL113" s="60" t="str">
        <f>VLOOKUP(D113,'2.Bookinglist'!A:CW,101,FALSE)</f>
        <v>2026-10-04</v>
      </c>
      <c r="AM113" s="60" t="str">
        <f>VLOOKUP(D113,'2.Bookinglist'!A:BK,63,FALSE)</f>
        <v>BKK27</v>
      </c>
      <c r="AN113" s="62" t="str">
        <f>VLOOKUP(D113,'2.Bookinglist'!A:AZ,52,FALSE)</f>
        <v>Pickup : 2026-10-01, Return : 2026-10-02</v>
      </c>
      <c r="AO113" s="62">
        <f>VLOOKUP(D113,'2.Bookinglist'!A:CY,103,FALSE)</f>
        <v>0</v>
      </c>
    </row>
    <row r="114" ht="12.95" customHeight="1">
      <c r="A114" s="96" t="inlineStr">
        <is>
          <t>SKLU1302202</t>
        </is>
      </c>
      <c r="B114" s="184" t="str">
        <f>IF(C114=Charge!$M$1,Charge!$J$1,IF(C114=Charge!$M$23,Charge!$J$23,IF(C114=Charge!$M$17,Charge!$J$17,IF(C114=Charge!$N$17,Charge!$J$17,Charge!$J$7))))</f>
        <v>G3</v>
      </c>
      <c r="C114" s="61" t="str">
        <f>VLOOKUP(A114,'1.Loading'!A:R,14,FALSE)</f>
        <v>BKK04</v>
      </c>
      <c r="D114" s="61" t="str">
        <f>VLOOKUP(A114,'1.Loading'!A:R,17,FALSE)</f>
        <v>HASLS22260801914</v>
      </c>
      <c r="E114" s="62" t="str">
        <f>VLOOKUP(D114,'2.Bookinglist'!A:CT,27,FALSE)</f>
        <v>DP WORLD LOGISTICS SOLUTIONS (THAILAND) COMPANY LIMITED</v>
      </c>
      <c r="F114" s="62" t="str">
        <f>VLOOKUP(D114,'2.Bookinglist'!A:CT,28,FALSE)</f>
        <v>DP WORLD LOGISTICS SOLUTIONS (THAILAND) COMPANY LIMITED</v>
      </c>
      <c r="G114" s="60">
        <f>VLOOKUP(D114,'2.Bookinglist'!A:E,5,FALSE)</f>
        <v>0</v>
      </c>
      <c r="H114" s="61" t="str">
        <f>VLOOKUP(D114,'2.Bookinglist'!A:CT,15,FALSE)</f>
        <v>THBKK</v>
      </c>
      <c r="I114" s="61" t="str">
        <f>VLOOKUP(D114,'2.Bookinglist'!A:CT,19,FALSE)</f>
        <v>KRPTK</v>
      </c>
      <c r="J114" s="61">
        <f>VLOOKUP(D114,'2.Bookinglist'!A:CT,26,FALSE)</f>
        <v>0</v>
      </c>
      <c r="K114" s="61" t="str">
        <f>VLOOKUP(A114,'1.Loading'!A:R,5,FALSE)</f>
        <v>22GP</v>
      </c>
      <c r="L114" s="60" t="str">
        <f>VLOOKUP(D114,'2.Bookinglist'!A:CT,85,FALSE)</f>
        <v>CY/CY</v>
      </c>
      <c r="M114" s="60" t="str">
        <f>IF(VLOOKUP(D114,'2.Bookinglist'!A:CT,43,FALSE)=0,"","DG")</f>
        <v/>
      </c>
      <c r="N114" s="60" t="str">
        <f>IF(RIGHT(K114,2)="RE","RF","")</f>
        <v/>
      </c>
      <c r="O114" s="61" t="str">
        <f>VLOOKUP(A114,'1.Loading'!A:R,3,FALSE)</f>
        <v>SWSP</v>
      </c>
      <c r="P114" s="61" t="str">
        <f>VLOOKUP(A114,'1.Loading'!A:R,4,FALSE)</f>
        <v>2609N</v>
      </c>
      <c r="Q114" s="61" t="str">
        <f>VLOOKUP(D114,'2.Bookinglist'!A:CT,12,FALSE)</f>
        <v>BTS</v>
      </c>
      <c r="R114" s="60" t="str">
        <f>IF(LEFT(K114,2)="22","20'","40'")</f>
        <v>20'</v>
      </c>
      <c r="S114" s="185" t="n"/>
      <c r="T114" s="61" t="str">
        <f>VLOOKUP(A114,'1.Loading'!A:R,2,FALSE)</f>
        <v>2026-10-08</v>
      </c>
      <c r="U114" s="63">
        <f>T114-S114</f>
        <v>46303</v>
      </c>
      <c r="V114" s="186" t="n"/>
      <c r="W114" s="61" t="str">
        <f>VLOOKUP(A114,'3.GateMove'!A:D,4,FALSE)</f>
        <v>2026-09-19</v>
      </c>
      <c r="X114" s="63">
        <f>((T114-W114)+1)</f>
        <v>20</v>
      </c>
      <c r="Y114" s="64">
        <f>IF(AND(OR(C114="BKK01",C114="BKK04"),L114="CFS/CY"),0,IF(M114="DG",1,IF(LEFT(C114,3)="LCH",7,IF(C114="BKK02",5,3))))</f>
        <v>3</v>
      </c>
      <c r="Z114" s="63">
        <f>IF(IF(AND(AC114="TML",AB114&gt;0),((T114-W114)+1)-AB114,((T114-W114)+1)-Y114)&gt;0,IF(AND(AC114="TML",AB114&gt;0),((T114-W114)+1)-AB114,((T114-W114)+1)-Y114),0)</f>
        <v>17</v>
      </c>
      <c r="AA114" s="187">
        <f>IF(AND(B114="G1",M114=""),IF(R114="20'",
VLOOKUP(Z114,Charge!$K$2:$M$5,2,TRUE)+(Z114-VLOOKUP(Z114,Charge!$K$2:$M$5,1,TRUE))*VLOOKUP(Z114,Charge!$K$2:$M$5,3,TRUE),
VLOOKUP(Z114,Charge!$N$2:$P$5,2,TRUE)+(Z114-VLOOKUP(Z114,Charge!$N$2:$P$5,1,TRUE))*VLOOKUP(Z114,Charge!$N$2:$P$5,3,TRUE)),
IF(AND(B114="G1",M114="DG"),IF(R114="20'",
VLOOKUP(Z114,Charge!$R$2:$T$5,2,TRUE)+(Z114-VLOOKUP(Z114,Charge!$R$2:$T$5,1,TRUE))*VLOOKUP(Z114,Charge!$R$2:$T$5,3,TRUE),
VLOOKUP(Z114,Charge!$U$2:$W$5,2,TRUE)+(Z114-VLOOKUP(Z114,Charge!$U$2:$W$5,1,TRUE))*VLOOKUP(Z114,Charge!$U$2:$W$5,3,TRUE)),
IF(AND(B114="G3",M114=""),IF(R114="20'",
VLOOKUP(Z114,Charge!$K$18:$M$21,2,TRUE)+(Z114-VLOOKUP(Z114,Charge!$K$18:$M$21,1,TRUE))*VLOOKUP(Z114,Charge!$K$18:$M$21,3,TRUE),
VLOOKUP(Z114,Charge!$N$18:$P$21,2,TRUE)+(Z114-VLOOKUP(Z114,Charge!$N$18:$P$21,1,TRUE))*VLOOKUP(Z114,Charge!$N$18:$P$21,3,TRUE)),
IF(AND(B114="G3",M114="DG"),IF(R114="20'",
VLOOKUP(Z114,Charge!$R$18:$T$21,2,TRUE)+(Z114-VLOOKUP(Z114,Charge!$R$18:$T$21,1,TRUE))*VLOOKUP(Z114,Charge!$R$18:$T$21,3,TRUE),
VLOOKUP(Z114,Charge!$U$18:$W$21,2,TRUE)+(Z114-VLOOKUP(Z114,Charge!$U$18:$W$21,1,TRUE))*VLOOKUP(Z114,Charge!$U$18:$W$21,3,TRUE)),
IF(AND(B114="G2",M114=""),IF(R114="20'",
VLOOKUP(Z114,Charge!$K$9:$M$12,2,TRUE)+(Z114-VLOOKUP(Z114,Charge!$K$9:$M$12,1,TRUE))*VLOOKUP(Z114,Charge!$K$9:$M$12,3,TRUE),
VLOOKUP(Z114,Charge!$N$9:$P$12,2,TRUE)+(Z114-VLOOKUP(Z114,Charge!$N$9:$P$12,1,TRUE))*VLOOKUP(Z114,Charge!$N$9:$P$12,3,TRUE)),
IF(AND(B114="G2",M114="DG"),IF(R114="20'",
VLOOKUP(Z114,Charge!$R$9:$T$12,2,TRUE)+(Z114-VLOOKUP(Z114,Charge!$R$9:$T$12,1,TRUE))*VLOOKUP(Z114,Charge!$R$9:$T$12,3,TRUE),
VLOOKUP(Z114,Charge!$U$9:$W$12,2,TRUE)+(Z114-VLOOKUP(Z114,Charge!$U$9:$W$12,1,TRUE))*VLOOKUP(Z114,Charge!$U$9:$W$12,3,TRUE)),IF(AND(B114="G4",M114=""),IF(R114="20'",Z114*Charge!$M$25,Z114*Charge!$P$25),IF(AND(B114="G4",M114="DG"),IF(R114="20'",Z114*Charge!$T$25,Z114*Charge!$W$25),0))))))))</f>
        <v>4215</v>
      </c>
      <c r="AB114" s="184" t="n"/>
      <c r="AC114" s="184" t="n"/>
      <c r="AD114" s="60">
        <f>IF(M114="DG",3,IF(N114="RF",3,5))+IF(AND(LEFT(C114,3)="BKK",N114="RF",Q114="KTS"),1,0)+IF(Q114="KHS",1,0)</f>
        <v>5</v>
      </c>
      <c r="AE114" s="63">
        <f>(T114-V114)+1</f>
        <v>46304</v>
      </c>
      <c r="AF114" s="63">
        <f>IF(AB114&gt;IF((V114-W114)&gt;0,V114-W114,0),0,IF(AB114&lt;IF((V114-W114)&gt;0,V114-W114,0),IF((V114-W114)&gt;0,V114-W114,0)-AB114,IF((V114-W114)&gt;0,V114-W114,0)))</f>
        <v>0</v>
      </c>
      <c r="AG114" s="187">
        <f>IF(AND(M114=""),IF(R114="20'",
VLOOKUP(AF114,Charge!$K$31:$M$34,2,TRUE)+(AF114-VLOOKUP(AF114,Charge!$K$31:$M$34,1,TRUE))*VLOOKUP(AF114,Charge!$K$31:$M$34,3,TRUE),
VLOOKUP(AF114,Charge!$N$31:$P$34,2,TRUE)+(AF114-VLOOKUP(AF114,Charge!$N$31:$P$34,1,TRUE))*VLOOKUP(AF114,Charge!$N$31:$P$34,3,TRUE)),
IF(AND(M114="DG"),IF(R114="20'",
VLOOKUP(AF114,Charge!$R$31:$T$34,2,TRUE)+(AF114-VLOOKUP(AF114,Charge!$R$31:$T$34,1,TRUE))*VLOOKUP(AF114,Charge!$R$31:$T$34,3,TRUE),
VLOOKUP(AF114,Charge!$U$31:$W$34,2,TRUE)+(AF114-VLOOKUP(AF114,Charge!$U$31:$W$34,1,TRUE))*VLOOKUP(AF114,Charge!$U$31:$W$34,3,TRUE)),0))</f>
        <v>0</v>
      </c>
      <c r="AH114" s="65" t="n"/>
      <c r="AI114" s="65">
        <f>AA114-AH114</f>
        <v>4215</v>
      </c>
      <c r="AJ114" s="188" t="n"/>
      <c r="AK114" s="62" t="str">
        <f>VLOOKUP(D114,'2.Bookinglist'!A:CT,40,FALSE)</f>
        <v>Nannaapust Sukporntaweewat</v>
      </c>
      <c r="AL114" s="60" t="str">
        <f>VLOOKUP(D114,'2.Bookinglist'!A:CW,101,FALSE)</f>
        <v>2026-10-05</v>
      </c>
      <c r="AM114" s="60" t="str">
        <f>VLOOKUP(D114,'2.Bookinglist'!A:BK,63,FALSE)</f>
        <v>BKK27</v>
      </c>
      <c r="AN114" s="62" t="str">
        <f>VLOOKUP(D114,'2.Bookinglist'!A:AZ,52,FALSE)</f>
        <v>** APPROVED BY H.W KANG DD.28/09/2026 ** *FLEXIBAG ONDECK*
Servey : 17/09/2026, Pickup : 18/09/2026, Return : 21/09/2026 *EXTEND CLS TIME : 22/09/2026 @06.00* </v>
      </c>
      <c r="AO114" s="62" t="str">
        <f>VLOOKUP(D114,'2.Bookinglist'!A:CY,103,FALSE)</f>
        <v>ROLL OVER FROM PREVIOUS VSL SWMM 2609N BY ALLOCATION TEAM MS.TARN APRPOVED COST IS UNDER HA DD.21/09</v>
      </c>
    </row>
    <row r="115" ht="12.95" customHeight="1">
      <c r="A115" s="96" t="inlineStr">
        <is>
          <t>SKLU1303132</t>
        </is>
      </c>
      <c r="B115" s="184" t="str">
        <f>IF(C115=Charge!$M$1,Charge!$J$1,IF(C115=Charge!$M$23,Charge!$J$23,IF(C115=Charge!$M$17,Charge!$J$17,IF(C115=Charge!$N$17,Charge!$J$17,Charge!$J$7))))</f>
        <v>G3</v>
      </c>
      <c r="C115" s="61" t="str">
        <f>VLOOKUP(A115,'1.Loading'!A:R,14,FALSE)</f>
        <v>BKK04</v>
      </c>
      <c r="D115" s="61" t="str">
        <f>VLOOKUP(A115,'1.Loading'!A:R,17,FALSE)</f>
        <v>HASLS22260801914</v>
      </c>
      <c r="E115" s="62" t="str">
        <f>VLOOKUP(D115,'2.Bookinglist'!A:CT,27,FALSE)</f>
        <v>DP WORLD LOGISTICS SOLUTIONS (THAILAND) COMPANY LIMITED</v>
      </c>
      <c r="F115" s="62" t="str">
        <f>VLOOKUP(D115,'2.Bookinglist'!A:CT,28,FALSE)</f>
        <v>DP WORLD LOGISTICS SOLUTIONS (THAILAND) COMPANY LIMITED</v>
      </c>
      <c r="G115" s="60">
        <f>VLOOKUP(D115,'2.Bookinglist'!A:E,5,FALSE)</f>
        <v>0</v>
      </c>
      <c r="H115" s="61" t="str">
        <f>VLOOKUP(D115,'2.Bookinglist'!A:CT,15,FALSE)</f>
        <v>THBKK</v>
      </c>
      <c r="I115" s="61" t="str">
        <f>VLOOKUP(D115,'2.Bookinglist'!A:CT,19,FALSE)</f>
        <v>KRPTK</v>
      </c>
      <c r="J115" s="61">
        <f>VLOOKUP(D115,'2.Bookinglist'!A:CT,26,FALSE)</f>
        <v>0</v>
      </c>
      <c r="K115" s="61" t="str">
        <f>VLOOKUP(A115,'1.Loading'!A:R,5,FALSE)</f>
        <v>22GP</v>
      </c>
      <c r="L115" s="60" t="str">
        <f>VLOOKUP(D115,'2.Bookinglist'!A:CT,85,FALSE)</f>
        <v>CY/CY</v>
      </c>
      <c r="M115" s="60" t="str">
        <f>IF(VLOOKUP(D115,'2.Bookinglist'!A:CT,43,FALSE)=0,"","DG")</f>
        <v/>
      </c>
      <c r="N115" s="60" t="str">
        <f>IF(RIGHT(K115,2)="RE","RF","")</f>
        <v/>
      </c>
      <c r="O115" s="61" t="str">
        <f>VLOOKUP(A115,'1.Loading'!A:R,3,FALSE)</f>
        <v>SWSP</v>
      </c>
      <c r="P115" s="61" t="str">
        <f>VLOOKUP(A115,'1.Loading'!A:R,4,FALSE)</f>
        <v>2609N</v>
      </c>
      <c r="Q115" s="61" t="str">
        <f>VLOOKUP(D115,'2.Bookinglist'!A:CT,12,FALSE)</f>
        <v>BTS</v>
      </c>
      <c r="R115" s="60" t="str">
        <f>IF(LEFT(K115,2)="22","20'","40'")</f>
        <v>20'</v>
      </c>
      <c r="S115" s="185" t="n"/>
      <c r="T115" s="61" t="str">
        <f>VLOOKUP(A115,'1.Loading'!A:R,2,FALSE)</f>
        <v>2026-10-08</v>
      </c>
      <c r="U115" s="63">
        <f>T115-S115</f>
        <v>46303</v>
      </c>
      <c r="V115" s="186" t="n"/>
      <c r="W115" s="61" t="str">
        <f>VLOOKUP(A115,'3.GateMove'!A:D,4,FALSE)</f>
        <v>2026-09-19</v>
      </c>
      <c r="X115" s="63">
        <f>((T115-W115)+1)</f>
        <v>20</v>
      </c>
      <c r="Y115" s="64">
        <f>IF(AND(OR(C115="BKK01",C115="BKK04"),L115="CFS/CY"),0,IF(M115="DG",1,IF(LEFT(C115,3)="LCH",7,IF(C115="BKK02",5,3))))</f>
        <v>3</v>
      </c>
      <c r="Z115" s="63">
        <f>IF(IF(AND(AC115="TML",AB115&gt;0),((T115-W115)+1)-AB115,((T115-W115)+1)-Y115)&gt;0,IF(AND(AC115="TML",AB115&gt;0),((T115-W115)+1)-AB115,((T115-W115)+1)-Y115),0)</f>
        <v>17</v>
      </c>
      <c r="AA115" s="187">
        <f>IF(AND(B115="G1",M115=""),IF(R115="20'",
VLOOKUP(Z115,Charge!$K$2:$M$5,2,TRUE)+(Z115-VLOOKUP(Z115,Charge!$K$2:$M$5,1,TRUE))*VLOOKUP(Z115,Charge!$K$2:$M$5,3,TRUE),
VLOOKUP(Z115,Charge!$N$2:$P$5,2,TRUE)+(Z115-VLOOKUP(Z115,Charge!$N$2:$P$5,1,TRUE))*VLOOKUP(Z115,Charge!$N$2:$P$5,3,TRUE)),
IF(AND(B115="G1",M115="DG"),IF(R115="20'",
VLOOKUP(Z115,Charge!$R$2:$T$5,2,TRUE)+(Z115-VLOOKUP(Z115,Charge!$R$2:$T$5,1,TRUE))*VLOOKUP(Z115,Charge!$R$2:$T$5,3,TRUE),
VLOOKUP(Z115,Charge!$U$2:$W$5,2,TRUE)+(Z115-VLOOKUP(Z115,Charge!$U$2:$W$5,1,TRUE))*VLOOKUP(Z115,Charge!$U$2:$W$5,3,TRUE)),
IF(AND(B115="G3",M115=""),IF(R115="20'",
VLOOKUP(Z115,Charge!$K$18:$M$21,2,TRUE)+(Z115-VLOOKUP(Z115,Charge!$K$18:$M$21,1,TRUE))*VLOOKUP(Z115,Charge!$K$18:$M$21,3,TRUE),
VLOOKUP(Z115,Charge!$N$18:$P$21,2,TRUE)+(Z115-VLOOKUP(Z115,Charge!$N$18:$P$21,1,TRUE))*VLOOKUP(Z115,Charge!$N$18:$P$21,3,TRUE)),
IF(AND(B115="G3",M115="DG"),IF(R115="20'",
VLOOKUP(Z115,Charge!$R$18:$T$21,2,TRUE)+(Z115-VLOOKUP(Z115,Charge!$R$18:$T$21,1,TRUE))*VLOOKUP(Z115,Charge!$R$18:$T$21,3,TRUE),
VLOOKUP(Z115,Charge!$U$18:$W$21,2,TRUE)+(Z115-VLOOKUP(Z115,Charge!$U$18:$W$21,1,TRUE))*VLOOKUP(Z115,Charge!$U$18:$W$21,3,TRUE)),
IF(AND(B115="G2",M115=""),IF(R115="20'",
VLOOKUP(Z115,Charge!$K$9:$M$12,2,TRUE)+(Z115-VLOOKUP(Z115,Charge!$K$9:$M$12,1,TRUE))*VLOOKUP(Z115,Charge!$K$9:$M$12,3,TRUE),
VLOOKUP(Z115,Charge!$N$9:$P$12,2,TRUE)+(Z115-VLOOKUP(Z115,Charge!$N$9:$P$12,1,TRUE))*VLOOKUP(Z115,Charge!$N$9:$P$12,3,TRUE)),
IF(AND(B115="G2",M115="DG"),IF(R115="20'",
VLOOKUP(Z115,Charge!$R$9:$T$12,2,TRUE)+(Z115-VLOOKUP(Z115,Charge!$R$9:$T$12,1,TRUE))*VLOOKUP(Z115,Charge!$R$9:$T$12,3,TRUE),
VLOOKUP(Z115,Charge!$U$9:$W$12,2,TRUE)+(Z115-VLOOKUP(Z115,Charge!$U$9:$W$12,1,TRUE))*VLOOKUP(Z115,Charge!$U$9:$W$12,3,TRUE)),IF(AND(B115="G4",M115=""),IF(R115="20'",Z115*Charge!$M$25,Z115*Charge!$P$25),IF(AND(B115="G4",M115="DG"),IF(R115="20'",Z115*Charge!$T$25,Z115*Charge!$W$25),0))))))))</f>
        <v>4215</v>
      </c>
      <c r="AB115" s="184" t="n"/>
      <c r="AC115" s="184" t="n"/>
      <c r="AD115" s="60">
        <f>IF(M115="DG",3,IF(N115="RF",3,5))+IF(AND(LEFT(C115,3)="BKK",N115="RF",Q115="KTS"),1,0)+IF(Q115="KHS",1,0)</f>
        <v>5</v>
      </c>
      <c r="AE115" s="63">
        <f>(T115-V115)+1</f>
        <v>46304</v>
      </c>
      <c r="AF115" s="63">
        <f>IF(AB115&gt;IF((V115-W115)&gt;0,V115-W115,0),0,IF(AB115&lt;IF((V115-W115)&gt;0,V115-W115,0),IF((V115-W115)&gt;0,V115-W115,0)-AB115,IF((V115-W115)&gt;0,V115-W115,0)))</f>
        <v>0</v>
      </c>
      <c r="AG115" s="187">
        <f>IF(AND(M115=""),IF(R115="20'",
VLOOKUP(AF115,Charge!$K$31:$M$34,2,TRUE)+(AF115-VLOOKUP(AF115,Charge!$K$31:$M$34,1,TRUE))*VLOOKUP(AF115,Charge!$K$31:$M$34,3,TRUE),
VLOOKUP(AF115,Charge!$N$31:$P$34,2,TRUE)+(AF115-VLOOKUP(AF115,Charge!$N$31:$P$34,1,TRUE))*VLOOKUP(AF115,Charge!$N$31:$P$34,3,TRUE)),
IF(AND(M115="DG"),IF(R115="20'",
VLOOKUP(AF115,Charge!$R$31:$T$34,2,TRUE)+(AF115-VLOOKUP(AF115,Charge!$R$31:$T$34,1,TRUE))*VLOOKUP(AF115,Charge!$R$31:$T$34,3,TRUE),
VLOOKUP(AF115,Charge!$U$31:$W$34,2,TRUE)+(AF115-VLOOKUP(AF115,Charge!$U$31:$W$34,1,TRUE))*VLOOKUP(AF115,Charge!$U$31:$W$34,3,TRUE)),0))</f>
        <v>0</v>
      </c>
      <c r="AH115" s="65" t="n"/>
      <c r="AI115" s="65">
        <f>AA115-AH115</f>
        <v>4215</v>
      </c>
      <c r="AJ115" s="188" t="n"/>
      <c r="AK115" s="62" t="str">
        <f>VLOOKUP(D115,'2.Bookinglist'!A:CT,40,FALSE)</f>
        <v>Nannaapust Sukporntaweewat</v>
      </c>
      <c r="AL115" s="60" t="str">
        <f>VLOOKUP(D115,'2.Bookinglist'!A:CW,101,FALSE)</f>
        <v>2026-10-05</v>
      </c>
      <c r="AM115" s="60" t="str">
        <f>VLOOKUP(D115,'2.Bookinglist'!A:BK,63,FALSE)</f>
        <v>BKK27</v>
      </c>
      <c r="AN115" s="62" t="str">
        <f>VLOOKUP(D115,'2.Bookinglist'!A:AZ,52,FALSE)</f>
        <v>** APPROVED BY H.W KANG DD.28/09/2026 ** *FLEXIBAG ONDECK*
Servey : 17/09/2026, Pickup : 18/09/2026, Return : 21/09/2026 *EXTEND CLS TIME : 22/09/2026 @06.00* </v>
      </c>
      <c r="AO115" s="62" t="str">
        <f>VLOOKUP(D115,'2.Bookinglist'!A:CY,103,FALSE)</f>
        <v>ROLL OVER FROM PREVIOUS VSL SWMM 2609N BY ALLOCATION TEAM MS.TARN APRPOVED COST IS UNDER HA DD.21/09</v>
      </c>
    </row>
    <row r="116" ht="12.95" customHeight="1">
      <c r="A116" s="96" t="inlineStr">
        <is>
          <t>SKLU1327495</t>
        </is>
      </c>
      <c r="B116" s="184" t="str">
        <f>IF(C116=Charge!$M$1,Charge!$J$1,IF(C116=Charge!$M$23,Charge!$J$23,IF(C116=Charge!$M$17,Charge!$J$17,IF(C116=Charge!$N$17,Charge!$J$17,Charge!$J$7))))</f>
        <v>G3</v>
      </c>
      <c r="C116" s="61" t="str">
        <f>VLOOKUP(A116,'1.Loading'!A:R,14,FALSE)</f>
        <v>BKK04</v>
      </c>
      <c r="D116" s="61" t="str">
        <f>VLOOKUP(A116,'1.Loading'!A:R,17,FALSE)</f>
        <v>HASLS22260900630</v>
      </c>
      <c r="E116" s="62" t="str">
        <f>VLOOKUP(D116,'2.Bookinglist'!A:CT,27,FALSE)</f>
        <v>ICONS GLOBAL LOGISTICS CO., LTD.</v>
      </c>
      <c r="F116" s="62" t="str">
        <f>VLOOKUP(D116,'2.Bookinglist'!A:CT,28,FALSE)</f>
        <v>THANAKORN VEGETABLE OIL PRODUCTS CO., LTD.</v>
      </c>
      <c r="G116" s="60">
        <f>VLOOKUP(D116,'2.Bookinglist'!A:E,5,FALSE)</f>
        <v>0</v>
      </c>
      <c r="H116" s="61" t="str">
        <f>VLOOKUP(D116,'2.Bookinglist'!A:CT,15,FALSE)</f>
        <v>THBKK</v>
      </c>
      <c r="I116" s="61" t="str">
        <f>VLOOKUP(D116,'2.Bookinglist'!A:CT,19,FALSE)</f>
        <v>VNSGN</v>
      </c>
      <c r="J116" s="61">
        <f>VLOOKUP(D116,'2.Bookinglist'!A:CT,26,FALSE)</f>
        <v>0</v>
      </c>
      <c r="K116" s="61" t="str">
        <f>VLOOKUP(A116,'1.Loading'!A:R,5,FALSE)</f>
        <v>22GP</v>
      </c>
      <c r="L116" s="60" t="str">
        <f>VLOOKUP(D116,'2.Bookinglist'!A:CT,85,FALSE)</f>
        <v>CY/CY</v>
      </c>
      <c r="M116" s="60" t="str">
        <f>IF(VLOOKUP(D116,'2.Bookinglist'!A:CT,43,FALSE)=0,"","DG")</f>
        <v/>
      </c>
      <c r="N116" s="60" t="str">
        <f>IF(RIGHT(K116,2)="RE","RF","")</f>
        <v/>
      </c>
      <c r="O116" s="61" t="str">
        <f>VLOOKUP(A116,'1.Loading'!A:R,3,FALSE)</f>
        <v>SWSP</v>
      </c>
      <c r="P116" s="61" t="str">
        <f>VLOOKUP(A116,'1.Loading'!A:R,4,FALSE)</f>
        <v>2609N</v>
      </c>
      <c r="Q116" s="61" t="str">
        <f>VLOOKUP(D116,'2.Bookinglist'!A:CT,12,FALSE)</f>
        <v>BTS</v>
      </c>
      <c r="R116" s="60" t="str">
        <f>IF(LEFT(K116,2)="22","20'","40'")</f>
        <v>20'</v>
      </c>
      <c r="S116" s="185" t="n"/>
      <c r="T116" s="61" t="str">
        <f>VLOOKUP(A116,'1.Loading'!A:R,2,FALSE)</f>
        <v>2026-10-08</v>
      </c>
      <c r="U116" s="63">
        <f>T116-S116</f>
        <v>46303</v>
      </c>
      <c r="V116" s="186" t="n"/>
      <c r="W116" s="61" t="str">
        <f>VLOOKUP(A116,'3.GateMove'!A:D,4,FALSE)</f>
        <v>2026-10-02</v>
      </c>
      <c r="X116" s="63">
        <f>((T116-W116)+1)</f>
        <v>7</v>
      </c>
      <c r="Y116" s="64">
        <f>IF(AND(OR(C116="BKK01",C116="BKK04"),L116="CFS/CY"),0,IF(M116="DG",1,IF(LEFT(C116,3)="LCH",7,IF(C116="BKK02",5,3))))</f>
        <v>3</v>
      </c>
      <c r="Z116" s="63">
        <f>IF(IF(AND(AC116="TML",AB116&gt;0),((T116-W116)+1)-AB116,((T116-W116)+1)-Y116)&gt;0,IF(AND(AC116="TML",AB116&gt;0),((T116-W116)+1)-AB116,((T116-W116)+1)-Y116),0)</f>
        <v>4</v>
      </c>
      <c r="AA116" s="187">
        <f>IF(AND(B116="G1",M116=""),IF(R116="20'",
VLOOKUP(Z116,Charge!$K$2:$M$5,2,TRUE)+(Z116-VLOOKUP(Z116,Charge!$K$2:$M$5,1,TRUE))*VLOOKUP(Z116,Charge!$K$2:$M$5,3,TRUE),
VLOOKUP(Z116,Charge!$N$2:$P$5,2,TRUE)+(Z116-VLOOKUP(Z116,Charge!$N$2:$P$5,1,TRUE))*VLOOKUP(Z116,Charge!$N$2:$P$5,3,TRUE)),
IF(AND(B116="G1",M116="DG"),IF(R116="20'",
VLOOKUP(Z116,Charge!$R$2:$T$5,2,TRUE)+(Z116-VLOOKUP(Z116,Charge!$R$2:$T$5,1,TRUE))*VLOOKUP(Z116,Charge!$R$2:$T$5,3,TRUE),
VLOOKUP(Z116,Charge!$U$2:$W$5,2,TRUE)+(Z116-VLOOKUP(Z116,Charge!$U$2:$W$5,1,TRUE))*VLOOKUP(Z116,Charge!$U$2:$W$5,3,TRUE)),
IF(AND(B116="G3",M116=""),IF(R116="20'",
VLOOKUP(Z116,Charge!$K$18:$M$21,2,TRUE)+(Z116-VLOOKUP(Z116,Charge!$K$18:$M$21,1,TRUE))*VLOOKUP(Z116,Charge!$K$18:$M$21,3,TRUE),
VLOOKUP(Z116,Charge!$N$18:$P$21,2,TRUE)+(Z116-VLOOKUP(Z116,Charge!$N$18:$P$21,1,TRUE))*VLOOKUP(Z116,Charge!$N$18:$P$21,3,TRUE)),
IF(AND(B116="G3",M116="DG"),IF(R116="20'",
VLOOKUP(Z116,Charge!$R$18:$T$21,2,TRUE)+(Z116-VLOOKUP(Z116,Charge!$R$18:$T$21,1,TRUE))*VLOOKUP(Z116,Charge!$R$18:$T$21,3,TRUE),
VLOOKUP(Z116,Charge!$U$18:$W$21,2,TRUE)+(Z116-VLOOKUP(Z116,Charge!$U$18:$W$21,1,TRUE))*VLOOKUP(Z116,Charge!$U$18:$W$21,3,TRUE)),
IF(AND(B116="G2",M116=""),IF(R116="20'",
VLOOKUP(Z116,Charge!$K$9:$M$12,2,TRUE)+(Z116-VLOOKUP(Z116,Charge!$K$9:$M$12,1,TRUE))*VLOOKUP(Z116,Charge!$K$9:$M$12,3,TRUE),
VLOOKUP(Z116,Charge!$N$9:$P$12,2,TRUE)+(Z116-VLOOKUP(Z116,Charge!$N$9:$P$12,1,TRUE))*VLOOKUP(Z116,Charge!$N$9:$P$12,3,TRUE)),
IF(AND(B116="G2",M116="DG"),IF(R116="20'",
VLOOKUP(Z116,Charge!$R$9:$T$12,2,TRUE)+(Z116-VLOOKUP(Z116,Charge!$R$9:$T$12,1,TRUE))*VLOOKUP(Z116,Charge!$R$9:$T$12,3,TRUE),
VLOOKUP(Z116,Charge!$U$9:$W$12,2,TRUE)+(Z116-VLOOKUP(Z116,Charge!$U$9:$W$12,1,TRUE))*VLOOKUP(Z116,Charge!$U$9:$W$12,3,TRUE)),IF(AND(B116="G4",M116=""),IF(R116="20'",Z116*Charge!$M$25,Z116*Charge!$P$25),IF(AND(B116="G4",M116="DG"),IF(R116="20'",Z116*Charge!$T$25,Z116*Charge!$W$25),0))))))))</f>
        <v>640</v>
      </c>
      <c r="AB116" s="184" t="n"/>
      <c r="AC116" s="184" t="n"/>
      <c r="AD116" s="60">
        <f>IF(M116="DG",3,IF(N116="RF",3,5))+IF(AND(LEFT(C116,3)="BKK",N116="RF",Q116="KTS"),1,0)+IF(Q116="KHS",1,0)</f>
        <v>5</v>
      </c>
      <c r="AE116" s="63">
        <f>(T116-V116)+1</f>
        <v>46304</v>
      </c>
      <c r="AF116" s="63">
        <f>IF(AB116&gt;IF((V116-W116)&gt;0,V116-W116,0),0,IF(AB116&lt;IF((V116-W116)&gt;0,V116-W116,0),IF((V116-W116)&gt;0,V116-W116,0)-AB116,IF((V116-W116)&gt;0,V116-W116,0)))</f>
        <v>0</v>
      </c>
      <c r="AG116" s="187">
        <f>IF(AND(M116=""),IF(R116="20'",
VLOOKUP(AF116,Charge!$K$31:$M$34,2,TRUE)+(AF116-VLOOKUP(AF116,Charge!$K$31:$M$34,1,TRUE))*VLOOKUP(AF116,Charge!$K$31:$M$34,3,TRUE),
VLOOKUP(AF116,Charge!$N$31:$P$34,2,TRUE)+(AF116-VLOOKUP(AF116,Charge!$N$31:$P$34,1,TRUE))*VLOOKUP(AF116,Charge!$N$31:$P$34,3,TRUE)),
IF(AND(M116="DG"),IF(R116="20'",
VLOOKUP(AF116,Charge!$R$31:$T$34,2,TRUE)+(AF116-VLOOKUP(AF116,Charge!$R$31:$T$34,1,TRUE))*VLOOKUP(AF116,Charge!$R$31:$T$34,3,TRUE),
VLOOKUP(AF116,Charge!$U$31:$W$34,2,TRUE)+(AF116-VLOOKUP(AF116,Charge!$U$31:$W$34,1,TRUE))*VLOOKUP(AF116,Charge!$U$31:$W$34,3,TRUE)),0))</f>
        <v>0</v>
      </c>
      <c r="AH116" s="65" t="n"/>
      <c r="AI116" s="65">
        <f>AA116-AH116</f>
        <v>640</v>
      </c>
      <c r="AJ116" s="188" t="n"/>
      <c r="AK116" s="62" t="str">
        <f>VLOOKUP(D116,'2.Bookinglist'!A:CT,40,FALSE)</f>
        <v>Dharaporn</v>
      </c>
      <c r="AL116" s="60" t="str">
        <f>VLOOKUP(D116,'2.Bookinglist'!A:CW,101,FALSE)</f>
        <v>2026-10-05</v>
      </c>
      <c r="AM116" s="60" t="str">
        <f>VLOOKUP(D116,'2.Bookinglist'!A:BK,63,FALSE)</f>
        <v>BKK27</v>
      </c>
      <c r="AN116" s="62" t="str">
        <f>VLOOKUP(D116,'2.Bookinglist'!A:AZ,52,FALSE)</f>
        <v>**APPROVED BY H.W KANG DD.23/09/2026** *FLEXIBAG ONDECK*
Survey : 2026-09-30, Pickup : 2026-10-01, Return : 2026-10-02 </v>
      </c>
      <c r="AO116" s="62">
        <f>VLOOKUP(D116,'2.Bookinglist'!A:CY,103,FALSE)</f>
        <v>0</v>
      </c>
    </row>
    <row r="117" ht="12.95" customHeight="1">
      <c r="A117" s="96" t="inlineStr">
        <is>
          <t>SKLU1404436</t>
        </is>
      </c>
      <c r="B117" s="184" t="str">
        <f>IF(C117=Charge!$M$1,Charge!$J$1,IF(C117=Charge!$M$23,Charge!$J$23,IF(C117=Charge!$M$17,Charge!$J$17,IF(C117=Charge!$N$17,Charge!$J$17,Charge!$J$7))))</f>
        <v>G3</v>
      </c>
      <c r="C117" s="61" t="str">
        <f>VLOOKUP(A117,'1.Loading'!A:R,14,FALSE)</f>
        <v>BKK04</v>
      </c>
      <c r="D117" s="61" t="str">
        <f>VLOOKUP(A117,'1.Loading'!A:R,17,FALSE)</f>
        <v>HASLS22260901537</v>
      </c>
      <c r="E117" s="62" t="str">
        <f>VLOOKUP(D117,'2.Bookinglist'!A:CT,27,FALSE)</f>
        <v>SCGJWD LOGISTICS PUBLIC COMPANY LIMITED</v>
      </c>
      <c r="F117" s="62" t="str">
        <f>VLOOKUP(D117,'2.Bookinglist'!A:CT,28,FALSE)</f>
        <v>SCG INTERNATIONAL CORPORATION CO., LTD.</v>
      </c>
      <c r="G117" s="60">
        <f>VLOOKUP(D117,'2.Bookinglist'!A:E,5,FALSE)</f>
        <v>0</v>
      </c>
      <c r="H117" s="61" t="str">
        <f>VLOOKUP(D117,'2.Bookinglist'!A:CT,15,FALSE)</f>
        <v>THBKK</v>
      </c>
      <c r="I117" s="61" t="str">
        <f>VLOOKUP(D117,'2.Bookinglist'!A:CT,19,FALSE)</f>
        <v>JPIYM</v>
      </c>
      <c r="J117" s="61" t="str">
        <f>VLOOKUP(D117,'2.Bookinglist'!A:CT,26,FALSE)</f>
        <v>KRPUS</v>
      </c>
      <c r="K117" s="61" t="str">
        <f>VLOOKUP(A117,'1.Loading'!A:R,5,FALSE)</f>
        <v>22GP</v>
      </c>
      <c r="L117" s="60" t="str">
        <f>VLOOKUP(D117,'2.Bookinglist'!A:CT,85,FALSE)</f>
        <v>CY/CY</v>
      </c>
      <c r="M117" s="60" t="str">
        <f>IF(VLOOKUP(D117,'2.Bookinglist'!A:CT,43,FALSE)=0,"","DG")</f>
        <v/>
      </c>
      <c r="N117" s="60" t="str">
        <f>IF(RIGHT(K117,2)="RE","RF","")</f>
        <v/>
      </c>
      <c r="O117" s="61" t="str">
        <f>VLOOKUP(A117,'1.Loading'!A:R,3,FALSE)</f>
        <v>SWSP</v>
      </c>
      <c r="P117" s="61" t="str">
        <f>VLOOKUP(A117,'1.Loading'!A:R,4,FALSE)</f>
        <v>2609N</v>
      </c>
      <c r="Q117" s="61" t="str">
        <f>VLOOKUP(D117,'2.Bookinglist'!A:CT,12,FALSE)</f>
        <v>BTS</v>
      </c>
      <c r="R117" s="60" t="str">
        <f>IF(LEFT(K117,2)="22","20'","40'")</f>
        <v>20'</v>
      </c>
      <c r="S117" s="185" t="n"/>
      <c r="T117" s="61" t="str">
        <f>VLOOKUP(A117,'1.Loading'!A:R,2,FALSE)</f>
        <v>2026-10-08</v>
      </c>
      <c r="U117" s="63">
        <f>T117-S117</f>
        <v>46303</v>
      </c>
      <c r="V117" s="186" t="n"/>
      <c r="W117" s="61" t="str">
        <f>VLOOKUP(A117,'3.GateMove'!A:D,4,FALSE)</f>
        <v>2026-09-29</v>
      </c>
      <c r="X117" s="63">
        <f>((T117-W117)+1)</f>
        <v>10</v>
      </c>
      <c r="Y117" s="64">
        <f>IF(AND(OR(C117="BKK01",C117="BKK04"),L117="CFS/CY"),0,IF(M117="DG",1,IF(LEFT(C117,3)="LCH",7,IF(C117="BKK02",5,3))))</f>
        <v>3</v>
      </c>
      <c r="Z117" s="63">
        <f>IF(IF(AND(AC117="TML",AB117&gt;0),((T117-W117)+1)-AB117,((T117-W117)+1)-Y117)&gt;0,IF(AND(AC117="TML",AB117&gt;0),((T117-W117)+1)-AB117,((T117-W117)+1)-Y117),0)</f>
        <v>7</v>
      </c>
      <c r="AA117" s="187">
        <f>IF(AND(B117="G1",M117=""),IF(R117="20'",
VLOOKUP(Z117,Charge!$K$2:$M$5,2,TRUE)+(Z117-VLOOKUP(Z117,Charge!$K$2:$M$5,1,TRUE))*VLOOKUP(Z117,Charge!$K$2:$M$5,3,TRUE),
VLOOKUP(Z117,Charge!$N$2:$P$5,2,TRUE)+(Z117-VLOOKUP(Z117,Charge!$N$2:$P$5,1,TRUE))*VLOOKUP(Z117,Charge!$N$2:$P$5,3,TRUE)),
IF(AND(B117="G1",M117="DG"),IF(R117="20'",
VLOOKUP(Z117,Charge!$R$2:$T$5,2,TRUE)+(Z117-VLOOKUP(Z117,Charge!$R$2:$T$5,1,TRUE))*VLOOKUP(Z117,Charge!$R$2:$T$5,3,TRUE),
VLOOKUP(Z117,Charge!$U$2:$W$5,2,TRUE)+(Z117-VLOOKUP(Z117,Charge!$U$2:$W$5,1,TRUE))*VLOOKUP(Z117,Charge!$U$2:$W$5,3,TRUE)),
IF(AND(B117="G3",M117=""),IF(R117="20'",
VLOOKUP(Z117,Charge!$K$18:$M$21,2,TRUE)+(Z117-VLOOKUP(Z117,Charge!$K$18:$M$21,1,TRUE))*VLOOKUP(Z117,Charge!$K$18:$M$21,3,TRUE),
VLOOKUP(Z117,Charge!$N$18:$P$21,2,TRUE)+(Z117-VLOOKUP(Z117,Charge!$N$18:$P$21,1,TRUE))*VLOOKUP(Z117,Charge!$N$18:$P$21,3,TRUE)),
IF(AND(B117="G3",M117="DG"),IF(R117="20'",
VLOOKUP(Z117,Charge!$R$18:$T$21,2,TRUE)+(Z117-VLOOKUP(Z117,Charge!$R$18:$T$21,1,TRUE))*VLOOKUP(Z117,Charge!$R$18:$T$21,3,TRUE),
VLOOKUP(Z117,Charge!$U$18:$W$21,2,TRUE)+(Z117-VLOOKUP(Z117,Charge!$U$18:$W$21,1,TRUE))*VLOOKUP(Z117,Charge!$U$18:$W$21,3,TRUE)),
IF(AND(B117="G2",M117=""),IF(R117="20'",
VLOOKUP(Z117,Charge!$K$9:$M$12,2,TRUE)+(Z117-VLOOKUP(Z117,Charge!$K$9:$M$12,1,TRUE))*VLOOKUP(Z117,Charge!$K$9:$M$12,3,TRUE),
VLOOKUP(Z117,Charge!$N$9:$P$12,2,TRUE)+(Z117-VLOOKUP(Z117,Charge!$N$9:$P$12,1,TRUE))*VLOOKUP(Z117,Charge!$N$9:$P$12,3,TRUE)),
IF(AND(B117="G2",M117="DG"),IF(R117="20'",
VLOOKUP(Z117,Charge!$R$9:$T$12,2,TRUE)+(Z117-VLOOKUP(Z117,Charge!$R$9:$T$12,1,TRUE))*VLOOKUP(Z117,Charge!$R$9:$T$12,3,TRUE),
VLOOKUP(Z117,Charge!$U$9:$W$12,2,TRUE)+(Z117-VLOOKUP(Z117,Charge!$U$9:$W$12,1,TRUE))*VLOOKUP(Z117,Charge!$U$9:$W$12,3,TRUE)),IF(AND(B117="G4",M117=""),IF(R117="20'",Z117*Charge!$M$25,Z117*Charge!$P$25),IF(AND(B117="G4",M117="DG"),IF(R117="20'",Z117*Charge!$T$25,Z117*Charge!$W$25),0))))))))</f>
        <v>1120</v>
      </c>
      <c r="AB117" s="184" t="n"/>
      <c r="AC117" s="184" t="n"/>
      <c r="AD117" s="60">
        <f>IF(M117="DG",3,IF(N117="RF",3,5))+IF(AND(LEFT(C117,3)="BKK",N117="RF",Q117="KTS"),1,0)+IF(Q117="KHS",1,0)</f>
        <v>5</v>
      </c>
      <c r="AE117" s="63">
        <f>(T117-V117)+1</f>
        <v>46304</v>
      </c>
      <c r="AF117" s="63">
        <f>IF(AB117&gt;IF((V117-W117)&gt;0,V117-W117,0),0,IF(AB117&lt;IF((V117-W117)&gt;0,V117-W117,0),IF((V117-W117)&gt;0,V117-W117,0)-AB117,IF((V117-W117)&gt;0,V117-W117,0)))</f>
        <v>0</v>
      </c>
      <c r="AG117" s="187">
        <f>IF(AND(M117=""),IF(R117="20'",
VLOOKUP(AF117,Charge!$K$31:$M$34,2,TRUE)+(AF117-VLOOKUP(AF117,Charge!$K$31:$M$34,1,TRUE))*VLOOKUP(AF117,Charge!$K$31:$M$34,3,TRUE),
VLOOKUP(AF117,Charge!$N$31:$P$34,2,TRUE)+(AF117-VLOOKUP(AF117,Charge!$N$31:$P$34,1,TRUE))*VLOOKUP(AF117,Charge!$N$31:$P$34,3,TRUE)),
IF(AND(M117="DG"),IF(R117="20'",
VLOOKUP(AF117,Charge!$R$31:$T$34,2,TRUE)+(AF117-VLOOKUP(AF117,Charge!$R$31:$T$34,1,TRUE))*VLOOKUP(AF117,Charge!$R$31:$T$34,3,TRUE),
VLOOKUP(AF117,Charge!$U$31:$W$34,2,TRUE)+(AF117-VLOOKUP(AF117,Charge!$U$31:$W$34,1,TRUE))*VLOOKUP(AF117,Charge!$U$31:$W$34,3,TRUE)),0))</f>
        <v>0</v>
      </c>
      <c r="AH117" s="65" t="n"/>
      <c r="AI117" s="65">
        <f>AA117-AH117</f>
        <v>1120</v>
      </c>
      <c r="AJ117" s="188" t="n"/>
      <c r="AK117" s="62" t="str">
        <f>VLOOKUP(D117,'2.Bookinglist'!A:CT,40,FALSE)</f>
        <v>Kanokporn</v>
      </c>
      <c r="AL117" s="60" t="str">
        <f>VLOOKUP(D117,'2.Bookinglist'!A:CW,101,FALSE)</f>
        <v>2026-10-07</v>
      </c>
      <c r="AM117" s="60" t="str">
        <f>VLOOKUP(D117,'2.Bookinglist'!A:BK,63,FALSE)</f>
        <v>BKK25</v>
      </c>
      <c r="AN117" s="62" t="str">
        <f>VLOOKUP(D117,'2.Bookinglist'!A:AZ,52,FALSE)</f>
        <v>CY-RTN 25-27/09/26 (JB2609183466 )1ST RETURN DATE DD.29/09/26</v>
      </c>
      <c r="AO117" s="62" t="str">
        <f>VLOOKUP(D117,'2.Bookinglist'!A:CY,103,FALSE)</f>
        <v>ROLL OVER FROM PREVIOUS VSL KMBK 2611N BY ALLOCATION TEAM MS.TARN APPROVED COST IS UNDER HAL DD.01/10SI DD.29/9/26</v>
      </c>
    </row>
    <row r="118" ht="12.95" customHeight="1">
      <c r="A118" s="96" t="inlineStr">
        <is>
          <t>SKLU1411137</t>
        </is>
      </c>
      <c r="B118" s="184" t="str">
        <f>IF(C118=Charge!$M$1,Charge!$J$1,IF(C118=Charge!$M$23,Charge!$J$23,IF(C118=Charge!$M$17,Charge!$J$17,IF(C118=Charge!$N$17,Charge!$J$17,Charge!$J$7))))</f>
        <v>G3</v>
      </c>
      <c r="C118" s="61" t="str">
        <f>VLOOKUP(A118,'1.Loading'!A:R,14,FALSE)</f>
        <v>BKK04</v>
      </c>
      <c r="D118" s="61" t="str">
        <f>VLOOKUP(A118,'1.Loading'!A:R,17,FALSE)</f>
        <v>HASLS22260801914</v>
      </c>
      <c r="E118" s="62" t="str">
        <f>VLOOKUP(D118,'2.Bookinglist'!A:CT,27,FALSE)</f>
        <v>DP WORLD LOGISTICS SOLUTIONS (THAILAND) COMPANY LIMITED</v>
      </c>
      <c r="F118" s="62" t="str">
        <f>VLOOKUP(D118,'2.Bookinglist'!A:CT,28,FALSE)</f>
        <v>DP WORLD LOGISTICS SOLUTIONS (THAILAND) COMPANY LIMITED</v>
      </c>
      <c r="G118" s="60">
        <f>VLOOKUP(D118,'2.Bookinglist'!A:E,5,FALSE)</f>
        <v>0</v>
      </c>
      <c r="H118" s="61" t="str">
        <f>VLOOKUP(D118,'2.Bookinglist'!A:CT,15,FALSE)</f>
        <v>THBKK</v>
      </c>
      <c r="I118" s="61" t="str">
        <f>VLOOKUP(D118,'2.Bookinglist'!A:CT,19,FALSE)</f>
        <v>KRPTK</v>
      </c>
      <c r="J118" s="61">
        <f>VLOOKUP(D118,'2.Bookinglist'!A:CT,26,FALSE)</f>
        <v>0</v>
      </c>
      <c r="K118" s="61" t="str">
        <f>VLOOKUP(A118,'1.Loading'!A:R,5,FALSE)</f>
        <v>22GP</v>
      </c>
      <c r="L118" s="60" t="str">
        <f>VLOOKUP(D118,'2.Bookinglist'!A:CT,85,FALSE)</f>
        <v>CY/CY</v>
      </c>
      <c r="M118" s="60" t="str">
        <f>IF(VLOOKUP(D118,'2.Bookinglist'!A:CT,43,FALSE)=0,"","DG")</f>
        <v/>
      </c>
      <c r="N118" s="60" t="str">
        <f>IF(RIGHT(K118,2)="RE","RF","")</f>
        <v/>
      </c>
      <c r="O118" s="61" t="str">
        <f>VLOOKUP(A118,'1.Loading'!A:R,3,FALSE)</f>
        <v>SWSP</v>
      </c>
      <c r="P118" s="61" t="str">
        <f>VLOOKUP(A118,'1.Loading'!A:R,4,FALSE)</f>
        <v>2609N</v>
      </c>
      <c r="Q118" s="61" t="str">
        <f>VLOOKUP(D118,'2.Bookinglist'!A:CT,12,FALSE)</f>
        <v>BTS</v>
      </c>
      <c r="R118" s="60" t="str">
        <f>IF(LEFT(K118,2)="22","20'","40'")</f>
        <v>20'</v>
      </c>
      <c r="S118" s="185" t="n"/>
      <c r="T118" s="61" t="str">
        <f>VLOOKUP(A118,'1.Loading'!A:R,2,FALSE)</f>
        <v>2026-10-08</v>
      </c>
      <c r="U118" s="63">
        <f>T118-S118</f>
        <v>46303</v>
      </c>
      <c r="V118" s="186" t="n"/>
      <c r="W118" s="61" t="str">
        <f>VLOOKUP(A118,'3.GateMove'!A:D,4,FALSE)</f>
        <v>2026-09-19</v>
      </c>
      <c r="X118" s="63">
        <f>((T118-W118)+1)</f>
        <v>20</v>
      </c>
      <c r="Y118" s="64">
        <f>IF(AND(OR(C118="BKK01",C118="BKK04"),L118="CFS/CY"),0,IF(M118="DG",1,IF(LEFT(C118,3)="LCH",7,IF(C118="BKK02",5,3))))</f>
        <v>3</v>
      </c>
      <c r="Z118" s="63">
        <f>IF(IF(AND(AC118="TML",AB118&gt;0),((T118-W118)+1)-AB118,((T118-W118)+1)-Y118)&gt;0,IF(AND(AC118="TML",AB118&gt;0),((T118-W118)+1)-AB118,((T118-W118)+1)-Y118),0)</f>
        <v>17</v>
      </c>
      <c r="AA118" s="187">
        <f>IF(AND(B118="G1",M118=""),IF(R118="20'",
VLOOKUP(Z118,Charge!$K$2:$M$5,2,TRUE)+(Z118-VLOOKUP(Z118,Charge!$K$2:$M$5,1,TRUE))*VLOOKUP(Z118,Charge!$K$2:$M$5,3,TRUE),
VLOOKUP(Z118,Charge!$N$2:$P$5,2,TRUE)+(Z118-VLOOKUP(Z118,Charge!$N$2:$P$5,1,TRUE))*VLOOKUP(Z118,Charge!$N$2:$P$5,3,TRUE)),
IF(AND(B118="G1",M118="DG"),IF(R118="20'",
VLOOKUP(Z118,Charge!$R$2:$T$5,2,TRUE)+(Z118-VLOOKUP(Z118,Charge!$R$2:$T$5,1,TRUE))*VLOOKUP(Z118,Charge!$R$2:$T$5,3,TRUE),
VLOOKUP(Z118,Charge!$U$2:$W$5,2,TRUE)+(Z118-VLOOKUP(Z118,Charge!$U$2:$W$5,1,TRUE))*VLOOKUP(Z118,Charge!$U$2:$W$5,3,TRUE)),
IF(AND(B118="G3",M118=""),IF(R118="20'",
VLOOKUP(Z118,Charge!$K$18:$M$21,2,TRUE)+(Z118-VLOOKUP(Z118,Charge!$K$18:$M$21,1,TRUE))*VLOOKUP(Z118,Charge!$K$18:$M$21,3,TRUE),
VLOOKUP(Z118,Charge!$N$18:$P$21,2,TRUE)+(Z118-VLOOKUP(Z118,Charge!$N$18:$P$21,1,TRUE))*VLOOKUP(Z118,Charge!$N$18:$P$21,3,TRUE)),
IF(AND(B118="G3",M118="DG"),IF(R118="20'",
VLOOKUP(Z118,Charge!$R$18:$T$21,2,TRUE)+(Z118-VLOOKUP(Z118,Charge!$R$18:$T$21,1,TRUE))*VLOOKUP(Z118,Charge!$R$18:$T$21,3,TRUE),
VLOOKUP(Z118,Charge!$U$18:$W$21,2,TRUE)+(Z118-VLOOKUP(Z118,Charge!$U$18:$W$21,1,TRUE))*VLOOKUP(Z118,Charge!$U$18:$W$21,3,TRUE)),
IF(AND(B118="G2",M118=""),IF(R118="20'",
VLOOKUP(Z118,Charge!$K$9:$M$12,2,TRUE)+(Z118-VLOOKUP(Z118,Charge!$K$9:$M$12,1,TRUE))*VLOOKUP(Z118,Charge!$K$9:$M$12,3,TRUE),
VLOOKUP(Z118,Charge!$N$9:$P$12,2,TRUE)+(Z118-VLOOKUP(Z118,Charge!$N$9:$P$12,1,TRUE))*VLOOKUP(Z118,Charge!$N$9:$P$12,3,TRUE)),
IF(AND(B118="G2",M118="DG"),IF(R118="20'",
VLOOKUP(Z118,Charge!$R$9:$T$12,2,TRUE)+(Z118-VLOOKUP(Z118,Charge!$R$9:$T$12,1,TRUE))*VLOOKUP(Z118,Charge!$R$9:$T$12,3,TRUE),
VLOOKUP(Z118,Charge!$U$9:$W$12,2,TRUE)+(Z118-VLOOKUP(Z118,Charge!$U$9:$W$12,1,TRUE))*VLOOKUP(Z118,Charge!$U$9:$W$12,3,TRUE)),IF(AND(B118="G4",M118=""),IF(R118="20'",Z118*Charge!$M$25,Z118*Charge!$P$25),IF(AND(B118="G4",M118="DG"),IF(R118="20'",Z118*Charge!$T$25,Z118*Charge!$W$25),0))))))))</f>
        <v>4215</v>
      </c>
      <c r="AB118" s="184" t="n"/>
      <c r="AC118" s="184" t="n"/>
      <c r="AD118" s="60">
        <f>IF(M118="DG",3,IF(N118="RF",3,5))+IF(AND(LEFT(C118,3)="BKK",N118="RF",Q118="KTS"),1,0)+IF(Q118="KHS",1,0)</f>
        <v>5</v>
      </c>
      <c r="AE118" s="63">
        <f>(T118-V118)+1</f>
        <v>46304</v>
      </c>
      <c r="AF118" s="63">
        <f>IF(AB118&gt;IF((V118-W118)&gt;0,V118-W118,0),0,IF(AB118&lt;IF((V118-W118)&gt;0,V118-W118,0),IF((V118-W118)&gt;0,V118-W118,0)-AB118,IF((V118-W118)&gt;0,V118-W118,0)))</f>
        <v>0</v>
      </c>
      <c r="AG118" s="187">
        <f>IF(AND(M118=""),IF(R118="20'",
VLOOKUP(AF118,Charge!$K$31:$M$34,2,TRUE)+(AF118-VLOOKUP(AF118,Charge!$K$31:$M$34,1,TRUE))*VLOOKUP(AF118,Charge!$K$31:$M$34,3,TRUE),
VLOOKUP(AF118,Charge!$N$31:$P$34,2,TRUE)+(AF118-VLOOKUP(AF118,Charge!$N$31:$P$34,1,TRUE))*VLOOKUP(AF118,Charge!$N$31:$P$34,3,TRUE)),
IF(AND(M118="DG"),IF(R118="20'",
VLOOKUP(AF118,Charge!$R$31:$T$34,2,TRUE)+(AF118-VLOOKUP(AF118,Charge!$R$31:$T$34,1,TRUE))*VLOOKUP(AF118,Charge!$R$31:$T$34,3,TRUE),
VLOOKUP(AF118,Charge!$U$31:$W$34,2,TRUE)+(AF118-VLOOKUP(AF118,Charge!$U$31:$W$34,1,TRUE))*VLOOKUP(AF118,Charge!$U$31:$W$34,3,TRUE)),0))</f>
        <v>0</v>
      </c>
      <c r="AH118" s="65" t="n"/>
      <c r="AI118" s="65">
        <f>AA118-AH118</f>
        <v>4215</v>
      </c>
      <c r="AJ118" s="188" t="n"/>
      <c r="AK118" s="62" t="str">
        <f>VLOOKUP(D118,'2.Bookinglist'!A:CT,40,FALSE)</f>
        <v>Nannaapust Sukporntaweewat</v>
      </c>
      <c r="AL118" s="60" t="str">
        <f>VLOOKUP(D118,'2.Bookinglist'!A:CW,101,FALSE)</f>
        <v>2026-10-05</v>
      </c>
      <c r="AM118" s="60" t="str">
        <f>VLOOKUP(D118,'2.Bookinglist'!A:BK,63,FALSE)</f>
        <v>BKK27</v>
      </c>
      <c r="AN118" s="62" t="str">
        <f>VLOOKUP(D118,'2.Bookinglist'!A:AZ,52,FALSE)</f>
        <v>** APPROVED BY H.W KANG DD.28/09/2026 ** *FLEXIBAG ONDECK*
Servey : 17/09/2026, Pickup : 18/09/2026, Return : 21/09/2026 *EXTEND CLS TIME : 22/09/2026 @06.00* </v>
      </c>
      <c r="AO118" s="62" t="str">
        <f>VLOOKUP(D118,'2.Bookinglist'!A:CY,103,FALSE)</f>
        <v>ROLL OVER FROM PREVIOUS VSL SWMM 2609N BY ALLOCATION TEAM MS.TARN APRPOVED COST IS UNDER HA DD.21/09</v>
      </c>
    </row>
    <row r="119" ht="12.95" customHeight="1">
      <c r="A119" s="96" t="inlineStr">
        <is>
          <t>SKLU1436217</t>
        </is>
      </c>
      <c r="B119" s="184" t="str">
        <f>IF(C119=Charge!$M$1,Charge!$J$1,IF(C119=Charge!$M$23,Charge!$J$23,IF(C119=Charge!$M$17,Charge!$J$17,IF(C119=Charge!$N$17,Charge!$J$17,Charge!$J$7))))</f>
        <v>G3</v>
      </c>
      <c r="C119" s="61" t="str">
        <f>VLOOKUP(A119,'1.Loading'!A:R,14,FALSE)</f>
        <v>BKK04</v>
      </c>
      <c r="D119" s="61" t="str">
        <f>VLOOKUP(A119,'1.Loading'!A:R,17,FALSE)</f>
        <v>HASLS22260901598</v>
      </c>
      <c r="E119" s="62" t="str">
        <f>VLOOKUP(D119,'2.Bookinglist'!A:CT,27,FALSE)</f>
        <v>C.P. INTERTRADE CO., LTD.</v>
      </c>
      <c r="F119" s="62" t="str">
        <f>VLOOKUP(D119,'2.Bookinglist'!A:CT,28,FALSE)</f>
        <v>CHAROEN POKPHAND PRODUCE CO., LTD.</v>
      </c>
      <c r="G119" s="60">
        <f>VLOOKUP(D119,'2.Bookinglist'!A:E,5,FALSE)</f>
        <v>0</v>
      </c>
      <c r="H119" s="61" t="str">
        <f>VLOOKUP(D119,'2.Bookinglist'!A:CT,15,FALSE)</f>
        <v>THBKK</v>
      </c>
      <c r="I119" s="61" t="str">
        <f>VLOOKUP(D119,'2.Bookinglist'!A:CT,19,FALSE)</f>
        <v>VNSGN</v>
      </c>
      <c r="J119" s="61">
        <f>VLOOKUP(D119,'2.Bookinglist'!A:CT,26,FALSE)</f>
        <v>0</v>
      </c>
      <c r="K119" s="61" t="str">
        <f>VLOOKUP(A119,'1.Loading'!A:R,5,FALSE)</f>
        <v>22GP</v>
      </c>
      <c r="L119" s="60" t="str">
        <f>VLOOKUP(D119,'2.Bookinglist'!A:CT,85,FALSE)</f>
        <v>CY/CY</v>
      </c>
      <c r="M119" s="60" t="str">
        <f>IF(VLOOKUP(D119,'2.Bookinglist'!A:CT,43,FALSE)=0,"","DG")</f>
        <v/>
      </c>
      <c r="N119" s="60" t="str">
        <f>IF(RIGHT(K119,2)="RE","RF","")</f>
        <v/>
      </c>
      <c r="O119" s="61" t="str">
        <f>VLOOKUP(A119,'1.Loading'!A:R,3,FALSE)</f>
        <v>SWSP</v>
      </c>
      <c r="P119" s="61" t="str">
        <f>VLOOKUP(A119,'1.Loading'!A:R,4,FALSE)</f>
        <v>2609N</v>
      </c>
      <c r="Q119" s="61" t="str">
        <f>VLOOKUP(D119,'2.Bookinglist'!A:CT,12,FALSE)</f>
        <v>BTS</v>
      </c>
      <c r="R119" s="60" t="str">
        <f>IF(LEFT(K119,2)="22","20'","40'")</f>
        <v>20'</v>
      </c>
      <c r="S119" s="185" t="n"/>
      <c r="T119" s="61" t="str">
        <f>VLOOKUP(A119,'1.Loading'!A:R,2,FALSE)</f>
        <v>2026-10-08</v>
      </c>
      <c r="U119" s="63">
        <f>T119-S119</f>
        <v>46303</v>
      </c>
      <c r="V119" s="186" t="n"/>
      <c r="W119" s="61" t="str">
        <f>VLOOKUP(A119,'3.GateMove'!A:D,4,FALSE)</f>
        <v>2026-10-02</v>
      </c>
      <c r="X119" s="63">
        <f>((T119-W119)+1)</f>
        <v>7</v>
      </c>
      <c r="Y119" s="64">
        <f>IF(AND(OR(C119="BKK01",C119="BKK04"),L119="CFS/CY"),0,IF(M119="DG",1,IF(LEFT(C119,3)="LCH",7,IF(C119="BKK02",5,3))))</f>
        <v>3</v>
      </c>
      <c r="Z119" s="63">
        <f>IF(IF(AND(AC119="TML",AB119&gt;0),((T119-W119)+1)-AB119,((T119-W119)+1)-Y119)&gt;0,IF(AND(AC119="TML",AB119&gt;0),((T119-W119)+1)-AB119,((T119-W119)+1)-Y119),0)</f>
        <v>4</v>
      </c>
      <c r="AA119" s="187">
        <f>IF(AND(B119="G1",M119=""),IF(R119="20'",
VLOOKUP(Z119,Charge!$K$2:$M$5,2,TRUE)+(Z119-VLOOKUP(Z119,Charge!$K$2:$M$5,1,TRUE))*VLOOKUP(Z119,Charge!$K$2:$M$5,3,TRUE),
VLOOKUP(Z119,Charge!$N$2:$P$5,2,TRUE)+(Z119-VLOOKUP(Z119,Charge!$N$2:$P$5,1,TRUE))*VLOOKUP(Z119,Charge!$N$2:$P$5,3,TRUE)),
IF(AND(B119="G1",M119="DG"),IF(R119="20'",
VLOOKUP(Z119,Charge!$R$2:$T$5,2,TRUE)+(Z119-VLOOKUP(Z119,Charge!$R$2:$T$5,1,TRUE))*VLOOKUP(Z119,Charge!$R$2:$T$5,3,TRUE),
VLOOKUP(Z119,Charge!$U$2:$W$5,2,TRUE)+(Z119-VLOOKUP(Z119,Charge!$U$2:$W$5,1,TRUE))*VLOOKUP(Z119,Charge!$U$2:$W$5,3,TRUE)),
IF(AND(B119="G3",M119=""),IF(R119="20'",
VLOOKUP(Z119,Charge!$K$18:$M$21,2,TRUE)+(Z119-VLOOKUP(Z119,Charge!$K$18:$M$21,1,TRUE))*VLOOKUP(Z119,Charge!$K$18:$M$21,3,TRUE),
VLOOKUP(Z119,Charge!$N$18:$P$21,2,TRUE)+(Z119-VLOOKUP(Z119,Charge!$N$18:$P$21,1,TRUE))*VLOOKUP(Z119,Charge!$N$18:$P$21,3,TRUE)),
IF(AND(B119="G3",M119="DG"),IF(R119="20'",
VLOOKUP(Z119,Charge!$R$18:$T$21,2,TRUE)+(Z119-VLOOKUP(Z119,Charge!$R$18:$T$21,1,TRUE))*VLOOKUP(Z119,Charge!$R$18:$T$21,3,TRUE),
VLOOKUP(Z119,Charge!$U$18:$W$21,2,TRUE)+(Z119-VLOOKUP(Z119,Charge!$U$18:$W$21,1,TRUE))*VLOOKUP(Z119,Charge!$U$18:$W$21,3,TRUE)),
IF(AND(B119="G2",M119=""),IF(R119="20'",
VLOOKUP(Z119,Charge!$K$9:$M$12,2,TRUE)+(Z119-VLOOKUP(Z119,Charge!$K$9:$M$12,1,TRUE))*VLOOKUP(Z119,Charge!$K$9:$M$12,3,TRUE),
VLOOKUP(Z119,Charge!$N$9:$P$12,2,TRUE)+(Z119-VLOOKUP(Z119,Charge!$N$9:$P$12,1,TRUE))*VLOOKUP(Z119,Charge!$N$9:$P$12,3,TRUE)),
IF(AND(B119="G2",M119="DG"),IF(R119="20'",
VLOOKUP(Z119,Charge!$R$9:$T$12,2,TRUE)+(Z119-VLOOKUP(Z119,Charge!$R$9:$T$12,1,TRUE))*VLOOKUP(Z119,Charge!$R$9:$T$12,3,TRUE),
VLOOKUP(Z119,Charge!$U$9:$W$12,2,TRUE)+(Z119-VLOOKUP(Z119,Charge!$U$9:$W$12,1,TRUE))*VLOOKUP(Z119,Charge!$U$9:$W$12,3,TRUE)),IF(AND(B119="G4",M119=""),IF(R119="20'",Z119*Charge!$M$25,Z119*Charge!$P$25),IF(AND(B119="G4",M119="DG"),IF(R119="20'",Z119*Charge!$T$25,Z119*Charge!$W$25),0))))))))</f>
        <v>640</v>
      </c>
      <c r="AB119" s="184" t="n"/>
      <c r="AC119" s="184" t="n"/>
      <c r="AD119" s="60">
        <f>IF(M119="DG",3,IF(N119="RF",3,5))+IF(AND(LEFT(C119,3)="BKK",N119="RF",Q119="KTS"),1,0)+IF(Q119="KHS",1,0)</f>
        <v>5</v>
      </c>
      <c r="AE119" s="63">
        <f>(T119-V119)+1</f>
        <v>46304</v>
      </c>
      <c r="AF119" s="63">
        <f>IF(AB119&gt;IF((V119-W119)&gt;0,V119-W119,0),0,IF(AB119&lt;IF((V119-W119)&gt;0,V119-W119,0),IF((V119-W119)&gt;0,V119-W119,0)-AB119,IF((V119-W119)&gt;0,V119-W119,0)))</f>
        <v>0</v>
      </c>
      <c r="AG119" s="187">
        <f>IF(AND(M119=""),IF(R119="20'",
VLOOKUP(AF119,Charge!$K$31:$M$34,2,TRUE)+(AF119-VLOOKUP(AF119,Charge!$K$31:$M$34,1,TRUE))*VLOOKUP(AF119,Charge!$K$31:$M$34,3,TRUE),
VLOOKUP(AF119,Charge!$N$31:$P$34,2,TRUE)+(AF119-VLOOKUP(AF119,Charge!$N$31:$P$34,1,TRUE))*VLOOKUP(AF119,Charge!$N$31:$P$34,3,TRUE)),
IF(AND(M119="DG"),IF(R119="20'",
VLOOKUP(AF119,Charge!$R$31:$T$34,2,TRUE)+(AF119-VLOOKUP(AF119,Charge!$R$31:$T$34,1,TRUE))*VLOOKUP(AF119,Charge!$R$31:$T$34,3,TRUE),
VLOOKUP(AF119,Charge!$U$31:$W$34,2,TRUE)+(AF119-VLOOKUP(AF119,Charge!$U$31:$W$34,1,TRUE))*VLOOKUP(AF119,Charge!$U$31:$W$34,3,TRUE)),0))</f>
        <v>0</v>
      </c>
      <c r="AH119" s="65" t="n"/>
      <c r="AI119" s="65">
        <f>AA119-AH119</f>
        <v>640</v>
      </c>
      <c r="AJ119" s="188" t="n"/>
      <c r="AK119" s="62" t="str">
        <f>VLOOKUP(D119,'2.Bookinglist'!A:CT,40,FALSE)</f>
        <v>Vilaiporn</v>
      </c>
      <c r="AL119" s="60" t="str">
        <f>VLOOKUP(D119,'2.Bookinglist'!A:CW,101,FALSE)</f>
        <v>2026-10-07</v>
      </c>
      <c r="AM119" s="60" t="str">
        <f>VLOOKUP(D119,'2.Bookinglist'!A:BK,63,FALSE)</f>
        <v>BKK27</v>
      </c>
      <c r="AN119" s="62" t="str">
        <f>VLOOKUP(D119,'2.Bookinglist'!A:AZ,52,FALSE)</f>
        <v>Pickup : 2026-10-01, Return : 2026-10-02</v>
      </c>
      <c r="AO119" s="62">
        <f>VLOOKUP(D119,'2.Bookinglist'!A:CY,103,FALSE)</f>
        <v>0</v>
      </c>
    </row>
    <row r="120" ht="12.95" customHeight="1">
      <c r="A120" s="96" t="inlineStr">
        <is>
          <t>SKLU1441661</t>
        </is>
      </c>
      <c r="B120" s="184" t="str">
        <f>IF(C120=Charge!$M$1,Charge!$J$1,IF(C120=Charge!$M$23,Charge!$J$23,IF(C120=Charge!$M$17,Charge!$J$17,IF(C120=Charge!$N$17,Charge!$J$17,Charge!$J$7))))</f>
        <v>G3</v>
      </c>
      <c r="C120" s="61" t="str">
        <f>VLOOKUP(A120,'1.Loading'!A:R,14,FALSE)</f>
        <v>BKK04</v>
      </c>
      <c r="D120" s="61" t="str">
        <f>VLOOKUP(A120,'1.Loading'!A:R,17,FALSE)</f>
        <v>HASLS22260900196</v>
      </c>
      <c r="E120" s="62" t="str">
        <f>VLOOKUP(D120,'2.Bookinglist'!A:CT,27,FALSE)</f>
        <v>SANGUAN WONGSE STARCH CO., LTD.</v>
      </c>
      <c r="F120" s="62" t="str">
        <f>VLOOKUP(D120,'2.Bookinglist'!A:CT,28,FALSE)</f>
        <v>SANGUAN WONGSE STARCH CO., LTD.</v>
      </c>
      <c r="G120" s="60">
        <f>VLOOKUP(D120,'2.Bookinglist'!A:E,5,FALSE)</f>
        <v>0</v>
      </c>
      <c r="H120" s="61" t="str">
        <f>VLOOKUP(D120,'2.Bookinglist'!A:CT,15,FALSE)</f>
        <v>THBKK</v>
      </c>
      <c r="I120" s="61" t="str">
        <f>VLOOKUP(D120,'2.Bookinglist'!A:CT,19,FALSE)</f>
        <v>JPSEN</v>
      </c>
      <c r="J120" s="61" t="str">
        <f>VLOOKUP(D120,'2.Bookinglist'!A:CT,26,FALSE)</f>
        <v>KRPUS</v>
      </c>
      <c r="K120" s="61" t="str">
        <f>VLOOKUP(A120,'1.Loading'!A:R,5,FALSE)</f>
        <v>22GP</v>
      </c>
      <c r="L120" s="60" t="str">
        <f>VLOOKUP(D120,'2.Bookinglist'!A:CT,85,FALSE)</f>
        <v>CY/CY</v>
      </c>
      <c r="M120" s="60" t="str">
        <f>IF(VLOOKUP(D120,'2.Bookinglist'!A:CT,43,FALSE)=0,"","DG")</f>
        <v/>
      </c>
      <c r="N120" s="60" t="str">
        <f>IF(RIGHT(K120,2)="RE","RF","")</f>
        <v/>
      </c>
      <c r="O120" s="61" t="str">
        <f>VLOOKUP(A120,'1.Loading'!A:R,3,FALSE)</f>
        <v>SWSP</v>
      </c>
      <c r="P120" s="61" t="str">
        <f>VLOOKUP(A120,'1.Loading'!A:R,4,FALSE)</f>
        <v>2609N</v>
      </c>
      <c r="Q120" s="61" t="str">
        <f>VLOOKUP(D120,'2.Bookinglist'!A:CT,12,FALSE)</f>
        <v>BTS</v>
      </c>
      <c r="R120" s="60" t="str">
        <f>IF(LEFT(K120,2)="22","20'","40'")</f>
        <v>20'</v>
      </c>
      <c r="S120" s="185" t="n"/>
      <c r="T120" s="61" t="str">
        <f>VLOOKUP(A120,'1.Loading'!A:R,2,FALSE)</f>
        <v>2026-10-08</v>
      </c>
      <c r="U120" s="63">
        <f>T120-S120</f>
        <v>46303</v>
      </c>
      <c r="V120" s="186" t="n"/>
      <c r="W120" s="61" t="str">
        <f>VLOOKUP(A120,'3.GateMove'!A:D,4,FALSE)</f>
        <v>2026-09-19</v>
      </c>
      <c r="X120" s="63">
        <f>((T120-W120)+1)</f>
        <v>20</v>
      </c>
      <c r="Y120" s="64">
        <f>IF(AND(OR(C120="BKK01",C120="BKK04"),L120="CFS/CY"),0,IF(M120="DG",1,IF(LEFT(C120,3)="LCH",7,IF(C120="BKK02",5,3))))</f>
        <v>3</v>
      </c>
      <c r="Z120" s="63">
        <f>IF(IF(AND(AC120="TML",AB120&gt;0),((T120-W120)+1)-AB120,((T120-W120)+1)-Y120)&gt;0,IF(AND(AC120="TML",AB120&gt;0),((T120-W120)+1)-AB120,((T120-W120)+1)-Y120),0)</f>
        <v>17</v>
      </c>
      <c r="AA120" s="187">
        <f>IF(AND(B120="G1",M120=""),IF(R120="20'",
VLOOKUP(Z120,Charge!$K$2:$M$5,2,TRUE)+(Z120-VLOOKUP(Z120,Charge!$K$2:$M$5,1,TRUE))*VLOOKUP(Z120,Charge!$K$2:$M$5,3,TRUE),
VLOOKUP(Z120,Charge!$N$2:$P$5,2,TRUE)+(Z120-VLOOKUP(Z120,Charge!$N$2:$P$5,1,TRUE))*VLOOKUP(Z120,Charge!$N$2:$P$5,3,TRUE)),
IF(AND(B120="G1",M120="DG"),IF(R120="20'",
VLOOKUP(Z120,Charge!$R$2:$T$5,2,TRUE)+(Z120-VLOOKUP(Z120,Charge!$R$2:$T$5,1,TRUE))*VLOOKUP(Z120,Charge!$R$2:$T$5,3,TRUE),
VLOOKUP(Z120,Charge!$U$2:$W$5,2,TRUE)+(Z120-VLOOKUP(Z120,Charge!$U$2:$W$5,1,TRUE))*VLOOKUP(Z120,Charge!$U$2:$W$5,3,TRUE)),
IF(AND(B120="G3",M120=""),IF(R120="20'",
VLOOKUP(Z120,Charge!$K$18:$M$21,2,TRUE)+(Z120-VLOOKUP(Z120,Charge!$K$18:$M$21,1,TRUE))*VLOOKUP(Z120,Charge!$K$18:$M$21,3,TRUE),
VLOOKUP(Z120,Charge!$N$18:$P$21,2,TRUE)+(Z120-VLOOKUP(Z120,Charge!$N$18:$P$21,1,TRUE))*VLOOKUP(Z120,Charge!$N$18:$P$21,3,TRUE)),
IF(AND(B120="G3",M120="DG"),IF(R120="20'",
VLOOKUP(Z120,Charge!$R$18:$T$21,2,TRUE)+(Z120-VLOOKUP(Z120,Charge!$R$18:$T$21,1,TRUE))*VLOOKUP(Z120,Charge!$R$18:$T$21,3,TRUE),
VLOOKUP(Z120,Charge!$U$18:$W$21,2,TRUE)+(Z120-VLOOKUP(Z120,Charge!$U$18:$W$21,1,TRUE))*VLOOKUP(Z120,Charge!$U$18:$W$21,3,TRUE)),
IF(AND(B120="G2",M120=""),IF(R120="20'",
VLOOKUP(Z120,Charge!$K$9:$M$12,2,TRUE)+(Z120-VLOOKUP(Z120,Charge!$K$9:$M$12,1,TRUE))*VLOOKUP(Z120,Charge!$K$9:$M$12,3,TRUE),
VLOOKUP(Z120,Charge!$N$9:$P$12,2,TRUE)+(Z120-VLOOKUP(Z120,Charge!$N$9:$P$12,1,TRUE))*VLOOKUP(Z120,Charge!$N$9:$P$12,3,TRUE)),
IF(AND(B120="G2",M120="DG"),IF(R120="20'",
VLOOKUP(Z120,Charge!$R$9:$T$12,2,TRUE)+(Z120-VLOOKUP(Z120,Charge!$R$9:$T$12,1,TRUE))*VLOOKUP(Z120,Charge!$R$9:$T$12,3,TRUE),
VLOOKUP(Z120,Charge!$U$9:$W$12,2,TRUE)+(Z120-VLOOKUP(Z120,Charge!$U$9:$W$12,1,TRUE))*VLOOKUP(Z120,Charge!$U$9:$W$12,3,TRUE)),IF(AND(B120="G4",M120=""),IF(R120="20'",Z120*Charge!$M$25,Z120*Charge!$P$25),IF(AND(B120="G4",M120="DG"),IF(R120="20'",Z120*Charge!$T$25,Z120*Charge!$W$25),0))))))))</f>
        <v>4215</v>
      </c>
      <c r="AB120" s="184" t="n"/>
      <c r="AC120" s="184" t="n"/>
      <c r="AD120" s="60">
        <f>IF(M120="DG",3,IF(N120="RF",3,5))+IF(AND(LEFT(C120,3)="BKK",N120="RF",Q120="KTS"),1,0)+IF(Q120="KHS",1,0)</f>
        <v>5</v>
      </c>
      <c r="AE120" s="63">
        <f>(T120-V120)+1</f>
        <v>46304</v>
      </c>
      <c r="AF120" s="63">
        <f>IF(AB120&gt;IF((V120-W120)&gt;0,V120-W120,0),0,IF(AB120&lt;IF((V120-W120)&gt;0,V120-W120,0),IF((V120-W120)&gt;0,V120-W120,0)-AB120,IF((V120-W120)&gt;0,V120-W120,0)))</f>
        <v>0</v>
      </c>
      <c r="AG120" s="187">
        <f>IF(AND(M120=""),IF(R120="20'",
VLOOKUP(AF120,Charge!$K$31:$M$34,2,TRUE)+(AF120-VLOOKUP(AF120,Charge!$K$31:$M$34,1,TRUE))*VLOOKUP(AF120,Charge!$K$31:$M$34,3,TRUE),
VLOOKUP(AF120,Charge!$N$31:$P$34,2,TRUE)+(AF120-VLOOKUP(AF120,Charge!$N$31:$P$34,1,TRUE))*VLOOKUP(AF120,Charge!$N$31:$P$34,3,TRUE)),
IF(AND(M120="DG"),IF(R120="20'",
VLOOKUP(AF120,Charge!$R$31:$T$34,2,TRUE)+(AF120-VLOOKUP(AF120,Charge!$R$31:$T$34,1,TRUE))*VLOOKUP(AF120,Charge!$R$31:$T$34,3,TRUE),
VLOOKUP(AF120,Charge!$U$31:$W$34,2,TRUE)+(AF120-VLOOKUP(AF120,Charge!$U$31:$W$34,1,TRUE))*VLOOKUP(AF120,Charge!$U$31:$W$34,3,TRUE)),0))</f>
        <v>0</v>
      </c>
      <c r="AH120" s="65" t="n"/>
      <c r="AI120" s="65">
        <f>AA120-AH120</f>
        <v>4215</v>
      </c>
      <c r="AJ120" s="188" t="n"/>
      <c r="AK120" s="62" t="str">
        <f>VLOOKUP(D120,'2.Bookinglist'!A:CT,40,FALSE)</f>
        <v>Uetake Takahiro</v>
      </c>
      <c r="AL120" s="60" t="str">
        <f>VLOOKUP(D120,'2.Bookinglist'!A:CW,101,FALSE)</f>
        <v>2026-10-05</v>
      </c>
      <c r="AM120" s="60" t="str">
        <f>VLOOKUP(D120,'2.Bookinglist'!A:BK,63,FALSE)</f>
        <v>BKK25</v>
      </c>
      <c r="AN120" s="62" t="str">
        <f>VLOOKUP(D120,'2.Bookinglist'!A:AZ,52,FALSE)</f>
        <v>Pickup : 2026-09-17, Return : 2026-09-19</v>
      </c>
      <c r="AO120" s="62" t="str">
        <f>VLOOKUP(D120,'2.Bookinglist'!A:CY,103,FALSE)</f>
        <v>ROLL OVER FROM PREVIOUS VSL SWMM 2609N BY ALLOCATION TEAM MS.TARN APPROVED COST IS UNDER HA DD.21/09</v>
      </c>
    </row>
    <row r="121" ht="12.95" customHeight="1">
      <c r="A121" s="96" t="inlineStr">
        <is>
          <t>SKLU1509777</t>
        </is>
      </c>
      <c r="B121" s="184" t="str">
        <f>IF(C121=Charge!$M$1,Charge!$J$1,IF(C121=Charge!$M$23,Charge!$J$23,IF(C121=Charge!$M$17,Charge!$J$17,IF(C121=Charge!$N$17,Charge!$J$17,Charge!$J$7))))</f>
        <v>G3</v>
      </c>
      <c r="C121" s="61" t="str">
        <f>VLOOKUP(A121,'1.Loading'!A:R,14,FALSE)</f>
        <v>BKK04</v>
      </c>
      <c r="D121" s="61" t="str">
        <f>VLOOKUP(A121,'1.Loading'!A:R,17,FALSE)</f>
        <v>HASLS22260900630</v>
      </c>
      <c r="E121" s="62" t="str">
        <f>VLOOKUP(D121,'2.Bookinglist'!A:CT,27,FALSE)</f>
        <v>ICONS GLOBAL LOGISTICS CO., LTD.</v>
      </c>
      <c r="F121" s="62" t="str">
        <f>VLOOKUP(D121,'2.Bookinglist'!A:CT,28,FALSE)</f>
        <v>THANAKORN VEGETABLE OIL PRODUCTS CO., LTD.</v>
      </c>
      <c r="G121" s="60">
        <f>VLOOKUP(D121,'2.Bookinglist'!A:E,5,FALSE)</f>
        <v>0</v>
      </c>
      <c r="H121" s="61" t="str">
        <f>VLOOKUP(D121,'2.Bookinglist'!A:CT,15,FALSE)</f>
        <v>THBKK</v>
      </c>
      <c r="I121" s="61" t="str">
        <f>VLOOKUP(D121,'2.Bookinglist'!A:CT,19,FALSE)</f>
        <v>VNSGN</v>
      </c>
      <c r="J121" s="61">
        <f>VLOOKUP(D121,'2.Bookinglist'!A:CT,26,FALSE)</f>
        <v>0</v>
      </c>
      <c r="K121" s="61" t="str">
        <f>VLOOKUP(A121,'1.Loading'!A:R,5,FALSE)</f>
        <v>22GP</v>
      </c>
      <c r="L121" s="60" t="str">
        <f>VLOOKUP(D121,'2.Bookinglist'!A:CT,85,FALSE)</f>
        <v>CY/CY</v>
      </c>
      <c r="M121" s="60" t="str">
        <f>IF(VLOOKUP(D121,'2.Bookinglist'!A:CT,43,FALSE)=0,"","DG")</f>
        <v/>
      </c>
      <c r="N121" s="60" t="str">
        <f>IF(RIGHT(K121,2)="RE","RF","")</f>
        <v/>
      </c>
      <c r="O121" s="61" t="str">
        <f>VLOOKUP(A121,'1.Loading'!A:R,3,FALSE)</f>
        <v>SWSP</v>
      </c>
      <c r="P121" s="61" t="str">
        <f>VLOOKUP(A121,'1.Loading'!A:R,4,FALSE)</f>
        <v>2609N</v>
      </c>
      <c r="Q121" s="61" t="str">
        <f>VLOOKUP(D121,'2.Bookinglist'!A:CT,12,FALSE)</f>
        <v>BTS</v>
      </c>
      <c r="R121" s="60" t="str">
        <f>IF(LEFT(K121,2)="22","20'","40'")</f>
        <v>20'</v>
      </c>
      <c r="S121" s="185" t="n"/>
      <c r="T121" s="61" t="str">
        <f>VLOOKUP(A121,'1.Loading'!A:R,2,FALSE)</f>
        <v>2026-10-08</v>
      </c>
      <c r="U121" s="63">
        <f>T121-S121</f>
        <v>46303</v>
      </c>
      <c r="V121" s="186" t="n"/>
      <c r="W121" s="61" t="str">
        <f>VLOOKUP(A121,'3.GateMove'!A:D,4,FALSE)</f>
        <v>2026-10-02</v>
      </c>
      <c r="X121" s="63">
        <f>((T121-W121)+1)</f>
        <v>7</v>
      </c>
      <c r="Y121" s="64">
        <f>IF(AND(OR(C121="BKK01",C121="BKK04"),L121="CFS/CY"),0,IF(M121="DG",1,IF(LEFT(C121,3)="LCH",7,IF(C121="BKK02",5,3))))</f>
        <v>3</v>
      </c>
      <c r="Z121" s="63">
        <f>IF(IF(AND(AC121="TML",AB121&gt;0),((T121-W121)+1)-AB121,((T121-W121)+1)-Y121)&gt;0,IF(AND(AC121="TML",AB121&gt;0),((T121-W121)+1)-AB121,((T121-W121)+1)-Y121),0)</f>
        <v>4</v>
      </c>
      <c r="AA121" s="187">
        <f>IF(AND(B121="G1",M121=""),IF(R121="20'",
VLOOKUP(Z121,Charge!$K$2:$M$5,2,TRUE)+(Z121-VLOOKUP(Z121,Charge!$K$2:$M$5,1,TRUE))*VLOOKUP(Z121,Charge!$K$2:$M$5,3,TRUE),
VLOOKUP(Z121,Charge!$N$2:$P$5,2,TRUE)+(Z121-VLOOKUP(Z121,Charge!$N$2:$P$5,1,TRUE))*VLOOKUP(Z121,Charge!$N$2:$P$5,3,TRUE)),
IF(AND(B121="G1",M121="DG"),IF(R121="20'",
VLOOKUP(Z121,Charge!$R$2:$T$5,2,TRUE)+(Z121-VLOOKUP(Z121,Charge!$R$2:$T$5,1,TRUE))*VLOOKUP(Z121,Charge!$R$2:$T$5,3,TRUE),
VLOOKUP(Z121,Charge!$U$2:$W$5,2,TRUE)+(Z121-VLOOKUP(Z121,Charge!$U$2:$W$5,1,TRUE))*VLOOKUP(Z121,Charge!$U$2:$W$5,3,TRUE)),
IF(AND(B121="G3",M121=""),IF(R121="20'",
VLOOKUP(Z121,Charge!$K$18:$M$21,2,TRUE)+(Z121-VLOOKUP(Z121,Charge!$K$18:$M$21,1,TRUE))*VLOOKUP(Z121,Charge!$K$18:$M$21,3,TRUE),
VLOOKUP(Z121,Charge!$N$18:$P$21,2,TRUE)+(Z121-VLOOKUP(Z121,Charge!$N$18:$P$21,1,TRUE))*VLOOKUP(Z121,Charge!$N$18:$P$21,3,TRUE)),
IF(AND(B121="G3",M121="DG"),IF(R121="20'",
VLOOKUP(Z121,Charge!$R$18:$T$21,2,TRUE)+(Z121-VLOOKUP(Z121,Charge!$R$18:$T$21,1,TRUE))*VLOOKUP(Z121,Charge!$R$18:$T$21,3,TRUE),
VLOOKUP(Z121,Charge!$U$18:$W$21,2,TRUE)+(Z121-VLOOKUP(Z121,Charge!$U$18:$W$21,1,TRUE))*VLOOKUP(Z121,Charge!$U$18:$W$21,3,TRUE)),
IF(AND(B121="G2",M121=""),IF(R121="20'",
VLOOKUP(Z121,Charge!$K$9:$M$12,2,TRUE)+(Z121-VLOOKUP(Z121,Charge!$K$9:$M$12,1,TRUE))*VLOOKUP(Z121,Charge!$K$9:$M$12,3,TRUE),
VLOOKUP(Z121,Charge!$N$9:$P$12,2,TRUE)+(Z121-VLOOKUP(Z121,Charge!$N$9:$P$12,1,TRUE))*VLOOKUP(Z121,Charge!$N$9:$P$12,3,TRUE)),
IF(AND(B121="G2",M121="DG"),IF(R121="20'",
VLOOKUP(Z121,Charge!$R$9:$T$12,2,TRUE)+(Z121-VLOOKUP(Z121,Charge!$R$9:$T$12,1,TRUE))*VLOOKUP(Z121,Charge!$R$9:$T$12,3,TRUE),
VLOOKUP(Z121,Charge!$U$9:$W$12,2,TRUE)+(Z121-VLOOKUP(Z121,Charge!$U$9:$W$12,1,TRUE))*VLOOKUP(Z121,Charge!$U$9:$W$12,3,TRUE)),IF(AND(B121="G4",M121=""),IF(R121="20'",Z121*Charge!$M$25,Z121*Charge!$P$25),IF(AND(B121="G4",M121="DG"),IF(R121="20'",Z121*Charge!$T$25,Z121*Charge!$W$25),0))))))))</f>
        <v>640</v>
      </c>
      <c r="AB121" s="184" t="n"/>
      <c r="AC121" s="184" t="n"/>
      <c r="AD121" s="60">
        <f>IF(M121="DG",3,IF(N121="RF",3,5))+IF(AND(LEFT(C121,3)="BKK",N121="RF",Q121="KTS"),1,0)+IF(Q121="KHS",1,0)</f>
        <v>5</v>
      </c>
      <c r="AE121" s="63">
        <f>(T121-V121)+1</f>
        <v>46304</v>
      </c>
      <c r="AF121" s="63">
        <f>IF(AB121&gt;IF((V121-W121)&gt;0,V121-W121,0),0,IF(AB121&lt;IF((V121-W121)&gt;0,V121-W121,0),IF((V121-W121)&gt;0,V121-W121,0)-AB121,IF((V121-W121)&gt;0,V121-W121,0)))</f>
        <v>0</v>
      </c>
      <c r="AG121" s="187">
        <f>IF(AND(M121=""),IF(R121="20'",
VLOOKUP(AF121,Charge!$K$31:$M$34,2,TRUE)+(AF121-VLOOKUP(AF121,Charge!$K$31:$M$34,1,TRUE))*VLOOKUP(AF121,Charge!$K$31:$M$34,3,TRUE),
VLOOKUP(AF121,Charge!$N$31:$P$34,2,TRUE)+(AF121-VLOOKUP(AF121,Charge!$N$31:$P$34,1,TRUE))*VLOOKUP(AF121,Charge!$N$31:$P$34,3,TRUE)),
IF(AND(M121="DG"),IF(R121="20'",
VLOOKUP(AF121,Charge!$R$31:$T$34,2,TRUE)+(AF121-VLOOKUP(AF121,Charge!$R$31:$T$34,1,TRUE))*VLOOKUP(AF121,Charge!$R$31:$T$34,3,TRUE),
VLOOKUP(AF121,Charge!$U$31:$W$34,2,TRUE)+(AF121-VLOOKUP(AF121,Charge!$U$31:$W$34,1,TRUE))*VLOOKUP(AF121,Charge!$U$31:$W$34,3,TRUE)),0))</f>
        <v>0</v>
      </c>
      <c r="AH121" s="65" t="n"/>
      <c r="AI121" s="65">
        <f>AA121-AH121</f>
        <v>640</v>
      </c>
      <c r="AJ121" s="188" t="n"/>
      <c r="AK121" s="62" t="str">
        <f>VLOOKUP(D121,'2.Bookinglist'!A:CT,40,FALSE)</f>
        <v>Dharaporn</v>
      </c>
      <c r="AL121" s="60" t="str">
        <f>VLOOKUP(D121,'2.Bookinglist'!A:CW,101,FALSE)</f>
        <v>2026-10-05</v>
      </c>
      <c r="AM121" s="60" t="str">
        <f>VLOOKUP(D121,'2.Bookinglist'!A:BK,63,FALSE)</f>
        <v>BKK27</v>
      </c>
      <c r="AN121" s="62" t="str">
        <f>VLOOKUP(D121,'2.Bookinglist'!A:AZ,52,FALSE)</f>
        <v>**APPROVED BY H.W KANG DD.23/09/2026** *FLEXIBAG ONDECK*
Survey : 2026-09-30, Pickup : 2026-10-01, Return : 2026-10-02 </v>
      </c>
      <c r="AO121" s="62">
        <f>VLOOKUP(D121,'2.Bookinglist'!A:CY,103,FALSE)</f>
        <v>0</v>
      </c>
    </row>
    <row r="122" ht="12.95" customHeight="1">
      <c r="A122" s="96" t="inlineStr">
        <is>
          <t>SKLU1526012</t>
        </is>
      </c>
      <c r="B122" s="184" t="str">
        <f>IF(C122=Charge!$M$1,Charge!$J$1,IF(C122=Charge!$M$23,Charge!$J$23,IF(C122=Charge!$M$17,Charge!$J$17,IF(C122=Charge!$N$17,Charge!$J$17,Charge!$J$7))))</f>
        <v>G3</v>
      </c>
      <c r="C122" s="61" t="str">
        <f>VLOOKUP(A122,'1.Loading'!A:R,14,FALSE)</f>
        <v>BKK04</v>
      </c>
      <c r="D122" s="61" t="str">
        <f>VLOOKUP(A122,'1.Loading'!A:R,17,FALSE)</f>
        <v>HASLS22260900796</v>
      </c>
      <c r="E122" s="62" t="str">
        <f>VLOOKUP(D122,'2.Bookinglist'!A:CT,27,FALSE)</f>
        <v>BIRLA CARBON (THAILAND) PUBLIC COMPANY LIMITED</v>
      </c>
      <c r="F122" s="62" t="str">
        <f>VLOOKUP(D122,'2.Bookinglist'!A:CT,28,FALSE)</f>
        <v>BIRLA CARBON (THAILAND) PUBLIC COMPANY LIMITED</v>
      </c>
      <c r="G122" s="60">
        <f>VLOOKUP(D122,'2.Bookinglist'!A:E,5,FALSE)</f>
        <v>0</v>
      </c>
      <c r="H122" s="61" t="str">
        <f>VLOOKUP(D122,'2.Bookinglist'!A:CT,15,FALSE)</f>
        <v>THBKK</v>
      </c>
      <c r="I122" s="61" t="str">
        <f>VLOOKUP(D122,'2.Bookinglist'!A:CT,19,FALSE)</f>
        <v>JPSDJ</v>
      </c>
      <c r="J122" s="61" t="str">
        <f>VLOOKUP(D122,'2.Bookinglist'!A:CT,26,FALSE)</f>
        <v>KRPUS</v>
      </c>
      <c r="K122" s="61" t="str">
        <f>VLOOKUP(A122,'1.Loading'!A:R,5,FALSE)</f>
        <v>22GP</v>
      </c>
      <c r="L122" s="60" t="str">
        <f>VLOOKUP(D122,'2.Bookinglist'!A:CT,85,FALSE)</f>
        <v>CY/CY</v>
      </c>
      <c r="M122" s="60" t="str">
        <f>IF(VLOOKUP(D122,'2.Bookinglist'!A:CT,43,FALSE)=0,"","DG")</f>
        <v/>
      </c>
      <c r="N122" s="60" t="str">
        <f>IF(RIGHT(K122,2)="RE","RF","")</f>
        <v/>
      </c>
      <c r="O122" s="61" t="str">
        <f>VLOOKUP(A122,'1.Loading'!A:R,3,FALSE)</f>
        <v>SWSP</v>
      </c>
      <c r="P122" s="61" t="str">
        <f>VLOOKUP(A122,'1.Loading'!A:R,4,FALSE)</f>
        <v>2609N</v>
      </c>
      <c r="Q122" s="61" t="str">
        <f>VLOOKUP(D122,'2.Bookinglist'!A:CT,12,FALSE)</f>
        <v>BTS</v>
      </c>
      <c r="R122" s="60" t="str">
        <f>IF(LEFT(K122,2)="22","20'","40'")</f>
        <v>20'</v>
      </c>
      <c r="S122" s="185" t="n"/>
      <c r="T122" s="61" t="str">
        <f>VLOOKUP(A122,'1.Loading'!A:R,2,FALSE)</f>
        <v>2026-10-08</v>
      </c>
      <c r="U122" s="63">
        <f>T122-S122</f>
        <v>46303</v>
      </c>
      <c r="V122" s="186" t="n"/>
      <c r="W122" s="61" t="str">
        <f>VLOOKUP(A122,'3.GateMove'!A:D,4,FALSE)</f>
        <v>2026-10-02</v>
      </c>
      <c r="X122" s="63">
        <f>((T122-W122)+1)</f>
        <v>7</v>
      </c>
      <c r="Y122" s="64">
        <f>IF(AND(OR(C122="BKK01",C122="BKK04"),L122="CFS/CY"),0,IF(M122="DG",1,IF(LEFT(C122,3)="LCH",7,IF(C122="BKK02",5,3))))</f>
        <v>3</v>
      </c>
      <c r="Z122" s="63">
        <f>IF(IF(AND(AC122="TML",AB122&gt;0),((T122-W122)+1)-AB122,((T122-W122)+1)-Y122)&gt;0,IF(AND(AC122="TML",AB122&gt;0),((T122-W122)+1)-AB122,((T122-W122)+1)-Y122),0)</f>
        <v>4</v>
      </c>
      <c r="AA122" s="187">
        <f>IF(AND(B122="G1",M122=""),IF(R122="20'",
VLOOKUP(Z122,Charge!$K$2:$M$5,2,TRUE)+(Z122-VLOOKUP(Z122,Charge!$K$2:$M$5,1,TRUE))*VLOOKUP(Z122,Charge!$K$2:$M$5,3,TRUE),
VLOOKUP(Z122,Charge!$N$2:$P$5,2,TRUE)+(Z122-VLOOKUP(Z122,Charge!$N$2:$P$5,1,TRUE))*VLOOKUP(Z122,Charge!$N$2:$P$5,3,TRUE)),
IF(AND(B122="G1",M122="DG"),IF(R122="20'",
VLOOKUP(Z122,Charge!$R$2:$T$5,2,TRUE)+(Z122-VLOOKUP(Z122,Charge!$R$2:$T$5,1,TRUE))*VLOOKUP(Z122,Charge!$R$2:$T$5,3,TRUE),
VLOOKUP(Z122,Charge!$U$2:$W$5,2,TRUE)+(Z122-VLOOKUP(Z122,Charge!$U$2:$W$5,1,TRUE))*VLOOKUP(Z122,Charge!$U$2:$W$5,3,TRUE)),
IF(AND(B122="G3",M122=""),IF(R122="20'",
VLOOKUP(Z122,Charge!$K$18:$M$21,2,TRUE)+(Z122-VLOOKUP(Z122,Charge!$K$18:$M$21,1,TRUE))*VLOOKUP(Z122,Charge!$K$18:$M$21,3,TRUE),
VLOOKUP(Z122,Charge!$N$18:$P$21,2,TRUE)+(Z122-VLOOKUP(Z122,Charge!$N$18:$P$21,1,TRUE))*VLOOKUP(Z122,Charge!$N$18:$P$21,3,TRUE)),
IF(AND(B122="G3",M122="DG"),IF(R122="20'",
VLOOKUP(Z122,Charge!$R$18:$T$21,2,TRUE)+(Z122-VLOOKUP(Z122,Charge!$R$18:$T$21,1,TRUE))*VLOOKUP(Z122,Charge!$R$18:$T$21,3,TRUE),
VLOOKUP(Z122,Charge!$U$18:$W$21,2,TRUE)+(Z122-VLOOKUP(Z122,Charge!$U$18:$W$21,1,TRUE))*VLOOKUP(Z122,Charge!$U$18:$W$21,3,TRUE)),
IF(AND(B122="G2",M122=""),IF(R122="20'",
VLOOKUP(Z122,Charge!$K$9:$M$12,2,TRUE)+(Z122-VLOOKUP(Z122,Charge!$K$9:$M$12,1,TRUE))*VLOOKUP(Z122,Charge!$K$9:$M$12,3,TRUE),
VLOOKUP(Z122,Charge!$N$9:$P$12,2,TRUE)+(Z122-VLOOKUP(Z122,Charge!$N$9:$P$12,1,TRUE))*VLOOKUP(Z122,Charge!$N$9:$P$12,3,TRUE)),
IF(AND(B122="G2",M122="DG"),IF(R122="20'",
VLOOKUP(Z122,Charge!$R$9:$T$12,2,TRUE)+(Z122-VLOOKUP(Z122,Charge!$R$9:$T$12,1,TRUE))*VLOOKUP(Z122,Charge!$R$9:$T$12,3,TRUE),
VLOOKUP(Z122,Charge!$U$9:$W$12,2,TRUE)+(Z122-VLOOKUP(Z122,Charge!$U$9:$W$12,1,TRUE))*VLOOKUP(Z122,Charge!$U$9:$W$12,3,TRUE)),IF(AND(B122="G4",M122=""),IF(R122="20'",Z122*Charge!$M$25,Z122*Charge!$P$25),IF(AND(B122="G4",M122="DG"),IF(R122="20'",Z122*Charge!$T$25,Z122*Charge!$W$25),0))))))))</f>
        <v>640</v>
      </c>
      <c r="AB122" s="184" t="n"/>
      <c r="AC122" s="184" t="n"/>
      <c r="AD122" s="60">
        <f>IF(M122="DG",3,IF(N122="RF",3,5))+IF(AND(LEFT(C122,3)="BKK",N122="RF",Q122="KTS"),1,0)+IF(Q122="KHS",1,0)</f>
        <v>5</v>
      </c>
      <c r="AE122" s="63">
        <f>(T122-V122)+1</f>
        <v>46304</v>
      </c>
      <c r="AF122" s="63">
        <f>IF(AB122&gt;IF((V122-W122)&gt;0,V122-W122,0),0,IF(AB122&lt;IF((V122-W122)&gt;0,V122-W122,0),IF((V122-W122)&gt;0,V122-W122,0)-AB122,IF((V122-W122)&gt;0,V122-W122,0)))</f>
        <v>0</v>
      </c>
      <c r="AG122" s="187">
        <f>IF(AND(M122=""),IF(R122="20'",
VLOOKUP(AF122,Charge!$K$31:$M$34,2,TRUE)+(AF122-VLOOKUP(AF122,Charge!$K$31:$M$34,1,TRUE))*VLOOKUP(AF122,Charge!$K$31:$M$34,3,TRUE),
VLOOKUP(AF122,Charge!$N$31:$P$34,2,TRUE)+(AF122-VLOOKUP(AF122,Charge!$N$31:$P$34,1,TRUE))*VLOOKUP(AF122,Charge!$N$31:$P$34,3,TRUE)),
IF(AND(M122="DG"),IF(R122="20'",
VLOOKUP(AF122,Charge!$R$31:$T$34,2,TRUE)+(AF122-VLOOKUP(AF122,Charge!$R$31:$T$34,1,TRUE))*VLOOKUP(AF122,Charge!$R$31:$T$34,3,TRUE),
VLOOKUP(AF122,Charge!$U$31:$W$34,2,TRUE)+(AF122-VLOOKUP(AF122,Charge!$U$31:$W$34,1,TRUE))*VLOOKUP(AF122,Charge!$U$31:$W$34,3,TRUE)),0))</f>
        <v>0</v>
      </c>
      <c r="AH122" s="65" t="n"/>
      <c r="AI122" s="65">
        <f>AA122-AH122</f>
        <v>640</v>
      </c>
      <c r="AJ122" s="188" t="n"/>
      <c r="AK122" s="62" t="str">
        <f>VLOOKUP(D122,'2.Bookinglist'!A:CT,40,FALSE)</f>
        <v>Dharaporn</v>
      </c>
      <c r="AL122" s="60" t="str">
        <f>VLOOKUP(D122,'2.Bookinglist'!A:CW,101,FALSE)</f>
        <v>2026-10-07</v>
      </c>
      <c r="AM122" s="60" t="str">
        <f>VLOOKUP(D122,'2.Bookinglist'!A:BK,63,FALSE)</f>
        <v>BKK27</v>
      </c>
      <c r="AN122" s="62" t="str">
        <f>VLOOKUP(D122,'2.Bookinglist'!A:AZ,52,FALSE)</f>
        <v>[FIX]Pickup : 2026-09-30, Return : 2026-10-01 (1ST RTN DD: 03/10/26 WO/RENT)</v>
      </c>
      <c r="AO122" s="62">
        <f>VLOOKUP(D122,'2.Bookinglist'!A:CY,103,FALSE)</f>
        <v>0</v>
      </c>
    </row>
    <row r="123" ht="12.95" customHeight="1">
      <c r="A123" s="96" t="inlineStr">
        <is>
          <t>SKLU1532490</t>
        </is>
      </c>
      <c r="B123" s="184" t="str">
        <f>IF(C123=Charge!$M$1,Charge!$J$1,IF(C123=Charge!$M$23,Charge!$J$23,IF(C123=Charge!$M$17,Charge!$J$17,IF(C123=Charge!$N$17,Charge!$J$17,Charge!$J$7))))</f>
        <v>G3</v>
      </c>
      <c r="C123" s="61" t="str">
        <f>VLOOKUP(A123,'1.Loading'!A:R,14,FALSE)</f>
        <v>BKK04</v>
      </c>
      <c r="D123" s="61" t="str">
        <f>VLOOKUP(A123,'1.Loading'!A:R,17,FALSE)</f>
        <v>HASLS22260900630</v>
      </c>
      <c r="E123" s="62" t="str">
        <f>VLOOKUP(D123,'2.Bookinglist'!A:CT,27,FALSE)</f>
        <v>ICONS GLOBAL LOGISTICS CO., LTD.</v>
      </c>
      <c r="F123" s="62" t="str">
        <f>VLOOKUP(D123,'2.Bookinglist'!A:CT,28,FALSE)</f>
        <v>THANAKORN VEGETABLE OIL PRODUCTS CO., LTD.</v>
      </c>
      <c r="G123" s="60">
        <f>VLOOKUP(D123,'2.Bookinglist'!A:E,5,FALSE)</f>
        <v>0</v>
      </c>
      <c r="H123" s="61" t="str">
        <f>VLOOKUP(D123,'2.Bookinglist'!A:CT,15,FALSE)</f>
        <v>THBKK</v>
      </c>
      <c r="I123" s="61" t="str">
        <f>VLOOKUP(D123,'2.Bookinglist'!A:CT,19,FALSE)</f>
        <v>VNSGN</v>
      </c>
      <c r="J123" s="61">
        <f>VLOOKUP(D123,'2.Bookinglist'!A:CT,26,FALSE)</f>
        <v>0</v>
      </c>
      <c r="K123" s="61" t="str">
        <f>VLOOKUP(A123,'1.Loading'!A:R,5,FALSE)</f>
        <v>22GP</v>
      </c>
      <c r="L123" s="60" t="str">
        <f>VLOOKUP(D123,'2.Bookinglist'!A:CT,85,FALSE)</f>
        <v>CY/CY</v>
      </c>
      <c r="M123" s="60" t="str">
        <f>IF(VLOOKUP(D123,'2.Bookinglist'!A:CT,43,FALSE)=0,"","DG")</f>
        <v/>
      </c>
      <c r="N123" s="60" t="str">
        <f>IF(RIGHT(K123,2)="RE","RF","")</f>
        <v/>
      </c>
      <c r="O123" s="61" t="str">
        <f>VLOOKUP(A123,'1.Loading'!A:R,3,FALSE)</f>
        <v>SWSP</v>
      </c>
      <c r="P123" s="61" t="str">
        <f>VLOOKUP(A123,'1.Loading'!A:R,4,FALSE)</f>
        <v>2609N</v>
      </c>
      <c r="Q123" s="61" t="str">
        <f>VLOOKUP(D123,'2.Bookinglist'!A:CT,12,FALSE)</f>
        <v>BTS</v>
      </c>
      <c r="R123" s="60" t="str">
        <f>IF(LEFT(K123,2)="22","20'","40'")</f>
        <v>20'</v>
      </c>
      <c r="S123" s="185" t="n"/>
      <c r="T123" s="61" t="str">
        <f>VLOOKUP(A123,'1.Loading'!A:R,2,FALSE)</f>
        <v>2026-10-08</v>
      </c>
      <c r="U123" s="63">
        <f>T123-S123</f>
        <v>46303</v>
      </c>
      <c r="V123" s="186" t="n"/>
      <c r="W123" s="61" t="str">
        <f>VLOOKUP(A123,'3.GateMove'!A:D,4,FALSE)</f>
        <v>2026-10-02</v>
      </c>
      <c r="X123" s="63">
        <f>((T123-W123)+1)</f>
        <v>7</v>
      </c>
      <c r="Y123" s="64">
        <f>IF(AND(OR(C123="BKK01",C123="BKK04"),L123="CFS/CY"),0,IF(M123="DG",1,IF(LEFT(C123,3)="LCH",7,IF(C123="BKK02",5,3))))</f>
        <v>3</v>
      </c>
      <c r="Z123" s="63">
        <f>IF(IF(AND(AC123="TML",AB123&gt;0),((T123-W123)+1)-AB123,((T123-W123)+1)-Y123)&gt;0,IF(AND(AC123="TML",AB123&gt;0),((T123-W123)+1)-AB123,((T123-W123)+1)-Y123),0)</f>
        <v>4</v>
      </c>
      <c r="AA123" s="187">
        <f>IF(AND(B123="G1",M123=""),IF(R123="20'",
VLOOKUP(Z123,Charge!$K$2:$M$5,2,TRUE)+(Z123-VLOOKUP(Z123,Charge!$K$2:$M$5,1,TRUE))*VLOOKUP(Z123,Charge!$K$2:$M$5,3,TRUE),
VLOOKUP(Z123,Charge!$N$2:$P$5,2,TRUE)+(Z123-VLOOKUP(Z123,Charge!$N$2:$P$5,1,TRUE))*VLOOKUP(Z123,Charge!$N$2:$P$5,3,TRUE)),
IF(AND(B123="G1",M123="DG"),IF(R123="20'",
VLOOKUP(Z123,Charge!$R$2:$T$5,2,TRUE)+(Z123-VLOOKUP(Z123,Charge!$R$2:$T$5,1,TRUE))*VLOOKUP(Z123,Charge!$R$2:$T$5,3,TRUE),
VLOOKUP(Z123,Charge!$U$2:$W$5,2,TRUE)+(Z123-VLOOKUP(Z123,Charge!$U$2:$W$5,1,TRUE))*VLOOKUP(Z123,Charge!$U$2:$W$5,3,TRUE)),
IF(AND(B123="G3",M123=""),IF(R123="20'",
VLOOKUP(Z123,Charge!$K$18:$M$21,2,TRUE)+(Z123-VLOOKUP(Z123,Charge!$K$18:$M$21,1,TRUE))*VLOOKUP(Z123,Charge!$K$18:$M$21,3,TRUE),
VLOOKUP(Z123,Charge!$N$18:$P$21,2,TRUE)+(Z123-VLOOKUP(Z123,Charge!$N$18:$P$21,1,TRUE))*VLOOKUP(Z123,Charge!$N$18:$P$21,3,TRUE)),
IF(AND(B123="G3",M123="DG"),IF(R123="20'",
VLOOKUP(Z123,Charge!$R$18:$T$21,2,TRUE)+(Z123-VLOOKUP(Z123,Charge!$R$18:$T$21,1,TRUE))*VLOOKUP(Z123,Charge!$R$18:$T$21,3,TRUE),
VLOOKUP(Z123,Charge!$U$18:$W$21,2,TRUE)+(Z123-VLOOKUP(Z123,Charge!$U$18:$W$21,1,TRUE))*VLOOKUP(Z123,Charge!$U$18:$W$21,3,TRUE)),
IF(AND(B123="G2",M123=""),IF(R123="20'",
VLOOKUP(Z123,Charge!$K$9:$M$12,2,TRUE)+(Z123-VLOOKUP(Z123,Charge!$K$9:$M$12,1,TRUE))*VLOOKUP(Z123,Charge!$K$9:$M$12,3,TRUE),
VLOOKUP(Z123,Charge!$N$9:$P$12,2,TRUE)+(Z123-VLOOKUP(Z123,Charge!$N$9:$P$12,1,TRUE))*VLOOKUP(Z123,Charge!$N$9:$P$12,3,TRUE)),
IF(AND(B123="G2",M123="DG"),IF(R123="20'",
VLOOKUP(Z123,Charge!$R$9:$T$12,2,TRUE)+(Z123-VLOOKUP(Z123,Charge!$R$9:$T$12,1,TRUE))*VLOOKUP(Z123,Charge!$R$9:$T$12,3,TRUE),
VLOOKUP(Z123,Charge!$U$9:$W$12,2,TRUE)+(Z123-VLOOKUP(Z123,Charge!$U$9:$W$12,1,TRUE))*VLOOKUP(Z123,Charge!$U$9:$W$12,3,TRUE)),IF(AND(B123="G4",M123=""),IF(R123="20'",Z123*Charge!$M$25,Z123*Charge!$P$25),IF(AND(B123="G4",M123="DG"),IF(R123="20'",Z123*Charge!$T$25,Z123*Charge!$W$25),0))))))))</f>
        <v>640</v>
      </c>
      <c r="AB123" s="184" t="n"/>
      <c r="AC123" s="184" t="n"/>
      <c r="AD123" s="60">
        <f>IF(M123="DG",3,IF(N123="RF",3,5))+IF(AND(LEFT(C123,3)="BKK",N123="RF",Q123="KTS"),1,0)+IF(Q123="KHS",1,0)</f>
        <v>5</v>
      </c>
      <c r="AE123" s="63">
        <f>(T123-V123)+1</f>
        <v>46304</v>
      </c>
      <c r="AF123" s="63">
        <f>IF(AB123&gt;IF((V123-W123)&gt;0,V123-W123,0),0,IF(AB123&lt;IF((V123-W123)&gt;0,V123-W123,0),IF((V123-W123)&gt;0,V123-W123,0)-AB123,IF((V123-W123)&gt;0,V123-W123,0)))</f>
        <v>0</v>
      </c>
      <c r="AG123" s="187">
        <f>IF(AND(M123=""),IF(R123="20'",
VLOOKUP(AF123,Charge!$K$31:$M$34,2,TRUE)+(AF123-VLOOKUP(AF123,Charge!$K$31:$M$34,1,TRUE))*VLOOKUP(AF123,Charge!$K$31:$M$34,3,TRUE),
VLOOKUP(AF123,Charge!$N$31:$P$34,2,TRUE)+(AF123-VLOOKUP(AF123,Charge!$N$31:$P$34,1,TRUE))*VLOOKUP(AF123,Charge!$N$31:$P$34,3,TRUE)),
IF(AND(M123="DG"),IF(R123="20'",
VLOOKUP(AF123,Charge!$R$31:$T$34,2,TRUE)+(AF123-VLOOKUP(AF123,Charge!$R$31:$T$34,1,TRUE))*VLOOKUP(AF123,Charge!$R$31:$T$34,3,TRUE),
VLOOKUP(AF123,Charge!$U$31:$W$34,2,TRUE)+(AF123-VLOOKUP(AF123,Charge!$U$31:$W$34,1,TRUE))*VLOOKUP(AF123,Charge!$U$31:$W$34,3,TRUE)),0))</f>
        <v>0</v>
      </c>
      <c r="AH123" s="65" t="n"/>
      <c r="AI123" s="65">
        <f>AA123-AH123</f>
        <v>640</v>
      </c>
      <c r="AJ123" s="188" t="n"/>
      <c r="AK123" s="62" t="str">
        <f>VLOOKUP(D123,'2.Bookinglist'!A:CT,40,FALSE)</f>
        <v>Dharaporn</v>
      </c>
      <c r="AL123" s="60" t="str">
        <f>VLOOKUP(D123,'2.Bookinglist'!A:CW,101,FALSE)</f>
        <v>2026-10-05</v>
      </c>
      <c r="AM123" s="60" t="str">
        <f>VLOOKUP(D123,'2.Bookinglist'!A:BK,63,FALSE)</f>
        <v>BKK27</v>
      </c>
      <c r="AN123" s="62" t="str">
        <f>VLOOKUP(D123,'2.Bookinglist'!A:AZ,52,FALSE)</f>
        <v>**APPROVED BY H.W KANG DD.23/09/2026** *FLEXIBAG ONDECK*
Survey : 2026-09-30, Pickup : 2026-10-01, Return : 2026-10-02 </v>
      </c>
      <c r="AO123" s="62">
        <f>VLOOKUP(D123,'2.Bookinglist'!A:CY,103,FALSE)</f>
        <v>0</v>
      </c>
    </row>
    <row r="124" ht="12.95" customHeight="1">
      <c r="A124" s="96" t="inlineStr">
        <is>
          <t>SKLU1534105</t>
        </is>
      </c>
      <c r="B124" s="184" t="str">
        <f>IF(C124=Charge!$M$1,Charge!$J$1,IF(C124=Charge!$M$23,Charge!$J$23,IF(C124=Charge!$M$17,Charge!$J$17,IF(C124=Charge!$N$17,Charge!$J$17,Charge!$J$7))))</f>
        <v>G3</v>
      </c>
      <c r="C124" s="61" t="str">
        <f>VLOOKUP(A124,'1.Loading'!A:R,14,FALSE)</f>
        <v>BKK04</v>
      </c>
      <c r="D124" s="61" t="str">
        <f>VLOOKUP(A124,'1.Loading'!A:R,17,FALSE)</f>
        <v>HASLS22260900630</v>
      </c>
      <c r="E124" s="62" t="str">
        <f>VLOOKUP(D124,'2.Bookinglist'!A:CT,27,FALSE)</f>
        <v>ICONS GLOBAL LOGISTICS CO., LTD.</v>
      </c>
      <c r="F124" s="62" t="str">
        <f>VLOOKUP(D124,'2.Bookinglist'!A:CT,28,FALSE)</f>
        <v>THANAKORN VEGETABLE OIL PRODUCTS CO., LTD.</v>
      </c>
      <c r="G124" s="60">
        <f>VLOOKUP(D124,'2.Bookinglist'!A:E,5,FALSE)</f>
        <v>0</v>
      </c>
      <c r="H124" s="61" t="str">
        <f>VLOOKUP(D124,'2.Bookinglist'!A:CT,15,FALSE)</f>
        <v>THBKK</v>
      </c>
      <c r="I124" s="61" t="str">
        <f>VLOOKUP(D124,'2.Bookinglist'!A:CT,19,FALSE)</f>
        <v>VNSGN</v>
      </c>
      <c r="J124" s="61">
        <f>VLOOKUP(D124,'2.Bookinglist'!A:CT,26,FALSE)</f>
        <v>0</v>
      </c>
      <c r="K124" s="61" t="str">
        <f>VLOOKUP(A124,'1.Loading'!A:R,5,FALSE)</f>
        <v>22GP</v>
      </c>
      <c r="L124" s="60" t="str">
        <f>VLOOKUP(D124,'2.Bookinglist'!A:CT,85,FALSE)</f>
        <v>CY/CY</v>
      </c>
      <c r="M124" s="60" t="str">
        <f>IF(VLOOKUP(D124,'2.Bookinglist'!A:CT,43,FALSE)=0,"","DG")</f>
        <v/>
      </c>
      <c r="N124" s="60" t="str">
        <f>IF(RIGHT(K124,2)="RE","RF","")</f>
        <v/>
      </c>
      <c r="O124" s="61" t="str">
        <f>VLOOKUP(A124,'1.Loading'!A:R,3,FALSE)</f>
        <v>SWSP</v>
      </c>
      <c r="P124" s="61" t="str">
        <f>VLOOKUP(A124,'1.Loading'!A:R,4,FALSE)</f>
        <v>2609N</v>
      </c>
      <c r="Q124" s="61" t="str">
        <f>VLOOKUP(D124,'2.Bookinglist'!A:CT,12,FALSE)</f>
        <v>BTS</v>
      </c>
      <c r="R124" s="60" t="str">
        <f>IF(LEFT(K124,2)="22","20'","40'")</f>
        <v>20'</v>
      </c>
      <c r="S124" s="185" t="n"/>
      <c r="T124" s="61" t="str">
        <f>VLOOKUP(A124,'1.Loading'!A:R,2,FALSE)</f>
        <v>2026-10-08</v>
      </c>
      <c r="U124" s="63">
        <f>T124-S124</f>
        <v>46303</v>
      </c>
      <c r="V124" s="186" t="n"/>
      <c r="W124" s="61" t="str">
        <f>VLOOKUP(A124,'3.GateMove'!A:D,4,FALSE)</f>
        <v>2026-10-02</v>
      </c>
      <c r="X124" s="63">
        <f>((T124-W124)+1)</f>
        <v>7</v>
      </c>
      <c r="Y124" s="64">
        <f>IF(AND(OR(C124="BKK01",C124="BKK04"),L124="CFS/CY"),0,IF(M124="DG",1,IF(LEFT(C124,3)="LCH",7,IF(C124="BKK02",5,3))))</f>
        <v>3</v>
      </c>
      <c r="Z124" s="63">
        <f>IF(IF(AND(AC124="TML",AB124&gt;0),((T124-W124)+1)-AB124,((T124-W124)+1)-Y124)&gt;0,IF(AND(AC124="TML",AB124&gt;0),((T124-W124)+1)-AB124,((T124-W124)+1)-Y124),0)</f>
        <v>4</v>
      </c>
      <c r="AA124" s="187">
        <f>IF(AND(B124="G1",M124=""),IF(R124="20'",
VLOOKUP(Z124,Charge!$K$2:$M$5,2,TRUE)+(Z124-VLOOKUP(Z124,Charge!$K$2:$M$5,1,TRUE))*VLOOKUP(Z124,Charge!$K$2:$M$5,3,TRUE),
VLOOKUP(Z124,Charge!$N$2:$P$5,2,TRUE)+(Z124-VLOOKUP(Z124,Charge!$N$2:$P$5,1,TRUE))*VLOOKUP(Z124,Charge!$N$2:$P$5,3,TRUE)),
IF(AND(B124="G1",M124="DG"),IF(R124="20'",
VLOOKUP(Z124,Charge!$R$2:$T$5,2,TRUE)+(Z124-VLOOKUP(Z124,Charge!$R$2:$T$5,1,TRUE))*VLOOKUP(Z124,Charge!$R$2:$T$5,3,TRUE),
VLOOKUP(Z124,Charge!$U$2:$W$5,2,TRUE)+(Z124-VLOOKUP(Z124,Charge!$U$2:$W$5,1,TRUE))*VLOOKUP(Z124,Charge!$U$2:$W$5,3,TRUE)),
IF(AND(B124="G3",M124=""),IF(R124="20'",
VLOOKUP(Z124,Charge!$K$18:$M$21,2,TRUE)+(Z124-VLOOKUP(Z124,Charge!$K$18:$M$21,1,TRUE))*VLOOKUP(Z124,Charge!$K$18:$M$21,3,TRUE),
VLOOKUP(Z124,Charge!$N$18:$P$21,2,TRUE)+(Z124-VLOOKUP(Z124,Charge!$N$18:$P$21,1,TRUE))*VLOOKUP(Z124,Charge!$N$18:$P$21,3,TRUE)),
IF(AND(B124="G3",M124="DG"),IF(R124="20'",
VLOOKUP(Z124,Charge!$R$18:$T$21,2,TRUE)+(Z124-VLOOKUP(Z124,Charge!$R$18:$T$21,1,TRUE))*VLOOKUP(Z124,Charge!$R$18:$T$21,3,TRUE),
VLOOKUP(Z124,Charge!$U$18:$W$21,2,TRUE)+(Z124-VLOOKUP(Z124,Charge!$U$18:$W$21,1,TRUE))*VLOOKUP(Z124,Charge!$U$18:$W$21,3,TRUE)),
IF(AND(B124="G2",M124=""),IF(R124="20'",
VLOOKUP(Z124,Charge!$K$9:$M$12,2,TRUE)+(Z124-VLOOKUP(Z124,Charge!$K$9:$M$12,1,TRUE))*VLOOKUP(Z124,Charge!$K$9:$M$12,3,TRUE),
VLOOKUP(Z124,Charge!$N$9:$P$12,2,TRUE)+(Z124-VLOOKUP(Z124,Charge!$N$9:$P$12,1,TRUE))*VLOOKUP(Z124,Charge!$N$9:$P$12,3,TRUE)),
IF(AND(B124="G2",M124="DG"),IF(R124="20'",
VLOOKUP(Z124,Charge!$R$9:$T$12,2,TRUE)+(Z124-VLOOKUP(Z124,Charge!$R$9:$T$12,1,TRUE))*VLOOKUP(Z124,Charge!$R$9:$T$12,3,TRUE),
VLOOKUP(Z124,Charge!$U$9:$W$12,2,TRUE)+(Z124-VLOOKUP(Z124,Charge!$U$9:$W$12,1,TRUE))*VLOOKUP(Z124,Charge!$U$9:$W$12,3,TRUE)),IF(AND(B124="G4",M124=""),IF(R124="20'",Z124*Charge!$M$25,Z124*Charge!$P$25),IF(AND(B124="G4",M124="DG"),IF(R124="20'",Z124*Charge!$T$25,Z124*Charge!$W$25),0))))))))</f>
        <v>640</v>
      </c>
      <c r="AB124" s="184" t="n"/>
      <c r="AC124" s="184" t="n"/>
      <c r="AD124" s="60">
        <f>IF(M124="DG",3,IF(N124="RF",3,5))+IF(AND(LEFT(C124,3)="BKK",N124="RF",Q124="KTS"),1,0)+IF(Q124="KHS",1,0)</f>
        <v>5</v>
      </c>
      <c r="AE124" s="63">
        <f>(T124-V124)+1</f>
        <v>46304</v>
      </c>
      <c r="AF124" s="63">
        <f>IF(AB124&gt;IF((V124-W124)&gt;0,V124-W124,0),0,IF(AB124&lt;IF((V124-W124)&gt;0,V124-W124,0),IF((V124-W124)&gt;0,V124-W124,0)-AB124,IF((V124-W124)&gt;0,V124-W124,0)))</f>
        <v>0</v>
      </c>
      <c r="AG124" s="187">
        <f>IF(AND(M124=""),IF(R124="20'",
VLOOKUP(AF124,Charge!$K$31:$M$34,2,TRUE)+(AF124-VLOOKUP(AF124,Charge!$K$31:$M$34,1,TRUE))*VLOOKUP(AF124,Charge!$K$31:$M$34,3,TRUE),
VLOOKUP(AF124,Charge!$N$31:$P$34,2,TRUE)+(AF124-VLOOKUP(AF124,Charge!$N$31:$P$34,1,TRUE))*VLOOKUP(AF124,Charge!$N$31:$P$34,3,TRUE)),
IF(AND(M124="DG"),IF(R124="20'",
VLOOKUP(AF124,Charge!$R$31:$T$34,2,TRUE)+(AF124-VLOOKUP(AF124,Charge!$R$31:$T$34,1,TRUE))*VLOOKUP(AF124,Charge!$R$31:$T$34,3,TRUE),
VLOOKUP(AF124,Charge!$U$31:$W$34,2,TRUE)+(AF124-VLOOKUP(AF124,Charge!$U$31:$W$34,1,TRUE))*VLOOKUP(AF124,Charge!$U$31:$W$34,3,TRUE)),0))</f>
        <v>0</v>
      </c>
      <c r="AH124" s="65" t="n"/>
      <c r="AI124" s="65">
        <f>AA124-AH124</f>
        <v>640</v>
      </c>
      <c r="AJ124" s="188" t="n"/>
      <c r="AK124" s="62" t="str">
        <f>VLOOKUP(D124,'2.Bookinglist'!A:CT,40,FALSE)</f>
        <v>Dharaporn</v>
      </c>
      <c r="AL124" s="60" t="str">
        <f>VLOOKUP(D124,'2.Bookinglist'!A:CW,101,FALSE)</f>
        <v>2026-10-05</v>
      </c>
      <c r="AM124" s="60" t="str">
        <f>VLOOKUP(D124,'2.Bookinglist'!A:BK,63,FALSE)</f>
        <v>BKK27</v>
      </c>
      <c r="AN124" s="62" t="str">
        <f>VLOOKUP(D124,'2.Bookinglist'!A:AZ,52,FALSE)</f>
        <v>**APPROVED BY H.W KANG DD.23/09/2026** *FLEXIBAG ONDECK*
Survey : 2026-09-30, Pickup : 2026-10-01, Return : 2026-10-02 </v>
      </c>
      <c r="AO124" s="62">
        <f>VLOOKUP(D124,'2.Bookinglist'!A:CY,103,FALSE)</f>
        <v>0</v>
      </c>
    </row>
    <row r="125" ht="12.95" customHeight="1">
      <c r="A125" s="96" t="inlineStr">
        <is>
          <t>SKLU1568379</t>
        </is>
      </c>
      <c r="B125" s="184" t="str">
        <f>IF(C125=Charge!$M$1,Charge!$J$1,IF(C125=Charge!$M$23,Charge!$J$23,IF(C125=Charge!$M$17,Charge!$J$17,IF(C125=Charge!$N$17,Charge!$J$17,Charge!$J$7))))</f>
        <v>G3</v>
      </c>
      <c r="C125" s="61" t="str">
        <f>VLOOKUP(A125,'1.Loading'!A:R,14,FALSE)</f>
        <v>BKK04</v>
      </c>
      <c r="D125" s="61" t="str">
        <f>VLOOKUP(A125,'1.Loading'!A:R,17,FALSE)</f>
        <v>HASLS22260900630</v>
      </c>
      <c r="E125" s="62" t="str">
        <f>VLOOKUP(D125,'2.Bookinglist'!A:CT,27,FALSE)</f>
        <v>ICONS GLOBAL LOGISTICS CO., LTD.</v>
      </c>
      <c r="F125" s="62" t="str">
        <f>VLOOKUP(D125,'2.Bookinglist'!A:CT,28,FALSE)</f>
        <v>THANAKORN VEGETABLE OIL PRODUCTS CO., LTD.</v>
      </c>
      <c r="G125" s="60">
        <f>VLOOKUP(D125,'2.Bookinglist'!A:E,5,FALSE)</f>
        <v>0</v>
      </c>
      <c r="H125" s="61" t="str">
        <f>VLOOKUP(D125,'2.Bookinglist'!A:CT,15,FALSE)</f>
        <v>THBKK</v>
      </c>
      <c r="I125" s="61" t="str">
        <f>VLOOKUP(D125,'2.Bookinglist'!A:CT,19,FALSE)</f>
        <v>VNSGN</v>
      </c>
      <c r="J125" s="61">
        <f>VLOOKUP(D125,'2.Bookinglist'!A:CT,26,FALSE)</f>
        <v>0</v>
      </c>
      <c r="K125" s="61" t="str">
        <f>VLOOKUP(A125,'1.Loading'!A:R,5,FALSE)</f>
        <v>22GP</v>
      </c>
      <c r="L125" s="60" t="str">
        <f>VLOOKUP(D125,'2.Bookinglist'!A:CT,85,FALSE)</f>
        <v>CY/CY</v>
      </c>
      <c r="M125" s="60" t="str">
        <f>IF(VLOOKUP(D125,'2.Bookinglist'!A:CT,43,FALSE)=0,"","DG")</f>
        <v/>
      </c>
      <c r="N125" s="60" t="str">
        <f>IF(RIGHT(K125,2)="RE","RF","")</f>
        <v/>
      </c>
      <c r="O125" s="61" t="str">
        <f>VLOOKUP(A125,'1.Loading'!A:R,3,FALSE)</f>
        <v>SWSP</v>
      </c>
      <c r="P125" s="61" t="str">
        <f>VLOOKUP(A125,'1.Loading'!A:R,4,FALSE)</f>
        <v>2609N</v>
      </c>
      <c r="Q125" s="61" t="str">
        <f>VLOOKUP(D125,'2.Bookinglist'!A:CT,12,FALSE)</f>
        <v>BTS</v>
      </c>
      <c r="R125" s="60" t="str">
        <f>IF(LEFT(K125,2)="22","20'","40'")</f>
        <v>20'</v>
      </c>
      <c r="S125" s="185" t="n"/>
      <c r="T125" s="61" t="str">
        <f>VLOOKUP(A125,'1.Loading'!A:R,2,FALSE)</f>
        <v>2026-10-08</v>
      </c>
      <c r="U125" s="63">
        <f>T125-S125</f>
        <v>46303</v>
      </c>
      <c r="V125" s="186" t="n"/>
      <c r="W125" s="61" t="str">
        <f>VLOOKUP(A125,'3.GateMove'!A:D,4,FALSE)</f>
        <v>2026-10-02</v>
      </c>
      <c r="X125" s="63">
        <f>((T125-W125)+1)</f>
        <v>7</v>
      </c>
      <c r="Y125" s="64">
        <f>IF(AND(OR(C125="BKK01",C125="BKK04"),L125="CFS/CY"),0,IF(M125="DG",1,IF(LEFT(C125,3)="LCH",7,IF(C125="BKK02",5,3))))</f>
        <v>3</v>
      </c>
      <c r="Z125" s="63">
        <f>IF(IF(AND(AC125="TML",AB125&gt;0),((T125-W125)+1)-AB125,((T125-W125)+1)-Y125)&gt;0,IF(AND(AC125="TML",AB125&gt;0),((T125-W125)+1)-AB125,((T125-W125)+1)-Y125),0)</f>
        <v>4</v>
      </c>
      <c r="AA125" s="187">
        <f>IF(AND(B125="G1",M125=""),IF(R125="20'",
VLOOKUP(Z125,Charge!$K$2:$M$5,2,TRUE)+(Z125-VLOOKUP(Z125,Charge!$K$2:$M$5,1,TRUE))*VLOOKUP(Z125,Charge!$K$2:$M$5,3,TRUE),
VLOOKUP(Z125,Charge!$N$2:$P$5,2,TRUE)+(Z125-VLOOKUP(Z125,Charge!$N$2:$P$5,1,TRUE))*VLOOKUP(Z125,Charge!$N$2:$P$5,3,TRUE)),
IF(AND(B125="G1",M125="DG"),IF(R125="20'",
VLOOKUP(Z125,Charge!$R$2:$T$5,2,TRUE)+(Z125-VLOOKUP(Z125,Charge!$R$2:$T$5,1,TRUE))*VLOOKUP(Z125,Charge!$R$2:$T$5,3,TRUE),
VLOOKUP(Z125,Charge!$U$2:$W$5,2,TRUE)+(Z125-VLOOKUP(Z125,Charge!$U$2:$W$5,1,TRUE))*VLOOKUP(Z125,Charge!$U$2:$W$5,3,TRUE)),
IF(AND(B125="G3",M125=""),IF(R125="20'",
VLOOKUP(Z125,Charge!$K$18:$M$21,2,TRUE)+(Z125-VLOOKUP(Z125,Charge!$K$18:$M$21,1,TRUE))*VLOOKUP(Z125,Charge!$K$18:$M$21,3,TRUE),
VLOOKUP(Z125,Charge!$N$18:$P$21,2,TRUE)+(Z125-VLOOKUP(Z125,Charge!$N$18:$P$21,1,TRUE))*VLOOKUP(Z125,Charge!$N$18:$P$21,3,TRUE)),
IF(AND(B125="G3",M125="DG"),IF(R125="20'",
VLOOKUP(Z125,Charge!$R$18:$T$21,2,TRUE)+(Z125-VLOOKUP(Z125,Charge!$R$18:$T$21,1,TRUE))*VLOOKUP(Z125,Charge!$R$18:$T$21,3,TRUE),
VLOOKUP(Z125,Charge!$U$18:$W$21,2,TRUE)+(Z125-VLOOKUP(Z125,Charge!$U$18:$W$21,1,TRUE))*VLOOKUP(Z125,Charge!$U$18:$W$21,3,TRUE)),
IF(AND(B125="G2",M125=""),IF(R125="20'",
VLOOKUP(Z125,Charge!$K$9:$M$12,2,TRUE)+(Z125-VLOOKUP(Z125,Charge!$K$9:$M$12,1,TRUE))*VLOOKUP(Z125,Charge!$K$9:$M$12,3,TRUE),
VLOOKUP(Z125,Charge!$N$9:$P$12,2,TRUE)+(Z125-VLOOKUP(Z125,Charge!$N$9:$P$12,1,TRUE))*VLOOKUP(Z125,Charge!$N$9:$P$12,3,TRUE)),
IF(AND(B125="G2",M125="DG"),IF(R125="20'",
VLOOKUP(Z125,Charge!$R$9:$T$12,2,TRUE)+(Z125-VLOOKUP(Z125,Charge!$R$9:$T$12,1,TRUE))*VLOOKUP(Z125,Charge!$R$9:$T$12,3,TRUE),
VLOOKUP(Z125,Charge!$U$9:$W$12,2,TRUE)+(Z125-VLOOKUP(Z125,Charge!$U$9:$W$12,1,TRUE))*VLOOKUP(Z125,Charge!$U$9:$W$12,3,TRUE)),IF(AND(B125="G4",M125=""),IF(R125="20'",Z125*Charge!$M$25,Z125*Charge!$P$25),IF(AND(B125="G4",M125="DG"),IF(R125="20'",Z125*Charge!$T$25,Z125*Charge!$W$25),0))))))))</f>
        <v>640</v>
      </c>
      <c r="AB125" s="184" t="n"/>
      <c r="AC125" s="184" t="n"/>
      <c r="AD125" s="60">
        <f>IF(M125="DG",3,IF(N125="RF",3,5))+IF(AND(LEFT(C125,3)="BKK",N125="RF",Q125="KTS"),1,0)+IF(Q125="KHS",1,0)</f>
        <v>5</v>
      </c>
      <c r="AE125" s="63">
        <f>(T125-V125)+1</f>
        <v>46304</v>
      </c>
      <c r="AF125" s="63">
        <f>IF(AB125&gt;IF((V125-W125)&gt;0,V125-W125,0),0,IF(AB125&lt;IF((V125-W125)&gt;0,V125-W125,0),IF((V125-W125)&gt;0,V125-W125,0)-AB125,IF((V125-W125)&gt;0,V125-W125,0)))</f>
        <v>0</v>
      </c>
      <c r="AG125" s="187">
        <f>IF(AND(M125=""),IF(R125="20'",
VLOOKUP(AF125,Charge!$K$31:$M$34,2,TRUE)+(AF125-VLOOKUP(AF125,Charge!$K$31:$M$34,1,TRUE))*VLOOKUP(AF125,Charge!$K$31:$M$34,3,TRUE),
VLOOKUP(AF125,Charge!$N$31:$P$34,2,TRUE)+(AF125-VLOOKUP(AF125,Charge!$N$31:$P$34,1,TRUE))*VLOOKUP(AF125,Charge!$N$31:$P$34,3,TRUE)),
IF(AND(M125="DG"),IF(R125="20'",
VLOOKUP(AF125,Charge!$R$31:$T$34,2,TRUE)+(AF125-VLOOKUP(AF125,Charge!$R$31:$T$34,1,TRUE))*VLOOKUP(AF125,Charge!$R$31:$T$34,3,TRUE),
VLOOKUP(AF125,Charge!$U$31:$W$34,2,TRUE)+(AF125-VLOOKUP(AF125,Charge!$U$31:$W$34,1,TRUE))*VLOOKUP(AF125,Charge!$U$31:$W$34,3,TRUE)),0))</f>
        <v>0</v>
      </c>
      <c r="AH125" s="65" t="n"/>
      <c r="AI125" s="65">
        <f>AA125-AH125</f>
        <v>640</v>
      </c>
      <c r="AJ125" s="188" t="n"/>
      <c r="AK125" s="62" t="str">
        <f>VLOOKUP(D125,'2.Bookinglist'!A:CT,40,FALSE)</f>
        <v>Dharaporn</v>
      </c>
      <c r="AL125" s="60" t="str">
        <f>VLOOKUP(D125,'2.Bookinglist'!A:CW,101,FALSE)</f>
        <v>2026-10-05</v>
      </c>
      <c r="AM125" s="60" t="str">
        <f>VLOOKUP(D125,'2.Bookinglist'!A:BK,63,FALSE)</f>
        <v>BKK27</v>
      </c>
      <c r="AN125" s="62" t="str">
        <f>VLOOKUP(D125,'2.Bookinglist'!A:AZ,52,FALSE)</f>
        <v>**APPROVED BY H.W KANG DD.23/09/2026** *FLEXIBAG ONDECK*
Survey : 2026-09-30, Pickup : 2026-10-01, Return : 2026-10-02 </v>
      </c>
      <c r="AO125" s="62">
        <f>VLOOKUP(D125,'2.Bookinglist'!A:CY,103,FALSE)</f>
        <v>0</v>
      </c>
    </row>
    <row r="126" ht="12.95" customHeight="1">
      <c r="A126" s="96" t="inlineStr">
        <is>
          <t>SKLU1568764</t>
        </is>
      </c>
      <c r="B126" s="184" t="str">
        <f>IF(C126=Charge!$M$1,Charge!$J$1,IF(C126=Charge!$M$23,Charge!$J$23,IF(C126=Charge!$M$17,Charge!$J$17,IF(C126=Charge!$N$17,Charge!$J$17,Charge!$J$7))))</f>
        <v>G3</v>
      </c>
      <c r="C126" s="61" t="str">
        <f>VLOOKUP(A126,'1.Loading'!A:R,14,FALSE)</f>
        <v>BKK04</v>
      </c>
      <c r="D126" s="61" t="str">
        <f>VLOOKUP(A126,'1.Loading'!A:R,17,FALSE)</f>
        <v>HASLS22260901817</v>
      </c>
      <c r="E126" s="62" t="str">
        <f>VLOOKUP(D126,'2.Bookinglist'!A:CT,27,FALSE)</f>
        <v>ATA GLOBAL LOGISTICS CO.,LTD.</v>
      </c>
      <c r="F126" s="62" t="str">
        <f>VLOOKUP(D126,'2.Bookinglist'!A:CT,28,FALSE)</f>
        <v>ATA GLOBAL LOGISTICS CO.,LTD.</v>
      </c>
      <c r="G126" s="60">
        <f>VLOOKUP(D126,'2.Bookinglist'!A:E,5,FALSE)</f>
        <v>0</v>
      </c>
      <c r="H126" s="61" t="str">
        <f>VLOOKUP(D126,'2.Bookinglist'!A:CT,15,FALSE)</f>
        <v>THBKK</v>
      </c>
      <c r="I126" s="61" t="str">
        <f>VLOOKUP(D126,'2.Bookinglist'!A:CT,19,FALSE)</f>
        <v>VNSGN</v>
      </c>
      <c r="J126" s="61">
        <f>VLOOKUP(D126,'2.Bookinglist'!A:CT,26,FALSE)</f>
        <v>0</v>
      </c>
      <c r="K126" s="61" t="str">
        <f>VLOOKUP(A126,'1.Loading'!A:R,5,FALSE)</f>
        <v>22GP</v>
      </c>
      <c r="L126" s="60" t="str">
        <f>VLOOKUP(D126,'2.Bookinglist'!A:CT,85,FALSE)</f>
        <v>CY/CY</v>
      </c>
      <c r="M126" s="60" t="str">
        <f>IF(VLOOKUP(D126,'2.Bookinglist'!A:CT,43,FALSE)=0,"","DG")</f>
        <v/>
      </c>
      <c r="N126" s="60" t="str">
        <f>IF(RIGHT(K126,2)="RE","RF","")</f>
        <v/>
      </c>
      <c r="O126" s="61" t="str">
        <f>VLOOKUP(A126,'1.Loading'!A:R,3,FALSE)</f>
        <v>SWSP</v>
      </c>
      <c r="P126" s="61" t="str">
        <f>VLOOKUP(A126,'1.Loading'!A:R,4,FALSE)</f>
        <v>2609N</v>
      </c>
      <c r="Q126" s="61" t="str">
        <f>VLOOKUP(D126,'2.Bookinglist'!A:CT,12,FALSE)</f>
        <v>BTS</v>
      </c>
      <c r="R126" s="60" t="str">
        <f>IF(LEFT(K126,2)="22","20'","40'")</f>
        <v>20'</v>
      </c>
      <c r="S126" s="185" t="n"/>
      <c r="T126" s="61" t="str">
        <f>VLOOKUP(A126,'1.Loading'!A:R,2,FALSE)</f>
        <v>2026-10-08</v>
      </c>
      <c r="U126" s="63">
        <f>T126-S126</f>
        <v>46303</v>
      </c>
      <c r="V126" s="186" t="n"/>
      <c r="W126" s="61" t="str">
        <f>VLOOKUP(A126,'3.GateMove'!A:D,4,FALSE)</f>
        <v>2026-10-02</v>
      </c>
      <c r="X126" s="63">
        <f>((T126-W126)+1)</f>
        <v>7</v>
      </c>
      <c r="Y126" s="64">
        <f>IF(AND(OR(C126="BKK01",C126="BKK04"),L126="CFS/CY"),0,IF(M126="DG",1,IF(LEFT(C126,3)="LCH",7,IF(C126="BKK02",5,3))))</f>
        <v>3</v>
      </c>
      <c r="Z126" s="63">
        <f>IF(IF(AND(AC126="TML",AB126&gt;0),((T126-W126)+1)-AB126,((T126-W126)+1)-Y126)&gt;0,IF(AND(AC126="TML",AB126&gt;0),((T126-W126)+1)-AB126,((T126-W126)+1)-Y126),0)</f>
        <v>4</v>
      </c>
      <c r="AA126" s="187">
        <f>IF(AND(B126="G1",M126=""),IF(R126="20'",
VLOOKUP(Z126,Charge!$K$2:$M$5,2,TRUE)+(Z126-VLOOKUP(Z126,Charge!$K$2:$M$5,1,TRUE))*VLOOKUP(Z126,Charge!$K$2:$M$5,3,TRUE),
VLOOKUP(Z126,Charge!$N$2:$P$5,2,TRUE)+(Z126-VLOOKUP(Z126,Charge!$N$2:$P$5,1,TRUE))*VLOOKUP(Z126,Charge!$N$2:$P$5,3,TRUE)),
IF(AND(B126="G1",M126="DG"),IF(R126="20'",
VLOOKUP(Z126,Charge!$R$2:$T$5,2,TRUE)+(Z126-VLOOKUP(Z126,Charge!$R$2:$T$5,1,TRUE))*VLOOKUP(Z126,Charge!$R$2:$T$5,3,TRUE),
VLOOKUP(Z126,Charge!$U$2:$W$5,2,TRUE)+(Z126-VLOOKUP(Z126,Charge!$U$2:$W$5,1,TRUE))*VLOOKUP(Z126,Charge!$U$2:$W$5,3,TRUE)),
IF(AND(B126="G3",M126=""),IF(R126="20'",
VLOOKUP(Z126,Charge!$K$18:$M$21,2,TRUE)+(Z126-VLOOKUP(Z126,Charge!$K$18:$M$21,1,TRUE))*VLOOKUP(Z126,Charge!$K$18:$M$21,3,TRUE),
VLOOKUP(Z126,Charge!$N$18:$P$21,2,TRUE)+(Z126-VLOOKUP(Z126,Charge!$N$18:$P$21,1,TRUE))*VLOOKUP(Z126,Charge!$N$18:$P$21,3,TRUE)),
IF(AND(B126="G3",M126="DG"),IF(R126="20'",
VLOOKUP(Z126,Charge!$R$18:$T$21,2,TRUE)+(Z126-VLOOKUP(Z126,Charge!$R$18:$T$21,1,TRUE))*VLOOKUP(Z126,Charge!$R$18:$T$21,3,TRUE),
VLOOKUP(Z126,Charge!$U$18:$W$21,2,TRUE)+(Z126-VLOOKUP(Z126,Charge!$U$18:$W$21,1,TRUE))*VLOOKUP(Z126,Charge!$U$18:$W$21,3,TRUE)),
IF(AND(B126="G2",M126=""),IF(R126="20'",
VLOOKUP(Z126,Charge!$K$9:$M$12,2,TRUE)+(Z126-VLOOKUP(Z126,Charge!$K$9:$M$12,1,TRUE))*VLOOKUP(Z126,Charge!$K$9:$M$12,3,TRUE),
VLOOKUP(Z126,Charge!$N$9:$P$12,2,TRUE)+(Z126-VLOOKUP(Z126,Charge!$N$9:$P$12,1,TRUE))*VLOOKUP(Z126,Charge!$N$9:$P$12,3,TRUE)),
IF(AND(B126="G2",M126="DG"),IF(R126="20'",
VLOOKUP(Z126,Charge!$R$9:$T$12,2,TRUE)+(Z126-VLOOKUP(Z126,Charge!$R$9:$T$12,1,TRUE))*VLOOKUP(Z126,Charge!$R$9:$T$12,3,TRUE),
VLOOKUP(Z126,Charge!$U$9:$W$12,2,TRUE)+(Z126-VLOOKUP(Z126,Charge!$U$9:$W$12,1,TRUE))*VLOOKUP(Z126,Charge!$U$9:$W$12,3,TRUE)),IF(AND(B126="G4",M126=""),IF(R126="20'",Z126*Charge!$M$25,Z126*Charge!$P$25),IF(AND(B126="G4",M126="DG"),IF(R126="20'",Z126*Charge!$T$25,Z126*Charge!$W$25),0))))))))</f>
        <v>640</v>
      </c>
      <c r="AB126" s="184" t="n"/>
      <c r="AC126" s="184" t="n"/>
      <c r="AD126" s="60">
        <f>IF(M126="DG",3,IF(N126="RF",3,5))+IF(AND(LEFT(C126,3)="BKK",N126="RF",Q126="KTS"),1,0)+IF(Q126="KHS",1,0)</f>
        <v>5</v>
      </c>
      <c r="AE126" s="63">
        <f>(T126-V126)+1</f>
        <v>46304</v>
      </c>
      <c r="AF126" s="63">
        <f>IF(AB126&gt;IF((V126-W126)&gt;0,V126-W126,0),0,IF(AB126&lt;IF((V126-W126)&gt;0,V126-W126,0),IF((V126-W126)&gt;0,V126-W126,0)-AB126,IF((V126-W126)&gt;0,V126-W126,0)))</f>
        <v>0</v>
      </c>
      <c r="AG126" s="187">
        <f>IF(AND(M126=""),IF(R126="20'",
VLOOKUP(AF126,Charge!$K$31:$M$34,2,TRUE)+(AF126-VLOOKUP(AF126,Charge!$K$31:$M$34,1,TRUE))*VLOOKUP(AF126,Charge!$K$31:$M$34,3,TRUE),
VLOOKUP(AF126,Charge!$N$31:$P$34,2,TRUE)+(AF126-VLOOKUP(AF126,Charge!$N$31:$P$34,1,TRUE))*VLOOKUP(AF126,Charge!$N$31:$P$34,3,TRUE)),
IF(AND(M126="DG"),IF(R126="20'",
VLOOKUP(AF126,Charge!$R$31:$T$34,2,TRUE)+(AF126-VLOOKUP(AF126,Charge!$R$31:$T$34,1,TRUE))*VLOOKUP(AF126,Charge!$R$31:$T$34,3,TRUE),
VLOOKUP(AF126,Charge!$U$31:$W$34,2,TRUE)+(AF126-VLOOKUP(AF126,Charge!$U$31:$W$34,1,TRUE))*VLOOKUP(AF126,Charge!$U$31:$W$34,3,TRUE)),0))</f>
        <v>0</v>
      </c>
      <c r="AH126" s="65" t="n"/>
      <c r="AI126" s="65">
        <f>AA126-AH126</f>
        <v>640</v>
      </c>
      <c r="AJ126" s="188" t="n"/>
      <c r="AK126" s="62" t="str">
        <f>VLOOKUP(D126,'2.Bookinglist'!A:CT,40,FALSE)</f>
        <v>Nannaapust Sukporntaweewat</v>
      </c>
      <c r="AL126" s="60" t="str">
        <f>VLOOKUP(D126,'2.Bookinglist'!A:CW,101,FALSE)</f>
        <v>2026-10-05</v>
      </c>
      <c r="AM126" s="60" t="str">
        <f>VLOOKUP(D126,'2.Bookinglist'!A:BK,63,FALSE)</f>
        <v>BKK27</v>
      </c>
      <c r="AN126" s="62" t="str">
        <f>VLOOKUP(D126,'2.Bookinglist'!A:AZ,52,FALSE)</f>
        <v>Pickup : 2026-10-02, Return : 2026-10-02</v>
      </c>
      <c r="AO126" s="62">
        <f>VLOOKUP(D126,'2.Bookinglist'!A:CY,103,FALSE)</f>
        <v>0</v>
      </c>
    </row>
    <row r="127" ht="12.95" customHeight="1">
      <c r="A127" s="96" t="inlineStr">
        <is>
          <t>SKLU1575866</t>
        </is>
      </c>
      <c r="B127" s="184" t="str">
        <f>IF(C127=Charge!$M$1,Charge!$J$1,IF(C127=Charge!$M$23,Charge!$J$23,IF(C127=Charge!$M$17,Charge!$J$17,IF(C127=Charge!$N$17,Charge!$J$17,Charge!$J$7))))</f>
        <v>G3</v>
      </c>
      <c r="C127" s="61" t="str">
        <f>VLOOKUP(A127,'1.Loading'!A:R,14,FALSE)</f>
        <v>BKK04</v>
      </c>
      <c r="D127" s="61" t="str">
        <f>VLOOKUP(A127,'1.Loading'!A:R,17,FALSE)</f>
        <v>HASLS22260901598</v>
      </c>
      <c r="E127" s="62" t="str">
        <f>VLOOKUP(D127,'2.Bookinglist'!A:CT,27,FALSE)</f>
        <v>C.P. INTERTRADE CO., LTD.</v>
      </c>
      <c r="F127" s="62" t="str">
        <f>VLOOKUP(D127,'2.Bookinglist'!A:CT,28,FALSE)</f>
        <v>CHAROEN POKPHAND PRODUCE CO., LTD.</v>
      </c>
      <c r="G127" s="60">
        <f>VLOOKUP(D127,'2.Bookinglist'!A:E,5,FALSE)</f>
        <v>0</v>
      </c>
      <c r="H127" s="61" t="str">
        <f>VLOOKUP(D127,'2.Bookinglist'!A:CT,15,FALSE)</f>
        <v>THBKK</v>
      </c>
      <c r="I127" s="61" t="str">
        <f>VLOOKUP(D127,'2.Bookinglist'!A:CT,19,FALSE)</f>
        <v>VNSGN</v>
      </c>
      <c r="J127" s="61">
        <f>VLOOKUP(D127,'2.Bookinglist'!A:CT,26,FALSE)</f>
        <v>0</v>
      </c>
      <c r="K127" s="61" t="str">
        <f>VLOOKUP(A127,'1.Loading'!A:R,5,FALSE)</f>
        <v>22GP</v>
      </c>
      <c r="L127" s="60" t="str">
        <f>VLOOKUP(D127,'2.Bookinglist'!A:CT,85,FALSE)</f>
        <v>CY/CY</v>
      </c>
      <c r="M127" s="60" t="str">
        <f>IF(VLOOKUP(D127,'2.Bookinglist'!A:CT,43,FALSE)=0,"","DG")</f>
        <v/>
      </c>
      <c r="N127" s="60" t="str">
        <f>IF(RIGHT(K127,2)="RE","RF","")</f>
        <v/>
      </c>
      <c r="O127" s="61" t="str">
        <f>VLOOKUP(A127,'1.Loading'!A:R,3,FALSE)</f>
        <v>SWSP</v>
      </c>
      <c r="P127" s="61" t="str">
        <f>VLOOKUP(A127,'1.Loading'!A:R,4,FALSE)</f>
        <v>2609N</v>
      </c>
      <c r="Q127" s="61" t="str">
        <f>VLOOKUP(D127,'2.Bookinglist'!A:CT,12,FALSE)</f>
        <v>BTS</v>
      </c>
      <c r="R127" s="60" t="str">
        <f>IF(LEFT(K127,2)="22","20'","40'")</f>
        <v>20'</v>
      </c>
      <c r="S127" s="185" t="n"/>
      <c r="T127" s="61" t="str">
        <f>VLOOKUP(A127,'1.Loading'!A:R,2,FALSE)</f>
        <v>2026-10-08</v>
      </c>
      <c r="U127" s="63">
        <f>T127-S127</f>
        <v>46303</v>
      </c>
      <c r="V127" s="186" t="n"/>
      <c r="W127" s="61" t="str">
        <f>VLOOKUP(A127,'3.GateMove'!A:D,4,FALSE)</f>
        <v>2026-10-03</v>
      </c>
      <c r="X127" s="63">
        <f>((T127-W127)+1)</f>
        <v>6</v>
      </c>
      <c r="Y127" s="64">
        <f>IF(AND(OR(C127="BKK01",C127="BKK04"),L127="CFS/CY"),0,IF(M127="DG",1,IF(LEFT(C127,3)="LCH",7,IF(C127="BKK02",5,3))))</f>
        <v>3</v>
      </c>
      <c r="Z127" s="63">
        <f>IF(IF(AND(AC127="TML",AB127&gt;0),((T127-W127)+1)-AB127,((T127-W127)+1)-Y127)&gt;0,IF(AND(AC127="TML",AB127&gt;0),((T127-W127)+1)-AB127,((T127-W127)+1)-Y127),0)</f>
        <v>3</v>
      </c>
      <c r="AA127" s="187">
        <f>IF(AND(B127="G1",M127=""),IF(R127="20'",
VLOOKUP(Z127,Charge!$K$2:$M$5,2,TRUE)+(Z127-VLOOKUP(Z127,Charge!$K$2:$M$5,1,TRUE))*VLOOKUP(Z127,Charge!$K$2:$M$5,3,TRUE),
VLOOKUP(Z127,Charge!$N$2:$P$5,2,TRUE)+(Z127-VLOOKUP(Z127,Charge!$N$2:$P$5,1,TRUE))*VLOOKUP(Z127,Charge!$N$2:$P$5,3,TRUE)),
IF(AND(B127="G1",M127="DG"),IF(R127="20'",
VLOOKUP(Z127,Charge!$R$2:$T$5,2,TRUE)+(Z127-VLOOKUP(Z127,Charge!$R$2:$T$5,1,TRUE))*VLOOKUP(Z127,Charge!$R$2:$T$5,3,TRUE),
VLOOKUP(Z127,Charge!$U$2:$W$5,2,TRUE)+(Z127-VLOOKUP(Z127,Charge!$U$2:$W$5,1,TRUE))*VLOOKUP(Z127,Charge!$U$2:$W$5,3,TRUE)),
IF(AND(B127="G3",M127=""),IF(R127="20'",
VLOOKUP(Z127,Charge!$K$18:$M$21,2,TRUE)+(Z127-VLOOKUP(Z127,Charge!$K$18:$M$21,1,TRUE))*VLOOKUP(Z127,Charge!$K$18:$M$21,3,TRUE),
VLOOKUP(Z127,Charge!$N$18:$P$21,2,TRUE)+(Z127-VLOOKUP(Z127,Charge!$N$18:$P$21,1,TRUE))*VLOOKUP(Z127,Charge!$N$18:$P$21,3,TRUE)),
IF(AND(B127="G3",M127="DG"),IF(R127="20'",
VLOOKUP(Z127,Charge!$R$18:$T$21,2,TRUE)+(Z127-VLOOKUP(Z127,Charge!$R$18:$T$21,1,TRUE))*VLOOKUP(Z127,Charge!$R$18:$T$21,3,TRUE),
VLOOKUP(Z127,Charge!$U$18:$W$21,2,TRUE)+(Z127-VLOOKUP(Z127,Charge!$U$18:$W$21,1,TRUE))*VLOOKUP(Z127,Charge!$U$18:$W$21,3,TRUE)),
IF(AND(B127="G2",M127=""),IF(R127="20'",
VLOOKUP(Z127,Charge!$K$9:$M$12,2,TRUE)+(Z127-VLOOKUP(Z127,Charge!$K$9:$M$12,1,TRUE))*VLOOKUP(Z127,Charge!$K$9:$M$12,3,TRUE),
VLOOKUP(Z127,Charge!$N$9:$P$12,2,TRUE)+(Z127-VLOOKUP(Z127,Charge!$N$9:$P$12,1,TRUE))*VLOOKUP(Z127,Charge!$N$9:$P$12,3,TRUE)),
IF(AND(B127="G2",M127="DG"),IF(R127="20'",
VLOOKUP(Z127,Charge!$R$9:$T$12,2,TRUE)+(Z127-VLOOKUP(Z127,Charge!$R$9:$T$12,1,TRUE))*VLOOKUP(Z127,Charge!$R$9:$T$12,3,TRUE),
VLOOKUP(Z127,Charge!$U$9:$W$12,2,TRUE)+(Z127-VLOOKUP(Z127,Charge!$U$9:$W$12,1,TRUE))*VLOOKUP(Z127,Charge!$U$9:$W$12,3,TRUE)),IF(AND(B127="G4",M127=""),IF(R127="20'",Z127*Charge!$M$25,Z127*Charge!$P$25),IF(AND(B127="G4",M127="DG"),IF(R127="20'",Z127*Charge!$T$25,Z127*Charge!$W$25),0))))))))</f>
        <v>480</v>
      </c>
      <c r="AB127" s="184" t="n"/>
      <c r="AC127" s="184" t="n"/>
      <c r="AD127" s="60">
        <f>IF(M127="DG",3,IF(N127="RF",3,5))+IF(AND(LEFT(C127,3)="BKK",N127="RF",Q127="KTS"),1,0)+IF(Q127="KHS",1,0)</f>
        <v>5</v>
      </c>
      <c r="AE127" s="63">
        <f>(T127-V127)+1</f>
        <v>46304</v>
      </c>
      <c r="AF127" s="63">
        <f>IF(AB127&gt;IF((V127-W127)&gt;0,V127-W127,0),0,IF(AB127&lt;IF((V127-W127)&gt;0,V127-W127,0),IF((V127-W127)&gt;0,V127-W127,0)-AB127,IF((V127-W127)&gt;0,V127-W127,0)))</f>
        <v>0</v>
      </c>
      <c r="AG127" s="187">
        <f>IF(AND(M127=""),IF(R127="20'",
VLOOKUP(AF127,Charge!$K$31:$M$34,2,TRUE)+(AF127-VLOOKUP(AF127,Charge!$K$31:$M$34,1,TRUE))*VLOOKUP(AF127,Charge!$K$31:$M$34,3,TRUE),
VLOOKUP(AF127,Charge!$N$31:$P$34,2,TRUE)+(AF127-VLOOKUP(AF127,Charge!$N$31:$P$34,1,TRUE))*VLOOKUP(AF127,Charge!$N$31:$P$34,3,TRUE)),
IF(AND(M127="DG"),IF(R127="20'",
VLOOKUP(AF127,Charge!$R$31:$T$34,2,TRUE)+(AF127-VLOOKUP(AF127,Charge!$R$31:$T$34,1,TRUE))*VLOOKUP(AF127,Charge!$R$31:$T$34,3,TRUE),
VLOOKUP(AF127,Charge!$U$31:$W$34,2,TRUE)+(AF127-VLOOKUP(AF127,Charge!$U$31:$W$34,1,TRUE))*VLOOKUP(AF127,Charge!$U$31:$W$34,3,TRUE)),0))</f>
        <v>0</v>
      </c>
      <c r="AH127" s="65" t="n"/>
      <c r="AI127" s="65">
        <f>AA127-AH127</f>
        <v>480</v>
      </c>
      <c r="AJ127" s="188" t="n"/>
      <c r="AK127" s="62" t="str">
        <f>VLOOKUP(D127,'2.Bookinglist'!A:CT,40,FALSE)</f>
        <v>Vilaiporn</v>
      </c>
      <c r="AL127" s="60" t="str">
        <f>VLOOKUP(D127,'2.Bookinglist'!A:CW,101,FALSE)</f>
        <v>2026-10-07</v>
      </c>
      <c r="AM127" s="60" t="str">
        <f>VLOOKUP(D127,'2.Bookinglist'!A:BK,63,FALSE)</f>
        <v>BKK27</v>
      </c>
      <c r="AN127" s="62" t="str">
        <f>VLOOKUP(D127,'2.Bookinglist'!A:AZ,52,FALSE)</f>
        <v>Pickup : 2026-10-01, Return : 2026-10-02</v>
      </c>
      <c r="AO127" s="62">
        <f>VLOOKUP(D127,'2.Bookinglist'!A:CY,103,FALSE)</f>
        <v>0</v>
      </c>
    </row>
    <row r="128" ht="12.95" customHeight="1">
      <c r="A128" s="96" t="inlineStr">
        <is>
          <t>SKLU1581370</t>
        </is>
      </c>
      <c r="B128" s="184" t="str">
        <f>IF(C128=Charge!$M$1,Charge!$J$1,IF(C128=Charge!$M$23,Charge!$J$23,IF(C128=Charge!$M$17,Charge!$J$17,IF(C128=Charge!$N$17,Charge!$J$17,Charge!$J$7))))</f>
        <v>G3</v>
      </c>
      <c r="C128" s="61" t="str">
        <f>VLOOKUP(A128,'1.Loading'!A:R,14,FALSE)</f>
        <v>BKK04</v>
      </c>
      <c r="D128" s="61" t="str">
        <f>VLOOKUP(A128,'1.Loading'!A:R,17,FALSE)</f>
        <v>HASLS22260900916</v>
      </c>
      <c r="E128" s="62" t="str">
        <f>VLOOKUP(D128,'2.Bookinglist'!A:CT,27,FALSE)</f>
        <v>MJ LOGISTICS (THAILAND) CO., LTD.</v>
      </c>
      <c r="F128" s="62" t="str">
        <f>VLOOKUP(D128,'2.Bookinglist'!A:CT,28,FALSE)</f>
        <v>RIVER KWAI INTERNATIONAL FOOD INDUSTRY CO., LTD.</v>
      </c>
      <c r="G128" s="60">
        <f>VLOOKUP(D128,'2.Bookinglist'!A:E,5,FALSE)</f>
        <v>0</v>
      </c>
      <c r="H128" s="61" t="str">
        <f>VLOOKUP(D128,'2.Bookinglist'!A:CT,15,FALSE)</f>
        <v>THBKK</v>
      </c>
      <c r="I128" s="61" t="str">
        <f>VLOOKUP(D128,'2.Bookinglist'!A:CT,19,FALSE)</f>
        <v>RUVVO</v>
      </c>
      <c r="J128" s="61" t="str">
        <f>VLOOKUP(D128,'2.Bookinglist'!A:CT,26,FALSE)</f>
        <v>KRPUS</v>
      </c>
      <c r="K128" s="61" t="str">
        <f>VLOOKUP(A128,'1.Loading'!A:R,5,FALSE)</f>
        <v>22GP</v>
      </c>
      <c r="L128" s="60" t="str">
        <f>VLOOKUP(D128,'2.Bookinglist'!A:CT,85,FALSE)</f>
        <v>CY/CY</v>
      </c>
      <c r="M128" s="60" t="str">
        <f>IF(VLOOKUP(D128,'2.Bookinglist'!A:CT,43,FALSE)=0,"","DG")</f>
        <v/>
      </c>
      <c r="N128" s="60" t="str">
        <f>IF(RIGHT(K128,2)="RE","RF","")</f>
        <v/>
      </c>
      <c r="O128" s="61" t="str">
        <f>VLOOKUP(A128,'1.Loading'!A:R,3,FALSE)</f>
        <v>SWSP</v>
      </c>
      <c r="P128" s="61" t="str">
        <f>VLOOKUP(A128,'1.Loading'!A:R,4,FALSE)</f>
        <v>2609N</v>
      </c>
      <c r="Q128" s="61" t="str">
        <f>VLOOKUP(D128,'2.Bookinglist'!A:CT,12,FALSE)</f>
        <v>BTS</v>
      </c>
      <c r="R128" s="60" t="str">
        <f>IF(LEFT(K128,2)="22","20'","40'")</f>
        <v>20'</v>
      </c>
      <c r="S128" s="185" t="n"/>
      <c r="T128" s="61" t="str">
        <f>VLOOKUP(A128,'1.Loading'!A:R,2,FALSE)</f>
        <v>2026-10-08</v>
      </c>
      <c r="U128" s="63">
        <f>T128-S128</f>
        <v>46303</v>
      </c>
      <c r="V128" s="186" t="n"/>
      <c r="W128" s="61" t="str">
        <f>VLOOKUP(A128,'3.GateMove'!A:D,4,FALSE)</f>
        <v>2026-10-03</v>
      </c>
      <c r="X128" s="63">
        <f>((T128-W128)+1)</f>
        <v>6</v>
      </c>
      <c r="Y128" s="64">
        <f>IF(AND(OR(C128="BKK01",C128="BKK04"),L128="CFS/CY"),0,IF(M128="DG",1,IF(LEFT(C128,3)="LCH",7,IF(C128="BKK02",5,3))))</f>
        <v>3</v>
      </c>
      <c r="Z128" s="63">
        <f>IF(IF(AND(AC128="TML",AB128&gt;0),((T128-W128)+1)-AB128,((T128-W128)+1)-Y128)&gt;0,IF(AND(AC128="TML",AB128&gt;0),((T128-W128)+1)-AB128,((T128-W128)+1)-Y128),0)</f>
        <v>3</v>
      </c>
      <c r="AA128" s="187">
        <f>IF(AND(B128="G1",M128=""),IF(R128="20'",
VLOOKUP(Z128,Charge!$K$2:$M$5,2,TRUE)+(Z128-VLOOKUP(Z128,Charge!$K$2:$M$5,1,TRUE))*VLOOKUP(Z128,Charge!$K$2:$M$5,3,TRUE),
VLOOKUP(Z128,Charge!$N$2:$P$5,2,TRUE)+(Z128-VLOOKUP(Z128,Charge!$N$2:$P$5,1,TRUE))*VLOOKUP(Z128,Charge!$N$2:$P$5,3,TRUE)),
IF(AND(B128="G1",M128="DG"),IF(R128="20'",
VLOOKUP(Z128,Charge!$R$2:$T$5,2,TRUE)+(Z128-VLOOKUP(Z128,Charge!$R$2:$T$5,1,TRUE))*VLOOKUP(Z128,Charge!$R$2:$T$5,3,TRUE),
VLOOKUP(Z128,Charge!$U$2:$W$5,2,TRUE)+(Z128-VLOOKUP(Z128,Charge!$U$2:$W$5,1,TRUE))*VLOOKUP(Z128,Charge!$U$2:$W$5,3,TRUE)),
IF(AND(B128="G3",M128=""),IF(R128="20'",
VLOOKUP(Z128,Charge!$K$18:$M$21,2,TRUE)+(Z128-VLOOKUP(Z128,Charge!$K$18:$M$21,1,TRUE))*VLOOKUP(Z128,Charge!$K$18:$M$21,3,TRUE),
VLOOKUP(Z128,Charge!$N$18:$P$21,2,TRUE)+(Z128-VLOOKUP(Z128,Charge!$N$18:$P$21,1,TRUE))*VLOOKUP(Z128,Charge!$N$18:$P$21,3,TRUE)),
IF(AND(B128="G3",M128="DG"),IF(R128="20'",
VLOOKUP(Z128,Charge!$R$18:$T$21,2,TRUE)+(Z128-VLOOKUP(Z128,Charge!$R$18:$T$21,1,TRUE))*VLOOKUP(Z128,Charge!$R$18:$T$21,3,TRUE),
VLOOKUP(Z128,Charge!$U$18:$W$21,2,TRUE)+(Z128-VLOOKUP(Z128,Charge!$U$18:$W$21,1,TRUE))*VLOOKUP(Z128,Charge!$U$18:$W$21,3,TRUE)),
IF(AND(B128="G2",M128=""),IF(R128="20'",
VLOOKUP(Z128,Charge!$K$9:$M$12,2,TRUE)+(Z128-VLOOKUP(Z128,Charge!$K$9:$M$12,1,TRUE))*VLOOKUP(Z128,Charge!$K$9:$M$12,3,TRUE),
VLOOKUP(Z128,Charge!$N$9:$P$12,2,TRUE)+(Z128-VLOOKUP(Z128,Charge!$N$9:$P$12,1,TRUE))*VLOOKUP(Z128,Charge!$N$9:$P$12,3,TRUE)),
IF(AND(B128="G2",M128="DG"),IF(R128="20'",
VLOOKUP(Z128,Charge!$R$9:$T$12,2,TRUE)+(Z128-VLOOKUP(Z128,Charge!$R$9:$T$12,1,TRUE))*VLOOKUP(Z128,Charge!$R$9:$T$12,3,TRUE),
VLOOKUP(Z128,Charge!$U$9:$W$12,2,TRUE)+(Z128-VLOOKUP(Z128,Charge!$U$9:$W$12,1,TRUE))*VLOOKUP(Z128,Charge!$U$9:$W$12,3,TRUE)),IF(AND(B128="G4",M128=""),IF(R128="20'",Z128*Charge!$M$25,Z128*Charge!$P$25),IF(AND(B128="G4",M128="DG"),IF(R128="20'",Z128*Charge!$T$25,Z128*Charge!$W$25),0))))))))</f>
        <v>480</v>
      </c>
      <c r="AB128" s="184" t="n"/>
      <c r="AC128" s="184" t="n"/>
      <c r="AD128" s="60">
        <f>IF(M128="DG",3,IF(N128="RF",3,5))+IF(AND(LEFT(C128,3)="BKK",N128="RF",Q128="KTS"),1,0)+IF(Q128="KHS",1,0)</f>
        <v>5</v>
      </c>
      <c r="AE128" s="63">
        <f>(T128-V128)+1</f>
        <v>46304</v>
      </c>
      <c r="AF128" s="63">
        <f>IF(AB128&gt;IF((V128-W128)&gt;0,V128-W128,0),0,IF(AB128&lt;IF((V128-W128)&gt;0,V128-W128,0),IF((V128-W128)&gt;0,V128-W128,0)-AB128,IF((V128-W128)&gt;0,V128-W128,0)))</f>
        <v>0</v>
      </c>
      <c r="AG128" s="187">
        <f>IF(AND(M128=""),IF(R128="20'",
VLOOKUP(AF128,Charge!$K$31:$M$34,2,TRUE)+(AF128-VLOOKUP(AF128,Charge!$K$31:$M$34,1,TRUE))*VLOOKUP(AF128,Charge!$K$31:$M$34,3,TRUE),
VLOOKUP(AF128,Charge!$N$31:$P$34,2,TRUE)+(AF128-VLOOKUP(AF128,Charge!$N$31:$P$34,1,TRUE))*VLOOKUP(AF128,Charge!$N$31:$P$34,3,TRUE)),
IF(AND(M128="DG"),IF(R128="20'",
VLOOKUP(AF128,Charge!$R$31:$T$34,2,TRUE)+(AF128-VLOOKUP(AF128,Charge!$R$31:$T$34,1,TRUE))*VLOOKUP(AF128,Charge!$R$31:$T$34,3,TRUE),
VLOOKUP(AF128,Charge!$U$31:$W$34,2,TRUE)+(AF128-VLOOKUP(AF128,Charge!$U$31:$W$34,1,TRUE))*VLOOKUP(AF128,Charge!$U$31:$W$34,3,TRUE)),0))</f>
        <v>0</v>
      </c>
      <c r="AH128" s="65" t="n"/>
      <c r="AI128" s="65">
        <f>AA128-AH128</f>
        <v>480</v>
      </c>
      <c r="AJ128" s="188" t="n"/>
      <c r="AK128" s="62" t="str">
        <f>VLOOKUP(D128,'2.Bookinglist'!A:CT,40,FALSE)</f>
        <v>KIM JEONG HWAN</v>
      </c>
      <c r="AL128" s="60" t="str">
        <f>VLOOKUP(D128,'2.Bookinglist'!A:CW,101,FALSE)</f>
        <v>2026-10-07</v>
      </c>
      <c r="AM128" s="60" t="str">
        <f>VLOOKUP(D128,'2.Bookinglist'!A:BK,63,FALSE)</f>
        <v>BKK27</v>
      </c>
      <c r="AN128" s="62" t="str">
        <f>VLOOKUP(D128,'2.Bookinglist'!A:AZ,52,FALSE)</f>
        <v>SWSP/2609N/10/18[FIX] Pickup : 2026-10-02, Return : 2026-10-03</v>
      </c>
      <c r="AO128" s="62">
        <f>VLOOKUP(D128,'2.Bookinglist'!A:CY,103,FALSE)</f>
        <v>0</v>
      </c>
    </row>
    <row r="129" ht="12.95" customHeight="1">
      <c r="A129" s="96" t="inlineStr">
        <is>
          <t>SKLU1582037</t>
        </is>
      </c>
      <c r="B129" s="184" t="str">
        <f>IF(C129=Charge!$M$1,Charge!$J$1,IF(C129=Charge!$M$23,Charge!$J$23,IF(C129=Charge!$M$17,Charge!$J$17,IF(C129=Charge!$N$17,Charge!$J$17,Charge!$J$7))))</f>
        <v>G3</v>
      </c>
      <c r="C129" s="61" t="str">
        <f>VLOOKUP(A129,'1.Loading'!A:R,14,FALSE)</f>
        <v>BKK04</v>
      </c>
      <c r="D129" s="61" t="str">
        <f>VLOOKUP(A129,'1.Loading'!A:R,17,FALSE)</f>
        <v>HASLS22260800838</v>
      </c>
      <c r="E129" s="62" t="str">
        <f>VLOOKUP(D129,'2.Bookinglist'!A:CT,27,FALSE)</f>
        <v>SCGJWD LOGISTICS PUBLIC COMPANY LIMITED</v>
      </c>
      <c r="F129" s="62" t="str">
        <f>VLOOKUP(D129,'2.Bookinglist'!A:CT,28,FALSE)</f>
        <v>SCG INTERNATIONAL CORPORATION CO., LTD.</v>
      </c>
      <c r="G129" s="60">
        <f>VLOOKUP(D129,'2.Bookinglist'!A:E,5,FALSE)</f>
        <v>0</v>
      </c>
      <c r="H129" s="61" t="str">
        <f>VLOOKUP(D129,'2.Bookinglist'!A:CT,15,FALSE)</f>
        <v>THBKK</v>
      </c>
      <c r="I129" s="61" t="str">
        <f>VLOOKUP(D129,'2.Bookinglist'!A:CT,19,FALSE)</f>
        <v>VNSGN</v>
      </c>
      <c r="J129" s="61">
        <f>VLOOKUP(D129,'2.Bookinglist'!A:CT,26,FALSE)</f>
        <v>0</v>
      </c>
      <c r="K129" s="61" t="str">
        <f>VLOOKUP(A129,'1.Loading'!A:R,5,FALSE)</f>
        <v>22GP</v>
      </c>
      <c r="L129" s="60" t="str">
        <f>VLOOKUP(D129,'2.Bookinglist'!A:CT,85,FALSE)</f>
        <v>CY/CY</v>
      </c>
      <c r="M129" s="60" t="str">
        <f>IF(VLOOKUP(D129,'2.Bookinglist'!A:CT,43,FALSE)=0,"","DG")</f>
        <v/>
      </c>
      <c r="N129" s="60" t="str">
        <f>IF(RIGHT(K129,2)="RE","RF","")</f>
        <v/>
      </c>
      <c r="O129" s="61" t="str">
        <f>VLOOKUP(A129,'1.Loading'!A:R,3,FALSE)</f>
        <v>SWSP</v>
      </c>
      <c r="P129" s="61" t="str">
        <f>VLOOKUP(A129,'1.Loading'!A:R,4,FALSE)</f>
        <v>2609N</v>
      </c>
      <c r="Q129" s="61" t="str">
        <f>VLOOKUP(D129,'2.Bookinglist'!A:CT,12,FALSE)</f>
        <v>BTS</v>
      </c>
      <c r="R129" s="60" t="str">
        <f>IF(LEFT(K129,2)="22","20'","40'")</f>
        <v>20'</v>
      </c>
      <c r="S129" s="185" t="n"/>
      <c r="T129" s="61" t="str">
        <f>VLOOKUP(A129,'1.Loading'!A:R,2,FALSE)</f>
        <v>2026-10-08</v>
      </c>
      <c r="U129" s="63">
        <f>T129-S129</f>
        <v>46303</v>
      </c>
      <c r="V129" s="186" t="n"/>
      <c r="W129" s="61" t="str">
        <f>VLOOKUP(A129,'3.GateMove'!A:D,4,FALSE)</f>
        <v>2026-09-28</v>
      </c>
      <c r="X129" s="63">
        <f>((T129-W129)+1)</f>
        <v>11</v>
      </c>
      <c r="Y129" s="64">
        <f>IF(AND(OR(C129="BKK01",C129="BKK04"),L129="CFS/CY"),0,IF(M129="DG",1,IF(LEFT(C129,3)="LCH",7,IF(C129="BKK02",5,3))))</f>
        <v>3</v>
      </c>
      <c r="Z129" s="63">
        <f>IF(IF(AND(AC129="TML",AB129&gt;0),((T129-W129)+1)-AB129,((T129-W129)+1)-Y129)&gt;0,IF(AND(AC129="TML",AB129&gt;0),((T129-W129)+1)-AB129,((T129-W129)+1)-Y129),0)</f>
        <v>8</v>
      </c>
      <c r="AA129" s="187">
        <f>IF(AND(B129="G1",M129=""),IF(R129="20'",
VLOOKUP(Z129,Charge!$K$2:$M$5,2,TRUE)+(Z129-VLOOKUP(Z129,Charge!$K$2:$M$5,1,TRUE))*VLOOKUP(Z129,Charge!$K$2:$M$5,3,TRUE),
VLOOKUP(Z129,Charge!$N$2:$P$5,2,TRUE)+(Z129-VLOOKUP(Z129,Charge!$N$2:$P$5,1,TRUE))*VLOOKUP(Z129,Charge!$N$2:$P$5,3,TRUE)),
IF(AND(B129="G1",M129="DG"),IF(R129="20'",
VLOOKUP(Z129,Charge!$R$2:$T$5,2,TRUE)+(Z129-VLOOKUP(Z129,Charge!$R$2:$T$5,1,TRUE))*VLOOKUP(Z129,Charge!$R$2:$T$5,3,TRUE),
VLOOKUP(Z129,Charge!$U$2:$W$5,2,TRUE)+(Z129-VLOOKUP(Z129,Charge!$U$2:$W$5,1,TRUE))*VLOOKUP(Z129,Charge!$U$2:$W$5,3,TRUE)),
IF(AND(B129="G3",M129=""),IF(R129="20'",
VLOOKUP(Z129,Charge!$K$18:$M$21,2,TRUE)+(Z129-VLOOKUP(Z129,Charge!$K$18:$M$21,1,TRUE))*VLOOKUP(Z129,Charge!$K$18:$M$21,3,TRUE),
VLOOKUP(Z129,Charge!$N$18:$P$21,2,TRUE)+(Z129-VLOOKUP(Z129,Charge!$N$18:$P$21,1,TRUE))*VLOOKUP(Z129,Charge!$N$18:$P$21,3,TRUE)),
IF(AND(B129="G3",M129="DG"),IF(R129="20'",
VLOOKUP(Z129,Charge!$R$18:$T$21,2,TRUE)+(Z129-VLOOKUP(Z129,Charge!$R$18:$T$21,1,TRUE))*VLOOKUP(Z129,Charge!$R$18:$T$21,3,TRUE),
VLOOKUP(Z129,Charge!$U$18:$W$21,2,TRUE)+(Z129-VLOOKUP(Z129,Charge!$U$18:$W$21,1,TRUE))*VLOOKUP(Z129,Charge!$U$18:$W$21,3,TRUE)),
IF(AND(B129="G2",M129=""),IF(R129="20'",
VLOOKUP(Z129,Charge!$K$9:$M$12,2,TRUE)+(Z129-VLOOKUP(Z129,Charge!$K$9:$M$12,1,TRUE))*VLOOKUP(Z129,Charge!$K$9:$M$12,3,TRUE),
VLOOKUP(Z129,Charge!$N$9:$P$12,2,TRUE)+(Z129-VLOOKUP(Z129,Charge!$N$9:$P$12,1,TRUE))*VLOOKUP(Z129,Charge!$N$9:$P$12,3,TRUE)),
IF(AND(B129="G2",M129="DG"),IF(R129="20'",
VLOOKUP(Z129,Charge!$R$9:$T$12,2,TRUE)+(Z129-VLOOKUP(Z129,Charge!$R$9:$T$12,1,TRUE))*VLOOKUP(Z129,Charge!$R$9:$T$12,3,TRUE),
VLOOKUP(Z129,Charge!$U$9:$W$12,2,TRUE)+(Z129-VLOOKUP(Z129,Charge!$U$9:$W$12,1,TRUE))*VLOOKUP(Z129,Charge!$U$9:$W$12,3,TRUE)),IF(AND(B129="G4",M129=""),IF(R129="20'",Z129*Charge!$M$25,Z129*Charge!$P$25),IF(AND(B129="G4",M129="DG"),IF(R129="20'",Z129*Charge!$T$25,Z129*Charge!$W$25),0))))))))</f>
        <v>1395</v>
      </c>
      <c r="AB129" s="184" t="n"/>
      <c r="AC129" s="184" t="n"/>
      <c r="AD129" s="60">
        <f>IF(M129="DG",3,IF(N129="RF",3,5))+IF(AND(LEFT(C129,3)="BKK",N129="RF",Q129="KTS"),1,0)+IF(Q129="KHS",1,0)</f>
        <v>5</v>
      </c>
      <c r="AE129" s="63">
        <f>(T129-V129)+1</f>
        <v>46304</v>
      </c>
      <c r="AF129" s="63">
        <f>IF(AB129&gt;IF((V129-W129)&gt;0,V129-W129,0),0,IF(AB129&lt;IF((V129-W129)&gt;0,V129-W129,0),IF((V129-W129)&gt;0,V129-W129,0)-AB129,IF((V129-W129)&gt;0,V129-W129,0)))</f>
        <v>0</v>
      </c>
      <c r="AG129" s="187">
        <f>IF(AND(M129=""),IF(R129="20'",
VLOOKUP(AF129,Charge!$K$31:$M$34,2,TRUE)+(AF129-VLOOKUP(AF129,Charge!$K$31:$M$34,1,TRUE))*VLOOKUP(AF129,Charge!$K$31:$M$34,3,TRUE),
VLOOKUP(AF129,Charge!$N$31:$P$34,2,TRUE)+(AF129-VLOOKUP(AF129,Charge!$N$31:$P$34,1,TRUE))*VLOOKUP(AF129,Charge!$N$31:$P$34,3,TRUE)),
IF(AND(M129="DG"),IF(R129="20'",
VLOOKUP(AF129,Charge!$R$31:$T$34,2,TRUE)+(AF129-VLOOKUP(AF129,Charge!$R$31:$T$34,1,TRUE))*VLOOKUP(AF129,Charge!$R$31:$T$34,3,TRUE),
VLOOKUP(AF129,Charge!$U$31:$W$34,2,TRUE)+(AF129-VLOOKUP(AF129,Charge!$U$31:$W$34,1,TRUE))*VLOOKUP(AF129,Charge!$U$31:$W$34,3,TRUE)),0))</f>
        <v>0</v>
      </c>
      <c r="AH129" s="65" t="n"/>
      <c r="AI129" s="65">
        <f>AA129-AH129</f>
        <v>1395</v>
      </c>
      <c r="AJ129" s="188" t="n"/>
      <c r="AK129" s="62" t="str">
        <f>VLOOKUP(D129,'2.Bookinglist'!A:CT,40,FALSE)</f>
        <v>Kanokporn</v>
      </c>
      <c r="AL129" s="60" t="str">
        <f>VLOOKUP(D129,'2.Bookinglist'!A:CW,101,FALSE)</f>
        <v>2026-10-07</v>
      </c>
      <c r="AM129" s="60" t="str">
        <f>VLOOKUP(D129,'2.Bookinglist'!A:BK,63,FALSE)</f>
        <v>BKK27</v>
      </c>
      <c r="AN129" s="62" t="str">
        <f>VLOOKUP(D129,'2.Bookinglist'!A:AZ,52,FALSE)</f>
        <v>CY-RTN : 28-28/09/2026 (1ST RETURN 28/09/26)
(JB2606177029) </v>
      </c>
      <c r="AO129" s="62" t="str">
        <f>VLOOKUP(D129,'2.Bookinglist'!A:CY,103,FALSE)</f>
        <v>ROLL OVER FROM PREVIOUS VSL KMBK 2611N BY ALLOCATION TEAM MS.TARN APPROVED COST IS UNDER HAL DD.01/10</v>
      </c>
    </row>
    <row r="130" ht="12.95" customHeight="1">
      <c r="A130" s="96" t="inlineStr">
        <is>
          <t>SKLU1587321</t>
        </is>
      </c>
      <c r="B130" s="184" t="str">
        <f>IF(C130=Charge!$M$1,Charge!$J$1,IF(C130=Charge!$M$23,Charge!$J$23,IF(C130=Charge!$M$17,Charge!$J$17,IF(C130=Charge!$N$17,Charge!$J$17,Charge!$J$7))))</f>
        <v>G3</v>
      </c>
      <c r="C130" s="61" t="str">
        <f>VLOOKUP(A130,'1.Loading'!A:R,14,FALSE)</f>
        <v>BKK04</v>
      </c>
      <c r="D130" s="61" t="str">
        <f>VLOOKUP(A130,'1.Loading'!A:R,17,FALSE)</f>
        <v>HASLS22260900630</v>
      </c>
      <c r="E130" s="62" t="str">
        <f>VLOOKUP(D130,'2.Bookinglist'!A:CT,27,FALSE)</f>
        <v>ICONS GLOBAL LOGISTICS CO., LTD.</v>
      </c>
      <c r="F130" s="62" t="str">
        <f>VLOOKUP(D130,'2.Bookinglist'!A:CT,28,FALSE)</f>
        <v>THANAKORN VEGETABLE OIL PRODUCTS CO., LTD.</v>
      </c>
      <c r="G130" s="60">
        <f>VLOOKUP(D130,'2.Bookinglist'!A:E,5,FALSE)</f>
        <v>0</v>
      </c>
      <c r="H130" s="61" t="str">
        <f>VLOOKUP(D130,'2.Bookinglist'!A:CT,15,FALSE)</f>
        <v>THBKK</v>
      </c>
      <c r="I130" s="61" t="str">
        <f>VLOOKUP(D130,'2.Bookinglist'!A:CT,19,FALSE)</f>
        <v>VNSGN</v>
      </c>
      <c r="J130" s="61">
        <f>VLOOKUP(D130,'2.Bookinglist'!A:CT,26,FALSE)</f>
        <v>0</v>
      </c>
      <c r="K130" s="61" t="str">
        <f>VLOOKUP(A130,'1.Loading'!A:R,5,FALSE)</f>
        <v>22GP</v>
      </c>
      <c r="L130" s="60" t="str">
        <f>VLOOKUP(D130,'2.Bookinglist'!A:CT,85,FALSE)</f>
        <v>CY/CY</v>
      </c>
      <c r="M130" s="60" t="str">
        <f>IF(VLOOKUP(D130,'2.Bookinglist'!A:CT,43,FALSE)=0,"","DG")</f>
        <v/>
      </c>
      <c r="N130" s="60" t="str">
        <f>IF(RIGHT(K130,2)="RE","RF","")</f>
        <v/>
      </c>
      <c r="O130" s="61" t="str">
        <f>VLOOKUP(A130,'1.Loading'!A:R,3,FALSE)</f>
        <v>SWSP</v>
      </c>
      <c r="P130" s="61" t="str">
        <f>VLOOKUP(A130,'1.Loading'!A:R,4,FALSE)</f>
        <v>2609N</v>
      </c>
      <c r="Q130" s="61" t="str">
        <f>VLOOKUP(D130,'2.Bookinglist'!A:CT,12,FALSE)</f>
        <v>BTS</v>
      </c>
      <c r="R130" s="60" t="str">
        <f>IF(LEFT(K130,2)="22","20'","40'")</f>
        <v>20'</v>
      </c>
      <c r="S130" s="185" t="n"/>
      <c r="T130" s="61" t="str">
        <f>VLOOKUP(A130,'1.Loading'!A:R,2,FALSE)</f>
        <v>2026-10-08</v>
      </c>
      <c r="U130" s="63">
        <f>T130-S130</f>
        <v>46303</v>
      </c>
      <c r="V130" s="186" t="n"/>
      <c r="W130" s="61" t="str">
        <f>VLOOKUP(A130,'3.GateMove'!A:D,4,FALSE)</f>
        <v>2026-10-02</v>
      </c>
      <c r="X130" s="63">
        <f>((T130-W130)+1)</f>
        <v>7</v>
      </c>
      <c r="Y130" s="64">
        <f>IF(AND(OR(C130="BKK01",C130="BKK04"),L130="CFS/CY"),0,IF(M130="DG",1,IF(LEFT(C130,3)="LCH",7,IF(C130="BKK02",5,3))))</f>
        <v>3</v>
      </c>
      <c r="Z130" s="63">
        <f>IF(IF(AND(AC130="TML",AB130&gt;0),((T130-W130)+1)-AB130,((T130-W130)+1)-Y130)&gt;0,IF(AND(AC130="TML",AB130&gt;0),((T130-W130)+1)-AB130,((T130-W130)+1)-Y130),0)</f>
        <v>4</v>
      </c>
      <c r="AA130" s="187">
        <f>IF(AND(B130="G1",M130=""),IF(R130="20'",
VLOOKUP(Z130,Charge!$K$2:$M$5,2,TRUE)+(Z130-VLOOKUP(Z130,Charge!$K$2:$M$5,1,TRUE))*VLOOKUP(Z130,Charge!$K$2:$M$5,3,TRUE),
VLOOKUP(Z130,Charge!$N$2:$P$5,2,TRUE)+(Z130-VLOOKUP(Z130,Charge!$N$2:$P$5,1,TRUE))*VLOOKUP(Z130,Charge!$N$2:$P$5,3,TRUE)),
IF(AND(B130="G1",M130="DG"),IF(R130="20'",
VLOOKUP(Z130,Charge!$R$2:$T$5,2,TRUE)+(Z130-VLOOKUP(Z130,Charge!$R$2:$T$5,1,TRUE))*VLOOKUP(Z130,Charge!$R$2:$T$5,3,TRUE),
VLOOKUP(Z130,Charge!$U$2:$W$5,2,TRUE)+(Z130-VLOOKUP(Z130,Charge!$U$2:$W$5,1,TRUE))*VLOOKUP(Z130,Charge!$U$2:$W$5,3,TRUE)),
IF(AND(B130="G3",M130=""),IF(R130="20'",
VLOOKUP(Z130,Charge!$K$18:$M$21,2,TRUE)+(Z130-VLOOKUP(Z130,Charge!$K$18:$M$21,1,TRUE))*VLOOKUP(Z130,Charge!$K$18:$M$21,3,TRUE),
VLOOKUP(Z130,Charge!$N$18:$P$21,2,TRUE)+(Z130-VLOOKUP(Z130,Charge!$N$18:$P$21,1,TRUE))*VLOOKUP(Z130,Charge!$N$18:$P$21,3,TRUE)),
IF(AND(B130="G3",M130="DG"),IF(R130="20'",
VLOOKUP(Z130,Charge!$R$18:$T$21,2,TRUE)+(Z130-VLOOKUP(Z130,Charge!$R$18:$T$21,1,TRUE))*VLOOKUP(Z130,Charge!$R$18:$T$21,3,TRUE),
VLOOKUP(Z130,Charge!$U$18:$W$21,2,TRUE)+(Z130-VLOOKUP(Z130,Charge!$U$18:$W$21,1,TRUE))*VLOOKUP(Z130,Charge!$U$18:$W$21,3,TRUE)),
IF(AND(B130="G2",M130=""),IF(R130="20'",
VLOOKUP(Z130,Charge!$K$9:$M$12,2,TRUE)+(Z130-VLOOKUP(Z130,Charge!$K$9:$M$12,1,TRUE))*VLOOKUP(Z130,Charge!$K$9:$M$12,3,TRUE),
VLOOKUP(Z130,Charge!$N$9:$P$12,2,TRUE)+(Z130-VLOOKUP(Z130,Charge!$N$9:$P$12,1,TRUE))*VLOOKUP(Z130,Charge!$N$9:$P$12,3,TRUE)),
IF(AND(B130="G2",M130="DG"),IF(R130="20'",
VLOOKUP(Z130,Charge!$R$9:$T$12,2,TRUE)+(Z130-VLOOKUP(Z130,Charge!$R$9:$T$12,1,TRUE))*VLOOKUP(Z130,Charge!$R$9:$T$12,3,TRUE),
VLOOKUP(Z130,Charge!$U$9:$W$12,2,TRUE)+(Z130-VLOOKUP(Z130,Charge!$U$9:$W$12,1,TRUE))*VLOOKUP(Z130,Charge!$U$9:$W$12,3,TRUE)),IF(AND(B130="G4",M130=""),IF(R130="20'",Z130*Charge!$M$25,Z130*Charge!$P$25),IF(AND(B130="G4",M130="DG"),IF(R130="20'",Z130*Charge!$T$25,Z130*Charge!$W$25),0))))))))</f>
        <v>640</v>
      </c>
      <c r="AB130" s="184" t="n"/>
      <c r="AC130" s="184" t="n"/>
      <c r="AD130" s="60">
        <f>IF(M130="DG",3,IF(N130="RF",3,5))+IF(AND(LEFT(C130,3)="BKK",N130="RF",Q130="KTS"),1,0)+IF(Q130="KHS",1,0)</f>
        <v>5</v>
      </c>
      <c r="AE130" s="63">
        <f>(T130-V130)+1</f>
        <v>46304</v>
      </c>
      <c r="AF130" s="63">
        <f>IF(AB130&gt;IF((V130-W130)&gt;0,V130-W130,0),0,IF(AB130&lt;IF((V130-W130)&gt;0,V130-W130,0),IF((V130-W130)&gt;0,V130-W130,0)-AB130,IF((V130-W130)&gt;0,V130-W130,0)))</f>
        <v>0</v>
      </c>
      <c r="AG130" s="187">
        <f>IF(AND(M130=""),IF(R130="20'",
VLOOKUP(AF130,Charge!$K$31:$M$34,2,TRUE)+(AF130-VLOOKUP(AF130,Charge!$K$31:$M$34,1,TRUE))*VLOOKUP(AF130,Charge!$K$31:$M$34,3,TRUE),
VLOOKUP(AF130,Charge!$N$31:$P$34,2,TRUE)+(AF130-VLOOKUP(AF130,Charge!$N$31:$P$34,1,TRUE))*VLOOKUP(AF130,Charge!$N$31:$P$34,3,TRUE)),
IF(AND(M130="DG"),IF(R130="20'",
VLOOKUP(AF130,Charge!$R$31:$T$34,2,TRUE)+(AF130-VLOOKUP(AF130,Charge!$R$31:$T$34,1,TRUE))*VLOOKUP(AF130,Charge!$R$31:$T$34,3,TRUE),
VLOOKUP(AF130,Charge!$U$31:$W$34,2,TRUE)+(AF130-VLOOKUP(AF130,Charge!$U$31:$W$34,1,TRUE))*VLOOKUP(AF130,Charge!$U$31:$W$34,3,TRUE)),0))</f>
        <v>0</v>
      </c>
      <c r="AH130" s="65" t="n"/>
      <c r="AI130" s="65">
        <f>AA130-AH130</f>
        <v>640</v>
      </c>
      <c r="AJ130" s="188" t="n"/>
      <c r="AK130" s="62" t="str">
        <f>VLOOKUP(D130,'2.Bookinglist'!A:CT,40,FALSE)</f>
        <v>Dharaporn</v>
      </c>
      <c r="AL130" s="60" t="str">
        <f>VLOOKUP(D130,'2.Bookinglist'!A:CW,101,FALSE)</f>
        <v>2026-10-05</v>
      </c>
      <c r="AM130" s="60" t="str">
        <f>VLOOKUP(D130,'2.Bookinglist'!A:BK,63,FALSE)</f>
        <v>BKK27</v>
      </c>
      <c r="AN130" s="62" t="str">
        <f>VLOOKUP(D130,'2.Bookinglist'!A:AZ,52,FALSE)</f>
        <v>**APPROVED BY H.W KANG DD.23/09/2026** *FLEXIBAG ONDECK*
Survey : 2026-09-30, Pickup : 2026-10-01, Return : 2026-10-02 </v>
      </c>
      <c r="AO130" s="62">
        <f>VLOOKUP(D130,'2.Bookinglist'!A:CY,103,FALSE)</f>
        <v>0</v>
      </c>
    </row>
    <row r="131" ht="12.95" customHeight="1">
      <c r="A131" s="96" t="inlineStr">
        <is>
          <t>SKLU1587677</t>
        </is>
      </c>
      <c r="B131" s="184" t="str">
        <f>IF(C131=Charge!$M$1,Charge!$J$1,IF(C131=Charge!$M$23,Charge!$J$23,IF(C131=Charge!$M$17,Charge!$J$17,IF(C131=Charge!$N$17,Charge!$J$17,Charge!$J$7))))</f>
        <v>G3</v>
      </c>
      <c r="C131" s="61" t="str">
        <f>VLOOKUP(A131,'1.Loading'!A:R,14,FALSE)</f>
        <v>BKK04</v>
      </c>
      <c r="D131" s="61" t="str">
        <f>VLOOKUP(A131,'1.Loading'!A:R,17,FALSE)</f>
        <v>HASLS22260801914</v>
      </c>
      <c r="E131" s="62" t="str">
        <f>VLOOKUP(D131,'2.Bookinglist'!A:CT,27,FALSE)</f>
        <v>DP WORLD LOGISTICS SOLUTIONS (THAILAND) COMPANY LIMITED</v>
      </c>
      <c r="F131" s="62" t="str">
        <f>VLOOKUP(D131,'2.Bookinglist'!A:CT,28,FALSE)</f>
        <v>DP WORLD LOGISTICS SOLUTIONS (THAILAND) COMPANY LIMITED</v>
      </c>
      <c r="G131" s="60">
        <f>VLOOKUP(D131,'2.Bookinglist'!A:E,5,FALSE)</f>
        <v>0</v>
      </c>
      <c r="H131" s="61" t="str">
        <f>VLOOKUP(D131,'2.Bookinglist'!A:CT,15,FALSE)</f>
        <v>THBKK</v>
      </c>
      <c r="I131" s="61" t="str">
        <f>VLOOKUP(D131,'2.Bookinglist'!A:CT,19,FALSE)</f>
        <v>KRPTK</v>
      </c>
      <c r="J131" s="61">
        <f>VLOOKUP(D131,'2.Bookinglist'!A:CT,26,FALSE)</f>
        <v>0</v>
      </c>
      <c r="K131" s="61" t="str">
        <f>VLOOKUP(A131,'1.Loading'!A:R,5,FALSE)</f>
        <v>22GP</v>
      </c>
      <c r="L131" s="60" t="str">
        <f>VLOOKUP(D131,'2.Bookinglist'!A:CT,85,FALSE)</f>
        <v>CY/CY</v>
      </c>
      <c r="M131" s="60" t="str">
        <f>IF(VLOOKUP(D131,'2.Bookinglist'!A:CT,43,FALSE)=0,"","DG")</f>
        <v/>
      </c>
      <c r="N131" s="60" t="str">
        <f>IF(RIGHT(K131,2)="RE","RF","")</f>
        <v/>
      </c>
      <c r="O131" s="61" t="str">
        <f>VLOOKUP(A131,'1.Loading'!A:R,3,FALSE)</f>
        <v>SWSP</v>
      </c>
      <c r="P131" s="61" t="str">
        <f>VLOOKUP(A131,'1.Loading'!A:R,4,FALSE)</f>
        <v>2609N</v>
      </c>
      <c r="Q131" s="61" t="str">
        <f>VLOOKUP(D131,'2.Bookinglist'!A:CT,12,FALSE)</f>
        <v>BTS</v>
      </c>
      <c r="R131" s="60" t="str">
        <f>IF(LEFT(K131,2)="22","20'","40'")</f>
        <v>20'</v>
      </c>
      <c r="S131" s="185" t="n"/>
      <c r="T131" s="61" t="str">
        <f>VLOOKUP(A131,'1.Loading'!A:R,2,FALSE)</f>
        <v>2026-10-08</v>
      </c>
      <c r="U131" s="63">
        <f>T131-S131</f>
        <v>46303</v>
      </c>
      <c r="V131" s="186" t="n"/>
      <c r="W131" s="61" t="str">
        <f>VLOOKUP(A131,'3.GateMove'!A:D,4,FALSE)</f>
        <v>2026-09-19</v>
      </c>
      <c r="X131" s="63">
        <f>((T131-W131)+1)</f>
        <v>20</v>
      </c>
      <c r="Y131" s="64">
        <f>IF(AND(OR(C131="BKK01",C131="BKK04"),L131="CFS/CY"),0,IF(M131="DG",1,IF(LEFT(C131,3)="LCH",7,IF(C131="BKK02",5,3))))</f>
        <v>3</v>
      </c>
      <c r="Z131" s="63">
        <f>IF(IF(AND(AC131="TML",AB131&gt;0),((T131-W131)+1)-AB131,((T131-W131)+1)-Y131)&gt;0,IF(AND(AC131="TML",AB131&gt;0),((T131-W131)+1)-AB131,((T131-W131)+1)-Y131),0)</f>
        <v>17</v>
      </c>
      <c r="AA131" s="187">
        <f>IF(AND(B131="G1",M131=""),IF(R131="20'",
VLOOKUP(Z131,Charge!$K$2:$M$5,2,TRUE)+(Z131-VLOOKUP(Z131,Charge!$K$2:$M$5,1,TRUE))*VLOOKUP(Z131,Charge!$K$2:$M$5,3,TRUE),
VLOOKUP(Z131,Charge!$N$2:$P$5,2,TRUE)+(Z131-VLOOKUP(Z131,Charge!$N$2:$P$5,1,TRUE))*VLOOKUP(Z131,Charge!$N$2:$P$5,3,TRUE)),
IF(AND(B131="G1",M131="DG"),IF(R131="20'",
VLOOKUP(Z131,Charge!$R$2:$T$5,2,TRUE)+(Z131-VLOOKUP(Z131,Charge!$R$2:$T$5,1,TRUE))*VLOOKUP(Z131,Charge!$R$2:$T$5,3,TRUE),
VLOOKUP(Z131,Charge!$U$2:$W$5,2,TRUE)+(Z131-VLOOKUP(Z131,Charge!$U$2:$W$5,1,TRUE))*VLOOKUP(Z131,Charge!$U$2:$W$5,3,TRUE)),
IF(AND(B131="G3",M131=""),IF(R131="20'",
VLOOKUP(Z131,Charge!$K$18:$M$21,2,TRUE)+(Z131-VLOOKUP(Z131,Charge!$K$18:$M$21,1,TRUE))*VLOOKUP(Z131,Charge!$K$18:$M$21,3,TRUE),
VLOOKUP(Z131,Charge!$N$18:$P$21,2,TRUE)+(Z131-VLOOKUP(Z131,Charge!$N$18:$P$21,1,TRUE))*VLOOKUP(Z131,Charge!$N$18:$P$21,3,TRUE)),
IF(AND(B131="G3",M131="DG"),IF(R131="20'",
VLOOKUP(Z131,Charge!$R$18:$T$21,2,TRUE)+(Z131-VLOOKUP(Z131,Charge!$R$18:$T$21,1,TRUE))*VLOOKUP(Z131,Charge!$R$18:$T$21,3,TRUE),
VLOOKUP(Z131,Charge!$U$18:$W$21,2,TRUE)+(Z131-VLOOKUP(Z131,Charge!$U$18:$W$21,1,TRUE))*VLOOKUP(Z131,Charge!$U$18:$W$21,3,TRUE)),
IF(AND(B131="G2",M131=""),IF(R131="20'",
VLOOKUP(Z131,Charge!$K$9:$M$12,2,TRUE)+(Z131-VLOOKUP(Z131,Charge!$K$9:$M$12,1,TRUE))*VLOOKUP(Z131,Charge!$K$9:$M$12,3,TRUE),
VLOOKUP(Z131,Charge!$N$9:$P$12,2,TRUE)+(Z131-VLOOKUP(Z131,Charge!$N$9:$P$12,1,TRUE))*VLOOKUP(Z131,Charge!$N$9:$P$12,3,TRUE)),
IF(AND(B131="G2",M131="DG"),IF(R131="20'",
VLOOKUP(Z131,Charge!$R$9:$T$12,2,TRUE)+(Z131-VLOOKUP(Z131,Charge!$R$9:$T$12,1,TRUE))*VLOOKUP(Z131,Charge!$R$9:$T$12,3,TRUE),
VLOOKUP(Z131,Charge!$U$9:$W$12,2,TRUE)+(Z131-VLOOKUP(Z131,Charge!$U$9:$W$12,1,TRUE))*VLOOKUP(Z131,Charge!$U$9:$W$12,3,TRUE)),IF(AND(B131="G4",M131=""),IF(R131="20'",Z131*Charge!$M$25,Z131*Charge!$P$25),IF(AND(B131="G4",M131="DG"),IF(R131="20'",Z131*Charge!$T$25,Z131*Charge!$W$25),0))))))))</f>
        <v>4215</v>
      </c>
      <c r="AB131" s="184" t="n"/>
      <c r="AC131" s="184" t="n"/>
      <c r="AD131" s="60">
        <f>IF(M131="DG",3,IF(N131="RF",3,5))+IF(AND(LEFT(C131,3)="BKK",N131="RF",Q131="KTS"),1,0)+IF(Q131="KHS",1,0)</f>
        <v>5</v>
      </c>
      <c r="AE131" s="63">
        <f>(T131-V131)+1</f>
        <v>46304</v>
      </c>
      <c r="AF131" s="63">
        <f>IF(AB131&gt;IF((V131-W131)&gt;0,V131-W131,0),0,IF(AB131&lt;IF((V131-W131)&gt;0,V131-W131,0),IF((V131-W131)&gt;0,V131-W131,0)-AB131,IF((V131-W131)&gt;0,V131-W131,0)))</f>
        <v>0</v>
      </c>
      <c r="AG131" s="187">
        <f>IF(AND(M131=""),IF(R131="20'",
VLOOKUP(AF131,Charge!$K$31:$M$34,2,TRUE)+(AF131-VLOOKUP(AF131,Charge!$K$31:$M$34,1,TRUE))*VLOOKUP(AF131,Charge!$K$31:$M$34,3,TRUE),
VLOOKUP(AF131,Charge!$N$31:$P$34,2,TRUE)+(AF131-VLOOKUP(AF131,Charge!$N$31:$P$34,1,TRUE))*VLOOKUP(AF131,Charge!$N$31:$P$34,3,TRUE)),
IF(AND(M131="DG"),IF(R131="20'",
VLOOKUP(AF131,Charge!$R$31:$T$34,2,TRUE)+(AF131-VLOOKUP(AF131,Charge!$R$31:$T$34,1,TRUE))*VLOOKUP(AF131,Charge!$R$31:$T$34,3,TRUE),
VLOOKUP(AF131,Charge!$U$31:$W$34,2,TRUE)+(AF131-VLOOKUP(AF131,Charge!$U$31:$W$34,1,TRUE))*VLOOKUP(AF131,Charge!$U$31:$W$34,3,TRUE)),0))</f>
        <v>0</v>
      </c>
      <c r="AH131" s="65" t="n"/>
      <c r="AI131" s="65">
        <f>AA131-AH131</f>
        <v>4215</v>
      </c>
      <c r="AJ131" s="188" t="n"/>
      <c r="AK131" s="62" t="str">
        <f>VLOOKUP(D131,'2.Bookinglist'!A:CT,40,FALSE)</f>
        <v>Nannaapust Sukporntaweewat</v>
      </c>
      <c r="AL131" s="60" t="str">
        <f>VLOOKUP(D131,'2.Bookinglist'!A:CW,101,FALSE)</f>
        <v>2026-10-05</v>
      </c>
      <c r="AM131" s="60" t="str">
        <f>VLOOKUP(D131,'2.Bookinglist'!A:BK,63,FALSE)</f>
        <v>BKK27</v>
      </c>
      <c r="AN131" s="62" t="str">
        <f>VLOOKUP(D131,'2.Bookinglist'!A:AZ,52,FALSE)</f>
        <v>** APPROVED BY H.W KANG DD.28/09/2026 ** *FLEXIBAG ONDECK*
Servey : 17/09/2026, Pickup : 18/09/2026, Return : 21/09/2026 *EXTEND CLS TIME : 22/09/2026 @06.00* </v>
      </c>
      <c r="AO131" s="62" t="str">
        <f>VLOOKUP(D131,'2.Bookinglist'!A:CY,103,FALSE)</f>
        <v>ROLL OVER FROM PREVIOUS VSL SWMM 2609N BY ALLOCATION TEAM MS.TARN APRPOVED COST IS UNDER HA DD.21/09</v>
      </c>
    </row>
    <row r="132" ht="12.95" customHeight="1">
      <c r="A132" s="96" t="inlineStr">
        <is>
          <t>SKLU1641633</t>
        </is>
      </c>
      <c r="B132" s="184" t="str">
        <f>IF(C132=Charge!$M$1,Charge!$J$1,IF(C132=Charge!$M$23,Charge!$J$23,IF(C132=Charge!$M$17,Charge!$J$17,IF(C132=Charge!$N$17,Charge!$J$17,Charge!$J$7))))</f>
        <v>G3</v>
      </c>
      <c r="C132" s="61" t="str">
        <f>VLOOKUP(A132,'1.Loading'!A:R,14,FALSE)</f>
        <v>BKK04</v>
      </c>
      <c r="D132" s="61" t="str">
        <f>VLOOKUP(A132,'1.Loading'!A:R,17,FALSE)</f>
        <v>HASLS22260801914</v>
      </c>
      <c r="E132" s="62" t="str">
        <f>VLOOKUP(D132,'2.Bookinglist'!A:CT,27,FALSE)</f>
        <v>DP WORLD LOGISTICS SOLUTIONS (THAILAND) COMPANY LIMITED</v>
      </c>
      <c r="F132" s="62" t="str">
        <f>VLOOKUP(D132,'2.Bookinglist'!A:CT,28,FALSE)</f>
        <v>DP WORLD LOGISTICS SOLUTIONS (THAILAND) COMPANY LIMITED</v>
      </c>
      <c r="G132" s="60">
        <f>VLOOKUP(D132,'2.Bookinglist'!A:E,5,FALSE)</f>
        <v>0</v>
      </c>
      <c r="H132" s="61" t="str">
        <f>VLOOKUP(D132,'2.Bookinglist'!A:CT,15,FALSE)</f>
        <v>THBKK</v>
      </c>
      <c r="I132" s="61" t="str">
        <f>VLOOKUP(D132,'2.Bookinglist'!A:CT,19,FALSE)</f>
        <v>KRPTK</v>
      </c>
      <c r="J132" s="61">
        <f>VLOOKUP(D132,'2.Bookinglist'!A:CT,26,FALSE)</f>
        <v>0</v>
      </c>
      <c r="K132" s="61" t="str">
        <f>VLOOKUP(A132,'1.Loading'!A:R,5,FALSE)</f>
        <v>22GP</v>
      </c>
      <c r="L132" s="60" t="str">
        <f>VLOOKUP(D132,'2.Bookinglist'!A:CT,85,FALSE)</f>
        <v>CY/CY</v>
      </c>
      <c r="M132" s="60" t="str">
        <f>IF(VLOOKUP(D132,'2.Bookinglist'!A:CT,43,FALSE)=0,"","DG")</f>
        <v/>
      </c>
      <c r="N132" s="60" t="str">
        <f>IF(RIGHT(K132,2)="RE","RF","")</f>
        <v/>
      </c>
      <c r="O132" s="61" t="str">
        <f>VLOOKUP(A132,'1.Loading'!A:R,3,FALSE)</f>
        <v>SWSP</v>
      </c>
      <c r="P132" s="61" t="str">
        <f>VLOOKUP(A132,'1.Loading'!A:R,4,FALSE)</f>
        <v>2609N</v>
      </c>
      <c r="Q132" s="61" t="str">
        <f>VLOOKUP(D132,'2.Bookinglist'!A:CT,12,FALSE)</f>
        <v>BTS</v>
      </c>
      <c r="R132" s="60" t="str">
        <f>IF(LEFT(K132,2)="22","20'","40'")</f>
        <v>20'</v>
      </c>
      <c r="S132" s="185" t="n"/>
      <c r="T132" s="61" t="str">
        <f>VLOOKUP(A132,'1.Loading'!A:R,2,FALSE)</f>
        <v>2026-10-08</v>
      </c>
      <c r="U132" s="63">
        <f>T132-S132</f>
        <v>46303</v>
      </c>
      <c r="V132" s="186" t="n"/>
      <c r="W132" s="61" t="str">
        <f>VLOOKUP(A132,'3.GateMove'!A:D,4,FALSE)</f>
        <v>2026-09-19</v>
      </c>
      <c r="X132" s="63">
        <f>((T132-W132)+1)</f>
        <v>20</v>
      </c>
      <c r="Y132" s="64">
        <f>IF(AND(OR(C132="BKK01",C132="BKK04"),L132="CFS/CY"),0,IF(M132="DG",1,IF(LEFT(C132,3)="LCH",7,IF(C132="BKK02",5,3))))</f>
        <v>3</v>
      </c>
      <c r="Z132" s="63">
        <f>IF(IF(AND(AC132="TML",AB132&gt;0),((T132-W132)+1)-AB132,((T132-W132)+1)-Y132)&gt;0,IF(AND(AC132="TML",AB132&gt;0),((T132-W132)+1)-AB132,((T132-W132)+1)-Y132),0)</f>
        <v>17</v>
      </c>
      <c r="AA132" s="187">
        <f>IF(AND(B132="G1",M132=""),IF(R132="20'",
VLOOKUP(Z132,Charge!$K$2:$M$5,2,TRUE)+(Z132-VLOOKUP(Z132,Charge!$K$2:$M$5,1,TRUE))*VLOOKUP(Z132,Charge!$K$2:$M$5,3,TRUE),
VLOOKUP(Z132,Charge!$N$2:$P$5,2,TRUE)+(Z132-VLOOKUP(Z132,Charge!$N$2:$P$5,1,TRUE))*VLOOKUP(Z132,Charge!$N$2:$P$5,3,TRUE)),
IF(AND(B132="G1",M132="DG"),IF(R132="20'",
VLOOKUP(Z132,Charge!$R$2:$T$5,2,TRUE)+(Z132-VLOOKUP(Z132,Charge!$R$2:$T$5,1,TRUE))*VLOOKUP(Z132,Charge!$R$2:$T$5,3,TRUE),
VLOOKUP(Z132,Charge!$U$2:$W$5,2,TRUE)+(Z132-VLOOKUP(Z132,Charge!$U$2:$W$5,1,TRUE))*VLOOKUP(Z132,Charge!$U$2:$W$5,3,TRUE)),
IF(AND(B132="G3",M132=""),IF(R132="20'",
VLOOKUP(Z132,Charge!$K$18:$M$21,2,TRUE)+(Z132-VLOOKUP(Z132,Charge!$K$18:$M$21,1,TRUE))*VLOOKUP(Z132,Charge!$K$18:$M$21,3,TRUE),
VLOOKUP(Z132,Charge!$N$18:$P$21,2,TRUE)+(Z132-VLOOKUP(Z132,Charge!$N$18:$P$21,1,TRUE))*VLOOKUP(Z132,Charge!$N$18:$P$21,3,TRUE)),
IF(AND(B132="G3",M132="DG"),IF(R132="20'",
VLOOKUP(Z132,Charge!$R$18:$T$21,2,TRUE)+(Z132-VLOOKUP(Z132,Charge!$R$18:$T$21,1,TRUE))*VLOOKUP(Z132,Charge!$R$18:$T$21,3,TRUE),
VLOOKUP(Z132,Charge!$U$18:$W$21,2,TRUE)+(Z132-VLOOKUP(Z132,Charge!$U$18:$W$21,1,TRUE))*VLOOKUP(Z132,Charge!$U$18:$W$21,3,TRUE)),
IF(AND(B132="G2",M132=""),IF(R132="20'",
VLOOKUP(Z132,Charge!$K$9:$M$12,2,TRUE)+(Z132-VLOOKUP(Z132,Charge!$K$9:$M$12,1,TRUE))*VLOOKUP(Z132,Charge!$K$9:$M$12,3,TRUE),
VLOOKUP(Z132,Charge!$N$9:$P$12,2,TRUE)+(Z132-VLOOKUP(Z132,Charge!$N$9:$P$12,1,TRUE))*VLOOKUP(Z132,Charge!$N$9:$P$12,3,TRUE)),
IF(AND(B132="G2",M132="DG"),IF(R132="20'",
VLOOKUP(Z132,Charge!$R$9:$T$12,2,TRUE)+(Z132-VLOOKUP(Z132,Charge!$R$9:$T$12,1,TRUE))*VLOOKUP(Z132,Charge!$R$9:$T$12,3,TRUE),
VLOOKUP(Z132,Charge!$U$9:$W$12,2,TRUE)+(Z132-VLOOKUP(Z132,Charge!$U$9:$W$12,1,TRUE))*VLOOKUP(Z132,Charge!$U$9:$W$12,3,TRUE)),IF(AND(B132="G4",M132=""),IF(R132="20'",Z132*Charge!$M$25,Z132*Charge!$P$25),IF(AND(B132="G4",M132="DG"),IF(R132="20'",Z132*Charge!$T$25,Z132*Charge!$W$25),0))))))))</f>
        <v>4215</v>
      </c>
      <c r="AB132" s="184" t="n"/>
      <c r="AC132" s="184" t="n"/>
      <c r="AD132" s="60">
        <f>IF(M132="DG",3,IF(N132="RF",3,5))+IF(AND(LEFT(C132,3)="BKK",N132="RF",Q132="KTS"),1,0)+IF(Q132="KHS",1,0)</f>
        <v>5</v>
      </c>
      <c r="AE132" s="63">
        <f>(T132-V132)+1</f>
        <v>46304</v>
      </c>
      <c r="AF132" s="63">
        <f>IF(AB132&gt;IF((V132-W132)&gt;0,V132-W132,0),0,IF(AB132&lt;IF((V132-W132)&gt;0,V132-W132,0),IF((V132-W132)&gt;0,V132-W132,0)-AB132,IF((V132-W132)&gt;0,V132-W132,0)))</f>
        <v>0</v>
      </c>
      <c r="AG132" s="187">
        <f>IF(AND(M132=""),IF(R132="20'",
VLOOKUP(AF132,Charge!$K$31:$M$34,2,TRUE)+(AF132-VLOOKUP(AF132,Charge!$K$31:$M$34,1,TRUE))*VLOOKUP(AF132,Charge!$K$31:$M$34,3,TRUE),
VLOOKUP(AF132,Charge!$N$31:$P$34,2,TRUE)+(AF132-VLOOKUP(AF132,Charge!$N$31:$P$34,1,TRUE))*VLOOKUP(AF132,Charge!$N$31:$P$34,3,TRUE)),
IF(AND(M132="DG"),IF(R132="20'",
VLOOKUP(AF132,Charge!$R$31:$T$34,2,TRUE)+(AF132-VLOOKUP(AF132,Charge!$R$31:$T$34,1,TRUE))*VLOOKUP(AF132,Charge!$R$31:$T$34,3,TRUE),
VLOOKUP(AF132,Charge!$U$31:$W$34,2,TRUE)+(AF132-VLOOKUP(AF132,Charge!$U$31:$W$34,1,TRUE))*VLOOKUP(AF132,Charge!$U$31:$W$34,3,TRUE)),0))</f>
        <v>0</v>
      </c>
      <c r="AH132" s="65" t="n"/>
      <c r="AI132" s="65">
        <f>AA132-AH132</f>
        <v>4215</v>
      </c>
      <c r="AJ132" s="188" t="n"/>
      <c r="AK132" s="62" t="str">
        <f>VLOOKUP(D132,'2.Bookinglist'!A:CT,40,FALSE)</f>
        <v>Nannaapust Sukporntaweewat</v>
      </c>
      <c r="AL132" s="60" t="str">
        <f>VLOOKUP(D132,'2.Bookinglist'!A:CW,101,FALSE)</f>
        <v>2026-10-05</v>
      </c>
      <c r="AM132" s="60" t="str">
        <f>VLOOKUP(D132,'2.Bookinglist'!A:BK,63,FALSE)</f>
        <v>BKK27</v>
      </c>
      <c r="AN132" s="62" t="str">
        <f>VLOOKUP(D132,'2.Bookinglist'!A:AZ,52,FALSE)</f>
        <v>** APPROVED BY H.W KANG DD.28/09/2026 ** *FLEXIBAG ONDECK*
Servey : 17/09/2026, Pickup : 18/09/2026, Return : 21/09/2026 *EXTEND CLS TIME : 22/09/2026 @06.00* </v>
      </c>
      <c r="AO132" s="62" t="str">
        <f>VLOOKUP(D132,'2.Bookinglist'!A:CY,103,FALSE)</f>
        <v>ROLL OVER FROM PREVIOUS VSL SWMM 2609N BY ALLOCATION TEAM MS.TARN APRPOVED COST IS UNDER HA DD.21/09</v>
      </c>
    </row>
    <row r="133" ht="12.95" customHeight="1">
      <c r="A133" s="96" t="inlineStr">
        <is>
          <t>SKLU1641905</t>
        </is>
      </c>
      <c r="B133" s="184" t="str">
        <f>IF(C133=Charge!$M$1,Charge!$J$1,IF(C133=Charge!$M$23,Charge!$J$23,IF(C133=Charge!$M$17,Charge!$J$17,IF(C133=Charge!$N$17,Charge!$J$17,Charge!$J$7))))</f>
        <v>G3</v>
      </c>
      <c r="C133" s="61" t="str">
        <f>VLOOKUP(A133,'1.Loading'!A:R,14,FALSE)</f>
        <v>BKK04</v>
      </c>
      <c r="D133" s="61" t="str">
        <f>VLOOKUP(A133,'1.Loading'!A:R,17,FALSE)</f>
        <v>HASLS22260801914</v>
      </c>
      <c r="E133" s="62" t="str">
        <f>VLOOKUP(D133,'2.Bookinglist'!A:CT,27,FALSE)</f>
        <v>DP WORLD LOGISTICS SOLUTIONS (THAILAND) COMPANY LIMITED</v>
      </c>
      <c r="F133" s="62" t="str">
        <f>VLOOKUP(D133,'2.Bookinglist'!A:CT,28,FALSE)</f>
        <v>DP WORLD LOGISTICS SOLUTIONS (THAILAND) COMPANY LIMITED</v>
      </c>
      <c r="G133" s="60">
        <f>VLOOKUP(D133,'2.Bookinglist'!A:E,5,FALSE)</f>
        <v>0</v>
      </c>
      <c r="H133" s="61" t="str">
        <f>VLOOKUP(D133,'2.Bookinglist'!A:CT,15,FALSE)</f>
        <v>THBKK</v>
      </c>
      <c r="I133" s="61" t="str">
        <f>VLOOKUP(D133,'2.Bookinglist'!A:CT,19,FALSE)</f>
        <v>KRPTK</v>
      </c>
      <c r="J133" s="61">
        <f>VLOOKUP(D133,'2.Bookinglist'!A:CT,26,FALSE)</f>
        <v>0</v>
      </c>
      <c r="K133" s="61" t="str">
        <f>VLOOKUP(A133,'1.Loading'!A:R,5,FALSE)</f>
        <v>22GP</v>
      </c>
      <c r="L133" s="60" t="str">
        <f>VLOOKUP(D133,'2.Bookinglist'!A:CT,85,FALSE)</f>
        <v>CY/CY</v>
      </c>
      <c r="M133" s="60" t="str">
        <f>IF(VLOOKUP(D133,'2.Bookinglist'!A:CT,43,FALSE)=0,"","DG")</f>
        <v/>
      </c>
      <c r="N133" s="60" t="str">
        <f>IF(RIGHT(K133,2)="RE","RF","")</f>
        <v/>
      </c>
      <c r="O133" s="61" t="str">
        <f>VLOOKUP(A133,'1.Loading'!A:R,3,FALSE)</f>
        <v>SWSP</v>
      </c>
      <c r="P133" s="61" t="str">
        <f>VLOOKUP(A133,'1.Loading'!A:R,4,FALSE)</f>
        <v>2609N</v>
      </c>
      <c r="Q133" s="61" t="str">
        <f>VLOOKUP(D133,'2.Bookinglist'!A:CT,12,FALSE)</f>
        <v>BTS</v>
      </c>
      <c r="R133" s="60" t="str">
        <f>IF(LEFT(K133,2)="22","20'","40'")</f>
        <v>20'</v>
      </c>
      <c r="S133" s="185" t="n"/>
      <c r="T133" s="61" t="str">
        <f>VLOOKUP(A133,'1.Loading'!A:R,2,FALSE)</f>
        <v>2026-10-08</v>
      </c>
      <c r="U133" s="63">
        <f>T133-S133</f>
        <v>46303</v>
      </c>
      <c r="V133" s="186" t="n"/>
      <c r="W133" s="61" t="str">
        <f>VLOOKUP(A133,'3.GateMove'!A:D,4,FALSE)</f>
        <v>2026-09-19</v>
      </c>
      <c r="X133" s="63">
        <f>((T133-W133)+1)</f>
        <v>20</v>
      </c>
      <c r="Y133" s="64">
        <f>IF(AND(OR(C133="BKK01",C133="BKK04"),L133="CFS/CY"),0,IF(M133="DG",1,IF(LEFT(C133,3)="LCH",7,IF(C133="BKK02",5,3))))</f>
        <v>3</v>
      </c>
      <c r="Z133" s="63">
        <f>IF(IF(AND(AC133="TML",AB133&gt;0),((T133-W133)+1)-AB133,((T133-W133)+1)-Y133)&gt;0,IF(AND(AC133="TML",AB133&gt;0),((T133-W133)+1)-AB133,((T133-W133)+1)-Y133),0)</f>
        <v>17</v>
      </c>
      <c r="AA133" s="187">
        <f>IF(AND(B133="G1",M133=""),IF(R133="20'",
VLOOKUP(Z133,Charge!$K$2:$M$5,2,TRUE)+(Z133-VLOOKUP(Z133,Charge!$K$2:$M$5,1,TRUE))*VLOOKUP(Z133,Charge!$K$2:$M$5,3,TRUE),
VLOOKUP(Z133,Charge!$N$2:$P$5,2,TRUE)+(Z133-VLOOKUP(Z133,Charge!$N$2:$P$5,1,TRUE))*VLOOKUP(Z133,Charge!$N$2:$P$5,3,TRUE)),
IF(AND(B133="G1",M133="DG"),IF(R133="20'",
VLOOKUP(Z133,Charge!$R$2:$T$5,2,TRUE)+(Z133-VLOOKUP(Z133,Charge!$R$2:$T$5,1,TRUE))*VLOOKUP(Z133,Charge!$R$2:$T$5,3,TRUE),
VLOOKUP(Z133,Charge!$U$2:$W$5,2,TRUE)+(Z133-VLOOKUP(Z133,Charge!$U$2:$W$5,1,TRUE))*VLOOKUP(Z133,Charge!$U$2:$W$5,3,TRUE)),
IF(AND(B133="G3",M133=""),IF(R133="20'",
VLOOKUP(Z133,Charge!$K$18:$M$21,2,TRUE)+(Z133-VLOOKUP(Z133,Charge!$K$18:$M$21,1,TRUE))*VLOOKUP(Z133,Charge!$K$18:$M$21,3,TRUE),
VLOOKUP(Z133,Charge!$N$18:$P$21,2,TRUE)+(Z133-VLOOKUP(Z133,Charge!$N$18:$P$21,1,TRUE))*VLOOKUP(Z133,Charge!$N$18:$P$21,3,TRUE)),
IF(AND(B133="G3",M133="DG"),IF(R133="20'",
VLOOKUP(Z133,Charge!$R$18:$T$21,2,TRUE)+(Z133-VLOOKUP(Z133,Charge!$R$18:$T$21,1,TRUE))*VLOOKUP(Z133,Charge!$R$18:$T$21,3,TRUE),
VLOOKUP(Z133,Charge!$U$18:$W$21,2,TRUE)+(Z133-VLOOKUP(Z133,Charge!$U$18:$W$21,1,TRUE))*VLOOKUP(Z133,Charge!$U$18:$W$21,3,TRUE)),
IF(AND(B133="G2",M133=""),IF(R133="20'",
VLOOKUP(Z133,Charge!$K$9:$M$12,2,TRUE)+(Z133-VLOOKUP(Z133,Charge!$K$9:$M$12,1,TRUE))*VLOOKUP(Z133,Charge!$K$9:$M$12,3,TRUE),
VLOOKUP(Z133,Charge!$N$9:$P$12,2,TRUE)+(Z133-VLOOKUP(Z133,Charge!$N$9:$P$12,1,TRUE))*VLOOKUP(Z133,Charge!$N$9:$P$12,3,TRUE)),
IF(AND(B133="G2",M133="DG"),IF(R133="20'",
VLOOKUP(Z133,Charge!$R$9:$T$12,2,TRUE)+(Z133-VLOOKUP(Z133,Charge!$R$9:$T$12,1,TRUE))*VLOOKUP(Z133,Charge!$R$9:$T$12,3,TRUE),
VLOOKUP(Z133,Charge!$U$9:$W$12,2,TRUE)+(Z133-VLOOKUP(Z133,Charge!$U$9:$W$12,1,TRUE))*VLOOKUP(Z133,Charge!$U$9:$W$12,3,TRUE)),IF(AND(B133="G4",M133=""),IF(R133="20'",Z133*Charge!$M$25,Z133*Charge!$P$25),IF(AND(B133="G4",M133="DG"),IF(R133="20'",Z133*Charge!$T$25,Z133*Charge!$W$25),0))))))))</f>
        <v>4215</v>
      </c>
      <c r="AB133" s="184" t="n"/>
      <c r="AC133" s="184" t="n"/>
      <c r="AD133" s="60">
        <f>IF(M133="DG",3,IF(N133="RF",3,5))+IF(AND(LEFT(C133,3)="BKK",N133="RF",Q133="KTS"),1,0)+IF(Q133="KHS",1,0)</f>
        <v>5</v>
      </c>
      <c r="AE133" s="63">
        <f>(T133-V133)+1</f>
        <v>46304</v>
      </c>
      <c r="AF133" s="63">
        <f>IF(AB133&gt;IF((V133-W133)&gt;0,V133-W133,0),0,IF(AB133&lt;IF((V133-W133)&gt;0,V133-W133,0),IF((V133-W133)&gt;0,V133-W133,0)-AB133,IF((V133-W133)&gt;0,V133-W133,0)))</f>
        <v>0</v>
      </c>
      <c r="AG133" s="187">
        <f>IF(AND(M133=""),IF(R133="20'",
VLOOKUP(AF133,Charge!$K$31:$M$34,2,TRUE)+(AF133-VLOOKUP(AF133,Charge!$K$31:$M$34,1,TRUE))*VLOOKUP(AF133,Charge!$K$31:$M$34,3,TRUE),
VLOOKUP(AF133,Charge!$N$31:$P$34,2,TRUE)+(AF133-VLOOKUP(AF133,Charge!$N$31:$P$34,1,TRUE))*VLOOKUP(AF133,Charge!$N$31:$P$34,3,TRUE)),
IF(AND(M133="DG"),IF(R133="20'",
VLOOKUP(AF133,Charge!$R$31:$T$34,2,TRUE)+(AF133-VLOOKUP(AF133,Charge!$R$31:$T$34,1,TRUE))*VLOOKUP(AF133,Charge!$R$31:$T$34,3,TRUE),
VLOOKUP(AF133,Charge!$U$31:$W$34,2,TRUE)+(AF133-VLOOKUP(AF133,Charge!$U$31:$W$34,1,TRUE))*VLOOKUP(AF133,Charge!$U$31:$W$34,3,TRUE)),0))</f>
        <v>0</v>
      </c>
      <c r="AH133" s="65" t="n"/>
      <c r="AI133" s="65">
        <f>AA133-AH133</f>
        <v>4215</v>
      </c>
      <c r="AJ133" s="188" t="n"/>
      <c r="AK133" s="62" t="str">
        <f>VLOOKUP(D133,'2.Bookinglist'!A:CT,40,FALSE)</f>
        <v>Nannaapust Sukporntaweewat</v>
      </c>
      <c r="AL133" s="60" t="str">
        <f>VLOOKUP(D133,'2.Bookinglist'!A:CW,101,FALSE)</f>
        <v>2026-10-05</v>
      </c>
      <c r="AM133" s="60" t="str">
        <f>VLOOKUP(D133,'2.Bookinglist'!A:BK,63,FALSE)</f>
        <v>BKK27</v>
      </c>
      <c r="AN133" s="62" t="str">
        <f>VLOOKUP(D133,'2.Bookinglist'!A:AZ,52,FALSE)</f>
        <v>** APPROVED BY H.W KANG DD.28/09/2026 ** *FLEXIBAG ONDECK*
Servey : 17/09/2026, Pickup : 18/09/2026, Return : 21/09/2026 *EXTEND CLS TIME : 22/09/2026 @06.00* </v>
      </c>
      <c r="AO133" s="62" t="str">
        <f>VLOOKUP(D133,'2.Bookinglist'!A:CY,103,FALSE)</f>
        <v>ROLL OVER FROM PREVIOUS VSL SWMM 2609N BY ALLOCATION TEAM MS.TARN APRPOVED COST IS UNDER HA DD.21/09</v>
      </c>
    </row>
    <row r="134" ht="12.95" customHeight="1">
      <c r="A134" s="96" t="inlineStr">
        <is>
          <t>SKLU1661368</t>
        </is>
      </c>
      <c r="B134" s="184" t="str">
        <f>IF(C134=Charge!$M$1,Charge!$J$1,IF(C134=Charge!$M$23,Charge!$J$23,IF(C134=Charge!$M$17,Charge!$J$17,IF(C134=Charge!$N$17,Charge!$J$17,Charge!$J$7))))</f>
        <v>G3</v>
      </c>
      <c r="C134" s="61" t="str">
        <f>VLOOKUP(A134,'1.Loading'!A:R,14,FALSE)</f>
        <v>BKK04</v>
      </c>
      <c r="D134" s="61" t="str">
        <f>VLOOKUP(A134,'1.Loading'!A:R,17,FALSE)</f>
        <v>HASLS22260801914</v>
      </c>
      <c r="E134" s="62" t="str">
        <f>VLOOKUP(D134,'2.Bookinglist'!A:CT,27,FALSE)</f>
        <v>DP WORLD LOGISTICS SOLUTIONS (THAILAND) COMPANY LIMITED</v>
      </c>
      <c r="F134" s="62" t="str">
        <f>VLOOKUP(D134,'2.Bookinglist'!A:CT,28,FALSE)</f>
        <v>DP WORLD LOGISTICS SOLUTIONS (THAILAND) COMPANY LIMITED</v>
      </c>
      <c r="G134" s="60">
        <f>VLOOKUP(D134,'2.Bookinglist'!A:E,5,FALSE)</f>
        <v>0</v>
      </c>
      <c r="H134" s="61" t="str">
        <f>VLOOKUP(D134,'2.Bookinglist'!A:CT,15,FALSE)</f>
        <v>THBKK</v>
      </c>
      <c r="I134" s="61" t="str">
        <f>VLOOKUP(D134,'2.Bookinglist'!A:CT,19,FALSE)</f>
        <v>KRPTK</v>
      </c>
      <c r="J134" s="61">
        <f>VLOOKUP(D134,'2.Bookinglist'!A:CT,26,FALSE)</f>
        <v>0</v>
      </c>
      <c r="K134" s="61" t="str">
        <f>VLOOKUP(A134,'1.Loading'!A:R,5,FALSE)</f>
        <v>22GP</v>
      </c>
      <c r="L134" s="60" t="str">
        <f>VLOOKUP(D134,'2.Bookinglist'!A:CT,85,FALSE)</f>
        <v>CY/CY</v>
      </c>
      <c r="M134" s="60" t="str">
        <f>IF(VLOOKUP(D134,'2.Bookinglist'!A:CT,43,FALSE)=0,"","DG")</f>
        <v/>
      </c>
      <c r="N134" s="60" t="str">
        <f>IF(RIGHT(K134,2)="RE","RF","")</f>
        <v/>
      </c>
      <c r="O134" s="61" t="str">
        <f>VLOOKUP(A134,'1.Loading'!A:R,3,FALSE)</f>
        <v>SWSP</v>
      </c>
      <c r="P134" s="61" t="str">
        <f>VLOOKUP(A134,'1.Loading'!A:R,4,FALSE)</f>
        <v>2609N</v>
      </c>
      <c r="Q134" s="61" t="str">
        <f>VLOOKUP(D134,'2.Bookinglist'!A:CT,12,FALSE)</f>
        <v>BTS</v>
      </c>
      <c r="R134" s="60" t="str">
        <f>IF(LEFT(K134,2)="22","20'","40'")</f>
        <v>20'</v>
      </c>
      <c r="S134" s="185" t="n"/>
      <c r="T134" s="61" t="str">
        <f>VLOOKUP(A134,'1.Loading'!A:R,2,FALSE)</f>
        <v>2026-10-08</v>
      </c>
      <c r="U134" s="63">
        <f>T134-S134</f>
        <v>46303</v>
      </c>
      <c r="V134" s="186" t="n"/>
      <c r="W134" s="61" t="str">
        <f>VLOOKUP(A134,'3.GateMove'!A:D,4,FALSE)</f>
        <v>2026-09-19</v>
      </c>
      <c r="X134" s="63">
        <f>((T134-W134)+1)</f>
        <v>20</v>
      </c>
      <c r="Y134" s="64">
        <f>IF(AND(OR(C134="BKK01",C134="BKK04"),L134="CFS/CY"),0,IF(M134="DG",1,IF(LEFT(C134,3)="LCH",7,IF(C134="BKK02",5,3))))</f>
        <v>3</v>
      </c>
      <c r="Z134" s="63">
        <f>IF(IF(AND(AC134="TML",AB134&gt;0),((T134-W134)+1)-AB134,((T134-W134)+1)-Y134)&gt;0,IF(AND(AC134="TML",AB134&gt;0),((T134-W134)+1)-AB134,((T134-W134)+1)-Y134),0)</f>
        <v>17</v>
      </c>
      <c r="AA134" s="187">
        <f>IF(AND(B134="G1",M134=""),IF(R134="20'",
VLOOKUP(Z134,Charge!$K$2:$M$5,2,TRUE)+(Z134-VLOOKUP(Z134,Charge!$K$2:$M$5,1,TRUE))*VLOOKUP(Z134,Charge!$K$2:$M$5,3,TRUE),
VLOOKUP(Z134,Charge!$N$2:$P$5,2,TRUE)+(Z134-VLOOKUP(Z134,Charge!$N$2:$P$5,1,TRUE))*VLOOKUP(Z134,Charge!$N$2:$P$5,3,TRUE)),
IF(AND(B134="G1",M134="DG"),IF(R134="20'",
VLOOKUP(Z134,Charge!$R$2:$T$5,2,TRUE)+(Z134-VLOOKUP(Z134,Charge!$R$2:$T$5,1,TRUE))*VLOOKUP(Z134,Charge!$R$2:$T$5,3,TRUE),
VLOOKUP(Z134,Charge!$U$2:$W$5,2,TRUE)+(Z134-VLOOKUP(Z134,Charge!$U$2:$W$5,1,TRUE))*VLOOKUP(Z134,Charge!$U$2:$W$5,3,TRUE)),
IF(AND(B134="G3",M134=""),IF(R134="20'",
VLOOKUP(Z134,Charge!$K$18:$M$21,2,TRUE)+(Z134-VLOOKUP(Z134,Charge!$K$18:$M$21,1,TRUE))*VLOOKUP(Z134,Charge!$K$18:$M$21,3,TRUE),
VLOOKUP(Z134,Charge!$N$18:$P$21,2,TRUE)+(Z134-VLOOKUP(Z134,Charge!$N$18:$P$21,1,TRUE))*VLOOKUP(Z134,Charge!$N$18:$P$21,3,TRUE)),
IF(AND(B134="G3",M134="DG"),IF(R134="20'",
VLOOKUP(Z134,Charge!$R$18:$T$21,2,TRUE)+(Z134-VLOOKUP(Z134,Charge!$R$18:$T$21,1,TRUE))*VLOOKUP(Z134,Charge!$R$18:$T$21,3,TRUE),
VLOOKUP(Z134,Charge!$U$18:$W$21,2,TRUE)+(Z134-VLOOKUP(Z134,Charge!$U$18:$W$21,1,TRUE))*VLOOKUP(Z134,Charge!$U$18:$W$21,3,TRUE)),
IF(AND(B134="G2",M134=""),IF(R134="20'",
VLOOKUP(Z134,Charge!$K$9:$M$12,2,TRUE)+(Z134-VLOOKUP(Z134,Charge!$K$9:$M$12,1,TRUE))*VLOOKUP(Z134,Charge!$K$9:$M$12,3,TRUE),
VLOOKUP(Z134,Charge!$N$9:$P$12,2,TRUE)+(Z134-VLOOKUP(Z134,Charge!$N$9:$P$12,1,TRUE))*VLOOKUP(Z134,Charge!$N$9:$P$12,3,TRUE)),
IF(AND(B134="G2",M134="DG"),IF(R134="20'",
VLOOKUP(Z134,Charge!$R$9:$T$12,2,TRUE)+(Z134-VLOOKUP(Z134,Charge!$R$9:$T$12,1,TRUE))*VLOOKUP(Z134,Charge!$R$9:$T$12,3,TRUE),
VLOOKUP(Z134,Charge!$U$9:$W$12,2,TRUE)+(Z134-VLOOKUP(Z134,Charge!$U$9:$W$12,1,TRUE))*VLOOKUP(Z134,Charge!$U$9:$W$12,3,TRUE)),IF(AND(B134="G4",M134=""),IF(R134="20'",Z134*Charge!$M$25,Z134*Charge!$P$25),IF(AND(B134="G4",M134="DG"),IF(R134="20'",Z134*Charge!$T$25,Z134*Charge!$W$25),0))))))))</f>
        <v>4215</v>
      </c>
      <c r="AB134" s="184" t="n"/>
      <c r="AC134" s="184" t="n"/>
      <c r="AD134" s="60">
        <f>IF(M134="DG",3,IF(N134="RF",3,5))+IF(AND(LEFT(C134,3)="BKK",N134="RF",Q134="KTS"),1,0)+IF(Q134="KHS",1,0)</f>
        <v>5</v>
      </c>
      <c r="AE134" s="63">
        <f>(T134-V134)+1</f>
        <v>46304</v>
      </c>
      <c r="AF134" s="63">
        <f>IF(AB134&gt;IF((V134-W134)&gt;0,V134-W134,0),0,IF(AB134&lt;IF((V134-W134)&gt;0,V134-W134,0),IF((V134-W134)&gt;0,V134-W134,0)-AB134,IF((V134-W134)&gt;0,V134-W134,0)))</f>
        <v>0</v>
      </c>
      <c r="AG134" s="187">
        <f>IF(AND(M134=""),IF(R134="20'",
VLOOKUP(AF134,Charge!$K$31:$M$34,2,TRUE)+(AF134-VLOOKUP(AF134,Charge!$K$31:$M$34,1,TRUE))*VLOOKUP(AF134,Charge!$K$31:$M$34,3,TRUE),
VLOOKUP(AF134,Charge!$N$31:$P$34,2,TRUE)+(AF134-VLOOKUP(AF134,Charge!$N$31:$P$34,1,TRUE))*VLOOKUP(AF134,Charge!$N$31:$P$34,3,TRUE)),
IF(AND(M134="DG"),IF(R134="20'",
VLOOKUP(AF134,Charge!$R$31:$T$34,2,TRUE)+(AF134-VLOOKUP(AF134,Charge!$R$31:$T$34,1,TRUE))*VLOOKUP(AF134,Charge!$R$31:$T$34,3,TRUE),
VLOOKUP(AF134,Charge!$U$31:$W$34,2,TRUE)+(AF134-VLOOKUP(AF134,Charge!$U$31:$W$34,1,TRUE))*VLOOKUP(AF134,Charge!$U$31:$W$34,3,TRUE)),0))</f>
        <v>0</v>
      </c>
      <c r="AH134" s="65" t="n"/>
      <c r="AI134" s="65">
        <f>AA134-AH134</f>
        <v>4215</v>
      </c>
      <c r="AJ134" s="188" t="n"/>
      <c r="AK134" s="62" t="str">
        <f>VLOOKUP(D134,'2.Bookinglist'!A:CT,40,FALSE)</f>
        <v>Nannaapust Sukporntaweewat</v>
      </c>
      <c r="AL134" s="60" t="str">
        <f>VLOOKUP(D134,'2.Bookinglist'!A:CW,101,FALSE)</f>
        <v>2026-10-05</v>
      </c>
      <c r="AM134" s="60" t="str">
        <f>VLOOKUP(D134,'2.Bookinglist'!A:BK,63,FALSE)</f>
        <v>BKK27</v>
      </c>
      <c r="AN134" s="62" t="str">
        <f>VLOOKUP(D134,'2.Bookinglist'!A:AZ,52,FALSE)</f>
        <v>** APPROVED BY H.W KANG DD.28/09/2026 ** *FLEXIBAG ONDECK*
Servey : 17/09/2026, Pickup : 18/09/2026, Return : 21/09/2026 *EXTEND CLS TIME : 22/09/2026 @06.00* </v>
      </c>
      <c r="AO134" s="62" t="str">
        <f>VLOOKUP(D134,'2.Bookinglist'!A:CY,103,FALSE)</f>
        <v>ROLL OVER FROM PREVIOUS VSL SWMM 2609N BY ALLOCATION TEAM MS.TARN APRPOVED COST IS UNDER HA DD.21/09</v>
      </c>
    </row>
    <row r="135" ht="12.95" customHeight="1">
      <c r="A135" s="96" t="inlineStr">
        <is>
          <t>SKLU1661413</t>
        </is>
      </c>
      <c r="B135" s="184" t="str">
        <f>IF(C135=Charge!$M$1,Charge!$J$1,IF(C135=Charge!$M$23,Charge!$J$23,IF(C135=Charge!$M$17,Charge!$J$17,IF(C135=Charge!$N$17,Charge!$J$17,Charge!$J$7))))</f>
        <v>G3</v>
      </c>
      <c r="C135" s="61" t="str">
        <f>VLOOKUP(A135,'1.Loading'!A:R,14,FALSE)</f>
        <v>BKK04</v>
      </c>
      <c r="D135" s="61" t="str">
        <f>VLOOKUP(A135,'1.Loading'!A:R,17,FALSE)</f>
        <v>HASLS22260901396</v>
      </c>
      <c r="E135" s="62" t="str">
        <f>VLOOKUP(D135,'2.Bookinglist'!A:CT,27,FALSE)</f>
        <v>MILKYWAY INTERNATIONAL SUPPLY CHAIN SERVICES (THAILAND) CO., LTD.</v>
      </c>
      <c r="F135" s="62" t="str">
        <f>VLOOKUP(D135,'2.Bookinglist'!A:CT,28,FALSE)</f>
        <v>TASCO INTERNATIONAL CO., LTD.</v>
      </c>
      <c r="G135" s="60">
        <f>VLOOKUP(D135,'2.Bookinglist'!A:E,5,FALSE)</f>
        <v>0</v>
      </c>
      <c r="H135" s="61" t="str">
        <f>VLOOKUP(D135,'2.Bookinglist'!A:CT,15,FALSE)</f>
        <v>THBKK</v>
      </c>
      <c r="I135" s="61" t="str">
        <f>VLOOKUP(D135,'2.Bookinglist'!A:CT,19,FALSE)</f>
        <v>JPSBS</v>
      </c>
      <c r="J135" s="61" t="str">
        <f>VLOOKUP(D135,'2.Bookinglist'!A:CT,26,FALSE)</f>
        <v>KRPUS</v>
      </c>
      <c r="K135" s="61" t="str">
        <f>VLOOKUP(A135,'1.Loading'!A:R,5,FALSE)</f>
        <v>22GP</v>
      </c>
      <c r="L135" s="60" t="str">
        <f>VLOOKUP(D135,'2.Bookinglist'!A:CT,85,FALSE)</f>
        <v>CY/CY</v>
      </c>
      <c r="M135" s="60" t="str">
        <f>IF(VLOOKUP(D135,'2.Bookinglist'!A:CT,43,FALSE)=0,"","DG")</f>
        <v/>
      </c>
      <c r="N135" s="60" t="str">
        <f>IF(RIGHT(K135,2)="RE","RF","")</f>
        <v/>
      </c>
      <c r="O135" s="61" t="str">
        <f>VLOOKUP(A135,'1.Loading'!A:R,3,FALSE)</f>
        <v>SWSP</v>
      </c>
      <c r="P135" s="61" t="str">
        <f>VLOOKUP(A135,'1.Loading'!A:R,4,FALSE)</f>
        <v>2609N</v>
      </c>
      <c r="Q135" s="61" t="str">
        <f>VLOOKUP(D135,'2.Bookinglist'!A:CT,12,FALSE)</f>
        <v>BTS</v>
      </c>
      <c r="R135" s="60" t="str">
        <f>IF(LEFT(K135,2)="22","20'","40'")</f>
        <v>20'</v>
      </c>
      <c r="S135" s="185" t="n"/>
      <c r="T135" s="61" t="str">
        <f>VLOOKUP(A135,'1.Loading'!A:R,2,FALSE)</f>
        <v>2026-10-08</v>
      </c>
      <c r="U135" s="63">
        <f>T135-S135</f>
        <v>46303</v>
      </c>
      <c r="V135" s="186" t="n"/>
      <c r="W135" s="61" t="str">
        <f>VLOOKUP(A135,'3.GateMove'!A:D,4,FALSE)</f>
        <v>2026-10-01</v>
      </c>
      <c r="X135" s="63">
        <f>((T135-W135)+1)</f>
        <v>8</v>
      </c>
      <c r="Y135" s="64">
        <f>IF(AND(OR(C135="BKK01",C135="BKK04"),L135="CFS/CY"),0,IF(M135="DG",1,IF(LEFT(C135,3)="LCH",7,IF(C135="BKK02",5,3))))</f>
        <v>3</v>
      </c>
      <c r="Z135" s="63">
        <f>IF(IF(AND(AC135="TML",AB135&gt;0),((T135-W135)+1)-AB135,((T135-W135)+1)-Y135)&gt;0,IF(AND(AC135="TML",AB135&gt;0),((T135-W135)+1)-AB135,((T135-W135)+1)-Y135),0)</f>
        <v>5</v>
      </c>
      <c r="AA135" s="187">
        <f>IF(AND(B135="G1",M135=""),IF(R135="20'",
VLOOKUP(Z135,Charge!$K$2:$M$5,2,TRUE)+(Z135-VLOOKUP(Z135,Charge!$K$2:$M$5,1,TRUE))*VLOOKUP(Z135,Charge!$K$2:$M$5,3,TRUE),
VLOOKUP(Z135,Charge!$N$2:$P$5,2,TRUE)+(Z135-VLOOKUP(Z135,Charge!$N$2:$P$5,1,TRUE))*VLOOKUP(Z135,Charge!$N$2:$P$5,3,TRUE)),
IF(AND(B135="G1",M135="DG"),IF(R135="20'",
VLOOKUP(Z135,Charge!$R$2:$T$5,2,TRUE)+(Z135-VLOOKUP(Z135,Charge!$R$2:$T$5,1,TRUE))*VLOOKUP(Z135,Charge!$R$2:$T$5,3,TRUE),
VLOOKUP(Z135,Charge!$U$2:$W$5,2,TRUE)+(Z135-VLOOKUP(Z135,Charge!$U$2:$W$5,1,TRUE))*VLOOKUP(Z135,Charge!$U$2:$W$5,3,TRUE)),
IF(AND(B135="G3",M135=""),IF(R135="20'",
VLOOKUP(Z135,Charge!$K$18:$M$21,2,TRUE)+(Z135-VLOOKUP(Z135,Charge!$K$18:$M$21,1,TRUE))*VLOOKUP(Z135,Charge!$K$18:$M$21,3,TRUE),
VLOOKUP(Z135,Charge!$N$18:$P$21,2,TRUE)+(Z135-VLOOKUP(Z135,Charge!$N$18:$P$21,1,TRUE))*VLOOKUP(Z135,Charge!$N$18:$P$21,3,TRUE)),
IF(AND(B135="G3",M135="DG"),IF(R135="20'",
VLOOKUP(Z135,Charge!$R$18:$T$21,2,TRUE)+(Z135-VLOOKUP(Z135,Charge!$R$18:$T$21,1,TRUE))*VLOOKUP(Z135,Charge!$R$18:$T$21,3,TRUE),
VLOOKUP(Z135,Charge!$U$18:$W$21,2,TRUE)+(Z135-VLOOKUP(Z135,Charge!$U$18:$W$21,1,TRUE))*VLOOKUP(Z135,Charge!$U$18:$W$21,3,TRUE)),
IF(AND(B135="G2",M135=""),IF(R135="20'",
VLOOKUP(Z135,Charge!$K$9:$M$12,2,TRUE)+(Z135-VLOOKUP(Z135,Charge!$K$9:$M$12,1,TRUE))*VLOOKUP(Z135,Charge!$K$9:$M$12,3,TRUE),
VLOOKUP(Z135,Charge!$N$9:$P$12,2,TRUE)+(Z135-VLOOKUP(Z135,Charge!$N$9:$P$12,1,TRUE))*VLOOKUP(Z135,Charge!$N$9:$P$12,3,TRUE)),
IF(AND(B135="G2",M135="DG"),IF(R135="20'",
VLOOKUP(Z135,Charge!$R$9:$T$12,2,TRUE)+(Z135-VLOOKUP(Z135,Charge!$R$9:$T$12,1,TRUE))*VLOOKUP(Z135,Charge!$R$9:$T$12,3,TRUE),
VLOOKUP(Z135,Charge!$U$9:$W$12,2,TRUE)+(Z135-VLOOKUP(Z135,Charge!$U$9:$W$12,1,TRUE))*VLOOKUP(Z135,Charge!$U$9:$W$12,3,TRUE)),IF(AND(B135="G4",M135=""),IF(R135="20'",Z135*Charge!$M$25,Z135*Charge!$P$25),IF(AND(B135="G4",M135="DG"),IF(R135="20'",Z135*Charge!$T$25,Z135*Charge!$W$25),0))))))))</f>
        <v>800</v>
      </c>
      <c r="AB135" s="184" t="n"/>
      <c r="AC135" s="184" t="n"/>
      <c r="AD135" s="60">
        <f>IF(M135="DG",3,IF(N135="RF",3,5))+IF(AND(LEFT(C135,3)="BKK",N135="RF",Q135="KTS"),1,0)+IF(Q135="KHS",1,0)</f>
        <v>5</v>
      </c>
      <c r="AE135" s="63">
        <f>(T135-V135)+1</f>
        <v>46304</v>
      </c>
      <c r="AF135" s="63">
        <f>IF(AB135&gt;IF((V135-W135)&gt;0,V135-W135,0),0,IF(AB135&lt;IF((V135-W135)&gt;0,V135-W135,0),IF((V135-W135)&gt;0,V135-W135,0)-AB135,IF((V135-W135)&gt;0,V135-W135,0)))</f>
        <v>0</v>
      </c>
      <c r="AG135" s="187">
        <f>IF(AND(M135=""),IF(R135="20'",
VLOOKUP(AF135,Charge!$K$31:$M$34,2,TRUE)+(AF135-VLOOKUP(AF135,Charge!$K$31:$M$34,1,TRUE))*VLOOKUP(AF135,Charge!$K$31:$M$34,3,TRUE),
VLOOKUP(AF135,Charge!$N$31:$P$34,2,TRUE)+(AF135-VLOOKUP(AF135,Charge!$N$31:$P$34,1,TRUE))*VLOOKUP(AF135,Charge!$N$31:$P$34,3,TRUE)),
IF(AND(M135="DG"),IF(R135="20'",
VLOOKUP(AF135,Charge!$R$31:$T$34,2,TRUE)+(AF135-VLOOKUP(AF135,Charge!$R$31:$T$34,1,TRUE))*VLOOKUP(AF135,Charge!$R$31:$T$34,3,TRUE),
VLOOKUP(AF135,Charge!$U$31:$W$34,2,TRUE)+(AF135-VLOOKUP(AF135,Charge!$U$31:$W$34,1,TRUE))*VLOOKUP(AF135,Charge!$U$31:$W$34,3,TRUE)),0))</f>
        <v>0</v>
      </c>
      <c r="AH135" s="65" t="n"/>
      <c r="AI135" s="65">
        <f>AA135-AH135</f>
        <v>800</v>
      </c>
      <c r="AJ135" s="188" t="n"/>
      <c r="AK135" s="62" t="str">
        <f>VLOOKUP(D135,'2.Bookinglist'!A:CT,40,FALSE)</f>
        <v>Arunphat W. (Aiw)</v>
      </c>
      <c r="AL135" s="60" t="str">
        <f>VLOOKUP(D135,'2.Bookinglist'!A:CW,101,FALSE)</f>
        <v>2026-10-07</v>
      </c>
      <c r="AM135" s="60" t="str">
        <f>VLOOKUP(D135,'2.Bookinglist'!A:BK,63,FALSE)</f>
        <v>BKK27</v>
      </c>
      <c r="AN135" s="62" t="str">
        <f>VLOOKUP(D135,'2.Bookinglist'!A:AZ,52,FALSE)</f>
        <v>Pickup : 2026-09-30, Return : 2026-10-01 (EXTEND CLS 01/10/26 @23.59)</v>
      </c>
      <c r="AO135" s="62" t="str">
        <f>VLOOKUP(D135,'2.Bookinglist'!A:CY,103,FALSE)</f>
        <v>ROLL OVER FROM PREVIOUS VSL KMBK 2611N BY ALLOCATION TEAM MS.TARN APPROVED COST IS UNDER HAL DD.01/10</v>
      </c>
    </row>
    <row r="136" ht="12.95" customHeight="1">
      <c r="A136" s="96" t="inlineStr">
        <is>
          <t>SKLU1663720</t>
        </is>
      </c>
      <c r="B136" s="184" t="str">
        <f>IF(C136=Charge!$M$1,Charge!$J$1,IF(C136=Charge!$M$23,Charge!$J$23,IF(C136=Charge!$M$17,Charge!$J$17,IF(C136=Charge!$N$17,Charge!$J$17,Charge!$J$7))))</f>
        <v>G3</v>
      </c>
      <c r="C136" s="61" t="str">
        <f>VLOOKUP(A136,'1.Loading'!A:R,14,FALSE)</f>
        <v>BKK04</v>
      </c>
      <c r="D136" s="61" t="str">
        <f>VLOOKUP(A136,'1.Loading'!A:R,17,FALSE)</f>
        <v>HASLS22260801914</v>
      </c>
      <c r="E136" s="62" t="str">
        <f>VLOOKUP(D136,'2.Bookinglist'!A:CT,27,FALSE)</f>
        <v>DP WORLD LOGISTICS SOLUTIONS (THAILAND) COMPANY LIMITED</v>
      </c>
      <c r="F136" s="62" t="str">
        <f>VLOOKUP(D136,'2.Bookinglist'!A:CT,28,FALSE)</f>
        <v>DP WORLD LOGISTICS SOLUTIONS (THAILAND) COMPANY LIMITED</v>
      </c>
      <c r="G136" s="60">
        <f>VLOOKUP(D136,'2.Bookinglist'!A:E,5,FALSE)</f>
        <v>0</v>
      </c>
      <c r="H136" s="61" t="str">
        <f>VLOOKUP(D136,'2.Bookinglist'!A:CT,15,FALSE)</f>
        <v>THBKK</v>
      </c>
      <c r="I136" s="61" t="str">
        <f>VLOOKUP(D136,'2.Bookinglist'!A:CT,19,FALSE)</f>
        <v>KRPTK</v>
      </c>
      <c r="J136" s="61">
        <f>VLOOKUP(D136,'2.Bookinglist'!A:CT,26,FALSE)</f>
        <v>0</v>
      </c>
      <c r="K136" s="61" t="str">
        <f>VLOOKUP(A136,'1.Loading'!A:R,5,FALSE)</f>
        <v>22GP</v>
      </c>
      <c r="L136" s="60" t="str">
        <f>VLOOKUP(D136,'2.Bookinglist'!A:CT,85,FALSE)</f>
        <v>CY/CY</v>
      </c>
      <c r="M136" s="60" t="str">
        <f>IF(VLOOKUP(D136,'2.Bookinglist'!A:CT,43,FALSE)=0,"","DG")</f>
        <v/>
      </c>
      <c r="N136" s="60" t="str">
        <f>IF(RIGHT(K136,2)="RE","RF","")</f>
        <v/>
      </c>
      <c r="O136" s="61" t="str">
        <f>VLOOKUP(A136,'1.Loading'!A:R,3,FALSE)</f>
        <v>SWSP</v>
      </c>
      <c r="P136" s="61" t="str">
        <f>VLOOKUP(A136,'1.Loading'!A:R,4,FALSE)</f>
        <v>2609N</v>
      </c>
      <c r="Q136" s="61" t="str">
        <f>VLOOKUP(D136,'2.Bookinglist'!A:CT,12,FALSE)</f>
        <v>BTS</v>
      </c>
      <c r="R136" s="60" t="str">
        <f>IF(LEFT(K136,2)="22","20'","40'")</f>
        <v>20'</v>
      </c>
      <c r="S136" s="185" t="n"/>
      <c r="T136" s="61" t="str">
        <f>VLOOKUP(A136,'1.Loading'!A:R,2,FALSE)</f>
        <v>2026-10-08</v>
      </c>
      <c r="U136" s="63">
        <f>T136-S136</f>
        <v>46303</v>
      </c>
      <c r="V136" s="186" t="n"/>
      <c r="W136" s="61" t="str">
        <f>VLOOKUP(A136,'3.GateMove'!A:D,4,FALSE)</f>
        <v>2026-09-19</v>
      </c>
      <c r="X136" s="63">
        <f>((T136-W136)+1)</f>
        <v>20</v>
      </c>
      <c r="Y136" s="64">
        <f>IF(AND(OR(C136="BKK01",C136="BKK04"),L136="CFS/CY"),0,IF(M136="DG",1,IF(LEFT(C136,3)="LCH",7,IF(C136="BKK02",5,3))))</f>
        <v>3</v>
      </c>
      <c r="Z136" s="63">
        <f>IF(IF(AND(AC136="TML",AB136&gt;0),((T136-W136)+1)-AB136,((T136-W136)+1)-Y136)&gt;0,IF(AND(AC136="TML",AB136&gt;0),((T136-W136)+1)-AB136,((T136-W136)+1)-Y136),0)</f>
        <v>17</v>
      </c>
      <c r="AA136" s="187">
        <f>IF(AND(B136="G1",M136=""),IF(R136="20'",
VLOOKUP(Z136,Charge!$K$2:$M$5,2,TRUE)+(Z136-VLOOKUP(Z136,Charge!$K$2:$M$5,1,TRUE))*VLOOKUP(Z136,Charge!$K$2:$M$5,3,TRUE),
VLOOKUP(Z136,Charge!$N$2:$P$5,2,TRUE)+(Z136-VLOOKUP(Z136,Charge!$N$2:$P$5,1,TRUE))*VLOOKUP(Z136,Charge!$N$2:$P$5,3,TRUE)),
IF(AND(B136="G1",M136="DG"),IF(R136="20'",
VLOOKUP(Z136,Charge!$R$2:$T$5,2,TRUE)+(Z136-VLOOKUP(Z136,Charge!$R$2:$T$5,1,TRUE))*VLOOKUP(Z136,Charge!$R$2:$T$5,3,TRUE),
VLOOKUP(Z136,Charge!$U$2:$W$5,2,TRUE)+(Z136-VLOOKUP(Z136,Charge!$U$2:$W$5,1,TRUE))*VLOOKUP(Z136,Charge!$U$2:$W$5,3,TRUE)),
IF(AND(B136="G3",M136=""),IF(R136="20'",
VLOOKUP(Z136,Charge!$K$18:$M$21,2,TRUE)+(Z136-VLOOKUP(Z136,Charge!$K$18:$M$21,1,TRUE))*VLOOKUP(Z136,Charge!$K$18:$M$21,3,TRUE),
VLOOKUP(Z136,Charge!$N$18:$P$21,2,TRUE)+(Z136-VLOOKUP(Z136,Charge!$N$18:$P$21,1,TRUE))*VLOOKUP(Z136,Charge!$N$18:$P$21,3,TRUE)),
IF(AND(B136="G3",M136="DG"),IF(R136="20'",
VLOOKUP(Z136,Charge!$R$18:$T$21,2,TRUE)+(Z136-VLOOKUP(Z136,Charge!$R$18:$T$21,1,TRUE))*VLOOKUP(Z136,Charge!$R$18:$T$21,3,TRUE),
VLOOKUP(Z136,Charge!$U$18:$W$21,2,TRUE)+(Z136-VLOOKUP(Z136,Charge!$U$18:$W$21,1,TRUE))*VLOOKUP(Z136,Charge!$U$18:$W$21,3,TRUE)),
IF(AND(B136="G2",M136=""),IF(R136="20'",
VLOOKUP(Z136,Charge!$K$9:$M$12,2,TRUE)+(Z136-VLOOKUP(Z136,Charge!$K$9:$M$12,1,TRUE))*VLOOKUP(Z136,Charge!$K$9:$M$12,3,TRUE),
VLOOKUP(Z136,Charge!$N$9:$P$12,2,TRUE)+(Z136-VLOOKUP(Z136,Charge!$N$9:$P$12,1,TRUE))*VLOOKUP(Z136,Charge!$N$9:$P$12,3,TRUE)),
IF(AND(B136="G2",M136="DG"),IF(R136="20'",
VLOOKUP(Z136,Charge!$R$9:$T$12,2,TRUE)+(Z136-VLOOKUP(Z136,Charge!$R$9:$T$12,1,TRUE))*VLOOKUP(Z136,Charge!$R$9:$T$12,3,TRUE),
VLOOKUP(Z136,Charge!$U$9:$W$12,2,TRUE)+(Z136-VLOOKUP(Z136,Charge!$U$9:$W$12,1,TRUE))*VLOOKUP(Z136,Charge!$U$9:$W$12,3,TRUE)),IF(AND(B136="G4",M136=""),IF(R136="20'",Z136*Charge!$M$25,Z136*Charge!$P$25),IF(AND(B136="G4",M136="DG"),IF(R136="20'",Z136*Charge!$T$25,Z136*Charge!$W$25),0))))))))</f>
        <v>4215</v>
      </c>
      <c r="AB136" s="184" t="n"/>
      <c r="AC136" s="184" t="n"/>
      <c r="AD136" s="60">
        <f>IF(M136="DG",3,IF(N136="RF",3,5))+IF(AND(LEFT(C136,3)="BKK",N136="RF",Q136="KTS"),1,0)+IF(Q136="KHS",1,0)</f>
        <v>5</v>
      </c>
      <c r="AE136" s="63">
        <f>(T136-V136)+1</f>
        <v>46304</v>
      </c>
      <c r="AF136" s="63">
        <f>IF(AB136&gt;IF((V136-W136)&gt;0,V136-W136,0),0,IF(AB136&lt;IF((V136-W136)&gt;0,V136-W136,0),IF((V136-W136)&gt;0,V136-W136,0)-AB136,IF((V136-W136)&gt;0,V136-W136,0)))</f>
        <v>0</v>
      </c>
      <c r="AG136" s="187">
        <f>IF(AND(M136=""),IF(R136="20'",
VLOOKUP(AF136,Charge!$K$31:$M$34,2,TRUE)+(AF136-VLOOKUP(AF136,Charge!$K$31:$M$34,1,TRUE))*VLOOKUP(AF136,Charge!$K$31:$M$34,3,TRUE),
VLOOKUP(AF136,Charge!$N$31:$P$34,2,TRUE)+(AF136-VLOOKUP(AF136,Charge!$N$31:$P$34,1,TRUE))*VLOOKUP(AF136,Charge!$N$31:$P$34,3,TRUE)),
IF(AND(M136="DG"),IF(R136="20'",
VLOOKUP(AF136,Charge!$R$31:$T$34,2,TRUE)+(AF136-VLOOKUP(AF136,Charge!$R$31:$T$34,1,TRUE))*VLOOKUP(AF136,Charge!$R$31:$T$34,3,TRUE),
VLOOKUP(AF136,Charge!$U$31:$W$34,2,TRUE)+(AF136-VLOOKUP(AF136,Charge!$U$31:$W$34,1,TRUE))*VLOOKUP(AF136,Charge!$U$31:$W$34,3,TRUE)),0))</f>
        <v>0</v>
      </c>
      <c r="AH136" s="65" t="n"/>
      <c r="AI136" s="65">
        <f>AA136-AH136</f>
        <v>4215</v>
      </c>
      <c r="AJ136" s="188" t="n"/>
      <c r="AK136" s="62" t="str">
        <f>VLOOKUP(D136,'2.Bookinglist'!A:CT,40,FALSE)</f>
        <v>Nannaapust Sukporntaweewat</v>
      </c>
      <c r="AL136" s="60" t="str">
        <f>VLOOKUP(D136,'2.Bookinglist'!A:CW,101,FALSE)</f>
        <v>2026-10-05</v>
      </c>
      <c r="AM136" s="60" t="str">
        <f>VLOOKUP(D136,'2.Bookinglist'!A:BK,63,FALSE)</f>
        <v>BKK27</v>
      </c>
      <c r="AN136" s="62" t="str">
        <f>VLOOKUP(D136,'2.Bookinglist'!A:AZ,52,FALSE)</f>
        <v>** APPROVED BY H.W KANG DD.28/09/2026 ** *FLEXIBAG ONDECK*
Servey : 17/09/2026, Pickup : 18/09/2026, Return : 21/09/2026 *EXTEND CLS TIME : 22/09/2026 @06.00* </v>
      </c>
      <c r="AO136" s="62" t="str">
        <f>VLOOKUP(D136,'2.Bookinglist'!A:CY,103,FALSE)</f>
        <v>ROLL OVER FROM PREVIOUS VSL SWMM 2609N BY ALLOCATION TEAM MS.TARN APRPOVED COST IS UNDER HA DD.21/09</v>
      </c>
    </row>
    <row r="137" ht="12.95" customHeight="1">
      <c r="A137" s="96" t="inlineStr">
        <is>
          <t>SKLU1666591</t>
        </is>
      </c>
      <c r="B137" s="184" t="str">
        <f>IF(C137=Charge!$M$1,Charge!$J$1,IF(C137=Charge!$M$23,Charge!$J$23,IF(C137=Charge!$M$17,Charge!$J$17,IF(C137=Charge!$N$17,Charge!$J$17,Charge!$J$7))))</f>
        <v>G3</v>
      </c>
      <c r="C137" s="61" t="str">
        <f>VLOOKUP(A137,'1.Loading'!A:R,14,FALSE)</f>
        <v>BKK04</v>
      </c>
      <c r="D137" s="61" t="str">
        <f>VLOOKUP(A137,'1.Loading'!A:R,17,FALSE)</f>
        <v>HASLS22260801914</v>
      </c>
      <c r="E137" s="62" t="str">
        <f>VLOOKUP(D137,'2.Bookinglist'!A:CT,27,FALSE)</f>
        <v>DP WORLD LOGISTICS SOLUTIONS (THAILAND) COMPANY LIMITED</v>
      </c>
      <c r="F137" s="62" t="str">
        <f>VLOOKUP(D137,'2.Bookinglist'!A:CT,28,FALSE)</f>
        <v>DP WORLD LOGISTICS SOLUTIONS (THAILAND) COMPANY LIMITED</v>
      </c>
      <c r="G137" s="60">
        <f>VLOOKUP(D137,'2.Bookinglist'!A:E,5,FALSE)</f>
        <v>0</v>
      </c>
      <c r="H137" s="61" t="str">
        <f>VLOOKUP(D137,'2.Bookinglist'!A:CT,15,FALSE)</f>
        <v>THBKK</v>
      </c>
      <c r="I137" s="61" t="str">
        <f>VLOOKUP(D137,'2.Bookinglist'!A:CT,19,FALSE)</f>
        <v>KRPTK</v>
      </c>
      <c r="J137" s="61">
        <f>VLOOKUP(D137,'2.Bookinglist'!A:CT,26,FALSE)</f>
        <v>0</v>
      </c>
      <c r="K137" s="61" t="str">
        <f>VLOOKUP(A137,'1.Loading'!A:R,5,FALSE)</f>
        <v>22GP</v>
      </c>
      <c r="L137" s="60" t="str">
        <f>VLOOKUP(D137,'2.Bookinglist'!A:CT,85,FALSE)</f>
        <v>CY/CY</v>
      </c>
      <c r="M137" s="60" t="str">
        <f>IF(VLOOKUP(D137,'2.Bookinglist'!A:CT,43,FALSE)=0,"","DG")</f>
        <v/>
      </c>
      <c r="N137" s="60" t="str">
        <f>IF(RIGHT(K137,2)="RE","RF","")</f>
        <v/>
      </c>
      <c r="O137" s="61" t="str">
        <f>VLOOKUP(A137,'1.Loading'!A:R,3,FALSE)</f>
        <v>SWSP</v>
      </c>
      <c r="P137" s="61" t="str">
        <f>VLOOKUP(A137,'1.Loading'!A:R,4,FALSE)</f>
        <v>2609N</v>
      </c>
      <c r="Q137" s="61" t="str">
        <f>VLOOKUP(D137,'2.Bookinglist'!A:CT,12,FALSE)</f>
        <v>BTS</v>
      </c>
      <c r="R137" s="60" t="str">
        <f>IF(LEFT(K137,2)="22","20'","40'")</f>
        <v>20'</v>
      </c>
      <c r="S137" s="185" t="n"/>
      <c r="T137" s="61" t="str">
        <f>VLOOKUP(A137,'1.Loading'!A:R,2,FALSE)</f>
        <v>2026-10-08</v>
      </c>
      <c r="U137" s="63">
        <f>T137-S137</f>
        <v>46303</v>
      </c>
      <c r="V137" s="186" t="n"/>
      <c r="W137" s="61" t="str">
        <f>VLOOKUP(A137,'3.GateMove'!A:D,4,FALSE)</f>
        <v>2026-09-19</v>
      </c>
      <c r="X137" s="63">
        <f>((T137-W137)+1)</f>
        <v>20</v>
      </c>
      <c r="Y137" s="64">
        <f>IF(AND(OR(C137="BKK01",C137="BKK04"),L137="CFS/CY"),0,IF(M137="DG",1,IF(LEFT(C137,3)="LCH",7,IF(C137="BKK02",5,3))))</f>
        <v>3</v>
      </c>
      <c r="Z137" s="63">
        <f>IF(IF(AND(AC137="TML",AB137&gt;0),((T137-W137)+1)-AB137,((T137-W137)+1)-Y137)&gt;0,IF(AND(AC137="TML",AB137&gt;0),((T137-W137)+1)-AB137,((T137-W137)+1)-Y137),0)</f>
        <v>17</v>
      </c>
      <c r="AA137" s="187">
        <f>IF(AND(B137="G1",M137=""),IF(R137="20'",
VLOOKUP(Z137,Charge!$K$2:$M$5,2,TRUE)+(Z137-VLOOKUP(Z137,Charge!$K$2:$M$5,1,TRUE))*VLOOKUP(Z137,Charge!$K$2:$M$5,3,TRUE),
VLOOKUP(Z137,Charge!$N$2:$P$5,2,TRUE)+(Z137-VLOOKUP(Z137,Charge!$N$2:$P$5,1,TRUE))*VLOOKUP(Z137,Charge!$N$2:$P$5,3,TRUE)),
IF(AND(B137="G1",M137="DG"),IF(R137="20'",
VLOOKUP(Z137,Charge!$R$2:$T$5,2,TRUE)+(Z137-VLOOKUP(Z137,Charge!$R$2:$T$5,1,TRUE))*VLOOKUP(Z137,Charge!$R$2:$T$5,3,TRUE),
VLOOKUP(Z137,Charge!$U$2:$W$5,2,TRUE)+(Z137-VLOOKUP(Z137,Charge!$U$2:$W$5,1,TRUE))*VLOOKUP(Z137,Charge!$U$2:$W$5,3,TRUE)),
IF(AND(B137="G3",M137=""),IF(R137="20'",
VLOOKUP(Z137,Charge!$K$18:$M$21,2,TRUE)+(Z137-VLOOKUP(Z137,Charge!$K$18:$M$21,1,TRUE))*VLOOKUP(Z137,Charge!$K$18:$M$21,3,TRUE),
VLOOKUP(Z137,Charge!$N$18:$P$21,2,TRUE)+(Z137-VLOOKUP(Z137,Charge!$N$18:$P$21,1,TRUE))*VLOOKUP(Z137,Charge!$N$18:$P$21,3,TRUE)),
IF(AND(B137="G3",M137="DG"),IF(R137="20'",
VLOOKUP(Z137,Charge!$R$18:$T$21,2,TRUE)+(Z137-VLOOKUP(Z137,Charge!$R$18:$T$21,1,TRUE))*VLOOKUP(Z137,Charge!$R$18:$T$21,3,TRUE),
VLOOKUP(Z137,Charge!$U$18:$W$21,2,TRUE)+(Z137-VLOOKUP(Z137,Charge!$U$18:$W$21,1,TRUE))*VLOOKUP(Z137,Charge!$U$18:$W$21,3,TRUE)),
IF(AND(B137="G2",M137=""),IF(R137="20'",
VLOOKUP(Z137,Charge!$K$9:$M$12,2,TRUE)+(Z137-VLOOKUP(Z137,Charge!$K$9:$M$12,1,TRUE))*VLOOKUP(Z137,Charge!$K$9:$M$12,3,TRUE),
VLOOKUP(Z137,Charge!$N$9:$P$12,2,TRUE)+(Z137-VLOOKUP(Z137,Charge!$N$9:$P$12,1,TRUE))*VLOOKUP(Z137,Charge!$N$9:$P$12,3,TRUE)),
IF(AND(B137="G2",M137="DG"),IF(R137="20'",
VLOOKUP(Z137,Charge!$R$9:$T$12,2,TRUE)+(Z137-VLOOKUP(Z137,Charge!$R$9:$T$12,1,TRUE))*VLOOKUP(Z137,Charge!$R$9:$T$12,3,TRUE),
VLOOKUP(Z137,Charge!$U$9:$W$12,2,TRUE)+(Z137-VLOOKUP(Z137,Charge!$U$9:$W$12,1,TRUE))*VLOOKUP(Z137,Charge!$U$9:$W$12,3,TRUE)),IF(AND(B137="G4",M137=""),IF(R137="20'",Z137*Charge!$M$25,Z137*Charge!$P$25),IF(AND(B137="G4",M137="DG"),IF(R137="20'",Z137*Charge!$T$25,Z137*Charge!$W$25),0))))))))</f>
        <v>4215</v>
      </c>
      <c r="AB137" s="184" t="n"/>
      <c r="AC137" s="184" t="n"/>
      <c r="AD137" s="60">
        <f>IF(M137="DG",3,IF(N137="RF",3,5))+IF(AND(LEFT(C137,3)="BKK",N137="RF",Q137="KTS"),1,0)+IF(Q137="KHS",1,0)</f>
        <v>5</v>
      </c>
      <c r="AE137" s="63">
        <f>(T137-V137)+1</f>
        <v>46304</v>
      </c>
      <c r="AF137" s="63">
        <f>IF(AB137&gt;IF((V137-W137)&gt;0,V137-W137,0),0,IF(AB137&lt;IF((V137-W137)&gt;0,V137-W137,0),IF((V137-W137)&gt;0,V137-W137,0)-AB137,IF((V137-W137)&gt;0,V137-W137,0)))</f>
        <v>0</v>
      </c>
      <c r="AG137" s="187">
        <f>IF(AND(M137=""),IF(R137="20'",
VLOOKUP(AF137,Charge!$K$31:$M$34,2,TRUE)+(AF137-VLOOKUP(AF137,Charge!$K$31:$M$34,1,TRUE))*VLOOKUP(AF137,Charge!$K$31:$M$34,3,TRUE),
VLOOKUP(AF137,Charge!$N$31:$P$34,2,TRUE)+(AF137-VLOOKUP(AF137,Charge!$N$31:$P$34,1,TRUE))*VLOOKUP(AF137,Charge!$N$31:$P$34,3,TRUE)),
IF(AND(M137="DG"),IF(R137="20'",
VLOOKUP(AF137,Charge!$R$31:$T$34,2,TRUE)+(AF137-VLOOKUP(AF137,Charge!$R$31:$T$34,1,TRUE))*VLOOKUP(AF137,Charge!$R$31:$T$34,3,TRUE),
VLOOKUP(AF137,Charge!$U$31:$W$34,2,TRUE)+(AF137-VLOOKUP(AF137,Charge!$U$31:$W$34,1,TRUE))*VLOOKUP(AF137,Charge!$U$31:$W$34,3,TRUE)),0))</f>
        <v>0</v>
      </c>
      <c r="AH137" s="65" t="n"/>
      <c r="AI137" s="65">
        <f>AA137-AH137</f>
        <v>4215</v>
      </c>
      <c r="AJ137" s="188" t="n"/>
      <c r="AK137" s="62" t="str">
        <f>VLOOKUP(D137,'2.Bookinglist'!A:CT,40,FALSE)</f>
        <v>Nannaapust Sukporntaweewat</v>
      </c>
      <c r="AL137" s="60" t="str">
        <f>VLOOKUP(D137,'2.Bookinglist'!A:CW,101,FALSE)</f>
        <v>2026-10-05</v>
      </c>
      <c r="AM137" s="60" t="str">
        <f>VLOOKUP(D137,'2.Bookinglist'!A:BK,63,FALSE)</f>
        <v>BKK27</v>
      </c>
      <c r="AN137" s="62" t="str">
        <f>VLOOKUP(D137,'2.Bookinglist'!A:AZ,52,FALSE)</f>
        <v>** APPROVED BY H.W KANG DD.28/09/2026 ** *FLEXIBAG ONDECK*
Servey : 17/09/2026, Pickup : 18/09/2026, Return : 21/09/2026 *EXTEND CLS TIME : 22/09/2026 @06.00* </v>
      </c>
      <c r="AO137" s="62" t="str">
        <f>VLOOKUP(D137,'2.Bookinglist'!A:CY,103,FALSE)</f>
        <v>ROLL OVER FROM PREVIOUS VSL SWMM 2609N BY ALLOCATION TEAM MS.TARN APRPOVED COST IS UNDER HA DD.21/09</v>
      </c>
    </row>
    <row r="138" ht="12.95" customHeight="1">
      <c r="A138" s="96" t="inlineStr">
        <is>
          <t>SKLU1821342</t>
        </is>
      </c>
      <c r="B138" s="184" t="str">
        <f>IF(C138=Charge!$M$1,Charge!$J$1,IF(C138=Charge!$M$23,Charge!$J$23,IF(C138=Charge!$M$17,Charge!$J$17,IF(C138=Charge!$N$17,Charge!$J$17,Charge!$J$7))))</f>
        <v>G3</v>
      </c>
      <c r="C138" s="61" t="str">
        <f>VLOOKUP(A138,'1.Loading'!A:R,14,FALSE)</f>
        <v>BKK04</v>
      </c>
      <c r="D138" s="61" t="str">
        <f>VLOOKUP(A138,'1.Loading'!A:R,17,FALSE)</f>
        <v>HASLS22260900630</v>
      </c>
      <c r="E138" s="62" t="str">
        <f>VLOOKUP(D138,'2.Bookinglist'!A:CT,27,FALSE)</f>
        <v>ICONS GLOBAL LOGISTICS CO., LTD.</v>
      </c>
      <c r="F138" s="62" t="str">
        <f>VLOOKUP(D138,'2.Bookinglist'!A:CT,28,FALSE)</f>
        <v>THANAKORN VEGETABLE OIL PRODUCTS CO., LTD.</v>
      </c>
      <c r="G138" s="60">
        <f>VLOOKUP(D138,'2.Bookinglist'!A:E,5,FALSE)</f>
        <v>0</v>
      </c>
      <c r="H138" s="61" t="str">
        <f>VLOOKUP(D138,'2.Bookinglist'!A:CT,15,FALSE)</f>
        <v>THBKK</v>
      </c>
      <c r="I138" s="61" t="str">
        <f>VLOOKUP(D138,'2.Bookinglist'!A:CT,19,FALSE)</f>
        <v>VNSGN</v>
      </c>
      <c r="J138" s="61">
        <f>VLOOKUP(D138,'2.Bookinglist'!A:CT,26,FALSE)</f>
        <v>0</v>
      </c>
      <c r="K138" s="61" t="str">
        <f>VLOOKUP(A138,'1.Loading'!A:R,5,FALSE)</f>
        <v>22GP</v>
      </c>
      <c r="L138" s="60" t="str">
        <f>VLOOKUP(D138,'2.Bookinglist'!A:CT,85,FALSE)</f>
        <v>CY/CY</v>
      </c>
      <c r="M138" s="60" t="str">
        <f>IF(VLOOKUP(D138,'2.Bookinglist'!A:CT,43,FALSE)=0,"","DG")</f>
        <v/>
      </c>
      <c r="N138" s="60" t="str">
        <f>IF(RIGHT(K138,2)="RE","RF","")</f>
        <v/>
      </c>
      <c r="O138" s="61" t="str">
        <f>VLOOKUP(A138,'1.Loading'!A:R,3,FALSE)</f>
        <v>SWSP</v>
      </c>
      <c r="P138" s="61" t="str">
        <f>VLOOKUP(A138,'1.Loading'!A:R,4,FALSE)</f>
        <v>2609N</v>
      </c>
      <c r="Q138" s="61" t="str">
        <f>VLOOKUP(D138,'2.Bookinglist'!A:CT,12,FALSE)</f>
        <v>BTS</v>
      </c>
      <c r="R138" s="60" t="str">
        <f>IF(LEFT(K138,2)="22","20'","40'")</f>
        <v>20'</v>
      </c>
      <c r="S138" s="185" t="n"/>
      <c r="T138" s="61" t="str">
        <f>VLOOKUP(A138,'1.Loading'!A:R,2,FALSE)</f>
        <v>2026-10-08</v>
      </c>
      <c r="U138" s="63">
        <f>T138-S138</f>
        <v>46303</v>
      </c>
      <c r="V138" s="186" t="n"/>
      <c r="W138" s="61" t="str">
        <f>VLOOKUP(A138,'3.GateMove'!A:D,4,FALSE)</f>
        <v>2026-10-02</v>
      </c>
      <c r="X138" s="63">
        <f>((T138-W138)+1)</f>
        <v>7</v>
      </c>
      <c r="Y138" s="64">
        <f>IF(AND(OR(C138="BKK01",C138="BKK04"),L138="CFS/CY"),0,IF(M138="DG",1,IF(LEFT(C138,3)="LCH",7,IF(C138="BKK02",5,3))))</f>
        <v>3</v>
      </c>
      <c r="Z138" s="63">
        <f>IF(IF(AND(AC138="TML",AB138&gt;0),((T138-W138)+1)-AB138,((T138-W138)+1)-Y138)&gt;0,IF(AND(AC138="TML",AB138&gt;0),((T138-W138)+1)-AB138,((T138-W138)+1)-Y138),0)</f>
        <v>4</v>
      </c>
      <c r="AA138" s="187">
        <f>IF(AND(B138="G1",M138=""),IF(R138="20'",
VLOOKUP(Z138,Charge!$K$2:$M$5,2,TRUE)+(Z138-VLOOKUP(Z138,Charge!$K$2:$M$5,1,TRUE))*VLOOKUP(Z138,Charge!$K$2:$M$5,3,TRUE),
VLOOKUP(Z138,Charge!$N$2:$P$5,2,TRUE)+(Z138-VLOOKUP(Z138,Charge!$N$2:$P$5,1,TRUE))*VLOOKUP(Z138,Charge!$N$2:$P$5,3,TRUE)),
IF(AND(B138="G1",M138="DG"),IF(R138="20'",
VLOOKUP(Z138,Charge!$R$2:$T$5,2,TRUE)+(Z138-VLOOKUP(Z138,Charge!$R$2:$T$5,1,TRUE))*VLOOKUP(Z138,Charge!$R$2:$T$5,3,TRUE),
VLOOKUP(Z138,Charge!$U$2:$W$5,2,TRUE)+(Z138-VLOOKUP(Z138,Charge!$U$2:$W$5,1,TRUE))*VLOOKUP(Z138,Charge!$U$2:$W$5,3,TRUE)),
IF(AND(B138="G3",M138=""),IF(R138="20'",
VLOOKUP(Z138,Charge!$K$18:$M$21,2,TRUE)+(Z138-VLOOKUP(Z138,Charge!$K$18:$M$21,1,TRUE))*VLOOKUP(Z138,Charge!$K$18:$M$21,3,TRUE),
VLOOKUP(Z138,Charge!$N$18:$P$21,2,TRUE)+(Z138-VLOOKUP(Z138,Charge!$N$18:$P$21,1,TRUE))*VLOOKUP(Z138,Charge!$N$18:$P$21,3,TRUE)),
IF(AND(B138="G3",M138="DG"),IF(R138="20'",
VLOOKUP(Z138,Charge!$R$18:$T$21,2,TRUE)+(Z138-VLOOKUP(Z138,Charge!$R$18:$T$21,1,TRUE))*VLOOKUP(Z138,Charge!$R$18:$T$21,3,TRUE),
VLOOKUP(Z138,Charge!$U$18:$W$21,2,TRUE)+(Z138-VLOOKUP(Z138,Charge!$U$18:$W$21,1,TRUE))*VLOOKUP(Z138,Charge!$U$18:$W$21,3,TRUE)),
IF(AND(B138="G2",M138=""),IF(R138="20'",
VLOOKUP(Z138,Charge!$K$9:$M$12,2,TRUE)+(Z138-VLOOKUP(Z138,Charge!$K$9:$M$12,1,TRUE))*VLOOKUP(Z138,Charge!$K$9:$M$12,3,TRUE),
VLOOKUP(Z138,Charge!$N$9:$P$12,2,TRUE)+(Z138-VLOOKUP(Z138,Charge!$N$9:$P$12,1,TRUE))*VLOOKUP(Z138,Charge!$N$9:$P$12,3,TRUE)),
IF(AND(B138="G2",M138="DG"),IF(R138="20'",
VLOOKUP(Z138,Charge!$R$9:$T$12,2,TRUE)+(Z138-VLOOKUP(Z138,Charge!$R$9:$T$12,1,TRUE))*VLOOKUP(Z138,Charge!$R$9:$T$12,3,TRUE),
VLOOKUP(Z138,Charge!$U$9:$W$12,2,TRUE)+(Z138-VLOOKUP(Z138,Charge!$U$9:$W$12,1,TRUE))*VLOOKUP(Z138,Charge!$U$9:$W$12,3,TRUE)),IF(AND(B138="G4",M138=""),IF(R138="20'",Z138*Charge!$M$25,Z138*Charge!$P$25),IF(AND(B138="G4",M138="DG"),IF(R138="20'",Z138*Charge!$T$25,Z138*Charge!$W$25),0))))))))</f>
        <v>640</v>
      </c>
      <c r="AB138" s="184" t="n"/>
      <c r="AC138" s="184" t="n"/>
      <c r="AD138" s="60">
        <f>IF(M138="DG",3,IF(N138="RF",3,5))+IF(AND(LEFT(C138,3)="BKK",N138="RF",Q138="KTS"),1,0)+IF(Q138="KHS",1,0)</f>
        <v>5</v>
      </c>
      <c r="AE138" s="63">
        <f>(T138-V138)+1</f>
        <v>46304</v>
      </c>
      <c r="AF138" s="63">
        <f>IF(AB138&gt;IF((V138-W138)&gt;0,V138-W138,0),0,IF(AB138&lt;IF((V138-W138)&gt;0,V138-W138,0),IF((V138-W138)&gt;0,V138-W138,0)-AB138,IF((V138-W138)&gt;0,V138-W138,0)))</f>
        <v>0</v>
      </c>
      <c r="AG138" s="187">
        <f>IF(AND(M138=""),IF(R138="20'",
VLOOKUP(AF138,Charge!$K$31:$M$34,2,TRUE)+(AF138-VLOOKUP(AF138,Charge!$K$31:$M$34,1,TRUE))*VLOOKUP(AF138,Charge!$K$31:$M$34,3,TRUE),
VLOOKUP(AF138,Charge!$N$31:$P$34,2,TRUE)+(AF138-VLOOKUP(AF138,Charge!$N$31:$P$34,1,TRUE))*VLOOKUP(AF138,Charge!$N$31:$P$34,3,TRUE)),
IF(AND(M138="DG"),IF(R138="20'",
VLOOKUP(AF138,Charge!$R$31:$T$34,2,TRUE)+(AF138-VLOOKUP(AF138,Charge!$R$31:$T$34,1,TRUE))*VLOOKUP(AF138,Charge!$R$31:$T$34,3,TRUE),
VLOOKUP(AF138,Charge!$U$31:$W$34,2,TRUE)+(AF138-VLOOKUP(AF138,Charge!$U$31:$W$34,1,TRUE))*VLOOKUP(AF138,Charge!$U$31:$W$34,3,TRUE)),0))</f>
        <v>0</v>
      </c>
      <c r="AH138" s="65" t="n"/>
      <c r="AI138" s="65">
        <f>AA138-AH138</f>
        <v>640</v>
      </c>
      <c r="AJ138" s="188" t="n"/>
      <c r="AK138" s="62" t="str">
        <f>VLOOKUP(D138,'2.Bookinglist'!A:CT,40,FALSE)</f>
        <v>Dharaporn</v>
      </c>
      <c r="AL138" s="60" t="str">
        <f>VLOOKUP(D138,'2.Bookinglist'!A:CW,101,FALSE)</f>
        <v>2026-10-05</v>
      </c>
      <c r="AM138" s="60" t="str">
        <f>VLOOKUP(D138,'2.Bookinglist'!A:BK,63,FALSE)</f>
        <v>BKK27</v>
      </c>
      <c r="AN138" s="62" t="str">
        <f>VLOOKUP(D138,'2.Bookinglist'!A:AZ,52,FALSE)</f>
        <v>**APPROVED BY H.W KANG DD.23/09/2026** *FLEXIBAG ONDECK*
Survey : 2026-09-30, Pickup : 2026-10-01, Return : 2026-10-02 </v>
      </c>
      <c r="AO138" s="62">
        <f>VLOOKUP(D138,'2.Bookinglist'!A:CY,103,FALSE)</f>
        <v>0</v>
      </c>
    </row>
    <row r="139" ht="12.95" customHeight="1">
      <c r="A139" s="96" t="inlineStr">
        <is>
          <t>SKLU1824737</t>
        </is>
      </c>
      <c r="B139" s="184" t="str">
        <f>IF(C139=Charge!$M$1,Charge!$J$1,IF(C139=Charge!$M$23,Charge!$J$23,IF(C139=Charge!$M$17,Charge!$J$17,IF(C139=Charge!$N$17,Charge!$J$17,Charge!$J$7))))</f>
        <v>G3</v>
      </c>
      <c r="C139" s="61" t="str">
        <f>VLOOKUP(A139,'1.Loading'!A:R,14,FALSE)</f>
        <v>BKK04</v>
      </c>
      <c r="D139" s="61" t="str">
        <f>VLOOKUP(A139,'1.Loading'!A:R,17,FALSE)</f>
        <v>HASLS22260900939</v>
      </c>
      <c r="E139" s="62" t="str">
        <f>VLOOKUP(D139,'2.Bookinglist'!A:CT,27,FALSE)</f>
        <v>POLAR STAR CO., LTD.</v>
      </c>
      <c r="F139" s="62" t="str">
        <f>VLOOKUP(D139,'2.Bookinglist'!A:CT,28,FALSE)</f>
        <v>EVERSHINING INGREDIENT CO.,LTD.</v>
      </c>
      <c r="G139" s="60">
        <f>VLOOKUP(D139,'2.Bookinglist'!A:E,5,FALSE)</f>
        <v>0</v>
      </c>
      <c r="H139" s="61" t="str">
        <f>VLOOKUP(D139,'2.Bookinglist'!A:CT,15,FALSE)</f>
        <v>THBKK</v>
      </c>
      <c r="I139" s="61" t="str">
        <f>VLOOKUP(D139,'2.Bookinglist'!A:CT,19,FALSE)</f>
        <v>VNSGN</v>
      </c>
      <c r="J139" s="61">
        <f>VLOOKUP(D139,'2.Bookinglist'!A:CT,26,FALSE)</f>
        <v>0</v>
      </c>
      <c r="K139" s="61" t="str">
        <f>VLOOKUP(A139,'1.Loading'!A:R,5,FALSE)</f>
        <v>22GP</v>
      </c>
      <c r="L139" s="60" t="str">
        <f>VLOOKUP(D139,'2.Bookinglist'!A:CT,85,FALSE)</f>
        <v>CY/CY</v>
      </c>
      <c r="M139" s="60" t="str">
        <f>IF(VLOOKUP(D139,'2.Bookinglist'!A:CT,43,FALSE)=0,"","DG")</f>
        <v/>
      </c>
      <c r="N139" s="60" t="str">
        <f>IF(RIGHT(K139,2)="RE","RF","")</f>
        <v/>
      </c>
      <c r="O139" s="61" t="str">
        <f>VLOOKUP(A139,'1.Loading'!A:R,3,FALSE)</f>
        <v>SWSP</v>
      </c>
      <c r="P139" s="61" t="str">
        <f>VLOOKUP(A139,'1.Loading'!A:R,4,FALSE)</f>
        <v>2609N</v>
      </c>
      <c r="Q139" s="61" t="str">
        <f>VLOOKUP(D139,'2.Bookinglist'!A:CT,12,FALSE)</f>
        <v>BTS</v>
      </c>
      <c r="R139" s="60" t="str">
        <f>IF(LEFT(K139,2)="22","20'","40'")</f>
        <v>20'</v>
      </c>
      <c r="S139" s="185" t="n"/>
      <c r="T139" s="61" t="str">
        <f>VLOOKUP(A139,'1.Loading'!A:R,2,FALSE)</f>
        <v>2026-10-08</v>
      </c>
      <c r="U139" s="63">
        <f>T139-S139</f>
        <v>46303</v>
      </c>
      <c r="V139" s="186" t="n"/>
      <c r="W139" s="61" t="str">
        <f>VLOOKUP(A139,'3.GateMove'!A:D,4,FALSE)</f>
        <v>2026-09-28</v>
      </c>
      <c r="X139" s="63">
        <f>((T139-W139)+1)</f>
        <v>11</v>
      </c>
      <c r="Y139" s="64">
        <f>IF(AND(OR(C139="BKK01",C139="BKK04"),L139="CFS/CY"),0,IF(M139="DG",1,IF(LEFT(C139,3)="LCH",7,IF(C139="BKK02",5,3))))</f>
        <v>3</v>
      </c>
      <c r="Z139" s="63">
        <f>IF(IF(AND(AC139="TML",AB139&gt;0),((T139-W139)+1)-AB139,((T139-W139)+1)-Y139)&gt;0,IF(AND(AC139="TML",AB139&gt;0),((T139-W139)+1)-AB139,((T139-W139)+1)-Y139),0)</f>
        <v>8</v>
      </c>
      <c r="AA139" s="187">
        <f>IF(AND(B139="G1",M139=""),IF(R139="20'",
VLOOKUP(Z139,Charge!$K$2:$M$5,2,TRUE)+(Z139-VLOOKUP(Z139,Charge!$K$2:$M$5,1,TRUE))*VLOOKUP(Z139,Charge!$K$2:$M$5,3,TRUE),
VLOOKUP(Z139,Charge!$N$2:$P$5,2,TRUE)+(Z139-VLOOKUP(Z139,Charge!$N$2:$P$5,1,TRUE))*VLOOKUP(Z139,Charge!$N$2:$P$5,3,TRUE)),
IF(AND(B139="G1",M139="DG"),IF(R139="20'",
VLOOKUP(Z139,Charge!$R$2:$T$5,2,TRUE)+(Z139-VLOOKUP(Z139,Charge!$R$2:$T$5,1,TRUE))*VLOOKUP(Z139,Charge!$R$2:$T$5,3,TRUE),
VLOOKUP(Z139,Charge!$U$2:$W$5,2,TRUE)+(Z139-VLOOKUP(Z139,Charge!$U$2:$W$5,1,TRUE))*VLOOKUP(Z139,Charge!$U$2:$W$5,3,TRUE)),
IF(AND(B139="G3",M139=""),IF(R139="20'",
VLOOKUP(Z139,Charge!$K$18:$M$21,2,TRUE)+(Z139-VLOOKUP(Z139,Charge!$K$18:$M$21,1,TRUE))*VLOOKUP(Z139,Charge!$K$18:$M$21,3,TRUE),
VLOOKUP(Z139,Charge!$N$18:$P$21,2,TRUE)+(Z139-VLOOKUP(Z139,Charge!$N$18:$P$21,1,TRUE))*VLOOKUP(Z139,Charge!$N$18:$P$21,3,TRUE)),
IF(AND(B139="G3",M139="DG"),IF(R139="20'",
VLOOKUP(Z139,Charge!$R$18:$T$21,2,TRUE)+(Z139-VLOOKUP(Z139,Charge!$R$18:$T$21,1,TRUE))*VLOOKUP(Z139,Charge!$R$18:$T$21,3,TRUE),
VLOOKUP(Z139,Charge!$U$18:$W$21,2,TRUE)+(Z139-VLOOKUP(Z139,Charge!$U$18:$W$21,1,TRUE))*VLOOKUP(Z139,Charge!$U$18:$W$21,3,TRUE)),
IF(AND(B139="G2",M139=""),IF(R139="20'",
VLOOKUP(Z139,Charge!$K$9:$M$12,2,TRUE)+(Z139-VLOOKUP(Z139,Charge!$K$9:$M$12,1,TRUE))*VLOOKUP(Z139,Charge!$K$9:$M$12,3,TRUE),
VLOOKUP(Z139,Charge!$N$9:$P$12,2,TRUE)+(Z139-VLOOKUP(Z139,Charge!$N$9:$P$12,1,TRUE))*VLOOKUP(Z139,Charge!$N$9:$P$12,3,TRUE)),
IF(AND(B139="G2",M139="DG"),IF(R139="20'",
VLOOKUP(Z139,Charge!$R$9:$T$12,2,TRUE)+(Z139-VLOOKUP(Z139,Charge!$R$9:$T$12,1,TRUE))*VLOOKUP(Z139,Charge!$R$9:$T$12,3,TRUE),
VLOOKUP(Z139,Charge!$U$9:$W$12,2,TRUE)+(Z139-VLOOKUP(Z139,Charge!$U$9:$W$12,1,TRUE))*VLOOKUP(Z139,Charge!$U$9:$W$12,3,TRUE)),IF(AND(B139="G4",M139=""),IF(R139="20'",Z139*Charge!$M$25,Z139*Charge!$P$25),IF(AND(B139="G4",M139="DG"),IF(R139="20'",Z139*Charge!$T$25,Z139*Charge!$W$25),0))))))))</f>
        <v>1395</v>
      </c>
      <c r="AB139" s="184" t="n"/>
      <c r="AC139" s="184" t="n"/>
      <c r="AD139" s="60">
        <f>IF(M139="DG",3,IF(N139="RF",3,5))+IF(AND(LEFT(C139,3)="BKK",N139="RF",Q139="KTS"),1,0)+IF(Q139="KHS",1,0)</f>
        <v>5</v>
      </c>
      <c r="AE139" s="63">
        <f>(T139-V139)+1</f>
        <v>46304</v>
      </c>
      <c r="AF139" s="63">
        <f>IF(AB139&gt;IF((V139-W139)&gt;0,V139-W139,0),0,IF(AB139&lt;IF((V139-W139)&gt;0,V139-W139,0),IF((V139-W139)&gt;0,V139-W139,0)-AB139,IF((V139-W139)&gt;0,V139-W139,0)))</f>
        <v>0</v>
      </c>
      <c r="AG139" s="187">
        <f>IF(AND(M139=""),IF(R139="20'",
VLOOKUP(AF139,Charge!$K$31:$M$34,2,TRUE)+(AF139-VLOOKUP(AF139,Charge!$K$31:$M$34,1,TRUE))*VLOOKUP(AF139,Charge!$K$31:$M$34,3,TRUE),
VLOOKUP(AF139,Charge!$N$31:$P$34,2,TRUE)+(AF139-VLOOKUP(AF139,Charge!$N$31:$P$34,1,TRUE))*VLOOKUP(AF139,Charge!$N$31:$P$34,3,TRUE)),
IF(AND(M139="DG"),IF(R139="20'",
VLOOKUP(AF139,Charge!$R$31:$T$34,2,TRUE)+(AF139-VLOOKUP(AF139,Charge!$R$31:$T$34,1,TRUE))*VLOOKUP(AF139,Charge!$R$31:$T$34,3,TRUE),
VLOOKUP(AF139,Charge!$U$31:$W$34,2,TRUE)+(AF139-VLOOKUP(AF139,Charge!$U$31:$W$34,1,TRUE))*VLOOKUP(AF139,Charge!$U$31:$W$34,3,TRUE)),0))</f>
        <v>0</v>
      </c>
      <c r="AH139" s="65" t="n"/>
      <c r="AI139" s="65">
        <f>AA139-AH139</f>
        <v>1395</v>
      </c>
      <c r="AJ139" s="188" t="n"/>
      <c r="AK139" s="62" t="str">
        <f>VLOOKUP(D139,'2.Bookinglist'!A:CT,40,FALSE)</f>
        <v>Kanokporn</v>
      </c>
      <c r="AL139" s="60" t="str">
        <f>VLOOKUP(D139,'2.Bookinglist'!A:CW,101,FALSE)</f>
        <v>2026-10-07</v>
      </c>
      <c r="AM139" s="60" t="str">
        <f>VLOOKUP(D139,'2.Bookinglist'!A:BK,63,FALSE)</f>
        <v>BKK27</v>
      </c>
      <c r="AN139" s="62" t="str">
        <f>VLOOKUP(D139,'2.Bookinglist'!A:AZ,52,FALSE)</f>
        <v>Pickup : 2026-09-26, Return : 2026-09-28 </v>
      </c>
      <c r="AO139" s="62" t="str">
        <f>VLOOKUP(D139,'2.Bookinglist'!A:CY,103,FALSE)</f>
        <v>ROLL OVER FROM PREVIOUS VSL KMBK 2611N BY ALLOCATION TEAM MS.TARN APPROVED COST IS UNDER HAL DD.01/10</v>
      </c>
    </row>
    <row r="140" ht="12.95" customHeight="1">
      <c r="A140" s="96" t="inlineStr">
        <is>
          <t>SKLU1913921</t>
        </is>
      </c>
      <c r="B140" s="184" t="str">
        <f>IF(C140=Charge!$M$1,Charge!$J$1,IF(C140=Charge!$M$23,Charge!$J$23,IF(C140=Charge!$M$17,Charge!$J$17,IF(C140=Charge!$N$17,Charge!$J$17,Charge!$J$7))))</f>
        <v>G3</v>
      </c>
      <c r="C140" s="61" t="str">
        <f>VLOOKUP(A140,'1.Loading'!A:R,14,FALSE)</f>
        <v>BKK04</v>
      </c>
      <c r="D140" s="61" t="str">
        <f>VLOOKUP(A140,'1.Loading'!A:R,17,FALSE)</f>
        <v>HASLS22260901637</v>
      </c>
      <c r="E140" s="62" t="str">
        <f>VLOOKUP(D140,'2.Bookinglist'!A:CT,27,FALSE)</f>
        <v>SDS-ACUTECH CO., LTD.</v>
      </c>
      <c r="F140" s="62" t="str">
        <f>VLOOKUP(D140,'2.Bookinglist'!A:CT,28,FALSE)</f>
        <v>APEX CIRCUIT (THAILAND) CO., LTD.</v>
      </c>
      <c r="G140" s="60">
        <f>VLOOKUP(D140,'2.Bookinglist'!A:E,5,FALSE)</f>
        <v>0</v>
      </c>
      <c r="H140" s="61" t="str">
        <f>VLOOKUP(D140,'2.Bookinglist'!A:CT,15,FALSE)</f>
        <v>THBKK</v>
      </c>
      <c r="I140" s="61" t="str">
        <f>VLOOKUP(D140,'2.Bookinglist'!A:CT,19,FALSE)</f>
        <v>VNSGN</v>
      </c>
      <c r="J140" s="61">
        <f>VLOOKUP(D140,'2.Bookinglist'!A:CT,26,FALSE)</f>
        <v>0</v>
      </c>
      <c r="K140" s="61" t="str">
        <f>VLOOKUP(A140,'1.Loading'!A:R,5,FALSE)</f>
        <v>22GP</v>
      </c>
      <c r="L140" s="60" t="str">
        <f>VLOOKUP(D140,'2.Bookinglist'!A:CT,85,FALSE)</f>
        <v>CY/CY</v>
      </c>
      <c r="M140" s="60" t="str">
        <f>IF(VLOOKUP(D140,'2.Bookinglist'!A:CT,43,FALSE)=0,"","DG")</f>
        <v/>
      </c>
      <c r="N140" s="60" t="str">
        <f>IF(RIGHT(K140,2)="RE","RF","")</f>
        <v/>
      </c>
      <c r="O140" s="61" t="str">
        <f>VLOOKUP(A140,'1.Loading'!A:R,3,FALSE)</f>
        <v>SWSP</v>
      </c>
      <c r="P140" s="61" t="str">
        <f>VLOOKUP(A140,'1.Loading'!A:R,4,FALSE)</f>
        <v>2609N</v>
      </c>
      <c r="Q140" s="61" t="str">
        <f>VLOOKUP(D140,'2.Bookinglist'!A:CT,12,FALSE)</f>
        <v>BTS</v>
      </c>
      <c r="R140" s="60" t="str">
        <f>IF(LEFT(K140,2)="22","20'","40'")</f>
        <v>20'</v>
      </c>
      <c r="S140" s="185" t="n"/>
      <c r="T140" s="61" t="str">
        <f>VLOOKUP(A140,'1.Loading'!A:R,2,FALSE)</f>
        <v>2026-10-08</v>
      </c>
      <c r="U140" s="63">
        <f>T140-S140</f>
        <v>46303</v>
      </c>
      <c r="V140" s="186" t="n"/>
      <c r="W140" s="61" t="str">
        <f>VLOOKUP(A140,'3.GateMove'!A:D,4,FALSE)</f>
        <v>2026-10-04</v>
      </c>
      <c r="X140" s="63">
        <f>((T140-W140)+1)</f>
        <v>5</v>
      </c>
      <c r="Y140" s="64">
        <f>IF(AND(OR(C140="BKK01",C140="BKK04"),L140="CFS/CY"),0,IF(M140="DG",1,IF(LEFT(C140,3)="LCH",7,IF(C140="BKK02",5,3))))</f>
        <v>3</v>
      </c>
      <c r="Z140" s="63">
        <f>IF(IF(AND(AC140="TML",AB140&gt;0),((T140-W140)+1)-AB140,((T140-W140)+1)-Y140)&gt;0,IF(AND(AC140="TML",AB140&gt;0),((T140-W140)+1)-AB140,((T140-W140)+1)-Y140),0)</f>
        <v>2</v>
      </c>
      <c r="AA140" s="187">
        <f>IF(AND(B140="G1",M140=""),IF(R140="20'",
VLOOKUP(Z140,Charge!$K$2:$M$5,2,TRUE)+(Z140-VLOOKUP(Z140,Charge!$K$2:$M$5,1,TRUE))*VLOOKUP(Z140,Charge!$K$2:$M$5,3,TRUE),
VLOOKUP(Z140,Charge!$N$2:$P$5,2,TRUE)+(Z140-VLOOKUP(Z140,Charge!$N$2:$P$5,1,TRUE))*VLOOKUP(Z140,Charge!$N$2:$P$5,3,TRUE)),
IF(AND(B140="G1",M140="DG"),IF(R140="20'",
VLOOKUP(Z140,Charge!$R$2:$T$5,2,TRUE)+(Z140-VLOOKUP(Z140,Charge!$R$2:$T$5,1,TRUE))*VLOOKUP(Z140,Charge!$R$2:$T$5,3,TRUE),
VLOOKUP(Z140,Charge!$U$2:$W$5,2,TRUE)+(Z140-VLOOKUP(Z140,Charge!$U$2:$W$5,1,TRUE))*VLOOKUP(Z140,Charge!$U$2:$W$5,3,TRUE)),
IF(AND(B140="G3",M140=""),IF(R140="20'",
VLOOKUP(Z140,Charge!$K$18:$M$21,2,TRUE)+(Z140-VLOOKUP(Z140,Charge!$K$18:$M$21,1,TRUE))*VLOOKUP(Z140,Charge!$K$18:$M$21,3,TRUE),
VLOOKUP(Z140,Charge!$N$18:$P$21,2,TRUE)+(Z140-VLOOKUP(Z140,Charge!$N$18:$P$21,1,TRUE))*VLOOKUP(Z140,Charge!$N$18:$P$21,3,TRUE)),
IF(AND(B140="G3",M140="DG"),IF(R140="20'",
VLOOKUP(Z140,Charge!$R$18:$T$21,2,TRUE)+(Z140-VLOOKUP(Z140,Charge!$R$18:$T$21,1,TRUE))*VLOOKUP(Z140,Charge!$R$18:$T$21,3,TRUE),
VLOOKUP(Z140,Charge!$U$18:$W$21,2,TRUE)+(Z140-VLOOKUP(Z140,Charge!$U$18:$W$21,1,TRUE))*VLOOKUP(Z140,Charge!$U$18:$W$21,3,TRUE)),
IF(AND(B140="G2",M140=""),IF(R140="20'",
VLOOKUP(Z140,Charge!$K$9:$M$12,2,TRUE)+(Z140-VLOOKUP(Z140,Charge!$K$9:$M$12,1,TRUE))*VLOOKUP(Z140,Charge!$K$9:$M$12,3,TRUE),
VLOOKUP(Z140,Charge!$N$9:$P$12,2,TRUE)+(Z140-VLOOKUP(Z140,Charge!$N$9:$P$12,1,TRUE))*VLOOKUP(Z140,Charge!$N$9:$P$12,3,TRUE)),
IF(AND(B140="G2",M140="DG"),IF(R140="20'",
VLOOKUP(Z140,Charge!$R$9:$T$12,2,TRUE)+(Z140-VLOOKUP(Z140,Charge!$R$9:$T$12,1,TRUE))*VLOOKUP(Z140,Charge!$R$9:$T$12,3,TRUE),
VLOOKUP(Z140,Charge!$U$9:$W$12,2,TRUE)+(Z140-VLOOKUP(Z140,Charge!$U$9:$W$12,1,TRUE))*VLOOKUP(Z140,Charge!$U$9:$W$12,3,TRUE)),IF(AND(B140="G4",M140=""),IF(R140="20'",Z140*Charge!$M$25,Z140*Charge!$P$25),IF(AND(B140="G4",M140="DG"),IF(R140="20'",Z140*Charge!$T$25,Z140*Charge!$W$25),0))))))))</f>
        <v>320</v>
      </c>
      <c r="AB140" s="184" t="n"/>
      <c r="AC140" s="184" t="n"/>
      <c r="AD140" s="60">
        <f>IF(M140="DG",3,IF(N140="RF",3,5))+IF(AND(LEFT(C140,3)="BKK",N140="RF",Q140="KTS"),1,0)+IF(Q140="KHS",1,0)</f>
        <v>5</v>
      </c>
      <c r="AE140" s="63">
        <f>(T140-V140)+1</f>
        <v>46304</v>
      </c>
      <c r="AF140" s="63">
        <f>IF(AB140&gt;IF((V140-W140)&gt;0,V140-W140,0),0,IF(AB140&lt;IF((V140-W140)&gt;0,V140-W140,0),IF((V140-W140)&gt;0,V140-W140,0)-AB140,IF((V140-W140)&gt;0,V140-W140,0)))</f>
        <v>0</v>
      </c>
      <c r="AG140" s="187">
        <f>IF(AND(M140=""),IF(R140="20'",
VLOOKUP(AF140,Charge!$K$31:$M$34,2,TRUE)+(AF140-VLOOKUP(AF140,Charge!$K$31:$M$34,1,TRUE))*VLOOKUP(AF140,Charge!$K$31:$M$34,3,TRUE),
VLOOKUP(AF140,Charge!$N$31:$P$34,2,TRUE)+(AF140-VLOOKUP(AF140,Charge!$N$31:$P$34,1,TRUE))*VLOOKUP(AF140,Charge!$N$31:$P$34,3,TRUE)),
IF(AND(M140="DG"),IF(R140="20'",
VLOOKUP(AF140,Charge!$R$31:$T$34,2,TRUE)+(AF140-VLOOKUP(AF140,Charge!$R$31:$T$34,1,TRUE))*VLOOKUP(AF140,Charge!$R$31:$T$34,3,TRUE),
VLOOKUP(AF140,Charge!$U$31:$W$34,2,TRUE)+(AF140-VLOOKUP(AF140,Charge!$U$31:$W$34,1,TRUE))*VLOOKUP(AF140,Charge!$U$31:$W$34,3,TRUE)),0))</f>
        <v>0</v>
      </c>
      <c r="AH140" s="65" t="n"/>
      <c r="AI140" s="65">
        <f>AA140-AH140</f>
        <v>320</v>
      </c>
      <c r="AJ140" s="188" t="n"/>
      <c r="AK140" s="62" t="str">
        <f>VLOOKUP(D140,'2.Bookinglist'!A:CT,40,FALSE)</f>
        <v>LEE SEUNG MIN</v>
      </c>
      <c r="AL140" s="60" t="str">
        <f>VLOOKUP(D140,'2.Bookinglist'!A:CW,101,FALSE)</f>
        <v>2026-10-04</v>
      </c>
      <c r="AM140" s="60" t="str">
        <f>VLOOKUP(D140,'2.Bookinglist'!A:BK,63,FALSE)</f>
        <v>BKK27</v>
      </c>
      <c r="AN140" s="62" t="str">
        <f>VLOOKUP(D140,'2.Bookinglist'!A:AZ,52,FALSE)</f>
        <v>Pickup : 2026-10-01, Return : 2026-10-02</v>
      </c>
      <c r="AO140" s="62">
        <f>VLOOKUP(D140,'2.Bookinglist'!A:CY,103,FALSE)</f>
        <v>0</v>
      </c>
    </row>
    <row r="141" ht="12.95" customHeight="1">
      <c r="A141" s="96" t="inlineStr">
        <is>
          <t>SKLU1919787</t>
        </is>
      </c>
      <c r="B141" s="184" t="str">
        <f>IF(C141=Charge!$M$1,Charge!$J$1,IF(C141=Charge!$M$23,Charge!$J$23,IF(C141=Charge!$M$17,Charge!$J$17,IF(C141=Charge!$N$17,Charge!$J$17,Charge!$J$7))))</f>
        <v>G3</v>
      </c>
      <c r="C141" s="61" t="str">
        <f>VLOOKUP(A141,'1.Loading'!A:R,14,FALSE)</f>
        <v>BKK04</v>
      </c>
      <c r="D141" s="61" t="str">
        <f>VLOOKUP(A141,'1.Loading'!A:R,17,FALSE)</f>
        <v>HASLS22260901542</v>
      </c>
      <c r="E141" s="62" t="str">
        <f>VLOOKUP(D141,'2.Bookinglist'!A:CT,27,FALSE)</f>
        <v>COS LOGISTICS COMPANY LIMITED</v>
      </c>
      <c r="F141" s="62" t="str">
        <f>VLOOKUP(D141,'2.Bookinglist'!A:CT,28,FALSE)</f>
        <v>JEWELRY PLASTER LIMITED</v>
      </c>
      <c r="G141" s="60">
        <f>VLOOKUP(D141,'2.Bookinglist'!A:E,5,FALSE)</f>
        <v>0</v>
      </c>
      <c r="H141" s="61" t="str">
        <f>VLOOKUP(D141,'2.Bookinglist'!A:CT,15,FALSE)</f>
        <v>THBKK</v>
      </c>
      <c r="I141" s="61" t="str">
        <f>VLOOKUP(D141,'2.Bookinglist'!A:CT,19,FALSE)</f>
        <v>VNSGN</v>
      </c>
      <c r="J141" s="61">
        <f>VLOOKUP(D141,'2.Bookinglist'!A:CT,26,FALSE)</f>
        <v>0</v>
      </c>
      <c r="K141" s="61" t="str">
        <f>VLOOKUP(A141,'1.Loading'!A:R,5,FALSE)</f>
        <v>22GP</v>
      </c>
      <c r="L141" s="60" t="str">
        <f>VLOOKUP(D141,'2.Bookinglist'!A:CT,85,FALSE)</f>
        <v>CY/CY</v>
      </c>
      <c r="M141" s="60" t="str">
        <f>IF(VLOOKUP(D141,'2.Bookinglist'!A:CT,43,FALSE)=0,"","DG")</f>
        <v/>
      </c>
      <c r="N141" s="60" t="str">
        <f>IF(RIGHT(K141,2)="RE","RF","")</f>
        <v/>
      </c>
      <c r="O141" s="61" t="str">
        <f>VLOOKUP(A141,'1.Loading'!A:R,3,FALSE)</f>
        <v>SWSP</v>
      </c>
      <c r="P141" s="61" t="str">
        <f>VLOOKUP(A141,'1.Loading'!A:R,4,FALSE)</f>
        <v>2609N</v>
      </c>
      <c r="Q141" s="61" t="str">
        <f>VLOOKUP(D141,'2.Bookinglist'!A:CT,12,FALSE)</f>
        <v>BTS</v>
      </c>
      <c r="R141" s="60" t="str">
        <f>IF(LEFT(K141,2)="22","20'","40'")</f>
        <v>20'</v>
      </c>
      <c r="S141" s="185" t="n"/>
      <c r="T141" s="61" t="str">
        <f>VLOOKUP(A141,'1.Loading'!A:R,2,FALSE)</f>
        <v>2026-10-08</v>
      </c>
      <c r="U141" s="63">
        <f>T141-S141</f>
        <v>46303</v>
      </c>
      <c r="V141" s="186" t="n"/>
      <c r="W141" s="61" t="str">
        <f>VLOOKUP(A141,'3.GateMove'!A:D,4,FALSE)</f>
        <v>2026-10-01</v>
      </c>
      <c r="X141" s="63">
        <f>((T141-W141)+1)</f>
        <v>8</v>
      </c>
      <c r="Y141" s="64">
        <f>IF(AND(OR(C141="BKK01",C141="BKK04"),L141="CFS/CY"),0,IF(M141="DG",1,IF(LEFT(C141,3)="LCH",7,IF(C141="BKK02",5,3))))</f>
        <v>3</v>
      </c>
      <c r="Z141" s="63">
        <f>IF(IF(AND(AC141="TML",AB141&gt;0),((T141-W141)+1)-AB141,((T141-W141)+1)-Y141)&gt;0,IF(AND(AC141="TML",AB141&gt;0),((T141-W141)+1)-AB141,((T141-W141)+1)-Y141),0)</f>
        <v>5</v>
      </c>
      <c r="AA141" s="187">
        <f>IF(AND(B141="G1",M141=""),IF(R141="20'",
VLOOKUP(Z141,Charge!$K$2:$M$5,2,TRUE)+(Z141-VLOOKUP(Z141,Charge!$K$2:$M$5,1,TRUE))*VLOOKUP(Z141,Charge!$K$2:$M$5,3,TRUE),
VLOOKUP(Z141,Charge!$N$2:$P$5,2,TRUE)+(Z141-VLOOKUP(Z141,Charge!$N$2:$P$5,1,TRUE))*VLOOKUP(Z141,Charge!$N$2:$P$5,3,TRUE)),
IF(AND(B141="G1",M141="DG"),IF(R141="20'",
VLOOKUP(Z141,Charge!$R$2:$T$5,2,TRUE)+(Z141-VLOOKUP(Z141,Charge!$R$2:$T$5,1,TRUE))*VLOOKUP(Z141,Charge!$R$2:$T$5,3,TRUE),
VLOOKUP(Z141,Charge!$U$2:$W$5,2,TRUE)+(Z141-VLOOKUP(Z141,Charge!$U$2:$W$5,1,TRUE))*VLOOKUP(Z141,Charge!$U$2:$W$5,3,TRUE)),
IF(AND(B141="G3",M141=""),IF(R141="20'",
VLOOKUP(Z141,Charge!$K$18:$M$21,2,TRUE)+(Z141-VLOOKUP(Z141,Charge!$K$18:$M$21,1,TRUE))*VLOOKUP(Z141,Charge!$K$18:$M$21,3,TRUE),
VLOOKUP(Z141,Charge!$N$18:$P$21,2,TRUE)+(Z141-VLOOKUP(Z141,Charge!$N$18:$P$21,1,TRUE))*VLOOKUP(Z141,Charge!$N$18:$P$21,3,TRUE)),
IF(AND(B141="G3",M141="DG"),IF(R141="20'",
VLOOKUP(Z141,Charge!$R$18:$T$21,2,TRUE)+(Z141-VLOOKUP(Z141,Charge!$R$18:$T$21,1,TRUE))*VLOOKUP(Z141,Charge!$R$18:$T$21,3,TRUE),
VLOOKUP(Z141,Charge!$U$18:$W$21,2,TRUE)+(Z141-VLOOKUP(Z141,Charge!$U$18:$W$21,1,TRUE))*VLOOKUP(Z141,Charge!$U$18:$W$21,3,TRUE)),
IF(AND(B141="G2",M141=""),IF(R141="20'",
VLOOKUP(Z141,Charge!$K$9:$M$12,2,TRUE)+(Z141-VLOOKUP(Z141,Charge!$K$9:$M$12,1,TRUE))*VLOOKUP(Z141,Charge!$K$9:$M$12,3,TRUE),
VLOOKUP(Z141,Charge!$N$9:$P$12,2,TRUE)+(Z141-VLOOKUP(Z141,Charge!$N$9:$P$12,1,TRUE))*VLOOKUP(Z141,Charge!$N$9:$P$12,3,TRUE)),
IF(AND(B141="G2",M141="DG"),IF(R141="20'",
VLOOKUP(Z141,Charge!$R$9:$T$12,2,TRUE)+(Z141-VLOOKUP(Z141,Charge!$R$9:$T$12,1,TRUE))*VLOOKUP(Z141,Charge!$R$9:$T$12,3,TRUE),
VLOOKUP(Z141,Charge!$U$9:$W$12,2,TRUE)+(Z141-VLOOKUP(Z141,Charge!$U$9:$W$12,1,TRUE))*VLOOKUP(Z141,Charge!$U$9:$W$12,3,TRUE)),IF(AND(B141="G4",M141=""),IF(R141="20'",Z141*Charge!$M$25,Z141*Charge!$P$25),IF(AND(B141="G4",M141="DG"),IF(R141="20'",Z141*Charge!$T$25,Z141*Charge!$W$25),0))))))))</f>
        <v>800</v>
      </c>
      <c r="AB141" s="184" t="n"/>
      <c r="AC141" s="184" t="n"/>
      <c r="AD141" s="60">
        <f>IF(M141="DG",3,IF(N141="RF",3,5))+IF(AND(LEFT(C141,3)="BKK",N141="RF",Q141="KTS"),1,0)+IF(Q141="KHS",1,0)</f>
        <v>5</v>
      </c>
      <c r="AE141" s="63">
        <f>(T141-V141)+1</f>
        <v>46304</v>
      </c>
      <c r="AF141" s="63">
        <f>IF(AB141&gt;IF((V141-W141)&gt;0,V141-W141,0),0,IF(AB141&lt;IF((V141-W141)&gt;0,V141-W141,0),IF((V141-W141)&gt;0,V141-W141,0)-AB141,IF((V141-W141)&gt;0,V141-W141,0)))</f>
        <v>0</v>
      </c>
      <c r="AG141" s="187">
        <f>IF(AND(M141=""),IF(R141="20'",
VLOOKUP(AF141,Charge!$K$31:$M$34,2,TRUE)+(AF141-VLOOKUP(AF141,Charge!$K$31:$M$34,1,TRUE))*VLOOKUP(AF141,Charge!$K$31:$M$34,3,TRUE),
VLOOKUP(AF141,Charge!$N$31:$P$34,2,TRUE)+(AF141-VLOOKUP(AF141,Charge!$N$31:$P$34,1,TRUE))*VLOOKUP(AF141,Charge!$N$31:$P$34,3,TRUE)),
IF(AND(M141="DG"),IF(R141="20'",
VLOOKUP(AF141,Charge!$R$31:$T$34,2,TRUE)+(AF141-VLOOKUP(AF141,Charge!$R$31:$T$34,1,TRUE))*VLOOKUP(AF141,Charge!$R$31:$T$34,3,TRUE),
VLOOKUP(AF141,Charge!$U$31:$W$34,2,TRUE)+(AF141-VLOOKUP(AF141,Charge!$U$31:$W$34,1,TRUE))*VLOOKUP(AF141,Charge!$U$31:$W$34,3,TRUE)),0))</f>
        <v>0</v>
      </c>
      <c r="AH141" s="65" t="n"/>
      <c r="AI141" s="65">
        <f>AA141-AH141</f>
        <v>800</v>
      </c>
      <c r="AJ141" s="188" t="n"/>
      <c r="AK141" s="62" t="str">
        <f>VLOOKUP(D141,'2.Bookinglist'!A:CT,40,FALSE)</f>
        <v>Nannaapust Sukporntaweewat</v>
      </c>
      <c r="AL141" s="60" t="str">
        <f>VLOOKUP(D141,'2.Bookinglist'!A:CW,101,FALSE)</f>
        <v>2026-10-05</v>
      </c>
      <c r="AM141" s="60" t="str">
        <f>VLOOKUP(D141,'2.Bookinglist'!A:BK,63,FALSE)</f>
        <v>BKK27</v>
      </c>
      <c r="AN141" s="62" t="str">
        <f>VLOOKUP(D141,'2.Bookinglist'!A:AZ,52,FALSE)</f>
        <v>Pickup : 2026-09-30, Return : 2026-10-01</v>
      </c>
      <c r="AO141" s="62">
        <f>VLOOKUP(D141,'2.Bookinglist'!A:CY,103,FALSE)</f>
        <v>0</v>
      </c>
    </row>
    <row r="142" ht="12.95" customHeight="1">
      <c r="A142" s="96" t="inlineStr">
        <is>
          <t>SKLU1939130</t>
        </is>
      </c>
      <c r="B142" s="184" t="str">
        <f>IF(C142=Charge!$M$1,Charge!$J$1,IF(C142=Charge!$M$23,Charge!$J$23,IF(C142=Charge!$M$17,Charge!$J$17,IF(C142=Charge!$N$17,Charge!$J$17,Charge!$J$7))))</f>
        <v>G3</v>
      </c>
      <c r="C142" s="61" t="str">
        <f>VLOOKUP(A142,'1.Loading'!A:R,14,FALSE)</f>
        <v>BKK04</v>
      </c>
      <c r="D142" s="61" t="str">
        <f>VLOOKUP(A142,'1.Loading'!A:R,17,FALSE)</f>
        <v>HASLS22260801914</v>
      </c>
      <c r="E142" s="62" t="str">
        <f>VLOOKUP(D142,'2.Bookinglist'!A:CT,27,FALSE)</f>
        <v>DP WORLD LOGISTICS SOLUTIONS (THAILAND) COMPANY LIMITED</v>
      </c>
      <c r="F142" s="62" t="str">
        <f>VLOOKUP(D142,'2.Bookinglist'!A:CT,28,FALSE)</f>
        <v>DP WORLD LOGISTICS SOLUTIONS (THAILAND) COMPANY LIMITED</v>
      </c>
      <c r="G142" s="60">
        <f>VLOOKUP(D142,'2.Bookinglist'!A:E,5,FALSE)</f>
        <v>0</v>
      </c>
      <c r="H142" s="61" t="str">
        <f>VLOOKUP(D142,'2.Bookinglist'!A:CT,15,FALSE)</f>
        <v>THBKK</v>
      </c>
      <c r="I142" s="61" t="str">
        <f>VLOOKUP(D142,'2.Bookinglist'!A:CT,19,FALSE)</f>
        <v>KRPTK</v>
      </c>
      <c r="J142" s="61">
        <f>VLOOKUP(D142,'2.Bookinglist'!A:CT,26,FALSE)</f>
        <v>0</v>
      </c>
      <c r="K142" s="61" t="str">
        <f>VLOOKUP(A142,'1.Loading'!A:R,5,FALSE)</f>
        <v>22GP</v>
      </c>
      <c r="L142" s="60" t="str">
        <f>VLOOKUP(D142,'2.Bookinglist'!A:CT,85,FALSE)</f>
        <v>CY/CY</v>
      </c>
      <c r="M142" s="60" t="str">
        <f>IF(VLOOKUP(D142,'2.Bookinglist'!A:CT,43,FALSE)=0,"","DG")</f>
        <v/>
      </c>
      <c r="N142" s="60" t="str">
        <f>IF(RIGHT(K142,2)="RE","RF","")</f>
        <v/>
      </c>
      <c r="O142" s="61" t="str">
        <f>VLOOKUP(A142,'1.Loading'!A:R,3,FALSE)</f>
        <v>SWSP</v>
      </c>
      <c r="P142" s="61" t="str">
        <f>VLOOKUP(A142,'1.Loading'!A:R,4,FALSE)</f>
        <v>2609N</v>
      </c>
      <c r="Q142" s="61" t="str">
        <f>VLOOKUP(D142,'2.Bookinglist'!A:CT,12,FALSE)</f>
        <v>BTS</v>
      </c>
      <c r="R142" s="60" t="str">
        <f>IF(LEFT(K142,2)="22","20'","40'")</f>
        <v>20'</v>
      </c>
      <c r="S142" s="185" t="n"/>
      <c r="T142" s="61" t="str">
        <f>VLOOKUP(A142,'1.Loading'!A:R,2,FALSE)</f>
        <v>2026-10-08</v>
      </c>
      <c r="U142" s="63">
        <f>T142-S142</f>
        <v>46303</v>
      </c>
      <c r="V142" s="186" t="n"/>
      <c r="W142" s="61" t="str">
        <f>VLOOKUP(A142,'3.GateMove'!A:D,4,FALSE)</f>
        <v>2026-09-21</v>
      </c>
      <c r="X142" s="63">
        <f>((T142-W142)+1)</f>
        <v>18</v>
      </c>
      <c r="Y142" s="64">
        <f>IF(AND(OR(C142="BKK01",C142="BKK04"),L142="CFS/CY"),0,IF(M142="DG",1,IF(LEFT(C142,3)="LCH",7,IF(C142="BKK02",5,3))))</f>
        <v>3</v>
      </c>
      <c r="Z142" s="63">
        <f>IF(IF(AND(AC142="TML",AB142&gt;0),((T142-W142)+1)-AB142,((T142-W142)+1)-Y142)&gt;0,IF(AND(AC142="TML",AB142&gt;0),((T142-W142)+1)-AB142,((T142-W142)+1)-Y142),0)</f>
        <v>15</v>
      </c>
      <c r="AA142" s="187">
        <f>IF(AND(B142="G1",M142=""),IF(R142="20'",
VLOOKUP(Z142,Charge!$K$2:$M$5,2,TRUE)+(Z142-VLOOKUP(Z142,Charge!$K$2:$M$5,1,TRUE))*VLOOKUP(Z142,Charge!$K$2:$M$5,3,TRUE),
VLOOKUP(Z142,Charge!$N$2:$P$5,2,TRUE)+(Z142-VLOOKUP(Z142,Charge!$N$2:$P$5,1,TRUE))*VLOOKUP(Z142,Charge!$N$2:$P$5,3,TRUE)),
IF(AND(B142="G1",M142="DG"),IF(R142="20'",
VLOOKUP(Z142,Charge!$R$2:$T$5,2,TRUE)+(Z142-VLOOKUP(Z142,Charge!$R$2:$T$5,1,TRUE))*VLOOKUP(Z142,Charge!$R$2:$T$5,3,TRUE),
VLOOKUP(Z142,Charge!$U$2:$W$5,2,TRUE)+(Z142-VLOOKUP(Z142,Charge!$U$2:$W$5,1,TRUE))*VLOOKUP(Z142,Charge!$U$2:$W$5,3,TRUE)),
IF(AND(B142="G3",M142=""),IF(R142="20'",
VLOOKUP(Z142,Charge!$K$18:$M$21,2,TRUE)+(Z142-VLOOKUP(Z142,Charge!$K$18:$M$21,1,TRUE))*VLOOKUP(Z142,Charge!$K$18:$M$21,3,TRUE),
VLOOKUP(Z142,Charge!$N$18:$P$21,2,TRUE)+(Z142-VLOOKUP(Z142,Charge!$N$18:$P$21,1,TRUE))*VLOOKUP(Z142,Charge!$N$18:$P$21,3,TRUE)),
IF(AND(B142="G3",M142="DG"),IF(R142="20'",
VLOOKUP(Z142,Charge!$R$18:$T$21,2,TRUE)+(Z142-VLOOKUP(Z142,Charge!$R$18:$T$21,1,TRUE))*VLOOKUP(Z142,Charge!$R$18:$T$21,3,TRUE),
VLOOKUP(Z142,Charge!$U$18:$W$21,2,TRUE)+(Z142-VLOOKUP(Z142,Charge!$U$18:$W$21,1,TRUE))*VLOOKUP(Z142,Charge!$U$18:$W$21,3,TRUE)),
IF(AND(B142="G2",M142=""),IF(R142="20'",
VLOOKUP(Z142,Charge!$K$9:$M$12,2,TRUE)+(Z142-VLOOKUP(Z142,Charge!$K$9:$M$12,1,TRUE))*VLOOKUP(Z142,Charge!$K$9:$M$12,3,TRUE),
VLOOKUP(Z142,Charge!$N$9:$P$12,2,TRUE)+(Z142-VLOOKUP(Z142,Charge!$N$9:$P$12,1,TRUE))*VLOOKUP(Z142,Charge!$N$9:$P$12,3,TRUE)),
IF(AND(B142="G2",M142="DG"),IF(R142="20'",
VLOOKUP(Z142,Charge!$R$9:$T$12,2,TRUE)+(Z142-VLOOKUP(Z142,Charge!$R$9:$T$12,1,TRUE))*VLOOKUP(Z142,Charge!$R$9:$T$12,3,TRUE),
VLOOKUP(Z142,Charge!$U$9:$W$12,2,TRUE)+(Z142-VLOOKUP(Z142,Charge!$U$9:$W$12,1,TRUE))*VLOOKUP(Z142,Charge!$U$9:$W$12,3,TRUE)),IF(AND(B142="G4",M142=""),IF(R142="20'",Z142*Charge!$M$25,Z142*Charge!$P$25),IF(AND(B142="G4",M142="DG"),IF(R142="20'",Z142*Charge!$T$25,Z142*Charge!$W$25),0))))))))</f>
        <v>3435</v>
      </c>
      <c r="AB142" s="184" t="n"/>
      <c r="AC142" s="184" t="n"/>
      <c r="AD142" s="60">
        <f>IF(M142="DG",3,IF(N142="RF",3,5))+IF(AND(LEFT(C142,3)="BKK",N142="RF",Q142="KTS"),1,0)+IF(Q142="KHS",1,0)</f>
        <v>5</v>
      </c>
      <c r="AE142" s="63">
        <f>(T142-V142)+1</f>
        <v>46304</v>
      </c>
      <c r="AF142" s="63">
        <f>IF(AB142&gt;IF((V142-W142)&gt;0,V142-W142,0),0,IF(AB142&lt;IF((V142-W142)&gt;0,V142-W142,0),IF((V142-W142)&gt;0,V142-W142,0)-AB142,IF((V142-W142)&gt;0,V142-W142,0)))</f>
        <v>0</v>
      </c>
      <c r="AG142" s="187">
        <f>IF(AND(M142=""),IF(R142="20'",
VLOOKUP(AF142,Charge!$K$31:$M$34,2,TRUE)+(AF142-VLOOKUP(AF142,Charge!$K$31:$M$34,1,TRUE))*VLOOKUP(AF142,Charge!$K$31:$M$34,3,TRUE),
VLOOKUP(AF142,Charge!$N$31:$P$34,2,TRUE)+(AF142-VLOOKUP(AF142,Charge!$N$31:$P$34,1,TRUE))*VLOOKUP(AF142,Charge!$N$31:$P$34,3,TRUE)),
IF(AND(M142="DG"),IF(R142="20'",
VLOOKUP(AF142,Charge!$R$31:$T$34,2,TRUE)+(AF142-VLOOKUP(AF142,Charge!$R$31:$T$34,1,TRUE))*VLOOKUP(AF142,Charge!$R$31:$T$34,3,TRUE),
VLOOKUP(AF142,Charge!$U$31:$W$34,2,TRUE)+(AF142-VLOOKUP(AF142,Charge!$U$31:$W$34,1,TRUE))*VLOOKUP(AF142,Charge!$U$31:$W$34,3,TRUE)),0))</f>
        <v>0</v>
      </c>
      <c r="AH142" s="65" t="n"/>
      <c r="AI142" s="65">
        <f>AA142-AH142</f>
        <v>3435</v>
      </c>
      <c r="AJ142" s="188" t="n"/>
      <c r="AK142" s="62" t="str">
        <f>VLOOKUP(D142,'2.Bookinglist'!A:CT,40,FALSE)</f>
        <v>Nannaapust Sukporntaweewat</v>
      </c>
      <c r="AL142" s="60" t="str">
        <f>VLOOKUP(D142,'2.Bookinglist'!A:CW,101,FALSE)</f>
        <v>2026-10-05</v>
      </c>
      <c r="AM142" s="60" t="str">
        <f>VLOOKUP(D142,'2.Bookinglist'!A:BK,63,FALSE)</f>
        <v>BKK27</v>
      </c>
      <c r="AN142" s="62" t="str">
        <f>VLOOKUP(D142,'2.Bookinglist'!A:AZ,52,FALSE)</f>
        <v>** APPROVED BY H.W KANG DD.28/09/2026 ** *FLEXIBAG ONDECK*
Servey : 17/09/2026, Pickup : 18/09/2026, Return : 21/09/2026 *EXTEND CLS TIME : 22/09/2026 @06.00* </v>
      </c>
      <c r="AO142" s="62" t="str">
        <f>VLOOKUP(D142,'2.Bookinglist'!A:CY,103,FALSE)</f>
        <v>ROLL OVER FROM PREVIOUS VSL SWMM 2609N BY ALLOCATION TEAM MS.TARN APRPOVED COST IS UNDER HA DD.21/09</v>
      </c>
    </row>
    <row r="143" ht="12.95" customHeight="1">
      <c r="A143" s="96" t="inlineStr">
        <is>
          <t>SKLU1951367</t>
        </is>
      </c>
      <c r="B143" s="184" t="str">
        <f>IF(C143=Charge!$M$1,Charge!$J$1,IF(C143=Charge!$M$23,Charge!$J$23,IF(C143=Charge!$M$17,Charge!$J$17,IF(C143=Charge!$N$17,Charge!$J$17,Charge!$J$7))))</f>
        <v>G3</v>
      </c>
      <c r="C143" s="61" t="str">
        <f>VLOOKUP(A143,'1.Loading'!A:R,14,FALSE)</f>
        <v>BKK04</v>
      </c>
      <c r="D143" s="61" t="str">
        <f>VLOOKUP(A143,'1.Loading'!A:R,17,FALSE)</f>
        <v>HASLS22260801914</v>
      </c>
      <c r="E143" s="62" t="str">
        <f>VLOOKUP(D143,'2.Bookinglist'!A:CT,27,FALSE)</f>
        <v>DP WORLD LOGISTICS SOLUTIONS (THAILAND) COMPANY LIMITED</v>
      </c>
      <c r="F143" s="62" t="str">
        <f>VLOOKUP(D143,'2.Bookinglist'!A:CT,28,FALSE)</f>
        <v>DP WORLD LOGISTICS SOLUTIONS (THAILAND) COMPANY LIMITED</v>
      </c>
      <c r="G143" s="60">
        <f>VLOOKUP(D143,'2.Bookinglist'!A:E,5,FALSE)</f>
        <v>0</v>
      </c>
      <c r="H143" s="61" t="str">
        <f>VLOOKUP(D143,'2.Bookinglist'!A:CT,15,FALSE)</f>
        <v>THBKK</v>
      </c>
      <c r="I143" s="61" t="str">
        <f>VLOOKUP(D143,'2.Bookinglist'!A:CT,19,FALSE)</f>
        <v>KRPTK</v>
      </c>
      <c r="J143" s="61">
        <f>VLOOKUP(D143,'2.Bookinglist'!A:CT,26,FALSE)</f>
        <v>0</v>
      </c>
      <c r="K143" s="61" t="str">
        <f>VLOOKUP(A143,'1.Loading'!A:R,5,FALSE)</f>
        <v>22GP</v>
      </c>
      <c r="L143" s="60" t="str">
        <f>VLOOKUP(D143,'2.Bookinglist'!A:CT,85,FALSE)</f>
        <v>CY/CY</v>
      </c>
      <c r="M143" s="60" t="str">
        <f>IF(VLOOKUP(D143,'2.Bookinglist'!A:CT,43,FALSE)=0,"","DG")</f>
        <v/>
      </c>
      <c r="N143" s="60" t="str">
        <f>IF(RIGHT(K143,2)="RE","RF","")</f>
        <v/>
      </c>
      <c r="O143" s="61" t="str">
        <f>VLOOKUP(A143,'1.Loading'!A:R,3,FALSE)</f>
        <v>SWSP</v>
      </c>
      <c r="P143" s="61" t="str">
        <f>VLOOKUP(A143,'1.Loading'!A:R,4,FALSE)</f>
        <v>2609N</v>
      </c>
      <c r="Q143" s="61" t="str">
        <f>VLOOKUP(D143,'2.Bookinglist'!A:CT,12,FALSE)</f>
        <v>BTS</v>
      </c>
      <c r="R143" s="60" t="str">
        <f>IF(LEFT(K143,2)="22","20'","40'")</f>
        <v>20'</v>
      </c>
      <c r="S143" s="185" t="n"/>
      <c r="T143" s="61" t="str">
        <f>VLOOKUP(A143,'1.Loading'!A:R,2,FALSE)</f>
        <v>2026-10-08</v>
      </c>
      <c r="U143" s="63">
        <f>T143-S143</f>
        <v>46303</v>
      </c>
      <c r="V143" s="186" t="n"/>
      <c r="W143" s="61" t="str">
        <f>VLOOKUP(A143,'3.GateMove'!A:D,4,FALSE)</f>
        <v>2026-09-19</v>
      </c>
      <c r="X143" s="63">
        <f>((T143-W143)+1)</f>
        <v>20</v>
      </c>
      <c r="Y143" s="64">
        <f>IF(AND(OR(C143="BKK01",C143="BKK04"),L143="CFS/CY"),0,IF(M143="DG",1,IF(LEFT(C143,3)="LCH",7,IF(C143="BKK02",5,3))))</f>
        <v>3</v>
      </c>
      <c r="Z143" s="63">
        <f>IF(IF(AND(AC143="TML",AB143&gt;0),((T143-W143)+1)-AB143,((T143-W143)+1)-Y143)&gt;0,IF(AND(AC143="TML",AB143&gt;0),((T143-W143)+1)-AB143,((T143-W143)+1)-Y143),0)</f>
        <v>17</v>
      </c>
      <c r="AA143" s="187">
        <f>IF(AND(B143="G1",M143=""),IF(R143="20'",
VLOOKUP(Z143,Charge!$K$2:$M$5,2,TRUE)+(Z143-VLOOKUP(Z143,Charge!$K$2:$M$5,1,TRUE))*VLOOKUP(Z143,Charge!$K$2:$M$5,3,TRUE),
VLOOKUP(Z143,Charge!$N$2:$P$5,2,TRUE)+(Z143-VLOOKUP(Z143,Charge!$N$2:$P$5,1,TRUE))*VLOOKUP(Z143,Charge!$N$2:$P$5,3,TRUE)),
IF(AND(B143="G1",M143="DG"),IF(R143="20'",
VLOOKUP(Z143,Charge!$R$2:$T$5,2,TRUE)+(Z143-VLOOKUP(Z143,Charge!$R$2:$T$5,1,TRUE))*VLOOKUP(Z143,Charge!$R$2:$T$5,3,TRUE),
VLOOKUP(Z143,Charge!$U$2:$W$5,2,TRUE)+(Z143-VLOOKUP(Z143,Charge!$U$2:$W$5,1,TRUE))*VLOOKUP(Z143,Charge!$U$2:$W$5,3,TRUE)),
IF(AND(B143="G3",M143=""),IF(R143="20'",
VLOOKUP(Z143,Charge!$K$18:$M$21,2,TRUE)+(Z143-VLOOKUP(Z143,Charge!$K$18:$M$21,1,TRUE))*VLOOKUP(Z143,Charge!$K$18:$M$21,3,TRUE),
VLOOKUP(Z143,Charge!$N$18:$P$21,2,TRUE)+(Z143-VLOOKUP(Z143,Charge!$N$18:$P$21,1,TRUE))*VLOOKUP(Z143,Charge!$N$18:$P$21,3,TRUE)),
IF(AND(B143="G3",M143="DG"),IF(R143="20'",
VLOOKUP(Z143,Charge!$R$18:$T$21,2,TRUE)+(Z143-VLOOKUP(Z143,Charge!$R$18:$T$21,1,TRUE))*VLOOKUP(Z143,Charge!$R$18:$T$21,3,TRUE),
VLOOKUP(Z143,Charge!$U$18:$W$21,2,TRUE)+(Z143-VLOOKUP(Z143,Charge!$U$18:$W$21,1,TRUE))*VLOOKUP(Z143,Charge!$U$18:$W$21,3,TRUE)),
IF(AND(B143="G2",M143=""),IF(R143="20'",
VLOOKUP(Z143,Charge!$K$9:$M$12,2,TRUE)+(Z143-VLOOKUP(Z143,Charge!$K$9:$M$12,1,TRUE))*VLOOKUP(Z143,Charge!$K$9:$M$12,3,TRUE),
VLOOKUP(Z143,Charge!$N$9:$P$12,2,TRUE)+(Z143-VLOOKUP(Z143,Charge!$N$9:$P$12,1,TRUE))*VLOOKUP(Z143,Charge!$N$9:$P$12,3,TRUE)),
IF(AND(B143="G2",M143="DG"),IF(R143="20'",
VLOOKUP(Z143,Charge!$R$9:$T$12,2,TRUE)+(Z143-VLOOKUP(Z143,Charge!$R$9:$T$12,1,TRUE))*VLOOKUP(Z143,Charge!$R$9:$T$12,3,TRUE),
VLOOKUP(Z143,Charge!$U$9:$W$12,2,TRUE)+(Z143-VLOOKUP(Z143,Charge!$U$9:$W$12,1,TRUE))*VLOOKUP(Z143,Charge!$U$9:$W$12,3,TRUE)),IF(AND(B143="G4",M143=""),IF(R143="20'",Z143*Charge!$M$25,Z143*Charge!$P$25),IF(AND(B143="G4",M143="DG"),IF(R143="20'",Z143*Charge!$T$25,Z143*Charge!$W$25),0))))))))</f>
        <v>4215</v>
      </c>
      <c r="AB143" s="184" t="n"/>
      <c r="AC143" s="184" t="n"/>
      <c r="AD143" s="60">
        <f>IF(M143="DG",3,IF(N143="RF",3,5))+IF(AND(LEFT(C143,3)="BKK",N143="RF",Q143="KTS"),1,0)+IF(Q143="KHS",1,0)</f>
        <v>5</v>
      </c>
      <c r="AE143" s="63">
        <f>(T143-V143)+1</f>
        <v>46304</v>
      </c>
      <c r="AF143" s="63">
        <f>IF(AB143&gt;IF((V143-W143)&gt;0,V143-W143,0),0,IF(AB143&lt;IF((V143-W143)&gt;0,V143-W143,0),IF((V143-W143)&gt;0,V143-W143,0)-AB143,IF((V143-W143)&gt;0,V143-W143,0)))</f>
        <v>0</v>
      </c>
      <c r="AG143" s="187">
        <f>IF(AND(M143=""),IF(R143="20'",
VLOOKUP(AF143,Charge!$K$31:$M$34,2,TRUE)+(AF143-VLOOKUP(AF143,Charge!$K$31:$M$34,1,TRUE))*VLOOKUP(AF143,Charge!$K$31:$M$34,3,TRUE),
VLOOKUP(AF143,Charge!$N$31:$P$34,2,TRUE)+(AF143-VLOOKUP(AF143,Charge!$N$31:$P$34,1,TRUE))*VLOOKUP(AF143,Charge!$N$31:$P$34,3,TRUE)),
IF(AND(M143="DG"),IF(R143="20'",
VLOOKUP(AF143,Charge!$R$31:$T$34,2,TRUE)+(AF143-VLOOKUP(AF143,Charge!$R$31:$T$34,1,TRUE))*VLOOKUP(AF143,Charge!$R$31:$T$34,3,TRUE),
VLOOKUP(AF143,Charge!$U$31:$W$34,2,TRUE)+(AF143-VLOOKUP(AF143,Charge!$U$31:$W$34,1,TRUE))*VLOOKUP(AF143,Charge!$U$31:$W$34,3,TRUE)),0))</f>
        <v>0</v>
      </c>
      <c r="AH143" s="65" t="n"/>
      <c r="AI143" s="65">
        <f>AA143-AH143</f>
        <v>4215</v>
      </c>
      <c r="AJ143" s="188" t="n"/>
      <c r="AK143" s="62" t="str">
        <f>VLOOKUP(D143,'2.Bookinglist'!A:CT,40,FALSE)</f>
        <v>Nannaapust Sukporntaweewat</v>
      </c>
      <c r="AL143" s="60" t="str">
        <f>VLOOKUP(D143,'2.Bookinglist'!A:CW,101,FALSE)</f>
        <v>2026-10-05</v>
      </c>
      <c r="AM143" s="60" t="str">
        <f>VLOOKUP(D143,'2.Bookinglist'!A:BK,63,FALSE)</f>
        <v>BKK27</v>
      </c>
      <c r="AN143" s="62" t="str">
        <f>VLOOKUP(D143,'2.Bookinglist'!A:AZ,52,FALSE)</f>
        <v>** APPROVED BY H.W KANG DD.28/09/2026 ** *FLEXIBAG ONDECK*
Servey : 17/09/2026, Pickup : 18/09/2026, Return : 21/09/2026 *EXTEND CLS TIME : 22/09/2026 @06.00* </v>
      </c>
      <c r="AO143" s="62" t="str">
        <f>VLOOKUP(D143,'2.Bookinglist'!A:CY,103,FALSE)</f>
        <v>ROLL OVER FROM PREVIOUS VSL SWMM 2609N BY ALLOCATION TEAM MS.TARN APRPOVED COST IS UNDER HA DD.21/09</v>
      </c>
    </row>
    <row r="144" ht="12.95" customHeight="1">
      <c r="A144" s="96" t="inlineStr">
        <is>
          <t>SKLU1972267</t>
        </is>
      </c>
      <c r="B144" s="184" t="str">
        <f>IF(C144=Charge!$M$1,Charge!$J$1,IF(C144=Charge!$M$23,Charge!$J$23,IF(C144=Charge!$M$17,Charge!$J$17,IF(C144=Charge!$N$17,Charge!$J$17,Charge!$J$7))))</f>
        <v>G3</v>
      </c>
      <c r="C144" s="61" t="str">
        <f>VLOOKUP(A144,'1.Loading'!A:R,14,FALSE)</f>
        <v>BKK04</v>
      </c>
      <c r="D144" s="61" t="str">
        <f>VLOOKUP(A144,'1.Loading'!A:R,17,FALSE)</f>
        <v>HASLS22260900196</v>
      </c>
      <c r="E144" s="62" t="str">
        <f>VLOOKUP(D144,'2.Bookinglist'!A:CT,27,FALSE)</f>
        <v>SANGUAN WONGSE STARCH CO., LTD.</v>
      </c>
      <c r="F144" s="62" t="str">
        <f>VLOOKUP(D144,'2.Bookinglist'!A:CT,28,FALSE)</f>
        <v>SANGUAN WONGSE STARCH CO., LTD.</v>
      </c>
      <c r="G144" s="60">
        <f>VLOOKUP(D144,'2.Bookinglist'!A:E,5,FALSE)</f>
        <v>0</v>
      </c>
      <c r="H144" s="61" t="str">
        <f>VLOOKUP(D144,'2.Bookinglist'!A:CT,15,FALSE)</f>
        <v>THBKK</v>
      </c>
      <c r="I144" s="61" t="str">
        <f>VLOOKUP(D144,'2.Bookinglist'!A:CT,19,FALSE)</f>
        <v>JPSEN</v>
      </c>
      <c r="J144" s="61" t="str">
        <f>VLOOKUP(D144,'2.Bookinglist'!A:CT,26,FALSE)</f>
        <v>KRPUS</v>
      </c>
      <c r="K144" s="61" t="str">
        <f>VLOOKUP(A144,'1.Loading'!A:R,5,FALSE)</f>
        <v>22GP</v>
      </c>
      <c r="L144" s="60" t="str">
        <f>VLOOKUP(D144,'2.Bookinglist'!A:CT,85,FALSE)</f>
        <v>CY/CY</v>
      </c>
      <c r="M144" s="60" t="str">
        <f>IF(VLOOKUP(D144,'2.Bookinglist'!A:CT,43,FALSE)=0,"","DG")</f>
        <v/>
      </c>
      <c r="N144" s="60" t="str">
        <f>IF(RIGHT(K144,2)="RE","RF","")</f>
        <v/>
      </c>
      <c r="O144" s="61" t="str">
        <f>VLOOKUP(A144,'1.Loading'!A:R,3,FALSE)</f>
        <v>SWSP</v>
      </c>
      <c r="P144" s="61" t="str">
        <f>VLOOKUP(A144,'1.Loading'!A:R,4,FALSE)</f>
        <v>2609N</v>
      </c>
      <c r="Q144" s="61" t="str">
        <f>VLOOKUP(D144,'2.Bookinglist'!A:CT,12,FALSE)</f>
        <v>BTS</v>
      </c>
      <c r="R144" s="60" t="str">
        <f>IF(LEFT(K144,2)="22","20'","40'")</f>
        <v>20'</v>
      </c>
      <c r="S144" s="185" t="n"/>
      <c r="T144" s="61" t="str">
        <f>VLOOKUP(A144,'1.Loading'!A:R,2,FALSE)</f>
        <v>2026-10-08</v>
      </c>
      <c r="U144" s="63">
        <f>T144-S144</f>
        <v>46303</v>
      </c>
      <c r="V144" s="186" t="n"/>
      <c r="W144" s="61" t="str">
        <f>VLOOKUP(A144,'3.GateMove'!A:D,4,FALSE)</f>
        <v>2026-09-19</v>
      </c>
      <c r="X144" s="63">
        <f>((T144-W144)+1)</f>
        <v>20</v>
      </c>
      <c r="Y144" s="64">
        <f>IF(AND(OR(C144="BKK01",C144="BKK04"),L144="CFS/CY"),0,IF(M144="DG",1,IF(LEFT(C144,3)="LCH",7,IF(C144="BKK02",5,3))))</f>
        <v>3</v>
      </c>
      <c r="Z144" s="63">
        <f>IF(IF(AND(AC144="TML",AB144&gt;0),((T144-W144)+1)-AB144,((T144-W144)+1)-Y144)&gt;0,IF(AND(AC144="TML",AB144&gt;0),((T144-W144)+1)-AB144,((T144-W144)+1)-Y144),0)</f>
        <v>17</v>
      </c>
      <c r="AA144" s="187">
        <f>IF(AND(B144="G1",M144=""),IF(R144="20'",
VLOOKUP(Z144,Charge!$K$2:$M$5,2,TRUE)+(Z144-VLOOKUP(Z144,Charge!$K$2:$M$5,1,TRUE))*VLOOKUP(Z144,Charge!$K$2:$M$5,3,TRUE),
VLOOKUP(Z144,Charge!$N$2:$P$5,2,TRUE)+(Z144-VLOOKUP(Z144,Charge!$N$2:$P$5,1,TRUE))*VLOOKUP(Z144,Charge!$N$2:$P$5,3,TRUE)),
IF(AND(B144="G1",M144="DG"),IF(R144="20'",
VLOOKUP(Z144,Charge!$R$2:$T$5,2,TRUE)+(Z144-VLOOKUP(Z144,Charge!$R$2:$T$5,1,TRUE))*VLOOKUP(Z144,Charge!$R$2:$T$5,3,TRUE),
VLOOKUP(Z144,Charge!$U$2:$W$5,2,TRUE)+(Z144-VLOOKUP(Z144,Charge!$U$2:$W$5,1,TRUE))*VLOOKUP(Z144,Charge!$U$2:$W$5,3,TRUE)),
IF(AND(B144="G3",M144=""),IF(R144="20'",
VLOOKUP(Z144,Charge!$K$18:$M$21,2,TRUE)+(Z144-VLOOKUP(Z144,Charge!$K$18:$M$21,1,TRUE))*VLOOKUP(Z144,Charge!$K$18:$M$21,3,TRUE),
VLOOKUP(Z144,Charge!$N$18:$P$21,2,TRUE)+(Z144-VLOOKUP(Z144,Charge!$N$18:$P$21,1,TRUE))*VLOOKUP(Z144,Charge!$N$18:$P$21,3,TRUE)),
IF(AND(B144="G3",M144="DG"),IF(R144="20'",
VLOOKUP(Z144,Charge!$R$18:$T$21,2,TRUE)+(Z144-VLOOKUP(Z144,Charge!$R$18:$T$21,1,TRUE))*VLOOKUP(Z144,Charge!$R$18:$T$21,3,TRUE),
VLOOKUP(Z144,Charge!$U$18:$W$21,2,TRUE)+(Z144-VLOOKUP(Z144,Charge!$U$18:$W$21,1,TRUE))*VLOOKUP(Z144,Charge!$U$18:$W$21,3,TRUE)),
IF(AND(B144="G2",M144=""),IF(R144="20'",
VLOOKUP(Z144,Charge!$K$9:$M$12,2,TRUE)+(Z144-VLOOKUP(Z144,Charge!$K$9:$M$12,1,TRUE))*VLOOKUP(Z144,Charge!$K$9:$M$12,3,TRUE),
VLOOKUP(Z144,Charge!$N$9:$P$12,2,TRUE)+(Z144-VLOOKUP(Z144,Charge!$N$9:$P$12,1,TRUE))*VLOOKUP(Z144,Charge!$N$9:$P$12,3,TRUE)),
IF(AND(B144="G2",M144="DG"),IF(R144="20'",
VLOOKUP(Z144,Charge!$R$9:$T$12,2,TRUE)+(Z144-VLOOKUP(Z144,Charge!$R$9:$T$12,1,TRUE))*VLOOKUP(Z144,Charge!$R$9:$T$12,3,TRUE),
VLOOKUP(Z144,Charge!$U$9:$W$12,2,TRUE)+(Z144-VLOOKUP(Z144,Charge!$U$9:$W$12,1,TRUE))*VLOOKUP(Z144,Charge!$U$9:$W$12,3,TRUE)),IF(AND(B144="G4",M144=""),IF(R144="20'",Z144*Charge!$M$25,Z144*Charge!$P$25),IF(AND(B144="G4",M144="DG"),IF(R144="20'",Z144*Charge!$T$25,Z144*Charge!$W$25),0))))))))</f>
        <v>4215</v>
      </c>
      <c r="AB144" s="184" t="n"/>
      <c r="AC144" s="184" t="n"/>
      <c r="AD144" s="60">
        <f>IF(M144="DG",3,IF(N144="RF",3,5))+IF(AND(LEFT(C144,3)="BKK",N144="RF",Q144="KTS"),1,0)+IF(Q144="KHS",1,0)</f>
        <v>5</v>
      </c>
      <c r="AE144" s="63">
        <f>(T144-V144)+1</f>
        <v>46304</v>
      </c>
      <c r="AF144" s="63">
        <f>IF(AB144&gt;IF((V144-W144)&gt;0,V144-W144,0),0,IF(AB144&lt;IF((V144-W144)&gt;0,V144-W144,0),IF((V144-W144)&gt;0,V144-W144,0)-AB144,IF((V144-W144)&gt;0,V144-W144,0)))</f>
        <v>0</v>
      </c>
      <c r="AG144" s="187">
        <f>IF(AND(M144=""),IF(R144="20'",
VLOOKUP(AF144,Charge!$K$31:$M$34,2,TRUE)+(AF144-VLOOKUP(AF144,Charge!$K$31:$M$34,1,TRUE))*VLOOKUP(AF144,Charge!$K$31:$M$34,3,TRUE),
VLOOKUP(AF144,Charge!$N$31:$P$34,2,TRUE)+(AF144-VLOOKUP(AF144,Charge!$N$31:$P$34,1,TRUE))*VLOOKUP(AF144,Charge!$N$31:$P$34,3,TRUE)),
IF(AND(M144="DG"),IF(R144="20'",
VLOOKUP(AF144,Charge!$R$31:$T$34,2,TRUE)+(AF144-VLOOKUP(AF144,Charge!$R$31:$T$34,1,TRUE))*VLOOKUP(AF144,Charge!$R$31:$T$34,3,TRUE),
VLOOKUP(AF144,Charge!$U$31:$W$34,2,TRUE)+(AF144-VLOOKUP(AF144,Charge!$U$31:$W$34,1,TRUE))*VLOOKUP(AF144,Charge!$U$31:$W$34,3,TRUE)),0))</f>
        <v>0</v>
      </c>
      <c r="AH144" s="65" t="n"/>
      <c r="AI144" s="65">
        <f>AA144-AH144</f>
        <v>4215</v>
      </c>
      <c r="AJ144" s="188" t="n"/>
      <c r="AK144" s="62" t="str">
        <f>VLOOKUP(D144,'2.Bookinglist'!A:CT,40,FALSE)</f>
        <v>Uetake Takahiro</v>
      </c>
      <c r="AL144" s="60" t="str">
        <f>VLOOKUP(D144,'2.Bookinglist'!A:CW,101,FALSE)</f>
        <v>2026-10-05</v>
      </c>
      <c r="AM144" s="60" t="str">
        <f>VLOOKUP(D144,'2.Bookinglist'!A:BK,63,FALSE)</f>
        <v>BKK25</v>
      </c>
      <c r="AN144" s="62" t="str">
        <f>VLOOKUP(D144,'2.Bookinglist'!A:AZ,52,FALSE)</f>
        <v>Pickup : 2026-09-17, Return : 2026-09-19</v>
      </c>
      <c r="AO144" s="62" t="str">
        <f>VLOOKUP(D144,'2.Bookinglist'!A:CY,103,FALSE)</f>
        <v>ROLL OVER FROM PREVIOUS VSL SWMM 2609N BY ALLOCATION TEAM MS.TARN APPROVED COST IS UNDER HA DD.21/09</v>
      </c>
    </row>
    <row r="145" ht="12.95" customHeight="1">
      <c r="A145" s="96" t="inlineStr">
        <is>
          <t>SKLU1972776</t>
        </is>
      </c>
      <c r="B145" s="184" t="str">
        <f>IF(C145=Charge!$M$1,Charge!$J$1,IF(C145=Charge!$M$23,Charge!$J$23,IF(C145=Charge!$M$17,Charge!$J$17,IF(C145=Charge!$N$17,Charge!$J$17,Charge!$J$7))))</f>
        <v>G3</v>
      </c>
      <c r="C145" s="61" t="str">
        <f>VLOOKUP(A145,'1.Loading'!A:R,14,FALSE)</f>
        <v>BKK04</v>
      </c>
      <c r="D145" s="61" t="str">
        <f>VLOOKUP(A145,'1.Loading'!A:R,17,FALSE)</f>
        <v>HASLS22260801914</v>
      </c>
      <c r="E145" s="62" t="str">
        <f>VLOOKUP(D145,'2.Bookinglist'!A:CT,27,FALSE)</f>
        <v>DP WORLD LOGISTICS SOLUTIONS (THAILAND) COMPANY LIMITED</v>
      </c>
      <c r="F145" s="62" t="str">
        <f>VLOOKUP(D145,'2.Bookinglist'!A:CT,28,FALSE)</f>
        <v>DP WORLD LOGISTICS SOLUTIONS (THAILAND) COMPANY LIMITED</v>
      </c>
      <c r="G145" s="60">
        <f>VLOOKUP(D145,'2.Bookinglist'!A:E,5,FALSE)</f>
        <v>0</v>
      </c>
      <c r="H145" s="61" t="str">
        <f>VLOOKUP(D145,'2.Bookinglist'!A:CT,15,FALSE)</f>
        <v>THBKK</v>
      </c>
      <c r="I145" s="61" t="str">
        <f>VLOOKUP(D145,'2.Bookinglist'!A:CT,19,FALSE)</f>
        <v>KRPTK</v>
      </c>
      <c r="J145" s="61">
        <f>VLOOKUP(D145,'2.Bookinglist'!A:CT,26,FALSE)</f>
        <v>0</v>
      </c>
      <c r="K145" s="61" t="str">
        <f>VLOOKUP(A145,'1.Loading'!A:R,5,FALSE)</f>
        <v>22GP</v>
      </c>
      <c r="L145" s="60" t="str">
        <f>VLOOKUP(D145,'2.Bookinglist'!A:CT,85,FALSE)</f>
        <v>CY/CY</v>
      </c>
      <c r="M145" s="60" t="str">
        <f>IF(VLOOKUP(D145,'2.Bookinglist'!A:CT,43,FALSE)=0,"","DG")</f>
        <v/>
      </c>
      <c r="N145" s="60" t="str">
        <f>IF(RIGHT(K145,2)="RE","RF","")</f>
        <v/>
      </c>
      <c r="O145" s="61" t="str">
        <f>VLOOKUP(A145,'1.Loading'!A:R,3,FALSE)</f>
        <v>SWSP</v>
      </c>
      <c r="P145" s="61" t="str">
        <f>VLOOKUP(A145,'1.Loading'!A:R,4,FALSE)</f>
        <v>2609N</v>
      </c>
      <c r="Q145" s="61" t="str">
        <f>VLOOKUP(D145,'2.Bookinglist'!A:CT,12,FALSE)</f>
        <v>BTS</v>
      </c>
      <c r="R145" s="60" t="str">
        <f>IF(LEFT(K145,2)="22","20'","40'")</f>
        <v>20'</v>
      </c>
      <c r="S145" s="185" t="n"/>
      <c r="T145" s="61" t="str">
        <f>VLOOKUP(A145,'1.Loading'!A:R,2,FALSE)</f>
        <v>2026-10-08</v>
      </c>
      <c r="U145" s="63">
        <f>T145-S145</f>
        <v>46303</v>
      </c>
      <c r="V145" s="186" t="n"/>
      <c r="W145" s="61" t="str">
        <f>VLOOKUP(A145,'3.GateMove'!A:D,4,FALSE)</f>
        <v>2026-09-19</v>
      </c>
      <c r="X145" s="63">
        <f>((T145-W145)+1)</f>
        <v>20</v>
      </c>
      <c r="Y145" s="64">
        <f>IF(AND(OR(C145="BKK01",C145="BKK04"),L145="CFS/CY"),0,IF(M145="DG",1,IF(LEFT(C145,3)="LCH",7,IF(C145="BKK02",5,3))))</f>
        <v>3</v>
      </c>
      <c r="Z145" s="63">
        <f>IF(IF(AND(AC145="TML",AB145&gt;0),((T145-W145)+1)-AB145,((T145-W145)+1)-Y145)&gt;0,IF(AND(AC145="TML",AB145&gt;0),((T145-W145)+1)-AB145,((T145-W145)+1)-Y145),0)</f>
        <v>17</v>
      </c>
      <c r="AA145" s="187">
        <f>IF(AND(B145="G1",M145=""),IF(R145="20'",
VLOOKUP(Z145,Charge!$K$2:$M$5,2,TRUE)+(Z145-VLOOKUP(Z145,Charge!$K$2:$M$5,1,TRUE))*VLOOKUP(Z145,Charge!$K$2:$M$5,3,TRUE),
VLOOKUP(Z145,Charge!$N$2:$P$5,2,TRUE)+(Z145-VLOOKUP(Z145,Charge!$N$2:$P$5,1,TRUE))*VLOOKUP(Z145,Charge!$N$2:$P$5,3,TRUE)),
IF(AND(B145="G1",M145="DG"),IF(R145="20'",
VLOOKUP(Z145,Charge!$R$2:$T$5,2,TRUE)+(Z145-VLOOKUP(Z145,Charge!$R$2:$T$5,1,TRUE))*VLOOKUP(Z145,Charge!$R$2:$T$5,3,TRUE),
VLOOKUP(Z145,Charge!$U$2:$W$5,2,TRUE)+(Z145-VLOOKUP(Z145,Charge!$U$2:$W$5,1,TRUE))*VLOOKUP(Z145,Charge!$U$2:$W$5,3,TRUE)),
IF(AND(B145="G3",M145=""),IF(R145="20'",
VLOOKUP(Z145,Charge!$K$18:$M$21,2,TRUE)+(Z145-VLOOKUP(Z145,Charge!$K$18:$M$21,1,TRUE))*VLOOKUP(Z145,Charge!$K$18:$M$21,3,TRUE),
VLOOKUP(Z145,Charge!$N$18:$P$21,2,TRUE)+(Z145-VLOOKUP(Z145,Charge!$N$18:$P$21,1,TRUE))*VLOOKUP(Z145,Charge!$N$18:$P$21,3,TRUE)),
IF(AND(B145="G3",M145="DG"),IF(R145="20'",
VLOOKUP(Z145,Charge!$R$18:$T$21,2,TRUE)+(Z145-VLOOKUP(Z145,Charge!$R$18:$T$21,1,TRUE))*VLOOKUP(Z145,Charge!$R$18:$T$21,3,TRUE),
VLOOKUP(Z145,Charge!$U$18:$W$21,2,TRUE)+(Z145-VLOOKUP(Z145,Charge!$U$18:$W$21,1,TRUE))*VLOOKUP(Z145,Charge!$U$18:$W$21,3,TRUE)),
IF(AND(B145="G2",M145=""),IF(R145="20'",
VLOOKUP(Z145,Charge!$K$9:$M$12,2,TRUE)+(Z145-VLOOKUP(Z145,Charge!$K$9:$M$12,1,TRUE))*VLOOKUP(Z145,Charge!$K$9:$M$12,3,TRUE),
VLOOKUP(Z145,Charge!$N$9:$P$12,2,TRUE)+(Z145-VLOOKUP(Z145,Charge!$N$9:$P$12,1,TRUE))*VLOOKUP(Z145,Charge!$N$9:$P$12,3,TRUE)),
IF(AND(B145="G2",M145="DG"),IF(R145="20'",
VLOOKUP(Z145,Charge!$R$9:$T$12,2,TRUE)+(Z145-VLOOKUP(Z145,Charge!$R$9:$T$12,1,TRUE))*VLOOKUP(Z145,Charge!$R$9:$T$12,3,TRUE),
VLOOKUP(Z145,Charge!$U$9:$W$12,2,TRUE)+(Z145-VLOOKUP(Z145,Charge!$U$9:$W$12,1,TRUE))*VLOOKUP(Z145,Charge!$U$9:$W$12,3,TRUE)),IF(AND(B145="G4",M145=""),IF(R145="20'",Z145*Charge!$M$25,Z145*Charge!$P$25),IF(AND(B145="G4",M145="DG"),IF(R145="20'",Z145*Charge!$T$25,Z145*Charge!$W$25),0))))))))</f>
        <v>4215</v>
      </c>
      <c r="AB145" s="184" t="n"/>
      <c r="AC145" s="184" t="n"/>
      <c r="AD145" s="60">
        <f>IF(M145="DG",3,IF(N145="RF",3,5))+IF(AND(LEFT(C145,3)="BKK",N145="RF",Q145="KTS"),1,0)+IF(Q145="KHS",1,0)</f>
        <v>5</v>
      </c>
      <c r="AE145" s="63">
        <f>(T145-V145)+1</f>
        <v>46304</v>
      </c>
      <c r="AF145" s="63">
        <f>IF(AB145&gt;IF((V145-W145)&gt;0,V145-W145,0),0,IF(AB145&lt;IF((V145-W145)&gt;0,V145-W145,0),IF((V145-W145)&gt;0,V145-W145,0)-AB145,IF((V145-W145)&gt;0,V145-W145,0)))</f>
        <v>0</v>
      </c>
      <c r="AG145" s="187">
        <f>IF(AND(M145=""),IF(R145="20'",
VLOOKUP(AF145,Charge!$K$31:$M$34,2,TRUE)+(AF145-VLOOKUP(AF145,Charge!$K$31:$M$34,1,TRUE))*VLOOKUP(AF145,Charge!$K$31:$M$34,3,TRUE),
VLOOKUP(AF145,Charge!$N$31:$P$34,2,TRUE)+(AF145-VLOOKUP(AF145,Charge!$N$31:$P$34,1,TRUE))*VLOOKUP(AF145,Charge!$N$31:$P$34,3,TRUE)),
IF(AND(M145="DG"),IF(R145="20'",
VLOOKUP(AF145,Charge!$R$31:$T$34,2,TRUE)+(AF145-VLOOKUP(AF145,Charge!$R$31:$T$34,1,TRUE))*VLOOKUP(AF145,Charge!$R$31:$T$34,3,TRUE),
VLOOKUP(AF145,Charge!$U$31:$W$34,2,TRUE)+(AF145-VLOOKUP(AF145,Charge!$U$31:$W$34,1,TRUE))*VLOOKUP(AF145,Charge!$U$31:$W$34,3,TRUE)),0))</f>
        <v>0</v>
      </c>
      <c r="AH145" s="65" t="n"/>
      <c r="AI145" s="65">
        <f>AA145-AH145</f>
        <v>4215</v>
      </c>
      <c r="AJ145" s="188" t="n"/>
      <c r="AK145" s="62" t="str">
        <f>VLOOKUP(D145,'2.Bookinglist'!A:CT,40,FALSE)</f>
        <v>Nannaapust Sukporntaweewat</v>
      </c>
      <c r="AL145" s="60" t="str">
        <f>VLOOKUP(D145,'2.Bookinglist'!A:CW,101,FALSE)</f>
        <v>2026-10-05</v>
      </c>
      <c r="AM145" s="60" t="str">
        <f>VLOOKUP(D145,'2.Bookinglist'!A:BK,63,FALSE)</f>
        <v>BKK27</v>
      </c>
      <c r="AN145" s="62" t="str">
        <f>VLOOKUP(D145,'2.Bookinglist'!A:AZ,52,FALSE)</f>
        <v>** APPROVED BY H.W KANG DD.28/09/2026 ** *FLEXIBAG ONDECK*
Servey : 17/09/2026, Pickup : 18/09/2026, Return : 21/09/2026 *EXTEND CLS TIME : 22/09/2026 @06.00* </v>
      </c>
      <c r="AO145" s="62" t="str">
        <f>VLOOKUP(D145,'2.Bookinglist'!A:CY,103,FALSE)</f>
        <v>ROLL OVER FROM PREVIOUS VSL SWMM 2609N BY ALLOCATION TEAM MS.TARN APRPOVED COST IS UNDER HA DD.21/09</v>
      </c>
    </row>
    <row r="146" ht="12.95" customHeight="1">
      <c r="A146" s="96" t="inlineStr">
        <is>
          <t>SKLU1973047</t>
        </is>
      </c>
      <c r="B146" s="184" t="str">
        <f>IF(C146=Charge!$M$1,Charge!$J$1,IF(C146=Charge!$M$23,Charge!$J$23,IF(C146=Charge!$M$17,Charge!$J$17,IF(C146=Charge!$N$17,Charge!$J$17,Charge!$J$7))))</f>
        <v>G3</v>
      </c>
      <c r="C146" s="61" t="str">
        <f>VLOOKUP(A146,'1.Loading'!A:R,14,FALSE)</f>
        <v>BKK04</v>
      </c>
      <c r="D146" s="61" t="str">
        <f>VLOOKUP(A146,'1.Loading'!A:R,17,FALSE)</f>
        <v>HASLS22260901663</v>
      </c>
      <c r="E146" s="62" t="str">
        <f>VLOOKUP(D146,'2.Bookinglist'!A:CT,27,FALSE)</f>
        <v>DIMERCO EXPRESS (THAILAND) CO., LTD.</v>
      </c>
      <c r="F146" s="62" t="str">
        <f>VLOOKUP(D146,'2.Bookinglist'!A:CT,28,FALSE)</f>
        <v>EVEREST TEXTILE (THAILAND) CO., LTD.</v>
      </c>
      <c r="G146" s="60">
        <f>VLOOKUP(D146,'2.Bookinglist'!A:E,5,FALSE)</f>
        <v>0</v>
      </c>
      <c r="H146" s="61" t="str">
        <f>VLOOKUP(D146,'2.Bookinglist'!A:CT,15,FALSE)</f>
        <v>THBKK</v>
      </c>
      <c r="I146" s="61" t="str">
        <f>VLOOKUP(D146,'2.Bookinglist'!A:CT,19,FALSE)</f>
        <v>VNSGN</v>
      </c>
      <c r="J146" s="61">
        <f>VLOOKUP(D146,'2.Bookinglist'!A:CT,26,FALSE)</f>
        <v>0</v>
      </c>
      <c r="K146" s="61" t="str">
        <f>VLOOKUP(A146,'1.Loading'!A:R,5,FALSE)</f>
        <v>22GP</v>
      </c>
      <c r="L146" s="60" t="str">
        <f>VLOOKUP(D146,'2.Bookinglist'!A:CT,85,FALSE)</f>
        <v>CY/CY</v>
      </c>
      <c r="M146" s="60" t="str">
        <f>IF(VLOOKUP(D146,'2.Bookinglist'!A:CT,43,FALSE)=0,"","DG")</f>
        <v/>
      </c>
      <c r="N146" s="60" t="str">
        <f>IF(RIGHT(K146,2)="RE","RF","")</f>
        <v/>
      </c>
      <c r="O146" s="61" t="str">
        <f>VLOOKUP(A146,'1.Loading'!A:R,3,FALSE)</f>
        <v>SWSP</v>
      </c>
      <c r="P146" s="61" t="str">
        <f>VLOOKUP(A146,'1.Loading'!A:R,4,FALSE)</f>
        <v>2609N</v>
      </c>
      <c r="Q146" s="61" t="str">
        <f>VLOOKUP(D146,'2.Bookinglist'!A:CT,12,FALSE)</f>
        <v>BTS</v>
      </c>
      <c r="R146" s="60" t="str">
        <f>IF(LEFT(K146,2)="22","20'","40'")</f>
        <v>20'</v>
      </c>
      <c r="S146" s="185" t="n"/>
      <c r="T146" s="61" t="str">
        <f>VLOOKUP(A146,'1.Loading'!A:R,2,FALSE)</f>
        <v>2026-10-08</v>
      </c>
      <c r="U146" s="63">
        <f>T146-S146</f>
        <v>46303</v>
      </c>
      <c r="V146" s="186" t="n"/>
      <c r="W146" s="61" t="str">
        <f>VLOOKUP(A146,'3.GateMove'!A:D,4,FALSE)</f>
        <v>2026-10-03</v>
      </c>
      <c r="X146" s="63">
        <f>((T146-W146)+1)</f>
        <v>6</v>
      </c>
      <c r="Y146" s="64">
        <f>IF(AND(OR(C146="BKK01",C146="BKK04"),L146="CFS/CY"),0,IF(M146="DG",1,IF(LEFT(C146,3)="LCH",7,IF(C146="BKK02",5,3))))</f>
        <v>3</v>
      </c>
      <c r="Z146" s="63">
        <f>IF(IF(AND(AC146="TML",AB146&gt;0),((T146-W146)+1)-AB146,((T146-W146)+1)-Y146)&gt;0,IF(AND(AC146="TML",AB146&gt;0),((T146-W146)+1)-AB146,((T146-W146)+1)-Y146),0)</f>
        <v>3</v>
      </c>
      <c r="AA146" s="187">
        <f>IF(AND(B146="G1",M146=""),IF(R146="20'",
VLOOKUP(Z146,Charge!$K$2:$M$5,2,TRUE)+(Z146-VLOOKUP(Z146,Charge!$K$2:$M$5,1,TRUE))*VLOOKUP(Z146,Charge!$K$2:$M$5,3,TRUE),
VLOOKUP(Z146,Charge!$N$2:$P$5,2,TRUE)+(Z146-VLOOKUP(Z146,Charge!$N$2:$P$5,1,TRUE))*VLOOKUP(Z146,Charge!$N$2:$P$5,3,TRUE)),
IF(AND(B146="G1",M146="DG"),IF(R146="20'",
VLOOKUP(Z146,Charge!$R$2:$T$5,2,TRUE)+(Z146-VLOOKUP(Z146,Charge!$R$2:$T$5,1,TRUE))*VLOOKUP(Z146,Charge!$R$2:$T$5,3,TRUE),
VLOOKUP(Z146,Charge!$U$2:$W$5,2,TRUE)+(Z146-VLOOKUP(Z146,Charge!$U$2:$W$5,1,TRUE))*VLOOKUP(Z146,Charge!$U$2:$W$5,3,TRUE)),
IF(AND(B146="G3",M146=""),IF(R146="20'",
VLOOKUP(Z146,Charge!$K$18:$M$21,2,TRUE)+(Z146-VLOOKUP(Z146,Charge!$K$18:$M$21,1,TRUE))*VLOOKUP(Z146,Charge!$K$18:$M$21,3,TRUE),
VLOOKUP(Z146,Charge!$N$18:$P$21,2,TRUE)+(Z146-VLOOKUP(Z146,Charge!$N$18:$P$21,1,TRUE))*VLOOKUP(Z146,Charge!$N$18:$P$21,3,TRUE)),
IF(AND(B146="G3",M146="DG"),IF(R146="20'",
VLOOKUP(Z146,Charge!$R$18:$T$21,2,TRUE)+(Z146-VLOOKUP(Z146,Charge!$R$18:$T$21,1,TRUE))*VLOOKUP(Z146,Charge!$R$18:$T$21,3,TRUE),
VLOOKUP(Z146,Charge!$U$18:$W$21,2,TRUE)+(Z146-VLOOKUP(Z146,Charge!$U$18:$W$21,1,TRUE))*VLOOKUP(Z146,Charge!$U$18:$W$21,3,TRUE)),
IF(AND(B146="G2",M146=""),IF(R146="20'",
VLOOKUP(Z146,Charge!$K$9:$M$12,2,TRUE)+(Z146-VLOOKUP(Z146,Charge!$K$9:$M$12,1,TRUE))*VLOOKUP(Z146,Charge!$K$9:$M$12,3,TRUE),
VLOOKUP(Z146,Charge!$N$9:$P$12,2,TRUE)+(Z146-VLOOKUP(Z146,Charge!$N$9:$P$12,1,TRUE))*VLOOKUP(Z146,Charge!$N$9:$P$12,3,TRUE)),
IF(AND(B146="G2",M146="DG"),IF(R146="20'",
VLOOKUP(Z146,Charge!$R$9:$T$12,2,TRUE)+(Z146-VLOOKUP(Z146,Charge!$R$9:$T$12,1,TRUE))*VLOOKUP(Z146,Charge!$R$9:$T$12,3,TRUE),
VLOOKUP(Z146,Charge!$U$9:$W$12,2,TRUE)+(Z146-VLOOKUP(Z146,Charge!$U$9:$W$12,1,TRUE))*VLOOKUP(Z146,Charge!$U$9:$W$12,3,TRUE)),IF(AND(B146="G4",M146=""),IF(R146="20'",Z146*Charge!$M$25,Z146*Charge!$P$25),IF(AND(B146="G4",M146="DG"),IF(R146="20'",Z146*Charge!$T$25,Z146*Charge!$W$25),0))))))))</f>
        <v>480</v>
      </c>
      <c r="AB146" s="184" t="n"/>
      <c r="AC146" s="184" t="n"/>
      <c r="AD146" s="60">
        <f>IF(M146="DG",3,IF(N146="RF",3,5))+IF(AND(LEFT(C146,3)="BKK",N146="RF",Q146="KTS"),1,0)+IF(Q146="KHS",1,0)</f>
        <v>5</v>
      </c>
      <c r="AE146" s="63">
        <f>(T146-V146)+1</f>
        <v>46304</v>
      </c>
      <c r="AF146" s="63">
        <f>IF(AB146&gt;IF((V146-W146)&gt;0,V146-W146,0),0,IF(AB146&lt;IF((V146-W146)&gt;0,V146-W146,0),IF((V146-W146)&gt;0,V146-W146,0)-AB146,IF((V146-W146)&gt;0,V146-W146,0)))</f>
        <v>0</v>
      </c>
      <c r="AG146" s="187">
        <f>IF(AND(M146=""),IF(R146="20'",
VLOOKUP(AF146,Charge!$K$31:$M$34,2,TRUE)+(AF146-VLOOKUP(AF146,Charge!$K$31:$M$34,1,TRUE))*VLOOKUP(AF146,Charge!$K$31:$M$34,3,TRUE),
VLOOKUP(AF146,Charge!$N$31:$P$34,2,TRUE)+(AF146-VLOOKUP(AF146,Charge!$N$31:$P$34,1,TRUE))*VLOOKUP(AF146,Charge!$N$31:$P$34,3,TRUE)),
IF(AND(M146="DG"),IF(R146="20'",
VLOOKUP(AF146,Charge!$R$31:$T$34,2,TRUE)+(AF146-VLOOKUP(AF146,Charge!$R$31:$T$34,1,TRUE))*VLOOKUP(AF146,Charge!$R$31:$T$34,3,TRUE),
VLOOKUP(AF146,Charge!$U$31:$W$34,2,TRUE)+(AF146-VLOOKUP(AF146,Charge!$U$31:$W$34,1,TRUE))*VLOOKUP(AF146,Charge!$U$31:$W$34,3,TRUE)),0))</f>
        <v>0</v>
      </c>
      <c r="AH146" s="65" t="n"/>
      <c r="AI146" s="65">
        <f>AA146-AH146</f>
        <v>480</v>
      </c>
      <c r="AJ146" s="188" t="n"/>
      <c r="AK146" s="62" t="str">
        <f>VLOOKUP(D146,'2.Bookinglist'!A:CT,40,FALSE)</f>
        <v>Nustsireerach</v>
      </c>
      <c r="AL146" s="60" t="str">
        <f>VLOOKUP(D146,'2.Bookinglist'!A:CW,101,FALSE)</f>
        <v>2026-10-05</v>
      </c>
      <c r="AM146" s="60" t="str">
        <f>VLOOKUP(D146,'2.Bookinglist'!A:BK,63,FALSE)</f>
        <v>BKK27</v>
      </c>
      <c r="AN146" s="62" t="str">
        <f>VLOOKUP(D146,'2.Bookinglist'!A:AZ,52,FALSE)</f>
        <v>Pickup : 2026-10-01, Return : 2026-10-02</v>
      </c>
      <c r="AO146" s="62">
        <f>VLOOKUP(D146,'2.Bookinglist'!A:CY,103,FALSE)</f>
        <v>0</v>
      </c>
    </row>
    <row r="147" ht="12.95" customHeight="1">
      <c r="A147" s="96" t="inlineStr">
        <is>
          <t>SKLU1987436</t>
        </is>
      </c>
      <c r="B147" s="184" t="str">
        <f>IF(C147=Charge!$M$1,Charge!$J$1,IF(C147=Charge!$M$23,Charge!$J$23,IF(C147=Charge!$M$17,Charge!$J$17,IF(C147=Charge!$N$17,Charge!$J$17,Charge!$J$7))))</f>
        <v>G3</v>
      </c>
      <c r="C147" s="61" t="str">
        <f>VLOOKUP(A147,'1.Loading'!A:R,14,FALSE)</f>
        <v>BKK04</v>
      </c>
      <c r="D147" s="61" t="str">
        <f>VLOOKUP(A147,'1.Loading'!A:R,17,FALSE)</f>
        <v>HASLS22260900196</v>
      </c>
      <c r="E147" s="62" t="str">
        <f>VLOOKUP(D147,'2.Bookinglist'!A:CT,27,FALSE)</f>
        <v>SANGUAN WONGSE STARCH CO., LTD.</v>
      </c>
      <c r="F147" s="62" t="str">
        <f>VLOOKUP(D147,'2.Bookinglist'!A:CT,28,FALSE)</f>
        <v>SANGUAN WONGSE STARCH CO., LTD.</v>
      </c>
      <c r="G147" s="60">
        <f>VLOOKUP(D147,'2.Bookinglist'!A:E,5,FALSE)</f>
        <v>0</v>
      </c>
      <c r="H147" s="61" t="str">
        <f>VLOOKUP(D147,'2.Bookinglist'!A:CT,15,FALSE)</f>
        <v>THBKK</v>
      </c>
      <c r="I147" s="61" t="str">
        <f>VLOOKUP(D147,'2.Bookinglist'!A:CT,19,FALSE)</f>
        <v>JPSEN</v>
      </c>
      <c r="J147" s="61" t="str">
        <f>VLOOKUP(D147,'2.Bookinglist'!A:CT,26,FALSE)</f>
        <v>KRPUS</v>
      </c>
      <c r="K147" s="61" t="str">
        <f>VLOOKUP(A147,'1.Loading'!A:R,5,FALSE)</f>
        <v>22GP</v>
      </c>
      <c r="L147" s="60" t="str">
        <f>VLOOKUP(D147,'2.Bookinglist'!A:CT,85,FALSE)</f>
        <v>CY/CY</v>
      </c>
      <c r="M147" s="60" t="str">
        <f>IF(VLOOKUP(D147,'2.Bookinglist'!A:CT,43,FALSE)=0,"","DG")</f>
        <v/>
      </c>
      <c r="N147" s="60" t="str">
        <f>IF(RIGHT(K147,2)="RE","RF","")</f>
        <v/>
      </c>
      <c r="O147" s="61" t="str">
        <f>VLOOKUP(A147,'1.Loading'!A:R,3,FALSE)</f>
        <v>SWSP</v>
      </c>
      <c r="P147" s="61" t="str">
        <f>VLOOKUP(A147,'1.Loading'!A:R,4,FALSE)</f>
        <v>2609N</v>
      </c>
      <c r="Q147" s="61" t="str">
        <f>VLOOKUP(D147,'2.Bookinglist'!A:CT,12,FALSE)</f>
        <v>BTS</v>
      </c>
      <c r="R147" s="60" t="str">
        <f>IF(LEFT(K147,2)="22","20'","40'")</f>
        <v>20'</v>
      </c>
      <c r="S147" s="185" t="n"/>
      <c r="T147" s="61" t="str">
        <f>VLOOKUP(A147,'1.Loading'!A:R,2,FALSE)</f>
        <v>2026-10-08</v>
      </c>
      <c r="U147" s="63">
        <f>T147-S147</f>
        <v>46303</v>
      </c>
      <c r="V147" s="186" t="n"/>
      <c r="W147" s="61" t="str">
        <f>VLOOKUP(A147,'3.GateMove'!A:D,4,FALSE)</f>
        <v>2026-09-19</v>
      </c>
      <c r="X147" s="63">
        <f>((T147-W147)+1)</f>
        <v>20</v>
      </c>
      <c r="Y147" s="64">
        <f>IF(AND(OR(C147="BKK01",C147="BKK04"),L147="CFS/CY"),0,IF(M147="DG",1,IF(LEFT(C147,3)="LCH",7,IF(C147="BKK02",5,3))))</f>
        <v>3</v>
      </c>
      <c r="Z147" s="63">
        <f>IF(IF(AND(AC147="TML",AB147&gt;0),((T147-W147)+1)-AB147,((T147-W147)+1)-Y147)&gt;0,IF(AND(AC147="TML",AB147&gt;0),((T147-W147)+1)-AB147,((T147-W147)+1)-Y147),0)</f>
        <v>17</v>
      </c>
      <c r="AA147" s="187">
        <f>IF(AND(B147="G1",M147=""),IF(R147="20'",
VLOOKUP(Z147,Charge!$K$2:$M$5,2,TRUE)+(Z147-VLOOKUP(Z147,Charge!$K$2:$M$5,1,TRUE))*VLOOKUP(Z147,Charge!$K$2:$M$5,3,TRUE),
VLOOKUP(Z147,Charge!$N$2:$P$5,2,TRUE)+(Z147-VLOOKUP(Z147,Charge!$N$2:$P$5,1,TRUE))*VLOOKUP(Z147,Charge!$N$2:$P$5,3,TRUE)),
IF(AND(B147="G1",M147="DG"),IF(R147="20'",
VLOOKUP(Z147,Charge!$R$2:$T$5,2,TRUE)+(Z147-VLOOKUP(Z147,Charge!$R$2:$T$5,1,TRUE))*VLOOKUP(Z147,Charge!$R$2:$T$5,3,TRUE),
VLOOKUP(Z147,Charge!$U$2:$W$5,2,TRUE)+(Z147-VLOOKUP(Z147,Charge!$U$2:$W$5,1,TRUE))*VLOOKUP(Z147,Charge!$U$2:$W$5,3,TRUE)),
IF(AND(B147="G3",M147=""),IF(R147="20'",
VLOOKUP(Z147,Charge!$K$18:$M$21,2,TRUE)+(Z147-VLOOKUP(Z147,Charge!$K$18:$M$21,1,TRUE))*VLOOKUP(Z147,Charge!$K$18:$M$21,3,TRUE),
VLOOKUP(Z147,Charge!$N$18:$P$21,2,TRUE)+(Z147-VLOOKUP(Z147,Charge!$N$18:$P$21,1,TRUE))*VLOOKUP(Z147,Charge!$N$18:$P$21,3,TRUE)),
IF(AND(B147="G3",M147="DG"),IF(R147="20'",
VLOOKUP(Z147,Charge!$R$18:$T$21,2,TRUE)+(Z147-VLOOKUP(Z147,Charge!$R$18:$T$21,1,TRUE))*VLOOKUP(Z147,Charge!$R$18:$T$21,3,TRUE),
VLOOKUP(Z147,Charge!$U$18:$W$21,2,TRUE)+(Z147-VLOOKUP(Z147,Charge!$U$18:$W$21,1,TRUE))*VLOOKUP(Z147,Charge!$U$18:$W$21,3,TRUE)),
IF(AND(B147="G2",M147=""),IF(R147="20'",
VLOOKUP(Z147,Charge!$K$9:$M$12,2,TRUE)+(Z147-VLOOKUP(Z147,Charge!$K$9:$M$12,1,TRUE))*VLOOKUP(Z147,Charge!$K$9:$M$12,3,TRUE),
VLOOKUP(Z147,Charge!$N$9:$P$12,2,TRUE)+(Z147-VLOOKUP(Z147,Charge!$N$9:$P$12,1,TRUE))*VLOOKUP(Z147,Charge!$N$9:$P$12,3,TRUE)),
IF(AND(B147="G2",M147="DG"),IF(R147="20'",
VLOOKUP(Z147,Charge!$R$9:$T$12,2,TRUE)+(Z147-VLOOKUP(Z147,Charge!$R$9:$T$12,1,TRUE))*VLOOKUP(Z147,Charge!$R$9:$T$12,3,TRUE),
VLOOKUP(Z147,Charge!$U$9:$W$12,2,TRUE)+(Z147-VLOOKUP(Z147,Charge!$U$9:$W$12,1,TRUE))*VLOOKUP(Z147,Charge!$U$9:$W$12,3,TRUE)),IF(AND(B147="G4",M147=""),IF(R147="20'",Z147*Charge!$M$25,Z147*Charge!$P$25),IF(AND(B147="G4",M147="DG"),IF(R147="20'",Z147*Charge!$T$25,Z147*Charge!$W$25),0))))))))</f>
        <v>4215</v>
      </c>
      <c r="AB147" s="184" t="n"/>
      <c r="AC147" s="184" t="n"/>
      <c r="AD147" s="60">
        <f>IF(M147="DG",3,IF(N147="RF",3,5))+IF(AND(LEFT(C147,3)="BKK",N147="RF",Q147="KTS"),1,0)+IF(Q147="KHS",1,0)</f>
        <v>5</v>
      </c>
      <c r="AE147" s="63">
        <f>(T147-V147)+1</f>
        <v>46304</v>
      </c>
      <c r="AF147" s="63">
        <f>IF(AB147&gt;IF((V147-W147)&gt;0,V147-W147,0),0,IF(AB147&lt;IF((V147-W147)&gt;0,V147-W147,0),IF((V147-W147)&gt;0,V147-W147,0)-AB147,IF((V147-W147)&gt;0,V147-W147,0)))</f>
        <v>0</v>
      </c>
      <c r="AG147" s="187">
        <f>IF(AND(M147=""),IF(R147="20'",
VLOOKUP(AF147,Charge!$K$31:$M$34,2,TRUE)+(AF147-VLOOKUP(AF147,Charge!$K$31:$M$34,1,TRUE))*VLOOKUP(AF147,Charge!$K$31:$M$34,3,TRUE),
VLOOKUP(AF147,Charge!$N$31:$P$34,2,TRUE)+(AF147-VLOOKUP(AF147,Charge!$N$31:$P$34,1,TRUE))*VLOOKUP(AF147,Charge!$N$31:$P$34,3,TRUE)),
IF(AND(M147="DG"),IF(R147="20'",
VLOOKUP(AF147,Charge!$R$31:$T$34,2,TRUE)+(AF147-VLOOKUP(AF147,Charge!$R$31:$T$34,1,TRUE))*VLOOKUP(AF147,Charge!$R$31:$T$34,3,TRUE),
VLOOKUP(AF147,Charge!$U$31:$W$34,2,TRUE)+(AF147-VLOOKUP(AF147,Charge!$U$31:$W$34,1,TRUE))*VLOOKUP(AF147,Charge!$U$31:$W$34,3,TRUE)),0))</f>
        <v>0</v>
      </c>
      <c r="AH147" s="65" t="n"/>
      <c r="AI147" s="65">
        <f>AA147-AH147</f>
        <v>4215</v>
      </c>
      <c r="AJ147" s="188" t="n"/>
      <c r="AK147" s="62" t="str">
        <f>VLOOKUP(D147,'2.Bookinglist'!A:CT,40,FALSE)</f>
        <v>Uetake Takahiro</v>
      </c>
      <c r="AL147" s="60" t="str">
        <f>VLOOKUP(D147,'2.Bookinglist'!A:CW,101,FALSE)</f>
        <v>2026-10-05</v>
      </c>
      <c r="AM147" s="60" t="str">
        <f>VLOOKUP(D147,'2.Bookinglist'!A:BK,63,FALSE)</f>
        <v>BKK25</v>
      </c>
      <c r="AN147" s="62" t="str">
        <f>VLOOKUP(D147,'2.Bookinglist'!A:AZ,52,FALSE)</f>
        <v>Pickup : 2026-09-17, Return : 2026-09-19</v>
      </c>
      <c r="AO147" s="62" t="str">
        <f>VLOOKUP(D147,'2.Bookinglist'!A:CY,103,FALSE)</f>
        <v>ROLL OVER FROM PREVIOUS VSL SWMM 2609N BY ALLOCATION TEAM MS.TARN APPROVED COST IS UNDER HA DD.21/09</v>
      </c>
    </row>
    <row r="148" ht="12.95" customHeight="1">
      <c r="A148" s="96" t="inlineStr">
        <is>
          <t>SKLU1997542</t>
        </is>
      </c>
      <c r="B148" s="184" t="str">
        <f>IF(C148=Charge!$M$1,Charge!$J$1,IF(C148=Charge!$M$23,Charge!$J$23,IF(C148=Charge!$M$17,Charge!$J$17,IF(C148=Charge!$N$17,Charge!$J$17,Charge!$J$7))))</f>
        <v>G3</v>
      </c>
      <c r="C148" s="61" t="str">
        <f>VLOOKUP(A148,'1.Loading'!A:R,14,FALSE)</f>
        <v>BKK04</v>
      </c>
      <c r="D148" s="61" t="str">
        <f>VLOOKUP(A148,'1.Loading'!A:R,17,FALSE)</f>
        <v>HASLS22260801914</v>
      </c>
      <c r="E148" s="62" t="str">
        <f>VLOOKUP(D148,'2.Bookinglist'!A:CT,27,FALSE)</f>
        <v>DP WORLD LOGISTICS SOLUTIONS (THAILAND) COMPANY LIMITED</v>
      </c>
      <c r="F148" s="62" t="str">
        <f>VLOOKUP(D148,'2.Bookinglist'!A:CT,28,FALSE)</f>
        <v>DP WORLD LOGISTICS SOLUTIONS (THAILAND) COMPANY LIMITED</v>
      </c>
      <c r="G148" s="60">
        <f>VLOOKUP(D148,'2.Bookinglist'!A:E,5,FALSE)</f>
        <v>0</v>
      </c>
      <c r="H148" s="61" t="str">
        <f>VLOOKUP(D148,'2.Bookinglist'!A:CT,15,FALSE)</f>
        <v>THBKK</v>
      </c>
      <c r="I148" s="61" t="str">
        <f>VLOOKUP(D148,'2.Bookinglist'!A:CT,19,FALSE)</f>
        <v>KRPTK</v>
      </c>
      <c r="J148" s="61">
        <f>VLOOKUP(D148,'2.Bookinglist'!A:CT,26,FALSE)</f>
        <v>0</v>
      </c>
      <c r="K148" s="61" t="str">
        <f>VLOOKUP(A148,'1.Loading'!A:R,5,FALSE)</f>
        <v>22GP</v>
      </c>
      <c r="L148" s="60" t="str">
        <f>VLOOKUP(D148,'2.Bookinglist'!A:CT,85,FALSE)</f>
        <v>CY/CY</v>
      </c>
      <c r="M148" s="60" t="str">
        <f>IF(VLOOKUP(D148,'2.Bookinglist'!A:CT,43,FALSE)=0,"","DG")</f>
        <v/>
      </c>
      <c r="N148" s="60" t="str">
        <f>IF(RIGHT(K148,2)="RE","RF","")</f>
        <v/>
      </c>
      <c r="O148" s="61" t="str">
        <f>VLOOKUP(A148,'1.Loading'!A:R,3,FALSE)</f>
        <v>SWSP</v>
      </c>
      <c r="P148" s="61" t="str">
        <f>VLOOKUP(A148,'1.Loading'!A:R,4,FALSE)</f>
        <v>2609N</v>
      </c>
      <c r="Q148" s="61" t="str">
        <f>VLOOKUP(D148,'2.Bookinglist'!A:CT,12,FALSE)</f>
        <v>BTS</v>
      </c>
      <c r="R148" s="60" t="str">
        <f>IF(LEFT(K148,2)="22","20'","40'")</f>
        <v>20'</v>
      </c>
      <c r="S148" s="185" t="n"/>
      <c r="T148" s="61" t="str">
        <f>VLOOKUP(A148,'1.Loading'!A:R,2,FALSE)</f>
        <v>2026-10-08</v>
      </c>
      <c r="U148" s="63">
        <f>T148-S148</f>
        <v>46303</v>
      </c>
      <c r="V148" s="186" t="n"/>
      <c r="W148" s="61" t="str">
        <f>VLOOKUP(A148,'3.GateMove'!A:D,4,FALSE)</f>
        <v>2026-09-19</v>
      </c>
      <c r="X148" s="63">
        <f>((T148-W148)+1)</f>
        <v>20</v>
      </c>
      <c r="Y148" s="64">
        <f>IF(AND(OR(C148="BKK01",C148="BKK04"),L148="CFS/CY"),0,IF(M148="DG",1,IF(LEFT(C148,3)="LCH",7,IF(C148="BKK02",5,3))))</f>
        <v>3</v>
      </c>
      <c r="Z148" s="63">
        <f>IF(IF(AND(AC148="TML",AB148&gt;0),((T148-W148)+1)-AB148,((T148-W148)+1)-Y148)&gt;0,IF(AND(AC148="TML",AB148&gt;0),((T148-W148)+1)-AB148,((T148-W148)+1)-Y148),0)</f>
        <v>17</v>
      </c>
      <c r="AA148" s="187">
        <f>IF(AND(B148="G1",M148=""),IF(R148="20'",
VLOOKUP(Z148,Charge!$K$2:$M$5,2,TRUE)+(Z148-VLOOKUP(Z148,Charge!$K$2:$M$5,1,TRUE))*VLOOKUP(Z148,Charge!$K$2:$M$5,3,TRUE),
VLOOKUP(Z148,Charge!$N$2:$P$5,2,TRUE)+(Z148-VLOOKUP(Z148,Charge!$N$2:$P$5,1,TRUE))*VLOOKUP(Z148,Charge!$N$2:$P$5,3,TRUE)),
IF(AND(B148="G1",M148="DG"),IF(R148="20'",
VLOOKUP(Z148,Charge!$R$2:$T$5,2,TRUE)+(Z148-VLOOKUP(Z148,Charge!$R$2:$T$5,1,TRUE))*VLOOKUP(Z148,Charge!$R$2:$T$5,3,TRUE),
VLOOKUP(Z148,Charge!$U$2:$W$5,2,TRUE)+(Z148-VLOOKUP(Z148,Charge!$U$2:$W$5,1,TRUE))*VLOOKUP(Z148,Charge!$U$2:$W$5,3,TRUE)),
IF(AND(B148="G3",M148=""),IF(R148="20'",
VLOOKUP(Z148,Charge!$K$18:$M$21,2,TRUE)+(Z148-VLOOKUP(Z148,Charge!$K$18:$M$21,1,TRUE))*VLOOKUP(Z148,Charge!$K$18:$M$21,3,TRUE),
VLOOKUP(Z148,Charge!$N$18:$P$21,2,TRUE)+(Z148-VLOOKUP(Z148,Charge!$N$18:$P$21,1,TRUE))*VLOOKUP(Z148,Charge!$N$18:$P$21,3,TRUE)),
IF(AND(B148="G3",M148="DG"),IF(R148="20'",
VLOOKUP(Z148,Charge!$R$18:$T$21,2,TRUE)+(Z148-VLOOKUP(Z148,Charge!$R$18:$T$21,1,TRUE))*VLOOKUP(Z148,Charge!$R$18:$T$21,3,TRUE),
VLOOKUP(Z148,Charge!$U$18:$W$21,2,TRUE)+(Z148-VLOOKUP(Z148,Charge!$U$18:$W$21,1,TRUE))*VLOOKUP(Z148,Charge!$U$18:$W$21,3,TRUE)),
IF(AND(B148="G2",M148=""),IF(R148="20'",
VLOOKUP(Z148,Charge!$K$9:$M$12,2,TRUE)+(Z148-VLOOKUP(Z148,Charge!$K$9:$M$12,1,TRUE))*VLOOKUP(Z148,Charge!$K$9:$M$12,3,TRUE),
VLOOKUP(Z148,Charge!$N$9:$P$12,2,TRUE)+(Z148-VLOOKUP(Z148,Charge!$N$9:$P$12,1,TRUE))*VLOOKUP(Z148,Charge!$N$9:$P$12,3,TRUE)),
IF(AND(B148="G2",M148="DG"),IF(R148="20'",
VLOOKUP(Z148,Charge!$R$9:$T$12,2,TRUE)+(Z148-VLOOKUP(Z148,Charge!$R$9:$T$12,1,TRUE))*VLOOKUP(Z148,Charge!$R$9:$T$12,3,TRUE),
VLOOKUP(Z148,Charge!$U$9:$W$12,2,TRUE)+(Z148-VLOOKUP(Z148,Charge!$U$9:$W$12,1,TRUE))*VLOOKUP(Z148,Charge!$U$9:$W$12,3,TRUE)),IF(AND(B148="G4",M148=""),IF(R148="20'",Z148*Charge!$M$25,Z148*Charge!$P$25),IF(AND(B148="G4",M148="DG"),IF(R148="20'",Z148*Charge!$T$25,Z148*Charge!$W$25),0))))))))</f>
        <v>4215</v>
      </c>
      <c r="AB148" s="184" t="n"/>
      <c r="AC148" s="184" t="n"/>
      <c r="AD148" s="60">
        <f>IF(M148="DG",3,IF(N148="RF",3,5))+IF(AND(LEFT(C148,3)="BKK",N148="RF",Q148="KTS"),1,0)+IF(Q148="KHS",1,0)</f>
        <v>5</v>
      </c>
      <c r="AE148" s="63">
        <f>(T148-V148)+1</f>
        <v>46304</v>
      </c>
      <c r="AF148" s="63">
        <f>IF(AB148&gt;IF((V148-W148)&gt;0,V148-W148,0),0,IF(AB148&lt;IF((V148-W148)&gt;0,V148-W148,0),IF((V148-W148)&gt;0,V148-W148,0)-AB148,IF((V148-W148)&gt;0,V148-W148,0)))</f>
        <v>0</v>
      </c>
      <c r="AG148" s="187">
        <f>IF(AND(M148=""),IF(R148="20'",
VLOOKUP(AF148,Charge!$K$31:$M$34,2,TRUE)+(AF148-VLOOKUP(AF148,Charge!$K$31:$M$34,1,TRUE))*VLOOKUP(AF148,Charge!$K$31:$M$34,3,TRUE),
VLOOKUP(AF148,Charge!$N$31:$P$34,2,TRUE)+(AF148-VLOOKUP(AF148,Charge!$N$31:$P$34,1,TRUE))*VLOOKUP(AF148,Charge!$N$31:$P$34,3,TRUE)),
IF(AND(M148="DG"),IF(R148="20'",
VLOOKUP(AF148,Charge!$R$31:$T$34,2,TRUE)+(AF148-VLOOKUP(AF148,Charge!$R$31:$T$34,1,TRUE))*VLOOKUP(AF148,Charge!$R$31:$T$34,3,TRUE),
VLOOKUP(AF148,Charge!$U$31:$W$34,2,TRUE)+(AF148-VLOOKUP(AF148,Charge!$U$31:$W$34,1,TRUE))*VLOOKUP(AF148,Charge!$U$31:$W$34,3,TRUE)),0))</f>
        <v>0</v>
      </c>
      <c r="AH148" s="65" t="n"/>
      <c r="AI148" s="65">
        <f>AA148-AH148</f>
        <v>4215</v>
      </c>
      <c r="AJ148" s="188" t="n"/>
      <c r="AK148" s="62" t="str">
        <f>VLOOKUP(D148,'2.Bookinglist'!A:CT,40,FALSE)</f>
        <v>Nannaapust Sukporntaweewat</v>
      </c>
      <c r="AL148" s="60" t="str">
        <f>VLOOKUP(D148,'2.Bookinglist'!A:CW,101,FALSE)</f>
        <v>2026-10-05</v>
      </c>
      <c r="AM148" s="60" t="str">
        <f>VLOOKUP(D148,'2.Bookinglist'!A:BK,63,FALSE)</f>
        <v>BKK27</v>
      </c>
      <c r="AN148" s="62" t="str">
        <f>VLOOKUP(D148,'2.Bookinglist'!A:AZ,52,FALSE)</f>
        <v>** APPROVED BY H.W KANG DD.28/09/2026 ** *FLEXIBAG ONDECK*
Servey : 17/09/2026, Pickup : 18/09/2026, Return : 21/09/2026 *EXTEND CLS TIME : 22/09/2026 @06.00* </v>
      </c>
      <c r="AO148" s="62" t="str">
        <f>VLOOKUP(D148,'2.Bookinglist'!A:CY,103,FALSE)</f>
        <v>ROLL OVER FROM PREVIOUS VSL SWMM 2609N BY ALLOCATION TEAM MS.TARN APRPOVED COST IS UNDER HA DD.21/09</v>
      </c>
    </row>
    <row r="149" ht="12.95" customHeight="1">
      <c r="A149" s="96" t="inlineStr">
        <is>
          <t>SKLU1998960</t>
        </is>
      </c>
      <c r="B149" s="184" t="str">
        <f>IF(C149=Charge!$M$1,Charge!$J$1,IF(C149=Charge!$M$23,Charge!$J$23,IF(C149=Charge!$M$17,Charge!$J$17,IF(C149=Charge!$N$17,Charge!$J$17,Charge!$J$7))))</f>
        <v>G3</v>
      </c>
      <c r="C149" s="61" t="str">
        <f>VLOOKUP(A149,'1.Loading'!A:R,14,FALSE)</f>
        <v>BKK04</v>
      </c>
      <c r="D149" s="61" t="str">
        <f>VLOOKUP(A149,'1.Loading'!A:R,17,FALSE)</f>
        <v>HASLS22260801914</v>
      </c>
      <c r="E149" s="62" t="str">
        <f>VLOOKUP(D149,'2.Bookinglist'!A:CT,27,FALSE)</f>
        <v>DP WORLD LOGISTICS SOLUTIONS (THAILAND) COMPANY LIMITED</v>
      </c>
      <c r="F149" s="62" t="str">
        <f>VLOOKUP(D149,'2.Bookinglist'!A:CT,28,FALSE)</f>
        <v>DP WORLD LOGISTICS SOLUTIONS (THAILAND) COMPANY LIMITED</v>
      </c>
      <c r="G149" s="60">
        <f>VLOOKUP(D149,'2.Bookinglist'!A:E,5,FALSE)</f>
        <v>0</v>
      </c>
      <c r="H149" s="61" t="str">
        <f>VLOOKUP(D149,'2.Bookinglist'!A:CT,15,FALSE)</f>
        <v>THBKK</v>
      </c>
      <c r="I149" s="61" t="str">
        <f>VLOOKUP(D149,'2.Bookinglist'!A:CT,19,FALSE)</f>
        <v>KRPTK</v>
      </c>
      <c r="J149" s="61">
        <f>VLOOKUP(D149,'2.Bookinglist'!A:CT,26,FALSE)</f>
        <v>0</v>
      </c>
      <c r="K149" s="61" t="str">
        <f>VLOOKUP(A149,'1.Loading'!A:R,5,FALSE)</f>
        <v>22GP</v>
      </c>
      <c r="L149" s="60" t="str">
        <f>VLOOKUP(D149,'2.Bookinglist'!A:CT,85,FALSE)</f>
        <v>CY/CY</v>
      </c>
      <c r="M149" s="60" t="str">
        <f>IF(VLOOKUP(D149,'2.Bookinglist'!A:CT,43,FALSE)=0,"","DG")</f>
        <v/>
      </c>
      <c r="N149" s="60" t="str">
        <f>IF(RIGHT(K149,2)="RE","RF","")</f>
        <v/>
      </c>
      <c r="O149" s="61" t="str">
        <f>VLOOKUP(A149,'1.Loading'!A:R,3,FALSE)</f>
        <v>SWSP</v>
      </c>
      <c r="P149" s="61" t="str">
        <f>VLOOKUP(A149,'1.Loading'!A:R,4,FALSE)</f>
        <v>2609N</v>
      </c>
      <c r="Q149" s="61" t="str">
        <f>VLOOKUP(D149,'2.Bookinglist'!A:CT,12,FALSE)</f>
        <v>BTS</v>
      </c>
      <c r="R149" s="60" t="str">
        <f>IF(LEFT(K149,2)="22","20'","40'")</f>
        <v>20'</v>
      </c>
      <c r="S149" s="185" t="n"/>
      <c r="T149" s="61" t="str">
        <f>VLOOKUP(A149,'1.Loading'!A:R,2,FALSE)</f>
        <v>2026-10-08</v>
      </c>
      <c r="U149" s="63">
        <f>T149-S149</f>
        <v>46303</v>
      </c>
      <c r="V149" s="186" t="n"/>
      <c r="W149" s="61" t="str">
        <f>VLOOKUP(A149,'3.GateMove'!A:D,4,FALSE)</f>
        <v>2026-09-21</v>
      </c>
      <c r="X149" s="63">
        <f>((T149-W149)+1)</f>
        <v>18</v>
      </c>
      <c r="Y149" s="64">
        <f>IF(AND(OR(C149="BKK01",C149="BKK04"),L149="CFS/CY"),0,IF(M149="DG",1,IF(LEFT(C149,3)="LCH",7,IF(C149="BKK02",5,3))))</f>
        <v>3</v>
      </c>
      <c r="Z149" s="63">
        <f>IF(IF(AND(AC149="TML",AB149&gt;0),((T149-W149)+1)-AB149,((T149-W149)+1)-Y149)&gt;0,IF(AND(AC149="TML",AB149&gt;0),((T149-W149)+1)-AB149,((T149-W149)+1)-Y149),0)</f>
        <v>15</v>
      </c>
      <c r="AA149" s="187">
        <f>IF(AND(B149="G1",M149=""),IF(R149="20'",
VLOOKUP(Z149,Charge!$K$2:$M$5,2,TRUE)+(Z149-VLOOKUP(Z149,Charge!$K$2:$M$5,1,TRUE))*VLOOKUP(Z149,Charge!$K$2:$M$5,3,TRUE),
VLOOKUP(Z149,Charge!$N$2:$P$5,2,TRUE)+(Z149-VLOOKUP(Z149,Charge!$N$2:$P$5,1,TRUE))*VLOOKUP(Z149,Charge!$N$2:$P$5,3,TRUE)),
IF(AND(B149="G1",M149="DG"),IF(R149="20'",
VLOOKUP(Z149,Charge!$R$2:$T$5,2,TRUE)+(Z149-VLOOKUP(Z149,Charge!$R$2:$T$5,1,TRUE))*VLOOKUP(Z149,Charge!$R$2:$T$5,3,TRUE),
VLOOKUP(Z149,Charge!$U$2:$W$5,2,TRUE)+(Z149-VLOOKUP(Z149,Charge!$U$2:$W$5,1,TRUE))*VLOOKUP(Z149,Charge!$U$2:$W$5,3,TRUE)),
IF(AND(B149="G3",M149=""),IF(R149="20'",
VLOOKUP(Z149,Charge!$K$18:$M$21,2,TRUE)+(Z149-VLOOKUP(Z149,Charge!$K$18:$M$21,1,TRUE))*VLOOKUP(Z149,Charge!$K$18:$M$21,3,TRUE),
VLOOKUP(Z149,Charge!$N$18:$P$21,2,TRUE)+(Z149-VLOOKUP(Z149,Charge!$N$18:$P$21,1,TRUE))*VLOOKUP(Z149,Charge!$N$18:$P$21,3,TRUE)),
IF(AND(B149="G3",M149="DG"),IF(R149="20'",
VLOOKUP(Z149,Charge!$R$18:$T$21,2,TRUE)+(Z149-VLOOKUP(Z149,Charge!$R$18:$T$21,1,TRUE))*VLOOKUP(Z149,Charge!$R$18:$T$21,3,TRUE),
VLOOKUP(Z149,Charge!$U$18:$W$21,2,TRUE)+(Z149-VLOOKUP(Z149,Charge!$U$18:$W$21,1,TRUE))*VLOOKUP(Z149,Charge!$U$18:$W$21,3,TRUE)),
IF(AND(B149="G2",M149=""),IF(R149="20'",
VLOOKUP(Z149,Charge!$K$9:$M$12,2,TRUE)+(Z149-VLOOKUP(Z149,Charge!$K$9:$M$12,1,TRUE))*VLOOKUP(Z149,Charge!$K$9:$M$12,3,TRUE),
VLOOKUP(Z149,Charge!$N$9:$P$12,2,TRUE)+(Z149-VLOOKUP(Z149,Charge!$N$9:$P$12,1,TRUE))*VLOOKUP(Z149,Charge!$N$9:$P$12,3,TRUE)),
IF(AND(B149="G2",M149="DG"),IF(R149="20'",
VLOOKUP(Z149,Charge!$R$9:$T$12,2,TRUE)+(Z149-VLOOKUP(Z149,Charge!$R$9:$T$12,1,TRUE))*VLOOKUP(Z149,Charge!$R$9:$T$12,3,TRUE),
VLOOKUP(Z149,Charge!$U$9:$W$12,2,TRUE)+(Z149-VLOOKUP(Z149,Charge!$U$9:$W$12,1,TRUE))*VLOOKUP(Z149,Charge!$U$9:$W$12,3,TRUE)),IF(AND(B149="G4",M149=""),IF(R149="20'",Z149*Charge!$M$25,Z149*Charge!$P$25),IF(AND(B149="G4",M149="DG"),IF(R149="20'",Z149*Charge!$T$25,Z149*Charge!$W$25),0))))))))</f>
        <v>3435</v>
      </c>
      <c r="AB149" s="184" t="n"/>
      <c r="AC149" s="184" t="n"/>
      <c r="AD149" s="60">
        <f>IF(M149="DG",3,IF(N149="RF",3,5))+IF(AND(LEFT(C149,3)="BKK",N149="RF",Q149="KTS"),1,0)+IF(Q149="KHS",1,0)</f>
        <v>5</v>
      </c>
      <c r="AE149" s="63">
        <f>(T149-V149)+1</f>
        <v>46304</v>
      </c>
      <c r="AF149" s="63">
        <f>IF(AB149&gt;IF((V149-W149)&gt;0,V149-W149,0),0,IF(AB149&lt;IF((V149-W149)&gt;0,V149-W149,0),IF((V149-W149)&gt;0,V149-W149,0)-AB149,IF((V149-W149)&gt;0,V149-W149,0)))</f>
        <v>0</v>
      </c>
      <c r="AG149" s="187">
        <f>IF(AND(M149=""),IF(R149="20'",
VLOOKUP(AF149,Charge!$K$31:$M$34,2,TRUE)+(AF149-VLOOKUP(AF149,Charge!$K$31:$M$34,1,TRUE))*VLOOKUP(AF149,Charge!$K$31:$M$34,3,TRUE),
VLOOKUP(AF149,Charge!$N$31:$P$34,2,TRUE)+(AF149-VLOOKUP(AF149,Charge!$N$31:$P$34,1,TRUE))*VLOOKUP(AF149,Charge!$N$31:$P$34,3,TRUE)),
IF(AND(M149="DG"),IF(R149="20'",
VLOOKUP(AF149,Charge!$R$31:$T$34,2,TRUE)+(AF149-VLOOKUP(AF149,Charge!$R$31:$T$34,1,TRUE))*VLOOKUP(AF149,Charge!$R$31:$T$34,3,TRUE),
VLOOKUP(AF149,Charge!$U$31:$W$34,2,TRUE)+(AF149-VLOOKUP(AF149,Charge!$U$31:$W$34,1,TRUE))*VLOOKUP(AF149,Charge!$U$31:$W$34,3,TRUE)),0))</f>
        <v>0</v>
      </c>
      <c r="AH149" s="65" t="n"/>
      <c r="AI149" s="65">
        <f>AA149-AH149</f>
        <v>3435</v>
      </c>
      <c r="AJ149" s="188" t="n"/>
      <c r="AK149" s="62" t="str">
        <f>VLOOKUP(D149,'2.Bookinglist'!A:CT,40,FALSE)</f>
        <v>Nannaapust Sukporntaweewat</v>
      </c>
      <c r="AL149" s="60" t="str">
        <f>VLOOKUP(D149,'2.Bookinglist'!A:CW,101,FALSE)</f>
        <v>2026-10-05</v>
      </c>
      <c r="AM149" s="60" t="str">
        <f>VLOOKUP(D149,'2.Bookinglist'!A:BK,63,FALSE)</f>
        <v>BKK27</v>
      </c>
      <c r="AN149" s="62" t="str">
        <f>VLOOKUP(D149,'2.Bookinglist'!A:AZ,52,FALSE)</f>
        <v>** APPROVED BY H.W KANG DD.28/09/2026 ** *FLEXIBAG ONDECK*
Servey : 17/09/2026, Pickup : 18/09/2026, Return : 21/09/2026 *EXTEND CLS TIME : 22/09/2026 @06.00* </v>
      </c>
      <c r="AO149" s="62" t="str">
        <f>VLOOKUP(D149,'2.Bookinglist'!A:CY,103,FALSE)</f>
        <v>ROLL OVER FROM PREVIOUS VSL SWMM 2609N BY ALLOCATION TEAM MS.TARN APRPOVED COST IS UNDER HA DD.21/09</v>
      </c>
    </row>
    <row r="150" ht="12.95" customHeight="1">
      <c r="A150" s="96" t="inlineStr">
        <is>
          <t>SKLU1999205</t>
        </is>
      </c>
      <c r="B150" s="184" t="str">
        <f>IF(C150=Charge!$M$1,Charge!$J$1,IF(C150=Charge!$M$23,Charge!$J$23,IF(C150=Charge!$M$17,Charge!$J$17,IF(C150=Charge!$N$17,Charge!$J$17,Charge!$J$7))))</f>
        <v>G3</v>
      </c>
      <c r="C150" s="61" t="str">
        <f>VLOOKUP(A150,'1.Loading'!A:R,14,FALSE)</f>
        <v>BKK04</v>
      </c>
      <c r="D150" s="61" t="str">
        <f>VLOOKUP(A150,'1.Loading'!A:R,17,FALSE)</f>
        <v>HASLS22260900939</v>
      </c>
      <c r="E150" s="62" t="str">
        <f>VLOOKUP(D150,'2.Bookinglist'!A:CT,27,FALSE)</f>
        <v>POLAR STAR CO., LTD.</v>
      </c>
      <c r="F150" s="62" t="str">
        <f>VLOOKUP(D150,'2.Bookinglist'!A:CT,28,FALSE)</f>
        <v>EVERSHINING INGREDIENT CO.,LTD.</v>
      </c>
      <c r="G150" s="60">
        <f>VLOOKUP(D150,'2.Bookinglist'!A:E,5,FALSE)</f>
        <v>0</v>
      </c>
      <c r="H150" s="61" t="str">
        <f>VLOOKUP(D150,'2.Bookinglist'!A:CT,15,FALSE)</f>
        <v>THBKK</v>
      </c>
      <c r="I150" s="61" t="str">
        <f>VLOOKUP(D150,'2.Bookinglist'!A:CT,19,FALSE)</f>
        <v>VNSGN</v>
      </c>
      <c r="J150" s="61">
        <f>VLOOKUP(D150,'2.Bookinglist'!A:CT,26,FALSE)</f>
        <v>0</v>
      </c>
      <c r="K150" s="61" t="str">
        <f>VLOOKUP(A150,'1.Loading'!A:R,5,FALSE)</f>
        <v>22GP</v>
      </c>
      <c r="L150" s="60" t="str">
        <f>VLOOKUP(D150,'2.Bookinglist'!A:CT,85,FALSE)</f>
        <v>CY/CY</v>
      </c>
      <c r="M150" s="60" t="str">
        <f>IF(VLOOKUP(D150,'2.Bookinglist'!A:CT,43,FALSE)=0,"","DG")</f>
        <v/>
      </c>
      <c r="N150" s="60" t="str">
        <f>IF(RIGHT(K150,2)="RE","RF","")</f>
        <v/>
      </c>
      <c r="O150" s="61" t="str">
        <f>VLOOKUP(A150,'1.Loading'!A:R,3,FALSE)</f>
        <v>SWSP</v>
      </c>
      <c r="P150" s="61" t="str">
        <f>VLOOKUP(A150,'1.Loading'!A:R,4,FALSE)</f>
        <v>2609N</v>
      </c>
      <c r="Q150" s="61" t="str">
        <f>VLOOKUP(D150,'2.Bookinglist'!A:CT,12,FALSE)</f>
        <v>BTS</v>
      </c>
      <c r="R150" s="60" t="str">
        <f>IF(LEFT(K150,2)="22","20'","40'")</f>
        <v>20'</v>
      </c>
      <c r="S150" s="185" t="n"/>
      <c r="T150" s="61" t="str">
        <f>VLOOKUP(A150,'1.Loading'!A:R,2,FALSE)</f>
        <v>2026-10-08</v>
      </c>
      <c r="U150" s="63">
        <f>T150-S150</f>
        <v>46303</v>
      </c>
      <c r="V150" s="186" t="n"/>
      <c r="W150" s="61" t="str">
        <f>VLOOKUP(A150,'3.GateMove'!A:D,4,FALSE)</f>
        <v>2026-09-28</v>
      </c>
      <c r="X150" s="63">
        <f>((T150-W150)+1)</f>
        <v>11</v>
      </c>
      <c r="Y150" s="64">
        <f>IF(AND(OR(C150="BKK01",C150="BKK04"),L150="CFS/CY"),0,IF(M150="DG",1,IF(LEFT(C150,3)="LCH",7,IF(C150="BKK02",5,3))))</f>
        <v>3</v>
      </c>
      <c r="Z150" s="63">
        <f>IF(IF(AND(AC150="TML",AB150&gt;0),((T150-W150)+1)-AB150,((T150-W150)+1)-Y150)&gt;0,IF(AND(AC150="TML",AB150&gt;0),((T150-W150)+1)-AB150,((T150-W150)+1)-Y150),0)</f>
        <v>8</v>
      </c>
      <c r="AA150" s="187">
        <f>IF(AND(B150="G1",M150=""),IF(R150="20'",
VLOOKUP(Z150,Charge!$K$2:$M$5,2,TRUE)+(Z150-VLOOKUP(Z150,Charge!$K$2:$M$5,1,TRUE))*VLOOKUP(Z150,Charge!$K$2:$M$5,3,TRUE),
VLOOKUP(Z150,Charge!$N$2:$P$5,2,TRUE)+(Z150-VLOOKUP(Z150,Charge!$N$2:$P$5,1,TRUE))*VLOOKUP(Z150,Charge!$N$2:$P$5,3,TRUE)),
IF(AND(B150="G1",M150="DG"),IF(R150="20'",
VLOOKUP(Z150,Charge!$R$2:$T$5,2,TRUE)+(Z150-VLOOKUP(Z150,Charge!$R$2:$T$5,1,TRUE))*VLOOKUP(Z150,Charge!$R$2:$T$5,3,TRUE),
VLOOKUP(Z150,Charge!$U$2:$W$5,2,TRUE)+(Z150-VLOOKUP(Z150,Charge!$U$2:$W$5,1,TRUE))*VLOOKUP(Z150,Charge!$U$2:$W$5,3,TRUE)),
IF(AND(B150="G3",M150=""),IF(R150="20'",
VLOOKUP(Z150,Charge!$K$18:$M$21,2,TRUE)+(Z150-VLOOKUP(Z150,Charge!$K$18:$M$21,1,TRUE))*VLOOKUP(Z150,Charge!$K$18:$M$21,3,TRUE),
VLOOKUP(Z150,Charge!$N$18:$P$21,2,TRUE)+(Z150-VLOOKUP(Z150,Charge!$N$18:$P$21,1,TRUE))*VLOOKUP(Z150,Charge!$N$18:$P$21,3,TRUE)),
IF(AND(B150="G3",M150="DG"),IF(R150="20'",
VLOOKUP(Z150,Charge!$R$18:$T$21,2,TRUE)+(Z150-VLOOKUP(Z150,Charge!$R$18:$T$21,1,TRUE))*VLOOKUP(Z150,Charge!$R$18:$T$21,3,TRUE),
VLOOKUP(Z150,Charge!$U$18:$W$21,2,TRUE)+(Z150-VLOOKUP(Z150,Charge!$U$18:$W$21,1,TRUE))*VLOOKUP(Z150,Charge!$U$18:$W$21,3,TRUE)),
IF(AND(B150="G2",M150=""),IF(R150="20'",
VLOOKUP(Z150,Charge!$K$9:$M$12,2,TRUE)+(Z150-VLOOKUP(Z150,Charge!$K$9:$M$12,1,TRUE))*VLOOKUP(Z150,Charge!$K$9:$M$12,3,TRUE),
VLOOKUP(Z150,Charge!$N$9:$P$12,2,TRUE)+(Z150-VLOOKUP(Z150,Charge!$N$9:$P$12,1,TRUE))*VLOOKUP(Z150,Charge!$N$9:$P$12,3,TRUE)),
IF(AND(B150="G2",M150="DG"),IF(R150="20'",
VLOOKUP(Z150,Charge!$R$9:$T$12,2,TRUE)+(Z150-VLOOKUP(Z150,Charge!$R$9:$T$12,1,TRUE))*VLOOKUP(Z150,Charge!$R$9:$T$12,3,TRUE),
VLOOKUP(Z150,Charge!$U$9:$W$12,2,TRUE)+(Z150-VLOOKUP(Z150,Charge!$U$9:$W$12,1,TRUE))*VLOOKUP(Z150,Charge!$U$9:$W$12,3,TRUE)),IF(AND(B150="G4",M150=""),IF(R150="20'",Z150*Charge!$M$25,Z150*Charge!$P$25),IF(AND(B150="G4",M150="DG"),IF(R150="20'",Z150*Charge!$T$25,Z150*Charge!$W$25),0))))))))</f>
        <v>1395</v>
      </c>
      <c r="AB150" s="184" t="n"/>
      <c r="AC150" s="184" t="n"/>
      <c r="AD150" s="60">
        <f>IF(M150="DG",3,IF(N150="RF",3,5))+IF(AND(LEFT(C150,3)="BKK",N150="RF",Q150="KTS"),1,0)+IF(Q150="KHS",1,0)</f>
        <v>5</v>
      </c>
      <c r="AE150" s="63">
        <f>(T150-V150)+1</f>
        <v>46304</v>
      </c>
      <c r="AF150" s="63">
        <f>IF(AB150&gt;IF((V150-W150)&gt;0,V150-W150,0),0,IF(AB150&lt;IF((V150-W150)&gt;0,V150-W150,0),IF((V150-W150)&gt;0,V150-W150,0)-AB150,IF((V150-W150)&gt;0,V150-W150,0)))</f>
        <v>0</v>
      </c>
      <c r="AG150" s="187">
        <f>IF(AND(M150=""),IF(R150="20'",
VLOOKUP(AF150,Charge!$K$31:$M$34,2,TRUE)+(AF150-VLOOKUP(AF150,Charge!$K$31:$M$34,1,TRUE))*VLOOKUP(AF150,Charge!$K$31:$M$34,3,TRUE),
VLOOKUP(AF150,Charge!$N$31:$P$34,2,TRUE)+(AF150-VLOOKUP(AF150,Charge!$N$31:$P$34,1,TRUE))*VLOOKUP(AF150,Charge!$N$31:$P$34,3,TRUE)),
IF(AND(M150="DG"),IF(R150="20'",
VLOOKUP(AF150,Charge!$R$31:$T$34,2,TRUE)+(AF150-VLOOKUP(AF150,Charge!$R$31:$T$34,1,TRUE))*VLOOKUP(AF150,Charge!$R$31:$T$34,3,TRUE),
VLOOKUP(AF150,Charge!$U$31:$W$34,2,TRUE)+(AF150-VLOOKUP(AF150,Charge!$U$31:$W$34,1,TRUE))*VLOOKUP(AF150,Charge!$U$31:$W$34,3,TRUE)),0))</f>
        <v>0</v>
      </c>
      <c r="AH150" s="65" t="n"/>
      <c r="AI150" s="65">
        <f>AA150-AH150</f>
        <v>1395</v>
      </c>
      <c r="AJ150" s="188" t="n"/>
      <c r="AK150" s="62" t="str">
        <f>VLOOKUP(D150,'2.Bookinglist'!A:CT,40,FALSE)</f>
        <v>Kanokporn</v>
      </c>
      <c r="AL150" s="60" t="str">
        <f>VLOOKUP(D150,'2.Bookinglist'!A:CW,101,FALSE)</f>
        <v>2026-10-07</v>
      </c>
      <c r="AM150" s="60" t="str">
        <f>VLOOKUP(D150,'2.Bookinglist'!A:BK,63,FALSE)</f>
        <v>BKK27</v>
      </c>
      <c r="AN150" s="62" t="str">
        <f>VLOOKUP(D150,'2.Bookinglist'!A:AZ,52,FALSE)</f>
        <v>Pickup : 2026-09-26, Return : 2026-09-28 </v>
      </c>
      <c r="AO150" s="62" t="str">
        <f>VLOOKUP(D150,'2.Bookinglist'!A:CY,103,FALSE)</f>
        <v>ROLL OVER FROM PREVIOUS VSL KMBK 2611N BY ALLOCATION TEAM MS.TARN APPROVED COST IS UNDER HAL DD.01/10</v>
      </c>
    </row>
    <row r="151" ht="12.95" customHeight="1">
      <c r="A151" s="96" t="inlineStr">
        <is>
          <t>SKLU2019012</t>
        </is>
      </c>
      <c r="B151" s="184" t="str">
        <f>IF(C151=Charge!$M$1,Charge!$J$1,IF(C151=Charge!$M$23,Charge!$J$23,IF(C151=Charge!$M$17,Charge!$J$17,IF(C151=Charge!$N$17,Charge!$J$17,Charge!$J$7))))</f>
        <v>G3</v>
      </c>
      <c r="C151" s="61" t="str">
        <f>VLOOKUP(A151,'1.Loading'!A:R,14,FALSE)</f>
        <v>BKK04</v>
      </c>
      <c r="D151" s="61" t="str">
        <f>VLOOKUP(A151,'1.Loading'!A:R,17,FALSE)</f>
        <v>HASLS22260801914</v>
      </c>
      <c r="E151" s="62" t="str">
        <f>VLOOKUP(D151,'2.Bookinglist'!A:CT,27,FALSE)</f>
        <v>DP WORLD LOGISTICS SOLUTIONS (THAILAND) COMPANY LIMITED</v>
      </c>
      <c r="F151" s="62" t="str">
        <f>VLOOKUP(D151,'2.Bookinglist'!A:CT,28,FALSE)</f>
        <v>DP WORLD LOGISTICS SOLUTIONS (THAILAND) COMPANY LIMITED</v>
      </c>
      <c r="G151" s="60">
        <f>VLOOKUP(D151,'2.Bookinglist'!A:E,5,FALSE)</f>
        <v>0</v>
      </c>
      <c r="H151" s="61" t="str">
        <f>VLOOKUP(D151,'2.Bookinglist'!A:CT,15,FALSE)</f>
        <v>THBKK</v>
      </c>
      <c r="I151" s="61" t="str">
        <f>VLOOKUP(D151,'2.Bookinglist'!A:CT,19,FALSE)</f>
        <v>KRPTK</v>
      </c>
      <c r="J151" s="61">
        <f>VLOOKUP(D151,'2.Bookinglist'!A:CT,26,FALSE)</f>
        <v>0</v>
      </c>
      <c r="K151" s="61" t="str">
        <f>VLOOKUP(A151,'1.Loading'!A:R,5,FALSE)</f>
        <v>22GP</v>
      </c>
      <c r="L151" s="60" t="str">
        <f>VLOOKUP(D151,'2.Bookinglist'!A:CT,85,FALSE)</f>
        <v>CY/CY</v>
      </c>
      <c r="M151" s="60" t="str">
        <f>IF(VLOOKUP(D151,'2.Bookinglist'!A:CT,43,FALSE)=0,"","DG")</f>
        <v/>
      </c>
      <c r="N151" s="60" t="str">
        <f>IF(RIGHT(K151,2)="RE","RF","")</f>
        <v/>
      </c>
      <c r="O151" s="61" t="str">
        <f>VLOOKUP(A151,'1.Loading'!A:R,3,FALSE)</f>
        <v>SWSP</v>
      </c>
      <c r="P151" s="61" t="str">
        <f>VLOOKUP(A151,'1.Loading'!A:R,4,FALSE)</f>
        <v>2609N</v>
      </c>
      <c r="Q151" s="61" t="str">
        <f>VLOOKUP(D151,'2.Bookinglist'!A:CT,12,FALSE)</f>
        <v>BTS</v>
      </c>
      <c r="R151" s="60" t="str">
        <f>IF(LEFT(K151,2)="22","20'","40'")</f>
        <v>20'</v>
      </c>
      <c r="S151" s="185" t="n"/>
      <c r="T151" s="61" t="str">
        <f>VLOOKUP(A151,'1.Loading'!A:R,2,FALSE)</f>
        <v>2026-10-08</v>
      </c>
      <c r="U151" s="63">
        <f>T151-S151</f>
        <v>46303</v>
      </c>
      <c r="V151" s="186" t="n"/>
      <c r="W151" s="61" t="str">
        <f>VLOOKUP(A151,'3.GateMove'!A:D,4,FALSE)</f>
        <v>2026-09-19</v>
      </c>
      <c r="X151" s="63">
        <f>((T151-W151)+1)</f>
        <v>20</v>
      </c>
      <c r="Y151" s="64">
        <f>IF(AND(OR(C151="BKK01",C151="BKK04"),L151="CFS/CY"),0,IF(M151="DG",1,IF(LEFT(C151,3)="LCH",7,IF(C151="BKK02",5,3))))</f>
        <v>3</v>
      </c>
      <c r="Z151" s="63">
        <f>IF(IF(AND(AC151="TML",AB151&gt;0),((T151-W151)+1)-AB151,((T151-W151)+1)-Y151)&gt;0,IF(AND(AC151="TML",AB151&gt;0),((T151-W151)+1)-AB151,((T151-W151)+1)-Y151),0)</f>
        <v>17</v>
      </c>
      <c r="AA151" s="187">
        <f>IF(AND(B151="G1",M151=""),IF(R151="20'",
VLOOKUP(Z151,Charge!$K$2:$M$5,2,TRUE)+(Z151-VLOOKUP(Z151,Charge!$K$2:$M$5,1,TRUE))*VLOOKUP(Z151,Charge!$K$2:$M$5,3,TRUE),
VLOOKUP(Z151,Charge!$N$2:$P$5,2,TRUE)+(Z151-VLOOKUP(Z151,Charge!$N$2:$P$5,1,TRUE))*VLOOKUP(Z151,Charge!$N$2:$P$5,3,TRUE)),
IF(AND(B151="G1",M151="DG"),IF(R151="20'",
VLOOKUP(Z151,Charge!$R$2:$T$5,2,TRUE)+(Z151-VLOOKUP(Z151,Charge!$R$2:$T$5,1,TRUE))*VLOOKUP(Z151,Charge!$R$2:$T$5,3,TRUE),
VLOOKUP(Z151,Charge!$U$2:$W$5,2,TRUE)+(Z151-VLOOKUP(Z151,Charge!$U$2:$W$5,1,TRUE))*VLOOKUP(Z151,Charge!$U$2:$W$5,3,TRUE)),
IF(AND(B151="G3",M151=""),IF(R151="20'",
VLOOKUP(Z151,Charge!$K$18:$M$21,2,TRUE)+(Z151-VLOOKUP(Z151,Charge!$K$18:$M$21,1,TRUE))*VLOOKUP(Z151,Charge!$K$18:$M$21,3,TRUE),
VLOOKUP(Z151,Charge!$N$18:$P$21,2,TRUE)+(Z151-VLOOKUP(Z151,Charge!$N$18:$P$21,1,TRUE))*VLOOKUP(Z151,Charge!$N$18:$P$21,3,TRUE)),
IF(AND(B151="G3",M151="DG"),IF(R151="20'",
VLOOKUP(Z151,Charge!$R$18:$T$21,2,TRUE)+(Z151-VLOOKUP(Z151,Charge!$R$18:$T$21,1,TRUE))*VLOOKUP(Z151,Charge!$R$18:$T$21,3,TRUE),
VLOOKUP(Z151,Charge!$U$18:$W$21,2,TRUE)+(Z151-VLOOKUP(Z151,Charge!$U$18:$W$21,1,TRUE))*VLOOKUP(Z151,Charge!$U$18:$W$21,3,TRUE)),
IF(AND(B151="G2",M151=""),IF(R151="20'",
VLOOKUP(Z151,Charge!$K$9:$M$12,2,TRUE)+(Z151-VLOOKUP(Z151,Charge!$K$9:$M$12,1,TRUE))*VLOOKUP(Z151,Charge!$K$9:$M$12,3,TRUE),
VLOOKUP(Z151,Charge!$N$9:$P$12,2,TRUE)+(Z151-VLOOKUP(Z151,Charge!$N$9:$P$12,1,TRUE))*VLOOKUP(Z151,Charge!$N$9:$P$12,3,TRUE)),
IF(AND(B151="G2",M151="DG"),IF(R151="20'",
VLOOKUP(Z151,Charge!$R$9:$T$12,2,TRUE)+(Z151-VLOOKUP(Z151,Charge!$R$9:$T$12,1,TRUE))*VLOOKUP(Z151,Charge!$R$9:$T$12,3,TRUE),
VLOOKUP(Z151,Charge!$U$9:$W$12,2,TRUE)+(Z151-VLOOKUP(Z151,Charge!$U$9:$W$12,1,TRUE))*VLOOKUP(Z151,Charge!$U$9:$W$12,3,TRUE)),IF(AND(B151="G4",M151=""),IF(R151="20'",Z151*Charge!$M$25,Z151*Charge!$P$25),IF(AND(B151="G4",M151="DG"),IF(R151="20'",Z151*Charge!$T$25,Z151*Charge!$W$25),0))))))))</f>
        <v>4215</v>
      </c>
      <c r="AB151" s="184" t="n"/>
      <c r="AC151" s="184" t="n"/>
      <c r="AD151" s="60">
        <f>IF(M151="DG",3,IF(N151="RF",3,5))+IF(AND(LEFT(C151,3)="BKK",N151="RF",Q151="KTS"),1,0)+IF(Q151="KHS",1,0)</f>
        <v>5</v>
      </c>
      <c r="AE151" s="63">
        <f>(T151-V151)+1</f>
        <v>46304</v>
      </c>
      <c r="AF151" s="63">
        <f>IF(AB151&gt;IF((V151-W151)&gt;0,V151-W151,0),0,IF(AB151&lt;IF((V151-W151)&gt;0,V151-W151,0),IF((V151-W151)&gt;0,V151-W151,0)-AB151,IF((V151-W151)&gt;0,V151-W151,0)))</f>
        <v>0</v>
      </c>
      <c r="AG151" s="187">
        <f>IF(AND(M151=""),IF(R151="20'",
VLOOKUP(AF151,Charge!$K$31:$M$34,2,TRUE)+(AF151-VLOOKUP(AF151,Charge!$K$31:$M$34,1,TRUE))*VLOOKUP(AF151,Charge!$K$31:$M$34,3,TRUE),
VLOOKUP(AF151,Charge!$N$31:$P$34,2,TRUE)+(AF151-VLOOKUP(AF151,Charge!$N$31:$P$34,1,TRUE))*VLOOKUP(AF151,Charge!$N$31:$P$34,3,TRUE)),
IF(AND(M151="DG"),IF(R151="20'",
VLOOKUP(AF151,Charge!$R$31:$T$34,2,TRUE)+(AF151-VLOOKUP(AF151,Charge!$R$31:$T$34,1,TRUE))*VLOOKUP(AF151,Charge!$R$31:$T$34,3,TRUE),
VLOOKUP(AF151,Charge!$U$31:$W$34,2,TRUE)+(AF151-VLOOKUP(AF151,Charge!$U$31:$W$34,1,TRUE))*VLOOKUP(AF151,Charge!$U$31:$W$34,3,TRUE)),0))</f>
        <v>0</v>
      </c>
      <c r="AH151" s="65" t="n"/>
      <c r="AI151" s="65">
        <f>AA151-AH151</f>
        <v>4215</v>
      </c>
      <c r="AJ151" s="188" t="n"/>
      <c r="AK151" s="62" t="str">
        <f>VLOOKUP(D151,'2.Bookinglist'!A:CT,40,FALSE)</f>
        <v>Nannaapust Sukporntaweewat</v>
      </c>
      <c r="AL151" s="60" t="str">
        <f>VLOOKUP(D151,'2.Bookinglist'!A:CW,101,FALSE)</f>
        <v>2026-10-05</v>
      </c>
      <c r="AM151" s="60" t="str">
        <f>VLOOKUP(D151,'2.Bookinglist'!A:BK,63,FALSE)</f>
        <v>BKK27</v>
      </c>
      <c r="AN151" s="62" t="str">
        <f>VLOOKUP(D151,'2.Bookinglist'!A:AZ,52,FALSE)</f>
        <v>** APPROVED BY H.W KANG DD.28/09/2026 ** *FLEXIBAG ONDECK*
Servey : 17/09/2026, Pickup : 18/09/2026, Return : 21/09/2026 *EXTEND CLS TIME : 22/09/2026 @06.00* </v>
      </c>
      <c r="AO151" s="62" t="str">
        <f>VLOOKUP(D151,'2.Bookinglist'!A:CY,103,FALSE)</f>
        <v>ROLL OVER FROM PREVIOUS VSL SWMM 2609N BY ALLOCATION TEAM MS.TARN APRPOVED COST IS UNDER HA DD.21/09</v>
      </c>
    </row>
    <row r="152" ht="12.95" customHeight="1">
      <c r="A152" s="96" t="inlineStr">
        <is>
          <t>SKLU2022910</t>
        </is>
      </c>
      <c r="B152" s="184" t="str">
        <f>IF(C152=Charge!$M$1,Charge!$J$1,IF(C152=Charge!$M$23,Charge!$J$23,IF(C152=Charge!$M$17,Charge!$J$17,IF(C152=Charge!$N$17,Charge!$J$17,Charge!$J$7))))</f>
        <v>G3</v>
      </c>
      <c r="C152" s="61" t="str">
        <f>VLOOKUP(A152,'1.Loading'!A:R,14,FALSE)</f>
        <v>BKK04</v>
      </c>
      <c r="D152" s="61" t="str">
        <f>VLOOKUP(A152,'1.Loading'!A:R,17,FALSE)</f>
        <v>HASLS22260801914</v>
      </c>
      <c r="E152" s="62" t="str">
        <f>VLOOKUP(D152,'2.Bookinglist'!A:CT,27,FALSE)</f>
        <v>DP WORLD LOGISTICS SOLUTIONS (THAILAND) COMPANY LIMITED</v>
      </c>
      <c r="F152" s="62" t="str">
        <f>VLOOKUP(D152,'2.Bookinglist'!A:CT,28,FALSE)</f>
        <v>DP WORLD LOGISTICS SOLUTIONS (THAILAND) COMPANY LIMITED</v>
      </c>
      <c r="G152" s="60">
        <f>VLOOKUP(D152,'2.Bookinglist'!A:E,5,FALSE)</f>
        <v>0</v>
      </c>
      <c r="H152" s="61" t="str">
        <f>VLOOKUP(D152,'2.Bookinglist'!A:CT,15,FALSE)</f>
        <v>THBKK</v>
      </c>
      <c r="I152" s="61" t="str">
        <f>VLOOKUP(D152,'2.Bookinglist'!A:CT,19,FALSE)</f>
        <v>KRPTK</v>
      </c>
      <c r="J152" s="61">
        <f>VLOOKUP(D152,'2.Bookinglist'!A:CT,26,FALSE)</f>
        <v>0</v>
      </c>
      <c r="K152" s="61" t="str">
        <f>VLOOKUP(A152,'1.Loading'!A:R,5,FALSE)</f>
        <v>22GP</v>
      </c>
      <c r="L152" s="60" t="str">
        <f>VLOOKUP(D152,'2.Bookinglist'!A:CT,85,FALSE)</f>
        <v>CY/CY</v>
      </c>
      <c r="M152" s="60" t="str">
        <f>IF(VLOOKUP(D152,'2.Bookinglist'!A:CT,43,FALSE)=0,"","DG")</f>
        <v/>
      </c>
      <c r="N152" s="60" t="str">
        <f>IF(RIGHT(K152,2)="RE","RF","")</f>
        <v/>
      </c>
      <c r="O152" s="61" t="str">
        <f>VLOOKUP(A152,'1.Loading'!A:R,3,FALSE)</f>
        <v>SWSP</v>
      </c>
      <c r="P152" s="61" t="str">
        <f>VLOOKUP(A152,'1.Loading'!A:R,4,FALSE)</f>
        <v>2609N</v>
      </c>
      <c r="Q152" s="61" t="str">
        <f>VLOOKUP(D152,'2.Bookinglist'!A:CT,12,FALSE)</f>
        <v>BTS</v>
      </c>
      <c r="R152" s="60" t="str">
        <f>IF(LEFT(K152,2)="22","20'","40'")</f>
        <v>20'</v>
      </c>
      <c r="S152" s="185" t="n"/>
      <c r="T152" s="61" t="str">
        <f>VLOOKUP(A152,'1.Loading'!A:R,2,FALSE)</f>
        <v>2026-10-08</v>
      </c>
      <c r="U152" s="63">
        <f>T152-S152</f>
        <v>46303</v>
      </c>
      <c r="V152" s="186" t="n"/>
      <c r="W152" s="61" t="str">
        <f>VLOOKUP(A152,'3.GateMove'!A:D,4,FALSE)</f>
        <v>2026-09-21</v>
      </c>
      <c r="X152" s="63">
        <f>((T152-W152)+1)</f>
        <v>18</v>
      </c>
      <c r="Y152" s="64">
        <f>IF(AND(OR(C152="BKK01",C152="BKK04"),L152="CFS/CY"),0,IF(M152="DG",1,IF(LEFT(C152,3)="LCH",7,IF(C152="BKK02",5,3))))</f>
        <v>3</v>
      </c>
      <c r="Z152" s="63">
        <f>IF(IF(AND(AC152="TML",AB152&gt;0),((T152-W152)+1)-AB152,((T152-W152)+1)-Y152)&gt;0,IF(AND(AC152="TML",AB152&gt;0),((T152-W152)+1)-AB152,((T152-W152)+1)-Y152),0)</f>
        <v>15</v>
      </c>
      <c r="AA152" s="187">
        <f>IF(AND(B152="G1",M152=""),IF(R152="20'",
VLOOKUP(Z152,Charge!$K$2:$M$5,2,TRUE)+(Z152-VLOOKUP(Z152,Charge!$K$2:$M$5,1,TRUE))*VLOOKUP(Z152,Charge!$K$2:$M$5,3,TRUE),
VLOOKUP(Z152,Charge!$N$2:$P$5,2,TRUE)+(Z152-VLOOKUP(Z152,Charge!$N$2:$P$5,1,TRUE))*VLOOKUP(Z152,Charge!$N$2:$P$5,3,TRUE)),
IF(AND(B152="G1",M152="DG"),IF(R152="20'",
VLOOKUP(Z152,Charge!$R$2:$T$5,2,TRUE)+(Z152-VLOOKUP(Z152,Charge!$R$2:$T$5,1,TRUE))*VLOOKUP(Z152,Charge!$R$2:$T$5,3,TRUE),
VLOOKUP(Z152,Charge!$U$2:$W$5,2,TRUE)+(Z152-VLOOKUP(Z152,Charge!$U$2:$W$5,1,TRUE))*VLOOKUP(Z152,Charge!$U$2:$W$5,3,TRUE)),
IF(AND(B152="G3",M152=""),IF(R152="20'",
VLOOKUP(Z152,Charge!$K$18:$M$21,2,TRUE)+(Z152-VLOOKUP(Z152,Charge!$K$18:$M$21,1,TRUE))*VLOOKUP(Z152,Charge!$K$18:$M$21,3,TRUE),
VLOOKUP(Z152,Charge!$N$18:$P$21,2,TRUE)+(Z152-VLOOKUP(Z152,Charge!$N$18:$P$21,1,TRUE))*VLOOKUP(Z152,Charge!$N$18:$P$21,3,TRUE)),
IF(AND(B152="G3",M152="DG"),IF(R152="20'",
VLOOKUP(Z152,Charge!$R$18:$T$21,2,TRUE)+(Z152-VLOOKUP(Z152,Charge!$R$18:$T$21,1,TRUE))*VLOOKUP(Z152,Charge!$R$18:$T$21,3,TRUE),
VLOOKUP(Z152,Charge!$U$18:$W$21,2,TRUE)+(Z152-VLOOKUP(Z152,Charge!$U$18:$W$21,1,TRUE))*VLOOKUP(Z152,Charge!$U$18:$W$21,3,TRUE)),
IF(AND(B152="G2",M152=""),IF(R152="20'",
VLOOKUP(Z152,Charge!$K$9:$M$12,2,TRUE)+(Z152-VLOOKUP(Z152,Charge!$K$9:$M$12,1,TRUE))*VLOOKUP(Z152,Charge!$K$9:$M$12,3,TRUE),
VLOOKUP(Z152,Charge!$N$9:$P$12,2,TRUE)+(Z152-VLOOKUP(Z152,Charge!$N$9:$P$12,1,TRUE))*VLOOKUP(Z152,Charge!$N$9:$P$12,3,TRUE)),
IF(AND(B152="G2",M152="DG"),IF(R152="20'",
VLOOKUP(Z152,Charge!$R$9:$T$12,2,TRUE)+(Z152-VLOOKUP(Z152,Charge!$R$9:$T$12,1,TRUE))*VLOOKUP(Z152,Charge!$R$9:$T$12,3,TRUE),
VLOOKUP(Z152,Charge!$U$9:$W$12,2,TRUE)+(Z152-VLOOKUP(Z152,Charge!$U$9:$W$12,1,TRUE))*VLOOKUP(Z152,Charge!$U$9:$W$12,3,TRUE)),IF(AND(B152="G4",M152=""),IF(R152="20'",Z152*Charge!$M$25,Z152*Charge!$P$25),IF(AND(B152="G4",M152="DG"),IF(R152="20'",Z152*Charge!$T$25,Z152*Charge!$W$25),0))))))))</f>
        <v>3435</v>
      </c>
      <c r="AB152" s="184" t="n"/>
      <c r="AC152" s="184" t="n"/>
      <c r="AD152" s="60">
        <f>IF(M152="DG",3,IF(N152="RF",3,5))+IF(AND(LEFT(C152,3)="BKK",N152="RF",Q152="KTS"),1,0)+IF(Q152="KHS",1,0)</f>
        <v>5</v>
      </c>
      <c r="AE152" s="63">
        <f>(T152-V152)+1</f>
        <v>46304</v>
      </c>
      <c r="AF152" s="63">
        <f>IF(AB152&gt;IF((V152-W152)&gt;0,V152-W152,0),0,IF(AB152&lt;IF((V152-W152)&gt;0,V152-W152,0),IF((V152-W152)&gt;0,V152-W152,0)-AB152,IF((V152-W152)&gt;0,V152-W152,0)))</f>
        <v>0</v>
      </c>
      <c r="AG152" s="187">
        <f>IF(AND(M152=""),IF(R152="20'",
VLOOKUP(AF152,Charge!$K$31:$M$34,2,TRUE)+(AF152-VLOOKUP(AF152,Charge!$K$31:$M$34,1,TRUE))*VLOOKUP(AF152,Charge!$K$31:$M$34,3,TRUE),
VLOOKUP(AF152,Charge!$N$31:$P$34,2,TRUE)+(AF152-VLOOKUP(AF152,Charge!$N$31:$P$34,1,TRUE))*VLOOKUP(AF152,Charge!$N$31:$P$34,3,TRUE)),
IF(AND(M152="DG"),IF(R152="20'",
VLOOKUP(AF152,Charge!$R$31:$T$34,2,TRUE)+(AF152-VLOOKUP(AF152,Charge!$R$31:$T$34,1,TRUE))*VLOOKUP(AF152,Charge!$R$31:$T$34,3,TRUE),
VLOOKUP(AF152,Charge!$U$31:$W$34,2,TRUE)+(AF152-VLOOKUP(AF152,Charge!$U$31:$W$34,1,TRUE))*VLOOKUP(AF152,Charge!$U$31:$W$34,3,TRUE)),0))</f>
        <v>0</v>
      </c>
      <c r="AH152" s="65" t="n"/>
      <c r="AI152" s="65">
        <f>AA152-AH152</f>
        <v>3435</v>
      </c>
      <c r="AJ152" s="188" t="n"/>
      <c r="AK152" s="62" t="str">
        <f>VLOOKUP(D152,'2.Bookinglist'!A:CT,40,FALSE)</f>
        <v>Nannaapust Sukporntaweewat</v>
      </c>
      <c r="AL152" s="60" t="str">
        <f>VLOOKUP(D152,'2.Bookinglist'!A:CW,101,FALSE)</f>
        <v>2026-10-05</v>
      </c>
      <c r="AM152" s="60" t="str">
        <f>VLOOKUP(D152,'2.Bookinglist'!A:BK,63,FALSE)</f>
        <v>BKK27</v>
      </c>
      <c r="AN152" s="62" t="str">
        <f>VLOOKUP(D152,'2.Bookinglist'!A:AZ,52,FALSE)</f>
        <v>** APPROVED BY H.W KANG DD.28/09/2026 ** *FLEXIBAG ONDECK*
Servey : 17/09/2026, Pickup : 18/09/2026, Return : 21/09/2026 *EXTEND CLS TIME : 22/09/2026 @06.00* </v>
      </c>
      <c r="AO152" s="62" t="str">
        <f>VLOOKUP(D152,'2.Bookinglist'!A:CY,103,FALSE)</f>
        <v>ROLL OVER FROM PREVIOUS VSL SWMM 2609N BY ALLOCATION TEAM MS.TARN APRPOVED COST IS UNDER HA DD.21/09</v>
      </c>
    </row>
    <row r="153" ht="12.95" customHeight="1">
      <c r="A153" s="96" t="inlineStr">
        <is>
          <t>SKLU2027511</t>
        </is>
      </c>
      <c r="B153" s="184" t="str">
        <f>IF(C153=Charge!$M$1,Charge!$J$1,IF(C153=Charge!$M$23,Charge!$J$23,IF(C153=Charge!$M$17,Charge!$J$17,IF(C153=Charge!$N$17,Charge!$J$17,Charge!$J$7))))</f>
        <v>G3</v>
      </c>
      <c r="C153" s="61" t="str">
        <f>VLOOKUP(A153,'1.Loading'!A:R,14,FALSE)</f>
        <v>BKK04</v>
      </c>
      <c r="D153" s="61" t="str">
        <f>VLOOKUP(A153,'1.Loading'!A:R,17,FALSE)</f>
        <v>HASLS22260801914</v>
      </c>
      <c r="E153" s="62" t="str">
        <f>VLOOKUP(D153,'2.Bookinglist'!A:CT,27,FALSE)</f>
        <v>DP WORLD LOGISTICS SOLUTIONS (THAILAND) COMPANY LIMITED</v>
      </c>
      <c r="F153" s="62" t="str">
        <f>VLOOKUP(D153,'2.Bookinglist'!A:CT,28,FALSE)</f>
        <v>DP WORLD LOGISTICS SOLUTIONS (THAILAND) COMPANY LIMITED</v>
      </c>
      <c r="G153" s="60">
        <f>VLOOKUP(D153,'2.Bookinglist'!A:E,5,FALSE)</f>
        <v>0</v>
      </c>
      <c r="H153" s="61" t="str">
        <f>VLOOKUP(D153,'2.Bookinglist'!A:CT,15,FALSE)</f>
        <v>THBKK</v>
      </c>
      <c r="I153" s="61" t="str">
        <f>VLOOKUP(D153,'2.Bookinglist'!A:CT,19,FALSE)</f>
        <v>KRPTK</v>
      </c>
      <c r="J153" s="61">
        <f>VLOOKUP(D153,'2.Bookinglist'!A:CT,26,FALSE)</f>
        <v>0</v>
      </c>
      <c r="K153" s="61" t="str">
        <f>VLOOKUP(A153,'1.Loading'!A:R,5,FALSE)</f>
        <v>22GP</v>
      </c>
      <c r="L153" s="60" t="str">
        <f>VLOOKUP(D153,'2.Bookinglist'!A:CT,85,FALSE)</f>
        <v>CY/CY</v>
      </c>
      <c r="M153" s="60" t="str">
        <f>IF(VLOOKUP(D153,'2.Bookinglist'!A:CT,43,FALSE)=0,"","DG")</f>
        <v/>
      </c>
      <c r="N153" s="60" t="str">
        <f>IF(RIGHT(K153,2)="RE","RF","")</f>
        <v/>
      </c>
      <c r="O153" s="61" t="str">
        <f>VLOOKUP(A153,'1.Loading'!A:R,3,FALSE)</f>
        <v>SWSP</v>
      </c>
      <c r="P153" s="61" t="str">
        <f>VLOOKUP(A153,'1.Loading'!A:R,4,FALSE)</f>
        <v>2609N</v>
      </c>
      <c r="Q153" s="61" t="str">
        <f>VLOOKUP(D153,'2.Bookinglist'!A:CT,12,FALSE)</f>
        <v>BTS</v>
      </c>
      <c r="R153" s="60" t="str">
        <f>IF(LEFT(K153,2)="22","20'","40'")</f>
        <v>20'</v>
      </c>
      <c r="S153" s="185" t="n"/>
      <c r="T153" s="61" t="str">
        <f>VLOOKUP(A153,'1.Loading'!A:R,2,FALSE)</f>
        <v>2026-10-08</v>
      </c>
      <c r="U153" s="63">
        <f>T153-S153</f>
        <v>46303</v>
      </c>
      <c r="V153" s="186" t="n"/>
      <c r="W153" s="61" t="str">
        <f>VLOOKUP(A153,'3.GateMove'!A:D,4,FALSE)</f>
        <v>2026-09-19</v>
      </c>
      <c r="X153" s="63">
        <f>((T153-W153)+1)</f>
        <v>20</v>
      </c>
      <c r="Y153" s="64">
        <f>IF(AND(OR(C153="BKK01",C153="BKK04"),L153="CFS/CY"),0,IF(M153="DG",1,IF(LEFT(C153,3)="LCH",7,IF(C153="BKK02",5,3))))</f>
        <v>3</v>
      </c>
      <c r="Z153" s="63">
        <f>IF(IF(AND(AC153="TML",AB153&gt;0),((T153-W153)+1)-AB153,((T153-W153)+1)-Y153)&gt;0,IF(AND(AC153="TML",AB153&gt;0),((T153-W153)+1)-AB153,((T153-W153)+1)-Y153),0)</f>
        <v>17</v>
      </c>
      <c r="AA153" s="187">
        <f>IF(AND(B153="G1",M153=""),IF(R153="20'",
VLOOKUP(Z153,Charge!$K$2:$M$5,2,TRUE)+(Z153-VLOOKUP(Z153,Charge!$K$2:$M$5,1,TRUE))*VLOOKUP(Z153,Charge!$K$2:$M$5,3,TRUE),
VLOOKUP(Z153,Charge!$N$2:$P$5,2,TRUE)+(Z153-VLOOKUP(Z153,Charge!$N$2:$P$5,1,TRUE))*VLOOKUP(Z153,Charge!$N$2:$P$5,3,TRUE)),
IF(AND(B153="G1",M153="DG"),IF(R153="20'",
VLOOKUP(Z153,Charge!$R$2:$T$5,2,TRUE)+(Z153-VLOOKUP(Z153,Charge!$R$2:$T$5,1,TRUE))*VLOOKUP(Z153,Charge!$R$2:$T$5,3,TRUE),
VLOOKUP(Z153,Charge!$U$2:$W$5,2,TRUE)+(Z153-VLOOKUP(Z153,Charge!$U$2:$W$5,1,TRUE))*VLOOKUP(Z153,Charge!$U$2:$W$5,3,TRUE)),
IF(AND(B153="G3",M153=""),IF(R153="20'",
VLOOKUP(Z153,Charge!$K$18:$M$21,2,TRUE)+(Z153-VLOOKUP(Z153,Charge!$K$18:$M$21,1,TRUE))*VLOOKUP(Z153,Charge!$K$18:$M$21,3,TRUE),
VLOOKUP(Z153,Charge!$N$18:$P$21,2,TRUE)+(Z153-VLOOKUP(Z153,Charge!$N$18:$P$21,1,TRUE))*VLOOKUP(Z153,Charge!$N$18:$P$21,3,TRUE)),
IF(AND(B153="G3",M153="DG"),IF(R153="20'",
VLOOKUP(Z153,Charge!$R$18:$T$21,2,TRUE)+(Z153-VLOOKUP(Z153,Charge!$R$18:$T$21,1,TRUE))*VLOOKUP(Z153,Charge!$R$18:$T$21,3,TRUE),
VLOOKUP(Z153,Charge!$U$18:$W$21,2,TRUE)+(Z153-VLOOKUP(Z153,Charge!$U$18:$W$21,1,TRUE))*VLOOKUP(Z153,Charge!$U$18:$W$21,3,TRUE)),
IF(AND(B153="G2",M153=""),IF(R153="20'",
VLOOKUP(Z153,Charge!$K$9:$M$12,2,TRUE)+(Z153-VLOOKUP(Z153,Charge!$K$9:$M$12,1,TRUE))*VLOOKUP(Z153,Charge!$K$9:$M$12,3,TRUE),
VLOOKUP(Z153,Charge!$N$9:$P$12,2,TRUE)+(Z153-VLOOKUP(Z153,Charge!$N$9:$P$12,1,TRUE))*VLOOKUP(Z153,Charge!$N$9:$P$12,3,TRUE)),
IF(AND(B153="G2",M153="DG"),IF(R153="20'",
VLOOKUP(Z153,Charge!$R$9:$T$12,2,TRUE)+(Z153-VLOOKUP(Z153,Charge!$R$9:$T$12,1,TRUE))*VLOOKUP(Z153,Charge!$R$9:$T$12,3,TRUE),
VLOOKUP(Z153,Charge!$U$9:$W$12,2,TRUE)+(Z153-VLOOKUP(Z153,Charge!$U$9:$W$12,1,TRUE))*VLOOKUP(Z153,Charge!$U$9:$W$12,3,TRUE)),IF(AND(B153="G4",M153=""),IF(R153="20'",Z153*Charge!$M$25,Z153*Charge!$P$25),IF(AND(B153="G4",M153="DG"),IF(R153="20'",Z153*Charge!$T$25,Z153*Charge!$W$25),0))))))))</f>
        <v>4215</v>
      </c>
      <c r="AB153" s="184" t="n"/>
      <c r="AC153" s="184" t="n"/>
      <c r="AD153" s="60">
        <f>IF(M153="DG",3,IF(N153="RF",3,5))+IF(AND(LEFT(C153,3)="BKK",N153="RF",Q153="KTS"),1,0)+IF(Q153="KHS",1,0)</f>
        <v>5</v>
      </c>
      <c r="AE153" s="63">
        <f>(T153-V153)+1</f>
        <v>46304</v>
      </c>
      <c r="AF153" s="63">
        <f>IF(AB153&gt;IF((V153-W153)&gt;0,V153-W153,0),0,IF(AB153&lt;IF((V153-W153)&gt;0,V153-W153,0),IF((V153-W153)&gt;0,V153-W153,0)-AB153,IF((V153-W153)&gt;0,V153-W153,0)))</f>
        <v>0</v>
      </c>
      <c r="AG153" s="187">
        <f>IF(AND(M153=""),IF(R153="20'",
VLOOKUP(AF153,Charge!$K$31:$M$34,2,TRUE)+(AF153-VLOOKUP(AF153,Charge!$K$31:$M$34,1,TRUE))*VLOOKUP(AF153,Charge!$K$31:$M$34,3,TRUE),
VLOOKUP(AF153,Charge!$N$31:$P$34,2,TRUE)+(AF153-VLOOKUP(AF153,Charge!$N$31:$P$34,1,TRUE))*VLOOKUP(AF153,Charge!$N$31:$P$34,3,TRUE)),
IF(AND(M153="DG"),IF(R153="20'",
VLOOKUP(AF153,Charge!$R$31:$T$34,2,TRUE)+(AF153-VLOOKUP(AF153,Charge!$R$31:$T$34,1,TRUE))*VLOOKUP(AF153,Charge!$R$31:$T$34,3,TRUE),
VLOOKUP(AF153,Charge!$U$31:$W$34,2,TRUE)+(AF153-VLOOKUP(AF153,Charge!$U$31:$W$34,1,TRUE))*VLOOKUP(AF153,Charge!$U$31:$W$34,3,TRUE)),0))</f>
        <v>0</v>
      </c>
      <c r="AH153" s="65" t="n"/>
      <c r="AI153" s="65">
        <f>AA153-AH153</f>
        <v>4215</v>
      </c>
      <c r="AJ153" s="188" t="n"/>
      <c r="AK153" s="62" t="str">
        <f>VLOOKUP(D153,'2.Bookinglist'!A:CT,40,FALSE)</f>
        <v>Nannaapust Sukporntaweewat</v>
      </c>
      <c r="AL153" s="60" t="str">
        <f>VLOOKUP(D153,'2.Bookinglist'!A:CW,101,FALSE)</f>
        <v>2026-10-05</v>
      </c>
      <c r="AM153" s="60" t="str">
        <f>VLOOKUP(D153,'2.Bookinglist'!A:BK,63,FALSE)</f>
        <v>BKK27</v>
      </c>
      <c r="AN153" s="62" t="str">
        <f>VLOOKUP(D153,'2.Bookinglist'!A:AZ,52,FALSE)</f>
        <v>** APPROVED BY H.W KANG DD.28/09/2026 ** *FLEXIBAG ONDECK*
Servey : 17/09/2026, Pickup : 18/09/2026, Return : 21/09/2026 *EXTEND CLS TIME : 22/09/2026 @06.00* </v>
      </c>
      <c r="AO153" s="62" t="str">
        <f>VLOOKUP(D153,'2.Bookinglist'!A:CY,103,FALSE)</f>
        <v>ROLL OVER FROM PREVIOUS VSL SWMM 2609N BY ALLOCATION TEAM MS.TARN APRPOVED COST IS UNDER HA DD.21/09</v>
      </c>
    </row>
    <row r="154" ht="12.95" customHeight="1">
      <c r="A154" s="96" t="inlineStr">
        <is>
          <t>SKLU2034439</t>
        </is>
      </c>
      <c r="B154" s="184" t="str">
        <f>IF(C154=Charge!$M$1,Charge!$J$1,IF(C154=Charge!$M$23,Charge!$J$23,IF(C154=Charge!$M$17,Charge!$J$17,IF(C154=Charge!$N$17,Charge!$J$17,Charge!$J$7))))</f>
        <v>G3</v>
      </c>
      <c r="C154" s="61" t="str">
        <f>VLOOKUP(A154,'1.Loading'!A:R,14,FALSE)</f>
        <v>BKK04</v>
      </c>
      <c r="D154" s="61" t="str">
        <f>VLOOKUP(A154,'1.Loading'!A:R,17,FALSE)</f>
        <v>HASLS22260801914</v>
      </c>
      <c r="E154" s="62" t="str">
        <f>VLOOKUP(D154,'2.Bookinglist'!A:CT,27,FALSE)</f>
        <v>DP WORLD LOGISTICS SOLUTIONS (THAILAND) COMPANY LIMITED</v>
      </c>
      <c r="F154" s="62" t="str">
        <f>VLOOKUP(D154,'2.Bookinglist'!A:CT,28,FALSE)</f>
        <v>DP WORLD LOGISTICS SOLUTIONS (THAILAND) COMPANY LIMITED</v>
      </c>
      <c r="G154" s="60">
        <f>VLOOKUP(D154,'2.Bookinglist'!A:E,5,FALSE)</f>
        <v>0</v>
      </c>
      <c r="H154" s="61" t="str">
        <f>VLOOKUP(D154,'2.Bookinglist'!A:CT,15,FALSE)</f>
        <v>THBKK</v>
      </c>
      <c r="I154" s="61" t="str">
        <f>VLOOKUP(D154,'2.Bookinglist'!A:CT,19,FALSE)</f>
        <v>KRPTK</v>
      </c>
      <c r="J154" s="61">
        <f>VLOOKUP(D154,'2.Bookinglist'!A:CT,26,FALSE)</f>
        <v>0</v>
      </c>
      <c r="K154" s="61" t="str">
        <f>VLOOKUP(A154,'1.Loading'!A:R,5,FALSE)</f>
        <v>22GP</v>
      </c>
      <c r="L154" s="60" t="str">
        <f>VLOOKUP(D154,'2.Bookinglist'!A:CT,85,FALSE)</f>
        <v>CY/CY</v>
      </c>
      <c r="M154" s="60" t="str">
        <f>IF(VLOOKUP(D154,'2.Bookinglist'!A:CT,43,FALSE)=0,"","DG")</f>
        <v/>
      </c>
      <c r="N154" s="60" t="str">
        <f>IF(RIGHT(K154,2)="RE","RF","")</f>
        <v/>
      </c>
      <c r="O154" s="61" t="str">
        <f>VLOOKUP(A154,'1.Loading'!A:R,3,FALSE)</f>
        <v>SWSP</v>
      </c>
      <c r="P154" s="61" t="str">
        <f>VLOOKUP(A154,'1.Loading'!A:R,4,FALSE)</f>
        <v>2609N</v>
      </c>
      <c r="Q154" s="61" t="str">
        <f>VLOOKUP(D154,'2.Bookinglist'!A:CT,12,FALSE)</f>
        <v>BTS</v>
      </c>
      <c r="R154" s="60" t="str">
        <f>IF(LEFT(K154,2)="22","20'","40'")</f>
        <v>20'</v>
      </c>
      <c r="S154" s="185" t="n"/>
      <c r="T154" s="61" t="str">
        <f>VLOOKUP(A154,'1.Loading'!A:R,2,FALSE)</f>
        <v>2026-10-08</v>
      </c>
      <c r="U154" s="63">
        <f>T154-S154</f>
        <v>46303</v>
      </c>
      <c r="V154" s="186" t="n"/>
      <c r="W154" s="61" t="str">
        <f>VLOOKUP(A154,'3.GateMove'!A:D,4,FALSE)</f>
        <v>2026-09-19</v>
      </c>
      <c r="X154" s="63">
        <f>((T154-W154)+1)</f>
        <v>20</v>
      </c>
      <c r="Y154" s="64">
        <f>IF(AND(OR(C154="BKK01",C154="BKK04"),L154="CFS/CY"),0,IF(M154="DG",1,IF(LEFT(C154,3)="LCH",7,IF(C154="BKK02",5,3))))</f>
        <v>3</v>
      </c>
      <c r="Z154" s="63">
        <f>IF(IF(AND(AC154="TML",AB154&gt;0),((T154-W154)+1)-AB154,((T154-W154)+1)-Y154)&gt;0,IF(AND(AC154="TML",AB154&gt;0),((T154-W154)+1)-AB154,((T154-W154)+1)-Y154),0)</f>
        <v>17</v>
      </c>
      <c r="AA154" s="187">
        <f>IF(AND(B154="G1",M154=""),IF(R154="20'",
VLOOKUP(Z154,Charge!$K$2:$M$5,2,TRUE)+(Z154-VLOOKUP(Z154,Charge!$K$2:$M$5,1,TRUE))*VLOOKUP(Z154,Charge!$K$2:$M$5,3,TRUE),
VLOOKUP(Z154,Charge!$N$2:$P$5,2,TRUE)+(Z154-VLOOKUP(Z154,Charge!$N$2:$P$5,1,TRUE))*VLOOKUP(Z154,Charge!$N$2:$P$5,3,TRUE)),
IF(AND(B154="G1",M154="DG"),IF(R154="20'",
VLOOKUP(Z154,Charge!$R$2:$T$5,2,TRUE)+(Z154-VLOOKUP(Z154,Charge!$R$2:$T$5,1,TRUE))*VLOOKUP(Z154,Charge!$R$2:$T$5,3,TRUE),
VLOOKUP(Z154,Charge!$U$2:$W$5,2,TRUE)+(Z154-VLOOKUP(Z154,Charge!$U$2:$W$5,1,TRUE))*VLOOKUP(Z154,Charge!$U$2:$W$5,3,TRUE)),
IF(AND(B154="G3",M154=""),IF(R154="20'",
VLOOKUP(Z154,Charge!$K$18:$M$21,2,TRUE)+(Z154-VLOOKUP(Z154,Charge!$K$18:$M$21,1,TRUE))*VLOOKUP(Z154,Charge!$K$18:$M$21,3,TRUE),
VLOOKUP(Z154,Charge!$N$18:$P$21,2,TRUE)+(Z154-VLOOKUP(Z154,Charge!$N$18:$P$21,1,TRUE))*VLOOKUP(Z154,Charge!$N$18:$P$21,3,TRUE)),
IF(AND(B154="G3",M154="DG"),IF(R154="20'",
VLOOKUP(Z154,Charge!$R$18:$T$21,2,TRUE)+(Z154-VLOOKUP(Z154,Charge!$R$18:$T$21,1,TRUE))*VLOOKUP(Z154,Charge!$R$18:$T$21,3,TRUE),
VLOOKUP(Z154,Charge!$U$18:$W$21,2,TRUE)+(Z154-VLOOKUP(Z154,Charge!$U$18:$W$21,1,TRUE))*VLOOKUP(Z154,Charge!$U$18:$W$21,3,TRUE)),
IF(AND(B154="G2",M154=""),IF(R154="20'",
VLOOKUP(Z154,Charge!$K$9:$M$12,2,TRUE)+(Z154-VLOOKUP(Z154,Charge!$K$9:$M$12,1,TRUE))*VLOOKUP(Z154,Charge!$K$9:$M$12,3,TRUE),
VLOOKUP(Z154,Charge!$N$9:$P$12,2,TRUE)+(Z154-VLOOKUP(Z154,Charge!$N$9:$P$12,1,TRUE))*VLOOKUP(Z154,Charge!$N$9:$P$12,3,TRUE)),
IF(AND(B154="G2",M154="DG"),IF(R154="20'",
VLOOKUP(Z154,Charge!$R$9:$T$12,2,TRUE)+(Z154-VLOOKUP(Z154,Charge!$R$9:$T$12,1,TRUE))*VLOOKUP(Z154,Charge!$R$9:$T$12,3,TRUE),
VLOOKUP(Z154,Charge!$U$9:$W$12,2,TRUE)+(Z154-VLOOKUP(Z154,Charge!$U$9:$W$12,1,TRUE))*VLOOKUP(Z154,Charge!$U$9:$W$12,3,TRUE)),IF(AND(B154="G4",M154=""),IF(R154="20'",Z154*Charge!$M$25,Z154*Charge!$P$25),IF(AND(B154="G4",M154="DG"),IF(R154="20'",Z154*Charge!$T$25,Z154*Charge!$W$25),0))))))))</f>
        <v>4215</v>
      </c>
      <c r="AB154" s="184" t="n"/>
      <c r="AC154" s="184" t="n"/>
      <c r="AD154" s="60">
        <f>IF(M154="DG",3,IF(N154="RF",3,5))+IF(AND(LEFT(C154,3)="BKK",N154="RF",Q154="KTS"),1,0)+IF(Q154="KHS",1,0)</f>
        <v>5</v>
      </c>
      <c r="AE154" s="63">
        <f>(T154-V154)+1</f>
        <v>46304</v>
      </c>
      <c r="AF154" s="63">
        <f>IF(AB154&gt;IF((V154-W154)&gt;0,V154-W154,0),0,IF(AB154&lt;IF((V154-W154)&gt;0,V154-W154,0),IF((V154-W154)&gt;0,V154-W154,0)-AB154,IF((V154-W154)&gt;0,V154-W154,0)))</f>
        <v>0</v>
      </c>
      <c r="AG154" s="187">
        <f>IF(AND(M154=""),IF(R154="20'",
VLOOKUP(AF154,Charge!$K$31:$M$34,2,TRUE)+(AF154-VLOOKUP(AF154,Charge!$K$31:$M$34,1,TRUE))*VLOOKUP(AF154,Charge!$K$31:$M$34,3,TRUE),
VLOOKUP(AF154,Charge!$N$31:$P$34,2,TRUE)+(AF154-VLOOKUP(AF154,Charge!$N$31:$P$34,1,TRUE))*VLOOKUP(AF154,Charge!$N$31:$P$34,3,TRUE)),
IF(AND(M154="DG"),IF(R154="20'",
VLOOKUP(AF154,Charge!$R$31:$T$34,2,TRUE)+(AF154-VLOOKUP(AF154,Charge!$R$31:$T$34,1,TRUE))*VLOOKUP(AF154,Charge!$R$31:$T$34,3,TRUE),
VLOOKUP(AF154,Charge!$U$31:$W$34,2,TRUE)+(AF154-VLOOKUP(AF154,Charge!$U$31:$W$34,1,TRUE))*VLOOKUP(AF154,Charge!$U$31:$W$34,3,TRUE)),0))</f>
        <v>0</v>
      </c>
      <c r="AH154" s="65" t="n"/>
      <c r="AI154" s="65">
        <f>AA154-AH154</f>
        <v>4215</v>
      </c>
      <c r="AJ154" s="188" t="n"/>
      <c r="AK154" s="62" t="str">
        <f>VLOOKUP(D154,'2.Bookinglist'!A:CT,40,FALSE)</f>
        <v>Nannaapust Sukporntaweewat</v>
      </c>
      <c r="AL154" s="60" t="str">
        <f>VLOOKUP(D154,'2.Bookinglist'!A:CW,101,FALSE)</f>
        <v>2026-10-05</v>
      </c>
      <c r="AM154" s="60" t="str">
        <f>VLOOKUP(D154,'2.Bookinglist'!A:BK,63,FALSE)</f>
        <v>BKK27</v>
      </c>
      <c r="AN154" s="62" t="str">
        <f>VLOOKUP(D154,'2.Bookinglist'!A:AZ,52,FALSE)</f>
        <v>** APPROVED BY H.W KANG DD.28/09/2026 ** *FLEXIBAG ONDECK*
Servey : 17/09/2026, Pickup : 18/09/2026, Return : 21/09/2026 *EXTEND CLS TIME : 22/09/2026 @06.00* </v>
      </c>
      <c r="AO154" s="62" t="str">
        <f>VLOOKUP(D154,'2.Bookinglist'!A:CY,103,FALSE)</f>
        <v>ROLL OVER FROM PREVIOUS VSL SWMM 2609N BY ALLOCATION TEAM MS.TARN APRPOVED COST IS UNDER HA DD.21/09</v>
      </c>
    </row>
    <row r="155" ht="12.95" customHeight="1">
      <c r="A155" s="96" t="inlineStr">
        <is>
          <t>SKLU2037079</t>
        </is>
      </c>
      <c r="B155" s="184" t="str">
        <f>IF(C155=Charge!$M$1,Charge!$J$1,IF(C155=Charge!$M$23,Charge!$J$23,IF(C155=Charge!$M$17,Charge!$J$17,IF(C155=Charge!$N$17,Charge!$J$17,Charge!$J$7))))</f>
        <v>G3</v>
      </c>
      <c r="C155" s="61" t="str">
        <f>VLOOKUP(A155,'1.Loading'!A:R,14,FALSE)</f>
        <v>BKK04</v>
      </c>
      <c r="D155" s="61" t="str">
        <f>VLOOKUP(A155,'1.Loading'!A:R,17,FALSE)</f>
        <v>HASLS22260900939</v>
      </c>
      <c r="E155" s="62" t="str">
        <f>VLOOKUP(D155,'2.Bookinglist'!A:CT,27,FALSE)</f>
        <v>POLAR STAR CO., LTD.</v>
      </c>
      <c r="F155" s="62" t="str">
        <f>VLOOKUP(D155,'2.Bookinglist'!A:CT,28,FALSE)</f>
        <v>EVERSHINING INGREDIENT CO.,LTD.</v>
      </c>
      <c r="G155" s="60">
        <f>VLOOKUP(D155,'2.Bookinglist'!A:E,5,FALSE)</f>
        <v>0</v>
      </c>
      <c r="H155" s="61" t="str">
        <f>VLOOKUP(D155,'2.Bookinglist'!A:CT,15,FALSE)</f>
        <v>THBKK</v>
      </c>
      <c r="I155" s="61" t="str">
        <f>VLOOKUP(D155,'2.Bookinglist'!A:CT,19,FALSE)</f>
        <v>VNSGN</v>
      </c>
      <c r="J155" s="61">
        <f>VLOOKUP(D155,'2.Bookinglist'!A:CT,26,FALSE)</f>
        <v>0</v>
      </c>
      <c r="K155" s="61" t="str">
        <f>VLOOKUP(A155,'1.Loading'!A:R,5,FALSE)</f>
        <v>22GP</v>
      </c>
      <c r="L155" s="60" t="str">
        <f>VLOOKUP(D155,'2.Bookinglist'!A:CT,85,FALSE)</f>
        <v>CY/CY</v>
      </c>
      <c r="M155" s="60" t="str">
        <f>IF(VLOOKUP(D155,'2.Bookinglist'!A:CT,43,FALSE)=0,"","DG")</f>
        <v/>
      </c>
      <c r="N155" s="60" t="str">
        <f>IF(RIGHT(K155,2)="RE","RF","")</f>
        <v/>
      </c>
      <c r="O155" s="61" t="str">
        <f>VLOOKUP(A155,'1.Loading'!A:R,3,FALSE)</f>
        <v>SWSP</v>
      </c>
      <c r="P155" s="61" t="str">
        <f>VLOOKUP(A155,'1.Loading'!A:R,4,FALSE)</f>
        <v>2609N</v>
      </c>
      <c r="Q155" s="61" t="str">
        <f>VLOOKUP(D155,'2.Bookinglist'!A:CT,12,FALSE)</f>
        <v>BTS</v>
      </c>
      <c r="R155" s="60" t="str">
        <f>IF(LEFT(K155,2)="22","20'","40'")</f>
        <v>20'</v>
      </c>
      <c r="S155" s="185" t="n"/>
      <c r="T155" s="61" t="str">
        <f>VLOOKUP(A155,'1.Loading'!A:R,2,FALSE)</f>
        <v>2026-10-08</v>
      </c>
      <c r="U155" s="63">
        <f>T155-S155</f>
        <v>46303</v>
      </c>
      <c r="V155" s="186" t="n"/>
      <c r="W155" s="61" t="str">
        <f>VLOOKUP(A155,'3.GateMove'!A:D,4,FALSE)</f>
        <v>2026-09-28</v>
      </c>
      <c r="X155" s="63">
        <f>((T155-W155)+1)</f>
        <v>11</v>
      </c>
      <c r="Y155" s="64">
        <f>IF(AND(OR(C155="BKK01",C155="BKK04"),L155="CFS/CY"),0,IF(M155="DG",1,IF(LEFT(C155,3)="LCH",7,IF(C155="BKK02",5,3))))</f>
        <v>3</v>
      </c>
      <c r="Z155" s="63">
        <f>IF(IF(AND(AC155="TML",AB155&gt;0),((T155-W155)+1)-AB155,((T155-W155)+1)-Y155)&gt;0,IF(AND(AC155="TML",AB155&gt;0),((T155-W155)+1)-AB155,((T155-W155)+1)-Y155),0)</f>
        <v>8</v>
      </c>
      <c r="AA155" s="187">
        <f>IF(AND(B155="G1",M155=""),IF(R155="20'",
VLOOKUP(Z155,Charge!$K$2:$M$5,2,TRUE)+(Z155-VLOOKUP(Z155,Charge!$K$2:$M$5,1,TRUE))*VLOOKUP(Z155,Charge!$K$2:$M$5,3,TRUE),
VLOOKUP(Z155,Charge!$N$2:$P$5,2,TRUE)+(Z155-VLOOKUP(Z155,Charge!$N$2:$P$5,1,TRUE))*VLOOKUP(Z155,Charge!$N$2:$P$5,3,TRUE)),
IF(AND(B155="G1",M155="DG"),IF(R155="20'",
VLOOKUP(Z155,Charge!$R$2:$T$5,2,TRUE)+(Z155-VLOOKUP(Z155,Charge!$R$2:$T$5,1,TRUE))*VLOOKUP(Z155,Charge!$R$2:$T$5,3,TRUE),
VLOOKUP(Z155,Charge!$U$2:$W$5,2,TRUE)+(Z155-VLOOKUP(Z155,Charge!$U$2:$W$5,1,TRUE))*VLOOKUP(Z155,Charge!$U$2:$W$5,3,TRUE)),
IF(AND(B155="G3",M155=""),IF(R155="20'",
VLOOKUP(Z155,Charge!$K$18:$M$21,2,TRUE)+(Z155-VLOOKUP(Z155,Charge!$K$18:$M$21,1,TRUE))*VLOOKUP(Z155,Charge!$K$18:$M$21,3,TRUE),
VLOOKUP(Z155,Charge!$N$18:$P$21,2,TRUE)+(Z155-VLOOKUP(Z155,Charge!$N$18:$P$21,1,TRUE))*VLOOKUP(Z155,Charge!$N$18:$P$21,3,TRUE)),
IF(AND(B155="G3",M155="DG"),IF(R155="20'",
VLOOKUP(Z155,Charge!$R$18:$T$21,2,TRUE)+(Z155-VLOOKUP(Z155,Charge!$R$18:$T$21,1,TRUE))*VLOOKUP(Z155,Charge!$R$18:$T$21,3,TRUE),
VLOOKUP(Z155,Charge!$U$18:$W$21,2,TRUE)+(Z155-VLOOKUP(Z155,Charge!$U$18:$W$21,1,TRUE))*VLOOKUP(Z155,Charge!$U$18:$W$21,3,TRUE)),
IF(AND(B155="G2",M155=""),IF(R155="20'",
VLOOKUP(Z155,Charge!$K$9:$M$12,2,TRUE)+(Z155-VLOOKUP(Z155,Charge!$K$9:$M$12,1,TRUE))*VLOOKUP(Z155,Charge!$K$9:$M$12,3,TRUE),
VLOOKUP(Z155,Charge!$N$9:$P$12,2,TRUE)+(Z155-VLOOKUP(Z155,Charge!$N$9:$P$12,1,TRUE))*VLOOKUP(Z155,Charge!$N$9:$P$12,3,TRUE)),
IF(AND(B155="G2",M155="DG"),IF(R155="20'",
VLOOKUP(Z155,Charge!$R$9:$T$12,2,TRUE)+(Z155-VLOOKUP(Z155,Charge!$R$9:$T$12,1,TRUE))*VLOOKUP(Z155,Charge!$R$9:$T$12,3,TRUE),
VLOOKUP(Z155,Charge!$U$9:$W$12,2,TRUE)+(Z155-VLOOKUP(Z155,Charge!$U$9:$W$12,1,TRUE))*VLOOKUP(Z155,Charge!$U$9:$W$12,3,TRUE)),IF(AND(B155="G4",M155=""),IF(R155="20'",Z155*Charge!$M$25,Z155*Charge!$P$25),IF(AND(B155="G4",M155="DG"),IF(R155="20'",Z155*Charge!$T$25,Z155*Charge!$W$25),0))))))))</f>
        <v>1395</v>
      </c>
      <c r="AB155" s="184" t="n"/>
      <c r="AC155" s="184" t="n"/>
      <c r="AD155" s="60">
        <f>IF(M155="DG",3,IF(N155="RF",3,5))+IF(AND(LEFT(C155,3)="BKK",N155="RF",Q155="KTS"),1,0)+IF(Q155="KHS",1,0)</f>
        <v>5</v>
      </c>
      <c r="AE155" s="63">
        <f>(T155-V155)+1</f>
        <v>46304</v>
      </c>
      <c r="AF155" s="63">
        <f>IF(AB155&gt;IF((V155-W155)&gt;0,V155-W155,0),0,IF(AB155&lt;IF((V155-W155)&gt;0,V155-W155,0),IF((V155-W155)&gt;0,V155-W155,0)-AB155,IF((V155-W155)&gt;0,V155-W155,0)))</f>
        <v>0</v>
      </c>
      <c r="AG155" s="187">
        <f>IF(AND(M155=""),IF(R155="20'",
VLOOKUP(AF155,Charge!$K$31:$M$34,2,TRUE)+(AF155-VLOOKUP(AF155,Charge!$K$31:$M$34,1,TRUE))*VLOOKUP(AF155,Charge!$K$31:$M$34,3,TRUE),
VLOOKUP(AF155,Charge!$N$31:$P$34,2,TRUE)+(AF155-VLOOKUP(AF155,Charge!$N$31:$P$34,1,TRUE))*VLOOKUP(AF155,Charge!$N$31:$P$34,3,TRUE)),
IF(AND(M155="DG"),IF(R155="20'",
VLOOKUP(AF155,Charge!$R$31:$T$34,2,TRUE)+(AF155-VLOOKUP(AF155,Charge!$R$31:$T$34,1,TRUE))*VLOOKUP(AF155,Charge!$R$31:$T$34,3,TRUE),
VLOOKUP(AF155,Charge!$U$31:$W$34,2,TRUE)+(AF155-VLOOKUP(AF155,Charge!$U$31:$W$34,1,TRUE))*VLOOKUP(AF155,Charge!$U$31:$W$34,3,TRUE)),0))</f>
        <v>0</v>
      </c>
      <c r="AH155" s="65" t="n"/>
      <c r="AI155" s="65">
        <f>AA155-AH155</f>
        <v>1395</v>
      </c>
      <c r="AJ155" s="188" t="n"/>
      <c r="AK155" s="62" t="str">
        <f>VLOOKUP(D155,'2.Bookinglist'!A:CT,40,FALSE)</f>
        <v>Kanokporn</v>
      </c>
      <c r="AL155" s="60" t="str">
        <f>VLOOKUP(D155,'2.Bookinglist'!A:CW,101,FALSE)</f>
        <v>2026-10-07</v>
      </c>
      <c r="AM155" s="60" t="str">
        <f>VLOOKUP(D155,'2.Bookinglist'!A:BK,63,FALSE)</f>
        <v>BKK27</v>
      </c>
      <c r="AN155" s="62" t="str">
        <f>VLOOKUP(D155,'2.Bookinglist'!A:AZ,52,FALSE)</f>
        <v>Pickup : 2026-09-26, Return : 2026-09-28 </v>
      </c>
      <c r="AO155" s="62" t="str">
        <f>VLOOKUP(D155,'2.Bookinglist'!A:CY,103,FALSE)</f>
        <v>ROLL OVER FROM PREVIOUS VSL KMBK 2611N BY ALLOCATION TEAM MS.TARN APPROVED COST IS UNDER HAL DD.01/10</v>
      </c>
    </row>
    <row r="156" ht="12.95" customHeight="1">
      <c r="A156" s="96" t="inlineStr">
        <is>
          <t>SKLU2039699</t>
        </is>
      </c>
      <c r="B156" s="184" t="str">
        <f>IF(C156=Charge!$M$1,Charge!$J$1,IF(C156=Charge!$M$23,Charge!$J$23,IF(C156=Charge!$M$17,Charge!$J$17,IF(C156=Charge!$N$17,Charge!$J$17,Charge!$J$7))))</f>
        <v>G3</v>
      </c>
      <c r="C156" s="61" t="str">
        <f>VLOOKUP(A156,'1.Loading'!A:R,14,FALSE)</f>
        <v>BKK04</v>
      </c>
      <c r="D156" s="61" t="str">
        <f>VLOOKUP(A156,'1.Loading'!A:R,17,FALSE)</f>
        <v>HASLS22260801914</v>
      </c>
      <c r="E156" s="62" t="str">
        <f>VLOOKUP(D156,'2.Bookinglist'!A:CT,27,FALSE)</f>
        <v>DP WORLD LOGISTICS SOLUTIONS (THAILAND) COMPANY LIMITED</v>
      </c>
      <c r="F156" s="62" t="str">
        <f>VLOOKUP(D156,'2.Bookinglist'!A:CT,28,FALSE)</f>
        <v>DP WORLD LOGISTICS SOLUTIONS (THAILAND) COMPANY LIMITED</v>
      </c>
      <c r="G156" s="60">
        <f>VLOOKUP(D156,'2.Bookinglist'!A:E,5,FALSE)</f>
        <v>0</v>
      </c>
      <c r="H156" s="61" t="str">
        <f>VLOOKUP(D156,'2.Bookinglist'!A:CT,15,FALSE)</f>
        <v>THBKK</v>
      </c>
      <c r="I156" s="61" t="str">
        <f>VLOOKUP(D156,'2.Bookinglist'!A:CT,19,FALSE)</f>
        <v>KRPTK</v>
      </c>
      <c r="J156" s="61">
        <f>VLOOKUP(D156,'2.Bookinglist'!A:CT,26,FALSE)</f>
        <v>0</v>
      </c>
      <c r="K156" s="61" t="str">
        <f>VLOOKUP(A156,'1.Loading'!A:R,5,FALSE)</f>
        <v>22GP</v>
      </c>
      <c r="L156" s="60" t="str">
        <f>VLOOKUP(D156,'2.Bookinglist'!A:CT,85,FALSE)</f>
        <v>CY/CY</v>
      </c>
      <c r="M156" s="60" t="str">
        <f>IF(VLOOKUP(D156,'2.Bookinglist'!A:CT,43,FALSE)=0,"","DG")</f>
        <v/>
      </c>
      <c r="N156" s="60" t="str">
        <f>IF(RIGHT(K156,2)="RE","RF","")</f>
        <v/>
      </c>
      <c r="O156" s="61" t="str">
        <f>VLOOKUP(A156,'1.Loading'!A:R,3,FALSE)</f>
        <v>SWSP</v>
      </c>
      <c r="P156" s="61" t="str">
        <f>VLOOKUP(A156,'1.Loading'!A:R,4,FALSE)</f>
        <v>2609N</v>
      </c>
      <c r="Q156" s="61" t="str">
        <f>VLOOKUP(D156,'2.Bookinglist'!A:CT,12,FALSE)</f>
        <v>BTS</v>
      </c>
      <c r="R156" s="60" t="str">
        <f>IF(LEFT(K156,2)="22","20'","40'")</f>
        <v>20'</v>
      </c>
      <c r="S156" s="185" t="n"/>
      <c r="T156" s="61" t="str">
        <f>VLOOKUP(A156,'1.Loading'!A:R,2,FALSE)</f>
        <v>2026-10-08</v>
      </c>
      <c r="U156" s="63">
        <f>T156-S156</f>
        <v>46303</v>
      </c>
      <c r="V156" s="186" t="n"/>
      <c r="W156" s="61" t="str">
        <f>VLOOKUP(A156,'3.GateMove'!A:D,4,FALSE)</f>
        <v>2026-09-21</v>
      </c>
      <c r="X156" s="63">
        <f>((T156-W156)+1)</f>
        <v>18</v>
      </c>
      <c r="Y156" s="64">
        <f>IF(AND(OR(C156="BKK01",C156="BKK04"),L156="CFS/CY"),0,IF(M156="DG",1,IF(LEFT(C156,3)="LCH",7,IF(C156="BKK02",5,3))))</f>
        <v>3</v>
      </c>
      <c r="Z156" s="63">
        <f>IF(IF(AND(AC156="TML",AB156&gt;0),((T156-W156)+1)-AB156,((T156-W156)+1)-Y156)&gt;0,IF(AND(AC156="TML",AB156&gt;0),((T156-W156)+1)-AB156,((T156-W156)+1)-Y156),0)</f>
        <v>15</v>
      </c>
      <c r="AA156" s="187">
        <f>IF(AND(B156="G1",M156=""),IF(R156="20'",
VLOOKUP(Z156,Charge!$K$2:$M$5,2,TRUE)+(Z156-VLOOKUP(Z156,Charge!$K$2:$M$5,1,TRUE))*VLOOKUP(Z156,Charge!$K$2:$M$5,3,TRUE),
VLOOKUP(Z156,Charge!$N$2:$P$5,2,TRUE)+(Z156-VLOOKUP(Z156,Charge!$N$2:$P$5,1,TRUE))*VLOOKUP(Z156,Charge!$N$2:$P$5,3,TRUE)),
IF(AND(B156="G1",M156="DG"),IF(R156="20'",
VLOOKUP(Z156,Charge!$R$2:$T$5,2,TRUE)+(Z156-VLOOKUP(Z156,Charge!$R$2:$T$5,1,TRUE))*VLOOKUP(Z156,Charge!$R$2:$T$5,3,TRUE),
VLOOKUP(Z156,Charge!$U$2:$W$5,2,TRUE)+(Z156-VLOOKUP(Z156,Charge!$U$2:$W$5,1,TRUE))*VLOOKUP(Z156,Charge!$U$2:$W$5,3,TRUE)),
IF(AND(B156="G3",M156=""),IF(R156="20'",
VLOOKUP(Z156,Charge!$K$18:$M$21,2,TRUE)+(Z156-VLOOKUP(Z156,Charge!$K$18:$M$21,1,TRUE))*VLOOKUP(Z156,Charge!$K$18:$M$21,3,TRUE),
VLOOKUP(Z156,Charge!$N$18:$P$21,2,TRUE)+(Z156-VLOOKUP(Z156,Charge!$N$18:$P$21,1,TRUE))*VLOOKUP(Z156,Charge!$N$18:$P$21,3,TRUE)),
IF(AND(B156="G3",M156="DG"),IF(R156="20'",
VLOOKUP(Z156,Charge!$R$18:$T$21,2,TRUE)+(Z156-VLOOKUP(Z156,Charge!$R$18:$T$21,1,TRUE))*VLOOKUP(Z156,Charge!$R$18:$T$21,3,TRUE),
VLOOKUP(Z156,Charge!$U$18:$W$21,2,TRUE)+(Z156-VLOOKUP(Z156,Charge!$U$18:$W$21,1,TRUE))*VLOOKUP(Z156,Charge!$U$18:$W$21,3,TRUE)),
IF(AND(B156="G2",M156=""),IF(R156="20'",
VLOOKUP(Z156,Charge!$K$9:$M$12,2,TRUE)+(Z156-VLOOKUP(Z156,Charge!$K$9:$M$12,1,TRUE))*VLOOKUP(Z156,Charge!$K$9:$M$12,3,TRUE),
VLOOKUP(Z156,Charge!$N$9:$P$12,2,TRUE)+(Z156-VLOOKUP(Z156,Charge!$N$9:$P$12,1,TRUE))*VLOOKUP(Z156,Charge!$N$9:$P$12,3,TRUE)),
IF(AND(B156="G2",M156="DG"),IF(R156="20'",
VLOOKUP(Z156,Charge!$R$9:$T$12,2,TRUE)+(Z156-VLOOKUP(Z156,Charge!$R$9:$T$12,1,TRUE))*VLOOKUP(Z156,Charge!$R$9:$T$12,3,TRUE),
VLOOKUP(Z156,Charge!$U$9:$W$12,2,TRUE)+(Z156-VLOOKUP(Z156,Charge!$U$9:$W$12,1,TRUE))*VLOOKUP(Z156,Charge!$U$9:$W$12,3,TRUE)),IF(AND(B156="G4",M156=""),IF(R156="20'",Z156*Charge!$M$25,Z156*Charge!$P$25),IF(AND(B156="G4",M156="DG"),IF(R156="20'",Z156*Charge!$T$25,Z156*Charge!$W$25),0))))))))</f>
        <v>3435</v>
      </c>
      <c r="AB156" s="184" t="n"/>
      <c r="AC156" s="184" t="n"/>
      <c r="AD156" s="60">
        <f>IF(M156="DG",3,IF(N156="RF",3,5))+IF(AND(LEFT(C156,3)="BKK",N156="RF",Q156="KTS"),1,0)+IF(Q156="KHS",1,0)</f>
        <v>5</v>
      </c>
      <c r="AE156" s="63">
        <f>(T156-V156)+1</f>
        <v>46304</v>
      </c>
      <c r="AF156" s="63">
        <f>IF(AB156&gt;IF((V156-W156)&gt;0,V156-W156,0),0,IF(AB156&lt;IF((V156-W156)&gt;0,V156-W156,0),IF((V156-W156)&gt;0,V156-W156,0)-AB156,IF((V156-W156)&gt;0,V156-W156,0)))</f>
        <v>0</v>
      </c>
      <c r="AG156" s="187">
        <f>IF(AND(M156=""),IF(R156="20'",
VLOOKUP(AF156,Charge!$K$31:$M$34,2,TRUE)+(AF156-VLOOKUP(AF156,Charge!$K$31:$M$34,1,TRUE))*VLOOKUP(AF156,Charge!$K$31:$M$34,3,TRUE),
VLOOKUP(AF156,Charge!$N$31:$P$34,2,TRUE)+(AF156-VLOOKUP(AF156,Charge!$N$31:$P$34,1,TRUE))*VLOOKUP(AF156,Charge!$N$31:$P$34,3,TRUE)),
IF(AND(M156="DG"),IF(R156="20'",
VLOOKUP(AF156,Charge!$R$31:$T$34,2,TRUE)+(AF156-VLOOKUP(AF156,Charge!$R$31:$T$34,1,TRUE))*VLOOKUP(AF156,Charge!$R$31:$T$34,3,TRUE),
VLOOKUP(AF156,Charge!$U$31:$W$34,2,TRUE)+(AF156-VLOOKUP(AF156,Charge!$U$31:$W$34,1,TRUE))*VLOOKUP(AF156,Charge!$U$31:$W$34,3,TRUE)),0))</f>
        <v>0</v>
      </c>
      <c r="AH156" s="65" t="n"/>
      <c r="AI156" s="65">
        <f>AA156-AH156</f>
        <v>3435</v>
      </c>
      <c r="AJ156" s="188" t="n"/>
      <c r="AK156" s="62" t="str">
        <f>VLOOKUP(D156,'2.Bookinglist'!A:CT,40,FALSE)</f>
        <v>Nannaapust Sukporntaweewat</v>
      </c>
      <c r="AL156" s="60" t="str">
        <f>VLOOKUP(D156,'2.Bookinglist'!A:CW,101,FALSE)</f>
        <v>2026-10-05</v>
      </c>
      <c r="AM156" s="60" t="str">
        <f>VLOOKUP(D156,'2.Bookinglist'!A:BK,63,FALSE)</f>
        <v>BKK27</v>
      </c>
      <c r="AN156" s="62" t="str">
        <f>VLOOKUP(D156,'2.Bookinglist'!A:AZ,52,FALSE)</f>
        <v>** APPROVED BY H.W KANG DD.28/09/2026 ** *FLEXIBAG ONDECK*
Servey : 17/09/2026, Pickup : 18/09/2026, Return : 21/09/2026 *EXTEND CLS TIME : 22/09/2026 @06.00* </v>
      </c>
      <c r="AO156" s="62" t="str">
        <f>VLOOKUP(D156,'2.Bookinglist'!A:CY,103,FALSE)</f>
        <v>ROLL OVER FROM PREVIOUS VSL SWMM 2609N BY ALLOCATION TEAM MS.TARN APRPOVED COST IS UNDER HA DD.21/09</v>
      </c>
    </row>
    <row r="157" ht="12.95" customHeight="1">
      <c r="A157" s="96" t="inlineStr">
        <is>
          <t>SKLU2048880</t>
        </is>
      </c>
      <c r="B157" s="184" t="str">
        <f>IF(C157=Charge!$M$1,Charge!$J$1,IF(C157=Charge!$M$23,Charge!$J$23,IF(C157=Charge!$M$17,Charge!$J$17,IF(C157=Charge!$N$17,Charge!$J$17,Charge!$J$7))))</f>
        <v>G3</v>
      </c>
      <c r="C157" s="61" t="str">
        <f>VLOOKUP(A157,'1.Loading'!A:R,14,FALSE)</f>
        <v>BKK04</v>
      </c>
      <c r="D157" s="61" t="str">
        <f>VLOOKUP(A157,'1.Loading'!A:R,17,FALSE)</f>
        <v>HASLS22260901396</v>
      </c>
      <c r="E157" s="62" t="str">
        <f>VLOOKUP(D157,'2.Bookinglist'!A:CT,27,FALSE)</f>
        <v>MILKYWAY INTERNATIONAL SUPPLY CHAIN SERVICES (THAILAND) CO., LTD.</v>
      </c>
      <c r="F157" s="62" t="str">
        <f>VLOOKUP(D157,'2.Bookinglist'!A:CT,28,FALSE)</f>
        <v>TASCO INTERNATIONAL CO., LTD.</v>
      </c>
      <c r="G157" s="60">
        <f>VLOOKUP(D157,'2.Bookinglist'!A:E,5,FALSE)</f>
        <v>0</v>
      </c>
      <c r="H157" s="61" t="str">
        <f>VLOOKUP(D157,'2.Bookinglist'!A:CT,15,FALSE)</f>
        <v>THBKK</v>
      </c>
      <c r="I157" s="61" t="str">
        <f>VLOOKUP(D157,'2.Bookinglist'!A:CT,19,FALSE)</f>
        <v>JPSBS</v>
      </c>
      <c r="J157" s="61" t="str">
        <f>VLOOKUP(D157,'2.Bookinglist'!A:CT,26,FALSE)</f>
        <v>KRPUS</v>
      </c>
      <c r="K157" s="61" t="str">
        <f>VLOOKUP(A157,'1.Loading'!A:R,5,FALSE)</f>
        <v>22GP</v>
      </c>
      <c r="L157" s="60" t="str">
        <f>VLOOKUP(D157,'2.Bookinglist'!A:CT,85,FALSE)</f>
        <v>CY/CY</v>
      </c>
      <c r="M157" s="60" t="str">
        <f>IF(VLOOKUP(D157,'2.Bookinglist'!A:CT,43,FALSE)=0,"","DG")</f>
        <v/>
      </c>
      <c r="N157" s="60" t="str">
        <f>IF(RIGHT(K157,2)="RE","RF","")</f>
        <v/>
      </c>
      <c r="O157" s="61" t="str">
        <f>VLOOKUP(A157,'1.Loading'!A:R,3,FALSE)</f>
        <v>SWSP</v>
      </c>
      <c r="P157" s="61" t="str">
        <f>VLOOKUP(A157,'1.Loading'!A:R,4,FALSE)</f>
        <v>2609N</v>
      </c>
      <c r="Q157" s="61" t="str">
        <f>VLOOKUP(D157,'2.Bookinglist'!A:CT,12,FALSE)</f>
        <v>BTS</v>
      </c>
      <c r="R157" s="60" t="str">
        <f>IF(LEFT(K157,2)="22","20'","40'")</f>
        <v>20'</v>
      </c>
      <c r="S157" s="185" t="n"/>
      <c r="T157" s="61" t="str">
        <f>VLOOKUP(A157,'1.Loading'!A:R,2,FALSE)</f>
        <v>2026-10-08</v>
      </c>
      <c r="U157" s="63">
        <f>T157-S157</f>
        <v>46303</v>
      </c>
      <c r="V157" s="186" t="n"/>
      <c r="W157" s="61" t="str">
        <f>VLOOKUP(A157,'3.GateMove'!A:D,4,FALSE)</f>
        <v>2026-10-01</v>
      </c>
      <c r="X157" s="63">
        <f>((T157-W157)+1)</f>
        <v>8</v>
      </c>
      <c r="Y157" s="64">
        <f>IF(AND(OR(C157="BKK01",C157="BKK04"),L157="CFS/CY"),0,IF(M157="DG",1,IF(LEFT(C157,3)="LCH",7,IF(C157="BKK02",5,3))))</f>
        <v>3</v>
      </c>
      <c r="Z157" s="63">
        <f>IF(IF(AND(AC157="TML",AB157&gt;0),((T157-W157)+1)-AB157,((T157-W157)+1)-Y157)&gt;0,IF(AND(AC157="TML",AB157&gt;0),((T157-W157)+1)-AB157,((T157-W157)+1)-Y157),0)</f>
        <v>5</v>
      </c>
      <c r="AA157" s="187">
        <f>IF(AND(B157="G1",M157=""),IF(R157="20'",
VLOOKUP(Z157,Charge!$K$2:$M$5,2,TRUE)+(Z157-VLOOKUP(Z157,Charge!$K$2:$M$5,1,TRUE))*VLOOKUP(Z157,Charge!$K$2:$M$5,3,TRUE),
VLOOKUP(Z157,Charge!$N$2:$P$5,2,TRUE)+(Z157-VLOOKUP(Z157,Charge!$N$2:$P$5,1,TRUE))*VLOOKUP(Z157,Charge!$N$2:$P$5,3,TRUE)),
IF(AND(B157="G1",M157="DG"),IF(R157="20'",
VLOOKUP(Z157,Charge!$R$2:$T$5,2,TRUE)+(Z157-VLOOKUP(Z157,Charge!$R$2:$T$5,1,TRUE))*VLOOKUP(Z157,Charge!$R$2:$T$5,3,TRUE),
VLOOKUP(Z157,Charge!$U$2:$W$5,2,TRUE)+(Z157-VLOOKUP(Z157,Charge!$U$2:$W$5,1,TRUE))*VLOOKUP(Z157,Charge!$U$2:$W$5,3,TRUE)),
IF(AND(B157="G3",M157=""),IF(R157="20'",
VLOOKUP(Z157,Charge!$K$18:$M$21,2,TRUE)+(Z157-VLOOKUP(Z157,Charge!$K$18:$M$21,1,TRUE))*VLOOKUP(Z157,Charge!$K$18:$M$21,3,TRUE),
VLOOKUP(Z157,Charge!$N$18:$P$21,2,TRUE)+(Z157-VLOOKUP(Z157,Charge!$N$18:$P$21,1,TRUE))*VLOOKUP(Z157,Charge!$N$18:$P$21,3,TRUE)),
IF(AND(B157="G3",M157="DG"),IF(R157="20'",
VLOOKUP(Z157,Charge!$R$18:$T$21,2,TRUE)+(Z157-VLOOKUP(Z157,Charge!$R$18:$T$21,1,TRUE))*VLOOKUP(Z157,Charge!$R$18:$T$21,3,TRUE),
VLOOKUP(Z157,Charge!$U$18:$W$21,2,TRUE)+(Z157-VLOOKUP(Z157,Charge!$U$18:$W$21,1,TRUE))*VLOOKUP(Z157,Charge!$U$18:$W$21,3,TRUE)),
IF(AND(B157="G2",M157=""),IF(R157="20'",
VLOOKUP(Z157,Charge!$K$9:$M$12,2,TRUE)+(Z157-VLOOKUP(Z157,Charge!$K$9:$M$12,1,TRUE))*VLOOKUP(Z157,Charge!$K$9:$M$12,3,TRUE),
VLOOKUP(Z157,Charge!$N$9:$P$12,2,TRUE)+(Z157-VLOOKUP(Z157,Charge!$N$9:$P$12,1,TRUE))*VLOOKUP(Z157,Charge!$N$9:$P$12,3,TRUE)),
IF(AND(B157="G2",M157="DG"),IF(R157="20'",
VLOOKUP(Z157,Charge!$R$9:$T$12,2,TRUE)+(Z157-VLOOKUP(Z157,Charge!$R$9:$T$12,1,TRUE))*VLOOKUP(Z157,Charge!$R$9:$T$12,3,TRUE),
VLOOKUP(Z157,Charge!$U$9:$W$12,2,TRUE)+(Z157-VLOOKUP(Z157,Charge!$U$9:$W$12,1,TRUE))*VLOOKUP(Z157,Charge!$U$9:$W$12,3,TRUE)),IF(AND(B157="G4",M157=""),IF(R157="20'",Z157*Charge!$M$25,Z157*Charge!$P$25),IF(AND(B157="G4",M157="DG"),IF(R157="20'",Z157*Charge!$T$25,Z157*Charge!$W$25),0))))))))</f>
        <v>800</v>
      </c>
      <c r="AB157" s="184" t="n"/>
      <c r="AC157" s="184" t="n"/>
      <c r="AD157" s="60">
        <f>IF(M157="DG",3,IF(N157="RF",3,5))+IF(AND(LEFT(C157,3)="BKK",N157="RF",Q157="KTS"),1,0)+IF(Q157="KHS",1,0)</f>
        <v>5</v>
      </c>
      <c r="AE157" s="63">
        <f>(T157-V157)+1</f>
        <v>46304</v>
      </c>
      <c r="AF157" s="63">
        <f>IF(AB157&gt;IF((V157-W157)&gt;0,V157-W157,0),0,IF(AB157&lt;IF((V157-W157)&gt;0,V157-W157,0),IF((V157-W157)&gt;0,V157-W157,0)-AB157,IF((V157-W157)&gt;0,V157-W157,0)))</f>
        <v>0</v>
      </c>
      <c r="AG157" s="187">
        <f>IF(AND(M157=""),IF(R157="20'",
VLOOKUP(AF157,Charge!$K$31:$M$34,2,TRUE)+(AF157-VLOOKUP(AF157,Charge!$K$31:$M$34,1,TRUE))*VLOOKUP(AF157,Charge!$K$31:$M$34,3,TRUE),
VLOOKUP(AF157,Charge!$N$31:$P$34,2,TRUE)+(AF157-VLOOKUP(AF157,Charge!$N$31:$P$34,1,TRUE))*VLOOKUP(AF157,Charge!$N$31:$P$34,3,TRUE)),
IF(AND(M157="DG"),IF(R157="20'",
VLOOKUP(AF157,Charge!$R$31:$T$34,2,TRUE)+(AF157-VLOOKUP(AF157,Charge!$R$31:$T$34,1,TRUE))*VLOOKUP(AF157,Charge!$R$31:$T$34,3,TRUE),
VLOOKUP(AF157,Charge!$U$31:$W$34,2,TRUE)+(AF157-VLOOKUP(AF157,Charge!$U$31:$W$34,1,TRUE))*VLOOKUP(AF157,Charge!$U$31:$W$34,3,TRUE)),0))</f>
        <v>0</v>
      </c>
      <c r="AH157" s="65" t="n"/>
      <c r="AI157" s="65">
        <f>AA157-AH157</f>
        <v>800</v>
      </c>
      <c r="AJ157" s="188" t="n"/>
      <c r="AK157" s="62" t="str">
        <f>VLOOKUP(D157,'2.Bookinglist'!A:CT,40,FALSE)</f>
        <v>Arunphat W. (Aiw)</v>
      </c>
      <c r="AL157" s="60" t="str">
        <f>VLOOKUP(D157,'2.Bookinglist'!A:CW,101,FALSE)</f>
        <v>2026-10-07</v>
      </c>
      <c r="AM157" s="60" t="str">
        <f>VLOOKUP(D157,'2.Bookinglist'!A:BK,63,FALSE)</f>
        <v>BKK27</v>
      </c>
      <c r="AN157" s="62" t="str">
        <f>VLOOKUP(D157,'2.Bookinglist'!A:AZ,52,FALSE)</f>
        <v>Pickup : 2026-09-30, Return : 2026-10-01 (EXTEND CLS 01/10/26 @23.59)</v>
      </c>
      <c r="AO157" s="62" t="str">
        <f>VLOOKUP(D157,'2.Bookinglist'!A:CY,103,FALSE)</f>
        <v>ROLL OVER FROM PREVIOUS VSL KMBK 2611N BY ALLOCATION TEAM MS.TARN APPROVED COST IS UNDER HAL DD.01/10</v>
      </c>
    </row>
    <row r="158" ht="12.95" customHeight="1">
      <c r="A158" s="96" t="inlineStr">
        <is>
          <t>SKLU2052469</t>
        </is>
      </c>
      <c r="B158" s="184" t="str">
        <f>IF(C158=Charge!$M$1,Charge!$J$1,IF(C158=Charge!$M$23,Charge!$J$23,IF(C158=Charge!$M$17,Charge!$J$17,IF(C158=Charge!$N$17,Charge!$J$17,Charge!$J$7))))</f>
        <v>G3</v>
      </c>
      <c r="C158" s="61" t="str">
        <f>VLOOKUP(A158,'1.Loading'!A:R,14,FALSE)</f>
        <v>BKK04</v>
      </c>
      <c r="D158" s="61" t="str">
        <f>VLOOKUP(A158,'1.Loading'!A:R,17,FALSE)</f>
        <v>HASLS22260801914</v>
      </c>
      <c r="E158" s="62" t="str">
        <f>VLOOKUP(D158,'2.Bookinglist'!A:CT,27,FALSE)</f>
        <v>DP WORLD LOGISTICS SOLUTIONS (THAILAND) COMPANY LIMITED</v>
      </c>
      <c r="F158" s="62" t="str">
        <f>VLOOKUP(D158,'2.Bookinglist'!A:CT,28,FALSE)</f>
        <v>DP WORLD LOGISTICS SOLUTIONS (THAILAND) COMPANY LIMITED</v>
      </c>
      <c r="G158" s="60">
        <f>VLOOKUP(D158,'2.Bookinglist'!A:E,5,FALSE)</f>
        <v>0</v>
      </c>
      <c r="H158" s="61" t="str">
        <f>VLOOKUP(D158,'2.Bookinglist'!A:CT,15,FALSE)</f>
        <v>THBKK</v>
      </c>
      <c r="I158" s="61" t="str">
        <f>VLOOKUP(D158,'2.Bookinglist'!A:CT,19,FALSE)</f>
        <v>KRPTK</v>
      </c>
      <c r="J158" s="61">
        <f>VLOOKUP(D158,'2.Bookinglist'!A:CT,26,FALSE)</f>
        <v>0</v>
      </c>
      <c r="K158" s="61" t="str">
        <f>VLOOKUP(A158,'1.Loading'!A:R,5,FALSE)</f>
        <v>22GP</v>
      </c>
      <c r="L158" s="60" t="str">
        <f>VLOOKUP(D158,'2.Bookinglist'!A:CT,85,FALSE)</f>
        <v>CY/CY</v>
      </c>
      <c r="M158" s="60" t="str">
        <f>IF(VLOOKUP(D158,'2.Bookinglist'!A:CT,43,FALSE)=0,"","DG")</f>
        <v/>
      </c>
      <c r="N158" s="60" t="str">
        <f>IF(RIGHT(K158,2)="RE","RF","")</f>
        <v/>
      </c>
      <c r="O158" s="61" t="str">
        <f>VLOOKUP(A158,'1.Loading'!A:R,3,FALSE)</f>
        <v>SWSP</v>
      </c>
      <c r="P158" s="61" t="str">
        <f>VLOOKUP(A158,'1.Loading'!A:R,4,FALSE)</f>
        <v>2609N</v>
      </c>
      <c r="Q158" s="61" t="str">
        <f>VLOOKUP(D158,'2.Bookinglist'!A:CT,12,FALSE)</f>
        <v>BTS</v>
      </c>
      <c r="R158" s="60" t="str">
        <f>IF(LEFT(K158,2)="22","20'","40'")</f>
        <v>20'</v>
      </c>
      <c r="S158" s="185" t="n"/>
      <c r="T158" s="61" t="str">
        <f>VLOOKUP(A158,'1.Loading'!A:R,2,FALSE)</f>
        <v>2026-10-08</v>
      </c>
      <c r="U158" s="63">
        <f>T158-S158</f>
        <v>46303</v>
      </c>
      <c r="V158" s="186" t="n"/>
      <c r="W158" s="61" t="str">
        <f>VLOOKUP(A158,'3.GateMove'!A:D,4,FALSE)</f>
        <v>2026-09-19</v>
      </c>
      <c r="X158" s="63">
        <f>((T158-W158)+1)</f>
        <v>20</v>
      </c>
      <c r="Y158" s="64">
        <f>IF(AND(OR(C158="BKK01",C158="BKK04"),L158="CFS/CY"),0,IF(M158="DG",1,IF(LEFT(C158,3)="LCH",7,IF(C158="BKK02",5,3))))</f>
        <v>3</v>
      </c>
      <c r="Z158" s="63">
        <f>IF(IF(AND(AC158="TML",AB158&gt;0),((T158-W158)+1)-AB158,((T158-W158)+1)-Y158)&gt;0,IF(AND(AC158="TML",AB158&gt;0),((T158-W158)+1)-AB158,((T158-W158)+1)-Y158),0)</f>
        <v>17</v>
      </c>
      <c r="AA158" s="187">
        <f>IF(AND(B158="G1",M158=""),IF(R158="20'",
VLOOKUP(Z158,Charge!$K$2:$M$5,2,TRUE)+(Z158-VLOOKUP(Z158,Charge!$K$2:$M$5,1,TRUE))*VLOOKUP(Z158,Charge!$K$2:$M$5,3,TRUE),
VLOOKUP(Z158,Charge!$N$2:$P$5,2,TRUE)+(Z158-VLOOKUP(Z158,Charge!$N$2:$P$5,1,TRUE))*VLOOKUP(Z158,Charge!$N$2:$P$5,3,TRUE)),
IF(AND(B158="G1",M158="DG"),IF(R158="20'",
VLOOKUP(Z158,Charge!$R$2:$T$5,2,TRUE)+(Z158-VLOOKUP(Z158,Charge!$R$2:$T$5,1,TRUE))*VLOOKUP(Z158,Charge!$R$2:$T$5,3,TRUE),
VLOOKUP(Z158,Charge!$U$2:$W$5,2,TRUE)+(Z158-VLOOKUP(Z158,Charge!$U$2:$W$5,1,TRUE))*VLOOKUP(Z158,Charge!$U$2:$W$5,3,TRUE)),
IF(AND(B158="G3",M158=""),IF(R158="20'",
VLOOKUP(Z158,Charge!$K$18:$M$21,2,TRUE)+(Z158-VLOOKUP(Z158,Charge!$K$18:$M$21,1,TRUE))*VLOOKUP(Z158,Charge!$K$18:$M$21,3,TRUE),
VLOOKUP(Z158,Charge!$N$18:$P$21,2,TRUE)+(Z158-VLOOKUP(Z158,Charge!$N$18:$P$21,1,TRUE))*VLOOKUP(Z158,Charge!$N$18:$P$21,3,TRUE)),
IF(AND(B158="G3",M158="DG"),IF(R158="20'",
VLOOKUP(Z158,Charge!$R$18:$T$21,2,TRUE)+(Z158-VLOOKUP(Z158,Charge!$R$18:$T$21,1,TRUE))*VLOOKUP(Z158,Charge!$R$18:$T$21,3,TRUE),
VLOOKUP(Z158,Charge!$U$18:$W$21,2,TRUE)+(Z158-VLOOKUP(Z158,Charge!$U$18:$W$21,1,TRUE))*VLOOKUP(Z158,Charge!$U$18:$W$21,3,TRUE)),
IF(AND(B158="G2",M158=""),IF(R158="20'",
VLOOKUP(Z158,Charge!$K$9:$M$12,2,TRUE)+(Z158-VLOOKUP(Z158,Charge!$K$9:$M$12,1,TRUE))*VLOOKUP(Z158,Charge!$K$9:$M$12,3,TRUE),
VLOOKUP(Z158,Charge!$N$9:$P$12,2,TRUE)+(Z158-VLOOKUP(Z158,Charge!$N$9:$P$12,1,TRUE))*VLOOKUP(Z158,Charge!$N$9:$P$12,3,TRUE)),
IF(AND(B158="G2",M158="DG"),IF(R158="20'",
VLOOKUP(Z158,Charge!$R$9:$T$12,2,TRUE)+(Z158-VLOOKUP(Z158,Charge!$R$9:$T$12,1,TRUE))*VLOOKUP(Z158,Charge!$R$9:$T$12,3,TRUE),
VLOOKUP(Z158,Charge!$U$9:$W$12,2,TRUE)+(Z158-VLOOKUP(Z158,Charge!$U$9:$W$12,1,TRUE))*VLOOKUP(Z158,Charge!$U$9:$W$12,3,TRUE)),IF(AND(B158="G4",M158=""),IF(R158="20'",Z158*Charge!$M$25,Z158*Charge!$P$25),IF(AND(B158="G4",M158="DG"),IF(R158="20'",Z158*Charge!$T$25,Z158*Charge!$W$25),0))))))))</f>
        <v>4215</v>
      </c>
      <c r="AB158" s="184" t="n"/>
      <c r="AC158" s="184" t="n"/>
      <c r="AD158" s="60">
        <f>IF(M158="DG",3,IF(N158="RF",3,5))+IF(AND(LEFT(C158,3)="BKK",N158="RF",Q158="KTS"),1,0)+IF(Q158="KHS",1,0)</f>
        <v>5</v>
      </c>
      <c r="AE158" s="63">
        <f>(T158-V158)+1</f>
        <v>46304</v>
      </c>
      <c r="AF158" s="63">
        <f>IF(AB158&gt;IF((V158-W158)&gt;0,V158-W158,0),0,IF(AB158&lt;IF((V158-W158)&gt;0,V158-W158,0),IF((V158-W158)&gt;0,V158-W158,0)-AB158,IF((V158-W158)&gt;0,V158-W158,0)))</f>
        <v>0</v>
      </c>
      <c r="AG158" s="187">
        <f>IF(AND(M158=""),IF(R158="20'",
VLOOKUP(AF158,Charge!$K$31:$M$34,2,TRUE)+(AF158-VLOOKUP(AF158,Charge!$K$31:$M$34,1,TRUE))*VLOOKUP(AF158,Charge!$K$31:$M$34,3,TRUE),
VLOOKUP(AF158,Charge!$N$31:$P$34,2,TRUE)+(AF158-VLOOKUP(AF158,Charge!$N$31:$P$34,1,TRUE))*VLOOKUP(AF158,Charge!$N$31:$P$34,3,TRUE)),
IF(AND(M158="DG"),IF(R158="20'",
VLOOKUP(AF158,Charge!$R$31:$T$34,2,TRUE)+(AF158-VLOOKUP(AF158,Charge!$R$31:$T$34,1,TRUE))*VLOOKUP(AF158,Charge!$R$31:$T$34,3,TRUE),
VLOOKUP(AF158,Charge!$U$31:$W$34,2,TRUE)+(AF158-VLOOKUP(AF158,Charge!$U$31:$W$34,1,TRUE))*VLOOKUP(AF158,Charge!$U$31:$W$34,3,TRUE)),0))</f>
        <v>0</v>
      </c>
      <c r="AH158" s="65" t="n"/>
      <c r="AI158" s="65">
        <f>AA158-AH158</f>
        <v>4215</v>
      </c>
      <c r="AJ158" s="188" t="n"/>
      <c r="AK158" s="62" t="str">
        <f>VLOOKUP(D158,'2.Bookinglist'!A:CT,40,FALSE)</f>
        <v>Nannaapust Sukporntaweewat</v>
      </c>
      <c r="AL158" s="60" t="str">
        <f>VLOOKUP(D158,'2.Bookinglist'!A:CW,101,FALSE)</f>
        <v>2026-10-05</v>
      </c>
      <c r="AM158" s="60" t="str">
        <f>VLOOKUP(D158,'2.Bookinglist'!A:BK,63,FALSE)</f>
        <v>BKK27</v>
      </c>
      <c r="AN158" s="62" t="str">
        <f>VLOOKUP(D158,'2.Bookinglist'!A:AZ,52,FALSE)</f>
        <v>** APPROVED BY H.W KANG DD.28/09/2026 ** *FLEXIBAG ONDECK*
Servey : 17/09/2026, Pickup : 18/09/2026, Return : 21/09/2026 *EXTEND CLS TIME : 22/09/2026 @06.00* </v>
      </c>
      <c r="AO158" s="62" t="str">
        <f>VLOOKUP(D158,'2.Bookinglist'!A:CY,103,FALSE)</f>
        <v>ROLL OVER FROM PREVIOUS VSL SWMM 2609N BY ALLOCATION TEAM MS.TARN APRPOVED COST IS UNDER HA DD.21/09</v>
      </c>
    </row>
    <row r="159" ht="12.95" customHeight="1">
      <c r="A159" s="96" t="inlineStr">
        <is>
          <t>SKLU2067643</t>
        </is>
      </c>
      <c r="B159" s="184" t="str">
        <f>IF(C159=Charge!$M$1,Charge!$J$1,IF(C159=Charge!$M$23,Charge!$J$23,IF(C159=Charge!$M$17,Charge!$J$17,IF(C159=Charge!$N$17,Charge!$J$17,Charge!$J$7))))</f>
        <v>G3</v>
      </c>
      <c r="C159" s="61" t="str">
        <f>VLOOKUP(A159,'1.Loading'!A:R,14,FALSE)</f>
        <v>BKK04</v>
      </c>
      <c r="D159" s="61" t="str">
        <f>VLOOKUP(A159,'1.Loading'!A:R,17,FALSE)</f>
        <v>HASLS22260900196</v>
      </c>
      <c r="E159" s="62" t="str">
        <f>VLOOKUP(D159,'2.Bookinglist'!A:CT,27,FALSE)</f>
        <v>SANGUAN WONGSE STARCH CO., LTD.</v>
      </c>
      <c r="F159" s="62" t="str">
        <f>VLOOKUP(D159,'2.Bookinglist'!A:CT,28,FALSE)</f>
        <v>SANGUAN WONGSE STARCH CO., LTD.</v>
      </c>
      <c r="G159" s="60">
        <f>VLOOKUP(D159,'2.Bookinglist'!A:E,5,FALSE)</f>
        <v>0</v>
      </c>
      <c r="H159" s="61" t="str">
        <f>VLOOKUP(D159,'2.Bookinglist'!A:CT,15,FALSE)</f>
        <v>THBKK</v>
      </c>
      <c r="I159" s="61" t="str">
        <f>VLOOKUP(D159,'2.Bookinglist'!A:CT,19,FALSE)</f>
        <v>JPSEN</v>
      </c>
      <c r="J159" s="61" t="str">
        <f>VLOOKUP(D159,'2.Bookinglist'!A:CT,26,FALSE)</f>
        <v>KRPUS</v>
      </c>
      <c r="K159" s="61" t="str">
        <f>VLOOKUP(A159,'1.Loading'!A:R,5,FALSE)</f>
        <v>22GP</v>
      </c>
      <c r="L159" s="60" t="str">
        <f>VLOOKUP(D159,'2.Bookinglist'!A:CT,85,FALSE)</f>
        <v>CY/CY</v>
      </c>
      <c r="M159" s="60" t="str">
        <f>IF(VLOOKUP(D159,'2.Bookinglist'!A:CT,43,FALSE)=0,"","DG")</f>
        <v/>
      </c>
      <c r="N159" s="60" t="str">
        <f>IF(RIGHT(K159,2)="RE","RF","")</f>
        <v/>
      </c>
      <c r="O159" s="61" t="str">
        <f>VLOOKUP(A159,'1.Loading'!A:R,3,FALSE)</f>
        <v>SWSP</v>
      </c>
      <c r="P159" s="61" t="str">
        <f>VLOOKUP(A159,'1.Loading'!A:R,4,FALSE)</f>
        <v>2609N</v>
      </c>
      <c r="Q159" s="61" t="str">
        <f>VLOOKUP(D159,'2.Bookinglist'!A:CT,12,FALSE)</f>
        <v>BTS</v>
      </c>
      <c r="R159" s="60" t="str">
        <f>IF(LEFT(K159,2)="22","20'","40'")</f>
        <v>20'</v>
      </c>
      <c r="S159" s="185" t="n"/>
      <c r="T159" s="61" t="str">
        <f>VLOOKUP(A159,'1.Loading'!A:R,2,FALSE)</f>
        <v>2026-10-08</v>
      </c>
      <c r="U159" s="63">
        <f>T159-S159</f>
        <v>46303</v>
      </c>
      <c r="V159" s="186" t="n"/>
      <c r="W159" s="61" t="str">
        <f>VLOOKUP(A159,'3.GateMove'!A:D,4,FALSE)</f>
        <v>2026-09-19</v>
      </c>
      <c r="X159" s="63">
        <f>((T159-W159)+1)</f>
        <v>20</v>
      </c>
      <c r="Y159" s="64">
        <f>IF(AND(OR(C159="BKK01",C159="BKK04"),L159="CFS/CY"),0,IF(M159="DG",1,IF(LEFT(C159,3)="LCH",7,IF(C159="BKK02",5,3))))</f>
        <v>3</v>
      </c>
      <c r="Z159" s="63">
        <f>IF(IF(AND(AC159="TML",AB159&gt;0),((T159-W159)+1)-AB159,((T159-W159)+1)-Y159)&gt;0,IF(AND(AC159="TML",AB159&gt;0),((T159-W159)+1)-AB159,((T159-W159)+1)-Y159),0)</f>
        <v>17</v>
      </c>
      <c r="AA159" s="187">
        <f>IF(AND(B159="G1",M159=""),IF(R159="20'",
VLOOKUP(Z159,Charge!$K$2:$M$5,2,TRUE)+(Z159-VLOOKUP(Z159,Charge!$K$2:$M$5,1,TRUE))*VLOOKUP(Z159,Charge!$K$2:$M$5,3,TRUE),
VLOOKUP(Z159,Charge!$N$2:$P$5,2,TRUE)+(Z159-VLOOKUP(Z159,Charge!$N$2:$P$5,1,TRUE))*VLOOKUP(Z159,Charge!$N$2:$P$5,3,TRUE)),
IF(AND(B159="G1",M159="DG"),IF(R159="20'",
VLOOKUP(Z159,Charge!$R$2:$T$5,2,TRUE)+(Z159-VLOOKUP(Z159,Charge!$R$2:$T$5,1,TRUE))*VLOOKUP(Z159,Charge!$R$2:$T$5,3,TRUE),
VLOOKUP(Z159,Charge!$U$2:$W$5,2,TRUE)+(Z159-VLOOKUP(Z159,Charge!$U$2:$W$5,1,TRUE))*VLOOKUP(Z159,Charge!$U$2:$W$5,3,TRUE)),
IF(AND(B159="G3",M159=""),IF(R159="20'",
VLOOKUP(Z159,Charge!$K$18:$M$21,2,TRUE)+(Z159-VLOOKUP(Z159,Charge!$K$18:$M$21,1,TRUE))*VLOOKUP(Z159,Charge!$K$18:$M$21,3,TRUE),
VLOOKUP(Z159,Charge!$N$18:$P$21,2,TRUE)+(Z159-VLOOKUP(Z159,Charge!$N$18:$P$21,1,TRUE))*VLOOKUP(Z159,Charge!$N$18:$P$21,3,TRUE)),
IF(AND(B159="G3",M159="DG"),IF(R159="20'",
VLOOKUP(Z159,Charge!$R$18:$T$21,2,TRUE)+(Z159-VLOOKUP(Z159,Charge!$R$18:$T$21,1,TRUE))*VLOOKUP(Z159,Charge!$R$18:$T$21,3,TRUE),
VLOOKUP(Z159,Charge!$U$18:$W$21,2,TRUE)+(Z159-VLOOKUP(Z159,Charge!$U$18:$W$21,1,TRUE))*VLOOKUP(Z159,Charge!$U$18:$W$21,3,TRUE)),
IF(AND(B159="G2",M159=""),IF(R159="20'",
VLOOKUP(Z159,Charge!$K$9:$M$12,2,TRUE)+(Z159-VLOOKUP(Z159,Charge!$K$9:$M$12,1,TRUE))*VLOOKUP(Z159,Charge!$K$9:$M$12,3,TRUE),
VLOOKUP(Z159,Charge!$N$9:$P$12,2,TRUE)+(Z159-VLOOKUP(Z159,Charge!$N$9:$P$12,1,TRUE))*VLOOKUP(Z159,Charge!$N$9:$P$12,3,TRUE)),
IF(AND(B159="G2",M159="DG"),IF(R159="20'",
VLOOKUP(Z159,Charge!$R$9:$T$12,2,TRUE)+(Z159-VLOOKUP(Z159,Charge!$R$9:$T$12,1,TRUE))*VLOOKUP(Z159,Charge!$R$9:$T$12,3,TRUE),
VLOOKUP(Z159,Charge!$U$9:$W$12,2,TRUE)+(Z159-VLOOKUP(Z159,Charge!$U$9:$W$12,1,TRUE))*VLOOKUP(Z159,Charge!$U$9:$W$12,3,TRUE)),IF(AND(B159="G4",M159=""),IF(R159="20'",Z159*Charge!$M$25,Z159*Charge!$P$25),IF(AND(B159="G4",M159="DG"),IF(R159="20'",Z159*Charge!$T$25,Z159*Charge!$W$25),0))))))))</f>
        <v>4215</v>
      </c>
      <c r="AB159" s="184" t="n"/>
      <c r="AC159" s="184" t="n"/>
      <c r="AD159" s="60">
        <f>IF(M159="DG",3,IF(N159="RF",3,5))+IF(AND(LEFT(C159,3)="BKK",N159="RF",Q159="KTS"),1,0)+IF(Q159="KHS",1,0)</f>
        <v>5</v>
      </c>
      <c r="AE159" s="63">
        <f>(T159-V159)+1</f>
        <v>46304</v>
      </c>
      <c r="AF159" s="63">
        <f>IF(AB159&gt;IF((V159-W159)&gt;0,V159-W159,0),0,IF(AB159&lt;IF((V159-W159)&gt;0,V159-W159,0),IF((V159-W159)&gt;0,V159-W159,0)-AB159,IF((V159-W159)&gt;0,V159-W159,0)))</f>
        <v>0</v>
      </c>
      <c r="AG159" s="187">
        <f>IF(AND(M159=""),IF(R159="20'",
VLOOKUP(AF159,Charge!$K$31:$M$34,2,TRUE)+(AF159-VLOOKUP(AF159,Charge!$K$31:$M$34,1,TRUE))*VLOOKUP(AF159,Charge!$K$31:$M$34,3,TRUE),
VLOOKUP(AF159,Charge!$N$31:$P$34,2,TRUE)+(AF159-VLOOKUP(AF159,Charge!$N$31:$P$34,1,TRUE))*VLOOKUP(AF159,Charge!$N$31:$P$34,3,TRUE)),
IF(AND(M159="DG"),IF(R159="20'",
VLOOKUP(AF159,Charge!$R$31:$T$34,2,TRUE)+(AF159-VLOOKUP(AF159,Charge!$R$31:$T$34,1,TRUE))*VLOOKUP(AF159,Charge!$R$31:$T$34,3,TRUE),
VLOOKUP(AF159,Charge!$U$31:$W$34,2,TRUE)+(AF159-VLOOKUP(AF159,Charge!$U$31:$W$34,1,TRUE))*VLOOKUP(AF159,Charge!$U$31:$W$34,3,TRUE)),0))</f>
        <v>0</v>
      </c>
      <c r="AH159" s="65" t="n"/>
      <c r="AI159" s="65">
        <f>AA159-AH159</f>
        <v>4215</v>
      </c>
      <c r="AJ159" s="188" t="n"/>
      <c r="AK159" s="62" t="str">
        <f>VLOOKUP(D159,'2.Bookinglist'!A:CT,40,FALSE)</f>
        <v>Uetake Takahiro</v>
      </c>
      <c r="AL159" s="60" t="str">
        <f>VLOOKUP(D159,'2.Bookinglist'!A:CW,101,FALSE)</f>
        <v>2026-10-05</v>
      </c>
      <c r="AM159" s="60" t="str">
        <f>VLOOKUP(D159,'2.Bookinglist'!A:BK,63,FALSE)</f>
        <v>BKK25</v>
      </c>
      <c r="AN159" s="62" t="str">
        <f>VLOOKUP(D159,'2.Bookinglist'!A:AZ,52,FALSE)</f>
        <v>Pickup : 2026-09-17, Return : 2026-09-19</v>
      </c>
      <c r="AO159" s="62" t="str">
        <f>VLOOKUP(D159,'2.Bookinglist'!A:CY,103,FALSE)</f>
        <v>ROLL OVER FROM PREVIOUS VSL SWMM 2609N BY ALLOCATION TEAM MS.TARN APPROVED COST IS UNDER HA DD.21/09</v>
      </c>
    </row>
    <row r="160" ht="12.95" customHeight="1">
      <c r="A160" s="96" t="inlineStr">
        <is>
          <t>SKLU2074468</t>
        </is>
      </c>
      <c r="B160" s="184" t="str">
        <f>IF(C160=Charge!$M$1,Charge!$J$1,IF(C160=Charge!$M$23,Charge!$J$23,IF(C160=Charge!$M$17,Charge!$J$17,IF(C160=Charge!$N$17,Charge!$J$17,Charge!$J$7))))</f>
        <v>G3</v>
      </c>
      <c r="C160" s="61" t="str">
        <f>VLOOKUP(A160,'1.Loading'!A:R,14,FALSE)</f>
        <v>BKK04</v>
      </c>
      <c r="D160" s="61" t="str">
        <f>VLOOKUP(A160,'1.Loading'!A:R,17,FALSE)</f>
        <v>HASLS22260900630</v>
      </c>
      <c r="E160" s="62" t="str">
        <f>VLOOKUP(D160,'2.Bookinglist'!A:CT,27,FALSE)</f>
        <v>ICONS GLOBAL LOGISTICS CO., LTD.</v>
      </c>
      <c r="F160" s="62" t="str">
        <f>VLOOKUP(D160,'2.Bookinglist'!A:CT,28,FALSE)</f>
        <v>THANAKORN VEGETABLE OIL PRODUCTS CO., LTD.</v>
      </c>
      <c r="G160" s="60">
        <f>VLOOKUP(D160,'2.Bookinglist'!A:E,5,FALSE)</f>
        <v>0</v>
      </c>
      <c r="H160" s="61" t="str">
        <f>VLOOKUP(D160,'2.Bookinglist'!A:CT,15,FALSE)</f>
        <v>THBKK</v>
      </c>
      <c r="I160" s="61" t="str">
        <f>VLOOKUP(D160,'2.Bookinglist'!A:CT,19,FALSE)</f>
        <v>VNSGN</v>
      </c>
      <c r="J160" s="61">
        <f>VLOOKUP(D160,'2.Bookinglist'!A:CT,26,FALSE)</f>
        <v>0</v>
      </c>
      <c r="K160" s="61" t="str">
        <f>VLOOKUP(A160,'1.Loading'!A:R,5,FALSE)</f>
        <v>22GP</v>
      </c>
      <c r="L160" s="60" t="str">
        <f>VLOOKUP(D160,'2.Bookinglist'!A:CT,85,FALSE)</f>
        <v>CY/CY</v>
      </c>
      <c r="M160" s="60" t="str">
        <f>IF(VLOOKUP(D160,'2.Bookinglist'!A:CT,43,FALSE)=0,"","DG")</f>
        <v/>
      </c>
      <c r="N160" s="60" t="str">
        <f>IF(RIGHT(K160,2)="RE","RF","")</f>
        <v/>
      </c>
      <c r="O160" s="61" t="str">
        <f>VLOOKUP(A160,'1.Loading'!A:R,3,FALSE)</f>
        <v>SWSP</v>
      </c>
      <c r="P160" s="61" t="str">
        <f>VLOOKUP(A160,'1.Loading'!A:R,4,FALSE)</f>
        <v>2609N</v>
      </c>
      <c r="Q160" s="61" t="str">
        <f>VLOOKUP(D160,'2.Bookinglist'!A:CT,12,FALSE)</f>
        <v>BTS</v>
      </c>
      <c r="R160" s="60" t="str">
        <f>IF(LEFT(K160,2)="22","20'","40'")</f>
        <v>20'</v>
      </c>
      <c r="S160" s="185" t="n"/>
      <c r="T160" s="61" t="str">
        <f>VLOOKUP(A160,'1.Loading'!A:R,2,FALSE)</f>
        <v>2026-10-08</v>
      </c>
      <c r="U160" s="63">
        <f>T160-S160</f>
        <v>46303</v>
      </c>
      <c r="V160" s="186" t="n"/>
      <c r="W160" s="61" t="str">
        <f>VLOOKUP(A160,'3.GateMove'!A:D,4,FALSE)</f>
        <v>2026-10-02</v>
      </c>
      <c r="X160" s="63">
        <f>((T160-W160)+1)</f>
        <v>7</v>
      </c>
      <c r="Y160" s="64">
        <f>IF(AND(OR(C160="BKK01",C160="BKK04"),L160="CFS/CY"),0,IF(M160="DG",1,IF(LEFT(C160,3)="LCH",7,IF(C160="BKK02",5,3))))</f>
        <v>3</v>
      </c>
      <c r="Z160" s="63">
        <f>IF(IF(AND(AC160="TML",AB160&gt;0),((T160-W160)+1)-AB160,((T160-W160)+1)-Y160)&gt;0,IF(AND(AC160="TML",AB160&gt;0),((T160-W160)+1)-AB160,((T160-W160)+1)-Y160),0)</f>
        <v>4</v>
      </c>
      <c r="AA160" s="187">
        <f>IF(AND(B160="G1",M160=""),IF(R160="20'",
VLOOKUP(Z160,Charge!$K$2:$M$5,2,TRUE)+(Z160-VLOOKUP(Z160,Charge!$K$2:$M$5,1,TRUE))*VLOOKUP(Z160,Charge!$K$2:$M$5,3,TRUE),
VLOOKUP(Z160,Charge!$N$2:$P$5,2,TRUE)+(Z160-VLOOKUP(Z160,Charge!$N$2:$P$5,1,TRUE))*VLOOKUP(Z160,Charge!$N$2:$P$5,3,TRUE)),
IF(AND(B160="G1",M160="DG"),IF(R160="20'",
VLOOKUP(Z160,Charge!$R$2:$T$5,2,TRUE)+(Z160-VLOOKUP(Z160,Charge!$R$2:$T$5,1,TRUE))*VLOOKUP(Z160,Charge!$R$2:$T$5,3,TRUE),
VLOOKUP(Z160,Charge!$U$2:$W$5,2,TRUE)+(Z160-VLOOKUP(Z160,Charge!$U$2:$W$5,1,TRUE))*VLOOKUP(Z160,Charge!$U$2:$W$5,3,TRUE)),
IF(AND(B160="G3",M160=""),IF(R160="20'",
VLOOKUP(Z160,Charge!$K$18:$M$21,2,TRUE)+(Z160-VLOOKUP(Z160,Charge!$K$18:$M$21,1,TRUE))*VLOOKUP(Z160,Charge!$K$18:$M$21,3,TRUE),
VLOOKUP(Z160,Charge!$N$18:$P$21,2,TRUE)+(Z160-VLOOKUP(Z160,Charge!$N$18:$P$21,1,TRUE))*VLOOKUP(Z160,Charge!$N$18:$P$21,3,TRUE)),
IF(AND(B160="G3",M160="DG"),IF(R160="20'",
VLOOKUP(Z160,Charge!$R$18:$T$21,2,TRUE)+(Z160-VLOOKUP(Z160,Charge!$R$18:$T$21,1,TRUE))*VLOOKUP(Z160,Charge!$R$18:$T$21,3,TRUE),
VLOOKUP(Z160,Charge!$U$18:$W$21,2,TRUE)+(Z160-VLOOKUP(Z160,Charge!$U$18:$W$21,1,TRUE))*VLOOKUP(Z160,Charge!$U$18:$W$21,3,TRUE)),
IF(AND(B160="G2",M160=""),IF(R160="20'",
VLOOKUP(Z160,Charge!$K$9:$M$12,2,TRUE)+(Z160-VLOOKUP(Z160,Charge!$K$9:$M$12,1,TRUE))*VLOOKUP(Z160,Charge!$K$9:$M$12,3,TRUE),
VLOOKUP(Z160,Charge!$N$9:$P$12,2,TRUE)+(Z160-VLOOKUP(Z160,Charge!$N$9:$P$12,1,TRUE))*VLOOKUP(Z160,Charge!$N$9:$P$12,3,TRUE)),
IF(AND(B160="G2",M160="DG"),IF(R160="20'",
VLOOKUP(Z160,Charge!$R$9:$T$12,2,TRUE)+(Z160-VLOOKUP(Z160,Charge!$R$9:$T$12,1,TRUE))*VLOOKUP(Z160,Charge!$R$9:$T$12,3,TRUE),
VLOOKUP(Z160,Charge!$U$9:$W$12,2,TRUE)+(Z160-VLOOKUP(Z160,Charge!$U$9:$W$12,1,TRUE))*VLOOKUP(Z160,Charge!$U$9:$W$12,3,TRUE)),IF(AND(B160="G4",M160=""),IF(R160="20'",Z160*Charge!$M$25,Z160*Charge!$P$25),IF(AND(B160="G4",M160="DG"),IF(R160="20'",Z160*Charge!$T$25,Z160*Charge!$W$25),0))))))))</f>
        <v>640</v>
      </c>
      <c r="AB160" s="184" t="n"/>
      <c r="AC160" s="184" t="n"/>
      <c r="AD160" s="60">
        <f>IF(M160="DG",3,IF(N160="RF",3,5))+IF(AND(LEFT(C160,3)="BKK",N160="RF",Q160="KTS"),1,0)+IF(Q160="KHS",1,0)</f>
        <v>5</v>
      </c>
      <c r="AE160" s="63">
        <f>(T160-V160)+1</f>
        <v>46304</v>
      </c>
      <c r="AF160" s="63">
        <f>IF(AB160&gt;IF((V160-W160)&gt;0,V160-W160,0),0,IF(AB160&lt;IF((V160-W160)&gt;0,V160-W160,0),IF((V160-W160)&gt;0,V160-W160,0)-AB160,IF((V160-W160)&gt;0,V160-W160,0)))</f>
        <v>0</v>
      </c>
      <c r="AG160" s="187">
        <f>IF(AND(M160=""),IF(R160="20'",
VLOOKUP(AF160,Charge!$K$31:$M$34,2,TRUE)+(AF160-VLOOKUP(AF160,Charge!$K$31:$M$34,1,TRUE))*VLOOKUP(AF160,Charge!$K$31:$M$34,3,TRUE),
VLOOKUP(AF160,Charge!$N$31:$P$34,2,TRUE)+(AF160-VLOOKUP(AF160,Charge!$N$31:$P$34,1,TRUE))*VLOOKUP(AF160,Charge!$N$31:$P$34,3,TRUE)),
IF(AND(M160="DG"),IF(R160="20'",
VLOOKUP(AF160,Charge!$R$31:$T$34,2,TRUE)+(AF160-VLOOKUP(AF160,Charge!$R$31:$T$34,1,TRUE))*VLOOKUP(AF160,Charge!$R$31:$T$34,3,TRUE),
VLOOKUP(AF160,Charge!$U$31:$W$34,2,TRUE)+(AF160-VLOOKUP(AF160,Charge!$U$31:$W$34,1,TRUE))*VLOOKUP(AF160,Charge!$U$31:$W$34,3,TRUE)),0))</f>
        <v>0</v>
      </c>
      <c r="AH160" s="65" t="n"/>
      <c r="AI160" s="65">
        <f>AA160-AH160</f>
        <v>640</v>
      </c>
      <c r="AJ160" s="188" t="n"/>
      <c r="AK160" s="62" t="str">
        <f>VLOOKUP(D160,'2.Bookinglist'!A:CT,40,FALSE)</f>
        <v>Dharaporn</v>
      </c>
      <c r="AL160" s="60" t="str">
        <f>VLOOKUP(D160,'2.Bookinglist'!A:CW,101,FALSE)</f>
        <v>2026-10-05</v>
      </c>
      <c r="AM160" s="60" t="str">
        <f>VLOOKUP(D160,'2.Bookinglist'!A:BK,63,FALSE)</f>
        <v>BKK27</v>
      </c>
      <c r="AN160" s="62" t="str">
        <f>VLOOKUP(D160,'2.Bookinglist'!A:AZ,52,FALSE)</f>
        <v>**APPROVED BY H.W KANG DD.23/09/2026** *FLEXIBAG ONDECK*
Survey : 2026-09-30, Pickup : 2026-10-01, Return : 2026-10-02 </v>
      </c>
      <c r="AO160" s="62">
        <f>VLOOKUP(D160,'2.Bookinglist'!A:CY,103,FALSE)</f>
        <v>0</v>
      </c>
    </row>
    <row r="161" ht="12.95" customHeight="1">
      <c r="A161" s="96" t="inlineStr">
        <is>
          <t>SKLU2079731</t>
        </is>
      </c>
      <c r="B161" s="184" t="str">
        <f>IF(C161=Charge!$M$1,Charge!$J$1,IF(C161=Charge!$M$23,Charge!$J$23,IF(C161=Charge!$M$17,Charge!$J$17,IF(C161=Charge!$N$17,Charge!$J$17,Charge!$J$7))))</f>
        <v>G3</v>
      </c>
      <c r="C161" s="61" t="str">
        <f>VLOOKUP(A161,'1.Loading'!A:R,14,FALSE)</f>
        <v>BKK04</v>
      </c>
      <c r="D161" s="61" t="str">
        <f>VLOOKUP(A161,'1.Loading'!A:R,17,FALSE)</f>
        <v>HASLS22260801914</v>
      </c>
      <c r="E161" s="62" t="str">
        <f>VLOOKUP(D161,'2.Bookinglist'!A:CT,27,FALSE)</f>
        <v>DP WORLD LOGISTICS SOLUTIONS (THAILAND) COMPANY LIMITED</v>
      </c>
      <c r="F161" s="62" t="str">
        <f>VLOOKUP(D161,'2.Bookinglist'!A:CT,28,FALSE)</f>
        <v>DP WORLD LOGISTICS SOLUTIONS (THAILAND) COMPANY LIMITED</v>
      </c>
      <c r="G161" s="60">
        <f>VLOOKUP(D161,'2.Bookinglist'!A:E,5,FALSE)</f>
        <v>0</v>
      </c>
      <c r="H161" s="61" t="str">
        <f>VLOOKUP(D161,'2.Bookinglist'!A:CT,15,FALSE)</f>
        <v>THBKK</v>
      </c>
      <c r="I161" s="61" t="str">
        <f>VLOOKUP(D161,'2.Bookinglist'!A:CT,19,FALSE)</f>
        <v>KRPTK</v>
      </c>
      <c r="J161" s="61">
        <f>VLOOKUP(D161,'2.Bookinglist'!A:CT,26,FALSE)</f>
        <v>0</v>
      </c>
      <c r="K161" s="61" t="str">
        <f>VLOOKUP(A161,'1.Loading'!A:R,5,FALSE)</f>
        <v>22GP</v>
      </c>
      <c r="L161" s="60" t="str">
        <f>VLOOKUP(D161,'2.Bookinglist'!A:CT,85,FALSE)</f>
        <v>CY/CY</v>
      </c>
      <c r="M161" s="60" t="str">
        <f>IF(VLOOKUP(D161,'2.Bookinglist'!A:CT,43,FALSE)=0,"","DG")</f>
        <v/>
      </c>
      <c r="N161" s="60" t="str">
        <f>IF(RIGHT(K161,2)="RE","RF","")</f>
        <v/>
      </c>
      <c r="O161" s="61" t="str">
        <f>VLOOKUP(A161,'1.Loading'!A:R,3,FALSE)</f>
        <v>SWSP</v>
      </c>
      <c r="P161" s="61" t="str">
        <f>VLOOKUP(A161,'1.Loading'!A:R,4,FALSE)</f>
        <v>2609N</v>
      </c>
      <c r="Q161" s="61" t="str">
        <f>VLOOKUP(D161,'2.Bookinglist'!A:CT,12,FALSE)</f>
        <v>BTS</v>
      </c>
      <c r="R161" s="60" t="str">
        <f>IF(LEFT(K161,2)="22","20'","40'")</f>
        <v>20'</v>
      </c>
      <c r="S161" s="185" t="n"/>
      <c r="T161" s="61" t="str">
        <f>VLOOKUP(A161,'1.Loading'!A:R,2,FALSE)</f>
        <v>2026-10-08</v>
      </c>
      <c r="U161" s="63">
        <f>T161-S161</f>
        <v>46303</v>
      </c>
      <c r="V161" s="186" t="n"/>
      <c r="W161" s="61" t="str">
        <f>VLOOKUP(A161,'3.GateMove'!A:D,4,FALSE)</f>
        <v>2026-09-19</v>
      </c>
      <c r="X161" s="63">
        <f>((T161-W161)+1)</f>
        <v>20</v>
      </c>
      <c r="Y161" s="64">
        <f>IF(AND(OR(C161="BKK01",C161="BKK04"),L161="CFS/CY"),0,IF(M161="DG",1,IF(LEFT(C161,3)="LCH",7,IF(C161="BKK02",5,3))))</f>
        <v>3</v>
      </c>
      <c r="Z161" s="63">
        <f>IF(IF(AND(AC161="TML",AB161&gt;0),((T161-W161)+1)-AB161,((T161-W161)+1)-Y161)&gt;0,IF(AND(AC161="TML",AB161&gt;0),((T161-W161)+1)-AB161,((T161-W161)+1)-Y161),0)</f>
        <v>17</v>
      </c>
      <c r="AA161" s="187">
        <f>IF(AND(B161="G1",M161=""),IF(R161="20'",
VLOOKUP(Z161,Charge!$K$2:$M$5,2,TRUE)+(Z161-VLOOKUP(Z161,Charge!$K$2:$M$5,1,TRUE))*VLOOKUP(Z161,Charge!$K$2:$M$5,3,TRUE),
VLOOKUP(Z161,Charge!$N$2:$P$5,2,TRUE)+(Z161-VLOOKUP(Z161,Charge!$N$2:$P$5,1,TRUE))*VLOOKUP(Z161,Charge!$N$2:$P$5,3,TRUE)),
IF(AND(B161="G1",M161="DG"),IF(R161="20'",
VLOOKUP(Z161,Charge!$R$2:$T$5,2,TRUE)+(Z161-VLOOKUP(Z161,Charge!$R$2:$T$5,1,TRUE))*VLOOKUP(Z161,Charge!$R$2:$T$5,3,TRUE),
VLOOKUP(Z161,Charge!$U$2:$W$5,2,TRUE)+(Z161-VLOOKUP(Z161,Charge!$U$2:$W$5,1,TRUE))*VLOOKUP(Z161,Charge!$U$2:$W$5,3,TRUE)),
IF(AND(B161="G3",M161=""),IF(R161="20'",
VLOOKUP(Z161,Charge!$K$18:$M$21,2,TRUE)+(Z161-VLOOKUP(Z161,Charge!$K$18:$M$21,1,TRUE))*VLOOKUP(Z161,Charge!$K$18:$M$21,3,TRUE),
VLOOKUP(Z161,Charge!$N$18:$P$21,2,TRUE)+(Z161-VLOOKUP(Z161,Charge!$N$18:$P$21,1,TRUE))*VLOOKUP(Z161,Charge!$N$18:$P$21,3,TRUE)),
IF(AND(B161="G3",M161="DG"),IF(R161="20'",
VLOOKUP(Z161,Charge!$R$18:$T$21,2,TRUE)+(Z161-VLOOKUP(Z161,Charge!$R$18:$T$21,1,TRUE))*VLOOKUP(Z161,Charge!$R$18:$T$21,3,TRUE),
VLOOKUP(Z161,Charge!$U$18:$W$21,2,TRUE)+(Z161-VLOOKUP(Z161,Charge!$U$18:$W$21,1,TRUE))*VLOOKUP(Z161,Charge!$U$18:$W$21,3,TRUE)),
IF(AND(B161="G2",M161=""),IF(R161="20'",
VLOOKUP(Z161,Charge!$K$9:$M$12,2,TRUE)+(Z161-VLOOKUP(Z161,Charge!$K$9:$M$12,1,TRUE))*VLOOKUP(Z161,Charge!$K$9:$M$12,3,TRUE),
VLOOKUP(Z161,Charge!$N$9:$P$12,2,TRUE)+(Z161-VLOOKUP(Z161,Charge!$N$9:$P$12,1,TRUE))*VLOOKUP(Z161,Charge!$N$9:$P$12,3,TRUE)),
IF(AND(B161="G2",M161="DG"),IF(R161="20'",
VLOOKUP(Z161,Charge!$R$9:$T$12,2,TRUE)+(Z161-VLOOKUP(Z161,Charge!$R$9:$T$12,1,TRUE))*VLOOKUP(Z161,Charge!$R$9:$T$12,3,TRUE),
VLOOKUP(Z161,Charge!$U$9:$W$12,2,TRUE)+(Z161-VLOOKUP(Z161,Charge!$U$9:$W$12,1,TRUE))*VLOOKUP(Z161,Charge!$U$9:$W$12,3,TRUE)),IF(AND(B161="G4",M161=""),IF(R161="20'",Z161*Charge!$M$25,Z161*Charge!$P$25),IF(AND(B161="G4",M161="DG"),IF(R161="20'",Z161*Charge!$T$25,Z161*Charge!$W$25),0))))))))</f>
        <v>4215</v>
      </c>
      <c r="AB161" s="184" t="n"/>
      <c r="AC161" s="184" t="n"/>
      <c r="AD161" s="60">
        <f>IF(M161="DG",3,IF(N161="RF",3,5))+IF(AND(LEFT(C161,3)="BKK",N161="RF",Q161="KTS"),1,0)+IF(Q161="KHS",1,0)</f>
        <v>5</v>
      </c>
      <c r="AE161" s="63">
        <f>(T161-V161)+1</f>
        <v>46304</v>
      </c>
      <c r="AF161" s="63">
        <f>IF(AB161&gt;IF((V161-W161)&gt;0,V161-W161,0),0,IF(AB161&lt;IF((V161-W161)&gt;0,V161-W161,0),IF((V161-W161)&gt;0,V161-W161,0)-AB161,IF((V161-W161)&gt;0,V161-W161,0)))</f>
        <v>0</v>
      </c>
      <c r="AG161" s="187">
        <f>IF(AND(M161=""),IF(R161="20'",
VLOOKUP(AF161,Charge!$K$31:$M$34,2,TRUE)+(AF161-VLOOKUP(AF161,Charge!$K$31:$M$34,1,TRUE))*VLOOKUP(AF161,Charge!$K$31:$M$34,3,TRUE),
VLOOKUP(AF161,Charge!$N$31:$P$34,2,TRUE)+(AF161-VLOOKUP(AF161,Charge!$N$31:$P$34,1,TRUE))*VLOOKUP(AF161,Charge!$N$31:$P$34,3,TRUE)),
IF(AND(M161="DG"),IF(R161="20'",
VLOOKUP(AF161,Charge!$R$31:$T$34,2,TRUE)+(AF161-VLOOKUP(AF161,Charge!$R$31:$T$34,1,TRUE))*VLOOKUP(AF161,Charge!$R$31:$T$34,3,TRUE),
VLOOKUP(AF161,Charge!$U$31:$W$34,2,TRUE)+(AF161-VLOOKUP(AF161,Charge!$U$31:$W$34,1,TRUE))*VLOOKUP(AF161,Charge!$U$31:$W$34,3,TRUE)),0))</f>
        <v>0</v>
      </c>
      <c r="AH161" s="65" t="n"/>
      <c r="AI161" s="65">
        <f>AA161-AH161</f>
        <v>4215</v>
      </c>
      <c r="AJ161" s="188" t="n"/>
      <c r="AK161" s="62" t="str">
        <f>VLOOKUP(D161,'2.Bookinglist'!A:CT,40,FALSE)</f>
        <v>Nannaapust Sukporntaweewat</v>
      </c>
      <c r="AL161" s="60" t="str">
        <f>VLOOKUP(D161,'2.Bookinglist'!A:CW,101,FALSE)</f>
        <v>2026-10-05</v>
      </c>
      <c r="AM161" s="60" t="str">
        <f>VLOOKUP(D161,'2.Bookinglist'!A:BK,63,FALSE)</f>
        <v>BKK27</v>
      </c>
      <c r="AN161" s="62" t="str">
        <f>VLOOKUP(D161,'2.Bookinglist'!A:AZ,52,FALSE)</f>
        <v>** APPROVED BY H.W KANG DD.28/09/2026 ** *FLEXIBAG ONDECK*
Servey : 17/09/2026, Pickup : 18/09/2026, Return : 21/09/2026 *EXTEND CLS TIME : 22/09/2026 @06.00* </v>
      </c>
      <c r="AO161" s="62" t="str">
        <f>VLOOKUP(D161,'2.Bookinglist'!A:CY,103,FALSE)</f>
        <v>ROLL OVER FROM PREVIOUS VSL SWMM 2609N BY ALLOCATION TEAM MS.TARN APRPOVED COST IS UNDER HA DD.21/09</v>
      </c>
    </row>
    <row r="162" ht="12.95" customHeight="1">
      <c r="A162" s="96" t="inlineStr">
        <is>
          <t>SKLU2114257</t>
        </is>
      </c>
      <c r="B162" s="184" t="str">
        <f>IF(C162=Charge!$M$1,Charge!$J$1,IF(C162=Charge!$M$23,Charge!$J$23,IF(C162=Charge!$M$17,Charge!$J$17,IF(C162=Charge!$N$17,Charge!$J$17,Charge!$J$7))))</f>
        <v>G3</v>
      </c>
      <c r="C162" s="61" t="str">
        <f>VLOOKUP(A162,'1.Loading'!A:R,14,FALSE)</f>
        <v>BKK04</v>
      </c>
      <c r="D162" s="61" t="str">
        <f>VLOOKUP(A162,'1.Loading'!A:R,17,FALSE)</f>
        <v>HASLS22260900941</v>
      </c>
      <c r="E162" s="62" t="str">
        <f>VLOOKUP(D162,'2.Bookinglist'!A:CT,27,FALSE)</f>
        <v>CTL INTERNATIONAL CO., LTD.</v>
      </c>
      <c r="F162" s="62" t="str">
        <f>VLOOKUP(D162,'2.Bookinglist'!A:CT,28,FALSE)</f>
        <v>THAI FLOUR INDUSTRY CO., LTD.</v>
      </c>
      <c r="G162" s="60">
        <f>VLOOKUP(D162,'2.Bookinglist'!A:E,5,FALSE)</f>
        <v>0</v>
      </c>
      <c r="H162" s="61" t="str">
        <f>VLOOKUP(D162,'2.Bookinglist'!A:CT,15,FALSE)</f>
        <v>THBKK</v>
      </c>
      <c r="I162" s="61" t="str">
        <f>VLOOKUP(D162,'2.Bookinglist'!A:CT,19,FALSE)</f>
        <v>JPHHE</v>
      </c>
      <c r="J162" s="61" t="str">
        <f>VLOOKUP(D162,'2.Bookinglist'!A:CT,26,FALSE)</f>
        <v>KRPUS</v>
      </c>
      <c r="K162" s="61" t="str">
        <f>VLOOKUP(A162,'1.Loading'!A:R,5,FALSE)</f>
        <v>22GP</v>
      </c>
      <c r="L162" s="60" t="str">
        <f>VLOOKUP(D162,'2.Bookinglist'!A:CT,85,FALSE)</f>
        <v>CY/CY</v>
      </c>
      <c r="M162" s="60" t="str">
        <f>IF(VLOOKUP(D162,'2.Bookinglist'!A:CT,43,FALSE)=0,"","DG")</f>
        <v/>
      </c>
      <c r="N162" s="60" t="str">
        <f>IF(RIGHT(K162,2)="RE","RF","")</f>
        <v/>
      </c>
      <c r="O162" s="61" t="str">
        <f>VLOOKUP(A162,'1.Loading'!A:R,3,FALSE)</f>
        <v>SWSP</v>
      </c>
      <c r="P162" s="61" t="str">
        <f>VLOOKUP(A162,'1.Loading'!A:R,4,FALSE)</f>
        <v>2609N</v>
      </c>
      <c r="Q162" s="61" t="str">
        <f>VLOOKUP(D162,'2.Bookinglist'!A:CT,12,FALSE)</f>
        <v>BTS</v>
      </c>
      <c r="R162" s="60" t="str">
        <f>IF(LEFT(K162,2)="22","20'","40'")</f>
        <v>20'</v>
      </c>
      <c r="S162" s="185" t="n"/>
      <c r="T162" s="61" t="str">
        <f>VLOOKUP(A162,'1.Loading'!A:R,2,FALSE)</f>
        <v>2026-10-08</v>
      </c>
      <c r="U162" s="63">
        <f>T162-S162</f>
        <v>46303</v>
      </c>
      <c r="V162" s="186" t="n"/>
      <c r="W162" s="61" t="str">
        <f>VLOOKUP(A162,'3.GateMove'!A:D,4,FALSE)</f>
        <v>2026-09-28</v>
      </c>
      <c r="X162" s="63">
        <f>((T162-W162)+1)</f>
        <v>11</v>
      </c>
      <c r="Y162" s="64">
        <f>IF(AND(OR(C162="BKK01",C162="BKK04"),L162="CFS/CY"),0,IF(M162="DG",1,IF(LEFT(C162,3)="LCH",7,IF(C162="BKK02",5,3))))</f>
        <v>3</v>
      </c>
      <c r="Z162" s="63">
        <f>IF(IF(AND(AC162="TML",AB162&gt;0),((T162-W162)+1)-AB162,((T162-W162)+1)-Y162)&gt;0,IF(AND(AC162="TML",AB162&gt;0),((T162-W162)+1)-AB162,((T162-W162)+1)-Y162),0)</f>
        <v>8</v>
      </c>
      <c r="AA162" s="187">
        <f>IF(AND(B162="G1",M162=""),IF(R162="20'",
VLOOKUP(Z162,Charge!$K$2:$M$5,2,TRUE)+(Z162-VLOOKUP(Z162,Charge!$K$2:$M$5,1,TRUE))*VLOOKUP(Z162,Charge!$K$2:$M$5,3,TRUE),
VLOOKUP(Z162,Charge!$N$2:$P$5,2,TRUE)+(Z162-VLOOKUP(Z162,Charge!$N$2:$P$5,1,TRUE))*VLOOKUP(Z162,Charge!$N$2:$P$5,3,TRUE)),
IF(AND(B162="G1",M162="DG"),IF(R162="20'",
VLOOKUP(Z162,Charge!$R$2:$T$5,2,TRUE)+(Z162-VLOOKUP(Z162,Charge!$R$2:$T$5,1,TRUE))*VLOOKUP(Z162,Charge!$R$2:$T$5,3,TRUE),
VLOOKUP(Z162,Charge!$U$2:$W$5,2,TRUE)+(Z162-VLOOKUP(Z162,Charge!$U$2:$W$5,1,TRUE))*VLOOKUP(Z162,Charge!$U$2:$W$5,3,TRUE)),
IF(AND(B162="G3",M162=""),IF(R162="20'",
VLOOKUP(Z162,Charge!$K$18:$M$21,2,TRUE)+(Z162-VLOOKUP(Z162,Charge!$K$18:$M$21,1,TRUE))*VLOOKUP(Z162,Charge!$K$18:$M$21,3,TRUE),
VLOOKUP(Z162,Charge!$N$18:$P$21,2,TRUE)+(Z162-VLOOKUP(Z162,Charge!$N$18:$P$21,1,TRUE))*VLOOKUP(Z162,Charge!$N$18:$P$21,3,TRUE)),
IF(AND(B162="G3",M162="DG"),IF(R162="20'",
VLOOKUP(Z162,Charge!$R$18:$T$21,2,TRUE)+(Z162-VLOOKUP(Z162,Charge!$R$18:$T$21,1,TRUE))*VLOOKUP(Z162,Charge!$R$18:$T$21,3,TRUE),
VLOOKUP(Z162,Charge!$U$18:$W$21,2,TRUE)+(Z162-VLOOKUP(Z162,Charge!$U$18:$W$21,1,TRUE))*VLOOKUP(Z162,Charge!$U$18:$W$21,3,TRUE)),
IF(AND(B162="G2",M162=""),IF(R162="20'",
VLOOKUP(Z162,Charge!$K$9:$M$12,2,TRUE)+(Z162-VLOOKUP(Z162,Charge!$K$9:$M$12,1,TRUE))*VLOOKUP(Z162,Charge!$K$9:$M$12,3,TRUE),
VLOOKUP(Z162,Charge!$N$9:$P$12,2,TRUE)+(Z162-VLOOKUP(Z162,Charge!$N$9:$P$12,1,TRUE))*VLOOKUP(Z162,Charge!$N$9:$P$12,3,TRUE)),
IF(AND(B162="G2",M162="DG"),IF(R162="20'",
VLOOKUP(Z162,Charge!$R$9:$T$12,2,TRUE)+(Z162-VLOOKUP(Z162,Charge!$R$9:$T$12,1,TRUE))*VLOOKUP(Z162,Charge!$R$9:$T$12,3,TRUE),
VLOOKUP(Z162,Charge!$U$9:$W$12,2,TRUE)+(Z162-VLOOKUP(Z162,Charge!$U$9:$W$12,1,TRUE))*VLOOKUP(Z162,Charge!$U$9:$W$12,3,TRUE)),IF(AND(B162="G4",M162=""),IF(R162="20'",Z162*Charge!$M$25,Z162*Charge!$P$25),IF(AND(B162="G4",M162="DG"),IF(R162="20'",Z162*Charge!$T$25,Z162*Charge!$W$25),0))))))))</f>
        <v>1395</v>
      </c>
      <c r="AB162" s="184" t="n"/>
      <c r="AC162" s="184" t="n"/>
      <c r="AD162" s="60">
        <f>IF(M162="DG",3,IF(N162="RF",3,5))+IF(AND(LEFT(C162,3)="BKK",N162="RF",Q162="KTS"),1,0)+IF(Q162="KHS",1,0)</f>
        <v>5</v>
      </c>
      <c r="AE162" s="63">
        <f>(T162-V162)+1</f>
        <v>46304</v>
      </c>
      <c r="AF162" s="63">
        <f>IF(AB162&gt;IF((V162-W162)&gt;0,V162-W162,0),0,IF(AB162&lt;IF((V162-W162)&gt;0,V162-W162,0),IF((V162-W162)&gt;0,V162-W162,0)-AB162,IF((V162-W162)&gt;0,V162-W162,0)))</f>
        <v>0</v>
      </c>
      <c r="AG162" s="187">
        <f>IF(AND(M162=""),IF(R162="20'",
VLOOKUP(AF162,Charge!$K$31:$M$34,2,TRUE)+(AF162-VLOOKUP(AF162,Charge!$K$31:$M$34,1,TRUE))*VLOOKUP(AF162,Charge!$K$31:$M$34,3,TRUE),
VLOOKUP(AF162,Charge!$N$31:$P$34,2,TRUE)+(AF162-VLOOKUP(AF162,Charge!$N$31:$P$34,1,TRUE))*VLOOKUP(AF162,Charge!$N$31:$P$34,3,TRUE)),
IF(AND(M162="DG"),IF(R162="20'",
VLOOKUP(AF162,Charge!$R$31:$T$34,2,TRUE)+(AF162-VLOOKUP(AF162,Charge!$R$31:$T$34,1,TRUE))*VLOOKUP(AF162,Charge!$R$31:$T$34,3,TRUE),
VLOOKUP(AF162,Charge!$U$31:$W$34,2,TRUE)+(AF162-VLOOKUP(AF162,Charge!$U$31:$W$34,1,TRUE))*VLOOKUP(AF162,Charge!$U$31:$W$34,3,TRUE)),0))</f>
        <v>0</v>
      </c>
      <c r="AH162" s="65" t="n"/>
      <c r="AI162" s="65">
        <f>AA162-AH162</f>
        <v>1395</v>
      </c>
      <c r="AJ162" s="188" t="n"/>
      <c r="AK162" s="62" t="str">
        <f>VLOOKUP(D162,'2.Bookinglist'!A:CT,40,FALSE)</f>
        <v>Sukunpoj Damrongying</v>
      </c>
      <c r="AL162" s="60" t="str">
        <f>VLOOKUP(D162,'2.Bookinglist'!A:CW,101,FALSE)</f>
        <v>2026-10-07</v>
      </c>
      <c r="AM162" s="60" t="str">
        <f>VLOOKUP(D162,'2.Bookinglist'!A:BK,63,FALSE)</f>
        <v>BKK27</v>
      </c>
      <c r="AN162" s="62" t="str">
        <f>VLOOKUP(D162,'2.Bookinglist'!A:AZ,52,FALSE)</f>
        <v>[FIX]Pickup : 2026-09-26, Return : 2026-09-28 
 </v>
      </c>
      <c r="AO162" s="62" t="str">
        <f>VLOOKUP(D162,'2.Bookinglist'!A:CY,103,FALSE)</f>
        <v>ROLL OVER FROM PREVIOUS VSL KMBK 2611N BY ALLOCATION TEAM MS.TARN APPROVED COST IS UNDER HAL DD.01/10</v>
      </c>
    </row>
    <row r="163" ht="12.95" customHeight="1">
      <c r="A163" s="96" t="inlineStr">
        <is>
          <t>SKLU2129278</t>
        </is>
      </c>
      <c r="B163" s="184" t="str">
        <f>IF(C163=Charge!$M$1,Charge!$J$1,IF(C163=Charge!$M$23,Charge!$J$23,IF(C163=Charge!$M$17,Charge!$J$17,IF(C163=Charge!$N$17,Charge!$J$17,Charge!$J$7))))</f>
        <v>G3</v>
      </c>
      <c r="C163" s="61" t="str">
        <f>VLOOKUP(A163,'1.Loading'!A:R,14,FALSE)</f>
        <v>BKK04</v>
      </c>
      <c r="D163" s="61" t="str">
        <f>VLOOKUP(A163,'1.Loading'!A:R,17,FALSE)</f>
        <v>HASLS22260800838</v>
      </c>
      <c r="E163" s="62" t="str">
        <f>VLOOKUP(D163,'2.Bookinglist'!A:CT,27,FALSE)</f>
        <v>SCGJWD LOGISTICS PUBLIC COMPANY LIMITED</v>
      </c>
      <c r="F163" s="62" t="str">
        <f>VLOOKUP(D163,'2.Bookinglist'!A:CT,28,FALSE)</f>
        <v>SCG INTERNATIONAL CORPORATION CO., LTD.</v>
      </c>
      <c r="G163" s="60">
        <f>VLOOKUP(D163,'2.Bookinglist'!A:E,5,FALSE)</f>
        <v>0</v>
      </c>
      <c r="H163" s="61" t="str">
        <f>VLOOKUP(D163,'2.Bookinglist'!A:CT,15,FALSE)</f>
        <v>THBKK</v>
      </c>
      <c r="I163" s="61" t="str">
        <f>VLOOKUP(D163,'2.Bookinglist'!A:CT,19,FALSE)</f>
        <v>VNSGN</v>
      </c>
      <c r="J163" s="61">
        <f>VLOOKUP(D163,'2.Bookinglist'!A:CT,26,FALSE)</f>
        <v>0</v>
      </c>
      <c r="K163" s="61" t="str">
        <f>VLOOKUP(A163,'1.Loading'!A:R,5,FALSE)</f>
        <v>22GP</v>
      </c>
      <c r="L163" s="60" t="str">
        <f>VLOOKUP(D163,'2.Bookinglist'!A:CT,85,FALSE)</f>
        <v>CY/CY</v>
      </c>
      <c r="M163" s="60" t="str">
        <f>IF(VLOOKUP(D163,'2.Bookinglist'!A:CT,43,FALSE)=0,"","DG")</f>
        <v/>
      </c>
      <c r="N163" s="60" t="str">
        <f>IF(RIGHT(K163,2)="RE","RF","")</f>
        <v/>
      </c>
      <c r="O163" s="61" t="str">
        <f>VLOOKUP(A163,'1.Loading'!A:R,3,FALSE)</f>
        <v>SWSP</v>
      </c>
      <c r="P163" s="61" t="str">
        <f>VLOOKUP(A163,'1.Loading'!A:R,4,FALSE)</f>
        <v>2609N</v>
      </c>
      <c r="Q163" s="61" t="str">
        <f>VLOOKUP(D163,'2.Bookinglist'!A:CT,12,FALSE)</f>
        <v>BTS</v>
      </c>
      <c r="R163" s="60" t="str">
        <f>IF(LEFT(K163,2)="22","20'","40'")</f>
        <v>20'</v>
      </c>
      <c r="S163" s="185" t="n"/>
      <c r="T163" s="61" t="str">
        <f>VLOOKUP(A163,'1.Loading'!A:R,2,FALSE)</f>
        <v>2026-10-08</v>
      </c>
      <c r="U163" s="63">
        <f>T163-S163</f>
        <v>46303</v>
      </c>
      <c r="V163" s="186" t="n"/>
      <c r="W163" s="61" t="str">
        <f>VLOOKUP(A163,'3.GateMove'!A:D,4,FALSE)</f>
        <v>2026-09-28</v>
      </c>
      <c r="X163" s="63">
        <f>((T163-W163)+1)</f>
        <v>11</v>
      </c>
      <c r="Y163" s="64">
        <f>IF(AND(OR(C163="BKK01",C163="BKK04"),L163="CFS/CY"),0,IF(M163="DG",1,IF(LEFT(C163,3)="LCH",7,IF(C163="BKK02",5,3))))</f>
        <v>3</v>
      </c>
      <c r="Z163" s="63">
        <f>IF(IF(AND(AC163="TML",AB163&gt;0),((T163-W163)+1)-AB163,((T163-W163)+1)-Y163)&gt;0,IF(AND(AC163="TML",AB163&gt;0),((T163-W163)+1)-AB163,((T163-W163)+1)-Y163),0)</f>
        <v>8</v>
      </c>
      <c r="AA163" s="187">
        <f>IF(AND(B163="G1",M163=""),IF(R163="20'",
VLOOKUP(Z163,Charge!$K$2:$M$5,2,TRUE)+(Z163-VLOOKUP(Z163,Charge!$K$2:$M$5,1,TRUE))*VLOOKUP(Z163,Charge!$K$2:$M$5,3,TRUE),
VLOOKUP(Z163,Charge!$N$2:$P$5,2,TRUE)+(Z163-VLOOKUP(Z163,Charge!$N$2:$P$5,1,TRUE))*VLOOKUP(Z163,Charge!$N$2:$P$5,3,TRUE)),
IF(AND(B163="G1",M163="DG"),IF(R163="20'",
VLOOKUP(Z163,Charge!$R$2:$T$5,2,TRUE)+(Z163-VLOOKUP(Z163,Charge!$R$2:$T$5,1,TRUE))*VLOOKUP(Z163,Charge!$R$2:$T$5,3,TRUE),
VLOOKUP(Z163,Charge!$U$2:$W$5,2,TRUE)+(Z163-VLOOKUP(Z163,Charge!$U$2:$W$5,1,TRUE))*VLOOKUP(Z163,Charge!$U$2:$W$5,3,TRUE)),
IF(AND(B163="G3",M163=""),IF(R163="20'",
VLOOKUP(Z163,Charge!$K$18:$M$21,2,TRUE)+(Z163-VLOOKUP(Z163,Charge!$K$18:$M$21,1,TRUE))*VLOOKUP(Z163,Charge!$K$18:$M$21,3,TRUE),
VLOOKUP(Z163,Charge!$N$18:$P$21,2,TRUE)+(Z163-VLOOKUP(Z163,Charge!$N$18:$P$21,1,TRUE))*VLOOKUP(Z163,Charge!$N$18:$P$21,3,TRUE)),
IF(AND(B163="G3",M163="DG"),IF(R163="20'",
VLOOKUP(Z163,Charge!$R$18:$T$21,2,TRUE)+(Z163-VLOOKUP(Z163,Charge!$R$18:$T$21,1,TRUE))*VLOOKUP(Z163,Charge!$R$18:$T$21,3,TRUE),
VLOOKUP(Z163,Charge!$U$18:$W$21,2,TRUE)+(Z163-VLOOKUP(Z163,Charge!$U$18:$W$21,1,TRUE))*VLOOKUP(Z163,Charge!$U$18:$W$21,3,TRUE)),
IF(AND(B163="G2",M163=""),IF(R163="20'",
VLOOKUP(Z163,Charge!$K$9:$M$12,2,TRUE)+(Z163-VLOOKUP(Z163,Charge!$K$9:$M$12,1,TRUE))*VLOOKUP(Z163,Charge!$K$9:$M$12,3,TRUE),
VLOOKUP(Z163,Charge!$N$9:$P$12,2,TRUE)+(Z163-VLOOKUP(Z163,Charge!$N$9:$P$12,1,TRUE))*VLOOKUP(Z163,Charge!$N$9:$P$12,3,TRUE)),
IF(AND(B163="G2",M163="DG"),IF(R163="20'",
VLOOKUP(Z163,Charge!$R$9:$T$12,2,TRUE)+(Z163-VLOOKUP(Z163,Charge!$R$9:$T$12,1,TRUE))*VLOOKUP(Z163,Charge!$R$9:$T$12,3,TRUE),
VLOOKUP(Z163,Charge!$U$9:$W$12,2,TRUE)+(Z163-VLOOKUP(Z163,Charge!$U$9:$W$12,1,TRUE))*VLOOKUP(Z163,Charge!$U$9:$W$12,3,TRUE)),IF(AND(B163="G4",M163=""),IF(R163="20'",Z163*Charge!$M$25,Z163*Charge!$P$25),IF(AND(B163="G4",M163="DG"),IF(R163="20'",Z163*Charge!$T$25,Z163*Charge!$W$25),0))))))))</f>
        <v>1395</v>
      </c>
      <c r="AB163" s="184" t="n"/>
      <c r="AC163" s="184" t="n"/>
      <c r="AD163" s="60">
        <f>IF(M163="DG",3,IF(N163="RF",3,5))+IF(AND(LEFT(C163,3)="BKK",N163="RF",Q163="KTS"),1,0)+IF(Q163="KHS",1,0)</f>
        <v>5</v>
      </c>
      <c r="AE163" s="63">
        <f>(T163-V163)+1</f>
        <v>46304</v>
      </c>
      <c r="AF163" s="63">
        <f>IF(AB163&gt;IF((V163-W163)&gt;0,V163-W163,0),0,IF(AB163&lt;IF((V163-W163)&gt;0,V163-W163,0),IF((V163-W163)&gt;0,V163-W163,0)-AB163,IF((V163-W163)&gt;0,V163-W163,0)))</f>
        <v>0</v>
      </c>
      <c r="AG163" s="187">
        <f>IF(AND(M163=""),IF(R163="20'",
VLOOKUP(AF163,Charge!$K$31:$M$34,2,TRUE)+(AF163-VLOOKUP(AF163,Charge!$K$31:$M$34,1,TRUE))*VLOOKUP(AF163,Charge!$K$31:$M$34,3,TRUE),
VLOOKUP(AF163,Charge!$N$31:$P$34,2,TRUE)+(AF163-VLOOKUP(AF163,Charge!$N$31:$P$34,1,TRUE))*VLOOKUP(AF163,Charge!$N$31:$P$34,3,TRUE)),
IF(AND(M163="DG"),IF(R163="20'",
VLOOKUP(AF163,Charge!$R$31:$T$34,2,TRUE)+(AF163-VLOOKUP(AF163,Charge!$R$31:$T$34,1,TRUE))*VLOOKUP(AF163,Charge!$R$31:$T$34,3,TRUE),
VLOOKUP(AF163,Charge!$U$31:$W$34,2,TRUE)+(AF163-VLOOKUP(AF163,Charge!$U$31:$W$34,1,TRUE))*VLOOKUP(AF163,Charge!$U$31:$W$34,3,TRUE)),0))</f>
        <v>0</v>
      </c>
      <c r="AH163" s="65" t="n"/>
      <c r="AI163" s="65">
        <f>AA163-AH163</f>
        <v>1395</v>
      </c>
      <c r="AJ163" s="188" t="n"/>
      <c r="AK163" s="62" t="str">
        <f>VLOOKUP(D163,'2.Bookinglist'!A:CT,40,FALSE)</f>
        <v>Kanokporn</v>
      </c>
      <c r="AL163" s="60" t="str">
        <f>VLOOKUP(D163,'2.Bookinglist'!A:CW,101,FALSE)</f>
        <v>2026-10-07</v>
      </c>
      <c r="AM163" s="60" t="str">
        <f>VLOOKUP(D163,'2.Bookinglist'!A:BK,63,FALSE)</f>
        <v>BKK27</v>
      </c>
      <c r="AN163" s="62" t="str">
        <f>VLOOKUP(D163,'2.Bookinglist'!A:AZ,52,FALSE)</f>
        <v>CY-RTN : 28-28/09/2026 (1ST RETURN 28/09/26)
(JB2606177029) </v>
      </c>
      <c r="AO163" s="62" t="str">
        <f>VLOOKUP(D163,'2.Bookinglist'!A:CY,103,FALSE)</f>
        <v>ROLL OVER FROM PREVIOUS VSL KMBK 2611N BY ALLOCATION TEAM MS.TARN APPROVED COST IS UNDER HAL DD.01/10</v>
      </c>
    </row>
    <row r="164" ht="12.95" customHeight="1">
      <c r="A164" s="96" t="inlineStr">
        <is>
          <t>SKLU2301263</t>
        </is>
      </c>
      <c r="B164" s="184" t="str">
        <f>IF(C164=Charge!$M$1,Charge!$J$1,IF(C164=Charge!$M$23,Charge!$J$23,IF(C164=Charge!$M$17,Charge!$J$17,IF(C164=Charge!$N$17,Charge!$J$17,Charge!$J$7))))</f>
        <v>G3</v>
      </c>
      <c r="C164" s="61" t="str">
        <f>VLOOKUP(A164,'1.Loading'!A:R,14,FALSE)</f>
        <v>BKK04</v>
      </c>
      <c r="D164" s="61" t="str">
        <f>VLOOKUP(A164,'1.Loading'!A:R,17,FALSE)</f>
        <v>HASLS22260900995</v>
      </c>
      <c r="E164" s="62" t="str">
        <f>VLOOKUP(D164,'2.Bookinglist'!A:CT,27,FALSE)</f>
        <v>BEE LOGISTICS (THAILAND) CO., LTD.</v>
      </c>
      <c r="F164" s="62" t="str">
        <f>VLOOKUP(D164,'2.Bookinglist'!A:CT,28,FALSE)</f>
        <v>HERITAGE SNACKS &amp; FOOD CO., LTD.</v>
      </c>
      <c r="G164" s="60">
        <f>VLOOKUP(D164,'2.Bookinglist'!A:E,5,FALSE)</f>
        <v>0</v>
      </c>
      <c r="H164" s="61" t="str">
        <f>VLOOKUP(D164,'2.Bookinglist'!A:CT,15,FALSE)</f>
        <v>THBKK</v>
      </c>
      <c r="I164" s="61" t="str">
        <f>VLOOKUP(D164,'2.Bookinglist'!A:CT,19,FALSE)</f>
        <v>VNSGN</v>
      </c>
      <c r="J164" s="61">
        <f>VLOOKUP(D164,'2.Bookinglist'!A:CT,26,FALSE)</f>
        <v>0</v>
      </c>
      <c r="K164" s="61" t="str">
        <f>VLOOKUP(A164,'1.Loading'!A:R,5,FALSE)</f>
        <v>22GP</v>
      </c>
      <c r="L164" s="60" t="str">
        <f>VLOOKUP(D164,'2.Bookinglist'!A:CT,85,FALSE)</f>
        <v>CY/CY</v>
      </c>
      <c r="M164" s="60" t="str">
        <f>IF(VLOOKUP(D164,'2.Bookinglist'!A:CT,43,FALSE)=0,"","DG")</f>
        <v/>
      </c>
      <c r="N164" s="60" t="str">
        <f>IF(RIGHT(K164,2)="RE","RF","")</f>
        <v/>
      </c>
      <c r="O164" s="61" t="str">
        <f>VLOOKUP(A164,'1.Loading'!A:R,3,FALSE)</f>
        <v>SWSP</v>
      </c>
      <c r="P164" s="61" t="str">
        <f>VLOOKUP(A164,'1.Loading'!A:R,4,FALSE)</f>
        <v>2609N</v>
      </c>
      <c r="Q164" s="61" t="str">
        <f>VLOOKUP(D164,'2.Bookinglist'!A:CT,12,FALSE)</f>
        <v>BTS</v>
      </c>
      <c r="R164" s="60" t="str">
        <f>IF(LEFT(K164,2)="22","20'","40'")</f>
        <v>20'</v>
      </c>
      <c r="S164" s="185" t="n"/>
      <c r="T164" s="61" t="str">
        <f>VLOOKUP(A164,'1.Loading'!A:R,2,FALSE)</f>
        <v>2026-10-08</v>
      </c>
      <c r="U164" s="63">
        <f>T164-S164</f>
        <v>46303</v>
      </c>
      <c r="V164" s="186" t="n"/>
      <c r="W164" s="61" t="str">
        <f>VLOOKUP(A164,'3.GateMove'!A:D,4,FALSE)</f>
        <v>2026-10-03</v>
      </c>
      <c r="X164" s="63">
        <f>((T164-W164)+1)</f>
        <v>6</v>
      </c>
      <c r="Y164" s="64">
        <f>IF(AND(OR(C164="BKK01",C164="BKK04"),L164="CFS/CY"),0,IF(M164="DG",1,IF(LEFT(C164,3)="LCH",7,IF(C164="BKK02",5,3))))</f>
        <v>3</v>
      </c>
      <c r="Z164" s="63">
        <f>IF(IF(AND(AC164="TML",AB164&gt;0),((T164-W164)+1)-AB164,((T164-W164)+1)-Y164)&gt;0,IF(AND(AC164="TML",AB164&gt;0),((T164-W164)+1)-AB164,((T164-W164)+1)-Y164),0)</f>
        <v>3</v>
      </c>
      <c r="AA164" s="187">
        <f>IF(AND(B164="G1",M164=""),IF(R164="20'",
VLOOKUP(Z164,Charge!$K$2:$M$5,2,TRUE)+(Z164-VLOOKUP(Z164,Charge!$K$2:$M$5,1,TRUE))*VLOOKUP(Z164,Charge!$K$2:$M$5,3,TRUE),
VLOOKUP(Z164,Charge!$N$2:$P$5,2,TRUE)+(Z164-VLOOKUP(Z164,Charge!$N$2:$P$5,1,TRUE))*VLOOKUP(Z164,Charge!$N$2:$P$5,3,TRUE)),
IF(AND(B164="G1",M164="DG"),IF(R164="20'",
VLOOKUP(Z164,Charge!$R$2:$T$5,2,TRUE)+(Z164-VLOOKUP(Z164,Charge!$R$2:$T$5,1,TRUE))*VLOOKUP(Z164,Charge!$R$2:$T$5,3,TRUE),
VLOOKUP(Z164,Charge!$U$2:$W$5,2,TRUE)+(Z164-VLOOKUP(Z164,Charge!$U$2:$W$5,1,TRUE))*VLOOKUP(Z164,Charge!$U$2:$W$5,3,TRUE)),
IF(AND(B164="G3",M164=""),IF(R164="20'",
VLOOKUP(Z164,Charge!$K$18:$M$21,2,TRUE)+(Z164-VLOOKUP(Z164,Charge!$K$18:$M$21,1,TRUE))*VLOOKUP(Z164,Charge!$K$18:$M$21,3,TRUE),
VLOOKUP(Z164,Charge!$N$18:$P$21,2,TRUE)+(Z164-VLOOKUP(Z164,Charge!$N$18:$P$21,1,TRUE))*VLOOKUP(Z164,Charge!$N$18:$P$21,3,TRUE)),
IF(AND(B164="G3",M164="DG"),IF(R164="20'",
VLOOKUP(Z164,Charge!$R$18:$T$21,2,TRUE)+(Z164-VLOOKUP(Z164,Charge!$R$18:$T$21,1,TRUE))*VLOOKUP(Z164,Charge!$R$18:$T$21,3,TRUE),
VLOOKUP(Z164,Charge!$U$18:$W$21,2,TRUE)+(Z164-VLOOKUP(Z164,Charge!$U$18:$W$21,1,TRUE))*VLOOKUP(Z164,Charge!$U$18:$W$21,3,TRUE)),
IF(AND(B164="G2",M164=""),IF(R164="20'",
VLOOKUP(Z164,Charge!$K$9:$M$12,2,TRUE)+(Z164-VLOOKUP(Z164,Charge!$K$9:$M$12,1,TRUE))*VLOOKUP(Z164,Charge!$K$9:$M$12,3,TRUE),
VLOOKUP(Z164,Charge!$N$9:$P$12,2,TRUE)+(Z164-VLOOKUP(Z164,Charge!$N$9:$P$12,1,TRUE))*VLOOKUP(Z164,Charge!$N$9:$P$12,3,TRUE)),
IF(AND(B164="G2",M164="DG"),IF(R164="20'",
VLOOKUP(Z164,Charge!$R$9:$T$12,2,TRUE)+(Z164-VLOOKUP(Z164,Charge!$R$9:$T$12,1,TRUE))*VLOOKUP(Z164,Charge!$R$9:$T$12,3,TRUE),
VLOOKUP(Z164,Charge!$U$9:$W$12,2,TRUE)+(Z164-VLOOKUP(Z164,Charge!$U$9:$W$12,1,TRUE))*VLOOKUP(Z164,Charge!$U$9:$W$12,3,TRUE)),IF(AND(B164="G4",M164=""),IF(R164="20'",Z164*Charge!$M$25,Z164*Charge!$P$25),IF(AND(B164="G4",M164="DG"),IF(R164="20'",Z164*Charge!$T$25,Z164*Charge!$W$25),0))))))))</f>
        <v>480</v>
      </c>
      <c r="AB164" s="184" t="n"/>
      <c r="AC164" s="184" t="n"/>
      <c r="AD164" s="60">
        <f>IF(M164="DG",3,IF(N164="RF",3,5))+IF(AND(LEFT(C164,3)="BKK",N164="RF",Q164="KTS"),1,0)+IF(Q164="KHS",1,0)</f>
        <v>5</v>
      </c>
      <c r="AE164" s="63">
        <f>(T164-V164)+1</f>
        <v>46304</v>
      </c>
      <c r="AF164" s="63">
        <f>IF(AB164&gt;IF((V164-W164)&gt;0,V164-W164,0),0,IF(AB164&lt;IF((V164-W164)&gt;0,V164-W164,0),IF((V164-W164)&gt;0,V164-W164,0)-AB164,IF((V164-W164)&gt;0,V164-W164,0)))</f>
        <v>0</v>
      </c>
      <c r="AG164" s="187">
        <f>IF(AND(M164=""),IF(R164="20'",
VLOOKUP(AF164,Charge!$K$31:$M$34,2,TRUE)+(AF164-VLOOKUP(AF164,Charge!$K$31:$M$34,1,TRUE))*VLOOKUP(AF164,Charge!$K$31:$M$34,3,TRUE),
VLOOKUP(AF164,Charge!$N$31:$P$34,2,TRUE)+(AF164-VLOOKUP(AF164,Charge!$N$31:$P$34,1,TRUE))*VLOOKUP(AF164,Charge!$N$31:$P$34,3,TRUE)),
IF(AND(M164="DG"),IF(R164="20'",
VLOOKUP(AF164,Charge!$R$31:$T$34,2,TRUE)+(AF164-VLOOKUP(AF164,Charge!$R$31:$T$34,1,TRUE))*VLOOKUP(AF164,Charge!$R$31:$T$34,3,TRUE),
VLOOKUP(AF164,Charge!$U$31:$W$34,2,TRUE)+(AF164-VLOOKUP(AF164,Charge!$U$31:$W$34,1,TRUE))*VLOOKUP(AF164,Charge!$U$31:$W$34,3,TRUE)),0))</f>
        <v>0</v>
      </c>
      <c r="AH164" s="65" t="n"/>
      <c r="AI164" s="65">
        <f>AA164-AH164</f>
        <v>480</v>
      </c>
      <c r="AJ164" s="188" t="n"/>
      <c r="AK164" s="62" t="str">
        <f>VLOOKUP(D164,'2.Bookinglist'!A:CT,40,FALSE)</f>
        <v>Nustsireerach</v>
      </c>
      <c r="AL164" s="60" t="str">
        <f>VLOOKUP(D164,'2.Bookinglist'!A:CW,101,FALSE)</f>
        <v>2026-10-05</v>
      </c>
      <c r="AM164" s="60" t="str">
        <f>VLOOKUP(D164,'2.Bookinglist'!A:BK,63,FALSE)</f>
        <v>BKK27</v>
      </c>
      <c r="AN164" s="62" t="str">
        <f>VLOOKUP(D164,'2.Bookinglist'!A:AZ,52,FALSE)</f>
        <v>Pickup : 2026-10-02, Return : 2026-10-03
 </v>
      </c>
      <c r="AO164" s="62">
        <f>VLOOKUP(D164,'2.Bookinglist'!A:CY,103,FALSE)</f>
        <v>0</v>
      </c>
    </row>
    <row r="165" ht="12.95" customHeight="1">
      <c r="A165" s="96" t="inlineStr">
        <is>
          <t>SKLU2305891</t>
        </is>
      </c>
      <c r="B165" s="184" t="str">
        <f>IF(C165=Charge!$M$1,Charge!$J$1,IF(C165=Charge!$M$23,Charge!$J$23,IF(C165=Charge!$M$17,Charge!$J$17,IF(C165=Charge!$N$17,Charge!$J$17,Charge!$J$7))))</f>
        <v>G3</v>
      </c>
      <c r="C165" s="61" t="str">
        <f>VLOOKUP(A165,'1.Loading'!A:R,14,FALSE)</f>
        <v>BKK04</v>
      </c>
      <c r="D165" s="61" t="str">
        <f>VLOOKUP(A165,'1.Loading'!A:R,17,FALSE)</f>
        <v>HASLS22260801914</v>
      </c>
      <c r="E165" s="62" t="str">
        <f>VLOOKUP(D165,'2.Bookinglist'!A:CT,27,FALSE)</f>
        <v>DP WORLD LOGISTICS SOLUTIONS (THAILAND) COMPANY LIMITED</v>
      </c>
      <c r="F165" s="62" t="str">
        <f>VLOOKUP(D165,'2.Bookinglist'!A:CT,28,FALSE)</f>
        <v>DP WORLD LOGISTICS SOLUTIONS (THAILAND) COMPANY LIMITED</v>
      </c>
      <c r="G165" s="60">
        <f>VLOOKUP(D165,'2.Bookinglist'!A:E,5,FALSE)</f>
        <v>0</v>
      </c>
      <c r="H165" s="61" t="str">
        <f>VLOOKUP(D165,'2.Bookinglist'!A:CT,15,FALSE)</f>
        <v>THBKK</v>
      </c>
      <c r="I165" s="61" t="str">
        <f>VLOOKUP(D165,'2.Bookinglist'!A:CT,19,FALSE)</f>
        <v>KRPTK</v>
      </c>
      <c r="J165" s="61">
        <f>VLOOKUP(D165,'2.Bookinglist'!A:CT,26,FALSE)</f>
        <v>0</v>
      </c>
      <c r="K165" s="61" t="str">
        <f>VLOOKUP(A165,'1.Loading'!A:R,5,FALSE)</f>
        <v>22GP</v>
      </c>
      <c r="L165" s="60" t="str">
        <f>VLOOKUP(D165,'2.Bookinglist'!A:CT,85,FALSE)</f>
        <v>CY/CY</v>
      </c>
      <c r="M165" s="60" t="str">
        <f>IF(VLOOKUP(D165,'2.Bookinglist'!A:CT,43,FALSE)=0,"","DG")</f>
        <v/>
      </c>
      <c r="N165" s="60" t="str">
        <f>IF(RIGHT(K165,2)="RE","RF","")</f>
        <v/>
      </c>
      <c r="O165" s="61" t="str">
        <f>VLOOKUP(A165,'1.Loading'!A:R,3,FALSE)</f>
        <v>SWSP</v>
      </c>
      <c r="P165" s="61" t="str">
        <f>VLOOKUP(A165,'1.Loading'!A:R,4,FALSE)</f>
        <v>2609N</v>
      </c>
      <c r="Q165" s="61" t="str">
        <f>VLOOKUP(D165,'2.Bookinglist'!A:CT,12,FALSE)</f>
        <v>BTS</v>
      </c>
      <c r="R165" s="60" t="str">
        <f>IF(LEFT(K165,2)="22","20'","40'")</f>
        <v>20'</v>
      </c>
      <c r="S165" s="185" t="n"/>
      <c r="T165" s="61" t="str">
        <f>VLOOKUP(A165,'1.Loading'!A:R,2,FALSE)</f>
        <v>2026-10-08</v>
      </c>
      <c r="U165" s="63">
        <f>T165-S165</f>
        <v>46303</v>
      </c>
      <c r="V165" s="186" t="n"/>
      <c r="W165" s="61" t="str">
        <f>VLOOKUP(A165,'3.GateMove'!A:D,4,FALSE)</f>
        <v>2026-09-19</v>
      </c>
      <c r="X165" s="63">
        <f>((T165-W165)+1)</f>
        <v>20</v>
      </c>
      <c r="Y165" s="64">
        <f>IF(AND(OR(C165="BKK01",C165="BKK04"),L165="CFS/CY"),0,IF(M165="DG",1,IF(LEFT(C165,3)="LCH",7,IF(C165="BKK02",5,3))))</f>
        <v>3</v>
      </c>
      <c r="Z165" s="63">
        <f>IF(IF(AND(AC165="TML",AB165&gt;0),((T165-W165)+1)-AB165,((T165-W165)+1)-Y165)&gt;0,IF(AND(AC165="TML",AB165&gt;0),((T165-W165)+1)-AB165,((T165-W165)+1)-Y165),0)</f>
        <v>17</v>
      </c>
      <c r="AA165" s="187">
        <f>IF(AND(B165="G1",M165=""),IF(R165="20'",
VLOOKUP(Z165,Charge!$K$2:$M$5,2,TRUE)+(Z165-VLOOKUP(Z165,Charge!$K$2:$M$5,1,TRUE))*VLOOKUP(Z165,Charge!$K$2:$M$5,3,TRUE),
VLOOKUP(Z165,Charge!$N$2:$P$5,2,TRUE)+(Z165-VLOOKUP(Z165,Charge!$N$2:$P$5,1,TRUE))*VLOOKUP(Z165,Charge!$N$2:$P$5,3,TRUE)),
IF(AND(B165="G1",M165="DG"),IF(R165="20'",
VLOOKUP(Z165,Charge!$R$2:$T$5,2,TRUE)+(Z165-VLOOKUP(Z165,Charge!$R$2:$T$5,1,TRUE))*VLOOKUP(Z165,Charge!$R$2:$T$5,3,TRUE),
VLOOKUP(Z165,Charge!$U$2:$W$5,2,TRUE)+(Z165-VLOOKUP(Z165,Charge!$U$2:$W$5,1,TRUE))*VLOOKUP(Z165,Charge!$U$2:$W$5,3,TRUE)),
IF(AND(B165="G3",M165=""),IF(R165="20'",
VLOOKUP(Z165,Charge!$K$18:$M$21,2,TRUE)+(Z165-VLOOKUP(Z165,Charge!$K$18:$M$21,1,TRUE))*VLOOKUP(Z165,Charge!$K$18:$M$21,3,TRUE),
VLOOKUP(Z165,Charge!$N$18:$P$21,2,TRUE)+(Z165-VLOOKUP(Z165,Charge!$N$18:$P$21,1,TRUE))*VLOOKUP(Z165,Charge!$N$18:$P$21,3,TRUE)),
IF(AND(B165="G3",M165="DG"),IF(R165="20'",
VLOOKUP(Z165,Charge!$R$18:$T$21,2,TRUE)+(Z165-VLOOKUP(Z165,Charge!$R$18:$T$21,1,TRUE))*VLOOKUP(Z165,Charge!$R$18:$T$21,3,TRUE),
VLOOKUP(Z165,Charge!$U$18:$W$21,2,TRUE)+(Z165-VLOOKUP(Z165,Charge!$U$18:$W$21,1,TRUE))*VLOOKUP(Z165,Charge!$U$18:$W$21,3,TRUE)),
IF(AND(B165="G2",M165=""),IF(R165="20'",
VLOOKUP(Z165,Charge!$K$9:$M$12,2,TRUE)+(Z165-VLOOKUP(Z165,Charge!$K$9:$M$12,1,TRUE))*VLOOKUP(Z165,Charge!$K$9:$M$12,3,TRUE),
VLOOKUP(Z165,Charge!$N$9:$P$12,2,TRUE)+(Z165-VLOOKUP(Z165,Charge!$N$9:$P$12,1,TRUE))*VLOOKUP(Z165,Charge!$N$9:$P$12,3,TRUE)),
IF(AND(B165="G2",M165="DG"),IF(R165="20'",
VLOOKUP(Z165,Charge!$R$9:$T$12,2,TRUE)+(Z165-VLOOKUP(Z165,Charge!$R$9:$T$12,1,TRUE))*VLOOKUP(Z165,Charge!$R$9:$T$12,3,TRUE),
VLOOKUP(Z165,Charge!$U$9:$W$12,2,TRUE)+(Z165-VLOOKUP(Z165,Charge!$U$9:$W$12,1,TRUE))*VLOOKUP(Z165,Charge!$U$9:$W$12,3,TRUE)),IF(AND(B165="G4",M165=""),IF(R165="20'",Z165*Charge!$M$25,Z165*Charge!$P$25),IF(AND(B165="G4",M165="DG"),IF(R165="20'",Z165*Charge!$T$25,Z165*Charge!$W$25),0))))))))</f>
        <v>4215</v>
      </c>
      <c r="AB165" s="184" t="n"/>
      <c r="AC165" s="184" t="n"/>
      <c r="AD165" s="60">
        <f>IF(M165="DG",3,IF(N165="RF",3,5))+IF(AND(LEFT(C165,3)="BKK",N165="RF",Q165="KTS"),1,0)+IF(Q165="KHS",1,0)</f>
        <v>5</v>
      </c>
      <c r="AE165" s="63">
        <f>(T165-V165)+1</f>
        <v>46304</v>
      </c>
      <c r="AF165" s="63">
        <f>IF(AB165&gt;IF((V165-W165)&gt;0,V165-W165,0),0,IF(AB165&lt;IF((V165-W165)&gt;0,V165-W165,0),IF((V165-W165)&gt;0,V165-W165,0)-AB165,IF((V165-W165)&gt;0,V165-W165,0)))</f>
        <v>0</v>
      </c>
      <c r="AG165" s="187">
        <f>IF(AND(M165=""),IF(R165="20'",
VLOOKUP(AF165,Charge!$K$31:$M$34,2,TRUE)+(AF165-VLOOKUP(AF165,Charge!$K$31:$M$34,1,TRUE))*VLOOKUP(AF165,Charge!$K$31:$M$34,3,TRUE),
VLOOKUP(AF165,Charge!$N$31:$P$34,2,TRUE)+(AF165-VLOOKUP(AF165,Charge!$N$31:$P$34,1,TRUE))*VLOOKUP(AF165,Charge!$N$31:$P$34,3,TRUE)),
IF(AND(M165="DG"),IF(R165="20'",
VLOOKUP(AF165,Charge!$R$31:$T$34,2,TRUE)+(AF165-VLOOKUP(AF165,Charge!$R$31:$T$34,1,TRUE))*VLOOKUP(AF165,Charge!$R$31:$T$34,3,TRUE),
VLOOKUP(AF165,Charge!$U$31:$W$34,2,TRUE)+(AF165-VLOOKUP(AF165,Charge!$U$31:$W$34,1,TRUE))*VLOOKUP(AF165,Charge!$U$31:$W$34,3,TRUE)),0))</f>
        <v>0</v>
      </c>
      <c r="AH165" s="65" t="n"/>
      <c r="AI165" s="65">
        <f>AA165-AH165</f>
        <v>4215</v>
      </c>
      <c r="AJ165" s="188" t="n"/>
      <c r="AK165" s="62" t="str">
        <f>VLOOKUP(D165,'2.Bookinglist'!A:CT,40,FALSE)</f>
        <v>Nannaapust Sukporntaweewat</v>
      </c>
      <c r="AL165" s="60" t="str">
        <f>VLOOKUP(D165,'2.Bookinglist'!A:CW,101,FALSE)</f>
        <v>2026-10-05</v>
      </c>
      <c r="AM165" s="60" t="str">
        <f>VLOOKUP(D165,'2.Bookinglist'!A:BK,63,FALSE)</f>
        <v>BKK27</v>
      </c>
      <c r="AN165" s="62" t="str">
        <f>VLOOKUP(D165,'2.Bookinglist'!A:AZ,52,FALSE)</f>
        <v>** APPROVED BY H.W KANG DD.28/09/2026 ** *FLEXIBAG ONDECK*
Servey : 17/09/2026, Pickup : 18/09/2026, Return : 21/09/2026 *EXTEND CLS TIME : 22/09/2026 @06.00* </v>
      </c>
      <c r="AO165" s="62" t="str">
        <f>VLOOKUP(D165,'2.Bookinglist'!A:CY,103,FALSE)</f>
        <v>ROLL OVER FROM PREVIOUS VSL SWMM 2609N BY ALLOCATION TEAM MS.TARN APRPOVED COST IS UNDER HA DD.21/09</v>
      </c>
    </row>
    <row r="166" ht="12.95" customHeight="1">
      <c r="A166" s="96" t="inlineStr">
        <is>
          <t>SKLU2308503</t>
        </is>
      </c>
      <c r="B166" s="184" t="str">
        <f>IF(C166=Charge!$M$1,Charge!$J$1,IF(C166=Charge!$M$23,Charge!$J$23,IF(C166=Charge!$M$17,Charge!$J$17,IF(C166=Charge!$N$17,Charge!$J$17,Charge!$J$7))))</f>
        <v>G3</v>
      </c>
      <c r="C166" s="61" t="str">
        <f>VLOOKUP(A166,'1.Loading'!A:R,14,FALSE)</f>
        <v>BKK04</v>
      </c>
      <c r="D166" s="61" t="str">
        <f>VLOOKUP(A166,'1.Loading'!A:R,17,FALSE)</f>
        <v>HASLS22260900196</v>
      </c>
      <c r="E166" s="62" t="str">
        <f>VLOOKUP(D166,'2.Bookinglist'!A:CT,27,FALSE)</f>
        <v>SANGUAN WONGSE STARCH CO., LTD.</v>
      </c>
      <c r="F166" s="62" t="str">
        <f>VLOOKUP(D166,'2.Bookinglist'!A:CT,28,FALSE)</f>
        <v>SANGUAN WONGSE STARCH CO., LTD.</v>
      </c>
      <c r="G166" s="60">
        <f>VLOOKUP(D166,'2.Bookinglist'!A:E,5,FALSE)</f>
        <v>0</v>
      </c>
      <c r="H166" s="61" t="str">
        <f>VLOOKUP(D166,'2.Bookinglist'!A:CT,15,FALSE)</f>
        <v>THBKK</v>
      </c>
      <c r="I166" s="61" t="str">
        <f>VLOOKUP(D166,'2.Bookinglist'!A:CT,19,FALSE)</f>
        <v>JPSEN</v>
      </c>
      <c r="J166" s="61" t="str">
        <f>VLOOKUP(D166,'2.Bookinglist'!A:CT,26,FALSE)</f>
        <v>KRPUS</v>
      </c>
      <c r="K166" s="61" t="str">
        <f>VLOOKUP(A166,'1.Loading'!A:R,5,FALSE)</f>
        <v>22GP</v>
      </c>
      <c r="L166" s="60" t="str">
        <f>VLOOKUP(D166,'2.Bookinglist'!A:CT,85,FALSE)</f>
        <v>CY/CY</v>
      </c>
      <c r="M166" s="60" t="str">
        <f>IF(VLOOKUP(D166,'2.Bookinglist'!A:CT,43,FALSE)=0,"","DG")</f>
        <v/>
      </c>
      <c r="N166" s="60" t="str">
        <f>IF(RIGHT(K166,2)="RE","RF","")</f>
        <v/>
      </c>
      <c r="O166" s="61" t="str">
        <f>VLOOKUP(A166,'1.Loading'!A:R,3,FALSE)</f>
        <v>SWSP</v>
      </c>
      <c r="P166" s="61" t="str">
        <f>VLOOKUP(A166,'1.Loading'!A:R,4,FALSE)</f>
        <v>2609N</v>
      </c>
      <c r="Q166" s="61" t="str">
        <f>VLOOKUP(D166,'2.Bookinglist'!A:CT,12,FALSE)</f>
        <v>BTS</v>
      </c>
      <c r="R166" s="60" t="str">
        <f>IF(LEFT(K166,2)="22","20'","40'")</f>
        <v>20'</v>
      </c>
      <c r="S166" s="185" t="n"/>
      <c r="T166" s="61" t="str">
        <f>VLOOKUP(A166,'1.Loading'!A:R,2,FALSE)</f>
        <v>2026-10-08</v>
      </c>
      <c r="U166" s="63">
        <f>T166-S166</f>
        <v>46303</v>
      </c>
      <c r="V166" s="186" t="n"/>
      <c r="W166" s="61" t="str">
        <f>VLOOKUP(A166,'3.GateMove'!A:D,4,FALSE)</f>
        <v>2026-09-19</v>
      </c>
      <c r="X166" s="63">
        <f>((T166-W166)+1)</f>
        <v>20</v>
      </c>
      <c r="Y166" s="64">
        <f>IF(AND(OR(C166="BKK01",C166="BKK04"),L166="CFS/CY"),0,IF(M166="DG",1,IF(LEFT(C166,3)="LCH",7,IF(C166="BKK02",5,3))))</f>
        <v>3</v>
      </c>
      <c r="Z166" s="63">
        <f>IF(IF(AND(AC166="TML",AB166&gt;0),((T166-W166)+1)-AB166,((T166-W166)+1)-Y166)&gt;0,IF(AND(AC166="TML",AB166&gt;0),((T166-W166)+1)-AB166,((T166-W166)+1)-Y166),0)</f>
        <v>17</v>
      </c>
      <c r="AA166" s="187">
        <f>IF(AND(B166="G1",M166=""),IF(R166="20'",
VLOOKUP(Z166,Charge!$K$2:$M$5,2,TRUE)+(Z166-VLOOKUP(Z166,Charge!$K$2:$M$5,1,TRUE))*VLOOKUP(Z166,Charge!$K$2:$M$5,3,TRUE),
VLOOKUP(Z166,Charge!$N$2:$P$5,2,TRUE)+(Z166-VLOOKUP(Z166,Charge!$N$2:$P$5,1,TRUE))*VLOOKUP(Z166,Charge!$N$2:$P$5,3,TRUE)),
IF(AND(B166="G1",M166="DG"),IF(R166="20'",
VLOOKUP(Z166,Charge!$R$2:$T$5,2,TRUE)+(Z166-VLOOKUP(Z166,Charge!$R$2:$T$5,1,TRUE))*VLOOKUP(Z166,Charge!$R$2:$T$5,3,TRUE),
VLOOKUP(Z166,Charge!$U$2:$W$5,2,TRUE)+(Z166-VLOOKUP(Z166,Charge!$U$2:$W$5,1,TRUE))*VLOOKUP(Z166,Charge!$U$2:$W$5,3,TRUE)),
IF(AND(B166="G3",M166=""),IF(R166="20'",
VLOOKUP(Z166,Charge!$K$18:$M$21,2,TRUE)+(Z166-VLOOKUP(Z166,Charge!$K$18:$M$21,1,TRUE))*VLOOKUP(Z166,Charge!$K$18:$M$21,3,TRUE),
VLOOKUP(Z166,Charge!$N$18:$P$21,2,TRUE)+(Z166-VLOOKUP(Z166,Charge!$N$18:$P$21,1,TRUE))*VLOOKUP(Z166,Charge!$N$18:$P$21,3,TRUE)),
IF(AND(B166="G3",M166="DG"),IF(R166="20'",
VLOOKUP(Z166,Charge!$R$18:$T$21,2,TRUE)+(Z166-VLOOKUP(Z166,Charge!$R$18:$T$21,1,TRUE))*VLOOKUP(Z166,Charge!$R$18:$T$21,3,TRUE),
VLOOKUP(Z166,Charge!$U$18:$W$21,2,TRUE)+(Z166-VLOOKUP(Z166,Charge!$U$18:$W$21,1,TRUE))*VLOOKUP(Z166,Charge!$U$18:$W$21,3,TRUE)),
IF(AND(B166="G2",M166=""),IF(R166="20'",
VLOOKUP(Z166,Charge!$K$9:$M$12,2,TRUE)+(Z166-VLOOKUP(Z166,Charge!$K$9:$M$12,1,TRUE))*VLOOKUP(Z166,Charge!$K$9:$M$12,3,TRUE),
VLOOKUP(Z166,Charge!$N$9:$P$12,2,TRUE)+(Z166-VLOOKUP(Z166,Charge!$N$9:$P$12,1,TRUE))*VLOOKUP(Z166,Charge!$N$9:$P$12,3,TRUE)),
IF(AND(B166="G2",M166="DG"),IF(R166="20'",
VLOOKUP(Z166,Charge!$R$9:$T$12,2,TRUE)+(Z166-VLOOKUP(Z166,Charge!$R$9:$T$12,1,TRUE))*VLOOKUP(Z166,Charge!$R$9:$T$12,3,TRUE),
VLOOKUP(Z166,Charge!$U$9:$W$12,2,TRUE)+(Z166-VLOOKUP(Z166,Charge!$U$9:$W$12,1,TRUE))*VLOOKUP(Z166,Charge!$U$9:$W$12,3,TRUE)),IF(AND(B166="G4",M166=""),IF(R166="20'",Z166*Charge!$M$25,Z166*Charge!$P$25),IF(AND(B166="G4",M166="DG"),IF(R166="20'",Z166*Charge!$T$25,Z166*Charge!$W$25),0))))))))</f>
        <v>4215</v>
      </c>
      <c r="AB166" s="184" t="n"/>
      <c r="AC166" s="184" t="n"/>
      <c r="AD166" s="60">
        <f>IF(M166="DG",3,IF(N166="RF",3,5))+IF(AND(LEFT(C166,3)="BKK",N166="RF",Q166="KTS"),1,0)+IF(Q166="KHS",1,0)</f>
        <v>5</v>
      </c>
      <c r="AE166" s="63">
        <f>(T166-V166)+1</f>
        <v>46304</v>
      </c>
      <c r="AF166" s="63">
        <f>IF(AB166&gt;IF((V166-W166)&gt;0,V166-W166,0),0,IF(AB166&lt;IF((V166-W166)&gt;0,V166-W166,0),IF((V166-W166)&gt;0,V166-W166,0)-AB166,IF((V166-W166)&gt;0,V166-W166,0)))</f>
        <v>0</v>
      </c>
      <c r="AG166" s="187">
        <f>IF(AND(M166=""),IF(R166="20'",
VLOOKUP(AF166,Charge!$K$31:$M$34,2,TRUE)+(AF166-VLOOKUP(AF166,Charge!$K$31:$M$34,1,TRUE))*VLOOKUP(AF166,Charge!$K$31:$M$34,3,TRUE),
VLOOKUP(AF166,Charge!$N$31:$P$34,2,TRUE)+(AF166-VLOOKUP(AF166,Charge!$N$31:$P$34,1,TRUE))*VLOOKUP(AF166,Charge!$N$31:$P$34,3,TRUE)),
IF(AND(M166="DG"),IF(R166="20'",
VLOOKUP(AF166,Charge!$R$31:$T$34,2,TRUE)+(AF166-VLOOKUP(AF166,Charge!$R$31:$T$34,1,TRUE))*VLOOKUP(AF166,Charge!$R$31:$T$34,3,TRUE),
VLOOKUP(AF166,Charge!$U$31:$W$34,2,TRUE)+(AF166-VLOOKUP(AF166,Charge!$U$31:$W$34,1,TRUE))*VLOOKUP(AF166,Charge!$U$31:$W$34,3,TRUE)),0))</f>
        <v>0</v>
      </c>
      <c r="AH166" s="65" t="n"/>
      <c r="AI166" s="65">
        <f>AA166-AH166</f>
        <v>4215</v>
      </c>
      <c r="AJ166" s="188" t="n"/>
      <c r="AK166" s="62" t="str">
        <f>VLOOKUP(D166,'2.Bookinglist'!A:CT,40,FALSE)</f>
        <v>Uetake Takahiro</v>
      </c>
      <c r="AL166" s="60" t="str">
        <f>VLOOKUP(D166,'2.Bookinglist'!A:CW,101,FALSE)</f>
        <v>2026-10-05</v>
      </c>
      <c r="AM166" s="60" t="str">
        <f>VLOOKUP(D166,'2.Bookinglist'!A:BK,63,FALSE)</f>
        <v>BKK25</v>
      </c>
      <c r="AN166" s="62" t="str">
        <f>VLOOKUP(D166,'2.Bookinglist'!A:AZ,52,FALSE)</f>
        <v>Pickup : 2026-09-17, Return : 2026-09-19</v>
      </c>
      <c r="AO166" s="62" t="str">
        <f>VLOOKUP(D166,'2.Bookinglist'!A:CY,103,FALSE)</f>
        <v>ROLL OVER FROM PREVIOUS VSL SWMM 2609N BY ALLOCATION TEAM MS.TARN APPROVED COST IS UNDER HA DD.21/09</v>
      </c>
    </row>
    <row r="167" ht="12.95" customHeight="1">
      <c r="A167" s="96" t="inlineStr">
        <is>
          <t>SKLU2328449</t>
        </is>
      </c>
      <c r="B167" s="184" t="str">
        <f>IF(C167=Charge!$M$1,Charge!$J$1,IF(C167=Charge!$M$23,Charge!$J$23,IF(C167=Charge!$M$17,Charge!$J$17,IF(C167=Charge!$N$17,Charge!$J$17,Charge!$J$7))))</f>
        <v>G3</v>
      </c>
      <c r="C167" s="61" t="str">
        <f>VLOOKUP(A167,'1.Loading'!A:R,14,FALSE)</f>
        <v>BKK04</v>
      </c>
      <c r="D167" s="61" t="str">
        <f>VLOOKUP(A167,'1.Loading'!A:R,17,FALSE)</f>
        <v>HASLS22260901178</v>
      </c>
      <c r="E167" s="62" t="str">
        <f>VLOOKUP(D167,'2.Bookinglist'!A:CT,27,FALSE)</f>
        <v>WICE LOGISTICS PUBLIC COMPANY LIMITED</v>
      </c>
      <c r="F167" s="62" t="str">
        <f>VLOOKUP(D167,'2.Bookinglist'!A:CT,28,FALSE)</f>
        <v>F.M.T. (THAILAND) CO., LTD. (HEAD OFFICE)</v>
      </c>
      <c r="G167" s="60">
        <f>VLOOKUP(D167,'2.Bookinglist'!A:E,5,FALSE)</f>
        <v>0</v>
      </c>
      <c r="H167" s="61" t="str">
        <f>VLOOKUP(D167,'2.Bookinglist'!A:CT,15,FALSE)</f>
        <v>THBKK</v>
      </c>
      <c r="I167" s="61" t="str">
        <f>VLOOKUP(D167,'2.Bookinglist'!A:CT,19,FALSE)</f>
        <v>VNSGN</v>
      </c>
      <c r="J167" s="61">
        <f>VLOOKUP(D167,'2.Bookinglist'!A:CT,26,FALSE)</f>
        <v>0</v>
      </c>
      <c r="K167" s="61" t="str">
        <f>VLOOKUP(A167,'1.Loading'!A:R,5,FALSE)</f>
        <v>22GP</v>
      </c>
      <c r="L167" s="60" t="str">
        <f>VLOOKUP(D167,'2.Bookinglist'!A:CT,85,FALSE)</f>
        <v>CY/CY</v>
      </c>
      <c r="M167" s="60" t="str">
        <f>IF(VLOOKUP(D167,'2.Bookinglist'!A:CT,43,FALSE)=0,"","DG")</f>
        <v/>
      </c>
      <c r="N167" s="60" t="str">
        <f>IF(RIGHT(K167,2)="RE","RF","")</f>
        <v/>
      </c>
      <c r="O167" s="61" t="str">
        <f>VLOOKUP(A167,'1.Loading'!A:R,3,FALSE)</f>
        <v>SWSP</v>
      </c>
      <c r="P167" s="61" t="str">
        <f>VLOOKUP(A167,'1.Loading'!A:R,4,FALSE)</f>
        <v>2609N</v>
      </c>
      <c r="Q167" s="61" t="str">
        <f>VLOOKUP(D167,'2.Bookinglist'!A:CT,12,FALSE)</f>
        <v>BTS</v>
      </c>
      <c r="R167" s="60" t="str">
        <f>IF(LEFT(K167,2)="22","20'","40'")</f>
        <v>20'</v>
      </c>
      <c r="S167" s="185" t="n"/>
      <c r="T167" s="61" t="str">
        <f>VLOOKUP(A167,'1.Loading'!A:R,2,FALSE)</f>
        <v>2026-10-08</v>
      </c>
      <c r="U167" s="63">
        <f>T167-S167</f>
        <v>46303</v>
      </c>
      <c r="V167" s="186" t="n"/>
      <c r="W167" s="61" t="str">
        <f>VLOOKUP(A167,'3.GateMove'!A:D,4,FALSE)</f>
        <v>2026-09-28</v>
      </c>
      <c r="X167" s="63">
        <f>((T167-W167)+1)</f>
        <v>11</v>
      </c>
      <c r="Y167" s="64">
        <f>IF(AND(OR(C167="BKK01",C167="BKK04"),L167="CFS/CY"),0,IF(M167="DG",1,IF(LEFT(C167,3)="LCH",7,IF(C167="BKK02",5,3))))</f>
        <v>3</v>
      </c>
      <c r="Z167" s="63">
        <f>IF(IF(AND(AC167="TML",AB167&gt;0),((T167-W167)+1)-AB167,((T167-W167)+1)-Y167)&gt;0,IF(AND(AC167="TML",AB167&gt;0),((T167-W167)+1)-AB167,((T167-W167)+1)-Y167),0)</f>
        <v>8</v>
      </c>
      <c r="AA167" s="187">
        <f>IF(AND(B167="G1",M167=""),IF(R167="20'",
VLOOKUP(Z167,Charge!$K$2:$M$5,2,TRUE)+(Z167-VLOOKUP(Z167,Charge!$K$2:$M$5,1,TRUE))*VLOOKUP(Z167,Charge!$K$2:$M$5,3,TRUE),
VLOOKUP(Z167,Charge!$N$2:$P$5,2,TRUE)+(Z167-VLOOKUP(Z167,Charge!$N$2:$P$5,1,TRUE))*VLOOKUP(Z167,Charge!$N$2:$P$5,3,TRUE)),
IF(AND(B167="G1",M167="DG"),IF(R167="20'",
VLOOKUP(Z167,Charge!$R$2:$T$5,2,TRUE)+(Z167-VLOOKUP(Z167,Charge!$R$2:$T$5,1,TRUE))*VLOOKUP(Z167,Charge!$R$2:$T$5,3,TRUE),
VLOOKUP(Z167,Charge!$U$2:$W$5,2,TRUE)+(Z167-VLOOKUP(Z167,Charge!$U$2:$W$5,1,TRUE))*VLOOKUP(Z167,Charge!$U$2:$W$5,3,TRUE)),
IF(AND(B167="G3",M167=""),IF(R167="20'",
VLOOKUP(Z167,Charge!$K$18:$M$21,2,TRUE)+(Z167-VLOOKUP(Z167,Charge!$K$18:$M$21,1,TRUE))*VLOOKUP(Z167,Charge!$K$18:$M$21,3,TRUE),
VLOOKUP(Z167,Charge!$N$18:$P$21,2,TRUE)+(Z167-VLOOKUP(Z167,Charge!$N$18:$P$21,1,TRUE))*VLOOKUP(Z167,Charge!$N$18:$P$21,3,TRUE)),
IF(AND(B167="G3",M167="DG"),IF(R167="20'",
VLOOKUP(Z167,Charge!$R$18:$T$21,2,TRUE)+(Z167-VLOOKUP(Z167,Charge!$R$18:$T$21,1,TRUE))*VLOOKUP(Z167,Charge!$R$18:$T$21,3,TRUE),
VLOOKUP(Z167,Charge!$U$18:$W$21,2,TRUE)+(Z167-VLOOKUP(Z167,Charge!$U$18:$W$21,1,TRUE))*VLOOKUP(Z167,Charge!$U$18:$W$21,3,TRUE)),
IF(AND(B167="G2",M167=""),IF(R167="20'",
VLOOKUP(Z167,Charge!$K$9:$M$12,2,TRUE)+(Z167-VLOOKUP(Z167,Charge!$K$9:$M$12,1,TRUE))*VLOOKUP(Z167,Charge!$K$9:$M$12,3,TRUE),
VLOOKUP(Z167,Charge!$N$9:$P$12,2,TRUE)+(Z167-VLOOKUP(Z167,Charge!$N$9:$P$12,1,TRUE))*VLOOKUP(Z167,Charge!$N$9:$P$12,3,TRUE)),
IF(AND(B167="G2",M167="DG"),IF(R167="20'",
VLOOKUP(Z167,Charge!$R$9:$T$12,2,TRUE)+(Z167-VLOOKUP(Z167,Charge!$R$9:$T$12,1,TRUE))*VLOOKUP(Z167,Charge!$R$9:$T$12,3,TRUE),
VLOOKUP(Z167,Charge!$U$9:$W$12,2,TRUE)+(Z167-VLOOKUP(Z167,Charge!$U$9:$W$12,1,TRUE))*VLOOKUP(Z167,Charge!$U$9:$W$12,3,TRUE)),IF(AND(B167="G4",M167=""),IF(R167="20'",Z167*Charge!$M$25,Z167*Charge!$P$25),IF(AND(B167="G4",M167="DG"),IF(R167="20'",Z167*Charge!$T$25,Z167*Charge!$W$25),0))))))))</f>
        <v>1395</v>
      </c>
      <c r="AB167" s="184" t="n"/>
      <c r="AC167" s="184" t="n"/>
      <c r="AD167" s="60">
        <f>IF(M167="DG",3,IF(N167="RF",3,5))+IF(AND(LEFT(C167,3)="BKK",N167="RF",Q167="KTS"),1,0)+IF(Q167="KHS",1,0)</f>
        <v>5</v>
      </c>
      <c r="AE167" s="63">
        <f>(T167-V167)+1</f>
        <v>46304</v>
      </c>
      <c r="AF167" s="63">
        <f>IF(AB167&gt;IF((V167-W167)&gt;0,V167-W167,0),0,IF(AB167&lt;IF((V167-W167)&gt;0,V167-W167,0),IF((V167-W167)&gt;0,V167-W167,0)-AB167,IF((V167-W167)&gt;0,V167-W167,0)))</f>
        <v>0</v>
      </c>
      <c r="AG167" s="187">
        <f>IF(AND(M167=""),IF(R167="20'",
VLOOKUP(AF167,Charge!$K$31:$M$34,2,TRUE)+(AF167-VLOOKUP(AF167,Charge!$K$31:$M$34,1,TRUE))*VLOOKUP(AF167,Charge!$K$31:$M$34,3,TRUE),
VLOOKUP(AF167,Charge!$N$31:$P$34,2,TRUE)+(AF167-VLOOKUP(AF167,Charge!$N$31:$P$34,1,TRUE))*VLOOKUP(AF167,Charge!$N$31:$P$34,3,TRUE)),
IF(AND(M167="DG"),IF(R167="20'",
VLOOKUP(AF167,Charge!$R$31:$T$34,2,TRUE)+(AF167-VLOOKUP(AF167,Charge!$R$31:$T$34,1,TRUE))*VLOOKUP(AF167,Charge!$R$31:$T$34,3,TRUE),
VLOOKUP(AF167,Charge!$U$31:$W$34,2,TRUE)+(AF167-VLOOKUP(AF167,Charge!$U$31:$W$34,1,TRUE))*VLOOKUP(AF167,Charge!$U$31:$W$34,3,TRUE)),0))</f>
        <v>0</v>
      </c>
      <c r="AH167" s="65" t="n"/>
      <c r="AI167" s="65">
        <f>AA167-AH167</f>
        <v>1395</v>
      </c>
      <c r="AJ167" s="188" t="n"/>
      <c r="AK167" s="62" t="str">
        <f>VLOOKUP(D167,'2.Bookinglist'!A:CT,40,FALSE)</f>
        <v>Dharaporn</v>
      </c>
      <c r="AL167" s="60" t="str">
        <f>VLOOKUP(D167,'2.Bookinglist'!A:CW,101,FALSE)</f>
        <v>2026-10-02</v>
      </c>
      <c r="AM167" s="60" t="str">
        <f>VLOOKUP(D167,'2.Bookinglist'!A:BK,63,FALSE)</f>
        <v>BKK25</v>
      </c>
      <c r="AN167" s="62" t="str">
        <f>VLOOKUP(D167,'2.Bookinglist'!A:AZ,52,FALSE)</f>
        <v>Pickup : 2026-09-28, Return : 2026-09-29</v>
      </c>
      <c r="AO167" s="62">
        <f>VLOOKUP(D167,'2.Bookinglist'!A:CY,103,FALSE)</f>
        <v>0</v>
      </c>
    </row>
    <row r="168" ht="12.95" customHeight="1">
      <c r="A168" s="96" t="inlineStr">
        <is>
          <t>SKLU2331144</t>
        </is>
      </c>
      <c r="B168" s="184" t="str">
        <f>IF(C168=Charge!$M$1,Charge!$J$1,IF(C168=Charge!$M$23,Charge!$J$23,IF(C168=Charge!$M$17,Charge!$J$17,IF(C168=Charge!$N$17,Charge!$J$17,Charge!$J$7))))</f>
        <v>G3</v>
      </c>
      <c r="C168" s="61" t="str">
        <f>VLOOKUP(A168,'1.Loading'!A:R,14,FALSE)</f>
        <v>BKK04</v>
      </c>
      <c r="D168" s="61" t="str">
        <f>VLOOKUP(A168,'1.Loading'!A:R,17,FALSE)</f>
        <v>HASLS22260901245</v>
      </c>
      <c r="E168" s="62" t="str">
        <f>VLOOKUP(D168,'2.Bookinglist'!A:CT,27,FALSE)</f>
        <v>BANGKOK COLD STORAGE SERVICE,LTD</v>
      </c>
      <c r="F168" s="62" t="str">
        <f>VLOOKUP(D168,'2.Bookinglist'!A:CT,28,FALSE)</f>
        <v>UENO FINE CHEMICALS INDUSTRY (THAILAND) LTD.</v>
      </c>
      <c r="G168" s="60">
        <f>VLOOKUP(D168,'2.Bookinglist'!A:E,5,FALSE)</f>
        <v>0</v>
      </c>
      <c r="H168" s="61" t="str">
        <f>VLOOKUP(D168,'2.Bookinglist'!A:CT,15,FALSE)</f>
        <v>THBKK</v>
      </c>
      <c r="I168" s="61" t="str">
        <f>VLOOKUP(D168,'2.Bookinglist'!A:CT,19,FALSE)</f>
        <v>JPMIZ</v>
      </c>
      <c r="J168" s="61" t="str">
        <f>VLOOKUP(D168,'2.Bookinglist'!A:CT,26,FALSE)</f>
        <v>KRPUS</v>
      </c>
      <c r="K168" s="61" t="str">
        <f>VLOOKUP(A168,'1.Loading'!A:R,5,FALSE)</f>
        <v>22GP</v>
      </c>
      <c r="L168" s="60" t="str">
        <f>VLOOKUP(D168,'2.Bookinglist'!A:CT,85,FALSE)</f>
        <v>CY/CY</v>
      </c>
      <c r="M168" s="60" t="str">
        <f>IF(VLOOKUP(D168,'2.Bookinglist'!A:CT,43,FALSE)=0,"","DG")</f>
        <v/>
      </c>
      <c r="N168" s="60" t="str">
        <f>IF(RIGHT(K168,2)="RE","RF","")</f>
        <v/>
      </c>
      <c r="O168" s="61" t="str">
        <f>VLOOKUP(A168,'1.Loading'!A:R,3,FALSE)</f>
        <v>SWSP</v>
      </c>
      <c r="P168" s="61" t="str">
        <f>VLOOKUP(A168,'1.Loading'!A:R,4,FALSE)</f>
        <v>2609N</v>
      </c>
      <c r="Q168" s="61" t="str">
        <f>VLOOKUP(D168,'2.Bookinglist'!A:CT,12,FALSE)</f>
        <v>BTS</v>
      </c>
      <c r="R168" s="60" t="str">
        <f>IF(LEFT(K168,2)="22","20'","40'")</f>
        <v>20'</v>
      </c>
      <c r="S168" s="185" t="n"/>
      <c r="T168" s="61" t="str">
        <f>VLOOKUP(A168,'1.Loading'!A:R,2,FALSE)</f>
        <v>2026-10-08</v>
      </c>
      <c r="U168" s="63">
        <f>T168-S168</f>
        <v>46303</v>
      </c>
      <c r="V168" s="186" t="n"/>
      <c r="W168" s="61" t="str">
        <f>VLOOKUP(A168,'3.GateMove'!A:D,4,FALSE)</f>
        <v>2026-09-29</v>
      </c>
      <c r="X168" s="63">
        <f>((T168-W168)+1)</f>
        <v>10</v>
      </c>
      <c r="Y168" s="64">
        <f>IF(AND(OR(C168="BKK01",C168="BKK04"),L168="CFS/CY"),0,IF(M168="DG",1,IF(LEFT(C168,3)="LCH",7,IF(C168="BKK02",5,3))))</f>
        <v>3</v>
      </c>
      <c r="Z168" s="63">
        <f>IF(IF(AND(AC168="TML",AB168&gt;0),((T168-W168)+1)-AB168,((T168-W168)+1)-Y168)&gt;0,IF(AND(AC168="TML",AB168&gt;0),((T168-W168)+1)-AB168,((T168-W168)+1)-Y168),0)</f>
        <v>7</v>
      </c>
      <c r="AA168" s="187">
        <f>IF(AND(B168="G1",M168=""),IF(R168="20'",
VLOOKUP(Z168,Charge!$K$2:$M$5,2,TRUE)+(Z168-VLOOKUP(Z168,Charge!$K$2:$M$5,1,TRUE))*VLOOKUP(Z168,Charge!$K$2:$M$5,3,TRUE),
VLOOKUP(Z168,Charge!$N$2:$P$5,2,TRUE)+(Z168-VLOOKUP(Z168,Charge!$N$2:$P$5,1,TRUE))*VLOOKUP(Z168,Charge!$N$2:$P$5,3,TRUE)),
IF(AND(B168="G1",M168="DG"),IF(R168="20'",
VLOOKUP(Z168,Charge!$R$2:$T$5,2,TRUE)+(Z168-VLOOKUP(Z168,Charge!$R$2:$T$5,1,TRUE))*VLOOKUP(Z168,Charge!$R$2:$T$5,3,TRUE),
VLOOKUP(Z168,Charge!$U$2:$W$5,2,TRUE)+(Z168-VLOOKUP(Z168,Charge!$U$2:$W$5,1,TRUE))*VLOOKUP(Z168,Charge!$U$2:$W$5,3,TRUE)),
IF(AND(B168="G3",M168=""),IF(R168="20'",
VLOOKUP(Z168,Charge!$K$18:$M$21,2,TRUE)+(Z168-VLOOKUP(Z168,Charge!$K$18:$M$21,1,TRUE))*VLOOKUP(Z168,Charge!$K$18:$M$21,3,TRUE),
VLOOKUP(Z168,Charge!$N$18:$P$21,2,TRUE)+(Z168-VLOOKUP(Z168,Charge!$N$18:$P$21,1,TRUE))*VLOOKUP(Z168,Charge!$N$18:$P$21,3,TRUE)),
IF(AND(B168="G3",M168="DG"),IF(R168="20'",
VLOOKUP(Z168,Charge!$R$18:$T$21,2,TRUE)+(Z168-VLOOKUP(Z168,Charge!$R$18:$T$21,1,TRUE))*VLOOKUP(Z168,Charge!$R$18:$T$21,3,TRUE),
VLOOKUP(Z168,Charge!$U$18:$W$21,2,TRUE)+(Z168-VLOOKUP(Z168,Charge!$U$18:$W$21,1,TRUE))*VLOOKUP(Z168,Charge!$U$18:$W$21,3,TRUE)),
IF(AND(B168="G2",M168=""),IF(R168="20'",
VLOOKUP(Z168,Charge!$K$9:$M$12,2,TRUE)+(Z168-VLOOKUP(Z168,Charge!$K$9:$M$12,1,TRUE))*VLOOKUP(Z168,Charge!$K$9:$M$12,3,TRUE),
VLOOKUP(Z168,Charge!$N$9:$P$12,2,TRUE)+(Z168-VLOOKUP(Z168,Charge!$N$9:$P$12,1,TRUE))*VLOOKUP(Z168,Charge!$N$9:$P$12,3,TRUE)),
IF(AND(B168="G2",M168="DG"),IF(R168="20'",
VLOOKUP(Z168,Charge!$R$9:$T$12,2,TRUE)+(Z168-VLOOKUP(Z168,Charge!$R$9:$T$12,1,TRUE))*VLOOKUP(Z168,Charge!$R$9:$T$12,3,TRUE),
VLOOKUP(Z168,Charge!$U$9:$W$12,2,TRUE)+(Z168-VLOOKUP(Z168,Charge!$U$9:$W$12,1,TRUE))*VLOOKUP(Z168,Charge!$U$9:$W$12,3,TRUE)),IF(AND(B168="G4",M168=""),IF(R168="20'",Z168*Charge!$M$25,Z168*Charge!$P$25),IF(AND(B168="G4",M168="DG"),IF(R168="20'",Z168*Charge!$T$25,Z168*Charge!$W$25),0))))))))</f>
        <v>1120</v>
      </c>
      <c r="AB168" s="184" t="n"/>
      <c r="AC168" s="184" t="n"/>
      <c r="AD168" s="60">
        <f>IF(M168="DG",3,IF(N168="RF",3,5))+IF(AND(LEFT(C168,3)="BKK",N168="RF",Q168="KTS"),1,0)+IF(Q168="KHS",1,0)</f>
        <v>5</v>
      </c>
      <c r="AE168" s="63">
        <f>(T168-V168)+1</f>
        <v>46304</v>
      </c>
      <c r="AF168" s="63">
        <f>IF(AB168&gt;IF((V168-W168)&gt;0,V168-W168,0),0,IF(AB168&lt;IF((V168-W168)&gt;0,V168-W168,0),IF((V168-W168)&gt;0,V168-W168,0)-AB168,IF((V168-W168)&gt;0,V168-W168,0)))</f>
        <v>0</v>
      </c>
      <c r="AG168" s="187">
        <f>IF(AND(M168=""),IF(R168="20'",
VLOOKUP(AF168,Charge!$K$31:$M$34,2,TRUE)+(AF168-VLOOKUP(AF168,Charge!$K$31:$M$34,1,TRUE))*VLOOKUP(AF168,Charge!$K$31:$M$34,3,TRUE),
VLOOKUP(AF168,Charge!$N$31:$P$34,2,TRUE)+(AF168-VLOOKUP(AF168,Charge!$N$31:$P$34,1,TRUE))*VLOOKUP(AF168,Charge!$N$31:$P$34,3,TRUE)),
IF(AND(M168="DG"),IF(R168="20'",
VLOOKUP(AF168,Charge!$R$31:$T$34,2,TRUE)+(AF168-VLOOKUP(AF168,Charge!$R$31:$T$34,1,TRUE))*VLOOKUP(AF168,Charge!$R$31:$T$34,3,TRUE),
VLOOKUP(AF168,Charge!$U$31:$W$34,2,TRUE)+(AF168-VLOOKUP(AF168,Charge!$U$31:$W$34,1,TRUE))*VLOOKUP(AF168,Charge!$U$31:$W$34,3,TRUE)),0))</f>
        <v>0</v>
      </c>
      <c r="AH168" s="65" t="n"/>
      <c r="AI168" s="65">
        <f>AA168-AH168</f>
        <v>1120</v>
      </c>
      <c r="AJ168" s="188" t="n"/>
      <c r="AK168" s="62" t="str">
        <f>VLOOKUP(D168,'2.Bookinglist'!A:CT,40,FALSE)</f>
        <v>Yasuaki Ueno</v>
      </c>
      <c r="AL168" s="60" t="str">
        <f>VLOOKUP(D168,'2.Bookinglist'!A:CW,101,FALSE)</f>
        <v>2026-10-07</v>
      </c>
      <c r="AM168" s="60" t="str">
        <f>VLOOKUP(D168,'2.Bookinglist'!A:BK,63,FALSE)</f>
        <v>BKK27</v>
      </c>
      <c r="AN168" s="62" t="str">
        <f>VLOOKUP(D168,'2.Bookinglist'!A:AZ,52,FALSE)</f>
        <v>Pickup : 2026-09-29, Return : 2026-09-29 </v>
      </c>
      <c r="AO168" s="62" t="str">
        <f>VLOOKUP(D168,'2.Bookinglist'!A:CY,103,FALSE)</f>
        <v>ROLL OVER FROM PREVIOUS VSL KMBK 2611N BY ALLOCATION TEAM MS.TARN APPROVED COST IS UNDER HAL DD.01/10SI DD.29/9/26</v>
      </c>
    </row>
    <row r="169" ht="12.95" customHeight="1">
      <c r="A169" s="96" t="inlineStr">
        <is>
          <t>SKLU2336742</t>
        </is>
      </c>
      <c r="B169" s="184" t="str">
        <f>IF(C169=Charge!$M$1,Charge!$J$1,IF(C169=Charge!$M$23,Charge!$J$23,IF(C169=Charge!$M$17,Charge!$J$17,IF(C169=Charge!$N$17,Charge!$J$17,Charge!$J$7))))</f>
        <v>G3</v>
      </c>
      <c r="C169" s="61" t="str">
        <f>VLOOKUP(A169,'1.Loading'!A:R,14,FALSE)</f>
        <v>BKK04</v>
      </c>
      <c r="D169" s="61" t="str">
        <f>VLOOKUP(A169,'1.Loading'!A:R,17,FALSE)</f>
        <v>HASLS22260900374</v>
      </c>
      <c r="E169" s="62" t="str">
        <f>VLOOKUP(D169,'2.Bookinglist'!A:CT,27,FALSE)</f>
        <v>GROWTH ON LOGISTICS CO., LTD.</v>
      </c>
      <c r="F169" s="62" t="str">
        <f>VLOOKUP(D169,'2.Bookinglist'!A:CT,28,FALSE)</f>
        <v>SCG (THAILAND) CO., LTD.</v>
      </c>
      <c r="G169" s="60">
        <f>VLOOKUP(D169,'2.Bookinglist'!A:E,5,FALSE)</f>
        <v>0</v>
      </c>
      <c r="H169" s="61" t="str">
        <f>VLOOKUP(D169,'2.Bookinglist'!A:CT,15,FALSE)</f>
        <v>THBKK</v>
      </c>
      <c r="I169" s="61" t="str">
        <f>VLOOKUP(D169,'2.Bookinglist'!A:CT,19,FALSE)</f>
        <v>VNSGN</v>
      </c>
      <c r="J169" s="61">
        <f>VLOOKUP(D169,'2.Bookinglist'!A:CT,26,FALSE)</f>
        <v>0</v>
      </c>
      <c r="K169" s="61" t="str">
        <f>VLOOKUP(A169,'1.Loading'!A:R,5,FALSE)</f>
        <v>22GP</v>
      </c>
      <c r="L169" s="60" t="str">
        <f>VLOOKUP(D169,'2.Bookinglist'!A:CT,85,FALSE)</f>
        <v>CY/CY</v>
      </c>
      <c r="M169" s="60" t="str">
        <f>IF(VLOOKUP(D169,'2.Bookinglist'!A:CT,43,FALSE)=0,"","DG")</f>
        <v/>
      </c>
      <c r="N169" s="60" t="str">
        <f>IF(RIGHT(K169,2)="RE","RF","")</f>
        <v/>
      </c>
      <c r="O169" s="61" t="str">
        <f>VLOOKUP(A169,'1.Loading'!A:R,3,FALSE)</f>
        <v>SWSP</v>
      </c>
      <c r="P169" s="61" t="str">
        <f>VLOOKUP(A169,'1.Loading'!A:R,4,FALSE)</f>
        <v>2609N</v>
      </c>
      <c r="Q169" s="61" t="str">
        <f>VLOOKUP(D169,'2.Bookinglist'!A:CT,12,FALSE)</f>
        <v>BTS</v>
      </c>
      <c r="R169" s="60" t="str">
        <f>IF(LEFT(K169,2)="22","20'","40'")</f>
        <v>20'</v>
      </c>
      <c r="S169" s="185" t="n"/>
      <c r="T169" s="61" t="str">
        <f>VLOOKUP(A169,'1.Loading'!A:R,2,FALSE)</f>
        <v>2026-10-08</v>
      </c>
      <c r="U169" s="63">
        <f>T169-S169</f>
        <v>46303</v>
      </c>
      <c r="V169" s="186" t="n"/>
      <c r="W169" s="61" t="str">
        <f>VLOOKUP(A169,'3.GateMove'!A:D,4,FALSE)</f>
        <v>2026-10-03</v>
      </c>
      <c r="X169" s="63">
        <f>((T169-W169)+1)</f>
        <v>6</v>
      </c>
      <c r="Y169" s="64">
        <f>IF(AND(OR(C169="BKK01",C169="BKK04"),L169="CFS/CY"),0,IF(M169="DG",1,IF(LEFT(C169,3)="LCH",7,IF(C169="BKK02",5,3))))</f>
        <v>3</v>
      </c>
      <c r="Z169" s="63">
        <f>IF(IF(AND(AC169="TML",AB169&gt;0),((T169-W169)+1)-AB169,((T169-W169)+1)-Y169)&gt;0,IF(AND(AC169="TML",AB169&gt;0),((T169-W169)+1)-AB169,((T169-W169)+1)-Y169),0)</f>
        <v>3</v>
      </c>
      <c r="AA169" s="187">
        <f>IF(AND(B169="G1",M169=""),IF(R169="20'",
VLOOKUP(Z169,Charge!$K$2:$M$5,2,TRUE)+(Z169-VLOOKUP(Z169,Charge!$K$2:$M$5,1,TRUE))*VLOOKUP(Z169,Charge!$K$2:$M$5,3,TRUE),
VLOOKUP(Z169,Charge!$N$2:$P$5,2,TRUE)+(Z169-VLOOKUP(Z169,Charge!$N$2:$P$5,1,TRUE))*VLOOKUP(Z169,Charge!$N$2:$P$5,3,TRUE)),
IF(AND(B169="G1",M169="DG"),IF(R169="20'",
VLOOKUP(Z169,Charge!$R$2:$T$5,2,TRUE)+(Z169-VLOOKUP(Z169,Charge!$R$2:$T$5,1,TRUE))*VLOOKUP(Z169,Charge!$R$2:$T$5,3,TRUE),
VLOOKUP(Z169,Charge!$U$2:$W$5,2,TRUE)+(Z169-VLOOKUP(Z169,Charge!$U$2:$W$5,1,TRUE))*VLOOKUP(Z169,Charge!$U$2:$W$5,3,TRUE)),
IF(AND(B169="G3",M169=""),IF(R169="20'",
VLOOKUP(Z169,Charge!$K$18:$M$21,2,TRUE)+(Z169-VLOOKUP(Z169,Charge!$K$18:$M$21,1,TRUE))*VLOOKUP(Z169,Charge!$K$18:$M$21,3,TRUE),
VLOOKUP(Z169,Charge!$N$18:$P$21,2,TRUE)+(Z169-VLOOKUP(Z169,Charge!$N$18:$P$21,1,TRUE))*VLOOKUP(Z169,Charge!$N$18:$P$21,3,TRUE)),
IF(AND(B169="G3",M169="DG"),IF(R169="20'",
VLOOKUP(Z169,Charge!$R$18:$T$21,2,TRUE)+(Z169-VLOOKUP(Z169,Charge!$R$18:$T$21,1,TRUE))*VLOOKUP(Z169,Charge!$R$18:$T$21,3,TRUE),
VLOOKUP(Z169,Charge!$U$18:$W$21,2,TRUE)+(Z169-VLOOKUP(Z169,Charge!$U$18:$W$21,1,TRUE))*VLOOKUP(Z169,Charge!$U$18:$W$21,3,TRUE)),
IF(AND(B169="G2",M169=""),IF(R169="20'",
VLOOKUP(Z169,Charge!$K$9:$M$12,2,TRUE)+(Z169-VLOOKUP(Z169,Charge!$K$9:$M$12,1,TRUE))*VLOOKUP(Z169,Charge!$K$9:$M$12,3,TRUE),
VLOOKUP(Z169,Charge!$N$9:$P$12,2,TRUE)+(Z169-VLOOKUP(Z169,Charge!$N$9:$P$12,1,TRUE))*VLOOKUP(Z169,Charge!$N$9:$P$12,3,TRUE)),
IF(AND(B169="G2",M169="DG"),IF(R169="20'",
VLOOKUP(Z169,Charge!$R$9:$T$12,2,TRUE)+(Z169-VLOOKUP(Z169,Charge!$R$9:$T$12,1,TRUE))*VLOOKUP(Z169,Charge!$R$9:$T$12,3,TRUE),
VLOOKUP(Z169,Charge!$U$9:$W$12,2,TRUE)+(Z169-VLOOKUP(Z169,Charge!$U$9:$W$12,1,TRUE))*VLOOKUP(Z169,Charge!$U$9:$W$12,3,TRUE)),IF(AND(B169="G4",M169=""),IF(R169="20'",Z169*Charge!$M$25,Z169*Charge!$P$25),IF(AND(B169="G4",M169="DG"),IF(R169="20'",Z169*Charge!$T$25,Z169*Charge!$W$25),0))))))))</f>
        <v>480</v>
      </c>
      <c r="AB169" s="184" t="n"/>
      <c r="AC169" s="184" t="n"/>
      <c r="AD169" s="60">
        <f>IF(M169="DG",3,IF(N169="RF",3,5))+IF(AND(LEFT(C169,3)="BKK",N169="RF",Q169="KTS"),1,0)+IF(Q169="KHS",1,0)</f>
        <v>5</v>
      </c>
      <c r="AE169" s="63">
        <f>(T169-V169)+1</f>
        <v>46304</v>
      </c>
      <c r="AF169" s="63">
        <f>IF(AB169&gt;IF((V169-W169)&gt;0,V169-W169,0),0,IF(AB169&lt;IF((V169-W169)&gt;0,V169-W169,0),IF((V169-W169)&gt;0,V169-W169,0)-AB169,IF((V169-W169)&gt;0,V169-W169,0)))</f>
        <v>0</v>
      </c>
      <c r="AG169" s="187">
        <f>IF(AND(M169=""),IF(R169="20'",
VLOOKUP(AF169,Charge!$K$31:$M$34,2,TRUE)+(AF169-VLOOKUP(AF169,Charge!$K$31:$M$34,1,TRUE))*VLOOKUP(AF169,Charge!$K$31:$M$34,3,TRUE),
VLOOKUP(AF169,Charge!$N$31:$P$34,2,TRUE)+(AF169-VLOOKUP(AF169,Charge!$N$31:$P$34,1,TRUE))*VLOOKUP(AF169,Charge!$N$31:$P$34,3,TRUE)),
IF(AND(M169="DG"),IF(R169="20'",
VLOOKUP(AF169,Charge!$R$31:$T$34,2,TRUE)+(AF169-VLOOKUP(AF169,Charge!$R$31:$T$34,1,TRUE))*VLOOKUP(AF169,Charge!$R$31:$T$34,3,TRUE),
VLOOKUP(AF169,Charge!$U$31:$W$34,2,TRUE)+(AF169-VLOOKUP(AF169,Charge!$U$31:$W$34,1,TRUE))*VLOOKUP(AF169,Charge!$U$31:$W$34,3,TRUE)),0))</f>
        <v>0</v>
      </c>
      <c r="AH169" s="65" t="n"/>
      <c r="AI169" s="65">
        <f>AA169-AH169</f>
        <v>480</v>
      </c>
      <c r="AJ169" s="188" t="n"/>
      <c r="AK169" s="62" t="str">
        <f>VLOOKUP(D169,'2.Bookinglist'!A:CT,40,FALSE)</f>
        <v>Arunphat W. (Aiw)</v>
      </c>
      <c r="AL169" s="60" t="str">
        <f>VLOOKUP(D169,'2.Bookinglist'!A:CW,101,FALSE)</f>
        <v>2026-10-01</v>
      </c>
      <c r="AM169" s="60" t="str">
        <f>VLOOKUP(D169,'2.Bookinglist'!A:BK,63,FALSE)</f>
        <v>BKK27</v>
      </c>
      <c r="AN169" s="62" t="str">
        <f>VLOOKUP(D169,'2.Bookinglist'!A:AZ,52,FALSE)</f>
        <v>Pickup : 2026-10-03, Return : 2026-10-03</v>
      </c>
      <c r="AO169" s="62">
        <f>VLOOKUP(D169,'2.Bookinglist'!A:CY,103,FALSE)</f>
        <v>0</v>
      </c>
    </row>
    <row r="170" ht="12.95" customHeight="1">
      <c r="A170" s="96" t="inlineStr">
        <is>
          <t>SKLU2346397</t>
        </is>
      </c>
      <c r="B170" s="184" t="str">
        <f>IF(C170=Charge!$M$1,Charge!$J$1,IF(C170=Charge!$M$23,Charge!$J$23,IF(C170=Charge!$M$17,Charge!$J$17,IF(C170=Charge!$N$17,Charge!$J$17,Charge!$J$7))))</f>
        <v>G3</v>
      </c>
      <c r="C170" s="61" t="str">
        <f>VLOOKUP(A170,'1.Loading'!A:R,14,FALSE)</f>
        <v>BKK04</v>
      </c>
      <c r="D170" s="61" t="str">
        <f>VLOOKUP(A170,'1.Loading'!A:R,17,FALSE)</f>
        <v>HASLS22260801914</v>
      </c>
      <c r="E170" s="62" t="str">
        <f>VLOOKUP(D170,'2.Bookinglist'!A:CT,27,FALSE)</f>
        <v>DP WORLD LOGISTICS SOLUTIONS (THAILAND) COMPANY LIMITED</v>
      </c>
      <c r="F170" s="62" t="str">
        <f>VLOOKUP(D170,'2.Bookinglist'!A:CT,28,FALSE)</f>
        <v>DP WORLD LOGISTICS SOLUTIONS (THAILAND) COMPANY LIMITED</v>
      </c>
      <c r="G170" s="60">
        <f>VLOOKUP(D170,'2.Bookinglist'!A:E,5,FALSE)</f>
        <v>0</v>
      </c>
      <c r="H170" s="61" t="str">
        <f>VLOOKUP(D170,'2.Bookinglist'!A:CT,15,FALSE)</f>
        <v>THBKK</v>
      </c>
      <c r="I170" s="61" t="str">
        <f>VLOOKUP(D170,'2.Bookinglist'!A:CT,19,FALSE)</f>
        <v>KRPTK</v>
      </c>
      <c r="J170" s="61">
        <f>VLOOKUP(D170,'2.Bookinglist'!A:CT,26,FALSE)</f>
        <v>0</v>
      </c>
      <c r="K170" s="61" t="str">
        <f>VLOOKUP(A170,'1.Loading'!A:R,5,FALSE)</f>
        <v>22GP</v>
      </c>
      <c r="L170" s="60" t="str">
        <f>VLOOKUP(D170,'2.Bookinglist'!A:CT,85,FALSE)</f>
        <v>CY/CY</v>
      </c>
      <c r="M170" s="60" t="str">
        <f>IF(VLOOKUP(D170,'2.Bookinglist'!A:CT,43,FALSE)=0,"","DG")</f>
        <v/>
      </c>
      <c r="N170" s="60" t="str">
        <f>IF(RIGHT(K170,2)="RE","RF","")</f>
        <v/>
      </c>
      <c r="O170" s="61" t="str">
        <f>VLOOKUP(A170,'1.Loading'!A:R,3,FALSE)</f>
        <v>SWSP</v>
      </c>
      <c r="P170" s="61" t="str">
        <f>VLOOKUP(A170,'1.Loading'!A:R,4,FALSE)</f>
        <v>2609N</v>
      </c>
      <c r="Q170" s="61" t="str">
        <f>VLOOKUP(D170,'2.Bookinglist'!A:CT,12,FALSE)</f>
        <v>BTS</v>
      </c>
      <c r="R170" s="60" t="str">
        <f>IF(LEFT(K170,2)="22","20'","40'")</f>
        <v>20'</v>
      </c>
      <c r="S170" s="185" t="n"/>
      <c r="T170" s="61" t="str">
        <f>VLOOKUP(A170,'1.Loading'!A:R,2,FALSE)</f>
        <v>2026-10-08</v>
      </c>
      <c r="U170" s="63">
        <f>T170-S170</f>
        <v>46303</v>
      </c>
      <c r="V170" s="186" t="n"/>
      <c r="W170" s="61" t="str">
        <f>VLOOKUP(A170,'3.GateMove'!A:D,4,FALSE)</f>
        <v>2026-09-19</v>
      </c>
      <c r="X170" s="63">
        <f>((T170-W170)+1)</f>
        <v>20</v>
      </c>
      <c r="Y170" s="64">
        <f>IF(AND(OR(C170="BKK01",C170="BKK04"),L170="CFS/CY"),0,IF(M170="DG",1,IF(LEFT(C170,3)="LCH",7,IF(C170="BKK02",5,3))))</f>
        <v>3</v>
      </c>
      <c r="Z170" s="63">
        <f>IF(IF(AND(AC170="TML",AB170&gt;0),((T170-W170)+1)-AB170,((T170-W170)+1)-Y170)&gt;0,IF(AND(AC170="TML",AB170&gt;0),((T170-W170)+1)-AB170,((T170-W170)+1)-Y170),0)</f>
        <v>17</v>
      </c>
      <c r="AA170" s="187">
        <f>IF(AND(B170="G1",M170=""),IF(R170="20'",
VLOOKUP(Z170,Charge!$K$2:$M$5,2,TRUE)+(Z170-VLOOKUP(Z170,Charge!$K$2:$M$5,1,TRUE))*VLOOKUP(Z170,Charge!$K$2:$M$5,3,TRUE),
VLOOKUP(Z170,Charge!$N$2:$P$5,2,TRUE)+(Z170-VLOOKUP(Z170,Charge!$N$2:$P$5,1,TRUE))*VLOOKUP(Z170,Charge!$N$2:$P$5,3,TRUE)),
IF(AND(B170="G1",M170="DG"),IF(R170="20'",
VLOOKUP(Z170,Charge!$R$2:$T$5,2,TRUE)+(Z170-VLOOKUP(Z170,Charge!$R$2:$T$5,1,TRUE))*VLOOKUP(Z170,Charge!$R$2:$T$5,3,TRUE),
VLOOKUP(Z170,Charge!$U$2:$W$5,2,TRUE)+(Z170-VLOOKUP(Z170,Charge!$U$2:$W$5,1,TRUE))*VLOOKUP(Z170,Charge!$U$2:$W$5,3,TRUE)),
IF(AND(B170="G3",M170=""),IF(R170="20'",
VLOOKUP(Z170,Charge!$K$18:$M$21,2,TRUE)+(Z170-VLOOKUP(Z170,Charge!$K$18:$M$21,1,TRUE))*VLOOKUP(Z170,Charge!$K$18:$M$21,3,TRUE),
VLOOKUP(Z170,Charge!$N$18:$P$21,2,TRUE)+(Z170-VLOOKUP(Z170,Charge!$N$18:$P$21,1,TRUE))*VLOOKUP(Z170,Charge!$N$18:$P$21,3,TRUE)),
IF(AND(B170="G3",M170="DG"),IF(R170="20'",
VLOOKUP(Z170,Charge!$R$18:$T$21,2,TRUE)+(Z170-VLOOKUP(Z170,Charge!$R$18:$T$21,1,TRUE))*VLOOKUP(Z170,Charge!$R$18:$T$21,3,TRUE),
VLOOKUP(Z170,Charge!$U$18:$W$21,2,TRUE)+(Z170-VLOOKUP(Z170,Charge!$U$18:$W$21,1,TRUE))*VLOOKUP(Z170,Charge!$U$18:$W$21,3,TRUE)),
IF(AND(B170="G2",M170=""),IF(R170="20'",
VLOOKUP(Z170,Charge!$K$9:$M$12,2,TRUE)+(Z170-VLOOKUP(Z170,Charge!$K$9:$M$12,1,TRUE))*VLOOKUP(Z170,Charge!$K$9:$M$12,3,TRUE),
VLOOKUP(Z170,Charge!$N$9:$P$12,2,TRUE)+(Z170-VLOOKUP(Z170,Charge!$N$9:$P$12,1,TRUE))*VLOOKUP(Z170,Charge!$N$9:$P$12,3,TRUE)),
IF(AND(B170="G2",M170="DG"),IF(R170="20'",
VLOOKUP(Z170,Charge!$R$9:$T$12,2,TRUE)+(Z170-VLOOKUP(Z170,Charge!$R$9:$T$12,1,TRUE))*VLOOKUP(Z170,Charge!$R$9:$T$12,3,TRUE),
VLOOKUP(Z170,Charge!$U$9:$W$12,2,TRUE)+(Z170-VLOOKUP(Z170,Charge!$U$9:$W$12,1,TRUE))*VLOOKUP(Z170,Charge!$U$9:$W$12,3,TRUE)),IF(AND(B170="G4",M170=""),IF(R170="20'",Z170*Charge!$M$25,Z170*Charge!$P$25),IF(AND(B170="G4",M170="DG"),IF(R170="20'",Z170*Charge!$T$25,Z170*Charge!$W$25),0))))))))</f>
        <v>4215</v>
      </c>
      <c r="AB170" s="184" t="n"/>
      <c r="AC170" s="184" t="n"/>
      <c r="AD170" s="60">
        <f>IF(M170="DG",3,IF(N170="RF",3,5))+IF(AND(LEFT(C170,3)="BKK",N170="RF",Q170="KTS"),1,0)+IF(Q170="KHS",1,0)</f>
        <v>5</v>
      </c>
      <c r="AE170" s="63">
        <f>(T170-V170)+1</f>
        <v>46304</v>
      </c>
      <c r="AF170" s="63">
        <f>IF(AB170&gt;IF((V170-W170)&gt;0,V170-W170,0),0,IF(AB170&lt;IF((V170-W170)&gt;0,V170-W170,0),IF((V170-W170)&gt;0,V170-W170,0)-AB170,IF((V170-W170)&gt;0,V170-W170,0)))</f>
        <v>0</v>
      </c>
      <c r="AG170" s="187">
        <f>IF(AND(M170=""),IF(R170="20'",
VLOOKUP(AF170,Charge!$K$31:$M$34,2,TRUE)+(AF170-VLOOKUP(AF170,Charge!$K$31:$M$34,1,TRUE))*VLOOKUP(AF170,Charge!$K$31:$M$34,3,TRUE),
VLOOKUP(AF170,Charge!$N$31:$P$34,2,TRUE)+(AF170-VLOOKUP(AF170,Charge!$N$31:$P$34,1,TRUE))*VLOOKUP(AF170,Charge!$N$31:$P$34,3,TRUE)),
IF(AND(M170="DG"),IF(R170="20'",
VLOOKUP(AF170,Charge!$R$31:$T$34,2,TRUE)+(AF170-VLOOKUP(AF170,Charge!$R$31:$T$34,1,TRUE))*VLOOKUP(AF170,Charge!$R$31:$T$34,3,TRUE),
VLOOKUP(AF170,Charge!$U$31:$W$34,2,TRUE)+(AF170-VLOOKUP(AF170,Charge!$U$31:$W$34,1,TRUE))*VLOOKUP(AF170,Charge!$U$31:$W$34,3,TRUE)),0))</f>
        <v>0</v>
      </c>
      <c r="AH170" s="65" t="n"/>
      <c r="AI170" s="65">
        <f>AA170-AH170</f>
        <v>4215</v>
      </c>
      <c r="AJ170" s="188" t="n"/>
      <c r="AK170" s="62" t="str">
        <f>VLOOKUP(D170,'2.Bookinglist'!A:CT,40,FALSE)</f>
        <v>Nannaapust Sukporntaweewat</v>
      </c>
      <c r="AL170" s="60" t="str">
        <f>VLOOKUP(D170,'2.Bookinglist'!A:CW,101,FALSE)</f>
        <v>2026-10-05</v>
      </c>
      <c r="AM170" s="60" t="str">
        <f>VLOOKUP(D170,'2.Bookinglist'!A:BK,63,FALSE)</f>
        <v>BKK27</v>
      </c>
      <c r="AN170" s="62" t="str">
        <f>VLOOKUP(D170,'2.Bookinglist'!A:AZ,52,FALSE)</f>
        <v>** APPROVED BY H.W KANG DD.28/09/2026 ** *FLEXIBAG ONDECK*
Servey : 17/09/2026, Pickup : 18/09/2026, Return : 21/09/2026 *EXTEND CLS TIME : 22/09/2026 @06.00* </v>
      </c>
      <c r="AO170" s="62" t="str">
        <f>VLOOKUP(D170,'2.Bookinglist'!A:CY,103,FALSE)</f>
        <v>ROLL OVER FROM PREVIOUS VSL SWMM 2609N BY ALLOCATION TEAM MS.TARN APRPOVED COST IS UNDER HA DD.21/09</v>
      </c>
    </row>
    <row r="171" ht="12.95" customHeight="1">
      <c r="A171" s="96" t="inlineStr">
        <is>
          <t>SKLU2348152</t>
        </is>
      </c>
      <c r="B171" s="184" t="str">
        <f>IF(C171=Charge!$M$1,Charge!$J$1,IF(C171=Charge!$M$23,Charge!$J$23,IF(C171=Charge!$M$17,Charge!$J$17,IF(C171=Charge!$N$17,Charge!$J$17,Charge!$J$7))))</f>
        <v>G3</v>
      </c>
      <c r="C171" s="61" t="str">
        <f>VLOOKUP(A171,'1.Loading'!A:R,14,FALSE)</f>
        <v>BKK04</v>
      </c>
      <c r="D171" s="61" t="str">
        <f>VLOOKUP(A171,'1.Loading'!A:R,17,FALSE)</f>
        <v>HASLS22260901245</v>
      </c>
      <c r="E171" s="62" t="str">
        <f>VLOOKUP(D171,'2.Bookinglist'!A:CT,27,FALSE)</f>
        <v>BANGKOK COLD STORAGE SERVICE,LTD</v>
      </c>
      <c r="F171" s="62" t="str">
        <f>VLOOKUP(D171,'2.Bookinglist'!A:CT,28,FALSE)</f>
        <v>UENO FINE CHEMICALS INDUSTRY (THAILAND) LTD.</v>
      </c>
      <c r="G171" s="60">
        <f>VLOOKUP(D171,'2.Bookinglist'!A:E,5,FALSE)</f>
        <v>0</v>
      </c>
      <c r="H171" s="61" t="str">
        <f>VLOOKUP(D171,'2.Bookinglist'!A:CT,15,FALSE)</f>
        <v>THBKK</v>
      </c>
      <c r="I171" s="61" t="str">
        <f>VLOOKUP(D171,'2.Bookinglist'!A:CT,19,FALSE)</f>
        <v>JPMIZ</v>
      </c>
      <c r="J171" s="61" t="str">
        <f>VLOOKUP(D171,'2.Bookinglist'!A:CT,26,FALSE)</f>
        <v>KRPUS</v>
      </c>
      <c r="K171" s="61" t="str">
        <f>VLOOKUP(A171,'1.Loading'!A:R,5,FALSE)</f>
        <v>22GP</v>
      </c>
      <c r="L171" s="60" t="str">
        <f>VLOOKUP(D171,'2.Bookinglist'!A:CT,85,FALSE)</f>
        <v>CY/CY</v>
      </c>
      <c r="M171" s="60" t="str">
        <f>IF(VLOOKUP(D171,'2.Bookinglist'!A:CT,43,FALSE)=0,"","DG")</f>
        <v/>
      </c>
      <c r="N171" s="60" t="str">
        <f>IF(RIGHT(K171,2)="RE","RF","")</f>
        <v/>
      </c>
      <c r="O171" s="61" t="str">
        <f>VLOOKUP(A171,'1.Loading'!A:R,3,FALSE)</f>
        <v>SWSP</v>
      </c>
      <c r="P171" s="61" t="str">
        <f>VLOOKUP(A171,'1.Loading'!A:R,4,FALSE)</f>
        <v>2609N</v>
      </c>
      <c r="Q171" s="61" t="str">
        <f>VLOOKUP(D171,'2.Bookinglist'!A:CT,12,FALSE)</f>
        <v>BTS</v>
      </c>
      <c r="R171" s="60" t="str">
        <f>IF(LEFT(K171,2)="22","20'","40'")</f>
        <v>20'</v>
      </c>
      <c r="S171" s="185" t="n"/>
      <c r="T171" s="61" t="str">
        <f>VLOOKUP(A171,'1.Loading'!A:R,2,FALSE)</f>
        <v>2026-10-08</v>
      </c>
      <c r="U171" s="63">
        <f>T171-S171</f>
        <v>46303</v>
      </c>
      <c r="V171" s="186" t="n"/>
      <c r="W171" s="61" t="str">
        <f>VLOOKUP(A171,'3.GateMove'!A:D,4,FALSE)</f>
        <v>2026-09-29</v>
      </c>
      <c r="X171" s="63">
        <f>((T171-W171)+1)</f>
        <v>10</v>
      </c>
      <c r="Y171" s="64">
        <f>IF(AND(OR(C171="BKK01",C171="BKK04"),L171="CFS/CY"),0,IF(M171="DG",1,IF(LEFT(C171,3)="LCH",7,IF(C171="BKK02",5,3))))</f>
        <v>3</v>
      </c>
      <c r="Z171" s="63">
        <f>IF(IF(AND(AC171="TML",AB171&gt;0),((T171-W171)+1)-AB171,((T171-W171)+1)-Y171)&gt;0,IF(AND(AC171="TML",AB171&gt;0),((T171-W171)+1)-AB171,((T171-W171)+1)-Y171),0)</f>
        <v>7</v>
      </c>
      <c r="AA171" s="187">
        <f>IF(AND(B171="G1",M171=""),IF(R171="20'",
VLOOKUP(Z171,Charge!$K$2:$M$5,2,TRUE)+(Z171-VLOOKUP(Z171,Charge!$K$2:$M$5,1,TRUE))*VLOOKUP(Z171,Charge!$K$2:$M$5,3,TRUE),
VLOOKUP(Z171,Charge!$N$2:$P$5,2,TRUE)+(Z171-VLOOKUP(Z171,Charge!$N$2:$P$5,1,TRUE))*VLOOKUP(Z171,Charge!$N$2:$P$5,3,TRUE)),
IF(AND(B171="G1",M171="DG"),IF(R171="20'",
VLOOKUP(Z171,Charge!$R$2:$T$5,2,TRUE)+(Z171-VLOOKUP(Z171,Charge!$R$2:$T$5,1,TRUE))*VLOOKUP(Z171,Charge!$R$2:$T$5,3,TRUE),
VLOOKUP(Z171,Charge!$U$2:$W$5,2,TRUE)+(Z171-VLOOKUP(Z171,Charge!$U$2:$W$5,1,TRUE))*VLOOKUP(Z171,Charge!$U$2:$W$5,3,TRUE)),
IF(AND(B171="G3",M171=""),IF(R171="20'",
VLOOKUP(Z171,Charge!$K$18:$M$21,2,TRUE)+(Z171-VLOOKUP(Z171,Charge!$K$18:$M$21,1,TRUE))*VLOOKUP(Z171,Charge!$K$18:$M$21,3,TRUE),
VLOOKUP(Z171,Charge!$N$18:$P$21,2,TRUE)+(Z171-VLOOKUP(Z171,Charge!$N$18:$P$21,1,TRUE))*VLOOKUP(Z171,Charge!$N$18:$P$21,3,TRUE)),
IF(AND(B171="G3",M171="DG"),IF(R171="20'",
VLOOKUP(Z171,Charge!$R$18:$T$21,2,TRUE)+(Z171-VLOOKUP(Z171,Charge!$R$18:$T$21,1,TRUE))*VLOOKUP(Z171,Charge!$R$18:$T$21,3,TRUE),
VLOOKUP(Z171,Charge!$U$18:$W$21,2,TRUE)+(Z171-VLOOKUP(Z171,Charge!$U$18:$W$21,1,TRUE))*VLOOKUP(Z171,Charge!$U$18:$W$21,3,TRUE)),
IF(AND(B171="G2",M171=""),IF(R171="20'",
VLOOKUP(Z171,Charge!$K$9:$M$12,2,TRUE)+(Z171-VLOOKUP(Z171,Charge!$K$9:$M$12,1,TRUE))*VLOOKUP(Z171,Charge!$K$9:$M$12,3,TRUE),
VLOOKUP(Z171,Charge!$N$9:$P$12,2,TRUE)+(Z171-VLOOKUP(Z171,Charge!$N$9:$P$12,1,TRUE))*VLOOKUP(Z171,Charge!$N$9:$P$12,3,TRUE)),
IF(AND(B171="G2",M171="DG"),IF(R171="20'",
VLOOKUP(Z171,Charge!$R$9:$T$12,2,TRUE)+(Z171-VLOOKUP(Z171,Charge!$R$9:$T$12,1,TRUE))*VLOOKUP(Z171,Charge!$R$9:$T$12,3,TRUE),
VLOOKUP(Z171,Charge!$U$9:$W$12,2,TRUE)+(Z171-VLOOKUP(Z171,Charge!$U$9:$W$12,1,TRUE))*VLOOKUP(Z171,Charge!$U$9:$W$12,3,TRUE)),IF(AND(B171="G4",M171=""),IF(R171="20'",Z171*Charge!$M$25,Z171*Charge!$P$25),IF(AND(B171="G4",M171="DG"),IF(R171="20'",Z171*Charge!$T$25,Z171*Charge!$W$25),0))))))))</f>
        <v>1120</v>
      </c>
      <c r="AB171" s="184" t="n"/>
      <c r="AC171" s="184" t="n"/>
      <c r="AD171" s="60">
        <f>IF(M171="DG",3,IF(N171="RF",3,5))+IF(AND(LEFT(C171,3)="BKK",N171="RF",Q171="KTS"),1,0)+IF(Q171="KHS",1,0)</f>
        <v>5</v>
      </c>
      <c r="AE171" s="63">
        <f>(T171-V171)+1</f>
        <v>46304</v>
      </c>
      <c r="AF171" s="63">
        <f>IF(AB171&gt;IF((V171-W171)&gt;0,V171-W171,0),0,IF(AB171&lt;IF((V171-W171)&gt;0,V171-W171,0),IF((V171-W171)&gt;0,V171-W171,0)-AB171,IF((V171-W171)&gt;0,V171-W171,0)))</f>
        <v>0</v>
      </c>
      <c r="AG171" s="187">
        <f>IF(AND(M171=""),IF(R171="20'",
VLOOKUP(AF171,Charge!$K$31:$M$34,2,TRUE)+(AF171-VLOOKUP(AF171,Charge!$K$31:$M$34,1,TRUE))*VLOOKUP(AF171,Charge!$K$31:$M$34,3,TRUE),
VLOOKUP(AF171,Charge!$N$31:$P$34,2,TRUE)+(AF171-VLOOKUP(AF171,Charge!$N$31:$P$34,1,TRUE))*VLOOKUP(AF171,Charge!$N$31:$P$34,3,TRUE)),
IF(AND(M171="DG"),IF(R171="20'",
VLOOKUP(AF171,Charge!$R$31:$T$34,2,TRUE)+(AF171-VLOOKUP(AF171,Charge!$R$31:$T$34,1,TRUE))*VLOOKUP(AF171,Charge!$R$31:$T$34,3,TRUE),
VLOOKUP(AF171,Charge!$U$31:$W$34,2,TRUE)+(AF171-VLOOKUP(AF171,Charge!$U$31:$W$34,1,TRUE))*VLOOKUP(AF171,Charge!$U$31:$W$34,3,TRUE)),0))</f>
        <v>0</v>
      </c>
      <c r="AH171" s="65" t="n"/>
      <c r="AI171" s="65">
        <f>AA171-AH171</f>
        <v>1120</v>
      </c>
      <c r="AJ171" s="188" t="n"/>
      <c r="AK171" s="62" t="str">
        <f>VLOOKUP(D171,'2.Bookinglist'!A:CT,40,FALSE)</f>
        <v>Yasuaki Ueno</v>
      </c>
      <c r="AL171" s="60" t="str">
        <f>VLOOKUP(D171,'2.Bookinglist'!A:CW,101,FALSE)</f>
        <v>2026-10-07</v>
      </c>
      <c r="AM171" s="60" t="str">
        <f>VLOOKUP(D171,'2.Bookinglist'!A:BK,63,FALSE)</f>
        <v>BKK27</v>
      </c>
      <c r="AN171" s="62" t="str">
        <f>VLOOKUP(D171,'2.Bookinglist'!A:AZ,52,FALSE)</f>
        <v>Pickup : 2026-09-29, Return : 2026-09-29 </v>
      </c>
      <c r="AO171" s="62" t="str">
        <f>VLOOKUP(D171,'2.Bookinglist'!A:CY,103,FALSE)</f>
        <v>ROLL OVER FROM PREVIOUS VSL KMBK 2611N BY ALLOCATION TEAM MS.TARN APPROVED COST IS UNDER HAL DD.01/10SI DD.29/9/26</v>
      </c>
    </row>
    <row r="172" ht="12.95" customHeight="1">
      <c r="A172" s="96" t="inlineStr">
        <is>
          <t>SKLU2349483</t>
        </is>
      </c>
      <c r="B172" s="184" t="str">
        <f>IF(C172=Charge!$M$1,Charge!$J$1,IF(C172=Charge!$M$23,Charge!$J$23,IF(C172=Charge!$M$17,Charge!$J$17,IF(C172=Charge!$N$17,Charge!$J$17,Charge!$J$7))))</f>
        <v>G3</v>
      </c>
      <c r="C172" s="61" t="str">
        <f>VLOOKUP(A172,'1.Loading'!A:R,14,FALSE)</f>
        <v>BKK04</v>
      </c>
      <c r="D172" s="61" t="str">
        <f>VLOOKUP(A172,'1.Loading'!A:R,17,FALSE)</f>
        <v>HASLS22260900875</v>
      </c>
      <c r="E172" s="62" t="str">
        <f>VLOOKUP(D172,'2.Bookinglist'!A:CT,27,FALSE)</f>
        <v>PACIFIC STAR ALLIANCE CO., LTD.</v>
      </c>
      <c r="F172" s="62" t="str">
        <f>VLOOKUP(D172,'2.Bookinglist'!A:CT,28,FALSE)</f>
        <v>CODEL</v>
      </c>
      <c r="G172" s="60">
        <f>VLOOKUP(D172,'2.Bookinglist'!A:E,5,FALSE)</f>
        <v>0</v>
      </c>
      <c r="H172" s="61" t="str">
        <f>VLOOKUP(D172,'2.Bookinglist'!A:CT,15,FALSE)</f>
        <v>THBKK</v>
      </c>
      <c r="I172" s="61" t="str">
        <f>VLOOKUP(D172,'2.Bookinglist'!A:CT,19,FALSE)</f>
        <v>VNSGN</v>
      </c>
      <c r="J172" s="61">
        <f>VLOOKUP(D172,'2.Bookinglist'!A:CT,26,FALSE)</f>
        <v>0</v>
      </c>
      <c r="K172" s="61" t="str">
        <f>VLOOKUP(A172,'1.Loading'!A:R,5,FALSE)</f>
        <v>22GP</v>
      </c>
      <c r="L172" s="60" t="str">
        <f>VLOOKUP(D172,'2.Bookinglist'!A:CT,85,FALSE)</f>
        <v>CY/CY</v>
      </c>
      <c r="M172" s="60" t="str">
        <f>IF(VLOOKUP(D172,'2.Bookinglist'!A:CT,43,FALSE)=0,"","DG")</f>
        <v/>
      </c>
      <c r="N172" s="60" t="str">
        <f>IF(RIGHT(K172,2)="RE","RF","")</f>
        <v/>
      </c>
      <c r="O172" s="61" t="str">
        <f>VLOOKUP(A172,'1.Loading'!A:R,3,FALSE)</f>
        <v>SWSP</v>
      </c>
      <c r="P172" s="61" t="str">
        <f>VLOOKUP(A172,'1.Loading'!A:R,4,FALSE)</f>
        <v>2609N</v>
      </c>
      <c r="Q172" s="61" t="str">
        <f>VLOOKUP(D172,'2.Bookinglist'!A:CT,12,FALSE)</f>
        <v>BTS</v>
      </c>
      <c r="R172" s="60" t="str">
        <f>IF(LEFT(K172,2)="22","20'","40'")</f>
        <v>20'</v>
      </c>
      <c r="S172" s="185" t="n"/>
      <c r="T172" s="61" t="str">
        <f>VLOOKUP(A172,'1.Loading'!A:R,2,FALSE)</f>
        <v>2026-10-08</v>
      </c>
      <c r="U172" s="63">
        <f>T172-S172</f>
        <v>46303</v>
      </c>
      <c r="V172" s="186" t="n"/>
      <c r="W172" s="61" t="str">
        <f>VLOOKUP(A172,'3.GateMove'!A:D,4,FALSE)</f>
        <v>2026-10-01</v>
      </c>
      <c r="X172" s="63">
        <f>((T172-W172)+1)</f>
        <v>8</v>
      </c>
      <c r="Y172" s="64">
        <f>IF(AND(OR(C172="BKK01",C172="BKK04"),L172="CFS/CY"),0,IF(M172="DG",1,IF(LEFT(C172,3)="LCH",7,IF(C172="BKK02",5,3))))</f>
        <v>3</v>
      </c>
      <c r="Z172" s="63">
        <f>IF(IF(AND(AC172="TML",AB172&gt;0),((T172-W172)+1)-AB172,((T172-W172)+1)-Y172)&gt;0,IF(AND(AC172="TML",AB172&gt;0),((T172-W172)+1)-AB172,((T172-W172)+1)-Y172),0)</f>
        <v>5</v>
      </c>
      <c r="AA172" s="187">
        <f>IF(AND(B172="G1",M172=""),IF(R172="20'",
VLOOKUP(Z172,Charge!$K$2:$M$5,2,TRUE)+(Z172-VLOOKUP(Z172,Charge!$K$2:$M$5,1,TRUE))*VLOOKUP(Z172,Charge!$K$2:$M$5,3,TRUE),
VLOOKUP(Z172,Charge!$N$2:$P$5,2,TRUE)+(Z172-VLOOKUP(Z172,Charge!$N$2:$P$5,1,TRUE))*VLOOKUP(Z172,Charge!$N$2:$P$5,3,TRUE)),
IF(AND(B172="G1",M172="DG"),IF(R172="20'",
VLOOKUP(Z172,Charge!$R$2:$T$5,2,TRUE)+(Z172-VLOOKUP(Z172,Charge!$R$2:$T$5,1,TRUE))*VLOOKUP(Z172,Charge!$R$2:$T$5,3,TRUE),
VLOOKUP(Z172,Charge!$U$2:$W$5,2,TRUE)+(Z172-VLOOKUP(Z172,Charge!$U$2:$W$5,1,TRUE))*VLOOKUP(Z172,Charge!$U$2:$W$5,3,TRUE)),
IF(AND(B172="G3",M172=""),IF(R172="20'",
VLOOKUP(Z172,Charge!$K$18:$M$21,2,TRUE)+(Z172-VLOOKUP(Z172,Charge!$K$18:$M$21,1,TRUE))*VLOOKUP(Z172,Charge!$K$18:$M$21,3,TRUE),
VLOOKUP(Z172,Charge!$N$18:$P$21,2,TRUE)+(Z172-VLOOKUP(Z172,Charge!$N$18:$P$21,1,TRUE))*VLOOKUP(Z172,Charge!$N$18:$P$21,3,TRUE)),
IF(AND(B172="G3",M172="DG"),IF(R172="20'",
VLOOKUP(Z172,Charge!$R$18:$T$21,2,TRUE)+(Z172-VLOOKUP(Z172,Charge!$R$18:$T$21,1,TRUE))*VLOOKUP(Z172,Charge!$R$18:$T$21,3,TRUE),
VLOOKUP(Z172,Charge!$U$18:$W$21,2,TRUE)+(Z172-VLOOKUP(Z172,Charge!$U$18:$W$21,1,TRUE))*VLOOKUP(Z172,Charge!$U$18:$W$21,3,TRUE)),
IF(AND(B172="G2",M172=""),IF(R172="20'",
VLOOKUP(Z172,Charge!$K$9:$M$12,2,TRUE)+(Z172-VLOOKUP(Z172,Charge!$K$9:$M$12,1,TRUE))*VLOOKUP(Z172,Charge!$K$9:$M$12,3,TRUE),
VLOOKUP(Z172,Charge!$N$9:$P$12,2,TRUE)+(Z172-VLOOKUP(Z172,Charge!$N$9:$P$12,1,TRUE))*VLOOKUP(Z172,Charge!$N$9:$P$12,3,TRUE)),
IF(AND(B172="G2",M172="DG"),IF(R172="20'",
VLOOKUP(Z172,Charge!$R$9:$T$12,2,TRUE)+(Z172-VLOOKUP(Z172,Charge!$R$9:$T$12,1,TRUE))*VLOOKUP(Z172,Charge!$R$9:$T$12,3,TRUE),
VLOOKUP(Z172,Charge!$U$9:$W$12,2,TRUE)+(Z172-VLOOKUP(Z172,Charge!$U$9:$W$12,1,TRUE))*VLOOKUP(Z172,Charge!$U$9:$W$12,3,TRUE)),IF(AND(B172="G4",M172=""),IF(R172="20'",Z172*Charge!$M$25,Z172*Charge!$P$25),IF(AND(B172="G4",M172="DG"),IF(R172="20'",Z172*Charge!$T$25,Z172*Charge!$W$25),0))))))))</f>
        <v>800</v>
      </c>
      <c r="AB172" s="184" t="n"/>
      <c r="AC172" s="184" t="n"/>
      <c r="AD172" s="60">
        <f>IF(M172="DG",3,IF(N172="RF",3,5))+IF(AND(LEFT(C172,3)="BKK",N172="RF",Q172="KTS"),1,0)+IF(Q172="KHS",1,0)</f>
        <v>5</v>
      </c>
      <c r="AE172" s="63">
        <f>(T172-V172)+1</f>
        <v>46304</v>
      </c>
      <c r="AF172" s="63">
        <f>IF(AB172&gt;IF((V172-W172)&gt;0,V172-W172,0),0,IF(AB172&lt;IF((V172-W172)&gt;0,V172-W172,0),IF((V172-W172)&gt;0,V172-W172,0)-AB172,IF((V172-W172)&gt;0,V172-W172,0)))</f>
        <v>0</v>
      </c>
      <c r="AG172" s="187">
        <f>IF(AND(M172=""),IF(R172="20'",
VLOOKUP(AF172,Charge!$K$31:$M$34,2,TRUE)+(AF172-VLOOKUP(AF172,Charge!$K$31:$M$34,1,TRUE))*VLOOKUP(AF172,Charge!$K$31:$M$34,3,TRUE),
VLOOKUP(AF172,Charge!$N$31:$P$34,2,TRUE)+(AF172-VLOOKUP(AF172,Charge!$N$31:$P$34,1,TRUE))*VLOOKUP(AF172,Charge!$N$31:$P$34,3,TRUE)),
IF(AND(M172="DG"),IF(R172="20'",
VLOOKUP(AF172,Charge!$R$31:$T$34,2,TRUE)+(AF172-VLOOKUP(AF172,Charge!$R$31:$T$34,1,TRUE))*VLOOKUP(AF172,Charge!$R$31:$T$34,3,TRUE),
VLOOKUP(AF172,Charge!$U$31:$W$34,2,TRUE)+(AF172-VLOOKUP(AF172,Charge!$U$31:$W$34,1,TRUE))*VLOOKUP(AF172,Charge!$U$31:$W$34,3,TRUE)),0))</f>
        <v>0</v>
      </c>
      <c r="AH172" s="65" t="n"/>
      <c r="AI172" s="65">
        <f>AA172-AH172</f>
        <v>800</v>
      </c>
      <c r="AJ172" s="188" t="n"/>
      <c r="AK172" s="62" t="str">
        <f>VLOOKUP(D172,'2.Bookinglist'!A:CT,40,FALSE)</f>
        <v>Kanokporn</v>
      </c>
      <c r="AL172" s="60" t="str">
        <f>VLOOKUP(D172,'2.Bookinglist'!A:CW,101,FALSE)</f>
        <v>2026-10-05</v>
      </c>
      <c r="AM172" s="60" t="str">
        <f>VLOOKUP(D172,'2.Bookinglist'!A:BK,63,FALSE)</f>
        <v>BKK25</v>
      </c>
      <c r="AN172" s="62" t="str">
        <f>VLOOKUP(D172,'2.Bookinglist'!A:AZ,52,FALSE)</f>
        <v>Pickup : 2026-09-30, Return : 2026-10-01</v>
      </c>
      <c r="AO172" s="62">
        <f>VLOOKUP(D172,'2.Bookinglist'!A:CY,103,FALSE)</f>
        <v>0</v>
      </c>
    </row>
    <row r="173" ht="12.95" customHeight="1">
      <c r="A173" s="96" t="inlineStr">
        <is>
          <t>SKLU2361175</t>
        </is>
      </c>
      <c r="B173" s="184" t="str">
        <f>IF(C173=Charge!$M$1,Charge!$J$1,IF(C173=Charge!$M$23,Charge!$J$23,IF(C173=Charge!$M$17,Charge!$J$17,IF(C173=Charge!$N$17,Charge!$J$17,Charge!$J$7))))</f>
        <v>G3</v>
      </c>
      <c r="C173" s="61" t="str">
        <f>VLOOKUP(A173,'1.Loading'!A:R,14,FALSE)</f>
        <v>BKK04</v>
      </c>
      <c r="D173" s="61" t="str">
        <f>VLOOKUP(A173,'1.Loading'!A:R,17,FALSE)</f>
        <v>HASLS22260901396</v>
      </c>
      <c r="E173" s="62" t="str">
        <f>VLOOKUP(D173,'2.Bookinglist'!A:CT,27,FALSE)</f>
        <v>MILKYWAY INTERNATIONAL SUPPLY CHAIN SERVICES (THAILAND) CO., LTD.</v>
      </c>
      <c r="F173" s="62" t="str">
        <f>VLOOKUP(D173,'2.Bookinglist'!A:CT,28,FALSE)</f>
        <v>TASCO INTERNATIONAL CO., LTD.</v>
      </c>
      <c r="G173" s="60">
        <f>VLOOKUP(D173,'2.Bookinglist'!A:E,5,FALSE)</f>
        <v>0</v>
      </c>
      <c r="H173" s="61" t="str">
        <f>VLOOKUP(D173,'2.Bookinglist'!A:CT,15,FALSE)</f>
        <v>THBKK</v>
      </c>
      <c r="I173" s="61" t="str">
        <f>VLOOKUP(D173,'2.Bookinglist'!A:CT,19,FALSE)</f>
        <v>JPSBS</v>
      </c>
      <c r="J173" s="61" t="str">
        <f>VLOOKUP(D173,'2.Bookinglist'!A:CT,26,FALSE)</f>
        <v>KRPUS</v>
      </c>
      <c r="K173" s="61" t="str">
        <f>VLOOKUP(A173,'1.Loading'!A:R,5,FALSE)</f>
        <v>22GP</v>
      </c>
      <c r="L173" s="60" t="str">
        <f>VLOOKUP(D173,'2.Bookinglist'!A:CT,85,FALSE)</f>
        <v>CY/CY</v>
      </c>
      <c r="M173" s="60" t="str">
        <f>IF(VLOOKUP(D173,'2.Bookinglist'!A:CT,43,FALSE)=0,"","DG")</f>
        <v/>
      </c>
      <c r="N173" s="60" t="str">
        <f>IF(RIGHT(K173,2)="RE","RF","")</f>
        <v/>
      </c>
      <c r="O173" s="61" t="str">
        <f>VLOOKUP(A173,'1.Loading'!A:R,3,FALSE)</f>
        <v>SWSP</v>
      </c>
      <c r="P173" s="61" t="str">
        <f>VLOOKUP(A173,'1.Loading'!A:R,4,FALSE)</f>
        <v>2609N</v>
      </c>
      <c r="Q173" s="61" t="str">
        <f>VLOOKUP(D173,'2.Bookinglist'!A:CT,12,FALSE)</f>
        <v>BTS</v>
      </c>
      <c r="R173" s="60" t="str">
        <f>IF(LEFT(K173,2)="22","20'","40'")</f>
        <v>20'</v>
      </c>
      <c r="S173" s="185" t="n"/>
      <c r="T173" s="61" t="str">
        <f>VLOOKUP(A173,'1.Loading'!A:R,2,FALSE)</f>
        <v>2026-10-08</v>
      </c>
      <c r="U173" s="63">
        <f>T173-S173</f>
        <v>46303</v>
      </c>
      <c r="V173" s="186" t="n"/>
      <c r="W173" s="61" t="str">
        <f>VLOOKUP(A173,'3.GateMove'!A:D,4,FALSE)</f>
        <v>2026-10-01</v>
      </c>
      <c r="X173" s="63">
        <f>((T173-W173)+1)</f>
        <v>8</v>
      </c>
      <c r="Y173" s="64">
        <f>IF(AND(OR(C173="BKK01",C173="BKK04"),L173="CFS/CY"),0,IF(M173="DG",1,IF(LEFT(C173,3)="LCH",7,IF(C173="BKK02",5,3))))</f>
        <v>3</v>
      </c>
      <c r="Z173" s="63">
        <f>IF(IF(AND(AC173="TML",AB173&gt;0),((T173-W173)+1)-AB173,((T173-W173)+1)-Y173)&gt;0,IF(AND(AC173="TML",AB173&gt;0),((T173-W173)+1)-AB173,((T173-W173)+1)-Y173),0)</f>
        <v>5</v>
      </c>
      <c r="AA173" s="187">
        <f>IF(AND(B173="G1",M173=""),IF(R173="20'",
VLOOKUP(Z173,Charge!$K$2:$M$5,2,TRUE)+(Z173-VLOOKUP(Z173,Charge!$K$2:$M$5,1,TRUE))*VLOOKUP(Z173,Charge!$K$2:$M$5,3,TRUE),
VLOOKUP(Z173,Charge!$N$2:$P$5,2,TRUE)+(Z173-VLOOKUP(Z173,Charge!$N$2:$P$5,1,TRUE))*VLOOKUP(Z173,Charge!$N$2:$P$5,3,TRUE)),
IF(AND(B173="G1",M173="DG"),IF(R173="20'",
VLOOKUP(Z173,Charge!$R$2:$T$5,2,TRUE)+(Z173-VLOOKUP(Z173,Charge!$R$2:$T$5,1,TRUE))*VLOOKUP(Z173,Charge!$R$2:$T$5,3,TRUE),
VLOOKUP(Z173,Charge!$U$2:$W$5,2,TRUE)+(Z173-VLOOKUP(Z173,Charge!$U$2:$W$5,1,TRUE))*VLOOKUP(Z173,Charge!$U$2:$W$5,3,TRUE)),
IF(AND(B173="G3",M173=""),IF(R173="20'",
VLOOKUP(Z173,Charge!$K$18:$M$21,2,TRUE)+(Z173-VLOOKUP(Z173,Charge!$K$18:$M$21,1,TRUE))*VLOOKUP(Z173,Charge!$K$18:$M$21,3,TRUE),
VLOOKUP(Z173,Charge!$N$18:$P$21,2,TRUE)+(Z173-VLOOKUP(Z173,Charge!$N$18:$P$21,1,TRUE))*VLOOKUP(Z173,Charge!$N$18:$P$21,3,TRUE)),
IF(AND(B173="G3",M173="DG"),IF(R173="20'",
VLOOKUP(Z173,Charge!$R$18:$T$21,2,TRUE)+(Z173-VLOOKUP(Z173,Charge!$R$18:$T$21,1,TRUE))*VLOOKUP(Z173,Charge!$R$18:$T$21,3,TRUE),
VLOOKUP(Z173,Charge!$U$18:$W$21,2,TRUE)+(Z173-VLOOKUP(Z173,Charge!$U$18:$W$21,1,TRUE))*VLOOKUP(Z173,Charge!$U$18:$W$21,3,TRUE)),
IF(AND(B173="G2",M173=""),IF(R173="20'",
VLOOKUP(Z173,Charge!$K$9:$M$12,2,TRUE)+(Z173-VLOOKUP(Z173,Charge!$K$9:$M$12,1,TRUE))*VLOOKUP(Z173,Charge!$K$9:$M$12,3,TRUE),
VLOOKUP(Z173,Charge!$N$9:$P$12,2,TRUE)+(Z173-VLOOKUP(Z173,Charge!$N$9:$P$12,1,TRUE))*VLOOKUP(Z173,Charge!$N$9:$P$12,3,TRUE)),
IF(AND(B173="G2",M173="DG"),IF(R173="20'",
VLOOKUP(Z173,Charge!$R$9:$T$12,2,TRUE)+(Z173-VLOOKUP(Z173,Charge!$R$9:$T$12,1,TRUE))*VLOOKUP(Z173,Charge!$R$9:$T$12,3,TRUE),
VLOOKUP(Z173,Charge!$U$9:$W$12,2,TRUE)+(Z173-VLOOKUP(Z173,Charge!$U$9:$W$12,1,TRUE))*VLOOKUP(Z173,Charge!$U$9:$W$12,3,TRUE)),IF(AND(B173="G4",M173=""),IF(R173="20'",Z173*Charge!$M$25,Z173*Charge!$P$25),IF(AND(B173="G4",M173="DG"),IF(R173="20'",Z173*Charge!$T$25,Z173*Charge!$W$25),0))))))))</f>
        <v>800</v>
      </c>
      <c r="AB173" s="184" t="n"/>
      <c r="AC173" s="184" t="n"/>
      <c r="AD173" s="60">
        <f>IF(M173="DG",3,IF(N173="RF",3,5))+IF(AND(LEFT(C173,3)="BKK",N173="RF",Q173="KTS"),1,0)+IF(Q173="KHS",1,0)</f>
        <v>5</v>
      </c>
      <c r="AE173" s="63">
        <f>(T173-V173)+1</f>
        <v>46304</v>
      </c>
      <c r="AF173" s="63">
        <f>IF(AB173&gt;IF((V173-W173)&gt;0,V173-W173,0),0,IF(AB173&lt;IF((V173-W173)&gt;0,V173-W173,0),IF((V173-W173)&gt;0,V173-W173,0)-AB173,IF((V173-W173)&gt;0,V173-W173,0)))</f>
        <v>0</v>
      </c>
      <c r="AG173" s="187">
        <f>IF(AND(M173=""),IF(R173="20'",
VLOOKUP(AF173,Charge!$K$31:$M$34,2,TRUE)+(AF173-VLOOKUP(AF173,Charge!$K$31:$M$34,1,TRUE))*VLOOKUP(AF173,Charge!$K$31:$M$34,3,TRUE),
VLOOKUP(AF173,Charge!$N$31:$P$34,2,TRUE)+(AF173-VLOOKUP(AF173,Charge!$N$31:$P$34,1,TRUE))*VLOOKUP(AF173,Charge!$N$31:$P$34,3,TRUE)),
IF(AND(M173="DG"),IF(R173="20'",
VLOOKUP(AF173,Charge!$R$31:$T$34,2,TRUE)+(AF173-VLOOKUP(AF173,Charge!$R$31:$T$34,1,TRUE))*VLOOKUP(AF173,Charge!$R$31:$T$34,3,TRUE),
VLOOKUP(AF173,Charge!$U$31:$W$34,2,TRUE)+(AF173-VLOOKUP(AF173,Charge!$U$31:$W$34,1,TRUE))*VLOOKUP(AF173,Charge!$U$31:$W$34,3,TRUE)),0))</f>
        <v>0</v>
      </c>
      <c r="AH173" s="65" t="n"/>
      <c r="AI173" s="65">
        <f>AA173-AH173</f>
        <v>800</v>
      </c>
      <c r="AJ173" s="188" t="n"/>
      <c r="AK173" s="62" t="str">
        <f>VLOOKUP(D173,'2.Bookinglist'!A:CT,40,FALSE)</f>
        <v>Arunphat W. (Aiw)</v>
      </c>
      <c r="AL173" s="60" t="str">
        <f>VLOOKUP(D173,'2.Bookinglist'!A:CW,101,FALSE)</f>
        <v>2026-10-07</v>
      </c>
      <c r="AM173" s="60" t="str">
        <f>VLOOKUP(D173,'2.Bookinglist'!A:BK,63,FALSE)</f>
        <v>BKK27</v>
      </c>
      <c r="AN173" s="62" t="str">
        <f>VLOOKUP(D173,'2.Bookinglist'!A:AZ,52,FALSE)</f>
        <v>Pickup : 2026-09-30, Return : 2026-10-01 (EXTEND CLS 01/10/26 @23.59)</v>
      </c>
      <c r="AO173" s="62" t="str">
        <f>VLOOKUP(D173,'2.Bookinglist'!A:CY,103,FALSE)</f>
        <v>ROLL OVER FROM PREVIOUS VSL KMBK 2611N BY ALLOCATION TEAM MS.TARN APPROVED COST IS UNDER HAL DD.01/10</v>
      </c>
    </row>
    <row r="174" ht="12.95" customHeight="1">
      <c r="A174" s="96" t="inlineStr">
        <is>
          <t>SKLU2425686</t>
        </is>
      </c>
      <c r="B174" s="184" t="str">
        <f>IF(C174=Charge!$M$1,Charge!$J$1,IF(C174=Charge!$M$23,Charge!$J$23,IF(C174=Charge!$M$17,Charge!$J$17,IF(C174=Charge!$N$17,Charge!$J$17,Charge!$J$7))))</f>
        <v>G3</v>
      </c>
      <c r="C174" s="61" t="str">
        <f>VLOOKUP(A174,'1.Loading'!A:R,14,FALSE)</f>
        <v>BKK04</v>
      </c>
      <c r="D174" s="61" t="str">
        <f>VLOOKUP(A174,'1.Loading'!A:R,17,FALSE)</f>
        <v>HASLS22260901178</v>
      </c>
      <c r="E174" s="62" t="str">
        <f>VLOOKUP(D174,'2.Bookinglist'!A:CT,27,FALSE)</f>
        <v>WICE LOGISTICS PUBLIC COMPANY LIMITED</v>
      </c>
      <c r="F174" s="62" t="str">
        <f>VLOOKUP(D174,'2.Bookinglist'!A:CT,28,FALSE)</f>
        <v>F.M.T. (THAILAND) CO., LTD. (HEAD OFFICE)</v>
      </c>
      <c r="G174" s="60">
        <f>VLOOKUP(D174,'2.Bookinglist'!A:E,5,FALSE)</f>
        <v>0</v>
      </c>
      <c r="H174" s="61" t="str">
        <f>VLOOKUP(D174,'2.Bookinglist'!A:CT,15,FALSE)</f>
        <v>THBKK</v>
      </c>
      <c r="I174" s="61" t="str">
        <f>VLOOKUP(D174,'2.Bookinglist'!A:CT,19,FALSE)</f>
        <v>VNSGN</v>
      </c>
      <c r="J174" s="61">
        <f>VLOOKUP(D174,'2.Bookinglist'!A:CT,26,FALSE)</f>
        <v>0</v>
      </c>
      <c r="K174" s="61" t="str">
        <f>VLOOKUP(A174,'1.Loading'!A:R,5,FALSE)</f>
        <v>22GP</v>
      </c>
      <c r="L174" s="60" t="str">
        <f>VLOOKUP(D174,'2.Bookinglist'!A:CT,85,FALSE)</f>
        <v>CY/CY</v>
      </c>
      <c r="M174" s="60" t="str">
        <f>IF(VLOOKUP(D174,'2.Bookinglist'!A:CT,43,FALSE)=0,"","DG")</f>
        <v/>
      </c>
      <c r="N174" s="60" t="str">
        <f>IF(RIGHT(K174,2)="RE","RF","")</f>
        <v/>
      </c>
      <c r="O174" s="61" t="str">
        <f>VLOOKUP(A174,'1.Loading'!A:R,3,FALSE)</f>
        <v>SWSP</v>
      </c>
      <c r="P174" s="61" t="str">
        <f>VLOOKUP(A174,'1.Loading'!A:R,4,FALSE)</f>
        <v>2609N</v>
      </c>
      <c r="Q174" s="61" t="str">
        <f>VLOOKUP(D174,'2.Bookinglist'!A:CT,12,FALSE)</f>
        <v>BTS</v>
      </c>
      <c r="R174" s="60" t="str">
        <f>IF(LEFT(K174,2)="22","20'","40'")</f>
        <v>20'</v>
      </c>
      <c r="S174" s="185" t="n"/>
      <c r="T174" s="61" t="str">
        <f>VLOOKUP(A174,'1.Loading'!A:R,2,FALSE)</f>
        <v>2026-10-08</v>
      </c>
      <c r="U174" s="63">
        <f>T174-S174</f>
        <v>46303</v>
      </c>
      <c r="V174" s="186" t="n"/>
      <c r="W174" s="61" t="str">
        <f>VLOOKUP(A174,'3.GateMove'!A:D,4,FALSE)</f>
        <v>2026-09-28</v>
      </c>
      <c r="X174" s="63">
        <f>((T174-W174)+1)</f>
        <v>11</v>
      </c>
      <c r="Y174" s="64">
        <f>IF(AND(OR(C174="BKK01",C174="BKK04"),L174="CFS/CY"),0,IF(M174="DG",1,IF(LEFT(C174,3)="LCH",7,IF(C174="BKK02",5,3))))</f>
        <v>3</v>
      </c>
      <c r="Z174" s="63">
        <f>IF(IF(AND(AC174="TML",AB174&gt;0),((T174-W174)+1)-AB174,((T174-W174)+1)-Y174)&gt;0,IF(AND(AC174="TML",AB174&gt;0),((T174-W174)+1)-AB174,((T174-W174)+1)-Y174),0)</f>
        <v>8</v>
      </c>
      <c r="AA174" s="187">
        <f>IF(AND(B174="G1",M174=""),IF(R174="20'",
VLOOKUP(Z174,Charge!$K$2:$M$5,2,TRUE)+(Z174-VLOOKUP(Z174,Charge!$K$2:$M$5,1,TRUE))*VLOOKUP(Z174,Charge!$K$2:$M$5,3,TRUE),
VLOOKUP(Z174,Charge!$N$2:$P$5,2,TRUE)+(Z174-VLOOKUP(Z174,Charge!$N$2:$P$5,1,TRUE))*VLOOKUP(Z174,Charge!$N$2:$P$5,3,TRUE)),
IF(AND(B174="G1",M174="DG"),IF(R174="20'",
VLOOKUP(Z174,Charge!$R$2:$T$5,2,TRUE)+(Z174-VLOOKUP(Z174,Charge!$R$2:$T$5,1,TRUE))*VLOOKUP(Z174,Charge!$R$2:$T$5,3,TRUE),
VLOOKUP(Z174,Charge!$U$2:$W$5,2,TRUE)+(Z174-VLOOKUP(Z174,Charge!$U$2:$W$5,1,TRUE))*VLOOKUP(Z174,Charge!$U$2:$W$5,3,TRUE)),
IF(AND(B174="G3",M174=""),IF(R174="20'",
VLOOKUP(Z174,Charge!$K$18:$M$21,2,TRUE)+(Z174-VLOOKUP(Z174,Charge!$K$18:$M$21,1,TRUE))*VLOOKUP(Z174,Charge!$K$18:$M$21,3,TRUE),
VLOOKUP(Z174,Charge!$N$18:$P$21,2,TRUE)+(Z174-VLOOKUP(Z174,Charge!$N$18:$P$21,1,TRUE))*VLOOKUP(Z174,Charge!$N$18:$P$21,3,TRUE)),
IF(AND(B174="G3",M174="DG"),IF(R174="20'",
VLOOKUP(Z174,Charge!$R$18:$T$21,2,TRUE)+(Z174-VLOOKUP(Z174,Charge!$R$18:$T$21,1,TRUE))*VLOOKUP(Z174,Charge!$R$18:$T$21,3,TRUE),
VLOOKUP(Z174,Charge!$U$18:$W$21,2,TRUE)+(Z174-VLOOKUP(Z174,Charge!$U$18:$W$21,1,TRUE))*VLOOKUP(Z174,Charge!$U$18:$W$21,3,TRUE)),
IF(AND(B174="G2",M174=""),IF(R174="20'",
VLOOKUP(Z174,Charge!$K$9:$M$12,2,TRUE)+(Z174-VLOOKUP(Z174,Charge!$K$9:$M$12,1,TRUE))*VLOOKUP(Z174,Charge!$K$9:$M$12,3,TRUE),
VLOOKUP(Z174,Charge!$N$9:$P$12,2,TRUE)+(Z174-VLOOKUP(Z174,Charge!$N$9:$P$12,1,TRUE))*VLOOKUP(Z174,Charge!$N$9:$P$12,3,TRUE)),
IF(AND(B174="G2",M174="DG"),IF(R174="20'",
VLOOKUP(Z174,Charge!$R$9:$T$12,2,TRUE)+(Z174-VLOOKUP(Z174,Charge!$R$9:$T$12,1,TRUE))*VLOOKUP(Z174,Charge!$R$9:$T$12,3,TRUE),
VLOOKUP(Z174,Charge!$U$9:$W$12,2,TRUE)+(Z174-VLOOKUP(Z174,Charge!$U$9:$W$12,1,TRUE))*VLOOKUP(Z174,Charge!$U$9:$W$12,3,TRUE)),IF(AND(B174="G4",M174=""),IF(R174="20'",Z174*Charge!$M$25,Z174*Charge!$P$25),IF(AND(B174="G4",M174="DG"),IF(R174="20'",Z174*Charge!$T$25,Z174*Charge!$W$25),0))))))))</f>
        <v>1395</v>
      </c>
      <c r="AB174" s="184" t="n"/>
      <c r="AC174" s="184" t="n"/>
      <c r="AD174" s="60">
        <f>IF(M174="DG",3,IF(N174="RF",3,5))+IF(AND(LEFT(C174,3)="BKK",N174="RF",Q174="KTS"),1,0)+IF(Q174="KHS",1,0)</f>
        <v>5</v>
      </c>
      <c r="AE174" s="63">
        <f>(T174-V174)+1</f>
        <v>46304</v>
      </c>
      <c r="AF174" s="63">
        <f>IF(AB174&gt;IF((V174-W174)&gt;0,V174-W174,0),0,IF(AB174&lt;IF((V174-W174)&gt;0,V174-W174,0),IF((V174-W174)&gt;0,V174-W174,0)-AB174,IF((V174-W174)&gt;0,V174-W174,0)))</f>
        <v>0</v>
      </c>
      <c r="AG174" s="187">
        <f>IF(AND(M174=""),IF(R174="20'",
VLOOKUP(AF174,Charge!$K$31:$M$34,2,TRUE)+(AF174-VLOOKUP(AF174,Charge!$K$31:$M$34,1,TRUE))*VLOOKUP(AF174,Charge!$K$31:$M$34,3,TRUE),
VLOOKUP(AF174,Charge!$N$31:$P$34,2,TRUE)+(AF174-VLOOKUP(AF174,Charge!$N$31:$P$34,1,TRUE))*VLOOKUP(AF174,Charge!$N$31:$P$34,3,TRUE)),
IF(AND(M174="DG"),IF(R174="20'",
VLOOKUP(AF174,Charge!$R$31:$T$34,2,TRUE)+(AF174-VLOOKUP(AF174,Charge!$R$31:$T$34,1,TRUE))*VLOOKUP(AF174,Charge!$R$31:$T$34,3,TRUE),
VLOOKUP(AF174,Charge!$U$31:$W$34,2,TRUE)+(AF174-VLOOKUP(AF174,Charge!$U$31:$W$34,1,TRUE))*VLOOKUP(AF174,Charge!$U$31:$W$34,3,TRUE)),0))</f>
        <v>0</v>
      </c>
      <c r="AH174" s="65" t="n"/>
      <c r="AI174" s="65">
        <f>AA174-AH174</f>
        <v>1395</v>
      </c>
      <c r="AJ174" s="188" t="n"/>
      <c r="AK174" s="62" t="str">
        <f>VLOOKUP(D174,'2.Bookinglist'!A:CT,40,FALSE)</f>
        <v>Dharaporn</v>
      </c>
      <c r="AL174" s="60" t="str">
        <f>VLOOKUP(D174,'2.Bookinglist'!A:CW,101,FALSE)</f>
        <v>2026-10-02</v>
      </c>
      <c r="AM174" s="60" t="str">
        <f>VLOOKUP(D174,'2.Bookinglist'!A:BK,63,FALSE)</f>
        <v>BKK25</v>
      </c>
      <c r="AN174" s="62" t="str">
        <f>VLOOKUP(D174,'2.Bookinglist'!A:AZ,52,FALSE)</f>
        <v>Pickup : 2026-09-28, Return : 2026-09-29</v>
      </c>
      <c r="AO174" s="62">
        <f>VLOOKUP(D174,'2.Bookinglist'!A:CY,103,FALSE)</f>
        <v>0</v>
      </c>
    </row>
    <row r="175" ht="12.95" customHeight="1">
      <c r="A175" s="96" t="inlineStr">
        <is>
          <t>SKLU2429742</t>
        </is>
      </c>
      <c r="B175" s="184" t="str">
        <f>IF(C175=Charge!$M$1,Charge!$J$1,IF(C175=Charge!$M$23,Charge!$J$23,IF(C175=Charge!$M$17,Charge!$J$17,IF(C175=Charge!$N$17,Charge!$J$17,Charge!$J$7))))</f>
        <v>G3</v>
      </c>
      <c r="C175" s="61" t="str">
        <f>VLOOKUP(A175,'1.Loading'!A:R,14,FALSE)</f>
        <v>BKK04</v>
      </c>
      <c r="D175" s="61" t="str">
        <f>VLOOKUP(A175,'1.Loading'!A:R,17,FALSE)</f>
        <v>HASLS22260900941</v>
      </c>
      <c r="E175" s="62" t="str">
        <f>VLOOKUP(D175,'2.Bookinglist'!A:CT,27,FALSE)</f>
        <v>CTL INTERNATIONAL CO., LTD.</v>
      </c>
      <c r="F175" s="62" t="str">
        <f>VLOOKUP(D175,'2.Bookinglist'!A:CT,28,FALSE)</f>
        <v>THAI FLOUR INDUSTRY CO., LTD.</v>
      </c>
      <c r="G175" s="60">
        <f>VLOOKUP(D175,'2.Bookinglist'!A:E,5,FALSE)</f>
        <v>0</v>
      </c>
      <c r="H175" s="61" t="str">
        <f>VLOOKUP(D175,'2.Bookinglist'!A:CT,15,FALSE)</f>
        <v>THBKK</v>
      </c>
      <c r="I175" s="61" t="str">
        <f>VLOOKUP(D175,'2.Bookinglist'!A:CT,19,FALSE)</f>
        <v>JPHHE</v>
      </c>
      <c r="J175" s="61" t="str">
        <f>VLOOKUP(D175,'2.Bookinglist'!A:CT,26,FALSE)</f>
        <v>KRPUS</v>
      </c>
      <c r="K175" s="61" t="str">
        <f>VLOOKUP(A175,'1.Loading'!A:R,5,FALSE)</f>
        <v>22GP</v>
      </c>
      <c r="L175" s="60" t="str">
        <f>VLOOKUP(D175,'2.Bookinglist'!A:CT,85,FALSE)</f>
        <v>CY/CY</v>
      </c>
      <c r="M175" s="60" t="str">
        <f>IF(VLOOKUP(D175,'2.Bookinglist'!A:CT,43,FALSE)=0,"","DG")</f>
        <v/>
      </c>
      <c r="N175" s="60" t="str">
        <f>IF(RIGHT(K175,2)="RE","RF","")</f>
        <v/>
      </c>
      <c r="O175" s="61" t="str">
        <f>VLOOKUP(A175,'1.Loading'!A:R,3,FALSE)</f>
        <v>SWSP</v>
      </c>
      <c r="P175" s="61" t="str">
        <f>VLOOKUP(A175,'1.Loading'!A:R,4,FALSE)</f>
        <v>2609N</v>
      </c>
      <c r="Q175" s="61" t="str">
        <f>VLOOKUP(D175,'2.Bookinglist'!A:CT,12,FALSE)</f>
        <v>BTS</v>
      </c>
      <c r="R175" s="60" t="str">
        <f>IF(LEFT(K175,2)="22","20'","40'")</f>
        <v>20'</v>
      </c>
      <c r="S175" s="185" t="n"/>
      <c r="T175" s="61" t="str">
        <f>VLOOKUP(A175,'1.Loading'!A:R,2,FALSE)</f>
        <v>2026-10-08</v>
      </c>
      <c r="U175" s="63">
        <f>T175-S175</f>
        <v>46303</v>
      </c>
      <c r="V175" s="186" t="n"/>
      <c r="W175" s="61" t="str">
        <f>VLOOKUP(A175,'3.GateMove'!A:D,4,FALSE)</f>
        <v>2026-09-28</v>
      </c>
      <c r="X175" s="63">
        <f>((T175-W175)+1)</f>
        <v>11</v>
      </c>
      <c r="Y175" s="64">
        <f>IF(AND(OR(C175="BKK01",C175="BKK04"),L175="CFS/CY"),0,IF(M175="DG",1,IF(LEFT(C175,3)="LCH",7,IF(C175="BKK02",5,3))))</f>
        <v>3</v>
      </c>
      <c r="Z175" s="63">
        <f>IF(IF(AND(AC175="TML",AB175&gt;0),((T175-W175)+1)-AB175,((T175-W175)+1)-Y175)&gt;0,IF(AND(AC175="TML",AB175&gt;0),((T175-W175)+1)-AB175,((T175-W175)+1)-Y175),0)</f>
        <v>8</v>
      </c>
      <c r="AA175" s="187">
        <f>IF(AND(B175="G1",M175=""),IF(R175="20'",
VLOOKUP(Z175,Charge!$K$2:$M$5,2,TRUE)+(Z175-VLOOKUP(Z175,Charge!$K$2:$M$5,1,TRUE))*VLOOKUP(Z175,Charge!$K$2:$M$5,3,TRUE),
VLOOKUP(Z175,Charge!$N$2:$P$5,2,TRUE)+(Z175-VLOOKUP(Z175,Charge!$N$2:$P$5,1,TRUE))*VLOOKUP(Z175,Charge!$N$2:$P$5,3,TRUE)),
IF(AND(B175="G1",M175="DG"),IF(R175="20'",
VLOOKUP(Z175,Charge!$R$2:$T$5,2,TRUE)+(Z175-VLOOKUP(Z175,Charge!$R$2:$T$5,1,TRUE))*VLOOKUP(Z175,Charge!$R$2:$T$5,3,TRUE),
VLOOKUP(Z175,Charge!$U$2:$W$5,2,TRUE)+(Z175-VLOOKUP(Z175,Charge!$U$2:$W$5,1,TRUE))*VLOOKUP(Z175,Charge!$U$2:$W$5,3,TRUE)),
IF(AND(B175="G3",M175=""),IF(R175="20'",
VLOOKUP(Z175,Charge!$K$18:$M$21,2,TRUE)+(Z175-VLOOKUP(Z175,Charge!$K$18:$M$21,1,TRUE))*VLOOKUP(Z175,Charge!$K$18:$M$21,3,TRUE),
VLOOKUP(Z175,Charge!$N$18:$P$21,2,TRUE)+(Z175-VLOOKUP(Z175,Charge!$N$18:$P$21,1,TRUE))*VLOOKUP(Z175,Charge!$N$18:$P$21,3,TRUE)),
IF(AND(B175="G3",M175="DG"),IF(R175="20'",
VLOOKUP(Z175,Charge!$R$18:$T$21,2,TRUE)+(Z175-VLOOKUP(Z175,Charge!$R$18:$T$21,1,TRUE))*VLOOKUP(Z175,Charge!$R$18:$T$21,3,TRUE),
VLOOKUP(Z175,Charge!$U$18:$W$21,2,TRUE)+(Z175-VLOOKUP(Z175,Charge!$U$18:$W$21,1,TRUE))*VLOOKUP(Z175,Charge!$U$18:$W$21,3,TRUE)),
IF(AND(B175="G2",M175=""),IF(R175="20'",
VLOOKUP(Z175,Charge!$K$9:$M$12,2,TRUE)+(Z175-VLOOKUP(Z175,Charge!$K$9:$M$12,1,TRUE))*VLOOKUP(Z175,Charge!$K$9:$M$12,3,TRUE),
VLOOKUP(Z175,Charge!$N$9:$P$12,2,TRUE)+(Z175-VLOOKUP(Z175,Charge!$N$9:$P$12,1,TRUE))*VLOOKUP(Z175,Charge!$N$9:$P$12,3,TRUE)),
IF(AND(B175="G2",M175="DG"),IF(R175="20'",
VLOOKUP(Z175,Charge!$R$9:$T$12,2,TRUE)+(Z175-VLOOKUP(Z175,Charge!$R$9:$T$12,1,TRUE))*VLOOKUP(Z175,Charge!$R$9:$T$12,3,TRUE),
VLOOKUP(Z175,Charge!$U$9:$W$12,2,TRUE)+(Z175-VLOOKUP(Z175,Charge!$U$9:$W$12,1,TRUE))*VLOOKUP(Z175,Charge!$U$9:$W$12,3,TRUE)),IF(AND(B175="G4",M175=""),IF(R175="20'",Z175*Charge!$M$25,Z175*Charge!$P$25),IF(AND(B175="G4",M175="DG"),IF(R175="20'",Z175*Charge!$T$25,Z175*Charge!$W$25),0))))))))</f>
        <v>1395</v>
      </c>
      <c r="AB175" s="184" t="n"/>
      <c r="AC175" s="184" t="n"/>
      <c r="AD175" s="60">
        <f>IF(M175="DG",3,IF(N175="RF",3,5))+IF(AND(LEFT(C175,3)="BKK",N175="RF",Q175="KTS"),1,0)+IF(Q175="KHS",1,0)</f>
        <v>5</v>
      </c>
      <c r="AE175" s="63">
        <f>(T175-V175)+1</f>
        <v>46304</v>
      </c>
      <c r="AF175" s="63">
        <f>IF(AB175&gt;IF((V175-W175)&gt;0,V175-W175,0),0,IF(AB175&lt;IF((V175-W175)&gt;0,V175-W175,0),IF((V175-W175)&gt;0,V175-W175,0)-AB175,IF((V175-W175)&gt;0,V175-W175,0)))</f>
        <v>0</v>
      </c>
      <c r="AG175" s="187">
        <f>IF(AND(M175=""),IF(R175="20'",
VLOOKUP(AF175,Charge!$K$31:$M$34,2,TRUE)+(AF175-VLOOKUP(AF175,Charge!$K$31:$M$34,1,TRUE))*VLOOKUP(AF175,Charge!$K$31:$M$34,3,TRUE),
VLOOKUP(AF175,Charge!$N$31:$P$34,2,TRUE)+(AF175-VLOOKUP(AF175,Charge!$N$31:$P$34,1,TRUE))*VLOOKUP(AF175,Charge!$N$31:$P$34,3,TRUE)),
IF(AND(M175="DG"),IF(R175="20'",
VLOOKUP(AF175,Charge!$R$31:$T$34,2,TRUE)+(AF175-VLOOKUP(AF175,Charge!$R$31:$T$34,1,TRUE))*VLOOKUP(AF175,Charge!$R$31:$T$34,3,TRUE),
VLOOKUP(AF175,Charge!$U$31:$W$34,2,TRUE)+(AF175-VLOOKUP(AF175,Charge!$U$31:$W$34,1,TRUE))*VLOOKUP(AF175,Charge!$U$31:$W$34,3,TRUE)),0))</f>
        <v>0</v>
      </c>
      <c r="AH175" s="65" t="n"/>
      <c r="AI175" s="65">
        <f>AA175-AH175</f>
        <v>1395</v>
      </c>
      <c r="AJ175" s="188" t="n"/>
      <c r="AK175" s="62" t="str">
        <f>VLOOKUP(D175,'2.Bookinglist'!A:CT,40,FALSE)</f>
        <v>Sukunpoj Damrongying</v>
      </c>
      <c r="AL175" s="60" t="str">
        <f>VLOOKUP(D175,'2.Bookinglist'!A:CW,101,FALSE)</f>
        <v>2026-10-07</v>
      </c>
      <c r="AM175" s="60" t="str">
        <f>VLOOKUP(D175,'2.Bookinglist'!A:BK,63,FALSE)</f>
        <v>BKK27</v>
      </c>
      <c r="AN175" s="62" t="str">
        <f>VLOOKUP(D175,'2.Bookinglist'!A:AZ,52,FALSE)</f>
        <v>[FIX]Pickup : 2026-09-26, Return : 2026-09-28 
 </v>
      </c>
      <c r="AO175" s="62" t="str">
        <f>VLOOKUP(D175,'2.Bookinglist'!A:CY,103,FALSE)</f>
        <v>ROLL OVER FROM PREVIOUS VSL KMBK 2611N BY ALLOCATION TEAM MS.TARN APPROVED COST IS UNDER HAL DD.01/10</v>
      </c>
    </row>
    <row r="176" ht="12.95" customHeight="1">
      <c r="A176" s="96" t="inlineStr">
        <is>
          <t>SKLU2487029</t>
        </is>
      </c>
      <c r="B176" s="184" t="str">
        <f>IF(C176=Charge!$M$1,Charge!$J$1,IF(C176=Charge!$M$23,Charge!$J$23,IF(C176=Charge!$M$17,Charge!$J$17,IF(C176=Charge!$N$17,Charge!$J$17,Charge!$J$7))))</f>
        <v>G3</v>
      </c>
      <c r="C176" s="61" t="str">
        <f>VLOOKUP(A176,'1.Loading'!A:R,14,FALSE)</f>
        <v>BKK04</v>
      </c>
      <c r="D176" s="61" t="str">
        <f>VLOOKUP(A176,'1.Loading'!A:R,17,FALSE)</f>
        <v>HASLS22260800838</v>
      </c>
      <c r="E176" s="62" t="str">
        <f>VLOOKUP(D176,'2.Bookinglist'!A:CT,27,FALSE)</f>
        <v>SCGJWD LOGISTICS PUBLIC COMPANY LIMITED</v>
      </c>
      <c r="F176" s="62" t="str">
        <f>VLOOKUP(D176,'2.Bookinglist'!A:CT,28,FALSE)</f>
        <v>SCG INTERNATIONAL CORPORATION CO., LTD.</v>
      </c>
      <c r="G176" s="60">
        <f>VLOOKUP(D176,'2.Bookinglist'!A:E,5,FALSE)</f>
        <v>0</v>
      </c>
      <c r="H176" s="61" t="str">
        <f>VLOOKUP(D176,'2.Bookinglist'!A:CT,15,FALSE)</f>
        <v>THBKK</v>
      </c>
      <c r="I176" s="61" t="str">
        <f>VLOOKUP(D176,'2.Bookinglist'!A:CT,19,FALSE)</f>
        <v>VNSGN</v>
      </c>
      <c r="J176" s="61">
        <f>VLOOKUP(D176,'2.Bookinglist'!A:CT,26,FALSE)</f>
        <v>0</v>
      </c>
      <c r="K176" s="61" t="str">
        <f>VLOOKUP(A176,'1.Loading'!A:R,5,FALSE)</f>
        <v>22GP</v>
      </c>
      <c r="L176" s="60" t="str">
        <f>VLOOKUP(D176,'2.Bookinglist'!A:CT,85,FALSE)</f>
        <v>CY/CY</v>
      </c>
      <c r="M176" s="60" t="str">
        <f>IF(VLOOKUP(D176,'2.Bookinglist'!A:CT,43,FALSE)=0,"","DG")</f>
        <v/>
      </c>
      <c r="N176" s="60" t="str">
        <f>IF(RIGHT(K176,2)="RE","RF","")</f>
        <v/>
      </c>
      <c r="O176" s="61" t="str">
        <f>VLOOKUP(A176,'1.Loading'!A:R,3,FALSE)</f>
        <v>SWSP</v>
      </c>
      <c r="P176" s="61" t="str">
        <f>VLOOKUP(A176,'1.Loading'!A:R,4,FALSE)</f>
        <v>2609N</v>
      </c>
      <c r="Q176" s="61" t="str">
        <f>VLOOKUP(D176,'2.Bookinglist'!A:CT,12,FALSE)</f>
        <v>BTS</v>
      </c>
      <c r="R176" s="60" t="str">
        <f>IF(LEFT(K176,2)="22","20'","40'")</f>
        <v>20'</v>
      </c>
      <c r="S176" s="185" t="n"/>
      <c r="T176" s="61" t="str">
        <f>VLOOKUP(A176,'1.Loading'!A:R,2,FALSE)</f>
        <v>2026-10-08</v>
      </c>
      <c r="U176" s="63">
        <f>T176-S176</f>
        <v>46303</v>
      </c>
      <c r="V176" s="186" t="n"/>
      <c r="W176" s="61" t="str">
        <f>VLOOKUP(A176,'3.GateMove'!A:D,4,FALSE)</f>
        <v>2026-09-28</v>
      </c>
      <c r="X176" s="63">
        <f>((T176-W176)+1)</f>
        <v>11</v>
      </c>
      <c r="Y176" s="64">
        <f>IF(AND(OR(C176="BKK01",C176="BKK04"),L176="CFS/CY"),0,IF(M176="DG",1,IF(LEFT(C176,3)="LCH",7,IF(C176="BKK02",5,3))))</f>
        <v>3</v>
      </c>
      <c r="Z176" s="63">
        <f>IF(IF(AND(AC176="TML",AB176&gt;0),((T176-W176)+1)-AB176,((T176-W176)+1)-Y176)&gt;0,IF(AND(AC176="TML",AB176&gt;0),((T176-W176)+1)-AB176,((T176-W176)+1)-Y176),0)</f>
        <v>8</v>
      </c>
      <c r="AA176" s="187">
        <f>IF(AND(B176="G1",M176=""),IF(R176="20'",
VLOOKUP(Z176,Charge!$K$2:$M$5,2,TRUE)+(Z176-VLOOKUP(Z176,Charge!$K$2:$M$5,1,TRUE))*VLOOKUP(Z176,Charge!$K$2:$M$5,3,TRUE),
VLOOKUP(Z176,Charge!$N$2:$P$5,2,TRUE)+(Z176-VLOOKUP(Z176,Charge!$N$2:$P$5,1,TRUE))*VLOOKUP(Z176,Charge!$N$2:$P$5,3,TRUE)),
IF(AND(B176="G1",M176="DG"),IF(R176="20'",
VLOOKUP(Z176,Charge!$R$2:$T$5,2,TRUE)+(Z176-VLOOKUP(Z176,Charge!$R$2:$T$5,1,TRUE))*VLOOKUP(Z176,Charge!$R$2:$T$5,3,TRUE),
VLOOKUP(Z176,Charge!$U$2:$W$5,2,TRUE)+(Z176-VLOOKUP(Z176,Charge!$U$2:$W$5,1,TRUE))*VLOOKUP(Z176,Charge!$U$2:$W$5,3,TRUE)),
IF(AND(B176="G3",M176=""),IF(R176="20'",
VLOOKUP(Z176,Charge!$K$18:$M$21,2,TRUE)+(Z176-VLOOKUP(Z176,Charge!$K$18:$M$21,1,TRUE))*VLOOKUP(Z176,Charge!$K$18:$M$21,3,TRUE),
VLOOKUP(Z176,Charge!$N$18:$P$21,2,TRUE)+(Z176-VLOOKUP(Z176,Charge!$N$18:$P$21,1,TRUE))*VLOOKUP(Z176,Charge!$N$18:$P$21,3,TRUE)),
IF(AND(B176="G3",M176="DG"),IF(R176="20'",
VLOOKUP(Z176,Charge!$R$18:$T$21,2,TRUE)+(Z176-VLOOKUP(Z176,Charge!$R$18:$T$21,1,TRUE))*VLOOKUP(Z176,Charge!$R$18:$T$21,3,TRUE),
VLOOKUP(Z176,Charge!$U$18:$W$21,2,TRUE)+(Z176-VLOOKUP(Z176,Charge!$U$18:$W$21,1,TRUE))*VLOOKUP(Z176,Charge!$U$18:$W$21,3,TRUE)),
IF(AND(B176="G2",M176=""),IF(R176="20'",
VLOOKUP(Z176,Charge!$K$9:$M$12,2,TRUE)+(Z176-VLOOKUP(Z176,Charge!$K$9:$M$12,1,TRUE))*VLOOKUP(Z176,Charge!$K$9:$M$12,3,TRUE),
VLOOKUP(Z176,Charge!$N$9:$P$12,2,TRUE)+(Z176-VLOOKUP(Z176,Charge!$N$9:$P$12,1,TRUE))*VLOOKUP(Z176,Charge!$N$9:$P$12,3,TRUE)),
IF(AND(B176="G2",M176="DG"),IF(R176="20'",
VLOOKUP(Z176,Charge!$R$9:$T$12,2,TRUE)+(Z176-VLOOKUP(Z176,Charge!$R$9:$T$12,1,TRUE))*VLOOKUP(Z176,Charge!$R$9:$T$12,3,TRUE),
VLOOKUP(Z176,Charge!$U$9:$W$12,2,TRUE)+(Z176-VLOOKUP(Z176,Charge!$U$9:$W$12,1,TRUE))*VLOOKUP(Z176,Charge!$U$9:$W$12,3,TRUE)),IF(AND(B176="G4",M176=""),IF(R176="20'",Z176*Charge!$M$25,Z176*Charge!$P$25),IF(AND(B176="G4",M176="DG"),IF(R176="20'",Z176*Charge!$T$25,Z176*Charge!$W$25),0))))))))</f>
        <v>1395</v>
      </c>
      <c r="AB176" s="184" t="n"/>
      <c r="AC176" s="184" t="n"/>
      <c r="AD176" s="60">
        <f>IF(M176="DG",3,IF(N176="RF",3,5))+IF(AND(LEFT(C176,3)="BKK",N176="RF",Q176="KTS"),1,0)+IF(Q176="KHS",1,0)</f>
        <v>5</v>
      </c>
      <c r="AE176" s="63">
        <f>(T176-V176)+1</f>
        <v>46304</v>
      </c>
      <c r="AF176" s="63">
        <f>IF(AB176&gt;IF((V176-W176)&gt;0,V176-W176,0),0,IF(AB176&lt;IF((V176-W176)&gt;0,V176-W176,0),IF((V176-W176)&gt;0,V176-W176,0)-AB176,IF((V176-W176)&gt;0,V176-W176,0)))</f>
        <v>0</v>
      </c>
      <c r="AG176" s="187">
        <f>IF(AND(M176=""),IF(R176="20'",
VLOOKUP(AF176,Charge!$K$31:$M$34,2,TRUE)+(AF176-VLOOKUP(AF176,Charge!$K$31:$M$34,1,TRUE))*VLOOKUP(AF176,Charge!$K$31:$M$34,3,TRUE),
VLOOKUP(AF176,Charge!$N$31:$P$34,2,TRUE)+(AF176-VLOOKUP(AF176,Charge!$N$31:$P$34,1,TRUE))*VLOOKUP(AF176,Charge!$N$31:$P$34,3,TRUE)),
IF(AND(M176="DG"),IF(R176="20'",
VLOOKUP(AF176,Charge!$R$31:$T$34,2,TRUE)+(AF176-VLOOKUP(AF176,Charge!$R$31:$T$34,1,TRUE))*VLOOKUP(AF176,Charge!$R$31:$T$34,3,TRUE),
VLOOKUP(AF176,Charge!$U$31:$W$34,2,TRUE)+(AF176-VLOOKUP(AF176,Charge!$U$31:$W$34,1,TRUE))*VLOOKUP(AF176,Charge!$U$31:$W$34,3,TRUE)),0))</f>
        <v>0</v>
      </c>
      <c r="AH176" s="65" t="n"/>
      <c r="AI176" s="65">
        <f>AA176-AH176</f>
        <v>1395</v>
      </c>
      <c r="AJ176" s="188" t="n"/>
      <c r="AK176" s="62" t="str">
        <f>VLOOKUP(D176,'2.Bookinglist'!A:CT,40,FALSE)</f>
        <v>Kanokporn</v>
      </c>
      <c r="AL176" s="60" t="str">
        <f>VLOOKUP(D176,'2.Bookinglist'!A:CW,101,FALSE)</f>
        <v>2026-10-07</v>
      </c>
      <c r="AM176" s="60" t="str">
        <f>VLOOKUP(D176,'2.Bookinglist'!A:BK,63,FALSE)</f>
        <v>BKK27</v>
      </c>
      <c r="AN176" s="62" t="str">
        <f>VLOOKUP(D176,'2.Bookinglist'!A:AZ,52,FALSE)</f>
        <v>CY-RTN : 28-28/09/2026 (1ST RETURN 28/09/26)
(JB2606177029) </v>
      </c>
      <c r="AO176" s="62" t="str">
        <f>VLOOKUP(D176,'2.Bookinglist'!A:CY,103,FALSE)</f>
        <v>ROLL OVER FROM PREVIOUS VSL KMBK 2611N BY ALLOCATION TEAM MS.TARN APPROVED COST IS UNDER HAL DD.01/10</v>
      </c>
    </row>
    <row r="177" ht="12.95" customHeight="1">
      <c r="A177" s="96" t="inlineStr">
        <is>
          <t>SKLU2489612</t>
        </is>
      </c>
      <c r="B177" s="184" t="str">
        <f>IF(C177=Charge!$M$1,Charge!$J$1,IF(C177=Charge!$M$23,Charge!$J$23,IF(C177=Charge!$M$17,Charge!$J$17,IF(C177=Charge!$N$17,Charge!$J$17,Charge!$J$7))))</f>
        <v>G3</v>
      </c>
      <c r="C177" s="61" t="str">
        <f>VLOOKUP(A177,'1.Loading'!A:R,14,FALSE)</f>
        <v>BKK04</v>
      </c>
      <c r="D177" s="61" t="str">
        <f>VLOOKUP(A177,'1.Loading'!A:R,17,FALSE)</f>
        <v>HASLS22260900106</v>
      </c>
      <c r="E177" s="62" t="str">
        <f>VLOOKUP(D177,'2.Bookinglist'!A:CT,27,FALSE)</f>
        <v>BORNEO LOGISTICS CO., LTD.</v>
      </c>
      <c r="F177" s="62" t="str">
        <f>VLOOKUP(D177,'2.Bookinglist'!A:CT,28,FALSE)</f>
        <v>UNICORD PUBLIC COMPANY LIMITED</v>
      </c>
      <c r="G177" s="60">
        <f>VLOOKUP(D177,'2.Bookinglist'!A:E,5,FALSE)</f>
        <v>0</v>
      </c>
      <c r="H177" s="61" t="str">
        <f>VLOOKUP(D177,'2.Bookinglist'!A:CT,15,FALSE)</f>
        <v>THBKK</v>
      </c>
      <c r="I177" s="61" t="str">
        <f>VLOOKUP(D177,'2.Bookinglist'!A:CT,19,FALSE)</f>
        <v>JPISS</v>
      </c>
      <c r="J177" s="61" t="str">
        <f>VLOOKUP(D177,'2.Bookinglist'!A:CT,26,FALSE)</f>
        <v>KRPUS</v>
      </c>
      <c r="K177" s="61" t="str">
        <f>VLOOKUP(A177,'1.Loading'!A:R,5,FALSE)</f>
        <v>22GP</v>
      </c>
      <c r="L177" s="60" t="str">
        <f>VLOOKUP(D177,'2.Bookinglist'!A:CT,85,FALSE)</f>
        <v>CY/CY</v>
      </c>
      <c r="M177" s="60" t="str">
        <f>IF(VLOOKUP(D177,'2.Bookinglist'!A:CT,43,FALSE)=0,"","DG")</f>
        <v/>
      </c>
      <c r="N177" s="60" t="str">
        <f>IF(RIGHT(K177,2)="RE","RF","")</f>
        <v/>
      </c>
      <c r="O177" s="61" t="str">
        <f>VLOOKUP(A177,'1.Loading'!A:R,3,FALSE)</f>
        <v>SWSP</v>
      </c>
      <c r="P177" s="61" t="str">
        <f>VLOOKUP(A177,'1.Loading'!A:R,4,FALSE)</f>
        <v>2609N</v>
      </c>
      <c r="Q177" s="61" t="str">
        <f>VLOOKUP(D177,'2.Bookinglist'!A:CT,12,FALSE)</f>
        <v>BTS</v>
      </c>
      <c r="R177" s="60" t="str">
        <f>IF(LEFT(K177,2)="22","20'","40'")</f>
        <v>20'</v>
      </c>
      <c r="S177" s="185" t="n"/>
      <c r="T177" s="61" t="str">
        <f>VLOOKUP(A177,'1.Loading'!A:R,2,FALSE)</f>
        <v>2026-10-08</v>
      </c>
      <c r="U177" s="63">
        <f>T177-S177</f>
        <v>46303</v>
      </c>
      <c r="V177" s="186" t="n"/>
      <c r="W177" s="61" t="str">
        <f>VLOOKUP(A177,'3.GateMove'!A:D,4,FALSE)</f>
        <v>2026-10-02</v>
      </c>
      <c r="X177" s="63">
        <f>((T177-W177)+1)</f>
        <v>7</v>
      </c>
      <c r="Y177" s="64">
        <f>IF(AND(OR(C177="BKK01",C177="BKK04"),L177="CFS/CY"),0,IF(M177="DG",1,IF(LEFT(C177,3)="LCH",7,IF(C177="BKK02",5,3))))</f>
        <v>3</v>
      </c>
      <c r="Z177" s="63">
        <f>IF(IF(AND(AC177="TML",AB177&gt;0),((T177-W177)+1)-AB177,((T177-W177)+1)-Y177)&gt;0,IF(AND(AC177="TML",AB177&gt;0),((T177-W177)+1)-AB177,((T177-W177)+1)-Y177),0)</f>
        <v>4</v>
      </c>
      <c r="AA177" s="187">
        <f>IF(AND(B177="G1",M177=""),IF(R177="20'",
VLOOKUP(Z177,Charge!$K$2:$M$5,2,TRUE)+(Z177-VLOOKUP(Z177,Charge!$K$2:$M$5,1,TRUE))*VLOOKUP(Z177,Charge!$K$2:$M$5,3,TRUE),
VLOOKUP(Z177,Charge!$N$2:$P$5,2,TRUE)+(Z177-VLOOKUP(Z177,Charge!$N$2:$P$5,1,TRUE))*VLOOKUP(Z177,Charge!$N$2:$P$5,3,TRUE)),
IF(AND(B177="G1",M177="DG"),IF(R177="20'",
VLOOKUP(Z177,Charge!$R$2:$T$5,2,TRUE)+(Z177-VLOOKUP(Z177,Charge!$R$2:$T$5,1,TRUE))*VLOOKUP(Z177,Charge!$R$2:$T$5,3,TRUE),
VLOOKUP(Z177,Charge!$U$2:$W$5,2,TRUE)+(Z177-VLOOKUP(Z177,Charge!$U$2:$W$5,1,TRUE))*VLOOKUP(Z177,Charge!$U$2:$W$5,3,TRUE)),
IF(AND(B177="G3",M177=""),IF(R177="20'",
VLOOKUP(Z177,Charge!$K$18:$M$21,2,TRUE)+(Z177-VLOOKUP(Z177,Charge!$K$18:$M$21,1,TRUE))*VLOOKUP(Z177,Charge!$K$18:$M$21,3,TRUE),
VLOOKUP(Z177,Charge!$N$18:$P$21,2,TRUE)+(Z177-VLOOKUP(Z177,Charge!$N$18:$P$21,1,TRUE))*VLOOKUP(Z177,Charge!$N$18:$P$21,3,TRUE)),
IF(AND(B177="G3",M177="DG"),IF(R177="20'",
VLOOKUP(Z177,Charge!$R$18:$T$21,2,TRUE)+(Z177-VLOOKUP(Z177,Charge!$R$18:$T$21,1,TRUE))*VLOOKUP(Z177,Charge!$R$18:$T$21,3,TRUE),
VLOOKUP(Z177,Charge!$U$18:$W$21,2,TRUE)+(Z177-VLOOKUP(Z177,Charge!$U$18:$W$21,1,TRUE))*VLOOKUP(Z177,Charge!$U$18:$W$21,3,TRUE)),
IF(AND(B177="G2",M177=""),IF(R177="20'",
VLOOKUP(Z177,Charge!$K$9:$M$12,2,TRUE)+(Z177-VLOOKUP(Z177,Charge!$K$9:$M$12,1,TRUE))*VLOOKUP(Z177,Charge!$K$9:$M$12,3,TRUE),
VLOOKUP(Z177,Charge!$N$9:$P$12,2,TRUE)+(Z177-VLOOKUP(Z177,Charge!$N$9:$P$12,1,TRUE))*VLOOKUP(Z177,Charge!$N$9:$P$12,3,TRUE)),
IF(AND(B177="G2",M177="DG"),IF(R177="20'",
VLOOKUP(Z177,Charge!$R$9:$T$12,2,TRUE)+(Z177-VLOOKUP(Z177,Charge!$R$9:$T$12,1,TRUE))*VLOOKUP(Z177,Charge!$R$9:$T$12,3,TRUE),
VLOOKUP(Z177,Charge!$U$9:$W$12,2,TRUE)+(Z177-VLOOKUP(Z177,Charge!$U$9:$W$12,1,TRUE))*VLOOKUP(Z177,Charge!$U$9:$W$12,3,TRUE)),IF(AND(B177="G4",M177=""),IF(R177="20'",Z177*Charge!$M$25,Z177*Charge!$P$25),IF(AND(B177="G4",M177="DG"),IF(R177="20'",Z177*Charge!$T$25,Z177*Charge!$W$25),0))))))))</f>
        <v>640</v>
      </c>
      <c r="AB177" s="184" t="n"/>
      <c r="AC177" s="184" t="n"/>
      <c r="AD177" s="60">
        <f>IF(M177="DG",3,IF(N177="RF",3,5))+IF(AND(LEFT(C177,3)="BKK",N177="RF",Q177="KTS"),1,0)+IF(Q177="KHS",1,0)</f>
        <v>5</v>
      </c>
      <c r="AE177" s="63">
        <f>(T177-V177)+1</f>
        <v>46304</v>
      </c>
      <c r="AF177" s="63">
        <f>IF(AB177&gt;IF((V177-W177)&gt;0,V177-W177,0),0,IF(AB177&lt;IF((V177-W177)&gt;0,V177-W177,0),IF((V177-W177)&gt;0,V177-W177,0)-AB177,IF((V177-W177)&gt;0,V177-W177,0)))</f>
        <v>0</v>
      </c>
      <c r="AG177" s="187">
        <f>IF(AND(M177=""),IF(R177="20'",
VLOOKUP(AF177,Charge!$K$31:$M$34,2,TRUE)+(AF177-VLOOKUP(AF177,Charge!$K$31:$M$34,1,TRUE))*VLOOKUP(AF177,Charge!$K$31:$M$34,3,TRUE),
VLOOKUP(AF177,Charge!$N$31:$P$34,2,TRUE)+(AF177-VLOOKUP(AF177,Charge!$N$31:$P$34,1,TRUE))*VLOOKUP(AF177,Charge!$N$31:$P$34,3,TRUE)),
IF(AND(M177="DG"),IF(R177="20'",
VLOOKUP(AF177,Charge!$R$31:$T$34,2,TRUE)+(AF177-VLOOKUP(AF177,Charge!$R$31:$T$34,1,TRUE))*VLOOKUP(AF177,Charge!$R$31:$T$34,3,TRUE),
VLOOKUP(AF177,Charge!$U$31:$W$34,2,TRUE)+(AF177-VLOOKUP(AF177,Charge!$U$31:$W$34,1,TRUE))*VLOOKUP(AF177,Charge!$U$31:$W$34,3,TRUE)),0))</f>
        <v>0</v>
      </c>
      <c r="AH177" s="65" t="n"/>
      <c r="AI177" s="65">
        <f>AA177-AH177</f>
        <v>640</v>
      </c>
      <c r="AJ177" s="188" t="n"/>
      <c r="AK177" s="62" t="str">
        <f>VLOOKUP(D177,'2.Bookinglist'!A:CT,40,FALSE)</f>
        <v>Nustsireerach</v>
      </c>
      <c r="AL177" s="60" t="str">
        <f>VLOOKUP(D177,'2.Bookinglist'!A:CW,101,FALSE)</f>
        <v>2026-10-05</v>
      </c>
      <c r="AM177" s="60" t="str">
        <f>VLOOKUP(D177,'2.Bookinglist'!A:BK,63,FALSE)</f>
        <v>BKK27</v>
      </c>
      <c r="AN177" s="62" t="str">
        <f>VLOOKUP(D177,'2.Bookinglist'!A:AZ,52,FALSE)</f>
        <v>[FIX]Pickup : 2026-09-30, Return : 2026-10-01</v>
      </c>
      <c r="AO177" s="62">
        <f>VLOOKUP(D177,'2.Bookinglist'!A:CY,103,FALSE)</f>
        <v>0</v>
      </c>
    </row>
    <row r="178" ht="12.95" customHeight="1">
      <c r="A178" s="96" t="inlineStr">
        <is>
          <t>SKLU3519460</t>
        </is>
      </c>
      <c r="B178" s="184" t="str">
        <f>IF(C178=Charge!$M$1,Charge!$J$1,IF(C178=Charge!$M$23,Charge!$J$23,IF(C178=Charge!$M$17,Charge!$J$17,IF(C178=Charge!$N$17,Charge!$J$17,Charge!$J$7))))</f>
        <v>G3</v>
      </c>
      <c r="C178" s="61" t="str">
        <f>VLOOKUP(A178,'1.Loading'!A:R,14,FALSE)</f>
        <v>BKK04</v>
      </c>
      <c r="D178" s="61" t="str">
        <f>VLOOKUP(A178,'1.Loading'!A:R,17,FALSE)</f>
        <v>HASLS22260801914</v>
      </c>
      <c r="E178" s="62" t="str">
        <f>VLOOKUP(D178,'2.Bookinglist'!A:CT,27,FALSE)</f>
        <v>DP WORLD LOGISTICS SOLUTIONS (THAILAND) COMPANY LIMITED</v>
      </c>
      <c r="F178" s="62" t="str">
        <f>VLOOKUP(D178,'2.Bookinglist'!A:CT,28,FALSE)</f>
        <v>DP WORLD LOGISTICS SOLUTIONS (THAILAND) COMPANY LIMITED</v>
      </c>
      <c r="G178" s="60">
        <f>VLOOKUP(D178,'2.Bookinglist'!A:E,5,FALSE)</f>
        <v>0</v>
      </c>
      <c r="H178" s="61" t="str">
        <f>VLOOKUP(D178,'2.Bookinglist'!A:CT,15,FALSE)</f>
        <v>THBKK</v>
      </c>
      <c r="I178" s="61" t="str">
        <f>VLOOKUP(D178,'2.Bookinglist'!A:CT,19,FALSE)</f>
        <v>KRPTK</v>
      </c>
      <c r="J178" s="61">
        <f>VLOOKUP(D178,'2.Bookinglist'!A:CT,26,FALSE)</f>
        <v>0</v>
      </c>
      <c r="K178" s="61" t="str">
        <f>VLOOKUP(A178,'1.Loading'!A:R,5,FALSE)</f>
        <v>22GP</v>
      </c>
      <c r="L178" s="60" t="str">
        <f>VLOOKUP(D178,'2.Bookinglist'!A:CT,85,FALSE)</f>
        <v>CY/CY</v>
      </c>
      <c r="M178" s="60" t="str">
        <f>IF(VLOOKUP(D178,'2.Bookinglist'!A:CT,43,FALSE)=0,"","DG")</f>
        <v/>
      </c>
      <c r="N178" s="60" t="str">
        <f>IF(RIGHT(K178,2)="RE","RF","")</f>
        <v/>
      </c>
      <c r="O178" s="61" t="str">
        <f>VLOOKUP(A178,'1.Loading'!A:R,3,FALSE)</f>
        <v>SWSP</v>
      </c>
      <c r="P178" s="61" t="str">
        <f>VLOOKUP(A178,'1.Loading'!A:R,4,FALSE)</f>
        <v>2609N</v>
      </c>
      <c r="Q178" s="61" t="str">
        <f>VLOOKUP(D178,'2.Bookinglist'!A:CT,12,FALSE)</f>
        <v>BTS</v>
      </c>
      <c r="R178" s="60" t="str">
        <f>IF(LEFT(K178,2)="22","20'","40'")</f>
        <v>20'</v>
      </c>
      <c r="S178" s="185" t="n"/>
      <c r="T178" s="61" t="str">
        <f>VLOOKUP(A178,'1.Loading'!A:R,2,FALSE)</f>
        <v>2026-10-08</v>
      </c>
      <c r="U178" s="63">
        <f>T178-S178</f>
        <v>46303</v>
      </c>
      <c r="V178" s="186" t="n"/>
      <c r="W178" s="61" t="str">
        <f>VLOOKUP(A178,'3.GateMove'!A:D,4,FALSE)</f>
        <v>2026-09-19</v>
      </c>
      <c r="X178" s="63">
        <f>((T178-W178)+1)</f>
        <v>20</v>
      </c>
      <c r="Y178" s="64">
        <f>IF(AND(OR(C178="BKK01",C178="BKK04"),L178="CFS/CY"),0,IF(M178="DG",1,IF(LEFT(C178,3)="LCH",7,IF(C178="BKK02",5,3))))</f>
        <v>3</v>
      </c>
      <c r="Z178" s="63">
        <f>IF(IF(AND(AC178="TML",AB178&gt;0),((T178-W178)+1)-AB178,((T178-W178)+1)-Y178)&gt;0,IF(AND(AC178="TML",AB178&gt;0),((T178-W178)+1)-AB178,((T178-W178)+1)-Y178),0)</f>
        <v>17</v>
      </c>
      <c r="AA178" s="187">
        <f>IF(AND(B178="G1",M178=""),IF(R178="20'",
VLOOKUP(Z178,Charge!$K$2:$M$5,2,TRUE)+(Z178-VLOOKUP(Z178,Charge!$K$2:$M$5,1,TRUE))*VLOOKUP(Z178,Charge!$K$2:$M$5,3,TRUE),
VLOOKUP(Z178,Charge!$N$2:$P$5,2,TRUE)+(Z178-VLOOKUP(Z178,Charge!$N$2:$P$5,1,TRUE))*VLOOKUP(Z178,Charge!$N$2:$P$5,3,TRUE)),
IF(AND(B178="G1",M178="DG"),IF(R178="20'",
VLOOKUP(Z178,Charge!$R$2:$T$5,2,TRUE)+(Z178-VLOOKUP(Z178,Charge!$R$2:$T$5,1,TRUE))*VLOOKUP(Z178,Charge!$R$2:$T$5,3,TRUE),
VLOOKUP(Z178,Charge!$U$2:$W$5,2,TRUE)+(Z178-VLOOKUP(Z178,Charge!$U$2:$W$5,1,TRUE))*VLOOKUP(Z178,Charge!$U$2:$W$5,3,TRUE)),
IF(AND(B178="G3",M178=""),IF(R178="20'",
VLOOKUP(Z178,Charge!$K$18:$M$21,2,TRUE)+(Z178-VLOOKUP(Z178,Charge!$K$18:$M$21,1,TRUE))*VLOOKUP(Z178,Charge!$K$18:$M$21,3,TRUE),
VLOOKUP(Z178,Charge!$N$18:$P$21,2,TRUE)+(Z178-VLOOKUP(Z178,Charge!$N$18:$P$21,1,TRUE))*VLOOKUP(Z178,Charge!$N$18:$P$21,3,TRUE)),
IF(AND(B178="G3",M178="DG"),IF(R178="20'",
VLOOKUP(Z178,Charge!$R$18:$T$21,2,TRUE)+(Z178-VLOOKUP(Z178,Charge!$R$18:$T$21,1,TRUE))*VLOOKUP(Z178,Charge!$R$18:$T$21,3,TRUE),
VLOOKUP(Z178,Charge!$U$18:$W$21,2,TRUE)+(Z178-VLOOKUP(Z178,Charge!$U$18:$W$21,1,TRUE))*VLOOKUP(Z178,Charge!$U$18:$W$21,3,TRUE)),
IF(AND(B178="G2",M178=""),IF(R178="20'",
VLOOKUP(Z178,Charge!$K$9:$M$12,2,TRUE)+(Z178-VLOOKUP(Z178,Charge!$K$9:$M$12,1,TRUE))*VLOOKUP(Z178,Charge!$K$9:$M$12,3,TRUE),
VLOOKUP(Z178,Charge!$N$9:$P$12,2,TRUE)+(Z178-VLOOKUP(Z178,Charge!$N$9:$P$12,1,TRUE))*VLOOKUP(Z178,Charge!$N$9:$P$12,3,TRUE)),
IF(AND(B178="G2",M178="DG"),IF(R178="20'",
VLOOKUP(Z178,Charge!$R$9:$T$12,2,TRUE)+(Z178-VLOOKUP(Z178,Charge!$R$9:$T$12,1,TRUE))*VLOOKUP(Z178,Charge!$R$9:$T$12,3,TRUE),
VLOOKUP(Z178,Charge!$U$9:$W$12,2,TRUE)+(Z178-VLOOKUP(Z178,Charge!$U$9:$W$12,1,TRUE))*VLOOKUP(Z178,Charge!$U$9:$W$12,3,TRUE)),IF(AND(B178="G4",M178=""),IF(R178="20'",Z178*Charge!$M$25,Z178*Charge!$P$25),IF(AND(B178="G4",M178="DG"),IF(R178="20'",Z178*Charge!$T$25,Z178*Charge!$W$25),0))))))))</f>
        <v>4215</v>
      </c>
      <c r="AB178" s="184" t="n"/>
      <c r="AC178" s="184" t="n"/>
      <c r="AD178" s="60">
        <f>IF(M178="DG",3,IF(N178="RF",3,5))+IF(AND(LEFT(C178,3)="BKK",N178="RF",Q178="KTS"),1,0)+IF(Q178="KHS",1,0)</f>
        <v>5</v>
      </c>
      <c r="AE178" s="63">
        <f>(T178-V178)+1</f>
        <v>46304</v>
      </c>
      <c r="AF178" s="63">
        <f>IF(AB178&gt;IF((V178-W178)&gt;0,V178-W178,0),0,IF(AB178&lt;IF((V178-W178)&gt;0,V178-W178,0),IF((V178-W178)&gt;0,V178-W178,0)-AB178,IF((V178-W178)&gt;0,V178-W178,0)))</f>
        <v>0</v>
      </c>
      <c r="AG178" s="187">
        <f>IF(AND(M178=""),IF(R178="20'",
VLOOKUP(AF178,Charge!$K$31:$M$34,2,TRUE)+(AF178-VLOOKUP(AF178,Charge!$K$31:$M$34,1,TRUE))*VLOOKUP(AF178,Charge!$K$31:$M$34,3,TRUE),
VLOOKUP(AF178,Charge!$N$31:$P$34,2,TRUE)+(AF178-VLOOKUP(AF178,Charge!$N$31:$P$34,1,TRUE))*VLOOKUP(AF178,Charge!$N$31:$P$34,3,TRUE)),
IF(AND(M178="DG"),IF(R178="20'",
VLOOKUP(AF178,Charge!$R$31:$T$34,2,TRUE)+(AF178-VLOOKUP(AF178,Charge!$R$31:$T$34,1,TRUE))*VLOOKUP(AF178,Charge!$R$31:$T$34,3,TRUE),
VLOOKUP(AF178,Charge!$U$31:$W$34,2,TRUE)+(AF178-VLOOKUP(AF178,Charge!$U$31:$W$34,1,TRUE))*VLOOKUP(AF178,Charge!$U$31:$W$34,3,TRUE)),0))</f>
        <v>0</v>
      </c>
      <c r="AH178" s="65" t="n"/>
      <c r="AI178" s="65">
        <f>AA178-AH178</f>
        <v>4215</v>
      </c>
      <c r="AJ178" s="188" t="n"/>
      <c r="AK178" s="62" t="str">
        <f>VLOOKUP(D178,'2.Bookinglist'!A:CT,40,FALSE)</f>
        <v>Nannaapust Sukporntaweewat</v>
      </c>
      <c r="AL178" s="60" t="str">
        <f>VLOOKUP(D178,'2.Bookinglist'!A:CW,101,FALSE)</f>
        <v>2026-10-05</v>
      </c>
      <c r="AM178" s="60" t="str">
        <f>VLOOKUP(D178,'2.Bookinglist'!A:BK,63,FALSE)</f>
        <v>BKK27</v>
      </c>
      <c r="AN178" s="62" t="str">
        <f>VLOOKUP(D178,'2.Bookinglist'!A:AZ,52,FALSE)</f>
        <v>** APPROVED BY H.W KANG DD.28/09/2026 ** *FLEXIBAG ONDECK*
Servey : 17/09/2026, Pickup : 18/09/2026, Return : 21/09/2026 *EXTEND CLS TIME : 22/09/2026 @06.00* </v>
      </c>
      <c r="AO178" s="62" t="str">
        <f>VLOOKUP(D178,'2.Bookinglist'!A:CY,103,FALSE)</f>
        <v>ROLL OVER FROM PREVIOUS VSL SWMM 2609N BY ALLOCATION TEAM MS.TARN APRPOVED COST IS UNDER HA DD.21/09</v>
      </c>
    </row>
    <row r="179" ht="12.95" customHeight="1">
      <c r="A179" s="96" t="inlineStr">
        <is>
          <t>SKRU1900438</t>
        </is>
      </c>
      <c r="B179" s="184" t="str">
        <f>IF(C179=Charge!$M$1,Charge!$J$1,IF(C179=Charge!$M$23,Charge!$J$23,IF(C179=Charge!$M$17,Charge!$J$17,IF(C179=Charge!$N$17,Charge!$J$17,Charge!$J$7))))</f>
        <v>G3</v>
      </c>
      <c r="C179" s="61" t="str">
        <f>VLOOKUP(A179,'1.Loading'!A:R,14,FALSE)</f>
        <v>BKK04</v>
      </c>
      <c r="D179" s="61" t="str">
        <f>VLOOKUP(A179,'1.Loading'!A:R,17,FALSE)</f>
        <v>HASLS22260901286</v>
      </c>
      <c r="E179" s="62" t="str">
        <f>VLOOKUP(D179,'2.Bookinglist'!A:CT,27,FALSE)</f>
        <v>ROYAL SUVARNABHUMI LOGISTIC CO., LTD.</v>
      </c>
      <c r="F179" s="62" t="str">
        <f>VLOOKUP(D179,'2.Bookinglist'!A:CT,28,FALSE)</f>
        <v>TOP PACIFIC CO., LTD.</v>
      </c>
      <c r="G179" s="60">
        <f>VLOOKUP(D179,'2.Bookinglist'!A:E,5,FALSE)</f>
        <v>0</v>
      </c>
      <c r="H179" s="61" t="str">
        <f>VLOOKUP(D179,'2.Bookinglist'!A:CT,15,FALSE)</f>
        <v>THBKK</v>
      </c>
      <c r="I179" s="61" t="str">
        <f>VLOOKUP(D179,'2.Bookinglist'!A:CT,19,FALSE)</f>
        <v>VNSGN</v>
      </c>
      <c r="J179" s="61">
        <f>VLOOKUP(D179,'2.Bookinglist'!A:CT,26,FALSE)</f>
        <v>0</v>
      </c>
      <c r="K179" s="61" t="str">
        <f>VLOOKUP(A179,'1.Loading'!A:R,5,FALSE)</f>
        <v>22RE</v>
      </c>
      <c r="L179" s="60" t="str">
        <f>VLOOKUP(D179,'2.Bookinglist'!A:CT,85,FALSE)</f>
        <v>CY/CY</v>
      </c>
      <c r="M179" s="60" t="str">
        <f>IF(VLOOKUP(D179,'2.Bookinglist'!A:CT,43,FALSE)=0,"","DG")</f>
        <v/>
      </c>
      <c r="N179" s="60" t="str">
        <f>IF(RIGHT(K179,2)="RE","RF","")</f>
        <v>RF</v>
      </c>
      <c r="O179" s="61" t="str">
        <f>VLOOKUP(A179,'1.Loading'!A:R,3,FALSE)</f>
        <v>SWSP</v>
      </c>
      <c r="P179" s="61" t="str">
        <f>VLOOKUP(A179,'1.Loading'!A:R,4,FALSE)</f>
        <v>2609N</v>
      </c>
      <c r="Q179" s="61" t="str">
        <f>VLOOKUP(D179,'2.Bookinglist'!A:CT,12,FALSE)</f>
        <v>BTS</v>
      </c>
      <c r="R179" s="60" t="str">
        <f>IF(LEFT(K179,2)="22","20'","40'")</f>
        <v>20'</v>
      </c>
      <c r="S179" s="185" t="n"/>
      <c r="T179" s="61" t="str">
        <f>VLOOKUP(A179,'1.Loading'!A:R,2,FALSE)</f>
        <v>2026-10-08</v>
      </c>
      <c r="U179" s="63">
        <f>T179-S179</f>
        <v>46303</v>
      </c>
      <c r="V179" s="186" t="n"/>
      <c r="W179" s="61" t="str">
        <f>VLOOKUP(A179,'3.GateMove'!A:D,4,FALSE)</f>
        <v>2026-10-05</v>
      </c>
      <c r="X179" s="63">
        <f>((T179-W179)+1)</f>
        <v>4</v>
      </c>
      <c r="Y179" s="64">
        <f>IF(AND(OR(C179="BKK01",C179="BKK04"),L179="CFS/CY"),0,IF(M179="DG",1,IF(LEFT(C179,3)="LCH",7,IF(C179="BKK02",5,3))))</f>
        <v>3</v>
      </c>
      <c r="Z179" s="63">
        <f>IF(IF(AND(AC179="TML",AB179&gt;0),((T179-W179)+1)-AB179,((T179-W179)+1)-Y179)&gt;0,IF(AND(AC179="TML",AB179&gt;0),((T179-W179)+1)-AB179,((T179-W179)+1)-Y179),0)</f>
        <v>1</v>
      </c>
      <c r="AA179" s="187">
        <f>IF(AND(B179="G1",M179=""),IF(R179="20'",
VLOOKUP(Z179,Charge!$K$2:$M$5,2,TRUE)+(Z179-VLOOKUP(Z179,Charge!$K$2:$M$5,1,TRUE))*VLOOKUP(Z179,Charge!$K$2:$M$5,3,TRUE),
VLOOKUP(Z179,Charge!$N$2:$P$5,2,TRUE)+(Z179-VLOOKUP(Z179,Charge!$N$2:$P$5,1,TRUE))*VLOOKUP(Z179,Charge!$N$2:$P$5,3,TRUE)),
IF(AND(B179="G1",M179="DG"),IF(R179="20'",
VLOOKUP(Z179,Charge!$R$2:$T$5,2,TRUE)+(Z179-VLOOKUP(Z179,Charge!$R$2:$T$5,1,TRUE))*VLOOKUP(Z179,Charge!$R$2:$T$5,3,TRUE),
VLOOKUP(Z179,Charge!$U$2:$W$5,2,TRUE)+(Z179-VLOOKUP(Z179,Charge!$U$2:$W$5,1,TRUE))*VLOOKUP(Z179,Charge!$U$2:$W$5,3,TRUE)),
IF(AND(B179="G3",M179=""),IF(R179="20'",
VLOOKUP(Z179,Charge!$K$18:$M$21,2,TRUE)+(Z179-VLOOKUP(Z179,Charge!$K$18:$M$21,1,TRUE))*VLOOKUP(Z179,Charge!$K$18:$M$21,3,TRUE),
VLOOKUP(Z179,Charge!$N$18:$P$21,2,TRUE)+(Z179-VLOOKUP(Z179,Charge!$N$18:$P$21,1,TRUE))*VLOOKUP(Z179,Charge!$N$18:$P$21,3,TRUE)),
IF(AND(B179="G3",M179="DG"),IF(R179="20'",
VLOOKUP(Z179,Charge!$R$18:$T$21,2,TRUE)+(Z179-VLOOKUP(Z179,Charge!$R$18:$T$21,1,TRUE))*VLOOKUP(Z179,Charge!$R$18:$T$21,3,TRUE),
VLOOKUP(Z179,Charge!$U$18:$W$21,2,TRUE)+(Z179-VLOOKUP(Z179,Charge!$U$18:$W$21,1,TRUE))*VLOOKUP(Z179,Charge!$U$18:$W$21,3,TRUE)),
IF(AND(B179="G2",M179=""),IF(R179="20'",
VLOOKUP(Z179,Charge!$K$9:$M$12,2,TRUE)+(Z179-VLOOKUP(Z179,Charge!$K$9:$M$12,1,TRUE))*VLOOKUP(Z179,Charge!$K$9:$M$12,3,TRUE),
VLOOKUP(Z179,Charge!$N$9:$P$12,2,TRUE)+(Z179-VLOOKUP(Z179,Charge!$N$9:$P$12,1,TRUE))*VLOOKUP(Z179,Charge!$N$9:$P$12,3,TRUE)),
IF(AND(B179="G2",M179="DG"),IF(R179="20'",
VLOOKUP(Z179,Charge!$R$9:$T$12,2,TRUE)+(Z179-VLOOKUP(Z179,Charge!$R$9:$T$12,1,TRUE))*VLOOKUP(Z179,Charge!$R$9:$T$12,3,TRUE),
VLOOKUP(Z179,Charge!$U$9:$W$12,2,TRUE)+(Z179-VLOOKUP(Z179,Charge!$U$9:$W$12,1,TRUE))*VLOOKUP(Z179,Charge!$U$9:$W$12,3,TRUE)),IF(AND(B179="G4",M179=""),IF(R179="20'",Z179*Charge!$M$25,Z179*Charge!$P$25),IF(AND(B179="G4",M179="DG"),IF(R179="20'",Z179*Charge!$T$25,Z179*Charge!$W$25),0))))))))</f>
        <v>160</v>
      </c>
      <c r="AB179" s="184" t="n"/>
      <c r="AC179" s="184" t="n"/>
      <c r="AD179" s="60">
        <f>IF(M179="DG",3,IF(N179="RF",3,5))+IF(AND(LEFT(C179,3)="BKK",N179="RF",Q179="KTS"),1,0)+IF(Q179="KHS",1,0)</f>
        <v>3</v>
      </c>
      <c r="AE179" s="63">
        <f>(T179-V179)+1</f>
        <v>46304</v>
      </c>
      <c r="AF179" s="63">
        <f>IF(AB179&gt;IF((V179-W179)&gt;0,V179-W179,0),0,IF(AB179&lt;IF((V179-W179)&gt;0,V179-W179,0),IF((V179-W179)&gt;0,V179-W179,0)-AB179,IF((V179-W179)&gt;0,V179-W179,0)))</f>
        <v>0</v>
      </c>
      <c r="AG179" s="187">
        <f>IF(AND(M179=""),IF(R179="20'",
VLOOKUP(AF179,Charge!$K$31:$M$34,2,TRUE)+(AF179-VLOOKUP(AF179,Charge!$K$31:$M$34,1,TRUE))*VLOOKUP(AF179,Charge!$K$31:$M$34,3,TRUE),
VLOOKUP(AF179,Charge!$N$31:$P$34,2,TRUE)+(AF179-VLOOKUP(AF179,Charge!$N$31:$P$34,1,TRUE))*VLOOKUP(AF179,Charge!$N$31:$P$34,3,TRUE)),
IF(AND(M179="DG"),IF(R179="20'",
VLOOKUP(AF179,Charge!$R$31:$T$34,2,TRUE)+(AF179-VLOOKUP(AF179,Charge!$R$31:$T$34,1,TRUE))*VLOOKUP(AF179,Charge!$R$31:$T$34,3,TRUE),
VLOOKUP(AF179,Charge!$U$31:$W$34,2,TRUE)+(AF179-VLOOKUP(AF179,Charge!$U$31:$W$34,1,TRUE))*VLOOKUP(AF179,Charge!$U$31:$W$34,3,TRUE)),0))</f>
        <v>0</v>
      </c>
      <c r="AH179" s="65" t="n"/>
      <c r="AI179" s="65">
        <f>AA179-AH179</f>
        <v>160</v>
      </c>
      <c r="AJ179" s="188" t="n"/>
      <c r="AK179" s="62" t="str">
        <f>VLOOKUP(D179,'2.Bookinglist'!A:CT,40,FALSE)</f>
        <v>Nustsireerach</v>
      </c>
      <c r="AL179" s="60" t="str">
        <f>VLOOKUP(D179,'2.Bookinglist'!A:CW,101,FALSE)</f>
        <v>2026-10-07</v>
      </c>
      <c r="AM179" s="60" t="str">
        <f>VLOOKUP(D179,'2.Bookinglist'!A:BK,63,FALSE)</f>
        <v>BKK27</v>
      </c>
      <c r="AN179" s="62" t="str">
        <f>VLOOKUP(D179,'2.Bookinglist'!A:AZ,52,FALSE)</f>
        <v>Pickup : 2026-10-05, Return : 2026-10-05 (Temp +18.0 / Vent Close) *PRE-COOL*
COST PRECOOL = 1,000 BAHT  // CLS TIME 05/10/2026 @23.59 </v>
      </c>
      <c r="AO179" s="62">
        <f>VLOOKUP(D179,'2.Bookinglist'!A:CY,103,FALSE)</f>
        <v>0</v>
      </c>
    </row>
    <row r="180" ht="12.95" customHeight="1">
      <c r="A180" s="96" t="inlineStr">
        <is>
          <t>SKRU6503475</t>
        </is>
      </c>
      <c r="B180" s="184" t="str">
        <f>IF(C180=Charge!$M$1,Charge!$J$1,IF(C180=Charge!$M$23,Charge!$J$23,IF(C180=Charge!$M$17,Charge!$J$17,IF(C180=Charge!$N$17,Charge!$J$17,Charge!$J$7))))</f>
        <v>G3</v>
      </c>
      <c r="C180" s="61" t="str">
        <f>VLOOKUP(A180,'1.Loading'!A:R,14,FALSE)</f>
        <v>BKK04</v>
      </c>
      <c r="D180" s="61" t="str">
        <f>VLOOKUP(A180,'1.Loading'!A:R,17,FALSE)</f>
        <v>HASLS22260902069</v>
      </c>
      <c r="E180" s="62" t="str">
        <f>VLOOKUP(D180,'2.Bookinglist'!A:CT,27,FALSE)</f>
        <v>KODAI (THAILAND) CO., LTD.</v>
      </c>
      <c r="F180" s="62" t="str">
        <f>VLOOKUP(D180,'2.Bookinglist'!A:CT,28,FALSE)</f>
        <v>MCKEY FOOD SERVICES   </v>
      </c>
      <c r="G180" s="60">
        <f>VLOOKUP(D180,'2.Bookinglist'!A:E,5,FALSE)</f>
        <v>0</v>
      </c>
      <c r="H180" s="61" t="str">
        <f>VLOOKUP(D180,'2.Bookinglist'!A:CT,15,FALSE)</f>
        <v>THBKK</v>
      </c>
      <c r="I180" s="61" t="str">
        <f>VLOOKUP(D180,'2.Bookinglist'!A:CT,19,FALSE)</f>
        <v>JPSDJ</v>
      </c>
      <c r="J180" s="61" t="str">
        <f>VLOOKUP(D180,'2.Bookinglist'!A:CT,26,FALSE)</f>
        <v>KRPUS</v>
      </c>
      <c r="K180" s="61" t="str">
        <f>VLOOKUP(A180,'1.Loading'!A:R,5,FALSE)</f>
        <v>45RE</v>
      </c>
      <c r="L180" s="60" t="str">
        <f>VLOOKUP(D180,'2.Bookinglist'!A:CT,85,FALSE)</f>
        <v>CY/CY</v>
      </c>
      <c r="M180" s="60" t="str">
        <f>IF(VLOOKUP(D180,'2.Bookinglist'!A:CT,43,FALSE)=0,"","DG")</f>
        <v/>
      </c>
      <c r="N180" s="60" t="str">
        <f>IF(RIGHT(K180,2)="RE","RF","")</f>
        <v>RF</v>
      </c>
      <c r="O180" s="61" t="str">
        <f>VLOOKUP(A180,'1.Loading'!A:R,3,FALSE)</f>
        <v>SWSP</v>
      </c>
      <c r="P180" s="61" t="str">
        <f>VLOOKUP(A180,'1.Loading'!A:R,4,FALSE)</f>
        <v>2609N</v>
      </c>
      <c r="Q180" s="61" t="str">
        <f>VLOOKUP(D180,'2.Bookinglist'!A:CT,12,FALSE)</f>
        <v>BTS</v>
      </c>
      <c r="R180" s="60" t="str">
        <f>IF(LEFT(K180,2)="22","20'","40'")</f>
        <v>40'</v>
      </c>
      <c r="S180" s="185" t="n"/>
      <c r="T180" s="61" t="str">
        <f>VLOOKUP(A180,'1.Loading'!A:R,2,FALSE)</f>
        <v>2026-10-08</v>
      </c>
      <c r="U180" s="63">
        <f>T180-S180</f>
        <v>46303</v>
      </c>
      <c r="V180" s="186" t="n"/>
      <c r="W180" s="61" t="str">
        <f>VLOOKUP(A180,'3.GateMove'!A:D,4,FALSE)</f>
        <v>2026-10-02</v>
      </c>
      <c r="X180" s="63">
        <f>((T180-W180)+1)</f>
        <v>7</v>
      </c>
      <c r="Y180" s="64">
        <f>IF(AND(OR(C180="BKK01",C180="BKK04"),L180="CFS/CY"),0,IF(M180="DG",1,IF(LEFT(C180,3)="LCH",7,IF(C180="BKK02",5,3))))</f>
        <v>3</v>
      </c>
      <c r="Z180" s="63">
        <f>IF(IF(AND(AC180="TML",AB180&gt;0),((T180-W180)+1)-AB180,((T180-W180)+1)-Y180)&gt;0,IF(AND(AC180="TML",AB180&gt;0),((T180-W180)+1)-AB180,((T180-W180)+1)-Y180),0)</f>
        <v>4</v>
      </c>
      <c r="AA180" s="187">
        <f>IF(AND(B180="G1",M180=""),IF(R180="20'",
VLOOKUP(Z180,Charge!$K$2:$M$5,2,TRUE)+(Z180-VLOOKUP(Z180,Charge!$K$2:$M$5,1,TRUE))*VLOOKUP(Z180,Charge!$K$2:$M$5,3,TRUE),
VLOOKUP(Z180,Charge!$N$2:$P$5,2,TRUE)+(Z180-VLOOKUP(Z180,Charge!$N$2:$P$5,1,TRUE))*VLOOKUP(Z180,Charge!$N$2:$P$5,3,TRUE)),
IF(AND(B180="G1",M180="DG"),IF(R180="20'",
VLOOKUP(Z180,Charge!$R$2:$T$5,2,TRUE)+(Z180-VLOOKUP(Z180,Charge!$R$2:$T$5,1,TRUE))*VLOOKUP(Z180,Charge!$R$2:$T$5,3,TRUE),
VLOOKUP(Z180,Charge!$U$2:$W$5,2,TRUE)+(Z180-VLOOKUP(Z180,Charge!$U$2:$W$5,1,TRUE))*VLOOKUP(Z180,Charge!$U$2:$W$5,3,TRUE)),
IF(AND(B180="G3",M180=""),IF(R180="20'",
VLOOKUP(Z180,Charge!$K$18:$M$21,2,TRUE)+(Z180-VLOOKUP(Z180,Charge!$K$18:$M$21,1,TRUE))*VLOOKUP(Z180,Charge!$K$18:$M$21,3,TRUE),
VLOOKUP(Z180,Charge!$N$18:$P$21,2,TRUE)+(Z180-VLOOKUP(Z180,Charge!$N$18:$P$21,1,TRUE))*VLOOKUP(Z180,Charge!$N$18:$P$21,3,TRUE)),
IF(AND(B180="G3",M180="DG"),IF(R180="20'",
VLOOKUP(Z180,Charge!$R$18:$T$21,2,TRUE)+(Z180-VLOOKUP(Z180,Charge!$R$18:$T$21,1,TRUE))*VLOOKUP(Z180,Charge!$R$18:$T$21,3,TRUE),
VLOOKUP(Z180,Charge!$U$18:$W$21,2,TRUE)+(Z180-VLOOKUP(Z180,Charge!$U$18:$W$21,1,TRUE))*VLOOKUP(Z180,Charge!$U$18:$W$21,3,TRUE)),
IF(AND(B180="G2",M180=""),IF(R180="20'",
VLOOKUP(Z180,Charge!$K$9:$M$12,2,TRUE)+(Z180-VLOOKUP(Z180,Charge!$K$9:$M$12,1,TRUE))*VLOOKUP(Z180,Charge!$K$9:$M$12,3,TRUE),
VLOOKUP(Z180,Charge!$N$9:$P$12,2,TRUE)+(Z180-VLOOKUP(Z180,Charge!$N$9:$P$12,1,TRUE))*VLOOKUP(Z180,Charge!$N$9:$P$12,3,TRUE)),
IF(AND(B180="G2",M180="DG"),IF(R180="20'",
VLOOKUP(Z180,Charge!$R$9:$T$12,2,TRUE)+(Z180-VLOOKUP(Z180,Charge!$R$9:$T$12,1,TRUE))*VLOOKUP(Z180,Charge!$R$9:$T$12,3,TRUE),
VLOOKUP(Z180,Charge!$U$9:$W$12,2,TRUE)+(Z180-VLOOKUP(Z180,Charge!$U$9:$W$12,1,TRUE))*VLOOKUP(Z180,Charge!$U$9:$W$12,3,TRUE)),IF(AND(B180="G4",M180=""),IF(R180="20'",Z180*Charge!$M$25,Z180*Charge!$P$25),IF(AND(B180="G4",M180="DG"),IF(R180="20'",Z180*Charge!$T$25,Z180*Charge!$W$25),0))))))))</f>
        <v>1280</v>
      </c>
      <c r="AB180" s="184" t="n"/>
      <c r="AC180" s="184" t="n"/>
      <c r="AD180" s="60">
        <f>IF(M180="DG",3,IF(N180="RF",3,5))+IF(AND(LEFT(C180,3)="BKK",N180="RF",Q180="KTS"),1,0)+IF(Q180="KHS",1,0)</f>
        <v>3</v>
      </c>
      <c r="AE180" s="63">
        <f>(T180-V180)+1</f>
        <v>46304</v>
      </c>
      <c r="AF180" s="63">
        <f>IF(AB180&gt;IF((V180-W180)&gt;0,V180-W180,0),0,IF(AB180&lt;IF((V180-W180)&gt;0,V180-W180,0),IF((V180-W180)&gt;0,V180-W180,0)-AB180,IF((V180-W180)&gt;0,V180-W180,0)))</f>
        <v>0</v>
      </c>
      <c r="AG180" s="187">
        <f>IF(AND(M180=""),IF(R180="20'",
VLOOKUP(AF180,Charge!$K$31:$M$34,2,TRUE)+(AF180-VLOOKUP(AF180,Charge!$K$31:$M$34,1,TRUE))*VLOOKUP(AF180,Charge!$K$31:$M$34,3,TRUE),
VLOOKUP(AF180,Charge!$N$31:$P$34,2,TRUE)+(AF180-VLOOKUP(AF180,Charge!$N$31:$P$34,1,TRUE))*VLOOKUP(AF180,Charge!$N$31:$P$34,3,TRUE)),
IF(AND(M180="DG"),IF(R180="20'",
VLOOKUP(AF180,Charge!$R$31:$T$34,2,TRUE)+(AF180-VLOOKUP(AF180,Charge!$R$31:$T$34,1,TRUE))*VLOOKUP(AF180,Charge!$R$31:$T$34,3,TRUE),
VLOOKUP(AF180,Charge!$U$31:$W$34,2,TRUE)+(AF180-VLOOKUP(AF180,Charge!$U$31:$W$34,1,TRUE))*VLOOKUP(AF180,Charge!$U$31:$W$34,3,TRUE)),0))</f>
        <v>0</v>
      </c>
      <c r="AH180" s="65" t="n"/>
      <c r="AI180" s="65">
        <f>AA180-AH180</f>
        <v>1280</v>
      </c>
      <c r="AJ180" s="188" t="n"/>
      <c r="AK180" s="62" t="str">
        <f>VLOOKUP(D180,'2.Bookinglist'!A:CT,40,FALSE)</f>
        <v>Takatsugu Nakagome(Mr.)</v>
      </c>
      <c r="AL180" s="60" t="str">
        <f>VLOOKUP(D180,'2.Bookinglist'!A:CW,101,FALSE)</f>
        <v>2026-10-05</v>
      </c>
      <c r="AM180" s="60" t="str">
        <f>VLOOKUP(D180,'2.Bookinglist'!A:BK,63,FALSE)</f>
        <v>BKK27</v>
      </c>
      <c r="AN180" s="62" t="str">
        <f>VLOOKUP(D180,'2.Bookinglist'!A:AZ,52,FALSE)</f>
        <v>[FIX][FIX]Pickup : 2026-10-01, Return : 2026-10-01 (Temp -25.0 / Vent Close) 
 CLS TIME 04/10 05.00 [1ST RTN 01/10 W/O RENT &amp; ELECTRIC] </v>
      </c>
      <c r="AO180" s="62">
        <f>VLOOKUP(D180,'2.Bookinglist'!A:CY,103,FALSE)</f>
        <v>0</v>
      </c>
    </row>
    <row r="181" ht="12.95" customHeight="1">
      <c r="A181" s="96" t="inlineStr">
        <is>
          <t>SKRU6505565</t>
        </is>
      </c>
      <c r="B181" s="184" t="str">
        <f>IF(C181=Charge!$M$1,Charge!$J$1,IF(C181=Charge!$M$23,Charge!$J$23,IF(C181=Charge!$M$17,Charge!$J$17,IF(C181=Charge!$N$17,Charge!$J$17,Charge!$J$7))))</f>
        <v>G3</v>
      </c>
      <c r="C181" s="61" t="str">
        <f>VLOOKUP(A181,'1.Loading'!A:R,14,FALSE)</f>
        <v>BKK04</v>
      </c>
      <c r="D181" s="61" t="str">
        <f>VLOOKUP(A181,'1.Loading'!A:R,17,FALSE)</f>
        <v>HASLS22260900909</v>
      </c>
      <c r="E181" s="62" t="str">
        <f>VLOOKUP(D181,'2.Bookinglist'!A:CT,27,FALSE)</f>
        <v>SIAM I-LOGISTICS LTD.</v>
      </c>
      <c r="F181" s="62" t="str">
        <f>VLOOKUP(D181,'2.Bookinglist'!A:CT,28,FALSE)</f>
        <v>GOLDEN PRIZE CANNING CO., LTD.</v>
      </c>
      <c r="G181" s="60">
        <f>VLOOKUP(D181,'2.Bookinglist'!A:E,5,FALSE)</f>
        <v>0</v>
      </c>
      <c r="H181" s="61" t="str">
        <f>VLOOKUP(D181,'2.Bookinglist'!A:CT,15,FALSE)</f>
        <v>THBKK</v>
      </c>
      <c r="I181" s="61" t="str">
        <f>VLOOKUP(D181,'2.Bookinglist'!A:CT,19,FALSE)</f>
        <v>VNSGN</v>
      </c>
      <c r="J181" s="61">
        <f>VLOOKUP(D181,'2.Bookinglist'!A:CT,26,FALSE)</f>
        <v>0</v>
      </c>
      <c r="K181" s="61" t="str">
        <f>VLOOKUP(A181,'1.Loading'!A:R,5,FALSE)</f>
        <v>45RE</v>
      </c>
      <c r="L181" s="60" t="str">
        <f>VLOOKUP(D181,'2.Bookinglist'!A:CT,85,FALSE)</f>
        <v>CY/CY</v>
      </c>
      <c r="M181" s="60" t="str">
        <f>IF(VLOOKUP(D181,'2.Bookinglist'!A:CT,43,FALSE)=0,"","DG")</f>
        <v/>
      </c>
      <c r="N181" s="60" t="str">
        <f>IF(RIGHT(K181,2)="RE","RF","")</f>
        <v>RF</v>
      </c>
      <c r="O181" s="61" t="str">
        <f>VLOOKUP(A181,'1.Loading'!A:R,3,FALSE)</f>
        <v>SWSP</v>
      </c>
      <c r="P181" s="61" t="str">
        <f>VLOOKUP(A181,'1.Loading'!A:R,4,FALSE)</f>
        <v>2609N</v>
      </c>
      <c r="Q181" s="61" t="str">
        <f>VLOOKUP(D181,'2.Bookinglist'!A:CT,12,FALSE)</f>
        <v>BTS</v>
      </c>
      <c r="R181" s="60" t="str">
        <f>IF(LEFT(K181,2)="22","20'","40'")</f>
        <v>40'</v>
      </c>
      <c r="S181" s="185" t="n"/>
      <c r="T181" s="61" t="str">
        <f>VLOOKUP(A181,'1.Loading'!A:R,2,FALSE)</f>
        <v>2026-10-08</v>
      </c>
      <c r="U181" s="63">
        <f>T181-S181</f>
        <v>46303</v>
      </c>
      <c r="V181" s="186" t="n"/>
      <c r="W181" s="61" t="str">
        <f>VLOOKUP(A181,'3.GateMove'!A:D,4,FALSE)</f>
        <v>2026-10-04</v>
      </c>
      <c r="X181" s="63">
        <f>((T181-W181)+1)</f>
        <v>5</v>
      </c>
      <c r="Y181" s="64">
        <f>IF(AND(OR(C181="BKK01",C181="BKK04"),L181="CFS/CY"),0,IF(M181="DG",1,IF(LEFT(C181,3)="LCH",7,IF(C181="BKK02",5,3))))</f>
        <v>3</v>
      </c>
      <c r="Z181" s="63">
        <f>IF(IF(AND(AC181="TML",AB181&gt;0),((T181-W181)+1)-AB181,((T181-W181)+1)-Y181)&gt;0,IF(AND(AC181="TML",AB181&gt;0),((T181-W181)+1)-AB181,((T181-W181)+1)-Y181),0)</f>
        <v>2</v>
      </c>
      <c r="AA181" s="187">
        <f>IF(AND(B181="G1",M181=""),IF(R181="20'",
VLOOKUP(Z181,Charge!$K$2:$M$5,2,TRUE)+(Z181-VLOOKUP(Z181,Charge!$K$2:$M$5,1,TRUE))*VLOOKUP(Z181,Charge!$K$2:$M$5,3,TRUE),
VLOOKUP(Z181,Charge!$N$2:$P$5,2,TRUE)+(Z181-VLOOKUP(Z181,Charge!$N$2:$P$5,1,TRUE))*VLOOKUP(Z181,Charge!$N$2:$P$5,3,TRUE)),
IF(AND(B181="G1",M181="DG"),IF(R181="20'",
VLOOKUP(Z181,Charge!$R$2:$T$5,2,TRUE)+(Z181-VLOOKUP(Z181,Charge!$R$2:$T$5,1,TRUE))*VLOOKUP(Z181,Charge!$R$2:$T$5,3,TRUE),
VLOOKUP(Z181,Charge!$U$2:$W$5,2,TRUE)+(Z181-VLOOKUP(Z181,Charge!$U$2:$W$5,1,TRUE))*VLOOKUP(Z181,Charge!$U$2:$W$5,3,TRUE)),
IF(AND(B181="G3",M181=""),IF(R181="20'",
VLOOKUP(Z181,Charge!$K$18:$M$21,2,TRUE)+(Z181-VLOOKUP(Z181,Charge!$K$18:$M$21,1,TRUE))*VLOOKUP(Z181,Charge!$K$18:$M$21,3,TRUE),
VLOOKUP(Z181,Charge!$N$18:$P$21,2,TRUE)+(Z181-VLOOKUP(Z181,Charge!$N$18:$P$21,1,TRUE))*VLOOKUP(Z181,Charge!$N$18:$P$21,3,TRUE)),
IF(AND(B181="G3",M181="DG"),IF(R181="20'",
VLOOKUP(Z181,Charge!$R$18:$T$21,2,TRUE)+(Z181-VLOOKUP(Z181,Charge!$R$18:$T$21,1,TRUE))*VLOOKUP(Z181,Charge!$R$18:$T$21,3,TRUE),
VLOOKUP(Z181,Charge!$U$18:$W$21,2,TRUE)+(Z181-VLOOKUP(Z181,Charge!$U$18:$W$21,1,TRUE))*VLOOKUP(Z181,Charge!$U$18:$W$21,3,TRUE)),
IF(AND(B181="G2",M181=""),IF(R181="20'",
VLOOKUP(Z181,Charge!$K$9:$M$12,2,TRUE)+(Z181-VLOOKUP(Z181,Charge!$K$9:$M$12,1,TRUE))*VLOOKUP(Z181,Charge!$K$9:$M$12,3,TRUE),
VLOOKUP(Z181,Charge!$N$9:$P$12,2,TRUE)+(Z181-VLOOKUP(Z181,Charge!$N$9:$P$12,1,TRUE))*VLOOKUP(Z181,Charge!$N$9:$P$12,3,TRUE)),
IF(AND(B181="G2",M181="DG"),IF(R181="20'",
VLOOKUP(Z181,Charge!$R$9:$T$12,2,TRUE)+(Z181-VLOOKUP(Z181,Charge!$R$9:$T$12,1,TRUE))*VLOOKUP(Z181,Charge!$R$9:$T$12,3,TRUE),
VLOOKUP(Z181,Charge!$U$9:$W$12,2,TRUE)+(Z181-VLOOKUP(Z181,Charge!$U$9:$W$12,1,TRUE))*VLOOKUP(Z181,Charge!$U$9:$W$12,3,TRUE)),IF(AND(B181="G4",M181=""),IF(R181="20'",Z181*Charge!$M$25,Z181*Charge!$P$25),IF(AND(B181="G4",M181="DG"),IF(R181="20'",Z181*Charge!$T$25,Z181*Charge!$W$25),0))))))))</f>
        <v>640</v>
      </c>
      <c r="AB181" s="184" t="n"/>
      <c r="AC181" s="184" t="n"/>
      <c r="AD181" s="60">
        <f>IF(M181="DG",3,IF(N181="RF",3,5))+IF(AND(LEFT(C181,3)="BKK",N181="RF",Q181="KTS"),1,0)+IF(Q181="KHS",1,0)</f>
        <v>3</v>
      </c>
      <c r="AE181" s="63">
        <f>(T181-V181)+1</f>
        <v>46304</v>
      </c>
      <c r="AF181" s="63">
        <f>IF(AB181&gt;IF((V181-W181)&gt;0,V181-W181,0),0,IF(AB181&lt;IF((V181-W181)&gt;0,V181-W181,0),IF((V181-W181)&gt;0,V181-W181,0)-AB181,IF((V181-W181)&gt;0,V181-W181,0)))</f>
        <v>0</v>
      </c>
      <c r="AG181" s="187">
        <f>IF(AND(M181=""),IF(R181="20'",
VLOOKUP(AF181,Charge!$K$31:$M$34,2,TRUE)+(AF181-VLOOKUP(AF181,Charge!$K$31:$M$34,1,TRUE))*VLOOKUP(AF181,Charge!$K$31:$M$34,3,TRUE),
VLOOKUP(AF181,Charge!$N$31:$P$34,2,TRUE)+(AF181-VLOOKUP(AF181,Charge!$N$31:$P$34,1,TRUE))*VLOOKUP(AF181,Charge!$N$31:$P$34,3,TRUE)),
IF(AND(M181="DG"),IF(R181="20'",
VLOOKUP(AF181,Charge!$R$31:$T$34,2,TRUE)+(AF181-VLOOKUP(AF181,Charge!$R$31:$T$34,1,TRUE))*VLOOKUP(AF181,Charge!$R$31:$T$34,3,TRUE),
VLOOKUP(AF181,Charge!$U$31:$W$34,2,TRUE)+(AF181-VLOOKUP(AF181,Charge!$U$31:$W$34,1,TRUE))*VLOOKUP(AF181,Charge!$U$31:$W$34,3,TRUE)),0))</f>
        <v>0</v>
      </c>
      <c r="AH181" s="65" t="n"/>
      <c r="AI181" s="65">
        <f>AA181-AH181</f>
        <v>640</v>
      </c>
      <c r="AJ181" s="188" t="n"/>
      <c r="AK181" s="62" t="str">
        <f>VLOOKUP(D181,'2.Bookinglist'!A:CT,40,FALSE)</f>
        <v>Nannaapust Sukporntaweewat</v>
      </c>
      <c r="AL181" s="60" t="str">
        <f>VLOOKUP(D181,'2.Bookinglist'!A:CW,101,FALSE)</f>
        <v>2026-10-06</v>
      </c>
      <c r="AM181" s="60" t="str">
        <f>VLOOKUP(D181,'2.Bookinglist'!A:BK,63,FALSE)</f>
        <v>BKK27</v>
      </c>
      <c r="AN181" s="62" t="str">
        <f>VLOOKUP(D181,'2.Bookinglist'!A:AZ,52,FALSE)</f>
        <v>Pickup : 01/10/2026, Return : 03-05/10/2026 (Temp -25.0 / Vent Close) 
CLOSING TIME 2026-10-05 @23.59 (1ST 03/10/2026 RETURN W/O RENT)</v>
      </c>
      <c r="AO181" s="62">
        <f>VLOOKUP(D181,'2.Bookinglist'!A:CY,103,FALSE)</f>
        <v>0</v>
      </c>
    </row>
    <row r="182" ht="12.95" customHeight="1">
      <c r="A182" s="96" t="inlineStr">
        <is>
          <t>SKRU6505890</t>
        </is>
      </c>
      <c r="B182" s="184" t="str">
        <f>IF(C182=Charge!$M$1,Charge!$J$1,IF(C182=Charge!$M$23,Charge!$J$23,IF(C182=Charge!$M$17,Charge!$J$17,IF(C182=Charge!$N$17,Charge!$J$17,Charge!$J$7))))</f>
        <v>G3</v>
      </c>
      <c r="C182" s="61" t="str">
        <f>VLOOKUP(A182,'1.Loading'!A:R,14,FALSE)</f>
        <v>BKK04</v>
      </c>
      <c r="D182" s="61" t="str">
        <f>VLOOKUP(A182,'1.Loading'!A:R,17,FALSE)</f>
        <v>HASLS22260900909</v>
      </c>
      <c r="E182" s="62" t="str">
        <f>VLOOKUP(D182,'2.Bookinglist'!A:CT,27,FALSE)</f>
        <v>SIAM I-LOGISTICS LTD.</v>
      </c>
      <c r="F182" s="62" t="str">
        <f>VLOOKUP(D182,'2.Bookinglist'!A:CT,28,FALSE)</f>
        <v>GOLDEN PRIZE CANNING CO., LTD.</v>
      </c>
      <c r="G182" s="60">
        <f>VLOOKUP(D182,'2.Bookinglist'!A:E,5,FALSE)</f>
        <v>0</v>
      </c>
      <c r="H182" s="61" t="str">
        <f>VLOOKUP(D182,'2.Bookinglist'!A:CT,15,FALSE)</f>
        <v>THBKK</v>
      </c>
      <c r="I182" s="61" t="str">
        <f>VLOOKUP(D182,'2.Bookinglist'!A:CT,19,FALSE)</f>
        <v>VNSGN</v>
      </c>
      <c r="J182" s="61">
        <f>VLOOKUP(D182,'2.Bookinglist'!A:CT,26,FALSE)</f>
        <v>0</v>
      </c>
      <c r="K182" s="61" t="str">
        <f>VLOOKUP(A182,'1.Loading'!A:R,5,FALSE)</f>
        <v>45RE</v>
      </c>
      <c r="L182" s="60" t="str">
        <f>VLOOKUP(D182,'2.Bookinglist'!A:CT,85,FALSE)</f>
        <v>CY/CY</v>
      </c>
      <c r="M182" s="60" t="str">
        <f>IF(VLOOKUP(D182,'2.Bookinglist'!A:CT,43,FALSE)=0,"","DG")</f>
        <v/>
      </c>
      <c r="N182" s="60" t="str">
        <f>IF(RIGHT(K182,2)="RE","RF","")</f>
        <v>RF</v>
      </c>
      <c r="O182" s="61" t="str">
        <f>VLOOKUP(A182,'1.Loading'!A:R,3,FALSE)</f>
        <v>SWSP</v>
      </c>
      <c r="P182" s="61" t="str">
        <f>VLOOKUP(A182,'1.Loading'!A:R,4,FALSE)</f>
        <v>2609N</v>
      </c>
      <c r="Q182" s="61" t="str">
        <f>VLOOKUP(D182,'2.Bookinglist'!A:CT,12,FALSE)</f>
        <v>BTS</v>
      </c>
      <c r="R182" s="60" t="str">
        <f>IF(LEFT(K182,2)="22","20'","40'")</f>
        <v>40'</v>
      </c>
      <c r="S182" s="185" t="n"/>
      <c r="T182" s="61" t="str">
        <f>VLOOKUP(A182,'1.Loading'!A:R,2,FALSE)</f>
        <v>2026-10-08</v>
      </c>
      <c r="U182" s="63">
        <f>T182-S182</f>
        <v>46303</v>
      </c>
      <c r="V182" s="186" t="n"/>
      <c r="W182" s="61" t="str">
        <f>VLOOKUP(A182,'3.GateMove'!A:D,4,FALSE)</f>
        <v>2026-10-05</v>
      </c>
      <c r="X182" s="63">
        <f>((T182-W182)+1)</f>
        <v>4</v>
      </c>
      <c r="Y182" s="64">
        <f>IF(AND(OR(C182="BKK01",C182="BKK04"),L182="CFS/CY"),0,IF(M182="DG",1,IF(LEFT(C182,3)="LCH",7,IF(C182="BKK02",5,3))))</f>
        <v>3</v>
      </c>
      <c r="Z182" s="63">
        <f>IF(IF(AND(AC182="TML",AB182&gt;0),((T182-W182)+1)-AB182,((T182-W182)+1)-Y182)&gt;0,IF(AND(AC182="TML",AB182&gt;0),((T182-W182)+1)-AB182,((T182-W182)+1)-Y182),0)</f>
        <v>1</v>
      </c>
      <c r="AA182" s="187">
        <f>IF(AND(B182="G1",M182=""),IF(R182="20'",
VLOOKUP(Z182,Charge!$K$2:$M$5,2,TRUE)+(Z182-VLOOKUP(Z182,Charge!$K$2:$M$5,1,TRUE))*VLOOKUP(Z182,Charge!$K$2:$M$5,3,TRUE),
VLOOKUP(Z182,Charge!$N$2:$P$5,2,TRUE)+(Z182-VLOOKUP(Z182,Charge!$N$2:$P$5,1,TRUE))*VLOOKUP(Z182,Charge!$N$2:$P$5,3,TRUE)),
IF(AND(B182="G1",M182="DG"),IF(R182="20'",
VLOOKUP(Z182,Charge!$R$2:$T$5,2,TRUE)+(Z182-VLOOKUP(Z182,Charge!$R$2:$T$5,1,TRUE))*VLOOKUP(Z182,Charge!$R$2:$T$5,3,TRUE),
VLOOKUP(Z182,Charge!$U$2:$W$5,2,TRUE)+(Z182-VLOOKUP(Z182,Charge!$U$2:$W$5,1,TRUE))*VLOOKUP(Z182,Charge!$U$2:$W$5,3,TRUE)),
IF(AND(B182="G3",M182=""),IF(R182="20'",
VLOOKUP(Z182,Charge!$K$18:$M$21,2,TRUE)+(Z182-VLOOKUP(Z182,Charge!$K$18:$M$21,1,TRUE))*VLOOKUP(Z182,Charge!$K$18:$M$21,3,TRUE),
VLOOKUP(Z182,Charge!$N$18:$P$21,2,TRUE)+(Z182-VLOOKUP(Z182,Charge!$N$18:$P$21,1,TRUE))*VLOOKUP(Z182,Charge!$N$18:$P$21,3,TRUE)),
IF(AND(B182="G3",M182="DG"),IF(R182="20'",
VLOOKUP(Z182,Charge!$R$18:$T$21,2,TRUE)+(Z182-VLOOKUP(Z182,Charge!$R$18:$T$21,1,TRUE))*VLOOKUP(Z182,Charge!$R$18:$T$21,3,TRUE),
VLOOKUP(Z182,Charge!$U$18:$W$21,2,TRUE)+(Z182-VLOOKUP(Z182,Charge!$U$18:$W$21,1,TRUE))*VLOOKUP(Z182,Charge!$U$18:$W$21,3,TRUE)),
IF(AND(B182="G2",M182=""),IF(R182="20'",
VLOOKUP(Z182,Charge!$K$9:$M$12,2,TRUE)+(Z182-VLOOKUP(Z182,Charge!$K$9:$M$12,1,TRUE))*VLOOKUP(Z182,Charge!$K$9:$M$12,3,TRUE),
VLOOKUP(Z182,Charge!$N$9:$P$12,2,TRUE)+(Z182-VLOOKUP(Z182,Charge!$N$9:$P$12,1,TRUE))*VLOOKUP(Z182,Charge!$N$9:$P$12,3,TRUE)),
IF(AND(B182="G2",M182="DG"),IF(R182="20'",
VLOOKUP(Z182,Charge!$R$9:$T$12,2,TRUE)+(Z182-VLOOKUP(Z182,Charge!$R$9:$T$12,1,TRUE))*VLOOKUP(Z182,Charge!$R$9:$T$12,3,TRUE),
VLOOKUP(Z182,Charge!$U$9:$W$12,2,TRUE)+(Z182-VLOOKUP(Z182,Charge!$U$9:$W$12,1,TRUE))*VLOOKUP(Z182,Charge!$U$9:$W$12,3,TRUE)),IF(AND(B182="G4",M182=""),IF(R182="20'",Z182*Charge!$M$25,Z182*Charge!$P$25),IF(AND(B182="G4",M182="DG"),IF(R182="20'",Z182*Charge!$T$25,Z182*Charge!$W$25),0))))))))</f>
        <v>320</v>
      </c>
      <c r="AB182" s="184" t="n"/>
      <c r="AC182" s="184" t="n"/>
      <c r="AD182" s="60">
        <f>IF(M182="DG",3,IF(N182="RF",3,5))+IF(AND(LEFT(C182,3)="BKK",N182="RF",Q182="KTS"),1,0)+IF(Q182="KHS",1,0)</f>
        <v>3</v>
      </c>
      <c r="AE182" s="63">
        <f>(T182-V182)+1</f>
        <v>46304</v>
      </c>
      <c r="AF182" s="63">
        <f>IF(AB182&gt;IF((V182-W182)&gt;0,V182-W182,0),0,IF(AB182&lt;IF((V182-W182)&gt;0,V182-W182,0),IF((V182-W182)&gt;0,V182-W182,0)-AB182,IF((V182-W182)&gt;0,V182-W182,0)))</f>
        <v>0</v>
      </c>
      <c r="AG182" s="187">
        <f>IF(AND(M182=""),IF(R182="20'",
VLOOKUP(AF182,Charge!$K$31:$M$34,2,TRUE)+(AF182-VLOOKUP(AF182,Charge!$K$31:$M$34,1,TRUE))*VLOOKUP(AF182,Charge!$K$31:$M$34,3,TRUE),
VLOOKUP(AF182,Charge!$N$31:$P$34,2,TRUE)+(AF182-VLOOKUP(AF182,Charge!$N$31:$P$34,1,TRUE))*VLOOKUP(AF182,Charge!$N$31:$P$34,3,TRUE)),
IF(AND(M182="DG"),IF(R182="20'",
VLOOKUP(AF182,Charge!$R$31:$T$34,2,TRUE)+(AF182-VLOOKUP(AF182,Charge!$R$31:$T$34,1,TRUE))*VLOOKUP(AF182,Charge!$R$31:$T$34,3,TRUE),
VLOOKUP(AF182,Charge!$U$31:$W$34,2,TRUE)+(AF182-VLOOKUP(AF182,Charge!$U$31:$W$34,1,TRUE))*VLOOKUP(AF182,Charge!$U$31:$W$34,3,TRUE)),0))</f>
        <v>0</v>
      </c>
      <c r="AH182" s="65" t="n"/>
      <c r="AI182" s="65">
        <f>AA182-AH182</f>
        <v>320</v>
      </c>
      <c r="AJ182" s="188" t="n"/>
      <c r="AK182" s="62" t="str">
        <f>VLOOKUP(D182,'2.Bookinglist'!A:CT,40,FALSE)</f>
        <v>Nannaapust Sukporntaweewat</v>
      </c>
      <c r="AL182" s="60" t="str">
        <f>VLOOKUP(D182,'2.Bookinglist'!A:CW,101,FALSE)</f>
        <v>2026-10-06</v>
      </c>
      <c r="AM182" s="60" t="str">
        <f>VLOOKUP(D182,'2.Bookinglist'!A:BK,63,FALSE)</f>
        <v>BKK27</v>
      </c>
      <c r="AN182" s="62" t="str">
        <f>VLOOKUP(D182,'2.Bookinglist'!A:AZ,52,FALSE)</f>
        <v>Pickup : 01/10/2026, Return : 03-05/10/2026 (Temp -25.0 / Vent Close) 
CLOSING TIME 2026-10-05 @23.59 (1ST 03/10/2026 RETURN W/O RENT)</v>
      </c>
      <c r="AO182" s="62">
        <f>VLOOKUP(D182,'2.Bookinglist'!A:CY,103,FALSE)</f>
        <v>0</v>
      </c>
    </row>
    <row r="183" ht="12.95" customHeight="1">
      <c r="A183" s="96" t="inlineStr">
        <is>
          <t>SKRU9200960</t>
        </is>
      </c>
      <c r="B183" s="184" t="str">
        <f>IF(C183=Charge!$M$1,Charge!$J$1,IF(C183=Charge!$M$23,Charge!$J$23,IF(C183=Charge!$M$17,Charge!$J$17,IF(C183=Charge!$N$17,Charge!$J$17,Charge!$J$7))))</f>
        <v>G3</v>
      </c>
      <c r="C183" s="61" t="str">
        <f>VLOOKUP(A183,'1.Loading'!A:R,14,FALSE)</f>
        <v>BKK04</v>
      </c>
      <c r="D183" s="61" t="str">
        <f>VLOOKUP(A183,'1.Loading'!A:R,17,FALSE)</f>
        <v>HASLS22260902459</v>
      </c>
      <c r="E183" s="62" t="str">
        <f>VLOOKUP(D183,'2.Bookinglist'!A:CT,27,FALSE)</f>
        <v>VENTE TRADE CO.,LTD.</v>
      </c>
      <c r="F183" s="62" t="str">
        <f>VLOOKUP(D183,'2.Bookinglist'!A:CT,28,FALSE)</f>
        <v>VENTE TRADE CO.,LTD.</v>
      </c>
      <c r="G183" s="60">
        <f>VLOOKUP(D183,'2.Bookinglist'!A:E,5,FALSE)</f>
        <v>0</v>
      </c>
      <c r="H183" s="61" t="str">
        <f>VLOOKUP(D183,'2.Bookinglist'!A:CT,15,FALSE)</f>
        <v>THBKK</v>
      </c>
      <c r="I183" s="61" t="str">
        <f>VLOOKUP(D183,'2.Bookinglist'!A:CT,19,FALSE)</f>
        <v>RUVVO</v>
      </c>
      <c r="J183" s="61" t="str">
        <f>VLOOKUP(D183,'2.Bookinglist'!A:CT,26,FALSE)</f>
        <v>KRPUS</v>
      </c>
      <c r="K183" s="61" t="str">
        <f>VLOOKUP(A183,'1.Loading'!A:R,5,FALSE)</f>
        <v>45RE</v>
      </c>
      <c r="L183" s="60" t="str">
        <f>VLOOKUP(D183,'2.Bookinglist'!A:CT,85,FALSE)</f>
        <v>CY/CY</v>
      </c>
      <c r="M183" s="60" t="str">
        <f>IF(VLOOKUP(D183,'2.Bookinglist'!A:CT,43,FALSE)=0,"","DG")</f>
        <v/>
      </c>
      <c r="N183" s="60" t="str">
        <f>IF(RIGHT(K183,2)="RE","RF","")</f>
        <v>RF</v>
      </c>
      <c r="O183" s="61" t="str">
        <f>VLOOKUP(A183,'1.Loading'!A:R,3,FALSE)</f>
        <v>SWSP</v>
      </c>
      <c r="P183" s="61" t="str">
        <f>VLOOKUP(A183,'1.Loading'!A:R,4,FALSE)</f>
        <v>2609N</v>
      </c>
      <c r="Q183" s="61" t="str">
        <f>VLOOKUP(D183,'2.Bookinglist'!A:CT,12,FALSE)</f>
        <v>BTS</v>
      </c>
      <c r="R183" s="60" t="str">
        <f>IF(LEFT(K183,2)="22","20'","40'")</f>
        <v>40'</v>
      </c>
      <c r="S183" s="185" t="n"/>
      <c r="T183" s="61" t="str">
        <f>VLOOKUP(A183,'1.Loading'!A:R,2,FALSE)</f>
        <v>2026-10-08</v>
      </c>
      <c r="U183" s="63">
        <f>T183-S183</f>
        <v>46303</v>
      </c>
      <c r="V183" s="186" t="n"/>
      <c r="W183" s="61" t="str">
        <f>VLOOKUP(A183,'3.GateMove'!A:D,4,FALSE)</f>
        <v>2026-10-02</v>
      </c>
      <c r="X183" s="63">
        <f>((T183-W183)+1)</f>
        <v>7</v>
      </c>
      <c r="Y183" s="64">
        <f>IF(AND(OR(C183="BKK01",C183="BKK04"),L183="CFS/CY"),0,IF(M183="DG",1,IF(LEFT(C183,3)="LCH",7,IF(C183="BKK02",5,3))))</f>
        <v>3</v>
      </c>
      <c r="Z183" s="63">
        <f>IF(IF(AND(AC183="TML",AB183&gt;0),((T183-W183)+1)-AB183,((T183-W183)+1)-Y183)&gt;0,IF(AND(AC183="TML",AB183&gt;0),((T183-W183)+1)-AB183,((T183-W183)+1)-Y183),0)</f>
        <v>4</v>
      </c>
      <c r="AA183" s="187">
        <f>IF(AND(B183="G1",M183=""),IF(R183="20'",
VLOOKUP(Z183,Charge!$K$2:$M$5,2,TRUE)+(Z183-VLOOKUP(Z183,Charge!$K$2:$M$5,1,TRUE))*VLOOKUP(Z183,Charge!$K$2:$M$5,3,TRUE),
VLOOKUP(Z183,Charge!$N$2:$P$5,2,TRUE)+(Z183-VLOOKUP(Z183,Charge!$N$2:$P$5,1,TRUE))*VLOOKUP(Z183,Charge!$N$2:$P$5,3,TRUE)),
IF(AND(B183="G1",M183="DG"),IF(R183="20'",
VLOOKUP(Z183,Charge!$R$2:$T$5,2,TRUE)+(Z183-VLOOKUP(Z183,Charge!$R$2:$T$5,1,TRUE))*VLOOKUP(Z183,Charge!$R$2:$T$5,3,TRUE),
VLOOKUP(Z183,Charge!$U$2:$W$5,2,TRUE)+(Z183-VLOOKUP(Z183,Charge!$U$2:$W$5,1,TRUE))*VLOOKUP(Z183,Charge!$U$2:$W$5,3,TRUE)),
IF(AND(B183="G3",M183=""),IF(R183="20'",
VLOOKUP(Z183,Charge!$K$18:$M$21,2,TRUE)+(Z183-VLOOKUP(Z183,Charge!$K$18:$M$21,1,TRUE))*VLOOKUP(Z183,Charge!$K$18:$M$21,3,TRUE),
VLOOKUP(Z183,Charge!$N$18:$P$21,2,TRUE)+(Z183-VLOOKUP(Z183,Charge!$N$18:$P$21,1,TRUE))*VLOOKUP(Z183,Charge!$N$18:$P$21,3,TRUE)),
IF(AND(B183="G3",M183="DG"),IF(R183="20'",
VLOOKUP(Z183,Charge!$R$18:$T$21,2,TRUE)+(Z183-VLOOKUP(Z183,Charge!$R$18:$T$21,1,TRUE))*VLOOKUP(Z183,Charge!$R$18:$T$21,3,TRUE),
VLOOKUP(Z183,Charge!$U$18:$W$21,2,TRUE)+(Z183-VLOOKUP(Z183,Charge!$U$18:$W$21,1,TRUE))*VLOOKUP(Z183,Charge!$U$18:$W$21,3,TRUE)),
IF(AND(B183="G2",M183=""),IF(R183="20'",
VLOOKUP(Z183,Charge!$K$9:$M$12,2,TRUE)+(Z183-VLOOKUP(Z183,Charge!$K$9:$M$12,1,TRUE))*VLOOKUP(Z183,Charge!$K$9:$M$12,3,TRUE),
VLOOKUP(Z183,Charge!$N$9:$P$12,2,TRUE)+(Z183-VLOOKUP(Z183,Charge!$N$9:$P$12,1,TRUE))*VLOOKUP(Z183,Charge!$N$9:$P$12,3,TRUE)),
IF(AND(B183="G2",M183="DG"),IF(R183="20'",
VLOOKUP(Z183,Charge!$R$9:$T$12,2,TRUE)+(Z183-VLOOKUP(Z183,Charge!$R$9:$T$12,1,TRUE))*VLOOKUP(Z183,Charge!$R$9:$T$12,3,TRUE),
VLOOKUP(Z183,Charge!$U$9:$W$12,2,TRUE)+(Z183-VLOOKUP(Z183,Charge!$U$9:$W$12,1,TRUE))*VLOOKUP(Z183,Charge!$U$9:$W$12,3,TRUE)),IF(AND(B183="G4",M183=""),IF(R183="20'",Z183*Charge!$M$25,Z183*Charge!$P$25),IF(AND(B183="G4",M183="DG"),IF(R183="20'",Z183*Charge!$T$25,Z183*Charge!$W$25),0))))))))</f>
        <v>1280</v>
      </c>
      <c r="AB183" s="184" t="n"/>
      <c r="AC183" s="184" t="n"/>
      <c r="AD183" s="60">
        <f>IF(M183="DG",3,IF(N183="RF",3,5))+IF(AND(LEFT(C183,3)="BKK",N183="RF",Q183="KTS"),1,0)+IF(Q183="KHS",1,0)</f>
        <v>3</v>
      </c>
      <c r="AE183" s="63">
        <f>(T183-V183)+1</f>
        <v>46304</v>
      </c>
      <c r="AF183" s="63">
        <f>IF(AB183&gt;IF((V183-W183)&gt;0,V183-W183,0),0,IF(AB183&lt;IF((V183-W183)&gt;0,V183-W183,0),IF((V183-W183)&gt;0,V183-W183,0)-AB183,IF((V183-W183)&gt;0,V183-W183,0)))</f>
        <v>0</v>
      </c>
      <c r="AG183" s="187">
        <f>IF(AND(M183=""),IF(R183="20'",
VLOOKUP(AF183,Charge!$K$31:$M$34,2,TRUE)+(AF183-VLOOKUP(AF183,Charge!$K$31:$M$34,1,TRUE))*VLOOKUP(AF183,Charge!$K$31:$M$34,3,TRUE),
VLOOKUP(AF183,Charge!$N$31:$P$34,2,TRUE)+(AF183-VLOOKUP(AF183,Charge!$N$31:$P$34,1,TRUE))*VLOOKUP(AF183,Charge!$N$31:$P$34,3,TRUE)),
IF(AND(M183="DG"),IF(R183="20'",
VLOOKUP(AF183,Charge!$R$31:$T$34,2,TRUE)+(AF183-VLOOKUP(AF183,Charge!$R$31:$T$34,1,TRUE))*VLOOKUP(AF183,Charge!$R$31:$T$34,3,TRUE),
VLOOKUP(AF183,Charge!$U$31:$W$34,2,TRUE)+(AF183-VLOOKUP(AF183,Charge!$U$31:$W$34,1,TRUE))*VLOOKUP(AF183,Charge!$U$31:$W$34,3,TRUE)),0))</f>
        <v>0</v>
      </c>
      <c r="AH183" s="65" t="n"/>
      <c r="AI183" s="65">
        <f>AA183-AH183</f>
        <v>1280</v>
      </c>
      <c r="AJ183" s="188" t="n"/>
      <c r="AK183" s="62" t="str">
        <f>VLOOKUP(D183,'2.Bookinglist'!A:CT,40,FALSE)</f>
        <v>Insuk Heo</v>
      </c>
      <c r="AL183" s="60" t="str">
        <f>VLOOKUP(D183,'2.Bookinglist'!A:CW,101,FALSE)</f>
        <v>2026-10-05</v>
      </c>
      <c r="AM183" s="60" t="str">
        <f>VLOOKUP(D183,'2.Bookinglist'!A:BK,63,FALSE)</f>
        <v>BKK27</v>
      </c>
      <c r="AN183" s="62" t="str">
        <f>VLOOKUP(D183,'2.Bookinglist'!A:AZ,52,FALSE)</f>
        <v>[FIX][FIX][FIX]CY-RTN :30-02/10/2026 (TEMP : +20'C / VENT CLOSE)
CLS TIME DD.03/10/2026 @ 23.59 *1ST RETURN CNTR DD.02/10/2026 WITHOUT CHARGE*
ORDER NO: GT-743812</v>
      </c>
      <c r="AO183" s="62">
        <f>VLOOKUP(D183,'2.Bookinglist'!A:CY,103,FALSE)</f>
        <v>0</v>
      </c>
    </row>
    <row r="184" ht="12.95" customHeight="1">
      <c r="A184" s="96" t="inlineStr">
        <is>
          <t>SZLU9373250</t>
        </is>
      </c>
      <c r="B184" s="184" t="str">
        <f>IF(C184=Charge!$M$1,Charge!$J$1,IF(C184=Charge!$M$23,Charge!$J$23,IF(C184=Charge!$M$17,Charge!$J$17,IF(C184=Charge!$N$17,Charge!$J$17,Charge!$J$7))))</f>
        <v>G3</v>
      </c>
      <c r="C184" s="61" t="str">
        <f>VLOOKUP(A184,'1.Loading'!A:R,14,FALSE)</f>
        <v>BKK04</v>
      </c>
      <c r="D184" s="61" t="str">
        <f>VLOOKUP(A184,'1.Loading'!A:R,17,FALSE)</f>
        <v>HASLS22260901105</v>
      </c>
      <c r="E184" s="62" t="str">
        <f>VLOOKUP(D184,'2.Bookinglist'!A:CT,27,FALSE)</f>
        <v>LAND SEA SKY CO., LTD.</v>
      </c>
      <c r="F184" s="62" t="str">
        <f>VLOOKUP(D184,'2.Bookinglist'!A:CT,28,FALSE)</f>
        <v>SAHA FARMS  INTERNATIONAL CO LTD</v>
      </c>
      <c r="G184" s="60">
        <f>VLOOKUP(D184,'2.Bookinglist'!A:E,5,FALSE)</f>
        <v>0</v>
      </c>
      <c r="H184" s="61" t="str">
        <f>VLOOKUP(D184,'2.Bookinglist'!A:CT,15,FALSE)</f>
        <v>THBKK</v>
      </c>
      <c r="I184" s="61" t="str">
        <f>VLOOKUP(D184,'2.Bookinglist'!A:CT,19,FALSE)</f>
        <v>KRPTK</v>
      </c>
      <c r="J184" s="61">
        <f>VLOOKUP(D184,'2.Bookinglist'!A:CT,26,FALSE)</f>
        <v>0</v>
      </c>
      <c r="K184" s="61" t="str">
        <f>VLOOKUP(A184,'1.Loading'!A:R,5,FALSE)</f>
        <v>45RE</v>
      </c>
      <c r="L184" s="60" t="str">
        <f>VLOOKUP(D184,'2.Bookinglist'!A:CT,85,FALSE)</f>
        <v>CY/CY</v>
      </c>
      <c r="M184" s="60" t="str">
        <f>IF(VLOOKUP(D184,'2.Bookinglist'!A:CT,43,FALSE)=0,"","DG")</f>
        <v/>
      </c>
      <c r="N184" s="60" t="str">
        <f>IF(RIGHT(K184,2)="RE","RF","")</f>
        <v>RF</v>
      </c>
      <c r="O184" s="61" t="str">
        <f>VLOOKUP(A184,'1.Loading'!A:R,3,FALSE)</f>
        <v>SWSP</v>
      </c>
      <c r="P184" s="61" t="str">
        <f>VLOOKUP(A184,'1.Loading'!A:R,4,FALSE)</f>
        <v>2609N</v>
      </c>
      <c r="Q184" s="61" t="str">
        <f>VLOOKUP(D184,'2.Bookinglist'!A:CT,12,FALSE)</f>
        <v>BTS</v>
      </c>
      <c r="R184" s="60" t="str">
        <f>IF(LEFT(K184,2)="22","20'","40'")</f>
        <v>40'</v>
      </c>
      <c r="S184" s="185" t="n"/>
      <c r="T184" s="61" t="str">
        <f>VLOOKUP(A184,'1.Loading'!A:R,2,FALSE)</f>
        <v>2026-10-08</v>
      </c>
      <c r="U184" s="63">
        <f>T184-S184</f>
        <v>46303</v>
      </c>
      <c r="V184" s="186" t="n"/>
      <c r="W184" s="61" t="str">
        <f>VLOOKUP(A184,'3.GateMove'!A:D,4,FALSE)</f>
        <v>2026-10-02</v>
      </c>
      <c r="X184" s="63">
        <f>((T184-W184)+1)</f>
        <v>7</v>
      </c>
      <c r="Y184" s="64">
        <f>IF(AND(OR(C184="BKK01",C184="BKK04"),L184="CFS/CY"),0,IF(M184="DG",1,IF(LEFT(C184,3)="LCH",7,IF(C184="BKK02",5,3))))</f>
        <v>3</v>
      </c>
      <c r="Z184" s="63">
        <f>IF(IF(AND(AC184="TML",AB184&gt;0),((T184-W184)+1)-AB184,((T184-W184)+1)-Y184)&gt;0,IF(AND(AC184="TML",AB184&gt;0),((T184-W184)+1)-AB184,((T184-W184)+1)-Y184),0)</f>
        <v>4</v>
      </c>
      <c r="AA184" s="187">
        <f>IF(AND(B184="G1",M184=""),IF(R184="20'",
VLOOKUP(Z184,Charge!$K$2:$M$5,2,TRUE)+(Z184-VLOOKUP(Z184,Charge!$K$2:$M$5,1,TRUE))*VLOOKUP(Z184,Charge!$K$2:$M$5,3,TRUE),
VLOOKUP(Z184,Charge!$N$2:$P$5,2,TRUE)+(Z184-VLOOKUP(Z184,Charge!$N$2:$P$5,1,TRUE))*VLOOKUP(Z184,Charge!$N$2:$P$5,3,TRUE)),
IF(AND(B184="G1",M184="DG"),IF(R184="20'",
VLOOKUP(Z184,Charge!$R$2:$T$5,2,TRUE)+(Z184-VLOOKUP(Z184,Charge!$R$2:$T$5,1,TRUE))*VLOOKUP(Z184,Charge!$R$2:$T$5,3,TRUE),
VLOOKUP(Z184,Charge!$U$2:$W$5,2,TRUE)+(Z184-VLOOKUP(Z184,Charge!$U$2:$W$5,1,TRUE))*VLOOKUP(Z184,Charge!$U$2:$W$5,3,TRUE)),
IF(AND(B184="G3",M184=""),IF(R184="20'",
VLOOKUP(Z184,Charge!$K$18:$M$21,2,TRUE)+(Z184-VLOOKUP(Z184,Charge!$K$18:$M$21,1,TRUE))*VLOOKUP(Z184,Charge!$K$18:$M$21,3,TRUE),
VLOOKUP(Z184,Charge!$N$18:$P$21,2,TRUE)+(Z184-VLOOKUP(Z184,Charge!$N$18:$P$21,1,TRUE))*VLOOKUP(Z184,Charge!$N$18:$P$21,3,TRUE)),
IF(AND(B184="G3",M184="DG"),IF(R184="20'",
VLOOKUP(Z184,Charge!$R$18:$T$21,2,TRUE)+(Z184-VLOOKUP(Z184,Charge!$R$18:$T$21,1,TRUE))*VLOOKUP(Z184,Charge!$R$18:$T$21,3,TRUE),
VLOOKUP(Z184,Charge!$U$18:$W$21,2,TRUE)+(Z184-VLOOKUP(Z184,Charge!$U$18:$W$21,1,TRUE))*VLOOKUP(Z184,Charge!$U$18:$W$21,3,TRUE)),
IF(AND(B184="G2",M184=""),IF(R184="20'",
VLOOKUP(Z184,Charge!$K$9:$M$12,2,TRUE)+(Z184-VLOOKUP(Z184,Charge!$K$9:$M$12,1,TRUE))*VLOOKUP(Z184,Charge!$K$9:$M$12,3,TRUE),
VLOOKUP(Z184,Charge!$N$9:$P$12,2,TRUE)+(Z184-VLOOKUP(Z184,Charge!$N$9:$P$12,1,TRUE))*VLOOKUP(Z184,Charge!$N$9:$P$12,3,TRUE)),
IF(AND(B184="G2",M184="DG"),IF(R184="20'",
VLOOKUP(Z184,Charge!$R$9:$T$12,2,TRUE)+(Z184-VLOOKUP(Z184,Charge!$R$9:$T$12,1,TRUE))*VLOOKUP(Z184,Charge!$R$9:$T$12,3,TRUE),
VLOOKUP(Z184,Charge!$U$9:$W$12,2,TRUE)+(Z184-VLOOKUP(Z184,Charge!$U$9:$W$12,1,TRUE))*VLOOKUP(Z184,Charge!$U$9:$W$12,3,TRUE)),IF(AND(B184="G4",M184=""),IF(R184="20'",Z184*Charge!$M$25,Z184*Charge!$P$25),IF(AND(B184="G4",M184="DG"),IF(R184="20'",Z184*Charge!$T$25,Z184*Charge!$W$25),0))))))))</f>
        <v>1280</v>
      </c>
      <c r="AB184" s="184" t="n"/>
      <c r="AC184" s="184" t="n"/>
      <c r="AD184" s="60">
        <f>IF(M184="DG",3,IF(N184="RF",3,5))+IF(AND(LEFT(C184,3)="BKK",N184="RF",Q184="KTS"),1,0)+IF(Q184="KHS",1,0)</f>
        <v>3</v>
      </c>
      <c r="AE184" s="63">
        <f>(T184-V184)+1</f>
        <v>46304</v>
      </c>
      <c r="AF184" s="63">
        <f>IF(AB184&gt;IF((V184-W184)&gt;0,V184-W184,0),0,IF(AB184&lt;IF((V184-W184)&gt;0,V184-W184,0),IF((V184-W184)&gt;0,V184-W184,0)-AB184,IF((V184-W184)&gt;0,V184-W184,0)))</f>
        <v>0</v>
      </c>
      <c r="AG184" s="187">
        <f>IF(AND(M184=""),IF(R184="20'",
VLOOKUP(AF184,Charge!$K$31:$M$34,2,TRUE)+(AF184-VLOOKUP(AF184,Charge!$K$31:$M$34,1,TRUE))*VLOOKUP(AF184,Charge!$K$31:$M$34,3,TRUE),
VLOOKUP(AF184,Charge!$N$31:$P$34,2,TRUE)+(AF184-VLOOKUP(AF184,Charge!$N$31:$P$34,1,TRUE))*VLOOKUP(AF184,Charge!$N$31:$P$34,3,TRUE)),
IF(AND(M184="DG"),IF(R184="20'",
VLOOKUP(AF184,Charge!$R$31:$T$34,2,TRUE)+(AF184-VLOOKUP(AF184,Charge!$R$31:$T$34,1,TRUE))*VLOOKUP(AF184,Charge!$R$31:$T$34,3,TRUE),
VLOOKUP(AF184,Charge!$U$31:$W$34,2,TRUE)+(AF184-VLOOKUP(AF184,Charge!$U$31:$W$34,1,TRUE))*VLOOKUP(AF184,Charge!$U$31:$W$34,3,TRUE)),0))</f>
        <v>0</v>
      </c>
      <c r="AH184" s="65" t="n"/>
      <c r="AI184" s="65">
        <f>AA184-AH184</f>
        <v>1280</v>
      </c>
      <c r="AJ184" s="188" t="n"/>
      <c r="AK184" s="62" t="str">
        <f>VLOOKUP(D184,'2.Bookinglist'!A:CT,40,FALSE)</f>
        <v>Sukunpoj Damrongying</v>
      </c>
      <c r="AL184" s="60" t="str">
        <f>VLOOKUP(D184,'2.Bookinglist'!A:CW,101,FALSE)</f>
        <v>2026-10-05</v>
      </c>
      <c r="AM184" s="60" t="str">
        <f>VLOOKUP(D184,'2.Bookinglist'!A:BK,63,FALSE)</f>
        <v>BKK27</v>
      </c>
      <c r="AN184" s="62" t="str">
        <f>VLOOKUP(D184,'2.Bookinglist'!A:AZ,52,FALSE)</f>
        <v>Pickup : 2026-09-30, Return : 2026-10-02 RF45REx1 (Temp -18.0 / Vent Close) 
CLS TIME : 03/10/26 @23.59 (1ST DATE RTN 02/10/2026 W/O ELECTRIC)</v>
      </c>
      <c r="AO184" s="62">
        <f>VLOOKUP(D184,'2.Bookinglist'!A:CY,103,FALSE)</f>
        <v>0</v>
      </c>
    </row>
    <row r="185" ht="12.95" customHeight="1">
      <c r="A185" s="96" t="inlineStr">
        <is>
          <t>TCKU1493263</t>
        </is>
      </c>
      <c r="B185" s="184" t="str">
        <f>IF(C185=Charge!$M$1,Charge!$J$1,IF(C185=Charge!$M$23,Charge!$J$23,IF(C185=Charge!$M$17,Charge!$J$17,IF(C185=Charge!$N$17,Charge!$J$17,Charge!$J$7))))</f>
        <v>G3</v>
      </c>
      <c r="C185" s="61" t="str">
        <f>VLOOKUP(A185,'1.Loading'!A:R,14,FALSE)</f>
        <v>BKK04</v>
      </c>
      <c r="D185" s="61" t="str">
        <f>VLOOKUP(A185,'1.Loading'!A:R,17,FALSE)</f>
        <v>HASLS22260901598</v>
      </c>
      <c r="E185" s="62" t="str">
        <f>VLOOKUP(D185,'2.Bookinglist'!A:CT,27,FALSE)</f>
        <v>C.P. INTERTRADE CO., LTD.</v>
      </c>
      <c r="F185" s="62" t="str">
        <f>VLOOKUP(D185,'2.Bookinglist'!A:CT,28,FALSE)</f>
        <v>CHAROEN POKPHAND PRODUCE CO., LTD.</v>
      </c>
      <c r="G185" s="60">
        <f>VLOOKUP(D185,'2.Bookinglist'!A:E,5,FALSE)</f>
        <v>0</v>
      </c>
      <c r="H185" s="61" t="str">
        <f>VLOOKUP(D185,'2.Bookinglist'!A:CT,15,FALSE)</f>
        <v>THBKK</v>
      </c>
      <c r="I185" s="61" t="str">
        <f>VLOOKUP(D185,'2.Bookinglist'!A:CT,19,FALSE)</f>
        <v>VNSGN</v>
      </c>
      <c r="J185" s="61">
        <f>VLOOKUP(D185,'2.Bookinglist'!A:CT,26,FALSE)</f>
        <v>0</v>
      </c>
      <c r="K185" s="61" t="str">
        <f>VLOOKUP(A185,'1.Loading'!A:R,5,FALSE)</f>
        <v>22GP</v>
      </c>
      <c r="L185" s="60" t="str">
        <f>VLOOKUP(D185,'2.Bookinglist'!A:CT,85,FALSE)</f>
        <v>CY/CY</v>
      </c>
      <c r="M185" s="60" t="str">
        <f>IF(VLOOKUP(D185,'2.Bookinglist'!A:CT,43,FALSE)=0,"","DG")</f>
        <v/>
      </c>
      <c r="N185" s="60" t="str">
        <f>IF(RIGHT(K185,2)="RE","RF","")</f>
        <v/>
      </c>
      <c r="O185" s="61" t="str">
        <f>VLOOKUP(A185,'1.Loading'!A:R,3,FALSE)</f>
        <v>SWSP</v>
      </c>
      <c r="P185" s="61" t="str">
        <f>VLOOKUP(A185,'1.Loading'!A:R,4,FALSE)</f>
        <v>2609N</v>
      </c>
      <c r="Q185" s="61" t="str">
        <f>VLOOKUP(D185,'2.Bookinglist'!A:CT,12,FALSE)</f>
        <v>BTS</v>
      </c>
      <c r="R185" s="60" t="str">
        <f>IF(LEFT(K185,2)="22","20'","40'")</f>
        <v>20'</v>
      </c>
      <c r="S185" s="185" t="n"/>
      <c r="T185" s="61" t="str">
        <f>VLOOKUP(A185,'1.Loading'!A:R,2,FALSE)</f>
        <v>2026-10-08</v>
      </c>
      <c r="U185" s="63">
        <f>T185-S185</f>
        <v>46303</v>
      </c>
      <c r="V185" s="186" t="n"/>
      <c r="W185" s="61" t="str">
        <f>VLOOKUP(A185,'3.GateMove'!A:D,4,FALSE)</f>
        <v>2026-10-02</v>
      </c>
      <c r="X185" s="63">
        <f>((T185-W185)+1)</f>
        <v>7</v>
      </c>
      <c r="Y185" s="64">
        <f>IF(AND(OR(C185="BKK01",C185="BKK04"),L185="CFS/CY"),0,IF(M185="DG",1,IF(LEFT(C185,3)="LCH",7,IF(C185="BKK02",5,3))))</f>
        <v>3</v>
      </c>
      <c r="Z185" s="63">
        <f>IF(IF(AND(AC185="TML",AB185&gt;0),((T185-W185)+1)-AB185,((T185-W185)+1)-Y185)&gt;0,IF(AND(AC185="TML",AB185&gt;0),((T185-W185)+1)-AB185,((T185-W185)+1)-Y185),0)</f>
        <v>4</v>
      </c>
      <c r="AA185" s="187">
        <f>IF(AND(B185="G1",M185=""),IF(R185="20'",
VLOOKUP(Z185,Charge!$K$2:$M$5,2,TRUE)+(Z185-VLOOKUP(Z185,Charge!$K$2:$M$5,1,TRUE))*VLOOKUP(Z185,Charge!$K$2:$M$5,3,TRUE),
VLOOKUP(Z185,Charge!$N$2:$P$5,2,TRUE)+(Z185-VLOOKUP(Z185,Charge!$N$2:$P$5,1,TRUE))*VLOOKUP(Z185,Charge!$N$2:$P$5,3,TRUE)),
IF(AND(B185="G1",M185="DG"),IF(R185="20'",
VLOOKUP(Z185,Charge!$R$2:$T$5,2,TRUE)+(Z185-VLOOKUP(Z185,Charge!$R$2:$T$5,1,TRUE))*VLOOKUP(Z185,Charge!$R$2:$T$5,3,TRUE),
VLOOKUP(Z185,Charge!$U$2:$W$5,2,TRUE)+(Z185-VLOOKUP(Z185,Charge!$U$2:$W$5,1,TRUE))*VLOOKUP(Z185,Charge!$U$2:$W$5,3,TRUE)),
IF(AND(B185="G3",M185=""),IF(R185="20'",
VLOOKUP(Z185,Charge!$K$18:$M$21,2,TRUE)+(Z185-VLOOKUP(Z185,Charge!$K$18:$M$21,1,TRUE))*VLOOKUP(Z185,Charge!$K$18:$M$21,3,TRUE),
VLOOKUP(Z185,Charge!$N$18:$P$21,2,TRUE)+(Z185-VLOOKUP(Z185,Charge!$N$18:$P$21,1,TRUE))*VLOOKUP(Z185,Charge!$N$18:$P$21,3,TRUE)),
IF(AND(B185="G3",M185="DG"),IF(R185="20'",
VLOOKUP(Z185,Charge!$R$18:$T$21,2,TRUE)+(Z185-VLOOKUP(Z185,Charge!$R$18:$T$21,1,TRUE))*VLOOKUP(Z185,Charge!$R$18:$T$21,3,TRUE),
VLOOKUP(Z185,Charge!$U$18:$W$21,2,TRUE)+(Z185-VLOOKUP(Z185,Charge!$U$18:$W$21,1,TRUE))*VLOOKUP(Z185,Charge!$U$18:$W$21,3,TRUE)),
IF(AND(B185="G2",M185=""),IF(R185="20'",
VLOOKUP(Z185,Charge!$K$9:$M$12,2,TRUE)+(Z185-VLOOKUP(Z185,Charge!$K$9:$M$12,1,TRUE))*VLOOKUP(Z185,Charge!$K$9:$M$12,3,TRUE),
VLOOKUP(Z185,Charge!$N$9:$P$12,2,TRUE)+(Z185-VLOOKUP(Z185,Charge!$N$9:$P$12,1,TRUE))*VLOOKUP(Z185,Charge!$N$9:$P$12,3,TRUE)),
IF(AND(B185="G2",M185="DG"),IF(R185="20'",
VLOOKUP(Z185,Charge!$R$9:$T$12,2,TRUE)+(Z185-VLOOKUP(Z185,Charge!$R$9:$T$12,1,TRUE))*VLOOKUP(Z185,Charge!$R$9:$T$12,3,TRUE),
VLOOKUP(Z185,Charge!$U$9:$W$12,2,TRUE)+(Z185-VLOOKUP(Z185,Charge!$U$9:$W$12,1,TRUE))*VLOOKUP(Z185,Charge!$U$9:$W$12,3,TRUE)),IF(AND(B185="G4",M185=""),IF(R185="20'",Z185*Charge!$M$25,Z185*Charge!$P$25),IF(AND(B185="G4",M185="DG"),IF(R185="20'",Z185*Charge!$T$25,Z185*Charge!$W$25),0))))))))</f>
        <v>640</v>
      </c>
      <c r="AB185" s="184" t="n"/>
      <c r="AC185" s="184" t="n"/>
      <c r="AD185" s="60">
        <f>IF(M185="DG",3,IF(N185="RF",3,5))+IF(AND(LEFT(C185,3)="BKK",N185="RF",Q185="KTS"),1,0)+IF(Q185="KHS",1,0)</f>
        <v>5</v>
      </c>
      <c r="AE185" s="63">
        <f>(T185-V185)+1</f>
        <v>46304</v>
      </c>
      <c r="AF185" s="63">
        <f>IF(AB185&gt;IF((V185-W185)&gt;0,V185-W185,0),0,IF(AB185&lt;IF((V185-W185)&gt;0,V185-W185,0),IF((V185-W185)&gt;0,V185-W185,0)-AB185,IF((V185-W185)&gt;0,V185-W185,0)))</f>
        <v>0</v>
      </c>
      <c r="AG185" s="187">
        <f>IF(AND(M185=""),IF(R185="20'",
VLOOKUP(AF185,Charge!$K$31:$M$34,2,TRUE)+(AF185-VLOOKUP(AF185,Charge!$K$31:$M$34,1,TRUE))*VLOOKUP(AF185,Charge!$K$31:$M$34,3,TRUE),
VLOOKUP(AF185,Charge!$N$31:$P$34,2,TRUE)+(AF185-VLOOKUP(AF185,Charge!$N$31:$P$34,1,TRUE))*VLOOKUP(AF185,Charge!$N$31:$P$34,3,TRUE)),
IF(AND(M185="DG"),IF(R185="20'",
VLOOKUP(AF185,Charge!$R$31:$T$34,2,TRUE)+(AF185-VLOOKUP(AF185,Charge!$R$31:$T$34,1,TRUE))*VLOOKUP(AF185,Charge!$R$31:$T$34,3,TRUE),
VLOOKUP(AF185,Charge!$U$31:$W$34,2,TRUE)+(AF185-VLOOKUP(AF185,Charge!$U$31:$W$34,1,TRUE))*VLOOKUP(AF185,Charge!$U$31:$W$34,3,TRUE)),0))</f>
        <v>0</v>
      </c>
      <c r="AH185" s="65" t="n"/>
      <c r="AI185" s="65">
        <f>AA185-AH185</f>
        <v>640</v>
      </c>
      <c r="AJ185" s="188" t="n"/>
      <c r="AK185" s="62" t="str">
        <f>VLOOKUP(D185,'2.Bookinglist'!A:CT,40,FALSE)</f>
        <v>Vilaiporn</v>
      </c>
      <c r="AL185" s="60" t="str">
        <f>VLOOKUP(D185,'2.Bookinglist'!A:CW,101,FALSE)</f>
        <v>2026-10-07</v>
      </c>
      <c r="AM185" s="60" t="str">
        <f>VLOOKUP(D185,'2.Bookinglist'!A:BK,63,FALSE)</f>
        <v>BKK27</v>
      </c>
      <c r="AN185" s="62" t="str">
        <f>VLOOKUP(D185,'2.Bookinglist'!A:AZ,52,FALSE)</f>
        <v>Pickup : 2026-10-01, Return : 2026-10-02</v>
      </c>
      <c r="AO185" s="62">
        <f>VLOOKUP(D185,'2.Bookinglist'!A:CY,103,FALSE)</f>
        <v>0</v>
      </c>
    </row>
    <row r="186" ht="12.95" customHeight="1">
      <c r="A186" s="96" t="inlineStr">
        <is>
          <t>TCLU1556939</t>
        </is>
      </c>
      <c r="B186" s="184" t="str">
        <f>IF(C186=Charge!$M$1,Charge!$J$1,IF(C186=Charge!$M$23,Charge!$J$23,IF(C186=Charge!$M$17,Charge!$J$17,IF(C186=Charge!$N$17,Charge!$J$17,Charge!$J$7))))</f>
        <v>G3</v>
      </c>
      <c r="C186" s="61" t="str">
        <f>VLOOKUP(A186,'1.Loading'!A:R,14,FALSE)</f>
        <v>BKK04</v>
      </c>
      <c r="D186" s="61" t="str">
        <f>VLOOKUP(A186,'1.Loading'!A:R,17,FALSE)</f>
        <v>HASLS22260902260</v>
      </c>
      <c r="E186" s="62" t="str">
        <f>VLOOKUP(D186,'2.Bookinglist'!A:CT,27,FALSE)</f>
        <v>CAPRICORN LOGISTICS CO., LTD.</v>
      </c>
      <c r="F186" s="62" t="str">
        <f>VLOOKUP(D186,'2.Bookinglist'!A:CT,28,FALSE)</f>
        <v>MITSUBISHI HEAVY INDUSTRIES - MAHAJAK AIR CONDITIONERS CO., </v>
      </c>
      <c r="G186" s="60">
        <f>VLOOKUP(D186,'2.Bookinglist'!A:E,5,FALSE)</f>
        <v>0</v>
      </c>
      <c r="H186" s="61" t="str">
        <f>VLOOKUP(D186,'2.Bookinglist'!A:CT,15,FALSE)</f>
        <v>THBKK</v>
      </c>
      <c r="I186" s="61" t="str">
        <f>VLOOKUP(D186,'2.Bookinglist'!A:CT,19,FALSE)</f>
        <v>VNSGN</v>
      </c>
      <c r="J186" s="61">
        <f>VLOOKUP(D186,'2.Bookinglist'!A:CT,26,FALSE)</f>
        <v>0</v>
      </c>
      <c r="K186" s="61" t="str">
        <f>VLOOKUP(A186,'1.Loading'!A:R,5,FALSE)</f>
        <v>45GP</v>
      </c>
      <c r="L186" s="60" t="str">
        <f>VLOOKUP(D186,'2.Bookinglist'!A:CT,85,FALSE)</f>
        <v>CY/CY</v>
      </c>
      <c r="M186" s="60" t="str">
        <f>IF(VLOOKUP(D186,'2.Bookinglist'!A:CT,43,FALSE)=0,"","DG")</f>
        <v/>
      </c>
      <c r="N186" s="60" t="str">
        <f>IF(RIGHT(K186,2)="RE","RF","")</f>
        <v/>
      </c>
      <c r="O186" s="61" t="str">
        <f>VLOOKUP(A186,'1.Loading'!A:R,3,FALSE)</f>
        <v>SWSP</v>
      </c>
      <c r="P186" s="61" t="str">
        <f>VLOOKUP(A186,'1.Loading'!A:R,4,FALSE)</f>
        <v>2609N</v>
      </c>
      <c r="Q186" s="61" t="str">
        <f>VLOOKUP(D186,'2.Bookinglist'!A:CT,12,FALSE)</f>
        <v>BTS</v>
      </c>
      <c r="R186" s="60" t="str">
        <f>IF(LEFT(K186,2)="22","20'","40'")</f>
        <v>40'</v>
      </c>
      <c r="S186" s="185" t="n"/>
      <c r="T186" s="61" t="str">
        <f>VLOOKUP(A186,'1.Loading'!A:R,2,FALSE)</f>
        <v>2026-10-08</v>
      </c>
      <c r="U186" s="63">
        <f>T186-S186</f>
        <v>46303</v>
      </c>
      <c r="V186" s="186" t="n"/>
      <c r="W186" s="61" t="str">
        <f>VLOOKUP(A186,'3.GateMove'!A:D,4,FALSE)</f>
        <v>2026-10-03</v>
      </c>
      <c r="X186" s="63">
        <f>((T186-W186)+1)</f>
        <v>6</v>
      </c>
      <c r="Y186" s="64">
        <f>IF(AND(OR(C186="BKK01",C186="BKK04"),L186="CFS/CY"),0,IF(M186="DG",1,IF(LEFT(C186,3)="LCH",7,IF(C186="BKK02",5,3))))</f>
        <v>3</v>
      </c>
      <c r="Z186" s="63">
        <f>IF(IF(AND(AC186="TML",AB186&gt;0),((T186-W186)+1)-AB186,((T186-W186)+1)-Y186)&gt;0,IF(AND(AC186="TML",AB186&gt;0),((T186-W186)+1)-AB186,((T186-W186)+1)-Y186),0)</f>
        <v>3</v>
      </c>
      <c r="AA186" s="187">
        <f>IF(AND(B186="G1",M186=""),IF(R186="20'",
VLOOKUP(Z186,Charge!$K$2:$M$5,2,TRUE)+(Z186-VLOOKUP(Z186,Charge!$K$2:$M$5,1,TRUE))*VLOOKUP(Z186,Charge!$K$2:$M$5,3,TRUE),
VLOOKUP(Z186,Charge!$N$2:$P$5,2,TRUE)+(Z186-VLOOKUP(Z186,Charge!$N$2:$P$5,1,TRUE))*VLOOKUP(Z186,Charge!$N$2:$P$5,3,TRUE)),
IF(AND(B186="G1",M186="DG"),IF(R186="20'",
VLOOKUP(Z186,Charge!$R$2:$T$5,2,TRUE)+(Z186-VLOOKUP(Z186,Charge!$R$2:$T$5,1,TRUE))*VLOOKUP(Z186,Charge!$R$2:$T$5,3,TRUE),
VLOOKUP(Z186,Charge!$U$2:$W$5,2,TRUE)+(Z186-VLOOKUP(Z186,Charge!$U$2:$W$5,1,TRUE))*VLOOKUP(Z186,Charge!$U$2:$W$5,3,TRUE)),
IF(AND(B186="G3",M186=""),IF(R186="20'",
VLOOKUP(Z186,Charge!$K$18:$M$21,2,TRUE)+(Z186-VLOOKUP(Z186,Charge!$K$18:$M$21,1,TRUE))*VLOOKUP(Z186,Charge!$K$18:$M$21,3,TRUE),
VLOOKUP(Z186,Charge!$N$18:$P$21,2,TRUE)+(Z186-VLOOKUP(Z186,Charge!$N$18:$P$21,1,TRUE))*VLOOKUP(Z186,Charge!$N$18:$P$21,3,TRUE)),
IF(AND(B186="G3",M186="DG"),IF(R186="20'",
VLOOKUP(Z186,Charge!$R$18:$T$21,2,TRUE)+(Z186-VLOOKUP(Z186,Charge!$R$18:$T$21,1,TRUE))*VLOOKUP(Z186,Charge!$R$18:$T$21,3,TRUE),
VLOOKUP(Z186,Charge!$U$18:$W$21,2,TRUE)+(Z186-VLOOKUP(Z186,Charge!$U$18:$W$21,1,TRUE))*VLOOKUP(Z186,Charge!$U$18:$W$21,3,TRUE)),
IF(AND(B186="G2",M186=""),IF(R186="20'",
VLOOKUP(Z186,Charge!$K$9:$M$12,2,TRUE)+(Z186-VLOOKUP(Z186,Charge!$K$9:$M$12,1,TRUE))*VLOOKUP(Z186,Charge!$K$9:$M$12,3,TRUE),
VLOOKUP(Z186,Charge!$N$9:$P$12,2,TRUE)+(Z186-VLOOKUP(Z186,Charge!$N$9:$P$12,1,TRUE))*VLOOKUP(Z186,Charge!$N$9:$P$12,3,TRUE)),
IF(AND(B186="G2",M186="DG"),IF(R186="20'",
VLOOKUP(Z186,Charge!$R$9:$T$12,2,TRUE)+(Z186-VLOOKUP(Z186,Charge!$R$9:$T$12,1,TRUE))*VLOOKUP(Z186,Charge!$R$9:$T$12,3,TRUE),
VLOOKUP(Z186,Charge!$U$9:$W$12,2,TRUE)+(Z186-VLOOKUP(Z186,Charge!$U$9:$W$12,1,TRUE))*VLOOKUP(Z186,Charge!$U$9:$W$12,3,TRUE)),IF(AND(B186="G4",M186=""),IF(R186="20'",Z186*Charge!$M$25,Z186*Charge!$P$25),IF(AND(B186="G4",M186="DG"),IF(R186="20'",Z186*Charge!$T$25,Z186*Charge!$W$25),0))))))))</f>
        <v>960</v>
      </c>
      <c r="AB186" s="184" t="n"/>
      <c r="AC186" s="184" t="n"/>
      <c r="AD186" s="60">
        <f>IF(M186="DG",3,IF(N186="RF",3,5))+IF(AND(LEFT(C186,3)="BKK",N186="RF",Q186="KTS"),1,0)+IF(Q186="KHS",1,0)</f>
        <v>5</v>
      </c>
      <c r="AE186" s="63">
        <f>(T186-V186)+1</f>
        <v>46304</v>
      </c>
      <c r="AF186" s="63">
        <f>IF(AB186&gt;IF((V186-W186)&gt;0,V186-W186,0),0,IF(AB186&lt;IF((V186-W186)&gt;0,V186-W186,0),IF((V186-W186)&gt;0,V186-W186,0)-AB186,IF((V186-W186)&gt;0,V186-W186,0)))</f>
        <v>0</v>
      </c>
      <c r="AG186" s="187">
        <f>IF(AND(M186=""),IF(R186="20'",
VLOOKUP(AF186,Charge!$K$31:$M$34,2,TRUE)+(AF186-VLOOKUP(AF186,Charge!$K$31:$M$34,1,TRUE))*VLOOKUP(AF186,Charge!$K$31:$M$34,3,TRUE),
VLOOKUP(AF186,Charge!$N$31:$P$34,2,TRUE)+(AF186-VLOOKUP(AF186,Charge!$N$31:$P$34,1,TRUE))*VLOOKUP(AF186,Charge!$N$31:$P$34,3,TRUE)),
IF(AND(M186="DG"),IF(R186="20'",
VLOOKUP(AF186,Charge!$R$31:$T$34,2,TRUE)+(AF186-VLOOKUP(AF186,Charge!$R$31:$T$34,1,TRUE))*VLOOKUP(AF186,Charge!$R$31:$T$34,3,TRUE),
VLOOKUP(AF186,Charge!$U$31:$W$34,2,TRUE)+(AF186-VLOOKUP(AF186,Charge!$U$31:$W$34,1,TRUE))*VLOOKUP(AF186,Charge!$U$31:$W$34,3,TRUE)),0))</f>
        <v>0</v>
      </c>
      <c r="AH186" s="65" t="n"/>
      <c r="AI186" s="65">
        <f>AA186-AH186</f>
        <v>960</v>
      </c>
      <c r="AJ186" s="188" t="n"/>
      <c r="AK186" s="62" t="str">
        <f>VLOOKUP(D186,'2.Bookinglist'!A:CT,40,FALSE)</f>
        <v>Sukunpoj Damrongying</v>
      </c>
      <c r="AL186" s="60" t="str">
        <f>VLOOKUP(D186,'2.Bookinglist'!A:CW,101,FALSE)</f>
        <v>2026-10-07</v>
      </c>
      <c r="AM186" s="60" t="str">
        <f>VLOOKUP(D186,'2.Bookinglist'!A:BK,63,FALSE)</f>
        <v>BKK27</v>
      </c>
      <c r="AN186" s="62" t="str">
        <f>VLOOKUP(D186,'2.Bookinglist'!A:AZ,52,FALSE)</f>
        <v>Pickup : 2026-09-29, Return : 2026-10-01 </v>
      </c>
      <c r="AO186" s="62">
        <f>VLOOKUP(D186,'2.Bookinglist'!A:CY,103,FALSE)</f>
        <v>0</v>
      </c>
    </row>
    <row r="187" ht="12.95" customHeight="1">
      <c r="A187" s="96" t="inlineStr">
        <is>
          <t>TEMU6540573</t>
        </is>
      </c>
      <c r="B187" s="184" t="str">
        <f>IF(C187=Charge!$M$1,Charge!$J$1,IF(C187=Charge!$M$23,Charge!$J$23,IF(C187=Charge!$M$17,Charge!$J$17,IF(C187=Charge!$N$17,Charge!$J$17,Charge!$J$7))))</f>
        <v>G3</v>
      </c>
      <c r="C187" s="61" t="str">
        <f>VLOOKUP(A187,'1.Loading'!A:R,14,FALSE)</f>
        <v>BKK04</v>
      </c>
      <c r="D187" s="61" t="str">
        <f>VLOOKUP(A187,'1.Loading'!A:R,17,FALSE)</f>
        <v>HASLS22260801164</v>
      </c>
      <c r="E187" s="62" t="str">
        <f>VLOOKUP(D187,'2.Bookinglist'!A:CT,27,FALSE)</f>
        <v>MAXTOP LOGISTICS (THAILAND) CO., LTD.</v>
      </c>
      <c r="F187" s="62" t="str">
        <f>VLOOKUP(D187,'2.Bookinglist'!A:CT,28,FALSE)</f>
        <v>FAD THAI LTD.,PART</v>
      </c>
      <c r="G187" s="60">
        <f>VLOOKUP(D187,'2.Bookinglist'!A:E,5,FALSE)</f>
        <v>0</v>
      </c>
      <c r="H187" s="61" t="str">
        <f>VLOOKUP(D187,'2.Bookinglist'!A:CT,15,FALSE)</f>
        <v>THBKK</v>
      </c>
      <c r="I187" s="61" t="str">
        <f>VLOOKUP(D187,'2.Bookinglist'!A:CT,19,FALSE)</f>
        <v>KRPTK</v>
      </c>
      <c r="J187" s="61">
        <f>VLOOKUP(D187,'2.Bookinglist'!A:CT,26,FALSE)</f>
        <v>0</v>
      </c>
      <c r="K187" s="61" t="str">
        <f>VLOOKUP(A187,'1.Loading'!A:R,5,FALSE)</f>
        <v>45GP</v>
      </c>
      <c r="L187" s="60" t="str">
        <f>VLOOKUP(D187,'2.Bookinglist'!A:CT,85,FALSE)</f>
        <v>CY/CY</v>
      </c>
      <c r="M187" s="60" t="str">
        <f>IF(VLOOKUP(D187,'2.Bookinglist'!A:CT,43,FALSE)=0,"","DG")</f>
        <v/>
      </c>
      <c r="N187" s="60" t="str">
        <f>IF(RIGHT(K187,2)="RE","RF","")</f>
        <v/>
      </c>
      <c r="O187" s="61" t="str">
        <f>VLOOKUP(A187,'1.Loading'!A:R,3,FALSE)</f>
        <v>SWSP</v>
      </c>
      <c r="P187" s="61" t="str">
        <f>VLOOKUP(A187,'1.Loading'!A:R,4,FALSE)</f>
        <v>2609N</v>
      </c>
      <c r="Q187" s="61" t="str">
        <f>VLOOKUP(D187,'2.Bookinglist'!A:CT,12,FALSE)</f>
        <v>BTS</v>
      </c>
      <c r="R187" s="60" t="str">
        <f>IF(LEFT(K187,2)="22","20'","40'")</f>
        <v>40'</v>
      </c>
      <c r="S187" s="185" t="n"/>
      <c r="T187" s="61" t="str">
        <f>VLOOKUP(A187,'1.Loading'!A:R,2,FALSE)</f>
        <v>2026-10-08</v>
      </c>
      <c r="U187" s="63">
        <f>T187-S187</f>
        <v>46303</v>
      </c>
      <c r="V187" s="186" t="n"/>
      <c r="W187" s="61" t="str">
        <f>VLOOKUP(A187,'3.GateMove'!A:D,4,FALSE)</f>
        <v>2026-10-03</v>
      </c>
      <c r="X187" s="63">
        <f>((T187-W187)+1)</f>
        <v>6</v>
      </c>
      <c r="Y187" s="64">
        <f>IF(AND(OR(C187="BKK01",C187="BKK04"),L187="CFS/CY"),0,IF(M187="DG",1,IF(LEFT(C187,3)="LCH",7,IF(C187="BKK02",5,3))))</f>
        <v>3</v>
      </c>
      <c r="Z187" s="63">
        <f>IF(IF(AND(AC187="TML",AB187&gt;0),((T187-W187)+1)-AB187,((T187-W187)+1)-Y187)&gt;0,IF(AND(AC187="TML",AB187&gt;0),((T187-W187)+1)-AB187,((T187-W187)+1)-Y187),0)</f>
        <v>3</v>
      </c>
      <c r="AA187" s="187">
        <f>IF(AND(B187="G1",M187=""),IF(R187="20'",
VLOOKUP(Z187,Charge!$K$2:$M$5,2,TRUE)+(Z187-VLOOKUP(Z187,Charge!$K$2:$M$5,1,TRUE))*VLOOKUP(Z187,Charge!$K$2:$M$5,3,TRUE),
VLOOKUP(Z187,Charge!$N$2:$P$5,2,TRUE)+(Z187-VLOOKUP(Z187,Charge!$N$2:$P$5,1,TRUE))*VLOOKUP(Z187,Charge!$N$2:$P$5,3,TRUE)),
IF(AND(B187="G1",M187="DG"),IF(R187="20'",
VLOOKUP(Z187,Charge!$R$2:$T$5,2,TRUE)+(Z187-VLOOKUP(Z187,Charge!$R$2:$T$5,1,TRUE))*VLOOKUP(Z187,Charge!$R$2:$T$5,3,TRUE),
VLOOKUP(Z187,Charge!$U$2:$W$5,2,TRUE)+(Z187-VLOOKUP(Z187,Charge!$U$2:$W$5,1,TRUE))*VLOOKUP(Z187,Charge!$U$2:$W$5,3,TRUE)),
IF(AND(B187="G3",M187=""),IF(R187="20'",
VLOOKUP(Z187,Charge!$K$18:$M$21,2,TRUE)+(Z187-VLOOKUP(Z187,Charge!$K$18:$M$21,1,TRUE))*VLOOKUP(Z187,Charge!$K$18:$M$21,3,TRUE),
VLOOKUP(Z187,Charge!$N$18:$P$21,2,TRUE)+(Z187-VLOOKUP(Z187,Charge!$N$18:$P$21,1,TRUE))*VLOOKUP(Z187,Charge!$N$18:$P$21,3,TRUE)),
IF(AND(B187="G3",M187="DG"),IF(R187="20'",
VLOOKUP(Z187,Charge!$R$18:$T$21,2,TRUE)+(Z187-VLOOKUP(Z187,Charge!$R$18:$T$21,1,TRUE))*VLOOKUP(Z187,Charge!$R$18:$T$21,3,TRUE),
VLOOKUP(Z187,Charge!$U$18:$W$21,2,TRUE)+(Z187-VLOOKUP(Z187,Charge!$U$18:$W$21,1,TRUE))*VLOOKUP(Z187,Charge!$U$18:$W$21,3,TRUE)),
IF(AND(B187="G2",M187=""),IF(R187="20'",
VLOOKUP(Z187,Charge!$K$9:$M$12,2,TRUE)+(Z187-VLOOKUP(Z187,Charge!$K$9:$M$12,1,TRUE))*VLOOKUP(Z187,Charge!$K$9:$M$12,3,TRUE),
VLOOKUP(Z187,Charge!$N$9:$P$12,2,TRUE)+(Z187-VLOOKUP(Z187,Charge!$N$9:$P$12,1,TRUE))*VLOOKUP(Z187,Charge!$N$9:$P$12,3,TRUE)),
IF(AND(B187="G2",M187="DG"),IF(R187="20'",
VLOOKUP(Z187,Charge!$R$9:$T$12,2,TRUE)+(Z187-VLOOKUP(Z187,Charge!$R$9:$T$12,1,TRUE))*VLOOKUP(Z187,Charge!$R$9:$T$12,3,TRUE),
VLOOKUP(Z187,Charge!$U$9:$W$12,2,TRUE)+(Z187-VLOOKUP(Z187,Charge!$U$9:$W$12,1,TRUE))*VLOOKUP(Z187,Charge!$U$9:$W$12,3,TRUE)),IF(AND(B187="G4",M187=""),IF(R187="20'",Z187*Charge!$M$25,Z187*Charge!$P$25),IF(AND(B187="G4",M187="DG"),IF(R187="20'",Z187*Charge!$T$25,Z187*Charge!$W$25),0))))))))</f>
        <v>960</v>
      </c>
      <c r="AB187" s="184" t="n"/>
      <c r="AC187" s="184" t="n"/>
      <c r="AD187" s="60">
        <f>IF(M187="DG",3,IF(N187="RF",3,5))+IF(AND(LEFT(C187,3)="BKK",N187="RF",Q187="KTS"),1,0)+IF(Q187="KHS",1,0)</f>
        <v>5</v>
      </c>
      <c r="AE187" s="63">
        <f>(T187-V187)+1</f>
        <v>46304</v>
      </c>
      <c r="AF187" s="63">
        <f>IF(AB187&gt;IF((V187-W187)&gt;0,V187-W187,0),0,IF(AB187&lt;IF((V187-W187)&gt;0,V187-W187,0),IF((V187-W187)&gt;0,V187-W187,0)-AB187,IF((V187-W187)&gt;0,V187-W187,0)))</f>
        <v>0</v>
      </c>
      <c r="AG187" s="187">
        <f>IF(AND(M187=""),IF(R187="20'",
VLOOKUP(AF187,Charge!$K$31:$M$34,2,TRUE)+(AF187-VLOOKUP(AF187,Charge!$K$31:$M$34,1,TRUE))*VLOOKUP(AF187,Charge!$K$31:$M$34,3,TRUE),
VLOOKUP(AF187,Charge!$N$31:$P$34,2,TRUE)+(AF187-VLOOKUP(AF187,Charge!$N$31:$P$34,1,TRUE))*VLOOKUP(AF187,Charge!$N$31:$P$34,3,TRUE)),
IF(AND(M187="DG"),IF(R187="20'",
VLOOKUP(AF187,Charge!$R$31:$T$34,2,TRUE)+(AF187-VLOOKUP(AF187,Charge!$R$31:$T$34,1,TRUE))*VLOOKUP(AF187,Charge!$R$31:$T$34,3,TRUE),
VLOOKUP(AF187,Charge!$U$31:$W$34,2,TRUE)+(AF187-VLOOKUP(AF187,Charge!$U$31:$W$34,1,TRUE))*VLOOKUP(AF187,Charge!$U$31:$W$34,3,TRUE)),0))</f>
        <v>0</v>
      </c>
      <c r="AH187" s="65" t="n"/>
      <c r="AI187" s="65">
        <f>AA187-AH187</f>
        <v>960</v>
      </c>
      <c r="AJ187" s="188" t="n"/>
      <c r="AK187" s="62" t="str">
        <f>VLOOKUP(D187,'2.Bookinglist'!A:CT,40,FALSE)</f>
        <v>Arunphat W. (Aiw)</v>
      </c>
      <c r="AL187" s="60" t="str">
        <f>VLOOKUP(D187,'2.Bookinglist'!A:CW,101,FALSE)</f>
        <v>2026-10-07</v>
      </c>
      <c r="AM187" s="60" t="str">
        <f>VLOOKUP(D187,'2.Bookinglist'!A:BK,63,FALSE)</f>
        <v>BKK27</v>
      </c>
      <c r="AN187" s="62" t="str">
        <f>VLOOKUP(D187,'2.Bookinglist'!A:AZ,52,FALSE)</f>
        <v>Pickup : 2026-10-02, Return : 2026-10-03 </v>
      </c>
      <c r="AO187" s="62">
        <f>VLOOKUP(D187,'2.Bookinglist'!A:CY,103,FALSE)</f>
        <v>0</v>
      </c>
    </row>
    <row r="188" ht="12.95" customHeight="1">
      <c r="A188" s="96" t="inlineStr">
        <is>
          <t>TGCU2414945</t>
        </is>
      </c>
      <c r="B188" s="184" t="str">
        <f>IF(C188=Charge!$M$1,Charge!$J$1,IF(C188=Charge!$M$23,Charge!$J$23,IF(C188=Charge!$M$17,Charge!$J$17,IF(C188=Charge!$N$17,Charge!$J$17,Charge!$J$7))))</f>
        <v>G3</v>
      </c>
      <c r="C188" s="61" t="str">
        <f>VLOOKUP(A188,'1.Loading'!A:R,14,FALSE)</f>
        <v>BKK04</v>
      </c>
      <c r="D188" s="61" t="str">
        <f>VLOOKUP(A188,'1.Loading'!A:R,17,FALSE)</f>
        <v>HASLS22260901077</v>
      </c>
      <c r="E188" s="62" t="str">
        <f>VLOOKUP(D188,'2.Bookinglist'!A:CT,27,FALSE)</f>
        <v>EAST-LINK CORPORATION CO., LTD.</v>
      </c>
      <c r="F188" s="62" t="str">
        <f>VLOOKUP(D188,'2.Bookinglist'!A:CT,28,FALSE)</f>
        <v>SIAM FUKOKU CO.,LTD.</v>
      </c>
      <c r="G188" s="60">
        <f>VLOOKUP(D188,'2.Bookinglist'!A:E,5,FALSE)</f>
        <v>0</v>
      </c>
      <c r="H188" s="61" t="str">
        <f>VLOOKUP(D188,'2.Bookinglist'!A:CT,15,FALSE)</f>
        <v>THBKK</v>
      </c>
      <c r="I188" s="61" t="str">
        <f>VLOOKUP(D188,'2.Bookinglist'!A:CT,19,FALSE)</f>
        <v>VNSGN</v>
      </c>
      <c r="J188" s="61">
        <f>VLOOKUP(D188,'2.Bookinglist'!A:CT,26,FALSE)</f>
        <v>0</v>
      </c>
      <c r="K188" s="61" t="str">
        <f>VLOOKUP(A188,'1.Loading'!A:R,5,FALSE)</f>
        <v>22GP</v>
      </c>
      <c r="L188" s="60" t="str">
        <f>VLOOKUP(D188,'2.Bookinglist'!A:CT,85,FALSE)</f>
        <v>CY/CY</v>
      </c>
      <c r="M188" s="60" t="str">
        <f>IF(VLOOKUP(D188,'2.Bookinglist'!A:CT,43,FALSE)=0,"","DG")</f>
        <v/>
      </c>
      <c r="N188" s="60" t="str">
        <f>IF(RIGHT(K188,2)="RE","RF","")</f>
        <v/>
      </c>
      <c r="O188" s="61" t="str">
        <f>VLOOKUP(A188,'1.Loading'!A:R,3,FALSE)</f>
        <v>SWSP</v>
      </c>
      <c r="P188" s="61" t="str">
        <f>VLOOKUP(A188,'1.Loading'!A:R,4,FALSE)</f>
        <v>2609N</v>
      </c>
      <c r="Q188" s="61" t="str">
        <f>VLOOKUP(D188,'2.Bookinglist'!A:CT,12,FALSE)</f>
        <v>BTS</v>
      </c>
      <c r="R188" s="60" t="str">
        <f>IF(LEFT(K188,2)="22","20'","40'")</f>
        <v>20'</v>
      </c>
      <c r="S188" s="185" t="n"/>
      <c r="T188" s="61" t="str">
        <f>VLOOKUP(A188,'1.Loading'!A:R,2,FALSE)</f>
        <v>2026-10-08</v>
      </c>
      <c r="U188" s="63">
        <f>T188-S188</f>
        <v>46303</v>
      </c>
      <c r="V188" s="186" t="n"/>
      <c r="W188" s="61" t="str">
        <f>VLOOKUP(A188,'3.GateMove'!A:D,4,FALSE)</f>
        <v>2026-10-05</v>
      </c>
      <c r="X188" s="63">
        <f>((T188-W188)+1)</f>
        <v>4</v>
      </c>
      <c r="Y188" s="64">
        <f>IF(AND(OR(C188="BKK01",C188="BKK04"),L188="CFS/CY"),0,IF(M188="DG",1,IF(LEFT(C188,3)="LCH",7,IF(C188="BKK02",5,3))))</f>
        <v>3</v>
      </c>
      <c r="Z188" s="63">
        <f>IF(IF(AND(AC188="TML",AB188&gt;0),((T188-W188)+1)-AB188,((T188-W188)+1)-Y188)&gt;0,IF(AND(AC188="TML",AB188&gt;0),((T188-W188)+1)-AB188,((T188-W188)+1)-Y188),0)</f>
        <v>1</v>
      </c>
      <c r="AA188" s="187">
        <f>IF(AND(B188="G1",M188=""),IF(R188="20'",
VLOOKUP(Z188,Charge!$K$2:$M$5,2,TRUE)+(Z188-VLOOKUP(Z188,Charge!$K$2:$M$5,1,TRUE))*VLOOKUP(Z188,Charge!$K$2:$M$5,3,TRUE),
VLOOKUP(Z188,Charge!$N$2:$P$5,2,TRUE)+(Z188-VLOOKUP(Z188,Charge!$N$2:$P$5,1,TRUE))*VLOOKUP(Z188,Charge!$N$2:$P$5,3,TRUE)),
IF(AND(B188="G1",M188="DG"),IF(R188="20'",
VLOOKUP(Z188,Charge!$R$2:$T$5,2,TRUE)+(Z188-VLOOKUP(Z188,Charge!$R$2:$T$5,1,TRUE))*VLOOKUP(Z188,Charge!$R$2:$T$5,3,TRUE),
VLOOKUP(Z188,Charge!$U$2:$W$5,2,TRUE)+(Z188-VLOOKUP(Z188,Charge!$U$2:$W$5,1,TRUE))*VLOOKUP(Z188,Charge!$U$2:$W$5,3,TRUE)),
IF(AND(B188="G3",M188=""),IF(R188="20'",
VLOOKUP(Z188,Charge!$K$18:$M$21,2,TRUE)+(Z188-VLOOKUP(Z188,Charge!$K$18:$M$21,1,TRUE))*VLOOKUP(Z188,Charge!$K$18:$M$21,3,TRUE),
VLOOKUP(Z188,Charge!$N$18:$P$21,2,TRUE)+(Z188-VLOOKUP(Z188,Charge!$N$18:$P$21,1,TRUE))*VLOOKUP(Z188,Charge!$N$18:$P$21,3,TRUE)),
IF(AND(B188="G3",M188="DG"),IF(R188="20'",
VLOOKUP(Z188,Charge!$R$18:$T$21,2,TRUE)+(Z188-VLOOKUP(Z188,Charge!$R$18:$T$21,1,TRUE))*VLOOKUP(Z188,Charge!$R$18:$T$21,3,TRUE),
VLOOKUP(Z188,Charge!$U$18:$W$21,2,TRUE)+(Z188-VLOOKUP(Z188,Charge!$U$18:$W$21,1,TRUE))*VLOOKUP(Z188,Charge!$U$18:$W$21,3,TRUE)),
IF(AND(B188="G2",M188=""),IF(R188="20'",
VLOOKUP(Z188,Charge!$K$9:$M$12,2,TRUE)+(Z188-VLOOKUP(Z188,Charge!$K$9:$M$12,1,TRUE))*VLOOKUP(Z188,Charge!$K$9:$M$12,3,TRUE),
VLOOKUP(Z188,Charge!$N$9:$P$12,2,TRUE)+(Z188-VLOOKUP(Z188,Charge!$N$9:$P$12,1,TRUE))*VLOOKUP(Z188,Charge!$N$9:$P$12,3,TRUE)),
IF(AND(B188="G2",M188="DG"),IF(R188="20'",
VLOOKUP(Z188,Charge!$R$9:$T$12,2,TRUE)+(Z188-VLOOKUP(Z188,Charge!$R$9:$T$12,1,TRUE))*VLOOKUP(Z188,Charge!$R$9:$T$12,3,TRUE),
VLOOKUP(Z188,Charge!$U$9:$W$12,2,TRUE)+(Z188-VLOOKUP(Z188,Charge!$U$9:$W$12,1,TRUE))*VLOOKUP(Z188,Charge!$U$9:$W$12,3,TRUE)),IF(AND(B188="G4",M188=""),IF(R188="20'",Z188*Charge!$M$25,Z188*Charge!$P$25),IF(AND(B188="G4",M188="DG"),IF(R188="20'",Z188*Charge!$T$25,Z188*Charge!$W$25),0))))))))</f>
        <v>160</v>
      </c>
      <c r="AB188" s="184" t="n"/>
      <c r="AC188" s="184" t="n"/>
      <c r="AD188" s="60">
        <f>IF(M188="DG",3,IF(N188="RF",3,5))+IF(AND(LEFT(C188,3)="BKK",N188="RF",Q188="KTS"),1,0)+IF(Q188="KHS",1,0)</f>
        <v>5</v>
      </c>
      <c r="AE188" s="63">
        <f>(T188-V188)+1</f>
        <v>46304</v>
      </c>
      <c r="AF188" s="63">
        <f>IF(AB188&gt;IF((V188-W188)&gt;0,V188-W188,0),0,IF(AB188&lt;IF((V188-W188)&gt;0,V188-W188,0),IF((V188-W188)&gt;0,V188-W188,0)-AB188,IF((V188-W188)&gt;0,V188-W188,0)))</f>
        <v>0</v>
      </c>
      <c r="AG188" s="187">
        <f>IF(AND(M188=""),IF(R188="20'",
VLOOKUP(AF188,Charge!$K$31:$M$34,2,TRUE)+(AF188-VLOOKUP(AF188,Charge!$K$31:$M$34,1,TRUE))*VLOOKUP(AF188,Charge!$K$31:$M$34,3,TRUE),
VLOOKUP(AF188,Charge!$N$31:$P$34,2,TRUE)+(AF188-VLOOKUP(AF188,Charge!$N$31:$P$34,1,TRUE))*VLOOKUP(AF188,Charge!$N$31:$P$34,3,TRUE)),
IF(AND(M188="DG"),IF(R188="20'",
VLOOKUP(AF188,Charge!$R$31:$T$34,2,TRUE)+(AF188-VLOOKUP(AF188,Charge!$R$31:$T$34,1,TRUE))*VLOOKUP(AF188,Charge!$R$31:$T$34,3,TRUE),
VLOOKUP(AF188,Charge!$U$31:$W$34,2,TRUE)+(AF188-VLOOKUP(AF188,Charge!$U$31:$W$34,1,TRUE))*VLOOKUP(AF188,Charge!$U$31:$W$34,3,TRUE)),0))</f>
        <v>0</v>
      </c>
      <c r="AH188" s="65" t="n"/>
      <c r="AI188" s="65">
        <f>AA188-AH188</f>
        <v>160</v>
      </c>
      <c r="AJ188" s="188" t="n"/>
      <c r="AK188" s="62" t="str">
        <f>VLOOKUP(D188,'2.Bookinglist'!A:CT,40,FALSE)</f>
        <v>Dharaporn</v>
      </c>
      <c r="AL188" s="60" t="str">
        <f>VLOOKUP(D188,'2.Bookinglist'!A:CW,101,FALSE)</f>
        <v>2026-10-07</v>
      </c>
      <c r="AM188" s="60" t="str">
        <f>VLOOKUP(D188,'2.Bookinglist'!A:BK,63,FALSE)</f>
        <v>BKK25</v>
      </c>
      <c r="AN188" s="62" t="str">
        <f>VLOOKUP(D188,'2.Bookinglist'!A:AZ,52,FALSE)</f>
        <v>Pickup : 2026-10-02, Return : 2026-10-03  *CLS TIME DD.05/10/2026 @23.59*</v>
      </c>
      <c r="AO188" s="62">
        <f>VLOOKUP(D188,'2.Bookinglist'!A:CY,103,FALSE)</f>
        <v>0</v>
      </c>
    </row>
    <row r="189" ht="12.95" customHeight="1">
      <c r="A189" s="96" t="inlineStr">
        <is>
          <t>TRHU5293940</t>
        </is>
      </c>
      <c r="B189" s="184" t="str">
        <f>IF(C189=Charge!$M$1,Charge!$J$1,IF(C189=Charge!$M$23,Charge!$J$23,IF(C189=Charge!$M$17,Charge!$J$17,IF(C189=Charge!$N$17,Charge!$J$17,Charge!$J$7))))</f>
        <v>G3</v>
      </c>
      <c r="C189" s="61" t="str">
        <f>VLOOKUP(A189,'1.Loading'!A:R,14,FALSE)</f>
        <v>BKK04</v>
      </c>
      <c r="D189" s="61" t="str">
        <f>VLOOKUP(A189,'1.Loading'!A:R,17,FALSE)</f>
        <v>HASLS22260901036</v>
      </c>
      <c r="E189" s="62" t="str">
        <f>VLOOKUP(D189,'2.Bookinglist'!A:CT,27,FALSE)</f>
        <v>PISIA INTERFREIGHT CO.,LTD.</v>
      </c>
      <c r="F189" s="62" t="str">
        <f>VLOOKUP(D189,'2.Bookinglist'!A:CT,28,FALSE)</f>
        <v>KANGWAL POLYESTER CO., LTD.</v>
      </c>
      <c r="G189" s="60">
        <f>VLOOKUP(D189,'2.Bookinglist'!A:E,5,FALSE)</f>
        <v>0</v>
      </c>
      <c r="H189" s="61" t="str">
        <f>VLOOKUP(D189,'2.Bookinglist'!A:CT,15,FALSE)</f>
        <v>THBKK</v>
      </c>
      <c r="I189" s="61" t="str">
        <f>VLOOKUP(D189,'2.Bookinglist'!A:CT,19,FALSE)</f>
        <v>VNSGN</v>
      </c>
      <c r="J189" s="61">
        <f>VLOOKUP(D189,'2.Bookinglist'!A:CT,26,FALSE)</f>
        <v>0</v>
      </c>
      <c r="K189" s="61" t="str">
        <f>VLOOKUP(A189,'1.Loading'!A:R,5,FALSE)</f>
        <v>45GP</v>
      </c>
      <c r="L189" s="60" t="str">
        <f>VLOOKUP(D189,'2.Bookinglist'!A:CT,85,FALSE)</f>
        <v>CY/CY</v>
      </c>
      <c r="M189" s="60" t="str">
        <f>IF(VLOOKUP(D189,'2.Bookinglist'!A:CT,43,FALSE)=0,"","DG")</f>
        <v/>
      </c>
      <c r="N189" s="60" t="str">
        <f>IF(RIGHT(K189,2)="RE","RF","")</f>
        <v/>
      </c>
      <c r="O189" s="61" t="str">
        <f>VLOOKUP(A189,'1.Loading'!A:R,3,FALSE)</f>
        <v>SWSP</v>
      </c>
      <c r="P189" s="61" t="str">
        <f>VLOOKUP(A189,'1.Loading'!A:R,4,FALSE)</f>
        <v>2609N</v>
      </c>
      <c r="Q189" s="61" t="str">
        <f>VLOOKUP(D189,'2.Bookinglist'!A:CT,12,FALSE)</f>
        <v>BTS</v>
      </c>
      <c r="R189" s="60" t="str">
        <f>IF(LEFT(K189,2)="22","20'","40'")</f>
        <v>40'</v>
      </c>
      <c r="S189" s="185" t="n"/>
      <c r="T189" s="61" t="str">
        <f>VLOOKUP(A189,'1.Loading'!A:R,2,FALSE)</f>
        <v>2026-10-08</v>
      </c>
      <c r="U189" s="63">
        <f>T189-S189</f>
        <v>46303</v>
      </c>
      <c r="V189" s="186" t="n"/>
      <c r="W189" s="61" t="str">
        <f>VLOOKUP(A189,'3.GateMove'!A:D,4,FALSE)</f>
        <v>2026-10-02</v>
      </c>
      <c r="X189" s="63">
        <f>((T189-W189)+1)</f>
        <v>7</v>
      </c>
      <c r="Y189" s="64">
        <f>IF(AND(OR(C189="BKK01",C189="BKK04"),L189="CFS/CY"),0,IF(M189="DG",1,IF(LEFT(C189,3)="LCH",7,IF(C189="BKK02",5,3))))</f>
        <v>3</v>
      </c>
      <c r="Z189" s="63">
        <f>IF(IF(AND(AC189="TML",AB189&gt;0),((T189-W189)+1)-AB189,((T189-W189)+1)-Y189)&gt;0,IF(AND(AC189="TML",AB189&gt;0),((T189-W189)+1)-AB189,((T189-W189)+1)-Y189),0)</f>
        <v>4</v>
      </c>
      <c r="AA189" s="187">
        <f>IF(AND(B189="G1",M189=""),IF(R189="20'",
VLOOKUP(Z189,Charge!$K$2:$M$5,2,TRUE)+(Z189-VLOOKUP(Z189,Charge!$K$2:$M$5,1,TRUE))*VLOOKUP(Z189,Charge!$K$2:$M$5,3,TRUE),
VLOOKUP(Z189,Charge!$N$2:$P$5,2,TRUE)+(Z189-VLOOKUP(Z189,Charge!$N$2:$P$5,1,TRUE))*VLOOKUP(Z189,Charge!$N$2:$P$5,3,TRUE)),
IF(AND(B189="G1",M189="DG"),IF(R189="20'",
VLOOKUP(Z189,Charge!$R$2:$T$5,2,TRUE)+(Z189-VLOOKUP(Z189,Charge!$R$2:$T$5,1,TRUE))*VLOOKUP(Z189,Charge!$R$2:$T$5,3,TRUE),
VLOOKUP(Z189,Charge!$U$2:$W$5,2,TRUE)+(Z189-VLOOKUP(Z189,Charge!$U$2:$W$5,1,TRUE))*VLOOKUP(Z189,Charge!$U$2:$W$5,3,TRUE)),
IF(AND(B189="G3",M189=""),IF(R189="20'",
VLOOKUP(Z189,Charge!$K$18:$M$21,2,TRUE)+(Z189-VLOOKUP(Z189,Charge!$K$18:$M$21,1,TRUE))*VLOOKUP(Z189,Charge!$K$18:$M$21,3,TRUE),
VLOOKUP(Z189,Charge!$N$18:$P$21,2,TRUE)+(Z189-VLOOKUP(Z189,Charge!$N$18:$P$21,1,TRUE))*VLOOKUP(Z189,Charge!$N$18:$P$21,3,TRUE)),
IF(AND(B189="G3",M189="DG"),IF(R189="20'",
VLOOKUP(Z189,Charge!$R$18:$T$21,2,TRUE)+(Z189-VLOOKUP(Z189,Charge!$R$18:$T$21,1,TRUE))*VLOOKUP(Z189,Charge!$R$18:$T$21,3,TRUE),
VLOOKUP(Z189,Charge!$U$18:$W$21,2,TRUE)+(Z189-VLOOKUP(Z189,Charge!$U$18:$W$21,1,TRUE))*VLOOKUP(Z189,Charge!$U$18:$W$21,3,TRUE)),
IF(AND(B189="G2",M189=""),IF(R189="20'",
VLOOKUP(Z189,Charge!$K$9:$M$12,2,TRUE)+(Z189-VLOOKUP(Z189,Charge!$K$9:$M$12,1,TRUE))*VLOOKUP(Z189,Charge!$K$9:$M$12,3,TRUE),
VLOOKUP(Z189,Charge!$N$9:$P$12,2,TRUE)+(Z189-VLOOKUP(Z189,Charge!$N$9:$P$12,1,TRUE))*VLOOKUP(Z189,Charge!$N$9:$P$12,3,TRUE)),
IF(AND(B189="G2",M189="DG"),IF(R189="20'",
VLOOKUP(Z189,Charge!$R$9:$T$12,2,TRUE)+(Z189-VLOOKUP(Z189,Charge!$R$9:$T$12,1,TRUE))*VLOOKUP(Z189,Charge!$R$9:$T$12,3,TRUE),
VLOOKUP(Z189,Charge!$U$9:$W$12,2,TRUE)+(Z189-VLOOKUP(Z189,Charge!$U$9:$W$12,1,TRUE))*VLOOKUP(Z189,Charge!$U$9:$W$12,3,TRUE)),IF(AND(B189="G4",M189=""),IF(R189="20'",Z189*Charge!$M$25,Z189*Charge!$P$25),IF(AND(B189="G4",M189="DG"),IF(R189="20'",Z189*Charge!$T$25,Z189*Charge!$W$25),0))))))))</f>
        <v>1280</v>
      </c>
      <c r="AB189" s="184" t="n"/>
      <c r="AC189" s="184" t="n"/>
      <c r="AD189" s="60">
        <f>IF(M189="DG",3,IF(N189="RF",3,5))+IF(AND(LEFT(C189,3)="BKK",N189="RF",Q189="KTS"),1,0)+IF(Q189="KHS",1,0)</f>
        <v>5</v>
      </c>
      <c r="AE189" s="63">
        <f>(T189-V189)+1</f>
        <v>46304</v>
      </c>
      <c r="AF189" s="63">
        <f>IF(AB189&gt;IF((V189-W189)&gt;0,V189-W189,0),0,IF(AB189&lt;IF((V189-W189)&gt;0,V189-W189,0),IF((V189-W189)&gt;0,V189-W189,0)-AB189,IF((V189-W189)&gt;0,V189-W189,0)))</f>
        <v>0</v>
      </c>
      <c r="AG189" s="187">
        <f>IF(AND(M189=""),IF(R189="20'",
VLOOKUP(AF189,Charge!$K$31:$M$34,2,TRUE)+(AF189-VLOOKUP(AF189,Charge!$K$31:$M$34,1,TRUE))*VLOOKUP(AF189,Charge!$K$31:$M$34,3,TRUE),
VLOOKUP(AF189,Charge!$N$31:$P$34,2,TRUE)+(AF189-VLOOKUP(AF189,Charge!$N$31:$P$34,1,TRUE))*VLOOKUP(AF189,Charge!$N$31:$P$34,3,TRUE)),
IF(AND(M189="DG"),IF(R189="20'",
VLOOKUP(AF189,Charge!$R$31:$T$34,2,TRUE)+(AF189-VLOOKUP(AF189,Charge!$R$31:$T$34,1,TRUE))*VLOOKUP(AF189,Charge!$R$31:$T$34,3,TRUE),
VLOOKUP(AF189,Charge!$U$31:$W$34,2,TRUE)+(AF189-VLOOKUP(AF189,Charge!$U$31:$W$34,1,TRUE))*VLOOKUP(AF189,Charge!$U$31:$W$34,3,TRUE)),0))</f>
        <v>0</v>
      </c>
      <c r="AH189" s="65" t="n"/>
      <c r="AI189" s="65">
        <f>AA189-AH189</f>
        <v>1280</v>
      </c>
      <c r="AJ189" s="188" t="n"/>
      <c r="AK189" s="62" t="str">
        <f>VLOOKUP(D189,'2.Bookinglist'!A:CT,40,FALSE)</f>
        <v>Nannaapust Sukporntaweewat</v>
      </c>
      <c r="AL189" s="60" t="str">
        <f>VLOOKUP(D189,'2.Bookinglist'!A:CW,101,FALSE)</f>
        <v>2026-10-05</v>
      </c>
      <c r="AM189" s="60" t="str">
        <f>VLOOKUP(D189,'2.Bookinglist'!A:BK,63,FALSE)</f>
        <v>BKK25</v>
      </c>
      <c r="AN189" s="62" t="str">
        <f>VLOOKUP(D189,'2.Bookinglist'!A:AZ,52,FALSE)</f>
        <v>Pickup : 2026-10-01, Return : 2026-10-02 
7X40'HQ CY AT B.C. DD. 01/10 
1X40'HQ CY AT SMART DD. 01/10 </v>
      </c>
      <c r="AO189" s="62">
        <f>VLOOKUP(D189,'2.Bookinglist'!A:CY,103,FALSE)</f>
        <v>0</v>
      </c>
    </row>
    <row r="190" ht="12.95" customHeight="1">
      <c r="A190" s="96" t="inlineStr">
        <is>
          <t>TRHU5296888</t>
        </is>
      </c>
      <c r="B190" s="184" t="str">
        <f>IF(C190=Charge!$M$1,Charge!$J$1,IF(C190=Charge!$M$23,Charge!$J$23,IF(C190=Charge!$M$17,Charge!$J$17,IF(C190=Charge!$N$17,Charge!$J$17,Charge!$J$7))))</f>
        <v>G3</v>
      </c>
      <c r="C190" s="61" t="str">
        <f>VLOOKUP(A190,'1.Loading'!A:R,14,FALSE)</f>
        <v>BKK04</v>
      </c>
      <c r="D190" s="61" t="str">
        <f>VLOOKUP(A190,'1.Loading'!A:R,17,FALSE)</f>
        <v>HASLS22260901036</v>
      </c>
      <c r="E190" s="62" t="str">
        <f>VLOOKUP(D190,'2.Bookinglist'!A:CT,27,FALSE)</f>
        <v>PISIA INTERFREIGHT CO.,LTD.</v>
      </c>
      <c r="F190" s="62" t="str">
        <f>VLOOKUP(D190,'2.Bookinglist'!A:CT,28,FALSE)</f>
        <v>KANGWAL POLYESTER CO., LTD.</v>
      </c>
      <c r="G190" s="60">
        <f>VLOOKUP(D190,'2.Bookinglist'!A:E,5,FALSE)</f>
        <v>0</v>
      </c>
      <c r="H190" s="61" t="str">
        <f>VLOOKUP(D190,'2.Bookinglist'!A:CT,15,FALSE)</f>
        <v>THBKK</v>
      </c>
      <c r="I190" s="61" t="str">
        <f>VLOOKUP(D190,'2.Bookinglist'!A:CT,19,FALSE)</f>
        <v>VNSGN</v>
      </c>
      <c r="J190" s="61">
        <f>VLOOKUP(D190,'2.Bookinglist'!A:CT,26,FALSE)</f>
        <v>0</v>
      </c>
      <c r="K190" s="61" t="str">
        <f>VLOOKUP(A190,'1.Loading'!A:R,5,FALSE)</f>
        <v>45GP</v>
      </c>
      <c r="L190" s="60" t="str">
        <f>VLOOKUP(D190,'2.Bookinglist'!A:CT,85,FALSE)</f>
        <v>CY/CY</v>
      </c>
      <c r="M190" s="60" t="str">
        <f>IF(VLOOKUP(D190,'2.Bookinglist'!A:CT,43,FALSE)=0,"","DG")</f>
        <v/>
      </c>
      <c r="N190" s="60" t="str">
        <f>IF(RIGHT(K190,2)="RE","RF","")</f>
        <v/>
      </c>
      <c r="O190" s="61" t="str">
        <f>VLOOKUP(A190,'1.Loading'!A:R,3,FALSE)</f>
        <v>SWSP</v>
      </c>
      <c r="P190" s="61" t="str">
        <f>VLOOKUP(A190,'1.Loading'!A:R,4,FALSE)</f>
        <v>2609N</v>
      </c>
      <c r="Q190" s="61" t="str">
        <f>VLOOKUP(D190,'2.Bookinglist'!A:CT,12,FALSE)</f>
        <v>BTS</v>
      </c>
      <c r="R190" s="60" t="str">
        <f>IF(LEFT(K190,2)="22","20'","40'")</f>
        <v>40'</v>
      </c>
      <c r="S190" s="185" t="n"/>
      <c r="T190" s="61" t="str">
        <f>VLOOKUP(A190,'1.Loading'!A:R,2,FALSE)</f>
        <v>2026-10-08</v>
      </c>
      <c r="U190" s="63">
        <f>T190-S190</f>
        <v>46303</v>
      </c>
      <c r="V190" s="186" t="n"/>
      <c r="W190" s="61" t="str">
        <f>VLOOKUP(A190,'3.GateMove'!A:D,4,FALSE)</f>
        <v>2026-10-02</v>
      </c>
      <c r="X190" s="63">
        <f>((T190-W190)+1)</f>
        <v>7</v>
      </c>
      <c r="Y190" s="64">
        <f>IF(AND(OR(C190="BKK01",C190="BKK04"),L190="CFS/CY"),0,IF(M190="DG",1,IF(LEFT(C190,3)="LCH",7,IF(C190="BKK02",5,3))))</f>
        <v>3</v>
      </c>
      <c r="Z190" s="63">
        <f>IF(IF(AND(AC190="TML",AB190&gt;0),((T190-W190)+1)-AB190,((T190-W190)+1)-Y190)&gt;0,IF(AND(AC190="TML",AB190&gt;0),((T190-W190)+1)-AB190,((T190-W190)+1)-Y190),0)</f>
        <v>4</v>
      </c>
      <c r="AA190" s="187">
        <f>IF(AND(B190="G1",M190=""),IF(R190="20'",
VLOOKUP(Z190,Charge!$K$2:$M$5,2,TRUE)+(Z190-VLOOKUP(Z190,Charge!$K$2:$M$5,1,TRUE))*VLOOKUP(Z190,Charge!$K$2:$M$5,3,TRUE),
VLOOKUP(Z190,Charge!$N$2:$P$5,2,TRUE)+(Z190-VLOOKUP(Z190,Charge!$N$2:$P$5,1,TRUE))*VLOOKUP(Z190,Charge!$N$2:$P$5,3,TRUE)),
IF(AND(B190="G1",M190="DG"),IF(R190="20'",
VLOOKUP(Z190,Charge!$R$2:$T$5,2,TRUE)+(Z190-VLOOKUP(Z190,Charge!$R$2:$T$5,1,TRUE))*VLOOKUP(Z190,Charge!$R$2:$T$5,3,TRUE),
VLOOKUP(Z190,Charge!$U$2:$W$5,2,TRUE)+(Z190-VLOOKUP(Z190,Charge!$U$2:$W$5,1,TRUE))*VLOOKUP(Z190,Charge!$U$2:$W$5,3,TRUE)),
IF(AND(B190="G3",M190=""),IF(R190="20'",
VLOOKUP(Z190,Charge!$K$18:$M$21,2,TRUE)+(Z190-VLOOKUP(Z190,Charge!$K$18:$M$21,1,TRUE))*VLOOKUP(Z190,Charge!$K$18:$M$21,3,TRUE),
VLOOKUP(Z190,Charge!$N$18:$P$21,2,TRUE)+(Z190-VLOOKUP(Z190,Charge!$N$18:$P$21,1,TRUE))*VLOOKUP(Z190,Charge!$N$18:$P$21,3,TRUE)),
IF(AND(B190="G3",M190="DG"),IF(R190="20'",
VLOOKUP(Z190,Charge!$R$18:$T$21,2,TRUE)+(Z190-VLOOKUP(Z190,Charge!$R$18:$T$21,1,TRUE))*VLOOKUP(Z190,Charge!$R$18:$T$21,3,TRUE),
VLOOKUP(Z190,Charge!$U$18:$W$21,2,TRUE)+(Z190-VLOOKUP(Z190,Charge!$U$18:$W$21,1,TRUE))*VLOOKUP(Z190,Charge!$U$18:$W$21,3,TRUE)),
IF(AND(B190="G2",M190=""),IF(R190="20'",
VLOOKUP(Z190,Charge!$K$9:$M$12,2,TRUE)+(Z190-VLOOKUP(Z190,Charge!$K$9:$M$12,1,TRUE))*VLOOKUP(Z190,Charge!$K$9:$M$12,3,TRUE),
VLOOKUP(Z190,Charge!$N$9:$P$12,2,TRUE)+(Z190-VLOOKUP(Z190,Charge!$N$9:$P$12,1,TRUE))*VLOOKUP(Z190,Charge!$N$9:$P$12,3,TRUE)),
IF(AND(B190="G2",M190="DG"),IF(R190="20'",
VLOOKUP(Z190,Charge!$R$9:$T$12,2,TRUE)+(Z190-VLOOKUP(Z190,Charge!$R$9:$T$12,1,TRUE))*VLOOKUP(Z190,Charge!$R$9:$T$12,3,TRUE),
VLOOKUP(Z190,Charge!$U$9:$W$12,2,TRUE)+(Z190-VLOOKUP(Z190,Charge!$U$9:$W$12,1,TRUE))*VLOOKUP(Z190,Charge!$U$9:$W$12,3,TRUE)),IF(AND(B190="G4",M190=""),IF(R190="20'",Z190*Charge!$M$25,Z190*Charge!$P$25),IF(AND(B190="G4",M190="DG"),IF(R190="20'",Z190*Charge!$T$25,Z190*Charge!$W$25),0))))))))</f>
        <v>1280</v>
      </c>
      <c r="AB190" s="184" t="n"/>
      <c r="AC190" s="184" t="n"/>
      <c r="AD190" s="60">
        <f>IF(M190="DG",3,IF(N190="RF",3,5))+IF(AND(LEFT(C190,3)="BKK",N190="RF",Q190="KTS"),1,0)+IF(Q190="KHS",1,0)</f>
        <v>5</v>
      </c>
      <c r="AE190" s="63">
        <f>(T190-V190)+1</f>
        <v>46304</v>
      </c>
      <c r="AF190" s="63">
        <f>IF(AB190&gt;IF((V190-W190)&gt;0,V190-W190,0),0,IF(AB190&lt;IF((V190-W190)&gt;0,V190-W190,0),IF((V190-W190)&gt;0,V190-W190,0)-AB190,IF((V190-W190)&gt;0,V190-W190,0)))</f>
        <v>0</v>
      </c>
      <c r="AG190" s="187">
        <f>IF(AND(M190=""),IF(R190="20'",
VLOOKUP(AF190,Charge!$K$31:$M$34,2,TRUE)+(AF190-VLOOKUP(AF190,Charge!$K$31:$M$34,1,TRUE))*VLOOKUP(AF190,Charge!$K$31:$M$34,3,TRUE),
VLOOKUP(AF190,Charge!$N$31:$P$34,2,TRUE)+(AF190-VLOOKUP(AF190,Charge!$N$31:$P$34,1,TRUE))*VLOOKUP(AF190,Charge!$N$31:$P$34,3,TRUE)),
IF(AND(M190="DG"),IF(R190="20'",
VLOOKUP(AF190,Charge!$R$31:$T$34,2,TRUE)+(AF190-VLOOKUP(AF190,Charge!$R$31:$T$34,1,TRUE))*VLOOKUP(AF190,Charge!$R$31:$T$34,3,TRUE),
VLOOKUP(AF190,Charge!$U$31:$W$34,2,TRUE)+(AF190-VLOOKUP(AF190,Charge!$U$31:$W$34,1,TRUE))*VLOOKUP(AF190,Charge!$U$31:$W$34,3,TRUE)),0))</f>
        <v>0</v>
      </c>
      <c r="AH190" s="65" t="n"/>
      <c r="AI190" s="65">
        <f>AA190-AH190</f>
        <v>1280</v>
      </c>
      <c r="AJ190" s="188" t="n"/>
      <c r="AK190" s="62" t="str">
        <f>VLOOKUP(D190,'2.Bookinglist'!A:CT,40,FALSE)</f>
        <v>Nannaapust Sukporntaweewat</v>
      </c>
      <c r="AL190" s="60" t="str">
        <f>VLOOKUP(D190,'2.Bookinglist'!A:CW,101,FALSE)</f>
        <v>2026-10-05</v>
      </c>
      <c r="AM190" s="60" t="str">
        <f>VLOOKUP(D190,'2.Bookinglist'!A:BK,63,FALSE)</f>
        <v>BKK25</v>
      </c>
      <c r="AN190" s="62" t="str">
        <f>VLOOKUP(D190,'2.Bookinglist'!A:AZ,52,FALSE)</f>
        <v>Pickup : 2026-10-01, Return : 2026-10-02 
7X40'HQ CY AT B.C. DD. 01/10 
1X40'HQ CY AT SMART DD. 01/10 </v>
      </c>
      <c r="AO190" s="62">
        <f>VLOOKUP(D190,'2.Bookinglist'!A:CY,103,FALSE)</f>
        <v>0</v>
      </c>
    </row>
    <row r="191" ht="12.95" customHeight="1">
      <c r="A191" s="96" t="inlineStr">
        <is>
          <t>TRIU6734806</t>
        </is>
      </c>
      <c r="B191" s="184" t="str">
        <f>IF(C191=Charge!$M$1,Charge!$J$1,IF(C191=Charge!$M$23,Charge!$J$23,IF(C191=Charge!$M$17,Charge!$J$17,IF(C191=Charge!$N$17,Charge!$J$17,Charge!$J$7))))</f>
        <v>G3</v>
      </c>
      <c r="C191" s="61" t="str">
        <f>VLOOKUP(A191,'1.Loading'!A:R,14,FALSE)</f>
        <v>BKK04</v>
      </c>
      <c r="D191" s="61" t="str">
        <f>VLOOKUP(A191,'1.Loading'!A:R,17,FALSE)</f>
        <v>HASLS22260902651</v>
      </c>
      <c r="E191" s="62" t="str">
        <f>VLOOKUP(D191,'2.Bookinglist'!A:CT,27,FALSE)</f>
        <v>KCTC THAI LOGISTICS CO., LTD.</v>
      </c>
      <c r="F191" s="62" t="str">
        <f>VLOOKUP(D191,'2.Bookinglist'!A:CT,28,FALSE)</f>
        <v>BANGKOK SEAFOOD CO., LTD.</v>
      </c>
      <c r="G191" s="60">
        <f>VLOOKUP(D191,'2.Bookinglist'!A:E,5,FALSE)</f>
        <v>0</v>
      </c>
      <c r="H191" s="61" t="str">
        <f>VLOOKUP(D191,'2.Bookinglist'!A:CT,15,FALSE)</f>
        <v>THBKK</v>
      </c>
      <c r="I191" s="61" t="str">
        <f>VLOOKUP(D191,'2.Bookinglist'!A:CT,19,FALSE)</f>
        <v>KRPUS</v>
      </c>
      <c r="J191" s="61">
        <f>VLOOKUP(D191,'2.Bookinglist'!A:CT,26,FALSE)</f>
        <v>0</v>
      </c>
      <c r="K191" s="61" t="str">
        <f>VLOOKUP(A191,'1.Loading'!A:R,5,FALSE)</f>
        <v>22RE</v>
      </c>
      <c r="L191" s="60" t="str">
        <f>VLOOKUP(D191,'2.Bookinglist'!A:CT,85,FALSE)</f>
        <v>CY/CY</v>
      </c>
      <c r="M191" s="60" t="str">
        <f>IF(VLOOKUP(D191,'2.Bookinglist'!A:CT,43,FALSE)=0,"","DG")</f>
        <v/>
      </c>
      <c r="N191" s="60" t="str">
        <f>IF(RIGHT(K191,2)="RE","RF","")</f>
        <v>RF</v>
      </c>
      <c r="O191" s="61" t="str">
        <f>VLOOKUP(A191,'1.Loading'!A:R,3,FALSE)</f>
        <v>SWSP</v>
      </c>
      <c r="P191" s="61" t="str">
        <f>VLOOKUP(A191,'1.Loading'!A:R,4,FALSE)</f>
        <v>2609N</v>
      </c>
      <c r="Q191" s="61" t="str">
        <f>VLOOKUP(D191,'2.Bookinglist'!A:CT,12,FALSE)</f>
        <v>BTS</v>
      </c>
      <c r="R191" s="60" t="str">
        <f>IF(LEFT(K191,2)="22","20'","40'")</f>
        <v>20'</v>
      </c>
      <c r="S191" s="185" t="n"/>
      <c r="T191" s="61" t="str">
        <f>VLOOKUP(A191,'1.Loading'!A:R,2,FALSE)</f>
        <v>2026-10-08</v>
      </c>
      <c r="U191" s="63">
        <f>T191-S191</f>
        <v>46303</v>
      </c>
      <c r="V191" s="186" t="n"/>
      <c r="W191" s="61" t="str">
        <f>VLOOKUP(A191,'3.GateMove'!A:D,4,FALSE)</f>
        <v>2026-10-05</v>
      </c>
      <c r="X191" s="63">
        <f>((T191-W191)+1)</f>
        <v>4</v>
      </c>
      <c r="Y191" s="64">
        <f>IF(AND(OR(C191="BKK01",C191="BKK04"),L191="CFS/CY"),0,IF(M191="DG",1,IF(LEFT(C191,3)="LCH",7,IF(C191="BKK02",5,3))))</f>
        <v>3</v>
      </c>
      <c r="Z191" s="63">
        <f>IF(IF(AND(AC191="TML",AB191&gt;0),((T191-W191)+1)-AB191,((T191-W191)+1)-Y191)&gt;0,IF(AND(AC191="TML",AB191&gt;0),((T191-W191)+1)-AB191,((T191-W191)+1)-Y191),0)</f>
        <v>1</v>
      </c>
      <c r="AA191" s="187">
        <f>IF(AND(B191="G1",M191=""),IF(R191="20'",
VLOOKUP(Z191,Charge!$K$2:$M$5,2,TRUE)+(Z191-VLOOKUP(Z191,Charge!$K$2:$M$5,1,TRUE))*VLOOKUP(Z191,Charge!$K$2:$M$5,3,TRUE),
VLOOKUP(Z191,Charge!$N$2:$P$5,2,TRUE)+(Z191-VLOOKUP(Z191,Charge!$N$2:$P$5,1,TRUE))*VLOOKUP(Z191,Charge!$N$2:$P$5,3,TRUE)),
IF(AND(B191="G1",M191="DG"),IF(R191="20'",
VLOOKUP(Z191,Charge!$R$2:$T$5,2,TRUE)+(Z191-VLOOKUP(Z191,Charge!$R$2:$T$5,1,TRUE))*VLOOKUP(Z191,Charge!$R$2:$T$5,3,TRUE),
VLOOKUP(Z191,Charge!$U$2:$W$5,2,TRUE)+(Z191-VLOOKUP(Z191,Charge!$U$2:$W$5,1,TRUE))*VLOOKUP(Z191,Charge!$U$2:$W$5,3,TRUE)),
IF(AND(B191="G3",M191=""),IF(R191="20'",
VLOOKUP(Z191,Charge!$K$18:$M$21,2,TRUE)+(Z191-VLOOKUP(Z191,Charge!$K$18:$M$21,1,TRUE))*VLOOKUP(Z191,Charge!$K$18:$M$21,3,TRUE),
VLOOKUP(Z191,Charge!$N$18:$P$21,2,TRUE)+(Z191-VLOOKUP(Z191,Charge!$N$18:$P$21,1,TRUE))*VLOOKUP(Z191,Charge!$N$18:$P$21,3,TRUE)),
IF(AND(B191="G3",M191="DG"),IF(R191="20'",
VLOOKUP(Z191,Charge!$R$18:$T$21,2,TRUE)+(Z191-VLOOKUP(Z191,Charge!$R$18:$T$21,1,TRUE))*VLOOKUP(Z191,Charge!$R$18:$T$21,3,TRUE),
VLOOKUP(Z191,Charge!$U$18:$W$21,2,TRUE)+(Z191-VLOOKUP(Z191,Charge!$U$18:$W$21,1,TRUE))*VLOOKUP(Z191,Charge!$U$18:$W$21,3,TRUE)),
IF(AND(B191="G2",M191=""),IF(R191="20'",
VLOOKUP(Z191,Charge!$K$9:$M$12,2,TRUE)+(Z191-VLOOKUP(Z191,Charge!$K$9:$M$12,1,TRUE))*VLOOKUP(Z191,Charge!$K$9:$M$12,3,TRUE),
VLOOKUP(Z191,Charge!$N$9:$P$12,2,TRUE)+(Z191-VLOOKUP(Z191,Charge!$N$9:$P$12,1,TRUE))*VLOOKUP(Z191,Charge!$N$9:$P$12,3,TRUE)),
IF(AND(B191="G2",M191="DG"),IF(R191="20'",
VLOOKUP(Z191,Charge!$R$9:$T$12,2,TRUE)+(Z191-VLOOKUP(Z191,Charge!$R$9:$T$12,1,TRUE))*VLOOKUP(Z191,Charge!$R$9:$T$12,3,TRUE),
VLOOKUP(Z191,Charge!$U$9:$W$12,2,TRUE)+(Z191-VLOOKUP(Z191,Charge!$U$9:$W$12,1,TRUE))*VLOOKUP(Z191,Charge!$U$9:$W$12,3,TRUE)),IF(AND(B191="G4",M191=""),IF(R191="20'",Z191*Charge!$M$25,Z191*Charge!$P$25),IF(AND(B191="G4",M191="DG"),IF(R191="20'",Z191*Charge!$T$25,Z191*Charge!$W$25),0))))))))</f>
        <v>160</v>
      </c>
      <c r="AB191" s="184" t="n"/>
      <c r="AC191" s="184" t="n"/>
      <c r="AD191" s="60">
        <f>IF(M191="DG",3,IF(N191="RF",3,5))+IF(AND(LEFT(C191,3)="BKK",N191="RF",Q191="KTS"),1,0)+IF(Q191="KHS",1,0)</f>
        <v>3</v>
      </c>
      <c r="AE191" s="63">
        <f>(T191-V191)+1</f>
        <v>46304</v>
      </c>
      <c r="AF191" s="63">
        <f>IF(AB191&gt;IF((V191-W191)&gt;0,V191-W191,0),0,IF(AB191&lt;IF((V191-W191)&gt;0,V191-W191,0),IF((V191-W191)&gt;0,V191-W191,0)-AB191,IF((V191-W191)&gt;0,V191-W191,0)))</f>
        <v>0</v>
      </c>
      <c r="AG191" s="187">
        <f>IF(AND(M191=""),IF(R191="20'",
VLOOKUP(AF191,Charge!$K$31:$M$34,2,TRUE)+(AF191-VLOOKUP(AF191,Charge!$K$31:$M$34,1,TRUE))*VLOOKUP(AF191,Charge!$K$31:$M$34,3,TRUE),
VLOOKUP(AF191,Charge!$N$31:$P$34,2,TRUE)+(AF191-VLOOKUP(AF191,Charge!$N$31:$P$34,1,TRUE))*VLOOKUP(AF191,Charge!$N$31:$P$34,3,TRUE)),
IF(AND(M191="DG"),IF(R191="20'",
VLOOKUP(AF191,Charge!$R$31:$T$34,2,TRUE)+(AF191-VLOOKUP(AF191,Charge!$R$31:$T$34,1,TRUE))*VLOOKUP(AF191,Charge!$R$31:$T$34,3,TRUE),
VLOOKUP(AF191,Charge!$U$31:$W$34,2,TRUE)+(AF191-VLOOKUP(AF191,Charge!$U$31:$W$34,1,TRUE))*VLOOKUP(AF191,Charge!$U$31:$W$34,3,TRUE)),0))</f>
        <v>0</v>
      </c>
      <c r="AH191" s="65" t="n"/>
      <c r="AI191" s="65">
        <f>AA191-AH191</f>
        <v>160</v>
      </c>
      <c r="AJ191" s="188" t="n"/>
      <c r="AK191" s="62" t="str">
        <f>VLOOKUP(D191,'2.Bookinglist'!A:CT,40,FALSE)</f>
        <v>Dharaporn</v>
      </c>
      <c r="AL191" s="60" t="str">
        <f>VLOOKUP(D191,'2.Bookinglist'!A:CW,101,FALSE)</f>
        <v>2026-10-07</v>
      </c>
      <c r="AM191" s="60" t="str">
        <f>VLOOKUP(D191,'2.Bookinglist'!A:BK,63,FALSE)</f>
        <v>BKK27</v>
      </c>
      <c r="AN191" s="62" t="str">
        <f>VLOOKUP(D191,'2.Bookinglist'!A:AZ,52,FALSE)</f>
        <v>Pickup : 2026-10-03, Return : 2026-10-05 (Temp -20.0℃ / Vent Close)
CLS TIME DD.05/10/2026 @23.59HRS. 
REQUEST: CONTAINER FOOD GRADE, NO LEAKAGE, NO SMELL, DRY AND CLEAN</v>
      </c>
      <c r="AO191" s="62">
        <f>VLOOKUP(D191,'2.Bookinglist'!A:CY,103,FALSE)</f>
        <v>0</v>
      </c>
    </row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2026-10-14T07:17:59Z</dcterms:modified>
  <cp:lastModifiedBy>office4</cp:lastModifiedBy>
  <cp:lastPrinted>2019-11-19T03:03:39Z</cp:lastPrinted>
</cp:coreProperties>
</file>