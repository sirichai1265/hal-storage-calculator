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7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CXDU2380488</t>
        </is>
      </c>
      <c r="B2" s="161" t="inlineStr">
        <is>
          <t>2026-10-14</t>
        </is>
      </c>
      <c r="C2" s="96" t="inlineStr">
        <is>
          <t>PCCP</t>
        </is>
      </c>
      <c r="D2" s="96" t="inlineStr">
        <is>
          <t>2610N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JPIYM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LCH05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HASLS22260900900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KST</t>
        </is>
      </c>
      <c r="U2" s="97" t="n"/>
      <c r="V2" s="96" t="inlineStr">
        <is>
          <t>TAO16L01</t>
        </is>
      </c>
      <c r="W2" s="96" t="inlineStr">
        <is>
          <t>PTT GLOBAL CHEMICAL PUBLIC COMPANY</t>
        </is>
      </c>
      <c r="X2" s="96" t="inlineStr">
        <is>
          <t>VED</t>
        </is>
      </c>
      <c r="Y2" s="96" t="inlineStr">
        <is>
          <t>MARUBENI INNOVEXIS CORPORATION</t>
        </is>
      </c>
      <c r="Z2" s="96" t="inlineStr">
        <is>
          <t>MARUBENI INNOVEXIS CORPORATION</t>
        </is>
      </c>
      <c r="AA2" s="97" t="n">
        <v>16160</v>
      </c>
      <c r="AB2" s="96" t="inlineStr">
        <is>
          <t>LCH05</t>
        </is>
      </c>
      <c r="AC2" s="96" t="inlineStr">
        <is>
          <t>IYM02</t>
        </is>
      </c>
    </row>
    <row r="3" ht="12" customHeight="1">
      <c r="A3" s="96" t="inlineStr">
        <is>
          <t>FSCU5890858</t>
        </is>
      </c>
      <c r="B3" s="161" t="inlineStr">
        <is>
          <t>2026-10-14</t>
        </is>
      </c>
      <c r="C3" s="96" t="inlineStr">
        <is>
          <t>PCCP</t>
        </is>
      </c>
      <c r="D3" s="96" t="inlineStr">
        <is>
          <t>2610N</t>
        </is>
      </c>
      <c r="E3" s="96" t="inlineStr">
        <is>
          <t>45RE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LCH05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HASLS22260902136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KST</t>
        </is>
      </c>
      <c r="U3" s="97" t="n"/>
      <c r="V3" s="96" t="inlineStr">
        <is>
          <t>C0320021</t>
        </is>
      </c>
      <c r="W3" s="96" t="inlineStr">
        <is>
          <t>UNITED MUSHROOM CENTER CO., LTD.</t>
        </is>
      </c>
      <c r="X3" s="96" t="inlineStr">
        <is>
          <t>VFD</t>
        </is>
      </c>
      <c r="Y3" s="96" t="inlineStr">
        <is>
          <t>VAN HUNG LONG INVESMENT TRADING</t>
        </is>
      </c>
      <c r="Z3" s="96" t="inlineStr">
        <is>
          <t>VAN HUNG LONG INVESMENT TRADING</t>
        </is>
      </c>
      <c r="AA3" s="97" t="n">
        <v>15919.5</v>
      </c>
      <c r="AB3" s="96" t="inlineStr">
        <is>
          <t>LCH05</t>
        </is>
      </c>
      <c r="AC3" s="96" t="inlineStr">
        <is>
          <t>SGN03</t>
        </is>
      </c>
    </row>
    <row r="4" ht="12" customHeight="1">
      <c r="A4" s="96" t="inlineStr">
        <is>
          <t>HALU2100503</t>
        </is>
      </c>
      <c r="B4" s="161" t="inlineStr">
        <is>
          <t>2026-10-14</t>
        </is>
      </c>
      <c r="C4" s="96" t="inlineStr">
        <is>
          <t>PCCP</t>
        </is>
      </c>
      <c r="D4" s="96" t="inlineStr">
        <is>
          <t>2610N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KRPUS</t>
        </is>
      </c>
      <c r="J4" s="96" t="inlineStr">
        <is>
          <t>JPNGO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LCH05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HASLS22260902025</t>
        </is>
      </c>
      <c r="R4" s="96" t="inlineStr">
        <is>
          <t>Y</t>
        </is>
      </c>
      <c r="S4" s="96" t="inlineStr">
        <is>
          <t>N</t>
        </is>
      </c>
      <c r="T4" s="96" t="inlineStr">
        <is>
          <t>KST</t>
        </is>
      </c>
      <c r="U4" s="97" t="n"/>
      <c r="V4" s="96" t="inlineStr">
        <is>
          <t>C0521003</t>
        </is>
      </c>
      <c r="W4" s="96" t="inlineStr">
        <is>
          <t>SIAM POLYETHYLENE CO., LTD.</t>
        </is>
      </c>
      <c r="X4" s="96" t="inlineStr">
        <is>
          <t>RTN</t>
        </is>
      </c>
      <c r="Y4" s="96" t="inlineStr">
        <is>
          <t>DOW CHEMICAL JAPAN LIMITED</t>
        </is>
      </c>
      <c r="Z4" s="96" t="inlineStr">
        <is>
          <t>THE SHIBUSAWA WAREHOUSE CO., LTD.</t>
        </is>
      </c>
      <c r="AA4" s="97" t="n">
        <v>16800</v>
      </c>
      <c r="AB4" s="96" t="inlineStr">
        <is>
          <t>LCH05</t>
        </is>
      </c>
      <c r="AC4" s="96" t="inlineStr">
        <is>
          <t>NGO01</t>
        </is>
      </c>
    </row>
    <row r="5" ht="12" customHeight="1">
      <c r="A5" s="96" t="inlineStr">
        <is>
          <t>HALU2309751</t>
        </is>
      </c>
      <c r="B5" s="161" t="inlineStr">
        <is>
          <t>2026-10-14</t>
        </is>
      </c>
      <c r="C5" s="96" t="inlineStr">
        <is>
          <t>PCCP</t>
        </is>
      </c>
      <c r="D5" s="96" t="inlineStr">
        <is>
          <t>2610N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LCH05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HASLS22260902333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KST</t>
        </is>
      </c>
      <c r="U5" s="97" t="n"/>
      <c r="V5" s="96" t="inlineStr">
        <is>
          <t>C0223001</t>
        </is>
      </c>
      <c r="W5" s="96" t="inlineStr">
        <is>
          <t>MILLENNIUM AIR - SEA SERVICE</t>
        </is>
      </c>
      <c r="X5" s="96" t="inlineStr">
        <is>
          <t>VFD</t>
        </is>
      </c>
      <c r="Y5" s="96" t="inlineStr">
        <is>
          <t>TIMES CARGO LOGISTIC CO., LTD</t>
        </is>
      </c>
      <c r="Z5" s="96" t="inlineStr">
        <is>
          <t>TIMES CARGO LOGISTIC CO., LTD</t>
        </is>
      </c>
      <c r="AA5" s="97" t="n">
        <v>4717.3</v>
      </c>
      <c r="AB5" s="96" t="inlineStr">
        <is>
          <t>LCH05</t>
        </is>
      </c>
      <c r="AC5" s="96" t="inlineStr">
        <is>
          <t>SGN03</t>
        </is>
      </c>
    </row>
    <row r="6" ht="12" customHeight="1">
      <c r="A6" s="96" t="inlineStr">
        <is>
          <t>HALU2316848</t>
        </is>
      </c>
      <c r="B6" s="161" t="inlineStr">
        <is>
          <t>2026-10-14</t>
        </is>
      </c>
      <c r="C6" s="96" t="inlineStr">
        <is>
          <t>PCCP</t>
        </is>
      </c>
      <c r="D6" s="96" t="inlineStr">
        <is>
          <t>2610N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LCH05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HASLS22260902724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KST</t>
        </is>
      </c>
      <c r="U6" s="97" t="n"/>
      <c r="V6" s="96" t="inlineStr">
        <is>
          <t>C7T23001</t>
        </is>
      </c>
      <c r="W6" s="96" t="inlineStr">
        <is>
          <t>PACIFIC SUGAR CORPORATION LIMITED</t>
        </is>
      </c>
      <c r="X6" s="96" t="inlineStr">
        <is>
          <t>VED</t>
        </is>
      </c>
      <c r="Y6" s="96" t="inlineStr">
        <is>
          <t>TO ORDER</t>
        </is>
      </c>
      <c r="Z6" s="96" t="inlineStr">
        <is>
          <t>HOA THANG SEAFOOD COMPANY LIMITED</t>
        </is>
      </c>
      <c r="AA6" s="97" t="n">
        <v>25085</v>
      </c>
      <c r="AB6" s="96" t="inlineStr">
        <is>
          <t>LCH05</t>
        </is>
      </c>
      <c r="AC6" s="96" t="inlineStr">
        <is>
          <t>SGN03</t>
        </is>
      </c>
    </row>
    <row r="7" ht="12" customHeight="1">
      <c r="A7" s="96" t="inlineStr">
        <is>
          <t>HALU2321633</t>
        </is>
      </c>
      <c r="B7" s="161" t="inlineStr">
        <is>
          <t>2026-10-14</t>
        </is>
      </c>
      <c r="C7" s="96" t="inlineStr">
        <is>
          <t>PCCP</t>
        </is>
      </c>
      <c r="D7" s="96" t="inlineStr">
        <is>
          <t>2610N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KRINC</t>
        </is>
      </c>
      <c r="J7" s="96" t="inlineStr">
        <is>
          <t>KRINC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LCH05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HASLS22260902139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KST</t>
        </is>
      </c>
      <c r="U7" s="97" t="n"/>
      <c r="V7" s="96" t="inlineStr">
        <is>
          <t>C7T23001</t>
        </is>
      </c>
      <c r="W7" s="96" t="inlineStr">
        <is>
          <t>SRI TRANG GLOVES (THAILAND) PUBLIC</t>
        </is>
      </c>
      <c r="X7" s="96" t="inlineStr">
        <is>
          <t>VFD</t>
        </is>
      </c>
      <c r="Y7" s="96" t="inlineStr">
        <is>
          <t>AURUM DENTAL CO.,LTD.</t>
        </is>
      </c>
      <c r="Z7" s="96" t="inlineStr">
        <is>
          <t>PALAN GLOBAL CO.,LTD</t>
        </is>
      </c>
      <c r="AA7" s="97" t="n">
        <v>7368.912</v>
      </c>
      <c r="AB7" s="96" t="inlineStr">
        <is>
          <t>LCH05</t>
        </is>
      </c>
      <c r="AC7" s="96" t="inlineStr">
        <is>
          <t>INC07</t>
        </is>
      </c>
    </row>
    <row r="8" ht="12" customHeight="1">
      <c r="A8" s="96" t="inlineStr">
        <is>
          <t>HALU2403069</t>
        </is>
      </c>
      <c r="B8" s="161" t="inlineStr">
        <is>
          <t>2026-10-14</t>
        </is>
      </c>
      <c r="C8" s="96" t="inlineStr">
        <is>
          <t>PCCP</t>
        </is>
      </c>
      <c r="D8" s="96" t="inlineStr">
        <is>
          <t>2610N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LCH05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HASLS22260902122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KST</t>
        </is>
      </c>
      <c r="U8" s="97" t="n"/>
      <c r="V8" s="96" t="inlineStr">
        <is>
          <t>C0124002</t>
        </is>
      </c>
      <c r="W8" s="96" t="inlineStr">
        <is>
          <t>PTT GLOBAL CHEMICAL PUBLIC COMPANY</t>
        </is>
      </c>
      <c r="X8" s="96" t="inlineStr">
        <is>
          <t>VFD</t>
        </is>
      </c>
      <c r="Y8" s="96" t="inlineStr">
        <is>
          <t>TO ORDER OF VIETINBANK BADINH</t>
        </is>
      </c>
      <c r="Z8" s="96" t="inlineStr">
        <is>
          <t>PACIFIC TRADING AND PRODUCTION</t>
        </is>
      </c>
      <c r="AA8" s="97" t="n">
        <v>18072</v>
      </c>
      <c r="AB8" s="96" t="inlineStr">
        <is>
          <t>LCH05</t>
        </is>
      </c>
      <c r="AC8" s="96" t="inlineStr">
        <is>
          <t>SGN03</t>
        </is>
      </c>
    </row>
    <row r="9" ht="12" customHeight="1">
      <c r="A9" s="96" t="inlineStr">
        <is>
          <t>HALU2446190</t>
        </is>
      </c>
      <c r="B9" s="161" t="inlineStr">
        <is>
          <t>2026-10-14</t>
        </is>
      </c>
      <c r="C9" s="96" t="inlineStr">
        <is>
          <t>PCCP</t>
        </is>
      </c>
      <c r="D9" s="96" t="inlineStr">
        <is>
          <t>2610N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KRPUS</t>
        </is>
      </c>
      <c r="J9" s="96" t="inlineStr">
        <is>
          <t>JPIYM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LCH05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HASLS22260902464</t>
        </is>
      </c>
      <c r="R9" s="96" t="inlineStr">
        <is>
          <t>Y</t>
        </is>
      </c>
      <c r="S9" s="96" t="inlineStr">
        <is>
          <t>N</t>
        </is>
      </c>
      <c r="T9" s="96" t="inlineStr">
        <is>
          <t>KST</t>
        </is>
      </c>
      <c r="U9" s="97" t="n"/>
      <c r="V9" s="96" t="inlineStr">
        <is>
          <t>C0324009</t>
        </is>
      </c>
      <c r="W9" s="96" t="inlineStr">
        <is>
          <t>PTT GLOBAL CHEMICAL PUBLIC COMPANY</t>
        </is>
      </c>
      <c r="X9" s="96" t="inlineStr">
        <is>
          <t>VED</t>
        </is>
      </c>
      <c r="Y9" s="96" t="inlineStr">
        <is>
          <t>MARUBENI INNOVEXIS CORPORATION</t>
        </is>
      </c>
      <c r="Z9" s="96" t="inlineStr">
        <is>
          <t>MARUBENI INNOVEXIS CORPORATION</t>
        </is>
      </c>
      <c r="AA9" s="97" t="n">
        <v>16160</v>
      </c>
      <c r="AB9" s="96" t="inlineStr">
        <is>
          <t>LCH05</t>
        </is>
      </c>
      <c r="AC9" s="96" t="inlineStr">
        <is>
          <t>IYM02</t>
        </is>
      </c>
    </row>
    <row r="10" ht="12" customHeight="1">
      <c r="A10" s="96" t="inlineStr">
        <is>
          <t>HALU2515475</t>
        </is>
      </c>
      <c r="B10" s="161" t="inlineStr">
        <is>
          <t>2026-10-14</t>
        </is>
      </c>
      <c r="C10" s="96" t="inlineStr">
        <is>
          <t>PCCP</t>
        </is>
      </c>
      <c r="D10" s="96" t="inlineStr">
        <is>
          <t>2610N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LCH05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HASLS22260902756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KST</t>
        </is>
      </c>
      <c r="U10" s="97" t="n"/>
      <c r="V10" s="96" t="inlineStr">
        <is>
          <t>C0125002</t>
        </is>
      </c>
      <c r="W10" s="96" t="inlineStr">
        <is>
          <t>PTT GLOBAL CHEMICAL PUBLIC COMPANY</t>
        </is>
      </c>
      <c r="X10" s="96" t="inlineStr">
        <is>
          <t>VED</t>
        </is>
      </c>
      <c r="Y10" s="96" t="inlineStr">
        <is>
          <t>TO ORDER OF TECHCOMBANK - CHO LON</t>
        </is>
      </c>
      <c r="Z10" s="96" t="inlineStr">
        <is>
          <t>VIET NAM PLASTIC COMPANY LIMITED</t>
        </is>
      </c>
      <c r="AA10" s="97" t="n">
        <v>18072</v>
      </c>
      <c r="AB10" s="96" t="inlineStr">
        <is>
          <t>LCH05</t>
        </is>
      </c>
      <c r="AC10" s="96" t="inlineStr">
        <is>
          <t>SGN03</t>
        </is>
      </c>
    </row>
    <row r="11" ht="12" customHeight="1">
      <c r="A11" s="96" t="inlineStr">
        <is>
          <t>HALU2526736</t>
        </is>
      </c>
      <c r="B11" s="161" t="inlineStr">
        <is>
          <t>2026-10-14</t>
        </is>
      </c>
      <c r="C11" s="96" t="inlineStr">
        <is>
          <t>PCCP</t>
        </is>
      </c>
      <c r="D11" s="96" t="inlineStr">
        <is>
          <t>2610N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KRPUS</t>
        </is>
      </c>
      <c r="J11" s="96" t="inlineStr">
        <is>
          <t>JPIYM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LCH05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HASLS22260902464</t>
        </is>
      </c>
      <c r="R11" s="96" t="inlineStr">
        <is>
          <t>Y</t>
        </is>
      </c>
      <c r="S11" s="96" t="inlineStr">
        <is>
          <t>N</t>
        </is>
      </c>
      <c r="T11" s="96" t="inlineStr">
        <is>
          <t>KST</t>
        </is>
      </c>
      <c r="U11" s="97" t="n"/>
      <c r="V11" s="96" t="inlineStr">
        <is>
          <t>C0125002</t>
        </is>
      </c>
      <c r="W11" s="96" t="inlineStr">
        <is>
          <t>PTT GLOBAL CHEMICAL PUBLIC COMPANY</t>
        </is>
      </c>
      <c r="X11" s="96" t="inlineStr">
        <is>
          <t>VFD</t>
        </is>
      </c>
      <c r="Y11" s="96" t="inlineStr">
        <is>
          <t>MARUBENI INNOVEXIS CORPORATION</t>
        </is>
      </c>
      <c r="Z11" s="96" t="inlineStr">
        <is>
          <t>MARUBENI INNOVEXIS CORPORATION</t>
        </is>
      </c>
      <c r="AA11" s="97" t="n">
        <v>16160</v>
      </c>
      <c r="AB11" s="96" t="inlineStr">
        <is>
          <t>LCH05</t>
        </is>
      </c>
      <c r="AC11" s="96" t="inlineStr">
        <is>
          <t>IYM02</t>
        </is>
      </c>
    </row>
    <row r="12" ht="12" customHeight="1">
      <c r="A12" s="96" t="inlineStr">
        <is>
          <t>HALU2536760</t>
        </is>
      </c>
      <c r="B12" s="161" t="inlineStr">
        <is>
          <t>2026-10-14</t>
        </is>
      </c>
      <c r="C12" s="96" t="inlineStr">
        <is>
          <t>PCCP</t>
        </is>
      </c>
      <c r="D12" s="96" t="inlineStr">
        <is>
          <t>2610N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KRPUS</t>
        </is>
      </c>
      <c r="J12" s="96" t="inlineStr">
        <is>
          <t>JPNGO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LCH05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HASLS22260902026</t>
        </is>
      </c>
      <c r="R12" s="96" t="inlineStr">
        <is>
          <t>Y</t>
        </is>
      </c>
      <c r="S12" s="96" t="inlineStr">
        <is>
          <t>N</t>
        </is>
      </c>
      <c r="T12" s="96" t="inlineStr">
        <is>
          <t>KST</t>
        </is>
      </c>
      <c r="U12" s="97" t="n"/>
      <c r="V12" s="96" t="inlineStr">
        <is>
          <t>C0125002</t>
        </is>
      </c>
      <c r="W12" s="96" t="inlineStr">
        <is>
          <t>SIAM POLYETHYLENE CO., LTD.</t>
        </is>
      </c>
      <c r="X12" s="96" t="inlineStr">
        <is>
          <t>RTN</t>
        </is>
      </c>
      <c r="Y12" s="96" t="inlineStr">
        <is>
          <t>DOW CHEMICAL JAPAN LIMITED</t>
        </is>
      </c>
      <c r="Z12" s="96" t="inlineStr">
        <is>
          <t>THE SHIBUSAWA WAREHOUSE CO., LTD.</t>
        </is>
      </c>
      <c r="AA12" s="97" t="n">
        <v>16420</v>
      </c>
      <c r="AB12" s="96" t="inlineStr">
        <is>
          <t>LCH05</t>
        </is>
      </c>
      <c r="AC12" s="96" t="inlineStr">
        <is>
          <t>NGO01</t>
        </is>
      </c>
    </row>
    <row r="13" ht="12" customHeight="1">
      <c r="A13" s="96" t="inlineStr">
        <is>
          <t>HALU2569867</t>
        </is>
      </c>
      <c r="B13" s="161" t="inlineStr">
        <is>
          <t>2026-10-14</t>
        </is>
      </c>
      <c r="C13" s="96" t="inlineStr">
        <is>
          <t>PCCP</t>
        </is>
      </c>
      <c r="D13" s="96" t="inlineStr">
        <is>
          <t>2610N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LCH05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HASLS22261000607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KST</t>
        </is>
      </c>
      <c r="U13" s="97" t="n"/>
      <c r="V13" s="96" t="inlineStr">
        <is>
          <t>C0325006</t>
        </is>
      </c>
      <c r="W13" s="96" t="inlineStr">
        <is>
          <t>WORLDNET EXPRESS CO.,LTD.</t>
        </is>
      </c>
      <c r="X13" s="96" t="inlineStr">
        <is>
          <t>VFD</t>
        </is>
      </c>
      <c r="Y13" s="96" t="inlineStr">
        <is>
          <t>ASAP INTERNATIONAL CO., LTD.</t>
        </is>
      </c>
      <c r="Z13" s="96" t="inlineStr">
        <is>
          <t>ASAP INTERNATIONAL CO.,LTD</t>
        </is>
      </c>
      <c r="AA13" s="97" t="n">
        <v>4776</v>
      </c>
      <c r="AB13" s="96" t="inlineStr">
        <is>
          <t>LCH05</t>
        </is>
      </c>
      <c r="AC13" s="96" t="inlineStr">
        <is>
          <t>SGN03</t>
        </is>
      </c>
    </row>
    <row r="14" ht="12" customHeight="1">
      <c r="A14" s="96" t="inlineStr">
        <is>
          <t>HALU8504307</t>
        </is>
      </c>
      <c r="B14" s="161" t="inlineStr">
        <is>
          <t>2026-10-14</t>
        </is>
      </c>
      <c r="C14" s="96" t="inlineStr">
        <is>
          <t>PCCP</t>
        </is>
      </c>
      <c r="D14" s="96" t="inlineStr">
        <is>
          <t>2610N</t>
        </is>
      </c>
      <c r="E14" s="96" t="inlineStr">
        <is>
          <t>45RE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KRPUS</t>
        </is>
      </c>
      <c r="J14" s="96" t="inlineStr">
        <is>
          <t>JPTMK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LCH05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HASLS22260900095</t>
        </is>
      </c>
      <c r="R14" s="96" t="inlineStr">
        <is>
          <t>Y</t>
        </is>
      </c>
      <c r="S14" s="96" t="inlineStr">
        <is>
          <t>N</t>
        </is>
      </c>
      <c r="T14" s="96" t="inlineStr">
        <is>
          <t>KST</t>
        </is>
      </c>
      <c r="U14" s="97" t="n"/>
      <c r="V14" s="96" t="inlineStr">
        <is>
          <t>C0825001</t>
        </is>
      </c>
      <c r="W14" s="96" t="inlineStr">
        <is>
          <t>THAI NIPPON FOODS CO. , LTD.</t>
        </is>
      </c>
      <c r="X14" s="96" t="inlineStr">
        <is>
          <t>VFD</t>
        </is>
      </c>
      <c r="Y14" s="96" t="inlineStr">
        <is>
          <t>JAPAN FOOD CORPORATION</t>
        </is>
      </c>
      <c r="Z14" s="96" t="inlineStr">
        <is>
          <t>JAPAN FOOD CORPORATION</t>
        </is>
      </c>
      <c r="AA14" s="97" t="n">
        <v>13924</v>
      </c>
      <c r="AB14" s="96" t="inlineStr">
        <is>
          <t>LCH05</t>
        </is>
      </c>
      <c r="AC14" s="96" t="inlineStr">
        <is>
          <t>TMK03</t>
        </is>
      </c>
    </row>
    <row r="15" ht="12" customHeight="1">
      <c r="A15" s="96" t="inlineStr">
        <is>
          <t>HLHU6424168</t>
        </is>
      </c>
      <c r="B15" s="161" t="inlineStr">
        <is>
          <t>2026-10-14</t>
        </is>
      </c>
      <c r="C15" s="96" t="inlineStr">
        <is>
          <t>PCCP</t>
        </is>
      </c>
      <c r="D15" s="96" t="inlineStr">
        <is>
          <t>2610N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LCH05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HASLS22260902333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KST</t>
        </is>
      </c>
      <c r="U15" s="97" t="n"/>
      <c r="V15" s="96" t="inlineStr">
        <is>
          <t>C0724001</t>
        </is>
      </c>
      <c r="W15" s="96" t="inlineStr">
        <is>
          <t>MILLENNIUM AIR - SEA SERVICE</t>
        </is>
      </c>
      <c r="X15" s="96" t="inlineStr">
        <is>
          <t>VFD</t>
        </is>
      </c>
      <c r="Y15" s="96" t="inlineStr">
        <is>
          <t>TIMES CARGO LOGISTIC CO., LTD</t>
        </is>
      </c>
      <c r="Z15" s="96" t="inlineStr">
        <is>
          <t>TIMES CARGO LOGISTIC CO., LTD</t>
        </is>
      </c>
      <c r="AA15" s="97" t="n">
        <v>6391.7</v>
      </c>
      <c r="AB15" s="96" t="inlineStr">
        <is>
          <t>LCH05</t>
        </is>
      </c>
      <c r="AC15" s="96" t="inlineStr">
        <is>
          <t>SGN03</t>
        </is>
      </c>
    </row>
    <row r="16" ht="12" customHeight="1">
      <c r="A16" s="96" t="inlineStr">
        <is>
          <t>HLHU8112575</t>
        </is>
      </c>
      <c r="B16" s="161" t="inlineStr">
        <is>
          <t>2026-10-14</t>
        </is>
      </c>
      <c r="C16" s="96" t="inlineStr">
        <is>
          <t>PCCP</t>
        </is>
      </c>
      <c r="D16" s="96" t="inlineStr">
        <is>
          <t>2610N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LCH05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HASLS22260902835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KST</t>
        </is>
      </c>
      <c r="U16" s="97" t="n"/>
      <c r="V16" s="96" t="inlineStr">
        <is>
          <t>C0521004</t>
        </is>
      </c>
      <c r="W16" s="96" t="inlineStr">
        <is>
          <t>KORCHINA FREIGHT(THAILAND)CO.,LTD.</t>
        </is>
      </c>
      <c r="X16" s="96" t="inlineStr">
        <is>
          <t>VED</t>
        </is>
      </c>
      <c r="Y16" s="96" t="inlineStr">
        <is>
          <t>HS HYOSUNG GLOBAL LOGISTICS VINA</t>
        </is>
      </c>
      <c r="Z16" s="96" t="inlineStr">
        <is>
          <t>HS HYOSUNG GLOBAL LOGISTICS VINA</t>
        </is>
      </c>
      <c r="AA16" s="97" t="n">
        <v>16352</v>
      </c>
      <c r="AB16" s="96" t="inlineStr">
        <is>
          <t>LCH05</t>
        </is>
      </c>
      <c r="AC16" s="96" t="inlineStr">
        <is>
          <t>SGN03</t>
        </is>
      </c>
    </row>
    <row r="17" ht="12" customHeight="1">
      <c r="A17" s="96" t="inlineStr">
        <is>
          <t>HLHU8205256</t>
        </is>
      </c>
      <c r="B17" s="161" t="inlineStr">
        <is>
          <t>2026-10-14</t>
        </is>
      </c>
      <c r="C17" s="96" t="inlineStr">
        <is>
          <t>PCCP</t>
        </is>
      </c>
      <c r="D17" s="96" t="inlineStr">
        <is>
          <t>2610N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LCH05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HASLS22260900460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KST</t>
        </is>
      </c>
      <c r="U17" s="97" t="n"/>
      <c r="V17" s="96" t="inlineStr">
        <is>
          <t>C0522001</t>
        </is>
      </c>
      <c r="W17" s="96" t="inlineStr">
        <is>
          <t>PTT GLOBAL CHEMICAL PUBLIC COMPANY</t>
        </is>
      </c>
      <c r="X17" s="96" t="inlineStr">
        <is>
          <t>VFD</t>
        </is>
      </c>
      <c r="Y17" s="96" t="inlineStr">
        <is>
          <t>SRITHAI (VIETNAM) CO., LTD</t>
        </is>
      </c>
      <c r="Z17" s="96" t="inlineStr">
        <is>
          <t>SRITHAI (VIETNAM) CO., LTD</t>
        </is>
      </c>
      <c r="AA17" s="97" t="n">
        <v>25755</v>
      </c>
      <c r="AB17" s="96" t="inlineStr">
        <is>
          <t>LCH05</t>
        </is>
      </c>
      <c r="AC17" s="96" t="inlineStr">
        <is>
          <t>SGN03</t>
        </is>
      </c>
    </row>
    <row r="18" ht="12" customHeight="1">
      <c r="A18" s="96" t="inlineStr">
        <is>
          <t>HLHU8348642</t>
        </is>
      </c>
      <c r="B18" s="161" t="inlineStr">
        <is>
          <t>2026-10-14</t>
        </is>
      </c>
      <c r="C18" s="96" t="inlineStr">
        <is>
          <t>PCCP</t>
        </is>
      </c>
      <c r="D18" s="96" t="inlineStr">
        <is>
          <t>2610N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LCH05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HASLS22260900820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KST</t>
        </is>
      </c>
      <c r="U18" s="97" t="n"/>
      <c r="V18" s="96" t="inlineStr">
        <is>
          <t>C0723003</t>
        </is>
      </c>
      <c r="W18" s="96" t="inlineStr">
        <is>
          <t>LOGMAN INTERNATIONAL CO.,LTD.</t>
        </is>
      </c>
      <c r="X18" s="96" t="inlineStr">
        <is>
          <t>VFD</t>
        </is>
      </c>
      <c r="Y18" s="96" t="inlineStr">
        <is>
          <t>CARGOES LINKS TRANSPORTATION CO LTD</t>
        </is>
      </c>
      <c r="Z18" s="96" t="inlineStr">
        <is>
          <t>CARGOES LINKS TRANSPORTATION CO LTD</t>
        </is>
      </c>
      <c r="AA18" s="97" t="n">
        <v>17015.495</v>
      </c>
      <c r="AB18" s="96" t="inlineStr">
        <is>
          <t>LCH05</t>
        </is>
      </c>
      <c r="AC18" s="96" t="inlineStr">
        <is>
          <t>SGN03</t>
        </is>
      </c>
    </row>
    <row r="19" ht="12" customHeight="1">
      <c r="A19" s="96" t="inlineStr">
        <is>
          <t>HLHU8412654</t>
        </is>
      </c>
      <c r="B19" s="161" t="inlineStr">
        <is>
          <t>2026-10-14</t>
        </is>
      </c>
      <c r="C19" s="96" t="inlineStr">
        <is>
          <t>PCCP</t>
        </is>
      </c>
      <c r="D19" s="96" t="inlineStr">
        <is>
          <t>2610N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LCH05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HASLS22260902255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KST</t>
        </is>
      </c>
      <c r="U19" s="97" t="n"/>
      <c r="V19" s="96" t="inlineStr">
        <is>
          <t>C0124001</t>
        </is>
      </c>
      <c r="W19" s="96" t="inlineStr">
        <is>
          <t>HMC POLYMERS CO., LTD.</t>
        </is>
      </c>
      <c r="X19" s="96" t="inlineStr">
        <is>
          <t>VFD</t>
        </is>
      </c>
      <c r="Y19" s="96" t="inlineStr">
        <is>
          <t>TO ORDER OF VIETNAM JOINT STOCK</t>
        </is>
      </c>
      <c r="Z19" s="96" t="inlineStr">
        <is>
          <t>KY PHAT CORPORATION</t>
        </is>
      </c>
      <c r="AA19" s="97" t="n">
        <v>24624</v>
      </c>
      <c r="AB19" s="96" t="inlineStr">
        <is>
          <t>LCH05</t>
        </is>
      </c>
      <c r="AC19" s="96" t="inlineStr">
        <is>
          <t>SGN03</t>
        </is>
      </c>
    </row>
    <row r="20" ht="12" customHeight="1">
      <c r="A20" s="96" t="inlineStr">
        <is>
          <t>HLHU8453632</t>
        </is>
      </c>
      <c r="B20" s="161" t="inlineStr">
        <is>
          <t>2026-10-14</t>
        </is>
      </c>
      <c r="C20" s="96" t="inlineStr">
        <is>
          <t>PCCP</t>
        </is>
      </c>
      <c r="D20" s="96" t="inlineStr">
        <is>
          <t>2610N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LCH05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HASLS22260902255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KST</t>
        </is>
      </c>
      <c r="U20" s="97" t="n"/>
      <c r="V20" s="96" t="inlineStr">
        <is>
          <t>C5624002</t>
        </is>
      </c>
      <c r="W20" s="96" t="inlineStr">
        <is>
          <t>HMC POLYMERS CO., LTD.</t>
        </is>
      </c>
      <c r="X20" s="96" t="inlineStr">
        <is>
          <t>VFD</t>
        </is>
      </c>
      <c r="Y20" s="96" t="inlineStr">
        <is>
          <t>TO ORDER OF VIETNAM JOINT STOCK</t>
        </is>
      </c>
      <c r="Z20" s="96" t="inlineStr">
        <is>
          <t>KY PHAT CORPORATION</t>
        </is>
      </c>
      <c r="AA20" s="97" t="n">
        <v>24624</v>
      </c>
      <c r="AB20" s="96" t="inlineStr">
        <is>
          <t>LCH05</t>
        </is>
      </c>
      <c r="AC20" s="96" t="inlineStr">
        <is>
          <t>SGN03</t>
        </is>
      </c>
    </row>
    <row r="21" ht="12" customHeight="1">
      <c r="A21" s="96" t="inlineStr">
        <is>
          <t>SKHU6362905</t>
        </is>
      </c>
      <c r="B21" s="161" t="inlineStr">
        <is>
          <t>2026-10-14</t>
        </is>
      </c>
      <c r="C21" s="96" t="inlineStr">
        <is>
          <t>PCCP</t>
        </is>
      </c>
      <c r="D21" s="96" t="inlineStr">
        <is>
          <t>2610N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LCH05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HASLS22260900460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KST</t>
        </is>
      </c>
      <c r="U21" s="97" t="n"/>
      <c r="V21" s="96" t="inlineStr">
        <is>
          <t>K0120023</t>
        </is>
      </c>
      <c r="W21" s="96" t="inlineStr">
        <is>
          <t>PTT GLOBAL CHEMICAL PUBLIC COMPANY</t>
        </is>
      </c>
      <c r="X21" s="96" t="inlineStr">
        <is>
          <t>VFD</t>
        </is>
      </c>
      <c r="Y21" s="96" t="inlineStr">
        <is>
          <t>SRITHAI (VIETNAM) CO., LTD</t>
        </is>
      </c>
      <c r="Z21" s="96" t="inlineStr">
        <is>
          <t>SRITHAI (VIETNAM) CO., LTD</t>
        </is>
      </c>
      <c r="AA21" s="97" t="n">
        <v>25755</v>
      </c>
      <c r="AB21" s="96" t="inlineStr">
        <is>
          <t>LCH05</t>
        </is>
      </c>
      <c r="AC21" s="96" t="inlineStr">
        <is>
          <t>SGN03</t>
        </is>
      </c>
    </row>
    <row r="22" ht="12" customHeight="1">
      <c r="A22" s="96" t="inlineStr">
        <is>
          <t>SKHU6395730</t>
        </is>
      </c>
      <c r="B22" s="161" t="inlineStr">
        <is>
          <t>2026-10-14</t>
        </is>
      </c>
      <c r="C22" s="96" t="inlineStr">
        <is>
          <t>PCCP</t>
        </is>
      </c>
      <c r="D22" s="96" t="inlineStr">
        <is>
          <t>2610N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LCH05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HASLS22260901767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KST</t>
        </is>
      </c>
      <c r="U22" s="97" t="n"/>
      <c r="V22" s="96" t="inlineStr">
        <is>
          <t>K0120023</t>
        </is>
      </c>
      <c r="W22" s="96" t="inlineStr">
        <is>
          <t>MERCURIAL LOGISTICS CO., LTD.</t>
        </is>
      </c>
      <c r="X22" s="96" t="inlineStr">
        <is>
          <t>VFD</t>
        </is>
      </c>
      <c r="Y22" s="96" t="inlineStr">
        <is>
          <t>LOGIWORLD VIETNAM CO LTD</t>
        </is>
      </c>
      <c r="Z22" s="96" t="inlineStr">
        <is>
          <t>LOGIWORLD VIETNAM CO LTD</t>
        </is>
      </c>
      <c r="AA22" s="97" t="n">
        <v>21651</v>
      </c>
      <c r="AB22" s="96" t="inlineStr">
        <is>
          <t>LCH05</t>
        </is>
      </c>
      <c r="AC22" s="96" t="inlineStr">
        <is>
          <t>SGN03</t>
        </is>
      </c>
    </row>
    <row r="23" ht="12" customHeight="1">
      <c r="A23" s="96" t="inlineStr">
        <is>
          <t>SKHU6422650</t>
        </is>
      </c>
      <c r="B23" s="161" t="inlineStr">
        <is>
          <t>2026-10-14</t>
        </is>
      </c>
      <c r="C23" s="96" t="inlineStr">
        <is>
          <t>PCCP</t>
        </is>
      </c>
      <c r="D23" s="96" t="inlineStr">
        <is>
          <t>2610N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LCH05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HASLS22260900212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KST</t>
        </is>
      </c>
      <c r="U23" s="97" t="n"/>
      <c r="V23" s="96" t="inlineStr">
        <is>
          <t>K0120023</t>
        </is>
      </c>
      <c r="W23" s="96" t="inlineStr">
        <is>
          <t>SIAM INDUSTRY ADHESIVE TAPES</t>
        </is>
      </c>
      <c r="X23" s="96" t="inlineStr">
        <is>
          <t>VFD</t>
        </is>
      </c>
      <c r="Y23" s="96" t="inlineStr">
        <is>
          <t>THAI INTERTAPE VIETNAM CO.,LTD.</t>
        </is>
      </c>
      <c r="Z23" s="96" t="inlineStr">
        <is>
          <t>THAI INTERTAPE VIETNAM CO.,LTD.</t>
        </is>
      </c>
      <c r="AA23" s="97" t="n">
        <v>5441.77</v>
      </c>
      <c r="AB23" s="96" t="inlineStr">
        <is>
          <t>LCH05</t>
        </is>
      </c>
      <c r="AC23" s="96" t="inlineStr">
        <is>
          <t>SGN03</t>
        </is>
      </c>
    </row>
    <row r="24" ht="12" customHeight="1">
      <c r="A24" s="96" t="inlineStr">
        <is>
          <t>SKHU6469745</t>
        </is>
      </c>
      <c r="B24" s="161" t="inlineStr">
        <is>
          <t>2026-10-14</t>
        </is>
      </c>
      <c r="C24" s="96" t="inlineStr">
        <is>
          <t>PCCP</t>
        </is>
      </c>
      <c r="D24" s="96" t="inlineStr">
        <is>
          <t>2610N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LCH05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HASLS22260902255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KST</t>
        </is>
      </c>
      <c r="U24" s="97" t="n"/>
      <c r="V24" s="96" t="inlineStr">
        <is>
          <t>K0120023</t>
        </is>
      </c>
      <c r="W24" s="96" t="inlineStr">
        <is>
          <t>HMC POLYMERS CO., LTD.</t>
        </is>
      </c>
      <c r="X24" s="96" t="inlineStr">
        <is>
          <t>ONL</t>
        </is>
      </c>
      <c r="Y24" s="96" t="inlineStr">
        <is>
          <t>TO ORDER OF VIETNAM JOINT STOCK</t>
        </is>
      </c>
      <c r="Z24" s="96" t="inlineStr">
        <is>
          <t>KY PHAT CORPORATION</t>
        </is>
      </c>
      <c r="AA24" s="97" t="n">
        <v>24624</v>
      </c>
      <c r="AB24" s="96" t="inlineStr">
        <is>
          <t>LCH05</t>
        </is>
      </c>
      <c r="AC24" s="96" t="inlineStr">
        <is>
          <t>SGN03</t>
        </is>
      </c>
    </row>
    <row r="25" ht="12" customHeight="1">
      <c r="A25" s="96" t="inlineStr">
        <is>
          <t>SKHU6520030</t>
        </is>
      </c>
      <c r="B25" s="161" t="inlineStr">
        <is>
          <t>2026-10-14</t>
        </is>
      </c>
      <c r="C25" s="96" t="inlineStr">
        <is>
          <t>PCCP</t>
        </is>
      </c>
      <c r="D25" s="96" t="inlineStr">
        <is>
          <t>2610N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LCH05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HASLS22260900460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KST</t>
        </is>
      </c>
      <c r="U25" s="97" t="n"/>
      <c r="V25" s="96" t="inlineStr">
        <is>
          <t>K0120023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SRITHAI (VIETNAM) CO., LTD</t>
        </is>
      </c>
      <c r="Z25" s="96" t="inlineStr">
        <is>
          <t>SRITHAI (VIETNAM) CO., LTD</t>
        </is>
      </c>
      <c r="AA25" s="97" t="n">
        <v>25755</v>
      </c>
      <c r="AB25" s="96" t="inlineStr">
        <is>
          <t>LCH05</t>
        </is>
      </c>
      <c r="AC25" s="96" t="inlineStr">
        <is>
          <t>SGN03</t>
        </is>
      </c>
    </row>
    <row r="26" ht="12" customHeight="1">
      <c r="A26" s="96" t="inlineStr">
        <is>
          <t>SKHU8421967</t>
        </is>
      </c>
      <c r="B26" s="161" t="inlineStr">
        <is>
          <t>2026-10-14</t>
        </is>
      </c>
      <c r="C26" s="96" t="inlineStr">
        <is>
          <t>PCCP</t>
        </is>
      </c>
      <c r="D26" s="96" t="inlineStr">
        <is>
          <t>2610N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LCH05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HASLS22260900460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KST</t>
        </is>
      </c>
      <c r="U26" s="97" t="n"/>
      <c r="V26" s="96" t="inlineStr">
        <is>
          <t>K0120023</t>
        </is>
      </c>
      <c r="W26" s="96" t="inlineStr">
        <is>
          <t>PTT GLOBAL CHEMICAL PUBLIC COMPANY</t>
        </is>
      </c>
      <c r="X26" s="96" t="inlineStr">
        <is>
          <t>VFD</t>
        </is>
      </c>
      <c r="Y26" s="96" t="inlineStr">
        <is>
          <t>SRITHAI (VIETNAM) CO., LTD</t>
        </is>
      </c>
      <c r="Z26" s="96" t="inlineStr">
        <is>
          <t>SRITHAI (VIETNAM) CO., LTD</t>
        </is>
      </c>
      <c r="AA26" s="97" t="n">
        <v>25755</v>
      </c>
      <c r="AB26" s="96" t="inlineStr">
        <is>
          <t>LCH05</t>
        </is>
      </c>
      <c r="AC26" s="96" t="inlineStr">
        <is>
          <t>SGN03</t>
        </is>
      </c>
    </row>
    <row r="27" ht="12" customHeight="1">
      <c r="A27" s="96" t="inlineStr">
        <is>
          <t>SKHU8433551</t>
        </is>
      </c>
      <c r="B27" s="161" t="inlineStr">
        <is>
          <t>2026-10-14</t>
        </is>
      </c>
      <c r="C27" s="96" t="inlineStr">
        <is>
          <t>PCCP</t>
        </is>
      </c>
      <c r="D27" s="96" t="inlineStr">
        <is>
          <t>2610N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LCH05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HASLS22261000198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KST</t>
        </is>
      </c>
      <c r="U27" s="97" t="n"/>
      <c r="V27" s="96" t="inlineStr">
        <is>
          <t>K0120023</t>
        </is>
      </c>
      <c r="W27" s="96" t="inlineStr">
        <is>
          <t>CAPRICORN LOGISTICS CO., LTD.</t>
        </is>
      </c>
      <c r="X27" s="96" t="inlineStr">
        <is>
          <t>VFD</t>
        </is>
      </c>
      <c r="Y27" s="96" t="inlineStr">
        <is>
          <t>BLUE OCEAN INTERNATIONAL SHIPPING</t>
        </is>
      </c>
      <c r="Z27" s="96" t="inlineStr">
        <is>
          <t>BLUE OCEAN INTERNATIONAL SHIPPING</t>
        </is>
      </c>
      <c r="AA27" s="97" t="n">
        <v>16630.974</v>
      </c>
      <c r="AB27" s="96" t="inlineStr">
        <is>
          <t>LCH05</t>
        </is>
      </c>
      <c r="AC27" s="96" t="inlineStr">
        <is>
          <t>SGN03</t>
        </is>
      </c>
    </row>
    <row r="28" ht="12" customHeight="1">
      <c r="A28" s="96" t="inlineStr">
        <is>
          <t>SKHU8925762</t>
        </is>
      </c>
      <c r="B28" s="161" t="inlineStr">
        <is>
          <t>2026-10-14</t>
        </is>
      </c>
      <c r="C28" s="96" t="inlineStr">
        <is>
          <t>PCCP</t>
        </is>
      </c>
      <c r="D28" s="96" t="inlineStr">
        <is>
          <t>2610N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LCH05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HASLS22260900460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KST</t>
        </is>
      </c>
      <c r="U28" s="97" t="n"/>
      <c r="V28" s="96" t="inlineStr">
        <is>
          <t>K0120023</t>
        </is>
      </c>
      <c r="W28" s="96" t="inlineStr">
        <is>
          <t>PTT GLOBAL CHEMICAL PUBLIC COMPANY</t>
        </is>
      </c>
      <c r="X28" s="96" t="inlineStr">
        <is>
          <t>VFD</t>
        </is>
      </c>
      <c r="Y28" s="96" t="inlineStr">
        <is>
          <t>SRITHAI (VIETNAM) CO., LTD</t>
        </is>
      </c>
      <c r="Z28" s="96" t="inlineStr">
        <is>
          <t>SRITHAI (VIETNAM) CO., LTD</t>
        </is>
      </c>
      <c r="AA28" s="97" t="n">
        <v>25755</v>
      </c>
      <c r="AB28" s="96" t="inlineStr">
        <is>
          <t>LCH05</t>
        </is>
      </c>
      <c r="AC28" s="96" t="inlineStr">
        <is>
          <t>SGN03</t>
        </is>
      </c>
    </row>
    <row r="29" ht="12" customHeight="1">
      <c r="A29" s="96" t="inlineStr">
        <is>
          <t>SKHU9601578</t>
        </is>
      </c>
      <c r="B29" s="161" t="inlineStr">
        <is>
          <t>2026-10-14</t>
        </is>
      </c>
      <c r="C29" s="96" t="inlineStr">
        <is>
          <t>PCCP</t>
        </is>
      </c>
      <c r="D29" s="96" t="inlineStr">
        <is>
          <t>2610N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LCH05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HASLS22260902255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KST</t>
        </is>
      </c>
      <c r="U29" s="97" t="n"/>
      <c r="V29" s="96" t="inlineStr">
        <is>
          <t>K0120023</t>
        </is>
      </c>
      <c r="W29" s="96" t="inlineStr">
        <is>
          <t>HMC POLYMERS CO., LTD.</t>
        </is>
      </c>
      <c r="X29" s="96" t="inlineStr">
        <is>
          <t>VFD</t>
        </is>
      </c>
      <c r="Y29" s="96" t="inlineStr">
        <is>
          <t>TO ORDER OF VIETNAM JOINT STOCK</t>
        </is>
      </c>
      <c r="Z29" s="96" t="inlineStr">
        <is>
          <t>KY PHAT CORPORATION</t>
        </is>
      </c>
      <c r="AA29" s="97" t="n">
        <v>24624</v>
      </c>
      <c r="AB29" s="96" t="inlineStr">
        <is>
          <t>LCH05</t>
        </is>
      </c>
      <c r="AC29" s="96" t="inlineStr">
        <is>
          <t>SGN03</t>
        </is>
      </c>
    </row>
    <row r="30" ht="12" customHeight="1">
      <c r="A30" s="96" t="inlineStr">
        <is>
          <t>SKHU9618478</t>
        </is>
      </c>
      <c r="B30" s="161" t="inlineStr">
        <is>
          <t>2026-10-14</t>
        </is>
      </c>
      <c r="C30" s="96" t="inlineStr">
        <is>
          <t>PCCP</t>
        </is>
      </c>
      <c r="D30" s="96" t="inlineStr">
        <is>
          <t>2610N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LCH05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HASLS22260902255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KST</t>
        </is>
      </c>
      <c r="U30" s="97" t="n"/>
      <c r="V30" s="96" t="inlineStr">
        <is>
          <t>K0120023</t>
        </is>
      </c>
      <c r="W30" s="96" t="inlineStr">
        <is>
          <t>HMC POLYMERS CO., LTD.</t>
        </is>
      </c>
      <c r="X30" s="96" t="inlineStr">
        <is>
          <t>ONL</t>
        </is>
      </c>
      <c r="Y30" s="96" t="inlineStr">
        <is>
          <t>TO ORDER OF VIETNAM JOINT STOCK</t>
        </is>
      </c>
      <c r="Z30" s="96" t="inlineStr">
        <is>
          <t>KY PHAT CORPORATION</t>
        </is>
      </c>
      <c r="AA30" s="97" t="n">
        <v>24624</v>
      </c>
      <c r="AB30" s="96" t="inlineStr">
        <is>
          <t>LCH05</t>
        </is>
      </c>
      <c r="AC30" s="96" t="inlineStr">
        <is>
          <t>SGN03</t>
        </is>
      </c>
    </row>
    <row r="31" ht="12" customHeight="1">
      <c r="A31" s="96" t="inlineStr">
        <is>
          <t>SKLU1307246</t>
        </is>
      </c>
      <c r="B31" s="161" t="inlineStr">
        <is>
          <t>2026-10-14</t>
        </is>
      </c>
      <c r="C31" s="96" t="inlineStr">
        <is>
          <t>PCCP</t>
        </is>
      </c>
      <c r="D31" s="96" t="inlineStr">
        <is>
          <t>2610N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KRPUS</t>
        </is>
      </c>
      <c r="J31" s="96" t="inlineStr">
        <is>
          <t>JPIYM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LCH05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HASLS22260900900</t>
        </is>
      </c>
      <c r="R31" s="96" t="inlineStr">
        <is>
          <t>Y</t>
        </is>
      </c>
      <c r="S31" s="96" t="inlineStr">
        <is>
          <t>N</t>
        </is>
      </c>
      <c r="T31" s="96" t="inlineStr">
        <is>
          <t>KST</t>
        </is>
      </c>
      <c r="U31" s="97" t="n"/>
      <c r="V31" s="96" t="inlineStr">
        <is>
          <t>K0120021</t>
        </is>
      </c>
      <c r="W31" s="96" t="inlineStr">
        <is>
          <t>PTT GLOBAL CHEMICAL PUBLIC COMPANY</t>
        </is>
      </c>
      <c r="X31" s="96" t="inlineStr">
        <is>
          <t>VED</t>
        </is>
      </c>
      <c r="Y31" s="96" t="inlineStr">
        <is>
          <t>MARUBENI INNOVEXIS CORPORATION</t>
        </is>
      </c>
      <c r="Z31" s="96" t="inlineStr">
        <is>
          <t>MARUBENI INNOVEXIS CORPORATION</t>
        </is>
      </c>
      <c r="AA31" s="97" t="n">
        <v>16160</v>
      </c>
      <c r="AB31" s="96" t="inlineStr">
        <is>
          <t>LCH05</t>
        </is>
      </c>
      <c r="AC31" s="96" t="inlineStr">
        <is>
          <t>IYM02</t>
        </is>
      </c>
    </row>
    <row r="32" ht="12" customHeight="1">
      <c r="A32" s="96" t="inlineStr">
        <is>
          <t>SKLU1431787</t>
        </is>
      </c>
      <c r="B32" s="161" t="inlineStr">
        <is>
          <t>2026-10-14</t>
        </is>
      </c>
      <c r="C32" s="96" t="inlineStr">
        <is>
          <t>PCCP</t>
        </is>
      </c>
      <c r="D32" s="96" t="inlineStr">
        <is>
          <t>2610N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KRPUS</t>
        </is>
      </c>
      <c r="J32" s="96" t="inlineStr">
        <is>
          <t>JPIYM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LCH05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HASLS22260900900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KST</t>
        </is>
      </c>
      <c r="U32" s="97" t="n"/>
      <c r="V32" s="96" t="inlineStr">
        <is>
          <t>K0120021</t>
        </is>
      </c>
      <c r="W32" s="96" t="inlineStr">
        <is>
          <t>PTT GLOBAL CHEMICAL PUBLIC COMPANY</t>
        </is>
      </c>
      <c r="X32" s="96" t="inlineStr">
        <is>
          <t>VED</t>
        </is>
      </c>
      <c r="Y32" s="96" t="inlineStr">
        <is>
          <t>MARUBENI INNOVEXIS CORPORATION</t>
        </is>
      </c>
      <c r="Z32" s="96" t="inlineStr">
        <is>
          <t>MARUBENI INNOVEXIS CORPORATION</t>
        </is>
      </c>
      <c r="AA32" s="97" t="n">
        <v>16160</v>
      </c>
      <c r="AB32" s="96" t="inlineStr">
        <is>
          <t>LCH05</t>
        </is>
      </c>
      <c r="AC32" s="96" t="inlineStr">
        <is>
          <t>IYM02</t>
        </is>
      </c>
    </row>
    <row r="33" ht="12" customHeight="1">
      <c r="A33" s="96" t="inlineStr">
        <is>
          <t>SKLU1501272</t>
        </is>
      </c>
      <c r="B33" s="161" t="inlineStr">
        <is>
          <t>2026-10-14</t>
        </is>
      </c>
      <c r="C33" s="96" t="inlineStr">
        <is>
          <t>PCCP</t>
        </is>
      </c>
      <c r="D33" s="96" t="inlineStr">
        <is>
          <t>2610N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KRPUS</t>
        </is>
      </c>
      <c r="J33" s="96" t="inlineStr">
        <is>
          <t>JPIYM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LCH05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HASLS22260900900</t>
        </is>
      </c>
      <c r="R33" s="96" t="inlineStr">
        <is>
          <t>Y</t>
        </is>
      </c>
      <c r="S33" s="96" t="inlineStr">
        <is>
          <t>N</t>
        </is>
      </c>
      <c r="T33" s="96" t="inlineStr">
        <is>
          <t>KST</t>
        </is>
      </c>
      <c r="U33" s="97" t="n"/>
      <c r="V33" s="96" t="inlineStr">
        <is>
          <t>K0120021</t>
        </is>
      </c>
      <c r="W33" s="96" t="inlineStr">
        <is>
          <t>PTT GLOBAL CHEMICAL PUBLIC COMPANY</t>
        </is>
      </c>
      <c r="X33" s="96" t="inlineStr">
        <is>
          <t>VED</t>
        </is>
      </c>
      <c r="Y33" s="96" t="inlineStr">
        <is>
          <t>MARUBENI INNOVEXIS CORPORATION</t>
        </is>
      </c>
      <c r="Z33" s="96" t="inlineStr">
        <is>
          <t>MARUBENI INNOVEXIS CORPORATION</t>
        </is>
      </c>
      <c r="AA33" s="97" t="n">
        <v>16160</v>
      </c>
      <c r="AB33" s="96" t="inlineStr">
        <is>
          <t>LCH05</t>
        </is>
      </c>
      <c r="AC33" s="96" t="inlineStr">
        <is>
          <t>IYM02</t>
        </is>
      </c>
    </row>
    <row r="34" ht="12" customHeight="1">
      <c r="A34" s="96" t="inlineStr">
        <is>
          <t>SKLU1502540</t>
        </is>
      </c>
      <c r="B34" s="161" t="inlineStr">
        <is>
          <t>2026-10-14</t>
        </is>
      </c>
      <c r="C34" s="96" t="inlineStr">
        <is>
          <t>PCCP</t>
        </is>
      </c>
      <c r="D34" s="96" t="inlineStr">
        <is>
          <t>2610N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LCH05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HASLS22260902122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KST</t>
        </is>
      </c>
      <c r="U34" s="97" t="n"/>
      <c r="V34" s="96" t="inlineStr">
        <is>
          <t>K0120021</t>
        </is>
      </c>
      <c r="W34" s="96" t="inlineStr">
        <is>
          <t>PTT GLOBAL CHEMICAL PUBLIC COMPANY</t>
        </is>
      </c>
      <c r="X34" s="96" t="inlineStr">
        <is>
          <t>VFD</t>
        </is>
      </c>
      <c r="Y34" s="96" t="inlineStr">
        <is>
          <t>TO ORDER OF VIETINBANK BADINH</t>
        </is>
      </c>
      <c r="Z34" s="96" t="inlineStr">
        <is>
          <t>PACIFIC TRADING AND PRODUCTION</t>
        </is>
      </c>
      <c r="AA34" s="97" t="n">
        <v>18072</v>
      </c>
      <c r="AB34" s="96" t="inlineStr">
        <is>
          <t>LCH05</t>
        </is>
      </c>
      <c r="AC34" s="96" t="inlineStr">
        <is>
          <t>SGN03</t>
        </is>
      </c>
    </row>
    <row r="35" ht="12" customHeight="1">
      <c r="A35" s="96" t="inlineStr">
        <is>
          <t>SKLU1529330</t>
        </is>
      </c>
      <c r="B35" s="161" t="inlineStr">
        <is>
          <t>2026-10-14</t>
        </is>
      </c>
      <c r="C35" s="96" t="inlineStr">
        <is>
          <t>PCCP</t>
        </is>
      </c>
      <c r="D35" s="96" t="inlineStr">
        <is>
          <t>2610N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LCH05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HASLS22260902461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KST</t>
        </is>
      </c>
      <c r="U35" s="97" t="n"/>
      <c r="V35" s="96" t="inlineStr">
        <is>
          <t>K0120021</t>
        </is>
      </c>
      <c r="W35" s="96" t="inlineStr">
        <is>
          <t>PTT GLOBAL CHEMICAL PUBLIC COMPANY</t>
        </is>
      </c>
      <c r="X35" s="96" t="inlineStr">
        <is>
          <t>VED</t>
        </is>
      </c>
      <c r="Y35" s="96" t="inlineStr">
        <is>
          <t>TO THE ORDER OF JOINT STOCK</t>
        </is>
      </c>
      <c r="Z35" s="96" t="inlineStr">
        <is>
          <t>GIA LOI JOINT STOCK COMPANY</t>
        </is>
      </c>
      <c r="AA35" s="97" t="n">
        <v>18108</v>
      </c>
      <c r="AB35" s="96" t="inlineStr">
        <is>
          <t>LCH05</t>
        </is>
      </c>
      <c r="AC35" s="96" t="inlineStr">
        <is>
          <t>SGN03</t>
        </is>
      </c>
    </row>
    <row r="36" ht="12" customHeight="1">
      <c r="A36" s="96" t="inlineStr">
        <is>
          <t>SKLU1564075</t>
        </is>
      </c>
      <c r="B36" s="161" t="inlineStr">
        <is>
          <t>2026-10-14</t>
        </is>
      </c>
      <c r="C36" s="96" t="inlineStr">
        <is>
          <t>PCCP</t>
        </is>
      </c>
      <c r="D36" s="96" t="inlineStr">
        <is>
          <t>2610N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LCH05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HASLS22260902461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KST</t>
        </is>
      </c>
      <c r="U36" s="97" t="n"/>
      <c r="V36" s="96" t="inlineStr">
        <is>
          <t>K0120021</t>
        </is>
      </c>
      <c r="W36" s="96" t="inlineStr">
        <is>
          <t>PTT GLOBAL CHEMICAL PUBLIC COMPANY</t>
        </is>
      </c>
      <c r="X36" s="96" t="inlineStr">
        <is>
          <t>VED</t>
        </is>
      </c>
      <c r="Y36" s="96" t="inlineStr">
        <is>
          <t>TO THE ORDER OF JOINT STOCK</t>
        </is>
      </c>
      <c r="Z36" s="96" t="inlineStr">
        <is>
          <t>GIA LOI JOINT STOCK COMPANY</t>
        </is>
      </c>
      <c r="AA36" s="97" t="n">
        <v>18108</v>
      </c>
      <c r="AB36" s="96" t="inlineStr">
        <is>
          <t>LCH05</t>
        </is>
      </c>
      <c r="AC36" s="96" t="inlineStr">
        <is>
          <t>SGN03</t>
        </is>
      </c>
    </row>
    <row r="37" ht="12" customHeight="1">
      <c r="A37" s="96" t="inlineStr">
        <is>
          <t>SKLU1643092</t>
        </is>
      </c>
      <c r="B37" s="161" t="inlineStr">
        <is>
          <t>2026-10-14</t>
        </is>
      </c>
      <c r="C37" s="96" t="inlineStr">
        <is>
          <t>PCCP</t>
        </is>
      </c>
      <c r="D37" s="96" t="inlineStr">
        <is>
          <t>2610N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VNSGN</t>
        </is>
      </c>
      <c r="J37" s="96" t="inlineStr">
        <is>
          <t>VNSGN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LCH05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HASLS22260902461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KST</t>
        </is>
      </c>
      <c r="U37" s="97" t="n"/>
      <c r="V37" s="96" t="inlineStr">
        <is>
          <t>K0120021</t>
        </is>
      </c>
      <c r="W37" s="96" t="inlineStr">
        <is>
          <t>PTT GLOBAL CHEMICAL PUBLIC COMPANY</t>
        </is>
      </c>
      <c r="X37" s="96" t="inlineStr">
        <is>
          <t>VED</t>
        </is>
      </c>
      <c r="Y37" s="96" t="inlineStr">
        <is>
          <t>TO THE ORDER OF JOINT STOCK</t>
        </is>
      </c>
      <c r="Z37" s="96" t="inlineStr">
        <is>
          <t>GIA LOI JOINT STOCK COMPANY</t>
        </is>
      </c>
      <c r="AA37" s="97" t="n">
        <v>18108</v>
      </c>
      <c r="AB37" s="96" t="inlineStr">
        <is>
          <t>LCH05</t>
        </is>
      </c>
      <c r="AC37" s="96" t="inlineStr">
        <is>
          <t>SGN03</t>
        </is>
      </c>
    </row>
    <row r="38" ht="12" customHeight="1">
      <c r="A38" s="96" t="inlineStr">
        <is>
          <t>SKLU1648556</t>
        </is>
      </c>
      <c r="B38" s="161" t="inlineStr">
        <is>
          <t>2026-10-14</t>
        </is>
      </c>
      <c r="C38" s="96" t="inlineStr">
        <is>
          <t>PCCP</t>
        </is>
      </c>
      <c r="D38" s="96" t="inlineStr">
        <is>
          <t>2610N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JPNGO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LCH05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HASLS22260902024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KST</t>
        </is>
      </c>
      <c r="U38" s="97" t="n"/>
      <c r="V38" s="96" t="inlineStr">
        <is>
          <t>K0120021</t>
        </is>
      </c>
      <c r="W38" s="96" t="inlineStr">
        <is>
          <t>SIAM POLYETHYLENE CO., LTD.</t>
        </is>
      </c>
      <c r="X38" s="96" t="inlineStr">
        <is>
          <t>ONL</t>
        </is>
      </c>
      <c r="Y38" s="96" t="inlineStr">
        <is>
          <t>DOW CHEMICAL JAPAN LIMITED</t>
        </is>
      </c>
      <c r="Z38" s="96" t="inlineStr">
        <is>
          <t>THE SHIBUSAWA WAREHOUSE CO., LTD.</t>
        </is>
      </c>
      <c r="AA38" s="97" t="n">
        <v>16850</v>
      </c>
      <c r="AB38" s="96" t="inlineStr">
        <is>
          <t>LCH05</t>
        </is>
      </c>
      <c r="AC38" s="96" t="inlineStr">
        <is>
          <t>NGO01</t>
        </is>
      </c>
    </row>
    <row r="39" ht="12" customHeight="1">
      <c r="A39" s="96" t="inlineStr">
        <is>
          <t>SKLU1903081</t>
        </is>
      </c>
      <c r="B39" s="161" t="inlineStr">
        <is>
          <t>2026-10-14</t>
        </is>
      </c>
      <c r="C39" s="96" t="inlineStr">
        <is>
          <t>PCCP</t>
        </is>
      </c>
      <c r="D39" s="96" t="inlineStr">
        <is>
          <t>2610N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KRPUS</t>
        </is>
      </c>
      <c r="J39" s="96" t="inlineStr">
        <is>
          <t>JPIYM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LCH05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HASLS22260902464</t>
        </is>
      </c>
      <c r="R39" s="96" t="inlineStr">
        <is>
          <t>Y</t>
        </is>
      </c>
      <c r="S39" s="96" t="inlineStr">
        <is>
          <t>N</t>
        </is>
      </c>
      <c r="T39" s="96" t="inlineStr">
        <is>
          <t>KST</t>
        </is>
      </c>
      <c r="U39" s="97" t="n"/>
      <c r="V39" s="96" t="inlineStr">
        <is>
          <t>K0120021</t>
        </is>
      </c>
      <c r="W39" s="96" t="inlineStr">
        <is>
          <t>PTT GLOBAL CHEMICAL PUBLIC COMPANY</t>
        </is>
      </c>
      <c r="X39" s="96" t="inlineStr">
        <is>
          <t>VED</t>
        </is>
      </c>
      <c r="Y39" s="96" t="inlineStr">
        <is>
          <t>MARUBENI INNOVEXIS CORPORATION</t>
        </is>
      </c>
      <c r="Z39" s="96" t="inlineStr">
        <is>
          <t>MARUBENI INNOVEXIS CORPORATION</t>
        </is>
      </c>
      <c r="AA39" s="97" t="n">
        <v>16160</v>
      </c>
      <c r="AB39" s="96" t="inlineStr">
        <is>
          <t>LCH05</t>
        </is>
      </c>
      <c r="AC39" s="96" t="inlineStr">
        <is>
          <t>IYM02</t>
        </is>
      </c>
    </row>
    <row r="40" ht="12" customHeight="1">
      <c r="A40" s="96" t="inlineStr">
        <is>
          <t>SKLU1914173</t>
        </is>
      </c>
      <c r="B40" s="161" t="inlineStr">
        <is>
          <t>2026-10-14</t>
        </is>
      </c>
      <c r="C40" s="96" t="inlineStr">
        <is>
          <t>PCCP</t>
        </is>
      </c>
      <c r="D40" s="96" t="inlineStr">
        <is>
          <t>2610N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LCH05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HASLS22260902724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KST</t>
        </is>
      </c>
      <c r="U40" s="97" t="n"/>
      <c r="V40" s="96" t="inlineStr">
        <is>
          <t>S1120012</t>
        </is>
      </c>
      <c r="W40" s="96" t="inlineStr">
        <is>
          <t>PACIFIC SUGAR CORPORATION LIMITED</t>
        </is>
      </c>
      <c r="X40" s="96" t="inlineStr">
        <is>
          <t>VED</t>
        </is>
      </c>
      <c r="Y40" s="96" t="inlineStr">
        <is>
          <t>TO ORDER</t>
        </is>
      </c>
      <c r="Z40" s="96" t="inlineStr">
        <is>
          <t>HOA THANG SEAFOOD COMPANY LIMITED</t>
        </is>
      </c>
      <c r="AA40" s="97" t="n">
        <v>25085</v>
      </c>
      <c r="AB40" s="96" t="inlineStr">
        <is>
          <t>LCH05</t>
        </is>
      </c>
      <c r="AC40" s="96" t="inlineStr">
        <is>
          <t>SGN03</t>
        </is>
      </c>
    </row>
    <row r="41" ht="12" customHeight="1">
      <c r="A41" s="96" t="inlineStr">
        <is>
          <t>SKLU1920290</t>
        </is>
      </c>
      <c r="B41" s="161" t="inlineStr">
        <is>
          <t>2026-10-14</t>
        </is>
      </c>
      <c r="C41" s="96" t="inlineStr">
        <is>
          <t>PCCP</t>
        </is>
      </c>
      <c r="D41" s="96" t="inlineStr">
        <is>
          <t>2610N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LCH05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HASLS22260902843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KST</t>
        </is>
      </c>
      <c r="U41" s="97" t="n"/>
      <c r="V41" s="96" t="inlineStr">
        <is>
          <t>K0120021</t>
        </is>
      </c>
      <c r="W41" s="96" t="inlineStr">
        <is>
          <t>EXPEDITORS THAILAND LTD.</t>
        </is>
      </c>
      <c r="X41" s="96" t="inlineStr">
        <is>
          <t>VFD</t>
        </is>
      </c>
      <c r="Y41" s="96" t="inlineStr">
        <is>
          <t>EXPEDITORS VIETNAM COMPANY LIMITED</t>
        </is>
      </c>
      <c r="Z41" s="96" t="inlineStr">
        <is>
          <t>EXPEDITORS VIETNAM COMPANY LIMITED</t>
        </is>
      </c>
      <c r="AA41" s="97" t="n">
        <v>2131.66</v>
      </c>
      <c r="AB41" s="96" t="inlineStr">
        <is>
          <t>LCH05</t>
        </is>
      </c>
      <c r="AC41" s="96" t="inlineStr">
        <is>
          <t>SGN03</t>
        </is>
      </c>
    </row>
    <row r="42" ht="12" customHeight="1">
      <c r="A42" s="96" t="inlineStr">
        <is>
          <t>SKLU1926831</t>
        </is>
      </c>
      <c r="B42" s="161" t="inlineStr">
        <is>
          <t>2026-10-14</t>
        </is>
      </c>
      <c r="C42" s="96" t="inlineStr">
        <is>
          <t>PCCP</t>
        </is>
      </c>
      <c r="D42" s="96" t="inlineStr">
        <is>
          <t>2610N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KRPUS</t>
        </is>
      </c>
      <c r="J42" s="96" t="inlineStr">
        <is>
          <t>KRPUS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LCH05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HASLS22261000543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KST</t>
        </is>
      </c>
      <c r="U42" s="97" t="n"/>
      <c r="V42" s="96" t="inlineStr">
        <is>
          <t>K0120021</t>
        </is>
      </c>
      <c r="W42" s="96" t="inlineStr">
        <is>
          <t>H &amp; FRIENDS GTL (THAILAND) CO.,LTD.</t>
        </is>
      </c>
      <c r="X42" s="96" t="inlineStr">
        <is>
          <t>VFD</t>
        </is>
      </c>
      <c r="Y42" s="96" t="inlineStr">
        <is>
          <t>EAST AIR EXPRESS CO.,LTD</t>
        </is>
      </c>
      <c r="Z42" s="96" t="inlineStr">
        <is>
          <t>EAST AIR EXPRESS CO.,LTD</t>
        </is>
      </c>
      <c r="AA42" s="97" t="n">
        <v>3647.07</v>
      </c>
      <c r="AB42" s="96" t="inlineStr">
        <is>
          <t>LCH05</t>
        </is>
      </c>
      <c r="AC42" s="96" t="inlineStr">
        <is>
          <t>PUS05</t>
        </is>
      </c>
    </row>
    <row r="43" ht="12" customHeight="1">
      <c r="A43" s="96" t="inlineStr">
        <is>
          <t>SKLU1931885</t>
        </is>
      </c>
      <c r="B43" s="161" t="inlineStr">
        <is>
          <t>2026-10-14</t>
        </is>
      </c>
      <c r="C43" s="96" t="inlineStr">
        <is>
          <t>PCCP</t>
        </is>
      </c>
      <c r="D43" s="96" t="inlineStr">
        <is>
          <t>2610N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LCH05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HASLS22260902461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KST</t>
        </is>
      </c>
      <c r="U43" s="97" t="n"/>
      <c r="V43" s="96" t="inlineStr">
        <is>
          <t>K0120021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TO THE ORDER OF JOINT STOCK</t>
        </is>
      </c>
      <c r="Z43" s="96" t="inlineStr">
        <is>
          <t>GIA LOI JOINT STOCK COMPANY</t>
        </is>
      </c>
      <c r="AA43" s="97" t="n">
        <v>18108</v>
      </c>
      <c r="AB43" s="96" t="inlineStr">
        <is>
          <t>LCH05</t>
        </is>
      </c>
      <c r="AC43" s="96" t="inlineStr">
        <is>
          <t>SGN03</t>
        </is>
      </c>
    </row>
    <row r="44" ht="12" customHeight="1">
      <c r="A44" s="96" t="inlineStr">
        <is>
          <t>SKLU1933065</t>
        </is>
      </c>
      <c r="B44" s="161" t="inlineStr">
        <is>
          <t>2026-10-14</t>
        </is>
      </c>
      <c r="C44" s="96" t="inlineStr">
        <is>
          <t>PCCP</t>
        </is>
      </c>
      <c r="D44" s="96" t="inlineStr">
        <is>
          <t>2610N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LCH05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HASLS22260902386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KST</t>
        </is>
      </c>
      <c r="U44" s="97" t="n"/>
      <c r="V44" s="96" t="inlineStr">
        <is>
          <t>K0120021</t>
        </is>
      </c>
      <c r="W44" s="96" t="inlineStr">
        <is>
          <t>YAMATO UNYU (THAILAND) CO., LTD.</t>
        </is>
      </c>
      <c r="X44" s="96" t="inlineStr">
        <is>
          <t>VED</t>
        </is>
      </c>
      <c r="Y44" s="96" t="inlineStr">
        <is>
          <t>YAMATO LOGISTICS VIETNAM CO.,LTD -</t>
        </is>
      </c>
      <c r="Z44" s="96" t="inlineStr">
        <is>
          <t>YAMATO LOGISTICS VIETNAM CO.,LTD -</t>
        </is>
      </c>
      <c r="AA44" s="97" t="n">
        <v>6817</v>
      </c>
      <c r="AB44" s="96" t="inlineStr">
        <is>
          <t>LCH05</t>
        </is>
      </c>
      <c r="AC44" s="96" t="inlineStr">
        <is>
          <t>SGN03</t>
        </is>
      </c>
    </row>
    <row r="45" ht="12" customHeight="1">
      <c r="A45" s="96" t="inlineStr">
        <is>
          <t>SKLU2002072</t>
        </is>
      </c>
      <c r="B45" s="161" t="inlineStr">
        <is>
          <t>2026-10-14</t>
        </is>
      </c>
      <c r="C45" s="96" t="inlineStr">
        <is>
          <t>PCCP</t>
        </is>
      </c>
      <c r="D45" s="96" t="inlineStr">
        <is>
          <t>2610N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KRPUS</t>
        </is>
      </c>
      <c r="J45" s="96" t="inlineStr">
        <is>
          <t>JPIYM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LCH05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HASLS22260902464</t>
        </is>
      </c>
      <c r="R45" s="96" t="inlineStr">
        <is>
          <t>Y</t>
        </is>
      </c>
      <c r="S45" s="96" t="inlineStr">
        <is>
          <t>N</t>
        </is>
      </c>
      <c r="T45" s="96" t="inlineStr">
        <is>
          <t>KST</t>
        </is>
      </c>
      <c r="U45" s="97" t="n"/>
      <c r="V45" s="96" t="inlineStr">
        <is>
          <t>K0120021</t>
        </is>
      </c>
      <c r="W45" s="96" t="inlineStr">
        <is>
          <t>PTT GLOBAL CHEMICAL PUBLIC COMPANY</t>
        </is>
      </c>
      <c r="X45" s="96" t="inlineStr">
        <is>
          <t>VED</t>
        </is>
      </c>
      <c r="Y45" s="96" t="inlineStr">
        <is>
          <t>MARUBENI INNOVEXIS CORPORATION</t>
        </is>
      </c>
      <c r="Z45" s="96" t="inlineStr">
        <is>
          <t>MARUBENI INNOVEXIS CORPORATION</t>
        </is>
      </c>
      <c r="AA45" s="97" t="n">
        <v>16160</v>
      </c>
      <c r="AB45" s="96" t="inlineStr">
        <is>
          <t>LCH05</t>
        </is>
      </c>
      <c r="AC45" s="96" t="inlineStr">
        <is>
          <t>IYM02</t>
        </is>
      </c>
    </row>
    <row r="46" ht="12" customHeight="1">
      <c r="A46" s="96" t="inlineStr">
        <is>
          <t>SKLU2038394</t>
        </is>
      </c>
      <c r="B46" s="161" t="inlineStr">
        <is>
          <t>2026-10-14</t>
        </is>
      </c>
      <c r="C46" s="96" t="inlineStr">
        <is>
          <t>PCCP</t>
        </is>
      </c>
      <c r="D46" s="96" t="inlineStr">
        <is>
          <t>2610N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KRPUS</t>
        </is>
      </c>
      <c r="J46" s="96" t="inlineStr">
        <is>
          <t>JPIYM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LCH05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HASLS22260900900</t>
        </is>
      </c>
      <c r="R46" s="96" t="inlineStr">
        <is>
          <t>Y</t>
        </is>
      </c>
      <c r="S46" s="96" t="inlineStr">
        <is>
          <t>N</t>
        </is>
      </c>
      <c r="T46" s="96" t="inlineStr">
        <is>
          <t>KST</t>
        </is>
      </c>
      <c r="U46" s="97" t="n"/>
      <c r="V46" s="96" t="inlineStr">
        <is>
          <t>K0120021</t>
        </is>
      </c>
      <c r="W46" s="96" t="inlineStr">
        <is>
          <t>PTT GLOBAL CHEMICAL PUBLIC COMPANY</t>
        </is>
      </c>
      <c r="X46" s="96" t="inlineStr">
        <is>
          <t>VED</t>
        </is>
      </c>
      <c r="Y46" s="96" t="inlineStr">
        <is>
          <t>MARUBENI INNOVEXIS CORPORATION</t>
        </is>
      </c>
      <c r="Z46" s="96" t="inlineStr">
        <is>
          <t>MARUBENI INNOVEXIS CORPORATION</t>
        </is>
      </c>
      <c r="AA46" s="97" t="n">
        <v>16160</v>
      </c>
      <c r="AB46" s="96" t="inlineStr">
        <is>
          <t>LCH05</t>
        </is>
      </c>
      <c r="AC46" s="96" t="inlineStr">
        <is>
          <t>IYM02</t>
        </is>
      </c>
    </row>
    <row r="47" ht="12" customHeight="1">
      <c r="A47" s="96" t="inlineStr">
        <is>
          <t>SKLU2057223</t>
        </is>
      </c>
      <c r="B47" s="161" t="inlineStr">
        <is>
          <t>2026-10-14</t>
        </is>
      </c>
      <c r="C47" s="96" t="inlineStr">
        <is>
          <t>PCCP</t>
        </is>
      </c>
      <c r="D47" s="96" t="inlineStr">
        <is>
          <t>2610N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VNSGN</t>
        </is>
      </c>
      <c r="J47" s="96" t="inlineStr">
        <is>
          <t>VNSGN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LCH05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HASLS22260902461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KST</t>
        </is>
      </c>
      <c r="U47" s="97" t="n"/>
      <c r="V47" s="96" t="inlineStr">
        <is>
          <t>K0120021</t>
        </is>
      </c>
      <c r="W47" s="96" t="inlineStr">
        <is>
          <t>PTT GLOBAL CHEMICAL PUBLIC COMPANY</t>
        </is>
      </c>
      <c r="X47" s="96" t="inlineStr">
        <is>
          <t>VED</t>
        </is>
      </c>
      <c r="Y47" s="96" t="inlineStr">
        <is>
          <t>TO THE ORDER OF JOINT STOCK</t>
        </is>
      </c>
      <c r="Z47" s="96" t="inlineStr">
        <is>
          <t>GIA LOI JOINT STOCK COMPANY</t>
        </is>
      </c>
      <c r="AA47" s="97" t="n">
        <v>18108</v>
      </c>
      <c r="AB47" s="96" t="inlineStr">
        <is>
          <t>LCH05</t>
        </is>
      </c>
      <c r="AC47" s="96" t="inlineStr">
        <is>
          <t>SGN03</t>
        </is>
      </c>
    </row>
    <row r="48" ht="12" customHeight="1">
      <c r="A48" s="96" t="inlineStr">
        <is>
          <t>SKLU2125626</t>
        </is>
      </c>
      <c r="B48" s="161" t="inlineStr">
        <is>
          <t>2026-10-14</t>
        </is>
      </c>
      <c r="C48" s="96" t="inlineStr">
        <is>
          <t>PCCP</t>
        </is>
      </c>
      <c r="D48" s="96" t="inlineStr">
        <is>
          <t>2610N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KRPUS</t>
        </is>
      </c>
      <c r="J48" s="96" t="inlineStr">
        <is>
          <t>JPIYM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LCH05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HASLS22260900900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KST</t>
        </is>
      </c>
      <c r="U48" s="97" t="n"/>
      <c r="V48" s="96" t="inlineStr">
        <is>
          <t>K0120021</t>
        </is>
      </c>
      <c r="W48" s="96" t="inlineStr">
        <is>
          <t>PTT GLOBAL CHEMICAL PUBLIC COMPANY</t>
        </is>
      </c>
      <c r="X48" s="96" t="inlineStr">
        <is>
          <t>VED</t>
        </is>
      </c>
      <c r="Y48" s="96" t="inlineStr">
        <is>
          <t>MARUBENI INNOVEXIS CORPORATION</t>
        </is>
      </c>
      <c r="Z48" s="96" t="inlineStr">
        <is>
          <t>MARUBENI INNOVEXIS CORPORATION</t>
        </is>
      </c>
      <c r="AA48" s="97" t="n">
        <v>16160</v>
      </c>
      <c r="AB48" s="96" t="inlineStr">
        <is>
          <t>LCH05</t>
        </is>
      </c>
      <c r="AC48" s="96" t="inlineStr">
        <is>
          <t>IYM02</t>
        </is>
      </c>
    </row>
    <row r="49" ht="12" customHeight="1">
      <c r="A49" s="96" t="inlineStr">
        <is>
          <t>SKLU2348640</t>
        </is>
      </c>
      <c r="B49" s="161" t="inlineStr">
        <is>
          <t>2026-10-14</t>
        </is>
      </c>
      <c r="C49" s="96" t="inlineStr">
        <is>
          <t>PCCP</t>
        </is>
      </c>
      <c r="D49" s="96" t="inlineStr">
        <is>
          <t>2610N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VNSGN</t>
        </is>
      </c>
      <c r="J49" s="96" t="inlineStr">
        <is>
          <t>VNSGN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LCH05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HASLS22260901455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KST</t>
        </is>
      </c>
      <c r="U49" s="97" t="n"/>
      <c r="V49" s="96" t="inlineStr">
        <is>
          <t>K0120021</t>
        </is>
      </c>
      <c r="W49" s="96" t="inlineStr">
        <is>
          <t>THAI SYNTHETIC RUBBERS COMPANY</t>
        </is>
      </c>
      <c r="X49" s="96" t="inlineStr">
        <is>
          <t>VFD</t>
        </is>
      </c>
      <c r="Y49" s="96" t="inlineStr">
        <is>
          <t>VIETNAM DONA STANDARD FOOTWEAR</t>
        </is>
      </c>
      <c r="Z49" s="96" t="inlineStr">
        <is>
          <t>VIETNAM DONA STANDARD FOOTWEAR</t>
        </is>
      </c>
      <c r="AA49" s="97" t="n">
        <v>17724</v>
      </c>
      <c r="AB49" s="96" t="inlineStr">
        <is>
          <t>LCH05</t>
        </is>
      </c>
      <c r="AC49" s="96" t="inlineStr">
        <is>
          <t>SGN03</t>
        </is>
      </c>
    </row>
    <row r="50" ht="12" customHeight="1">
      <c r="A50" s="96" t="inlineStr">
        <is>
          <t>SKLU2351921</t>
        </is>
      </c>
      <c r="B50" s="161" t="inlineStr">
        <is>
          <t>2026-10-14</t>
        </is>
      </c>
      <c r="C50" s="96" t="inlineStr">
        <is>
          <t>PCCP</t>
        </is>
      </c>
      <c r="D50" s="96" t="inlineStr">
        <is>
          <t>2610N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VNSGN</t>
        </is>
      </c>
      <c r="J50" s="96" t="inlineStr">
        <is>
          <t>VNSGN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LCH05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HASLS22260901719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KST</t>
        </is>
      </c>
      <c r="U50" s="97" t="n"/>
      <c r="V50" s="96" t="inlineStr">
        <is>
          <t>K0120021</t>
        </is>
      </c>
      <c r="W50" s="96" t="inlineStr">
        <is>
          <t>PTT GLOBAL CHEMICAL PUBLIC COMPANY</t>
        </is>
      </c>
      <c r="X50" s="96" t="inlineStr">
        <is>
          <t>VED</t>
        </is>
      </c>
      <c r="Y50" s="96" t="inlineStr">
        <is>
          <t>VINGOODS COMPANY LIMITED</t>
        </is>
      </c>
      <c r="Z50" s="96" t="inlineStr">
        <is>
          <t>VINGOODS COMPANY LIMITED</t>
        </is>
      </c>
      <c r="AA50" s="97" t="n">
        <v>12036</v>
      </c>
      <c r="AB50" s="96" t="inlineStr">
        <is>
          <t>LCH05</t>
        </is>
      </c>
      <c r="AC50" s="96" t="inlineStr">
        <is>
          <t>SGN03</t>
        </is>
      </c>
    </row>
    <row r="51" ht="12" customHeight="1">
      <c r="A51" s="96" t="inlineStr">
        <is>
          <t>SKLU2406990</t>
        </is>
      </c>
      <c r="B51" s="161" t="inlineStr">
        <is>
          <t>2026-10-14</t>
        </is>
      </c>
      <c r="C51" s="96" t="inlineStr">
        <is>
          <t>PCCP</t>
        </is>
      </c>
      <c r="D51" s="96" t="inlineStr">
        <is>
          <t>2610N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KRPUS</t>
        </is>
      </c>
      <c r="J51" s="96" t="inlineStr">
        <is>
          <t>JPIYM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LCH05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HASLS22260902464</t>
        </is>
      </c>
      <c r="R51" s="96" t="inlineStr">
        <is>
          <t>Y</t>
        </is>
      </c>
      <c r="S51" s="96" t="inlineStr">
        <is>
          <t>N</t>
        </is>
      </c>
      <c r="T51" s="96" t="inlineStr">
        <is>
          <t>KST</t>
        </is>
      </c>
      <c r="U51" s="97" t="n"/>
      <c r="V51" s="96" t="inlineStr">
        <is>
          <t>K0120021</t>
        </is>
      </c>
      <c r="W51" s="96" t="inlineStr">
        <is>
          <t>PTT GLOBAL CHEMICAL PUBLIC COMPANY</t>
        </is>
      </c>
      <c r="X51" s="96" t="inlineStr">
        <is>
          <t>VED</t>
        </is>
      </c>
      <c r="Y51" s="96" t="inlineStr">
        <is>
          <t>MARUBENI INNOVEXIS CORPORATION</t>
        </is>
      </c>
      <c r="Z51" s="96" t="inlineStr">
        <is>
          <t>MARUBENI INNOVEXIS CORPORATION</t>
        </is>
      </c>
      <c r="AA51" s="97" t="n">
        <v>16160</v>
      </c>
      <c r="AB51" s="96" t="inlineStr">
        <is>
          <t>LCH05</t>
        </is>
      </c>
      <c r="AC51" s="96" t="inlineStr">
        <is>
          <t>IYM02</t>
        </is>
      </c>
    </row>
    <row r="52" ht="12" customHeight="1">
      <c r="A52" s="96" t="inlineStr">
        <is>
          <t>SKLU2424083</t>
        </is>
      </c>
      <c r="B52" s="161" t="inlineStr">
        <is>
          <t>2026-10-14</t>
        </is>
      </c>
      <c r="C52" s="96" t="inlineStr">
        <is>
          <t>PCCP</t>
        </is>
      </c>
      <c r="D52" s="96" t="inlineStr">
        <is>
          <t>2610N</t>
        </is>
      </c>
      <c r="E52" s="96" t="inlineStr">
        <is>
          <t>22GP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KRPUS</t>
        </is>
      </c>
      <c r="J52" s="96" t="inlineStr">
        <is>
          <t>JPIYM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LCH05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HASLS22260900900</t>
        </is>
      </c>
      <c r="R52" s="96" t="inlineStr">
        <is>
          <t>Y</t>
        </is>
      </c>
      <c r="S52" s="96" t="inlineStr">
        <is>
          <t>N</t>
        </is>
      </c>
      <c r="T52" s="96" t="inlineStr">
        <is>
          <t>KST</t>
        </is>
      </c>
      <c r="U52" s="97" t="n"/>
      <c r="V52" s="96" t="inlineStr">
        <is>
          <t>K0120021</t>
        </is>
      </c>
      <c r="W52" s="96" t="inlineStr">
        <is>
          <t>PTT GLOBAL CHEMICAL PUBLIC COMPANY</t>
        </is>
      </c>
      <c r="X52" s="96" t="inlineStr">
        <is>
          <t>VED</t>
        </is>
      </c>
      <c r="Y52" s="96" t="inlineStr">
        <is>
          <t>MARUBENI INNOVEXIS CORPORATION</t>
        </is>
      </c>
      <c r="Z52" s="96" t="inlineStr">
        <is>
          <t>MARUBENI INNOVEXIS CORPORATION</t>
        </is>
      </c>
      <c r="AA52" s="97" t="n">
        <v>16160</v>
      </c>
      <c r="AB52" s="96" t="inlineStr">
        <is>
          <t>LCH05</t>
        </is>
      </c>
      <c r="AC52" s="96" t="inlineStr">
        <is>
          <t>IYM02</t>
        </is>
      </c>
    </row>
    <row r="53" ht="12" customHeight="1">
      <c r="A53" s="96" t="inlineStr">
        <is>
          <t>SKLU2477490</t>
        </is>
      </c>
      <c r="B53" s="161" t="inlineStr">
        <is>
          <t>2026-10-14</t>
        </is>
      </c>
      <c r="C53" s="96" t="inlineStr">
        <is>
          <t>PCCP</t>
        </is>
      </c>
      <c r="D53" s="96" t="inlineStr">
        <is>
          <t>2610N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VNSGN</t>
        </is>
      </c>
      <c r="J53" s="96" t="inlineStr">
        <is>
          <t>VNSGN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LCH05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HASLS22260902206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KST</t>
        </is>
      </c>
      <c r="U53" s="97" t="n"/>
      <c r="V53" s="96" t="inlineStr">
        <is>
          <t>K0120021</t>
        </is>
      </c>
      <c r="W53" s="96" t="inlineStr">
        <is>
          <t>PTT GLOBAL CHEMICAL PUBLIC COMPANY</t>
        </is>
      </c>
      <c r="X53" s="96" t="inlineStr">
        <is>
          <t>VFD</t>
        </is>
      </c>
      <c r="Y53" s="96" t="inlineStr">
        <is>
          <t>QCC INDUSTRY COMPANY LIMITED</t>
        </is>
      </c>
      <c r="Z53" s="96" t="inlineStr">
        <is>
          <t>QCC INDUSTRY COMPANY LIMITED</t>
        </is>
      </c>
      <c r="AA53" s="97" t="n">
        <v>19152</v>
      </c>
      <c r="AB53" s="96" t="inlineStr">
        <is>
          <t>LCH05</t>
        </is>
      </c>
      <c r="AC53" s="96" t="inlineStr">
        <is>
          <t>SGN03</t>
        </is>
      </c>
    </row>
    <row r="54" ht="12" customHeight="1">
      <c r="A54" s="96" t="inlineStr">
        <is>
          <t>SKLU3507114</t>
        </is>
      </c>
      <c r="B54" s="161" t="inlineStr">
        <is>
          <t>2026-10-14</t>
        </is>
      </c>
      <c r="C54" s="96" t="inlineStr">
        <is>
          <t>PCCP</t>
        </is>
      </c>
      <c r="D54" s="96" t="inlineStr">
        <is>
          <t>2610N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LCH05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HASLS22260902228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KST</t>
        </is>
      </c>
      <c r="U54" s="97" t="n"/>
      <c r="V54" s="96" t="inlineStr">
        <is>
          <t>K0120021</t>
        </is>
      </c>
      <c r="W54" s="96" t="inlineStr">
        <is>
          <t>PTT GLOBAL CHEMICAL PUBLIC COMPANY</t>
        </is>
      </c>
      <c r="X54" s="96" t="inlineStr">
        <is>
          <t>VED</t>
        </is>
      </c>
      <c r="Y54" s="96" t="inlineStr">
        <is>
          <t>LINS ENTERPRISE CO.,LTD</t>
        </is>
      </c>
      <c r="Z54" s="96" t="inlineStr">
        <is>
          <t>LINS ENTERPRISE CO.,LTD</t>
        </is>
      </c>
      <c r="AA54" s="97" t="n">
        <v>18072</v>
      </c>
      <c r="AB54" s="96" t="inlineStr">
        <is>
          <t>LCH05</t>
        </is>
      </c>
      <c r="AC54" s="96" t="inlineStr">
        <is>
          <t>SGN03</t>
        </is>
      </c>
    </row>
    <row r="55" ht="12" customHeight="1">
      <c r="A55" s="96" t="inlineStr">
        <is>
          <t>TGCU2410997</t>
        </is>
      </c>
      <c r="B55" s="161" t="inlineStr">
        <is>
          <t>2026-10-14</t>
        </is>
      </c>
      <c r="C55" s="96" t="inlineStr">
        <is>
          <t>PCCP</t>
        </is>
      </c>
      <c r="D55" s="96" t="inlineStr">
        <is>
          <t>2610N</t>
        </is>
      </c>
      <c r="E55" s="96" t="inlineStr">
        <is>
          <t>22GP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VNSGN</t>
        </is>
      </c>
      <c r="J55" s="96" t="inlineStr">
        <is>
          <t>VNSGN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LCH05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HASLS22261000129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KST</t>
        </is>
      </c>
      <c r="U55" s="97" t="n"/>
      <c r="V55" s="96" t="inlineStr">
        <is>
          <t>K0120021</t>
        </is>
      </c>
      <c r="W55" s="96" t="inlineStr">
        <is>
          <t>PTT GLOBAL CHEMICAL PUBLIC COMPANY</t>
        </is>
      </c>
      <c r="X55" s="96" t="inlineStr">
        <is>
          <t>VED</t>
        </is>
      </c>
      <c r="Y55" s="96" t="inlineStr">
        <is>
          <t>GC MARKETING SOLUTIONS VIETNAM</t>
        </is>
      </c>
      <c r="Z55" s="96" t="inlineStr">
        <is>
          <t>GC MARKETING SOLUTIONS VIETNAM</t>
        </is>
      </c>
      <c r="AA55" s="97" t="n">
        <v>18072</v>
      </c>
      <c r="AB55" s="96" t="inlineStr">
        <is>
          <t>LCH05</t>
        </is>
      </c>
      <c r="AC55" s="96" t="inlineStr">
        <is>
          <t>SGN03</t>
        </is>
      </c>
    </row>
    <row r="56" ht="12" customHeight="1">
      <c r="A56" s="96" t="inlineStr">
        <is>
          <t>TGCU2420212</t>
        </is>
      </c>
      <c r="B56" s="161" t="inlineStr">
        <is>
          <t>2026-10-14</t>
        </is>
      </c>
      <c r="C56" s="96" t="inlineStr">
        <is>
          <t>PCCP</t>
        </is>
      </c>
      <c r="D56" s="96" t="inlineStr">
        <is>
          <t>2610N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VNSGN</t>
        </is>
      </c>
      <c r="J56" s="96" t="inlineStr">
        <is>
          <t>VNSGN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LCH05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HASLS22261000129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KST</t>
        </is>
      </c>
      <c r="U56" s="97" t="n"/>
      <c r="V56" s="96" t="inlineStr">
        <is>
          <t>K0120021</t>
        </is>
      </c>
      <c r="W56" s="96" t="inlineStr">
        <is>
          <t>PTT GLOBAL CHEMICAL PUBLIC COMPANY</t>
        </is>
      </c>
      <c r="X56" s="96" t="inlineStr">
        <is>
          <t>VED</t>
        </is>
      </c>
      <c r="Y56" s="96" t="inlineStr">
        <is>
          <t>GC MARKETING SOLUTIONS VIETNAM</t>
        </is>
      </c>
      <c r="Z56" s="96" t="inlineStr">
        <is>
          <t>GC MARKETING SOLUTIONS VIETNAM</t>
        </is>
      </c>
      <c r="AA56" s="97" t="n">
        <v>18072</v>
      </c>
      <c r="AB56" s="96" t="inlineStr">
        <is>
          <t>LCH05</t>
        </is>
      </c>
      <c r="AC56" s="96" t="inlineStr">
        <is>
          <t>SGN03</t>
        </is>
      </c>
    </row>
    <row r="57" ht="12" customHeight="1">
      <c r="A57" s="96" t="n"/>
      <c r="B57" s="161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7" t="n"/>
      <c r="V57" s="96" t="n"/>
      <c r="W57" s="96" t="n"/>
      <c r="X57" s="96" t="n"/>
      <c r="Y57" s="96" t="n"/>
      <c r="Z57" s="96" t="n"/>
      <c r="AA57" s="97" t="n">
        <v>936723.3810000001</v>
      </c>
      <c r="AB57" s="96" t="n"/>
      <c r="AC57" s="96" t="n"/>
    </row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9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HASLS22260800969</t>
        </is>
      </c>
      <c r="B2" s="96" t="inlineStr">
        <is>
          <t>20TKx1</t>
        </is>
      </c>
      <c r="C2" s="97" t="n">
        <v>0</v>
      </c>
      <c r="D2" s="97" t="n">
        <v>0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SOC</t>
        </is>
      </c>
      <c r="L2" s="96" t="inlineStr">
        <is>
          <t>KST</t>
        </is>
      </c>
      <c r="M2" s="96" t="inlineStr">
        <is>
          <t>PCCP</t>
        </is>
      </c>
      <c r="N2" s="96" t="inlineStr">
        <is>
          <t>2610N</t>
        </is>
      </c>
      <c r="O2" s="96" t="inlineStr">
        <is>
          <t>THLCH</t>
        </is>
      </c>
      <c r="P2" s="96" t="inlineStr">
        <is>
          <t>LCH05</t>
        </is>
      </c>
      <c r="Q2" s="96" t="inlineStr">
        <is>
          <t>IA</t>
        </is>
      </c>
      <c r="R2" s="161" t="inlineStr">
        <is>
          <t>2026-10-14</t>
        </is>
      </c>
      <c r="S2" s="96" t="inlineStr">
        <is>
          <t>KRPUS</t>
        </is>
      </c>
      <c r="T2" s="96" t="inlineStr">
        <is>
          <t>PUS05</t>
        </is>
      </c>
      <c r="U2" s="96" t="inlineStr">
        <is>
          <t>KRPUS</t>
        </is>
      </c>
      <c r="V2" s="161" t="inlineStr">
        <is>
          <t>2026-10-23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SIAM I-LOGISTICS LTD.</t>
        </is>
      </c>
      <c r="AB2" s="96" t="inlineStr">
        <is>
          <t>IHARANIKKEI CHEMICAL (THAILAND) CO., LTD.</t>
        </is>
      </c>
      <c r="AC2" s="163" t="n">
        <v>24770</v>
      </c>
      <c r="AD2" s="163" t="n">
        <v>28770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CON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TH0011</t>
        </is>
      </c>
      <c r="AN2" s="96" t="inlineStr">
        <is>
          <t>Nannaapust Sukporntaweewat</t>
        </is>
      </c>
      <c r="AO2" s="96" t="inlineStr">
        <is>
          <t>TEREPHTHALOYL CHLORIDE</t>
        </is>
      </c>
      <c r="AP2" s="96" t="inlineStr">
        <is>
          <t>Normal</t>
        </is>
      </c>
      <c r="AQ2" s="97" t="inlineStr">
        <is>
          <t>3261/8-II</t>
        </is>
      </c>
      <c r="AR2" s="97" t="inlineStr">
        <is>
          <t xml:space="preserve">22TNx1 </t>
        </is>
      </c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**APPROVE DG BY JHKIM 08/10/26** DG22TNx1 (CLS 8 / UN 3261) SOC 
Pickup : 2026-10-05 , Return @ JWD : 2026-10-05  
CUSTOMS FORMALITY (SOC) BY SUZUYO / TAX ID : 0105535071951</t>
        </is>
      </c>
      <c r="BA2" s="97" t="inlineStr">
        <is>
          <t>CUSTOMS FORMALITY (SOC) BY SUZUYO / TAX ID : 0105535071951
FM 1X20'GP
FM SWIC 2610N 14/09
FM SWCP 2610N PHASE OUT THAILAND 19/09</t>
        </is>
      </c>
      <c r="BB2" s="96" t="inlineStr">
        <is>
          <t>P</t>
        </is>
      </c>
      <c r="BC2" s="161" t="inlineStr">
        <is>
          <t>2026-08-13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TEREPHTHALOYL CHLORIDE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n"/>
      <c r="BL2" s="161" t="inlineStr">
        <is>
          <t>2026-10-05</t>
        </is>
      </c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>
        <v>1</v>
      </c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LCH05</t>
        </is>
      </c>
      <c r="CD2" s="97" t="n"/>
      <c r="CE2" s="97" t="n"/>
      <c r="CF2" s="96" t="inlineStr">
        <is>
          <t>8 Class x 1 Teu (Approval),</t>
        </is>
      </c>
      <c r="CG2" s="96" t="inlineStr">
        <is>
          <t>CY/CY</t>
        </is>
      </c>
      <c r="CH2" s="97" t="n"/>
      <c r="CI2" s="96" t="inlineStr">
        <is>
          <t>siriyarat_k@th.itclogi.com</t>
        </is>
      </c>
      <c r="CJ2" s="96" t="inlineStr">
        <is>
          <t>SIAM I-LOGISTICS LTD.</t>
        </is>
      </c>
      <c r="CK2" s="96" t="inlineStr">
        <is>
          <t>KUKBO EXPRESS CO., LTD.</t>
        </is>
      </c>
      <c r="CL2" s="96" t="inlineStr">
        <is>
          <t>KUKBO EXPRESS CO., LTD.</t>
        </is>
      </c>
      <c r="CM2" s="97" t="inlineStr">
        <is>
          <t>CLOSED</t>
        </is>
      </c>
      <c r="CN2" s="96" t="inlineStr">
        <is>
          <t>202610091700</t>
        </is>
      </c>
      <c r="CO2" s="96" t="inlineStr">
        <is>
          <t>202610111200</t>
        </is>
      </c>
      <c r="CP2" s="97" t="inlineStr">
        <is>
          <t>22TN x1: DG(UNNo.:3261/ Class:8)</t>
        </is>
      </c>
      <c r="CQ2" s="96" t="inlineStr">
        <is>
          <t>S22-2610009</t>
        </is>
      </c>
      <c r="CR2" s="96" t="inlineStr">
        <is>
          <t>BB0941</t>
        </is>
      </c>
      <c r="CS2" s="96" t="inlineStr">
        <is>
          <t>SIAM I-LOGISTICS LTD.</t>
        </is>
      </c>
      <c r="CT2" s="96" t="inlineStr">
        <is>
          <t>N</t>
        </is>
      </c>
      <c r="CU2" s="97" t="n"/>
      <c r="CV2" s="97" t="inlineStr">
        <is>
          <t>100209</t>
        </is>
      </c>
      <c r="CW2" s="161" t="inlineStr">
        <is>
          <t>2026-10-11</t>
        </is>
      </c>
      <c r="CX2" s="97" t="inlineStr">
        <is>
          <t>291739</t>
        </is>
      </c>
      <c r="CY2" s="156" t="n"/>
    </row>
    <row r="3" ht="12" customHeight="1">
      <c r="A3" s="116" t="inlineStr">
        <is>
          <t>HASLS22260900931</t>
        </is>
      </c>
      <c r="B3" s="96" t="inlineStr">
        <is>
          <t>20TKx2</t>
        </is>
      </c>
      <c r="C3" s="97" t="n">
        <v>0</v>
      </c>
      <c r="D3" s="97" t="n">
        <v>0</v>
      </c>
      <c r="E3" s="97" t="n"/>
      <c r="F3" s="97" t="n">
        <v>0</v>
      </c>
      <c r="G3" s="97" t="n">
        <v>2</v>
      </c>
      <c r="H3" s="97" t="n">
        <v>0</v>
      </c>
      <c r="I3" s="97" t="n">
        <v>0</v>
      </c>
      <c r="J3" s="97" t="n">
        <v>2</v>
      </c>
      <c r="K3" s="96" t="inlineStr">
        <is>
          <t>SOC</t>
        </is>
      </c>
      <c r="L3" s="96" t="inlineStr">
        <is>
          <t>KST</t>
        </is>
      </c>
      <c r="M3" s="96" t="inlineStr">
        <is>
          <t>PCCP</t>
        </is>
      </c>
      <c r="N3" s="96" t="inlineStr">
        <is>
          <t>2610N</t>
        </is>
      </c>
      <c r="O3" s="96" t="inlineStr">
        <is>
          <t>THLCH</t>
        </is>
      </c>
      <c r="P3" s="96" t="inlineStr">
        <is>
          <t>LCH05</t>
        </is>
      </c>
      <c r="Q3" s="96" t="inlineStr">
        <is>
          <t>IA</t>
        </is>
      </c>
      <c r="R3" s="161" t="inlineStr">
        <is>
          <t>2026-10-14</t>
        </is>
      </c>
      <c r="S3" s="96" t="inlineStr">
        <is>
          <t>JPMYJ</t>
        </is>
      </c>
      <c r="T3" s="96" t="inlineStr">
        <is>
          <t>MYJ01</t>
        </is>
      </c>
      <c r="U3" s="96" t="inlineStr">
        <is>
          <t>JPMYJ</t>
        </is>
      </c>
      <c r="V3" s="161" t="inlineStr">
        <is>
          <t>2026-10-30</t>
        </is>
      </c>
      <c r="W3" s="96" t="inlineStr">
        <is>
          <t>JP</t>
        </is>
      </c>
      <c r="X3" s="97" t="n"/>
      <c r="Y3" s="97" t="inlineStr">
        <is>
          <t>PUS05</t>
        </is>
      </c>
      <c r="Z3" s="97" t="inlineStr">
        <is>
          <t>KRPUS</t>
        </is>
      </c>
      <c r="AA3" s="96" t="inlineStr">
        <is>
          <t>SIAM I-LOGISTICS LTD.</t>
        </is>
      </c>
      <c r="AB3" s="96" t="inlineStr">
        <is>
          <t>IHARANIKKEI CHEMICAL (THAILAND) CO., LTD.</t>
        </is>
      </c>
      <c r="AC3" s="163" t="n">
        <v>45660</v>
      </c>
      <c r="AD3" s="163" t="n">
        <v>53660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CON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JTYO20</t>
        </is>
      </c>
      <c r="AN3" s="96" t="inlineStr">
        <is>
          <t>Akihiro Nagao</t>
        </is>
      </c>
      <c r="AO3" s="96" t="inlineStr">
        <is>
          <t>TEREPHTHALOYL CHLORIDE (TPC)</t>
        </is>
      </c>
      <c r="AP3" s="96" t="inlineStr">
        <is>
          <t>T/S</t>
        </is>
      </c>
      <c r="AQ3" s="97" t="inlineStr">
        <is>
          <t>3261/8-II</t>
        </is>
      </c>
      <c r="AR3" s="97" t="inlineStr">
        <is>
          <t xml:space="preserve">22TNx2 </t>
        </is>
      </c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SUR</t>
        </is>
      </c>
      <c r="AZ3" s="96" t="inlineStr">
        <is>
          <t>**APPROVAL BY MR. KYUNGSUK,KIM DD.07/10/2026** DG22TNx2 (CLS 8 / UN 3261) SOC 
Pickup : 2026-10-05, Return @JWD: 2026-10-05  
CUSTOMS FORMALITY (SOC) BY SUZUYO / TAX ID : 0105535071951</t>
        </is>
      </c>
      <c r="BA3" s="97" t="inlineStr">
        <is>
          <t>CUSTOMS FORMALITY (SOC) BY SUZUYO / TAX ID : 0105535071951</t>
        </is>
      </c>
      <c r="BB3" s="96" t="inlineStr">
        <is>
          <t>C</t>
        </is>
      </c>
      <c r="BC3" s="161" t="inlineStr">
        <is>
          <t>2026-09-11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TEREPHTHALOYL CHLORIDE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n"/>
      <c r="BL3" s="161" t="inlineStr">
        <is>
          <t>2026-10-05</t>
        </is>
      </c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>
        <v>2</v>
      </c>
      <c r="BX3" s="127" t="n"/>
      <c r="BY3" s="96" t="inlineStr">
        <is>
          <t>FULL</t>
        </is>
      </c>
      <c r="BZ3" s="97" t="n">
        <v>5</v>
      </c>
      <c r="CA3" s="96" t="inlineStr">
        <is>
          <t>Y</t>
        </is>
      </c>
      <c r="CB3" s="97" t="n"/>
      <c r="CC3" s="96" t="inlineStr">
        <is>
          <t>LCH05</t>
        </is>
      </c>
      <c r="CD3" s="97" t="n"/>
      <c r="CE3" s="97" t="n"/>
      <c r="CF3" s="96" t="inlineStr">
        <is>
          <t>8 Class x 2 Teu (Approval),</t>
        </is>
      </c>
      <c r="CG3" s="96" t="inlineStr">
        <is>
          <t>CY/CY</t>
        </is>
      </c>
      <c r="CH3" s="97" t="inlineStr">
        <is>
          <t>POL: THLCH [PCCP/2610N]; T/S(1st): KRPUS [HSWH/2661E]; POD: JPMYJ [/]</t>
        </is>
      </c>
      <c r="CI3" s="96" t="inlineStr">
        <is>
          <t>siriyarat_k@th.itclogi.com</t>
        </is>
      </c>
      <c r="CJ3" s="96" t="inlineStr">
        <is>
          <t>SIAM I-LOGISTICS LTD.</t>
        </is>
      </c>
      <c r="CK3" s="96" t="inlineStr">
        <is>
          <t>ITOCHU LOGISTICS CORP.</t>
        </is>
      </c>
      <c r="CL3" s="96" t="inlineStr">
        <is>
          <t>ITOCHU LOGISTICS CORP.</t>
        </is>
      </c>
      <c r="CM3" s="97" t="inlineStr">
        <is>
          <t>CLOSED</t>
        </is>
      </c>
      <c r="CN3" s="96" t="inlineStr">
        <is>
          <t>202610091700</t>
        </is>
      </c>
      <c r="CO3" s="96" t="inlineStr">
        <is>
          <t>202610111200</t>
        </is>
      </c>
      <c r="CP3" s="97" t="inlineStr">
        <is>
          <t>22TN x2: DG(UNNo.:3261/ Class:8)</t>
        </is>
      </c>
      <c r="CQ3" s="96" t="inlineStr">
        <is>
          <t>J01-2212028</t>
        </is>
      </c>
      <c r="CR3" s="96" t="inlineStr">
        <is>
          <t>BB0941</t>
        </is>
      </c>
      <c r="CS3" s="96" t="inlineStr">
        <is>
          <t>SIAM I-LOGISTICS LTD.</t>
        </is>
      </c>
      <c r="CT3" s="96" t="inlineStr">
        <is>
          <t>N</t>
        </is>
      </c>
      <c r="CU3" s="97" t="n"/>
      <c r="CV3" s="97" t="n"/>
      <c r="CW3" s="161" t="inlineStr">
        <is>
          <t>2026-10-09</t>
        </is>
      </c>
      <c r="CX3" s="97" t="inlineStr">
        <is>
          <t>291736</t>
        </is>
      </c>
      <c r="CY3" s="183" t="n"/>
    </row>
    <row r="4" ht="12" customHeight="1">
      <c r="A4" s="116" t="inlineStr">
        <is>
          <t>HASLS22260902024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KST</t>
        </is>
      </c>
      <c r="M4" s="96" t="inlineStr">
        <is>
          <t>PCCP</t>
        </is>
      </c>
      <c r="N4" s="96" t="inlineStr">
        <is>
          <t>2610N</t>
        </is>
      </c>
      <c r="O4" s="96" t="inlineStr">
        <is>
          <t>THLCH</t>
        </is>
      </c>
      <c r="P4" s="96" t="inlineStr">
        <is>
          <t>LCH05</t>
        </is>
      </c>
      <c r="Q4" s="96" t="inlineStr">
        <is>
          <t>IA</t>
        </is>
      </c>
      <c r="R4" s="161" t="inlineStr">
        <is>
          <t>2026-10-14</t>
        </is>
      </c>
      <c r="S4" s="96" t="inlineStr">
        <is>
          <t>JPNGO</t>
        </is>
      </c>
      <c r="T4" s="96" t="inlineStr">
        <is>
          <t>NGO01</t>
        </is>
      </c>
      <c r="U4" s="96" t="inlineStr">
        <is>
          <t>JPNGO</t>
        </is>
      </c>
      <c r="V4" s="161" t="inlineStr">
        <is>
          <t>2026-11-04</t>
        </is>
      </c>
      <c r="W4" s="96" t="inlineStr">
        <is>
          <t>JP</t>
        </is>
      </c>
      <c r="X4" s="97" t="n"/>
      <c r="Y4" s="97" t="inlineStr">
        <is>
          <t>PUS05</t>
        </is>
      </c>
      <c r="Z4" s="97" t="inlineStr">
        <is>
          <t>KRPUS</t>
        </is>
      </c>
      <c r="AA4" s="96" t="inlineStr">
        <is>
          <t>DOW CHEMICAL THAILAND LTD.</t>
        </is>
      </c>
      <c r="AB4" s="96" t="inlineStr">
        <is>
          <t>SIAM POLYETHYLENE CO., LTD.</t>
        </is>
      </c>
      <c r="AC4" s="163" t="n">
        <v>16850</v>
      </c>
      <c r="AD4" s="163" t="n">
        <v>19050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B0004</t>
        </is>
      </c>
      <c r="AN4" s="96" t="inlineStr">
        <is>
          <t>SEO JI YEONG</t>
        </is>
      </c>
      <c r="AO4" s="96" t="inlineStr">
        <is>
          <t>ELITE TM 5220LC ENHANCED POLYETHYLENE RESIN BULK</t>
        </is>
      </c>
      <c r="AP4" s="96" t="inlineStr">
        <is>
          <t>T/S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[FIX]Pickup : 2026-10-05, Return : 2026-10-08</t>
        </is>
      </c>
      <c r="BA4" s="97" t="inlineStr">
        <is>
          <t>SKLU1648556 / 143305 MOVE FM AGENT SKR DD.07/10/20261X20' SEABULK "1.Pls send Email to  kittima.t@bdpint.com 2.Issue SEA WAYBILL "</t>
        </is>
      </c>
      <c r="BB4" s="96" t="inlineStr">
        <is>
          <t>P</t>
        </is>
      </c>
      <c r="BC4" s="161" t="inlineStr">
        <is>
          <t>2026-09-22</t>
        </is>
      </c>
      <c r="BD4" s="161" t="inlineStr">
        <is>
          <t>2026-10-12</t>
        </is>
      </c>
      <c r="BE4" s="96" t="inlineStr">
        <is>
          <t>Y</t>
        </is>
      </c>
      <c r="BF4" s="96" t="inlineStr">
        <is>
          <t>RESIN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2026-10-05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>
        <v>9</v>
      </c>
      <c r="CA4" s="96" t="inlineStr">
        <is>
          <t>Y</t>
        </is>
      </c>
      <c r="CB4" s="97" t="n"/>
      <c r="CC4" s="96" t="inlineStr">
        <is>
          <t>LCH05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inlineStr">
        <is>
          <t>POL: THLCH [PCCP/2610N]; T/S(1st): KRPUS [HAXM/2642S]; POD: JPNGO [/]</t>
        </is>
      </c>
      <c r="CI4" s="96" t="inlineStr">
        <is>
          <t>rattiya.w@psabdp.com</t>
        </is>
      </c>
      <c r="CJ4" s="96" t="inlineStr">
        <is>
          <t>SIAM POLYETHYLENE CO., LTD.</t>
        </is>
      </c>
      <c r="CK4" s="96" t="inlineStr">
        <is>
          <t>DOW CHEMICAL JAPAN LIMITED</t>
        </is>
      </c>
      <c r="CL4" s="96" t="inlineStr">
        <is>
          <t>THE SHIBUSAWA WAREHOUSE CO., LTD.</t>
        </is>
      </c>
      <c r="CM4" s="97" t="n"/>
      <c r="CN4" s="96" t="inlineStr">
        <is>
          <t>202610091700</t>
        </is>
      </c>
      <c r="CO4" s="96" t="inlineStr">
        <is>
          <t>202610111200</t>
        </is>
      </c>
      <c r="CP4" s="97" t="n"/>
      <c r="CQ4" s="96" t="inlineStr">
        <is>
          <t>76492-25003</t>
        </is>
      </c>
      <c r="CR4" s="96" t="inlineStr">
        <is>
          <t>THTJG3</t>
        </is>
      </c>
      <c r="CS4" s="96" t="inlineStr">
        <is>
          <t>DOW CHEMICAL THAILAND LTD.</t>
        </is>
      </c>
      <c r="CT4" s="96" t="inlineStr">
        <is>
          <t>N</t>
        </is>
      </c>
      <c r="CU4" s="97" t="n"/>
      <c r="CV4" s="97" t="n"/>
      <c r="CW4" s="161" t="inlineStr">
        <is>
          <t>2026-10-11</t>
        </is>
      </c>
      <c r="CX4" s="97" t="inlineStr">
        <is>
          <t>390140</t>
        </is>
      </c>
      <c r="CY4" s="183" t="n"/>
    </row>
    <row r="5" ht="12" customHeight="1">
      <c r="A5" s="116" t="inlineStr">
        <is>
          <t>HASLS22260902025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KST</t>
        </is>
      </c>
      <c r="M5" s="96" t="inlineStr">
        <is>
          <t>PCCP</t>
        </is>
      </c>
      <c r="N5" s="96" t="inlineStr">
        <is>
          <t>2610N</t>
        </is>
      </c>
      <c r="O5" s="96" t="inlineStr">
        <is>
          <t>THLCH</t>
        </is>
      </c>
      <c r="P5" s="96" t="inlineStr">
        <is>
          <t>LCH05</t>
        </is>
      </c>
      <c r="Q5" s="96" t="inlineStr">
        <is>
          <t>IA</t>
        </is>
      </c>
      <c r="R5" s="161" t="inlineStr">
        <is>
          <t>2026-10-14</t>
        </is>
      </c>
      <c r="S5" s="96" t="inlineStr">
        <is>
          <t>JPNGO</t>
        </is>
      </c>
      <c r="T5" s="96" t="inlineStr">
        <is>
          <t>NGO01</t>
        </is>
      </c>
      <c r="U5" s="96" t="inlineStr">
        <is>
          <t>JPNGO</t>
        </is>
      </c>
      <c r="V5" s="161" t="inlineStr">
        <is>
          <t>2026-11-04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DOW CHEMICAL THAILAND LTD.</t>
        </is>
      </c>
      <c r="AB5" s="96" t="inlineStr">
        <is>
          <t>SIAM POLYETHYLENE CO., LTD.</t>
        </is>
      </c>
      <c r="AC5" s="163" t="n">
        <v>16800</v>
      </c>
      <c r="AD5" s="163" t="n">
        <v>19000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B0004</t>
        </is>
      </c>
      <c r="AN5" s="96" t="inlineStr">
        <is>
          <t>SEO JI YEONG</t>
        </is>
      </c>
      <c r="AO5" s="96" t="inlineStr">
        <is>
          <t>ELITE TM  5220LC ENHANCED POLYETHYLENE RESIN BULK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[FIX]Pickup : 2026-10-05, Return : 2026-10-08</t>
        </is>
      </c>
      <c r="BA5" s="97" t="inlineStr">
        <is>
          <t>HALU2100503 / 143309 MOVE FM AGENT SKR DD.07/10/20261X20' SEABULK "1.Pls send Email to  kittima.t@bdpint.com 2.Issue SEA WAYBILL "</t>
        </is>
      </c>
      <c r="BB5" s="96" t="inlineStr">
        <is>
          <t>P</t>
        </is>
      </c>
      <c r="BC5" s="161" t="inlineStr">
        <is>
          <t>2026-09-22</t>
        </is>
      </c>
      <c r="BD5" s="161" t="inlineStr">
        <is>
          <t>2026-10-12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2026-10-05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9</v>
      </c>
      <c r="CA5" s="96" t="inlineStr">
        <is>
          <t>Y</t>
        </is>
      </c>
      <c r="CB5" s="97" t="n"/>
      <c r="CC5" s="96" t="inlineStr">
        <is>
          <t>LCH05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[PCCP/2610N]; T/S(1st): KRPUS [HAXM/2642S]; POD: JPNGO [/]</t>
        </is>
      </c>
      <c r="CI5" s="96" t="inlineStr">
        <is>
          <t>rattiya.w@psabdp.com</t>
        </is>
      </c>
      <c r="CJ5" s="96" t="inlineStr">
        <is>
          <t>SIAM POLYETHYLENE CO., LTD.</t>
        </is>
      </c>
      <c r="CK5" s="96" t="inlineStr">
        <is>
          <t>DOW CHEMICAL JAPAN LIMITED</t>
        </is>
      </c>
      <c r="CL5" s="96" t="inlineStr">
        <is>
          <t>THE SHIBUSAWA WAREHOUSE CO., LTD.</t>
        </is>
      </c>
      <c r="CM5" s="97" t="n"/>
      <c r="CN5" s="96" t="inlineStr">
        <is>
          <t>202610091700</t>
        </is>
      </c>
      <c r="CO5" s="96" t="inlineStr">
        <is>
          <t>202610111200</t>
        </is>
      </c>
      <c r="CP5" s="97" t="n"/>
      <c r="CQ5" s="96" t="inlineStr">
        <is>
          <t>76492-25003</t>
        </is>
      </c>
      <c r="CR5" s="96" t="inlineStr">
        <is>
          <t>THTJG3</t>
        </is>
      </c>
      <c r="CS5" s="96" t="inlineStr">
        <is>
          <t>DOW CHEMICAL THAILAND LTD.</t>
        </is>
      </c>
      <c r="CT5" s="96" t="inlineStr">
        <is>
          <t>N</t>
        </is>
      </c>
      <c r="CU5" s="97" t="n"/>
      <c r="CV5" s="97" t="n"/>
      <c r="CW5" s="161" t="inlineStr">
        <is>
          <t>2026-10-11</t>
        </is>
      </c>
      <c r="CX5" s="97" t="inlineStr">
        <is>
          <t>390140</t>
        </is>
      </c>
      <c r="CY5" s="183" t="n"/>
    </row>
    <row r="6" ht="12" customHeight="1">
      <c r="A6" s="116" t="inlineStr">
        <is>
          <t>HASLS22261000607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KST</t>
        </is>
      </c>
      <c r="M6" s="96" t="inlineStr">
        <is>
          <t>PCCP</t>
        </is>
      </c>
      <c r="N6" s="96" t="inlineStr">
        <is>
          <t>2610N</t>
        </is>
      </c>
      <c r="O6" s="96" t="inlineStr">
        <is>
          <t>THLCH</t>
        </is>
      </c>
      <c r="P6" s="96" t="inlineStr">
        <is>
          <t>LCH05</t>
        </is>
      </c>
      <c r="Q6" s="96" t="inlineStr">
        <is>
          <t>IA</t>
        </is>
      </c>
      <c r="R6" s="161" t="inlineStr">
        <is>
          <t>2026-10-14</t>
        </is>
      </c>
      <c r="S6" s="96" t="inlineStr">
        <is>
          <t>VNSGN</t>
        </is>
      </c>
      <c r="T6" s="96" t="inlineStr">
        <is>
          <t>SGN03</t>
        </is>
      </c>
      <c r="U6" s="96" t="inlineStr">
        <is>
          <t>VNSGN</t>
        </is>
      </c>
      <c r="V6" s="161" t="inlineStr">
        <is>
          <t>2026-10-16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WORLDNET EXPRESS CO., LTD.</t>
        </is>
      </c>
      <c r="AB6" s="96" t="inlineStr">
        <is>
          <t>SADESA (THAILAND) CO., LTD.</t>
        </is>
      </c>
      <c r="AC6" s="163" t="n">
        <v>4900</v>
      </c>
      <c r="AD6" s="163" t="n">
        <v>7100</v>
      </c>
      <c r="AE6" s="96" t="inlineStr">
        <is>
          <t>OK</t>
        </is>
      </c>
      <c r="AF6" s="96" t="n"/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TBKK19</t>
        </is>
      </c>
      <c r="AN6" s="96" t="inlineStr">
        <is>
          <t>Kanokporn</t>
        </is>
      </c>
      <c r="AO6" s="96" t="inlineStr">
        <is>
          <t>COW LEATHER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2026-10-08, Return : 2026-10-09 
 ** PLEASE CHECK OPEN GATE BEFORE RETURN CNTR **
</t>
        </is>
      </c>
      <c r="BA6" s="97" t="n"/>
      <c r="BB6" s="96" t="inlineStr">
        <is>
          <t>P</t>
        </is>
      </c>
      <c r="BC6" s="161" t="inlineStr">
        <is>
          <t>2026-10-07</t>
        </is>
      </c>
      <c r="BD6" s="161" t="inlineStr">
        <is>
          <t>2026-10-09</t>
        </is>
      </c>
      <c r="BE6" s="96" t="inlineStr">
        <is>
          <t>Y</t>
        </is>
      </c>
      <c r="BF6" s="96" t="inlineStr">
        <is>
          <t>COW LEATHER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LCH27</t>
        </is>
      </c>
      <c r="BL6" s="161" t="inlineStr">
        <is>
          <t>2026-10-08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LCH05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EXPORT@WORLDNETEXP.COM</t>
        </is>
      </c>
      <c r="CJ6" s="96" t="inlineStr">
        <is>
          <t>WORLDNET EXPRESS CO.,LTD.</t>
        </is>
      </c>
      <c r="CK6" s="96" t="inlineStr">
        <is>
          <t>ASAP INTERNATIONAL CO., LTD.</t>
        </is>
      </c>
      <c r="CL6" s="96" t="inlineStr">
        <is>
          <t>ASAP INTERNATIONAL CO.,LTD</t>
        </is>
      </c>
      <c r="CM6" s="97" t="inlineStr">
        <is>
          <t>CLOSED</t>
        </is>
      </c>
      <c r="CN6" s="96" t="inlineStr">
        <is>
          <t>202610091700</t>
        </is>
      </c>
      <c r="CO6" s="96" t="inlineStr">
        <is>
          <t>202610111200</t>
        </is>
      </c>
      <c r="CP6" s="97" t="n"/>
      <c r="CQ6" s="96" t="inlineStr">
        <is>
          <t>S19-2210014</t>
        </is>
      </c>
      <c r="CR6" s="96" t="inlineStr">
        <is>
          <t>TH04EU</t>
        </is>
      </c>
      <c r="CS6" s="96" t="inlineStr">
        <is>
          <t>WORLDNET EXPRESS CO., LTD.</t>
        </is>
      </c>
      <c r="CT6" s="96" t="inlineStr">
        <is>
          <t>N</t>
        </is>
      </c>
      <c r="CU6" s="97" t="n"/>
      <c r="CV6" s="97" t="n"/>
      <c r="CW6" s="161" t="inlineStr">
        <is>
          <t>2026-10-12</t>
        </is>
      </c>
      <c r="CX6" s="97" t="inlineStr">
        <is>
          <t>410799</t>
        </is>
      </c>
      <c r="CY6" s="183" t="n"/>
    </row>
    <row r="7" ht="12" customHeight="1">
      <c r="A7" s="116" t="inlineStr">
        <is>
          <t>HASLS22260902026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KST</t>
        </is>
      </c>
      <c r="M7" s="96" t="inlineStr">
        <is>
          <t>PCCP</t>
        </is>
      </c>
      <c r="N7" s="96" t="inlineStr">
        <is>
          <t>2610N</t>
        </is>
      </c>
      <c r="O7" s="96" t="inlineStr">
        <is>
          <t>THLCH</t>
        </is>
      </c>
      <c r="P7" s="96" t="inlineStr">
        <is>
          <t>LCH05</t>
        </is>
      </c>
      <c r="Q7" s="96" t="inlineStr">
        <is>
          <t>IA</t>
        </is>
      </c>
      <c r="R7" s="161" t="inlineStr">
        <is>
          <t>2026-10-14</t>
        </is>
      </c>
      <c r="S7" s="96" t="inlineStr">
        <is>
          <t>JPNGO</t>
        </is>
      </c>
      <c r="T7" s="96" t="inlineStr">
        <is>
          <t>NGO01</t>
        </is>
      </c>
      <c r="U7" s="96" t="inlineStr">
        <is>
          <t>JPNGO</t>
        </is>
      </c>
      <c r="V7" s="161" t="inlineStr">
        <is>
          <t>2026-10-28</t>
        </is>
      </c>
      <c r="W7" s="96" t="inlineStr">
        <is>
          <t>JP</t>
        </is>
      </c>
      <c r="X7" s="97" t="n"/>
      <c r="Y7" s="97" t="inlineStr">
        <is>
          <t>PUS05</t>
        </is>
      </c>
      <c r="Z7" s="97" t="inlineStr">
        <is>
          <t>KRPUS</t>
        </is>
      </c>
      <c r="AA7" s="96" t="inlineStr">
        <is>
          <t>DOW CHEMICAL THAILAND LTD.</t>
        </is>
      </c>
      <c r="AB7" s="96" t="inlineStr">
        <is>
          <t>SIAM POLYETHYLENE CO., LTD.</t>
        </is>
      </c>
      <c r="AC7" s="163" t="n">
        <v>16420</v>
      </c>
      <c r="AD7" s="163" t="n">
        <v>18620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B0004</t>
        </is>
      </c>
      <c r="AN7" s="96" t="inlineStr">
        <is>
          <t>SEO JI YEONG</t>
        </is>
      </c>
      <c r="AO7" s="96" t="inlineStr">
        <is>
          <t>ELITE TM 5220LC ENHANCED POLYETHYLENE RESIN BULK</t>
        </is>
      </c>
      <c r="AP7" s="96" t="inlineStr">
        <is>
          <t>T/S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Pickup : 2026-10-05, Return : 2026-10-08</t>
        </is>
      </c>
      <c r="BA7" s="97" t="inlineStr">
        <is>
          <t>HALU2536760/143308 MOVE FM AGENT SKR DD.07/10/20261X20' SEABULK "1.Pls send Email to  kittima.t@bdpint.com 2.Issue SEA WAYBILL "</t>
        </is>
      </c>
      <c r="BB7" s="96" t="inlineStr">
        <is>
          <t>P</t>
        </is>
      </c>
      <c r="BC7" s="161" t="inlineStr">
        <is>
          <t>2026-09-22</t>
        </is>
      </c>
      <c r="BD7" s="161" t="inlineStr">
        <is>
          <t>2026-10-12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2026-10-05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>
        <v>2</v>
      </c>
      <c r="CA7" s="96" t="inlineStr">
        <is>
          <t>Y</t>
        </is>
      </c>
      <c r="CB7" s="97" t="n"/>
      <c r="CC7" s="96" t="inlineStr">
        <is>
          <t>LCH05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inlineStr">
        <is>
          <t>POL: THLCH [PCCP/2610N]; T/S(1st): KRPUS [HAXM/2641S]; POD: JPNGO [/]</t>
        </is>
      </c>
      <c r="CI7" s="96" t="inlineStr">
        <is>
          <t>rattiya.w@psabdp.com</t>
        </is>
      </c>
      <c r="CJ7" s="96" t="inlineStr">
        <is>
          <t>SIAM POLYETHYLENE CO., LTD.</t>
        </is>
      </c>
      <c r="CK7" s="96" t="inlineStr">
        <is>
          <t>DOW CHEMICAL JAPAN LIMITED</t>
        </is>
      </c>
      <c r="CL7" s="96" t="inlineStr">
        <is>
          <t>THE SHIBUSAWA WAREHOUSE CO., LTD.</t>
        </is>
      </c>
      <c r="CM7" s="97" t="n"/>
      <c r="CN7" s="96" t="inlineStr">
        <is>
          <t>202610091700</t>
        </is>
      </c>
      <c r="CO7" s="96" t="inlineStr">
        <is>
          <t>202610111200</t>
        </is>
      </c>
      <c r="CP7" s="97" t="n"/>
      <c r="CQ7" s="96" t="inlineStr">
        <is>
          <t>76492-25003</t>
        </is>
      </c>
      <c r="CR7" s="96" t="inlineStr">
        <is>
          <t>THTJG3</t>
        </is>
      </c>
      <c r="CS7" s="96" t="inlineStr">
        <is>
          <t>DOW CHEMICAL THAILAND LTD.</t>
        </is>
      </c>
      <c r="CT7" s="96" t="inlineStr">
        <is>
          <t>N</t>
        </is>
      </c>
      <c r="CU7" s="97" t="n"/>
      <c r="CV7" s="97" t="n"/>
      <c r="CW7" s="161" t="inlineStr">
        <is>
          <t>2026-10-11</t>
        </is>
      </c>
      <c r="CX7" s="97" t="inlineStr">
        <is>
          <t>390140</t>
        </is>
      </c>
      <c r="CY7" s="183" t="n"/>
    </row>
    <row r="8" ht="12" customHeight="1">
      <c r="A8" s="116" t="inlineStr">
        <is>
          <t>HASLS22260902843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KST</t>
        </is>
      </c>
      <c r="M8" s="96" t="inlineStr">
        <is>
          <t>PCCP</t>
        </is>
      </c>
      <c r="N8" s="96" t="inlineStr">
        <is>
          <t>2610N</t>
        </is>
      </c>
      <c r="O8" s="96" t="inlineStr">
        <is>
          <t>THLCH</t>
        </is>
      </c>
      <c r="P8" s="96" t="inlineStr">
        <is>
          <t>LCH05</t>
        </is>
      </c>
      <c r="Q8" s="96" t="inlineStr">
        <is>
          <t>IA</t>
        </is>
      </c>
      <c r="R8" s="161" t="inlineStr">
        <is>
          <t>2026-10-14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2026-10-16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EXPEDITORS (THAILAND) LTD.</t>
        </is>
      </c>
      <c r="AB8" s="96" t="inlineStr">
        <is>
          <t>TOSTEM THAI CO., LTD.</t>
        </is>
      </c>
      <c r="AC8" s="163" t="n">
        <v>2131.66</v>
      </c>
      <c r="AD8" s="163" t="n">
        <v>4331.66</v>
      </c>
      <c r="AE8" s="96" t="inlineStr">
        <is>
          <t>OK</t>
        </is>
      </c>
      <c r="AF8" s="96" t="n"/>
      <c r="AG8" s="97" t="n"/>
      <c r="AH8" s="96" t="inlineStr">
        <is>
          <t>CON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ALUMINIUM DOOR , ALUMINIUM FABRICATION BAR , ALUMINIUM FRAME FOR WINDOW NET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2026-10-06, Return : 2026-10-09</t>
        </is>
      </c>
      <c r="BA8" s="97" t="inlineStr">
        <is>
          <t xml:space="preserve">SI DD.9/10/26
FM PGPO 2612N DD 01/10 </t>
        </is>
      </c>
      <c r="BB8" s="96" t="inlineStr">
        <is>
          <t>P</t>
        </is>
      </c>
      <c r="BC8" s="161" t="inlineStr">
        <is>
          <t>2026-09-30</t>
        </is>
      </c>
      <c r="BD8" s="161" t="inlineStr">
        <is>
          <t>2026-10-09</t>
        </is>
      </c>
      <c r="BE8" s="96" t="inlineStr">
        <is>
          <t>Y</t>
        </is>
      </c>
      <c r="BF8" s="96" t="inlineStr">
        <is>
          <t>ALUMINIUM WINDOW FRAME, ALUMINIUM FABRICATION BAR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2026-10-06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LCH05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alina.jantieng@expeditors.com</t>
        </is>
      </c>
      <c r="CJ8" s="96" t="inlineStr">
        <is>
          <t>EXPEDITORS THAILAND LTD.</t>
        </is>
      </c>
      <c r="CK8" s="96" t="inlineStr">
        <is>
          <t>EXPEDITORS VIETNAM COMPANY LIMITED</t>
        </is>
      </c>
      <c r="CL8" s="96" t="inlineStr">
        <is>
          <t>EXPEDITORS VIETNAM COMPANY LIMITED</t>
        </is>
      </c>
      <c r="CM8" s="97" t="inlineStr">
        <is>
          <t>CLOSED</t>
        </is>
      </c>
      <c r="CN8" s="96" t="inlineStr">
        <is>
          <t>202610091700</t>
        </is>
      </c>
      <c r="CO8" s="96" t="inlineStr">
        <is>
          <t>202610111200</t>
        </is>
      </c>
      <c r="CP8" s="97" t="n"/>
      <c r="CQ8" s="96" t="inlineStr">
        <is>
          <t>S22-2408021</t>
        </is>
      </c>
      <c r="CR8" s="96" t="inlineStr">
        <is>
          <t>BB0038</t>
        </is>
      </c>
      <c r="CS8" s="96" t="inlineStr">
        <is>
          <t>EXPEDITORS (THAILAND) LTD.</t>
        </is>
      </c>
      <c r="CT8" s="96" t="inlineStr">
        <is>
          <t>N</t>
        </is>
      </c>
      <c r="CU8" s="97" t="n"/>
      <c r="CV8" s="97" t="n"/>
      <c r="CW8" s="161" t="inlineStr">
        <is>
          <t>2026-10-12</t>
        </is>
      </c>
      <c r="CX8" s="97" t="inlineStr">
        <is>
          <t>761010</t>
        </is>
      </c>
      <c r="CY8" s="183" t="n"/>
    </row>
    <row r="9" ht="12" customHeight="1">
      <c r="A9" s="116" t="inlineStr">
        <is>
          <t>HASLS22261000543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KST</t>
        </is>
      </c>
      <c r="M9" s="96" t="inlineStr">
        <is>
          <t>PCCP</t>
        </is>
      </c>
      <c r="N9" s="96" t="inlineStr">
        <is>
          <t>2610N</t>
        </is>
      </c>
      <c r="O9" s="96" t="inlineStr">
        <is>
          <t>THLCH</t>
        </is>
      </c>
      <c r="P9" s="96" t="inlineStr">
        <is>
          <t>LCH05</t>
        </is>
      </c>
      <c r="Q9" s="96" t="inlineStr">
        <is>
          <t>IA</t>
        </is>
      </c>
      <c r="R9" s="161" t="inlineStr">
        <is>
          <t>2026-10-14</t>
        </is>
      </c>
      <c r="S9" s="96" t="inlineStr">
        <is>
          <t>KRPUS</t>
        </is>
      </c>
      <c r="T9" s="96" t="inlineStr">
        <is>
          <t>PUS05</t>
        </is>
      </c>
      <c r="U9" s="96" t="inlineStr">
        <is>
          <t>KRPUS</t>
        </is>
      </c>
      <c r="V9" s="161" t="inlineStr">
        <is>
          <t>2026-10-23</t>
        </is>
      </c>
      <c r="W9" s="96" t="inlineStr">
        <is>
          <t>KR</t>
        </is>
      </c>
      <c r="X9" s="97" t="n"/>
      <c r="Y9" s="97" t="n"/>
      <c r="Z9" s="97" t="n"/>
      <c r="AA9" s="96" t="inlineStr">
        <is>
          <t>H &amp; FRIENDS GTL (THAILAND) CO., LTD.</t>
        </is>
      </c>
      <c r="AB9" s="96" t="inlineStr">
        <is>
          <t>SHIN SHIN ELECTRONICS(THAILAND) CO., LTD.</t>
        </is>
      </c>
      <c r="AC9" s="163" t="n">
        <v>3647.07</v>
      </c>
      <c r="AD9" s="163" t="n">
        <v>5847.07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CON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TBKK47</t>
        </is>
      </c>
      <c r="AN9" s="96" t="inlineStr">
        <is>
          <t>Tarn(Supaporn)</t>
        </is>
      </c>
      <c r="AO9" s="96" t="inlineStr">
        <is>
          <t>CONNECTION WIRE FOR THERMISTOR SENSOR ASSEMBLY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 xml:space="preserve">Pickup : 2026-10-09, Return : 2026-10-10 EXTEND CLS TIME 11/10 @12.00
 ** PLEASE CHECK OPEN GATE BEFORE RETURN CNTR ** </t>
        </is>
      </c>
      <c r="BA9" s="97" t="inlineStr">
        <is>
          <t>REQUEST CONTAINER CLEAN &amp; GOOD</t>
        </is>
      </c>
      <c r="BB9" s="96" t="inlineStr">
        <is>
          <t>P</t>
        </is>
      </c>
      <c r="BC9" s="161" t="inlineStr">
        <is>
          <t>2026-10-07</t>
        </is>
      </c>
      <c r="BD9" s="161" t="inlineStr">
        <is>
          <t>2026-10-12</t>
        </is>
      </c>
      <c r="BE9" s="96" t="inlineStr">
        <is>
          <t>Y</t>
        </is>
      </c>
      <c r="BF9" s="96" t="inlineStr">
        <is>
          <t>CONNECTION WIRE FOR THERMISTOR SENSOR ASSEMBLY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2026-10-09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LCH05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bkksea@hnfriends.com</t>
        </is>
      </c>
      <c r="CJ9" s="96" t="inlineStr">
        <is>
          <t>H &amp; FRIENDS GTL (THAILAND) CO.,LTD.</t>
        </is>
      </c>
      <c r="CK9" s="96" t="inlineStr">
        <is>
          <t>EAST AIR EXPRESS CO.,LTD</t>
        </is>
      </c>
      <c r="CL9" s="96" t="inlineStr">
        <is>
          <t>EAST AIR EXPRESS CO.,LTD</t>
        </is>
      </c>
      <c r="CM9" s="97" t="inlineStr">
        <is>
          <t>CLOSED</t>
        </is>
      </c>
      <c r="CN9" s="96" t="inlineStr">
        <is>
          <t>202610091700</t>
        </is>
      </c>
      <c r="CO9" s="96" t="inlineStr">
        <is>
          <t>202610111200</t>
        </is>
      </c>
      <c r="CP9" s="97" t="n"/>
      <c r="CQ9" s="96" t="inlineStr">
        <is>
          <t>S19-1911051</t>
        </is>
      </c>
      <c r="CR9" s="96" t="inlineStr">
        <is>
          <t>THTIK5</t>
        </is>
      </c>
      <c r="CS9" s="96" t="inlineStr">
        <is>
          <t>H &amp; FRIENDS GTL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2026-10-12</t>
        </is>
      </c>
      <c r="CX9" s="97" t="n"/>
      <c r="CY9" s="183" t="n"/>
    </row>
    <row r="10" ht="12" customHeight="1">
      <c r="A10" s="116" t="inlineStr">
        <is>
          <t>HASLS22260901455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KST</t>
        </is>
      </c>
      <c r="M10" s="96" t="inlineStr">
        <is>
          <t>PCCP</t>
        </is>
      </c>
      <c r="N10" s="96" t="inlineStr">
        <is>
          <t>2610N</t>
        </is>
      </c>
      <c r="O10" s="96" t="inlineStr">
        <is>
          <t>THLCH</t>
        </is>
      </c>
      <c r="P10" s="96" t="inlineStr">
        <is>
          <t>LCH05</t>
        </is>
      </c>
      <c r="Q10" s="96" t="inlineStr">
        <is>
          <t>IA</t>
        </is>
      </c>
      <c r="R10" s="161" t="inlineStr">
        <is>
          <t>2026-10-14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2026-10-16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UBE CHEMICALS (ASIA) PUBLIC COMPANY LIMITED</t>
        </is>
      </c>
      <c r="AB10" s="96" t="inlineStr">
        <is>
          <t>THAI SYNTHETIC RUBBERS CO., LTD.</t>
        </is>
      </c>
      <c r="AC10" s="163" t="n">
        <v>17724</v>
      </c>
      <c r="AD10" s="163" t="n">
        <v>19924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TBKK47</t>
        </is>
      </c>
      <c r="AN10" s="96" t="inlineStr">
        <is>
          <t>Tarn(Supaporn)</t>
        </is>
      </c>
      <c r="AO10" s="96" t="inlineStr">
        <is>
          <t>POLYBUTADIENE RUBBER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CY-RTN : 05-09/10/2026 *REF : ID-TBA1001(BR-26067)*
RQST GOOD CONDITION : GRADE B+</t>
        </is>
      </c>
      <c r="BA10" s="97" t="inlineStr">
        <is>
          <t>SI DD.6/10/26</t>
        </is>
      </c>
      <c r="BB10" s="96" t="inlineStr">
        <is>
          <t>P</t>
        </is>
      </c>
      <c r="BC10" s="161" t="inlineStr">
        <is>
          <t>2026-09-16</t>
        </is>
      </c>
      <c r="BD10" s="161" t="inlineStr">
        <is>
          <t>2026-10-06</t>
        </is>
      </c>
      <c r="BE10" s="96" t="inlineStr">
        <is>
          <t>Y</t>
        </is>
      </c>
      <c r="BF10" s="96" t="inlineStr">
        <is>
          <t xml:space="preserve">Polybutadiene Rubber 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2026-10-05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n"/>
      <c r="CB10" s="97" t="n"/>
      <c r="CC10" s="96" t="inlineStr">
        <is>
          <t>LCH05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nunnaphus@ube.co.th;ugttransportex@ube.co.th</t>
        </is>
      </c>
      <c r="CJ10" s="96" t="inlineStr">
        <is>
          <t>THAI SYNTHETIC RUBBERS COMPANY</t>
        </is>
      </c>
      <c r="CK10" s="96" t="inlineStr">
        <is>
          <t>VIETNAM DONA STANDARD FOOTWEAR</t>
        </is>
      </c>
      <c r="CL10" s="96" t="inlineStr">
        <is>
          <t>VIETNAM DONA STANDARD FOOTWEAR</t>
        </is>
      </c>
      <c r="CM10" s="97" t="inlineStr">
        <is>
          <t>CLOSED</t>
        </is>
      </c>
      <c r="CN10" s="96" t="inlineStr">
        <is>
          <t>202610091700</t>
        </is>
      </c>
      <c r="CO10" s="96" t="inlineStr">
        <is>
          <t>202610111200</t>
        </is>
      </c>
      <c r="CP10" s="97" t="n"/>
      <c r="CQ10" s="96" t="inlineStr">
        <is>
          <t>S22-2211002</t>
        </is>
      </c>
      <c r="CR10" s="96" t="inlineStr">
        <is>
          <t>TH035E</t>
        </is>
      </c>
      <c r="CS10" s="96" t="inlineStr">
        <is>
          <t>UBE CHEMICALS (ASIA) PUBLIC COMPANY LIMITED</t>
        </is>
      </c>
      <c r="CT10" s="96" t="inlineStr">
        <is>
          <t>N</t>
        </is>
      </c>
      <c r="CU10" s="97" t="n"/>
      <c r="CV10" s="97" t="n"/>
      <c r="CW10" s="161" t="inlineStr">
        <is>
          <t>2026-10-11</t>
        </is>
      </c>
      <c r="CX10" s="97" t="inlineStr">
        <is>
          <t>400220</t>
        </is>
      </c>
      <c r="CY10" s="183" t="n"/>
    </row>
    <row r="11" ht="12" customHeight="1">
      <c r="A11" s="116" t="inlineStr">
        <is>
          <t>HASLS22260902228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KST</t>
        </is>
      </c>
      <c r="M11" s="96" t="inlineStr">
        <is>
          <t>PCCP</t>
        </is>
      </c>
      <c r="N11" s="96" t="inlineStr">
        <is>
          <t>2610N</t>
        </is>
      </c>
      <c r="O11" s="96" t="inlineStr">
        <is>
          <t>THLCH</t>
        </is>
      </c>
      <c r="P11" s="96" t="inlineStr">
        <is>
          <t>LCH05</t>
        </is>
      </c>
      <c r="Q11" s="96" t="inlineStr">
        <is>
          <t>IA</t>
        </is>
      </c>
      <c r="R11" s="161" t="inlineStr">
        <is>
          <t>2026-10-14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2026-10-16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WHA GC LOGISTICS COMPANY LIMITED</t>
        </is>
      </c>
      <c r="AB11" s="96" t="inlineStr">
        <is>
          <t>PTT GLOBAL CHEMICAL PUBLIC COMPANY LIMITED</t>
        </is>
      </c>
      <c r="AC11" s="163" t="n">
        <v>18072</v>
      </c>
      <c r="AD11" s="163" t="n">
        <v>20272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TBKK13</t>
        </is>
      </c>
      <c r="AN11" s="96" t="inlineStr">
        <is>
          <t>Dharaporn</t>
        </is>
      </c>
      <c r="AO11" s="96" t="inlineStr">
        <is>
          <t>HIGH DENSITY POLYETHYLENE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CY-RTN 25-02/10/26 
*PLS CHECK OPEN GATE BEFORE RETURN CTNR*</t>
        </is>
      </c>
      <c r="BA11" s="97" t="inlineStr">
        <is>
          <t xml:space="preserve">ROLL OVER FROM PREVIOUS VSL SWSP 2609N BY ALLOCATION TEAM MS.TARN APPROVED COST IS UNDER HA DD.7/10
SI DD.30/9/26
FM SWAL 2608N BY HAL (SKIP THAILAND) DD 01/09   
FM 10X20'GP DD 01/09 </t>
        </is>
      </c>
      <c r="BB11" s="96" t="inlineStr">
        <is>
          <t>P</t>
        </is>
      </c>
      <c r="BC11" s="161" t="inlineStr">
        <is>
          <t>2026-09-24</t>
        </is>
      </c>
      <c r="BD11" s="161" t="inlineStr">
        <is>
          <t>2026-10-07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LCH27</t>
        </is>
      </c>
      <c r="BL11" s="161" t="inlineStr">
        <is>
          <t>2026-09-25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n"/>
      <c r="CB11" s="97" t="n"/>
      <c r="CC11" s="96" t="inlineStr">
        <is>
          <t>LCH05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warayu.p@wha-gc.com</t>
        </is>
      </c>
      <c r="CJ11" s="96" t="inlineStr">
        <is>
          <t>PTT GLOBAL CHEMICAL PUBLIC COMPANY</t>
        </is>
      </c>
      <c r="CK11" s="96" t="inlineStr">
        <is>
          <t>LINS ENTERPRISE CO.,LTD</t>
        </is>
      </c>
      <c r="CL11" s="96" t="inlineStr">
        <is>
          <t>LINS ENTERPRISE CO.,LTD</t>
        </is>
      </c>
      <c r="CM11" s="97" t="n"/>
      <c r="CN11" s="96" t="inlineStr">
        <is>
          <t>202610091700</t>
        </is>
      </c>
      <c r="CO11" s="96" t="inlineStr">
        <is>
          <t>202610111200</t>
        </is>
      </c>
      <c r="CP11" s="97" t="n"/>
      <c r="CQ11" s="96" t="inlineStr">
        <is>
          <t>S22-2309036</t>
        </is>
      </c>
      <c r="CR11" s="96" t="inlineStr">
        <is>
          <t>TH02GR</t>
        </is>
      </c>
      <c r="CS11" s="96" t="inlineStr">
        <is>
          <t>WHA GC LOGISTICS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2026-10-12</t>
        </is>
      </c>
      <c r="CX11" s="97" t="inlineStr">
        <is>
          <t>390120</t>
        </is>
      </c>
      <c r="CY11" s="183" t="inlineStr">
        <is>
          <t>ROLL OVER FROM PREVIOUS VSL SWSP 2609N BY ALLOCATION TEAM MS.TARN APPROVED COST IS UNDER HA DD.7/10</t>
        </is>
      </c>
    </row>
    <row r="12" ht="12" customHeight="1">
      <c r="A12" s="116" t="inlineStr">
        <is>
          <t>HASLS22260901719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KST</t>
        </is>
      </c>
      <c r="M12" s="96" t="inlineStr">
        <is>
          <t>PCCP</t>
        </is>
      </c>
      <c r="N12" s="96" t="inlineStr">
        <is>
          <t>2610N</t>
        </is>
      </c>
      <c r="O12" s="96" t="inlineStr">
        <is>
          <t>THLCH</t>
        </is>
      </c>
      <c r="P12" s="96" t="inlineStr">
        <is>
          <t>LCH05</t>
        </is>
      </c>
      <c r="Q12" s="96" t="inlineStr">
        <is>
          <t>IA</t>
        </is>
      </c>
      <c r="R12" s="161" t="inlineStr">
        <is>
          <t>2026-10-14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2026-10-16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WHA GC LOGISTICS COMPANY LIMITED</t>
        </is>
      </c>
      <c r="AB12" s="96" t="inlineStr">
        <is>
          <t>PTT GLOBAL CHEMICAL PUBLIC COMPANY LIMITED</t>
        </is>
      </c>
      <c r="AC12" s="163" t="n">
        <v>12036</v>
      </c>
      <c r="AD12" s="163" t="n">
        <v>14236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PET INNOPLUS SA135T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CY 28/09/26 , RTN 29/09/26 (1ST RETUR DD.30/09/26)
*PLS CHECK OPEN GATE BEFORE RETURN CTNR*</t>
        </is>
      </c>
      <c r="BA12" s="97" t="inlineStr">
        <is>
          <t>ROLL OVER FROM PREVIOUS VSL SWSP 2609N BY ALLOCATION TEAM MS.TARN APPROVED COST IS UNDER HA DD.7/10
S/R DD.01/10/2026</t>
        </is>
      </c>
      <c r="BB12" s="96" t="inlineStr">
        <is>
          <t>P</t>
        </is>
      </c>
      <c r="BC12" s="161" t="inlineStr">
        <is>
          <t>2026-09-18</t>
        </is>
      </c>
      <c r="BD12" s="161" t="inlineStr">
        <is>
          <t>2026-10-07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2026-09-28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LCH05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wannicha.p@wha-gc.com</t>
        </is>
      </c>
      <c r="CJ12" s="96" t="inlineStr">
        <is>
          <t>PTT GLOBAL CHEMICAL PUBLIC COMPANY</t>
        </is>
      </c>
      <c r="CK12" s="96" t="inlineStr">
        <is>
          <t>VINGOODS COMPANY LIMITED</t>
        </is>
      </c>
      <c r="CL12" s="96" t="inlineStr">
        <is>
          <t>VINGOODS COMPANY LIMITED</t>
        </is>
      </c>
      <c r="CM12" s="97" t="inlineStr">
        <is>
          <t>CLOSED</t>
        </is>
      </c>
      <c r="CN12" s="96" t="inlineStr">
        <is>
          <t>202610091700</t>
        </is>
      </c>
      <c r="CO12" s="96" t="inlineStr">
        <is>
          <t>202610111200</t>
        </is>
      </c>
      <c r="CP12" s="97" t="n"/>
      <c r="CQ12" s="96" t="inlineStr">
        <is>
          <t>S22-2309036</t>
        </is>
      </c>
      <c r="CR12" s="96" t="inlineStr">
        <is>
          <t>TH02GR</t>
        </is>
      </c>
      <c r="CS12" s="96" t="inlineStr">
        <is>
          <t>WHA GC LOGISTICS COMPANY LIMITED</t>
        </is>
      </c>
      <c r="CT12" s="96" t="inlineStr">
        <is>
          <t>Y</t>
        </is>
      </c>
      <c r="CU12" s="97" t="n"/>
      <c r="CV12" s="97" t="n"/>
      <c r="CW12" s="161" t="inlineStr">
        <is>
          <t>2026-10-12</t>
        </is>
      </c>
      <c r="CX12" s="97" t="inlineStr">
        <is>
          <t>390761</t>
        </is>
      </c>
      <c r="CY12" s="183" t="inlineStr">
        <is>
          <t>ROLL OVER FROM PREVIOUS VSL SWSP 2609N BY ALLOCATION TEAM MS.TARN APPROVED COST IS UNDER HA DD.7/10</t>
        </is>
      </c>
    </row>
    <row r="13" ht="12" customHeight="1">
      <c r="A13" s="116" t="inlineStr">
        <is>
          <t>HASLS22260902386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KST</t>
        </is>
      </c>
      <c r="M13" s="96" t="inlineStr">
        <is>
          <t>PCCP</t>
        </is>
      </c>
      <c r="N13" s="96" t="inlineStr">
        <is>
          <t>2610N</t>
        </is>
      </c>
      <c r="O13" s="96" t="inlineStr">
        <is>
          <t>THLCH</t>
        </is>
      </c>
      <c r="P13" s="96" t="inlineStr">
        <is>
          <t>LCH05</t>
        </is>
      </c>
      <c r="Q13" s="96" t="inlineStr">
        <is>
          <t>IA</t>
        </is>
      </c>
      <c r="R13" s="161" t="inlineStr">
        <is>
          <t>2026-10-14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2026-10-16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YAMATO UNYU (THAILAND) CO., LTD.</t>
        </is>
      </c>
      <c r="AB13" s="96" t="inlineStr">
        <is>
          <t>TSUKATANI (THAILAND) CO.,LTD.</t>
        </is>
      </c>
      <c r="AC13" s="163" t="n">
        <v>6817</v>
      </c>
      <c r="AD13" s="163" t="n">
        <v>9017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CON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TH0011</t>
        </is>
      </c>
      <c r="AN13" s="96" t="inlineStr">
        <is>
          <t>Nannaapust Sukporntaweewat</t>
        </is>
      </c>
      <c r="AO13" s="96" t="inlineStr">
        <is>
          <t>STEEL CUTTING RULE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 xml:space="preserve">Pickup : 2026-10-07, Return : 2026-10-07 
** PLEASE CHECK OPEN GATE BEFORE RETURN CONTAINER ** </t>
        </is>
      </c>
      <c r="BA13" s="97" t="inlineStr">
        <is>
          <t>Request good and clean container , not damage , none any hole , smooth floor , ceiling &amp; wall not deformed.</t>
        </is>
      </c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2026-10-06</t>
        </is>
      </c>
      <c r="BE13" s="96" t="inlineStr">
        <is>
          <t>Y</t>
        </is>
      </c>
      <c r="BF13" s="96" t="inlineStr">
        <is>
          <t>STEEL CUTTING RULE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2026-10-07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LCH05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seaexport@yamatothai.com</t>
        </is>
      </c>
      <c r="CJ13" s="96" t="inlineStr">
        <is>
          <t>YAMATO UNYU (THAILAND) CO., LTD.</t>
        </is>
      </c>
      <c r="CK13" s="96" t="inlineStr">
        <is>
          <t>YAMATO LOGISTICS VIETNAM CO.,LTD -</t>
        </is>
      </c>
      <c r="CL13" s="96" t="inlineStr">
        <is>
          <t>YAMATO LOGISTICS VIETNAM CO.,LTD -</t>
        </is>
      </c>
      <c r="CM13" s="97" t="inlineStr">
        <is>
          <t>CLOSED</t>
        </is>
      </c>
      <c r="CN13" s="96" t="inlineStr">
        <is>
          <t>202610091700</t>
        </is>
      </c>
      <c r="CO13" s="96" t="inlineStr">
        <is>
          <t>202610111200</t>
        </is>
      </c>
      <c r="CP13" s="97" t="n"/>
      <c r="CQ13" s="96" t="inlineStr">
        <is>
          <t>S22-2503020</t>
        </is>
      </c>
      <c r="CR13" s="96" t="inlineStr">
        <is>
          <t>TH02EE</t>
        </is>
      </c>
      <c r="CS13" s="96" t="inlineStr">
        <is>
          <t>YAMATO UNYU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2026-10-11</t>
        </is>
      </c>
      <c r="CX13" s="97" t="inlineStr">
        <is>
          <t>820890</t>
        </is>
      </c>
      <c r="CY13" s="183" t="n"/>
    </row>
    <row r="14" ht="12" customHeight="1">
      <c r="A14" s="116" t="inlineStr">
        <is>
          <t>HASLS22260902139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KST</t>
        </is>
      </c>
      <c r="M14" s="96" t="inlineStr">
        <is>
          <t>PCCP</t>
        </is>
      </c>
      <c r="N14" s="96" t="inlineStr">
        <is>
          <t>2610N</t>
        </is>
      </c>
      <c r="O14" s="96" t="inlineStr">
        <is>
          <t>THLCH</t>
        </is>
      </c>
      <c r="P14" s="96" t="inlineStr">
        <is>
          <t>LCH05</t>
        </is>
      </c>
      <c r="Q14" s="96" t="inlineStr">
        <is>
          <t>IA</t>
        </is>
      </c>
      <c r="R14" s="161" t="inlineStr">
        <is>
          <t>2026-10-14</t>
        </is>
      </c>
      <c r="S14" s="96" t="inlineStr">
        <is>
          <t>KRINC</t>
        </is>
      </c>
      <c r="T14" s="96" t="inlineStr">
        <is>
          <t>INC07</t>
        </is>
      </c>
      <c r="U14" s="96" t="inlineStr">
        <is>
          <t>KRINC</t>
        </is>
      </c>
      <c r="V14" s="161" t="inlineStr">
        <is>
          <t>2026-10-22</t>
        </is>
      </c>
      <c r="W14" s="96" t="inlineStr">
        <is>
          <t>KR</t>
        </is>
      </c>
      <c r="X14" s="97" t="n"/>
      <c r="Y14" s="97" t="n"/>
      <c r="Z14" s="97" t="n"/>
      <c r="AA14" s="96" t="inlineStr">
        <is>
          <t>CANVAS GLOBAL LOGISTICS (THAILAND) CO., LTD.</t>
        </is>
      </c>
      <c r="AB14" s="96" t="inlineStr">
        <is>
          <t>SRI TRANG GLOVES (THAILAND) PUBLIC COMPANY LIMITED</t>
        </is>
      </c>
      <c r="AC14" s="163" t="n">
        <v>7368.912</v>
      </c>
      <c r="AD14" s="163" t="n">
        <v>9568.912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TBKK97</t>
        </is>
      </c>
      <c r="AN14" s="96" t="inlineStr">
        <is>
          <t>Arunphat W. (Aiw)</t>
        </is>
      </c>
      <c r="AO14" s="96" t="inlineStr">
        <is>
          <t>LATEX EXAM TEXTURE POWDER FREE GLOVES SIZE XS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2026-09-26, Return : 2026-09-28</t>
        </is>
      </c>
      <c r="BA14" s="97" t="n"/>
      <c r="BB14" s="96" t="inlineStr">
        <is>
          <t>P</t>
        </is>
      </c>
      <c r="BC14" s="161" t="inlineStr">
        <is>
          <t>2026-09-23</t>
        </is>
      </c>
      <c r="BD14" s="161" t="inlineStr">
        <is>
          <t>2026-10-12</t>
        </is>
      </c>
      <c r="BE14" s="96" t="inlineStr">
        <is>
          <t>Y</t>
        </is>
      </c>
      <c r="BF14" s="96" t="inlineStr">
        <is>
          <t>LATEX GLOVES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2026-09-26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LCH05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cs.log@canvasglobal-log.co.th</t>
        </is>
      </c>
      <c r="CJ14" s="96" t="inlineStr">
        <is>
          <t>SRI TRANG GLOVES (THAILAND) PUBLIC</t>
        </is>
      </c>
      <c r="CK14" s="96" t="inlineStr">
        <is>
          <t>AURUM DENTAL CO.,LTD.</t>
        </is>
      </c>
      <c r="CL14" s="96" t="inlineStr">
        <is>
          <t>PALAN GLOBAL CO.,LTD</t>
        </is>
      </c>
      <c r="CM14" s="97" t="inlineStr">
        <is>
          <t>CLOSED</t>
        </is>
      </c>
      <c r="CN14" s="96" t="inlineStr">
        <is>
          <t>202610091700</t>
        </is>
      </c>
      <c r="CO14" s="96" t="inlineStr">
        <is>
          <t>202610111200</t>
        </is>
      </c>
      <c r="CP14" s="97" t="n"/>
      <c r="CQ14" s="96" t="inlineStr">
        <is>
          <t>S22-2609010</t>
        </is>
      </c>
      <c r="CR14" s="96" t="inlineStr">
        <is>
          <t>THTWN1</t>
        </is>
      </c>
      <c r="CS14" s="96" t="inlineStr">
        <is>
          <t>CANVAS GLOBAL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2026-10-11</t>
        </is>
      </c>
      <c r="CX14" s="97" t="n"/>
      <c r="CY14" s="183" t="n"/>
    </row>
    <row r="15" ht="12" customHeight="1">
      <c r="A15" s="116" t="inlineStr">
        <is>
          <t>HASLS22260902206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KST</t>
        </is>
      </c>
      <c r="M15" s="96" t="inlineStr">
        <is>
          <t>PCCP</t>
        </is>
      </c>
      <c r="N15" s="96" t="inlineStr">
        <is>
          <t>2610N</t>
        </is>
      </c>
      <c r="O15" s="96" t="inlineStr">
        <is>
          <t>THLCH</t>
        </is>
      </c>
      <c r="P15" s="96" t="inlineStr">
        <is>
          <t>LCH05</t>
        </is>
      </c>
      <c r="Q15" s="96" t="inlineStr">
        <is>
          <t>IA</t>
        </is>
      </c>
      <c r="R15" s="161" t="inlineStr">
        <is>
          <t>2026-10-14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2026-10-16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WHA GC LOGISTICS COMPANY LIMITED</t>
        </is>
      </c>
      <c r="AB15" s="96" t="inlineStr">
        <is>
          <t>PTT GLOBAL CHEMICAL PUBLIC COMPANY LIMITED</t>
        </is>
      </c>
      <c r="AC15" s="163" t="n">
        <v>19152</v>
      </c>
      <c r="AD15" s="163" t="n">
        <v>21352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n"/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TRIETHANOLAMINE 99%(TEA99%)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 xml:space="preserve">CY-RTN : 02-07/10/20206 *1ST RETURN CNTR DD.07/10/2026*
</t>
        </is>
      </c>
      <c r="BA15" s="97" t="inlineStr">
        <is>
          <t>SI DD.9/10/26</t>
        </is>
      </c>
      <c r="BB15" s="96" t="inlineStr">
        <is>
          <t>P</t>
        </is>
      </c>
      <c r="BC15" s="161" t="inlineStr">
        <is>
          <t>2026-09-23</t>
        </is>
      </c>
      <c r="BD15" s="161" t="inlineStr">
        <is>
          <t>2026-10-09</t>
        </is>
      </c>
      <c r="BE15" s="96" t="inlineStr">
        <is>
          <t>Y</t>
        </is>
      </c>
      <c r="BF15" s="96" t="inlineStr">
        <is>
          <t xml:space="preserve">TRI ETHANOLAMINE 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2026-10-02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LCH05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thapani.t@pttgcgroup.com</t>
        </is>
      </c>
      <c r="CJ15" s="96" t="inlineStr">
        <is>
          <t>PTT GLOBAL CHEMICAL PUBLIC COMPANY</t>
        </is>
      </c>
      <c r="CK15" s="96" t="inlineStr">
        <is>
          <t>QCC INDUSTRY COMPANY LIMITED</t>
        </is>
      </c>
      <c r="CL15" s="96" t="inlineStr">
        <is>
          <t>QCC INDUSTRY COMPANY LIMITED</t>
        </is>
      </c>
      <c r="CM15" s="97" t="n"/>
      <c r="CN15" s="96" t="inlineStr">
        <is>
          <t>202610091700</t>
        </is>
      </c>
      <c r="CO15" s="96" t="inlineStr">
        <is>
          <t>202610111200</t>
        </is>
      </c>
      <c r="CP15" s="97" t="n"/>
      <c r="CQ15" s="96" t="inlineStr">
        <is>
          <t>S22-2309036</t>
        </is>
      </c>
      <c r="CR15" s="96" t="inlineStr">
        <is>
          <t>TH02GR</t>
        </is>
      </c>
      <c r="CS15" s="96" t="inlineStr">
        <is>
          <t>WHA GC LOGISTICS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2026-10-11</t>
        </is>
      </c>
      <c r="CX15" s="97" t="inlineStr">
        <is>
          <t>292215</t>
        </is>
      </c>
      <c r="CY15" s="183" t="n"/>
    </row>
    <row r="16" ht="12" customHeight="1">
      <c r="A16" s="116" t="inlineStr">
        <is>
          <t>HASLS22260902756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KST</t>
        </is>
      </c>
      <c r="M16" s="96" t="inlineStr">
        <is>
          <t>PCCP</t>
        </is>
      </c>
      <c r="N16" s="96" t="inlineStr">
        <is>
          <t>2610N</t>
        </is>
      </c>
      <c r="O16" s="96" t="inlineStr">
        <is>
          <t>THLCH</t>
        </is>
      </c>
      <c r="P16" s="96" t="inlineStr">
        <is>
          <t>LCH05</t>
        </is>
      </c>
      <c r="Q16" s="96" t="inlineStr">
        <is>
          <t>IA</t>
        </is>
      </c>
      <c r="R16" s="161" t="inlineStr">
        <is>
          <t>2026-10-14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2026-10-16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WHA GC LOGISTICS COMPANY LIMITED</t>
        </is>
      </c>
      <c r="AB16" s="96" t="inlineStr">
        <is>
          <t>PTT GLOBAL CHEMICAL PUBLIC COMPANY LIMITED</t>
        </is>
      </c>
      <c r="AC16" s="163" t="n">
        <v>18072</v>
      </c>
      <c r="AD16" s="163" t="n">
        <v>20272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LINEAR LOW DENSITY POLYETHYLENE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CY-RTN 23-26/09/26 / FIRST DATE CAN RETURN CNTR DD.05/10 
**CHECK OPEN GATE BEFORE RETURN CNTR **
</t>
        </is>
      </c>
      <c r="BA16" s="97" t="inlineStr">
        <is>
          <t xml:space="preserve">SI DD.2/10/26
 </t>
        </is>
      </c>
      <c r="BB16" s="96" t="inlineStr">
        <is>
          <t>P</t>
        </is>
      </c>
      <c r="BC16" s="161" t="inlineStr">
        <is>
          <t>2026-09-30</t>
        </is>
      </c>
      <c r="BD16" s="161" t="inlineStr">
        <is>
          <t>2026-10-02</t>
        </is>
      </c>
      <c r="BE16" s="96" t="inlineStr">
        <is>
          <t>Y</t>
        </is>
      </c>
      <c r="BF16" s="96" t="inlineStr">
        <is>
          <t>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2026-09-23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n"/>
      <c r="CB16" s="97" t="n"/>
      <c r="CC16" s="96" t="inlineStr">
        <is>
          <t>LCH05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warayu.p@wha-gc.com</t>
        </is>
      </c>
      <c r="CJ16" s="96" t="inlineStr">
        <is>
          <t>PTT GLOBAL CHEMICAL PUBLIC COMPANY</t>
        </is>
      </c>
      <c r="CK16" s="96" t="inlineStr">
        <is>
          <t>TO ORDER OF TECHCOMBANK - CHO LON</t>
        </is>
      </c>
      <c r="CL16" s="96" t="inlineStr">
        <is>
          <t>VIET NAM PLASTIC COMPANY LIMITED</t>
        </is>
      </c>
      <c r="CM16" s="97" t="inlineStr">
        <is>
          <t>CLOSED</t>
        </is>
      </c>
      <c r="CN16" s="96" t="inlineStr">
        <is>
          <t>202610091700</t>
        </is>
      </c>
      <c r="CO16" s="96" t="inlineStr">
        <is>
          <t>202610111200</t>
        </is>
      </c>
      <c r="CP16" s="97" t="n"/>
      <c r="CQ16" s="96" t="inlineStr">
        <is>
          <t>S22-2309036</t>
        </is>
      </c>
      <c r="CR16" s="96" t="inlineStr">
        <is>
          <t>TH02GR</t>
        </is>
      </c>
      <c r="CS16" s="96" t="inlineStr">
        <is>
          <t>WHA GC LOGISTICS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2026-10-11</t>
        </is>
      </c>
      <c r="CX16" s="97" t="inlineStr">
        <is>
          <t>390140</t>
        </is>
      </c>
      <c r="CY16" s="183" t="n"/>
    </row>
    <row r="17" ht="12" customHeight="1">
      <c r="A17" s="116" t="inlineStr">
        <is>
          <t>HASLS22260902091</t>
        </is>
      </c>
      <c r="B17" s="96" t="inlineStr">
        <is>
          <t>20'x1</t>
        </is>
      </c>
      <c r="C17" s="97" t="n">
        <v>0</v>
      </c>
      <c r="D17" s="97" t="n">
        <v>0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SOC</t>
        </is>
      </c>
      <c r="L17" s="96" t="inlineStr">
        <is>
          <t>KST</t>
        </is>
      </c>
      <c r="M17" s="96" t="inlineStr">
        <is>
          <t>PCCP</t>
        </is>
      </c>
      <c r="N17" s="96" t="inlineStr">
        <is>
          <t>2610N</t>
        </is>
      </c>
      <c r="O17" s="96" t="inlineStr">
        <is>
          <t>THLCH</t>
        </is>
      </c>
      <c r="P17" s="96" t="inlineStr">
        <is>
          <t>LCH05</t>
        </is>
      </c>
      <c r="Q17" s="96" t="inlineStr">
        <is>
          <t>IA</t>
        </is>
      </c>
      <c r="R17" s="161" t="inlineStr">
        <is>
          <t>2026-10-14</t>
        </is>
      </c>
      <c r="S17" s="96" t="inlineStr">
        <is>
          <t>KRPUS</t>
        </is>
      </c>
      <c r="T17" s="96" t="inlineStr">
        <is>
          <t>PUS05</t>
        </is>
      </c>
      <c r="U17" s="96" t="inlineStr">
        <is>
          <t>KRPUS</t>
        </is>
      </c>
      <c r="V17" s="161" t="inlineStr">
        <is>
          <t>2026-10-23</t>
        </is>
      </c>
      <c r="W17" s="96" t="inlineStr">
        <is>
          <t>KR</t>
        </is>
      </c>
      <c r="X17" s="97" t="n"/>
      <c r="Y17" s="97" t="n"/>
      <c r="Z17" s="97" t="n"/>
      <c r="AA17" s="96" t="inlineStr">
        <is>
          <t>SWIRE SHIPPING PTE LTD C/O BEN LINE AGENCIES (THAILAND) LTD.</t>
        </is>
      </c>
      <c r="AB17" s="96" t="inlineStr">
        <is>
          <t>SWIRE SHIPPING PTE LTD C/O BEN LINE AGENCIES (THAILAND) LTD.</t>
        </is>
      </c>
      <c r="AC17" s="163" t="n">
        <v>18190.72</v>
      </c>
      <c r="AD17" s="163" t="n">
        <v>20390.72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CON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TBKK28</t>
        </is>
      </c>
      <c r="AN17" s="96" t="inlineStr">
        <is>
          <t>Nustsireerach</t>
        </is>
      </c>
      <c r="AO17" s="96" t="inlineStr">
        <is>
          <t>GYPSUM BOARD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Pickup : 2026-10-08, Return : 2026-10-08 SOC 
Tax ID 0-9930-00089-42-1   </t>
        </is>
      </c>
      <c r="BA17" s="97" t="inlineStr">
        <is>
          <t xml:space="preserve">Swire Shipping Pte Ltd C/O Ben Line Agencies (Thailand) Ltd.Tax ID 0-9930-00089-42-1   </t>
        </is>
      </c>
      <c r="BB17" s="96" t="inlineStr">
        <is>
          <t>P</t>
        </is>
      </c>
      <c r="BC17" s="161" t="inlineStr">
        <is>
          <t>2026-09-23</t>
        </is>
      </c>
      <c r="BD17" s="161" t="inlineStr">
        <is>
          <t>2026-10-12</t>
        </is>
      </c>
      <c r="BE17" s="96" t="inlineStr">
        <is>
          <t>Y</t>
        </is>
      </c>
      <c r="BF17" s="96" t="inlineStr">
        <is>
          <t>GYPSUM BOARD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n"/>
      <c r="BL17" s="161" t="inlineStr">
        <is>
          <t>2026-10-08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LCH05</t>
        </is>
      </c>
      <c r="CD17" s="97" t="n"/>
      <c r="CE17" s="97" t="n"/>
      <c r="CF17" s="96" t="inlineStr">
        <is>
          <t>0 Teu</t>
        </is>
      </c>
      <c r="CG17" s="96" t="inlineStr">
        <is>
          <t>TACKLE/FO</t>
        </is>
      </c>
      <c r="CH17" s="97" t="n"/>
      <c r="CI17" s="96" t="inlineStr">
        <is>
          <t>csd1.th@benline.com</t>
        </is>
      </c>
      <c r="CJ17" s="96" t="inlineStr">
        <is>
          <t>SWIRE SHIPPING PTE. LTD.</t>
        </is>
      </c>
      <c r="CK17" s="96" t="inlineStr">
        <is>
          <t>HYOP WOON INTERNATIONAL CO., LTD.</t>
        </is>
      </c>
      <c r="CL17" s="96" t="inlineStr">
        <is>
          <t>HYOP WOON INTERNATIONAL CO., LTD.</t>
        </is>
      </c>
      <c r="CM17" s="97" t="n"/>
      <c r="CN17" s="96" t="inlineStr">
        <is>
          <t>202610091700</t>
        </is>
      </c>
      <c r="CO17" s="96" t="inlineStr">
        <is>
          <t>202610111200</t>
        </is>
      </c>
      <c r="CP17" s="97" t="n"/>
      <c r="CQ17" s="96" t="inlineStr">
        <is>
          <t>S22-2410009</t>
        </is>
      </c>
      <c r="CR17" s="96" t="inlineStr">
        <is>
          <t>THTVIE</t>
        </is>
      </c>
      <c r="CS17" s="96" t="inlineStr">
        <is>
          <t>SWIRE SHIPPING PTE LTD C/O BEN LINE AGENCIES (THAILAND) LTD.</t>
        </is>
      </c>
      <c r="CT17" s="96" t="inlineStr">
        <is>
          <t>N</t>
        </is>
      </c>
      <c r="CU17" s="97" t="n"/>
      <c r="CV17" s="97" t="n"/>
      <c r="CW17" s="161" t="inlineStr">
        <is>
          <t>2026-10-11</t>
        </is>
      </c>
      <c r="CX17" s="97" t="n"/>
      <c r="CY17" s="183" t="n"/>
    </row>
    <row r="18" ht="12" customHeight="1">
      <c r="A18" s="116" t="inlineStr">
        <is>
          <t>HASLS22260902333</t>
        </is>
      </c>
      <c r="B18" s="96" t="inlineStr">
        <is>
          <t>20'x1 40Hx1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1</v>
      </c>
      <c r="H18" s="97" t="n">
        <v>0</v>
      </c>
      <c r="I18" s="97" t="n">
        <v>1</v>
      </c>
      <c r="J18" s="97" t="n">
        <v>3</v>
      </c>
      <c r="K18" s="96" t="inlineStr">
        <is>
          <t>N</t>
        </is>
      </c>
      <c r="L18" s="96" t="inlineStr">
        <is>
          <t>KST</t>
        </is>
      </c>
      <c r="M18" s="96" t="inlineStr">
        <is>
          <t>PCCP</t>
        </is>
      </c>
      <c r="N18" s="96" t="inlineStr">
        <is>
          <t>2610N</t>
        </is>
      </c>
      <c r="O18" s="96" t="inlineStr">
        <is>
          <t>THLCH</t>
        </is>
      </c>
      <c r="P18" s="96" t="inlineStr">
        <is>
          <t>LCH05</t>
        </is>
      </c>
      <c r="Q18" s="96" t="inlineStr">
        <is>
          <t>IA</t>
        </is>
      </c>
      <c r="R18" s="161" t="inlineStr">
        <is>
          <t>2026-10-14</t>
        </is>
      </c>
      <c r="S18" s="96" t="inlineStr">
        <is>
          <t>VNSGN</t>
        </is>
      </c>
      <c r="T18" s="96" t="inlineStr">
        <is>
          <t>SGN03</t>
        </is>
      </c>
      <c r="U18" s="96" t="inlineStr">
        <is>
          <t>VNSGN</t>
        </is>
      </c>
      <c r="V18" s="161" t="inlineStr">
        <is>
          <t>2026-10-16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MILLENNIUM AIR-SEA SERVICE CO., LTD.</t>
        </is>
      </c>
      <c r="AB18" s="96" t="inlineStr">
        <is>
          <t>TIETEX ASIA LIMITED</t>
        </is>
      </c>
      <c r="AC18" s="163" t="n">
        <v>10870.8</v>
      </c>
      <c r="AD18" s="163" t="n">
        <v>17070.8</v>
      </c>
      <c r="AE18" s="96" t="inlineStr">
        <is>
          <t>OK</t>
        </is>
      </c>
      <c r="AF18" s="96" t="n"/>
      <c r="AG18" s="97" t="n"/>
      <c r="AH18" s="96" t="inlineStr">
        <is>
          <t>CON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TBKK19</t>
        </is>
      </c>
      <c r="AN18" s="96" t="inlineStr">
        <is>
          <t>Kanokporn</t>
        </is>
      </c>
      <c r="AO18" s="96" t="inlineStr">
        <is>
          <t>STITCHBONDED NON-WOVEN FABRIC OF 100% POLYESTER FILAMENT YARN AND STAPLE FIBER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2026-10-09, Return : 2026-10-10
**CHECK OPENGATE BEFORE RETURN CNTR**</t>
        </is>
      </c>
      <c r="BA18" s="97" t="inlineStr">
        <is>
          <t>SI DD.7/10/26
FM 2X20GP</t>
        </is>
      </c>
      <c r="BB18" s="96" t="inlineStr">
        <is>
          <t>P</t>
        </is>
      </c>
      <c r="BC18" s="161" t="inlineStr">
        <is>
          <t>2026-09-24</t>
        </is>
      </c>
      <c r="BD18" s="161" t="inlineStr">
        <is>
          <t>2026-10-10</t>
        </is>
      </c>
      <c r="BE18" s="96" t="inlineStr">
        <is>
          <t>Y</t>
        </is>
      </c>
      <c r="BF18" s="96" t="inlineStr">
        <is>
          <t>POLYESTER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2026-10-06</t>
        </is>
      </c>
      <c r="BM18" s="127" t="n"/>
      <c r="BN18" s="127" t="n">
        <v>1</v>
      </c>
      <c r="BO18" s="127" t="n"/>
      <c r="BP18" s="127" t="n">
        <v>1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LCH05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mk2@m-airsea.com</t>
        </is>
      </c>
      <c r="CJ18" s="96" t="inlineStr">
        <is>
          <t>MILLENNIUM AIR - SEA SERVICE</t>
        </is>
      </c>
      <c r="CK18" s="96" t="inlineStr">
        <is>
          <t>TIMES CARGO LOGISTIC CO., LTD</t>
        </is>
      </c>
      <c r="CL18" s="96" t="inlineStr">
        <is>
          <t>TIMES CARGO LOGISTIC CO., LTD</t>
        </is>
      </c>
      <c r="CM18" s="97" t="inlineStr">
        <is>
          <t>CLOSED</t>
        </is>
      </c>
      <c r="CN18" s="96" t="inlineStr">
        <is>
          <t>202610091700</t>
        </is>
      </c>
      <c r="CO18" s="96" t="inlineStr">
        <is>
          <t>202610111200</t>
        </is>
      </c>
      <c r="CP18" s="97" t="n"/>
      <c r="CQ18" s="96" t="inlineStr">
        <is>
          <t>S19-2308039</t>
        </is>
      </c>
      <c r="CR18" s="96" t="inlineStr">
        <is>
          <t>THTNJC</t>
        </is>
      </c>
      <c r="CS18" s="96" t="inlineStr">
        <is>
          <t>MILLENNIUM AIR-SEA SERVICE CO., LTD.</t>
        </is>
      </c>
      <c r="CT18" s="96" t="inlineStr">
        <is>
          <t>N</t>
        </is>
      </c>
      <c r="CU18" s="97" t="n"/>
      <c r="CV18" s="97" t="n"/>
      <c r="CW18" s="161" t="inlineStr">
        <is>
          <t>2026-10-11</t>
        </is>
      </c>
      <c r="CX18" s="97" t="inlineStr">
        <is>
          <t>560394</t>
        </is>
      </c>
      <c r="CY18" s="183" t="n"/>
    </row>
    <row r="19" ht="12" customHeight="1">
      <c r="A19" s="116" t="inlineStr">
        <is>
          <t>HASLS22261000129</t>
        </is>
      </c>
      <c r="B19" s="96" t="inlineStr">
        <is>
          <t>20'x2</t>
        </is>
      </c>
      <c r="C19" s="97" t="n">
        <v>2</v>
      </c>
      <c r="D19" s="97" t="n">
        <v>2</v>
      </c>
      <c r="E19" s="97" t="n"/>
      <c r="F19" s="97" t="n">
        <v>0</v>
      </c>
      <c r="G19" s="97" t="n">
        <v>2</v>
      </c>
      <c r="H19" s="97" t="n">
        <v>0</v>
      </c>
      <c r="I19" s="97" t="n">
        <v>0</v>
      </c>
      <c r="J19" s="97" t="n">
        <v>2</v>
      </c>
      <c r="K19" s="96" t="inlineStr">
        <is>
          <t>N</t>
        </is>
      </c>
      <c r="L19" s="96" t="inlineStr">
        <is>
          <t>KST</t>
        </is>
      </c>
      <c r="M19" s="96" t="inlineStr">
        <is>
          <t>PCCP</t>
        </is>
      </c>
      <c r="N19" s="96" t="inlineStr">
        <is>
          <t>2610N</t>
        </is>
      </c>
      <c r="O19" s="96" t="inlineStr">
        <is>
          <t>THLCH</t>
        </is>
      </c>
      <c r="P19" s="96" t="inlineStr">
        <is>
          <t>LCH05</t>
        </is>
      </c>
      <c r="Q19" s="96" t="inlineStr">
        <is>
          <t>IA</t>
        </is>
      </c>
      <c r="R19" s="161" t="inlineStr">
        <is>
          <t>2026-10-14</t>
        </is>
      </c>
      <c r="S19" s="96" t="inlineStr">
        <is>
          <t>VNSGN</t>
        </is>
      </c>
      <c r="T19" s="96" t="inlineStr">
        <is>
          <t>SGN03</t>
        </is>
      </c>
      <c r="U19" s="96" t="inlineStr">
        <is>
          <t>VNSGN</t>
        </is>
      </c>
      <c r="V19" s="161" t="inlineStr">
        <is>
          <t>2026-10-16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36144</v>
      </c>
      <c r="AD19" s="163" t="n">
        <v>40544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HIGH DENSITY POLYETHYLENE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CY-RTN 05-08/10/26 / FIRST DATE CAN RETURN CNTR DD.06/10 
**CHECK OPEN GATE BEFORE RETURN CNTR **
</t>
        </is>
      </c>
      <c r="BA19" s="97" t="inlineStr">
        <is>
          <t>SI DD.6/10/26
CHANGE VSL NAME FROM SWSP 2609N BY HA DD.24/09
[Split] - HASLS22260902756 / HASLS22260902757</t>
        </is>
      </c>
      <c r="BB19" s="96" t="inlineStr">
        <is>
          <t>P</t>
        </is>
      </c>
      <c r="BC19" s="161" t="inlineStr">
        <is>
          <t>2026-10-02</t>
        </is>
      </c>
      <c r="BD19" s="161" t="inlineStr">
        <is>
          <t>2026-10-06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LCH27</t>
        </is>
      </c>
      <c r="BL19" s="161" t="inlineStr">
        <is>
          <t>2026-10-05</t>
        </is>
      </c>
      <c r="BM19" s="127" t="n"/>
      <c r="BN19" s="127" t="n">
        <v>2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n"/>
      <c r="CB19" s="97" t="n"/>
      <c r="CC19" s="96" t="inlineStr">
        <is>
          <t>LCH05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warayu.p@wha-gc.com</t>
        </is>
      </c>
      <c r="CJ19" s="96" t="inlineStr">
        <is>
          <t>PTT GLOBAL CHEMICAL PUBLIC COMPANY</t>
        </is>
      </c>
      <c r="CK19" s="96" t="inlineStr">
        <is>
          <t>GC MARKETING SOLUTIONS VIETNAM</t>
        </is>
      </c>
      <c r="CL19" s="96" t="inlineStr">
        <is>
          <t>GC MARKETING SOLUTIONS VIETNAM</t>
        </is>
      </c>
      <c r="CM19" s="97" t="inlineStr">
        <is>
          <t>CLOSED</t>
        </is>
      </c>
      <c r="CN19" s="96" t="inlineStr">
        <is>
          <t>202610091700</t>
        </is>
      </c>
      <c r="CO19" s="96" t="inlineStr">
        <is>
          <t>202610111200</t>
        </is>
      </c>
      <c r="CP19" s="97" t="n"/>
      <c r="CQ19" s="96" t="inlineStr">
        <is>
          <t>S22-2309036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2026-10-11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HASLS22260902724</t>
        </is>
      </c>
      <c r="B20" s="96" t="inlineStr">
        <is>
          <t>20'x2</t>
        </is>
      </c>
      <c r="C20" s="97" t="n">
        <v>2</v>
      </c>
      <c r="D20" s="97" t="n">
        <v>2</v>
      </c>
      <c r="E20" s="97" t="n"/>
      <c r="F20" s="97" t="n">
        <v>0</v>
      </c>
      <c r="G20" s="97" t="n">
        <v>2</v>
      </c>
      <c r="H20" s="97" t="n">
        <v>0</v>
      </c>
      <c r="I20" s="97" t="n">
        <v>0</v>
      </c>
      <c r="J20" s="97" t="n">
        <v>2</v>
      </c>
      <c r="K20" s="96" t="inlineStr">
        <is>
          <t>N</t>
        </is>
      </c>
      <c r="L20" s="96" t="inlineStr">
        <is>
          <t>KST</t>
        </is>
      </c>
      <c r="M20" s="96" t="inlineStr">
        <is>
          <t>PCCP</t>
        </is>
      </c>
      <c r="N20" s="96" t="inlineStr">
        <is>
          <t>2610N</t>
        </is>
      </c>
      <c r="O20" s="96" t="inlineStr">
        <is>
          <t>THLCH</t>
        </is>
      </c>
      <c r="P20" s="96" t="inlineStr">
        <is>
          <t>LCH05</t>
        </is>
      </c>
      <c r="Q20" s="96" t="inlineStr">
        <is>
          <t>IA</t>
        </is>
      </c>
      <c r="R20" s="161" t="inlineStr">
        <is>
          <t>2026-10-14</t>
        </is>
      </c>
      <c r="S20" s="96" t="inlineStr">
        <is>
          <t>VNSGN</t>
        </is>
      </c>
      <c r="T20" s="96" t="inlineStr">
        <is>
          <t>SGN03</t>
        </is>
      </c>
      <c r="U20" s="96" t="inlineStr">
        <is>
          <t>VNSGN</t>
        </is>
      </c>
      <c r="V20" s="161" t="inlineStr">
        <is>
          <t>2026-10-16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FAIR AND FAST COMPANY LIMITED</t>
        </is>
      </c>
      <c r="AB20" s="96" t="inlineStr">
        <is>
          <t>PACIFIC SUGAR CORPORATION LIMITED</t>
        </is>
      </c>
      <c r="AC20" s="163" t="n">
        <v>50170</v>
      </c>
      <c r="AD20" s="163" t="n">
        <v>54570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TBKK47</t>
        </is>
      </c>
      <c r="AN20" s="96" t="inlineStr">
        <is>
          <t>Tarn(Supaporn)</t>
        </is>
      </c>
      <c r="AO20" s="96" t="inlineStr">
        <is>
          <t>SUPER REFINED SUGAR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Pickup : 2026-10-06, Return : 2026-10-07 (1ST RTNDD: 08/10/26 WO/RENT)
**CHECK OPENGATE BEFORE RETURN CNTR**</t>
        </is>
      </c>
      <c r="BA20" s="97" t="n"/>
      <c r="BB20" s="96" t="inlineStr">
        <is>
          <t>P</t>
        </is>
      </c>
      <c r="BC20" s="161" t="inlineStr">
        <is>
          <t>2026-09-29</t>
        </is>
      </c>
      <c r="BD20" s="161" t="inlineStr">
        <is>
          <t>2026-10-08</t>
        </is>
      </c>
      <c r="BE20" s="96" t="inlineStr">
        <is>
          <t>Y</t>
        </is>
      </c>
      <c r="BF20" s="96" t="inlineStr">
        <is>
          <t>Sugar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2026-10-06</t>
        </is>
      </c>
      <c r="BM20" s="127" t="n"/>
      <c r="BN20" s="127" t="n">
        <v>2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LCH05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FF-Freight@fairfast.co.th</t>
        </is>
      </c>
      <c r="CJ20" s="96" t="inlineStr">
        <is>
          <t>PACIFIC SUGAR CORPORATION LIMITED</t>
        </is>
      </c>
      <c r="CK20" s="96" t="inlineStr">
        <is>
          <t>TO ORDER</t>
        </is>
      </c>
      <c r="CL20" s="96" t="inlineStr">
        <is>
          <t>HOA THANG SEAFOOD COMPANY LIMITED</t>
        </is>
      </c>
      <c r="CM20" s="97" t="inlineStr">
        <is>
          <t>CLOSED</t>
        </is>
      </c>
      <c r="CN20" s="96" t="inlineStr">
        <is>
          <t>202610091700</t>
        </is>
      </c>
      <c r="CO20" s="96" t="inlineStr">
        <is>
          <t>202610111200</t>
        </is>
      </c>
      <c r="CP20" s="97" t="n"/>
      <c r="CQ20" s="96" t="inlineStr">
        <is>
          <t>BKK16A0258-1</t>
        </is>
      </c>
      <c r="CR20" s="96" t="inlineStr">
        <is>
          <t>THTRVA</t>
        </is>
      </c>
      <c r="CS20" s="96" t="inlineStr">
        <is>
          <t>FAIR AND FAST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2026-10-12</t>
        </is>
      </c>
      <c r="CX20" s="97" t="inlineStr">
        <is>
          <t>170199</t>
        </is>
      </c>
      <c r="CY20" s="183" t="n"/>
    </row>
    <row r="21" ht="12" customHeight="1">
      <c r="A21" s="116" t="inlineStr">
        <is>
          <t>HASLS22260902122</t>
        </is>
      </c>
      <c r="B21" s="96" t="inlineStr">
        <is>
          <t>20'x2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2</v>
      </c>
      <c r="H21" s="97" t="n">
        <v>0</v>
      </c>
      <c r="I21" s="97" t="n">
        <v>0</v>
      </c>
      <c r="J21" s="97" t="n">
        <v>2</v>
      </c>
      <c r="K21" s="96" t="inlineStr">
        <is>
          <t>N</t>
        </is>
      </c>
      <c r="L21" s="96" t="inlineStr">
        <is>
          <t>KST</t>
        </is>
      </c>
      <c r="M21" s="96" t="inlineStr">
        <is>
          <t>PCCP</t>
        </is>
      </c>
      <c r="N21" s="96" t="inlineStr">
        <is>
          <t>2610N</t>
        </is>
      </c>
      <c r="O21" s="96" t="inlineStr">
        <is>
          <t>THLCH</t>
        </is>
      </c>
      <c r="P21" s="96" t="inlineStr">
        <is>
          <t>LCH05</t>
        </is>
      </c>
      <c r="Q21" s="96" t="inlineStr">
        <is>
          <t>IA</t>
        </is>
      </c>
      <c r="R21" s="161" t="inlineStr">
        <is>
          <t>2026-10-14</t>
        </is>
      </c>
      <c r="S21" s="96" t="inlineStr">
        <is>
          <t>VNSGN</t>
        </is>
      </c>
      <c r="T21" s="96" t="inlineStr">
        <is>
          <t>SGN03</t>
        </is>
      </c>
      <c r="U21" s="96" t="inlineStr">
        <is>
          <t>VNSGN</t>
        </is>
      </c>
      <c r="V21" s="161" t="inlineStr">
        <is>
          <t>2026-10-16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WHA GC LOGISTICS COMPANY LIMITED</t>
        </is>
      </c>
      <c r="AB21" s="96" t="inlineStr">
        <is>
          <t>PTT GLOBAL CHEMICAL PUBLIC COMPANY LIMITED</t>
        </is>
      </c>
      <c r="AC21" s="163" t="n">
        <v>36144</v>
      </c>
      <c r="AD21" s="163" t="n">
        <v>40544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>LINEAR LOW DENSITY POLYETHYLENE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CY 28/09/26 , RTN 29/09/26 (1ST RETUR DD.30/09/26)
*PLS CHECK OPEN GATE BEFORE RETURN CTNR*</t>
        </is>
      </c>
      <c r="BA21" s="97" t="inlineStr">
        <is>
          <t>ROLL OVER FROM PREIVOUS VSL SWSP 2609N BY ALLOCATION TEAM MS.TARN APRPOVED COST IS UNDER HA DD.5/10
SI DD.29/9/26</t>
        </is>
      </c>
      <c r="BB21" s="96" t="inlineStr">
        <is>
          <t>P</t>
        </is>
      </c>
      <c r="BC21" s="161" t="inlineStr">
        <is>
          <t>2026-09-23</t>
        </is>
      </c>
      <c r="BD21" s="161" t="inlineStr">
        <is>
          <t>2026-10-06</t>
        </is>
      </c>
      <c r="BE21" s="96" t="inlineStr">
        <is>
          <t>Y</t>
        </is>
      </c>
      <c r="BF21" s="96" t="inlineStr">
        <is>
          <t>RESIN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2026-09-28</t>
        </is>
      </c>
      <c r="BM21" s="127" t="n"/>
      <c r="BN21" s="127" t="n">
        <v>2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n"/>
      <c r="CB21" s="97" t="n"/>
      <c r="CC21" s="96" t="inlineStr">
        <is>
          <t>LCH05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wannicha.p@wha-gc.com</t>
        </is>
      </c>
      <c r="CJ21" s="96" t="inlineStr">
        <is>
          <t>PTT GLOBAL CHEMICAL PUBLIC COMPANY</t>
        </is>
      </c>
      <c r="CK21" s="96" t="inlineStr">
        <is>
          <t>TO ORDER OF VIETINBANK BADINH</t>
        </is>
      </c>
      <c r="CL21" s="96" t="inlineStr">
        <is>
          <t>PACIFIC TRADING AND PRODUCTION</t>
        </is>
      </c>
      <c r="CM21" s="97" t="inlineStr">
        <is>
          <t>CLOSED</t>
        </is>
      </c>
      <c r="CN21" s="96" t="inlineStr">
        <is>
          <t>202610091700</t>
        </is>
      </c>
      <c r="CO21" s="96" t="inlineStr">
        <is>
          <t>202610111200</t>
        </is>
      </c>
      <c r="CP21" s="97" t="n"/>
      <c r="CQ21" s="96" t="inlineStr">
        <is>
          <t>S22-2309036</t>
        </is>
      </c>
      <c r="CR21" s="96" t="inlineStr">
        <is>
          <t>TH02GR</t>
        </is>
      </c>
      <c r="CS21" s="96" t="inlineStr">
        <is>
          <t>WHA GC LOGISTICS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2026-10-12</t>
        </is>
      </c>
      <c r="CX21" s="97" t="inlineStr">
        <is>
          <t>390140</t>
        </is>
      </c>
      <c r="CY21" s="183" t="inlineStr">
        <is>
          <t>ROLL OVER FROM PREIVOUS VSL SWSP 2609N BY ALLOCATION TEAM MS.TARN APRPOVED COST IS UNDER HA DD.5/10</t>
        </is>
      </c>
    </row>
    <row r="22" ht="12" customHeight="1">
      <c r="A22" s="116" t="inlineStr">
        <is>
          <t>HASLS22260902464</t>
        </is>
      </c>
      <c r="B22" s="96" t="inlineStr">
        <is>
          <t>20'x5</t>
        </is>
      </c>
      <c r="C22" s="97" t="n">
        <v>5</v>
      </c>
      <c r="D22" s="97" t="n">
        <v>5</v>
      </c>
      <c r="E22" s="97" t="n"/>
      <c r="F22" s="97" t="n">
        <v>0</v>
      </c>
      <c r="G22" s="97" t="n">
        <v>5</v>
      </c>
      <c r="H22" s="97" t="n">
        <v>0</v>
      </c>
      <c r="I22" s="97" t="n">
        <v>0</v>
      </c>
      <c r="J22" s="97" t="n">
        <v>5</v>
      </c>
      <c r="K22" s="96" t="inlineStr">
        <is>
          <t>N</t>
        </is>
      </c>
      <c r="L22" s="96" t="inlineStr">
        <is>
          <t>KST</t>
        </is>
      </c>
      <c r="M22" s="96" t="inlineStr">
        <is>
          <t>PCCP</t>
        </is>
      </c>
      <c r="N22" s="96" t="inlineStr">
        <is>
          <t>2610N</t>
        </is>
      </c>
      <c r="O22" s="96" t="inlineStr">
        <is>
          <t>THLCH</t>
        </is>
      </c>
      <c r="P22" s="96" t="inlineStr">
        <is>
          <t>LCH05</t>
        </is>
      </c>
      <c r="Q22" s="96" t="inlineStr">
        <is>
          <t>IA</t>
        </is>
      </c>
      <c r="R22" s="161" t="inlineStr">
        <is>
          <t>2026-10-14</t>
        </is>
      </c>
      <c r="S22" s="96" t="inlineStr">
        <is>
          <t>JPIYM</t>
        </is>
      </c>
      <c r="T22" s="96" t="inlineStr">
        <is>
          <t>IYM02</t>
        </is>
      </c>
      <c r="U22" s="96" t="inlineStr">
        <is>
          <t>JPIYM</t>
        </is>
      </c>
      <c r="V22" s="161" t="inlineStr">
        <is>
          <t>2026-11-05</t>
        </is>
      </c>
      <c r="W22" s="96" t="inlineStr">
        <is>
          <t>JP</t>
        </is>
      </c>
      <c r="X22" s="97" t="n"/>
      <c r="Y22" s="97" t="inlineStr">
        <is>
          <t>PUS05</t>
        </is>
      </c>
      <c r="Z22" s="97" t="inlineStr">
        <is>
          <t>KRPUS</t>
        </is>
      </c>
      <c r="AA22" s="96" t="inlineStr">
        <is>
          <t>WHA GC LOGISTICS COMPANY LIMITED</t>
        </is>
      </c>
      <c r="AB22" s="96" t="inlineStr">
        <is>
          <t>PTT GLOBAL CHEMICAL PUBLIC COMPANY LIMITED</t>
        </is>
      </c>
      <c r="AC22" s="163" t="n">
        <v>80800</v>
      </c>
      <c r="AD22" s="163" t="n">
        <v>91800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TBKK13</t>
        </is>
      </c>
      <c r="AN22" s="96" t="inlineStr">
        <is>
          <t>Dharaporn</t>
        </is>
      </c>
      <c r="AO22" s="96" t="inlineStr">
        <is>
          <t>LOW DENSITY POLYETHYLENE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[FIX][FIX]CY-RTN : 01-04/10/2026 *1ST RETURN CNTR DD.07/10/2026*
GOOD AND CLEAN CONTAINERS</t>
        </is>
      </c>
      <c r="BA22" s="97" t="inlineStr">
        <is>
          <t>SI DD.2/10/26</t>
        </is>
      </c>
      <c r="BB22" s="96" t="inlineStr">
        <is>
          <t>P</t>
        </is>
      </c>
      <c r="BC22" s="161" t="inlineStr">
        <is>
          <t>2026-09-25</t>
        </is>
      </c>
      <c r="BD22" s="161" t="inlineStr">
        <is>
          <t>2026-10-12</t>
        </is>
      </c>
      <c r="BE22" s="96" t="inlineStr">
        <is>
          <t>Y</t>
        </is>
      </c>
      <c r="BF22" s="96" t="inlineStr">
        <is>
          <t>RESIN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2026-10-01</t>
        </is>
      </c>
      <c r="BM22" s="127" t="n"/>
      <c r="BN22" s="127" t="n">
        <v>5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>
        <v>10</v>
      </c>
      <c r="CA22" s="96" t="n"/>
      <c r="CB22" s="97" t="n"/>
      <c r="CC22" s="96" t="inlineStr">
        <is>
          <t>LCH05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inlineStr">
        <is>
          <t>POL: THLCH [PCCP/2610N]; T/S(1st): KRPUS [HTVY/2643E]; POD: JPIYM [/]</t>
        </is>
      </c>
      <c r="CI22" s="96" t="inlineStr">
        <is>
          <t>kotchakorn.w@wha-gc.com</t>
        </is>
      </c>
      <c r="CJ22" s="96" t="inlineStr">
        <is>
          <t>PTT GLOBAL CHEMICAL PUBLIC COMPANY</t>
        </is>
      </c>
      <c r="CK22" s="96" t="inlineStr">
        <is>
          <t>MARUBENI INNOVEXIS CORPORATION</t>
        </is>
      </c>
      <c r="CL22" s="96" t="inlineStr">
        <is>
          <t>MARUBENI INNOVEXIS CORPORATION</t>
        </is>
      </c>
      <c r="CM22" s="97" t="inlineStr">
        <is>
          <t>CLOSED</t>
        </is>
      </c>
      <c r="CN22" s="96" t="inlineStr">
        <is>
          <t>202610091700</t>
        </is>
      </c>
      <c r="CO22" s="96" t="inlineStr">
        <is>
          <t>202610111200</t>
        </is>
      </c>
      <c r="CP22" s="97" t="n"/>
      <c r="CQ22" s="96" t="inlineStr">
        <is>
          <t>S19-2309008</t>
        </is>
      </c>
      <c r="CR22" s="96" t="inlineStr">
        <is>
          <t>TH02GR</t>
        </is>
      </c>
      <c r="CS22" s="96" t="inlineStr">
        <is>
          <t>WHA GC LOGISTICS COMPANY LIMITED</t>
        </is>
      </c>
      <c r="CT22" s="96" t="inlineStr">
        <is>
          <t>N</t>
        </is>
      </c>
      <c r="CU22" s="97" t="n"/>
      <c r="CV22" s="97" t="n"/>
      <c r="CW22" s="161" t="inlineStr">
        <is>
          <t>2026-10-11</t>
        </is>
      </c>
      <c r="CX22" s="97" t="inlineStr">
        <is>
          <t>390110</t>
        </is>
      </c>
      <c r="CY22" s="183" t="n"/>
    </row>
    <row r="23" ht="12" customHeight="1">
      <c r="A23" s="116" t="inlineStr">
        <is>
          <t>HASLS22260902461</t>
        </is>
      </c>
      <c r="B23" s="96" t="inlineStr">
        <is>
          <t>20'x5</t>
        </is>
      </c>
      <c r="C23" s="97" t="n">
        <v>5</v>
      </c>
      <c r="D23" s="97" t="n">
        <v>5</v>
      </c>
      <c r="E23" s="97" t="n"/>
      <c r="F23" s="97" t="n">
        <v>0</v>
      </c>
      <c r="G23" s="97" t="n">
        <v>5</v>
      </c>
      <c r="H23" s="97" t="n">
        <v>0</v>
      </c>
      <c r="I23" s="97" t="n">
        <v>0</v>
      </c>
      <c r="J23" s="97" t="n">
        <v>5</v>
      </c>
      <c r="K23" s="96" t="inlineStr">
        <is>
          <t>N</t>
        </is>
      </c>
      <c r="L23" s="96" t="inlineStr">
        <is>
          <t>KST</t>
        </is>
      </c>
      <c r="M23" s="96" t="inlineStr">
        <is>
          <t>PCCP</t>
        </is>
      </c>
      <c r="N23" s="96" t="inlineStr">
        <is>
          <t>2610N</t>
        </is>
      </c>
      <c r="O23" s="96" t="inlineStr">
        <is>
          <t>THLCH</t>
        </is>
      </c>
      <c r="P23" s="96" t="inlineStr">
        <is>
          <t>LCH05</t>
        </is>
      </c>
      <c r="Q23" s="96" t="inlineStr">
        <is>
          <t>IA</t>
        </is>
      </c>
      <c r="R23" s="161" t="inlineStr">
        <is>
          <t>2026-10-14</t>
        </is>
      </c>
      <c r="S23" s="96" t="inlineStr">
        <is>
          <t>VNSGN</t>
        </is>
      </c>
      <c r="T23" s="96" t="inlineStr">
        <is>
          <t>SGN03</t>
        </is>
      </c>
      <c r="U23" s="96" t="inlineStr">
        <is>
          <t>VNSGN</t>
        </is>
      </c>
      <c r="V23" s="161" t="inlineStr">
        <is>
          <t>2026-10-16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WHA GC LOGISTICS COMPANY LIMITED</t>
        </is>
      </c>
      <c r="AB23" s="96" t="inlineStr">
        <is>
          <t>PTT GLOBAL CHEMICAL PUBLIC COMPANY LIMITED</t>
        </is>
      </c>
      <c r="AC23" s="163" t="n">
        <v>90540</v>
      </c>
      <c r="AD23" s="163" t="n">
        <v>101540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HIGH DENSITY POLYETHYLENE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 xml:space="preserve">CY-RTN 05-08/10/26 / FIRST DATE CAN RETURN CNTR DD.06/10 
**CHECK OPEN GATE BEFORE RETURN CNTR **
</t>
        </is>
      </c>
      <c r="BA23" s="97" t="inlineStr">
        <is>
          <t>SI DD.2/10/26
CHANGE VSL NAME FROM SWSP 2609N BY HA DD.24/09 
[Split] - HASLS22260902756 / HASLS22260902757
[Split] - HASLS22261000129 / HASLS22261000130</t>
        </is>
      </c>
      <c r="BB23" s="96" t="inlineStr">
        <is>
          <t>P</t>
        </is>
      </c>
      <c r="BC23" s="161" t="inlineStr">
        <is>
          <t>2026-09-25</t>
        </is>
      </c>
      <c r="BD23" s="161" t="inlineStr">
        <is>
          <t>2026-10-02</t>
        </is>
      </c>
      <c r="BE23" s="96" t="inlineStr">
        <is>
          <t>Y</t>
        </is>
      </c>
      <c r="BF23" s="96" t="inlineStr">
        <is>
          <t>RESIN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LCH27</t>
        </is>
      </c>
      <c r="BL23" s="161" t="inlineStr">
        <is>
          <t>2026-10-05</t>
        </is>
      </c>
      <c r="BM23" s="127" t="n"/>
      <c r="BN23" s="127" t="n">
        <v>5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n"/>
      <c r="CB23" s="97" t="n"/>
      <c r="CC23" s="96" t="inlineStr">
        <is>
          <t>LCH05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warayu.p@wha-gc.com</t>
        </is>
      </c>
      <c r="CJ23" s="96" t="inlineStr">
        <is>
          <t>PTT GLOBAL CHEMICAL PUBLIC COMPANY</t>
        </is>
      </c>
      <c r="CK23" s="96" t="inlineStr">
        <is>
          <t>TO THE ORDER OF JOINT STOCK</t>
        </is>
      </c>
      <c r="CL23" s="96" t="inlineStr">
        <is>
          <t>GIA LOI JOINT STOCK COMPANY</t>
        </is>
      </c>
      <c r="CM23" s="97" t="inlineStr">
        <is>
          <t>CLOSED</t>
        </is>
      </c>
      <c r="CN23" s="96" t="inlineStr">
        <is>
          <t>202610091700</t>
        </is>
      </c>
      <c r="CO23" s="96" t="inlineStr">
        <is>
          <t>202610111200</t>
        </is>
      </c>
      <c r="CP23" s="97" t="n"/>
      <c r="CQ23" s="96" t="inlineStr">
        <is>
          <t>S22-2309036</t>
        </is>
      </c>
      <c r="CR23" s="96" t="inlineStr">
        <is>
          <t>TH02GR</t>
        </is>
      </c>
      <c r="CS23" s="96" t="inlineStr">
        <is>
          <t>WHA GC LOGISTICS COMPANY LIMITED</t>
        </is>
      </c>
      <c r="CT23" s="96" t="inlineStr">
        <is>
          <t>Y</t>
        </is>
      </c>
      <c r="CU23" s="97" t="n"/>
      <c r="CV23" s="97" t="n"/>
      <c r="CW23" s="161" t="inlineStr">
        <is>
          <t>2026-10-11</t>
        </is>
      </c>
      <c r="CX23" s="97" t="inlineStr">
        <is>
          <t>390120</t>
        </is>
      </c>
      <c r="CY23" s="183" t="n"/>
    </row>
    <row r="24" ht="12" customHeight="1">
      <c r="A24" s="116" t="inlineStr">
        <is>
          <t>HASLS22260900900</t>
        </is>
      </c>
      <c r="B24" s="96" t="inlineStr">
        <is>
          <t>20'x7</t>
        </is>
      </c>
      <c r="C24" s="97" t="n">
        <v>7</v>
      </c>
      <c r="D24" s="97" t="n">
        <v>7</v>
      </c>
      <c r="E24" s="97" t="n"/>
      <c r="F24" s="97" t="n">
        <v>0</v>
      </c>
      <c r="G24" s="97" t="n">
        <v>7</v>
      </c>
      <c r="H24" s="97" t="n">
        <v>0</v>
      </c>
      <c r="I24" s="97" t="n">
        <v>0</v>
      </c>
      <c r="J24" s="97" t="n">
        <v>7</v>
      </c>
      <c r="K24" s="96" t="inlineStr">
        <is>
          <t>N</t>
        </is>
      </c>
      <c r="L24" s="96" t="inlineStr">
        <is>
          <t>KST</t>
        </is>
      </c>
      <c r="M24" s="96" t="inlineStr">
        <is>
          <t>PCCP</t>
        </is>
      </c>
      <c r="N24" s="96" t="inlineStr">
        <is>
          <t>2610N</t>
        </is>
      </c>
      <c r="O24" s="96" t="inlineStr">
        <is>
          <t>THLCH</t>
        </is>
      </c>
      <c r="P24" s="96" t="inlineStr">
        <is>
          <t>LCH05</t>
        </is>
      </c>
      <c r="Q24" s="96" t="inlineStr">
        <is>
          <t>IA</t>
        </is>
      </c>
      <c r="R24" s="161" t="inlineStr">
        <is>
          <t>2026-10-14</t>
        </is>
      </c>
      <c r="S24" s="96" t="inlineStr">
        <is>
          <t>JPIYM</t>
        </is>
      </c>
      <c r="T24" s="96" t="inlineStr">
        <is>
          <t>IYM02</t>
        </is>
      </c>
      <c r="U24" s="96" t="inlineStr">
        <is>
          <t>JPIYM</t>
        </is>
      </c>
      <c r="V24" s="161" t="inlineStr">
        <is>
          <t>2026-11-05</t>
        </is>
      </c>
      <c r="W24" s="96" t="inlineStr">
        <is>
          <t>JP</t>
        </is>
      </c>
      <c r="X24" s="97" t="n"/>
      <c r="Y24" s="97" t="inlineStr">
        <is>
          <t>PUS05</t>
        </is>
      </c>
      <c r="Z24" s="97" t="inlineStr">
        <is>
          <t>KRPUS</t>
        </is>
      </c>
      <c r="AA24" s="96" t="inlineStr">
        <is>
          <t>WHA GC LOGISTICS COMPANY LIMITED</t>
        </is>
      </c>
      <c r="AB24" s="96" t="inlineStr">
        <is>
          <t>PTT GLOBAL CHEMICAL PUBLIC COMPANY LIMITED</t>
        </is>
      </c>
      <c r="AC24" s="163" t="n">
        <v>113120</v>
      </c>
      <c r="AD24" s="163" t="n">
        <v>128520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HIGH DENSITY POLYETHYLENE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[FIX][FIX]CY-RTN 25-27/09/26 (PR2610002905)
*PLS CHECK OPEN GATE BEFORE RETURN CTNR*</t>
        </is>
      </c>
      <c r="BA24" s="97" t="inlineStr">
        <is>
          <t>SI DD.5/10/26
FM KMBK 2611N BY HAL DD.24/09</t>
        </is>
      </c>
      <c r="BB24" s="96" t="inlineStr">
        <is>
          <t>P</t>
        </is>
      </c>
      <c r="BC24" s="161" t="inlineStr">
        <is>
          <t>2026-09-10</t>
        </is>
      </c>
      <c r="BD24" s="161" t="inlineStr">
        <is>
          <t>2026-10-12</t>
        </is>
      </c>
      <c r="BE24" s="96" t="inlineStr">
        <is>
          <t>Y</t>
        </is>
      </c>
      <c r="BF24" s="96" t="inlineStr">
        <is>
          <t>RESIN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LCH27</t>
        </is>
      </c>
      <c r="BL24" s="161" t="inlineStr">
        <is>
          <t>2026-09-25</t>
        </is>
      </c>
      <c r="BM24" s="127" t="n"/>
      <c r="BN24" s="127" t="n">
        <v>7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>
        <v>10</v>
      </c>
      <c r="CA24" s="96" t="n"/>
      <c r="CB24" s="97" t="n"/>
      <c r="CC24" s="96" t="inlineStr">
        <is>
          <t>LCH05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inlineStr">
        <is>
          <t>POL: THLCH [PCCP/2610N]; T/S(1st): KRPUS [HTVY/2643E]; POD: JPIYM [/]</t>
        </is>
      </c>
      <c r="CI24" s="96" t="inlineStr">
        <is>
          <t>wannicha.p@wha-gc.com</t>
        </is>
      </c>
      <c r="CJ24" s="96" t="inlineStr">
        <is>
          <t>PTT GLOBAL CHEMICAL PUBLIC COMPANY</t>
        </is>
      </c>
      <c r="CK24" s="96" t="inlineStr">
        <is>
          <t>MARUBENI INNOVEXIS CORPORATION</t>
        </is>
      </c>
      <c r="CL24" s="96" t="inlineStr">
        <is>
          <t>MARUBENI INNOVEXIS CORPORATION</t>
        </is>
      </c>
      <c r="CM24" s="97" t="inlineStr">
        <is>
          <t>CLOSED</t>
        </is>
      </c>
      <c r="CN24" s="96" t="inlineStr">
        <is>
          <t>202610091700</t>
        </is>
      </c>
      <c r="CO24" s="96" t="inlineStr">
        <is>
          <t>202610111200</t>
        </is>
      </c>
      <c r="CP24" s="97" t="n"/>
      <c r="CQ24" s="96" t="inlineStr">
        <is>
          <t>S19-2309008</t>
        </is>
      </c>
      <c r="CR24" s="96" t="inlineStr">
        <is>
          <t>TH02GR</t>
        </is>
      </c>
      <c r="CS24" s="96" t="inlineStr">
        <is>
          <t>WHA GC LOGISTICS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2026-10-11</t>
        </is>
      </c>
      <c r="CX24" s="97" t="inlineStr">
        <is>
          <t>390120</t>
        </is>
      </c>
      <c r="CY24" s="183" t="n"/>
    </row>
    <row r="25" ht="12" customHeight="1">
      <c r="A25" s="116" t="inlineStr">
        <is>
          <t>HASLS22260900212</t>
        </is>
      </c>
      <c r="B25" s="96" t="inlineStr">
        <is>
          <t>40Hx1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KST</t>
        </is>
      </c>
      <c r="M25" s="96" t="inlineStr">
        <is>
          <t>PCCP</t>
        </is>
      </c>
      <c r="N25" s="96" t="inlineStr">
        <is>
          <t>2610N</t>
        </is>
      </c>
      <c r="O25" s="96" t="inlineStr">
        <is>
          <t>THLCH</t>
        </is>
      </c>
      <c r="P25" s="96" t="inlineStr">
        <is>
          <t>LCH05</t>
        </is>
      </c>
      <c r="Q25" s="96" t="inlineStr">
        <is>
          <t>IA</t>
        </is>
      </c>
      <c r="R25" s="161" t="inlineStr">
        <is>
          <t>2026-10-14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2026-10-16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CMS LOGISTICS GROUP (THAILAND) CO., LTD.</t>
        </is>
      </c>
      <c r="AB25" s="96" t="inlineStr">
        <is>
          <t>SIAM INDUSTRY ADHESIVE TAPES CO., LTD.</t>
        </is>
      </c>
      <c r="AC25" s="163" t="n">
        <v>5441.77</v>
      </c>
      <c r="AD25" s="163" t="n">
        <v>9441.77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TH0011</t>
        </is>
      </c>
      <c r="AN25" s="96" t="inlineStr">
        <is>
          <t>Nannaapust Sukporntaweewat</t>
        </is>
      </c>
      <c r="AO25" s="96" t="inlineStr">
        <is>
          <t>INSULATION FOAM , BOOTS SHOE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Pickup : 2026-10-06, Return : 2026-10-07</t>
        </is>
      </c>
      <c r="BA25" s="97" t="inlineStr">
        <is>
          <t>fm swbt 2616n 23/09</t>
        </is>
      </c>
      <c r="BB25" s="96" t="inlineStr">
        <is>
          <t>P</t>
        </is>
      </c>
      <c r="BC25" s="161" t="inlineStr">
        <is>
          <t>2026-09-02</t>
        </is>
      </c>
      <c r="BD25" s="161" t="inlineStr">
        <is>
          <t>2026-10-08</t>
        </is>
      </c>
      <c r="BE25" s="96" t="inlineStr">
        <is>
          <t>Y</t>
        </is>
      </c>
      <c r="BF25" s="96" t="inlineStr">
        <is>
          <t>INSULATION FOAM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LCH27</t>
        </is>
      </c>
      <c r="BL25" s="161" t="inlineStr">
        <is>
          <t>2026-10-06</t>
        </is>
      </c>
      <c r="BM25" s="127" t="n"/>
      <c r="BN25" s="127" t="n"/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LCH05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wunruedee.m@cmsthailand.co.th</t>
        </is>
      </c>
      <c r="CJ25" s="96" t="inlineStr">
        <is>
          <t>SIAM INDUSTRY ADHESIVE TAPES</t>
        </is>
      </c>
      <c r="CK25" s="96" t="inlineStr">
        <is>
          <t>THAI INTERTAPE VIETNAM CO.,LTD.</t>
        </is>
      </c>
      <c r="CL25" s="96" t="inlineStr">
        <is>
          <t>THAI INTERTAPE VIETNAM CO.,LTD.</t>
        </is>
      </c>
      <c r="CM25" s="97" t="inlineStr">
        <is>
          <t>CLOSED</t>
        </is>
      </c>
      <c r="CN25" s="96" t="inlineStr">
        <is>
          <t>202610091700</t>
        </is>
      </c>
      <c r="CO25" s="96" t="inlineStr">
        <is>
          <t>202610111200</t>
        </is>
      </c>
      <c r="CP25" s="97" t="n"/>
      <c r="CQ25" s="96" t="inlineStr">
        <is>
          <t>S22-2502023</t>
        </is>
      </c>
      <c r="CR25" s="96" t="inlineStr">
        <is>
          <t>THTKIF</t>
        </is>
      </c>
      <c r="CS25" s="96" t="inlineStr">
        <is>
          <t>CMS LOGISTICS GROUP (THAILAND) CO., LTD.</t>
        </is>
      </c>
      <c r="CT25" s="96" t="inlineStr">
        <is>
          <t>N</t>
        </is>
      </c>
      <c r="CU25" s="97" t="n"/>
      <c r="CV25" s="97" t="n"/>
      <c r="CW25" s="161" t="inlineStr">
        <is>
          <t>2026-10-11</t>
        </is>
      </c>
      <c r="CX25" s="97" t="inlineStr">
        <is>
          <t>391990</t>
        </is>
      </c>
      <c r="CY25" s="183" t="n"/>
    </row>
    <row r="26" ht="12" customHeight="1">
      <c r="A26" s="116" t="inlineStr">
        <is>
          <t>HASLS22260901767</t>
        </is>
      </c>
      <c r="B26" s="96" t="inlineStr">
        <is>
          <t>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KST</t>
        </is>
      </c>
      <c r="M26" s="96" t="inlineStr">
        <is>
          <t>PCCP</t>
        </is>
      </c>
      <c r="N26" s="96" t="inlineStr">
        <is>
          <t>2610N</t>
        </is>
      </c>
      <c r="O26" s="96" t="inlineStr">
        <is>
          <t>THLCH</t>
        </is>
      </c>
      <c r="P26" s="96" t="inlineStr">
        <is>
          <t>LCH05</t>
        </is>
      </c>
      <c r="Q26" s="96" t="inlineStr">
        <is>
          <t>IA</t>
        </is>
      </c>
      <c r="R26" s="161" t="inlineStr">
        <is>
          <t>2026-10-14</t>
        </is>
      </c>
      <c r="S26" s="96" t="inlineStr">
        <is>
          <t>VNSGN</t>
        </is>
      </c>
      <c r="T26" s="96" t="inlineStr">
        <is>
          <t>SGN03</t>
        </is>
      </c>
      <c r="U26" s="96" t="inlineStr">
        <is>
          <t>VNSGN</t>
        </is>
      </c>
      <c r="V26" s="161" t="inlineStr">
        <is>
          <t>2026-10-16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MERCURIAL LOGISTICS  CO.,LTD</t>
        </is>
      </c>
      <c r="AB26" s="96" t="inlineStr">
        <is>
          <t xml:space="preserve">BARBE (THAILAND) LTD. </t>
        </is>
      </c>
      <c r="AC26" s="163" t="n">
        <v>21651</v>
      </c>
      <c r="AD26" s="163" t="n">
        <v>25651</v>
      </c>
      <c r="AE26" s="96" t="inlineStr">
        <is>
          <t>OK</t>
        </is>
      </c>
      <c r="AF26" s="96" t="n"/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TH0011</t>
        </is>
      </c>
      <c r="AN26" s="96" t="inlineStr">
        <is>
          <t>Nannaapust Sukporntaweewat</t>
        </is>
      </c>
      <c r="AO26" s="96" t="inlineStr">
        <is>
          <t>ANTIADHESIVE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>Pickup : 2026-10-03, Return : 2026-10-05
**PLS CHECK OPENGATE BEFORE RETURN CNTR**</t>
        </is>
      </c>
      <c r="BA26" s="97" t="inlineStr">
        <is>
          <t>ROLL OVER FROM PREIVOUS VSL SWSP 2609N BY ALLOCATION TEAM MS.TARN APRPOVED COST IS UNDER HA DD.7/10</t>
        </is>
      </c>
      <c r="BB26" s="96" t="inlineStr">
        <is>
          <t>P</t>
        </is>
      </c>
      <c r="BC26" s="161" t="inlineStr">
        <is>
          <t>2026-09-19</t>
        </is>
      </c>
      <c r="BD26" s="161" t="inlineStr">
        <is>
          <t>2026-10-07</t>
        </is>
      </c>
      <c r="BE26" s="96" t="inlineStr">
        <is>
          <t>Y</t>
        </is>
      </c>
      <c r="BF26" s="96" t="inlineStr">
        <is>
          <t>RUBBER COMPOUND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2026-10-03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LCH05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pongpasin@mercurial.co.th</t>
        </is>
      </c>
      <c r="CJ26" s="96" t="inlineStr">
        <is>
          <t>MERCURIAL LOGISTICS CO., LTD.</t>
        </is>
      </c>
      <c r="CK26" s="96" t="inlineStr">
        <is>
          <t>LOGIWORLD VIETNAM CO LTD</t>
        </is>
      </c>
      <c r="CL26" s="96" t="inlineStr">
        <is>
          <t>LOGIWORLD VIETNAM CO LTD</t>
        </is>
      </c>
      <c r="CM26" s="97" t="inlineStr">
        <is>
          <t>CLOSED</t>
        </is>
      </c>
      <c r="CN26" s="96" t="inlineStr">
        <is>
          <t>202610091700</t>
        </is>
      </c>
      <c r="CO26" s="96" t="inlineStr">
        <is>
          <t>202610111200</t>
        </is>
      </c>
      <c r="CP26" s="97" t="n"/>
      <c r="CQ26" s="96" t="inlineStr">
        <is>
          <t>S22-2502030</t>
        </is>
      </c>
      <c r="CR26" s="96" t="inlineStr">
        <is>
          <t>THTTNE</t>
        </is>
      </c>
      <c r="CS26" s="96" t="inlineStr">
        <is>
          <t>MERCURIAL LOGISTICS  CO.,LTD</t>
        </is>
      </c>
      <c r="CT26" s="96" t="inlineStr">
        <is>
          <t>N</t>
        </is>
      </c>
      <c r="CU26" s="97" t="n"/>
      <c r="CV26" s="97" t="n"/>
      <c r="CW26" s="161" t="inlineStr">
        <is>
          <t>2026-10-12</t>
        </is>
      </c>
      <c r="CX26" s="97" t="inlineStr">
        <is>
          <t>382499</t>
        </is>
      </c>
      <c r="CY26" s="183" t="inlineStr">
        <is>
          <t>ROLL OVER FROM PREIVOUS VSL SWSP 2609N BY ALLOCATION TEAM MS.TARN APRPOVED COST IS UNDER HA DD.7/10</t>
        </is>
      </c>
    </row>
    <row r="27" ht="12" customHeight="1">
      <c r="A27" s="116" t="inlineStr">
        <is>
          <t>HASLS22260902835</t>
        </is>
      </c>
      <c r="B27" s="96" t="inlineStr">
        <is>
          <t>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KST</t>
        </is>
      </c>
      <c r="M27" s="96" t="inlineStr">
        <is>
          <t>PCCP</t>
        </is>
      </c>
      <c r="N27" s="96" t="inlineStr">
        <is>
          <t>2610N</t>
        </is>
      </c>
      <c r="O27" s="96" t="inlineStr">
        <is>
          <t>THLCH</t>
        </is>
      </c>
      <c r="P27" s="96" t="inlineStr">
        <is>
          <t>LCH05</t>
        </is>
      </c>
      <c r="Q27" s="96" t="inlineStr">
        <is>
          <t>IA</t>
        </is>
      </c>
      <c r="R27" s="161" t="inlineStr">
        <is>
          <t>2026-10-14</t>
        </is>
      </c>
      <c r="S27" s="96" t="inlineStr">
        <is>
          <t>VNSGN</t>
        </is>
      </c>
      <c r="T27" s="96" t="inlineStr">
        <is>
          <t>SGN03</t>
        </is>
      </c>
      <c r="U27" s="96" t="inlineStr">
        <is>
          <t>VNSGN</t>
        </is>
      </c>
      <c r="V27" s="161" t="inlineStr">
        <is>
          <t>2026-10-16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KORCHINA FREIGHT (THAILAND) CO., LTD.</t>
        </is>
      </c>
      <c r="AB27" s="96" t="inlineStr">
        <is>
          <t>BRIDGESTONE TIRE MANUFACTURING (THAILAND) CO.,LTD.</t>
        </is>
      </c>
      <c r="AC27" s="163" t="n">
        <v>16352</v>
      </c>
      <c r="AD27" s="163" t="n">
        <v>20352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CON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A1029</t>
        </is>
      </c>
      <c r="AN27" s="96" t="inlineStr">
        <is>
          <t>LEE HWA DONG</t>
        </is>
      </c>
      <c r="AO27" s="96" t="inlineStr">
        <is>
          <t>STEEL BOBBINS / PALLET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 xml:space="preserve">Pickup : 2026-10-08, Return : 2026-10-08 
** PLEASE CHECK OPEN GATE BEFORE RETURN CONTAINER ** </t>
        </is>
      </c>
      <c r="BA27" s="97" t="n"/>
      <c r="BB27" s="96" t="inlineStr">
        <is>
          <t>C</t>
        </is>
      </c>
      <c r="BC27" s="161" t="inlineStr">
        <is>
          <t>2026-09-30</t>
        </is>
      </c>
      <c r="BD27" s="161" t="inlineStr">
        <is>
          <t>2026-10-07</t>
        </is>
      </c>
      <c r="BE27" s="96" t="inlineStr">
        <is>
          <t>Y</t>
        </is>
      </c>
      <c r="BF27" s="96" t="inlineStr">
        <is>
          <t>STEEL BOBBINS / PALLET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LCHY5</t>
        </is>
      </c>
      <c r="BL27" s="161" t="inlineStr">
        <is>
          <t>2026-10-08</t>
        </is>
      </c>
      <c r="BM27" s="127" t="n"/>
      <c r="BN27" s="127" t="n"/>
      <c r="BO27" s="127" t="n"/>
      <c r="BP27" s="127" t="n">
        <v>1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LCH05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seaexport@korchina.co.th;seaexport2@korchina.co.th;seaexport3@korchina.co.th;seaexport4@korchina.co.th</t>
        </is>
      </c>
      <c r="CJ27" s="96" t="inlineStr">
        <is>
          <t>KORCHINA FREIGHT(THAILAND)CO.,LTD.</t>
        </is>
      </c>
      <c r="CK27" s="96" t="inlineStr">
        <is>
          <t>HS HYOSUNG GLOBAL LOGISTICS VINA</t>
        </is>
      </c>
      <c r="CL27" s="96" t="inlineStr">
        <is>
          <t>HS HYOSUNG GLOBAL LOGISTICS VINA</t>
        </is>
      </c>
      <c r="CM27" s="97" t="inlineStr">
        <is>
          <t>CLOSED</t>
        </is>
      </c>
      <c r="CN27" s="96" t="inlineStr">
        <is>
          <t>202610091700</t>
        </is>
      </c>
      <c r="CO27" s="96" t="inlineStr">
        <is>
          <t>202610111200</t>
        </is>
      </c>
      <c r="CP27" s="97" t="n"/>
      <c r="CQ27" s="96" t="inlineStr">
        <is>
          <t>A1XZT-22018</t>
        </is>
      </c>
      <c r="CR27" s="96" t="inlineStr">
        <is>
          <t>THTKT0</t>
        </is>
      </c>
      <c r="CS27" s="96" t="inlineStr">
        <is>
          <t>KORCHINA FREIGHT (THAILAND) CO., LTD.</t>
        </is>
      </c>
      <c r="CT27" s="96" t="inlineStr">
        <is>
          <t>N</t>
        </is>
      </c>
      <c r="CU27" s="97" t="n"/>
      <c r="CV27" s="97" t="n"/>
      <c r="CW27" s="161" t="inlineStr">
        <is>
          <t>2026-10-12</t>
        </is>
      </c>
      <c r="CX27" s="97" t="inlineStr">
        <is>
          <t>732690</t>
        </is>
      </c>
      <c r="CY27" s="183" t="n"/>
    </row>
    <row r="28" ht="12" customHeight="1">
      <c r="A28" s="116" t="inlineStr">
        <is>
          <t>HASLS22260900820</t>
        </is>
      </c>
      <c r="B28" s="96" t="inlineStr">
        <is>
          <t>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KST</t>
        </is>
      </c>
      <c r="M28" s="96" t="inlineStr">
        <is>
          <t>PCCP</t>
        </is>
      </c>
      <c r="N28" s="96" t="inlineStr">
        <is>
          <t>2610N</t>
        </is>
      </c>
      <c r="O28" s="96" t="inlineStr">
        <is>
          <t>THLCH</t>
        </is>
      </c>
      <c r="P28" s="96" t="inlineStr">
        <is>
          <t>LCH05</t>
        </is>
      </c>
      <c r="Q28" s="96" t="inlineStr">
        <is>
          <t>IA</t>
        </is>
      </c>
      <c r="R28" s="161" t="inlineStr">
        <is>
          <t>2026-10-14</t>
        </is>
      </c>
      <c r="S28" s="96" t="inlineStr">
        <is>
          <t>VNSGN</t>
        </is>
      </c>
      <c r="T28" s="96" t="inlineStr">
        <is>
          <t>SGN03</t>
        </is>
      </c>
      <c r="U28" s="96" t="inlineStr">
        <is>
          <t>VNSGN</t>
        </is>
      </c>
      <c r="V28" s="161" t="inlineStr">
        <is>
          <t>2026-10-16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LOGMAN INTERNATIONAL CO., LTD.</t>
        </is>
      </c>
      <c r="AB28" s="96" t="inlineStr">
        <is>
          <t>MAXXIS INTERNATIONAL (THAILAND) CO., LTD.</t>
        </is>
      </c>
      <c r="AC28" s="163" t="n">
        <v>17015.495</v>
      </c>
      <c r="AD28" s="163" t="n">
        <v>21015.495</v>
      </c>
      <c r="AE28" s="96" t="inlineStr">
        <is>
          <t>OK</t>
        </is>
      </c>
      <c r="AF28" s="96" t="inlineStr">
        <is>
          <t>SR</t>
        </is>
      </c>
      <c r="AG28" s="97" t="n"/>
      <c r="AH28" s="96" t="inlineStr">
        <is>
          <t>CON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VSGN33</t>
        </is>
      </c>
      <c r="AN28" s="96" t="inlineStr">
        <is>
          <t>Nguyen Van Nam</t>
        </is>
      </c>
      <c r="AO28" s="96" t="inlineStr">
        <is>
          <t>LIGHT TRUCK TYRES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2026-09-28, Return : 2026-09-29</t>
        </is>
      </c>
      <c r="BA28" s="97" t="inlineStr">
        <is>
          <t>ROLL OVER FROM PREVIOUS VSL SWSP 2609N BY ALLOCATION TEAM MS.TARN APPROVED COST IS UNDER HA DD.7/10
[Split] - HASLS22260901378ACTUAL SHIPPER : MAXXIS INTERNATIONALCY-RTN : 26-28/9/2026 AT LCH AREAREQUEST GOOD AND CLEAN CONTAINER</t>
        </is>
      </c>
      <c r="BB28" s="96" t="inlineStr">
        <is>
          <t>C</t>
        </is>
      </c>
      <c r="BC28" s="161" t="inlineStr">
        <is>
          <t>2026-09-09</t>
        </is>
      </c>
      <c r="BD28" s="161" t="inlineStr">
        <is>
          <t>2026-10-07</t>
        </is>
      </c>
      <c r="BE28" s="96" t="inlineStr">
        <is>
          <t>Y</t>
        </is>
      </c>
      <c r="BF28" s="96" t="inlineStr">
        <is>
          <t>NEW TIRE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LCH27</t>
        </is>
      </c>
      <c r="BL28" s="161" t="inlineStr">
        <is>
          <t>2026-09-28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LCH05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cs.dry@logman.co.th</t>
        </is>
      </c>
      <c r="CJ28" s="96" t="inlineStr">
        <is>
          <t>LOGMAN INTERNATIONAL CO.,LTD.</t>
        </is>
      </c>
      <c r="CK28" s="96" t="inlineStr">
        <is>
          <t>CARGOES LINKS TRANSPORTATION CO LTD</t>
        </is>
      </c>
      <c r="CL28" s="96" t="inlineStr">
        <is>
          <t>CARGOES LINKS TRANSPORTATION CO LTD</t>
        </is>
      </c>
      <c r="CM28" s="97" t="inlineStr">
        <is>
          <t>CLOSED</t>
        </is>
      </c>
      <c r="CN28" s="96" t="inlineStr">
        <is>
          <t>202610091700</t>
        </is>
      </c>
      <c r="CO28" s="96" t="inlineStr">
        <is>
          <t>202610111200</t>
        </is>
      </c>
      <c r="CP28" s="97" t="n"/>
      <c r="CQ28" s="96" t="inlineStr">
        <is>
          <t>S21-2301115</t>
        </is>
      </c>
      <c r="CR28" s="96" t="inlineStr">
        <is>
          <t>TH00XJ</t>
        </is>
      </c>
      <c r="CS28" s="96" t="inlineStr">
        <is>
          <t>LOGMAN INTERNATIONAL CO., LTD.</t>
        </is>
      </c>
      <c r="CT28" s="96" t="inlineStr">
        <is>
          <t>Y</t>
        </is>
      </c>
      <c r="CU28" s="97" t="n"/>
      <c r="CV28" s="97" t="n"/>
      <c r="CW28" s="161" t="inlineStr">
        <is>
          <t>2026-10-12</t>
        </is>
      </c>
      <c r="CX28" s="97" t="inlineStr">
        <is>
          <t>401120</t>
        </is>
      </c>
      <c r="CY28" s="183" t="inlineStr">
        <is>
          <t>ROLL OVER FROM PREVIOUS VSL SWSP 2609N BY ALLOCATION TEAM MS.TARN APPROVED COST IS UNDER HA DD.7/10</t>
        </is>
      </c>
    </row>
    <row r="29" ht="12" customHeight="1">
      <c r="A29" s="116" t="inlineStr">
        <is>
          <t>HASLS22261000198</t>
        </is>
      </c>
      <c r="B29" s="96" t="inlineStr">
        <is>
          <t>40Hx1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0</v>
      </c>
      <c r="H29" s="97" t="n">
        <v>0</v>
      </c>
      <c r="I29" s="97" t="n">
        <v>1</v>
      </c>
      <c r="J29" s="97" t="n">
        <v>2</v>
      </c>
      <c r="K29" s="96" t="inlineStr">
        <is>
          <t>N</t>
        </is>
      </c>
      <c r="L29" s="96" t="inlineStr">
        <is>
          <t>KST</t>
        </is>
      </c>
      <c r="M29" s="96" t="inlineStr">
        <is>
          <t>PCCP</t>
        </is>
      </c>
      <c r="N29" s="96" t="inlineStr">
        <is>
          <t>2610N</t>
        </is>
      </c>
      <c r="O29" s="96" t="inlineStr">
        <is>
          <t>THLCH</t>
        </is>
      </c>
      <c r="P29" s="96" t="inlineStr">
        <is>
          <t>LCH05</t>
        </is>
      </c>
      <c r="Q29" s="96" t="inlineStr">
        <is>
          <t>IA</t>
        </is>
      </c>
      <c r="R29" s="161" t="inlineStr">
        <is>
          <t>2026-10-14</t>
        </is>
      </c>
      <c r="S29" s="96" t="inlineStr">
        <is>
          <t>VNSGN</t>
        </is>
      </c>
      <c r="T29" s="96" t="inlineStr">
        <is>
          <t>SGN03</t>
        </is>
      </c>
      <c r="U29" s="96" t="inlineStr">
        <is>
          <t>VNSGN</t>
        </is>
      </c>
      <c r="V29" s="161" t="inlineStr">
        <is>
          <t>2026-10-16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CAPRICORN LOGISTICS CO., LTD.</t>
        </is>
      </c>
      <c r="AB29" s="96" t="inlineStr">
        <is>
          <t>MAXXIS INTERNATIONAL (THAILAND) CO., LTD.</t>
        </is>
      </c>
      <c r="AC29" s="163" t="n">
        <v>16630.974</v>
      </c>
      <c r="AD29" s="163" t="n">
        <v>20630.974</v>
      </c>
      <c r="AE29" s="96" t="inlineStr">
        <is>
          <t>OK</t>
        </is>
      </c>
      <c r="AF29" s="96" t="n"/>
      <c r="AG29" s="97" t="n"/>
      <c r="AH29" s="96" t="inlineStr">
        <is>
          <t>CON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TH0042</t>
        </is>
      </c>
      <c r="AN29" s="96" t="inlineStr">
        <is>
          <t>Sukunpoj Damrongying</t>
        </is>
      </c>
      <c r="AO29" s="96" t="inlineStr">
        <is>
          <t>LIGHT TRUCK TYRES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 xml:space="preserve">Pickup : 2026-10-07, Return : 2026-10-09
REQUEST CONTAINER GOOD GRADE </t>
        </is>
      </c>
      <c r="BA29" s="97" t="inlineStr">
        <is>
          <t>RQST CHANGE VSL NAME FROM DJCF 0152N BY HA DD.6/10</t>
        </is>
      </c>
      <c r="BB29" s="96" t="inlineStr">
        <is>
          <t>P</t>
        </is>
      </c>
      <c r="BC29" s="161" t="inlineStr">
        <is>
          <t>2026-10-02</t>
        </is>
      </c>
      <c r="BD29" s="161" t="inlineStr">
        <is>
          <t>2026-10-09</t>
        </is>
      </c>
      <c r="BE29" s="96" t="inlineStr">
        <is>
          <t>Y</t>
        </is>
      </c>
      <c r="BF29" s="96" t="inlineStr">
        <is>
          <t>TIRES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LCHY5</t>
        </is>
      </c>
      <c r="BL29" s="161" t="inlineStr">
        <is>
          <t>2026-10-07</t>
        </is>
      </c>
      <c r="BM29" s="127" t="n"/>
      <c r="BN29" s="127" t="n"/>
      <c r="BO29" s="127" t="n"/>
      <c r="BP29" s="127" t="n">
        <v>1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LCH05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bkk@capricornlogistics.co.th</t>
        </is>
      </c>
      <c r="CJ29" s="96" t="inlineStr">
        <is>
          <t>CAPRICORN LOGISTICS CO., LTD.</t>
        </is>
      </c>
      <c r="CK29" s="96" t="inlineStr">
        <is>
          <t>BLUE OCEAN INTERNATIONAL SHIPPING</t>
        </is>
      </c>
      <c r="CL29" s="96" t="inlineStr">
        <is>
          <t>BLUE OCEAN INTERNATIONAL SHIPPING</t>
        </is>
      </c>
      <c r="CM29" s="97" t="inlineStr">
        <is>
          <t>CLOSED</t>
        </is>
      </c>
      <c r="CN29" s="96" t="inlineStr">
        <is>
          <t>202610091700</t>
        </is>
      </c>
      <c r="CO29" s="96" t="inlineStr">
        <is>
          <t>202610111200</t>
        </is>
      </c>
      <c r="CP29" s="97" t="n"/>
      <c r="CQ29" s="96" t="inlineStr">
        <is>
          <t>S22-2609008</t>
        </is>
      </c>
      <c r="CR29" s="96" t="inlineStr">
        <is>
          <t>TH045C</t>
        </is>
      </c>
      <c r="CS29" s="96" t="inlineStr">
        <is>
          <t>CAPRICORN LOGISTICS CO., LTD.</t>
        </is>
      </c>
      <c r="CT29" s="96" t="inlineStr">
        <is>
          <t>N</t>
        </is>
      </c>
      <c r="CU29" s="97" t="n"/>
      <c r="CV29" s="97" t="n"/>
      <c r="CW29" s="161" t="inlineStr">
        <is>
          <t>2026-10-12</t>
        </is>
      </c>
      <c r="CX29" s="97" t="inlineStr">
        <is>
          <t>401120</t>
        </is>
      </c>
      <c r="CY29" s="183" t="n"/>
    </row>
    <row r="30" ht="12" customHeight="1">
      <c r="A30" s="116" t="inlineStr">
        <is>
          <t>HASLS22260900068</t>
        </is>
      </c>
      <c r="B30" s="96" t="inlineStr">
        <is>
          <t>40Hx5</t>
        </is>
      </c>
      <c r="C30" s="97" t="n">
        <v>0</v>
      </c>
      <c r="D30" s="97" t="n">
        <v>0</v>
      </c>
      <c r="E30" s="97" t="n"/>
      <c r="F30" s="97" t="n">
        <v>0</v>
      </c>
      <c r="G30" s="97" t="n">
        <v>0</v>
      </c>
      <c r="H30" s="97" t="n">
        <v>0</v>
      </c>
      <c r="I30" s="97" t="n">
        <v>5</v>
      </c>
      <c r="J30" s="97" t="n">
        <v>10</v>
      </c>
      <c r="K30" s="96" t="inlineStr">
        <is>
          <t>SOC</t>
        </is>
      </c>
      <c r="L30" s="96" t="inlineStr">
        <is>
          <t>KST</t>
        </is>
      </c>
      <c r="M30" s="96" t="inlineStr">
        <is>
          <t>PCCP</t>
        </is>
      </c>
      <c r="N30" s="96" t="inlineStr">
        <is>
          <t>2610N</t>
        </is>
      </c>
      <c r="O30" s="96" t="inlineStr">
        <is>
          <t>THLCH</t>
        </is>
      </c>
      <c r="P30" s="96" t="inlineStr">
        <is>
          <t>LCH05</t>
        </is>
      </c>
      <c r="Q30" s="96" t="inlineStr">
        <is>
          <t>IA</t>
        </is>
      </c>
      <c r="R30" s="161" t="inlineStr">
        <is>
          <t>2026-10-14</t>
        </is>
      </c>
      <c r="S30" s="96" t="inlineStr">
        <is>
          <t>RUVVO</t>
        </is>
      </c>
      <c r="T30" s="96" t="inlineStr">
        <is>
          <t>VVO01</t>
        </is>
      </c>
      <c r="U30" s="96" t="inlineStr">
        <is>
          <t>RUVVO</t>
        </is>
      </c>
      <c r="V30" s="161" t="inlineStr">
        <is>
          <t>2026-10-26</t>
        </is>
      </c>
      <c r="W30" s="96" t="inlineStr">
        <is>
          <t>RU</t>
        </is>
      </c>
      <c r="X30" s="97" t="n"/>
      <c r="Y30" s="97" t="inlineStr">
        <is>
          <t>PUS05</t>
        </is>
      </c>
      <c r="Z30" s="97" t="inlineStr">
        <is>
          <t>KRPUS</t>
        </is>
      </c>
      <c r="AA30" s="96" t="inlineStr">
        <is>
          <t>SWIFT CARGO LIMITED</t>
        </is>
      </c>
      <c r="AB30" s="96" t="inlineStr">
        <is>
          <t>YOKOHAMA TIRE MANUFACTURING (THAILAND) CO., LTD.</t>
        </is>
      </c>
      <c r="AC30" s="163" t="n">
        <v>73587.758</v>
      </c>
      <c r="AD30" s="163" t="n">
        <v>93587.758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RUVO04</t>
        </is>
      </c>
      <c r="AN30" s="96" t="inlineStr">
        <is>
          <t>Victoria Shitova</t>
        </is>
      </c>
      <c r="AO30" s="96" t="inlineStr">
        <is>
          <t>NEW "YOKOHAMA" BRAND TIRES</t>
        </is>
      </c>
      <c r="AP30" s="96" t="inlineStr">
        <is>
          <t>T/S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 xml:space="preserve">[FIX]PCCP/2610N/10/22[FIX] Pickup : 2026-10-06, Return : 2026-10-07 SOC 
CUSTOMS FORMALITY (SOC) BY HAL = 5,000 BAHT </t>
        </is>
      </c>
      <c r="BA30" s="97" t="inlineStr">
        <is>
          <t>FM SWSP 2609N DD 28/09 
** Drop Off St,Petersburg ** CUSTOMS FORMALITY (SOC) BY HAL = 5,000 BAHT 
FM SWCP 2610N BY HAL DD.02/09 **PHASE OUT KST**
FM SWAL 2608N 04/09
FM SWRG 2609N 22/09
NEW SEAL 5QTYS = THB1,250** Drop Off St,Petersburg **  // S/C R01-2309017</t>
        </is>
      </c>
      <c r="BB30" s="96" t="inlineStr">
        <is>
          <t>C</t>
        </is>
      </c>
      <c r="BC30" s="161" t="inlineStr">
        <is>
          <t>2026-09-01</t>
        </is>
      </c>
      <c r="BD30" s="161" t="inlineStr">
        <is>
          <t>2026-10-09</t>
        </is>
      </c>
      <c r="BE30" s="96" t="inlineStr">
        <is>
          <t>Y</t>
        </is>
      </c>
      <c r="BF30" s="96" t="inlineStr">
        <is>
          <t>NEW TIRE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n"/>
      <c r="BL30" s="161" t="inlineStr">
        <is>
          <t>2026-10-06</t>
        </is>
      </c>
      <c r="BM30" s="127" t="n"/>
      <c r="BN30" s="127" t="n"/>
      <c r="BO30" s="127" t="n"/>
      <c r="BP30" s="127" t="n">
        <v>5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>
        <v>2</v>
      </c>
      <c r="CA30" s="96" t="inlineStr">
        <is>
          <t>Y</t>
        </is>
      </c>
      <c r="CB30" s="97" t="n"/>
      <c r="CC30" s="96" t="inlineStr">
        <is>
          <t>LCH05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inlineStr">
        <is>
          <t>POL: THLCH [PCCP/2610N]; T/S(1st): KRPUS [SWTD/9018N]; POD: RUVVO [/]</t>
        </is>
      </c>
      <c r="CI30" s="96" t="inlineStr">
        <is>
          <t>csbkk@swiftcargo.com</t>
        </is>
      </c>
      <c r="CJ30" s="96" t="inlineStr">
        <is>
          <t>YOKOHAMA TIRE MANUFACTURING</t>
        </is>
      </c>
      <c r="CK30" s="96" t="inlineStr">
        <is>
          <t>YOKOHAMA RUSSIA LLC</t>
        </is>
      </c>
      <c r="CL30" s="96" t="inlineStr">
        <is>
          <t>YOKOHAMA RUSSIA LLC</t>
        </is>
      </c>
      <c r="CM30" s="97" t="inlineStr">
        <is>
          <t>CLOSED</t>
        </is>
      </c>
      <c r="CN30" s="96" t="inlineStr">
        <is>
          <t>202610091700</t>
        </is>
      </c>
      <c r="CO30" s="96" t="inlineStr">
        <is>
          <t>202610111200</t>
        </is>
      </c>
      <c r="CP30" s="97" t="n"/>
      <c r="CQ30" s="96" t="inlineStr">
        <is>
          <t>R01-2309017</t>
        </is>
      </c>
      <c r="CR30" s="96" t="inlineStr">
        <is>
          <t>THTRTX</t>
        </is>
      </c>
      <c r="CS30" s="96" t="inlineStr">
        <is>
          <t>SWIFT CARGO LIMITED</t>
        </is>
      </c>
      <c r="CT30" s="96" t="inlineStr">
        <is>
          <t>N</t>
        </is>
      </c>
      <c r="CU30" s="97" t="n"/>
      <c r="CV30" s="97" t="n"/>
      <c r="CW30" s="161" t="inlineStr">
        <is>
          <t>2026-10-12</t>
        </is>
      </c>
      <c r="CX30" s="97" t="inlineStr">
        <is>
          <t>401120</t>
        </is>
      </c>
      <c r="CY30" s="183" t="n"/>
    </row>
    <row r="31" ht="12" customHeight="1">
      <c r="A31" s="116" t="inlineStr">
        <is>
          <t>HASLS22260902478</t>
        </is>
      </c>
      <c r="B31" s="96" t="inlineStr">
        <is>
          <t>40Hx5</t>
        </is>
      </c>
      <c r="C31" s="97" t="n">
        <v>0</v>
      </c>
      <c r="D31" s="97" t="n">
        <v>0</v>
      </c>
      <c r="E31" s="97" t="n"/>
      <c r="F31" s="97" t="n">
        <v>0</v>
      </c>
      <c r="G31" s="97" t="n">
        <v>0</v>
      </c>
      <c r="H31" s="97" t="n">
        <v>0</v>
      </c>
      <c r="I31" s="97" t="n">
        <v>5</v>
      </c>
      <c r="J31" s="97" t="n">
        <v>10</v>
      </c>
      <c r="K31" s="96" t="inlineStr">
        <is>
          <t>SOC</t>
        </is>
      </c>
      <c r="L31" s="96" t="inlineStr">
        <is>
          <t>KST</t>
        </is>
      </c>
      <c r="M31" s="96" t="inlineStr">
        <is>
          <t>PCCP</t>
        </is>
      </c>
      <c r="N31" s="96" t="inlineStr">
        <is>
          <t>2610N</t>
        </is>
      </c>
      <c r="O31" s="96" t="inlineStr">
        <is>
          <t>THLCH</t>
        </is>
      </c>
      <c r="P31" s="96" t="inlineStr">
        <is>
          <t>LCH05</t>
        </is>
      </c>
      <c r="Q31" s="96" t="inlineStr">
        <is>
          <t>IA</t>
        </is>
      </c>
      <c r="R31" s="161" t="inlineStr">
        <is>
          <t>2026-10-14</t>
        </is>
      </c>
      <c r="S31" s="96" t="inlineStr">
        <is>
          <t>RUVVO</t>
        </is>
      </c>
      <c r="T31" s="96" t="inlineStr">
        <is>
          <t>VVO01</t>
        </is>
      </c>
      <c r="U31" s="96" t="inlineStr">
        <is>
          <t>RUVVO</t>
        </is>
      </c>
      <c r="V31" s="161" t="inlineStr">
        <is>
          <t>2026-10-26</t>
        </is>
      </c>
      <c r="W31" s="96" t="inlineStr">
        <is>
          <t>RU</t>
        </is>
      </c>
      <c r="X31" s="97" t="n"/>
      <c r="Y31" s="97" t="inlineStr">
        <is>
          <t>PUS05</t>
        </is>
      </c>
      <c r="Z31" s="97" t="inlineStr">
        <is>
          <t>KRPUS</t>
        </is>
      </c>
      <c r="AA31" s="96" t="inlineStr">
        <is>
          <t>SWIFT CARGO LIMITED</t>
        </is>
      </c>
      <c r="AB31" s="96" t="inlineStr">
        <is>
          <t>YOKOHAMA TIRE MANUFACTURING (THAILAND) CO., LTD.</t>
        </is>
      </c>
      <c r="AC31" s="163" t="n">
        <v>54053.523</v>
      </c>
      <c r="AD31" s="163" t="n">
        <v>74053.523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RUVO04</t>
        </is>
      </c>
      <c r="AN31" s="96" t="inlineStr">
        <is>
          <t>Victoria Shitova</t>
        </is>
      </c>
      <c r="AO31" s="96" t="inlineStr">
        <is>
          <t>NEW "YOKOHAMA" BRAND TIRES</t>
        </is>
      </c>
      <c r="AP31" s="96" t="inlineStr">
        <is>
          <t>T/S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 xml:space="preserve">[FIX]PCCP/2610N/10/22[FIX] Pickup : 2026-10-06, Return : 2026-10-08 SOC
Drop off : St.Petersburg
CUSTOMS FORMALITY (SOC) BY HAL = 5,000 BAHT 
</t>
        </is>
      </c>
      <c r="BA31" s="97" t="inlineStr">
        <is>
          <t>Drop off : St.Petersburg
FM PP TERM DD 07/10 
CUSTOMS FORMALITY (SOC) BY HAL = 5,000 BAHT / NEW SEAL 5QTY 1,250THB
HAS1194936-HAS1194940Drop off : St.PetersburgPlease filled S/C :  R01-2309017</t>
        </is>
      </c>
      <c r="BB31" s="96" t="inlineStr">
        <is>
          <t>C</t>
        </is>
      </c>
      <c r="BC31" s="161" t="inlineStr">
        <is>
          <t>2026-09-27</t>
        </is>
      </c>
      <c r="BD31" s="161" t="inlineStr">
        <is>
          <t>2026-10-09</t>
        </is>
      </c>
      <c r="BE31" s="96" t="inlineStr">
        <is>
          <t>Y</t>
        </is>
      </c>
      <c r="BF31" s="96" t="inlineStr">
        <is>
          <t xml:space="preserve">NEW TYRES 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n"/>
      <c r="BL31" s="161" t="inlineStr">
        <is>
          <t>2026-10-06</t>
        </is>
      </c>
      <c r="BM31" s="127" t="n"/>
      <c r="BN31" s="127" t="n"/>
      <c r="BO31" s="127" t="n"/>
      <c r="BP31" s="127" t="n">
        <v>5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>
        <v>2</v>
      </c>
      <c r="CA31" s="96" t="inlineStr">
        <is>
          <t>Y</t>
        </is>
      </c>
      <c r="CB31" s="97" t="n"/>
      <c r="CC31" s="96" t="inlineStr">
        <is>
          <t>LCH05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inlineStr">
        <is>
          <t>POL: THLCH [PCCP/2610N]; T/S(1st): KRPUS [SWTD/9018N]; POD: RUVVO [/]</t>
        </is>
      </c>
      <c r="CI31" s="96" t="inlineStr">
        <is>
          <t>csbkk@swiftcargo.com</t>
        </is>
      </c>
      <c r="CJ31" s="96" t="inlineStr">
        <is>
          <t>YOKOHAMA TIRE MANUFACTURING</t>
        </is>
      </c>
      <c r="CK31" s="96" t="inlineStr">
        <is>
          <t>YOKOHAMA RUSSIA LLC</t>
        </is>
      </c>
      <c r="CL31" s="96" t="inlineStr">
        <is>
          <t>YOKOHAMA RUSSIA LLC</t>
        </is>
      </c>
      <c r="CM31" s="97" t="inlineStr">
        <is>
          <t>CLOSED</t>
        </is>
      </c>
      <c r="CN31" s="96" t="inlineStr">
        <is>
          <t>202610091700</t>
        </is>
      </c>
      <c r="CO31" s="96" t="inlineStr">
        <is>
          <t>202610111200</t>
        </is>
      </c>
      <c r="CP31" s="97" t="n"/>
      <c r="CQ31" s="96" t="inlineStr">
        <is>
          <t>R01-2309017</t>
        </is>
      </c>
      <c r="CR31" s="96" t="inlineStr">
        <is>
          <t>THTRTX</t>
        </is>
      </c>
      <c r="CS31" s="96" t="inlineStr">
        <is>
          <t>SWIFT CARGO LIMITED</t>
        </is>
      </c>
      <c r="CT31" s="96" t="inlineStr">
        <is>
          <t>N</t>
        </is>
      </c>
      <c r="CU31" s="97" t="n"/>
      <c r="CV31" s="97" t="n"/>
      <c r="CW31" s="161" t="inlineStr">
        <is>
          <t>2026-10-12</t>
        </is>
      </c>
      <c r="CX31" s="97" t="inlineStr">
        <is>
          <t>401110</t>
        </is>
      </c>
      <c r="CY31" s="183" t="n"/>
    </row>
    <row r="32" ht="12" customHeight="1">
      <c r="A32" s="116" t="inlineStr">
        <is>
          <t>HASLS22260900460</t>
        </is>
      </c>
      <c r="B32" s="96" t="inlineStr">
        <is>
          <t>40Hx5</t>
        </is>
      </c>
      <c r="C32" s="97" t="n">
        <v>5</v>
      </c>
      <c r="D32" s="97" t="n">
        <v>5</v>
      </c>
      <c r="E32" s="97" t="n"/>
      <c r="F32" s="97" t="n">
        <v>0</v>
      </c>
      <c r="G32" s="97" t="n">
        <v>0</v>
      </c>
      <c r="H32" s="97" t="n">
        <v>0</v>
      </c>
      <c r="I32" s="97" t="n">
        <v>5</v>
      </c>
      <c r="J32" s="97" t="n">
        <v>10</v>
      </c>
      <c r="K32" s="96" t="inlineStr">
        <is>
          <t>N</t>
        </is>
      </c>
      <c r="L32" s="96" t="inlineStr">
        <is>
          <t>KST</t>
        </is>
      </c>
      <c r="M32" s="96" t="inlineStr">
        <is>
          <t>PCCP</t>
        </is>
      </c>
      <c r="N32" s="96" t="inlineStr">
        <is>
          <t>2610N</t>
        </is>
      </c>
      <c r="O32" s="96" t="inlineStr">
        <is>
          <t>THLCH</t>
        </is>
      </c>
      <c r="P32" s="96" t="inlineStr">
        <is>
          <t>LCH05</t>
        </is>
      </c>
      <c r="Q32" s="96" t="inlineStr">
        <is>
          <t>IA</t>
        </is>
      </c>
      <c r="R32" s="161" t="inlineStr">
        <is>
          <t>2026-10-14</t>
        </is>
      </c>
      <c r="S32" s="96" t="inlineStr">
        <is>
          <t>VNSGN</t>
        </is>
      </c>
      <c r="T32" s="96" t="inlineStr">
        <is>
          <t>SGN03</t>
        </is>
      </c>
      <c r="U32" s="96" t="inlineStr">
        <is>
          <t>VNSGN</t>
        </is>
      </c>
      <c r="V32" s="161" t="inlineStr">
        <is>
          <t>2026-10-16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WHA GC LOGISTICS COMPANY LIMITED</t>
        </is>
      </c>
      <c r="AB32" s="96" t="inlineStr">
        <is>
          <t>PTT GLOBAL CHEMICAL PUBLIC COMPANY LIMITED</t>
        </is>
      </c>
      <c r="AC32" s="163" t="n">
        <v>128775</v>
      </c>
      <c r="AD32" s="163" t="n">
        <v>148775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TBKK13</t>
        </is>
      </c>
      <c r="AN32" s="96" t="inlineStr">
        <is>
          <t>Dharaporn</t>
        </is>
      </c>
      <c r="AO32" s="96" t="inlineStr">
        <is>
          <t>HDPE INNOPLUS HD3502C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 xml:space="preserve">CY-RTN 23-26/09/26
</t>
        </is>
      </c>
      <c r="BA32" s="97" t="inlineStr">
        <is>
          <t>ROLL OVER FORM PREIOVUS VSL SWSP 2609N BY ALLOCATION TEAM MS.TARN APPROVED COST IS UNDER HA DD.7/10
SI DD.28/9/26
[Split] - HASLS22260902230</t>
        </is>
      </c>
      <c r="BB32" s="96" t="inlineStr">
        <is>
          <t>P</t>
        </is>
      </c>
      <c r="BC32" s="161" t="inlineStr">
        <is>
          <t>2026-09-04</t>
        </is>
      </c>
      <c r="BD32" s="161" t="inlineStr">
        <is>
          <t>2026-10-07</t>
        </is>
      </c>
      <c r="BE32" s="96" t="inlineStr">
        <is>
          <t>Y</t>
        </is>
      </c>
      <c r="BF32" s="96" t="inlineStr">
        <is>
          <t>RESIN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LCH27</t>
        </is>
      </c>
      <c r="BL32" s="161" t="inlineStr">
        <is>
          <t>2026-09-23</t>
        </is>
      </c>
      <c r="BM32" s="127" t="n"/>
      <c r="BN32" s="127" t="n"/>
      <c r="BO32" s="127" t="n"/>
      <c r="BP32" s="127" t="n">
        <v>5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n"/>
      <c r="CB32" s="97" t="n"/>
      <c r="CC32" s="96" t="inlineStr">
        <is>
          <t>LCH05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warayu.p@wha-gc.com</t>
        </is>
      </c>
      <c r="CJ32" s="96" t="inlineStr">
        <is>
          <t>PTT GLOBAL CHEMICAL PUBLIC COMPANY</t>
        </is>
      </c>
      <c r="CK32" s="96" t="inlineStr">
        <is>
          <t>SRITHAI (VIETNAM) CO., LTD</t>
        </is>
      </c>
      <c r="CL32" s="96" t="inlineStr">
        <is>
          <t>SRITHAI (VIETNAM) CO., LTD</t>
        </is>
      </c>
      <c r="CM32" s="97" t="inlineStr">
        <is>
          <t>CLOSED</t>
        </is>
      </c>
      <c r="CN32" s="96" t="inlineStr">
        <is>
          <t>202610091700</t>
        </is>
      </c>
      <c r="CO32" s="96" t="inlineStr">
        <is>
          <t>202610111200</t>
        </is>
      </c>
      <c r="CP32" s="97" t="n"/>
      <c r="CQ32" s="96" t="inlineStr">
        <is>
          <t>S22-2309036</t>
        </is>
      </c>
      <c r="CR32" s="96" t="inlineStr">
        <is>
          <t>TH02GR</t>
        </is>
      </c>
      <c r="CS32" s="96" t="inlineStr">
        <is>
          <t>WHA GC LOGISTICS COMPANY LIMITED</t>
        </is>
      </c>
      <c r="CT32" s="96" t="inlineStr">
        <is>
          <t>Y</t>
        </is>
      </c>
      <c r="CU32" s="97" t="n"/>
      <c r="CV32" s="97" t="n"/>
      <c r="CW32" s="161" t="inlineStr">
        <is>
          <t>2026-10-12</t>
        </is>
      </c>
      <c r="CX32" s="97" t="inlineStr">
        <is>
          <t>390120</t>
        </is>
      </c>
      <c r="CY32" s="183" t="inlineStr">
        <is>
          <t>ROLL OVER FORM PREIOVUS VSL SWSP 2609N BY ALLOCATION TEAM MS.TARN APPROVED COST IS UNDER HA DD.7/10</t>
        </is>
      </c>
    </row>
    <row r="33" ht="12" customHeight="1">
      <c r="A33" s="116" t="inlineStr">
        <is>
          <t>HASLS22260902255</t>
        </is>
      </c>
      <c r="B33" s="96" t="inlineStr">
        <is>
          <t>40Hx5</t>
        </is>
      </c>
      <c r="C33" s="97" t="n">
        <v>5</v>
      </c>
      <c r="D33" s="97" t="n">
        <v>5</v>
      </c>
      <c r="E33" s="97" t="n"/>
      <c r="F33" s="97" t="n">
        <v>0</v>
      </c>
      <c r="G33" s="97" t="n">
        <v>0</v>
      </c>
      <c r="H33" s="97" t="n">
        <v>0</v>
      </c>
      <c r="I33" s="97" t="n">
        <v>5</v>
      </c>
      <c r="J33" s="97" t="n">
        <v>10</v>
      </c>
      <c r="K33" s="96" t="inlineStr">
        <is>
          <t>N</t>
        </is>
      </c>
      <c r="L33" s="96" t="inlineStr">
        <is>
          <t>KST</t>
        </is>
      </c>
      <c r="M33" s="96" t="inlineStr">
        <is>
          <t>PCCP</t>
        </is>
      </c>
      <c r="N33" s="96" t="inlineStr">
        <is>
          <t>2610N</t>
        </is>
      </c>
      <c r="O33" s="96" t="inlineStr">
        <is>
          <t>THLCH</t>
        </is>
      </c>
      <c r="P33" s="96" t="inlineStr">
        <is>
          <t>LCH05</t>
        </is>
      </c>
      <c r="Q33" s="96" t="inlineStr">
        <is>
          <t>IA</t>
        </is>
      </c>
      <c r="R33" s="161" t="inlineStr">
        <is>
          <t>2026-10-14</t>
        </is>
      </c>
      <c r="S33" s="96" t="inlineStr">
        <is>
          <t>VNSGN</t>
        </is>
      </c>
      <c r="T33" s="96" t="inlineStr">
        <is>
          <t>SGN03</t>
        </is>
      </c>
      <c r="U33" s="96" t="inlineStr">
        <is>
          <t>VNSGN</t>
        </is>
      </c>
      <c r="V33" s="161" t="inlineStr">
        <is>
          <t>2026-10-16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ACCORD PILOT LOGISTICS (THAILAND) CO., LTD.</t>
        </is>
      </c>
      <c r="AB33" s="96" t="inlineStr">
        <is>
          <t>HMC POLYMERS CO., LTD.</t>
        </is>
      </c>
      <c r="AC33" s="163" t="n">
        <v>123120</v>
      </c>
      <c r="AD33" s="163" t="n">
        <v>143120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TBKK19</t>
        </is>
      </c>
      <c r="AN33" s="96" t="inlineStr">
        <is>
          <t>Kanokporn</t>
        </is>
      </c>
      <c r="AO33" s="96" t="inlineStr">
        <is>
          <t>POLYPROPYLENE MOPLEN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Pickup : 2026-10-02, Return : 2026-10-04</t>
        </is>
      </c>
      <c r="BA33" s="97" t="inlineStr">
        <is>
          <t>ROLL OVER FROM PREVIOUS VSL SWSP 2609N BY ALLOCATION TEAM MS.TARN APRPOVED COST IS UNDER HA DD.04/10
REQ FREE TIME DEM 21 DAYS // DET 14 DAYS AT DESTINATION</t>
        </is>
      </c>
      <c r="BB33" s="96" t="inlineStr">
        <is>
          <t>P</t>
        </is>
      </c>
      <c r="BC33" s="161" t="inlineStr">
        <is>
          <t>2026-09-24</t>
        </is>
      </c>
      <c r="BD33" s="161" t="inlineStr">
        <is>
          <t>2026-10-04</t>
        </is>
      </c>
      <c r="BE33" s="96" t="inlineStr">
        <is>
          <t>Y</t>
        </is>
      </c>
      <c r="BF33" s="96" t="inlineStr">
        <is>
          <t>POLYPROPYLENE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LCHY5</t>
        </is>
      </c>
      <c r="BL33" s="161" t="inlineStr">
        <is>
          <t>2026-10-02</t>
        </is>
      </c>
      <c r="BM33" s="127" t="n"/>
      <c r="BN33" s="127" t="n"/>
      <c r="BO33" s="127" t="n"/>
      <c r="BP33" s="127" t="n">
        <v>5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LCH05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chayanit@pilot.co.th</t>
        </is>
      </c>
      <c r="CJ33" s="96" t="inlineStr">
        <is>
          <t>HMC POLYMERS CO., LTD.</t>
        </is>
      </c>
      <c r="CK33" s="96" t="inlineStr">
        <is>
          <t>TO ORDER OF VIETNAM JOINT STOCK</t>
        </is>
      </c>
      <c r="CL33" s="96" t="inlineStr">
        <is>
          <t>KY PHAT CORPORATION</t>
        </is>
      </c>
      <c r="CM33" s="97" t="inlineStr">
        <is>
          <t>CLOSED</t>
        </is>
      </c>
      <c r="CN33" s="96" t="inlineStr">
        <is>
          <t>202610091700</t>
        </is>
      </c>
      <c r="CO33" s="96" t="inlineStr">
        <is>
          <t>202610111200</t>
        </is>
      </c>
      <c r="CP33" s="97" t="n"/>
      <c r="CQ33" s="96" t="inlineStr">
        <is>
          <t>S19-2308037</t>
        </is>
      </c>
      <c r="CR33" s="96" t="inlineStr">
        <is>
          <t>THTIPI</t>
        </is>
      </c>
      <c r="CS33" s="96" t="inlineStr">
        <is>
          <t>ACCORD PILOT LOGISTICS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2026-10-12</t>
        </is>
      </c>
      <c r="CX33" s="97" t="inlineStr">
        <is>
          <t>390210</t>
        </is>
      </c>
      <c r="CY33" s="183" t="inlineStr">
        <is>
          <t>ROLL OVER FROM PREVIOUS VSL SWSP 2609N BY ALLOCATION TEAM MS.TARN APRPOVED COST IS UNDER HA DD.04/10</t>
        </is>
      </c>
    </row>
    <row r="34" ht="12" customHeight="1">
      <c r="A34" s="116" t="inlineStr">
        <is>
          <t>HASLS22260902136</t>
        </is>
      </c>
      <c r="B34" s="96" t="inlineStr">
        <is>
          <t>R40Hx1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KST</t>
        </is>
      </c>
      <c r="M34" s="96" t="inlineStr">
        <is>
          <t>PCCP</t>
        </is>
      </c>
      <c r="N34" s="96" t="inlineStr">
        <is>
          <t>2610N</t>
        </is>
      </c>
      <c r="O34" s="96" t="inlineStr">
        <is>
          <t>THLCH</t>
        </is>
      </c>
      <c r="P34" s="96" t="inlineStr">
        <is>
          <t>LCH05</t>
        </is>
      </c>
      <c r="Q34" s="96" t="inlineStr">
        <is>
          <t>IA</t>
        </is>
      </c>
      <c r="R34" s="161" t="inlineStr">
        <is>
          <t>2026-10-14</t>
        </is>
      </c>
      <c r="S34" s="96" t="inlineStr">
        <is>
          <t>VNSGN</t>
        </is>
      </c>
      <c r="T34" s="96" t="inlineStr">
        <is>
          <t>SGN03</t>
        </is>
      </c>
      <c r="U34" s="96" t="inlineStr">
        <is>
          <t>VNSGN</t>
        </is>
      </c>
      <c r="V34" s="161" t="inlineStr">
        <is>
          <t>2026-10-16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FOCUS FREIGHT &amp; LOGISTICS CO., LTD.</t>
        </is>
      </c>
      <c r="AB34" s="96" t="inlineStr">
        <is>
          <t>UNITED MUSHROOM CENTER CO., LTD.</t>
        </is>
      </c>
      <c r="AC34" s="163" t="n">
        <v>15919.5</v>
      </c>
      <c r="AD34" s="163" t="n">
        <v>19919.5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TBKK13</t>
        </is>
      </c>
      <c r="AN34" s="96" t="inlineStr">
        <is>
          <t>Dharaporn</t>
        </is>
      </c>
      <c r="AO34" s="96" t="inlineStr">
        <is>
          <t>GOLDEN MUSHROOM , KING OYSTER MUSHROOM</t>
        </is>
      </c>
      <c r="AP34" s="96" t="inlineStr">
        <is>
          <t>Normal</t>
        </is>
      </c>
      <c r="AQ34" s="97" t="n"/>
      <c r="AR34" s="97" t="n"/>
      <c r="AS34" s="97" t="inlineStr">
        <is>
          <t>RF// MIN:+0.0 MAX:+0.0 [COVER:CLOSE]</t>
        </is>
      </c>
      <c r="AT34" s="97" t="inlineStr">
        <is>
          <t xml:space="preserve">45REx1 </t>
        </is>
      </c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 xml:space="preserve">Pickup : 2026-10-09, Return : 2026-10-11 (Temp +0.0 / Vent Close)
 CLS TIME 11/10 12.00 </t>
        </is>
      </c>
      <c r="BA34" s="97" t="inlineStr">
        <is>
          <t>FM 2X40RE DD 02/10 
FM DJCF 0152N BY HAL DD.25/09REQUEST  CLEAN &amp; GOOD CONTAINER FOR FOODS</t>
        </is>
      </c>
      <c r="BB34" s="96" t="inlineStr">
        <is>
          <t>P</t>
        </is>
      </c>
      <c r="BC34" s="161" t="inlineStr">
        <is>
          <t>2026-09-23</t>
        </is>
      </c>
      <c r="BD34" s="161" t="inlineStr">
        <is>
          <t>2026-10-09</t>
        </is>
      </c>
      <c r="BE34" s="96" t="inlineStr">
        <is>
          <t>Y</t>
        </is>
      </c>
      <c r="BF34" s="96" t="inlineStr">
        <is>
          <t>GOLDEN MUSHROOM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LCH27</t>
        </is>
      </c>
      <c r="BL34" s="161" t="inlineStr">
        <is>
          <t>2026-10-09</t>
        </is>
      </c>
      <c r="BM34" s="127" t="n"/>
      <c r="BN34" s="127" t="n"/>
      <c r="BO34" s="127" t="n"/>
      <c r="BP34" s="127" t="n"/>
      <c r="BQ34" s="127" t="n"/>
      <c r="BR34" s="127" t="n">
        <v>1</v>
      </c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LCH05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CSDEP@FOCUS-FREIGHT.CO.TH</t>
        </is>
      </c>
      <c r="CJ34" s="96" t="inlineStr">
        <is>
          <t>UNITED MUSHROOM CENTER CO., LTD.</t>
        </is>
      </c>
      <c r="CK34" s="96" t="inlineStr">
        <is>
          <t>VAN HUNG LONG INVESMENT TRADING</t>
        </is>
      </c>
      <c r="CL34" s="96" t="inlineStr">
        <is>
          <t>VAN HUNG LONG INVESMENT TRADING</t>
        </is>
      </c>
      <c r="CM34" s="97" t="inlineStr">
        <is>
          <t>CLOSED</t>
        </is>
      </c>
      <c r="CN34" s="96" t="inlineStr">
        <is>
          <t>202610091700</t>
        </is>
      </c>
      <c r="CO34" s="96" t="inlineStr">
        <is>
          <t>202610111200</t>
        </is>
      </c>
      <c r="CP34" s="97" t="inlineStr">
        <is>
          <t>45RE x1: RF(Temp:+0.0' / Cover:CLOSE)</t>
        </is>
      </c>
      <c r="CQ34" s="96" t="inlineStr">
        <is>
          <t>S22-2411025</t>
        </is>
      </c>
      <c r="CR34" s="96" t="inlineStr">
        <is>
          <t>TH0059</t>
        </is>
      </c>
      <c r="CS34" s="96" t="inlineStr">
        <is>
          <t>FOCUS FREIGHT &amp; LOGISTICS CO., LTD.</t>
        </is>
      </c>
      <c r="CT34" s="96" t="inlineStr">
        <is>
          <t>N</t>
        </is>
      </c>
      <c r="CU34" s="97" t="n"/>
      <c r="CV34" s="97" t="n"/>
      <c r="CW34" s="161" t="inlineStr">
        <is>
          <t>2026-10-12</t>
        </is>
      </c>
      <c r="CX34" s="97" t="inlineStr">
        <is>
          <t>070959</t>
        </is>
      </c>
      <c r="CY34" s="183" t="n"/>
    </row>
    <row r="35" ht="12" customHeight="1">
      <c r="A35" s="116" t="inlineStr">
        <is>
          <t>HASLS22260900095</t>
        </is>
      </c>
      <c r="B35" s="96" t="inlineStr">
        <is>
          <t>R40Hx1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KST</t>
        </is>
      </c>
      <c r="M35" s="96" t="inlineStr">
        <is>
          <t>PCCP</t>
        </is>
      </c>
      <c r="N35" s="96" t="inlineStr">
        <is>
          <t>2610N</t>
        </is>
      </c>
      <c r="O35" s="96" t="inlineStr">
        <is>
          <t>THLCH</t>
        </is>
      </c>
      <c r="P35" s="96" t="inlineStr">
        <is>
          <t>LCH05</t>
        </is>
      </c>
      <c r="Q35" s="96" t="inlineStr">
        <is>
          <t>IA</t>
        </is>
      </c>
      <c r="R35" s="161" t="inlineStr">
        <is>
          <t>2026-10-14</t>
        </is>
      </c>
      <c r="S35" s="96" t="inlineStr">
        <is>
          <t>JPTMK</t>
        </is>
      </c>
      <c r="T35" s="96" t="inlineStr">
        <is>
          <t>TMK03</t>
        </is>
      </c>
      <c r="U35" s="96" t="inlineStr">
        <is>
          <t>JPTMK</t>
        </is>
      </c>
      <c r="V35" s="161" t="inlineStr">
        <is>
          <t>2026-11-01</t>
        </is>
      </c>
      <c r="W35" s="96" t="inlineStr">
        <is>
          <t>JP</t>
        </is>
      </c>
      <c r="X35" s="97" t="n"/>
      <c r="Y35" s="97" t="inlineStr">
        <is>
          <t>PUS05</t>
        </is>
      </c>
      <c r="Z35" s="97" t="inlineStr">
        <is>
          <t>KRPUS</t>
        </is>
      </c>
      <c r="AA35" s="96" t="inlineStr">
        <is>
          <t>LOGMAN INTERNATIONAL CO., LTD.</t>
        </is>
      </c>
      <c r="AB35" s="96" t="inlineStr">
        <is>
          <t>THAI NIPPON FOODS CO. , LTD.</t>
        </is>
      </c>
      <c r="AC35" s="163" t="n">
        <v>13924</v>
      </c>
      <c r="AD35" s="163" t="n">
        <v>17924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TBKK97</t>
        </is>
      </c>
      <c r="AN35" s="96" t="inlineStr">
        <is>
          <t>Arunphat W. (Aiw)</t>
        </is>
      </c>
      <c r="AO35" s="96" t="inlineStr">
        <is>
          <t>FROZEN CHICKEN</t>
        </is>
      </c>
      <c r="AP35" s="96" t="inlineStr">
        <is>
          <t>T/S</t>
        </is>
      </c>
      <c r="AQ35" s="97" t="n"/>
      <c r="AR35" s="97" t="n"/>
      <c r="AS35" s="97" t="inlineStr">
        <is>
          <t>RF// MIN:-20.0 MAX:-20.0 [COVER:CLOSE]</t>
        </is>
      </c>
      <c r="AT35" s="97" t="inlineStr">
        <is>
          <t xml:space="preserve">45REx1 </t>
        </is>
      </c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 xml:space="preserve">[FIX][FIX][FIX][FIX][FIX][FIX]Pickup : 2026-10-08, Return : 2026-10-09 (Temp -20.0 / Vent Close) 
 CLS TIME 10/10 @12.00 [1ST RTN 09/10 W/O RENT &amp; ELECTRIC] 
 </t>
        </is>
      </c>
      <c r="BA35" s="97" t="inlineStr">
        <is>
          <t>FM SWVG 2612N DD 16/09 
FM SWCP 2610N PHASE OUT THAILAND 19/09
 SHIPPER NAME : THAI NIPPON FOODS CO.,LTD.ETD: 26/09/2026CY-RTN DATE : 23-24/09/2026 AT LCHREQ: NEW AND CLEAN CONTAINER NO SEAFOOD AND GARLIC</t>
        </is>
      </c>
      <c r="BB35" s="96" t="inlineStr">
        <is>
          <t>P</t>
        </is>
      </c>
      <c r="BC35" s="161" t="inlineStr">
        <is>
          <t>2026-09-01</t>
        </is>
      </c>
      <c r="BD35" s="161" t="inlineStr">
        <is>
          <t>2026-10-09</t>
        </is>
      </c>
      <c r="BE35" s="96" t="inlineStr">
        <is>
          <t>Y</t>
        </is>
      </c>
      <c r="BF35" s="96" t="inlineStr">
        <is>
          <t>FROZEN CHICKEN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LCH27</t>
        </is>
      </c>
      <c r="BL35" s="161" t="inlineStr">
        <is>
          <t>2026-10-08</t>
        </is>
      </c>
      <c r="BM35" s="127" t="n"/>
      <c r="BN35" s="127" t="n"/>
      <c r="BO35" s="127" t="n"/>
      <c r="BP35" s="127" t="n"/>
      <c r="BQ35" s="127" t="n"/>
      <c r="BR35" s="127" t="n">
        <v>1</v>
      </c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>
        <v>5</v>
      </c>
      <c r="CA35" s="96" t="inlineStr">
        <is>
          <t>Y</t>
        </is>
      </c>
      <c r="CB35" s="97" t="n"/>
      <c r="CC35" s="96" t="inlineStr">
        <is>
          <t>LCH05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inlineStr">
        <is>
          <t>POL: THLCH [PCCP/2610N]; T/S(1st): KRPUS [HAKT/2637E]; POD: JPTMK [/]</t>
        </is>
      </c>
      <c r="CI35" s="96" t="inlineStr">
        <is>
          <t>cs@logman.co.th</t>
        </is>
      </c>
      <c r="CJ35" s="96" t="inlineStr">
        <is>
          <t>THAI NIPPON FOODS CO. , LTD.</t>
        </is>
      </c>
      <c r="CK35" s="96" t="inlineStr">
        <is>
          <t>JAPAN FOOD CORPORATION</t>
        </is>
      </c>
      <c r="CL35" s="96" t="inlineStr">
        <is>
          <t>JAPAN FOOD CORPORATION</t>
        </is>
      </c>
      <c r="CM35" s="97" t="inlineStr">
        <is>
          <t>CLOSED</t>
        </is>
      </c>
      <c r="CN35" s="96" t="inlineStr">
        <is>
          <t>202610091700</t>
        </is>
      </c>
      <c r="CO35" s="96" t="inlineStr">
        <is>
          <t>202610111200</t>
        </is>
      </c>
      <c r="CP35" s="97" t="inlineStr">
        <is>
          <t>45RE x1: RF(Temp:-20.0' / Cover:CLOSE)</t>
        </is>
      </c>
      <c r="CQ35" s="96" t="inlineStr">
        <is>
          <t>S19-2006021</t>
        </is>
      </c>
      <c r="CR35" s="96" t="inlineStr">
        <is>
          <t>TH00XJ</t>
        </is>
      </c>
      <c r="CS35" s="96" t="inlineStr">
        <is>
          <t>LOGMAN INTERNATIONAL CO., LTD.</t>
        </is>
      </c>
      <c r="CT35" s="96" t="inlineStr">
        <is>
          <t>N</t>
        </is>
      </c>
      <c r="CU35" s="97" t="n"/>
      <c r="CV35" s="97" t="n"/>
      <c r="CW35" s="161" t="inlineStr">
        <is>
          <t>2026-10-11</t>
        </is>
      </c>
      <c r="CX35" s="97" t="inlineStr">
        <is>
          <t>160232</t>
        </is>
      </c>
      <c r="CY35" s="183" t="n"/>
    </row>
    <row r="36" ht="12" customHeight="1">
      <c r="A36" s="116" t="inlineStr">
        <is>
          <t xml:space="preserve">TOTAL </t>
        </is>
      </c>
      <c r="B36" s="96" t="inlineStr">
        <is>
          <t>3</t>
        </is>
      </c>
      <c r="C36" s="97" t="n"/>
      <c r="D36" s="97" t="n"/>
      <c r="E36" s="97" t="n"/>
      <c r="F36" s="97" t="n">
        <v>0</v>
      </c>
      <c r="G36" s="97" t="n">
        <v>41</v>
      </c>
      <c r="H36" s="97" t="n">
        <v>0</v>
      </c>
      <c r="I36" s="97" t="n">
        <v>28</v>
      </c>
      <c r="J36" s="97" t="n">
        <v>97</v>
      </c>
      <c r="K36" s="96" t="n"/>
      <c r="L36" s="96" t="n"/>
      <c r="M36" s="96" t="n"/>
      <c r="N36" s="96" t="n"/>
      <c r="O36" s="96" t="n"/>
      <c r="P36" s="96" t="n"/>
      <c r="Q36" s="96" t="n"/>
      <c r="R36" s="161" t="n"/>
      <c r="S36" s="96" t="n"/>
      <c r="T36" s="96" t="n"/>
      <c r="U36" s="96" t="n"/>
      <c r="V36" s="161" t="n"/>
      <c r="W36" s="96" t="n"/>
      <c r="X36" s="97" t="n"/>
      <c r="Y36" s="97" t="n"/>
      <c r="Z36" s="97" t="n"/>
      <c r="AA36" s="96" t="n"/>
      <c r="AB36" s="96" t="n"/>
      <c r="AC36" s="163" t="n">
        <v>1152871.182</v>
      </c>
      <c r="AD36" s="163" t="n">
        <v>1360471.182</v>
      </c>
      <c r="AE36" s="96" t="n"/>
      <c r="AF36" s="96" t="n"/>
      <c r="AG36" s="97" t="n"/>
      <c r="AH36" s="96" t="n"/>
      <c r="AI36" s="97" t="n"/>
      <c r="AJ36" s="97" t="n"/>
      <c r="AK36" s="97" t="n"/>
      <c r="AL36" s="97" t="n"/>
      <c r="AM36" s="96" t="n"/>
      <c r="AN36" s="96" t="n"/>
      <c r="AO36" s="96" t="n"/>
      <c r="AP36" s="96" t="n"/>
      <c r="AQ36" s="97" t="n"/>
      <c r="AR36" s="97" t="n"/>
      <c r="AS36" s="97" t="n"/>
      <c r="AT36" s="97" t="n"/>
      <c r="AU36" s="97" t="n"/>
      <c r="AV36" s="97" t="n"/>
      <c r="AW36" s="97" t="n"/>
      <c r="AX36" s="96" t="n"/>
      <c r="AY36" s="97" t="n"/>
      <c r="AZ36" s="96" t="n"/>
      <c r="BA36" s="97" t="n"/>
      <c r="BB36" s="96" t="n"/>
      <c r="BC36" s="161" t="n"/>
      <c r="BD36" s="161" t="n"/>
      <c r="BE36" s="96" t="n"/>
      <c r="BF36" s="96" t="n"/>
      <c r="BG36" s="96" t="n"/>
      <c r="BH36" s="96" t="n"/>
      <c r="BI36" s="97" t="n"/>
      <c r="BJ36" s="97" t="n"/>
      <c r="BK36" s="96" t="n"/>
      <c r="BL36" s="161" t="n"/>
      <c r="BM36" s="127" t="n">
        <v>0</v>
      </c>
      <c r="BN36" s="127" t="n">
        <v>38</v>
      </c>
      <c r="BO36" s="127" t="n">
        <v>0</v>
      </c>
      <c r="BP36" s="127" t="n">
        <v>26</v>
      </c>
      <c r="BQ36" s="127" t="n">
        <v>0</v>
      </c>
      <c r="BR36" s="127" t="n">
        <v>2</v>
      </c>
      <c r="BS36" s="127" t="n">
        <v>0</v>
      </c>
      <c r="BT36" s="127" t="n">
        <v>0</v>
      </c>
      <c r="BU36" s="127" t="n">
        <v>0</v>
      </c>
      <c r="BV36" s="127" t="n">
        <v>0</v>
      </c>
      <c r="BW36" s="127" t="n">
        <v>3</v>
      </c>
      <c r="BX36" s="127" t="n">
        <v>0</v>
      </c>
      <c r="BY36" s="96" t="n"/>
      <c r="BZ36" s="97" t="n"/>
      <c r="CA36" s="96" t="n"/>
      <c r="CB36" s="97" t="n"/>
      <c r="CC36" s="96" t="n"/>
      <c r="CD36" s="97" t="n"/>
      <c r="CE36" s="97" t="n"/>
      <c r="CF36" s="96" t="n"/>
      <c r="CG36" s="96" t="n"/>
      <c r="CH36" s="97" t="n"/>
      <c r="CI36" s="96" t="n"/>
      <c r="CJ36" s="96" t="n"/>
      <c r="CK36" s="96" t="n"/>
      <c r="CL36" s="96" t="n"/>
      <c r="CM36" s="97" t="n"/>
      <c r="CN36" s="96" t="n"/>
      <c r="CO36" s="96" t="n"/>
      <c r="CP36" s="97" t="n"/>
      <c r="CQ36" s="96" t="n"/>
      <c r="CR36" s="96" t="n"/>
      <c r="CS36" s="96" t="n"/>
      <c r="CT36" s="96" t="n"/>
      <c r="CU36" s="97" t="n"/>
      <c r="CV36" s="97" t="n"/>
      <c r="CW36" s="161" t="n"/>
      <c r="CX36" s="97" t="n"/>
      <c r="CY36" s="183" t="n"/>
    </row>
    <row r="37" ht="12" customHeight="1">
      <c r="A37" s="116" t="inlineStr">
        <is>
          <t xml:space="preserve">COC </t>
        </is>
      </c>
      <c r="B37" s="96" t="inlineStr">
        <is>
          <t>2</t>
        </is>
      </c>
      <c r="C37" s="97" t="n"/>
      <c r="D37" s="97" t="n"/>
      <c r="E37" s="97" t="n"/>
      <c r="F37" s="97" t="n">
        <v>0</v>
      </c>
      <c r="G37" s="97" t="n">
        <v>37</v>
      </c>
      <c r="H37" s="97" t="n">
        <v>0</v>
      </c>
      <c r="I37" s="97" t="n">
        <v>18</v>
      </c>
      <c r="J37" s="97" t="n">
        <v>73</v>
      </c>
      <c r="K37" s="96" t="n"/>
      <c r="L37" s="96" t="n"/>
      <c r="M37" s="96" t="n"/>
      <c r="N37" s="96" t="n"/>
      <c r="O37" s="96" t="n"/>
      <c r="P37" s="96" t="n"/>
      <c r="Q37" s="96" t="n"/>
      <c r="R37" s="161" t="n"/>
      <c r="S37" s="96" t="n"/>
      <c r="T37" s="96" t="n"/>
      <c r="U37" s="96" t="n"/>
      <c r="V37" s="161" t="n"/>
      <c r="W37" s="96" t="n"/>
      <c r="X37" s="97" t="n"/>
      <c r="Y37" s="97" t="n"/>
      <c r="Z37" s="97" t="n"/>
      <c r="AA37" s="96" t="n"/>
      <c r="AB37" s="96" t="n"/>
      <c r="AC37" s="163" t="n"/>
      <c r="AD37" s="163" t="n"/>
      <c r="AE37" s="96" t="n"/>
      <c r="AF37" s="96" t="n"/>
      <c r="AG37" s="97" t="n"/>
      <c r="AH37" s="96" t="n"/>
      <c r="AI37" s="97" t="n"/>
      <c r="AJ37" s="97" t="n"/>
      <c r="AK37" s="97" t="n"/>
      <c r="AL37" s="97" t="n"/>
      <c r="AM37" s="96" t="n"/>
      <c r="AN37" s="96" t="n"/>
      <c r="AO37" s="96" t="n"/>
      <c r="AP37" s="96" t="n"/>
      <c r="AQ37" s="97" t="n"/>
      <c r="AR37" s="97" t="n"/>
      <c r="AS37" s="97" t="n"/>
      <c r="AT37" s="97" t="n"/>
      <c r="AU37" s="97" t="n"/>
      <c r="AV37" s="97" t="n"/>
      <c r="AW37" s="97" t="n"/>
      <c r="AX37" s="96" t="n"/>
      <c r="AY37" s="97" t="n"/>
      <c r="AZ37" s="96" t="n"/>
      <c r="BA37" s="97" t="n"/>
      <c r="BB37" s="96" t="n"/>
      <c r="BC37" s="161" t="n"/>
      <c r="BD37" s="161" t="n"/>
      <c r="BE37" s="96" t="n"/>
      <c r="BF37" s="96" t="n"/>
      <c r="BG37" s="96" t="n"/>
      <c r="BH37" s="96" t="n"/>
      <c r="BI37" s="97" t="n"/>
      <c r="BJ37" s="97" t="n"/>
      <c r="BK37" s="96" t="n"/>
      <c r="BL37" s="161" t="n"/>
      <c r="BM37" s="127" t="n"/>
      <c r="BN37" s="127" t="n"/>
      <c r="BO37" s="127" t="n"/>
      <c r="BP37" s="127" t="n"/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n"/>
      <c r="BZ37" s="97" t="n"/>
      <c r="CA37" s="96" t="n"/>
      <c r="CB37" s="97" t="n"/>
      <c r="CC37" s="96" t="n"/>
      <c r="CD37" s="97" t="n"/>
      <c r="CE37" s="97" t="n"/>
      <c r="CF37" s="96" t="n"/>
      <c r="CG37" s="96" t="n"/>
      <c r="CH37" s="97" t="n"/>
      <c r="CI37" s="96" t="n"/>
      <c r="CJ37" s="96" t="n"/>
      <c r="CK37" s="96" t="n"/>
      <c r="CL37" s="96" t="n"/>
      <c r="CM37" s="97" t="n"/>
      <c r="CN37" s="96" t="n"/>
      <c r="CO37" s="96" t="n"/>
      <c r="CP37" s="97" t="n"/>
      <c r="CQ37" s="96" t="n"/>
      <c r="CR37" s="96" t="n"/>
      <c r="CS37" s="96" t="n"/>
      <c r="CT37" s="96" t="n"/>
      <c r="CU37" s="97" t="n"/>
      <c r="CV37" s="97" t="n"/>
      <c r="CW37" s="161" t="n"/>
      <c r="CX37" s="97" t="n"/>
      <c r="CY37" s="183" t="n"/>
    </row>
    <row r="38" ht="12" customHeight="1">
      <c r="A38" s="116" t="inlineStr">
        <is>
          <t xml:space="preserve">SOC </t>
        </is>
      </c>
      <c r="B38" s="96" t="inlineStr">
        <is>
          <t>0</t>
        </is>
      </c>
      <c r="C38" s="97" t="n"/>
      <c r="D38" s="97" t="n"/>
      <c r="E38" s="97" t="n"/>
      <c r="F38" s="97" t="n">
        <v>0</v>
      </c>
      <c r="G38" s="97" t="n">
        <v>4</v>
      </c>
      <c r="H38" s="97" t="n">
        <v>0</v>
      </c>
      <c r="I38" s="97" t="n">
        <v>10</v>
      </c>
      <c r="J38" s="97" t="n">
        <v>24</v>
      </c>
      <c r="K38" s="96" t="n"/>
      <c r="L38" s="96" t="n"/>
      <c r="M38" s="96" t="n"/>
      <c r="N38" s="96" t="n"/>
      <c r="O38" s="96" t="n"/>
      <c r="P38" s="96" t="n"/>
      <c r="Q38" s="96" t="n"/>
      <c r="R38" s="161" t="n"/>
      <c r="S38" s="96" t="n"/>
      <c r="T38" s="96" t="n"/>
      <c r="U38" s="96" t="n"/>
      <c r="V38" s="161" t="n"/>
      <c r="W38" s="96" t="n"/>
      <c r="X38" s="97" t="n"/>
      <c r="Y38" s="97" t="n"/>
      <c r="Z38" s="97" t="n"/>
      <c r="AA38" s="96" t="n"/>
      <c r="AB38" s="96" t="n"/>
      <c r="AC38" s="163" t="n"/>
      <c r="AD38" s="163" t="n"/>
      <c r="AE38" s="96" t="n"/>
      <c r="AF38" s="96" t="n"/>
      <c r="AG38" s="97" t="n"/>
      <c r="AH38" s="96" t="n"/>
      <c r="AI38" s="97" t="n"/>
      <c r="AJ38" s="97" t="n"/>
      <c r="AK38" s="97" t="n"/>
      <c r="AL38" s="97" t="n"/>
      <c r="AM38" s="96" t="n"/>
      <c r="AN38" s="96" t="n"/>
      <c r="AO38" s="96" t="n"/>
      <c r="AP38" s="96" t="n"/>
      <c r="AQ38" s="97" t="n"/>
      <c r="AR38" s="97" t="n"/>
      <c r="AS38" s="97" t="n"/>
      <c r="AT38" s="97" t="n"/>
      <c r="AU38" s="97" t="n"/>
      <c r="AV38" s="97" t="n"/>
      <c r="AW38" s="97" t="n"/>
      <c r="AX38" s="96" t="n"/>
      <c r="AY38" s="97" t="n"/>
      <c r="AZ38" s="96" t="n"/>
      <c r="BA38" s="97" t="n"/>
      <c r="BB38" s="96" t="n"/>
      <c r="BC38" s="161" t="n"/>
      <c r="BD38" s="161" t="n"/>
      <c r="BE38" s="96" t="n"/>
      <c r="BF38" s="96" t="n"/>
      <c r="BG38" s="96" t="n"/>
      <c r="BH38" s="96" t="n"/>
      <c r="BI38" s="97" t="n"/>
      <c r="BJ38" s="97" t="n"/>
      <c r="BK38" s="96" t="n"/>
      <c r="BL38" s="161" t="n"/>
      <c r="BM38" s="127" t="n"/>
      <c r="BN38" s="127" t="n"/>
      <c r="BO38" s="127" t="n"/>
      <c r="BP38" s="127" t="n"/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n"/>
      <c r="BZ38" s="97" t="n"/>
      <c r="CA38" s="96" t="n"/>
      <c r="CB38" s="97" t="n"/>
      <c r="CC38" s="96" t="n"/>
      <c r="CD38" s="97" t="n"/>
      <c r="CE38" s="97" t="n"/>
      <c r="CF38" s="96" t="n"/>
      <c r="CG38" s="96" t="n"/>
      <c r="CH38" s="97" t="n"/>
      <c r="CI38" s="96" t="n"/>
      <c r="CJ38" s="96" t="n"/>
      <c r="CK38" s="96" t="n"/>
      <c r="CL38" s="96" t="n"/>
      <c r="CM38" s="97" t="n"/>
      <c r="CN38" s="96" t="n"/>
      <c r="CO38" s="96" t="n"/>
      <c r="CP38" s="97" t="n"/>
      <c r="CQ38" s="96" t="n"/>
      <c r="CR38" s="96" t="n"/>
      <c r="CS38" s="96" t="n"/>
      <c r="CT38" s="96" t="n"/>
      <c r="CU38" s="97" t="n"/>
      <c r="CV38" s="97" t="n"/>
      <c r="CW38" s="161" t="n"/>
      <c r="CX38" s="97" t="n"/>
      <c r="CY38" s="183" t="n"/>
    </row>
    <row r="39" ht="12" customHeight="1">
      <c r="A39" s="116" t="inlineStr">
        <is>
          <t>34</t>
        </is>
      </c>
      <c r="B39" s="96" t="inlineStr">
        <is>
          <t>69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6" t="n"/>
      <c r="L39" s="96" t="n"/>
      <c r="M39" s="96" t="n"/>
      <c r="N39" s="96" t="n"/>
      <c r="O39" s="96" t="n"/>
      <c r="P39" s="96" t="n"/>
      <c r="Q39" s="96" t="n"/>
      <c r="R39" s="161" t="n"/>
      <c r="S39" s="96" t="n"/>
      <c r="T39" s="96" t="n"/>
      <c r="U39" s="96" t="n"/>
      <c r="V39" s="161" t="n"/>
      <c r="W39" s="96" t="n"/>
      <c r="X39" s="97" t="n"/>
      <c r="Y39" s="97" t="n"/>
      <c r="Z39" s="97" t="n"/>
      <c r="AA39" s="96" t="n"/>
      <c r="AB39" s="96" t="n"/>
      <c r="AC39" s="163" t="n"/>
      <c r="AD39" s="163" t="n"/>
      <c r="AE39" s="96" t="n"/>
      <c r="AF39" s="96" t="n"/>
      <c r="AG39" s="97" t="n"/>
      <c r="AH39" s="96" t="n"/>
      <c r="AI39" s="97" t="n"/>
      <c r="AJ39" s="97" t="n"/>
      <c r="AK39" s="97" t="n"/>
      <c r="AL39" s="97" t="n"/>
      <c r="AM39" s="96" t="n"/>
      <c r="AN39" s="96" t="n"/>
      <c r="AO39" s="96" t="n"/>
      <c r="AP39" s="96" t="n"/>
      <c r="AQ39" s="97" t="n"/>
      <c r="AR39" s="97" t="n"/>
      <c r="AS39" s="97" t="n"/>
      <c r="AT39" s="97" t="n"/>
      <c r="AU39" s="97" t="n"/>
      <c r="AV39" s="97" t="n"/>
      <c r="AW39" s="97" t="n"/>
      <c r="AX39" s="96" t="n"/>
      <c r="AY39" s="97" t="n"/>
      <c r="AZ39" s="96" t="n"/>
      <c r="BA39" s="97" t="n"/>
      <c r="BB39" s="96" t="n"/>
      <c r="BC39" s="161" t="n"/>
      <c r="BD39" s="161" t="n"/>
      <c r="BE39" s="96" t="n"/>
      <c r="BF39" s="96" t="n"/>
      <c r="BG39" s="96" t="n"/>
      <c r="BH39" s="96" t="n"/>
      <c r="BI39" s="97" t="n"/>
      <c r="BJ39" s="97" t="n"/>
      <c r="BK39" s="96" t="n"/>
      <c r="BL39" s="161" t="n"/>
      <c r="BM39" s="127" t="n"/>
      <c r="BN39" s="127" t="n"/>
      <c r="BO39" s="127" t="n"/>
      <c r="BP39" s="127" t="n"/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n"/>
      <c r="BZ39" s="97" t="n"/>
      <c r="CA39" s="96" t="n"/>
      <c r="CB39" s="97" t="n"/>
      <c r="CC39" s="96" t="n"/>
      <c r="CD39" s="97" t="n"/>
      <c r="CE39" s="97" t="n"/>
      <c r="CF39" s="96" t="n"/>
      <c r="CG39" s="96" t="n"/>
      <c r="CH39" s="97" t="n"/>
      <c r="CI39" s="96" t="n"/>
      <c r="CJ39" s="96" t="n"/>
      <c r="CK39" s="96" t="n"/>
      <c r="CL39" s="96" t="n"/>
      <c r="CM39" s="97" t="n"/>
      <c r="CN39" s="96" t="n"/>
      <c r="CO39" s="96" t="n"/>
      <c r="CP39" s="97" t="n"/>
      <c r="CQ39" s="96" t="n"/>
      <c r="CR39" s="96" t="n"/>
      <c r="CS39" s="96" t="n"/>
      <c r="CT39" s="96" t="n"/>
      <c r="CU39" s="97" t="n"/>
      <c r="CV39" s="97" t="n"/>
      <c r="CW39" s="161" t="n"/>
      <c r="CX39" s="97" t="n"/>
      <c r="CY39" s="183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1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CXDU2380488</t>
        </is>
      </c>
      <c r="B2" s="108" t="inlineStr">
        <is>
          <t>LCH05</t>
        </is>
      </c>
      <c r="C2" s="108" t="inlineStr">
        <is>
          <t>IFV</t>
        </is>
      </c>
      <c r="D2" s="172" t="inlineStr">
        <is>
          <t>2026-10-08</t>
        </is>
      </c>
      <c r="E2" s="173" t="inlineStr">
        <is>
          <t>0945</t>
        </is>
      </c>
      <c r="F2" s="96" t="inlineStr">
        <is>
          <t>HASLS22260900900</t>
        </is>
      </c>
      <c r="G2" s="96" t="inlineStr">
        <is>
          <t>WHA GC LOGISTICS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HASLS22260900900</t>
        </is>
      </c>
      <c r="N2" s="96" t="inlineStr">
        <is>
          <t xml:space="preserve">20'x7 </t>
        </is>
      </c>
      <c r="O2" s="111" t="inlineStr">
        <is>
          <t>2015</t>
        </is>
      </c>
      <c r="P2" s="111" t="n"/>
      <c r="Q2" s="111" t="n"/>
      <c r="R2" s="96" t="inlineStr">
        <is>
          <t>PCCP</t>
        </is>
      </c>
      <c r="S2" s="96" t="inlineStr">
        <is>
          <t>2610N</t>
        </is>
      </c>
      <c r="T2" s="96" t="inlineStr">
        <is>
          <t>LCH05</t>
        </is>
      </c>
      <c r="U2" s="96" t="inlineStr">
        <is>
          <t>THLCH</t>
        </is>
      </c>
      <c r="V2" s="161" t="inlineStr">
        <is>
          <t>2026-10-14</t>
        </is>
      </c>
      <c r="W2" s="96" t="inlineStr">
        <is>
          <t>JPIYM</t>
        </is>
      </c>
      <c r="X2" s="161" t="inlineStr">
        <is>
          <t>2026-10-23</t>
        </is>
      </c>
      <c r="Y2" s="97" t="n"/>
      <c r="Z2" s="97" t="n"/>
      <c r="AA2" s="97" t="n"/>
      <c r="AB2" s="97" t="n"/>
      <c r="AC2" s="97" t="n"/>
      <c r="AD2" s="161" t="inlineStr">
        <is>
          <t>2026-10-08</t>
        </is>
      </c>
      <c r="AE2" s="174" t="inlineStr">
        <is>
          <t>1401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MARUBENI INNOVEXIS CORPORATION</t>
        </is>
      </c>
      <c r="AK2" s="130" t="n"/>
    </row>
    <row r="3" ht="12" customHeight="1">
      <c r="A3" s="108" t="inlineStr">
        <is>
          <t>FSCU5890858</t>
        </is>
      </c>
      <c r="B3" s="108" t="inlineStr">
        <is>
          <t>LCH05</t>
        </is>
      </c>
      <c r="C3" s="108" t="inlineStr">
        <is>
          <t>IFV</t>
        </is>
      </c>
      <c r="D3" s="172" t="inlineStr">
        <is>
          <t>2026-10-11</t>
        </is>
      </c>
      <c r="E3" s="173" t="inlineStr">
        <is>
          <t>1323</t>
        </is>
      </c>
      <c r="F3" s="96" t="inlineStr">
        <is>
          <t>HASLS22260902136</t>
        </is>
      </c>
      <c r="G3" s="96" t="inlineStr">
        <is>
          <t>FOCUS FREIGHT &amp; LOGISTICS CO., LTD.</t>
        </is>
      </c>
      <c r="H3" s="111" t="inlineStr">
        <is>
          <t>45RE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HASLS22260902136</t>
        </is>
      </c>
      <c r="N3" s="96" t="inlineStr">
        <is>
          <t xml:space="preserve">R40Hx1 </t>
        </is>
      </c>
      <c r="O3" s="111" t="inlineStr">
        <is>
          <t>2020</t>
        </is>
      </c>
      <c r="P3" s="111" t="inlineStr">
        <is>
          <t>CARRIER</t>
        </is>
      </c>
      <c r="Q3" s="111" t="inlineStr">
        <is>
          <t>69NT40-561-500</t>
        </is>
      </c>
      <c r="R3" s="96" t="inlineStr">
        <is>
          <t>KUS</t>
        </is>
      </c>
      <c r="S3" s="96" t="inlineStr">
        <is>
          <t>2616N</t>
        </is>
      </c>
      <c r="T3" s="96" t="inlineStr">
        <is>
          <t>LCH05</t>
        </is>
      </c>
      <c r="U3" s="96" t="inlineStr">
        <is>
          <t>THLCH</t>
        </is>
      </c>
      <c r="V3" s="161" t="inlineStr">
        <is>
          <t>2026-10-14</t>
        </is>
      </c>
      <c r="W3" s="96" t="inlineStr">
        <is>
          <t>VNSGN</t>
        </is>
      </c>
      <c r="X3" s="161" t="inlineStr">
        <is>
          <t>2026-10-16</t>
        </is>
      </c>
      <c r="Y3" s="97" t="n"/>
      <c r="Z3" s="97" t="n"/>
      <c r="AA3" s="97" t="n"/>
      <c r="AB3" s="97" t="n"/>
      <c r="AC3" s="97" t="n"/>
      <c r="AD3" s="161" t="inlineStr">
        <is>
          <t>2026-10-11</t>
        </is>
      </c>
      <c r="AE3" s="174" t="inlineStr">
        <is>
          <t>2000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VAN HUNG LONG INVESMENT TRADING</t>
        </is>
      </c>
      <c r="AK3" s="130" t="n"/>
    </row>
    <row r="4" ht="12" customHeight="1">
      <c r="A4" s="108" t="inlineStr">
        <is>
          <t>HALU2100503</t>
        </is>
      </c>
      <c r="B4" s="108" t="inlineStr">
        <is>
          <t>LCH05</t>
        </is>
      </c>
      <c r="C4" s="108" t="inlineStr">
        <is>
          <t>IFV</t>
        </is>
      </c>
      <c r="D4" s="172" t="inlineStr">
        <is>
          <t>2026-10-10</t>
        </is>
      </c>
      <c r="E4" s="173" t="inlineStr">
        <is>
          <t>1613</t>
        </is>
      </c>
      <c r="F4" s="96" t="inlineStr">
        <is>
          <t>HASLS22260902025</t>
        </is>
      </c>
      <c r="G4" s="96" t="inlineStr">
        <is>
          <t>DOW CHEMICAL THAILAND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HASLS22260902025</t>
        </is>
      </c>
      <c r="N4" s="96" t="inlineStr">
        <is>
          <t xml:space="preserve">20'x1 </t>
        </is>
      </c>
      <c r="O4" s="111" t="inlineStr">
        <is>
          <t>2021</t>
        </is>
      </c>
      <c r="P4" s="111" t="n"/>
      <c r="Q4" s="111" t="n"/>
      <c r="R4" s="96" t="inlineStr">
        <is>
          <t>PCCP</t>
        </is>
      </c>
      <c r="S4" s="96" t="inlineStr">
        <is>
          <t>2610N</t>
        </is>
      </c>
      <c r="T4" s="96" t="inlineStr">
        <is>
          <t>LCH05</t>
        </is>
      </c>
      <c r="U4" s="96" t="inlineStr">
        <is>
          <t>THLCH</t>
        </is>
      </c>
      <c r="V4" s="161" t="inlineStr">
        <is>
          <t>2026-10-14</t>
        </is>
      </c>
      <c r="W4" s="96" t="inlineStr">
        <is>
          <t>JPNGO</t>
        </is>
      </c>
      <c r="X4" s="161" t="inlineStr">
        <is>
          <t>2026-10-23</t>
        </is>
      </c>
      <c r="Y4" s="97" t="n"/>
      <c r="Z4" s="97" t="n"/>
      <c r="AA4" s="97" t="n"/>
      <c r="AB4" s="97" t="n"/>
      <c r="AC4" s="97" t="n"/>
      <c r="AD4" s="161" t="inlineStr">
        <is>
          <t>2026-10-10</t>
        </is>
      </c>
      <c r="AE4" s="174" t="inlineStr">
        <is>
          <t>2001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DOW CHEMICAL JAPAN LIMITED</t>
        </is>
      </c>
      <c r="AK4" s="130" t="n"/>
    </row>
    <row r="5" ht="12" customHeight="1">
      <c r="A5" s="108" t="inlineStr">
        <is>
          <t>HALU2309751</t>
        </is>
      </c>
      <c r="B5" s="108" t="inlineStr">
        <is>
          <t>LCH05</t>
        </is>
      </c>
      <c r="C5" s="108" t="inlineStr">
        <is>
          <t>IFV</t>
        </is>
      </c>
      <c r="D5" s="172" t="inlineStr">
        <is>
          <t>2026-10-10</t>
        </is>
      </c>
      <c r="E5" s="173" t="inlineStr">
        <is>
          <t>1334</t>
        </is>
      </c>
      <c r="F5" s="96" t="inlineStr">
        <is>
          <t>HASLS22260902333</t>
        </is>
      </c>
      <c r="G5" s="96" t="inlineStr">
        <is>
          <t>MILLENNIUM AIR-SEA SERVICE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HASLS22260902333</t>
        </is>
      </c>
      <c r="N5" s="96" t="inlineStr">
        <is>
          <t xml:space="preserve">40Hx1 20'x1 </t>
        </is>
      </c>
      <c r="O5" s="111" t="inlineStr">
        <is>
          <t>2023</t>
        </is>
      </c>
      <c r="P5" s="111" t="n"/>
      <c r="Q5" s="111" t="n"/>
      <c r="R5" s="96" t="inlineStr">
        <is>
          <t>PCCP</t>
        </is>
      </c>
      <c r="S5" s="96" t="inlineStr">
        <is>
          <t>2610N</t>
        </is>
      </c>
      <c r="T5" s="96" t="inlineStr">
        <is>
          <t>LCH05</t>
        </is>
      </c>
      <c r="U5" s="96" t="inlineStr">
        <is>
          <t>THLCH</t>
        </is>
      </c>
      <c r="V5" s="161" t="inlineStr">
        <is>
          <t>2026-10-14</t>
        </is>
      </c>
      <c r="W5" s="96" t="inlineStr">
        <is>
          <t>VNSGN</t>
        </is>
      </c>
      <c r="X5" s="161" t="inlineStr">
        <is>
          <t>2026-10-16</t>
        </is>
      </c>
      <c r="Y5" s="97" t="n"/>
      <c r="Z5" s="97" t="n"/>
      <c r="AA5" s="97" t="n"/>
      <c r="AB5" s="97" t="n"/>
      <c r="AC5" s="97" t="n"/>
      <c r="AD5" s="161" t="inlineStr">
        <is>
          <t>2026-10-10</t>
        </is>
      </c>
      <c r="AE5" s="174" t="inlineStr">
        <is>
          <t>2001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TIMES CARGO LOGISTIC CO., LTD</t>
        </is>
      </c>
      <c r="AK5" s="130" t="n"/>
    </row>
    <row r="6" ht="12" customHeight="1">
      <c r="A6" s="108" t="inlineStr">
        <is>
          <t>HALU2316848</t>
        </is>
      </c>
      <c r="B6" s="108" t="inlineStr">
        <is>
          <t>LCH05</t>
        </is>
      </c>
      <c r="C6" s="108" t="inlineStr">
        <is>
          <t>IFV</t>
        </is>
      </c>
      <c r="D6" s="172" t="inlineStr">
        <is>
          <t>2026-10-09</t>
        </is>
      </c>
      <c r="E6" s="173" t="inlineStr">
        <is>
          <t>2049</t>
        </is>
      </c>
      <c r="F6" s="96" t="inlineStr">
        <is>
          <t>HASLS22260902724</t>
        </is>
      </c>
      <c r="G6" s="96" t="inlineStr">
        <is>
          <t>FAIR AND FAST COMPANY LIMITED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HASLS22260902724</t>
        </is>
      </c>
      <c r="N6" s="96" t="inlineStr">
        <is>
          <t xml:space="preserve">20'x2 </t>
        </is>
      </c>
      <c r="O6" s="111" t="inlineStr">
        <is>
          <t>2023</t>
        </is>
      </c>
      <c r="P6" s="111" t="n"/>
      <c r="Q6" s="111" t="n"/>
      <c r="R6" s="96" t="inlineStr">
        <is>
          <t>PCCP</t>
        </is>
      </c>
      <c r="S6" s="96" t="inlineStr">
        <is>
          <t>2610N</t>
        </is>
      </c>
      <c r="T6" s="96" t="inlineStr">
        <is>
          <t>LCH05</t>
        </is>
      </c>
      <c r="U6" s="96" t="inlineStr">
        <is>
          <t>THLCH</t>
        </is>
      </c>
      <c r="V6" s="161" t="inlineStr">
        <is>
          <t>2026-10-14</t>
        </is>
      </c>
      <c r="W6" s="96" t="inlineStr">
        <is>
          <t>VNSGN</t>
        </is>
      </c>
      <c r="X6" s="161" t="inlineStr">
        <is>
          <t>2026-10-16</t>
        </is>
      </c>
      <c r="Y6" s="97" t="n"/>
      <c r="Z6" s="97" t="n"/>
      <c r="AA6" s="97" t="n"/>
      <c r="AB6" s="97" t="n"/>
      <c r="AC6" s="97" t="n"/>
      <c r="AD6" s="161" t="inlineStr">
        <is>
          <t>2026-10-10</t>
        </is>
      </c>
      <c r="AE6" s="174" t="inlineStr">
        <is>
          <t>0201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TO ORDER</t>
        </is>
      </c>
      <c r="AK6" s="130" t="n"/>
    </row>
    <row r="7" ht="12" customHeight="1">
      <c r="A7" s="108" t="inlineStr">
        <is>
          <t>HALU2321633</t>
        </is>
      </c>
      <c r="B7" s="108" t="inlineStr">
        <is>
          <t>LCH05</t>
        </is>
      </c>
      <c r="C7" s="108" t="inlineStr">
        <is>
          <t>IFV</t>
        </is>
      </c>
      <c r="D7" s="172" t="inlineStr">
        <is>
          <t>2026-10-07</t>
        </is>
      </c>
      <c r="E7" s="173" t="inlineStr">
        <is>
          <t>1545</t>
        </is>
      </c>
      <c r="F7" s="96" t="inlineStr">
        <is>
          <t>HASLS22260902139</t>
        </is>
      </c>
      <c r="G7" s="96" t="inlineStr">
        <is>
          <t>CANVAS GLOBAL LOGISTICS (THAILAND)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HASLS22260902139</t>
        </is>
      </c>
      <c r="N7" s="96" t="inlineStr">
        <is>
          <t xml:space="preserve">20'x1 </t>
        </is>
      </c>
      <c r="O7" s="111" t="inlineStr">
        <is>
          <t>2023</t>
        </is>
      </c>
      <c r="P7" s="111" t="n"/>
      <c r="Q7" s="111" t="n"/>
      <c r="R7" s="96" t="inlineStr">
        <is>
          <t>PCCP</t>
        </is>
      </c>
      <c r="S7" s="96" t="inlineStr">
        <is>
          <t>2610N</t>
        </is>
      </c>
      <c r="T7" s="96" t="inlineStr">
        <is>
          <t>LCH05</t>
        </is>
      </c>
      <c r="U7" s="96" t="inlineStr">
        <is>
          <t>THLCH</t>
        </is>
      </c>
      <c r="V7" s="161" t="inlineStr">
        <is>
          <t>2026-10-14</t>
        </is>
      </c>
      <c r="W7" s="96" t="inlineStr">
        <is>
          <t>KRINC</t>
        </is>
      </c>
      <c r="X7" s="161" t="inlineStr">
        <is>
          <t>2026-10-22</t>
        </is>
      </c>
      <c r="Y7" s="97" t="n"/>
      <c r="Z7" s="97" t="n"/>
      <c r="AA7" s="97" t="n"/>
      <c r="AB7" s="97" t="n"/>
      <c r="AC7" s="97" t="n"/>
      <c r="AD7" s="161" t="inlineStr">
        <is>
          <t>2026-10-07</t>
        </is>
      </c>
      <c r="AE7" s="174" t="inlineStr">
        <is>
          <t>2001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AURUM DENTAL CO.,LTD.</t>
        </is>
      </c>
      <c r="AK7" s="130" t="n"/>
    </row>
    <row r="8" ht="12" customHeight="1">
      <c r="A8" s="108" t="inlineStr">
        <is>
          <t>HALU2403069</t>
        </is>
      </c>
      <c r="B8" s="108" t="inlineStr">
        <is>
          <t>LCH05</t>
        </is>
      </c>
      <c r="C8" s="108" t="inlineStr">
        <is>
          <t>IFV</t>
        </is>
      </c>
      <c r="D8" s="172" t="inlineStr">
        <is>
          <t>2026-10-09</t>
        </is>
      </c>
      <c r="E8" s="173" t="inlineStr">
        <is>
          <t>0220</t>
        </is>
      </c>
      <c r="F8" s="96" t="inlineStr">
        <is>
          <t>HASLS22260902122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HASLS22260902122</t>
        </is>
      </c>
      <c r="N8" s="96" t="inlineStr">
        <is>
          <t xml:space="preserve">20'x2 </t>
        </is>
      </c>
      <c r="O8" s="111" t="inlineStr">
        <is>
          <t>2024</t>
        </is>
      </c>
      <c r="P8" s="111" t="n"/>
      <c r="Q8" s="111" t="n"/>
      <c r="R8" s="96" t="inlineStr">
        <is>
          <t>PCCP</t>
        </is>
      </c>
      <c r="S8" s="96" t="inlineStr">
        <is>
          <t>2610N</t>
        </is>
      </c>
      <c r="T8" s="96" t="inlineStr">
        <is>
          <t>LCH05</t>
        </is>
      </c>
      <c r="U8" s="96" t="inlineStr">
        <is>
          <t>THLCH</t>
        </is>
      </c>
      <c r="V8" s="161" t="inlineStr">
        <is>
          <t>2026-10-14</t>
        </is>
      </c>
      <c r="W8" s="96" t="inlineStr">
        <is>
          <t>VNSGN</t>
        </is>
      </c>
      <c r="X8" s="161" t="inlineStr">
        <is>
          <t>2026-10-16</t>
        </is>
      </c>
      <c r="Y8" s="97" t="n"/>
      <c r="Z8" s="97" t="n"/>
      <c r="AA8" s="97" t="n"/>
      <c r="AB8" s="97" t="n"/>
      <c r="AC8" s="97" t="n"/>
      <c r="AD8" s="161" t="inlineStr">
        <is>
          <t>2026-10-09</t>
        </is>
      </c>
      <c r="AE8" s="174" t="inlineStr">
        <is>
          <t>0801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TO ORDER OF VIETINBANK BADINH</t>
        </is>
      </c>
      <c r="AK8" s="130" t="n"/>
    </row>
    <row r="9" ht="12" customHeight="1">
      <c r="A9" s="108" t="inlineStr">
        <is>
          <t>HALU2446190</t>
        </is>
      </c>
      <c r="B9" s="108" t="inlineStr">
        <is>
          <t>LCH05</t>
        </is>
      </c>
      <c r="C9" s="108" t="inlineStr">
        <is>
          <t>IFV</t>
        </is>
      </c>
      <c r="D9" s="172" t="inlineStr">
        <is>
          <t>2026-10-08</t>
        </is>
      </c>
      <c r="E9" s="173" t="inlineStr">
        <is>
          <t>0306</t>
        </is>
      </c>
      <c r="F9" s="96" t="inlineStr">
        <is>
          <t>HASLS22260902464</t>
        </is>
      </c>
      <c r="G9" s="96" t="inlineStr">
        <is>
          <t>WHA GC LOGISTICS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HASLS22260902464</t>
        </is>
      </c>
      <c r="N9" s="96" t="inlineStr">
        <is>
          <t xml:space="preserve">20'x5 </t>
        </is>
      </c>
      <c r="O9" s="111" t="inlineStr">
        <is>
          <t>2024</t>
        </is>
      </c>
      <c r="P9" s="111" t="n"/>
      <c r="Q9" s="111" t="n"/>
      <c r="R9" s="96" t="inlineStr">
        <is>
          <t>PCCP</t>
        </is>
      </c>
      <c r="S9" s="96" t="inlineStr">
        <is>
          <t>2610N</t>
        </is>
      </c>
      <c r="T9" s="96" t="inlineStr">
        <is>
          <t>LCH05</t>
        </is>
      </c>
      <c r="U9" s="96" t="inlineStr">
        <is>
          <t>THLCH</t>
        </is>
      </c>
      <c r="V9" s="161" t="inlineStr">
        <is>
          <t>2026-10-14</t>
        </is>
      </c>
      <c r="W9" s="96" t="inlineStr">
        <is>
          <t>JPIYM</t>
        </is>
      </c>
      <c r="X9" s="161" t="inlineStr">
        <is>
          <t>2026-10-23</t>
        </is>
      </c>
      <c r="Y9" s="97" t="n"/>
      <c r="Z9" s="97" t="n"/>
      <c r="AA9" s="97" t="n"/>
      <c r="AB9" s="97" t="n"/>
      <c r="AC9" s="97" t="n"/>
      <c r="AD9" s="161" t="inlineStr">
        <is>
          <t>2026-10-08</t>
        </is>
      </c>
      <c r="AE9" s="174" t="inlineStr">
        <is>
          <t>0801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MARUBENI INNOVEXIS CORPORATION</t>
        </is>
      </c>
      <c r="AK9" s="130" t="n"/>
    </row>
    <row r="10" ht="12" customHeight="1">
      <c r="A10" s="108" t="inlineStr">
        <is>
          <t>HALU2515475</t>
        </is>
      </c>
      <c r="B10" s="108" t="inlineStr">
        <is>
          <t>LCH05</t>
        </is>
      </c>
      <c r="C10" s="108" t="inlineStr">
        <is>
          <t>IFV</t>
        </is>
      </c>
      <c r="D10" s="172" t="inlineStr">
        <is>
          <t>2026-10-09</t>
        </is>
      </c>
      <c r="E10" s="173" t="inlineStr">
        <is>
          <t>1041</t>
        </is>
      </c>
      <c r="F10" s="96" t="inlineStr">
        <is>
          <t>HASLS22260902756</t>
        </is>
      </c>
      <c r="G10" s="96" t="inlineStr">
        <is>
          <t>WHA GC LOGISTICS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HASLS22260902756</t>
        </is>
      </c>
      <c r="N10" s="96" t="inlineStr">
        <is>
          <t xml:space="preserve">20'x1 </t>
        </is>
      </c>
      <c r="O10" s="111" t="inlineStr">
        <is>
          <t>2025</t>
        </is>
      </c>
      <c r="P10" s="111" t="n"/>
      <c r="Q10" s="111" t="n"/>
      <c r="R10" s="96" t="inlineStr">
        <is>
          <t>PCCP</t>
        </is>
      </c>
      <c r="S10" s="96" t="inlineStr">
        <is>
          <t>2610N</t>
        </is>
      </c>
      <c r="T10" s="96" t="inlineStr">
        <is>
          <t>LCH05</t>
        </is>
      </c>
      <c r="U10" s="96" t="inlineStr">
        <is>
          <t>THLCH</t>
        </is>
      </c>
      <c r="V10" s="161" t="inlineStr">
        <is>
          <t>2026-10-14</t>
        </is>
      </c>
      <c r="W10" s="96" t="inlineStr">
        <is>
          <t>VNSGN</t>
        </is>
      </c>
      <c r="X10" s="161" t="inlineStr">
        <is>
          <t>2026-10-16</t>
        </is>
      </c>
      <c r="Y10" s="97" t="n"/>
      <c r="Z10" s="97" t="n"/>
      <c r="AA10" s="97" t="n"/>
      <c r="AB10" s="97" t="n"/>
      <c r="AC10" s="97" t="n"/>
      <c r="AD10" s="161" t="inlineStr">
        <is>
          <t>2026-10-09</t>
        </is>
      </c>
      <c r="AE10" s="174" t="inlineStr">
        <is>
          <t>1401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TO ORDER OF TECHCOMBANK - CHO LON</t>
        </is>
      </c>
      <c r="AK10" s="130" t="n"/>
    </row>
    <row r="11" ht="12" customHeight="1">
      <c r="A11" s="108" t="inlineStr">
        <is>
          <t>HALU2526736</t>
        </is>
      </c>
      <c r="B11" s="108" t="inlineStr">
        <is>
          <t>LCH05</t>
        </is>
      </c>
      <c r="C11" s="108" t="inlineStr">
        <is>
          <t>IFV</t>
        </is>
      </c>
      <c r="D11" s="172" t="inlineStr">
        <is>
          <t>2026-10-08</t>
        </is>
      </c>
      <c r="E11" s="173" t="inlineStr">
        <is>
          <t>0313</t>
        </is>
      </c>
      <c r="F11" s="96" t="inlineStr">
        <is>
          <t>HASLS22260902464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HASLS22260902464</t>
        </is>
      </c>
      <c r="N11" s="96" t="inlineStr">
        <is>
          <t xml:space="preserve">20'x5 </t>
        </is>
      </c>
      <c r="O11" s="111" t="inlineStr">
        <is>
          <t>2025</t>
        </is>
      </c>
      <c r="P11" s="111" t="n"/>
      <c r="Q11" s="111" t="n"/>
      <c r="R11" s="96" t="inlineStr">
        <is>
          <t>PCCP</t>
        </is>
      </c>
      <c r="S11" s="96" t="inlineStr">
        <is>
          <t>2610N</t>
        </is>
      </c>
      <c r="T11" s="96" t="inlineStr">
        <is>
          <t>LCH05</t>
        </is>
      </c>
      <c r="U11" s="96" t="inlineStr">
        <is>
          <t>THLCH</t>
        </is>
      </c>
      <c r="V11" s="161" t="inlineStr">
        <is>
          <t>2026-10-14</t>
        </is>
      </c>
      <c r="W11" s="96" t="inlineStr">
        <is>
          <t>JPIYM</t>
        </is>
      </c>
      <c r="X11" s="161" t="inlineStr">
        <is>
          <t>2026-10-23</t>
        </is>
      </c>
      <c r="Y11" s="97" t="n"/>
      <c r="Z11" s="97" t="n"/>
      <c r="AA11" s="97" t="n"/>
      <c r="AB11" s="97" t="n"/>
      <c r="AC11" s="97" t="n"/>
      <c r="AD11" s="161" t="inlineStr">
        <is>
          <t>2026-10-08</t>
        </is>
      </c>
      <c r="AE11" s="174" t="inlineStr">
        <is>
          <t>0801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MARUBENI INNOVEXIS CORPORATION</t>
        </is>
      </c>
      <c r="AK11" s="130" t="n"/>
    </row>
    <row r="12" ht="12" customHeight="1">
      <c r="A12" s="108" t="inlineStr">
        <is>
          <t>HALU2536760</t>
        </is>
      </c>
      <c r="B12" s="108" t="inlineStr">
        <is>
          <t>LCH05</t>
        </is>
      </c>
      <c r="C12" s="108" t="inlineStr">
        <is>
          <t>IFV</t>
        </is>
      </c>
      <c r="D12" s="172" t="inlineStr">
        <is>
          <t>2026-10-10</t>
        </is>
      </c>
      <c r="E12" s="173" t="inlineStr">
        <is>
          <t>1553</t>
        </is>
      </c>
      <c r="F12" s="96" t="inlineStr">
        <is>
          <t>HASLS22260902026</t>
        </is>
      </c>
      <c r="G12" s="96" t="inlineStr">
        <is>
          <t>DOW CHEMICAL THAILAND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HASLS22260902026</t>
        </is>
      </c>
      <c r="N12" s="96" t="inlineStr">
        <is>
          <t xml:space="preserve">20'x1 </t>
        </is>
      </c>
      <c r="O12" s="111" t="inlineStr">
        <is>
          <t>2025</t>
        </is>
      </c>
      <c r="P12" s="111" t="n"/>
      <c r="Q12" s="111" t="n"/>
      <c r="R12" s="96" t="inlineStr">
        <is>
          <t>PCCP</t>
        </is>
      </c>
      <c r="S12" s="96" t="inlineStr">
        <is>
          <t>2610N</t>
        </is>
      </c>
      <c r="T12" s="96" t="inlineStr">
        <is>
          <t>LCH05</t>
        </is>
      </c>
      <c r="U12" s="96" t="inlineStr">
        <is>
          <t>THLCH</t>
        </is>
      </c>
      <c r="V12" s="161" t="inlineStr">
        <is>
          <t>2026-10-14</t>
        </is>
      </c>
      <c r="W12" s="96" t="inlineStr">
        <is>
          <t>JPNGO</t>
        </is>
      </c>
      <c r="X12" s="161" t="inlineStr">
        <is>
          <t>2026-10-23</t>
        </is>
      </c>
      <c r="Y12" s="97" t="n"/>
      <c r="Z12" s="97" t="n"/>
      <c r="AA12" s="97" t="n"/>
      <c r="AB12" s="97" t="n"/>
      <c r="AC12" s="97" t="n"/>
      <c r="AD12" s="161" t="inlineStr">
        <is>
          <t>2026-10-10</t>
        </is>
      </c>
      <c r="AE12" s="174" t="inlineStr">
        <is>
          <t>2001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DOW CHEMICAL JAPAN LIMITED</t>
        </is>
      </c>
      <c r="AK12" s="130" t="n"/>
    </row>
    <row r="13" ht="12" customHeight="1">
      <c r="A13" s="108" t="inlineStr">
        <is>
          <t>HALU2569867</t>
        </is>
      </c>
      <c r="B13" s="108" t="inlineStr">
        <is>
          <t>LCH05</t>
        </is>
      </c>
      <c r="C13" s="108" t="inlineStr">
        <is>
          <t>IFV</t>
        </is>
      </c>
      <c r="D13" s="172" t="inlineStr">
        <is>
          <t>2026-10-09</t>
        </is>
      </c>
      <c r="E13" s="173" t="inlineStr">
        <is>
          <t>2356</t>
        </is>
      </c>
      <c r="F13" s="96" t="inlineStr">
        <is>
          <t>HASLS22261000607</t>
        </is>
      </c>
      <c r="G13" s="96" t="inlineStr">
        <is>
          <t>WORLDNET EXPRESS CO., LTD.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HASLS22261000607</t>
        </is>
      </c>
      <c r="N13" s="96" t="inlineStr">
        <is>
          <t xml:space="preserve">20'x1 </t>
        </is>
      </c>
      <c r="O13" s="111" t="inlineStr">
        <is>
          <t>2025</t>
        </is>
      </c>
      <c r="P13" s="111" t="n"/>
      <c r="Q13" s="111" t="n"/>
      <c r="R13" s="96" t="inlineStr">
        <is>
          <t>PCCP</t>
        </is>
      </c>
      <c r="S13" s="96" t="inlineStr">
        <is>
          <t>2610N</t>
        </is>
      </c>
      <c r="T13" s="96" t="inlineStr">
        <is>
          <t>LCH05</t>
        </is>
      </c>
      <c r="U13" s="96" t="inlineStr">
        <is>
          <t>THLCH</t>
        </is>
      </c>
      <c r="V13" s="161" t="inlineStr">
        <is>
          <t>2026-10-14</t>
        </is>
      </c>
      <c r="W13" s="96" t="inlineStr">
        <is>
          <t>VNSGN</t>
        </is>
      </c>
      <c r="X13" s="161" t="inlineStr">
        <is>
          <t>2026-10-16</t>
        </is>
      </c>
      <c r="Y13" s="97" t="n"/>
      <c r="Z13" s="97" t="n"/>
      <c r="AA13" s="97" t="n"/>
      <c r="AB13" s="97" t="n"/>
      <c r="AC13" s="97" t="n"/>
      <c r="AD13" s="161" t="inlineStr">
        <is>
          <t>2026-10-10</t>
        </is>
      </c>
      <c r="AE13" s="174" t="inlineStr">
        <is>
          <t>0801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ASAP INTERNATIONAL CO., LTD.</t>
        </is>
      </c>
      <c r="AK13" s="130" t="n"/>
    </row>
    <row r="14" ht="12" customHeight="1">
      <c r="A14" s="108" t="inlineStr">
        <is>
          <t>HALU8504307</t>
        </is>
      </c>
      <c r="B14" s="108" t="inlineStr">
        <is>
          <t>LCH05</t>
        </is>
      </c>
      <c r="C14" s="108" t="inlineStr">
        <is>
          <t>IFV</t>
        </is>
      </c>
      <c r="D14" s="172" t="inlineStr">
        <is>
          <t>2026-10-09</t>
        </is>
      </c>
      <c r="E14" s="173" t="inlineStr">
        <is>
          <t>2026</t>
        </is>
      </c>
      <c r="F14" s="96" t="inlineStr">
        <is>
          <t>HASLS22260900095</t>
        </is>
      </c>
      <c r="G14" s="96" t="inlineStr">
        <is>
          <t>LOGMAN INTERNATIONAL CO., LTD.</t>
        </is>
      </c>
      <c r="H14" s="111" t="inlineStr">
        <is>
          <t>45RE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HASLS22260900095</t>
        </is>
      </c>
      <c r="N14" s="96" t="inlineStr">
        <is>
          <t xml:space="preserve">R40Hx1 </t>
        </is>
      </c>
      <c r="O14" s="111" t="inlineStr">
        <is>
          <t>2025</t>
        </is>
      </c>
      <c r="P14" s="111" t="inlineStr">
        <is>
          <t>CARRIER</t>
        </is>
      </c>
      <c r="Q14" s="111" t="inlineStr">
        <is>
          <t>69NT40-571-112</t>
        </is>
      </c>
      <c r="R14" s="96" t="inlineStr">
        <is>
          <t>PCCP</t>
        </is>
      </c>
      <c r="S14" s="96" t="inlineStr">
        <is>
          <t>2610N</t>
        </is>
      </c>
      <c r="T14" s="96" t="inlineStr">
        <is>
          <t>LCH05</t>
        </is>
      </c>
      <c r="U14" s="96" t="inlineStr">
        <is>
          <t>THLCH</t>
        </is>
      </c>
      <c r="V14" s="161" t="inlineStr">
        <is>
          <t>2026-10-14</t>
        </is>
      </c>
      <c r="W14" s="96" t="inlineStr">
        <is>
          <t>JPTMK</t>
        </is>
      </c>
      <c r="X14" s="161" t="inlineStr">
        <is>
          <t>2026-10-23</t>
        </is>
      </c>
      <c r="Y14" s="97" t="n"/>
      <c r="Z14" s="97" t="n"/>
      <c r="AA14" s="97" t="n"/>
      <c r="AB14" s="97" t="n"/>
      <c r="AC14" s="97" t="n"/>
      <c r="AD14" s="161" t="inlineStr">
        <is>
          <t>2026-10-10</t>
        </is>
      </c>
      <c r="AE14" s="174" t="inlineStr">
        <is>
          <t>0201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JAPAN FOOD CORPORATION</t>
        </is>
      </c>
      <c r="AK14" s="130" t="n"/>
    </row>
    <row r="15" ht="12" customHeight="1">
      <c r="A15" s="108" t="inlineStr">
        <is>
          <t>HLHU6424168</t>
        </is>
      </c>
      <c r="B15" s="108" t="inlineStr">
        <is>
          <t>LCH05</t>
        </is>
      </c>
      <c r="C15" s="108" t="inlineStr">
        <is>
          <t>IFV</t>
        </is>
      </c>
      <c r="D15" s="172" t="inlineStr">
        <is>
          <t>2026-10-10</t>
        </is>
      </c>
      <c r="E15" s="173" t="inlineStr">
        <is>
          <t>0414</t>
        </is>
      </c>
      <c r="F15" s="96" t="inlineStr">
        <is>
          <t>HASLS22260902333</t>
        </is>
      </c>
      <c r="G15" s="96" t="inlineStr">
        <is>
          <t>MILLENNIUM AIR-SEA SERVICE CO., LTD.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HASLS22260902333</t>
        </is>
      </c>
      <c r="N15" s="96" t="inlineStr">
        <is>
          <t xml:space="preserve">40Hx1 20'x1 </t>
        </is>
      </c>
      <c r="O15" s="111" t="inlineStr">
        <is>
          <t>2024</t>
        </is>
      </c>
      <c r="P15" s="111" t="n"/>
      <c r="Q15" s="111" t="n"/>
      <c r="R15" s="96" t="inlineStr">
        <is>
          <t>PCCP</t>
        </is>
      </c>
      <c r="S15" s="96" t="inlineStr">
        <is>
          <t>2610N</t>
        </is>
      </c>
      <c r="T15" s="96" t="inlineStr">
        <is>
          <t>LCH05</t>
        </is>
      </c>
      <c r="U15" s="96" t="inlineStr">
        <is>
          <t>THLCH</t>
        </is>
      </c>
      <c r="V15" s="161" t="inlineStr">
        <is>
          <t>2026-10-14</t>
        </is>
      </c>
      <c r="W15" s="96" t="inlineStr">
        <is>
          <t>VNSGN</t>
        </is>
      </c>
      <c r="X15" s="161" t="inlineStr">
        <is>
          <t>2026-10-16</t>
        </is>
      </c>
      <c r="Y15" s="97" t="n"/>
      <c r="Z15" s="97" t="n"/>
      <c r="AA15" s="97" t="n"/>
      <c r="AB15" s="97" t="n"/>
      <c r="AC15" s="97" t="n"/>
      <c r="AD15" s="161" t="inlineStr">
        <is>
          <t>2026-10-10</t>
        </is>
      </c>
      <c r="AE15" s="174" t="inlineStr">
        <is>
          <t>0801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TIMES CARGO LOGISTIC CO., LTD</t>
        </is>
      </c>
      <c r="AK15" s="130" t="n"/>
    </row>
    <row r="16" ht="12" customHeight="1">
      <c r="A16" s="108" t="inlineStr">
        <is>
          <t>HLHU8112575</t>
        </is>
      </c>
      <c r="B16" s="108" t="inlineStr">
        <is>
          <t>LCH05</t>
        </is>
      </c>
      <c r="C16" s="108" t="inlineStr">
        <is>
          <t>IFV</t>
        </is>
      </c>
      <c r="D16" s="172" t="inlineStr">
        <is>
          <t>2026-10-09</t>
        </is>
      </c>
      <c r="E16" s="173" t="inlineStr">
        <is>
          <t>0231</t>
        </is>
      </c>
      <c r="F16" s="96" t="inlineStr">
        <is>
          <t>HASLS22260902835</t>
        </is>
      </c>
      <c r="G16" s="96" t="inlineStr">
        <is>
          <t>KORCHINA FREIGHT (THAILAND)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HASLS22260902835</t>
        </is>
      </c>
      <c r="N16" s="96" t="inlineStr">
        <is>
          <t xml:space="preserve">40Hx1 </t>
        </is>
      </c>
      <c r="O16" s="111" t="inlineStr">
        <is>
          <t>2021</t>
        </is>
      </c>
      <c r="P16" s="111" t="n"/>
      <c r="Q16" s="111" t="n"/>
      <c r="R16" s="96" t="inlineStr">
        <is>
          <t>PCCP</t>
        </is>
      </c>
      <c r="S16" s="96" t="inlineStr">
        <is>
          <t>2610N</t>
        </is>
      </c>
      <c r="T16" s="96" t="inlineStr">
        <is>
          <t>LCH05</t>
        </is>
      </c>
      <c r="U16" s="96" t="inlineStr">
        <is>
          <t>THLCH</t>
        </is>
      </c>
      <c r="V16" s="161" t="inlineStr">
        <is>
          <t>2026-10-14</t>
        </is>
      </c>
      <c r="W16" s="96" t="inlineStr">
        <is>
          <t>VNSGN</t>
        </is>
      </c>
      <c r="X16" s="161" t="inlineStr">
        <is>
          <t>2026-10-16</t>
        </is>
      </c>
      <c r="Y16" s="97" t="n"/>
      <c r="Z16" s="97" t="n"/>
      <c r="AA16" s="97" t="n"/>
      <c r="AB16" s="97" t="n"/>
      <c r="AC16" s="97" t="n"/>
      <c r="AD16" s="161" t="inlineStr">
        <is>
          <t>2026-10-09</t>
        </is>
      </c>
      <c r="AE16" s="174" t="inlineStr">
        <is>
          <t>0801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HS HYOSUNG GLOBAL LOGISTICS VINA</t>
        </is>
      </c>
      <c r="AK16" s="130" t="n"/>
    </row>
    <row r="17" ht="12" customHeight="1">
      <c r="A17" s="108" t="inlineStr">
        <is>
          <t>HLHU8205256</t>
        </is>
      </c>
      <c r="B17" s="108" t="inlineStr">
        <is>
          <t>LCH05</t>
        </is>
      </c>
      <c r="C17" s="108" t="inlineStr">
        <is>
          <t>IFV</t>
        </is>
      </c>
      <c r="D17" s="172" t="inlineStr">
        <is>
          <t>2026-10-09</t>
        </is>
      </c>
      <c r="E17" s="173" t="inlineStr">
        <is>
          <t>0920</t>
        </is>
      </c>
      <c r="F17" s="96" t="inlineStr">
        <is>
          <t>HASLS22260900460</t>
        </is>
      </c>
      <c r="G17" s="96" t="inlineStr">
        <is>
          <t>WHA GC LOGISTICS COMPANY LIMITED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HASLS22260900460</t>
        </is>
      </c>
      <c r="N17" s="96" t="inlineStr">
        <is>
          <t xml:space="preserve">40Hx5 </t>
        </is>
      </c>
      <c r="O17" s="111" t="inlineStr">
        <is>
          <t>2022</t>
        </is>
      </c>
      <c r="P17" s="111" t="n"/>
      <c r="Q17" s="111" t="n"/>
      <c r="R17" s="96" t="inlineStr">
        <is>
          <t>PCCP</t>
        </is>
      </c>
      <c r="S17" s="96" t="inlineStr">
        <is>
          <t>2610N</t>
        </is>
      </c>
      <c r="T17" s="96" t="inlineStr">
        <is>
          <t>LCH05</t>
        </is>
      </c>
      <c r="U17" s="96" t="inlineStr">
        <is>
          <t>THLCH</t>
        </is>
      </c>
      <c r="V17" s="161" t="inlineStr">
        <is>
          <t>2026-10-14</t>
        </is>
      </c>
      <c r="W17" s="96" t="inlineStr">
        <is>
          <t>VNSGN</t>
        </is>
      </c>
      <c r="X17" s="161" t="inlineStr">
        <is>
          <t>2026-10-16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1401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SRITHAI (VIETNAM) CO., LTD</t>
        </is>
      </c>
      <c r="AK17" s="130" t="n"/>
    </row>
    <row r="18" ht="12" customHeight="1">
      <c r="A18" s="108" t="inlineStr">
        <is>
          <t>HLHU8348642</t>
        </is>
      </c>
      <c r="B18" s="108" t="inlineStr">
        <is>
          <t>LCH05</t>
        </is>
      </c>
      <c r="C18" s="108" t="inlineStr">
        <is>
          <t>IFV</t>
        </is>
      </c>
      <c r="D18" s="172" t="inlineStr">
        <is>
          <t>2026-10-09</t>
        </is>
      </c>
      <c r="E18" s="173" t="inlineStr">
        <is>
          <t>0247</t>
        </is>
      </c>
      <c r="F18" s="96" t="inlineStr">
        <is>
          <t>HASLS22260900820</t>
        </is>
      </c>
      <c r="G18" s="96" t="inlineStr">
        <is>
          <t>LOGMAN INTERNATIONAL CO., 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HASLS22260900820</t>
        </is>
      </c>
      <c r="N18" s="96" t="inlineStr">
        <is>
          <t xml:space="preserve">40Hx1 </t>
        </is>
      </c>
      <c r="O18" s="111" t="inlineStr">
        <is>
          <t>2023</t>
        </is>
      </c>
      <c r="P18" s="111" t="n"/>
      <c r="Q18" s="111" t="n"/>
      <c r="R18" s="96" t="inlineStr">
        <is>
          <t>PCCP</t>
        </is>
      </c>
      <c r="S18" s="96" t="inlineStr">
        <is>
          <t>2610N</t>
        </is>
      </c>
      <c r="T18" s="96" t="inlineStr">
        <is>
          <t>LCH05</t>
        </is>
      </c>
      <c r="U18" s="96" t="inlineStr">
        <is>
          <t>THLCH</t>
        </is>
      </c>
      <c r="V18" s="161" t="inlineStr">
        <is>
          <t>2026-10-14</t>
        </is>
      </c>
      <c r="W18" s="96" t="inlineStr">
        <is>
          <t>VNSGN</t>
        </is>
      </c>
      <c r="X18" s="161" t="inlineStr">
        <is>
          <t>2026-10-16</t>
        </is>
      </c>
      <c r="Y18" s="97" t="n"/>
      <c r="Z18" s="97" t="n"/>
      <c r="AA18" s="97" t="n"/>
      <c r="AB18" s="97" t="n"/>
      <c r="AC18" s="97" t="n"/>
      <c r="AD18" s="161" t="inlineStr">
        <is>
          <t>2026-10-09</t>
        </is>
      </c>
      <c r="AE18" s="174" t="inlineStr">
        <is>
          <t>0801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CARGOES LINKS TRANSPORTATION CO LTD</t>
        </is>
      </c>
      <c r="AK18" s="130" t="n"/>
    </row>
    <row r="19" ht="12" customHeight="1">
      <c r="A19" s="108" t="inlineStr">
        <is>
          <t>HLHU8412654</t>
        </is>
      </c>
      <c r="B19" s="108" t="inlineStr">
        <is>
          <t>LCH05</t>
        </is>
      </c>
      <c r="C19" s="108" t="inlineStr">
        <is>
          <t>IFV</t>
        </is>
      </c>
      <c r="D19" s="172" t="inlineStr">
        <is>
          <t>2026-10-09</t>
        </is>
      </c>
      <c r="E19" s="173" t="inlineStr">
        <is>
          <t>0252</t>
        </is>
      </c>
      <c r="F19" s="96" t="inlineStr">
        <is>
          <t>HASLS22260902255</t>
        </is>
      </c>
      <c r="G19" s="96" t="inlineStr">
        <is>
          <t>ACCORD PILOT LOGISTICS (THAILAND) CO., 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HASLS22260902255</t>
        </is>
      </c>
      <c r="N19" s="96" t="inlineStr">
        <is>
          <t xml:space="preserve">40Hx5 </t>
        </is>
      </c>
      <c r="O19" s="111" t="inlineStr">
        <is>
          <t>2024</t>
        </is>
      </c>
      <c r="P19" s="111" t="n"/>
      <c r="Q19" s="111" t="n"/>
      <c r="R19" s="96" t="inlineStr">
        <is>
          <t>PCCP</t>
        </is>
      </c>
      <c r="S19" s="96" t="inlineStr">
        <is>
          <t>2610N</t>
        </is>
      </c>
      <c r="T19" s="96" t="inlineStr">
        <is>
          <t>LCH05</t>
        </is>
      </c>
      <c r="U19" s="96" t="inlineStr">
        <is>
          <t>THLCH</t>
        </is>
      </c>
      <c r="V19" s="161" t="inlineStr">
        <is>
          <t>2026-10-14</t>
        </is>
      </c>
      <c r="W19" s="96" t="inlineStr">
        <is>
          <t>VNSGN</t>
        </is>
      </c>
      <c r="X19" s="161" t="inlineStr">
        <is>
          <t>2026-10-16</t>
        </is>
      </c>
      <c r="Y19" s="97" t="n"/>
      <c r="Z19" s="97" t="n"/>
      <c r="AA19" s="97" t="n"/>
      <c r="AB19" s="97" t="n"/>
      <c r="AC19" s="97" t="n"/>
      <c r="AD19" s="161" t="inlineStr">
        <is>
          <t>2026-10-09</t>
        </is>
      </c>
      <c r="AE19" s="174" t="inlineStr">
        <is>
          <t>0801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TO ORDER OF VIETNAM JOINT STOCK</t>
        </is>
      </c>
      <c r="AK19" s="130" t="n"/>
    </row>
    <row r="20" ht="12" customHeight="1">
      <c r="A20" s="108" t="inlineStr">
        <is>
          <t>HLHU8453632</t>
        </is>
      </c>
      <c r="B20" s="108" t="inlineStr">
        <is>
          <t>LCH05</t>
        </is>
      </c>
      <c r="C20" s="108" t="inlineStr">
        <is>
          <t>IFV</t>
        </is>
      </c>
      <c r="D20" s="172" t="inlineStr">
        <is>
          <t>2026-10-09</t>
        </is>
      </c>
      <c r="E20" s="173" t="inlineStr">
        <is>
          <t>0247</t>
        </is>
      </c>
      <c r="F20" s="96" t="inlineStr">
        <is>
          <t>HASLS22260902255</t>
        </is>
      </c>
      <c r="G20" s="96" t="inlineStr">
        <is>
          <t>ACCORD PILOT LOGISTICS (THAILAND) CO., 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HASLS22260902255</t>
        </is>
      </c>
      <c r="N20" s="96" t="inlineStr">
        <is>
          <t xml:space="preserve">40Hx5 </t>
        </is>
      </c>
      <c r="O20" s="111" t="inlineStr">
        <is>
          <t>2024</t>
        </is>
      </c>
      <c r="P20" s="111" t="n"/>
      <c r="Q20" s="111" t="n"/>
      <c r="R20" s="96" t="inlineStr">
        <is>
          <t>PCCP</t>
        </is>
      </c>
      <c r="S20" s="96" t="inlineStr">
        <is>
          <t>2610N</t>
        </is>
      </c>
      <c r="T20" s="96" t="inlineStr">
        <is>
          <t>LCH05</t>
        </is>
      </c>
      <c r="U20" s="96" t="inlineStr">
        <is>
          <t>THLCH</t>
        </is>
      </c>
      <c r="V20" s="161" t="inlineStr">
        <is>
          <t>2026-10-14</t>
        </is>
      </c>
      <c r="W20" s="96" t="inlineStr">
        <is>
          <t>VNSGN</t>
        </is>
      </c>
      <c r="X20" s="161" t="inlineStr">
        <is>
          <t>2026-10-16</t>
        </is>
      </c>
      <c r="Y20" s="97" t="n"/>
      <c r="Z20" s="97" t="n"/>
      <c r="AA20" s="97" t="n"/>
      <c r="AB20" s="97" t="n"/>
      <c r="AC20" s="97" t="n"/>
      <c r="AD20" s="161" t="inlineStr">
        <is>
          <t>2026-10-09</t>
        </is>
      </c>
      <c r="AE20" s="174" t="inlineStr">
        <is>
          <t>0801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ORDER OF VIETNAM JOINT STOCK</t>
        </is>
      </c>
      <c r="AK20" s="130" t="n"/>
    </row>
    <row r="21" ht="12" customHeight="1">
      <c r="A21" s="108" t="inlineStr">
        <is>
          <t>SKHU6362905</t>
        </is>
      </c>
      <c r="B21" s="108" t="inlineStr">
        <is>
          <t>LCH05</t>
        </is>
      </c>
      <c r="C21" s="108" t="inlineStr">
        <is>
          <t>IFV</t>
        </is>
      </c>
      <c r="D21" s="172" t="inlineStr">
        <is>
          <t>2026-10-09</t>
        </is>
      </c>
      <c r="E21" s="173" t="inlineStr">
        <is>
          <t>0953</t>
        </is>
      </c>
      <c r="F21" s="96" t="inlineStr">
        <is>
          <t>HASLS22260900460</t>
        </is>
      </c>
      <c r="G21" s="96" t="inlineStr">
        <is>
          <t>WHA GC LOGISTICS COMPANY LIMITED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HASLS22260900460</t>
        </is>
      </c>
      <c r="N21" s="96" t="inlineStr">
        <is>
          <t xml:space="preserve">40Hx5 </t>
        </is>
      </c>
      <c r="O21" s="111" t="inlineStr">
        <is>
          <t>2023</t>
        </is>
      </c>
      <c r="P21" s="111" t="n"/>
      <c r="Q21" s="111" t="n"/>
      <c r="R21" s="96" t="inlineStr">
        <is>
          <t>PCCP</t>
        </is>
      </c>
      <c r="S21" s="96" t="inlineStr">
        <is>
          <t>2610N</t>
        </is>
      </c>
      <c r="T21" s="96" t="inlineStr">
        <is>
          <t>LCH05</t>
        </is>
      </c>
      <c r="U21" s="96" t="inlineStr">
        <is>
          <t>THLCH</t>
        </is>
      </c>
      <c r="V21" s="161" t="inlineStr">
        <is>
          <t>2026-10-14</t>
        </is>
      </c>
      <c r="W21" s="96" t="inlineStr">
        <is>
          <t>VNSGN</t>
        </is>
      </c>
      <c r="X21" s="161" t="inlineStr">
        <is>
          <t>2026-10-16</t>
        </is>
      </c>
      <c r="Y21" s="97" t="n"/>
      <c r="Z21" s="97" t="n"/>
      <c r="AA21" s="97" t="n"/>
      <c r="AB21" s="97" t="n"/>
      <c r="AC21" s="97" t="n"/>
      <c r="AD21" s="161" t="inlineStr">
        <is>
          <t>2026-10-09</t>
        </is>
      </c>
      <c r="AE21" s="174" t="inlineStr">
        <is>
          <t>1401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SRITHAI (VIETNAM) CO., LTD</t>
        </is>
      </c>
      <c r="AK21" s="130" t="n"/>
    </row>
    <row r="22" ht="12" customHeight="1">
      <c r="A22" s="108" t="inlineStr">
        <is>
          <t>SKHU6395730</t>
        </is>
      </c>
      <c r="B22" s="108" t="inlineStr">
        <is>
          <t>LCH05</t>
        </is>
      </c>
      <c r="C22" s="108" t="inlineStr">
        <is>
          <t>IFV</t>
        </is>
      </c>
      <c r="D22" s="172" t="inlineStr">
        <is>
          <t>2026-10-10</t>
        </is>
      </c>
      <c r="E22" s="173" t="inlineStr">
        <is>
          <t>1843</t>
        </is>
      </c>
      <c r="F22" s="96" t="inlineStr">
        <is>
          <t>HASLS22260901767</t>
        </is>
      </c>
      <c r="G22" s="96" t="inlineStr">
        <is>
          <t>MERCURIAL LOGISTICS  CO.,LTD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HASLS22260901767</t>
        </is>
      </c>
      <c r="N22" s="96" t="inlineStr">
        <is>
          <t xml:space="preserve">40Hx1 </t>
        </is>
      </c>
      <c r="O22" s="111" t="inlineStr">
        <is>
          <t>2023</t>
        </is>
      </c>
      <c r="P22" s="111" t="n"/>
      <c r="Q22" s="111" t="n"/>
      <c r="R22" s="96" t="inlineStr">
        <is>
          <t>PCCP</t>
        </is>
      </c>
      <c r="S22" s="96" t="inlineStr">
        <is>
          <t>2610N</t>
        </is>
      </c>
      <c r="T22" s="96" t="inlineStr">
        <is>
          <t>LCH05</t>
        </is>
      </c>
      <c r="U22" s="96" t="inlineStr">
        <is>
          <t>THLCH</t>
        </is>
      </c>
      <c r="V22" s="161" t="inlineStr">
        <is>
          <t>2026-10-14</t>
        </is>
      </c>
      <c r="W22" s="96" t="inlineStr">
        <is>
          <t>VNSGN</t>
        </is>
      </c>
      <c r="X22" s="161" t="inlineStr">
        <is>
          <t>2026-10-16</t>
        </is>
      </c>
      <c r="Y22" s="97" t="n"/>
      <c r="Z22" s="97" t="n"/>
      <c r="AA22" s="97" t="n"/>
      <c r="AB22" s="97" t="n"/>
      <c r="AC22" s="97" t="n"/>
      <c r="AD22" s="161" t="inlineStr">
        <is>
          <t>2026-10-11</t>
        </is>
      </c>
      <c r="AE22" s="174" t="inlineStr">
        <is>
          <t>0201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LOGIWORLD VIETNAM CO LTD</t>
        </is>
      </c>
      <c r="AK22" s="130" t="n"/>
    </row>
    <row r="23" ht="12" customHeight="1">
      <c r="A23" s="108" t="inlineStr">
        <is>
          <t>SKHU6422650</t>
        </is>
      </c>
      <c r="B23" s="108" t="inlineStr">
        <is>
          <t>LCH05</t>
        </is>
      </c>
      <c r="C23" s="108" t="inlineStr">
        <is>
          <t>IFV</t>
        </is>
      </c>
      <c r="D23" s="172" t="inlineStr">
        <is>
          <t>2026-10-09</t>
        </is>
      </c>
      <c r="E23" s="173" t="inlineStr">
        <is>
          <t>0319</t>
        </is>
      </c>
      <c r="F23" s="96" t="inlineStr">
        <is>
          <t>HASLS22260900212</t>
        </is>
      </c>
      <c r="G23" s="96" t="inlineStr">
        <is>
          <t>CMS LOGISTICS GROUP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HASLS22260900212</t>
        </is>
      </c>
      <c r="N23" s="96" t="inlineStr">
        <is>
          <t xml:space="preserve">40Hx1 </t>
        </is>
      </c>
      <c r="O23" s="111" t="inlineStr">
        <is>
          <t>2024</t>
        </is>
      </c>
      <c r="P23" s="111" t="n"/>
      <c r="Q23" s="111" t="n"/>
      <c r="R23" s="96" t="inlineStr">
        <is>
          <t>PCCP</t>
        </is>
      </c>
      <c r="S23" s="96" t="inlineStr">
        <is>
          <t>2610N</t>
        </is>
      </c>
      <c r="T23" s="96" t="inlineStr">
        <is>
          <t>LCH05</t>
        </is>
      </c>
      <c r="U23" s="96" t="inlineStr">
        <is>
          <t>THLCH</t>
        </is>
      </c>
      <c r="V23" s="161" t="inlineStr">
        <is>
          <t>2026-10-14</t>
        </is>
      </c>
      <c r="W23" s="96" t="inlineStr">
        <is>
          <t>VNSGN</t>
        </is>
      </c>
      <c r="X23" s="161" t="inlineStr">
        <is>
          <t>2026-10-16</t>
        </is>
      </c>
      <c r="Y23" s="97" t="n"/>
      <c r="Z23" s="97" t="n"/>
      <c r="AA23" s="97" t="n"/>
      <c r="AB23" s="97" t="n"/>
      <c r="AC23" s="97" t="n"/>
      <c r="AD23" s="161" t="inlineStr">
        <is>
          <t>2026-10-09</t>
        </is>
      </c>
      <c r="AE23" s="174" t="inlineStr">
        <is>
          <t>0801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THAI INTERTAPE VIETNAM CO.,LTD.</t>
        </is>
      </c>
      <c r="AK23" s="130" t="n"/>
    </row>
    <row r="24" ht="12" customHeight="1">
      <c r="A24" s="108" t="inlineStr">
        <is>
          <t>SKHU6469745</t>
        </is>
      </c>
      <c r="B24" s="108" t="inlineStr">
        <is>
          <t>LCH05</t>
        </is>
      </c>
      <c r="C24" s="108" t="inlineStr">
        <is>
          <t>IFV</t>
        </is>
      </c>
      <c r="D24" s="172" t="inlineStr">
        <is>
          <t>2026-10-08</t>
        </is>
      </c>
      <c r="E24" s="173" t="inlineStr">
        <is>
          <t>2328</t>
        </is>
      </c>
      <c r="F24" s="96" t="inlineStr">
        <is>
          <t>HASLS22260902255</t>
        </is>
      </c>
      <c r="G24" s="96" t="inlineStr">
        <is>
          <t>ACCORD PILOT LOGISTICS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HASLS22260902255</t>
        </is>
      </c>
      <c r="N24" s="96" t="inlineStr">
        <is>
          <t xml:space="preserve">40Hx5 </t>
        </is>
      </c>
      <c r="O24" s="111" t="inlineStr">
        <is>
          <t>2024</t>
        </is>
      </c>
      <c r="P24" s="111" t="n"/>
      <c r="Q24" s="111" t="n"/>
      <c r="R24" s="96" t="inlineStr">
        <is>
          <t>PCCP</t>
        </is>
      </c>
      <c r="S24" s="96" t="inlineStr">
        <is>
          <t>2610N</t>
        </is>
      </c>
      <c r="T24" s="96" t="inlineStr">
        <is>
          <t>LCH05</t>
        </is>
      </c>
      <c r="U24" s="96" t="inlineStr">
        <is>
          <t>THLCH</t>
        </is>
      </c>
      <c r="V24" s="161" t="inlineStr">
        <is>
          <t>2026-10-14</t>
        </is>
      </c>
      <c r="W24" s="96" t="inlineStr">
        <is>
          <t>VNSGN</t>
        </is>
      </c>
      <c r="X24" s="161" t="inlineStr">
        <is>
          <t>2026-10-16</t>
        </is>
      </c>
      <c r="Y24" s="97" t="n"/>
      <c r="Z24" s="97" t="n"/>
      <c r="AA24" s="97" t="n"/>
      <c r="AB24" s="97" t="n"/>
      <c r="AC24" s="97" t="n"/>
      <c r="AD24" s="161" t="inlineStr">
        <is>
          <t>2026-10-09</t>
        </is>
      </c>
      <c r="AE24" s="174" t="inlineStr">
        <is>
          <t>0201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TO ORDER OF VIETNAM JOINT STOCK</t>
        </is>
      </c>
      <c r="AK24" s="130" t="n"/>
    </row>
    <row r="25" ht="12" customHeight="1">
      <c r="A25" s="108" t="inlineStr">
        <is>
          <t>SKHU6520030</t>
        </is>
      </c>
      <c r="B25" s="108" t="inlineStr">
        <is>
          <t>LCH05</t>
        </is>
      </c>
      <c r="C25" s="108" t="inlineStr">
        <is>
          <t>IFV</t>
        </is>
      </c>
      <c r="D25" s="172" t="inlineStr">
        <is>
          <t>2026-10-09</t>
        </is>
      </c>
      <c r="E25" s="173" t="inlineStr">
        <is>
          <t>0959</t>
        </is>
      </c>
      <c r="F25" s="96" t="inlineStr">
        <is>
          <t>HASLS22260900460</t>
        </is>
      </c>
      <c r="G25" s="96" t="inlineStr">
        <is>
          <t>WHA GC LOGISTICS COMPANY LIMITED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HASLS22260900460</t>
        </is>
      </c>
      <c r="N25" s="96" t="inlineStr">
        <is>
          <t xml:space="preserve">40Hx5 </t>
        </is>
      </c>
      <c r="O25" s="111" t="inlineStr">
        <is>
          <t>2025</t>
        </is>
      </c>
      <c r="P25" s="111" t="n"/>
      <c r="Q25" s="111" t="n"/>
      <c r="R25" s="96" t="inlineStr">
        <is>
          <t>PCCP</t>
        </is>
      </c>
      <c r="S25" s="96" t="inlineStr">
        <is>
          <t>2610N</t>
        </is>
      </c>
      <c r="T25" s="96" t="inlineStr">
        <is>
          <t>LCH05</t>
        </is>
      </c>
      <c r="U25" s="96" t="inlineStr">
        <is>
          <t>THLCH</t>
        </is>
      </c>
      <c r="V25" s="161" t="inlineStr">
        <is>
          <t>2026-10-14</t>
        </is>
      </c>
      <c r="W25" s="96" t="inlineStr">
        <is>
          <t>VNSGN</t>
        </is>
      </c>
      <c r="X25" s="161" t="inlineStr">
        <is>
          <t>2026-10-16</t>
        </is>
      </c>
      <c r="Y25" s="97" t="n"/>
      <c r="Z25" s="97" t="n"/>
      <c r="AA25" s="97" t="n"/>
      <c r="AB25" s="97" t="n"/>
      <c r="AC25" s="97" t="n"/>
      <c r="AD25" s="161" t="inlineStr">
        <is>
          <t>2026-10-09</t>
        </is>
      </c>
      <c r="AE25" s="174" t="inlineStr">
        <is>
          <t>1401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SRITHAI (VIETNAM) CO., LTD</t>
        </is>
      </c>
      <c r="AK25" s="130" t="n"/>
    </row>
    <row r="26" ht="12" customHeight="1">
      <c r="A26" s="108" t="inlineStr">
        <is>
          <t>SKHU8421967</t>
        </is>
      </c>
      <c r="B26" s="108" t="inlineStr">
        <is>
          <t>LCH05</t>
        </is>
      </c>
      <c r="C26" s="108" t="inlineStr">
        <is>
          <t>IFV</t>
        </is>
      </c>
      <c r="D26" s="172" t="inlineStr">
        <is>
          <t>2026-10-09</t>
        </is>
      </c>
      <c r="E26" s="173" t="inlineStr">
        <is>
          <t>1011</t>
        </is>
      </c>
      <c r="F26" s="96" t="inlineStr">
        <is>
          <t>HASLS22260900460</t>
        </is>
      </c>
      <c r="G26" s="96" t="inlineStr">
        <is>
          <t>WHA GC LOGISTICS COMPANY LIMITED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HASLS22260900460</t>
        </is>
      </c>
      <c r="N26" s="96" t="inlineStr">
        <is>
          <t xml:space="preserve">40Hx5 </t>
        </is>
      </c>
      <c r="O26" s="111" t="inlineStr">
        <is>
          <t>2024</t>
        </is>
      </c>
      <c r="P26" s="111" t="n"/>
      <c r="Q26" s="111" t="n"/>
      <c r="R26" s="96" t="inlineStr">
        <is>
          <t>PCCP</t>
        </is>
      </c>
      <c r="S26" s="96" t="inlineStr">
        <is>
          <t>2610N</t>
        </is>
      </c>
      <c r="T26" s="96" t="inlineStr">
        <is>
          <t>LCH05</t>
        </is>
      </c>
      <c r="U26" s="96" t="inlineStr">
        <is>
          <t>THLCH</t>
        </is>
      </c>
      <c r="V26" s="161" t="inlineStr">
        <is>
          <t>2026-10-14</t>
        </is>
      </c>
      <c r="W26" s="96" t="inlineStr">
        <is>
          <t>VNSGN</t>
        </is>
      </c>
      <c r="X26" s="161" t="inlineStr">
        <is>
          <t>2026-10-16</t>
        </is>
      </c>
      <c r="Y26" s="97" t="n"/>
      <c r="Z26" s="97" t="n"/>
      <c r="AA26" s="97" t="n"/>
      <c r="AB26" s="97" t="n"/>
      <c r="AC26" s="97" t="n"/>
      <c r="AD26" s="161" t="inlineStr">
        <is>
          <t>2026-10-09</t>
        </is>
      </c>
      <c r="AE26" s="174" t="inlineStr">
        <is>
          <t>1401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SRITHAI (VIETNAM) CO., LTD</t>
        </is>
      </c>
      <c r="AK26" s="130" t="n"/>
    </row>
    <row r="27" ht="12" customHeight="1">
      <c r="A27" s="108" t="inlineStr">
        <is>
          <t>SKHU8433551</t>
        </is>
      </c>
      <c r="B27" s="108" t="inlineStr">
        <is>
          <t>LCH05</t>
        </is>
      </c>
      <c r="C27" s="108" t="inlineStr">
        <is>
          <t>IFV</t>
        </is>
      </c>
      <c r="D27" s="172" t="inlineStr">
        <is>
          <t>2026-10-08</t>
        </is>
      </c>
      <c r="E27" s="173" t="inlineStr">
        <is>
          <t>2201</t>
        </is>
      </c>
      <c r="F27" s="96" t="inlineStr">
        <is>
          <t>HASLS22261000198</t>
        </is>
      </c>
      <c r="G27" s="96" t="inlineStr">
        <is>
          <t>CAPRICORN LOGISTICS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HASLS22261000198</t>
        </is>
      </c>
      <c r="N27" s="96" t="inlineStr">
        <is>
          <t xml:space="preserve">40Hx1 </t>
        </is>
      </c>
      <c r="O27" s="111" t="inlineStr">
        <is>
          <t>2024</t>
        </is>
      </c>
      <c r="P27" s="111" t="n"/>
      <c r="Q27" s="111" t="n"/>
      <c r="R27" s="96" t="inlineStr">
        <is>
          <t>PCCP</t>
        </is>
      </c>
      <c r="S27" s="96" t="inlineStr">
        <is>
          <t>2610N</t>
        </is>
      </c>
      <c r="T27" s="96" t="inlineStr">
        <is>
          <t>LCH05</t>
        </is>
      </c>
      <c r="U27" s="96" t="inlineStr">
        <is>
          <t>THLCH</t>
        </is>
      </c>
      <c r="V27" s="161" t="inlineStr">
        <is>
          <t>2026-10-14</t>
        </is>
      </c>
      <c r="W27" s="96" t="inlineStr">
        <is>
          <t>VNSGN</t>
        </is>
      </c>
      <c r="X27" s="161" t="inlineStr">
        <is>
          <t>2026-10-16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0201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BLUE OCEAN INTERNATIONAL SHIPPING</t>
        </is>
      </c>
      <c r="AK27" s="130" t="n"/>
    </row>
    <row r="28" ht="12" customHeight="1">
      <c r="A28" s="108" t="inlineStr">
        <is>
          <t>SKHU8925762</t>
        </is>
      </c>
      <c r="B28" s="108" t="inlineStr">
        <is>
          <t>LCH05</t>
        </is>
      </c>
      <c r="C28" s="108" t="inlineStr">
        <is>
          <t>IFV</t>
        </is>
      </c>
      <c r="D28" s="172" t="inlineStr">
        <is>
          <t>2026-10-08</t>
        </is>
      </c>
      <c r="E28" s="173" t="inlineStr">
        <is>
          <t>2343</t>
        </is>
      </c>
      <c r="F28" s="96" t="inlineStr">
        <is>
          <t>HASLS22260900460</t>
        </is>
      </c>
      <c r="G28" s="96" t="inlineStr">
        <is>
          <t>WHA GC LOGISTICS COMPANY LIMITED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HASLS22260900460</t>
        </is>
      </c>
      <c r="N28" s="96" t="inlineStr">
        <is>
          <t xml:space="preserve">40Hx5 </t>
        </is>
      </c>
      <c r="O28" s="111" t="inlineStr">
        <is>
          <t>2019</t>
        </is>
      </c>
      <c r="P28" s="111" t="n"/>
      <c r="Q28" s="111" t="n"/>
      <c r="R28" s="96" t="inlineStr">
        <is>
          <t>PCCP</t>
        </is>
      </c>
      <c r="S28" s="96" t="inlineStr">
        <is>
          <t>2610N</t>
        </is>
      </c>
      <c r="T28" s="96" t="inlineStr">
        <is>
          <t>LCH05</t>
        </is>
      </c>
      <c r="U28" s="96" t="inlineStr">
        <is>
          <t>THLCH</t>
        </is>
      </c>
      <c r="V28" s="161" t="inlineStr">
        <is>
          <t>2026-10-14</t>
        </is>
      </c>
      <c r="W28" s="96" t="inlineStr">
        <is>
          <t>VNSGN</t>
        </is>
      </c>
      <c r="X28" s="161" t="inlineStr">
        <is>
          <t>2026-10-16</t>
        </is>
      </c>
      <c r="Y28" s="97" t="n"/>
      <c r="Z28" s="97" t="n"/>
      <c r="AA28" s="97" t="n"/>
      <c r="AB28" s="97" t="n"/>
      <c r="AC28" s="97" t="n"/>
      <c r="AD28" s="161" t="inlineStr">
        <is>
          <t>2026-10-09</t>
        </is>
      </c>
      <c r="AE28" s="174" t="inlineStr">
        <is>
          <t>0801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SRITHAI (VIETNAM) CO., LTD</t>
        </is>
      </c>
      <c r="AK28" s="130" t="n"/>
    </row>
    <row r="29" ht="12" customHeight="1">
      <c r="A29" s="108" t="inlineStr">
        <is>
          <t>SKHU9601578</t>
        </is>
      </c>
      <c r="B29" s="108" t="inlineStr">
        <is>
          <t>LCH05</t>
        </is>
      </c>
      <c r="C29" s="108" t="inlineStr">
        <is>
          <t>IFV</t>
        </is>
      </c>
      <c r="D29" s="172" t="inlineStr">
        <is>
          <t>2026-10-09</t>
        </is>
      </c>
      <c r="E29" s="173" t="inlineStr">
        <is>
          <t>0908</t>
        </is>
      </c>
      <c r="F29" s="96" t="inlineStr">
        <is>
          <t>HASLS22260902255</t>
        </is>
      </c>
      <c r="G29" s="96" t="inlineStr">
        <is>
          <t>ACCORD PILOT LOGISTICS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HASLS22260902255</t>
        </is>
      </c>
      <c r="N29" s="96" t="inlineStr">
        <is>
          <t xml:space="preserve">40Hx5 </t>
        </is>
      </c>
      <c r="O29" s="111" t="inlineStr">
        <is>
          <t>2016</t>
        </is>
      </c>
      <c r="P29" s="111" t="n"/>
      <c r="Q29" s="111" t="n"/>
      <c r="R29" s="96" t="inlineStr">
        <is>
          <t>PCCP</t>
        </is>
      </c>
      <c r="S29" s="96" t="inlineStr">
        <is>
          <t>2610N</t>
        </is>
      </c>
      <c r="T29" s="96" t="inlineStr">
        <is>
          <t>LCH05</t>
        </is>
      </c>
      <c r="U29" s="96" t="inlineStr">
        <is>
          <t>THLCH</t>
        </is>
      </c>
      <c r="V29" s="161" t="inlineStr">
        <is>
          <t>2026-10-14</t>
        </is>
      </c>
      <c r="W29" s="96" t="inlineStr">
        <is>
          <t>VNSGN</t>
        </is>
      </c>
      <c r="X29" s="161" t="inlineStr">
        <is>
          <t>2026-10-16</t>
        </is>
      </c>
      <c r="Y29" s="97" t="n"/>
      <c r="Z29" s="97" t="n"/>
      <c r="AA29" s="97" t="n"/>
      <c r="AB29" s="97" t="n"/>
      <c r="AC29" s="97" t="n"/>
      <c r="AD29" s="161" t="inlineStr">
        <is>
          <t>2026-10-09</t>
        </is>
      </c>
      <c r="AE29" s="174" t="inlineStr">
        <is>
          <t>1401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TO ORDER OF VIETNAM JOINT STOCK</t>
        </is>
      </c>
      <c r="AK29" s="130" t="n"/>
    </row>
    <row r="30" ht="12" customHeight="1">
      <c r="A30" s="108" t="inlineStr">
        <is>
          <t>SKHU9618478</t>
        </is>
      </c>
      <c r="B30" s="108" t="inlineStr">
        <is>
          <t>LCH05</t>
        </is>
      </c>
      <c r="C30" s="108" t="inlineStr">
        <is>
          <t>IFV</t>
        </is>
      </c>
      <c r="D30" s="172" t="inlineStr">
        <is>
          <t>2026-10-09</t>
        </is>
      </c>
      <c r="E30" s="173" t="inlineStr">
        <is>
          <t>0204</t>
        </is>
      </c>
      <c r="F30" s="96" t="inlineStr">
        <is>
          <t>HASLS22260902255</t>
        </is>
      </c>
      <c r="G30" s="96" t="inlineStr">
        <is>
          <t>ACCORD PILOT LOGISTICS (THAILAND)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HASLS22260902255</t>
        </is>
      </c>
      <c r="N30" s="96" t="inlineStr">
        <is>
          <t xml:space="preserve">40Hx5 </t>
        </is>
      </c>
      <c r="O30" s="111" t="inlineStr">
        <is>
          <t>2016</t>
        </is>
      </c>
      <c r="P30" s="111" t="n"/>
      <c r="Q30" s="111" t="n"/>
      <c r="R30" s="96" t="inlineStr">
        <is>
          <t>PCCP</t>
        </is>
      </c>
      <c r="S30" s="96" t="inlineStr">
        <is>
          <t>2610N</t>
        </is>
      </c>
      <c r="T30" s="96" t="inlineStr">
        <is>
          <t>LCH05</t>
        </is>
      </c>
      <c r="U30" s="96" t="inlineStr">
        <is>
          <t>THLCH</t>
        </is>
      </c>
      <c r="V30" s="161" t="inlineStr">
        <is>
          <t>2026-10-14</t>
        </is>
      </c>
      <c r="W30" s="96" t="inlineStr">
        <is>
          <t>VNSGN</t>
        </is>
      </c>
      <c r="X30" s="161" t="inlineStr">
        <is>
          <t>2026-10-16</t>
        </is>
      </c>
      <c r="Y30" s="97" t="n"/>
      <c r="Z30" s="97" t="n"/>
      <c r="AA30" s="97" t="n"/>
      <c r="AB30" s="97" t="n"/>
      <c r="AC30" s="97" t="n"/>
      <c r="AD30" s="161" t="inlineStr">
        <is>
          <t>2026-10-09</t>
        </is>
      </c>
      <c r="AE30" s="174" t="inlineStr">
        <is>
          <t>0801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TO ORDER OF VIETNAM JOINT STOCK</t>
        </is>
      </c>
      <c r="AK30" s="130" t="n"/>
    </row>
    <row r="31" ht="12" customHeight="1">
      <c r="A31" s="108" t="inlineStr">
        <is>
          <t>SKLU1307246</t>
        </is>
      </c>
      <c r="B31" s="108" t="inlineStr">
        <is>
          <t>LCH05</t>
        </is>
      </c>
      <c r="C31" s="108" t="inlineStr">
        <is>
          <t>IFV</t>
        </is>
      </c>
      <c r="D31" s="172" t="inlineStr">
        <is>
          <t>2026-10-08</t>
        </is>
      </c>
      <c r="E31" s="173" t="inlineStr">
        <is>
          <t>0959</t>
        </is>
      </c>
      <c r="F31" s="96" t="inlineStr">
        <is>
          <t>HASLS22260900900</t>
        </is>
      </c>
      <c r="G31" s="96" t="inlineStr">
        <is>
          <t>WHA GC LOGISTICS COMPANY LIMITED</t>
        </is>
      </c>
      <c r="H31" s="111" t="inlineStr">
        <is>
          <t>22GP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HASLS22260900900</t>
        </is>
      </c>
      <c r="N31" s="96" t="inlineStr">
        <is>
          <t xml:space="preserve">20'x7 </t>
        </is>
      </c>
      <c r="O31" s="111" t="inlineStr">
        <is>
          <t>2013</t>
        </is>
      </c>
      <c r="P31" s="111" t="n"/>
      <c r="Q31" s="111" t="n"/>
      <c r="R31" s="96" t="inlineStr">
        <is>
          <t>PCCP</t>
        </is>
      </c>
      <c r="S31" s="96" t="inlineStr">
        <is>
          <t>2610N</t>
        </is>
      </c>
      <c r="T31" s="96" t="inlineStr">
        <is>
          <t>LCH05</t>
        </is>
      </c>
      <c r="U31" s="96" t="inlineStr">
        <is>
          <t>THLCH</t>
        </is>
      </c>
      <c r="V31" s="161" t="inlineStr">
        <is>
          <t>2026-10-14</t>
        </is>
      </c>
      <c r="W31" s="96" t="inlineStr">
        <is>
          <t>JPIYM</t>
        </is>
      </c>
      <c r="X31" s="161" t="inlineStr">
        <is>
          <t>2026-10-23</t>
        </is>
      </c>
      <c r="Y31" s="97" t="n"/>
      <c r="Z31" s="97" t="n"/>
      <c r="AA31" s="97" t="n"/>
      <c r="AB31" s="97" t="n"/>
      <c r="AC31" s="97" t="n"/>
      <c r="AD31" s="161" t="inlineStr">
        <is>
          <t>2026-10-08</t>
        </is>
      </c>
      <c r="AE31" s="174" t="inlineStr">
        <is>
          <t>1401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MARUBENI INNOVEXIS CORPORATION</t>
        </is>
      </c>
      <c r="AK31" s="130" t="n"/>
    </row>
    <row r="32" ht="12" customHeight="1">
      <c r="A32" s="108" t="inlineStr">
        <is>
          <t>SKLU1431787</t>
        </is>
      </c>
      <c r="B32" s="108" t="inlineStr">
        <is>
          <t>LCH05</t>
        </is>
      </c>
      <c r="C32" s="108" t="inlineStr">
        <is>
          <t>IFV</t>
        </is>
      </c>
      <c r="D32" s="172" t="inlineStr">
        <is>
          <t>2026-10-08</t>
        </is>
      </c>
      <c r="E32" s="173" t="inlineStr">
        <is>
          <t>1101</t>
        </is>
      </c>
      <c r="F32" s="96" t="inlineStr">
        <is>
          <t>HASLS22260900900</t>
        </is>
      </c>
      <c r="G32" s="96" t="inlineStr">
        <is>
          <t>WHA GC LOGISTICS COMPANY LIMITED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HASLS22260900900</t>
        </is>
      </c>
      <c r="N32" s="96" t="inlineStr">
        <is>
          <t xml:space="preserve">20'x7 </t>
        </is>
      </c>
      <c r="O32" s="111" t="inlineStr">
        <is>
          <t>2014</t>
        </is>
      </c>
      <c r="P32" s="111" t="n"/>
      <c r="Q32" s="111" t="n"/>
      <c r="R32" s="96" t="inlineStr">
        <is>
          <t>PCCP</t>
        </is>
      </c>
      <c r="S32" s="96" t="inlineStr">
        <is>
          <t>2610N</t>
        </is>
      </c>
      <c r="T32" s="96" t="inlineStr">
        <is>
          <t>LCH05</t>
        </is>
      </c>
      <c r="U32" s="96" t="inlineStr">
        <is>
          <t>THLCH</t>
        </is>
      </c>
      <c r="V32" s="161" t="inlineStr">
        <is>
          <t>2026-10-14</t>
        </is>
      </c>
      <c r="W32" s="96" t="inlineStr">
        <is>
          <t>JPIYM</t>
        </is>
      </c>
      <c r="X32" s="161" t="inlineStr">
        <is>
          <t>2026-10-23</t>
        </is>
      </c>
      <c r="Y32" s="97" t="n"/>
      <c r="Z32" s="97" t="n"/>
      <c r="AA32" s="97" t="n"/>
      <c r="AB32" s="97" t="n"/>
      <c r="AC32" s="97" t="n"/>
      <c r="AD32" s="161" t="inlineStr">
        <is>
          <t>2026-10-08</t>
        </is>
      </c>
      <c r="AE32" s="174" t="inlineStr">
        <is>
          <t>2001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MARUBENI INNOVEXIS CORPORATION</t>
        </is>
      </c>
      <c r="AK32" s="130" t="n"/>
    </row>
    <row r="33" ht="12" customHeight="1">
      <c r="A33" s="108" t="inlineStr">
        <is>
          <t>SKLU1501272</t>
        </is>
      </c>
      <c r="B33" s="108" t="inlineStr">
        <is>
          <t>LCH05</t>
        </is>
      </c>
      <c r="C33" s="108" t="inlineStr">
        <is>
          <t>IFV</t>
        </is>
      </c>
      <c r="D33" s="172" t="inlineStr">
        <is>
          <t>2026-10-08</t>
        </is>
      </c>
      <c r="E33" s="173" t="inlineStr">
        <is>
          <t>1657</t>
        </is>
      </c>
      <c r="F33" s="96" t="inlineStr">
        <is>
          <t>HASLS22260900900</t>
        </is>
      </c>
      <c r="G33" s="96" t="inlineStr">
        <is>
          <t>WHA GC LOGISTICS COMPANY LIMITED</t>
        </is>
      </c>
      <c r="H33" s="111" t="inlineStr">
        <is>
          <t>22GP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HASLS22260900900</t>
        </is>
      </c>
      <c r="N33" s="96" t="inlineStr">
        <is>
          <t xml:space="preserve">20'x7 </t>
        </is>
      </c>
      <c r="O33" s="111" t="inlineStr">
        <is>
          <t>2015</t>
        </is>
      </c>
      <c r="P33" s="111" t="n"/>
      <c r="Q33" s="111" t="n"/>
      <c r="R33" s="96" t="inlineStr">
        <is>
          <t>PCCP</t>
        </is>
      </c>
      <c r="S33" s="96" t="inlineStr">
        <is>
          <t>2610N</t>
        </is>
      </c>
      <c r="T33" s="96" t="inlineStr">
        <is>
          <t>LCH05</t>
        </is>
      </c>
      <c r="U33" s="96" t="inlineStr">
        <is>
          <t>THLCH</t>
        </is>
      </c>
      <c r="V33" s="161" t="inlineStr">
        <is>
          <t>2026-10-14</t>
        </is>
      </c>
      <c r="W33" s="96" t="inlineStr">
        <is>
          <t>JPIYM</t>
        </is>
      </c>
      <c r="X33" s="161" t="inlineStr">
        <is>
          <t>2026-10-23</t>
        </is>
      </c>
      <c r="Y33" s="97" t="n"/>
      <c r="Z33" s="97" t="n"/>
      <c r="AA33" s="97" t="n"/>
      <c r="AB33" s="97" t="n"/>
      <c r="AC33" s="97" t="n"/>
      <c r="AD33" s="161" t="inlineStr">
        <is>
          <t>2026-10-09</t>
        </is>
      </c>
      <c r="AE33" s="174" t="inlineStr">
        <is>
          <t>0201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MARUBENI INNOVEXIS CORPORATION</t>
        </is>
      </c>
      <c r="AK33" s="130" t="n"/>
    </row>
    <row r="34" ht="12" customHeight="1">
      <c r="A34" s="108" t="inlineStr">
        <is>
          <t>SKLU1502540</t>
        </is>
      </c>
      <c r="B34" s="108" t="inlineStr">
        <is>
          <t>LCH05</t>
        </is>
      </c>
      <c r="C34" s="108" t="inlineStr">
        <is>
          <t>IFV</t>
        </is>
      </c>
      <c r="D34" s="172" t="inlineStr">
        <is>
          <t>2026-10-09</t>
        </is>
      </c>
      <c r="E34" s="173" t="inlineStr">
        <is>
          <t>0220</t>
        </is>
      </c>
      <c r="F34" s="96" t="inlineStr">
        <is>
          <t>HASLS22260902122</t>
        </is>
      </c>
      <c r="G34" s="96" t="inlineStr">
        <is>
          <t>WHA GC LOGISTICS COMPANY LIMITED</t>
        </is>
      </c>
      <c r="H34" s="111" t="inlineStr">
        <is>
          <t>22GP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HASLS22260902122</t>
        </is>
      </c>
      <c r="N34" s="96" t="inlineStr">
        <is>
          <t xml:space="preserve">20'x2 </t>
        </is>
      </c>
      <c r="O34" s="111" t="inlineStr">
        <is>
          <t>2015</t>
        </is>
      </c>
      <c r="P34" s="111" t="n"/>
      <c r="Q34" s="111" t="n"/>
      <c r="R34" s="96" t="inlineStr">
        <is>
          <t>PCCP</t>
        </is>
      </c>
      <c r="S34" s="96" t="inlineStr">
        <is>
          <t>2610N</t>
        </is>
      </c>
      <c r="T34" s="96" t="inlineStr">
        <is>
          <t>LCH05</t>
        </is>
      </c>
      <c r="U34" s="96" t="inlineStr">
        <is>
          <t>THLCH</t>
        </is>
      </c>
      <c r="V34" s="161" t="inlineStr">
        <is>
          <t>2026-10-14</t>
        </is>
      </c>
      <c r="W34" s="96" t="inlineStr">
        <is>
          <t>VNSGN</t>
        </is>
      </c>
      <c r="X34" s="161" t="inlineStr">
        <is>
          <t>2026-10-16</t>
        </is>
      </c>
      <c r="Y34" s="97" t="n"/>
      <c r="Z34" s="97" t="n"/>
      <c r="AA34" s="97" t="n"/>
      <c r="AB34" s="97" t="n"/>
      <c r="AC34" s="97" t="n"/>
      <c r="AD34" s="161" t="inlineStr">
        <is>
          <t>2026-10-09</t>
        </is>
      </c>
      <c r="AE34" s="174" t="inlineStr">
        <is>
          <t>0801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TO ORDER OF VIETINBANK BADINH</t>
        </is>
      </c>
      <c r="AK34" s="130" t="n"/>
    </row>
    <row r="35" ht="12" customHeight="1">
      <c r="A35" s="108" t="inlineStr">
        <is>
          <t>SKLU1529330</t>
        </is>
      </c>
      <c r="B35" s="108" t="inlineStr">
        <is>
          <t>LCH05</t>
        </is>
      </c>
      <c r="C35" s="108" t="inlineStr">
        <is>
          <t>IFV</t>
        </is>
      </c>
      <c r="D35" s="172" t="inlineStr">
        <is>
          <t>2026-10-09</t>
        </is>
      </c>
      <c r="E35" s="173" t="inlineStr">
        <is>
          <t>1023</t>
        </is>
      </c>
      <c r="F35" s="96" t="inlineStr">
        <is>
          <t>HASLS22260902461</t>
        </is>
      </c>
      <c r="G35" s="96" t="inlineStr">
        <is>
          <t>WHA GC LOGISTICS COMPANY LIMITED</t>
        </is>
      </c>
      <c r="H35" s="111" t="inlineStr">
        <is>
          <t>22GP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HASLS22260902461</t>
        </is>
      </c>
      <c r="N35" s="96" t="inlineStr">
        <is>
          <t xml:space="preserve">20'x5 </t>
        </is>
      </c>
      <c r="O35" s="111" t="inlineStr">
        <is>
          <t>2015</t>
        </is>
      </c>
      <c r="P35" s="111" t="n"/>
      <c r="Q35" s="111" t="n"/>
      <c r="R35" s="96" t="inlineStr">
        <is>
          <t>PCCP</t>
        </is>
      </c>
      <c r="S35" s="96" t="inlineStr">
        <is>
          <t>2610N</t>
        </is>
      </c>
      <c r="T35" s="96" t="inlineStr">
        <is>
          <t>LCH05</t>
        </is>
      </c>
      <c r="U35" s="96" t="inlineStr">
        <is>
          <t>THLCH</t>
        </is>
      </c>
      <c r="V35" s="161" t="inlineStr">
        <is>
          <t>2026-10-14</t>
        </is>
      </c>
      <c r="W35" s="96" t="inlineStr">
        <is>
          <t>VNSGN</t>
        </is>
      </c>
      <c r="X35" s="161" t="inlineStr">
        <is>
          <t>2026-10-16</t>
        </is>
      </c>
      <c r="Y35" s="97" t="n"/>
      <c r="Z35" s="97" t="n"/>
      <c r="AA35" s="97" t="n"/>
      <c r="AB35" s="97" t="n"/>
      <c r="AC35" s="97" t="n"/>
      <c r="AD35" s="161" t="inlineStr">
        <is>
          <t>2026-10-09</t>
        </is>
      </c>
      <c r="AE35" s="174" t="inlineStr">
        <is>
          <t>1401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TO THE ORDER OF JOINT STOCK</t>
        </is>
      </c>
      <c r="AK35" s="130" t="n"/>
    </row>
    <row r="36" ht="12" customHeight="1">
      <c r="A36" s="108" t="inlineStr">
        <is>
          <t>SKLU1564075</t>
        </is>
      </c>
      <c r="B36" s="108" t="inlineStr">
        <is>
          <t>LCH05</t>
        </is>
      </c>
      <c r="C36" s="108" t="inlineStr">
        <is>
          <t>IFV</t>
        </is>
      </c>
      <c r="D36" s="172" t="inlineStr">
        <is>
          <t>2026-10-09</t>
        </is>
      </c>
      <c r="E36" s="173" t="inlineStr">
        <is>
          <t>1035</t>
        </is>
      </c>
      <c r="F36" s="96" t="inlineStr">
        <is>
          <t>HASLS22260902461</t>
        </is>
      </c>
      <c r="G36" s="96" t="inlineStr">
        <is>
          <t>WHA GC LOGISTICS COMPANY LIMITED</t>
        </is>
      </c>
      <c r="H36" s="111" t="inlineStr">
        <is>
          <t>22GP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HASLS22260902461</t>
        </is>
      </c>
      <c r="N36" s="96" t="inlineStr">
        <is>
          <t xml:space="preserve">20'x5 </t>
        </is>
      </c>
      <c r="O36" s="111" t="inlineStr">
        <is>
          <t>2015</t>
        </is>
      </c>
      <c r="P36" s="111" t="n"/>
      <c r="Q36" s="111" t="n"/>
      <c r="R36" s="96" t="inlineStr">
        <is>
          <t>PCCP</t>
        </is>
      </c>
      <c r="S36" s="96" t="inlineStr">
        <is>
          <t>2610N</t>
        </is>
      </c>
      <c r="T36" s="96" t="inlineStr">
        <is>
          <t>LCH05</t>
        </is>
      </c>
      <c r="U36" s="96" t="inlineStr">
        <is>
          <t>THLCH</t>
        </is>
      </c>
      <c r="V36" s="161" t="inlineStr">
        <is>
          <t>2026-10-14</t>
        </is>
      </c>
      <c r="W36" s="96" t="inlineStr">
        <is>
          <t>VNSGN</t>
        </is>
      </c>
      <c r="X36" s="161" t="inlineStr">
        <is>
          <t>2026-10-16</t>
        </is>
      </c>
      <c r="Y36" s="97" t="n"/>
      <c r="Z36" s="97" t="n"/>
      <c r="AA36" s="97" t="n"/>
      <c r="AB36" s="97" t="n"/>
      <c r="AC36" s="97" t="n"/>
      <c r="AD36" s="161" t="inlineStr">
        <is>
          <t>2026-10-09</t>
        </is>
      </c>
      <c r="AE36" s="174" t="inlineStr">
        <is>
          <t>1401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TO THE ORDER OF JOINT STOCK</t>
        </is>
      </c>
      <c r="AK36" s="130" t="n"/>
    </row>
    <row r="37" ht="12" customHeight="1">
      <c r="A37" s="108" t="inlineStr">
        <is>
          <t>SKLU1643092</t>
        </is>
      </c>
      <c r="B37" s="108" t="inlineStr">
        <is>
          <t>LCH05</t>
        </is>
      </c>
      <c r="C37" s="108" t="inlineStr">
        <is>
          <t>IFV</t>
        </is>
      </c>
      <c r="D37" s="172" t="inlineStr">
        <is>
          <t>2026-10-09</t>
        </is>
      </c>
      <c r="E37" s="173" t="inlineStr">
        <is>
          <t>1023</t>
        </is>
      </c>
      <c r="F37" s="96" t="inlineStr">
        <is>
          <t>HASLS22260902461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HASLS22260902461</t>
        </is>
      </c>
      <c r="N37" s="96" t="inlineStr">
        <is>
          <t xml:space="preserve">20'x5 </t>
        </is>
      </c>
      <c r="O37" s="111" t="inlineStr">
        <is>
          <t>2016</t>
        </is>
      </c>
      <c r="P37" s="111" t="n"/>
      <c r="Q37" s="111" t="n"/>
      <c r="R37" s="96" t="inlineStr">
        <is>
          <t>PCCP</t>
        </is>
      </c>
      <c r="S37" s="96" t="inlineStr">
        <is>
          <t>2610N</t>
        </is>
      </c>
      <c r="T37" s="96" t="inlineStr">
        <is>
          <t>LCH05</t>
        </is>
      </c>
      <c r="U37" s="96" t="inlineStr">
        <is>
          <t>THLCH</t>
        </is>
      </c>
      <c r="V37" s="161" t="inlineStr">
        <is>
          <t>2026-10-14</t>
        </is>
      </c>
      <c r="W37" s="96" t="inlineStr">
        <is>
          <t>VNSGN</t>
        </is>
      </c>
      <c r="X37" s="161" t="inlineStr">
        <is>
          <t>2026-10-16</t>
        </is>
      </c>
      <c r="Y37" s="97" t="n"/>
      <c r="Z37" s="97" t="n"/>
      <c r="AA37" s="97" t="n"/>
      <c r="AB37" s="97" t="n"/>
      <c r="AC37" s="97" t="n"/>
      <c r="AD37" s="161" t="inlineStr">
        <is>
          <t>2026-10-09</t>
        </is>
      </c>
      <c r="AE37" s="174" t="inlineStr">
        <is>
          <t>1401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TO THE ORDER OF JOINT STOCK</t>
        </is>
      </c>
      <c r="AK37" s="130" t="n"/>
    </row>
    <row r="38" ht="12" customHeight="1">
      <c r="A38" s="108" t="inlineStr">
        <is>
          <t>SKLU1648556</t>
        </is>
      </c>
      <c r="B38" s="108" t="inlineStr">
        <is>
          <t>LCH05</t>
        </is>
      </c>
      <c r="C38" s="108" t="inlineStr">
        <is>
          <t>IFV</t>
        </is>
      </c>
      <c r="D38" s="172" t="inlineStr">
        <is>
          <t>2026-10-10</t>
        </is>
      </c>
      <c r="E38" s="173" t="inlineStr">
        <is>
          <t>1142</t>
        </is>
      </c>
      <c r="F38" s="96" t="inlineStr">
        <is>
          <t>HASLS22260902024</t>
        </is>
      </c>
      <c r="G38" s="96" t="inlineStr">
        <is>
          <t>DOW CHEMICAL THAILAND LTD.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HASLS22260902024</t>
        </is>
      </c>
      <c r="N38" s="96" t="inlineStr">
        <is>
          <t xml:space="preserve">20'x1 </t>
        </is>
      </c>
      <c r="O38" s="111" t="inlineStr">
        <is>
          <t>2016</t>
        </is>
      </c>
      <c r="P38" s="111" t="n"/>
      <c r="Q38" s="111" t="n"/>
      <c r="R38" s="96" t="inlineStr">
        <is>
          <t>PCCP</t>
        </is>
      </c>
      <c r="S38" s="96" t="inlineStr">
        <is>
          <t>2610N</t>
        </is>
      </c>
      <c r="T38" s="96" t="inlineStr">
        <is>
          <t>LCH05</t>
        </is>
      </c>
      <c r="U38" s="96" t="inlineStr">
        <is>
          <t>THLCH</t>
        </is>
      </c>
      <c r="V38" s="161" t="inlineStr">
        <is>
          <t>2026-10-14</t>
        </is>
      </c>
      <c r="W38" s="96" t="inlineStr">
        <is>
          <t>JPNGO</t>
        </is>
      </c>
      <c r="X38" s="161" t="inlineStr">
        <is>
          <t>2026-10-23</t>
        </is>
      </c>
      <c r="Y38" s="97" t="n"/>
      <c r="Z38" s="97" t="n"/>
      <c r="AA38" s="97" t="n"/>
      <c r="AB38" s="97" t="n"/>
      <c r="AC38" s="97" t="n"/>
      <c r="AD38" s="161" t="inlineStr">
        <is>
          <t>2026-10-10</t>
        </is>
      </c>
      <c r="AE38" s="174" t="inlineStr">
        <is>
          <t>1401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DOW CHEMICAL JAPAN LIMITED</t>
        </is>
      </c>
      <c r="AK38" s="130" t="n"/>
    </row>
    <row r="39" ht="12" customHeight="1">
      <c r="A39" s="108" t="inlineStr">
        <is>
          <t>SKLU1903081</t>
        </is>
      </c>
      <c r="B39" s="108" t="inlineStr">
        <is>
          <t>LCH05</t>
        </is>
      </c>
      <c r="C39" s="108" t="inlineStr">
        <is>
          <t>IFV</t>
        </is>
      </c>
      <c r="D39" s="172" t="inlineStr">
        <is>
          <t>2026-10-08</t>
        </is>
      </c>
      <c r="E39" s="173" t="inlineStr">
        <is>
          <t>0306</t>
        </is>
      </c>
      <c r="F39" s="96" t="inlineStr">
        <is>
          <t>HASLS22260902464</t>
        </is>
      </c>
      <c r="G39" s="96" t="inlineStr">
        <is>
          <t>WHA GC LOGISTICS COMPANY LIMITED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HASLS22260902464</t>
        </is>
      </c>
      <c r="N39" s="96" t="inlineStr">
        <is>
          <t xml:space="preserve">20'x5 </t>
        </is>
      </c>
      <c r="O39" s="111" t="inlineStr">
        <is>
          <t>2019</t>
        </is>
      </c>
      <c r="P39" s="111" t="n"/>
      <c r="Q39" s="111" t="n"/>
      <c r="R39" s="96" t="inlineStr">
        <is>
          <t>PCCP</t>
        </is>
      </c>
      <c r="S39" s="96" t="inlineStr">
        <is>
          <t>2610N</t>
        </is>
      </c>
      <c r="T39" s="96" t="inlineStr">
        <is>
          <t>LCH05</t>
        </is>
      </c>
      <c r="U39" s="96" t="inlineStr">
        <is>
          <t>THLCH</t>
        </is>
      </c>
      <c r="V39" s="161" t="inlineStr">
        <is>
          <t>2026-10-14</t>
        </is>
      </c>
      <c r="W39" s="96" t="inlineStr">
        <is>
          <t>JPIYM</t>
        </is>
      </c>
      <c r="X39" s="161" t="inlineStr">
        <is>
          <t>2026-10-23</t>
        </is>
      </c>
      <c r="Y39" s="97" t="n"/>
      <c r="Z39" s="97" t="n"/>
      <c r="AA39" s="97" t="n"/>
      <c r="AB39" s="97" t="n"/>
      <c r="AC39" s="97" t="n"/>
      <c r="AD39" s="161" t="inlineStr">
        <is>
          <t>2026-10-08</t>
        </is>
      </c>
      <c r="AE39" s="174" t="inlineStr">
        <is>
          <t>0801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MARUBENI INNOVEXIS CORPORATION</t>
        </is>
      </c>
      <c r="AK39" s="130" t="n"/>
    </row>
    <row r="40" ht="12" customHeight="1">
      <c r="A40" s="108" t="inlineStr">
        <is>
          <t>SKLU1914173</t>
        </is>
      </c>
      <c r="B40" s="108" t="inlineStr">
        <is>
          <t>LCH05</t>
        </is>
      </c>
      <c r="C40" s="108" t="inlineStr">
        <is>
          <t>IFV</t>
        </is>
      </c>
      <c r="D40" s="172" t="inlineStr">
        <is>
          <t>2026-10-09</t>
        </is>
      </c>
      <c r="E40" s="173" t="inlineStr">
        <is>
          <t>2049</t>
        </is>
      </c>
      <c r="F40" s="96" t="inlineStr">
        <is>
          <t>HASLS22260902724</t>
        </is>
      </c>
      <c r="G40" s="96" t="inlineStr">
        <is>
          <t>FAIR AND FAST COMPANY LIMITED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HASLS22260902724</t>
        </is>
      </c>
      <c r="N40" s="96" t="inlineStr">
        <is>
          <t xml:space="preserve">20'x2 </t>
        </is>
      </c>
      <c r="O40" s="111" t="inlineStr">
        <is>
          <t>2019</t>
        </is>
      </c>
      <c r="P40" s="111" t="n"/>
      <c r="Q40" s="111" t="n"/>
      <c r="R40" s="96" t="inlineStr">
        <is>
          <t>PCCP</t>
        </is>
      </c>
      <c r="S40" s="96" t="inlineStr">
        <is>
          <t>2610N</t>
        </is>
      </c>
      <c r="T40" s="96" t="inlineStr">
        <is>
          <t>LCH05</t>
        </is>
      </c>
      <c r="U40" s="96" t="inlineStr">
        <is>
          <t>THLCH</t>
        </is>
      </c>
      <c r="V40" s="161" t="inlineStr">
        <is>
          <t>2026-10-14</t>
        </is>
      </c>
      <c r="W40" s="96" t="inlineStr">
        <is>
          <t>VNSGN</t>
        </is>
      </c>
      <c r="X40" s="161" t="inlineStr">
        <is>
          <t>2026-10-16</t>
        </is>
      </c>
      <c r="Y40" s="97" t="n"/>
      <c r="Z40" s="97" t="n"/>
      <c r="AA40" s="97" t="n"/>
      <c r="AB40" s="97" t="n"/>
      <c r="AC40" s="97" t="n"/>
      <c r="AD40" s="161" t="inlineStr">
        <is>
          <t>2026-10-10</t>
        </is>
      </c>
      <c r="AE40" s="174" t="inlineStr">
        <is>
          <t>0201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TO ORDER</t>
        </is>
      </c>
      <c r="AK40" s="130" t="n"/>
    </row>
    <row r="41" ht="12" customHeight="1">
      <c r="A41" s="108" t="inlineStr">
        <is>
          <t>SKLU1920290</t>
        </is>
      </c>
      <c r="B41" s="108" t="inlineStr">
        <is>
          <t>LCH05</t>
        </is>
      </c>
      <c r="C41" s="108" t="inlineStr">
        <is>
          <t>IFV</t>
        </is>
      </c>
      <c r="D41" s="172" t="inlineStr">
        <is>
          <t>2026-10-09</t>
        </is>
      </c>
      <c r="E41" s="173" t="inlineStr">
        <is>
          <t>1140</t>
        </is>
      </c>
      <c r="F41" s="96" t="inlineStr">
        <is>
          <t>HASLS22260902843</t>
        </is>
      </c>
      <c r="G41" s="96" t="inlineStr">
        <is>
          <t>EXPEDITORS (THAILAND) LTD.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HASLS22260902843</t>
        </is>
      </c>
      <c r="N41" s="96" t="inlineStr">
        <is>
          <t xml:space="preserve">20'x1 </t>
        </is>
      </c>
      <c r="O41" s="111" t="inlineStr">
        <is>
          <t>2019</t>
        </is>
      </c>
      <c r="P41" s="111" t="n"/>
      <c r="Q41" s="111" t="n"/>
      <c r="R41" s="96" t="inlineStr">
        <is>
          <t>KUS</t>
        </is>
      </c>
      <c r="S41" s="96" t="inlineStr">
        <is>
          <t>2616N</t>
        </is>
      </c>
      <c r="T41" s="96" t="inlineStr">
        <is>
          <t>LCH05</t>
        </is>
      </c>
      <c r="U41" s="96" t="inlineStr">
        <is>
          <t>THLCH</t>
        </is>
      </c>
      <c r="V41" s="161" t="inlineStr">
        <is>
          <t>2026-10-14</t>
        </is>
      </c>
      <c r="W41" s="96" t="inlineStr">
        <is>
          <t>VNSGN</t>
        </is>
      </c>
      <c r="X41" s="161" t="inlineStr">
        <is>
          <t>2026-10-16</t>
        </is>
      </c>
      <c r="Y41" s="97" t="n"/>
      <c r="Z41" s="97" t="n"/>
      <c r="AA41" s="97" t="n"/>
      <c r="AB41" s="97" t="n"/>
      <c r="AC41" s="97" t="n"/>
      <c r="AD41" s="161" t="inlineStr">
        <is>
          <t>2026-10-09</t>
        </is>
      </c>
      <c r="AE41" s="174" t="inlineStr">
        <is>
          <t>2001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EXPEDITORS VIETNAM COMPANY LIMITED</t>
        </is>
      </c>
      <c r="AK41" s="130" t="n"/>
    </row>
    <row r="42" ht="12" customHeight="1">
      <c r="A42" s="108" t="inlineStr">
        <is>
          <t>SKLU1926831</t>
        </is>
      </c>
      <c r="B42" s="108" t="inlineStr">
        <is>
          <t>LCH05</t>
        </is>
      </c>
      <c r="C42" s="108" t="inlineStr">
        <is>
          <t>IFV</t>
        </is>
      </c>
      <c r="D42" s="172" t="inlineStr">
        <is>
          <t>2026-10-10</t>
        </is>
      </c>
      <c r="E42" s="173" t="inlineStr">
        <is>
          <t>1606</t>
        </is>
      </c>
      <c r="F42" s="96" t="inlineStr">
        <is>
          <t>HASLS22261000543</t>
        </is>
      </c>
      <c r="G42" s="96" t="inlineStr">
        <is>
          <t>H &amp; FRIENDS GTL (THAILAND) CO., LTD.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HASLS22261000543</t>
        </is>
      </c>
      <c r="N42" s="96" t="inlineStr">
        <is>
          <t xml:space="preserve">20'x1 </t>
        </is>
      </c>
      <c r="O42" s="111" t="inlineStr">
        <is>
          <t>2019</t>
        </is>
      </c>
      <c r="P42" s="111" t="n"/>
      <c r="Q42" s="111" t="n"/>
      <c r="R42" s="96" t="inlineStr">
        <is>
          <t>PCCP</t>
        </is>
      </c>
      <c r="S42" s="96" t="inlineStr">
        <is>
          <t>2610N</t>
        </is>
      </c>
      <c r="T42" s="96" t="inlineStr">
        <is>
          <t>LCH05</t>
        </is>
      </c>
      <c r="U42" s="96" t="inlineStr">
        <is>
          <t>THLCH</t>
        </is>
      </c>
      <c r="V42" s="161" t="inlineStr">
        <is>
          <t>2026-10-14</t>
        </is>
      </c>
      <c r="W42" s="96" t="inlineStr">
        <is>
          <t>KRPUS</t>
        </is>
      </c>
      <c r="X42" s="161" t="inlineStr">
        <is>
          <t>2026-10-23</t>
        </is>
      </c>
      <c r="Y42" s="97" t="n"/>
      <c r="Z42" s="97" t="n"/>
      <c r="AA42" s="97" t="n"/>
      <c r="AB42" s="97" t="n"/>
      <c r="AC42" s="97" t="n"/>
      <c r="AD42" s="161" t="inlineStr">
        <is>
          <t>2026-10-10</t>
        </is>
      </c>
      <c r="AE42" s="174" t="inlineStr">
        <is>
          <t>2001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EAST AIR EXPRESS CO.,LTD</t>
        </is>
      </c>
      <c r="AK42" s="130" t="n"/>
    </row>
    <row r="43" ht="12" customHeight="1">
      <c r="A43" s="108" t="inlineStr">
        <is>
          <t>SKLU1931885</t>
        </is>
      </c>
      <c r="B43" s="108" t="inlineStr">
        <is>
          <t>LCH05</t>
        </is>
      </c>
      <c r="C43" s="108" t="inlineStr">
        <is>
          <t>IFV</t>
        </is>
      </c>
      <c r="D43" s="172" t="inlineStr">
        <is>
          <t>2026-10-09</t>
        </is>
      </c>
      <c r="E43" s="173" t="inlineStr">
        <is>
          <t>1035</t>
        </is>
      </c>
      <c r="F43" s="96" t="inlineStr">
        <is>
          <t>HASLS22260902461</t>
        </is>
      </c>
      <c r="G43" s="96" t="inlineStr">
        <is>
          <t>WHA GC LOGISTICS COMPANY LIMITED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HASLS22260902461</t>
        </is>
      </c>
      <c r="N43" s="96" t="inlineStr">
        <is>
          <t xml:space="preserve">20'x5 </t>
        </is>
      </c>
      <c r="O43" s="111" t="inlineStr">
        <is>
          <t>2019</t>
        </is>
      </c>
      <c r="P43" s="111" t="n"/>
      <c r="Q43" s="111" t="n"/>
      <c r="R43" s="96" t="inlineStr">
        <is>
          <t>PCCP</t>
        </is>
      </c>
      <c r="S43" s="96" t="inlineStr">
        <is>
          <t>2610N</t>
        </is>
      </c>
      <c r="T43" s="96" t="inlineStr">
        <is>
          <t>LCH05</t>
        </is>
      </c>
      <c r="U43" s="96" t="inlineStr">
        <is>
          <t>THLCH</t>
        </is>
      </c>
      <c r="V43" s="161" t="inlineStr">
        <is>
          <t>2026-10-14</t>
        </is>
      </c>
      <c r="W43" s="96" t="inlineStr">
        <is>
          <t>VNSGN</t>
        </is>
      </c>
      <c r="X43" s="161" t="inlineStr">
        <is>
          <t>2026-10-16</t>
        </is>
      </c>
      <c r="Y43" s="97" t="n"/>
      <c r="Z43" s="97" t="n"/>
      <c r="AA43" s="97" t="n"/>
      <c r="AB43" s="97" t="n"/>
      <c r="AC43" s="97" t="n"/>
      <c r="AD43" s="161" t="inlineStr">
        <is>
          <t>2026-10-09</t>
        </is>
      </c>
      <c r="AE43" s="174" t="inlineStr">
        <is>
          <t>1401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 THE ORDER OF JOINT STOCK</t>
        </is>
      </c>
      <c r="AK43" s="130" t="n"/>
    </row>
    <row r="44" ht="12" customHeight="1">
      <c r="A44" s="108" t="inlineStr">
        <is>
          <t>SKLU1933065</t>
        </is>
      </c>
      <c r="B44" s="108" t="inlineStr">
        <is>
          <t>LCH05</t>
        </is>
      </c>
      <c r="C44" s="108" t="inlineStr">
        <is>
          <t>IFV</t>
        </is>
      </c>
      <c r="D44" s="172" t="inlineStr">
        <is>
          <t>2026-10-08</t>
        </is>
      </c>
      <c r="E44" s="173" t="inlineStr">
        <is>
          <t>0123</t>
        </is>
      </c>
      <c r="F44" s="96" t="inlineStr">
        <is>
          <t>HASLS22260902386</t>
        </is>
      </c>
      <c r="G44" s="96" t="inlineStr">
        <is>
          <t>YAMATO UNYU (THAILAND)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HASLS22260902386</t>
        </is>
      </c>
      <c r="N44" s="96" t="inlineStr">
        <is>
          <t xml:space="preserve">20'x1 </t>
        </is>
      </c>
      <c r="O44" s="111" t="inlineStr">
        <is>
          <t>2019</t>
        </is>
      </c>
      <c r="P44" s="111" t="n"/>
      <c r="Q44" s="111" t="n"/>
      <c r="R44" s="96" t="inlineStr">
        <is>
          <t>PCCP</t>
        </is>
      </c>
      <c r="S44" s="96" t="inlineStr">
        <is>
          <t>2610N</t>
        </is>
      </c>
      <c r="T44" s="96" t="inlineStr">
        <is>
          <t>LCH05</t>
        </is>
      </c>
      <c r="U44" s="96" t="inlineStr">
        <is>
          <t>THLCH</t>
        </is>
      </c>
      <c r="V44" s="161" t="inlineStr">
        <is>
          <t>2026-10-14</t>
        </is>
      </c>
      <c r="W44" s="96" t="inlineStr">
        <is>
          <t>VNSGN</t>
        </is>
      </c>
      <c r="X44" s="161" t="inlineStr">
        <is>
          <t>2026-10-16</t>
        </is>
      </c>
      <c r="Y44" s="97" t="n"/>
      <c r="Z44" s="97" t="n"/>
      <c r="AA44" s="97" t="n"/>
      <c r="AB44" s="97" t="n"/>
      <c r="AC44" s="97" t="n"/>
      <c r="AD44" s="161" t="inlineStr">
        <is>
          <t>2026-10-08</t>
        </is>
      </c>
      <c r="AE44" s="174" t="inlineStr">
        <is>
          <t>0801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YAMATO LOGISTICS VIETNAM CO.,LTD -</t>
        </is>
      </c>
      <c r="AK44" s="130" t="n"/>
    </row>
    <row r="45" ht="12" customHeight="1">
      <c r="A45" s="108" t="inlineStr">
        <is>
          <t>SKLU2002072</t>
        </is>
      </c>
      <c r="B45" s="108" t="inlineStr">
        <is>
          <t>LCH05</t>
        </is>
      </c>
      <c r="C45" s="108" t="inlineStr">
        <is>
          <t>IFV</t>
        </is>
      </c>
      <c r="D45" s="172" t="inlineStr">
        <is>
          <t>2026-10-08</t>
        </is>
      </c>
      <c r="E45" s="173" t="inlineStr">
        <is>
          <t>0311</t>
        </is>
      </c>
      <c r="F45" s="96" t="inlineStr">
        <is>
          <t>HASLS22260902464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HASLS22260902464</t>
        </is>
      </c>
      <c r="N45" s="96" t="inlineStr">
        <is>
          <t xml:space="preserve">20'x5 </t>
        </is>
      </c>
      <c r="O45" s="111" t="inlineStr">
        <is>
          <t>2019</t>
        </is>
      </c>
      <c r="P45" s="111" t="n"/>
      <c r="Q45" s="111" t="n"/>
      <c r="R45" s="96" t="inlineStr">
        <is>
          <t>PCCP</t>
        </is>
      </c>
      <c r="S45" s="96" t="inlineStr">
        <is>
          <t>2610N</t>
        </is>
      </c>
      <c r="T45" s="96" t="inlineStr">
        <is>
          <t>LCH05</t>
        </is>
      </c>
      <c r="U45" s="96" t="inlineStr">
        <is>
          <t>THLCH</t>
        </is>
      </c>
      <c r="V45" s="161" t="inlineStr">
        <is>
          <t>2026-10-14</t>
        </is>
      </c>
      <c r="W45" s="96" t="inlineStr">
        <is>
          <t>JPIYM</t>
        </is>
      </c>
      <c r="X45" s="161" t="inlineStr">
        <is>
          <t>2026-10-23</t>
        </is>
      </c>
      <c r="Y45" s="97" t="n"/>
      <c r="Z45" s="97" t="n"/>
      <c r="AA45" s="97" t="n"/>
      <c r="AB45" s="97" t="n"/>
      <c r="AC45" s="97" t="n"/>
      <c r="AD45" s="161" t="inlineStr">
        <is>
          <t>2026-10-08</t>
        </is>
      </c>
      <c r="AE45" s="174" t="inlineStr">
        <is>
          <t>0801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MARUBENI INNOVEXIS CORPORATION</t>
        </is>
      </c>
      <c r="AK45" s="130" t="n"/>
    </row>
    <row r="46" ht="12" customHeight="1">
      <c r="A46" s="108" t="inlineStr">
        <is>
          <t>SKLU2038394</t>
        </is>
      </c>
      <c r="B46" s="108" t="inlineStr">
        <is>
          <t>LCH05</t>
        </is>
      </c>
      <c r="C46" s="108" t="inlineStr">
        <is>
          <t>IFV</t>
        </is>
      </c>
      <c r="D46" s="172" t="inlineStr">
        <is>
          <t>2026-10-08</t>
        </is>
      </c>
      <c r="E46" s="173" t="inlineStr">
        <is>
          <t>1657</t>
        </is>
      </c>
      <c r="F46" s="96" t="inlineStr">
        <is>
          <t>HASLS22260900900</t>
        </is>
      </c>
      <c r="G46" s="96" t="inlineStr">
        <is>
          <t>WHA GC LOGISTICS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HASLS22260900900</t>
        </is>
      </c>
      <c r="N46" s="96" t="inlineStr">
        <is>
          <t xml:space="preserve">20'x7 </t>
        </is>
      </c>
      <c r="O46" s="111" t="inlineStr">
        <is>
          <t>2019</t>
        </is>
      </c>
      <c r="P46" s="111" t="n"/>
      <c r="Q46" s="111" t="n"/>
      <c r="R46" s="96" t="inlineStr">
        <is>
          <t>PCCP</t>
        </is>
      </c>
      <c r="S46" s="96" t="inlineStr">
        <is>
          <t>2610N</t>
        </is>
      </c>
      <c r="T46" s="96" t="inlineStr">
        <is>
          <t>LCH05</t>
        </is>
      </c>
      <c r="U46" s="96" t="inlineStr">
        <is>
          <t>THLCH</t>
        </is>
      </c>
      <c r="V46" s="161" t="inlineStr">
        <is>
          <t>2026-10-14</t>
        </is>
      </c>
      <c r="W46" s="96" t="inlineStr">
        <is>
          <t>JPIYM</t>
        </is>
      </c>
      <c r="X46" s="161" t="inlineStr">
        <is>
          <t>2026-10-23</t>
        </is>
      </c>
      <c r="Y46" s="97" t="n"/>
      <c r="Z46" s="97" t="n"/>
      <c r="AA46" s="97" t="n"/>
      <c r="AB46" s="97" t="n"/>
      <c r="AC46" s="97" t="n"/>
      <c r="AD46" s="161" t="inlineStr">
        <is>
          <t>2026-10-09</t>
        </is>
      </c>
      <c r="AE46" s="174" t="inlineStr">
        <is>
          <t>0201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MARUBENI INNOVEXIS CORPORATION</t>
        </is>
      </c>
      <c r="AK46" s="130" t="n"/>
    </row>
    <row r="47" ht="12" customHeight="1">
      <c r="A47" s="108" t="inlineStr">
        <is>
          <t>SKLU2057223</t>
        </is>
      </c>
      <c r="B47" s="108" t="inlineStr">
        <is>
          <t>LCH05</t>
        </is>
      </c>
      <c r="C47" s="108" t="inlineStr">
        <is>
          <t>IFV</t>
        </is>
      </c>
      <c r="D47" s="172" t="inlineStr">
        <is>
          <t>2026-10-09</t>
        </is>
      </c>
      <c r="E47" s="173" t="inlineStr">
        <is>
          <t>1041</t>
        </is>
      </c>
      <c r="F47" s="96" t="inlineStr">
        <is>
          <t>HASLS22260902461</t>
        </is>
      </c>
      <c r="G47" s="96" t="inlineStr">
        <is>
          <t>WHA GC LOGISTICS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HASLS22260902461</t>
        </is>
      </c>
      <c r="N47" s="96" t="inlineStr">
        <is>
          <t xml:space="preserve">20'x5 </t>
        </is>
      </c>
      <c r="O47" s="111" t="inlineStr">
        <is>
          <t>2019</t>
        </is>
      </c>
      <c r="P47" s="111" t="n"/>
      <c r="Q47" s="111" t="n"/>
      <c r="R47" s="96" t="inlineStr">
        <is>
          <t>PCCP</t>
        </is>
      </c>
      <c r="S47" s="96" t="inlineStr">
        <is>
          <t>2610N</t>
        </is>
      </c>
      <c r="T47" s="96" t="inlineStr">
        <is>
          <t>LCH05</t>
        </is>
      </c>
      <c r="U47" s="96" t="inlineStr">
        <is>
          <t>THLCH</t>
        </is>
      </c>
      <c r="V47" s="161" t="inlineStr">
        <is>
          <t>2026-10-14</t>
        </is>
      </c>
      <c r="W47" s="96" t="inlineStr">
        <is>
          <t>VNSGN</t>
        </is>
      </c>
      <c r="X47" s="161" t="inlineStr">
        <is>
          <t>2026-10-16</t>
        </is>
      </c>
      <c r="Y47" s="97" t="n"/>
      <c r="Z47" s="97" t="n"/>
      <c r="AA47" s="97" t="n"/>
      <c r="AB47" s="97" t="n"/>
      <c r="AC47" s="97" t="n"/>
      <c r="AD47" s="161" t="inlineStr">
        <is>
          <t>2026-10-09</t>
        </is>
      </c>
      <c r="AE47" s="174" t="inlineStr">
        <is>
          <t>1401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TO THE ORDER OF JOINT STOCK</t>
        </is>
      </c>
      <c r="AK47" s="130" t="n"/>
    </row>
    <row r="48" ht="12" customHeight="1">
      <c r="A48" s="108" t="inlineStr">
        <is>
          <t>SKLU2125626</t>
        </is>
      </c>
      <c r="B48" s="108" t="inlineStr">
        <is>
          <t>LCH05</t>
        </is>
      </c>
      <c r="C48" s="108" t="inlineStr">
        <is>
          <t>IFV</t>
        </is>
      </c>
      <c r="D48" s="172" t="inlineStr">
        <is>
          <t>2026-10-08</t>
        </is>
      </c>
      <c r="E48" s="173" t="inlineStr">
        <is>
          <t>0959</t>
        </is>
      </c>
      <c r="F48" s="96" t="inlineStr">
        <is>
          <t>HASLS22260900900</t>
        </is>
      </c>
      <c r="G48" s="96" t="inlineStr">
        <is>
          <t>WHA GC LOGISTICS COMPANY LIMITED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HASLS22260900900</t>
        </is>
      </c>
      <c r="N48" s="96" t="inlineStr">
        <is>
          <t xml:space="preserve">20'x7 </t>
        </is>
      </c>
      <c r="O48" s="111" t="inlineStr">
        <is>
          <t>2021</t>
        </is>
      </c>
      <c r="P48" s="111" t="n"/>
      <c r="Q48" s="111" t="n"/>
      <c r="R48" s="96" t="inlineStr">
        <is>
          <t>PCCP</t>
        </is>
      </c>
      <c r="S48" s="96" t="inlineStr">
        <is>
          <t>2610N</t>
        </is>
      </c>
      <c r="T48" s="96" t="inlineStr">
        <is>
          <t>LCH05</t>
        </is>
      </c>
      <c r="U48" s="96" t="inlineStr">
        <is>
          <t>THLCH</t>
        </is>
      </c>
      <c r="V48" s="161" t="inlineStr">
        <is>
          <t>2026-10-14</t>
        </is>
      </c>
      <c r="W48" s="96" t="inlineStr">
        <is>
          <t>JPIYM</t>
        </is>
      </c>
      <c r="X48" s="161" t="inlineStr">
        <is>
          <t>2026-10-23</t>
        </is>
      </c>
      <c r="Y48" s="97" t="n"/>
      <c r="Z48" s="97" t="n"/>
      <c r="AA48" s="97" t="n"/>
      <c r="AB48" s="97" t="n"/>
      <c r="AC48" s="97" t="n"/>
      <c r="AD48" s="161" t="inlineStr">
        <is>
          <t>2026-10-08</t>
        </is>
      </c>
      <c r="AE48" s="174" t="inlineStr">
        <is>
          <t>1401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MARUBENI INNOVEXIS CORPORATION</t>
        </is>
      </c>
      <c r="AK48" s="130" t="n"/>
    </row>
    <row r="49" ht="12" customHeight="1">
      <c r="A49" s="108" t="inlineStr">
        <is>
          <t>SKLU2348640</t>
        </is>
      </c>
      <c r="B49" s="108" t="inlineStr">
        <is>
          <t>LCH05</t>
        </is>
      </c>
      <c r="C49" s="108" t="inlineStr">
        <is>
          <t>IFV</t>
        </is>
      </c>
      <c r="D49" s="172" t="inlineStr">
        <is>
          <t>2026-10-07</t>
        </is>
      </c>
      <c r="E49" s="173" t="inlineStr">
        <is>
          <t>0429</t>
        </is>
      </c>
      <c r="F49" s="96" t="inlineStr">
        <is>
          <t>HASLS22260901455</t>
        </is>
      </c>
      <c r="G49" s="96" t="inlineStr">
        <is>
          <t>UBE CHEMICALS (ASIA) PUBLIC COMPANY LIMITED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HASLS22260901455</t>
        </is>
      </c>
      <c r="N49" s="96" t="inlineStr">
        <is>
          <t xml:space="preserve">20'x1 </t>
        </is>
      </c>
      <c r="O49" s="111" t="inlineStr">
        <is>
          <t>2023</t>
        </is>
      </c>
      <c r="P49" s="111" t="n"/>
      <c r="Q49" s="111" t="n"/>
      <c r="R49" s="96" t="inlineStr">
        <is>
          <t>PCCP</t>
        </is>
      </c>
      <c r="S49" s="96" t="inlineStr">
        <is>
          <t>2610N</t>
        </is>
      </c>
      <c r="T49" s="96" t="inlineStr">
        <is>
          <t>LCH05</t>
        </is>
      </c>
      <c r="U49" s="96" t="inlineStr">
        <is>
          <t>THLCH</t>
        </is>
      </c>
      <c r="V49" s="161" t="inlineStr">
        <is>
          <t>2026-10-14</t>
        </is>
      </c>
      <c r="W49" s="96" t="inlineStr">
        <is>
          <t>VNSGN</t>
        </is>
      </c>
      <c r="X49" s="161" t="inlineStr">
        <is>
          <t>2026-10-16</t>
        </is>
      </c>
      <c r="Y49" s="97" t="n"/>
      <c r="Z49" s="97" t="n"/>
      <c r="AA49" s="97" t="n"/>
      <c r="AB49" s="97" t="n"/>
      <c r="AC49" s="97" t="n"/>
      <c r="AD49" s="161" t="inlineStr">
        <is>
          <t>2026-10-07</t>
        </is>
      </c>
      <c r="AE49" s="174" t="inlineStr">
        <is>
          <t>0801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VIETNAM DONA STANDARD FOOTWEAR</t>
        </is>
      </c>
      <c r="AK49" s="130" t="n"/>
    </row>
    <row r="50" ht="12" customHeight="1">
      <c r="A50" s="108" t="inlineStr">
        <is>
          <t>SKLU2351921</t>
        </is>
      </c>
      <c r="B50" s="108" t="inlineStr">
        <is>
          <t>LCH05</t>
        </is>
      </c>
      <c r="C50" s="108" t="inlineStr">
        <is>
          <t>IFV</t>
        </is>
      </c>
      <c r="D50" s="172" t="inlineStr">
        <is>
          <t>2026-10-08</t>
        </is>
      </c>
      <c r="E50" s="173" t="inlineStr">
        <is>
          <t>2336</t>
        </is>
      </c>
      <c r="F50" s="96" t="inlineStr">
        <is>
          <t>HASLS22260901719</t>
        </is>
      </c>
      <c r="G50" s="96" t="inlineStr">
        <is>
          <t>WHA GC LOGISTICS COMPANY LIMITED</t>
        </is>
      </c>
      <c r="H50" s="111" t="inlineStr">
        <is>
          <t>22GP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HASLS22260901719</t>
        </is>
      </c>
      <c r="N50" s="96" t="inlineStr">
        <is>
          <t xml:space="preserve">20'x1 </t>
        </is>
      </c>
      <c r="O50" s="111" t="inlineStr">
        <is>
          <t>2023</t>
        </is>
      </c>
      <c r="P50" s="111" t="n"/>
      <c r="Q50" s="111" t="n"/>
      <c r="R50" s="96" t="inlineStr">
        <is>
          <t>PCCP</t>
        </is>
      </c>
      <c r="S50" s="96" t="inlineStr">
        <is>
          <t>2610N</t>
        </is>
      </c>
      <c r="T50" s="96" t="inlineStr">
        <is>
          <t>LCH05</t>
        </is>
      </c>
      <c r="U50" s="96" t="inlineStr">
        <is>
          <t>THLCH</t>
        </is>
      </c>
      <c r="V50" s="161" t="inlineStr">
        <is>
          <t>2026-10-14</t>
        </is>
      </c>
      <c r="W50" s="96" t="inlineStr">
        <is>
          <t>VNSGN</t>
        </is>
      </c>
      <c r="X50" s="161" t="inlineStr">
        <is>
          <t>2026-10-16</t>
        </is>
      </c>
      <c r="Y50" s="97" t="n"/>
      <c r="Z50" s="97" t="n"/>
      <c r="AA50" s="97" t="n"/>
      <c r="AB50" s="97" t="n"/>
      <c r="AC50" s="97" t="n"/>
      <c r="AD50" s="161" t="inlineStr">
        <is>
          <t>2026-10-09</t>
        </is>
      </c>
      <c r="AE50" s="174" t="inlineStr">
        <is>
          <t>0801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VINGOODS COMPANY LIMITED</t>
        </is>
      </c>
      <c r="AK50" s="130" t="n"/>
    </row>
    <row r="51" ht="12" customHeight="1">
      <c r="A51" s="108" t="inlineStr">
        <is>
          <t>SKLU2406990</t>
        </is>
      </c>
      <c r="B51" s="108" t="inlineStr">
        <is>
          <t>LCH05</t>
        </is>
      </c>
      <c r="C51" s="108" t="inlineStr">
        <is>
          <t>IFV</t>
        </is>
      </c>
      <c r="D51" s="172" t="inlineStr">
        <is>
          <t>2026-10-08</t>
        </is>
      </c>
      <c r="E51" s="173" t="inlineStr">
        <is>
          <t>0311</t>
        </is>
      </c>
      <c r="F51" s="96" t="inlineStr">
        <is>
          <t>HASLS22260902464</t>
        </is>
      </c>
      <c r="G51" s="96" t="inlineStr">
        <is>
          <t>WHA GC LOGISTICS COMPANY LIMITED</t>
        </is>
      </c>
      <c r="H51" s="111" t="inlineStr">
        <is>
          <t>22GP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HASLS22260902464</t>
        </is>
      </c>
      <c r="N51" s="96" t="inlineStr">
        <is>
          <t xml:space="preserve">20'x5 </t>
        </is>
      </c>
      <c r="O51" s="111" t="inlineStr">
        <is>
          <t>2024</t>
        </is>
      </c>
      <c r="P51" s="111" t="n"/>
      <c r="Q51" s="111" t="n"/>
      <c r="R51" s="96" t="inlineStr">
        <is>
          <t>PCCP</t>
        </is>
      </c>
      <c r="S51" s="96" t="inlineStr">
        <is>
          <t>2610N</t>
        </is>
      </c>
      <c r="T51" s="96" t="inlineStr">
        <is>
          <t>LCH05</t>
        </is>
      </c>
      <c r="U51" s="96" t="inlineStr">
        <is>
          <t>THLCH</t>
        </is>
      </c>
      <c r="V51" s="161" t="inlineStr">
        <is>
          <t>2026-10-14</t>
        </is>
      </c>
      <c r="W51" s="96" t="inlineStr">
        <is>
          <t>JPIYM</t>
        </is>
      </c>
      <c r="X51" s="161" t="inlineStr">
        <is>
          <t>2026-10-23</t>
        </is>
      </c>
      <c r="Y51" s="97" t="n"/>
      <c r="Z51" s="97" t="n"/>
      <c r="AA51" s="97" t="n"/>
      <c r="AB51" s="97" t="n"/>
      <c r="AC51" s="97" t="n"/>
      <c r="AD51" s="161" t="inlineStr">
        <is>
          <t>2026-10-08</t>
        </is>
      </c>
      <c r="AE51" s="174" t="inlineStr">
        <is>
          <t>0801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MARUBENI INNOVEXIS CORPORATION</t>
        </is>
      </c>
      <c r="AK51" s="130" t="n"/>
    </row>
    <row r="52" ht="12" customHeight="1">
      <c r="A52" s="108" t="inlineStr">
        <is>
          <t>SKLU2424083</t>
        </is>
      </c>
      <c r="B52" s="108" t="inlineStr">
        <is>
          <t>LCH05</t>
        </is>
      </c>
      <c r="C52" s="108" t="inlineStr">
        <is>
          <t>IFV</t>
        </is>
      </c>
      <c r="D52" s="172" t="inlineStr">
        <is>
          <t>2026-10-08</t>
        </is>
      </c>
      <c r="E52" s="173" t="inlineStr">
        <is>
          <t>1100</t>
        </is>
      </c>
      <c r="F52" s="96" t="inlineStr">
        <is>
          <t>HASLS22260900900</t>
        </is>
      </c>
      <c r="G52" s="96" t="inlineStr">
        <is>
          <t>WHA GC LOGISTICS COMPANY LIMITED</t>
        </is>
      </c>
      <c r="H52" s="111" t="inlineStr">
        <is>
          <t>22GP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HASLS22260900900</t>
        </is>
      </c>
      <c r="N52" s="96" t="inlineStr">
        <is>
          <t xml:space="preserve">20'x7 </t>
        </is>
      </c>
      <c r="O52" s="111" t="inlineStr">
        <is>
          <t>2024</t>
        </is>
      </c>
      <c r="P52" s="111" t="n"/>
      <c r="Q52" s="111" t="n"/>
      <c r="R52" s="96" t="inlineStr">
        <is>
          <t>PCCP</t>
        </is>
      </c>
      <c r="S52" s="96" t="inlineStr">
        <is>
          <t>2610N</t>
        </is>
      </c>
      <c r="T52" s="96" t="inlineStr">
        <is>
          <t>LCH05</t>
        </is>
      </c>
      <c r="U52" s="96" t="inlineStr">
        <is>
          <t>THLCH</t>
        </is>
      </c>
      <c r="V52" s="161" t="inlineStr">
        <is>
          <t>2026-10-14</t>
        </is>
      </c>
      <c r="W52" s="96" t="inlineStr">
        <is>
          <t>JPIYM</t>
        </is>
      </c>
      <c r="X52" s="161" t="inlineStr">
        <is>
          <t>2026-10-23</t>
        </is>
      </c>
      <c r="Y52" s="97" t="n"/>
      <c r="Z52" s="97" t="n"/>
      <c r="AA52" s="97" t="n"/>
      <c r="AB52" s="97" t="n"/>
      <c r="AC52" s="97" t="n"/>
      <c r="AD52" s="161" t="inlineStr">
        <is>
          <t>2026-10-08</t>
        </is>
      </c>
      <c r="AE52" s="174" t="inlineStr">
        <is>
          <t>2001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MARUBENI INNOVEXIS CORPORATION</t>
        </is>
      </c>
      <c r="AK52" s="130" t="n"/>
    </row>
    <row r="53" ht="12" customHeight="1">
      <c r="A53" s="108" t="inlineStr">
        <is>
          <t>SKLU2477490</t>
        </is>
      </c>
      <c r="B53" s="108" t="inlineStr">
        <is>
          <t>LCH05</t>
        </is>
      </c>
      <c r="C53" s="108" t="inlineStr">
        <is>
          <t>IFV</t>
        </is>
      </c>
      <c r="D53" s="172" t="inlineStr">
        <is>
          <t>2026-10-08</t>
        </is>
      </c>
      <c r="E53" s="173" t="inlineStr">
        <is>
          <t>0000</t>
        </is>
      </c>
      <c r="F53" s="96" t="inlineStr">
        <is>
          <t>HASLS22260902206</t>
        </is>
      </c>
      <c r="G53" s="96" t="inlineStr">
        <is>
          <t>WHA GC LOGISTICS COMPANY LIMITED</t>
        </is>
      </c>
      <c r="H53" s="111" t="inlineStr">
        <is>
          <t>22GP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HASLS22260902206</t>
        </is>
      </c>
      <c r="N53" s="96" t="inlineStr">
        <is>
          <t xml:space="preserve">20'x1 </t>
        </is>
      </c>
      <c r="O53" s="111" t="inlineStr">
        <is>
          <t>2024</t>
        </is>
      </c>
      <c r="P53" s="111" t="n"/>
      <c r="Q53" s="111" t="n"/>
      <c r="R53" s="96" t="inlineStr">
        <is>
          <t>PCCP</t>
        </is>
      </c>
      <c r="S53" s="96" t="inlineStr">
        <is>
          <t>2610N</t>
        </is>
      </c>
      <c r="T53" s="96" t="inlineStr">
        <is>
          <t>LCH05</t>
        </is>
      </c>
      <c r="U53" s="96" t="inlineStr">
        <is>
          <t>THLCH</t>
        </is>
      </c>
      <c r="V53" s="161" t="inlineStr">
        <is>
          <t>2026-10-14</t>
        </is>
      </c>
      <c r="W53" s="96" t="inlineStr">
        <is>
          <t>VNSGN</t>
        </is>
      </c>
      <c r="X53" s="161" t="inlineStr">
        <is>
          <t>2026-10-16</t>
        </is>
      </c>
      <c r="Y53" s="97" t="n"/>
      <c r="Z53" s="97" t="n"/>
      <c r="AA53" s="97" t="n"/>
      <c r="AB53" s="97" t="n"/>
      <c r="AC53" s="97" t="n"/>
      <c r="AD53" s="161" t="inlineStr">
        <is>
          <t>2026-10-08</t>
        </is>
      </c>
      <c r="AE53" s="174" t="inlineStr">
        <is>
          <t>0801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QCC INDUSTRY COMPANY LIMITED</t>
        </is>
      </c>
      <c r="AK53" s="130" t="n"/>
    </row>
    <row r="54" ht="12" customHeight="1">
      <c r="A54" s="108" t="inlineStr">
        <is>
          <t>SKLU3507114</t>
        </is>
      </c>
      <c r="B54" s="108" t="inlineStr">
        <is>
          <t>LCH05</t>
        </is>
      </c>
      <c r="C54" s="108" t="inlineStr">
        <is>
          <t>IFV</t>
        </is>
      </c>
      <c r="D54" s="172" t="inlineStr">
        <is>
          <t>2026-10-08</t>
        </is>
      </c>
      <c r="E54" s="173" t="inlineStr">
        <is>
          <t>2336</t>
        </is>
      </c>
      <c r="F54" s="96" t="inlineStr">
        <is>
          <t>HASLS22260902228</t>
        </is>
      </c>
      <c r="G54" s="96" t="inlineStr">
        <is>
          <t>WHA GC LOGISTICS COMPANY LIMITED</t>
        </is>
      </c>
      <c r="H54" s="111" t="inlineStr">
        <is>
          <t>22GP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HASLS22260902228</t>
        </is>
      </c>
      <c r="N54" s="96" t="inlineStr">
        <is>
          <t xml:space="preserve">20'x1 </t>
        </is>
      </c>
      <c r="O54" s="111" t="inlineStr">
        <is>
          <t>2015</t>
        </is>
      </c>
      <c r="P54" s="111" t="n"/>
      <c r="Q54" s="111" t="n"/>
      <c r="R54" s="96" t="inlineStr">
        <is>
          <t>PCCP</t>
        </is>
      </c>
      <c r="S54" s="96" t="inlineStr">
        <is>
          <t>2610N</t>
        </is>
      </c>
      <c r="T54" s="96" t="inlineStr">
        <is>
          <t>LCH05</t>
        </is>
      </c>
      <c r="U54" s="96" t="inlineStr">
        <is>
          <t>THLCH</t>
        </is>
      </c>
      <c r="V54" s="161" t="inlineStr">
        <is>
          <t>2026-10-14</t>
        </is>
      </c>
      <c r="W54" s="96" t="inlineStr">
        <is>
          <t>VNSGN</t>
        </is>
      </c>
      <c r="X54" s="161" t="inlineStr">
        <is>
          <t>2026-10-16</t>
        </is>
      </c>
      <c r="Y54" s="97" t="n"/>
      <c r="Z54" s="97" t="n"/>
      <c r="AA54" s="97" t="n"/>
      <c r="AB54" s="97" t="n"/>
      <c r="AC54" s="97" t="n"/>
      <c r="AD54" s="161" t="inlineStr">
        <is>
          <t>2026-10-09</t>
        </is>
      </c>
      <c r="AE54" s="174" t="inlineStr">
        <is>
          <t>0801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LINS ENTERPRISE CO.,LTD</t>
        </is>
      </c>
      <c r="AK54" s="130" t="n"/>
    </row>
    <row r="55" ht="12" customHeight="1">
      <c r="A55" s="108" t="inlineStr">
        <is>
          <t>TGCU2410997</t>
        </is>
      </c>
      <c r="B55" s="108" t="inlineStr">
        <is>
          <t>LCH05</t>
        </is>
      </c>
      <c r="C55" s="108" t="inlineStr">
        <is>
          <t>IFV</t>
        </is>
      </c>
      <c r="D55" s="172" t="inlineStr">
        <is>
          <t>2026-10-08</t>
        </is>
      </c>
      <c r="E55" s="173" t="inlineStr">
        <is>
          <t>1049</t>
        </is>
      </c>
      <c r="F55" s="96" t="inlineStr">
        <is>
          <t>HASLS22261000129</t>
        </is>
      </c>
      <c r="G55" s="96" t="inlineStr">
        <is>
          <t>WHA GC LOGISTICS COMPANY LIMITED</t>
        </is>
      </c>
      <c r="H55" s="111" t="inlineStr">
        <is>
          <t>22GP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HASLS22261000129</t>
        </is>
      </c>
      <c r="N55" s="96" t="inlineStr">
        <is>
          <t xml:space="preserve">20'x2 </t>
        </is>
      </c>
      <c r="O55" s="111" t="inlineStr">
        <is>
          <t>2023</t>
        </is>
      </c>
      <c r="P55" s="111" t="n"/>
      <c r="Q55" s="111" t="n"/>
      <c r="R55" s="96" t="inlineStr">
        <is>
          <t>PCCP</t>
        </is>
      </c>
      <c r="S55" s="96" t="inlineStr">
        <is>
          <t>2610N</t>
        </is>
      </c>
      <c r="T55" s="96" t="inlineStr">
        <is>
          <t>LCH05</t>
        </is>
      </c>
      <c r="U55" s="96" t="inlineStr">
        <is>
          <t>THLCH</t>
        </is>
      </c>
      <c r="V55" s="161" t="inlineStr">
        <is>
          <t>2026-10-14</t>
        </is>
      </c>
      <c r="W55" s="96" t="inlineStr">
        <is>
          <t>VNSGN</t>
        </is>
      </c>
      <c r="X55" s="161" t="inlineStr">
        <is>
          <t>2026-10-16</t>
        </is>
      </c>
      <c r="Y55" s="97" t="n"/>
      <c r="Z55" s="97" t="n"/>
      <c r="AA55" s="97" t="n"/>
      <c r="AB55" s="97" t="n"/>
      <c r="AC55" s="97" t="n"/>
      <c r="AD55" s="161" t="inlineStr">
        <is>
          <t>2026-10-08</t>
        </is>
      </c>
      <c r="AE55" s="174" t="inlineStr">
        <is>
          <t>1401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GC MARKETING SOLUTIONS VIETNAM</t>
        </is>
      </c>
      <c r="AK55" s="130" t="n"/>
    </row>
    <row r="56" ht="12" customHeight="1">
      <c r="A56" s="108" t="inlineStr">
        <is>
          <t>TGCU2420212</t>
        </is>
      </c>
      <c r="B56" s="108" t="inlineStr">
        <is>
          <t>LCH05</t>
        </is>
      </c>
      <c r="C56" s="108" t="inlineStr">
        <is>
          <t>IFV</t>
        </is>
      </c>
      <c r="D56" s="172" t="inlineStr">
        <is>
          <t>2026-10-08</t>
        </is>
      </c>
      <c r="E56" s="173" t="inlineStr">
        <is>
          <t>1049</t>
        </is>
      </c>
      <c r="F56" s="96" t="inlineStr">
        <is>
          <t>HASLS22261000129</t>
        </is>
      </c>
      <c r="G56" s="96" t="inlineStr">
        <is>
          <t>WHA GC LOGISTICS COMPANY LIMITED</t>
        </is>
      </c>
      <c r="H56" s="111" t="inlineStr">
        <is>
          <t>22GP</t>
        </is>
      </c>
      <c r="I56" s="96" t="inlineStr">
        <is>
          <t>EMAIL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HASLS22261000129</t>
        </is>
      </c>
      <c r="N56" s="96" t="inlineStr">
        <is>
          <t xml:space="preserve">20'x2 </t>
        </is>
      </c>
      <c r="O56" s="111" t="inlineStr">
        <is>
          <t>2023</t>
        </is>
      </c>
      <c r="P56" s="111" t="n"/>
      <c r="Q56" s="111" t="n"/>
      <c r="R56" s="96" t="inlineStr">
        <is>
          <t>PCCP</t>
        </is>
      </c>
      <c r="S56" s="96" t="inlineStr">
        <is>
          <t>2610N</t>
        </is>
      </c>
      <c r="T56" s="96" t="inlineStr">
        <is>
          <t>LCH05</t>
        </is>
      </c>
      <c r="U56" s="96" t="inlineStr">
        <is>
          <t>THLCH</t>
        </is>
      </c>
      <c r="V56" s="161" t="inlineStr">
        <is>
          <t>2026-10-14</t>
        </is>
      </c>
      <c r="W56" s="96" t="inlineStr">
        <is>
          <t>VNSGN</t>
        </is>
      </c>
      <c r="X56" s="161" t="inlineStr">
        <is>
          <t>2026-10-16</t>
        </is>
      </c>
      <c r="Y56" s="97" t="n"/>
      <c r="Z56" s="97" t="n"/>
      <c r="AA56" s="97" t="n"/>
      <c r="AB56" s="97" t="n"/>
      <c r="AC56" s="97" t="n"/>
      <c r="AD56" s="161" t="inlineStr">
        <is>
          <t>2026-10-08</t>
        </is>
      </c>
      <c r="AE56" s="174" t="inlineStr">
        <is>
          <t>1401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GC MARKETING SOLUTIONS VIETNAM</t>
        </is>
      </c>
      <c r="AK56" s="130" t="n"/>
    </row>
    <row r="57" ht="12" customHeight="1">
      <c r="A57" s="108" t="inlineStr">
        <is>
          <t>CXDU2380488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FSCU5890858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HALU2100503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HALU2309751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HALU2316848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HALU2321633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HALU2403069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HALU2446190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HALU2515475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HALU2526736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HALU2536760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HALU2569867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HALU8504307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HLHU6424168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HLHU8112575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HLHU8205256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HLHU8348642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HLHU8412654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HLHU8453632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SKHU6362905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SKHU6395730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108" t="inlineStr">
        <is>
          <t>SKHU6422650</t>
        </is>
      </c>
      <c r="B78" s="108" t="n"/>
      <c r="C78" s="108" t="n"/>
      <c r="D78" s="172" t="n"/>
      <c r="E78" s="173" t="n"/>
      <c r="F78" s="96" t="n"/>
      <c r="G78" s="96" t="n"/>
      <c r="H78" s="111" t="n"/>
      <c r="I78" s="96" t="n"/>
      <c r="J78" s="96" t="n"/>
      <c r="K78" s="96" t="n"/>
      <c r="L78" s="111" t="n"/>
      <c r="M78" s="96" t="n"/>
      <c r="N78" s="96" t="n"/>
      <c r="O78" s="111" t="n"/>
      <c r="P78" s="111" t="n"/>
      <c r="Q78" s="111" t="n"/>
      <c r="R78" s="96" t="n"/>
      <c r="S78" s="96" t="n"/>
      <c r="T78" s="96" t="n"/>
      <c r="U78" s="96" t="n"/>
      <c r="V78" s="161" t="n"/>
      <c r="W78" s="96" t="n"/>
      <c r="X78" s="161" t="n"/>
      <c r="Y78" s="97" t="n"/>
      <c r="Z78" s="97" t="n"/>
      <c r="AA78" s="97" t="n"/>
      <c r="AB78" s="97" t="n"/>
      <c r="AC78" s="97" t="n"/>
      <c r="AD78" s="161" t="n"/>
      <c r="AE78" s="174" t="n"/>
      <c r="AF78" s="96" t="n"/>
      <c r="AG78" s="97" t="n"/>
      <c r="AH78" s="97" t="n"/>
      <c r="AI78" s="97" t="n"/>
      <c r="AJ78" s="96" t="n"/>
      <c r="AK78" s="130" t="n"/>
    </row>
    <row r="79" ht="12" customHeight="1">
      <c r="A79" s="108" t="inlineStr">
        <is>
          <t>SKHU6469745</t>
        </is>
      </c>
      <c r="B79" s="108" t="n"/>
      <c r="C79" s="108" t="n"/>
      <c r="D79" s="172" t="n"/>
      <c r="E79" s="173" t="n"/>
      <c r="F79" s="96" t="n"/>
      <c r="G79" s="96" t="n"/>
      <c r="H79" s="111" t="n"/>
      <c r="I79" s="96" t="n"/>
      <c r="J79" s="96" t="n"/>
      <c r="K79" s="96" t="n"/>
      <c r="L79" s="111" t="n"/>
      <c r="M79" s="96" t="n"/>
      <c r="N79" s="96" t="n"/>
      <c r="O79" s="111" t="n"/>
      <c r="P79" s="111" t="n"/>
      <c r="Q79" s="111" t="n"/>
      <c r="R79" s="96" t="n"/>
      <c r="S79" s="96" t="n"/>
      <c r="T79" s="96" t="n"/>
      <c r="U79" s="96" t="n"/>
      <c r="V79" s="161" t="n"/>
      <c r="W79" s="96" t="n"/>
      <c r="X79" s="161" t="n"/>
      <c r="Y79" s="97" t="n"/>
      <c r="Z79" s="97" t="n"/>
      <c r="AA79" s="97" t="n"/>
      <c r="AB79" s="97" t="n"/>
      <c r="AC79" s="97" t="n"/>
      <c r="AD79" s="161" t="n"/>
      <c r="AE79" s="174" t="n"/>
      <c r="AF79" s="96" t="n"/>
      <c r="AG79" s="97" t="n"/>
      <c r="AH79" s="97" t="n"/>
      <c r="AI79" s="97" t="n"/>
      <c r="AJ79" s="96" t="n"/>
      <c r="AK79" s="130" t="n"/>
    </row>
    <row r="80" ht="12" customHeight="1">
      <c r="A80" s="108" t="inlineStr">
        <is>
          <t>SKHU6520030</t>
        </is>
      </c>
      <c r="B80" s="108" t="n"/>
      <c r="C80" s="108" t="n"/>
      <c r="D80" s="172" t="n"/>
      <c r="E80" s="173" t="n"/>
      <c r="F80" s="96" t="n"/>
      <c r="G80" s="96" t="n"/>
      <c r="H80" s="111" t="n"/>
      <c r="I80" s="96" t="n"/>
      <c r="J80" s="96" t="n"/>
      <c r="K80" s="96" t="n"/>
      <c r="L80" s="111" t="n"/>
      <c r="M80" s="96" t="n"/>
      <c r="N80" s="96" t="n"/>
      <c r="O80" s="111" t="n"/>
      <c r="P80" s="111" t="n"/>
      <c r="Q80" s="111" t="n"/>
      <c r="R80" s="96" t="n"/>
      <c r="S80" s="96" t="n"/>
      <c r="T80" s="96" t="n"/>
      <c r="U80" s="96" t="n"/>
      <c r="V80" s="161" t="n"/>
      <c r="W80" s="96" t="n"/>
      <c r="X80" s="161" t="n"/>
      <c r="Y80" s="97" t="n"/>
      <c r="Z80" s="97" t="n"/>
      <c r="AA80" s="97" t="n"/>
      <c r="AB80" s="97" t="n"/>
      <c r="AC80" s="97" t="n"/>
      <c r="AD80" s="161" t="n"/>
      <c r="AE80" s="174" t="n"/>
      <c r="AF80" s="96" t="n"/>
      <c r="AG80" s="97" t="n"/>
      <c r="AH80" s="97" t="n"/>
      <c r="AI80" s="97" t="n"/>
      <c r="AJ80" s="96" t="n"/>
      <c r="AK80" s="130" t="n"/>
    </row>
    <row r="81" ht="12" customHeight="1">
      <c r="A81" s="108" t="inlineStr">
        <is>
          <t>SKHU8421967</t>
        </is>
      </c>
      <c r="B81" s="108" t="n"/>
      <c r="C81" s="108" t="n"/>
      <c r="D81" s="172" t="n"/>
      <c r="E81" s="173" t="n"/>
      <c r="F81" s="96" t="n"/>
      <c r="G81" s="96" t="n"/>
      <c r="H81" s="111" t="n"/>
      <c r="I81" s="96" t="n"/>
      <c r="J81" s="96" t="n"/>
      <c r="K81" s="96" t="n"/>
      <c r="L81" s="111" t="n"/>
      <c r="M81" s="96" t="n"/>
      <c r="N81" s="96" t="n"/>
      <c r="O81" s="111" t="n"/>
      <c r="P81" s="111" t="n"/>
      <c r="Q81" s="111" t="n"/>
      <c r="R81" s="96" t="n"/>
      <c r="S81" s="96" t="n"/>
      <c r="T81" s="96" t="n"/>
      <c r="U81" s="96" t="n"/>
      <c r="V81" s="161" t="n"/>
      <c r="W81" s="96" t="n"/>
      <c r="X81" s="161" t="n"/>
      <c r="Y81" s="97" t="n"/>
      <c r="Z81" s="97" t="n"/>
      <c r="AA81" s="97" t="n"/>
      <c r="AB81" s="97" t="n"/>
      <c r="AC81" s="97" t="n"/>
      <c r="AD81" s="161" t="n"/>
      <c r="AE81" s="174" t="n"/>
      <c r="AF81" s="96" t="n"/>
      <c r="AG81" s="97" t="n"/>
      <c r="AH81" s="97" t="n"/>
      <c r="AI81" s="97" t="n"/>
      <c r="AJ81" s="96" t="n"/>
      <c r="AK81" s="130" t="n"/>
    </row>
    <row r="82" ht="12" customHeight="1">
      <c r="A82" s="108" t="inlineStr">
        <is>
          <t>SKHU8433551</t>
        </is>
      </c>
      <c r="B82" s="108" t="n"/>
      <c r="C82" s="108" t="n"/>
      <c r="D82" s="172" t="n"/>
      <c r="E82" s="173" t="n"/>
      <c r="F82" s="96" t="n"/>
      <c r="G82" s="96" t="n"/>
      <c r="H82" s="111" t="n"/>
      <c r="I82" s="96" t="n"/>
      <c r="J82" s="96" t="n"/>
      <c r="K82" s="96" t="n"/>
      <c r="L82" s="111" t="n"/>
      <c r="M82" s="96" t="n"/>
      <c r="N82" s="96" t="n"/>
      <c r="O82" s="111" t="n"/>
      <c r="P82" s="111" t="n"/>
      <c r="Q82" s="111" t="n"/>
      <c r="R82" s="96" t="n"/>
      <c r="S82" s="96" t="n"/>
      <c r="T82" s="96" t="n"/>
      <c r="U82" s="96" t="n"/>
      <c r="V82" s="161" t="n"/>
      <c r="W82" s="96" t="n"/>
      <c r="X82" s="161" t="n"/>
      <c r="Y82" s="97" t="n"/>
      <c r="Z82" s="97" t="n"/>
      <c r="AA82" s="97" t="n"/>
      <c r="AB82" s="97" t="n"/>
      <c r="AC82" s="97" t="n"/>
      <c r="AD82" s="161" t="n"/>
      <c r="AE82" s="174" t="n"/>
      <c r="AF82" s="96" t="n"/>
      <c r="AG82" s="97" t="n"/>
      <c r="AH82" s="97" t="n"/>
      <c r="AI82" s="97" t="n"/>
      <c r="AJ82" s="96" t="n"/>
      <c r="AK82" s="130" t="n"/>
    </row>
    <row r="83" ht="12" customHeight="1">
      <c r="A83" s="108" t="inlineStr">
        <is>
          <t>SKHU8925762</t>
        </is>
      </c>
      <c r="B83" s="108" t="n"/>
      <c r="C83" s="108" t="n"/>
      <c r="D83" s="172" t="n"/>
      <c r="E83" s="173" t="n"/>
      <c r="F83" s="96" t="n"/>
      <c r="G83" s="96" t="n"/>
      <c r="H83" s="111" t="n"/>
      <c r="I83" s="96" t="n"/>
      <c r="J83" s="96" t="n"/>
      <c r="K83" s="96" t="n"/>
      <c r="L83" s="111" t="n"/>
      <c r="M83" s="96" t="n"/>
      <c r="N83" s="96" t="n"/>
      <c r="O83" s="111" t="n"/>
      <c r="P83" s="111" t="n"/>
      <c r="Q83" s="111" t="n"/>
      <c r="R83" s="96" t="n"/>
      <c r="S83" s="96" t="n"/>
      <c r="T83" s="96" t="n"/>
      <c r="U83" s="96" t="n"/>
      <c r="V83" s="161" t="n"/>
      <c r="W83" s="96" t="n"/>
      <c r="X83" s="161" t="n"/>
      <c r="Y83" s="97" t="n"/>
      <c r="Z83" s="97" t="n"/>
      <c r="AA83" s="97" t="n"/>
      <c r="AB83" s="97" t="n"/>
      <c r="AC83" s="97" t="n"/>
      <c r="AD83" s="161" t="n"/>
      <c r="AE83" s="174" t="n"/>
      <c r="AF83" s="96" t="n"/>
      <c r="AG83" s="97" t="n"/>
      <c r="AH83" s="97" t="n"/>
      <c r="AI83" s="97" t="n"/>
      <c r="AJ83" s="96" t="n"/>
      <c r="AK83" s="130" t="n"/>
    </row>
    <row r="84" ht="12" customHeight="1">
      <c r="A84" s="108" t="inlineStr">
        <is>
          <t>SKHU9601578</t>
        </is>
      </c>
      <c r="B84" s="108" t="n"/>
      <c r="C84" s="108" t="n"/>
      <c r="D84" s="172" t="n"/>
      <c r="E84" s="173" t="n"/>
      <c r="F84" s="96" t="n"/>
      <c r="G84" s="96" t="n"/>
      <c r="H84" s="111" t="n"/>
      <c r="I84" s="96" t="n"/>
      <c r="J84" s="96" t="n"/>
      <c r="K84" s="96" t="n"/>
      <c r="L84" s="111" t="n"/>
      <c r="M84" s="96" t="n"/>
      <c r="N84" s="96" t="n"/>
      <c r="O84" s="111" t="n"/>
      <c r="P84" s="111" t="n"/>
      <c r="Q84" s="111" t="n"/>
      <c r="R84" s="96" t="n"/>
      <c r="S84" s="96" t="n"/>
      <c r="T84" s="96" t="n"/>
      <c r="U84" s="96" t="n"/>
      <c r="V84" s="161" t="n"/>
      <c r="W84" s="96" t="n"/>
      <c r="X84" s="161" t="n"/>
      <c r="Y84" s="97" t="n"/>
      <c r="Z84" s="97" t="n"/>
      <c r="AA84" s="97" t="n"/>
      <c r="AB84" s="97" t="n"/>
      <c r="AC84" s="97" t="n"/>
      <c r="AD84" s="161" t="n"/>
      <c r="AE84" s="174" t="n"/>
      <c r="AF84" s="96" t="n"/>
      <c r="AG84" s="97" t="n"/>
      <c r="AH84" s="97" t="n"/>
      <c r="AI84" s="97" t="n"/>
      <c r="AJ84" s="96" t="n"/>
      <c r="AK84" s="130" t="n"/>
    </row>
    <row r="85" ht="12" customHeight="1">
      <c r="A85" s="108" t="inlineStr">
        <is>
          <t>SKHU9618478</t>
        </is>
      </c>
      <c r="B85" s="108" t="n"/>
      <c r="C85" s="108" t="n"/>
      <c r="D85" s="172" t="n"/>
      <c r="E85" s="173" t="n"/>
      <c r="F85" s="96" t="n"/>
      <c r="G85" s="96" t="n"/>
      <c r="H85" s="111" t="n"/>
      <c r="I85" s="96" t="n"/>
      <c r="J85" s="96" t="n"/>
      <c r="K85" s="96" t="n"/>
      <c r="L85" s="111" t="n"/>
      <c r="M85" s="96" t="n"/>
      <c r="N85" s="96" t="n"/>
      <c r="O85" s="111" t="n"/>
      <c r="P85" s="111" t="n"/>
      <c r="Q85" s="111" t="n"/>
      <c r="R85" s="96" t="n"/>
      <c r="S85" s="96" t="n"/>
      <c r="T85" s="96" t="n"/>
      <c r="U85" s="96" t="n"/>
      <c r="V85" s="161" t="n"/>
      <c r="W85" s="96" t="n"/>
      <c r="X85" s="161" t="n"/>
      <c r="Y85" s="97" t="n"/>
      <c r="Z85" s="97" t="n"/>
      <c r="AA85" s="97" t="n"/>
      <c r="AB85" s="97" t="n"/>
      <c r="AC85" s="97" t="n"/>
      <c r="AD85" s="161" t="n"/>
      <c r="AE85" s="174" t="n"/>
      <c r="AF85" s="96" t="n"/>
      <c r="AG85" s="97" t="n"/>
      <c r="AH85" s="97" t="n"/>
      <c r="AI85" s="97" t="n"/>
      <c r="AJ85" s="96" t="n"/>
      <c r="AK85" s="130" t="n"/>
    </row>
    <row r="86" ht="12" customHeight="1">
      <c r="A86" s="108" t="inlineStr">
        <is>
          <t>SKLU1307246</t>
        </is>
      </c>
      <c r="B86" s="108" t="n"/>
      <c r="C86" s="108" t="n"/>
      <c r="D86" s="172" t="n"/>
      <c r="E86" s="173" t="n"/>
      <c r="F86" s="96" t="n"/>
      <c r="G86" s="96" t="n"/>
      <c r="H86" s="111" t="n"/>
      <c r="I86" s="96" t="n"/>
      <c r="J86" s="96" t="n"/>
      <c r="K86" s="96" t="n"/>
      <c r="L86" s="111" t="n"/>
      <c r="M86" s="96" t="n"/>
      <c r="N86" s="96" t="n"/>
      <c r="O86" s="111" t="n"/>
      <c r="P86" s="111" t="n"/>
      <c r="Q86" s="111" t="n"/>
      <c r="R86" s="96" t="n"/>
      <c r="S86" s="96" t="n"/>
      <c r="T86" s="96" t="n"/>
      <c r="U86" s="96" t="n"/>
      <c r="V86" s="161" t="n"/>
      <c r="W86" s="96" t="n"/>
      <c r="X86" s="161" t="n"/>
      <c r="Y86" s="97" t="n"/>
      <c r="Z86" s="97" t="n"/>
      <c r="AA86" s="97" t="n"/>
      <c r="AB86" s="97" t="n"/>
      <c r="AC86" s="97" t="n"/>
      <c r="AD86" s="161" t="n"/>
      <c r="AE86" s="174" t="n"/>
      <c r="AF86" s="96" t="n"/>
      <c r="AG86" s="97" t="n"/>
      <c r="AH86" s="97" t="n"/>
      <c r="AI86" s="97" t="n"/>
      <c r="AJ86" s="96" t="n"/>
      <c r="AK86" s="130" t="n"/>
    </row>
    <row r="87" ht="12" customHeight="1">
      <c r="A87" s="108" t="inlineStr">
        <is>
          <t>SKLU1431787</t>
        </is>
      </c>
      <c r="B87" s="108" t="n"/>
      <c r="C87" s="108" t="n"/>
      <c r="D87" s="172" t="n"/>
      <c r="E87" s="173" t="n"/>
      <c r="F87" s="96" t="n"/>
      <c r="G87" s="96" t="n"/>
      <c r="H87" s="111" t="n"/>
      <c r="I87" s="96" t="n"/>
      <c r="J87" s="96" t="n"/>
      <c r="K87" s="96" t="n"/>
      <c r="L87" s="111" t="n"/>
      <c r="M87" s="96" t="n"/>
      <c r="N87" s="96" t="n"/>
      <c r="O87" s="111" t="n"/>
      <c r="P87" s="111" t="n"/>
      <c r="Q87" s="111" t="n"/>
      <c r="R87" s="96" t="n"/>
      <c r="S87" s="96" t="n"/>
      <c r="T87" s="96" t="n"/>
      <c r="U87" s="96" t="n"/>
      <c r="V87" s="161" t="n"/>
      <c r="W87" s="96" t="n"/>
      <c r="X87" s="161" t="n"/>
      <c r="Y87" s="97" t="n"/>
      <c r="Z87" s="97" t="n"/>
      <c r="AA87" s="97" t="n"/>
      <c r="AB87" s="97" t="n"/>
      <c r="AC87" s="97" t="n"/>
      <c r="AD87" s="161" t="n"/>
      <c r="AE87" s="174" t="n"/>
      <c r="AF87" s="96" t="n"/>
      <c r="AG87" s="97" t="n"/>
      <c r="AH87" s="97" t="n"/>
      <c r="AI87" s="97" t="n"/>
      <c r="AJ87" s="96" t="n"/>
      <c r="AK87" s="130" t="n"/>
    </row>
    <row r="88" ht="12" customHeight="1">
      <c r="A88" s="108" t="inlineStr">
        <is>
          <t>SKLU1501272</t>
        </is>
      </c>
      <c r="B88" s="108" t="n"/>
      <c r="C88" s="108" t="n"/>
      <c r="D88" s="172" t="n"/>
      <c r="E88" s="173" t="n"/>
      <c r="F88" s="96" t="n"/>
      <c r="G88" s="96" t="n"/>
      <c r="H88" s="111" t="n"/>
      <c r="I88" s="96" t="n"/>
      <c r="J88" s="96" t="n"/>
      <c r="K88" s="96" t="n"/>
      <c r="L88" s="111" t="n"/>
      <c r="M88" s="96" t="n"/>
      <c r="N88" s="96" t="n"/>
      <c r="O88" s="111" t="n"/>
      <c r="P88" s="111" t="n"/>
      <c r="Q88" s="111" t="n"/>
      <c r="R88" s="96" t="n"/>
      <c r="S88" s="96" t="n"/>
      <c r="T88" s="96" t="n"/>
      <c r="U88" s="96" t="n"/>
      <c r="V88" s="161" t="n"/>
      <c r="W88" s="96" t="n"/>
      <c r="X88" s="161" t="n"/>
      <c r="Y88" s="97" t="n"/>
      <c r="Z88" s="97" t="n"/>
      <c r="AA88" s="97" t="n"/>
      <c r="AB88" s="97" t="n"/>
      <c r="AC88" s="97" t="n"/>
      <c r="AD88" s="161" t="n"/>
      <c r="AE88" s="174" t="n"/>
      <c r="AF88" s="96" t="n"/>
      <c r="AG88" s="97" t="n"/>
      <c r="AH88" s="97" t="n"/>
      <c r="AI88" s="97" t="n"/>
      <c r="AJ88" s="96" t="n"/>
      <c r="AK88" s="130" t="n"/>
    </row>
    <row r="89" ht="12" customHeight="1">
      <c r="A89" s="108" t="inlineStr">
        <is>
          <t>SKLU1502540</t>
        </is>
      </c>
      <c r="B89" s="108" t="n"/>
      <c r="C89" s="108" t="n"/>
      <c r="D89" s="172" t="n"/>
      <c r="E89" s="173" t="n"/>
      <c r="F89" s="96" t="n"/>
      <c r="G89" s="96" t="n"/>
      <c r="H89" s="111" t="n"/>
      <c r="I89" s="96" t="n"/>
      <c r="J89" s="96" t="n"/>
      <c r="K89" s="96" t="n"/>
      <c r="L89" s="111" t="n"/>
      <c r="M89" s="96" t="n"/>
      <c r="N89" s="96" t="n"/>
      <c r="O89" s="111" t="n"/>
      <c r="P89" s="111" t="n"/>
      <c r="Q89" s="111" t="n"/>
      <c r="R89" s="96" t="n"/>
      <c r="S89" s="96" t="n"/>
      <c r="T89" s="96" t="n"/>
      <c r="U89" s="96" t="n"/>
      <c r="V89" s="161" t="n"/>
      <c r="W89" s="96" t="n"/>
      <c r="X89" s="161" t="n"/>
      <c r="Y89" s="97" t="n"/>
      <c r="Z89" s="97" t="n"/>
      <c r="AA89" s="97" t="n"/>
      <c r="AB89" s="97" t="n"/>
      <c r="AC89" s="97" t="n"/>
      <c r="AD89" s="161" t="n"/>
      <c r="AE89" s="174" t="n"/>
      <c r="AF89" s="96" t="n"/>
      <c r="AG89" s="97" t="n"/>
      <c r="AH89" s="97" t="n"/>
      <c r="AI89" s="97" t="n"/>
      <c r="AJ89" s="96" t="n"/>
      <c r="AK89" s="130" t="n"/>
    </row>
    <row r="90" ht="12" customHeight="1">
      <c r="A90" s="108" t="inlineStr">
        <is>
          <t>SKLU1529330</t>
        </is>
      </c>
      <c r="B90" s="108" t="n"/>
      <c r="C90" s="108" t="n"/>
      <c r="D90" s="172" t="n"/>
      <c r="E90" s="173" t="n"/>
      <c r="F90" s="96" t="n"/>
      <c r="G90" s="96" t="n"/>
      <c r="H90" s="111" t="n"/>
      <c r="I90" s="96" t="n"/>
      <c r="J90" s="96" t="n"/>
      <c r="K90" s="96" t="n"/>
      <c r="L90" s="111" t="n"/>
      <c r="M90" s="96" t="n"/>
      <c r="N90" s="96" t="n"/>
      <c r="O90" s="111" t="n"/>
      <c r="P90" s="111" t="n"/>
      <c r="Q90" s="111" t="n"/>
      <c r="R90" s="96" t="n"/>
      <c r="S90" s="96" t="n"/>
      <c r="T90" s="96" t="n"/>
      <c r="U90" s="96" t="n"/>
      <c r="V90" s="161" t="n"/>
      <c r="W90" s="96" t="n"/>
      <c r="X90" s="161" t="n"/>
      <c r="Y90" s="97" t="n"/>
      <c r="Z90" s="97" t="n"/>
      <c r="AA90" s="97" t="n"/>
      <c r="AB90" s="97" t="n"/>
      <c r="AC90" s="97" t="n"/>
      <c r="AD90" s="161" t="n"/>
      <c r="AE90" s="174" t="n"/>
      <c r="AF90" s="96" t="n"/>
      <c r="AG90" s="97" t="n"/>
      <c r="AH90" s="97" t="n"/>
      <c r="AI90" s="97" t="n"/>
      <c r="AJ90" s="96" t="n"/>
      <c r="AK90" s="130" t="n"/>
    </row>
    <row r="91" ht="12" customHeight="1">
      <c r="A91" s="108" t="inlineStr">
        <is>
          <t>SKLU1564075</t>
        </is>
      </c>
      <c r="B91" s="108" t="n"/>
      <c r="C91" s="108" t="n"/>
      <c r="D91" s="172" t="n"/>
      <c r="E91" s="173" t="n"/>
      <c r="F91" s="96" t="n"/>
      <c r="G91" s="96" t="n"/>
      <c r="H91" s="111" t="n"/>
      <c r="I91" s="96" t="n"/>
      <c r="J91" s="96" t="n"/>
      <c r="K91" s="96" t="n"/>
      <c r="L91" s="111" t="n"/>
      <c r="M91" s="96" t="n"/>
      <c r="N91" s="96" t="n"/>
      <c r="O91" s="111" t="n"/>
      <c r="P91" s="111" t="n"/>
      <c r="Q91" s="111" t="n"/>
      <c r="R91" s="96" t="n"/>
      <c r="S91" s="96" t="n"/>
      <c r="T91" s="96" t="n"/>
      <c r="U91" s="96" t="n"/>
      <c r="V91" s="161" t="n"/>
      <c r="W91" s="96" t="n"/>
      <c r="X91" s="161" t="n"/>
      <c r="Y91" s="97" t="n"/>
      <c r="Z91" s="97" t="n"/>
      <c r="AA91" s="97" t="n"/>
      <c r="AB91" s="97" t="n"/>
      <c r="AC91" s="97" t="n"/>
      <c r="AD91" s="161" t="n"/>
      <c r="AE91" s="174" t="n"/>
      <c r="AF91" s="96" t="n"/>
      <c r="AG91" s="97" t="n"/>
      <c r="AH91" s="97" t="n"/>
      <c r="AI91" s="97" t="n"/>
      <c r="AJ91" s="96" t="n"/>
      <c r="AK91" s="130" t="n"/>
    </row>
    <row r="92" ht="12" customHeight="1">
      <c r="A92" s="108" t="inlineStr">
        <is>
          <t>SKLU1643092</t>
        </is>
      </c>
      <c r="B92" s="108" t="n"/>
      <c r="C92" s="108" t="n"/>
      <c r="D92" s="172" t="n"/>
      <c r="E92" s="173" t="n"/>
      <c r="F92" s="96" t="n"/>
      <c r="G92" s="96" t="n"/>
      <c r="H92" s="111" t="n"/>
      <c r="I92" s="96" t="n"/>
      <c r="J92" s="96" t="n"/>
      <c r="K92" s="96" t="n"/>
      <c r="L92" s="111" t="n"/>
      <c r="M92" s="96" t="n"/>
      <c r="N92" s="96" t="n"/>
      <c r="O92" s="111" t="n"/>
      <c r="P92" s="111" t="n"/>
      <c r="Q92" s="111" t="n"/>
      <c r="R92" s="96" t="n"/>
      <c r="S92" s="96" t="n"/>
      <c r="T92" s="96" t="n"/>
      <c r="U92" s="96" t="n"/>
      <c r="V92" s="161" t="n"/>
      <c r="W92" s="96" t="n"/>
      <c r="X92" s="161" t="n"/>
      <c r="Y92" s="97" t="n"/>
      <c r="Z92" s="97" t="n"/>
      <c r="AA92" s="97" t="n"/>
      <c r="AB92" s="97" t="n"/>
      <c r="AC92" s="97" t="n"/>
      <c r="AD92" s="161" t="n"/>
      <c r="AE92" s="174" t="n"/>
      <c r="AF92" s="96" t="n"/>
      <c r="AG92" s="97" t="n"/>
      <c r="AH92" s="97" t="n"/>
      <c r="AI92" s="97" t="n"/>
      <c r="AJ92" s="96" t="n"/>
      <c r="AK92" s="130" t="n"/>
    </row>
    <row r="93" ht="12" customHeight="1">
      <c r="A93" s="108" t="inlineStr">
        <is>
          <t>SKLU1648556</t>
        </is>
      </c>
      <c r="B93" s="108" t="n"/>
      <c r="C93" s="108" t="n"/>
      <c r="D93" s="172" t="n"/>
      <c r="E93" s="173" t="n"/>
      <c r="F93" s="96" t="n"/>
      <c r="G93" s="96" t="n"/>
      <c r="H93" s="111" t="n"/>
      <c r="I93" s="96" t="n"/>
      <c r="J93" s="96" t="n"/>
      <c r="K93" s="96" t="n"/>
      <c r="L93" s="111" t="n"/>
      <c r="M93" s="96" t="n"/>
      <c r="N93" s="96" t="n"/>
      <c r="O93" s="111" t="n"/>
      <c r="P93" s="111" t="n"/>
      <c r="Q93" s="111" t="n"/>
      <c r="R93" s="96" t="n"/>
      <c r="S93" s="96" t="n"/>
      <c r="T93" s="96" t="n"/>
      <c r="U93" s="96" t="n"/>
      <c r="V93" s="161" t="n"/>
      <c r="W93" s="96" t="n"/>
      <c r="X93" s="161" t="n"/>
      <c r="Y93" s="97" t="n"/>
      <c r="Z93" s="97" t="n"/>
      <c r="AA93" s="97" t="n"/>
      <c r="AB93" s="97" t="n"/>
      <c r="AC93" s="97" t="n"/>
      <c r="AD93" s="161" t="n"/>
      <c r="AE93" s="174" t="n"/>
      <c r="AF93" s="96" t="n"/>
      <c r="AG93" s="97" t="n"/>
      <c r="AH93" s="97" t="n"/>
      <c r="AI93" s="97" t="n"/>
      <c r="AJ93" s="96" t="n"/>
      <c r="AK93" s="130" t="n"/>
    </row>
    <row r="94" ht="12" customHeight="1">
      <c r="A94" s="108" t="inlineStr">
        <is>
          <t>SKLU1903081</t>
        </is>
      </c>
      <c r="B94" s="108" t="n"/>
      <c r="C94" s="108" t="n"/>
      <c r="D94" s="172" t="n"/>
      <c r="E94" s="173" t="n"/>
      <c r="F94" s="96" t="n"/>
      <c r="G94" s="96" t="n"/>
      <c r="H94" s="111" t="n"/>
      <c r="I94" s="96" t="n"/>
      <c r="J94" s="96" t="n"/>
      <c r="K94" s="96" t="n"/>
      <c r="L94" s="111" t="n"/>
      <c r="M94" s="96" t="n"/>
      <c r="N94" s="96" t="n"/>
      <c r="O94" s="111" t="n"/>
      <c r="P94" s="111" t="n"/>
      <c r="Q94" s="111" t="n"/>
      <c r="R94" s="96" t="n"/>
      <c r="S94" s="96" t="n"/>
      <c r="T94" s="96" t="n"/>
      <c r="U94" s="96" t="n"/>
      <c r="V94" s="161" t="n"/>
      <c r="W94" s="96" t="n"/>
      <c r="X94" s="161" t="n"/>
      <c r="Y94" s="97" t="n"/>
      <c r="Z94" s="97" t="n"/>
      <c r="AA94" s="97" t="n"/>
      <c r="AB94" s="97" t="n"/>
      <c r="AC94" s="97" t="n"/>
      <c r="AD94" s="161" t="n"/>
      <c r="AE94" s="174" t="n"/>
      <c r="AF94" s="96" t="n"/>
      <c r="AG94" s="97" t="n"/>
      <c r="AH94" s="97" t="n"/>
      <c r="AI94" s="97" t="n"/>
      <c r="AJ94" s="96" t="n"/>
      <c r="AK94" s="130" t="n"/>
    </row>
    <row r="95" ht="12" customHeight="1">
      <c r="A95" s="108" t="inlineStr">
        <is>
          <t>SKLU1914173</t>
        </is>
      </c>
      <c r="B95" s="108" t="n"/>
      <c r="C95" s="108" t="n"/>
      <c r="D95" s="172" t="n"/>
      <c r="E95" s="173" t="n"/>
      <c r="F95" s="96" t="n"/>
      <c r="G95" s="96" t="n"/>
      <c r="H95" s="111" t="n"/>
      <c r="I95" s="96" t="n"/>
      <c r="J95" s="96" t="n"/>
      <c r="K95" s="96" t="n"/>
      <c r="L95" s="111" t="n"/>
      <c r="M95" s="96" t="n"/>
      <c r="N95" s="96" t="n"/>
      <c r="O95" s="111" t="n"/>
      <c r="P95" s="111" t="n"/>
      <c r="Q95" s="111" t="n"/>
      <c r="R95" s="96" t="n"/>
      <c r="S95" s="96" t="n"/>
      <c r="T95" s="96" t="n"/>
      <c r="U95" s="96" t="n"/>
      <c r="V95" s="161" t="n"/>
      <c r="W95" s="96" t="n"/>
      <c r="X95" s="161" t="n"/>
      <c r="Y95" s="97" t="n"/>
      <c r="Z95" s="97" t="n"/>
      <c r="AA95" s="97" t="n"/>
      <c r="AB95" s="97" t="n"/>
      <c r="AC95" s="97" t="n"/>
      <c r="AD95" s="161" t="n"/>
      <c r="AE95" s="174" t="n"/>
      <c r="AF95" s="96" t="n"/>
      <c r="AG95" s="97" t="n"/>
      <c r="AH95" s="97" t="n"/>
      <c r="AI95" s="97" t="n"/>
      <c r="AJ95" s="96" t="n"/>
      <c r="AK95" s="130" t="n"/>
    </row>
    <row r="96" ht="12" customHeight="1">
      <c r="A96" s="108" t="inlineStr">
        <is>
          <t>SKLU1920290</t>
        </is>
      </c>
      <c r="B96" s="108" t="n"/>
      <c r="C96" s="108" t="n"/>
      <c r="D96" s="172" t="n"/>
      <c r="E96" s="173" t="n"/>
      <c r="F96" s="96" t="n"/>
      <c r="G96" s="96" t="n"/>
      <c r="H96" s="111" t="n"/>
      <c r="I96" s="96" t="n"/>
      <c r="J96" s="96" t="n"/>
      <c r="K96" s="96" t="n"/>
      <c r="L96" s="111" t="n"/>
      <c r="M96" s="96" t="n"/>
      <c r="N96" s="96" t="n"/>
      <c r="O96" s="111" t="n"/>
      <c r="P96" s="111" t="n"/>
      <c r="Q96" s="111" t="n"/>
      <c r="R96" s="96" t="n"/>
      <c r="S96" s="96" t="n"/>
      <c r="T96" s="96" t="n"/>
      <c r="U96" s="96" t="n"/>
      <c r="V96" s="161" t="n"/>
      <c r="W96" s="96" t="n"/>
      <c r="X96" s="161" t="n"/>
      <c r="Y96" s="97" t="n"/>
      <c r="Z96" s="97" t="n"/>
      <c r="AA96" s="97" t="n"/>
      <c r="AB96" s="97" t="n"/>
      <c r="AC96" s="97" t="n"/>
      <c r="AD96" s="161" t="n"/>
      <c r="AE96" s="174" t="n"/>
      <c r="AF96" s="96" t="n"/>
      <c r="AG96" s="97" t="n"/>
      <c r="AH96" s="97" t="n"/>
      <c r="AI96" s="97" t="n"/>
      <c r="AJ96" s="96" t="n"/>
      <c r="AK96" s="130" t="n"/>
    </row>
    <row r="97" ht="12" customHeight="1">
      <c r="A97" s="108" t="inlineStr">
        <is>
          <t>SKLU1926831</t>
        </is>
      </c>
      <c r="B97" s="108" t="n"/>
      <c r="C97" s="108" t="n"/>
      <c r="D97" s="172" t="n"/>
      <c r="E97" s="173" t="n"/>
      <c r="F97" s="96" t="n"/>
      <c r="G97" s="96" t="n"/>
      <c r="H97" s="111" t="n"/>
      <c r="I97" s="96" t="n"/>
      <c r="J97" s="96" t="n"/>
      <c r="K97" s="96" t="n"/>
      <c r="L97" s="111" t="n"/>
      <c r="M97" s="96" t="n"/>
      <c r="N97" s="96" t="n"/>
      <c r="O97" s="111" t="n"/>
      <c r="P97" s="111" t="n"/>
      <c r="Q97" s="111" t="n"/>
      <c r="R97" s="96" t="n"/>
      <c r="S97" s="96" t="n"/>
      <c r="T97" s="96" t="n"/>
      <c r="U97" s="96" t="n"/>
      <c r="V97" s="161" t="n"/>
      <c r="W97" s="96" t="n"/>
      <c r="X97" s="161" t="n"/>
      <c r="Y97" s="97" t="n"/>
      <c r="Z97" s="97" t="n"/>
      <c r="AA97" s="97" t="n"/>
      <c r="AB97" s="97" t="n"/>
      <c r="AC97" s="97" t="n"/>
      <c r="AD97" s="161" t="n"/>
      <c r="AE97" s="174" t="n"/>
      <c r="AF97" s="96" t="n"/>
      <c r="AG97" s="97" t="n"/>
      <c r="AH97" s="97" t="n"/>
      <c r="AI97" s="97" t="n"/>
      <c r="AJ97" s="96" t="n"/>
      <c r="AK97" s="130" t="n"/>
    </row>
    <row r="98" ht="12" customHeight="1">
      <c r="A98" s="108" t="inlineStr">
        <is>
          <t>SKLU1931885</t>
        </is>
      </c>
      <c r="B98" s="108" t="n"/>
      <c r="C98" s="108" t="n"/>
      <c r="D98" s="172" t="n"/>
      <c r="E98" s="173" t="n"/>
      <c r="F98" s="96" t="n"/>
      <c r="G98" s="96" t="n"/>
      <c r="H98" s="111" t="n"/>
      <c r="I98" s="96" t="n"/>
      <c r="J98" s="96" t="n"/>
      <c r="K98" s="96" t="n"/>
      <c r="L98" s="111" t="n"/>
      <c r="M98" s="96" t="n"/>
      <c r="N98" s="96" t="n"/>
      <c r="O98" s="111" t="n"/>
      <c r="P98" s="111" t="n"/>
      <c r="Q98" s="111" t="n"/>
      <c r="R98" s="96" t="n"/>
      <c r="S98" s="96" t="n"/>
      <c r="T98" s="96" t="n"/>
      <c r="U98" s="96" t="n"/>
      <c r="V98" s="161" t="n"/>
      <c r="W98" s="96" t="n"/>
      <c r="X98" s="161" t="n"/>
      <c r="Y98" s="97" t="n"/>
      <c r="Z98" s="97" t="n"/>
      <c r="AA98" s="97" t="n"/>
      <c r="AB98" s="97" t="n"/>
      <c r="AC98" s="97" t="n"/>
      <c r="AD98" s="161" t="n"/>
      <c r="AE98" s="174" t="n"/>
      <c r="AF98" s="96" t="n"/>
      <c r="AG98" s="97" t="n"/>
      <c r="AH98" s="97" t="n"/>
      <c r="AI98" s="97" t="n"/>
      <c r="AJ98" s="96" t="n"/>
      <c r="AK98" s="130" t="n"/>
    </row>
    <row r="99" ht="12" customHeight="1">
      <c r="A99" s="108" t="inlineStr">
        <is>
          <t>SKLU1933065</t>
        </is>
      </c>
      <c r="B99" s="108" t="n"/>
      <c r="C99" s="108" t="n"/>
      <c r="D99" s="172" t="n"/>
      <c r="E99" s="173" t="n"/>
      <c r="F99" s="96" t="n"/>
      <c r="G99" s="96" t="n"/>
      <c r="H99" s="111" t="n"/>
      <c r="I99" s="96" t="n"/>
      <c r="J99" s="96" t="n"/>
      <c r="K99" s="96" t="n"/>
      <c r="L99" s="111" t="n"/>
      <c r="M99" s="96" t="n"/>
      <c r="N99" s="96" t="n"/>
      <c r="O99" s="111" t="n"/>
      <c r="P99" s="111" t="n"/>
      <c r="Q99" s="111" t="n"/>
      <c r="R99" s="96" t="n"/>
      <c r="S99" s="96" t="n"/>
      <c r="T99" s="96" t="n"/>
      <c r="U99" s="96" t="n"/>
      <c r="V99" s="161" t="n"/>
      <c r="W99" s="96" t="n"/>
      <c r="X99" s="161" t="n"/>
      <c r="Y99" s="97" t="n"/>
      <c r="Z99" s="97" t="n"/>
      <c r="AA99" s="97" t="n"/>
      <c r="AB99" s="97" t="n"/>
      <c r="AC99" s="97" t="n"/>
      <c r="AD99" s="161" t="n"/>
      <c r="AE99" s="174" t="n"/>
      <c r="AF99" s="96" t="n"/>
      <c r="AG99" s="97" t="n"/>
      <c r="AH99" s="97" t="n"/>
      <c r="AI99" s="97" t="n"/>
      <c r="AJ99" s="96" t="n"/>
      <c r="AK99" s="130" t="n"/>
    </row>
    <row r="100" ht="12" customHeight="1">
      <c r="A100" s="108" t="inlineStr">
        <is>
          <t>SKLU2002072</t>
        </is>
      </c>
      <c r="B100" s="108" t="n"/>
      <c r="C100" s="108" t="n"/>
      <c r="D100" s="172" t="n"/>
      <c r="E100" s="173" t="n"/>
      <c r="F100" s="96" t="n"/>
      <c r="G100" s="96" t="n"/>
      <c r="H100" s="111" t="n"/>
      <c r="I100" s="96" t="n"/>
      <c r="J100" s="96" t="n"/>
      <c r="K100" s="96" t="n"/>
      <c r="L100" s="111" t="n"/>
      <c r="M100" s="96" t="n"/>
      <c r="N100" s="96" t="n"/>
      <c r="O100" s="111" t="n"/>
      <c r="P100" s="111" t="n"/>
      <c r="Q100" s="111" t="n"/>
      <c r="R100" s="96" t="n"/>
      <c r="S100" s="96" t="n"/>
      <c r="T100" s="96" t="n"/>
      <c r="U100" s="96" t="n"/>
      <c r="V100" s="161" t="n"/>
      <c r="W100" s="96" t="n"/>
      <c r="X100" s="161" t="n"/>
      <c r="Y100" s="97" t="n"/>
      <c r="Z100" s="97" t="n"/>
      <c r="AA100" s="97" t="n"/>
      <c r="AB100" s="97" t="n"/>
      <c r="AC100" s="97" t="n"/>
      <c r="AD100" s="161" t="n"/>
      <c r="AE100" s="174" t="n"/>
      <c r="AF100" s="96" t="n"/>
      <c r="AG100" s="97" t="n"/>
      <c r="AH100" s="97" t="n"/>
      <c r="AI100" s="97" t="n"/>
      <c r="AJ100" s="96" t="n"/>
      <c r="AK100" s="130" t="n"/>
    </row>
    <row r="101" ht="12" customHeight="1">
      <c r="A101" s="108" t="inlineStr">
        <is>
          <t>SKLU2038394</t>
        </is>
      </c>
      <c r="B101" s="108" t="n"/>
      <c r="C101" s="108" t="n"/>
      <c r="D101" s="172" t="n"/>
      <c r="E101" s="173" t="n"/>
      <c r="F101" s="96" t="n"/>
      <c r="G101" s="96" t="n"/>
      <c r="H101" s="111" t="n"/>
      <c r="I101" s="96" t="n"/>
      <c r="J101" s="96" t="n"/>
      <c r="K101" s="96" t="n"/>
      <c r="L101" s="111" t="n"/>
      <c r="M101" s="96" t="n"/>
      <c r="N101" s="96" t="n"/>
      <c r="O101" s="111" t="n"/>
      <c r="P101" s="111" t="n"/>
      <c r="Q101" s="111" t="n"/>
      <c r="R101" s="96" t="n"/>
      <c r="S101" s="96" t="n"/>
      <c r="T101" s="96" t="n"/>
      <c r="U101" s="96" t="n"/>
      <c r="V101" s="161" t="n"/>
      <c r="W101" s="96" t="n"/>
      <c r="X101" s="161" t="n"/>
      <c r="Y101" s="97" t="n"/>
      <c r="Z101" s="97" t="n"/>
      <c r="AA101" s="97" t="n"/>
      <c r="AB101" s="97" t="n"/>
      <c r="AC101" s="97" t="n"/>
      <c r="AD101" s="161" t="n"/>
      <c r="AE101" s="174" t="n"/>
      <c r="AF101" s="96" t="n"/>
      <c r="AG101" s="97" t="n"/>
      <c r="AH101" s="97" t="n"/>
      <c r="AI101" s="97" t="n"/>
      <c r="AJ101" s="96" t="n"/>
      <c r="AK101" s="130" t="n"/>
    </row>
    <row r="102" ht="12" customHeight="1">
      <c r="A102" s="108" t="inlineStr">
        <is>
          <t>SKLU2057223</t>
        </is>
      </c>
      <c r="B102" s="108" t="n"/>
      <c r="C102" s="108" t="n"/>
      <c r="D102" s="172" t="n"/>
      <c r="E102" s="173" t="n"/>
      <c r="F102" s="96" t="n"/>
      <c r="G102" s="96" t="n"/>
      <c r="H102" s="111" t="n"/>
      <c r="I102" s="96" t="n"/>
      <c r="J102" s="96" t="n"/>
      <c r="K102" s="96" t="n"/>
      <c r="L102" s="111" t="n"/>
      <c r="M102" s="96" t="n"/>
      <c r="N102" s="96" t="n"/>
      <c r="O102" s="111" t="n"/>
      <c r="P102" s="111" t="n"/>
      <c r="Q102" s="111" t="n"/>
      <c r="R102" s="96" t="n"/>
      <c r="S102" s="96" t="n"/>
      <c r="T102" s="96" t="n"/>
      <c r="U102" s="96" t="n"/>
      <c r="V102" s="161" t="n"/>
      <c r="W102" s="96" t="n"/>
      <c r="X102" s="161" t="n"/>
      <c r="Y102" s="97" t="n"/>
      <c r="Z102" s="97" t="n"/>
      <c r="AA102" s="97" t="n"/>
      <c r="AB102" s="97" t="n"/>
      <c r="AC102" s="97" t="n"/>
      <c r="AD102" s="161" t="n"/>
      <c r="AE102" s="174" t="n"/>
      <c r="AF102" s="96" t="n"/>
      <c r="AG102" s="97" t="n"/>
      <c r="AH102" s="97" t="n"/>
      <c r="AI102" s="97" t="n"/>
      <c r="AJ102" s="96" t="n"/>
      <c r="AK102" s="130" t="n"/>
    </row>
    <row r="103" ht="12" customHeight="1">
      <c r="A103" s="108" t="inlineStr">
        <is>
          <t>SKLU2125626</t>
        </is>
      </c>
      <c r="B103" s="108" t="n"/>
      <c r="C103" s="108" t="n"/>
      <c r="D103" s="172" t="n"/>
      <c r="E103" s="173" t="n"/>
      <c r="F103" s="96" t="n"/>
      <c r="G103" s="96" t="n"/>
      <c r="H103" s="111" t="n"/>
      <c r="I103" s="96" t="n"/>
      <c r="J103" s="96" t="n"/>
      <c r="K103" s="96" t="n"/>
      <c r="L103" s="111" t="n"/>
      <c r="M103" s="96" t="n"/>
      <c r="N103" s="96" t="n"/>
      <c r="O103" s="111" t="n"/>
      <c r="P103" s="111" t="n"/>
      <c r="Q103" s="111" t="n"/>
      <c r="R103" s="96" t="n"/>
      <c r="S103" s="96" t="n"/>
      <c r="T103" s="96" t="n"/>
      <c r="U103" s="96" t="n"/>
      <c r="V103" s="161" t="n"/>
      <c r="W103" s="96" t="n"/>
      <c r="X103" s="161" t="n"/>
      <c r="Y103" s="97" t="n"/>
      <c r="Z103" s="97" t="n"/>
      <c r="AA103" s="97" t="n"/>
      <c r="AB103" s="97" t="n"/>
      <c r="AC103" s="97" t="n"/>
      <c r="AD103" s="161" t="n"/>
      <c r="AE103" s="174" t="n"/>
      <c r="AF103" s="96" t="n"/>
      <c r="AG103" s="97" t="n"/>
      <c r="AH103" s="97" t="n"/>
      <c r="AI103" s="97" t="n"/>
      <c r="AJ103" s="96" t="n"/>
      <c r="AK103" s="130" t="n"/>
    </row>
    <row r="104" ht="12" customHeight="1">
      <c r="A104" s="108" t="inlineStr">
        <is>
          <t>SKLU2348640</t>
        </is>
      </c>
      <c r="B104" s="108" t="n"/>
      <c r="C104" s="108" t="n"/>
      <c r="D104" s="172" t="n"/>
      <c r="E104" s="173" t="n"/>
      <c r="F104" s="96" t="n"/>
      <c r="G104" s="96" t="n"/>
      <c r="H104" s="111" t="n"/>
      <c r="I104" s="96" t="n"/>
      <c r="J104" s="96" t="n"/>
      <c r="K104" s="96" t="n"/>
      <c r="L104" s="111" t="n"/>
      <c r="M104" s="96" t="n"/>
      <c r="N104" s="96" t="n"/>
      <c r="O104" s="111" t="n"/>
      <c r="P104" s="111" t="n"/>
      <c r="Q104" s="111" t="n"/>
      <c r="R104" s="96" t="n"/>
      <c r="S104" s="96" t="n"/>
      <c r="T104" s="96" t="n"/>
      <c r="U104" s="96" t="n"/>
      <c r="V104" s="161" t="n"/>
      <c r="W104" s="96" t="n"/>
      <c r="X104" s="161" t="n"/>
      <c r="Y104" s="97" t="n"/>
      <c r="Z104" s="97" t="n"/>
      <c r="AA104" s="97" t="n"/>
      <c r="AB104" s="97" t="n"/>
      <c r="AC104" s="97" t="n"/>
      <c r="AD104" s="161" t="n"/>
      <c r="AE104" s="174" t="n"/>
      <c r="AF104" s="96" t="n"/>
      <c r="AG104" s="97" t="n"/>
      <c r="AH104" s="97" t="n"/>
      <c r="AI104" s="97" t="n"/>
      <c r="AJ104" s="96" t="n"/>
      <c r="AK104" s="130" t="n"/>
    </row>
    <row r="105" ht="12" customHeight="1">
      <c r="A105" s="108" t="inlineStr">
        <is>
          <t>SKLU2351921</t>
        </is>
      </c>
      <c r="B105" s="108" t="n"/>
      <c r="C105" s="108" t="n"/>
      <c r="D105" s="172" t="n"/>
      <c r="E105" s="173" t="n"/>
      <c r="F105" s="96" t="n"/>
      <c r="G105" s="96" t="n"/>
      <c r="H105" s="111" t="n"/>
      <c r="I105" s="96" t="n"/>
      <c r="J105" s="96" t="n"/>
      <c r="K105" s="96" t="n"/>
      <c r="L105" s="111" t="n"/>
      <c r="M105" s="96" t="n"/>
      <c r="N105" s="96" t="n"/>
      <c r="O105" s="111" t="n"/>
      <c r="P105" s="111" t="n"/>
      <c r="Q105" s="111" t="n"/>
      <c r="R105" s="96" t="n"/>
      <c r="S105" s="96" t="n"/>
      <c r="T105" s="96" t="n"/>
      <c r="U105" s="96" t="n"/>
      <c r="V105" s="161" t="n"/>
      <c r="W105" s="96" t="n"/>
      <c r="X105" s="161" t="n"/>
      <c r="Y105" s="97" t="n"/>
      <c r="Z105" s="97" t="n"/>
      <c r="AA105" s="97" t="n"/>
      <c r="AB105" s="97" t="n"/>
      <c r="AC105" s="97" t="n"/>
      <c r="AD105" s="161" t="n"/>
      <c r="AE105" s="174" t="n"/>
      <c r="AF105" s="96" t="n"/>
      <c r="AG105" s="97" t="n"/>
      <c r="AH105" s="97" t="n"/>
      <c r="AI105" s="97" t="n"/>
      <c r="AJ105" s="96" t="n"/>
      <c r="AK105" s="130" t="n"/>
    </row>
    <row r="106" ht="12" customHeight="1">
      <c r="A106" s="108" t="inlineStr">
        <is>
          <t>SKLU2406990</t>
        </is>
      </c>
      <c r="B106" s="108" t="n"/>
      <c r="C106" s="108" t="n"/>
      <c r="D106" s="172" t="n"/>
      <c r="E106" s="173" t="n"/>
      <c r="F106" s="96" t="n"/>
      <c r="G106" s="96" t="n"/>
      <c r="H106" s="111" t="n"/>
      <c r="I106" s="96" t="n"/>
      <c r="J106" s="96" t="n"/>
      <c r="K106" s="96" t="n"/>
      <c r="L106" s="111" t="n"/>
      <c r="M106" s="96" t="n"/>
      <c r="N106" s="96" t="n"/>
      <c r="O106" s="111" t="n"/>
      <c r="P106" s="111" t="n"/>
      <c r="Q106" s="111" t="n"/>
      <c r="R106" s="96" t="n"/>
      <c r="S106" s="96" t="n"/>
      <c r="T106" s="96" t="n"/>
      <c r="U106" s="96" t="n"/>
      <c r="V106" s="161" t="n"/>
      <c r="W106" s="96" t="n"/>
      <c r="X106" s="161" t="n"/>
      <c r="Y106" s="97" t="n"/>
      <c r="Z106" s="97" t="n"/>
      <c r="AA106" s="97" t="n"/>
      <c r="AB106" s="97" t="n"/>
      <c r="AC106" s="97" t="n"/>
      <c r="AD106" s="161" t="n"/>
      <c r="AE106" s="174" t="n"/>
      <c r="AF106" s="96" t="n"/>
      <c r="AG106" s="97" t="n"/>
      <c r="AH106" s="97" t="n"/>
      <c r="AI106" s="97" t="n"/>
      <c r="AJ106" s="96" t="n"/>
      <c r="AK106" s="130" t="n"/>
    </row>
    <row r="107" ht="12" customHeight="1">
      <c r="A107" s="108" t="inlineStr">
        <is>
          <t>SKLU2424083</t>
        </is>
      </c>
      <c r="B107" s="108" t="n"/>
      <c r="C107" s="108" t="n"/>
      <c r="D107" s="172" t="n"/>
      <c r="E107" s="173" t="n"/>
      <c r="F107" s="96" t="n"/>
      <c r="G107" s="96" t="n"/>
      <c r="H107" s="111" t="n"/>
      <c r="I107" s="96" t="n"/>
      <c r="J107" s="96" t="n"/>
      <c r="K107" s="96" t="n"/>
      <c r="L107" s="111" t="n"/>
      <c r="M107" s="96" t="n"/>
      <c r="N107" s="96" t="n"/>
      <c r="O107" s="111" t="n"/>
      <c r="P107" s="111" t="n"/>
      <c r="Q107" s="111" t="n"/>
      <c r="R107" s="96" t="n"/>
      <c r="S107" s="96" t="n"/>
      <c r="T107" s="96" t="n"/>
      <c r="U107" s="96" t="n"/>
      <c r="V107" s="161" t="n"/>
      <c r="W107" s="96" t="n"/>
      <c r="X107" s="161" t="n"/>
      <c r="Y107" s="97" t="n"/>
      <c r="Z107" s="97" t="n"/>
      <c r="AA107" s="97" t="n"/>
      <c r="AB107" s="97" t="n"/>
      <c r="AC107" s="97" t="n"/>
      <c r="AD107" s="161" t="n"/>
      <c r="AE107" s="174" t="n"/>
      <c r="AF107" s="96" t="n"/>
      <c r="AG107" s="97" t="n"/>
      <c r="AH107" s="97" t="n"/>
      <c r="AI107" s="97" t="n"/>
      <c r="AJ107" s="96" t="n"/>
      <c r="AK107" s="130" t="n"/>
    </row>
    <row r="108" ht="12" customHeight="1">
      <c r="A108" s="108" t="inlineStr">
        <is>
          <t>SKLU2477490</t>
        </is>
      </c>
      <c r="B108" s="108" t="n"/>
      <c r="C108" s="108" t="n"/>
      <c r="D108" s="172" t="n"/>
      <c r="E108" s="173" t="n"/>
      <c r="F108" s="96" t="n"/>
      <c r="G108" s="96" t="n"/>
      <c r="H108" s="111" t="n"/>
      <c r="I108" s="96" t="n"/>
      <c r="J108" s="96" t="n"/>
      <c r="K108" s="96" t="n"/>
      <c r="L108" s="111" t="n"/>
      <c r="M108" s="96" t="n"/>
      <c r="N108" s="96" t="n"/>
      <c r="O108" s="111" t="n"/>
      <c r="P108" s="111" t="n"/>
      <c r="Q108" s="111" t="n"/>
      <c r="R108" s="96" t="n"/>
      <c r="S108" s="96" t="n"/>
      <c r="T108" s="96" t="n"/>
      <c r="U108" s="96" t="n"/>
      <c r="V108" s="161" t="n"/>
      <c r="W108" s="96" t="n"/>
      <c r="X108" s="161" t="n"/>
      <c r="Y108" s="97" t="n"/>
      <c r="Z108" s="97" t="n"/>
      <c r="AA108" s="97" t="n"/>
      <c r="AB108" s="97" t="n"/>
      <c r="AC108" s="97" t="n"/>
      <c r="AD108" s="161" t="n"/>
      <c r="AE108" s="174" t="n"/>
      <c r="AF108" s="96" t="n"/>
      <c r="AG108" s="97" t="n"/>
      <c r="AH108" s="97" t="n"/>
      <c r="AI108" s="97" t="n"/>
      <c r="AJ108" s="96" t="n"/>
      <c r="AK108" s="130" t="n"/>
    </row>
    <row r="109" ht="12" customHeight="1">
      <c r="A109" s="108" t="inlineStr">
        <is>
          <t>SKLU3507114</t>
        </is>
      </c>
      <c r="B109" s="108" t="n"/>
      <c r="C109" s="108" t="n"/>
      <c r="D109" s="172" t="n"/>
      <c r="E109" s="173" t="n"/>
      <c r="F109" s="96" t="n"/>
      <c r="G109" s="96" t="n"/>
      <c r="H109" s="111" t="n"/>
      <c r="I109" s="96" t="n"/>
      <c r="J109" s="96" t="n"/>
      <c r="K109" s="96" t="n"/>
      <c r="L109" s="111" t="n"/>
      <c r="M109" s="96" t="n"/>
      <c r="N109" s="96" t="n"/>
      <c r="O109" s="111" t="n"/>
      <c r="P109" s="111" t="n"/>
      <c r="Q109" s="111" t="n"/>
      <c r="R109" s="96" t="n"/>
      <c r="S109" s="96" t="n"/>
      <c r="T109" s="96" t="n"/>
      <c r="U109" s="96" t="n"/>
      <c r="V109" s="161" t="n"/>
      <c r="W109" s="96" t="n"/>
      <c r="X109" s="161" t="n"/>
      <c r="Y109" s="97" t="n"/>
      <c r="Z109" s="97" t="n"/>
      <c r="AA109" s="97" t="n"/>
      <c r="AB109" s="97" t="n"/>
      <c r="AC109" s="97" t="n"/>
      <c r="AD109" s="161" t="n"/>
      <c r="AE109" s="174" t="n"/>
      <c r="AF109" s="96" t="n"/>
      <c r="AG109" s="97" t="n"/>
      <c r="AH109" s="97" t="n"/>
      <c r="AI109" s="97" t="n"/>
      <c r="AJ109" s="96" t="n"/>
      <c r="AK109" s="130" t="n"/>
    </row>
    <row r="110" ht="12" customHeight="1">
      <c r="A110" s="108" t="inlineStr">
        <is>
          <t>TGCU2410997</t>
        </is>
      </c>
      <c r="B110" s="108" t="n"/>
      <c r="C110" s="108" t="n"/>
      <c r="D110" s="172" t="n"/>
      <c r="E110" s="173" t="n"/>
      <c r="F110" s="96" t="n"/>
      <c r="G110" s="96" t="n"/>
      <c r="H110" s="111" t="n"/>
      <c r="I110" s="96" t="n"/>
      <c r="J110" s="96" t="n"/>
      <c r="K110" s="96" t="n"/>
      <c r="L110" s="111" t="n"/>
      <c r="M110" s="96" t="n"/>
      <c r="N110" s="96" t="n"/>
      <c r="O110" s="111" t="n"/>
      <c r="P110" s="111" t="n"/>
      <c r="Q110" s="111" t="n"/>
      <c r="R110" s="96" t="n"/>
      <c r="S110" s="96" t="n"/>
      <c r="T110" s="96" t="n"/>
      <c r="U110" s="96" t="n"/>
      <c r="V110" s="161" t="n"/>
      <c r="W110" s="96" t="n"/>
      <c r="X110" s="161" t="n"/>
      <c r="Y110" s="97" t="n"/>
      <c r="Z110" s="97" t="n"/>
      <c r="AA110" s="97" t="n"/>
      <c r="AB110" s="97" t="n"/>
      <c r="AC110" s="97" t="n"/>
      <c r="AD110" s="161" t="n"/>
      <c r="AE110" s="174" t="n"/>
      <c r="AF110" s="96" t="n"/>
      <c r="AG110" s="97" t="n"/>
      <c r="AH110" s="97" t="n"/>
      <c r="AI110" s="97" t="n"/>
      <c r="AJ110" s="96" t="n"/>
      <c r="AK110" s="130" t="n"/>
    </row>
    <row r="111" ht="12" customHeight="1">
      <c r="A111" s="108" t="inlineStr">
        <is>
          <t>TGCU2420212</t>
        </is>
      </c>
      <c r="B111" s="108" t="n"/>
      <c r="C111" s="108" t="n"/>
      <c r="D111" s="172" t="n"/>
      <c r="E111" s="173" t="n"/>
      <c r="F111" s="96" t="n"/>
      <c r="G111" s="96" t="n"/>
      <c r="H111" s="111" t="n"/>
      <c r="I111" s="96" t="n"/>
      <c r="J111" s="96" t="n"/>
      <c r="K111" s="96" t="n"/>
      <c r="L111" s="111" t="n"/>
      <c r="M111" s="96" t="n"/>
      <c r="N111" s="96" t="n"/>
      <c r="O111" s="111" t="n"/>
      <c r="P111" s="111" t="n"/>
      <c r="Q111" s="111" t="n"/>
      <c r="R111" s="96" t="n"/>
      <c r="S111" s="96" t="n"/>
      <c r="T111" s="96" t="n"/>
      <c r="U111" s="96" t="n"/>
      <c r="V111" s="161" t="n"/>
      <c r="W111" s="96" t="n"/>
      <c r="X111" s="161" t="n"/>
      <c r="Y111" s="97" t="n"/>
      <c r="Z111" s="97" t="n"/>
      <c r="AA111" s="97" t="n"/>
      <c r="AB111" s="97" t="n"/>
      <c r="AC111" s="97" t="n"/>
      <c r="AD111" s="161" t="n"/>
      <c r="AE111" s="174" t="n"/>
      <c r="AF111" s="96" t="n"/>
      <c r="AG111" s="97" t="n"/>
      <c r="AH111" s="97" t="n"/>
      <c r="AI111" s="97" t="n"/>
      <c r="AJ111" s="96" t="n"/>
      <c r="AK111" s="130" t="n"/>
    </row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7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250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250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CXDU2380488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LCH05</v>
      </c>
      <c r="D3" s="61" t="str">
        <f>VLOOKUP(A3,'1.Loading'!A:R,17,FALSE)</f>
        <v>HASLS22260900900</v>
      </c>
      <c r="E3" s="62" t="str">
        <f>VLOOKUP(D3,'2.Bookinglist'!A:CT,27,FALSE)</f>
        <v>WHA GC LOGISTICS COMPANY LIMITED</v>
      </c>
      <c r="F3" s="62" t="str">
        <f>VLOOKUP(D3,'2.Bookinglist'!A:CT,28,FALSE)</f>
        <v>PTT GLOBAL CHEMICAL PUBLIC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JPIYM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PCCP</v>
      </c>
      <c r="P3" s="61" t="str">
        <f>VLOOKUP(A3,'1.Loading'!A:R,4,FALSE)</f>
        <v>2610N</v>
      </c>
      <c r="Q3" s="61" t="str">
        <f>VLOOKUP(D3,'2.Bookinglist'!A:CT,12,FALSE)</f>
        <v>KST</v>
      </c>
      <c r="R3" s="60" t="str">
        <f>IF(LEFT(K3,2)="22","20'","40'")</f>
        <v>20'</v>
      </c>
      <c r="S3" s="101" t="n"/>
      <c r="T3" s="61" t="str">
        <f>VLOOKUP(A3,'1.Loading'!A:R,2,FALSE)</f>
        <v>2026-10-14</v>
      </c>
      <c r="U3" s="63">
        <f>T3-S3</f>
        <v>46309</v>
      </c>
      <c r="V3" s="178" t="n"/>
      <c r="W3" s="61" t="str">
        <f>VLOOKUP(A3,'3.GateMove'!A:D,4,FALSE)</f>
        <v>2026-10-08</v>
      </c>
      <c r="X3" s="63">
        <f>((T3-W3)+1)</f>
        <v>7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Dharaporn</v>
      </c>
      <c r="AL3" s="60" t="str">
        <f>VLOOKUP(D3,'2.Bookinglist'!A:CW,101,FALSE)</f>
        <v>2026-10-11</v>
      </c>
      <c r="AM3" s="60" t="str">
        <f>VLOOKUP(D3,'2.Bookinglist'!A:BK,63,FALSE)</f>
        <v>LCH27</v>
      </c>
      <c r="AN3" s="62" t="str">
        <f>VLOOKUP(D3,'2.Bookinglist'!A:AZ,52,FALSE)</f>
        <v>[FIX][FIX]CY-RTN 25-27/09/26 (PR2610002905)
*PLS CHECK OPEN GATE BEFORE RETURN CTNR*</v>
      </c>
      <c r="AO3" s="62">
        <f>VLOOKUP(D3,'2.Bookinglist'!A:CY,103,FALSE)</f>
        <v>0</v>
      </c>
    </row>
    <row r="4" ht="12.95" customHeight="1">
      <c r="A4" s="96" t="inlineStr">
        <is>
          <t>FSCU5890858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LCH05</v>
      </c>
      <c r="D4" s="61" t="str">
        <f>VLOOKUP(A4,'1.Loading'!A:R,17,FALSE)</f>
        <v>HASLS22260902136</v>
      </c>
      <c r="E4" s="62" t="str">
        <f>VLOOKUP(D4,'2.Bookinglist'!A:CT,27,FALSE)</f>
        <v>FOCUS FREIGHT &amp; LOGISTICS CO., LTD.</v>
      </c>
      <c r="F4" s="62" t="str">
        <f>VLOOKUP(D4,'2.Bookinglist'!A:CT,28,FALSE)</f>
        <v>UNITED MUSHROOM CENTER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PCCP</v>
      </c>
      <c r="P4" s="61" t="str">
        <f>VLOOKUP(A4,'1.Loading'!A:R,4,FALSE)</f>
        <v>2610N</v>
      </c>
      <c r="Q4" s="61" t="str">
        <f>VLOOKUP(D4,'2.Bookinglist'!A:CT,12,FALSE)</f>
        <v>KST</v>
      </c>
      <c r="R4" s="60" t="str">
        <f>IF(LEFT(K4,2)="22","20'","40'")</f>
        <v>40'</v>
      </c>
      <c r="S4" s="185" t="n"/>
      <c r="T4" s="61" t="str">
        <f>VLOOKUP(A4,'1.Loading'!A:R,2,FALSE)</f>
        <v>2026-10-14</v>
      </c>
      <c r="U4" s="63">
        <f>T4-S4</f>
        <v>46309</v>
      </c>
      <c r="V4" s="186" t="n"/>
      <c r="W4" s="61" t="str">
        <f>VLOOKUP(A4,'3.GateMove'!A:D,4,FALSE)</f>
        <v>2026-10-11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46310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Dharaporn</v>
      </c>
      <c r="AL4" s="60" t="str">
        <f>VLOOKUP(D4,'2.Bookinglist'!A:CW,101,FALSE)</f>
        <v>2026-10-12</v>
      </c>
      <c r="AM4" s="60" t="str">
        <f>VLOOKUP(D4,'2.Bookinglist'!A:BK,63,FALSE)</f>
        <v>LCH27</v>
      </c>
      <c r="AN4" s="62" t="str">
        <f>VLOOKUP(D4,'2.Bookinglist'!A:AZ,52,FALSE)</f>
        <v>Pickup : 2026-10-09, Return : 2026-10-11 (Temp +0.0 / Vent Close)
 CLS TIME 11/10 12.00 </v>
      </c>
      <c r="AO4" s="62">
        <f>VLOOKUP(D4,'2.Bookinglist'!A:CY,103,FALSE)</f>
        <v>0</v>
      </c>
    </row>
    <row r="5" ht="12.95" customHeight="1">
      <c r="A5" s="96" t="inlineStr">
        <is>
          <t>HALU2100503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LCH05</v>
      </c>
      <c r="D5" s="61" t="str">
        <f>VLOOKUP(A5,'1.Loading'!A:R,17,FALSE)</f>
        <v>HASLS22260902025</v>
      </c>
      <c r="E5" s="62" t="str">
        <f>VLOOKUP(D5,'2.Bookinglist'!A:CT,27,FALSE)</f>
        <v>DOW CHEMICAL THAILAND LTD.</v>
      </c>
      <c r="F5" s="62" t="str">
        <f>VLOOKUP(D5,'2.Bookinglist'!A:CT,28,FALSE)</f>
        <v>SIAM POLYETHYLENE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JPNGO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PCCP</v>
      </c>
      <c r="P5" s="61" t="str">
        <f>VLOOKUP(A5,'1.Loading'!A:R,4,FALSE)</f>
        <v>2610N</v>
      </c>
      <c r="Q5" s="61" t="str">
        <f>VLOOKUP(D5,'2.Bookinglist'!A:CT,12,FALSE)</f>
        <v>KST</v>
      </c>
      <c r="R5" s="60" t="str">
        <f>IF(LEFT(K5,2)="22","20'","40'")</f>
        <v>20'</v>
      </c>
      <c r="S5" s="185" t="n"/>
      <c r="T5" s="61" t="str">
        <f>VLOOKUP(A5,'1.Loading'!A:R,2,FALSE)</f>
        <v>2026-10-14</v>
      </c>
      <c r="U5" s="63">
        <f>T5-S5</f>
        <v>46309</v>
      </c>
      <c r="V5" s="186" t="n"/>
      <c r="W5" s="61" t="str">
        <f>VLOOKUP(A5,'3.GateMove'!A:D,4,FALSE)</f>
        <v>2026-10-10</v>
      </c>
      <c r="X5" s="63">
        <f>((T5-W5)+1)</f>
        <v>5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SEO JI YEONG</v>
      </c>
      <c r="AL5" s="60" t="str">
        <f>VLOOKUP(D5,'2.Bookinglist'!A:CW,101,FALSE)</f>
        <v>2026-10-11</v>
      </c>
      <c r="AM5" s="60" t="str">
        <f>VLOOKUP(D5,'2.Bookinglist'!A:BK,63,FALSE)</f>
        <v>LCHY5</v>
      </c>
      <c r="AN5" s="62" t="str">
        <f>VLOOKUP(D5,'2.Bookinglist'!A:AZ,52,FALSE)</f>
        <v>[FIX]Pickup : 2026-10-05, Return : 2026-10-08</v>
      </c>
      <c r="AO5" s="62">
        <f>VLOOKUP(D5,'2.Bookinglist'!A:CY,103,FALSE)</f>
        <v>0</v>
      </c>
    </row>
    <row r="6" ht="12.95" customHeight="1">
      <c r="A6" s="96" t="inlineStr">
        <is>
          <t>HALU2309751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LCH05</v>
      </c>
      <c r="D6" s="61" t="str">
        <f>VLOOKUP(A6,'1.Loading'!A:R,17,FALSE)</f>
        <v>HASLS22260902333</v>
      </c>
      <c r="E6" s="62" t="str">
        <f>VLOOKUP(D6,'2.Bookinglist'!A:CT,27,FALSE)</f>
        <v>MILLENNIUM AIR-SEA SERVICE CO., LTD.</v>
      </c>
      <c r="F6" s="62" t="str">
        <f>VLOOKUP(D6,'2.Bookinglist'!A:CT,28,FALSE)</f>
        <v>TIETEX ASIA LIMITED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PCCP</v>
      </c>
      <c r="P6" s="61" t="str">
        <f>VLOOKUP(A6,'1.Loading'!A:R,4,FALSE)</f>
        <v>2610N</v>
      </c>
      <c r="Q6" s="61" t="str">
        <f>VLOOKUP(D6,'2.Bookinglist'!A:CT,12,FALSE)</f>
        <v>KST</v>
      </c>
      <c r="R6" s="60" t="str">
        <f>IF(LEFT(K6,2)="22","20'","40'")</f>
        <v>20'</v>
      </c>
      <c r="S6" s="185" t="n"/>
      <c r="T6" s="61" t="str">
        <f>VLOOKUP(A6,'1.Loading'!A:R,2,FALSE)</f>
        <v>2026-10-14</v>
      </c>
      <c r="U6" s="63">
        <f>T6-S6</f>
        <v>46309</v>
      </c>
      <c r="V6" s="186" t="n"/>
      <c r="W6" s="61" t="str">
        <f>VLOOKUP(A6,'3.GateMove'!A:D,4,FALSE)</f>
        <v>2026-10-10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Kanokporn</v>
      </c>
      <c r="AL6" s="60" t="str">
        <f>VLOOKUP(D6,'2.Bookinglist'!A:CW,101,FALSE)</f>
        <v>2026-10-11</v>
      </c>
      <c r="AM6" s="60" t="str">
        <f>VLOOKUP(D6,'2.Bookinglist'!A:BK,63,FALSE)</f>
        <v>LCHY5</v>
      </c>
      <c r="AN6" s="62" t="str">
        <f>VLOOKUP(D6,'2.Bookinglist'!A:AZ,52,FALSE)</f>
        <v>Pickup : 2026-10-09, Return : 2026-10-10
**CHECK OPENGATE BEFORE RETURN CNTR**</v>
      </c>
      <c r="AO6" s="62">
        <f>VLOOKUP(D6,'2.Bookinglist'!A:CY,103,FALSE)</f>
        <v>0</v>
      </c>
    </row>
    <row r="7" ht="12.95" customHeight="1">
      <c r="A7" s="96" t="inlineStr">
        <is>
          <t>HALU2316848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LCH05</v>
      </c>
      <c r="D7" s="61" t="str">
        <f>VLOOKUP(A7,'1.Loading'!A:R,17,FALSE)</f>
        <v>HASLS22260902724</v>
      </c>
      <c r="E7" s="62" t="str">
        <f>VLOOKUP(D7,'2.Bookinglist'!A:CT,27,FALSE)</f>
        <v>FAIR AND FAST COMPANY LIMITED</v>
      </c>
      <c r="F7" s="62" t="str">
        <f>VLOOKUP(D7,'2.Bookinglist'!A:CT,28,FALSE)</f>
        <v>PACIFIC SUGAR CORPORATION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PCCP</v>
      </c>
      <c r="P7" s="61" t="str">
        <f>VLOOKUP(A7,'1.Loading'!A:R,4,FALSE)</f>
        <v>2610N</v>
      </c>
      <c r="Q7" s="61" t="str">
        <f>VLOOKUP(D7,'2.Bookinglist'!A:CT,12,FALSE)</f>
        <v>KST</v>
      </c>
      <c r="R7" s="60" t="str">
        <f>IF(LEFT(K7,2)="22","20'","40'")</f>
        <v>20'</v>
      </c>
      <c r="S7" s="185" t="n"/>
      <c r="T7" s="61" t="str">
        <f>VLOOKUP(A7,'1.Loading'!A:R,2,FALSE)</f>
        <v>2026-10-14</v>
      </c>
      <c r="U7" s="63">
        <f>T7-S7</f>
        <v>46309</v>
      </c>
      <c r="V7" s="186" t="n"/>
      <c r="W7" s="61" t="str">
        <f>VLOOKUP(A7,'3.GateMove'!A:D,4,FALSE)</f>
        <v>2026-10-09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Tarn(Supaporn)</v>
      </c>
      <c r="AL7" s="60" t="str">
        <f>VLOOKUP(D7,'2.Bookinglist'!A:CW,101,FALSE)</f>
        <v>2026-10-12</v>
      </c>
      <c r="AM7" s="60" t="str">
        <f>VLOOKUP(D7,'2.Bookinglist'!A:BK,63,FALSE)</f>
        <v>LCHY5</v>
      </c>
      <c r="AN7" s="62" t="str">
        <f>VLOOKUP(D7,'2.Bookinglist'!A:AZ,52,FALSE)</f>
        <v>Pickup : 2026-10-06, Return : 2026-10-07 (1ST RTNDD: 08/10/26 WO/RENT)
**CHECK OPENGATE BEFORE RETURN CNTR**</v>
      </c>
      <c r="AO7" s="62">
        <f>VLOOKUP(D7,'2.Bookinglist'!A:CY,103,FALSE)</f>
        <v>0</v>
      </c>
    </row>
    <row r="8" ht="12.95" customHeight="1">
      <c r="A8" s="96" t="inlineStr">
        <is>
          <t>HALU2321633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LCH05</v>
      </c>
      <c r="D8" s="61" t="str">
        <f>VLOOKUP(A8,'1.Loading'!A:R,17,FALSE)</f>
        <v>HASLS22260902139</v>
      </c>
      <c r="E8" s="62" t="str">
        <f>VLOOKUP(D8,'2.Bookinglist'!A:CT,27,FALSE)</f>
        <v>CANVAS GLOBAL LOGISTICS (THAILAND) CO., LTD.</v>
      </c>
      <c r="F8" s="62" t="str">
        <f>VLOOKUP(D8,'2.Bookinglist'!A:CT,28,FALSE)</f>
        <v>SRI TRANG GLOVES (THAILAND)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KRINC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PCCP</v>
      </c>
      <c r="P8" s="61" t="str">
        <f>VLOOKUP(A8,'1.Loading'!A:R,4,FALSE)</f>
        <v>2610N</v>
      </c>
      <c r="Q8" s="61" t="str">
        <f>VLOOKUP(D8,'2.Bookinglist'!A:CT,12,FALSE)</f>
        <v>KST</v>
      </c>
      <c r="R8" s="60" t="str">
        <f>IF(LEFT(K8,2)="22","20'","40'")</f>
        <v>20'</v>
      </c>
      <c r="S8" s="185" t="n"/>
      <c r="T8" s="61" t="str">
        <f>VLOOKUP(A8,'1.Loading'!A:R,2,FALSE)</f>
        <v>2026-10-14</v>
      </c>
      <c r="U8" s="63">
        <f>T8-S8</f>
        <v>46309</v>
      </c>
      <c r="V8" s="186" t="n"/>
      <c r="W8" s="61" t="str">
        <f>VLOOKUP(A8,'3.GateMove'!A:D,4,FALSE)</f>
        <v>2026-10-07</v>
      </c>
      <c r="X8" s="63">
        <f>((T8-W8)+1)</f>
        <v>8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1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125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125</v>
      </c>
      <c r="AJ8" s="188" t="n"/>
      <c r="AK8" s="62" t="str">
        <f>VLOOKUP(D8,'2.Bookinglist'!A:CT,40,FALSE)</f>
        <v>Arunphat W. (Aiw)</v>
      </c>
      <c r="AL8" s="60" t="str">
        <f>VLOOKUP(D8,'2.Bookinglist'!A:CW,101,FALSE)</f>
        <v>2026-10-11</v>
      </c>
      <c r="AM8" s="60" t="str">
        <f>VLOOKUP(D8,'2.Bookinglist'!A:BK,63,FALSE)</f>
        <v>LCHY5</v>
      </c>
      <c r="AN8" s="62" t="str">
        <f>VLOOKUP(D8,'2.Bookinglist'!A:AZ,52,FALSE)</f>
        <v>Pickup : 2026-09-26, Return : 2026-09-28</v>
      </c>
      <c r="AO8" s="62">
        <f>VLOOKUP(D8,'2.Bookinglist'!A:CY,103,FALSE)</f>
        <v>0</v>
      </c>
    </row>
    <row r="9" ht="12.95" customHeight="1">
      <c r="A9" s="96" t="inlineStr">
        <is>
          <t>HALU2403069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LCH05</v>
      </c>
      <c r="D9" s="61" t="str">
        <f>VLOOKUP(A9,'1.Loading'!A:R,17,FALSE)</f>
        <v>HASLS22260902122</v>
      </c>
      <c r="E9" s="62" t="str">
        <f>VLOOKUP(D9,'2.Bookinglist'!A:CT,27,FALSE)</f>
        <v>WHA GC LOGISTICS COMPANY LIMITED</v>
      </c>
      <c r="F9" s="62" t="str">
        <f>VLOOKUP(D9,'2.Bookinglist'!A:CT,28,FALSE)</f>
        <v>PTT GLOBAL CHEMICAL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PCCP</v>
      </c>
      <c r="P9" s="61" t="str">
        <f>VLOOKUP(A9,'1.Loading'!A:R,4,FALSE)</f>
        <v>2610N</v>
      </c>
      <c r="Q9" s="61" t="str">
        <f>VLOOKUP(D9,'2.Bookinglist'!A:CT,12,FALSE)</f>
        <v>KST</v>
      </c>
      <c r="R9" s="60" t="str">
        <f>IF(LEFT(K9,2)="22","20'","40'")</f>
        <v>20'</v>
      </c>
      <c r="S9" s="185" t="n"/>
      <c r="T9" s="61" t="str">
        <f>VLOOKUP(A9,'1.Loading'!A:R,2,FALSE)</f>
        <v>2026-10-14</v>
      </c>
      <c r="U9" s="63">
        <f>T9-S9</f>
        <v>46309</v>
      </c>
      <c r="V9" s="186" t="n"/>
      <c r="W9" s="61" t="str">
        <f>VLOOKUP(A9,'3.GateMove'!A:D,4,FALSE)</f>
        <v>2026-10-09</v>
      </c>
      <c r="X9" s="63">
        <f>((T9-W9)+1)</f>
        <v>6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2026-10-12</v>
      </c>
      <c r="AM9" s="60" t="str">
        <f>VLOOKUP(D9,'2.Bookinglist'!A:BK,63,FALSE)</f>
        <v>LCHY5</v>
      </c>
      <c r="AN9" s="62" t="str">
        <f>VLOOKUP(D9,'2.Bookinglist'!A:AZ,52,FALSE)</f>
        <v>CY 28/09/26 , RTN 29/09/26 (1ST RETUR DD.30/09/26)
*PLS CHECK OPEN GATE BEFORE RETURN CTNR*</v>
      </c>
      <c r="AO9" s="62" t="str">
        <f>VLOOKUP(D9,'2.Bookinglist'!A:CY,103,FALSE)</f>
        <v>ROLL OVER FROM PREIVOUS VSL SWSP 2609N BY ALLOCATION TEAM MS.TARN APRPOVED COST IS UNDER HA DD.5/10</v>
      </c>
    </row>
    <row r="10" ht="12.95" customHeight="1">
      <c r="A10" s="96" t="inlineStr">
        <is>
          <t>HALU2446190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LCH05</v>
      </c>
      <c r="D10" s="61" t="str">
        <f>VLOOKUP(A10,'1.Loading'!A:R,17,FALSE)</f>
        <v>HASLS22260902464</v>
      </c>
      <c r="E10" s="62" t="str">
        <f>VLOOKUP(D10,'2.Bookinglist'!A:CT,27,FALSE)</f>
        <v>WHA GC LOGISTICS COMPANY LIMITED</v>
      </c>
      <c r="F10" s="62" t="str">
        <f>VLOOKUP(D10,'2.Bookinglist'!A:CT,28,FALSE)</f>
        <v>PTT GLOBAL CHEMICAL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JPIYM</v>
      </c>
      <c r="J10" s="61" t="str">
        <f>VLOOKUP(D10,'2.Bookinglist'!A:CT,26,FALSE)</f>
        <v>KRPUS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PCCP</v>
      </c>
      <c r="P10" s="61" t="str">
        <f>VLOOKUP(A10,'1.Loading'!A:R,4,FALSE)</f>
        <v>2610N</v>
      </c>
      <c r="Q10" s="61" t="str">
        <f>VLOOKUP(D10,'2.Bookinglist'!A:CT,12,FALSE)</f>
        <v>KST</v>
      </c>
      <c r="R10" s="60" t="str">
        <f>IF(LEFT(K10,2)="22","20'","40'")</f>
        <v>20'</v>
      </c>
      <c r="S10" s="185" t="n"/>
      <c r="T10" s="61" t="str">
        <f>VLOOKUP(A10,'1.Loading'!A:R,2,FALSE)</f>
        <v>2026-10-14</v>
      </c>
      <c r="U10" s="63">
        <f>T10-S10</f>
        <v>46309</v>
      </c>
      <c r="V10" s="186" t="n"/>
      <c r="W10" s="61" t="str">
        <f>VLOOKUP(A10,'3.GateMove'!A:D,4,FALSE)</f>
        <v>2026-10-08</v>
      </c>
      <c r="X10" s="63">
        <f>((T10-W10)+1)</f>
        <v>7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2026-10-11</v>
      </c>
      <c r="AM10" s="60" t="str">
        <f>VLOOKUP(D10,'2.Bookinglist'!A:BK,63,FALSE)</f>
        <v>LCHY5</v>
      </c>
      <c r="AN10" s="62" t="str">
        <f>VLOOKUP(D10,'2.Bookinglist'!A:AZ,52,FALSE)</f>
        <v>[FIX][FIX]CY-RTN : 01-04/10/2026 *1ST RETURN CNTR DD.07/10/2026*
GOOD AND CLEAN CONTAINERS</v>
      </c>
      <c r="AO10" s="62">
        <f>VLOOKUP(D10,'2.Bookinglist'!A:CY,103,FALSE)</f>
        <v>0</v>
      </c>
    </row>
    <row r="11" ht="12.95" customHeight="1">
      <c r="A11" s="96" t="inlineStr">
        <is>
          <t>HALU2515475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LCH05</v>
      </c>
      <c r="D11" s="61" t="str">
        <f>VLOOKUP(A11,'1.Loading'!A:R,17,FALSE)</f>
        <v>HASLS22260902756</v>
      </c>
      <c r="E11" s="62" t="str">
        <f>VLOOKUP(D11,'2.Bookinglist'!A:CT,27,FALSE)</f>
        <v>WHA GC LOGISTICS COMPANY LIMITED</v>
      </c>
      <c r="F11" s="62" t="str">
        <f>VLOOKUP(D11,'2.Bookinglist'!A:CT,28,FALSE)</f>
        <v>PTT GLOBAL CHEMICAL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PCCP</v>
      </c>
      <c r="P11" s="61" t="str">
        <f>VLOOKUP(A11,'1.Loading'!A:R,4,FALSE)</f>
        <v>2610N</v>
      </c>
      <c r="Q11" s="61" t="str">
        <f>VLOOKUP(D11,'2.Bookinglist'!A:CT,12,FALSE)</f>
        <v>KST</v>
      </c>
      <c r="R11" s="60" t="str">
        <f>IF(LEFT(K11,2)="22","20'","40'")</f>
        <v>20'</v>
      </c>
      <c r="S11" s="185" t="n"/>
      <c r="T11" s="61" t="str">
        <f>VLOOKUP(A11,'1.Loading'!A:R,2,FALSE)</f>
        <v>2026-10-14</v>
      </c>
      <c r="U11" s="63">
        <f>T11-S11</f>
        <v>46309</v>
      </c>
      <c r="V11" s="186" t="n"/>
      <c r="W11" s="61" t="str">
        <f>VLOOKUP(A11,'3.GateMove'!A:D,4,FALSE)</f>
        <v>2026-10-09</v>
      </c>
      <c r="X11" s="63">
        <f>((T11-W11)+1)</f>
        <v>6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2026-10-11</v>
      </c>
      <c r="AM11" s="60" t="str">
        <f>VLOOKUP(D11,'2.Bookinglist'!A:BK,63,FALSE)</f>
        <v>LCH27</v>
      </c>
      <c r="AN11" s="62" t="str">
        <f>VLOOKUP(D11,'2.Bookinglist'!A:AZ,52,FALSE)</f>
        <v>CY-RTN 23-26/09/26 / FIRST DATE CAN RETURN CNTR DD.05/10 
**CHECK OPEN GATE BEFORE RETURN CNTR **
</v>
      </c>
      <c r="AO11" s="62">
        <f>VLOOKUP(D11,'2.Bookinglist'!A:CY,103,FALSE)</f>
        <v>0</v>
      </c>
    </row>
    <row r="12" ht="12.95" customHeight="1">
      <c r="A12" s="96" t="inlineStr">
        <is>
          <t>HALU2526736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LCH05</v>
      </c>
      <c r="D12" s="61" t="str">
        <f>VLOOKUP(A12,'1.Loading'!A:R,17,FALSE)</f>
        <v>HASLS22260902464</v>
      </c>
      <c r="E12" s="62" t="str">
        <f>VLOOKUP(D12,'2.Bookinglist'!A:CT,27,FALSE)</f>
        <v>WHA GC LOGISTICS COMPANY LIMITED</v>
      </c>
      <c r="F12" s="62" t="str">
        <f>VLOOKUP(D12,'2.Bookinglist'!A:CT,28,FALSE)</f>
        <v>PTT GLOBAL CHEMICAL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JPIYM</v>
      </c>
      <c r="J12" s="61" t="str">
        <f>VLOOKUP(D12,'2.Bookinglist'!A:CT,26,FALSE)</f>
        <v>KRPUS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PCCP</v>
      </c>
      <c r="P12" s="61" t="str">
        <f>VLOOKUP(A12,'1.Loading'!A:R,4,FALSE)</f>
        <v>2610N</v>
      </c>
      <c r="Q12" s="61" t="str">
        <f>VLOOKUP(D12,'2.Bookinglist'!A:CT,12,FALSE)</f>
        <v>KST</v>
      </c>
      <c r="R12" s="60" t="str">
        <f>IF(LEFT(K12,2)="22","20'","40'")</f>
        <v>20'</v>
      </c>
      <c r="S12" s="185" t="n"/>
      <c r="T12" s="61" t="str">
        <f>VLOOKUP(A12,'1.Loading'!A:R,2,FALSE)</f>
        <v>2026-10-14</v>
      </c>
      <c r="U12" s="63">
        <f>T12-S12</f>
        <v>46309</v>
      </c>
      <c r="V12" s="186" t="n"/>
      <c r="W12" s="61" t="str">
        <f>VLOOKUP(A12,'3.GateMove'!A:D,4,FALSE)</f>
        <v>2026-10-08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2026-10-11</v>
      </c>
      <c r="AM12" s="60" t="str">
        <f>VLOOKUP(D12,'2.Bookinglist'!A:BK,63,FALSE)</f>
        <v>LCHY5</v>
      </c>
      <c r="AN12" s="62" t="str">
        <f>VLOOKUP(D12,'2.Bookinglist'!A:AZ,52,FALSE)</f>
        <v>[FIX][FIX]CY-RTN : 01-04/10/2026 *1ST RETURN CNTR DD.07/10/2026*
GOOD AND CLEAN CONTAINERS</v>
      </c>
      <c r="AO12" s="62">
        <f>VLOOKUP(D12,'2.Bookinglist'!A:CY,103,FALSE)</f>
        <v>0</v>
      </c>
    </row>
    <row r="13" ht="12.95" customHeight="1">
      <c r="A13" s="96" t="inlineStr">
        <is>
          <t>HALU2536760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LCH05</v>
      </c>
      <c r="D13" s="61" t="str">
        <f>VLOOKUP(A13,'1.Loading'!A:R,17,FALSE)</f>
        <v>HASLS22260902026</v>
      </c>
      <c r="E13" s="62" t="str">
        <f>VLOOKUP(D13,'2.Bookinglist'!A:CT,27,FALSE)</f>
        <v>DOW CHEMICAL THAILAND LTD.</v>
      </c>
      <c r="F13" s="62" t="str">
        <f>VLOOKUP(D13,'2.Bookinglist'!A:CT,28,FALSE)</f>
        <v>SIAM POLYETHYLENE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JPNGO</v>
      </c>
      <c r="J13" s="61" t="str">
        <f>VLOOKUP(D13,'2.Bookinglist'!A:CT,26,FALSE)</f>
        <v>KRPUS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PCCP</v>
      </c>
      <c r="P13" s="61" t="str">
        <f>VLOOKUP(A13,'1.Loading'!A:R,4,FALSE)</f>
        <v>2610N</v>
      </c>
      <c r="Q13" s="61" t="str">
        <f>VLOOKUP(D13,'2.Bookinglist'!A:CT,12,FALSE)</f>
        <v>KST</v>
      </c>
      <c r="R13" s="60" t="str">
        <f>IF(LEFT(K13,2)="22","20'","40'")</f>
        <v>20'</v>
      </c>
      <c r="S13" s="185" t="n"/>
      <c r="T13" s="61" t="str">
        <f>VLOOKUP(A13,'1.Loading'!A:R,2,FALSE)</f>
        <v>2026-10-14</v>
      </c>
      <c r="U13" s="63">
        <f>T13-S13</f>
        <v>46309</v>
      </c>
      <c r="V13" s="186" t="n"/>
      <c r="W13" s="61" t="str">
        <f>VLOOKUP(A13,'3.GateMove'!A:D,4,FALSE)</f>
        <v>2026-10-10</v>
      </c>
      <c r="X13" s="63">
        <f>((T13-W13)+1)</f>
        <v>5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SEO JI YEONG</v>
      </c>
      <c r="AL13" s="60" t="str">
        <f>VLOOKUP(D13,'2.Bookinglist'!A:CW,101,FALSE)</f>
        <v>2026-10-11</v>
      </c>
      <c r="AM13" s="60" t="str">
        <f>VLOOKUP(D13,'2.Bookinglist'!A:BK,63,FALSE)</f>
        <v>LCHY5</v>
      </c>
      <c r="AN13" s="62" t="str">
        <f>VLOOKUP(D13,'2.Bookinglist'!A:AZ,52,FALSE)</f>
        <v>Pickup : 2026-10-05, Return : 2026-10-08</v>
      </c>
      <c r="AO13" s="62">
        <f>VLOOKUP(D13,'2.Bookinglist'!A:CY,103,FALSE)</f>
        <v>0</v>
      </c>
    </row>
    <row r="14" ht="12.95" customHeight="1">
      <c r="A14" s="96" t="inlineStr">
        <is>
          <t>HALU2569867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LCH05</v>
      </c>
      <c r="D14" s="61" t="str">
        <f>VLOOKUP(A14,'1.Loading'!A:R,17,FALSE)</f>
        <v>HASLS22261000607</v>
      </c>
      <c r="E14" s="62" t="str">
        <f>VLOOKUP(D14,'2.Bookinglist'!A:CT,27,FALSE)</f>
        <v>WORLDNET EXPRESS CO., LTD.</v>
      </c>
      <c r="F14" s="62" t="str">
        <f>VLOOKUP(D14,'2.Bookinglist'!A:CT,28,FALSE)</f>
        <v>SADESA (THAILAND)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PCCP</v>
      </c>
      <c r="P14" s="61" t="str">
        <f>VLOOKUP(A14,'1.Loading'!A:R,4,FALSE)</f>
        <v>2610N</v>
      </c>
      <c r="Q14" s="61" t="str">
        <f>VLOOKUP(D14,'2.Bookinglist'!A:CT,12,FALSE)</f>
        <v>KST</v>
      </c>
      <c r="R14" s="60" t="str">
        <f>IF(LEFT(K14,2)="22","20'","40'")</f>
        <v>20'</v>
      </c>
      <c r="S14" s="185" t="n"/>
      <c r="T14" s="61" t="str">
        <f>VLOOKUP(A14,'1.Loading'!A:R,2,FALSE)</f>
        <v>2026-10-14</v>
      </c>
      <c r="U14" s="63">
        <f>T14-S14</f>
        <v>46309</v>
      </c>
      <c r="V14" s="186" t="n"/>
      <c r="W14" s="61" t="str">
        <f>VLOOKUP(A14,'3.GateMove'!A:D,4,FALSE)</f>
        <v>2026-10-09</v>
      </c>
      <c r="X14" s="63">
        <f>((T14-W14)+1)</f>
        <v>6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2026-10-12</v>
      </c>
      <c r="AM14" s="60" t="str">
        <f>VLOOKUP(D14,'2.Bookinglist'!A:BK,63,FALSE)</f>
        <v>LCH27</v>
      </c>
      <c r="AN14" s="62" t="str">
        <f>VLOOKUP(D14,'2.Bookinglist'!A:AZ,52,FALSE)</f>
        <v>Pickup : 2026-10-08, Return : 2026-10-09 
 ** PLEASE CHECK OPEN GATE BEFORE RETURN CNTR **
</v>
      </c>
      <c r="AO14" s="62">
        <f>VLOOKUP(D14,'2.Bookinglist'!A:CY,103,FALSE)</f>
        <v>0</v>
      </c>
    </row>
    <row r="15" ht="12.95" customHeight="1">
      <c r="A15" s="96" t="inlineStr">
        <is>
          <t>HALU8504307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LCH05</v>
      </c>
      <c r="D15" s="61" t="str">
        <f>VLOOKUP(A15,'1.Loading'!A:R,17,FALSE)</f>
        <v>HASLS22260900095</v>
      </c>
      <c r="E15" s="62" t="str">
        <f>VLOOKUP(D15,'2.Bookinglist'!A:CT,27,FALSE)</f>
        <v>LOGMAN INTERNATIONAL CO., LTD.</v>
      </c>
      <c r="F15" s="62" t="str">
        <f>VLOOKUP(D15,'2.Bookinglist'!A:CT,28,FALSE)</f>
        <v>THAI NIPPON FOODS CO. ,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JPTMK</v>
      </c>
      <c r="J15" s="61" t="str">
        <f>VLOOKUP(D15,'2.Bookinglist'!A:CT,26,FALSE)</f>
        <v>KRPUS</v>
      </c>
      <c r="K15" s="61" t="str">
        <f>VLOOKUP(A15,'1.Loading'!A:R,5,FALSE)</f>
        <v>45RE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>RF</v>
      </c>
      <c r="O15" s="61" t="str">
        <f>VLOOKUP(A15,'1.Loading'!A:R,3,FALSE)</f>
        <v>PCCP</v>
      </c>
      <c r="P15" s="61" t="str">
        <f>VLOOKUP(A15,'1.Loading'!A:R,4,FALSE)</f>
        <v>2610N</v>
      </c>
      <c r="Q15" s="61" t="str">
        <f>VLOOKUP(D15,'2.Bookinglist'!A:CT,12,FALSE)</f>
        <v>KST</v>
      </c>
      <c r="R15" s="60" t="str">
        <f>IF(LEFT(K15,2)="22","20'","40'")</f>
        <v>40'</v>
      </c>
      <c r="S15" s="185" t="n"/>
      <c r="T15" s="61" t="str">
        <f>VLOOKUP(A15,'1.Loading'!A:R,2,FALSE)</f>
        <v>2026-10-14</v>
      </c>
      <c r="U15" s="63">
        <f>T15-S15</f>
        <v>46309</v>
      </c>
      <c r="V15" s="186" t="n"/>
      <c r="W15" s="61" t="str">
        <f>VLOOKUP(A15,'3.GateMove'!A:D,4,FALSE)</f>
        <v>2026-10-09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3</v>
      </c>
      <c r="AE15" s="63">
        <f>(T15-V15)+1</f>
        <v>46310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Arunphat W. (Aiw)</v>
      </c>
      <c r="AL15" s="60" t="str">
        <f>VLOOKUP(D15,'2.Bookinglist'!A:CW,101,FALSE)</f>
        <v>2026-10-11</v>
      </c>
      <c r="AM15" s="60" t="str">
        <f>VLOOKUP(D15,'2.Bookinglist'!A:BK,63,FALSE)</f>
        <v>LCH27</v>
      </c>
      <c r="AN15" s="62" t="str">
        <f>VLOOKUP(D15,'2.Bookinglist'!A:AZ,52,FALSE)</f>
        <v>[FIX][FIX][FIX][FIX][FIX][FIX]Pickup : 2026-10-08, Return : 2026-10-09 (Temp -20.0 / Vent Close) 
 CLS TIME 10/10 @12.00 [1ST RTN 09/10 W/O RENT &amp; ELECTRIC] 
 </v>
      </c>
      <c r="AO15" s="62">
        <f>VLOOKUP(D15,'2.Bookinglist'!A:CY,103,FALSE)</f>
        <v>0</v>
      </c>
    </row>
    <row r="16" ht="12.95" customHeight="1">
      <c r="A16" s="96" t="inlineStr">
        <is>
          <t>HLHU6424168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LCH05</v>
      </c>
      <c r="D16" s="61" t="str">
        <f>VLOOKUP(A16,'1.Loading'!A:R,17,FALSE)</f>
        <v>HASLS22260902333</v>
      </c>
      <c r="E16" s="62" t="str">
        <f>VLOOKUP(D16,'2.Bookinglist'!A:CT,27,FALSE)</f>
        <v>MILLENNIUM AIR-SEA SERVICE CO., LTD.</v>
      </c>
      <c r="F16" s="62" t="str">
        <f>VLOOKUP(D16,'2.Bookinglist'!A:CT,28,FALSE)</f>
        <v>TIETEX ASIA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PCCP</v>
      </c>
      <c r="P16" s="61" t="str">
        <f>VLOOKUP(A16,'1.Loading'!A:R,4,FALSE)</f>
        <v>2610N</v>
      </c>
      <c r="Q16" s="61" t="str">
        <f>VLOOKUP(D16,'2.Bookinglist'!A:CT,12,FALSE)</f>
        <v>KST</v>
      </c>
      <c r="R16" s="60" t="str">
        <f>IF(LEFT(K16,2)="22","20'","40'")</f>
        <v>40'</v>
      </c>
      <c r="S16" s="185" t="n"/>
      <c r="T16" s="61" t="str">
        <f>VLOOKUP(A16,'1.Loading'!A:R,2,FALSE)</f>
        <v>2026-10-14</v>
      </c>
      <c r="U16" s="63">
        <f>T16-S16</f>
        <v>46309</v>
      </c>
      <c r="V16" s="186" t="n"/>
      <c r="W16" s="61" t="str">
        <f>VLOOKUP(A16,'3.GateMove'!A:D,4,FALSE)</f>
        <v>2026-10-10</v>
      </c>
      <c r="X16" s="63">
        <f>((T16-W16)+1)</f>
        <v>5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Kanokporn</v>
      </c>
      <c r="AL16" s="60" t="str">
        <f>VLOOKUP(D16,'2.Bookinglist'!A:CW,101,FALSE)</f>
        <v>2026-10-11</v>
      </c>
      <c r="AM16" s="60" t="str">
        <f>VLOOKUP(D16,'2.Bookinglist'!A:BK,63,FALSE)</f>
        <v>LCHY5</v>
      </c>
      <c r="AN16" s="62" t="str">
        <f>VLOOKUP(D16,'2.Bookinglist'!A:AZ,52,FALSE)</f>
        <v>Pickup : 2026-10-09, Return : 2026-10-10
**CHECK OPENGATE BEFORE RETURN CNTR**</v>
      </c>
      <c r="AO16" s="62">
        <f>VLOOKUP(D16,'2.Bookinglist'!A:CY,103,FALSE)</f>
        <v>0</v>
      </c>
    </row>
    <row r="17" ht="12.95" customHeight="1">
      <c r="A17" s="96" t="inlineStr">
        <is>
          <t>HLHU8112575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LCH05</v>
      </c>
      <c r="D17" s="61" t="str">
        <f>VLOOKUP(A17,'1.Loading'!A:R,17,FALSE)</f>
        <v>HASLS22260902835</v>
      </c>
      <c r="E17" s="62" t="str">
        <f>VLOOKUP(D17,'2.Bookinglist'!A:CT,27,FALSE)</f>
        <v>KORCHINA FREIGHT (THAILAND) CO., LTD.</v>
      </c>
      <c r="F17" s="62" t="str">
        <f>VLOOKUP(D17,'2.Bookinglist'!A:CT,28,FALSE)</f>
        <v>BRIDGESTONE TIRE MANUFACTURING (THAILAND) CO.,LTD.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PCCP</v>
      </c>
      <c r="P17" s="61" t="str">
        <f>VLOOKUP(A17,'1.Loading'!A:R,4,FALSE)</f>
        <v>2610N</v>
      </c>
      <c r="Q17" s="61" t="str">
        <f>VLOOKUP(D17,'2.Bookinglist'!A:CT,12,FALSE)</f>
        <v>KST</v>
      </c>
      <c r="R17" s="60" t="str">
        <f>IF(LEFT(K17,2)="22","20'","40'")</f>
        <v>40'</v>
      </c>
      <c r="S17" s="185" t="n"/>
      <c r="T17" s="61" t="str">
        <f>VLOOKUP(A17,'1.Loading'!A:R,2,FALSE)</f>
        <v>2026-10-14</v>
      </c>
      <c r="U17" s="63">
        <f>T17-S17</f>
        <v>46309</v>
      </c>
      <c r="V17" s="186" t="n"/>
      <c r="W17" s="61" t="str">
        <f>VLOOKUP(A17,'3.GateMove'!A:D,4,FALSE)</f>
        <v>2026-10-09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LEE HWA DONG</v>
      </c>
      <c r="AL17" s="60" t="str">
        <f>VLOOKUP(D17,'2.Bookinglist'!A:CW,101,FALSE)</f>
        <v>2026-10-12</v>
      </c>
      <c r="AM17" s="60" t="str">
        <f>VLOOKUP(D17,'2.Bookinglist'!A:BK,63,FALSE)</f>
        <v>LCHY5</v>
      </c>
      <c r="AN17" s="62" t="str">
        <f>VLOOKUP(D17,'2.Bookinglist'!A:AZ,52,FALSE)</f>
        <v>Pickup : 2026-10-08, Return : 2026-10-08 
** PLEASE CHECK OPEN GATE BEFORE RETURN CONTAINER ** </v>
      </c>
      <c r="AO17" s="62">
        <f>VLOOKUP(D17,'2.Bookinglist'!A:CY,103,FALSE)</f>
        <v>0</v>
      </c>
    </row>
    <row r="18" ht="12.95" customHeight="1">
      <c r="A18" s="96" t="inlineStr">
        <is>
          <t>HLHU8205256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LCH05</v>
      </c>
      <c r="D18" s="61" t="str">
        <f>VLOOKUP(A18,'1.Loading'!A:R,17,FALSE)</f>
        <v>HASLS22260900460</v>
      </c>
      <c r="E18" s="62" t="str">
        <f>VLOOKUP(D18,'2.Bookinglist'!A:CT,27,FALSE)</f>
        <v>WHA GC LOGISTICS COMPANY LIMITED</v>
      </c>
      <c r="F18" s="62" t="str">
        <f>VLOOKUP(D18,'2.Bookinglist'!A:CT,28,FALSE)</f>
        <v>PTT GLOBAL CHEMICAL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PCCP</v>
      </c>
      <c r="P18" s="61" t="str">
        <f>VLOOKUP(A18,'1.Loading'!A:R,4,FALSE)</f>
        <v>2610N</v>
      </c>
      <c r="Q18" s="61" t="str">
        <f>VLOOKUP(D18,'2.Bookinglist'!A:CT,12,FALSE)</f>
        <v>KST</v>
      </c>
      <c r="R18" s="60" t="str">
        <f>IF(LEFT(K18,2)="22","20'","40'")</f>
        <v>40'</v>
      </c>
      <c r="S18" s="185" t="n"/>
      <c r="T18" s="61" t="str">
        <f>VLOOKUP(A18,'1.Loading'!A:R,2,FALSE)</f>
        <v>2026-10-14</v>
      </c>
      <c r="U18" s="63">
        <f>T18-S18</f>
        <v>46309</v>
      </c>
      <c r="V18" s="186" t="n"/>
      <c r="W18" s="61" t="str">
        <f>VLOOKUP(A18,'3.GateMove'!A:D,4,FALSE)</f>
        <v>2026-10-09</v>
      </c>
      <c r="X18" s="63">
        <f>((T18-W18)+1)</f>
        <v>6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2026-10-12</v>
      </c>
      <c r="AM18" s="60" t="str">
        <f>VLOOKUP(D18,'2.Bookinglist'!A:BK,63,FALSE)</f>
        <v>LCH27</v>
      </c>
      <c r="AN18" s="62" t="str">
        <f>VLOOKUP(D18,'2.Bookinglist'!A:AZ,52,FALSE)</f>
        <v>CY-RTN 23-26/09/26
</v>
      </c>
      <c r="AO18" s="62" t="str">
        <f>VLOOKUP(D18,'2.Bookinglist'!A:CY,103,FALSE)</f>
        <v>ROLL OVER FORM PREIOVUS VSL SWSP 2609N BY ALLOCATION TEAM MS.TARN APPROVED COST IS UNDER HA DD.7/10</v>
      </c>
    </row>
    <row r="19" ht="12.95" customHeight="1">
      <c r="A19" s="96" t="inlineStr">
        <is>
          <t>HLHU8348642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LCH05</v>
      </c>
      <c r="D19" s="61" t="str">
        <f>VLOOKUP(A19,'1.Loading'!A:R,17,FALSE)</f>
        <v>HASLS22260900820</v>
      </c>
      <c r="E19" s="62" t="str">
        <f>VLOOKUP(D19,'2.Bookinglist'!A:CT,27,FALSE)</f>
        <v>LOGMAN INTERNATIONAL CO., LTD.</v>
      </c>
      <c r="F19" s="62" t="str">
        <f>VLOOKUP(D19,'2.Bookinglist'!A:CT,28,FALSE)</f>
        <v>MAXXIS INTERNATIONAL (THAILAND)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PCCP</v>
      </c>
      <c r="P19" s="61" t="str">
        <f>VLOOKUP(A19,'1.Loading'!A:R,4,FALSE)</f>
        <v>2610N</v>
      </c>
      <c r="Q19" s="61" t="str">
        <f>VLOOKUP(D19,'2.Bookinglist'!A:CT,12,FALSE)</f>
        <v>KST</v>
      </c>
      <c r="R19" s="60" t="str">
        <f>IF(LEFT(K19,2)="22","20'","40'")</f>
        <v>40'</v>
      </c>
      <c r="S19" s="185" t="n"/>
      <c r="T19" s="61" t="str">
        <f>VLOOKUP(A19,'1.Loading'!A:R,2,FALSE)</f>
        <v>2026-10-14</v>
      </c>
      <c r="U19" s="63">
        <f>T19-S19</f>
        <v>46309</v>
      </c>
      <c r="V19" s="186" t="n"/>
      <c r="W19" s="61" t="str">
        <f>VLOOKUP(A19,'3.GateMove'!A:D,4,FALSE)</f>
        <v>2026-10-09</v>
      </c>
      <c r="X19" s="63">
        <f>((T19-W19)+1)</f>
        <v>6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Nguyen Van Nam</v>
      </c>
      <c r="AL19" s="60" t="str">
        <f>VLOOKUP(D19,'2.Bookinglist'!A:CW,101,FALSE)</f>
        <v>2026-10-12</v>
      </c>
      <c r="AM19" s="60" t="str">
        <f>VLOOKUP(D19,'2.Bookinglist'!A:BK,63,FALSE)</f>
        <v>LCH27</v>
      </c>
      <c r="AN19" s="62" t="str">
        <f>VLOOKUP(D19,'2.Bookinglist'!A:AZ,52,FALSE)</f>
        <v>Pickup : 2026-09-28, Return : 2026-09-29</v>
      </c>
      <c r="AO19" s="62" t="str">
        <f>VLOOKUP(D19,'2.Bookinglist'!A:CY,103,FALSE)</f>
        <v>ROLL OVER FROM PREVIOUS VSL SWSP 2609N BY ALLOCATION TEAM MS.TARN APPROVED COST IS UNDER HA DD.7/10</v>
      </c>
    </row>
    <row r="20" ht="12.95" customHeight="1">
      <c r="A20" s="96" t="inlineStr">
        <is>
          <t>HLHU8412654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LCH05</v>
      </c>
      <c r="D20" s="61" t="str">
        <f>VLOOKUP(A20,'1.Loading'!A:R,17,FALSE)</f>
        <v>HASLS22260902255</v>
      </c>
      <c r="E20" s="62" t="str">
        <f>VLOOKUP(D20,'2.Bookinglist'!A:CT,27,FALSE)</f>
        <v>ACCORD PILOT LOGISTICS (THAILAND) CO., LTD.</v>
      </c>
      <c r="F20" s="62" t="str">
        <f>VLOOKUP(D20,'2.Bookinglist'!A:CT,28,FALSE)</f>
        <v>HMC POLYMERS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PCCP</v>
      </c>
      <c r="P20" s="61" t="str">
        <f>VLOOKUP(A20,'1.Loading'!A:R,4,FALSE)</f>
        <v>2610N</v>
      </c>
      <c r="Q20" s="61" t="str">
        <f>VLOOKUP(D20,'2.Bookinglist'!A:CT,12,FALSE)</f>
        <v>KST</v>
      </c>
      <c r="R20" s="60" t="str">
        <f>IF(LEFT(K20,2)="22","20'","40'")</f>
        <v>40'</v>
      </c>
      <c r="S20" s="185" t="n"/>
      <c r="T20" s="61" t="str">
        <f>VLOOKUP(A20,'1.Loading'!A:R,2,FALSE)</f>
        <v>2026-10-14</v>
      </c>
      <c r="U20" s="63">
        <f>T20-S20</f>
        <v>46309</v>
      </c>
      <c r="V20" s="186" t="n"/>
      <c r="W20" s="61" t="str">
        <f>VLOOKUP(A20,'3.GateMove'!A:D,4,FALSE)</f>
        <v>2026-10-09</v>
      </c>
      <c r="X20" s="63">
        <f>((T20-W20)+1)</f>
        <v>6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Kanokporn</v>
      </c>
      <c r="AL20" s="60" t="str">
        <f>VLOOKUP(D20,'2.Bookinglist'!A:CW,101,FALSE)</f>
        <v>2026-10-12</v>
      </c>
      <c r="AM20" s="60" t="str">
        <f>VLOOKUP(D20,'2.Bookinglist'!A:BK,63,FALSE)</f>
        <v>LCHY5</v>
      </c>
      <c r="AN20" s="62" t="str">
        <f>VLOOKUP(D20,'2.Bookinglist'!A:AZ,52,FALSE)</f>
        <v>Pickup : 2026-10-02, Return : 2026-10-04</v>
      </c>
      <c r="AO20" s="62" t="str">
        <f>VLOOKUP(D20,'2.Bookinglist'!A:CY,103,FALSE)</f>
        <v>ROLL OVER FROM PREVIOUS VSL SWSP 2609N BY ALLOCATION TEAM MS.TARN APRPOVED COST IS UNDER HA DD.04/10</v>
      </c>
    </row>
    <row r="21" ht="12.95" customHeight="1">
      <c r="A21" s="96" t="inlineStr">
        <is>
          <t>HLHU8453632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LCH05</v>
      </c>
      <c r="D21" s="61" t="str">
        <f>VLOOKUP(A21,'1.Loading'!A:R,17,FALSE)</f>
        <v>HASLS22260902255</v>
      </c>
      <c r="E21" s="62" t="str">
        <f>VLOOKUP(D21,'2.Bookinglist'!A:CT,27,FALSE)</f>
        <v>ACCORD PILOT LOGISTICS (THAILAND) CO., LTD.</v>
      </c>
      <c r="F21" s="62" t="str">
        <f>VLOOKUP(D21,'2.Bookinglist'!A:CT,28,FALSE)</f>
        <v>HMC POLYMERS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PCCP</v>
      </c>
      <c r="P21" s="61" t="str">
        <f>VLOOKUP(A21,'1.Loading'!A:R,4,FALSE)</f>
        <v>2610N</v>
      </c>
      <c r="Q21" s="61" t="str">
        <f>VLOOKUP(D21,'2.Bookinglist'!A:CT,12,FALSE)</f>
        <v>KST</v>
      </c>
      <c r="R21" s="60" t="str">
        <f>IF(LEFT(K21,2)="22","20'","40'")</f>
        <v>40'</v>
      </c>
      <c r="S21" s="185" t="n"/>
      <c r="T21" s="61" t="str">
        <f>VLOOKUP(A21,'1.Loading'!A:R,2,FALSE)</f>
        <v>2026-10-14</v>
      </c>
      <c r="U21" s="63">
        <f>T21-S21</f>
        <v>46309</v>
      </c>
      <c r="V21" s="186" t="n"/>
      <c r="W21" s="61" t="str">
        <f>VLOOKUP(A21,'3.GateMove'!A:D,4,FALSE)</f>
        <v>2026-10-09</v>
      </c>
      <c r="X21" s="63">
        <f>((T21-W21)+1)</f>
        <v>6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Kanokporn</v>
      </c>
      <c r="AL21" s="60" t="str">
        <f>VLOOKUP(D21,'2.Bookinglist'!A:CW,101,FALSE)</f>
        <v>2026-10-12</v>
      </c>
      <c r="AM21" s="60" t="str">
        <f>VLOOKUP(D21,'2.Bookinglist'!A:BK,63,FALSE)</f>
        <v>LCHY5</v>
      </c>
      <c r="AN21" s="62" t="str">
        <f>VLOOKUP(D21,'2.Bookinglist'!A:AZ,52,FALSE)</f>
        <v>Pickup : 2026-10-02, Return : 2026-10-04</v>
      </c>
      <c r="AO21" s="62" t="str">
        <f>VLOOKUP(D21,'2.Bookinglist'!A:CY,103,FALSE)</f>
        <v>ROLL OVER FROM PREVIOUS VSL SWSP 2609N BY ALLOCATION TEAM MS.TARN APRPOVED COST IS UNDER HA DD.04/10</v>
      </c>
    </row>
    <row r="22" ht="12.95" customHeight="1">
      <c r="A22" s="96" t="inlineStr">
        <is>
          <t>SKHU6362905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LCH05</v>
      </c>
      <c r="D22" s="61" t="str">
        <f>VLOOKUP(A22,'1.Loading'!A:R,17,FALSE)</f>
        <v>HASLS22260900460</v>
      </c>
      <c r="E22" s="62" t="str">
        <f>VLOOKUP(D22,'2.Bookinglist'!A:CT,27,FALSE)</f>
        <v>WHA GC LOGISTICS COMPANY LIMITED</v>
      </c>
      <c r="F22" s="62" t="str">
        <f>VLOOKUP(D22,'2.Bookinglist'!A:CT,28,FALSE)</f>
        <v>PTT GLOBAL CHEMICAL PUBLIC COMPANY LIMITED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PCCP</v>
      </c>
      <c r="P22" s="61" t="str">
        <f>VLOOKUP(A22,'1.Loading'!A:R,4,FALSE)</f>
        <v>2610N</v>
      </c>
      <c r="Q22" s="61" t="str">
        <f>VLOOKUP(D22,'2.Bookinglist'!A:CT,12,FALSE)</f>
        <v>KST</v>
      </c>
      <c r="R22" s="60" t="str">
        <f>IF(LEFT(K22,2)="22","20'","40'")</f>
        <v>40'</v>
      </c>
      <c r="S22" s="185" t="n"/>
      <c r="T22" s="61" t="str">
        <f>VLOOKUP(A22,'1.Loading'!A:R,2,FALSE)</f>
        <v>2026-10-14</v>
      </c>
      <c r="U22" s="63">
        <f>T22-S22</f>
        <v>46309</v>
      </c>
      <c r="V22" s="186" t="n"/>
      <c r="W22" s="61" t="str">
        <f>VLOOKUP(A22,'3.GateMove'!A:D,4,FALSE)</f>
        <v>2026-10-09</v>
      </c>
      <c r="X22" s="63">
        <f>((T22-W22)+1)</f>
        <v>6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2026-10-12</v>
      </c>
      <c r="AM22" s="60" t="str">
        <f>VLOOKUP(D22,'2.Bookinglist'!A:BK,63,FALSE)</f>
        <v>LCH27</v>
      </c>
      <c r="AN22" s="62" t="str">
        <f>VLOOKUP(D22,'2.Bookinglist'!A:AZ,52,FALSE)</f>
        <v>CY-RTN 23-26/09/26
</v>
      </c>
      <c r="AO22" s="62" t="str">
        <f>VLOOKUP(D22,'2.Bookinglist'!A:CY,103,FALSE)</f>
        <v>ROLL OVER FORM PREIOVUS VSL SWSP 2609N BY ALLOCATION TEAM MS.TARN APPROVED COST IS UNDER HA DD.7/10</v>
      </c>
    </row>
    <row r="23" ht="12.95" customHeight="1">
      <c r="A23" s="96" t="inlineStr">
        <is>
          <t>SKHU6395730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LCH05</v>
      </c>
      <c r="D23" s="61" t="str">
        <f>VLOOKUP(A23,'1.Loading'!A:R,17,FALSE)</f>
        <v>HASLS22260901767</v>
      </c>
      <c r="E23" s="62" t="str">
        <f>VLOOKUP(D23,'2.Bookinglist'!A:CT,27,FALSE)</f>
        <v>MERCURIAL LOGISTICS  CO.,LTD</v>
      </c>
      <c r="F23" s="62" t="str">
        <f>VLOOKUP(D23,'2.Bookinglist'!A:CT,28,FALSE)</f>
        <v>BARBE (THAILAND) LTD. 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PCCP</v>
      </c>
      <c r="P23" s="61" t="str">
        <f>VLOOKUP(A23,'1.Loading'!A:R,4,FALSE)</f>
        <v>2610N</v>
      </c>
      <c r="Q23" s="61" t="str">
        <f>VLOOKUP(D23,'2.Bookinglist'!A:CT,12,FALSE)</f>
        <v>KST</v>
      </c>
      <c r="R23" s="60" t="str">
        <f>IF(LEFT(K23,2)="22","20'","40'")</f>
        <v>40'</v>
      </c>
      <c r="S23" s="185" t="n"/>
      <c r="T23" s="61" t="str">
        <f>VLOOKUP(A23,'1.Loading'!A:R,2,FALSE)</f>
        <v>2026-10-14</v>
      </c>
      <c r="U23" s="63">
        <f>T23-S23</f>
        <v>46309</v>
      </c>
      <c r="V23" s="186" t="n"/>
      <c r="W23" s="61" t="str">
        <f>VLOOKUP(A23,'3.GateMove'!A:D,4,FALSE)</f>
        <v>2026-10-10</v>
      </c>
      <c r="X23" s="63">
        <f>((T23-W23)+1)</f>
        <v>5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Nannaapust Sukporntaweewat</v>
      </c>
      <c r="AL23" s="60" t="str">
        <f>VLOOKUP(D23,'2.Bookinglist'!A:CW,101,FALSE)</f>
        <v>2026-10-12</v>
      </c>
      <c r="AM23" s="60" t="str">
        <f>VLOOKUP(D23,'2.Bookinglist'!A:BK,63,FALSE)</f>
        <v>LCHY5</v>
      </c>
      <c r="AN23" s="62" t="str">
        <f>VLOOKUP(D23,'2.Bookinglist'!A:AZ,52,FALSE)</f>
        <v>Pickup : 2026-10-03, Return : 2026-10-05
**PLS CHECK OPENGATE BEFORE RETURN CNTR**</v>
      </c>
      <c r="AO23" s="62" t="str">
        <f>VLOOKUP(D23,'2.Bookinglist'!A:CY,103,FALSE)</f>
        <v>ROLL OVER FROM PREIVOUS VSL SWSP 2609N BY ALLOCATION TEAM MS.TARN APRPOVED COST IS UNDER HA DD.7/10</v>
      </c>
    </row>
    <row r="24" ht="12.95" customHeight="1">
      <c r="A24" s="96" t="inlineStr">
        <is>
          <t>SKHU6422650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LCH05</v>
      </c>
      <c r="D24" s="61" t="str">
        <f>VLOOKUP(A24,'1.Loading'!A:R,17,FALSE)</f>
        <v>HASLS22260900212</v>
      </c>
      <c r="E24" s="62" t="str">
        <f>VLOOKUP(D24,'2.Bookinglist'!A:CT,27,FALSE)</f>
        <v>CMS LOGISTICS GROUP (THAILAND) CO., LTD.</v>
      </c>
      <c r="F24" s="62" t="str">
        <f>VLOOKUP(D24,'2.Bookinglist'!A:CT,28,FALSE)</f>
        <v>SIAM INDUSTRY ADHESIVE TAPES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PCCP</v>
      </c>
      <c r="P24" s="61" t="str">
        <f>VLOOKUP(A24,'1.Loading'!A:R,4,FALSE)</f>
        <v>2610N</v>
      </c>
      <c r="Q24" s="61" t="str">
        <f>VLOOKUP(D24,'2.Bookinglist'!A:CT,12,FALSE)</f>
        <v>KST</v>
      </c>
      <c r="R24" s="60" t="str">
        <f>IF(LEFT(K24,2)="22","20'","40'")</f>
        <v>40'</v>
      </c>
      <c r="S24" s="185" t="n"/>
      <c r="T24" s="61" t="str">
        <f>VLOOKUP(A24,'1.Loading'!A:R,2,FALSE)</f>
        <v>2026-10-14</v>
      </c>
      <c r="U24" s="63">
        <f>T24-S24</f>
        <v>46309</v>
      </c>
      <c r="V24" s="186" t="n"/>
      <c r="W24" s="61" t="str">
        <f>VLOOKUP(A24,'3.GateMove'!A:D,4,FALSE)</f>
        <v>2026-10-09</v>
      </c>
      <c r="X24" s="63">
        <f>((T24-W24)+1)</f>
        <v>6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Nannaapust Sukporntaweewat</v>
      </c>
      <c r="AL24" s="60" t="str">
        <f>VLOOKUP(D24,'2.Bookinglist'!A:CW,101,FALSE)</f>
        <v>2026-10-11</v>
      </c>
      <c r="AM24" s="60" t="str">
        <f>VLOOKUP(D24,'2.Bookinglist'!A:BK,63,FALSE)</f>
        <v>LCH27</v>
      </c>
      <c r="AN24" s="62" t="str">
        <f>VLOOKUP(D24,'2.Bookinglist'!A:AZ,52,FALSE)</f>
        <v>Pickup : 2026-10-06, Return : 2026-10-07</v>
      </c>
      <c r="AO24" s="62">
        <f>VLOOKUP(D24,'2.Bookinglist'!A:CY,103,FALSE)</f>
        <v>0</v>
      </c>
    </row>
    <row r="25" ht="12.95" customHeight="1">
      <c r="A25" s="96" t="inlineStr">
        <is>
          <t>SKHU6469745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LCH05</v>
      </c>
      <c r="D25" s="61" t="str">
        <f>VLOOKUP(A25,'1.Loading'!A:R,17,FALSE)</f>
        <v>HASLS22260902255</v>
      </c>
      <c r="E25" s="62" t="str">
        <f>VLOOKUP(D25,'2.Bookinglist'!A:CT,27,FALSE)</f>
        <v>ACCORD PILOT LOGISTICS (THAILAND) CO., LTD.</v>
      </c>
      <c r="F25" s="62" t="str">
        <f>VLOOKUP(D25,'2.Bookinglist'!A:CT,28,FALSE)</f>
        <v>HMC POLYMERS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PCCP</v>
      </c>
      <c r="P25" s="61" t="str">
        <f>VLOOKUP(A25,'1.Loading'!A:R,4,FALSE)</f>
        <v>2610N</v>
      </c>
      <c r="Q25" s="61" t="str">
        <f>VLOOKUP(D25,'2.Bookinglist'!A:CT,12,FALSE)</f>
        <v>KST</v>
      </c>
      <c r="R25" s="60" t="str">
        <f>IF(LEFT(K25,2)="22","20'","40'")</f>
        <v>40'</v>
      </c>
      <c r="S25" s="185" t="n"/>
      <c r="T25" s="61" t="str">
        <f>VLOOKUP(A25,'1.Loading'!A:R,2,FALSE)</f>
        <v>2026-10-14</v>
      </c>
      <c r="U25" s="63">
        <f>T25-S25</f>
        <v>46309</v>
      </c>
      <c r="V25" s="186" t="n"/>
      <c r="W25" s="61" t="str">
        <f>VLOOKUP(A25,'3.GateMove'!A:D,4,FALSE)</f>
        <v>2026-10-08</v>
      </c>
      <c r="X25" s="63">
        <f>((T25-W25)+1)</f>
        <v>7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Kanokporn</v>
      </c>
      <c r="AL25" s="60" t="str">
        <f>VLOOKUP(D25,'2.Bookinglist'!A:CW,101,FALSE)</f>
        <v>2026-10-12</v>
      </c>
      <c r="AM25" s="60" t="str">
        <f>VLOOKUP(D25,'2.Bookinglist'!A:BK,63,FALSE)</f>
        <v>LCHY5</v>
      </c>
      <c r="AN25" s="62" t="str">
        <f>VLOOKUP(D25,'2.Bookinglist'!A:AZ,52,FALSE)</f>
        <v>Pickup : 2026-10-02, Return : 2026-10-04</v>
      </c>
      <c r="AO25" s="62" t="str">
        <f>VLOOKUP(D25,'2.Bookinglist'!A:CY,103,FALSE)</f>
        <v>ROLL OVER FROM PREVIOUS VSL SWSP 2609N BY ALLOCATION TEAM MS.TARN APRPOVED COST IS UNDER HA DD.04/10</v>
      </c>
    </row>
    <row r="26" ht="12.95" customHeight="1">
      <c r="A26" s="96" t="inlineStr">
        <is>
          <t>SKHU6520030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LCH05</v>
      </c>
      <c r="D26" s="61" t="str">
        <f>VLOOKUP(A26,'1.Loading'!A:R,17,FALSE)</f>
        <v>HASLS22260900460</v>
      </c>
      <c r="E26" s="62" t="str">
        <f>VLOOKUP(D26,'2.Bookinglist'!A:CT,27,FALSE)</f>
        <v>WHA GC LOGISTICS COMPANY LIMITED</v>
      </c>
      <c r="F26" s="62" t="str">
        <f>VLOOKUP(D26,'2.Bookinglist'!A:CT,28,FALSE)</f>
        <v>PTT GLOBAL CHEMICAL PUBLIC COMPANY LIMITED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PCCP</v>
      </c>
      <c r="P26" s="61" t="str">
        <f>VLOOKUP(A26,'1.Loading'!A:R,4,FALSE)</f>
        <v>2610N</v>
      </c>
      <c r="Q26" s="61" t="str">
        <f>VLOOKUP(D26,'2.Bookinglist'!A:CT,12,FALSE)</f>
        <v>KST</v>
      </c>
      <c r="R26" s="60" t="str">
        <f>IF(LEFT(K26,2)="22","20'","40'")</f>
        <v>40'</v>
      </c>
      <c r="S26" s="185" t="n"/>
      <c r="T26" s="61" t="str">
        <f>VLOOKUP(A26,'1.Loading'!A:R,2,FALSE)</f>
        <v>2026-10-14</v>
      </c>
      <c r="U26" s="63">
        <f>T26-S26</f>
        <v>46309</v>
      </c>
      <c r="V26" s="186" t="n"/>
      <c r="W26" s="61" t="str">
        <f>VLOOKUP(A26,'3.GateMove'!A:D,4,FALSE)</f>
        <v>2026-10-09</v>
      </c>
      <c r="X26" s="63">
        <f>((T26-W26)+1)</f>
        <v>6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46310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Dharaporn</v>
      </c>
      <c r="AL26" s="60" t="str">
        <f>VLOOKUP(D26,'2.Bookinglist'!A:CW,101,FALSE)</f>
        <v>2026-10-12</v>
      </c>
      <c r="AM26" s="60" t="str">
        <f>VLOOKUP(D26,'2.Bookinglist'!A:BK,63,FALSE)</f>
        <v>LCH27</v>
      </c>
      <c r="AN26" s="62" t="str">
        <f>VLOOKUP(D26,'2.Bookinglist'!A:AZ,52,FALSE)</f>
        <v>CY-RTN 23-26/09/26
</v>
      </c>
      <c r="AO26" s="62" t="str">
        <f>VLOOKUP(D26,'2.Bookinglist'!A:CY,103,FALSE)</f>
        <v>ROLL OVER FORM PREIOVUS VSL SWSP 2609N BY ALLOCATION TEAM MS.TARN APPROVED COST IS UNDER HA DD.7/10</v>
      </c>
    </row>
    <row r="27" ht="12.95" customHeight="1">
      <c r="A27" s="96" t="inlineStr">
        <is>
          <t>SKHU8421967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LCH05</v>
      </c>
      <c r="D27" s="61" t="str">
        <f>VLOOKUP(A27,'1.Loading'!A:R,17,FALSE)</f>
        <v>HASLS22260900460</v>
      </c>
      <c r="E27" s="62" t="str">
        <f>VLOOKUP(D27,'2.Bookinglist'!A:CT,27,FALSE)</f>
        <v>WHA GC LOGISTICS COMPANY LIMITED</v>
      </c>
      <c r="F27" s="62" t="str">
        <f>VLOOKUP(D27,'2.Bookinglist'!A:CT,28,FALSE)</f>
        <v>PTT GLOBAL CHEMICAL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PCCP</v>
      </c>
      <c r="P27" s="61" t="str">
        <f>VLOOKUP(A27,'1.Loading'!A:R,4,FALSE)</f>
        <v>2610N</v>
      </c>
      <c r="Q27" s="61" t="str">
        <f>VLOOKUP(D27,'2.Bookinglist'!A:CT,12,FALSE)</f>
        <v>KST</v>
      </c>
      <c r="R27" s="60" t="str">
        <f>IF(LEFT(K27,2)="22","20'","40'")</f>
        <v>40'</v>
      </c>
      <c r="S27" s="185" t="n"/>
      <c r="T27" s="61" t="str">
        <f>VLOOKUP(A27,'1.Loading'!A:R,2,FALSE)</f>
        <v>2026-10-14</v>
      </c>
      <c r="U27" s="63">
        <f>T27-S27</f>
        <v>46309</v>
      </c>
      <c r="V27" s="186" t="n"/>
      <c r="W27" s="61" t="str">
        <f>VLOOKUP(A27,'3.GateMove'!A:D,4,FALSE)</f>
        <v>2026-10-09</v>
      </c>
      <c r="X27" s="63">
        <f>((T27-W27)+1)</f>
        <v>6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46310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Dharaporn</v>
      </c>
      <c r="AL27" s="60" t="str">
        <f>VLOOKUP(D27,'2.Bookinglist'!A:CW,101,FALSE)</f>
        <v>2026-10-12</v>
      </c>
      <c r="AM27" s="60" t="str">
        <f>VLOOKUP(D27,'2.Bookinglist'!A:BK,63,FALSE)</f>
        <v>LCH27</v>
      </c>
      <c r="AN27" s="62" t="str">
        <f>VLOOKUP(D27,'2.Bookinglist'!A:AZ,52,FALSE)</f>
        <v>CY-RTN 23-26/09/26
</v>
      </c>
      <c r="AO27" s="62" t="str">
        <f>VLOOKUP(D27,'2.Bookinglist'!A:CY,103,FALSE)</f>
        <v>ROLL OVER FORM PREIOVUS VSL SWSP 2609N BY ALLOCATION TEAM MS.TARN APPROVED COST IS UNDER HA DD.7/10</v>
      </c>
    </row>
    <row r="28" ht="12.95" customHeight="1">
      <c r="A28" s="96" t="inlineStr">
        <is>
          <t>SKHU8433551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LCH05</v>
      </c>
      <c r="D28" s="61" t="str">
        <f>VLOOKUP(A28,'1.Loading'!A:R,17,FALSE)</f>
        <v>HASLS22261000198</v>
      </c>
      <c r="E28" s="62" t="str">
        <f>VLOOKUP(D28,'2.Bookinglist'!A:CT,27,FALSE)</f>
        <v>CAPRICORN LOGISTICS CO., LTD.</v>
      </c>
      <c r="F28" s="62" t="str">
        <f>VLOOKUP(D28,'2.Bookinglist'!A:CT,28,FALSE)</f>
        <v>MAXXIS INTERNATIONAL (THAILAND)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PCCP</v>
      </c>
      <c r="P28" s="61" t="str">
        <f>VLOOKUP(A28,'1.Loading'!A:R,4,FALSE)</f>
        <v>2610N</v>
      </c>
      <c r="Q28" s="61" t="str">
        <f>VLOOKUP(D28,'2.Bookinglist'!A:CT,12,FALSE)</f>
        <v>KST</v>
      </c>
      <c r="R28" s="60" t="str">
        <f>IF(LEFT(K28,2)="22","20'","40'")</f>
        <v>40'</v>
      </c>
      <c r="S28" s="185" t="n"/>
      <c r="T28" s="61" t="str">
        <f>VLOOKUP(A28,'1.Loading'!A:R,2,FALSE)</f>
        <v>2026-10-14</v>
      </c>
      <c r="U28" s="63">
        <f>T28-S28</f>
        <v>46309</v>
      </c>
      <c r="V28" s="186" t="n"/>
      <c r="W28" s="61" t="str">
        <f>VLOOKUP(A28,'3.GateMove'!A:D,4,FALSE)</f>
        <v>2026-10-08</v>
      </c>
      <c r="X28" s="63">
        <f>((T28-W28)+1)</f>
        <v>7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46310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Sukunpoj Damrongying</v>
      </c>
      <c r="AL28" s="60" t="str">
        <f>VLOOKUP(D28,'2.Bookinglist'!A:CW,101,FALSE)</f>
        <v>2026-10-12</v>
      </c>
      <c r="AM28" s="60" t="str">
        <f>VLOOKUP(D28,'2.Bookinglist'!A:BK,63,FALSE)</f>
        <v>LCHY5</v>
      </c>
      <c r="AN28" s="62" t="str">
        <f>VLOOKUP(D28,'2.Bookinglist'!A:AZ,52,FALSE)</f>
        <v>Pickup : 2026-10-07, Return : 2026-10-09
REQUEST CONTAINER GOOD GRADE </v>
      </c>
      <c r="AO28" s="62">
        <f>VLOOKUP(D28,'2.Bookinglist'!A:CY,103,FALSE)</f>
        <v>0</v>
      </c>
    </row>
    <row r="29" ht="12.95" customHeight="1">
      <c r="A29" s="96" t="inlineStr">
        <is>
          <t>SKHU8925762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LCH05</v>
      </c>
      <c r="D29" s="61" t="str">
        <f>VLOOKUP(A29,'1.Loading'!A:R,17,FALSE)</f>
        <v>HASLS22260900460</v>
      </c>
      <c r="E29" s="62" t="str">
        <f>VLOOKUP(D29,'2.Bookinglist'!A:CT,27,FALSE)</f>
        <v>WHA GC LOGISTICS COMPANY LIMITED</v>
      </c>
      <c r="F29" s="62" t="str">
        <f>VLOOKUP(D29,'2.Bookinglist'!A:CT,28,FALSE)</f>
        <v>PTT GLOBAL CHEMICAL PUBLIC COMPANY LIMITED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PCCP</v>
      </c>
      <c r="P29" s="61" t="str">
        <f>VLOOKUP(A29,'1.Loading'!A:R,4,FALSE)</f>
        <v>2610N</v>
      </c>
      <c r="Q29" s="61" t="str">
        <f>VLOOKUP(D29,'2.Bookinglist'!A:CT,12,FALSE)</f>
        <v>KST</v>
      </c>
      <c r="R29" s="60" t="str">
        <f>IF(LEFT(K29,2)="22","20'","40'")</f>
        <v>40'</v>
      </c>
      <c r="S29" s="185" t="n"/>
      <c r="T29" s="61" t="str">
        <f>VLOOKUP(A29,'1.Loading'!A:R,2,FALSE)</f>
        <v>2026-10-14</v>
      </c>
      <c r="U29" s="63">
        <f>T29-S29</f>
        <v>46309</v>
      </c>
      <c r="V29" s="186" t="n"/>
      <c r="W29" s="61" t="str">
        <f>VLOOKUP(A29,'3.GateMove'!A:D,4,FALSE)</f>
        <v>2026-10-08</v>
      </c>
      <c r="X29" s="63">
        <f>((T29-W29)+1)</f>
        <v>7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46310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Dharaporn</v>
      </c>
      <c r="AL29" s="60" t="str">
        <f>VLOOKUP(D29,'2.Bookinglist'!A:CW,101,FALSE)</f>
        <v>2026-10-12</v>
      </c>
      <c r="AM29" s="60" t="str">
        <f>VLOOKUP(D29,'2.Bookinglist'!A:BK,63,FALSE)</f>
        <v>LCH27</v>
      </c>
      <c r="AN29" s="62" t="str">
        <f>VLOOKUP(D29,'2.Bookinglist'!A:AZ,52,FALSE)</f>
        <v>CY-RTN 23-26/09/26
</v>
      </c>
      <c r="AO29" s="62" t="str">
        <f>VLOOKUP(D29,'2.Bookinglist'!A:CY,103,FALSE)</f>
        <v>ROLL OVER FORM PREIOVUS VSL SWSP 2609N BY ALLOCATION TEAM MS.TARN APPROVED COST IS UNDER HA DD.7/10</v>
      </c>
    </row>
    <row r="30" ht="12.95" customHeight="1">
      <c r="A30" s="96" t="inlineStr">
        <is>
          <t>SKHU9601578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LCH05</v>
      </c>
      <c r="D30" s="61" t="str">
        <f>VLOOKUP(A30,'1.Loading'!A:R,17,FALSE)</f>
        <v>HASLS22260902255</v>
      </c>
      <c r="E30" s="62" t="str">
        <f>VLOOKUP(D30,'2.Bookinglist'!A:CT,27,FALSE)</f>
        <v>ACCORD PILOT LOGISTICS (THAILAND) CO., LTD.</v>
      </c>
      <c r="F30" s="62" t="str">
        <f>VLOOKUP(D30,'2.Bookinglist'!A:CT,28,FALSE)</f>
        <v>HMC POLYMERS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PCCP</v>
      </c>
      <c r="P30" s="61" t="str">
        <f>VLOOKUP(A30,'1.Loading'!A:R,4,FALSE)</f>
        <v>2610N</v>
      </c>
      <c r="Q30" s="61" t="str">
        <f>VLOOKUP(D30,'2.Bookinglist'!A:CT,12,FALSE)</f>
        <v>KST</v>
      </c>
      <c r="R30" s="60" t="str">
        <f>IF(LEFT(K30,2)="22","20'","40'")</f>
        <v>40'</v>
      </c>
      <c r="S30" s="185" t="n"/>
      <c r="T30" s="61" t="str">
        <f>VLOOKUP(A30,'1.Loading'!A:R,2,FALSE)</f>
        <v>2026-10-14</v>
      </c>
      <c r="U30" s="63">
        <f>T30-S30</f>
        <v>46309</v>
      </c>
      <c r="V30" s="186" t="n"/>
      <c r="W30" s="61" t="str">
        <f>VLOOKUP(A30,'3.GateMove'!A:D,4,FALSE)</f>
        <v>2026-10-09</v>
      </c>
      <c r="X30" s="63">
        <f>((T30-W30)+1)</f>
        <v>6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46310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Kanokporn</v>
      </c>
      <c r="AL30" s="60" t="str">
        <f>VLOOKUP(D30,'2.Bookinglist'!A:CW,101,FALSE)</f>
        <v>2026-10-12</v>
      </c>
      <c r="AM30" s="60" t="str">
        <f>VLOOKUP(D30,'2.Bookinglist'!A:BK,63,FALSE)</f>
        <v>LCHY5</v>
      </c>
      <c r="AN30" s="62" t="str">
        <f>VLOOKUP(D30,'2.Bookinglist'!A:AZ,52,FALSE)</f>
        <v>Pickup : 2026-10-02, Return : 2026-10-04</v>
      </c>
      <c r="AO30" s="62" t="str">
        <f>VLOOKUP(D30,'2.Bookinglist'!A:CY,103,FALSE)</f>
        <v>ROLL OVER FROM PREVIOUS VSL SWSP 2609N BY ALLOCATION TEAM MS.TARN APRPOVED COST IS UNDER HA DD.04/10</v>
      </c>
    </row>
    <row r="31" ht="12.95" customHeight="1">
      <c r="A31" s="96" t="inlineStr">
        <is>
          <t>SKHU9618478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LCH05</v>
      </c>
      <c r="D31" s="61" t="str">
        <f>VLOOKUP(A31,'1.Loading'!A:R,17,FALSE)</f>
        <v>HASLS22260902255</v>
      </c>
      <c r="E31" s="62" t="str">
        <f>VLOOKUP(D31,'2.Bookinglist'!A:CT,27,FALSE)</f>
        <v>ACCORD PILOT LOGISTICS (THAILAND) CO., LTD.</v>
      </c>
      <c r="F31" s="62" t="str">
        <f>VLOOKUP(D31,'2.Bookinglist'!A:CT,28,FALSE)</f>
        <v>HMC POLYMERS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PCCP</v>
      </c>
      <c r="P31" s="61" t="str">
        <f>VLOOKUP(A31,'1.Loading'!A:R,4,FALSE)</f>
        <v>2610N</v>
      </c>
      <c r="Q31" s="61" t="str">
        <f>VLOOKUP(D31,'2.Bookinglist'!A:CT,12,FALSE)</f>
        <v>KST</v>
      </c>
      <c r="R31" s="60" t="str">
        <f>IF(LEFT(K31,2)="22","20'","40'")</f>
        <v>40'</v>
      </c>
      <c r="S31" s="185" t="n"/>
      <c r="T31" s="61" t="str">
        <f>VLOOKUP(A31,'1.Loading'!A:R,2,FALSE)</f>
        <v>2026-10-14</v>
      </c>
      <c r="U31" s="63">
        <f>T31-S31</f>
        <v>46309</v>
      </c>
      <c r="V31" s="186" t="n"/>
      <c r="W31" s="61" t="str">
        <f>VLOOKUP(A31,'3.GateMove'!A:D,4,FALSE)</f>
        <v>2026-10-09</v>
      </c>
      <c r="X31" s="63">
        <f>((T31-W31)+1)</f>
        <v>6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46310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Kanokporn</v>
      </c>
      <c r="AL31" s="60" t="str">
        <f>VLOOKUP(D31,'2.Bookinglist'!A:CW,101,FALSE)</f>
        <v>2026-10-12</v>
      </c>
      <c r="AM31" s="60" t="str">
        <f>VLOOKUP(D31,'2.Bookinglist'!A:BK,63,FALSE)</f>
        <v>LCHY5</v>
      </c>
      <c r="AN31" s="62" t="str">
        <f>VLOOKUP(D31,'2.Bookinglist'!A:AZ,52,FALSE)</f>
        <v>Pickup : 2026-10-02, Return : 2026-10-04</v>
      </c>
      <c r="AO31" s="62" t="str">
        <f>VLOOKUP(D31,'2.Bookinglist'!A:CY,103,FALSE)</f>
        <v>ROLL OVER FROM PREVIOUS VSL SWSP 2609N BY ALLOCATION TEAM MS.TARN APRPOVED COST IS UNDER HA DD.04/10</v>
      </c>
    </row>
    <row r="32" ht="12.95" customHeight="1">
      <c r="A32" s="96" t="inlineStr">
        <is>
          <t>SKLU1307246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LCH05</v>
      </c>
      <c r="D32" s="61" t="str">
        <f>VLOOKUP(A32,'1.Loading'!A:R,17,FALSE)</f>
        <v>HASLS22260900900</v>
      </c>
      <c r="E32" s="62" t="str">
        <f>VLOOKUP(D32,'2.Bookinglist'!A:CT,27,FALSE)</f>
        <v>WHA GC LOGISTICS COMPANY LIMITED</v>
      </c>
      <c r="F32" s="62" t="str">
        <f>VLOOKUP(D32,'2.Bookinglist'!A:CT,28,FALSE)</f>
        <v>PTT GLOBAL CHEMICAL PUBLIC COMPANY LIMITED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JPIYM</v>
      </c>
      <c r="J32" s="61" t="str">
        <f>VLOOKUP(D32,'2.Bookinglist'!A:CT,26,FALSE)</f>
        <v>KRPUS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PCCP</v>
      </c>
      <c r="P32" s="61" t="str">
        <f>VLOOKUP(A32,'1.Loading'!A:R,4,FALSE)</f>
        <v>2610N</v>
      </c>
      <c r="Q32" s="61" t="str">
        <f>VLOOKUP(D32,'2.Bookinglist'!A:CT,12,FALSE)</f>
        <v>KST</v>
      </c>
      <c r="R32" s="60" t="str">
        <f>IF(LEFT(K32,2)="22","20'","40'")</f>
        <v>20'</v>
      </c>
      <c r="S32" s="185" t="n"/>
      <c r="T32" s="61" t="str">
        <f>VLOOKUP(A32,'1.Loading'!A:R,2,FALSE)</f>
        <v>2026-10-14</v>
      </c>
      <c r="U32" s="63">
        <f>T32-S32</f>
        <v>46309</v>
      </c>
      <c r="V32" s="186" t="n"/>
      <c r="W32" s="61" t="str">
        <f>VLOOKUP(A32,'3.GateMove'!A:D,4,FALSE)</f>
        <v>2026-10-08</v>
      </c>
      <c r="X32" s="63">
        <f>((T32-W32)+1)</f>
        <v>7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46310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Dharaporn</v>
      </c>
      <c r="AL32" s="60" t="str">
        <f>VLOOKUP(D32,'2.Bookinglist'!A:CW,101,FALSE)</f>
        <v>2026-10-11</v>
      </c>
      <c r="AM32" s="60" t="str">
        <f>VLOOKUP(D32,'2.Bookinglist'!A:BK,63,FALSE)</f>
        <v>LCH27</v>
      </c>
      <c r="AN32" s="62" t="str">
        <f>VLOOKUP(D32,'2.Bookinglist'!A:AZ,52,FALSE)</f>
        <v>[FIX][FIX]CY-RTN 25-27/09/26 (PR2610002905)
*PLS CHECK OPEN GATE BEFORE RETURN CTNR*</v>
      </c>
      <c r="AO32" s="62">
        <f>VLOOKUP(D32,'2.Bookinglist'!A:CY,103,FALSE)</f>
        <v>0</v>
      </c>
    </row>
    <row r="33" ht="12.95" customHeight="1">
      <c r="A33" s="96" t="inlineStr">
        <is>
          <t>SKLU1431787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LCH05</v>
      </c>
      <c r="D33" s="61" t="str">
        <f>VLOOKUP(A33,'1.Loading'!A:R,17,FALSE)</f>
        <v>HASLS22260900900</v>
      </c>
      <c r="E33" s="62" t="str">
        <f>VLOOKUP(D33,'2.Bookinglist'!A:CT,27,FALSE)</f>
        <v>WHA GC LOGISTICS COMPANY LIMITED</v>
      </c>
      <c r="F33" s="62" t="str">
        <f>VLOOKUP(D33,'2.Bookinglist'!A:CT,28,FALSE)</f>
        <v>PTT GLOBAL CHEMICAL PUBLIC COMPANY LIMITED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JPIYM</v>
      </c>
      <c r="J33" s="61" t="str">
        <f>VLOOKUP(D33,'2.Bookinglist'!A:CT,26,FALSE)</f>
        <v>KRPUS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PCCP</v>
      </c>
      <c r="P33" s="61" t="str">
        <f>VLOOKUP(A33,'1.Loading'!A:R,4,FALSE)</f>
        <v>2610N</v>
      </c>
      <c r="Q33" s="61" t="str">
        <f>VLOOKUP(D33,'2.Bookinglist'!A:CT,12,FALSE)</f>
        <v>KST</v>
      </c>
      <c r="R33" s="60" t="str">
        <f>IF(LEFT(K33,2)="22","20'","40'")</f>
        <v>20'</v>
      </c>
      <c r="S33" s="185" t="n"/>
      <c r="T33" s="61" t="str">
        <f>VLOOKUP(A33,'1.Loading'!A:R,2,FALSE)</f>
        <v>2026-10-14</v>
      </c>
      <c r="U33" s="63">
        <f>T33-S33</f>
        <v>46309</v>
      </c>
      <c r="V33" s="186" t="n"/>
      <c r="W33" s="61" t="str">
        <f>VLOOKUP(A33,'3.GateMove'!A:D,4,FALSE)</f>
        <v>2026-10-08</v>
      </c>
      <c r="X33" s="63">
        <f>((T33-W33)+1)</f>
        <v>7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46310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Dharaporn</v>
      </c>
      <c r="AL33" s="60" t="str">
        <f>VLOOKUP(D33,'2.Bookinglist'!A:CW,101,FALSE)</f>
        <v>2026-10-11</v>
      </c>
      <c r="AM33" s="60" t="str">
        <f>VLOOKUP(D33,'2.Bookinglist'!A:BK,63,FALSE)</f>
        <v>LCH27</v>
      </c>
      <c r="AN33" s="62" t="str">
        <f>VLOOKUP(D33,'2.Bookinglist'!A:AZ,52,FALSE)</f>
        <v>[FIX][FIX]CY-RTN 25-27/09/26 (PR2610002905)
*PLS CHECK OPEN GATE BEFORE RETURN CTNR*</v>
      </c>
      <c r="AO33" s="62">
        <f>VLOOKUP(D33,'2.Bookinglist'!A:CY,103,FALSE)</f>
        <v>0</v>
      </c>
    </row>
    <row r="34" ht="12.95" customHeight="1">
      <c r="A34" s="96" t="inlineStr">
        <is>
          <t>SKLU1501272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LCH05</v>
      </c>
      <c r="D34" s="61" t="str">
        <f>VLOOKUP(A34,'1.Loading'!A:R,17,FALSE)</f>
        <v>HASLS22260900900</v>
      </c>
      <c r="E34" s="62" t="str">
        <f>VLOOKUP(D34,'2.Bookinglist'!A:CT,27,FALSE)</f>
        <v>WHA GC LOGISTICS COMPANY LIMITED</v>
      </c>
      <c r="F34" s="62" t="str">
        <f>VLOOKUP(D34,'2.Bookinglist'!A:CT,28,FALSE)</f>
        <v>PTT GLOBAL CHEMICAL PUBLIC COMPANY LIMITED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JPIYM</v>
      </c>
      <c r="J34" s="61" t="str">
        <f>VLOOKUP(D34,'2.Bookinglist'!A:CT,26,FALSE)</f>
        <v>KRPUS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PCCP</v>
      </c>
      <c r="P34" s="61" t="str">
        <f>VLOOKUP(A34,'1.Loading'!A:R,4,FALSE)</f>
        <v>2610N</v>
      </c>
      <c r="Q34" s="61" t="str">
        <f>VLOOKUP(D34,'2.Bookinglist'!A:CT,12,FALSE)</f>
        <v>KST</v>
      </c>
      <c r="R34" s="60" t="str">
        <f>IF(LEFT(K34,2)="22","20'","40'")</f>
        <v>20'</v>
      </c>
      <c r="S34" s="185" t="n"/>
      <c r="T34" s="61" t="str">
        <f>VLOOKUP(A34,'1.Loading'!A:R,2,FALSE)</f>
        <v>2026-10-14</v>
      </c>
      <c r="U34" s="63">
        <f>T34-S34</f>
        <v>46309</v>
      </c>
      <c r="V34" s="186" t="n"/>
      <c r="W34" s="61" t="str">
        <f>VLOOKUP(A34,'3.GateMove'!A:D,4,FALSE)</f>
        <v>2026-10-08</v>
      </c>
      <c r="X34" s="63">
        <f>((T34-W34)+1)</f>
        <v>7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46310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Dharaporn</v>
      </c>
      <c r="AL34" s="60" t="str">
        <f>VLOOKUP(D34,'2.Bookinglist'!A:CW,101,FALSE)</f>
        <v>2026-10-11</v>
      </c>
      <c r="AM34" s="60" t="str">
        <f>VLOOKUP(D34,'2.Bookinglist'!A:BK,63,FALSE)</f>
        <v>LCH27</v>
      </c>
      <c r="AN34" s="62" t="str">
        <f>VLOOKUP(D34,'2.Bookinglist'!A:AZ,52,FALSE)</f>
        <v>[FIX][FIX]CY-RTN 25-27/09/26 (PR2610002905)
*PLS CHECK OPEN GATE BEFORE RETURN CTNR*</v>
      </c>
      <c r="AO34" s="62">
        <f>VLOOKUP(D34,'2.Bookinglist'!A:CY,103,FALSE)</f>
        <v>0</v>
      </c>
    </row>
    <row r="35" ht="12.95" customHeight="1">
      <c r="A35" s="96" t="inlineStr">
        <is>
          <t>SKLU1502540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LCH05</v>
      </c>
      <c r="D35" s="61" t="str">
        <f>VLOOKUP(A35,'1.Loading'!A:R,17,FALSE)</f>
        <v>HASLS22260902122</v>
      </c>
      <c r="E35" s="62" t="str">
        <f>VLOOKUP(D35,'2.Bookinglist'!A:CT,27,FALSE)</f>
        <v>WHA GC LOGISTICS COMPANY LIMITED</v>
      </c>
      <c r="F35" s="62" t="str">
        <f>VLOOKUP(D35,'2.Bookinglist'!A:CT,28,FALSE)</f>
        <v>PTT GLOBAL CHEMICAL PUBLIC COMPANY LIMITED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PCCP</v>
      </c>
      <c r="P35" s="61" t="str">
        <f>VLOOKUP(A35,'1.Loading'!A:R,4,FALSE)</f>
        <v>2610N</v>
      </c>
      <c r="Q35" s="61" t="str">
        <f>VLOOKUP(D35,'2.Bookinglist'!A:CT,12,FALSE)</f>
        <v>KST</v>
      </c>
      <c r="R35" s="60" t="str">
        <f>IF(LEFT(K35,2)="22","20'","40'")</f>
        <v>20'</v>
      </c>
      <c r="S35" s="185" t="n"/>
      <c r="T35" s="61" t="str">
        <f>VLOOKUP(A35,'1.Loading'!A:R,2,FALSE)</f>
        <v>2026-10-14</v>
      </c>
      <c r="U35" s="63">
        <f>T35-S35</f>
        <v>46309</v>
      </c>
      <c r="V35" s="186" t="n"/>
      <c r="W35" s="61" t="str">
        <f>VLOOKUP(A35,'3.GateMove'!A:D,4,FALSE)</f>
        <v>2026-10-09</v>
      </c>
      <c r="X35" s="63">
        <f>((T35-W35)+1)</f>
        <v>6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46310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Dharaporn</v>
      </c>
      <c r="AL35" s="60" t="str">
        <f>VLOOKUP(D35,'2.Bookinglist'!A:CW,101,FALSE)</f>
        <v>2026-10-12</v>
      </c>
      <c r="AM35" s="60" t="str">
        <f>VLOOKUP(D35,'2.Bookinglist'!A:BK,63,FALSE)</f>
        <v>LCHY5</v>
      </c>
      <c r="AN35" s="62" t="str">
        <f>VLOOKUP(D35,'2.Bookinglist'!A:AZ,52,FALSE)</f>
        <v>CY 28/09/26 , RTN 29/09/26 (1ST RETUR DD.30/09/26)
*PLS CHECK OPEN GATE BEFORE RETURN CTNR*</v>
      </c>
      <c r="AO35" s="62" t="str">
        <f>VLOOKUP(D35,'2.Bookinglist'!A:CY,103,FALSE)</f>
        <v>ROLL OVER FROM PREIVOUS VSL SWSP 2609N BY ALLOCATION TEAM MS.TARN APRPOVED COST IS UNDER HA DD.5/10</v>
      </c>
    </row>
    <row r="36" ht="12.95" customHeight="1">
      <c r="A36" s="96" t="inlineStr">
        <is>
          <t>SKLU1529330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LCH05</v>
      </c>
      <c r="D36" s="61" t="str">
        <f>VLOOKUP(A36,'1.Loading'!A:R,17,FALSE)</f>
        <v>HASLS22260902461</v>
      </c>
      <c r="E36" s="62" t="str">
        <f>VLOOKUP(D36,'2.Bookinglist'!A:CT,27,FALSE)</f>
        <v>WHA GC LOGISTICS COMPANY LIMITED</v>
      </c>
      <c r="F36" s="62" t="str">
        <f>VLOOKUP(D36,'2.Bookinglist'!A:CT,28,FALSE)</f>
        <v>PTT GLOBAL CHEMICAL PUBLIC COMPANY LIMITED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PCCP</v>
      </c>
      <c r="P36" s="61" t="str">
        <f>VLOOKUP(A36,'1.Loading'!A:R,4,FALSE)</f>
        <v>2610N</v>
      </c>
      <c r="Q36" s="61" t="str">
        <f>VLOOKUP(D36,'2.Bookinglist'!A:CT,12,FALSE)</f>
        <v>KST</v>
      </c>
      <c r="R36" s="60" t="str">
        <f>IF(LEFT(K36,2)="22","20'","40'")</f>
        <v>20'</v>
      </c>
      <c r="S36" s="185" t="n"/>
      <c r="T36" s="61" t="str">
        <f>VLOOKUP(A36,'1.Loading'!A:R,2,FALSE)</f>
        <v>2026-10-14</v>
      </c>
      <c r="U36" s="63">
        <f>T36-S36</f>
        <v>46309</v>
      </c>
      <c r="V36" s="186" t="n"/>
      <c r="W36" s="61" t="str">
        <f>VLOOKUP(A36,'3.GateMove'!A:D,4,FALSE)</f>
        <v>2026-10-09</v>
      </c>
      <c r="X36" s="63">
        <f>((T36-W36)+1)</f>
        <v>6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46310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2026-10-11</v>
      </c>
      <c r="AM36" s="60" t="str">
        <f>VLOOKUP(D36,'2.Bookinglist'!A:BK,63,FALSE)</f>
        <v>LCH27</v>
      </c>
      <c r="AN36" s="62" t="str">
        <f>VLOOKUP(D36,'2.Bookinglist'!A:AZ,52,FALSE)</f>
        <v>CY-RTN 05-08/10/26 / FIRST DATE CAN RETURN CNTR DD.06/10 
**CHECK OPEN GATE BEFORE RETURN CNTR **
</v>
      </c>
      <c r="AO36" s="62">
        <f>VLOOKUP(D36,'2.Bookinglist'!A:CY,103,FALSE)</f>
        <v>0</v>
      </c>
    </row>
    <row r="37" ht="12.95" customHeight="1">
      <c r="A37" s="96" t="inlineStr">
        <is>
          <t>SKLU1564075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LCH05</v>
      </c>
      <c r="D37" s="61" t="str">
        <f>VLOOKUP(A37,'1.Loading'!A:R,17,FALSE)</f>
        <v>HASLS22260902461</v>
      </c>
      <c r="E37" s="62" t="str">
        <f>VLOOKUP(D37,'2.Bookinglist'!A:CT,27,FALSE)</f>
        <v>WHA GC LOGISTICS COMPANY LIMITED</v>
      </c>
      <c r="F37" s="62" t="str">
        <f>VLOOKUP(D37,'2.Bookinglist'!A:CT,28,FALSE)</f>
        <v>PTT GLOBAL CHEMICAL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PCCP</v>
      </c>
      <c r="P37" s="61" t="str">
        <f>VLOOKUP(A37,'1.Loading'!A:R,4,FALSE)</f>
        <v>2610N</v>
      </c>
      <c r="Q37" s="61" t="str">
        <f>VLOOKUP(D37,'2.Bookinglist'!A:CT,12,FALSE)</f>
        <v>KST</v>
      </c>
      <c r="R37" s="60" t="str">
        <f>IF(LEFT(K37,2)="22","20'","40'")</f>
        <v>20'</v>
      </c>
      <c r="S37" s="185" t="n"/>
      <c r="T37" s="61" t="str">
        <f>VLOOKUP(A37,'1.Loading'!A:R,2,FALSE)</f>
        <v>2026-10-14</v>
      </c>
      <c r="U37" s="63">
        <f>T37-S37</f>
        <v>46309</v>
      </c>
      <c r="V37" s="186" t="n"/>
      <c r="W37" s="61" t="str">
        <f>VLOOKUP(A37,'3.GateMove'!A:D,4,FALSE)</f>
        <v>2026-10-09</v>
      </c>
      <c r="X37" s="63">
        <f>((T37-W37)+1)</f>
        <v>6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46310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2026-10-11</v>
      </c>
      <c r="AM37" s="60" t="str">
        <f>VLOOKUP(D37,'2.Bookinglist'!A:BK,63,FALSE)</f>
        <v>LCH27</v>
      </c>
      <c r="AN37" s="62" t="str">
        <f>VLOOKUP(D37,'2.Bookinglist'!A:AZ,52,FALSE)</f>
        <v>CY-RTN 05-08/10/26 / FIRST DATE CAN RETURN CNTR DD.06/10 
**CHECK OPEN GATE BEFORE RETURN CNTR **
</v>
      </c>
      <c r="AO37" s="62">
        <f>VLOOKUP(D37,'2.Bookinglist'!A:CY,103,FALSE)</f>
        <v>0</v>
      </c>
    </row>
    <row r="38" ht="12.95" customHeight="1">
      <c r="A38" s="96" t="inlineStr">
        <is>
          <t>SKLU1643092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LCH05</v>
      </c>
      <c r="D38" s="61" t="str">
        <f>VLOOKUP(A38,'1.Loading'!A:R,17,FALSE)</f>
        <v>HASLS22260902461</v>
      </c>
      <c r="E38" s="62" t="str">
        <f>VLOOKUP(D38,'2.Bookinglist'!A:CT,27,FALSE)</f>
        <v>WHA GC LOGISTICS COMPANY LIMITED</v>
      </c>
      <c r="F38" s="62" t="str">
        <f>VLOOKUP(D38,'2.Bookinglist'!A:CT,28,FALSE)</f>
        <v>PTT GLOBAL CHEMICAL PUBLIC COMPANY LIMITED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PCCP</v>
      </c>
      <c r="P38" s="61" t="str">
        <f>VLOOKUP(A38,'1.Loading'!A:R,4,FALSE)</f>
        <v>2610N</v>
      </c>
      <c r="Q38" s="61" t="str">
        <f>VLOOKUP(D38,'2.Bookinglist'!A:CT,12,FALSE)</f>
        <v>KST</v>
      </c>
      <c r="R38" s="60" t="str">
        <f>IF(LEFT(K38,2)="22","20'","40'")</f>
        <v>20'</v>
      </c>
      <c r="S38" s="185" t="n"/>
      <c r="T38" s="61" t="str">
        <f>VLOOKUP(A38,'1.Loading'!A:R,2,FALSE)</f>
        <v>2026-10-14</v>
      </c>
      <c r="U38" s="63">
        <f>T38-S38</f>
        <v>46309</v>
      </c>
      <c r="V38" s="186" t="n"/>
      <c r="W38" s="61" t="str">
        <f>VLOOKUP(A38,'3.GateMove'!A:D,4,FALSE)</f>
        <v>2026-10-09</v>
      </c>
      <c r="X38" s="63">
        <f>((T38-W38)+1)</f>
        <v>6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46310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2026-10-11</v>
      </c>
      <c r="AM38" s="60" t="str">
        <f>VLOOKUP(D38,'2.Bookinglist'!A:BK,63,FALSE)</f>
        <v>LCH27</v>
      </c>
      <c r="AN38" s="62" t="str">
        <f>VLOOKUP(D38,'2.Bookinglist'!A:AZ,52,FALSE)</f>
        <v>CY-RTN 05-08/10/26 / FIRST DATE CAN RETURN CNTR DD.06/10 
**CHECK OPEN GATE BEFORE RETURN CNTR **
</v>
      </c>
      <c r="AO38" s="62">
        <f>VLOOKUP(D38,'2.Bookinglist'!A:CY,103,FALSE)</f>
        <v>0</v>
      </c>
    </row>
    <row r="39" ht="12.95" customHeight="1">
      <c r="A39" s="96" t="inlineStr">
        <is>
          <t>SKLU1648556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LCH05</v>
      </c>
      <c r="D39" s="61" t="str">
        <f>VLOOKUP(A39,'1.Loading'!A:R,17,FALSE)</f>
        <v>HASLS22260902024</v>
      </c>
      <c r="E39" s="62" t="str">
        <f>VLOOKUP(D39,'2.Bookinglist'!A:CT,27,FALSE)</f>
        <v>DOW CHEMICAL THAILAND LTD.</v>
      </c>
      <c r="F39" s="62" t="str">
        <f>VLOOKUP(D39,'2.Bookinglist'!A:CT,28,FALSE)</f>
        <v>SIAM POLYETHYLENE CO., LTD.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JPNGO</v>
      </c>
      <c r="J39" s="61" t="str">
        <f>VLOOKUP(D39,'2.Bookinglist'!A:CT,26,FALSE)</f>
        <v>KRPUS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PCCP</v>
      </c>
      <c r="P39" s="61" t="str">
        <f>VLOOKUP(A39,'1.Loading'!A:R,4,FALSE)</f>
        <v>2610N</v>
      </c>
      <c r="Q39" s="61" t="str">
        <f>VLOOKUP(D39,'2.Bookinglist'!A:CT,12,FALSE)</f>
        <v>KST</v>
      </c>
      <c r="R39" s="60" t="str">
        <f>IF(LEFT(K39,2)="22","20'","40'")</f>
        <v>20'</v>
      </c>
      <c r="S39" s="185" t="n"/>
      <c r="T39" s="61" t="str">
        <f>VLOOKUP(A39,'1.Loading'!A:R,2,FALSE)</f>
        <v>2026-10-14</v>
      </c>
      <c r="U39" s="63">
        <f>T39-S39</f>
        <v>46309</v>
      </c>
      <c r="V39" s="186" t="n"/>
      <c r="W39" s="61" t="str">
        <f>VLOOKUP(A39,'3.GateMove'!A:D,4,FALSE)</f>
        <v>2026-10-10</v>
      </c>
      <c r="X39" s="63">
        <f>((T39-W39)+1)</f>
        <v>5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46310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SEO JI YEONG</v>
      </c>
      <c r="AL39" s="60" t="str">
        <f>VLOOKUP(D39,'2.Bookinglist'!A:CW,101,FALSE)</f>
        <v>2026-10-11</v>
      </c>
      <c r="AM39" s="60" t="str">
        <f>VLOOKUP(D39,'2.Bookinglist'!A:BK,63,FALSE)</f>
        <v>LCHY5</v>
      </c>
      <c r="AN39" s="62" t="str">
        <f>VLOOKUP(D39,'2.Bookinglist'!A:AZ,52,FALSE)</f>
        <v>[FIX]Pickup : 2026-10-05, Return : 2026-10-08</v>
      </c>
      <c r="AO39" s="62">
        <f>VLOOKUP(D39,'2.Bookinglist'!A:CY,103,FALSE)</f>
        <v>0</v>
      </c>
    </row>
    <row r="40" ht="12.95" customHeight="1">
      <c r="A40" s="96" t="inlineStr">
        <is>
          <t>SKLU1903081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LCH05</v>
      </c>
      <c r="D40" s="61" t="str">
        <f>VLOOKUP(A40,'1.Loading'!A:R,17,FALSE)</f>
        <v>HASLS22260902464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JPIYM</v>
      </c>
      <c r="J40" s="61" t="str">
        <f>VLOOKUP(D40,'2.Bookinglist'!A:CT,26,FALSE)</f>
        <v>KRPUS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PCCP</v>
      </c>
      <c r="P40" s="61" t="str">
        <f>VLOOKUP(A40,'1.Loading'!A:R,4,FALSE)</f>
        <v>2610N</v>
      </c>
      <c r="Q40" s="61" t="str">
        <f>VLOOKUP(D40,'2.Bookinglist'!A:CT,12,FALSE)</f>
        <v>KST</v>
      </c>
      <c r="R40" s="60" t="str">
        <f>IF(LEFT(K40,2)="22","20'","40'")</f>
        <v>20'</v>
      </c>
      <c r="S40" s="185" t="n"/>
      <c r="T40" s="61" t="str">
        <f>VLOOKUP(A40,'1.Loading'!A:R,2,FALSE)</f>
        <v>2026-10-14</v>
      </c>
      <c r="U40" s="63">
        <f>T40-S40</f>
        <v>46309</v>
      </c>
      <c r="V40" s="186" t="n"/>
      <c r="W40" s="61" t="str">
        <f>VLOOKUP(A40,'3.GateMove'!A:D,4,FALSE)</f>
        <v>2026-10-08</v>
      </c>
      <c r="X40" s="63">
        <f>((T40-W40)+1)</f>
        <v>7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46310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2026-10-11</v>
      </c>
      <c r="AM40" s="60" t="str">
        <f>VLOOKUP(D40,'2.Bookinglist'!A:BK,63,FALSE)</f>
        <v>LCHY5</v>
      </c>
      <c r="AN40" s="62" t="str">
        <f>VLOOKUP(D40,'2.Bookinglist'!A:AZ,52,FALSE)</f>
        <v>[FIX][FIX]CY-RTN : 01-04/10/2026 *1ST RETURN CNTR DD.07/10/2026*
GOOD AND CLEAN CONTAINERS</v>
      </c>
      <c r="AO40" s="62">
        <f>VLOOKUP(D40,'2.Bookinglist'!A:CY,103,FALSE)</f>
        <v>0</v>
      </c>
    </row>
    <row r="41" ht="12.95" customHeight="1">
      <c r="A41" s="96" t="inlineStr">
        <is>
          <t>SKLU1914173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LCH05</v>
      </c>
      <c r="D41" s="61" t="str">
        <f>VLOOKUP(A41,'1.Loading'!A:R,17,FALSE)</f>
        <v>HASLS22260902724</v>
      </c>
      <c r="E41" s="62" t="str">
        <f>VLOOKUP(D41,'2.Bookinglist'!A:CT,27,FALSE)</f>
        <v>FAIR AND FAST COMPANY LIMITED</v>
      </c>
      <c r="F41" s="62" t="str">
        <f>VLOOKUP(D41,'2.Bookinglist'!A:CT,28,FALSE)</f>
        <v>PACIFIC SUGAR CORPORATION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PCCP</v>
      </c>
      <c r="P41" s="61" t="str">
        <f>VLOOKUP(A41,'1.Loading'!A:R,4,FALSE)</f>
        <v>2610N</v>
      </c>
      <c r="Q41" s="61" t="str">
        <f>VLOOKUP(D41,'2.Bookinglist'!A:CT,12,FALSE)</f>
        <v>KST</v>
      </c>
      <c r="R41" s="60" t="str">
        <f>IF(LEFT(K41,2)="22","20'","40'")</f>
        <v>20'</v>
      </c>
      <c r="S41" s="185" t="n"/>
      <c r="T41" s="61" t="str">
        <f>VLOOKUP(A41,'1.Loading'!A:R,2,FALSE)</f>
        <v>2026-10-14</v>
      </c>
      <c r="U41" s="63">
        <f>T41-S41</f>
        <v>46309</v>
      </c>
      <c r="V41" s="186" t="n"/>
      <c r="W41" s="61" t="str">
        <f>VLOOKUP(A41,'3.GateMove'!A:D,4,FALSE)</f>
        <v>2026-10-09</v>
      </c>
      <c r="X41" s="63">
        <f>((T41-W41)+1)</f>
        <v>6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46310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Tarn(Supaporn)</v>
      </c>
      <c r="AL41" s="60" t="str">
        <f>VLOOKUP(D41,'2.Bookinglist'!A:CW,101,FALSE)</f>
        <v>2026-10-12</v>
      </c>
      <c r="AM41" s="60" t="str">
        <f>VLOOKUP(D41,'2.Bookinglist'!A:BK,63,FALSE)</f>
        <v>LCHY5</v>
      </c>
      <c r="AN41" s="62" t="str">
        <f>VLOOKUP(D41,'2.Bookinglist'!A:AZ,52,FALSE)</f>
        <v>Pickup : 2026-10-06, Return : 2026-10-07 (1ST RTNDD: 08/10/26 WO/RENT)
**CHECK OPENGATE BEFORE RETURN CNTR**</v>
      </c>
      <c r="AO41" s="62">
        <f>VLOOKUP(D41,'2.Bookinglist'!A:CY,103,FALSE)</f>
        <v>0</v>
      </c>
    </row>
    <row r="42" ht="12.95" customHeight="1">
      <c r="A42" s="96" t="inlineStr">
        <is>
          <t>SKLU1920290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LCH05</v>
      </c>
      <c r="D42" s="61" t="str">
        <f>VLOOKUP(A42,'1.Loading'!A:R,17,FALSE)</f>
        <v>HASLS22260902843</v>
      </c>
      <c r="E42" s="62" t="str">
        <f>VLOOKUP(D42,'2.Bookinglist'!A:CT,27,FALSE)</f>
        <v>EXPEDITORS (THAILAND) LTD.</v>
      </c>
      <c r="F42" s="62" t="str">
        <f>VLOOKUP(D42,'2.Bookinglist'!A:CT,28,FALSE)</f>
        <v>TOSTEM THAI CO., LTD.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PCCP</v>
      </c>
      <c r="P42" s="61" t="str">
        <f>VLOOKUP(A42,'1.Loading'!A:R,4,FALSE)</f>
        <v>2610N</v>
      </c>
      <c r="Q42" s="61" t="str">
        <f>VLOOKUP(D42,'2.Bookinglist'!A:CT,12,FALSE)</f>
        <v>KST</v>
      </c>
      <c r="R42" s="60" t="str">
        <f>IF(LEFT(K42,2)="22","20'","40'")</f>
        <v>20'</v>
      </c>
      <c r="S42" s="185" t="n"/>
      <c r="T42" s="61" t="str">
        <f>VLOOKUP(A42,'1.Loading'!A:R,2,FALSE)</f>
        <v>2026-10-14</v>
      </c>
      <c r="U42" s="63">
        <f>T42-S42</f>
        <v>46309</v>
      </c>
      <c r="V42" s="186" t="n"/>
      <c r="W42" s="61" t="str">
        <f>VLOOKUP(A42,'3.GateMove'!A:D,4,FALSE)</f>
        <v>2026-10-09</v>
      </c>
      <c r="X42" s="63">
        <f>((T42-W42)+1)</f>
        <v>6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46310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Kanokporn</v>
      </c>
      <c r="AL42" s="60" t="str">
        <f>VLOOKUP(D42,'2.Bookinglist'!A:CW,101,FALSE)</f>
        <v>2026-10-12</v>
      </c>
      <c r="AM42" s="60" t="str">
        <f>VLOOKUP(D42,'2.Bookinglist'!A:BK,63,FALSE)</f>
        <v>LCHY5</v>
      </c>
      <c r="AN42" s="62" t="str">
        <f>VLOOKUP(D42,'2.Bookinglist'!A:AZ,52,FALSE)</f>
        <v>Pickup : 2026-10-06, Return : 2026-10-09</v>
      </c>
      <c r="AO42" s="62">
        <f>VLOOKUP(D42,'2.Bookinglist'!A:CY,103,FALSE)</f>
        <v>0</v>
      </c>
    </row>
    <row r="43" ht="12.95" customHeight="1">
      <c r="A43" s="96" t="inlineStr">
        <is>
          <t>SKLU1926831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LCH05</v>
      </c>
      <c r="D43" s="61" t="str">
        <f>VLOOKUP(A43,'1.Loading'!A:R,17,FALSE)</f>
        <v>HASLS22261000543</v>
      </c>
      <c r="E43" s="62" t="str">
        <f>VLOOKUP(D43,'2.Bookinglist'!A:CT,27,FALSE)</f>
        <v>H &amp; FRIENDS GTL (THAILAND) CO., LTD.</v>
      </c>
      <c r="F43" s="62" t="str">
        <f>VLOOKUP(D43,'2.Bookinglist'!A:CT,28,FALSE)</f>
        <v>SHIN SHIN ELECTRONICS(THAILAND) CO., LTD.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KRPUS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PCCP</v>
      </c>
      <c r="P43" s="61" t="str">
        <f>VLOOKUP(A43,'1.Loading'!A:R,4,FALSE)</f>
        <v>2610N</v>
      </c>
      <c r="Q43" s="61" t="str">
        <f>VLOOKUP(D43,'2.Bookinglist'!A:CT,12,FALSE)</f>
        <v>KST</v>
      </c>
      <c r="R43" s="60" t="str">
        <f>IF(LEFT(K43,2)="22","20'","40'")</f>
        <v>20'</v>
      </c>
      <c r="S43" s="185" t="n"/>
      <c r="T43" s="61" t="str">
        <f>VLOOKUP(A43,'1.Loading'!A:R,2,FALSE)</f>
        <v>2026-10-14</v>
      </c>
      <c r="U43" s="63">
        <f>T43-S43</f>
        <v>46309</v>
      </c>
      <c r="V43" s="186" t="n"/>
      <c r="W43" s="61" t="str">
        <f>VLOOKUP(A43,'3.GateMove'!A:D,4,FALSE)</f>
        <v>2026-10-10</v>
      </c>
      <c r="X43" s="63">
        <f>((T43-W43)+1)</f>
        <v>5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46310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Tarn(Supaporn)</v>
      </c>
      <c r="AL43" s="60" t="str">
        <f>VLOOKUP(D43,'2.Bookinglist'!A:CW,101,FALSE)</f>
        <v>2026-10-12</v>
      </c>
      <c r="AM43" s="60" t="str">
        <f>VLOOKUP(D43,'2.Bookinglist'!A:BK,63,FALSE)</f>
        <v>LCHY5</v>
      </c>
      <c r="AN43" s="62" t="str">
        <f>VLOOKUP(D43,'2.Bookinglist'!A:AZ,52,FALSE)</f>
        <v>Pickup : 2026-10-09, Return : 2026-10-10 EXTEND CLS TIME 11/10 @12.00
 ** PLEASE CHECK OPEN GATE BEFORE RETURN CNTR ** </v>
      </c>
      <c r="AO43" s="62">
        <f>VLOOKUP(D43,'2.Bookinglist'!A:CY,103,FALSE)</f>
        <v>0</v>
      </c>
    </row>
    <row r="44" ht="12.95" customHeight="1">
      <c r="A44" s="96" t="inlineStr">
        <is>
          <t>SKLU1931885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LCH05</v>
      </c>
      <c r="D44" s="61" t="str">
        <f>VLOOKUP(A44,'1.Loading'!A:R,17,FALSE)</f>
        <v>HASLS22260902461</v>
      </c>
      <c r="E44" s="62" t="str">
        <f>VLOOKUP(D44,'2.Bookinglist'!A:CT,27,FALSE)</f>
        <v>WHA GC LOGISTICS COMPANY LIMITED</v>
      </c>
      <c r="F44" s="62" t="str">
        <f>VLOOKUP(D44,'2.Bookinglist'!A:CT,28,FALSE)</f>
        <v>PTT GLOBAL CHEMICAL PUBLIC COMPANY LIMITED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PCCP</v>
      </c>
      <c r="P44" s="61" t="str">
        <f>VLOOKUP(A44,'1.Loading'!A:R,4,FALSE)</f>
        <v>2610N</v>
      </c>
      <c r="Q44" s="61" t="str">
        <f>VLOOKUP(D44,'2.Bookinglist'!A:CT,12,FALSE)</f>
        <v>KST</v>
      </c>
      <c r="R44" s="60" t="str">
        <f>IF(LEFT(K44,2)="22","20'","40'")</f>
        <v>20'</v>
      </c>
      <c r="S44" s="185" t="n"/>
      <c r="T44" s="61" t="str">
        <f>VLOOKUP(A44,'1.Loading'!A:R,2,FALSE)</f>
        <v>2026-10-14</v>
      </c>
      <c r="U44" s="63">
        <f>T44-S44</f>
        <v>46309</v>
      </c>
      <c r="V44" s="186" t="n"/>
      <c r="W44" s="61" t="str">
        <f>VLOOKUP(A44,'3.GateMove'!A:D,4,FALSE)</f>
        <v>2026-10-09</v>
      </c>
      <c r="X44" s="63">
        <f>((T44-W44)+1)</f>
        <v>6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46310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Dharaporn</v>
      </c>
      <c r="AL44" s="60" t="str">
        <f>VLOOKUP(D44,'2.Bookinglist'!A:CW,101,FALSE)</f>
        <v>2026-10-11</v>
      </c>
      <c r="AM44" s="60" t="str">
        <f>VLOOKUP(D44,'2.Bookinglist'!A:BK,63,FALSE)</f>
        <v>LCH27</v>
      </c>
      <c r="AN44" s="62" t="str">
        <f>VLOOKUP(D44,'2.Bookinglist'!A:AZ,52,FALSE)</f>
        <v>CY-RTN 05-08/10/26 / FIRST DATE CAN RETURN CNTR DD.06/10 
**CHECK OPEN GATE BEFORE RETURN CNTR **
</v>
      </c>
      <c r="AO44" s="62">
        <f>VLOOKUP(D44,'2.Bookinglist'!A:CY,103,FALSE)</f>
        <v>0</v>
      </c>
    </row>
    <row r="45" ht="12.95" customHeight="1">
      <c r="A45" s="96" t="inlineStr">
        <is>
          <t>SKLU1933065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LCH05</v>
      </c>
      <c r="D45" s="61" t="str">
        <f>VLOOKUP(A45,'1.Loading'!A:R,17,FALSE)</f>
        <v>HASLS22260902386</v>
      </c>
      <c r="E45" s="62" t="str">
        <f>VLOOKUP(D45,'2.Bookinglist'!A:CT,27,FALSE)</f>
        <v>YAMATO UNYU (THAILAND) CO., LTD.</v>
      </c>
      <c r="F45" s="62" t="str">
        <f>VLOOKUP(D45,'2.Bookinglist'!A:CT,28,FALSE)</f>
        <v>TSUKATANI (THAILAND) CO.,LTD.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PCCP</v>
      </c>
      <c r="P45" s="61" t="str">
        <f>VLOOKUP(A45,'1.Loading'!A:R,4,FALSE)</f>
        <v>2610N</v>
      </c>
      <c r="Q45" s="61" t="str">
        <f>VLOOKUP(D45,'2.Bookinglist'!A:CT,12,FALSE)</f>
        <v>KST</v>
      </c>
      <c r="R45" s="60" t="str">
        <f>IF(LEFT(K45,2)="22","20'","40'")</f>
        <v>20'</v>
      </c>
      <c r="S45" s="185" t="n"/>
      <c r="T45" s="61" t="str">
        <f>VLOOKUP(A45,'1.Loading'!A:R,2,FALSE)</f>
        <v>2026-10-14</v>
      </c>
      <c r="U45" s="63">
        <f>T45-S45</f>
        <v>46309</v>
      </c>
      <c r="V45" s="186" t="n"/>
      <c r="W45" s="61" t="str">
        <f>VLOOKUP(A45,'3.GateMove'!A:D,4,FALSE)</f>
        <v>2026-10-08</v>
      </c>
      <c r="X45" s="63">
        <f>((T45-W45)+1)</f>
        <v>7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46310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Nannaapust Sukporntaweewat</v>
      </c>
      <c r="AL45" s="60" t="str">
        <f>VLOOKUP(D45,'2.Bookinglist'!A:CW,101,FALSE)</f>
        <v>2026-10-11</v>
      </c>
      <c r="AM45" s="60" t="str">
        <f>VLOOKUP(D45,'2.Bookinglist'!A:BK,63,FALSE)</f>
        <v>LCHY5</v>
      </c>
      <c r="AN45" s="62" t="str">
        <f>VLOOKUP(D45,'2.Bookinglist'!A:AZ,52,FALSE)</f>
        <v>Pickup : 2026-10-07, Return : 2026-10-07 
** PLEASE CHECK OPEN GATE BEFORE RETURN CONTAINER ** </v>
      </c>
      <c r="AO45" s="62">
        <f>VLOOKUP(D45,'2.Bookinglist'!A:CY,103,FALSE)</f>
        <v>0</v>
      </c>
    </row>
    <row r="46" ht="12.95" customHeight="1">
      <c r="A46" s="96" t="inlineStr">
        <is>
          <t>SKLU2002072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LCH05</v>
      </c>
      <c r="D46" s="61" t="str">
        <f>VLOOKUP(A46,'1.Loading'!A:R,17,FALSE)</f>
        <v>HASLS22260902464</v>
      </c>
      <c r="E46" s="62" t="str">
        <f>VLOOKUP(D46,'2.Bookinglist'!A:CT,27,FALSE)</f>
        <v>WHA GC LOGISTICS COMPANY LIMITED</v>
      </c>
      <c r="F46" s="62" t="str">
        <f>VLOOKUP(D46,'2.Bookinglist'!A:CT,28,FALSE)</f>
        <v>PTT GLOBAL CHEMICAL PUBLIC COMPANY LIMITED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JPIYM</v>
      </c>
      <c r="J46" s="61" t="str">
        <f>VLOOKUP(D46,'2.Bookinglist'!A:CT,26,FALSE)</f>
        <v>KRPUS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PCCP</v>
      </c>
      <c r="P46" s="61" t="str">
        <f>VLOOKUP(A46,'1.Loading'!A:R,4,FALSE)</f>
        <v>2610N</v>
      </c>
      <c r="Q46" s="61" t="str">
        <f>VLOOKUP(D46,'2.Bookinglist'!A:CT,12,FALSE)</f>
        <v>KST</v>
      </c>
      <c r="R46" s="60" t="str">
        <f>IF(LEFT(K46,2)="22","20'","40'")</f>
        <v>20'</v>
      </c>
      <c r="S46" s="185" t="n"/>
      <c r="T46" s="61" t="str">
        <f>VLOOKUP(A46,'1.Loading'!A:R,2,FALSE)</f>
        <v>2026-10-14</v>
      </c>
      <c r="U46" s="63">
        <f>T46-S46</f>
        <v>46309</v>
      </c>
      <c r="V46" s="186" t="n"/>
      <c r="W46" s="61" t="str">
        <f>VLOOKUP(A46,'3.GateMove'!A:D,4,FALSE)</f>
        <v>2026-10-08</v>
      </c>
      <c r="X46" s="63">
        <f>((T46-W46)+1)</f>
        <v>7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46310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2026-10-11</v>
      </c>
      <c r="AM46" s="60" t="str">
        <f>VLOOKUP(D46,'2.Bookinglist'!A:BK,63,FALSE)</f>
        <v>LCHY5</v>
      </c>
      <c r="AN46" s="62" t="str">
        <f>VLOOKUP(D46,'2.Bookinglist'!A:AZ,52,FALSE)</f>
        <v>[FIX][FIX]CY-RTN : 01-04/10/2026 *1ST RETURN CNTR DD.07/10/2026*
GOOD AND CLEAN CONTAINERS</v>
      </c>
      <c r="AO46" s="62">
        <f>VLOOKUP(D46,'2.Bookinglist'!A:CY,103,FALSE)</f>
        <v>0</v>
      </c>
    </row>
    <row r="47" ht="12.95" customHeight="1">
      <c r="A47" s="96" t="inlineStr">
        <is>
          <t>SKLU2038394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LCH05</v>
      </c>
      <c r="D47" s="61" t="str">
        <f>VLOOKUP(A47,'1.Loading'!A:R,17,FALSE)</f>
        <v>HASLS22260900900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JPIYM</v>
      </c>
      <c r="J47" s="61" t="str">
        <f>VLOOKUP(D47,'2.Bookinglist'!A:CT,26,FALSE)</f>
        <v>KRPUS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PCCP</v>
      </c>
      <c r="P47" s="61" t="str">
        <f>VLOOKUP(A47,'1.Loading'!A:R,4,FALSE)</f>
        <v>2610N</v>
      </c>
      <c r="Q47" s="61" t="str">
        <f>VLOOKUP(D47,'2.Bookinglist'!A:CT,12,FALSE)</f>
        <v>KST</v>
      </c>
      <c r="R47" s="60" t="str">
        <f>IF(LEFT(K47,2)="22","20'","40'")</f>
        <v>20'</v>
      </c>
      <c r="S47" s="185" t="n"/>
      <c r="T47" s="61" t="str">
        <f>VLOOKUP(A47,'1.Loading'!A:R,2,FALSE)</f>
        <v>2026-10-14</v>
      </c>
      <c r="U47" s="63">
        <f>T47-S47</f>
        <v>46309</v>
      </c>
      <c r="V47" s="186" t="n"/>
      <c r="W47" s="61" t="str">
        <f>VLOOKUP(A47,'3.GateMove'!A:D,4,FALSE)</f>
        <v>2026-10-08</v>
      </c>
      <c r="X47" s="63">
        <f>((T47-W47)+1)</f>
        <v>7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46310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2026-10-11</v>
      </c>
      <c r="AM47" s="60" t="str">
        <f>VLOOKUP(D47,'2.Bookinglist'!A:BK,63,FALSE)</f>
        <v>LCH27</v>
      </c>
      <c r="AN47" s="62" t="str">
        <f>VLOOKUP(D47,'2.Bookinglist'!A:AZ,52,FALSE)</f>
        <v>[FIX][FIX]CY-RTN 25-27/09/26 (PR2610002905)
*PLS CHECK OPEN GATE BEFORE RETURN CTNR*</v>
      </c>
      <c r="AO47" s="62">
        <f>VLOOKUP(D47,'2.Bookinglist'!A:CY,103,FALSE)</f>
        <v>0</v>
      </c>
    </row>
    <row r="48" ht="12.95" customHeight="1">
      <c r="A48" s="96" t="inlineStr">
        <is>
          <t>SKLU2057223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LCH05</v>
      </c>
      <c r="D48" s="61" t="str">
        <f>VLOOKUP(A48,'1.Loading'!A:R,17,FALSE)</f>
        <v>HASLS22260902461</v>
      </c>
      <c r="E48" s="62" t="str">
        <f>VLOOKUP(D48,'2.Bookinglist'!A:CT,27,FALSE)</f>
        <v>WHA GC LOGISTICS COMPANY LIMITED</v>
      </c>
      <c r="F48" s="62" t="str">
        <f>VLOOKUP(D48,'2.Bookinglist'!A:CT,28,FALSE)</f>
        <v>PTT GLOBAL CHEMICAL PUBLIC COMPANY LIMITED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PCCP</v>
      </c>
      <c r="P48" s="61" t="str">
        <f>VLOOKUP(A48,'1.Loading'!A:R,4,FALSE)</f>
        <v>2610N</v>
      </c>
      <c r="Q48" s="61" t="str">
        <f>VLOOKUP(D48,'2.Bookinglist'!A:CT,12,FALSE)</f>
        <v>KST</v>
      </c>
      <c r="R48" s="60" t="str">
        <f>IF(LEFT(K48,2)="22","20'","40'")</f>
        <v>20'</v>
      </c>
      <c r="S48" s="185" t="n"/>
      <c r="T48" s="61" t="str">
        <f>VLOOKUP(A48,'1.Loading'!A:R,2,FALSE)</f>
        <v>2026-10-14</v>
      </c>
      <c r="U48" s="63">
        <f>T48-S48</f>
        <v>46309</v>
      </c>
      <c r="V48" s="186" t="n"/>
      <c r="W48" s="61" t="str">
        <f>VLOOKUP(A48,'3.GateMove'!A:D,4,FALSE)</f>
        <v>2026-10-09</v>
      </c>
      <c r="X48" s="63">
        <f>((T48-W48)+1)</f>
        <v>6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46310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Dharaporn</v>
      </c>
      <c r="AL48" s="60" t="str">
        <f>VLOOKUP(D48,'2.Bookinglist'!A:CW,101,FALSE)</f>
        <v>2026-10-11</v>
      </c>
      <c r="AM48" s="60" t="str">
        <f>VLOOKUP(D48,'2.Bookinglist'!A:BK,63,FALSE)</f>
        <v>LCH27</v>
      </c>
      <c r="AN48" s="62" t="str">
        <f>VLOOKUP(D48,'2.Bookinglist'!A:AZ,52,FALSE)</f>
        <v>CY-RTN 05-08/10/26 / FIRST DATE CAN RETURN CNTR DD.06/10 
**CHECK OPEN GATE BEFORE RETURN CNTR **
</v>
      </c>
      <c r="AO48" s="62">
        <f>VLOOKUP(D48,'2.Bookinglist'!A:CY,103,FALSE)</f>
        <v>0</v>
      </c>
    </row>
    <row r="49" ht="12.95" customHeight="1">
      <c r="A49" s="96" t="inlineStr">
        <is>
          <t>SKLU2125626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LCH05</v>
      </c>
      <c r="D49" s="61" t="str">
        <f>VLOOKUP(A49,'1.Loading'!A:R,17,FALSE)</f>
        <v>HASLS22260900900</v>
      </c>
      <c r="E49" s="62" t="str">
        <f>VLOOKUP(D49,'2.Bookinglist'!A:CT,27,FALSE)</f>
        <v>WHA GC LOGISTICS COMPANY LIMITED</v>
      </c>
      <c r="F49" s="62" t="str">
        <f>VLOOKUP(D49,'2.Bookinglist'!A:CT,28,FALSE)</f>
        <v>PTT GLOBAL CHEMICAL PUBLIC COMPANY LIMITED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JPIYM</v>
      </c>
      <c r="J49" s="61" t="str">
        <f>VLOOKUP(D49,'2.Bookinglist'!A:CT,26,FALSE)</f>
        <v>KRPUS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PCCP</v>
      </c>
      <c r="P49" s="61" t="str">
        <f>VLOOKUP(A49,'1.Loading'!A:R,4,FALSE)</f>
        <v>2610N</v>
      </c>
      <c r="Q49" s="61" t="str">
        <f>VLOOKUP(D49,'2.Bookinglist'!A:CT,12,FALSE)</f>
        <v>KST</v>
      </c>
      <c r="R49" s="60" t="str">
        <f>IF(LEFT(K49,2)="22","20'","40'")</f>
        <v>20'</v>
      </c>
      <c r="S49" s="185" t="n"/>
      <c r="T49" s="61" t="str">
        <f>VLOOKUP(A49,'1.Loading'!A:R,2,FALSE)</f>
        <v>2026-10-14</v>
      </c>
      <c r="U49" s="63">
        <f>T49-S49</f>
        <v>46309</v>
      </c>
      <c r="V49" s="186" t="n"/>
      <c r="W49" s="61" t="str">
        <f>VLOOKUP(A49,'3.GateMove'!A:D,4,FALSE)</f>
        <v>2026-10-08</v>
      </c>
      <c r="X49" s="63">
        <f>((T49-W49)+1)</f>
        <v>7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0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46310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2026-10-11</v>
      </c>
      <c r="AM49" s="60" t="str">
        <f>VLOOKUP(D49,'2.Bookinglist'!A:BK,63,FALSE)</f>
        <v>LCH27</v>
      </c>
      <c r="AN49" s="62" t="str">
        <f>VLOOKUP(D49,'2.Bookinglist'!A:AZ,52,FALSE)</f>
        <v>[FIX][FIX]CY-RTN 25-27/09/26 (PR2610002905)
*PLS CHECK OPEN GATE BEFORE RETURN CTNR*</v>
      </c>
      <c r="AO49" s="62">
        <f>VLOOKUP(D49,'2.Bookinglist'!A:CY,103,FALSE)</f>
        <v>0</v>
      </c>
    </row>
    <row r="50" ht="12.95" customHeight="1">
      <c r="A50" s="96" t="inlineStr">
        <is>
          <t>SKLU2348640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LCH05</v>
      </c>
      <c r="D50" s="61" t="str">
        <f>VLOOKUP(A50,'1.Loading'!A:R,17,FALSE)</f>
        <v>HASLS22260901455</v>
      </c>
      <c r="E50" s="62" t="str">
        <f>VLOOKUP(D50,'2.Bookinglist'!A:CT,27,FALSE)</f>
        <v>UBE CHEMICALS (ASIA) PUBLIC COMPANY LIMITED</v>
      </c>
      <c r="F50" s="62" t="str">
        <f>VLOOKUP(D50,'2.Bookinglist'!A:CT,28,FALSE)</f>
        <v>THAI SYNTHETIC RUBBERS CO., LTD.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PCCP</v>
      </c>
      <c r="P50" s="61" t="str">
        <f>VLOOKUP(A50,'1.Loading'!A:R,4,FALSE)</f>
        <v>2610N</v>
      </c>
      <c r="Q50" s="61" t="str">
        <f>VLOOKUP(D50,'2.Bookinglist'!A:CT,12,FALSE)</f>
        <v>KST</v>
      </c>
      <c r="R50" s="60" t="str">
        <f>IF(LEFT(K50,2)="22","20'","40'")</f>
        <v>20'</v>
      </c>
      <c r="S50" s="185" t="n"/>
      <c r="T50" s="61" t="str">
        <f>VLOOKUP(A50,'1.Loading'!A:R,2,FALSE)</f>
        <v>2026-10-14</v>
      </c>
      <c r="U50" s="63">
        <f>T50-S50</f>
        <v>46309</v>
      </c>
      <c r="V50" s="186" t="n"/>
      <c r="W50" s="61" t="str">
        <f>VLOOKUP(A50,'3.GateMove'!A:D,4,FALSE)</f>
        <v>2026-10-07</v>
      </c>
      <c r="X50" s="63">
        <f>((T50-W50)+1)</f>
        <v>8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1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125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46310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125</v>
      </c>
      <c r="AJ50" s="188" t="n"/>
      <c r="AK50" s="62" t="str">
        <f>VLOOKUP(D50,'2.Bookinglist'!A:CT,40,FALSE)</f>
        <v>Tarn(Supaporn)</v>
      </c>
      <c r="AL50" s="60" t="str">
        <f>VLOOKUP(D50,'2.Bookinglist'!A:CW,101,FALSE)</f>
        <v>2026-10-11</v>
      </c>
      <c r="AM50" s="60" t="str">
        <f>VLOOKUP(D50,'2.Bookinglist'!A:BK,63,FALSE)</f>
        <v>LCHY5</v>
      </c>
      <c r="AN50" s="62" t="str">
        <f>VLOOKUP(D50,'2.Bookinglist'!A:AZ,52,FALSE)</f>
        <v>CY-RTN : 05-09/10/2026 *REF : ID-TBA1001(BR-26067)*
RQST GOOD CONDITION : GRADE B+</v>
      </c>
      <c r="AO50" s="62">
        <f>VLOOKUP(D50,'2.Bookinglist'!A:CY,103,FALSE)</f>
        <v>0</v>
      </c>
    </row>
    <row r="51" ht="12.95" customHeight="1">
      <c r="A51" s="96" t="inlineStr">
        <is>
          <t>SKLU2351921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LCH05</v>
      </c>
      <c r="D51" s="61" t="str">
        <f>VLOOKUP(A51,'1.Loading'!A:R,17,FALSE)</f>
        <v>HASLS22260901719</v>
      </c>
      <c r="E51" s="62" t="str">
        <f>VLOOKUP(D51,'2.Bookinglist'!A:CT,27,FALSE)</f>
        <v>WHA GC LOGISTICS COMPANY LIMITED</v>
      </c>
      <c r="F51" s="62" t="str">
        <f>VLOOKUP(D51,'2.Bookinglist'!A:CT,28,FALSE)</f>
        <v>PTT GLOBAL CHEMICAL PUBLIC COMPANY LIMITED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VNSGN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PCCP</v>
      </c>
      <c r="P51" s="61" t="str">
        <f>VLOOKUP(A51,'1.Loading'!A:R,4,FALSE)</f>
        <v>2610N</v>
      </c>
      <c r="Q51" s="61" t="str">
        <f>VLOOKUP(D51,'2.Bookinglist'!A:CT,12,FALSE)</f>
        <v>KST</v>
      </c>
      <c r="R51" s="60" t="str">
        <f>IF(LEFT(K51,2)="22","20'","40'")</f>
        <v>20'</v>
      </c>
      <c r="S51" s="185" t="n"/>
      <c r="T51" s="61" t="str">
        <f>VLOOKUP(A51,'1.Loading'!A:R,2,FALSE)</f>
        <v>2026-10-14</v>
      </c>
      <c r="U51" s="63">
        <f>T51-S51</f>
        <v>46309</v>
      </c>
      <c r="V51" s="186" t="n"/>
      <c r="W51" s="61" t="str">
        <f>VLOOKUP(A51,'3.GateMove'!A:D,4,FALSE)</f>
        <v>2026-10-08</v>
      </c>
      <c r="X51" s="63">
        <f>((T51-W51)+1)</f>
        <v>7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0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46310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0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2026-10-12</v>
      </c>
      <c r="AM51" s="60" t="str">
        <f>VLOOKUP(D51,'2.Bookinglist'!A:BK,63,FALSE)</f>
        <v>LCHY5</v>
      </c>
      <c r="AN51" s="62" t="str">
        <f>VLOOKUP(D51,'2.Bookinglist'!A:AZ,52,FALSE)</f>
        <v>CY 28/09/26 , RTN 29/09/26 (1ST RETUR DD.30/09/26)
*PLS CHECK OPEN GATE BEFORE RETURN CTNR*</v>
      </c>
      <c r="AO51" s="62" t="str">
        <f>VLOOKUP(D51,'2.Bookinglist'!A:CY,103,FALSE)</f>
        <v>ROLL OVER FROM PREVIOUS VSL SWSP 2609N BY ALLOCATION TEAM MS.TARN APPROVED COST IS UNDER HA DD.7/10</v>
      </c>
    </row>
    <row r="52" ht="12.95" customHeight="1">
      <c r="A52" s="96" t="inlineStr">
        <is>
          <t>SKLU2406990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LCH05</v>
      </c>
      <c r="D52" s="61" t="str">
        <f>VLOOKUP(A52,'1.Loading'!A:R,17,FALSE)</f>
        <v>HASLS22260902464</v>
      </c>
      <c r="E52" s="62" t="str">
        <f>VLOOKUP(D52,'2.Bookinglist'!A:CT,27,FALSE)</f>
        <v>WHA GC LOGISTICS COMPANY LIMITED</v>
      </c>
      <c r="F52" s="62" t="str">
        <f>VLOOKUP(D52,'2.Bookinglist'!A:CT,28,FALSE)</f>
        <v>PTT GLOBAL CHEMICAL PUBLIC COMPANY LIMITED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JPIYM</v>
      </c>
      <c r="J52" s="61" t="str">
        <f>VLOOKUP(D52,'2.Bookinglist'!A:CT,26,FALSE)</f>
        <v>KRPUS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PCCP</v>
      </c>
      <c r="P52" s="61" t="str">
        <f>VLOOKUP(A52,'1.Loading'!A:R,4,FALSE)</f>
        <v>2610N</v>
      </c>
      <c r="Q52" s="61" t="str">
        <f>VLOOKUP(D52,'2.Bookinglist'!A:CT,12,FALSE)</f>
        <v>KST</v>
      </c>
      <c r="R52" s="60" t="str">
        <f>IF(LEFT(K52,2)="22","20'","40'")</f>
        <v>20'</v>
      </c>
      <c r="S52" s="185" t="n"/>
      <c r="T52" s="61" t="str">
        <f>VLOOKUP(A52,'1.Loading'!A:R,2,FALSE)</f>
        <v>2026-10-14</v>
      </c>
      <c r="U52" s="63">
        <f>T52-S52</f>
        <v>46309</v>
      </c>
      <c r="V52" s="186" t="n"/>
      <c r="W52" s="61" t="str">
        <f>VLOOKUP(A52,'3.GateMove'!A:D,4,FALSE)</f>
        <v>2026-10-08</v>
      </c>
      <c r="X52" s="63">
        <f>((T52-W52)+1)</f>
        <v>7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0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46310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0</v>
      </c>
      <c r="AJ52" s="188" t="n"/>
      <c r="AK52" s="62" t="str">
        <f>VLOOKUP(D52,'2.Bookinglist'!A:CT,40,FALSE)</f>
        <v>Dharaporn</v>
      </c>
      <c r="AL52" s="60" t="str">
        <f>VLOOKUP(D52,'2.Bookinglist'!A:CW,101,FALSE)</f>
        <v>2026-10-11</v>
      </c>
      <c r="AM52" s="60" t="str">
        <f>VLOOKUP(D52,'2.Bookinglist'!A:BK,63,FALSE)</f>
        <v>LCHY5</v>
      </c>
      <c r="AN52" s="62" t="str">
        <f>VLOOKUP(D52,'2.Bookinglist'!A:AZ,52,FALSE)</f>
        <v>[FIX][FIX]CY-RTN : 01-04/10/2026 *1ST RETURN CNTR DD.07/10/2026*
GOOD AND CLEAN CONTAINERS</v>
      </c>
      <c r="AO52" s="62">
        <f>VLOOKUP(D52,'2.Bookinglist'!A:CY,103,FALSE)</f>
        <v>0</v>
      </c>
    </row>
    <row r="53" ht="12.95" customHeight="1">
      <c r="A53" s="96" t="inlineStr">
        <is>
          <t>SKLU2424083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LCH05</v>
      </c>
      <c r="D53" s="61" t="str">
        <f>VLOOKUP(A53,'1.Loading'!A:R,17,FALSE)</f>
        <v>HASLS22260900900</v>
      </c>
      <c r="E53" s="62" t="str">
        <f>VLOOKUP(D53,'2.Bookinglist'!A:CT,27,FALSE)</f>
        <v>WHA GC LOGISTICS COMPANY LIMITED</v>
      </c>
      <c r="F53" s="62" t="str">
        <f>VLOOKUP(D53,'2.Bookinglist'!A:CT,28,FALSE)</f>
        <v>PTT GLOBAL CHEMICAL PUBLIC COMPANY LIMITED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JPIYM</v>
      </c>
      <c r="J53" s="61" t="str">
        <f>VLOOKUP(D53,'2.Bookinglist'!A:CT,26,FALSE)</f>
        <v>KRPUS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PCCP</v>
      </c>
      <c r="P53" s="61" t="str">
        <f>VLOOKUP(A53,'1.Loading'!A:R,4,FALSE)</f>
        <v>2610N</v>
      </c>
      <c r="Q53" s="61" t="str">
        <f>VLOOKUP(D53,'2.Bookinglist'!A:CT,12,FALSE)</f>
        <v>KST</v>
      </c>
      <c r="R53" s="60" t="str">
        <f>IF(LEFT(K53,2)="22","20'","40'")</f>
        <v>20'</v>
      </c>
      <c r="S53" s="185" t="n"/>
      <c r="T53" s="61" t="str">
        <f>VLOOKUP(A53,'1.Loading'!A:R,2,FALSE)</f>
        <v>2026-10-14</v>
      </c>
      <c r="U53" s="63">
        <f>T53-S53</f>
        <v>46309</v>
      </c>
      <c r="V53" s="186" t="n"/>
      <c r="W53" s="61" t="str">
        <f>VLOOKUP(A53,'3.GateMove'!A:D,4,FALSE)</f>
        <v>2026-10-08</v>
      </c>
      <c r="X53" s="63">
        <f>((T53-W53)+1)</f>
        <v>7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0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46310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2026-10-11</v>
      </c>
      <c r="AM53" s="60" t="str">
        <f>VLOOKUP(D53,'2.Bookinglist'!A:BK,63,FALSE)</f>
        <v>LCH27</v>
      </c>
      <c r="AN53" s="62" t="str">
        <f>VLOOKUP(D53,'2.Bookinglist'!A:AZ,52,FALSE)</f>
        <v>[FIX][FIX]CY-RTN 25-27/09/26 (PR2610002905)
*PLS CHECK OPEN GATE BEFORE RETURN CTNR*</v>
      </c>
      <c r="AO53" s="62">
        <f>VLOOKUP(D53,'2.Bookinglist'!A:CY,103,FALSE)</f>
        <v>0</v>
      </c>
    </row>
    <row r="54" ht="12.95" customHeight="1">
      <c r="A54" s="96" t="inlineStr">
        <is>
          <t>SKLU2477490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LCH05</v>
      </c>
      <c r="D54" s="61" t="str">
        <f>VLOOKUP(A54,'1.Loading'!A:R,17,FALSE)</f>
        <v>HASLS22260902206</v>
      </c>
      <c r="E54" s="62" t="str">
        <f>VLOOKUP(D54,'2.Bookinglist'!A:CT,27,FALSE)</f>
        <v>WHA GC LOGISTICS COMPANY LIMITED</v>
      </c>
      <c r="F54" s="62" t="str">
        <f>VLOOKUP(D54,'2.Bookinglist'!A:CT,28,FALSE)</f>
        <v>PTT GLOBAL CHEMICAL PUBLIC COMPANY LIMITED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VNSGN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PCCP</v>
      </c>
      <c r="P54" s="61" t="str">
        <f>VLOOKUP(A54,'1.Loading'!A:R,4,FALSE)</f>
        <v>2610N</v>
      </c>
      <c r="Q54" s="61" t="str">
        <f>VLOOKUP(D54,'2.Bookinglist'!A:CT,12,FALSE)</f>
        <v>KST</v>
      </c>
      <c r="R54" s="60" t="str">
        <f>IF(LEFT(K54,2)="22","20'","40'")</f>
        <v>20'</v>
      </c>
      <c r="S54" s="185" t="n"/>
      <c r="T54" s="61" t="str">
        <f>VLOOKUP(A54,'1.Loading'!A:R,2,FALSE)</f>
        <v>2026-10-14</v>
      </c>
      <c r="U54" s="63">
        <f>T54-S54</f>
        <v>46309</v>
      </c>
      <c r="V54" s="186" t="n"/>
      <c r="W54" s="61" t="str">
        <f>VLOOKUP(A54,'3.GateMove'!A:D,4,FALSE)</f>
        <v>2026-10-08</v>
      </c>
      <c r="X54" s="63">
        <f>((T54-W54)+1)</f>
        <v>7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0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46310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0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2026-10-11</v>
      </c>
      <c r="AM54" s="60" t="str">
        <f>VLOOKUP(D54,'2.Bookinglist'!A:BK,63,FALSE)</f>
        <v>LCHY5</v>
      </c>
      <c r="AN54" s="62" t="str">
        <f>VLOOKUP(D54,'2.Bookinglist'!A:AZ,52,FALSE)</f>
        <v>CY-RTN : 02-07/10/20206 *1ST RETURN CNTR DD.07/10/2026*
</v>
      </c>
      <c r="AO54" s="62">
        <f>VLOOKUP(D54,'2.Bookinglist'!A:CY,103,FALSE)</f>
        <v>0</v>
      </c>
    </row>
    <row r="55" ht="12.95" customHeight="1">
      <c r="A55" s="96" t="inlineStr">
        <is>
          <t>SKLU3507114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LCH05</v>
      </c>
      <c r="D55" s="61" t="str">
        <f>VLOOKUP(A55,'1.Loading'!A:R,17,FALSE)</f>
        <v>HASLS22260902228</v>
      </c>
      <c r="E55" s="62" t="str">
        <f>VLOOKUP(D55,'2.Bookinglist'!A:CT,27,FALSE)</f>
        <v>WHA GC LOGISTICS COMPANY LIMITED</v>
      </c>
      <c r="F55" s="62" t="str">
        <f>VLOOKUP(D55,'2.Bookinglist'!A:CT,28,FALSE)</f>
        <v>PTT GLOBAL CHEMICAL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VNSGN</v>
      </c>
      <c r="J55" s="61">
        <f>VLOOKUP(D55,'2.Bookinglist'!A:CT,26,FALSE)</f>
        <v>0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PCCP</v>
      </c>
      <c r="P55" s="61" t="str">
        <f>VLOOKUP(A55,'1.Loading'!A:R,4,FALSE)</f>
        <v>2610N</v>
      </c>
      <c r="Q55" s="61" t="str">
        <f>VLOOKUP(D55,'2.Bookinglist'!A:CT,12,FALSE)</f>
        <v>KST</v>
      </c>
      <c r="R55" s="60" t="str">
        <f>IF(LEFT(K55,2)="22","20'","40'")</f>
        <v>20'</v>
      </c>
      <c r="S55" s="185" t="n"/>
      <c r="T55" s="61" t="str">
        <f>VLOOKUP(A55,'1.Loading'!A:R,2,FALSE)</f>
        <v>2026-10-14</v>
      </c>
      <c r="U55" s="63">
        <f>T55-S55</f>
        <v>46309</v>
      </c>
      <c r="V55" s="186" t="n"/>
      <c r="W55" s="61" t="str">
        <f>VLOOKUP(A55,'3.GateMove'!A:D,4,FALSE)</f>
        <v>2026-10-08</v>
      </c>
      <c r="X55" s="63">
        <f>((T55-W55)+1)</f>
        <v>7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46310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Dharaporn</v>
      </c>
      <c r="AL55" s="60" t="str">
        <f>VLOOKUP(D55,'2.Bookinglist'!A:CW,101,FALSE)</f>
        <v>2026-10-12</v>
      </c>
      <c r="AM55" s="60" t="str">
        <f>VLOOKUP(D55,'2.Bookinglist'!A:BK,63,FALSE)</f>
        <v>LCH27</v>
      </c>
      <c r="AN55" s="62" t="str">
        <f>VLOOKUP(D55,'2.Bookinglist'!A:AZ,52,FALSE)</f>
        <v>CY-RTN 25-02/10/26 
*PLS CHECK OPEN GATE BEFORE RETURN CTNR*</v>
      </c>
      <c r="AO55" s="62" t="str">
        <f>VLOOKUP(D55,'2.Bookinglist'!A:CY,103,FALSE)</f>
        <v>ROLL OVER FROM PREVIOUS VSL SWSP 2609N BY ALLOCATION TEAM MS.TARN APPROVED COST IS UNDER HA DD.7/10</v>
      </c>
    </row>
    <row r="56" ht="12.95" customHeight="1">
      <c r="A56" s="96" t="inlineStr">
        <is>
          <t>TGCU2410997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LCH05</v>
      </c>
      <c r="D56" s="61" t="str">
        <f>VLOOKUP(A56,'1.Loading'!A:R,17,FALSE)</f>
        <v>HASLS22261000129</v>
      </c>
      <c r="E56" s="62" t="str">
        <f>VLOOKUP(D56,'2.Bookinglist'!A:CT,27,FALSE)</f>
        <v>WHA GC LOGISTICS COMPANY LIMITED</v>
      </c>
      <c r="F56" s="62" t="str">
        <f>VLOOKUP(D56,'2.Bookinglist'!A:CT,28,FALSE)</f>
        <v>PTT GLOBAL CHEMICAL PUBLIC COMPANY LIMITED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VNSGN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PCCP</v>
      </c>
      <c r="P56" s="61" t="str">
        <f>VLOOKUP(A56,'1.Loading'!A:R,4,FALSE)</f>
        <v>2610N</v>
      </c>
      <c r="Q56" s="61" t="str">
        <f>VLOOKUP(D56,'2.Bookinglist'!A:CT,12,FALSE)</f>
        <v>KST</v>
      </c>
      <c r="R56" s="60" t="str">
        <f>IF(LEFT(K56,2)="22","20'","40'")</f>
        <v>20'</v>
      </c>
      <c r="S56" s="185" t="n"/>
      <c r="T56" s="61" t="str">
        <f>VLOOKUP(A56,'1.Loading'!A:R,2,FALSE)</f>
        <v>2026-10-14</v>
      </c>
      <c r="U56" s="63">
        <f>T56-S56</f>
        <v>46309</v>
      </c>
      <c r="V56" s="186" t="n"/>
      <c r="W56" s="61" t="str">
        <f>VLOOKUP(A56,'3.GateMove'!A:D,4,FALSE)</f>
        <v>2026-10-08</v>
      </c>
      <c r="X56" s="63">
        <f>((T56-W56)+1)</f>
        <v>7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0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46310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0</v>
      </c>
      <c r="AJ56" s="188" t="n"/>
      <c r="AK56" s="62" t="str">
        <f>VLOOKUP(D56,'2.Bookinglist'!A:CT,40,FALSE)</f>
        <v>Dharaporn</v>
      </c>
      <c r="AL56" s="60" t="str">
        <f>VLOOKUP(D56,'2.Bookinglist'!A:CW,101,FALSE)</f>
        <v>2026-10-11</v>
      </c>
      <c r="AM56" s="60" t="str">
        <f>VLOOKUP(D56,'2.Bookinglist'!A:BK,63,FALSE)</f>
        <v>LCH27</v>
      </c>
      <c r="AN56" s="62" t="str">
        <f>VLOOKUP(D56,'2.Bookinglist'!A:AZ,52,FALSE)</f>
        <v>CY-RTN 05-08/10/26 / FIRST DATE CAN RETURN CNTR DD.06/10 
**CHECK OPEN GATE BEFORE RETURN CNTR **
</v>
      </c>
      <c r="AO56" s="62">
        <f>VLOOKUP(D56,'2.Bookinglist'!A:CY,103,FALSE)</f>
        <v>0</v>
      </c>
    </row>
    <row r="57" ht="12.95" customHeight="1">
      <c r="A57" s="96" t="inlineStr">
        <is>
          <t>TGCU2420212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LCH05</v>
      </c>
      <c r="D57" s="61" t="str">
        <f>VLOOKUP(A57,'1.Loading'!A:R,17,FALSE)</f>
        <v>HASLS22261000129</v>
      </c>
      <c r="E57" s="62" t="str">
        <f>VLOOKUP(D57,'2.Bookinglist'!A:CT,27,FALSE)</f>
        <v>WHA GC LOGISTICS COMPANY LIMITED</v>
      </c>
      <c r="F57" s="62" t="str">
        <f>VLOOKUP(D57,'2.Bookinglist'!A:CT,28,FALSE)</f>
        <v>PTT GLOBAL CHEMICAL PUBLIC COMPANY LIMITED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VNSGN</v>
      </c>
      <c r="J57" s="61">
        <f>VLOOKUP(D57,'2.Bookinglist'!A:CT,26,FALSE)</f>
        <v>0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PCCP</v>
      </c>
      <c r="P57" s="61" t="str">
        <f>VLOOKUP(A57,'1.Loading'!A:R,4,FALSE)</f>
        <v>2610N</v>
      </c>
      <c r="Q57" s="61" t="str">
        <f>VLOOKUP(D57,'2.Bookinglist'!A:CT,12,FALSE)</f>
        <v>KST</v>
      </c>
      <c r="R57" s="60" t="str">
        <f>IF(LEFT(K57,2)="22","20'","40'")</f>
        <v>20'</v>
      </c>
      <c r="S57" s="185" t="n"/>
      <c r="T57" s="61" t="str">
        <f>VLOOKUP(A57,'1.Loading'!A:R,2,FALSE)</f>
        <v>2026-10-14</v>
      </c>
      <c r="U57" s="63">
        <f>T57-S57</f>
        <v>46309</v>
      </c>
      <c r="V57" s="186" t="n"/>
      <c r="W57" s="61" t="str">
        <f>VLOOKUP(A57,'3.GateMove'!A:D,4,FALSE)</f>
        <v>2026-10-08</v>
      </c>
      <c r="X57" s="63">
        <f>((T57-W57)+1)</f>
        <v>7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0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46310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0</v>
      </c>
      <c r="AJ57" s="188" t="n"/>
      <c r="AK57" s="62" t="str">
        <f>VLOOKUP(D57,'2.Bookinglist'!A:CT,40,FALSE)</f>
        <v>Dharaporn</v>
      </c>
      <c r="AL57" s="60" t="str">
        <f>VLOOKUP(D57,'2.Bookinglist'!A:CW,101,FALSE)</f>
        <v>2026-10-11</v>
      </c>
      <c r="AM57" s="60" t="str">
        <f>VLOOKUP(D57,'2.Bookinglist'!A:BK,63,FALSE)</f>
        <v>LCH27</v>
      </c>
      <c r="AN57" s="62" t="str">
        <f>VLOOKUP(D57,'2.Bookinglist'!A:AZ,52,FALSE)</f>
        <v>CY-RTN 05-08/10/26 / FIRST DATE CAN RETURN CNTR DD.06/10 
**CHECK OPEN GATE BEFORE RETURN CNTR **
</v>
      </c>
      <c r="AO57" s="62">
        <f>VLOOKUP(D57,'2.Bookinglist'!A:CY,103,FALSE)</f>
        <v>0</v>
      </c>
    </row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2026-10-14T07:20:13Z</dcterms:modified>
  <cp:lastModifiedBy>office4</cp:lastModifiedBy>
  <cp:lastPrinted>2019-11-19T03:03:39Z</cp:lastPrinted>
</cp:coreProperties>
</file>