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SEGU5419703</t>
        </is>
      </c>
      <c r="B2" s="161" t="inlineStr">
        <is>
          <t>2026-10-16</t>
        </is>
      </c>
      <c r="C2" s="96" t="inlineStr">
        <is>
          <t>SWBT</t>
        </is>
      </c>
      <c r="D2" s="96" t="inlineStr">
        <is>
          <t>2616N</t>
        </is>
      </c>
      <c r="E2" s="96" t="inlineStr">
        <is>
          <t>45GP</t>
        </is>
      </c>
      <c r="F2" s="96" t="inlineStr">
        <is>
          <t>SD</t>
        </is>
      </c>
      <c r="G2" s="96" t="inlineStr">
        <is>
          <t>THBKK</t>
        </is>
      </c>
      <c r="H2" s="96" t="inlineStr">
        <is>
          <t>THBKK</t>
        </is>
      </c>
      <c r="I2" s="96" t="inlineStr">
        <is>
          <t>KRPUS</t>
        </is>
      </c>
      <c r="J2" s="96" t="inlineStr">
        <is>
          <t>RUVVO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BKK02</t>
        </is>
      </c>
      <c r="O2" s="96" t="inlineStr">
        <is>
          <t>BKK</t>
        </is>
      </c>
      <c r="P2" s="96" t="inlineStr">
        <is>
          <t>TH</t>
        </is>
      </c>
      <c r="Q2" s="96" t="inlineStr">
        <is>
          <t>HASLS22260900904</t>
        </is>
      </c>
      <c r="R2" s="96" t="inlineStr">
        <is>
          <t>Y</t>
        </is>
      </c>
      <c r="S2" s="96" t="inlineStr">
        <is>
          <t>N</t>
        </is>
      </c>
      <c r="T2" s="96" t="inlineStr">
        <is>
          <t>NTX</t>
        </is>
      </c>
      <c r="U2" s="97" t="n"/>
      <c r="V2" s="96" t="inlineStr">
        <is>
          <t>SHA15L15</t>
        </is>
      </c>
      <c r="W2" s="96" t="inlineStr">
        <is>
          <t>TAVEEPHOL PRODUCT CO., LTD.</t>
        </is>
      </c>
      <c r="X2" s="96" t="inlineStr">
        <is>
          <t>VFD</t>
        </is>
      </c>
      <c r="Y2" s="96" t="inlineStr">
        <is>
          <t>DV NEVADA CO., LTD</t>
        </is>
      </c>
      <c r="Z2" s="96" t="inlineStr">
        <is>
          <t>FAR EAST BRANCH RUSCON LTD.</t>
        </is>
      </c>
      <c r="AA2" s="97" t="n">
        <v>1820</v>
      </c>
      <c r="AB2" s="96" t="inlineStr">
        <is>
          <t>BKK02</t>
        </is>
      </c>
      <c r="AC2" s="96" t="inlineStr">
        <is>
          <t>VVO01</t>
        </is>
      </c>
    </row>
    <row r="3" ht="12" customHeight="1">
      <c r="A3" s="96" t="inlineStr">
        <is>
          <t>TRHU6255775</t>
        </is>
      </c>
      <c r="B3" s="161" t="inlineStr">
        <is>
          <t>2026-10-16</t>
        </is>
      </c>
      <c r="C3" s="96" t="inlineStr">
        <is>
          <t>SWBT</t>
        </is>
      </c>
      <c r="D3" s="96" t="inlineStr">
        <is>
          <t>2616N</t>
        </is>
      </c>
      <c r="E3" s="96" t="inlineStr">
        <is>
          <t>45GP</t>
        </is>
      </c>
      <c r="F3" s="96" t="inlineStr">
        <is>
          <t>SD</t>
        </is>
      </c>
      <c r="G3" s="96" t="inlineStr">
        <is>
          <t>THBKK</t>
        </is>
      </c>
      <c r="H3" s="96" t="inlineStr">
        <is>
          <t>THBKK</t>
        </is>
      </c>
      <c r="I3" s="96" t="inlineStr">
        <is>
          <t>VNSGN</t>
        </is>
      </c>
      <c r="J3" s="96" t="inlineStr">
        <is>
          <t>VNSGN</t>
        </is>
      </c>
      <c r="K3" s="96" t="inlineStr">
        <is>
          <t>F</t>
        </is>
      </c>
      <c r="L3" s="96" t="inlineStr">
        <is>
          <t>ONE</t>
        </is>
      </c>
      <c r="M3" s="96" t="inlineStr">
        <is>
          <t>VFL</t>
        </is>
      </c>
      <c r="N3" s="96" t="inlineStr">
        <is>
          <t>BKK02</t>
        </is>
      </c>
      <c r="O3" s="96" t="inlineStr">
        <is>
          <t>BKK</t>
        </is>
      </c>
      <c r="P3" s="96" t="inlineStr">
        <is>
          <t>TH</t>
        </is>
      </c>
      <c r="Q3" s="96" t="inlineStr">
        <is>
          <t>HASLS22260902001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NTX</t>
        </is>
      </c>
      <c r="U3" s="97" t="n"/>
      <c r="V3" s="96" t="inlineStr">
        <is>
          <t>K0120023</t>
        </is>
      </c>
      <c r="W3" s="96" t="inlineStr">
        <is>
          <t>ROYAL CAN INDUSTRIES CO., LTD</t>
        </is>
      </c>
      <c r="X3" s="96" t="inlineStr">
        <is>
          <t>VFD</t>
        </is>
      </c>
      <c r="Y3" s="96" t="inlineStr">
        <is>
          <t>PATAYA  FOOD INDUSTRIES (VIETNAM)</t>
        </is>
      </c>
      <c r="Z3" s="96" t="inlineStr">
        <is>
          <t>PATAYA  FOOD INDUSTRIES (VIETNAM)</t>
        </is>
      </c>
      <c r="AA3" s="97" t="n">
        <v>7207</v>
      </c>
      <c r="AB3" s="96" t="inlineStr">
        <is>
          <t>BKK02</t>
        </is>
      </c>
      <c r="AC3" s="96" t="inlineStr">
        <is>
          <t>SGN03</t>
        </is>
      </c>
    </row>
    <row r="4" ht="12" customHeight="1">
      <c r="A4" s="96" t="inlineStr">
        <is>
          <t>SKHU6413849</t>
        </is>
      </c>
      <c r="B4" s="161" t="inlineStr">
        <is>
          <t>2026-10-16</t>
        </is>
      </c>
      <c r="C4" s="96" t="inlineStr">
        <is>
          <t>SWBT</t>
        </is>
      </c>
      <c r="D4" s="96" t="inlineStr">
        <is>
          <t>2616N</t>
        </is>
      </c>
      <c r="E4" s="96" t="inlineStr">
        <is>
          <t>45GP</t>
        </is>
      </c>
      <c r="F4" s="96" t="inlineStr">
        <is>
          <t>SD</t>
        </is>
      </c>
      <c r="G4" s="96" t="inlineStr">
        <is>
          <t>THBKK</t>
        </is>
      </c>
      <c r="H4" s="96" t="inlineStr">
        <is>
          <t>THBKK</t>
        </is>
      </c>
      <c r="I4" s="96" t="inlineStr">
        <is>
          <t>VNSGN</t>
        </is>
      </c>
      <c r="J4" s="96" t="inlineStr">
        <is>
          <t>VNSGN</t>
        </is>
      </c>
      <c r="K4" s="96" t="inlineStr">
        <is>
          <t>F</t>
        </is>
      </c>
      <c r="L4" s="96" t="inlineStr">
        <is>
          <t>ONE</t>
        </is>
      </c>
      <c r="M4" s="96" t="inlineStr">
        <is>
          <t>VFL</t>
        </is>
      </c>
      <c r="N4" s="96" t="inlineStr">
        <is>
          <t>BKK02</t>
        </is>
      </c>
      <c r="O4" s="96" t="inlineStr">
        <is>
          <t>BKK</t>
        </is>
      </c>
      <c r="P4" s="96" t="inlineStr">
        <is>
          <t>TH</t>
        </is>
      </c>
      <c r="Q4" s="96" t="inlineStr">
        <is>
          <t>HASLS22260902811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NTX</t>
        </is>
      </c>
      <c r="U4" s="97" t="n"/>
      <c r="V4" s="96" t="inlineStr">
        <is>
          <t>K0120023</t>
        </is>
      </c>
      <c r="W4" s="96" t="inlineStr">
        <is>
          <t>OPENSEA CARGO SERVICE CO.,LTD.</t>
        </is>
      </c>
      <c r="X4" s="96" t="inlineStr">
        <is>
          <t>VFD</t>
        </is>
      </c>
      <c r="Y4" s="96" t="inlineStr">
        <is>
          <t>BLUE OCEAN INTERNATIONAL SHIPPING</t>
        </is>
      </c>
      <c r="Z4" s="96" t="inlineStr">
        <is>
          <t>BLUE OCEAN INTERNATIONAL SHIPPING</t>
        </is>
      </c>
      <c r="AA4" s="97" t="n">
        <v>7899</v>
      </c>
      <c r="AB4" s="96" t="inlineStr">
        <is>
          <t>BKK02</t>
        </is>
      </c>
      <c r="AC4" s="96" t="inlineStr">
        <is>
          <t>SGN03</t>
        </is>
      </c>
    </row>
    <row r="5" ht="12" customHeight="1">
      <c r="A5" s="96" t="inlineStr">
        <is>
          <t>SKHU6300668</t>
        </is>
      </c>
      <c r="B5" s="161" t="inlineStr">
        <is>
          <t>2026-10-16</t>
        </is>
      </c>
      <c r="C5" s="96" t="inlineStr">
        <is>
          <t>SWBT</t>
        </is>
      </c>
      <c r="D5" s="96" t="inlineStr">
        <is>
          <t>2616N</t>
        </is>
      </c>
      <c r="E5" s="96" t="inlineStr">
        <is>
          <t>45GP</t>
        </is>
      </c>
      <c r="F5" s="96" t="inlineStr">
        <is>
          <t>SD</t>
        </is>
      </c>
      <c r="G5" s="96" t="inlineStr">
        <is>
          <t>THBKK</t>
        </is>
      </c>
      <c r="H5" s="96" t="inlineStr">
        <is>
          <t>THBKK</t>
        </is>
      </c>
      <c r="I5" s="96" t="inlineStr">
        <is>
          <t>VNSGN</t>
        </is>
      </c>
      <c r="J5" s="96" t="inlineStr">
        <is>
          <t>VNSGN</t>
        </is>
      </c>
      <c r="K5" s="96" t="inlineStr">
        <is>
          <t>F</t>
        </is>
      </c>
      <c r="L5" s="96" t="inlineStr">
        <is>
          <t>ONE</t>
        </is>
      </c>
      <c r="M5" s="96" t="inlineStr">
        <is>
          <t>VFL</t>
        </is>
      </c>
      <c r="N5" s="96" t="inlineStr">
        <is>
          <t>BKK02</t>
        </is>
      </c>
      <c r="O5" s="96" t="inlineStr">
        <is>
          <t>BKK</t>
        </is>
      </c>
      <c r="P5" s="96" t="inlineStr">
        <is>
          <t>TH</t>
        </is>
      </c>
      <c r="Q5" s="96" t="inlineStr">
        <is>
          <t>HASLS22260901590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NTX</t>
        </is>
      </c>
      <c r="U5" s="97" t="n"/>
      <c r="V5" s="96" t="inlineStr">
        <is>
          <t>K0120023</t>
        </is>
      </c>
      <c r="W5" s="96" t="inlineStr">
        <is>
          <t>EUROFREIGHT INTERNATIONAL CO., LTD.</t>
        </is>
      </c>
      <c r="X5" s="96" t="inlineStr">
        <is>
          <t>VFD</t>
        </is>
      </c>
      <c r="Y5" s="96" t="inlineStr">
        <is>
          <t>VICA LOGISTICS - HCM BRANCH</t>
        </is>
      </c>
      <c r="Z5" s="96" t="inlineStr">
        <is>
          <t>VICA LOGISTICS - HCM BRANCH</t>
        </is>
      </c>
      <c r="AA5" s="97" t="n">
        <v>19682.17</v>
      </c>
      <c r="AB5" s="96" t="inlineStr">
        <is>
          <t>BKK02</t>
        </is>
      </c>
      <c r="AC5" s="96" t="inlineStr">
        <is>
          <t>SGN03</t>
        </is>
      </c>
    </row>
    <row r="6" ht="12" customHeight="1">
      <c r="A6" s="96" t="inlineStr">
        <is>
          <t>SKHU8426845</t>
        </is>
      </c>
      <c r="B6" s="161" t="inlineStr">
        <is>
          <t>2026-10-16</t>
        </is>
      </c>
      <c r="C6" s="96" t="inlineStr">
        <is>
          <t>SWBT</t>
        </is>
      </c>
      <c r="D6" s="96" t="inlineStr">
        <is>
          <t>2616N</t>
        </is>
      </c>
      <c r="E6" s="96" t="inlineStr">
        <is>
          <t>45GP</t>
        </is>
      </c>
      <c r="F6" s="96" t="inlineStr">
        <is>
          <t>SD</t>
        </is>
      </c>
      <c r="G6" s="96" t="inlineStr">
        <is>
          <t>THBKK</t>
        </is>
      </c>
      <c r="H6" s="96" t="inlineStr">
        <is>
          <t>THBKK</t>
        </is>
      </c>
      <c r="I6" s="96" t="inlineStr">
        <is>
          <t>VNSGN</t>
        </is>
      </c>
      <c r="J6" s="96" t="inlineStr">
        <is>
          <t>VNSGN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BKK02</t>
        </is>
      </c>
      <c r="O6" s="96" t="inlineStr">
        <is>
          <t>BKK</t>
        </is>
      </c>
      <c r="P6" s="96" t="inlineStr">
        <is>
          <t>TH</t>
        </is>
      </c>
      <c r="Q6" s="96" t="inlineStr">
        <is>
          <t>HASLS22260902181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NTX</t>
        </is>
      </c>
      <c r="U6" s="97" t="n"/>
      <c r="V6" s="96" t="inlineStr">
        <is>
          <t>K0120023</t>
        </is>
      </c>
      <c r="W6" s="96" t="inlineStr">
        <is>
          <t>BIRLA CARBON (THAILAND) PUBLIC</t>
        </is>
      </c>
      <c r="X6" s="96" t="inlineStr">
        <is>
          <t>VFD</t>
        </is>
      </c>
      <c r="Y6" s="96" t="inlineStr">
        <is>
          <t>SAILUN (VIETNAM) CO.,LTD</t>
        </is>
      </c>
      <c r="Z6" s="96" t="inlineStr">
        <is>
          <t>SAILUN (VIETNAM) CO.,LTD</t>
        </is>
      </c>
      <c r="AA6" s="97" t="n">
        <v>22308</v>
      </c>
      <c r="AB6" s="96" t="inlineStr">
        <is>
          <t>BKK02</t>
        </is>
      </c>
      <c r="AC6" s="96" t="inlineStr">
        <is>
          <t>SGN03</t>
        </is>
      </c>
    </row>
    <row r="7" ht="12" customHeight="1">
      <c r="A7" s="96" t="inlineStr">
        <is>
          <t>SKHU9938466</t>
        </is>
      </c>
      <c r="B7" s="161" t="inlineStr">
        <is>
          <t>2026-10-16</t>
        </is>
      </c>
      <c r="C7" s="96" t="inlineStr">
        <is>
          <t>SWBT</t>
        </is>
      </c>
      <c r="D7" s="96" t="inlineStr">
        <is>
          <t>2616N</t>
        </is>
      </c>
      <c r="E7" s="96" t="inlineStr">
        <is>
          <t>45GP</t>
        </is>
      </c>
      <c r="F7" s="96" t="inlineStr">
        <is>
          <t>SD</t>
        </is>
      </c>
      <c r="G7" s="96" t="inlineStr">
        <is>
          <t>THBKK</t>
        </is>
      </c>
      <c r="H7" s="96" t="inlineStr">
        <is>
          <t>THBKK</t>
        </is>
      </c>
      <c r="I7" s="96" t="inlineStr">
        <is>
          <t>VNSGN</t>
        </is>
      </c>
      <c r="J7" s="96" t="inlineStr">
        <is>
          <t>VNSGN</t>
        </is>
      </c>
      <c r="K7" s="96" t="inlineStr">
        <is>
          <t>F</t>
        </is>
      </c>
      <c r="L7" s="96" t="inlineStr">
        <is>
          <t>ONE</t>
        </is>
      </c>
      <c r="M7" s="96" t="inlineStr">
        <is>
          <t>VFL</t>
        </is>
      </c>
      <c r="N7" s="96" t="inlineStr">
        <is>
          <t>BKK02</t>
        </is>
      </c>
      <c r="O7" s="96" t="inlineStr">
        <is>
          <t>BKK</t>
        </is>
      </c>
      <c r="P7" s="96" t="inlineStr">
        <is>
          <t>TH</t>
        </is>
      </c>
      <c r="Q7" s="96" t="inlineStr">
        <is>
          <t>HASLS22260902181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NTX</t>
        </is>
      </c>
      <c r="U7" s="97" t="n"/>
      <c r="V7" s="96" t="inlineStr">
        <is>
          <t>K0120023</t>
        </is>
      </c>
      <c r="W7" s="96" t="inlineStr">
        <is>
          <t>BIRLA CARBON (THAILAND) PUBLIC</t>
        </is>
      </c>
      <c r="X7" s="96" t="inlineStr">
        <is>
          <t>VFD</t>
        </is>
      </c>
      <c r="Y7" s="96" t="inlineStr">
        <is>
          <t>SAILUN (VIETNAM) CO.,LTD</t>
        </is>
      </c>
      <c r="Z7" s="96" t="inlineStr">
        <is>
          <t>SAILUN (VIETNAM) CO.,LTD</t>
        </is>
      </c>
      <c r="AA7" s="97" t="n">
        <v>22308</v>
      </c>
      <c r="AB7" s="96" t="inlineStr">
        <is>
          <t>BKK02</t>
        </is>
      </c>
      <c r="AC7" s="96" t="inlineStr">
        <is>
          <t>SGN03</t>
        </is>
      </c>
    </row>
    <row r="8" ht="12" customHeight="1">
      <c r="A8" s="96" t="inlineStr">
        <is>
          <t>SKHU6381700</t>
        </is>
      </c>
      <c r="B8" s="161" t="inlineStr">
        <is>
          <t>2026-10-16</t>
        </is>
      </c>
      <c r="C8" s="96" t="inlineStr">
        <is>
          <t>SWBT</t>
        </is>
      </c>
      <c r="D8" s="96" t="inlineStr">
        <is>
          <t>2616N</t>
        </is>
      </c>
      <c r="E8" s="96" t="inlineStr">
        <is>
          <t>45GP</t>
        </is>
      </c>
      <c r="F8" s="96" t="inlineStr">
        <is>
          <t>SD</t>
        </is>
      </c>
      <c r="G8" s="96" t="inlineStr">
        <is>
          <t>THBKK</t>
        </is>
      </c>
      <c r="H8" s="96" t="inlineStr">
        <is>
          <t>THBKK</t>
        </is>
      </c>
      <c r="I8" s="96" t="inlineStr">
        <is>
          <t>VNSGN</t>
        </is>
      </c>
      <c r="J8" s="96" t="inlineStr">
        <is>
          <t>VNSGN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BKK02</t>
        </is>
      </c>
      <c r="O8" s="96" t="inlineStr">
        <is>
          <t>BKK</t>
        </is>
      </c>
      <c r="P8" s="96" t="inlineStr">
        <is>
          <t>TH</t>
        </is>
      </c>
      <c r="Q8" s="96" t="inlineStr">
        <is>
          <t>HASLS22261000152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NTX</t>
        </is>
      </c>
      <c r="U8" s="97" t="n"/>
      <c r="V8" s="96" t="inlineStr">
        <is>
          <t>K0120023</t>
        </is>
      </c>
      <c r="W8" s="96" t="inlineStr">
        <is>
          <t>BEE LOGISTICS (THAILAND) CO., LTD.</t>
        </is>
      </c>
      <c r="X8" s="96" t="inlineStr">
        <is>
          <t>VFD</t>
        </is>
      </c>
      <c r="Y8" s="96" t="inlineStr">
        <is>
          <t>BOND GLOBAL LOGISTICS JOINT STOCK</t>
        </is>
      </c>
      <c r="Z8" s="96" t="inlineStr">
        <is>
          <t>BOND GLOBAL LOGISTICS JOINT STOCK</t>
        </is>
      </c>
      <c r="AA8" s="97" t="n">
        <v>15105.9</v>
      </c>
      <c r="AB8" s="96" t="inlineStr">
        <is>
          <t>BKK02</t>
        </is>
      </c>
      <c r="AC8" s="96" t="inlineStr">
        <is>
          <t>SGN03</t>
        </is>
      </c>
    </row>
    <row r="9" ht="12" customHeight="1">
      <c r="A9" s="96" t="inlineStr">
        <is>
          <t>SKHU6431626</t>
        </is>
      </c>
      <c r="B9" s="161" t="inlineStr">
        <is>
          <t>2026-10-16</t>
        </is>
      </c>
      <c r="C9" s="96" t="inlineStr">
        <is>
          <t>SWBT</t>
        </is>
      </c>
      <c r="D9" s="96" t="inlineStr">
        <is>
          <t>2616N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THBKK</t>
        </is>
      </c>
      <c r="H9" s="96" t="inlineStr">
        <is>
          <t>THBKK</t>
        </is>
      </c>
      <c r="I9" s="96" t="inlineStr">
        <is>
          <t>VNSGN</t>
        </is>
      </c>
      <c r="J9" s="96" t="inlineStr">
        <is>
          <t>VNSGN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BKK02</t>
        </is>
      </c>
      <c r="O9" s="96" t="inlineStr">
        <is>
          <t>BKK</t>
        </is>
      </c>
      <c r="P9" s="96" t="inlineStr">
        <is>
          <t>TH</t>
        </is>
      </c>
      <c r="Q9" s="96" t="inlineStr">
        <is>
          <t>HASLS22260902418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NTX</t>
        </is>
      </c>
      <c r="U9" s="97" t="n"/>
      <c r="V9" s="96" t="inlineStr">
        <is>
          <t>K0120023</t>
        </is>
      </c>
      <c r="W9" s="96" t="inlineStr">
        <is>
          <t>BEE LOGISTICS (THAILAND) CO., LTD.</t>
        </is>
      </c>
      <c r="X9" s="96" t="inlineStr">
        <is>
          <t>VFD</t>
        </is>
      </c>
      <c r="Y9" s="96" t="inlineStr">
        <is>
          <t>BOND GLOBAL LOGISTICS JOINT STOCK</t>
        </is>
      </c>
      <c r="Z9" s="96" t="inlineStr">
        <is>
          <t>BOND GLOBAL LOGISTICS JOINT STOCK</t>
        </is>
      </c>
      <c r="AA9" s="97" t="n">
        <v>20242.9</v>
      </c>
      <c r="AB9" s="96" t="inlineStr">
        <is>
          <t>BKK02</t>
        </is>
      </c>
      <c r="AC9" s="96" t="inlineStr">
        <is>
          <t>SGN03</t>
        </is>
      </c>
    </row>
    <row r="10" ht="12" customHeight="1">
      <c r="A10" s="96" t="inlineStr">
        <is>
          <t>GCXU6014175</t>
        </is>
      </c>
      <c r="B10" s="161" t="inlineStr">
        <is>
          <t>2026-10-16</t>
        </is>
      </c>
      <c r="C10" s="96" t="inlineStr">
        <is>
          <t>SWBT</t>
        </is>
      </c>
      <c r="D10" s="96" t="inlineStr">
        <is>
          <t>2616N</t>
        </is>
      </c>
      <c r="E10" s="96" t="inlineStr">
        <is>
          <t>45GP</t>
        </is>
      </c>
      <c r="F10" s="96" t="inlineStr">
        <is>
          <t>SD</t>
        </is>
      </c>
      <c r="G10" s="96" t="inlineStr">
        <is>
          <t>THBKK</t>
        </is>
      </c>
      <c r="H10" s="96" t="inlineStr">
        <is>
          <t>THBKK</t>
        </is>
      </c>
      <c r="I10" s="96" t="inlineStr">
        <is>
          <t>VNSGN</t>
        </is>
      </c>
      <c r="J10" s="96" t="inlineStr">
        <is>
          <t>VNSGN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BKK02</t>
        </is>
      </c>
      <c r="O10" s="96" t="inlineStr">
        <is>
          <t>BKK</t>
        </is>
      </c>
      <c r="P10" s="96" t="inlineStr">
        <is>
          <t>TH</t>
        </is>
      </c>
      <c r="Q10" s="96" t="inlineStr">
        <is>
          <t>HASLS22260902181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NTX</t>
        </is>
      </c>
      <c r="U10" s="97" t="n"/>
      <c r="V10" s="96" t="inlineStr">
        <is>
          <t>K0120023</t>
        </is>
      </c>
      <c r="W10" s="96" t="inlineStr">
        <is>
          <t>BIRLA CARBON (THAILAND) PUBLIC</t>
        </is>
      </c>
      <c r="X10" s="96" t="inlineStr">
        <is>
          <t>VFD</t>
        </is>
      </c>
      <c r="Y10" s="96" t="inlineStr">
        <is>
          <t>SAILUN (VIETNAM) CO.,LTD</t>
        </is>
      </c>
      <c r="Z10" s="96" t="inlineStr">
        <is>
          <t>SAILUN (VIETNAM) CO.,LTD</t>
        </is>
      </c>
      <c r="AA10" s="97" t="n">
        <v>22308</v>
      </c>
      <c r="AB10" s="96" t="inlineStr">
        <is>
          <t>BKK02</t>
        </is>
      </c>
      <c r="AC10" s="96" t="inlineStr">
        <is>
          <t>SGN03</t>
        </is>
      </c>
    </row>
    <row r="11" ht="12" customHeight="1">
      <c r="A11" s="96" t="inlineStr">
        <is>
          <t>SKHU6592282</t>
        </is>
      </c>
      <c r="B11" s="161" t="inlineStr">
        <is>
          <t>2026-10-16</t>
        </is>
      </c>
      <c r="C11" s="96" t="inlineStr">
        <is>
          <t>SWBT</t>
        </is>
      </c>
      <c r="D11" s="96" t="inlineStr">
        <is>
          <t>2616N</t>
        </is>
      </c>
      <c r="E11" s="96" t="inlineStr">
        <is>
          <t>45GP</t>
        </is>
      </c>
      <c r="F11" s="96" t="inlineStr">
        <is>
          <t>SD</t>
        </is>
      </c>
      <c r="G11" s="96" t="inlineStr">
        <is>
          <t>THBKK</t>
        </is>
      </c>
      <c r="H11" s="96" t="inlineStr">
        <is>
          <t>THBKK</t>
        </is>
      </c>
      <c r="I11" s="96" t="inlineStr">
        <is>
          <t>VNSGN</t>
        </is>
      </c>
      <c r="J11" s="96" t="inlineStr">
        <is>
          <t>VNSGN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BKK02</t>
        </is>
      </c>
      <c r="O11" s="96" t="inlineStr">
        <is>
          <t>BKK</t>
        </is>
      </c>
      <c r="P11" s="96" t="inlineStr">
        <is>
          <t>TH</t>
        </is>
      </c>
      <c r="Q11" s="96" t="inlineStr">
        <is>
          <t>HASLS22260902181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NTX</t>
        </is>
      </c>
      <c r="U11" s="97" t="n"/>
      <c r="V11" s="96" t="inlineStr">
        <is>
          <t>K0120023</t>
        </is>
      </c>
      <c r="W11" s="96" t="inlineStr">
        <is>
          <t>BIRLA CARBON (THAILAND) PUBLIC</t>
        </is>
      </c>
      <c r="X11" s="96" t="inlineStr">
        <is>
          <t>VFD</t>
        </is>
      </c>
      <c r="Y11" s="96" t="inlineStr">
        <is>
          <t>SAILUN (VIETNAM) CO.,LTD</t>
        </is>
      </c>
      <c r="Z11" s="96" t="inlineStr">
        <is>
          <t>SAILUN (VIETNAM) CO.,LTD</t>
        </is>
      </c>
      <c r="AA11" s="97" t="n">
        <v>22308</v>
      </c>
      <c r="AB11" s="96" t="inlineStr">
        <is>
          <t>BKK02</t>
        </is>
      </c>
      <c r="AC11" s="96" t="inlineStr">
        <is>
          <t>SGN03</t>
        </is>
      </c>
    </row>
    <row r="12" ht="12" customHeight="1">
      <c r="A12" s="96" t="inlineStr">
        <is>
          <t>SKHU6594496</t>
        </is>
      </c>
      <c r="B12" s="161" t="inlineStr">
        <is>
          <t>2026-10-16</t>
        </is>
      </c>
      <c r="C12" s="96" t="inlineStr">
        <is>
          <t>SWBT</t>
        </is>
      </c>
      <c r="D12" s="96" t="inlineStr">
        <is>
          <t>2616N</t>
        </is>
      </c>
      <c r="E12" s="96" t="inlineStr">
        <is>
          <t>45GP</t>
        </is>
      </c>
      <c r="F12" s="96" t="inlineStr">
        <is>
          <t>SD</t>
        </is>
      </c>
      <c r="G12" s="96" t="inlineStr">
        <is>
          <t>THBKK</t>
        </is>
      </c>
      <c r="H12" s="96" t="inlineStr">
        <is>
          <t>THBKK</t>
        </is>
      </c>
      <c r="I12" s="96" t="inlineStr">
        <is>
          <t>VNSGN</t>
        </is>
      </c>
      <c r="J12" s="96" t="inlineStr">
        <is>
          <t>VNSGN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BKK02</t>
        </is>
      </c>
      <c r="O12" s="96" t="inlineStr">
        <is>
          <t>BKK</t>
        </is>
      </c>
      <c r="P12" s="96" t="inlineStr">
        <is>
          <t>TH</t>
        </is>
      </c>
      <c r="Q12" s="96" t="inlineStr">
        <is>
          <t>HASLS22260902181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NTX</t>
        </is>
      </c>
      <c r="U12" s="97" t="n"/>
      <c r="V12" s="96" t="inlineStr">
        <is>
          <t>K0120023</t>
        </is>
      </c>
      <c r="W12" s="96" t="inlineStr">
        <is>
          <t>BIRLA CARBON (THAILAND) PUBLIC</t>
        </is>
      </c>
      <c r="X12" s="96" t="inlineStr">
        <is>
          <t>VFD</t>
        </is>
      </c>
      <c r="Y12" s="96" t="inlineStr">
        <is>
          <t>SAILUN (VIETNAM) CO.,LTD</t>
        </is>
      </c>
      <c r="Z12" s="96" t="inlineStr">
        <is>
          <t>SAILUN (VIETNAM) CO.,LTD</t>
        </is>
      </c>
      <c r="AA12" s="97" t="n">
        <v>22308</v>
      </c>
      <c r="AB12" s="96" t="inlineStr">
        <is>
          <t>BKK02</t>
        </is>
      </c>
      <c r="AC12" s="96" t="inlineStr">
        <is>
          <t>SGN03</t>
        </is>
      </c>
    </row>
    <row r="13" ht="12" customHeight="1">
      <c r="A13" s="96" t="inlineStr">
        <is>
          <t>FCIU7349078</t>
        </is>
      </c>
      <c r="B13" s="161" t="inlineStr">
        <is>
          <t>2026-10-16</t>
        </is>
      </c>
      <c r="C13" s="96" t="inlineStr">
        <is>
          <t>SWBT</t>
        </is>
      </c>
      <c r="D13" s="96" t="inlineStr">
        <is>
          <t>2616N</t>
        </is>
      </c>
      <c r="E13" s="96" t="inlineStr">
        <is>
          <t>45GP</t>
        </is>
      </c>
      <c r="F13" s="96" t="inlineStr">
        <is>
          <t>SD</t>
        </is>
      </c>
      <c r="G13" s="96" t="inlineStr">
        <is>
          <t>THBKK</t>
        </is>
      </c>
      <c r="H13" s="96" t="inlineStr">
        <is>
          <t>THBKK</t>
        </is>
      </c>
      <c r="I13" s="96" t="inlineStr">
        <is>
          <t>VNSGN</t>
        </is>
      </c>
      <c r="J13" s="96" t="inlineStr">
        <is>
          <t>VNSGN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BKK02</t>
        </is>
      </c>
      <c r="O13" s="96" t="inlineStr">
        <is>
          <t>BKK</t>
        </is>
      </c>
      <c r="P13" s="96" t="inlineStr">
        <is>
          <t>TH</t>
        </is>
      </c>
      <c r="Q13" s="96" t="inlineStr">
        <is>
          <t>HASLS22260902179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NTX</t>
        </is>
      </c>
      <c r="U13" s="97" t="n"/>
      <c r="V13" s="96" t="inlineStr">
        <is>
          <t>K0120023</t>
        </is>
      </c>
      <c r="W13" s="96" t="inlineStr">
        <is>
          <t>BIRLA CARBON (THAILAND) PUBLIC</t>
        </is>
      </c>
      <c r="X13" s="96" t="inlineStr">
        <is>
          <t>VFD</t>
        </is>
      </c>
      <c r="Y13" s="96" t="inlineStr">
        <is>
          <t>JINYU (VIETNAM) TIRE CO.,LTD</t>
        </is>
      </c>
      <c r="Z13" s="96" t="inlineStr">
        <is>
          <t>JINYU (VIETNAM) TIRE CO.,LTD</t>
        </is>
      </c>
      <c r="AA13" s="97" t="n">
        <v>22308</v>
      </c>
      <c r="AB13" s="96" t="inlineStr">
        <is>
          <t>BKK02</t>
        </is>
      </c>
      <c r="AC13" s="96" t="inlineStr">
        <is>
          <t>SGN03</t>
        </is>
      </c>
    </row>
    <row r="14" ht="12" customHeight="1">
      <c r="A14" s="96" t="inlineStr">
        <is>
          <t>GCXU6004304</t>
        </is>
      </c>
      <c r="B14" s="161" t="inlineStr">
        <is>
          <t>2026-10-16</t>
        </is>
      </c>
      <c r="C14" s="96" t="inlineStr">
        <is>
          <t>SWBT</t>
        </is>
      </c>
      <c r="D14" s="96" t="inlineStr">
        <is>
          <t>2616N</t>
        </is>
      </c>
      <c r="E14" s="96" t="inlineStr">
        <is>
          <t>45GP</t>
        </is>
      </c>
      <c r="F14" s="96" t="inlineStr">
        <is>
          <t>SD</t>
        </is>
      </c>
      <c r="G14" s="96" t="inlineStr">
        <is>
          <t>THBKK</t>
        </is>
      </c>
      <c r="H14" s="96" t="inlineStr">
        <is>
          <t>THBKK</t>
        </is>
      </c>
      <c r="I14" s="96" t="inlineStr">
        <is>
          <t>VNSGN</t>
        </is>
      </c>
      <c r="J14" s="96" t="inlineStr">
        <is>
          <t>VNSGN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BKK02</t>
        </is>
      </c>
      <c r="O14" s="96" t="inlineStr">
        <is>
          <t>BKK</t>
        </is>
      </c>
      <c r="P14" s="96" t="inlineStr">
        <is>
          <t>TH</t>
        </is>
      </c>
      <c r="Q14" s="96" t="inlineStr">
        <is>
          <t>HASLS22260902179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NTX</t>
        </is>
      </c>
      <c r="U14" s="97" t="n"/>
      <c r="V14" s="96" t="inlineStr">
        <is>
          <t>K0120023</t>
        </is>
      </c>
      <c r="W14" s="96" t="inlineStr">
        <is>
          <t>BIRLA CARBON (THAILAND) PUBLIC</t>
        </is>
      </c>
      <c r="X14" s="96" t="inlineStr">
        <is>
          <t>VFD</t>
        </is>
      </c>
      <c r="Y14" s="96" t="inlineStr">
        <is>
          <t>JINYU (VIETNAM) TIRE CO.,LTD</t>
        </is>
      </c>
      <c r="Z14" s="96" t="inlineStr">
        <is>
          <t>JINYU (VIETNAM) TIRE CO.,LTD</t>
        </is>
      </c>
      <c r="AA14" s="97" t="n">
        <v>22308</v>
      </c>
      <c r="AB14" s="96" t="inlineStr">
        <is>
          <t>BKK02</t>
        </is>
      </c>
      <c r="AC14" s="96" t="inlineStr">
        <is>
          <t>SGN03</t>
        </is>
      </c>
    </row>
    <row r="15" ht="12" customHeight="1">
      <c r="A15" s="96" t="inlineStr">
        <is>
          <t>SKHU6200592</t>
        </is>
      </c>
      <c r="B15" s="161" t="inlineStr">
        <is>
          <t>2026-10-16</t>
        </is>
      </c>
      <c r="C15" s="96" t="inlineStr">
        <is>
          <t>SWBT</t>
        </is>
      </c>
      <c r="D15" s="96" t="inlineStr">
        <is>
          <t>2616N</t>
        </is>
      </c>
      <c r="E15" s="96" t="inlineStr">
        <is>
          <t>45GP</t>
        </is>
      </c>
      <c r="F15" s="96" t="inlineStr">
        <is>
          <t>SD</t>
        </is>
      </c>
      <c r="G15" s="96" t="inlineStr">
        <is>
          <t>THBKK</t>
        </is>
      </c>
      <c r="H15" s="96" t="inlineStr">
        <is>
          <t>THBKK</t>
        </is>
      </c>
      <c r="I15" s="96" t="inlineStr">
        <is>
          <t>VNSGN</t>
        </is>
      </c>
      <c r="J15" s="96" t="inlineStr">
        <is>
          <t>VNSGN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BKK02</t>
        </is>
      </c>
      <c r="O15" s="96" t="inlineStr">
        <is>
          <t>BKK</t>
        </is>
      </c>
      <c r="P15" s="96" t="inlineStr">
        <is>
          <t>TH</t>
        </is>
      </c>
      <c r="Q15" s="96" t="inlineStr">
        <is>
          <t>HASLS22260902179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NTX</t>
        </is>
      </c>
      <c r="U15" s="97" t="n"/>
      <c r="V15" s="96" t="inlineStr">
        <is>
          <t>K0120023</t>
        </is>
      </c>
      <c r="W15" s="96" t="inlineStr">
        <is>
          <t>BIRLA CARBON (THAILAND) PUBLIC</t>
        </is>
      </c>
      <c r="X15" s="96" t="inlineStr">
        <is>
          <t>VFD</t>
        </is>
      </c>
      <c r="Y15" s="96" t="inlineStr">
        <is>
          <t>JINYU (VIETNAM) TIRE CO.,LTD</t>
        </is>
      </c>
      <c r="Z15" s="96" t="inlineStr">
        <is>
          <t>JINYU (VIETNAM) TIRE CO.,LTD</t>
        </is>
      </c>
      <c r="AA15" s="97" t="n">
        <v>22308</v>
      </c>
      <c r="AB15" s="96" t="inlineStr">
        <is>
          <t>BKK02</t>
        </is>
      </c>
      <c r="AC15" s="96" t="inlineStr">
        <is>
          <t>SGN03</t>
        </is>
      </c>
    </row>
    <row r="16" ht="12" customHeight="1">
      <c r="A16" s="96" t="inlineStr">
        <is>
          <t>SKHU6310732</t>
        </is>
      </c>
      <c r="B16" s="161" t="inlineStr">
        <is>
          <t>2026-10-16</t>
        </is>
      </c>
      <c r="C16" s="96" t="inlineStr">
        <is>
          <t>SWBT</t>
        </is>
      </c>
      <c r="D16" s="96" t="inlineStr">
        <is>
          <t>2616N</t>
        </is>
      </c>
      <c r="E16" s="96" t="inlineStr">
        <is>
          <t>45GP</t>
        </is>
      </c>
      <c r="F16" s="96" t="inlineStr">
        <is>
          <t>SD</t>
        </is>
      </c>
      <c r="G16" s="96" t="inlineStr">
        <is>
          <t>THBKK</t>
        </is>
      </c>
      <c r="H16" s="96" t="inlineStr">
        <is>
          <t>THBKK</t>
        </is>
      </c>
      <c r="I16" s="96" t="inlineStr">
        <is>
          <t>VNSGN</t>
        </is>
      </c>
      <c r="J16" s="96" t="inlineStr">
        <is>
          <t>VNSGN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BKK02</t>
        </is>
      </c>
      <c r="O16" s="96" t="inlineStr">
        <is>
          <t>BKK</t>
        </is>
      </c>
      <c r="P16" s="96" t="inlineStr">
        <is>
          <t>TH</t>
        </is>
      </c>
      <c r="Q16" s="96" t="inlineStr">
        <is>
          <t>HASLS22260902179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NTX</t>
        </is>
      </c>
      <c r="U16" s="97" t="n"/>
      <c r="V16" s="96" t="inlineStr">
        <is>
          <t>K0120023</t>
        </is>
      </c>
      <c r="W16" s="96" t="inlineStr">
        <is>
          <t>BIRLA CARBON (THAILAND) PUBLIC</t>
        </is>
      </c>
      <c r="X16" s="96" t="inlineStr">
        <is>
          <t>VFD</t>
        </is>
      </c>
      <c r="Y16" s="96" t="inlineStr">
        <is>
          <t>JINYU (VIETNAM) TIRE CO.,LTD</t>
        </is>
      </c>
      <c r="Z16" s="96" t="inlineStr">
        <is>
          <t>JINYU (VIETNAM) TIRE CO.,LTD</t>
        </is>
      </c>
      <c r="AA16" s="97" t="n">
        <v>22308</v>
      </c>
      <c r="AB16" s="96" t="inlineStr">
        <is>
          <t>BKK02</t>
        </is>
      </c>
      <c r="AC16" s="96" t="inlineStr">
        <is>
          <t>SGN03</t>
        </is>
      </c>
    </row>
    <row r="17" ht="12" customHeight="1">
      <c r="A17" s="96" t="inlineStr">
        <is>
          <t>SKHU6362741</t>
        </is>
      </c>
      <c r="B17" s="161" t="inlineStr">
        <is>
          <t>2026-10-16</t>
        </is>
      </c>
      <c r="C17" s="96" t="inlineStr">
        <is>
          <t>SWBT</t>
        </is>
      </c>
      <c r="D17" s="96" t="inlineStr">
        <is>
          <t>2616N</t>
        </is>
      </c>
      <c r="E17" s="96" t="inlineStr">
        <is>
          <t>45GP</t>
        </is>
      </c>
      <c r="F17" s="96" t="inlineStr">
        <is>
          <t>SD</t>
        </is>
      </c>
      <c r="G17" s="96" t="inlineStr">
        <is>
          <t>THBKK</t>
        </is>
      </c>
      <c r="H17" s="96" t="inlineStr">
        <is>
          <t>THBKK</t>
        </is>
      </c>
      <c r="I17" s="96" t="inlineStr">
        <is>
          <t>VNSGN</t>
        </is>
      </c>
      <c r="J17" s="96" t="inlineStr">
        <is>
          <t>VNSGN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BKK02</t>
        </is>
      </c>
      <c r="O17" s="96" t="inlineStr">
        <is>
          <t>BKK</t>
        </is>
      </c>
      <c r="P17" s="96" t="inlineStr">
        <is>
          <t>TH</t>
        </is>
      </c>
      <c r="Q17" s="96" t="inlineStr">
        <is>
          <t>HASLS22260902179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NTX</t>
        </is>
      </c>
      <c r="U17" s="97" t="n"/>
      <c r="V17" s="96" t="inlineStr">
        <is>
          <t>K0120023</t>
        </is>
      </c>
      <c r="W17" s="96" t="inlineStr">
        <is>
          <t>BIRLA CARBON (THAILAND) PUBLIC</t>
        </is>
      </c>
      <c r="X17" s="96" t="inlineStr">
        <is>
          <t>VFD</t>
        </is>
      </c>
      <c r="Y17" s="96" t="inlineStr">
        <is>
          <t>JINYU (VIETNAM) TIRE CO.,LTD</t>
        </is>
      </c>
      <c r="Z17" s="96" t="inlineStr">
        <is>
          <t>JINYU (VIETNAM) TIRE CO.,LTD</t>
        </is>
      </c>
      <c r="AA17" s="97" t="n">
        <v>22308</v>
      </c>
      <c r="AB17" s="96" t="inlineStr">
        <is>
          <t>BKK02</t>
        </is>
      </c>
      <c r="AC17" s="96" t="inlineStr">
        <is>
          <t>SGN03</t>
        </is>
      </c>
    </row>
    <row r="18" ht="12" customHeight="1">
      <c r="A18" s="96" t="inlineStr">
        <is>
          <t>SKHU9912965</t>
        </is>
      </c>
      <c r="B18" s="161" t="inlineStr">
        <is>
          <t>2026-10-16</t>
        </is>
      </c>
      <c r="C18" s="96" t="inlineStr">
        <is>
          <t>SWBT</t>
        </is>
      </c>
      <c r="D18" s="96" t="inlineStr">
        <is>
          <t>2616N</t>
        </is>
      </c>
      <c r="E18" s="96" t="inlineStr">
        <is>
          <t>45GP</t>
        </is>
      </c>
      <c r="F18" s="96" t="inlineStr">
        <is>
          <t>SD</t>
        </is>
      </c>
      <c r="G18" s="96" t="inlineStr">
        <is>
          <t>THBKK</t>
        </is>
      </c>
      <c r="H18" s="96" t="inlineStr">
        <is>
          <t>THBKK</t>
        </is>
      </c>
      <c r="I18" s="96" t="inlineStr">
        <is>
          <t>VNSGN</t>
        </is>
      </c>
      <c r="J18" s="96" t="inlineStr">
        <is>
          <t>VNSGN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BKK02</t>
        </is>
      </c>
      <c r="O18" s="96" t="inlineStr">
        <is>
          <t>BKK</t>
        </is>
      </c>
      <c r="P18" s="96" t="inlineStr">
        <is>
          <t>TH</t>
        </is>
      </c>
      <c r="Q18" s="96" t="inlineStr">
        <is>
          <t>HASLS22260902179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NTX</t>
        </is>
      </c>
      <c r="U18" s="97" t="n"/>
      <c r="V18" s="96" t="inlineStr">
        <is>
          <t>K0120023</t>
        </is>
      </c>
      <c r="W18" s="96" t="inlineStr">
        <is>
          <t>BIRLA CARBON (THAILAND) PUBLIC</t>
        </is>
      </c>
      <c r="X18" s="96" t="inlineStr">
        <is>
          <t>VFD</t>
        </is>
      </c>
      <c r="Y18" s="96" t="inlineStr">
        <is>
          <t>JINYU (VIETNAM) TIRE CO.,LTD</t>
        </is>
      </c>
      <c r="Z18" s="96" t="inlineStr">
        <is>
          <t>JINYU (VIETNAM) TIRE CO.,LTD</t>
        </is>
      </c>
      <c r="AA18" s="97" t="n">
        <v>22308</v>
      </c>
      <c r="AB18" s="96" t="inlineStr">
        <is>
          <t>BKK02</t>
        </is>
      </c>
      <c r="AC18" s="96" t="inlineStr">
        <is>
          <t>SGN03</t>
        </is>
      </c>
    </row>
    <row r="19" ht="12" customHeight="1">
      <c r="A19" s="96" t="inlineStr">
        <is>
          <t>SKHU6553898</t>
        </is>
      </c>
      <c r="B19" s="161" t="inlineStr">
        <is>
          <t>2026-10-16</t>
        </is>
      </c>
      <c r="C19" s="96" t="inlineStr">
        <is>
          <t>SWBT</t>
        </is>
      </c>
      <c r="D19" s="96" t="inlineStr">
        <is>
          <t>2616N</t>
        </is>
      </c>
      <c r="E19" s="96" t="inlineStr">
        <is>
          <t>45GP</t>
        </is>
      </c>
      <c r="F19" s="96" t="inlineStr">
        <is>
          <t>SD</t>
        </is>
      </c>
      <c r="G19" s="96" t="inlineStr">
        <is>
          <t>THBKK</t>
        </is>
      </c>
      <c r="H19" s="96" t="inlineStr">
        <is>
          <t>THBKK</t>
        </is>
      </c>
      <c r="I19" s="96" t="inlineStr">
        <is>
          <t>VNSGN</t>
        </is>
      </c>
      <c r="J19" s="96" t="inlineStr">
        <is>
          <t>VNSGN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BKK02</t>
        </is>
      </c>
      <c r="O19" s="96" t="inlineStr">
        <is>
          <t>BKK</t>
        </is>
      </c>
      <c r="P19" s="96" t="inlineStr">
        <is>
          <t>TH</t>
        </is>
      </c>
      <c r="Q19" s="96" t="inlineStr">
        <is>
          <t>HASLS22260902247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NTX</t>
        </is>
      </c>
      <c r="U19" s="97" t="n"/>
      <c r="V19" s="96" t="inlineStr">
        <is>
          <t>K0120023</t>
        </is>
      </c>
      <c r="W19" s="96" t="inlineStr">
        <is>
          <t>CAPRICORN LOGISTICS CO.,LTD.</t>
        </is>
      </c>
      <c r="X19" s="96" t="inlineStr">
        <is>
          <t>VFD</t>
        </is>
      </c>
      <c r="Y19" s="96" t="inlineStr">
        <is>
          <t>BLUE OCEAN INTERNATIONAL</t>
        </is>
      </c>
      <c r="Z19" s="96" t="inlineStr">
        <is>
          <t>BLUE OCEAN INTERNATIONAL</t>
        </is>
      </c>
      <c r="AA19" s="97" t="n">
        <v>13622.5</v>
      </c>
      <c r="AB19" s="96" t="inlineStr">
        <is>
          <t>BKK02</t>
        </is>
      </c>
      <c r="AC19" s="96" t="inlineStr">
        <is>
          <t>SGN03</t>
        </is>
      </c>
    </row>
    <row r="20" ht="12" customHeight="1">
      <c r="A20" s="96" t="inlineStr">
        <is>
          <t>SKHU9207395</t>
        </is>
      </c>
      <c r="B20" s="161" t="inlineStr">
        <is>
          <t>2026-10-16</t>
        </is>
      </c>
      <c r="C20" s="96" t="inlineStr">
        <is>
          <t>SWBT</t>
        </is>
      </c>
      <c r="D20" s="96" t="inlineStr">
        <is>
          <t>2616N</t>
        </is>
      </c>
      <c r="E20" s="96" t="inlineStr">
        <is>
          <t>45GP</t>
        </is>
      </c>
      <c r="F20" s="96" t="inlineStr">
        <is>
          <t>SD</t>
        </is>
      </c>
      <c r="G20" s="96" t="n"/>
      <c r="H20" s="96" t="inlineStr">
        <is>
          <t>THBKK</t>
        </is>
      </c>
      <c r="I20" s="96" t="inlineStr">
        <is>
          <t>VNSGN</t>
        </is>
      </c>
      <c r="J20" s="96" t="inlineStr">
        <is>
          <t>VNSGN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BKK02</t>
        </is>
      </c>
      <c r="O20" s="96" t="inlineStr">
        <is>
          <t>BKK</t>
        </is>
      </c>
      <c r="P20" s="96" t="inlineStr">
        <is>
          <t>TH</t>
        </is>
      </c>
      <c r="Q20" s="96" t="inlineStr">
        <is>
          <t>HASLS22261000099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NTX</t>
        </is>
      </c>
      <c r="U20" s="97" t="n"/>
      <c r="V20" s="96" t="inlineStr">
        <is>
          <t>K0120023</t>
        </is>
      </c>
      <c r="W20" s="96" t="inlineStr">
        <is>
          <t>ASIAN-PACIFIC CAN CO.,LTD.</t>
        </is>
      </c>
      <c r="X20" s="96" t="inlineStr">
        <is>
          <t>VFD</t>
        </is>
      </c>
      <c r="Y20" s="96" t="inlineStr">
        <is>
          <t>MAI LINH COMPANY LIMITED (MAI LINH</t>
        </is>
      </c>
      <c r="Z20" s="96" t="inlineStr">
        <is>
          <t>MAI LINH COMPANY LIMITED (MAI LINH</t>
        </is>
      </c>
      <c r="AA20" s="97" t="n">
        <v>6168</v>
      </c>
      <c r="AB20" s="96" t="inlineStr">
        <is>
          <t>BKK02</t>
        </is>
      </c>
      <c r="AC20" s="96" t="inlineStr">
        <is>
          <t>SGN03</t>
        </is>
      </c>
    </row>
    <row r="21" ht="12" customHeight="1">
      <c r="A21" s="96" t="inlineStr">
        <is>
          <t>SKHU9530957</t>
        </is>
      </c>
      <c r="B21" s="161" t="inlineStr">
        <is>
          <t>2026-10-16</t>
        </is>
      </c>
      <c r="C21" s="96" t="inlineStr">
        <is>
          <t>SWBT</t>
        </is>
      </c>
      <c r="D21" s="96" t="inlineStr">
        <is>
          <t>2616N</t>
        </is>
      </c>
      <c r="E21" s="96" t="inlineStr">
        <is>
          <t>45GP</t>
        </is>
      </c>
      <c r="F21" s="96" t="inlineStr">
        <is>
          <t>SD</t>
        </is>
      </c>
      <c r="G21" s="96" t="inlineStr">
        <is>
          <t>THBKK</t>
        </is>
      </c>
      <c r="H21" s="96" t="inlineStr">
        <is>
          <t>THBKK</t>
        </is>
      </c>
      <c r="I21" s="96" t="inlineStr">
        <is>
          <t>VNSGN</t>
        </is>
      </c>
      <c r="J21" s="96" t="inlineStr">
        <is>
          <t>VNSGN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BKK02</t>
        </is>
      </c>
      <c r="O21" s="96" t="inlineStr">
        <is>
          <t>BKK</t>
        </is>
      </c>
      <c r="P21" s="96" t="inlineStr">
        <is>
          <t>TH</t>
        </is>
      </c>
      <c r="Q21" s="96" t="inlineStr">
        <is>
          <t>HASLS22260902754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NTX</t>
        </is>
      </c>
      <c r="U21" s="97" t="n"/>
      <c r="V21" s="96" t="inlineStr">
        <is>
          <t>K0120023</t>
        </is>
      </c>
      <c r="W21" s="96" t="inlineStr">
        <is>
          <t>FREIGHT LINKS EXPRESS (THAILAND)</t>
        </is>
      </c>
      <c r="X21" s="96" t="inlineStr">
        <is>
          <t>VFD</t>
        </is>
      </c>
      <c r="Y21" s="96" t="inlineStr">
        <is>
          <t>QUANTERM LOGISTICS VIETNAM CO.,LTD</t>
        </is>
      </c>
      <c r="Z21" s="96" t="inlineStr">
        <is>
          <t>QUANTERM LOGISTICS VIETNAM CO.,LTD</t>
        </is>
      </c>
      <c r="AA21" s="97" t="n">
        <v>4990</v>
      </c>
      <c r="AB21" s="96" t="inlineStr">
        <is>
          <t>BKK02</t>
        </is>
      </c>
      <c r="AC21" s="96" t="inlineStr">
        <is>
          <t>SGN03</t>
        </is>
      </c>
    </row>
    <row r="22" ht="12" customHeight="1">
      <c r="A22" s="96" t="inlineStr">
        <is>
          <t>SKRU9903433</t>
        </is>
      </c>
      <c r="B22" s="161" t="inlineStr">
        <is>
          <t>2026-10-16</t>
        </is>
      </c>
      <c r="C22" s="96" t="inlineStr">
        <is>
          <t>SWBT</t>
        </is>
      </c>
      <c r="D22" s="96" t="inlineStr">
        <is>
          <t>2616N</t>
        </is>
      </c>
      <c r="E22" s="96" t="inlineStr">
        <is>
          <t>45RE</t>
        </is>
      </c>
      <c r="F22" s="96" t="inlineStr">
        <is>
          <t>SD</t>
        </is>
      </c>
      <c r="G22" s="96" t="inlineStr">
        <is>
          <t>THBKK</t>
        </is>
      </c>
      <c r="H22" s="96" t="inlineStr">
        <is>
          <t>THBKK</t>
        </is>
      </c>
      <c r="I22" s="96" t="inlineStr">
        <is>
          <t>KRPTK</t>
        </is>
      </c>
      <c r="J22" s="96" t="inlineStr">
        <is>
          <t>KRPTK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BKK02</t>
        </is>
      </c>
      <c r="O22" s="96" t="inlineStr">
        <is>
          <t>BKK</t>
        </is>
      </c>
      <c r="P22" s="96" t="inlineStr">
        <is>
          <t>TH</t>
        </is>
      </c>
      <c r="Q22" s="96" t="inlineStr">
        <is>
          <t>HASLS22260902556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NTX</t>
        </is>
      </c>
      <c r="U22" s="97" t="n"/>
      <c r="V22" s="96" t="inlineStr">
        <is>
          <t>K0120025</t>
        </is>
      </c>
      <c r="W22" s="96" t="inlineStr">
        <is>
          <t>SAHA FARMS INTERNATIONAL CO.,LTD.</t>
        </is>
      </c>
      <c r="X22" s="96" t="inlineStr">
        <is>
          <t>VFD</t>
        </is>
      </c>
      <c r="Y22" s="96" t="inlineStr">
        <is>
          <t>SASE CO.,LTD.</t>
        </is>
      </c>
      <c r="Z22" s="96" t="inlineStr">
        <is>
          <t>SASE CO.,LTD.</t>
        </is>
      </c>
      <c r="AA22" s="97" t="n">
        <v>20737.5</v>
      </c>
      <c r="AB22" s="96" t="inlineStr">
        <is>
          <t>BKK02</t>
        </is>
      </c>
      <c r="AC22" s="96" t="inlineStr">
        <is>
          <t>PTK02</t>
        </is>
      </c>
    </row>
    <row r="23" ht="12" customHeight="1">
      <c r="A23" s="96" t="inlineStr">
        <is>
          <t>SKRU9900440</t>
        </is>
      </c>
      <c r="B23" s="161" t="inlineStr">
        <is>
          <t>2026-10-16</t>
        </is>
      </c>
      <c r="C23" s="96" t="inlineStr">
        <is>
          <t>SWBT</t>
        </is>
      </c>
      <c r="D23" s="96" t="inlineStr">
        <is>
          <t>2616N</t>
        </is>
      </c>
      <c r="E23" s="96" t="inlineStr">
        <is>
          <t>45RE</t>
        </is>
      </c>
      <c r="F23" s="96" t="inlineStr">
        <is>
          <t>SD</t>
        </is>
      </c>
      <c r="G23" s="96" t="inlineStr">
        <is>
          <t>THBKK</t>
        </is>
      </c>
      <c r="H23" s="96" t="inlineStr">
        <is>
          <t>THBKK</t>
        </is>
      </c>
      <c r="I23" s="96" t="inlineStr">
        <is>
          <t>KRPTK</t>
        </is>
      </c>
      <c r="J23" s="96" t="inlineStr">
        <is>
          <t>KRPTK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BKK02</t>
        </is>
      </c>
      <c r="O23" s="96" t="inlineStr">
        <is>
          <t>BKK</t>
        </is>
      </c>
      <c r="P23" s="96" t="inlineStr">
        <is>
          <t>TH</t>
        </is>
      </c>
      <c r="Q23" s="96" t="inlineStr">
        <is>
          <t>HASLS22260902554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NTX</t>
        </is>
      </c>
      <c r="U23" s="97" t="n"/>
      <c r="V23" s="96" t="inlineStr">
        <is>
          <t>K0120025</t>
        </is>
      </c>
      <c r="W23" s="96" t="inlineStr">
        <is>
          <t>SAHA FARMS INTERNATIONAL CO.,LTD.</t>
        </is>
      </c>
      <c r="X23" s="96" t="inlineStr">
        <is>
          <t>VFD</t>
        </is>
      </c>
      <c r="Y23" s="96" t="inlineStr">
        <is>
          <t>SASE CO.,LTD.</t>
        </is>
      </c>
      <c r="Z23" s="96" t="inlineStr">
        <is>
          <t>SASE CO.,LTD.</t>
        </is>
      </c>
      <c r="AA23" s="97" t="n">
        <v>16135.96</v>
      </c>
      <c r="AB23" s="96" t="inlineStr">
        <is>
          <t>BKK02</t>
        </is>
      </c>
      <c r="AC23" s="96" t="inlineStr">
        <is>
          <t>PTK02</t>
        </is>
      </c>
    </row>
    <row r="24" ht="12" customHeight="1">
      <c r="A24" s="96" t="inlineStr">
        <is>
          <t>SKLU1500701</t>
        </is>
      </c>
      <c r="B24" s="161" t="inlineStr">
        <is>
          <t>2026-10-16</t>
        </is>
      </c>
      <c r="C24" s="96" t="inlineStr">
        <is>
          <t>SWBT</t>
        </is>
      </c>
      <c r="D24" s="96" t="inlineStr">
        <is>
          <t>2616N</t>
        </is>
      </c>
      <c r="E24" s="96" t="inlineStr">
        <is>
          <t>22GP</t>
        </is>
      </c>
      <c r="F24" s="96" t="inlineStr">
        <is>
          <t>SD</t>
        </is>
      </c>
      <c r="G24" s="96" t="inlineStr">
        <is>
          <t>THBKK</t>
        </is>
      </c>
      <c r="H24" s="96" t="inlineStr">
        <is>
          <t>THBKK</t>
        </is>
      </c>
      <c r="I24" s="96" t="inlineStr">
        <is>
          <t>KRPUS</t>
        </is>
      </c>
      <c r="J24" s="96" t="inlineStr">
        <is>
          <t>RUVVO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BKK02</t>
        </is>
      </c>
      <c r="O24" s="96" t="inlineStr">
        <is>
          <t>BKK</t>
        </is>
      </c>
      <c r="P24" s="96" t="inlineStr">
        <is>
          <t>TH</t>
        </is>
      </c>
      <c r="Q24" s="96" t="inlineStr">
        <is>
          <t>HASLS22260900904</t>
        </is>
      </c>
      <c r="R24" s="96" t="inlineStr">
        <is>
          <t>Y</t>
        </is>
      </c>
      <c r="S24" s="96" t="inlineStr">
        <is>
          <t>N</t>
        </is>
      </c>
      <c r="T24" s="96" t="inlineStr">
        <is>
          <t>NTX</t>
        </is>
      </c>
      <c r="U24" s="97" t="n"/>
      <c r="V24" s="96" t="inlineStr">
        <is>
          <t>K0120021</t>
        </is>
      </c>
      <c r="W24" s="96" t="inlineStr">
        <is>
          <t>TAVEEPHOL PRODUCT CO., LTD.</t>
        </is>
      </c>
      <c r="X24" s="96" t="inlineStr">
        <is>
          <t>VFD</t>
        </is>
      </c>
      <c r="Y24" s="96" t="inlineStr">
        <is>
          <t>DV NEVADA CO., LTD</t>
        </is>
      </c>
      <c r="Z24" s="96" t="inlineStr">
        <is>
          <t>FAR EAST BRANCH RUSCON LTD.</t>
        </is>
      </c>
      <c r="AA24" s="97" t="n">
        <v>15470</v>
      </c>
      <c r="AB24" s="96" t="inlineStr">
        <is>
          <t>BKK02</t>
        </is>
      </c>
      <c r="AC24" s="96" t="inlineStr">
        <is>
          <t>VVO01</t>
        </is>
      </c>
    </row>
    <row r="25" ht="12" customHeight="1">
      <c r="A25" s="96" t="inlineStr">
        <is>
          <t>SKLU1445498</t>
        </is>
      </c>
      <c r="B25" s="161" t="inlineStr">
        <is>
          <t>2026-10-16</t>
        </is>
      </c>
      <c r="C25" s="96" t="inlineStr">
        <is>
          <t>SWBT</t>
        </is>
      </c>
      <c r="D25" s="96" t="inlineStr">
        <is>
          <t>2616N</t>
        </is>
      </c>
      <c r="E25" s="96" t="inlineStr">
        <is>
          <t>22GP</t>
        </is>
      </c>
      <c r="F25" s="96" t="inlineStr">
        <is>
          <t>SD</t>
        </is>
      </c>
      <c r="G25" s="96" t="inlineStr">
        <is>
          <t>THBKK</t>
        </is>
      </c>
      <c r="H25" s="96" t="inlineStr">
        <is>
          <t>THBKK</t>
        </is>
      </c>
      <c r="I25" s="96" t="inlineStr">
        <is>
          <t>VNSGN</t>
        </is>
      </c>
      <c r="J25" s="96" t="inlineStr">
        <is>
          <t>VNSGN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BKK02</t>
        </is>
      </c>
      <c r="O25" s="96" t="inlineStr">
        <is>
          <t>BKK</t>
        </is>
      </c>
      <c r="P25" s="96" t="inlineStr">
        <is>
          <t>TH</t>
        </is>
      </c>
      <c r="Q25" s="96" t="inlineStr">
        <is>
          <t>HASLS22261000033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NTX</t>
        </is>
      </c>
      <c r="U25" s="97" t="n"/>
      <c r="V25" s="96" t="inlineStr">
        <is>
          <t>K0120021</t>
        </is>
      </c>
      <c r="W25" s="96" t="inlineStr">
        <is>
          <t>BUDGET LOGISTICS SERVICES CO.,LTD.</t>
        </is>
      </c>
      <c r="X25" s="96" t="inlineStr">
        <is>
          <t>VFD</t>
        </is>
      </c>
      <c r="Y25" s="96" t="inlineStr">
        <is>
          <t>VESTAL SHIPPING SERVICES CO., LTD</t>
        </is>
      </c>
      <c r="Z25" s="96" t="inlineStr">
        <is>
          <t>VESTAL SHIPPING SERVICES CO., LTD</t>
        </is>
      </c>
      <c r="AA25" s="97" t="n">
        <v>6769.4</v>
      </c>
      <c r="AB25" s="96" t="inlineStr">
        <is>
          <t>BKK02</t>
        </is>
      </c>
      <c r="AC25" s="96" t="inlineStr">
        <is>
          <t>SGN03</t>
        </is>
      </c>
    </row>
    <row r="26" ht="12" customHeight="1">
      <c r="A26" s="96" t="inlineStr">
        <is>
          <t>SKLU2434395</t>
        </is>
      </c>
      <c r="B26" s="161" t="inlineStr">
        <is>
          <t>2026-10-16</t>
        </is>
      </c>
      <c r="C26" s="96" t="inlineStr">
        <is>
          <t>SWBT</t>
        </is>
      </c>
      <c r="D26" s="96" t="inlineStr">
        <is>
          <t>2616N</t>
        </is>
      </c>
      <c r="E26" s="96" t="inlineStr">
        <is>
          <t>22GP</t>
        </is>
      </c>
      <c r="F26" s="96" t="inlineStr">
        <is>
          <t>SD</t>
        </is>
      </c>
      <c r="G26" s="96" t="inlineStr">
        <is>
          <t>THBKK</t>
        </is>
      </c>
      <c r="H26" s="96" t="inlineStr">
        <is>
          <t>THBKK</t>
        </is>
      </c>
      <c r="I26" s="96" t="inlineStr">
        <is>
          <t>VNSGN</t>
        </is>
      </c>
      <c r="J26" s="96" t="inlineStr">
        <is>
          <t>VNSGN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BKK02</t>
        </is>
      </c>
      <c r="O26" s="96" t="inlineStr">
        <is>
          <t>BKK</t>
        </is>
      </c>
      <c r="P26" s="96" t="inlineStr">
        <is>
          <t>TH</t>
        </is>
      </c>
      <c r="Q26" s="96" t="inlineStr">
        <is>
          <t>HASLS22260902671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NTX</t>
        </is>
      </c>
      <c r="U26" s="97" t="n"/>
      <c r="V26" s="96" t="inlineStr">
        <is>
          <t>K0120021</t>
        </is>
      </c>
      <c r="W26" s="96" t="inlineStr">
        <is>
          <t>TRUE LOGISTICS CO.,LTD.</t>
        </is>
      </c>
      <c r="X26" s="96" t="inlineStr">
        <is>
          <t>VFD</t>
        </is>
      </c>
      <c r="Y26" s="96" t="inlineStr">
        <is>
          <t>MH LOGS CO.,LTD</t>
        </is>
      </c>
      <c r="Z26" s="96" t="inlineStr">
        <is>
          <t>MH LOGS CO.,LTD</t>
        </is>
      </c>
      <c r="AA26" s="97" t="n">
        <v>4382.98</v>
      </c>
      <c r="AB26" s="96" t="inlineStr">
        <is>
          <t>BKK02</t>
        </is>
      </c>
      <c r="AC26" s="96" t="inlineStr">
        <is>
          <t>SGN03</t>
        </is>
      </c>
    </row>
    <row r="27" ht="12" customHeight="1">
      <c r="A27" s="96" t="inlineStr">
        <is>
          <t>SEGU9799284</t>
        </is>
      </c>
      <c r="B27" s="161" t="inlineStr">
        <is>
          <t>2026-10-16</t>
        </is>
      </c>
      <c r="C27" s="96" t="inlineStr">
        <is>
          <t>SWBT</t>
        </is>
      </c>
      <c r="D27" s="96" t="inlineStr">
        <is>
          <t>2616N</t>
        </is>
      </c>
      <c r="E27" s="96" t="inlineStr">
        <is>
          <t>45RE</t>
        </is>
      </c>
      <c r="F27" s="96" t="inlineStr">
        <is>
          <t>SD</t>
        </is>
      </c>
      <c r="G27" s="96" t="inlineStr">
        <is>
          <t>THBKK</t>
        </is>
      </c>
      <c r="H27" s="96" t="inlineStr">
        <is>
          <t>THBKK</t>
        </is>
      </c>
      <c r="I27" s="96" t="inlineStr">
        <is>
          <t>KRPTK</t>
        </is>
      </c>
      <c r="J27" s="96" t="inlineStr">
        <is>
          <t>KRPTK</t>
        </is>
      </c>
      <c r="K27" s="96" t="inlineStr">
        <is>
          <t>F</t>
        </is>
      </c>
      <c r="L27" s="96" t="inlineStr">
        <is>
          <t>L/T</t>
        </is>
      </c>
      <c r="M27" s="96" t="inlineStr">
        <is>
          <t>VFL</t>
        </is>
      </c>
      <c r="N27" s="96" t="inlineStr">
        <is>
          <t>BKK02</t>
        </is>
      </c>
      <c r="O27" s="96" t="inlineStr">
        <is>
          <t>BKK</t>
        </is>
      </c>
      <c r="P27" s="96" t="inlineStr">
        <is>
          <t>TH</t>
        </is>
      </c>
      <c r="Q27" s="96" t="inlineStr">
        <is>
          <t>HASLS22260902553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NTX</t>
        </is>
      </c>
      <c r="U27" s="97" t="n"/>
      <c r="V27" s="96" t="inlineStr">
        <is>
          <t>C0320008</t>
        </is>
      </c>
      <c r="W27" s="96" t="inlineStr">
        <is>
          <t>SAHA FARMS INTERNATIONAL CO.,LTD.</t>
        </is>
      </c>
      <c r="X27" s="96" t="inlineStr">
        <is>
          <t>VFD</t>
        </is>
      </c>
      <c r="Y27" s="96" t="inlineStr">
        <is>
          <t>SASE CO.,LTD.</t>
        </is>
      </c>
      <c r="Z27" s="96" t="inlineStr">
        <is>
          <t>SASE CO.,LTD.</t>
        </is>
      </c>
      <c r="AA27" s="97" t="n">
        <v>19590.5</v>
      </c>
      <c r="AB27" s="96" t="inlineStr">
        <is>
          <t>BKK02</t>
        </is>
      </c>
      <c r="AC27" s="96" t="inlineStr">
        <is>
          <t>PTK02</t>
        </is>
      </c>
    </row>
    <row r="28" ht="12" customHeight="1">
      <c r="A28" s="96" t="inlineStr">
        <is>
          <t>HLHU8114114</t>
        </is>
      </c>
      <c r="B28" s="161" t="inlineStr">
        <is>
          <t>2026-10-16</t>
        </is>
      </c>
      <c r="C28" s="96" t="inlineStr">
        <is>
          <t>SWBT</t>
        </is>
      </c>
      <c r="D28" s="96" t="inlineStr">
        <is>
          <t>2616N</t>
        </is>
      </c>
      <c r="E28" s="96" t="inlineStr">
        <is>
          <t>45GP</t>
        </is>
      </c>
      <c r="F28" s="96" t="inlineStr">
        <is>
          <t>SD</t>
        </is>
      </c>
      <c r="G28" s="96" t="inlineStr">
        <is>
          <t>THBKK</t>
        </is>
      </c>
      <c r="H28" s="96" t="inlineStr">
        <is>
          <t>THBKK</t>
        </is>
      </c>
      <c r="I28" s="96" t="inlineStr">
        <is>
          <t>VNSGN</t>
        </is>
      </c>
      <c r="J28" s="96" t="inlineStr">
        <is>
          <t>VNSGN</t>
        </is>
      </c>
      <c r="K28" s="96" t="inlineStr">
        <is>
          <t>F</t>
        </is>
      </c>
      <c r="L28" s="96" t="inlineStr">
        <is>
          <t>OWN</t>
        </is>
      </c>
      <c r="M28" s="96" t="inlineStr">
        <is>
          <t>VFL</t>
        </is>
      </c>
      <c r="N28" s="96" t="inlineStr">
        <is>
          <t>BKK02</t>
        </is>
      </c>
      <c r="O28" s="96" t="inlineStr">
        <is>
          <t>BKK</t>
        </is>
      </c>
      <c r="P28" s="96" t="inlineStr">
        <is>
          <t>TH</t>
        </is>
      </c>
      <c r="Q28" s="96" t="inlineStr">
        <is>
          <t>HASLS22260902181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NTX</t>
        </is>
      </c>
      <c r="U28" s="97" t="n"/>
      <c r="V28" s="96" t="inlineStr">
        <is>
          <t>C0521004</t>
        </is>
      </c>
      <c r="W28" s="96" t="inlineStr">
        <is>
          <t>BIRLA CARBON (THAILAND) PUBLIC</t>
        </is>
      </c>
      <c r="X28" s="96" t="inlineStr">
        <is>
          <t>VFD</t>
        </is>
      </c>
      <c r="Y28" s="96" t="inlineStr">
        <is>
          <t>SAILUN (VIETNAM) CO.,LTD</t>
        </is>
      </c>
      <c r="Z28" s="96" t="inlineStr">
        <is>
          <t>SAILUN (VIETNAM) CO.,LTD</t>
        </is>
      </c>
      <c r="AA28" s="97" t="n">
        <v>22308</v>
      </c>
      <c r="AB28" s="96" t="inlineStr">
        <is>
          <t>BKK02</t>
        </is>
      </c>
      <c r="AC28" s="96" t="inlineStr">
        <is>
          <t>SGN03</t>
        </is>
      </c>
    </row>
    <row r="29" ht="12" customHeight="1">
      <c r="A29" s="96" t="inlineStr">
        <is>
          <t>HLHU8116544</t>
        </is>
      </c>
      <c r="B29" s="161" t="inlineStr">
        <is>
          <t>2026-10-16</t>
        </is>
      </c>
      <c r="C29" s="96" t="inlineStr">
        <is>
          <t>SWBT</t>
        </is>
      </c>
      <c r="D29" s="96" t="inlineStr">
        <is>
          <t>2616N</t>
        </is>
      </c>
      <c r="E29" s="96" t="inlineStr">
        <is>
          <t>45GP</t>
        </is>
      </c>
      <c r="F29" s="96" t="inlineStr">
        <is>
          <t>SD</t>
        </is>
      </c>
      <c r="G29" s="96" t="inlineStr">
        <is>
          <t>THBKK</t>
        </is>
      </c>
      <c r="H29" s="96" t="inlineStr">
        <is>
          <t>THBKK</t>
        </is>
      </c>
      <c r="I29" s="96" t="inlineStr">
        <is>
          <t>VNSGN</t>
        </is>
      </c>
      <c r="J29" s="96" t="inlineStr">
        <is>
          <t>VNSGN</t>
        </is>
      </c>
      <c r="K29" s="96" t="inlineStr">
        <is>
          <t>F</t>
        </is>
      </c>
      <c r="L29" s="96" t="inlineStr">
        <is>
          <t>OWN</t>
        </is>
      </c>
      <c r="M29" s="96" t="inlineStr">
        <is>
          <t>VFL</t>
        </is>
      </c>
      <c r="N29" s="96" t="inlineStr">
        <is>
          <t>BKK02</t>
        </is>
      </c>
      <c r="O29" s="96" t="inlineStr">
        <is>
          <t>BKK</t>
        </is>
      </c>
      <c r="P29" s="96" t="inlineStr">
        <is>
          <t>TH</t>
        </is>
      </c>
      <c r="Q29" s="96" t="inlineStr">
        <is>
          <t>HASLS22260902812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NTX</t>
        </is>
      </c>
      <c r="U29" s="97" t="n"/>
      <c r="V29" s="96" t="inlineStr">
        <is>
          <t>C0521004</t>
        </is>
      </c>
      <c r="W29" s="96" t="inlineStr">
        <is>
          <t>OPENSEA CARGO SERVICE CO.,LTD.</t>
        </is>
      </c>
      <c r="X29" s="96" t="inlineStr">
        <is>
          <t>VFD</t>
        </is>
      </c>
      <c r="Y29" s="96" t="inlineStr">
        <is>
          <t>TAN TIEN PHAT IMPORT EXPORT &amp;</t>
        </is>
      </c>
      <c r="Z29" s="96" t="inlineStr">
        <is>
          <t>TAN TIEN PHAT IMPORT EXPORT &amp;</t>
        </is>
      </c>
      <c r="AA29" s="97" t="n">
        <v>10170</v>
      </c>
      <c r="AB29" s="96" t="inlineStr">
        <is>
          <t>BKK02</t>
        </is>
      </c>
      <c r="AC29" s="96" t="inlineStr">
        <is>
          <t>SGN03</t>
        </is>
      </c>
    </row>
    <row r="30" ht="12" customHeight="1">
      <c r="A30" s="96" t="inlineStr">
        <is>
          <t>HLHU8105750</t>
        </is>
      </c>
      <c r="B30" s="161" t="inlineStr">
        <is>
          <t>2026-10-16</t>
        </is>
      </c>
      <c r="C30" s="96" t="inlineStr">
        <is>
          <t>SWBT</t>
        </is>
      </c>
      <c r="D30" s="96" t="inlineStr">
        <is>
          <t>2616N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THBKK</t>
        </is>
      </c>
      <c r="H30" s="96" t="inlineStr">
        <is>
          <t>THBKK</t>
        </is>
      </c>
      <c r="I30" s="96" t="inlineStr">
        <is>
          <t>VNSGN</t>
        </is>
      </c>
      <c r="J30" s="96" t="inlineStr">
        <is>
          <t>VNSGN</t>
        </is>
      </c>
      <c r="K30" s="96" t="inlineStr">
        <is>
          <t>F</t>
        </is>
      </c>
      <c r="L30" s="96" t="inlineStr">
        <is>
          <t>OWN</t>
        </is>
      </c>
      <c r="M30" s="96" t="inlineStr">
        <is>
          <t>VFL</t>
        </is>
      </c>
      <c r="N30" s="96" t="inlineStr">
        <is>
          <t>BKK02</t>
        </is>
      </c>
      <c r="O30" s="96" t="inlineStr">
        <is>
          <t>BKK</t>
        </is>
      </c>
      <c r="P30" s="96" t="inlineStr">
        <is>
          <t>TH</t>
        </is>
      </c>
      <c r="Q30" s="96" t="inlineStr">
        <is>
          <t>HASLS22260902181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NTX</t>
        </is>
      </c>
      <c r="U30" s="97" t="n"/>
      <c r="V30" s="96" t="inlineStr">
        <is>
          <t>C0121003</t>
        </is>
      </c>
      <c r="W30" s="96" t="inlineStr">
        <is>
          <t>BIRLA CARBON (THAILAND) PUBLIC</t>
        </is>
      </c>
      <c r="X30" s="96" t="inlineStr">
        <is>
          <t>VFD</t>
        </is>
      </c>
      <c r="Y30" s="96" t="inlineStr">
        <is>
          <t>SAILUN (VIETNAM) CO.,LTD</t>
        </is>
      </c>
      <c r="Z30" s="96" t="inlineStr">
        <is>
          <t>SAILUN (VIETNAM) CO.,LTD</t>
        </is>
      </c>
      <c r="AA30" s="97" t="n">
        <v>22308</v>
      </c>
      <c r="AB30" s="96" t="inlineStr">
        <is>
          <t>BKK02</t>
        </is>
      </c>
      <c r="AC30" s="96" t="inlineStr">
        <is>
          <t>SGN03</t>
        </is>
      </c>
    </row>
    <row r="31" ht="12" customHeight="1">
      <c r="A31" s="96" t="inlineStr">
        <is>
          <t>HLHU8311474</t>
        </is>
      </c>
      <c r="B31" s="161" t="inlineStr">
        <is>
          <t>2026-10-16</t>
        </is>
      </c>
      <c r="C31" s="96" t="inlineStr">
        <is>
          <t>SWBT</t>
        </is>
      </c>
      <c r="D31" s="96" t="inlineStr">
        <is>
          <t>2616N</t>
        </is>
      </c>
      <c r="E31" s="96" t="inlineStr">
        <is>
          <t>45GP</t>
        </is>
      </c>
      <c r="F31" s="96" t="inlineStr">
        <is>
          <t>SD</t>
        </is>
      </c>
      <c r="G31" s="96" t="inlineStr">
        <is>
          <t>THBKK</t>
        </is>
      </c>
      <c r="H31" s="96" t="inlineStr">
        <is>
          <t>THBKK</t>
        </is>
      </c>
      <c r="I31" s="96" t="inlineStr">
        <is>
          <t>VNSGN</t>
        </is>
      </c>
      <c r="J31" s="96" t="inlineStr">
        <is>
          <t>VNSGN</t>
        </is>
      </c>
      <c r="K31" s="96" t="inlineStr">
        <is>
          <t>F</t>
        </is>
      </c>
      <c r="L31" s="96" t="inlineStr">
        <is>
          <t>OWN</t>
        </is>
      </c>
      <c r="M31" s="96" t="inlineStr">
        <is>
          <t>VFL</t>
        </is>
      </c>
      <c r="N31" s="96" t="inlineStr">
        <is>
          <t>BKK02</t>
        </is>
      </c>
      <c r="O31" s="96" t="inlineStr">
        <is>
          <t>BKK</t>
        </is>
      </c>
      <c r="P31" s="96" t="inlineStr">
        <is>
          <t>TH</t>
        </is>
      </c>
      <c r="Q31" s="96" t="inlineStr">
        <is>
          <t>HASLS22260902179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NTX</t>
        </is>
      </c>
      <c r="U31" s="97" t="n"/>
      <c r="V31" s="96" t="inlineStr">
        <is>
          <t>C5623001</t>
        </is>
      </c>
      <c r="W31" s="96" t="inlineStr">
        <is>
          <t>BIRLA CARBON (THAILAND) PUBLIC</t>
        </is>
      </c>
      <c r="X31" s="96" t="inlineStr">
        <is>
          <t>VFD</t>
        </is>
      </c>
      <c r="Y31" s="96" t="inlineStr">
        <is>
          <t>JINYU (VIETNAM) TIRE CO.,LTD</t>
        </is>
      </c>
      <c r="Z31" s="96" t="inlineStr">
        <is>
          <t>JINYU (VIETNAM) TIRE CO.,LTD</t>
        </is>
      </c>
      <c r="AA31" s="97" t="n">
        <v>22308</v>
      </c>
      <c r="AB31" s="96" t="inlineStr">
        <is>
          <t>BKK02</t>
        </is>
      </c>
      <c r="AC31" s="96" t="inlineStr">
        <is>
          <t>SGN03</t>
        </is>
      </c>
    </row>
    <row r="32" ht="12" customHeight="1">
      <c r="A32" s="96" t="inlineStr">
        <is>
          <t>HLHU8354305</t>
        </is>
      </c>
      <c r="B32" s="161" t="inlineStr">
        <is>
          <t>2026-10-16</t>
        </is>
      </c>
      <c r="C32" s="96" t="inlineStr">
        <is>
          <t>SWBT</t>
        </is>
      </c>
      <c r="D32" s="96" t="inlineStr">
        <is>
          <t>2616N</t>
        </is>
      </c>
      <c r="E32" s="96" t="inlineStr">
        <is>
          <t>45GP</t>
        </is>
      </c>
      <c r="F32" s="96" t="inlineStr">
        <is>
          <t>SD</t>
        </is>
      </c>
      <c r="G32" s="96" t="inlineStr">
        <is>
          <t>THBKK</t>
        </is>
      </c>
      <c r="H32" s="96" t="inlineStr">
        <is>
          <t>THBKK</t>
        </is>
      </c>
      <c r="I32" s="96" t="inlineStr">
        <is>
          <t>VNSGN</t>
        </is>
      </c>
      <c r="J32" s="96" t="inlineStr">
        <is>
          <t>VNSGN</t>
        </is>
      </c>
      <c r="K32" s="96" t="inlineStr">
        <is>
          <t>F</t>
        </is>
      </c>
      <c r="L32" s="96" t="inlineStr">
        <is>
          <t>OWN</t>
        </is>
      </c>
      <c r="M32" s="96" t="inlineStr">
        <is>
          <t>VFL</t>
        </is>
      </c>
      <c r="N32" s="96" t="inlineStr">
        <is>
          <t>BKK02</t>
        </is>
      </c>
      <c r="O32" s="96" t="inlineStr">
        <is>
          <t>BKK</t>
        </is>
      </c>
      <c r="P32" s="96" t="inlineStr">
        <is>
          <t>TH</t>
        </is>
      </c>
      <c r="Q32" s="96" t="inlineStr">
        <is>
          <t>HASLS22260902834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NTX</t>
        </is>
      </c>
      <c r="U32" s="97" t="n"/>
      <c r="V32" s="96" t="inlineStr">
        <is>
          <t>C0123007</t>
        </is>
      </c>
      <c r="W32" s="96" t="inlineStr">
        <is>
          <t>MEGAKLEEN PRODUCTS CO., LTD.</t>
        </is>
      </c>
      <c r="X32" s="96" t="inlineStr">
        <is>
          <t>VFD</t>
        </is>
      </c>
      <c r="Y32" s="96" t="inlineStr">
        <is>
          <t>ACCESS GLOBAL CO., LTD.</t>
        </is>
      </c>
      <c r="Z32" s="96" t="inlineStr">
        <is>
          <t>ACCESS GLOBAL CO., LTD.</t>
        </is>
      </c>
      <c r="AA32" s="97" t="n">
        <v>25851</v>
      </c>
      <c r="AB32" s="96" t="inlineStr">
        <is>
          <t>BKK02</t>
        </is>
      </c>
      <c r="AC32" s="96" t="inlineStr">
        <is>
          <t>SGN03</t>
        </is>
      </c>
    </row>
    <row r="33" ht="12" customHeight="1">
      <c r="A33" s="96" t="inlineStr">
        <is>
          <t>HALU2354046</t>
        </is>
      </c>
      <c r="B33" s="161" t="inlineStr">
        <is>
          <t>2026-10-16</t>
        </is>
      </c>
      <c r="C33" s="96" t="inlineStr">
        <is>
          <t>SWBT</t>
        </is>
      </c>
      <c r="D33" s="96" t="inlineStr">
        <is>
          <t>2616N</t>
        </is>
      </c>
      <c r="E33" s="96" t="inlineStr">
        <is>
          <t>22GP</t>
        </is>
      </c>
      <c r="F33" s="96" t="inlineStr">
        <is>
          <t>SD</t>
        </is>
      </c>
      <c r="G33" s="96" t="inlineStr">
        <is>
          <t>THBKK</t>
        </is>
      </c>
      <c r="H33" s="96" t="inlineStr">
        <is>
          <t>THBKK</t>
        </is>
      </c>
      <c r="I33" s="96" t="inlineStr">
        <is>
          <t>VNSGN</t>
        </is>
      </c>
      <c r="J33" s="96" t="inlineStr">
        <is>
          <t>VNSGN</t>
        </is>
      </c>
      <c r="K33" s="96" t="inlineStr">
        <is>
          <t>F</t>
        </is>
      </c>
      <c r="L33" s="96" t="inlineStr">
        <is>
          <t>OWN</t>
        </is>
      </c>
      <c r="M33" s="96" t="inlineStr">
        <is>
          <t>VFL</t>
        </is>
      </c>
      <c r="N33" s="96" t="inlineStr">
        <is>
          <t>BKK02</t>
        </is>
      </c>
      <c r="O33" s="96" t="inlineStr">
        <is>
          <t>BKK</t>
        </is>
      </c>
      <c r="P33" s="96" t="inlineStr">
        <is>
          <t>TH</t>
        </is>
      </c>
      <c r="Q33" s="96" t="inlineStr">
        <is>
          <t>HASLS22260902001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NTX</t>
        </is>
      </c>
      <c r="U33" s="97" t="n"/>
      <c r="V33" s="96" t="inlineStr">
        <is>
          <t>C0223008</t>
        </is>
      </c>
      <c r="W33" s="96" t="inlineStr">
        <is>
          <t>ROYAL CAN INDUSTRIES CO., LTD</t>
        </is>
      </c>
      <c r="X33" s="96" t="inlineStr">
        <is>
          <t>VFD</t>
        </is>
      </c>
      <c r="Y33" s="96" t="inlineStr">
        <is>
          <t>PATAYA  FOOD INDUSTRIES (VIETNAM)</t>
        </is>
      </c>
      <c r="Z33" s="96" t="inlineStr">
        <is>
          <t>PATAYA  FOOD INDUSTRIES (VIETNAM)</t>
        </is>
      </c>
      <c r="AA33" s="97" t="n">
        <v>2870</v>
      </c>
      <c r="AB33" s="96" t="inlineStr">
        <is>
          <t>BKK02</t>
        </is>
      </c>
      <c r="AC33" s="96" t="inlineStr">
        <is>
          <t>SGN03</t>
        </is>
      </c>
    </row>
    <row r="34" ht="12" customHeight="1">
      <c r="A34" s="96" t="inlineStr">
        <is>
          <t>FBIU5370069</t>
        </is>
      </c>
      <c r="B34" s="161" t="inlineStr">
        <is>
          <t>2026-10-16</t>
        </is>
      </c>
      <c r="C34" s="96" t="inlineStr">
        <is>
          <t>SWBT</t>
        </is>
      </c>
      <c r="D34" s="96" t="inlineStr">
        <is>
          <t>2616N</t>
        </is>
      </c>
      <c r="E34" s="96" t="inlineStr">
        <is>
          <t>45RE</t>
        </is>
      </c>
      <c r="F34" s="96" t="inlineStr">
        <is>
          <t>SD</t>
        </is>
      </c>
      <c r="G34" s="96" t="inlineStr">
        <is>
          <t>THBKK</t>
        </is>
      </c>
      <c r="H34" s="96" t="inlineStr">
        <is>
          <t>THBKK</t>
        </is>
      </c>
      <c r="I34" s="96" t="inlineStr">
        <is>
          <t>KRPTK</t>
        </is>
      </c>
      <c r="J34" s="96" t="inlineStr">
        <is>
          <t>KRPTK</t>
        </is>
      </c>
      <c r="K34" s="96" t="inlineStr">
        <is>
          <t>F</t>
        </is>
      </c>
      <c r="L34" s="96" t="inlineStr">
        <is>
          <t>L/T</t>
        </is>
      </c>
      <c r="M34" s="96" t="inlineStr">
        <is>
          <t>VFL</t>
        </is>
      </c>
      <c r="N34" s="96" t="inlineStr">
        <is>
          <t>BKK02</t>
        </is>
      </c>
      <c r="O34" s="96" t="inlineStr">
        <is>
          <t>BKK</t>
        </is>
      </c>
      <c r="P34" s="96" t="inlineStr">
        <is>
          <t>TH</t>
        </is>
      </c>
      <c r="Q34" s="96" t="inlineStr">
        <is>
          <t>HASLS22260902555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NTX</t>
        </is>
      </c>
      <c r="U34" s="97" t="n"/>
      <c r="V34" s="96" t="inlineStr">
        <is>
          <t>C0323004</t>
        </is>
      </c>
      <c r="W34" s="96" t="inlineStr">
        <is>
          <t>SAHA FARMS INTERNATIONAL CO.,LTD.</t>
        </is>
      </c>
      <c r="X34" s="96" t="inlineStr">
        <is>
          <t>VFD</t>
        </is>
      </c>
      <c r="Y34" s="96" t="inlineStr">
        <is>
          <t>SASE CO.,LTD.</t>
        </is>
      </c>
      <c r="Z34" s="96" t="inlineStr">
        <is>
          <t>SASE CO.,LTD.</t>
        </is>
      </c>
      <c r="AA34" s="97" t="n">
        <v>22459.5</v>
      </c>
      <c r="AB34" s="96" t="inlineStr">
        <is>
          <t>BKK02</t>
        </is>
      </c>
      <c r="AC34" s="96" t="inlineStr">
        <is>
          <t>PTK02</t>
        </is>
      </c>
    </row>
    <row r="35" ht="12" customHeight="1">
      <c r="A35" s="96" t="inlineStr">
        <is>
          <t>HLHU8389913</t>
        </is>
      </c>
      <c r="B35" s="161" t="inlineStr">
        <is>
          <t>2026-10-16</t>
        </is>
      </c>
      <c r="C35" s="96" t="inlineStr">
        <is>
          <t>SWBT</t>
        </is>
      </c>
      <c r="D35" s="96" t="inlineStr">
        <is>
          <t>2616N</t>
        </is>
      </c>
      <c r="E35" s="96" t="inlineStr">
        <is>
          <t>45GP</t>
        </is>
      </c>
      <c r="F35" s="96" t="inlineStr">
        <is>
          <t>SD</t>
        </is>
      </c>
      <c r="G35" s="96" t="inlineStr">
        <is>
          <t>THBKK</t>
        </is>
      </c>
      <c r="H35" s="96" t="inlineStr">
        <is>
          <t>THBKK</t>
        </is>
      </c>
      <c r="I35" s="96" t="inlineStr">
        <is>
          <t>VNSGN</t>
        </is>
      </c>
      <c r="J35" s="96" t="inlineStr">
        <is>
          <t>VNSGN</t>
        </is>
      </c>
      <c r="K35" s="96" t="inlineStr">
        <is>
          <t>F</t>
        </is>
      </c>
      <c r="L35" s="96" t="inlineStr">
        <is>
          <t>OWN</t>
        </is>
      </c>
      <c r="M35" s="96" t="inlineStr">
        <is>
          <t>VFL</t>
        </is>
      </c>
      <c r="N35" s="96" t="inlineStr">
        <is>
          <t>BKK02</t>
        </is>
      </c>
      <c r="O35" s="96" t="inlineStr">
        <is>
          <t>BKK</t>
        </is>
      </c>
      <c r="P35" s="96" t="inlineStr">
        <is>
          <t>TH</t>
        </is>
      </c>
      <c r="Q35" s="96" t="inlineStr">
        <is>
          <t>HASLS22260902181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NTX</t>
        </is>
      </c>
      <c r="U35" s="97" t="n"/>
      <c r="V35" s="96" t="inlineStr">
        <is>
          <t>C0324002</t>
        </is>
      </c>
      <c r="W35" s="96" t="inlineStr">
        <is>
          <t>BIRLA CARBON (THAILAND) PUBLIC</t>
        </is>
      </c>
      <c r="X35" s="96" t="inlineStr">
        <is>
          <t>VFD</t>
        </is>
      </c>
      <c r="Y35" s="96" t="inlineStr">
        <is>
          <t>SAILUN (VIETNAM) CO.,LTD</t>
        </is>
      </c>
      <c r="Z35" s="96" t="inlineStr">
        <is>
          <t>SAILUN (VIETNAM) CO.,LTD</t>
        </is>
      </c>
      <c r="AA35" s="97" t="n">
        <v>22308</v>
      </c>
      <c r="AB35" s="96" t="inlineStr">
        <is>
          <t>BKK02</t>
        </is>
      </c>
      <c r="AC35" s="96" t="inlineStr">
        <is>
          <t>SGN03</t>
        </is>
      </c>
    </row>
    <row r="36" ht="12" customHeight="1">
      <c r="A36" s="96" t="inlineStr">
        <is>
          <t>HALU2561260</t>
        </is>
      </c>
      <c r="B36" s="161" t="inlineStr">
        <is>
          <t>2026-10-16</t>
        </is>
      </c>
      <c r="C36" s="96" t="inlineStr">
        <is>
          <t>SWBT</t>
        </is>
      </c>
      <c r="D36" s="96" t="inlineStr">
        <is>
          <t>2616N</t>
        </is>
      </c>
      <c r="E36" s="96" t="inlineStr">
        <is>
          <t>22GP</t>
        </is>
      </c>
      <c r="F36" s="96" t="inlineStr">
        <is>
          <t>SD</t>
        </is>
      </c>
      <c r="G36" s="96" t="inlineStr">
        <is>
          <t>THBKK</t>
        </is>
      </c>
      <c r="H36" s="96" t="inlineStr">
        <is>
          <t>THBKK</t>
        </is>
      </c>
      <c r="I36" s="96" t="inlineStr">
        <is>
          <t>VNSGN</t>
        </is>
      </c>
      <c r="J36" s="96" t="inlineStr">
        <is>
          <t>VNSGN</t>
        </is>
      </c>
      <c r="K36" s="96" t="inlineStr">
        <is>
          <t>F</t>
        </is>
      </c>
      <c r="L36" s="96" t="inlineStr">
        <is>
          <t>OWN</t>
        </is>
      </c>
      <c r="M36" s="96" t="inlineStr">
        <is>
          <t>VFL</t>
        </is>
      </c>
      <c r="N36" s="96" t="inlineStr">
        <is>
          <t>BKK02</t>
        </is>
      </c>
      <c r="O36" s="96" t="inlineStr">
        <is>
          <t>BKK</t>
        </is>
      </c>
      <c r="P36" s="96" t="inlineStr">
        <is>
          <t>TH</t>
        </is>
      </c>
      <c r="Q36" s="96" t="inlineStr">
        <is>
          <t>HASLS22260601488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NTX</t>
        </is>
      </c>
      <c r="U36" s="97" t="n"/>
      <c r="V36" s="96" t="inlineStr">
        <is>
          <t>C0325006</t>
        </is>
      </c>
      <c r="W36" s="96" t="inlineStr">
        <is>
          <t>NEWLY WEDS FOODS (THAILAND) LIMITED</t>
        </is>
      </c>
      <c r="X36" s="96" t="inlineStr">
        <is>
          <t>VFD</t>
        </is>
      </c>
      <c r="Y36" s="96" t="inlineStr">
        <is>
          <t>VIETNAM FISH -ONE CO.,LTD.</t>
        </is>
      </c>
      <c r="Z36" s="96" t="inlineStr">
        <is>
          <t>VIETNAM FISH -ONE CO.,LTD.</t>
        </is>
      </c>
      <c r="AA36" s="97" t="n">
        <v>8634.200000000001</v>
      </c>
      <c r="AB36" s="96" t="inlineStr">
        <is>
          <t>BKK02</t>
        </is>
      </c>
      <c r="AC36" s="96" t="inlineStr">
        <is>
          <t>SGN03</t>
        </is>
      </c>
    </row>
    <row r="37" ht="12" customHeight="1">
      <c r="A37" s="96" t="inlineStr">
        <is>
          <t>HALU2561228</t>
        </is>
      </c>
      <c r="B37" s="161" t="inlineStr">
        <is>
          <t>2026-10-16</t>
        </is>
      </c>
      <c r="C37" s="96" t="inlineStr">
        <is>
          <t>SWBT</t>
        </is>
      </c>
      <c r="D37" s="96" t="inlineStr">
        <is>
          <t>2616N</t>
        </is>
      </c>
      <c r="E37" s="96" t="inlineStr">
        <is>
          <t>22GP</t>
        </is>
      </c>
      <c r="F37" s="96" t="inlineStr">
        <is>
          <t>SD</t>
        </is>
      </c>
      <c r="G37" s="96" t="inlineStr">
        <is>
          <t>THBKK</t>
        </is>
      </c>
      <c r="H37" s="96" t="inlineStr">
        <is>
          <t>THBKK</t>
        </is>
      </c>
      <c r="I37" s="96" t="inlineStr">
        <is>
          <t>VNSGN</t>
        </is>
      </c>
      <c r="J37" s="96" t="inlineStr">
        <is>
          <t>VNSGN</t>
        </is>
      </c>
      <c r="K37" s="96" t="inlineStr">
        <is>
          <t>F</t>
        </is>
      </c>
      <c r="L37" s="96" t="inlineStr">
        <is>
          <t>OWN</t>
        </is>
      </c>
      <c r="M37" s="96" t="inlineStr">
        <is>
          <t>VFL</t>
        </is>
      </c>
      <c r="N37" s="96" t="inlineStr">
        <is>
          <t>BKK02</t>
        </is>
      </c>
      <c r="O37" s="96" t="inlineStr">
        <is>
          <t>BKK</t>
        </is>
      </c>
      <c r="P37" s="96" t="inlineStr">
        <is>
          <t>TH</t>
        </is>
      </c>
      <c r="Q37" s="96" t="inlineStr">
        <is>
          <t>HASLS22261000079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NTX</t>
        </is>
      </c>
      <c r="U37" s="97" t="n"/>
      <c r="V37" s="96" t="inlineStr">
        <is>
          <t>C0325006</t>
        </is>
      </c>
      <c r="W37" s="96" t="inlineStr">
        <is>
          <t>EAST-LINK CORPORATION CO.,LTD.</t>
        </is>
      </c>
      <c r="X37" s="96" t="inlineStr">
        <is>
          <t>VFD</t>
        </is>
      </c>
      <c r="Y37" s="96" t="inlineStr">
        <is>
          <t>BRANCH OF DANKO LOGISTICS CO., LTD.</t>
        </is>
      </c>
      <c r="Z37" s="96" t="inlineStr">
        <is>
          <t>BRANCH OF DANKO LOGISTICS CO., LTD.</t>
        </is>
      </c>
      <c r="AA37" s="97" t="n">
        <v>7295</v>
      </c>
      <c r="AB37" s="96" t="inlineStr">
        <is>
          <t>BKK02</t>
        </is>
      </c>
      <c r="AC37" s="96" t="inlineStr">
        <is>
          <t>SGN03</t>
        </is>
      </c>
    </row>
    <row r="38" ht="12" customHeight="1">
      <c r="A38" s="96" t="inlineStr">
        <is>
          <t>HALU2562369</t>
        </is>
      </c>
      <c r="B38" s="161" t="inlineStr">
        <is>
          <t>2026-10-16</t>
        </is>
      </c>
      <c r="C38" s="96" t="inlineStr">
        <is>
          <t>SWBT</t>
        </is>
      </c>
      <c r="D38" s="96" t="inlineStr">
        <is>
          <t>2616N</t>
        </is>
      </c>
      <c r="E38" s="96" t="inlineStr">
        <is>
          <t>22GP</t>
        </is>
      </c>
      <c r="F38" s="96" t="inlineStr">
        <is>
          <t>SD</t>
        </is>
      </c>
      <c r="G38" s="96" t="inlineStr">
        <is>
          <t>THBKK</t>
        </is>
      </c>
      <c r="H38" s="96" t="inlineStr">
        <is>
          <t>THBKK</t>
        </is>
      </c>
      <c r="I38" s="96" t="inlineStr">
        <is>
          <t>VNSGN</t>
        </is>
      </c>
      <c r="J38" s="96" t="inlineStr">
        <is>
          <t>VNSGN</t>
        </is>
      </c>
      <c r="K38" s="96" t="inlineStr">
        <is>
          <t>F</t>
        </is>
      </c>
      <c r="L38" s="96" t="inlineStr">
        <is>
          <t>OWN</t>
        </is>
      </c>
      <c r="M38" s="96" t="inlineStr">
        <is>
          <t>VFL</t>
        </is>
      </c>
      <c r="N38" s="96" t="inlineStr">
        <is>
          <t>BKK02</t>
        </is>
      </c>
      <c r="O38" s="96" t="inlineStr">
        <is>
          <t>BKK</t>
        </is>
      </c>
      <c r="P38" s="96" t="inlineStr">
        <is>
          <t>TH</t>
        </is>
      </c>
      <c r="Q38" s="96" t="inlineStr">
        <is>
          <t>HASLS22261000719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NTX</t>
        </is>
      </c>
      <c r="U38" s="97" t="n"/>
      <c r="V38" s="96" t="inlineStr">
        <is>
          <t>C0325006</t>
        </is>
      </c>
      <c r="W38" s="96" t="inlineStr">
        <is>
          <t>NEWLY WEDS FOODS (THAILAND) LIMITED</t>
        </is>
      </c>
      <c r="X38" s="96" t="inlineStr">
        <is>
          <t>VFD</t>
        </is>
      </c>
      <c r="Y38" s="96" t="inlineStr">
        <is>
          <t>MINH PHU SEAFOOD CORP</t>
        </is>
      </c>
      <c r="Z38" s="96" t="inlineStr">
        <is>
          <t>MINH PHU SEAFOOD CORP</t>
        </is>
      </c>
      <c r="AA38" s="97" t="n">
        <v>5105</v>
      </c>
      <c r="AB38" s="96" t="inlineStr">
        <is>
          <t>BKK02</t>
        </is>
      </c>
      <c r="AC38" s="96" t="inlineStr">
        <is>
          <t>SGN03</t>
        </is>
      </c>
    </row>
    <row r="39" ht="12" customHeight="1">
      <c r="A39" s="96" t="inlineStr">
        <is>
          <t>HLHU6412784</t>
        </is>
      </c>
      <c r="B39" s="161" t="inlineStr">
        <is>
          <t>2026-10-16</t>
        </is>
      </c>
      <c r="C39" s="96" t="inlineStr">
        <is>
          <t>SWBT</t>
        </is>
      </c>
      <c r="D39" s="96" t="inlineStr">
        <is>
          <t>2616N</t>
        </is>
      </c>
      <c r="E39" s="96" t="inlineStr">
        <is>
          <t>45GP</t>
        </is>
      </c>
      <c r="F39" s="96" t="inlineStr">
        <is>
          <t>SD</t>
        </is>
      </c>
      <c r="G39" s="96" t="n"/>
      <c r="H39" s="96" t="inlineStr">
        <is>
          <t>THBKK</t>
        </is>
      </c>
      <c r="I39" s="96" t="inlineStr">
        <is>
          <t>VNSGN</t>
        </is>
      </c>
      <c r="J39" s="96" t="inlineStr">
        <is>
          <t>VNSGN</t>
        </is>
      </c>
      <c r="K39" s="96" t="inlineStr">
        <is>
          <t>F</t>
        </is>
      </c>
      <c r="L39" s="96" t="inlineStr">
        <is>
          <t>OWN</t>
        </is>
      </c>
      <c r="M39" s="96" t="inlineStr">
        <is>
          <t>VFL</t>
        </is>
      </c>
      <c r="N39" s="96" t="inlineStr">
        <is>
          <t>BKK02</t>
        </is>
      </c>
      <c r="O39" s="96" t="inlineStr">
        <is>
          <t>BKK</t>
        </is>
      </c>
      <c r="P39" s="96" t="inlineStr">
        <is>
          <t>TH</t>
        </is>
      </c>
      <c r="Q39" s="96" t="inlineStr">
        <is>
          <t>HASLS22261000226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NTX</t>
        </is>
      </c>
      <c r="U39" s="97" t="n"/>
      <c r="V39" s="96" t="inlineStr">
        <is>
          <t>C0724001</t>
        </is>
      </c>
      <c r="W39" s="96" t="inlineStr">
        <is>
          <t>AT CHIC CO.,LTD.</t>
        </is>
      </c>
      <c r="X39" s="96" t="inlineStr">
        <is>
          <t>VFD</t>
        </is>
      </c>
      <c r="Y39" s="96" t="inlineStr">
        <is>
          <t>Y.U.A.S. (CAMBODIA) CO.,LTD.</t>
        </is>
      </c>
      <c r="Z39" s="96" t="inlineStr">
        <is>
          <t>0318898709 # PH  INTERNATIONAL</t>
        </is>
      </c>
      <c r="AA39" s="97" t="n">
        <v>25953.5</v>
      </c>
      <c r="AB39" s="96" t="inlineStr">
        <is>
          <t>BKK02</t>
        </is>
      </c>
      <c r="AC39" s="96" t="inlineStr">
        <is>
          <t>SGN03</t>
        </is>
      </c>
    </row>
    <row r="40" ht="12" customHeight="1">
      <c r="A40" s="96" t="inlineStr">
        <is>
          <t>HALU2404276</t>
        </is>
      </c>
      <c r="B40" s="161" t="inlineStr">
        <is>
          <t>2026-10-16</t>
        </is>
      </c>
      <c r="C40" s="96" t="inlineStr">
        <is>
          <t>SWBT</t>
        </is>
      </c>
      <c r="D40" s="96" t="inlineStr">
        <is>
          <t>2616N</t>
        </is>
      </c>
      <c r="E40" s="96" t="inlineStr">
        <is>
          <t>22GP</t>
        </is>
      </c>
      <c r="F40" s="96" t="inlineStr">
        <is>
          <t>SD</t>
        </is>
      </c>
      <c r="G40" s="96" t="inlineStr">
        <is>
          <t>THBKK</t>
        </is>
      </c>
      <c r="H40" s="96" t="inlineStr">
        <is>
          <t>THBKK</t>
        </is>
      </c>
      <c r="I40" s="96" t="inlineStr">
        <is>
          <t>VNSGN</t>
        </is>
      </c>
      <c r="J40" s="96" t="inlineStr">
        <is>
          <t>VNSGN</t>
        </is>
      </c>
      <c r="K40" s="96" t="inlineStr">
        <is>
          <t>F</t>
        </is>
      </c>
      <c r="L40" s="96" t="inlineStr">
        <is>
          <t>OWN</t>
        </is>
      </c>
      <c r="M40" s="96" t="inlineStr">
        <is>
          <t>VFL</t>
        </is>
      </c>
      <c r="N40" s="96" t="inlineStr">
        <is>
          <t>BKK02</t>
        </is>
      </c>
      <c r="O40" s="96" t="inlineStr">
        <is>
          <t>BKK</t>
        </is>
      </c>
      <c r="P40" s="96" t="inlineStr">
        <is>
          <t>TH</t>
        </is>
      </c>
      <c r="Q40" s="96" t="inlineStr">
        <is>
          <t>HASLS22260902493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NTX</t>
        </is>
      </c>
      <c r="U40" s="97" t="n"/>
      <c r="V40" s="96" t="inlineStr">
        <is>
          <t>C0124002</t>
        </is>
      </c>
      <c r="W40" s="96" t="inlineStr">
        <is>
          <t>PACIFIC STAR ALLIANCE CO.,LTD.</t>
        </is>
      </c>
      <c r="X40" s="96" t="inlineStr">
        <is>
          <t>VFD</t>
        </is>
      </c>
      <c r="Y40" s="96" t="inlineStr">
        <is>
          <t>SCT LOGISTICS JOINT STOCK COMPANY</t>
        </is>
      </c>
      <c r="Z40" s="96" t="inlineStr">
        <is>
          <t>SCT LOGISTICS JOINT STOCK COMPANY</t>
        </is>
      </c>
      <c r="AA40" s="97" t="n">
        <v>2316.6</v>
      </c>
      <c r="AB40" s="96" t="inlineStr">
        <is>
          <t>BKK02</t>
        </is>
      </c>
      <c r="AC40" s="96" t="inlineStr">
        <is>
          <t>SGN03</t>
        </is>
      </c>
    </row>
    <row r="41" ht="12" customHeight="1">
      <c r="A41" s="96" t="inlineStr">
        <is>
          <t>HALU2433037</t>
        </is>
      </c>
      <c r="B41" s="161" t="inlineStr">
        <is>
          <t>2026-10-16</t>
        </is>
      </c>
      <c r="C41" s="96" t="inlineStr">
        <is>
          <t>SWBT</t>
        </is>
      </c>
      <c r="D41" s="96" t="inlineStr">
        <is>
          <t>2616N</t>
        </is>
      </c>
      <c r="E41" s="96" t="inlineStr">
        <is>
          <t>22GP</t>
        </is>
      </c>
      <c r="F41" s="96" t="inlineStr">
        <is>
          <t>SD</t>
        </is>
      </c>
      <c r="G41" s="96" t="inlineStr">
        <is>
          <t>THBKK</t>
        </is>
      </c>
      <c r="H41" s="96" t="inlineStr">
        <is>
          <t>THBKK</t>
        </is>
      </c>
      <c r="I41" s="96" t="inlineStr">
        <is>
          <t>VNSGN</t>
        </is>
      </c>
      <c r="J41" s="96" t="inlineStr">
        <is>
          <t>VNSGN</t>
        </is>
      </c>
      <c r="K41" s="96" t="inlineStr">
        <is>
          <t>F</t>
        </is>
      </c>
      <c r="L41" s="96" t="inlineStr">
        <is>
          <t>OWN</t>
        </is>
      </c>
      <c r="M41" s="96" t="inlineStr">
        <is>
          <t>VFL</t>
        </is>
      </c>
      <c r="N41" s="96" t="inlineStr">
        <is>
          <t>BKK02</t>
        </is>
      </c>
      <c r="O41" s="96" t="inlineStr">
        <is>
          <t>BKK</t>
        </is>
      </c>
      <c r="P41" s="96" t="inlineStr">
        <is>
          <t>TH</t>
        </is>
      </c>
      <c r="Q41" s="96" t="inlineStr">
        <is>
          <t>HASLS22260902158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NTX</t>
        </is>
      </c>
      <c r="U41" s="97" t="n"/>
      <c r="V41" s="96" t="inlineStr">
        <is>
          <t>C0124002</t>
        </is>
      </c>
      <c r="W41" s="96" t="inlineStr">
        <is>
          <t>THANAKORN VEGETABLE OIL PRODUCTS</t>
        </is>
      </c>
      <c r="X41" s="96" t="inlineStr">
        <is>
          <t>VFD</t>
        </is>
      </c>
      <c r="Y41" s="96" t="inlineStr">
        <is>
          <t>MEKONG COMMODITIES JSC</t>
        </is>
      </c>
      <c r="Z41" s="96" t="inlineStr">
        <is>
          <t>AUSTRALASIAN COMMODITIES PTY LTD</t>
        </is>
      </c>
      <c r="AA41" s="97" t="n">
        <v>22140</v>
      </c>
      <c r="AB41" s="96" t="inlineStr">
        <is>
          <t>BKK02</t>
        </is>
      </c>
      <c r="AC41" s="96" t="inlineStr">
        <is>
          <t>SGN03</t>
        </is>
      </c>
    </row>
    <row r="42" ht="12" customHeight="1">
      <c r="A42" s="96" t="inlineStr">
        <is>
          <t>HALU2455416</t>
        </is>
      </c>
      <c r="B42" s="161" t="inlineStr">
        <is>
          <t>2026-10-16</t>
        </is>
      </c>
      <c r="C42" s="96" t="inlineStr">
        <is>
          <t>SWBT</t>
        </is>
      </c>
      <c r="D42" s="96" t="inlineStr">
        <is>
          <t>2616N</t>
        </is>
      </c>
      <c r="E42" s="96" t="inlineStr">
        <is>
          <t>22GP</t>
        </is>
      </c>
      <c r="F42" s="96" t="inlineStr">
        <is>
          <t>SD</t>
        </is>
      </c>
      <c r="G42" s="96" t="inlineStr">
        <is>
          <t>THBKK</t>
        </is>
      </c>
      <c r="H42" s="96" t="inlineStr">
        <is>
          <t>THBKK</t>
        </is>
      </c>
      <c r="I42" s="96" t="inlineStr">
        <is>
          <t>VNSGN</t>
        </is>
      </c>
      <c r="J42" s="96" t="inlineStr">
        <is>
          <t>VNSGN</t>
        </is>
      </c>
      <c r="K42" s="96" t="inlineStr">
        <is>
          <t>F</t>
        </is>
      </c>
      <c r="L42" s="96" t="inlineStr">
        <is>
          <t>OWN</t>
        </is>
      </c>
      <c r="M42" s="96" t="inlineStr">
        <is>
          <t>VFL</t>
        </is>
      </c>
      <c r="N42" s="96" t="inlineStr">
        <is>
          <t>BKK02</t>
        </is>
      </c>
      <c r="O42" s="96" t="inlineStr">
        <is>
          <t>BKK</t>
        </is>
      </c>
      <c r="P42" s="96" t="inlineStr">
        <is>
          <t>TH</t>
        </is>
      </c>
      <c r="Q42" s="96" t="inlineStr">
        <is>
          <t>HASLS22260902158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NTX</t>
        </is>
      </c>
      <c r="U42" s="97" t="n"/>
      <c r="V42" s="96" t="inlineStr">
        <is>
          <t>C0324009</t>
        </is>
      </c>
      <c r="W42" s="96" t="inlineStr">
        <is>
          <t>THANAKORN VEGETABLE OIL PRODUCTS</t>
        </is>
      </c>
      <c r="X42" s="96" t="inlineStr">
        <is>
          <t>VFD</t>
        </is>
      </c>
      <c r="Y42" s="96" t="inlineStr">
        <is>
          <t>MEKONG COMMODITIES JSC</t>
        </is>
      </c>
      <c r="Z42" s="96" t="inlineStr">
        <is>
          <t>AUSTRALASIAN COMMODITIES PTY LTD</t>
        </is>
      </c>
      <c r="AA42" s="97" t="n">
        <v>22060</v>
      </c>
      <c r="AB42" s="96" t="inlineStr">
        <is>
          <t>BKK02</t>
        </is>
      </c>
      <c r="AC42" s="96" t="inlineStr">
        <is>
          <t>SGN03</t>
        </is>
      </c>
    </row>
    <row r="43" ht="12" customHeight="1">
      <c r="A43" s="96" t="inlineStr">
        <is>
          <t>HLHU8509834</t>
        </is>
      </c>
      <c r="B43" s="161" t="inlineStr">
        <is>
          <t>2026-10-16</t>
        </is>
      </c>
      <c r="C43" s="96" t="inlineStr">
        <is>
          <t>SWBT</t>
        </is>
      </c>
      <c r="D43" s="96" t="inlineStr">
        <is>
          <t>2616N</t>
        </is>
      </c>
      <c r="E43" s="96" t="inlineStr">
        <is>
          <t>45GP</t>
        </is>
      </c>
      <c r="F43" s="96" t="inlineStr">
        <is>
          <t>SD</t>
        </is>
      </c>
      <c r="G43" s="96" t="inlineStr">
        <is>
          <t>THBKK</t>
        </is>
      </c>
      <c r="H43" s="96" t="inlineStr">
        <is>
          <t>THBKK</t>
        </is>
      </c>
      <c r="I43" s="96" t="inlineStr">
        <is>
          <t>VNSGN</t>
        </is>
      </c>
      <c r="J43" s="96" t="inlineStr">
        <is>
          <t>VNSGN</t>
        </is>
      </c>
      <c r="K43" s="96" t="inlineStr">
        <is>
          <t>F</t>
        </is>
      </c>
      <c r="L43" s="96" t="inlineStr">
        <is>
          <t>OWN</t>
        </is>
      </c>
      <c r="M43" s="96" t="inlineStr">
        <is>
          <t>VFL</t>
        </is>
      </c>
      <c r="N43" s="96" t="inlineStr">
        <is>
          <t>BKK02</t>
        </is>
      </c>
      <c r="O43" s="96" t="inlineStr">
        <is>
          <t>BKK</t>
        </is>
      </c>
      <c r="P43" s="96" t="inlineStr">
        <is>
          <t>TH</t>
        </is>
      </c>
      <c r="Q43" s="96" t="inlineStr">
        <is>
          <t>HASLS22260902418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NTX</t>
        </is>
      </c>
      <c r="U43" s="97" t="n"/>
      <c r="V43" s="96" t="inlineStr">
        <is>
          <t>C0125003</t>
        </is>
      </c>
      <c r="W43" s="96" t="inlineStr">
        <is>
          <t>BEE LOGISTICS (THAILAND) CO., LTD.</t>
        </is>
      </c>
      <c r="X43" s="96" t="inlineStr">
        <is>
          <t>VFD</t>
        </is>
      </c>
      <c r="Y43" s="96" t="inlineStr">
        <is>
          <t>BOND GLOBAL LOGISTICS JOINT STOCK</t>
        </is>
      </c>
      <c r="Z43" s="96" t="inlineStr">
        <is>
          <t>BOND GLOBAL LOGISTICS JOINT STOCK</t>
        </is>
      </c>
      <c r="AA43" s="97" t="n">
        <v>16865.1</v>
      </c>
      <c r="AB43" s="96" t="inlineStr">
        <is>
          <t>BKK02</t>
        </is>
      </c>
      <c r="AC43" s="96" t="inlineStr">
        <is>
          <t>SGN03</t>
        </is>
      </c>
    </row>
    <row r="44" ht="12" customHeight="1">
      <c r="A44" s="96" t="inlineStr">
        <is>
          <t>HLHU8510711</t>
        </is>
      </c>
      <c r="B44" s="161" t="inlineStr">
        <is>
          <t>2026-10-16</t>
        </is>
      </c>
      <c r="C44" s="96" t="inlineStr">
        <is>
          <t>SWBT</t>
        </is>
      </c>
      <c r="D44" s="96" t="inlineStr">
        <is>
          <t>2616N</t>
        </is>
      </c>
      <c r="E44" s="96" t="inlineStr">
        <is>
          <t>45GP</t>
        </is>
      </c>
      <c r="F44" s="96" t="inlineStr">
        <is>
          <t>SD</t>
        </is>
      </c>
      <c r="G44" s="96" t="inlineStr">
        <is>
          <t>THBKK</t>
        </is>
      </c>
      <c r="H44" s="96" t="inlineStr">
        <is>
          <t>THBKK</t>
        </is>
      </c>
      <c r="I44" s="96" t="inlineStr">
        <is>
          <t>VNSGN</t>
        </is>
      </c>
      <c r="J44" s="96" t="inlineStr">
        <is>
          <t>VNSGN</t>
        </is>
      </c>
      <c r="K44" s="96" t="inlineStr">
        <is>
          <t>F</t>
        </is>
      </c>
      <c r="L44" s="96" t="inlineStr">
        <is>
          <t>OWN</t>
        </is>
      </c>
      <c r="M44" s="96" t="inlineStr">
        <is>
          <t>VFL</t>
        </is>
      </c>
      <c r="N44" s="96" t="inlineStr">
        <is>
          <t>BKK02</t>
        </is>
      </c>
      <c r="O44" s="96" t="inlineStr">
        <is>
          <t>BKK</t>
        </is>
      </c>
      <c r="P44" s="96" t="inlineStr">
        <is>
          <t>TH</t>
        </is>
      </c>
      <c r="Q44" s="96" t="inlineStr">
        <is>
          <t>HASLS22260902179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NTX</t>
        </is>
      </c>
      <c r="U44" s="97" t="n"/>
      <c r="V44" s="96" t="inlineStr">
        <is>
          <t>C0125003</t>
        </is>
      </c>
      <c r="W44" s="96" t="inlineStr">
        <is>
          <t>BIRLA CARBON (THAILAND) PUBLIC</t>
        </is>
      </c>
      <c r="X44" s="96" t="inlineStr">
        <is>
          <t>VFD</t>
        </is>
      </c>
      <c r="Y44" s="96" t="inlineStr">
        <is>
          <t>JINYU (VIETNAM) TIRE CO.,LTD</t>
        </is>
      </c>
      <c r="Z44" s="96" t="inlineStr">
        <is>
          <t>JINYU (VIETNAM) TIRE CO.,LTD</t>
        </is>
      </c>
      <c r="AA44" s="97" t="n">
        <v>22308</v>
      </c>
      <c r="AB44" s="96" t="inlineStr">
        <is>
          <t>BKK02</t>
        </is>
      </c>
      <c r="AC44" s="96" t="inlineStr">
        <is>
          <t>SGN03</t>
        </is>
      </c>
    </row>
    <row r="45" ht="12" customHeight="1">
      <c r="A45" s="96" t="inlineStr">
        <is>
          <t>HLHU8528541</t>
        </is>
      </c>
      <c r="B45" s="161" t="inlineStr">
        <is>
          <t>2026-10-16</t>
        </is>
      </c>
      <c r="C45" s="96" t="inlineStr">
        <is>
          <t>SWBT</t>
        </is>
      </c>
      <c r="D45" s="96" t="inlineStr">
        <is>
          <t>2616N</t>
        </is>
      </c>
      <c r="E45" s="96" t="inlineStr">
        <is>
          <t>45GP</t>
        </is>
      </c>
      <c r="F45" s="96" t="inlineStr">
        <is>
          <t>SD</t>
        </is>
      </c>
      <c r="G45" s="96" t="inlineStr">
        <is>
          <t>THBKK</t>
        </is>
      </c>
      <c r="H45" s="96" t="inlineStr">
        <is>
          <t>THBKK</t>
        </is>
      </c>
      <c r="I45" s="96" t="inlineStr">
        <is>
          <t>VNSGN</t>
        </is>
      </c>
      <c r="J45" s="96" t="inlineStr">
        <is>
          <t>VNSGN</t>
        </is>
      </c>
      <c r="K45" s="96" t="inlineStr">
        <is>
          <t>F</t>
        </is>
      </c>
      <c r="L45" s="96" t="inlineStr">
        <is>
          <t>OWN</t>
        </is>
      </c>
      <c r="M45" s="96" t="inlineStr">
        <is>
          <t>VFL</t>
        </is>
      </c>
      <c r="N45" s="96" t="inlineStr">
        <is>
          <t>BKK02</t>
        </is>
      </c>
      <c r="O45" s="96" t="inlineStr">
        <is>
          <t>BKK</t>
        </is>
      </c>
      <c r="P45" s="96" t="inlineStr">
        <is>
          <t>TH</t>
        </is>
      </c>
      <c r="Q45" s="96" t="inlineStr">
        <is>
          <t>HASLS22260902661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NTX</t>
        </is>
      </c>
      <c r="U45" s="97" t="n"/>
      <c r="V45" s="96" t="inlineStr">
        <is>
          <t>C0125003</t>
        </is>
      </c>
      <c r="W45" s="96" t="inlineStr">
        <is>
          <t>LEO GLOBAL LOGISTICS PUBLIC</t>
        </is>
      </c>
      <c r="X45" s="96" t="inlineStr">
        <is>
          <t>VFD</t>
        </is>
      </c>
      <c r="Y45" s="96" t="inlineStr">
        <is>
          <t>ORIENTAL LOGISTICS MULTIMODAL</t>
        </is>
      </c>
      <c r="Z45" s="96" t="inlineStr">
        <is>
          <t>ORIENTAL LOGISTICS MULTIMODAL</t>
        </is>
      </c>
      <c r="AA45" s="97" t="n">
        <v>25640</v>
      </c>
      <c r="AB45" s="96" t="inlineStr">
        <is>
          <t>BKK02</t>
        </is>
      </c>
      <c r="AC45" s="96" t="inlineStr">
        <is>
          <t>SGN03</t>
        </is>
      </c>
    </row>
    <row r="46" ht="12" customHeight="1">
      <c r="A46" s="96" t="n"/>
      <c r="B46" s="161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7" t="n"/>
      <c r="V46" s="96" t="n"/>
      <c r="W46" s="96" t="n"/>
      <c r="X46" s="96" t="n"/>
      <c r="Y46" s="96" t="n"/>
      <c r="Z46" s="96" t="n"/>
      <c r="AA46" s="97" t="n"/>
      <c r="AB46" s="96" t="n"/>
      <c r="AC46" s="96" t="n"/>
    </row>
    <row r="47" ht="12" customHeight="1">
      <c r="A47" s="96" t="n"/>
      <c r="B47" s="161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7" t="n"/>
      <c r="V47" s="96" t="n"/>
      <c r="W47" s="96" t="n"/>
      <c r="X47" s="96" t="n"/>
      <c r="Y47" s="96" t="n"/>
      <c r="Z47" s="96" t="n"/>
      <c r="AA47" s="97" t="n"/>
      <c r="AB47" s="96" t="n"/>
      <c r="AC47" s="96" t="n"/>
    </row>
    <row r="48" ht="12" customHeight="1">
      <c r="A48" s="96" t="n"/>
      <c r="B48" s="161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7" t="n"/>
      <c r="V48" s="96" t="n"/>
      <c r="W48" s="96" t="n"/>
      <c r="X48" s="96" t="n"/>
      <c r="Y48" s="96" t="n"/>
      <c r="Z48" s="96" t="n"/>
      <c r="AA48" s="97" t="n"/>
      <c r="AB48" s="96" t="n"/>
      <c r="AC48" s="96" t="n"/>
    </row>
    <row r="49" ht="12" customHeight="1">
      <c r="A49" s="96" t="n"/>
      <c r="B49" s="161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7" t="n"/>
      <c r="V49" s="96" t="n"/>
      <c r="W49" s="96" t="n"/>
      <c r="X49" s="96" t="n"/>
      <c r="Y49" s="96" t="n"/>
      <c r="Z49" s="96" t="n"/>
      <c r="AA49" s="97" t="n"/>
      <c r="AB49" s="96" t="n"/>
      <c r="AC49" s="96" t="n"/>
    </row>
    <row r="50" ht="12" customHeight="1">
      <c r="A50" s="96" t="n"/>
      <c r="B50" s="161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7" t="n"/>
      <c r="V50" s="96" t="n"/>
      <c r="W50" s="96" t="n"/>
      <c r="X50" s="96" t="n"/>
      <c r="Y50" s="96" t="n"/>
      <c r="Z50" s="96" t="n"/>
      <c r="AA50" s="97" t="n"/>
      <c r="AB50" s="96" t="n"/>
      <c r="AC50" s="96" t="n"/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7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HASLS22260601488</t>
        </is>
      </c>
      <c r="B2" s="96" t="inlineStr">
        <is>
          <t>20'x1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NTX</t>
        </is>
      </c>
      <c r="M2" s="96" t="inlineStr">
        <is>
          <t>SWBT</t>
        </is>
      </c>
      <c r="N2" s="96" t="inlineStr">
        <is>
          <t>2616N</t>
        </is>
      </c>
      <c r="O2" s="96" t="inlineStr">
        <is>
          <t>THBKK</t>
        </is>
      </c>
      <c r="P2" s="96" t="inlineStr">
        <is>
          <t>BKK02</t>
        </is>
      </c>
      <c r="Q2" s="96" t="inlineStr">
        <is>
          <t>IA</t>
        </is>
      </c>
      <c r="R2" s="161" t="inlineStr">
        <is>
          <t>2026-10-16</t>
        </is>
      </c>
      <c r="S2" s="96" t="inlineStr">
        <is>
          <t>VNSGN</t>
        </is>
      </c>
      <c r="T2" s="96" t="inlineStr">
        <is>
          <t>SGN03</t>
        </is>
      </c>
      <c r="U2" s="96" t="inlineStr">
        <is>
          <t>VNSGN</t>
        </is>
      </c>
      <c r="V2" s="161" t="inlineStr">
        <is>
          <t>2026-10-18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BILLION LOGISTICS CO., LTD.</t>
        </is>
      </c>
      <c r="AB2" s="96" t="inlineStr">
        <is>
          <t>NEWLY WEDS FOODS (THAILAND) LIMITED</t>
        </is>
      </c>
      <c r="AC2" s="163" t="n">
        <v>8634.200000000001</v>
      </c>
      <c r="AD2" s="163" t="n">
        <v>10834.2</v>
      </c>
      <c r="AE2" s="96" t="inlineStr">
        <is>
          <t>OK</t>
        </is>
      </c>
      <c r="AF2" s="96" t="inlineStr">
        <is>
          <t>SR</t>
        </is>
      </c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TBKK55</t>
        </is>
      </c>
      <c r="AN2" s="96" t="inlineStr">
        <is>
          <t>Vilaiporn</t>
        </is>
      </c>
      <c r="AO2" s="96" t="inlineStr">
        <is>
          <t>FOODSTUFF (DRY BREADCRUMB, WHITE)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>Pickup : 2026-10-10, Return : 2026-10-12</t>
        </is>
      </c>
      <c r="BA2" s="97" t="inlineStr">
        <is>
          <t>RQST CHANGE VSL NAME FORM KUS 2616N BY HA DD.5/10FOODSTUFF**REQUEST FOOD GRADE CTNR // GOOD AND CLEAN CTNR NO BAD NO SMELL**</t>
        </is>
      </c>
      <c r="BB2" s="96" t="inlineStr">
        <is>
          <t>P</t>
        </is>
      </c>
      <c r="BC2" s="161" t="inlineStr">
        <is>
          <t>2026-06-16</t>
        </is>
      </c>
      <c r="BD2" s="161" t="inlineStr">
        <is>
          <t>2026-10-13</t>
        </is>
      </c>
      <c r="BE2" s="96" t="inlineStr">
        <is>
          <t>Y</t>
        </is>
      </c>
      <c r="BF2" s="96" t="inlineStr">
        <is>
          <t>FOODSTUFF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BKK27</t>
        </is>
      </c>
      <c r="BL2" s="161" t="inlineStr">
        <is>
          <t>2026-10-10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BKK02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booking@bl.co.th</t>
        </is>
      </c>
      <c r="CJ2" s="96" t="inlineStr">
        <is>
          <t>NEWLY WEDS FOODS (THAILAND) LIMITED</t>
        </is>
      </c>
      <c r="CK2" s="96" t="inlineStr">
        <is>
          <t>VIETNAM FISH -ONE CO.,LTD.</t>
        </is>
      </c>
      <c r="CL2" s="96" t="inlineStr">
        <is>
          <t>VIETNAM FISH -ONE CO.,LTD.</t>
        </is>
      </c>
      <c r="CM2" s="97" t="inlineStr">
        <is>
          <t>CLOSED</t>
        </is>
      </c>
      <c r="CN2" s="96" t="inlineStr">
        <is>
          <t>202610121700</t>
        </is>
      </c>
      <c r="CO2" s="96" t="inlineStr">
        <is>
          <t>202610141200</t>
        </is>
      </c>
      <c r="CP2" s="97" t="n"/>
      <c r="CQ2" s="96" t="inlineStr">
        <is>
          <t>S19-2210016</t>
        </is>
      </c>
      <c r="CR2" s="96" t="inlineStr">
        <is>
          <t>BB1715</t>
        </is>
      </c>
      <c r="CS2" s="96" t="inlineStr">
        <is>
          <t>BILLION LOGISTICS CO., LTD.</t>
        </is>
      </c>
      <c r="CT2" s="96" t="inlineStr">
        <is>
          <t>N</t>
        </is>
      </c>
      <c r="CU2" s="97" t="n"/>
      <c r="CV2" s="97" t="n"/>
      <c r="CW2" s="161" t="inlineStr">
        <is>
          <t>2026-10-15</t>
        </is>
      </c>
      <c r="CX2" s="97" t="inlineStr">
        <is>
          <t>190190</t>
        </is>
      </c>
      <c r="CY2" s="156" t="n"/>
    </row>
    <row r="3" ht="12" customHeight="1">
      <c r="A3" s="116" t="inlineStr">
        <is>
          <t>HASLS22260902811</t>
        </is>
      </c>
      <c r="B3" s="96" t="inlineStr">
        <is>
          <t>40Hx1</t>
        </is>
      </c>
      <c r="C3" s="97" t="n">
        <v>1</v>
      </c>
      <c r="D3" s="97" t="n">
        <v>1</v>
      </c>
      <c r="E3" s="97" t="n"/>
      <c r="F3" s="97" t="n">
        <v>0</v>
      </c>
      <c r="G3" s="97" t="n">
        <v>0</v>
      </c>
      <c r="H3" s="97" t="n">
        <v>0</v>
      </c>
      <c r="I3" s="97" t="n">
        <v>1</v>
      </c>
      <c r="J3" s="97" t="n">
        <v>2</v>
      </c>
      <c r="K3" s="96" t="inlineStr">
        <is>
          <t>N</t>
        </is>
      </c>
      <c r="L3" s="96" t="inlineStr">
        <is>
          <t>NTX</t>
        </is>
      </c>
      <c r="M3" s="96" t="inlineStr">
        <is>
          <t>SWBT</t>
        </is>
      </c>
      <c r="N3" s="96" t="inlineStr">
        <is>
          <t>2616N</t>
        </is>
      </c>
      <c r="O3" s="96" t="inlineStr">
        <is>
          <t>THBKK</t>
        </is>
      </c>
      <c r="P3" s="96" t="inlineStr">
        <is>
          <t>BKK02</t>
        </is>
      </c>
      <c r="Q3" s="96" t="inlineStr">
        <is>
          <t>IA</t>
        </is>
      </c>
      <c r="R3" s="161" t="inlineStr">
        <is>
          <t>2026-10-16</t>
        </is>
      </c>
      <c r="S3" s="96" t="inlineStr">
        <is>
          <t>VNSGN</t>
        </is>
      </c>
      <c r="T3" s="96" t="inlineStr">
        <is>
          <t>SGN03</t>
        </is>
      </c>
      <c r="U3" s="96" t="inlineStr">
        <is>
          <t>VNSGN</t>
        </is>
      </c>
      <c r="V3" s="161" t="inlineStr">
        <is>
          <t>2026-10-18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OPENSEA CARGO SERVICE CO., LTD.</t>
        </is>
      </c>
      <c r="AB3" s="96" t="inlineStr">
        <is>
          <t>KCG CORPORATION PUBLIC COMPANY LIMITED</t>
        </is>
      </c>
      <c r="AC3" s="163" t="n">
        <v>8368</v>
      </c>
      <c r="AD3" s="163" t="n">
        <v>12368</v>
      </c>
      <c r="AE3" s="96" t="inlineStr">
        <is>
          <t>OK</t>
        </is>
      </c>
      <c r="AF3" s="96" t="n"/>
      <c r="AG3" s="97" t="n"/>
      <c r="AH3" s="96" t="inlineStr">
        <is>
          <t>CON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TH0042</t>
        </is>
      </c>
      <c r="AN3" s="96" t="inlineStr">
        <is>
          <t>Sukunpoj Damrongying</t>
        </is>
      </c>
      <c r="AO3" s="96" t="inlineStr">
        <is>
          <t>WAFERS VARIOUS FLAVOURED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>Pickup : 2026-10-14, Return : 2026-10-14</t>
        </is>
      </c>
      <c r="BA3" s="97" t="inlineStr">
        <is>
          <t>SI DD.12/10/16
RQST CHANGE VSL NAME FROM KUS 2616N BY HA DD.5/10
waiting vessel delay</t>
        </is>
      </c>
      <c r="BB3" s="96" t="inlineStr">
        <is>
          <t>P</t>
        </is>
      </c>
      <c r="BC3" s="161" t="inlineStr">
        <is>
          <t>2026-09-30</t>
        </is>
      </c>
      <c r="BD3" s="161" t="inlineStr">
        <is>
          <t>2026-10-12</t>
        </is>
      </c>
      <c r="BE3" s="96" t="inlineStr">
        <is>
          <t>Y</t>
        </is>
      </c>
      <c r="BF3" s="96" t="inlineStr">
        <is>
          <t>FOODSTUFF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BKK25</t>
        </is>
      </c>
      <c r="BL3" s="161" t="inlineStr">
        <is>
          <t>2026-10-14</t>
        </is>
      </c>
      <c r="BM3" s="127" t="n"/>
      <c r="BN3" s="127" t="n"/>
      <c r="BO3" s="127" t="n"/>
      <c r="BP3" s="127" t="n">
        <v>1</v>
      </c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BKK02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contact1opensea@gmail.com</t>
        </is>
      </c>
      <c r="CJ3" s="96" t="inlineStr">
        <is>
          <t>OPENSEA CARGO SERVICE CO.,LTD.</t>
        </is>
      </c>
      <c r="CK3" s="96" t="inlineStr">
        <is>
          <t>BLUE OCEAN INTERNATIONAL SHIPPING</t>
        </is>
      </c>
      <c r="CL3" s="96" t="inlineStr">
        <is>
          <t>BLUE OCEAN INTERNATIONAL SHIPPING</t>
        </is>
      </c>
      <c r="CM3" s="97" t="inlineStr">
        <is>
          <t>CLOSED</t>
        </is>
      </c>
      <c r="CN3" s="96" t="inlineStr">
        <is>
          <t>202610121700</t>
        </is>
      </c>
      <c r="CO3" s="96" t="inlineStr">
        <is>
          <t>202610141200</t>
        </is>
      </c>
      <c r="CP3" s="97" t="n"/>
      <c r="CQ3" s="96" t="inlineStr">
        <is>
          <t>S22-2203004</t>
        </is>
      </c>
      <c r="CR3" s="96" t="inlineStr">
        <is>
          <t>BB1735</t>
        </is>
      </c>
      <c r="CS3" s="96" t="inlineStr">
        <is>
          <t>OPENSEA CARGO SERVICE CO., LTD.</t>
        </is>
      </c>
      <c r="CT3" s="96" t="inlineStr">
        <is>
          <t>N</t>
        </is>
      </c>
      <c r="CU3" s="97" t="n"/>
      <c r="CV3" s="97" t="n"/>
      <c r="CW3" s="161" t="inlineStr">
        <is>
          <t>2026-10-15</t>
        </is>
      </c>
      <c r="CX3" s="97" t="inlineStr">
        <is>
          <t>190532</t>
        </is>
      </c>
      <c r="CY3" s="183" t="n"/>
    </row>
    <row r="4" ht="12" customHeight="1">
      <c r="A4" s="116" t="inlineStr">
        <is>
          <t>HASLS22261000099</t>
        </is>
      </c>
      <c r="B4" s="96" t="inlineStr">
        <is>
          <t>40Hx1</t>
        </is>
      </c>
      <c r="C4" s="97" t="n">
        <v>1</v>
      </c>
      <c r="D4" s="97" t="n">
        <v>1</v>
      </c>
      <c r="E4" s="97" t="n"/>
      <c r="F4" s="97" t="n">
        <v>0</v>
      </c>
      <c r="G4" s="97" t="n">
        <v>0</v>
      </c>
      <c r="H4" s="97" t="n">
        <v>0</v>
      </c>
      <c r="I4" s="97" t="n">
        <v>1</v>
      </c>
      <c r="J4" s="97" t="n">
        <v>2</v>
      </c>
      <c r="K4" s="96" t="inlineStr">
        <is>
          <t>N</t>
        </is>
      </c>
      <c r="L4" s="96" t="inlineStr">
        <is>
          <t>NTX</t>
        </is>
      </c>
      <c r="M4" s="96" t="inlineStr">
        <is>
          <t>SWBT</t>
        </is>
      </c>
      <c r="N4" s="96" t="inlineStr">
        <is>
          <t>2616N</t>
        </is>
      </c>
      <c r="O4" s="96" t="inlineStr">
        <is>
          <t>THBKK</t>
        </is>
      </c>
      <c r="P4" s="96" t="inlineStr">
        <is>
          <t>BKK02</t>
        </is>
      </c>
      <c r="Q4" s="96" t="inlineStr">
        <is>
          <t>IA</t>
        </is>
      </c>
      <c r="R4" s="161" t="inlineStr">
        <is>
          <t>2026-10-16</t>
        </is>
      </c>
      <c r="S4" s="96" t="inlineStr">
        <is>
          <t>VNSGN</t>
        </is>
      </c>
      <c r="T4" s="96" t="inlineStr">
        <is>
          <t>SGN03</t>
        </is>
      </c>
      <c r="U4" s="96" t="inlineStr">
        <is>
          <t>VNSGN</t>
        </is>
      </c>
      <c r="V4" s="161" t="inlineStr">
        <is>
          <t>2026-10-18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ACCORD PILOT LOGISTICS (THAILAND) CO., LTD.</t>
        </is>
      </c>
      <c r="AB4" s="96" t="inlineStr">
        <is>
          <t>ASIAN-PACIFIC CAN CO., LTD.</t>
        </is>
      </c>
      <c r="AC4" s="163" t="n">
        <v>6168</v>
      </c>
      <c r="AD4" s="163" t="n">
        <v>10168</v>
      </c>
      <c r="AE4" s="96" t="inlineStr">
        <is>
          <t>OK</t>
        </is>
      </c>
      <c r="AF4" s="96" t="n"/>
      <c r="AG4" s="97" t="n"/>
      <c r="AH4" s="96" t="inlineStr">
        <is>
          <t>CHK</t>
        </is>
      </c>
      <c r="AI4" s="97" t="n"/>
      <c r="AJ4" s="97" t="n"/>
      <c r="AK4" s="97" t="n"/>
      <c r="AL4" s="97" t="n"/>
      <c r="AM4" s="96" t="inlineStr">
        <is>
          <t>TBKK19</t>
        </is>
      </c>
      <c r="AN4" s="96" t="inlineStr">
        <is>
          <t>Kanokporn</t>
        </is>
      </c>
      <c r="AO4" s="96" t="inlineStr">
        <is>
          <t>401/315 X 301.5 TP PRINTED CAN BODY "APC-SP 3/2 "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>Pickup : 2026-10-09, Return : 2026-10-09 (1ST RTN DD: 11/10/26 WO/RENT)</t>
        </is>
      </c>
      <c r="BA4" s="97" t="n"/>
      <c r="BB4" s="96" t="inlineStr">
        <is>
          <t>P</t>
        </is>
      </c>
      <c r="BC4" s="161" t="inlineStr">
        <is>
          <t>2026-10-01</t>
        </is>
      </c>
      <c r="BD4" s="161" t="inlineStr">
        <is>
          <t>2026-10-15</t>
        </is>
      </c>
      <c r="BE4" s="96" t="inlineStr">
        <is>
          <t>Y</t>
        </is>
      </c>
      <c r="BF4" s="96" t="inlineStr">
        <is>
          <t>EMPTY CAN AND LID HS CODE : 7310.21 AND 8309.90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BKK27</t>
        </is>
      </c>
      <c r="BL4" s="161" t="inlineStr">
        <is>
          <t>2026-10-09</t>
        </is>
      </c>
      <c r="BM4" s="127" t="n"/>
      <c r="BN4" s="127" t="n"/>
      <c r="BO4" s="127" t="n"/>
      <c r="BP4" s="127" t="n">
        <v>1</v>
      </c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BKK02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wararak@pilot.co.th;kitchakun@pilot.co.th</t>
        </is>
      </c>
      <c r="CJ4" s="96" t="inlineStr">
        <is>
          <t>ASIAN-PACIFIC CAN CO.,LTD.</t>
        </is>
      </c>
      <c r="CK4" s="96" t="inlineStr">
        <is>
          <t>MAI LINH COMPANY LIMITED (MAI LINH</t>
        </is>
      </c>
      <c r="CL4" s="96" t="inlineStr">
        <is>
          <t>MAI LINH COMPANY LIMITED (MAI LINH</t>
        </is>
      </c>
      <c r="CM4" s="97" t="n"/>
      <c r="CN4" s="96" t="inlineStr">
        <is>
          <t>202610121700</t>
        </is>
      </c>
      <c r="CO4" s="96" t="inlineStr">
        <is>
          <t>202610141200</t>
        </is>
      </c>
      <c r="CP4" s="97" t="n"/>
      <c r="CQ4" s="96" t="inlineStr">
        <is>
          <t>S19-2308037</t>
        </is>
      </c>
      <c r="CR4" s="96" t="inlineStr">
        <is>
          <t>THTIPI</t>
        </is>
      </c>
      <c r="CS4" s="96" t="inlineStr">
        <is>
          <t>ACCORD PILOT LOGISTICS (THAILAND) CO., LTD.</t>
        </is>
      </c>
      <c r="CT4" s="96" t="inlineStr">
        <is>
          <t>N</t>
        </is>
      </c>
      <c r="CU4" s="97" t="n"/>
      <c r="CV4" s="97" t="n"/>
      <c r="CW4" s="161" t="inlineStr">
        <is>
          <t>2026-10-14</t>
        </is>
      </c>
      <c r="CX4" s="97" t="inlineStr">
        <is>
          <t>731021</t>
        </is>
      </c>
      <c r="CY4" s="183" t="n"/>
    </row>
    <row r="5" ht="12" customHeight="1">
      <c r="A5" s="116" t="inlineStr">
        <is>
          <t>HASLS22260902247</t>
        </is>
      </c>
      <c r="B5" s="96" t="inlineStr">
        <is>
          <t>40Hx1</t>
        </is>
      </c>
      <c r="C5" s="97" t="n">
        <v>1</v>
      </c>
      <c r="D5" s="97" t="n">
        <v>1</v>
      </c>
      <c r="E5" s="97" t="n"/>
      <c r="F5" s="97" t="n">
        <v>0</v>
      </c>
      <c r="G5" s="97" t="n">
        <v>0</v>
      </c>
      <c r="H5" s="97" t="n">
        <v>0</v>
      </c>
      <c r="I5" s="97" t="n">
        <v>1</v>
      </c>
      <c r="J5" s="97" t="n">
        <v>2</v>
      </c>
      <c r="K5" s="96" t="inlineStr">
        <is>
          <t>N</t>
        </is>
      </c>
      <c r="L5" s="96" t="inlineStr">
        <is>
          <t>NTX</t>
        </is>
      </c>
      <c r="M5" s="96" t="inlineStr">
        <is>
          <t>SWBT</t>
        </is>
      </c>
      <c r="N5" s="96" t="inlineStr">
        <is>
          <t>2616N</t>
        </is>
      </c>
      <c r="O5" s="96" t="inlineStr">
        <is>
          <t>THBKK</t>
        </is>
      </c>
      <c r="P5" s="96" t="inlineStr">
        <is>
          <t>BKK02</t>
        </is>
      </c>
      <c r="Q5" s="96" t="inlineStr">
        <is>
          <t>IA</t>
        </is>
      </c>
      <c r="R5" s="161" t="inlineStr">
        <is>
          <t>2026-10-16</t>
        </is>
      </c>
      <c r="S5" s="96" t="inlineStr">
        <is>
          <t>VNSGN</t>
        </is>
      </c>
      <c r="T5" s="96" t="inlineStr">
        <is>
          <t>SGN03</t>
        </is>
      </c>
      <c r="U5" s="96" t="inlineStr">
        <is>
          <t>VNSGN</t>
        </is>
      </c>
      <c r="V5" s="161" t="inlineStr">
        <is>
          <t>2026-10-18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CAPRICORN LOGISTICS CO., LTD.</t>
        </is>
      </c>
      <c r="AB5" s="96" t="inlineStr">
        <is>
          <t xml:space="preserve">GENERAL CANDY CO., LTD. </t>
        </is>
      </c>
      <c r="AC5" s="163" t="n">
        <v>13622.5</v>
      </c>
      <c r="AD5" s="163" t="n">
        <v>17622.5</v>
      </c>
      <c r="AE5" s="96" t="inlineStr">
        <is>
          <t>OK</t>
        </is>
      </c>
      <c r="AF5" s="96" t="inlineStr">
        <is>
          <t>SR</t>
        </is>
      </c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TH0042</t>
        </is>
      </c>
      <c r="AN5" s="96" t="inlineStr">
        <is>
          <t>Sukunpoj Damrongying</t>
        </is>
      </c>
      <c r="AO5" s="96" t="inlineStr">
        <is>
          <t>CANDY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inlineStr">
        <is>
          <t>OBL</t>
        </is>
      </c>
      <c r="AZ5" s="96" t="inlineStr">
        <is>
          <t>Pickup : 2026-10-09, Return : 2026-10-10</t>
        </is>
      </c>
      <c r="BA5" s="97" t="inlineStr">
        <is>
          <t xml:space="preserve">ROLL OVER FROM PREVIOUS VSL PGPO 2612N BY ALLOATION TEAM MS.TARN APPROVED COST IS UNDER HA ACCOUNT
FM 1X20'GP / FM SHPR K.P.FOODS CO., LTD. DD 07/10 </t>
        </is>
      </c>
      <c r="BB5" s="96" t="inlineStr">
        <is>
          <t>P</t>
        </is>
      </c>
      <c r="BC5" s="161" t="inlineStr">
        <is>
          <t>2026-09-24</t>
        </is>
      </c>
      <c r="BD5" s="161" t="inlineStr">
        <is>
          <t>2026-10-14</t>
        </is>
      </c>
      <c r="BE5" s="96" t="inlineStr">
        <is>
          <t>Y</t>
        </is>
      </c>
      <c r="BF5" s="96" t="inlineStr">
        <is>
          <t>CANDY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BKK27</t>
        </is>
      </c>
      <c r="BL5" s="161" t="inlineStr">
        <is>
          <t>2026-10-09</t>
        </is>
      </c>
      <c r="BM5" s="127" t="n"/>
      <c r="BN5" s="127" t="n"/>
      <c r="BO5" s="127" t="n"/>
      <c r="BP5" s="127" t="n">
        <v>1</v>
      </c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BKK02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bkk@capricornlogistics.co.th</t>
        </is>
      </c>
      <c r="CJ5" s="96" t="inlineStr">
        <is>
          <t>CAPRICORN LOGISTICS CO.,LTD.</t>
        </is>
      </c>
      <c r="CK5" s="96" t="inlineStr">
        <is>
          <t>BLUE OCEAN INTERNATIONAL</t>
        </is>
      </c>
      <c r="CL5" s="96" t="inlineStr">
        <is>
          <t>BLUE OCEAN INTERNATIONAL</t>
        </is>
      </c>
      <c r="CM5" s="97" t="inlineStr">
        <is>
          <t>CLOSED</t>
        </is>
      </c>
      <c r="CN5" s="96" t="inlineStr">
        <is>
          <t>202610121700</t>
        </is>
      </c>
      <c r="CO5" s="96" t="inlineStr">
        <is>
          <t>202610141200</t>
        </is>
      </c>
      <c r="CP5" s="97" t="n"/>
      <c r="CQ5" s="96" t="inlineStr">
        <is>
          <t>S22-2609008</t>
        </is>
      </c>
      <c r="CR5" s="96" t="inlineStr">
        <is>
          <t>TH045C</t>
        </is>
      </c>
      <c r="CS5" s="96" t="inlineStr">
        <is>
          <t>CAPRICORN LOGISTICS CO., LTD.</t>
        </is>
      </c>
      <c r="CT5" s="96" t="inlineStr">
        <is>
          <t>N</t>
        </is>
      </c>
      <c r="CU5" s="97" t="n"/>
      <c r="CV5" s="97" t="n"/>
      <c r="CW5" s="161" t="inlineStr">
        <is>
          <t>2026-10-16</t>
        </is>
      </c>
      <c r="CX5" s="97" t="inlineStr">
        <is>
          <t>170490</t>
        </is>
      </c>
      <c r="CY5" s="183" t="inlineStr">
        <is>
          <t>ROLL OVER FROM PREVIOUS VSL PGPO 2612N BY ALLOATION TEAM MS.TARN APPROVED COST IS UNDER HA ACCOUNT</t>
        </is>
      </c>
    </row>
    <row r="6" ht="12" customHeight="1">
      <c r="A6" s="116" t="inlineStr">
        <is>
          <t>HASLS22261000719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NTX</t>
        </is>
      </c>
      <c r="M6" s="96" t="inlineStr">
        <is>
          <t>SWBT</t>
        </is>
      </c>
      <c r="N6" s="96" t="inlineStr">
        <is>
          <t>2616N</t>
        </is>
      </c>
      <c r="O6" s="96" t="inlineStr">
        <is>
          <t>THBKK</t>
        </is>
      </c>
      <c r="P6" s="96" t="inlineStr">
        <is>
          <t>BKK02</t>
        </is>
      </c>
      <c r="Q6" s="96" t="inlineStr">
        <is>
          <t>IA</t>
        </is>
      </c>
      <c r="R6" s="161" t="inlineStr">
        <is>
          <t>2026-10-16</t>
        </is>
      </c>
      <c r="S6" s="96" t="inlineStr">
        <is>
          <t>VNSGN</t>
        </is>
      </c>
      <c r="T6" s="96" t="inlineStr">
        <is>
          <t>SGN03</t>
        </is>
      </c>
      <c r="U6" s="96" t="inlineStr">
        <is>
          <t>VNSGN</t>
        </is>
      </c>
      <c r="V6" s="161" t="inlineStr">
        <is>
          <t>2026-10-18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BILLION LOGISTICS CO., LTD.</t>
        </is>
      </c>
      <c r="AB6" s="96" t="inlineStr">
        <is>
          <t>NEWLY WEDS FOODS (THAILAND) LIMITED</t>
        </is>
      </c>
      <c r="AC6" s="163" t="n">
        <v>5105</v>
      </c>
      <c r="AD6" s="163" t="n">
        <v>7305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TBKK55</t>
        </is>
      </c>
      <c r="AN6" s="96" t="inlineStr">
        <is>
          <t>Vilaiporn</t>
        </is>
      </c>
      <c r="AO6" s="96" t="inlineStr">
        <is>
          <t>FOODSTUFF (DRY BREADCRUMB, WHITE)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OBL</t>
        </is>
      </c>
      <c r="AZ6" s="96" t="inlineStr">
        <is>
          <t>Pickup : 2026-10-12, Return : 2026-10-14 (13/10 HOLIDAY)
closing time to 14 Oct at 23:59 pm</t>
        </is>
      </c>
      <c r="BA6" s="97" t="n"/>
      <c r="BB6" s="96" t="inlineStr">
        <is>
          <t>P</t>
        </is>
      </c>
      <c r="BC6" s="161" t="inlineStr">
        <is>
          <t>2026-10-08</t>
        </is>
      </c>
      <c r="BD6" s="161" t="inlineStr">
        <is>
          <t>2026-10-14</t>
        </is>
      </c>
      <c r="BE6" s="96" t="inlineStr">
        <is>
          <t>Y</t>
        </is>
      </c>
      <c r="BF6" s="96" t="inlineStr">
        <is>
          <t>FOODSTUFF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BKK27</t>
        </is>
      </c>
      <c r="BL6" s="161" t="inlineStr">
        <is>
          <t>2026-10-12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BKK02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booking@bl.co.th</t>
        </is>
      </c>
      <c r="CJ6" s="96" t="inlineStr">
        <is>
          <t>NEWLY WEDS FOODS (THAILAND) LIMITED</t>
        </is>
      </c>
      <c r="CK6" s="96" t="inlineStr">
        <is>
          <t>MINH PHU SEAFOOD CORP</t>
        </is>
      </c>
      <c r="CL6" s="96" t="inlineStr">
        <is>
          <t>MINH PHU SEAFOOD CORP</t>
        </is>
      </c>
      <c r="CM6" s="97" t="inlineStr">
        <is>
          <t>CLOSED</t>
        </is>
      </c>
      <c r="CN6" s="96" t="inlineStr">
        <is>
          <t>202610121700</t>
        </is>
      </c>
      <c r="CO6" s="96" t="inlineStr">
        <is>
          <t>202610141200</t>
        </is>
      </c>
      <c r="CP6" s="97" t="n"/>
      <c r="CQ6" s="96" t="inlineStr">
        <is>
          <t>S19-2210016</t>
        </is>
      </c>
      <c r="CR6" s="96" t="inlineStr">
        <is>
          <t>BB1715</t>
        </is>
      </c>
      <c r="CS6" s="96" t="inlineStr">
        <is>
          <t>BILLION LOGISTICS CO., LTD.</t>
        </is>
      </c>
      <c r="CT6" s="96" t="inlineStr">
        <is>
          <t>N</t>
        </is>
      </c>
      <c r="CU6" s="97" t="n"/>
      <c r="CV6" s="97" t="n"/>
      <c r="CW6" s="161" t="inlineStr">
        <is>
          <t>2026-10-15</t>
        </is>
      </c>
      <c r="CX6" s="97" t="inlineStr">
        <is>
          <t>190190</t>
        </is>
      </c>
      <c r="CY6" s="183" t="n"/>
    </row>
    <row r="7" ht="12" customHeight="1">
      <c r="A7" s="116" t="inlineStr">
        <is>
          <t>HASLS22260902181</t>
        </is>
      </c>
      <c r="B7" s="96" t="inlineStr">
        <is>
          <t>40Hx8</t>
        </is>
      </c>
      <c r="C7" s="97" t="n">
        <v>8</v>
      </c>
      <c r="D7" s="97" t="n">
        <v>8</v>
      </c>
      <c r="E7" s="97" t="n"/>
      <c r="F7" s="97" t="n">
        <v>0</v>
      </c>
      <c r="G7" s="97" t="n">
        <v>0</v>
      </c>
      <c r="H7" s="97" t="n">
        <v>0</v>
      </c>
      <c r="I7" s="97" t="n">
        <v>8</v>
      </c>
      <c r="J7" s="97" t="n">
        <v>16</v>
      </c>
      <c r="K7" s="96" t="inlineStr">
        <is>
          <t>N</t>
        </is>
      </c>
      <c r="L7" s="96" t="inlineStr">
        <is>
          <t>NTX</t>
        </is>
      </c>
      <c r="M7" s="96" t="inlineStr">
        <is>
          <t>SWBT</t>
        </is>
      </c>
      <c r="N7" s="96" t="inlineStr">
        <is>
          <t>2616N</t>
        </is>
      </c>
      <c r="O7" s="96" t="inlineStr">
        <is>
          <t>THBKK</t>
        </is>
      </c>
      <c r="P7" s="96" t="inlineStr">
        <is>
          <t>BKK02</t>
        </is>
      </c>
      <c r="Q7" s="96" t="inlineStr">
        <is>
          <t>IA</t>
        </is>
      </c>
      <c r="R7" s="161" t="inlineStr">
        <is>
          <t>2026-10-16</t>
        </is>
      </c>
      <c r="S7" s="96" t="inlineStr">
        <is>
          <t>VNSGN</t>
        </is>
      </c>
      <c r="T7" s="96" t="inlineStr">
        <is>
          <t>SGN03</t>
        </is>
      </c>
      <c r="U7" s="96" t="inlineStr">
        <is>
          <t>VNSGN</t>
        </is>
      </c>
      <c r="V7" s="161" t="inlineStr">
        <is>
          <t>2026-10-18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BIRLA CARBON (THAILAND) PUBLIC COMPANY LIMITED</t>
        </is>
      </c>
      <c r="AB7" s="96" t="inlineStr">
        <is>
          <t>BIRLA CARBON (THAILAND) PUBLIC COMPANY LIMITED</t>
        </is>
      </c>
      <c r="AC7" s="163" t="n">
        <v>178464</v>
      </c>
      <c r="AD7" s="163" t="n">
        <v>210464</v>
      </c>
      <c r="AE7" s="96" t="inlineStr">
        <is>
          <t>OK</t>
        </is>
      </c>
      <c r="AF7" s="96" t="n"/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TBKK13</t>
        </is>
      </c>
      <c r="AN7" s="96" t="inlineStr">
        <is>
          <t>Dharaporn</t>
        </is>
      </c>
      <c r="AO7" s="96" t="inlineStr">
        <is>
          <t>CARBON BLACK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 xml:space="preserve">Pickup : 2026-10-06, Return : 2026-10-07 [1ST RTN 11/10/2026 W/O RENT]]
</t>
        </is>
      </c>
      <c r="BA7" s="97" t="inlineStr">
        <is>
          <t>FM 10X40'HQ DD 05/10 
FREE TIME AL POL 10DAYS AT UNITHAI</t>
        </is>
      </c>
      <c r="BB7" s="96" t="inlineStr">
        <is>
          <t>P</t>
        </is>
      </c>
      <c r="BC7" s="161" t="inlineStr">
        <is>
          <t>2026-09-23</t>
        </is>
      </c>
      <c r="BD7" s="161" t="inlineStr">
        <is>
          <t>2026-10-12</t>
        </is>
      </c>
      <c r="BE7" s="96" t="inlineStr">
        <is>
          <t>Y</t>
        </is>
      </c>
      <c r="BF7" s="96" t="inlineStr">
        <is>
          <t>CABON BLACK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BKK27</t>
        </is>
      </c>
      <c r="BL7" s="161" t="inlineStr">
        <is>
          <t>2026-10-06</t>
        </is>
      </c>
      <c r="BM7" s="127" t="n"/>
      <c r="BN7" s="127" t="n"/>
      <c r="BO7" s="127" t="n"/>
      <c r="BP7" s="127" t="n">
        <v>8</v>
      </c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BKK02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siriphan.hom@adityabirla.com</t>
        </is>
      </c>
      <c r="CJ7" s="96" t="inlineStr">
        <is>
          <t>BIRLA CARBON (THAILAND) PUBLIC</t>
        </is>
      </c>
      <c r="CK7" s="96" t="inlineStr">
        <is>
          <t>SAILUN (VIETNAM) CO.,LTD</t>
        </is>
      </c>
      <c r="CL7" s="96" t="inlineStr">
        <is>
          <t>SAILUN (VIETNAM) CO.,LTD</t>
        </is>
      </c>
      <c r="CM7" s="97" t="inlineStr">
        <is>
          <t>CLOSED</t>
        </is>
      </c>
      <c r="CN7" s="96" t="inlineStr">
        <is>
          <t>202610121700</t>
        </is>
      </c>
      <c r="CO7" s="96" t="inlineStr">
        <is>
          <t>202610141200</t>
        </is>
      </c>
      <c r="CP7" s="97" t="n"/>
      <c r="CQ7" s="96" t="inlineStr">
        <is>
          <t>S22-2508024</t>
        </is>
      </c>
      <c r="CR7" s="96" t="inlineStr">
        <is>
          <t>THTKYV</t>
        </is>
      </c>
      <c r="CS7" s="96" t="inlineStr">
        <is>
          <t>BIRLA CARBON (THAILAND) PUBLIC COMPANY LIMITED</t>
        </is>
      </c>
      <c r="CT7" s="96" t="inlineStr">
        <is>
          <t>N</t>
        </is>
      </c>
      <c r="CU7" s="97" t="n"/>
      <c r="CV7" s="97" t="n"/>
      <c r="CW7" s="161" t="inlineStr">
        <is>
          <t>2026-10-15</t>
        </is>
      </c>
      <c r="CX7" s="97" t="inlineStr">
        <is>
          <t>280300</t>
        </is>
      </c>
      <c r="CY7" s="183" t="n"/>
    </row>
    <row r="8" ht="12" customHeight="1">
      <c r="A8" s="116" t="inlineStr">
        <is>
          <t>HASLS22261000152</t>
        </is>
      </c>
      <c r="B8" s="96" t="inlineStr">
        <is>
          <t>40Hx1</t>
        </is>
      </c>
      <c r="C8" s="97" t="n">
        <v>1</v>
      </c>
      <c r="D8" s="97" t="n">
        <v>1</v>
      </c>
      <c r="E8" s="97" t="n"/>
      <c r="F8" s="97" t="n">
        <v>0</v>
      </c>
      <c r="G8" s="97" t="n">
        <v>0</v>
      </c>
      <c r="H8" s="97" t="n">
        <v>0</v>
      </c>
      <c r="I8" s="97" t="n">
        <v>1</v>
      </c>
      <c r="J8" s="97" t="n">
        <v>2</v>
      </c>
      <c r="K8" s="96" t="inlineStr">
        <is>
          <t>N</t>
        </is>
      </c>
      <c r="L8" s="96" t="inlineStr">
        <is>
          <t>NTX</t>
        </is>
      </c>
      <c r="M8" s="96" t="inlineStr">
        <is>
          <t>SWBT</t>
        </is>
      </c>
      <c r="N8" s="96" t="inlineStr">
        <is>
          <t>2616N</t>
        </is>
      </c>
      <c r="O8" s="96" t="inlineStr">
        <is>
          <t>THBKK</t>
        </is>
      </c>
      <c r="P8" s="96" t="inlineStr">
        <is>
          <t>BKK02</t>
        </is>
      </c>
      <c r="Q8" s="96" t="inlineStr">
        <is>
          <t>IA</t>
        </is>
      </c>
      <c r="R8" s="161" t="inlineStr">
        <is>
          <t>2026-10-16</t>
        </is>
      </c>
      <c r="S8" s="96" t="inlineStr">
        <is>
          <t>VNSGN</t>
        </is>
      </c>
      <c r="T8" s="96" t="inlineStr">
        <is>
          <t>SGN03</t>
        </is>
      </c>
      <c r="U8" s="96" t="inlineStr">
        <is>
          <t>VNSGN</t>
        </is>
      </c>
      <c r="V8" s="161" t="inlineStr">
        <is>
          <t>2026-10-18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BEE LOGISTICS (THAILAND) CO., LTD.</t>
        </is>
      </c>
      <c r="AB8" s="96" t="inlineStr">
        <is>
          <t>DANONE SPECIALIZED NUTRITION (THAILAND) CO., LTD.</t>
        </is>
      </c>
      <c r="AC8" s="163" t="n">
        <v>15105.9</v>
      </c>
      <c r="AD8" s="163" t="n">
        <v>19105.9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TBKK28</t>
        </is>
      </c>
      <c r="AN8" s="96" t="inlineStr">
        <is>
          <t>Nustsireerach</t>
        </is>
      </c>
      <c r="AO8" s="96" t="inlineStr">
        <is>
          <t>APTAMIL KID UHT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 xml:space="preserve">Pickup : 2026-10-08, Return : 2026-10-09 [1ST RTN 11/10/2026 W/O RENT] </t>
        </is>
      </c>
      <c r="BA8" s="97" t="n"/>
      <c r="BB8" s="96" t="inlineStr">
        <is>
          <t>P</t>
        </is>
      </c>
      <c r="BC8" s="161" t="inlineStr">
        <is>
          <t>2026-10-02</t>
        </is>
      </c>
      <c r="BD8" s="161" t="inlineStr">
        <is>
          <t>2026-10-13</t>
        </is>
      </c>
      <c r="BE8" s="96" t="inlineStr">
        <is>
          <t>Y</t>
        </is>
      </c>
      <c r="BF8" s="96" t="inlineStr">
        <is>
          <t>APTAMIL KID UHT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BKK27</t>
        </is>
      </c>
      <c r="BL8" s="161" t="inlineStr">
        <is>
          <t>2026-10-08</t>
        </is>
      </c>
      <c r="BM8" s="127" t="n"/>
      <c r="BN8" s="127" t="n"/>
      <c r="BO8" s="127" t="n"/>
      <c r="BP8" s="127" t="n">
        <v>1</v>
      </c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BKK02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exp3.th@beelogistics.com;csexp.th@beelogistics.com</t>
        </is>
      </c>
      <c r="CJ8" s="96" t="inlineStr">
        <is>
          <t>BEE LOGISTICS (THAILAND) CO., LTD.</t>
        </is>
      </c>
      <c r="CK8" s="96" t="inlineStr">
        <is>
          <t>BOND GLOBAL LOGISTICS JOINT STOCK</t>
        </is>
      </c>
      <c r="CL8" s="96" t="inlineStr">
        <is>
          <t>BOND GLOBAL LOGISTICS JOINT STOCK</t>
        </is>
      </c>
      <c r="CM8" s="97" t="inlineStr">
        <is>
          <t>CLOSED</t>
        </is>
      </c>
      <c r="CN8" s="96" t="inlineStr">
        <is>
          <t>202610121700</t>
        </is>
      </c>
      <c r="CO8" s="96" t="inlineStr">
        <is>
          <t>202610141200</t>
        </is>
      </c>
      <c r="CP8" s="97" t="n"/>
      <c r="CQ8" s="96" t="inlineStr">
        <is>
          <t>S22-2308015</t>
        </is>
      </c>
      <c r="CR8" s="96" t="inlineStr">
        <is>
          <t>THTIK1</t>
        </is>
      </c>
      <c r="CS8" s="96" t="inlineStr">
        <is>
          <t>BEE LOGISTICS (THAILAND) CO., LTD.</t>
        </is>
      </c>
      <c r="CT8" s="96" t="inlineStr">
        <is>
          <t>N</t>
        </is>
      </c>
      <c r="CU8" s="97" t="n"/>
      <c r="CV8" s="97" t="n"/>
      <c r="CW8" s="161" t="inlineStr">
        <is>
          <t>2026-10-15</t>
        </is>
      </c>
      <c r="CX8" s="97" t="inlineStr">
        <is>
          <t>220299</t>
        </is>
      </c>
      <c r="CY8" s="183" t="n"/>
    </row>
    <row r="9" ht="12" customHeight="1">
      <c r="A9" s="116" t="inlineStr">
        <is>
          <t>HASLS22260902418</t>
        </is>
      </c>
      <c r="B9" s="96" t="inlineStr">
        <is>
          <t>40Hx2</t>
        </is>
      </c>
      <c r="C9" s="97" t="n">
        <v>2</v>
      </c>
      <c r="D9" s="97" t="n">
        <v>2</v>
      </c>
      <c r="E9" s="97" t="n"/>
      <c r="F9" s="97" t="n">
        <v>0</v>
      </c>
      <c r="G9" s="97" t="n">
        <v>0</v>
      </c>
      <c r="H9" s="97" t="n">
        <v>0</v>
      </c>
      <c r="I9" s="97" t="n">
        <v>2</v>
      </c>
      <c r="J9" s="97" t="n">
        <v>4</v>
      </c>
      <c r="K9" s="96" t="inlineStr">
        <is>
          <t>N</t>
        </is>
      </c>
      <c r="L9" s="96" t="inlineStr">
        <is>
          <t>NTX</t>
        </is>
      </c>
      <c r="M9" s="96" t="inlineStr">
        <is>
          <t>SWBT</t>
        </is>
      </c>
      <c r="N9" s="96" t="inlineStr">
        <is>
          <t>2616N</t>
        </is>
      </c>
      <c r="O9" s="96" t="inlineStr">
        <is>
          <t>THBKK</t>
        </is>
      </c>
      <c r="P9" s="96" t="inlineStr">
        <is>
          <t>BKK02</t>
        </is>
      </c>
      <c r="Q9" s="96" t="inlineStr">
        <is>
          <t>IA</t>
        </is>
      </c>
      <c r="R9" s="161" t="inlineStr">
        <is>
          <t>2026-10-16</t>
        </is>
      </c>
      <c r="S9" s="96" t="inlineStr">
        <is>
          <t>VNSGN</t>
        </is>
      </c>
      <c r="T9" s="96" t="inlineStr">
        <is>
          <t>SGN03</t>
        </is>
      </c>
      <c r="U9" s="96" t="inlineStr">
        <is>
          <t>VNSGN</t>
        </is>
      </c>
      <c r="V9" s="161" t="inlineStr">
        <is>
          <t>2026-10-18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BEE LOGISTICS (THAILAND) CO., LTD.</t>
        </is>
      </c>
      <c r="AB9" s="96" t="inlineStr">
        <is>
          <t>DANONE SPECIALIZED NUTRITION (THAILAND) CO., LTD.</t>
        </is>
      </c>
      <c r="AC9" s="163" t="n">
        <v>37108</v>
      </c>
      <c r="AD9" s="163" t="n">
        <v>45108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TBKK28</t>
        </is>
      </c>
      <c r="AN9" s="96" t="inlineStr">
        <is>
          <t>Nustsireerach</t>
        </is>
      </c>
      <c r="AO9" s="96" t="inlineStr">
        <is>
          <t>APTAMIL KID UHT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inlineStr">
        <is>
          <t>OBL</t>
        </is>
      </c>
      <c r="AZ9" s="96" t="inlineStr">
        <is>
          <t>Pickup : 2026-10-08, Return : 2026-10-09 [1ST RTN 11/10/2026 W/O RENT]</t>
        </is>
      </c>
      <c r="BA9" s="97" t="inlineStr">
        <is>
          <t>[Split] - HASLS22261000152</t>
        </is>
      </c>
      <c r="BB9" s="96" t="inlineStr">
        <is>
          <t>P</t>
        </is>
      </c>
      <c r="BC9" s="161" t="inlineStr">
        <is>
          <t>2026-09-25</t>
        </is>
      </c>
      <c r="BD9" s="161" t="inlineStr">
        <is>
          <t>2026-10-13</t>
        </is>
      </c>
      <c r="BE9" s="96" t="inlineStr">
        <is>
          <t>Y</t>
        </is>
      </c>
      <c r="BF9" s="96" t="inlineStr">
        <is>
          <t>APTAMIL KID UHT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BKK27</t>
        </is>
      </c>
      <c r="BL9" s="161" t="inlineStr">
        <is>
          <t>2026-10-08</t>
        </is>
      </c>
      <c r="BM9" s="127" t="n"/>
      <c r="BN9" s="127" t="n"/>
      <c r="BO9" s="127" t="n"/>
      <c r="BP9" s="127" t="n">
        <v>2</v>
      </c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BKK02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exp3.th@beelogistics.com;csexp.th@beelogistics.com</t>
        </is>
      </c>
      <c r="CJ9" s="96" t="inlineStr">
        <is>
          <t>BEE LOGISTICS (THAILAND) CO., LTD.</t>
        </is>
      </c>
      <c r="CK9" s="96" t="inlineStr">
        <is>
          <t>BOND GLOBAL LOGISTICS JOINT STOCK</t>
        </is>
      </c>
      <c r="CL9" s="96" t="inlineStr">
        <is>
          <t>BOND GLOBAL LOGISTICS JOINT STOCK</t>
        </is>
      </c>
      <c r="CM9" s="97" t="inlineStr">
        <is>
          <t>CLOSED</t>
        </is>
      </c>
      <c r="CN9" s="96" t="inlineStr">
        <is>
          <t>202610121700</t>
        </is>
      </c>
      <c r="CO9" s="96" t="inlineStr">
        <is>
          <t>202610141200</t>
        </is>
      </c>
      <c r="CP9" s="97" t="n"/>
      <c r="CQ9" s="96" t="inlineStr">
        <is>
          <t>S22-2308015</t>
        </is>
      </c>
      <c r="CR9" s="96" t="inlineStr">
        <is>
          <t>THTIK1</t>
        </is>
      </c>
      <c r="CS9" s="96" t="inlineStr">
        <is>
          <t>BEE LOGISTICS (THAILAND) CO., LTD.</t>
        </is>
      </c>
      <c r="CT9" s="96" t="inlineStr">
        <is>
          <t>Y</t>
        </is>
      </c>
      <c r="CU9" s="97" t="n"/>
      <c r="CV9" s="97" t="n"/>
      <c r="CW9" s="161" t="inlineStr">
        <is>
          <t>2026-10-15</t>
        </is>
      </c>
      <c r="CX9" s="97" t="inlineStr">
        <is>
          <t>220299</t>
        </is>
      </c>
      <c r="CY9" s="183" t="n"/>
    </row>
    <row r="10" ht="12" customHeight="1">
      <c r="A10" s="116" t="inlineStr">
        <is>
          <t>HASLS22260902812</t>
        </is>
      </c>
      <c r="B10" s="96" t="inlineStr">
        <is>
          <t>40Hx1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0</v>
      </c>
      <c r="H10" s="97" t="n">
        <v>0</v>
      </c>
      <c r="I10" s="97" t="n">
        <v>1</v>
      </c>
      <c r="J10" s="97" t="n">
        <v>2</v>
      </c>
      <c r="K10" s="96" t="inlineStr">
        <is>
          <t>N</t>
        </is>
      </c>
      <c r="L10" s="96" t="inlineStr">
        <is>
          <t>NTX</t>
        </is>
      </c>
      <c r="M10" s="96" t="inlineStr">
        <is>
          <t>SWBT</t>
        </is>
      </c>
      <c r="N10" s="96" t="inlineStr">
        <is>
          <t>2616N</t>
        </is>
      </c>
      <c r="O10" s="96" t="inlineStr">
        <is>
          <t>THBKK</t>
        </is>
      </c>
      <c r="P10" s="96" t="inlineStr">
        <is>
          <t>BKK02</t>
        </is>
      </c>
      <c r="Q10" s="96" t="inlineStr">
        <is>
          <t>IA</t>
        </is>
      </c>
      <c r="R10" s="161" t="inlineStr">
        <is>
          <t>2026-10-16</t>
        </is>
      </c>
      <c r="S10" s="96" t="inlineStr">
        <is>
          <t>VNSGN</t>
        </is>
      </c>
      <c r="T10" s="96" t="inlineStr">
        <is>
          <t>SGN03</t>
        </is>
      </c>
      <c r="U10" s="96" t="inlineStr">
        <is>
          <t>VNSGN</t>
        </is>
      </c>
      <c r="V10" s="161" t="inlineStr">
        <is>
          <t>2026-10-18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OPENSEA CARGO SERVICE CO., LTD.</t>
        </is>
      </c>
      <c r="AB10" s="96" t="inlineStr">
        <is>
          <t>KCG CORPORATION PUBLIC COMPANY LIMITED</t>
        </is>
      </c>
      <c r="AC10" s="163" t="n">
        <v>10170</v>
      </c>
      <c r="AD10" s="163" t="n">
        <v>14170</v>
      </c>
      <c r="AE10" s="96" t="inlineStr">
        <is>
          <t>OK</t>
        </is>
      </c>
      <c r="AF10" s="96" t="n"/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TH0042</t>
        </is>
      </c>
      <c r="AN10" s="96" t="inlineStr">
        <is>
          <t>Sukunpoj Damrongying</t>
        </is>
      </c>
      <c r="AO10" s="96" t="inlineStr">
        <is>
          <t>COOKIES VARIOUS FLAVOURED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OBL</t>
        </is>
      </c>
      <c r="AZ10" s="96" t="inlineStr">
        <is>
          <t>Pickup : 2026-10-12, Return : 2026-10-12</t>
        </is>
      </c>
      <c r="BA10" s="97" t="inlineStr">
        <is>
          <t>SI DD.12/10/26
RQST CHANGE VSL NAME FROM KUS 2616N BY HA DD.5/10
waiting vessel delay</t>
        </is>
      </c>
      <c r="BB10" s="96" t="inlineStr">
        <is>
          <t>P</t>
        </is>
      </c>
      <c r="BC10" s="161" t="inlineStr">
        <is>
          <t>2026-09-30</t>
        </is>
      </c>
      <c r="BD10" s="161" t="inlineStr">
        <is>
          <t>2026-10-12</t>
        </is>
      </c>
      <c r="BE10" s="96" t="inlineStr">
        <is>
          <t>Y</t>
        </is>
      </c>
      <c r="BF10" s="96" t="inlineStr">
        <is>
          <t>FOODSTUFF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BKK25</t>
        </is>
      </c>
      <c r="BL10" s="161" t="inlineStr">
        <is>
          <t>2026-10-12</t>
        </is>
      </c>
      <c r="BM10" s="127" t="n"/>
      <c r="BN10" s="127" t="n"/>
      <c r="BO10" s="127" t="n"/>
      <c r="BP10" s="127" t="n">
        <v>1</v>
      </c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BKK02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contact1opensea@gmail.com</t>
        </is>
      </c>
      <c r="CJ10" s="96" t="inlineStr">
        <is>
          <t>OPENSEA CARGO SERVICE CO.,LTD.</t>
        </is>
      </c>
      <c r="CK10" s="96" t="inlineStr">
        <is>
          <t>TAN TIEN PHAT IMPORT EXPORT &amp;</t>
        </is>
      </c>
      <c r="CL10" s="96" t="inlineStr">
        <is>
          <t>TAN TIEN PHAT IMPORT EXPORT &amp;</t>
        </is>
      </c>
      <c r="CM10" s="97" t="inlineStr">
        <is>
          <t>CLOSED</t>
        </is>
      </c>
      <c r="CN10" s="96" t="inlineStr">
        <is>
          <t>202610121700</t>
        </is>
      </c>
      <c r="CO10" s="96" t="inlineStr">
        <is>
          <t>202610141200</t>
        </is>
      </c>
      <c r="CP10" s="97" t="n"/>
      <c r="CQ10" s="96" t="inlineStr">
        <is>
          <t>S22-2203004</t>
        </is>
      </c>
      <c r="CR10" s="96" t="inlineStr">
        <is>
          <t>BB1735</t>
        </is>
      </c>
      <c r="CS10" s="96" t="inlineStr">
        <is>
          <t>OPENSEA CARGO SERVICE CO., LTD.</t>
        </is>
      </c>
      <c r="CT10" s="96" t="inlineStr">
        <is>
          <t>N</t>
        </is>
      </c>
      <c r="CU10" s="97" t="n"/>
      <c r="CV10" s="97" t="n"/>
      <c r="CW10" s="161" t="inlineStr">
        <is>
          <t>2026-10-15</t>
        </is>
      </c>
      <c r="CX10" s="97" t="inlineStr">
        <is>
          <t>190531</t>
        </is>
      </c>
      <c r="CY10" s="183" t="n"/>
    </row>
    <row r="11" ht="12" customHeight="1">
      <c r="A11" s="116" t="inlineStr">
        <is>
          <t>HASLS22260902158</t>
        </is>
      </c>
      <c r="B11" s="96" t="inlineStr">
        <is>
          <t>20'x2</t>
        </is>
      </c>
      <c r="C11" s="97" t="n">
        <v>2</v>
      </c>
      <c r="D11" s="97" t="n">
        <v>2</v>
      </c>
      <c r="E11" s="97" t="n"/>
      <c r="F11" s="97" t="n">
        <v>0</v>
      </c>
      <c r="G11" s="97" t="n">
        <v>2</v>
      </c>
      <c r="H11" s="97" t="n">
        <v>0</v>
      </c>
      <c r="I11" s="97" t="n">
        <v>0</v>
      </c>
      <c r="J11" s="97" t="n">
        <v>2</v>
      </c>
      <c r="K11" s="96" t="inlineStr">
        <is>
          <t>N</t>
        </is>
      </c>
      <c r="L11" s="96" t="inlineStr">
        <is>
          <t>NTX</t>
        </is>
      </c>
      <c r="M11" s="96" t="inlineStr">
        <is>
          <t>SWBT</t>
        </is>
      </c>
      <c r="N11" s="96" t="inlineStr">
        <is>
          <t>2616N</t>
        </is>
      </c>
      <c r="O11" s="96" t="inlineStr">
        <is>
          <t>THBKK</t>
        </is>
      </c>
      <c r="P11" s="96" t="inlineStr">
        <is>
          <t>BKK02</t>
        </is>
      </c>
      <c r="Q11" s="96" t="inlineStr">
        <is>
          <t>IA</t>
        </is>
      </c>
      <c r="R11" s="161" t="inlineStr">
        <is>
          <t>2026-10-16</t>
        </is>
      </c>
      <c r="S11" s="96" t="inlineStr">
        <is>
          <t>VNSGN</t>
        </is>
      </c>
      <c r="T11" s="96" t="inlineStr">
        <is>
          <t>SGN03</t>
        </is>
      </c>
      <c r="U11" s="96" t="inlineStr">
        <is>
          <t>VNSGN</t>
        </is>
      </c>
      <c r="V11" s="161" t="inlineStr">
        <is>
          <t>2026-10-18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ICONS GLOBAL LOGISTICS CO., LTD.</t>
        </is>
      </c>
      <c r="AB11" s="96" t="inlineStr">
        <is>
          <t>THANAKORN VEGETABLE OIL PRODUCTS CO., LTD.</t>
        </is>
      </c>
      <c r="AC11" s="163" t="n">
        <v>44200</v>
      </c>
      <c r="AD11" s="163" t="n">
        <v>48600</v>
      </c>
      <c r="AE11" s="96" t="inlineStr">
        <is>
          <t>OK</t>
        </is>
      </c>
      <c r="AF11" s="96" t="inlineStr">
        <is>
          <t>SR</t>
        </is>
      </c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TBKK13</t>
        </is>
      </c>
      <c r="AN11" s="96" t="inlineStr">
        <is>
          <t>Dharaporn</t>
        </is>
      </c>
      <c r="AO11" s="96" t="inlineStr">
        <is>
          <t>SOYBEAN OIL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Y</t>
        </is>
      </c>
      <c r="AY11" s="97" t="inlineStr">
        <is>
          <t>OBL</t>
        </is>
      </c>
      <c r="AZ11" s="96" t="inlineStr">
        <is>
          <t>** APPROVED BY GHL DD.23/09/2026 ** *FLEXIBAG ONDECK*
Survey : 2026-10-07, Pickup : 2026-10-08, Return : 2026-10-09</t>
        </is>
      </c>
      <c r="BA11" s="97" t="inlineStr">
        <is>
          <t xml:space="preserve">FM 3X20'GP DD 23/09 </t>
        </is>
      </c>
      <c r="BB11" s="96" t="inlineStr">
        <is>
          <t>P</t>
        </is>
      </c>
      <c r="BC11" s="161" t="inlineStr">
        <is>
          <t>2026-09-23</t>
        </is>
      </c>
      <c r="BD11" s="161" t="inlineStr">
        <is>
          <t>2026-10-14</t>
        </is>
      </c>
      <c r="BE11" s="96" t="inlineStr">
        <is>
          <t>Y</t>
        </is>
      </c>
      <c r="BF11" s="96" t="inlineStr">
        <is>
          <t>SOYBEAN OIL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BKK27</t>
        </is>
      </c>
      <c r="BL11" s="161" t="inlineStr">
        <is>
          <t>2026-10-07</t>
        </is>
      </c>
      <c r="BM11" s="127" t="n"/>
      <c r="BN11" s="127" t="n">
        <v>2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BKK02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csgroup@iconlogistic.com</t>
        </is>
      </c>
      <c r="CJ11" s="96" t="inlineStr">
        <is>
          <t>THANAKORN VEGETABLE OIL PRODUCTS</t>
        </is>
      </c>
      <c r="CK11" s="96" t="inlineStr">
        <is>
          <t>MEKONG COMMODITIES JSC</t>
        </is>
      </c>
      <c r="CL11" s="96" t="inlineStr">
        <is>
          <t>AUSTRALASIAN COMMODITIES PTY LTD</t>
        </is>
      </c>
      <c r="CM11" s="97" t="inlineStr">
        <is>
          <t>CLOSED</t>
        </is>
      </c>
      <c r="CN11" s="96" t="inlineStr">
        <is>
          <t>202610121700</t>
        </is>
      </c>
      <c r="CO11" s="96" t="inlineStr">
        <is>
          <t>202610141200</t>
        </is>
      </c>
      <c r="CP11" s="97" t="n"/>
      <c r="CQ11" s="96" t="inlineStr">
        <is>
          <t>S22-2510003</t>
        </is>
      </c>
      <c r="CR11" s="96" t="inlineStr">
        <is>
          <t>THTH7K</t>
        </is>
      </c>
      <c r="CS11" s="96" t="inlineStr">
        <is>
          <t>ICONS GLOBAL LOGISTICS CO., LTD.</t>
        </is>
      </c>
      <c r="CT11" s="96" t="inlineStr">
        <is>
          <t>N</t>
        </is>
      </c>
      <c r="CU11" s="97" t="n"/>
      <c r="CV11" s="97" t="n"/>
      <c r="CW11" s="161" t="inlineStr">
        <is>
          <t>2026-10-12</t>
        </is>
      </c>
      <c r="CX11" s="97" t="inlineStr">
        <is>
          <t>292320</t>
        </is>
      </c>
      <c r="CY11" s="183" t="n"/>
    </row>
    <row r="12" ht="12" customHeight="1">
      <c r="A12" s="116" t="inlineStr">
        <is>
          <t>HASLS22260902001</t>
        </is>
      </c>
      <c r="B12" s="96" t="inlineStr">
        <is>
          <t>20'x1 40Hx1</t>
        </is>
      </c>
      <c r="C12" s="97" t="n">
        <v>2</v>
      </c>
      <c r="D12" s="97" t="n">
        <v>2</v>
      </c>
      <c r="E12" s="97" t="n"/>
      <c r="F12" s="97" t="n">
        <v>0</v>
      </c>
      <c r="G12" s="97" t="n">
        <v>1</v>
      </c>
      <c r="H12" s="97" t="n">
        <v>0</v>
      </c>
      <c r="I12" s="97" t="n">
        <v>1</v>
      </c>
      <c r="J12" s="97" t="n">
        <v>3</v>
      </c>
      <c r="K12" s="96" t="inlineStr">
        <is>
          <t>N</t>
        </is>
      </c>
      <c r="L12" s="96" t="inlineStr">
        <is>
          <t>NTX</t>
        </is>
      </c>
      <c r="M12" s="96" t="inlineStr">
        <is>
          <t>SWBT</t>
        </is>
      </c>
      <c r="N12" s="96" t="inlineStr">
        <is>
          <t>2616N</t>
        </is>
      </c>
      <c r="O12" s="96" t="inlineStr">
        <is>
          <t>THBKK</t>
        </is>
      </c>
      <c r="P12" s="96" t="inlineStr">
        <is>
          <t>BKK02</t>
        </is>
      </c>
      <c r="Q12" s="96" t="inlineStr">
        <is>
          <t>IA</t>
        </is>
      </c>
      <c r="R12" s="161" t="inlineStr">
        <is>
          <t>2026-10-16</t>
        </is>
      </c>
      <c r="S12" s="96" t="inlineStr">
        <is>
          <t>VNSGN</t>
        </is>
      </c>
      <c r="T12" s="96" t="inlineStr">
        <is>
          <t>SGN03</t>
        </is>
      </c>
      <c r="U12" s="96" t="inlineStr">
        <is>
          <t>VNSGN</t>
        </is>
      </c>
      <c r="V12" s="161" t="inlineStr">
        <is>
          <t>2026-10-18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PRIME LOGISTICS INTERNATIONAL CO., LTD.</t>
        </is>
      </c>
      <c r="AB12" s="96" t="inlineStr">
        <is>
          <t>ROYAL CAN INDUSTRIES CO., LTD.</t>
        </is>
      </c>
      <c r="AC12" s="163" t="n">
        <v>10077</v>
      </c>
      <c r="AD12" s="163" t="n">
        <v>16277</v>
      </c>
      <c r="AE12" s="96" t="inlineStr">
        <is>
          <t>OK</t>
        </is>
      </c>
      <c r="AF12" s="96" t="inlineStr">
        <is>
          <t>SR</t>
        </is>
      </c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TH0011</t>
        </is>
      </c>
      <c r="AN12" s="96" t="inlineStr">
        <is>
          <t>Nannaapust Sukporntaweewat</t>
        </is>
      </c>
      <c r="AO12" s="96" t="inlineStr">
        <is>
          <t>EMPTY CANS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OBL</t>
        </is>
      </c>
      <c r="AZ12" s="96" t="inlineStr">
        <is>
          <t xml:space="preserve">Pickup : 2026-10-08, Return : 2026-10-09 
 </t>
        </is>
      </c>
      <c r="BA12" s="97" t="inlineStr">
        <is>
          <t>PLS SHOW AGENT AT DESTINATION ON B/L</t>
        </is>
      </c>
      <c r="BB12" s="96" t="inlineStr">
        <is>
          <t>P</t>
        </is>
      </c>
      <c r="BC12" s="161" t="inlineStr">
        <is>
          <t>2026-09-22</t>
        </is>
      </c>
      <c r="BD12" s="161" t="inlineStr">
        <is>
          <t>2026-10-12</t>
        </is>
      </c>
      <c r="BE12" s="96" t="inlineStr">
        <is>
          <t>Y</t>
        </is>
      </c>
      <c r="BF12" s="96" t="inlineStr">
        <is>
          <t>EMPTY CANS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BKK25</t>
        </is>
      </c>
      <c r="BL12" s="161" t="inlineStr">
        <is>
          <t>2026-10-08</t>
        </is>
      </c>
      <c r="BM12" s="127" t="n"/>
      <c r="BN12" s="127" t="n">
        <v>1</v>
      </c>
      <c r="BO12" s="127" t="n"/>
      <c r="BP12" s="127" t="n">
        <v>1</v>
      </c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BKK02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noppasorn.a@primeloginter.com</t>
        </is>
      </c>
      <c r="CJ12" s="96" t="inlineStr">
        <is>
          <t>ROYAL CAN INDUSTRIES CO., LTD</t>
        </is>
      </c>
      <c r="CK12" s="96" t="inlineStr">
        <is>
          <t>PATAYA  FOOD INDUSTRIES (VIETNAM)</t>
        </is>
      </c>
      <c r="CL12" s="96" t="inlineStr">
        <is>
          <t>PATAYA  FOOD INDUSTRIES (VIETNAM)</t>
        </is>
      </c>
      <c r="CM12" s="97" t="inlineStr">
        <is>
          <t>CLOSED</t>
        </is>
      </c>
      <c r="CN12" s="96" t="inlineStr">
        <is>
          <t>202610121700</t>
        </is>
      </c>
      <c r="CO12" s="96" t="inlineStr">
        <is>
          <t>202610141200</t>
        </is>
      </c>
      <c r="CP12" s="97" t="n"/>
      <c r="CQ12" s="96" t="inlineStr">
        <is>
          <t>S22-2411029</t>
        </is>
      </c>
      <c r="CR12" s="96" t="inlineStr">
        <is>
          <t>THTRZB</t>
        </is>
      </c>
      <c r="CS12" s="96" t="inlineStr">
        <is>
          <t>PRIME LOGISTICS INTERNATIONAL CO., LTD.</t>
        </is>
      </c>
      <c r="CT12" s="96" t="inlineStr">
        <is>
          <t>N</t>
        </is>
      </c>
      <c r="CU12" s="97" t="n"/>
      <c r="CV12" s="97" t="n"/>
      <c r="CW12" s="161" t="inlineStr">
        <is>
          <t>2026-10-12</t>
        </is>
      </c>
      <c r="CX12" s="97" t="inlineStr">
        <is>
          <t>731021</t>
        </is>
      </c>
      <c r="CY12" s="183" t="n"/>
    </row>
    <row r="13" ht="12" customHeight="1">
      <c r="A13" s="116" t="inlineStr">
        <is>
          <t>HASLS22260902553</t>
        </is>
      </c>
      <c r="B13" s="96" t="inlineStr">
        <is>
          <t>R40Hx1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0</v>
      </c>
      <c r="H13" s="97" t="n">
        <v>0</v>
      </c>
      <c r="I13" s="97" t="n">
        <v>1</v>
      </c>
      <c r="J13" s="97" t="n">
        <v>2</v>
      </c>
      <c r="K13" s="96" t="inlineStr">
        <is>
          <t>N</t>
        </is>
      </c>
      <c r="L13" s="96" t="inlineStr">
        <is>
          <t>NTX</t>
        </is>
      </c>
      <c r="M13" s="96" t="inlineStr">
        <is>
          <t>SWBT</t>
        </is>
      </c>
      <c r="N13" s="96" t="inlineStr">
        <is>
          <t>2616N</t>
        </is>
      </c>
      <c r="O13" s="96" t="inlineStr">
        <is>
          <t>THBKK</t>
        </is>
      </c>
      <c r="P13" s="96" t="inlineStr">
        <is>
          <t>BKK02</t>
        </is>
      </c>
      <c r="Q13" s="96" t="inlineStr">
        <is>
          <t>IA</t>
        </is>
      </c>
      <c r="R13" s="161" t="inlineStr">
        <is>
          <t>2026-10-16</t>
        </is>
      </c>
      <c r="S13" s="96" t="inlineStr">
        <is>
          <t>KRPTK</t>
        </is>
      </c>
      <c r="T13" s="96" t="inlineStr">
        <is>
          <t>PTK02</t>
        </is>
      </c>
      <c r="U13" s="96" t="inlineStr">
        <is>
          <t>KRPTK</t>
        </is>
      </c>
      <c r="V13" s="161" t="inlineStr">
        <is>
          <t>2026-10-24</t>
        </is>
      </c>
      <c r="W13" s="96" t="inlineStr">
        <is>
          <t>KR</t>
        </is>
      </c>
      <c r="X13" s="97" t="n"/>
      <c r="Y13" s="97" t="n"/>
      <c r="Z13" s="97" t="n"/>
      <c r="AA13" s="96" t="inlineStr">
        <is>
          <t>LAND SEA SKY CO., LTD.</t>
        </is>
      </c>
      <c r="AB13" s="96" t="inlineStr">
        <is>
          <t>SAHA FARMS  INTERNATIONAL CO LTD</t>
        </is>
      </c>
      <c r="AC13" s="163" t="n">
        <v>19590.5</v>
      </c>
      <c r="AD13" s="163" t="n">
        <v>23590.5</v>
      </c>
      <c r="AE13" s="96" t="inlineStr">
        <is>
          <t>OK</t>
        </is>
      </c>
      <c r="AF13" s="96" t="n"/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TH0042</t>
        </is>
      </c>
      <c r="AN13" s="96" t="inlineStr">
        <is>
          <t>Sukunpoj Damrongying</t>
        </is>
      </c>
      <c r="AO13" s="96" t="inlineStr">
        <is>
          <t>FROZEN FULLY COOKED CHICKEN MEAT</t>
        </is>
      </c>
      <c r="AP13" s="96" t="inlineStr">
        <is>
          <t>Normal</t>
        </is>
      </c>
      <c r="AQ13" s="97" t="n"/>
      <c r="AR13" s="97" t="n"/>
      <c r="AS13" s="97" t="inlineStr">
        <is>
          <t>RF// MIN:-18.0 MAX:-18.0 [COVER:CLOSE]</t>
        </is>
      </c>
      <c r="AT13" s="97" t="inlineStr">
        <is>
          <t xml:space="preserve">45REx1 </t>
        </is>
      </c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>Pickup : 2026-10-10, Return : 2026-10-13  (Temp -18.0 / Vent Close) 
CLS TIME 13/10/26 @23.59</t>
        </is>
      </c>
      <c r="BA13" s="97" t="inlineStr">
        <is>
          <t>CFM BY P'TARN DD.15/09/2026 
split fm HASLS22260901235TEMP -18 C</t>
        </is>
      </c>
      <c r="BB13" s="96" t="inlineStr">
        <is>
          <t>P</t>
        </is>
      </c>
      <c r="BC13" s="161" t="inlineStr">
        <is>
          <t>2026-09-28</t>
        </is>
      </c>
      <c r="BD13" s="161" t="inlineStr">
        <is>
          <t>2026-10-14</t>
        </is>
      </c>
      <c r="BE13" s="96" t="inlineStr">
        <is>
          <t>Y</t>
        </is>
      </c>
      <c r="BF13" s="96" t="inlineStr">
        <is>
          <t>FROZEN CHICKEN COOK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BKK27</t>
        </is>
      </c>
      <c r="BL13" s="161" t="inlineStr">
        <is>
          <t>2026-10-10</t>
        </is>
      </c>
      <c r="BM13" s="127" t="n"/>
      <c r="BN13" s="127" t="n"/>
      <c r="BO13" s="127" t="n"/>
      <c r="BP13" s="127" t="n"/>
      <c r="BQ13" s="127" t="n"/>
      <c r="BR13" s="127" t="n">
        <v>1</v>
      </c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BKK02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Booking@lss.co.th</t>
        </is>
      </c>
      <c r="CJ13" s="96" t="inlineStr">
        <is>
          <t>SAHA FARMS INTERNATIONAL CO.,LTD.</t>
        </is>
      </c>
      <c r="CK13" s="96" t="inlineStr">
        <is>
          <t>SASE CO.,LTD.</t>
        </is>
      </c>
      <c r="CL13" s="96" t="inlineStr">
        <is>
          <t>SASE CO.,LTD.</t>
        </is>
      </c>
      <c r="CM13" s="97" t="inlineStr">
        <is>
          <t>CLOSED</t>
        </is>
      </c>
      <c r="CN13" s="96" t="inlineStr">
        <is>
          <t>202610121700</t>
        </is>
      </c>
      <c r="CO13" s="96" t="inlineStr">
        <is>
          <t>202610141200</t>
        </is>
      </c>
      <c r="CP13" s="97" t="inlineStr">
        <is>
          <t>45RE x1: RF(Temp:-18.0' / Cover:CLOSE)</t>
        </is>
      </c>
      <c r="CQ13" s="96" t="inlineStr">
        <is>
          <t>S22-2206003</t>
        </is>
      </c>
      <c r="CR13" s="96" t="inlineStr">
        <is>
          <t>THTQLH</t>
        </is>
      </c>
      <c r="CS13" s="96" t="inlineStr">
        <is>
          <t>LAND SEA SKY CO., LTD.</t>
        </is>
      </c>
      <c r="CT13" s="96" t="inlineStr">
        <is>
          <t>N</t>
        </is>
      </c>
      <c r="CU13" s="97" t="n"/>
      <c r="CV13" s="97" t="n"/>
      <c r="CW13" s="161" t="inlineStr">
        <is>
          <t>2026-10-15</t>
        </is>
      </c>
      <c r="CX13" s="97" t="n"/>
      <c r="CY13" s="183" t="n"/>
    </row>
    <row r="14" ht="12" customHeight="1">
      <c r="A14" s="116" t="inlineStr">
        <is>
          <t>HASLS22261000033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NTX</t>
        </is>
      </c>
      <c r="M14" s="96" t="inlineStr">
        <is>
          <t>SWBT</t>
        </is>
      </c>
      <c r="N14" s="96" t="inlineStr">
        <is>
          <t>2616N</t>
        </is>
      </c>
      <c r="O14" s="96" t="inlineStr">
        <is>
          <t>THBKK</t>
        </is>
      </c>
      <c r="P14" s="96" t="inlineStr">
        <is>
          <t>BKK02</t>
        </is>
      </c>
      <c r="Q14" s="96" t="inlineStr">
        <is>
          <t>IA</t>
        </is>
      </c>
      <c r="R14" s="161" t="inlineStr">
        <is>
          <t>2026-10-16</t>
        </is>
      </c>
      <c r="S14" s="96" t="inlineStr">
        <is>
          <t>VNSGN</t>
        </is>
      </c>
      <c r="T14" s="96" t="inlineStr">
        <is>
          <t>SGN03</t>
        </is>
      </c>
      <c r="U14" s="96" t="inlineStr">
        <is>
          <t>VNSGN</t>
        </is>
      </c>
      <c r="V14" s="161" t="inlineStr">
        <is>
          <t>2026-10-18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BUDGET LOGISTICS SERVICES CO., LTD.</t>
        </is>
      </c>
      <c r="AB14" s="96" t="inlineStr">
        <is>
          <t>SIAM QUALITY INDUSTRIES CO., LTD.</t>
        </is>
      </c>
      <c r="AC14" s="163" t="n">
        <v>6769.4</v>
      </c>
      <c r="AD14" s="163" t="n">
        <v>8969.4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TH0011</t>
        </is>
      </c>
      <c r="AN14" s="96" t="inlineStr">
        <is>
          <t>Nannaapust Sukporntaweewat</t>
        </is>
      </c>
      <c r="AO14" s="96" t="inlineStr">
        <is>
          <t>MODELLING CLAY, CLAY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inlineStr">
        <is>
          <t>OBL</t>
        </is>
      </c>
      <c r="AZ14" s="96" t="inlineStr">
        <is>
          <t xml:space="preserve">Pickup : 2026-10-10, Return : 2026-10-12  </t>
        </is>
      </c>
      <c r="BA14" s="97" t="inlineStr">
        <is>
          <t xml:space="preserve">Shipper: Siam Quality Industries Co., Ltd. </t>
        </is>
      </c>
      <c r="BB14" s="96" t="inlineStr">
        <is>
          <t>P</t>
        </is>
      </c>
      <c r="BC14" s="161" t="inlineStr">
        <is>
          <t>2026-10-01</t>
        </is>
      </c>
      <c r="BD14" s="161" t="inlineStr">
        <is>
          <t>2026-10-14</t>
        </is>
      </c>
      <c r="BE14" s="96" t="inlineStr">
        <is>
          <t>Y</t>
        </is>
      </c>
      <c r="BF14" s="96" t="inlineStr">
        <is>
          <t>MODELLING CLAY, CLAY</t>
        </is>
      </c>
      <c r="BG14" s="96" t="inlineStr">
        <is>
          <t>Self</t>
        </is>
      </c>
      <c r="BH14" s="96" t="inlineStr">
        <is>
          <t>S22</t>
        </is>
      </c>
      <c r="BI14" s="97" t="n"/>
      <c r="BJ14" s="97" t="n"/>
      <c r="BK14" s="96" t="inlineStr">
        <is>
          <t>BKK27</t>
        </is>
      </c>
      <c r="BL14" s="161" t="inlineStr">
        <is>
          <t>2026-10-10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BKK02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opsmgr@budgetlogistics-th.com</t>
        </is>
      </c>
      <c r="CJ14" s="96" t="inlineStr">
        <is>
          <t>BUDGET LOGISTICS SERVICES CO.,LTD.</t>
        </is>
      </c>
      <c r="CK14" s="96" t="inlineStr">
        <is>
          <t>VESTAL SHIPPING SERVICES CO., LTD</t>
        </is>
      </c>
      <c r="CL14" s="96" t="inlineStr">
        <is>
          <t>VESTAL SHIPPING SERVICES CO., LTD</t>
        </is>
      </c>
      <c r="CM14" s="97" t="inlineStr">
        <is>
          <t>CLOSED</t>
        </is>
      </c>
      <c r="CN14" s="96" t="inlineStr">
        <is>
          <t>202610121700</t>
        </is>
      </c>
      <c r="CO14" s="96" t="inlineStr">
        <is>
          <t>202610141200</t>
        </is>
      </c>
      <c r="CP14" s="97" t="n"/>
      <c r="CQ14" s="96" t="inlineStr">
        <is>
          <t>S19-2012029</t>
        </is>
      </c>
      <c r="CR14" s="96" t="inlineStr">
        <is>
          <t>THTH1V</t>
        </is>
      </c>
      <c r="CS14" s="96" t="inlineStr">
        <is>
          <t>BUDGET LOGISTICS SERVICES CO., LTD.</t>
        </is>
      </c>
      <c r="CT14" s="96" t="inlineStr">
        <is>
          <t>N</t>
        </is>
      </c>
      <c r="CU14" s="97" t="n"/>
      <c r="CV14" s="97" t="n"/>
      <c r="CW14" s="161" t="inlineStr">
        <is>
          <t>2026-10-15</t>
        </is>
      </c>
      <c r="CX14" s="97" t="inlineStr">
        <is>
          <t>340700</t>
        </is>
      </c>
      <c r="CY14" s="183" t="n"/>
    </row>
    <row r="15" ht="12" customHeight="1">
      <c r="A15" s="116" t="inlineStr">
        <is>
          <t>HASLS22260902671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NTX</t>
        </is>
      </c>
      <c r="M15" s="96" t="inlineStr">
        <is>
          <t>SWBT</t>
        </is>
      </c>
      <c r="N15" s="96" t="inlineStr">
        <is>
          <t>2616N</t>
        </is>
      </c>
      <c r="O15" s="96" t="inlineStr">
        <is>
          <t>THBKK</t>
        </is>
      </c>
      <c r="P15" s="96" t="inlineStr">
        <is>
          <t>BKK02</t>
        </is>
      </c>
      <c r="Q15" s="96" t="inlineStr">
        <is>
          <t>IA</t>
        </is>
      </c>
      <c r="R15" s="161" t="inlineStr">
        <is>
          <t>2026-10-16</t>
        </is>
      </c>
      <c r="S15" s="96" t="inlineStr">
        <is>
          <t>VNSGN</t>
        </is>
      </c>
      <c r="T15" s="96" t="inlineStr">
        <is>
          <t>SGN03</t>
        </is>
      </c>
      <c r="U15" s="96" t="inlineStr">
        <is>
          <t>VNSGN</t>
        </is>
      </c>
      <c r="V15" s="161" t="inlineStr">
        <is>
          <t>2026-10-18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TRUE LOGISTICS CO., LTD.</t>
        </is>
      </c>
      <c r="AB15" s="96" t="inlineStr">
        <is>
          <t>PHARMA TECH CO., LTD.</t>
        </is>
      </c>
      <c r="AC15" s="163" t="n">
        <v>4382.98</v>
      </c>
      <c r="AD15" s="163" t="n">
        <v>6582.98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TH0031</t>
        </is>
      </c>
      <c r="AN15" s="96" t="inlineStr">
        <is>
          <t>Pattarapong Saengthong</t>
        </is>
      </c>
      <c r="AO15" s="96" t="inlineStr">
        <is>
          <t>DYNALIN , NATICOLIN , MULINGUARD , ENFLOXCIN SOLUTION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 xml:space="preserve">Pickup : 2026-10-08, Return : 2026-10-09 </t>
        </is>
      </c>
      <c r="BA15" s="97" t="n"/>
      <c r="BB15" s="96" t="inlineStr">
        <is>
          <t>P</t>
        </is>
      </c>
      <c r="BC15" s="161" t="inlineStr">
        <is>
          <t>2026-09-29</t>
        </is>
      </c>
      <c r="BD15" s="161" t="inlineStr">
        <is>
          <t>2026-10-12</t>
        </is>
      </c>
      <c r="BE15" s="96" t="inlineStr">
        <is>
          <t>Y</t>
        </is>
      </c>
      <c r="BF15" s="96" t="inlineStr">
        <is>
          <t>ANIMAL MEDICINE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BKK27</t>
        </is>
      </c>
      <c r="BL15" s="161" t="inlineStr">
        <is>
          <t>2026-10-08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BKK02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naranrak.b@truelogistics.co.th</t>
        </is>
      </c>
      <c r="CJ15" s="96" t="inlineStr">
        <is>
          <t>TRUE LOGISTICS CO.,LTD.</t>
        </is>
      </c>
      <c r="CK15" s="96" t="inlineStr">
        <is>
          <t>MH LOGS CO.,LTD</t>
        </is>
      </c>
      <c r="CL15" s="96" t="inlineStr">
        <is>
          <t>MH LOGS CO.,LTD</t>
        </is>
      </c>
      <c r="CM15" s="97" t="inlineStr">
        <is>
          <t>CLOSED</t>
        </is>
      </c>
      <c r="CN15" s="96" t="inlineStr">
        <is>
          <t>202610121700</t>
        </is>
      </c>
      <c r="CO15" s="96" t="inlineStr">
        <is>
          <t>202610141200</t>
        </is>
      </c>
      <c r="CP15" s="97" t="n"/>
      <c r="CQ15" s="96" t="inlineStr">
        <is>
          <t>S22-2512022</t>
        </is>
      </c>
      <c r="CR15" s="96" t="inlineStr">
        <is>
          <t>TH04WX</t>
        </is>
      </c>
      <c r="CS15" s="96" t="inlineStr">
        <is>
          <t>TRUE LOGISTICS CO., LTD.</t>
        </is>
      </c>
      <c r="CT15" s="96" t="inlineStr">
        <is>
          <t>N</t>
        </is>
      </c>
      <c r="CU15" s="97" t="n"/>
      <c r="CV15" s="97" t="n"/>
      <c r="CW15" s="161" t="inlineStr">
        <is>
          <t>2026-10-13</t>
        </is>
      </c>
      <c r="CX15" s="97" t="inlineStr">
        <is>
          <t>300420</t>
        </is>
      </c>
      <c r="CY15" s="183" t="n"/>
    </row>
    <row r="16" ht="12" customHeight="1">
      <c r="A16" s="116" t="inlineStr">
        <is>
          <t>HASLS22260902754</t>
        </is>
      </c>
      <c r="B16" s="96" t="inlineStr">
        <is>
          <t>40Hx1</t>
        </is>
      </c>
      <c r="C16" s="97" t="n">
        <v>1</v>
      </c>
      <c r="D16" s="97" t="n">
        <v>1</v>
      </c>
      <c r="E16" s="97" t="n"/>
      <c r="F16" s="97" t="n">
        <v>0</v>
      </c>
      <c r="G16" s="97" t="n">
        <v>0</v>
      </c>
      <c r="H16" s="97" t="n">
        <v>0</v>
      </c>
      <c r="I16" s="97" t="n">
        <v>1</v>
      </c>
      <c r="J16" s="97" t="n">
        <v>2</v>
      </c>
      <c r="K16" s="96" t="inlineStr">
        <is>
          <t>N</t>
        </is>
      </c>
      <c r="L16" s="96" t="inlineStr">
        <is>
          <t>NTX</t>
        </is>
      </c>
      <c r="M16" s="96" t="inlineStr">
        <is>
          <t>SWBT</t>
        </is>
      </c>
      <c r="N16" s="96" t="inlineStr">
        <is>
          <t>2616N</t>
        </is>
      </c>
      <c r="O16" s="96" t="inlineStr">
        <is>
          <t>THBKK</t>
        </is>
      </c>
      <c r="P16" s="96" t="inlineStr">
        <is>
          <t>BKK02</t>
        </is>
      </c>
      <c r="Q16" s="96" t="inlineStr">
        <is>
          <t>IA</t>
        </is>
      </c>
      <c r="R16" s="161" t="inlineStr">
        <is>
          <t>2026-10-16</t>
        </is>
      </c>
      <c r="S16" s="96" t="inlineStr">
        <is>
          <t>VNSGN</t>
        </is>
      </c>
      <c r="T16" s="96" t="inlineStr">
        <is>
          <t>SGN03</t>
        </is>
      </c>
      <c r="U16" s="96" t="inlineStr">
        <is>
          <t>VNSGN</t>
        </is>
      </c>
      <c r="V16" s="161" t="inlineStr">
        <is>
          <t>2026-10-18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FREIGHT LINKS EXPRESS (THAILAND) CO., LTD.</t>
        </is>
      </c>
      <c r="AB16" s="96" t="inlineStr">
        <is>
          <t>FEDERAL-MOGUL (THAILAND) COMPANY LIMITED</t>
        </is>
      </c>
      <c r="AC16" s="163" t="n">
        <v>4990</v>
      </c>
      <c r="AD16" s="163" t="n">
        <v>8990</v>
      </c>
      <c r="AE16" s="96" t="inlineStr">
        <is>
          <t>OK</t>
        </is>
      </c>
      <c r="AF16" s="96" t="inlineStr">
        <is>
          <t>SR</t>
        </is>
      </c>
      <c r="AG16" s="97" t="n"/>
      <c r="AH16" s="96" t="inlineStr">
        <is>
          <t>CON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TBKK28</t>
        </is>
      </c>
      <c r="AN16" s="96" t="inlineStr">
        <is>
          <t>Nustsireerach</t>
        </is>
      </c>
      <c r="AO16" s="96" t="inlineStr">
        <is>
          <t>EMPTY PLASTIC BOBBIN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>Pickup : 2026-10-09, Return : 2026-10-10</t>
        </is>
      </c>
      <c r="BA16" s="97" t="inlineStr">
        <is>
          <t>ROLL OVER FROM PREIVOUS VSL KUS 2616N BY ALLOCATION TEAM MS.TARN APRPOVED COST IS UNDER HA DD.8//10
ACTUAL SHPR: FEDERAL MOGUL (THAILAND) CO.,LTD.PICK UP AT BANGNA DATE: 09/10/2026RTN AT UNITHAI DATE: 10/10/2026</t>
        </is>
      </c>
      <c r="BB16" s="96" t="inlineStr">
        <is>
          <t>P</t>
        </is>
      </c>
      <c r="BC16" s="161" t="inlineStr">
        <is>
          <t>2026-09-30</t>
        </is>
      </c>
      <c r="BD16" s="161" t="inlineStr">
        <is>
          <t>2026-10-12</t>
        </is>
      </c>
      <c r="BE16" s="96" t="inlineStr">
        <is>
          <t>Y</t>
        </is>
      </c>
      <c r="BF16" s="96" t="inlineStr">
        <is>
          <t>EMPTY PLASTIC BOBBIN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BKK27</t>
        </is>
      </c>
      <c r="BL16" s="161" t="inlineStr">
        <is>
          <t>2026-10-09</t>
        </is>
      </c>
      <c r="BM16" s="127" t="n"/>
      <c r="BN16" s="127" t="n"/>
      <c r="BO16" s="127" t="n"/>
      <c r="BP16" s="127" t="n">
        <v>1</v>
      </c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BKK02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oversea12@freightlinks.co.th</t>
        </is>
      </c>
      <c r="CJ16" s="96" t="inlineStr">
        <is>
          <t>FREIGHT LINKS EXPRESS (THAILAND)</t>
        </is>
      </c>
      <c r="CK16" s="96" t="inlineStr">
        <is>
          <t>QUANTERM LOGISTICS VIETNAM CO.,LTD</t>
        </is>
      </c>
      <c r="CL16" s="96" t="inlineStr">
        <is>
          <t>QUANTERM LOGISTICS VIETNAM CO.,LTD</t>
        </is>
      </c>
      <c r="CM16" s="97" t="inlineStr">
        <is>
          <t>CLOSED</t>
        </is>
      </c>
      <c r="CN16" s="96" t="inlineStr">
        <is>
          <t>202610121700</t>
        </is>
      </c>
      <c r="CO16" s="96" t="inlineStr">
        <is>
          <t>202610141200</t>
        </is>
      </c>
      <c r="CP16" s="97" t="n"/>
      <c r="CQ16" s="96" t="inlineStr">
        <is>
          <t>S19-2308006</t>
        </is>
      </c>
      <c r="CR16" s="96" t="inlineStr">
        <is>
          <t>TH05MY</t>
        </is>
      </c>
      <c r="CS16" s="96" t="inlineStr">
        <is>
          <t>FREIGHT LINKS EXPRESS (THAILAND) CO., LTD.</t>
        </is>
      </c>
      <c r="CT16" s="96" t="inlineStr">
        <is>
          <t>N</t>
        </is>
      </c>
      <c r="CU16" s="97" t="n"/>
      <c r="CV16" s="97" t="n"/>
      <c r="CW16" s="161" t="inlineStr">
        <is>
          <t>2026-10-15</t>
        </is>
      </c>
      <c r="CX16" s="97" t="inlineStr">
        <is>
          <t>392340</t>
        </is>
      </c>
      <c r="CY16" s="183" t="inlineStr">
        <is>
          <t>ROLL OVER FROM PREIVOUS VSL KUS 2616N BY ALLOCATION TEAM MS.TARN APRPOVED COST IS UNDER HA DD.8//10</t>
        </is>
      </c>
    </row>
    <row r="17" ht="12" customHeight="1">
      <c r="A17" s="116" t="inlineStr">
        <is>
          <t>HASLS22261000226</t>
        </is>
      </c>
      <c r="B17" s="96" t="inlineStr">
        <is>
          <t>40Hx1</t>
        </is>
      </c>
      <c r="C17" s="97" t="n">
        <v>1</v>
      </c>
      <c r="D17" s="97" t="n">
        <v>1</v>
      </c>
      <c r="E17" s="97" t="n"/>
      <c r="F17" s="97" t="n">
        <v>0</v>
      </c>
      <c r="G17" s="97" t="n">
        <v>0</v>
      </c>
      <c r="H17" s="97" t="n">
        <v>0</v>
      </c>
      <c r="I17" s="97" t="n">
        <v>1</v>
      </c>
      <c r="J17" s="97" t="n">
        <v>2</v>
      </c>
      <c r="K17" s="96" t="inlineStr">
        <is>
          <t>N</t>
        </is>
      </c>
      <c r="L17" s="96" t="inlineStr">
        <is>
          <t>NTX</t>
        </is>
      </c>
      <c r="M17" s="96" t="inlineStr">
        <is>
          <t>SWBT</t>
        </is>
      </c>
      <c r="N17" s="96" t="inlineStr">
        <is>
          <t>2616N</t>
        </is>
      </c>
      <c r="O17" s="96" t="inlineStr">
        <is>
          <t>THBKK</t>
        </is>
      </c>
      <c r="P17" s="96" t="inlineStr">
        <is>
          <t>BKK02</t>
        </is>
      </c>
      <c r="Q17" s="96" t="inlineStr">
        <is>
          <t>IA</t>
        </is>
      </c>
      <c r="R17" s="161" t="inlineStr">
        <is>
          <t>2026-10-16</t>
        </is>
      </c>
      <c r="S17" s="96" t="inlineStr">
        <is>
          <t>VNSGN</t>
        </is>
      </c>
      <c r="T17" s="96" t="inlineStr">
        <is>
          <t>SGN03</t>
        </is>
      </c>
      <c r="U17" s="96" t="inlineStr">
        <is>
          <t>VNSGN</t>
        </is>
      </c>
      <c r="V17" s="161" t="inlineStr">
        <is>
          <t>2026-10-18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CTI LOGISTICS CO., LTD.</t>
        </is>
      </c>
      <c r="AB17" s="96" t="inlineStr">
        <is>
          <t>AT CHIC CO.,LTD</t>
        </is>
      </c>
      <c r="AC17" s="163" t="n">
        <v>25953.5</v>
      </c>
      <c r="AD17" s="163" t="n">
        <v>29953.5</v>
      </c>
      <c r="AE17" s="96" t="inlineStr">
        <is>
          <t>OK</t>
        </is>
      </c>
      <c r="AF17" s="96" t="n"/>
      <c r="AG17" s="97" t="n"/>
      <c r="AH17" s="96" t="inlineStr">
        <is>
          <t>CHK</t>
        </is>
      </c>
      <c r="AI17" s="97" t="n"/>
      <c r="AJ17" s="97" t="n"/>
      <c r="AK17" s="97" t="n"/>
      <c r="AL17" s="97" t="n"/>
      <c r="AM17" s="96" t="inlineStr">
        <is>
          <t>TBKK55</t>
        </is>
      </c>
      <c r="AN17" s="96" t="inlineStr">
        <is>
          <t>Vilaiporn</t>
        </is>
      </c>
      <c r="AO17" s="96" t="inlineStr">
        <is>
          <t>FLAVOUR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n"/>
      <c r="AZ17" s="96" t="inlineStr">
        <is>
          <t xml:space="preserve">Pickup : 2026-10-10, Return : 2026-10-12 
</t>
        </is>
      </c>
      <c r="BA17" s="97" t="inlineStr">
        <is>
          <t xml:space="preserve">CARGO TRANSIT VIA HOCHIMINH CITY PORT TO PHNOM PENH, CAMBODIA </t>
        </is>
      </c>
      <c r="BB17" s="96" t="inlineStr">
        <is>
          <t>P</t>
        </is>
      </c>
      <c r="BC17" s="161" t="inlineStr">
        <is>
          <t>2026-10-03</t>
        </is>
      </c>
      <c r="BD17" s="161" t="inlineStr">
        <is>
          <t>2026-10-15</t>
        </is>
      </c>
      <c r="BE17" s="96" t="inlineStr">
        <is>
          <t>Y</t>
        </is>
      </c>
      <c r="BF17" s="96" t="inlineStr">
        <is>
          <t>FLAVOUR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BKK27</t>
        </is>
      </c>
      <c r="BL17" s="161" t="inlineStr">
        <is>
          <t>2026-10-10</t>
        </is>
      </c>
      <c r="BM17" s="127" t="n"/>
      <c r="BN17" s="127" t="n"/>
      <c r="BO17" s="127" t="n"/>
      <c r="BP17" s="127" t="n">
        <v>1</v>
      </c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BKK02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malin@ctibkk.com</t>
        </is>
      </c>
      <c r="CJ17" s="96" t="inlineStr">
        <is>
          <t>AT CHIC CO.,LTD.</t>
        </is>
      </c>
      <c r="CK17" s="96" t="inlineStr">
        <is>
          <t>Y.U.A.S. (CAMBODIA) CO.,LTD.</t>
        </is>
      </c>
      <c r="CL17" s="96" t="inlineStr">
        <is>
          <t>0318898709 # PH  INTERNATIONAL</t>
        </is>
      </c>
      <c r="CM17" s="97" t="n"/>
      <c r="CN17" s="96" t="inlineStr">
        <is>
          <t>202610121700</t>
        </is>
      </c>
      <c r="CO17" s="96" t="inlineStr">
        <is>
          <t>202610141200</t>
        </is>
      </c>
      <c r="CP17" s="97" t="n"/>
      <c r="CQ17" s="96" t="inlineStr">
        <is>
          <t>S19-2211010</t>
        </is>
      </c>
      <c r="CR17" s="96" t="inlineStr">
        <is>
          <t>THTI8R</t>
        </is>
      </c>
      <c r="CS17" s="96" t="inlineStr">
        <is>
          <t>CTI LOGISTICS CO., LTD.</t>
        </is>
      </c>
      <c r="CT17" s="96" t="inlineStr">
        <is>
          <t>N</t>
        </is>
      </c>
      <c r="CU17" s="97" t="n"/>
      <c r="CV17" s="97" t="n"/>
      <c r="CW17" s="161" t="inlineStr">
        <is>
          <t>2026-10-15</t>
        </is>
      </c>
      <c r="CX17" s="97" t="inlineStr">
        <is>
          <t>330210</t>
        </is>
      </c>
      <c r="CY17" s="183" t="n"/>
    </row>
    <row r="18" ht="12" customHeight="1">
      <c r="A18" s="116" t="inlineStr">
        <is>
          <t>HASLS22260900904</t>
        </is>
      </c>
      <c r="B18" s="96" t="inlineStr">
        <is>
          <t>20'x1 40Hx1</t>
        </is>
      </c>
      <c r="C18" s="97" t="n">
        <v>2</v>
      </c>
      <c r="D18" s="97" t="n">
        <v>2</v>
      </c>
      <c r="E18" s="97" t="n"/>
      <c r="F18" s="97" t="n">
        <v>0</v>
      </c>
      <c r="G18" s="97" t="n">
        <v>1</v>
      </c>
      <c r="H18" s="97" t="n">
        <v>0</v>
      </c>
      <c r="I18" s="97" t="n">
        <v>1</v>
      </c>
      <c r="J18" s="97" t="n">
        <v>3</v>
      </c>
      <c r="K18" s="96" t="inlineStr">
        <is>
          <t>N</t>
        </is>
      </c>
      <c r="L18" s="96" t="inlineStr">
        <is>
          <t>NTX</t>
        </is>
      </c>
      <c r="M18" s="96" t="inlineStr">
        <is>
          <t>SWBT</t>
        </is>
      </c>
      <c r="N18" s="96" t="inlineStr">
        <is>
          <t>2616N</t>
        </is>
      </c>
      <c r="O18" s="96" t="inlineStr">
        <is>
          <t>THBKK</t>
        </is>
      </c>
      <c r="P18" s="96" t="inlineStr">
        <is>
          <t>BKK02</t>
        </is>
      </c>
      <c r="Q18" s="96" t="inlineStr">
        <is>
          <t>IA</t>
        </is>
      </c>
      <c r="R18" s="161" t="inlineStr">
        <is>
          <t>2026-10-16</t>
        </is>
      </c>
      <c r="S18" s="96" t="inlineStr">
        <is>
          <t>RUVVO</t>
        </is>
      </c>
      <c r="T18" s="96" t="inlineStr">
        <is>
          <t>VVO01</t>
        </is>
      </c>
      <c r="U18" s="96" t="inlineStr">
        <is>
          <t>RUVVO</t>
        </is>
      </c>
      <c r="V18" s="161" t="inlineStr">
        <is>
          <t>2026-11-02</t>
        </is>
      </c>
      <c r="W18" s="96" t="inlineStr">
        <is>
          <t>RU</t>
        </is>
      </c>
      <c r="X18" s="97" t="n"/>
      <c r="Y18" s="97" t="inlineStr">
        <is>
          <t>PUS05</t>
        </is>
      </c>
      <c r="Z18" s="97" t="inlineStr">
        <is>
          <t>KRPUS</t>
        </is>
      </c>
      <c r="AA18" s="96" t="inlineStr">
        <is>
          <t>MJ LOGISTICS (THAILAND) CO., LTD.</t>
        </is>
      </c>
      <c r="AB18" s="96" t="inlineStr">
        <is>
          <t>TAVEEPHOL PRODUCT CO.,LTD.</t>
        </is>
      </c>
      <c r="AC18" s="163" t="n">
        <v>17290</v>
      </c>
      <c r="AD18" s="163" t="n">
        <v>23490</v>
      </c>
      <c r="AE18" s="96" t="inlineStr">
        <is>
          <t>OK</t>
        </is>
      </c>
      <c r="AF18" s="96" t="n"/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E0011</t>
        </is>
      </c>
      <c r="AN18" s="96" t="inlineStr">
        <is>
          <t>KIM JEONG HWAN</t>
        </is>
      </c>
      <c r="AO18" s="96" t="inlineStr">
        <is>
          <t>ASSORTED FLAVOUR DRINK</t>
        </is>
      </c>
      <c r="AP18" s="96" t="inlineStr">
        <is>
          <t>T/S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>[FIX]SWBT/2616N/10/27[FIX] Pickup : 2026-10-08, Return : 2026-10-10</t>
        </is>
      </c>
      <c r="BA18" s="97" t="inlineStr">
        <is>
          <t>FM SWAL 2608N 25/09</t>
        </is>
      </c>
      <c r="BB18" s="96" t="inlineStr">
        <is>
          <t>C</t>
        </is>
      </c>
      <c r="BC18" s="161" t="inlineStr">
        <is>
          <t>2026-09-10</t>
        </is>
      </c>
      <c r="BD18" s="161" t="inlineStr">
        <is>
          <t>2026-10-14</t>
        </is>
      </c>
      <c r="BE18" s="96" t="inlineStr">
        <is>
          <t>Y</t>
        </is>
      </c>
      <c r="BF18" s="96" t="inlineStr">
        <is>
          <t>ASSORTED FLAVOUR DRINK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BKK25</t>
        </is>
      </c>
      <c r="BL18" s="161" t="inlineStr">
        <is>
          <t>2026-10-08</t>
        </is>
      </c>
      <c r="BM18" s="127" t="n"/>
      <c r="BN18" s="127" t="n">
        <v>1</v>
      </c>
      <c r="BO18" s="127" t="n"/>
      <c r="BP18" s="127" t="n">
        <v>1</v>
      </c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>
        <v>4</v>
      </c>
      <c r="CA18" s="96" t="inlineStr">
        <is>
          <t>Y</t>
        </is>
      </c>
      <c r="CB18" s="97" t="n"/>
      <c r="CC18" s="96" t="inlineStr">
        <is>
          <t>BKK02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inlineStr">
        <is>
          <t>POL: THBKK [SWBT/2616N]; T/S(1st): KRPUS [SWTD/9019N]; POD: RUVVO [/]</t>
        </is>
      </c>
      <c r="CI18" s="96" t="inlineStr">
        <is>
          <t>bkk@mjlog.co.th</t>
        </is>
      </c>
      <c r="CJ18" s="96" t="inlineStr">
        <is>
          <t>TAVEEPHOL PRODUCT CO., LTD.</t>
        </is>
      </c>
      <c r="CK18" s="96" t="inlineStr">
        <is>
          <t>DV NEVADA CO., LTD</t>
        </is>
      </c>
      <c r="CL18" s="96" t="inlineStr">
        <is>
          <t>FAR EAST BRANCH RUSCON LTD.</t>
        </is>
      </c>
      <c r="CM18" s="97" t="inlineStr">
        <is>
          <t>CLOSED</t>
        </is>
      </c>
      <c r="CN18" s="96" t="inlineStr">
        <is>
          <t>202610121700</t>
        </is>
      </c>
      <c r="CO18" s="96" t="inlineStr">
        <is>
          <t>202610141200</t>
        </is>
      </c>
      <c r="CP18" s="97" t="n"/>
      <c r="CQ18" s="96" t="inlineStr">
        <is>
          <t>K01-2310041</t>
        </is>
      </c>
      <c r="CR18" s="96" t="inlineStr">
        <is>
          <t>THTKFU</t>
        </is>
      </c>
      <c r="CS18" s="96" t="inlineStr">
        <is>
          <t>MJ LOGISTICS (THAILAND) CO., LTD.</t>
        </is>
      </c>
      <c r="CT18" s="96" t="inlineStr">
        <is>
          <t>N</t>
        </is>
      </c>
      <c r="CU18" s="97" t="n"/>
      <c r="CV18" s="97" t="n"/>
      <c r="CW18" s="161" t="inlineStr">
        <is>
          <t>2026-10-12</t>
        </is>
      </c>
      <c r="CX18" s="97" t="inlineStr">
        <is>
          <t>190590</t>
        </is>
      </c>
      <c r="CY18" s="183" t="n"/>
    </row>
    <row r="19" ht="12" customHeight="1">
      <c r="A19" s="116" t="inlineStr">
        <is>
          <t>HASLS22260902556</t>
        </is>
      </c>
      <c r="B19" s="96" t="inlineStr">
        <is>
          <t>R40Hx1</t>
        </is>
      </c>
      <c r="C19" s="97" t="n">
        <v>1</v>
      </c>
      <c r="D19" s="97" t="n">
        <v>1</v>
      </c>
      <c r="E19" s="97" t="n"/>
      <c r="F19" s="97" t="n">
        <v>0</v>
      </c>
      <c r="G19" s="97" t="n">
        <v>0</v>
      </c>
      <c r="H19" s="97" t="n">
        <v>0</v>
      </c>
      <c r="I19" s="97" t="n">
        <v>1</v>
      </c>
      <c r="J19" s="97" t="n">
        <v>2</v>
      </c>
      <c r="K19" s="96" t="inlineStr">
        <is>
          <t>N</t>
        </is>
      </c>
      <c r="L19" s="96" t="inlineStr">
        <is>
          <t>NTX</t>
        </is>
      </c>
      <c r="M19" s="96" t="inlineStr">
        <is>
          <t>SWBT</t>
        </is>
      </c>
      <c r="N19" s="96" t="inlineStr">
        <is>
          <t>2616N</t>
        </is>
      </c>
      <c r="O19" s="96" t="inlineStr">
        <is>
          <t>THBKK</t>
        </is>
      </c>
      <c r="P19" s="96" t="inlineStr">
        <is>
          <t>BKK02</t>
        </is>
      </c>
      <c r="Q19" s="96" t="inlineStr">
        <is>
          <t>IA</t>
        </is>
      </c>
      <c r="R19" s="161" t="inlineStr">
        <is>
          <t>2026-10-16</t>
        </is>
      </c>
      <c r="S19" s="96" t="inlineStr">
        <is>
          <t>KRPTK</t>
        </is>
      </c>
      <c r="T19" s="96" t="inlineStr">
        <is>
          <t>PTK02</t>
        </is>
      </c>
      <c r="U19" s="96" t="inlineStr">
        <is>
          <t>KRPTK</t>
        </is>
      </c>
      <c r="V19" s="161" t="inlineStr">
        <is>
          <t>2026-10-24</t>
        </is>
      </c>
      <c r="W19" s="96" t="inlineStr">
        <is>
          <t>KR</t>
        </is>
      </c>
      <c r="X19" s="97" t="n"/>
      <c r="Y19" s="97" t="n"/>
      <c r="Z19" s="97" t="n"/>
      <c r="AA19" s="96" t="inlineStr">
        <is>
          <t>LAND SEA SKY CO., LTD.</t>
        </is>
      </c>
      <c r="AB19" s="96" t="inlineStr">
        <is>
          <t>SAHA FARMS  INTERNATIONAL CO LTD</t>
        </is>
      </c>
      <c r="AC19" s="163" t="n">
        <v>20737.5</v>
      </c>
      <c r="AD19" s="163" t="n">
        <v>24737.5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TH0042</t>
        </is>
      </c>
      <c r="AN19" s="96" t="inlineStr">
        <is>
          <t>Sukunpoj Damrongying</t>
        </is>
      </c>
      <c r="AO19" s="96" t="inlineStr">
        <is>
          <t>FROZEN FULLY COOKED CHICKEN MEAT</t>
        </is>
      </c>
      <c r="AP19" s="96" t="inlineStr">
        <is>
          <t>Normal</t>
        </is>
      </c>
      <c r="AQ19" s="97" t="n"/>
      <c r="AR19" s="97" t="n"/>
      <c r="AS19" s="97" t="inlineStr">
        <is>
          <t>RF// MIN:-18.0 MAX:-18.0 [COVER:CLOSE]</t>
        </is>
      </c>
      <c r="AT19" s="97" t="inlineStr">
        <is>
          <t xml:space="preserve">45REx1 </t>
        </is>
      </c>
      <c r="AU19" s="97" t="n"/>
      <c r="AV19" s="97" t="n"/>
      <c r="AW19" s="97" t="n">
        <v>0</v>
      </c>
      <c r="AX19" s="96" t="inlineStr">
        <is>
          <t>N</t>
        </is>
      </c>
      <c r="AY19" s="97" t="inlineStr">
        <is>
          <t>OBL</t>
        </is>
      </c>
      <c r="AZ19" s="96" t="inlineStr">
        <is>
          <t xml:space="preserve">Pickup : 2026-10-07, Return : 2026-10-09 RF45REx1 (Temp -18.0 / Vent Close) 
CLS TIME 14/10 @12.00 [1ST RTN 12/10 W/O ELECTRIC] 
 </t>
        </is>
      </c>
      <c r="BA19" s="97" t="inlineStr">
        <is>
          <t>CFM BY P'TARN DD.15/09/2026 
split fm HASLS22260901235TEMP -18 C</t>
        </is>
      </c>
      <c r="BB19" s="96" t="inlineStr">
        <is>
          <t>P</t>
        </is>
      </c>
      <c r="BC19" s="161" t="inlineStr">
        <is>
          <t>2026-09-28</t>
        </is>
      </c>
      <c r="BD19" s="161" t="inlineStr">
        <is>
          <t>2026-10-14</t>
        </is>
      </c>
      <c r="BE19" s="96" t="inlineStr">
        <is>
          <t>Y</t>
        </is>
      </c>
      <c r="BF19" s="96" t="inlineStr">
        <is>
          <t>FROZEN CHICKEN COOK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BKK27</t>
        </is>
      </c>
      <c r="BL19" s="161" t="inlineStr">
        <is>
          <t>2026-10-07</t>
        </is>
      </c>
      <c r="BM19" s="127" t="n"/>
      <c r="BN19" s="127" t="n"/>
      <c r="BO19" s="127" t="n"/>
      <c r="BP19" s="127" t="n"/>
      <c r="BQ19" s="127" t="n"/>
      <c r="BR19" s="127" t="n">
        <v>1</v>
      </c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BKK02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Booking@lss.co.th</t>
        </is>
      </c>
      <c r="CJ19" s="96" t="inlineStr">
        <is>
          <t>SAHA FARMS INTERNATIONAL CO.,LTD.</t>
        </is>
      </c>
      <c r="CK19" s="96" t="inlineStr">
        <is>
          <t>SASE CO.,LTD.</t>
        </is>
      </c>
      <c r="CL19" s="96" t="inlineStr">
        <is>
          <t>SASE CO.,LTD.</t>
        </is>
      </c>
      <c r="CM19" s="97" t="inlineStr">
        <is>
          <t>CLOSED</t>
        </is>
      </c>
      <c r="CN19" s="96" t="inlineStr">
        <is>
          <t>202610121700</t>
        </is>
      </c>
      <c r="CO19" s="96" t="inlineStr">
        <is>
          <t>202610141200</t>
        </is>
      </c>
      <c r="CP19" s="97" t="inlineStr">
        <is>
          <t>45RE x1: RF(Temp:-18.0' / Cover:CLOSE)</t>
        </is>
      </c>
      <c r="CQ19" s="96" t="inlineStr">
        <is>
          <t>S22-2206003</t>
        </is>
      </c>
      <c r="CR19" s="96" t="inlineStr">
        <is>
          <t>THTQLH</t>
        </is>
      </c>
      <c r="CS19" s="96" t="inlineStr">
        <is>
          <t>LAND SEA SKY CO., LTD.</t>
        </is>
      </c>
      <c r="CT19" s="96" t="inlineStr">
        <is>
          <t>N</t>
        </is>
      </c>
      <c r="CU19" s="97" t="n"/>
      <c r="CV19" s="97" t="n"/>
      <c r="CW19" s="161" t="inlineStr">
        <is>
          <t>2026-10-15</t>
        </is>
      </c>
      <c r="CX19" s="97" t="n"/>
      <c r="CY19" s="183" t="n"/>
    </row>
    <row r="20" ht="12" customHeight="1">
      <c r="A20" s="116" t="inlineStr">
        <is>
          <t>HASLS22260901590</t>
        </is>
      </c>
      <c r="B20" s="96" t="inlineStr">
        <is>
          <t>40Hx1</t>
        </is>
      </c>
      <c r="C20" s="97" t="n">
        <v>1</v>
      </c>
      <c r="D20" s="97" t="n">
        <v>1</v>
      </c>
      <c r="E20" s="97" t="n"/>
      <c r="F20" s="97" t="n">
        <v>0</v>
      </c>
      <c r="G20" s="97" t="n">
        <v>0</v>
      </c>
      <c r="H20" s="97" t="n">
        <v>0</v>
      </c>
      <c r="I20" s="97" t="n">
        <v>1</v>
      </c>
      <c r="J20" s="97" t="n">
        <v>2</v>
      </c>
      <c r="K20" s="96" t="inlineStr">
        <is>
          <t>N</t>
        </is>
      </c>
      <c r="L20" s="96" t="inlineStr">
        <is>
          <t>NTX</t>
        </is>
      </c>
      <c r="M20" s="96" t="inlineStr">
        <is>
          <t>SWBT</t>
        </is>
      </c>
      <c r="N20" s="96" t="inlineStr">
        <is>
          <t>2616N</t>
        </is>
      </c>
      <c r="O20" s="96" t="inlineStr">
        <is>
          <t>THBKK</t>
        </is>
      </c>
      <c r="P20" s="96" t="inlineStr">
        <is>
          <t>BKK02</t>
        </is>
      </c>
      <c r="Q20" s="96" t="inlineStr">
        <is>
          <t>IA</t>
        </is>
      </c>
      <c r="R20" s="161" t="inlineStr">
        <is>
          <t>2026-10-16</t>
        </is>
      </c>
      <c r="S20" s="96" t="inlineStr">
        <is>
          <t>VNSGN</t>
        </is>
      </c>
      <c r="T20" s="96" t="inlineStr">
        <is>
          <t>SGN03</t>
        </is>
      </c>
      <c r="U20" s="96" t="inlineStr">
        <is>
          <t>VNSGN</t>
        </is>
      </c>
      <c r="V20" s="161" t="inlineStr">
        <is>
          <t>2026-10-18</t>
        </is>
      </c>
      <c r="W20" s="96" t="inlineStr">
        <is>
          <t>IA</t>
        </is>
      </c>
      <c r="X20" s="97" t="n"/>
      <c r="Y20" s="97" t="n"/>
      <c r="Z20" s="97" t="n"/>
      <c r="AA20" s="96" t="inlineStr">
        <is>
          <t>EUROFREIGHT INTERNATIONAL CO.,LTD.</t>
        </is>
      </c>
      <c r="AB20" s="96" t="inlineStr">
        <is>
          <t>PETCHKASEM WEAVING (1983) CO., LTD.</t>
        </is>
      </c>
      <c r="AC20" s="163" t="n">
        <v>19682.17</v>
      </c>
      <c r="AD20" s="163" t="n">
        <v>23682.17</v>
      </c>
      <c r="AE20" s="96" t="inlineStr">
        <is>
          <t>OK</t>
        </is>
      </c>
      <c r="AF20" s="96" t="inlineStr">
        <is>
          <t>SR</t>
        </is>
      </c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TBKK97</t>
        </is>
      </c>
      <c r="AN20" s="96" t="inlineStr">
        <is>
          <t>Arunphat W. (Aiw)</t>
        </is>
      </c>
      <c r="AO20" s="96" t="inlineStr">
        <is>
          <t>FABRIC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inlineStr">
        <is>
          <t>OBL</t>
        </is>
      </c>
      <c r="AZ20" s="96" t="inlineStr">
        <is>
          <t xml:space="preserve">Pickup : 2026-10-09, Return : 2026-10-09 (1ST RETURN 09/10 W/O RENT)
 </t>
        </is>
      </c>
      <c r="BA20" s="97" t="inlineStr">
        <is>
          <t>GOOD AND CLEAN CONTAINER</t>
        </is>
      </c>
      <c r="BB20" s="96" t="inlineStr">
        <is>
          <t>P</t>
        </is>
      </c>
      <c r="BC20" s="161" t="inlineStr">
        <is>
          <t>2026-09-17</t>
        </is>
      </c>
      <c r="BD20" s="161" t="inlineStr">
        <is>
          <t>2026-10-12</t>
        </is>
      </c>
      <c r="BE20" s="96" t="inlineStr">
        <is>
          <t>Y</t>
        </is>
      </c>
      <c r="BF20" s="96" t="inlineStr">
        <is>
          <t>FABRIC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BKK27</t>
        </is>
      </c>
      <c r="BL20" s="161" t="inlineStr">
        <is>
          <t>2026-10-09</t>
        </is>
      </c>
      <c r="BM20" s="127" t="n"/>
      <c r="BN20" s="127" t="n"/>
      <c r="BO20" s="127" t="n"/>
      <c r="BP20" s="127" t="n">
        <v>1</v>
      </c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inlineStr">
        <is>
          <t>Y</t>
        </is>
      </c>
      <c r="CB20" s="97" t="n"/>
      <c r="CC20" s="96" t="inlineStr">
        <is>
          <t>BKK02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eurofrt.admin@eurofrt.com</t>
        </is>
      </c>
      <c r="CJ20" s="96" t="inlineStr">
        <is>
          <t>EUROFREIGHT INTERNATIONAL CO., LTD.</t>
        </is>
      </c>
      <c r="CK20" s="96" t="inlineStr">
        <is>
          <t>VICA LOGISTICS - HCM BRANCH</t>
        </is>
      </c>
      <c r="CL20" s="96" t="inlineStr">
        <is>
          <t>VICA LOGISTICS - HCM BRANCH</t>
        </is>
      </c>
      <c r="CM20" s="97" t="inlineStr">
        <is>
          <t>CLOSED</t>
        </is>
      </c>
      <c r="CN20" s="96" t="inlineStr">
        <is>
          <t>202610121700</t>
        </is>
      </c>
      <c r="CO20" s="96" t="inlineStr">
        <is>
          <t>202610141200</t>
        </is>
      </c>
      <c r="CP20" s="97" t="n"/>
      <c r="CQ20" s="96" t="inlineStr">
        <is>
          <t>S22-2607010</t>
        </is>
      </c>
      <c r="CR20" s="96" t="inlineStr">
        <is>
          <t>TH03MB</t>
        </is>
      </c>
      <c r="CS20" s="96" t="inlineStr">
        <is>
          <t>EUROFREIGHT INTERNATIONAL CO.,LTD.</t>
        </is>
      </c>
      <c r="CT20" s="96" t="inlineStr">
        <is>
          <t>N</t>
        </is>
      </c>
      <c r="CU20" s="97" t="n"/>
      <c r="CV20" s="97" t="n"/>
      <c r="CW20" s="161" t="inlineStr">
        <is>
          <t>2026-10-12</t>
        </is>
      </c>
      <c r="CX20" s="97" t="inlineStr">
        <is>
          <t>520942</t>
        </is>
      </c>
      <c r="CY20" s="183" t="n"/>
    </row>
    <row r="21" ht="12" customHeight="1">
      <c r="A21" s="116" t="inlineStr">
        <is>
          <t>HASLS22261000079</t>
        </is>
      </c>
      <c r="B21" s="96" t="inlineStr">
        <is>
          <t>20'x1</t>
        </is>
      </c>
      <c r="C21" s="97" t="n">
        <v>1</v>
      </c>
      <c r="D21" s="97" t="n">
        <v>1</v>
      </c>
      <c r="E21" s="97" t="n"/>
      <c r="F21" s="97" t="n">
        <v>0</v>
      </c>
      <c r="G21" s="97" t="n">
        <v>1</v>
      </c>
      <c r="H21" s="97" t="n">
        <v>0</v>
      </c>
      <c r="I21" s="97" t="n">
        <v>0</v>
      </c>
      <c r="J21" s="97" t="n">
        <v>1</v>
      </c>
      <c r="K21" s="96" t="inlineStr">
        <is>
          <t>N</t>
        </is>
      </c>
      <c r="L21" s="96" t="inlineStr">
        <is>
          <t>NTX</t>
        </is>
      </c>
      <c r="M21" s="96" t="inlineStr">
        <is>
          <t>SWBT</t>
        </is>
      </c>
      <c r="N21" s="96" t="inlineStr">
        <is>
          <t>2616N</t>
        </is>
      </c>
      <c r="O21" s="96" t="inlineStr">
        <is>
          <t>THBKK</t>
        </is>
      </c>
      <c r="P21" s="96" t="inlineStr">
        <is>
          <t>BKK02</t>
        </is>
      </c>
      <c r="Q21" s="96" t="inlineStr">
        <is>
          <t>IA</t>
        </is>
      </c>
      <c r="R21" s="161" t="inlineStr">
        <is>
          <t>2026-10-16</t>
        </is>
      </c>
      <c r="S21" s="96" t="inlineStr">
        <is>
          <t>VNSGN</t>
        </is>
      </c>
      <c r="T21" s="96" t="inlineStr">
        <is>
          <t>SGN03</t>
        </is>
      </c>
      <c r="U21" s="96" t="inlineStr">
        <is>
          <t>VNSGN</t>
        </is>
      </c>
      <c r="V21" s="161" t="inlineStr">
        <is>
          <t>2026-10-18</t>
        </is>
      </c>
      <c r="W21" s="96" t="inlineStr">
        <is>
          <t>IA</t>
        </is>
      </c>
      <c r="X21" s="97" t="n"/>
      <c r="Y21" s="97" t="n"/>
      <c r="Z21" s="97" t="n"/>
      <c r="AA21" s="96" t="inlineStr">
        <is>
          <t>EAST-LINK CORPORATION CO., LTD.</t>
        </is>
      </c>
      <c r="AB21" s="96" t="inlineStr">
        <is>
          <t>NARA GLOBALCO., LTD.</t>
        </is>
      </c>
      <c r="AC21" s="163" t="n">
        <v>7295</v>
      </c>
      <c r="AD21" s="163" t="n">
        <v>9495</v>
      </c>
      <c r="AE21" s="96" t="inlineStr">
        <is>
          <t>OK</t>
        </is>
      </c>
      <c r="AF21" s="96" t="inlineStr">
        <is>
          <t>SR</t>
        </is>
      </c>
      <c r="AG21" s="97" t="n"/>
      <c r="AH21" s="96" t="inlineStr">
        <is>
          <t>CON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TBKK13</t>
        </is>
      </c>
      <c r="AN21" s="96" t="inlineStr">
        <is>
          <t>Dharaporn</t>
        </is>
      </c>
      <c r="AO21" s="96" t="inlineStr">
        <is>
          <t>MODELING CLAY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inlineStr">
        <is>
          <t>OBL</t>
        </is>
      </c>
      <c r="AZ21" s="96" t="inlineStr">
        <is>
          <t>Pickup : 2026-10-09, Return : 2026-10-10 (1ST RTN DD: 11/10/26 WO/RENT)</t>
        </is>
      </c>
      <c r="BA21" s="97" t="inlineStr">
        <is>
          <t>RQS CLEAN &amp; GOOD CONTAINER CONDITION.</t>
        </is>
      </c>
      <c r="BB21" s="96" t="inlineStr">
        <is>
          <t>C</t>
        </is>
      </c>
      <c r="BC21" s="161" t="inlineStr">
        <is>
          <t>2026-10-01</t>
        </is>
      </c>
      <c r="BD21" s="161" t="inlineStr">
        <is>
          <t>2026-10-14</t>
        </is>
      </c>
      <c r="BE21" s="96" t="inlineStr">
        <is>
          <t>Y</t>
        </is>
      </c>
      <c r="BF21" s="96" t="inlineStr">
        <is>
          <t>MODELING CLAY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BKK27</t>
        </is>
      </c>
      <c r="BL21" s="161" t="inlineStr">
        <is>
          <t>2026-10-09</t>
        </is>
      </c>
      <c r="BM21" s="127" t="n"/>
      <c r="BN21" s="127" t="n">
        <v>1</v>
      </c>
      <c r="BO21" s="127" t="n"/>
      <c r="BP21" s="127" t="n"/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inlineStr">
        <is>
          <t>Y</t>
        </is>
      </c>
      <c r="CB21" s="97" t="n"/>
      <c r="CC21" s="96" t="inlineStr">
        <is>
          <t>BKK02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rockwell@eastlink-group.com</t>
        </is>
      </c>
      <c r="CJ21" s="96" t="inlineStr">
        <is>
          <t>EAST-LINK CORPORATION CO.,LTD.</t>
        </is>
      </c>
      <c r="CK21" s="96" t="inlineStr">
        <is>
          <t>BRANCH OF DANKO LOGISTICS CO., LTD.</t>
        </is>
      </c>
      <c r="CL21" s="96" t="inlineStr">
        <is>
          <t>BRANCH OF DANKO LOGISTICS CO., LTD.</t>
        </is>
      </c>
      <c r="CM21" s="97" t="inlineStr">
        <is>
          <t>CLOSED</t>
        </is>
      </c>
      <c r="CN21" s="96" t="inlineStr">
        <is>
          <t>202610121700</t>
        </is>
      </c>
      <c r="CO21" s="96" t="inlineStr">
        <is>
          <t>202610141200</t>
        </is>
      </c>
      <c r="CP21" s="97" t="n"/>
      <c r="CQ21" s="96" t="inlineStr">
        <is>
          <t>S22-2308019</t>
        </is>
      </c>
      <c r="CR21" s="96" t="inlineStr">
        <is>
          <t>TH03OT</t>
        </is>
      </c>
      <c r="CS21" s="96" t="inlineStr">
        <is>
          <t>EAST-LINK CORPORATION CO., LTD.</t>
        </is>
      </c>
      <c r="CT21" s="96" t="inlineStr">
        <is>
          <t>N</t>
        </is>
      </c>
      <c r="CU21" s="97" t="n"/>
      <c r="CV21" s="97" t="n"/>
      <c r="CW21" s="161" t="inlineStr">
        <is>
          <t>2026-10-14</t>
        </is>
      </c>
      <c r="CX21" s="97" t="inlineStr">
        <is>
          <t>340700</t>
        </is>
      </c>
      <c r="CY21" s="183" t="n"/>
    </row>
    <row r="22" ht="12" customHeight="1">
      <c r="A22" s="116" t="inlineStr">
        <is>
          <t>HASLS22260902493</t>
        </is>
      </c>
      <c r="B22" s="96" t="inlineStr">
        <is>
          <t>20'x1</t>
        </is>
      </c>
      <c r="C22" s="97" t="n">
        <v>1</v>
      </c>
      <c r="D22" s="97" t="n">
        <v>1</v>
      </c>
      <c r="E22" s="97" t="n"/>
      <c r="F22" s="97" t="n">
        <v>0</v>
      </c>
      <c r="G22" s="97" t="n">
        <v>1</v>
      </c>
      <c r="H22" s="97" t="n">
        <v>0</v>
      </c>
      <c r="I22" s="97" t="n">
        <v>0</v>
      </c>
      <c r="J22" s="97" t="n">
        <v>1</v>
      </c>
      <c r="K22" s="96" t="inlineStr">
        <is>
          <t>N</t>
        </is>
      </c>
      <c r="L22" s="96" t="inlineStr">
        <is>
          <t>NTX</t>
        </is>
      </c>
      <c r="M22" s="96" t="inlineStr">
        <is>
          <t>SWBT</t>
        </is>
      </c>
      <c r="N22" s="96" t="inlineStr">
        <is>
          <t>2616N</t>
        </is>
      </c>
      <c r="O22" s="96" t="inlineStr">
        <is>
          <t>THBKK</t>
        </is>
      </c>
      <c r="P22" s="96" t="inlineStr">
        <is>
          <t>BKK02</t>
        </is>
      </c>
      <c r="Q22" s="96" t="inlineStr">
        <is>
          <t>IA</t>
        </is>
      </c>
      <c r="R22" s="161" t="inlineStr">
        <is>
          <t>2026-10-16</t>
        </is>
      </c>
      <c r="S22" s="96" t="inlineStr">
        <is>
          <t>VNSGN</t>
        </is>
      </c>
      <c r="T22" s="96" t="inlineStr">
        <is>
          <t>SGN03</t>
        </is>
      </c>
      <c r="U22" s="96" t="inlineStr">
        <is>
          <t>VNSGN</t>
        </is>
      </c>
      <c r="V22" s="161" t="inlineStr">
        <is>
          <t>2026-10-18</t>
        </is>
      </c>
      <c r="W22" s="96" t="inlineStr">
        <is>
          <t>IA</t>
        </is>
      </c>
      <c r="X22" s="97" t="n"/>
      <c r="Y22" s="97" t="n"/>
      <c r="Z22" s="97" t="n"/>
      <c r="AA22" s="96" t="inlineStr">
        <is>
          <t>PACIFIC STAR ALLIANCE CO., LTD.</t>
        </is>
      </c>
      <c r="AB22" s="96" t="inlineStr">
        <is>
          <t>WIN CHANCE INDUSTRIES CO.,LTD.</t>
        </is>
      </c>
      <c r="AC22" s="163" t="n">
        <v>2316.6</v>
      </c>
      <c r="AD22" s="163" t="n">
        <v>4516.6</v>
      </c>
      <c r="AE22" s="96" t="inlineStr">
        <is>
          <t>OK</t>
        </is>
      </c>
      <c r="AF22" s="96" t="inlineStr">
        <is>
          <t>SR</t>
        </is>
      </c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TBKK19</t>
        </is>
      </c>
      <c r="AN22" s="96" t="inlineStr">
        <is>
          <t>Kanokporn</t>
        </is>
      </c>
      <c r="AO22" s="96" t="inlineStr">
        <is>
          <t>SAUCE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inlineStr">
        <is>
          <t>OBL</t>
        </is>
      </c>
      <c r="AZ22" s="96" t="inlineStr">
        <is>
          <t xml:space="preserve">Pickup : 2026-10-12, Return : 2026-10-12 // EXTEND CLS TIME 12/10 223.59 
 </t>
        </is>
      </c>
      <c r="BA22" s="97" t="inlineStr">
        <is>
          <t>ROLL OVER FORM PREIVOUS VSL PGPO 2612N BY ALLOCATION TEAM MS.TAN APPROVED COST IS UNDER HA DD.13/10
CY AT BANGNA AREA ONLYREQUEST CLOSING 12/10/2026 @23:59 HRS.REQUEST GOOD &amp; CLEAN CONTAINER</t>
        </is>
      </c>
      <c r="BB22" s="96" t="inlineStr">
        <is>
          <t>P</t>
        </is>
      </c>
      <c r="BC22" s="161" t="inlineStr">
        <is>
          <t>2026-09-28</t>
        </is>
      </c>
      <c r="BD22" s="161" t="inlineStr">
        <is>
          <t>2026-10-15</t>
        </is>
      </c>
      <c r="BE22" s="96" t="inlineStr">
        <is>
          <t>Y</t>
        </is>
      </c>
      <c r="BF22" s="96" t="inlineStr">
        <is>
          <t>SAUCE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BKK27</t>
        </is>
      </c>
      <c r="BL22" s="161" t="inlineStr">
        <is>
          <t>2026-10-12</t>
        </is>
      </c>
      <c r="BM22" s="127" t="n"/>
      <c r="BN22" s="127" t="n">
        <v>1</v>
      </c>
      <c r="BO22" s="127" t="n"/>
      <c r="BP22" s="127" t="n"/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BKK02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CS@PACIFICSTAR.CO.TH</t>
        </is>
      </c>
      <c r="CJ22" s="96" t="inlineStr">
        <is>
          <t>PACIFIC STAR ALLIANCE CO.,LTD.</t>
        </is>
      </c>
      <c r="CK22" s="96" t="inlineStr">
        <is>
          <t>SCT LOGISTICS JOINT STOCK COMPANY</t>
        </is>
      </c>
      <c r="CL22" s="96" t="inlineStr">
        <is>
          <t>SCT LOGISTICS JOINT STOCK COMPANY</t>
        </is>
      </c>
      <c r="CM22" s="97" t="inlineStr">
        <is>
          <t>CLOSED</t>
        </is>
      </c>
      <c r="CN22" s="96" t="inlineStr">
        <is>
          <t>202610121700</t>
        </is>
      </c>
      <c r="CO22" s="96" t="inlineStr">
        <is>
          <t>202610141200</t>
        </is>
      </c>
      <c r="CP22" s="97" t="n"/>
      <c r="CQ22" s="96" t="inlineStr">
        <is>
          <t>S19-2106019</t>
        </is>
      </c>
      <c r="CR22" s="96" t="inlineStr">
        <is>
          <t>TH00ZZ</t>
        </is>
      </c>
      <c r="CS22" s="96" t="inlineStr">
        <is>
          <t>PACIFIC STAR ALLIANCE CO., LTD.</t>
        </is>
      </c>
      <c r="CT22" s="96" t="inlineStr">
        <is>
          <t>N</t>
        </is>
      </c>
      <c r="CU22" s="97" t="n"/>
      <c r="CV22" s="97" t="n"/>
      <c r="CW22" s="161" t="inlineStr">
        <is>
          <t>2026-10-16</t>
        </is>
      </c>
      <c r="CX22" s="97" t="inlineStr">
        <is>
          <t>210390</t>
        </is>
      </c>
      <c r="CY22" s="183" t="inlineStr">
        <is>
          <t>ROLL OVER FORM PREIVOUS VSL PGPO 2612N BY ALLOCATION TEAM MS.TAN APPROVED COST IS UNDER HA DD.13/10</t>
        </is>
      </c>
    </row>
    <row r="23" ht="12" customHeight="1">
      <c r="A23" s="116" t="inlineStr">
        <is>
          <t>HASLS22260902554</t>
        </is>
      </c>
      <c r="B23" s="96" t="inlineStr">
        <is>
          <t>R40Hx1</t>
        </is>
      </c>
      <c r="C23" s="97" t="n">
        <v>1</v>
      </c>
      <c r="D23" s="97" t="n">
        <v>1</v>
      </c>
      <c r="E23" s="97" t="n"/>
      <c r="F23" s="97" t="n">
        <v>0</v>
      </c>
      <c r="G23" s="97" t="n">
        <v>0</v>
      </c>
      <c r="H23" s="97" t="n">
        <v>0</v>
      </c>
      <c r="I23" s="97" t="n">
        <v>1</v>
      </c>
      <c r="J23" s="97" t="n">
        <v>2</v>
      </c>
      <c r="K23" s="96" t="inlineStr">
        <is>
          <t>N</t>
        </is>
      </c>
      <c r="L23" s="96" t="inlineStr">
        <is>
          <t>NTX</t>
        </is>
      </c>
      <c r="M23" s="96" t="inlineStr">
        <is>
          <t>SWBT</t>
        </is>
      </c>
      <c r="N23" s="96" t="inlineStr">
        <is>
          <t>2616N</t>
        </is>
      </c>
      <c r="O23" s="96" t="inlineStr">
        <is>
          <t>THBKK</t>
        </is>
      </c>
      <c r="P23" s="96" t="inlineStr">
        <is>
          <t>BKK02</t>
        </is>
      </c>
      <c r="Q23" s="96" t="inlineStr">
        <is>
          <t>IA</t>
        </is>
      </c>
      <c r="R23" s="161" t="inlineStr">
        <is>
          <t>2026-10-16</t>
        </is>
      </c>
      <c r="S23" s="96" t="inlineStr">
        <is>
          <t>KRPTK</t>
        </is>
      </c>
      <c r="T23" s="96" t="inlineStr">
        <is>
          <t>PTK02</t>
        </is>
      </c>
      <c r="U23" s="96" t="inlineStr">
        <is>
          <t>KRPTK</t>
        </is>
      </c>
      <c r="V23" s="161" t="inlineStr">
        <is>
          <t>2026-10-24</t>
        </is>
      </c>
      <c r="W23" s="96" t="inlineStr">
        <is>
          <t>KR</t>
        </is>
      </c>
      <c r="X23" s="97" t="n"/>
      <c r="Y23" s="97" t="n"/>
      <c r="Z23" s="97" t="n"/>
      <c r="AA23" s="96" t="inlineStr">
        <is>
          <t>LAND SEA SKY CO., LTD.</t>
        </is>
      </c>
      <c r="AB23" s="96" t="inlineStr">
        <is>
          <t>SAHA FARMS  INTERNATIONAL CO LTD</t>
        </is>
      </c>
      <c r="AC23" s="163" t="n">
        <v>16135.96</v>
      </c>
      <c r="AD23" s="163" t="n">
        <v>20135.96</v>
      </c>
      <c r="AE23" s="96" t="inlineStr">
        <is>
          <t>OK</t>
        </is>
      </c>
      <c r="AF23" s="96" t="n"/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TH0042</t>
        </is>
      </c>
      <c r="AN23" s="96" t="inlineStr">
        <is>
          <t>Sukunpoj Damrongying</t>
        </is>
      </c>
      <c r="AO23" s="96" t="inlineStr">
        <is>
          <t>FROZEN FULLY COOKED CHICKEN MEAT</t>
        </is>
      </c>
      <c r="AP23" s="96" t="inlineStr">
        <is>
          <t>Normal</t>
        </is>
      </c>
      <c r="AQ23" s="97" t="n"/>
      <c r="AR23" s="97" t="n"/>
      <c r="AS23" s="97" t="inlineStr">
        <is>
          <t>RF// MIN:-18.0 MAX:-18.0 [COVER:CLOSE]</t>
        </is>
      </c>
      <c r="AT23" s="97" t="inlineStr">
        <is>
          <t xml:space="preserve">45REx1 </t>
        </is>
      </c>
      <c r="AU23" s="97" t="n"/>
      <c r="AV23" s="97" t="n"/>
      <c r="AW23" s="97" t="n">
        <v>0</v>
      </c>
      <c r="AX23" s="96" t="inlineStr">
        <is>
          <t>N</t>
        </is>
      </c>
      <c r="AY23" s="97" t="inlineStr">
        <is>
          <t>OBL</t>
        </is>
      </c>
      <c r="AZ23" s="96" t="inlineStr">
        <is>
          <t xml:space="preserve">Pickup : 2026-10-10, Return : 2026-10-13 (Temp -18.0 / Vent Close)
 CLS TIME 14/10 @12.00 </t>
        </is>
      </c>
      <c r="BA23" s="97" t="inlineStr">
        <is>
          <t>CFM BY P'TARN DD.15/09/2026 
split fm HASLS22260901235TEMP -18 C</t>
        </is>
      </c>
      <c r="BB23" s="96" t="inlineStr">
        <is>
          <t>P</t>
        </is>
      </c>
      <c r="BC23" s="161" t="inlineStr">
        <is>
          <t>2026-09-28</t>
        </is>
      </c>
      <c r="BD23" s="161" t="inlineStr">
        <is>
          <t>2026-10-14</t>
        </is>
      </c>
      <c r="BE23" s="96" t="inlineStr">
        <is>
          <t>Y</t>
        </is>
      </c>
      <c r="BF23" s="96" t="inlineStr">
        <is>
          <t>FROZEN CHICKEN COOK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BKK27</t>
        </is>
      </c>
      <c r="BL23" s="161" t="inlineStr">
        <is>
          <t>2026-10-10</t>
        </is>
      </c>
      <c r="BM23" s="127" t="n"/>
      <c r="BN23" s="127" t="n"/>
      <c r="BO23" s="127" t="n"/>
      <c r="BP23" s="127" t="n"/>
      <c r="BQ23" s="127" t="n"/>
      <c r="BR23" s="127" t="n">
        <v>1</v>
      </c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inlineStr">
        <is>
          <t>Y</t>
        </is>
      </c>
      <c r="CB23" s="97" t="n"/>
      <c r="CC23" s="96" t="inlineStr">
        <is>
          <t>BKK02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Booking@lss.co.th</t>
        </is>
      </c>
      <c r="CJ23" s="96" t="inlineStr">
        <is>
          <t>SAHA FARMS INTERNATIONAL CO.,LTD.</t>
        </is>
      </c>
      <c r="CK23" s="96" t="inlineStr">
        <is>
          <t>SASE CO.,LTD.</t>
        </is>
      </c>
      <c r="CL23" s="96" t="inlineStr">
        <is>
          <t>SASE CO.,LTD.</t>
        </is>
      </c>
      <c r="CM23" s="97" t="inlineStr">
        <is>
          <t>CLOSED</t>
        </is>
      </c>
      <c r="CN23" s="96" t="inlineStr">
        <is>
          <t>202610121700</t>
        </is>
      </c>
      <c r="CO23" s="96" t="inlineStr">
        <is>
          <t>202610141200</t>
        </is>
      </c>
      <c r="CP23" s="97" t="inlineStr">
        <is>
          <t>45RE x1: RF(Temp:-18.0' / Cover:CLOSE)</t>
        </is>
      </c>
      <c r="CQ23" s="96" t="inlineStr">
        <is>
          <t>S22-2206003</t>
        </is>
      </c>
      <c r="CR23" s="96" t="inlineStr">
        <is>
          <t>THTQLH</t>
        </is>
      </c>
      <c r="CS23" s="96" t="inlineStr">
        <is>
          <t>LAND SEA SKY CO., LTD.</t>
        </is>
      </c>
      <c r="CT23" s="96" t="inlineStr">
        <is>
          <t>N</t>
        </is>
      </c>
      <c r="CU23" s="97" t="n"/>
      <c r="CV23" s="97" t="n"/>
      <c r="CW23" s="161" t="inlineStr">
        <is>
          <t>2026-10-15</t>
        </is>
      </c>
      <c r="CX23" s="97" t="n"/>
      <c r="CY23" s="183" t="n"/>
    </row>
    <row r="24" ht="12" customHeight="1">
      <c r="A24" s="116" t="inlineStr">
        <is>
          <t>HASLS22260902661</t>
        </is>
      </c>
      <c r="B24" s="96" t="inlineStr">
        <is>
          <t>40Hx1</t>
        </is>
      </c>
      <c r="C24" s="97" t="n">
        <v>1</v>
      </c>
      <c r="D24" s="97" t="n">
        <v>1</v>
      </c>
      <c r="E24" s="97" t="n"/>
      <c r="F24" s="97" t="n">
        <v>0</v>
      </c>
      <c r="G24" s="97" t="n">
        <v>0</v>
      </c>
      <c r="H24" s="97" t="n">
        <v>0</v>
      </c>
      <c r="I24" s="97" t="n">
        <v>1</v>
      </c>
      <c r="J24" s="97" t="n">
        <v>2</v>
      </c>
      <c r="K24" s="96" t="inlineStr">
        <is>
          <t>N</t>
        </is>
      </c>
      <c r="L24" s="96" t="inlineStr">
        <is>
          <t>NTX</t>
        </is>
      </c>
      <c r="M24" s="96" t="inlineStr">
        <is>
          <t>SWBT</t>
        </is>
      </c>
      <c r="N24" s="96" t="inlineStr">
        <is>
          <t>2616N</t>
        </is>
      </c>
      <c r="O24" s="96" t="inlineStr">
        <is>
          <t>THBKK</t>
        </is>
      </c>
      <c r="P24" s="96" t="inlineStr">
        <is>
          <t>BKK02</t>
        </is>
      </c>
      <c r="Q24" s="96" t="inlineStr">
        <is>
          <t>IA</t>
        </is>
      </c>
      <c r="R24" s="161" t="inlineStr">
        <is>
          <t>2026-10-16</t>
        </is>
      </c>
      <c r="S24" s="96" t="inlineStr">
        <is>
          <t>VNSGN</t>
        </is>
      </c>
      <c r="T24" s="96" t="inlineStr">
        <is>
          <t>SGN03</t>
        </is>
      </c>
      <c r="U24" s="96" t="inlineStr">
        <is>
          <t>VNSGN</t>
        </is>
      </c>
      <c r="V24" s="161" t="inlineStr">
        <is>
          <t>2026-10-18</t>
        </is>
      </c>
      <c r="W24" s="96" t="inlineStr">
        <is>
          <t>IA</t>
        </is>
      </c>
      <c r="X24" s="97" t="n"/>
      <c r="Y24" s="97" t="n"/>
      <c r="Z24" s="97" t="n"/>
      <c r="AA24" s="96" t="inlineStr">
        <is>
          <t>LEO GLOBAL LOGISTICS PUBLIC COMPANY LIMITED</t>
        </is>
      </c>
      <c r="AB24" s="96" t="inlineStr">
        <is>
          <t>KORN THAI CO., LTD.</t>
        </is>
      </c>
      <c r="AC24" s="163" t="n">
        <v>25640</v>
      </c>
      <c r="AD24" s="163" t="n">
        <v>29640</v>
      </c>
      <c r="AE24" s="96" t="inlineStr">
        <is>
          <t>OK</t>
        </is>
      </c>
      <c r="AF24" s="96" t="inlineStr">
        <is>
          <t>SR</t>
        </is>
      </c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TBKK55</t>
        </is>
      </c>
      <c r="AN24" s="96" t="inlineStr">
        <is>
          <t>Vilaiporn</t>
        </is>
      </c>
      <c r="AO24" s="96" t="inlineStr">
        <is>
          <t>NON- DAIRY CREAMER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inlineStr">
        <is>
          <t>OBL</t>
        </is>
      </c>
      <c r="AZ24" s="96" t="inlineStr">
        <is>
          <t>Pickup : 2026-10-10, Return : 2026-10-12</t>
        </is>
      </c>
      <c r="BA24" s="97" t="inlineStr">
        <is>
          <t>ROLL OVER FORM PREVIOUS VSL PGPO 2612N BY ALLOATION TEAM MS.TARN APRPOVED COST IS UNDER HA DD.13/10
S/Korn ThaiHS Code: 2106.90.30***Good, Dry, Clean, No smell, No rust, No dust,No bugs/ants, No cracked and good container forcontain food stuff***</t>
        </is>
      </c>
      <c r="BB24" s="96" t="inlineStr">
        <is>
          <t>P</t>
        </is>
      </c>
      <c r="BC24" s="161" t="inlineStr">
        <is>
          <t>2026-09-29</t>
        </is>
      </c>
      <c r="BD24" s="161" t="inlineStr">
        <is>
          <t>2026-10-14</t>
        </is>
      </c>
      <c r="BE24" s="96" t="inlineStr">
        <is>
          <t>Y</t>
        </is>
      </c>
      <c r="BF24" s="96" t="inlineStr">
        <is>
          <t>NON- DAIRY CREAMER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BKK27</t>
        </is>
      </c>
      <c r="BL24" s="161" t="inlineStr">
        <is>
          <t>2026-10-10</t>
        </is>
      </c>
      <c r="BM24" s="127" t="n"/>
      <c r="BN24" s="127" t="n"/>
      <c r="BO24" s="127" t="n"/>
      <c r="BP24" s="127" t="n">
        <v>1</v>
      </c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BKK02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sakonwan@leogloballogistics.com;eovs@leogloballogistics.com</t>
        </is>
      </c>
      <c r="CJ24" s="96" t="inlineStr">
        <is>
          <t>LEO GLOBAL LOGISTICS PUBLIC</t>
        </is>
      </c>
      <c r="CK24" s="96" t="inlineStr">
        <is>
          <t>ORIENTAL LOGISTICS MULTIMODAL</t>
        </is>
      </c>
      <c r="CL24" s="96" t="inlineStr">
        <is>
          <t>ORIENTAL LOGISTICS MULTIMODAL</t>
        </is>
      </c>
      <c r="CM24" s="97" t="inlineStr">
        <is>
          <t>CLOSED</t>
        </is>
      </c>
      <c r="CN24" s="96" t="inlineStr">
        <is>
          <t>202610121700</t>
        </is>
      </c>
      <c r="CO24" s="96" t="inlineStr">
        <is>
          <t>202610141200</t>
        </is>
      </c>
      <c r="CP24" s="97" t="n"/>
      <c r="CQ24" s="96" t="inlineStr">
        <is>
          <t>S22-2308050</t>
        </is>
      </c>
      <c r="CR24" s="96" t="inlineStr">
        <is>
          <t>BB0045</t>
        </is>
      </c>
      <c r="CS24" s="96" t="inlineStr">
        <is>
          <t>LEO GLOBAL LOGISTICS PUBLIC COMPANY LIMITED</t>
        </is>
      </c>
      <c r="CT24" s="96" t="inlineStr">
        <is>
          <t>N</t>
        </is>
      </c>
      <c r="CU24" s="97" t="n"/>
      <c r="CV24" s="97" t="n"/>
      <c r="CW24" s="161" t="inlineStr">
        <is>
          <t>2026-10-16</t>
        </is>
      </c>
      <c r="CX24" s="97" t="inlineStr">
        <is>
          <t>210690</t>
        </is>
      </c>
      <c r="CY24" s="183" t="inlineStr">
        <is>
          <t>ROLL OVER FORM PREVIOUS VSL PGPO 2612N BY ALLOATION TEAM MS.TARN APRPOVED COST IS UNDER HA DD.13/10</t>
        </is>
      </c>
    </row>
    <row r="25" ht="12" customHeight="1">
      <c r="A25" s="116" t="inlineStr">
        <is>
          <t>HASLS22260902179</t>
        </is>
      </c>
      <c r="B25" s="96" t="inlineStr">
        <is>
          <t>40Hx8</t>
        </is>
      </c>
      <c r="C25" s="97" t="n">
        <v>8</v>
      </c>
      <c r="D25" s="97" t="n">
        <v>8</v>
      </c>
      <c r="E25" s="97" t="n"/>
      <c r="F25" s="97" t="n">
        <v>0</v>
      </c>
      <c r="G25" s="97" t="n">
        <v>0</v>
      </c>
      <c r="H25" s="97" t="n">
        <v>0</v>
      </c>
      <c r="I25" s="97" t="n">
        <v>8</v>
      </c>
      <c r="J25" s="97" t="n">
        <v>16</v>
      </c>
      <c r="K25" s="96" t="inlineStr">
        <is>
          <t>N</t>
        </is>
      </c>
      <c r="L25" s="96" t="inlineStr">
        <is>
          <t>NTX</t>
        </is>
      </c>
      <c r="M25" s="96" t="inlineStr">
        <is>
          <t>SWBT</t>
        </is>
      </c>
      <c r="N25" s="96" t="inlineStr">
        <is>
          <t>2616N</t>
        </is>
      </c>
      <c r="O25" s="96" t="inlineStr">
        <is>
          <t>THBKK</t>
        </is>
      </c>
      <c r="P25" s="96" t="inlineStr">
        <is>
          <t>BKK02</t>
        </is>
      </c>
      <c r="Q25" s="96" t="inlineStr">
        <is>
          <t>IA</t>
        </is>
      </c>
      <c r="R25" s="161" t="inlineStr">
        <is>
          <t>2026-10-16</t>
        </is>
      </c>
      <c r="S25" s="96" t="inlineStr">
        <is>
          <t>VNSGN</t>
        </is>
      </c>
      <c r="T25" s="96" t="inlineStr">
        <is>
          <t>SGN03</t>
        </is>
      </c>
      <c r="U25" s="96" t="inlineStr">
        <is>
          <t>VNSGN</t>
        </is>
      </c>
      <c r="V25" s="161" t="inlineStr">
        <is>
          <t>2026-10-18</t>
        </is>
      </c>
      <c r="W25" s="96" t="inlineStr">
        <is>
          <t>IA</t>
        </is>
      </c>
      <c r="X25" s="97" t="n"/>
      <c r="Y25" s="97" t="n"/>
      <c r="Z25" s="97" t="n"/>
      <c r="AA25" s="96" t="inlineStr">
        <is>
          <t>BIRLA CARBON (THAILAND) PUBLIC COMPANY LIMITED</t>
        </is>
      </c>
      <c r="AB25" s="96" t="inlineStr">
        <is>
          <t>BIRLA CARBON (THAILAND) PUBLIC COMPANY LIMITED</t>
        </is>
      </c>
      <c r="AC25" s="163" t="n">
        <v>178464</v>
      </c>
      <c r="AD25" s="163" t="n">
        <v>210464</v>
      </c>
      <c r="AE25" s="96" t="inlineStr">
        <is>
          <t>OK</t>
        </is>
      </c>
      <c r="AF25" s="96" t="n"/>
      <c r="AG25" s="97" t="n"/>
      <c r="AH25" s="96" t="inlineStr">
        <is>
          <t>CHK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TBKK13</t>
        </is>
      </c>
      <c r="AN25" s="96" t="inlineStr">
        <is>
          <t>Dharaporn</t>
        </is>
      </c>
      <c r="AO25" s="96" t="inlineStr">
        <is>
          <t>CARBON BLACK</t>
        </is>
      </c>
      <c r="AP25" s="96" t="inlineStr">
        <is>
          <t>Normal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inlineStr">
        <is>
          <t>OBL</t>
        </is>
      </c>
      <c r="AZ25" s="96" t="inlineStr">
        <is>
          <t xml:space="preserve">Pickup : 2026-10-06, Return : 2026-10-07 [1ST RTN 11/10/2026 W/O RENT]] </t>
        </is>
      </c>
      <c r="BA25" s="97" t="inlineStr">
        <is>
          <t>FM 10X40'HQ DD 05/10  
FREE TIME AL POL 10DAYS AT UNITHAI</t>
        </is>
      </c>
      <c r="BB25" s="96" t="inlineStr">
        <is>
          <t>P</t>
        </is>
      </c>
      <c r="BC25" s="161" t="inlineStr">
        <is>
          <t>2026-09-23</t>
        </is>
      </c>
      <c r="BD25" s="161" t="inlineStr">
        <is>
          <t>2026-10-12</t>
        </is>
      </c>
      <c r="BE25" s="96" t="inlineStr">
        <is>
          <t>Y</t>
        </is>
      </c>
      <c r="BF25" s="96" t="inlineStr">
        <is>
          <t>CABON BLACK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BKK27</t>
        </is>
      </c>
      <c r="BL25" s="161" t="inlineStr">
        <is>
          <t>2026-10-06</t>
        </is>
      </c>
      <c r="BM25" s="127" t="n"/>
      <c r="BN25" s="127" t="n"/>
      <c r="BO25" s="127" t="n"/>
      <c r="BP25" s="127" t="n">
        <v>8</v>
      </c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inlineStr">
        <is>
          <t>Y</t>
        </is>
      </c>
      <c r="CB25" s="97" t="n"/>
      <c r="CC25" s="96" t="inlineStr">
        <is>
          <t>BKK02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n"/>
      <c r="CI25" s="96" t="inlineStr">
        <is>
          <t>siriphan.hom@adityabirla.com</t>
        </is>
      </c>
      <c r="CJ25" s="96" t="inlineStr">
        <is>
          <t>BIRLA CARBON (THAILAND) PUBLIC</t>
        </is>
      </c>
      <c r="CK25" s="96" t="inlineStr">
        <is>
          <t>JINYU (VIETNAM) TIRE CO.,LTD</t>
        </is>
      </c>
      <c r="CL25" s="96" t="inlineStr">
        <is>
          <t>JINYU (VIETNAM) TIRE CO.,LTD</t>
        </is>
      </c>
      <c r="CM25" s="97" t="inlineStr">
        <is>
          <t>CLOSED</t>
        </is>
      </c>
      <c r="CN25" s="96" t="inlineStr">
        <is>
          <t>202610121700</t>
        </is>
      </c>
      <c r="CO25" s="96" t="inlineStr">
        <is>
          <t>202610141200</t>
        </is>
      </c>
      <c r="CP25" s="97" t="n"/>
      <c r="CQ25" s="96" t="inlineStr">
        <is>
          <t>S22-2508024</t>
        </is>
      </c>
      <c r="CR25" s="96" t="inlineStr">
        <is>
          <t>THTKYV</t>
        </is>
      </c>
      <c r="CS25" s="96" t="inlineStr">
        <is>
          <t>BIRLA CARBON (THAILAND) PUBLIC COMPANY LIMITED</t>
        </is>
      </c>
      <c r="CT25" s="96" t="inlineStr">
        <is>
          <t>N</t>
        </is>
      </c>
      <c r="CU25" s="97" t="n"/>
      <c r="CV25" s="97" t="n"/>
      <c r="CW25" s="161" t="inlineStr">
        <is>
          <t>2026-10-15</t>
        </is>
      </c>
      <c r="CX25" s="97" t="inlineStr">
        <is>
          <t>280300</t>
        </is>
      </c>
      <c r="CY25" s="183" t="n"/>
    </row>
    <row r="26" ht="12" customHeight="1">
      <c r="A26" s="116" t="inlineStr">
        <is>
          <t>HASLS22260902834</t>
        </is>
      </c>
      <c r="B26" s="96" t="inlineStr">
        <is>
          <t>40Hx1</t>
        </is>
      </c>
      <c r="C26" s="97" t="n">
        <v>1</v>
      </c>
      <c r="D26" s="97" t="n">
        <v>1</v>
      </c>
      <c r="E26" s="97" t="n"/>
      <c r="F26" s="97" t="n">
        <v>0</v>
      </c>
      <c r="G26" s="97" t="n">
        <v>0</v>
      </c>
      <c r="H26" s="97" t="n">
        <v>0</v>
      </c>
      <c r="I26" s="97" t="n">
        <v>1</v>
      </c>
      <c r="J26" s="97" t="n">
        <v>2</v>
      </c>
      <c r="K26" s="96" t="inlineStr">
        <is>
          <t>N</t>
        </is>
      </c>
      <c r="L26" s="96" t="inlineStr">
        <is>
          <t>NTX</t>
        </is>
      </c>
      <c r="M26" s="96" t="inlineStr">
        <is>
          <t>SWBT</t>
        </is>
      </c>
      <c r="N26" s="96" t="inlineStr">
        <is>
          <t>2616N</t>
        </is>
      </c>
      <c r="O26" s="96" t="inlineStr">
        <is>
          <t>THBKK</t>
        </is>
      </c>
      <c r="P26" s="96" t="inlineStr">
        <is>
          <t>BKK02</t>
        </is>
      </c>
      <c r="Q26" s="96" t="inlineStr">
        <is>
          <t>IA</t>
        </is>
      </c>
      <c r="R26" s="161" t="inlineStr">
        <is>
          <t>2026-10-16</t>
        </is>
      </c>
      <c r="S26" s="96" t="inlineStr">
        <is>
          <t>VNSGN</t>
        </is>
      </c>
      <c r="T26" s="96" t="inlineStr">
        <is>
          <t>SGN03</t>
        </is>
      </c>
      <c r="U26" s="96" t="inlineStr">
        <is>
          <t>VNSGN</t>
        </is>
      </c>
      <c r="V26" s="161" t="inlineStr">
        <is>
          <t>2026-10-18</t>
        </is>
      </c>
      <c r="W26" s="96" t="inlineStr">
        <is>
          <t>IA</t>
        </is>
      </c>
      <c r="X26" s="97" t="n"/>
      <c r="Y26" s="97" t="n"/>
      <c r="Z26" s="97" t="n"/>
      <c r="AA26" s="96" t="inlineStr">
        <is>
          <t>METROPOLITAN LOGISTICS CO., LTD.</t>
        </is>
      </c>
      <c r="AB26" s="96" t="inlineStr">
        <is>
          <t>MEGAKLEEN PRODUCT CO.,LTD</t>
        </is>
      </c>
      <c r="AC26" s="163" t="n">
        <v>25851</v>
      </c>
      <c r="AD26" s="163" t="n">
        <v>29851</v>
      </c>
      <c r="AE26" s="96" t="inlineStr">
        <is>
          <t>OK</t>
        </is>
      </c>
      <c r="AF26" s="96" t="inlineStr">
        <is>
          <t>SR</t>
        </is>
      </c>
      <c r="AG26" s="97" t="n"/>
      <c r="AH26" s="96" t="inlineStr">
        <is>
          <t>CHK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TBKK97</t>
        </is>
      </c>
      <c r="AN26" s="96" t="inlineStr">
        <is>
          <t>Arunphat W. (Aiw)</t>
        </is>
      </c>
      <c r="AO26" s="96" t="inlineStr">
        <is>
          <t>DISH WASHING ORGANIC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inlineStr">
        <is>
          <t>OBL</t>
        </is>
      </c>
      <c r="AZ26" s="96" t="inlineStr">
        <is>
          <t>Pickup : 2026-10-09, Return : 2026-10-10</t>
        </is>
      </c>
      <c r="BA26" s="97" t="inlineStr">
        <is>
          <t>RQST CHANGE VSL NAME FROM KUS 2616N BY HA DD.5/10Request Good and No Leakage ContainerRequest CNTR 32.5 TONSCY: 09.10.2026RTN: 10.10.2026</t>
        </is>
      </c>
      <c r="BB26" s="96" t="inlineStr">
        <is>
          <t>P</t>
        </is>
      </c>
      <c r="BC26" s="161" t="inlineStr">
        <is>
          <t>2026-09-30</t>
        </is>
      </c>
      <c r="BD26" s="161" t="inlineStr">
        <is>
          <t>2026-10-14</t>
        </is>
      </c>
      <c r="BE26" s="96" t="inlineStr">
        <is>
          <t>Y</t>
        </is>
      </c>
      <c r="BF26" s="96" t="inlineStr">
        <is>
          <t>JET LIQUID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BKK27</t>
        </is>
      </c>
      <c r="BL26" s="161" t="inlineStr">
        <is>
          <t>2026-10-09</t>
        </is>
      </c>
      <c r="BM26" s="127" t="n"/>
      <c r="BN26" s="127" t="n"/>
      <c r="BO26" s="127" t="n"/>
      <c r="BP26" s="127" t="n">
        <v>1</v>
      </c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BKK02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n"/>
      <c r="CI26" s="96" t="inlineStr">
        <is>
          <t>cs@met-logs.com</t>
        </is>
      </c>
      <c r="CJ26" s="96" t="inlineStr">
        <is>
          <t>MEGAKLEEN PRODUCTS CO., LTD.</t>
        </is>
      </c>
      <c r="CK26" s="96" t="inlineStr">
        <is>
          <t>ACCESS GLOBAL CO., LTD.</t>
        </is>
      </c>
      <c r="CL26" s="96" t="inlineStr">
        <is>
          <t>ACCESS GLOBAL CO., LTD.</t>
        </is>
      </c>
      <c r="CM26" s="97" t="inlineStr">
        <is>
          <t>CLOSED</t>
        </is>
      </c>
      <c r="CN26" s="96" t="inlineStr">
        <is>
          <t>202610121700</t>
        </is>
      </c>
      <c r="CO26" s="96" t="inlineStr">
        <is>
          <t>202610141200</t>
        </is>
      </c>
      <c r="CP26" s="97" t="n"/>
      <c r="CQ26" s="96" t="inlineStr">
        <is>
          <t>S22-2406005</t>
        </is>
      </c>
      <c r="CR26" s="96" t="inlineStr">
        <is>
          <t>TH03CN</t>
        </is>
      </c>
      <c r="CS26" s="96" t="inlineStr">
        <is>
          <t>METROPOLITAN LOGISTICS CO., LTD.</t>
        </is>
      </c>
      <c r="CT26" s="96" t="inlineStr">
        <is>
          <t>N</t>
        </is>
      </c>
      <c r="CU26" s="97" t="n"/>
      <c r="CV26" s="97" t="n"/>
      <c r="CW26" s="161" t="inlineStr">
        <is>
          <t>2026-10-15</t>
        </is>
      </c>
      <c r="CX26" s="97" t="inlineStr">
        <is>
          <t>340231</t>
        </is>
      </c>
      <c r="CY26" s="183" t="n"/>
    </row>
    <row r="27" ht="12" customHeight="1">
      <c r="A27" s="116" t="inlineStr">
        <is>
          <t>HASLS22260902555</t>
        </is>
      </c>
      <c r="B27" s="96" t="inlineStr">
        <is>
          <t>R40Hx1</t>
        </is>
      </c>
      <c r="C27" s="97" t="n">
        <v>1</v>
      </c>
      <c r="D27" s="97" t="n">
        <v>1</v>
      </c>
      <c r="E27" s="97" t="n"/>
      <c r="F27" s="97" t="n">
        <v>0</v>
      </c>
      <c r="G27" s="97" t="n">
        <v>0</v>
      </c>
      <c r="H27" s="97" t="n">
        <v>0</v>
      </c>
      <c r="I27" s="97" t="n">
        <v>1</v>
      </c>
      <c r="J27" s="97" t="n">
        <v>2</v>
      </c>
      <c r="K27" s="96" t="inlineStr">
        <is>
          <t>N</t>
        </is>
      </c>
      <c r="L27" s="96" t="inlineStr">
        <is>
          <t>NTX</t>
        </is>
      </c>
      <c r="M27" s="96" t="inlineStr">
        <is>
          <t>SWBT</t>
        </is>
      </c>
      <c r="N27" s="96" t="inlineStr">
        <is>
          <t>2616N</t>
        </is>
      </c>
      <c r="O27" s="96" t="inlineStr">
        <is>
          <t>THBKK</t>
        </is>
      </c>
      <c r="P27" s="96" t="inlineStr">
        <is>
          <t>BKK02</t>
        </is>
      </c>
      <c r="Q27" s="96" t="inlineStr">
        <is>
          <t>IA</t>
        </is>
      </c>
      <c r="R27" s="161" t="inlineStr">
        <is>
          <t>2026-10-16</t>
        </is>
      </c>
      <c r="S27" s="96" t="inlineStr">
        <is>
          <t>KRPTK</t>
        </is>
      </c>
      <c r="T27" s="96" t="inlineStr">
        <is>
          <t>PTK02</t>
        </is>
      </c>
      <c r="U27" s="96" t="inlineStr">
        <is>
          <t>KRPTK</t>
        </is>
      </c>
      <c r="V27" s="161" t="inlineStr">
        <is>
          <t>2026-10-24</t>
        </is>
      </c>
      <c r="W27" s="96" t="inlineStr">
        <is>
          <t>KR</t>
        </is>
      </c>
      <c r="X27" s="97" t="n"/>
      <c r="Y27" s="97" t="n"/>
      <c r="Z27" s="97" t="n"/>
      <c r="AA27" s="96" t="inlineStr">
        <is>
          <t>LAND SEA SKY CO., LTD.</t>
        </is>
      </c>
      <c r="AB27" s="96" t="inlineStr">
        <is>
          <t>SAHA FARMS  INTERNATIONAL CO LTD</t>
        </is>
      </c>
      <c r="AC27" s="163" t="n">
        <v>22459.5</v>
      </c>
      <c r="AD27" s="163" t="n">
        <v>26459.5</v>
      </c>
      <c r="AE27" s="96" t="inlineStr">
        <is>
          <t>OK</t>
        </is>
      </c>
      <c r="AF27" s="96" t="n"/>
      <c r="AG27" s="97" t="n"/>
      <c r="AH27" s="96" t="inlineStr">
        <is>
          <t>CHK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TH0042</t>
        </is>
      </c>
      <c r="AN27" s="96" t="inlineStr">
        <is>
          <t>Sukunpoj Damrongying</t>
        </is>
      </c>
      <c r="AO27" s="96" t="inlineStr">
        <is>
          <t>FROZEN FULLY COOKED CHICKEN MEAT</t>
        </is>
      </c>
      <c r="AP27" s="96" t="inlineStr">
        <is>
          <t>Normal</t>
        </is>
      </c>
      <c r="AQ27" s="97" t="n"/>
      <c r="AR27" s="97" t="n"/>
      <c r="AS27" s="97" t="inlineStr">
        <is>
          <t>RF// MIN:-18.0 MAX:-18.0 [COVER:CLOSE]</t>
        </is>
      </c>
      <c r="AT27" s="97" t="inlineStr">
        <is>
          <t xml:space="preserve">45REx1 </t>
        </is>
      </c>
      <c r="AU27" s="97" t="n"/>
      <c r="AV27" s="97" t="n"/>
      <c r="AW27" s="97" t="n">
        <v>0</v>
      </c>
      <c r="AX27" s="96" t="inlineStr">
        <is>
          <t>N</t>
        </is>
      </c>
      <c r="AY27" s="97" t="inlineStr">
        <is>
          <t>OBL</t>
        </is>
      </c>
      <c r="AZ27" s="96" t="inlineStr">
        <is>
          <t>Pickup : 2026-10-12, Return : 2026-10-14  (Temp -18.0 / Vent Close) 
CLS TIME 14/10/26 @12.00</t>
        </is>
      </c>
      <c r="BA27" s="97" t="inlineStr">
        <is>
          <t>CFM BY P'TARN DD.15/09/2026 
split fm HASLS22260901235TEMP -18 C</t>
        </is>
      </c>
      <c r="BB27" s="96" t="inlineStr">
        <is>
          <t>P</t>
        </is>
      </c>
      <c r="BC27" s="161" t="inlineStr">
        <is>
          <t>2026-09-28</t>
        </is>
      </c>
      <c r="BD27" s="161" t="inlineStr">
        <is>
          <t>2026-10-14</t>
        </is>
      </c>
      <c r="BE27" s="96" t="inlineStr">
        <is>
          <t>Y</t>
        </is>
      </c>
      <c r="BF27" s="96" t="inlineStr">
        <is>
          <t>FROZEN CHICKEN COOK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BKK27</t>
        </is>
      </c>
      <c r="BL27" s="161" t="inlineStr">
        <is>
          <t>2026-10-12</t>
        </is>
      </c>
      <c r="BM27" s="127" t="n"/>
      <c r="BN27" s="127" t="n"/>
      <c r="BO27" s="127" t="n"/>
      <c r="BP27" s="127" t="n"/>
      <c r="BQ27" s="127" t="n"/>
      <c r="BR27" s="127" t="n">
        <v>1</v>
      </c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inlineStr">
        <is>
          <t>Y</t>
        </is>
      </c>
      <c r="CB27" s="97" t="n"/>
      <c r="CC27" s="96" t="inlineStr">
        <is>
          <t>BKK02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Booking@lss.co.th</t>
        </is>
      </c>
      <c r="CJ27" s="96" t="inlineStr">
        <is>
          <t>SAHA FARMS INTERNATIONAL CO.,LTD.</t>
        </is>
      </c>
      <c r="CK27" s="96" t="inlineStr">
        <is>
          <t>SASE CO.,LTD.</t>
        </is>
      </c>
      <c r="CL27" s="96" t="inlineStr">
        <is>
          <t>SASE CO.,LTD.</t>
        </is>
      </c>
      <c r="CM27" s="97" t="inlineStr">
        <is>
          <t>CLOSED</t>
        </is>
      </c>
      <c r="CN27" s="96" t="inlineStr">
        <is>
          <t>202610121700</t>
        </is>
      </c>
      <c r="CO27" s="96" t="inlineStr">
        <is>
          <t>202610141200</t>
        </is>
      </c>
      <c r="CP27" s="97" t="inlineStr">
        <is>
          <t>45RE x1: RF(Temp:-18.0' / Cover:CLOSE)</t>
        </is>
      </c>
      <c r="CQ27" s="96" t="inlineStr">
        <is>
          <t>S22-2206003</t>
        </is>
      </c>
      <c r="CR27" s="96" t="inlineStr">
        <is>
          <t>THTQLH</t>
        </is>
      </c>
      <c r="CS27" s="96" t="inlineStr">
        <is>
          <t>LAND SEA SKY CO., LTD.</t>
        </is>
      </c>
      <c r="CT27" s="96" t="inlineStr">
        <is>
          <t>N</t>
        </is>
      </c>
      <c r="CU27" s="97" t="n"/>
      <c r="CV27" s="97" t="n"/>
      <c r="CW27" s="161" t="inlineStr">
        <is>
          <t>2026-10-15</t>
        </is>
      </c>
      <c r="CX27" s="97" t="n"/>
      <c r="CY27" s="183" t="n"/>
    </row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FBIU5370069</t>
        </is>
      </c>
      <c r="B2" s="108" t="inlineStr">
        <is>
          <t>BKK02</t>
        </is>
      </c>
      <c r="C2" s="108" t="inlineStr">
        <is>
          <t>IFE</t>
        </is>
      </c>
      <c r="D2" s="172" t="inlineStr">
        <is>
          <t>2026-10-14</t>
        </is>
      </c>
      <c r="E2" s="173" t="inlineStr">
        <is>
          <t>1156</t>
        </is>
      </c>
      <c r="F2" s="96" t="inlineStr">
        <is>
          <t>HASLS22260902555</t>
        </is>
      </c>
      <c r="G2" s="96" t="inlineStr">
        <is>
          <t>LAND SEA SKY CO., LTD.</t>
        </is>
      </c>
      <c r="H2" s="111" t="inlineStr">
        <is>
          <t>45RE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HASLS22260902555</t>
        </is>
      </c>
      <c r="N2" s="96" t="inlineStr">
        <is>
          <t xml:space="preserve">R40Hx1 </t>
        </is>
      </c>
      <c r="O2" s="111" t="inlineStr">
        <is>
          <t>2023</t>
        </is>
      </c>
      <c r="P2" s="111" t="inlineStr">
        <is>
          <t>CARRIER</t>
        </is>
      </c>
      <c r="Q2" s="111" t="inlineStr">
        <is>
          <t>69NT40-571-112</t>
        </is>
      </c>
      <c r="R2" s="96" t="inlineStr">
        <is>
          <t>SWBT</t>
        </is>
      </c>
      <c r="S2" s="96" t="inlineStr">
        <is>
          <t>2616N</t>
        </is>
      </c>
      <c r="T2" s="96" t="inlineStr">
        <is>
          <t>BKK02</t>
        </is>
      </c>
      <c r="U2" s="96" t="inlineStr">
        <is>
          <t>THBKK</t>
        </is>
      </c>
      <c r="V2" s="161" t="inlineStr">
        <is>
          <t>2026-10-16</t>
        </is>
      </c>
      <c r="W2" s="96" t="inlineStr">
        <is>
          <t>KRPTK</t>
        </is>
      </c>
      <c r="X2" s="161" t="inlineStr">
        <is>
          <t>2026-10-24</t>
        </is>
      </c>
      <c r="Y2" s="97" t="n"/>
      <c r="Z2" s="97" t="n"/>
      <c r="AA2" s="97" t="n"/>
      <c r="AB2" s="97" t="n"/>
      <c r="AC2" s="97" t="n"/>
      <c r="AD2" s="161" t="inlineStr">
        <is>
          <t>2026-10-14</t>
        </is>
      </c>
      <c r="AE2" s="174" t="inlineStr">
        <is>
          <t>1402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SASE CO.,LTD.</t>
        </is>
      </c>
      <c r="AK2" s="130" t="n"/>
    </row>
    <row r="3" ht="12" customHeight="1">
      <c r="A3" s="108" t="inlineStr">
        <is>
          <t>FCIU7349078</t>
        </is>
      </c>
      <c r="B3" s="108" t="inlineStr">
        <is>
          <t>BKK02</t>
        </is>
      </c>
      <c r="C3" s="108" t="inlineStr">
        <is>
          <t>IFE</t>
        </is>
      </c>
      <c r="D3" s="172" t="inlineStr">
        <is>
          <t>2026-10-08</t>
        </is>
      </c>
      <c r="E3" s="173" t="inlineStr">
        <is>
          <t>1301</t>
        </is>
      </c>
      <c r="F3" s="96" t="inlineStr">
        <is>
          <t>HASLS22260902179</t>
        </is>
      </c>
      <c r="G3" s="96" t="inlineStr">
        <is>
          <t>BIRLA CARBON (THAILAND) PUBLIC COMPANY LIMITED</t>
        </is>
      </c>
      <c r="H3" s="111" t="inlineStr">
        <is>
          <t>45GP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HASLS22260902179</t>
        </is>
      </c>
      <c r="N3" s="96" t="inlineStr">
        <is>
          <t xml:space="preserve">40Hx8 </t>
        </is>
      </c>
      <c r="O3" s="111" t="inlineStr">
        <is>
          <t>2017</t>
        </is>
      </c>
      <c r="P3" s="111" t="n"/>
      <c r="Q3" s="111" t="n"/>
      <c r="R3" s="96" t="inlineStr">
        <is>
          <t>SWBT</t>
        </is>
      </c>
      <c r="S3" s="96" t="inlineStr">
        <is>
          <t>2616N</t>
        </is>
      </c>
      <c r="T3" s="96" t="inlineStr">
        <is>
          <t>BKK02</t>
        </is>
      </c>
      <c r="U3" s="96" t="inlineStr">
        <is>
          <t>THBKK</t>
        </is>
      </c>
      <c r="V3" s="161" t="inlineStr">
        <is>
          <t>2026-10-16</t>
        </is>
      </c>
      <c r="W3" s="96" t="inlineStr">
        <is>
          <t>VNSGN</t>
        </is>
      </c>
      <c r="X3" s="161" t="inlineStr">
        <is>
          <t>2026-10-18</t>
        </is>
      </c>
      <c r="Y3" s="97" t="n"/>
      <c r="Z3" s="97" t="n"/>
      <c r="AA3" s="97" t="n"/>
      <c r="AB3" s="97" t="n"/>
      <c r="AC3" s="97" t="n"/>
      <c r="AD3" s="161" t="inlineStr">
        <is>
          <t>2026-10-08</t>
        </is>
      </c>
      <c r="AE3" s="174" t="inlineStr">
        <is>
          <t>1600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JINYU (VIETNAM) TIRE CO.,LTD</t>
        </is>
      </c>
      <c r="AK3" s="130" t="n"/>
    </row>
    <row r="4" ht="12" customHeight="1">
      <c r="A4" s="108" t="inlineStr">
        <is>
          <t>GCXU6004304</t>
        </is>
      </c>
      <c r="B4" s="108" t="inlineStr">
        <is>
          <t>BKK02</t>
        </is>
      </c>
      <c r="C4" s="108" t="inlineStr">
        <is>
          <t>IFE</t>
        </is>
      </c>
      <c r="D4" s="172" t="inlineStr">
        <is>
          <t>2026-10-08</t>
        </is>
      </c>
      <c r="E4" s="173" t="inlineStr">
        <is>
          <t>0458</t>
        </is>
      </c>
      <c r="F4" s="96" t="inlineStr">
        <is>
          <t>HASLS22260902179</t>
        </is>
      </c>
      <c r="G4" s="96" t="inlineStr">
        <is>
          <t>BIRLA CARBON (THAILAND) PUBLIC COMPANY LIMITED</t>
        </is>
      </c>
      <c r="H4" s="111" t="inlineStr">
        <is>
          <t>45GP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HASLS22260902179</t>
        </is>
      </c>
      <c r="N4" s="96" t="inlineStr">
        <is>
          <t xml:space="preserve">40Hx8 </t>
        </is>
      </c>
      <c r="O4" s="111" t="inlineStr">
        <is>
          <t>2024</t>
        </is>
      </c>
      <c r="P4" s="111" t="n"/>
      <c r="Q4" s="111" t="n"/>
      <c r="R4" s="96" t="inlineStr">
        <is>
          <t>SWBT</t>
        </is>
      </c>
      <c r="S4" s="96" t="inlineStr">
        <is>
          <t>2616N</t>
        </is>
      </c>
      <c r="T4" s="96" t="inlineStr">
        <is>
          <t>BKK02</t>
        </is>
      </c>
      <c r="U4" s="96" t="inlineStr">
        <is>
          <t>THBKK</t>
        </is>
      </c>
      <c r="V4" s="161" t="inlineStr">
        <is>
          <t>2026-10-16</t>
        </is>
      </c>
      <c r="W4" s="96" t="inlineStr">
        <is>
          <t>VNSGN</t>
        </is>
      </c>
      <c r="X4" s="161" t="inlineStr">
        <is>
          <t>2026-10-18</t>
        </is>
      </c>
      <c r="Y4" s="97" t="n"/>
      <c r="Z4" s="97" t="n"/>
      <c r="AA4" s="97" t="n"/>
      <c r="AB4" s="97" t="n"/>
      <c r="AC4" s="97" t="n"/>
      <c r="AD4" s="161" t="inlineStr">
        <is>
          <t>2026-10-08</t>
        </is>
      </c>
      <c r="AE4" s="174" t="inlineStr">
        <is>
          <t>0700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JINYU (VIETNAM) TIRE CO.,LTD</t>
        </is>
      </c>
      <c r="AK4" s="130" t="n"/>
    </row>
    <row r="5" ht="12" customHeight="1">
      <c r="A5" s="108" t="inlineStr">
        <is>
          <t>GCXU6014175</t>
        </is>
      </c>
      <c r="B5" s="108" t="inlineStr">
        <is>
          <t>BKK02</t>
        </is>
      </c>
      <c r="C5" s="108" t="inlineStr">
        <is>
          <t>IFE</t>
        </is>
      </c>
      <c r="D5" s="172" t="inlineStr">
        <is>
          <t>2026-10-11</t>
        </is>
      </c>
      <c r="E5" s="173" t="inlineStr">
        <is>
          <t>1104</t>
        </is>
      </c>
      <c r="F5" s="96" t="inlineStr">
        <is>
          <t>HASLS22260902181</t>
        </is>
      </c>
      <c r="G5" s="96" t="inlineStr">
        <is>
          <t>BIRLA CARBON (THAILAND) PUBLIC COMPANY LIMITED</t>
        </is>
      </c>
      <c r="H5" s="111" t="inlineStr">
        <is>
          <t>45GP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HASLS22260902181</t>
        </is>
      </c>
      <c r="N5" s="96" t="inlineStr">
        <is>
          <t xml:space="preserve">40Hx8 </t>
        </is>
      </c>
      <c r="O5" s="111" t="inlineStr">
        <is>
          <t>2024</t>
        </is>
      </c>
      <c r="P5" s="111" t="n"/>
      <c r="Q5" s="111" t="n"/>
      <c r="R5" s="96" t="inlineStr">
        <is>
          <t>SWBT</t>
        </is>
      </c>
      <c r="S5" s="96" t="inlineStr">
        <is>
          <t>2616N</t>
        </is>
      </c>
      <c r="T5" s="96" t="inlineStr">
        <is>
          <t>BKK02</t>
        </is>
      </c>
      <c r="U5" s="96" t="inlineStr">
        <is>
          <t>THBKK</t>
        </is>
      </c>
      <c r="V5" s="161" t="inlineStr">
        <is>
          <t>2026-10-16</t>
        </is>
      </c>
      <c r="W5" s="96" t="inlineStr">
        <is>
          <t>VNSGN</t>
        </is>
      </c>
      <c r="X5" s="161" t="inlineStr">
        <is>
          <t>2026-10-18</t>
        </is>
      </c>
      <c r="Y5" s="97" t="n"/>
      <c r="Z5" s="97" t="n"/>
      <c r="AA5" s="97" t="n"/>
      <c r="AB5" s="97" t="n"/>
      <c r="AC5" s="97" t="n"/>
      <c r="AD5" s="161" t="inlineStr">
        <is>
          <t>2026-10-11</t>
        </is>
      </c>
      <c r="AE5" s="174" t="inlineStr">
        <is>
          <t>1401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SAILUN (VIETNAM) CO.,LTD</t>
        </is>
      </c>
      <c r="AK5" s="130" t="n"/>
    </row>
    <row r="6" ht="12" customHeight="1">
      <c r="A6" s="108" t="inlineStr">
        <is>
          <t>HALU2354046</t>
        </is>
      </c>
      <c r="B6" s="108" t="inlineStr">
        <is>
          <t>BKK02</t>
        </is>
      </c>
      <c r="C6" s="108" t="inlineStr">
        <is>
          <t>IFE</t>
        </is>
      </c>
      <c r="D6" s="172" t="inlineStr">
        <is>
          <t>2026-10-09</t>
        </is>
      </c>
      <c r="E6" s="173" t="inlineStr">
        <is>
          <t>1952</t>
        </is>
      </c>
      <c r="F6" s="96" t="inlineStr">
        <is>
          <t>HASLS22260902001</t>
        </is>
      </c>
      <c r="G6" s="96" t="inlineStr">
        <is>
          <t>PRIME LOGISTICS INTERNATIONAL CO., LTD.</t>
        </is>
      </c>
      <c r="H6" s="111" t="inlineStr">
        <is>
          <t>22GP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HASLS22260902001</t>
        </is>
      </c>
      <c r="N6" s="96" t="inlineStr">
        <is>
          <t xml:space="preserve">40Hx1 20'x1 </t>
        </is>
      </c>
      <c r="O6" s="111" t="inlineStr">
        <is>
          <t>2023</t>
        </is>
      </c>
      <c r="P6" s="111" t="n"/>
      <c r="Q6" s="111" t="n"/>
      <c r="R6" s="96" t="inlineStr">
        <is>
          <t>SWBT</t>
        </is>
      </c>
      <c r="S6" s="96" t="inlineStr">
        <is>
          <t>2616N</t>
        </is>
      </c>
      <c r="T6" s="96" t="inlineStr">
        <is>
          <t>BKK02</t>
        </is>
      </c>
      <c r="U6" s="96" t="inlineStr">
        <is>
          <t>THBKK</t>
        </is>
      </c>
      <c r="V6" s="161" t="inlineStr">
        <is>
          <t>2026-10-16</t>
        </is>
      </c>
      <c r="W6" s="96" t="inlineStr">
        <is>
          <t>VNSGN</t>
        </is>
      </c>
      <c r="X6" s="161" t="inlineStr">
        <is>
          <t>2026-10-18</t>
        </is>
      </c>
      <c r="Y6" s="97" t="n"/>
      <c r="Z6" s="97" t="n"/>
      <c r="AA6" s="97" t="n"/>
      <c r="AB6" s="97" t="n"/>
      <c r="AC6" s="97" t="n"/>
      <c r="AD6" s="161" t="inlineStr">
        <is>
          <t>2026-10-09</t>
        </is>
      </c>
      <c r="AE6" s="174" t="inlineStr">
        <is>
          <t>2201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PATAYA  FOOD INDUSTRIES (VIETNAM)</t>
        </is>
      </c>
      <c r="AK6" s="130" t="n"/>
    </row>
    <row r="7" ht="12" customHeight="1">
      <c r="A7" s="108" t="inlineStr">
        <is>
          <t>HALU2404276</t>
        </is>
      </c>
      <c r="B7" s="108" t="inlineStr">
        <is>
          <t>BKK02</t>
        </is>
      </c>
      <c r="C7" s="108" t="inlineStr">
        <is>
          <t>IFE</t>
        </is>
      </c>
      <c r="D7" s="172" t="inlineStr">
        <is>
          <t>2026-10-12</t>
        </is>
      </c>
      <c r="E7" s="173" t="inlineStr">
        <is>
          <t>1511</t>
        </is>
      </c>
      <c r="F7" s="96" t="inlineStr">
        <is>
          <t>HASLS22260902493</t>
        </is>
      </c>
      <c r="G7" s="96" t="inlineStr">
        <is>
          <t>PACIFIC STAR ALLIANCE CO., LTD.</t>
        </is>
      </c>
      <c r="H7" s="111" t="inlineStr">
        <is>
          <t>22GP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HASLS22260902493</t>
        </is>
      </c>
      <c r="N7" s="96" t="inlineStr">
        <is>
          <t xml:space="preserve">20'x1 </t>
        </is>
      </c>
      <c r="O7" s="111" t="inlineStr">
        <is>
          <t>2024</t>
        </is>
      </c>
      <c r="P7" s="111" t="n"/>
      <c r="Q7" s="111" t="n"/>
      <c r="R7" s="96" t="inlineStr">
        <is>
          <t>PGPO</t>
        </is>
      </c>
      <c r="S7" s="96" t="inlineStr">
        <is>
          <t>2612N</t>
        </is>
      </c>
      <c r="T7" s="96" t="inlineStr">
        <is>
          <t>BKK02</t>
        </is>
      </c>
      <c r="U7" s="96" t="inlineStr">
        <is>
          <t>THBKK</t>
        </is>
      </c>
      <c r="V7" s="161" t="inlineStr">
        <is>
          <t>2026-10-16</t>
        </is>
      </c>
      <c r="W7" s="96" t="inlineStr">
        <is>
          <t>VNSGN</t>
        </is>
      </c>
      <c r="X7" s="161" t="inlineStr">
        <is>
          <t>2026-10-18</t>
        </is>
      </c>
      <c r="Y7" s="97" t="n"/>
      <c r="Z7" s="97" t="n"/>
      <c r="AA7" s="97" t="n"/>
      <c r="AB7" s="97" t="n"/>
      <c r="AC7" s="97" t="n"/>
      <c r="AD7" s="161" t="inlineStr">
        <is>
          <t>2026-10-12</t>
        </is>
      </c>
      <c r="AE7" s="174" t="inlineStr">
        <is>
          <t>1821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SCT LOGISTICS JOINT STOCK COMPANY</t>
        </is>
      </c>
      <c r="AK7" s="130" t="n"/>
    </row>
    <row r="8" ht="12" customHeight="1">
      <c r="A8" s="108" t="inlineStr">
        <is>
          <t>HALU2433037</t>
        </is>
      </c>
      <c r="B8" s="108" t="inlineStr">
        <is>
          <t>BKK02</t>
        </is>
      </c>
      <c r="C8" s="108" t="inlineStr">
        <is>
          <t>IFE</t>
        </is>
      </c>
      <c r="D8" s="172" t="inlineStr">
        <is>
          <t>2026-10-10</t>
        </is>
      </c>
      <c r="E8" s="173" t="inlineStr">
        <is>
          <t>2237</t>
        </is>
      </c>
      <c r="F8" s="96" t="inlineStr">
        <is>
          <t>HASLS22260902158</t>
        </is>
      </c>
      <c r="G8" s="96" t="inlineStr">
        <is>
          <t>ICONS GLOBAL LOGISTICS CO., LTD.</t>
        </is>
      </c>
      <c r="H8" s="111" t="inlineStr">
        <is>
          <t>22GP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HASLS22260902158</t>
        </is>
      </c>
      <c r="N8" s="96" t="inlineStr">
        <is>
          <t xml:space="preserve">20'x2 </t>
        </is>
      </c>
      <c r="O8" s="111" t="inlineStr">
        <is>
          <t>2024</t>
        </is>
      </c>
      <c r="P8" s="111" t="n"/>
      <c r="Q8" s="111" t="n"/>
      <c r="R8" s="96" t="inlineStr">
        <is>
          <t>SWBT</t>
        </is>
      </c>
      <c r="S8" s="96" t="inlineStr">
        <is>
          <t>2616N</t>
        </is>
      </c>
      <c r="T8" s="96" t="inlineStr">
        <is>
          <t>BKK02</t>
        </is>
      </c>
      <c r="U8" s="96" t="inlineStr">
        <is>
          <t>THBKK</t>
        </is>
      </c>
      <c r="V8" s="161" t="inlineStr">
        <is>
          <t>2026-10-16</t>
        </is>
      </c>
      <c r="W8" s="96" t="inlineStr">
        <is>
          <t>VNSGN</t>
        </is>
      </c>
      <c r="X8" s="161" t="inlineStr">
        <is>
          <t>2026-10-18</t>
        </is>
      </c>
      <c r="Y8" s="97" t="n"/>
      <c r="Z8" s="97" t="n"/>
      <c r="AA8" s="97" t="n"/>
      <c r="AB8" s="97" t="n"/>
      <c r="AC8" s="97" t="n"/>
      <c r="AD8" s="161" t="inlineStr">
        <is>
          <t>2026-10-11</t>
        </is>
      </c>
      <c r="AE8" s="174" t="inlineStr">
        <is>
          <t>0100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MEKONG COMMODITIES JSC</t>
        </is>
      </c>
      <c r="AK8" s="130" t="n"/>
    </row>
    <row r="9" ht="12" customHeight="1">
      <c r="A9" s="108" t="inlineStr">
        <is>
          <t>HALU2455416</t>
        </is>
      </c>
      <c r="B9" s="108" t="inlineStr">
        <is>
          <t>BKK02</t>
        </is>
      </c>
      <c r="C9" s="108" t="inlineStr">
        <is>
          <t>IFE</t>
        </is>
      </c>
      <c r="D9" s="172" t="inlineStr">
        <is>
          <t>2026-10-10</t>
        </is>
      </c>
      <c r="E9" s="173" t="inlineStr">
        <is>
          <t>2237</t>
        </is>
      </c>
      <c r="F9" s="96" t="inlineStr">
        <is>
          <t>HASLS22260902158</t>
        </is>
      </c>
      <c r="G9" s="96" t="inlineStr">
        <is>
          <t>ICONS GLOBAL LOGISTICS CO., LTD.</t>
        </is>
      </c>
      <c r="H9" s="111" t="inlineStr">
        <is>
          <t>22GP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HASLS22260902158</t>
        </is>
      </c>
      <c r="N9" s="96" t="inlineStr">
        <is>
          <t xml:space="preserve">20'x2 </t>
        </is>
      </c>
      <c r="O9" s="111" t="inlineStr">
        <is>
          <t>2024</t>
        </is>
      </c>
      <c r="P9" s="111" t="n"/>
      <c r="Q9" s="111" t="n"/>
      <c r="R9" s="96" t="inlineStr">
        <is>
          <t>SWBT</t>
        </is>
      </c>
      <c r="S9" s="96" t="inlineStr">
        <is>
          <t>2616N</t>
        </is>
      </c>
      <c r="T9" s="96" t="inlineStr">
        <is>
          <t>BKK02</t>
        </is>
      </c>
      <c r="U9" s="96" t="inlineStr">
        <is>
          <t>THBKK</t>
        </is>
      </c>
      <c r="V9" s="161" t="inlineStr">
        <is>
          <t>2026-10-16</t>
        </is>
      </c>
      <c r="W9" s="96" t="inlineStr">
        <is>
          <t>VNSGN</t>
        </is>
      </c>
      <c r="X9" s="161" t="inlineStr">
        <is>
          <t>2026-10-18</t>
        </is>
      </c>
      <c r="Y9" s="97" t="n"/>
      <c r="Z9" s="97" t="n"/>
      <c r="AA9" s="97" t="n"/>
      <c r="AB9" s="97" t="n"/>
      <c r="AC9" s="97" t="n"/>
      <c r="AD9" s="161" t="inlineStr">
        <is>
          <t>2026-10-11</t>
        </is>
      </c>
      <c r="AE9" s="174" t="inlineStr">
        <is>
          <t>0100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MEKONG COMMODITIES JSC</t>
        </is>
      </c>
      <c r="AK9" s="130" t="n"/>
    </row>
    <row r="10" ht="12" customHeight="1">
      <c r="A10" s="108" t="inlineStr">
        <is>
          <t>HALU2561228</t>
        </is>
      </c>
      <c r="B10" s="108" t="inlineStr">
        <is>
          <t>BKK02</t>
        </is>
      </c>
      <c r="C10" s="108" t="inlineStr">
        <is>
          <t>IFE</t>
        </is>
      </c>
      <c r="D10" s="172" t="inlineStr">
        <is>
          <t>2026-10-11</t>
        </is>
      </c>
      <c r="E10" s="173" t="inlineStr">
        <is>
          <t>0044</t>
        </is>
      </c>
      <c r="F10" s="96" t="inlineStr">
        <is>
          <t>HASLS22261000079</t>
        </is>
      </c>
      <c r="G10" s="96" t="inlineStr">
        <is>
          <t>EAST-LINK CORPORATION CO., LTD.</t>
        </is>
      </c>
      <c r="H10" s="111" t="inlineStr">
        <is>
          <t>22GP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HASLS22261000079</t>
        </is>
      </c>
      <c r="N10" s="96" t="inlineStr">
        <is>
          <t xml:space="preserve">20'x1 </t>
        </is>
      </c>
      <c r="O10" s="111" t="inlineStr">
        <is>
          <t>2025</t>
        </is>
      </c>
      <c r="P10" s="111" t="n"/>
      <c r="Q10" s="111" t="n"/>
      <c r="R10" s="96" t="inlineStr">
        <is>
          <t>SWBT</t>
        </is>
      </c>
      <c r="S10" s="96" t="inlineStr">
        <is>
          <t>2616N</t>
        </is>
      </c>
      <c r="T10" s="96" t="inlineStr">
        <is>
          <t>BKK02</t>
        </is>
      </c>
      <c r="U10" s="96" t="inlineStr">
        <is>
          <t>THBKK</t>
        </is>
      </c>
      <c r="V10" s="161" t="inlineStr">
        <is>
          <t>2026-10-16</t>
        </is>
      </c>
      <c r="W10" s="96" t="inlineStr">
        <is>
          <t>VNSGN</t>
        </is>
      </c>
      <c r="X10" s="161" t="inlineStr">
        <is>
          <t>2026-10-18</t>
        </is>
      </c>
      <c r="Y10" s="97" t="n"/>
      <c r="Z10" s="97" t="n"/>
      <c r="AA10" s="97" t="n"/>
      <c r="AB10" s="97" t="n"/>
      <c r="AC10" s="97" t="n"/>
      <c r="AD10" s="161" t="inlineStr">
        <is>
          <t>2026-10-11</t>
        </is>
      </c>
      <c r="AE10" s="174" t="inlineStr">
        <is>
          <t>0301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BRANCH OF DANKO LOGISTICS CO., LTD.</t>
        </is>
      </c>
      <c r="AK10" s="130" t="n"/>
    </row>
    <row r="11" ht="12" customHeight="1">
      <c r="A11" s="108" t="inlineStr">
        <is>
          <t>HALU2561260</t>
        </is>
      </c>
      <c r="B11" s="108" t="inlineStr">
        <is>
          <t>BKK02</t>
        </is>
      </c>
      <c r="C11" s="108" t="inlineStr">
        <is>
          <t>IFE</t>
        </is>
      </c>
      <c r="D11" s="172" t="inlineStr">
        <is>
          <t>2026-10-12</t>
        </is>
      </c>
      <c r="E11" s="173" t="inlineStr">
        <is>
          <t>2221</t>
        </is>
      </c>
      <c r="F11" s="96" t="inlineStr">
        <is>
          <t>HASLS22260601488</t>
        </is>
      </c>
      <c r="G11" s="96" t="inlineStr">
        <is>
          <t>BILLION LOGISTICS CO., LTD.</t>
        </is>
      </c>
      <c r="H11" s="111" t="inlineStr">
        <is>
          <t>22GP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HASLS22260601488</t>
        </is>
      </c>
      <c r="N11" s="96" t="inlineStr">
        <is>
          <t xml:space="preserve">20'x1 </t>
        </is>
      </c>
      <c r="O11" s="111" t="inlineStr">
        <is>
          <t>2025</t>
        </is>
      </c>
      <c r="P11" s="111" t="n"/>
      <c r="Q11" s="111" t="n"/>
      <c r="R11" s="96" t="inlineStr">
        <is>
          <t>SWBT</t>
        </is>
      </c>
      <c r="S11" s="96" t="inlineStr">
        <is>
          <t>2616N</t>
        </is>
      </c>
      <c r="T11" s="96" t="inlineStr">
        <is>
          <t>BKK02</t>
        </is>
      </c>
      <c r="U11" s="96" t="inlineStr">
        <is>
          <t>THBKK</t>
        </is>
      </c>
      <c r="V11" s="161" t="inlineStr">
        <is>
          <t>2026-10-16</t>
        </is>
      </c>
      <c r="W11" s="96" t="inlineStr">
        <is>
          <t>VNSGN</t>
        </is>
      </c>
      <c r="X11" s="161" t="inlineStr">
        <is>
          <t>2026-10-18</t>
        </is>
      </c>
      <c r="Y11" s="97" t="n"/>
      <c r="Z11" s="97" t="n"/>
      <c r="AA11" s="97" t="n"/>
      <c r="AB11" s="97" t="n"/>
      <c r="AC11" s="97" t="n"/>
      <c r="AD11" s="161" t="inlineStr">
        <is>
          <t>2026-10-13</t>
        </is>
      </c>
      <c r="AE11" s="174" t="inlineStr">
        <is>
          <t>0102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VIETNAM FISH -ONE CO.,LTD.</t>
        </is>
      </c>
      <c r="AK11" s="130" t="n"/>
    </row>
    <row r="12" ht="12" customHeight="1">
      <c r="A12" s="108" t="inlineStr">
        <is>
          <t>HALU2562369</t>
        </is>
      </c>
      <c r="B12" s="108" t="inlineStr">
        <is>
          <t>BKK02</t>
        </is>
      </c>
      <c r="C12" s="108" t="inlineStr">
        <is>
          <t>IFE</t>
        </is>
      </c>
      <c r="D12" s="172" t="inlineStr">
        <is>
          <t>2026-10-14</t>
        </is>
      </c>
      <c r="E12" s="173" t="inlineStr">
        <is>
          <t>1953</t>
        </is>
      </c>
      <c r="F12" s="96" t="inlineStr">
        <is>
          <t>HASLS22261000719</t>
        </is>
      </c>
      <c r="G12" s="96" t="inlineStr">
        <is>
          <t>BILLION LOGISTICS CO., LTD.</t>
        </is>
      </c>
      <c r="H12" s="111" t="inlineStr">
        <is>
          <t>22GP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HASLS22261000719</t>
        </is>
      </c>
      <c r="N12" s="96" t="inlineStr">
        <is>
          <t xml:space="preserve">20'x1 </t>
        </is>
      </c>
      <c r="O12" s="111" t="inlineStr">
        <is>
          <t>2025</t>
        </is>
      </c>
      <c r="P12" s="111" t="n"/>
      <c r="Q12" s="111" t="n"/>
      <c r="R12" s="96" t="inlineStr">
        <is>
          <t>SWBT</t>
        </is>
      </c>
      <c r="S12" s="96" t="inlineStr">
        <is>
          <t>2616N</t>
        </is>
      </c>
      <c r="T12" s="96" t="inlineStr">
        <is>
          <t>BKK02</t>
        </is>
      </c>
      <c r="U12" s="96" t="inlineStr">
        <is>
          <t>THBKK</t>
        </is>
      </c>
      <c r="V12" s="161" t="inlineStr">
        <is>
          <t>2026-10-16</t>
        </is>
      </c>
      <c r="W12" s="96" t="inlineStr">
        <is>
          <t>VNSGN</t>
        </is>
      </c>
      <c r="X12" s="161" t="inlineStr">
        <is>
          <t>2026-10-18</t>
        </is>
      </c>
      <c r="Y12" s="97" t="n"/>
      <c r="Z12" s="97" t="n"/>
      <c r="AA12" s="97" t="n"/>
      <c r="AB12" s="97" t="n"/>
      <c r="AC12" s="97" t="n"/>
      <c r="AD12" s="161" t="inlineStr">
        <is>
          <t>2026-10-14</t>
        </is>
      </c>
      <c r="AE12" s="174" t="inlineStr">
        <is>
          <t>2201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MINH PHU SEAFOOD CORP</t>
        </is>
      </c>
      <c r="AK12" s="130" t="n"/>
    </row>
    <row r="13" ht="12" customHeight="1">
      <c r="A13" s="108" t="inlineStr">
        <is>
          <t>HLHU6412784</t>
        </is>
      </c>
      <c r="B13" s="108" t="inlineStr">
        <is>
          <t>BKK02</t>
        </is>
      </c>
      <c r="C13" s="108" t="inlineStr">
        <is>
          <t>IFE</t>
        </is>
      </c>
      <c r="D13" s="172" t="inlineStr">
        <is>
          <t>2026-10-12</t>
        </is>
      </c>
      <c r="E13" s="173" t="inlineStr">
        <is>
          <t>2112</t>
        </is>
      </c>
      <c r="F13" s="96" t="inlineStr">
        <is>
          <t>HASLS22261000226</t>
        </is>
      </c>
      <c r="G13" s="96" t="inlineStr">
        <is>
          <t>CTI LOGISTICS CO., LTD.</t>
        </is>
      </c>
      <c r="H13" s="111" t="inlineStr">
        <is>
          <t>45GP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HASLS22261000226</t>
        </is>
      </c>
      <c r="N13" s="96" t="inlineStr">
        <is>
          <t xml:space="preserve">40Hx1 </t>
        </is>
      </c>
      <c r="O13" s="111" t="inlineStr">
        <is>
          <t>2024</t>
        </is>
      </c>
      <c r="P13" s="111" t="n"/>
      <c r="Q13" s="111" t="n"/>
      <c r="R13" s="96" t="inlineStr">
        <is>
          <t>SWBT</t>
        </is>
      </c>
      <c r="S13" s="96" t="inlineStr">
        <is>
          <t>2616N</t>
        </is>
      </c>
      <c r="T13" s="96" t="inlineStr">
        <is>
          <t>BKK02</t>
        </is>
      </c>
      <c r="U13" s="96" t="inlineStr">
        <is>
          <t>THBKK</t>
        </is>
      </c>
      <c r="V13" s="161" t="inlineStr">
        <is>
          <t>2026-10-16</t>
        </is>
      </c>
      <c r="W13" s="96" t="inlineStr">
        <is>
          <t>VNSGN</t>
        </is>
      </c>
      <c r="X13" s="161" t="inlineStr">
        <is>
          <t>2026-10-18</t>
        </is>
      </c>
      <c r="Y13" s="97" t="n"/>
      <c r="Z13" s="97" t="n"/>
      <c r="AA13" s="97" t="n"/>
      <c r="AB13" s="97" t="n"/>
      <c r="AC13" s="97" t="n"/>
      <c r="AD13" s="161" t="inlineStr">
        <is>
          <t>2026-10-13</t>
        </is>
      </c>
      <c r="AE13" s="174" t="inlineStr">
        <is>
          <t>0001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Y.U.A.S. (CAMBODIA) CO.,LTD.</t>
        </is>
      </c>
      <c r="AK13" s="130" t="n"/>
    </row>
    <row r="14" ht="12" customHeight="1">
      <c r="A14" s="108" t="inlineStr">
        <is>
          <t>HLHU8105750</t>
        </is>
      </c>
      <c r="B14" s="108" t="inlineStr">
        <is>
          <t>BKK02</t>
        </is>
      </c>
      <c r="C14" s="108" t="inlineStr">
        <is>
          <t>IFE</t>
        </is>
      </c>
      <c r="D14" s="172" t="inlineStr">
        <is>
          <t>2026-10-11</t>
        </is>
      </c>
      <c r="E14" s="173" t="inlineStr">
        <is>
          <t>0851</t>
        </is>
      </c>
      <c r="F14" s="96" t="inlineStr">
        <is>
          <t>HASLS22260902181</t>
        </is>
      </c>
      <c r="G14" s="96" t="inlineStr">
        <is>
          <t>BIRLA CARBON (THAILAND) PUBLIC COMPANY LIMITED</t>
        </is>
      </c>
      <c r="H14" s="111" t="inlineStr">
        <is>
          <t>45GP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HASLS22260902181</t>
        </is>
      </c>
      <c r="N14" s="96" t="inlineStr">
        <is>
          <t xml:space="preserve">40Hx8 </t>
        </is>
      </c>
      <c r="O14" s="111" t="inlineStr">
        <is>
          <t>2021</t>
        </is>
      </c>
      <c r="P14" s="111" t="n"/>
      <c r="Q14" s="111" t="n"/>
      <c r="R14" s="96" t="inlineStr">
        <is>
          <t>SWBT</t>
        </is>
      </c>
      <c r="S14" s="96" t="inlineStr">
        <is>
          <t>2616N</t>
        </is>
      </c>
      <c r="T14" s="96" t="inlineStr">
        <is>
          <t>BKK02</t>
        </is>
      </c>
      <c r="U14" s="96" t="inlineStr">
        <is>
          <t>THBKK</t>
        </is>
      </c>
      <c r="V14" s="161" t="inlineStr">
        <is>
          <t>2026-10-16</t>
        </is>
      </c>
      <c r="W14" s="96" t="inlineStr">
        <is>
          <t>VNSGN</t>
        </is>
      </c>
      <c r="X14" s="161" t="inlineStr">
        <is>
          <t>2026-10-18</t>
        </is>
      </c>
      <c r="Y14" s="97" t="n"/>
      <c r="Z14" s="97" t="n"/>
      <c r="AA14" s="97" t="n"/>
      <c r="AB14" s="97" t="n"/>
      <c r="AC14" s="97" t="n"/>
      <c r="AD14" s="161" t="inlineStr">
        <is>
          <t>2026-10-11</t>
        </is>
      </c>
      <c r="AE14" s="174" t="inlineStr">
        <is>
          <t>1100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SAILUN (VIETNAM) CO.,LTD</t>
        </is>
      </c>
      <c r="AK14" s="130" t="n"/>
    </row>
    <row r="15" ht="12" customHeight="1">
      <c r="A15" s="108" t="inlineStr">
        <is>
          <t>HLHU8114114</t>
        </is>
      </c>
      <c r="B15" s="108" t="inlineStr">
        <is>
          <t>BKK02</t>
        </is>
      </c>
      <c r="C15" s="108" t="inlineStr">
        <is>
          <t>IFE</t>
        </is>
      </c>
      <c r="D15" s="172" t="inlineStr">
        <is>
          <t>2026-10-11</t>
        </is>
      </c>
      <c r="E15" s="173" t="inlineStr">
        <is>
          <t>0851</t>
        </is>
      </c>
      <c r="F15" s="96" t="inlineStr">
        <is>
          <t>HASLS22260902181</t>
        </is>
      </c>
      <c r="G15" s="96" t="inlineStr">
        <is>
          <t>BIRLA CARBON (THAILAND) PUBLIC COMPANY LIMITED</t>
        </is>
      </c>
      <c r="H15" s="111" t="inlineStr">
        <is>
          <t>45GP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HASLS22260902181</t>
        </is>
      </c>
      <c r="N15" s="96" t="inlineStr">
        <is>
          <t xml:space="preserve">40Hx8 </t>
        </is>
      </c>
      <c r="O15" s="111" t="inlineStr">
        <is>
          <t>2021</t>
        </is>
      </c>
      <c r="P15" s="111" t="n"/>
      <c r="Q15" s="111" t="n"/>
      <c r="R15" s="96" t="inlineStr">
        <is>
          <t>SWBT</t>
        </is>
      </c>
      <c r="S15" s="96" t="inlineStr">
        <is>
          <t>2616N</t>
        </is>
      </c>
      <c r="T15" s="96" t="inlineStr">
        <is>
          <t>BKK02</t>
        </is>
      </c>
      <c r="U15" s="96" t="inlineStr">
        <is>
          <t>THBKK</t>
        </is>
      </c>
      <c r="V15" s="161" t="inlineStr">
        <is>
          <t>2026-10-16</t>
        </is>
      </c>
      <c r="W15" s="96" t="inlineStr">
        <is>
          <t>VNSGN</t>
        </is>
      </c>
      <c r="X15" s="161" t="inlineStr">
        <is>
          <t>2026-10-18</t>
        </is>
      </c>
      <c r="Y15" s="97" t="n"/>
      <c r="Z15" s="97" t="n"/>
      <c r="AA15" s="97" t="n"/>
      <c r="AB15" s="97" t="n"/>
      <c r="AC15" s="97" t="n"/>
      <c r="AD15" s="161" t="inlineStr">
        <is>
          <t>2026-10-11</t>
        </is>
      </c>
      <c r="AE15" s="174" t="inlineStr">
        <is>
          <t>1100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SAILUN (VIETNAM) CO.,LTD</t>
        </is>
      </c>
      <c r="AK15" s="130" t="n"/>
    </row>
    <row r="16" ht="12" customHeight="1">
      <c r="A16" s="108" t="inlineStr">
        <is>
          <t>HLHU8116544</t>
        </is>
      </c>
      <c r="B16" s="108" t="inlineStr">
        <is>
          <t>BKK02</t>
        </is>
      </c>
      <c r="C16" s="108" t="inlineStr">
        <is>
          <t>IFE</t>
        </is>
      </c>
      <c r="D16" s="172" t="inlineStr">
        <is>
          <t>2026-10-12</t>
        </is>
      </c>
      <c r="E16" s="173" t="inlineStr">
        <is>
          <t>1609</t>
        </is>
      </c>
      <c r="F16" s="96" t="inlineStr">
        <is>
          <t>HASLS22260902812</t>
        </is>
      </c>
      <c r="G16" s="96" t="inlineStr">
        <is>
          <t>OPENSEA CARGO SERVICE CO., LTD.</t>
        </is>
      </c>
      <c r="H16" s="111" t="inlineStr">
        <is>
          <t>45GP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HASLS22260902812</t>
        </is>
      </c>
      <c r="N16" s="96" t="inlineStr">
        <is>
          <t xml:space="preserve">40Hx1 </t>
        </is>
      </c>
      <c r="O16" s="111" t="inlineStr">
        <is>
          <t>2021</t>
        </is>
      </c>
      <c r="P16" s="111" t="n"/>
      <c r="Q16" s="111" t="n"/>
      <c r="R16" s="96" t="inlineStr">
        <is>
          <t>SWBT</t>
        </is>
      </c>
      <c r="S16" s="96" t="inlineStr">
        <is>
          <t>2616N</t>
        </is>
      </c>
      <c r="T16" s="96" t="inlineStr">
        <is>
          <t>BKK02</t>
        </is>
      </c>
      <c r="U16" s="96" t="inlineStr">
        <is>
          <t>THBKK</t>
        </is>
      </c>
      <c r="V16" s="161" t="inlineStr">
        <is>
          <t>2026-10-16</t>
        </is>
      </c>
      <c r="W16" s="96" t="inlineStr">
        <is>
          <t>VNSGN</t>
        </is>
      </c>
      <c r="X16" s="161" t="inlineStr">
        <is>
          <t>2026-10-18</t>
        </is>
      </c>
      <c r="Y16" s="97" t="n"/>
      <c r="Z16" s="97" t="n"/>
      <c r="AA16" s="97" t="n"/>
      <c r="AB16" s="97" t="n"/>
      <c r="AC16" s="97" t="n"/>
      <c r="AD16" s="161" t="inlineStr">
        <is>
          <t>2026-10-12</t>
        </is>
      </c>
      <c r="AE16" s="174" t="inlineStr">
        <is>
          <t>1901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TAN TIEN PHAT IMPORT EXPORT &amp;</t>
        </is>
      </c>
      <c r="AK16" s="130" t="n"/>
    </row>
    <row r="17" ht="12" customHeight="1">
      <c r="A17" s="108" t="inlineStr">
        <is>
          <t>HLHU8311474</t>
        </is>
      </c>
      <c r="B17" s="108" t="inlineStr">
        <is>
          <t>BKK02</t>
        </is>
      </c>
      <c r="C17" s="108" t="inlineStr">
        <is>
          <t>IFE</t>
        </is>
      </c>
      <c r="D17" s="172" t="inlineStr">
        <is>
          <t>2026-10-08</t>
        </is>
      </c>
      <c r="E17" s="173" t="inlineStr">
        <is>
          <t>0109</t>
        </is>
      </c>
      <c r="F17" s="96" t="inlineStr">
        <is>
          <t>HASLS22260902179</t>
        </is>
      </c>
      <c r="G17" s="96" t="inlineStr">
        <is>
          <t>BIRLA CARBON (THAILAND) PUBLIC COMPANY LIMITED</t>
        </is>
      </c>
      <c r="H17" s="111" t="inlineStr">
        <is>
          <t>45GP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HASLS22260902179</t>
        </is>
      </c>
      <c r="N17" s="96" t="inlineStr">
        <is>
          <t xml:space="preserve">40Hx8 </t>
        </is>
      </c>
      <c r="O17" s="111" t="inlineStr">
        <is>
          <t>2023</t>
        </is>
      </c>
      <c r="P17" s="111" t="n"/>
      <c r="Q17" s="111" t="n"/>
      <c r="R17" s="96" t="inlineStr">
        <is>
          <t>SWBT</t>
        </is>
      </c>
      <c r="S17" s="96" t="inlineStr">
        <is>
          <t>2616N</t>
        </is>
      </c>
      <c r="T17" s="96" t="inlineStr">
        <is>
          <t>BKK02</t>
        </is>
      </c>
      <c r="U17" s="96" t="inlineStr">
        <is>
          <t>THBKK</t>
        </is>
      </c>
      <c r="V17" s="161" t="inlineStr">
        <is>
          <t>2026-10-16</t>
        </is>
      </c>
      <c r="W17" s="96" t="inlineStr">
        <is>
          <t>VNSGN</t>
        </is>
      </c>
      <c r="X17" s="161" t="inlineStr">
        <is>
          <t>2026-10-18</t>
        </is>
      </c>
      <c r="Y17" s="97" t="n"/>
      <c r="Z17" s="97" t="n"/>
      <c r="AA17" s="97" t="n"/>
      <c r="AB17" s="97" t="n"/>
      <c r="AC17" s="97" t="n"/>
      <c r="AD17" s="161" t="inlineStr">
        <is>
          <t>2026-10-08</t>
        </is>
      </c>
      <c r="AE17" s="174" t="inlineStr">
        <is>
          <t>0400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JINYU (VIETNAM) TIRE CO.,LTD</t>
        </is>
      </c>
      <c r="AK17" s="130" t="n"/>
    </row>
    <row r="18" ht="12" customHeight="1">
      <c r="A18" s="108" t="inlineStr">
        <is>
          <t>HLHU8354305</t>
        </is>
      </c>
      <c r="B18" s="108" t="inlineStr">
        <is>
          <t>BKK02</t>
        </is>
      </c>
      <c r="C18" s="108" t="inlineStr">
        <is>
          <t>IFE</t>
        </is>
      </c>
      <c r="D18" s="172" t="inlineStr">
        <is>
          <t>2026-10-10</t>
        </is>
      </c>
      <c r="E18" s="173" t="inlineStr">
        <is>
          <t>1450</t>
        </is>
      </c>
      <c r="F18" s="96" t="inlineStr">
        <is>
          <t>HASLS22260902834</t>
        </is>
      </c>
      <c r="G18" s="96" t="inlineStr">
        <is>
          <t>METROPOLITAN LOGISTICS CO., LTD.</t>
        </is>
      </c>
      <c r="H18" s="111" t="inlineStr">
        <is>
          <t>45GP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HASLS22260902834</t>
        </is>
      </c>
      <c r="N18" s="96" t="inlineStr">
        <is>
          <t xml:space="preserve">40Hx1 </t>
        </is>
      </c>
      <c r="O18" s="111" t="inlineStr">
        <is>
          <t>2023</t>
        </is>
      </c>
      <c r="P18" s="111" t="n"/>
      <c r="Q18" s="111" t="n"/>
      <c r="R18" s="96" t="inlineStr">
        <is>
          <t>SWBT</t>
        </is>
      </c>
      <c r="S18" s="96" t="inlineStr">
        <is>
          <t>2616N</t>
        </is>
      </c>
      <c r="T18" s="96" t="inlineStr">
        <is>
          <t>BKK02</t>
        </is>
      </c>
      <c r="U18" s="96" t="inlineStr">
        <is>
          <t>THBKK</t>
        </is>
      </c>
      <c r="V18" s="161" t="inlineStr">
        <is>
          <t>2026-10-16</t>
        </is>
      </c>
      <c r="W18" s="96" t="inlineStr">
        <is>
          <t>VNSGN</t>
        </is>
      </c>
      <c r="X18" s="161" t="inlineStr">
        <is>
          <t>2026-10-18</t>
        </is>
      </c>
      <c r="Y18" s="97" t="n"/>
      <c r="Z18" s="97" t="n"/>
      <c r="AA18" s="97" t="n"/>
      <c r="AB18" s="97" t="n"/>
      <c r="AC18" s="97" t="n"/>
      <c r="AD18" s="161" t="inlineStr">
        <is>
          <t>2026-10-10</t>
        </is>
      </c>
      <c r="AE18" s="174" t="inlineStr">
        <is>
          <t>1701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ACCESS GLOBAL CO., LTD.</t>
        </is>
      </c>
      <c r="AK18" s="130" t="n"/>
    </row>
    <row r="19" ht="12" customHeight="1">
      <c r="A19" s="108" t="inlineStr">
        <is>
          <t>HLHU8389913</t>
        </is>
      </c>
      <c r="B19" s="108" t="inlineStr">
        <is>
          <t>BKK02</t>
        </is>
      </c>
      <c r="C19" s="108" t="inlineStr">
        <is>
          <t>IFE</t>
        </is>
      </c>
      <c r="D19" s="172" t="inlineStr">
        <is>
          <t>2026-10-11</t>
        </is>
      </c>
      <c r="E19" s="173" t="inlineStr">
        <is>
          <t>1339</t>
        </is>
      </c>
      <c r="F19" s="96" t="inlineStr">
        <is>
          <t>HASLS22260902181</t>
        </is>
      </c>
      <c r="G19" s="96" t="inlineStr">
        <is>
          <t>BIRLA CARBON (THAILAND) PUBLIC COMPANY LIMITED</t>
        </is>
      </c>
      <c r="H19" s="111" t="inlineStr">
        <is>
          <t>45GP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HASLS22260902181</t>
        </is>
      </c>
      <c r="N19" s="96" t="inlineStr">
        <is>
          <t xml:space="preserve">40Hx8 </t>
        </is>
      </c>
      <c r="O19" s="111" t="inlineStr">
        <is>
          <t>2023</t>
        </is>
      </c>
      <c r="P19" s="111" t="n"/>
      <c r="Q19" s="111" t="n"/>
      <c r="R19" s="96" t="inlineStr">
        <is>
          <t>SWBT</t>
        </is>
      </c>
      <c r="S19" s="96" t="inlineStr">
        <is>
          <t>2616N</t>
        </is>
      </c>
      <c r="T19" s="96" t="inlineStr">
        <is>
          <t>BKK02</t>
        </is>
      </c>
      <c r="U19" s="96" t="inlineStr">
        <is>
          <t>THBKK</t>
        </is>
      </c>
      <c r="V19" s="161" t="inlineStr">
        <is>
          <t>2026-10-16</t>
        </is>
      </c>
      <c r="W19" s="96" t="inlineStr">
        <is>
          <t>VNSGN</t>
        </is>
      </c>
      <c r="X19" s="161" t="inlineStr">
        <is>
          <t>2026-10-18</t>
        </is>
      </c>
      <c r="Y19" s="97" t="n"/>
      <c r="Z19" s="97" t="n"/>
      <c r="AA19" s="97" t="n"/>
      <c r="AB19" s="97" t="n"/>
      <c r="AC19" s="97" t="n"/>
      <c r="AD19" s="161" t="inlineStr">
        <is>
          <t>2026-10-11</t>
        </is>
      </c>
      <c r="AE19" s="174" t="inlineStr">
        <is>
          <t>1601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SAILUN (VIETNAM) CO.,LTD</t>
        </is>
      </c>
      <c r="AK19" s="130" t="n"/>
    </row>
    <row r="20" ht="12" customHeight="1">
      <c r="A20" s="108" t="inlineStr">
        <is>
          <t>HLHU8509834</t>
        </is>
      </c>
      <c r="B20" s="108" t="inlineStr">
        <is>
          <t>BKK02</t>
        </is>
      </c>
      <c r="C20" s="108" t="inlineStr">
        <is>
          <t>IFE</t>
        </is>
      </c>
      <c r="D20" s="172" t="inlineStr">
        <is>
          <t>2026-10-09</t>
        </is>
      </c>
      <c r="E20" s="173" t="inlineStr">
        <is>
          <t>2129</t>
        </is>
      </c>
      <c r="F20" s="96" t="inlineStr">
        <is>
          <t>HASLS22260902418</t>
        </is>
      </c>
      <c r="G20" s="96" t="inlineStr">
        <is>
          <t>BEE LOGISTICS (THAILAND) CO., LTD.</t>
        </is>
      </c>
      <c r="H20" s="111" t="inlineStr">
        <is>
          <t>45GP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HASLS22260902418</t>
        </is>
      </c>
      <c r="N20" s="96" t="inlineStr">
        <is>
          <t xml:space="preserve">40Hx2 </t>
        </is>
      </c>
      <c r="O20" s="111" t="inlineStr">
        <is>
          <t>2025</t>
        </is>
      </c>
      <c r="P20" s="111" t="n"/>
      <c r="Q20" s="111" t="n"/>
      <c r="R20" s="96" t="inlineStr">
        <is>
          <t>SWBT</t>
        </is>
      </c>
      <c r="S20" s="96" t="inlineStr">
        <is>
          <t>2616N</t>
        </is>
      </c>
      <c r="T20" s="96" t="inlineStr">
        <is>
          <t>BKK02</t>
        </is>
      </c>
      <c r="U20" s="96" t="inlineStr">
        <is>
          <t>THBKK</t>
        </is>
      </c>
      <c r="V20" s="161" t="inlineStr">
        <is>
          <t>2026-10-16</t>
        </is>
      </c>
      <c r="W20" s="96" t="inlineStr">
        <is>
          <t>VNSGN</t>
        </is>
      </c>
      <c r="X20" s="161" t="inlineStr">
        <is>
          <t>2026-10-18</t>
        </is>
      </c>
      <c r="Y20" s="97" t="n"/>
      <c r="Z20" s="97" t="n"/>
      <c r="AA20" s="97" t="n"/>
      <c r="AB20" s="97" t="n"/>
      <c r="AC20" s="97" t="n"/>
      <c r="AD20" s="161" t="inlineStr">
        <is>
          <t>2026-10-10</t>
        </is>
      </c>
      <c r="AE20" s="174" t="inlineStr">
        <is>
          <t>0001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BOND GLOBAL LOGISTICS JOINT STOCK</t>
        </is>
      </c>
      <c r="AK20" s="130" t="n"/>
    </row>
    <row r="21" ht="12" customHeight="1">
      <c r="A21" s="108" t="inlineStr">
        <is>
          <t>HLHU8510711</t>
        </is>
      </c>
      <c r="B21" s="108" t="inlineStr">
        <is>
          <t>BKK02</t>
        </is>
      </c>
      <c r="C21" s="108" t="inlineStr">
        <is>
          <t>IFE</t>
        </is>
      </c>
      <c r="D21" s="172" t="inlineStr">
        <is>
          <t>2026-10-08</t>
        </is>
      </c>
      <c r="E21" s="173" t="inlineStr">
        <is>
          <t>0424</t>
        </is>
      </c>
      <c r="F21" s="96" t="inlineStr">
        <is>
          <t>HASLS22260902179</t>
        </is>
      </c>
      <c r="G21" s="96" t="inlineStr">
        <is>
          <t>BIRLA CARBON (THAILAND) PUBLIC COMPANY LIMITED</t>
        </is>
      </c>
      <c r="H21" s="111" t="inlineStr">
        <is>
          <t>45GP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HASLS22260902179</t>
        </is>
      </c>
      <c r="N21" s="96" t="inlineStr">
        <is>
          <t xml:space="preserve">40Hx8 </t>
        </is>
      </c>
      <c r="O21" s="111" t="inlineStr">
        <is>
          <t>2025</t>
        </is>
      </c>
      <c r="P21" s="111" t="n"/>
      <c r="Q21" s="111" t="n"/>
      <c r="R21" s="96" t="inlineStr">
        <is>
          <t>SWBT</t>
        </is>
      </c>
      <c r="S21" s="96" t="inlineStr">
        <is>
          <t>2616N</t>
        </is>
      </c>
      <c r="T21" s="96" t="inlineStr">
        <is>
          <t>BKK02</t>
        </is>
      </c>
      <c r="U21" s="96" t="inlineStr">
        <is>
          <t>THBKK</t>
        </is>
      </c>
      <c r="V21" s="161" t="inlineStr">
        <is>
          <t>2026-10-16</t>
        </is>
      </c>
      <c r="W21" s="96" t="inlineStr">
        <is>
          <t>VNSGN</t>
        </is>
      </c>
      <c r="X21" s="161" t="inlineStr">
        <is>
          <t>2026-10-18</t>
        </is>
      </c>
      <c r="Y21" s="97" t="n"/>
      <c r="Z21" s="97" t="n"/>
      <c r="AA21" s="97" t="n"/>
      <c r="AB21" s="97" t="n"/>
      <c r="AC21" s="97" t="n"/>
      <c r="AD21" s="161" t="inlineStr">
        <is>
          <t>2026-10-08</t>
        </is>
      </c>
      <c r="AE21" s="174" t="inlineStr">
        <is>
          <t>0700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JINYU (VIETNAM) TIRE CO.,LTD</t>
        </is>
      </c>
      <c r="AK21" s="130" t="n"/>
    </row>
    <row r="22" ht="12" customHeight="1">
      <c r="A22" s="108" t="inlineStr">
        <is>
          <t>HLHU8528541</t>
        </is>
      </c>
      <c r="B22" s="108" t="inlineStr">
        <is>
          <t>BKK02</t>
        </is>
      </c>
      <c r="C22" s="108" t="inlineStr">
        <is>
          <t>IFE</t>
        </is>
      </c>
      <c r="D22" s="172" t="inlineStr">
        <is>
          <t>2026-10-12</t>
        </is>
      </c>
      <c r="E22" s="173" t="inlineStr">
        <is>
          <t>1335</t>
        </is>
      </c>
      <c r="F22" s="96" t="inlineStr">
        <is>
          <t>HASLS22260902661</t>
        </is>
      </c>
      <c r="G22" s="96" t="inlineStr">
        <is>
          <t>LEO GLOBAL LOGISTICS PUBLIC COMPANY LIMITED</t>
        </is>
      </c>
      <c r="H22" s="111" t="inlineStr">
        <is>
          <t>45GP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HASLS22260902661</t>
        </is>
      </c>
      <c r="N22" s="96" t="inlineStr">
        <is>
          <t xml:space="preserve">40Hx1 </t>
        </is>
      </c>
      <c r="O22" s="111" t="inlineStr">
        <is>
          <t>2025</t>
        </is>
      </c>
      <c r="P22" s="111" t="n"/>
      <c r="Q22" s="111" t="n"/>
      <c r="R22" s="96" t="inlineStr">
        <is>
          <t>PGPO</t>
        </is>
      </c>
      <c r="S22" s="96" t="inlineStr">
        <is>
          <t>2612N</t>
        </is>
      </c>
      <c r="T22" s="96" t="inlineStr">
        <is>
          <t>BKK02</t>
        </is>
      </c>
      <c r="U22" s="96" t="inlineStr">
        <is>
          <t>THBKK</t>
        </is>
      </c>
      <c r="V22" s="161" t="inlineStr">
        <is>
          <t>2026-10-16</t>
        </is>
      </c>
      <c r="W22" s="96" t="inlineStr">
        <is>
          <t>VNSGN</t>
        </is>
      </c>
      <c r="X22" s="161" t="inlineStr">
        <is>
          <t>2026-10-18</t>
        </is>
      </c>
      <c r="Y22" s="97" t="n"/>
      <c r="Z22" s="97" t="n"/>
      <c r="AA22" s="97" t="n"/>
      <c r="AB22" s="97" t="n"/>
      <c r="AC22" s="97" t="n"/>
      <c r="AD22" s="161" t="inlineStr">
        <is>
          <t>2026-10-12</t>
        </is>
      </c>
      <c r="AE22" s="174" t="inlineStr">
        <is>
          <t>1644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ORIENTAL LOGISTICS MULTIMODAL</t>
        </is>
      </c>
      <c r="AK22" s="130" t="n"/>
    </row>
    <row r="23" ht="12" customHeight="1">
      <c r="A23" s="108" t="inlineStr">
        <is>
          <t>SEGU5419703</t>
        </is>
      </c>
      <c r="B23" s="108" t="inlineStr">
        <is>
          <t>BKK02</t>
        </is>
      </c>
      <c r="C23" s="108" t="inlineStr">
        <is>
          <t>IFE</t>
        </is>
      </c>
      <c r="D23" s="172" t="inlineStr">
        <is>
          <t>2026-10-09</t>
        </is>
      </c>
      <c r="E23" s="173" t="inlineStr">
        <is>
          <t>2328</t>
        </is>
      </c>
      <c r="F23" s="96" t="inlineStr">
        <is>
          <t>HASLS22260900904</t>
        </is>
      </c>
      <c r="G23" s="96" t="inlineStr">
        <is>
          <t>MJ LOGISTICS (THAILAND) CO., LTD.</t>
        </is>
      </c>
      <c r="H23" s="111" t="inlineStr">
        <is>
          <t>45GP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HASLS22260900904</t>
        </is>
      </c>
      <c r="N23" s="96" t="inlineStr">
        <is>
          <t xml:space="preserve">40Hx1 20'x1 </t>
        </is>
      </c>
      <c r="O23" s="111" t="inlineStr">
        <is>
          <t>2015</t>
        </is>
      </c>
      <c r="P23" s="111" t="n"/>
      <c r="Q23" s="111" t="n"/>
      <c r="R23" s="96" t="inlineStr">
        <is>
          <t>SWBT</t>
        </is>
      </c>
      <c r="S23" s="96" t="inlineStr">
        <is>
          <t>2616N</t>
        </is>
      </c>
      <c r="T23" s="96" t="inlineStr">
        <is>
          <t>BKK02</t>
        </is>
      </c>
      <c r="U23" s="96" t="inlineStr">
        <is>
          <t>THBKK</t>
        </is>
      </c>
      <c r="V23" s="161" t="inlineStr">
        <is>
          <t>2026-10-16</t>
        </is>
      </c>
      <c r="W23" s="96" t="inlineStr">
        <is>
          <t>RUVVO</t>
        </is>
      </c>
      <c r="X23" s="161" t="inlineStr">
        <is>
          <t>2026-10-27</t>
        </is>
      </c>
      <c r="Y23" s="97" t="n"/>
      <c r="Z23" s="97" t="n"/>
      <c r="AA23" s="97" t="n"/>
      <c r="AB23" s="97" t="n"/>
      <c r="AC23" s="97" t="n"/>
      <c r="AD23" s="161" t="inlineStr">
        <is>
          <t>2026-10-10</t>
        </is>
      </c>
      <c r="AE23" s="174" t="inlineStr">
        <is>
          <t>0201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DV NEVADA CO., LTD</t>
        </is>
      </c>
      <c r="AK23" s="130" t="n"/>
    </row>
    <row r="24" ht="12" customHeight="1">
      <c r="A24" s="108" t="inlineStr">
        <is>
          <t>SEGU9799284</t>
        </is>
      </c>
      <c r="B24" s="108" t="inlineStr">
        <is>
          <t>BKK02</t>
        </is>
      </c>
      <c r="C24" s="108" t="inlineStr">
        <is>
          <t>IFE</t>
        </is>
      </c>
      <c r="D24" s="172" t="inlineStr">
        <is>
          <t>2026-10-13</t>
        </is>
      </c>
      <c r="E24" s="173" t="inlineStr">
        <is>
          <t>0510</t>
        </is>
      </c>
      <c r="F24" s="96" t="inlineStr">
        <is>
          <t>HASLS22260902553</t>
        </is>
      </c>
      <c r="G24" s="96" t="inlineStr">
        <is>
          <t>LAND SEA SKY CO., LTD.</t>
        </is>
      </c>
      <c r="H24" s="111" t="inlineStr">
        <is>
          <t>45RE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HASLS22260902553</t>
        </is>
      </c>
      <c r="N24" s="96" t="inlineStr">
        <is>
          <t xml:space="preserve">R40Hx1 </t>
        </is>
      </c>
      <c r="O24" s="111" t="inlineStr">
        <is>
          <t>2019</t>
        </is>
      </c>
      <c r="P24" s="111" t="inlineStr">
        <is>
          <t>CARRIER</t>
        </is>
      </c>
      <c r="Q24" s="111" t="inlineStr">
        <is>
          <t>69NT40-561 Primeline (MGSS)</t>
        </is>
      </c>
      <c r="R24" s="96" t="inlineStr">
        <is>
          <t>SWBT</t>
        </is>
      </c>
      <c r="S24" s="96" t="inlineStr">
        <is>
          <t>2616N</t>
        </is>
      </c>
      <c r="T24" s="96" t="inlineStr">
        <is>
          <t>BKK02</t>
        </is>
      </c>
      <c r="U24" s="96" t="inlineStr">
        <is>
          <t>THBKK</t>
        </is>
      </c>
      <c r="V24" s="161" t="inlineStr">
        <is>
          <t>2026-10-16</t>
        </is>
      </c>
      <c r="W24" s="96" t="inlineStr">
        <is>
          <t>KRPTK</t>
        </is>
      </c>
      <c r="X24" s="161" t="inlineStr">
        <is>
          <t>2026-10-24</t>
        </is>
      </c>
      <c r="Y24" s="97" t="n"/>
      <c r="Z24" s="97" t="n"/>
      <c r="AA24" s="97" t="n"/>
      <c r="AB24" s="97" t="n"/>
      <c r="AC24" s="97" t="n"/>
      <c r="AD24" s="161" t="inlineStr">
        <is>
          <t>2026-10-13</t>
        </is>
      </c>
      <c r="AE24" s="174" t="inlineStr">
        <is>
          <t>0802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SASE CO.,LTD.</t>
        </is>
      </c>
      <c r="AK24" s="130" t="n"/>
    </row>
    <row r="25" ht="12" customHeight="1">
      <c r="A25" s="108" t="inlineStr">
        <is>
          <t>SKHU6200592</t>
        </is>
      </c>
      <c r="B25" s="108" t="inlineStr">
        <is>
          <t>BKK02</t>
        </is>
      </c>
      <c r="C25" s="108" t="inlineStr">
        <is>
          <t>IFE</t>
        </is>
      </c>
      <c r="D25" s="172" t="inlineStr">
        <is>
          <t>2026-10-08</t>
        </is>
      </c>
      <c r="E25" s="173" t="inlineStr">
        <is>
          <t>0428</t>
        </is>
      </c>
      <c r="F25" s="96" t="inlineStr">
        <is>
          <t>HASLS22260902179</t>
        </is>
      </c>
      <c r="G25" s="96" t="inlineStr">
        <is>
          <t>BIRLA CARBON (THAILAND) PUBLIC COMPANY LIMITED</t>
        </is>
      </c>
      <c r="H25" s="111" t="inlineStr">
        <is>
          <t>45GP</t>
        </is>
      </c>
      <c r="I25" s="96" t="inlineStr">
        <is>
          <t>EMAIL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HASLS22260902179</t>
        </is>
      </c>
      <c r="N25" s="96" t="inlineStr">
        <is>
          <t xml:space="preserve">40Hx8 </t>
        </is>
      </c>
      <c r="O25" s="111" t="inlineStr">
        <is>
          <t>2022</t>
        </is>
      </c>
      <c r="P25" s="111" t="n"/>
      <c r="Q25" s="111" t="n"/>
      <c r="R25" s="96" t="inlineStr">
        <is>
          <t>SWBT</t>
        </is>
      </c>
      <c r="S25" s="96" t="inlineStr">
        <is>
          <t>2616N</t>
        </is>
      </c>
      <c r="T25" s="96" t="inlineStr">
        <is>
          <t>BKK02</t>
        </is>
      </c>
      <c r="U25" s="96" t="inlineStr">
        <is>
          <t>THBKK</t>
        </is>
      </c>
      <c r="V25" s="161" t="inlineStr">
        <is>
          <t>2026-10-16</t>
        </is>
      </c>
      <c r="W25" s="96" t="inlineStr">
        <is>
          <t>VNSGN</t>
        </is>
      </c>
      <c r="X25" s="161" t="inlineStr">
        <is>
          <t>2026-10-18</t>
        </is>
      </c>
      <c r="Y25" s="97" t="n"/>
      <c r="Z25" s="97" t="n"/>
      <c r="AA25" s="97" t="n"/>
      <c r="AB25" s="97" t="n"/>
      <c r="AC25" s="97" t="n"/>
      <c r="AD25" s="161" t="inlineStr">
        <is>
          <t>2026-10-08</t>
        </is>
      </c>
      <c r="AE25" s="174" t="inlineStr">
        <is>
          <t>0700</t>
        </is>
      </c>
      <c r="AF25" s="96" t="inlineStr">
        <is>
          <t>EDI2</t>
        </is>
      </c>
      <c r="AG25" s="97" t="n"/>
      <c r="AH25" s="97" t="n"/>
      <c r="AI25" s="97" t="n"/>
      <c r="AJ25" s="96" t="inlineStr">
        <is>
          <t>JINYU (VIETNAM) TIRE CO.,LTD</t>
        </is>
      </c>
      <c r="AK25" s="130" t="n"/>
    </row>
    <row r="26" ht="12" customHeight="1">
      <c r="A26" s="108" t="inlineStr">
        <is>
          <t>SKHU6300668</t>
        </is>
      </c>
      <c r="B26" s="108" t="inlineStr">
        <is>
          <t>BKK02</t>
        </is>
      </c>
      <c r="C26" s="108" t="inlineStr">
        <is>
          <t>IFE</t>
        </is>
      </c>
      <c r="D26" s="172" t="inlineStr">
        <is>
          <t>2026-10-09</t>
        </is>
      </c>
      <c r="E26" s="173" t="inlineStr">
        <is>
          <t>1700</t>
        </is>
      </c>
      <c r="F26" s="96" t="inlineStr">
        <is>
          <t>HASLS22260901590</t>
        </is>
      </c>
      <c r="G26" s="96" t="inlineStr">
        <is>
          <t>EUROFREIGHT INTERNATIONAL CO.,LTD.</t>
        </is>
      </c>
      <c r="H26" s="111" t="inlineStr">
        <is>
          <t>45GP</t>
        </is>
      </c>
      <c r="I26" s="96" t="inlineStr">
        <is>
          <t>EMAIL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HASLS22260901590</t>
        </is>
      </c>
      <c r="N26" s="96" t="inlineStr">
        <is>
          <t xml:space="preserve">40Hx1 </t>
        </is>
      </c>
      <c r="O26" s="111" t="inlineStr">
        <is>
          <t>2023</t>
        </is>
      </c>
      <c r="P26" s="111" t="n"/>
      <c r="Q26" s="111" t="n"/>
      <c r="R26" s="96" t="inlineStr">
        <is>
          <t>SWBT</t>
        </is>
      </c>
      <c r="S26" s="96" t="inlineStr">
        <is>
          <t>2616N</t>
        </is>
      </c>
      <c r="T26" s="96" t="inlineStr">
        <is>
          <t>BKK02</t>
        </is>
      </c>
      <c r="U26" s="96" t="inlineStr">
        <is>
          <t>THBKK</t>
        </is>
      </c>
      <c r="V26" s="161" t="inlineStr">
        <is>
          <t>2026-10-16</t>
        </is>
      </c>
      <c r="W26" s="96" t="inlineStr">
        <is>
          <t>VNSGN</t>
        </is>
      </c>
      <c r="X26" s="161" t="inlineStr">
        <is>
          <t>2026-10-18</t>
        </is>
      </c>
      <c r="Y26" s="97" t="n"/>
      <c r="Z26" s="97" t="n"/>
      <c r="AA26" s="97" t="n"/>
      <c r="AB26" s="97" t="n"/>
      <c r="AC26" s="97" t="n"/>
      <c r="AD26" s="161" t="inlineStr">
        <is>
          <t>2026-10-09</t>
        </is>
      </c>
      <c r="AE26" s="174" t="inlineStr">
        <is>
          <t>2001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VICA LOGISTICS - HCM BRANCH</t>
        </is>
      </c>
      <c r="AK26" s="130" t="n"/>
    </row>
    <row r="27" ht="12" customHeight="1">
      <c r="A27" s="108" t="inlineStr">
        <is>
          <t>SKHU6310732</t>
        </is>
      </c>
      <c r="B27" s="108" t="inlineStr">
        <is>
          <t>BKK02</t>
        </is>
      </c>
      <c r="C27" s="108" t="inlineStr">
        <is>
          <t>IFE</t>
        </is>
      </c>
      <c r="D27" s="172" t="inlineStr">
        <is>
          <t>2026-10-08</t>
        </is>
      </c>
      <c r="E27" s="173" t="inlineStr">
        <is>
          <t>0420</t>
        </is>
      </c>
      <c r="F27" s="96" t="inlineStr">
        <is>
          <t>HASLS22260902179</t>
        </is>
      </c>
      <c r="G27" s="96" t="inlineStr">
        <is>
          <t>BIRLA CARBON (THAILAND) PUBLIC COMPANY LIMITED</t>
        </is>
      </c>
      <c r="H27" s="111" t="inlineStr">
        <is>
          <t>45GP</t>
        </is>
      </c>
      <c r="I27" s="96" t="inlineStr">
        <is>
          <t>EMAIL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HASLS22260902179</t>
        </is>
      </c>
      <c r="N27" s="96" t="inlineStr">
        <is>
          <t xml:space="preserve">40Hx8 </t>
        </is>
      </c>
      <c r="O27" s="111" t="inlineStr">
        <is>
          <t>2023</t>
        </is>
      </c>
      <c r="P27" s="111" t="n"/>
      <c r="Q27" s="111" t="n"/>
      <c r="R27" s="96" t="inlineStr">
        <is>
          <t>SWBT</t>
        </is>
      </c>
      <c r="S27" s="96" t="inlineStr">
        <is>
          <t>2616N</t>
        </is>
      </c>
      <c r="T27" s="96" t="inlineStr">
        <is>
          <t>BKK02</t>
        </is>
      </c>
      <c r="U27" s="96" t="inlineStr">
        <is>
          <t>THBKK</t>
        </is>
      </c>
      <c r="V27" s="161" t="inlineStr">
        <is>
          <t>2026-10-16</t>
        </is>
      </c>
      <c r="W27" s="96" t="inlineStr">
        <is>
          <t>VNSGN</t>
        </is>
      </c>
      <c r="X27" s="161" t="inlineStr">
        <is>
          <t>2026-10-18</t>
        </is>
      </c>
      <c r="Y27" s="97" t="n"/>
      <c r="Z27" s="97" t="n"/>
      <c r="AA27" s="97" t="n"/>
      <c r="AB27" s="97" t="n"/>
      <c r="AC27" s="97" t="n"/>
      <c r="AD27" s="161" t="inlineStr">
        <is>
          <t>2026-10-08</t>
        </is>
      </c>
      <c r="AE27" s="174" t="inlineStr">
        <is>
          <t>0700</t>
        </is>
      </c>
      <c r="AF27" s="96" t="inlineStr">
        <is>
          <t>EDI2</t>
        </is>
      </c>
      <c r="AG27" s="97" t="n"/>
      <c r="AH27" s="97" t="n"/>
      <c r="AI27" s="97" t="n"/>
      <c r="AJ27" s="96" t="inlineStr">
        <is>
          <t>JINYU (VIETNAM) TIRE CO.,LTD</t>
        </is>
      </c>
      <c r="AK27" s="130" t="n"/>
    </row>
    <row r="28" ht="12" customHeight="1">
      <c r="A28" s="108" t="inlineStr">
        <is>
          <t>SKHU6362741</t>
        </is>
      </c>
      <c r="B28" s="108" t="inlineStr">
        <is>
          <t>BKK02</t>
        </is>
      </c>
      <c r="C28" s="108" t="inlineStr">
        <is>
          <t>IFE</t>
        </is>
      </c>
      <c r="D28" s="172" t="inlineStr">
        <is>
          <t>2026-10-08</t>
        </is>
      </c>
      <c r="E28" s="173" t="inlineStr">
        <is>
          <t>0948</t>
        </is>
      </c>
      <c r="F28" s="96" t="inlineStr">
        <is>
          <t>HASLS22260902179</t>
        </is>
      </c>
      <c r="G28" s="96" t="inlineStr">
        <is>
          <t>BIRLA CARBON (THAILAND) PUBLIC COMPANY LIMITED</t>
        </is>
      </c>
      <c r="H28" s="111" t="inlineStr">
        <is>
          <t>45GP</t>
        </is>
      </c>
      <c r="I28" s="96" t="inlineStr">
        <is>
          <t>EMAIL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HASLS22260902179</t>
        </is>
      </c>
      <c r="N28" s="96" t="inlineStr">
        <is>
          <t xml:space="preserve">40Hx8 </t>
        </is>
      </c>
      <c r="O28" s="111" t="inlineStr">
        <is>
          <t>2023</t>
        </is>
      </c>
      <c r="P28" s="111" t="n"/>
      <c r="Q28" s="111" t="n"/>
      <c r="R28" s="96" t="inlineStr">
        <is>
          <t>SWBT</t>
        </is>
      </c>
      <c r="S28" s="96" t="inlineStr">
        <is>
          <t>2616N</t>
        </is>
      </c>
      <c r="T28" s="96" t="inlineStr">
        <is>
          <t>BKK02</t>
        </is>
      </c>
      <c r="U28" s="96" t="inlineStr">
        <is>
          <t>THBKK</t>
        </is>
      </c>
      <c r="V28" s="161" t="inlineStr">
        <is>
          <t>2026-10-16</t>
        </is>
      </c>
      <c r="W28" s="96" t="inlineStr">
        <is>
          <t>VNSGN</t>
        </is>
      </c>
      <c r="X28" s="161" t="inlineStr">
        <is>
          <t>2026-10-18</t>
        </is>
      </c>
      <c r="Y28" s="97" t="n"/>
      <c r="Z28" s="97" t="n"/>
      <c r="AA28" s="97" t="n"/>
      <c r="AB28" s="97" t="n"/>
      <c r="AC28" s="97" t="n"/>
      <c r="AD28" s="161" t="inlineStr">
        <is>
          <t>2026-10-08</t>
        </is>
      </c>
      <c r="AE28" s="174" t="inlineStr">
        <is>
          <t>1200</t>
        </is>
      </c>
      <c r="AF28" s="96" t="inlineStr">
        <is>
          <t>EDI2</t>
        </is>
      </c>
      <c r="AG28" s="97" t="n"/>
      <c r="AH28" s="97" t="n"/>
      <c r="AI28" s="97" t="n"/>
      <c r="AJ28" s="96" t="inlineStr">
        <is>
          <t>JINYU (VIETNAM) TIRE CO.,LTD</t>
        </is>
      </c>
      <c r="AK28" s="130" t="n"/>
    </row>
    <row r="29" ht="12" customHeight="1">
      <c r="A29" s="108" t="inlineStr">
        <is>
          <t>SKHU6381700</t>
        </is>
      </c>
      <c r="B29" s="108" t="inlineStr">
        <is>
          <t>BKK02</t>
        </is>
      </c>
      <c r="C29" s="108" t="inlineStr">
        <is>
          <t>IFE</t>
        </is>
      </c>
      <c r="D29" s="172" t="inlineStr">
        <is>
          <t>2026-10-09</t>
        </is>
      </c>
      <c r="E29" s="173" t="inlineStr">
        <is>
          <t>2130</t>
        </is>
      </c>
      <c r="F29" s="96" t="inlineStr">
        <is>
          <t>HASLS22261000152</t>
        </is>
      </c>
      <c r="G29" s="96" t="inlineStr">
        <is>
          <t>BEE LOGISTICS (THAILAND) CO., LTD.</t>
        </is>
      </c>
      <c r="H29" s="111" t="inlineStr">
        <is>
          <t>45GP</t>
        </is>
      </c>
      <c r="I29" s="96" t="inlineStr">
        <is>
          <t>EMAIL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HASLS22261000152</t>
        </is>
      </c>
      <c r="N29" s="96" t="inlineStr">
        <is>
          <t xml:space="preserve">40Hx1 </t>
        </is>
      </c>
      <c r="O29" s="111" t="inlineStr">
        <is>
          <t>2023</t>
        </is>
      </c>
      <c r="P29" s="111" t="n"/>
      <c r="Q29" s="111" t="n"/>
      <c r="R29" s="96" t="inlineStr">
        <is>
          <t>SWBT</t>
        </is>
      </c>
      <c r="S29" s="96" t="inlineStr">
        <is>
          <t>2616N</t>
        </is>
      </c>
      <c r="T29" s="96" t="inlineStr">
        <is>
          <t>BKK02</t>
        </is>
      </c>
      <c r="U29" s="96" t="inlineStr">
        <is>
          <t>THBKK</t>
        </is>
      </c>
      <c r="V29" s="161" t="inlineStr">
        <is>
          <t>2026-10-16</t>
        </is>
      </c>
      <c r="W29" s="96" t="inlineStr">
        <is>
          <t>VNSGN</t>
        </is>
      </c>
      <c r="X29" s="161" t="inlineStr">
        <is>
          <t>2026-10-18</t>
        </is>
      </c>
      <c r="Y29" s="97" t="n"/>
      <c r="Z29" s="97" t="n"/>
      <c r="AA29" s="97" t="n"/>
      <c r="AB29" s="97" t="n"/>
      <c r="AC29" s="97" t="n"/>
      <c r="AD29" s="161" t="inlineStr">
        <is>
          <t>2026-10-10</t>
        </is>
      </c>
      <c r="AE29" s="174" t="inlineStr">
        <is>
          <t>0001</t>
        </is>
      </c>
      <c r="AF29" s="96" t="inlineStr">
        <is>
          <t>EDI2</t>
        </is>
      </c>
      <c r="AG29" s="97" t="n"/>
      <c r="AH29" s="97" t="n"/>
      <c r="AI29" s="97" t="n"/>
      <c r="AJ29" s="96" t="inlineStr">
        <is>
          <t>BOND GLOBAL LOGISTICS JOINT STOCK</t>
        </is>
      </c>
      <c r="AK29" s="130" t="n"/>
    </row>
    <row r="30" ht="12" customHeight="1">
      <c r="A30" s="108" t="inlineStr">
        <is>
          <t>SKHU6413849</t>
        </is>
      </c>
      <c r="B30" s="108" t="inlineStr">
        <is>
          <t>BKK02</t>
        </is>
      </c>
      <c r="C30" s="108" t="inlineStr">
        <is>
          <t>IFE</t>
        </is>
      </c>
      <c r="D30" s="172" t="inlineStr">
        <is>
          <t>2026-10-14</t>
        </is>
      </c>
      <c r="E30" s="173" t="inlineStr">
        <is>
          <t>1747</t>
        </is>
      </c>
      <c r="F30" s="96" t="inlineStr">
        <is>
          <t>HASLS22260902811</t>
        </is>
      </c>
      <c r="G30" s="96" t="inlineStr">
        <is>
          <t>OPENSEA CARGO SERVICE CO., LTD.</t>
        </is>
      </c>
      <c r="H30" s="111" t="inlineStr">
        <is>
          <t>45GP</t>
        </is>
      </c>
      <c r="I30" s="96" t="inlineStr">
        <is>
          <t>EMAIL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HASLS22260902811</t>
        </is>
      </c>
      <c r="N30" s="96" t="inlineStr">
        <is>
          <t xml:space="preserve">40Hx1 </t>
        </is>
      </c>
      <c r="O30" s="111" t="inlineStr">
        <is>
          <t>2024</t>
        </is>
      </c>
      <c r="P30" s="111" t="n"/>
      <c r="Q30" s="111" t="n"/>
      <c r="R30" s="96" t="inlineStr">
        <is>
          <t>SWBT</t>
        </is>
      </c>
      <c r="S30" s="96" t="inlineStr">
        <is>
          <t>2616N</t>
        </is>
      </c>
      <c r="T30" s="96" t="inlineStr">
        <is>
          <t>BKK02</t>
        </is>
      </c>
      <c r="U30" s="96" t="inlineStr">
        <is>
          <t>THBKK</t>
        </is>
      </c>
      <c r="V30" s="161" t="inlineStr">
        <is>
          <t>2026-10-16</t>
        </is>
      </c>
      <c r="W30" s="96" t="inlineStr">
        <is>
          <t>VNSGN</t>
        </is>
      </c>
      <c r="X30" s="161" t="inlineStr">
        <is>
          <t>2026-10-18</t>
        </is>
      </c>
      <c r="Y30" s="97" t="n"/>
      <c r="Z30" s="97" t="n"/>
      <c r="AA30" s="97" t="n"/>
      <c r="AB30" s="97" t="n"/>
      <c r="AC30" s="97" t="n"/>
      <c r="AD30" s="161" t="inlineStr">
        <is>
          <t>2026-10-14</t>
        </is>
      </c>
      <c r="AE30" s="174" t="inlineStr">
        <is>
          <t>2001</t>
        </is>
      </c>
      <c r="AF30" s="96" t="inlineStr">
        <is>
          <t>EDI2</t>
        </is>
      </c>
      <c r="AG30" s="97" t="n"/>
      <c r="AH30" s="97" t="n"/>
      <c r="AI30" s="97" t="n"/>
      <c r="AJ30" s="96" t="inlineStr">
        <is>
          <t>BLUE OCEAN INTERNATIONAL SHIPPING</t>
        </is>
      </c>
      <c r="AK30" s="130" t="n"/>
    </row>
    <row r="31" ht="12" customHeight="1">
      <c r="A31" s="108" t="inlineStr">
        <is>
          <t>SKHU6431626</t>
        </is>
      </c>
      <c r="B31" s="108" t="inlineStr">
        <is>
          <t>BKK02</t>
        </is>
      </c>
      <c r="C31" s="108" t="inlineStr">
        <is>
          <t>IFE</t>
        </is>
      </c>
      <c r="D31" s="172" t="inlineStr">
        <is>
          <t>2026-10-09</t>
        </is>
      </c>
      <c r="E31" s="173" t="inlineStr">
        <is>
          <t>2130</t>
        </is>
      </c>
      <c r="F31" s="96" t="inlineStr">
        <is>
          <t>HASLS22260902418</t>
        </is>
      </c>
      <c r="G31" s="96" t="inlineStr">
        <is>
          <t>BEE LOGISTICS (THAILAND) CO., LTD.</t>
        </is>
      </c>
      <c r="H31" s="111" t="inlineStr">
        <is>
          <t>45GP</t>
        </is>
      </c>
      <c r="I31" s="96" t="inlineStr">
        <is>
          <t>EMAIL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HASLS22260902418</t>
        </is>
      </c>
      <c r="N31" s="96" t="inlineStr">
        <is>
          <t xml:space="preserve">40Hx2 </t>
        </is>
      </c>
      <c r="O31" s="111" t="inlineStr">
        <is>
          <t>2024</t>
        </is>
      </c>
      <c r="P31" s="111" t="n"/>
      <c r="Q31" s="111" t="n"/>
      <c r="R31" s="96" t="inlineStr">
        <is>
          <t>SWBT</t>
        </is>
      </c>
      <c r="S31" s="96" t="inlineStr">
        <is>
          <t>2616N</t>
        </is>
      </c>
      <c r="T31" s="96" t="inlineStr">
        <is>
          <t>BKK02</t>
        </is>
      </c>
      <c r="U31" s="96" t="inlineStr">
        <is>
          <t>THBKK</t>
        </is>
      </c>
      <c r="V31" s="161" t="inlineStr">
        <is>
          <t>2026-10-16</t>
        </is>
      </c>
      <c r="W31" s="96" t="inlineStr">
        <is>
          <t>VNSGN</t>
        </is>
      </c>
      <c r="X31" s="161" t="inlineStr">
        <is>
          <t>2026-10-18</t>
        </is>
      </c>
      <c r="Y31" s="97" t="n"/>
      <c r="Z31" s="97" t="n"/>
      <c r="AA31" s="97" t="n"/>
      <c r="AB31" s="97" t="n"/>
      <c r="AC31" s="97" t="n"/>
      <c r="AD31" s="161" t="inlineStr">
        <is>
          <t>2026-10-10</t>
        </is>
      </c>
      <c r="AE31" s="174" t="inlineStr">
        <is>
          <t>0001</t>
        </is>
      </c>
      <c r="AF31" s="96" t="inlineStr">
        <is>
          <t>EDI2</t>
        </is>
      </c>
      <c r="AG31" s="97" t="n"/>
      <c r="AH31" s="97" t="n"/>
      <c r="AI31" s="97" t="n"/>
      <c r="AJ31" s="96" t="inlineStr">
        <is>
          <t>BOND GLOBAL LOGISTICS JOINT STOCK</t>
        </is>
      </c>
      <c r="AK31" s="130" t="n"/>
    </row>
    <row r="32" ht="12" customHeight="1">
      <c r="A32" s="108" t="inlineStr">
        <is>
          <t>SKHU6553898</t>
        </is>
      </c>
      <c r="B32" s="108" t="inlineStr">
        <is>
          <t>BKK02</t>
        </is>
      </c>
      <c r="C32" s="108" t="inlineStr">
        <is>
          <t>IFE</t>
        </is>
      </c>
      <c r="D32" s="172" t="inlineStr">
        <is>
          <t>2026-10-12</t>
        </is>
      </c>
      <c r="E32" s="173" t="inlineStr">
        <is>
          <t>1511</t>
        </is>
      </c>
      <c r="F32" s="96" t="inlineStr">
        <is>
          <t>HASLS22260902247</t>
        </is>
      </c>
      <c r="G32" s="96" t="inlineStr">
        <is>
          <t>CAPRICORN LOGISTICS CO., LTD.</t>
        </is>
      </c>
      <c r="H32" s="111" t="inlineStr">
        <is>
          <t>45GP</t>
        </is>
      </c>
      <c r="I32" s="96" t="inlineStr">
        <is>
          <t>EMAIL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HASLS22260902247</t>
        </is>
      </c>
      <c r="N32" s="96" t="inlineStr">
        <is>
          <t xml:space="preserve">40Hx1 </t>
        </is>
      </c>
      <c r="O32" s="111" t="inlineStr">
        <is>
          <t>2025</t>
        </is>
      </c>
      <c r="P32" s="111" t="n"/>
      <c r="Q32" s="111" t="n"/>
      <c r="R32" s="96" t="inlineStr">
        <is>
          <t>PGPO</t>
        </is>
      </c>
      <c r="S32" s="96" t="inlineStr">
        <is>
          <t>2612N</t>
        </is>
      </c>
      <c r="T32" s="96" t="inlineStr">
        <is>
          <t>BKK02</t>
        </is>
      </c>
      <c r="U32" s="96" t="inlineStr">
        <is>
          <t>THBKK</t>
        </is>
      </c>
      <c r="V32" s="161" t="inlineStr">
        <is>
          <t>2026-10-16</t>
        </is>
      </c>
      <c r="W32" s="96" t="inlineStr">
        <is>
          <t>VNSGN</t>
        </is>
      </c>
      <c r="X32" s="161" t="inlineStr">
        <is>
          <t>2026-10-18</t>
        </is>
      </c>
      <c r="Y32" s="97" t="n"/>
      <c r="Z32" s="97" t="n"/>
      <c r="AA32" s="97" t="n"/>
      <c r="AB32" s="97" t="n"/>
      <c r="AC32" s="97" t="n"/>
      <c r="AD32" s="161" t="inlineStr">
        <is>
          <t>2026-10-12</t>
        </is>
      </c>
      <c r="AE32" s="174" t="inlineStr">
        <is>
          <t>1821</t>
        </is>
      </c>
      <c r="AF32" s="96" t="inlineStr">
        <is>
          <t>EDI2</t>
        </is>
      </c>
      <c r="AG32" s="97" t="n"/>
      <c r="AH32" s="97" t="n"/>
      <c r="AI32" s="97" t="n"/>
      <c r="AJ32" s="96" t="inlineStr">
        <is>
          <t>BLUE OCEAN INTERNATIONAL</t>
        </is>
      </c>
      <c r="AK32" s="130" t="n"/>
    </row>
    <row r="33" ht="12" customHeight="1">
      <c r="A33" s="108" t="inlineStr">
        <is>
          <t>SKHU6592282</t>
        </is>
      </c>
      <c r="B33" s="108" t="inlineStr">
        <is>
          <t>BKK02</t>
        </is>
      </c>
      <c r="C33" s="108" t="inlineStr">
        <is>
          <t>IFE</t>
        </is>
      </c>
      <c r="D33" s="172" t="inlineStr">
        <is>
          <t>2026-10-11</t>
        </is>
      </c>
      <c r="E33" s="173" t="inlineStr">
        <is>
          <t>0536</t>
        </is>
      </c>
      <c r="F33" s="96" t="inlineStr">
        <is>
          <t>HASLS22260902181</t>
        </is>
      </c>
      <c r="G33" s="96" t="inlineStr">
        <is>
          <t>BIRLA CARBON (THAILAND) PUBLIC COMPANY LIMITED</t>
        </is>
      </c>
      <c r="H33" s="111" t="inlineStr">
        <is>
          <t>45GP</t>
        </is>
      </c>
      <c r="I33" s="96" t="inlineStr">
        <is>
          <t>EMAIL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HASLS22260902181</t>
        </is>
      </c>
      <c r="N33" s="96" t="inlineStr">
        <is>
          <t xml:space="preserve">40Hx8 </t>
        </is>
      </c>
      <c r="O33" s="111" t="inlineStr">
        <is>
          <t>2025</t>
        </is>
      </c>
      <c r="P33" s="111" t="n"/>
      <c r="Q33" s="111" t="n"/>
      <c r="R33" s="96" t="inlineStr">
        <is>
          <t>SWBT</t>
        </is>
      </c>
      <c r="S33" s="96" t="inlineStr">
        <is>
          <t>2616N</t>
        </is>
      </c>
      <c r="T33" s="96" t="inlineStr">
        <is>
          <t>BKK02</t>
        </is>
      </c>
      <c r="U33" s="96" t="inlineStr">
        <is>
          <t>THBKK</t>
        </is>
      </c>
      <c r="V33" s="161" t="inlineStr">
        <is>
          <t>2026-10-16</t>
        </is>
      </c>
      <c r="W33" s="96" t="inlineStr">
        <is>
          <t>VNSGN</t>
        </is>
      </c>
      <c r="X33" s="161" t="inlineStr">
        <is>
          <t>2026-10-18</t>
        </is>
      </c>
      <c r="Y33" s="97" t="n"/>
      <c r="Z33" s="97" t="n"/>
      <c r="AA33" s="97" t="n"/>
      <c r="AB33" s="97" t="n"/>
      <c r="AC33" s="97" t="n"/>
      <c r="AD33" s="161" t="inlineStr">
        <is>
          <t>2026-10-11</t>
        </is>
      </c>
      <c r="AE33" s="174" t="inlineStr">
        <is>
          <t>0800</t>
        </is>
      </c>
      <c r="AF33" s="96" t="inlineStr">
        <is>
          <t>EDI2</t>
        </is>
      </c>
      <c r="AG33" s="97" t="n"/>
      <c r="AH33" s="97" t="n"/>
      <c r="AI33" s="97" t="n"/>
      <c r="AJ33" s="96" t="inlineStr">
        <is>
          <t>SAILUN (VIETNAM) CO.,LTD</t>
        </is>
      </c>
      <c r="AK33" s="130" t="n"/>
    </row>
    <row r="34" ht="12" customHeight="1">
      <c r="A34" s="108" t="inlineStr">
        <is>
          <t>SKHU6594496</t>
        </is>
      </c>
      <c r="B34" s="108" t="inlineStr">
        <is>
          <t>BKK02</t>
        </is>
      </c>
      <c r="C34" s="108" t="inlineStr">
        <is>
          <t>IFE</t>
        </is>
      </c>
      <c r="D34" s="172" t="inlineStr">
        <is>
          <t>2026-10-11</t>
        </is>
      </c>
      <c r="E34" s="173" t="inlineStr">
        <is>
          <t>1657</t>
        </is>
      </c>
      <c r="F34" s="96" t="inlineStr">
        <is>
          <t>HASLS22260902181</t>
        </is>
      </c>
      <c r="G34" s="96" t="inlineStr">
        <is>
          <t>BIRLA CARBON (THAILAND) PUBLIC COMPANY LIMITED</t>
        </is>
      </c>
      <c r="H34" s="111" t="inlineStr">
        <is>
          <t>45GP</t>
        </is>
      </c>
      <c r="I34" s="96" t="inlineStr">
        <is>
          <t>EMAIL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HASLS22260902181</t>
        </is>
      </c>
      <c r="N34" s="96" t="inlineStr">
        <is>
          <t xml:space="preserve">40Hx8 </t>
        </is>
      </c>
      <c r="O34" s="111" t="inlineStr">
        <is>
          <t>2025</t>
        </is>
      </c>
      <c r="P34" s="111" t="n"/>
      <c r="Q34" s="111" t="n"/>
      <c r="R34" s="96" t="inlineStr">
        <is>
          <t>SWBT</t>
        </is>
      </c>
      <c r="S34" s="96" t="inlineStr">
        <is>
          <t>2616N</t>
        </is>
      </c>
      <c r="T34" s="96" t="inlineStr">
        <is>
          <t>BKK02</t>
        </is>
      </c>
      <c r="U34" s="96" t="inlineStr">
        <is>
          <t>THBKK</t>
        </is>
      </c>
      <c r="V34" s="161" t="inlineStr">
        <is>
          <t>2026-10-16</t>
        </is>
      </c>
      <c r="W34" s="96" t="inlineStr">
        <is>
          <t>VNSGN</t>
        </is>
      </c>
      <c r="X34" s="161" t="inlineStr">
        <is>
          <t>2026-10-18</t>
        </is>
      </c>
      <c r="Y34" s="97" t="n"/>
      <c r="Z34" s="97" t="n"/>
      <c r="AA34" s="97" t="n"/>
      <c r="AB34" s="97" t="n"/>
      <c r="AC34" s="97" t="n"/>
      <c r="AD34" s="161" t="inlineStr">
        <is>
          <t>2026-10-11</t>
        </is>
      </c>
      <c r="AE34" s="174" t="inlineStr">
        <is>
          <t>1900</t>
        </is>
      </c>
      <c r="AF34" s="96" t="inlineStr">
        <is>
          <t>EDI2</t>
        </is>
      </c>
      <c r="AG34" s="97" t="n"/>
      <c r="AH34" s="97" t="n"/>
      <c r="AI34" s="97" t="n"/>
      <c r="AJ34" s="96" t="inlineStr">
        <is>
          <t>SAILUN (VIETNAM) CO.,LTD</t>
        </is>
      </c>
      <c r="AK34" s="130" t="n"/>
    </row>
    <row r="35" ht="12" customHeight="1">
      <c r="A35" s="108" t="inlineStr">
        <is>
          <t>SKHU8426845</t>
        </is>
      </c>
      <c r="B35" s="108" t="inlineStr">
        <is>
          <t>BKK02</t>
        </is>
      </c>
      <c r="C35" s="108" t="inlineStr">
        <is>
          <t>IFE</t>
        </is>
      </c>
      <c r="D35" s="172" t="inlineStr">
        <is>
          <t>2026-10-11</t>
        </is>
      </c>
      <c r="E35" s="173" t="inlineStr">
        <is>
          <t>2352</t>
        </is>
      </c>
      <c r="F35" s="96" t="inlineStr">
        <is>
          <t>HASLS22260902181</t>
        </is>
      </c>
      <c r="G35" s="96" t="inlineStr">
        <is>
          <t>BIRLA CARBON (THAILAND) PUBLIC COMPANY LIMITED</t>
        </is>
      </c>
      <c r="H35" s="111" t="inlineStr">
        <is>
          <t>45GP</t>
        </is>
      </c>
      <c r="I35" s="96" t="inlineStr">
        <is>
          <t>EMAIL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HASLS22260902181</t>
        </is>
      </c>
      <c r="N35" s="96" t="inlineStr">
        <is>
          <t xml:space="preserve">40Hx8 </t>
        </is>
      </c>
      <c r="O35" s="111" t="inlineStr">
        <is>
          <t>2024</t>
        </is>
      </c>
      <c r="P35" s="111" t="n"/>
      <c r="Q35" s="111" t="n"/>
      <c r="R35" s="96" t="inlineStr">
        <is>
          <t>SWBT</t>
        </is>
      </c>
      <c r="S35" s="96" t="inlineStr">
        <is>
          <t>2616N</t>
        </is>
      </c>
      <c r="T35" s="96" t="inlineStr">
        <is>
          <t>BKK02</t>
        </is>
      </c>
      <c r="U35" s="96" t="inlineStr">
        <is>
          <t>THBKK</t>
        </is>
      </c>
      <c r="V35" s="161" t="inlineStr">
        <is>
          <t>2026-10-16</t>
        </is>
      </c>
      <c r="W35" s="96" t="inlineStr">
        <is>
          <t>VNSGN</t>
        </is>
      </c>
      <c r="X35" s="161" t="inlineStr">
        <is>
          <t>2026-10-18</t>
        </is>
      </c>
      <c r="Y35" s="97" t="n"/>
      <c r="Z35" s="97" t="n"/>
      <c r="AA35" s="97" t="n"/>
      <c r="AB35" s="97" t="n"/>
      <c r="AC35" s="97" t="n"/>
      <c r="AD35" s="161" t="inlineStr">
        <is>
          <t>2026-10-12</t>
        </is>
      </c>
      <c r="AE35" s="174" t="inlineStr">
        <is>
          <t>0201</t>
        </is>
      </c>
      <c r="AF35" s="96" t="inlineStr">
        <is>
          <t>EDI2</t>
        </is>
      </c>
      <c r="AG35" s="97" t="n"/>
      <c r="AH35" s="97" t="n"/>
      <c r="AI35" s="97" t="n"/>
      <c r="AJ35" s="96" t="inlineStr">
        <is>
          <t>SAILUN (VIETNAM) CO.,LTD</t>
        </is>
      </c>
      <c r="AK35" s="130" t="n"/>
    </row>
    <row r="36" ht="12" customHeight="1">
      <c r="A36" s="108" t="inlineStr">
        <is>
          <t>SKHU9207395</t>
        </is>
      </c>
      <c r="B36" s="108" t="inlineStr">
        <is>
          <t>BKK02</t>
        </is>
      </c>
      <c r="C36" s="108" t="inlineStr">
        <is>
          <t>IFE</t>
        </is>
      </c>
      <c r="D36" s="172" t="inlineStr">
        <is>
          <t>2026-10-12</t>
        </is>
      </c>
      <c r="E36" s="173" t="inlineStr">
        <is>
          <t>2035</t>
        </is>
      </c>
      <c r="F36" s="96" t="inlineStr">
        <is>
          <t>HASLS22261000099</t>
        </is>
      </c>
      <c r="G36" s="96" t="inlineStr">
        <is>
          <t>ACCORD PILOT LOGISTICS (THAILAND) CO., LTD.</t>
        </is>
      </c>
      <c r="H36" s="111" t="inlineStr">
        <is>
          <t>45GP</t>
        </is>
      </c>
      <c r="I36" s="96" t="inlineStr">
        <is>
          <t>EMAIL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HASLS22261000099</t>
        </is>
      </c>
      <c r="N36" s="96" t="inlineStr">
        <is>
          <t xml:space="preserve">40Hx1 </t>
        </is>
      </c>
      <c r="O36" s="111" t="inlineStr">
        <is>
          <t>2012</t>
        </is>
      </c>
      <c r="P36" s="111" t="n"/>
      <c r="Q36" s="111" t="n"/>
      <c r="R36" s="96" t="inlineStr">
        <is>
          <t>SWBT</t>
        </is>
      </c>
      <c r="S36" s="96" t="inlineStr">
        <is>
          <t>2616N</t>
        </is>
      </c>
      <c r="T36" s="96" t="inlineStr">
        <is>
          <t>BKK02</t>
        </is>
      </c>
      <c r="U36" s="96" t="inlineStr">
        <is>
          <t>THBKK</t>
        </is>
      </c>
      <c r="V36" s="161" t="inlineStr">
        <is>
          <t>2026-10-16</t>
        </is>
      </c>
      <c r="W36" s="96" t="inlineStr">
        <is>
          <t>VNSGN</t>
        </is>
      </c>
      <c r="X36" s="161" t="inlineStr">
        <is>
          <t>2026-10-18</t>
        </is>
      </c>
      <c r="Y36" s="97" t="n"/>
      <c r="Z36" s="97" t="n"/>
      <c r="AA36" s="97" t="n"/>
      <c r="AB36" s="97" t="n"/>
      <c r="AC36" s="97" t="n"/>
      <c r="AD36" s="161" t="inlineStr">
        <is>
          <t>2026-10-12</t>
        </is>
      </c>
      <c r="AE36" s="174" t="inlineStr">
        <is>
          <t>2301</t>
        </is>
      </c>
      <c r="AF36" s="96" t="inlineStr">
        <is>
          <t>EDI2</t>
        </is>
      </c>
      <c r="AG36" s="97" t="n"/>
      <c r="AH36" s="97" t="n"/>
      <c r="AI36" s="97" t="n"/>
      <c r="AJ36" s="96" t="inlineStr">
        <is>
          <t>MAI LINH COMPANY LIMITED (MAI LINH</t>
        </is>
      </c>
      <c r="AK36" s="130" t="n"/>
    </row>
    <row r="37" ht="12" customHeight="1">
      <c r="A37" s="108" t="inlineStr">
        <is>
          <t>SKHU9530957</t>
        </is>
      </c>
      <c r="B37" s="108" t="inlineStr">
        <is>
          <t>BKK02</t>
        </is>
      </c>
      <c r="C37" s="108" t="inlineStr">
        <is>
          <t>IFE</t>
        </is>
      </c>
      <c r="D37" s="172" t="inlineStr">
        <is>
          <t>2026-10-10</t>
        </is>
      </c>
      <c r="E37" s="173" t="inlineStr">
        <is>
          <t>1325</t>
        </is>
      </c>
      <c r="F37" s="96" t="inlineStr">
        <is>
          <t>HASLS22260902754</t>
        </is>
      </c>
      <c r="G37" s="96" t="inlineStr">
        <is>
          <t>FREIGHT LINKS EXPRESS (THAILAND) CO., LTD.</t>
        </is>
      </c>
      <c r="H37" s="111" t="inlineStr">
        <is>
          <t>45GP</t>
        </is>
      </c>
      <c r="I37" s="96" t="inlineStr">
        <is>
          <t>EMAIL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HASLS22260902754</t>
        </is>
      </c>
      <c r="N37" s="96" t="inlineStr">
        <is>
          <t xml:space="preserve">40Hx1 </t>
        </is>
      </c>
      <c r="O37" s="111" t="inlineStr">
        <is>
          <t>2015</t>
        </is>
      </c>
      <c r="P37" s="111" t="n"/>
      <c r="Q37" s="111" t="n"/>
      <c r="R37" s="96" t="inlineStr">
        <is>
          <t>KUS</t>
        </is>
      </c>
      <c r="S37" s="96" t="inlineStr">
        <is>
          <t>2616N</t>
        </is>
      </c>
      <c r="T37" s="96" t="inlineStr">
        <is>
          <t>BKK02</t>
        </is>
      </c>
      <c r="U37" s="96" t="inlineStr">
        <is>
          <t>THBKK</t>
        </is>
      </c>
      <c r="V37" s="161" t="inlineStr">
        <is>
          <t>2026-10-16</t>
        </is>
      </c>
      <c r="W37" s="96" t="inlineStr">
        <is>
          <t>VNSGN</t>
        </is>
      </c>
      <c r="X37" s="161" t="inlineStr">
        <is>
          <t>2026-10-18</t>
        </is>
      </c>
      <c r="Y37" s="97" t="n"/>
      <c r="Z37" s="97" t="n"/>
      <c r="AA37" s="97" t="n"/>
      <c r="AB37" s="97" t="n"/>
      <c r="AC37" s="97" t="n"/>
      <c r="AD37" s="161" t="inlineStr">
        <is>
          <t>2026-10-10</t>
        </is>
      </c>
      <c r="AE37" s="174" t="inlineStr">
        <is>
          <t>1601</t>
        </is>
      </c>
      <c r="AF37" s="96" t="inlineStr">
        <is>
          <t>EDI2</t>
        </is>
      </c>
      <c r="AG37" s="97" t="n"/>
      <c r="AH37" s="97" t="n"/>
      <c r="AI37" s="97" t="n"/>
      <c r="AJ37" s="96" t="inlineStr">
        <is>
          <t>QUANTERM LOGISTICS VIETNAM CO.,LTD</t>
        </is>
      </c>
      <c r="AK37" s="130" t="n"/>
    </row>
    <row r="38" ht="12" customHeight="1">
      <c r="A38" s="108" t="inlineStr">
        <is>
          <t>SKHU9912965</t>
        </is>
      </c>
      <c r="B38" s="108" t="inlineStr">
        <is>
          <t>BKK02</t>
        </is>
      </c>
      <c r="C38" s="108" t="inlineStr">
        <is>
          <t>IFE</t>
        </is>
      </c>
      <c r="D38" s="172" t="inlineStr">
        <is>
          <t>2026-10-08</t>
        </is>
      </c>
      <c r="E38" s="173" t="inlineStr">
        <is>
          <t>0507</t>
        </is>
      </c>
      <c r="F38" s="96" t="inlineStr">
        <is>
          <t>HASLS22260902179</t>
        </is>
      </c>
      <c r="G38" s="96" t="inlineStr">
        <is>
          <t>BIRLA CARBON (THAILAND) PUBLIC COMPANY LIMITED</t>
        </is>
      </c>
      <c r="H38" s="111" t="inlineStr">
        <is>
          <t>45GP</t>
        </is>
      </c>
      <c r="I38" s="96" t="inlineStr">
        <is>
          <t>EMAIL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HASLS22260902179</t>
        </is>
      </c>
      <c r="N38" s="96" t="inlineStr">
        <is>
          <t xml:space="preserve">40Hx8 </t>
        </is>
      </c>
      <c r="O38" s="111" t="inlineStr">
        <is>
          <t>2019</t>
        </is>
      </c>
      <c r="P38" s="111" t="n"/>
      <c r="Q38" s="111" t="n"/>
      <c r="R38" s="96" t="inlineStr">
        <is>
          <t>SWBT</t>
        </is>
      </c>
      <c r="S38" s="96" t="inlineStr">
        <is>
          <t>2616N</t>
        </is>
      </c>
      <c r="T38" s="96" t="inlineStr">
        <is>
          <t>BKK02</t>
        </is>
      </c>
      <c r="U38" s="96" t="inlineStr">
        <is>
          <t>THBKK</t>
        </is>
      </c>
      <c r="V38" s="161" t="inlineStr">
        <is>
          <t>2026-10-16</t>
        </is>
      </c>
      <c r="W38" s="96" t="inlineStr">
        <is>
          <t>VNSGN</t>
        </is>
      </c>
      <c r="X38" s="161" t="inlineStr">
        <is>
          <t>2026-10-18</t>
        </is>
      </c>
      <c r="Y38" s="97" t="n"/>
      <c r="Z38" s="97" t="n"/>
      <c r="AA38" s="97" t="n"/>
      <c r="AB38" s="97" t="n"/>
      <c r="AC38" s="97" t="n"/>
      <c r="AD38" s="161" t="inlineStr">
        <is>
          <t>2026-10-08</t>
        </is>
      </c>
      <c r="AE38" s="174" t="inlineStr">
        <is>
          <t>0800</t>
        </is>
      </c>
      <c r="AF38" s="96" t="inlineStr">
        <is>
          <t>EDI2</t>
        </is>
      </c>
      <c r="AG38" s="97" t="n"/>
      <c r="AH38" s="97" t="n"/>
      <c r="AI38" s="97" t="n"/>
      <c r="AJ38" s="96" t="inlineStr">
        <is>
          <t>JINYU (VIETNAM) TIRE CO.,LTD</t>
        </is>
      </c>
      <c r="AK38" s="130" t="n"/>
    </row>
    <row r="39" ht="12" customHeight="1">
      <c r="A39" s="108" t="inlineStr">
        <is>
          <t>SKHU9938466</t>
        </is>
      </c>
      <c r="B39" s="108" t="inlineStr">
        <is>
          <t>BKK02</t>
        </is>
      </c>
      <c r="C39" s="108" t="inlineStr">
        <is>
          <t>IFE</t>
        </is>
      </c>
      <c r="D39" s="172" t="inlineStr">
        <is>
          <t>2026-10-11</t>
        </is>
      </c>
      <c r="E39" s="173" t="inlineStr">
        <is>
          <t>1104</t>
        </is>
      </c>
      <c r="F39" s="96" t="inlineStr">
        <is>
          <t>HASLS22260902181</t>
        </is>
      </c>
      <c r="G39" s="96" t="inlineStr">
        <is>
          <t>BIRLA CARBON (THAILAND) PUBLIC COMPANY LIMITED</t>
        </is>
      </c>
      <c r="H39" s="111" t="inlineStr">
        <is>
          <t>45GP</t>
        </is>
      </c>
      <c r="I39" s="96" t="inlineStr">
        <is>
          <t>EMAIL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HASLS22260902181</t>
        </is>
      </c>
      <c r="N39" s="96" t="inlineStr">
        <is>
          <t xml:space="preserve">40Hx8 </t>
        </is>
      </c>
      <c r="O39" s="111" t="inlineStr">
        <is>
          <t>2019</t>
        </is>
      </c>
      <c r="P39" s="111" t="n"/>
      <c r="Q39" s="111" t="n"/>
      <c r="R39" s="96" t="inlineStr">
        <is>
          <t>SWBT</t>
        </is>
      </c>
      <c r="S39" s="96" t="inlineStr">
        <is>
          <t>2616N</t>
        </is>
      </c>
      <c r="T39" s="96" t="inlineStr">
        <is>
          <t>BKK02</t>
        </is>
      </c>
      <c r="U39" s="96" t="inlineStr">
        <is>
          <t>THBKK</t>
        </is>
      </c>
      <c r="V39" s="161" t="inlineStr">
        <is>
          <t>2026-10-16</t>
        </is>
      </c>
      <c r="W39" s="96" t="inlineStr">
        <is>
          <t>VNSGN</t>
        </is>
      </c>
      <c r="X39" s="161" t="inlineStr">
        <is>
          <t>2026-10-18</t>
        </is>
      </c>
      <c r="Y39" s="97" t="n"/>
      <c r="Z39" s="97" t="n"/>
      <c r="AA39" s="97" t="n"/>
      <c r="AB39" s="97" t="n"/>
      <c r="AC39" s="97" t="n"/>
      <c r="AD39" s="161" t="inlineStr">
        <is>
          <t>2026-10-11</t>
        </is>
      </c>
      <c r="AE39" s="174" t="inlineStr">
        <is>
          <t>1401</t>
        </is>
      </c>
      <c r="AF39" s="96" t="inlineStr">
        <is>
          <t>EDI2</t>
        </is>
      </c>
      <c r="AG39" s="97" t="n"/>
      <c r="AH39" s="97" t="n"/>
      <c r="AI39" s="97" t="n"/>
      <c r="AJ39" s="96" t="inlineStr">
        <is>
          <t>SAILUN (VIETNAM) CO.,LTD</t>
        </is>
      </c>
      <c r="AK39" s="130" t="n"/>
    </row>
    <row r="40" ht="12" customHeight="1">
      <c r="A40" s="108" t="inlineStr">
        <is>
          <t>SKLU1445498</t>
        </is>
      </c>
      <c r="B40" s="108" t="inlineStr">
        <is>
          <t>BKK02</t>
        </is>
      </c>
      <c r="C40" s="108" t="inlineStr">
        <is>
          <t>IFE</t>
        </is>
      </c>
      <c r="D40" s="172" t="inlineStr">
        <is>
          <t>2026-10-12</t>
        </is>
      </c>
      <c r="E40" s="173" t="inlineStr">
        <is>
          <t>1327</t>
        </is>
      </c>
      <c r="F40" s="96" t="inlineStr">
        <is>
          <t>HASLS22261000033</t>
        </is>
      </c>
      <c r="G40" s="96" t="inlineStr">
        <is>
          <t>BUDGET LOGISTICS SERVICES CO., LTD.</t>
        </is>
      </c>
      <c r="H40" s="111" t="inlineStr">
        <is>
          <t>22GP</t>
        </is>
      </c>
      <c r="I40" s="96" t="inlineStr">
        <is>
          <t>EMAIL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HASLS22261000033</t>
        </is>
      </c>
      <c r="N40" s="96" t="inlineStr">
        <is>
          <t xml:space="preserve">20'x1 </t>
        </is>
      </c>
      <c r="O40" s="111" t="inlineStr">
        <is>
          <t>2014</t>
        </is>
      </c>
      <c r="P40" s="111" t="n"/>
      <c r="Q40" s="111" t="n"/>
      <c r="R40" s="96" t="inlineStr">
        <is>
          <t>SWBT</t>
        </is>
      </c>
      <c r="S40" s="96" t="inlineStr">
        <is>
          <t>2616N</t>
        </is>
      </c>
      <c r="T40" s="96" t="inlineStr">
        <is>
          <t>BKK02</t>
        </is>
      </c>
      <c r="U40" s="96" t="inlineStr">
        <is>
          <t>THBKK</t>
        </is>
      </c>
      <c r="V40" s="161" t="inlineStr">
        <is>
          <t>2026-10-16</t>
        </is>
      </c>
      <c r="W40" s="96" t="inlineStr">
        <is>
          <t>VNSGN</t>
        </is>
      </c>
      <c r="X40" s="161" t="inlineStr">
        <is>
          <t>2026-10-18</t>
        </is>
      </c>
      <c r="Y40" s="97" t="n"/>
      <c r="Z40" s="97" t="n"/>
      <c r="AA40" s="97" t="n"/>
      <c r="AB40" s="97" t="n"/>
      <c r="AC40" s="97" t="n"/>
      <c r="AD40" s="161" t="inlineStr">
        <is>
          <t>2026-10-12</t>
        </is>
      </c>
      <c r="AE40" s="174" t="inlineStr">
        <is>
          <t>1644</t>
        </is>
      </c>
      <c r="AF40" s="96" t="inlineStr">
        <is>
          <t>EDI2</t>
        </is>
      </c>
      <c r="AG40" s="97" t="n"/>
      <c r="AH40" s="97" t="n"/>
      <c r="AI40" s="97" t="n"/>
      <c r="AJ40" s="96" t="inlineStr">
        <is>
          <t>VESTAL SHIPPING SERVICES CO., LTD</t>
        </is>
      </c>
      <c r="AK40" s="130" t="n"/>
    </row>
    <row r="41" ht="12" customHeight="1">
      <c r="A41" s="108" t="inlineStr">
        <is>
          <t>SKLU1500701</t>
        </is>
      </c>
      <c r="B41" s="108" t="inlineStr">
        <is>
          <t>BKK02</t>
        </is>
      </c>
      <c r="C41" s="108" t="inlineStr">
        <is>
          <t>IFE</t>
        </is>
      </c>
      <c r="D41" s="172" t="inlineStr">
        <is>
          <t>2026-10-09</t>
        </is>
      </c>
      <c r="E41" s="173" t="inlineStr">
        <is>
          <t>0134</t>
        </is>
      </c>
      <c r="F41" s="96" t="inlineStr">
        <is>
          <t>HASLS22260900904</t>
        </is>
      </c>
      <c r="G41" s="96" t="inlineStr">
        <is>
          <t>MJ LOGISTICS (THAILAND) CO., LTD.</t>
        </is>
      </c>
      <c r="H41" s="111" t="inlineStr">
        <is>
          <t>22GP</t>
        </is>
      </c>
      <c r="I41" s="96" t="inlineStr">
        <is>
          <t>EMAIL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HASLS22260900904</t>
        </is>
      </c>
      <c r="N41" s="96" t="inlineStr">
        <is>
          <t xml:space="preserve">40Hx1 20'x1 </t>
        </is>
      </c>
      <c r="O41" s="111" t="inlineStr">
        <is>
          <t>2015</t>
        </is>
      </c>
      <c r="P41" s="111" t="n"/>
      <c r="Q41" s="111" t="n"/>
      <c r="R41" s="96" t="inlineStr">
        <is>
          <t>SWBT</t>
        </is>
      </c>
      <c r="S41" s="96" t="inlineStr">
        <is>
          <t>2616N</t>
        </is>
      </c>
      <c r="T41" s="96" t="inlineStr">
        <is>
          <t>BKK02</t>
        </is>
      </c>
      <c r="U41" s="96" t="inlineStr">
        <is>
          <t>THBKK</t>
        </is>
      </c>
      <c r="V41" s="161" t="inlineStr">
        <is>
          <t>2026-10-16</t>
        </is>
      </c>
      <c r="W41" s="96" t="inlineStr">
        <is>
          <t>RUVVO</t>
        </is>
      </c>
      <c r="X41" s="161" t="inlineStr">
        <is>
          <t>2026-10-27</t>
        </is>
      </c>
      <c r="Y41" s="97" t="n"/>
      <c r="Z41" s="97" t="n"/>
      <c r="AA41" s="97" t="n"/>
      <c r="AB41" s="97" t="n"/>
      <c r="AC41" s="97" t="n"/>
      <c r="AD41" s="161" t="inlineStr">
        <is>
          <t>2026-10-09</t>
        </is>
      </c>
      <c r="AE41" s="174" t="inlineStr">
        <is>
          <t>0401</t>
        </is>
      </c>
      <c r="AF41" s="96" t="inlineStr">
        <is>
          <t>EDI2</t>
        </is>
      </c>
      <c r="AG41" s="97" t="n"/>
      <c r="AH41" s="97" t="n"/>
      <c r="AI41" s="97" t="n"/>
      <c r="AJ41" s="96" t="inlineStr">
        <is>
          <t>DV NEVADA CO., LTD</t>
        </is>
      </c>
      <c r="AK41" s="130" t="n"/>
    </row>
    <row r="42" ht="12" customHeight="1">
      <c r="A42" s="108" t="inlineStr">
        <is>
          <t>SKLU2434395</t>
        </is>
      </c>
      <c r="B42" s="108" t="inlineStr">
        <is>
          <t>BKK02</t>
        </is>
      </c>
      <c r="C42" s="108" t="inlineStr">
        <is>
          <t>IFE</t>
        </is>
      </c>
      <c r="D42" s="172" t="inlineStr">
        <is>
          <t>2026-10-09</t>
        </is>
      </c>
      <c r="E42" s="173" t="inlineStr">
        <is>
          <t>1951</t>
        </is>
      </c>
      <c r="F42" s="96" t="inlineStr">
        <is>
          <t>HASLS22260902671</t>
        </is>
      </c>
      <c r="G42" s="96" t="inlineStr">
        <is>
          <t>TRUE LOGISTICS CO., LTD.</t>
        </is>
      </c>
      <c r="H42" s="111" t="inlineStr">
        <is>
          <t>22GP</t>
        </is>
      </c>
      <c r="I42" s="96" t="inlineStr">
        <is>
          <t>EMAIL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HASLS22260902671</t>
        </is>
      </c>
      <c r="N42" s="96" t="inlineStr">
        <is>
          <t xml:space="preserve">20'x1 </t>
        </is>
      </c>
      <c r="O42" s="111" t="inlineStr">
        <is>
          <t>2024</t>
        </is>
      </c>
      <c r="P42" s="111" t="n"/>
      <c r="Q42" s="111" t="n"/>
      <c r="R42" s="96" t="inlineStr">
        <is>
          <t>SWBT</t>
        </is>
      </c>
      <c r="S42" s="96" t="inlineStr">
        <is>
          <t>2616N</t>
        </is>
      </c>
      <c r="T42" s="96" t="inlineStr">
        <is>
          <t>BKK02</t>
        </is>
      </c>
      <c r="U42" s="96" t="inlineStr">
        <is>
          <t>THBKK</t>
        </is>
      </c>
      <c r="V42" s="161" t="inlineStr">
        <is>
          <t>2026-10-16</t>
        </is>
      </c>
      <c r="W42" s="96" t="inlineStr">
        <is>
          <t>VNSGN</t>
        </is>
      </c>
      <c r="X42" s="161" t="inlineStr">
        <is>
          <t>2026-10-18</t>
        </is>
      </c>
      <c r="Y42" s="97" t="n"/>
      <c r="Z42" s="97" t="n"/>
      <c r="AA42" s="97" t="n"/>
      <c r="AB42" s="97" t="n"/>
      <c r="AC42" s="97" t="n"/>
      <c r="AD42" s="161" t="inlineStr">
        <is>
          <t>2026-10-09</t>
        </is>
      </c>
      <c r="AE42" s="174" t="inlineStr">
        <is>
          <t>2201</t>
        </is>
      </c>
      <c r="AF42" s="96" t="inlineStr">
        <is>
          <t>EDI2</t>
        </is>
      </c>
      <c r="AG42" s="97" t="n"/>
      <c r="AH42" s="97" t="n"/>
      <c r="AI42" s="97" t="n"/>
      <c r="AJ42" s="96" t="inlineStr">
        <is>
          <t>MH LOGS CO.,LTD</t>
        </is>
      </c>
      <c r="AK42" s="130" t="n"/>
    </row>
    <row r="43" ht="12" customHeight="1">
      <c r="A43" s="108" t="inlineStr">
        <is>
          <t>SKRU9900440</t>
        </is>
      </c>
      <c r="B43" s="108" t="inlineStr">
        <is>
          <t>BKK02</t>
        </is>
      </c>
      <c r="C43" s="108" t="inlineStr">
        <is>
          <t>IFE</t>
        </is>
      </c>
      <c r="D43" s="172" t="inlineStr">
        <is>
          <t>2026-10-13</t>
        </is>
      </c>
      <c r="E43" s="173" t="inlineStr">
        <is>
          <t>1103</t>
        </is>
      </c>
      <c r="F43" s="96" t="inlineStr">
        <is>
          <t>HASLS22260902554</t>
        </is>
      </c>
      <c r="G43" s="96" t="inlineStr">
        <is>
          <t>LAND SEA SKY CO., LTD.</t>
        </is>
      </c>
      <c r="H43" s="111" t="inlineStr">
        <is>
          <t>45RE</t>
        </is>
      </c>
      <c r="I43" s="96" t="inlineStr">
        <is>
          <t>EMAIL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HASLS22260902554</t>
        </is>
      </c>
      <c r="N43" s="96" t="inlineStr">
        <is>
          <t xml:space="preserve">R40Hx1 </t>
        </is>
      </c>
      <c r="O43" s="111" t="inlineStr">
        <is>
          <t>2019</t>
        </is>
      </c>
      <c r="P43" s="111" t="inlineStr">
        <is>
          <t>CARRIER</t>
        </is>
      </c>
      <c r="Q43" s="111" t="inlineStr">
        <is>
          <t>LB4026THD-00067</t>
        </is>
      </c>
      <c r="R43" s="96" t="inlineStr">
        <is>
          <t>SWBT</t>
        </is>
      </c>
      <c r="S43" s="96" t="inlineStr">
        <is>
          <t>2616N</t>
        </is>
      </c>
      <c r="T43" s="96" t="inlineStr">
        <is>
          <t>BKK02</t>
        </is>
      </c>
      <c r="U43" s="96" t="inlineStr">
        <is>
          <t>THBKK</t>
        </is>
      </c>
      <c r="V43" s="161" t="inlineStr">
        <is>
          <t>2026-10-16</t>
        </is>
      </c>
      <c r="W43" s="96" t="inlineStr">
        <is>
          <t>KRPTK</t>
        </is>
      </c>
      <c r="X43" s="161" t="inlineStr">
        <is>
          <t>2026-10-24</t>
        </is>
      </c>
      <c r="Y43" s="97" t="n"/>
      <c r="Z43" s="97" t="n"/>
      <c r="AA43" s="97" t="n"/>
      <c r="AB43" s="97" t="n"/>
      <c r="AC43" s="97" t="n"/>
      <c r="AD43" s="161" t="inlineStr">
        <is>
          <t>2026-10-13</t>
        </is>
      </c>
      <c r="AE43" s="174" t="inlineStr">
        <is>
          <t>1401</t>
        </is>
      </c>
      <c r="AF43" s="96" t="inlineStr">
        <is>
          <t>EDI2</t>
        </is>
      </c>
      <c r="AG43" s="97" t="n"/>
      <c r="AH43" s="97" t="n"/>
      <c r="AI43" s="97" t="n"/>
      <c r="AJ43" s="96" t="inlineStr">
        <is>
          <t>SASE CO.,LTD.</t>
        </is>
      </c>
      <c r="AK43" s="130" t="n"/>
    </row>
    <row r="44" ht="12" customHeight="1">
      <c r="A44" s="108" t="inlineStr">
        <is>
          <t>SKRU9903433</t>
        </is>
      </c>
      <c r="B44" s="108" t="inlineStr">
        <is>
          <t>BKK02</t>
        </is>
      </c>
      <c r="C44" s="108" t="inlineStr">
        <is>
          <t>IFE</t>
        </is>
      </c>
      <c r="D44" s="172" t="inlineStr">
        <is>
          <t>2026-10-09</t>
        </is>
      </c>
      <c r="E44" s="173" t="inlineStr">
        <is>
          <t>1125</t>
        </is>
      </c>
      <c r="F44" s="96" t="inlineStr">
        <is>
          <t>HASLS22260902556</t>
        </is>
      </c>
      <c r="G44" s="96" t="inlineStr">
        <is>
          <t>LAND SEA SKY CO., LTD.</t>
        </is>
      </c>
      <c r="H44" s="111" t="inlineStr">
        <is>
          <t>45RE</t>
        </is>
      </c>
      <c r="I44" s="96" t="inlineStr">
        <is>
          <t>EMAIL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HASLS22260902556</t>
        </is>
      </c>
      <c r="N44" s="96" t="inlineStr">
        <is>
          <t xml:space="preserve">R40Hx1 </t>
        </is>
      </c>
      <c r="O44" s="111" t="inlineStr">
        <is>
          <t>2019</t>
        </is>
      </c>
      <c r="P44" s="111" t="inlineStr">
        <is>
          <t>CARRIER</t>
        </is>
      </c>
      <c r="Q44" s="111" t="n"/>
      <c r="R44" s="96" t="inlineStr">
        <is>
          <t>SWBT</t>
        </is>
      </c>
      <c r="S44" s="96" t="inlineStr">
        <is>
          <t>2616N</t>
        </is>
      </c>
      <c r="T44" s="96" t="inlineStr">
        <is>
          <t>BKK02</t>
        </is>
      </c>
      <c r="U44" s="96" t="inlineStr">
        <is>
          <t>THBKK</t>
        </is>
      </c>
      <c r="V44" s="161" t="inlineStr">
        <is>
          <t>2026-10-16</t>
        </is>
      </c>
      <c r="W44" s="96" t="inlineStr">
        <is>
          <t>KRPTK</t>
        </is>
      </c>
      <c r="X44" s="161" t="inlineStr">
        <is>
          <t>2026-10-24</t>
        </is>
      </c>
      <c r="Y44" s="97" t="n"/>
      <c r="Z44" s="97" t="n"/>
      <c r="AA44" s="97" t="n"/>
      <c r="AB44" s="97" t="n"/>
      <c r="AC44" s="97" t="n"/>
      <c r="AD44" s="161" t="inlineStr">
        <is>
          <t>2026-10-09</t>
        </is>
      </c>
      <c r="AE44" s="174" t="inlineStr">
        <is>
          <t>1401</t>
        </is>
      </c>
      <c r="AF44" s="96" t="inlineStr">
        <is>
          <t>EDI2</t>
        </is>
      </c>
      <c r="AG44" s="97" t="n"/>
      <c r="AH44" s="97" t="n"/>
      <c r="AI44" s="97" t="n"/>
      <c r="AJ44" s="96" t="inlineStr">
        <is>
          <t>SASE CO.,LTD.</t>
        </is>
      </c>
      <c r="AK44" s="130" t="n"/>
    </row>
    <row r="45" ht="12" customHeight="1">
      <c r="A45" s="108" t="inlineStr">
        <is>
          <t>TRHU6255775</t>
        </is>
      </c>
      <c r="B45" s="108" t="inlineStr">
        <is>
          <t>BKK02</t>
        </is>
      </c>
      <c r="C45" s="108" t="inlineStr">
        <is>
          <t>IFE</t>
        </is>
      </c>
      <c r="D45" s="172" t="inlineStr">
        <is>
          <t>2026-10-09</t>
        </is>
      </c>
      <c r="E45" s="173" t="inlineStr">
        <is>
          <t>2007</t>
        </is>
      </c>
      <c r="F45" s="96" t="inlineStr">
        <is>
          <t>HASLS22260902001</t>
        </is>
      </c>
      <c r="G45" s="96" t="inlineStr">
        <is>
          <t>PRIME LOGISTICS INTERNATIONAL CO., LTD.</t>
        </is>
      </c>
      <c r="H45" s="111" t="inlineStr">
        <is>
          <t>45GP</t>
        </is>
      </c>
      <c r="I45" s="96" t="inlineStr">
        <is>
          <t>EMAIL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HASLS22260902001</t>
        </is>
      </c>
      <c r="N45" s="96" t="inlineStr">
        <is>
          <t xml:space="preserve">40Hx1 20'x1 </t>
        </is>
      </c>
      <c r="O45" s="111" t="inlineStr">
        <is>
          <t>2021</t>
        </is>
      </c>
      <c r="P45" s="111" t="n"/>
      <c r="Q45" s="111" t="n"/>
      <c r="R45" s="96" t="inlineStr">
        <is>
          <t>SWBT</t>
        </is>
      </c>
      <c r="S45" s="96" t="inlineStr">
        <is>
          <t>2616N</t>
        </is>
      </c>
      <c r="T45" s="96" t="inlineStr">
        <is>
          <t>BKK02</t>
        </is>
      </c>
      <c r="U45" s="96" t="inlineStr">
        <is>
          <t>THBKK</t>
        </is>
      </c>
      <c r="V45" s="161" t="inlineStr">
        <is>
          <t>2026-10-16</t>
        </is>
      </c>
      <c r="W45" s="96" t="inlineStr">
        <is>
          <t>VNSGN</t>
        </is>
      </c>
      <c r="X45" s="161" t="inlineStr">
        <is>
          <t>2026-10-18</t>
        </is>
      </c>
      <c r="Y45" s="97" t="n"/>
      <c r="Z45" s="97" t="n"/>
      <c r="AA45" s="97" t="n"/>
      <c r="AB45" s="97" t="n"/>
      <c r="AC45" s="97" t="n"/>
      <c r="AD45" s="161" t="inlineStr">
        <is>
          <t>2026-10-09</t>
        </is>
      </c>
      <c r="AE45" s="174" t="inlineStr">
        <is>
          <t>2301</t>
        </is>
      </c>
      <c r="AF45" s="96" t="inlineStr">
        <is>
          <t>EDI2</t>
        </is>
      </c>
      <c r="AG45" s="97" t="n"/>
      <c r="AH45" s="97" t="n"/>
      <c r="AI45" s="97" t="n"/>
      <c r="AJ45" s="96" t="inlineStr">
        <is>
          <t>PATAYA  FOOD INDUSTRIES (VIETNAM)</t>
        </is>
      </c>
      <c r="AK45" s="130" t="n"/>
    </row>
    <row r="46" ht="12" customHeight="1">
      <c r="A46" s="108" t="n"/>
      <c r="B46" s="108" t="n"/>
      <c r="C46" s="108" t="n"/>
      <c r="D46" s="172" t="n"/>
      <c r="E46" s="173" t="n"/>
      <c r="F46" s="96" t="n"/>
      <c r="G46" s="96" t="n"/>
      <c r="H46" s="111" t="n"/>
      <c r="I46" s="96" t="n"/>
      <c r="J46" s="96" t="n"/>
      <c r="K46" s="96" t="n"/>
      <c r="L46" s="111" t="n"/>
      <c r="M46" s="96" t="n"/>
      <c r="N46" s="96" t="n"/>
      <c r="O46" s="111" t="n"/>
      <c r="P46" s="112" t="n"/>
      <c r="Q46" s="112" t="n"/>
      <c r="R46" s="96" t="n"/>
      <c r="S46" s="96" t="n"/>
      <c r="T46" s="96" t="n"/>
      <c r="U46" s="96" t="n"/>
      <c r="V46" s="161" t="n"/>
      <c r="W46" s="96" t="n"/>
      <c r="X46" s="161" t="n"/>
      <c r="Y46" s="97" t="n"/>
      <c r="Z46" s="97" t="n"/>
      <c r="AA46" s="97" t="n"/>
      <c r="AB46" s="97" t="n"/>
      <c r="AC46" s="97" t="n"/>
      <c r="AD46" s="161" t="n"/>
      <c r="AE46" s="174" t="n"/>
      <c r="AF46" s="96" t="n"/>
      <c r="AG46" s="97" t="n"/>
      <c r="AH46" s="97" t="n"/>
      <c r="AI46" s="97" t="n"/>
      <c r="AJ46" s="96" t="n"/>
      <c r="AK46" s="130" t="n"/>
    </row>
    <row r="47" ht="12" customHeight="1">
      <c r="A47" s="108" t="n"/>
      <c r="B47" s="108" t="n"/>
      <c r="C47" s="108" t="n"/>
      <c r="D47" s="172" t="n"/>
      <c r="E47" s="173" t="n"/>
      <c r="F47" s="96" t="n"/>
      <c r="G47" s="96" t="n"/>
      <c r="H47" s="111" t="n"/>
      <c r="I47" s="96" t="n"/>
      <c r="J47" s="96" t="n"/>
      <c r="K47" s="96" t="n"/>
      <c r="L47" s="111" t="n"/>
      <c r="M47" s="96" t="n"/>
      <c r="N47" s="96" t="n"/>
      <c r="O47" s="111" t="n"/>
      <c r="P47" s="112" t="n"/>
      <c r="Q47" s="112" t="n"/>
      <c r="R47" s="96" t="n"/>
      <c r="S47" s="96" t="n"/>
      <c r="T47" s="96" t="n"/>
      <c r="U47" s="96" t="n"/>
      <c r="V47" s="161" t="n"/>
      <c r="W47" s="96" t="n"/>
      <c r="X47" s="161" t="n"/>
      <c r="Y47" s="97" t="n"/>
      <c r="Z47" s="97" t="n"/>
      <c r="AA47" s="97" t="n"/>
      <c r="AB47" s="97" t="n"/>
      <c r="AC47" s="97" t="n"/>
      <c r="AD47" s="161" t="n"/>
      <c r="AE47" s="174" t="n"/>
      <c r="AF47" s="96" t="n"/>
      <c r="AG47" s="97" t="n"/>
      <c r="AH47" s="97" t="n"/>
      <c r="AI47" s="97" t="n"/>
      <c r="AJ47" s="96" t="n"/>
      <c r="AK47" s="130" t="n"/>
    </row>
    <row r="48" ht="12" customHeight="1">
      <c r="A48" s="108" t="n"/>
      <c r="B48" s="108" t="n"/>
      <c r="C48" s="108" t="n"/>
      <c r="D48" s="172" t="n"/>
      <c r="E48" s="173" t="n"/>
      <c r="F48" s="96" t="n"/>
      <c r="G48" s="96" t="n"/>
      <c r="H48" s="111" t="n"/>
      <c r="I48" s="96" t="n"/>
      <c r="J48" s="96" t="n"/>
      <c r="K48" s="96" t="n"/>
      <c r="L48" s="111" t="n"/>
      <c r="M48" s="96" t="n"/>
      <c r="N48" s="96" t="n"/>
      <c r="O48" s="111" t="n"/>
      <c r="P48" s="112" t="n"/>
      <c r="Q48" s="112" t="n"/>
      <c r="R48" s="96" t="n"/>
      <c r="S48" s="96" t="n"/>
      <c r="T48" s="96" t="n"/>
      <c r="U48" s="96" t="n"/>
      <c r="V48" s="161" t="n"/>
      <c r="W48" s="96" t="n"/>
      <c r="X48" s="161" t="n"/>
      <c r="Y48" s="97" t="n"/>
      <c r="Z48" s="97" t="n"/>
      <c r="AA48" s="97" t="n"/>
      <c r="AB48" s="97" t="n"/>
      <c r="AC48" s="97" t="n"/>
      <c r="AD48" s="161" t="n"/>
      <c r="AE48" s="174" t="n"/>
      <c r="AF48" s="96" t="n"/>
      <c r="AG48" s="97" t="n"/>
      <c r="AH48" s="97" t="n"/>
      <c r="AI48" s="97" t="n"/>
      <c r="AJ48" s="96" t="n"/>
      <c r="AK48" s="130" t="n"/>
    </row>
    <row r="49" ht="12" customHeight="1">
      <c r="A49" s="108" t="n"/>
      <c r="B49" s="108" t="n"/>
      <c r="C49" s="108" t="n"/>
      <c r="D49" s="172" t="n"/>
      <c r="E49" s="173" t="n"/>
      <c r="F49" s="96" t="n"/>
      <c r="G49" s="96" t="n"/>
      <c r="H49" s="111" t="n"/>
      <c r="I49" s="96" t="n"/>
      <c r="J49" s="96" t="n"/>
      <c r="K49" s="96" t="n"/>
      <c r="L49" s="111" t="n"/>
      <c r="M49" s="96" t="n"/>
      <c r="N49" s="96" t="n"/>
      <c r="O49" s="111" t="n"/>
      <c r="P49" s="112" t="n"/>
      <c r="Q49" s="112" t="n"/>
      <c r="R49" s="96" t="n"/>
      <c r="S49" s="96" t="n"/>
      <c r="T49" s="96" t="n"/>
      <c r="U49" s="96" t="n"/>
      <c r="V49" s="161" t="n"/>
      <c r="W49" s="96" t="n"/>
      <c r="X49" s="161" t="n"/>
      <c r="Y49" s="97" t="n"/>
      <c r="Z49" s="97" t="n"/>
      <c r="AA49" s="97" t="n"/>
      <c r="AB49" s="97" t="n"/>
      <c r="AC49" s="97" t="n"/>
      <c r="AD49" s="161" t="n"/>
      <c r="AE49" s="174" t="n"/>
      <c r="AF49" s="96" t="n"/>
      <c r="AG49" s="97" t="n"/>
      <c r="AH49" s="97" t="n"/>
      <c r="AI49" s="97" t="n"/>
      <c r="AJ49" s="96" t="n"/>
      <c r="AK49" s="130" t="n"/>
    </row>
    <row r="50" ht="12" customHeight="1">
      <c r="A50" s="108" t="n"/>
      <c r="B50" s="108" t="n"/>
      <c r="C50" s="108" t="n"/>
      <c r="D50" s="172" t="n"/>
      <c r="E50" s="173" t="n"/>
      <c r="F50" s="96" t="n"/>
      <c r="G50" s="96" t="n"/>
      <c r="H50" s="111" t="n"/>
      <c r="I50" s="96" t="n"/>
      <c r="J50" s="96" t="n"/>
      <c r="K50" s="96" t="n"/>
      <c r="L50" s="111" t="n"/>
      <c r="M50" s="96" t="n"/>
      <c r="N50" s="96" t="n"/>
      <c r="O50" s="111" t="n"/>
      <c r="P50" s="112" t="n"/>
      <c r="Q50" s="112" t="n"/>
      <c r="R50" s="96" t="n"/>
      <c r="S50" s="96" t="n"/>
      <c r="T50" s="96" t="n"/>
      <c r="U50" s="96" t="n"/>
      <c r="V50" s="161" t="n"/>
      <c r="W50" s="96" t="n"/>
      <c r="X50" s="161" t="n"/>
      <c r="Y50" s="97" t="n"/>
      <c r="Z50" s="97" t="n"/>
      <c r="AA50" s="97" t="n"/>
      <c r="AB50" s="97" t="n"/>
      <c r="AC50" s="97" t="n"/>
      <c r="AD50" s="161" t="n"/>
      <c r="AE50" s="174" t="n"/>
      <c r="AF50" s="96" t="n"/>
      <c r="AG50" s="97" t="n"/>
      <c r="AH50" s="97" t="n"/>
      <c r="AI50" s="97" t="n"/>
      <c r="AJ50" s="96" t="n"/>
      <c r="AK50" s="130" t="n"/>
    </row>
    <row r="51" ht="12" customHeight="1">
      <c r="A51" s="108" t="n"/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2" t="n"/>
      <c r="Q51" s="112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/>
    <row r="53" ht="12" customHeight="1"/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7200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7200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FBIU5370069</t>
        </is>
      </c>
      <c r="B3" s="4" t="str">
        <f>IF(C3=Charge!$M$1,Charge!$J$1,IF(C3=Charge!$M$23,Charge!$J$23,IF(C3=Charge!$M$17,Charge!$J$17,IF(C3=Charge!$N$17,Charge!$J$17,Charge!$J$7))))</f>
        <v>G4</v>
      </c>
      <c r="C3" s="61" t="str">
        <f>VLOOKUP(A3,'1.Loading'!A:R,14,FALSE)</f>
        <v>BKK02</v>
      </c>
      <c r="D3" s="61" t="str">
        <f>VLOOKUP(A3,'1.Loading'!A:R,17,FALSE)</f>
        <v>HASLS22260902555</v>
      </c>
      <c r="E3" s="62" t="str">
        <f>VLOOKUP(D3,'2.Bookinglist'!A:CT,27,FALSE)</f>
        <v>LAND SEA SKY CO., LTD.</v>
      </c>
      <c r="F3" s="62" t="str">
        <f>VLOOKUP(D3,'2.Bookinglist'!A:CT,28,FALSE)</f>
        <v>SAHA FARMS  INTERNATIONAL CO LTD</v>
      </c>
      <c r="G3" s="60">
        <f>VLOOKUP(D3,'2.Bookinglist'!A:E,5,FALSE)</f>
        <v>0</v>
      </c>
      <c r="H3" s="61" t="str">
        <f>VLOOKUP(D3,'2.Bookinglist'!A:CT,15,FALSE)</f>
        <v>THBKK</v>
      </c>
      <c r="I3" s="61" t="str">
        <f>VLOOKUP(D3,'2.Bookinglist'!A:CT,19,FALSE)</f>
        <v>KRPTK</v>
      </c>
      <c r="J3" s="61">
        <f>VLOOKUP(D3,'2.Bookinglist'!A:CT,26,FALSE)</f>
        <v>0</v>
      </c>
      <c r="K3" s="61" t="str">
        <f>VLOOKUP(A3,'1.Loading'!A:R,5,FALSE)</f>
        <v>45RE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>RF</v>
      </c>
      <c r="O3" s="61" t="str">
        <f>VLOOKUP(A3,'1.Loading'!A:R,3,FALSE)</f>
        <v>SWBT</v>
      </c>
      <c r="P3" s="61" t="str">
        <f>VLOOKUP(A3,'1.Loading'!A:R,4,FALSE)</f>
        <v>2616N</v>
      </c>
      <c r="Q3" s="61" t="str">
        <f>VLOOKUP(D3,'2.Bookinglist'!A:CT,12,FALSE)</f>
        <v>NTX</v>
      </c>
      <c r="R3" s="60" t="str">
        <f>IF(LEFT(K3,2)="22","20'","40'")</f>
        <v>40'</v>
      </c>
      <c r="S3" s="101" t="n"/>
      <c r="T3" s="61" t="str">
        <f>VLOOKUP(A3,'1.Loading'!A:R,2,FALSE)</f>
        <v>2026-10-16</v>
      </c>
      <c r="U3" s="63">
        <f>T3-S3</f>
        <v>46311</v>
      </c>
      <c r="V3" s="178" t="n"/>
      <c r="W3" s="61" t="str">
        <f>VLOOKUP(A3,'3.GateMove'!A:D,4,FALSE)</f>
        <v>2026-10-14</v>
      </c>
      <c r="X3" s="63">
        <f>((T3-W3)+1)</f>
        <v>3</v>
      </c>
      <c r="Y3" s="64">
        <f>IF(AND(OR(C3="BKK01",C3="BKK04"),L3="CFS/CY"),0,IF(M3="DG",1,IF(LEFT(C3,3)="LCH",7,IF(C3="BKK02",5,3))))</f>
        <v>5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 t="n"/>
      <c r="AC3" s="4" t="n"/>
      <c r="AD3" s="60">
        <f>IF(M3="DG",3,IF(N3="RF",3,5))+IF(AND(LEFT(C3,3)="BKK",N3="RF",Q3="KTS"),1,0)+IF(Q3="KHS",1,0)</f>
        <v>3</v>
      </c>
      <c r="AE3" s="63">
        <f>(T3-V3)+1</f>
        <v>46312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0</v>
      </c>
      <c r="AJ3" s="70" t="n"/>
      <c r="AK3" s="62" t="str">
        <f>VLOOKUP(D3,'2.Bookinglist'!A:CT,40,FALSE)</f>
        <v>Sukunpoj Damrongying</v>
      </c>
      <c r="AL3" s="60" t="str">
        <f>VLOOKUP(D3,'2.Bookinglist'!A:CW,101,FALSE)</f>
        <v>2026-10-15</v>
      </c>
      <c r="AM3" s="60" t="str">
        <f>VLOOKUP(D3,'2.Bookinglist'!A:BK,63,FALSE)</f>
        <v>BKK27</v>
      </c>
      <c r="AN3" s="62" t="str">
        <f>VLOOKUP(D3,'2.Bookinglist'!A:AZ,52,FALSE)</f>
        <v>Pickup : 2026-10-12, Return : 2026-10-14  (Temp -18.0 / Vent Close) 
CLS TIME 14/10/26 @12.00</v>
      </c>
      <c r="AO3" s="62">
        <f>VLOOKUP(D3,'2.Bookinglist'!A:CY,103,FALSE)</f>
        <v>0</v>
      </c>
    </row>
    <row r="4" ht="12.95" customHeight="1">
      <c r="A4" s="96" t="inlineStr">
        <is>
          <t>FCIU7349078</t>
        </is>
      </c>
      <c r="B4" s="184" t="str">
        <f>IF(C4=Charge!$M$1,Charge!$J$1,IF(C4=Charge!$M$23,Charge!$J$23,IF(C4=Charge!$M$17,Charge!$J$17,IF(C4=Charge!$N$17,Charge!$J$17,Charge!$J$7))))</f>
        <v>G4</v>
      </c>
      <c r="C4" s="61" t="str">
        <f>VLOOKUP(A4,'1.Loading'!A:R,14,FALSE)</f>
        <v>BKK02</v>
      </c>
      <c r="D4" s="61" t="str">
        <f>VLOOKUP(A4,'1.Loading'!A:R,17,FALSE)</f>
        <v>HASLS22260902179</v>
      </c>
      <c r="E4" s="62" t="str">
        <f>VLOOKUP(D4,'2.Bookinglist'!A:CT,27,FALSE)</f>
        <v>BIRLA CARBON (THAILAND) PUBLIC COMPANY LIMITED</v>
      </c>
      <c r="F4" s="62" t="str">
        <f>VLOOKUP(D4,'2.Bookinglist'!A:CT,28,FALSE)</f>
        <v>BIRLA CARBON (THAILAND) PUBLIC COMPANY LIMITED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VNSGN</v>
      </c>
      <c r="J4" s="61">
        <f>VLOOKUP(D4,'2.Bookinglist'!A:CT,26,FALSE)</f>
        <v>0</v>
      </c>
      <c r="K4" s="61" t="str">
        <f>VLOOKUP(A4,'1.Loading'!A:R,5,FALSE)</f>
        <v>45GP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SWBT</v>
      </c>
      <c r="P4" s="61" t="str">
        <f>VLOOKUP(A4,'1.Loading'!A:R,4,FALSE)</f>
        <v>2616N</v>
      </c>
      <c r="Q4" s="61" t="str">
        <f>VLOOKUP(D4,'2.Bookinglist'!A:CT,12,FALSE)</f>
        <v>NTX</v>
      </c>
      <c r="R4" s="60" t="str">
        <f>IF(LEFT(K4,2)="22","20'","40'")</f>
        <v>40'</v>
      </c>
      <c r="S4" s="185" t="n"/>
      <c r="T4" s="61" t="str">
        <f>VLOOKUP(A4,'1.Loading'!A:R,2,FALSE)</f>
        <v>2026-10-16</v>
      </c>
      <c r="U4" s="63">
        <f>T4-S4</f>
        <v>46311</v>
      </c>
      <c r="V4" s="186" t="n"/>
      <c r="W4" s="61" t="str">
        <f>VLOOKUP(A4,'3.GateMove'!A:D,4,FALSE)</f>
        <v>2026-10-08</v>
      </c>
      <c r="X4" s="63">
        <f>((T4-W4)+1)</f>
        <v>9</v>
      </c>
      <c r="Y4" s="64">
        <f>IF(AND(OR(C4="BKK01",C4="BKK04"),L4="CFS/CY"),0,IF(M4="DG",1,IF(LEFT(C4,3)="LCH",7,IF(C4="BKK02",5,3))))</f>
        <v>5</v>
      </c>
      <c r="Z4" s="63">
        <f>IF(IF(AND(AC4="TML",AB4&gt;0),((T4-W4)+1)-AB4,((T4-W4)+1)-Y4)&gt;0,IF(AND(AC4="TML",AB4&gt;0),((T4-W4)+1)-AB4,((T4-W4)+1)-Y4),0)</f>
        <v>4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400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46312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400</v>
      </c>
      <c r="AJ4" s="188" t="n"/>
      <c r="AK4" s="62" t="str">
        <f>VLOOKUP(D4,'2.Bookinglist'!A:CT,40,FALSE)</f>
        <v>Dharaporn</v>
      </c>
      <c r="AL4" s="60" t="str">
        <f>VLOOKUP(D4,'2.Bookinglist'!A:CW,101,FALSE)</f>
        <v>2026-10-15</v>
      </c>
      <c r="AM4" s="60" t="str">
        <f>VLOOKUP(D4,'2.Bookinglist'!A:BK,63,FALSE)</f>
        <v>BKK27</v>
      </c>
      <c r="AN4" s="62" t="str">
        <f>VLOOKUP(D4,'2.Bookinglist'!A:AZ,52,FALSE)</f>
        <v>Pickup : 2026-10-06, Return : 2026-10-07 [1ST RTN 11/10/2026 W/O RENT]] </v>
      </c>
      <c r="AO4" s="62">
        <f>VLOOKUP(D4,'2.Bookinglist'!A:CY,103,FALSE)</f>
        <v>0</v>
      </c>
    </row>
    <row r="5" ht="12.95" customHeight="1">
      <c r="A5" s="96" t="inlineStr">
        <is>
          <t>GCXU6004304</t>
        </is>
      </c>
      <c r="B5" s="184" t="str">
        <f>IF(C5=Charge!$M$1,Charge!$J$1,IF(C5=Charge!$M$23,Charge!$J$23,IF(C5=Charge!$M$17,Charge!$J$17,IF(C5=Charge!$N$17,Charge!$J$17,Charge!$J$7))))</f>
        <v>G4</v>
      </c>
      <c r="C5" s="61" t="str">
        <f>VLOOKUP(A5,'1.Loading'!A:R,14,FALSE)</f>
        <v>BKK02</v>
      </c>
      <c r="D5" s="61" t="str">
        <f>VLOOKUP(A5,'1.Loading'!A:R,17,FALSE)</f>
        <v>HASLS22260902179</v>
      </c>
      <c r="E5" s="62" t="str">
        <f>VLOOKUP(D5,'2.Bookinglist'!A:CT,27,FALSE)</f>
        <v>BIRLA CARBON (THAILAND) PUBLIC COMPANY LIMITED</v>
      </c>
      <c r="F5" s="62" t="str">
        <f>VLOOKUP(D5,'2.Bookinglist'!A:CT,28,FALSE)</f>
        <v>BIRLA CARBON (THAILAND) PUBLIC COMPANY LIMITED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VNSGN</v>
      </c>
      <c r="J5" s="61">
        <f>VLOOKUP(D5,'2.Bookinglist'!A:CT,26,FALSE)</f>
        <v>0</v>
      </c>
      <c r="K5" s="61" t="str">
        <f>VLOOKUP(A5,'1.Loading'!A:R,5,FALSE)</f>
        <v>45GP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SWBT</v>
      </c>
      <c r="P5" s="61" t="str">
        <f>VLOOKUP(A5,'1.Loading'!A:R,4,FALSE)</f>
        <v>2616N</v>
      </c>
      <c r="Q5" s="61" t="str">
        <f>VLOOKUP(D5,'2.Bookinglist'!A:CT,12,FALSE)</f>
        <v>NTX</v>
      </c>
      <c r="R5" s="60" t="str">
        <f>IF(LEFT(K5,2)="22","20'","40'")</f>
        <v>40'</v>
      </c>
      <c r="S5" s="185" t="n"/>
      <c r="T5" s="61" t="str">
        <f>VLOOKUP(A5,'1.Loading'!A:R,2,FALSE)</f>
        <v>2026-10-16</v>
      </c>
      <c r="U5" s="63">
        <f>T5-S5</f>
        <v>46311</v>
      </c>
      <c r="V5" s="186" t="n"/>
      <c r="W5" s="61" t="str">
        <f>VLOOKUP(A5,'3.GateMove'!A:D,4,FALSE)</f>
        <v>2026-10-08</v>
      </c>
      <c r="X5" s="63">
        <f>((T5-W5)+1)</f>
        <v>9</v>
      </c>
      <c r="Y5" s="64">
        <f>IF(AND(OR(C5="BKK01",C5="BKK04"),L5="CFS/CY"),0,IF(M5="DG",1,IF(LEFT(C5,3)="LCH",7,IF(C5="BKK02",5,3))))</f>
        <v>5</v>
      </c>
      <c r="Z5" s="63">
        <f>IF(IF(AND(AC5="TML",AB5&gt;0),((T5-W5)+1)-AB5,((T5-W5)+1)-Y5)&gt;0,IF(AND(AC5="TML",AB5&gt;0),((T5-W5)+1)-AB5,((T5-W5)+1)-Y5),0)</f>
        <v>4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400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46312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400</v>
      </c>
      <c r="AJ5" s="188" t="n"/>
      <c r="AK5" s="62" t="str">
        <f>VLOOKUP(D5,'2.Bookinglist'!A:CT,40,FALSE)</f>
        <v>Dharaporn</v>
      </c>
      <c r="AL5" s="60" t="str">
        <f>VLOOKUP(D5,'2.Bookinglist'!A:CW,101,FALSE)</f>
        <v>2026-10-15</v>
      </c>
      <c r="AM5" s="60" t="str">
        <f>VLOOKUP(D5,'2.Bookinglist'!A:BK,63,FALSE)</f>
        <v>BKK27</v>
      </c>
      <c r="AN5" s="62" t="str">
        <f>VLOOKUP(D5,'2.Bookinglist'!A:AZ,52,FALSE)</f>
        <v>Pickup : 2026-10-06, Return : 2026-10-07 [1ST RTN 11/10/2026 W/O RENT]] </v>
      </c>
      <c r="AO5" s="62">
        <f>VLOOKUP(D5,'2.Bookinglist'!A:CY,103,FALSE)</f>
        <v>0</v>
      </c>
    </row>
    <row r="6" ht="12.95" customHeight="1">
      <c r="A6" s="96" t="inlineStr">
        <is>
          <t>GCXU6014175</t>
        </is>
      </c>
      <c r="B6" s="184" t="str">
        <f>IF(C6=Charge!$M$1,Charge!$J$1,IF(C6=Charge!$M$23,Charge!$J$23,IF(C6=Charge!$M$17,Charge!$J$17,IF(C6=Charge!$N$17,Charge!$J$17,Charge!$J$7))))</f>
        <v>G4</v>
      </c>
      <c r="C6" s="61" t="str">
        <f>VLOOKUP(A6,'1.Loading'!A:R,14,FALSE)</f>
        <v>BKK02</v>
      </c>
      <c r="D6" s="61" t="str">
        <f>VLOOKUP(A6,'1.Loading'!A:R,17,FALSE)</f>
        <v>HASLS22260902181</v>
      </c>
      <c r="E6" s="62" t="str">
        <f>VLOOKUP(D6,'2.Bookinglist'!A:CT,27,FALSE)</f>
        <v>BIRLA CARBON (THAILAND) PUBLIC COMPANY LIMITED</v>
      </c>
      <c r="F6" s="62" t="str">
        <f>VLOOKUP(D6,'2.Bookinglist'!A:CT,28,FALSE)</f>
        <v>BIRLA CARBON (THAILAND) PUBLIC COMPANY LIMITED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VNSGN</v>
      </c>
      <c r="J6" s="61">
        <f>VLOOKUP(D6,'2.Bookinglist'!A:CT,26,FALSE)</f>
        <v>0</v>
      </c>
      <c r="K6" s="61" t="str">
        <f>VLOOKUP(A6,'1.Loading'!A:R,5,FALSE)</f>
        <v>45GP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SWBT</v>
      </c>
      <c r="P6" s="61" t="str">
        <f>VLOOKUP(A6,'1.Loading'!A:R,4,FALSE)</f>
        <v>2616N</v>
      </c>
      <c r="Q6" s="61" t="str">
        <f>VLOOKUP(D6,'2.Bookinglist'!A:CT,12,FALSE)</f>
        <v>NTX</v>
      </c>
      <c r="R6" s="60" t="str">
        <f>IF(LEFT(K6,2)="22","20'","40'")</f>
        <v>40'</v>
      </c>
      <c r="S6" s="185" t="n"/>
      <c r="T6" s="61" t="str">
        <f>VLOOKUP(A6,'1.Loading'!A:R,2,FALSE)</f>
        <v>2026-10-16</v>
      </c>
      <c r="U6" s="63">
        <f>T6-S6</f>
        <v>46311</v>
      </c>
      <c r="V6" s="186" t="n"/>
      <c r="W6" s="61" t="str">
        <f>VLOOKUP(A6,'3.GateMove'!A:D,4,FALSE)</f>
        <v>2026-10-11</v>
      </c>
      <c r="X6" s="63">
        <f>((T6-W6)+1)</f>
        <v>6</v>
      </c>
      <c r="Y6" s="64">
        <f>IF(AND(OR(C6="BKK01",C6="BKK04"),L6="CFS/CY"),0,IF(M6="DG",1,IF(LEFT(C6,3)="LCH",7,IF(C6="BKK02",5,3))))</f>
        <v>5</v>
      </c>
      <c r="Z6" s="63">
        <f>IF(IF(AND(AC6="TML",AB6&gt;0),((T6-W6)+1)-AB6,((T6-W6)+1)-Y6)&gt;0,IF(AND(AC6="TML",AB6&gt;0),((T6-W6)+1)-AB6,((T6-W6)+1)-Y6),0)</f>
        <v>1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100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46312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100</v>
      </c>
      <c r="AJ6" s="188" t="n"/>
      <c r="AK6" s="62" t="str">
        <f>VLOOKUP(D6,'2.Bookinglist'!A:CT,40,FALSE)</f>
        <v>Dharaporn</v>
      </c>
      <c r="AL6" s="60" t="str">
        <f>VLOOKUP(D6,'2.Bookinglist'!A:CW,101,FALSE)</f>
        <v>2026-10-15</v>
      </c>
      <c r="AM6" s="60" t="str">
        <f>VLOOKUP(D6,'2.Bookinglist'!A:BK,63,FALSE)</f>
        <v>BKK27</v>
      </c>
      <c r="AN6" s="62" t="str">
        <f>VLOOKUP(D6,'2.Bookinglist'!A:AZ,52,FALSE)</f>
        <v>Pickup : 2026-10-06, Return : 2026-10-07 [1ST RTN 11/10/2026 W/O RENT]]
</v>
      </c>
      <c r="AO6" s="62">
        <f>VLOOKUP(D6,'2.Bookinglist'!A:CY,103,FALSE)</f>
        <v>0</v>
      </c>
    </row>
    <row r="7" ht="12.95" customHeight="1">
      <c r="A7" s="96" t="inlineStr">
        <is>
          <t>HALU2354046</t>
        </is>
      </c>
      <c r="B7" s="184" t="str">
        <f>IF(C7=Charge!$M$1,Charge!$J$1,IF(C7=Charge!$M$23,Charge!$J$23,IF(C7=Charge!$M$17,Charge!$J$17,IF(C7=Charge!$N$17,Charge!$J$17,Charge!$J$7))))</f>
        <v>G4</v>
      </c>
      <c r="C7" s="61" t="str">
        <f>VLOOKUP(A7,'1.Loading'!A:R,14,FALSE)</f>
        <v>BKK02</v>
      </c>
      <c r="D7" s="61" t="str">
        <f>VLOOKUP(A7,'1.Loading'!A:R,17,FALSE)</f>
        <v>HASLS22260902001</v>
      </c>
      <c r="E7" s="62" t="str">
        <f>VLOOKUP(D7,'2.Bookinglist'!A:CT,27,FALSE)</f>
        <v>PRIME LOGISTICS INTERNATIONAL CO., LTD.</v>
      </c>
      <c r="F7" s="62" t="str">
        <f>VLOOKUP(D7,'2.Bookinglist'!A:CT,28,FALSE)</f>
        <v>ROYAL CAN INDUSTRIES CO., LTD.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VNSGN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SWBT</v>
      </c>
      <c r="P7" s="61" t="str">
        <f>VLOOKUP(A7,'1.Loading'!A:R,4,FALSE)</f>
        <v>2616N</v>
      </c>
      <c r="Q7" s="61" t="str">
        <f>VLOOKUP(D7,'2.Bookinglist'!A:CT,12,FALSE)</f>
        <v>NTX</v>
      </c>
      <c r="R7" s="60" t="str">
        <f>IF(LEFT(K7,2)="22","20'","40'")</f>
        <v>20'</v>
      </c>
      <c r="S7" s="185" t="n"/>
      <c r="T7" s="61" t="str">
        <f>VLOOKUP(A7,'1.Loading'!A:R,2,FALSE)</f>
        <v>2026-10-16</v>
      </c>
      <c r="U7" s="63">
        <f>T7-S7</f>
        <v>46311</v>
      </c>
      <c r="V7" s="186" t="n"/>
      <c r="W7" s="61" t="str">
        <f>VLOOKUP(A7,'3.GateMove'!A:D,4,FALSE)</f>
        <v>2026-10-09</v>
      </c>
      <c r="X7" s="63">
        <f>((T7-W7)+1)</f>
        <v>8</v>
      </c>
      <c r="Y7" s="64">
        <f>IF(AND(OR(C7="BKK01",C7="BKK04"),L7="CFS/CY"),0,IF(M7="DG",1,IF(LEFT(C7,3)="LCH",7,IF(C7="BKK02",5,3))))</f>
        <v>5</v>
      </c>
      <c r="Z7" s="63">
        <f>IF(IF(AND(AC7="TML",AB7&gt;0),((T7-W7)+1)-AB7,((T7-W7)+1)-Y7)&gt;0,IF(AND(AC7="TML",AB7&gt;0),((T7-W7)+1)-AB7,((T7-W7)+1)-Y7),0)</f>
        <v>3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150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46312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150</v>
      </c>
      <c r="AJ7" s="188" t="n"/>
      <c r="AK7" s="62" t="str">
        <f>VLOOKUP(D7,'2.Bookinglist'!A:CT,40,FALSE)</f>
        <v>Nannaapust Sukporntaweewat</v>
      </c>
      <c r="AL7" s="60" t="str">
        <f>VLOOKUP(D7,'2.Bookinglist'!A:CW,101,FALSE)</f>
        <v>2026-10-12</v>
      </c>
      <c r="AM7" s="60" t="str">
        <f>VLOOKUP(D7,'2.Bookinglist'!A:BK,63,FALSE)</f>
        <v>BKK25</v>
      </c>
      <c r="AN7" s="62" t="str">
        <f>VLOOKUP(D7,'2.Bookinglist'!A:AZ,52,FALSE)</f>
        <v>Pickup : 2026-10-08, Return : 2026-10-09 
 </v>
      </c>
      <c r="AO7" s="62">
        <f>VLOOKUP(D7,'2.Bookinglist'!A:CY,103,FALSE)</f>
        <v>0</v>
      </c>
    </row>
    <row r="8" ht="12.95" customHeight="1">
      <c r="A8" s="96" t="inlineStr">
        <is>
          <t>HALU2404276</t>
        </is>
      </c>
      <c r="B8" s="184" t="str">
        <f>IF(C8=Charge!$M$1,Charge!$J$1,IF(C8=Charge!$M$23,Charge!$J$23,IF(C8=Charge!$M$17,Charge!$J$17,IF(C8=Charge!$N$17,Charge!$J$17,Charge!$J$7))))</f>
        <v>G4</v>
      </c>
      <c r="C8" s="61" t="str">
        <f>VLOOKUP(A8,'1.Loading'!A:R,14,FALSE)</f>
        <v>BKK02</v>
      </c>
      <c r="D8" s="61" t="str">
        <f>VLOOKUP(A8,'1.Loading'!A:R,17,FALSE)</f>
        <v>HASLS22260902493</v>
      </c>
      <c r="E8" s="62" t="str">
        <f>VLOOKUP(D8,'2.Bookinglist'!A:CT,27,FALSE)</f>
        <v>PACIFIC STAR ALLIANCE CO., LTD.</v>
      </c>
      <c r="F8" s="62" t="str">
        <f>VLOOKUP(D8,'2.Bookinglist'!A:CT,28,FALSE)</f>
        <v>WIN CHANCE INDUSTRIES CO.,LTD.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VNSGN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SWBT</v>
      </c>
      <c r="P8" s="61" t="str">
        <f>VLOOKUP(A8,'1.Loading'!A:R,4,FALSE)</f>
        <v>2616N</v>
      </c>
      <c r="Q8" s="61" t="str">
        <f>VLOOKUP(D8,'2.Bookinglist'!A:CT,12,FALSE)</f>
        <v>NTX</v>
      </c>
      <c r="R8" s="60" t="str">
        <f>IF(LEFT(K8,2)="22","20'","40'")</f>
        <v>20'</v>
      </c>
      <c r="S8" s="185" t="n"/>
      <c r="T8" s="61" t="str">
        <f>VLOOKUP(A8,'1.Loading'!A:R,2,FALSE)</f>
        <v>2026-10-16</v>
      </c>
      <c r="U8" s="63">
        <f>T8-S8</f>
        <v>46311</v>
      </c>
      <c r="V8" s="186" t="n"/>
      <c r="W8" s="61" t="str">
        <f>VLOOKUP(A8,'3.GateMove'!A:D,4,FALSE)</f>
        <v>2026-10-12</v>
      </c>
      <c r="X8" s="63">
        <f>((T8-W8)+1)</f>
        <v>5</v>
      </c>
      <c r="Y8" s="64">
        <f>IF(AND(OR(C8="BKK01",C8="BKK04"),L8="CFS/CY"),0,IF(M8="DG",1,IF(LEFT(C8,3)="LCH",7,IF(C8="BKK02",5,3))))</f>
        <v>5</v>
      </c>
      <c r="Z8" s="63">
        <f>IF(IF(AND(AC8="TML",AB8&gt;0),((T8-W8)+1)-AB8,((T8-W8)+1)-Y8)&gt;0,IF(AND(AC8="TML",AB8&gt;0),((T8-W8)+1)-AB8,((T8-W8)+1)-Y8),0)</f>
        <v>0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46312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0</v>
      </c>
      <c r="AJ8" s="188" t="n"/>
      <c r="AK8" s="62" t="str">
        <f>VLOOKUP(D8,'2.Bookinglist'!A:CT,40,FALSE)</f>
        <v>Kanokporn</v>
      </c>
      <c r="AL8" s="60" t="str">
        <f>VLOOKUP(D8,'2.Bookinglist'!A:CW,101,FALSE)</f>
        <v>2026-10-16</v>
      </c>
      <c r="AM8" s="60" t="str">
        <f>VLOOKUP(D8,'2.Bookinglist'!A:BK,63,FALSE)</f>
        <v>BKK27</v>
      </c>
      <c r="AN8" s="62" t="str">
        <f>VLOOKUP(D8,'2.Bookinglist'!A:AZ,52,FALSE)</f>
        <v>Pickup : 2026-10-12, Return : 2026-10-12 // EXTEND CLS TIME 12/10 223.59 
 </v>
      </c>
      <c r="AO8" s="62" t="str">
        <f>VLOOKUP(D8,'2.Bookinglist'!A:CY,103,FALSE)</f>
        <v>ROLL OVER FORM PREIVOUS VSL PGPO 2612N BY ALLOCATION TEAM MS.TAN APPROVED COST IS UNDER HA DD.13/10</v>
      </c>
    </row>
    <row r="9" ht="12.95" customHeight="1">
      <c r="A9" s="96" t="inlineStr">
        <is>
          <t>HALU2433037</t>
        </is>
      </c>
      <c r="B9" s="184" t="str">
        <f>IF(C9=Charge!$M$1,Charge!$J$1,IF(C9=Charge!$M$23,Charge!$J$23,IF(C9=Charge!$M$17,Charge!$J$17,IF(C9=Charge!$N$17,Charge!$J$17,Charge!$J$7))))</f>
        <v>G4</v>
      </c>
      <c r="C9" s="61" t="str">
        <f>VLOOKUP(A9,'1.Loading'!A:R,14,FALSE)</f>
        <v>BKK02</v>
      </c>
      <c r="D9" s="61" t="str">
        <f>VLOOKUP(A9,'1.Loading'!A:R,17,FALSE)</f>
        <v>HASLS22260902158</v>
      </c>
      <c r="E9" s="62" t="str">
        <f>VLOOKUP(D9,'2.Bookinglist'!A:CT,27,FALSE)</f>
        <v>ICONS GLOBAL LOGISTICS CO., LTD.</v>
      </c>
      <c r="F9" s="62" t="str">
        <f>VLOOKUP(D9,'2.Bookinglist'!A:CT,28,FALSE)</f>
        <v>THANAKORN VEGETABLE OIL PRODUCTS CO., LTD.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VNSGN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SWBT</v>
      </c>
      <c r="P9" s="61" t="str">
        <f>VLOOKUP(A9,'1.Loading'!A:R,4,FALSE)</f>
        <v>2616N</v>
      </c>
      <c r="Q9" s="61" t="str">
        <f>VLOOKUP(D9,'2.Bookinglist'!A:CT,12,FALSE)</f>
        <v>NTX</v>
      </c>
      <c r="R9" s="60" t="str">
        <f>IF(LEFT(K9,2)="22","20'","40'")</f>
        <v>20'</v>
      </c>
      <c r="S9" s="185" t="n"/>
      <c r="T9" s="61" t="str">
        <f>VLOOKUP(A9,'1.Loading'!A:R,2,FALSE)</f>
        <v>2026-10-16</v>
      </c>
      <c r="U9" s="63">
        <f>T9-S9</f>
        <v>46311</v>
      </c>
      <c r="V9" s="186" t="n"/>
      <c r="W9" s="61" t="str">
        <f>VLOOKUP(A9,'3.GateMove'!A:D,4,FALSE)</f>
        <v>2026-10-10</v>
      </c>
      <c r="X9" s="63">
        <f>((T9-W9)+1)</f>
        <v>7</v>
      </c>
      <c r="Y9" s="64">
        <f>IF(AND(OR(C9="BKK01",C9="BKK04"),L9="CFS/CY"),0,IF(M9="DG",1,IF(LEFT(C9,3)="LCH",7,IF(C9="BKK02",5,3))))</f>
        <v>5</v>
      </c>
      <c r="Z9" s="63">
        <f>IF(IF(AND(AC9="TML",AB9&gt;0),((T9-W9)+1)-AB9,((T9-W9)+1)-Y9)&gt;0,IF(AND(AC9="TML",AB9&gt;0),((T9-W9)+1)-AB9,((T9-W9)+1)-Y9),0)</f>
        <v>2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100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46312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100</v>
      </c>
      <c r="AJ9" s="188" t="n"/>
      <c r="AK9" s="62" t="str">
        <f>VLOOKUP(D9,'2.Bookinglist'!A:CT,40,FALSE)</f>
        <v>Dharaporn</v>
      </c>
      <c r="AL9" s="60" t="str">
        <f>VLOOKUP(D9,'2.Bookinglist'!A:CW,101,FALSE)</f>
        <v>2026-10-12</v>
      </c>
      <c r="AM9" s="60" t="str">
        <f>VLOOKUP(D9,'2.Bookinglist'!A:BK,63,FALSE)</f>
        <v>BKK27</v>
      </c>
      <c r="AN9" s="62" t="str">
        <f>VLOOKUP(D9,'2.Bookinglist'!A:AZ,52,FALSE)</f>
        <v>** APPROVED BY GHL DD.23/09/2026 ** *FLEXIBAG ONDECK*
Survey : 2026-10-07, Pickup : 2026-10-08, Return : 2026-10-09</v>
      </c>
      <c r="AO9" s="62">
        <f>VLOOKUP(D9,'2.Bookinglist'!A:CY,103,FALSE)</f>
        <v>0</v>
      </c>
    </row>
    <row r="10" ht="12.95" customHeight="1">
      <c r="A10" s="96" t="inlineStr">
        <is>
          <t>HALU2455416</t>
        </is>
      </c>
      <c r="B10" s="184" t="str">
        <f>IF(C10=Charge!$M$1,Charge!$J$1,IF(C10=Charge!$M$23,Charge!$J$23,IF(C10=Charge!$M$17,Charge!$J$17,IF(C10=Charge!$N$17,Charge!$J$17,Charge!$J$7))))</f>
        <v>G4</v>
      </c>
      <c r="C10" s="61" t="str">
        <f>VLOOKUP(A10,'1.Loading'!A:R,14,FALSE)</f>
        <v>BKK02</v>
      </c>
      <c r="D10" s="61" t="str">
        <f>VLOOKUP(A10,'1.Loading'!A:R,17,FALSE)</f>
        <v>HASLS22260902158</v>
      </c>
      <c r="E10" s="62" t="str">
        <f>VLOOKUP(D10,'2.Bookinglist'!A:CT,27,FALSE)</f>
        <v>ICONS GLOBAL LOGISTICS CO., LTD.</v>
      </c>
      <c r="F10" s="62" t="str">
        <f>VLOOKUP(D10,'2.Bookinglist'!A:CT,28,FALSE)</f>
        <v>THANAKORN VEGETABLE OIL PRODUCTS CO., LTD.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VNSGN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SWBT</v>
      </c>
      <c r="P10" s="61" t="str">
        <f>VLOOKUP(A10,'1.Loading'!A:R,4,FALSE)</f>
        <v>2616N</v>
      </c>
      <c r="Q10" s="61" t="str">
        <f>VLOOKUP(D10,'2.Bookinglist'!A:CT,12,FALSE)</f>
        <v>NTX</v>
      </c>
      <c r="R10" s="60" t="str">
        <f>IF(LEFT(K10,2)="22","20'","40'")</f>
        <v>20'</v>
      </c>
      <c r="S10" s="185" t="n"/>
      <c r="T10" s="61" t="str">
        <f>VLOOKUP(A10,'1.Loading'!A:R,2,FALSE)</f>
        <v>2026-10-16</v>
      </c>
      <c r="U10" s="63">
        <f>T10-S10</f>
        <v>46311</v>
      </c>
      <c r="V10" s="186" t="n"/>
      <c r="W10" s="61" t="str">
        <f>VLOOKUP(A10,'3.GateMove'!A:D,4,FALSE)</f>
        <v>2026-10-10</v>
      </c>
      <c r="X10" s="63">
        <f>((T10-W10)+1)</f>
        <v>7</v>
      </c>
      <c r="Y10" s="64">
        <f>IF(AND(OR(C10="BKK01",C10="BKK04"),L10="CFS/CY"),0,IF(M10="DG",1,IF(LEFT(C10,3)="LCH",7,IF(C10="BKK02",5,3))))</f>
        <v>5</v>
      </c>
      <c r="Z10" s="63">
        <f>IF(IF(AND(AC10="TML",AB10&gt;0),((T10-W10)+1)-AB10,((T10-W10)+1)-Y10)&gt;0,IF(AND(AC10="TML",AB10&gt;0),((T10-W10)+1)-AB10,((T10-W10)+1)-Y10),0)</f>
        <v>2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100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46312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100</v>
      </c>
      <c r="AJ10" s="188" t="n"/>
      <c r="AK10" s="62" t="str">
        <f>VLOOKUP(D10,'2.Bookinglist'!A:CT,40,FALSE)</f>
        <v>Dharaporn</v>
      </c>
      <c r="AL10" s="60" t="str">
        <f>VLOOKUP(D10,'2.Bookinglist'!A:CW,101,FALSE)</f>
        <v>2026-10-12</v>
      </c>
      <c r="AM10" s="60" t="str">
        <f>VLOOKUP(D10,'2.Bookinglist'!A:BK,63,FALSE)</f>
        <v>BKK27</v>
      </c>
      <c r="AN10" s="62" t="str">
        <f>VLOOKUP(D10,'2.Bookinglist'!A:AZ,52,FALSE)</f>
        <v>** APPROVED BY GHL DD.23/09/2026 ** *FLEXIBAG ONDECK*
Survey : 2026-10-07, Pickup : 2026-10-08, Return : 2026-10-09</v>
      </c>
      <c r="AO10" s="62">
        <f>VLOOKUP(D10,'2.Bookinglist'!A:CY,103,FALSE)</f>
        <v>0</v>
      </c>
    </row>
    <row r="11" ht="12.95" customHeight="1">
      <c r="A11" s="96" t="inlineStr">
        <is>
          <t>HALU2561228</t>
        </is>
      </c>
      <c r="B11" s="184" t="str">
        <f>IF(C11=Charge!$M$1,Charge!$J$1,IF(C11=Charge!$M$23,Charge!$J$23,IF(C11=Charge!$M$17,Charge!$J$17,IF(C11=Charge!$N$17,Charge!$J$17,Charge!$J$7))))</f>
        <v>G4</v>
      </c>
      <c r="C11" s="61" t="str">
        <f>VLOOKUP(A11,'1.Loading'!A:R,14,FALSE)</f>
        <v>BKK02</v>
      </c>
      <c r="D11" s="61" t="str">
        <f>VLOOKUP(A11,'1.Loading'!A:R,17,FALSE)</f>
        <v>HASLS22261000079</v>
      </c>
      <c r="E11" s="62" t="str">
        <f>VLOOKUP(D11,'2.Bookinglist'!A:CT,27,FALSE)</f>
        <v>EAST-LINK CORPORATION CO., LTD.</v>
      </c>
      <c r="F11" s="62" t="str">
        <f>VLOOKUP(D11,'2.Bookinglist'!A:CT,28,FALSE)</f>
        <v>NARA GLOBALCO., LTD.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VNSGN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SWBT</v>
      </c>
      <c r="P11" s="61" t="str">
        <f>VLOOKUP(A11,'1.Loading'!A:R,4,FALSE)</f>
        <v>2616N</v>
      </c>
      <c r="Q11" s="61" t="str">
        <f>VLOOKUP(D11,'2.Bookinglist'!A:CT,12,FALSE)</f>
        <v>NTX</v>
      </c>
      <c r="R11" s="60" t="str">
        <f>IF(LEFT(K11,2)="22","20'","40'")</f>
        <v>20'</v>
      </c>
      <c r="S11" s="185" t="n"/>
      <c r="T11" s="61" t="str">
        <f>VLOOKUP(A11,'1.Loading'!A:R,2,FALSE)</f>
        <v>2026-10-16</v>
      </c>
      <c r="U11" s="63">
        <f>T11-S11</f>
        <v>46311</v>
      </c>
      <c r="V11" s="186" t="n"/>
      <c r="W11" s="61" t="str">
        <f>VLOOKUP(A11,'3.GateMove'!A:D,4,FALSE)</f>
        <v>2026-10-11</v>
      </c>
      <c r="X11" s="63">
        <f>((T11-W11)+1)</f>
        <v>6</v>
      </c>
      <c r="Y11" s="64">
        <f>IF(AND(OR(C11="BKK01",C11="BKK04"),L11="CFS/CY"),0,IF(M11="DG",1,IF(LEFT(C11,3)="LCH",7,IF(C11="BKK02",5,3))))</f>
        <v>5</v>
      </c>
      <c r="Z11" s="63">
        <f>IF(IF(AND(AC11="TML",AB11&gt;0),((T11-W11)+1)-AB11,((T11-W11)+1)-Y11)&gt;0,IF(AND(AC11="TML",AB11&gt;0),((T11-W11)+1)-AB11,((T11-W11)+1)-Y11),0)</f>
        <v>1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50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46312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50</v>
      </c>
      <c r="AJ11" s="188" t="n"/>
      <c r="AK11" s="62" t="str">
        <f>VLOOKUP(D11,'2.Bookinglist'!A:CT,40,FALSE)</f>
        <v>Dharaporn</v>
      </c>
      <c r="AL11" s="60" t="str">
        <f>VLOOKUP(D11,'2.Bookinglist'!A:CW,101,FALSE)</f>
        <v>2026-10-14</v>
      </c>
      <c r="AM11" s="60" t="str">
        <f>VLOOKUP(D11,'2.Bookinglist'!A:BK,63,FALSE)</f>
        <v>BKK27</v>
      </c>
      <c r="AN11" s="62" t="str">
        <f>VLOOKUP(D11,'2.Bookinglist'!A:AZ,52,FALSE)</f>
        <v>Pickup : 2026-10-09, Return : 2026-10-10 (1ST RTN DD: 11/10/26 WO/RENT)</v>
      </c>
      <c r="AO11" s="62">
        <f>VLOOKUP(D11,'2.Bookinglist'!A:CY,103,FALSE)</f>
        <v>0</v>
      </c>
    </row>
    <row r="12" ht="12.95" customHeight="1">
      <c r="A12" s="96" t="inlineStr">
        <is>
          <t>HALU2561260</t>
        </is>
      </c>
      <c r="B12" s="184" t="str">
        <f>IF(C12=Charge!$M$1,Charge!$J$1,IF(C12=Charge!$M$23,Charge!$J$23,IF(C12=Charge!$M$17,Charge!$J$17,IF(C12=Charge!$N$17,Charge!$J$17,Charge!$J$7))))</f>
        <v>G4</v>
      </c>
      <c r="C12" s="61" t="str">
        <f>VLOOKUP(A12,'1.Loading'!A:R,14,FALSE)</f>
        <v>BKK02</v>
      </c>
      <c r="D12" s="61" t="str">
        <f>VLOOKUP(A12,'1.Loading'!A:R,17,FALSE)</f>
        <v>HASLS22260601488</v>
      </c>
      <c r="E12" s="62" t="str">
        <f>VLOOKUP(D12,'2.Bookinglist'!A:CT,27,FALSE)</f>
        <v>BILLION LOGISTICS CO., LTD.</v>
      </c>
      <c r="F12" s="62" t="str">
        <f>VLOOKUP(D12,'2.Bookinglist'!A:CT,28,FALSE)</f>
        <v>NEWLY WEDS FOODS (THAILAND) LIMITED</v>
      </c>
      <c r="G12" s="60">
        <f>VLOOKUP(D12,'2.Bookinglist'!A:E,5,FALSE)</f>
        <v>0</v>
      </c>
      <c r="H12" s="61" t="str">
        <f>VLOOKUP(D12,'2.Bookinglist'!A:CT,15,FALSE)</f>
        <v>THBKK</v>
      </c>
      <c r="I12" s="61" t="str">
        <f>VLOOKUP(D12,'2.Bookinglist'!A:CT,19,FALSE)</f>
        <v>VNSGN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SWBT</v>
      </c>
      <c r="P12" s="61" t="str">
        <f>VLOOKUP(A12,'1.Loading'!A:R,4,FALSE)</f>
        <v>2616N</v>
      </c>
      <c r="Q12" s="61" t="str">
        <f>VLOOKUP(D12,'2.Bookinglist'!A:CT,12,FALSE)</f>
        <v>NTX</v>
      </c>
      <c r="R12" s="60" t="str">
        <f>IF(LEFT(K12,2)="22","20'","40'")</f>
        <v>20'</v>
      </c>
      <c r="S12" s="185" t="n"/>
      <c r="T12" s="61" t="str">
        <f>VLOOKUP(A12,'1.Loading'!A:R,2,FALSE)</f>
        <v>2026-10-16</v>
      </c>
      <c r="U12" s="63">
        <f>T12-S12</f>
        <v>46311</v>
      </c>
      <c r="V12" s="186" t="n"/>
      <c r="W12" s="61" t="str">
        <f>VLOOKUP(A12,'3.GateMove'!A:D,4,FALSE)</f>
        <v>2026-10-12</v>
      </c>
      <c r="X12" s="63">
        <f>((T12-W12)+1)</f>
        <v>5</v>
      </c>
      <c r="Y12" s="64">
        <f>IF(AND(OR(C12="BKK01",C12="BKK04"),L12="CFS/CY"),0,IF(M12="DG",1,IF(LEFT(C12,3)="LCH",7,IF(C12="BKK02",5,3))))</f>
        <v>5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46312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Vilaiporn</v>
      </c>
      <c r="AL12" s="60" t="str">
        <f>VLOOKUP(D12,'2.Bookinglist'!A:CW,101,FALSE)</f>
        <v>2026-10-15</v>
      </c>
      <c r="AM12" s="60" t="str">
        <f>VLOOKUP(D12,'2.Bookinglist'!A:BK,63,FALSE)</f>
        <v>BKK27</v>
      </c>
      <c r="AN12" s="62" t="str">
        <f>VLOOKUP(D12,'2.Bookinglist'!A:AZ,52,FALSE)</f>
        <v>Pickup : 2026-10-10, Return : 2026-10-12</v>
      </c>
      <c r="AO12" s="62">
        <f>VLOOKUP(D12,'2.Bookinglist'!A:CY,103,FALSE)</f>
        <v>0</v>
      </c>
    </row>
    <row r="13" ht="12.95" customHeight="1">
      <c r="A13" s="96" t="inlineStr">
        <is>
          <t>HALU2562369</t>
        </is>
      </c>
      <c r="B13" s="184" t="str">
        <f>IF(C13=Charge!$M$1,Charge!$J$1,IF(C13=Charge!$M$23,Charge!$J$23,IF(C13=Charge!$M$17,Charge!$J$17,IF(C13=Charge!$N$17,Charge!$J$17,Charge!$J$7))))</f>
        <v>G4</v>
      </c>
      <c r="C13" s="61" t="str">
        <f>VLOOKUP(A13,'1.Loading'!A:R,14,FALSE)</f>
        <v>BKK02</v>
      </c>
      <c r="D13" s="61" t="str">
        <f>VLOOKUP(A13,'1.Loading'!A:R,17,FALSE)</f>
        <v>HASLS22261000719</v>
      </c>
      <c r="E13" s="62" t="str">
        <f>VLOOKUP(D13,'2.Bookinglist'!A:CT,27,FALSE)</f>
        <v>BILLION LOGISTICS CO., LTD.</v>
      </c>
      <c r="F13" s="62" t="str">
        <f>VLOOKUP(D13,'2.Bookinglist'!A:CT,28,FALSE)</f>
        <v>NEWLY WEDS FOODS (THAILAND) LIMITED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VNSGN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SWBT</v>
      </c>
      <c r="P13" s="61" t="str">
        <f>VLOOKUP(A13,'1.Loading'!A:R,4,FALSE)</f>
        <v>2616N</v>
      </c>
      <c r="Q13" s="61" t="str">
        <f>VLOOKUP(D13,'2.Bookinglist'!A:CT,12,FALSE)</f>
        <v>NTX</v>
      </c>
      <c r="R13" s="60" t="str">
        <f>IF(LEFT(K13,2)="22","20'","40'")</f>
        <v>20'</v>
      </c>
      <c r="S13" s="185" t="n"/>
      <c r="T13" s="61" t="str">
        <f>VLOOKUP(A13,'1.Loading'!A:R,2,FALSE)</f>
        <v>2026-10-16</v>
      </c>
      <c r="U13" s="63">
        <f>T13-S13</f>
        <v>46311</v>
      </c>
      <c r="V13" s="186" t="n"/>
      <c r="W13" s="61" t="str">
        <f>VLOOKUP(A13,'3.GateMove'!A:D,4,FALSE)</f>
        <v>2026-10-14</v>
      </c>
      <c r="X13" s="63">
        <f>((T13-W13)+1)</f>
        <v>3</v>
      </c>
      <c r="Y13" s="64">
        <f>IF(AND(OR(C13="BKK01",C13="BKK04"),L13="CFS/CY"),0,IF(M13="DG",1,IF(LEFT(C13,3)="LCH",7,IF(C13="BKK02",5,3))))</f>
        <v>5</v>
      </c>
      <c r="Z13" s="63">
        <f>IF(IF(AND(AC13="TML",AB13&gt;0),((T13-W13)+1)-AB13,((T13-W13)+1)-Y13)&gt;0,IF(AND(AC13="TML",AB13&gt;0),((T13-W13)+1)-AB13,((T13-W13)+1)-Y13),0)</f>
        <v>0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46312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0</v>
      </c>
      <c r="AJ13" s="188" t="n"/>
      <c r="AK13" s="62" t="str">
        <f>VLOOKUP(D13,'2.Bookinglist'!A:CT,40,FALSE)</f>
        <v>Vilaiporn</v>
      </c>
      <c r="AL13" s="60" t="str">
        <f>VLOOKUP(D13,'2.Bookinglist'!A:CW,101,FALSE)</f>
        <v>2026-10-15</v>
      </c>
      <c r="AM13" s="60" t="str">
        <f>VLOOKUP(D13,'2.Bookinglist'!A:BK,63,FALSE)</f>
        <v>BKK27</v>
      </c>
      <c r="AN13" s="62" t="str">
        <f>VLOOKUP(D13,'2.Bookinglist'!A:AZ,52,FALSE)</f>
        <v>Pickup : 2026-10-12, Return : 2026-10-14 (13/10 HOLIDAY)
closing time to 14 Oct at 23:59 pm</v>
      </c>
      <c r="AO13" s="62">
        <f>VLOOKUP(D13,'2.Bookinglist'!A:CY,103,FALSE)</f>
        <v>0</v>
      </c>
    </row>
    <row r="14" ht="12.95" customHeight="1">
      <c r="A14" s="96" t="inlineStr">
        <is>
          <t>HLHU6412784</t>
        </is>
      </c>
      <c r="B14" s="184" t="str">
        <f>IF(C14=Charge!$M$1,Charge!$J$1,IF(C14=Charge!$M$23,Charge!$J$23,IF(C14=Charge!$M$17,Charge!$J$17,IF(C14=Charge!$N$17,Charge!$J$17,Charge!$J$7))))</f>
        <v>G4</v>
      </c>
      <c r="C14" s="61" t="str">
        <f>VLOOKUP(A14,'1.Loading'!A:R,14,FALSE)</f>
        <v>BKK02</v>
      </c>
      <c r="D14" s="61" t="str">
        <f>VLOOKUP(A14,'1.Loading'!A:R,17,FALSE)</f>
        <v>HASLS22261000226</v>
      </c>
      <c r="E14" s="62" t="str">
        <f>VLOOKUP(D14,'2.Bookinglist'!A:CT,27,FALSE)</f>
        <v>CTI LOGISTICS CO., LTD.</v>
      </c>
      <c r="F14" s="62" t="str">
        <f>VLOOKUP(D14,'2.Bookinglist'!A:CT,28,FALSE)</f>
        <v>AT CHIC CO.,LTD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VNSGN</v>
      </c>
      <c r="J14" s="61">
        <f>VLOOKUP(D14,'2.Bookinglist'!A:CT,26,FALSE)</f>
        <v>0</v>
      </c>
      <c r="K14" s="61" t="str">
        <f>VLOOKUP(A14,'1.Loading'!A:R,5,FALSE)</f>
        <v>45GP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SWBT</v>
      </c>
      <c r="P14" s="61" t="str">
        <f>VLOOKUP(A14,'1.Loading'!A:R,4,FALSE)</f>
        <v>2616N</v>
      </c>
      <c r="Q14" s="61" t="str">
        <f>VLOOKUP(D14,'2.Bookinglist'!A:CT,12,FALSE)</f>
        <v>NTX</v>
      </c>
      <c r="R14" s="60" t="str">
        <f>IF(LEFT(K14,2)="22","20'","40'")</f>
        <v>40'</v>
      </c>
      <c r="S14" s="185" t="n"/>
      <c r="T14" s="61" t="str">
        <f>VLOOKUP(A14,'1.Loading'!A:R,2,FALSE)</f>
        <v>2026-10-16</v>
      </c>
      <c r="U14" s="63">
        <f>T14-S14</f>
        <v>46311</v>
      </c>
      <c r="V14" s="186" t="n"/>
      <c r="W14" s="61" t="str">
        <f>VLOOKUP(A14,'3.GateMove'!A:D,4,FALSE)</f>
        <v>2026-10-12</v>
      </c>
      <c r="X14" s="63">
        <f>((T14-W14)+1)</f>
        <v>5</v>
      </c>
      <c r="Y14" s="64">
        <f>IF(AND(OR(C14="BKK01",C14="BKK04"),L14="CFS/CY"),0,IF(M14="DG",1,IF(LEFT(C14,3)="LCH",7,IF(C14="BKK02",5,3))))</f>
        <v>5</v>
      </c>
      <c r="Z14" s="63">
        <f>IF(IF(AND(AC14="TML",AB14&gt;0),((T14-W14)+1)-AB14,((T14-W14)+1)-Y14)&gt;0,IF(AND(AC14="TML",AB14&gt;0),((T14-W14)+1)-AB14,((T14-W14)+1)-Y14),0)</f>
        <v>0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46312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0</v>
      </c>
      <c r="AJ14" s="188" t="n"/>
      <c r="AK14" s="62" t="str">
        <f>VLOOKUP(D14,'2.Bookinglist'!A:CT,40,FALSE)</f>
        <v>Vilaiporn</v>
      </c>
      <c r="AL14" s="60" t="str">
        <f>VLOOKUP(D14,'2.Bookinglist'!A:CW,101,FALSE)</f>
        <v>2026-10-15</v>
      </c>
      <c r="AM14" s="60" t="str">
        <f>VLOOKUP(D14,'2.Bookinglist'!A:BK,63,FALSE)</f>
        <v>BKK27</v>
      </c>
      <c r="AN14" s="62" t="str">
        <f>VLOOKUP(D14,'2.Bookinglist'!A:AZ,52,FALSE)</f>
        <v>Pickup : 2026-10-10, Return : 2026-10-12 
</v>
      </c>
      <c r="AO14" s="62">
        <f>VLOOKUP(D14,'2.Bookinglist'!A:CY,103,FALSE)</f>
        <v>0</v>
      </c>
    </row>
    <row r="15" ht="12.95" customHeight="1">
      <c r="A15" s="96" t="inlineStr">
        <is>
          <t>HLHU8105750</t>
        </is>
      </c>
      <c r="B15" s="184" t="str">
        <f>IF(C15=Charge!$M$1,Charge!$J$1,IF(C15=Charge!$M$23,Charge!$J$23,IF(C15=Charge!$M$17,Charge!$J$17,IF(C15=Charge!$N$17,Charge!$J$17,Charge!$J$7))))</f>
        <v>G4</v>
      </c>
      <c r="C15" s="61" t="str">
        <f>VLOOKUP(A15,'1.Loading'!A:R,14,FALSE)</f>
        <v>BKK02</v>
      </c>
      <c r="D15" s="61" t="str">
        <f>VLOOKUP(A15,'1.Loading'!A:R,17,FALSE)</f>
        <v>HASLS22260902181</v>
      </c>
      <c r="E15" s="62" t="str">
        <f>VLOOKUP(D15,'2.Bookinglist'!A:CT,27,FALSE)</f>
        <v>BIRLA CARBON (THAILAND) PUBLIC COMPANY LIMITED</v>
      </c>
      <c r="F15" s="62" t="str">
        <f>VLOOKUP(D15,'2.Bookinglist'!A:CT,28,FALSE)</f>
        <v>BIRLA CARBON (THAILAND) PUBLIC COMPANY LIMITED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VNSGN</v>
      </c>
      <c r="J15" s="61">
        <f>VLOOKUP(D15,'2.Bookinglist'!A:CT,26,FALSE)</f>
        <v>0</v>
      </c>
      <c r="K15" s="61" t="str">
        <f>VLOOKUP(A15,'1.Loading'!A:R,5,FALSE)</f>
        <v>45GP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SWBT</v>
      </c>
      <c r="P15" s="61" t="str">
        <f>VLOOKUP(A15,'1.Loading'!A:R,4,FALSE)</f>
        <v>2616N</v>
      </c>
      <c r="Q15" s="61" t="str">
        <f>VLOOKUP(D15,'2.Bookinglist'!A:CT,12,FALSE)</f>
        <v>NTX</v>
      </c>
      <c r="R15" s="60" t="str">
        <f>IF(LEFT(K15,2)="22","20'","40'")</f>
        <v>40'</v>
      </c>
      <c r="S15" s="185" t="n"/>
      <c r="T15" s="61" t="str">
        <f>VLOOKUP(A15,'1.Loading'!A:R,2,FALSE)</f>
        <v>2026-10-16</v>
      </c>
      <c r="U15" s="63">
        <f>T15-S15</f>
        <v>46311</v>
      </c>
      <c r="V15" s="186" t="n"/>
      <c r="W15" s="61" t="str">
        <f>VLOOKUP(A15,'3.GateMove'!A:D,4,FALSE)</f>
        <v>2026-10-11</v>
      </c>
      <c r="X15" s="63">
        <f>((T15-W15)+1)</f>
        <v>6</v>
      </c>
      <c r="Y15" s="64">
        <f>IF(AND(OR(C15="BKK01",C15="BKK04"),L15="CFS/CY"),0,IF(M15="DG",1,IF(LEFT(C15,3)="LCH",7,IF(C15="BKK02",5,3))))</f>
        <v>5</v>
      </c>
      <c r="Z15" s="63">
        <f>IF(IF(AND(AC15="TML",AB15&gt;0),((T15-W15)+1)-AB15,((T15-W15)+1)-Y15)&gt;0,IF(AND(AC15="TML",AB15&gt;0),((T15-W15)+1)-AB15,((T15-W15)+1)-Y15),0)</f>
        <v>1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100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46312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100</v>
      </c>
      <c r="AJ15" s="188" t="n"/>
      <c r="AK15" s="62" t="str">
        <f>VLOOKUP(D15,'2.Bookinglist'!A:CT,40,FALSE)</f>
        <v>Dharaporn</v>
      </c>
      <c r="AL15" s="60" t="str">
        <f>VLOOKUP(D15,'2.Bookinglist'!A:CW,101,FALSE)</f>
        <v>2026-10-15</v>
      </c>
      <c r="AM15" s="60" t="str">
        <f>VLOOKUP(D15,'2.Bookinglist'!A:BK,63,FALSE)</f>
        <v>BKK27</v>
      </c>
      <c r="AN15" s="62" t="str">
        <f>VLOOKUP(D15,'2.Bookinglist'!A:AZ,52,FALSE)</f>
        <v>Pickup : 2026-10-06, Return : 2026-10-07 [1ST RTN 11/10/2026 W/O RENT]]
</v>
      </c>
      <c r="AO15" s="62">
        <f>VLOOKUP(D15,'2.Bookinglist'!A:CY,103,FALSE)</f>
        <v>0</v>
      </c>
    </row>
    <row r="16" ht="12.95" customHeight="1">
      <c r="A16" s="96" t="inlineStr">
        <is>
          <t>HLHU8114114</t>
        </is>
      </c>
      <c r="B16" s="184" t="str">
        <f>IF(C16=Charge!$M$1,Charge!$J$1,IF(C16=Charge!$M$23,Charge!$J$23,IF(C16=Charge!$M$17,Charge!$J$17,IF(C16=Charge!$N$17,Charge!$J$17,Charge!$J$7))))</f>
        <v>G4</v>
      </c>
      <c r="C16" s="61" t="str">
        <f>VLOOKUP(A16,'1.Loading'!A:R,14,FALSE)</f>
        <v>BKK02</v>
      </c>
      <c r="D16" s="61" t="str">
        <f>VLOOKUP(A16,'1.Loading'!A:R,17,FALSE)</f>
        <v>HASLS22260902181</v>
      </c>
      <c r="E16" s="62" t="str">
        <f>VLOOKUP(D16,'2.Bookinglist'!A:CT,27,FALSE)</f>
        <v>BIRLA CARBON (THAILAND) PUBLIC COMPANY LIMITED</v>
      </c>
      <c r="F16" s="62" t="str">
        <f>VLOOKUP(D16,'2.Bookinglist'!A:CT,28,FALSE)</f>
        <v>BIRLA CARBON (THAILAND) PUBLIC COMPANY LIMITED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VNSGN</v>
      </c>
      <c r="J16" s="61">
        <f>VLOOKUP(D16,'2.Bookinglist'!A:CT,26,FALSE)</f>
        <v>0</v>
      </c>
      <c r="K16" s="61" t="str">
        <f>VLOOKUP(A16,'1.Loading'!A:R,5,FALSE)</f>
        <v>45GP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SWBT</v>
      </c>
      <c r="P16" s="61" t="str">
        <f>VLOOKUP(A16,'1.Loading'!A:R,4,FALSE)</f>
        <v>2616N</v>
      </c>
      <c r="Q16" s="61" t="str">
        <f>VLOOKUP(D16,'2.Bookinglist'!A:CT,12,FALSE)</f>
        <v>NTX</v>
      </c>
      <c r="R16" s="60" t="str">
        <f>IF(LEFT(K16,2)="22","20'","40'")</f>
        <v>40'</v>
      </c>
      <c r="S16" s="185" t="n"/>
      <c r="T16" s="61" t="str">
        <f>VLOOKUP(A16,'1.Loading'!A:R,2,FALSE)</f>
        <v>2026-10-16</v>
      </c>
      <c r="U16" s="63">
        <f>T16-S16</f>
        <v>46311</v>
      </c>
      <c r="V16" s="186" t="n"/>
      <c r="W16" s="61" t="str">
        <f>VLOOKUP(A16,'3.GateMove'!A:D,4,FALSE)</f>
        <v>2026-10-11</v>
      </c>
      <c r="X16" s="63">
        <f>((T16-W16)+1)</f>
        <v>6</v>
      </c>
      <c r="Y16" s="64">
        <f>IF(AND(OR(C16="BKK01",C16="BKK04"),L16="CFS/CY"),0,IF(M16="DG",1,IF(LEFT(C16,3)="LCH",7,IF(C16="BKK02",5,3))))</f>
        <v>5</v>
      </c>
      <c r="Z16" s="63">
        <f>IF(IF(AND(AC16="TML",AB16&gt;0),((T16-W16)+1)-AB16,((T16-W16)+1)-Y16)&gt;0,IF(AND(AC16="TML",AB16&gt;0),((T16-W16)+1)-AB16,((T16-W16)+1)-Y16),0)</f>
        <v>1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100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46312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100</v>
      </c>
      <c r="AJ16" s="188" t="n"/>
      <c r="AK16" s="62" t="str">
        <f>VLOOKUP(D16,'2.Bookinglist'!A:CT,40,FALSE)</f>
        <v>Dharaporn</v>
      </c>
      <c r="AL16" s="60" t="str">
        <f>VLOOKUP(D16,'2.Bookinglist'!A:CW,101,FALSE)</f>
        <v>2026-10-15</v>
      </c>
      <c r="AM16" s="60" t="str">
        <f>VLOOKUP(D16,'2.Bookinglist'!A:BK,63,FALSE)</f>
        <v>BKK27</v>
      </c>
      <c r="AN16" s="62" t="str">
        <f>VLOOKUP(D16,'2.Bookinglist'!A:AZ,52,FALSE)</f>
        <v>Pickup : 2026-10-06, Return : 2026-10-07 [1ST RTN 11/10/2026 W/O RENT]]
</v>
      </c>
      <c r="AO16" s="62">
        <f>VLOOKUP(D16,'2.Bookinglist'!A:CY,103,FALSE)</f>
        <v>0</v>
      </c>
    </row>
    <row r="17" ht="12.95" customHeight="1">
      <c r="A17" s="96" t="inlineStr">
        <is>
          <t>HLHU8116544</t>
        </is>
      </c>
      <c r="B17" s="184" t="str">
        <f>IF(C17=Charge!$M$1,Charge!$J$1,IF(C17=Charge!$M$23,Charge!$J$23,IF(C17=Charge!$M$17,Charge!$J$17,IF(C17=Charge!$N$17,Charge!$J$17,Charge!$J$7))))</f>
        <v>G4</v>
      </c>
      <c r="C17" s="61" t="str">
        <f>VLOOKUP(A17,'1.Loading'!A:R,14,FALSE)</f>
        <v>BKK02</v>
      </c>
      <c r="D17" s="61" t="str">
        <f>VLOOKUP(A17,'1.Loading'!A:R,17,FALSE)</f>
        <v>HASLS22260902812</v>
      </c>
      <c r="E17" s="62" t="str">
        <f>VLOOKUP(D17,'2.Bookinglist'!A:CT,27,FALSE)</f>
        <v>OPENSEA CARGO SERVICE CO., LTD.</v>
      </c>
      <c r="F17" s="62" t="str">
        <f>VLOOKUP(D17,'2.Bookinglist'!A:CT,28,FALSE)</f>
        <v>KCG CORPORATION PUBLIC COMPANY LIMITED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VNSGN</v>
      </c>
      <c r="J17" s="61">
        <f>VLOOKUP(D17,'2.Bookinglist'!A:CT,26,FALSE)</f>
        <v>0</v>
      </c>
      <c r="K17" s="61" t="str">
        <f>VLOOKUP(A17,'1.Loading'!A:R,5,FALSE)</f>
        <v>45GP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SWBT</v>
      </c>
      <c r="P17" s="61" t="str">
        <f>VLOOKUP(A17,'1.Loading'!A:R,4,FALSE)</f>
        <v>2616N</v>
      </c>
      <c r="Q17" s="61" t="str">
        <f>VLOOKUP(D17,'2.Bookinglist'!A:CT,12,FALSE)</f>
        <v>NTX</v>
      </c>
      <c r="R17" s="60" t="str">
        <f>IF(LEFT(K17,2)="22","20'","40'")</f>
        <v>40'</v>
      </c>
      <c r="S17" s="185" t="n"/>
      <c r="T17" s="61" t="str">
        <f>VLOOKUP(A17,'1.Loading'!A:R,2,FALSE)</f>
        <v>2026-10-16</v>
      </c>
      <c r="U17" s="63">
        <f>T17-S17</f>
        <v>46311</v>
      </c>
      <c r="V17" s="186" t="n"/>
      <c r="W17" s="61" t="str">
        <f>VLOOKUP(A17,'3.GateMove'!A:D,4,FALSE)</f>
        <v>2026-10-12</v>
      </c>
      <c r="X17" s="63">
        <f>((T17-W17)+1)</f>
        <v>5</v>
      </c>
      <c r="Y17" s="64">
        <f>IF(AND(OR(C17="BKK01",C17="BKK04"),L17="CFS/CY"),0,IF(M17="DG",1,IF(LEFT(C17,3)="LCH",7,IF(C17="BKK02",5,3))))</f>
        <v>5</v>
      </c>
      <c r="Z17" s="63">
        <f>IF(IF(AND(AC17="TML",AB17&gt;0),((T17-W17)+1)-AB17,((T17-W17)+1)-Y17)&gt;0,IF(AND(AC17="TML",AB17&gt;0),((T17-W17)+1)-AB17,((T17-W17)+1)-Y17),0)</f>
        <v>0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46312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0</v>
      </c>
      <c r="AJ17" s="188" t="n"/>
      <c r="AK17" s="62" t="str">
        <f>VLOOKUP(D17,'2.Bookinglist'!A:CT,40,FALSE)</f>
        <v>Sukunpoj Damrongying</v>
      </c>
      <c r="AL17" s="60" t="str">
        <f>VLOOKUP(D17,'2.Bookinglist'!A:CW,101,FALSE)</f>
        <v>2026-10-15</v>
      </c>
      <c r="AM17" s="60" t="str">
        <f>VLOOKUP(D17,'2.Bookinglist'!A:BK,63,FALSE)</f>
        <v>BKK25</v>
      </c>
      <c r="AN17" s="62" t="str">
        <f>VLOOKUP(D17,'2.Bookinglist'!A:AZ,52,FALSE)</f>
        <v>Pickup : 2026-10-12, Return : 2026-10-12</v>
      </c>
      <c r="AO17" s="62">
        <f>VLOOKUP(D17,'2.Bookinglist'!A:CY,103,FALSE)</f>
        <v>0</v>
      </c>
    </row>
    <row r="18" ht="12.95" customHeight="1">
      <c r="A18" s="96" t="inlineStr">
        <is>
          <t>HLHU8311474</t>
        </is>
      </c>
      <c r="B18" s="184" t="str">
        <f>IF(C18=Charge!$M$1,Charge!$J$1,IF(C18=Charge!$M$23,Charge!$J$23,IF(C18=Charge!$M$17,Charge!$J$17,IF(C18=Charge!$N$17,Charge!$J$17,Charge!$J$7))))</f>
        <v>G4</v>
      </c>
      <c r="C18" s="61" t="str">
        <f>VLOOKUP(A18,'1.Loading'!A:R,14,FALSE)</f>
        <v>BKK02</v>
      </c>
      <c r="D18" s="61" t="str">
        <f>VLOOKUP(A18,'1.Loading'!A:R,17,FALSE)</f>
        <v>HASLS22260902179</v>
      </c>
      <c r="E18" s="62" t="str">
        <f>VLOOKUP(D18,'2.Bookinglist'!A:CT,27,FALSE)</f>
        <v>BIRLA CARBON (THAILAND) PUBLIC COMPANY LIMITED</v>
      </c>
      <c r="F18" s="62" t="str">
        <f>VLOOKUP(D18,'2.Bookinglist'!A:CT,28,FALSE)</f>
        <v>BIRLA CARBON (THAILAND) PUBLIC COMPANY LIMITED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VNSGN</v>
      </c>
      <c r="J18" s="61">
        <f>VLOOKUP(D18,'2.Bookinglist'!A:CT,26,FALSE)</f>
        <v>0</v>
      </c>
      <c r="K18" s="61" t="str">
        <f>VLOOKUP(A18,'1.Loading'!A:R,5,FALSE)</f>
        <v>45GP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SWBT</v>
      </c>
      <c r="P18" s="61" t="str">
        <f>VLOOKUP(A18,'1.Loading'!A:R,4,FALSE)</f>
        <v>2616N</v>
      </c>
      <c r="Q18" s="61" t="str">
        <f>VLOOKUP(D18,'2.Bookinglist'!A:CT,12,FALSE)</f>
        <v>NTX</v>
      </c>
      <c r="R18" s="60" t="str">
        <f>IF(LEFT(K18,2)="22","20'","40'")</f>
        <v>40'</v>
      </c>
      <c r="S18" s="185" t="n"/>
      <c r="T18" s="61" t="str">
        <f>VLOOKUP(A18,'1.Loading'!A:R,2,FALSE)</f>
        <v>2026-10-16</v>
      </c>
      <c r="U18" s="63">
        <f>T18-S18</f>
        <v>46311</v>
      </c>
      <c r="V18" s="186" t="n"/>
      <c r="W18" s="61" t="str">
        <f>VLOOKUP(A18,'3.GateMove'!A:D,4,FALSE)</f>
        <v>2026-10-08</v>
      </c>
      <c r="X18" s="63">
        <f>((T18-W18)+1)</f>
        <v>9</v>
      </c>
      <c r="Y18" s="64">
        <f>IF(AND(OR(C18="BKK01",C18="BKK04"),L18="CFS/CY"),0,IF(M18="DG",1,IF(LEFT(C18,3)="LCH",7,IF(C18="BKK02",5,3))))</f>
        <v>5</v>
      </c>
      <c r="Z18" s="63">
        <f>IF(IF(AND(AC18="TML",AB18&gt;0),((T18-W18)+1)-AB18,((T18-W18)+1)-Y18)&gt;0,IF(AND(AC18="TML",AB18&gt;0),((T18-W18)+1)-AB18,((T18-W18)+1)-Y18),0)</f>
        <v>4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400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46312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400</v>
      </c>
      <c r="AJ18" s="188" t="n"/>
      <c r="AK18" s="62" t="str">
        <f>VLOOKUP(D18,'2.Bookinglist'!A:CT,40,FALSE)</f>
        <v>Dharaporn</v>
      </c>
      <c r="AL18" s="60" t="str">
        <f>VLOOKUP(D18,'2.Bookinglist'!A:CW,101,FALSE)</f>
        <v>2026-10-15</v>
      </c>
      <c r="AM18" s="60" t="str">
        <f>VLOOKUP(D18,'2.Bookinglist'!A:BK,63,FALSE)</f>
        <v>BKK27</v>
      </c>
      <c r="AN18" s="62" t="str">
        <f>VLOOKUP(D18,'2.Bookinglist'!A:AZ,52,FALSE)</f>
        <v>Pickup : 2026-10-06, Return : 2026-10-07 [1ST RTN 11/10/2026 W/O RENT]] </v>
      </c>
      <c r="AO18" s="62">
        <f>VLOOKUP(D18,'2.Bookinglist'!A:CY,103,FALSE)</f>
        <v>0</v>
      </c>
    </row>
    <row r="19" ht="12.95" customHeight="1">
      <c r="A19" s="96" t="inlineStr">
        <is>
          <t>HLHU8354305</t>
        </is>
      </c>
      <c r="B19" s="184" t="str">
        <f>IF(C19=Charge!$M$1,Charge!$J$1,IF(C19=Charge!$M$23,Charge!$J$23,IF(C19=Charge!$M$17,Charge!$J$17,IF(C19=Charge!$N$17,Charge!$J$17,Charge!$J$7))))</f>
        <v>G4</v>
      </c>
      <c r="C19" s="61" t="str">
        <f>VLOOKUP(A19,'1.Loading'!A:R,14,FALSE)</f>
        <v>BKK02</v>
      </c>
      <c r="D19" s="61" t="str">
        <f>VLOOKUP(A19,'1.Loading'!A:R,17,FALSE)</f>
        <v>HASLS22260902834</v>
      </c>
      <c r="E19" s="62" t="str">
        <f>VLOOKUP(D19,'2.Bookinglist'!A:CT,27,FALSE)</f>
        <v>METROPOLITAN LOGISTICS CO., LTD.</v>
      </c>
      <c r="F19" s="62" t="str">
        <f>VLOOKUP(D19,'2.Bookinglist'!A:CT,28,FALSE)</f>
        <v>MEGAKLEEN PRODUCT CO.,LTD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VNSGN</v>
      </c>
      <c r="J19" s="61">
        <f>VLOOKUP(D19,'2.Bookinglist'!A:CT,26,FALSE)</f>
        <v>0</v>
      </c>
      <c r="K19" s="61" t="str">
        <f>VLOOKUP(A19,'1.Loading'!A:R,5,FALSE)</f>
        <v>45GP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SWBT</v>
      </c>
      <c r="P19" s="61" t="str">
        <f>VLOOKUP(A19,'1.Loading'!A:R,4,FALSE)</f>
        <v>2616N</v>
      </c>
      <c r="Q19" s="61" t="str">
        <f>VLOOKUP(D19,'2.Bookinglist'!A:CT,12,FALSE)</f>
        <v>NTX</v>
      </c>
      <c r="R19" s="60" t="str">
        <f>IF(LEFT(K19,2)="22","20'","40'")</f>
        <v>40'</v>
      </c>
      <c r="S19" s="185" t="n"/>
      <c r="T19" s="61" t="str">
        <f>VLOOKUP(A19,'1.Loading'!A:R,2,FALSE)</f>
        <v>2026-10-16</v>
      </c>
      <c r="U19" s="63">
        <f>T19-S19</f>
        <v>46311</v>
      </c>
      <c r="V19" s="186" t="n"/>
      <c r="W19" s="61" t="str">
        <f>VLOOKUP(A19,'3.GateMove'!A:D,4,FALSE)</f>
        <v>2026-10-10</v>
      </c>
      <c r="X19" s="63">
        <f>((T19-W19)+1)</f>
        <v>7</v>
      </c>
      <c r="Y19" s="64">
        <f>IF(AND(OR(C19="BKK01",C19="BKK04"),L19="CFS/CY"),0,IF(M19="DG",1,IF(LEFT(C19,3)="LCH",7,IF(C19="BKK02",5,3))))</f>
        <v>5</v>
      </c>
      <c r="Z19" s="63">
        <f>IF(IF(AND(AC19="TML",AB19&gt;0),((T19-W19)+1)-AB19,((T19-W19)+1)-Y19)&gt;0,IF(AND(AC19="TML",AB19&gt;0),((T19-W19)+1)-AB19,((T19-W19)+1)-Y19),0)</f>
        <v>2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200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46312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200</v>
      </c>
      <c r="AJ19" s="188" t="n"/>
      <c r="AK19" s="62" t="str">
        <f>VLOOKUP(D19,'2.Bookinglist'!A:CT,40,FALSE)</f>
        <v>Arunphat W. (Aiw)</v>
      </c>
      <c r="AL19" s="60" t="str">
        <f>VLOOKUP(D19,'2.Bookinglist'!A:CW,101,FALSE)</f>
        <v>2026-10-15</v>
      </c>
      <c r="AM19" s="60" t="str">
        <f>VLOOKUP(D19,'2.Bookinglist'!A:BK,63,FALSE)</f>
        <v>BKK27</v>
      </c>
      <c r="AN19" s="62" t="str">
        <f>VLOOKUP(D19,'2.Bookinglist'!A:AZ,52,FALSE)</f>
        <v>Pickup : 2026-10-09, Return : 2026-10-10</v>
      </c>
      <c r="AO19" s="62">
        <f>VLOOKUP(D19,'2.Bookinglist'!A:CY,103,FALSE)</f>
        <v>0</v>
      </c>
    </row>
    <row r="20" ht="12.95" customHeight="1">
      <c r="A20" s="96" t="inlineStr">
        <is>
          <t>HLHU8389913</t>
        </is>
      </c>
      <c r="B20" s="184" t="str">
        <f>IF(C20=Charge!$M$1,Charge!$J$1,IF(C20=Charge!$M$23,Charge!$J$23,IF(C20=Charge!$M$17,Charge!$J$17,IF(C20=Charge!$N$17,Charge!$J$17,Charge!$J$7))))</f>
        <v>G4</v>
      </c>
      <c r="C20" s="61" t="str">
        <f>VLOOKUP(A20,'1.Loading'!A:R,14,FALSE)</f>
        <v>BKK02</v>
      </c>
      <c r="D20" s="61" t="str">
        <f>VLOOKUP(A20,'1.Loading'!A:R,17,FALSE)</f>
        <v>HASLS22260902181</v>
      </c>
      <c r="E20" s="62" t="str">
        <f>VLOOKUP(D20,'2.Bookinglist'!A:CT,27,FALSE)</f>
        <v>BIRLA CARBON (THAILAND) PUBLIC COMPANY LIMITED</v>
      </c>
      <c r="F20" s="62" t="str">
        <f>VLOOKUP(D20,'2.Bookinglist'!A:CT,28,FALSE)</f>
        <v>BIRLA CARBON (THAILAND) PUBLIC COMPANY LIMITED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VNSGN</v>
      </c>
      <c r="J20" s="61">
        <f>VLOOKUP(D20,'2.Bookinglist'!A:CT,26,FALSE)</f>
        <v>0</v>
      </c>
      <c r="K20" s="61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SWBT</v>
      </c>
      <c r="P20" s="61" t="str">
        <f>VLOOKUP(A20,'1.Loading'!A:R,4,FALSE)</f>
        <v>2616N</v>
      </c>
      <c r="Q20" s="61" t="str">
        <f>VLOOKUP(D20,'2.Bookinglist'!A:CT,12,FALSE)</f>
        <v>NTX</v>
      </c>
      <c r="R20" s="60" t="str">
        <f>IF(LEFT(K20,2)="22","20'","40'")</f>
        <v>40'</v>
      </c>
      <c r="S20" s="185" t="n"/>
      <c r="T20" s="61" t="str">
        <f>VLOOKUP(A20,'1.Loading'!A:R,2,FALSE)</f>
        <v>2026-10-16</v>
      </c>
      <c r="U20" s="63">
        <f>T20-S20</f>
        <v>46311</v>
      </c>
      <c r="V20" s="186" t="n"/>
      <c r="W20" s="61" t="str">
        <f>VLOOKUP(A20,'3.GateMove'!A:D,4,FALSE)</f>
        <v>2026-10-11</v>
      </c>
      <c r="X20" s="63">
        <f>((T20-W20)+1)</f>
        <v>6</v>
      </c>
      <c r="Y20" s="64">
        <f>IF(AND(OR(C20="BKK01",C20="BKK04"),L20="CFS/CY"),0,IF(M20="DG",1,IF(LEFT(C20,3)="LCH",7,IF(C20="BKK02",5,3))))</f>
        <v>5</v>
      </c>
      <c r="Z20" s="63">
        <f>IF(IF(AND(AC20="TML",AB20&gt;0),((T20-W20)+1)-AB20,((T20-W20)+1)-Y20)&gt;0,IF(AND(AC20="TML",AB20&gt;0),((T20-W20)+1)-AB20,((T20-W20)+1)-Y20),0)</f>
        <v>1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100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46312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100</v>
      </c>
      <c r="AJ20" s="188" t="n"/>
      <c r="AK20" s="62" t="str">
        <f>VLOOKUP(D20,'2.Bookinglist'!A:CT,40,FALSE)</f>
        <v>Dharaporn</v>
      </c>
      <c r="AL20" s="60" t="str">
        <f>VLOOKUP(D20,'2.Bookinglist'!A:CW,101,FALSE)</f>
        <v>2026-10-15</v>
      </c>
      <c r="AM20" s="60" t="str">
        <f>VLOOKUP(D20,'2.Bookinglist'!A:BK,63,FALSE)</f>
        <v>BKK27</v>
      </c>
      <c r="AN20" s="62" t="str">
        <f>VLOOKUP(D20,'2.Bookinglist'!A:AZ,52,FALSE)</f>
        <v>Pickup : 2026-10-06, Return : 2026-10-07 [1ST RTN 11/10/2026 W/O RENT]]
</v>
      </c>
      <c r="AO20" s="62">
        <f>VLOOKUP(D20,'2.Bookinglist'!A:CY,103,FALSE)</f>
        <v>0</v>
      </c>
    </row>
    <row r="21" ht="12.95" customHeight="1">
      <c r="A21" s="96" t="inlineStr">
        <is>
          <t>HLHU8509834</t>
        </is>
      </c>
      <c r="B21" s="184" t="str">
        <f>IF(C21=Charge!$M$1,Charge!$J$1,IF(C21=Charge!$M$23,Charge!$J$23,IF(C21=Charge!$M$17,Charge!$J$17,IF(C21=Charge!$N$17,Charge!$J$17,Charge!$J$7))))</f>
        <v>G4</v>
      </c>
      <c r="C21" s="61" t="str">
        <f>VLOOKUP(A21,'1.Loading'!A:R,14,FALSE)</f>
        <v>BKK02</v>
      </c>
      <c r="D21" s="61" t="str">
        <f>VLOOKUP(A21,'1.Loading'!A:R,17,FALSE)</f>
        <v>HASLS22260902418</v>
      </c>
      <c r="E21" s="62" t="str">
        <f>VLOOKUP(D21,'2.Bookinglist'!A:CT,27,FALSE)</f>
        <v>BEE LOGISTICS (THAILAND) CO., LTD.</v>
      </c>
      <c r="F21" s="62" t="str">
        <f>VLOOKUP(D21,'2.Bookinglist'!A:CT,28,FALSE)</f>
        <v>DANONE SPECIALIZED NUTRITION (THAILAND) CO., LTD.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VNSGN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SWBT</v>
      </c>
      <c r="P21" s="61" t="str">
        <f>VLOOKUP(A21,'1.Loading'!A:R,4,FALSE)</f>
        <v>2616N</v>
      </c>
      <c r="Q21" s="61" t="str">
        <f>VLOOKUP(D21,'2.Bookinglist'!A:CT,12,FALSE)</f>
        <v>NTX</v>
      </c>
      <c r="R21" s="60" t="str">
        <f>IF(LEFT(K21,2)="22","20'","40'")</f>
        <v>40'</v>
      </c>
      <c r="S21" s="185" t="n"/>
      <c r="T21" s="61" t="str">
        <f>VLOOKUP(A21,'1.Loading'!A:R,2,FALSE)</f>
        <v>2026-10-16</v>
      </c>
      <c r="U21" s="63">
        <f>T21-S21</f>
        <v>46311</v>
      </c>
      <c r="V21" s="186" t="n"/>
      <c r="W21" s="61" t="str">
        <f>VLOOKUP(A21,'3.GateMove'!A:D,4,FALSE)</f>
        <v>2026-10-09</v>
      </c>
      <c r="X21" s="63">
        <f>((T21-W21)+1)</f>
        <v>8</v>
      </c>
      <c r="Y21" s="64">
        <f>IF(AND(OR(C21="BKK01",C21="BKK04"),L21="CFS/CY"),0,IF(M21="DG",1,IF(LEFT(C21,3)="LCH",7,IF(C21="BKK02",5,3))))</f>
        <v>5</v>
      </c>
      <c r="Z21" s="63">
        <f>IF(IF(AND(AC21="TML",AB21&gt;0),((T21-W21)+1)-AB21,((T21-W21)+1)-Y21)&gt;0,IF(AND(AC21="TML",AB21&gt;0),((T21-W21)+1)-AB21,((T21-W21)+1)-Y21),0)</f>
        <v>3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300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46312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300</v>
      </c>
      <c r="AJ21" s="188" t="n"/>
      <c r="AK21" s="62" t="str">
        <f>VLOOKUP(D21,'2.Bookinglist'!A:CT,40,FALSE)</f>
        <v>Nustsireerach</v>
      </c>
      <c r="AL21" s="60" t="str">
        <f>VLOOKUP(D21,'2.Bookinglist'!A:CW,101,FALSE)</f>
        <v>2026-10-15</v>
      </c>
      <c r="AM21" s="60" t="str">
        <f>VLOOKUP(D21,'2.Bookinglist'!A:BK,63,FALSE)</f>
        <v>BKK27</v>
      </c>
      <c r="AN21" s="62" t="str">
        <f>VLOOKUP(D21,'2.Bookinglist'!A:AZ,52,FALSE)</f>
        <v>Pickup : 2026-10-08, Return : 2026-10-09 [1ST RTN 11/10/2026 W/O RENT]</v>
      </c>
      <c r="AO21" s="62">
        <f>VLOOKUP(D21,'2.Bookinglist'!A:CY,103,FALSE)</f>
        <v>0</v>
      </c>
    </row>
    <row r="22" ht="12.95" customHeight="1">
      <c r="A22" s="96" t="inlineStr">
        <is>
          <t>HLHU8510711</t>
        </is>
      </c>
      <c r="B22" s="184" t="str">
        <f>IF(C22=Charge!$M$1,Charge!$J$1,IF(C22=Charge!$M$23,Charge!$J$23,IF(C22=Charge!$M$17,Charge!$J$17,IF(C22=Charge!$N$17,Charge!$J$17,Charge!$J$7))))</f>
        <v>G4</v>
      </c>
      <c r="C22" s="61" t="str">
        <f>VLOOKUP(A22,'1.Loading'!A:R,14,FALSE)</f>
        <v>BKK02</v>
      </c>
      <c r="D22" s="61" t="str">
        <f>VLOOKUP(A22,'1.Loading'!A:R,17,FALSE)</f>
        <v>HASLS22260902179</v>
      </c>
      <c r="E22" s="62" t="str">
        <f>VLOOKUP(D22,'2.Bookinglist'!A:CT,27,FALSE)</f>
        <v>BIRLA CARBON (THAILAND) PUBLIC COMPANY LIMITED</v>
      </c>
      <c r="F22" s="62" t="str">
        <f>VLOOKUP(D22,'2.Bookinglist'!A:CT,28,FALSE)</f>
        <v>BIRLA CARBON (THAILAND) PUBLIC COMPANY LIMITED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VNSGN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SWBT</v>
      </c>
      <c r="P22" s="61" t="str">
        <f>VLOOKUP(A22,'1.Loading'!A:R,4,FALSE)</f>
        <v>2616N</v>
      </c>
      <c r="Q22" s="61" t="str">
        <f>VLOOKUP(D22,'2.Bookinglist'!A:CT,12,FALSE)</f>
        <v>NTX</v>
      </c>
      <c r="R22" s="60" t="str">
        <f>IF(LEFT(K22,2)="22","20'","40'")</f>
        <v>40'</v>
      </c>
      <c r="S22" s="185" t="n"/>
      <c r="T22" s="61" t="str">
        <f>VLOOKUP(A22,'1.Loading'!A:R,2,FALSE)</f>
        <v>2026-10-16</v>
      </c>
      <c r="U22" s="63">
        <f>T22-S22</f>
        <v>46311</v>
      </c>
      <c r="V22" s="186" t="n"/>
      <c r="W22" s="61" t="str">
        <f>VLOOKUP(A22,'3.GateMove'!A:D,4,FALSE)</f>
        <v>2026-10-08</v>
      </c>
      <c r="X22" s="63">
        <f>((T22-W22)+1)</f>
        <v>9</v>
      </c>
      <c r="Y22" s="64">
        <f>IF(AND(OR(C22="BKK01",C22="BKK04"),L22="CFS/CY"),0,IF(M22="DG",1,IF(LEFT(C22,3)="LCH",7,IF(C22="BKK02",5,3))))</f>
        <v>5</v>
      </c>
      <c r="Z22" s="63">
        <f>IF(IF(AND(AC22="TML",AB22&gt;0),((T22-W22)+1)-AB22,((T22-W22)+1)-Y22)&gt;0,IF(AND(AC22="TML",AB22&gt;0),((T22-W22)+1)-AB22,((T22-W22)+1)-Y22),0)</f>
        <v>4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400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46312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400</v>
      </c>
      <c r="AJ22" s="188" t="n"/>
      <c r="AK22" s="62" t="str">
        <f>VLOOKUP(D22,'2.Bookinglist'!A:CT,40,FALSE)</f>
        <v>Dharaporn</v>
      </c>
      <c r="AL22" s="60" t="str">
        <f>VLOOKUP(D22,'2.Bookinglist'!A:CW,101,FALSE)</f>
        <v>2026-10-15</v>
      </c>
      <c r="AM22" s="60" t="str">
        <f>VLOOKUP(D22,'2.Bookinglist'!A:BK,63,FALSE)</f>
        <v>BKK27</v>
      </c>
      <c r="AN22" s="62" t="str">
        <f>VLOOKUP(D22,'2.Bookinglist'!A:AZ,52,FALSE)</f>
        <v>Pickup : 2026-10-06, Return : 2026-10-07 [1ST RTN 11/10/2026 W/O RENT]] </v>
      </c>
      <c r="AO22" s="62">
        <f>VLOOKUP(D22,'2.Bookinglist'!A:CY,103,FALSE)</f>
        <v>0</v>
      </c>
    </row>
    <row r="23" ht="12.95" customHeight="1">
      <c r="A23" s="96" t="inlineStr">
        <is>
          <t>HLHU8528541</t>
        </is>
      </c>
      <c r="B23" s="184" t="str">
        <f>IF(C23=Charge!$M$1,Charge!$J$1,IF(C23=Charge!$M$23,Charge!$J$23,IF(C23=Charge!$M$17,Charge!$J$17,IF(C23=Charge!$N$17,Charge!$J$17,Charge!$J$7))))</f>
        <v>G4</v>
      </c>
      <c r="C23" s="61" t="str">
        <f>VLOOKUP(A23,'1.Loading'!A:R,14,FALSE)</f>
        <v>BKK02</v>
      </c>
      <c r="D23" s="61" t="str">
        <f>VLOOKUP(A23,'1.Loading'!A:R,17,FALSE)</f>
        <v>HASLS22260902661</v>
      </c>
      <c r="E23" s="62" t="str">
        <f>VLOOKUP(D23,'2.Bookinglist'!A:CT,27,FALSE)</f>
        <v>LEO GLOBAL LOGISTICS PUBLIC COMPANY LIMITED</v>
      </c>
      <c r="F23" s="62" t="str">
        <f>VLOOKUP(D23,'2.Bookinglist'!A:CT,28,FALSE)</f>
        <v>KORN THAI CO., LTD.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VNSGN</v>
      </c>
      <c r="J23" s="61">
        <f>VLOOKUP(D23,'2.Bookinglist'!A:CT,26,FALSE)</f>
        <v>0</v>
      </c>
      <c r="K23" s="61" t="str">
        <f>VLOOKUP(A23,'1.Loading'!A:R,5,FALSE)</f>
        <v>45GP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SWBT</v>
      </c>
      <c r="P23" s="61" t="str">
        <f>VLOOKUP(A23,'1.Loading'!A:R,4,FALSE)</f>
        <v>2616N</v>
      </c>
      <c r="Q23" s="61" t="str">
        <f>VLOOKUP(D23,'2.Bookinglist'!A:CT,12,FALSE)</f>
        <v>NTX</v>
      </c>
      <c r="R23" s="60" t="str">
        <f>IF(LEFT(K23,2)="22","20'","40'")</f>
        <v>40'</v>
      </c>
      <c r="S23" s="185" t="n"/>
      <c r="T23" s="61" t="str">
        <f>VLOOKUP(A23,'1.Loading'!A:R,2,FALSE)</f>
        <v>2026-10-16</v>
      </c>
      <c r="U23" s="63">
        <f>T23-S23</f>
        <v>46311</v>
      </c>
      <c r="V23" s="186" t="n"/>
      <c r="W23" s="61" t="str">
        <f>VLOOKUP(A23,'3.GateMove'!A:D,4,FALSE)</f>
        <v>2026-10-12</v>
      </c>
      <c r="X23" s="63">
        <f>((T23-W23)+1)</f>
        <v>5</v>
      </c>
      <c r="Y23" s="64">
        <f>IF(AND(OR(C23="BKK01",C23="BKK04"),L23="CFS/CY"),0,IF(M23="DG",1,IF(LEFT(C23,3)="LCH",7,IF(C23="BKK02",5,3))))</f>
        <v>5</v>
      </c>
      <c r="Z23" s="63">
        <f>IF(IF(AND(AC23="TML",AB23&gt;0),((T23-W23)+1)-AB23,((T23-W23)+1)-Y23)&gt;0,IF(AND(AC23="TML",AB23&gt;0),((T23-W23)+1)-AB23,((T23-W23)+1)-Y23),0)</f>
        <v>0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46312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0</v>
      </c>
      <c r="AJ23" s="188" t="n"/>
      <c r="AK23" s="62" t="str">
        <f>VLOOKUP(D23,'2.Bookinglist'!A:CT,40,FALSE)</f>
        <v>Vilaiporn</v>
      </c>
      <c r="AL23" s="60" t="str">
        <f>VLOOKUP(D23,'2.Bookinglist'!A:CW,101,FALSE)</f>
        <v>2026-10-16</v>
      </c>
      <c r="AM23" s="60" t="str">
        <f>VLOOKUP(D23,'2.Bookinglist'!A:BK,63,FALSE)</f>
        <v>BKK27</v>
      </c>
      <c r="AN23" s="62" t="str">
        <f>VLOOKUP(D23,'2.Bookinglist'!A:AZ,52,FALSE)</f>
        <v>Pickup : 2026-10-10, Return : 2026-10-12</v>
      </c>
      <c r="AO23" s="62" t="str">
        <f>VLOOKUP(D23,'2.Bookinglist'!A:CY,103,FALSE)</f>
        <v>ROLL OVER FORM PREVIOUS VSL PGPO 2612N BY ALLOATION TEAM MS.TARN APRPOVED COST IS UNDER HA DD.13/10</v>
      </c>
    </row>
    <row r="24" ht="12.95" customHeight="1">
      <c r="A24" s="96" t="inlineStr">
        <is>
          <t>SEGU5419703</t>
        </is>
      </c>
      <c r="B24" s="184" t="str">
        <f>IF(C24=Charge!$M$1,Charge!$J$1,IF(C24=Charge!$M$23,Charge!$J$23,IF(C24=Charge!$M$17,Charge!$J$17,IF(C24=Charge!$N$17,Charge!$J$17,Charge!$J$7))))</f>
        <v>G4</v>
      </c>
      <c r="C24" s="61" t="str">
        <f>VLOOKUP(A24,'1.Loading'!A:R,14,FALSE)</f>
        <v>BKK02</v>
      </c>
      <c r="D24" s="61" t="str">
        <f>VLOOKUP(A24,'1.Loading'!A:R,17,FALSE)</f>
        <v>HASLS22260900904</v>
      </c>
      <c r="E24" s="62" t="str">
        <f>VLOOKUP(D24,'2.Bookinglist'!A:CT,27,FALSE)</f>
        <v>MJ LOGISTICS (THAILAND) CO., LTD.</v>
      </c>
      <c r="F24" s="62" t="str">
        <f>VLOOKUP(D24,'2.Bookinglist'!A:CT,28,FALSE)</f>
        <v>TAVEEPHOL PRODUCT CO.,LTD.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RUVVO</v>
      </c>
      <c r="J24" s="61" t="str">
        <f>VLOOKUP(D24,'2.Bookinglist'!A:CT,26,FALSE)</f>
        <v>KRPUS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SWBT</v>
      </c>
      <c r="P24" s="61" t="str">
        <f>VLOOKUP(A24,'1.Loading'!A:R,4,FALSE)</f>
        <v>2616N</v>
      </c>
      <c r="Q24" s="61" t="str">
        <f>VLOOKUP(D24,'2.Bookinglist'!A:CT,12,FALSE)</f>
        <v>NTX</v>
      </c>
      <c r="R24" s="60" t="str">
        <f>IF(LEFT(K24,2)="22","20'","40'")</f>
        <v>40'</v>
      </c>
      <c r="S24" s="185" t="n"/>
      <c r="T24" s="61" t="str">
        <f>VLOOKUP(A24,'1.Loading'!A:R,2,FALSE)</f>
        <v>2026-10-16</v>
      </c>
      <c r="U24" s="63">
        <f>T24-S24</f>
        <v>46311</v>
      </c>
      <c r="V24" s="186" t="n"/>
      <c r="W24" s="61" t="str">
        <f>VLOOKUP(A24,'3.GateMove'!A:D,4,FALSE)</f>
        <v>2026-10-09</v>
      </c>
      <c r="X24" s="63">
        <f>((T24-W24)+1)</f>
        <v>8</v>
      </c>
      <c r="Y24" s="64">
        <f>IF(AND(OR(C24="BKK01",C24="BKK04"),L24="CFS/CY"),0,IF(M24="DG",1,IF(LEFT(C24,3)="LCH",7,IF(C24="BKK02",5,3))))</f>
        <v>5</v>
      </c>
      <c r="Z24" s="63">
        <f>IF(IF(AND(AC24="TML",AB24&gt;0),((T24-W24)+1)-AB24,((T24-W24)+1)-Y24)&gt;0,IF(AND(AC24="TML",AB24&gt;0),((T24-W24)+1)-AB24,((T24-W24)+1)-Y24),0)</f>
        <v>3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300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46312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300</v>
      </c>
      <c r="AJ24" s="188" t="n"/>
      <c r="AK24" s="62" t="str">
        <f>VLOOKUP(D24,'2.Bookinglist'!A:CT,40,FALSE)</f>
        <v>KIM JEONG HWAN</v>
      </c>
      <c r="AL24" s="60" t="str">
        <f>VLOOKUP(D24,'2.Bookinglist'!A:CW,101,FALSE)</f>
        <v>2026-10-12</v>
      </c>
      <c r="AM24" s="60" t="str">
        <f>VLOOKUP(D24,'2.Bookinglist'!A:BK,63,FALSE)</f>
        <v>BKK25</v>
      </c>
      <c r="AN24" s="62" t="str">
        <f>VLOOKUP(D24,'2.Bookinglist'!A:AZ,52,FALSE)</f>
        <v>[FIX]SWBT/2616N/10/27[FIX] Pickup : 2026-10-08, Return : 2026-10-10</v>
      </c>
      <c r="AO24" s="62">
        <f>VLOOKUP(D24,'2.Bookinglist'!A:CY,103,FALSE)</f>
        <v>0</v>
      </c>
    </row>
    <row r="25" ht="12.95" customHeight="1">
      <c r="A25" s="96" t="inlineStr">
        <is>
          <t>SEGU9799284</t>
        </is>
      </c>
      <c r="B25" s="184" t="str">
        <f>IF(C25=Charge!$M$1,Charge!$J$1,IF(C25=Charge!$M$23,Charge!$J$23,IF(C25=Charge!$M$17,Charge!$J$17,IF(C25=Charge!$N$17,Charge!$J$17,Charge!$J$7))))</f>
        <v>G4</v>
      </c>
      <c r="C25" s="61" t="str">
        <f>VLOOKUP(A25,'1.Loading'!A:R,14,FALSE)</f>
        <v>BKK02</v>
      </c>
      <c r="D25" s="61" t="str">
        <f>VLOOKUP(A25,'1.Loading'!A:R,17,FALSE)</f>
        <v>HASLS22260902553</v>
      </c>
      <c r="E25" s="62" t="str">
        <f>VLOOKUP(D25,'2.Bookinglist'!A:CT,27,FALSE)</f>
        <v>LAND SEA SKY CO., LTD.</v>
      </c>
      <c r="F25" s="62" t="str">
        <f>VLOOKUP(D25,'2.Bookinglist'!A:CT,28,FALSE)</f>
        <v>SAHA FARMS  INTERNATIONAL CO LTD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KRPTK</v>
      </c>
      <c r="J25" s="61">
        <f>VLOOKUP(D25,'2.Bookinglist'!A:CT,26,FALSE)</f>
        <v>0</v>
      </c>
      <c r="K25" s="61" t="str">
        <f>VLOOKUP(A25,'1.Loading'!A:R,5,FALSE)</f>
        <v>45RE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>RF</v>
      </c>
      <c r="O25" s="61" t="str">
        <f>VLOOKUP(A25,'1.Loading'!A:R,3,FALSE)</f>
        <v>SWBT</v>
      </c>
      <c r="P25" s="61" t="str">
        <f>VLOOKUP(A25,'1.Loading'!A:R,4,FALSE)</f>
        <v>2616N</v>
      </c>
      <c r="Q25" s="61" t="str">
        <f>VLOOKUP(D25,'2.Bookinglist'!A:CT,12,FALSE)</f>
        <v>NTX</v>
      </c>
      <c r="R25" s="60" t="str">
        <f>IF(LEFT(K25,2)="22","20'","40'")</f>
        <v>40'</v>
      </c>
      <c r="S25" s="185" t="n"/>
      <c r="T25" s="61" t="str">
        <f>VLOOKUP(A25,'1.Loading'!A:R,2,FALSE)</f>
        <v>2026-10-16</v>
      </c>
      <c r="U25" s="63">
        <f>T25-S25</f>
        <v>46311</v>
      </c>
      <c r="V25" s="186" t="n"/>
      <c r="W25" s="61" t="str">
        <f>VLOOKUP(A25,'3.GateMove'!A:D,4,FALSE)</f>
        <v>2026-10-13</v>
      </c>
      <c r="X25" s="63">
        <f>((T25-W25)+1)</f>
        <v>4</v>
      </c>
      <c r="Y25" s="64">
        <f>IF(AND(OR(C25="BKK01",C25="BKK04"),L25="CFS/CY"),0,IF(M25="DG",1,IF(LEFT(C25,3)="LCH",7,IF(C25="BKK02",5,3))))</f>
        <v>5</v>
      </c>
      <c r="Z25" s="63">
        <f>IF(IF(AND(AC25="TML",AB25&gt;0),((T25-W25)+1)-AB25,((T25-W25)+1)-Y25)&gt;0,IF(AND(AC25="TML",AB25&gt;0),((T25-W25)+1)-AB25,((T25-W25)+1)-Y25),0)</f>
        <v>0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184" t="n"/>
      <c r="AC25" s="184" t="n"/>
      <c r="AD25" s="60">
        <f>IF(M25="DG",3,IF(N25="RF",3,5))+IF(AND(LEFT(C25,3)="BKK",N25="RF",Q25="KTS"),1,0)+IF(Q25="KHS",1,0)</f>
        <v>3</v>
      </c>
      <c r="AE25" s="63">
        <f>(T25-V25)+1</f>
        <v>46312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0</v>
      </c>
      <c r="AJ25" s="188" t="n"/>
      <c r="AK25" s="62" t="str">
        <f>VLOOKUP(D25,'2.Bookinglist'!A:CT,40,FALSE)</f>
        <v>Sukunpoj Damrongying</v>
      </c>
      <c r="AL25" s="60" t="str">
        <f>VLOOKUP(D25,'2.Bookinglist'!A:CW,101,FALSE)</f>
        <v>2026-10-15</v>
      </c>
      <c r="AM25" s="60" t="str">
        <f>VLOOKUP(D25,'2.Bookinglist'!A:BK,63,FALSE)</f>
        <v>BKK27</v>
      </c>
      <c r="AN25" s="62" t="str">
        <f>VLOOKUP(D25,'2.Bookinglist'!A:AZ,52,FALSE)</f>
        <v>Pickup : 2026-10-10, Return : 2026-10-13  (Temp -18.0 / Vent Close) 
CLS TIME 13/10/26 @23.59</v>
      </c>
      <c r="AO25" s="62">
        <f>VLOOKUP(D25,'2.Bookinglist'!A:CY,103,FALSE)</f>
        <v>0</v>
      </c>
    </row>
    <row r="26" ht="12.95" customHeight="1">
      <c r="A26" s="96" t="inlineStr">
        <is>
          <t>SKHU6200592</t>
        </is>
      </c>
      <c r="B26" s="184" t="str">
        <f>IF(C26=Charge!$M$1,Charge!$J$1,IF(C26=Charge!$M$23,Charge!$J$23,IF(C26=Charge!$M$17,Charge!$J$17,IF(C26=Charge!$N$17,Charge!$J$17,Charge!$J$7))))</f>
        <v>G4</v>
      </c>
      <c r="C26" s="61" t="str">
        <f>VLOOKUP(A26,'1.Loading'!A:R,14,FALSE)</f>
        <v>BKK02</v>
      </c>
      <c r="D26" s="61" t="str">
        <f>VLOOKUP(A26,'1.Loading'!A:R,17,FALSE)</f>
        <v>HASLS22260902179</v>
      </c>
      <c r="E26" s="62" t="str">
        <f>VLOOKUP(D26,'2.Bookinglist'!A:CT,27,FALSE)</f>
        <v>BIRLA CARBON (THAILAND) PUBLIC COMPANY LIMITED</v>
      </c>
      <c r="F26" s="62" t="str">
        <f>VLOOKUP(D26,'2.Bookinglist'!A:CT,28,FALSE)</f>
        <v>BIRLA CARBON (THAILAND) PUBLIC COMPANY LIMITED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VNSGN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SWBT</v>
      </c>
      <c r="P26" s="61" t="str">
        <f>VLOOKUP(A26,'1.Loading'!A:R,4,FALSE)</f>
        <v>2616N</v>
      </c>
      <c r="Q26" s="61" t="str">
        <f>VLOOKUP(D26,'2.Bookinglist'!A:CT,12,FALSE)</f>
        <v>NTX</v>
      </c>
      <c r="R26" s="60" t="str">
        <f>IF(LEFT(K26,2)="22","20'","40'")</f>
        <v>40'</v>
      </c>
      <c r="S26" s="185" t="n"/>
      <c r="T26" s="61" t="str">
        <f>VLOOKUP(A26,'1.Loading'!A:R,2,FALSE)</f>
        <v>2026-10-16</v>
      </c>
      <c r="U26" s="63">
        <f>T26-S26</f>
        <v>46311</v>
      </c>
      <c r="V26" s="186" t="n"/>
      <c r="W26" s="61" t="str">
        <f>VLOOKUP(A26,'3.GateMove'!A:D,4,FALSE)</f>
        <v>2026-10-08</v>
      </c>
      <c r="X26" s="63">
        <f>((T26-W26)+1)</f>
        <v>9</v>
      </c>
      <c r="Y26" s="64">
        <f>IF(AND(OR(C26="BKK01",C26="BKK04"),L26="CFS/CY"),0,IF(M26="DG",1,IF(LEFT(C26,3)="LCH",7,IF(C26="BKK02",5,3))))</f>
        <v>5</v>
      </c>
      <c r="Z26" s="63">
        <f>IF(IF(AND(AC26="TML",AB26&gt;0),((T26-W26)+1)-AB26,((T26-W26)+1)-Y26)&gt;0,IF(AND(AC26="TML",AB26&gt;0),((T26-W26)+1)-AB26,((T26-W26)+1)-Y26),0)</f>
        <v>4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400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46312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400</v>
      </c>
      <c r="AJ26" s="188" t="n"/>
      <c r="AK26" s="62" t="str">
        <f>VLOOKUP(D26,'2.Bookinglist'!A:CT,40,FALSE)</f>
        <v>Dharaporn</v>
      </c>
      <c r="AL26" s="60" t="str">
        <f>VLOOKUP(D26,'2.Bookinglist'!A:CW,101,FALSE)</f>
        <v>2026-10-15</v>
      </c>
      <c r="AM26" s="60" t="str">
        <f>VLOOKUP(D26,'2.Bookinglist'!A:BK,63,FALSE)</f>
        <v>BKK27</v>
      </c>
      <c r="AN26" s="62" t="str">
        <f>VLOOKUP(D26,'2.Bookinglist'!A:AZ,52,FALSE)</f>
        <v>Pickup : 2026-10-06, Return : 2026-10-07 [1ST RTN 11/10/2026 W/O RENT]] </v>
      </c>
      <c r="AO26" s="62">
        <f>VLOOKUP(D26,'2.Bookinglist'!A:CY,103,FALSE)</f>
        <v>0</v>
      </c>
    </row>
    <row r="27" ht="12.95" customHeight="1">
      <c r="A27" s="96" t="inlineStr">
        <is>
          <t>SKHU6300668</t>
        </is>
      </c>
      <c r="B27" s="184" t="str">
        <f>IF(C27=Charge!$M$1,Charge!$J$1,IF(C27=Charge!$M$23,Charge!$J$23,IF(C27=Charge!$M$17,Charge!$J$17,IF(C27=Charge!$N$17,Charge!$J$17,Charge!$J$7))))</f>
        <v>G4</v>
      </c>
      <c r="C27" s="61" t="str">
        <f>VLOOKUP(A27,'1.Loading'!A:R,14,FALSE)</f>
        <v>BKK02</v>
      </c>
      <c r="D27" s="61" t="str">
        <f>VLOOKUP(A27,'1.Loading'!A:R,17,FALSE)</f>
        <v>HASLS22260901590</v>
      </c>
      <c r="E27" s="62" t="str">
        <f>VLOOKUP(D27,'2.Bookinglist'!A:CT,27,FALSE)</f>
        <v>EUROFREIGHT INTERNATIONAL CO.,LTD.</v>
      </c>
      <c r="F27" s="62" t="str">
        <f>VLOOKUP(D27,'2.Bookinglist'!A:CT,28,FALSE)</f>
        <v>PETCHKASEM WEAVING (1983) CO., LTD.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VNSGN</v>
      </c>
      <c r="J27" s="61">
        <f>VLOOKUP(D27,'2.Bookinglist'!A:CT,26,FALSE)</f>
        <v>0</v>
      </c>
      <c r="K27" s="61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SWBT</v>
      </c>
      <c r="P27" s="61" t="str">
        <f>VLOOKUP(A27,'1.Loading'!A:R,4,FALSE)</f>
        <v>2616N</v>
      </c>
      <c r="Q27" s="61" t="str">
        <f>VLOOKUP(D27,'2.Bookinglist'!A:CT,12,FALSE)</f>
        <v>NTX</v>
      </c>
      <c r="R27" s="60" t="str">
        <f>IF(LEFT(K27,2)="22","20'","40'")</f>
        <v>40'</v>
      </c>
      <c r="S27" s="185" t="n"/>
      <c r="T27" s="61" t="str">
        <f>VLOOKUP(A27,'1.Loading'!A:R,2,FALSE)</f>
        <v>2026-10-16</v>
      </c>
      <c r="U27" s="63">
        <f>T27-S27</f>
        <v>46311</v>
      </c>
      <c r="V27" s="186" t="n"/>
      <c r="W27" s="61" t="str">
        <f>VLOOKUP(A27,'3.GateMove'!A:D,4,FALSE)</f>
        <v>2026-10-09</v>
      </c>
      <c r="X27" s="63">
        <f>((T27-W27)+1)</f>
        <v>8</v>
      </c>
      <c r="Y27" s="64">
        <f>IF(AND(OR(C27="BKK01",C27="BKK04"),L27="CFS/CY"),0,IF(M27="DG",1,IF(LEFT(C27,3)="LCH",7,IF(C27="BKK02",5,3))))</f>
        <v>5</v>
      </c>
      <c r="Z27" s="63">
        <f>IF(IF(AND(AC27="TML",AB27&gt;0),((T27-W27)+1)-AB27,((T27-W27)+1)-Y27)&gt;0,IF(AND(AC27="TML",AB27&gt;0),((T27-W27)+1)-AB27,((T27-W27)+1)-Y27),0)</f>
        <v>3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300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46312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300</v>
      </c>
      <c r="AJ27" s="188" t="n"/>
      <c r="AK27" s="62" t="str">
        <f>VLOOKUP(D27,'2.Bookinglist'!A:CT,40,FALSE)</f>
        <v>Arunphat W. (Aiw)</v>
      </c>
      <c r="AL27" s="60" t="str">
        <f>VLOOKUP(D27,'2.Bookinglist'!A:CW,101,FALSE)</f>
        <v>2026-10-12</v>
      </c>
      <c r="AM27" s="60" t="str">
        <f>VLOOKUP(D27,'2.Bookinglist'!A:BK,63,FALSE)</f>
        <v>BKK27</v>
      </c>
      <c r="AN27" s="62" t="str">
        <f>VLOOKUP(D27,'2.Bookinglist'!A:AZ,52,FALSE)</f>
        <v>Pickup : 2026-10-09, Return : 2026-10-09 (1ST RETURN 09/10 W/O RENT)
 </v>
      </c>
      <c r="AO27" s="62">
        <f>VLOOKUP(D27,'2.Bookinglist'!A:CY,103,FALSE)</f>
        <v>0</v>
      </c>
    </row>
    <row r="28" ht="12.95" customHeight="1">
      <c r="A28" s="96" t="inlineStr">
        <is>
          <t>SKHU6310732</t>
        </is>
      </c>
      <c r="B28" s="184" t="str">
        <f>IF(C28=Charge!$M$1,Charge!$J$1,IF(C28=Charge!$M$23,Charge!$J$23,IF(C28=Charge!$M$17,Charge!$J$17,IF(C28=Charge!$N$17,Charge!$J$17,Charge!$J$7))))</f>
        <v>G4</v>
      </c>
      <c r="C28" s="61" t="str">
        <f>VLOOKUP(A28,'1.Loading'!A:R,14,FALSE)</f>
        <v>BKK02</v>
      </c>
      <c r="D28" s="61" t="str">
        <f>VLOOKUP(A28,'1.Loading'!A:R,17,FALSE)</f>
        <v>HASLS22260902179</v>
      </c>
      <c r="E28" s="62" t="str">
        <f>VLOOKUP(D28,'2.Bookinglist'!A:CT,27,FALSE)</f>
        <v>BIRLA CARBON (THAILAND) PUBLIC COMPANY LIMITED</v>
      </c>
      <c r="F28" s="62" t="str">
        <f>VLOOKUP(D28,'2.Bookinglist'!A:CT,28,FALSE)</f>
        <v>BIRLA CARBON (THAILAND) PUBLIC COMPANY LIMITED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VNSGN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SWBT</v>
      </c>
      <c r="P28" s="61" t="str">
        <f>VLOOKUP(A28,'1.Loading'!A:R,4,FALSE)</f>
        <v>2616N</v>
      </c>
      <c r="Q28" s="61" t="str">
        <f>VLOOKUP(D28,'2.Bookinglist'!A:CT,12,FALSE)</f>
        <v>NTX</v>
      </c>
      <c r="R28" s="60" t="str">
        <f>IF(LEFT(K28,2)="22","20'","40'")</f>
        <v>40'</v>
      </c>
      <c r="S28" s="185" t="n"/>
      <c r="T28" s="61" t="str">
        <f>VLOOKUP(A28,'1.Loading'!A:R,2,FALSE)</f>
        <v>2026-10-16</v>
      </c>
      <c r="U28" s="63">
        <f>T28-S28</f>
        <v>46311</v>
      </c>
      <c r="V28" s="186" t="n"/>
      <c r="W28" s="61" t="str">
        <f>VLOOKUP(A28,'3.GateMove'!A:D,4,FALSE)</f>
        <v>2026-10-08</v>
      </c>
      <c r="X28" s="63">
        <f>((T28-W28)+1)</f>
        <v>9</v>
      </c>
      <c r="Y28" s="64">
        <f>IF(AND(OR(C28="BKK01",C28="BKK04"),L28="CFS/CY"),0,IF(M28="DG",1,IF(LEFT(C28,3)="LCH",7,IF(C28="BKK02",5,3))))</f>
        <v>5</v>
      </c>
      <c r="Z28" s="63">
        <f>IF(IF(AND(AC28="TML",AB28&gt;0),((T28-W28)+1)-AB28,((T28-W28)+1)-Y28)&gt;0,IF(AND(AC28="TML",AB28&gt;0),((T28-W28)+1)-AB28,((T28-W28)+1)-Y28),0)</f>
        <v>4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400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46312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400</v>
      </c>
      <c r="AJ28" s="188" t="n"/>
      <c r="AK28" s="62" t="str">
        <f>VLOOKUP(D28,'2.Bookinglist'!A:CT,40,FALSE)</f>
        <v>Dharaporn</v>
      </c>
      <c r="AL28" s="60" t="str">
        <f>VLOOKUP(D28,'2.Bookinglist'!A:CW,101,FALSE)</f>
        <v>2026-10-15</v>
      </c>
      <c r="AM28" s="60" t="str">
        <f>VLOOKUP(D28,'2.Bookinglist'!A:BK,63,FALSE)</f>
        <v>BKK27</v>
      </c>
      <c r="AN28" s="62" t="str">
        <f>VLOOKUP(D28,'2.Bookinglist'!A:AZ,52,FALSE)</f>
        <v>Pickup : 2026-10-06, Return : 2026-10-07 [1ST RTN 11/10/2026 W/O RENT]] </v>
      </c>
      <c r="AO28" s="62">
        <f>VLOOKUP(D28,'2.Bookinglist'!A:CY,103,FALSE)</f>
        <v>0</v>
      </c>
    </row>
    <row r="29" ht="12.95" customHeight="1">
      <c r="A29" s="96" t="inlineStr">
        <is>
          <t>SKHU6362741</t>
        </is>
      </c>
      <c r="B29" s="184" t="str">
        <f>IF(C29=Charge!$M$1,Charge!$J$1,IF(C29=Charge!$M$23,Charge!$J$23,IF(C29=Charge!$M$17,Charge!$J$17,IF(C29=Charge!$N$17,Charge!$J$17,Charge!$J$7))))</f>
        <v>G4</v>
      </c>
      <c r="C29" s="61" t="str">
        <f>VLOOKUP(A29,'1.Loading'!A:R,14,FALSE)</f>
        <v>BKK02</v>
      </c>
      <c r="D29" s="61" t="str">
        <f>VLOOKUP(A29,'1.Loading'!A:R,17,FALSE)</f>
        <v>HASLS22260902179</v>
      </c>
      <c r="E29" s="62" t="str">
        <f>VLOOKUP(D29,'2.Bookinglist'!A:CT,27,FALSE)</f>
        <v>BIRLA CARBON (THAILAND) PUBLIC COMPANY LIMITED</v>
      </c>
      <c r="F29" s="62" t="str">
        <f>VLOOKUP(D29,'2.Bookinglist'!A:CT,28,FALSE)</f>
        <v>BIRLA CARBON (THAILAND) PUBLIC COMPANY LIMITED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VNSGN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SWBT</v>
      </c>
      <c r="P29" s="61" t="str">
        <f>VLOOKUP(A29,'1.Loading'!A:R,4,FALSE)</f>
        <v>2616N</v>
      </c>
      <c r="Q29" s="61" t="str">
        <f>VLOOKUP(D29,'2.Bookinglist'!A:CT,12,FALSE)</f>
        <v>NTX</v>
      </c>
      <c r="R29" s="60" t="str">
        <f>IF(LEFT(K29,2)="22","20'","40'")</f>
        <v>40'</v>
      </c>
      <c r="S29" s="185" t="n"/>
      <c r="T29" s="61" t="str">
        <f>VLOOKUP(A29,'1.Loading'!A:R,2,FALSE)</f>
        <v>2026-10-16</v>
      </c>
      <c r="U29" s="63">
        <f>T29-S29</f>
        <v>46311</v>
      </c>
      <c r="V29" s="186" t="n"/>
      <c r="W29" s="61" t="str">
        <f>VLOOKUP(A29,'3.GateMove'!A:D,4,FALSE)</f>
        <v>2026-10-08</v>
      </c>
      <c r="X29" s="63">
        <f>((T29-W29)+1)</f>
        <v>9</v>
      </c>
      <c r="Y29" s="64">
        <f>IF(AND(OR(C29="BKK01",C29="BKK04"),L29="CFS/CY"),0,IF(M29="DG",1,IF(LEFT(C29,3)="LCH",7,IF(C29="BKK02",5,3))))</f>
        <v>5</v>
      </c>
      <c r="Z29" s="63">
        <f>IF(IF(AND(AC29="TML",AB29&gt;0),((T29-W29)+1)-AB29,((T29-W29)+1)-Y29)&gt;0,IF(AND(AC29="TML",AB29&gt;0),((T29-W29)+1)-AB29,((T29-W29)+1)-Y29),0)</f>
        <v>4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400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46312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400</v>
      </c>
      <c r="AJ29" s="188" t="n"/>
      <c r="AK29" s="62" t="str">
        <f>VLOOKUP(D29,'2.Bookinglist'!A:CT,40,FALSE)</f>
        <v>Dharaporn</v>
      </c>
      <c r="AL29" s="60" t="str">
        <f>VLOOKUP(D29,'2.Bookinglist'!A:CW,101,FALSE)</f>
        <v>2026-10-15</v>
      </c>
      <c r="AM29" s="60" t="str">
        <f>VLOOKUP(D29,'2.Bookinglist'!A:BK,63,FALSE)</f>
        <v>BKK27</v>
      </c>
      <c r="AN29" s="62" t="str">
        <f>VLOOKUP(D29,'2.Bookinglist'!A:AZ,52,FALSE)</f>
        <v>Pickup : 2026-10-06, Return : 2026-10-07 [1ST RTN 11/10/2026 W/O RENT]] </v>
      </c>
      <c r="AO29" s="62">
        <f>VLOOKUP(D29,'2.Bookinglist'!A:CY,103,FALSE)</f>
        <v>0</v>
      </c>
    </row>
    <row r="30" ht="12.95" customHeight="1">
      <c r="A30" s="96" t="inlineStr">
        <is>
          <t>SKHU6381700</t>
        </is>
      </c>
      <c r="B30" s="184" t="str">
        <f>IF(C30=Charge!$M$1,Charge!$J$1,IF(C30=Charge!$M$23,Charge!$J$23,IF(C30=Charge!$M$17,Charge!$J$17,IF(C30=Charge!$N$17,Charge!$J$17,Charge!$J$7))))</f>
        <v>G4</v>
      </c>
      <c r="C30" s="61" t="str">
        <f>VLOOKUP(A30,'1.Loading'!A:R,14,FALSE)</f>
        <v>BKK02</v>
      </c>
      <c r="D30" s="61" t="str">
        <f>VLOOKUP(A30,'1.Loading'!A:R,17,FALSE)</f>
        <v>HASLS22261000152</v>
      </c>
      <c r="E30" s="62" t="str">
        <f>VLOOKUP(D30,'2.Bookinglist'!A:CT,27,FALSE)</f>
        <v>BEE LOGISTICS (THAILAND) CO., LTD.</v>
      </c>
      <c r="F30" s="62" t="str">
        <f>VLOOKUP(D30,'2.Bookinglist'!A:CT,28,FALSE)</f>
        <v>DANONE SPECIALIZED NUTRITION (THAILAND) CO., LTD.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VNSGN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SWBT</v>
      </c>
      <c r="P30" s="61" t="str">
        <f>VLOOKUP(A30,'1.Loading'!A:R,4,FALSE)</f>
        <v>2616N</v>
      </c>
      <c r="Q30" s="61" t="str">
        <f>VLOOKUP(D30,'2.Bookinglist'!A:CT,12,FALSE)</f>
        <v>NTX</v>
      </c>
      <c r="R30" s="60" t="str">
        <f>IF(LEFT(K30,2)="22","20'","40'")</f>
        <v>40'</v>
      </c>
      <c r="S30" s="185" t="n"/>
      <c r="T30" s="61" t="str">
        <f>VLOOKUP(A30,'1.Loading'!A:R,2,FALSE)</f>
        <v>2026-10-16</v>
      </c>
      <c r="U30" s="63">
        <f>T30-S30</f>
        <v>46311</v>
      </c>
      <c r="V30" s="186" t="n"/>
      <c r="W30" s="61" t="str">
        <f>VLOOKUP(A30,'3.GateMove'!A:D,4,FALSE)</f>
        <v>2026-10-09</v>
      </c>
      <c r="X30" s="63">
        <f>((T30-W30)+1)</f>
        <v>8</v>
      </c>
      <c r="Y30" s="64">
        <f>IF(AND(OR(C30="BKK01",C30="BKK04"),L30="CFS/CY"),0,IF(M30="DG",1,IF(LEFT(C30,3)="LCH",7,IF(C30="BKK02",5,3))))</f>
        <v>5</v>
      </c>
      <c r="Z30" s="63">
        <f>IF(IF(AND(AC30="TML",AB30&gt;0),((T30-W30)+1)-AB30,((T30-W30)+1)-Y30)&gt;0,IF(AND(AC30="TML",AB30&gt;0),((T30-W30)+1)-AB30,((T30-W30)+1)-Y30),0)</f>
        <v>3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300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46312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300</v>
      </c>
      <c r="AJ30" s="188" t="n"/>
      <c r="AK30" s="62" t="str">
        <f>VLOOKUP(D30,'2.Bookinglist'!A:CT,40,FALSE)</f>
        <v>Nustsireerach</v>
      </c>
      <c r="AL30" s="60" t="str">
        <f>VLOOKUP(D30,'2.Bookinglist'!A:CW,101,FALSE)</f>
        <v>2026-10-15</v>
      </c>
      <c r="AM30" s="60" t="str">
        <f>VLOOKUP(D30,'2.Bookinglist'!A:BK,63,FALSE)</f>
        <v>BKK27</v>
      </c>
      <c r="AN30" s="62" t="str">
        <f>VLOOKUP(D30,'2.Bookinglist'!A:AZ,52,FALSE)</f>
        <v>Pickup : 2026-10-08, Return : 2026-10-09 [1ST RTN 11/10/2026 W/O RENT] </v>
      </c>
      <c r="AO30" s="62">
        <f>VLOOKUP(D30,'2.Bookinglist'!A:CY,103,FALSE)</f>
        <v>0</v>
      </c>
    </row>
    <row r="31" ht="12.95" customHeight="1">
      <c r="A31" s="96" t="inlineStr">
        <is>
          <t>SKHU6413849</t>
        </is>
      </c>
      <c r="B31" s="184" t="str">
        <f>IF(C31=Charge!$M$1,Charge!$J$1,IF(C31=Charge!$M$23,Charge!$J$23,IF(C31=Charge!$M$17,Charge!$J$17,IF(C31=Charge!$N$17,Charge!$J$17,Charge!$J$7))))</f>
        <v>G4</v>
      </c>
      <c r="C31" s="61" t="str">
        <f>VLOOKUP(A31,'1.Loading'!A:R,14,FALSE)</f>
        <v>BKK02</v>
      </c>
      <c r="D31" s="61" t="str">
        <f>VLOOKUP(A31,'1.Loading'!A:R,17,FALSE)</f>
        <v>HASLS22260902811</v>
      </c>
      <c r="E31" s="62" t="str">
        <f>VLOOKUP(D31,'2.Bookinglist'!A:CT,27,FALSE)</f>
        <v>OPENSEA CARGO SERVICE CO., LTD.</v>
      </c>
      <c r="F31" s="62" t="str">
        <f>VLOOKUP(D31,'2.Bookinglist'!A:CT,28,FALSE)</f>
        <v>KCG CORPORATION PUBLIC COMPANY LIMITED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VNSGN</v>
      </c>
      <c r="J31" s="61">
        <f>VLOOKUP(D31,'2.Bookinglist'!A:CT,26,FALSE)</f>
        <v>0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SWBT</v>
      </c>
      <c r="P31" s="61" t="str">
        <f>VLOOKUP(A31,'1.Loading'!A:R,4,FALSE)</f>
        <v>2616N</v>
      </c>
      <c r="Q31" s="61" t="str">
        <f>VLOOKUP(D31,'2.Bookinglist'!A:CT,12,FALSE)</f>
        <v>NTX</v>
      </c>
      <c r="R31" s="60" t="str">
        <f>IF(LEFT(K31,2)="22","20'","40'")</f>
        <v>40'</v>
      </c>
      <c r="S31" s="185" t="n"/>
      <c r="T31" s="61" t="str">
        <f>VLOOKUP(A31,'1.Loading'!A:R,2,FALSE)</f>
        <v>2026-10-16</v>
      </c>
      <c r="U31" s="63">
        <f>T31-S31</f>
        <v>46311</v>
      </c>
      <c r="V31" s="186" t="n"/>
      <c r="W31" s="61" t="str">
        <f>VLOOKUP(A31,'3.GateMove'!A:D,4,FALSE)</f>
        <v>2026-10-14</v>
      </c>
      <c r="X31" s="63">
        <f>((T31-W31)+1)</f>
        <v>3</v>
      </c>
      <c r="Y31" s="64">
        <f>IF(AND(OR(C31="BKK01",C31="BKK04"),L31="CFS/CY"),0,IF(M31="DG",1,IF(LEFT(C31,3)="LCH",7,IF(C31="BKK02",5,3))))</f>
        <v>5</v>
      </c>
      <c r="Z31" s="63">
        <f>IF(IF(AND(AC31="TML",AB31&gt;0),((T31-W31)+1)-AB31,((T31-W31)+1)-Y31)&gt;0,IF(AND(AC31="TML",AB31&gt;0),((T31-W31)+1)-AB31,((T31-W31)+1)-Y31),0)</f>
        <v>0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46312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0</v>
      </c>
      <c r="AJ31" s="188" t="n"/>
      <c r="AK31" s="62" t="str">
        <f>VLOOKUP(D31,'2.Bookinglist'!A:CT,40,FALSE)</f>
        <v>Sukunpoj Damrongying</v>
      </c>
      <c r="AL31" s="60" t="str">
        <f>VLOOKUP(D31,'2.Bookinglist'!A:CW,101,FALSE)</f>
        <v>2026-10-15</v>
      </c>
      <c r="AM31" s="60" t="str">
        <f>VLOOKUP(D31,'2.Bookinglist'!A:BK,63,FALSE)</f>
        <v>BKK25</v>
      </c>
      <c r="AN31" s="62" t="str">
        <f>VLOOKUP(D31,'2.Bookinglist'!A:AZ,52,FALSE)</f>
        <v>Pickup : 2026-10-14, Return : 2026-10-14</v>
      </c>
      <c r="AO31" s="62">
        <f>VLOOKUP(D31,'2.Bookinglist'!A:CY,103,FALSE)</f>
        <v>0</v>
      </c>
    </row>
    <row r="32" ht="12.95" customHeight="1">
      <c r="A32" s="96" t="inlineStr">
        <is>
          <t>SKHU6431626</t>
        </is>
      </c>
      <c r="B32" s="184" t="str">
        <f>IF(C32=Charge!$M$1,Charge!$J$1,IF(C32=Charge!$M$23,Charge!$J$23,IF(C32=Charge!$M$17,Charge!$J$17,IF(C32=Charge!$N$17,Charge!$J$17,Charge!$J$7))))</f>
        <v>G4</v>
      </c>
      <c r="C32" s="61" t="str">
        <f>VLOOKUP(A32,'1.Loading'!A:R,14,FALSE)</f>
        <v>BKK02</v>
      </c>
      <c r="D32" s="61" t="str">
        <f>VLOOKUP(A32,'1.Loading'!A:R,17,FALSE)</f>
        <v>HASLS22260902418</v>
      </c>
      <c r="E32" s="62" t="str">
        <f>VLOOKUP(D32,'2.Bookinglist'!A:CT,27,FALSE)</f>
        <v>BEE LOGISTICS (THAILAND) CO., LTD.</v>
      </c>
      <c r="F32" s="62" t="str">
        <f>VLOOKUP(D32,'2.Bookinglist'!A:CT,28,FALSE)</f>
        <v>DANONE SPECIALIZED NUTRITION (THAILAND) CO., LTD.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VNSGN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SWBT</v>
      </c>
      <c r="P32" s="61" t="str">
        <f>VLOOKUP(A32,'1.Loading'!A:R,4,FALSE)</f>
        <v>2616N</v>
      </c>
      <c r="Q32" s="61" t="str">
        <f>VLOOKUP(D32,'2.Bookinglist'!A:CT,12,FALSE)</f>
        <v>NTX</v>
      </c>
      <c r="R32" s="60" t="str">
        <f>IF(LEFT(K32,2)="22","20'","40'")</f>
        <v>40'</v>
      </c>
      <c r="S32" s="185" t="n"/>
      <c r="T32" s="61" t="str">
        <f>VLOOKUP(A32,'1.Loading'!A:R,2,FALSE)</f>
        <v>2026-10-16</v>
      </c>
      <c r="U32" s="63">
        <f>T32-S32</f>
        <v>46311</v>
      </c>
      <c r="V32" s="186" t="n"/>
      <c r="W32" s="61" t="str">
        <f>VLOOKUP(A32,'3.GateMove'!A:D,4,FALSE)</f>
        <v>2026-10-09</v>
      </c>
      <c r="X32" s="63">
        <f>((T32-W32)+1)</f>
        <v>8</v>
      </c>
      <c r="Y32" s="64">
        <f>IF(AND(OR(C32="BKK01",C32="BKK04"),L32="CFS/CY"),0,IF(M32="DG",1,IF(LEFT(C32,3)="LCH",7,IF(C32="BKK02",5,3))))</f>
        <v>5</v>
      </c>
      <c r="Z32" s="63">
        <f>IF(IF(AND(AC32="TML",AB32&gt;0),((T32-W32)+1)-AB32,((T32-W32)+1)-Y32)&gt;0,IF(AND(AC32="TML",AB32&gt;0),((T32-W32)+1)-AB32,((T32-W32)+1)-Y32),0)</f>
        <v>3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300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46312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300</v>
      </c>
      <c r="AJ32" s="188" t="n"/>
      <c r="AK32" s="62" t="str">
        <f>VLOOKUP(D32,'2.Bookinglist'!A:CT,40,FALSE)</f>
        <v>Nustsireerach</v>
      </c>
      <c r="AL32" s="60" t="str">
        <f>VLOOKUP(D32,'2.Bookinglist'!A:CW,101,FALSE)</f>
        <v>2026-10-15</v>
      </c>
      <c r="AM32" s="60" t="str">
        <f>VLOOKUP(D32,'2.Bookinglist'!A:BK,63,FALSE)</f>
        <v>BKK27</v>
      </c>
      <c r="AN32" s="62" t="str">
        <f>VLOOKUP(D32,'2.Bookinglist'!A:AZ,52,FALSE)</f>
        <v>Pickup : 2026-10-08, Return : 2026-10-09 [1ST RTN 11/10/2026 W/O RENT]</v>
      </c>
      <c r="AO32" s="62">
        <f>VLOOKUP(D32,'2.Bookinglist'!A:CY,103,FALSE)</f>
        <v>0</v>
      </c>
    </row>
    <row r="33" ht="12.95" customHeight="1">
      <c r="A33" s="96" t="inlineStr">
        <is>
          <t>SKHU6553898</t>
        </is>
      </c>
      <c r="B33" s="184" t="str">
        <f>IF(C33=Charge!$M$1,Charge!$J$1,IF(C33=Charge!$M$23,Charge!$J$23,IF(C33=Charge!$M$17,Charge!$J$17,IF(C33=Charge!$N$17,Charge!$J$17,Charge!$J$7))))</f>
        <v>G4</v>
      </c>
      <c r="C33" s="61" t="str">
        <f>VLOOKUP(A33,'1.Loading'!A:R,14,FALSE)</f>
        <v>BKK02</v>
      </c>
      <c r="D33" s="61" t="str">
        <f>VLOOKUP(A33,'1.Loading'!A:R,17,FALSE)</f>
        <v>HASLS22260902247</v>
      </c>
      <c r="E33" s="62" t="str">
        <f>VLOOKUP(D33,'2.Bookinglist'!A:CT,27,FALSE)</f>
        <v>CAPRICORN LOGISTICS CO., LTD.</v>
      </c>
      <c r="F33" s="62" t="str">
        <f>VLOOKUP(D33,'2.Bookinglist'!A:CT,28,FALSE)</f>
        <v>GENERAL CANDY CO., LTD. 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VNSGN</v>
      </c>
      <c r="J33" s="61">
        <f>VLOOKUP(D33,'2.Bookinglist'!A:CT,26,FALSE)</f>
        <v>0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SWBT</v>
      </c>
      <c r="P33" s="61" t="str">
        <f>VLOOKUP(A33,'1.Loading'!A:R,4,FALSE)</f>
        <v>2616N</v>
      </c>
      <c r="Q33" s="61" t="str">
        <f>VLOOKUP(D33,'2.Bookinglist'!A:CT,12,FALSE)</f>
        <v>NTX</v>
      </c>
      <c r="R33" s="60" t="str">
        <f>IF(LEFT(K33,2)="22","20'","40'")</f>
        <v>40'</v>
      </c>
      <c r="S33" s="185" t="n"/>
      <c r="T33" s="61" t="str">
        <f>VLOOKUP(A33,'1.Loading'!A:R,2,FALSE)</f>
        <v>2026-10-16</v>
      </c>
      <c r="U33" s="63">
        <f>T33-S33</f>
        <v>46311</v>
      </c>
      <c r="V33" s="186" t="n"/>
      <c r="W33" s="61" t="str">
        <f>VLOOKUP(A33,'3.GateMove'!A:D,4,FALSE)</f>
        <v>2026-10-12</v>
      </c>
      <c r="X33" s="63">
        <f>((T33-W33)+1)</f>
        <v>5</v>
      </c>
      <c r="Y33" s="64">
        <f>IF(AND(OR(C33="BKK01",C33="BKK04"),L33="CFS/CY"),0,IF(M33="DG",1,IF(LEFT(C33,3)="LCH",7,IF(C33="BKK02",5,3))))</f>
        <v>5</v>
      </c>
      <c r="Z33" s="63">
        <f>IF(IF(AND(AC33="TML",AB33&gt;0),((T33-W33)+1)-AB33,((T33-W33)+1)-Y33)&gt;0,IF(AND(AC33="TML",AB33&gt;0),((T33-W33)+1)-AB33,((T33-W33)+1)-Y33),0)</f>
        <v>0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46312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0</v>
      </c>
      <c r="AJ33" s="188" t="n"/>
      <c r="AK33" s="62" t="str">
        <f>VLOOKUP(D33,'2.Bookinglist'!A:CT,40,FALSE)</f>
        <v>Sukunpoj Damrongying</v>
      </c>
      <c r="AL33" s="60" t="str">
        <f>VLOOKUP(D33,'2.Bookinglist'!A:CW,101,FALSE)</f>
        <v>2026-10-16</v>
      </c>
      <c r="AM33" s="60" t="str">
        <f>VLOOKUP(D33,'2.Bookinglist'!A:BK,63,FALSE)</f>
        <v>BKK27</v>
      </c>
      <c r="AN33" s="62" t="str">
        <f>VLOOKUP(D33,'2.Bookinglist'!A:AZ,52,FALSE)</f>
        <v>Pickup : 2026-10-09, Return : 2026-10-10</v>
      </c>
      <c r="AO33" s="62" t="str">
        <f>VLOOKUP(D33,'2.Bookinglist'!A:CY,103,FALSE)</f>
        <v>ROLL OVER FROM PREVIOUS VSL PGPO 2612N BY ALLOATION TEAM MS.TARN APPROVED COST IS UNDER HA ACCOUNT</v>
      </c>
    </row>
    <row r="34" ht="12.95" customHeight="1">
      <c r="A34" s="96" t="inlineStr">
        <is>
          <t>SKHU6592282</t>
        </is>
      </c>
      <c r="B34" s="184" t="str">
        <f>IF(C34=Charge!$M$1,Charge!$J$1,IF(C34=Charge!$M$23,Charge!$J$23,IF(C34=Charge!$M$17,Charge!$J$17,IF(C34=Charge!$N$17,Charge!$J$17,Charge!$J$7))))</f>
        <v>G4</v>
      </c>
      <c r="C34" s="61" t="str">
        <f>VLOOKUP(A34,'1.Loading'!A:R,14,FALSE)</f>
        <v>BKK02</v>
      </c>
      <c r="D34" s="61" t="str">
        <f>VLOOKUP(A34,'1.Loading'!A:R,17,FALSE)</f>
        <v>HASLS22260902181</v>
      </c>
      <c r="E34" s="62" t="str">
        <f>VLOOKUP(D34,'2.Bookinglist'!A:CT,27,FALSE)</f>
        <v>BIRLA CARBON (THAILAND) PUBLIC COMPANY LIMITED</v>
      </c>
      <c r="F34" s="62" t="str">
        <f>VLOOKUP(D34,'2.Bookinglist'!A:CT,28,FALSE)</f>
        <v>BIRLA CARBON (THAILAND) PUBLIC COMPANY LIMITED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VNSGN</v>
      </c>
      <c r="J34" s="61">
        <f>VLOOKUP(D34,'2.Bookinglist'!A:CT,26,FALSE)</f>
        <v>0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SWBT</v>
      </c>
      <c r="P34" s="61" t="str">
        <f>VLOOKUP(A34,'1.Loading'!A:R,4,FALSE)</f>
        <v>2616N</v>
      </c>
      <c r="Q34" s="61" t="str">
        <f>VLOOKUP(D34,'2.Bookinglist'!A:CT,12,FALSE)</f>
        <v>NTX</v>
      </c>
      <c r="R34" s="60" t="str">
        <f>IF(LEFT(K34,2)="22","20'","40'")</f>
        <v>40'</v>
      </c>
      <c r="S34" s="185" t="n"/>
      <c r="T34" s="61" t="str">
        <f>VLOOKUP(A34,'1.Loading'!A:R,2,FALSE)</f>
        <v>2026-10-16</v>
      </c>
      <c r="U34" s="63">
        <f>T34-S34</f>
        <v>46311</v>
      </c>
      <c r="V34" s="186" t="n"/>
      <c r="W34" s="61" t="str">
        <f>VLOOKUP(A34,'3.GateMove'!A:D,4,FALSE)</f>
        <v>2026-10-11</v>
      </c>
      <c r="X34" s="63">
        <f>((T34-W34)+1)</f>
        <v>6</v>
      </c>
      <c r="Y34" s="64">
        <f>IF(AND(OR(C34="BKK01",C34="BKK04"),L34="CFS/CY"),0,IF(M34="DG",1,IF(LEFT(C34,3)="LCH",7,IF(C34="BKK02",5,3))))</f>
        <v>5</v>
      </c>
      <c r="Z34" s="63">
        <f>IF(IF(AND(AC34="TML",AB34&gt;0),((T34-W34)+1)-AB34,((T34-W34)+1)-Y34)&gt;0,IF(AND(AC34="TML",AB34&gt;0),((T34-W34)+1)-AB34,((T34-W34)+1)-Y34),0)</f>
        <v>1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100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46312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100</v>
      </c>
      <c r="AJ34" s="188" t="n"/>
      <c r="AK34" s="62" t="str">
        <f>VLOOKUP(D34,'2.Bookinglist'!A:CT,40,FALSE)</f>
        <v>Dharaporn</v>
      </c>
      <c r="AL34" s="60" t="str">
        <f>VLOOKUP(D34,'2.Bookinglist'!A:CW,101,FALSE)</f>
        <v>2026-10-15</v>
      </c>
      <c r="AM34" s="60" t="str">
        <f>VLOOKUP(D34,'2.Bookinglist'!A:BK,63,FALSE)</f>
        <v>BKK27</v>
      </c>
      <c r="AN34" s="62" t="str">
        <f>VLOOKUP(D34,'2.Bookinglist'!A:AZ,52,FALSE)</f>
        <v>Pickup : 2026-10-06, Return : 2026-10-07 [1ST RTN 11/10/2026 W/O RENT]]
</v>
      </c>
      <c r="AO34" s="62">
        <f>VLOOKUP(D34,'2.Bookinglist'!A:CY,103,FALSE)</f>
        <v>0</v>
      </c>
    </row>
    <row r="35" ht="12.95" customHeight="1">
      <c r="A35" s="96" t="inlineStr">
        <is>
          <t>SKHU6594496</t>
        </is>
      </c>
      <c r="B35" s="184" t="str">
        <f>IF(C35=Charge!$M$1,Charge!$J$1,IF(C35=Charge!$M$23,Charge!$J$23,IF(C35=Charge!$M$17,Charge!$J$17,IF(C35=Charge!$N$17,Charge!$J$17,Charge!$J$7))))</f>
        <v>G4</v>
      </c>
      <c r="C35" s="61" t="str">
        <f>VLOOKUP(A35,'1.Loading'!A:R,14,FALSE)</f>
        <v>BKK02</v>
      </c>
      <c r="D35" s="61" t="str">
        <f>VLOOKUP(A35,'1.Loading'!A:R,17,FALSE)</f>
        <v>HASLS22260902181</v>
      </c>
      <c r="E35" s="62" t="str">
        <f>VLOOKUP(D35,'2.Bookinglist'!A:CT,27,FALSE)</f>
        <v>BIRLA CARBON (THAILAND) PUBLIC COMPANY LIMITED</v>
      </c>
      <c r="F35" s="62" t="str">
        <f>VLOOKUP(D35,'2.Bookinglist'!A:CT,28,FALSE)</f>
        <v>BIRLA CARBON (THAILAND) PUBLIC COMPANY LIMITED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VNSGN</v>
      </c>
      <c r="J35" s="61">
        <f>VLOOKUP(D35,'2.Bookinglist'!A:CT,26,FALSE)</f>
        <v>0</v>
      </c>
      <c r="K35" s="61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SWBT</v>
      </c>
      <c r="P35" s="61" t="str">
        <f>VLOOKUP(A35,'1.Loading'!A:R,4,FALSE)</f>
        <v>2616N</v>
      </c>
      <c r="Q35" s="61" t="str">
        <f>VLOOKUP(D35,'2.Bookinglist'!A:CT,12,FALSE)</f>
        <v>NTX</v>
      </c>
      <c r="R35" s="60" t="str">
        <f>IF(LEFT(K35,2)="22","20'","40'")</f>
        <v>40'</v>
      </c>
      <c r="S35" s="185" t="n"/>
      <c r="T35" s="61" t="str">
        <f>VLOOKUP(A35,'1.Loading'!A:R,2,FALSE)</f>
        <v>2026-10-16</v>
      </c>
      <c r="U35" s="63">
        <f>T35-S35</f>
        <v>46311</v>
      </c>
      <c r="V35" s="186" t="n"/>
      <c r="W35" s="61" t="str">
        <f>VLOOKUP(A35,'3.GateMove'!A:D,4,FALSE)</f>
        <v>2026-10-11</v>
      </c>
      <c r="X35" s="63">
        <f>((T35-W35)+1)</f>
        <v>6</v>
      </c>
      <c r="Y35" s="64">
        <f>IF(AND(OR(C35="BKK01",C35="BKK04"),L35="CFS/CY"),0,IF(M35="DG",1,IF(LEFT(C35,3)="LCH",7,IF(C35="BKK02",5,3))))</f>
        <v>5</v>
      </c>
      <c r="Z35" s="63">
        <f>IF(IF(AND(AC35="TML",AB35&gt;0),((T35-W35)+1)-AB35,((T35-W35)+1)-Y35)&gt;0,IF(AND(AC35="TML",AB35&gt;0),((T35-W35)+1)-AB35,((T35-W35)+1)-Y35),0)</f>
        <v>1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100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46312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100</v>
      </c>
      <c r="AJ35" s="188" t="n"/>
      <c r="AK35" s="62" t="str">
        <f>VLOOKUP(D35,'2.Bookinglist'!A:CT,40,FALSE)</f>
        <v>Dharaporn</v>
      </c>
      <c r="AL35" s="60" t="str">
        <f>VLOOKUP(D35,'2.Bookinglist'!A:CW,101,FALSE)</f>
        <v>2026-10-15</v>
      </c>
      <c r="AM35" s="60" t="str">
        <f>VLOOKUP(D35,'2.Bookinglist'!A:BK,63,FALSE)</f>
        <v>BKK27</v>
      </c>
      <c r="AN35" s="62" t="str">
        <f>VLOOKUP(D35,'2.Bookinglist'!A:AZ,52,FALSE)</f>
        <v>Pickup : 2026-10-06, Return : 2026-10-07 [1ST RTN 11/10/2026 W/O RENT]]
</v>
      </c>
      <c r="AO35" s="62">
        <f>VLOOKUP(D35,'2.Bookinglist'!A:CY,103,FALSE)</f>
        <v>0</v>
      </c>
    </row>
    <row r="36" ht="12.95" customHeight="1">
      <c r="A36" s="96" t="inlineStr">
        <is>
          <t>SKHU8426845</t>
        </is>
      </c>
      <c r="B36" s="184" t="str">
        <f>IF(C36=Charge!$M$1,Charge!$J$1,IF(C36=Charge!$M$23,Charge!$J$23,IF(C36=Charge!$M$17,Charge!$J$17,IF(C36=Charge!$N$17,Charge!$J$17,Charge!$J$7))))</f>
        <v>G4</v>
      </c>
      <c r="C36" s="61" t="str">
        <f>VLOOKUP(A36,'1.Loading'!A:R,14,FALSE)</f>
        <v>BKK02</v>
      </c>
      <c r="D36" s="61" t="str">
        <f>VLOOKUP(A36,'1.Loading'!A:R,17,FALSE)</f>
        <v>HASLS22260902181</v>
      </c>
      <c r="E36" s="62" t="str">
        <f>VLOOKUP(D36,'2.Bookinglist'!A:CT,27,FALSE)</f>
        <v>BIRLA CARBON (THAILAND) PUBLIC COMPANY LIMITED</v>
      </c>
      <c r="F36" s="62" t="str">
        <f>VLOOKUP(D36,'2.Bookinglist'!A:CT,28,FALSE)</f>
        <v>BIRLA CARBON (THAILAND) PUBLIC COMPANY LIMITED</v>
      </c>
      <c r="G36" s="60">
        <f>VLOOKUP(D36,'2.Bookinglist'!A:E,5,FALSE)</f>
        <v>0</v>
      </c>
      <c r="H36" s="61" t="str">
        <f>VLOOKUP(D36,'2.Bookinglist'!A:CT,15,FALSE)</f>
        <v>THBKK</v>
      </c>
      <c r="I36" s="61" t="str">
        <f>VLOOKUP(D36,'2.Bookinglist'!A:CT,19,FALSE)</f>
        <v>VNSGN</v>
      </c>
      <c r="J36" s="61">
        <f>VLOOKUP(D36,'2.Bookinglist'!A:CT,26,FALSE)</f>
        <v>0</v>
      </c>
      <c r="K36" s="61" t="str">
        <f>VLOOKUP(A36,'1.Loading'!A:R,5,FALSE)</f>
        <v>45GP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SWBT</v>
      </c>
      <c r="P36" s="61" t="str">
        <f>VLOOKUP(A36,'1.Loading'!A:R,4,FALSE)</f>
        <v>2616N</v>
      </c>
      <c r="Q36" s="61" t="str">
        <f>VLOOKUP(D36,'2.Bookinglist'!A:CT,12,FALSE)</f>
        <v>NTX</v>
      </c>
      <c r="R36" s="60" t="str">
        <f>IF(LEFT(K36,2)="22","20'","40'")</f>
        <v>40'</v>
      </c>
      <c r="S36" s="185" t="n"/>
      <c r="T36" s="61" t="str">
        <f>VLOOKUP(A36,'1.Loading'!A:R,2,FALSE)</f>
        <v>2026-10-16</v>
      </c>
      <c r="U36" s="63">
        <f>T36-S36</f>
        <v>46311</v>
      </c>
      <c r="V36" s="186" t="n"/>
      <c r="W36" s="61" t="str">
        <f>VLOOKUP(A36,'3.GateMove'!A:D,4,FALSE)</f>
        <v>2026-10-11</v>
      </c>
      <c r="X36" s="63">
        <f>((T36-W36)+1)</f>
        <v>6</v>
      </c>
      <c r="Y36" s="64">
        <f>IF(AND(OR(C36="BKK01",C36="BKK04"),L36="CFS/CY"),0,IF(M36="DG",1,IF(LEFT(C36,3)="LCH",7,IF(C36="BKK02",5,3))))</f>
        <v>5</v>
      </c>
      <c r="Z36" s="63">
        <f>IF(IF(AND(AC36="TML",AB36&gt;0),((T36-W36)+1)-AB36,((T36-W36)+1)-Y36)&gt;0,IF(AND(AC36="TML",AB36&gt;0),((T36-W36)+1)-AB36,((T36-W36)+1)-Y36),0)</f>
        <v>1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100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46312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100</v>
      </c>
      <c r="AJ36" s="188" t="n"/>
      <c r="AK36" s="62" t="str">
        <f>VLOOKUP(D36,'2.Bookinglist'!A:CT,40,FALSE)</f>
        <v>Dharaporn</v>
      </c>
      <c r="AL36" s="60" t="str">
        <f>VLOOKUP(D36,'2.Bookinglist'!A:CW,101,FALSE)</f>
        <v>2026-10-15</v>
      </c>
      <c r="AM36" s="60" t="str">
        <f>VLOOKUP(D36,'2.Bookinglist'!A:BK,63,FALSE)</f>
        <v>BKK27</v>
      </c>
      <c r="AN36" s="62" t="str">
        <f>VLOOKUP(D36,'2.Bookinglist'!A:AZ,52,FALSE)</f>
        <v>Pickup : 2026-10-06, Return : 2026-10-07 [1ST RTN 11/10/2026 W/O RENT]]
</v>
      </c>
      <c r="AO36" s="62">
        <f>VLOOKUP(D36,'2.Bookinglist'!A:CY,103,FALSE)</f>
        <v>0</v>
      </c>
    </row>
    <row r="37" ht="12.95" customHeight="1">
      <c r="A37" s="96" t="inlineStr">
        <is>
          <t>SKHU9207395</t>
        </is>
      </c>
      <c r="B37" s="184" t="str">
        <f>IF(C37=Charge!$M$1,Charge!$J$1,IF(C37=Charge!$M$23,Charge!$J$23,IF(C37=Charge!$M$17,Charge!$J$17,IF(C37=Charge!$N$17,Charge!$J$17,Charge!$J$7))))</f>
        <v>G4</v>
      </c>
      <c r="C37" s="61" t="str">
        <f>VLOOKUP(A37,'1.Loading'!A:R,14,FALSE)</f>
        <v>BKK02</v>
      </c>
      <c r="D37" s="61" t="str">
        <f>VLOOKUP(A37,'1.Loading'!A:R,17,FALSE)</f>
        <v>HASLS22261000099</v>
      </c>
      <c r="E37" s="62" t="str">
        <f>VLOOKUP(D37,'2.Bookinglist'!A:CT,27,FALSE)</f>
        <v>ACCORD PILOT LOGISTICS (THAILAND) CO., LTD.</v>
      </c>
      <c r="F37" s="62" t="str">
        <f>VLOOKUP(D37,'2.Bookinglist'!A:CT,28,FALSE)</f>
        <v>ASIAN-PACIFIC CAN CO., LTD.</v>
      </c>
      <c r="G37" s="60">
        <f>VLOOKUP(D37,'2.Bookinglist'!A:E,5,FALSE)</f>
        <v>0</v>
      </c>
      <c r="H37" s="61" t="str">
        <f>VLOOKUP(D37,'2.Bookinglist'!A:CT,15,FALSE)</f>
        <v>THBKK</v>
      </c>
      <c r="I37" s="61" t="str">
        <f>VLOOKUP(D37,'2.Bookinglist'!A:CT,19,FALSE)</f>
        <v>VNSGN</v>
      </c>
      <c r="J37" s="61">
        <f>VLOOKUP(D37,'2.Bookinglist'!A:CT,26,FALSE)</f>
        <v>0</v>
      </c>
      <c r="K37" s="61" t="str">
        <f>VLOOKUP(A37,'1.Loading'!A:R,5,FALSE)</f>
        <v>45GP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SWBT</v>
      </c>
      <c r="P37" s="61" t="str">
        <f>VLOOKUP(A37,'1.Loading'!A:R,4,FALSE)</f>
        <v>2616N</v>
      </c>
      <c r="Q37" s="61" t="str">
        <f>VLOOKUP(D37,'2.Bookinglist'!A:CT,12,FALSE)</f>
        <v>NTX</v>
      </c>
      <c r="R37" s="60" t="str">
        <f>IF(LEFT(K37,2)="22","20'","40'")</f>
        <v>40'</v>
      </c>
      <c r="S37" s="185" t="n"/>
      <c r="T37" s="61" t="str">
        <f>VLOOKUP(A37,'1.Loading'!A:R,2,FALSE)</f>
        <v>2026-10-16</v>
      </c>
      <c r="U37" s="63">
        <f>T37-S37</f>
        <v>46311</v>
      </c>
      <c r="V37" s="186" t="n"/>
      <c r="W37" s="61" t="str">
        <f>VLOOKUP(A37,'3.GateMove'!A:D,4,FALSE)</f>
        <v>2026-10-12</v>
      </c>
      <c r="X37" s="63">
        <f>((T37-W37)+1)</f>
        <v>5</v>
      </c>
      <c r="Y37" s="64">
        <f>IF(AND(OR(C37="BKK01",C37="BKK04"),L37="CFS/CY"),0,IF(M37="DG",1,IF(LEFT(C37,3)="LCH",7,IF(C37="BKK02",5,3))))</f>
        <v>5</v>
      </c>
      <c r="Z37" s="63">
        <f>IF(IF(AND(AC37="TML",AB37&gt;0),((T37-W37)+1)-AB37,((T37-W37)+1)-Y37)&gt;0,IF(AND(AC37="TML",AB37&gt;0),((T37-W37)+1)-AB37,((T37-W37)+1)-Y37),0)</f>
        <v>0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46312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0</v>
      </c>
      <c r="AJ37" s="188" t="n"/>
      <c r="AK37" s="62" t="str">
        <f>VLOOKUP(D37,'2.Bookinglist'!A:CT,40,FALSE)</f>
        <v>Kanokporn</v>
      </c>
      <c r="AL37" s="60" t="str">
        <f>VLOOKUP(D37,'2.Bookinglist'!A:CW,101,FALSE)</f>
        <v>2026-10-14</v>
      </c>
      <c r="AM37" s="60" t="str">
        <f>VLOOKUP(D37,'2.Bookinglist'!A:BK,63,FALSE)</f>
        <v>BKK27</v>
      </c>
      <c r="AN37" s="62" t="str">
        <f>VLOOKUP(D37,'2.Bookinglist'!A:AZ,52,FALSE)</f>
        <v>Pickup : 2026-10-09, Return : 2026-10-09 (1ST RTN DD: 11/10/26 WO/RENT)</v>
      </c>
      <c r="AO37" s="62">
        <f>VLOOKUP(D37,'2.Bookinglist'!A:CY,103,FALSE)</f>
        <v>0</v>
      </c>
    </row>
    <row r="38" ht="12.95" customHeight="1">
      <c r="A38" s="96" t="inlineStr">
        <is>
          <t>SKHU9530957</t>
        </is>
      </c>
      <c r="B38" s="184" t="str">
        <f>IF(C38=Charge!$M$1,Charge!$J$1,IF(C38=Charge!$M$23,Charge!$J$23,IF(C38=Charge!$M$17,Charge!$J$17,IF(C38=Charge!$N$17,Charge!$J$17,Charge!$J$7))))</f>
        <v>G4</v>
      </c>
      <c r="C38" s="61" t="str">
        <f>VLOOKUP(A38,'1.Loading'!A:R,14,FALSE)</f>
        <v>BKK02</v>
      </c>
      <c r="D38" s="61" t="str">
        <f>VLOOKUP(A38,'1.Loading'!A:R,17,FALSE)</f>
        <v>HASLS22260902754</v>
      </c>
      <c r="E38" s="62" t="str">
        <f>VLOOKUP(D38,'2.Bookinglist'!A:CT,27,FALSE)</f>
        <v>FREIGHT LINKS EXPRESS (THAILAND) CO., LTD.</v>
      </c>
      <c r="F38" s="62" t="str">
        <f>VLOOKUP(D38,'2.Bookinglist'!A:CT,28,FALSE)</f>
        <v>FEDERAL-MOGUL (THAILAND) COMPANY LIMITED</v>
      </c>
      <c r="G38" s="60">
        <f>VLOOKUP(D38,'2.Bookinglist'!A:E,5,FALSE)</f>
        <v>0</v>
      </c>
      <c r="H38" s="61" t="str">
        <f>VLOOKUP(D38,'2.Bookinglist'!A:CT,15,FALSE)</f>
        <v>THBKK</v>
      </c>
      <c r="I38" s="61" t="str">
        <f>VLOOKUP(D38,'2.Bookinglist'!A:CT,19,FALSE)</f>
        <v>VNSGN</v>
      </c>
      <c r="J38" s="61">
        <f>VLOOKUP(D38,'2.Bookinglist'!A:CT,26,FALSE)</f>
        <v>0</v>
      </c>
      <c r="K38" s="61" t="str">
        <f>VLOOKUP(A38,'1.Loading'!A:R,5,FALSE)</f>
        <v>45GP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SWBT</v>
      </c>
      <c r="P38" s="61" t="str">
        <f>VLOOKUP(A38,'1.Loading'!A:R,4,FALSE)</f>
        <v>2616N</v>
      </c>
      <c r="Q38" s="61" t="str">
        <f>VLOOKUP(D38,'2.Bookinglist'!A:CT,12,FALSE)</f>
        <v>NTX</v>
      </c>
      <c r="R38" s="60" t="str">
        <f>IF(LEFT(K38,2)="22","20'","40'")</f>
        <v>40'</v>
      </c>
      <c r="S38" s="185" t="n"/>
      <c r="T38" s="61" t="str">
        <f>VLOOKUP(A38,'1.Loading'!A:R,2,FALSE)</f>
        <v>2026-10-16</v>
      </c>
      <c r="U38" s="63">
        <f>T38-S38</f>
        <v>46311</v>
      </c>
      <c r="V38" s="186" t="n"/>
      <c r="W38" s="61" t="str">
        <f>VLOOKUP(A38,'3.GateMove'!A:D,4,FALSE)</f>
        <v>2026-10-10</v>
      </c>
      <c r="X38" s="63">
        <f>((T38-W38)+1)</f>
        <v>7</v>
      </c>
      <c r="Y38" s="64">
        <f>IF(AND(OR(C38="BKK01",C38="BKK04"),L38="CFS/CY"),0,IF(M38="DG",1,IF(LEFT(C38,3)="LCH",7,IF(C38="BKK02",5,3))))</f>
        <v>5</v>
      </c>
      <c r="Z38" s="63">
        <f>IF(IF(AND(AC38="TML",AB38&gt;0),((T38-W38)+1)-AB38,((T38-W38)+1)-Y38)&gt;0,IF(AND(AC38="TML",AB38&gt;0),((T38-W38)+1)-AB38,((T38-W38)+1)-Y38),0)</f>
        <v>2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200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46312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200</v>
      </c>
      <c r="AJ38" s="188" t="n"/>
      <c r="AK38" s="62" t="str">
        <f>VLOOKUP(D38,'2.Bookinglist'!A:CT,40,FALSE)</f>
        <v>Nustsireerach</v>
      </c>
      <c r="AL38" s="60" t="str">
        <f>VLOOKUP(D38,'2.Bookinglist'!A:CW,101,FALSE)</f>
        <v>2026-10-15</v>
      </c>
      <c r="AM38" s="60" t="str">
        <f>VLOOKUP(D38,'2.Bookinglist'!A:BK,63,FALSE)</f>
        <v>BKK27</v>
      </c>
      <c r="AN38" s="62" t="str">
        <f>VLOOKUP(D38,'2.Bookinglist'!A:AZ,52,FALSE)</f>
        <v>Pickup : 2026-10-09, Return : 2026-10-10</v>
      </c>
      <c r="AO38" s="62" t="str">
        <f>VLOOKUP(D38,'2.Bookinglist'!A:CY,103,FALSE)</f>
        <v>ROLL OVER FROM PREIVOUS VSL KUS 2616N BY ALLOCATION TEAM MS.TARN APRPOVED COST IS UNDER HA DD.8//10</v>
      </c>
    </row>
    <row r="39" ht="12.95" customHeight="1">
      <c r="A39" s="96" t="inlineStr">
        <is>
          <t>SKHU9912965</t>
        </is>
      </c>
      <c r="B39" s="184" t="str">
        <f>IF(C39=Charge!$M$1,Charge!$J$1,IF(C39=Charge!$M$23,Charge!$J$23,IF(C39=Charge!$M$17,Charge!$J$17,IF(C39=Charge!$N$17,Charge!$J$17,Charge!$J$7))))</f>
        <v>G4</v>
      </c>
      <c r="C39" s="61" t="str">
        <f>VLOOKUP(A39,'1.Loading'!A:R,14,FALSE)</f>
        <v>BKK02</v>
      </c>
      <c r="D39" s="61" t="str">
        <f>VLOOKUP(A39,'1.Loading'!A:R,17,FALSE)</f>
        <v>HASLS22260902179</v>
      </c>
      <c r="E39" s="62" t="str">
        <f>VLOOKUP(D39,'2.Bookinglist'!A:CT,27,FALSE)</f>
        <v>BIRLA CARBON (THAILAND) PUBLIC COMPANY LIMITED</v>
      </c>
      <c r="F39" s="62" t="str">
        <f>VLOOKUP(D39,'2.Bookinglist'!A:CT,28,FALSE)</f>
        <v>BIRLA CARBON (THAILAND) PUBLIC COMPANY LIMITED</v>
      </c>
      <c r="G39" s="60">
        <f>VLOOKUP(D39,'2.Bookinglist'!A:E,5,FALSE)</f>
        <v>0</v>
      </c>
      <c r="H39" s="61" t="str">
        <f>VLOOKUP(D39,'2.Bookinglist'!A:CT,15,FALSE)</f>
        <v>THBKK</v>
      </c>
      <c r="I39" s="61" t="str">
        <f>VLOOKUP(D39,'2.Bookinglist'!A:CT,19,FALSE)</f>
        <v>VNSGN</v>
      </c>
      <c r="J39" s="61">
        <f>VLOOKUP(D39,'2.Bookinglist'!A:CT,26,FALSE)</f>
        <v>0</v>
      </c>
      <c r="K39" s="61" t="str">
        <f>VLOOKUP(A39,'1.Loading'!A:R,5,FALSE)</f>
        <v>45GP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SWBT</v>
      </c>
      <c r="P39" s="61" t="str">
        <f>VLOOKUP(A39,'1.Loading'!A:R,4,FALSE)</f>
        <v>2616N</v>
      </c>
      <c r="Q39" s="61" t="str">
        <f>VLOOKUP(D39,'2.Bookinglist'!A:CT,12,FALSE)</f>
        <v>NTX</v>
      </c>
      <c r="R39" s="60" t="str">
        <f>IF(LEFT(K39,2)="22","20'","40'")</f>
        <v>40'</v>
      </c>
      <c r="S39" s="185" t="n"/>
      <c r="T39" s="61" t="str">
        <f>VLOOKUP(A39,'1.Loading'!A:R,2,FALSE)</f>
        <v>2026-10-16</v>
      </c>
      <c r="U39" s="63">
        <f>T39-S39</f>
        <v>46311</v>
      </c>
      <c r="V39" s="186" t="n"/>
      <c r="W39" s="61" t="str">
        <f>VLOOKUP(A39,'3.GateMove'!A:D,4,FALSE)</f>
        <v>2026-10-08</v>
      </c>
      <c r="X39" s="63">
        <f>((T39-W39)+1)</f>
        <v>9</v>
      </c>
      <c r="Y39" s="64">
        <f>IF(AND(OR(C39="BKK01",C39="BKK04"),L39="CFS/CY"),0,IF(M39="DG",1,IF(LEFT(C39,3)="LCH",7,IF(C39="BKK02",5,3))))</f>
        <v>5</v>
      </c>
      <c r="Z39" s="63">
        <f>IF(IF(AND(AC39="TML",AB39&gt;0),((T39-W39)+1)-AB39,((T39-W39)+1)-Y39)&gt;0,IF(AND(AC39="TML",AB39&gt;0),((T39-W39)+1)-AB39,((T39-W39)+1)-Y39),0)</f>
        <v>4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400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46312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400</v>
      </c>
      <c r="AJ39" s="188" t="n"/>
      <c r="AK39" s="62" t="str">
        <f>VLOOKUP(D39,'2.Bookinglist'!A:CT,40,FALSE)</f>
        <v>Dharaporn</v>
      </c>
      <c r="AL39" s="60" t="str">
        <f>VLOOKUP(D39,'2.Bookinglist'!A:CW,101,FALSE)</f>
        <v>2026-10-15</v>
      </c>
      <c r="AM39" s="60" t="str">
        <f>VLOOKUP(D39,'2.Bookinglist'!A:BK,63,FALSE)</f>
        <v>BKK27</v>
      </c>
      <c r="AN39" s="62" t="str">
        <f>VLOOKUP(D39,'2.Bookinglist'!A:AZ,52,FALSE)</f>
        <v>Pickup : 2026-10-06, Return : 2026-10-07 [1ST RTN 11/10/2026 W/O RENT]] </v>
      </c>
      <c r="AO39" s="62">
        <f>VLOOKUP(D39,'2.Bookinglist'!A:CY,103,FALSE)</f>
        <v>0</v>
      </c>
    </row>
    <row r="40" ht="12.95" customHeight="1">
      <c r="A40" s="96" t="inlineStr">
        <is>
          <t>SKHU9938466</t>
        </is>
      </c>
      <c r="B40" s="184" t="str">
        <f>IF(C40=Charge!$M$1,Charge!$J$1,IF(C40=Charge!$M$23,Charge!$J$23,IF(C40=Charge!$M$17,Charge!$J$17,IF(C40=Charge!$N$17,Charge!$J$17,Charge!$J$7))))</f>
        <v>G4</v>
      </c>
      <c r="C40" s="61" t="str">
        <f>VLOOKUP(A40,'1.Loading'!A:R,14,FALSE)</f>
        <v>BKK02</v>
      </c>
      <c r="D40" s="61" t="str">
        <f>VLOOKUP(A40,'1.Loading'!A:R,17,FALSE)</f>
        <v>HASLS22260902181</v>
      </c>
      <c r="E40" s="62" t="str">
        <f>VLOOKUP(D40,'2.Bookinglist'!A:CT,27,FALSE)</f>
        <v>BIRLA CARBON (THAILAND) PUBLIC COMPANY LIMITED</v>
      </c>
      <c r="F40" s="62" t="str">
        <f>VLOOKUP(D40,'2.Bookinglist'!A:CT,28,FALSE)</f>
        <v>BIRLA CARBON (THAILAND) PUBLIC COMPANY LIMITED</v>
      </c>
      <c r="G40" s="60">
        <f>VLOOKUP(D40,'2.Bookinglist'!A:E,5,FALSE)</f>
        <v>0</v>
      </c>
      <c r="H40" s="61" t="str">
        <f>VLOOKUP(D40,'2.Bookinglist'!A:CT,15,FALSE)</f>
        <v>THBKK</v>
      </c>
      <c r="I40" s="61" t="str">
        <f>VLOOKUP(D40,'2.Bookinglist'!A:CT,19,FALSE)</f>
        <v>VNSGN</v>
      </c>
      <c r="J40" s="61">
        <f>VLOOKUP(D40,'2.Bookinglist'!A:CT,26,FALSE)</f>
        <v>0</v>
      </c>
      <c r="K40" s="61" t="str">
        <f>VLOOKUP(A40,'1.Loading'!A:R,5,FALSE)</f>
        <v>45GP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SWBT</v>
      </c>
      <c r="P40" s="61" t="str">
        <f>VLOOKUP(A40,'1.Loading'!A:R,4,FALSE)</f>
        <v>2616N</v>
      </c>
      <c r="Q40" s="61" t="str">
        <f>VLOOKUP(D40,'2.Bookinglist'!A:CT,12,FALSE)</f>
        <v>NTX</v>
      </c>
      <c r="R40" s="60" t="str">
        <f>IF(LEFT(K40,2)="22","20'","40'")</f>
        <v>40'</v>
      </c>
      <c r="S40" s="185" t="n"/>
      <c r="T40" s="61" t="str">
        <f>VLOOKUP(A40,'1.Loading'!A:R,2,FALSE)</f>
        <v>2026-10-16</v>
      </c>
      <c r="U40" s="63">
        <f>T40-S40</f>
        <v>46311</v>
      </c>
      <c r="V40" s="186" t="n"/>
      <c r="W40" s="61" t="str">
        <f>VLOOKUP(A40,'3.GateMove'!A:D,4,FALSE)</f>
        <v>2026-10-11</v>
      </c>
      <c r="X40" s="63">
        <f>((T40-W40)+1)</f>
        <v>6</v>
      </c>
      <c r="Y40" s="64">
        <f>IF(AND(OR(C40="BKK01",C40="BKK04"),L40="CFS/CY"),0,IF(M40="DG",1,IF(LEFT(C40,3)="LCH",7,IF(C40="BKK02",5,3))))</f>
        <v>5</v>
      </c>
      <c r="Z40" s="63">
        <f>IF(IF(AND(AC40="TML",AB40&gt;0),((T40-W40)+1)-AB40,((T40-W40)+1)-Y40)&gt;0,IF(AND(AC40="TML",AB40&gt;0),((T40-W40)+1)-AB40,((T40-W40)+1)-Y40),0)</f>
        <v>1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100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46312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100</v>
      </c>
      <c r="AJ40" s="188" t="n"/>
      <c r="AK40" s="62" t="str">
        <f>VLOOKUP(D40,'2.Bookinglist'!A:CT,40,FALSE)</f>
        <v>Dharaporn</v>
      </c>
      <c r="AL40" s="60" t="str">
        <f>VLOOKUP(D40,'2.Bookinglist'!A:CW,101,FALSE)</f>
        <v>2026-10-15</v>
      </c>
      <c r="AM40" s="60" t="str">
        <f>VLOOKUP(D40,'2.Bookinglist'!A:BK,63,FALSE)</f>
        <v>BKK27</v>
      </c>
      <c r="AN40" s="62" t="str">
        <f>VLOOKUP(D40,'2.Bookinglist'!A:AZ,52,FALSE)</f>
        <v>Pickup : 2026-10-06, Return : 2026-10-07 [1ST RTN 11/10/2026 W/O RENT]]
</v>
      </c>
      <c r="AO40" s="62">
        <f>VLOOKUP(D40,'2.Bookinglist'!A:CY,103,FALSE)</f>
        <v>0</v>
      </c>
    </row>
    <row r="41" ht="12.95" customHeight="1">
      <c r="A41" s="96" t="inlineStr">
        <is>
          <t>SKLU1445498</t>
        </is>
      </c>
      <c r="B41" s="184" t="str">
        <f>IF(C41=Charge!$M$1,Charge!$J$1,IF(C41=Charge!$M$23,Charge!$J$23,IF(C41=Charge!$M$17,Charge!$J$17,IF(C41=Charge!$N$17,Charge!$J$17,Charge!$J$7))))</f>
        <v>G4</v>
      </c>
      <c r="C41" s="61" t="str">
        <f>VLOOKUP(A41,'1.Loading'!A:R,14,FALSE)</f>
        <v>BKK02</v>
      </c>
      <c r="D41" s="61" t="str">
        <f>VLOOKUP(A41,'1.Loading'!A:R,17,FALSE)</f>
        <v>HASLS22261000033</v>
      </c>
      <c r="E41" s="62" t="str">
        <f>VLOOKUP(D41,'2.Bookinglist'!A:CT,27,FALSE)</f>
        <v>BUDGET LOGISTICS SERVICES CO., LTD.</v>
      </c>
      <c r="F41" s="62" t="str">
        <f>VLOOKUP(D41,'2.Bookinglist'!A:CT,28,FALSE)</f>
        <v>SIAM QUALITY INDUSTRIES CO., LTD.</v>
      </c>
      <c r="G41" s="60">
        <f>VLOOKUP(D41,'2.Bookinglist'!A:E,5,FALSE)</f>
        <v>0</v>
      </c>
      <c r="H41" s="61" t="str">
        <f>VLOOKUP(D41,'2.Bookinglist'!A:CT,15,FALSE)</f>
        <v>THBKK</v>
      </c>
      <c r="I41" s="61" t="str">
        <f>VLOOKUP(D41,'2.Bookinglist'!A:CT,19,FALSE)</f>
        <v>VNSGN</v>
      </c>
      <c r="J41" s="61">
        <f>VLOOKUP(D41,'2.Bookinglist'!A:CT,26,FALSE)</f>
        <v>0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SWBT</v>
      </c>
      <c r="P41" s="61" t="str">
        <f>VLOOKUP(A41,'1.Loading'!A:R,4,FALSE)</f>
        <v>2616N</v>
      </c>
      <c r="Q41" s="61" t="str">
        <f>VLOOKUP(D41,'2.Bookinglist'!A:CT,12,FALSE)</f>
        <v>NTX</v>
      </c>
      <c r="R41" s="60" t="str">
        <f>IF(LEFT(K41,2)="22","20'","40'")</f>
        <v>20'</v>
      </c>
      <c r="S41" s="185" t="n"/>
      <c r="T41" s="61" t="str">
        <f>VLOOKUP(A41,'1.Loading'!A:R,2,FALSE)</f>
        <v>2026-10-16</v>
      </c>
      <c r="U41" s="63">
        <f>T41-S41</f>
        <v>46311</v>
      </c>
      <c r="V41" s="186" t="n"/>
      <c r="W41" s="61" t="str">
        <f>VLOOKUP(A41,'3.GateMove'!A:D,4,FALSE)</f>
        <v>2026-10-12</v>
      </c>
      <c r="X41" s="63">
        <f>((T41-W41)+1)</f>
        <v>5</v>
      </c>
      <c r="Y41" s="64">
        <f>IF(AND(OR(C41="BKK01",C41="BKK04"),L41="CFS/CY"),0,IF(M41="DG",1,IF(LEFT(C41,3)="LCH",7,IF(C41="BKK02",5,3))))</f>
        <v>5</v>
      </c>
      <c r="Z41" s="63">
        <f>IF(IF(AND(AC41="TML",AB41&gt;0),((T41-W41)+1)-AB41,((T41-W41)+1)-Y41)&gt;0,IF(AND(AC41="TML",AB41&gt;0),((T41-W41)+1)-AB41,((T41-W41)+1)-Y41),0)</f>
        <v>0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46312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0</v>
      </c>
      <c r="AJ41" s="188" t="n"/>
      <c r="AK41" s="62" t="str">
        <f>VLOOKUP(D41,'2.Bookinglist'!A:CT,40,FALSE)</f>
        <v>Nannaapust Sukporntaweewat</v>
      </c>
      <c r="AL41" s="60" t="str">
        <f>VLOOKUP(D41,'2.Bookinglist'!A:CW,101,FALSE)</f>
        <v>2026-10-15</v>
      </c>
      <c r="AM41" s="60" t="str">
        <f>VLOOKUP(D41,'2.Bookinglist'!A:BK,63,FALSE)</f>
        <v>BKK27</v>
      </c>
      <c r="AN41" s="62" t="str">
        <f>VLOOKUP(D41,'2.Bookinglist'!A:AZ,52,FALSE)</f>
        <v>Pickup : 2026-10-10, Return : 2026-10-12  </v>
      </c>
      <c r="AO41" s="62">
        <f>VLOOKUP(D41,'2.Bookinglist'!A:CY,103,FALSE)</f>
        <v>0</v>
      </c>
    </row>
    <row r="42" ht="12.95" customHeight="1">
      <c r="A42" s="96" t="inlineStr">
        <is>
          <t>SKLU1500701</t>
        </is>
      </c>
      <c r="B42" s="184" t="str">
        <f>IF(C42=Charge!$M$1,Charge!$J$1,IF(C42=Charge!$M$23,Charge!$J$23,IF(C42=Charge!$M$17,Charge!$J$17,IF(C42=Charge!$N$17,Charge!$J$17,Charge!$J$7))))</f>
        <v>G4</v>
      </c>
      <c r="C42" s="61" t="str">
        <f>VLOOKUP(A42,'1.Loading'!A:R,14,FALSE)</f>
        <v>BKK02</v>
      </c>
      <c r="D42" s="61" t="str">
        <f>VLOOKUP(A42,'1.Loading'!A:R,17,FALSE)</f>
        <v>HASLS22260900904</v>
      </c>
      <c r="E42" s="62" t="str">
        <f>VLOOKUP(D42,'2.Bookinglist'!A:CT,27,FALSE)</f>
        <v>MJ LOGISTICS (THAILAND) CO., LTD.</v>
      </c>
      <c r="F42" s="62" t="str">
        <f>VLOOKUP(D42,'2.Bookinglist'!A:CT,28,FALSE)</f>
        <v>TAVEEPHOL PRODUCT CO.,LTD.</v>
      </c>
      <c r="G42" s="60">
        <f>VLOOKUP(D42,'2.Bookinglist'!A:E,5,FALSE)</f>
        <v>0</v>
      </c>
      <c r="H42" s="61" t="str">
        <f>VLOOKUP(D42,'2.Bookinglist'!A:CT,15,FALSE)</f>
        <v>THBKK</v>
      </c>
      <c r="I42" s="61" t="str">
        <f>VLOOKUP(D42,'2.Bookinglist'!A:CT,19,FALSE)</f>
        <v>RUVVO</v>
      </c>
      <c r="J42" s="61" t="str">
        <f>VLOOKUP(D42,'2.Bookinglist'!A:CT,26,FALSE)</f>
        <v>KRPUS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SWBT</v>
      </c>
      <c r="P42" s="61" t="str">
        <f>VLOOKUP(A42,'1.Loading'!A:R,4,FALSE)</f>
        <v>2616N</v>
      </c>
      <c r="Q42" s="61" t="str">
        <f>VLOOKUP(D42,'2.Bookinglist'!A:CT,12,FALSE)</f>
        <v>NTX</v>
      </c>
      <c r="R42" s="60" t="str">
        <f>IF(LEFT(K42,2)="22","20'","40'")</f>
        <v>20'</v>
      </c>
      <c r="S42" s="185" t="n"/>
      <c r="T42" s="61" t="str">
        <f>VLOOKUP(A42,'1.Loading'!A:R,2,FALSE)</f>
        <v>2026-10-16</v>
      </c>
      <c r="U42" s="63">
        <f>T42-S42</f>
        <v>46311</v>
      </c>
      <c r="V42" s="186" t="n"/>
      <c r="W42" s="61" t="str">
        <f>VLOOKUP(A42,'3.GateMove'!A:D,4,FALSE)</f>
        <v>2026-10-09</v>
      </c>
      <c r="X42" s="63">
        <f>((T42-W42)+1)</f>
        <v>8</v>
      </c>
      <c r="Y42" s="64">
        <f>IF(AND(OR(C42="BKK01",C42="BKK04"),L42="CFS/CY"),0,IF(M42="DG",1,IF(LEFT(C42,3)="LCH",7,IF(C42="BKK02",5,3))))</f>
        <v>5</v>
      </c>
      <c r="Z42" s="63">
        <f>IF(IF(AND(AC42="TML",AB42&gt;0),((T42-W42)+1)-AB42,((T42-W42)+1)-Y42)&gt;0,IF(AND(AC42="TML",AB42&gt;0),((T42-W42)+1)-AB42,((T42-W42)+1)-Y42),0)</f>
        <v>3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150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46312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150</v>
      </c>
      <c r="AJ42" s="188" t="n"/>
      <c r="AK42" s="62" t="str">
        <f>VLOOKUP(D42,'2.Bookinglist'!A:CT,40,FALSE)</f>
        <v>KIM JEONG HWAN</v>
      </c>
      <c r="AL42" s="60" t="str">
        <f>VLOOKUP(D42,'2.Bookinglist'!A:CW,101,FALSE)</f>
        <v>2026-10-12</v>
      </c>
      <c r="AM42" s="60" t="str">
        <f>VLOOKUP(D42,'2.Bookinglist'!A:BK,63,FALSE)</f>
        <v>BKK25</v>
      </c>
      <c r="AN42" s="62" t="str">
        <f>VLOOKUP(D42,'2.Bookinglist'!A:AZ,52,FALSE)</f>
        <v>[FIX]SWBT/2616N/10/27[FIX] Pickup : 2026-10-08, Return : 2026-10-10</v>
      </c>
      <c r="AO42" s="62">
        <f>VLOOKUP(D42,'2.Bookinglist'!A:CY,103,FALSE)</f>
        <v>0</v>
      </c>
    </row>
    <row r="43" ht="12.95" customHeight="1">
      <c r="A43" s="96" t="inlineStr">
        <is>
          <t>SKLU2434395</t>
        </is>
      </c>
      <c r="B43" s="184" t="str">
        <f>IF(C43=Charge!$M$1,Charge!$J$1,IF(C43=Charge!$M$23,Charge!$J$23,IF(C43=Charge!$M$17,Charge!$J$17,IF(C43=Charge!$N$17,Charge!$J$17,Charge!$J$7))))</f>
        <v>G4</v>
      </c>
      <c r="C43" s="61" t="str">
        <f>VLOOKUP(A43,'1.Loading'!A:R,14,FALSE)</f>
        <v>BKK02</v>
      </c>
      <c r="D43" s="61" t="str">
        <f>VLOOKUP(A43,'1.Loading'!A:R,17,FALSE)</f>
        <v>HASLS22260902671</v>
      </c>
      <c r="E43" s="62" t="str">
        <f>VLOOKUP(D43,'2.Bookinglist'!A:CT,27,FALSE)</f>
        <v>TRUE LOGISTICS CO., LTD.</v>
      </c>
      <c r="F43" s="62" t="str">
        <f>VLOOKUP(D43,'2.Bookinglist'!A:CT,28,FALSE)</f>
        <v>PHARMA TECH CO., LTD.</v>
      </c>
      <c r="G43" s="60">
        <f>VLOOKUP(D43,'2.Bookinglist'!A:E,5,FALSE)</f>
        <v>0</v>
      </c>
      <c r="H43" s="61" t="str">
        <f>VLOOKUP(D43,'2.Bookinglist'!A:CT,15,FALSE)</f>
        <v>THBKK</v>
      </c>
      <c r="I43" s="61" t="str">
        <f>VLOOKUP(D43,'2.Bookinglist'!A:CT,19,FALSE)</f>
        <v>VNSGN</v>
      </c>
      <c r="J43" s="61">
        <f>VLOOKUP(D43,'2.Bookinglist'!A:CT,26,FALSE)</f>
        <v>0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SWBT</v>
      </c>
      <c r="P43" s="61" t="str">
        <f>VLOOKUP(A43,'1.Loading'!A:R,4,FALSE)</f>
        <v>2616N</v>
      </c>
      <c r="Q43" s="61" t="str">
        <f>VLOOKUP(D43,'2.Bookinglist'!A:CT,12,FALSE)</f>
        <v>NTX</v>
      </c>
      <c r="R43" s="60" t="str">
        <f>IF(LEFT(K43,2)="22","20'","40'")</f>
        <v>20'</v>
      </c>
      <c r="S43" s="185" t="n"/>
      <c r="T43" s="61" t="str">
        <f>VLOOKUP(A43,'1.Loading'!A:R,2,FALSE)</f>
        <v>2026-10-16</v>
      </c>
      <c r="U43" s="63">
        <f>T43-S43</f>
        <v>46311</v>
      </c>
      <c r="V43" s="186" t="n"/>
      <c r="W43" s="61" t="str">
        <f>VLOOKUP(A43,'3.GateMove'!A:D,4,FALSE)</f>
        <v>2026-10-09</v>
      </c>
      <c r="X43" s="63">
        <f>((T43-W43)+1)</f>
        <v>8</v>
      </c>
      <c r="Y43" s="64">
        <f>IF(AND(OR(C43="BKK01",C43="BKK04"),L43="CFS/CY"),0,IF(M43="DG",1,IF(LEFT(C43,3)="LCH",7,IF(C43="BKK02",5,3))))</f>
        <v>5</v>
      </c>
      <c r="Z43" s="63">
        <f>IF(IF(AND(AC43="TML",AB43&gt;0),((T43-W43)+1)-AB43,((T43-W43)+1)-Y43)&gt;0,IF(AND(AC43="TML",AB43&gt;0),((T43-W43)+1)-AB43,((T43-W43)+1)-Y43),0)</f>
        <v>3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150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46312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150</v>
      </c>
      <c r="AJ43" s="188" t="n"/>
      <c r="AK43" s="62" t="str">
        <f>VLOOKUP(D43,'2.Bookinglist'!A:CT,40,FALSE)</f>
        <v>Pattarapong Saengthong</v>
      </c>
      <c r="AL43" s="60" t="str">
        <f>VLOOKUP(D43,'2.Bookinglist'!A:CW,101,FALSE)</f>
        <v>2026-10-13</v>
      </c>
      <c r="AM43" s="60" t="str">
        <f>VLOOKUP(D43,'2.Bookinglist'!A:BK,63,FALSE)</f>
        <v>BKK27</v>
      </c>
      <c r="AN43" s="62" t="str">
        <f>VLOOKUP(D43,'2.Bookinglist'!A:AZ,52,FALSE)</f>
        <v>Pickup : 2026-10-08, Return : 2026-10-09 </v>
      </c>
      <c r="AO43" s="62">
        <f>VLOOKUP(D43,'2.Bookinglist'!A:CY,103,FALSE)</f>
        <v>0</v>
      </c>
    </row>
    <row r="44" ht="12.95" customHeight="1">
      <c r="A44" s="96" t="inlineStr">
        <is>
          <t>SKRU9900440</t>
        </is>
      </c>
      <c r="B44" s="184" t="str">
        <f>IF(C44=Charge!$M$1,Charge!$J$1,IF(C44=Charge!$M$23,Charge!$J$23,IF(C44=Charge!$M$17,Charge!$J$17,IF(C44=Charge!$N$17,Charge!$J$17,Charge!$J$7))))</f>
        <v>G4</v>
      </c>
      <c r="C44" s="61" t="str">
        <f>VLOOKUP(A44,'1.Loading'!A:R,14,FALSE)</f>
        <v>BKK02</v>
      </c>
      <c r="D44" s="61" t="str">
        <f>VLOOKUP(A44,'1.Loading'!A:R,17,FALSE)</f>
        <v>HASLS22260902554</v>
      </c>
      <c r="E44" s="62" t="str">
        <f>VLOOKUP(D44,'2.Bookinglist'!A:CT,27,FALSE)</f>
        <v>LAND SEA SKY CO., LTD.</v>
      </c>
      <c r="F44" s="62" t="str">
        <f>VLOOKUP(D44,'2.Bookinglist'!A:CT,28,FALSE)</f>
        <v>SAHA FARMS  INTERNATIONAL CO LTD</v>
      </c>
      <c r="G44" s="60">
        <f>VLOOKUP(D44,'2.Bookinglist'!A:E,5,FALSE)</f>
        <v>0</v>
      </c>
      <c r="H44" s="61" t="str">
        <f>VLOOKUP(D44,'2.Bookinglist'!A:CT,15,FALSE)</f>
        <v>THBKK</v>
      </c>
      <c r="I44" s="61" t="str">
        <f>VLOOKUP(D44,'2.Bookinglist'!A:CT,19,FALSE)</f>
        <v>KRPTK</v>
      </c>
      <c r="J44" s="61">
        <f>VLOOKUP(D44,'2.Bookinglist'!A:CT,26,FALSE)</f>
        <v>0</v>
      </c>
      <c r="K44" s="61" t="str">
        <f>VLOOKUP(A44,'1.Loading'!A:R,5,FALSE)</f>
        <v>45RE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>RF</v>
      </c>
      <c r="O44" s="61" t="str">
        <f>VLOOKUP(A44,'1.Loading'!A:R,3,FALSE)</f>
        <v>SWBT</v>
      </c>
      <c r="P44" s="61" t="str">
        <f>VLOOKUP(A44,'1.Loading'!A:R,4,FALSE)</f>
        <v>2616N</v>
      </c>
      <c r="Q44" s="61" t="str">
        <f>VLOOKUP(D44,'2.Bookinglist'!A:CT,12,FALSE)</f>
        <v>NTX</v>
      </c>
      <c r="R44" s="60" t="str">
        <f>IF(LEFT(K44,2)="22","20'","40'")</f>
        <v>40'</v>
      </c>
      <c r="S44" s="185" t="n"/>
      <c r="T44" s="61" t="str">
        <f>VLOOKUP(A44,'1.Loading'!A:R,2,FALSE)</f>
        <v>2026-10-16</v>
      </c>
      <c r="U44" s="63">
        <f>T44-S44</f>
        <v>46311</v>
      </c>
      <c r="V44" s="186" t="n"/>
      <c r="W44" s="61" t="str">
        <f>VLOOKUP(A44,'3.GateMove'!A:D,4,FALSE)</f>
        <v>2026-10-13</v>
      </c>
      <c r="X44" s="63">
        <f>((T44-W44)+1)</f>
        <v>4</v>
      </c>
      <c r="Y44" s="64">
        <f>IF(AND(OR(C44="BKK01",C44="BKK04"),L44="CFS/CY"),0,IF(M44="DG",1,IF(LEFT(C44,3)="LCH",7,IF(C44="BKK02",5,3))))</f>
        <v>5</v>
      </c>
      <c r="Z44" s="63">
        <f>IF(IF(AND(AC44="TML",AB44&gt;0),((T44-W44)+1)-AB44,((T44-W44)+1)-Y44)&gt;0,IF(AND(AC44="TML",AB44&gt;0),((T44-W44)+1)-AB44,((T44-W44)+1)-Y44),0)</f>
        <v>0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184" t="n"/>
      <c r="AC44" s="184" t="n"/>
      <c r="AD44" s="60">
        <f>IF(M44="DG",3,IF(N44="RF",3,5))+IF(AND(LEFT(C44,3)="BKK",N44="RF",Q44="KTS"),1,0)+IF(Q44="KHS",1,0)</f>
        <v>3</v>
      </c>
      <c r="AE44" s="63">
        <f>(T44-V44)+1</f>
        <v>46312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0</v>
      </c>
      <c r="AJ44" s="188" t="n"/>
      <c r="AK44" s="62" t="str">
        <f>VLOOKUP(D44,'2.Bookinglist'!A:CT,40,FALSE)</f>
        <v>Sukunpoj Damrongying</v>
      </c>
      <c r="AL44" s="60" t="str">
        <f>VLOOKUP(D44,'2.Bookinglist'!A:CW,101,FALSE)</f>
        <v>2026-10-15</v>
      </c>
      <c r="AM44" s="60" t="str">
        <f>VLOOKUP(D44,'2.Bookinglist'!A:BK,63,FALSE)</f>
        <v>BKK27</v>
      </c>
      <c r="AN44" s="62" t="str">
        <f>VLOOKUP(D44,'2.Bookinglist'!A:AZ,52,FALSE)</f>
        <v>Pickup : 2026-10-10, Return : 2026-10-13 (Temp -18.0 / Vent Close)
 CLS TIME 14/10 @12.00 </v>
      </c>
      <c r="AO44" s="62">
        <f>VLOOKUP(D44,'2.Bookinglist'!A:CY,103,FALSE)</f>
        <v>0</v>
      </c>
    </row>
    <row r="45" ht="12.95" customHeight="1">
      <c r="A45" s="96" t="inlineStr">
        <is>
          <t>SKRU9903433</t>
        </is>
      </c>
      <c r="B45" s="184" t="str">
        <f>IF(C45=Charge!$M$1,Charge!$J$1,IF(C45=Charge!$M$23,Charge!$J$23,IF(C45=Charge!$M$17,Charge!$J$17,IF(C45=Charge!$N$17,Charge!$J$17,Charge!$J$7))))</f>
        <v>G4</v>
      </c>
      <c r="C45" s="61" t="str">
        <f>VLOOKUP(A45,'1.Loading'!A:R,14,FALSE)</f>
        <v>BKK02</v>
      </c>
      <c r="D45" s="61" t="str">
        <f>VLOOKUP(A45,'1.Loading'!A:R,17,FALSE)</f>
        <v>HASLS22260902556</v>
      </c>
      <c r="E45" s="62" t="str">
        <f>VLOOKUP(D45,'2.Bookinglist'!A:CT,27,FALSE)</f>
        <v>LAND SEA SKY CO., LTD.</v>
      </c>
      <c r="F45" s="62" t="str">
        <f>VLOOKUP(D45,'2.Bookinglist'!A:CT,28,FALSE)</f>
        <v>SAHA FARMS  INTERNATIONAL CO LTD</v>
      </c>
      <c r="G45" s="60">
        <f>VLOOKUP(D45,'2.Bookinglist'!A:E,5,FALSE)</f>
        <v>0</v>
      </c>
      <c r="H45" s="61" t="str">
        <f>VLOOKUP(D45,'2.Bookinglist'!A:CT,15,FALSE)</f>
        <v>THBKK</v>
      </c>
      <c r="I45" s="61" t="str">
        <f>VLOOKUP(D45,'2.Bookinglist'!A:CT,19,FALSE)</f>
        <v>KRPTK</v>
      </c>
      <c r="J45" s="61">
        <f>VLOOKUP(D45,'2.Bookinglist'!A:CT,26,FALSE)</f>
        <v>0</v>
      </c>
      <c r="K45" s="61" t="str">
        <f>VLOOKUP(A45,'1.Loading'!A:R,5,FALSE)</f>
        <v>45RE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>RF</v>
      </c>
      <c r="O45" s="61" t="str">
        <f>VLOOKUP(A45,'1.Loading'!A:R,3,FALSE)</f>
        <v>SWBT</v>
      </c>
      <c r="P45" s="61" t="str">
        <f>VLOOKUP(A45,'1.Loading'!A:R,4,FALSE)</f>
        <v>2616N</v>
      </c>
      <c r="Q45" s="61" t="str">
        <f>VLOOKUP(D45,'2.Bookinglist'!A:CT,12,FALSE)</f>
        <v>NTX</v>
      </c>
      <c r="R45" s="60" t="str">
        <f>IF(LEFT(K45,2)="22","20'","40'")</f>
        <v>40'</v>
      </c>
      <c r="S45" s="185" t="n"/>
      <c r="T45" s="61" t="str">
        <f>VLOOKUP(A45,'1.Loading'!A:R,2,FALSE)</f>
        <v>2026-10-16</v>
      </c>
      <c r="U45" s="63">
        <f>T45-S45</f>
        <v>46311</v>
      </c>
      <c r="V45" s="186" t="n"/>
      <c r="W45" s="61" t="str">
        <f>VLOOKUP(A45,'3.GateMove'!A:D,4,FALSE)</f>
        <v>2026-10-09</v>
      </c>
      <c r="X45" s="63">
        <f>((T45-W45)+1)</f>
        <v>8</v>
      </c>
      <c r="Y45" s="64">
        <f>IF(AND(OR(C45="BKK01",C45="BKK04"),L45="CFS/CY"),0,IF(M45="DG",1,IF(LEFT(C45,3)="LCH",7,IF(C45="BKK02",5,3))))</f>
        <v>5</v>
      </c>
      <c r="Z45" s="63">
        <f>IF(IF(AND(AC45="TML",AB45&gt;0),((T45-W45)+1)-AB45,((T45-W45)+1)-Y45)&gt;0,IF(AND(AC45="TML",AB45&gt;0),((T45-W45)+1)-AB45,((T45-W45)+1)-Y45),0)</f>
        <v>3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300</v>
      </c>
      <c r="AB45" s="184" t="n"/>
      <c r="AC45" s="184" t="n"/>
      <c r="AD45" s="60">
        <f>IF(M45="DG",3,IF(N45="RF",3,5))+IF(AND(LEFT(C45,3)="BKK",N45="RF",Q45="KTS"),1,0)+IF(Q45="KHS",1,0)</f>
        <v>3</v>
      </c>
      <c r="AE45" s="63">
        <f>(T45-V45)+1</f>
        <v>46312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300</v>
      </c>
      <c r="AJ45" s="188" t="n"/>
      <c r="AK45" s="62" t="str">
        <f>VLOOKUP(D45,'2.Bookinglist'!A:CT,40,FALSE)</f>
        <v>Sukunpoj Damrongying</v>
      </c>
      <c r="AL45" s="60" t="str">
        <f>VLOOKUP(D45,'2.Bookinglist'!A:CW,101,FALSE)</f>
        <v>2026-10-15</v>
      </c>
      <c r="AM45" s="60" t="str">
        <f>VLOOKUP(D45,'2.Bookinglist'!A:BK,63,FALSE)</f>
        <v>BKK27</v>
      </c>
      <c r="AN45" s="62" t="str">
        <f>VLOOKUP(D45,'2.Bookinglist'!A:AZ,52,FALSE)</f>
        <v>Pickup : 2026-10-07, Return : 2026-10-09 RF45REx1 (Temp -18.0 / Vent Close) 
CLS TIME 14/10 @12.00 [1ST RTN 12/10 W/O ELECTRIC] 
 </v>
      </c>
      <c r="AO45" s="62">
        <f>VLOOKUP(D45,'2.Bookinglist'!A:CY,103,FALSE)</f>
        <v>0</v>
      </c>
    </row>
    <row r="46" ht="12.95" customHeight="1">
      <c r="A46" s="96" t="inlineStr">
        <is>
          <t>TRHU6255775</t>
        </is>
      </c>
      <c r="B46" s="184" t="str">
        <f>IF(C46=Charge!$M$1,Charge!$J$1,IF(C46=Charge!$M$23,Charge!$J$23,IF(C46=Charge!$M$17,Charge!$J$17,IF(C46=Charge!$N$17,Charge!$J$17,Charge!$J$7))))</f>
        <v>G4</v>
      </c>
      <c r="C46" s="61" t="str">
        <f>VLOOKUP(A46,'1.Loading'!A:R,14,FALSE)</f>
        <v>BKK02</v>
      </c>
      <c r="D46" s="61" t="str">
        <f>VLOOKUP(A46,'1.Loading'!A:R,17,FALSE)</f>
        <v>HASLS22260902001</v>
      </c>
      <c r="E46" s="62" t="str">
        <f>VLOOKUP(D46,'2.Bookinglist'!A:CT,27,FALSE)</f>
        <v>PRIME LOGISTICS INTERNATIONAL CO., LTD.</v>
      </c>
      <c r="F46" s="62" t="str">
        <f>VLOOKUP(D46,'2.Bookinglist'!A:CT,28,FALSE)</f>
        <v>ROYAL CAN INDUSTRIES CO., LTD.</v>
      </c>
      <c r="G46" s="60">
        <f>VLOOKUP(D46,'2.Bookinglist'!A:E,5,FALSE)</f>
        <v>0</v>
      </c>
      <c r="H46" s="61" t="str">
        <f>VLOOKUP(D46,'2.Bookinglist'!A:CT,15,FALSE)</f>
        <v>THBKK</v>
      </c>
      <c r="I46" s="61" t="str">
        <f>VLOOKUP(D46,'2.Bookinglist'!A:CT,19,FALSE)</f>
        <v>VNSGN</v>
      </c>
      <c r="J46" s="61">
        <f>VLOOKUP(D46,'2.Bookinglist'!A:CT,26,FALSE)</f>
        <v>0</v>
      </c>
      <c r="K46" s="61" t="str">
        <f>VLOOKUP(A46,'1.Loading'!A:R,5,FALSE)</f>
        <v>45GP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SWBT</v>
      </c>
      <c r="P46" s="61" t="str">
        <f>VLOOKUP(A46,'1.Loading'!A:R,4,FALSE)</f>
        <v>2616N</v>
      </c>
      <c r="Q46" s="61" t="str">
        <f>VLOOKUP(D46,'2.Bookinglist'!A:CT,12,FALSE)</f>
        <v>NTX</v>
      </c>
      <c r="R46" s="60" t="str">
        <f>IF(LEFT(K46,2)="22","20'","40'")</f>
        <v>40'</v>
      </c>
      <c r="S46" s="185" t="n"/>
      <c r="T46" s="61" t="str">
        <f>VLOOKUP(A46,'1.Loading'!A:R,2,FALSE)</f>
        <v>2026-10-16</v>
      </c>
      <c r="U46" s="63">
        <f>T46-S46</f>
        <v>46311</v>
      </c>
      <c r="V46" s="186" t="n"/>
      <c r="W46" s="61" t="str">
        <f>VLOOKUP(A46,'3.GateMove'!A:D,4,FALSE)</f>
        <v>2026-10-09</v>
      </c>
      <c r="X46" s="63">
        <f>((T46-W46)+1)</f>
        <v>8</v>
      </c>
      <c r="Y46" s="64">
        <f>IF(AND(OR(C46="BKK01",C46="BKK04"),L46="CFS/CY"),0,IF(M46="DG",1,IF(LEFT(C46,3)="LCH",7,IF(C46="BKK02",5,3))))</f>
        <v>5</v>
      </c>
      <c r="Z46" s="63">
        <f>IF(IF(AND(AC46="TML",AB46&gt;0),((T46-W46)+1)-AB46,((T46-W46)+1)-Y46)&gt;0,IF(AND(AC46="TML",AB46&gt;0),((T46-W46)+1)-AB46,((T46-W46)+1)-Y46),0)</f>
        <v>3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300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46312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300</v>
      </c>
      <c r="AJ46" s="188" t="n"/>
      <c r="AK46" s="62" t="str">
        <f>VLOOKUP(D46,'2.Bookinglist'!A:CT,40,FALSE)</f>
        <v>Nannaapust Sukporntaweewat</v>
      </c>
      <c r="AL46" s="60" t="str">
        <f>VLOOKUP(D46,'2.Bookinglist'!A:CW,101,FALSE)</f>
        <v>2026-10-12</v>
      </c>
      <c r="AM46" s="60" t="str">
        <f>VLOOKUP(D46,'2.Bookinglist'!A:BK,63,FALSE)</f>
        <v>BKK25</v>
      </c>
      <c r="AN46" s="62" t="str">
        <f>VLOOKUP(D46,'2.Bookinglist'!A:AZ,52,FALSE)</f>
        <v>Pickup : 2026-10-08, Return : 2026-10-09 
 </v>
      </c>
      <c r="AO46" s="62">
        <f>VLOOKUP(D46,'2.Bookinglist'!A:CY,103,FALSE)</f>
        <v>0</v>
      </c>
    </row>
    <row r="47" ht="12.95" customHeight="1">
      <c r="A47" s="96" t="n"/>
      <c r="B47" s="4" t="n"/>
      <c r="C47" s="61" t="n"/>
      <c r="D47" s="61" t="n"/>
      <c r="E47" s="62" t="n"/>
      <c r="F47" s="62" t="n"/>
      <c r="G47" s="60" t="n"/>
      <c r="H47" s="61" t="n"/>
      <c r="I47" s="61" t="n"/>
      <c r="J47" s="61" t="n"/>
      <c r="K47" s="61" t="n"/>
      <c r="L47" s="60" t="n"/>
      <c r="M47" s="60" t="n"/>
      <c r="N47" s="60" t="n"/>
      <c r="O47" s="61" t="n"/>
      <c r="P47" s="61" t="n"/>
      <c r="Q47" s="61" t="n"/>
      <c r="R47" s="60" t="n"/>
      <c r="S47" s="101" t="n"/>
      <c r="T47" s="61" t="n"/>
      <c r="U47" s="63" t="n"/>
      <c r="V47" s="178" t="n"/>
      <c r="W47" s="61" t="n"/>
      <c r="X47" s="63" t="n"/>
      <c r="Y47" s="64" t="n"/>
      <c r="Z47" s="63" t="n"/>
      <c r="AA47" s="120" t="n"/>
      <c r="AB47" s="4" t="n"/>
      <c r="AC47" s="4" t="n"/>
      <c r="AD47" s="60" t="n"/>
      <c r="AE47" s="63" t="n"/>
      <c r="AF47" s="63" t="n"/>
      <c r="AG47" s="120" t="n"/>
      <c r="AH47" s="65" t="n"/>
      <c r="AI47" s="93" t="n"/>
      <c r="AJ47" s="70" t="n"/>
      <c r="AK47" s="62" t="n"/>
      <c r="AL47" s="60" t="n"/>
      <c r="AM47" s="60" t="n"/>
      <c r="AN47" s="62" t="n"/>
      <c r="AO47" s="62" t="n"/>
    </row>
    <row r="48" ht="12.95" customHeight="1">
      <c r="A48" s="96" t="n"/>
      <c r="B48" s="4" t="n"/>
      <c r="C48" s="61" t="n"/>
      <c r="D48" s="61" t="n"/>
      <c r="E48" s="62" t="n"/>
      <c r="F48" s="62" t="n"/>
      <c r="G48" s="60" t="n"/>
      <c r="H48" s="61" t="n"/>
      <c r="I48" s="61" t="n"/>
      <c r="J48" s="61" t="n"/>
      <c r="K48" s="61" t="n"/>
      <c r="L48" s="60" t="n"/>
      <c r="M48" s="60" t="n"/>
      <c r="N48" s="60" t="n"/>
      <c r="O48" s="61" t="n"/>
      <c r="P48" s="61" t="n"/>
      <c r="Q48" s="61" t="n"/>
      <c r="R48" s="60" t="n"/>
      <c r="S48" s="101" t="n"/>
      <c r="T48" s="61" t="n"/>
      <c r="U48" s="63" t="n"/>
      <c r="V48" s="178" t="n"/>
      <c r="W48" s="61" t="n"/>
      <c r="X48" s="63" t="n"/>
      <c r="Y48" s="64" t="n"/>
      <c r="Z48" s="63" t="n"/>
      <c r="AA48" s="120" t="n"/>
      <c r="AB48" s="4" t="n"/>
      <c r="AC48" s="4" t="n"/>
      <c r="AD48" s="60" t="n"/>
      <c r="AE48" s="63" t="n"/>
      <c r="AF48" s="63" t="n"/>
      <c r="AG48" s="120" t="n"/>
      <c r="AH48" s="65" t="n"/>
      <c r="AI48" s="93" t="n"/>
      <c r="AJ48" s="70" t="n"/>
      <c r="AK48" s="62" t="n"/>
      <c r="AL48" s="60" t="n"/>
      <c r="AM48" s="60" t="n"/>
      <c r="AN48" s="62" t="n"/>
      <c r="AO48" s="62" t="n"/>
    </row>
    <row r="49" ht="12.95" customHeight="1">
      <c r="A49" s="96" t="n"/>
      <c r="B49" s="4" t="n"/>
      <c r="C49" s="61" t="n"/>
      <c r="D49" s="61" t="n"/>
      <c r="E49" s="62" t="n"/>
      <c r="F49" s="62" t="n"/>
      <c r="G49" s="60" t="n"/>
      <c r="H49" s="61" t="n"/>
      <c r="I49" s="61" t="n"/>
      <c r="J49" s="61" t="n"/>
      <c r="K49" s="61" t="n"/>
      <c r="L49" s="60" t="n"/>
      <c r="M49" s="60" t="n"/>
      <c r="N49" s="60" t="n"/>
      <c r="O49" s="61" t="n"/>
      <c r="P49" s="61" t="n"/>
      <c r="Q49" s="61" t="n"/>
      <c r="R49" s="60" t="n"/>
      <c r="S49" s="101" t="n"/>
      <c r="T49" s="61" t="n"/>
      <c r="U49" s="63" t="n"/>
      <c r="V49" s="178" t="n"/>
      <c r="W49" s="61" t="n"/>
      <c r="X49" s="63" t="n"/>
      <c r="Y49" s="64" t="n"/>
      <c r="Z49" s="63" t="n"/>
      <c r="AA49" s="120" t="n"/>
      <c r="AB49" s="4" t="n"/>
      <c r="AC49" s="4" t="n"/>
      <c r="AD49" s="60" t="n"/>
      <c r="AE49" s="63" t="n"/>
      <c r="AF49" s="63" t="n"/>
      <c r="AG49" s="120" t="n"/>
      <c r="AH49" s="65" t="n"/>
      <c r="AI49" s="93" t="n"/>
      <c r="AJ49" s="70" t="n"/>
      <c r="AK49" s="62" t="n"/>
      <c r="AL49" s="60" t="n"/>
      <c r="AM49" s="60" t="n"/>
      <c r="AN49" s="62" t="n"/>
      <c r="AO49" s="62" t="n"/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2026-10-16T02:21:42Z</dcterms:modified>
  <cp:lastModifiedBy>office4</cp:lastModifiedBy>
  <cp:lastPrinted>2019-11-19T03:03:39Z</cp:lastPrinted>
</cp:coreProperties>
</file>