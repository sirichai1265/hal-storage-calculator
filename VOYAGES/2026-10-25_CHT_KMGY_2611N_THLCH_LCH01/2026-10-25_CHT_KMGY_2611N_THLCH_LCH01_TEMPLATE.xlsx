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  <numFmt numFmtId="178" formatCode="yyyy-mm-dd"/>
    <numFmt numFmtId="179" formatCode="dd/mm/yyyy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90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  <xf numFmtId="179" fontId="30" fillId="0" borderId="1" applyAlignment="1" pivotButton="0" quotePrefix="0" xfId="0">
      <alignment horizontal="center"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71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BEAU2477860</t>
        </is>
      </c>
      <c r="B2" s="161" t="inlineStr">
        <is>
          <t>2026-10-25</t>
        </is>
      </c>
      <c r="C2" s="96" t="inlineStr">
        <is>
          <t>KMGY</t>
        </is>
      </c>
      <c r="D2" s="96" t="inlineStr">
        <is>
          <t>2611N</t>
        </is>
      </c>
      <c r="E2" s="96" t="inlineStr">
        <is>
          <t>22GP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KRINC</t>
        </is>
      </c>
      <c r="J2" s="96" t="inlineStr">
        <is>
          <t>KRINC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LCH01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HASLS22260900819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CHT</t>
        </is>
      </c>
      <c r="U2" s="97" t="n"/>
      <c r="V2" s="96" t="inlineStr">
        <is>
          <t>SHA16L07</t>
        </is>
      </c>
      <c r="W2" s="96" t="inlineStr">
        <is>
          <t>THE THAI SUGAR TRADING CORPORATION</t>
        </is>
      </c>
      <c r="X2" s="96" t="inlineStr">
        <is>
          <t>VED</t>
        </is>
      </c>
      <c r="Y2" s="96" t="inlineStr">
        <is>
          <t>TO ORDER</t>
        </is>
      </c>
      <c r="Z2" s="96" t="inlineStr">
        <is>
          <t>CH HOLDINGS CO., LTD.</t>
        </is>
      </c>
      <c r="AA2" s="97" t="n">
        <v>23184</v>
      </c>
      <c r="AB2" s="96" t="inlineStr">
        <is>
          <t>LCH01</t>
        </is>
      </c>
      <c r="AC2" s="96" t="inlineStr">
        <is>
          <t>INC03</t>
        </is>
      </c>
    </row>
    <row r="3" ht="12" customHeight="1">
      <c r="A3" s="96" t="inlineStr">
        <is>
          <t>BEAU2862038</t>
        </is>
      </c>
      <c r="B3" s="161" t="inlineStr">
        <is>
          <t>2026-10-25</t>
        </is>
      </c>
      <c r="C3" s="96" t="inlineStr">
        <is>
          <t>KMGY</t>
        </is>
      </c>
      <c r="D3" s="96" t="inlineStr">
        <is>
          <t>2611N</t>
        </is>
      </c>
      <c r="E3" s="96" t="inlineStr">
        <is>
          <t>22GP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HKHKG</t>
        </is>
      </c>
      <c r="J3" s="96" t="inlineStr">
        <is>
          <t>HKHKG</t>
        </is>
      </c>
      <c r="K3" s="96" t="inlineStr">
        <is>
          <t>F</t>
        </is>
      </c>
      <c r="L3" s="96" t="inlineStr">
        <is>
          <t>L/T</t>
        </is>
      </c>
      <c r="M3" s="96" t="inlineStr">
        <is>
          <t>VFL</t>
        </is>
      </c>
      <c r="N3" s="96" t="inlineStr">
        <is>
          <t>LCH01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HASLS22261000794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CHT</t>
        </is>
      </c>
      <c r="U3" s="97" t="n"/>
      <c r="V3" s="96" t="inlineStr">
        <is>
          <t>TSN16L10</t>
        </is>
      </c>
      <c r="W3" s="96" t="inlineStr">
        <is>
          <t>IRPC PUBLIC COMPANY LIMITED</t>
        </is>
      </c>
      <c r="X3" s="96" t="inlineStr">
        <is>
          <t>VED</t>
        </is>
      </c>
      <c r="Y3" s="96" t="inlineStr">
        <is>
          <t>TO ORDER OF SOLID GOLD INDUSTRIES</t>
        </is>
      </c>
      <c r="Z3" s="96" t="inlineStr">
        <is>
          <t>SOLID GOLD INDUSTRIES (H.K.) LTD</t>
        </is>
      </c>
      <c r="AA3" s="97" t="n">
        <v>20160</v>
      </c>
      <c r="AB3" s="96" t="inlineStr">
        <is>
          <t>LCH01</t>
        </is>
      </c>
      <c r="AC3" s="96" t="inlineStr">
        <is>
          <t>HKG03</t>
        </is>
      </c>
    </row>
    <row r="4" ht="12" customHeight="1">
      <c r="A4" s="96" t="inlineStr">
        <is>
          <t>BMOU5815245</t>
        </is>
      </c>
      <c r="B4" s="161" t="inlineStr">
        <is>
          <t>2026-10-25</t>
        </is>
      </c>
      <c r="C4" s="96" t="inlineStr">
        <is>
          <t>KMGY</t>
        </is>
      </c>
      <c r="D4" s="96" t="inlineStr">
        <is>
          <t>2611N</t>
        </is>
      </c>
      <c r="E4" s="96" t="inlineStr">
        <is>
          <t>45GP</t>
        </is>
      </c>
      <c r="F4" s="96" t="inlineStr">
        <is>
          <t>SD</t>
        </is>
      </c>
      <c r="G4" s="96" t="inlineStr">
        <is>
          <t>THLCH</t>
        </is>
      </c>
      <c r="H4" s="96" t="inlineStr">
        <is>
          <t>THLCH</t>
        </is>
      </c>
      <c r="I4" s="96" t="inlineStr">
        <is>
          <t>HKHKG</t>
        </is>
      </c>
      <c r="J4" s="96" t="inlineStr">
        <is>
          <t>HKHKG</t>
        </is>
      </c>
      <c r="K4" s="96" t="inlineStr">
        <is>
          <t>F</t>
        </is>
      </c>
      <c r="L4" s="96" t="inlineStr">
        <is>
          <t>L/T</t>
        </is>
      </c>
      <c r="M4" s="96" t="inlineStr">
        <is>
          <t>VFL</t>
        </is>
      </c>
      <c r="N4" s="96" t="inlineStr">
        <is>
          <t>LCH01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HASLS22260902742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CHT</t>
        </is>
      </c>
      <c r="U4" s="97" t="n"/>
      <c r="V4" s="96" t="inlineStr">
        <is>
          <t>K0125027</t>
        </is>
      </c>
      <c r="W4" s="96" t="inlineStr">
        <is>
          <t>GOTO (THAILAND) CO., LTD.</t>
        </is>
      </c>
      <c r="X4" s="96" t="inlineStr">
        <is>
          <t>VED</t>
        </is>
      </c>
      <c r="Y4" s="96" t="inlineStr">
        <is>
          <t>HONG KONG GOTO BUTSURYU LTD.</t>
        </is>
      </c>
      <c r="Z4" s="96" t="inlineStr">
        <is>
          <t>HONG KONG GOTO BUTSURYU LTD.</t>
        </is>
      </c>
      <c r="AA4" s="97" t="n">
        <v>10187.7</v>
      </c>
      <c r="AB4" s="96" t="inlineStr">
        <is>
          <t>LCH01</t>
        </is>
      </c>
      <c r="AC4" s="96" t="inlineStr">
        <is>
          <t>HKG03</t>
        </is>
      </c>
    </row>
    <row r="5" ht="12" customHeight="1">
      <c r="A5" s="96" t="inlineStr">
        <is>
          <t>BMOU6001135</t>
        </is>
      </c>
      <c r="B5" s="161" t="inlineStr">
        <is>
          <t>2026-10-25</t>
        </is>
      </c>
      <c r="C5" s="96" t="inlineStr">
        <is>
          <t>KMGY</t>
        </is>
      </c>
      <c r="D5" s="96" t="inlineStr">
        <is>
          <t>2611N</t>
        </is>
      </c>
      <c r="E5" s="96" t="inlineStr">
        <is>
          <t>45GP</t>
        </is>
      </c>
      <c r="F5" s="96" t="inlineStr">
        <is>
          <t>SD</t>
        </is>
      </c>
      <c r="G5" s="96" t="inlineStr">
        <is>
          <t>THLCH</t>
        </is>
      </c>
      <c r="H5" s="96" t="inlineStr">
        <is>
          <t>THLCH</t>
        </is>
      </c>
      <c r="I5" s="96" t="inlineStr">
        <is>
          <t>HKHKG</t>
        </is>
      </c>
      <c r="J5" s="96" t="inlineStr">
        <is>
          <t>HKHKG</t>
        </is>
      </c>
      <c r="K5" s="96" t="inlineStr">
        <is>
          <t>F</t>
        </is>
      </c>
      <c r="L5" s="96" t="inlineStr">
        <is>
          <t>L/T</t>
        </is>
      </c>
      <c r="M5" s="96" t="inlineStr">
        <is>
          <t>VFL</t>
        </is>
      </c>
      <c r="N5" s="96" t="inlineStr">
        <is>
          <t>LCH01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HASLS22261001156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CHT</t>
        </is>
      </c>
      <c r="U5" s="97" t="n"/>
      <c r="V5" s="96" t="inlineStr">
        <is>
          <t>SHA15L16</t>
        </is>
      </c>
      <c r="W5" s="96" t="inlineStr">
        <is>
          <t>YUSEN LOGISTICS (THAILAND) CO., LTD</t>
        </is>
      </c>
      <c r="X5" s="96" t="inlineStr">
        <is>
          <t>VFD</t>
        </is>
      </c>
      <c r="Y5" s="96" t="inlineStr">
        <is>
          <t>YUSEN LOGISTICS (HONG KONG) LTD.</t>
        </is>
      </c>
      <c r="Z5" s="96" t="inlineStr">
        <is>
          <t>YUSEN LOGISTICS (HONG KONG) LTD.</t>
        </is>
      </c>
      <c r="AA5" s="97" t="n">
        <v>16400</v>
      </c>
      <c r="AB5" s="96" t="inlineStr">
        <is>
          <t>LCH01</t>
        </is>
      </c>
      <c r="AC5" s="96" t="inlineStr">
        <is>
          <t>HKG03</t>
        </is>
      </c>
    </row>
    <row r="6" ht="12" customHeight="1">
      <c r="A6" s="96" t="inlineStr">
        <is>
          <t>DFSU7710395</t>
        </is>
      </c>
      <c r="B6" s="161" t="inlineStr">
        <is>
          <t>2026-10-25</t>
        </is>
      </c>
      <c r="C6" s="96" t="inlineStr">
        <is>
          <t>KMGY</t>
        </is>
      </c>
      <c r="D6" s="96" t="inlineStr">
        <is>
          <t>2611N</t>
        </is>
      </c>
      <c r="E6" s="96" t="inlineStr">
        <is>
          <t>45GP</t>
        </is>
      </c>
      <c r="F6" s="96" t="inlineStr">
        <is>
          <t>SD</t>
        </is>
      </c>
      <c r="G6" s="96" t="inlineStr">
        <is>
          <t>THLCH</t>
        </is>
      </c>
      <c r="H6" s="96" t="inlineStr">
        <is>
          <t>THLCH</t>
        </is>
      </c>
      <c r="I6" s="96" t="inlineStr">
        <is>
          <t>HKHKG</t>
        </is>
      </c>
      <c r="J6" s="96" t="inlineStr">
        <is>
          <t>HKHKG</t>
        </is>
      </c>
      <c r="K6" s="96" t="inlineStr">
        <is>
          <t>F</t>
        </is>
      </c>
      <c r="L6" s="96" t="inlineStr">
        <is>
          <t>ONE</t>
        </is>
      </c>
      <c r="M6" s="96" t="inlineStr">
        <is>
          <t>VFL</t>
        </is>
      </c>
      <c r="N6" s="96" t="inlineStr">
        <is>
          <t>LCH01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HASLS22260902742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CHT</t>
        </is>
      </c>
      <c r="U6" s="97" t="n"/>
      <c r="V6" s="96" t="inlineStr">
        <is>
          <t>K0120023</t>
        </is>
      </c>
      <c r="W6" s="96" t="inlineStr">
        <is>
          <t>GOTO (THAILAND) CO., LTD.</t>
        </is>
      </c>
      <c r="X6" s="96" t="inlineStr">
        <is>
          <t>VFD</t>
        </is>
      </c>
      <c r="Y6" s="96" t="inlineStr">
        <is>
          <t>HONG KONG GOTO BUTSURYU LTD.</t>
        </is>
      </c>
      <c r="Z6" s="96" t="inlineStr">
        <is>
          <t>HONG KONG GOTO BUTSURYU LTD.</t>
        </is>
      </c>
      <c r="AA6" s="97" t="n">
        <v>7351.8</v>
      </c>
      <c r="AB6" s="96" t="inlineStr">
        <is>
          <t>LCH01</t>
        </is>
      </c>
      <c r="AC6" s="96" t="inlineStr">
        <is>
          <t>HKG03</t>
        </is>
      </c>
    </row>
    <row r="7" ht="12" customHeight="1">
      <c r="A7" s="96" t="inlineStr">
        <is>
          <t>FBIU0238276</t>
        </is>
      </c>
      <c r="B7" s="161" t="inlineStr">
        <is>
          <t>2026-10-25</t>
        </is>
      </c>
      <c r="C7" s="96" t="inlineStr">
        <is>
          <t>KMGY</t>
        </is>
      </c>
      <c r="D7" s="96" t="inlineStr">
        <is>
          <t>2611N</t>
        </is>
      </c>
      <c r="E7" s="96" t="inlineStr">
        <is>
          <t>22GP</t>
        </is>
      </c>
      <c r="F7" s="96" t="inlineStr">
        <is>
          <t>SD</t>
        </is>
      </c>
      <c r="G7" s="96" t="inlineStr">
        <is>
          <t>THLCH</t>
        </is>
      </c>
      <c r="H7" s="96" t="inlineStr">
        <is>
          <t>THLCH</t>
        </is>
      </c>
      <c r="I7" s="96" t="inlineStr">
        <is>
          <t>HKHKG</t>
        </is>
      </c>
      <c r="J7" s="96" t="inlineStr">
        <is>
          <t>HKHKG</t>
        </is>
      </c>
      <c r="K7" s="96" t="inlineStr">
        <is>
          <t>F</t>
        </is>
      </c>
      <c r="L7" s="96" t="inlineStr">
        <is>
          <t>ONE</t>
        </is>
      </c>
      <c r="M7" s="96" t="inlineStr">
        <is>
          <t>VFL</t>
        </is>
      </c>
      <c r="N7" s="96" t="inlineStr">
        <is>
          <t>LCH01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HASLS22261000973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CHT</t>
        </is>
      </c>
      <c r="U7" s="97" t="n"/>
      <c r="V7" s="96" t="inlineStr">
        <is>
          <t>K0120021</t>
        </is>
      </c>
      <c r="W7" s="96" t="inlineStr">
        <is>
          <t>IRPC PUBLIC COMPANY LIMITED</t>
        </is>
      </c>
      <c r="X7" s="96" t="inlineStr">
        <is>
          <t>VED</t>
        </is>
      </c>
      <c r="Y7" s="96" t="inlineStr">
        <is>
          <t>TO ORDER OF SOLID GOLD INDUSTRIES</t>
        </is>
      </c>
      <c r="Z7" s="96" t="inlineStr">
        <is>
          <t>SOLID GOLD INDUSTRIES (H.K.) LTD</t>
        </is>
      </c>
      <c r="AA7" s="97" t="n">
        <v>20160</v>
      </c>
      <c r="AB7" s="96" t="inlineStr">
        <is>
          <t>LCH01</t>
        </is>
      </c>
      <c r="AC7" s="96" t="inlineStr">
        <is>
          <t>HKG03</t>
        </is>
      </c>
    </row>
    <row r="8" ht="12" customHeight="1">
      <c r="A8" s="96" t="inlineStr">
        <is>
          <t>FSCU5895356</t>
        </is>
      </c>
      <c r="B8" s="161" t="inlineStr">
        <is>
          <t>2026-10-25</t>
        </is>
      </c>
      <c r="C8" s="96" t="inlineStr">
        <is>
          <t>KMGY</t>
        </is>
      </c>
      <c r="D8" s="96" t="inlineStr">
        <is>
          <t>2611N</t>
        </is>
      </c>
      <c r="E8" s="96" t="inlineStr">
        <is>
          <t>45RE</t>
        </is>
      </c>
      <c r="F8" s="96" t="inlineStr">
        <is>
          <t>SD</t>
        </is>
      </c>
      <c r="G8" s="96" t="inlineStr">
        <is>
          <t>THLCH</t>
        </is>
      </c>
      <c r="H8" s="96" t="inlineStr">
        <is>
          <t>THLCH</t>
        </is>
      </c>
      <c r="I8" s="96" t="inlineStr">
        <is>
          <t>HKHKG</t>
        </is>
      </c>
      <c r="J8" s="96" t="inlineStr">
        <is>
          <t>HKHKG</t>
        </is>
      </c>
      <c r="K8" s="96" t="inlineStr">
        <is>
          <t>F</t>
        </is>
      </c>
      <c r="L8" s="96" t="inlineStr">
        <is>
          <t>L/T</t>
        </is>
      </c>
      <c r="M8" s="96" t="inlineStr">
        <is>
          <t>VFL</t>
        </is>
      </c>
      <c r="N8" s="96" t="inlineStr">
        <is>
          <t>LCH01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HASLS22260901124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CHT</t>
        </is>
      </c>
      <c r="U8" s="97" t="n"/>
      <c r="V8" s="96" t="inlineStr">
        <is>
          <t>C0320021</t>
        </is>
      </c>
      <c r="W8" s="96" t="inlineStr">
        <is>
          <t>CP-MEIJI CO.,LTD.</t>
        </is>
      </c>
      <c r="X8" s="96" t="inlineStr">
        <is>
          <t>VFD</t>
        </is>
      </c>
      <c r="Y8" s="96" t="inlineStr">
        <is>
          <t>CPF HONG KONG COMPANY LIMITED</t>
        </is>
      </c>
      <c r="Z8" s="96" t="inlineStr">
        <is>
          <t>CPF HONG KONG COMPANY LIMITED</t>
        </is>
      </c>
      <c r="AA8" s="97" t="n">
        <v>22411.2</v>
      </c>
      <c r="AB8" s="96" t="inlineStr">
        <is>
          <t>LCH01</t>
        </is>
      </c>
      <c r="AC8" s="96" t="inlineStr">
        <is>
          <t>HKG03</t>
        </is>
      </c>
    </row>
    <row r="9" ht="12" customHeight="1">
      <c r="A9" s="96" t="inlineStr">
        <is>
          <t>GAOU6011791</t>
        </is>
      </c>
      <c r="B9" s="161" t="inlineStr">
        <is>
          <t>2026-10-25</t>
        </is>
      </c>
      <c r="C9" s="96" t="inlineStr">
        <is>
          <t>KMGY</t>
        </is>
      </c>
      <c r="D9" s="96" t="inlineStr">
        <is>
          <t>2611N</t>
        </is>
      </c>
      <c r="E9" s="96" t="inlineStr">
        <is>
          <t>45GP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HKHKG</t>
        </is>
      </c>
      <c r="J9" s="96" t="inlineStr">
        <is>
          <t>HKHKG</t>
        </is>
      </c>
      <c r="K9" s="96" t="inlineStr">
        <is>
          <t>F</t>
        </is>
      </c>
      <c r="L9" s="96" t="inlineStr">
        <is>
          <t>L/T</t>
        </is>
      </c>
      <c r="M9" s="96" t="inlineStr">
        <is>
          <t>VFL</t>
        </is>
      </c>
      <c r="N9" s="96" t="inlineStr">
        <is>
          <t>LCH01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HASLS22261000813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CHT</t>
        </is>
      </c>
      <c r="U9" s="97" t="n"/>
      <c r="V9" s="96" t="inlineStr">
        <is>
          <t>SHA17L04</t>
        </is>
      </c>
      <c r="W9" s="96" t="inlineStr">
        <is>
          <t>YUSEN LOGISTICS (THAILAND) CO., LTD</t>
        </is>
      </c>
      <c r="X9" s="96" t="inlineStr">
        <is>
          <t>RTN</t>
        </is>
      </c>
      <c r="Y9" s="96" t="inlineStr">
        <is>
          <t>YUSEN LOGISTICS (HONG KONG) LTD.</t>
        </is>
      </c>
      <c r="Z9" s="96" t="inlineStr">
        <is>
          <t>YUSEN LOGISTICS (HONG KONG) LTD.</t>
        </is>
      </c>
      <c r="AA9" s="97" t="n">
        <v>16400</v>
      </c>
      <c r="AB9" s="96" t="inlineStr">
        <is>
          <t>LCH01</t>
        </is>
      </c>
      <c r="AC9" s="96" t="inlineStr">
        <is>
          <t>HKG03</t>
        </is>
      </c>
    </row>
    <row r="10" ht="12" customHeight="1">
      <c r="A10" s="96" t="inlineStr">
        <is>
          <t>HALU2021092</t>
        </is>
      </c>
      <c r="B10" s="161" t="inlineStr">
        <is>
          <t>2026-10-25</t>
        </is>
      </c>
      <c r="C10" s="96" t="inlineStr">
        <is>
          <t>KMGY</t>
        </is>
      </c>
      <c r="D10" s="96" t="inlineStr">
        <is>
          <t>2611N</t>
        </is>
      </c>
      <c r="E10" s="96" t="inlineStr">
        <is>
          <t>22GP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HKHKG</t>
        </is>
      </c>
      <c r="J10" s="96" t="inlineStr">
        <is>
          <t>HKHKG</t>
        </is>
      </c>
      <c r="K10" s="96" t="inlineStr">
        <is>
          <t>F</t>
        </is>
      </c>
      <c r="L10" s="96" t="inlineStr">
        <is>
          <t>OWN</t>
        </is>
      </c>
      <c r="M10" s="96" t="inlineStr">
        <is>
          <t>VFL</t>
        </is>
      </c>
      <c r="N10" s="96" t="inlineStr">
        <is>
          <t>LCH01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HASLS22261000792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CHT</t>
        </is>
      </c>
      <c r="U10" s="97" t="n"/>
      <c r="V10" s="96" t="inlineStr">
        <is>
          <t>TXG13016</t>
        </is>
      </c>
      <c r="W10" s="96" t="inlineStr">
        <is>
          <t>IRPC PUBLIC COMPANY LIMITED.</t>
        </is>
      </c>
      <c r="X10" s="96" t="inlineStr">
        <is>
          <t>VFD</t>
        </is>
      </c>
      <c r="Y10" s="96" t="inlineStr">
        <is>
          <t>TO ORDER OF SOLID GOLD INDUSTRIES</t>
        </is>
      </c>
      <c r="Z10" s="96" t="inlineStr">
        <is>
          <t>SOLID GOLD INDUSTRIES (H.K.) LTD</t>
        </is>
      </c>
      <c r="AA10" s="97" t="n">
        <v>20160</v>
      </c>
      <c r="AB10" s="96" t="inlineStr">
        <is>
          <t>LCH01</t>
        </is>
      </c>
      <c r="AC10" s="96" t="inlineStr">
        <is>
          <t>HKG03</t>
        </is>
      </c>
    </row>
    <row r="11" ht="12" customHeight="1">
      <c r="A11" s="96" t="inlineStr">
        <is>
          <t>HALU2026638</t>
        </is>
      </c>
      <c r="B11" s="161" t="inlineStr">
        <is>
          <t>2026-10-25</t>
        </is>
      </c>
      <c r="C11" s="96" t="inlineStr">
        <is>
          <t>KMGY</t>
        </is>
      </c>
      <c r="D11" s="96" t="inlineStr">
        <is>
          <t>2611N</t>
        </is>
      </c>
      <c r="E11" s="96" t="inlineStr">
        <is>
          <t>22GP</t>
        </is>
      </c>
      <c r="F11" s="96" t="inlineStr">
        <is>
          <t>SD</t>
        </is>
      </c>
      <c r="G11" s="96" t="inlineStr">
        <is>
          <t>THLCH</t>
        </is>
      </c>
      <c r="H11" s="96" t="inlineStr">
        <is>
          <t>THLCH</t>
        </is>
      </c>
      <c r="I11" s="96" t="inlineStr">
        <is>
          <t>KRINC</t>
        </is>
      </c>
      <c r="J11" s="96" t="inlineStr">
        <is>
          <t>KRINC</t>
        </is>
      </c>
      <c r="K11" s="96" t="inlineStr">
        <is>
          <t>F</t>
        </is>
      </c>
      <c r="L11" s="96" t="inlineStr">
        <is>
          <t>OWN</t>
        </is>
      </c>
      <c r="M11" s="96" t="inlineStr">
        <is>
          <t>VFL</t>
        </is>
      </c>
      <c r="N11" s="96" t="inlineStr">
        <is>
          <t>LCH01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HASLS22260900819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CHT</t>
        </is>
      </c>
      <c r="U11" s="97" t="n"/>
      <c r="V11" s="96" t="inlineStr">
        <is>
          <t>TXG13016</t>
        </is>
      </c>
      <c r="W11" s="96" t="inlineStr">
        <is>
          <t>THE THAI SUGAR TRADING CORPORATION</t>
        </is>
      </c>
      <c r="X11" s="96" t="inlineStr">
        <is>
          <t>VFD</t>
        </is>
      </c>
      <c r="Y11" s="96" t="inlineStr">
        <is>
          <t>TO ORDER</t>
        </is>
      </c>
      <c r="Z11" s="96" t="inlineStr">
        <is>
          <t>CH HOLDINGS CO., LTD.</t>
        </is>
      </c>
      <c r="AA11" s="97" t="n">
        <v>23184</v>
      </c>
      <c r="AB11" s="96" t="inlineStr">
        <is>
          <t>LCH01</t>
        </is>
      </c>
      <c r="AC11" s="96" t="inlineStr">
        <is>
          <t>INC03</t>
        </is>
      </c>
    </row>
    <row r="12" ht="12" customHeight="1">
      <c r="A12" s="96" t="inlineStr">
        <is>
          <t>HALU2569070</t>
        </is>
      </c>
      <c r="B12" s="161" t="inlineStr">
        <is>
          <t>2026-10-25</t>
        </is>
      </c>
      <c r="C12" s="96" t="inlineStr">
        <is>
          <t>KMGY</t>
        </is>
      </c>
      <c r="D12" s="96" t="inlineStr">
        <is>
          <t>2611N</t>
        </is>
      </c>
      <c r="E12" s="96" t="inlineStr">
        <is>
          <t>22GP</t>
        </is>
      </c>
      <c r="F12" s="96" t="inlineStr">
        <is>
          <t>SD</t>
        </is>
      </c>
      <c r="G12" s="96" t="inlineStr">
        <is>
          <t>THLCH</t>
        </is>
      </c>
      <c r="H12" s="96" t="inlineStr">
        <is>
          <t>THLCH</t>
        </is>
      </c>
      <c r="I12" s="96" t="inlineStr">
        <is>
          <t>KRINC</t>
        </is>
      </c>
      <c r="J12" s="96" t="inlineStr">
        <is>
          <t>KRINC</t>
        </is>
      </c>
      <c r="K12" s="96" t="inlineStr">
        <is>
          <t>F</t>
        </is>
      </c>
      <c r="L12" s="96" t="inlineStr">
        <is>
          <t>OWN</t>
        </is>
      </c>
      <c r="M12" s="96" t="inlineStr">
        <is>
          <t>VFL</t>
        </is>
      </c>
      <c r="N12" s="96" t="inlineStr">
        <is>
          <t>LCH01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HASLS22260900819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CHT</t>
        </is>
      </c>
      <c r="U12" s="97" t="n"/>
      <c r="V12" s="96" t="inlineStr">
        <is>
          <t>C0325006</t>
        </is>
      </c>
      <c r="W12" s="96" t="inlineStr">
        <is>
          <t>THE THAI SUGAR TRADING CORPORATION</t>
        </is>
      </c>
      <c r="X12" s="96" t="inlineStr">
        <is>
          <t>VFD</t>
        </is>
      </c>
      <c r="Y12" s="96" t="inlineStr">
        <is>
          <t>TO ORDER</t>
        </is>
      </c>
      <c r="Z12" s="96" t="inlineStr">
        <is>
          <t>CH HOLDINGS CO., LTD.</t>
        </is>
      </c>
      <c r="AA12" s="97" t="n">
        <v>23184</v>
      </c>
      <c r="AB12" s="96" t="inlineStr">
        <is>
          <t>LCH01</t>
        </is>
      </c>
      <c r="AC12" s="96" t="inlineStr">
        <is>
          <t>INC03</t>
        </is>
      </c>
    </row>
    <row r="13" ht="12" customHeight="1">
      <c r="A13" s="96" t="inlineStr">
        <is>
          <t>HALU5646587</t>
        </is>
      </c>
      <c r="B13" s="161" t="inlineStr">
        <is>
          <t>2026-10-25</t>
        </is>
      </c>
      <c r="C13" s="96" t="inlineStr">
        <is>
          <t>KMGY</t>
        </is>
      </c>
      <c r="D13" s="96" t="inlineStr">
        <is>
          <t>2611N</t>
        </is>
      </c>
      <c r="E13" s="96" t="inlineStr">
        <is>
          <t>45GP</t>
        </is>
      </c>
      <c r="F13" s="96" t="inlineStr">
        <is>
          <t>SD</t>
        </is>
      </c>
      <c r="G13" s="96" t="inlineStr">
        <is>
          <t>THLCH</t>
        </is>
      </c>
      <c r="H13" s="96" t="inlineStr">
        <is>
          <t>THLCH</t>
        </is>
      </c>
      <c r="I13" s="96" t="inlineStr">
        <is>
          <t>HKHKG</t>
        </is>
      </c>
      <c r="J13" s="96" t="inlineStr">
        <is>
          <t>HKHKG</t>
        </is>
      </c>
      <c r="K13" s="96" t="inlineStr">
        <is>
          <t>F</t>
        </is>
      </c>
      <c r="L13" s="96" t="inlineStr">
        <is>
          <t>OWN</t>
        </is>
      </c>
      <c r="M13" s="96" t="inlineStr">
        <is>
          <t>VFL</t>
        </is>
      </c>
      <c r="N13" s="96" t="inlineStr">
        <is>
          <t>LCH01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HASLS22260902742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CHT</t>
        </is>
      </c>
      <c r="U13" s="97" t="n"/>
      <c r="V13" s="96" t="inlineStr">
        <is>
          <t>SHK14003</t>
        </is>
      </c>
      <c r="W13" s="96" t="inlineStr">
        <is>
          <t>GOTO (THAILAND) CO., LTD.</t>
        </is>
      </c>
      <c r="X13" s="96" t="inlineStr">
        <is>
          <t>VED</t>
        </is>
      </c>
      <c r="Y13" s="96" t="inlineStr">
        <is>
          <t>HONG KONG GOTO BUTSURYU LTD.</t>
        </is>
      </c>
      <c r="Z13" s="96" t="inlineStr">
        <is>
          <t>HONG KONG GOTO BUTSURYU LTD.</t>
        </is>
      </c>
      <c r="AA13" s="97" t="n">
        <v>6312.4</v>
      </c>
      <c r="AB13" s="96" t="inlineStr">
        <is>
          <t>LCH01</t>
        </is>
      </c>
      <c r="AC13" s="96" t="inlineStr">
        <is>
          <t>HKG03</t>
        </is>
      </c>
    </row>
    <row r="14" ht="12" customHeight="1">
      <c r="A14" s="96" t="inlineStr">
        <is>
          <t>HALU5656857</t>
        </is>
      </c>
      <c r="B14" s="161" t="inlineStr">
        <is>
          <t>2026-10-25</t>
        </is>
      </c>
      <c r="C14" s="96" t="inlineStr">
        <is>
          <t>KMGY</t>
        </is>
      </c>
      <c r="D14" s="96" t="inlineStr">
        <is>
          <t>2611N</t>
        </is>
      </c>
      <c r="E14" s="96" t="inlineStr">
        <is>
          <t>45GP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HKHKG</t>
        </is>
      </c>
      <c r="J14" s="96" t="inlineStr">
        <is>
          <t>HKHKG</t>
        </is>
      </c>
      <c r="K14" s="96" t="inlineStr">
        <is>
          <t>F</t>
        </is>
      </c>
      <c r="L14" s="96" t="inlineStr">
        <is>
          <t>L/T</t>
        </is>
      </c>
      <c r="M14" s="96" t="inlineStr">
        <is>
          <t>VFL</t>
        </is>
      </c>
      <c r="N14" s="96" t="inlineStr">
        <is>
          <t>LCH01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HASLS22261000813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CHT</t>
        </is>
      </c>
      <c r="U14" s="97" t="n"/>
      <c r="V14" s="96" t="inlineStr">
        <is>
          <t>PUS19014</t>
        </is>
      </c>
      <c r="W14" s="96" t="inlineStr">
        <is>
          <t>YUSEN LOGISTICS (THAILAND) CO., LTD</t>
        </is>
      </c>
      <c r="X14" s="96" t="inlineStr">
        <is>
          <t>VFD</t>
        </is>
      </c>
      <c r="Y14" s="96" t="inlineStr">
        <is>
          <t>YUSEN LOGISTICS (HONG KONG) LTD.</t>
        </is>
      </c>
      <c r="Z14" s="96" t="inlineStr">
        <is>
          <t>YUSEN LOGISTICS (HONG KONG) LTD.</t>
        </is>
      </c>
      <c r="AA14" s="97" t="n">
        <v>16400</v>
      </c>
      <c r="AB14" s="96" t="inlineStr">
        <is>
          <t>LCH01</t>
        </is>
      </c>
      <c r="AC14" s="96" t="inlineStr">
        <is>
          <t>HKG03</t>
        </is>
      </c>
    </row>
    <row r="15" ht="12" customHeight="1">
      <c r="A15" s="96" t="inlineStr">
        <is>
          <t>HALU5673999</t>
        </is>
      </c>
      <c r="B15" s="161" t="inlineStr">
        <is>
          <t>2026-10-25</t>
        </is>
      </c>
      <c r="C15" s="96" t="inlineStr">
        <is>
          <t>KMGY</t>
        </is>
      </c>
      <c r="D15" s="96" t="inlineStr">
        <is>
          <t>2611N</t>
        </is>
      </c>
      <c r="E15" s="96" t="inlineStr">
        <is>
          <t>45GP</t>
        </is>
      </c>
      <c r="F15" s="96" t="inlineStr">
        <is>
          <t>SD</t>
        </is>
      </c>
      <c r="G15" s="96" t="inlineStr">
        <is>
          <t>THLCH</t>
        </is>
      </c>
      <c r="H15" s="96" t="inlineStr">
        <is>
          <t>THLCH</t>
        </is>
      </c>
      <c r="I15" s="96" t="inlineStr">
        <is>
          <t>HKHKG</t>
        </is>
      </c>
      <c r="J15" s="96" t="inlineStr">
        <is>
          <t>HKHKG</t>
        </is>
      </c>
      <c r="K15" s="96" t="inlineStr">
        <is>
          <t>F</t>
        </is>
      </c>
      <c r="L15" s="96" t="inlineStr">
        <is>
          <t>OWN</t>
        </is>
      </c>
      <c r="M15" s="96" t="inlineStr">
        <is>
          <t>VFL</t>
        </is>
      </c>
      <c r="N15" s="96" t="inlineStr">
        <is>
          <t>LCH01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HASLS22261001156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CHT</t>
        </is>
      </c>
      <c r="U15" s="97" t="n"/>
      <c r="V15" s="96" t="inlineStr">
        <is>
          <t>SHK15002</t>
        </is>
      </c>
      <c r="W15" s="96" t="inlineStr">
        <is>
          <t>YUSEN LOGISTICS (THAILAND) CO., LTD</t>
        </is>
      </c>
      <c r="X15" s="96" t="inlineStr">
        <is>
          <t>VFD</t>
        </is>
      </c>
      <c r="Y15" s="96" t="inlineStr">
        <is>
          <t>YUSEN LOGISTICS (HONG KONG) LTD.</t>
        </is>
      </c>
      <c r="Z15" s="96" t="inlineStr">
        <is>
          <t>YUSEN LOGISTICS (HONG KONG) LTD.</t>
        </is>
      </c>
      <c r="AA15" s="97" t="n">
        <v>16400</v>
      </c>
      <c r="AB15" s="96" t="inlineStr">
        <is>
          <t>LCH01</t>
        </is>
      </c>
      <c r="AC15" s="96" t="inlineStr">
        <is>
          <t>HKG03</t>
        </is>
      </c>
    </row>
    <row r="16" ht="12" customHeight="1">
      <c r="A16" s="96" t="inlineStr">
        <is>
          <t>HALU5681510</t>
        </is>
      </c>
      <c r="B16" s="161" t="inlineStr">
        <is>
          <t>2026-10-25</t>
        </is>
      </c>
      <c r="C16" s="96" t="inlineStr">
        <is>
          <t>KMGY</t>
        </is>
      </c>
      <c r="D16" s="96" t="inlineStr">
        <is>
          <t>2611N</t>
        </is>
      </c>
      <c r="E16" s="96" t="inlineStr">
        <is>
          <t>45GP</t>
        </is>
      </c>
      <c r="F16" s="96" t="inlineStr">
        <is>
          <t>SD</t>
        </is>
      </c>
      <c r="G16" s="96" t="inlineStr">
        <is>
          <t>THLCH</t>
        </is>
      </c>
      <c r="H16" s="96" t="inlineStr">
        <is>
          <t>THLCH</t>
        </is>
      </c>
      <c r="I16" s="96" t="inlineStr">
        <is>
          <t>HKHKG</t>
        </is>
      </c>
      <c r="J16" s="96" t="inlineStr">
        <is>
          <t>HKHKG</t>
        </is>
      </c>
      <c r="K16" s="96" t="inlineStr">
        <is>
          <t>F</t>
        </is>
      </c>
      <c r="L16" s="96" t="inlineStr">
        <is>
          <t>OWN</t>
        </is>
      </c>
      <c r="M16" s="96" t="inlineStr">
        <is>
          <t>VFL</t>
        </is>
      </c>
      <c r="N16" s="96" t="inlineStr">
        <is>
          <t>LCH01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HASLS22261000813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CHT</t>
        </is>
      </c>
      <c r="U16" s="97" t="n"/>
      <c r="V16" s="96" t="inlineStr">
        <is>
          <t>SHA15003</t>
        </is>
      </c>
      <c r="W16" s="96" t="inlineStr">
        <is>
          <t>YUSEN LOGISTICS (THAILAND) CO., LTD</t>
        </is>
      </c>
      <c r="X16" s="96" t="inlineStr">
        <is>
          <t>RTN</t>
        </is>
      </c>
      <c r="Y16" s="96" t="inlineStr">
        <is>
          <t>YUSEN LOGISTICS (HONG KONG) LTD.</t>
        </is>
      </c>
      <c r="Z16" s="96" t="inlineStr">
        <is>
          <t>YUSEN LOGISTICS (HONG KONG) LTD.</t>
        </is>
      </c>
      <c r="AA16" s="97" t="n">
        <v>16400</v>
      </c>
      <c r="AB16" s="96" t="inlineStr">
        <is>
          <t>LCH01</t>
        </is>
      </c>
      <c r="AC16" s="96" t="inlineStr">
        <is>
          <t>HKG03</t>
        </is>
      </c>
    </row>
    <row r="17" ht="12" customHeight="1">
      <c r="A17" s="96" t="inlineStr">
        <is>
          <t>HALU5686996</t>
        </is>
      </c>
      <c r="B17" s="161" t="inlineStr">
        <is>
          <t>2026-10-25</t>
        </is>
      </c>
      <c r="C17" s="96" t="inlineStr">
        <is>
          <t>KMGY</t>
        </is>
      </c>
      <c r="D17" s="96" t="inlineStr">
        <is>
          <t>2611N</t>
        </is>
      </c>
      <c r="E17" s="96" t="inlineStr">
        <is>
          <t>45GP</t>
        </is>
      </c>
      <c r="F17" s="96" t="inlineStr">
        <is>
          <t>SD</t>
        </is>
      </c>
      <c r="G17" s="96" t="inlineStr">
        <is>
          <t>THLCH</t>
        </is>
      </c>
      <c r="H17" s="96" t="inlineStr">
        <is>
          <t>THLCH</t>
        </is>
      </c>
      <c r="I17" s="96" t="inlineStr">
        <is>
          <t>HKHKG</t>
        </is>
      </c>
      <c r="J17" s="96" t="inlineStr">
        <is>
          <t>HKHKG</t>
        </is>
      </c>
      <c r="K17" s="96" t="inlineStr">
        <is>
          <t>F</t>
        </is>
      </c>
      <c r="L17" s="96" t="inlineStr">
        <is>
          <t>OWN</t>
        </is>
      </c>
      <c r="M17" s="96" t="inlineStr">
        <is>
          <t>VFL</t>
        </is>
      </c>
      <c r="N17" s="96" t="inlineStr">
        <is>
          <t>LCH01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HASLS22261001156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CHT</t>
        </is>
      </c>
      <c r="U17" s="97" t="n"/>
      <c r="V17" s="96" t="inlineStr">
        <is>
          <t>SHA15004</t>
        </is>
      </c>
      <c r="W17" s="96" t="inlineStr">
        <is>
          <t>YUSEN LOGISTICS (THAILAND) CO., LTD</t>
        </is>
      </c>
      <c r="X17" s="96" t="inlineStr">
        <is>
          <t>VFD</t>
        </is>
      </c>
      <c r="Y17" s="96" t="inlineStr">
        <is>
          <t>YUSEN LOGISTICS (HONG KONG) LTD.</t>
        </is>
      </c>
      <c r="Z17" s="96" t="inlineStr">
        <is>
          <t>YUSEN LOGISTICS (HONG KONG) LTD.</t>
        </is>
      </c>
      <c r="AA17" s="97" t="n">
        <v>16400</v>
      </c>
      <c r="AB17" s="96" t="inlineStr">
        <is>
          <t>LCH01</t>
        </is>
      </c>
      <c r="AC17" s="96" t="inlineStr">
        <is>
          <t>HKG03</t>
        </is>
      </c>
    </row>
    <row r="18" ht="12" customHeight="1">
      <c r="A18" s="96" t="inlineStr">
        <is>
          <t>HLHU8206062</t>
        </is>
      </c>
      <c r="B18" s="161" t="inlineStr">
        <is>
          <t>2026-10-25</t>
        </is>
      </c>
      <c r="C18" s="96" t="inlineStr">
        <is>
          <t>KMGY</t>
        </is>
      </c>
      <c r="D18" s="96" t="inlineStr">
        <is>
          <t>2611N</t>
        </is>
      </c>
      <c r="E18" s="96" t="inlineStr">
        <is>
          <t>45GP</t>
        </is>
      </c>
      <c r="F18" s="96" t="inlineStr">
        <is>
          <t>SD</t>
        </is>
      </c>
      <c r="G18" s="96" t="inlineStr">
        <is>
          <t>THLCH</t>
        </is>
      </c>
      <c r="H18" s="96" t="inlineStr">
        <is>
          <t>THLCH</t>
        </is>
      </c>
      <c r="I18" s="96" t="inlineStr">
        <is>
          <t>HKHKG</t>
        </is>
      </c>
      <c r="J18" s="96" t="inlineStr">
        <is>
          <t>HKHKG</t>
        </is>
      </c>
      <c r="K18" s="96" t="inlineStr">
        <is>
          <t>F</t>
        </is>
      </c>
      <c r="L18" s="96" t="inlineStr">
        <is>
          <t>OWN</t>
        </is>
      </c>
      <c r="M18" s="96" t="inlineStr">
        <is>
          <t>VFL</t>
        </is>
      </c>
      <c r="N18" s="96" t="inlineStr">
        <is>
          <t>LCH01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HASLS22260902742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CHT</t>
        </is>
      </c>
      <c r="U18" s="97" t="n"/>
      <c r="V18" s="96" t="inlineStr">
        <is>
          <t>C0522001</t>
        </is>
      </c>
      <c r="W18" s="96" t="inlineStr">
        <is>
          <t>GOTO (THAILAND) CO., LTD.</t>
        </is>
      </c>
      <c r="X18" s="96" t="inlineStr">
        <is>
          <t>VFD</t>
        </is>
      </c>
      <c r="Y18" s="96" t="inlineStr">
        <is>
          <t>HONG KONG GOTO BUTSURYU LTD.</t>
        </is>
      </c>
      <c r="Z18" s="96" t="inlineStr">
        <is>
          <t>HONG KONG GOTO BUTSURYU LTD.</t>
        </is>
      </c>
      <c r="AA18" s="97" t="n">
        <v>10805.1</v>
      </c>
      <c r="AB18" s="96" t="inlineStr">
        <is>
          <t>LCH01</t>
        </is>
      </c>
      <c r="AC18" s="96" t="inlineStr">
        <is>
          <t>HKG03</t>
        </is>
      </c>
    </row>
    <row r="19" ht="12" customHeight="1">
      <c r="A19" s="96" t="inlineStr">
        <is>
          <t>HLHU8335542</t>
        </is>
      </c>
      <c r="B19" s="161" t="inlineStr">
        <is>
          <t>2026-10-25</t>
        </is>
      </c>
      <c r="C19" s="96" t="inlineStr">
        <is>
          <t>KMGY</t>
        </is>
      </c>
      <c r="D19" s="96" t="inlineStr">
        <is>
          <t>2611N</t>
        </is>
      </c>
      <c r="E19" s="96" t="inlineStr">
        <is>
          <t>45GP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HKHKG</t>
        </is>
      </c>
      <c r="J19" s="96" t="inlineStr">
        <is>
          <t>HKHKG</t>
        </is>
      </c>
      <c r="K19" s="96" t="inlineStr">
        <is>
          <t>F</t>
        </is>
      </c>
      <c r="L19" s="96" t="inlineStr">
        <is>
          <t>OWN</t>
        </is>
      </c>
      <c r="M19" s="96" t="inlineStr">
        <is>
          <t>VFL</t>
        </is>
      </c>
      <c r="N19" s="96" t="inlineStr">
        <is>
          <t>LCH01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HASLS22260902742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CHT</t>
        </is>
      </c>
      <c r="U19" s="97" t="n"/>
      <c r="V19" s="96" t="inlineStr">
        <is>
          <t>C0523001</t>
        </is>
      </c>
      <c r="W19" s="96" t="inlineStr">
        <is>
          <t>GOTO (THAILAND) CO., LTD.</t>
        </is>
      </c>
      <c r="X19" s="96" t="inlineStr">
        <is>
          <t>VFD</t>
        </is>
      </c>
      <c r="Y19" s="96" t="inlineStr">
        <is>
          <t>HONG KONG GOTO BUTSURYU LTD.</t>
        </is>
      </c>
      <c r="Z19" s="96" t="inlineStr">
        <is>
          <t>HONG KONG GOTO BUTSURYU LTD.</t>
        </is>
      </c>
      <c r="AA19" s="97" t="n">
        <v>7394</v>
      </c>
      <c r="AB19" s="96" t="inlineStr">
        <is>
          <t>LCH01</t>
        </is>
      </c>
      <c r="AC19" s="96" t="inlineStr">
        <is>
          <t>HKG03</t>
        </is>
      </c>
    </row>
    <row r="20" ht="12" customHeight="1">
      <c r="A20" s="96" t="inlineStr">
        <is>
          <t>HLHU8359462</t>
        </is>
      </c>
      <c r="B20" s="161" t="inlineStr">
        <is>
          <t>2026-10-25</t>
        </is>
      </c>
      <c r="C20" s="96" t="inlineStr">
        <is>
          <t>KMGY</t>
        </is>
      </c>
      <c r="D20" s="96" t="inlineStr">
        <is>
          <t>2611N</t>
        </is>
      </c>
      <c r="E20" s="96" t="inlineStr">
        <is>
          <t>45GP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HKHKG</t>
        </is>
      </c>
      <c r="J20" s="96" t="inlineStr">
        <is>
          <t>HKHKG</t>
        </is>
      </c>
      <c r="K20" s="96" t="inlineStr">
        <is>
          <t>F</t>
        </is>
      </c>
      <c r="L20" s="96" t="inlineStr">
        <is>
          <t>OWN</t>
        </is>
      </c>
      <c r="M20" s="96" t="inlineStr">
        <is>
          <t>VFL</t>
        </is>
      </c>
      <c r="N20" s="96" t="inlineStr">
        <is>
          <t>LCH01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HASLS22261000813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CHT</t>
        </is>
      </c>
      <c r="U20" s="97" t="n"/>
      <c r="V20" s="96" t="inlineStr">
        <is>
          <t>C0123007</t>
        </is>
      </c>
      <c r="W20" s="96" t="inlineStr">
        <is>
          <t>YUSEN LOGISTICS (THAILAND) CO., LTD</t>
        </is>
      </c>
      <c r="X20" s="96" t="inlineStr">
        <is>
          <t>VFD</t>
        </is>
      </c>
      <c r="Y20" s="96" t="inlineStr">
        <is>
          <t>YUSEN LOGISTICS (HONG KONG) LTD.</t>
        </is>
      </c>
      <c r="Z20" s="96" t="inlineStr">
        <is>
          <t>YUSEN LOGISTICS (HONG KONG) LTD.</t>
        </is>
      </c>
      <c r="AA20" s="97" t="n">
        <v>16400</v>
      </c>
      <c r="AB20" s="96" t="inlineStr">
        <is>
          <t>LCH01</t>
        </is>
      </c>
      <c r="AC20" s="96" t="inlineStr">
        <is>
          <t>HKG03</t>
        </is>
      </c>
    </row>
    <row r="21" ht="12" customHeight="1">
      <c r="A21" s="96" t="inlineStr">
        <is>
          <t>HLHU8455445</t>
        </is>
      </c>
      <c r="B21" s="161" t="inlineStr">
        <is>
          <t>2026-10-25</t>
        </is>
      </c>
      <c r="C21" s="96" t="inlineStr">
        <is>
          <t>KMGY</t>
        </is>
      </c>
      <c r="D21" s="96" t="inlineStr">
        <is>
          <t>2611N</t>
        </is>
      </c>
      <c r="E21" s="96" t="inlineStr">
        <is>
          <t>45GP</t>
        </is>
      </c>
      <c r="F21" s="96" t="inlineStr">
        <is>
          <t>SD</t>
        </is>
      </c>
      <c r="G21" s="96" t="inlineStr">
        <is>
          <t>THLCH</t>
        </is>
      </c>
      <c r="H21" s="96" t="inlineStr">
        <is>
          <t>THLCH</t>
        </is>
      </c>
      <c r="I21" s="96" t="inlineStr">
        <is>
          <t>CNXMN</t>
        </is>
      </c>
      <c r="J21" s="96" t="inlineStr">
        <is>
          <t>CNXMN</t>
        </is>
      </c>
      <c r="K21" s="96" t="inlineStr">
        <is>
          <t>F</t>
        </is>
      </c>
      <c r="L21" s="96" t="inlineStr">
        <is>
          <t>OWN</t>
        </is>
      </c>
      <c r="M21" s="96" t="inlineStr">
        <is>
          <t>VFL</t>
        </is>
      </c>
      <c r="N21" s="96" t="inlineStr">
        <is>
          <t>LCH01</t>
        </is>
      </c>
      <c r="O21" s="96" t="inlineStr">
        <is>
          <t>LCH</t>
        </is>
      </c>
      <c r="P21" s="96" t="inlineStr">
        <is>
          <t>TH</t>
        </is>
      </c>
      <c r="Q21" s="96" t="inlineStr">
        <is>
          <t>HASLS22261001094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CHT</t>
        </is>
      </c>
      <c r="U21" s="97" t="n"/>
      <c r="V21" s="96" t="inlineStr">
        <is>
          <t>C5624002</t>
        </is>
      </c>
      <c r="W21" s="96" t="inlineStr">
        <is>
          <t>THAI POLYCARBONATE CO.,LTD.</t>
        </is>
      </c>
      <c r="X21" s="96" t="inlineStr">
        <is>
          <t>VFD</t>
        </is>
      </c>
      <c r="Y21" s="96" t="inlineStr">
        <is>
          <t>CHIN MING SHAN</t>
        </is>
      </c>
      <c r="Z21" s="96" t="inlineStr">
        <is>
          <t>CHIN MING SHAN OPTRONICS</t>
        </is>
      </c>
      <c r="AA21" s="97" t="n">
        <v>22783.56</v>
      </c>
      <c r="AB21" s="96" t="inlineStr">
        <is>
          <t>LCH01</t>
        </is>
      </c>
      <c r="AC21" s="96" t="inlineStr">
        <is>
          <t>XMN01</t>
        </is>
      </c>
    </row>
    <row r="22" ht="12" customHeight="1">
      <c r="A22" s="96" t="inlineStr">
        <is>
          <t>KMLU2203916</t>
        </is>
      </c>
      <c r="B22" s="161" t="inlineStr">
        <is>
          <t>2026-10-25</t>
        </is>
      </c>
      <c r="C22" s="96" t="inlineStr">
        <is>
          <t>KMGY</t>
        </is>
      </c>
      <c r="D22" s="96" t="inlineStr">
        <is>
          <t>2611N</t>
        </is>
      </c>
      <c r="E22" s="96" t="inlineStr">
        <is>
          <t>22GP</t>
        </is>
      </c>
      <c r="F22" s="96" t="inlineStr">
        <is>
          <t>SD</t>
        </is>
      </c>
      <c r="G22" s="96" t="inlineStr">
        <is>
          <t>THLCH</t>
        </is>
      </c>
      <c r="H22" s="96" t="inlineStr">
        <is>
          <t>THLCH</t>
        </is>
      </c>
      <c r="I22" s="96" t="inlineStr">
        <is>
          <t>HKHKG</t>
        </is>
      </c>
      <c r="J22" s="96" t="inlineStr">
        <is>
          <t>HKHKG</t>
        </is>
      </c>
      <c r="K22" s="96" t="inlineStr">
        <is>
          <t>F</t>
        </is>
      </c>
      <c r="L22" s="96" t="inlineStr">
        <is>
          <t>ONE</t>
        </is>
      </c>
      <c r="M22" s="96" t="inlineStr">
        <is>
          <t>VFL</t>
        </is>
      </c>
      <c r="N22" s="96" t="inlineStr">
        <is>
          <t>LCH01</t>
        </is>
      </c>
      <c r="O22" s="96" t="inlineStr">
        <is>
          <t>LCH</t>
        </is>
      </c>
      <c r="P22" s="96" t="inlineStr">
        <is>
          <t>TH</t>
        </is>
      </c>
      <c r="Q22" s="96" t="inlineStr">
        <is>
          <t>HASLS22261000794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CHT</t>
        </is>
      </c>
      <c r="U22" s="97" t="n"/>
      <c r="V22" s="96" t="inlineStr">
        <is>
          <t>K0120021</t>
        </is>
      </c>
      <c r="W22" s="96" t="inlineStr">
        <is>
          <t>IRPC PUBLIC COMPANY LIMITED</t>
        </is>
      </c>
      <c r="X22" s="96" t="inlineStr">
        <is>
          <t>VFD</t>
        </is>
      </c>
      <c r="Y22" s="96" t="inlineStr">
        <is>
          <t>TO ORDER OF SOLID GOLD INDUSTRIES</t>
        </is>
      </c>
      <c r="Z22" s="96" t="inlineStr">
        <is>
          <t>SOLID GOLD INDUSTRIES (H.K.) LTD</t>
        </is>
      </c>
      <c r="AA22" s="97" t="n">
        <v>20160</v>
      </c>
      <c r="AB22" s="96" t="inlineStr">
        <is>
          <t>LCH01</t>
        </is>
      </c>
      <c r="AC22" s="96" t="inlineStr">
        <is>
          <t>HKG03</t>
        </is>
      </c>
    </row>
    <row r="23" ht="12" customHeight="1">
      <c r="A23" s="96" t="inlineStr">
        <is>
          <t>KMLU2204173</t>
        </is>
      </c>
      <c r="B23" s="161" t="inlineStr">
        <is>
          <t>2026-10-25</t>
        </is>
      </c>
      <c r="C23" s="96" t="inlineStr">
        <is>
          <t>KMGY</t>
        </is>
      </c>
      <c r="D23" s="96" t="inlineStr">
        <is>
          <t>2611N</t>
        </is>
      </c>
      <c r="E23" s="96" t="inlineStr">
        <is>
          <t>22GP</t>
        </is>
      </c>
      <c r="F23" s="96" t="inlineStr">
        <is>
          <t>SD</t>
        </is>
      </c>
      <c r="G23" s="96" t="inlineStr">
        <is>
          <t>THLCH</t>
        </is>
      </c>
      <c r="H23" s="96" t="inlineStr">
        <is>
          <t>THLCH</t>
        </is>
      </c>
      <c r="I23" s="96" t="inlineStr">
        <is>
          <t>HKHKG</t>
        </is>
      </c>
      <c r="J23" s="96" t="inlineStr">
        <is>
          <t>HKHKG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LCH01</t>
        </is>
      </c>
      <c r="O23" s="96" t="inlineStr">
        <is>
          <t>LCH</t>
        </is>
      </c>
      <c r="P23" s="96" t="inlineStr">
        <is>
          <t>TH</t>
        </is>
      </c>
      <c r="Q23" s="96" t="inlineStr">
        <is>
          <t>HASLS22261000278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CHT</t>
        </is>
      </c>
      <c r="U23" s="97" t="n"/>
      <c r="V23" s="96" t="inlineStr">
        <is>
          <t>J0120129</t>
        </is>
      </c>
      <c r="W23" s="96" t="inlineStr">
        <is>
          <t>DOUBLE A (1991) PUBLIC COMPANY</t>
        </is>
      </c>
      <c r="X23" s="96" t="inlineStr">
        <is>
          <t>VED</t>
        </is>
      </c>
      <c r="Y23" s="96" t="inlineStr">
        <is>
          <t>TO ORDER</t>
        </is>
      </c>
      <c r="Z23" s="96" t="inlineStr">
        <is>
          <t>DOUBLE A INTERNATIONAL TRADING</t>
        </is>
      </c>
      <c r="AA23" s="97" t="n">
        <v>16819</v>
      </c>
      <c r="AB23" s="96" t="inlineStr">
        <is>
          <t>LCH01</t>
        </is>
      </c>
      <c r="AC23" s="96" t="inlineStr">
        <is>
          <t>HKG03</t>
        </is>
      </c>
    </row>
    <row r="24" ht="12" customHeight="1">
      <c r="A24" s="96" t="inlineStr">
        <is>
          <t>SKHU6366808</t>
        </is>
      </c>
      <c r="B24" s="161" t="inlineStr">
        <is>
          <t>2026-10-25</t>
        </is>
      </c>
      <c r="C24" s="96" t="inlineStr">
        <is>
          <t>KMGY</t>
        </is>
      </c>
      <c r="D24" s="96" t="inlineStr">
        <is>
          <t>2611N</t>
        </is>
      </c>
      <c r="E24" s="96" t="inlineStr">
        <is>
          <t>45GP</t>
        </is>
      </c>
      <c r="F24" s="96" t="inlineStr">
        <is>
          <t>SD</t>
        </is>
      </c>
      <c r="G24" s="96" t="inlineStr">
        <is>
          <t>THLCH</t>
        </is>
      </c>
      <c r="H24" s="96" t="inlineStr">
        <is>
          <t>THLCH</t>
        </is>
      </c>
      <c r="I24" s="96" t="inlineStr">
        <is>
          <t>HKHKG</t>
        </is>
      </c>
      <c r="J24" s="96" t="inlineStr">
        <is>
          <t>HKHKG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LCH01</t>
        </is>
      </c>
      <c r="O24" s="96" t="inlineStr">
        <is>
          <t>LCH</t>
        </is>
      </c>
      <c r="P24" s="96" t="inlineStr">
        <is>
          <t>TH</t>
        </is>
      </c>
      <c r="Q24" s="96" t="inlineStr">
        <is>
          <t>HASLS22261000813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CHT</t>
        </is>
      </c>
      <c r="U24" s="97" t="n"/>
      <c r="V24" s="96" t="inlineStr">
        <is>
          <t>K0120023</t>
        </is>
      </c>
      <c r="W24" s="96" t="inlineStr">
        <is>
          <t>YUSEN LOGISTICS (THAILAND) CO., LTD</t>
        </is>
      </c>
      <c r="X24" s="96" t="inlineStr">
        <is>
          <t>VFD</t>
        </is>
      </c>
      <c r="Y24" s="96" t="inlineStr">
        <is>
          <t>YUSEN LOGISTICS (HONG KONG) LTD.</t>
        </is>
      </c>
      <c r="Z24" s="96" t="inlineStr">
        <is>
          <t>YUSEN LOGISTICS (HONG KONG) LTD.</t>
        </is>
      </c>
      <c r="AA24" s="97" t="n">
        <v>16400</v>
      </c>
      <c r="AB24" s="96" t="inlineStr">
        <is>
          <t>LCH01</t>
        </is>
      </c>
      <c r="AC24" s="96" t="inlineStr">
        <is>
          <t>HKG03</t>
        </is>
      </c>
    </row>
    <row r="25" ht="12" customHeight="1">
      <c r="A25" s="96" t="inlineStr">
        <is>
          <t>SKHU6377546</t>
        </is>
      </c>
      <c r="B25" s="161" t="inlineStr">
        <is>
          <t>2026-10-25</t>
        </is>
      </c>
      <c r="C25" s="96" t="inlineStr">
        <is>
          <t>KMGY</t>
        </is>
      </c>
      <c r="D25" s="96" t="inlineStr">
        <is>
          <t>2611N</t>
        </is>
      </c>
      <c r="E25" s="96" t="inlineStr">
        <is>
          <t>45GP</t>
        </is>
      </c>
      <c r="F25" s="96" t="inlineStr">
        <is>
          <t>SD</t>
        </is>
      </c>
      <c r="G25" s="96" t="inlineStr">
        <is>
          <t>THLCH</t>
        </is>
      </c>
      <c r="H25" s="96" t="inlineStr">
        <is>
          <t>THLCH</t>
        </is>
      </c>
      <c r="I25" s="96" t="inlineStr">
        <is>
          <t>HKHKG</t>
        </is>
      </c>
      <c r="J25" s="96" t="inlineStr">
        <is>
          <t>CNHUA</t>
        </is>
      </c>
      <c r="K25" s="96" t="inlineStr">
        <is>
          <t>F</t>
        </is>
      </c>
      <c r="L25" s="96" t="inlineStr">
        <is>
          <t>ONE</t>
        </is>
      </c>
      <c r="M25" s="96" t="inlineStr">
        <is>
          <t>VFL</t>
        </is>
      </c>
      <c r="N25" s="96" t="inlineStr">
        <is>
          <t>LCH01</t>
        </is>
      </c>
      <c r="O25" s="96" t="inlineStr">
        <is>
          <t>LCH</t>
        </is>
      </c>
      <c r="P25" s="96" t="inlineStr">
        <is>
          <t>TH</t>
        </is>
      </c>
      <c r="Q25" s="96" t="inlineStr">
        <is>
          <t>HASLS22261001071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CHT</t>
        </is>
      </c>
      <c r="U25" s="97" t="n"/>
      <c r="V25" s="96" t="inlineStr">
        <is>
          <t>K0120023</t>
        </is>
      </c>
      <c r="W25" s="96" t="inlineStr">
        <is>
          <t>L.A.1 CO.,LTD.</t>
        </is>
      </c>
      <c r="X25" s="96" t="inlineStr">
        <is>
          <t>VFD</t>
        </is>
      </c>
      <c r="Y25" s="96" t="inlineStr">
        <is>
          <t>SHENZHEN TOP STAR EXPRESS CO., LTD.</t>
        </is>
      </c>
      <c r="Z25" s="96" t="inlineStr">
        <is>
          <t>SHENZHEN TOP STAR EXPRESS CO., LTD.</t>
        </is>
      </c>
      <c r="AA25" s="97" t="n">
        <v>25440</v>
      </c>
      <c r="AB25" s="96" t="inlineStr">
        <is>
          <t>LCH01</t>
        </is>
      </c>
      <c r="AC25" s="96" t="inlineStr">
        <is>
          <t>HKG03</t>
        </is>
      </c>
    </row>
    <row r="26" ht="12" customHeight="1">
      <c r="A26" s="96" t="inlineStr">
        <is>
          <t>SKHU6444618</t>
        </is>
      </c>
      <c r="B26" s="161" t="inlineStr">
        <is>
          <t>2026-10-25</t>
        </is>
      </c>
      <c r="C26" s="96" t="inlineStr">
        <is>
          <t>KMGY</t>
        </is>
      </c>
      <c r="D26" s="96" t="inlineStr">
        <is>
          <t>2611N</t>
        </is>
      </c>
      <c r="E26" s="96" t="inlineStr">
        <is>
          <t>45GP</t>
        </is>
      </c>
      <c r="F26" s="96" t="inlineStr">
        <is>
          <t>SD</t>
        </is>
      </c>
      <c r="G26" s="96" t="inlineStr">
        <is>
          <t>THLCH</t>
        </is>
      </c>
      <c r="H26" s="96" t="inlineStr">
        <is>
          <t>THLCH</t>
        </is>
      </c>
      <c r="I26" s="96" t="inlineStr">
        <is>
          <t>HKHKG</t>
        </is>
      </c>
      <c r="J26" s="96" t="inlineStr">
        <is>
          <t>HKHKG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LCH01</t>
        </is>
      </c>
      <c r="O26" s="96" t="inlineStr">
        <is>
          <t>LCH</t>
        </is>
      </c>
      <c r="P26" s="96" t="inlineStr">
        <is>
          <t>TH</t>
        </is>
      </c>
      <c r="Q26" s="96" t="inlineStr">
        <is>
          <t>HASLS22261001156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CHT</t>
        </is>
      </c>
      <c r="U26" s="97" t="n"/>
      <c r="V26" s="96" t="inlineStr">
        <is>
          <t>K0120023</t>
        </is>
      </c>
      <c r="W26" s="96" t="inlineStr">
        <is>
          <t>YUSEN LOGISTICS (THAILAND) CO., LTD</t>
        </is>
      </c>
      <c r="X26" s="96" t="inlineStr">
        <is>
          <t>VED</t>
        </is>
      </c>
      <c r="Y26" s="96" t="inlineStr">
        <is>
          <t>YUSEN LOGISTICS (HONG KONG) LTD.</t>
        </is>
      </c>
      <c r="Z26" s="96" t="inlineStr">
        <is>
          <t>YUSEN LOGISTICS (HONG KONG) LTD.</t>
        </is>
      </c>
      <c r="AA26" s="97" t="n">
        <v>9435</v>
      </c>
      <c r="AB26" s="96" t="inlineStr">
        <is>
          <t>LCH01</t>
        </is>
      </c>
      <c r="AC26" s="96" t="inlineStr">
        <is>
          <t>HKG03</t>
        </is>
      </c>
    </row>
    <row r="27" ht="12" customHeight="1">
      <c r="A27" s="96" t="inlineStr">
        <is>
          <t>SKHU6512604</t>
        </is>
      </c>
      <c r="B27" s="161" t="inlineStr">
        <is>
          <t>2026-10-25</t>
        </is>
      </c>
      <c r="C27" s="96" t="inlineStr">
        <is>
          <t>KMGY</t>
        </is>
      </c>
      <c r="D27" s="96" t="inlineStr">
        <is>
          <t>2611N</t>
        </is>
      </c>
      <c r="E27" s="96" t="inlineStr">
        <is>
          <t>45GP</t>
        </is>
      </c>
      <c r="F27" s="96" t="inlineStr">
        <is>
          <t>SD</t>
        </is>
      </c>
      <c r="G27" s="96" t="inlineStr">
        <is>
          <t>THLCH</t>
        </is>
      </c>
      <c r="H27" s="96" t="inlineStr">
        <is>
          <t>THLCH</t>
        </is>
      </c>
      <c r="I27" s="96" t="inlineStr">
        <is>
          <t>HKHKG</t>
        </is>
      </c>
      <c r="J27" s="96" t="inlineStr">
        <is>
          <t>HKHKG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LCH01</t>
        </is>
      </c>
      <c r="O27" s="96" t="inlineStr">
        <is>
          <t>LCH</t>
        </is>
      </c>
      <c r="P27" s="96" t="inlineStr">
        <is>
          <t>TH</t>
        </is>
      </c>
      <c r="Q27" s="96" t="inlineStr">
        <is>
          <t>HASLS22260901363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CHT</t>
        </is>
      </c>
      <c r="U27" s="97" t="n"/>
      <c r="V27" s="96" t="inlineStr">
        <is>
          <t>K0120023</t>
        </is>
      </c>
      <c r="W27" s="96" t="inlineStr">
        <is>
          <t>NIPPON EXPRESS LOGISTICS</t>
        </is>
      </c>
      <c r="X27" s="96" t="inlineStr">
        <is>
          <t>ONL</t>
        </is>
      </c>
      <c r="Y27" s="96" t="inlineStr">
        <is>
          <t>NIPPON EXPRESS (H.K.) CO.,LTD.</t>
        </is>
      </c>
      <c r="Z27" s="96" t="inlineStr">
        <is>
          <t>NIPPON EXPRESS (H.K.) CO.,LTD.</t>
        </is>
      </c>
      <c r="AA27" s="97" t="n">
        <v>5340.8</v>
      </c>
      <c r="AB27" s="96" t="inlineStr">
        <is>
          <t>LCH01</t>
        </is>
      </c>
      <c r="AC27" s="96" t="inlineStr">
        <is>
          <t>HKG03</t>
        </is>
      </c>
    </row>
    <row r="28" ht="12" customHeight="1">
      <c r="A28" s="96" t="inlineStr">
        <is>
          <t>SKHU6626757</t>
        </is>
      </c>
      <c r="B28" s="161" t="inlineStr">
        <is>
          <t>2026-10-25</t>
        </is>
      </c>
      <c r="C28" s="96" t="inlineStr">
        <is>
          <t>KMGY</t>
        </is>
      </c>
      <c r="D28" s="96" t="inlineStr">
        <is>
          <t>2611N</t>
        </is>
      </c>
      <c r="E28" s="96" t="inlineStr">
        <is>
          <t>45GP</t>
        </is>
      </c>
      <c r="F28" s="96" t="inlineStr">
        <is>
          <t>SD</t>
        </is>
      </c>
      <c r="G28" s="96" t="inlineStr">
        <is>
          <t>THLCH</t>
        </is>
      </c>
      <c r="H28" s="96" t="inlineStr">
        <is>
          <t>THLCH</t>
        </is>
      </c>
      <c r="I28" s="96" t="inlineStr">
        <is>
          <t>HKHKG</t>
        </is>
      </c>
      <c r="J28" s="96" t="inlineStr">
        <is>
          <t>HKHKG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LCH01</t>
        </is>
      </c>
      <c r="O28" s="96" t="inlineStr">
        <is>
          <t>LCH</t>
        </is>
      </c>
      <c r="P28" s="96" t="inlineStr">
        <is>
          <t>TH</t>
        </is>
      </c>
      <c r="Q28" s="96" t="inlineStr">
        <is>
          <t>HASLS22260901774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CHT</t>
        </is>
      </c>
      <c r="U28" s="97" t="n"/>
      <c r="V28" s="96" t="inlineStr">
        <is>
          <t>K0120023</t>
        </is>
      </c>
      <c r="W28" s="96" t="inlineStr">
        <is>
          <t>KWE-KINTETSU WORLD EXPRESS</t>
        </is>
      </c>
      <c r="X28" s="96" t="inlineStr">
        <is>
          <t>VFD</t>
        </is>
      </c>
      <c r="Y28" s="96" t="inlineStr">
        <is>
          <t>KINTETSU WORLD EXPRESS (HK) LIMITED</t>
        </is>
      </c>
      <c r="Z28" s="96" t="inlineStr">
        <is>
          <t>KINTETSU WORLD EXPRESS (HK) LIMITED</t>
        </is>
      </c>
      <c r="AA28" s="97" t="n">
        <v>6543.38</v>
      </c>
      <c r="AB28" s="96" t="inlineStr">
        <is>
          <t>LCH01</t>
        </is>
      </c>
      <c r="AC28" s="96" t="inlineStr">
        <is>
          <t>HKG03</t>
        </is>
      </c>
    </row>
    <row r="29" ht="12" customHeight="1">
      <c r="A29" s="96" t="inlineStr">
        <is>
          <t>SKHU8109795</t>
        </is>
      </c>
      <c r="B29" s="161" t="inlineStr">
        <is>
          <t>2026-10-25</t>
        </is>
      </c>
      <c r="C29" s="96" t="inlineStr">
        <is>
          <t>KMGY</t>
        </is>
      </c>
      <c r="D29" s="96" t="inlineStr">
        <is>
          <t>2611N</t>
        </is>
      </c>
      <c r="E29" s="96" t="inlineStr">
        <is>
          <t>45GP</t>
        </is>
      </c>
      <c r="F29" s="96" t="inlineStr">
        <is>
          <t>SD</t>
        </is>
      </c>
      <c r="G29" s="96" t="inlineStr">
        <is>
          <t>THLCH</t>
        </is>
      </c>
      <c r="H29" s="96" t="inlineStr">
        <is>
          <t>THLCH</t>
        </is>
      </c>
      <c r="I29" s="96" t="inlineStr">
        <is>
          <t>KRINC</t>
        </is>
      </c>
      <c r="J29" s="96" t="inlineStr">
        <is>
          <t>KRINC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LCH01</t>
        </is>
      </c>
      <c r="O29" s="96" t="inlineStr">
        <is>
          <t>LCH</t>
        </is>
      </c>
      <c r="P29" s="96" t="inlineStr">
        <is>
          <t>TH</t>
        </is>
      </c>
      <c r="Q29" s="96" t="inlineStr">
        <is>
          <t>HASLS22261001424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CHT</t>
        </is>
      </c>
      <c r="U29" s="97" t="n"/>
      <c r="V29" s="96" t="inlineStr">
        <is>
          <t>K0120023</t>
        </is>
      </c>
      <c r="W29" s="96" t="inlineStr">
        <is>
          <t>THAI GULF JELLYFISH CO.,LTD</t>
        </is>
      </c>
      <c r="X29" s="96" t="inlineStr">
        <is>
          <t>VFD</t>
        </is>
      </c>
      <c r="Y29" s="96" t="inlineStr">
        <is>
          <t>TO THE ORDER OF KEB HANA BANK</t>
        </is>
      </c>
      <c r="Z29" s="96" t="inlineStr">
        <is>
          <t>JJ OCEAN.</t>
        </is>
      </c>
      <c r="AA29" s="97" t="n">
        <v>23400</v>
      </c>
      <c r="AB29" s="96" t="inlineStr">
        <is>
          <t>LCH01</t>
        </is>
      </c>
      <c r="AC29" s="96" t="inlineStr">
        <is>
          <t>INC03</t>
        </is>
      </c>
    </row>
    <row r="30" ht="12" customHeight="1">
      <c r="A30" s="96" t="inlineStr">
        <is>
          <t>SKHU8916204</t>
        </is>
      </c>
      <c r="B30" s="161" t="inlineStr">
        <is>
          <t>2026-10-25</t>
        </is>
      </c>
      <c r="C30" s="96" t="inlineStr">
        <is>
          <t>KMGY</t>
        </is>
      </c>
      <c r="D30" s="96" t="inlineStr">
        <is>
          <t>2611N</t>
        </is>
      </c>
      <c r="E30" s="96" t="inlineStr">
        <is>
          <t>45GP</t>
        </is>
      </c>
      <c r="F30" s="96" t="inlineStr">
        <is>
          <t>SD</t>
        </is>
      </c>
      <c r="G30" s="96" t="inlineStr">
        <is>
          <t>THLCH</t>
        </is>
      </c>
      <c r="H30" s="96" t="inlineStr">
        <is>
          <t>THLCH</t>
        </is>
      </c>
      <c r="I30" s="96" t="inlineStr">
        <is>
          <t>HKHKG</t>
        </is>
      </c>
      <c r="J30" s="96" t="inlineStr">
        <is>
          <t>HKHKG</t>
        </is>
      </c>
      <c r="K30" s="96" t="inlineStr">
        <is>
          <t>F</t>
        </is>
      </c>
      <c r="L30" s="96" t="inlineStr">
        <is>
          <t>ONE</t>
        </is>
      </c>
      <c r="M30" s="96" t="inlineStr">
        <is>
          <t>VFL</t>
        </is>
      </c>
      <c r="N30" s="96" t="inlineStr">
        <is>
          <t>LCH01</t>
        </is>
      </c>
      <c r="O30" s="96" t="inlineStr">
        <is>
          <t>LCH</t>
        </is>
      </c>
      <c r="P30" s="96" t="inlineStr">
        <is>
          <t>TH</t>
        </is>
      </c>
      <c r="Q30" s="96" t="inlineStr">
        <is>
          <t>HASLS22261000813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CHT</t>
        </is>
      </c>
      <c r="U30" s="97" t="n"/>
      <c r="V30" s="96" t="inlineStr">
        <is>
          <t>K0120023</t>
        </is>
      </c>
      <c r="W30" s="96" t="inlineStr">
        <is>
          <t>YUSEN LOGISTICS (THAILAND) CO., LTD</t>
        </is>
      </c>
      <c r="X30" s="96" t="inlineStr">
        <is>
          <t>VFD</t>
        </is>
      </c>
      <c r="Y30" s="96" t="inlineStr">
        <is>
          <t>YUSEN LOGISTICS (HONG KONG) LTD.</t>
        </is>
      </c>
      <c r="Z30" s="96" t="inlineStr">
        <is>
          <t>YUSEN LOGISTICS (HONG KONG) LTD.</t>
        </is>
      </c>
      <c r="AA30" s="97" t="n">
        <v>16400</v>
      </c>
      <c r="AB30" s="96" t="inlineStr">
        <is>
          <t>LCH01</t>
        </is>
      </c>
      <c r="AC30" s="96" t="inlineStr">
        <is>
          <t>HKG03</t>
        </is>
      </c>
    </row>
    <row r="31" ht="12" customHeight="1">
      <c r="A31" s="96" t="inlineStr">
        <is>
          <t>SKHU9310844</t>
        </is>
      </c>
      <c r="B31" s="161" t="inlineStr">
        <is>
          <t>2026-10-25</t>
        </is>
      </c>
      <c r="C31" s="96" t="inlineStr">
        <is>
          <t>KMGY</t>
        </is>
      </c>
      <c r="D31" s="96" t="inlineStr">
        <is>
          <t>2611N</t>
        </is>
      </c>
      <c r="E31" s="96" t="inlineStr">
        <is>
          <t>45GP</t>
        </is>
      </c>
      <c r="F31" s="96" t="inlineStr">
        <is>
          <t>SD</t>
        </is>
      </c>
      <c r="G31" s="96" t="inlineStr">
        <is>
          <t>THLCH</t>
        </is>
      </c>
      <c r="H31" s="96" t="inlineStr">
        <is>
          <t>THLCH</t>
        </is>
      </c>
      <c r="I31" s="96" t="inlineStr">
        <is>
          <t>HKHKG</t>
        </is>
      </c>
      <c r="J31" s="96" t="inlineStr">
        <is>
          <t>HKHKG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LCH01</t>
        </is>
      </c>
      <c r="O31" s="96" t="inlineStr">
        <is>
          <t>LCH</t>
        </is>
      </c>
      <c r="P31" s="96" t="inlineStr">
        <is>
          <t>TH</t>
        </is>
      </c>
      <c r="Q31" s="96" t="inlineStr">
        <is>
          <t>HASLS22261000813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CHT</t>
        </is>
      </c>
      <c r="U31" s="97" t="n"/>
      <c r="V31" s="96" t="inlineStr">
        <is>
          <t>K0120023</t>
        </is>
      </c>
      <c r="W31" s="96" t="inlineStr">
        <is>
          <t>YUSEN LOGISTICS (THAILAND) CO., LTD</t>
        </is>
      </c>
      <c r="X31" s="96" t="inlineStr">
        <is>
          <t>VED</t>
        </is>
      </c>
      <c r="Y31" s="96" t="inlineStr">
        <is>
          <t>YUSEN LOGISTICS (HONG KONG) LTD.</t>
        </is>
      </c>
      <c r="Z31" s="96" t="inlineStr">
        <is>
          <t>YUSEN LOGISTICS (HONG KONG) LTD.</t>
        </is>
      </c>
      <c r="AA31" s="97" t="n">
        <v>16400</v>
      </c>
      <c r="AB31" s="96" t="inlineStr">
        <is>
          <t>LCH01</t>
        </is>
      </c>
      <c r="AC31" s="96" t="inlineStr">
        <is>
          <t>HKG03</t>
        </is>
      </c>
    </row>
    <row r="32" ht="12" customHeight="1">
      <c r="A32" s="96" t="inlineStr">
        <is>
          <t>SKHU9312092</t>
        </is>
      </c>
      <c r="B32" s="161" t="inlineStr">
        <is>
          <t>2026-10-25</t>
        </is>
      </c>
      <c r="C32" s="96" t="inlineStr">
        <is>
          <t>KMGY</t>
        </is>
      </c>
      <c r="D32" s="96" t="inlineStr">
        <is>
          <t>2611N</t>
        </is>
      </c>
      <c r="E32" s="96" t="inlineStr">
        <is>
          <t>45GP</t>
        </is>
      </c>
      <c r="F32" s="96" t="inlineStr">
        <is>
          <t>SD</t>
        </is>
      </c>
      <c r="G32" s="96" t="inlineStr">
        <is>
          <t>THLCH</t>
        </is>
      </c>
      <c r="H32" s="96" t="inlineStr">
        <is>
          <t>THLCH</t>
        </is>
      </c>
      <c r="I32" s="96" t="inlineStr">
        <is>
          <t>HKHKG</t>
        </is>
      </c>
      <c r="J32" s="96" t="inlineStr">
        <is>
          <t>HKHKG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LCH01</t>
        </is>
      </c>
      <c r="O32" s="96" t="inlineStr">
        <is>
          <t>LCH</t>
        </is>
      </c>
      <c r="P32" s="96" t="inlineStr">
        <is>
          <t>TH</t>
        </is>
      </c>
      <c r="Q32" s="96" t="inlineStr">
        <is>
          <t>HASLS22261001156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CHT</t>
        </is>
      </c>
      <c r="U32" s="97" t="n"/>
      <c r="V32" s="96" t="inlineStr">
        <is>
          <t>K0120023</t>
        </is>
      </c>
      <c r="W32" s="96" t="inlineStr">
        <is>
          <t>YUSEN LOGISTICS (THAILAND) CO., LTD</t>
        </is>
      </c>
      <c r="X32" s="96" t="inlineStr">
        <is>
          <t>VFD</t>
        </is>
      </c>
      <c r="Y32" s="96" t="inlineStr">
        <is>
          <t>YUSEN LOGISTICS (HONG KONG) LTD.</t>
        </is>
      </c>
      <c r="Z32" s="96" t="inlineStr">
        <is>
          <t>YUSEN LOGISTICS (HONG KONG) LTD.</t>
        </is>
      </c>
      <c r="AA32" s="97" t="n">
        <v>16400</v>
      </c>
      <c r="AB32" s="96" t="inlineStr">
        <is>
          <t>LCH01</t>
        </is>
      </c>
      <c r="AC32" s="96" t="inlineStr">
        <is>
          <t>HKG03</t>
        </is>
      </c>
    </row>
    <row r="33" ht="12" customHeight="1">
      <c r="A33" s="96" t="inlineStr">
        <is>
          <t>SKHU9404603</t>
        </is>
      </c>
      <c r="B33" s="161" t="inlineStr">
        <is>
          <t>2026-10-25</t>
        </is>
      </c>
      <c r="C33" s="96" t="inlineStr">
        <is>
          <t>KMGY</t>
        </is>
      </c>
      <c r="D33" s="96" t="inlineStr">
        <is>
          <t>2611N</t>
        </is>
      </c>
      <c r="E33" s="96" t="inlineStr">
        <is>
          <t>45GP</t>
        </is>
      </c>
      <c r="F33" s="96" t="inlineStr">
        <is>
          <t>SD</t>
        </is>
      </c>
      <c r="G33" s="96" t="inlineStr">
        <is>
          <t>THLCH</t>
        </is>
      </c>
      <c r="H33" s="96" t="inlineStr">
        <is>
          <t>THLCH</t>
        </is>
      </c>
      <c r="I33" s="96" t="inlineStr">
        <is>
          <t>HKHKG</t>
        </is>
      </c>
      <c r="J33" s="96" t="inlineStr">
        <is>
          <t>HKHKG</t>
        </is>
      </c>
      <c r="K33" s="96" t="inlineStr">
        <is>
          <t>F</t>
        </is>
      </c>
      <c r="L33" s="96" t="inlineStr">
        <is>
          <t>ONE</t>
        </is>
      </c>
      <c r="M33" s="96" t="inlineStr">
        <is>
          <t>VFL</t>
        </is>
      </c>
      <c r="N33" s="96" t="inlineStr">
        <is>
          <t>LCH01</t>
        </is>
      </c>
      <c r="O33" s="96" t="inlineStr">
        <is>
          <t>LCH</t>
        </is>
      </c>
      <c r="P33" s="96" t="inlineStr">
        <is>
          <t>TH</t>
        </is>
      </c>
      <c r="Q33" s="96" t="inlineStr">
        <is>
          <t>HASLS22261000813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CHT</t>
        </is>
      </c>
      <c r="U33" s="97" t="n"/>
      <c r="V33" s="96" t="inlineStr">
        <is>
          <t>K0120023</t>
        </is>
      </c>
      <c r="W33" s="96" t="inlineStr">
        <is>
          <t>YUSEN LOGISTICS (THAILAND) CO., LTD</t>
        </is>
      </c>
      <c r="X33" s="96" t="inlineStr">
        <is>
          <t>ONL</t>
        </is>
      </c>
      <c r="Y33" s="96" t="inlineStr">
        <is>
          <t>YUSEN LOGISTICS (HONG KONG) LTD.</t>
        </is>
      </c>
      <c r="Z33" s="96" t="inlineStr">
        <is>
          <t>YUSEN LOGISTICS (HONG KONG) LTD.</t>
        </is>
      </c>
      <c r="AA33" s="97" t="n">
        <v>16400</v>
      </c>
      <c r="AB33" s="96" t="inlineStr">
        <is>
          <t>LCH01</t>
        </is>
      </c>
      <c r="AC33" s="96" t="inlineStr">
        <is>
          <t>HKG03</t>
        </is>
      </c>
    </row>
    <row r="34" ht="12" customHeight="1">
      <c r="A34" s="96" t="inlineStr">
        <is>
          <t>SKHU9415212</t>
        </is>
      </c>
      <c r="B34" s="161" t="inlineStr">
        <is>
          <t>2026-10-25</t>
        </is>
      </c>
      <c r="C34" s="96" t="inlineStr">
        <is>
          <t>KMGY</t>
        </is>
      </c>
      <c r="D34" s="96" t="inlineStr">
        <is>
          <t>2611N</t>
        </is>
      </c>
      <c r="E34" s="96" t="inlineStr">
        <is>
          <t>45GP</t>
        </is>
      </c>
      <c r="F34" s="96" t="inlineStr">
        <is>
          <t>SD</t>
        </is>
      </c>
      <c r="G34" s="96" t="inlineStr">
        <is>
          <t>THLCH</t>
        </is>
      </c>
      <c r="H34" s="96" t="inlineStr">
        <is>
          <t>THLCH</t>
        </is>
      </c>
      <c r="I34" s="96" t="inlineStr">
        <is>
          <t>HKHKG</t>
        </is>
      </c>
      <c r="J34" s="96" t="inlineStr">
        <is>
          <t>HKHKG</t>
        </is>
      </c>
      <c r="K34" s="96" t="inlineStr">
        <is>
          <t>F</t>
        </is>
      </c>
      <c r="L34" s="96" t="inlineStr">
        <is>
          <t>ONE</t>
        </is>
      </c>
      <c r="M34" s="96" t="inlineStr">
        <is>
          <t>VFL</t>
        </is>
      </c>
      <c r="N34" s="96" t="inlineStr">
        <is>
          <t>LCH01</t>
        </is>
      </c>
      <c r="O34" s="96" t="inlineStr">
        <is>
          <t>LCH</t>
        </is>
      </c>
      <c r="P34" s="96" t="inlineStr">
        <is>
          <t>TH</t>
        </is>
      </c>
      <c r="Q34" s="96" t="inlineStr">
        <is>
          <t>HASLS22260902742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CHT</t>
        </is>
      </c>
      <c r="U34" s="97" t="n"/>
      <c r="V34" s="96" t="inlineStr">
        <is>
          <t>K0120023</t>
        </is>
      </c>
      <c r="W34" s="96" t="inlineStr">
        <is>
          <t>GOTO (THAILAND) CO., LTD.</t>
        </is>
      </c>
      <c r="X34" s="96" t="inlineStr">
        <is>
          <t>VFD</t>
        </is>
      </c>
      <c r="Y34" s="96" t="inlineStr">
        <is>
          <t>HONG KONG GOTO BUTSURYU LTD.</t>
        </is>
      </c>
      <c r="Z34" s="96" t="inlineStr">
        <is>
          <t>HONG KONG GOTO BUTSURYU LTD.</t>
        </is>
      </c>
      <c r="AA34" s="97" t="n">
        <v>11012.8</v>
      </c>
      <c r="AB34" s="96" t="inlineStr">
        <is>
          <t>LCH01</t>
        </is>
      </c>
      <c r="AC34" s="96" t="inlineStr">
        <is>
          <t>HKG03</t>
        </is>
      </c>
    </row>
    <row r="35" ht="12" customHeight="1">
      <c r="A35" s="96" t="inlineStr">
        <is>
          <t>SKHU9420482</t>
        </is>
      </c>
      <c r="B35" s="161" t="inlineStr">
        <is>
          <t>2026-10-25</t>
        </is>
      </c>
      <c r="C35" s="96" t="inlineStr">
        <is>
          <t>KMGY</t>
        </is>
      </c>
      <c r="D35" s="96" t="inlineStr">
        <is>
          <t>2611N</t>
        </is>
      </c>
      <c r="E35" s="96" t="inlineStr">
        <is>
          <t>45GP</t>
        </is>
      </c>
      <c r="F35" s="96" t="inlineStr">
        <is>
          <t>SD</t>
        </is>
      </c>
      <c r="G35" s="96" t="inlineStr">
        <is>
          <t>THLCH</t>
        </is>
      </c>
      <c r="H35" s="96" t="inlineStr">
        <is>
          <t>THLCH</t>
        </is>
      </c>
      <c r="I35" s="96" t="inlineStr">
        <is>
          <t>HKHKG</t>
        </is>
      </c>
      <c r="J35" s="96" t="inlineStr">
        <is>
          <t>HKHKG</t>
        </is>
      </c>
      <c r="K35" s="96" t="inlineStr">
        <is>
          <t>F</t>
        </is>
      </c>
      <c r="L35" s="96" t="inlineStr">
        <is>
          <t>ONE</t>
        </is>
      </c>
      <c r="M35" s="96" t="inlineStr">
        <is>
          <t>VFL</t>
        </is>
      </c>
      <c r="N35" s="96" t="inlineStr">
        <is>
          <t>LCH01</t>
        </is>
      </c>
      <c r="O35" s="96" t="inlineStr">
        <is>
          <t>LCH</t>
        </is>
      </c>
      <c r="P35" s="96" t="inlineStr">
        <is>
          <t>TH</t>
        </is>
      </c>
      <c r="Q35" s="96" t="inlineStr">
        <is>
          <t>HASLS22261000813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CHT</t>
        </is>
      </c>
      <c r="U35" s="97" t="n"/>
      <c r="V35" s="96" t="inlineStr">
        <is>
          <t>K0120023</t>
        </is>
      </c>
      <c r="W35" s="96" t="inlineStr">
        <is>
          <t>YUSEN LOGISTICS (THAILAND) CO., LTD</t>
        </is>
      </c>
      <c r="X35" s="96" t="inlineStr">
        <is>
          <t>ONL</t>
        </is>
      </c>
      <c r="Y35" s="96" t="inlineStr">
        <is>
          <t>YUSEN LOGISTICS (HONG KONG) LTD.</t>
        </is>
      </c>
      <c r="Z35" s="96" t="inlineStr">
        <is>
          <t>YUSEN LOGISTICS (HONG KONG) LTD.</t>
        </is>
      </c>
      <c r="AA35" s="97" t="n">
        <v>16400</v>
      </c>
      <c r="AB35" s="96" t="inlineStr">
        <is>
          <t>LCH01</t>
        </is>
      </c>
      <c r="AC35" s="96" t="inlineStr">
        <is>
          <t>HKG03</t>
        </is>
      </c>
    </row>
    <row r="36" ht="12" customHeight="1">
      <c r="A36" s="96" t="inlineStr">
        <is>
          <t>SKHU9531450</t>
        </is>
      </c>
      <c r="B36" s="161" t="inlineStr">
        <is>
          <t>2026-10-25</t>
        </is>
      </c>
      <c r="C36" s="96" t="inlineStr">
        <is>
          <t>KMGY</t>
        </is>
      </c>
      <c r="D36" s="96" t="inlineStr">
        <is>
          <t>2611N</t>
        </is>
      </c>
      <c r="E36" s="96" t="inlineStr">
        <is>
          <t>45GP</t>
        </is>
      </c>
      <c r="F36" s="96" t="inlineStr">
        <is>
          <t>SD</t>
        </is>
      </c>
      <c r="G36" s="96" t="inlineStr">
        <is>
          <t>THLCH</t>
        </is>
      </c>
      <c r="H36" s="96" t="inlineStr">
        <is>
          <t>THLCH</t>
        </is>
      </c>
      <c r="I36" s="96" t="inlineStr">
        <is>
          <t>KRINC</t>
        </is>
      </c>
      <c r="J36" s="96" t="inlineStr">
        <is>
          <t>KRINC</t>
        </is>
      </c>
      <c r="K36" s="96" t="inlineStr">
        <is>
          <t>F</t>
        </is>
      </c>
      <c r="L36" s="96" t="inlineStr">
        <is>
          <t>ONE</t>
        </is>
      </c>
      <c r="M36" s="96" t="inlineStr">
        <is>
          <t>VFL</t>
        </is>
      </c>
      <c r="N36" s="96" t="inlineStr">
        <is>
          <t>LCH01</t>
        </is>
      </c>
      <c r="O36" s="96" t="inlineStr">
        <is>
          <t>LCH</t>
        </is>
      </c>
      <c r="P36" s="96" t="inlineStr">
        <is>
          <t>TH</t>
        </is>
      </c>
      <c r="Q36" s="96" t="inlineStr">
        <is>
          <t>HASLS22261000031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CHT</t>
        </is>
      </c>
      <c r="U36" s="97" t="n"/>
      <c r="V36" s="96" t="inlineStr">
        <is>
          <t>K0120023</t>
        </is>
      </c>
      <c r="W36" s="96" t="inlineStr">
        <is>
          <t>KWE-KINTETSU WORLD EXPRESS</t>
        </is>
      </c>
      <c r="X36" s="96" t="inlineStr">
        <is>
          <t>VFD</t>
        </is>
      </c>
      <c r="Y36" s="96" t="inlineStr">
        <is>
          <t>KINTETSU WORLD EXPRESS(KOREA)INC</t>
        </is>
      </c>
      <c r="Z36" s="96" t="inlineStr">
        <is>
          <t>KINTETSU WORLD EXPRESS(KOREA)INC</t>
        </is>
      </c>
      <c r="AA36" s="97" t="n">
        <v>2858.924</v>
      </c>
      <c r="AB36" s="96" t="inlineStr">
        <is>
          <t>LCH01</t>
        </is>
      </c>
      <c r="AC36" s="96" t="inlineStr">
        <is>
          <t>INC03</t>
        </is>
      </c>
    </row>
    <row r="37" ht="12" customHeight="1">
      <c r="A37" s="96" t="inlineStr">
        <is>
          <t>SKHU9539445</t>
        </is>
      </c>
      <c r="B37" s="161" t="inlineStr">
        <is>
          <t>2026-10-25</t>
        </is>
      </c>
      <c r="C37" s="96" t="inlineStr">
        <is>
          <t>KMGY</t>
        </is>
      </c>
      <c r="D37" s="96" t="inlineStr">
        <is>
          <t>2611N</t>
        </is>
      </c>
      <c r="E37" s="96" t="inlineStr">
        <is>
          <t>45GP</t>
        </is>
      </c>
      <c r="F37" s="96" t="inlineStr">
        <is>
          <t>SD</t>
        </is>
      </c>
      <c r="G37" s="96" t="inlineStr">
        <is>
          <t>THLCH</t>
        </is>
      </c>
      <c r="H37" s="96" t="inlineStr">
        <is>
          <t>THLCH</t>
        </is>
      </c>
      <c r="I37" s="96" t="inlineStr">
        <is>
          <t>HKHKG</t>
        </is>
      </c>
      <c r="J37" s="96" t="inlineStr">
        <is>
          <t>HKHKG</t>
        </is>
      </c>
      <c r="K37" s="96" t="inlineStr">
        <is>
          <t>F</t>
        </is>
      </c>
      <c r="L37" s="96" t="inlineStr">
        <is>
          <t>ONE</t>
        </is>
      </c>
      <c r="M37" s="96" t="inlineStr">
        <is>
          <t>VFL</t>
        </is>
      </c>
      <c r="N37" s="96" t="inlineStr">
        <is>
          <t>LCH01</t>
        </is>
      </c>
      <c r="O37" s="96" t="inlineStr">
        <is>
          <t>LCH</t>
        </is>
      </c>
      <c r="P37" s="96" t="inlineStr">
        <is>
          <t>TH</t>
        </is>
      </c>
      <c r="Q37" s="96" t="inlineStr">
        <is>
          <t>HASLS22260902742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CHT</t>
        </is>
      </c>
      <c r="U37" s="97" t="n"/>
      <c r="V37" s="96" t="inlineStr">
        <is>
          <t>K0120023</t>
        </is>
      </c>
      <c r="W37" s="96" t="inlineStr">
        <is>
          <t>GOTO (THAILAND) CO., LTD.</t>
        </is>
      </c>
      <c r="X37" s="96" t="inlineStr">
        <is>
          <t>VED</t>
        </is>
      </c>
      <c r="Y37" s="96" t="inlineStr">
        <is>
          <t>HONG KONG GOTO BUTSURYU LTD.</t>
        </is>
      </c>
      <c r="Z37" s="96" t="inlineStr">
        <is>
          <t>HONG KONG GOTO BUTSURYU LTD.</t>
        </is>
      </c>
      <c r="AA37" s="97" t="n">
        <v>8576.799999999999</v>
      </c>
      <c r="AB37" s="96" t="inlineStr">
        <is>
          <t>LCH01</t>
        </is>
      </c>
      <c r="AC37" s="96" t="inlineStr">
        <is>
          <t>HKG03</t>
        </is>
      </c>
    </row>
    <row r="38" ht="12" customHeight="1">
      <c r="A38" s="96" t="inlineStr">
        <is>
          <t>SKHU9604849</t>
        </is>
      </c>
      <c r="B38" s="161" t="inlineStr">
        <is>
          <t>2026-10-25</t>
        </is>
      </c>
      <c r="C38" s="96" t="inlineStr">
        <is>
          <t>KMGY</t>
        </is>
      </c>
      <c r="D38" s="96" t="inlineStr">
        <is>
          <t>2611N</t>
        </is>
      </c>
      <c r="E38" s="96" t="inlineStr">
        <is>
          <t>45GP</t>
        </is>
      </c>
      <c r="F38" s="96" t="inlineStr">
        <is>
          <t>SD</t>
        </is>
      </c>
      <c r="G38" s="96" t="inlineStr">
        <is>
          <t>THLCH</t>
        </is>
      </c>
      <c r="H38" s="96" t="inlineStr">
        <is>
          <t>THLCH</t>
        </is>
      </c>
      <c r="I38" s="96" t="inlineStr">
        <is>
          <t>HKHKG</t>
        </is>
      </c>
      <c r="J38" s="96" t="inlineStr">
        <is>
          <t>HKHKG</t>
        </is>
      </c>
      <c r="K38" s="96" t="inlineStr">
        <is>
          <t>F</t>
        </is>
      </c>
      <c r="L38" s="96" t="inlineStr">
        <is>
          <t>ONE</t>
        </is>
      </c>
      <c r="M38" s="96" t="inlineStr">
        <is>
          <t>VFL</t>
        </is>
      </c>
      <c r="N38" s="96" t="inlineStr">
        <is>
          <t>LCH01</t>
        </is>
      </c>
      <c r="O38" s="96" t="inlineStr">
        <is>
          <t>LCH</t>
        </is>
      </c>
      <c r="P38" s="96" t="inlineStr">
        <is>
          <t>TH</t>
        </is>
      </c>
      <c r="Q38" s="96" t="inlineStr">
        <is>
          <t>HASLS22261000813</t>
        </is>
      </c>
      <c r="R38" s="96" t="inlineStr">
        <is>
          <t>N</t>
        </is>
      </c>
      <c r="S38" s="96" t="inlineStr">
        <is>
          <t>N</t>
        </is>
      </c>
      <c r="T38" s="96" t="inlineStr">
        <is>
          <t>CHT</t>
        </is>
      </c>
      <c r="U38" s="97" t="n"/>
      <c r="V38" s="96" t="inlineStr">
        <is>
          <t>K0120023</t>
        </is>
      </c>
      <c r="W38" s="96" t="inlineStr">
        <is>
          <t>YUSEN LOGISTICS (THAILAND) CO., LTD</t>
        </is>
      </c>
      <c r="X38" s="96" t="inlineStr">
        <is>
          <t>ONL</t>
        </is>
      </c>
      <c r="Y38" s="96" t="inlineStr">
        <is>
          <t>YUSEN LOGISTICS (HONG KONG) LTD.</t>
        </is>
      </c>
      <c r="Z38" s="96" t="inlineStr">
        <is>
          <t>YUSEN LOGISTICS (HONG KONG) LTD.</t>
        </is>
      </c>
      <c r="AA38" s="97" t="n">
        <v>16400</v>
      </c>
      <c r="AB38" s="96" t="inlineStr">
        <is>
          <t>LCH01</t>
        </is>
      </c>
      <c r="AC38" s="96" t="inlineStr">
        <is>
          <t>HKG03</t>
        </is>
      </c>
    </row>
    <row r="39" ht="12" customHeight="1">
      <c r="A39" s="96" t="inlineStr">
        <is>
          <t>SKHU9627567</t>
        </is>
      </c>
      <c r="B39" s="161" t="inlineStr">
        <is>
          <t>2026-10-25</t>
        </is>
      </c>
      <c r="C39" s="96" t="inlineStr">
        <is>
          <t>KMGY</t>
        </is>
      </c>
      <c r="D39" s="96" t="inlineStr">
        <is>
          <t>2611N</t>
        </is>
      </c>
      <c r="E39" s="96" t="inlineStr">
        <is>
          <t>45GP</t>
        </is>
      </c>
      <c r="F39" s="96" t="inlineStr">
        <is>
          <t>SD</t>
        </is>
      </c>
      <c r="G39" s="96" t="inlineStr">
        <is>
          <t>THLCH</t>
        </is>
      </c>
      <c r="H39" s="96" t="inlineStr">
        <is>
          <t>THLCH</t>
        </is>
      </c>
      <c r="I39" s="96" t="inlineStr">
        <is>
          <t>HKHKG</t>
        </is>
      </c>
      <c r="J39" s="96" t="inlineStr">
        <is>
          <t>HKHKG</t>
        </is>
      </c>
      <c r="K39" s="96" t="inlineStr">
        <is>
          <t>F</t>
        </is>
      </c>
      <c r="L39" s="96" t="inlineStr">
        <is>
          <t>ONE</t>
        </is>
      </c>
      <c r="M39" s="96" t="inlineStr">
        <is>
          <t>VFL</t>
        </is>
      </c>
      <c r="N39" s="96" t="inlineStr">
        <is>
          <t>LCH01</t>
        </is>
      </c>
      <c r="O39" s="96" t="inlineStr">
        <is>
          <t>LCH</t>
        </is>
      </c>
      <c r="P39" s="96" t="inlineStr">
        <is>
          <t>TH</t>
        </is>
      </c>
      <c r="Q39" s="96" t="inlineStr">
        <is>
          <t>HASLS22261001156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CHT</t>
        </is>
      </c>
      <c r="U39" s="97" t="n"/>
      <c r="V39" s="96" t="inlineStr">
        <is>
          <t>K0120023</t>
        </is>
      </c>
      <c r="W39" s="96" t="inlineStr">
        <is>
          <t>YUSEN LOGISTICS (THAILAND) CO., LTD</t>
        </is>
      </c>
      <c r="X39" s="96" t="inlineStr">
        <is>
          <t>VFD</t>
        </is>
      </c>
      <c r="Y39" s="96" t="inlineStr">
        <is>
          <t>YUSEN LOGISTICS (HONG KONG) LTD.</t>
        </is>
      </c>
      <c r="Z39" s="96" t="inlineStr">
        <is>
          <t>YUSEN LOGISTICS (HONG KONG) LTD.</t>
        </is>
      </c>
      <c r="AA39" s="97" t="n">
        <v>16400</v>
      </c>
      <c r="AB39" s="96" t="inlineStr">
        <is>
          <t>LCH01</t>
        </is>
      </c>
      <c r="AC39" s="96" t="inlineStr">
        <is>
          <t>HKG03</t>
        </is>
      </c>
    </row>
    <row r="40" ht="12" customHeight="1">
      <c r="A40" s="96" t="inlineStr">
        <is>
          <t>SKHU9919569</t>
        </is>
      </c>
      <c r="B40" s="161" t="inlineStr">
        <is>
          <t>2026-10-25</t>
        </is>
      </c>
      <c r="C40" s="96" t="inlineStr">
        <is>
          <t>KMGY</t>
        </is>
      </c>
      <c r="D40" s="96" t="inlineStr">
        <is>
          <t>2611N</t>
        </is>
      </c>
      <c r="E40" s="96" t="inlineStr">
        <is>
          <t>45GP</t>
        </is>
      </c>
      <c r="F40" s="96" t="inlineStr">
        <is>
          <t>SD</t>
        </is>
      </c>
      <c r="G40" s="96" t="inlineStr">
        <is>
          <t>THLCH</t>
        </is>
      </c>
      <c r="H40" s="96" t="inlineStr">
        <is>
          <t>THLCH</t>
        </is>
      </c>
      <c r="I40" s="96" t="inlineStr">
        <is>
          <t>HKHKG</t>
        </is>
      </c>
      <c r="J40" s="96" t="inlineStr">
        <is>
          <t>HKHKG</t>
        </is>
      </c>
      <c r="K40" s="96" t="inlineStr">
        <is>
          <t>F</t>
        </is>
      </c>
      <c r="L40" s="96" t="inlineStr">
        <is>
          <t>ONE</t>
        </is>
      </c>
      <c r="M40" s="96" t="inlineStr">
        <is>
          <t>VFL</t>
        </is>
      </c>
      <c r="N40" s="96" t="inlineStr">
        <is>
          <t>LCH01</t>
        </is>
      </c>
      <c r="O40" s="96" t="inlineStr">
        <is>
          <t>LCH</t>
        </is>
      </c>
      <c r="P40" s="96" t="inlineStr">
        <is>
          <t>TH</t>
        </is>
      </c>
      <c r="Q40" s="96" t="inlineStr">
        <is>
          <t>HASLS22261001156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CHT</t>
        </is>
      </c>
      <c r="U40" s="97" t="n"/>
      <c r="V40" s="96" t="inlineStr">
        <is>
          <t>K0120023</t>
        </is>
      </c>
      <c r="W40" s="96" t="inlineStr">
        <is>
          <t>YUSEN LOGISTICS (THAILAND) CO., LTD</t>
        </is>
      </c>
      <c r="X40" s="96" t="inlineStr">
        <is>
          <t>VFD</t>
        </is>
      </c>
      <c r="Y40" s="96" t="inlineStr">
        <is>
          <t>YUSEN LOGISTICS (HONG KONG) LTD.</t>
        </is>
      </c>
      <c r="Z40" s="96" t="inlineStr">
        <is>
          <t>YUSEN LOGISTICS (HONG KONG) LTD.</t>
        </is>
      </c>
      <c r="AA40" s="97" t="n">
        <v>16400</v>
      </c>
      <c r="AB40" s="96" t="inlineStr">
        <is>
          <t>LCH01</t>
        </is>
      </c>
      <c r="AC40" s="96" t="inlineStr">
        <is>
          <t>HKG03</t>
        </is>
      </c>
    </row>
    <row r="41" ht="12" customHeight="1">
      <c r="A41" s="96" t="inlineStr">
        <is>
          <t>SKHU9924518</t>
        </is>
      </c>
      <c r="B41" s="161" t="inlineStr">
        <is>
          <t>2026-10-25</t>
        </is>
      </c>
      <c r="C41" s="96" t="inlineStr">
        <is>
          <t>KMGY</t>
        </is>
      </c>
      <c r="D41" s="96" t="inlineStr">
        <is>
          <t>2611N</t>
        </is>
      </c>
      <c r="E41" s="96" t="inlineStr">
        <is>
          <t>45GP</t>
        </is>
      </c>
      <c r="F41" s="96" t="inlineStr">
        <is>
          <t>SD</t>
        </is>
      </c>
      <c r="G41" s="96" t="inlineStr">
        <is>
          <t>THLCH</t>
        </is>
      </c>
      <c r="H41" s="96" t="inlineStr">
        <is>
          <t>THLCH</t>
        </is>
      </c>
      <c r="I41" s="96" t="inlineStr">
        <is>
          <t>HKHKG</t>
        </is>
      </c>
      <c r="J41" s="96" t="inlineStr">
        <is>
          <t>HKHKG</t>
        </is>
      </c>
      <c r="K41" s="96" t="inlineStr">
        <is>
          <t>F</t>
        </is>
      </c>
      <c r="L41" s="96" t="inlineStr">
        <is>
          <t>ONE</t>
        </is>
      </c>
      <c r="M41" s="96" t="inlineStr">
        <is>
          <t>VFL</t>
        </is>
      </c>
      <c r="N41" s="96" t="inlineStr">
        <is>
          <t>LCH01</t>
        </is>
      </c>
      <c r="O41" s="96" t="inlineStr">
        <is>
          <t>LCH</t>
        </is>
      </c>
      <c r="P41" s="96" t="inlineStr">
        <is>
          <t>TH</t>
        </is>
      </c>
      <c r="Q41" s="96" t="inlineStr">
        <is>
          <t>HASLS22261001156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CHT</t>
        </is>
      </c>
      <c r="U41" s="97" t="n"/>
      <c r="V41" s="96" t="inlineStr">
        <is>
          <t>K0120023</t>
        </is>
      </c>
      <c r="W41" s="96" t="inlineStr">
        <is>
          <t>YUSEN LOGISTICS (THAILAND) CO., LTD</t>
        </is>
      </c>
      <c r="X41" s="96" t="inlineStr">
        <is>
          <t>VFD</t>
        </is>
      </c>
      <c r="Y41" s="96" t="inlineStr">
        <is>
          <t>YUSEN LOGISTICS (HONG KONG) LTD.</t>
        </is>
      </c>
      <c r="Z41" s="96" t="inlineStr">
        <is>
          <t>YUSEN LOGISTICS (HONG KONG) LTD.</t>
        </is>
      </c>
      <c r="AA41" s="97" t="n">
        <v>16400</v>
      </c>
      <c r="AB41" s="96" t="inlineStr">
        <is>
          <t>LCH01</t>
        </is>
      </c>
      <c r="AC41" s="96" t="inlineStr">
        <is>
          <t>HKG03</t>
        </is>
      </c>
    </row>
    <row r="42" ht="12" customHeight="1">
      <c r="A42" s="96" t="inlineStr">
        <is>
          <t>SKHU9931688</t>
        </is>
      </c>
      <c r="B42" s="161" t="inlineStr">
        <is>
          <t>2026-10-25</t>
        </is>
      </c>
      <c r="C42" s="96" t="inlineStr">
        <is>
          <t>KMGY</t>
        </is>
      </c>
      <c r="D42" s="96" t="inlineStr">
        <is>
          <t>2611N</t>
        </is>
      </c>
      <c r="E42" s="96" t="inlineStr">
        <is>
          <t>45GP</t>
        </is>
      </c>
      <c r="F42" s="96" t="inlineStr">
        <is>
          <t>SD</t>
        </is>
      </c>
      <c r="G42" s="96" t="inlineStr">
        <is>
          <t>THLCH</t>
        </is>
      </c>
      <c r="H42" s="96" t="inlineStr">
        <is>
          <t>THLCH</t>
        </is>
      </c>
      <c r="I42" s="96" t="inlineStr">
        <is>
          <t>HKHKG</t>
        </is>
      </c>
      <c r="J42" s="96" t="inlineStr">
        <is>
          <t>HKHKG</t>
        </is>
      </c>
      <c r="K42" s="96" t="inlineStr">
        <is>
          <t>F</t>
        </is>
      </c>
      <c r="L42" s="96" t="inlineStr">
        <is>
          <t>ONE</t>
        </is>
      </c>
      <c r="M42" s="96" t="inlineStr">
        <is>
          <t>VFL</t>
        </is>
      </c>
      <c r="N42" s="96" t="inlineStr">
        <is>
          <t>LCH01</t>
        </is>
      </c>
      <c r="O42" s="96" t="inlineStr">
        <is>
          <t>LCH</t>
        </is>
      </c>
      <c r="P42" s="96" t="inlineStr">
        <is>
          <t>TH</t>
        </is>
      </c>
      <c r="Q42" s="96" t="inlineStr">
        <is>
          <t>HASLS22261001156</t>
        </is>
      </c>
      <c r="R42" s="96" t="inlineStr">
        <is>
          <t>N</t>
        </is>
      </c>
      <c r="S42" s="96" t="inlineStr">
        <is>
          <t>N</t>
        </is>
      </c>
      <c r="T42" s="96" t="inlineStr">
        <is>
          <t>CHT</t>
        </is>
      </c>
      <c r="U42" s="97" t="n"/>
      <c r="V42" s="96" t="inlineStr">
        <is>
          <t>K0120023</t>
        </is>
      </c>
      <c r="W42" s="96" t="inlineStr">
        <is>
          <t>YUSEN LOGISTICS (THAILAND) CO., LTD</t>
        </is>
      </c>
      <c r="X42" s="96" t="inlineStr">
        <is>
          <t>VFD</t>
        </is>
      </c>
      <c r="Y42" s="96" t="inlineStr">
        <is>
          <t>YUSEN LOGISTICS (HONG KONG) LTD.</t>
        </is>
      </c>
      <c r="Z42" s="96" t="inlineStr">
        <is>
          <t>YUSEN LOGISTICS (HONG KONG) LTD.</t>
        </is>
      </c>
      <c r="AA42" s="97" t="n">
        <v>16400</v>
      </c>
      <c r="AB42" s="96" t="inlineStr">
        <is>
          <t>LCH01</t>
        </is>
      </c>
      <c r="AC42" s="96" t="inlineStr">
        <is>
          <t>HKG03</t>
        </is>
      </c>
    </row>
    <row r="43" ht="12" customHeight="1">
      <c r="A43" s="96" t="inlineStr">
        <is>
          <t>SKLU0706215</t>
        </is>
      </c>
      <c r="B43" s="161" t="inlineStr">
        <is>
          <t>2026-10-25</t>
        </is>
      </c>
      <c r="C43" s="96" t="inlineStr">
        <is>
          <t>KMGY</t>
        </is>
      </c>
      <c r="D43" s="96" t="inlineStr">
        <is>
          <t>2611N</t>
        </is>
      </c>
      <c r="E43" s="96" t="inlineStr">
        <is>
          <t>22GP</t>
        </is>
      </c>
      <c r="F43" s="96" t="inlineStr">
        <is>
          <t>SD</t>
        </is>
      </c>
      <c r="G43" s="96" t="inlineStr">
        <is>
          <t>THLCH</t>
        </is>
      </c>
      <c r="H43" s="96" t="inlineStr">
        <is>
          <t>THLCH</t>
        </is>
      </c>
      <c r="I43" s="96" t="inlineStr">
        <is>
          <t>HKHKG</t>
        </is>
      </c>
      <c r="J43" s="96" t="inlineStr">
        <is>
          <t>HKHKG</t>
        </is>
      </c>
      <c r="K43" s="96" t="inlineStr">
        <is>
          <t>F</t>
        </is>
      </c>
      <c r="L43" s="96" t="inlineStr">
        <is>
          <t>ONE</t>
        </is>
      </c>
      <c r="M43" s="96" t="inlineStr">
        <is>
          <t>VFL</t>
        </is>
      </c>
      <c r="N43" s="96" t="inlineStr">
        <is>
          <t>LCH01</t>
        </is>
      </c>
      <c r="O43" s="96" t="inlineStr">
        <is>
          <t>LCH</t>
        </is>
      </c>
      <c r="P43" s="96" t="inlineStr">
        <is>
          <t>TH</t>
        </is>
      </c>
      <c r="Q43" s="96" t="inlineStr">
        <is>
          <t>HASLS22261001311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CHT</t>
        </is>
      </c>
      <c r="U43" s="97" t="n"/>
      <c r="V43" s="96" t="inlineStr">
        <is>
          <t>K0120021</t>
        </is>
      </c>
      <c r="W43" s="96" t="inlineStr">
        <is>
          <t>TFL LEDERTECHNIK GMBH</t>
        </is>
      </c>
      <c r="X43" s="96" t="inlineStr">
        <is>
          <t>VED</t>
        </is>
      </c>
      <c r="Y43" s="96" t="inlineStr">
        <is>
          <t>KEI TAT (GLOBAL) CHEMICALS LTD.</t>
        </is>
      </c>
      <c r="Z43" s="96" t="inlineStr">
        <is>
          <t>KEI TAT (GLOBAL) CHEMICALS LTD.</t>
        </is>
      </c>
      <c r="AA43" s="97" t="n">
        <v>9906.4</v>
      </c>
      <c r="AB43" s="96" t="inlineStr">
        <is>
          <t>LCH01</t>
        </is>
      </c>
      <c r="AC43" s="96" t="inlineStr">
        <is>
          <t>HKG03</t>
        </is>
      </c>
    </row>
    <row r="44" ht="12" customHeight="1">
      <c r="A44" s="96" t="inlineStr">
        <is>
          <t>SKLU0743559</t>
        </is>
      </c>
      <c r="B44" s="161" t="inlineStr">
        <is>
          <t>2026-10-25</t>
        </is>
      </c>
      <c r="C44" s="96" t="inlineStr">
        <is>
          <t>KMGY</t>
        </is>
      </c>
      <c r="D44" s="96" t="inlineStr">
        <is>
          <t>2611N</t>
        </is>
      </c>
      <c r="E44" s="96" t="inlineStr">
        <is>
          <t>22GP</t>
        </is>
      </c>
      <c r="F44" s="96" t="inlineStr">
        <is>
          <t>SD</t>
        </is>
      </c>
      <c r="G44" s="96" t="inlineStr">
        <is>
          <t>THLCH</t>
        </is>
      </c>
      <c r="H44" s="96" t="inlineStr">
        <is>
          <t>THLCH</t>
        </is>
      </c>
      <c r="I44" s="96" t="inlineStr">
        <is>
          <t>HKHKG</t>
        </is>
      </c>
      <c r="J44" s="96" t="inlineStr">
        <is>
          <t>HKHKG</t>
        </is>
      </c>
      <c r="K44" s="96" t="inlineStr">
        <is>
          <t>F</t>
        </is>
      </c>
      <c r="L44" s="96" t="inlineStr">
        <is>
          <t>ONE</t>
        </is>
      </c>
      <c r="M44" s="96" t="inlineStr">
        <is>
          <t>VFL</t>
        </is>
      </c>
      <c r="N44" s="96" t="inlineStr">
        <is>
          <t>LCH01</t>
        </is>
      </c>
      <c r="O44" s="96" t="inlineStr">
        <is>
          <t>LCH</t>
        </is>
      </c>
      <c r="P44" s="96" t="inlineStr">
        <is>
          <t>TH</t>
        </is>
      </c>
      <c r="Q44" s="96" t="inlineStr">
        <is>
          <t>HASLS22261000278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CHT</t>
        </is>
      </c>
      <c r="U44" s="97" t="n"/>
      <c r="V44" s="96" t="inlineStr">
        <is>
          <t>K0120021</t>
        </is>
      </c>
      <c r="W44" s="96" t="inlineStr">
        <is>
          <t>DOUBLE A (1991) PUBLIC COMPANY</t>
        </is>
      </c>
      <c r="X44" s="96" t="inlineStr">
        <is>
          <t>VED</t>
        </is>
      </c>
      <c r="Y44" s="96" t="inlineStr">
        <is>
          <t>TO ORDER</t>
        </is>
      </c>
      <c r="Z44" s="96" t="inlineStr">
        <is>
          <t>DOUBLE A INTERNATIONAL TRADING</t>
        </is>
      </c>
      <c r="AA44" s="97" t="n">
        <v>16818</v>
      </c>
      <c r="AB44" s="96" t="inlineStr">
        <is>
          <t>LCH01</t>
        </is>
      </c>
      <c r="AC44" s="96" t="inlineStr">
        <is>
          <t>HKG03</t>
        </is>
      </c>
    </row>
    <row r="45" ht="12" customHeight="1">
      <c r="A45" s="96" t="inlineStr">
        <is>
          <t>SKLU1104001</t>
        </is>
      </c>
      <c r="B45" s="161" t="inlineStr">
        <is>
          <t>2026-10-25</t>
        </is>
      </c>
      <c r="C45" s="96" t="inlineStr">
        <is>
          <t>KMGY</t>
        </is>
      </c>
      <c r="D45" s="96" t="inlineStr">
        <is>
          <t>2611N</t>
        </is>
      </c>
      <c r="E45" s="96" t="inlineStr">
        <is>
          <t>22GP</t>
        </is>
      </c>
      <c r="F45" s="96" t="inlineStr">
        <is>
          <t>SD</t>
        </is>
      </c>
      <c r="G45" s="96" t="inlineStr">
        <is>
          <t>THLCH</t>
        </is>
      </c>
      <c r="H45" s="96" t="inlineStr">
        <is>
          <t>THLCH</t>
        </is>
      </c>
      <c r="I45" s="96" t="inlineStr">
        <is>
          <t>HKHKG</t>
        </is>
      </c>
      <c r="J45" s="96" t="inlineStr">
        <is>
          <t>HKHKG</t>
        </is>
      </c>
      <c r="K45" s="96" t="inlineStr">
        <is>
          <t>F</t>
        </is>
      </c>
      <c r="L45" s="96" t="inlineStr">
        <is>
          <t>ONE</t>
        </is>
      </c>
      <c r="M45" s="96" t="inlineStr">
        <is>
          <t>VFL</t>
        </is>
      </c>
      <c r="N45" s="96" t="inlineStr">
        <is>
          <t>LCH01</t>
        </is>
      </c>
      <c r="O45" s="96" t="inlineStr">
        <is>
          <t>LCH</t>
        </is>
      </c>
      <c r="P45" s="96" t="inlineStr">
        <is>
          <t>TH</t>
        </is>
      </c>
      <c r="Q45" s="96" t="inlineStr">
        <is>
          <t>HASLS22260902763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CHT</t>
        </is>
      </c>
      <c r="U45" s="97" t="n"/>
      <c r="V45" s="96" t="inlineStr">
        <is>
          <t>K0120021</t>
        </is>
      </c>
      <c r="W45" s="96" t="inlineStr">
        <is>
          <t>THE THAI SUGAR TRADING CORPORATION</t>
        </is>
      </c>
      <c r="X45" s="96" t="inlineStr">
        <is>
          <t>VED</t>
        </is>
      </c>
      <c r="Y45" s="96" t="inlineStr">
        <is>
          <t>TAIKOO SUGAR LIMITED</t>
        </is>
      </c>
      <c r="Z45" s="96" t="inlineStr">
        <is>
          <t>TAIKOO SUGAR LIMITED</t>
        </is>
      </c>
      <c r="AA45" s="97" t="n">
        <v>20056</v>
      </c>
      <c r="AB45" s="96" t="inlineStr">
        <is>
          <t>LCH01</t>
        </is>
      </c>
      <c r="AC45" s="96" t="inlineStr">
        <is>
          <t>HKG03</t>
        </is>
      </c>
    </row>
    <row r="46" ht="12" customHeight="1">
      <c r="A46" s="96" t="inlineStr">
        <is>
          <t>SKLU1117117</t>
        </is>
      </c>
      <c r="B46" s="161" t="inlineStr">
        <is>
          <t>2026-10-25</t>
        </is>
      </c>
      <c r="C46" s="96" t="inlineStr">
        <is>
          <t>KMGY</t>
        </is>
      </c>
      <c r="D46" s="96" t="inlineStr">
        <is>
          <t>2611N</t>
        </is>
      </c>
      <c r="E46" s="96" t="inlineStr">
        <is>
          <t>22GP</t>
        </is>
      </c>
      <c r="F46" s="96" t="inlineStr">
        <is>
          <t>SD</t>
        </is>
      </c>
      <c r="G46" s="96" t="inlineStr">
        <is>
          <t>THLCH</t>
        </is>
      </c>
      <c r="H46" s="96" t="inlineStr">
        <is>
          <t>THLCH</t>
        </is>
      </c>
      <c r="I46" s="96" t="inlineStr">
        <is>
          <t>HKHKG</t>
        </is>
      </c>
      <c r="J46" s="96" t="inlineStr">
        <is>
          <t>HKHKG</t>
        </is>
      </c>
      <c r="K46" s="96" t="inlineStr">
        <is>
          <t>F</t>
        </is>
      </c>
      <c r="L46" s="96" t="inlineStr">
        <is>
          <t>ONE</t>
        </is>
      </c>
      <c r="M46" s="96" t="inlineStr">
        <is>
          <t>VFL</t>
        </is>
      </c>
      <c r="N46" s="96" t="inlineStr">
        <is>
          <t>LCH01</t>
        </is>
      </c>
      <c r="O46" s="96" t="inlineStr">
        <is>
          <t>LCH</t>
        </is>
      </c>
      <c r="P46" s="96" t="inlineStr">
        <is>
          <t>TH</t>
        </is>
      </c>
      <c r="Q46" s="96" t="inlineStr">
        <is>
          <t>HASLS22261000795</t>
        </is>
      </c>
      <c r="R46" s="96" t="inlineStr">
        <is>
          <t>N</t>
        </is>
      </c>
      <c r="S46" s="96" t="inlineStr">
        <is>
          <t>N</t>
        </is>
      </c>
      <c r="T46" s="96" t="inlineStr">
        <is>
          <t>CHT</t>
        </is>
      </c>
      <c r="U46" s="97" t="n"/>
      <c r="V46" s="96" t="inlineStr">
        <is>
          <t>K0120021</t>
        </is>
      </c>
      <c r="W46" s="96" t="inlineStr">
        <is>
          <t>IRPC PUBLIC COMPANY LIMITED</t>
        </is>
      </c>
      <c r="X46" s="96" t="inlineStr">
        <is>
          <t>VED</t>
        </is>
      </c>
      <c r="Y46" s="96" t="inlineStr">
        <is>
          <t>TO ORDER OF SOLID GOLD INDUSTRIES</t>
        </is>
      </c>
      <c r="Z46" s="96" t="inlineStr">
        <is>
          <t>SOLID GOLD INDUSTRIES (HK) LIMITED</t>
        </is>
      </c>
      <c r="AA46" s="97" t="n">
        <v>16599</v>
      </c>
      <c r="AB46" s="96" t="inlineStr">
        <is>
          <t>LCH01</t>
        </is>
      </c>
      <c r="AC46" s="96" t="inlineStr">
        <is>
          <t>HKG03</t>
        </is>
      </c>
    </row>
    <row r="47" ht="12" customHeight="1">
      <c r="A47" s="96" t="inlineStr">
        <is>
          <t>SKLU1302497</t>
        </is>
      </c>
      <c r="B47" s="161" t="inlineStr">
        <is>
          <t>2026-10-25</t>
        </is>
      </c>
      <c r="C47" s="96" t="inlineStr">
        <is>
          <t>KMGY</t>
        </is>
      </c>
      <c r="D47" s="96" t="inlineStr">
        <is>
          <t>2611N</t>
        </is>
      </c>
      <c r="E47" s="96" t="inlineStr">
        <is>
          <t>22GP</t>
        </is>
      </c>
      <c r="F47" s="96" t="inlineStr">
        <is>
          <t>SD</t>
        </is>
      </c>
      <c r="G47" s="96" t="inlineStr">
        <is>
          <t>THLCH</t>
        </is>
      </c>
      <c r="H47" s="96" t="inlineStr">
        <is>
          <t>THLCH</t>
        </is>
      </c>
      <c r="I47" s="96" t="inlineStr">
        <is>
          <t>HKHKG</t>
        </is>
      </c>
      <c r="J47" s="96" t="inlineStr">
        <is>
          <t>HKHKG</t>
        </is>
      </c>
      <c r="K47" s="96" t="inlineStr">
        <is>
          <t>F</t>
        </is>
      </c>
      <c r="L47" s="96" t="inlineStr">
        <is>
          <t>ONE</t>
        </is>
      </c>
      <c r="M47" s="96" t="inlineStr">
        <is>
          <t>VFL</t>
        </is>
      </c>
      <c r="N47" s="96" t="inlineStr">
        <is>
          <t>LCH01</t>
        </is>
      </c>
      <c r="O47" s="96" t="inlineStr">
        <is>
          <t>LCH</t>
        </is>
      </c>
      <c r="P47" s="96" t="inlineStr">
        <is>
          <t>TH</t>
        </is>
      </c>
      <c r="Q47" s="96" t="inlineStr">
        <is>
          <t>HASLS22260902763</t>
        </is>
      </c>
      <c r="R47" s="96" t="inlineStr">
        <is>
          <t>N</t>
        </is>
      </c>
      <c r="S47" s="96" t="inlineStr">
        <is>
          <t>N</t>
        </is>
      </c>
      <c r="T47" s="96" t="inlineStr">
        <is>
          <t>CHT</t>
        </is>
      </c>
      <c r="U47" s="97" t="n"/>
      <c r="V47" s="96" t="inlineStr">
        <is>
          <t>K0120021</t>
        </is>
      </c>
      <c r="W47" s="96" t="inlineStr">
        <is>
          <t>THE THAI SUGAR TRADING CORPORATION</t>
        </is>
      </c>
      <c r="X47" s="96" t="inlineStr">
        <is>
          <t>VFD</t>
        </is>
      </c>
      <c r="Y47" s="96" t="inlineStr">
        <is>
          <t>TAIKOO SUGAR LIMITED</t>
        </is>
      </c>
      <c r="Z47" s="96" t="inlineStr">
        <is>
          <t>TAIKOO SUGAR LIMITED</t>
        </is>
      </c>
      <c r="AA47" s="97" t="n">
        <v>20056</v>
      </c>
      <c r="AB47" s="96" t="inlineStr">
        <is>
          <t>LCH01</t>
        </is>
      </c>
      <c r="AC47" s="96" t="inlineStr">
        <is>
          <t>HKG03</t>
        </is>
      </c>
    </row>
    <row r="48" ht="12" customHeight="1">
      <c r="A48" s="96" t="inlineStr">
        <is>
          <t>SKLU1312113</t>
        </is>
      </c>
      <c r="B48" s="161" t="inlineStr">
        <is>
          <t>2026-10-25</t>
        </is>
      </c>
      <c r="C48" s="96" t="inlineStr">
        <is>
          <t>KMGY</t>
        </is>
      </c>
      <c r="D48" s="96" t="inlineStr">
        <is>
          <t>2611N</t>
        </is>
      </c>
      <c r="E48" s="96" t="inlineStr">
        <is>
          <t>22GP</t>
        </is>
      </c>
      <c r="F48" s="96" t="inlineStr">
        <is>
          <t>SD</t>
        </is>
      </c>
      <c r="G48" s="96" t="inlineStr">
        <is>
          <t>THLCH</t>
        </is>
      </c>
      <c r="H48" s="96" t="inlineStr">
        <is>
          <t>THLCH</t>
        </is>
      </c>
      <c r="I48" s="96" t="inlineStr">
        <is>
          <t>KRINC</t>
        </is>
      </c>
      <c r="J48" s="96" t="inlineStr">
        <is>
          <t>KRINC</t>
        </is>
      </c>
      <c r="K48" s="96" t="inlineStr">
        <is>
          <t>F</t>
        </is>
      </c>
      <c r="L48" s="96" t="inlineStr">
        <is>
          <t>ONE</t>
        </is>
      </c>
      <c r="M48" s="96" t="inlineStr">
        <is>
          <t>VFL</t>
        </is>
      </c>
      <c r="N48" s="96" t="inlineStr">
        <is>
          <t>LCH01</t>
        </is>
      </c>
      <c r="O48" s="96" t="inlineStr">
        <is>
          <t>LCH</t>
        </is>
      </c>
      <c r="P48" s="96" t="inlineStr">
        <is>
          <t>TH</t>
        </is>
      </c>
      <c r="Q48" s="96" t="inlineStr">
        <is>
          <t>HASLS22260900819</t>
        </is>
      </c>
      <c r="R48" s="96" t="inlineStr">
        <is>
          <t>N</t>
        </is>
      </c>
      <c r="S48" s="96" t="inlineStr">
        <is>
          <t>N</t>
        </is>
      </c>
      <c r="T48" s="96" t="inlineStr">
        <is>
          <t>CHT</t>
        </is>
      </c>
      <c r="U48" s="97" t="n"/>
      <c r="V48" s="96" t="inlineStr">
        <is>
          <t>K0120021</t>
        </is>
      </c>
      <c r="W48" s="96" t="inlineStr">
        <is>
          <t>THE THAI SUGAR TRADING CORPORATION</t>
        </is>
      </c>
      <c r="X48" s="96" t="inlineStr">
        <is>
          <t>VED</t>
        </is>
      </c>
      <c r="Y48" s="96" t="inlineStr">
        <is>
          <t>TO ORDER</t>
        </is>
      </c>
      <c r="Z48" s="96" t="inlineStr">
        <is>
          <t>CH HOLDINGS CO., LTD.</t>
        </is>
      </c>
      <c r="AA48" s="97" t="n">
        <v>23184</v>
      </c>
      <c r="AB48" s="96" t="inlineStr">
        <is>
          <t>LCH01</t>
        </is>
      </c>
      <c r="AC48" s="96" t="inlineStr">
        <is>
          <t>INC03</t>
        </is>
      </c>
    </row>
    <row r="49" ht="12" customHeight="1">
      <c r="A49" s="96" t="inlineStr">
        <is>
          <t>SKLU1338340</t>
        </is>
      </c>
      <c r="B49" s="161" t="inlineStr">
        <is>
          <t>2026-10-25</t>
        </is>
      </c>
      <c r="C49" s="96" t="inlineStr">
        <is>
          <t>KMGY</t>
        </is>
      </c>
      <c r="D49" s="96" t="inlineStr">
        <is>
          <t>2611N</t>
        </is>
      </c>
      <c r="E49" s="96" t="inlineStr">
        <is>
          <t>22GP</t>
        </is>
      </c>
      <c r="F49" s="96" t="inlineStr">
        <is>
          <t>SD</t>
        </is>
      </c>
      <c r="G49" s="96" t="inlineStr">
        <is>
          <t>THLCH</t>
        </is>
      </c>
      <c r="H49" s="96" t="inlineStr">
        <is>
          <t>THLCH</t>
        </is>
      </c>
      <c r="I49" s="96" t="inlineStr">
        <is>
          <t>KRINC</t>
        </is>
      </c>
      <c r="J49" s="96" t="inlineStr">
        <is>
          <t>KRINC</t>
        </is>
      </c>
      <c r="K49" s="96" t="inlineStr">
        <is>
          <t>F</t>
        </is>
      </c>
      <c r="L49" s="96" t="inlineStr">
        <is>
          <t>ONE</t>
        </is>
      </c>
      <c r="M49" s="96" t="inlineStr">
        <is>
          <t>VFL</t>
        </is>
      </c>
      <c r="N49" s="96" t="inlineStr">
        <is>
          <t>LCH01</t>
        </is>
      </c>
      <c r="O49" s="96" t="inlineStr">
        <is>
          <t>LCH</t>
        </is>
      </c>
      <c r="P49" s="96" t="inlineStr">
        <is>
          <t>TH</t>
        </is>
      </c>
      <c r="Q49" s="96" t="inlineStr">
        <is>
          <t>HASLS22260900819</t>
        </is>
      </c>
      <c r="R49" s="96" t="inlineStr">
        <is>
          <t>N</t>
        </is>
      </c>
      <c r="S49" s="96" t="inlineStr">
        <is>
          <t>N</t>
        </is>
      </c>
      <c r="T49" s="96" t="inlineStr">
        <is>
          <t>CHT</t>
        </is>
      </c>
      <c r="U49" s="97" t="n"/>
      <c r="V49" s="96" t="inlineStr">
        <is>
          <t>K0120021</t>
        </is>
      </c>
      <c r="W49" s="96" t="inlineStr">
        <is>
          <t>THE THAI SUGAR TRADING CORPORATION</t>
        </is>
      </c>
      <c r="X49" s="96" t="inlineStr">
        <is>
          <t>VFD</t>
        </is>
      </c>
      <c r="Y49" s="96" t="inlineStr">
        <is>
          <t>TO ORDER</t>
        </is>
      </c>
      <c r="Z49" s="96" t="inlineStr">
        <is>
          <t>CH HOLDINGS CO., LTD.</t>
        </is>
      </c>
      <c r="AA49" s="97" t="n">
        <v>23184</v>
      </c>
      <c r="AB49" s="96" t="inlineStr">
        <is>
          <t>LCH01</t>
        </is>
      </c>
      <c r="AC49" s="96" t="inlineStr">
        <is>
          <t>INC03</t>
        </is>
      </c>
    </row>
    <row r="50" ht="12" customHeight="1">
      <c r="A50" s="96" t="inlineStr">
        <is>
          <t>SKLU1403640</t>
        </is>
      </c>
      <c r="B50" s="161" t="inlineStr">
        <is>
          <t>2026-10-25</t>
        </is>
      </c>
      <c r="C50" s="96" t="inlineStr">
        <is>
          <t>KMGY</t>
        </is>
      </c>
      <c r="D50" s="96" t="inlineStr">
        <is>
          <t>2611N</t>
        </is>
      </c>
      <c r="E50" s="96" t="inlineStr">
        <is>
          <t>22GP</t>
        </is>
      </c>
      <c r="F50" s="96" t="inlineStr">
        <is>
          <t>SD</t>
        </is>
      </c>
      <c r="G50" s="96" t="inlineStr">
        <is>
          <t>THLCH</t>
        </is>
      </c>
      <c r="H50" s="96" t="inlineStr">
        <is>
          <t>THLCH</t>
        </is>
      </c>
      <c r="I50" s="96" t="inlineStr">
        <is>
          <t>HKHKG</t>
        </is>
      </c>
      <c r="J50" s="96" t="inlineStr">
        <is>
          <t>HKHKG</t>
        </is>
      </c>
      <c r="K50" s="96" t="inlineStr">
        <is>
          <t>F</t>
        </is>
      </c>
      <c r="L50" s="96" t="inlineStr">
        <is>
          <t>ONE</t>
        </is>
      </c>
      <c r="M50" s="96" t="inlineStr">
        <is>
          <t>VFL</t>
        </is>
      </c>
      <c r="N50" s="96" t="inlineStr">
        <is>
          <t>LCH01</t>
        </is>
      </c>
      <c r="O50" s="96" t="inlineStr">
        <is>
          <t>LCH</t>
        </is>
      </c>
      <c r="P50" s="96" t="inlineStr">
        <is>
          <t>TH</t>
        </is>
      </c>
      <c r="Q50" s="96" t="inlineStr">
        <is>
          <t>HASLS22261000792</t>
        </is>
      </c>
      <c r="R50" s="96" t="inlineStr">
        <is>
          <t>N</t>
        </is>
      </c>
      <c r="S50" s="96" t="inlineStr">
        <is>
          <t>N</t>
        </is>
      </c>
      <c r="T50" s="96" t="inlineStr">
        <is>
          <t>CHT</t>
        </is>
      </c>
      <c r="U50" s="97" t="n"/>
      <c r="V50" s="96" t="inlineStr">
        <is>
          <t>K0120021</t>
        </is>
      </c>
      <c r="W50" s="96" t="inlineStr">
        <is>
          <t>IRPC PUBLIC COMPANY LIMITED.</t>
        </is>
      </c>
      <c r="X50" s="96" t="inlineStr">
        <is>
          <t>VFD</t>
        </is>
      </c>
      <c r="Y50" s="96" t="inlineStr">
        <is>
          <t>TO ORDER OF SOLID GOLD INDUSTRIES</t>
        </is>
      </c>
      <c r="Z50" s="96" t="inlineStr">
        <is>
          <t>SOLID GOLD INDUSTRIES (H.K.) LTD</t>
        </is>
      </c>
      <c r="AA50" s="97" t="n">
        <v>20160</v>
      </c>
      <c r="AB50" s="96" t="inlineStr">
        <is>
          <t>LCH01</t>
        </is>
      </c>
      <c r="AC50" s="96" t="inlineStr">
        <is>
          <t>HKG03</t>
        </is>
      </c>
    </row>
    <row r="51" ht="12" customHeight="1">
      <c r="A51" s="96" t="inlineStr">
        <is>
          <t>SKLU1417011</t>
        </is>
      </c>
      <c r="B51" s="161" t="inlineStr">
        <is>
          <t>2026-10-25</t>
        </is>
      </c>
      <c r="C51" s="96" t="inlineStr">
        <is>
          <t>KMGY</t>
        </is>
      </c>
      <c r="D51" s="96" t="inlineStr">
        <is>
          <t>2611N</t>
        </is>
      </c>
      <c r="E51" s="96" t="inlineStr">
        <is>
          <t>22GP</t>
        </is>
      </c>
      <c r="F51" s="96" t="inlineStr">
        <is>
          <t>SD</t>
        </is>
      </c>
      <c r="G51" s="96" t="inlineStr">
        <is>
          <t>THLCH</t>
        </is>
      </c>
      <c r="H51" s="96" t="inlineStr">
        <is>
          <t>THLCH</t>
        </is>
      </c>
      <c r="I51" s="96" t="inlineStr">
        <is>
          <t>HKHKG</t>
        </is>
      </c>
      <c r="J51" s="96" t="inlineStr">
        <is>
          <t>HKHKG</t>
        </is>
      </c>
      <c r="K51" s="96" t="inlineStr">
        <is>
          <t>F</t>
        </is>
      </c>
      <c r="L51" s="96" t="inlineStr">
        <is>
          <t>ONE</t>
        </is>
      </c>
      <c r="M51" s="96" t="inlineStr">
        <is>
          <t>VFL</t>
        </is>
      </c>
      <c r="N51" s="96" t="inlineStr">
        <is>
          <t>LCH01</t>
        </is>
      </c>
      <c r="O51" s="96" t="inlineStr">
        <is>
          <t>LCH</t>
        </is>
      </c>
      <c r="P51" s="96" t="inlineStr">
        <is>
          <t>TH</t>
        </is>
      </c>
      <c r="Q51" s="96" t="inlineStr">
        <is>
          <t>HASLS22260902763</t>
        </is>
      </c>
      <c r="R51" s="96" t="inlineStr">
        <is>
          <t>N</t>
        </is>
      </c>
      <c r="S51" s="96" t="inlineStr">
        <is>
          <t>N</t>
        </is>
      </c>
      <c r="T51" s="96" t="inlineStr">
        <is>
          <t>CHT</t>
        </is>
      </c>
      <c r="U51" s="97" t="n"/>
      <c r="V51" s="96" t="inlineStr">
        <is>
          <t>K0120021</t>
        </is>
      </c>
      <c r="W51" s="96" t="inlineStr">
        <is>
          <t>THE THAI SUGAR TRADING CORPORATION</t>
        </is>
      </c>
      <c r="X51" s="96" t="inlineStr">
        <is>
          <t>VED</t>
        </is>
      </c>
      <c r="Y51" s="96" t="inlineStr">
        <is>
          <t>TAIKOO SUGAR LIMITED</t>
        </is>
      </c>
      <c r="Z51" s="96" t="inlineStr">
        <is>
          <t>TAIKOO SUGAR LIMITED</t>
        </is>
      </c>
      <c r="AA51" s="97" t="n">
        <v>20056</v>
      </c>
      <c r="AB51" s="96" t="inlineStr">
        <is>
          <t>LCH01</t>
        </is>
      </c>
      <c r="AC51" s="96" t="inlineStr">
        <is>
          <t>HKG03</t>
        </is>
      </c>
    </row>
    <row r="52" ht="12" customHeight="1">
      <c r="A52" s="96" t="inlineStr">
        <is>
          <t>SKLU1432757</t>
        </is>
      </c>
      <c r="B52" s="161" t="inlineStr">
        <is>
          <t>2026-10-25</t>
        </is>
      </c>
      <c r="C52" s="96" t="inlineStr">
        <is>
          <t>KMGY</t>
        </is>
      </c>
      <c r="D52" s="96" t="inlineStr">
        <is>
          <t>2611N</t>
        </is>
      </c>
      <c r="E52" s="96" t="inlineStr">
        <is>
          <t>22GP</t>
        </is>
      </c>
      <c r="F52" s="96" t="inlineStr">
        <is>
          <t>SD</t>
        </is>
      </c>
      <c r="G52" s="96" t="inlineStr">
        <is>
          <t>THLCH</t>
        </is>
      </c>
      <c r="H52" s="96" t="inlineStr">
        <is>
          <t>THLCH</t>
        </is>
      </c>
      <c r="I52" s="96" t="inlineStr">
        <is>
          <t>KRINC</t>
        </is>
      </c>
      <c r="J52" s="96" t="inlineStr">
        <is>
          <t>KRINC</t>
        </is>
      </c>
      <c r="K52" s="96" t="inlineStr">
        <is>
          <t>F</t>
        </is>
      </c>
      <c r="L52" s="96" t="inlineStr">
        <is>
          <t>ONE</t>
        </is>
      </c>
      <c r="M52" s="96" t="inlineStr">
        <is>
          <t>VFL</t>
        </is>
      </c>
      <c r="N52" s="96" t="inlineStr">
        <is>
          <t>LCH01</t>
        </is>
      </c>
      <c r="O52" s="96" t="inlineStr">
        <is>
          <t>LCH</t>
        </is>
      </c>
      <c r="P52" s="96" t="inlineStr">
        <is>
          <t>TH</t>
        </is>
      </c>
      <c r="Q52" s="96" t="inlineStr">
        <is>
          <t>HASLS22260900819</t>
        </is>
      </c>
      <c r="R52" s="96" t="inlineStr">
        <is>
          <t>N</t>
        </is>
      </c>
      <c r="S52" s="96" t="inlineStr">
        <is>
          <t>N</t>
        </is>
      </c>
      <c r="T52" s="96" t="inlineStr">
        <is>
          <t>CHT</t>
        </is>
      </c>
      <c r="U52" s="97" t="n"/>
      <c r="V52" s="96" t="inlineStr">
        <is>
          <t>K0120021</t>
        </is>
      </c>
      <c r="W52" s="96" t="inlineStr">
        <is>
          <t>THE THAI SUGAR TRADING CORPORATION</t>
        </is>
      </c>
      <c r="X52" s="96" t="inlineStr">
        <is>
          <t>VFD</t>
        </is>
      </c>
      <c r="Y52" s="96" t="inlineStr">
        <is>
          <t>TO ORDER</t>
        </is>
      </c>
      <c r="Z52" s="96" t="inlineStr">
        <is>
          <t>CH HOLDINGS CO., LTD.</t>
        </is>
      </c>
      <c r="AA52" s="97" t="n">
        <v>23184</v>
      </c>
      <c r="AB52" s="96" t="inlineStr">
        <is>
          <t>LCH01</t>
        </is>
      </c>
      <c r="AC52" s="96" t="inlineStr">
        <is>
          <t>INC03</t>
        </is>
      </c>
    </row>
    <row r="53" ht="12" customHeight="1">
      <c r="A53" s="96" t="inlineStr">
        <is>
          <t>SKLU1504230</t>
        </is>
      </c>
      <c r="B53" s="161" t="inlineStr">
        <is>
          <t>2026-10-25</t>
        </is>
      </c>
      <c r="C53" s="96" t="inlineStr">
        <is>
          <t>KMGY</t>
        </is>
      </c>
      <c r="D53" s="96" t="inlineStr">
        <is>
          <t>2611N</t>
        </is>
      </c>
      <c r="E53" s="96" t="inlineStr">
        <is>
          <t>22GP</t>
        </is>
      </c>
      <c r="F53" s="96" t="inlineStr">
        <is>
          <t>SD</t>
        </is>
      </c>
      <c r="G53" s="96" t="inlineStr">
        <is>
          <t>THLCH</t>
        </is>
      </c>
      <c r="H53" s="96" t="inlineStr">
        <is>
          <t>THLCH</t>
        </is>
      </c>
      <c r="I53" s="96" t="inlineStr">
        <is>
          <t>HKHKG</t>
        </is>
      </c>
      <c r="J53" s="96" t="inlineStr">
        <is>
          <t>CNTAP</t>
        </is>
      </c>
      <c r="K53" s="96" t="inlineStr">
        <is>
          <t>F</t>
        </is>
      </c>
      <c r="L53" s="96" t="inlineStr">
        <is>
          <t>ONE</t>
        </is>
      </c>
      <c r="M53" s="96" t="inlineStr">
        <is>
          <t>VFL</t>
        </is>
      </c>
      <c r="N53" s="96" t="inlineStr">
        <is>
          <t>LCH01</t>
        </is>
      </c>
      <c r="O53" s="96" t="inlineStr">
        <is>
          <t>LCH</t>
        </is>
      </c>
      <c r="P53" s="96" t="inlineStr">
        <is>
          <t>TH</t>
        </is>
      </c>
      <c r="Q53" s="96" t="inlineStr">
        <is>
          <t>HASLS22261001374</t>
        </is>
      </c>
      <c r="R53" s="96" t="inlineStr">
        <is>
          <t>N</t>
        </is>
      </c>
      <c r="S53" s="96" t="inlineStr">
        <is>
          <t>N</t>
        </is>
      </c>
      <c r="T53" s="96" t="inlineStr">
        <is>
          <t>CHT</t>
        </is>
      </c>
      <c r="U53" s="97" t="n"/>
      <c r="V53" s="96" t="inlineStr">
        <is>
          <t>K0120021</t>
        </is>
      </c>
      <c r="W53" s="96" t="inlineStr">
        <is>
          <t>THAI SYNTHETIC RUBBERS COMPANY</t>
        </is>
      </c>
      <c r="X53" s="96" t="inlineStr">
        <is>
          <t>VED</t>
        </is>
      </c>
      <c r="Y53" s="96" t="inlineStr">
        <is>
          <t>DONGGUAN JIAYUE RUBBER AND PLASTIC</t>
        </is>
      </c>
      <c r="Z53" s="96" t="inlineStr">
        <is>
          <t>DONGGUAN JIAYUE RUBBER AND PLASTIC</t>
        </is>
      </c>
      <c r="AA53" s="97" t="n">
        <v>18960</v>
      </c>
      <c r="AB53" s="96" t="inlineStr">
        <is>
          <t>LCH01</t>
        </is>
      </c>
      <c r="AC53" s="96" t="inlineStr">
        <is>
          <t>HKG03</t>
        </is>
      </c>
    </row>
    <row r="54" ht="12" customHeight="1">
      <c r="A54" s="96" t="inlineStr">
        <is>
          <t>SKLU1506335</t>
        </is>
      </c>
      <c r="B54" s="161" t="inlineStr">
        <is>
          <t>2026-10-25</t>
        </is>
      </c>
      <c r="C54" s="96" t="inlineStr">
        <is>
          <t>KMGY</t>
        </is>
      </c>
      <c r="D54" s="96" t="inlineStr">
        <is>
          <t>2611N</t>
        </is>
      </c>
      <c r="E54" s="96" t="inlineStr">
        <is>
          <t>22GP</t>
        </is>
      </c>
      <c r="F54" s="96" t="inlineStr">
        <is>
          <t>SD</t>
        </is>
      </c>
      <c r="G54" s="96" t="inlineStr">
        <is>
          <t>THLCH</t>
        </is>
      </c>
      <c r="H54" s="96" t="inlineStr">
        <is>
          <t>THLCH</t>
        </is>
      </c>
      <c r="I54" s="96" t="inlineStr">
        <is>
          <t>HKHKG</t>
        </is>
      </c>
      <c r="J54" s="96" t="inlineStr">
        <is>
          <t>HKHKG</t>
        </is>
      </c>
      <c r="K54" s="96" t="inlineStr">
        <is>
          <t>F</t>
        </is>
      </c>
      <c r="L54" s="96" t="inlineStr">
        <is>
          <t>ONE</t>
        </is>
      </c>
      <c r="M54" s="96" t="inlineStr">
        <is>
          <t>VFL</t>
        </is>
      </c>
      <c r="N54" s="96" t="inlineStr">
        <is>
          <t>LCH01</t>
        </is>
      </c>
      <c r="O54" s="96" t="inlineStr">
        <is>
          <t>LCH</t>
        </is>
      </c>
      <c r="P54" s="96" t="inlineStr">
        <is>
          <t>TH</t>
        </is>
      </c>
      <c r="Q54" s="96" t="inlineStr">
        <is>
          <t>HASLS22261000794</t>
        </is>
      </c>
      <c r="R54" s="96" t="inlineStr">
        <is>
          <t>N</t>
        </is>
      </c>
      <c r="S54" s="96" t="inlineStr">
        <is>
          <t>N</t>
        </is>
      </c>
      <c r="T54" s="96" t="inlineStr">
        <is>
          <t>CHT</t>
        </is>
      </c>
      <c r="U54" s="97" t="n"/>
      <c r="V54" s="96" t="inlineStr">
        <is>
          <t>K0120021</t>
        </is>
      </c>
      <c r="W54" s="96" t="inlineStr">
        <is>
          <t>IRPC PUBLIC COMPANY LIMITED</t>
        </is>
      </c>
      <c r="X54" s="96" t="inlineStr">
        <is>
          <t>VED</t>
        </is>
      </c>
      <c r="Y54" s="96" t="inlineStr">
        <is>
          <t>TO ORDER OF SOLID GOLD INDUSTRIES</t>
        </is>
      </c>
      <c r="Z54" s="96" t="inlineStr">
        <is>
          <t>SOLID GOLD INDUSTRIES (H.K.) LTD</t>
        </is>
      </c>
      <c r="AA54" s="97" t="n">
        <v>20160</v>
      </c>
      <c r="AB54" s="96" t="inlineStr">
        <is>
          <t>LCH01</t>
        </is>
      </c>
      <c r="AC54" s="96" t="inlineStr">
        <is>
          <t>HKG03</t>
        </is>
      </c>
    </row>
    <row r="55" ht="12" customHeight="1">
      <c r="A55" s="96" t="inlineStr">
        <is>
          <t>SKLU1575001</t>
        </is>
      </c>
      <c r="B55" s="161" t="inlineStr">
        <is>
          <t>2026-10-25</t>
        </is>
      </c>
      <c r="C55" s="96" t="inlineStr">
        <is>
          <t>KMGY</t>
        </is>
      </c>
      <c r="D55" s="96" t="inlineStr">
        <is>
          <t>2611N</t>
        </is>
      </c>
      <c r="E55" s="96" t="inlineStr">
        <is>
          <t>22GP</t>
        </is>
      </c>
      <c r="F55" s="96" t="inlineStr">
        <is>
          <t>SD</t>
        </is>
      </c>
      <c r="G55" s="96" t="inlineStr">
        <is>
          <t>THLCH</t>
        </is>
      </c>
      <c r="H55" s="96" t="inlineStr">
        <is>
          <t>THLCH</t>
        </is>
      </c>
      <c r="I55" s="96" t="inlineStr">
        <is>
          <t>HKHKG</t>
        </is>
      </c>
      <c r="J55" s="96" t="inlineStr">
        <is>
          <t>HKHKG</t>
        </is>
      </c>
      <c r="K55" s="96" t="inlineStr">
        <is>
          <t>F</t>
        </is>
      </c>
      <c r="L55" s="96" t="inlineStr">
        <is>
          <t>ONE</t>
        </is>
      </c>
      <c r="M55" s="96" t="inlineStr">
        <is>
          <t>VFL</t>
        </is>
      </c>
      <c r="N55" s="96" t="inlineStr">
        <is>
          <t>LCH01</t>
        </is>
      </c>
      <c r="O55" s="96" t="inlineStr">
        <is>
          <t>LCH</t>
        </is>
      </c>
      <c r="P55" s="96" t="inlineStr">
        <is>
          <t>TH</t>
        </is>
      </c>
      <c r="Q55" s="96" t="inlineStr">
        <is>
          <t>HASLS22260902763</t>
        </is>
      </c>
      <c r="R55" s="96" t="inlineStr">
        <is>
          <t>N</t>
        </is>
      </c>
      <c r="S55" s="96" t="inlineStr">
        <is>
          <t>N</t>
        </is>
      </c>
      <c r="T55" s="96" t="inlineStr">
        <is>
          <t>CHT</t>
        </is>
      </c>
      <c r="U55" s="97" t="n"/>
      <c r="V55" s="96" t="inlineStr">
        <is>
          <t>K0120021</t>
        </is>
      </c>
      <c r="W55" s="96" t="inlineStr">
        <is>
          <t>THE THAI SUGAR TRADING CORPORATION</t>
        </is>
      </c>
      <c r="X55" s="96" t="inlineStr">
        <is>
          <t>VED</t>
        </is>
      </c>
      <c r="Y55" s="96" t="inlineStr">
        <is>
          <t>TAIKOO SUGAR LIMITED</t>
        </is>
      </c>
      <c r="Z55" s="96" t="inlineStr">
        <is>
          <t>TAIKOO SUGAR LIMITED</t>
        </is>
      </c>
      <c r="AA55" s="97" t="n">
        <v>20056</v>
      </c>
      <c r="AB55" s="96" t="inlineStr">
        <is>
          <t>LCH01</t>
        </is>
      </c>
      <c r="AC55" s="96" t="inlineStr">
        <is>
          <t>HKG03</t>
        </is>
      </c>
    </row>
    <row r="56" ht="12" customHeight="1">
      <c r="A56" s="96" t="inlineStr">
        <is>
          <t>SKLU1800801</t>
        </is>
      </c>
      <c r="B56" s="161" t="inlineStr">
        <is>
          <t>2026-10-25</t>
        </is>
      </c>
      <c r="C56" s="96" t="inlineStr">
        <is>
          <t>KMGY</t>
        </is>
      </c>
      <c r="D56" s="96" t="inlineStr">
        <is>
          <t>2611N</t>
        </is>
      </c>
      <c r="E56" s="96" t="inlineStr">
        <is>
          <t>22GP</t>
        </is>
      </c>
      <c r="F56" s="96" t="inlineStr">
        <is>
          <t>SD</t>
        </is>
      </c>
      <c r="G56" s="96" t="inlineStr">
        <is>
          <t>THLCH</t>
        </is>
      </c>
      <c r="H56" s="96" t="inlineStr">
        <is>
          <t>THLCH</t>
        </is>
      </c>
      <c r="I56" s="96" t="inlineStr">
        <is>
          <t>HKHKG</t>
        </is>
      </c>
      <c r="J56" s="96" t="inlineStr">
        <is>
          <t>HKHKG</t>
        </is>
      </c>
      <c r="K56" s="96" t="inlineStr">
        <is>
          <t>F</t>
        </is>
      </c>
      <c r="L56" s="96" t="inlineStr">
        <is>
          <t>ONE</t>
        </is>
      </c>
      <c r="M56" s="96" t="inlineStr">
        <is>
          <t>VFL</t>
        </is>
      </c>
      <c r="N56" s="96" t="inlineStr">
        <is>
          <t>LCH01</t>
        </is>
      </c>
      <c r="O56" s="96" t="inlineStr">
        <is>
          <t>LCH</t>
        </is>
      </c>
      <c r="P56" s="96" t="inlineStr">
        <is>
          <t>TH</t>
        </is>
      </c>
      <c r="Q56" s="96" t="inlineStr">
        <is>
          <t>HASLS22261000795</t>
        </is>
      </c>
      <c r="R56" s="96" t="inlineStr">
        <is>
          <t>N</t>
        </is>
      </c>
      <c r="S56" s="96" t="inlineStr">
        <is>
          <t>N</t>
        </is>
      </c>
      <c r="T56" s="96" t="inlineStr">
        <is>
          <t>CHT</t>
        </is>
      </c>
      <c r="U56" s="97" t="n"/>
      <c r="V56" s="96" t="inlineStr">
        <is>
          <t>K0120021</t>
        </is>
      </c>
      <c r="W56" s="96" t="inlineStr">
        <is>
          <t>IRPC PUBLIC COMPANY LIMITED</t>
        </is>
      </c>
      <c r="X56" s="96" t="inlineStr">
        <is>
          <t>VED</t>
        </is>
      </c>
      <c r="Y56" s="96" t="inlineStr">
        <is>
          <t>TO ORDER OF SOLID GOLD INDUSTRIES</t>
        </is>
      </c>
      <c r="Z56" s="96" t="inlineStr">
        <is>
          <t>SOLID GOLD INDUSTRIES (HK) LIMITED</t>
        </is>
      </c>
      <c r="AA56" s="97" t="n">
        <v>16599</v>
      </c>
      <c r="AB56" s="96" t="inlineStr">
        <is>
          <t>LCH01</t>
        </is>
      </c>
      <c r="AC56" s="96" t="inlineStr">
        <is>
          <t>HKG03</t>
        </is>
      </c>
    </row>
    <row r="57" ht="12" customHeight="1">
      <c r="A57" s="96" t="inlineStr">
        <is>
          <t>SKLU1815226</t>
        </is>
      </c>
      <c r="B57" s="161" t="inlineStr">
        <is>
          <t>2026-10-25</t>
        </is>
      </c>
      <c r="C57" s="96" t="inlineStr">
        <is>
          <t>KMGY</t>
        </is>
      </c>
      <c r="D57" s="96" t="inlineStr">
        <is>
          <t>2611N</t>
        </is>
      </c>
      <c r="E57" s="96" t="inlineStr">
        <is>
          <t>22GP</t>
        </is>
      </c>
      <c r="F57" s="96" t="inlineStr">
        <is>
          <t>SD</t>
        </is>
      </c>
      <c r="G57" s="96" t="inlineStr">
        <is>
          <t>THLCH</t>
        </is>
      </c>
      <c r="H57" s="96" t="inlineStr">
        <is>
          <t>THLCH</t>
        </is>
      </c>
      <c r="I57" s="96" t="inlineStr">
        <is>
          <t>HKHKG</t>
        </is>
      </c>
      <c r="J57" s="96" t="inlineStr">
        <is>
          <t>CNSUD</t>
        </is>
      </c>
      <c r="K57" s="96" t="inlineStr">
        <is>
          <t>F</t>
        </is>
      </c>
      <c r="L57" s="96" t="inlineStr">
        <is>
          <t>ONE</t>
        </is>
      </c>
      <c r="M57" s="96" t="inlineStr">
        <is>
          <t>VFL</t>
        </is>
      </c>
      <c r="N57" s="96" t="inlineStr">
        <is>
          <t>LCH01</t>
        </is>
      </c>
      <c r="O57" s="96" t="inlineStr">
        <is>
          <t>LCH</t>
        </is>
      </c>
      <c r="P57" s="96" t="inlineStr">
        <is>
          <t>TH</t>
        </is>
      </c>
      <c r="Q57" s="96" t="inlineStr">
        <is>
          <t>HASLS22261001312</t>
        </is>
      </c>
      <c r="R57" s="96" t="inlineStr">
        <is>
          <t>N</t>
        </is>
      </c>
      <c r="S57" s="96" t="inlineStr">
        <is>
          <t>N</t>
        </is>
      </c>
      <c r="T57" s="96" t="inlineStr">
        <is>
          <t>CHT</t>
        </is>
      </c>
      <c r="U57" s="97" t="n"/>
      <c r="V57" s="96" t="inlineStr">
        <is>
          <t>K0120021</t>
        </is>
      </c>
      <c r="W57" s="96" t="inlineStr">
        <is>
          <t>YUSEN LOGISTICS (THAILAND) CO., LTD</t>
        </is>
      </c>
      <c r="X57" s="96" t="inlineStr">
        <is>
          <t>VFD</t>
        </is>
      </c>
      <c r="Y57" s="96" t="inlineStr">
        <is>
          <t>YUSEN LOGISTICS (CHINA) CO., LTD.</t>
        </is>
      </c>
      <c r="Z57" s="96" t="inlineStr">
        <is>
          <t>YUSEN LOGISTICS (CHINA) CO., LTD.</t>
        </is>
      </c>
      <c r="AA57" s="97" t="n">
        <v>560.544</v>
      </c>
      <c r="AB57" s="96" t="inlineStr">
        <is>
          <t>LCH01</t>
        </is>
      </c>
      <c r="AC57" s="96" t="inlineStr">
        <is>
          <t>HKG03</t>
        </is>
      </c>
    </row>
    <row r="58" ht="12" customHeight="1">
      <c r="A58" s="96" t="inlineStr">
        <is>
          <t>SKLU1821912</t>
        </is>
      </c>
      <c r="B58" s="161" t="inlineStr">
        <is>
          <t>2026-10-25</t>
        </is>
      </c>
      <c r="C58" s="96" t="inlineStr">
        <is>
          <t>KMGY</t>
        </is>
      </c>
      <c r="D58" s="96" t="inlineStr">
        <is>
          <t>2611N</t>
        </is>
      </c>
      <c r="E58" s="96" t="inlineStr">
        <is>
          <t>22GP</t>
        </is>
      </c>
      <c r="F58" s="96" t="inlineStr">
        <is>
          <t>SD</t>
        </is>
      </c>
      <c r="G58" s="96" t="inlineStr">
        <is>
          <t>THLCH</t>
        </is>
      </c>
      <c r="H58" s="96" t="inlineStr">
        <is>
          <t>THLCH</t>
        </is>
      </c>
      <c r="I58" s="96" t="inlineStr">
        <is>
          <t>HKHKG</t>
        </is>
      </c>
      <c r="J58" s="96" t="inlineStr">
        <is>
          <t>CNTAP</t>
        </is>
      </c>
      <c r="K58" s="96" t="inlineStr">
        <is>
          <t>F</t>
        </is>
      </c>
      <c r="L58" s="96" t="inlineStr">
        <is>
          <t>ONE</t>
        </is>
      </c>
      <c r="M58" s="96" t="inlineStr">
        <is>
          <t>VFL</t>
        </is>
      </c>
      <c r="N58" s="96" t="inlineStr">
        <is>
          <t>LCH01</t>
        </is>
      </c>
      <c r="O58" s="96" t="inlineStr">
        <is>
          <t>LCH</t>
        </is>
      </c>
      <c r="P58" s="96" t="inlineStr">
        <is>
          <t>TH</t>
        </is>
      </c>
      <c r="Q58" s="96" t="inlineStr">
        <is>
          <t>HASLS22261001374</t>
        </is>
      </c>
      <c r="R58" s="96" t="inlineStr">
        <is>
          <t>N</t>
        </is>
      </c>
      <c r="S58" s="96" t="inlineStr">
        <is>
          <t>N</t>
        </is>
      </c>
      <c r="T58" s="96" t="inlineStr">
        <is>
          <t>CHT</t>
        </is>
      </c>
      <c r="U58" s="97" t="n"/>
      <c r="V58" s="96" t="inlineStr">
        <is>
          <t>K0120021</t>
        </is>
      </c>
      <c r="W58" s="96" t="inlineStr">
        <is>
          <t>THAI SYNTHETIC RUBBERS COMPANY</t>
        </is>
      </c>
      <c r="X58" s="96" t="inlineStr">
        <is>
          <t>VFD</t>
        </is>
      </c>
      <c r="Y58" s="96" t="inlineStr">
        <is>
          <t>DONGGUAN JIAYUE RUBBER AND PLASTIC</t>
        </is>
      </c>
      <c r="Z58" s="96" t="inlineStr">
        <is>
          <t>DONGGUAN JIAYUE RUBBER AND PLASTIC</t>
        </is>
      </c>
      <c r="AA58" s="97" t="n">
        <v>18960</v>
      </c>
      <c r="AB58" s="96" t="inlineStr">
        <is>
          <t>LCH01</t>
        </is>
      </c>
      <c r="AC58" s="96" t="inlineStr">
        <is>
          <t>HKG03</t>
        </is>
      </c>
    </row>
    <row r="59" ht="12" customHeight="1">
      <c r="A59" s="96" t="inlineStr">
        <is>
          <t>SKLU1923616</t>
        </is>
      </c>
      <c r="B59" s="161" t="inlineStr">
        <is>
          <t>2026-10-25</t>
        </is>
      </c>
      <c r="C59" s="96" t="inlineStr">
        <is>
          <t>KMGY</t>
        </is>
      </c>
      <c r="D59" s="96" t="inlineStr">
        <is>
          <t>2611N</t>
        </is>
      </c>
      <c r="E59" s="96" t="inlineStr">
        <is>
          <t>22GP</t>
        </is>
      </c>
      <c r="F59" s="96" t="inlineStr">
        <is>
          <t>SD</t>
        </is>
      </c>
      <c r="G59" s="96" t="inlineStr">
        <is>
          <t>THLCH</t>
        </is>
      </c>
      <c r="H59" s="96" t="inlineStr">
        <is>
          <t>THLCH</t>
        </is>
      </c>
      <c r="I59" s="96" t="inlineStr">
        <is>
          <t>HKHKG</t>
        </is>
      </c>
      <c r="J59" s="96" t="inlineStr">
        <is>
          <t>HKHKG</t>
        </is>
      </c>
      <c r="K59" s="96" t="inlineStr">
        <is>
          <t>F</t>
        </is>
      </c>
      <c r="L59" s="96" t="inlineStr">
        <is>
          <t>ONE</t>
        </is>
      </c>
      <c r="M59" s="96" t="inlineStr">
        <is>
          <t>VFL</t>
        </is>
      </c>
      <c r="N59" s="96" t="inlineStr">
        <is>
          <t>LCH01</t>
        </is>
      </c>
      <c r="O59" s="96" t="inlineStr">
        <is>
          <t>LCH</t>
        </is>
      </c>
      <c r="P59" s="96" t="inlineStr">
        <is>
          <t>TH</t>
        </is>
      </c>
      <c r="Q59" s="96" t="inlineStr">
        <is>
          <t>HASLS22260902604</t>
        </is>
      </c>
      <c r="R59" s="96" t="inlineStr">
        <is>
          <t>N</t>
        </is>
      </c>
      <c r="S59" s="96" t="inlineStr">
        <is>
          <t>N</t>
        </is>
      </c>
      <c r="T59" s="96" t="inlineStr">
        <is>
          <t>CHT</t>
        </is>
      </c>
      <c r="U59" s="97" t="n"/>
      <c r="V59" s="96" t="inlineStr">
        <is>
          <t>K0120021</t>
        </is>
      </c>
      <c r="W59" s="96" t="inlineStr">
        <is>
          <t>DOUBLE A (1991) PUBLIC COMPANY</t>
        </is>
      </c>
      <c r="X59" s="96" t="inlineStr">
        <is>
          <t>VFD</t>
        </is>
      </c>
      <c r="Y59" s="96" t="inlineStr">
        <is>
          <t>TO ORDER</t>
        </is>
      </c>
      <c r="Z59" s="96" t="inlineStr">
        <is>
          <t>DOUBLE A INTERNATIONAL TRADING</t>
        </is>
      </c>
      <c r="AA59" s="97" t="n">
        <v>16632</v>
      </c>
      <c r="AB59" s="96" t="inlineStr">
        <is>
          <t>LCH01</t>
        </is>
      </c>
      <c r="AC59" s="96" t="inlineStr">
        <is>
          <t>HKG03</t>
        </is>
      </c>
    </row>
    <row r="60" ht="12" customHeight="1">
      <c r="A60" s="96" t="inlineStr">
        <is>
          <t>SKLU1935258</t>
        </is>
      </c>
      <c r="B60" s="161" t="inlineStr">
        <is>
          <t>2026-10-25</t>
        </is>
      </c>
      <c r="C60" s="96" t="inlineStr">
        <is>
          <t>KMGY</t>
        </is>
      </c>
      <c r="D60" s="96" t="inlineStr">
        <is>
          <t>2611N</t>
        </is>
      </c>
      <c r="E60" s="96" t="inlineStr">
        <is>
          <t>22GP</t>
        </is>
      </c>
      <c r="F60" s="96" t="inlineStr">
        <is>
          <t>SD</t>
        </is>
      </c>
      <c r="G60" s="96" t="inlineStr">
        <is>
          <t>THLCH</t>
        </is>
      </c>
      <c r="H60" s="96" t="inlineStr">
        <is>
          <t>THLCH</t>
        </is>
      </c>
      <c r="I60" s="96" t="inlineStr">
        <is>
          <t>HKHKG</t>
        </is>
      </c>
      <c r="J60" s="96" t="inlineStr">
        <is>
          <t>HKHKG</t>
        </is>
      </c>
      <c r="K60" s="96" t="inlineStr">
        <is>
          <t>F</t>
        </is>
      </c>
      <c r="L60" s="96" t="inlineStr">
        <is>
          <t>ONE</t>
        </is>
      </c>
      <c r="M60" s="96" t="inlineStr">
        <is>
          <t>VFL</t>
        </is>
      </c>
      <c r="N60" s="96" t="inlineStr">
        <is>
          <t>LCH01</t>
        </is>
      </c>
      <c r="O60" s="96" t="inlineStr">
        <is>
          <t>LCH</t>
        </is>
      </c>
      <c r="P60" s="96" t="inlineStr">
        <is>
          <t>TH</t>
        </is>
      </c>
      <c r="Q60" s="96" t="inlineStr">
        <is>
          <t>HASLS22261000973</t>
        </is>
      </c>
      <c r="R60" s="96" t="inlineStr">
        <is>
          <t>N</t>
        </is>
      </c>
      <c r="S60" s="96" t="inlineStr">
        <is>
          <t>N</t>
        </is>
      </c>
      <c r="T60" s="96" t="inlineStr">
        <is>
          <t>CHT</t>
        </is>
      </c>
      <c r="U60" s="97" t="n"/>
      <c r="V60" s="96" t="inlineStr">
        <is>
          <t>K0120021</t>
        </is>
      </c>
      <c r="W60" s="96" t="inlineStr">
        <is>
          <t>IRPC PUBLIC COMPANY LIMITED</t>
        </is>
      </c>
      <c r="X60" s="96" t="inlineStr">
        <is>
          <t>VED</t>
        </is>
      </c>
      <c r="Y60" s="96" t="inlineStr">
        <is>
          <t>TO ORDER OF SOLID GOLD INDUSTRIES</t>
        </is>
      </c>
      <c r="Z60" s="96" t="inlineStr">
        <is>
          <t>SOLID GOLD INDUSTRIES (H.K.) LTD</t>
        </is>
      </c>
      <c r="AA60" s="97" t="n">
        <v>20160</v>
      </c>
      <c r="AB60" s="96" t="inlineStr">
        <is>
          <t>LCH01</t>
        </is>
      </c>
      <c r="AC60" s="96" t="inlineStr">
        <is>
          <t>HKG03</t>
        </is>
      </c>
    </row>
    <row r="61" ht="12" customHeight="1">
      <c r="A61" s="96" t="inlineStr">
        <is>
          <t>SKLU1949478</t>
        </is>
      </c>
      <c r="B61" s="161" t="inlineStr">
        <is>
          <t>2026-10-25</t>
        </is>
      </c>
      <c r="C61" s="96" t="inlineStr">
        <is>
          <t>KMGY</t>
        </is>
      </c>
      <c r="D61" s="96" t="inlineStr">
        <is>
          <t>2611N</t>
        </is>
      </c>
      <c r="E61" s="96" t="inlineStr">
        <is>
          <t>22GP</t>
        </is>
      </c>
      <c r="F61" s="96" t="inlineStr">
        <is>
          <t>SD</t>
        </is>
      </c>
      <c r="G61" s="96" t="inlineStr">
        <is>
          <t>THLCH</t>
        </is>
      </c>
      <c r="H61" s="96" t="inlineStr">
        <is>
          <t>THLCH</t>
        </is>
      </c>
      <c r="I61" s="96" t="inlineStr">
        <is>
          <t>HKHKG</t>
        </is>
      </c>
      <c r="J61" s="96" t="inlineStr">
        <is>
          <t>HKHKG</t>
        </is>
      </c>
      <c r="K61" s="96" t="inlineStr">
        <is>
          <t>F</t>
        </is>
      </c>
      <c r="L61" s="96" t="inlineStr">
        <is>
          <t>ONE</t>
        </is>
      </c>
      <c r="M61" s="96" t="inlineStr">
        <is>
          <t>VFL</t>
        </is>
      </c>
      <c r="N61" s="96" t="inlineStr">
        <is>
          <t>LCH01</t>
        </is>
      </c>
      <c r="O61" s="96" t="inlineStr">
        <is>
          <t>LCH</t>
        </is>
      </c>
      <c r="P61" s="96" t="inlineStr">
        <is>
          <t>TH</t>
        </is>
      </c>
      <c r="Q61" s="96" t="inlineStr">
        <is>
          <t>HASLS22261000794</t>
        </is>
      </c>
      <c r="R61" s="96" t="inlineStr">
        <is>
          <t>N</t>
        </is>
      </c>
      <c r="S61" s="96" t="inlineStr">
        <is>
          <t>N</t>
        </is>
      </c>
      <c r="T61" s="96" t="inlineStr">
        <is>
          <t>CHT</t>
        </is>
      </c>
      <c r="U61" s="97" t="n"/>
      <c r="V61" s="96" t="inlineStr">
        <is>
          <t>K0120021</t>
        </is>
      </c>
      <c r="W61" s="96" t="inlineStr">
        <is>
          <t>IRPC PUBLIC COMPANY LIMITED</t>
        </is>
      </c>
      <c r="X61" s="96" t="inlineStr">
        <is>
          <t>VED</t>
        </is>
      </c>
      <c r="Y61" s="96" t="inlineStr">
        <is>
          <t>TO ORDER OF SOLID GOLD INDUSTRIES</t>
        </is>
      </c>
      <c r="Z61" s="96" t="inlineStr">
        <is>
          <t>SOLID GOLD INDUSTRIES (H.K.) LTD</t>
        </is>
      </c>
      <c r="AA61" s="97" t="n">
        <v>20160</v>
      </c>
      <c r="AB61" s="96" t="inlineStr">
        <is>
          <t>LCH01</t>
        </is>
      </c>
      <c r="AC61" s="96" t="inlineStr">
        <is>
          <t>HKG03</t>
        </is>
      </c>
    </row>
    <row r="62" ht="12" customHeight="1">
      <c r="A62" s="96" t="inlineStr">
        <is>
          <t>SKLU2001538</t>
        </is>
      </c>
      <c r="B62" s="161" t="inlineStr">
        <is>
          <t>2026-10-25</t>
        </is>
      </c>
      <c r="C62" s="96" t="inlineStr">
        <is>
          <t>KMGY</t>
        </is>
      </c>
      <c r="D62" s="96" t="inlineStr">
        <is>
          <t>2611N</t>
        </is>
      </c>
      <c r="E62" s="96" t="inlineStr">
        <is>
          <t>22GP</t>
        </is>
      </c>
      <c r="F62" s="96" t="inlineStr">
        <is>
          <t>SD</t>
        </is>
      </c>
      <c r="G62" s="96" t="inlineStr">
        <is>
          <t>THLCH</t>
        </is>
      </c>
      <c r="H62" s="96" t="inlineStr">
        <is>
          <t>THLCH</t>
        </is>
      </c>
      <c r="I62" s="96" t="inlineStr">
        <is>
          <t>KRINC</t>
        </is>
      </c>
      <c r="J62" s="96" t="inlineStr">
        <is>
          <t>KRINC</t>
        </is>
      </c>
      <c r="K62" s="96" t="inlineStr">
        <is>
          <t>F</t>
        </is>
      </c>
      <c r="L62" s="96" t="inlineStr">
        <is>
          <t>ONE</t>
        </is>
      </c>
      <c r="M62" s="96" t="inlineStr">
        <is>
          <t>VFL</t>
        </is>
      </c>
      <c r="N62" s="96" t="inlineStr">
        <is>
          <t>LCH01</t>
        </is>
      </c>
      <c r="O62" s="96" t="inlineStr">
        <is>
          <t>LCH</t>
        </is>
      </c>
      <c r="P62" s="96" t="inlineStr">
        <is>
          <t>TH</t>
        </is>
      </c>
      <c r="Q62" s="96" t="inlineStr">
        <is>
          <t>HASLS22260900819</t>
        </is>
      </c>
      <c r="R62" s="96" t="inlineStr">
        <is>
          <t>N</t>
        </is>
      </c>
      <c r="S62" s="96" t="inlineStr">
        <is>
          <t>N</t>
        </is>
      </c>
      <c r="T62" s="96" t="inlineStr">
        <is>
          <t>CHT</t>
        </is>
      </c>
      <c r="U62" s="97" t="n"/>
      <c r="V62" s="96" t="inlineStr">
        <is>
          <t>K0120021</t>
        </is>
      </c>
      <c r="W62" s="96" t="inlineStr">
        <is>
          <t>THE THAI SUGAR TRADING CORPORATION</t>
        </is>
      </c>
      <c r="X62" s="96" t="inlineStr">
        <is>
          <t>VFD</t>
        </is>
      </c>
      <c r="Y62" s="96" t="inlineStr">
        <is>
          <t>TO ORDER</t>
        </is>
      </c>
      <c r="Z62" s="96" t="inlineStr">
        <is>
          <t>CH HOLDINGS CO., LTD.</t>
        </is>
      </c>
      <c r="AA62" s="97" t="n">
        <v>23184</v>
      </c>
      <c r="AB62" s="96" t="inlineStr">
        <is>
          <t>LCH01</t>
        </is>
      </c>
      <c r="AC62" s="96" t="inlineStr">
        <is>
          <t>INC03</t>
        </is>
      </c>
    </row>
    <row r="63" ht="12" customHeight="1">
      <c r="A63" s="96" t="inlineStr">
        <is>
          <t>SKLU2066117</t>
        </is>
      </c>
      <c r="B63" s="161" t="inlineStr">
        <is>
          <t>2026-10-25</t>
        </is>
      </c>
      <c r="C63" s="96" t="inlineStr">
        <is>
          <t>KMGY</t>
        </is>
      </c>
      <c r="D63" s="96" t="inlineStr">
        <is>
          <t>2611N</t>
        </is>
      </c>
      <c r="E63" s="96" t="inlineStr">
        <is>
          <t>22GP</t>
        </is>
      </c>
      <c r="F63" s="96" t="inlineStr">
        <is>
          <t>SD</t>
        </is>
      </c>
      <c r="G63" s="96" t="inlineStr">
        <is>
          <t>THLCH</t>
        </is>
      </c>
      <c r="H63" s="96" t="inlineStr">
        <is>
          <t>THLCH</t>
        </is>
      </c>
      <c r="I63" s="96" t="inlineStr">
        <is>
          <t>KRINC</t>
        </is>
      </c>
      <c r="J63" s="96" t="inlineStr">
        <is>
          <t>KRINC</t>
        </is>
      </c>
      <c r="K63" s="96" t="inlineStr">
        <is>
          <t>F</t>
        </is>
      </c>
      <c r="L63" s="96" t="inlineStr">
        <is>
          <t>ONE</t>
        </is>
      </c>
      <c r="M63" s="96" t="inlineStr">
        <is>
          <t>VFL</t>
        </is>
      </c>
      <c r="N63" s="96" t="inlineStr">
        <is>
          <t>LCH01</t>
        </is>
      </c>
      <c r="O63" s="96" t="inlineStr">
        <is>
          <t>LCH</t>
        </is>
      </c>
      <c r="P63" s="96" t="inlineStr">
        <is>
          <t>TH</t>
        </is>
      </c>
      <c r="Q63" s="96" t="inlineStr">
        <is>
          <t>HASLS22260900819</t>
        </is>
      </c>
      <c r="R63" s="96" t="inlineStr">
        <is>
          <t>N</t>
        </is>
      </c>
      <c r="S63" s="96" t="inlineStr">
        <is>
          <t>N</t>
        </is>
      </c>
      <c r="T63" s="96" t="inlineStr">
        <is>
          <t>CHT</t>
        </is>
      </c>
      <c r="U63" s="97" t="n"/>
      <c r="V63" s="96" t="inlineStr">
        <is>
          <t>K0120021</t>
        </is>
      </c>
      <c r="W63" s="96" t="inlineStr">
        <is>
          <t>THE THAI SUGAR TRADING CORPORATION</t>
        </is>
      </c>
      <c r="X63" s="96" t="inlineStr">
        <is>
          <t>VFD</t>
        </is>
      </c>
      <c r="Y63" s="96" t="inlineStr">
        <is>
          <t>TO ORDER</t>
        </is>
      </c>
      <c r="Z63" s="96" t="inlineStr">
        <is>
          <t>CH HOLDINGS CO., LTD.</t>
        </is>
      </c>
      <c r="AA63" s="97" t="n">
        <v>23184</v>
      </c>
      <c r="AB63" s="96" t="inlineStr">
        <is>
          <t>LCH01</t>
        </is>
      </c>
      <c r="AC63" s="96" t="inlineStr">
        <is>
          <t>INC03</t>
        </is>
      </c>
    </row>
    <row r="64" ht="12" customHeight="1">
      <c r="A64" s="96" t="inlineStr">
        <is>
          <t>SKLU2080434</t>
        </is>
      </c>
      <c r="B64" s="161" t="inlineStr">
        <is>
          <t>2026-10-25</t>
        </is>
      </c>
      <c r="C64" s="96" t="inlineStr">
        <is>
          <t>KMGY</t>
        </is>
      </c>
      <c r="D64" s="96" t="inlineStr">
        <is>
          <t>2611N</t>
        </is>
      </c>
      <c r="E64" s="96" t="inlineStr">
        <is>
          <t>22GP</t>
        </is>
      </c>
      <c r="F64" s="96" t="inlineStr">
        <is>
          <t>SD</t>
        </is>
      </c>
      <c r="G64" s="96" t="inlineStr">
        <is>
          <t>THLCH</t>
        </is>
      </c>
      <c r="H64" s="96" t="inlineStr">
        <is>
          <t>THLCH</t>
        </is>
      </c>
      <c r="I64" s="96" t="inlineStr">
        <is>
          <t>HKHKG</t>
        </is>
      </c>
      <c r="J64" s="96" t="inlineStr">
        <is>
          <t>HKHKG</t>
        </is>
      </c>
      <c r="K64" s="96" t="inlineStr">
        <is>
          <t>F</t>
        </is>
      </c>
      <c r="L64" s="96" t="inlineStr">
        <is>
          <t>ONE</t>
        </is>
      </c>
      <c r="M64" s="96" t="inlineStr">
        <is>
          <t>VFL</t>
        </is>
      </c>
      <c r="N64" s="96" t="inlineStr">
        <is>
          <t>LCH01</t>
        </is>
      </c>
      <c r="O64" s="96" t="inlineStr">
        <is>
          <t>LCH</t>
        </is>
      </c>
      <c r="P64" s="96" t="inlineStr">
        <is>
          <t>TH</t>
        </is>
      </c>
      <c r="Q64" s="96" t="inlineStr">
        <is>
          <t>HASLS22260902763</t>
        </is>
      </c>
      <c r="R64" s="96" t="inlineStr">
        <is>
          <t>N</t>
        </is>
      </c>
      <c r="S64" s="96" t="inlineStr">
        <is>
          <t>N</t>
        </is>
      </c>
      <c r="T64" s="96" t="inlineStr">
        <is>
          <t>CHT</t>
        </is>
      </c>
      <c r="U64" s="97" t="n"/>
      <c r="V64" s="96" t="inlineStr">
        <is>
          <t>K0120021</t>
        </is>
      </c>
      <c r="W64" s="96" t="inlineStr">
        <is>
          <t>THE THAI SUGAR TRADING CORPORATION</t>
        </is>
      </c>
      <c r="X64" s="96" t="inlineStr">
        <is>
          <t>VED</t>
        </is>
      </c>
      <c r="Y64" s="96" t="inlineStr">
        <is>
          <t>TAIKOO SUGAR LIMITED</t>
        </is>
      </c>
      <c r="Z64" s="96" t="inlineStr">
        <is>
          <t>TAIKOO SUGAR LIMITED</t>
        </is>
      </c>
      <c r="AA64" s="97" t="n">
        <v>20056</v>
      </c>
      <c r="AB64" s="96" t="inlineStr">
        <is>
          <t>LCH01</t>
        </is>
      </c>
      <c r="AC64" s="96" t="inlineStr">
        <is>
          <t>HKG03</t>
        </is>
      </c>
    </row>
    <row r="65" ht="12" customHeight="1">
      <c r="A65" s="96" t="inlineStr">
        <is>
          <t>SKLU2309182</t>
        </is>
      </c>
      <c r="B65" s="161" t="inlineStr">
        <is>
          <t>2026-10-25</t>
        </is>
      </c>
      <c r="C65" s="96" t="inlineStr">
        <is>
          <t>KMGY</t>
        </is>
      </c>
      <c r="D65" s="96" t="inlineStr">
        <is>
          <t>2611N</t>
        </is>
      </c>
      <c r="E65" s="96" t="inlineStr">
        <is>
          <t>22GP</t>
        </is>
      </c>
      <c r="F65" s="96" t="inlineStr">
        <is>
          <t>SD</t>
        </is>
      </c>
      <c r="G65" s="96" t="inlineStr">
        <is>
          <t>THLCH</t>
        </is>
      </c>
      <c r="H65" s="96" t="inlineStr">
        <is>
          <t>THLCH</t>
        </is>
      </c>
      <c r="I65" s="96" t="inlineStr">
        <is>
          <t>HKHKG</t>
        </is>
      </c>
      <c r="J65" s="96" t="inlineStr">
        <is>
          <t>HKHKG</t>
        </is>
      </c>
      <c r="K65" s="96" t="inlineStr">
        <is>
          <t>F</t>
        </is>
      </c>
      <c r="L65" s="96" t="inlineStr">
        <is>
          <t>ONE</t>
        </is>
      </c>
      <c r="M65" s="96" t="inlineStr">
        <is>
          <t>VFL</t>
        </is>
      </c>
      <c r="N65" s="96" t="inlineStr">
        <is>
          <t>LCH01</t>
        </is>
      </c>
      <c r="O65" s="96" t="inlineStr">
        <is>
          <t>LCH</t>
        </is>
      </c>
      <c r="P65" s="96" t="inlineStr">
        <is>
          <t>TH</t>
        </is>
      </c>
      <c r="Q65" s="96" t="inlineStr">
        <is>
          <t>HASLS22261000795</t>
        </is>
      </c>
      <c r="R65" s="96" t="inlineStr">
        <is>
          <t>N</t>
        </is>
      </c>
      <c r="S65" s="96" t="inlineStr">
        <is>
          <t>N</t>
        </is>
      </c>
      <c r="T65" s="96" t="inlineStr">
        <is>
          <t>CHT</t>
        </is>
      </c>
      <c r="U65" s="97" t="n"/>
      <c r="V65" s="96" t="inlineStr">
        <is>
          <t>K0120021</t>
        </is>
      </c>
      <c r="W65" s="96" t="inlineStr">
        <is>
          <t>IRPC PUBLIC COMPANY LIMITED</t>
        </is>
      </c>
      <c r="X65" s="96" t="inlineStr">
        <is>
          <t>VFD</t>
        </is>
      </c>
      <c r="Y65" s="96" t="inlineStr">
        <is>
          <t>TO ORDER OF SOLID GOLD INDUSTRIES</t>
        </is>
      </c>
      <c r="Z65" s="96" t="inlineStr">
        <is>
          <t>SOLID GOLD INDUSTRIES (HK) LIMITED</t>
        </is>
      </c>
      <c r="AA65" s="97" t="n">
        <v>16599</v>
      </c>
      <c r="AB65" s="96" t="inlineStr">
        <is>
          <t>LCH01</t>
        </is>
      </c>
      <c r="AC65" s="96" t="inlineStr">
        <is>
          <t>HKG03</t>
        </is>
      </c>
    </row>
    <row r="66" ht="12" customHeight="1">
      <c r="A66" s="96" t="inlineStr">
        <is>
          <t>SKLU2320221</t>
        </is>
      </c>
      <c r="B66" s="161" t="inlineStr">
        <is>
          <t>2026-10-25</t>
        </is>
      </c>
      <c r="C66" s="96" t="inlineStr">
        <is>
          <t>KMGY</t>
        </is>
      </c>
      <c r="D66" s="96" t="inlineStr">
        <is>
          <t>2611N</t>
        </is>
      </c>
      <c r="E66" s="96" t="inlineStr">
        <is>
          <t>22GP</t>
        </is>
      </c>
      <c r="F66" s="96" t="inlineStr">
        <is>
          <t>SD</t>
        </is>
      </c>
      <c r="G66" s="96" t="inlineStr">
        <is>
          <t>THLCH</t>
        </is>
      </c>
      <c r="H66" s="96" t="inlineStr">
        <is>
          <t>THLCH</t>
        </is>
      </c>
      <c r="I66" s="96" t="inlineStr">
        <is>
          <t>HKHKG</t>
        </is>
      </c>
      <c r="J66" s="96" t="inlineStr">
        <is>
          <t>HKHKG</t>
        </is>
      </c>
      <c r="K66" s="96" t="inlineStr">
        <is>
          <t>F</t>
        </is>
      </c>
      <c r="L66" s="96" t="inlineStr">
        <is>
          <t>ONE</t>
        </is>
      </c>
      <c r="M66" s="96" t="inlineStr">
        <is>
          <t>VFL</t>
        </is>
      </c>
      <c r="N66" s="96" t="inlineStr">
        <is>
          <t>LCH01</t>
        </is>
      </c>
      <c r="O66" s="96" t="inlineStr">
        <is>
          <t>LCH</t>
        </is>
      </c>
      <c r="P66" s="96" t="inlineStr">
        <is>
          <t>TH</t>
        </is>
      </c>
      <c r="Q66" s="96" t="inlineStr">
        <is>
          <t>HASLS22260902763</t>
        </is>
      </c>
      <c r="R66" s="96" t="inlineStr">
        <is>
          <t>N</t>
        </is>
      </c>
      <c r="S66" s="96" t="inlineStr">
        <is>
          <t>N</t>
        </is>
      </c>
      <c r="T66" s="96" t="inlineStr">
        <is>
          <t>CHT</t>
        </is>
      </c>
      <c r="U66" s="97" t="n"/>
      <c r="V66" s="96" t="inlineStr">
        <is>
          <t>K0120021</t>
        </is>
      </c>
      <c r="W66" s="96" t="inlineStr">
        <is>
          <t>THE THAI SUGAR TRADING CORPORATION</t>
        </is>
      </c>
      <c r="X66" s="96" t="inlineStr">
        <is>
          <t>VED</t>
        </is>
      </c>
      <c r="Y66" s="96" t="inlineStr">
        <is>
          <t>TAIKOO SUGAR LIMITED</t>
        </is>
      </c>
      <c r="Z66" s="96" t="inlineStr">
        <is>
          <t>TAIKOO SUGAR LIMITED</t>
        </is>
      </c>
      <c r="AA66" s="97" t="n">
        <v>20056</v>
      </c>
      <c r="AB66" s="96" t="inlineStr">
        <is>
          <t>LCH01</t>
        </is>
      </c>
      <c r="AC66" s="96" t="inlineStr">
        <is>
          <t>HKG03</t>
        </is>
      </c>
    </row>
    <row r="67" ht="12" customHeight="1">
      <c r="A67" s="96" t="inlineStr">
        <is>
          <t>SKLU2320788</t>
        </is>
      </c>
      <c r="B67" s="161" t="inlineStr">
        <is>
          <t>2026-10-25</t>
        </is>
      </c>
      <c r="C67" s="96" t="inlineStr">
        <is>
          <t>KMGY</t>
        </is>
      </c>
      <c r="D67" s="96" t="inlineStr">
        <is>
          <t>2611N</t>
        </is>
      </c>
      <c r="E67" s="96" t="inlineStr">
        <is>
          <t>22GP</t>
        </is>
      </c>
      <c r="F67" s="96" t="inlineStr">
        <is>
          <t>SD</t>
        </is>
      </c>
      <c r="G67" s="96" t="inlineStr">
        <is>
          <t>THLCH</t>
        </is>
      </c>
      <c r="H67" s="96" t="inlineStr">
        <is>
          <t>THLCH</t>
        </is>
      </c>
      <c r="I67" s="96" t="inlineStr">
        <is>
          <t>KRINC</t>
        </is>
      </c>
      <c r="J67" s="96" t="inlineStr">
        <is>
          <t>KRINC</t>
        </is>
      </c>
      <c r="K67" s="96" t="inlineStr">
        <is>
          <t>F</t>
        </is>
      </c>
      <c r="L67" s="96" t="inlineStr">
        <is>
          <t>ONE</t>
        </is>
      </c>
      <c r="M67" s="96" t="inlineStr">
        <is>
          <t>VFL</t>
        </is>
      </c>
      <c r="N67" s="96" t="inlineStr">
        <is>
          <t>LCH01</t>
        </is>
      </c>
      <c r="O67" s="96" t="inlineStr">
        <is>
          <t>LCH</t>
        </is>
      </c>
      <c r="P67" s="96" t="inlineStr">
        <is>
          <t>TH</t>
        </is>
      </c>
      <c r="Q67" s="96" t="inlineStr">
        <is>
          <t>HASLS22260900819</t>
        </is>
      </c>
      <c r="R67" s="96" t="inlineStr">
        <is>
          <t>N</t>
        </is>
      </c>
      <c r="S67" s="96" t="inlineStr">
        <is>
          <t>N</t>
        </is>
      </c>
      <c r="T67" s="96" t="inlineStr">
        <is>
          <t>CHT</t>
        </is>
      </c>
      <c r="U67" s="97" t="n"/>
      <c r="V67" s="96" t="inlineStr">
        <is>
          <t>K0120021</t>
        </is>
      </c>
      <c r="W67" s="96" t="inlineStr">
        <is>
          <t>THE THAI SUGAR TRADING CORPORATION</t>
        </is>
      </c>
      <c r="X67" s="96" t="inlineStr">
        <is>
          <t>VFD</t>
        </is>
      </c>
      <c r="Y67" s="96" t="inlineStr">
        <is>
          <t>TO ORDER</t>
        </is>
      </c>
      <c r="Z67" s="96" t="inlineStr">
        <is>
          <t>CH HOLDINGS CO., LTD.</t>
        </is>
      </c>
      <c r="AA67" s="97" t="n">
        <v>23184</v>
      </c>
      <c r="AB67" s="96" t="inlineStr">
        <is>
          <t>LCH01</t>
        </is>
      </c>
      <c r="AC67" s="96" t="inlineStr">
        <is>
          <t>INC03</t>
        </is>
      </c>
    </row>
    <row r="68" ht="12" customHeight="1">
      <c r="A68" s="96" t="inlineStr">
        <is>
          <t>SKLU2480488</t>
        </is>
      </c>
      <c r="B68" s="161" t="inlineStr">
        <is>
          <t>2026-10-25</t>
        </is>
      </c>
      <c r="C68" s="96" t="inlineStr">
        <is>
          <t>KMGY</t>
        </is>
      </c>
      <c r="D68" s="96" t="inlineStr">
        <is>
          <t>2611N</t>
        </is>
      </c>
      <c r="E68" s="96" t="inlineStr">
        <is>
          <t>22GP</t>
        </is>
      </c>
      <c r="F68" s="96" t="inlineStr">
        <is>
          <t>SD</t>
        </is>
      </c>
      <c r="G68" s="96" t="inlineStr">
        <is>
          <t>THLCH</t>
        </is>
      </c>
      <c r="H68" s="96" t="inlineStr">
        <is>
          <t>THLCH</t>
        </is>
      </c>
      <c r="I68" s="96" t="inlineStr">
        <is>
          <t>KRINC</t>
        </is>
      </c>
      <c r="J68" s="96" t="inlineStr">
        <is>
          <t>KRINC</t>
        </is>
      </c>
      <c r="K68" s="96" t="inlineStr">
        <is>
          <t>F</t>
        </is>
      </c>
      <c r="L68" s="96" t="inlineStr">
        <is>
          <t>ONE</t>
        </is>
      </c>
      <c r="M68" s="96" t="inlineStr">
        <is>
          <t>VFL</t>
        </is>
      </c>
      <c r="N68" s="96" t="inlineStr">
        <is>
          <t>LCH01</t>
        </is>
      </c>
      <c r="O68" s="96" t="inlineStr">
        <is>
          <t>LCH</t>
        </is>
      </c>
      <c r="P68" s="96" t="inlineStr">
        <is>
          <t>TH</t>
        </is>
      </c>
      <c r="Q68" s="96" t="inlineStr">
        <is>
          <t>HASLS22260900819</t>
        </is>
      </c>
      <c r="R68" s="96" t="inlineStr">
        <is>
          <t>N</t>
        </is>
      </c>
      <c r="S68" s="96" t="inlineStr">
        <is>
          <t>N</t>
        </is>
      </c>
      <c r="T68" s="96" t="inlineStr">
        <is>
          <t>CHT</t>
        </is>
      </c>
      <c r="U68" s="97" t="n"/>
      <c r="V68" s="96" t="inlineStr">
        <is>
          <t>K0120021</t>
        </is>
      </c>
      <c r="W68" s="96" t="inlineStr">
        <is>
          <t>THE THAI SUGAR TRADING CORPORATION</t>
        </is>
      </c>
      <c r="X68" s="96" t="inlineStr">
        <is>
          <t>VFD</t>
        </is>
      </c>
      <c r="Y68" s="96" t="inlineStr">
        <is>
          <t>TO ORDER</t>
        </is>
      </c>
      <c r="Z68" s="96" t="inlineStr">
        <is>
          <t>CH HOLDINGS CO., LTD.</t>
        </is>
      </c>
      <c r="AA68" s="97" t="n">
        <v>23184</v>
      </c>
      <c r="AB68" s="96" t="inlineStr">
        <is>
          <t>LCH01</t>
        </is>
      </c>
      <c r="AC68" s="96" t="inlineStr">
        <is>
          <t>INC03</t>
        </is>
      </c>
    </row>
    <row r="69" ht="12" customHeight="1">
      <c r="A69" s="96" t="inlineStr">
        <is>
          <t>SKRU9907547</t>
        </is>
      </c>
      <c r="B69" s="161" t="inlineStr">
        <is>
          <t>2026-10-25</t>
        </is>
      </c>
      <c r="C69" s="96" t="inlineStr">
        <is>
          <t>KMGY</t>
        </is>
      </c>
      <c r="D69" s="96" t="inlineStr">
        <is>
          <t>2611N</t>
        </is>
      </c>
      <c r="E69" s="96" t="inlineStr">
        <is>
          <t>45RE</t>
        </is>
      </c>
      <c r="F69" s="96" t="inlineStr">
        <is>
          <t>SD</t>
        </is>
      </c>
      <c r="G69" s="96" t="inlineStr">
        <is>
          <t>THLCH</t>
        </is>
      </c>
      <c r="H69" s="96" t="inlineStr">
        <is>
          <t>THLCH</t>
        </is>
      </c>
      <c r="I69" s="96" t="inlineStr">
        <is>
          <t>HKHKG</t>
        </is>
      </c>
      <c r="J69" s="96" t="inlineStr">
        <is>
          <t>HKHKG</t>
        </is>
      </c>
      <c r="K69" s="96" t="inlineStr">
        <is>
          <t>F</t>
        </is>
      </c>
      <c r="L69" s="96" t="inlineStr">
        <is>
          <t>ONE</t>
        </is>
      </c>
      <c r="M69" s="96" t="inlineStr">
        <is>
          <t>VFL</t>
        </is>
      </c>
      <c r="N69" s="96" t="inlineStr">
        <is>
          <t>LCH01</t>
        </is>
      </c>
      <c r="O69" s="96" t="inlineStr">
        <is>
          <t>LCH</t>
        </is>
      </c>
      <c r="P69" s="96" t="inlineStr">
        <is>
          <t>TH</t>
        </is>
      </c>
      <c r="Q69" s="96" t="inlineStr">
        <is>
          <t>HASLS22260901125</t>
        </is>
      </c>
      <c r="R69" s="96" t="inlineStr">
        <is>
          <t>N</t>
        </is>
      </c>
      <c r="S69" s="96" t="inlineStr">
        <is>
          <t>N</t>
        </is>
      </c>
      <c r="T69" s="96" t="inlineStr">
        <is>
          <t>CHT</t>
        </is>
      </c>
      <c r="U69" s="97" t="n"/>
      <c r="V69" s="96" t="inlineStr">
        <is>
          <t>K0120025</t>
        </is>
      </c>
      <c r="W69" s="96" t="inlineStr">
        <is>
          <t>CP-MEIJI CO.,LTD.</t>
        </is>
      </c>
      <c r="X69" s="96" t="inlineStr">
        <is>
          <t>VFD</t>
        </is>
      </c>
      <c r="Y69" s="96" t="inlineStr">
        <is>
          <t>CPF HONG KONG COMPANY LIMITED</t>
        </is>
      </c>
      <c r="Z69" s="96" t="inlineStr">
        <is>
          <t>CPF HONG KONG COMPANY LIMITED</t>
        </is>
      </c>
      <c r="AA69" s="97" t="n">
        <v>19026</v>
      </c>
      <c r="AB69" s="96" t="inlineStr">
        <is>
          <t>LCH01</t>
        </is>
      </c>
      <c r="AC69" s="96" t="inlineStr">
        <is>
          <t>HKG03</t>
        </is>
      </c>
    </row>
    <row r="70" ht="12" customHeight="1">
      <c r="A70" s="96" t="inlineStr">
        <is>
          <t>TCNU8245237</t>
        </is>
      </c>
      <c r="B70" s="161" t="inlineStr">
        <is>
          <t>2026-10-25</t>
        </is>
      </c>
      <c r="C70" s="96" t="inlineStr">
        <is>
          <t>KMGY</t>
        </is>
      </c>
      <c r="D70" s="96" t="inlineStr">
        <is>
          <t>2611N</t>
        </is>
      </c>
      <c r="E70" s="96" t="inlineStr">
        <is>
          <t>45GP</t>
        </is>
      </c>
      <c r="F70" s="96" t="inlineStr">
        <is>
          <t>SD</t>
        </is>
      </c>
      <c r="G70" s="96" t="inlineStr">
        <is>
          <t>THLCH</t>
        </is>
      </c>
      <c r="H70" s="96" t="inlineStr">
        <is>
          <t>THLCH</t>
        </is>
      </c>
      <c r="I70" s="96" t="inlineStr">
        <is>
          <t>HKHKG</t>
        </is>
      </c>
      <c r="J70" s="96" t="inlineStr">
        <is>
          <t>HKHKG</t>
        </is>
      </c>
      <c r="K70" s="96" t="inlineStr">
        <is>
          <t>F</t>
        </is>
      </c>
      <c r="L70" s="96" t="inlineStr">
        <is>
          <t>ONE</t>
        </is>
      </c>
      <c r="M70" s="96" t="inlineStr">
        <is>
          <t>VFL</t>
        </is>
      </c>
      <c r="N70" s="96" t="inlineStr">
        <is>
          <t>LCH01</t>
        </is>
      </c>
      <c r="O70" s="96" t="inlineStr">
        <is>
          <t>LCH</t>
        </is>
      </c>
      <c r="P70" s="96" t="inlineStr">
        <is>
          <t>TH</t>
        </is>
      </c>
      <c r="Q70" s="96" t="inlineStr">
        <is>
          <t>HASLS22261000813</t>
        </is>
      </c>
      <c r="R70" s="96" t="inlineStr">
        <is>
          <t>N</t>
        </is>
      </c>
      <c r="S70" s="96" t="inlineStr">
        <is>
          <t>N</t>
        </is>
      </c>
      <c r="T70" s="96" t="inlineStr">
        <is>
          <t>CHT</t>
        </is>
      </c>
      <c r="U70" s="97" t="n"/>
      <c r="V70" s="96" t="inlineStr">
        <is>
          <t>K0120023</t>
        </is>
      </c>
      <c r="W70" s="96" t="inlineStr">
        <is>
          <t>YUSEN LOGISTICS (THAILAND) CO., LTD</t>
        </is>
      </c>
      <c r="X70" s="96" t="inlineStr">
        <is>
          <t>VFD</t>
        </is>
      </c>
      <c r="Y70" s="96" t="inlineStr">
        <is>
          <t>YUSEN LOGISTICS (HONG KONG) LTD.</t>
        </is>
      </c>
      <c r="Z70" s="96" t="inlineStr">
        <is>
          <t>YUSEN LOGISTICS (HONG KONG) LTD.</t>
        </is>
      </c>
      <c r="AA70" s="97" t="n">
        <v>16400</v>
      </c>
      <c r="AB70" s="96" t="inlineStr">
        <is>
          <t>LCH01</t>
        </is>
      </c>
      <c r="AC70" s="96" t="inlineStr">
        <is>
          <t>HKG03</t>
        </is>
      </c>
    </row>
    <row r="71" ht="12" customHeight="1">
      <c r="A71" s="96" t="inlineStr">
        <is>
          <t>TCNU8376010</t>
        </is>
      </c>
      <c r="B71" s="161" t="inlineStr">
        <is>
          <t>2026-10-25</t>
        </is>
      </c>
      <c r="C71" s="96" t="inlineStr">
        <is>
          <t>KMGY</t>
        </is>
      </c>
      <c r="D71" s="96" t="inlineStr">
        <is>
          <t>2611N</t>
        </is>
      </c>
      <c r="E71" s="96" t="inlineStr">
        <is>
          <t>45GP</t>
        </is>
      </c>
      <c r="F71" s="96" t="inlineStr">
        <is>
          <t>SD</t>
        </is>
      </c>
      <c r="G71" s="96" t="inlineStr">
        <is>
          <t>THLCH</t>
        </is>
      </c>
      <c r="H71" s="96" t="inlineStr">
        <is>
          <t>THLCH</t>
        </is>
      </c>
      <c r="I71" s="96" t="inlineStr">
        <is>
          <t>HKHKG</t>
        </is>
      </c>
      <c r="J71" s="96" t="inlineStr">
        <is>
          <t>HKHKG</t>
        </is>
      </c>
      <c r="K71" s="96" t="inlineStr">
        <is>
          <t>F</t>
        </is>
      </c>
      <c r="L71" s="96" t="inlineStr">
        <is>
          <t>ONE</t>
        </is>
      </c>
      <c r="M71" s="96" t="inlineStr">
        <is>
          <t>VFL</t>
        </is>
      </c>
      <c r="N71" s="96" t="inlineStr">
        <is>
          <t>LCH01</t>
        </is>
      </c>
      <c r="O71" s="96" t="inlineStr">
        <is>
          <t>LCH</t>
        </is>
      </c>
      <c r="P71" s="96" t="inlineStr">
        <is>
          <t>TH</t>
        </is>
      </c>
      <c r="Q71" s="96" t="inlineStr">
        <is>
          <t>HASLS22261000813</t>
        </is>
      </c>
      <c r="R71" s="96" t="inlineStr">
        <is>
          <t>N</t>
        </is>
      </c>
      <c r="S71" s="96" t="inlineStr">
        <is>
          <t>N</t>
        </is>
      </c>
      <c r="T71" s="96" t="inlineStr">
        <is>
          <t>CHT</t>
        </is>
      </c>
      <c r="U71" s="97" t="n"/>
      <c r="V71" s="96" t="inlineStr">
        <is>
          <t>K0120023</t>
        </is>
      </c>
      <c r="W71" s="96" t="inlineStr">
        <is>
          <t>YUSEN LOGISTICS (THAILAND) CO., LTD</t>
        </is>
      </c>
      <c r="X71" s="96" t="inlineStr">
        <is>
          <t>ONL</t>
        </is>
      </c>
      <c r="Y71" s="96" t="inlineStr">
        <is>
          <t>YUSEN LOGISTICS (HONG KONG) LTD.</t>
        </is>
      </c>
      <c r="Z71" s="96" t="inlineStr">
        <is>
          <t>YUSEN LOGISTICS (HONG KONG) LTD.</t>
        </is>
      </c>
      <c r="AA71" s="97" t="n">
        <v>16400</v>
      </c>
      <c r="AB71" s="96" t="inlineStr">
        <is>
          <t>LCH01</t>
        </is>
      </c>
      <c r="AC71" s="96" t="inlineStr">
        <is>
          <t>HKG03</t>
        </is>
      </c>
    </row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5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HASLS22260900819</t>
        </is>
      </c>
      <c r="B2" s="96" t="inlineStr">
        <is>
          <t>20'x10</t>
        </is>
      </c>
      <c r="C2" s="97" t="n">
        <v>10</v>
      </c>
      <c r="D2" s="97" t="n">
        <v>10</v>
      </c>
      <c r="E2" s="97" t="n"/>
      <c r="F2" s="97" t="n">
        <v>0</v>
      </c>
      <c r="G2" s="97" t="n">
        <v>10</v>
      </c>
      <c r="H2" s="97" t="n">
        <v>0</v>
      </c>
      <c r="I2" s="97" t="n">
        <v>0</v>
      </c>
      <c r="J2" s="97" t="n">
        <v>10</v>
      </c>
      <c r="K2" s="96" t="inlineStr">
        <is>
          <t>N</t>
        </is>
      </c>
      <c r="L2" s="96" t="inlineStr">
        <is>
          <t>CHT</t>
        </is>
      </c>
      <c r="M2" s="96" t="inlineStr">
        <is>
          <t>KMGY</t>
        </is>
      </c>
      <c r="N2" s="96" t="inlineStr">
        <is>
          <t>2611N</t>
        </is>
      </c>
      <c r="O2" s="96" t="inlineStr">
        <is>
          <t>THLCH</t>
        </is>
      </c>
      <c r="P2" s="96" t="inlineStr">
        <is>
          <t>LCH01</t>
        </is>
      </c>
      <c r="Q2" s="96" t="inlineStr">
        <is>
          <t>IA</t>
        </is>
      </c>
      <c r="R2" s="161" t="inlineStr">
        <is>
          <t>2026-10-25</t>
        </is>
      </c>
      <c r="S2" s="96" t="inlineStr">
        <is>
          <t>KRINC</t>
        </is>
      </c>
      <c r="T2" s="96" t="inlineStr">
        <is>
          <t>INC03</t>
        </is>
      </c>
      <c r="U2" s="96" t="inlineStr">
        <is>
          <t>KRINC</t>
        </is>
      </c>
      <c r="V2" s="161" t="inlineStr">
        <is>
          <t>2026-11-03</t>
        </is>
      </c>
      <c r="W2" s="96" t="inlineStr">
        <is>
          <t>KR</t>
        </is>
      </c>
      <c r="X2" s="97" t="n"/>
      <c r="Y2" s="97" t="n"/>
      <c r="Z2" s="97" t="n"/>
      <c r="AA2" s="96" t="inlineStr">
        <is>
          <t>JAST GLOBAL CO.,LTD.</t>
        </is>
      </c>
      <c r="AB2" s="96" t="inlineStr">
        <is>
          <t>THE THAI SUGAR TRADING CORPORATION LTD.</t>
        </is>
      </c>
      <c r="AC2" s="163" t="n">
        <v>231840</v>
      </c>
      <c r="AD2" s="163" t="n">
        <v>253840</v>
      </c>
      <c r="AE2" s="96" t="inlineStr">
        <is>
          <t>OK</t>
        </is>
      </c>
      <c r="AF2" s="96" t="n"/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H2602</t>
        </is>
      </c>
      <c r="AN2" s="96" t="inlineStr">
        <is>
          <t>Kim jaewon</t>
        </is>
      </c>
      <c r="AO2" s="96" t="inlineStr">
        <is>
          <t>WHITE REFINED SUGAR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n"/>
      <c r="AZ2" s="96" t="inlineStr">
        <is>
          <t xml:space="preserve">Pickup : 2026-10-15, Return : 2026-10-16
**CHECK OPENGATE BEFORE RETURN CNTR**
</t>
        </is>
      </c>
      <c r="BA2" s="97" t="inlineStr">
        <is>
          <t xml:space="preserve">FM SWDN 2611N DD 28/09 
FM TSXM 2618N BY ANCHALEE DD.01/10/2026 </t>
        </is>
      </c>
      <c r="BB2" s="96" t="inlineStr">
        <is>
          <t>C</t>
        </is>
      </c>
      <c r="BC2" s="161" t="inlineStr">
        <is>
          <t>2026-09-16</t>
        </is>
      </c>
      <c r="BD2" s="161" t="inlineStr">
        <is>
          <t>2026-10-19</t>
        </is>
      </c>
      <c r="BE2" s="96" t="inlineStr">
        <is>
          <t>Y</t>
        </is>
      </c>
      <c r="BF2" s="96" t="inlineStr">
        <is>
          <t xml:space="preserve">WHITE REFINED SUGAR 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LCHY5</t>
        </is>
      </c>
      <c r="BL2" s="161" t="inlineStr">
        <is>
          <t>2026-10-15</t>
        </is>
      </c>
      <c r="BM2" s="127" t="n"/>
      <c r="BN2" s="127" t="n">
        <v>10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LCH01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theerajed@jastglobal.co.th</t>
        </is>
      </c>
      <c r="CJ2" s="96" t="inlineStr">
        <is>
          <t>THE THAI SUGAR TRADING CORPORATION</t>
        </is>
      </c>
      <c r="CK2" s="96" t="inlineStr">
        <is>
          <t>TO ORDER</t>
        </is>
      </c>
      <c r="CL2" s="96" t="inlineStr">
        <is>
          <t>CH HOLDINGS CO., LTD.</t>
        </is>
      </c>
      <c r="CM2" s="97" t="n"/>
      <c r="CN2" s="96" t="inlineStr">
        <is>
          <t>202610211700</t>
        </is>
      </c>
      <c r="CO2" s="96" t="inlineStr">
        <is>
          <t>202610222359</t>
        </is>
      </c>
      <c r="CP2" s="97" t="n"/>
      <c r="CQ2" s="96" t="inlineStr">
        <is>
          <t>K01-2502077</t>
        </is>
      </c>
      <c r="CR2" s="96" t="inlineStr">
        <is>
          <t>THTWET</t>
        </is>
      </c>
      <c r="CS2" s="96" t="inlineStr">
        <is>
          <t>JAST GLOBAL CO.,LTD.</t>
        </is>
      </c>
      <c r="CT2" s="96" t="inlineStr">
        <is>
          <t>N</t>
        </is>
      </c>
      <c r="CU2" s="97" t="n"/>
      <c r="CV2" s="97" t="n"/>
      <c r="CW2" s="161" t="inlineStr">
        <is>
          <t>2026-10-21</t>
        </is>
      </c>
      <c r="CX2" s="97" t="n"/>
      <c r="CY2" s="156" t="n"/>
    </row>
    <row r="3" ht="12" customHeight="1">
      <c r="A3" s="116" t="inlineStr">
        <is>
          <t>HASLS22260901124</t>
        </is>
      </c>
      <c r="B3" s="96" t="inlineStr">
        <is>
          <t>R40Hx1</t>
        </is>
      </c>
      <c r="C3" s="97" t="n">
        <v>1</v>
      </c>
      <c r="D3" s="97" t="n">
        <v>1</v>
      </c>
      <c r="E3" s="97" t="n"/>
      <c r="F3" s="97" t="n">
        <v>0</v>
      </c>
      <c r="G3" s="97" t="n">
        <v>0</v>
      </c>
      <c r="H3" s="97" t="n">
        <v>0</v>
      </c>
      <c r="I3" s="97" t="n">
        <v>1</v>
      </c>
      <c r="J3" s="97" t="n">
        <v>2</v>
      </c>
      <c r="K3" s="96" t="inlineStr">
        <is>
          <t>N</t>
        </is>
      </c>
      <c r="L3" s="96" t="inlineStr">
        <is>
          <t>CHT</t>
        </is>
      </c>
      <c r="M3" s="96" t="inlineStr">
        <is>
          <t>KMGY</t>
        </is>
      </c>
      <c r="N3" s="96" t="inlineStr">
        <is>
          <t>2611N</t>
        </is>
      </c>
      <c r="O3" s="96" t="inlineStr">
        <is>
          <t>THLCH</t>
        </is>
      </c>
      <c r="P3" s="96" t="inlineStr">
        <is>
          <t>LCH01</t>
        </is>
      </c>
      <c r="Q3" s="96" t="inlineStr">
        <is>
          <t>IA</t>
        </is>
      </c>
      <c r="R3" s="161" t="inlineStr">
        <is>
          <t>2026-10-25</t>
        </is>
      </c>
      <c r="S3" s="96" t="inlineStr">
        <is>
          <t>HKHKG</t>
        </is>
      </c>
      <c r="T3" s="96" t="inlineStr">
        <is>
          <t>HKG03</t>
        </is>
      </c>
      <c r="U3" s="96" t="inlineStr">
        <is>
          <t>HKHKG</t>
        </is>
      </c>
      <c r="V3" s="161" t="inlineStr">
        <is>
          <t>2026-10-29</t>
        </is>
      </c>
      <c r="W3" s="96" t="inlineStr">
        <is>
          <t>IA</t>
        </is>
      </c>
      <c r="X3" s="97" t="n"/>
      <c r="Y3" s="97" t="n"/>
      <c r="Z3" s="97" t="n"/>
      <c r="AA3" s="96" t="inlineStr">
        <is>
          <t>DYNAMIC INTERTRANSPORT CO., LTD.</t>
        </is>
      </c>
      <c r="AB3" s="96" t="inlineStr">
        <is>
          <t>CP-MEIJI CO., LTD.</t>
        </is>
      </c>
      <c r="AC3" s="163" t="n">
        <v>22411.2</v>
      </c>
      <c r="AD3" s="163" t="n">
        <v>26411.2</v>
      </c>
      <c r="AE3" s="96" t="inlineStr">
        <is>
          <t>OK</t>
        </is>
      </c>
      <c r="AF3" s="96" t="inlineStr">
        <is>
          <t>SR</t>
        </is>
      </c>
      <c r="AG3" s="97" t="n"/>
      <c r="AH3" s="96" t="inlineStr">
        <is>
          <t>CHK</t>
        </is>
      </c>
      <c r="AI3" s="97" t="n"/>
      <c r="AJ3" s="97" t="n"/>
      <c r="AK3" s="97" t="n"/>
      <c r="AL3" s="97" t="n"/>
      <c r="AM3" s="96" t="inlineStr">
        <is>
          <t>TBKK55</t>
        </is>
      </c>
      <c r="AN3" s="96" t="inlineStr">
        <is>
          <t>Vilaiporn</t>
        </is>
      </c>
      <c r="AO3" s="96" t="inlineStr">
        <is>
          <t>FRESH MILK AND MILK PRODUCT</t>
        </is>
      </c>
      <c r="AP3" s="96" t="inlineStr">
        <is>
          <t>Normal</t>
        </is>
      </c>
      <c r="AQ3" s="97" t="n"/>
      <c r="AR3" s="97" t="n"/>
      <c r="AS3" s="97" t="inlineStr">
        <is>
          <t>RF// MIN:+0.0 MAX:+0.0 [COVER:CLOSE]</t>
        </is>
      </c>
      <c r="AT3" s="97" t="inlineStr">
        <is>
          <t xml:space="preserve">45REx1 </t>
        </is>
      </c>
      <c r="AU3" s="97" t="n"/>
      <c r="AV3" s="97" t="n"/>
      <c r="AW3" s="97" t="n">
        <v>0</v>
      </c>
      <c r="AX3" s="96" t="inlineStr">
        <is>
          <t>N</t>
        </is>
      </c>
      <c r="AY3" s="97" t="n"/>
      <c r="AZ3" s="96" t="inlineStr">
        <is>
          <t xml:space="preserve">Pickup : 2026-10-22, Return : 2026-10-23 (Temp +0.0 / Vent Close) 
CLS TIME 23/10/26 @16.00 </t>
        </is>
      </c>
      <c r="BA3" s="97" t="inlineStr">
        <is>
          <t>FM SWSR 2611N 05/10CY BKK , RT LCB , (Temp +0.0 / Vent Close)  REQUEST : CLEAN AND GOOD CONTAINER FOR MILK PRODUCTSEND TO : nuttakan.des@cpintertrade.com,chuchat.ong@dynamic.co.th</t>
        </is>
      </c>
      <c r="BB3" s="96" t="inlineStr">
        <is>
          <t>P</t>
        </is>
      </c>
      <c r="BC3" s="161" t="inlineStr">
        <is>
          <t>2026-09-14</t>
        </is>
      </c>
      <c r="BD3" s="161" t="inlineStr">
        <is>
          <t>2026-10-22</t>
        </is>
      </c>
      <c r="BE3" s="96" t="inlineStr">
        <is>
          <t>Y</t>
        </is>
      </c>
      <c r="BF3" s="96" t="inlineStr">
        <is>
          <t>FRESH MILK AND MILK PRODUCT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LCH27</t>
        </is>
      </c>
      <c r="BL3" s="161" t="inlineStr">
        <is>
          <t>2026-10-22</t>
        </is>
      </c>
      <c r="BM3" s="127" t="n"/>
      <c r="BN3" s="127" t="n"/>
      <c r="BO3" s="127" t="n"/>
      <c r="BP3" s="127" t="n"/>
      <c r="BQ3" s="127" t="n"/>
      <c r="BR3" s="127" t="n">
        <v>1</v>
      </c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LCH01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nuttakan.des@cpintertrade.com;chuchat.ong@dynamic.co.th</t>
        </is>
      </c>
      <c r="CJ3" s="96" t="inlineStr">
        <is>
          <t>CP-MEIJI CO.,LTD.</t>
        </is>
      </c>
      <c r="CK3" s="96" t="inlineStr">
        <is>
          <t>CPF HONG KONG COMPANY LIMITED</t>
        </is>
      </c>
      <c r="CL3" s="96" t="inlineStr">
        <is>
          <t>CPF HONG KONG COMPANY LIMITED</t>
        </is>
      </c>
      <c r="CM3" s="97" t="n"/>
      <c r="CN3" s="96" t="inlineStr">
        <is>
          <t>202610211700</t>
        </is>
      </c>
      <c r="CO3" s="96" t="inlineStr">
        <is>
          <t>202610222359</t>
        </is>
      </c>
      <c r="CP3" s="97" t="inlineStr">
        <is>
          <t>45RE x1: RF(Temp:+0.0' / Cover:CLOSE)</t>
        </is>
      </c>
      <c r="CQ3" s="96" t="inlineStr">
        <is>
          <t>S19-2308018</t>
        </is>
      </c>
      <c r="CR3" s="96" t="inlineStr">
        <is>
          <t>BB0575</t>
        </is>
      </c>
      <c r="CS3" s="96" t="inlineStr">
        <is>
          <t>DYNAMIC INTERTRANSPORT CO., LTD.</t>
        </is>
      </c>
      <c r="CT3" s="96" t="inlineStr">
        <is>
          <t>N</t>
        </is>
      </c>
      <c r="CU3" s="97" t="n"/>
      <c r="CV3" s="97" t="n"/>
      <c r="CW3" s="161" t="inlineStr">
        <is>
          <t>2026-10-24</t>
        </is>
      </c>
      <c r="CX3" s="97" t="n"/>
      <c r="CY3" s="183" t="n"/>
    </row>
    <row r="4" ht="12" customHeight="1">
      <c r="A4" s="116" t="inlineStr">
        <is>
          <t>HASLS22260901125</t>
        </is>
      </c>
      <c r="B4" s="96" t="inlineStr">
        <is>
          <t>R40Hx1</t>
        </is>
      </c>
      <c r="C4" s="97" t="n">
        <v>1</v>
      </c>
      <c r="D4" s="97" t="n">
        <v>1</v>
      </c>
      <c r="E4" s="97" t="n"/>
      <c r="F4" s="97" t="n">
        <v>0</v>
      </c>
      <c r="G4" s="97" t="n">
        <v>0</v>
      </c>
      <c r="H4" s="97" t="n">
        <v>0</v>
      </c>
      <c r="I4" s="97" t="n">
        <v>1</v>
      </c>
      <c r="J4" s="97" t="n">
        <v>2</v>
      </c>
      <c r="K4" s="96" t="inlineStr">
        <is>
          <t>N</t>
        </is>
      </c>
      <c r="L4" s="96" t="inlineStr">
        <is>
          <t>CHT</t>
        </is>
      </c>
      <c r="M4" s="96" t="inlineStr">
        <is>
          <t>KMGY</t>
        </is>
      </c>
      <c r="N4" s="96" t="inlineStr">
        <is>
          <t>2611N</t>
        </is>
      </c>
      <c r="O4" s="96" t="inlineStr">
        <is>
          <t>THLCH</t>
        </is>
      </c>
      <c r="P4" s="96" t="inlineStr">
        <is>
          <t>LCH01</t>
        </is>
      </c>
      <c r="Q4" s="96" t="inlineStr">
        <is>
          <t>IA</t>
        </is>
      </c>
      <c r="R4" s="161" t="inlineStr">
        <is>
          <t>2026-10-25</t>
        </is>
      </c>
      <c r="S4" s="96" t="inlineStr">
        <is>
          <t>HKHKG</t>
        </is>
      </c>
      <c r="T4" s="96" t="inlineStr">
        <is>
          <t>HKG03</t>
        </is>
      </c>
      <c r="U4" s="96" t="inlineStr">
        <is>
          <t>HKHKG</t>
        </is>
      </c>
      <c r="V4" s="161" t="inlineStr">
        <is>
          <t>2026-10-29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DYNAMIC INTERTRANSPORT CO., LTD.</t>
        </is>
      </c>
      <c r="AB4" s="96" t="inlineStr">
        <is>
          <t>CP-MEIJI CO., LTD.</t>
        </is>
      </c>
      <c r="AC4" s="163" t="n">
        <v>19026</v>
      </c>
      <c r="AD4" s="163" t="n">
        <v>23026</v>
      </c>
      <c r="AE4" s="96" t="inlineStr">
        <is>
          <t>OK</t>
        </is>
      </c>
      <c r="AF4" s="96" t="inlineStr">
        <is>
          <t>SR</t>
        </is>
      </c>
      <c r="AG4" s="97" t="n"/>
      <c r="AH4" s="96" t="inlineStr">
        <is>
          <t>CHK</t>
        </is>
      </c>
      <c r="AI4" s="97" t="n"/>
      <c r="AJ4" s="97" t="n"/>
      <c r="AK4" s="97" t="n"/>
      <c r="AL4" s="97" t="n"/>
      <c r="AM4" s="96" t="inlineStr">
        <is>
          <t>TBKK55</t>
        </is>
      </c>
      <c r="AN4" s="96" t="inlineStr">
        <is>
          <t>Vilaiporn</t>
        </is>
      </c>
      <c r="AO4" s="96" t="inlineStr">
        <is>
          <t>FRESH MILK AND MILK PRODUCT</t>
        </is>
      </c>
      <c r="AP4" s="96" t="inlineStr">
        <is>
          <t>Normal</t>
        </is>
      </c>
      <c r="AQ4" s="97" t="n"/>
      <c r="AR4" s="97" t="n"/>
      <c r="AS4" s="97" t="inlineStr">
        <is>
          <t>RF// MIN:+0.0 MAX:+0.0 [COVER:CLOSE]</t>
        </is>
      </c>
      <c r="AT4" s="97" t="inlineStr">
        <is>
          <t xml:space="preserve">45REx1 </t>
        </is>
      </c>
      <c r="AU4" s="97" t="n"/>
      <c r="AV4" s="97" t="n"/>
      <c r="AW4" s="97" t="n">
        <v>0</v>
      </c>
      <c r="AX4" s="96" t="inlineStr">
        <is>
          <t>N</t>
        </is>
      </c>
      <c r="AY4" s="97" t="n"/>
      <c r="AZ4" s="96" t="inlineStr">
        <is>
          <t xml:space="preserve">Pickup : 2026-10-22, Return : 2026-10-23 (Temp +0.0 / Vent Close)
 CLS TIME : 23/10 @16.00 </t>
        </is>
      </c>
      <c r="BA4" s="97" t="inlineStr">
        <is>
          <t>CY BKK RT LCB , (Temp +0.0 / Vent Close)  REQUEST : CLEAN AND GOOD CONTAINER FOR MILK PRODUCTSEND TO : nuttakan.des@cpintertrade.com,chuchat.ong@dynamic.co.th</t>
        </is>
      </c>
      <c r="BB4" s="96" t="inlineStr">
        <is>
          <t>P</t>
        </is>
      </c>
      <c r="BC4" s="161" t="inlineStr">
        <is>
          <t>2026-09-14</t>
        </is>
      </c>
      <c r="BD4" s="161" t="inlineStr">
        <is>
          <t>2026-10-22</t>
        </is>
      </c>
      <c r="BE4" s="96" t="inlineStr">
        <is>
          <t>Y</t>
        </is>
      </c>
      <c r="BF4" s="96" t="inlineStr">
        <is>
          <t>FRESH MILK AND MILK PRODUCT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LCH27</t>
        </is>
      </c>
      <c r="BL4" s="161" t="inlineStr">
        <is>
          <t>2026-10-22</t>
        </is>
      </c>
      <c r="BM4" s="127" t="n"/>
      <c r="BN4" s="127" t="n"/>
      <c r="BO4" s="127" t="n"/>
      <c r="BP4" s="127" t="n"/>
      <c r="BQ4" s="127" t="n"/>
      <c r="BR4" s="127" t="n">
        <v>1</v>
      </c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LCH01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nuttakan.des@cpintertrade.com;chuchat.ong@dynamic.co.th</t>
        </is>
      </c>
      <c r="CJ4" s="96" t="inlineStr">
        <is>
          <t>CP-MEIJI CO.,LTD.</t>
        </is>
      </c>
      <c r="CK4" s="96" t="inlineStr">
        <is>
          <t>CPF HONG KONG COMPANY LIMITED</t>
        </is>
      </c>
      <c r="CL4" s="96" t="inlineStr">
        <is>
          <t>CPF HONG KONG COMPANY LIMITED</t>
        </is>
      </c>
      <c r="CM4" s="97" t="n"/>
      <c r="CN4" s="96" t="inlineStr">
        <is>
          <t>202610211700</t>
        </is>
      </c>
      <c r="CO4" s="96" t="inlineStr">
        <is>
          <t>202610222359</t>
        </is>
      </c>
      <c r="CP4" s="97" t="inlineStr">
        <is>
          <t>45RE x1: RF(Temp:+0.0' / Cover:CLOSE)</t>
        </is>
      </c>
      <c r="CQ4" s="96" t="inlineStr">
        <is>
          <t>S19-2308018</t>
        </is>
      </c>
      <c r="CR4" s="96" t="inlineStr">
        <is>
          <t>BB0575</t>
        </is>
      </c>
      <c r="CS4" s="96" t="inlineStr">
        <is>
          <t>DYNAMIC INTERTRANSPORT CO., LTD.</t>
        </is>
      </c>
      <c r="CT4" s="96" t="inlineStr">
        <is>
          <t>N</t>
        </is>
      </c>
      <c r="CU4" s="97" t="n"/>
      <c r="CV4" s="97" t="n"/>
      <c r="CW4" s="161" t="inlineStr">
        <is>
          <t>2026-10-21</t>
        </is>
      </c>
      <c r="CX4" s="97" t="n"/>
      <c r="CY4" s="183" t="n"/>
    </row>
    <row r="5" ht="12" customHeight="1">
      <c r="A5" s="116" t="inlineStr">
        <is>
          <t>HASLS22260901363</t>
        </is>
      </c>
      <c r="B5" s="96" t="inlineStr">
        <is>
          <t>40Hx1</t>
        </is>
      </c>
      <c r="C5" s="97" t="n">
        <v>1</v>
      </c>
      <c r="D5" s="97" t="n">
        <v>1</v>
      </c>
      <c r="E5" s="97" t="n"/>
      <c r="F5" s="97" t="n">
        <v>0</v>
      </c>
      <c r="G5" s="97" t="n">
        <v>0</v>
      </c>
      <c r="H5" s="97" t="n">
        <v>0</v>
      </c>
      <c r="I5" s="97" t="n">
        <v>1</v>
      </c>
      <c r="J5" s="97" t="n">
        <v>2</v>
      </c>
      <c r="K5" s="96" t="inlineStr">
        <is>
          <t>N</t>
        </is>
      </c>
      <c r="L5" s="96" t="inlineStr">
        <is>
          <t>CHT</t>
        </is>
      </c>
      <c r="M5" s="96" t="inlineStr">
        <is>
          <t>KMGY</t>
        </is>
      </c>
      <c r="N5" s="96" t="inlineStr">
        <is>
          <t>2611N</t>
        </is>
      </c>
      <c r="O5" s="96" t="inlineStr">
        <is>
          <t>THLCH</t>
        </is>
      </c>
      <c r="P5" s="96" t="inlineStr">
        <is>
          <t>LCH01</t>
        </is>
      </c>
      <c r="Q5" s="96" t="inlineStr">
        <is>
          <t>IA</t>
        </is>
      </c>
      <c r="R5" s="161" t="inlineStr">
        <is>
          <t>2026-10-25</t>
        </is>
      </c>
      <c r="S5" s="96" t="inlineStr">
        <is>
          <t>HKHKG</t>
        </is>
      </c>
      <c r="T5" s="96" t="inlineStr">
        <is>
          <t>HKG03</t>
        </is>
      </c>
      <c r="U5" s="96" t="inlineStr">
        <is>
          <t>HKHKG</t>
        </is>
      </c>
      <c r="V5" s="161" t="inlineStr">
        <is>
          <t>2026-10-29</t>
        </is>
      </c>
      <c r="W5" s="96" t="inlineStr">
        <is>
          <t>IA</t>
        </is>
      </c>
      <c r="X5" s="97" t="n"/>
      <c r="Y5" s="97" t="n"/>
      <c r="Z5" s="97" t="n"/>
      <c r="AA5" s="96" t="inlineStr">
        <is>
          <t>NIPPON EXPRESS LOGISTICS (THAILAND) CO., LTD.</t>
        </is>
      </c>
      <c r="AB5" s="96" t="inlineStr">
        <is>
          <t>SYNERGY HEALTH (THAILAND) CO., LTD.</t>
        </is>
      </c>
      <c r="AC5" s="163" t="n">
        <v>5340.8</v>
      </c>
      <c r="AD5" s="163" t="n">
        <v>9340.799999999999</v>
      </c>
      <c r="AE5" s="96" t="inlineStr">
        <is>
          <t>OK</t>
        </is>
      </c>
      <c r="AF5" s="96" t="inlineStr">
        <is>
          <t>SR</t>
        </is>
      </c>
      <c r="AG5" s="97" t="n"/>
      <c r="AH5" s="96" t="inlineStr">
        <is>
          <t>CON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TBKK55</t>
        </is>
      </c>
      <c r="AN5" s="96" t="inlineStr">
        <is>
          <t>Vilaiporn</t>
        </is>
      </c>
      <c r="AO5" s="96" t="inlineStr">
        <is>
          <t>OTHER INSTRUMENTS IN MEDICAL, SURGICAL,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n"/>
      <c r="AZ5" s="96" t="inlineStr">
        <is>
          <t xml:space="preserve">Pickup : 2026-10-20, Return : 2026-10-20 
 ** PLEASE CHECK OPEN GATE BEFORE RETURN CNTR **
</t>
        </is>
      </c>
      <c r="BA5" s="97" t="inlineStr">
        <is>
          <t>FM SWDN 2611N DD 14/10 
REQUEST CONTAINER GRADE AThe containers are in Clean, Good Panel condition,Good Floor Board Condition, Not Rusty, GoodDoor Condition.</t>
        </is>
      </c>
      <c r="BB5" s="96" t="inlineStr">
        <is>
          <t>P</t>
        </is>
      </c>
      <c r="BC5" s="161" t="inlineStr">
        <is>
          <t>2026-09-16</t>
        </is>
      </c>
      <c r="BD5" s="161" t="inlineStr">
        <is>
          <t>2026-10-20</t>
        </is>
      </c>
      <c r="BE5" s="96" t="inlineStr">
        <is>
          <t>Y</t>
        </is>
      </c>
      <c r="BF5" s="96" t="inlineStr">
        <is>
          <t>OTHER INSTRUMENTS IN MEDICAL, SURGICAL,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LCHY5</t>
        </is>
      </c>
      <c r="BL5" s="161" t="inlineStr">
        <is>
          <t>2026-10-20</t>
        </is>
      </c>
      <c r="BM5" s="127" t="n"/>
      <c r="BN5" s="127" t="n"/>
      <c r="BO5" s="127" t="n"/>
      <c r="BP5" s="127" t="n">
        <v>1</v>
      </c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inlineStr">
        <is>
          <t>Y</t>
        </is>
      </c>
      <c r="CB5" s="97" t="n"/>
      <c r="CC5" s="96" t="inlineStr">
        <is>
          <t>LCH01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NELT-aclc-exp@nipponexpress.com</t>
        </is>
      </c>
      <c r="CJ5" s="96" t="inlineStr">
        <is>
          <t>NIPPON EXPRESS LOGISTICS</t>
        </is>
      </c>
      <c r="CK5" s="96" t="inlineStr">
        <is>
          <t>NIPPON EXPRESS (H.K.) CO.,LTD.</t>
        </is>
      </c>
      <c r="CL5" s="96" t="inlineStr">
        <is>
          <t>NIPPON EXPRESS (H.K.) CO.,LTD.</t>
        </is>
      </c>
      <c r="CM5" s="97" t="n"/>
      <c r="CN5" s="96" t="inlineStr">
        <is>
          <t>202610211700</t>
        </is>
      </c>
      <c r="CO5" s="96" t="inlineStr">
        <is>
          <t>202610222359</t>
        </is>
      </c>
      <c r="CP5" s="97" t="n"/>
      <c r="CQ5" s="96" t="inlineStr">
        <is>
          <t>S19-2308033</t>
        </is>
      </c>
      <c r="CR5" s="96" t="inlineStr">
        <is>
          <t>THTSOT</t>
        </is>
      </c>
      <c r="CS5" s="96" t="inlineStr">
        <is>
          <t>NIPPON EXPRESS LOGISTICS (THAILAND) CO., LTD.</t>
        </is>
      </c>
      <c r="CT5" s="96" t="inlineStr">
        <is>
          <t>N</t>
        </is>
      </c>
      <c r="CU5" s="97" t="n"/>
      <c r="CV5" s="97" t="n"/>
      <c r="CW5" s="161" t="inlineStr">
        <is>
          <t>2026-10-24</t>
        </is>
      </c>
      <c r="CX5" s="97" t="n"/>
      <c r="CY5" s="183" t="n"/>
    </row>
    <row r="6" ht="12" customHeight="1">
      <c r="A6" s="116" t="inlineStr">
        <is>
          <t>HASLS22260901774</t>
        </is>
      </c>
      <c r="B6" s="96" t="inlineStr">
        <is>
          <t>40Hx1</t>
        </is>
      </c>
      <c r="C6" s="97" t="n">
        <v>1</v>
      </c>
      <c r="D6" s="97" t="n">
        <v>1</v>
      </c>
      <c r="E6" s="97" t="n"/>
      <c r="F6" s="97" t="n">
        <v>0</v>
      </c>
      <c r="G6" s="97" t="n">
        <v>0</v>
      </c>
      <c r="H6" s="97" t="n">
        <v>0</v>
      </c>
      <c r="I6" s="97" t="n">
        <v>1</v>
      </c>
      <c r="J6" s="97" t="n">
        <v>2</v>
      </c>
      <c r="K6" s="96" t="inlineStr">
        <is>
          <t>N</t>
        </is>
      </c>
      <c r="L6" s="96" t="inlineStr">
        <is>
          <t>CHT</t>
        </is>
      </c>
      <c r="M6" s="96" t="inlineStr">
        <is>
          <t>KMGY</t>
        </is>
      </c>
      <c r="N6" s="96" t="inlineStr">
        <is>
          <t>2611N</t>
        </is>
      </c>
      <c r="O6" s="96" t="inlineStr">
        <is>
          <t>THLCH</t>
        </is>
      </c>
      <c r="P6" s="96" t="inlineStr">
        <is>
          <t>LCH01</t>
        </is>
      </c>
      <c r="Q6" s="96" t="inlineStr">
        <is>
          <t>IA</t>
        </is>
      </c>
      <c r="R6" s="161" t="inlineStr">
        <is>
          <t>2026-10-25</t>
        </is>
      </c>
      <c r="S6" s="96" t="inlineStr">
        <is>
          <t>HKHKG</t>
        </is>
      </c>
      <c r="T6" s="96" t="inlineStr">
        <is>
          <t>HKG03</t>
        </is>
      </c>
      <c r="U6" s="96" t="inlineStr">
        <is>
          <t>HKHKG</t>
        </is>
      </c>
      <c r="V6" s="161" t="inlineStr">
        <is>
          <t>2026-10-29</t>
        </is>
      </c>
      <c r="W6" s="96" t="inlineStr">
        <is>
          <t>IA</t>
        </is>
      </c>
      <c r="X6" s="97" t="n"/>
      <c r="Y6" s="97" t="n"/>
      <c r="Z6" s="97" t="n"/>
      <c r="AA6" s="96" t="inlineStr">
        <is>
          <t>KWE-KINTETSU WORLD EXPRESS (THAILAND) CO., LTD.</t>
        </is>
      </c>
      <c r="AB6" s="96" t="inlineStr">
        <is>
          <t>ELNA (THAILAND) CO.,LTD.</t>
        </is>
      </c>
      <c r="AC6" s="163" t="n">
        <v>6543.38</v>
      </c>
      <c r="AD6" s="163" t="n">
        <v>10543.38</v>
      </c>
      <c r="AE6" s="96" t="inlineStr">
        <is>
          <t>OK</t>
        </is>
      </c>
      <c r="AF6" s="96" t="n"/>
      <c r="AG6" s="97" t="n"/>
      <c r="AH6" s="96" t="inlineStr">
        <is>
          <t>CON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TBKK97</t>
        </is>
      </c>
      <c r="AN6" s="96" t="inlineStr">
        <is>
          <t>Arunphat W. (Aiw)</t>
        </is>
      </c>
      <c r="AO6" s="96" t="inlineStr">
        <is>
          <t>ELECTROLYTIC CAPACITOR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n"/>
      <c r="AZ6" s="96" t="inlineStr">
        <is>
          <t>Pickup : 2026-10-12, Return : 2026-10-15</t>
        </is>
      </c>
      <c r="BA6" s="97" t="inlineStr">
        <is>
          <t>ROLL OVER FORM PREVIOU VSL CMA 2615N BY ALLOCATION TEAM MS.TARN APRPOVED COST IS UNDER HA DD.21/10
SI DD.19/10/26</t>
        </is>
      </c>
      <c r="BB6" s="96" t="inlineStr">
        <is>
          <t>P</t>
        </is>
      </c>
      <c r="BC6" s="161" t="inlineStr">
        <is>
          <t>2026-09-19</t>
        </is>
      </c>
      <c r="BD6" s="161" t="inlineStr">
        <is>
          <t>2026-10-21</t>
        </is>
      </c>
      <c r="BE6" s="96" t="inlineStr">
        <is>
          <t>Y</t>
        </is>
      </c>
      <c r="BF6" s="96" t="inlineStr">
        <is>
          <t>ELECTROLYTIC CONDENSER SOLUTION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LCHY5</t>
        </is>
      </c>
      <c r="BL6" s="161" t="inlineStr">
        <is>
          <t>2026-10-12</t>
        </is>
      </c>
      <c r="BM6" s="127" t="n"/>
      <c r="BN6" s="127" t="n"/>
      <c r="BO6" s="127" t="n"/>
      <c r="BP6" s="127" t="n">
        <v>1</v>
      </c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LCH01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oceexp.kweth@kwe.com</t>
        </is>
      </c>
      <c r="CJ6" s="96" t="inlineStr">
        <is>
          <t>KWE-KINTETSU WORLD EXPRESS</t>
        </is>
      </c>
      <c r="CK6" s="96" t="inlineStr">
        <is>
          <t>KINTETSU WORLD EXPRESS (HK) LIMITED</t>
        </is>
      </c>
      <c r="CL6" s="96" t="inlineStr">
        <is>
          <t>KINTETSU WORLD EXPRESS (HK) LIMITED</t>
        </is>
      </c>
      <c r="CM6" s="97" t="n"/>
      <c r="CN6" s="96" t="inlineStr">
        <is>
          <t>202610211700</t>
        </is>
      </c>
      <c r="CO6" s="96" t="inlineStr">
        <is>
          <t>202610222359</t>
        </is>
      </c>
      <c r="CP6" s="97" t="n"/>
      <c r="CQ6" s="96" t="inlineStr">
        <is>
          <t>S22-2605009</t>
        </is>
      </c>
      <c r="CR6" s="96" t="inlineStr">
        <is>
          <t>THTJIX</t>
        </is>
      </c>
      <c r="CS6" s="96" t="inlineStr">
        <is>
          <t>KWE-KINTETSU WORLD EXPRESS (THAILAND) CO., LTD.</t>
        </is>
      </c>
      <c r="CT6" s="96" t="inlineStr">
        <is>
          <t>N</t>
        </is>
      </c>
      <c r="CU6" s="97" t="n"/>
      <c r="CV6" s="97" t="n"/>
      <c r="CW6" s="161" t="inlineStr">
        <is>
          <t>2026-10-24</t>
        </is>
      </c>
      <c r="CX6" s="97" t="inlineStr">
        <is>
          <t>853222</t>
        </is>
      </c>
      <c r="CY6" s="183" t="inlineStr">
        <is>
          <t>ROLL OVER FORM PREVIOU VSL CMA 2615N BY ALLOCATION TEAM MS.TARN APRPOVED COST IS UNDER HA DD.21/10</t>
        </is>
      </c>
    </row>
    <row r="7" ht="12" customHeight="1">
      <c r="A7" s="116" t="inlineStr">
        <is>
          <t>HASLS22260902604</t>
        </is>
      </c>
      <c r="B7" s="96" t="inlineStr">
        <is>
          <t>20'x1</t>
        </is>
      </c>
      <c r="C7" s="97" t="n">
        <v>1</v>
      </c>
      <c r="D7" s="97" t="n">
        <v>1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CHT</t>
        </is>
      </c>
      <c r="M7" s="96" t="inlineStr">
        <is>
          <t>KMGY</t>
        </is>
      </c>
      <c r="N7" s="96" t="inlineStr">
        <is>
          <t>2611N</t>
        </is>
      </c>
      <c r="O7" s="96" t="inlineStr">
        <is>
          <t>THLCH</t>
        </is>
      </c>
      <c r="P7" s="96" t="inlineStr">
        <is>
          <t>LCH01</t>
        </is>
      </c>
      <c r="Q7" s="96" t="inlineStr">
        <is>
          <t>IA</t>
        </is>
      </c>
      <c r="R7" s="161" t="inlineStr">
        <is>
          <t>2026-10-25</t>
        </is>
      </c>
      <c r="S7" s="96" t="inlineStr">
        <is>
          <t>HKHKG</t>
        </is>
      </c>
      <c r="T7" s="96" t="inlineStr">
        <is>
          <t>HKG03</t>
        </is>
      </c>
      <c r="U7" s="96" t="inlineStr">
        <is>
          <t>HKHKG</t>
        </is>
      </c>
      <c r="V7" s="161" t="inlineStr">
        <is>
          <t>2026-10-29</t>
        </is>
      </c>
      <c r="W7" s="96" t="inlineStr">
        <is>
          <t>IA</t>
        </is>
      </c>
      <c r="X7" s="97" t="n"/>
      <c r="Y7" s="97" t="n"/>
      <c r="Z7" s="97" t="n"/>
      <c r="AA7" s="96" t="inlineStr">
        <is>
          <t>DOUBLE A (1991) PUBLIC COMPANY LIMITED</t>
        </is>
      </c>
      <c r="AB7" s="96" t="inlineStr">
        <is>
          <t>DOUBLE A (1991) PUBLIC COMPANY LIMITED</t>
        </is>
      </c>
      <c r="AC7" s="163" t="n">
        <v>16632</v>
      </c>
      <c r="AD7" s="163" t="n">
        <v>18832</v>
      </c>
      <c r="AE7" s="96" t="inlineStr">
        <is>
          <t>OK</t>
        </is>
      </c>
      <c r="AF7" s="96" t="inlineStr">
        <is>
          <t>SR</t>
        </is>
      </c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TBKK19</t>
        </is>
      </c>
      <c r="AN7" s="96" t="inlineStr">
        <is>
          <t>Kanokporn</t>
        </is>
      </c>
      <c r="AO7" s="96" t="inlineStr">
        <is>
          <t>PAPER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n"/>
      <c r="AZ7" s="96" t="inlineStr">
        <is>
          <t>CY-RTN : 15-17/10/2026
REF : PI-HK-TH-DA-26100017
FRT $35, FREE TIME 14/14, DTHC(HKD)2000</t>
        </is>
      </c>
      <c r="BA7" s="97" t="n"/>
      <c r="BB7" s="96" t="inlineStr">
        <is>
          <t>P</t>
        </is>
      </c>
      <c r="BC7" s="161" t="inlineStr">
        <is>
          <t>2026-09-28</t>
        </is>
      </c>
      <c r="BD7" s="161" t="inlineStr">
        <is>
          <t>2026-10-19</t>
        </is>
      </c>
      <c r="BE7" s="96" t="inlineStr">
        <is>
          <t>Y</t>
        </is>
      </c>
      <c r="BF7" s="96" t="inlineStr">
        <is>
          <t>PAPER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LCHY5</t>
        </is>
      </c>
      <c r="BL7" s="161" t="inlineStr">
        <is>
          <t>2026-10-15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n"/>
      <c r="CB7" s="97" t="n"/>
      <c r="CC7" s="96" t="inlineStr">
        <is>
          <t>LCH01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kan_b@doublea1991.com</t>
        </is>
      </c>
      <c r="CJ7" s="96" t="inlineStr">
        <is>
          <t>DOUBLE A (1991) PUBLIC COMPANY</t>
        </is>
      </c>
      <c r="CK7" s="96" t="inlineStr">
        <is>
          <t>TO ORDER</t>
        </is>
      </c>
      <c r="CL7" s="96" t="inlineStr">
        <is>
          <t>DOUBLE A INTERNATIONAL TRADING</t>
        </is>
      </c>
      <c r="CM7" s="97" t="n"/>
      <c r="CN7" s="96" t="inlineStr">
        <is>
          <t>202610211700</t>
        </is>
      </c>
      <c r="CO7" s="96" t="inlineStr">
        <is>
          <t>202610222359</t>
        </is>
      </c>
      <c r="CP7" s="97" t="n"/>
      <c r="CQ7" s="96" t="inlineStr">
        <is>
          <t>S19-2312005</t>
        </is>
      </c>
      <c r="CR7" s="96" t="inlineStr">
        <is>
          <t>TH0382</t>
        </is>
      </c>
      <c r="CS7" s="96" t="inlineStr">
        <is>
          <t>DOUBLE A (1991) PUBLIC COMPANY LIMITED</t>
        </is>
      </c>
      <c r="CT7" s="96" t="inlineStr">
        <is>
          <t>N</t>
        </is>
      </c>
      <c r="CU7" s="97" t="n"/>
      <c r="CV7" s="97" t="n"/>
      <c r="CW7" s="161" t="inlineStr">
        <is>
          <t>2026-10-21</t>
        </is>
      </c>
      <c r="CX7" s="97" t="n"/>
      <c r="CY7" s="183" t="n"/>
    </row>
    <row r="8" ht="12" customHeight="1">
      <c r="A8" s="116" t="inlineStr">
        <is>
          <t>HASLS22260902742</t>
        </is>
      </c>
      <c r="B8" s="96" t="inlineStr">
        <is>
          <t>40Hx7</t>
        </is>
      </c>
      <c r="C8" s="97" t="n">
        <v>7</v>
      </c>
      <c r="D8" s="97" t="n">
        <v>7</v>
      </c>
      <c r="E8" s="97" t="n"/>
      <c r="F8" s="97" t="n">
        <v>0</v>
      </c>
      <c r="G8" s="97" t="n">
        <v>0</v>
      </c>
      <c r="H8" s="97" t="n">
        <v>0</v>
      </c>
      <c r="I8" s="97" t="n">
        <v>7</v>
      </c>
      <c r="J8" s="97" t="n">
        <v>14</v>
      </c>
      <c r="K8" s="96" t="inlineStr">
        <is>
          <t>N</t>
        </is>
      </c>
      <c r="L8" s="96" t="inlineStr">
        <is>
          <t>CHT</t>
        </is>
      </c>
      <c r="M8" s="96" t="inlineStr">
        <is>
          <t>KMGY</t>
        </is>
      </c>
      <c r="N8" s="96" t="inlineStr">
        <is>
          <t>2611N</t>
        </is>
      </c>
      <c r="O8" s="96" t="inlineStr">
        <is>
          <t>THLCH</t>
        </is>
      </c>
      <c r="P8" s="96" t="inlineStr">
        <is>
          <t>LCH01</t>
        </is>
      </c>
      <c r="Q8" s="96" t="inlineStr">
        <is>
          <t>IA</t>
        </is>
      </c>
      <c r="R8" s="161" t="inlineStr">
        <is>
          <t>2026-10-25</t>
        </is>
      </c>
      <c r="S8" s="96" t="inlineStr">
        <is>
          <t>HKHKG</t>
        </is>
      </c>
      <c r="T8" s="96" t="inlineStr">
        <is>
          <t>HKG03</t>
        </is>
      </c>
      <c r="U8" s="96" t="inlineStr">
        <is>
          <t>HKHKG</t>
        </is>
      </c>
      <c r="V8" s="161" t="inlineStr">
        <is>
          <t>2026-10-29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SEA &amp; AERO LOGISTICS CO., LTD.</t>
        </is>
      </c>
      <c r="AB8" s="96" t="inlineStr">
        <is>
          <t>GOTO (THAILAND) CO.,LTD.</t>
        </is>
      </c>
      <c r="AC8" s="163" t="n">
        <v>61640.6</v>
      </c>
      <c r="AD8" s="163" t="n">
        <v>89640.60000000001</v>
      </c>
      <c r="AE8" s="96" t="inlineStr">
        <is>
          <t>OK</t>
        </is>
      </c>
      <c r="AF8" s="96" t="inlineStr">
        <is>
          <t>SR</t>
        </is>
      </c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TBKK55</t>
        </is>
      </c>
      <c r="AN8" s="96" t="inlineStr">
        <is>
          <t>Vilaiporn</t>
        </is>
      </c>
      <c r="AO8" s="96" t="inlineStr">
        <is>
          <t xml:space="preserve">PIPE SUPPORT 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n"/>
      <c r="AZ8" s="96" t="inlineStr">
        <is>
          <t xml:space="preserve">Pickup : 2026-10-17, Return : 2026-10-18  // ADD COST NEW SEAL = 700 BAHT 
** PLEASE CHECK OPEN GATE BEFORE RETURN CONTAINER ** </t>
        </is>
      </c>
      <c r="BA8" s="97" t="inlineStr">
        <is>
          <t xml:space="preserve">ADD COST NEW SEAL = 700 BAHT // OLD SEAL : HAL507133 , HAL507178 // NEW SEAL :     DD 19/10 
PLS SEND DRAFT BL TO MAIL : NISAPORN@SEAAERO.CO.TH </t>
        </is>
      </c>
      <c r="BB8" s="96" t="inlineStr">
        <is>
          <t>P</t>
        </is>
      </c>
      <c r="BC8" s="161" t="inlineStr">
        <is>
          <t>2026-09-29</t>
        </is>
      </c>
      <c r="BD8" s="161" t="inlineStr">
        <is>
          <t>2026-10-24</t>
        </is>
      </c>
      <c r="BE8" s="96" t="inlineStr">
        <is>
          <t>Y</t>
        </is>
      </c>
      <c r="BF8" s="96" t="inlineStr">
        <is>
          <t xml:space="preserve">PIPE SUPPORT 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LCHY5</t>
        </is>
      </c>
      <c r="BL8" s="161" t="inlineStr">
        <is>
          <t>2026-10-17</t>
        </is>
      </c>
      <c r="BM8" s="127" t="n"/>
      <c r="BN8" s="127" t="n"/>
      <c r="BO8" s="127" t="n"/>
      <c r="BP8" s="127" t="n">
        <v>7</v>
      </c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LCH01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supanat@seaaero.co.th</t>
        </is>
      </c>
      <c r="CJ8" s="96" t="inlineStr">
        <is>
          <t>GOTO (THAILAND) CO., LTD.</t>
        </is>
      </c>
      <c r="CK8" s="96" t="inlineStr">
        <is>
          <t>HONG KONG GOTO BUTSURYU LTD.</t>
        </is>
      </c>
      <c r="CL8" s="96" t="inlineStr">
        <is>
          <t>HONG KONG GOTO BUTSURYU LTD.</t>
        </is>
      </c>
      <c r="CM8" s="97" t="n"/>
      <c r="CN8" s="96" t="inlineStr">
        <is>
          <t>202610211700</t>
        </is>
      </c>
      <c r="CO8" s="96" t="inlineStr">
        <is>
          <t>202610222359</t>
        </is>
      </c>
      <c r="CP8" s="97" t="n"/>
      <c r="CQ8" s="96" t="inlineStr">
        <is>
          <t>S19-2107015</t>
        </is>
      </c>
      <c r="CR8" s="96" t="inlineStr">
        <is>
          <t>TH00R6</t>
        </is>
      </c>
      <c r="CS8" s="96" t="inlineStr">
        <is>
          <t>SEA &amp; AERO LOGISTICS CO., LTD.</t>
        </is>
      </c>
      <c r="CT8" s="96" t="inlineStr">
        <is>
          <t>N</t>
        </is>
      </c>
      <c r="CU8" s="97" t="n"/>
      <c r="CV8" s="97" t="n"/>
      <c r="CW8" s="161" t="inlineStr">
        <is>
          <t>2026-10-21</t>
        </is>
      </c>
      <c r="CX8" s="97" t="n"/>
      <c r="CY8" s="183" t="n"/>
    </row>
    <row r="9" ht="12" customHeight="1">
      <c r="A9" s="116" t="inlineStr">
        <is>
          <t>HASLS22260902763</t>
        </is>
      </c>
      <c r="B9" s="96" t="inlineStr">
        <is>
          <t>20'x6</t>
        </is>
      </c>
      <c r="C9" s="97" t="n">
        <v>6</v>
      </c>
      <c r="D9" s="97" t="n">
        <v>6</v>
      </c>
      <c r="E9" s="97" t="n"/>
      <c r="F9" s="97" t="n">
        <v>0</v>
      </c>
      <c r="G9" s="97" t="n">
        <v>6</v>
      </c>
      <c r="H9" s="97" t="n">
        <v>0</v>
      </c>
      <c r="I9" s="97" t="n">
        <v>0</v>
      </c>
      <c r="J9" s="97" t="n">
        <v>6</v>
      </c>
      <c r="K9" s="96" t="inlineStr">
        <is>
          <t>N</t>
        </is>
      </c>
      <c r="L9" s="96" t="inlineStr">
        <is>
          <t>CHT</t>
        </is>
      </c>
      <c r="M9" s="96" t="inlineStr">
        <is>
          <t>KMGY</t>
        </is>
      </c>
      <c r="N9" s="96" t="inlineStr">
        <is>
          <t>2611N</t>
        </is>
      </c>
      <c r="O9" s="96" t="inlineStr">
        <is>
          <t>THLCH</t>
        </is>
      </c>
      <c r="P9" s="96" t="inlineStr">
        <is>
          <t>LCH01</t>
        </is>
      </c>
      <c r="Q9" s="96" t="inlineStr">
        <is>
          <t>IA</t>
        </is>
      </c>
      <c r="R9" s="161" t="inlineStr">
        <is>
          <t>2026-10-25</t>
        </is>
      </c>
      <c r="S9" s="96" t="inlineStr">
        <is>
          <t>HKHKG</t>
        </is>
      </c>
      <c r="T9" s="96" t="inlineStr">
        <is>
          <t>HKG03</t>
        </is>
      </c>
      <c r="U9" s="96" t="inlineStr">
        <is>
          <t>HKHKG</t>
        </is>
      </c>
      <c r="V9" s="161" t="inlineStr">
        <is>
          <t>2026-10-29</t>
        </is>
      </c>
      <c r="W9" s="96" t="inlineStr">
        <is>
          <t>IA</t>
        </is>
      </c>
      <c r="X9" s="97" t="n"/>
      <c r="Y9" s="97" t="n"/>
      <c r="Z9" s="97" t="n"/>
      <c r="AA9" s="96" t="inlineStr">
        <is>
          <t>HAST LOGISTICS CO., LTD.</t>
        </is>
      </c>
      <c r="AB9" s="96" t="inlineStr">
        <is>
          <t>THE THAI SUGAR TRADING CORPORATION LTD.</t>
        </is>
      </c>
      <c r="AC9" s="163" t="n">
        <v>120336</v>
      </c>
      <c r="AD9" s="163" t="n">
        <v>133536</v>
      </c>
      <c r="AE9" s="96" t="inlineStr">
        <is>
          <t>OK</t>
        </is>
      </c>
      <c r="AF9" s="96" t="inlineStr">
        <is>
          <t>SR</t>
        </is>
      </c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TBKK19</t>
        </is>
      </c>
      <c r="AN9" s="96" t="inlineStr">
        <is>
          <t>Kanokporn</t>
        </is>
      </c>
      <c r="AO9" s="96" t="inlineStr">
        <is>
          <t>SUGAR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>Pickup : 2026-10-19, Return : 2026-10-20</t>
        </is>
      </c>
      <c r="BA9" s="97" t="inlineStr">
        <is>
          <t>GOOD &amp; CLEAN CNTR / Upgrade CNTR</t>
        </is>
      </c>
      <c r="BB9" s="96" t="inlineStr">
        <is>
          <t>P</t>
        </is>
      </c>
      <c r="BC9" s="161" t="inlineStr">
        <is>
          <t>2026-09-30</t>
        </is>
      </c>
      <c r="BD9" s="161" t="inlineStr">
        <is>
          <t>2026-10-15</t>
        </is>
      </c>
      <c r="BE9" s="96" t="inlineStr">
        <is>
          <t>Y</t>
        </is>
      </c>
      <c r="BF9" s="96" t="inlineStr">
        <is>
          <t>Sugar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LCHY5</t>
        </is>
      </c>
      <c r="BL9" s="161" t="inlineStr">
        <is>
          <t>2026-10-19</t>
        </is>
      </c>
      <c r="BM9" s="127" t="n"/>
      <c r="BN9" s="127" t="n">
        <v>6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LCH01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cs@hast.co.th</t>
        </is>
      </c>
      <c r="CJ9" s="96" t="inlineStr">
        <is>
          <t>THE THAI SUGAR TRADING CORPORATION</t>
        </is>
      </c>
      <c r="CK9" s="96" t="inlineStr">
        <is>
          <t>TAIKOO SUGAR LIMITED</t>
        </is>
      </c>
      <c r="CL9" s="96" t="inlineStr">
        <is>
          <t>TAIKOO SUGAR LIMITED</t>
        </is>
      </c>
      <c r="CM9" s="97" t="n"/>
      <c r="CN9" s="96" t="inlineStr">
        <is>
          <t>202610211700</t>
        </is>
      </c>
      <c r="CO9" s="96" t="inlineStr">
        <is>
          <t>202610222359</t>
        </is>
      </c>
      <c r="CP9" s="97" t="n"/>
      <c r="CQ9" s="96" t="inlineStr">
        <is>
          <t>BKK15A0252-1</t>
        </is>
      </c>
      <c r="CR9" s="96" t="inlineStr">
        <is>
          <t>THTHBP</t>
        </is>
      </c>
      <c r="CS9" s="96" t="inlineStr">
        <is>
          <t>HAST LOGISTICS CO., LTD.</t>
        </is>
      </c>
      <c r="CT9" s="96" t="inlineStr">
        <is>
          <t>N</t>
        </is>
      </c>
      <c r="CU9" s="97" t="n"/>
      <c r="CV9" s="97" t="n"/>
      <c r="CW9" s="161" t="inlineStr">
        <is>
          <t>2026-10-24</t>
        </is>
      </c>
      <c r="CX9" s="97" t="n"/>
      <c r="CY9" s="183" t="n"/>
    </row>
    <row r="10" ht="12" customHeight="1">
      <c r="A10" s="116" t="inlineStr">
        <is>
          <t>HASLS22261000031</t>
        </is>
      </c>
      <c r="B10" s="96" t="inlineStr">
        <is>
          <t>40Hx1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0</v>
      </c>
      <c r="H10" s="97" t="n">
        <v>0</v>
      </c>
      <c r="I10" s="97" t="n">
        <v>1</v>
      </c>
      <c r="J10" s="97" t="n">
        <v>2</v>
      </c>
      <c r="K10" s="96" t="inlineStr">
        <is>
          <t>N</t>
        </is>
      </c>
      <c r="L10" s="96" t="inlineStr">
        <is>
          <t>CHT</t>
        </is>
      </c>
      <c r="M10" s="96" t="inlineStr">
        <is>
          <t>KMGY</t>
        </is>
      </c>
      <c r="N10" s="96" t="inlineStr">
        <is>
          <t>2611N</t>
        </is>
      </c>
      <c r="O10" s="96" t="inlineStr">
        <is>
          <t>THLCH</t>
        </is>
      </c>
      <c r="P10" s="96" t="inlineStr">
        <is>
          <t>LCH01</t>
        </is>
      </c>
      <c r="Q10" s="96" t="inlineStr">
        <is>
          <t>IA</t>
        </is>
      </c>
      <c r="R10" s="161" t="inlineStr">
        <is>
          <t>2026-10-25</t>
        </is>
      </c>
      <c r="S10" s="96" t="inlineStr">
        <is>
          <t>KRINC</t>
        </is>
      </c>
      <c r="T10" s="96" t="inlineStr">
        <is>
          <t>INC03</t>
        </is>
      </c>
      <c r="U10" s="96" t="inlineStr">
        <is>
          <t>KRINC</t>
        </is>
      </c>
      <c r="V10" s="161" t="inlineStr">
        <is>
          <t>2026-11-03</t>
        </is>
      </c>
      <c r="W10" s="96" t="inlineStr">
        <is>
          <t>KR</t>
        </is>
      </c>
      <c r="X10" s="97" t="n"/>
      <c r="Y10" s="97" t="n"/>
      <c r="Z10" s="97" t="n"/>
      <c r="AA10" s="96" t="inlineStr">
        <is>
          <t>KWE-KINTETSU WORLD EXPRESS (THAILAND) CO., LTD.</t>
        </is>
      </c>
      <c r="AB10" s="96" t="inlineStr">
        <is>
          <t>ASIAN HONDA MOTOR CO., LTD.</t>
        </is>
      </c>
      <c r="AC10" s="163" t="n">
        <v>2858.924</v>
      </c>
      <c r="AD10" s="163" t="n">
        <v>6858.924</v>
      </c>
      <c r="AE10" s="96" t="inlineStr">
        <is>
          <t>OK</t>
        </is>
      </c>
      <c r="AF10" s="96" t="n"/>
      <c r="AG10" s="97" t="n"/>
      <c r="AH10" s="96" t="inlineStr">
        <is>
          <t>CHK</t>
        </is>
      </c>
      <c r="AI10" s="97" t="n"/>
      <c r="AJ10" s="97" t="n"/>
      <c r="AK10" s="97" t="n"/>
      <c r="AL10" s="97" t="n"/>
      <c r="AM10" s="96" t="inlineStr">
        <is>
          <t>TBKK97</t>
        </is>
      </c>
      <c r="AN10" s="96" t="inlineStr">
        <is>
          <t>Arunphat W. (Aiw)</t>
        </is>
      </c>
      <c r="AO10" s="96" t="inlineStr">
        <is>
          <t>SPARE PARTS FOR HONDA MOTORCYCLES</t>
        </is>
      </c>
      <c r="AP10" s="96" t="inlineStr">
        <is>
          <t>Normal</t>
        </is>
      </c>
      <c r="AQ10" s="97" t="inlineStr">
        <is>
          <t>2800/8--</t>
        </is>
      </c>
      <c r="AR10" s="97" t="inlineStr">
        <is>
          <t xml:space="preserve">45GPx1 </t>
        </is>
      </c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n"/>
      <c r="AZ10" s="96" t="inlineStr">
        <is>
          <t>**APPROVAL BY MR.JEONG-YONG UM DD.14/10/2026** DG45GPx1 (CLS 8 / UN 2800) 
Pickup : 2026-10-20, Return : 2026-10-21</t>
        </is>
      </c>
      <c r="BA10" s="97" t="inlineStr">
        <is>
          <t>FM LCHY5
FM PGPO 2612N 08/10</t>
        </is>
      </c>
      <c r="BB10" s="96" t="inlineStr">
        <is>
          <t>P</t>
        </is>
      </c>
      <c r="BC10" s="161" t="inlineStr">
        <is>
          <t>2026-10-01</t>
        </is>
      </c>
      <c r="BD10" s="161" t="inlineStr">
        <is>
          <t>2026-10-22</t>
        </is>
      </c>
      <c r="BE10" s="96" t="inlineStr">
        <is>
          <t>Y</t>
        </is>
      </c>
      <c r="BF10" s="96" t="inlineStr">
        <is>
          <t>SPARE PARTS FOR HONDA MOTORCYCLES,SPARE PARTS FOR HONDA AUTOMOBILES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LCH28</t>
        </is>
      </c>
      <c r="BL10" s="161" t="inlineStr">
        <is>
          <t>2026-10-20</t>
        </is>
      </c>
      <c r="BM10" s="127" t="n"/>
      <c r="BN10" s="127" t="n"/>
      <c r="BO10" s="127" t="n"/>
      <c r="BP10" s="127" t="n">
        <v>1</v>
      </c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LCH01</t>
        </is>
      </c>
      <c r="CD10" s="97" t="n"/>
      <c r="CE10" s="97" t="n"/>
      <c r="CF10" s="96" t="inlineStr">
        <is>
          <t>8 Class x 2 Teu (Approval),</t>
        </is>
      </c>
      <c r="CG10" s="96" t="inlineStr">
        <is>
          <t>CY/CY</t>
        </is>
      </c>
      <c r="CH10" s="97" t="n"/>
      <c r="CI10" s="96" t="inlineStr">
        <is>
          <t>oceexp.kweth@kwe.com;ocersv.kweth@kwe.com;prawpailin.fakkaew@kwe.com;panuwat.chaisilboon@kwe.com</t>
        </is>
      </c>
      <c r="CJ10" s="96" t="inlineStr">
        <is>
          <t>KWE-KINTETSU WORLD EXPRESS</t>
        </is>
      </c>
      <c r="CK10" s="96" t="inlineStr">
        <is>
          <t>KINTETSU WORLD EXPRESS(KOREA)INC</t>
        </is>
      </c>
      <c r="CL10" s="96" t="inlineStr">
        <is>
          <t>KINTETSU WORLD EXPRESS(KOREA)INC</t>
        </is>
      </c>
      <c r="CM10" s="97" t="n"/>
      <c r="CN10" s="96" t="inlineStr">
        <is>
          <t>202610211700</t>
        </is>
      </c>
      <c r="CO10" s="96" t="inlineStr">
        <is>
          <t>202610222359</t>
        </is>
      </c>
      <c r="CP10" s="97" t="inlineStr">
        <is>
          <t>45GP x1: DG(UNNo.:2800/ Class:8)</t>
        </is>
      </c>
      <c r="CQ10" s="96" t="inlineStr">
        <is>
          <t>S22-2506019</t>
        </is>
      </c>
      <c r="CR10" s="96" t="inlineStr">
        <is>
          <t>THTJIX</t>
        </is>
      </c>
      <c r="CS10" s="96" t="inlineStr">
        <is>
          <t>KWE-KINTETSU WORLD EXPRESS (THAILAND) CO., LTD.</t>
        </is>
      </c>
      <c r="CT10" s="96" t="inlineStr">
        <is>
          <t>N</t>
        </is>
      </c>
      <c r="CU10" s="97" t="n"/>
      <c r="CV10" s="97" t="n"/>
      <c r="CW10" s="161" t="inlineStr">
        <is>
          <t>2026-10-21</t>
        </is>
      </c>
      <c r="CX10" s="97" t="n"/>
      <c r="CY10" s="183" t="n"/>
    </row>
    <row r="11" ht="12" customHeight="1">
      <c r="A11" s="116" t="inlineStr">
        <is>
          <t>HASLS22261000278</t>
        </is>
      </c>
      <c r="B11" s="96" t="inlineStr">
        <is>
          <t>20'x2</t>
        </is>
      </c>
      <c r="C11" s="97" t="n">
        <v>2</v>
      </c>
      <c r="D11" s="97" t="n">
        <v>2</v>
      </c>
      <c r="E11" s="97" t="n"/>
      <c r="F11" s="97" t="n">
        <v>0</v>
      </c>
      <c r="G11" s="97" t="n">
        <v>2</v>
      </c>
      <c r="H11" s="97" t="n">
        <v>0</v>
      </c>
      <c r="I11" s="97" t="n">
        <v>0</v>
      </c>
      <c r="J11" s="97" t="n">
        <v>2</v>
      </c>
      <c r="K11" s="96" t="inlineStr">
        <is>
          <t>N</t>
        </is>
      </c>
      <c r="L11" s="96" t="inlineStr">
        <is>
          <t>CHT</t>
        </is>
      </c>
      <c r="M11" s="96" t="inlineStr">
        <is>
          <t>KMGY</t>
        </is>
      </c>
      <c r="N11" s="96" t="inlineStr">
        <is>
          <t>2611N</t>
        </is>
      </c>
      <c r="O11" s="96" t="inlineStr">
        <is>
          <t>THLCH</t>
        </is>
      </c>
      <c r="P11" s="96" t="inlineStr">
        <is>
          <t>LCH01</t>
        </is>
      </c>
      <c r="Q11" s="96" t="inlineStr">
        <is>
          <t>IA</t>
        </is>
      </c>
      <c r="R11" s="161" t="inlineStr">
        <is>
          <t>2026-10-25</t>
        </is>
      </c>
      <c r="S11" s="96" t="inlineStr">
        <is>
          <t>HKHKG</t>
        </is>
      </c>
      <c r="T11" s="96" t="inlineStr">
        <is>
          <t>HKG03</t>
        </is>
      </c>
      <c r="U11" s="96" t="inlineStr">
        <is>
          <t>HKHKG</t>
        </is>
      </c>
      <c r="V11" s="161" t="inlineStr">
        <is>
          <t>2026-10-29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DOUBLE A (1991) PUBLIC COMPANY LIMITED</t>
        </is>
      </c>
      <c r="AB11" s="96" t="inlineStr">
        <is>
          <t>DOUBLE A (1991) PUBLIC COMPANY LIMITED</t>
        </is>
      </c>
      <c r="AC11" s="163" t="n">
        <v>33637</v>
      </c>
      <c r="AD11" s="163" t="n">
        <v>38037</v>
      </c>
      <c r="AE11" s="96" t="inlineStr">
        <is>
          <t>OK</t>
        </is>
      </c>
      <c r="AF11" s="96" t="n"/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TBKK19</t>
        </is>
      </c>
      <c r="AN11" s="96" t="inlineStr">
        <is>
          <t>Kanokporn</t>
        </is>
      </c>
      <c r="AO11" s="96" t="inlineStr">
        <is>
          <t>PHOTOCOPY PAPER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 xml:space="preserve">CY-RTN : 15-17/10/2026 
REF : PI-HK-TH-DA-26100021
FRT $ 35, FREE TIME 14/14, DTHC(HKD) 2000
</t>
        </is>
      </c>
      <c r="BA11" s="97" t="n"/>
      <c r="BB11" s="96" t="inlineStr">
        <is>
          <t>P</t>
        </is>
      </c>
      <c r="BC11" s="161" t="inlineStr">
        <is>
          <t>2026-10-05</t>
        </is>
      </c>
      <c r="BD11" s="161" t="inlineStr">
        <is>
          <t>2026-10-22</t>
        </is>
      </c>
      <c r="BE11" s="96" t="inlineStr">
        <is>
          <t>Y</t>
        </is>
      </c>
      <c r="BF11" s="96" t="inlineStr">
        <is>
          <t>PAPER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LCHY5</t>
        </is>
      </c>
      <c r="BL11" s="161" t="inlineStr">
        <is>
          <t>2026-10-15</t>
        </is>
      </c>
      <c r="BM11" s="127" t="n"/>
      <c r="BN11" s="127" t="n">
        <v>2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n"/>
      <c r="CB11" s="97" t="n"/>
      <c r="CC11" s="96" t="inlineStr">
        <is>
          <t>LCH01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kan_b@doublea1991.com</t>
        </is>
      </c>
      <c r="CJ11" s="96" t="inlineStr">
        <is>
          <t>DOUBLE A (1991) PUBLIC COMPANY</t>
        </is>
      </c>
      <c r="CK11" s="96" t="inlineStr">
        <is>
          <t>TO ORDER</t>
        </is>
      </c>
      <c r="CL11" s="96" t="inlineStr">
        <is>
          <t>DOUBLE A INTERNATIONAL TRADING</t>
        </is>
      </c>
      <c r="CM11" s="97" t="n"/>
      <c r="CN11" s="96" t="inlineStr">
        <is>
          <t>202610211700</t>
        </is>
      </c>
      <c r="CO11" s="96" t="inlineStr">
        <is>
          <t>202610222359</t>
        </is>
      </c>
      <c r="CP11" s="97" t="n"/>
      <c r="CQ11" s="96" t="inlineStr">
        <is>
          <t>S19-2312005</t>
        </is>
      </c>
      <c r="CR11" s="96" t="inlineStr">
        <is>
          <t>TH0382</t>
        </is>
      </c>
      <c r="CS11" s="96" t="inlineStr">
        <is>
          <t>DOUBLE A (1991) PUBLIC COMPANY LIMITED</t>
        </is>
      </c>
      <c r="CT11" s="96" t="inlineStr">
        <is>
          <t>N</t>
        </is>
      </c>
      <c r="CU11" s="97" t="n"/>
      <c r="CV11" s="97" t="n"/>
      <c r="CW11" s="161" t="inlineStr">
        <is>
          <t>2026-10-21</t>
        </is>
      </c>
      <c r="CX11" s="97" t="n"/>
      <c r="CY11" s="183" t="n"/>
    </row>
    <row r="12" ht="12" customHeight="1">
      <c r="A12" s="116" t="inlineStr">
        <is>
          <t>HASLS22261000562</t>
        </is>
      </c>
      <c r="B12" s="96" t="inlineStr">
        <is>
          <t>20'x10</t>
        </is>
      </c>
      <c r="C12" s="97" t="n">
        <v>0</v>
      </c>
      <c r="D12" s="97" t="n">
        <v>0</v>
      </c>
      <c r="E12" s="97" t="n"/>
      <c r="F12" s="97" t="n">
        <v>0</v>
      </c>
      <c r="G12" s="97" t="n">
        <v>10</v>
      </c>
      <c r="H12" s="97" t="n">
        <v>0</v>
      </c>
      <c r="I12" s="97" t="n">
        <v>0</v>
      </c>
      <c r="J12" s="97" t="n">
        <v>10</v>
      </c>
      <c r="K12" s="96" t="inlineStr">
        <is>
          <t>SOC</t>
        </is>
      </c>
      <c r="L12" s="96" t="inlineStr">
        <is>
          <t>CHT</t>
        </is>
      </c>
      <c r="M12" s="96" t="inlineStr">
        <is>
          <t>KMGY</t>
        </is>
      </c>
      <c r="N12" s="96" t="inlineStr">
        <is>
          <t>2611N</t>
        </is>
      </c>
      <c r="O12" s="96" t="inlineStr">
        <is>
          <t>THLCH</t>
        </is>
      </c>
      <c r="P12" s="96" t="inlineStr">
        <is>
          <t>LCH01</t>
        </is>
      </c>
      <c r="Q12" s="96" t="inlineStr">
        <is>
          <t>IA</t>
        </is>
      </c>
      <c r="R12" s="161" t="inlineStr">
        <is>
          <t>2026-10-25</t>
        </is>
      </c>
      <c r="S12" s="96" t="inlineStr">
        <is>
          <t>HKHKG</t>
        </is>
      </c>
      <c r="T12" s="96" t="inlineStr">
        <is>
          <t>HKG03</t>
        </is>
      </c>
      <c r="U12" s="96" t="inlineStr">
        <is>
          <t>HKHKG</t>
        </is>
      </c>
      <c r="V12" s="161" t="inlineStr">
        <is>
          <t>2026-10-29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SWIRE SHIPPING PTE LTD C/O BEN LINE AGENCIES (THAILAND) LTD.</t>
        </is>
      </c>
      <c r="AB12" s="96" t="inlineStr">
        <is>
          <t>SWIRE SHIPPING PTE LTD C/O BEN LINE AGENCIES (THAILAND) LTD.</t>
        </is>
      </c>
      <c r="AC12" s="163" t="n">
        <v>188004</v>
      </c>
      <c r="AD12" s="163" t="n">
        <v>210004</v>
      </c>
      <c r="AE12" s="96" t="inlineStr">
        <is>
          <t>OK</t>
        </is>
      </c>
      <c r="AF12" s="96" t="inlineStr">
        <is>
          <t>SR</t>
        </is>
      </c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TBKK28</t>
        </is>
      </c>
      <c r="AN12" s="96" t="inlineStr">
        <is>
          <t>Nustsireerach</t>
        </is>
      </c>
      <c r="AO12" s="96" t="inlineStr">
        <is>
          <t>POLYETHYLENE RESIN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n"/>
      <c r="AZ12" s="96" t="inlineStr">
        <is>
          <t xml:space="preserve">Pickup : 2026-10-19, Return : 2026-10-19 SOC 
CUSTOMS FORMALITY (SOC) BY SHPR TAX ID : 0-9930-00089-42-1  
 </t>
        </is>
      </c>
      <c r="BA12" s="97" t="inlineStr">
        <is>
          <t xml:space="preserve">CUSTOMS FORMALITY (SOC) BY SHPR TAX ID : 0-9930-00089-42-1 Swire Shipping Pte Ltd C/O Ben Line Agencies (Thailand) Ltd.Tax ID 0-9930-00089-42-1   </t>
        </is>
      </c>
      <c r="BB12" s="96" t="inlineStr">
        <is>
          <t>P</t>
        </is>
      </c>
      <c r="BC12" s="161" t="inlineStr">
        <is>
          <t>2026-10-07</t>
        </is>
      </c>
      <c r="BD12" s="161" t="inlineStr">
        <is>
          <t>2026-10-21</t>
        </is>
      </c>
      <c r="BE12" s="96" t="inlineStr">
        <is>
          <t>Y</t>
        </is>
      </c>
      <c r="BF12" s="96" t="inlineStr">
        <is>
          <t>RESIN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n"/>
      <c r="BL12" s="161" t="inlineStr">
        <is>
          <t>2026-10-19</t>
        </is>
      </c>
      <c r="BM12" s="127" t="n"/>
      <c r="BN12" s="127" t="n">
        <v>10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inlineStr">
        <is>
          <t>Y</t>
        </is>
      </c>
      <c r="CB12" s="97" t="n"/>
      <c r="CC12" s="96" t="inlineStr">
        <is>
          <t>LCH01</t>
        </is>
      </c>
      <c r="CD12" s="97" t="n"/>
      <c r="CE12" s="97" t="n"/>
      <c r="CF12" s="96" t="inlineStr">
        <is>
          <t>0 Teu</t>
        </is>
      </c>
      <c r="CG12" s="96" t="inlineStr">
        <is>
          <t>TACKLE/FO</t>
        </is>
      </c>
      <c r="CH12" s="97" t="n"/>
      <c r="CI12" s="96" t="inlineStr">
        <is>
          <t>csd1.th@benline.com</t>
        </is>
      </c>
      <c r="CJ12" s="96" t="inlineStr">
        <is>
          <t>SWIRE SHIPPING PTE. LTD.</t>
        </is>
      </c>
      <c r="CK12" s="96" t="inlineStr">
        <is>
          <t>EVER HARVEST SHIPPING LTD.</t>
        </is>
      </c>
      <c r="CL12" s="96" t="inlineStr">
        <is>
          <t>EVER HARVEST SHIPPING LTD.</t>
        </is>
      </c>
      <c r="CM12" s="97" t="n"/>
      <c r="CN12" s="96" t="inlineStr">
        <is>
          <t>202610211700</t>
        </is>
      </c>
      <c r="CO12" s="96" t="inlineStr">
        <is>
          <t>202610222359</t>
        </is>
      </c>
      <c r="CP12" s="97" t="n"/>
      <c r="CQ12" s="96" t="inlineStr">
        <is>
          <t>S22-2507020</t>
        </is>
      </c>
      <c r="CR12" s="96" t="inlineStr">
        <is>
          <t>THTVIE</t>
        </is>
      </c>
      <c r="CS12" s="96" t="inlineStr">
        <is>
          <t>SWIRE SHIPPING PTE LTD C/O BEN LINE AGENCIES (THAILAND) LTD.</t>
        </is>
      </c>
      <c r="CT12" s="96" t="inlineStr">
        <is>
          <t>N</t>
        </is>
      </c>
      <c r="CU12" s="97" t="n"/>
      <c r="CV12" s="97" t="n"/>
      <c r="CW12" s="161" t="inlineStr">
        <is>
          <t>2026-10-21</t>
        </is>
      </c>
      <c r="CX12" s="97" t="n"/>
      <c r="CY12" s="183" t="n"/>
    </row>
    <row r="13" ht="12" customHeight="1">
      <c r="A13" s="116" t="inlineStr">
        <is>
          <t>HASLS22261000792</t>
        </is>
      </c>
      <c r="B13" s="96" t="inlineStr">
        <is>
          <t>20'x2</t>
        </is>
      </c>
      <c r="C13" s="97" t="n">
        <v>2</v>
      </c>
      <c r="D13" s="97" t="n">
        <v>2</v>
      </c>
      <c r="E13" s="97" t="n"/>
      <c r="F13" s="97" t="n">
        <v>0</v>
      </c>
      <c r="G13" s="97" t="n">
        <v>2</v>
      </c>
      <c r="H13" s="97" t="n">
        <v>0</v>
      </c>
      <c r="I13" s="97" t="n">
        <v>0</v>
      </c>
      <c r="J13" s="97" t="n">
        <v>2</v>
      </c>
      <c r="K13" s="96" t="inlineStr">
        <is>
          <t>N</t>
        </is>
      </c>
      <c r="L13" s="96" t="inlineStr">
        <is>
          <t>CHT</t>
        </is>
      </c>
      <c r="M13" s="96" t="inlineStr">
        <is>
          <t>KMGY</t>
        </is>
      </c>
      <c r="N13" s="96" t="inlineStr">
        <is>
          <t>2611N</t>
        </is>
      </c>
      <c r="O13" s="96" t="inlineStr">
        <is>
          <t>THLCH</t>
        </is>
      </c>
      <c r="P13" s="96" t="inlineStr">
        <is>
          <t>LCH01</t>
        </is>
      </c>
      <c r="Q13" s="96" t="inlineStr">
        <is>
          <t>IA</t>
        </is>
      </c>
      <c r="R13" s="161" t="inlineStr">
        <is>
          <t>2026-10-25</t>
        </is>
      </c>
      <c r="S13" s="96" t="inlineStr">
        <is>
          <t>HKHKG</t>
        </is>
      </c>
      <c r="T13" s="96" t="inlineStr">
        <is>
          <t>HKG03</t>
        </is>
      </c>
      <c r="U13" s="96" t="inlineStr">
        <is>
          <t>HKHKG</t>
        </is>
      </c>
      <c r="V13" s="161" t="inlineStr">
        <is>
          <t>2026-10-29</t>
        </is>
      </c>
      <c r="W13" s="96" t="inlineStr">
        <is>
          <t>IA</t>
        </is>
      </c>
      <c r="X13" s="97" t="n"/>
      <c r="Y13" s="97" t="n"/>
      <c r="Z13" s="97" t="n"/>
      <c r="AA13" s="96" t="inlineStr">
        <is>
          <t>IRPC PUBLIC COMPANY LIMITED</t>
        </is>
      </c>
      <c r="AB13" s="96" t="inlineStr">
        <is>
          <t>IRPC PUBLIC COMPANY LIMITED</t>
        </is>
      </c>
      <c r="AC13" s="163" t="n">
        <v>40320</v>
      </c>
      <c r="AD13" s="163" t="n">
        <v>44720</v>
      </c>
      <c r="AE13" s="96" t="inlineStr">
        <is>
          <t>OK</t>
        </is>
      </c>
      <c r="AF13" s="96" t="inlineStr">
        <is>
          <t>SR</t>
        </is>
      </c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TBKK13</t>
        </is>
      </c>
      <c r="AN13" s="96" t="inlineStr">
        <is>
          <t>Dharaporn</t>
        </is>
      </c>
      <c r="AO13" s="96" t="inlineStr">
        <is>
          <t>RESIN OF GP150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n"/>
      <c r="AZ13" s="96" t="inlineStr">
        <is>
          <t xml:space="preserve">CY-RTN 14-15/10/26 (PI26050167-36)
PLS CHECK OPEN GATE BEFORE RETURN CTNR
</t>
        </is>
      </c>
      <c r="BA13" s="97" t="n"/>
      <c r="BB13" s="96" t="inlineStr">
        <is>
          <t>P</t>
        </is>
      </c>
      <c r="BC13" s="161" t="inlineStr">
        <is>
          <t>2026-10-09</t>
        </is>
      </c>
      <c r="BD13" s="161" t="inlineStr">
        <is>
          <t>2026-10-19</t>
        </is>
      </c>
      <c r="BE13" s="96" t="inlineStr">
        <is>
          <t>Y</t>
        </is>
      </c>
      <c r="BF13" s="96" t="inlineStr">
        <is>
          <t>RESIN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LCHY5</t>
        </is>
      </c>
      <c r="BL13" s="161" t="inlineStr">
        <is>
          <t>2026-10-14</t>
        </is>
      </c>
      <c r="BM13" s="127" t="n"/>
      <c r="BN13" s="127" t="n">
        <v>2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n"/>
      <c r="CB13" s="97" t="n"/>
      <c r="CC13" s="96" t="inlineStr">
        <is>
          <t>LCH01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kamonrat.bo@irpc.co.th</t>
        </is>
      </c>
      <c r="CJ13" s="96" t="inlineStr">
        <is>
          <t>IRPC PUBLIC COMPANY LIMITED.</t>
        </is>
      </c>
      <c r="CK13" s="96" t="inlineStr">
        <is>
          <t>TO ORDER OF SOLID GOLD INDUSTRIES</t>
        </is>
      </c>
      <c r="CL13" s="96" t="inlineStr">
        <is>
          <t>SOLID GOLD INDUSTRIES (H.K.) LTD</t>
        </is>
      </c>
      <c r="CM13" s="97" t="n"/>
      <c r="CN13" s="96" t="inlineStr">
        <is>
          <t>202610211700</t>
        </is>
      </c>
      <c r="CO13" s="96" t="inlineStr">
        <is>
          <t>202610222359</t>
        </is>
      </c>
      <c r="CP13" s="97" t="n"/>
      <c r="CQ13" s="96" t="inlineStr">
        <is>
          <t>S22-2603014</t>
        </is>
      </c>
      <c r="CR13" s="96" t="inlineStr">
        <is>
          <t>BB0062</t>
        </is>
      </c>
      <c r="CS13" s="96" t="inlineStr">
        <is>
          <t>IRPC PUBLIC COMPANY LIMITED</t>
        </is>
      </c>
      <c r="CT13" s="96" t="inlineStr">
        <is>
          <t>N</t>
        </is>
      </c>
      <c r="CU13" s="97" t="n"/>
      <c r="CV13" s="97" t="n"/>
      <c r="CW13" s="161" t="inlineStr">
        <is>
          <t>2026-10-21</t>
        </is>
      </c>
      <c r="CX13" s="97" t="n"/>
      <c r="CY13" s="183" t="n"/>
    </row>
    <row r="14" ht="12" customHeight="1">
      <c r="A14" s="116" t="inlineStr">
        <is>
          <t>HASLS22261000794</t>
        </is>
      </c>
      <c r="B14" s="96" t="inlineStr">
        <is>
          <t>20'x4</t>
        </is>
      </c>
      <c r="C14" s="97" t="n">
        <v>4</v>
      </c>
      <c r="D14" s="97" t="n">
        <v>4</v>
      </c>
      <c r="E14" s="97" t="n"/>
      <c r="F14" s="97" t="n">
        <v>0</v>
      </c>
      <c r="G14" s="97" t="n">
        <v>4</v>
      </c>
      <c r="H14" s="97" t="n">
        <v>0</v>
      </c>
      <c r="I14" s="97" t="n">
        <v>0</v>
      </c>
      <c r="J14" s="97" t="n">
        <v>4</v>
      </c>
      <c r="K14" s="96" t="inlineStr">
        <is>
          <t>N</t>
        </is>
      </c>
      <c r="L14" s="96" t="inlineStr">
        <is>
          <t>CHT</t>
        </is>
      </c>
      <c r="M14" s="96" t="inlineStr">
        <is>
          <t>KMGY</t>
        </is>
      </c>
      <c r="N14" s="96" t="inlineStr">
        <is>
          <t>2611N</t>
        </is>
      </c>
      <c r="O14" s="96" t="inlineStr">
        <is>
          <t>THLCH</t>
        </is>
      </c>
      <c r="P14" s="96" t="inlineStr">
        <is>
          <t>LCH01</t>
        </is>
      </c>
      <c r="Q14" s="96" t="inlineStr">
        <is>
          <t>IA</t>
        </is>
      </c>
      <c r="R14" s="161" t="inlineStr">
        <is>
          <t>2026-10-25</t>
        </is>
      </c>
      <c r="S14" s="96" t="inlineStr">
        <is>
          <t>HKHKG</t>
        </is>
      </c>
      <c r="T14" s="96" t="inlineStr">
        <is>
          <t>HKG03</t>
        </is>
      </c>
      <c r="U14" s="96" t="inlineStr">
        <is>
          <t>HKHKG</t>
        </is>
      </c>
      <c r="V14" s="161" t="inlineStr">
        <is>
          <t>2026-10-29</t>
        </is>
      </c>
      <c r="W14" s="96" t="inlineStr">
        <is>
          <t>IA</t>
        </is>
      </c>
      <c r="X14" s="97" t="n"/>
      <c r="Y14" s="97" t="n"/>
      <c r="Z14" s="97" t="n"/>
      <c r="AA14" s="96" t="inlineStr">
        <is>
          <t>IRPC PUBLIC COMPANY LIMITED</t>
        </is>
      </c>
      <c r="AB14" s="96" t="inlineStr">
        <is>
          <t>IRPC PUBLIC COMPANY LIMITED</t>
        </is>
      </c>
      <c r="AC14" s="163" t="n">
        <v>80640</v>
      </c>
      <c r="AD14" s="163" t="n">
        <v>89440</v>
      </c>
      <c r="AE14" s="96" t="inlineStr">
        <is>
          <t>OK</t>
        </is>
      </c>
      <c r="AF14" s="96" t="inlineStr">
        <is>
          <t>SR</t>
        </is>
      </c>
      <c r="AG14" s="97" t="n"/>
      <c r="AH14" s="96" t="inlineStr">
        <is>
          <t>CHK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TBKK13</t>
        </is>
      </c>
      <c r="AN14" s="96" t="inlineStr">
        <is>
          <t>Dharaporn</t>
        </is>
      </c>
      <c r="AO14" s="96" t="inlineStr">
        <is>
          <t>RESIN HI650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n"/>
      <c r="AZ14" s="96" t="inlineStr">
        <is>
          <t xml:space="preserve">CY-RTN 14-15/10/26 (PI26050167-37)
PLS CHECK OPEN GATE BEFORE RETURN CTNR
</t>
        </is>
      </c>
      <c r="BA14" s="97" t="inlineStr">
        <is>
          <t>FM 2X40'HC DD.09/10/26</t>
        </is>
      </c>
      <c r="BB14" s="96" t="inlineStr">
        <is>
          <t>P</t>
        </is>
      </c>
      <c r="BC14" s="161" t="inlineStr">
        <is>
          <t>2026-10-09</t>
        </is>
      </c>
      <c r="BD14" s="161" t="inlineStr">
        <is>
          <t>2026-10-16</t>
        </is>
      </c>
      <c r="BE14" s="96" t="inlineStr">
        <is>
          <t>Y</t>
        </is>
      </c>
      <c r="BF14" s="96" t="inlineStr">
        <is>
          <t>RESIN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LCHY5</t>
        </is>
      </c>
      <c r="BL14" s="161" t="inlineStr">
        <is>
          <t>2026-10-14</t>
        </is>
      </c>
      <c r="BM14" s="127" t="n"/>
      <c r="BN14" s="127" t="n">
        <v>4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n"/>
      <c r="CB14" s="97" t="n"/>
      <c r="CC14" s="96" t="inlineStr">
        <is>
          <t>LCH01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kamonrat.bo@irpc.co.th</t>
        </is>
      </c>
      <c r="CJ14" s="96" t="inlineStr">
        <is>
          <t>IRPC PUBLIC COMPANY LIMITED</t>
        </is>
      </c>
      <c r="CK14" s="96" t="inlineStr">
        <is>
          <t>TO ORDER OF SOLID GOLD INDUSTRIES</t>
        </is>
      </c>
      <c r="CL14" s="96" t="inlineStr">
        <is>
          <t>SOLID GOLD INDUSTRIES (H.K.) LTD</t>
        </is>
      </c>
      <c r="CM14" s="97" t="n"/>
      <c r="CN14" s="96" t="inlineStr">
        <is>
          <t>202610211700</t>
        </is>
      </c>
      <c r="CO14" s="96" t="inlineStr">
        <is>
          <t>202610222359</t>
        </is>
      </c>
      <c r="CP14" s="97" t="n"/>
      <c r="CQ14" s="96" t="inlineStr">
        <is>
          <t>S22-2603014</t>
        </is>
      </c>
      <c r="CR14" s="96" t="inlineStr">
        <is>
          <t>BB0062</t>
        </is>
      </c>
      <c r="CS14" s="96" t="inlineStr">
        <is>
          <t>IRPC PUBLIC COMPANY LIMITED</t>
        </is>
      </c>
      <c r="CT14" s="96" t="inlineStr">
        <is>
          <t>N</t>
        </is>
      </c>
      <c r="CU14" s="97" t="n"/>
      <c r="CV14" s="97" t="n"/>
      <c r="CW14" s="161" t="inlineStr">
        <is>
          <t>2026-10-21</t>
        </is>
      </c>
      <c r="CX14" s="97" t="n"/>
      <c r="CY14" s="183" t="n"/>
    </row>
    <row r="15" ht="12" customHeight="1">
      <c r="A15" s="116" t="inlineStr">
        <is>
          <t>HASLS22261000795</t>
        </is>
      </c>
      <c r="B15" s="96" t="inlineStr">
        <is>
          <t>20'x3</t>
        </is>
      </c>
      <c r="C15" s="97" t="n">
        <v>3</v>
      </c>
      <c r="D15" s="97" t="n">
        <v>3</v>
      </c>
      <c r="E15" s="97" t="n"/>
      <c r="F15" s="97" t="n">
        <v>0</v>
      </c>
      <c r="G15" s="97" t="n">
        <v>3</v>
      </c>
      <c r="H15" s="97" t="n">
        <v>0</v>
      </c>
      <c r="I15" s="97" t="n">
        <v>0</v>
      </c>
      <c r="J15" s="97" t="n">
        <v>3</v>
      </c>
      <c r="K15" s="96" t="inlineStr">
        <is>
          <t>N</t>
        </is>
      </c>
      <c r="L15" s="96" t="inlineStr">
        <is>
          <t>CHT</t>
        </is>
      </c>
      <c r="M15" s="96" t="inlineStr">
        <is>
          <t>KMGY</t>
        </is>
      </c>
      <c r="N15" s="96" t="inlineStr">
        <is>
          <t>2611N</t>
        </is>
      </c>
      <c r="O15" s="96" t="inlineStr">
        <is>
          <t>THLCH</t>
        </is>
      </c>
      <c r="P15" s="96" t="inlineStr">
        <is>
          <t>LCH01</t>
        </is>
      </c>
      <c r="Q15" s="96" t="inlineStr">
        <is>
          <t>IA</t>
        </is>
      </c>
      <c r="R15" s="161" t="inlineStr">
        <is>
          <t>2026-10-25</t>
        </is>
      </c>
      <c r="S15" s="96" t="inlineStr">
        <is>
          <t>HKHKG</t>
        </is>
      </c>
      <c r="T15" s="96" t="inlineStr">
        <is>
          <t>HKG03</t>
        </is>
      </c>
      <c r="U15" s="96" t="inlineStr">
        <is>
          <t>HKHKG</t>
        </is>
      </c>
      <c r="V15" s="161" t="inlineStr">
        <is>
          <t>2026-10-29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IRPC PUBLIC COMPANY LIMITED</t>
        </is>
      </c>
      <c r="AB15" s="96" t="inlineStr">
        <is>
          <t>IRPC PUBLIC COMPANY LIMITED</t>
        </is>
      </c>
      <c r="AC15" s="163" t="n">
        <v>49797</v>
      </c>
      <c r="AD15" s="163" t="n">
        <v>56397</v>
      </c>
      <c r="AE15" s="96" t="inlineStr">
        <is>
          <t>OK</t>
        </is>
      </c>
      <c r="AF15" s="96" t="inlineStr">
        <is>
          <t>SR</t>
        </is>
      </c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TBKK13</t>
        </is>
      </c>
      <c r="AN15" s="96" t="inlineStr">
        <is>
          <t>Dharaporn</t>
        </is>
      </c>
      <c r="AO15" s="96" t="inlineStr">
        <is>
          <t>RESIN PP 1100NK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n"/>
      <c r="AZ15" s="96" t="inlineStr">
        <is>
          <t xml:space="preserve">CY-RTN 14-15/10/26 (PI26100048-5 )
PLS CHECK OPEN GATE BEFORE RETURN CTNR
</t>
        </is>
      </c>
      <c r="BA15" s="97" t="inlineStr">
        <is>
          <t>FM 2X20'GP DD.09/10</t>
        </is>
      </c>
      <c r="BB15" s="96" t="inlineStr">
        <is>
          <t>P</t>
        </is>
      </c>
      <c r="BC15" s="161" t="inlineStr">
        <is>
          <t>2026-10-09</t>
        </is>
      </c>
      <c r="BD15" s="161" t="inlineStr">
        <is>
          <t>2026-10-19</t>
        </is>
      </c>
      <c r="BE15" s="96" t="inlineStr">
        <is>
          <t>Y</t>
        </is>
      </c>
      <c r="BF15" s="96" t="inlineStr">
        <is>
          <t>RESIN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LCHY5</t>
        </is>
      </c>
      <c r="BL15" s="161" t="inlineStr">
        <is>
          <t>2026-10-14</t>
        </is>
      </c>
      <c r="BM15" s="127" t="n"/>
      <c r="BN15" s="127" t="n">
        <v>3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n"/>
      <c r="CB15" s="97" t="n"/>
      <c r="CC15" s="96" t="inlineStr">
        <is>
          <t>LCH01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kamonrat.bo@irpc.co.th</t>
        </is>
      </c>
      <c r="CJ15" s="96" t="inlineStr">
        <is>
          <t>IRPC PUBLIC COMPANY LIMITED</t>
        </is>
      </c>
      <c r="CK15" s="96" t="inlineStr">
        <is>
          <t>TO ORDER OF SOLID GOLD INDUSTRIES</t>
        </is>
      </c>
      <c r="CL15" s="96" t="inlineStr">
        <is>
          <t>SOLID GOLD INDUSTRIES (HK) LIMITED</t>
        </is>
      </c>
      <c r="CM15" s="97" t="n"/>
      <c r="CN15" s="96" t="inlineStr">
        <is>
          <t>202610211700</t>
        </is>
      </c>
      <c r="CO15" s="96" t="inlineStr">
        <is>
          <t>202610222359</t>
        </is>
      </c>
      <c r="CP15" s="97" t="n"/>
      <c r="CQ15" s="96" t="inlineStr">
        <is>
          <t>S22-2603014</t>
        </is>
      </c>
      <c r="CR15" s="96" t="inlineStr">
        <is>
          <t>BB0062</t>
        </is>
      </c>
      <c r="CS15" s="96" t="inlineStr">
        <is>
          <t>IRPC PUBLIC COMPANY LIMITED</t>
        </is>
      </c>
      <c r="CT15" s="96" t="inlineStr">
        <is>
          <t>N</t>
        </is>
      </c>
      <c r="CU15" s="97" t="n"/>
      <c r="CV15" s="97" t="n"/>
      <c r="CW15" s="161" t="inlineStr">
        <is>
          <t>2026-10-21</t>
        </is>
      </c>
      <c r="CX15" s="97" t="n"/>
      <c r="CY15" s="183" t="n"/>
    </row>
    <row r="16" ht="12" customHeight="1">
      <c r="A16" s="116" t="inlineStr">
        <is>
          <t>HASLS22261000813</t>
        </is>
      </c>
      <c r="B16" s="96" t="inlineStr">
        <is>
          <t>40Hx12</t>
        </is>
      </c>
      <c r="C16" s="97" t="n">
        <v>12</v>
      </c>
      <c r="D16" s="97" t="n">
        <v>12</v>
      </c>
      <c r="E16" s="97" t="n"/>
      <c r="F16" s="97" t="n">
        <v>0</v>
      </c>
      <c r="G16" s="97" t="n">
        <v>0</v>
      </c>
      <c r="H16" s="97" t="n">
        <v>0</v>
      </c>
      <c r="I16" s="97" t="n">
        <v>12</v>
      </c>
      <c r="J16" s="97" t="n">
        <v>24</v>
      </c>
      <c r="K16" s="96" t="inlineStr">
        <is>
          <t>N</t>
        </is>
      </c>
      <c r="L16" s="96" t="inlineStr">
        <is>
          <t>CHT</t>
        </is>
      </c>
      <c r="M16" s="96" t="inlineStr">
        <is>
          <t>KMGY</t>
        </is>
      </c>
      <c r="N16" s="96" t="inlineStr">
        <is>
          <t>2611N</t>
        </is>
      </c>
      <c r="O16" s="96" t="inlineStr">
        <is>
          <t>THLCH</t>
        </is>
      </c>
      <c r="P16" s="96" t="inlineStr">
        <is>
          <t>LCH01</t>
        </is>
      </c>
      <c r="Q16" s="96" t="inlineStr">
        <is>
          <t>IA</t>
        </is>
      </c>
      <c r="R16" s="161" t="inlineStr">
        <is>
          <t>2026-10-25</t>
        </is>
      </c>
      <c r="S16" s="96" t="inlineStr">
        <is>
          <t>HKHKG</t>
        </is>
      </c>
      <c r="T16" s="96" t="inlineStr">
        <is>
          <t>HKG03</t>
        </is>
      </c>
      <c r="U16" s="96" t="inlineStr">
        <is>
          <t>HKHKG</t>
        </is>
      </c>
      <c r="V16" s="161" t="inlineStr">
        <is>
          <t>2026-10-29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YUSEN LOGISTICS (THAILAND) CO., LTD.</t>
        </is>
      </c>
      <c r="AB16" s="96" t="inlineStr">
        <is>
          <t>KURARAY CO., LTD.</t>
        </is>
      </c>
      <c r="AC16" s="163" t="n">
        <v>196800</v>
      </c>
      <c r="AD16" s="163" t="n">
        <v>244800</v>
      </c>
      <c r="AE16" s="96" t="inlineStr">
        <is>
          <t>OK</t>
        </is>
      </c>
      <c r="AF16" s="96" t="inlineStr">
        <is>
          <t>SR</t>
        </is>
      </c>
      <c r="AG16" s="97" t="n"/>
      <c r="AH16" s="96" t="inlineStr">
        <is>
          <t>CON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TBKK55</t>
        </is>
      </c>
      <c r="AN16" s="96" t="inlineStr">
        <is>
          <t>Vilaiporn</t>
        </is>
      </c>
      <c r="AO16" s="96" t="inlineStr">
        <is>
          <t>GENESTAR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n"/>
      <c r="AZ16" s="96" t="inlineStr">
        <is>
          <t>Pickup : 2026-10-17, Return : 2026-10-19 (1ST RTN 20/10 W/O RENT) 
 ** PLEASE CHECK OPEN GATE BEFORE RETURN CNTR **(EXTEND CLOSING DD.22/10/26 @23.59)</t>
        </is>
      </c>
      <c r="BA16" s="97" t="inlineStr">
        <is>
          <t>Good dry and clean containerPlease provide first date return ka.</t>
        </is>
      </c>
      <c r="BB16" s="96" t="inlineStr">
        <is>
          <t>P</t>
        </is>
      </c>
      <c r="BC16" s="161" t="inlineStr">
        <is>
          <t>2026-10-09</t>
        </is>
      </c>
      <c r="BD16" s="161" t="inlineStr">
        <is>
          <t>2026-10-21</t>
        </is>
      </c>
      <c r="BE16" s="96" t="inlineStr">
        <is>
          <t>Y</t>
        </is>
      </c>
      <c r="BF16" s="96" t="inlineStr">
        <is>
          <t>GENESTAR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LCHY5</t>
        </is>
      </c>
      <c r="BL16" s="161" t="inlineStr">
        <is>
          <t>2026-10-17</t>
        </is>
      </c>
      <c r="BM16" s="127" t="n"/>
      <c r="BN16" s="127" t="n"/>
      <c r="BO16" s="127" t="n"/>
      <c r="BP16" s="127" t="n">
        <v>12</v>
      </c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LCH01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benjawan.s@th.yusen-logistics.com</t>
        </is>
      </c>
      <c r="CJ16" s="96" t="inlineStr">
        <is>
          <t>YUSEN LOGISTICS (THAILAND) CO., LTD</t>
        </is>
      </c>
      <c r="CK16" s="96" t="inlineStr">
        <is>
          <t>YUSEN LOGISTICS (HONG KONG) LTD.</t>
        </is>
      </c>
      <c r="CL16" s="96" t="inlineStr">
        <is>
          <t>YUSEN LOGISTICS (HONG KONG) LTD.</t>
        </is>
      </c>
      <c r="CM16" s="97" t="n"/>
      <c r="CN16" s="96" t="inlineStr">
        <is>
          <t>202610211700</t>
        </is>
      </c>
      <c r="CO16" s="96" t="inlineStr">
        <is>
          <t>202610222359</t>
        </is>
      </c>
      <c r="CP16" s="97" t="n"/>
      <c r="CQ16" s="96" t="inlineStr">
        <is>
          <t>S19-2112038</t>
        </is>
      </c>
      <c r="CR16" s="96" t="inlineStr">
        <is>
          <t>TH03TL</t>
        </is>
      </c>
      <c r="CS16" s="96" t="inlineStr">
        <is>
          <t>YUSEN LOGISTICS (THAILAND) CO., LTD.</t>
        </is>
      </c>
      <c r="CT16" s="96" t="inlineStr">
        <is>
          <t>N</t>
        </is>
      </c>
      <c r="CU16" s="97" t="n"/>
      <c r="CV16" s="97" t="n"/>
      <c r="CW16" s="161" t="inlineStr">
        <is>
          <t>2026-10-24</t>
        </is>
      </c>
      <c r="CX16" s="97" t="n"/>
      <c r="CY16" s="183" t="n"/>
    </row>
    <row r="17" ht="12" customHeight="1">
      <c r="A17" s="116" t="inlineStr">
        <is>
          <t>HASLS22261000973</t>
        </is>
      </c>
      <c r="B17" s="96" t="inlineStr">
        <is>
          <t>20'x2</t>
        </is>
      </c>
      <c r="C17" s="97" t="n">
        <v>2</v>
      </c>
      <c r="D17" s="97" t="n">
        <v>2</v>
      </c>
      <c r="E17" s="97" t="n"/>
      <c r="F17" s="97" t="n">
        <v>0</v>
      </c>
      <c r="G17" s="97" t="n">
        <v>2</v>
      </c>
      <c r="H17" s="97" t="n">
        <v>0</v>
      </c>
      <c r="I17" s="97" t="n">
        <v>0</v>
      </c>
      <c r="J17" s="97" t="n">
        <v>2</v>
      </c>
      <c r="K17" s="96" t="inlineStr">
        <is>
          <t>N</t>
        </is>
      </c>
      <c r="L17" s="96" t="inlineStr">
        <is>
          <t>CHT</t>
        </is>
      </c>
      <c r="M17" s="96" t="inlineStr">
        <is>
          <t>KMGY</t>
        </is>
      </c>
      <c r="N17" s="96" t="inlineStr">
        <is>
          <t>2611N</t>
        </is>
      </c>
      <c r="O17" s="96" t="inlineStr">
        <is>
          <t>THLCH</t>
        </is>
      </c>
      <c r="P17" s="96" t="inlineStr">
        <is>
          <t>LCH01</t>
        </is>
      </c>
      <c r="Q17" s="96" t="inlineStr">
        <is>
          <t>IA</t>
        </is>
      </c>
      <c r="R17" s="161" t="inlineStr">
        <is>
          <t>2026-10-25</t>
        </is>
      </c>
      <c r="S17" s="96" t="inlineStr">
        <is>
          <t>HKHKG</t>
        </is>
      </c>
      <c r="T17" s="96" t="inlineStr">
        <is>
          <t>HKG03</t>
        </is>
      </c>
      <c r="U17" s="96" t="inlineStr">
        <is>
          <t>HKHKG</t>
        </is>
      </c>
      <c r="V17" s="161" t="inlineStr">
        <is>
          <t>2026-10-29</t>
        </is>
      </c>
      <c r="W17" s="96" t="inlineStr">
        <is>
          <t>IA</t>
        </is>
      </c>
      <c r="X17" s="97" t="n"/>
      <c r="Y17" s="97" t="n"/>
      <c r="Z17" s="97" t="n"/>
      <c r="AA17" s="96" t="inlineStr">
        <is>
          <t>IRPC PUBLIC COMPANY LIMITED</t>
        </is>
      </c>
      <c r="AB17" s="96" t="inlineStr">
        <is>
          <t>IRPC PUBLIC COMPANY LIMITED</t>
        </is>
      </c>
      <c r="AC17" s="163" t="n">
        <v>40320</v>
      </c>
      <c r="AD17" s="163" t="n">
        <v>44720</v>
      </c>
      <c r="AE17" s="96" t="inlineStr">
        <is>
          <t>OK</t>
        </is>
      </c>
      <c r="AF17" s="96" t="inlineStr">
        <is>
          <t>SR</t>
        </is>
      </c>
      <c r="AG17" s="97" t="n"/>
      <c r="AH17" s="96" t="inlineStr">
        <is>
          <t>CHK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TBKK13</t>
        </is>
      </c>
      <c r="AN17" s="96" t="inlineStr">
        <is>
          <t>Dharaporn</t>
        </is>
      </c>
      <c r="AO17" s="96" t="inlineStr">
        <is>
          <t>RESIN GP150 / GENERAL PURPOSE POLYSTYRENE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n"/>
      <c r="AZ17" s="96" t="inlineStr">
        <is>
          <t>CY-RTN 19-22/10/26 (PI26050167-38) CLOSING DATE DD.22/10/26 @23.59</t>
        </is>
      </c>
      <c r="BA17" s="97" t="n"/>
      <c r="BB17" s="96" t="inlineStr">
        <is>
          <t>P</t>
        </is>
      </c>
      <c r="BC17" s="161" t="inlineStr">
        <is>
          <t>2026-10-14</t>
        </is>
      </c>
      <c r="BD17" s="161" t="inlineStr">
        <is>
          <t>2026-10-20</t>
        </is>
      </c>
      <c r="BE17" s="96" t="inlineStr">
        <is>
          <t>Y</t>
        </is>
      </c>
      <c r="BF17" s="96" t="inlineStr">
        <is>
          <t>RESIN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LCHY5</t>
        </is>
      </c>
      <c r="BL17" s="161" t="inlineStr">
        <is>
          <t>2026-10-19</t>
        </is>
      </c>
      <c r="BM17" s="127" t="n"/>
      <c r="BN17" s="127" t="n">
        <v>2</v>
      </c>
      <c r="BO17" s="127" t="n"/>
      <c r="BP17" s="127" t="n"/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n"/>
      <c r="CB17" s="97" t="n"/>
      <c r="CC17" s="96" t="inlineStr">
        <is>
          <t>LCH01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n"/>
      <c r="CI17" s="96" t="inlineStr">
        <is>
          <t>kamonrat.bo@irpc.co.th</t>
        </is>
      </c>
      <c r="CJ17" s="96" t="inlineStr">
        <is>
          <t>IRPC PUBLIC COMPANY LIMITED</t>
        </is>
      </c>
      <c r="CK17" s="96" t="inlineStr">
        <is>
          <t>TO ORDER OF SOLID GOLD INDUSTRIES</t>
        </is>
      </c>
      <c r="CL17" s="96" t="inlineStr">
        <is>
          <t>SOLID GOLD INDUSTRIES (H.K.) LTD</t>
        </is>
      </c>
      <c r="CM17" s="97" t="n"/>
      <c r="CN17" s="96" t="inlineStr">
        <is>
          <t>202610211700</t>
        </is>
      </c>
      <c r="CO17" s="96" t="inlineStr">
        <is>
          <t>202610222359</t>
        </is>
      </c>
      <c r="CP17" s="97" t="n"/>
      <c r="CQ17" s="96" t="inlineStr">
        <is>
          <t>S22-2603014</t>
        </is>
      </c>
      <c r="CR17" s="96" t="inlineStr">
        <is>
          <t>BB0062</t>
        </is>
      </c>
      <c r="CS17" s="96" t="inlineStr">
        <is>
          <t>IRPC PUBLIC COMPANY LIMITED</t>
        </is>
      </c>
      <c r="CT17" s="96" t="inlineStr">
        <is>
          <t>N</t>
        </is>
      </c>
      <c r="CU17" s="97" t="n"/>
      <c r="CV17" s="97" t="n"/>
      <c r="CW17" s="161" t="inlineStr">
        <is>
          <t>2026-10-24</t>
        </is>
      </c>
      <c r="CX17" s="97" t="n"/>
      <c r="CY17" s="183" t="n"/>
    </row>
    <row r="18" ht="12" customHeight="1">
      <c r="A18" s="116" t="inlineStr">
        <is>
          <t>HASLS22261001071</t>
        </is>
      </c>
      <c r="B18" s="96" t="inlineStr">
        <is>
          <t>40Hx1</t>
        </is>
      </c>
      <c r="C18" s="97" t="n">
        <v>1</v>
      </c>
      <c r="D18" s="97" t="n">
        <v>1</v>
      </c>
      <c r="E18" s="97" t="n"/>
      <c r="F18" s="97" t="n">
        <v>0</v>
      </c>
      <c r="G18" s="97" t="n">
        <v>0</v>
      </c>
      <c r="H18" s="97" t="n">
        <v>0</v>
      </c>
      <c r="I18" s="97" t="n">
        <v>1</v>
      </c>
      <c r="J18" s="97" t="n">
        <v>2</v>
      </c>
      <c r="K18" s="96" t="inlineStr">
        <is>
          <t>N</t>
        </is>
      </c>
      <c r="L18" s="96" t="inlineStr">
        <is>
          <t>CHT</t>
        </is>
      </c>
      <c r="M18" s="96" t="inlineStr">
        <is>
          <t>KMGY</t>
        </is>
      </c>
      <c r="N18" s="96" t="inlineStr">
        <is>
          <t>2611N</t>
        </is>
      </c>
      <c r="O18" s="96" t="inlineStr">
        <is>
          <t>THLCH</t>
        </is>
      </c>
      <c r="P18" s="96" t="inlineStr">
        <is>
          <t>LCH01</t>
        </is>
      </c>
      <c r="Q18" s="96" t="inlineStr">
        <is>
          <t>IA</t>
        </is>
      </c>
      <c r="R18" s="161" t="inlineStr">
        <is>
          <t>2026-10-25</t>
        </is>
      </c>
      <c r="S18" s="96" t="inlineStr">
        <is>
          <t>HKHKG</t>
        </is>
      </c>
      <c r="T18" s="96" t="inlineStr">
        <is>
          <t>HKG03</t>
        </is>
      </c>
      <c r="U18" s="96" t="inlineStr">
        <is>
          <t>CNHUA</t>
        </is>
      </c>
      <c r="V18" s="161" t="inlineStr">
        <is>
          <t>2026-10-29</t>
        </is>
      </c>
      <c r="W18" s="96" t="inlineStr">
        <is>
          <t>IA</t>
        </is>
      </c>
      <c r="X18" s="97" t="inlineStr">
        <is>
          <t>Barge</t>
        </is>
      </c>
      <c r="Y18" s="97" t="n"/>
      <c r="Z18" s="97" t="n"/>
      <c r="AA18" s="96" t="inlineStr">
        <is>
          <t>L.A.1 CO.,LTD.</t>
        </is>
      </c>
      <c r="AB18" s="96" t="inlineStr">
        <is>
          <t>TANATEX CHEMICALS (THAILAND) CO., LTD.</t>
        </is>
      </c>
      <c r="AC18" s="163" t="n">
        <v>25440</v>
      </c>
      <c r="AD18" s="163" t="n">
        <v>29440</v>
      </c>
      <c r="AE18" s="96" t="inlineStr">
        <is>
          <t>OK</t>
        </is>
      </c>
      <c r="AF18" s="96" t="n"/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TH0042</t>
        </is>
      </c>
      <c r="AN18" s="96" t="inlineStr">
        <is>
          <t>Sukunpoj Damrongying</t>
        </is>
      </c>
      <c r="AO18" s="96" t="inlineStr">
        <is>
          <t>CHEMICALS PRODUCT (NON DG)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n"/>
      <c r="AZ18" s="96" t="inlineStr">
        <is>
          <t xml:space="preserve">Pickup : 2026-10-19, Return : 2026-10-20 
 ** PLEASE CHECK OPEN GATE BEFORE RETURN CNTR **
</t>
        </is>
      </c>
      <c r="BA18" s="97" t="n"/>
      <c r="BB18" s="96" t="inlineStr">
        <is>
          <t>P</t>
        </is>
      </c>
      <c r="BC18" s="161" t="inlineStr">
        <is>
          <t>2026-10-14</t>
        </is>
      </c>
      <c r="BD18" s="161" t="inlineStr">
        <is>
          <t>2026-10-20</t>
        </is>
      </c>
      <c r="BE18" s="96" t="inlineStr">
        <is>
          <t>Y</t>
        </is>
      </c>
      <c r="BF18" s="96" t="inlineStr">
        <is>
          <t>CHEMICALS PRODUCT (NON DG)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LCH27</t>
        </is>
      </c>
      <c r="BL18" s="161" t="inlineStr">
        <is>
          <t>2026-10-19</t>
        </is>
      </c>
      <c r="BM18" s="127" t="n"/>
      <c r="BN18" s="127" t="n"/>
      <c r="BO18" s="127" t="n"/>
      <c r="BP18" s="127" t="n">
        <v>1</v>
      </c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LCH01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csla1@la1freight.com</t>
        </is>
      </c>
      <c r="CJ18" s="96" t="inlineStr">
        <is>
          <t>L.A.1 CO.,LTD.</t>
        </is>
      </c>
      <c r="CK18" s="96" t="inlineStr">
        <is>
          <t>SHENZHEN TOP STAR EXPRESS CO., LTD.</t>
        </is>
      </c>
      <c r="CL18" s="96" t="inlineStr">
        <is>
          <t>SHENZHEN TOP STAR EXPRESS CO., LTD.</t>
        </is>
      </c>
      <c r="CM18" s="97" t="n"/>
      <c r="CN18" s="96" t="inlineStr">
        <is>
          <t>202610211700</t>
        </is>
      </c>
      <c r="CO18" s="96" t="inlineStr">
        <is>
          <t>202610222359</t>
        </is>
      </c>
      <c r="CP18" s="97" t="n"/>
      <c r="CQ18" s="96" t="inlineStr">
        <is>
          <t>S22-2606013</t>
        </is>
      </c>
      <c r="CR18" s="96" t="inlineStr">
        <is>
          <t>THTYG7</t>
        </is>
      </c>
      <c r="CS18" s="96" t="inlineStr">
        <is>
          <t>L.A.1 CO.,LTD.</t>
        </is>
      </c>
      <c r="CT18" s="96" t="inlineStr">
        <is>
          <t>N</t>
        </is>
      </c>
      <c r="CU18" s="97" t="n"/>
      <c r="CV18" s="97" t="n"/>
      <c r="CW18" s="161" t="inlineStr">
        <is>
          <t>2026-10-24</t>
        </is>
      </c>
      <c r="CX18" s="97" t="n"/>
      <c r="CY18" s="183" t="n"/>
    </row>
    <row r="19" ht="12" customHeight="1">
      <c r="A19" s="116" t="inlineStr">
        <is>
          <t>HASLS22261001094</t>
        </is>
      </c>
      <c r="B19" s="96" t="inlineStr">
        <is>
          <t>40Hx1</t>
        </is>
      </c>
      <c r="C19" s="97" t="n">
        <v>1</v>
      </c>
      <c r="D19" s="97" t="n">
        <v>1</v>
      </c>
      <c r="E19" s="97" t="n"/>
      <c r="F19" s="97" t="n">
        <v>0</v>
      </c>
      <c r="G19" s="97" t="n">
        <v>0</v>
      </c>
      <c r="H19" s="97" t="n">
        <v>0</v>
      </c>
      <c r="I19" s="97" t="n">
        <v>1</v>
      </c>
      <c r="J19" s="97" t="n">
        <v>2</v>
      </c>
      <c r="K19" s="96" t="inlineStr">
        <is>
          <t>N</t>
        </is>
      </c>
      <c r="L19" s="96" t="inlineStr">
        <is>
          <t>CHT</t>
        </is>
      </c>
      <c r="M19" s="96" t="inlineStr">
        <is>
          <t>KMGY</t>
        </is>
      </c>
      <c r="N19" s="96" t="inlineStr">
        <is>
          <t>2611N</t>
        </is>
      </c>
      <c r="O19" s="96" t="inlineStr">
        <is>
          <t>THLCH</t>
        </is>
      </c>
      <c r="P19" s="96" t="inlineStr">
        <is>
          <t>LCH01</t>
        </is>
      </c>
      <c r="Q19" s="96" t="inlineStr">
        <is>
          <t>IA</t>
        </is>
      </c>
      <c r="R19" s="161" t="inlineStr">
        <is>
          <t>2026-10-25</t>
        </is>
      </c>
      <c r="S19" s="96" t="inlineStr">
        <is>
          <t>CNXMN</t>
        </is>
      </c>
      <c r="T19" s="96" t="inlineStr">
        <is>
          <t>XMN01</t>
        </is>
      </c>
      <c r="U19" s="96" t="inlineStr">
        <is>
          <t>CNXMN</t>
        </is>
      </c>
      <c r="V19" s="161" t="inlineStr">
        <is>
          <t>2026-10-31</t>
        </is>
      </c>
      <c r="W19" s="96" t="inlineStr">
        <is>
          <t>IA</t>
        </is>
      </c>
      <c r="X19" s="97" t="n"/>
      <c r="Y19" s="97" t="n"/>
      <c r="Z19" s="97" t="n"/>
      <c r="AA19" s="96" t="inlineStr">
        <is>
          <t>THAI POLYCARBONATE CO., LTD.</t>
        </is>
      </c>
      <c r="AB19" s="96" t="inlineStr">
        <is>
          <t>THAI POLYCARBONATE CO., LTD.</t>
        </is>
      </c>
      <c r="AC19" s="163" t="n">
        <v>22783.56</v>
      </c>
      <c r="AD19" s="163" t="n">
        <v>26783.56</v>
      </c>
      <c r="AE19" s="96" t="inlineStr">
        <is>
          <t>OK</t>
        </is>
      </c>
      <c r="AF19" s="96" t="n"/>
      <c r="AG19" s="97" t="n"/>
      <c r="AH19" s="96" t="inlineStr">
        <is>
          <t>CHK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TBKK55</t>
        </is>
      </c>
      <c r="AN19" s="96" t="inlineStr">
        <is>
          <t>Vilaiporn</t>
        </is>
      </c>
      <c r="AO19" s="96" t="inlineStr">
        <is>
          <t>POLYCARBONATE RESIN IUPILON</t>
        </is>
      </c>
      <c r="AP19" s="96" t="inlineStr">
        <is>
          <t>Normal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n"/>
      <c r="AZ19" s="96" t="inlineStr">
        <is>
          <t xml:space="preserve">Pickup : 2026-10-19, Return : 2026-10-21 
 ** PLEASE CHECK OPEN GATE BEFORE RETURN CNTR **
</t>
        </is>
      </c>
      <c r="BA19" s="97" t="inlineStr">
        <is>
          <t>SI DD.19/10/26</t>
        </is>
      </c>
      <c r="BB19" s="96" t="inlineStr">
        <is>
          <t>P</t>
        </is>
      </c>
      <c r="BC19" s="161" t="inlineStr">
        <is>
          <t>2026-10-15</t>
        </is>
      </c>
      <c r="BD19" s="161" t="inlineStr">
        <is>
          <t>2026-10-19</t>
        </is>
      </c>
      <c r="BE19" s="96" t="inlineStr">
        <is>
          <t>Y</t>
        </is>
      </c>
      <c r="BF19" s="96" t="inlineStr">
        <is>
          <t>POLYCARBONATE RESIN , HS CODEIS 3907.40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LCHY5</t>
        </is>
      </c>
      <c r="BL19" s="161" t="inlineStr">
        <is>
          <t>2026-10-19</t>
        </is>
      </c>
      <c r="BM19" s="127" t="n"/>
      <c r="BN19" s="127" t="n"/>
      <c r="BO19" s="127" t="n"/>
      <c r="BP19" s="127" t="n">
        <v>1</v>
      </c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inlineStr">
        <is>
          <t>Y</t>
        </is>
      </c>
      <c r="CB19" s="97" t="n"/>
      <c r="CC19" s="96" t="inlineStr">
        <is>
          <t>LCH01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n"/>
      <c r="CI19" s="96" t="inlineStr">
        <is>
          <t>thadta.choo@th.tpcc-tpac.com</t>
        </is>
      </c>
      <c r="CJ19" s="96" t="inlineStr">
        <is>
          <t>THAI POLYCARBONATE CO.,LTD.</t>
        </is>
      </c>
      <c r="CK19" s="96" t="inlineStr">
        <is>
          <t>CHIN MING SHAN</t>
        </is>
      </c>
      <c r="CL19" s="96" t="inlineStr">
        <is>
          <t>CHIN MING SHAN OPTRONICS</t>
        </is>
      </c>
      <c r="CM19" s="97" t="n"/>
      <c r="CN19" s="96" t="inlineStr">
        <is>
          <t>202610211700</t>
        </is>
      </c>
      <c r="CO19" s="96" t="inlineStr">
        <is>
          <t>202610222359</t>
        </is>
      </c>
      <c r="CP19" s="97" t="n"/>
      <c r="CQ19" s="96" t="inlineStr">
        <is>
          <t>S19-2112039</t>
        </is>
      </c>
      <c r="CR19" s="96" t="inlineStr">
        <is>
          <t>THTKNC</t>
        </is>
      </c>
      <c r="CS19" s="96" t="inlineStr">
        <is>
          <t>THAI POLYCARBONATE CO., LTD.</t>
        </is>
      </c>
      <c r="CT19" s="96" t="inlineStr">
        <is>
          <t>N</t>
        </is>
      </c>
      <c r="CU19" s="97" t="n"/>
      <c r="CV19" s="97" t="n"/>
      <c r="CW19" s="161" t="inlineStr">
        <is>
          <t>2026-10-24</t>
        </is>
      </c>
      <c r="CX19" s="97" t="inlineStr">
        <is>
          <t>390740</t>
        </is>
      </c>
      <c r="CY19" s="183" t="n"/>
    </row>
    <row r="20" ht="12" customHeight="1">
      <c r="A20" s="116" t="inlineStr">
        <is>
          <t>HASLS22261001156</t>
        </is>
      </c>
      <c r="B20" s="96" t="inlineStr">
        <is>
          <t>40Hx9</t>
        </is>
      </c>
      <c r="C20" s="97" t="n">
        <v>9</v>
      </c>
      <c r="D20" s="97" t="n">
        <v>9</v>
      </c>
      <c r="E20" s="97" t="n"/>
      <c r="F20" s="97" t="n">
        <v>0</v>
      </c>
      <c r="G20" s="97" t="n">
        <v>0</v>
      </c>
      <c r="H20" s="97" t="n">
        <v>0</v>
      </c>
      <c r="I20" s="97" t="n">
        <v>9</v>
      </c>
      <c r="J20" s="97" t="n">
        <v>18</v>
      </c>
      <c r="K20" s="96" t="inlineStr">
        <is>
          <t>N</t>
        </is>
      </c>
      <c r="L20" s="96" t="inlineStr">
        <is>
          <t>CHT</t>
        </is>
      </c>
      <c r="M20" s="96" t="inlineStr">
        <is>
          <t>KMGY</t>
        </is>
      </c>
      <c r="N20" s="96" t="inlineStr">
        <is>
          <t>2611N</t>
        </is>
      </c>
      <c r="O20" s="96" t="inlineStr">
        <is>
          <t>THLCH</t>
        </is>
      </c>
      <c r="P20" s="96" t="inlineStr">
        <is>
          <t>LCH01</t>
        </is>
      </c>
      <c r="Q20" s="96" t="inlineStr">
        <is>
          <t>IA</t>
        </is>
      </c>
      <c r="R20" s="161" t="inlineStr">
        <is>
          <t>2026-10-25</t>
        </is>
      </c>
      <c r="S20" s="96" t="inlineStr">
        <is>
          <t>HKHKG</t>
        </is>
      </c>
      <c r="T20" s="96" t="inlineStr">
        <is>
          <t>HKG03</t>
        </is>
      </c>
      <c r="U20" s="96" t="inlineStr">
        <is>
          <t>HKHKG</t>
        </is>
      </c>
      <c r="V20" s="161" t="inlineStr">
        <is>
          <t>2026-10-29</t>
        </is>
      </c>
      <c r="W20" s="96" t="inlineStr">
        <is>
          <t>IA</t>
        </is>
      </c>
      <c r="X20" s="97" t="n"/>
      <c r="Y20" s="97" t="n"/>
      <c r="Z20" s="97" t="n"/>
      <c r="AA20" s="96" t="inlineStr">
        <is>
          <t>YUSEN LOGISTICS (THAILAND) CO., LTD.</t>
        </is>
      </c>
      <c r="AB20" s="96" t="inlineStr">
        <is>
          <t>KURARAY GC ADVANCED MATERIALS CO.,LTD</t>
        </is>
      </c>
      <c r="AC20" s="163" t="n">
        <v>140635</v>
      </c>
      <c r="AD20" s="163" t="n">
        <v>176635</v>
      </c>
      <c r="AE20" s="96" t="inlineStr">
        <is>
          <t>OK</t>
        </is>
      </c>
      <c r="AF20" s="96" t="n"/>
      <c r="AG20" s="97" t="n"/>
      <c r="AH20" s="96" t="inlineStr">
        <is>
          <t>CON</t>
        </is>
      </c>
      <c r="AI20" s="97" t="n"/>
      <c r="AJ20" s="97" t="n"/>
      <c r="AK20" s="97" t="n"/>
      <c r="AL20" s="97" t="n"/>
      <c r="AM20" s="96" t="inlineStr">
        <is>
          <t>TBKK55</t>
        </is>
      </c>
      <c r="AN20" s="96" t="inlineStr">
        <is>
          <t>Vilaiporn</t>
        </is>
      </c>
      <c r="AO20" s="96" t="inlineStr">
        <is>
          <t>GENESTAR</t>
        </is>
      </c>
      <c r="AP20" s="96" t="inlineStr">
        <is>
          <t>Normal</t>
        </is>
      </c>
      <c r="AQ20" s="97" t="n"/>
      <c r="AR20" s="97" t="n"/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n"/>
      <c r="AZ20" s="96" t="inlineStr">
        <is>
          <t xml:space="preserve">Pickup : 2026-10-19, Return : 2026-10-20 (EXTEND CLOSING 22/10/26 @23.59)
 ** PLEASE CHECK OPEN GATE BEFORE RETURN C NTR ** </t>
        </is>
      </c>
      <c r="BA20" s="97" t="n"/>
      <c r="BB20" s="96" t="inlineStr">
        <is>
          <t>P</t>
        </is>
      </c>
      <c r="BC20" s="161" t="inlineStr">
        <is>
          <t>2026-10-15</t>
        </is>
      </c>
      <c r="BD20" s="161" t="inlineStr">
        <is>
          <t>2026-10-20</t>
        </is>
      </c>
      <c r="BE20" s="96" t="inlineStr">
        <is>
          <t>Y</t>
        </is>
      </c>
      <c r="BF20" s="96" t="inlineStr">
        <is>
          <t>GENESTAR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LCH27</t>
        </is>
      </c>
      <c r="BL20" s="161" t="inlineStr">
        <is>
          <t>2026-10-19</t>
        </is>
      </c>
      <c r="BM20" s="127" t="n"/>
      <c r="BN20" s="127" t="n"/>
      <c r="BO20" s="127" t="n"/>
      <c r="BP20" s="127" t="n">
        <v>9</v>
      </c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inlineStr">
        <is>
          <t>Y</t>
        </is>
      </c>
      <c r="CB20" s="97" t="n"/>
      <c r="CC20" s="96" t="inlineStr">
        <is>
          <t>LCH01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n"/>
      <c r="CI20" s="96" t="inlineStr">
        <is>
          <t>benjawan.s@th.yusen-logistics.com</t>
        </is>
      </c>
      <c r="CJ20" s="96" t="inlineStr">
        <is>
          <t>YUSEN LOGISTICS (THAILAND) CO., LTD</t>
        </is>
      </c>
      <c r="CK20" s="96" t="inlineStr">
        <is>
          <t>YUSEN LOGISTICS (HONG KONG) LTD.</t>
        </is>
      </c>
      <c r="CL20" s="96" t="inlineStr">
        <is>
          <t>YUSEN LOGISTICS (HONG KONG) LTD.</t>
        </is>
      </c>
      <c r="CM20" s="97" t="n"/>
      <c r="CN20" s="96" t="inlineStr">
        <is>
          <t>202610211700</t>
        </is>
      </c>
      <c r="CO20" s="96" t="inlineStr">
        <is>
          <t>202610222359</t>
        </is>
      </c>
      <c r="CP20" s="97" t="n"/>
      <c r="CQ20" s="96" t="inlineStr">
        <is>
          <t>S19-2112038</t>
        </is>
      </c>
      <c r="CR20" s="96" t="inlineStr">
        <is>
          <t>TH03TL</t>
        </is>
      </c>
      <c r="CS20" s="96" t="inlineStr">
        <is>
          <t>YUSEN LOGISTICS (THAILAND) CO., LTD.</t>
        </is>
      </c>
      <c r="CT20" s="96" t="inlineStr">
        <is>
          <t>N</t>
        </is>
      </c>
      <c r="CU20" s="97" t="n"/>
      <c r="CV20" s="97" t="n"/>
      <c r="CW20" s="161" t="inlineStr">
        <is>
          <t>2026-10-24</t>
        </is>
      </c>
      <c r="CX20" s="97" t="n"/>
      <c r="CY20" s="183" t="n"/>
    </row>
    <row r="21" ht="12" customHeight="1">
      <c r="A21" s="116" t="inlineStr">
        <is>
          <t>HASLS22261001311</t>
        </is>
      </c>
      <c r="B21" s="96" t="inlineStr">
        <is>
          <t>20'x1</t>
        </is>
      </c>
      <c r="C21" s="97" t="n">
        <v>1</v>
      </c>
      <c r="D21" s="97" t="n">
        <v>1</v>
      </c>
      <c r="E21" s="97" t="n"/>
      <c r="F21" s="97" t="n">
        <v>0</v>
      </c>
      <c r="G21" s="97" t="n">
        <v>1</v>
      </c>
      <c r="H21" s="97" t="n">
        <v>0</v>
      </c>
      <c r="I21" s="97" t="n">
        <v>0</v>
      </c>
      <c r="J21" s="97" t="n">
        <v>1</v>
      </c>
      <c r="K21" s="96" t="inlineStr">
        <is>
          <t>N</t>
        </is>
      </c>
      <c r="L21" s="96" t="inlineStr">
        <is>
          <t>CHT</t>
        </is>
      </c>
      <c r="M21" s="96" t="inlineStr">
        <is>
          <t>KMGY</t>
        </is>
      </c>
      <c r="N21" s="96" t="inlineStr">
        <is>
          <t>2611N</t>
        </is>
      </c>
      <c r="O21" s="96" t="inlineStr">
        <is>
          <t>THLCH</t>
        </is>
      </c>
      <c r="P21" s="96" t="inlineStr">
        <is>
          <t>LCH01</t>
        </is>
      </c>
      <c r="Q21" s="96" t="inlineStr">
        <is>
          <t>IA</t>
        </is>
      </c>
      <c r="R21" s="161" t="inlineStr">
        <is>
          <t>2026-10-25</t>
        </is>
      </c>
      <c r="S21" s="96" t="inlineStr">
        <is>
          <t>HKHKG</t>
        </is>
      </c>
      <c r="T21" s="96" t="inlineStr">
        <is>
          <t>HKG03</t>
        </is>
      </c>
      <c r="U21" s="96" t="inlineStr">
        <is>
          <t>HKHKG</t>
        </is>
      </c>
      <c r="V21" s="161" t="inlineStr">
        <is>
          <t>2026-10-29</t>
        </is>
      </c>
      <c r="W21" s="96" t="inlineStr">
        <is>
          <t>IA</t>
        </is>
      </c>
      <c r="X21" s="97" t="n"/>
      <c r="Y21" s="97" t="n"/>
      <c r="Z21" s="97" t="n"/>
      <c r="AA21" s="96" t="inlineStr">
        <is>
          <t>TRANS-MAKER CO., LTD.</t>
        </is>
      </c>
      <c r="AB21" s="96" t="inlineStr">
        <is>
          <t>TFL LEDERTECHNIK GMBH</t>
        </is>
      </c>
      <c r="AC21" s="163" t="n">
        <v>9906.4</v>
      </c>
      <c r="AD21" s="163" t="n">
        <v>12106.4</v>
      </c>
      <c r="AE21" s="96" t="inlineStr">
        <is>
          <t>OK</t>
        </is>
      </c>
      <c r="AF21" s="96" t="inlineStr">
        <is>
          <t>SR</t>
        </is>
      </c>
      <c r="AG21" s="97" t="n"/>
      <c r="AH21" s="96" t="inlineStr">
        <is>
          <t>CHK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TBKK55</t>
        </is>
      </c>
      <c r="AN21" s="96" t="inlineStr">
        <is>
          <t>Vilaiporn</t>
        </is>
      </c>
      <c r="AO21" s="96" t="inlineStr">
        <is>
          <t>LEATHER CHEMICALS</t>
        </is>
      </c>
      <c r="AP21" s="96" t="inlineStr">
        <is>
          <t>Normal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n"/>
      <c r="AZ21" s="96" t="inlineStr">
        <is>
          <t>Pickup : 2026-10-20, Return : 2026-10-21</t>
        </is>
      </c>
      <c r="BA21" s="97" t="n"/>
      <c r="BB21" s="96" t="inlineStr">
        <is>
          <t>P</t>
        </is>
      </c>
      <c r="BC21" s="161" t="inlineStr">
        <is>
          <t>2026-10-16</t>
        </is>
      </c>
      <c r="BD21" s="161" t="inlineStr">
        <is>
          <t>2026-10-20</t>
        </is>
      </c>
      <c r="BE21" s="96" t="inlineStr">
        <is>
          <t>Y</t>
        </is>
      </c>
      <c r="BF21" s="96" t="inlineStr">
        <is>
          <t>LEATHER CHEMICALS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LCHY5</t>
        </is>
      </c>
      <c r="BL21" s="161" t="inlineStr">
        <is>
          <t>2026-10-20</t>
        </is>
      </c>
      <c r="BM21" s="127" t="n"/>
      <c r="BN21" s="127" t="n">
        <v>1</v>
      </c>
      <c r="BO21" s="127" t="n"/>
      <c r="BP21" s="127" t="n"/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/>
      <c r="CA21" s="96" t="inlineStr">
        <is>
          <t>Y</t>
        </is>
      </c>
      <c r="CB21" s="97" t="n"/>
      <c r="CC21" s="96" t="inlineStr">
        <is>
          <t>LCH01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n"/>
      <c r="CI21" s="96" t="inlineStr">
        <is>
          <t>tmkcusexp@trans-maker.com</t>
        </is>
      </c>
      <c r="CJ21" s="96" t="inlineStr">
        <is>
          <t>TFL LEDERTECHNIK GMBH</t>
        </is>
      </c>
      <c r="CK21" s="96" t="inlineStr">
        <is>
          <t>KEI TAT (GLOBAL) CHEMICALS LTD.</t>
        </is>
      </c>
      <c r="CL21" s="96" t="inlineStr">
        <is>
          <t>KEI TAT (GLOBAL) CHEMICALS LTD.</t>
        </is>
      </c>
      <c r="CM21" s="97" t="n"/>
      <c r="CN21" s="96" t="inlineStr">
        <is>
          <t>202610211700</t>
        </is>
      </c>
      <c r="CO21" s="96" t="inlineStr">
        <is>
          <t>202610222359</t>
        </is>
      </c>
      <c r="CP21" s="97" t="n"/>
      <c r="CQ21" s="96" t="inlineStr">
        <is>
          <t>S19-2011020</t>
        </is>
      </c>
      <c r="CR21" s="96" t="inlineStr">
        <is>
          <t>TH01GM</t>
        </is>
      </c>
      <c r="CS21" s="96" t="inlineStr">
        <is>
          <t>TRANS-MAKER CO., LTD.</t>
        </is>
      </c>
      <c r="CT21" s="96" t="inlineStr">
        <is>
          <t>N</t>
        </is>
      </c>
      <c r="CU21" s="97" t="n"/>
      <c r="CV21" s="97" t="n"/>
      <c r="CW21" s="161" t="inlineStr">
        <is>
          <t>2026-10-24</t>
        </is>
      </c>
      <c r="CX21" s="97" t="n"/>
      <c r="CY21" s="183" t="n"/>
    </row>
    <row r="22" ht="12" customHeight="1">
      <c r="A22" s="116" t="inlineStr">
        <is>
          <t>HASLS22261001312</t>
        </is>
      </c>
      <c r="B22" s="96" t="inlineStr">
        <is>
          <t>20'x1</t>
        </is>
      </c>
      <c r="C22" s="97" t="n">
        <v>1</v>
      </c>
      <c r="D22" s="97" t="n">
        <v>1</v>
      </c>
      <c r="E22" s="97" t="n"/>
      <c r="F22" s="97" t="n">
        <v>0</v>
      </c>
      <c r="G22" s="97" t="n">
        <v>1</v>
      </c>
      <c r="H22" s="97" t="n">
        <v>0</v>
      </c>
      <c r="I22" s="97" t="n">
        <v>0</v>
      </c>
      <c r="J22" s="97" t="n">
        <v>1</v>
      </c>
      <c r="K22" s="96" t="inlineStr">
        <is>
          <t>N</t>
        </is>
      </c>
      <c r="L22" s="96" t="inlineStr">
        <is>
          <t>CHT</t>
        </is>
      </c>
      <c r="M22" s="96" t="inlineStr">
        <is>
          <t>KMGY</t>
        </is>
      </c>
      <c r="N22" s="96" t="inlineStr">
        <is>
          <t>2611N</t>
        </is>
      </c>
      <c r="O22" s="96" t="inlineStr">
        <is>
          <t>THLCH</t>
        </is>
      </c>
      <c r="P22" s="96" t="inlineStr">
        <is>
          <t>LCH01</t>
        </is>
      </c>
      <c r="Q22" s="96" t="inlineStr">
        <is>
          <t>IA</t>
        </is>
      </c>
      <c r="R22" s="161" t="inlineStr">
        <is>
          <t>2026-10-25</t>
        </is>
      </c>
      <c r="S22" s="96" t="inlineStr">
        <is>
          <t>HKHKG</t>
        </is>
      </c>
      <c r="T22" s="96" t="inlineStr">
        <is>
          <t>HKG03</t>
        </is>
      </c>
      <c r="U22" s="96" t="inlineStr">
        <is>
          <t>CNSUD</t>
        </is>
      </c>
      <c r="V22" s="161" t="inlineStr">
        <is>
          <t>2026-10-29</t>
        </is>
      </c>
      <c r="W22" s="96" t="inlineStr">
        <is>
          <t>IA</t>
        </is>
      </c>
      <c r="X22" s="97" t="inlineStr">
        <is>
          <t>Barge</t>
        </is>
      </c>
      <c r="Y22" s="97" t="n"/>
      <c r="Z22" s="97" t="n"/>
      <c r="AA22" s="96" t="inlineStr">
        <is>
          <t>YUSEN LOGISTICS (THAILAND) CO., LTD.</t>
        </is>
      </c>
      <c r="AB22" s="96" t="inlineStr">
        <is>
          <t>SANKO ELECTRONICS (THAILAND) CO., LTD.</t>
        </is>
      </c>
      <c r="AC22" s="163" t="n">
        <v>560.544</v>
      </c>
      <c r="AD22" s="163" t="n">
        <v>2760.544</v>
      </c>
      <c r="AE22" s="96" t="inlineStr">
        <is>
          <t>OK</t>
        </is>
      </c>
      <c r="AF22" s="96" t="inlineStr">
        <is>
          <t>SR</t>
        </is>
      </c>
      <c r="AG22" s="97" t="n"/>
      <c r="AH22" s="96" t="inlineStr">
        <is>
          <t>CHK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TBKK55</t>
        </is>
      </c>
      <c r="AN22" s="96" t="inlineStr">
        <is>
          <t>Vilaiporn</t>
        </is>
      </c>
      <c r="AO22" s="96" t="inlineStr">
        <is>
          <t>LEAD WIRE ASSEMBLY</t>
        </is>
      </c>
      <c r="AP22" s="96" t="inlineStr">
        <is>
          <t>Normal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n"/>
      <c r="AZ22" s="96" t="inlineStr">
        <is>
          <t>Pickup : 2026-10-21, Return : 2026-10-22</t>
        </is>
      </c>
      <c r="BA22" s="97" t="inlineStr">
        <is>
          <t>RQST GOOD CLEAN/NO HOLE,CRACK,DAMAGE AND DRY CONTAINER GRADE 'A'</t>
        </is>
      </c>
      <c r="BB22" s="96" t="inlineStr">
        <is>
          <t>P</t>
        </is>
      </c>
      <c r="BC22" s="161" t="inlineStr">
        <is>
          <t>2026-10-16</t>
        </is>
      </c>
      <c r="BD22" s="161" t="inlineStr">
        <is>
          <t>2026-10-22</t>
        </is>
      </c>
      <c r="BE22" s="96" t="inlineStr">
        <is>
          <t>Y</t>
        </is>
      </c>
      <c r="BF22" s="96" t="inlineStr">
        <is>
          <t>LEAD WIRE ASSEMBLY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LCHY5</t>
        </is>
      </c>
      <c r="BL22" s="161" t="inlineStr">
        <is>
          <t>2026-10-21</t>
        </is>
      </c>
      <c r="BM22" s="127" t="n"/>
      <c r="BN22" s="127" t="n">
        <v>1</v>
      </c>
      <c r="BO22" s="127" t="n"/>
      <c r="BP22" s="127" t="n"/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inlineStr">
        <is>
          <t>Y</t>
        </is>
      </c>
      <c r="CB22" s="97" t="n"/>
      <c r="CC22" s="96" t="inlineStr">
        <is>
          <t>LCH01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jitsupa.j@th.yusen-logistics.com</t>
        </is>
      </c>
      <c r="CJ22" s="96" t="inlineStr">
        <is>
          <t>YUSEN LOGISTICS (THAILAND) CO., LTD</t>
        </is>
      </c>
      <c r="CK22" s="96" t="inlineStr">
        <is>
          <t>YUSEN LOGISTICS (CHINA) CO., LTD.</t>
        </is>
      </c>
      <c r="CL22" s="96" t="inlineStr">
        <is>
          <t>YUSEN LOGISTICS (CHINA) CO., LTD.</t>
        </is>
      </c>
      <c r="CM22" s="97" t="n"/>
      <c r="CN22" s="96" t="inlineStr">
        <is>
          <t>202610211700</t>
        </is>
      </c>
      <c r="CO22" s="96" t="inlineStr">
        <is>
          <t>202610222359</t>
        </is>
      </c>
      <c r="CP22" s="97" t="n"/>
      <c r="CQ22" s="96" t="inlineStr">
        <is>
          <t>S19-2112038</t>
        </is>
      </c>
      <c r="CR22" s="96" t="inlineStr">
        <is>
          <t>TH03TL</t>
        </is>
      </c>
      <c r="CS22" s="96" t="inlineStr">
        <is>
          <t>YUSEN LOGISTICS (THAILAND) CO., LTD.</t>
        </is>
      </c>
      <c r="CT22" s="96" t="inlineStr">
        <is>
          <t>N</t>
        </is>
      </c>
      <c r="CU22" s="97" t="n"/>
      <c r="CV22" s="97" t="n"/>
      <c r="CW22" s="161" t="inlineStr">
        <is>
          <t>2026-10-24</t>
        </is>
      </c>
      <c r="CX22" s="97" t="n"/>
      <c r="CY22" s="183" t="n"/>
    </row>
    <row r="23" ht="12" customHeight="1">
      <c r="A23" s="116" t="inlineStr">
        <is>
          <t>HASLS22261001374</t>
        </is>
      </c>
      <c r="B23" s="96" t="inlineStr">
        <is>
          <t>20'x2</t>
        </is>
      </c>
      <c r="C23" s="97" t="n">
        <v>2</v>
      </c>
      <c r="D23" s="97" t="n">
        <v>2</v>
      </c>
      <c r="E23" s="97" t="n"/>
      <c r="F23" s="97" t="n">
        <v>0</v>
      </c>
      <c r="G23" s="97" t="n">
        <v>2</v>
      </c>
      <c r="H23" s="97" t="n">
        <v>0</v>
      </c>
      <c r="I23" s="97" t="n">
        <v>0</v>
      </c>
      <c r="J23" s="97" t="n">
        <v>2</v>
      </c>
      <c r="K23" s="96" t="inlineStr">
        <is>
          <t>N</t>
        </is>
      </c>
      <c r="L23" s="96" t="inlineStr">
        <is>
          <t>CHT</t>
        </is>
      </c>
      <c r="M23" s="96" t="inlineStr">
        <is>
          <t>KMGY</t>
        </is>
      </c>
      <c r="N23" s="96" t="inlineStr">
        <is>
          <t>2611N</t>
        </is>
      </c>
      <c r="O23" s="96" t="inlineStr">
        <is>
          <t>THLCH</t>
        </is>
      </c>
      <c r="P23" s="96" t="inlineStr">
        <is>
          <t>LCH01</t>
        </is>
      </c>
      <c r="Q23" s="96" t="inlineStr">
        <is>
          <t>IA</t>
        </is>
      </c>
      <c r="R23" s="161" t="inlineStr">
        <is>
          <t>2026-10-25</t>
        </is>
      </c>
      <c r="S23" s="96" t="inlineStr">
        <is>
          <t>HKHKG</t>
        </is>
      </c>
      <c r="T23" s="96" t="inlineStr">
        <is>
          <t>HKG03</t>
        </is>
      </c>
      <c r="U23" s="96" t="inlineStr">
        <is>
          <t>CNTAP</t>
        </is>
      </c>
      <c r="V23" s="161" t="inlineStr">
        <is>
          <t>2026-10-29</t>
        </is>
      </c>
      <c r="W23" s="96" t="inlineStr">
        <is>
          <t>IA</t>
        </is>
      </c>
      <c r="X23" s="97" t="inlineStr">
        <is>
          <t>Barge</t>
        </is>
      </c>
      <c r="Y23" s="97" t="n"/>
      <c r="Z23" s="97" t="n"/>
      <c r="AA23" s="96" t="inlineStr">
        <is>
          <t>UBE CHEMICALS (ASIA) PUBLIC COMPANY LIMITED</t>
        </is>
      </c>
      <c r="AB23" s="96" t="inlineStr">
        <is>
          <t>THAI SYNTHETIC RUBBERS CO., LTD.</t>
        </is>
      </c>
      <c r="AC23" s="163" t="n">
        <v>37920</v>
      </c>
      <c r="AD23" s="163" t="n">
        <v>42320</v>
      </c>
      <c r="AE23" s="96" t="inlineStr">
        <is>
          <t>OK</t>
        </is>
      </c>
      <c r="AF23" s="96" t="n"/>
      <c r="AG23" s="97" t="n"/>
      <c r="AH23" s="96" t="inlineStr">
        <is>
          <t>CHK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TBKK47</t>
        </is>
      </c>
      <c r="AN23" s="96" t="inlineStr">
        <is>
          <t>Tarn(Supaporn)</t>
        </is>
      </c>
      <c r="AO23" s="96" t="inlineStr">
        <is>
          <t>SYNTHETIC RUBBER UBEPOL VCR617</t>
        </is>
      </c>
      <c r="AP23" s="96" t="inlineStr">
        <is>
          <t>Normal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n"/>
      <c r="AZ23" s="96" t="inlineStr">
        <is>
          <t xml:space="preserve">CY-RTN : 21-22/10/2026 REF : ID-TBA1002(BR-26083B)
CLS TIME DD.23/10/2026 @ 12.00
RQST Good condition; Grade B+ 
</t>
        </is>
      </c>
      <c r="BA23" s="97" t="inlineStr">
        <is>
          <t>SI DD.22/10/26</t>
        </is>
      </c>
      <c r="BB23" s="96" t="inlineStr">
        <is>
          <t>P</t>
        </is>
      </c>
      <c r="BC23" s="161" t="inlineStr">
        <is>
          <t>2026-10-19</t>
        </is>
      </c>
      <c r="BD23" s="161" t="inlineStr">
        <is>
          <t>2026-10-22</t>
        </is>
      </c>
      <c r="BE23" s="96" t="inlineStr">
        <is>
          <t>Y</t>
        </is>
      </c>
      <c r="BF23" s="96" t="inlineStr">
        <is>
          <t xml:space="preserve">Polybutadiene Rubber 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LCHY5</t>
        </is>
      </c>
      <c r="BL23" s="161" t="inlineStr">
        <is>
          <t>2026-10-21</t>
        </is>
      </c>
      <c r="BM23" s="127" t="n"/>
      <c r="BN23" s="127" t="n">
        <v>2</v>
      </c>
      <c r="BO23" s="127" t="n"/>
      <c r="BP23" s="127" t="n"/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/>
      <c r="CA23" s="96" t="n"/>
      <c r="CB23" s="97" t="n"/>
      <c r="CC23" s="96" t="inlineStr">
        <is>
          <t>LCH01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n"/>
      <c r="CI23" s="96" t="inlineStr">
        <is>
          <t>nunnaphus@ube.co.th;ugttransportex@ube.co.th</t>
        </is>
      </c>
      <c r="CJ23" s="96" t="inlineStr">
        <is>
          <t>THAI SYNTHETIC RUBBERS COMPANY</t>
        </is>
      </c>
      <c r="CK23" s="96" t="inlineStr">
        <is>
          <t>DONGGUAN JIAYUE RUBBER AND PLASTIC</t>
        </is>
      </c>
      <c r="CL23" s="96" t="inlineStr">
        <is>
          <t>DONGGUAN JIAYUE RUBBER AND PLASTIC</t>
        </is>
      </c>
      <c r="CM23" s="97" t="n"/>
      <c r="CN23" s="96" t="inlineStr">
        <is>
          <t>202610211700</t>
        </is>
      </c>
      <c r="CO23" s="96" t="inlineStr">
        <is>
          <t>202610222359</t>
        </is>
      </c>
      <c r="CP23" s="97" t="n"/>
      <c r="CQ23" s="96" t="inlineStr">
        <is>
          <t>BKK17A0457-1</t>
        </is>
      </c>
      <c r="CR23" s="96" t="inlineStr">
        <is>
          <t>TH035E</t>
        </is>
      </c>
      <c r="CS23" s="96" t="inlineStr">
        <is>
          <t>UBE CHEMICALS (ASIA) PUBLIC COMPANY LIMITED</t>
        </is>
      </c>
      <c r="CT23" s="96" t="inlineStr">
        <is>
          <t>N</t>
        </is>
      </c>
      <c r="CU23" s="97" t="n"/>
      <c r="CV23" s="97" t="n"/>
      <c r="CW23" s="161" t="inlineStr">
        <is>
          <t>2026-10-24</t>
        </is>
      </c>
      <c r="CX23" s="97" t="n"/>
      <c r="CY23" s="183" t="n"/>
    </row>
    <row r="24" ht="12" customHeight="1">
      <c r="A24" s="116" t="inlineStr">
        <is>
          <t>HASLS22261001424</t>
        </is>
      </c>
      <c r="B24" s="96" t="inlineStr">
        <is>
          <t>40Hx1</t>
        </is>
      </c>
      <c r="C24" s="97" t="n">
        <v>1</v>
      </c>
      <c r="D24" s="97" t="n">
        <v>1</v>
      </c>
      <c r="E24" s="97" t="n"/>
      <c r="F24" s="97" t="n">
        <v>0</v>
      </c>
      <c r="G24" s="97" t="n">
        <v>0</v>
      </c>
      <c r="H24" s="97" t="n">
        <v>0</v>
      </c>
      <c r="I24" s="97" t="n">
        <v>1</v>
      </c>
      <c r="J24" s="97" t="n">
        <v>2</v>
      </c>
      <c r="K24" s="96" t="inlineStr">
        <is>
          <t>N</t>
        </is>
      </c>
      <c r="L24" s="96" t="inlineStr">
        <is>
          <t>CHT</t>
        </is>
      </c>
      <c r="M24" s="96" t="inlineStr">
        <is>
          <t>KMGY</t>
        </is>
      </c>
      <c r="N24" s="96" t="inlineStr">
        <is>
          <t>2611N</t>
        </is>
      </c>
      <c r="O24" s="96" t="inlineStr">
        <is>
          <t>THLCH</t>
        </is>
      </c>
      <c r="P24" s="96" t="inlineStr">
        <is>
          <t>LCH01</t>
        </is>
      </c>
      <c r="Q24" s="96" t="inlineStr">
        <is>
          <t>IA</t>
        </is>
      </c>
      <c r="R24" s="161" t="inlineStr">
        <is>
          <t>2026-10-25</t>
        </is>
      </c>
      <c r="S24" s="96" t="inlineStr">
        <is>
          <t>KRINC</t>
        </is>
      </c>
      <c r="T24" s="96" t="inlineStr">
        <is>
          <t>INC03</t>
        </is>
      </c>
      <c r="U24" s="96" t="inlineStr">
        <is>
          <t>KRINC</t>
        </is>
      </c>
      <c r="V24" s="161" t="inlineStr">
        <is>
          <t>2026-11-03</t>
        </is>
      </c>
      <c r="W24" s="96" t="inlineStr">
        <is>
          <t>KR</t>
        </is>
      </c>
      <c r="X24" s="97" t="n"/>
      <c r="Y24" s="97" t="n"/>
      <c r="Z24" s="97" t="n"/>
      <c r="AA24" s="96" t="inlineStr">
        <is>
          <t>CARGO NETWORK DELIVERY (THAILAND) CO., LTD.</t>
        </is>
      </c>
      <c r="AB24" s="96" t="inlineStr">
        <is>
          <t>THAI GULF JELLYFISH CO., LTD.</t>
        </is>
      </c>
      <c r="AC24" s="163" t="n">
        <v>23400</v>
      </c>
      <c r="AD24" s="163" t="n">
        <v>27400</v>
      </c>
      <c r="AE24" s="96" t="inlineStr">
        <is>
          <t>OK</t>
        </is>
      </c>
      <c r="AF24" s="96" t="inlineStr">
        <is>
          <t>SR</t>
        </is>
      </c>
      <c r="AG24" s="97" t="n"/>
      <c r="AH24" s="96" t="inlineStr">
        <is>
          <t>CHK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TBKK28</t>
        </is>
      </c>
      <c r="AN24" s="96" t="inlineStr">
        <is>
          <t>Nustsireerach</t>
        </is>
      </c>
      <c r="AO24" s="96" t="inlineStr">
        <is>
          <t>SALTED JELLYFISH</t>
        </is>
      </c>
      <c r="AP24" s="96" t="inlineStr">
        <is>
          <t>Normal</t>
        </is>
      </c>
      <c r="AQ24" s="97" t="n"/>
      <c r="AR24" s="97" t="n"/>
      <c r="AS24" s="97" t="n"/>
      <c r="AT24" s="97" t="n"/>
      <c r="AU24" s="97" t="n"/>
      <c r="AV24" s="97" t="n"/>
      <c r="AW24" s="97" t="n">
        <v>0</v>
      </c>
      <c r="AX24" s="96" t="inlineStr">
        <is>
          <t>N</t>
        </is>
      </c>
      <c r="AY24" s="97" t="n"/>
      <c r="AZ24" s="96" t="inlineStr">
        <is>
          <t xml:space="preserve">Pickup : 2026-10-20, Return : 2026-10-21
 ** PLEASE CHECK OPEN GATE BEFORE RETURN CNTR **
</t>
        </is>
      </c>
      <c r="BA24" s="97" t="inlineStr">
        <is>
          <t>PLEASE KEEP OUR CONTAINER "UNDER DECK &amp; AWAYS FROM HOT AREA"</t>
        </is>
      </c>
      <c r="BB24" s="96" t="inlineStr">
        <is>
          <t>P</t>
        </is>
      </c>
      <c r="BC24" s="161" t="inlineStr">
        <is>
          <t>2026-10-19</t>
        </is>
      </c>
      <c r="BD24" s="161" t="inlineStr">
        <is>
          <t>2026-10-22</t>
        </is>
      </c>
      <c r="BE24" s="96" t="inlineStr">
        <is>
          <t>Y</t>
        </is>
      </c>
      <c r="BF24" s="96" t="inlineStr">
        <is>
          <t>SALTED JELLYFISH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LCHY5</t>
        </is>
      </c>
      <c r="BL24" s="161" t="inlineStr">
        <is>
          <t>2026-10-20</t>
        </is>
      </c>
      <c r="BM24" s="127" t="n"/>
      <c r="BN24" s="127" t="n"/>
      <c r="BO24" s="127" t="n"/>
      <c r="BP24" s="127" t="n">
        <v>1</v>
      </c>
      <c r="BQ24" s="127" t="n"/>
      <c r="BR24" s="127" t="n"/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/>
      <c r="CA24" s="96" t="inlineStr">
        <is>
          <t>Y</t>
        </is>
      </c>
      <c r="CB24" s="97" t="n"/>
      <c r="CC24" s="96" t="inlineStr">
        <is>
          <t>LCH01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n"/>
      <c r="CI24" s="96" t="inlineStr">
        <is>
          <t>cs@cndthai.com</t>
        </is>
      </c>
      <c r="CJ24" s="96" t="inlineStr">
        <is>
          <t>THAI GULF JELLYFISH CO.,LTD</t>
        </is>
      </c>
      <c r="CK24" s="96" t="inlineStr">
        <is>
          <t>TO THE ORDER OF KEB HANA BANK</t>
        </is>
      </c>
      <c r="CL24" s="96" t="inlineStr">
        <is>
          <t>JJ OCEAN.</t>
        </is>
      </c>
      <c r="CM24" s="97" t="n"/>
      <c r="CN24" s="96" t="inlineStr">
        <is>
          <t>202610211700</t>
        </is>
      </c>
      <c r="CO24" s="96" t="inlineStr">
        <is>
          <t>202610222359</t>
        </is>
      </c>
      <c r="CP24" s="97" t="n"/>
      <c r="CQ24" s="96" t="inlineStr">
        <is>
          <t>S19-2308004</t>
        </is>
      </c>
      <c r="CR24" s="96" t="inlineStr">
        <is>
          <t>BB0596</t>
        </is>
      </c>
      <c r="CS24" s="96" t="inlineStr">
        <is>
          <t>CARGO NETWORK DELIVERY (THAILAND) CO., LTD.</t>
        </is>
      </c>
      <c r="CT24" s="96" t="inlineStr">
        <is>
          <t>N</t>
        </is>
      </c>
      <c r="CU24" s="97" t="n"/>
      <c r="CV24" s="97" t="n"/>
      <c r="CW24" s="161" t="inlineStr">
        <is>
          <t>2026-10-24</t>
        </is>
      </c>
      <c r="CX24" s="97" t="n"/>
      <c r="CY24" s="183" t="n"/>
    </row>
    <row r="25" ht="12" customHeight="1">
      <c r="A25" s="116" t="inlineStr">
        <is>
          <t>HASLS22261001578</t>
        </is>
      </c>
      <c r="B25" s="96" t="inlineStr">
        <is>
          <t>R40Hx1</t>
        </is>
      </c>
      <c r="C25" s="97" t="n">
        <v>0</v>
      </c>
      <c r="D25" s="97" t="n">
        <v>0</v>
      </c>
      <c r="E25" s="97" t="n"/>
      <c r="F25" s="97" t="n">
        <v>0</v>
      </c>
      <c r="G25" s="97" t="n">
        <v>0</v>
      </c>
      <c r="H25" s="97" t="n">
        <v>0</v>
      </c>
      <c r="I25" s="97" t="n">
        <v>1</v>
      </c>
      <c r="J25" s="97" t="n">
        <v>2</v>
      </c>
      <c r="K25" s="96" t="inlineStr">
        <is>
          <t>SOC</t>
        </is>
      </c>
      <c r="L25" s="96" t="inlineStr">
        <is>
          <t>CHT</t>
        </is>
      </c>
      <c r="M25" s="96" t="inlineStr">
        <is>
          <t>KMGY</t>
        </is>
      </c>
      <c r="N25" s="96" t="inlineStr">
        <is>
          <t>2611N</t>
        </is>
      </c>
      <c r="O25" s="96" t="inlineStr">
        <is>
          <t>THLCH</t>
        </is>
      </c>
      <c r="P25" s="96" t="inlineStr">
        <is>
          <t>LCH01</t>
        </is>
      </c>
      <c r="Q25" s="96" t="inlineStr">
        <is>
          <t>IA</t>
        </is>
      </c>
      <c r="R25" s="161" t="inlineStr">
        <is>
          <t>2026-10-25</t>
        </is>
      </c>
      <c r="S25" s="96" t="inlineStr">
        <is>
          <t>HKHKG</t>
        </is>
      </c>
      <c r="T25" s="96" t="inlineStr">
        <is>
          <t>HKG03</t>
        </is>
      </c>
      <c r="U25" s="96" t="inlineStr">
        <is>
          <t>HKHKG</t>
        </is>
      </c>
      <c r="V25" s="161" t="inlineStr">
        <is>
          <t>2026-10-29</t>
        </is>
      </c>
      <c r="W25" s="96" t="inlineStr">
        <is>
          <t>IA</t>
        </is>
      </c>
      <c r="X25" s="97" t="n"/>
      <c r="Y25" s="97" t="n"/>
      <c r="Z25" s="97" t="n"/>
      <c r="AA25" s="96" t="inlineStr">
        <is>
          <t>PACIFIC FORWARDER INTERNATIONAL CO., LTD.</t>
        </is>
      </c>
      <c r="AB25" s="96" t="inlineStr">
        <is>
          <t>BLUE OCEAN CONTAINER SERVICE LIMITED</t>
        </is>
      </c>
      <c r="AC25" s="163" t="n">
        <v>12500</v>
      </c>
      <c r="AD25" s="163" t="n">
        <v>16500</v>
      </c>
      <c r="AE25" s="96" t="inlineStr">
        <is>
          <t>OK</t>
        </is>
      </c>
      <c r="AF25" s="96" t="inlineStr">
        <is>
          <t>SR</t>
        </is>
      </c>
      <c r="AG25" s="97" t="n"/>
      <c r="AH25" s="96" t="inlineStr">
        <is>
          <t>CHK</t>
        </is>
      </c>
      <c r="AI25" s="97" t="n"/>
      <c r="AJ25" s="97" t="n"/>
      <c r="AK25" s="97" t="n"/>
      <c r="AL25" s="97" t="n"/>
      <c r="AM25" s="96" t="inlineStr">
        <is>
          <t>TH0042</t>
        </is>
      </c>
      <c r="AN25" s="96" t="inlineStr">
        <is>
          <t>Sukunpoj Damrongying</t>
        </is>
      </c>
      <c r="AO25" s="96" t="inlineStr">
        <is>
          <t>USED CONTAINER REFRIGERATION UNIT</t>
        </is>
      </c>
      <c r="AP25" s="96" t="inlineStr">
        <is>
          <t>Normal</t>
        </is>
      </c>
      <c r="AQ25" s="97" t="n"/>
      <c r="AR25" s="97" t="n"/>
      <c r="AS25" s="97" t="inlineStr">
        <is>
          <t>RF// MIN: MAX:</t>
        </is>
      </c>
      <c r="AT25" s="97" t="n"/>
      <c r="AU25" s="97" t="n"/>
      <c r="AV25" s="97" t="n"/>
      <c r="AW25" s="97" t="n">
        <v>0</v>
      </c>
      <c r="AX25" s="96" t="inlineStr">
        <is>
          <t>N</t>
        </is>
      </c>
      <c r="AY25" s="97" t="n"/>
      <c r="AZ25" s="96" t="inlineStr">
        <is>
          <t xml:space="preserve"> Pickup : 2026-10-20, Return : 2026-10-21 SOC 
CUSTOMS FORMALITY (SOC) BY BLUE OCEAN / TAX ID : 0205566053465</t>
        </is>
      </c>
      <c r="BA25" s="97" t="inlineStr">
        <is>
          <t>SOC CONTAINERCOMMODITY : EMPTY  CONTAINER
FM 1X40GP TO 1X40'RH (EMTPY)</t>
        </is>
      </c>
      <c r="BB25" s="96" t="inlineStr">
        <is>
          <t>P</t>
        </is>
      </c>
      <c r="BC25" s="161" t="inlineStr">
        <is>
          <t>2026-10-20</t>
        </is>
      </c>
      <c r="BD25" s="161" t="inlineStr">
        <is>
          <t>2026-10-22</t>
        </is>
      </c>
      <c r="BE25" s="96" t="inlineStr">
        <is>
          <t>Y</t>
        </is>
      </c>
      <c r="BF25" s="96" t="inlineStr">
        <is>
          <t xml:space="preserve">USED CONTAINER REFRIGERATION UNIT 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n"/>
      <c r="BL25" s="161" t="inlineStr">
        <is>
          <t>2026-10-20</t>
        </is>
      </c>
      <c r="BM25" s="127" t="n"/>
      <c r="BN25" s="127" t="n"/>
      <c r="BO25" s="127" t="n"/>
      <c r="BP25" s="127" t="n"/>
      <c r="BQ25" s="127" t="n"/>
      <c r="BR25" s="127" t="n">
        <v>1</v>
      </c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/>
      <c r="CA25" s="96" t="inlineStr">
        <is>
          <t>Y</t>
        </is>
      </c>
      <c r="CB25" s="97" t="n"/>
      <c r="CC25" s="96" t="inlineStr">
        <is>
          <t>LCH01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n"/>
      <c r="CI25" s="96" t="inlineStr">
        <is>
          <t>cs_exp@pfi-forwarder.co.th;thanakorn.c@pfi-forwarder.co.th</t>
        </is>
      </c>
      <c r="CJ25" s="96" t="inlineStr">
        <is>
          <t>BLUE OCEAN CONTAINER SERVICE</t>
        </is>
      </c>
      <c r="CK25" s="96" t="inlineStr">
        <is>
          <t>JUNTAI CONTAINER SERVICE COMPANY</t>
        </is>
      </c>
      <c r="CL25" s="96" t="inlineStr">
        <is>
          <t>JUNTAI CONTAINER SERVICE COMPANY</t>
        </is>
      </c>
      <c r="CM25" s="97" t="n"/>
      <c r="CN25" s="96" t="inlineStr">
        <is>
          <t>202610211700</t>
        </is>
      </c>
      <c r="CO25" s="96" t="inlineStr">
        <is>
          <t>202610222359</t>
        </is>
      </c>
      <c r="CP25" s="97" t="inlineStr">
        <is>
          <t>45RE x1: RF(Temp:' / Cover:)</t>
        </is>
      </c>
      <c r="CQ25" s="96" t="inlineStr">
        <is>
          <t>S22-2601010</t>
        </is>
      </c>
      <c r="CR25" s="96" t="inlineStr">
        <is>
          <t>TH04DU</t>
        </is>
      </c>
      <c r="CS25" s="96" t="inlineStr">
        <is>
          <t>PACIFIC FORWARDER INTERNATIONAL CO., LTD.</t>
        </is>
      </c>
      <c r="CT25" s="96" t="inlineStr">
        <is>
          <t>N</t>
        </is>
      </c>
      <c r="CU25" s="97" t="n"/>
      <c r="CV25" s="97" t="n"/>
      <c r="CW25" s="161" t="inlineStr">
        <is>
          <t>2026-10-24</t>
        </is>
      </c>
      <c r="CX25" s="97" t="n"/>
      <c r="CY25" s="183" t="n"/>
    </row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BEAU2477860</t>
        </is>
      </c>
      <c r="B2" s="108" t="inlineStr">
        <is>
          <t>LCH01</t>
        </is>
      </c>
      <c r="C2" s="108" t="inlineStr">
        <is>
          <t>IFV</t>
        </is>
      </c>
      <c r="D2" s="172" t="inlineStr">
        <is>
          <t>2026-10-17</t>
        </is>
      </c>
      <c r="E2" s="173" t="inlineStr">
        <is>
          <t>0101</t>
        </is>
      </c>
      <c r="F2" s="96" t="inlineStr">
        <is>
          <t>HASLS22260900819</t>
        </is>
      </c>
      <c r="G2" s="96" t="inlineStr">
        <is>
          <t>JAST GLOBAL CO.,LTD.</t>
        </is>
      </c>
      <c r="H2" s="111" t="inlineStr">
        <is>
          <t>22GP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HASLS22260900819</t>
        </is>
      </c>
      <c r="N2" s="96" t="inlineStr">
        <is>
          <t xml:space="preserve">20'x10 </t>
        </is>
      </c>
      <c r="O2" s="111" t="inlineStr">
        <is>
          <t>2015</t>
        </is>
      </c>
      <c r="P2" s="111" t="n"/>
      <c r="Q2" s="111" t="n"/>
      <c r="R2" s="96" t="inlineStr">
        <is>
          <t>KMGY</t>
        </is>
      </c>
      <c r="S2" s="96" t="inlineStr">
        <is>
          <t>2611N</t>
        </is>
      </c>
      <c r="T2" s="96" t="inlineStr">
        <is>
          <t>LCH01</t>
        </is>
      </c>
      <c r="U2" s="96" t="inlineStr">
        <is>
          <t>THLCH</t>
        </is>
      </c>
      <c r="V2" s="161" t="inlineStr">
        <is>
          <t>2026-10-25</t>
        </is>
      </c>
      <c r="W2" s="96" t="inlineStr">
        <is>
          <t>KRINC</t>
        </is>
      </c>
      <c r="X2" s="161" t="inlineStr">
        <is>
          <t>2026-11-03</t>
        </is>
      </c>
      <c r="Y2" s="97" t="n"/>
      <c r="Z2" s="97" t="n"/>
      <c r="AA2" s="97" t="n"/>
      <c r="AB2" s="97" t="n"/>
      <c r="AC2" s="97" t="n"/>
      <c r="AD2" s="161" t="inlineStr">
        <is>
          <t>2026-10-17</t>
        </is>
      </c>
      <c r="AE2" s="174" t="inlineStr">
        <is>
          <t>0410</t>
        </is>
      </c>
      <c r="AF2" s="96" t="inlineStr">
        <is>
          <t>EDI2</t>
        </is>
      </c>
      <c r="AG2" s="97" t="n"/>
      <c r="AH2" s="97" t="n"/>
      <c r="AI2" s="97" t="n"/>
      <c r="AJ2" s="96" t="inlineStr">
        <is>
          <t>TO ORDER</t>
        </is>
      </c>
      <c r="AK2" s="130" t="n"/>
    </row>
    <row r="3" ht="12" customHeight="1">
      <c r="A3" s="108" t="inlineStr">
        <is>
          <t>BEAU2862038</t>
        </is>
      </c>
      <c r="B3" s="108" t="inlineStr">
        <is>
          <t>LCH01</t>
        </is>
      </c>
      <c r="C3" s="108" t="inlineStr">
        <is>
          <t>IFV</t>
        </is>
      </c>
      <c r="D3" s="172" t="inlineStr">
        <is>
          <t>2026-10-19</t>
        </is>
      </c>
      <c r="E3" s="173" t="inlineStr">
        <is>
          <t>0540</t>
        </is>
      </c>
      <c r="F3" s="96" t="inlineStr">
        <is>
          <t>HASLS22261000794</t>
        </is>
      </c>
      <c r="G3" s="96" t="inlineStr">
        <is>
          <t>IRPC PUBLIC COMPANY LIMITED</t>
        </is>
      </c>
      <c r="H3" s="111" t="inlineStr">
        <is>
          <t>22GP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HASLS22261000794</t>
        </is>
      </c>
      <c r="N3" s="96" t="inlineStr">
        <is>
          <t xml:space="preserve">20'x4 </t>
        </is>
      </c>
      <c r="O3" s="111" t="inlineStr">
        <is>
          <t>2016</t>
        </is>
      </c>
      <c r="P3" s="111" t="n"/>
      <c r="Q3" s="111" t="n"/>
      <c r="R3" s="96" t="inlineStr">
        <is>
          <t>KMGY</t>
        </is>
      </c>
      <c r="S3" s="96" t="inlineStr">
        <is>
          <t>2611N</t>
        </is>
      </c>
      <c r="T3" s="96" t="inlineStr">
        <is>
          <t>LCH01</t>
        </is>
      </c>
      <c r="U3" s="96" t="inlineStr">
        <is>
          <t>THLCH</t>
        </is>
      </c>
      <c r="V3" s="161" t="inlineStr">
        <is>
          <t>2026-10-25</t>
        </is>
      </c>
      <c r="W3" s="96" t="inlineStr">
        <is>
          <t>HKHKG</t>
        </is>
      </c>
      <c r="X3" s="161" t="inlineStr">
        <is>
          <t>2026-10-29</t>
        </is>
      </c>
      <c r="Y3" s="97" t="n"/>
      <c r="Z3" s="97" t="n"/>
      <c r="AA3" s="97" t="n"/>
      <c r="AB3" s="97" t="n"/>
      <c r="AC3" s="97" t="n"/>
      <c r="AD3" s="161" t="inlineStr">
        <is>
          <t>2026-10-19</t>
        </is>
      </c>
      <c r="AE3" s="174" t="inlineStr">
        <is>
          <t>0910</t>
        </is>
      </c>
      <c r="AF3" s="96" t="inlineStr">
        <is>
          <t>EDI2</t>
        </is>
      </c>
      <c r="AG3" s="97" t="n"/>
      <c r="AH3" s="97" t="n"/>
      <c r="AI3" s="97" t="n"/>
      <c r="AJ3" s="96" t="inlineStr">
        <is>
          <t>TO ORDER OF SOLID GOLD INDUSTRIES</t>
        </is>
      </c>
      <c r="AK3" s="130" t="n"/>
    </row>
    <row r="4" ht="12" customHeight="1">
      <c r="A4" s="108" t="inlineStr">
        <is>
          <t>BMOU5815245</t>
        </is>
      </c>
      <c r="B4" s="108" t="inlineStr">
        <is>
          <t>LCH01</t>
        </is>
      </c>
      <c r="C4" s="108" t="inlineStr">
        <is>
          <t>IFV</t>
        </is>
      </c>
      <c r="D4" s="172" t="inlineStr">
        <is>
          <t>2026-10-18</t>
        </is>
      </c>
      <c r="E4" s="173" t="inlineStr">
        <is>
          <t>0554</t>
        </is>
      </c>
      <c r="F4" s="96" t="inlineStr">
        <is>
          <t>HASLS22260902742</t>
        </is>
      </c>
      <c r="G4" s="96" t="inlineStr">
        <is>
          <t>SEA &amp; AERO LOGISTICS CO., LTD.</t>
        </is>
      </c>
      <c r="H4" s="111" t="inlineStr">
        <is>
          <t>45GP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HASLS22260902742</t>
        </is>
      </c>
      <c r="N4" s="96" t="inlineStr">
        <is>
          <t xml:space="preserve">40Hx7 </t>
        </is>
      </c>
      <c r="O4" s="111" t="inlineStr">
        <is>
          <t>2014</t>
        </is>
      </c>
      <c r="P4" s="111" t="n"/>
      <c r="Q4" s="111" t="n"/>
      <c r="R4" s="96" t="inlineStr">
        <is>
          <t>KMGY</t>
        </is>
      </c>
      <c r="S4" s="96" t="inlineStr">
        <is>
          <t>2611N</t>
        </is>
      </c>
      <c r="T4" s="96" t="inlineStr">
        <is>
          <t>LCH01</t>
        </is>
      </c>
      <c r="U4" s="96" t="inlineStr">
        <is>
          <t>THLCH</t>
        </is>
      </c>
      <c r="V4" s="161" t="inlineStr">
        <is>
          <t>2026-10-25</t>
        </is>
      </c>
      <c r="W4" s="96" t="inlineStr">
        <is>
          <t>HKHKG</t>
        </is>
      </c>
      <c r="X4" s="161" t="inlineStr">
        <is>
          <t>2026-10-29</t>
        </is>
      </c>
      <c r="Y4" s="97" t="n"/>
      <c r="Z4" s="97" t="n"/>
      <c r="AA4" s="97" t="n"/>
      <c r="AB4" s="97" t="n"/>
      <c r="AC4" s="97" t="n"/>
      <c r="AD4" s="161" t="inlineStr">
        <is>
          <t>2026-10-18</t>
        </is>
      </c>
      <c r="AE4" s="174" t="inlineStr">
        <is>
          <t>0910</t>
        </is>
      </c>
      <c r="AF4" s="96" t="inlineStr">
        <is>
          <t>EDI2</t>
        </is>
      </c>
      <c r="AG4" s="97" t="n"/>
      <c r="AH4" s="97" t="n"/>
      <c r="AI4" s="97" t="n"/>
      <c r="AJ4" s="96" t="inlineStr">
        <is>
          <t>HONG KONG GOTO BUTSURYU LTD.</t>
        </is>
      </c>
      <c r="AK4" s="130" t="n"/>
    </row>
    <row r="5" ht="12" customHeight="1">
      <c r="A5" s="108" t="inlineStr">
        <is>
          <t>BMOU6001135</t>
        </is>
      </c>
      <c r="B5" s="108" t="inlineStr">
        <is>
          <t>LCH01</t>
        </is>
      </c>
      <c r="C5" s="108" t="inlineStr">
        <is>
          <t>IFV</t>
        </is>
      </c>
      <c r="D5" s="172" t="inlineStr">
        <is>
          <t>2026-10-22</t>
        </is>
      </c>
      <c r="E5" s="173" t="inlineStr">
        <is>
          <t>0431</t>
        </is>
      </c>
      <c r="F5" s="96" t="inlineStr">
        <is>
          <t>HASLS22261001156</t>
        </is>
      </c>
      <c r="G5" s="96" t="inlineStr">
        <is>
          <t>YUSEN LOGISTICS (THAILAND) CO., LTD.</t>
        </is>
      </c>
      <c r="H5" s="111" t="inlineStr">
        <is>
          <t>45GP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HASLS22261001156</t>
        </is>
      </c>
      <c r="N5" s="96" t="inlineStr">
        <is>
          <t xml:space="preserve">40Hx9 </t>
        </is>
      </c>
      <c r="O5" s="111" t="inlineStr">
        <is>
          <t>2015</t>
        </is>
      </c>
      <c r="P5" s="111" t="n"/>
      <c r="Q5" s="111" t="n"/>
      <c r="R5" s="96" t="inlineStr">
        <is>
          <t>KMGY</t>
        </is>
      </c>
      <c r="S5" s="96" t="inlineStr">
        <is>
          <t>2611N</t>
        </is>
      </c>
      <c r="T5" s="96" t="inlineStr">
        <is>
          <t>LCH01</t>
        </is>
      </c>
      <c r="U5" s="96" t="inlineStr">
        <is>
          <t>THLCH</t>
        </is>
      </c>
      <c r="V5" s="161" t="inlineStr">
        <is>
          <t>2026-10-25</t>
        </is>
      </c>
      <c r="W5" s="96" t="inlineStr">
        <is>
          <t>HKHKG</t>
        </is>
      </c>
      <c r="X5" s="161" t="inlineStr">
        <is>
          <t>2026-10-29</t>
        </is>
      </c>
      <c r="Y5" s="97" t="n"/>
      <c r="Z5" s="97" t="n"/>
      <c r="AA5" s="97" t="n"/>
      <c r="AB5" s="97" t="n"/>
      <c r="AC5" s="97" t="n"/>
      <c r="AD5" s="161" t="inlineStr">
        <is>
          <t>2026-10-22</t>
        </is>
      </c>
      <c r="AE5" s="174" t="inlineStr">
        <is>
          <t>0702</t>
        </is>
      </c>
      <c r="AF5" s="96" t="inlineStr">
        <is>
          <t>EDI2</t>
        </is>
      </c>
      <c r="AG5" s="97" t="n"/>
      <c r="AH5" s="97" t="n"/>
      <c r="AI5" s="97" t="n"/>
      <c r="AJ5" s="96" t="inlineStr">
        <is>
          <t>YUSEN LOGISTICS (HONG KONG) LTD.</t>
        </is>
      </c>
      <c r="AK5" s="130" t="n"/>
    </row>
    <row r="6" ht="12" customHeight="1">
      <c r="A6" s="108" t="inlineStr">
        <is>
          <t>DFSU7710395</t>
        </is>
      </c>
      <c r="B6" s="108" t="inlineStr">
        <is>
          <t>LCH01</t>
        </is>
      </c>
      <c r="C6" s="108" t="inlineStr">
        <is>
          <t>IFV</t>
        </is>
      </c>
      <c r="D6" s="172" t="inlineStr">
        <is>
          <t>2026-10-20</t>
        </is>
      </c>
      <c r="E6" s="173" t="inlineStr">
        <is>
          <t>0208</t>
        </is>
      </c>
      <c r="F6" s="96" t="inlineStr">
        <is>
          <t>HASLS22260902742</t>
        </is>
      </c>
      <c r="G6" s="96" t="inlineStr">
        <is>
          <t>SEA &amp; AERO LOGISTICS CO., LTD.</t>
        </is>
      </c>
      <c r="H6" s="111" t="inlineStr">
        <is>
          <t>45GP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HASLS22260902742</t>
        </is>
      </c>
      <c r="N6" s="96" t="inlineStr">
        <is>
          <t xml:space="preserve">40Hx7 </t>
        </is>
      </c>
      <c r="O6" s="111" t="inlineStr">
        <is>
          <t>2015</t>
        </is>
      </c>
      <c r="P6" s="111" t="n"/>
      <c r="Q6" s="111" t="n"/>
      <c r="R6" s="96" t="inlineStr">
        <is>
          <t>KMGY</t>
        </is>
      </c>
      <c r="S6" s="96" t="inlineStr">
        <is>
          <t>2611N</t>
        </is>
      </c>
      <c r="T6" s="96" t="inlineStr">
        <is>
          <t>LCH01</t>
        </is>
      </c>
      <c r="U6" s="96" t="inlineStr">
        <is>
          <t>THLCH</t>
        </is>
      </c>
      <c r="V6" s="161" t="inlineStr">
        <is>
          <t>2026-10-25</t>
        </is>
      </c>
      <c r="W6" s="96" t="inlineStr">
        <is>
          <t>HKHKG</t>
        </is>
      </c>
      <c r="X6" s="161" t="inlineStr">
        <is>
          <t>2026-10-29</t>
        </is>
      </c>
      <c r="Y6" s="97" t="n"/>
      <c r="Z6" s="97" t="n"/>
      <c r="AA6" s="97" t="n"/>
      <c r="AB6" s="97" t="n"/>
      <c r="AC6" s="97" t="n"/>
      <c r="AD6" s="161" t="inlineStr">
        <is>
          <t>2026-10-20</t>
        </is>
      </c>
      <c r="AE6" s="174" t="inlineStr">
        <is>
          <t>0511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HONG KONG GOTO BUTSURYU LTD.</t>
        </is>
      </c>
      <c r="AK6" s="130" t="n"/>
    </row>
    <row r="7" ht="12" customHeight="1">
      <c r="A7" s="108" t="inlineStr">
        <is>
          <t>FBIU0238276</t>
        </is>
      </c>
      <c r="B7" s="108" t="inlineStr">
        <is>
          <t>LCH01</t>
        </is>
      </c>
      <c r="C7" s="108" t="inlineStr">
        <is>
          <t>IFV</t>
        </is>
      </c>
      <c r="D7" s="172" t="inlineStr">
        <is>
          <t>2026-10-21</t>
        </is>
      </c>
      <c r="E7" s="173" t="inlineStr">
        <is>
          <t>2306</t>
        </is>
      </c>
      <c r="F7" s="96" t="inlineStr">
        <is>
          <t>HASLS22261000973</t>
        </is>
      </c>
      <c r="G7" s="96" t="inlineStr">
        <is>
          <t>IRPC PUBLIC COMPANY LIMITED</t>
        </is>
      </c>
      <c r="H7" s="111" t="inlineStr">
        <is>
          <t>22GP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HASLS22261000973</t>
        </is>
      </c>
      <c r="N7" s="96" t="inlineStr">
        <is>
          <t xml:space="preserve">20'x2 </t>
        </is>
      </c>
      <c r="O7" s="111" t="inlineStr">
        <is>
          <t>2018</t>
        </is>
      </c>
      <c r="P7" s="111" t="n"/>
      <c r="Q7" s="111" t="n"/>
      <c r="R7" s="96" t="inlineStr">
        <is>
          <t>KMGY</t>
        </is>
      </c>
      <c r="S7" s="96" t="inlineStr">
        <is>
          <t>2611N</t>
        </is>
      </c>
      <c r="T7" s="96" t="inlineStr">
        <is>
          <t>LCH01</t>
        </is>
      </c>
      <c r="U7" s="96" t="inlineStr">
        <is>
          <t>THLCH</t>
        </is>
      </c>
      <c r="V7" s="161" t="inlineStr">
        <is>
          <t>2026-10-25</t>
        </is>
      </c>
      <c r="W7" s="96" t="inlineStr">
        <is>
          <t>HKHKG</t>
        </is>
      </c>
      <c r="X7" s="161" t="inlineStr">
        <is>
          <t>2026-10-29</t>
        </is>
      </c>
      <c r="Y7" s="97" t="n"/>
      <c r="Z7" s="97" t="n"/>
      <c r="AA7" s="97" t="n"/>
      <c r="AB7" s="97" t="n"/>
      <c r="AC7" s="97" t="n"/>
      <c r="AD7" s="161" t="inlineStr">
        <is>
          <t>2026-10-22</t>
        </is>
      </c>
      <c r="AE7" s="174" t="inlineStr">
        <is>
          <t>0202</t>
        </is>
      </c>
      <c r="AF7" s="96" t="inlineStr">
        <is>
          <t>EDI2</t>
        </is>
      </c>
      <c r="AG7" s="97" t="n"/>
      <c r="AH7" s="97" t="n"/>
      <c r="AI7" s="97" t="n"/>
      <c r="AJ7" s="96" t="inlineStr">
        <is>
          <t>TO ORDER OF SOLID GOLD INDUSTRIES</t>
        </is>
      </c>
      <c r="AK7" s="130" t="n"/>
    </row>
    <row r="8" ht="12" customHeight="1">
      <c r="A8" s="108" t="inlineStr">
        <is>
          <t>FSCU5895356</t>
        </is>
      </c>
      <c r="B8" s="108" t="inlineStr">
        <is>
          <t>LCH01</t>
        </is>
      </c>
      <c r="C8" s="108" t="inlineStr">
        <is>
          <t>IFV</t>
        </is>
      </c>
      <c r="D8" s="172" t="inlineStr">
        <is>
          <t>2026-10-23</t>
        </is>
      </c>
      <c r="E8" s="173" t="inlineStr">
        <is>
          <t>0215</t>
        </is>
      </c>
      <c r="F8" s="96" t="inlineStr">
        <is>
          <t>HASLS22260901124</t>
        </is>
      </c>
      <c r="G8" s="96" t="inlineStr">
        <is>
          <t>DYNAMIC INTERTRANSPORT CO., LTD.</t>
        </is>
      </c>
      <c r="H8" s="111" t="inlineStr">
        <is>
          <t>45RE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HASLS22260901124</t>
        </is>
      </c>
      <c r="N8" s="96" t="inlineStr">
        <is>
          <t xml:space="preserve">R40Hx1 </t>
        </is>
      </c>
      <c r="O8" s="111" t="inlineStr">
        <is>
          <t>2020</t>
        </is>
      </c>
      <c r="P8" s="111" t="inlineStr">
        <is>
          <t>CARRIER</t>
        </is>
      </c>
      <c r="Q8" s="111" t="inlineStr">
        <is>
          <t>69NT40-561-500</t>
        </is>
      </c>
      <c r="R8" s="96" t="inlineStr">
        <is>
          <t>KMGY</t>
        </is>
      </c>
      <c r="S8" s="96" t="inlineStr">
        <is>
          <t>2611N</t>
        </is>
      </c>
      <c r="T8" s="96" t="inlineStr">
        <is>
          <t>LCH01</t>
        </is>
      </c>
      <c r="U8" s="96" t="inlineStr">
        <is>
          <t>THLCH</t>
        </is>
      </c>
      <c r="V8" s="161" t="inlineStr">
        <is>
          <t>2026-10-25</t>
        </is>
      </c>
      <c r="W8" s="96" t="inlineStr">
        <is>
          <t>HKHKG</t>
        </is>
      </c>
      <c r="X8" s="161" t="inlineStr">
        <is>
          <t>2026-10-29</t>
        </is>
      </c>
      <c r="Y8" s="97" t="n"/>
      <c r="Z8" s="97" t="n"/>
      <c r="AA8" s="97" t="n"/>
      <c r="AB8" s="97" t="n"/>
      <c r="AC8" s="97" t="n"/>
      <c r="AD8" s="161" t="inlineStr">
        <is>
          <t>2026-10-23</t>
        </is>
      </c>
      <c r="AE8" s="174" t="inlineStr">
        <is>
          <t>0502</t>
        </is>
      </c>
      <c r="AF8" s="96" t="inlineStr">
        <is>
          <t>EDI2</t>
        </is>
      </c>
      <c r="AG8" s="97" t="n"/>
      <c r="AH8" s="97" t="n"/>
      <c r="AI8" s="97" t="n"/>
      <c r="AJ8" s="96" t="inlineStr">
        <is>
          <t>CPF HONG KONG COMPANY LIMITED</t>
        </is>
      </c>
      <c r="AK8" s="130" t="n"/>
    </row>
    <row r="9" ht="12" customHeight="1">
      <c r="A9" s="108" t="inlineStr">
        <is>
          <t>GAOU6011791</t>
        </is>
      </c>
      <c r="B9" s="108" t="inlineStr">
        <is>
          <t>LCH01</t>
        </is>
      </c>
      <c r="C9" s="108" t="inlineStr">
        <is>
          <t>IFV</t>
        </is>
      </c>
      <c r="D9" s="172" t="inlineStr">
        <is>
          <t>2026-10-22</t>
        </is>
      </c>
      <c r="E9" s="173" t="inlineStr">
        <is>
          <t>1110</t>
        </is>
      </c>
      <c r="F9" s="96" t="inlineStr">
        <is>
          <t>HASLS22261000813</t>
        </is>
      </c>
      <c r="G9" s="96" t="inlineStr">
        <is>
          <t>YUSEN LOGISTICS (THAILAND) CO., LTD.</t>
        </is>
      </c>
      <c r="H9" s="111" t="inlineStr">
        <is>
          <t>45GP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HASLS22261000813</t>
        </is>
      </c>
      <c r="N9" s="96" t="inlineStr">
        <is>
          <t xml:space="preserve">40Hx12 </t>
        </is>
      </c>
      <c r="O9" s="111" t="inlineStr">
        <is>
          <t>2017</t>
        </is>
      </c>
      <c r="P9" s="111" t="n"/>
      <c r="Q9" s="111" t="n"/>
      <c r="R9" s="96" t="inlineStr">
        <is>
          <t>KMGY</t>
        </is>
      </c>
      <c r="S9" s="96" t="inlineStr">
        <is>
          <t>2611N</t>
        </is>
      </c>
      <c r="T9" s="96" t="inlineStr">
        <is>
          <t>LCH01</t>
        </is>
      </c>
      <c r="U9" s="96" t="inlineStr">
        <is>
          <t>THLCH</t>
        </is>
      </c>
      <c r="V9" s="161" t="inlineStr">
        <is>
          <t>2026-10-25</t>
        </is>
      </c>
      <c r="W9" s="96" t="inlineStr">
        <is>
          <t>HKHKG</t>
        </is>
      </c>
      <c r="X9" s="161" t="inlineStr">
        <is>
          <t>2026-10-29</t>
        </is>
      </c>
      <c r="Y9" s="97" t="n"/>
      <c r="Z9" s="97" t="n"/>
      <c r="AA9" s="97" t="n"/>
      <c r="AB9" s="97" t="n"/>
      <c r="AC9" s="97" t="n"/>
      <c r="AD9" s="161" t="inlineStr">
        <is>
          <t>2026-10-22</t>
        </is>
      </c>
      <c r="AE9" s="174" t="inlineStr">
        <is>
          <t>1402</t>
        </is>
      </c>
      <c r="AF9" s="96" t="inlineStr">
        <is>
          <t>EDI2</t>
        </is>
      </c>
      <c r="AG9" s="97" t="n"/>
      <c r="AH9" s="97" t="n"/>
      <c r="AI9" s="97" t="n"/>
      <c r="AJ9" s="96" t="inlineStr">
        <is>
          <t>YUSEN LOGISTICS (HONG KONG) LTD.</t>
        </is>
      </c>
      <c r="AK9" s="130" t="n"/>
    </row>
    <row r="10" ht="12" customHeight="1">
      <c r="A10" s="108" t="inlineStr">
        <is>
          <t>HALU2021092</t>
        </is>
      </c>
      <c r="B10" s="108" t="inlineStr">
        <is>
          <t>LCH01</t>
        </is>
      </c>
      <c r="C10" s="108" t="inlineStr">
        <is>
          <t>IFV</t>
        </is>
      </c>
      <c r="D10" s="172" t="inlineStr">
        <is>
          <t>2026-10-18</t>
        </is>
      </c>
      <c r="E10" s="173" t="inlineStr">
        <is>
          <t>0117</t>
        </is>
      </c>
      <c r="F10" s="96" t="inlineStr">
        <is>
          <t>HASLS22261000792</t>
        </is>
      </c>
      <c r="G10" s="96" t="inlineStr">
        <is>
          <t>IRPC PUBLIC COMPANY LIMITED</t>
        </is>
      </c>
      <c r="H10" s="111" t="inlineStr">
        <is>
          <t>22GP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HASLS22261000792</t>
        </is>
      </c>
      <c r="N10" s="96" t="inlineStr">
        <is>
          <t xml:space="preserve">20'x2 </t>
        </is>
      </c>
      <c r="O10" s="111" t="inlineStr">
        <is>
          <t>2013</t>
        </is>
      </c>
      <c r="P10" s="111" t="n"/>
      <c r="Q10" s="111" t="n"/>
      <c r="R10" s="96" t="inlineStr">
        <is>
          <t>KMGY</t>
        </is>
      </c>
      <c r="S10" s="96" t="inlineStr">
        <is>
          <t>2611N</t>
        </is>
      </c>
      <c r="T10" s="96" t="inlineStr">
        <is>
          <t>LCH01</t>
        </is>
      </c>
      <c r="U10" s="96" t="inlineStr">
        <is>
          <t>THLCH</t>
        </is>
      </c>
      <c r="V10" s="161" t="inlineStr">
        <is>
          <t>2026-10-25</t>
        </is>
      </c>
      <c r="W10" s="96" t="inlineStr">
        <is>
          <t>HKHKG</t>
        </is>
      </c>
      <c r="X10" s="161" t="inlineStr">
        <is>
          <t>2026-10-29</t>
        </is>
      </c>
      <c r="Y10" s="97" t="n"/>
      <c r="Z10" s="97" t="n"/>
      <c r="AA10" s="97" t="n"/>
      <c r="AB10" s="97" t="n"/>
      <c r="AC10" s="97" t="n"/>
      <c r="AD10" s="161" t="inlineStr">
        <is>
          <t>2026-10-18</t>
        </is>
      </c>
      <c r="AE10" s="174" t="inlineStr">
        <is>
          <t>0410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TO ORDER OF SOLID GOLD INDUSTRIES</t>
        </is>
      </c>
      <c r="AK10" s="130" t="n"/>
    </row>
    <row r="11" ht="12" customHeight="1">
      <c r="A11" s="108" t="inlineStr">
        <is>
          <t>HALU2026638</t>
        </is>
      </c>
      <c r="B11" s="108" t="inlineStr">
        <is>
          <t>LCH01</t>
        </is>
      </c>
      <c r="C11" s="108" t="inlineStr">
        <is>
          <t>IFV</t>
        </is>
      </c>
      <c r="D11" s="172" t="inlineStr">
        <is>
          <t>2026-10-17</t>
        </is>
      </c>
      <c r="E11" s="173" t="inlineStr">
        <is>
          <t>0916</t>
        </is>
      </c>
      <c r="F11" s="96" t="inlineStr">
        <is>
          <t>HASLS22260900819</t>
        </is>
      </c>
      <c r="G11" s="96" t="inlineStr">
        <is>
          <t>JAST GLOBAL CO.,LTD.</t>
        </is>
      </c>
      <c r="H11" s="111" t="inlineStr">
        <is>
          <t>22GP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HASLS22260900819</t>
        </is>
      </c>
      <c r="N11" s="96" t="inlineStr">
        <is>
          <t xml:space="preserve">20'x10 </t>
        </is>
      </c>
      <c r="O11" s="111" t="inlineStr">
        <is>
          <t>2013</t>
        </is>
      </c>
      <c r="P11" s="111" t="n"/>
      <c r="Q11" s="111" t="n"/>
      <c r="R11" s="96" t="inlineStr">
        <is>
          <t>KMGY</t>
        </is>
      </c>
      <c r="S11" s="96" t="inlineStr">
        <is>
          <t>2611N</t>
        </is>
      </c>
      <c r="T11" s="96" t="inlineStr">
        <is>
          <t>LCH01</t>
        </is>
      </c>
      <c r="U11" s="96" t="inlineStr">
        <is>
          <t>THLCH</t>
        </is>
      </c>
      <c r="V11" s="161" t="inlineStr">
        <is>
          <t>2026-10-25</t>
        </is>
      </c>
      <c r="W11" s="96" t="inlineStr">
        <is>
          <t>KRINC</t>
        </is>
      </c>
      <c r="X11" s="161" t="inlineStr">
        <is>
          <t>2026-11-03</t>
        </is>
      </c>
      <c r="Y11" s="97" t="n"/>
      <c r="Z11" s="97" t="n"/>
      <c r="AA11" s="97" t="n"/>
      <c r="AB11" s="97" t="n"/>
      <c r="AC11" s="97" t="n"/>
      <c r="AD11" s="161" t="inlineStr">
        <is>
          <t>2026-10-17</t>
        </is>
      </c>
      <c r="AE11" s="174" t="inlineStr">
        <is>
          <t>1210</t>
        </is>
      </c>
      <c r="AF11" s="96" t="inlineStr">
        <is>
          <t>EDI2</t>
        </is>
      </c>
      <c r="AG11" s="97" t="n"/>
      <c r="AH11" s="97" t="n"/>
      <c r="AI11" s="97" t="n"/>
      <c r="AJ11" s="96" t="inlineStr">
        <is>
          <t>TO ORDER</t>
        </is>
      </c>
      <c r="AK11" s="130" t="n"/>
    </row>
    <row r="12" ht="12" customHeight="1">
      <c r="A12" s="108" t="inlineStr">
        <is>
          <t>HALU2569070</t>
        </is>
      </c>
      <c r="B12" s="108" t="inlineStr">
        <is>
          <t>LCH01</t>
        </is>
      </c>
      <c r="C12" s="108" t="inlineStr">
        <is>
          <t>IFV</t>
        </is>
      </c>
      <c r="D12" s="172" t="inlineStr">
        <is>
          <t>2026-10-17</t>
        </is>
      </c>
      <c r="E12" s="173" t="inlineStr">
        <is>
          <t>0025</t>
        </is>
      </c>
      <c r="F12" s="96" t="inlineStr">
        <is>
          <t>HASLS22260900819</t>
        </is>
      </c>
      <c r="G12" s="96" t="inlineStr">
        <is>
          <t>JAST GLOBAL CO.,LTD.</t>
        </is>
      </c>
      <c r="H12" s="111" t="inlineStr">
        <is>
          <t>22GP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HASLS22260900819</t>
        </is>
      </c>
      <c r="N12" s="96" t="inlineStr">
        <is>
          <t xml:space="preserve">20'x10 </t>
        </is>
      </c>
      <c r="O12" s="111" t="inlineStr">
        <is>
          <t>2025</t>
        </is>
      </c>
      <c r="P12" s="111" t="n"/>
      <c r="Q12" s="111" t="n"/>
      <c r="R12" s="96" t="inlineStr">
        <is>
          <t>KMGY</t>
        </is>
      </c>
      <c r="S12" s="96" t="inlineStr">
        <is>
          <t>2611N</t>
        </is>
      </c>
      <c r="T12" s="96" t="inlineStr">
        <is>
          <t>LCH01</t>
        </is>
      </c>
      <c r="U12" s="96" t="inlineStr">
        <is>
          <t>THLCH</t>
        </is>
      </c>
      <c r="V12" s="161" t="inlineStr">
        <is>
          <t>2026-10-25</t>
        </is>
      </c>
      <c r="W12" s="96" t="inlineStr">
        <is>
          <t>KRINC</t>
        </is>
      </c>
      <c r="X12" s="161" t="inlineStr">
        <is>
          <t>2026-11-03</t>
        </is>
      </c>
      <c r="Y12" s="97" t="n"/>
      <c r="Z12" s="97" t="n"/>
      <c r="AA12" s="97" t="n"/>
      <c r="AB12" s="97" t="n"/>
      <c r="AC12" s="97" t="n"/>
      <c r="AD12" s="161" t="inlineStr">
        <is>
          <t>2026-10-17</t>
        </is>
      </c>
      <c r="AE12" s="174" t="inlineStr">
        <is>
          <t>0311</t>
        </is>
      </c>
      <c r="AF12" s="96" t="inlineStr">
        <is>
          <t>EDI2</t>
        </is>
      </c>
      <c r="AG12" s="97" t="n"/>
      <c r="AH12" s="97" t="n"/>
      <c r="AI12" s="97" t="n"/>
      <c r="AJ12" s="96" t="inlineStr">
        <is>
          <t>TO ORDER</t>
        </is>
      </c>
      <c r="AK12" s="130" t="n"/>
    </row>
    <row r="13" ht="12" customHeight="1">
      <c r="A13" s="108" t="inlineStr">
        <is>
          <t>HALU5646587</t>
        </is>
      </c>
      <c r="B13" s="108" t="inlineStr">
        <is>
          <t>LCH01</t>
        </is>
      </c>
      <c r="C13" s="108" t="inlineStr">
        <is>
          <t>IFV</t>
        </is>
      </c>
      <c r="D13" s="172" t="inlineStr">
        <is>
          <t>2026-10-19</t>
        </is>
      </c>
      <c r="E13" s="173" t="inlineStr">
        <is>
          <t>0634</t>
        </is>
      </c>
      <c r="F13" s="96" t="inlineStr">
        <is>
          <t>HASLS22260902742</t>
        </is>
      </c>
      <c r="G13" s="96" t="inlineStr">
        <is>
          <t>SEA &amp; AERO LOGISTICS CO., LTD.</t>
        </is>
      </c>
      <c r="H13" s="111" t="inlineStr">
        <is>
          <t>45GP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HASLS22260902742</t>
        </is>
      </c>
      <c r="N13" s="96" t="inlineStr">
        <is>
          <t xml:space="preserve">40Hx7 </t>
        </is>
      </c>
      <c r="O13" s="111" t="inlineStr">
        <is>
          <t>2014</t>
        </is>
      </c>
      <c r="P13" s="111" t="n"/>
      <c r="Q13" s="111" t="n"/>
      <c r="R13" s="96" t="inlineStr">
        <is>
          <t>KMGY</t>
        </is>
      </c>
      <c r="S13" s="96" t="inlineStr">
        <is>
          <t>2611N</t>
        </is>
      </c>
      <c r="T13" s="96" t="inlineStr">
        <is>
          <t>LCH01</t>
        </is>
      </c>
      <c r="U13" s="96" t="inlineStr">
        <is>
          <t>THLCH</t>
        </is>
      </c>
      <c r="V13" s="161" t="inlineStr">
        <is>
          <t>2026-10-25</t>
        </is>
      </c>
      <c r="W13" s="96" t="inlineStr">
        <is>
          <t>HKHKG</t>
        </is>
      </c>
      <c r="X13" s="161" t="inlineStr">
        <is>
          <t>2026-10-29</t>
        </is>
      </c>
      <c r="Y13" s="97" t="n"/>
      <c r="Z13" s="97" t="n"/>
      <c r="AA13" s="97" t="n"/>
      <c r="AB13" s="97" t="n"/>
      <c r="AC13" s="97" t="n"/>
      <c r="AD13" s="161" t="inlineStr">
        <is>
          <t>2026-10-19</t>
        </is>
      </c>
      <c r="AE13" s="174" t="inlineStr">
        <is>
          <t>0910</t>
        </is>
      </c>
      <c r="AF13" s="96" t="inlineStr">
        <is>
          <t>EDI2</t>
        </is>
      </c>
      <c r="AG13" s="97" t="n"/>
      <c r="AH13" s="97" t="n"/>
      <c r="AI13" s="97" t="n"/>
      <c r="AJ13" s="96" t="inlineStr">
        <is>
          <t>HONG KONG GOTO BUTSURYU LTD.</t>
        </is>
      </c>
      <c r="AK13" s="130" t="n"/>
    </row>
    <row r="14" ht="12" customHeight="1">
      <c r="A14" s="108" t="inlineStr">
        <is>
          <t>HALU5656857</t>
        </is>
      </c>
      <c r="B14" s="108" t="inlineStr">
        <is>
          <t>LCH01</t>
        </is>
      </c>
      <c r="C14" s="108" t="inlineStr">
        <is>
          <t>IFV</t>
        </is>
      </c>
      <c r="D14" s="172" t="inlineStr">
        <is>
          <t>2026-10-21</t>
        </is>
      </c>
      <c r="E14" s="173" t="inlineStr">
        <is>
          <t>2145</t>
        </is>
      </c>
      <c r="F14" s="96" t="inlineStr">
        <is>
          <t>HASLS22261000813</t>
        </is>
      </c>
      <c r="G14" s="96" t="inlineStr">
        <is>
          <t>YUSEN LOGISTICS (THAILAND) CO., LTD.</t>
        </is>
      </c>
      <c r="H14" s="111" t="inlineStr">
        <is>
          <t>45GP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HASLS22261000813</t>
        </is>
      </c>
      <c r="N14" s="96" t="inlineStr">
        <is>
          <t xml:space="preserve">40Hx12 </t>
        </is>
      </c>
      <c r="O14" s="111" t="inlineStr">
        <is>
          <t>2014</t>
        </is>
      </c>
      <c r="P14" s="111" t="n"/>
      <c r="Q14" s="111" t="n"/>
      <c r="R14" s="96" t="inlineStr">
        <is>
          <t>KMGY</t>
        </is>
      </c>
      <c r="S14" s="96" t="inlineStr">
        <is>
          <t>2611N</t>
        </is>
      </c>
      <c r="T14" s="96" t="inlineStr">
        <is>
          <t>LCH01</t>
        </is>
      </c>
      <c r="U14" s="96" t="inlineStr">
        <is>
          <t>THLCH</t>
        </is>
      </c>
      <c r="V14" s="161" t="inlineStr">
        <is>
          <t>2026-10-25</t>
        </is>
      </c>
      <c r="W14" s="96" t="inlineStr">
        <is>
          <t>HKHKG</t>
        </is>
      </c>
      <c r="X14" s="161" t="inlineStr">
        <is>
          <t>2026-10-29</t>
        </is>
      </c>
      <c r="Y14" s="97" t="n"/>
      <c r="Z14" s="97" t="n"/>
      <c r="AA14" s="97" t="n"/>
      <c r="AB14" s="97" t="n"/>
      <c r="AC14" s="97" t="n"/>
      <c r="AD14" s="161" t="inlineStr">
        <is>
          <t>2026-10-22</t>
        </is>
      </c>
      <c r="AE14" s="174" t="inlineStr">
        <is>
          <t>0102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YUSEN LOGISTICS (HONG KONG) LTD.</t>
        </is>
      </c>
      <c r="AK14" s="130" t="n"/>
    </row>
    <row r="15" ht="12" customHeight="1">
      <c r="A15" s="108" t="inlineStr">
        <is>
          <t>HALU5673999</t>
        </is>
      </c>
      <c r="B15" s="108" t="inlineStr">
        <is>
          <t>LCH01</t>
        </is>
      </c>
      <c r="C15" s="108" t="inlineStr">
        <is>
          <t>IFV</t>
        </is>
      </c>
      <c r="D15" s="172" t="inlineStr">
        <is>
          <t>2026-10-22</t>
        </is>
      </c>
      <c r="E15" s="173" t="inlineStr">
        <is>
          <t>1356</t>
        </is>
      </c>
      <c r="F15" s="96" t="inlineStr">
        <is>
          <t>HASLS22261001156</t>
        </is>
      </c>
      <c r="G15" s="96" t="inlineStr">
        <is>
          <t>YUSEN LOGISTICS (THAILAND) CO., LTD.</t>
        </is>
      </c>
      <c r="H15" s="111" t="inlineStr">
        <is>
          <t>45GP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HASLS22261001156</t>
        </is>
      </c>
      <c r="N15" s="96" t="inlineStr">
        <is>
          <t xml:space="preserve">40Hx9 </t>
        </is>
      </c>
      <c r="O15" s="111" t="inlineStr">
        <is>
          <t>2015</t>
        </is>
      </c>
      <c r="P15" s="111" t="n"/>
      <c r="Q15" s="111" t="n"/>
      <c r="R15" s="96" t="inlineStr">
        <is>
          <t>KMGY</t>
        </is>
      </c>
      <c r="S15" s="96" t="inlineStr">
        <is>
          <t>2611N</t>
        </is>
      </c>
      <c r="T15" s="96" t="inlineStr">
        <is>
          <t>LCH01</t>
        </is>
      </c>
      <c r="U15" s="96" t="inlineStr">
        <is>
          <t>THLCH</t>
        </is>
      </c>
      <c r="V15" s="161" t="inlineStr">
        <is>
          <t>2026-10-25</t>
        </is>
      </c>
      <c r="W15" s="96" t="inlineStr">
        <is>
          <t>HKHKG</t>
        </is>
      </c>
      <c r="X15" s="161" t="inlineStr">
        <is>
          <t>2026-10-29</t>
        </is>
      </c>
      <c r="Y15" s="97" t="n"/>
      <c r="Z15" s="97" t="n"/>
      <c r="AA15" s="97" t="n"/>
      <c r="AB15" s="97" t="n"/>
      <c r="AC15" s="97" t="n"/>
      <c r="AD15" s="161" t="inlineStr">
        <is>
          <t>2026-10-22</t>
        </is>
      </c>
      <c r="AE15" s="174" t="inlineStr">
        <is>
          <t>1702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YUSEN LOGISTICS (HONG KONG) LTD.</t>
        </is>
      </c>
      <c r="AK15" s="130" t="n"/>
    </row>
    <row r="16" ht="12" customHeight="1">
      <c r="A16" s="108" t="inlineStr">
        <is>
          <t>HALU5681510</t>
        </is>
      </c>
      <c r="B16" s="108" t="inlineStr">
        <is>
          <t>LCH01</t>
        </is>
      </c>
      <c r="C16" s="108" t="inlineStr">
        <is>
          <t>IFV</t>
        </is>
      </c>
      <c r="D16" s="172" t="inlineStr">
        <is>
          <t>2026-10-22</t>
        </is>
      </c>
      <c r="E16" s="173" t="inlineStr">
        <is>
          <t>2146</t>
        </is>
      </c>
      <c r="F16" s="96" t="inlineStr">
        <is>
          <t>HASLS22261000813</t>
        </is>
      </c>
      <c r="G16" s="96" t="inlineStr">
        <is>
          <t>YUSEN LOGISTICS (THAILAND) CO., LTD.</t>
        </is>
      </c>
      <c r="H16" s="111" t="inlineStr">
        <is>
          <t>45GP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HASLS22261000813</t>
        </is>
      </c>
      <c r="N16" s="96" t="inlineStr">
        <is>
          <t xml:space="preserve">40Hx12 </t>
        </is>
      </c>
      <c r="O16" s="111" t="inlineStr">
        <is>
          <t>2015</t>
        </is>
      </c>
      <c r="P16" s="111" t="n"/>
      <c r="Q16" s="111" t="n"/>
      <c r="R16" s="96" t="inlineStr">
        <is>
          <t>KMGY</t>
        </is>
      </c>
      <c r="S16" s="96" t="inlineStr">
        <is>
          <t>2611N</t>
        </is>
      </c>
      <c r="T16" s="96" t="inlineStr">
        <is>
          <t>LCH01</t>
        </is>
      </c>
      <c r="U16" s="96" t="inlineStr">
        <is>
          <t>THLCH</t>
        </is>
      </c>
      <c r="V16" s="161" t="inlineStr">
        <is>
          <t>2026-10-25</t>
        </is>
      </c>
      <c r="W16" s="96" t="inlineStr">
        <is>
          <t>HKHKG</t>
        </is>
      </c>
      <c r="X16" s="161" t="inlineStr">
        <is>
          <t>2026-10-29</t>
        </is>
      </c>
      <c r="Y16" s="97" t="n"/>
      <c r="Z16" s="97" t="n"/>
      <c r="AA16" s="97" t="n"/>
      <c r="AB16" s="97" t="n"/>
      <c r="AC16" s="97" t="n"/>
      <c r="AD16" s="161" t="inlineStr">
        <is>
          <t>2026-10-23</t>
        </is>
      </c>
      <c r="AE16" s="174" t="inlineStr">
        <is>
          <t>0102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YUSEN LOGISTICS (HONG KONG) LTD.</t>
        </is>
      </c>
      <c r="AK16" s="130" t="n"/>
    </row>
    <row r="17" ht="12" customHeight="1">
      <c r="A17" s="108" t="inlineStr">
        <is>
          <t>HALU5686996</t>
        </is>
      </c>
      <c r="B17" s="108" t="inlineStr">
        <is>
          <t>LCH01</t>
        </is>
      </c>
      <c r="C17" s="108" t="inlineStr">
        <is>
          <t>IFV</t>
        </is>
      </c>
      <c r="D17" s="172" t="inlineStr">
        <is>
          <t>2026-10-20</t>
        </is>
      </c>
      <c r="E17" s="173" t="inlineStr">
        <is>
          <t>2110</t>
        </is>
      </c>
      <c r="F17" s="96" t="inlineStr">
        <is>
          <t>HASLS22261001156</t>
        </is>
      </c>
      <c r="G17" s="96" t="inlineStr">
        <is>
          <t>YUSEN LOGISTICS (THAILAND) CO., LTD.</t>
        </is>
      </c>
      <c r="H17" s="111" t="inlineStr">
        <is>
          <t>45GP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HASLS22261001156</t>
        </is>
      </c>
      <c r="N17" s="96" t="inlineStr">
        <is>
          <t xml:space="preserve">40Hx9 </t>
        </is>
      </c>
      <c r="O17" s="111" t="inlineStr">
        <is>
          <t>2015</t>
        </is>
      </c>
      <c r="P17" s="111" t="n"/>
      <c r="Q17" s="111" t="n"/>
      <c r="R17" s="96" t="inlineStr">
        <is>
          <t>KMGY</t>
        </is>
      </c>
      <c r="S17" s="96" t="inlineStr">
        <is>
          <t>2611N</t>
        </is>
      </c>
      <c r="T17" s="96" t="inlineStr">
        <is>
          <t>LCH01</t>
        </is>
      </c>
      <c r="U17" s="96" t="inlineStr">
        <is>
          <t>THLCH</t>
        </is>
      </c>
      <c r="V17" s="161" t="inlineStr">
        <is>
          <t>2026-10-25</t>
        </is>
      </c>
      <c r="W17" s="96" t="inlineStr">
        <is>
          <t>HKHKG</t>
        </is>
      </c>
      <c r="X17" s="161" t="inlineStr">
        <is>
          <t>2026-10-29</t>
        </is>
      </c>
      <c r="Y17" s="97" t="n"/>
      <c r="Z17" s="97" t="n"/>
      <c r="AA17" s="97" t="n"/>
      <c r="AB17" s="97" t="n"/>
      <c r="AC17" s="97" t="n"/>
      <c r="AD17" s="161" t="inlineStr">
        <is>
          <t>2026-10-21</t>
        </is>
      </c>
      <c r="AE17" s="174" t="inlineStr">
        <is>
          <t>0010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YUSEN LOGISTICS (HONG KONG) LTD.</t>
        </is>
      </c>
      <c r="AK17" s="130" t="n"/>
    </row>
    <row r="18" ht="12" customHeight="1">
      <c r="A18" s="108" t="inlineStr">
        <is>
          <t>HLHU8206062</t>
        </is>
      </c>
      <c r="B18" s="108" t="inlineStr">
        <is>
          <t>LCH01</t>
        </is>
      </c>
      <c r="C18" s="108" t="inlineStr">
        <is>
          <t>IFV</t>
        </is>
      </c>
      <c r="D18" s="172" t="inlineStr">
        <is>
          <t>2026-10-23</t>
        </is>
      </c>
      <c r="E18" s="173" t="inlineStr">
        <is>
          <t>1122</t>
        </is>
      </c>
      <c r="F18" s="96" t="inlineStr">
        <is>
          <t>HASLS22260902742</t>
        </is>
      </c>
      <c r="G18" s="96" t="inlineStr">
        <is>
          <t>SEA &amp; AERO LOGISTICS CO., LTD.</t>
        </is>
      </c>
      <c r="H18" s="111" t="inlineStr">
        <is>
          <t>45GP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HASLS22260902742</t>
        </is>
      </c>
      <c r="N18" s="96" t="inlineStr">
        <is>
          <t xml:space="preserve">40Hx7 </t>
        </is>
      </c>
      <c r="O18" s="111" t="inlineStr">
        <is>
          <t>2022</t>
        </is>
      </c>
      <c r="P18" s="111" t="n"/>
      <c r="Q18" s="111" t="n"/>
      <c r="R18" s="96" t="inlineStr">
        <is>
          <t>KMGY</t>
        </is>
      </c>
      <c r="S18" s="96" t="inlineStr">
        <is>
          <t>2611N</t>
        </is>
      </c>
      <c r="T18" s="96" t="inlineStr">
        <is>
          <t>LCH01</t>
        </is>
      </c>
      <c r="U18" s="96" t="inlineStr">
        <is>
          <t>THLCH</t>
        </is>
      </c>
      <c r="V18" s="161" t="inlineStr">
        <is>
          <t>2026-10-25</t>
        </is>
      </c>
      <c r="W18" s="96" t="inlineStr">
        <is>
          <t>HKHKG</t>
        </is>
      </c>
      <c r="X18" s="161" t="inlineStr">
        <is>
          <t>2026-10-29</t>
        </is>
      </c>
      <c r="Y18" s="97" t="n"/>
      <c r="Z18" s="97" t="n"/>
      <c r="AA18" s="97" t="n"/>
      <c r="AB18" s="97" t="n"/>
      <c r="AC18" s="97" t="n"/>
      <c r="AD18" s="161" t="inlineStr">
        <is>
          <t>2026-10-23</t>
        </is>
      </c>
      <c r="AE18" s="174" t="inlineStr">
        <is>
          <t>1502</t>
        </is>
      </c>
      <c r="AF18" s="96" t="inlineStr">
        <is>
          <t>EDI2</t>
        </is>
      </c>
      <c r="AG18" s="97" t="n"/>
      <c r="AH18" s="97" t="n"/>
      <c r="AI18" s="97" t="n"/>
      <c r="AJ18" s="96" t="inlineStr">
        <is>
          <t>HONG KONG GOTO BUTSURYU LTD.</t>
        </is>
      </c>
      <c r="AK18" s="130" t="n"/>
    </row>
    <row r="19" ht="12" customHeight="1">
      <c r="A19" s="108" t="inlineStr">
        <is>
          <t>HLHU8206062</t>
        </is>
      </c>
      <c r="B19" s="108" t="inlineStr">
        <is>
          <t>LCH01</t>
        </is>
      </c>
      <c r="C19" s="108" t="inlineStr">
        <is>
          <t>IFV</t>
        </is>
      </c>
      <c r="D19" s="172" t="inlineStr">
        <is>
          <t>2026-10-18</t>
        </is>
      </c>
      <c r="E19" s="173" t="inlineStr">
        <is>
          <t>1303</t>
        </is>
      </c>
      <c r="F19" s="96" t="inlineStr">
        <is>
          <t>HASLS22260902742</t>
        </is>
      </c>
      <c r="G19" s="96" t="inlineStr">
        <is>
          <t>SEA &amp; AERO LOGISTICS CO., LTD.</t>
        </is>
      </c>
      <c r="H19" s="111" t="inlineStr">
        <is>
          <t>45GP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HASLS22260902742</t>
        </is>
      </c>
      <c r="N19" s="96" t="inlineStr">
        <is>
          <t xml:space="preserve">40Hx7 </t>
        </is>
      </c>
      <c r="O19" s="111" t="inlineStr">
        <is>
          <t>2022</t>
        </is>
      </c>
      <c r="P19" s="111" t="n"/>
      <c r="Q19" s="111" t="n"/>
      <c r="R19" s="96" t="inlineStr">
        <is>
          <t>KMGY</t>
        </is>
      </c>
      <c r="S19" s="96" t="inlineStr">
        <is>
          <t>2611N</t>
        </is>
      </c>
      <c r="T19" s="96" t="inlineStr">
        <is>
          <t>LCH01</t>
        </is>
      </c>
      <c r="U19" s="96" t="inlineStr">
        <is>
          <t>THLCH</t>
        </is>
      </c>
      <c r="V19" s="161" t="inlineStr">
        <is>
          <t>2026-10-25</t>
        </is>
      </c>
      <c r="W19" s="96" t="inlineStr">
        <is>
          <t>HKHKG</t>
        </is>
      </c>
      <c r="X19" s="161" t="inlineStr">
        <is>
          <t>2026-10-29</t>
        </is>
      </c>
      <c r="Y19" s="97" t="n"/>
      <c r="Z19" s="97" t="n"/>
      <c r="AA19" s="97" t="n"/>
      <c r="AB19" s="97" t="n"/>
      <c r="AC19" s="97" t="n"/>
      <c r="AD19" s="161" t="inlineStr">
        <is>
          <t>2026-10-18</t>
        </is>
      </c>
      <c r="AE19" s="174" t="inlineStr">
        <is>
          <t>1610</t>
        </is>
      </c>
      <c r="AF19" s="96" t="inlineStr">
        <is>
          <t>EDI2</t>
        </is>
      </c>
      <c r="AG19" s="97" t="n"/>
      <c r="AH19" s="97" t="n"/>
      <c r="AI19" s="97" t="n"/>
      <c r="AJ19" s="96" t="inlineStr">
        <is>
          <t>HONG KONG GOTO BUTSURYU LTD.</t>
        </is>
      </c>
      <c r="AK19" s="130" t="n"/>
    </row>
    <row r="20" ht="12" customHeight="1">
      <c r="A20" s="108" t="inlineStr">
        <is>
          <t>HLHU8335542</t>
        </is>
      </c>
      <c r="B20" s="108" t="inlineStr">
        <is>
          <t>LCH01</t>
        </is>
      </c>
      <c r="C20" s="108" t="inlineStr">
        <is>
          <t>IFV</t>
        </is>
      </c>
      <c r="D20" s="172" t="inlineStr">
        <is>
          <t>2026-10-18</t>
        </is>
      </c>
      <c r="E20" s="173" t="inlineStr">
        <is>
          <t>0814</t>
        </is>
      </c>
      <c r="F20" s="96" t="inlineStr">
        <is>
          <t>HASLS22260902742</t>
        </is>
      </c>
      <c r="G20" s="96" t="inlineStr">
        <is>
          <t>SEA &amp; AERO LOGISTICS CO., LTD.</t>
        </is>
      </c>
      <c r="H20" s="111" t="inlineStr">
        <is>
          <t>45GP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HASLS22260902742</t>
        </is>
      </c>
      <c r="N20" s="96" t="inlineStr">
        <is>
          <t xml:space="preserve">40Hx7 </t>
        </is>
      </c>
      <c r="O20" s="111" t="inlineStr">
        <is>
          <t>2023</t>
        </is>
      </c>
      <c r="P20" s="111" t="n"/>
      <c r="Q20" s="111" t="n"/>
      <c r="R20" s="96" t="inlineStr">
        <is>
          <t>KMGY</t>
        </is>
      </c>
      <c r="S20" s="96" t="inlineStr">
        <is>
          <t>2611N</t>
        </is>
      </c>
      <c r="T20" s="96" t="inlineStr">
        <is>
          <t>LCH01</t>
        </is>
      </c>
      <c r="U20" s="96" t="inlineStr">
        <is>
          <t>THLCH</t>
        </is>
      </c>
      <c r="V20" s="161" t="inlineStr">
        <is>
          <t>2026-10-25</t>
        </is>
      </c>
      <c r="W20" s="96" t="inlineStr">
        <is>
          <t>HKHKG</t>
        </is>
      </c>
      <c r="X20" s="161" t="inlineStr">
        <is>
          <t>2026-10-29</t>
        </is>
      </c>
      <c r="Y20" s="97" t="n"/>
      <c r="Z20" s="97" t="n"/>
      <c r="AA20" s="97" t="n"/>
      <c r="AB20" s="97" t="n"/>
      <c r="AC20" s="97" t="n"/>
      <c r="AD20" s="161" t="inlineStr">
        <is>
          <t>2026-10-18</t>
        </is>
      </c>
      <c r="AE20" s="174" t="inlineStr">
        <is>
          <t>1110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HONG KONG GOTO BUTSURYU LTD.</t>
        </is>
      </c>
      <c r="AK20" s="130" t="n"/>
    </row>
    <row r="21" ht="12" customHeight="1">
      <c r="A21" s="108" t="inlineStr">
        <is>
          <t>HLHU8359462</t>
        </is>
      </c>
      <c r="B21" s="108" t="inlineStr">
        <is>
          <t>LCH01</t>
        </is>
      </c>
      <c r="C21" s="108" t="inlineStr">
        <is>
          <t>IFV</t>
        </is>
      </c>
      <c r="D21" s="172" t="inlineStr">
        <is>
          <t>2026-10-21</t>
        </is>
      </c>
      <c r="E21" s="173" t="inlineStr">
        <is>
          <t>1150</t>
        </is>
      </c>
      <c r="F21" s="96" t="inlineStr">
        <is>
          <t>HASLS22261000813</t>
        </is>
      </c>
      <c r="G21" s="96" t="inlineStr">
        <is>
          <t>YUSEN LOGISTICS (THAILAND) CO., LTD.</t>
        </is>
      </c>
      <c r="H21" s="111" t="inlineStr">
        <is>
          <t>45GP</t>
        </is>
      </c>
      <c r="I21" s="96" t="inlineStr">
        <is>
          <t>EMAIL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HASLS22261000813</t>
        </is>
      </c>
      <c r="N21" s="96" t="inlineStr">
        <is>
          <t xml:space="preserve">40Hx12 </t>
        </is>
      </c>
      <c r="O21" s="111" t="inlineStr">
        <is>
          <t>2023</t>
        </is>
      </c>
      <c r="P21" s="111" t="n"/>
      <c r="Q21" s="111" t="n"/>
      <c r="R21" s="96" t="inlineStr">
        <is>
          <t>KMGY</t>
        </is>
      </c>
      <c r="S21" s="96" t="inlineStr">
        <is>
          <t>2611N</t>
        </is>
      </c>
      <c r="T21" s="96" t="inlineStr">
        <is>
          <t>LCH01</t>
        </is>
      </c>
      <c r="U21" s="96" t="inlineStr">
        <is>
          <t>THLCH</t>
        </is>
      </c>
      <c r="V21" s="161" t="inlineStr">
        <is>
          <t>2026-10-25</t>
        </is>
      </c>
      <c r="W21" s="96" t="inlineStr">
        <is>
          <t>HKHKG</t>
        </is>
      </c>
      <c r="X21" s="161" t="inlineStr">
        <is>
          <t>2026-10-29</t>
        </is>
      </c>
      <c r="Y21" s="97" t="n"/>
      <c r="Z21" s="97" t="n"/>
      <c r="AA21" s="97" t="n"/>
      <c r="AB21" s="97" t="n"/>
      <c r="AC21" s="97" t="n"/>
      <c r="AD21" s="161" t="inlineStr">
        <is>
          <t>2026-10-21</t>
        </is>
      </c>
      <c r="AE21" s="174" t="inlineStr">
        <is>
          <t>1502</t>
        </is>
      </c>
      <c r="AF21" s="96" t="inlineStr">
        <is>
          <t>EDI2</t>
        </is>
      </c>
      <c r="AG21" s="97" t="n"/>
      <c r="AH21" s="97" t="n"/>
      <c r="AI21" s="97" t="n"/>
      <c r="AJ21" s="96" t="inlineStr">
        <is>
          <t>YUSEN LOGISTICS (HONG KONG) LTD.</t>
        </is>
      </c>
      <c r="AK21" s="130" t="n"/>
    </row>
    <row r="22" ht="12" customHeight="1">
      <c r="A22" s="108" t="inlineStr">
        <is>
          <t>HLHU8455445</t>
        </is>
      </c>
      <c r="B22" s="108" t="inlineStr">
        <is>
          <t>LCH01</t>
        </is>
      </c>
      <c r="C22" s="108" t="inlineStr">
        <is>
          <t>IFV</t>
        </is>
      </c>
      <c r="D22" s="172" t="inlineStr">
        <is>
          <t>2026-10-22</t>
        </is>
      </c>
      <c r="E22" s="173" t="inlineStr">
        <is>
          <t>0346</t>
        </is>
      </c>
      <c r="F22" s="96" t="inlineStr">
        <is>
          <t>HASLS22261001094</t>
        </is>
      </c>
      <c r="G22" s="96" t="inlineStr">
        <is>
          <t>THAI POLYCARBONATE CO., LTD.</t>
        </is>
      </c>
      <c r="H22" s="111" t="inlineStr">
        <is>
          <t>45GP</t>
        </is>
      </c>
      <c r="I22" s="96" t="inlineStr">
        <is>
          <t>EMAIL</t>
        </is>
      </c>
      <c r="J22" s="96" t="inlineStr">
        <is>
          <t>EDI2</t>
        </is>
      </c>
      <c r="K22" s="96" t="n"/>
      <c r="L22" s="111" t="inlineStr">
        <is>
          <t>Full</t>
        </is>
      </c>
      <c r="M22" s="96" t="inlineStr">
        <is>
          <t>HASLS22261001094</t>
        </is>
      </c>
      <c r="N22" s="96" t="inlineStr">
        <is>
          <t xml:space="preserve">40Hx1 </t>
        </is>
      </c>
      <c r="O22" s="111" t="inlineStr">
        <is>
          <t>2024</t>
        </is>
      </c>
      <c r="P22" s="111" t="n"/>
      <c r="Q22" s="111" t="n"/>
      <c r="R22" s="96" t="inlineStr">
        <is>
          <t>KMGY</t>
        </is>
      </c>
      <c r="S22" s="96" t="inlineStr">
        <is>
          <t>2611N</t>
        </is>
      </c>
      <c r="T22" s="96" t="inlineStr">
        <is>
          <t>LCH01</t>
        </is>
      </c>
      <c r="U22" s="96" t="inlineStr">
        <is>
          <t>THLCH</t>
        </is>
      </c>
      <c r="V22" s="161" t="inlineStr">
        <is>
          <t>2026-10-25</t>
        </is>
      </c>
      <c r="W22" s="96" t="inlineStr">
        <is>
          <t>CNXMN</t>
        </is>
      </c>
      <c r="X22" s="161" t="inlineStr">
        <is>
          <t>2026-10-31</t>
        </is>
      </c>
      <c r="Y22" s="97" t="n"/>
      <c r="Z22" s="97" t="n"/>
      <c r="AA22" s="97" t="n"/>
      <c r="AB22" s="97" t="n"/>
      <c r="AC22" s="97" t="n"/>
      <c r="AD22" s="161" t="inlineStr">
        <is>
          <t>2026-10-22</t>
        </is>
      </c>
      <c r="AE22" s="174" t="inlineStr">
        <is>
          <t>0702</t>
        </is>
      </c>
      <c r="AF22" s="96" t="inlineStr">
        <is>
          <t>EDI2</t>
        </is>
      </c>
      <c r="AG22" s="97" t="n"/>
      <c r="AH22" s="97" t="n"/>
      <c r="AI22" s="97" t="n"/>
      <c r="AJ22" s="96" t="inlineStr">
        <is>
          <t>CHIN MING SHAN</t>
        </is>
      </c>
      <c r="AK22" s="130" t="n"/>
    </row>
    <row r="23" ht="12" customHeight="1">
      <c r="A23" s="108" t="inlineStr">
        <is>
          <t>KMLU2203916</t>
        </is>
      </c>
      <c r="B23" s="108" t="inlineStr">
        <is>
          <t>LCH01</t>
        </is>
      </c>
      <c r="C23" s="108" t="inlineStr">
        <is>
          <t>IFV</t>
        </is>
      </c>
      <c r="D23" s="172" t="inlineStr">
        <is>
          <t>2026-10-18</t>
        </is>
      </c>
      <c r="E23" s="173" t="inlineStr">
        <is>
          <t>0857</t>
        </is>
      </c>
      <c r="F23" s="96" t="inlineStr">
        <is>
          <t>HASLS22261000794</t>
        </is>
      </c>
      <c r="G23" s="96" t="inlineStr">
        <is>
          <t>IRPC PUBLIC COMPANY LIMITED</t>
        </is>
      </c>
      <c r="H23" s="111" t="inlineStr">
        <is>
          <t>22GP</t>
        </is>
      </c>
      <c r="I23" s="96" t="inlineStr">
        <is>
          <t>EMAIL</t>
        </is>
      </c>
      <c r="J23" s="96" t="inlineStr">
        <is>
          <t>EDI2</t>
        </is>
      </c>
      <c r="K23" s="96" t="n"/>
      <c r="L23" s="111" t="inlineStr">
        <is>
          <t>Full</t>
        </is>
      </c>
      <c r="M23" s="96" t="inlineStr">
        <is>
          <t>HASLS22261000794</t>
        </is>
      </c>
      <c r="N23" s="96" t="inlineStr">
        <is>
          <t xml:space="preserve">20'x4 </t>
        </is>
      </c>
      <c r="O23" s="111" t="inlineStr">
        <is>
          <t>2002</t>
        </is>
      </c>
      <c r="P23" s="111" t="n"/>
      <c r="Q23" s="111" t="n"/>
      <c r="R23" s="96" t="inlineStr">
        <is>
          <t>KMGY</t>
        </is>
      </c>
      <c r="S23" s="96" t="inlineStr">
        <is>
          <t>2611N</t>
        </is>
      </c>
      <c r="T23" s="96" t="inlineStr">
        <is>
          <t>LCH01</t>
        </is>
      </c>
      <c r="U23" s="96" t="inlineStr">
        <is>
          <t>THLCH</t>
        </is>
      </c>
      <c r="V23" s="161" t="inlineStr">
        <is>
          <t>2026-10-25</t>
        </is>
      </c>
      <c r="W23" s="96" t="inlineStr">
        <is>
          <t>HKHKG</t>
        </is>
      </c>
      <c r="X23" s="161" t="inlineStr">
        <is>
          <t>2026-10-29</t>
        </is>
      </c>
      <c r="Y23" s="97" t="n"/>
      <c r="Z23" s="97" t="n"/>
      <c r="AA23" s="97" t="n"/>
      <c r="AB23" s="97" t="n"/>
      <c r="AC23" s="97" t="n"/>
      <c r="AD23" s="161" t="inlineStr">
        <is>
          <t>2026-10-18</t>
        </is>
      </c>
      <c r="AE23" s="174" t="inlineStr">
        <is>
          <t>1210</t>
        </is>
      </c>
      <c r="AF23" s="96" t="inlineStr">
        <is>
          <t>EDI2</t>
        </is>
      </c>
      <c r="AG23" s="97" t="n"/>
      <c r="AH23" s="97" t="n"/>
      <c r="AI23" s="97" t="n"/>
      <c r="AJ23" s="96" t="inlineStr">
        <is>
          <t>TO ORDER OF SOLID GOLD INDUSTRIES</t>
        </is>
      </c>
      <c r="AK23" s="130" t="n"/>
    </row>
    <row r="24" ht="12" customHeight="1">
      <c r="A24" s="108" t="inlineStr">
        <is>
          <t>KMLU2204173</t>
        </is>
      </c>
      <c r="B24" s="108" t="inlineStr">
        <is>
          <t>LCH01</t>
        </is>
      </c>
      <c r="C24" s="108" t="inlineStr">
        <is>
          <t>IFV</t>
        </is>
      </c>
      <c r="D24" s="172" t="inlineStr">
        <is>
          <t>2026-10-20</t>
        </is>
      </c>
      <c r="E24" s="173" t="inlineStr">
        <is>
          <t>2247</t>
        </is>
      </c>
      <c r="F24" s="96" t="inlineStr">
        <is>
          <t>HASLS22261000278</t>
        </is>
      </c>
      <c r="G24" s="96" t="inlineStr">
        <is>
          <t>DOUBLE A (1991) PUBLIC COMPANY LIMITED</t>
        </is>
      </c>
      <c r="H24" s="111" t="inlineStr">
        <is>
          <t>22GP</t>
        </is>
      </c>
      <c r="I24" s="96" t="inlineStr">
        <is>
          <t>EMAIL</t>
        </is>
      </c>
      <c r="J24" s="96" t="inlineStr">
        <is>
          <t>EDI2</t>
        </is>
      </c>
      <c r="K24" s="96" t="n"/>
      <c r="L24" s="111" t="inlineStr">
        <is>
          <t>Full</t>
        </is>
      </c>
      <c r="M24" s="96" t="inlineStr">
        <is>
          <t>HASLS22261000278</t>
        </is>
      </c>
      <c r="N24" s="96" t="inlineStr">
        <is>
          <t xml:space="preserve">20'x2 </t>
        </is>
      </c>
      <c r="O24" s="111" t="inlineStr">
        <is>
          <t>2002</t>
        </is>
      </c>
      <c r="P24" s="111" t="n"/>
      <c r="Q24" s="111" t="n"/>
      <c r="R24" s="96" t="inlineStr">
        <is>
          <t>KMGY</t>
        </is>
      </c>
      <c r="S24" s="96" t="inlineStr">
        <is>
          <t>2611N</t>
        </is>
      </c>
      <c r="T24" s="96" t="inlineStr">
        <is>
          <t>LCH01</t>
        </is>
      </c>
      <c r="U24" s="96" t="inlineStr">
        <is>
          <t>THLCH</t>
        </is>
      </c>
      <c r="V24" s="161" t="inlineStr">
        <is>
          <t>2026-10-25</t>
        </is>
      </c>
      <c r="W24" s="96" t="inlineStr">
        <is>
          <t>HKHKG</t>
        </is>
      </c>
      <c r="X24" s="161" t="inlineStr">
        <is>
          <t>2026-10-29</t>
        </is>
      </c>
      <c r="Y24" s="97" t="n"/>
      <c r="Z24" s="97" t="n"/>
      <c r="AA24" s="97" t="n"/>
      <c r="AB24" s="97" t="n"/>
      <c r="AC24" s="97" t="n"/>
      <c r="AD24" s="161" t="inlineStr">
        <is>
          <t>2026-10-21</t>
        </is>
      </c>
      <c r="AE24" s="174" t="inlineStr">
        <is>
          <t>0111</t>
        </is>
      </c>
      <c r="AF24" s="96" t="inlineStr">
        <is>
          <t>EDI2</t>
        </is>
      </c>
      <c r="AG24" s="97" t="n"/>
      <c r="AH24" s="97" t="n"/>
      <c r="AI24" s="97" t="n"/>
      <c r="AJ24" s="96" t="inlineStr">
        <is>
          <t>TO ORDER</t>
        </is>
      </c>
      <c r="AK24" s="130" t="n"/>
    </row>
    <row r="25" ht="12" customHeight="1">
      <c r="A25" s="108" t="inlineStr">
        <is>
          <t>SKHU6366808</t>
        </is>
      </c>
      <c r="B25" s="108" t="inlineStr">
        <is>
          <t>LCH01</t>
        </is>
      </c>
      <c r="C25" s="108" t="inlineStr">
        <is>
          <t>IFV</t>
        </is>
      </c>
      <c r="D25" s="172" t="inlineStr">
        <is>
          <t>2026-10-21</t>
        </is>
      </c>
      <c r="E25" s="173" t="inlineStr">
        <is>
          <t>1124</t>
        </is>
      </c>
      <c r="F25" s="96" t="inlineStr">
        <is>
          <t>HASLS22261000813</t>
        </is>
      </c>
      <c r="G25" s="96" t="inlineStr">
        <is>
          <t>YUSEN LOGISTICS (THAILAND) CO., LTD.</t>
        </is>
      </c>
      <c r="H25" s="111" t="inlineStr">
        <is>
          <t>45GP</t>
        </is>
      </c>
      <c r="I25" s="96" t="inlineStr">
        <is>
          <t>EMAIL</t>
        </is>
      </c>
      <c r="J25" s="96" t="inlineStr">
        <is>
          <t>EDI2</t>
        </is>
      </c>
      <c r="K25" s="96" t="n"/>
      <c r="L25" s="111" t="inlineStr">
        <is>
          <t>Full</t>
        </is>
      </c>
      <c r="M25" s="96" t="inlineStr">
        <is>
          <t>HASLS22261000813</t>
        </is>
      </c>
      <c r="N25" s="96" t="inlineStr">
        <is>
          <t xml:space="preserve">40Hx12 </t>
        </is>
      </c>
      <c r="O25" s="111" t="inlineStr">
        <is>
          <t>2023</t>
        </is>
      </c>
      <c r="P25" s="111" t="n"/>
      <c r="Q25" s="111" t="n"/>
      <c r="R25" s="96" t="inlineStr">
        <is>
          <t>KMGY</t>
        </is>
      </c>
      <c r="S25" s="96" t="inlineStr">
        <is>
          <t>2611N</t>
        </is>
      </c>
      <c r="T25" s="96" t="inlineStr">
        <is>
          <t>LCH01</t>
        </is>
      </c>
      <c r="U25" s="96" t="inlineStr">
        <is>
          <t>THLCH</t>
        </is>
      </c>
      <c r="V25" s="161" t="inlineStr">
        <is>
          <t>2026-10-25</t>
        </is>
      </c>
      <c r="W25" s="96" t="inlineStr">
        <is>
          <t>HKHKG</t>
        </is>
      </c>
      <c r="X25" s="161" t="inlineStr">
        <is>
          <t>2026-10-29</t>
        </is>
      </c>
      <c r="Y25" s="97" t="n"/>
      <c r="Z25" s="97" t="n"/>
      <c r="AA25" s="97" t="n"/>
      <c r="AB25" s="97" t="n"/>
      <c r="AC25" s="97" t="n"/>
      <c r="AD25" s="161" t="inlineStr">
        <is>
          <t>2026-10-21</t>
        </is>
      </c>
      <c r="AE25" s="174" t="inlineStr">
        <is>
          <t>1502</t>
        </is>
      </c>
      <c r="AF25" s="96" t="inlineStr">
        <is>
          <t>EDI2</t>
        </is>
      </c>
      <c r="AG25" s="97" t="n"/>
      <c r="AH25" s="97" t="n"/>
      <c r="AI25" s="97" t="n"/>
      <c r="AJ25" s="96" t="inlineStr">
        <is>
          <t>YUSEN LOGISTICS (HONG KONG) LTD.</t>
        </is>
      </c>
      <c r="AK25" s="130" t="n"/>
    </row>
    <row r="26" ht="12" customHeight="1">
      <c r="A26" s="108" t="inlineStr">
        <is>
          <t>SKHU6377546</t>
        </is>
      </c>
      <c r="B26" s="108" t="inlineStr">
        <is>
          <t>LCH01</t>
        </is>
      </c>
      <c r="C26" s="108" t="inlineStr">
        <is>
          <t>IFV</t>
        </is>
      </c>
      <c r="D26" s="172" t="inlineStr">
        <is>
          <t>2026-10-20</t>
        </is>
      </c>
      <c r="E26" s="173" t="inlineStr">
        <is>
          <t>1818</t>
        </is>
      </c>
      <c r="F26" s="96" t="inlineStr">
        <is>
          <t>HASLS22261001071</t>
        </is>
      </c>
      <c r="G26" s="96" t="inlineStr">
        <is>
          <t>L.A.1 CO.,LTD.</t>
        </is>
      </c>
      <c r="H26" s="111" t="inlineStr">
        <is>
          <t>45GP</t>
        </is>
      </c>
      <c r="I26" s="96" t="inlineStr">
        <is>
          <t>EMAIL</t>
        </is>
      </c>
      <c r="J26" s="96" t="inlineStr">
        <is>
          <t>EDI2</t>
        </is>
      </c>
      <c r="K26" s="96" t="n"/>
      <c r="L26" s="111" t="inlineStr">
        <is>
          <t>Full</t>
        </is>
      </c>
      <c r="M26" s="96" t="inlineStr">
        <is>
          <t>HASLS22261001071</t>
        </is>
      </c>
      <c r="N26" s="96" t="inlineStr">
        <is>
          <t xml:space="preserve">40Hx1 </t>
        </is>
      </c>
      <c r="O26" s="111" t="inlineStr">
        <is>
          <t>2023</t>
        </is>
      </c>
      <c r="P26" s="111" t="n"/>
      <c r="Q26" s="111" t="n"/>
      <c r="R26" s="96" t="inlineStr">
        <is>
          <t>KMGY</t>
        </is>
      </c>
      <c r="S26" s="96" t="inlineStr">
        <is>
          <t>2611N</t>
        </is>
      </c>
      <c r="T26" s="96" t="inlineStr">
        <is>
          <t>LCH01</t>
        </is>
      </c>
      <c r="U26" s="96" t="inlineStr">
        <is>
          <t>THLCH</t>
        </is>
      </c>
      <c r="V26" s="161" t="inlineStr">
        <is>
          <t>2026-10-25</t>
        </is>
      </c>
      <c r="W26" s="96" t="inlineStr">
        <is>
          <t>HKHKG</t>
        </is>
      </c>
      <c r="X26" s="161" t="inlineStr">
        <is>
          <t>2026-10-29</t>
        </is>
      </c>
      <c r="Y26" s="97" t="n"/>
      <c r="Z26" s="97" t="n"/>
      <c r="AA26" s="97" t="n"/>
      <c r="AB26" s="97" t="n"/>
      <c r="AC26" s="97" t="n"/>
      <c r="AD26" s="161" t="inlineStr">
        <is>
          <t>2026-10-20</t>
        </is>
      </c>
      <c r="AE26" s="174" t="inlineStr">
        <is>
          <t>2310</t>
        </is>
      </c>
      <c r="AF26" s="96" t="inlineStr">
        <is>
          <t>EDI2</t>
        </is>
      </c>
      <c r="AG26" s="97" t="n"/>
      <c r="AH26" s="97" t="n"/>
      <c r="AI26" s="97" t="n"/>
      <c r="AJ26" s="96" t="inlineStr">
        <is>
          <t>SHENZHEN TOP STAR EXPRESS CO., LTD.</t>
        </is>
      </c>
      <c r="AK26" s="130" t="n"/>
    </row>
    <row r="27" ht="12" customHeight="1">
      <c r="A27" s="108" t="inlineStr">
        <is>
          <t>SKHU6444618</t>
        </is>
      </c>
      <c r="B27" s="108" t="inlineStr">
        <is>
          <t>LCH01</t>
        </is>
      </c>
      <c r="C27" s="108" t="inlineStr">
        <is>
          <t>IFV</t>
        </is>
      </c>
      <c r="D27" s="172" t="inlineStr">
        <is>
          <t>2026-10-22</t>
        </is>
      </c>
      <c r="E27" s="173" t="inlineStr">
        <is>
          <t>0247</t>
        </is>
      </c>
      <c r="F27" s="96" t="inlineStr">
        <is>
          <t>HASLS22261001156</t>
        </is>
      </c>
      <c r="G27" s="96" t="inlineStr">
        <is>
          <t>YUSEN LOGISTICS (THAILAND) CO., LTD.</t>
        </is>
      </c>
      <c r="H27" s="111" t="inlineStr">
        <is>
          <t>45GP</t>
        </is>
      </c>
      <c r="I27" s="96" t="inlineStr">
        <is>
          <t>EMAIL</t>
        </is>
      </c>
      <c r="J27" s="96" t="inlineStr">
        <is>
          <t>EDI2</t>
        </is>
      </c>
      <c r="K27" s="96" t="n"/>
      <c r="L27" s="111" t="inlineStr">
        <is>
          <t>Full</t>
        </is>
      </c>
      <c r="M27" s="96" t="inlineStr">
        <is>
          <t>HASLS22261001156</t>
        </is>
      </c>
      <c r="N27" s="96" t="inlineStr">
        <is>
          <t xml:space="preserve">40Hx9 </t>
        </is>
      </c>
      <c r="O27" s="111" t="inlineStr">
        <is>
          <t>2024</t>
        </is>
      </c>
      <c r="P27" s="111" t="n"/>
      <c r="Q27" s="111" t="n"/>
      <c r="R27" s="96" t="inlineStr">
        <is>
          <t>KMGY</t>
        </is>
      </c>
      <c r="S27" s="96" t="inlineStr">
        <is>
          <t>2611N</t>
        </is>
      </c>
      <c r="T27" s="96" t="inlineStr">
        <is>
          <t>LCH01</t>
        </is>
      </c>
      <c r="U27" s="96" t="inlineStr">
        <is>
          <t>THLCH</t>
        </is>
      </c>
      <c r="V27" s="161" t="inlineStr">
        <is>
          <t>2026-10-25</t>
        </is>
      </c>
      <c r="W27" s="96" t="inlineStr">
        <is>
          <t>HKHKG</t>
        </is>
      </c>
      <c r="X27" s="161" t="inlineStr">
        <is>
          <t>2026-10-29</t>
        </is>
      </c>
      <c r="Y27" s="97" t="n"/>
      <c r="Z27" s="97" t="n"/>
      <c r="AA27" s="97" t="n"/>
      <c r="AB27" s="97" t="n"/>
      <c r="AC27" s="97" t="n"/>
      <c r="AD27" s="161" t="inlineStr">
        <is>
          <t>2026-10-22</t>
        </is>
      </c>
      <c r="AE27" s="174" t="inlineStr">
        <is>
          <t>0603</t>
        </is>
      </c>
      <c r="AF27" s="96" t="inlineStr">
        <is>
          <t>EDI2</t>
        </is>
      </c>
      <c r="AG27" s="97" t="n"/>
      <c r="AH27" s="97" t="n"/>
      <c r="AI27" s="97" t="n"/>
      <c r="AJ27" s="96" t="inlineStr">
        <is>
          <t>YUSEN LOGISTICS (HONG KONG) LTD.</t>
        </is>
      </c>
      <c r="AK27" s="130" t="n"/>
    </row>
    <row r="28" ht="12" customHeight="1">
      <c r="A28" s="108" t="inlineStr">
        <is>
          <t>SKHU6512604</t>
        </is>
      </c>
      <c r="B28" s="108" t="inlineStr">
        <is>
          <t>LCH01</t>
        </is>
      </c>
      <c r="C28" s="108" t="inlineStr">
        <is>
          <t>IFV</t>
        </is>
      </c>
      <c r="D28" s="172" t="inlineStr">
        <is>
          <t>2026-10-21</t>
        </is>
      </c>
      <c r="E28" s="173" t="inlineStr">
        <is>
          <t>0221</t>
        </is>
      </c>
      <c r="F28" s="96" t="inlineStr">
        <is>
          <t>HASLS22260901363</t>
        </is>
      </c>
      <c r="G28" s="96" t="inlineStr">
        <is>
          <t>NIPPON EXPRESS LOGISTICS (THAILAND) CO., LTD.</t>
        </is>
      </c>
      <c r="H28" s="111" t="inlineStr">
        <is>
          <t>45GP</t>
        </is>
      </c>
      <c r="I28" s="96" t="inlineStr">
        <is>
          <t>EMAIL</t>
        </is>
      </c>
      <c r="J28" s="96" t="inlineStr">
        <is>
          <t>EDI2</t>
        </is>
      </c>
      <c r="K28" s="96" t="n"/>
      <c r="L28" s="111" t="inlineStr">
        <is>
          <t>Full</t>
        </is>
      </c>
      <c r="M28" s="96" t="inlineStr">
        <is>
          <t>HASLS22260901363</t>
        </is>
      </c>
      <c r="N28" s="96" t="inlineStr">
        <is>
          <t xml:space="preserve">40Hx1 </t>
        </is>
      </c>
      <c r="O28" s="111" t="inlineStr">
        <is>
          <t>2025</t>
        </is>
      </c>
      <c r="P28" s="111" t="n"/>
      <c r="Q28" s="111" t="n"/>
      <c r="R28" s="96" t="inlineStr">
        <is>
          <t>KMGY</t>
        </is>
      </c>
      <c r="S28" s="96" t="inlineStr">
        <is>
          <t>2611N</t>
        </is>
      </c>
      <c r="T28" s="96" t="inlineStr">
        <is>
          <t>LCH01</t>
        </is>
      </c>
      <c r="U28" s="96" t="inlineStr">
        <is>
          <t>THLCH</t>
        </is>
      </c>
      <c r="V28" s="161" t="inlineStr">
        <is>
          <t>2026-10-25</t>
        </is>
      </c>
      <c r="W28" s="96" t="inlineStr">
        <is>
          <t>HKHKG</t>
        </is>
      </c>
      <c r="X28" s="161" t="inlineStr">
        <is>
          <t>2026-10-29</t>
        </is>
      </c>
      <c r="Y28" s="97" t="n"/>
      <c r="Z28" s="97" t="n"/>
      <c r="AA28" s="97" t="n"/>
      <c r="AB28" s="97" t="n"/>
      <c r="AC28" s="97" t="n"/>
      <c r="AD28" s="161" t="inlineStr">
        <is>
          <t>2026-10-21</t>
        </is>
      </c>
      <c r="AE28" s="174" t="inlineStr">
        <is>
          <t>0510</t>
        </is>
      </c>
      <c r="AF28" s="96" t="inlineStr">
        <is>
          <t>EDI2</t>
        </is>
      </c>
      <c r="AG28" s="97" t="n"/>
      <c r="AH28" s="97" t="n"/>
      <c r="AI28" s="97" t="n"/>
      <c r="AJ28" s="96" t="inlineStr">
        <is>
          <t>NIPPON EXPRESS (H.K.) CO.,LTD.</t>
        </is>
      </c>
      <c r="AK28" s="130" t="n"/>
    </row>
    <row r="29" ht="12" customHeight="1">
      <c r="A29" s="108" t="inlineStr">
        <is>
          <t>SKHU6626757</t>
        </is>
      </c>
      <c r="B29" s="108" t="inlineStr">
        <is>
          <t>LCH01</t>
        </is>
      </c>
      <c r="C29" s="108" t="inlineStr">
        <is>
          <t>IFV</t>
        </is>
      </c>
      <c r="D29" s="172" t="inlineStr">
        <is>
          <t>2026-10-22</t>
        </is>
      </c>
      <c r="E29" s="173" t="inlineStr">
        <is>
          <t>2050</t>
        </is>
      </c>
      <c r="F29" s="96" t="inlineStr">
        <is>
          <t>HASLS22260901774</t>
        </is>
      </c>
      <c r="G29" s="96" t="inlineStr">
        <is>
          <t>KWE-KINTETSU WORLD EXPRESS (THAILAND) CO., LTD.</t>
        </is>
      </c>
      <c r="H29" s="111" t="inlineStr">
        <is>
          <t>45GP</t>
        </is>
      </c>
      <c r="I29" s="96" t="inlineStr">
        <is>
          <t>EMAIL</t>
        </is>
      </c>
      <c r="J29" s="96" t="inlineStr">
        <is>
          <t>EDI2</t>
        </is>
      </c>
      <c r="K29" s="96" t="n"/>
      <c r="L29" s="111" t="inlineStr">
        <is>
          <t>Full</t>
        </is>
      </c>
      <c r="M29" s="96" t="inlineStr">
        <is>
          <t>HASLS22260901774</t>
        </is>
      </c>
      <c r="N29" s="96" t="inlineStr">
        <is>
          <t xml:space="preserve">40Hx1 </t>
        </is>
      </c>
      <c r="O29" s="111" t="inlineStr">
        <is>
          <t>2026</t>
        </is>
      </c>
      <c r="P29" s="111" t="n"/>
      <c r="Q29" s="111" t="n"/>
      <c r="R29" s="96" t="inlineStr">
        <is>
          <t>KMGY</t>
        </is>
      </c>
      <c r="S29" s="96" t="inlineStr">
        <is>
          <t>2611N</t>
        </is>
      </c>
      <c r="T29" s="96" t="inlineStr">
        <is>
          <t>LCH01</t>
        </is>
      </c>
      <c r="U29" s="96" t="inlineStr">
        <is>
          <t>THLCH</t>
        </is>
      </c>
      <c r="V29" s="161" t="inlineStr">
        <is>
          <t>2026-10-25</t>
        </is>
      </c>
      <c r="W29" s="96" t="inlineStr">
        <is>
          <t>HKHKG</t>
        </is>
      </c>
      <c r="X29" s="161" t="inlineStr">
        <is>
          <t>2026-10-29</t>
        </is>
      </c>
      <c r="Y29" s="97" t="n"/>
      <c r="Z29" s="97" t="n"/>
      <c r="AA29" s="97" t="n"/>
      <c r="AB29" s="97" t="n"/>
      <c r="AC29" s="97" t="n"/>
      <c r="AD29" s="161" t="inlineStr">
        <is>
          <t>2026-10-23</t>
        </is>
      </c>
      <c r="AE29" s="174" t="inlineStr">
        <is>
          <t>0002</t>
        </is>
      </c>
      <c r="AF29" s="96" t="inlineStr">
        <is>
          <t>EDI2</t>
        </is>
      </c>
      <c r="AG29" s="97" t="n"/>
      <c r="AH29" s="97" t="n"/>
      <c r="AI29" s="97" t="n"/>
      <c r="AJ29" s="96" t="inlineStr">
        <is>
          <t>KINTETSU WORLD EXPRESS (HK) LIMITED</t>
        </is>
      </c>
      <c r="AK29" s="130" t="n"/>
    </row>
    <row r="30" ht="12" customHeight="1">
      <c r="A30" s="108" t="inlineStr">
        <is>
          <t>SKHU6626757</t>
        </is>
      </c>
      <c r="B30" s="108" t="inlineStr">
        <is>
          <t>LCH04</t>
        </is>
      </c>
      <c r="C30" s="108" t="inlineStr">
        <is>
          <t>IFV</t>
        </is>
      </c>
      <c r="D30" s="172" t="inlineStr">
        <is>
          <t>2026-10-20</t>
        </is>
      </c>
      <c r="E30" s="173" t="inlineStr">
        <is>
          <t>1054</t>
        </is>
      </c>
      <c r="F30" s="96" t="inlineStr">
        <is>
          <t>HASLS22260901774</t>
        </is>
      </c>
      <c r="G30" s="96" t="inlineStr">
        <is>
          <t>KWE-KINTETSU WORLD EXPRESS (THAILAND) CO., LTD.</t>
        </is>
      </c>
      <c r="H30" s="111" t="inlineStr">
        <is>
          <t>45GP</t>
        </is>
      </c>
      <c r="I30" s="96" t="inlineStr">
        <is>
          <t>EMAIL</t>
        </is>
      </c>
      <c r="J30" s="96" t="inlineStr">
        <is>
          <t>EDI2</t>
        </is>
      </c>
      <c r="K30" s="96" t="n"/>
      <c r="L30" s="111" t="inlineStr">
        <is>
          <t>Full</t>
        </is>
      </c>
      <c r="M30" s="96" t="inlineStr">
        <is>
          <t>HASLS22260901774</t>
        </is>
      </c>
      <c r="N30" s="96" t="inlineStr">
        <is>
          <t xml:space="preserve">40Hx1 </t>
        </is>
      </c>
      <c r="O30" s="111" t="inlineStr">
        <is>
          <t>2026</t>
        </is>
      </c>
      <c r="P30" s="111" t="n"/>
      <c r="Q30" s="111" t="n"/>
      <c r="R30" s="96" t="inlineStr">
        <is>
          <t>CMA</t>
        </is>
      </c>
      <c r="S30" s="96" t="inlineStr">
        <is>
          <t>2615N</t>
        </is>
      </c>
      <c r="T30" s="96" t="inlineStr">
        <is>
          <t>LCH01</t>
        </is>
      </c>
      <c r="U30" s="96" t="inlineStr">
        <is>
          <t>THLCH</t>
        </is>
      </c>
      <c r="V30" s="161" t="inlineStr">
        <is>
          <t>2026-10-25</t>
        </is>
      </c>
      <c r="W30" s="96" t="inlineStr">
        <is>
          <t>HKHKG</t>
        </is>
      </c>
      <c r="X30" s="161" t="inlineStr">
        <is>
          <t>2026-10-29</t>
        </is>
      </c>
      <c r="Y30" s="97" t="n"/>
      <c r="Z30" s="97" t="n"/>
      <c r="AA30" s="97" t="n"/>
      <c r="AB30" s="97" t="n"/>
      <c r="AC30" s="97" t="n"/>
      <c r="AD30" s="161" t="inlineStr">
        <is>
          <t>2026-10-20</t>
        </is>
      </c>
      <c r="AE30" s="174" t="inlineStr">
        <is>
          <t>1400</t>
        </is>
      </c>
      <c r="AF30" s="96" t="inlineStr">
        <is>
          <t>EDI2</t>
        </is>
      </c>
      <c r="AG30" s="97" t="n"/>
      <c r="AH30" s="97" t="n"/>
      <c r="AI30" s="97" t="n"/>
      <c r="AJ30" s="96" t="inlineStr">
        <is>
          <t>KINTETSU WORLD EXPRESS (HK) LIMITED</t>
        </is>
      </c>
      <c r="AK30" s="130" t="n"/>
    </row>
    <row r="31" ht="12" customHeight="1">
      <c r="A31" s="108" t="inlineStr">
        <is>
          <t>SKHU8109795</t>
        </is>
      </c>
      <c r="B31" s="108" t="inlineStr">
        <is>
          <t>LCH01</t>
        </is>
      </c>
      <c r="C31" s="108" t="inlineStr">
        <is>
          <t>IFV</t>
        </is>
      </c>
      <c r="D31" s="172" t="inlineStr">
        <is>
          <t>2026-10-21</t>
        </is>
      </c>
      <c r="E31" s="173" t="inlineStr">
        <is>
          <t>1656</t>
        </is>
      </c>
      <c r="F31" s="96" t="inlineStr">
        <is>
          <t>HASLS22261001424</t>
        </is>
      </c>
      <c r="G31" s="96" t="inlineStr">
        <is>
          <t>CARGO NETWORK DELIVERY (THAILAND) CO., LTD.</t>
        </is>
      </c>
      <c r="H31" s="111" t="inlineStr">
        <is>
          <t>45GP</t>
        </is>
      </c>
      <c r="I31" s="96" t="inlineStr">
        <is>
          <t>EMAIL</t>
        </is>
      </c>
      <c r="J31" s="96" t="inlineStr">
        <is>
          <t>EDI2</t>
        </is>
      </c>
      <c r="K31" s="96" t="n"/>
      <c r="L31" s="111" t="inlineStr">
        <is>
          <t>Full</t>
        </is>
      </c>
      <c r="M31" s="96" t="inlineStr">
        <is>
          <t>HASLS22261001424</t>
        </is>
      </c>
      <c r="N31" s="96" t="inlineStr">
        <is>
          <t xml:space="preserve">40Hx1 </t>
        </is>
      </c>
      <c r="O31" s="111" t="inlineStr">
        <is>
          <t>2011</t>
        </is>
      </c>
      <c r="P31" s="111" t="n"/>
      <c r="Q31" s="111" t="n"/>
      <c r="R31" s="96" t="inlineStr">
        <is>
          <t>KMGY</t>
        </is>
      </c>
      <c r="S31" s="96" t="inlineStr">
        <is>
          <t>2611N</t>
        </is>
      </c>
      <c r="T31" s="96" t="inlineStr">
        <is>
          <t>LCH01</t>
        </is>
      </c>
      <c r="U31" s="96" t="inlineStr">
        <is>
          <t>THLCH</t>
        </is>
      </c>
      <c r="V31" s="161" t="inlineStr">
        <is>
          <t>2026-10-25</t>
        </is>
      </c>
      <c r="W31" s="96" t="inlineStr">
        <is>
          <t>KRINC</t>
        </is>
      </c>
      <c r="X31" s="161" t="inlineStr">
        <is>
          <t>2026-11-03</t>
        </is>
      </c>
      <c r="Y31" s="97" t="n"/>
      <c r="Z31" s="97" t="n"/>
      <c r="AA31" s="97" t="n"/>
      <c r="AB31" s="97" t="n"/>
      <c r="AC31" s="97" t="n"/>
      <c r="AD31" s="161" t="inlineStr">
        <is>
          <t>2026-10-21</t>
        </is>
      </c>
      <c r="AE31" s="174" t="inlineStr">
        <is>
          <t>2003</t>
        </is>
      </c>
      <c r="AF31" s="96" t="inlineStr">
        <is>
          <t>EDI2</t>
        </is>
      </c>
      <c r="AG31" s="97" t="n"/>
      <c r="AH31" s="97" t="n"/>
      <c r="AI31" s="97" t="n"/>
      <c r="AJ31" s="96" t="inlineStr">
        <is>
          <t>TO THE ORDER OF KEB HANA BANK</t>
        </is>
      </c>
      <c r="AK31" s="130" t="n"/>
    </row>
    <row r="32" ht="12" customHeight="1">
      <c r="A32" s="108" t="inlineStr">
        <is>
          <t>SKHU8916204</t>
        </is>
      </c>
      <c r="B32" s="108" t="inlineStr">
        <is>
          <t>LCH01</t>
        </is>
      </c>
      <c r="C32" s="108" t="inlineStr">
        <is>
          <t>IFV</t>
        </is>
      </c>
      <c r="D32" s="172" t="inlineStr">
        <is>
          <t>2026-10-21</t>
        </is>
      </c>
      <c r="E32" s="173" t="inlineStr">
        <is>
          <t>1842</t>
        </is>
      </c>
      <c r="F32" s="96" t="inlineStr">
        <is>
          <t>HASLS22261000813</t>
        </is>
      </c>
      <c r="G32" s="96" t="inlineStr">
        <is>
          <t>YUSEN LOGISTICS (THAILAND) CO., LTD.</t>
        </is>
      </c>
      <c r="H32" s="111" t="inlineStr">
        <is>
          <t>45GP</t>
        </is>
      </c>
      <c r="I32" s="96" t="inlineStr">
        <is>
          <t>EMAIL</t>
        </is>
      </c>
      <c r="J32" s="96" t="inlineStr">
        <is>
          <t>EDI2</t>
        </is>
      </c>
      <c r="K32" s="96" t="n"/>
      <c r="L32" s="111" t="inlineStr">
        <is>
          <t>Full</t>
        </is>
      </c>
      <c r="M32" s="96" t="inlineStr">
        <is>
          <t>HASLS22261000813</t>
        </is>
      </c>
      <c r="N32" s="96" t="inlineStr">
        <is>
          <t xml:space="preserve">40Hx12 </t>
        </is>
      </c>
      <c r="O32" s="111" t="inlineStr">
        <is>
          <t>2019</t>
        </is>
      </c>
      <c r="P32" s="111" t="n"/>
      <c r="Q32" s="111" t="n"/>
      <c r="R32" s="96" t="inlineStr">
        <is>
          <t>KMGY</t>
        </is>
      </c>
      <c r="S32" s="96" t="inlineStr">
        <is>
          <t>2611N</t>
        </is>
      </c>
      <c r="T32" s="96" t="inlineStr">
        <is>
          <t>LCH01</t>
        </is>
      </c>
      <c r="U32" s="96" t="inlineStr">
        <is>
          <t>THLCH</t>
        </is>
      </c>
      <c r="V32" s="161" t="inlineStr">
        <is>
          <t>2026-10-25</t>
        </is>
      </c>
      <c r="W32" s="96" t="inlineStr">
        <is>
          <t>HKHKG</t>
        </is>
      </c>
      <c r="X32" s="161" t="inlineStr">
        <is>
          <t>2026-10-29</t>
        </is>
      </c>
      <c r="Y32" s="97" t="n"/>
      <c r="Z32" s="97" t="n"/>
      <c r="AA32" s="97" t="n"/>
      <c r="AB32" s="97" t="n"/>
      <c r="AC32" s="97" t="n"/>
      <c r="AD32" s="161" t="inlineStr">
        <is>
          <t>2026-10-21</t>
        </is>
      </c>
      <c r="AE32" s="174" t="inlineStr">
        <is>
          <t>2202</t>
        </is>
      </c>
      <c r="AF32" s="96" t="inlineStr">
        <is>
          <t>EDI2</t>
        </is>
      </c>
      <c r="AG32" s="97" t="n"/>
      <c r="AH32" s="97" t="n"/>
      <c r="AI32" s="97" t="n"/>
      <c r="AJ32" s="96" t="inlineStr">
        <is>
          <t>YUSEN LOGISTICS (HONG KONG) LTD.</t>
        </is>
      </c>
      <c r="AK32" s="130" t="n"/>
    </row>
    <row r="33" ht="12" customHeight="1">
      <c r="A33" s="108" t="inlineStr">
        <is>
          <t>SKHU9310844</t>
        </is>
      </c>
      <c r="B33" s="108" t="inlineStr">
        <is>
          <t>LCH01</t>
        </is>
      </c>
      <c r="C33" s="108" t="inlineStr">
        <is>
          <t>IFV</t>
        </is>
      </c>
      <c r="D33" s="172" t="inlineStr">
        <is>
          <t>2026-10-22</t>
        </is>
      </c>
      <c r="E33" s="173" t="inlineStr">
        <is>
          <t>1806</t>
        </is>
      </c>
      <c r="F33" s="96" t="inlineStr">
        <is>
          <t>HASLS22261000813</t>
        </is>
      </c>
      <c r="G33" s="96" t="inlineStr">
        <is>
          <t>YUSEN LOGISTICS (THAILAND) CO., LTD.</t>
        </is>
      </c>
      <c r="H33" s="111" t="inlineStr">
        <is>
          <t>45GP</t>
        </is>
      </c>
      <c r="I33" s="96" t="inlineStr">
        <is>
          <t>EMAIL</t>
        </is>
      </c>
      <c r="J33" s="96" t="inlineStr">
        <is>
          <t>EDI2</t>
        </is>
      </c>
      <c r="K33" s="96" t="n"/>
      <c r="L33" s="111" t="inlineStr">
        <is>
          <t>Full</t>
        </is>
      </c>
      <c r="M33" s="96" t="inlineStr">
        <is>
          <t>HASLS22261000813</t>
        </is>
      </c>
      <c r="N33" s="96" t="inlineStr">
        <is>
          <t xml:space="preserve">40Hx12 </t>
        </is>
      </c>
      <c r="O33" s="111" t="inlineStr">
        <is>
          <t>2013</t>
        </is>
      </c>
      <c r="P33" s="111" t="n"/>
      <c r="Q33" s="111" t="n"/>
      <c r="R33" s="96" t="inlineStr">
        <is>
          <t>KMGY</t>
        </is>
      </c>
      <c r="S33" s="96" t="inlineStr">
        <is>
          <t>2611N</t>
        </is>
      </c>
      <c r="T33" s="96" t="inlineStr">
        <is>
          <t>LCH01</t>
        </is>
      </c>
      <c r="U33" s="96" t="inlineStr">
        <is>
          <t>THLCH</t>
        </is>
      </c>
      <c r="V33" s="161" t="inlineStr">
        <is>
          <t>2026-10-25</t>
        </is>
      </c>
      <c r="W33" s="96" t="inlineStr">
        <is>
          <t>HKHKG</t>
        </is>
      </c>
      <c r="X33" s="161" t="inlineStr">
        <is>
          <t>2026-10-29</t>
        </is>
      </c>
      <c r="Y33" s="97" t="n"/>
      <c r="Z33" s="97" t="n"/>
      <c r="AA33" s="97" t="n"/>
      <c r="AB33" s="97" t="n"/>
      <c r="AC33" s="97" t="n"/>
      <c r="AD33" s="161" t="inlineStr">
        <is>
          <t>2026-10-22</t>
        </is>
      </c>
      <c r="AE33" s="174" t="inlineStr">
        <is>
          <t>2202</t>
        </is>
      </c>
      <c r="AF33" s="96" t="inlineStr">
        <is>
          <t>EDI2</t>
        </is>
      </c>
      <c r="AG33" s="97" t="n"/>
      <c r="AH33" s="97" t="n"/>
      <c r="AI33" s="97" t="n"/>
      <c r="AJ33" s="96" t="inlineStr">
        <is>
          <t>YUSEN LOGISTICS (HONG KONG) LTD.</t>
        </is>
      </c>
      <c r="AK33" s="130" t="n"/>
    </row>
    <row r="34" ht="12" customHeight="1">
      <c r="A34" s="108" t="inlineStr">
        <is>
          <t>SKHU9312092</t>
        </is>
      </c>
      <c r="B34" s="108" t="inlineStr">
        <is>
          <t>LCH01</t>
        </is>
      </c>
      <c r="C34" s="108" t="inlineStr">
        <is>
          <t>IFV</t>
        </is>
      </c>
      <c r="D34" s="172" t="inlineStr">
        <is>
          <t>2026-10-20</t>
        </is>
      </c>
      <c r="E34" s="173" t="inlineStr">
        <is>
          <t>1920</t>
        </is>
      </c>
      <c r="F34" s="96" t="inlineStr">
        <is>
          <t>HASLS22261001156</t>
        </is>
      </c>
      <c r="G34" s="96" t="inlineStr">
        <is>
          <t>YUSEN LOGISTICS (THAILAND) CO., LTD.</t>
        </is>
      </c>
      <c r="H34" s="111" t="inlineStr">
        <is>
          <t>45GP</t>
        </is>
      </c>
      <c r="I34" s="96" t="inlineStr">
        <is>
          <t>EMAIL</t>
        </is>
      </c>
      <c r="J34" s="96" t="inlineStr">
        <is>
          <t>EDI2</t>
        </is>
      </c>
      <c r="K34" s="96" t="n"/>
      <c r="L34" s="111" t="inlineStr">
        <is>
          <t>Full</t>
        </is>
      </c>
      <c r="M34" s="96" t="inlineStr">
        <is>
          <t>HASLS22261001156</t>
        </is>
      </c>
      <c r="N34" s="96" t="inlineStr">
        <is>
          <t xml:space="preserve">40Hx9 </t>
        </is>
      </c>
      <c r="O34" s="111" t="inlineStr">
        <is>
          <t>2013</t>
        </is>
      </c>
      <c r="P34" s="111" t="n"/>
      <c r="Q34" s="111" t="n"/>
      <c r="R34" s="96" t="inlineStr">
        <is>
          <t>KMGY</t>
        </is>
      </c>
      <c r="S34" s="96" t="inlineStr">
        <is>
          <t>2611N</t>
        </is>
      </c>
      <c r="T34" s="96" t="inlineStr">
        <is>
          <t>LCH01</t>
        </is>
      </c>
      <c r="U34" s="96" t="inlineStr">
        <is>
          <t>THLCH</t>
        </is>
      </c>
      <c r="V34" s="161" t="inlineStr">
        <is>
          <t>2026-10-25</t>
        </is>
      </c>
      <c r="W34" s="96" t="inlineStr">
        <is>
          <t>HKHKG</t>
        </is>
      </c>
      <c r="X34" s="161" t="inlineStr">
        <is>
          <t>2026-10-29</t>
        </is>
      </c>
      <c r="Y34" s="97" t="n"/>
      <c r="Z34" s="97" t="n"/>
      <c r="AA34" s="97" t="n"/>
      <c r="AB34" s="97" t="n"/>
      <c r="AC34" s="97" t="n"/>
      <c r="AD34" s="161" t="inlineStr">
        <is>
          <t>2026-10-20</t>
        </is>
      </c>
      <c r="AE34" s="174" t="inlineStr">
        <is>
          <t>2310</t>
        </is>
      </c>
      <c r="AF34" s="96" t="inlineStr">
        <is>
          <t>EDI2</t>
        </is>
      </c>
      <c r="AG34" s="97" t="n"/>
      <c r="AH34" s="97" t="n"/>
      <c r="AI34" s="97" t="n"/>
      <c r="AJ34" s="96" t="inlineStr">
        <is>
          <t>YUSEN LOGISTICS (HONG KONG) LTD.</t>
        </is>
      </c>
      <c r="AK34" s="130" t="n"/>
    </row>
    <row r="35" ht="12" customHeight="1">
      <c r="A35" s="108" t="inlineStr">
        <is>
          <t>SKHU9404603</t>
        </is>
      </c>
      <c r="B35" s="108" t="inlineStr">
        <is>
          <t>LCH01</t>
        </is>
      </c>
      <c r="C35" s="108" t="inlineStr">
        <is>
          <t>IFV</t>
        </is>
      </c>
      <c r="D35" s="172" t="inlineStr">
        <is>
          <t>2026-10-22</t>
        </is>
      </c>
      <c r="E35" s="173" t="inlineStr">
        <is>
          <t>1352</t>
        </is>
      </c>
      <c r="F35" s="96" t="inlineStr">
        <is>
          <t>HASLS22261000813</t>
        </is>
      </c>
      <c r="G35" s="96" t="inlineStr">
        <is>
          <t>YUSEN LOGISTICS (THAILAND) CO., LTD.</t>
        </is>
      </c>
      <c r="H35" s="111" t="inlineStr">
        <is>
          <t>45GP</t>
        </is>
      </c>
      <c r="I35" s="96" t="inlineStr">
        <is>
          <t>EMAIL</t>
        </is>
      </c>
      <c r="J35" s="96" t="inlineStr">
        <is>
          <t>EDI2</t>
        </is>
      </c>
      <c r="K35" s="96" t="n"/>
      <c r="L35" s="111" t="inlineStr">
        <is>
          <t>Full</t>
        </is>
      </c>
      <c r="M35" s="96" t="inlineStr">
        <is>
          <t>HASLS22261000813</t>
        </is>
      </c>
      <c r="N35" s="96" t="inlineStr">
        <is>
          <t xml:space="preserve">40Hx12 </t>
        </is>
      </c>
      <c r="O35" s="111" t="inlineStr">
        <is>
          <t>2014</t>
        </is>
      </c>
      <c r="P35" s="111" t="n"/>
      <c r="Q35" s="111" t="n"/>
      <c r="R35" s="96" t="inlineStr">
        <is>
          <t>KMGY</t>
        </is>
      </c>
      <c r="S35" s="96" t="inlineStr">
        <is>
          <t>2611N</t>
        </is>
      </c>
      <c r="T35" s="96" t="inlineStr">
        <is>
          <t>LCH01</t>
        </is>
      </c>
      <c r="U35" s="96" t="inlineStr">
        <is>
          <t>THLCH</t>
        </is>
      </c>
      <c r="V35" s="161" t="inlineStr">
        <is>
          <t>2026-10-25</t>
        </is>
      </c>
      <c r="W35" s="96" t="inlineStr">
        <is>
          <t>HKHKG</t>
        </is>
      </c>
      <c r="X35" s="161" t="inlineStr">
        <is>
          <t>2026-10-29</t>
        </is>
      </c>
      <c r="Y35" s="97" t="n"/>
      <c r="Z35" s="97" t="n"/>
      <c r="AA35" s="97" t="n"/>
      <c r="AB35" s="97" t="n"/>
      <c r="AC35" s="97" t="n"/>
      <c r="AD35" s="161" t="inlineStr">
        <is>
          <t>2026-10-22</t>
        </is>
      </c>
      <c r="AE35" s="174" t="inlineStr">
        <is>
          <t>1702</t>
        </is>
      </c>
      <c r="AF35" s="96" t="inlineStr">
        <is>
          <t>EDI2</t>
        </is>
      </c>
      <c r="AG35" s="97" t="n"/>
      <c r="AH35" s="97" t="n"/>
      <c r="AI35" s="97" t="n"/>
      <c r="AJ35" s="96" t="inlineStr">
        <is>
          <t>YUSEN LOGISTICS (HONG KONG) LTD.</t>
        </is>
      </c>
      <c r="AK35" s="130" t="n"/>
    </row>
    <row r="36" ht="12" customHeight="1">
      <c r="A36" s="108" t="inlineStr">
        <is>
          <t>SKHU9415212</t>
        </is>
      </c>
      <c r="B36" s="108" t="inlineStr">
        <is>
          <t>LCH01</t>
        </is>
      </c>
      <c r="C36" s="108" t="inlineStr">
        <is>
          <t>IFV</t>
        </is>
      </c>
      <c r="D36" s="172" t="inlineStr">
        <is>
          <t>2026-10-18</t>
        </is>
      </c>
      <c r="E36" s="173" t="inlineStr">
        <is>
          <t>1624</t>
        </is>
      </c>
      <c r="F36" s="96" t="inlineStr">
        <is>
          <t>HASLS22260902742</t>
        </is>
      </c>
      <c r="G36" s="96" t="inlineStr">
        <is>
          <t>SEA &amp; AERO LOGISTICS CO., LTD.</t>
        </is>
      </c>
      <c r="H36" s="111" t="inlineStr">
        <is>
          <t>45GP</t>
        </is>
      </c>
      <c r="I36" s="96" t="inlineStr">
        <is>
          <t>EMAIL</t>
        </is>
      </c>
      <c r="J36" s="96" t="inlineStr">
        <is>
          <t>EDI2</t>
        </is>
      </c>
      <c r="K36" s="96" t="n"/>
      <c r="L36" s="111" t="inlineStr">
        <is>
          <t>Full</t>
        </is>
      </c>
      <c r="M36" s="96" t="inlineStr">
        <is>
          <t>HASLS22260902742</t>
        </is>
      </c>
      <c r="N36" s="96" t="inlineStr">
        <is>
          <t xml:space="preserve">40Hx7 </t>
        </is>
      </c>
      <c r="O36" s="111" t="inlineStr">
        <is>
          <t>2014</t>
        </is>
      </c>
      <c r="P36" s="111" t="n"/>
      <c r="Q36" s="111" t="n"/>
      <c r="R36" s="96" t="inlineStr">
        <is>
          <t>KMGY</t>
        </is>
      </c>
      <c r="S36" s="96" t="inlineStr">
        <is>
          <t>2611N</t>
        </is>
      </c>
      <c r="T36" s="96" t="inlineStr">
        <is>
          <t>LCH01</t>
        </is>
      </c>
      <c r="U36" s="96" t="inlineStr">
        <is>
          <t>THLCH</t>
        </is>
      </c>
      <c r="V36" s="161" t="inlineStr">
        <is>
          <t>2026-10-25</t>
        </is>
      </c>
      <c r="W36" s="96" t="inlineStr">
        <is>
          <t>HKHKG</t>
        </is>
      </c>
      <c r="X36" s="161" t="inlineStr">
        <is>
          <t>2026-10-29</t>
        </is>
      </c>
      <c r="Y36" s="97" t="n"/>
      <c r="Z36" s="97" t="n"/>
      <c r="AA36" s="97" t="n"/>
      <c r="AB36" s="97" t="n"/>
      <c r="AC36" s="97" t="n"/>
      <c r="AD36" s="161" t="inlineStr">
        <is>
          <t>2026-10-18</t>
        </is>
      </c>
      <c r="AE36" s="174" t="inlineStr">
        <is>
          <t>1910</t>
        </is>
      </c>
      <c r="AF36" s="96" t="inlineStr">
        <is>
          <t>EDI2</t>
        </is>
      </c>
      <c r="AG36" s="97" t="n"/>
      <c r="AH36" s="97" t="n"/>
      <c r="AI36" s="97" t="n"/>
      <c r="AJ36" s="96" t="inlineStr">
        <is>
          <t>HONG KONG GOTO BUTSURYU LTD.</t>
        </is>
      </c>
      <c r="AK36" s="130" t="n"/>
    </row>
    <row r="37" ht="12" customHeight="1">
      <c r="A37" s="108" t="inlineStr">
        <is>
          <t>SKHU9420482</t>
        </is>
      </c>
      <c r="B37" s="108" t="inlineStr">
        <is>
          <t>LCH01</t>
        </is>
      </c>
      <c r="C37" s="108" t="inlineStr">
        <is>
          <t>IFV</t>
        </is>
      </c>
      <c r="D37" s="172" t="inlineStr">
        <is>
          <t>2026-10-22</t>
        </is>
      </c>
      <c r="E37" s="173" t="inlineStr">
        <is>
          <t>1913</t>
        </is>
      </c>
      <c r="F37" s="96" t="inlineStr">
        <is>
          <t>HASLS22261000813</t>
        </is>
      </c>
      <c r="G37" s="96" t="inlineStr">
        <is>
          <t>YUSEN LOGISTICS (THAILAND) CO., LTD.</t>
        </is>
      </c>
      <c r="H37" s="111" t="inlineStr">
        <is>
          <t>45GP</t>
        </is>
      </c>
      <c r="I37" s="96" t="inlineStr">
        <is>
          <t>EMAIL</t>
        </is>
      </c>
      <c r="J37" s="96" t="inlineStr">
        <is>
          <t>EDI2</t>
        </is>
      </c>
      <c r="K37" s="96" t="n"/>
      <c r="L37" s="111" t="inlineStr">
        <is>
          <t>Full</t>
        </is>
      </c>
      <c r="M37" s="96" t="inlineStr">
        <is>
          <t>HASLS22261000813</t>
        </is>
      </c>
      <c r="N37" s="96" t="inlineStr">
        <is>
          <t xml:space="preserve">40Hx12 </t>
        </is>
      </c>
      <c r="O37" s="111" t="inlineStr">
        <is>
          <t>2014</t>
        </is>
      </c>
      <c r="P37" s="111" t="n"/>
      <c r="Q37" s="111" t="n"/>
      <c r="R37" s="96" t="inlineStr">
        <is>
          <t>KMGY</t>
        </is>
      </c>
      <c r="S37" s="96" t="inlineStr">
        <is>
          <t>2611N</t>
        </is>
      </c>
      <c r="T37" s="96" t="inlineStr">
        <is>
          <t>LCH01</t>
        </is>
      </c>
      <c r="U37" s="96" t="inlineStr">
        <is>
          <t>THLCH</t>
        </is>
      </c>
      <c r="V37" s="161" t="inlineStr">
        <is>
          <t>2026-10-25</t>
        </is>
      </c>
      <c r="W37" s="96" t="inlineStr">
        <is>
          <t>HKHKG</t>
        </is>
      </c>
      <c r="X37" s="161" t="inlineStr">
        <is>
          <t>2026-10-29</t>
        </is>
      </c>
      <c r="Y37" s="97" t="n"/>
      <c r="Z37" s="97" t="n"/>
      <c r="AA37" s="97" t="n"/>
      <c r="AB37" s="97" t="n"/>
      <c r="AC37" s="97" t="n"/>
      <c r="AD37" s="161" t="inlineStr">
        <is>
          <t>2026-10-22</t>
        </is>
      </c>
      <c r="AE37" s="174" t="inlineStr">
        <is>
          <t>2202</t>
        </is>
      </c>
      <c r="AF37" s="96" t="inlineStr">
        <is>
          <t>EDI2</t>
        </is>
      </c>
      <c r="AG37" s="97" t="n"/>
      <c r="AH37" s="97" t="n"/>
      <c r="AI37" s="97" t="n"/>
      <c r="AJ37" s="96" t="inlineStr">
        <is>
          <t>YUSEN LOGISTICS (HONG KONG) LTD.</t>
        </is>
      </c>
      <c r="AK37" s="130" t="n"/>
    </row>
    <row r="38" ht="12" customHeight="1">
      <c r="A38" s="108" t="inlineStr">
        <is>
          <t>SKHU9539445</t>
        </is>
      </c>
      <c r="B38" s="108" t="inlineStr">
        <is>
          <t>LCH01</t>
        </is>
      </c>
      <c r="C38" s="108" t="inlineStr">
        <is>
          <t>IFV</t>
        </is>
      </c>
      <c r="D38" s="172" t="inlineStr">
        <is>
          <t>2026-10-20</t>
        </is>
      </c>
      <c r="E38" s="173" t="inlineStr">
        <is>
          <t>0302</t>
        </is>
      </c>
      <c r="F38" s="96" t="inlineStr">
        <is>
          <t>HASLS22260902742</t>
        </is>
      </c>
      <c r="G38" s="96" t="inlineStr">
        <is>
          <t>SEA &amp; AERO LOGISTICS CO., LTD.</t>
        </is>
      </c>
      <c r="H38" s="111" t="inlineStr">
        <is>
          <t>45GP</t>
        </is>
      </c>
      <c r="I38" s="96" t="inlineStr">
        <is>
          <t>EMAIL</t>
        </is>
      </c>
      <c r="J38" s="96" t="inlineStr">
        <is>
          <t>EDI2</t>
        </is>
      </c>
      <c r="K38" s="96" t="n"/>
      <c r="L38" s="111" t="inlineStr">
        <is>
          <t>Full</t>
        </is>
      </c>
      <c r="M38" s="96" t="inlineStr">
        <is>
          <t>HASLS22260902742</t>
        </is>
      </c>
      <c r="N38" s="96" t="inlineStr">
        <is>
          <t xml:space="preserve">40Hx7 </t>
        </is>
      </c>
      <c r="O38" s="111" t="inlineStr">
        <is>
          <t>2015</t>
        </is>
      </c>
      <c r="P38" s="111" t="n"/>
      <c r="Q38" s="111" t="n"/>
      <c r="R38" s="96" t="inlineStr">
        <is>
          <t>KMGY</t>
        </is>
      </c>
      <c r="S38" s="96" t="inlineStr">
        <is>
          <t>2611N</t>
        </is>
      </c>
      <c r="T38" s="96" t="inlineStr">
        <is>
          <t>LCH01</t>
        </is>
      </c>
      <c r="U38" s="96" t="inlineStr">
        <is>
          <t>THLCH</t>
        </is>
      </c>
      <c r="V38" s="161" t="inlineStr">
        <is>
          <t>2026-10-25</t>
        </is>
      </c>
      <c r="W38" s="96" t="inlineStr">
        <is>
          <t>HKHKG</t>
        </is>
      </c>
      <c r="X38" s="161" t="inlineStr">
        <is>
          <t>2026-10-29</t>
        </is>
      </c>
      <c r="Y38" s="97" t="n"/>
      <c r="Z38" s="97" t="n"/>
      <c r="AA38" s="97" t="n"/>
      <c r="AB38" s="97" t="n"/>
      <c r="AC38" s="97" t="n"/>
      <c r="AD38" s="161" t="inlineStr">
        <is>
          <t>2026-10-20</t>
        </is>
      </c>
      <c r="AE38" s="174" t="inlineStr">
        <is>
          <t>0610</t>
        </is>
      </c>
      <c r="AF38" s="96" t="inlineStr">
        <is>
          <t>EDI2</t>
        </is>
      </c>
      <c r="AG38" s="97" t="n"/>
      <c r="AH38" s="97" t="n"/>
      <c r="AI38" s="97" t="n"/>
      <c r="AJ38" s="96" t="inlineStr">
        <is>
          <t>HONG KONG GOTO BUTSURYU LTD.</t>
        </is>
      </c>
      <c r="AK38" s="130" t="n"/>
    </row>
    <row r="39" ht="12" customHeight="1">
      <c r="A39" s="108" t="inlineStr">
        <is>
          <t>SKHU9604849</t>
        </is>
      </c>
      <c r="B39" s="108" t="inlineStr">
        <is>
          <t>LCH01</t>
        </is>
      </c>
      <c r="C39" s="108" t="inlineStr">
        <is>
          <t>IFV</t>
        </is>
      </c>
      <c r="D39" s="172" t="inlineStr">
        <is>
          <t>2026-10-21</t>
        </is>
      </c>
      <c r="E39" s="173" t="inlineStr">
        <is>
          <t>1629</t>
        </is>
      </c>
      <c r="F39" s="96" t="inlineStr">
        <is>
          <t>HASLS22261000813</t>
        </is>
      </c>
      <c r="G39" s="96" t="inlineStr">
        <is>
          <t>YUSEN LOGISTICS (THAILAND) CO., LTD.</t>
        </is>
      </c>
      <c r="H39" s="111" t="inlineStr">
        <is>
          <t>45GP</t>
        </is>
      </c>
      <c r="I39" s="96" t="inlineStr">
        <is>
          <t>EMAIL</t>
        </is>
      </c>
      <c r="J39" s="96" t="inlineStr">
        <is>
          <t>EDI2</t>
        </is>
      </c>
      <c r="K39" s="96" t="n"/>
      <c r="L39" s="111" t="inlineStr">
        <is>
          <t>Full</t>
        </is>
      </c>
      <c r="M39" s="96" t="inlineStr">
        <is>
          <t>HASLS22261000813</t>
        </is>
      </c>
      <c r="N39" s="96" t="inlineStr">
        <is>
          <t xml:space="preserve">40Hx12 </t>
        </is>
      </c>
      <c r="O39" s="111" t="inlineStr">
        <is>
          <t>2016</t>
        </is>
      </c>
      <c r="P39" s="111" t="n"/>
      <c r="Q39" s="111" t="n"/>
      <c r="R39" s="96" t="inlineStr">
        <is>
          <t>KMGY</t>
        </is>
      </c>
      <c r="S39" s="96" t="inlineStr">
        <is>
          <t>2611N</t>
        </is>
      </c>
      <c r="T39" s="96" t="inlineStr">
        <is>
          <t>LCH01</t>
        </is>
      </c>
      <c r="U39" s="96" t="inlineStr">
        <is>
          <t>THLCH</t>
        </is>
      </c>
      <c r="V39" s="161" t="inlineStr">
        <is>
          <t>2026-10-25</t>
        </is>
      </c>
      <c r="W39" s="96" t="inlineStr">
        <is>
          <t>HKHKG</t>
        </is>
      </c>
      <c r="X39" s="161" t="inlineStr">
        <is>
          <t>2026-10-29</t>
        </is>
      </c>
      <c r="Y39" s="97" t="n"/>
      <c r="Z39" s="97" t="n"/>
      <c r="AA39" s="97" t="n"/>
      <c r="AB39" s="97" t="n"/>
      <c r="AC39" s="97" t="n"/>
      <c r="AD39" s="161" t="inlineStr">
        <is>
          <t>2026-10-21</t>
        </is>
      </c>
      <c r="AE39" s="174" t="inlineStr">
        <is>
          <t>2003</t>
        </is>
      </c>
      <c r="AF39" s="96" t="inlineStr">
        <is>
          <t>EDI2</t>
        </is>
      </c>
      <c r="AG39" s="97" t="n"/>
      <c r="AH39" s="97" t="n"/>
      <c r="AI39" s="97" t="n"/>
      <c r="AJ39" s="96" t="inlineStr">
        <is>
          <t>YUSEN LOGISTICS (HONG KONG) LTD.</t>
        </is>
      </c>
      <c r="AK39" s="130" t="n"/>
    </row>
    <row r="40" ht="12" customHeight="1">
      <c r="A40" s="108" t="inlineStr">
        <is>
          <t>SKHU9627567</t>
        </is>
      </c>
      <c r="B40" s="108" t="inlineStr">
        <is>
          <t>LCH01</t>
        </is>
      </c>
      <c r="C40" s="108" t="inlineStr">
        <is>
          <t>IFV</t>
        </is>
      </c>
      <c r="D40" s="172" t="inlineStr">
        <is>
          <t>2026-10-21</t>
        </is>
      </c>
      <c r="E40" s="173" t="inlineStr">
        <is>
          <t>0545</t>
        </is>
      </c>
      <c r="F40" s="96" t="inlineStr">
        <is>
          <t>HASLS22261001156</t>
        </is>
      </c>
      <c r="G40" s="96" t="inlineStr">
        <is>
          <t>YUSEN LOGISTICS (THAILAND) CO., LTD.</t>
        </is>
      </c>
      <c r="H40" s="111" t="inlineStr">
        <is>
          <t>45GP</t>
        </is>
      </c>
      <c r="I40" s="96" t="inlineStr">
        <is>
          <t>EMAIL</t>
        </is>
      </c>
      <c r="J40" s="96" t="inlineStr">
        <is>
          <t>EDI2</t>
        </is>
      </c>
      <c r="K40" s="96" t="n"/>
      <c r="L40" s="111" t="inlineStr">
        <is>
          <t>Full</t>
        </is>
      </c>
      <c r="M40" s="96" t="inlineStr">
        <is>
          <t>HASLS22261001156</t>
        </is>
      </c>
      <c r="N40" s="96" t="inlineStr">
        <is>
          <t xml:space="preserve">40Hx9 </t>
        </is>
      </c>
      <c r="O40" s="111" t="inlineStr">
        <is>
          <t>2016</t>
        </is>
      </c>
      <c r="P40" s="111" t="n"/>
      <c r="Q40" s="111" t="n"/>
      <c r="R40" s="96" t="inlineStr">
        <is>
          <t>KMGY</t>
        </is>
      </c>
      <c r="S40" s="96" t="inlineStr">
        <is>
          <t>2611N</t>
        </is>
      </c>
      <c r="T40" s="96" t="inlineStr">
        <is>
          <t>LCH01</t>
        </is>
      </c>
      <c r="U40" s="96" t="inlineStr">
        <is>
          <t>THLCH</t>
        </is>
      </c>
      <c r="V40" s="161" t="inlineStr">
        <is>
          <t>2026-10-25</t>
        </is>
      </c>
      <c r="W40" s="96" t="inlineStr">
        <is>
          <t>HKHKG</t>
        </is>
      </c>
      <c r="X40" s="161" t="inlineStr">
        <is>
          <t>2026-10-29</t>
        </is>
      </c>
      <c r="Y40" s="97" t="n"/>
      <c r="Z40" s="97" t="n"/>
      <c r="AA40" s="97" t="n"/>
      <c r="AB40" s="97" t="n"/>
      <c r="AC40" s="97" t="n"/>
      <c r="AD40" s="161" t="inlineStr">
        <is>
          <t>2026-10-21</t>
        </is>
      </c>
      <c r="AE40" s="174" t="inlineStr">
        <is>
          <t>0910</t>
        </is>
      </c>
      <c r="AF40" s="96" t="inlineStr">
        <is>
          <t>EDI2</t>
        </is>
      </c>
      <c r="AG40" s="97" t="n"/>
      <c r="AH40" s="97" t="n"/>
      <c r="AI40" s="97" t="n"/>
      <c r="AJ40" s="96" t="inlineStr">
        <is>
          <t>YUSEN LOGISTICS (HONG KONG) LTD.</t>
        </is>
      </c>
      <c r="AK40" s="130" t="n"/>
    </row>
    <row r="41" ht="12" customHeight="1">
      <c r="A41" s="108" t="inlineStr">
        <is>
          <t>SKHU9919569</t>
        </is>
      </c>
      <c r="B41" s="108" t="inlineStr">
        <is>
          <t>LCH01</t>
        </is>
      </c>
      <c r="C41" s="108" t="inlineStr">
        <is>
          <t>IFV</t>
        </is>
      </c>
      <c r="D41" s="172" t="inlineStr">
        <is>
          <t>2026-10-21</t>
        </is>
      </c>
      <c r="E41" s="173" t="inlineStr">
        <is>
          <t>0517</t>
        </is>
      </c>
      <c r="F41" s="96" t="inlineStr">
        <is>
          <t>HASLS22261001156</t>
        </is>
      </c>
      <c r="G41" s="96" t="inlineStr">
        <is>
          <t>YUSEN LOGISTICS (THAILAND) CO., LTD.</t>
        </is>
      </c>
      <c r="H41" s="111" t="inlineStr">
        <is>
          <t>45GP</t>
        </is>
      </c>
      <c r="I41" s="96" t="inlineStr">
        <is>
          <t>EMAIL</t>
        </is>
      </c>
      <c r="J41" s="96" t="inlineStr">
        <is>
          <t>EDI2</t>
        </is>
      </c>
      <c r="K41" s="96" t="n"/>
      <c r="L41" s="111" t="inlineStr">
        <is>
          <t>Full</t>
        </is>
      </c>
      <c r="M41" s="96" t="inlineStr">
        <is>
          <t>HASLS22261001156</t>
        </is>
      </c>
      <c r="N41" s="96" t="inlineStr">
        <is>
          <t xml:space="preserve">40Hx9 </t>
        </is>
      </c>
      <c r="O41" s="111" t="inlineStr">
        <is>
          <t>2019</t>
        </is>
      </c>
      <c r="P41" s="111" t="n"/>
      <c r="Q41" s="111" t="n"/>
      <c r="R41" s="96" t="inlineStr">
        <is>
          <t>KMGY</t>
        </is>
      </c>
      <c r="S41" s="96" t="inlineStr">
        <is>
          <t>2611N</t>
        </is>
      </c>
      <c r="T41" s="96" t="inlineStr">
        <is>
          <t>LCH01</t>
        </is>
      </c>
      <c r="U41" s="96" t="inlineStr">
        <is>
          <t>THLCH</t>
        </is>
      </c>
      <c r="V41" s="161" t="inlineStr">
        <is>
          <t>2026-10-25</t>
        </is>
      </c>
      <c r="W41" s="96" t="inlineStr">
        <is>
          <t>HKHKG</t>
        </is>
      </c>
      <c r="X41" s="161" t="inlineStr">
        <is>
          <t>2026-10-29</t>
        </is>
      </c>
      <c r="Y41" s="97" t="n"/>
      <c r="Z41" s="97" t="n"/>
      <c r="AA41" s="97" t="n"/>
      <c r="AB41" s="97" t="n"/>
      <c r="AC41" s="97" t="n"/>
      <c r="AD41" s="161" t="inlineStr">
        <is>
          <t>2026-10-21</t>
        </is>
      </c>
      <c r="AE41" s="174" t="inlineStr">
        <is>
          <t>0910</t>
        </is>
      </c>
      <c r="AF41" s="96" t="inlineStr">
        <is>
          <t>EDI2</t>
        </is>
      </c>
      <c r="AG41" s="97" t="n"/>
      <c r="AH41" s="97" t="n"/>
      <c r="AI41" s="97" t="n"/>
      <c r="AJ41" s="96" t="inlineStr">
        <is>
          <t>YUSEN LOGISTICS (HONG KONG) LTD.</t>
        </is>
      </c>
      <c r="AK41" s="130" t="n"/>
    </row>
    <row r="42" ht="12" customHeight="1">
      <c r="A42" s="108" t="inlineStr">
        <is>
          <t>SKHU9924518</t>
        </is>
      </c>
      <c r="B42" s="108" t="inlineStr">
        <is>
          <t>LCH01</t>
        </is>
      </c>
      <c r="C42" s="108" t="inlineStr">
        <is>
          <t>IFV</t>
        </is>
      </c>
      <c r="D42" s="172" t="inlineStr">
        <is>
          <t>2026-10-21</t>
        </is>
      </c>
      <c r="E42" s="173" t="inlineStr">
        <is>
          <t>0213</t>
        </is>
      </c>
      <c r="F42" s="96" t="inlineStr">
        <is>
          <t>HASLS22261001156</t>
        </is>
      </c>
      <c r="G42" s="96" t="inlineStr">
        <is>
          <t>YUSEN LOGISTICS (THAILAND) CO., LTD.</t>
        </is>
      </c>
      <c r="H42" s="111" t="inlineStr">
        <is>
          <t>45GP</t>
        </is>
      </c>
      <c r="I42" s="96" t="inlineStr">
        <is>
          <t>EMAIL</t>
        </is>
      </c>
      <c r="J42" s="96" t="inlineStr">
        <is>
          <t>EDI2</t>
        </is>
      </c>
      <c r="K42" s="96" t="n"/>
      <c r="L42" s="111" t="inlineStr">
        <is>
          <t>Full</t>
        </is>
      </c>
      <c r="M42" s="96" t="inlineStr">
        <is>
          <t>HASLS22261001156</t>
        </is>
      </c>
      <c r="N42" s="96" t="inlineStr">
        <is>
          <t xml:space="preserve">40Hx9 </t>
        </is>
      </c>
      <c r="O42" s="111" t="inlineStr">
        <is>
          <t>2019</t>
        </is>
      </c>
      <c r="P42" s="111" t="n"/>
      <c r="Q42" s="111" t="n"/>
      <c r="R42" s="96" t="inlineStr">
        <is>
          <t>KMGY</t>
        </is>
      </c>
      <c r="S42" s="96" t="inlineStr">
        <is>
          <t>2611N</t>
        </is>
      </c>
      <c r="T42" s="96" t="inlineStr">
        <is>
          <t>LCH01</t>
        </is>
      </c>
      <c r="U42" s="96" t="inlineStr">
        <is>
          <t>THLCH</t>
        </is>
      </c>
      <c r="V42" s="161" t="inlineStr">
        <is>
          <t>2026-10-25</t>
        </is>
      </c>
      <c r="W42" s="96" t="inlineStr">
        <is>
          <t>HKHKG</t>
        </is>
      </c>
      <c r="X42" s="161" t="inlineStr">
        <is>
          <t>2026-10-29</t>
        </is>
      </c>
      <c r="Y42" s="97" t="n"/>
      <c r="Z42" s="97" t="n"/>
      <c r="AA42" s="97" t="n"/>
      <c r="AB42" s="97" t="n"/>
      <c r="AC42" s="97" t="n"/>
      <c r="AD42" s="161" t="inlineStr">
        <is>
          <t>2026-10-21</t>
        </is>
      </c>
      <c r="AE42" s="174" t="inlineStr">
        <is>
          <t>0510</t>
        </is>
      </c>
      <c r="AF42" s="96" t="inlineStr">
        <is>
          <t>EDI2</t>
        </is>
      </c>
      <c r="AG42" s="97" t="n"/>
      <c r="AH42" s="97" t="n"/>
      <c r="AI42" s="97" t="n"/>
      <c r="AJ42" s="96" t="inlineStr">
        <is>
          <t>YUSEN LOGISTICS (HONG KONG) LTD.</t>
        </is>
      </c>
      <c r="AK42" s="130" t="n"/>
    </row>
    <row r="43" ht="12" customHeight="1">
      <c r="A43" s="108" t="inlineStr">
        <is>
          <t>SKHU9931688</t>
        </is>
      </c>
      <c r="B43" s="108" t="inlineStr">
        <is>
          <t>LCH01</t>
        </is>
      </c>
      <c r="C43" s="108" t="inlineStr">
        <is>
          <t>IFV</t>
        </is>
      </c>
      <c r="D43" s="172" t="inlineStr">
        <is>
          <t>2026-10-21</t>
        </is>
      </c>
      <c r="E43" s="173" t="inlineStr">
        <is>
          <t>0614</t>
        </is>
      </c>
      <c r="F43" s="96" t="inlineStr">
        <is>
          <t>HASLS22261001156</t>
        </is>
      </c>
      <c r="G43" s="96" t="inlineStr">
        <is>
          <t>YUSEN LOGISTICS (THAILAND) CO., LTD.</t>
        </is>
      </c>
      <c r="H43" s="111" t="inlineStr">
        <is>
          <t>45GP</t>
        </is>
      </c>
      <c r="I43" s="96" t="inlineStr">
        <is>
          <t>EMAIL</t>
        </is>
      </c>
      <c r="J43" s="96" t="inlineStr">
        <is>
          <t>EDI2</t>
        </is>
      </c>
      <c r="K43" s="96" t="n"/>
      <c r="L43" s="111" t="inlineStr">
        <is>
          <t>Full</t>
        </is>
      </c>
      <c r="M43" s="96" t="inlineStr">
        <is>
          <t>HASLS22261001156</t>
        </is>
      </c>
      <c r="N43" s="96" t="inlineStr">
        <is>
          <t xml:space="preserve">40Hx9 </t>
        </is>
      </c>
      <c r="O43" s="111" t="inlineStr">
        <is>
          <t>2019</t>
        </is>
      </c>
      <c r="P43" s="111" t="n"/>
      <c r="Q43" s="111" t="n"/>
      <c r="R43" s="96" t="inlineStr">
        <is>
          <t>KMGY</t>
        </is>
      </c>
      <c r="S43" s="96" t="inlineStr">
        <is>
          <t>2611N</t>
        </is>
      </c>
      <c r="T43" s="96" t="inlineStr">
        <is>
          <t>LCH01</t>
        </is>
      </c>
      <c r="U43" s="96" t="inlineStr">
        <is>
          <t>THLCH</t>
        </is>
      </c>
      <c r="V43" s="161" t="inlineStr">
        <is>
          <t>2026-10-25</t>
        </is>
      </c>
      <c r="W43" s="96" t="inlineStr">
        <is>
          <t>HKHKG</t>
        </is>
      </c>
      <c r="X43" s="161" t="inlineStr">
        <is>
          <t>2026-10-29</t>
        </is>
      </c>
      <c r="Y43" s="97" t="n"/>
      <c r="Z43" s="97" t="n"/>
      <c r="AA43" s="97" t="n"/>
      <c r="AB43" s="97" t="n"/>
      <c r="AC43" s="97" t="n"/>
      <c r="AD43" s="161" t="inlineStr">
        <is>
          <t>2026-10-21</t>
        </is>
      </c>
      <c r="AE43" s="174" t="inlineStr">
        <is>
          <t>0910</t>
        </is>
      </c>
      <c r="AF43" s="96" t="inlineStr">
        <is>
          <t>EDI2</t>
        </is>
      </c>
      <c r="AG43" s="97" t="n"/>
      <c r="AH43" s="97" t="n"/>
      <c r="AI43" s="97" t="n"/>
      <c r="AJ43" s="96" t="inlineStr">
        <is>
          <t>YUSEN LOGISTICS (HONG KONG) LTD.</t>
        </is>
      </c>
      <c r="AK43" s="130" t="n"/>
    </row>
    <row r="44" ht="12" customHeight="1">
      <c r="A44" s="108" t="inlineStr">
        <is>
          <t>SKLU0706215</t>
        </is>
      </c>
      <c r="B44" s="108" t="inlineStr">
        <is>
          <t>LCH01</t>
        </is>
      </c>
      <c r="C44" s="108" t="inlineStr">
        <is>
          <t>IFV</t>
        </is>
      </c>
      <c r="D44" s="172" t="inlineStr">
        <is>
          <t>2026-10-21</t>
        </is>
      </c>
      <c r="E44" s="173" t="inlineStr">
        <is>
          <t>1226</t>
        </is>
      </c>
      <c r="F44" s="96" t="inlineStr">
        <is>
          <t>HASLS22261001311</t>
        </is>
      </c>
      <c r="G44" s="96" t="inlineStr">
        <is>
          <t>TRANS-MAKER CO., LTD.</t>
        </is>
      </c>
      <c r="H44" s="111" t="inlineStr">
        <is>
          <t>22GP</t>
        </is>
      </c>
      <c r="I44" s="96" t="inlineStr">
        <is>
          <t>EMAIL</t>
        </is>
      </c>
      <c r="J44" s="96" t="inlineStr">
        <is>
          <t>EDI2</t>
        </is>
      </c>
      <c r="K44" s="96" t="n"/>
      <c r="L44" s="111" t="inlineStr">
        <is>
          <t>Full</t>
        </is>
      </c>
      <c r="M44" s="96" t="inlineStr">
        <is>
          <t>HASLS22261001311</t>
        </is>
      </c>
      <c r="N44" s="96" t="inlineStr">
        <is>
          <t xml:space="preserve">20'x1 </t>
        </is>
      </c>
      <c r="O44" s="111" t="inlineStr">
        <is>
          <t>2007</t>
        </is>
      </c>
      <c r="P44" s="111" t="n"/>
      <c r="Q44" s="111" t="n"/>
      <c r="R44" s="96" t="inlineStr">
        <is>
          <t>KMGY</t>
        </is>
      </c>
      <c r="S44" s="96" t="inlineStr">
        <is>
          <t>2611N</t>
        </is>
      </c>
      <c r="T44" s="96" t="inlineStr">
        <is>
          <t>LCH01</t>
        </is>
      </c>
      <c r="U44" s="96" t="inlineStr">
        <is>
          <t>THLCH</t>
        </is>
      </c>
      <c r="V44" s="161" t="inlineStr">
        <is>
          <t>2026-10-25</t>
        </is>
      </c>
      <c r="W44" s="96" t="inlineStr">
        <is>
          <t>HKHKG</t>
        </is>
      </c>
      <c r="X44" s="161" t="inlineStr">
        <is>
          <t>2026-10-29</t>
        </is>
      </c>
      <c r="Y44" s="97" t="n"/>
      <c r="Z44" s="97" t="n"/>
      <c r="AA44" s="97" t="n"/>
      <c r="AB44" s="97" t="n"/>
      <c r="AC44" s="97" t="n"/>
      <c r="AD44" s="161" t="inlineStr">
        <is>
          <t>2026-10-21</t>
        </is>
      </c>
      <c r="AE44" s="174" t="inlineStr">
        <is>
          <t>1502</t>
        </is>
      </c>
      <c r="AF44" s="96" t="inlineStr">
        <is>
          <t>EDI2</t>
        </is>
      </c>
      <c r="AG44" s="97" t="n"/>
      <c r="AH44" s="97" t="n"/>
      <c r="AI44" s="97" t="n"/>
      <c r="AJ44" s="96" t="inlineStr">
        <is>
          <t>KEI TAT (GLOBAL) CHEMICALS LTD.</t>
        </is>
      </c>
      <c r="AK44" s="130" t="n"/>
    </row>
    <row r="45" ht="12" customHeight="1">
      <c r="A45" s="108" t="inlineStr">
        <is>
          <t>SKLU0743559</t>
        </is>
      </c>
      <c r="B45" s="108" t="inlineStr">
        <is>
          <t>LCH01</t>
        </is>
      </c>
      <c r="C45" s="108" t="inlineStr">
        <is>
          <t>IFV</t>
        </is>
      </c>
      <c r="D45" s="172" t="inlineStr">
        <is>
          <t>2026-10-21</t>
        </is>
      </c>
      <c r="E45" s="173" t="inlineStr">
        <is>
          <t>1122</t>
        </is>
      </c>
      <c r="F45" s="96" t="inlineStr">
        <is>
          <t>HASLS22261000278</t>
        </is>
      </c>
      <c r="G45" s="96" t="inlineStr">
        <is>
          <t>DOUBLE A (1991) PUBLIC COMPANY LIMITED</t>
        </is>
      </c>
      <c r="H45" s="111" t="inlineStr">
        <is>
          <t>22GP</t>
        </is>
      </c>
      <c r="I45" s="96" t="inlineStr">
        <is>
          <t>EMAIL</t>
        </is>
      </c>
      <c r="J45" s="96" t="inlineStr">
        <is>
          <t>EDI2</t>
        </is>
      </c>
      <c r="K45" s="96" t="n"/>
      <c r="L45" s="111" t="inlineStr">
        <is>
          <t>Full</t>
        </is>
      </c>
      <c r="M45" s="96" t="inlineStr">
        <is>
          <t>HASLS22261000278</t>
        </is>
      </c>
      <c r="N45" s="96" t="inlineStr">
        <is>
          <t xml:space="preserve">20'x2 </t>
        </is>
      </c>
      <c r="O45" s="111" t="inlineStr">
        <is>
          <t>2007</t>
        </is>
      </c>
      <c r="P45" s="111" t="n"/>
      <c r="Q45" s="111" t="n"/>
      <c r="R45" s="96" t="inlineStr">
        <is>
          <t>KMGY</t>
        </is>
      </c>
      <c r="S45" s="96" t="inlineStr">
        <is>
          <t>2611N</t>
        </is>
      </c>
      <c r="T45" s="96" t="inlineStr">
        <is>
          <t>LCH01</t>
        </is>
      </c>
      <c r="U45" s="96" t="inlineStr">
        <is>
          <t>THLCH</t>
        </is>
      </c>
      <c r="V45" s="161" t="inlineStr">
        <is>
          <t>2026-10-25</t>
        </is>
      </c>
      <c r="W45" s="96" t="inlineStr">
        <is>
          <t>HKHKG</t>
        </is>
      </c>
      <c r="X45" s="161" t="inlineStr">
        <is>
          <t>2026-10-29</t>
        </is>
      </c>
      <c r="Y45" s="97" t="n"/>
      <c r="Z45" s="97" t="n"/>
      <c r="AA45" s="97" t="n"/>
      <c r="AB45" s="97" t="n"/>
      <c r="AC45" s="97" t="n"/>
      <c r="AD45" s="161" t="inlineStr">
        <is>
          <t>2026-10-21</t>
        </is>
      </c>
      <c r="AE45" s="174" t="inlineStr">
        <is>
          <t>1402</t>
        </is>
      </c>
      <c r="AF45" s="96" t="inlineStr">
        <is>
          <t>EDI2</t>
        </is>
      </c>
      <c r="AG45" s="97" t="n"/>
      <c r="AH45" s="97" t="n"/>
      <c r="AI45" s="97" t="n"/>
      <c r="AJ45" s="96" t="inlineStr">
        <is>
          <t>TO ORDER</t>
        </is>
      </c>
      <c r="AK45" s="130" t="n"/>
    </row>
    <row r="46" ht="12" customHeight="1">
      <c r="A46" s="108" t="inlineStr">
        <is>
          <t>SKLU1104001</t>
        </is>
      </c>
      <c r="B46" s="108" t="inlineStr">
        <is>
          <t>LCH01</t>
        </is>
      </c>
      <c r="C46" s="108" t="inlineStr">
        <is>
          <t>IFV</t>
        </is>
      </c>
      <c r="D46" s="172" t="inlineStr">
        <is>
          <t>2026-10-22</t>
        </is>
      </c>
      <c r="E46" s="173" t="inlineStr">
        <is>
          <t>0601</t>
        </is>
      </c>
      <c r="F46" s="96" t="inlineStr">
        <is>
          <t>HASLS22260902763</t>
        </is>
      </c>
      <c r="G46" s="96" t="inlineStr">
        <is>
          <t>HAST LOGISTICS CO., LTD.</t>
        </is>
      </c>
      <c r="H46" s="111" t="inlineStr">
        <is>
          <t>22GP</t>
        </is>
      </c>
      <c r="I46" s="96" t="inlineStr">
        <is>
          <t>EMAIL</t>
        </is>
      </c>
      <c r="J46" s="96" t="inlineStr">
        <is>
          <t>EDI2</t>
        </is>
      </c>
      <c r="K46" s="96" t="n"/>
      <c r="L46" s="111" t="inlineStr">
        <is>
          <t>Full</t>
        </is>
      </c>
      <c r="M46" s="96" t="inlineStr">
        <is>
          <t>HASLS22260902763</t>
        </is>
      </c>
      <c r="N46" s="96" t="inlineStr">
        <is>
          <t xml:space="preserve">20'x6 </t>
        </is>
      </c>
      <c r="O46" s="111" t="inlineStr">
        <is>
          <t>2011</t>
        </is>
      </c>
      <c r="P46" s="111" t="n"/>
      <c r="Q46" s="111" t="n"/>
      <c r="R46" s="96" t="inlineStr">
        <is>
          <t>KMGY</t>
        </is>
      </c>
      <c r="S46" s="96" t="inlineStr">
        <is>
          <t>2611N</t>
        </is>
      </c>
      <c r="T46" s="96" t="inlineStr">
        <is>
          <t>LCH01</t>
        </is>
      </c>
      <c r="U46" s="96" t="inlineStr">
        <is>
          <t>THLCH</t>
        </is>
      </c>
      <c r="V46" s="161" t="inlineStr">
        <is>
          <t>2026-10-25</t>
        </is>
      </c>
      <c r="W46" s="96" t="inlineStr">
        <is>
          <t>HKHKG</t>
        </is>
      </c>
      <c r="X46" s="161" t="inlineStr">
        <is>
          <t>2026-10-29</t>
        </is>
      </c>
      <c r="Y46" s="97" t="n"/>
      <c r="Z46" s="97" t="n"/>
      <c r="AA46" s="97" t="n"/>
      <c r="AB46" s="97" t="n"/>
      <c r="AC46" s="97" t="n"/>
      <c r="AD46" s="161" t="inlineStr">
        <is>
          <t>2026-10-22</t>
        </is>
      </c>
      <c r="AE46" s="174" t="inlineStr">
        <is>
          <t>0902</t>
        </is>
      </c>
      <c r="AF46" s="96" t="inlineStr">
        <is>
          <t>EDI2</t>
        </is>
      </c>
      <c r="AG46" s="97" t="n"/>
      <c r="AH46" s="97" t="n"/>
      <c r="AI46" s="97" t="n"/>
      <c r="AJ46" s="96" t="inlineStr">
        <is>
          <t>TAIKOO SUGAR LIMITED</t>
        </is>
      </c>
      <c r="AK46" s="130" t="n"/>
    </row>
    <row r="47" ht="12" customHeight="1">
      <c r="A47" s="108" t="inlineStr">
        <is>
          <t>SKLU1117117</t>
        </is>
      </c>
      <c r="B47" s="108" t="inlineStr">
        <is>
          <t>LCH01</t>
        </is>
      </c>
      <c r="C47" s="108" t="inlineStr">
        <is>
          <t>IFV</t>
        </is>
      </c>
      <c r="D47" s="172" t="inlineStr">
        <is>
          <t>2026-10-19</t>
        </is>
      </c>
      <c r="E47" s="173" t="inlineStr">
        <is>
          <t>1506</t>
        </is>
      </c>
      <c r="F47" s="96" t="inlineStr">
        <is>
          <t>HASLS22261000795</t>
        </is>
      </c>
      <c r="G47" s="96" t="inlineStr">
        <is>
          <t>IRPC PUBLIC COMPANY LIMITED</t>
        </is>
      </c>
      <c r="H47" s="111" t="inlineStr">
        <is>
          <t>22GP</t>
        </is>
      </c>
      <c r="I47" s="96" t="inlineStr">
        <is>
          <t>EMAIL</t>
        </is>
      </c>
      <c r="J47" s="96" t="inlineStr">
        <is>
          <t>EDI2</t>
        </is>
      </c>
      <c r="K47" s="96" t="n"/>
      <c r="L47" s="111" t="inlineStr">
        <is>
          <t>Full</t>
        </is>
      </c>
      <c r="M47" s="96" t="inlineStr">
        <is>
          <t>HASLS22261000795</t>
        </is>
      </c>
      <c r="N47" s="96" t="inlineStr">
        <is>
          <t xml:space="preserve">20'x3 </t>
        </is>
      </c>
      <c r="O47" s="111" t="inlineStr">
        <is>
          <t>2011</t>
        </is>
      </c>
      <c r="P47" s="111" t="n"/>
      <c r="Q47" s="111" t="n"/>
      <c r="R47" s="96" t="inlineStr">
        <is>
          <t>KMGY</t>
        </is>
      </c>
      <c r="S47" s="96" t="inlineStr">
        <is>
          <t>2611N</t>
        </is>
      </c>
      <c r="T47" s="96" t="inlineStr">
        <is>
          <t>LCH01</t>
        </is>
      </c>
      <c r="U47" s="96" t="inlineStr">
        <is>
          <t>THLCH</t>
        </is>
      </c>
      <c r="V47" s="161" t="inlineStr">
        <is>
          <t>2026-10-25</t>
        </is>
      </c>
      <c r="W47" s="96" t="inlineStr">
        <is>
          <t>HKHKG</t>
        </is>
      </c>
      <c r="X47" s="161" t="inlineStr">
        <is>
          <t>2026-10-29</t>
        </is>
      </c>
      <c r="Y47" s="97" t="n"/>
      <c r="Z47" s="97" t="n"/>
      <c r="AA47" s="97" t="n"/>
      <c r="AB47" s="97" t="n"/>
      <c r="AC47" s="97" t="n"/>
      <c r="AD47" s="161" t="inlineStr">
        <is>
          <t>2026-10-19</t>
        </is>
      </c>
      <c r="AE47" s="174" t="inlineStr">
        <is>
          <t>1810</t>
        </is>
      </c>
      <c r="AF47" s="96" t="inlineStr">
        <is>
          <t>EDI2</t>
        </is>
      </c>
      <c r="AG47" s="97" t="n"/>
      <c r="AH47" s="97" t="n"/>
      <c r="AI47" s="97" t="n"/>
      <c r="AJ47" s="96" t="inlineStr">
        <is>
          <t>TO ORDER OF SOLID GOLD INDUSTRIES</t>
        </is>
      </c>
      <c r="AK47" s="130" t="n"/>
    </row>
    <row r="48" ht="12" customHeight="1">
      <c r="A48" s="108" t="inlineStr">
        <is>
          <t>SKLU1302497</t>
        </is>
      </c>
      <c r="B48" s="108" t="inlineStr">
        <is>
          <t>LCH01</t>
        </is>
      </c>
      <c r="C48" s="108" t="inlineStr">
        <is>
          <t>IFV</t>
        </is>
      </c>
      <c r="D48" s="172" t="inlineStr">
        <is>
          <t>2026-10-21</t>
        </is>
      </c>
      <c r="E48" s="173" t="inlineStr">
        <is>
          <t>1608</t>
        </is>
      </c>
      <c r="F48" s="96" t="inlineStr">
        <is>
          <t>HASLS22260902763</t>
        </is>
      </c>
      <c r="G48" s="96" t="inlineStr">
        <is>
          <t>HAST LOGISTICS CO., LTD.</t>
        </is>
      </c>
      <c r="H48" s="111" t="inlineStr">
        <is>
          <t>22GP</t>
        </is>
      </c>
      <c r="I48" s="96" t="inlineStr">
        <is>
          <t>EMAIL</t>
        </is>
      </c>
      <c r="J48" s="96" t="inlineStr">
        <is>
          <t>EDI2</t>
        </is>
      </c>
      <c r="K48" s="96" t="n"/>
      <c r="L48" s="111" t="inlineStr">
        <is>
          <t>Full</t>
        </is>
      </c>
      <c r="M48" s="96" t="inlineStr">
        <is>
          <t>HASLS22260902763</t>
        </is>
      </c>
      <c r="N48" s="96" t="inlineStr">
        <is>
          <t xml:space="preserve">20'x6 </t>
        </is>
      </c>
      <c r="O48" s="111" t="inlineStr">
        <is>
          <t>2013</t>
        </is>
      </c>
      <c r="P48" s="111" t="n"/>
      <c r="Q48" s="111" t="n"/>
      <c r="R48" s="96" t="inlineStr">
        <is>
          <t>KMGY</t>
        </is>
      </c>
      <c r="S48" s="96" t="inlineStr">
        <is>
          <t>2611N</t>
        </is>
      </c>
      <c r="T48" s="96" t="inlineStr">
        <is>
          <t>LCH01</t>
        </is>
      </c>
      <c r="U48" s="96" t="inlineStr">
        <is>
          <t>THLCH</t>
        </is>
      </c>
      <c r="V48" s="161" t="inlineStr">
        <is>
          <t>2026-10-25</t>
        </is>
      </c>
      <c r="W48" s="96" t="inlineStr">
        <is>
          <t>HKHKG</t>
        </is>
      </c>
      <c r="X48" s="161" t="inlineStr">
        <is>
          <t>2026-10-29</t>
        </is>
      </c>
      <c r="Y48" s="97" t="n"/>
      <c r="Z48" s="97" t="n"/>
      <c r="AA48" s="97" t="n"/>
      <c r="AB48" s="97" t="n"/>
      <c r="AC48" s="97" t="n"/>
      <c r="AD48" s="161" t="inlineStr">
        <is>
          <t>2026-10-21</t>
        </is>
      </c>
      <c r="AE48" s="174" t="inlineStr">
        <is>
          <t>1902</t>
        </is>
      </c>
      <c r="AF48" s="96" t="inlineStr">
        <is>
          <t>EDI2</t>
        </is>
      </c>
      <c r="AG48" s="97" t="n"/>
      <c r="AH48" s="97" t="n"/>
      <c r="AI48" s="97" t="n"/>
      <c r="AJ48" s="96" t="inlineStr">
        <is>
          <t>TAIKOO SUGAR LIMITED</t>
        </is>
      </c>
      <c r="AK48" s="130" t="n"/>
    </row>
    <row r="49" ht="12" customHeight="1">
      <c r="A49" s="108" t="inlineStr">
        <is>
          <t>SKLU1312113</t>
        </is>
      </c>
      <c r="B49" s="108" t="inlineStr">
        <is>
          <t>LCH01</t>
        </is>
      </c>
      <c r="C49" s="108" t="inlineStr">
        <is>
          <t>IFV</t>
        </is>
      </c>
      <c r="D49" s="172" t="inlineStr">
        <is>
          <t>2026-10-17</t>
        </is>
      </c>
      <c r="E49" s="173" t="inlineStr">
        <is>
          <t>0659</t>
        </is>
      </c>
      <c r="F49" s="96" t="inlineStr">
        <is>
          <t>HASLS22260900819</t>
        </is>
      </c>
      <c r="G49" s="96" t="inlineStr">
        <is>
          <t>JAST GLOBAL CO.,LTD.</t>
        </is>
      </c>
      <c r="H49" s="111" t="inlineStr">
        <is>
          <t>22GP</t>
        </is>
      </c>
      <c r="I49" s="96" t="inlineStr">
        <is>
          <t>EMAIL</t>
        </is>
      </c>
      <c r="J49" s="96" t="inlineStr">
        <is>
          <t>EDI2</t>
        </is>
      </c>
      <c r="K49" s="96" t="n"/>
      <c r="L49" s="111" t="inlineStr">
        <is>
          <t>Full</t>
        </is>
      </c>
      <c r="M49" s="96" t="inlineStr">
        <is>
          <t>HASLS22260900819</t>
        </is>
      </c>
      <c r="N49" s="96" t="inlineStr">
        <is>
          <t xml:space="preserve">20'x10 </t>
        </is>
      </c>
      <c r="O49" s="111" t="inlineStr">
        <is>
          <t>2013</t>
        </is>
      </c>
      <c r="P49" s="111" t="n"/>
      <c r="Q49" s="111" t="n"/>
      <c r="R49" s="96" t="inlineStr">
        <is>
          <t>KMGY</t>
        </is>
      </c>
      <c r="S49" s="96" t="inlineStr">
        <is>
          <t>2611N</t>
        </is>
      </c>
      <c r="T49" s="96" t="inlineStr">
        <is>
          <t>LCH01</t>
        </is>
      </c>
      <c r="U49" s="96" t="inlineStr">
        <is>
          <t>THLCH</t>
        </is>
      </c>
      <c r="V49" s="161" t="inlineStr">
        <is>
          <t>2026-10-25</t>
        </is>
      </c>
      <c r="W49" s="96" t="inlineStr">
        <is>
          <t>KRINC</t>
        </is>
      </c>
      <c r="X49" s="161" t="inlineStr">
        <is>
          <t>2026-11-03</t>
        </is>
      </c>
      <c r="Y49" s="97" t="n"/>
      <c r="Z49" s="97" t="n"/>
      <c r="AA49" s="97" t="n"/>
      <c r="AB49" s="97" t="n"/>
      <c r="AC49" s="97" t="n"/>
      <c r="AD49" s="161" t="inlineStr">
        <is>
          <t>2026-10-17</t>
        </is>
      </c>
      <c r="AE49" s="174" t="inlineStr">
        <is>
          <t>1010</t>
        </is>
      </c>
      <c r="AF49" s="96" t="inlineStr">
        <is>
          <t>EDI2</t>
        </is>
      </c>
      <c r="AG49" s="97" t="n"/>
      <c r="AH49" s="97" t="n"/>
      <c r="AI49" s="97" t="n"/>
      <c r="AJ49" s="96" t="inlineStr">
        <is>
          <t>TO ORDER</t>
        </is>
      </c>
      <c r="AK49" s="130" t="n"/>
    </row>
    <row r="50" ht="12" customHeight="1">
      <c r="A50" s="108" t="inlineStr">
        <is>
          <t>SKLU1338340</t>
        </is>
      </c>
      <c r="B50" s="108" t="inlineStr">
        <is>
          <t>LCH01</t>
        </is>
      </c>
      <c r="C50" s="108" t="inlineStr">
        <is>
          <t>IFV</t>
        </is>
      </c>
      <c r="D50" s="172" t="inlineStr">
        <is>
          <t>2026-10-17</t>
        </is>
      </c>
      <c r="E50" s="173" t="inlineStr">
        <is>
          <t>0557</t>
        </is>
      </c>
      <c r="F50" s="96" t="inlineStr">
        <is>
          <t>HASLS22260900819</t>
        </is>
      </c>
      <c r="G50" s="96" t="inlineStr">
        <is>
          <t>JAST GLOBAL CO.,LTD.</t>
        </is>
      </c>
      <c r="H50" s="111" t="inlineStr">
        <is>
          <t>22GP</t>
        </is>
      </c>
      <c r="I50" s="96" t="inlineStr">
        <is>
          <t>EMAIL</t>
        </is>
      </c>
      <c r="J50" s="96" t="inlineStr">
        <is>
          <t>EDI2</t>
        </is>
      </c>
      <c r="K50" s="96" t="n"/>
      <c r="L50" s="111" t="inlineStr">
        <is>
          <t>Full</t>
        </is>
      </c>
      <c r="M50" s="96" t="inlineStr">
        <is>
          <t>HASLS22260900819</t>
        </is>
      </c>
      <c r="N50" s="96" t="inlineStr">
        <is>
          <t xml:space="preserve">20'x10 </t>
        </is>
      </c>
      <c r="O50" s="111" t="inlineStr">
        <is>
          <t>2013</t>
        </is>
      </c>
      <c r="P50" s="111" t="n"/>
      <c r="Q50" s="111" t="n"/>
      <c r="R50" s="96" t="inlineStr">
        <is>
          <t>KMGY</t>
        </is>
      </c>
      <c r="S50" s="96" t="inlineStr">
        <is>
          <t>2611N</t>
        </is>
      </c>
      <c r="T50" s="96" t="inlineStr">
        <is>
          <t>LCH01</t>
        </is>
      </c>
      <c r="U50" s="96" t="inlineStr">
        <is>
          <t>THLCH</t>
        </is>
      </c>
      <c r="V50" s="161" t="inlineStr">
        <is>
          <t>2026-10-25</t>
        </is>
      </c>
      <c r="W50" s="96" t="inlineStr">
        <is>
          <t>KRINC</t>
        </is>
      </c>
      <c r="X50" s="161" t="inlineStr">
        <is>
          <t>2026-11-03</t>
        </is>
      </c>
      <c r="Y50" s="97" t="n"/>
      <c r="Z50" s="97" t="n"/>
      <c r="AA50" s="97" t="n"/>
      <c r="AB50" s="97" t="n"/>
      <c r="AC50" s="97" t="n"/>
      <c r="AD50" s="161" t="inlineStr">
        <is>
          <t>2026-10-17</t>
        </is>
      </c>
      <c r="AE50" s="174" t="inlineStr">
        <is>
          <t>0910</t>
        </is>
      </c>
      <c r="AF50" s="96" t="inlineStr">
        <is>
          <t>EDI2</t>
        </is>
      </c>
      <c r="AG50" s="97" t="n"/>
      <c r="AH50" s="97" t="n"/>
      <c r="AI50" s="97" t="n"/>
      <c r="AJ50" s="96" t="inlineStr">
        <is>
          <t>TO ORDER</t>
        </is>
      </c>
      <c r="AK50" s="130" t="n"/>
    </row>
    <row r="51" ht="12" customHeight="1">
      <c r="A51" s="108" t="inlineStr">
        <is>
          <t>SKLU1403640</t>
        </is>
      </c>
      <c r="B51" s="108" t="inlineStr">
        <is>
          <t>LCH01</t>
        </is>
      </c>
      <c r="C51" s="108" t="inlineStr">
        <is>
          <t>IFV</t>
        </is>
      </c>
      <c r="D51" s="172" t="inlineStr">
        <is>
          <t>2026-10-18</t>
        </is>
      </c>
      <c r="E51" s="173" t="inlineStr">
        <is>
          <t>0116</t>
        </is>
      </c>
      <c r="F51" s="96" t="inlineStr">
        <is>
          <t>HASLS22261000792</t>
        </is>
      </c>
      <c r="G51" s="96" t="inlineStr">
        <is>
          <t>IRPC PUBLIC COMPANY LIMITED</t>
        </is>
      </c>
      <c r="H51" s="111" t="inlineStr">
        <is>
          <t>22GP</t>
        </is>
      </c>
      <c r="I51" s="96" t="inlineStr">
        <is>
          <t>EMAIL</t>
        </is>
      </c>
      <c r="J51" s="96" t="inlineStr">
        <is>
          <t>EDI2</t>
        </is>
      </c>
      <c r="K51" s="96" t="n"/>
      <c r="L51" s="111" t="inlineStr">
        <is>
          <t>Full</t>
        </is>
      </c>
      <c r="M51" s="96" t="inlineStr">
        <is>
          <t>HASLS22261000792</t>
        </is>
      </c>
      <c r="N51" s="96" t="inlineStr">
        <is>
          <t xml:space="preserve">20'x2 </t>
        </is>
      </c>
      <c r="O51" s="111" t="inlineStr">
        <is>
          <t>2014</t>
        </is>
      </c>
      <c r="P51" s="111" t="n"/>
      <c r="Q51" s="111" t="n"/>
      <c r="R51" s="96" t="inlineStr">
        <is>
          <t>KMGY</t>
        </is>
      </c>
      <c r="S51" s="96" t="inlineStr">
        <is>
          <t>2611N</t>
        </is>
      </c>
      <c r="T51" s="96" t="inlineStr">
        <is>
          <t>LCH01</t>
        </is>
      </c>
      <c r="U51" s="96" t="inlineStr">
        <is>
          <t>THLCH</t>
        </is>
      </c>
      <c r="V51" s="161" t="inlineStr">
        <is>
          <t>2026-10-25</t>
        </is>
      </c>
      <c r="W51" s="96" t="inlineStr">
        <is>
          <t>HKHKG</t>
        </is>
      </c>
      <c r="X51" s="161" t="inlineStr">
        <is>
          <t>2026-10-29</t>
        </is>
      </c>
      <c r="Y51" s="97" t="n"/>
      <c r="Z51" s="97" t="n"/>
      <c r="AA51" s="97" t="n"/>
      <c r="AB51" s="97" t="n"/>
      <c r="AC51" s="97" t="n"/>
      <c r="AD51" s="161" t="inlineStr">
        <is>
          <t>2026-10-18</t>
        </is>
      </c>
      <c r="AE51" s="174" t="inlineStr">
        <is>
          <t>0410</t>
        </is>
      </c>
      <c r="AF51" s="96" t="inlineStr">
        <is>
          <t>EDI2</t>
        </is>
      </c>
      <c r="AG51" s="97" t="n"/>
      <c r="AH51" s="97" t="n"/>
      <c r="AI51" s="97" t="n"/>
      <c r="AJ51" s="96" t="inlineStr">
        <is>
          <t>TO ORDER OF SOLID GOLD INDUSTRIES</t>
        </is>
      </c>
      <c r="AK51" s="130" t="n"/>
    </row>
    <row r="52" ht="12" customHeight="1">
      <c r="A52" s="108" t="inlineStr">
        <is>
          <t>SKLU1417011</t>
        </is>
      </c>
      <c r="B52" s="108" t="inlineStr">
        <is>
          <t>LCH01</t>
        </is>
      </c>
      <c r="C52" s="108" t="inlineStr">
        <is>
          <t>IFV</t>
        </is>
      </c>
      <c r="D52" s="172" t="inlineStr">
        <is>
          <t>2026-10-20</t>
        </is>
      </c>
      <c r="E52" s="173" t="inlineStr">
        <is>
          <t>2051</t>
        </is>
      </c>
      <c r="F52" s="96" t="inlineStr">
        <is>
          <t>HASLS22260902763</t>
        </is>
      </c>
      <c r="G52" s="96" t="inlineStr">
        <is>
          <t>HAST LOGISTICS CO., LTD.</t>
        </is>
      </c>
      <c r="H52" s="111" t="inlineStr">
        <is>
          <t>22GP</t>
        </is>
      </c>
      <c r="I52" s="96" t="inlineStr">
        <is>
          <t>EMAIL</t>
        </is>
      </c>
      <c r="J52" s="96" t="inlineStr">
        <is>
          <t>EDI2</t>
        </is>
      </c>
      <c r="K52" s="96" t="n"/>
      <c r="L52" s="111" t="inlineStr">
        <is>
          <t>Full</t>
        </is>
      </c>
      <c r="M52" s="96" t="inlineStr">
        <is>
          <t>HASLS22260902763</t>
        </is>
      </c>
      <c r="N52" s="96" t="inlineStr">
        <is>
          <t xml:space="preserve">20'x6 </t>
        </is>
      </c>
      <c r="O52" s="111" t="inlineStr">
        <is>
          <t>2014</t>
        </is>
      </c>
      <c r="P52" s="111" t="n"/>
      <c r="Q52" s="111" t="n"/>
      <c r="R52" s="96" t="inlineStr">
        <is>
          <t>KMGY</t>
        </is>
      </c>
      <c r="S52" s="96" t="inlineStr">
        <is>
          <t>2611N</t>
        </is>
      </c>
      <c r="T52" s="96" t="inlineStr">
        <is>
          <t>LCH01</t>
        </is>
      </c>
      <c r="U52" s="96" t="inlineStr">
        <is>
          <t>THLCH</t>
        </is>
      </c>
      <c r="V52" s="161" t="inlineStr">
        <is>
          <t>2026-10-25</t>
        </is>
      </c>
      <c r="W52" s="96" t="inlineStr">
        <is>
          <t>HKHKG</t>
        </is>
      </c>
      <c r="X52" s="161" t="inlineStr">
        <is>
          <t>2026-10-29</t>
        </is>
      </c>
      <c r="Y52" s="97" t="n"/>
      <c r="Z52" s="97" t="n"/>
      <c r="AA52" s="97" t="n"/>
      <c r="AB52" s="97" t="n"/>
      <c r="AC52" s="97" t="n"/>
      <c r="AD52" s="161" t="inlineStr">
        <is>
          <t>2026-10-21</t>
        </is>
      </c>
      <c r="AE52" s="174" t="inlineStr">
        <is>
          <t>0010</t>
        </is>
      </c>
      <c r="AF52" s="96" t="inlineStr">
        <is>
          <t>EDI2</t>
        </is>
      </c>
      <c r="AG52" s="97" t="n"/>
      <c r="AH52" s="97" t="n"/>
      <c r="AI52" s="97" t="n"/>
      <c r="AJ52" s="96" t="inlineStr">
        <is>
          <t>TAIKOO SUGAR LIMITED</t>
        </is>
      </c>
      <c r="AK52" s="130" t="n"/>
    </row>
    <row r="53" ht="12" customHeight="1">
      <c r="A53" s="108" t="inlineStr">
        <is>
          <t>SKLU1432757</t>
        </is>
      </c>
      <c r="B53" s="108" t="inlineStr">
        <is>
          <t>LCH01</t>
        </is>
      </c>
      <c r="C53" s="108" t="inlineStr">
        <is>
          <t>IFV</t>
        </is>
      </c>
      <c r="D53" s="172" t="inlineStr">
        <is>
          <t>2026-10-17</t>
        </is>
      </c>
      <c r="E53" s="173" t="inlineStr">
        <is>
          <t>0555</t>
        </is>
      </c>
      <c r="F53" s="96" t="inlineStr">
        <is>
          <t>HASLS22260900819</t>
        </is>
      </c>
      <c r="G53" s="96" t="inlineStr">
        <is>
          <t>JAST GLOBAL CO.,LTD.</t>
        </is>
      </c>
      <c r="H53" s="111" t="inlineStr">
        <is>
          <t>22GP</t>
        </is>
      </c>
      <c r="I53" s="96" t="inlineStr">
        <is>
          <t>EMAIL</t>
        </is>
      </c>
      <c r="J53" s="96" t="inlineStr">
        <is>
          <t>EDI2</t>
        </is>
      </c>
      <c r="K53" s="96" t="n"/>
      <c r="L53" s="111" t="inlineStr">
        <is>
          <t>Full</t>
        </is>
      </c>
      <c r="M53" s="96" t="inlineStr">
        <is>
          <t>HASLS22260900819</t>
        </is>
      </c>
      <c r="N53" s="96" t="inlineStr">
        <is>
          <t xml:space="preserve">20'x10 </t>
        </is>
      </c>
      <c r="O53" s="111" t="inlineStr">
        <is>
          <t>2014</t>
        </is>
      </c>
      <c r="P53" s="111" t="n"/>
      <c r="Q53" s="111" t="n"/>
      <c r="R53" s="96" t="inlineStr">
        <is>
          <t>KMGY</t>
        </is>
      </c>
      <c r="S53" s="96" t="inlineStr">
        <is>
          <t>2611N</t>
        </is>
      </c>
      <c r="T53" s="96" t="inlineStr">
        <is>
          <t>LCH01</t>
        </is>
      </c>
      <c r="U53" s="96" t="inlineStr">
        <is>
          <t>THLCH</t>
        </is>
      </c>
      <c r="V53" s="161" t="inlineStr">
        <is>
          <t>2026-10-25</t>
        </is>
      </c>
      <c r="W53" s="96" t="inlineStr">
        <is>
          <t>KRINC</t>
        </is>
      </c>
      <c r="X53" s="161" t="inlineStr">
        <is>
          <t>2026-11-03</t>
        </is>
      </c>
      <c r="Y53" s="97" t="n"/>
      <c r="Z53" s="97" t="n"/>
      <c r="AA53" s="97" t="n"/>
      <c r="AB53" s="97" t="n"/>
      <c r="AC53" s="97" t="n"/>
      <c r="AD53" s="161" t="inlineStr">
        <is>
          <t>2026-10-17</t>
        </is>
      </c>
      <c r="AE53" s="174" t="inlineStr">
        <is>
          <t>0910</t>
        </is>
      </c>
      <c r="AF53" s="96" t="inlineStr">
        <is>
          <t>EDI2</t>
        </is>
      </c>
      <c r="AG53" s="97" t="n"/>
      <c r="AH53" s="97" t="n"/>
      <c r="AI53" s="97" t="n"/>
      <c r="AJ53" s="96" t="inlineStr">
        <is>
          <t>TO ORDER</t>
        </is>
      </c>
      <c r="AK53" s="130" t="n"/>
    </row>
    <row r="54" ht="12" customHeight="1">
      <c r="A54" s="108" t="inlineStr">
        <is>
          <t>SKLU1504230</t>
        </is>
      </c>
      <c r="B54" s="108" t="inlineStr">
        <is>
          <t>LCH01</t>
        </is>
      </c>
      <c r="C54" s="108" t="inlineStr">
        <is>
          <t>IFV</t>
        </is>
      </c>
      <c r="D54" s="172" t="inlineStr">
        <is>
          <t>2026-10-22</t>
        </is>
      </c>
      <c r="E54" s="173" t="inlineStr">
        <is>
          <t>1506</t>
        </is>
      </c>
      <c r="F54" s="96" t="inlineStr">
        <is>
          <t>HASLS22261001374</t>
        </is>
      </c>
      <c r="G54" s="96" t="inlineStr">
        <is>
          <t>UBE CHEMICALS (ASIA) PUBLIC COMPANY LIMITED</t>
        </is>
      </c>
      <c r="H54" s="111" t="inlineStr">
        <is>
          <t>22GP</t>
        </is>
      </c>
      <c r="I54" s="96" t="inlineStr">
        <is>
          <t>EMAIL</t>
        </is>
      </c>
      <c r="J54" s="96" t="inlineStr">
        <is>
          <t>EDI2</t>
        </is>
      </c>
      <c r="K54" s="96" t="n"/>
      <c r="L54" s="111" t="inlineStr">
        <is>
          <t>Full</t>
        </is>
      </c>
      <c r="M54" s="96" t="inlineStr">
        <is>
          <t>HASLS22261001374</t>
        </is>
      </c>
      <c r="N54" s="96" t="inlineStr">
        <is>
          <t xml:space="preserve">20'x2 </t>
        </is>
      </c>
      <c r="O54" s="111" t="inlineStr">
        <is>
          <t>2015</t>
        </is>
      </c>
      <c r="P54" s="111" t="n"/>
      <c r="Q54" s="111" t="n"/>
      <c r="R54" s="96" t="inlineStr">
        <is>
          <t>KMGY</t>
        </is>
      </c>
      <c r="S54" s="96" t="inlineStr">
        <is>
          <t>2611N</t>
        </is>
      </c>
      <c r="T54" s="96" t="inlineStr">
        <is>
          <t>LCH01</t>
        </is>
      </c>
      <c r="U54" s="96" t="inlineStr">
        <is>
          <t>THLCH</t>
        </is>
      </c>
      <c r="V54" s="161" t="inlineStr">
        <is>
          <t>2026-10-25</t>
        </is>
      </c>
      <c r="W54" s="96" t="inlineStr">
        <is>
          <t>HKHKG</t>
        </is>
      </c>
      <c r="X54" s="161" t="inlineStr">
        <is>
          <t>2026-10-29</t>
        </is>
      </c>
      <c r="Y54" s="97" t="n"/>
      <c r="Z54" s="97" t="n"/>
      <c r="AA54" s="97" t="n"/>
      <c r="AB54" s="97" t="n"/>
      <c r="AC54" s="97" t="n"/>
      <c r="AD54" s="161" t="inlineStr">
        <is>
          <t>2026-10-22</t>
        </is>
      </c>
      <c r="AE54" s="174" t="inlineStr">
        <is>
          <t>1832</t>
        </is>
      </c>
      <c r="AF54" s="96" t="inlineStr">
        <is>
          <t>EDI2</t>
        </is>
      </c>
      <c r="AG54" s="97" t="n"/>
      <c r="AH54" s="97" t="n"/>
      <c r="AI54" s="97" t="n"/>
      <c r="AJ54" s="96" t="inlineStr">
        <is>
          <t>DONGGUAN JIAYUE RUBBER AND PLASTIC</t>
        </is>
      </c>
      <c r="AK54" s="130" t="n"/>
    </row>
    <row r="55" ht="12" customHeight="1">
      <c r="A55" s="108" t="inlineStr">
        <is>
          <t>SKLU1506335</t>
        </is>
      </c>
      <c r="B55" s="108" t="inlineStr">
        <is>
          <t>LCH01</t>
        </is>
      </c>
      <c r="C55" s="108" t="inlineStr">
        <is>
          <t>IFV</t>
        </is>
      </c>
      <c r="D55" s="172" t="inlineStr">
        <is>
          <t>2026-10-18</t>
        </is>
      </c>
      <c r="E55" s="173" t="inlineStr">
        <is>
          <t>0856</t>
        </is>
      </c>
      <c r="F55" s="96" t="inlineStr">
        <is>
          <t>HASLS22261000794</t>
        </is>
      </c>
      <c r="G55" s="96" t="inlineStr">
        <is>
          <t>IRPC PUBLIC COMPANY LIMITED</t>
        </is>
      </c>
      <c r="H55" s="111" t="inlineStr">
        <is>
          <t>22GP</t>
        </is>
      </c>
      <c r="I55" s="96" t="inlineStr">
        <is>
          <t>EMAIL</t>
        </is>
      </c>
      <c r="J55" s="96" t="inlineStr">
        <is>
          <t>EDI2</t>
        </is>
      </c>
      <c r="K55" s="96" t="n"/>
      <c r="L55" s="111" t="inlineStr">
        <is>
          <t>Full</t>
        </is>
      </c>
      <c r="M55" s="96" t="inlineStr">
        <is>
          <t>HASLS22261000794</t>
        </is>
      </c>
      <c r="N55" s="96" t="inlineStr">
        <is>
          <t xml:space="preserve">20'x4 </t>
        </is>
      </c>
      <c r="O55" s="111" t="inlineStr">
        <is>
          <t>2015</t>
        </is>
      </c>
      <c r="P55" s="111" t="n"/>
      <c r="Q55" s="111" t="n"/>
      <c r="R55" s="96" t="inlineStr">
        <is>
          <t>KMGY</t>
        </is>
      </c>
      <c r="S55" s="96" t="inlineStr">
        <is>
          <t>2611N</t>
        </is>
      </c>
      <c r="T55" s="96" t="inlineStr">
        <is>
          <t>LCH01</t>
        </is>
      </c>
      <c r="U55" s="96" t="inlineStr">
        <is>
          <t>THLCH</t>
        </is>
      </c>
      <c r="V55" s="161" t="inlineStr">
        <is>
          <t>2026-10-25</t>
        </is>
      </c>
      <c r="W55" s="96" t="inlineStr">
        <is>
          <t>HKHKG</t>
        </is>
      </c>
      <c r="X55" s="161" t="inlineStr">
        <is>
          <t>2026-10-29</t>
        </is>
      </c>
      <c r="Y55" s="97" t="n"/>
      <c r="Z55" s="97" t="n"/>
      <c r="AA55" s="97" t="n"/>
      <c r="AB55" s="97" t="n"/>
      <c r="AC55" s="97" t="n"/>
      <c r="AD55" s="161" t="inlineStr">
        <is>
          <t>2026-10-18</t>
        </is>
      </c>
      <c r="AE55" s="174" t="inlineStr">
        <is>
          <t>1210</t>
        </is>
      </c>
      <c r="AF55" s="96" t="inlineStr">
        <is>
          <t>EDI2</t>
        </is>
      </c>
      <c r="AG55" s="97" t="n"/>
      <c r="AH55" s="97" t="n"/>
      <c r="AI55" s="97" t="n"/>
      <c r="AJ55" s="96" t="inlineStr">
        <is>
          <t>TO ORDER OF SOLID GOLD INDUSTRIES</t>
        </is>
      </c>
      <c r="AK55" s="130" t="n"/>
    </row>
    <row r="56" ht="12" customHeight="1">
      <c r="A56" s="108" t="inlineStr">
        <is>
          <t>SKLU1575001</t>
        </is>
      </c>
      <c r="B56" s="108" t="inlineStr">
        <is>
          <t>LCH01</t>
        </is>
      </c>
      <c r="C56" s="108" t="inlineStr">
        <is>
          <t>IFV</t>
        </is>
      </c>
      <c r="D56" s="172" t="inlineStr">
        <is>
          <t>2026-10-22</t>
        </is>
      </c>
      <c r="E56" s="173" t="inlineStr">
        <is>
          <t>0559</t>
        </is>
      </c>
      <c r="F56" s="96" t="inlineStr">
        <is>
          <t>HASLS22260902763</t>
        </is>
      </c>
      <c r="G56" s="96" t="inlineStr">
        <is>
          <t>HAST LOGISTICS CO., LTD.</t>
        </is>
      </c>
      <c r="H56" s="111" t="inlineStr">
        <is>
          <t>22GP</t>
        </is>
      </c>
      <c r="I56" s="96" t="inlineStr">
        <is>
          <t>EMAIL</t>
        </is>
      </c>
      <c r="J56" s="96" t="inlineStr">
        <is>
          <t>EDI2</t>
        </is>
      </c>
      <c r="K56" s="96" t="n"/>
      <c r="L56" s="111" t="inlineStr">
        <is>
          <t>Full</t>
        </is>
      </c>
      <c r="M56" s="96" t="inlineStr">
        <is>
          <t>HASLS22260902763</t>
        </is>
      </c>
      <c r="N56" s="96" t="inlineStr">
        <is>
          <t xml:space="preserve">20'x6 </t>
        </is>
      </c>
      <c r="O56" s="111" t="inlineStr">
        <is>
          <t>2015</t>
        </is>
      </c>
      <c r="P56" s="111" t="n"/>
      <c r="Q56" s="111" t="n"/>
      <c r="R56" s="96" t="inlineStr">
        <is>
          <t>KMGY</t>
        </is>
      </c>
      <c r="S56" s="96" t="inlineStr">
        <is>
          <t>2611N</t>
        </is>
      </c>
      <c r="T56" s="96" t="inlineStr">
        <is>
          <t>LCH01</t>
        </is>
      </c>
      <c r="U56" s="96" t="inlineStr">
        <is>
          <t>THLCH</t>
        </is>
      </c>
      <c r="V56" s="161" t="inlineStr">
        <is>
          <t>2026-10-25</t>
        </is>
      </c>
      <c r="W56" s="96" t="inlineStr">
        <is>
          <t>HKHKG</t>
        </is>
      </c>
      <c r="X56" s="161" t="inlineStr">
        <is>
          <t>2026-10-29</t>
        </is>
      </c>
      <c r="Y56" s="97" t="n"/>
      <c r="Z56" s="97" t="n"/>
      <c r="AA56" s="97" t="n"/>
      <c r="AB56" s="97" t="n"/>
      <c r="AC56" s="97" t="n"/>
      <c r="AD56" s="161" t="inlineStr">
        <is>
          <t>2026-10-22</t>
        </is>
      </c>
      <c r="AE56" s="174" t="inlineStr">
        <is>
          <t>0902</t>
        </is>
      </c>
      <c r="AF56" s="96" t="inlineStr">
        <is>
          <t>EDI2</t>
        </is>
      </c>
      <c r="AG56" s="97" t="n"/>
      <c r="AH56" s="97" t="n"/>
      <c r="AI56" s="97" t="n"/>
      <c r="AJ56" s="96" t="inlineStr">
        <is>
          <t>TAIKOO SUGAR LIMITED</t>
        </is>
      </c>
      <c r="AK56" s="130" t="n"/>
    </row>
    <row r="57" ht="12" customHeight="1">
      <c r="A57" s="108" t="inlineStr">
        <is>
          <t>SKLU1800801</t>
        </is>
      </c>
      <c r="B57" s="108" t="inlineStr">
        <is>
          <t>LCH01</t>
        </is>
      </c>
      <c r="C57" s="108" t="inlineStr">
        <is>
          <t>IFV</t>
        </is>
      </c>
      <c r="D57" s="172" t="inlineStr">
        <is>
          <t>2026-10-19</t>
        </is>
      </c>
      <c r="E57" s="173" t="inlineStr">
        <is>
          <t>0624</t>
        </is>
      </c>
      <c r="F57" s="96" t="inlineStr">
        <is>
          <t>HASLS22261000795</t>
        </is>
      </c>
      <c r="G57" s="96" t="inlineStr">
        <is>
          <t>IRPC PUBLIC COMPANY LIMITED</t>
        </is>
      </c>
      <c r="H57" s="111" t="inlineStr">
        <is>
          <t>22GP</t>
        </is>
      </c>
      <c r="I57" s="96" t="inlineStr">
        <is>
          <t>EMAIL</t>
        </is>
      </c>
      <c r="J57" s="96" t="inlineStr">
        <is>
          <t>EDI2</t>
        </is>
      </c>
      <c r="K57" s="96" t="n"/>
      <c r="L57" s="111" t="inlineStr">
        <is>
          <t>Full</t>
        </is>
      </c>
      <c r="M57" s="96" t="inlineStr">
        <is>
          <t>HASLS22261000795</t>
        </is>
      </c>
      <c r="N57" s="96" t="inlineStr">
        <is>
          <t xml:space="preserve">20'x3 </t>
        </is>
      </c>
      <c r="O57" s="111" t="inlineStr">
        <is>
          <t>2018</t>
        </is>
      </c>
      <c r="P57" s="111" t="n"/>
      <c r="Q57" s="111" t="n"/>
      <c r="R57" s="96" t="inlineStr">
        <is>
          <t>KMGY</t>
        </is>
      </c>
      <c r="S57" s="96" t="inlineStr">
        <is>
          <t>2611N</t>
        </is>
      </c>
      <c r="T57" s="96" t="inlineStr">
        <is>
          <t>LCH01</t>
        </is>
      </c>
      <c r="U57" s="96" t="inlineStr">
        <is>
          <t>THLCH</t>
        </is>
      </c>
      <c r="V57" s="161" t="inlineStr">
        <is>
          <t>2026-10-25</t>
        </is>
      </c>
      <c r="W57" s="96" t="inlineStr">
        <is>
          <t>HKHKG</t>
        </is>
      </c>
      <c r="X57" s="161" t="inlineStr">
        <is>
          <t>2026-10-29</t>
        </is>
      </c>
      <c r="Y57" s="97" t="n"/>
      <c r="Z57" s="97" t="n"/>
      <c r="AA57" s="97" t="n"/>
      <c r="AB57" s="97" t="n"/>
      <c r="AC57" s="97" t="n"/>
      <c r="AD57" s="161" t="inlineStr">
        <is>
          <t>2026-10-19</t>
        </is>
      </c>
      <c r="AE57" s="174" t="inlineStr">
        <is>
          <t>0910</t>
        </is>
      </c>
      <c r="AF57" s="96" t="inlineStr">
        <is>
          <t>EDI2</t>
        </is>
      </c>
      <c r="AG57" s="97" t="n"/>
      <c r="AH57" s="97" t="n"/>
      <c r="AI57" s="97" t="n"/>
      <c r="AJ57" s="96" t="inlineStr">
        <is>
          <t>TO ORDER OF SOLID GOLD INDUSTRIES</t>
        </is>
      </c>
      <c r="AK57" s="130" t="n"/>
    </row>
    <row r="58" ht="12" customHeight="1">
      <c r="A58" s="108" t="inlineStr">
        <is>
          <t>SKLU1815226</t>
        </is>
      </c>
      <c r="B58" s="108" t="inlineStr">
        <is>
          <t>LCH01</t>
        </is>
      </c>
      <c r="C58" s="108" t="inlineStr">
        <is>
          <t>IFV</t>
        </is>
      </c>
      <c r="D58" s="172" t="inlineStr">
        <is>
          <t>2026-10-22</t>
        </is>
      </c>
      <c r="E58" s="173" t="inlineStr">
        <is>
          <t>2251</t>
        </is>
      </c>
      <c r="F58" s="96" t="inlineStr">
        <is>
          <t>HASLS22261001312</t>
        </is>
      </c>
      <c r="G58" s="96" t="inlineStr">
        <is>
          <t>YUSEN LOGISTICS (THAILAND) CO., LTD.</t>
        </is>
      </c>
      <c r="H58" s="111" t="inlineStr">
        <is>
          <t>22GP</t>
        </is>
      </c>
      <c r="I58" s="96" t="inlineStr">
        <is>
          <t>EMAIL</t>
        </is>
      </c>
      <c r="J58" s="96" t="inlineStr">
        <is>
          <t>EDI2</t>
        </is>
      </c>
      <c r="K58" s="96" t="n"/>
      <c r="L58" s="111" t="inlineStr">
        <is>
          <t>Full</t>
        </is>
      </c>
      <c r="M58" s="96" t="inlineStr">
        <is>
          <t>HASLS22261001312</t>
        </is>
      </c>
      <c r="N58" s="96" t="inlineStr">
        <is>
          <t xml:space="preserve">20'x1 </t>
        </is>
      </c>
      <c r="O58" s="111" t="inlineStr">
        <is>
          <t>2018</t>
        </is>
      </c>
      <c r="P58" s="111" t="n"/>
      <c r="Q58" s="111" t="n"/>
      <c r="R58" s="96" t="inlineStr">
        <is>
          <t>KMGY</t>
        </is>
      </c>
      <c r="S58" s="96" t="inlineStr">
        <is>
          <t>2611N</t>
        </is>
      </c>
      <c r="T58" s="96" t="inlineStr">
        <is>
          <t>LCH01</t>
        </is>
      </c>
      <c r="U58" s="96" t="inlineStr">
        <is>
          <t>THLCH</t>
        </is>
      </c>
      <c r="V58" s="161" t="inlineStr">
        <is>
          <t>2026-10-25</t>
        </is>
      </c>
      <c r="W58" s="96" t="inlineStr">
        <is>
          <t>HKHKG</t>
        </is>
      </c>
      <c r="X58" s="161" t="inlineStr">
        <is>
          <t>2026-10-29</t>
        </is>
      </c>
      <c r="Y58" s="97" t="n"/>
      <c r="Z58" s="97" t="n"/>
      <c r="AA58" s="97" t="n"/>
      <c r="AB58" s="97" t="n"/>
      <c r="AC58" s="97" t="n"/>
      <c r="AD58" s="161" t="inlineStr">
        <is>
          <t>2026-10-23</t>
        </is>
      </c>
      <c r="AE58" s="174" t="inlineStr">
        <is>
          <t>0202</t>
        </is>
      </c>
      <c r="AF58" s="96" t="inlineStr">
        <is>
          <t>EDI2</t>
        </is>
      </c>
      <c r="AG58" s="97" t="n"/>
      <c r="AH58" s="97" t="n"/>
      <c r="AI58" s="97" t="n"/>
      <c r="AJ58" s="96" t="inlineStr">
        <is>
          <t>YUSEN LOGISTICS (CHINA) CO., LTD.</t>
        </is>
      </c>
      <c r="AK58" s="130" t="n"/>
    </row>
    <row r="59" ht="12" customHeight="1">
      <c r="A59" s="108" t="inlineStr">
        <is>
          <t>SKLU1821912</t>
        </is>
      </c>
      <c r="B59" s="108" t="inlineStr">
        <is>
          <t>LCH01</t>
        </is>
      </c>
      <c r="C59" s="108" t="inlineStr">
        <is>
          <t>IFV</t>
        </is>
      </c>
      <c r="D59" s="172" t="inlineStr">
        <is>
          <t>2026-10-22</t>
        </is>
      </c>
      <c r="E59" s="173" t="inlineStr">
        <is>
          <t>1506</t>
        </is>
      </c>
      <c r="F59" s="96" t="inlineStr">
        <is>
          <t>HASLS22261001374</t>
        </is>
      </c>
      <c r="G59" s="96" t="inlineStr">
        <is>
          <t>UBE CHEMICALS (ASIA) PUBLIC COMPANY LIMITED</t>
        </is>
      </c>
      <c r="H59" s="111" t="inlineStr">
        <is>
          <t>22GP</t>
        </is>
      </c>
      <c r="I59" s="96" t="inlineStr">
        <is>
          <t>EMAIL</t>
        </is>
      </c>
      <c r="J59" s="96" t="inlineStr">
        <is>
          <t>EDI2</t>
        </is>
      </c>
      <c r="K59" s="96" t="n"/>
      <c r="L59" s="111" t="inlineStr">
        <is>
          <t>Full</t>
        </is>
      </c>
      <c r="M59" s="96" t="inlineStr">
        <is>
          <t>HASLS22261001374</t>
        </is>
      </c>
      <c r="N59" s="96" t="inlineStr">
        <is>
          <t xml:space="preserve">20'x2 </t>
        </is>
      </c>
      <c r="O59" s="111" t="inlineStr">
        <is>
          <t>2018</t>
        </is>
      </c>
      <c r="P59" s="111" t="n"/>
      <c r="Q59" s="111" t="n"/>
      <c r="R59" s="96" t="inlineStr">
        <is>
          <t>KMGY</t>
        </is>
      </c>
      <c r="S59" s="96" t="inlineStr">
        <is>
          <t>2611N</t>
        </is>
      </c>
      <c r="T59" s="96" t="inlineStr">
        <is>
          <t>LCH01</t>
        </is>
      </c>
      <c r="U59" s="96" t="inlineStr">
        <is>
          <t>THLCH</t>
        </is>
      </c>
      <c r="V59" s="161" t="inlineStr">
        <is>
          <t>2026-10-25</t>
        </is>
      </c>
      <c r="W59" s="96" t="inlineStr">
        <is>
          <t>HKHKG</t>
        </is>
      </c>
      <c r="X59" s="161" t="inlineStr">
        <is>
          <t>2026-10-29</t>
        </is>
      </c>
      <c r="Y59" s="97" t="n"/>
      <c r="Z59" s="97" t="n"/>
      <c r="AA59" s="97" t="n"/>
      <c r="AB59" s="97" t="n"/>
      <c r="AC59" s="97" t="n"/>
      <c r="AD59" s="161" t="inlineStr">
        <is>
          <t>2026-10-22</t>
        </is>
      </c>
      <c r="AE59" s="174" t="inlineStr">
        <is>
          <t>1832</t>
        </is>
      </c>
      <c r="AF59" s="96" t="inlineStr">
        <is>
          <t>EDI2</t>
        </is>
      </c>
      <c r="AG59" s="97" t="n"/>
      <c r="AH59" s="97" t="n"/>
      <c r="AI59" s="97" t="n"/>
      <c r="AJ59" s="96" t="inlineStr">
        <is>
          <t>DONGGUAN JIAYUE RUBBER AND PLASTIC</t>
        </is>
      </c>
      <c r="AK59" s="130" t="n"/>
    </row>
    <row r="60" ht="12" customHeight="1">
      <c r="A60" s="108" t="inlineStr">
        <is>
          <t>SKLU1923616</t>
        </is>
      </c>
      <c r="B60" s="108" t="inlineStr">
        <is>
          <t>LCH01</t>
        </is>
      </c>
      <c r="C60" s="108" t="inlineStr">
        <is>
          <t>IFV</t>
        </is>
      </c>
      <c r="D60" s="172" t="inlineStr">
        <is>
          <t>2026-10-22</t>
        </is>
      </c>
      <c r="E60" s="173" t="inlineStr">
        <is>
          <t>0050</t>
        </is>
      </c>
      <c r="F60" s="96" t="inlineStr">
        <is>
          <t>HASLS22260902604</t>
        </is>
      </c>
      <c r="G60" s="96" t="inlineStr">
        <is>
          <t>DOUBLE A (1991) PUBLIC COMPANY LIMITED</t>
        </is>
      </c>
      <c r="H60" s="111" t="inlineStr">
        <is>
          <t>22GP</t>
        </is>
      </c>
      <c r="I60" s="96" t="inlineStr">
        <is>
          <t>EMAIL</t>
        </is>
      </c>
      <c r="J60" s="96" t="inlineStr">
        <is>
          <t>EDI2</t>
        </is>
      </c>
      <c r="K60" s="96" t="n"/>
      <c r="L60" s="111" t="inlineStr">
        <is>
          <t>Full</t>
        </is>
      </c>
      <c r="M60" s="96" t="inlineStr">
        <is>
          <t>HASLS22260902604</t>
        </is>
      </c>
      <c r="N60" s="96" t="inlineStr">
        <is>
          <t xml:space="preserve">20'x1 </t>
        </is>
      </c>
      <c r="O60" s="111" t="inlineStr">
        <is>
          <t>2019</t>
        </is>
      </c>
      <c r="P60" s="111" t="n"/>
      <c r="Q60" s="111" t="n"/>
      <c r="R60" s="96" t="inlineStr">
        <is>
          <t>KMGY</t>
        </is>
      </c>
      <c r="S60" s="96" t="inlineStr">
        <is>
          <t>2611N</t>
        </is>
      </c>
      <c r="T60" s="96" t="inlineStr">
        <is>
          <t>LCH01</t>
        </is>
      </c>
      <c r="U60" s="96" t="inlineStr">
        <is>
          <t>THLCH</t>
        </is>
      </c>
      <c r="V60" s="161" t="inlineStr">
        <is>
          <t>2026-10-25</t>
        </is>
      </c>
      <c r="W60" s="96" t="inlineStr">
        <is>
          <t>HKHKG</t>
        </is>
      </c>
      <c r="X60" s="161" t="inlineStr">
        <is>
          <t>2026-10-29</t>
        </is>
      </c>
      <c r="Y60" s="97" t="n"/>
      <c r="Z60" s="97" t="n"/>
      <c r="AA60" s="97" t="n"/>
      <c r="AB60" s="97" t="n"/>
      <c r="AC60" s="97" t="n"/>
      <c r="AD60" s="161" t="inlineStr">
        <is>
          <t>2026-10-22</t>
        </is>
      </c>
      <c r="AE60" s="174" t="inlineStr">
        <is>
          <t>0402</t>
        </is>
      </c>
      <c r="AF60" s="96" t="inlineStr">
        <is>
          <t>EDI2</t>
        </is>
      </c>
      <c r="AG60" s="97" t="n"/>
      <c r="AH60" s="97" t="n"/>
      <c r="AI60" s="97" t="n"/>
      <c r="AJ60" s="96" t="inlineStr">
        <is>
          <t>TO ORDER</t>
        </is>
      </c>
      <c r="AK60" s="130" t="n"/>
    </row>
    <row r="61" ht="12" customHeight="1">
      <c r="A61" s="108" t="inlineStr">
        <is>
          <t>SKLU1935258</t>
        </is>
      </c>
      <c r="B61" s="108" t="inlineStr">
        <is>
          <t>LCH01</t>
        </is>
      </c>
      <c r="C61" s="108" t="inlineStr">
        <is>
          <t>IFV</t>
        </is>
      </c>
      <c r="D61" s="172" t="inlineStr">
        <is>
          <t>2026-10-21</t>
        </is>
      </c>
      <c r="E61" s="173" t="inlineStr">
        <is>
          <t>1530</t>
        </is>
      </c>
      <c r="F61" s="96" t="inlineStr">
        <is>
          <t>HASLS22261000973</t>
        </is>
      </c>
      <c r="G61" s="96" t="inlineStr">
        <is>
          <t>IRPC PUBLIC COMPANY LIMITED</t>
        </is>
      </c>
      <c r="H61" s="111" t="inlineStr">
        <is>
          <t>22GP</t>
        </is>
      </c>
      <c r="I61" s="96" t="inlineStr">
        <is>
          <t>EMAIL</t>
        </is>
      </c>
      <c r="J61" s="96" t="inlineStr">
        <is>
          <t>EDI2</t>
        </is>
      </c>
      <c r="K61" s="96" t="n"/>
      <c r="L61" s="111" t="inlineStr">
        <is>
          <t>Full</t>
        </is>
      </c>
      <c r="M61" s="96" t="inlineStr">
        <is>
          <t>HASLS22261000973</t>
        </is>
      </c>
      <c r="N61" s="96" t="inlineStr">
        <is>
          <t xml:space="preserve">20'x2 </t>
        </is>
      </c>
      <c r="O61" s="111" t="inlineStr">
        <is>
          <t>2019</t>
        </is>
      </c>
      <c r="P61" s="111" t="n"/>
      <c r="Q61" s="111" t="n"/>
      <c r="R61" s="96" t="inlineStr">
        <is>
          <t>KMGY</t>
        </is>
      </c>
      <c r="S61" s="96" t="inlineStr">
        <is>
          <t>2611N</t>
        </is>
      </c>
      <c r="T61" s="96" t="inlineStr">
        <is>
          <t>LCH01</t>
        </is>
      </c>
      <c r="U61" s="96" t="inlineStr">
        <is>
          <t>THLCH</t>
        </is>
      </c>
      <c r="V61" s="161" t="inlineStr">
        <is>
          <t>2026-10-25</t>
        </is>
      </c>
      <c r="W61" s="96" t="inlineStr">
        <is>
          <t>HKHKG</t>
        </is>
      </c>
      <c r="X61" s="161" t="inlineStr">
        <is>
          <t>2026-10-29</t>
        </is>
      </c>
      <c r="Y61" s="97" t="n"/>
      <c r="Z61" s="97" t="n"/>
      <c r="AA61" s="97" t="n"/>
      <c r="AB61" s="97" t="n"/>
      <c r="AC61" s="97" t="n"/>
      <c r="AD61" s="161" t="inlineStr">
        <is>
          <t>2026-10-21</t>
        </is>
      </c>
      <c r="AE61" s="174" t="inlineStr">
        <is>
          <t>1902</t>
        </is>
      </c>
      <c r="AF61" s="96" t="inlineStr">
        <is>
          <t>EDI2</t>
        </is>
      </c>
      <c r="AG61" s="97" t="n"/>
      <c r="AH61" s="97" t="n"/>
      <c r="AI61" s="97" t="n"/>
      <c r="AJ61" s="96" t="inlineStr">
        <is>
          <t>TO ORDER OF SOLID GOLD INDUSTRIES</t>
        </is>
      </c>
      <c r="AK61" s="130" t="n"/>
    </row>
    <row r="62" ht="12" customHeight="1">
      <c r="A62" s="108" t="inlineStr">
        <is>
          <t>SKLU1949478</t>
        </is>
      </c>
      <c r="B62" s="108" t="inlineStr">
        <is>
          <t>LCH01</t>
        </is>
      </c>
      <c r="C62" s="108" t="inlineStr">
        <is>
          <t>IFV</t>
        </is>
      </c>
      <c r="D62" s="172" t="inlineStr">
        <is>
          <t>2026-10-19</t>
        </is>
      </c>
      <c r="E62" s="173" t="inlineStr">
        <is>
          <t>0541</t>
        </is>
      </c>
      <c r="F62" s="96" t="inlineStr">
        <is>
          <t>HASLS22261000794</t>
        </is>
      </c>
      <c r="G62" s="96" t="inlineStr">
        <is>
          <t>IRPC PUBLIC COMPANY LIMITED</t>
        </is>
      </c>
      <c r="H62" s="111" t="inlineStr">
        <is>
          <t>22GP</t>
        </is>
      </c>
      <c r="I62" s="96" t="inlineStr">
        <is>
          <t>EMAIL</t>
        </is>
      </c>
      <c r="J62" s="96" t="inlineStr">
        <is>
          <t>EDI2</t>
        </is>
      </c>
      <c r="K62" s="96" t="n"/>
      <c r="L62" s="111" t="inlineStr">
        <is>
          <t>Full</t>
        </is>
      </c>
      <c r="M62" s="96" t="inlineStr">
        <is>
          <t>HASLS22261000794</t>
        </is>
      </c>
      <c r="N62" s="96" t="inlineStr">
        <is>
          <t xml:space="preserve">20'x4 </t>
        </is>
      </c>
      <c r="O62" s="111" t="inlineStr">
        <is>
          <t>2019</t>
        </is>
      </c>
      <c r="P62" s="111" t="n"/>
      <c r="Q62" s="111" t="n"/>
      <c r="R62" s="96" t="inlineStr">
        <is>
          <t>KMGY</t>
        </is>
      </c>
      <c r="S62" s="96" t="inlineStr">
        <is>
          <t>2611N</t>
        </is>
      </c>
      <c r="T62" s="96" t="inlineStr">
        <is>
          <t>LCH01</t>
        </is>
      </c>
      <c r="U62" s="96" t="inlineStr">
        <is>
          <t>THLCH</t>
        </is>
      </c>
      <c r="V62" s="161" t="inlineStr">
        <is>
          <t>2026-10-25</t>
        </is>
      </c>
      <c r="W62" s="96" t="inlineStr">
        <is>
          <t>HKHKG</t>
        </is>
      </c>
      <c r="X62" s="161" t="inlineStr">
        <is>
          <t>2026-10-29</t>
        </is>
      </c>
      <c r="Y62" s="97" t="n"/>
      <c r="Z62" s="97" t="n"/>
      <c r="AA62" s="97" t="n"/>
      <c r="AB62" s="97" t="n"/>
      <c r="AC62" s="97" t="n"/>
      <c r="AD62" s="161" t="inlineStr">
        <is>
          <t>2026-10-19</t>
        </is>
      </c>
      <c r="AE62" s="174" t="inlineStr">
        <is>
          <t>0910</t>
        </is>
      </c>
      <c r="AF62" s="96" t="inlineStr">
        <is>
          <t>EDI2</t>
        </is>
      </c>
      <c r="AG62" s="97" t="n"/>
      <c r="AH62" s="97" t="n"/>
      <c r="AI62" s="97" t="n"/>
      <c r="AJ62" s="96" t="inlineStr">
        <is>
          <t>TO ORDER OF SOLID GOLD INDUSTRIES</t>
        </is>
      </c>
      <c r="AK62" s="130" t="n"/>
    </row>
    <row r="63" ht="12" customHeight="1">
      <c r="A63" s="108" t="inlineStr">
        <is>
          <t>SKLU2001538</t>
        </is>
      </c>
      <c r="B63" s="108" t="inlineStr">
        <is>
          <t>LCH01</t>
        </is>
      </c>
      <c r="C63" s="108" t="inlineStr">
        <is>
          <t>IFV</t>
        </is>
      </c>
      <c r="D63" s="172" t="inlineStr">
        <is>
          <t>2026-10-17</t>
        </is>
      </c>
      <c r="E63" s="173" t="inlineStr">
        <is>
          <t>0842</t>
        </is>
      </c>
      <c r="F63" s="96" t="inlineStr">
        <is>
          <t>HASLS22260900819</t>
        </is>
      </c>
      <c r="G63" s="96" t="inlineStr">
        <is>
          <t>JAST GLOBAL CO.,LTD.</t>
        </is>
      </c>
      <c r="H63" s="111" t="inlineStr">
        <is>
          <t>22GP</t>
        </is>
      </c>
      <c r="I63" s="96" t="inlineStr">
        <is>
          <t>EMAIL</t>
        </is>
      </c>
      <c r="J63" s="96" t="inlineStr">
        <is>
          <t>EDI2</t>
        </is>
      </c>
      <c r="K63" s="96" t="n"/>
      <c r="L63" s="111" t="inlineStr">
        <is>
          <t>Full</t>
        </is>
      </c>
      <c r="M63" s="96" t="inlineStr">
        <is>
          <t>HASLS22260900819</t>
        </is>
      </c>
      <c r="N63" s="96" t="inlineStr">
        <is>
          <t xml:space="preserve">20'x10 </t>
        </is>
      </c>
      <c r="O63" s="111" t="inlineStr">
        <is>
          <t>2019</t>
        </is>
      </c>
      <c r="P63" s="111" t="n"/>
      <c r="Q63" s="111" t="n"/>
      <c r="R63" s="96" t="inlineStr">
        <is>
          <t>KMGY</t>
        </is>
      </c>
      <c r="S63" s="96" t="inlineStr">
        <is>
          <t>2611N</t>
        </is>
      </c>
      <c r="T63" s="96" t="inlineStr">
        <is>
          <t>LCH01</t>
        </is>
      </c>
      <c r="U63" s="96" t="inlineStr">
        <is>
          <t>THLCH</t>
        </is>
      </c>
      <c r="V63" s="161" t="inlineStr">
        <is>
          <t>2026-10-25</t>
        </is>
      </c>
      <c r="W63" s="96" t="inlineStr">
        <is>
          <t>KRINC</t>
        </is>
      </c>
      <c r="X63" s="161" t="inlineStr">
        <is>
          <t>2026-11-03</t>
        </is>
      </c>
      <c r="Y63" s="97" t="n"/>
      <c r="Z63" s="97" t="n"/>
      <c r="AA63" s="97" t="n"/>
      <c r="AB63" s="97" t="n"/>
      <c r="AC63" s="97" t="n"/>
      <c r="AD63" s="161" t="inlineStr">
        <is>
          <t>2026-10-17</t>
        </is>
      </c>
      <c r="AE63" s="174" t="inlineStr">
        <is>
          <t>1110</t>
        </is>
      </c>
      <c r="AF63" s="96" t="inlineStr">
        <is>
          <t>EDI2</t>
        </is>
      </c>
      <c r="AG63" s="97" t="n"/>
      <c r="AH63" s="97" t="n"/>
      <c r="AI63" s="97" t="n"/>
      <c r="AJ63" s="96" t="inlineStr">
        <is>
          <t>TO ORDER</t>
        </is>
      </c>
      <c r="AK63" s="130" t="n"/>
    </row>
    <row r="64" ht="12" customHeight="1">
      <c r="A64" s="108" t="inlineStr">
        <is>
          <t>SKLU2066117</t>
        </is>
      </c>
      <c r="B64" s="108" t="inlineStr">
        <is>
          <t>LCH01</t>
        </is>
      </c>
      <c r="C64" s="108" t="inlineStr">
        <is>
          <t>IFV</t>
        </is>
      </c>
      <c r="D64" s="172" t="inlineStr">
        <is>
          <t>2026-10-17</t>
        </is>
      </c>
      <c r="E64" s="173" t="inlineStr">
        <is>
          <t>0256</t>
        </is>
      </c>
      <c r="F64" s="96" t="inlineStr">
        <is>
          <t>HASLS22260900819</t>
        </is>
      </c>
      <c r="G64" s="96" t="inlineStr">
        <is>
          <t>JAST GLOBAL CO.,LTD.</t>
        </is>
      </c>
      <c r="H64" s="111" t="inlineStr">
        <is>
          <t>22GP</t>
        </is>
      </c>
      <c r="I64" s="96" t="inlineStr">
        <is>
          <t>EMAIL</t>
        </is>
      </c>
      <c r="J64" s="96" t="inlineStr">
        <is>
          <t>EDI2</t>
        </is>
      </c>
      <c r="K64" s="96" t="n"/>
      <c r="L64" s="111" t="inlineStr">
        <is>
          <t>Full</t>
        </is>
      </c>
      <c r="M64" s="96" t="inlineStr">
        <is>
          <t>HASLS22260900819</t>
        </is>
      </c>
      <c r="N64" s="96" t="inlineStr">
        <is>
          <t xml:space="preserve">20'x10 </t>
        </is>
      </c>
      <c r="O64" s="111" t="inlineStr">
        <is>
          <t>2019</t>
        </is>
      </c>
      <c r="P64" s="111" t="n"/>
      <c r="Q64" s="111" t="n"/>
      <c r="R64" s="96" t="inlineStr">
        <is>
          <t>KMGY</t>
        </is>
      </c>
      <c r="S64" s="96" t="inlineStr">
        <is>
          <t>2611N</t>
        </is>
      </c>
      <c r="T64" s="96" t="inlineStr">
        <is>
          <t>LCH01</t>
        </is>
      </c>
      <c r="U64" s="96" t="inlineStr">
        <is>
          <t>THLCH</t>
        </is>
      </c>
      <c r="V64" s="161" t="inlineStr">
        <is>
          <t>2026-10-25</t>
        </is>
      </c>
      <c r="W64" s="96" t="inlineStr">
        <is>
          <t>KRINC</t>
        </is>
      </c>
      <c r="X64" s="161" t="inlineStr">
        <is>
          <t>2026-11-03</t>
        </is>
      </c>
      <c r="Y64" s="97" t="n"/>
      <c r="Z64" s="97" t="n"/>
      <c r="AA64" s="97" t="n"/>
      <c r="AB64" s="97" t="n"/>
      <c r="AC64" s="97" t="n"/>
      <c r="AD64" s="161" t="inlineStr">
        <is>
          <t>2026-10-17</t>
        </is>
      </c>
      <c r="AE64" s="174" t="inlineStr">
        <is>
          <t>0610</t>
        </is>
      </c>
      <c r="AF64" s="96" t="inlineStr">
        <is>
          <t>EDI2</t>
        </is>
      </c>
      <c r="AG64" s="97" t="n"/>
      <c r="AH64" s="97" t="n"/>
      <c r="AI64" s="97" t="n"/>
      <c r="AJ64" s="96" t="inlineStr">
        <is>
          <t>TO ORDER</t>
        </is>
      </c>
      <c r="AK64" s="130" t="n"/>
    </row>
    <row r="65" ht="12" customHeight="1">
      <c r="A65" s="108" t="inlineStr">
        <is>
          <t>SKLU2080434</t>
        </is>
      </c>
      <c r="B65" s="108" t="inlineStr">
        <is>
          <t>LCH01</t>
        </is>
      </c>
      <c r="C65" s="108" t="inlineStr">
        <is>
          <t>IFV</t>
        </is>
      </c>
      <c r="D65" s="172" t="inlineStr">
        <is>
          <t>2026-10-20</t>
        </is>
      </c>
      <c r="E65" s="173" t="inlineStr">
        <is>
          <t>2050</t>
        </is>
      </c>
      <c r="F65" s="96" t="inlineStr">
        <is>
          <t>HASLS22260902763</t>
        </is>
      </c>
      <c r="G65" s="96" t="inlineStr">
        <is>
          <t>HAST LOGISTICS CO., LTD.</t>
        </is>
      </c>
      <c r="H65" s="111" t="inlineStr">
        <is>
          <t>22GP</t>
        </is>
      </c>
      <c r="I65" s="96" t="inlineStr">
        <is>
          <t>EMAIL</t>
        </is>
      </c>
      <c r="J65" s="96" t="inlineStr">
        <is>
          <t>EDI2</t>
        </is>
      </c>
      <c r="K65" s="96" t="n"/>
      <c r="L65" s="111" t="inlineStr">
        <is>
          <t>Full</t>
        </is>
      </c>
      <c r="M65" s="96" t="inlineStr">
        <is>
          <t>HASLS22260902763</t>
        </is>
      </c>
      <c r="N65" s="96" t="inlineStr">
        <is>
          <t xml:space="preserve">20'x6 </t>
        </is>
      </c>
      <c r="O65" s="111" t="inlineStr">
        <is>
          <t>2019</t>
        </is>
      </c>
      <c r="P65" s="111" t="n"/>
      <c r="Q65" s="111" t="n"/>
      <c r="R65" s="96" t="inlineStr">
        <is>
          <t>KMGY</t>
        </is>
      </c>
      <c r="S65" s="96" t="inlineStr">
        <is>
          <t>2611N</t>
        </is>
      </c>
      <c r="T65" s="96" t="inlineStr">
        <is>
          <t>LCH01</t>
        </is>
      </c>
      <c r="U65" s="96" t="inlineStr">
        <is>
          <t>THLCH</t>
        </is>
      </c>
      <c r="V65" s="161" t="inlineStr">
        <is>
          <t>2026-10-25</t>
        </is>
      </c>
      <c r="W65" s="96" t="inlineStr">
        <is>
          <t>HKHKG</t>
        </is>
      </c>
      <c r="X65" s="161" t="inlineStr">
        <is>
          <t>2026-10-29</t>
        </is>
      </c>
      <c r="Y65" s="97" t="n"/>
      <c r="Z65" s="97" t="n"/>
      <c r="AA65" s="97" t="n"/>
      <c r="AB65" s="97" t="n"/>
      <c r="AC65" s="97" t="n"/>
      <c r="AD65" s="161" t="inlineStr">
        <is>
          <t>2026-10-21</t>
        </is>
      </c>
      <c r="AE65" s="174" t="inlineStr">
        <is>
          <t>0010</t>
        </is>
      </c>
      <c r="AF65" s="96" t="inlineStr">
        <is>
          <t>EDI2</t>
        </is>
      </c>
      <c r="AG65" s="97" t="n"/>
      <c r="AH65" s="97" t="n"/>
      <c r="AI65" s="97" t="n"/>
      <c r="AJ65" s="96" t="inlineStr">
        <is>
          <t>TAIKOO SUGAR LIMITED</t>
        </is>
      </c>
      <c r="AK65" s="130" t="n"/>
    </row>
    <row r="66" ht="12" customHeight="1">
      <c r="A66" s="108" t="inlineStr">
        <is>
          <t>SKLU2309182</t>
        </is>
      </c>
      <c r="B66" s="108" t="inlineStr">
        <is>
          <t>LCH01</t>
        </is>
      </c>
      <c r="C66" s="108" t="inlineStr">
        <is>
          <t>IFV</t>
        </is>
      </c>
      <c r="D66" s="172" t="inlineStr">
        <is>
          <t>2026-10-19</t>
        </is>
      </c>
      <c r="E66" s="173" t="inlineStr">
        <is>
          <t>1505</t>
        </is>
      </c>
      <c r="F66" s="96" t="inlineStr">
        <is>
          <t>HASLS22261000795</t>
        </is>
      </c>
      <c r="G66" s="96" t="inlineStr">
        <is>
          <t>IRPC PUBLIC COMPANY LIMITED</t>
        </is>
      </c>
      <c r="H66" s="111" t="inlineStr">
        <is>
          <t>22GP</t>
        </is>
      </c>
      <c r="I66" s="96" t="inlineStr">
        <is>
          <t>EMAIL</t>
        </is>
      </c>
      <c r="J66" s="96" t="inlineStr">
        <is>
          <t>EDI2</t>
        </is>
      </c>
      <c r="K66" s="96" t="n"/>
      <c r="L66" s="111" t="inlineStr">
        <is>
          <t>Full</t>
        </is>
      </c>
      <c r="M66" s="96" t="inlineStr">
        <is>
          <t>HASLS22261000795</t>
        </is>
      </c>
      <c r="N66" s="96" t="inlineStr">
        <is>
          <t xml:space="preserve">20'x3 </t>
        </is>
      </c>
      <c r="O66" s="111" t="inlineStr">
        <is>
          <t>2023</t>
        </is>
      </c>
      <c r="P66" s="111" t="n"/>
      <c r="Q66" s="111" t="n"/>
      <c r="R66" s="96" t="inlineStr">
        <is>
          <t>KMGY</t>
        </is>
      </c>
      <c r="S66" s="96" t="inlineStr">
        <is>
          <t>2611N</t>
        </is>
      </c>
      <c r="T66" s="96" t="inlineStr">
        <is>
          <t>LCH01</t>
        </is>
      </c>
      <c r="U66" s="96" t="inlineStr">
        <is>
          <t>THLCH</t>
        </is>
      </c>
      <c r="V66" s="161" t="inlineStr">
        <is>
          <t>2026-10-25</t>
        </is>
      </c>
      <c r="W66" s="96" t="inlineStr">
        <is>
          <t>HKHKG</t>
        </is>
      </c>
      <c r="X66" s="161" t="inlineStr">
        <is>
          <t>2026-10-29</t>
        </is>
      </c>
      <c r="Y66" s="97" t="n"/>
      <c r="Z66" s="97" t="n"/>
      <c r="AA66" s="97" t="n"/>
      <c r="AB66" s="97" t="n"/>
      <c r="AC66" s="97" t="n"/>
      <c r="AD66" s="161" t="inlineStr">
        <is>
          <t>2026-10-19</t>
        </is>
      </c>
      <c r="AE66" s="174" t="inlineStr">
        <is>
          <t>1810</t>
        </is>
      </c>
      <c r="AF66" s="96" t="inlineStr">
        <is>
          <t>EDI2</t>
        </is>
      </c>
      <c r="AG66" s="97" t="n"/>
      <c r="AH66" s="97" t="n"/>
      <c r="AI66" s="97" t="n"/>
      <c r="AJ66" s="96" t="inlineStr">
        <is>
          <t>TO ORDER OF SOLID GOLD INDUSTRIES</t>
        </is>
      </c>
      <c r="AK66" s="130" t="n"/>
    </row>
    <row r="67" ht="12" customHeight="1">
      <c r="A67" s="108" t="inlineStr">
        <is>
          <t>SKLU2320221</t>
        </is>
      </c>
      <c r="B67" s="108" t="inlineStr">
        <is>
          <t>LCH01</t>
        </is>
      </c>
      <c r="C67" s="108" t="inlineStr">
        <is>
          <t>IFV</t>
        </is>
      </c>
      <c r="D67" s="172" t="inlineStr">
        <is>
          <t>2026-10-21</t>
        </is>
      </c>
      <c r="E67" s="173" t="inlineStr">
        <is>
          <t>1608</t>
        </is>
      </c>
      <c r="F67" s="96" t="inlineStr">
        <is>
          <t>HASLS22260902763</t>
        </is>
      </c>
      <c r="G67" s="96" t="inlineStr">
        <is>
          <t>HAST LOGISTICS CO., LTD.</t>
        </is>
      </c>
      <c r="H67" s="111" t="inlineStr">
        <is>
          <t>22GP</t>
        </is>
      </c>
      <c r="I67" s="96" t="inlineStr">
        <is>
          <t>EMAIL</t>
        </is>
      </c>
      <c r="J67" s="96" t="inlineStr">
        <is>
          <t>EDI2</t>
        </is>
      </c>
      <c r="K67" s="96" t="n"/>
      <c r="L67" s="111" t="inlineStr">
        <is>
          <t>Full</t>
        </is>
      </c>
      <c r="M67" s="96" t="inlineStr">
        <is>
          <t>HASLS22260902763</t>
        </is>
      </c>
      <c r="N67" s="96" t="inlineStr">
        <is>
          <t xml:space="preserve">20'x6 </t>
        </is>
      </c>
      <c r="O67" s="111" t="inlineStr">
        <is>
          <t>2023</t>
        </is>
      </c>
      <c r="P67" s="111" t="n"/>
      <c r="Q67" s="111" t="n"/>
      <c r="R67" s="96" t="inlineStr">
        <is>
          <t>KMGY</t>
        </is>
      </c>
      <c r="S67" s="96" t="inlineStr">
        <is>
          <t>2611N</t>
        </is>
      </c>
      <c r="T67" s="96" t="inlineStr">
        <is>
          <t>LCH01</t>
        </is>
      </c>
      <c r="U67" s="96" t="inlineStr">
        <is>
          <t>THLCH</t>
        </is>
      </c>
      <c r="V67" s="161" t="inlineStr">
        <is>
          <t>2026-10-25</t>
        </is>
      </c>
      <c r="W67" s="96" t="inlineStr">
        <is>
          <t>HKHKG</t>
        </is>
      </c>
      <c r="X67" s="161" t="inlineStr">
        <is>
          <t>2026-10-29</t>
        </is>
      </c>
      <c r="Y67" s="97" t="n"/>
      <c r="Z67" s="97" t="n"/>
      <c r="AA67" s="97" t="n"/>
      <c r="AB67" s="97" t="n"/>
      <c r="AC67" s="97" t="n"/>
      <c r="AD67" s="161" t="inlineStr">
        <is>
          <t>2026-10-21</t>
        </is>
      </c>
      <c r="AE67" s="174" t="inlineStr">
        <is>
          <t>1902</t>
        </is>
      </c>
      <c r="AF67" s="96" t="inlineStr">
        <is>
          <t>EDI2</t>
        </is>
      </c>
      <c r="AG67" s="97" t="n"/>
      <c r="AH67" s="97" t="n"/>
      <c r="AI67" s="97" t="n"/>
      <c r="AJ67" s="96" t="inlineStr">
        <is>
          <t>TAIKOO SUGAR LIMITED</t>
        </is>
      </c>
      <c r="AK67" s="130" t="n"/>
    </row>
    <row r="68" ht="12" customHeight="1">
      <c r="A68" s="108" t="inlineStr">
        <is>
          <t>SKLU2320788</t>
        </is>
      </c>
      <c r="B68" s="108" t="inlineStr">
        <is>
          <t>LCH01</t>
        </is>
      </c>
      <c r="C68" s="108" t="inlineStr">
        <is>
          <t>IFV</t>
        </is>
      </c>
      <c r="D68" s="172" t="inlineStr">
        <is>
          <t>2026-10-16</t>
        </is>
      </c>
      <c r="E68" s="173" t="inlineStr">
        <is>
          <t>2103</t>
        </is>
      </c>
      <c r="F68" s="96" t="inlineStr">
        <is>
          <t>HASLS22260900819</t>
        </is>
      </c>
      <c r="G68" s="96" t="inlineStr">
        <is>
          <t>JAST GLOBAL CO.,LTD.</t>
        </is>
      </c>
      <c r="H68" s="111" t="inlineStr">
        <is>
          <t>22GP</t>
        </is>
      </c>
      <c r="I68" s="96" t="inlineStr">
        <is>
          <t>EMAIL</t>
        </is>
      </c>
      <c r="J68" s="96" t="inlineStr">
        <is>
          <t>EDI2</t>
        </is>
      </c>
      <c r="K68" s="96" t="n"/>
      <c r="L68" s="111" t="inlineStr">
        <is>
          <t>Full</t>
        </is>
      </c>
      <c r="M68" s="96" t="inlineStr">
        <is>
          <t>HASLS22260900819</t>
        </is>
      </c>
      <c r="N68" s="96" t="inlineStr">
        <is>
          <t xml:space="preserve">20'x10 </t>
        </is>
      </c>
      <c r="O68" s="111" t="inlineStr">
        <is>
          <t>2023</t>
        </is>
      </c>
      <c r="P68" s="111" t="n"/>
      <c r="Q68" s="111" t="n"/>
      <c r="R68" s="96" t="inlineStr">
        <is>
          <t>KMGY</t>
        </is>
      </c>
      <c r="S68" s="96" t="inlineStr">
        <is>
          <t>2611N</t>
        </is>
      </c>
      <c r="T68" s="96" t="inlineStr">
        <is>
          <t>LCH01</t>
        </is>
      </c>
      <c r="U68" s="96" t="inlineStr">
        <is>
          <t>THLCH</t>
        </is>
      </c>
      <c r="V68" s="161" t="inlineStr">
        <is>
          <t>2026-10-25</t>
        </is>
      </c>
      <c r="W68" s="96" t="inlineStr">
        <is>
          <t>KRINC</t>
        </is>
      </c>
      <c r="X68" s="161" t="inlineStr">
        <is>
          <t>2026-11-03</t>
        </is>
      </c>
      <c r="Y68" s="97" t="n"/>
      <c r="Z68" s="97" t="n"/>
      <c r="AA68" s="97" t="n"/>
      <c r="AB68" s="97" t="n"/>
      <c r="AC68" s="97" t="n"/>
      <c r="AD68" s="161" t="inlineStr">
        <is>
          <t>2026-10-17</t>
        </is>
      </c>
      <c r="AE68" s="174" t="inlineStr">
        <is>
          <t>0010</t>
        </is>
      </c>
      <c r="AF68" s="96" t="inlineStr">
        <is>
          <t>EDI2</t>
        </is>
      </c>
      <c r="AG68" s="97" t="n"/>
      <c r="AH68" s="97" t="n"/>
      <c r="AI68" s="97" t="n"/>
      <c r="AJ68" s="96" t="inlineStr">
        <is>
          <t>TO ORDER</t>
        </is>
      </c>
      <c r="AK68" s="130" t="n"/>
    </row>
    <row r="69" ht="12" customHeight="1">
      <c r="A69" s="108" t="inlineStr">
        <is>
          <t>SKLU2480488</t>
        </is>
      </c>
      <c r="B69" s="108" t="inlineStr">
        <is>
          <t>LCH01</t>
        </is>
      </c>
      <c r="C69" s="108" t="inlineStr">
        <is>
          <t>IFV</t>
        </is>
      </c>
      <c r="D69" s="172" t="inlineStr">
        <is>
          <t>2026-10-17</t>
        </is>
      </c>
      <c r="E69" s="173" t="inlineStr">
        <is>
          <t>0845</t>
        </is>
      </c>
      <c r="F69" s="96" t="inlineStr">
        <is>
          <t>HASLS22260900819</t>
        </is>
      </c>
      <c r="G69" s="96" t="inlineStr">
        <is>
          <t>JAST GLOBAL CO.,LTD.</t>
        </is>
      </c>
      <c r="H69" s="111" t="inlineStr">
        <is>
          <t>22GP</t>
        </is>
      </c>
      <c r="I69" s="96" t="inlineStr">
        <is>
          <t>EMAIL</t>
        </is>
      </c>
      <c r="J69" s="96" t="inlineStr">
        <is>
          <t>EDI2</t>
        </is>
      </c>
      <c r="K69" s="96" t="n"/>
      <c r="L69" s="111" t="inlineStr">
        <is>
          <t>Full</t>
        </is>
      </c>
      <c r="M69" s="96" t="inlineStr">
        <is>
          <t>HASLS22260900819</t>
        </is>
      </c>
      <c r="N69" s="96" t="inlineStr">
        <is>
          <t xml:space="preserve">20'x10 </t>
        </is>
      </c>
      <c r="O69" s="111" t="inlineStr">
        <is>
          <t>2024</t>
        </is>
      </c>
      <c r="P69" s="111" t="n"/>
      <c r="Q69" s="111" t="n"/>
      <c r="R69" s="96" t="inlineStr">
        <is>
          <t>KMGY</t>
        </is>
      </c>
      <c r="S69" s="96" t="inlineStr">
        <is>
          <t>2611N</t>
        </is>
      </c>
      <c r="T69" s="96" t="inlineStr">
        <is>
          <t>LCH01</t>
        </is>
      </c>
      <c r="U69" s="96" t="inlineStr">
        <is>
          <t>THLCH</t>
        </is>
      </c>
      <c r="V69" s="161" t="inlineStr">
        <is>
          <t>2026-10-25</t>
        </is>
      </c>
      <c r="W69" s="96" t="inlineStr">
        <is>
          <t>KRINC</t>
        </is>
      </c>
      <c r="X69" s="161" t="inlineStr">
        <is>
          <t>2026-11-03</t>
        </is>
      </c>
      <c r="Y69" s="97" t="n"/>
      <c r="Z69" s="97" t="n"/>
      <c r="AA69" s="97" t="n"/>
      <c r="AB69" s="97" t="n"/>
      <c r="AC69" s="97" t="n"/>
      <c r="AD69" s="161" t="inlineStr">
        <is>
          <t>2026-10-17</t>
        </is>
      </c>
      <c r="AE69" s="174" t="inlineStr">
        <is>
          <t>1210</t>
        </is>
      </c>
      <c r="AF69" s="96" t="inlineStr">
        <is>
          <t>EDI2</t>
        </is>
      </c>
      <c r="AG69" s="97" t="n"/>
      <c r="AH69" s="97" t="n"/>
      <c r="AI69" s="97" t="n"/>
      <c r="AJ69" s="96" t="inlineStr">
        <is>
          <t>TO ORDER</t>
        </is>
      </c>
      <c r="AK69" s="130" t="n"/>
    </row>
    <row r="70" ht="12" customHeight="1">
      <c r="A70" s="108" t="inlineStr">
        <is>
          <t>SKRU9907547</t>
        </is>
      </c>
      <c r="B70" s="108" t="inlineStr">
        <is>
          <t>LCH01</t>
        </is>
      </c>
      <c r="C70" s="108" t="inlineStr">
        <is>
          <t>IFV</t>
        </is>
      </c>
      <c r="D70" s="172" t="inlineStr">
        <is>
          <t>2026-10-23</t>
        </is>
      </c>
      <c r="E70" s="173" t="inlineStr">
        <is>
          <t>0309</t>
        </is>
      </c>
      <c r="F70" s="96" t="inlineStr">
        <is>
          <t>HASLS22260901125</t>
        </is>
      </c>
      <c r="G70" s="96" t="inlineStr">
        <is>
          <t>DYNAMIC INTERTRANSPORT CO., LTD.</t>
        </is>
      </c>
      <c r="H70" s="111" t="inlineStr">
        <is>
          <t>45RE</t>
        </is>
      </c>
      <c r="I70" s="96" t="inlineStr">
        <is>
          <t>EMAIL</t>
        </is>
      </c>
      <c r="J70" s="96" t="inlineStr">
        <is>
          <t>EDI2</t>
        </is>
      </c>
      <c r="K70" s="96" t="n"/>
      <c r="L70" s="111" t="inlineStr">
        <is>
          <t>Full</t>
        </is>
      </c>
      <c r="M70" s="96" t="inlineStr">
        <is>
          <t>HASLS22260901125</t>
        </is>
      </c>
      <c r="N70" s="96" t="inlineStr">
        <is>
          <t xml:space="preserve">R40Hx1 </t>
        </is>
      </c>
      <c r="O70" s="111" t="inlineStr">
        <is>
          <t>2019</t>
        </is>
      </c>
      <c r="P70" s="111" t="inlineStr">
        <is>
          <t>CARRIER</t>
        </is>
      </c>
      <c r="Q70" s="111" t="n"/>
      <c r="R70" s="96" t="inlineStr">
        <is>
          <t>KMGY</t>
        </is>
      </c>
      <c r="S70" s="96" t="inlineStr">
        <is>
          <t>2611N</t>
        </is>
      </c>
      <c r="T70" s="96" t="inlineStr">
        <is>
          <t>LCH01</t>
        </is>
      </c>
      <c r="U70" s="96" t="inlineStr">
        <is>
          <t>THLCH</t>
        </is>
      </c>
      <c r="V70" s="161" t="inlineStr">
        <is>
          <t>2026-10-25</t>
        </is>
      </c>
      <c r="W70" s="96" t="inlineStr">
        <is>
          <t>HKHKG</t>
        </is>
      </c>
      <c r="X70" s="161" t="inlineStr">
        <is>
          <t>2026-10-29</t>
        </is>
      </c>
      <c r="Y70" s="97" t="n"/>
      <c r="Z70" s="97" t="n"/>
      <c r="AA70" s="97" t="n"/>
      <c r="AB70" s="97" t="n"/>
      <c r="AC70" s="97" t="n"/>
      <c r="AD70" s="161" t="inlineStr">
        <is>
          <t>2026-10-23</t>
        </is>
      </c>
      <c r="AE70" s="174" t="inlineStr">
        <is>
          <t>0602</t>
        </is>
      </c>
      <c r="AF70" s="96" t="inlineStr">
        <is>
          <t>EDI2</t>
        </is>
      </c>
      <c r="AG70" s="97" t="n"/>
      <c r="AH70" s="97" t="n"/>
      <c r="AI70" s="97" t="n"/>
      <c r="AJ70" s="96" t="inlineStr">
        <is>
          <t>CPF HONG KONG COMPANY LIMITED</t>
        </is>
      </c>
      <c r="AK70" s="130" t="n"/>
    </row>
    <row r="71" ht="12" customHeight="1">
      <c r="A71" s="108" t="inlineStr">
        <is>
          <t>TCNU8245237</t>
        </is>
      </c>
      <c r="B71" s="108" t="inlineStr">
        <is>
          <t>LCH01</t>
        </is>
      </c>
      <c r="C71" s="108" t="inlineStr">
        <is>
          <t>IFV</t>
        </is>
      </c>
      <c r="D71" s="172" t="inlineStr">
        <is>
          <t>2026-10-22</t>
        </is>
      </c>
      <c r="E71" s="173" t="inlineStr">
        <is>
          <t>1219</t>
        </is>
      </c>
      <c r="F71" s="96" t="inlineStr">
        <is>
          <t>HASLS22261000813</t>
        </is>
      </c>
      <c r="G71" s="96" t="inlineStr">
        <is>
          <t>YUSEN LOGISTICS (THAILAND) CO., LTD.</t>
        </is>
      </c>
      <c r="H71" s="111" t="inlineStr">
        <is>
          <t>45GP</t>
        </is>
      </c>
      <c r="I71" s="96" t="inlineStr">
        <is>
          <t>EMAIL</t>
        </is>
      </c>
      <c r="J71" s="96" t="inlineStr">
        <is>
          <t>EDI2</t>
        </is>
      </c>
      <c r="K71" s="96" t="n"/>
      <c r="L71" s="111" t="inlineStr">
        <is>
          <t>Full</t>
        </is>
      </c>
      <c r="M71" s="96" t="inlineStr">
        <is>
          <t>HASLS22261000813</t>
        </is>
      </c>
      <c r="N71" s="96" t="inlineStr">
        <is>
          <t xml:space="preserve">40Hx12 </t>
        </is>
      </c>
      <c r="O71" s="111" t="inlineStr">
        <is>
          <t>2010</t>
        </is>
      </c>
      <c r="P71" s="111" t="n"/>
      <c r="Q71" s="111" t="n"/>
      <c r="R71" s="96" t="inlineStr">
        <is>
          <t>KMGY</t>
        </is>
      </c>
      <c r="S71" s="96" t="inlineStr">
        <is>
          <t>2611N</t>
        </is>
      </c>
      <c r="T71" s="96" t="inlineStr">
        <is>
          <t>LCH01</t>
        </is>
      </c>
      <c r="U71" s="96" t="inlineStr">
        <is>
          <t>THLCH</t>
        </is>
      </c>
      <c r="V71" s="161" t="inlineStr">
        <is>
          <t>2026-10-25</t>
        </is>
      </c>
      <c r="W71" s="96" t="inlineStr">
        <is>
          <t>HKHKG</t>
        </is>
      </c>
      <c r="X71" s="161" t="inlineStr">
        <is>
          <t>2026-10-29</t>
        </is>
      </c>
      <c r="Y71" s="97" t="n"/>
      <c r="Z71" s="97" t="n"/>
      <c r="AA71" s="97" t="n"/>
      <c r="AB71" s="97" t="n"/>
      <c r="AC71" s="97" t="n"/>
      <c r="AD71" s="161" t="inlineStr">
        <is>
          <t>2026-10-22</t>
        </is>
      </c>
      <c r="AE71" s="174" t="inlineStr">
        <is>
          <t>1502</t>
        </is>
      </c>
      <c r="AF71" s="96" t="inlineStr">
        <is>
          <t>EDI2</t>
        </is>
      </c>
      <c r="AG71" s="97" t="n"/>
      <c r="AH71" s="97" t="n"/>
      <c r="AI71" s="97" t="n"/>
      <c r="AJ71" s="96" t="inlineStr">
        <is>
          <t>YUSEN LOGISTICS (HONG KONG) LTD.</t>
        </is>
      </c>
      <c r="AK71" s="130" t="n"/>
    </row>
    <row r="72" ht="12" customHeight="1">
      <c r="A72" s="108" t="inlineStr">
        <is>
          <t>TCNU8376010</t>
        </is>
      </c>
      <c r="B72" s="108" t="inlineStr">
        <is>
          <t>LCH01</t>
        </is>
      </c>
      <c r="C72" s="108" t="inlineStr">
        <is>
          <t>IFV</t>
        </is>
      </c>
      <c r="D72" s="172" t="inlineStr">
        <is>
          <t>2026-10-21</t>
        </is>
      </c>
      <c r="E72" s="173" t="inlineStr">
        <is>
          <t>1931</t>
        </is>
      </c>
      <c r="F72" s="96" t="inlineStr">
        <is>
          <t>HASLS22261000813</t>
        </is>
      </c>
      <c r="G72" s="96" t="inlineStr">
        <is>
          <t>YUSEN LOGISTICS (THAILAND) CO., LTD.</t>
        </is>
      </c>
      <c r="H72" s="111" t="inlineStr">
        <is>
          <t>45GP</t>
        </is>
      </c>
      <c r="I72" s="96" t="inlineStr">
        <is>
          <t>EMAIL</t>
        </is>
      </c>
      <c r="J72" s="96" t="inlineStr">
        <is>
          <t>EDI2</t>
        </is>
      </c>
      <c r="K72" s="96" t="n"/>
      <c r="L72" s="111" t="inlineStr">
        <is>
          <t>Full</t>
        </is>
      </c>
      <c r="M72" s="96" t="inlineStr">
        <is>
          <t>HASLS22261000813</t>
        </is>
      </c>
      <c r="N72" s="96" t="inlineStr">
        <is>
          <t xml:space="preserve">40Hx12 </t>
        </is>
      </c>
      <c r="O72" s="111" t="inlineStr">
        <is>
          <t>2009</t>
        </is>
      </c>
      <c r="P72" s="111" t="n"/>
      <c r="Q72" s="111" t="n"/>
      <c r="R72" s="96" t="inlineStr">
        <is>
          <t>KMGY</t>
        </is>
      </c>
      <c r="S72" s="96" t="inlineStr">
        <is>
          <t>2611N</t>
        </is>
      </c>
      <c r="T72" s="96" t="inlineStr">
        <is>
          <t>LCH01</t>
        </is>
      </c>
      <c r="U72" s="96" t="inlineStr">
        <is>
          <t>THLCH</t>
        </is>
      </c>
      <c r="V72" s="161" t="inlineStr">
        <is>
          <t>2026-10-25</t>
        </is>
      </c>
      <c r="W72" s="96" t="inlineStr">
        <is>
          <t>HKHKG</t>
        </is>
      </c>
      <c r="X72" s="161" t="inlineStr">
        <is>
          <t>2026-10-29</t>
        </is>
      </c>
      <c r="Y72" s="97" t="n"/>
      <c r="Z72" s="97" t="n"/>
      <c r="AA72" s="97" t="n"/>
      <c r="AB72" s="97" t="n"/>
      <c r="AC72" s="97" t="n"/>
      <c r="AD72" s="161" t="inlineStr">
        <is>
          <t>2026-10-21</t>
        </is>
      </c>
      <c r="AE72" s="174" t="inlineStr">
        <is>
          <t>2302</t>
        </is>
      </c>
      <c r="AF72" s="96" t="inlineStr">
        <is>
          <t>EDI2</t>
        </is>
      </c>
      <c r="AG72" s="97" t="n"/>
      <c r="AH72" s="97" t="n"/>
      <c r="AI72" s="97" t="n"/>
      <c r="AJ72" s="96" t="inlineStr">
        <is>
          <t>YUSEN LOGISTICS (HONG KONG) LTD.</t>
        </is>
      </c>
      <c r="AK72" s="130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7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3875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3875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BEAU2477860</t>
        </is>
      </c>
      <c r="B3" s="4" t="str">
        <f>IF(C3=Charge!$M$1,Charge!$J$1,IF(C3=Charge!$M$23,Charge!$J$23,IF(C3=Charge!$M$17,Charge!$J$17,IF(C3=Charge!$N$17,Charge!$J$17,Charge!$J$7))))</f>
        <v>G2</v>
      </c>
      <c r="C3" s="61" t="str">
        <f>VLOOKUP(A3,'1.Loading'!A:R,14,FALSE)</f>
        <v>LCH01</v>
      </c>
      <c r="D3" s="61" t="str">
        <f>VLOOKUP(A3,'1.Loading'!A:R,17,FALSE)</f>
        <v>HASLS22260900819</v>
      </c>
      <c r="E3" s="62" t="str">
        <f>VLOOKUP(D3,'2.Bookinglist'!A:CT,27,FALSE)</f>
        <v>JAST GLOBAL CO.,LTD.</v>
      </c>
      <c r="F3" s="62" t="str">
        <f>VLOOKUP(D3,'2.Bookinglist'!A:CT,28,FALSE)</f>
        <v>THE THAI SUGAR TRADING CORPORATION LTD.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KRINC</v>
      </c>
      <c r="J3" s="61">
        <f>VLOOKUP(D3,'2.Bookinglist'!A:CT,26,FALSE)</f>
        <v>0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KMGY</v>
      </c>
      <c r="P3" s="61" t="str">
        <f>VLOOKUP(A3,'1.Loading'!A:R,4,FALSE)</f>
        <v>2611N</v>
      </c>
      <c r="Q3" s="61" t="str">
        <f>VLOOKUP(D3,'2.Bookinglist'!A:CT,12,FALSE)</f>
        <v>CHT</v>
      </c>
      <c r="R3" s="60" t="str">
        <f>IF(LEFT(K3,2)="22","20'","40'")</f>
        <v>20'</v>
      </c>
      <c r="S3" s="101" t="n"/>
      <c r="T3" s="61" t="str">
        <f>VLOOKUP(A3,'1.Loading'!A:R,2,FALSE)</f>
        <v>2026-10-25</v>
      </c>
      <c r="U3" s="63">
        <f>T3-S3</f>
        <v>46320</v>
      </c>
      <c r="V3" s="178" t="n"/>
      <c r="W3" s="61" t="str">
        <f>VLOOKUP(A3,'3.GateMove'!A:D,4,FALSE)</f>
        <v>2026-10-17</v>
      </c>
      <c r="X3" s="63">
        <f>((T3-W3)+1)</f>
        <v>9</v>
      </c>
      <c r="Y3" s="64">
        <f>IF(AND(OR(C3="BKK01",C3="BKK04"),L3="CFS/CY"),0,IF(M3="DG",1,IF(LEFT(C3,3)="LCH",7,IF(C3="BKK02",5,3))))</f>
        <v>7</v>
      </c>
      <c r="Z3" s="63">
        <f>IF(IF(AND(AC3="TML",AB3&gt;0),((T3-W3)+1)-AB3,((T3-W3)+1)-Y3)&gt;0,IF(AND(AC3="TML",AB3&gt;0),((T3-W3)+1)-AB3,((T3-W3)+1)-Y3),0)</f>
        <v>2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250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46321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250</v>
      </c>
      <c r="AJ3" s="70" t="n"/>
      <c r="AK3" s="62" t="str">
        <f>VLOOKUP(D3,'2.Bookinglist'!A:CT,40,FALSE)</f>
        <v>Kim jaewon</v>
      </c>
      <c r="AL3" s="60" t="str">
        <f>VLOOKUP(D3,'2.Bookinglist'!A:CW,101,FALSE)</f>
        <v>2026-10-21</v>
      </c>
      <c r="AM3" s="60" t="str">
        <f>VLOOKUP(D3,'2.Bookinglist'!A:BK,63,FALSE)</f>
        <v>LCHY5</v>
      </c>
      <c r="AN3" s="62" t="str">
        <f>VLOOKUP(D3,'2.Bookinglist'!A:AZ,52,FALSE)</f>
        <v>Pickup : 2026-10-15, Return : 2026-10-16
**CHECK OPENGATE BEFORE RETURN CNTR**
</v>
      </c>
      <c r="AO3" s="62">
        <f>VLOOKUP(D3,'2.Bookinglist'!A:CY,103,FALSE)</f>
        <v>0</v>
      </c>
    </row>
    <row r="4" ht="12.95" customHeight="1">
      <c r="A4" s="96" t="inlineStr">
        <is>
          <t>BEAU2862038</t>
        </is>
      </c>
      <c r="B4" s="184" t="str">
        <f>IF(C4=Charge!$M$1,Charge!$J$1,IF(C4=Charge!$M$23,Charge!$J$23,IF(C4=Charge!$M$17,Charge!$J$17,IF(C4=Charge!$N$17,Charge!$J$17,Charge!$J$7))))</f>
        <v>G2</v>
      </c>
      <c r="C4" s="61" t="str">
        <f>VLOOKUP(A4,'1.Loading'!A:R,14,FALSE)</f>
        <v>LCH01</v>
      </c>
      <c r="D4" s="61" t="str">
        <f>VLOOKUP(A4,'1.Loading'!A:R,17,FALSE)</f>
        <v>HASLS22261000794</v>
      </c>
      <c r="E4" s="62" t="str">
        <f>VLOOKUP(D4,'2.Bookinglist'!A:CT,27,FALSE)</f>
        <v>IRPC PUBLIC COMPANY LIMITED</v>
      </c>
      <c r="F4" s="62" t="str">
        <f>VLOOKUP(D4,'2.Bookinglist'!A:CT,28,FALSE)</f>
        <v>IRPC PUBLIC COMPANY LIMITED</v>
      </c>
      <c r="G4" s="60">
        <f>VLOOKUP(D4,'2.Bookinglist'!A:E,5,FALSE)</f>
        <v>0</v>
      </c>
      <c r="H4" s="61" t="str">
        <f>VLOOKUP(D4,'2.Bookinglist'!A:CT,15,FALSE)</f>
        <v>THLCH</v>
      </c>
      <c r="I4" s="61" t="str">
        <f>VLOOKUP(D4,'2.Bookinglist'!A:CT,19,FALSE)</f>
        <v>HKHKG</v>
      </c>
      <c r="J4" s="61">
        <f>VLOOKUP(D4,'2.Bookinglist'!A:CT,26,FALSE)</f>
        <v>0</v>
      </c>
      <c r="K4" s="61" t="str">
        <f>VLOOKUP(A4,'1.Loading'!A:R,5,FALSE)</f>
        <v>22GP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KMGY</v>
      </c>
      <c r="P4" s="61" t="str">
        <f>VLOOKUP(A4,'1.Loading'!A:R,4,FALSE)</f>
        <v>2611N</v>
      </c>
      <c r="Q4" s="61" t="str">
        <f>VLOOKUP(D4,'2.Bookinglist'!A:CT,12,FALSE)</f>
        <v>CHT</v>
      </c>
      <c r="R4" s="60" t="str">
        <f>IF(LEFT(K4,2)="22","20'","40'")</f>
        <v>20'</v>
      </c>
      <c r="S4" s="185" t="n"/>
      <c r="T4" s="61" t="str">
        <f>VLOOKUP(A4,'1.Loading'!A:R,2,FALSE)</f>
        <v>2026-10-25</v>
      </c>
      <c r="U4" s="63">
        <f>T4-S4</f>
        <v>46320</v>
      </c>
      <c r="V4" s="186" t="n"/>
      <c r="W4" s="61" t="str">
        <f>VLOOKUP(A4,'3.GateMove'!A:D,4,FALSE)</f>
        <v>2026-10-19</v>
      </c>
      <c r="X4" s="63">
        <f>((T4-W4)+1)</f>
        <v>7</v>
      </c>
      <c r="Y4" s="64">
        <f>IF(AND(OR(C4="BKK01",C4="BKK04"),L4="CFS/CY"),0,IF(M4="DG",1,IF(LEFT(C4,3)="LCH",7,IF(C4="BKK02",5,3))))</f>
        <v>7</v>
      </c>
      <c r="Z4" s="63">
        <f>IF(IF(AND(AC4="TML",AB4&gt;0),((T4-W4)+1)-AB4,((T4-W4)+1)-Y4)&gt;0,IF(AND(AC4="TML",AB4&gt;0),((T4-W4)+1)-AB4,((T4-W4)+1)-Y4),0)</f>
        <v>0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46321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0</v>
      </c>
      <c r="AJ4" s="188" t="n"/>
      <c r="AK4" s="62" t="str">
        <f>VLOOKUP(D4,'2.Bookinglist'!A:CT,40,FALSE)</f>
        <v>Dharaporn</v>
      </c>
      <c r="AL4" s="60" t="str">
        <f>VLOOKUP(D4,'2.Bookinglist'!A:CW,101,FALSE)</f>
        <v>2026-10-21</v>
      </c>
      <c r="AM4" s="60" t="str">
        <f>VLOOKUP(D4,'2.Bookinglist'!A:BK,63,FALSE)</f>
        <v>LCHY5</v>
      </c>
      <c r="AN4" s="62" t="str">
        <f>VLOOKUP(D4,'2.Bookinglist'!A:AZ,52,FALSE)</f>
        <v>CY-RTN 14-15/10/26 (PI26050167-37)
PLS CHECK OPEN GATE BEFORE RETURN CTNR
</v>
      </c>
      <c r="AO4" s="62">
        <f>VLOOKUP(D4,'2.Bookinglist'!A:CY,103,FALSE)</f>
        <v>0</v>
      </c>
    </row>
    <row r="5" ht="12.95" customHeight="1">
      <c r="A5" s="96" t="inlineStr">
        <is>
          <t>BMOU5815245</t>
        </is>
      </c>
      <c r="B5" s="184" t="str">
        <f>IF(C5=Charge!$M$1,Charge!$J$1,IF(C5=Charge!$M$23,Charge!$J$23,IF(C5=Charge!$M$17,Charge!$J$17,IF(C5=Charge!$N$17,Charge!$J$17,Charge!$J$7))))</f>
        <v>G2</v>
      </c>
      <c r="C5" s="61" t="str">
        <f>VLOOKUP(A5,'1.Loading'!A:R,14,FALSE)</f>
        <v>LCH01</v>
      </c>
      <c r="D5" s="61" t="str">
        <f>VLOOKUP(A5,'1.Loading'!A:R,17,FALSE)</f>
        <v>HASLS22260902742</v>
      </c>
      <c r="E5" s="62" t="str">
        <f>VLOOKUP(D5,'2.Bookinglist'!A:CT,27,FALSE)</f>
        <v>SEA &amp; AERO LOGISTICS CO., LTD.</v>
      </c>
      <c r="F5" s="62" t="str">
        <f>VLOOKUP(D5,'2.Bookinglist'!A:CT,28,FALSE)</f>
        <v>GOTO (THAILAND) CO.,LTD.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HKHKG</v>
      </c>
      <c r="J5" s="61">
        <f>VLOOKUP(D5,'2.Bookinglist'!A:CT,26,FALSE)</f>
        <v>0</v>
      </c>
      <c r="K5" s="61" t="str">
        <f>VLOOKUP(A5,'1.Loading'!A:R,5,FALSE)</f>
        <v>45GP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KMGY</v>
      </c>
      <c r="P5" s="61" t="str">
        <f>VLOOKUP(A5,'1.Loading'!A:R,4,FALSE)</f>
        <v>2611N</v>
      </c>
      <c r="Q5" s="61" t="str">
        <f>VLOOKUP(D5,'2.Bookinglist'!A:CT,12,FALSE)</f>
        <v>CHT</v>
      </c>
      <c r="R5" s="60" t="str">
        <f>IF(LEFT(K5,2)="22","20'","40'")</f>
        <v>40'</v>
      </c>
      <c r="S5" s="185" t="n"/>
      <c r="T5" s="61" t="str">
        <f>VLOOKUP(A5,'1.Loading'!A:R,2,FALSE)</f>
        <v>2026-10-25</v>
      </c>
      <c r="U5" s="63">
        <f>T5-S5</f>
        <v>46320</v>
      </c>
      <c r="V5" s="186" t="n"/>
      <c r="W5" s="61" t="str">
        <f>VLOOKUP(A5,'3.GateMove'!A:D,4,FALSE)</f>
        <v>2026-10-18</v>
      </c>
      <c r="X5" s="63">
        <f>((T5-W5)+1)</f>
        <v>8</v>
      </c>
      <c r="Y5" s="64">
        <f>IF(AND(OR(C5="BKK01",C5="BKK04"),L5="CFS/CY"),0,IF(M5="DG",1,IF(LEFT(C5,3)="LCH",7,IF(C5="BKK02",5,3))))</f>
        <v>7</v>
      </c>
      <c r="Z5" s="63">
        <f>IF(IF(AND(AC5="TML",AB5&gt;0),((T5-W5)+1)-AB5,((T5-W5)+1)-Y5)&gt;0,IF(AND(AC5="TML",AB5&gt;0),((T5-W5)+1)-AB5,((T5-W5)+1)-Y5),0)</f>
        <v>1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250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46321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250</v>
      </c>
      <c r="AJ5" s="188" t="n"/>
      <c r="AK5" s="62" t="str">
        <f>VLOOKUP(D5,'2.Bookinglist'!A:CT,40,FALSE)</f>
        <v>Vilaiporn</v>
      </c>
      <c r="AL5" s="60" t="str">
        <f>VLOOKUP(D5,'2.Bookinglist'!A:CW,101,FALSE)</f>
        <v>2026-10-21</v>
      </c>
      <c r="AM5" s="60" t="str">
        <f>VLOOKUP(D5,'2.Bookinglist'!A:BK,63,FALSE)</f>
        <v>LCHY5</v>
      </c>
      <c r="AN5" s="62" t="str">
        <f>VLOOKUP(D5,'2.Bookinglist'!A:AZ,52,FALSE)</f>
        <v>Pickup : 2026-10-17, Return : 2026-10-18  // ADD COST NEW SEAL = 700 BAHT 
** PLEASE CHECK OPEN GATE BEFORE RETURN CONTAINER ** </v>
      </c>
      <c r="AO5" s="62">
        <f>VLOOKUP(D5,'2.Bookinglist'!A:CY,103,FALSE)</f>
        <v>0</v>
      </c>
    </row>
    <row r="6" ht="12.95" customHeight="1">
      <c r="A6" s="96" t="inlineStr">
        <is>
          <t>BMOU6001135</t>
        </is>
      </c>
      <c r="B6" s="184" t="str">
        <f>IF(C6=Charge!$M$1,Charge!$J$1,IF(C6=Charge!$M$23,Charge!$J$23,IF(C6=Charge!$M$17,Charge!$J$17,IF(C6=Charge!$N$17,Charge!$J$17,Charge!$J$7))))</f>
        <v>G2</v>
      </c>
      <c r="C6" s="61" t="str">
        <f>VLOOKUP(A6,'1.Loading'!A:R,14,FALSE)</f>
        <v>LCH01</v>
      </c>
      <c r="D6" s="61" t="str">
        <f>VLOOKUP(A6,'1.Loading'!A:R,17,FALSE)</f>
        <v>HASLS22261001156</v>
      </c>
      <c r="E6" s="62" t="str">
        <f>VLOOKUP(D6,'2.Bookinglist'!A:CT,27,FALSE)</f>
        <v>YUSEN LOGISTICS (THAILAND) CO., LTD.</v>
      </c>
      <c r="F6" s="62" t="str">
        <f>VLOOKUP(D6,'2.Bookinglist'!A:CT,28,FALSE)</f>
        <v>KURARAY GC ADVANCED MATERIALS CO.,LTD</v>
      </c>
      <c r="G6" s="60">
        <f>VLOOKUP(D6,'2.Bookinglist'!A:E,5,FALSE)</f>
        <v>0</v>
      </c>
      <c r="H6" s="61" t="str">
        <f>VLOOKUP(D6,'2.Bookinglist'!A:CT,15,FALSE)</f>
        <v>THLCH</v>
      </c>
      <c r="I6" s="61" t="str">
        <f>VLOOKUP(D6,'2.Bookinglist'!A:CT,19,FALSE)</f>
        <v>HKHKG</v>
      </c>
      <c r="J6" s="61">
        <f>VLOOKUP(D6,'2.Bookinglist'!A:CT,26,FALSE)</f>
        <v>0</v>
      </c>
      <c r="K6" s="61" t="str">
        <f>VLOOKUP(A6,'1.Loading'!A:R,5,FALSE)</f>
        <v>45GP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KMGY</v>
      </c>
      <c r="P6" s="61" t="str">
        <f>VLOOKUP(A6,'1.Loading'!A:R,4,FALSE)</f>
        <v>2611N</v>
      </c>
      <c r="Q6" s="61" t="str">
        <f>VLOOKUP(D6,'2.Bookinglist'!A:CT,12,FALSE)</f>
        <v>CHT</v>
      </c>
      <c r="R6" s="60" t="str">
        <f>IF(LEFT(K6,2)="22","20'","40'")</f>
        <v>40'</v>
      </c>
      <c r="S6" s="185" t="n"/>
      <c r="T6" s="61" t="str">
        <f>VLOOKUP(A6,'1.Loading'!A:R,2,FALSE)</f>
        <v>2026-10-25</v>
      </c>
      <c r="U6" s="63">
        <f>T6-S6</f>
        <v>46320</v>
      </c>
      <c r="V6" s="186" t="n"/>
      <c r="W6" s="61" t="str">
        <f>VLOOKUP(A6,'3.GateMove'!A:D,4,FALSE)</f>
        <v>2026-10-22</v>
      </c>
      <c r="X6" s="63">
        <f>((T6-W6)+1)</f>
        <v>4</v>
      </c>
      <c r="Y6" s="64">
        <f>IF(AND(OR(C6="BKK01",C6="BKK04"),L6="CFS/CY"),0,IF(M6="DG",1,IF(LEFT(C6,3)="LCH",7,IF(C6="BKK02",5,3))))</f>
        <v>7</v>
      </c>
      <c r="Z6" s="63">
        <f>IF(IF(AND(AC6="TML",AB6&gt;0),((T6-W6)+1)-AB6,((T6-W6)+1)-Y6)&gt;0,IF(AND(AC6="TML",AB6&gt;0),((T6-W6)+1)-AB6,((T6-W6)+1)-Y6),0)</f>
        <v>0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46321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0</v>
      </c>
      <c r="AJ6" s="188" t="n"/>
      <c r="AK6" s="62" t="str">
        <f>VLOOKUP(D6,'2.Bookinglist'!A:CT,40,FALSE)</f>
        <v>Vilaiporn</v>
      </c>
      <c r="AL6" s="60" t="str">
        <f>VLOOKUP(D6,'2.Bookinglist'!A:CW,101,FALSE)</f>
        <v>2026-10-24</v>
      </c>
      <c r="AM6" s="60" t="str">
        <f>VLOOKUP(D6,'2.Bookinglist'!A:BK,63,FALSE)</f>
        <v>LCH27</v>
      </c>
      <c r="AN6" s="62" t="str">
        <f>VLOOKUP(D6,'2.Bookinglist'!A:AZ,52,FALSE)</f>
        <v>Pickup : 2026-10-19, Return : 2026-10-20 (EXTEND CLOSING 22/10/26 @23.59)
 ** PLEASE CHECK OPEN GATE BEFORE RETURN C NTR ** </v>
      </c>
      <c r="AO6" s="62">
        <f>VLOOKUP(D6,'2.Bookinglist'!A:CY,103,FALSE)</f>
        <v>0</v>
      </c>
    </row>
    <row r="7" ht="12.95" customHeight="1">
      <c r="A7" s="96" t="inlineStr">
        <is>
          <t>DFSU7710395</t>
        </is>
      </c>
      <c r="B7" s="184" t="str">
        <f>IF(C7=Charge!$M$1,Charge!$J$1,IF(C7=Charge!$M$23,Charge!$J$23,IF(C7=Charge!$M$17,Charge!$J$17,IF(C7=Charge!$N$17,Charge!$J$17,Charge!$J$7))))</f>
        <v>G2</v>
      </c>
      <c r="C7" s="61" t="str">
        <f>VLOOKUP(A7,'1.Loading'!A:R,14,FALSE)</f>
        <v>LCH01</v>
      </c>
      <c r="D7" s="61" t="str">
        <f>VLOOKUP(A7,'1.Loading'!A:R,17,FALSE)</f>
        <v>HASLS22260902742</v>
      </c>
      <c r="E7" s="62" t="str">
        <f>VLOOKUP(D7,'2.Bookinglist'!A:CT,27,FALSE)</f>
        <v>SEA &amp; AERO LOGISTICS CO., LTD.</v>
      </c>
      <c r="F7" s="62" t="str">
        <f>VLOOKUP(D7,'2.Bookinglist'!A:CT,28,FALSE)</f>
        <v>GOTO (THAILAND) CO.,LTD.</v>
      </c>
      <c r="G7" s="60">
        <f>VLOOKUP(D7,'2.Bookinglist'!A:E,5,FALSE)</f>
        <v>0</v>
      </c>
      <c r="H7" s="61" t="str">
        <f>VLOOKUP(D7,'2.Bookinglist'!A:CT,15,FALSE)</f>
        <v>THLCH</v>
      </c>
      <c r="I7" s="61" t="str">
        <f>VLOOKUP(D7,'2.Bookinglist'!A:CT,19,FALSE)</f>
        <v>HKHKG</v>
      </c>
      <c r="J7" s="61">
        <f>VLOOKUP(D7,'2.Bookinglist'!A:CT,26,FALSE)</f>
        <v>0</v>
      </c>
      <c r="K7" s="61" t="str">
        <f>VLOOKUP(A7,'1.Loading'!A:R,5,FALSE)</f>
        <v>45GP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KMGY</v>
      </c>
      <c r="P7" s="61" t="str">
        <f>VLOOKUP(A7,'1.Loading'!A:R,4,FALSE)</f>
        <v>2611N</v>
      </c>
      <c r="Q7" s="61" t="str">
        <f>VLOOKUP(D7,'2.Bookinglist'!A:CT,12,FALSE)</f>
        <v>CHT</v>
      </c>
      <c r="R7" s="60" t="str">
        <f>IF(LEFT(K7,2)="22","20'","40'")</f>
        <v>40'</v>
      </c>
      <c r="S7" s="185" t="n"/>
      <c r="T7" s="61" t="str">
        <f>VLOOKUP(A7,'1.Loading'!A:R,2,FALSE)</f>
        <v>2026-10-25</v>
      </c>
      <c r="U7" s="63">
        <f>T7-S7</f>
        <v>46320</v>
      </c>
      <c r="V7" s="186" t="n"/>
      <c r="W7" s="61" t="str">
        <f>VLOOKUP(A7,'3.GateMove'!A:D,4,FALSE)</f>
        <v>2026-10-20</v>
      </c>
      <c r="X7" s="63">
        <f>((T7-W7)+1)</f>
        <v>6</v>
      </c>
      <c r="Y7" s="64">
        <f>IF(AND(OR(C7="BKK01",C7="BKK04"),L7="CFS/CY"),0,IF(M7="DG",1,IF(LEFT(C7,3)="LCH",7,IF(C7="BKK02",5,3))))</f>
        <v>7</v>
      </c>
      <c r="Z7" s="63">
        <f>IF(IF(AND(AC7="TML",AB7&gt;0),((T7-W7)+1)-AB7,((T7-W7)+1)-Y7)&gt;0,IF(AND(AC7="TML",AB7&gt;0),((T7-W7)+1)-AB7,((T7-W7)+1)-Y7),0)</f>
        <v>0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46321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0</v>
      </c>
      <c r="AJ7" s="188" t="n"/>
      <c r="AK7" s="62" t="str">
        <f>VLOOKUP(D7,'2.Bookinglist'!A:CT,40,FALSE)</f>
        <v>Vilaiporn</v>
      </c>
      <c r="AL7" s="60" t="str">
        <f>VLOOKUP(D7,'2.Bookinglist'!A:CW,101,FALSE)</f>
        <v>2026-10-21</v>
      </c>
      <c r="AM7" s="60" t="str">
        <f>VLOOKUP(D7,'2.Bookinglist'!A:BK,63,FALSE)</f>
        <v>LCHY5</v>
      </c>
      <c r="AN7" s="62" t="str">
        <f>VLOOKUP(D7,'2.Bookinglist'!A:AZ,52,FALSE)</f>
        <v>Pickup : 2026-10-17, Return : 2026-10-18  // ADD COST NEW SEAL = 700 BAHT 
** PLEASE CHECK OPEN GATE BEFORE RETURN CONTAINER ** </v>
      </c>
      <c r="AO7" s="62">
        <f>VLOOKUP(D7,'2.Bookinglist'!A:CY,103,FALSE)</f>
        <v>0</v>
      </c>
    </row>
    <row r="8" ht="12.95" customHeight="1">
      <c r="A8" s="96" t="inlineStr">
        <is>
          <t>FBIU0238276</t>
        </is>
      </c>
      <c r="B8" s="184" t="str">
        <f>IF(C8=Charge!$M$1,Charge!$J$1,IF(C8=Charge!$M$23,Charge!$J$23,IF(C8=Charge!$M$17,Charge!$J$17,IF(C8=Charge!$N$17,Charge!$J$17,Charge!$J$7))))</f>
        <v>G2</v>
      </c>
      <c r="C8" s="61" t="str">
        <f>VLOOKUP(A8,'1.Loading'!A:R,14,FALSE)</f>
        <v>LCH01</v>
      </c>
      <c r="D8" s="61" t="str">
        <f>VLOOKUP(A8,'1.Loading'!A:R,17,FALSE)</f>
        <v>HASLS22261000973</v>
      </c>
      <c r="E8" s="62" t="str">
        <f>VLOOKUP(D8,'2.Bookinglist'!A:CT,27,FALSE)</f>
        <v>IRPC PUBLIC COMPANY LIMITED</v>
      </c>
      <c r="F8" s="62" t="str">
        <f>VLOOKUP(D8,'2.Bookinglist'!A:CT,28,FALSE)</f>
        <v>IRPC PUBLIC COMPANY LIMITED</v>
      </c>
      <c r="G8" s="60">
        <f>VLOOKUP(D8,'2.Bookinglist'!A:E,5,FALSE)</f>
        <v>0</v>
      </c>
      <c r="H8" s="61" t="str">
        <f>VLOOKUP(D8,'2.Bookinglist'!A:CT,15,FALSE)</f>
        <v>THLCH</v>
      </c>
      <c r="I8" s="61" t="str">
        <f>VLOOKUP(D8,'2.Bookinglist'!A:CT,19,FALSE)</f>
        <v>HKHKG</v>
      </c>
      <c r="J8" s="61">
        <f>VLOOKUP(D8,'2.Bookinglist'!A:CT,26,FALSE)</f>
        <v>0</v>
      </c>
      <c r="K8" s="61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KMGY</v>
      </c>
      <c r="P8" s="61" t="str">
        <f>VLOOKUP(A8,'1.Loading'!A:R,4,FALSE)</f>
        <v>2611N</v>
      </c>
      <c r="Q8" s="61" t="str">
        <f>VLOOKUP(D8,'2.Bookinglist'!A:CT,12,FALSE)</f>
        <v>CHT</v>
      </c>
      <c r="R8" s="60" t="str">
        <f>IF(LEFT(K8,2)="22","20'","40'")</f>
        <v>20'</v>
      </c>
      <c r="S8" s="185" t="n"/>
      <c r="T8" s="61" t="str">
        <f>VLOOKUP(A8,'1.Loading'!A:R,2,FALSE)</f>
        <v>2026-10-25</v>
      </c>
      <c r="U8" s="63">
        <f>T8-S8</f>
        <v>46320</v>
      </c>
      <c r="V8" s="186" t="n"/>
      <c r="W8" s="61" t="str">
        <f>VLOOKUP(A8,'3.GateMove'!A:D,4,FALSE)</f>
        <v>2026-10-21</v>
      </c>
      <c r="X8" s="63">
        <f>((T8-W8)+1)</f>
        <v>5</v>
      </c>
      <c r="Y8" s="64">
        <f>IF(AND(OR(C8="BKK01",C8="BKK04"),L8="CFS/CY"),0,IF(M8="DG",1,IF(LEFT(C8,3)="LCH",7,IF(C8="BKK02",5,3))))</f>
        <v>7</v>
      </c>
      <c r="Z8" s="63">
        <f>IF(IF(AND(AC8="TML",AB8&gt;0),((T8-W8)+1)-AB8,((T8-W8)+1)-Y8)&gt;0,IF(AND(AC8="TML",AB8&gt;0),((T8-W8)+1)-AB8,((T8-W8)+1)-Y8),0)</f>
        <v>0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46321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0</v>
      </c>
      <c r="AJ8" s="188" t="n"/>
      <c r="AK8" s="62" t="str">
        <f>VLOOKUP(D8,'2.Bookinglist'!A:CT,40,FALSE)</f>
        <v>Dharaporn</v>
      </c>
      <c r="AL8" s="60" t="str">
        <f>VLOOKUP(D8,'2.Bookinglist'!A:CW,101,FALSE)</f>
        <v>2026-10-24</v>
      </c>
      <c r="AM8" s="60" t="str">
        <f>VLOOKUP(D8,'2.Bookinglist'!A:BK,63,FALSE)</f>
        <v>LCHY5</v>
      </c>
      <c r="AN8" s="62" t="str">
        <f>VLOOKUP(D8,'2.Bookinglist'!A:AZ,52,FALSE)</f>
        <v>CY-RTN 19-22/10/26 (PI26050167-38) CLOSING DATE DD.22/10/26 @23.59</v>
      </c>
      <c r="AO8" s="62">
        <f>VLOOKUP(D8,'2.Bookinglist'!A:CY,103,FALSE)</f>
        <v>0</v>
      </c>
    </row>
    <row r="9" ht="12.95" customHeight="1">
      <c r="A9" s="96" t="inlineStr">
        <is>
          <t>FSCU5895356</t>
        </is>
      </c>
      <c r="B9" s="184" t="str">
        <f>IF(C9=Charge!$M$1,Charge!$J$1,IF(C9=Charge!$M$23,Charge!$J$23,IF(C9=Charge!$M$17,Charge!$J$17,IF(C9=Charge!$N$17,Charge!$J$17,Charge!$J$7))))</f>
        <v>G2</v>
      </c>
      <c r="C9" s="61" t="str">
        <f>VLOOKUP(A9,'1.Loading'!A:R,14,FALSE)</f>
        <v>LCH01</v>
      </c>
      <c r="D9" s="61" t="str">
        <f>VLOOKUP(A9,'1.Loading'!A:R,17,FALSE)</f>
        <v>HASLS22260901124</v>
      </c>
      <c r="E9" s="62" t="str">
        <f>VLOOKUP(D9,'2.Bookinglist'!A:CT,27,FALSE)</f>
        <v>DYNAMIC INTERTRANSPORT CO., LTD.</v>
      </c>
      <c r="F9" s="62" t="str">
        <f>VLOOKUP(D9,'2.Bookinglist'!A:CT,28,FALSE)</f>
        <v>CP-MEIJI CO., LTD.</v>
      </c>
      <c r="G9" s="60">
        <f>VLOOKUP(D9,'2.Bookinglist'!A:E,5,FALSE)</f>
        <v>0</v>
      </c>
      <c r="H9" s="61" t="str">
        <f>VLOOKUP(D9,'2.Bookinglist'!A:CT,15,FALSE)</f>
        <v>THLCH</v>
      </c>
      <c r="I9" s="61" t="str">
        <f>VLOOKUP(D9,'2.Bookinglist'!A:CT,19,FALSE)</f>
        <v>HKHKG</v>
      </c>
      <c r="J9" s="61">
        <f>VLOOKUP(D9,'2.Bookinglist'!A:CT,26,FALSE)</f>
        <v>0</v>
      </c>
      <c r="K9" s="61" t="str">
        <f>VLOOKUP(A9,'1.Loading'!A:R,5,FALSE)</f>
        <v>45RE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>RF</v>
      </c>
      <c r="O9" s="61" t="str">
        <f>VLOOKUP(A9,'1.Loading'!A:R,3,FALSE)</f>
        <v>KMGY</v>
      </c>
      <c r="P9" s="61" t="str">
        <f>VLOOKUP(A9,'1.Loading'!A:R,4,FALSE)</f>
        <v>2611N</v>
      </c>
      <c r="Q9" s="61" t="str">
        <f>VLOOKUP(D9,'2.Bookinglist'!A:CT,12,FALSE)</f>
        <v>CHT</v>
      </c>
      <c r="R9" s="60" t="str">
        <f>IF(LEFT(K9,2)="22","20'","40'")</f>
        <v>40'</v>
      </c>
      <c r="S9" s="185" t="n"/>
      <c r="T9" s="61" t="str">
        <f>VLOOKUP(A9,'1.Loading'!A:R,2,FALSE)</f>
        <v>2026-10-25</v>
      </c>
      <c r="U9" s="63">
        <f>T9-S9</f>
        <v>46320</v>
      </c>
      <c r="V9" s="186" t="n"/>
      <c r="W9" s="61" t="str">
        <f>VLOOKUP(A9,'3.GateMove'!A:D,4,FALSE)</f>
        <v>2026-10-23</v>
      </c>
      <c r="X9" s="63">
        <f>((T9-W9)+1)</f>
        <v>3</v>
      </c>
      <c r="Y9" s="64">
        <f>IF(AND(OR(C9="BKK01",C9="BKK04"),L9="CFS/CY"),0,IF(M9="DG",1,IF(LEFT(C9,3)="LCH",7,IF(C9="BKK02",5,3))))</f>
        <v>7</v>
      </c>
      <c r="Z9" s="63">
        <f>IF(IF(AND(AC9="TML",AB9&gt;0),((T9-W9)+1)-AB9,((T9-W9)+1)-Y9)&gt;0,IF(AND(AC9="TML",AB9&gt;0),((T9-W9)+1)-AB9,((T9-W9)+1)-Y9),0)</f>
        <v>0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0</v>
      </c>
      <c r="AB9" s="184" t="n"/>
      <c r="AC9" s="184" t="n"/>
      <c r="AD9" s="60">
        <f>IF(M9="DG",3,IF(N9="RF",3,5))+IF(AND(LEFT(C9,3)="BKK",N9="RF",Q9="KTS"),1,0)+IF(Q9="KHS",1,0)</f>
        <v>3</v>
      </c>
      <c r="AE9" s="63">
        <f>(T9-V9)+1</f>
        <v>46321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0</v>
      </c>
      <c r="AJ9" s="188" t="n"/>
      <c r="AK9" s="62" t="str">
        <f>VLOOKUP(D9,'2.Bookinglist'!A:CT,40,FALSE)</f>
        <v>Vilaiporn</v>
      </c>
      <c r="AL9" s="60" t="str">
        <f>VLOOKUP(D9,'2.Bookinglist'!A:CW,101,FALSE)</f>
        <v>2026-10-24</v>
      </c>
      <c r="AM9" s="60" t="str">
        <f>VLOOKUP(D9,'2.Bookinglist'!A:BK,63,FALSE)</f>
        <v>LCH27</v>
      </c>
      <c r="AN9" s="62" t="str">
        <f>VLOOKUP(D9,'2.Bookinglist'!A:AZ,52,FALSE)</f>
        <v>Pickup : 2026-10-22, Return : 2026-10-23 (Temp +0.0 / Vent Close) 
CLS TIME 23/10/26 @16.00 </v>
      </c>
      <c r="AO9" s="62">
        <f>VLOOKUP(D9,'2.Bookinglist'!A:CY,103,FALSE)</f>
        <v>0</v>
      </c>
    </row>
    <row r="10" ht="12.95" customHeight="1">
      <c r="A10" s="96" t="inlineStr">
        <is>
          <t>GAOU6011791</t>
        </is>
      </c>
      <c r="B10" s="184" t="str">
        <f>IF(C10=Charge!$M$1,Charge!$J$1,IF(C10=Charge!$M$23,Charge!$J$23,IF(C10=Charge!$M$17,Charge!$J$17,IF(C10=Charge!$N$17,Charge!$J$17,Charge!$J$7))))</f>
        <v>G2</v>
      </c>
      <c r="C10" s="61" t="str">
        <f>VLOOKUP(A10,'1.Loading'!A:R,14,FALSE)</f>
        <v>LCH01</v>
      </c>
      <c r="D10" s="61" t="str">
        <f>VLOOKUP(A10,'1.Loading'!A:R,17,FALSE)</f>
        <v>HASLS22261000813</v>
      </c>
      <c r="E10" s="62" t="str">
        <f>VLOOKUP(D10,'2.Bookinglist'!A:CT,27,FALSE)</f>
        <v>YUSEN LOGISTICS (THAILAND) CO., LTD.</v>
      </c>
      <c r="F10" s="62" t="str">
        <f>VLOOKUP(D10,'2.Bookinglist'!A:CT,28,FALSE)</f>
        <v>KURARAY CO., LTD.</v>
      </c>
      <c r="G10" s="60">
        <f>VLOOKUP(D10,'2.Bookinglist'!A:E,5,FALSE)</f>
        <v>0</v>
      </c>
      <c r="H10" s="61" t="str">
        <f>VLOOKUP(D10,'2.Bookinglist'!A:CT,15,FALSE)</f>
        <v>THLCH</v>
      </c>
      <c r="I10" s="61" t="str">
        <f>VLOOKUP(D10,'2.Bookinglist'!A:CT,19,FALSE)</f>
        <v>HKHKG</v>
      </c>
      <c r="J10" s="61">
        <f>VLOOKUP(D10,'2.Bookinglist'!A:CT,26,FALSE)</f>
        <v>0</v>
      </c>
      <c r="K10" s="61" t="str">
        <f>VLOOKUP(A10,'1.Loading'!A:R,5,FALSE)</f>
        <v>45GP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KMGY</v>
      </c>
      <c r="P10" s="61" t="str">
        <f>VLOOKUP(A10,'1.Loading'!A:R,4,FALSE)</f>
        <v>2611N</v>
      </c>
      <c r="Q10" s="61" t="str">
        <f>VLOOKUP(D10,'2.Bookinglist'!A:CT,12,FALSE)</f>
        <v>CHT</v>
      </c>
      <c r="R10" s="60" t="str">
        <f>IF(LEFT(K10,2)="22","20'","40'")</f>
        <v>40'</v>
      </c>
      <c r="S10" s="185" t="n"/>
      <c r="T10" s="61" t="str">
        <f>VLOOKUP(A10,'1.Loading'!A:R,2,FALSE)</f>
        <v>2026-10-25</v>
      </c>
      <c r="U10" s="63">
        <f>T10-S10</f>
        <v>46320</v>
      </c>
      <c r="V10" s="186" t="n"/>
      <c r="W10" s="61" t="str">
        <f>VLOOKUP(A10,'3.GateMove'!A:D,4,FALSE)</f>
        <v>2026-10-22</v>
      </c>
      <c r="X10" s="63">
        <f>((T10-W10)+1)</f>
        <v>4</v>
      </c>
      <c r="Y10" s="64">
        <f>IF(AND(OR(C10="BKK01",C10="BKK04"),L10="CFS/CY"),0,IF(M10="DG",1,IF(LEFT(C10,3)="LCH",7,IF(C10="BKK02",5,3))))</f>
        <v>7</v>
      </c>
      <c r="Z10" s="63">
        <f>IF(IF(AND(AC10="TML",AB10&gt;0),((T10-W10)+1)-AB10,((T10-W10)+1)-Y10)&gt;0,IF(AND(AC10="TML",AB10&gt;0),((T10-W10)+1)-AB10,((T10-W10)+1)-Y10),0)</f>
        <v>0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46321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0</v>
      </c>
      <c r="AJ10" s="188" t="n"/>
      <c r="AK10" s="62" t="str">
        <f>VLOOKUP(D10,'2.Bookinglist'!A:CT,40,FALSE)</f>
        <v>Vilaiporn</v>
      </c>
      <c r="AL10" s="60" t="str">
        <f>VLOOKUP(D10,'2.Bookinglist'!A:CW,101,FALSE)</f>
        <v>2026-10-24</v>
      </c>
      <c r="AM10" s="60" t="str">
        <f>VLOOKUP(D10,'2.Bookinglist'!A:BK,63,FALSE)</f>
        <v>LCHY5</v>
      </c>
      <c r="AN10" s="62" t="str">
        <f>VLOOKUP(D10,'2.Bookinglist'!A:AZ,52,FALSE)</f>
        <v>Pickup : 2026-10-17, Return : 2026-10-19 (1ST RTN 20/10 W/O RENT) 
 ** PLEASE CHECK OPEN GATE BEFORE RETURN CNTR **(EXTEND CLOSING DD.22/10/26 @23.59)</v>
      </c>
      <c r="AO10" s="62">
        <f>VLOOKUP(D10,'2.Bookinglist'!A:CY,103,FALSE)</f>
        <v>0</v>
      </c>
    </row>
    <row r="11" ht="12.95" customHeight="1">
      <c r="A11" s="96" t="inlineStr">
        <is>
          <t>HALU2021092</t>
        </is>
      </c>
      <c r="B11" s="184" t="str">
        <f>IF(C11=Charge!$M$1,Charge!$J$1,IF(C11=Charge!$M$23,Charge!$J$23,IF(C11=Charge!$M$17,Charge!$J$17,IF(C11=Charge!$N$17,Charge!$J$17,Charge!$J$7))))</f>
        <v>G2</v>
      </c>
      <c r="C11" s="61" t="str">
        <f>VLOOKUP(A11,'1.Loading'!A:R,14,FALSE)</f>
        <v>LCH01</v>
      </c>
      <c r="D11" s="61" t="str">
        <f>VLOOKUP(A11,'1.Loading'!A:R,17,FALSE)</f>
        <v>HASLS22261000792</v>
      </c>
      <c r="E11" s="62" t="str">
        <f>VLOOKUP(D11,'2.Bookinglist'!A:CT,27,FALSE)</f>
        <v>IRPC PUBLIC COMPANY LIMITED</v>
      </c>
      <c r="F11" s="62" t="str">
        <f>VLOOKUP(D11,'2.Bookinglist'!A:CT,28,FALSE)</f>
        <v>IRPC PUBLIC COMPANY LIMITED</v>
      </c>
      <c r="G11" s="60">
        <f>VLOOKUP(D11,'2.Bookinglist'!A:E,5,FALSE)</f>
        <v>0</v>
      </c>
      <c r="H11" s="61" t="str">
        <f>VLOOKUP(D11,'2.Bookinglist'!A:CT,15,FALSE)</f>
        <v>THLCH</v>
      </c>
      <c r="I11" s="61" t="str">
        <f>VLOOKUP(D11,'2.Bookinglist'!A:CT,19,FALSE)</f>
        <v>HKHKG</v>
      </c>
      <c r="J11" s="61">
        <f>VLOOKUP(D11,'2.Bookinglist'!A:CT,26,FALSE)</f>
        <v>0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KMGY</v>
      </c>
      <c r="P11" s="61" t="str">
        <f>VLOOKUP(A11,'1.Loading'!A:R,4,FALSE)</f>
        <v>2611N</v>
      </c>
      <c r="Q11" s="61" t="str">
        <f>VLOOKUP(D11,'2.Bookinglist'!A:CT,12,FALSE)</f>
        <v>CHT</v>
      </c>
      <c r="R11" s="60" t="str">
        <f>IF(LEFT(K11,2)="22","20'","40'")</f>
        <v>20'</v>
      </c>
      <c r="S11" s="185" t="n"/>
      <c r="T11" s="61" t="str">
        <f>VLOOKUP(A11,'1.Loading'!A:R,2,FALSE)</f>
        <v>2026-10-25</v>
      </c>
      <c r="U11" s="63">
        <f>T11-S11</f>
        <v>46320</v>
      </c>
      <c r="V11" s="186" t="n"/>
      <c r="W11" s="61" t="str">
        <f>VLOOKUP(A11,'3.GateMove'!A:D,4,FALSE)</f>
        <v>2026-10-18</v>
      </c>
      <c r="X11" s="63">
        <f>((T11-W11)+1)</f>
        <v>8</v>
      </c>
      <c r="Y11" s="64">
        <f>IF(AND(OR(C11="BKK01",C11="BKK04"),L11="CFS/CY"),0,IF(M11="DG",1,IF(LEFT(C11,3)="LCH",7,IF(C11="BKK02",5,3))))</f>
        <v>7</v>
      </c>
      <c r="Z11" s="63">
        <f>IF(IF(AND(AC11="TML",AB11&gt;0),((T11-W11)+1)-AB11,((T11-W11)+1)-Y11)&gt;0,IF(AND(AC11="TML",AB11&gt;0),((T11-W11)+1)-AB11,((T11-W11)+1)-Y11),0)</f>
        <v>1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125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46321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125</v>
      </c>
      <c r="AJ11" s="188" t="n"/>
      <c r="AK11" s="62" t="str">
        <f>VLOOKUP(D11,'2.Bookinglist'!A:CT,40,FALSE)</f>
        <v>Dharaporn</v>
      </c>
      <c r="AL11" s="60" t="str">
        <f>VLOOKUP(D11,'2.Bookinglist'!A:CW,101,FALSE)</f>
        <v>2026-10-21</v>
      </c>
      <c r="AM11" s="60" t="str">
        <f>VLOOKUP(D11,'2.Bookinglist'!A:BK,63,FALSE)</f>
        <v>LCHY5</v>
      </c>
      <c r="AN11" s="62" t="str">
        <f>VLOOKUP(D11,'2.Bookinglist'!A:AZ,52,FALSE)</f>
        <v>CY-RTN 14-15/10/26 (PI26050167-36)
PLS CHECK OPEN GATE BEFORE RETURN CTNR
</v>
      </c>
      <c r="AO11" s="62">
        <f>VLOOKUP(D11,'2.Bookinglist'!A:CY,103,FALSE)</f>
        <v>0</v>
      </c>
    </row>
    <row r="12" ht="12.95" customHeight="1">
      <c r="A12" s="96" t="inlineStr">
        <is>
          <t>HALU2026638</t>
        </is>
      </c>
      <c r="B12" s="184" t="str">
        <f>IF(C12=Charge!$M$1,Charge!$J$1,IF(C12=Charge!$M$23,Charge!$J$23,IF(C12=Charge!$M$17,Charge!$J$17,IF(C12=Charge!$N$17,Charge!$J$17,Charge!$J$7))))</f>
        <v>G2</v>
      </c>
      <c r="C12" s="61" t="str">
        <f>VLOOKUP(A12,'1.Loading'!A:R,14,FALSE)</f>
        <v>LCH01</v>
      </c>
      <c r="D12" s="61" t="str">
        <f>VLOOKUP(A12,'1.Loading'!A:R,17,FALSE)</f>
        <v>HASLS22260900819</v>
      </c>
      <c r="E12" s="62" t="str">
        <f>VLOOKUP(D12,'2.Bookinglist'!A:CT,27,FALSE)</f>
        <v>JAST GLOBAL CO.,LTD.</v>
      </c>
      <c r="F12" s="62" t="str">
        <f>VLOOKUP(D12,'2.Bookinglist'!A:CT,28,FALSE)</f>
        <v>THE THAI SUGAR TRADING CORPORATION LTD.</v>
      </c>
      <c r="G12" s="60">
        <f>VLOOKUP(D12,'2.Bookinglist'!A:E,5,FALSE)</f>
        <v>0</v>
      </c>
      <c r="H12" s="61" t="str">
        <f>VLOOKUP(D12,'2.Bookinglist'!A:CT,15,FALSE)</f>
        <v>THLCH</v>
      </c>
      <c r="I12" s="61" t="str">
        <f>VLOOKUP(D12,'2.Bookinglist'!A:CT,19,FALSE)</f>
        <v>KRINC</v>
      </c>
      <c r="J12" s="61">
        <f>VLOOKUP(D12,'2.Bookinglist'!A:CT,26,FALSE)</f>
        <v>0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KMGY</v>
      </c>
      <c r="P12" s="61" t="str">
        <f>VLOOKUP(A12,'1.Loading'!A:R,4,FALSE)</f>
        <v>2611N</v>
      </c>
      <c r="Q12" s="61" t="str">
        <f>VLOOKUP(D12,'2.Bookinglist'!A:CT,12,FALSE)</f>
        <v>CHT</v>
      </c>
      <c r="R12" s="60" t="str">
        <f>IF(LEFT(K12,2)="22","20'","40'")</f>
        <v>20'</v>
      </c>
      <c r="S12" s="185" t="n"/>
      <c r="T12" s="61" t="str">
        <f>VLOOKUP(A12,'1.Loading'!A:R,2,FALSE)</f>
        <v>2026-10-25</v>
      </c>
      <c r="U12" s="63">
        <f>T12-S12</f>
        <v>46320</v>
      </c>
      <c r="V12" s="186" t="n"/>
      <c r="W12" s="61" t="str">
        <f>VLOOKUP(A12,'3.GateMove'!A:D,4,FALSE)</f>
        <v>2026-10-17</v>
      </c>
      <c r="X12" s="63">
        <f>((T12-W12)+1)</f>
        <v>9</v>
      </c>
      <c r="Y12" s="64">
        <f>IF(AND(OR(C12="BKK01",C12="BKK04"),L12="CFS/CY"),0,IF(M12="DG",1,IF(LEFT(C12,3)="LCH",7,IF(C12="BKK02",5,3))))</f>
        <v>7</v>
      </c>
      <c r="Z12" s="63">
        <f>IF(IF(AND(AC12="TML",AB12&gt;0),((T12-W12)+1)-AB12,((T12-W12)+1)-Y12)&gt;0,IF(AND(AC12="TML",AB12&gt;0),((T12-W12)+1)-AB12,((T12-W12)+1)-Y12),0)</f>
        <v>2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250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46321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250</v>
      </c>
      <c r="AJ12" s="188" t="n"/>
      <c r="AK12" s="62" t="str">
        <f>VLOOKUP(D12,'2.Bookinglist'!A:CT,40,FALSE)</f>
        <v>Kim jaewon</v>
      </c>
      <c r="AL12" s="60" t="str">
        <f>VLOOKUP(D12,'2.Bookinglist'!A:CW,101,FALSE)</f>
        <v>2026-10-21</v>
      </c>
      <c r="AM12" s="60" t="str">
        <f>VLOOKUP(D12,'2.Bookinglist'!A:BK,63,FALSE)</f>
        <v>LCHY5</v>
      </c>
      <c r="AN12" s="62" t="str">
        <f>VLOOKUP(D12,'2.Bookinglist'!A:AZ,52,FALSE)</f>
        <v>Pickup : 2026-10-15, Return : 2026-10-16
**CHECK OPENGATE BEFORE RETURN CNTR**
</v>
      </c>
      <c r="AO12" s="62">
        <f>VLOOKUP(D12,'2.Bookinglist'!A:CY,103,FALSE)</f>
        <v>0</v>
      </c>
    </row>
    <row r="13" ht="12.95" customHeight="1">
      <c r="A13" s="96" t="inlineStr">
        <is>
          <t>HALU2569070</t>
        </is>
      </c>
      <c r="B13" s="184" t="str">
        <f>IF(C13=Charge!$M$1,Charge!$J$1,IF(C13=Charge!$M$23,Charge!$J$23,IF(C13=Charge!$M$17,Charge!$J$17,IF(C13=Charge!$N$17,Charge!$J$17,Charge!$J$7))))</f>
        <v>G2</v>
      </c>
      <c r="C13" s="61" t="str">
        <f>VLOOKUP(A13,'1.Loading'!A:R,14,FALSE)</f>
        <v>LCH01</v>
      </c>
      <c r="D13" s="61" t="str">
        <f>VLOOKUP(A13,'1.Loading'!A:R,17,FALSE)</f>
        <v>HASLS22260900819</v>
      </c>
      <c r="E13" s="62" t="str">
        <f>VLOOKUP(D13,'2.Bookinglist'!A:CT,27,FALSE)</f>
        <v>JAST GLOBAL CO.,LTD.</v>
      </c>
      <c r="F13" s="62" t="str">
        <f>VLOOKUP(D13,'2.Bookinglist'!A:CT,28,FALSE)</f>
        <v>THE THAI SUGAR TRADING CORPORATION LTD.</v>
      </c>
      <c r="G13" s="60">
        <f>VLOOKUP(D13,'2.Bookinglist'!A:E,5,FALSE)</f>
        <v>0</v>
      </c>
      <c r="H13" s="61" t="str">
        <f>VLOOKUP(D13,'2.Bookinglist'!A:CT,15,FALSE)</f>
        <v>THLCH</v>
      </c>
      <c r="I13" s="61" t="str">
        <f>VLOOKUP(D13,'2.Bookinglist'!A:CT,19,FALSE)</f>
        <v>KRINC</v>
      </c>
      <c r="J13" s="61">
        <f>VLOOKUP(D13,'2.Bookinglist'!A:CT,26,FALSE)</f>
        <v>0</v>
      </c>
      <c r="K13" s="61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KMGY</v>
      </c>
      <c r="P13" s="61" t="str">
        <f>VLOOKUP(A13,'1.Loading'!A:R,4,FALSE)</f>
        <v>2611N</v>
      </c>
      <c r="Q13" s="61" t="str">
        <f>VLOOKUP(D13,'2.Bookinglist'!A:CT,12,FALSE)</f>
        <v>CHT</v>
      </c>
      <c r="R13" s="60" t="str">
        <f>IF(LEFT(K13,2)="22","20'","40'")</f>
        <v>20'</v>
      </c>
      <c r="S13" s="185" t="n"/>
      <c r="T13" s="61" t="str">
        <f>VLOOKUP(A13,'1.Loading'!A:R,2,FALSE)</f>
        <v>2026-10-25</v>
      </c>
      <c r="U13" s="63">
        <f>T13-S13</f>
        <v>46320</v>
      </c>
      <c r="V13" s="186" t="n"/>
      <c r="W13" s="61" t="str">
        <f>VLOOKUP(A13,'3.GateMove'!A:D,4,FALSE)</f>
        <v>2026-10-17</v>
      </c>
      <c r="X13" s="63">
        <f>((T13-W13)+1)</f>
        <v>9</v>
      </c>
      <c r="Y13" s="64">
        <f>IF(AND(OR(C13="BKK01",C13="BKK04"),L13="CFS/CY"),0,IF(M13="DG",1,IF(LEFT(C13,3)="LCH",7,IF(C13="BKK02",5,3))))</f>
        <v>7</v>
      </c>
      <c r="Z13" s="63">
        <f>IF(IF(AND(AC13="TML",AB13&gt;0),((T13-W13)+1)-AB13,((T13-W13)+1)-Y13)&gt;0,IF(AND(AC13="TML",AB13&gt;0),((T13-W13)+1)-AB13,((T13-W13)+1)-Y13),0)</f>
        <v>2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250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46321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250</v>
      </c>
      <c r="AJ13" s="188" t="n"/>
      <c r="AK13" s="62" t="str">
        <f>VLOOKUP(D13,'2.Bookinglist'!A:CT,40,FALSE)</f>
        <v>Kim jaewon</v>
      </c>
      <c r="AL13" s="60" t="str">
        <f>VLOOKUP(D13,'2.Bookinglist'!A:CW,101,FALSE)</f>
        <v>2026-10-21</v>
      </c>
      <c r="AM13" s="60" t="str">
        <f>VLOOKUP(D13,'2.Bookinglist'!A:BK,63,FALSE)</f>
        <v>LCHY5</v>
      </c>
      <c r="AN13" s="62" t="str">
        <f>VLOOKUP(D13,'2.Bookinglist'!A:AZ,52,FALSE)</f>
        <v>Pickup : 2026-10-15, Return : 2026-10-16
**CHECK OPENGATE BEFORE RETURN CNTR**
</v>
      </c>
      <c r="AO13" s="62">
        <f>VLOOKUP(D13,'2.Bookinglist'!A:CY,103,FALSE)</f>
        <v>0</v>
      </c>
    </row>
    <row r="14" ht="12.95" customHeight="1">
      <c r="A14" s="96" t="inlineStr">
        <is>
          <t>HALU5646587</t>
        </is>
      </c>
      <c r="B14" s="184" t="str">
        <f>IF(C14=Charge!$M$1,Charge!$J$1,IF(C14=Charge!$M$23,Charge!$J$23,IF(C14=Charge!$M$17,Charge!$J$17,IF(C14=Charge!$N$17,Charge!$J$17,Charge!$J$7))))</f>
        <v>G2</v>
      </c>
      <c r="C14" s="61" t="str">
        <f>VLOOKUP(A14,'1.Loading'!A:R,14,FALSE)</f>
        <v>LCH01</v>
      </c>
      <c r="D14" s="61" t="str">
        <f>VLOOKUP(A14,'1.Loading'!A:R,17,FALSE)</f>
        <v>HASLS22260902742</v>
      </c>
      <c r="E14" s="62" t="str">
        <f>VLOOKUP(D14,'2.Bookinglist'!A:CT,27,FALSE)</f>
        <v>SEA &amp; AERO LOGISTICS CO., LTD.</v>
      </c>
      <c r="F14" s="62" t="str">
        <f>VLOOKUP(D14,'2.Bookinglist'!A:CT,28,FALSE)</f>
        <v>GOTO (THAILAND) CO.,LTD.</v>
      </c>
      <c r="G14" s="60">
        <f>VLOOKUP(D14,'2.Bookinglist'!A:E,5,FALSE)</f>
        <v>0</v>
      </c>
      <c r="H14" s="61" t="str">
        <f>VLOOKUP(D14,'2.Bookinglist'!A:CT,15,FALSE)</f>
        <v>THLCH</v>
      </c>
      <c r="I14" s="61" t="str">
        <f>VLOOKUP(D14,'2.Bookinglist'!A:CT,19,FALSE)</f>
        <v>HKHKG</v>
      </c>
      <c r="J14" s="61">
        <f>VLOOKUP(D14,'2.Bookinglist'!A:CT,26,FALSE)</f>
        <v>0</v>
      </c>
      <c r="K14" s="61" t="str">
        <f>VLOOKUP(A14,'1.Loading'!A:R,5,FALSE)</f>
        <v>45GP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KMGY</v>
      </c>
      <c r="P14" s="61" t="str">
        <f>VLOOKUP(A14,'1.Loading'!A:R,4,FALSE)</f>
        <v>2611N</v>
      </c>
      <c r="Q14" s="61" t="str">
        <f>VLOOKUP(D14,'2.Bookinglist'!A:CT,12,FALSE)</f>
        <v>CHT</v>
      </c>
      <c r="R14" s="60" t="str">
        <f>IF(LEFT(K14,2)="22","20'","40'")</f>
        <v>40'</v>
      </c>
      <c r="S14" s="185" t="n"/>
      <c r="T14" s="61" t="str">
        <f>VLOOKUP(A14,'1.Loading'!A:R,2,FALSE)</f>
        <v>2026-10-25</v>
      </c>
      <c r="U14" s="63">
        <f>T14-S14</f>
        <v>46320</v>
      </c>
      <c r="V14" s="186" t="n"/>
      <c r="W14" s="61" t="str">
        <f>VLOOKUP(A14,'3.GateMove'!A:D,4,FALSE)</f>
        <v>2026-10-19</v>
      </c>
      <c r="X14" s="63">
        <f>((T14-W14)+1)</f>
        <v>7</v>
      </c>
      <c r="Y14" s="64">
        <f>IF(AND(OR(C14="BKK01",C14="BKK04"),L14="CFS/CY"),0,IF(M14="DG",1,IF(LEFT(C14,3)="LCH",7,IF(C14="BKK02",5,3))))</f>
        <v>7</v>
      </c>
      <c r="Z14" s="63">
        <f>IF(IF(AND(AC14="TML",AB14&gt;0),((T14-W14)+1)-AB14,((T14-W14)+1)-Y14)&gt;0,IF(AND(AC14="TML",AB14&gt;0),((T14-W14)+1)-AB14,((T14-W14)+1)-Y14),0)</f>
        <v>0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46321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0</v>
      </c>
      <c r="AJ14" s="188" t="n"/>
      <c r="AK14" s="62" t="str">
        <f>VLOOKUP(D14,'2.Bookinglist'!A:CT,40,FALSE)</f>
        <v>Vilaiporn</v>
      </c>
      <c r="AL14" s="60" t="str">
        <f>VLOOKUP(D14,'2.Bookinglist'!A:CW,101,FALSE)</f>
        <v>2026-10-21</v>
      </c>
      <c r="AM14" s="60" t="str">
        <f>VLOOKUP(D14,'2.Bookinglist'!A:BK,63,FALSE)</f>
        <v>LCHY5</v>
      </c>
      <c r="AN14" s="62" t="str">
        <f>VLOOKUP(D14,'2.Bookinglist'!A:AZ,52,FALSE)</f>
        <v>Pickup : 2026-10-17, Return : 2026-10-18  // ADD COST NEW SEAL = 700 BAHT 
** PLEASE CHECK OPEN GATE BEFORE RETURN CONTAINER ** </v>
      </c>
      <c r="AO14" s="62">
        <f>VLOOKUP(D14,'2.Bookinglist'!A:CY,103,FALSE)</f>
        <v>0</v>
      </c>
    </row>
    <row r="15" ht="12.95" customHeight="1">
      <c r="A15" s="96" t="inlineStr">
        <is>
          <t>HALU5656857</t>
        </is>
      </c>
      <c r="B15" s="184" t="str">
        <f>IF(C15=Charge!$M$1,Charge!$J$1,IF(C15=Charge!$M$23,Charge!$J$23,IF(C15=Charge!$M$17,Charge!$J$17,IF(C15=Charge!$N$17,Charge!$J$17,Charge!$J$7))))</f>
        <v>G2</v>
      </c>
      <c r="C15" s="61" t="str">
        <f>VLOOKUP(A15,'1.Loading'!A:R,14,FALSE)</f>
        <v>LCH01</v>
      </c>
      <c r="D15" s="61" t="str">
        <f>VLOOKUP(A15,'1.Loading'!A:R,17,FALSE)</f>
        <v>HASLS22261000813</v>
      </c>
      <c r="E15" s="62" t="str">
        <f>VLOOKUP(D15,'2.Bookinglist'!A:CT,27,FALSE)</f>
        <v>YUSEN LOGISTICS (THAILAND) CO., LTD.</v>
      </c>
      <c r="F15" s="62" t="str">
        <f>VLOOKUP(D15,'2.Bookinglist'!A:CT,28,FALSE)</f>
        <v>KURARAY CO., LTD.</v>
      </c>
      <c r="G15" s="60">
        <f>VLOOKUP(D15,'2.Bookinglist'!A:E,5,FALSE)</f>
        <v>0</v>
      </c>
      <c r="H15" s="61" t="str">
        <f>VLOOKUP(D15,'2.Bookinglist'!A:CT,15,FALSE)</f>
        <v>THLCH</v>
      </c>
      <c r="I15" s="61" t="str">
        <f>VLOOKUP(D15,'2.Bookinglist'!A:CT,19,FALSE)</f>
        <v>HKHKG</v>
      </c>
      <c r="J15" s="61">
        <f>VLOOKUP(D15,'2.Bookinglist'!A:CT,26,FALSE)</f>
        <v>0</v>
      </c>
      <c r="K15" s="61" t="str">
        <f>VLOOKUP(A15,'1.Loading'!A:R,5,FALSE)</f>
        <v>45GP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KMGY</v>
      </c>
      <c r="P15" s="61" t="str">
        <f>VLOOKUP(A15,'1.Loading'!A:R,4,FALSE)</f>
        <v>2611N</v>
      </c>
      <c r="Q15" s="61" t="str">
        <f>VLOOKUP(D15,'2.Bookinglist'!A:CT,12,FALSE)</f>
        <v>CHT</v>
      </c>
      <c r="R15" s="60" t="str">
        <f>IF(LEFT(K15,2)="22","20'","40'")</f>
        <v>40'</v>
      </c>
      <c r="S15" s="185" t="n"/>
      <c r="T15" s="61" t="str">
        <f>VLOOKUP(A15,'1.Loading'!A:R,2,FALSE)</f>
        <v>2026-10-25</v>
      </c>
      <c r="U15" s="63">
        <f>T15-S15</f>
        <v>46320</v>
      </c>
      <c r="V15" s="186" t="n"/>
      <c r="W15" s="61" t="str">
        <f>VLOOKUP(A15,'3.GateMove'!A:D,4,FALSE)</f>
        <v>2026-10-21</v>
      </c>
      <c r="X15" s="63">
        <f>((T15-W15)+1)</f>
        <v>5</v>
      </c>
      <c r="Y15" s="64">
        <f>IF(AND(OR(C15="BKK01",C15="BKK04"),L15="CFS/CY"),0,IF(M15="DG",1,IF(LEFT(C15,3)="LCH",7,IF(C15="BKK02",5,3))))</f>
        <v>7</v>
      </c>
      <c r="Z15" s="63">
        <f>IF(IF(AND(AC15="TML",AB15&gt;0),((T15-W15)+1)-AB15,((T15-W15)+1)-Y15)&gt;0,IF(AND(AC15="TML",AB15&gt;0),((T15-W15)+1)-AB15,((T15-W15)+1)-Y15),0)</f>
        <v>0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46321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0</v>
      </c>
      <c r="AJ15" s="188" t="n"/>
      <c r="AK15" s="62" t="str">
        <f>VLOOKUP(D15,'2.Bookinglist'!A:CT,40,FALSE)</f>
        <v>Vilaiporn</v>
      </c>
      <c r="AL15" s="60" t="str">
        <f>VLOOKUP(D15,'2.Bookinglist'!A:CW,101,FALSE)</f>
        <v>2026-10-24</v>
      </c>
      <c r="AM15" s="60" t="str">
        <f>VLOOKUP(D15,'2.Bookinglist'!A:BK,63,FALSE)</f>
        <v>LCHY5</v>
      </c>
      <c r="AN15" s="62" t="str">
        <f>VLOOKUP(D15,'2.Bookinglist'!A:AZ,52,FALSE)</f>
        <v>Pickup : 2026-10-17, Return : 2026-10-19 (1ST RTN 20/10 W/O RENT) 
 ** PLEASE CHECK OPEN GATE BEFORE RETURN CNTR **(EXTEND CLOSING DD.22/10/26 @23.59)</v>
      </c>
      <c r="AO15" s="62">
        <f>VLOOKUP(D15,'2.Bookinglist'!A:CY,103,FALSE)</f>
        <v>0</v>
      </c>
    </row>
    <row r="16" ht="12.95" customHeight="1">
      <c r="A16" s="96" t="inlineStr">
        <is>
          <t>HALU5673999</t>
        </is>
      </c>
      <c r="B16" s="184" t="str">
        <f>IF(C16=Charge!$M$1,Charge!$J$1,IF(C16=Charge!$M$23,Charge!$J$23,IF(C16=Charge!$M$17,Charge!$J$17,IF(C16=Charge!$N$17,Charge!$J$17,Charge!$J$7))))</f>
        <v>G2</v>
      </c>
      <c r="C16" s="61" t="str">
        <f>VLOOKUP(A16,'1.Loading'!A:R,14,FALSE)</f>
        <v>LCH01</v>
      </c>
      <c r="D16" s="61" t="str">
        <f>VLOOKUP(A16,'1.Loading'!A:R,17,FALSE)</f>
        <v>HASLS22261001156</v>
      </c>
      <c r="E16" s="62" t="str">
        <f>VLOOKUP(D16,'2.Bookinglist'!A:CT,27,FALSE)</f>
        <v>YUSEN LOGISTICS (THAILAND) CO., LTD.</v>
      </c>
      <c r="F16" s="62" t="str">
        <f>VLOOKUP(D16,'2.Bookinglist'!A:CT,28,FALSE)</f>
        <v>KURARAY GC ADVANCED MATERIALS CO.,LTD</v>
      </c>
      <c r="G16" s="60">
        <f>VLOOKUP(D16,'2.Bookinglist'!A:E,5,FALSE)</f>
        <v>0</v>
      </c>
      <c r="H16" s="61" t="str">
        <f>VLOOKUP(D16,'2.Bookinglist'!A:CT,15,FALSE)</f>
        <v>THLCH</v>
      </c>
      <c r="I16" s="61" t="str">
        <f>VLOOKUP(D16,'2.Bookinglist'!A:CT,19,FALSE)</f>
        <v>HKHKG</v>
      </c>
      <c r="J16" s="61">
        <f>VLOOKUP(D16,'2.Bookinglist'!A:CT,26,FALSE)</f>
        <v>0</v>
      </c>
      <c r="K16" s="61" t="str">
        <f>VLOOKUP(A16,'1.Loading'!A:R,5,FALSE)</f>
        <v>45GP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KMGY</v>
      </c>
      <c r="P16" s="61" t="str">
        <f>VLOOKUP(A16,'1.Loading'!A:R,4,FALSE)</f>
        <v>2611N</v>
      </c>
      <c r="Q16" s="61" t="str">
        <f>VLOOKUP(D16,'2.Bookinglist'!A:CT,12,FALSE)</f>
        <v>CHT</v>
      </c>
      <c r="R16" s="60" t="str">
        <f>IF(LEFT(K16,2)="22","20'","40'")</f>
        <v>40'</v>
      </c>
      <c r="S16" s="185" t="n"/>
      <c r="T16" s="61" t="str">
        <f>VLOOKUP(A16,'1.Loading'!A:R,2,FALSE)</f>
        <v>2026-10-25</v>
      </c>
      <c r="U16" s="63">
        <f>T16-S16</f>
        <v>46320</v>
      </c>
      <c r="V16" s="186" t="n"/>
      <c r="W16" s="61" t="str">
        <f>VLOOKUP(A16,'3.GateMove'!A:D,4,FALSE)</f>
        <v>2026-10-22</v>
      </c>
      <c r="X16" s="63">
        <f>((T16-W16)+1)</f>
        <v>4</v>
      </c>
      <c r="Y16" s="64">
        <f>IF(AND(OR(C16="BKK01",C16="BKK04"),L16="CFS/CY"),0,IF(M16="DG",1,IF(LEFT(C16,3)="LCH",7,IF(C16="BKK02",5,3))))</f>
        <v>7</v>
      </c>
      <c r="Z16" s="63">
        <f>IF(IF(AND(AC16="TML",AB16&gt;0),((T16-W16)+1)-AB16,((T16-W16)+1)-Y16)&gt;0,IF(AND(AC16="TML",AB16&gt;0),((T16-W16)+1)-AB16,((T16-W16)+1)-Y16),0)</f>
        <v>0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46321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0</v>
      </c>
      <c r="AJ16" s="188" t="n"/>
      <c r="AK16" s="62" t="str">
        <f>VLOOKUP(D16,'2.Bookinglist'!A:CT,40,FALSE)</f>
        <v>Vilaiporn</v>
      </c>
      <c r="AL16" s="60" t="str">
        <f>VLOOKUP(D16,'2.Bookinglist'!A:CW,101,FALSE)</f>
        <v>2026-10-24</v>
      </c>
      <c r="AM16" s="60" t="str">
        <f>VLOOKUP(D16,'2.Bookinglist'!A:BK,63,FALSE)</f>
        <v>LCH27</v>
      </c>
      <c r="AN16" s="62" t="str">
        <f>VLOOKUP(D16,'2.Bookinglist'!A:AZ,52,FALSE)</f>
        <v>Pickup : 2026-10-19, Return : 2026-10-20 (EXTEND CLOSING 22/10/26 @23.59)
 ** PLEASE CHECK OPEN GATE BEFORE RETURN C NTR ** </v>
      </c>
      <c r="AO16" s="62">
        <f>VLOOKUP(D16,'2.Bookinglist'!A:CY,103,FALSE)</f>
        <v>0</v>
      </c>
    </row>
    <row r="17" ht="12.95" customHeight="1">
      <c r="A17" s="96" t="inlineStr">
        <is>
          <t>HALU5681510</t>
        </is>
      </c>
      <c r="B17" s="184" t="str">
        <f>IF(C17=Charge!$M$1,Charge!$J$1,IF(C17=Charge!$M$23,Charge!$J$23,IF(C17=Charge!$M$17,Charge!$J$17,IF(C17=Charge!$N$17,Charge!$J$17,Charge!$J$7))))</f>
        <v>G2</v>
      </c>
      <c r="C17" s="61" t="str">
        <f>VLOOKUP(A17,'1.Loading'!A:R,14,FALSE)</f>
        <v>LCH01</v>
      </c>
      <c r="D17" s="61" t="str">
        <f>VLOOKUP(A17,'1.Loading'!A:R,17,FALSE)</f>
        <v>HASLS22261000813</v>
      </c>
      <c r="E17" s="62" t="str">
        <f>VLOOKUP(D17,'2.Bookinglist'!A:CT,27,FALSE)</f>
        <v>YUSEN LOGISTICS (THAILAND) CO., LTD.</v>
      </c>
      <c r="F17" s="62" t="str">
        <f>VLOOKUP(D17,'2.Bookinglist'!A:CT,28,FALSE)</f>
        <v>KURARAY CO., LTD.</v>
      </c>
      <c r="G17" s="60">
        <f>VLOOKUP(D17,'2.Bookinglist'!A:E,5,FALSE)</f>
        <v>0</v>
      </c>
      <c r="H17" s="61" t="str">
        <f>VLOOKUP(D17,'2.Bookinglist'!A:CT,15,FALSE)</f>
        <v>THLCH</v>
      </c>
      <c r="I17" s="61" t="str">
        <f>VLOOKUP(D17,'2.Bookinglist'!A:CT,19,FALSE)</f>
        <v>HKHKG</v>
      </c>
      <c r="J17" s="61">
        <f>VLOOKUP(D17,'2.Bookinglist'!A:CT,26,FALSE)</f>
        <v>0</v>
      </c>
      <c r="K17" s="61" t="str">
        <f>VLOOKUP(A17,'1.Loading'!A:R,5,FALSE)</f>
        <v>45GP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KMGY</v>
      </c>
      <c r="P17" s="61" t="str">
        <f>VLOOKUP(A17,'1.Loading'!A:R,4,FALSE)</f>
        <v>2611N</v>
      </c>
      <c r="Q17" s="61" t="str">
        <f>VLOOKUP(D17,'2.Bookinglist'!A:CT,12,FALSE)</f>
        <v>CHT</v>
      </c>
      <c r="R17" s="60" t="str">
        <f>IF(LEFT(K17,2)="22","20'","40'")</f>
        <v>40'</v>
      </c>
      <c r="S17" s="185" t="n"/>
      <c r="T17" s="61" t="str">
        <f>VLOOKUP(A17,'1.Loading'!A:R,2,FALSE)</f>
        <v>2026-10-25</v>
      </c>
      <c r="U17" s="63">
        <f>T17-S17</f>
        <v>46320</v>
      </c>
      <c r="V17" s="186" t="n"/>
      <c r="W17" s="61" t="str">
        <f>VLOOKUP(A17,'3.GateMove'!A:D,4,FALSE)</f>
        <v>2026-10-22</v>
      </c>
      <c r="X17" s="63">
        <f>((T17-W17)+1)</f>
        <v>4</v>
      </c>
      <c r="Y17" s="64">
        <f>IF(AND(OR(C17="BKK01",C17="BKK04"),L17="CFS/CY"),0,IF(M17="DG",1,IF(LEFT(C17,3)="LCH",7,IF(C17="BKK02",5,3))))</f>
        <v>7</v>
      </c>
      <c r="Z17" s="63">
        <f>IF(IF(AND(AC17="TML",AB17&gt;0),((T17-W17)+1)-AB17,((T17-W17)+1)-Y17)&gt;0,IF(AND(AC17="TML",AB17&gt;0),((T17-W17)+1)-AB17,((T17-W17)+1)-Y17),0)</f>
        <v>0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46321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0</v>
      </c>
      <c r="AJ17" s="188" t="n"/>
      <c r="AK17" s="62" t="str">
        <f>VLOOKUP(D17,'2.Bookinglist'!A:CT,40,FALSE)</f>
        <v>Vilaiporn</v>
      </c>
      <c r="AL17" s="60" t="str">
        <f>VLOOKUP(D17,'2.Bookinglist'!A:CW,101,FALSE)</f>
        <v>2026-10-24</v>
      </c>
      <c r="AM17" s="60" t="str">
        <f>VLOOKUP(D17,'2.Bookinglist'!A:BK,63,FALSE)</f>
        <v>LCHY5</v>
      </c>
      <c r="AN17" s="62" t="str">
        <f>VLOOKUP(D17,'2.Bookinglist'!A:AZ,52,FALSE)</f>
        <v>Pickup : 2026-10-17, Return : 2026-10-19 (1ST RTN 20/10 W/O RENT) 
 ** PLEASE CHECK OPEN GATE BEFORE RETURN CNTR **(EXTEND CLOSING DD.22/10/26 @23.59)</v>
      </c>
      <c r="AO17" s="62">
        <f>VLOOKUP(D17,'2.Bookinglist'!A:CY,103,FALSE)</f>
        <v>0</v>
      </c>
    </row>
    <row r="18" ht="12.95" customHeight="1">
      <c r="A18" s="96" t="inlineStr">
        <is>
          <t>HALU5686996</t>
        </is>
      </c>
      <c r="B18" s="184" t="str">
        <f>IF(C18=Charge!$M$1,Charge!$J$1,IF(C18=Charge!$M$23,Charge!$J$23,IF(C18=Charge!$M$17,Charge!$J$17,IF(C18=Charge!$N$17,Charge!$J$17,Charge!$J$7))))</f>
        <v>G2</v>
      </c>
      <c r="C18" s="61" t="str">
        <f>VLOOKUP(A18,'1.Loading'!A:R,14,FALSE)</f>
        <v>LCH01</v>
      </c>
      <c r="D18" s="61" t="str">
        <f>VLOOKUP(A18,'1.Loading'!A:R,17,FALSE)</f>
        <v>HASLS22261001156</v>
      </c>
      <c r="E18" s="62" t="str">
        <f>VLOOKUP(D18,'2.Bookinglist'!A:CT,27,FALSE)</f>
        <v>YUSEN LOGISTICS (THAILAND) CO., LTD.</v>
      </c>
      <c r="F18" s="62" t="str">
        <f>VLOOKUP(D18,'2.Bookinglist'!A:CT,28,FALSE)</f>
        <v>KURARAY GC ADVANCED MATERIALS CO.,LTD</v>
      </c>
      <c r="G18" s="60">
        <f>VLOOKUP(D18,'2.Bookinglist'!A:E,5,FALSE)</f>
        <v>0</v>
      </c>
      <c r="H18" s="61" t="str">
        <f>VLOOKUP(D18,'2.Bookinglist'!A:CT,15,FALSE)</f>
        <v>THLCH</v>
      </c>
      <c r="I18" s="61" t="str">
        <f>VLOOKUP(D18,'2.Bookinglist'!A:CT,19,FALSE)</f>
        <v>HKHKG</v>
      </c>
      <c r="J18" s="61">
        <f>VLOOKUP(D18,'2.Bookinglist'!A:CT,26,FALSE)</f>
        <v>0</v>
      </c>
      <c r="K18" s="61" t="str">
        <f>VLOOKUP(A18,'1.Loading'!A:R,5,FALSE)</f>
        <v>45GP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KMGY</v>
      </c>
      <c r="P18" s="61" t="str">
        <f>VLOOKUP(A18,'1.Loading'!A:R,4,FALSE)</f>
        <v>2611N</v>
      </c>
      <c r="Q18" s="61" t="str">
        <f>VLOOKUP(D18,'2.Bookinglist'!A:CT,12,FALSE)</f>
        <v>CHT</v>
      </c>
      <c r="R18" s="60" t="str">
        <f>IF(LEFT(K18,2)="22","20'","40'")</f>
        <v>40'</v>
      </c>
      <c r="S18" s="185" t="n"/>
      <c r="T18" s="61" t="str">
        <f>VLOOKUP(A18,'1.Loading'!A:R,2,FALSE)</f>
        <v>2026-10-25</v>
      </c>
      <c r="U18" s="63">
        <f>T18-S18</f>
        <v>46320</v>
      </c>
      <c r="V18" s="186" t="n"/>
      <c r="W18" s="61" t="str">
        <f>VLOOKUP(A18,'3.GateMove'!A:D,4,FALSE)</f>
        <v>2026-10-20</v>
      </c>
      <c r="X18" s="63">
        <f>((T18-W18)+1)</f>
        <v>6</v>
      </c>
      <c r="Y18" s="64">
        <f>IF(AND(OR(C18="BKK01",C18="BKK04"),L18="CFS/CY"),0,IF(M18="DG",1,IF(LEFT(C18,3)="LCH",7,IF(C18="BKK02",5,3))))</f>
        <v>7</v>
      </c>
      <c r="Z18" s="63">
        <f>IF(IF(AND(AC18="TML",AB18&gt;0),((T18-W18)+1)-AB18,((T18-W18)+1)-Y18)&gt;0,IF(AND(AC18="TML",AB18&gt;0),((T18-W18)+1)-AB18,((T18-W18)+1)-Y18),0)</f>
        <v>0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46321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0</v>
      </c>
      <c r="AJ18" s="188" t="n"/>
      <c r="AK18" s="62" t="str">
        <f>VLOOKUP(D18,'2.Bookinglist'!A:CT,40,FALSE)</f>
        <v>Vilaiporn</v>
      </c>
      <c r="AL18" s="60" t="str">
        <f>VLOOKUP(D18,'2.Bookinglist'!A:CW,101,FALSE)</f>
        <v>2026-10-24</v>
      </c>
      <c r="AM18" s="60" t="str">
        <f>VLOOKUP(D18,'2.Bookinglist'!A:BK,63,FALSE)</f>
        <v>LCH27</v>
      </c>
      <c r="AN18" s="62" t="str">
        <f>VLOOKUP(D18,'2.Bookinglist'!A:AZ,52,FALSE)</f>
        <v>Pickup : 2026-10-19, Return : 2026-10-20 (EXTEND CLOSING 22/10/26 @23.59)
 ** PLEASE CHECK OPEN GATE BEFORE RETURN C NTR ** </v>
      </c>
      <c r="AO18" s="62">
        <f>VLOOKUP(D18,'2.Bookinglist'!A:CY,103,FALSE)</f>
        <v>0</v>
      </c>
    </row>
    <row r="19" ht="12.95" customHeight="1">
      <c r="A19" s="96" t="inlineStr">
        <is>
          <t>HLHU8206062</t>
        </is>
      </c>
      <c r="B19" s="184" t="str">
        <f>IF(C19=Charge!$M$1,Charge!$J$1,IF(C19=Charge!$M$23,Charge!$J$23,IF(C19=Charge!$M$17,Charge!$J$17,IF(C19=Charge!$N$17,Charge!$J$17,Charge!$J$7))))</f>
        <v>G2</v>
      </c>
      <c r="C19" s="61" t="str">
        <f>VLOOKUP(A19,'1.Loading'!A:R,14,FALSE)</f>
        <v>LCH01</v>
      </c>
      <c r="D19" s="61" t="str">
        <f>VLOOKUP(A19,'1.Loading'!A:R,17,FALSE)</f>
        <v>HASLS22260902742</v>
      </c>
      <c r="E19" s="62" t="str">
        <f>VLOOKUP(D19,'2.Bookinglist'!A:CT,27,FALSE)</f>
        <v>SEA &amp; AERO LOGISTICS CO., LTD.</v>
      </c>
      <c r="F19" s="62" t="str">
        <f>VLOOKUP(D19,'2.Bookinglist'!A:CT,28,FALSE)</f>
        <v>GOTO (THAILAND) CO.,LTD.</v>
      </c>
      <c r="G19" s="60">
        <f>VLOOKUP(D19,'2.Bookinglist'!A:E,5,FALSE)</f>
        <v>0</v>
      </c>
      <c r="H19" s="61" t="str">
        <f>VLOOKUP(D19,'2.Bookinglist'!A:CT,15,FALSE)</f>
        <v>THLCH</v>
      </c>
      <c r="I19" s="61" t="str">
        <f>VLOOKUP(D19,'2.Bookinglist'!A:CT,19,FALSE)</f>
        <v>HKHKG</v>
      </c>
      <c r="J19" s="61">
        <f>VLOOKUP(D19,'2.Bookinglist'!A:CT,26,FALSE)</f>
        <v>0</v>
      </c>
      <c r="K19" s="61" t="str">
        <f>VLOOKUP(A19,'1.Loading'!A:R,5,FALSE)</f>
        <v>45GP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KMGY</v>
      </c>
      <c r="P19" s="61" t="str">
        <f>VLOOKUP(A19,'1.Loading'!A:R,4,FALSE)</f>
        <v>2611N</v>
      </c>
      <c r="Q19" s="61" t="str">
        <f>VLOOKUP(D19,'2.Bookinglist'!A:CT,12,FALSE)</f>
        <v>CHT</v>
      </c>
      <c r="R19" s="60" t="str">
        <f>IF(LEFT(K19,2)="22","20'","40'")</f>
        <v>40'</v>
      </c>
      <c r="S19" s="185" t="n"/>
      <c r="T19" s="61" t="str">
        <f>VLOOKUP(A19,'1.Loading'!A:R,2,FALSE)</f>
        <v>2026-10-25</v>
      </c>
      <c r="U19" s="63">
        <f>T19-S19</f>
        <v>46320</v>
      </c>
      <c r="V19" s="186" t="n"/>
      <c r="W19" s="61" t="str">
        <f>VLOOKUP(A19,'3.GateMove'!A:D,4,FALSE)</f>
        <v>2026-10-23</v>
      </c>
      <c r="X19" s="63">
        <f>((T19-W19)+1)</f>
        <v>3</v>
      </c>
      <c r="Y19" s="64">
        <f>IF(AND(OR(C19="BKK01",C19="BKK04"),L19="CFS/CY"),0,IF(M19="DG",1,IF(LEFT(C19,3)="LCH",7,IF(C19="BKK02",5,3))))</f>
        <v>7</v>
      </c>
      <c r="Z19" s="63">
        <f>IF(IF(AND(AC19="TML",AB19&gt;0),((T19-W19)+1)-AB19,((T19-W19)+1)-Y19)&gt;0,IF(AND(AC19="TML",AB19&gt;0),((T19-W19)+1)-AB19,((T19-W19)+1)-Y19),0)</f>
        <v>0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46321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0</v>
      </c>
      <c r="AJ19" s="188" t="n"/>
      <c r="AK19" s="62" t="str">
        <f>VLOOKUP(D19,'2.Bookinglist'!A:CT,40,FALSE)</f>
        <v>Vilaiporn</v>
      </c>
      <c r="AL19" s="60" t="str">
        <f>VLOOKUP(D19,'2.Bookinglist'!A:CW,101,FALSE)</f>
        <v>2026-10-21</v>
      </c>
      <c r="AM19" s="60" t="str">
        <f>VLOOKUP(D19,'2.Bookinglist'!A:BK,63,FALSE)</f>
        <v>LCHY5</v>
      </c>
      <c r="AN19" s="62" t="str">
        <f>VLOOKUP(D19,'2.Bookinglist'!A:AZ,52,FALSE)</f>
        <v>Pickup : 2026-10-17, Return : 2026-10-18  // ADD COST NEW SEAL = 700 BAHT 
** PLEASE CHECK OPEN GATE BEFORE RETURN CONTAINER ** </v>
      </c>
      <c r="AO19" s="62">
        <f>VLOOKUP(D19,'2.Bookinglist'!A:CY,103,FALSE)</f>
        <v>0</v>
      </c>
    </row>
    <row r="20" ht="12.95" customHeight="1">
      <c r="A20" s="96" t="inlineStr">
        <is>
          <t>HLHU8335542</t>
        </is>
      </c>
      <c r="B20" s="184" t="str">
        <f>IF(C20=Charge!$M$1,Charge!$J$1,IF(C20=Charge!$M$23,Charge!$J$23,IF(C20=Charge!$M$17,Charge!$J$17,IF(C20=Charge!$N$17,Charge!$J$17,Charge!$J$7))))</f>
        <v>G2</v>
      </c>
      <c r="C20" s="61" t="str">
        <f>VLOOKUP(A20,'1.Loading'!A:R,14,FALSE)</f>
        <v>LCH01</v>
      </c>
      <c r="D20" s="61" t="str">
        <f>VLOOKUP(A20,'1.Loading'!A:R,17,FALSE)</f>
        <v>HASLS22260902742</v>
      </c>
      <c r="E20" s="62" t="str">
        <f>VLOOKUP(D20,'2.Bookinglist'!A:CT,27,FALSE)</f>
        <v>SEA &amp; AERO LOGISTICS CO., LTD.</v>
      </c>
      <c r="F20" s="62" t="str">
        <f>VLOOKUP(D20,'2.Bookinglist'!A:CT,28,FALSE)</f>
        <v>GOTO (THAILAND) CO.,LTD.</v>
      </c>
      <c r="G20" s="60">
        <f>VLOOKUP(D20,'2.Bookinglist'!A:E,5,FALSE)</f>
        <v>0</v>
      </c>
      <c r="H20" s="61" t="str">
        <f>VLOOKUP(D20,'2.Bookinglist'!A:CT,15,FALSE)</f>
        <v>THLCH</v>
      </c>
      <c r="I20" s="61" t="str">
        <f>VLOOKUP(D20,'2.Bookinglist'!A:CT,19,FALSE)</f>
        <v>HKHKG</v>
      </c>
      <c r="J20" s="61">
        <f>VLOOKUP(D20,'2.Bookinglist'!A:CT,26,FALSE)</f>
        <v>0</v>
      </c>
      <c r="K20" s="61" t="str">
        <f>VLOOKUP(A20,'1.Loading'!A:R,5,FALSE)</f>
        <v>45GP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KMGY</v>
      </c>
      <c r="P20" s="61" t="str">
        <f>VLOOKUP(A20,'1.Loading'!A:R,4,FALSE)</f>
        <v>2611N</v>
      </c>
      <c r="Q20" s="61" t="str">
        <f>VLOOKUP(D20,'2.Bookinglist'!A:CT,12,FALSE)</f>
        <v>CHT</v>
      </c>
      <c r="R20" s="60" t="str">
        <f>IF(LEFT(K20,2)="22","20'","40'")</f>
        <v>40'</v>
      </c>
      <c r="S20" s="185" t="n"/>
      <c r="T20" s="61" t="str">
        <f>VLOOKUP(A20,'1.Loading'!A:R,2,FALSE)</f>
        <v>2026-10-25</v>
      </c>
      <c r="U20" s="63">
        <f>T20-S20</f>
        <v>46320</v>
      </c>
      <c r="V20" s="186" t="n"/>
      <c r="W20" s="61" t="str">
        <f>VLOOKUP(A20,'3.GateMove'!A:D,4,FALSE)</f>
        <v>2026-10-18</v>
      </c>
      <c r="X20" s="63">
        <f>((T20-W20)+1)</f>
        <v>8</v>
      </c>
      <c r="Y20" s="64">
        <f>IF(AND(OR(C20="BKK01",C20="BKK04"),L20="CFS/CY"),0,IF(M20="DG",1,IF(LEFT(C20,3)="LCH",7,IF(C20="BKK02",5,3))))</f>
        <v>7</v>
      </c>
      <c r="Z20" s="63">
        <f>IF(IF(AND(AC20="TML",AB20&gt;0),((T20-W20)+1)-AB20,((T20-W20)+1)-Y20)&gt;0,IF(AND(AC20="TML",AB20&gt;0),((T20-W20)+1)-AB20,((T20-W20)+1)-Y20),0)</f>
        <v>1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250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46321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250</v>
      </c>
      <c r="AJ20" s="188" t="n"/>
      <c r="AK20" s="62" t="str">
        <f>VLOOKUP(D20,'2.Bookinglist'!A:CT,40,FALSE)</f>
        <v>Vilaiporn</v>
      </c>
      <c r="AL20" s="60" t="str">
        <f>VLOOKUP(D20,'2.Bookinglist'!A:CW,101,FALSE)</f>
        <v>2026-10-21</v>
      </c>
      <c r="AM20" s="60" t="str">
        <f>VLOOKUP(D20,'2.Bookinglist'!A:BK,63,FALSE)</f>
        <v>LCHY5</v>
      </c>
      <c r="AN20" s="62" t="str">
        <f>VLOOKUP(D20,'2.Bookinglist'!A:AZ,52,FALSE)</f>
        <v>Pickup : 2026-10-17, Return : 2026-10-18  // ADD COST NEW SEAL = 700 BAHT 
** PLEASE CHECK OPEN GATE BEFORE RETURN CONTAINER ** </v>
      </c>
      <c r="AO20" s="62">
        <f>VLOOKUP(D20,'2.Bookinglist'!A:CY,103,FALSE)</f>
        <v>0</v>
      </c>
    </row>
    <row r="21" ht="12.95" customHeight="1">
      <c r="A21" s="96" t="inlineStr">
        <is>
          <t>HLHU8359462</t>
        </is>
      </c>
      <c r="B21" s="184" t="str">
        <f>IF(C21=Charge!$M$1,Charge!$J$1,IF(C21=Charge!$M$23,Charge!$J$23,IF(C21=Charge!$M$17,Charge!$J$17,IF(C21=Charge!$N$17,Charge!$J$17,Charge!$J$7))))</f>
        <v>G2</v>
      </c>
      <c r="C21" s="61" t="str">
        <f>VLOOKUP(A21,'1.Loading'!A:R,14,FALSE)</f>
        <v>LCH01</v>
      </c>
      <c r="D21" s="61" t="str">
        <f>VLOOKUP(A21,'1.Loading'!A:R,17,FALSE)</f>
        <v>HASLS22261000813</v>
      </c>
      <c r="E21" s="62" t="str">
        <f>VLOOKUP(D21,'2.Bookinglist'!A:CT,27,FALSE)</f>
        <v>YUSEN LOGISTICS (THAILAND) CO., LTD.</v>
      </c>
      <c r="F21" s="62" t="str">
        <f>VLOOKUP(D21,'2.Bookinglist'!A:CT,28,FALSE)</f>
        <v>KURARAY CO., LTD.</v>
      </c>
      <c r="G21" s="60">
        <f>VLOOKUP(D21,'2.Bookinglist'!A:E,5,FALSE)</f>
        <v>0</v>
      </c>
      <c r="H21" s="61" t="str">
        <f>VLOOKUP(D21,'2.Bookinglist'!A:CT,15,FALSE)</f>
        <v>THLCH</v>
      </c>
      <c r="I21" s="61" t="str">
        <f>VLOOKUP(D21,'2.Bookinglist'!A:CT,19,FALSE)</f>
        <v>HKHKG</v>
      </c>
      <c r="J21" s="61">
        <f>VLOOKUP(D21,'2.Bookinglist'!A:CT,26,FALSE)</f>
        <v>0</v>
      </c>
      <c r="K21" s="61" t="str">
        <f>VLOOKUP(A21,'1.Loading'!A:R,5,FALSE)</f>
        <v>45GP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KMGY</v>
      </c>
      <c r="P21" s="61" t="str">
        <f>VLOOKUP(A21,'1.Loading'!A:R,4,FALSE)</f>
        <v>2611N</v>
      </c>
      <c r="Q21" s="61" t="str">
        <f>VLOOKUP(D21,'2.Bookinglist'!A:CT,12,FALSE)</f>
        <v>CHT</v>
      </c>
      <c r="R21" s="60" t="str">
        <f>IF(LEFT(K21,2)="22","20'","40'")</f>
        <v>40'</v>
      </c>
      <c r="S21" s="185" t="n"/>
      <c r="T21" s="61" t="str">
        <f>VLOOKUP(A21,'1.Loading'!A:R,2,FALSE)</f>
        <v>2026-10-25</v>
      </c>
      <c r="U21" s="63">
        <f>T21-S21</f>
        <v>46320</v>
      </c>
      <c r="V21" s="186" t="n"/>
      <c r="W21" s="61" t="str">
        <f>VLOOKUP(A21,'3.GateMove'!A:D,4,FALSE)</f>
        <v>2026-10-21</v>
      </c>
      <c r="X21" s="63">
        <f>((T21-W21)+1)</f>
        <v>5</v>
      </c>
      <c r="Y21" s="64">
        <f>IF(AND(OR(C21="BKK01",C21="BKK04"),L21="CFS/CY"),0,IF(M21="DG",1,IF(LEFT(C21,3)="LCH",7,IF(C21="BKK02",5,3))))</f>
        <v>7</v>
      </c>
      <c r="Z21" s="63">
        <f>IF(IF(AND(AC21="TML",AB21&gt;0),((T21-W21)+1)-AB21,((T21-W21)+1)-Y21)&gt;0,IF(AND(AC21="TML",AB21&gt;0),((T21-W21)+1)-AB21,((T21-W21)+1)-Y21),0)</f>
        <v>0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46321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0</v>
      </c>
      <c r="AJ21" s="188" t="n"/>
      <c r="AK21" s="62" t="str">
        <f>VLOOKUP(D21,'2.Bookinglist'!A:CT,40,FALSE)</f>
        <v>Vilaiporn</v>
      </c>
      <c r="AL21" s="60" t="str">
        <f>VLOOKUP(D21,'2.Bookinglist'!A:CW,101,FALSE)</f>
        <v>2026-10-24</v>
      </c>
      <c r="AM21" s="60" t="str">
        <f>VLOOKUP(D21,'2.Bookinglist'!A:BK,63,FALSE)</f>
        <v>LCHY5</v>
      </c>
      <c r="AN21" s="62" t="str">
        <f>VLOOKUP(D21,'2.Bookinglist'!A:AZ,52,FALSE)</f>
        <v>Pickup : 2026-10-17, Return : 2026-10-19 (1ST RTN 20/10 W/O RENT) 
 ** PLEASE CHECK OPEN GATE BEFORE RETURN CNTR **(EXTEND CLOSING DD.22/10/26 @23.59)</v>
      </c>
      <c r="AO21" s="62">
        <f>VLOOKUP(D21,'2.Bookinglist'!A:CY,103,FALSE)</f>
        <v>0</v>
      </c>
    </row>
    <row r="22" ht="12.95" customHeight="1">
      <c r="A22" s="96" t="inlineStr">
        <is>
          <t>HLHU8455445</t>
        </is>
      </c>
      <c r="B22" s="184" t="str">
        <f>IF(C22=Charge!$M$1,Charge!$J$1,IF(C22=Charge!$M$23,Charge!$J$23,IF(C22=Charge!$M$17,Charge!$J$17,IF(C22=Charge!$N$17,Charge!$J$17,Charge!$J$7))))</f>
        <v>G2</v>
      </c>
      <c r="C22" s="61" t="str">
        <f>VLOOKUP(A22,'1.Loading'!A:R,14,FALSE)</f>
        <v>LCH01</v>
      </c>
      <c r="D22" s="61" t="str">
        <f>VLOOKUP(A22,'1.Loading'!A:R,17,FALSE)</f>
        <v>HASLS22261001094</v>
      </c>
      <c r="E22" s="62" t="str">
        <f>VLOOKUP(D22,'2.Bookinglist'!A:CT,27,FALSE)</f>
        <v>THAI POLYCARBONATE CO., LTD.</v>
      </c>
      <c r="F22" s="62" t="str">
        <f>VLOOKUP(D22,'2.Bookinglist'!A:CT,28,FALSE)</f>
        <v>THAI POLYCARBONATE CO., LTD.</v>
      </c>
      <c r="G22" s="60">
        <f>VLOOKUP(D22,'2.Bookinglist'!A:E,5,FALSE)</f>
        <v>0</v>
      </c>
      <c r="H22" s="61" t="str">
        <f>VLOOKUP(D22,'2.Bookinglist'!A:CT,15,FALSE)</f>
        <v>THLCH</v>
      </c>
      <c r="I22" s="61" t="str">
        <f>VLOOKUP(D22,'2.Bookinglist'!A:CT,19,FALSE)</f>
        <v>CNXMN</v>
      </c>
      <c r="J22" s="61">
        <f>VLOOKUP(D22,'2.Bookinglist'!A:CT,26,FALSE)</f>
        <v>0</v>
      </c>
      <c r="K22" s="61" t="str">
        <f>VLOOKUP(A22,'1.Loading'!A:R,5,FALSE)</f>
        <v>45GP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KMGY</v>
      </c>
      <c r="P22" s="61" t="str">
        <f>VLOOKUP(A22,'1.Loading'!A:R,4,FALSE)</f>
        <v>2611N</v>
      </c>
      <c r="Q22" s="61" t="str">
        <f>VLOOKUP(D22,'2.Bookinglist'!A:CT,12,FALSE)</f>
        <v>CHT</v>
      </c>
      <c r="R22" s="60" t="str">
        <f>IF(LEFT(K22,2)="22","20'","40'")</f>
        <v>40'</v>
      </c>
      <c r="S22" s="185" t="n"/>
      <c r="T22" s="61" t="str">
        <f>VLOOKUP(A22,'1.Loading'!A:R,2,FALSE)</f>
        <v>2026-10-25</v>
      </c>
      <c r="U22" s="63">
        <f>T22-S22</f>
        <v>46320</v>
      </c>
      <c r="V22" s="186" t="n"/>
      <c r="W22" s="61" t="str">
        <f>VLOOKUP(A22,'3.GateMove'!A:D,4,FALSE)</f>
        <v>2026-10-22</v>
      </c>
      <c r="X22" s="63">
        <f>((T22-W22)+1)</f>
        <v>4</v>
      </c>
      <c r="Y22" s="64">
        <f>IF(AND(OR(C22="BKK01",C22="BKK04"),L22="CFS/CY"),0,IF(M22="DG",1,IF(LEFT(C22,3)="LCH",7,IF(C22="BKK02",5,3))))</f>
        <v>7</v>
      </c>
      <c r="Z22" s="63">
        <f>IF(IF(AND(AC22="TML",AB22&gt;0),((T22-W22)+1)-AB22,((T22-W22)+1)-Y22)&gt;0,IF(AND(AC22="TML",AB22&gt;0),((T22-W22)+1)-AB22,((T22-W22)+1)-Y22),0)</f>
        <v>0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46321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0</v>
      </c>
      <c r="AJ22" s="188" t="n"/>
      <c r="AK22" s="62" t="str">
        <f>VLOOKUP(D22,'2.Bookinglist'!A:CT,40,FALSE)</f>
        <v>Vilaiporn</v>
      </c>
      <c r="AL22" s="60" t="str">
        <f>VLOOKUP(D22,'2.Bookinglist'!A:CW,101,FALSE)</f>
        <v>2026-10-24</v>
      </c>
      <c r="AM22" s="60" t="str">
        <f>VLOOKUP(D22,'2.Bookinglist'!A:BK,63,FALSE)</f>
        <v>LCHY5</v>
      </c>
      <c r="AN22" s="62" t="str">
        <f>VLOOKUP(D22,'2.Bookinglist'!A:AZ,52,FALSE)</f>
        <v>Pickup : 2026-10-19, Return : 2026-10-21 
 ** PLEASE CHECK OPEN GATE BEFORE RETURN CNTR **
</v>
      </c>
      <c r="AO22" s="62">
        <f>VLOOKUP(D22,'2.Bookinglist'!A:CY,103,FALSE)</f>
        <v>0</v>
      </c>
    </row>
    <row r="23" ht="12.95" customHeight="1">
      <c r="A23" s="96" t="inlineStr">
        <is>
          <t>KMLU2203916</t>
        </is>
      </c>
      <c r="B23" s="184" t="str">
        <f>IF(C23=Charge!$M$1,Charge!$J$1,IF(C23=Charge!$M$23,Charge!$J$23,IF(C23=Charge!$M$17,Charge!$J$17,IF(C23=Charge!$N$17,Charge!$J$17,Charge!$J$7))))</f>
        <v>G2</v>
      </c>
      <c r="C23" s="61" t="str">
        <f>VLOOKUP(A23,'1.Loading'!A:R,14,FALSE)</f>
        <v>LCH01</v>
      </c>
      <c r="D23" s="61" t="str">
        <f>VLOOKUP(A23,'1.Loading'!A:R,17,FALSE)</f>
        <v>HASLS22261000794</v>
      </c>
      <c r="E23" s="62" t="str">
        <f>VLOOKUP(D23,'2.Bookinglist'!A:CT,27,FALSE)</f>
        <v>IRPC PUBLIC COMPANY LIMITED</v>
      </c>
      <c r="F23" s="62" t="str">
        <f>VLOOKUP(D23,'2.Bookinglist'!A:CT,28,FALSE)</f>
        <v>IRPC PUBLIC COMPANY LIMITED</v>
      </c>
      <c r="G23" s="60">
        <f>VLOOKUP(D23,'2.Bookinglist'!A:E,5,FALSE)</f>
        <v>0</v>
      </c>
      <c r="H23" s="61" t="str">
        <f>VLOOKUP(D23,'2.Bookinglist'!A:CT,15,FALSE)</f>
        <v>THLCH</v>
      </c>
      <c r="I23" s="61" t="str">
        <f>VLOOKUP(D23,'2.Bookinglist'!A:CT,19,FALSE)</f>
        <v>HKHKG</v>
      </c>
      <c r="J23" s="61">
        <f>VLOOKUP(D23,'2.Bookinglist'!A:CT,26,FALSE)</f>
        <v>0</v>
      </c>
      <c r="K23" s="61" t="str">
        <f>VLOOKUP(A23,'1.Loading'!A:R,5,FALSE)</f>
        <v>22GP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KMGY</v>
      </c>
      <c r="P23" s="61" t="str">
        <f>VLOOKUP(A23,'1.Loading'!A:R,4,FALSE)</f>
        <v>2611N</v>
      </c>
      <c r="Q23" s="61" t="str">
        <f>VLOOKUP(D23,'2.Bookinglist'!A:CT,12,FALSE)</f>
        <v>CHT</v>
      </c>
      <c r="R23" s="60" t="str">
        <f>IF(LEFT(K23,2)="22","20'","40'")</f>
        <v>20'</v>
      </c>
      <c r="S23" s="185" t="n"/>
      <c r="T23" s="61" t="str">
        <f>VLOOKUP(A23,'1.Loading'!A:R,2,FALSE)</f>
        <v>2026-10-25</v>
      </c>
      <c r="U23" s="63">
        <f>T23-S23</f>
        <v>46320</v>
      </c>
      <c r="V23" s="186" t="n"/>
      <c r="W23" s="61" t="str">
        <f>VLOOKUP(A23,'3.GateMove'!A:D,4,FALSE)</f>
        <v>2026-10-18</v>
      </c>
      <c r="X23" s="63">
        <f>((T23-W23)+1)</f>
        <v>8</v>
      </c>
      <c r="Y23" s="64">
        <f>IF(AND(OR(C23="BKK01",C23="BKK04"),L23="CFS/CY"),0,IF(M23="DG",1,IF(LEFT(C23,3)="LCH",7,IF(C23="BKK02",5,3))))</f>
        <v>7</v>
      </c>
      <c r="Z23" s="63">
        <f>IF(IF(AND(AC23="TML",AB23&gt;0),((T23-W23)+1)-AB23,((T23-W23)+1)-Y23)&gt;0,IF(AND(AC23="TML",AB23&gt;0),((T23-W23)+1)-AB23,((T23-W23)+1)-Y23),0)</f>
        <v>1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125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46321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125</v>
      </c>
      <c r="AJ23" s="188" t="n"/>
      <c r="AK23" s="62" t="str">
        <f>VLOOKUP(D23,'2.Bookinglist'!A:CT,40,FALSE)</f>
        <v>Dharaporn</v>
      </c>
      <c r="AL23" s="60" t="str">
        <f>VLOOKUP(D23,'2.Bookinglist'!A:CW,101,FALSE)</f>
        <v>2026-10-21</v>
      </c>
      <c r="AM23" s="60" t="str">
        <f>VLOOKUP(D23,'2.Bookinglist'!A:BK,63,FALSE)</f>
        <v>LCHY5</v>
      </c>
      <c r="AN23" s="62" t="str">
        <f>VLOOKUP(D23,'2.Bookinglist'!A:AZ,52,FALSE)</f>
        <v>CY-RTN 14-15/10/26 (PI26050167-37)
PLS CHECK OPEN GATE BEFORE RETURN CTNR
</v>
      </c>
      <c r="AO23" s="62">
        <f>VLOOKUP(D23,'2.Bookinglist'!A:CY,103,FALSE)</f>
        <v>0</v>
      </c>
    </row>
    <row r="24" ht="12.95" customHeight="1">
      <c r="A24" s="96" t="inlineStr">
        <is>
          <t>KMLU2204173</t>
        </is>
      </c>
      <c r="B24" s="184" t="str">
        <f>IF(C24=Charge!$M$1,Charge!$J$1,IF(C24=Charge!$M$23,Charge!$J$23,IF(C24=Charge!$M$17,Charge!$J$17,IF(C24=Charge!$N$17,Charge!$J$17,Charge!$J$7))))</f>
        <v>G2</v>
      </c>
      <c r="C24" s="61" t="str">
        <f>VLOOKUP(A24,'1.Loading'!A:R,14,FALSE)</f>
        <v>LCH01</v>
      </c>
      <c r="D24" s="61" t="str">
        <f>VLOOKUP(A24,'1.Loading'!A:R,17,FALSE)</f>
        <v>HASLS22261000278</v>
      </c>
      <c r="E24" s="62" t="str">
        <f>VLOOKUP(D24,'2.Bookinglist'!A:CT,27,FALSE)</f>
        <v>DOUBLE A (1991) PUBLIC COMPANY LIMITED</v>
      </c>
      <c r="F24" s="62" t="str">
        <f>VLOOKUP(D24,'2.Bookinglist'!A:CT,28,FALSE)</f>
        <v>DOUBLE A (1991) PUBLIC COMPANY LIMITED</v>
      </c>
      <c r="G24" s="60">
        <f>VLOOKUP(D24,'2.Bookinglist'!A:E,5,FALSE)</f>
        <v>0</v>
      </c>
      <c r="H24" s="61" t="str">
        <f>VLOOKUP(D24,'2.Bookinglist'!A:CT,15,FALSE)</f>
        <v>THLCH</v>
      </c>
      <c r="I24" s="61" t="str">
        <f>VLOOKUP(D24,'2.Bookinglist'!A:CT,19,FALSE)</f>
        <v>HKHKG</v>
      </c>
      <c r="J24" s="61">
        <f>VLOOKUP(D24,'2.Bookinglist'!A:CT,26,FALSE)</f>
        <v>0</v>
      </c>
      <c r="K24" s="61" t="str">
        <f>VLOOKUP(A24,'1.Loading'!A:R,5,FALSE)</f>
        <v>22GP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KMGY</v>
      </c>
      <c r="P24" s="61" t="str">
        <f>VLOOKUP(A24,'1.Loading'!A:R,4,FALSE)</f>
        <v>2611N</v>
      </c>
      <c r="Q24" s="61" t="str">
        <f>VLOOKUP(D24,'2.Bookinglist'!A:CT,12,FALSE)</f>
        <v>CHT</v>
      </c>
      <c r="R24" s="60" t="str">
        <f>IF(LEFT(K24,2)="22","20'","40'")</f>
        <v>20'</v>
      </c>
      <c r="S24" s="185" t="n"/>
      <c r="T24" s="61" t="str">
        <f>VLOOKUP(A24,'1.Loading'!A:R,2,FALSE)</f>
        <v>2026-10-25</v>
      </c>
      <c r="U24" s="63">
        <f>T24-S24</f>
        <v>46320</v>
      </c>
      <c r="V24" s="186" t="n"/>
      <c r="W24" s="61" t="str">
        <f>VLOOKUP(A24,'3.GateMove'!A:D,4,FALSE)</f>
        <v>2026-10-20</v>
      </c>
      <c r="X24" s="63">
        <f>((T24-W24)+1)</f>
        <v>6</v>
      </c>
      <c r="Y24" s="64">
        <f>IF(AND(OR(C24="BKK01",C24="BKK04"),L24="CFS/CY"),0,IF(M24="DG",1,IF(LEFT(C24,3)="LCH",7,IF(C24="BKK02",5,3))))</f>
        <v>7</v>
      </c>
      <c r="Z24" s="63">
        <f>IF(IF(AND(AC24="TML",AB24&gt;0),((T24-W24)+1)-AB24,((T24-W24)+1)-Y24)&gt;0,IF(AND(AC24="TML",AB24&gt;0),((T24-W24)+1)-AB24,((T24-W24)+1)-Y24),0)</f>
        <v>0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46321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0</v>
      </c>
      <c r="AJ24" s="188" t="n"/>
      <c r="AK24" s="62" t="str">
        <f>VLOOKUP(D24,'2.Bookinglist'!A:CT,40,FALSE)</f>
        <v>Kanokporn</v>
      </c>
      <c r="AL24" s="60" t="str">
        <f>VLOOKUP(D24,'2.Bookinglist'!A:CW,101,FALSE)</f>
        <v>2026-10-21</v>
      </c>
      <c r="AM24" s="60" t="str">
        <f>VLOOKUP(D24,'2.Bookinglist'!A:BK,63,FALSE)</f>
        <v>LCHY5</v>
      </c>
      <c r="AN24" s="62" t="str">
        <f>VLOOKUP(D24,'2.Bookinglist'!A:AZ,52,FALSE)</f>
        <v>CY-RTN : 15-17/10/2026 
REF : PI-HK-TH-DA-26100021
FRT $ 35, FREE TIME 14/14, DTHC(HKD) 2000
</v>
      </c>
      <c r="AO24" s="62">
        <f>VLOOKUP(D24,'2.Bookinglist'!A:CY,103,FALSE)</f>
        <v>0</v>
      </c>
    </row>
    <row r="25" ht="12.95" customHeight="1">
      <c r="A25" s="96" t="inlineStr">
        <is>
          <t>SKHU6366808</t>
        </is>
      </c>
      <c r="B25" s="184" t="str">
        <f>IF(C25=Charge!$M$1,Charge!$J$1,IF(C25=Charge!$M$23,Charge!$J$23,IF(C25=Charge!$M$17,Charge!$J$17,IF(C25=Charge!$N$17,Charge!$J$17,Charge!$J$7))))</f>
        <v>G2</v>
      </c>
      <c r="C25" s="61" t="str">
        <f>VLOOKUP(A25,'1.Loading'!A:R,14,FALSE)</f>
        <v>LCH01</v>
      </c>
      <c r="D25" s="61" t="str">
        <f>VLOOKUP(A25,'1.Loading'!A:R,17,FALSE)</f>
        <v>HASLS22261000813</v>
      </c>
      <c r="E25" s="62" t="str">
        <f>VLOOKUP(D25,'2.Bookinglist'!A:CT,27,FALSE)</f>
        <v>YUSEN LOGISTICS (THAILAND) CO., LTD.</v>
      </c>
      <c r="F25" s="62" t="str">
        <f>VLOOKUP(D25,'2.Bookinglist'!A:CT,28,FALSE)</f>
        <v>KURARAY CO., LTD.</v>
      </c>
      <c r="G25" s="60">
        <f>VLOOKUP(D25,'2.Bookinglist'!A:E,5,FALSE)</f>
        <v>0</v>
      </c>
      <c r="H25" s="61" t="str">
        <f>VLOOKUP(D25,'2.Bookinglist'!A:CT,15,FALSE)</f>
        <v>THLCH</v>
      </c>
      <c r="I25" s="61" t="str">
        <f>VLOOKUP(D25,'2.Bookinglist'!A:CT,19,FALSE)</f>
        <v>HKHKG</v>
      </c>
      <c r="J25" s="61">
        <f>VLOOKUP(D25,'2.Bookinglist'!A:CT,26,FALSE)</f>
        <v>0</v>
      </c>
      <c r="K25" s="61" t="str">
        <f>VLOOKUP(A25,'1.Loading'!A:R,5,FALSE)</f>
        <v>45GP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KMGY</v>
      </c>
      <c r="P25" s="61" t="str">
        <f>VLOOKUP(A25,'1.Loading'!A:R,4,FALSE)</f>
        <v>2611N</v>
      </c>
      <c r="Q25" s="61" t="str">
        <f>VLOOKUP(D25,'2.Bookinglist'!A:CT,12,FALSE)</f>
        <v>CHT</v>
      </c>
      <c r="R25" s="60" t="str">
        <f>IF(LEFT(K25,2)="22","20'","40'")</f>
        <v>40'</v>
      </c>
      <c r="S25" s="185" t="n"/>
      <c r="T25" s="61" t="str">
        <f>VLOOKUP(A25,'1.Loading'!A:R,2,FALSE)</f>
        <v>2026-10-25</v>
      </c>
      <c r="U25" s="63">
        <f>T25-S25</f>
        <v>46320</v>
      </c>
      <c r="V25" s="186" t="n"/>
      <c r="W25" s="61" t="str">
        <f>VLOOKUP(A25,'3.GateMove'!A:D,4,FALSE)</f>
        <v>2026-10-21</v>
      </c>
      <c r="X25" s="63">
        <f>((T25-W25)+1)</f>
        <v>5</v>
      </c>
      <c r="Y25" s="64">
        <f>IF(AND(OR(C25="BKK01",C25="BKK04"),L25="CFS/CY"),0,IF(M25="DG",1,IF(LEFT(C25,3)="LCH",7,IF(C25="BKK02",5,3))))</f>
        <v>7</v>
      </c>
      <c r="Z25" s="63">
        <f>IF(IF(AND(AC25="TML",AB25&gt;0),((T25-W25)+1)-AB25,((T25-W25)+1)-Y25)&gt;0,IF(AND(AC25="TML",AB25&gt;0),((T25-W25)+1)-AB25,((T25-W25)+1)-Y25),0)</f>
        <v>0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46321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0</v>
      </c>
      <c r="AJ25" s="188" t="n"/>
      <c r="AK25" s="62" t="str">
        <f>VLOOKUP(D25,'2.Bookinglist'!A:CT,40,FALSE)</f>
        <v>Vilaiporn</v>
      </c>
      <c r="AL25" s="60" t="str">
        <f>VLOOKUP(D25,'2.Bookinglist'!A:CW,101,FALSE)</f>
        <v>2026-10-24</v>
      </c>
      <c r="AM25" s="60" t="str">
        <f>VLOOKUP(D25,'2.Bookinglist'!A:BK,63,FALSE)</f>
        <v>LCHY5</v>
      </c>
      <c r="AN25" s="62" t="str">
        <f>VLOOKUP(D25,'2.Bookinglist'!A:AZ,52,FALSE)</f>
        <v>Pickup : 2026-10-17, Return : 2026-10-19 (1ST RTN 20/10 W/O RENT) 
 ** PLEASE CHECK OPEN GATE BEFORE RETURN CNTR **(EXTEND CLOSING DD.22/10/26 @23.59)</v>
      </c>
      <c r="AO25" s="62">
        <f>VLOOKUP(D25,'2.Bookinglist'!A:CY,103,FALSE)</f>
        <v>0</v>
      </c>
    </row>
    <row r="26" ht="12.95" customHeight="1">
      <c r="A26" s="96" t="inlineStr">
        <is>
          <t>SKHU6377546</t>
        </is>
      </c>
      <c r="B26" s="184" t="str">
        <f>IF(C26=Charge!$M$1,Charge!$J$1,IF(C26=Charge!$M$23,Charge!$J$23,IF(C26=Charge!$M$17,Charge!$J$17,IF(C26=Charge!$N$17,Charge!$J$17,Charge!$J$7))))</f>
        <v>G2</v>
      </c>
      <c r="C26" s="61" t="str">
        <f>VLOOKUP(A26,'1.Loading'!A:R,14,FALSE)</f>
        <v>LCH01</v>
      </c>
      <c r="D26" s="61" t="str">
        <f>VLOOKUP(A26,'1.Loading'!A:R,17,FALSE)</f>
        <v>HASLS22261001071</v>
      </c>
      <c r="E26" s="62" t="str">
        <f>VLOOKUP(D26,'2.Bookinglist'!A:CT,27,FALSE)</f>
        <v>L.A.1 CO.,LTD.</v>
      </c>
      <c r="F26" s="62" t="str">
        <f>VLOOKUP(D26,'2.Bookinglist'!A:CT,28,FALSE)</f>
        <v>TANATEX CHEMICALS (THAILAND) CO., LTD.</v>
      </c>
      <c r="G26" s="60">
        <f>VLOOKUP(D26,'2.Bookinglist'!A:E,5,FALSE)</f>
        <v>0</v>
      </c>
      <c r="H26" s="61" t="str">
        <f>VLOOKUP(D26,'2.Bookinglist'!A:CT,15,FALSE)</f>
        <v>THLCH</v>
      </c>
      <c r="I26" s="61" t="str">
        <f>VLOOKUP(D26,'2.Bookinglist'!A:CT,19,FALSE)</f>
        <v>HKHKG</v>
      </c>
      <c r="J26" s="61">
        <f>VLOOKUP(D26,'2.Bookinglist'!A:CT,26,FALSE)</f>
        <v>0</v>
      </c>
      <c r="K26" s="61" t="str">
        <f>VLOOKUP(A26,'1.Loading'!A:R,5,FALSE)</f>
        <v>45GP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KMGY</v>
      </c>
      <c r="P26" s="61" t="str">
        <f>VLOOKUP(A26,'1.Loading'!A:R,4,FALSE)</f>
        <v>2611N</v>
      </c>
      <c r="Q26" s="61" t="str">
        <f>VLOOKUP(D26,'2.Bookinglist'!A:CT,12,FALSE)</f>
        <v>CHT</v>
      </c>
      <c r="R26" s="60" t="str">
        <f>IF(LEFT(K26,2)="22","20'","40'")</f>
        <v>40'</v>
      </c>
      <c r="S26" s="185" t="n"/>
      <c r="T26" s="61" t="str">
        <f>VLOOKUP(A26,'1.Loading'!A:R,2,FALSE)</f>
        <v>2026-10-25</v>
      </c>
      <c r="U26" s="63">
        <f>T26-S26</f>
        <v>46320</v>
      </c>
      <c r="V26" s="186" t="n"/>
      <c r="W26" s="61" t="str">
        <f>VLOOKUP(A26,'3.GateMove'!A:D,4,FALSE)</f>
        <v>2026-10-20</v>
      </c>
      <c r="X26" s="63">
        <f>((T26-W26)+1)</f>
        <v>6</v>
      </c>
      <c r="Y26" s="64">
        <f>IF(AND(OR(C26="BKK01",C26="BKK04"),L26="CFS/CY"),0,IF(M26="DG",1,IF(LEFT(C26,3)="LCH",7,IF(C26="BKK02",5,3))))</f>
        <v>7</v>
      </c>
      <c r="Z26" s="63">
        <f>IF(IF(AND(AC26="TML",AB26&gt;0),((T26-W26)+1)-AB26,((T26-W26)+1)-Y26)&gt;0,IF(AND(AC26="TML",AB26&gt;0),((T26-W26)+1)-AB26,((T26-W26)+1)-Y26),0)</f>
        <v>0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46321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0</v>
      </c>
      <c r="AJ26" s="188" t="n"/>
      <c r="AK26" s="62" t="str">
        <f>VLOOKUP(D26,'2.Bookinglist'!A:CT,40,FALSE)</f>
        <v>Sukunpoj Damrongying</v>
      </c>
      <c r="AL26" s="60" t="str">
        <f>VLOOKUP(D26,'2.Bookinglist'!A:CW,101,FALSE)</f>
        <v>2026-10-24</v>
      </c>
      <c r="AM26" s="60" t="str">
        <f>VLOOKUP(D26,'2.Bookinglist'!A:BK,63,FALSE)</f>
        <v>LCH27</v>
      </c>
      <c r="AN26" s="62" t="str">
        <f>VLOOKUP(D26,'2.Bookinglist'!A:AZ,52,FALSE)</f>
        <v>Pickup : 2026-10-19, Return : 2026-10-20 
 ** PLEASE CHECK OPEN GATE BEFORE RETURN CNTR **
</v>
      </c>
      <c r="AO26" s="62">
        <f>VLOOKUP(D26,'2.Bookinglist'!A:CY,103,FALSE)</f>
        <v>0</v>
      </c>
    </row>
    <row r="27" ht="12.95" customHeight="1">
      <c r="A27" s="96" t="inlineStr">
        <is>
          <t>SKHU6444618</t>
        </is>
      </c>
      <c r="B27" s="184" t="str">
        <f>IF(C27=Charge!$M$1,Charge!$J$1,IF(C27=Charge!$M$23,Charge!$J$23,IF(C27=Charge!$M$17,Charge!$J$17,IF(C27=Charge!$N$17,Charge!$J$17,Charge!$J$7))))</f>
        <v>G2</v>
      </c>
      <c r="C27" s="61" t="str">
        <f>VLOOKUP(A27,'1.Loading'!A:R,14,FALSE)</f>
        <v>LCH01</v>
      </c>
      <c r="D27" s="61" t="str">
        <f>VLOOKUP(A27,'1.Loading'!A:R,17,FALSE)</f>
        <v>HASLS22261001156</v>
      </c>
      <c r="E27" s="62" t="str">
        <f>VLOOKUP(D27,'2.Bookinglist'!A:CT,27,FALSE)</f>
        <v>YUSEN LOGISTICS (THAILAND) CO., LTD.</v>
      </c>
      <c r="F27" s="62" t="str">
        <f>VLOOKUP(D27,'2.Bookinglist'!A:CT,28,FALSE)</f>
        <v>KURARAY GC ADVANCED MATERIALS CO.,LTD</v>
      </c>
      <c r="G27" s="60">
        <f>VLOOKUP(D27,'2.Bookinglist'!A:E,5,FALSE)</f>
        <v>0</v>
      </c>
      <c r="H27" s="61" t="str">
        <f>VLOOKUP(D27,'2.Bookinglist'!A:CT,15,FALSE)</f>
        <v>THLCH</v>
      </c>
      <c r="I27" s="61" t="str">
        <f>VLOOKUP(D27,'2.Bookinglist'!A:CT,19,FALSE)</f>
        <v>HKHKG</v>
      </c>
      <c r="J27" s="61">
        <f>VLOOKUP(D27,'2.Bookinglist'!A:CT,26,FALSE)</f>
        <v>0</v>
      </c>
      <c r="K27" s="61" t="str">
        <f>VLOOKUP(A27,'1.Loading'!A:R,5,FALSE)</f>
        <v>45GP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KMGY</v>
      </c>
      <c r="P27" s="61" t="str">
        <f>VLOOKUP(A27,'1.Loading'!A:R,4,FALSE)</f>
        <v>2611N</v>
      </c>
      <c r="Q27" s="61" t="str">
        <f>VLOOKUP(D27,'2.Bookinglist'!A:CT,12,FALSE)</f>
        <v>CHT</v>
      </c>
      <c r="R27" s="60" t="str">
        <f>IF(LEFT(K27,2)="22","20'","40'")</f>
        <v>40'</v>
      </c>
      <c r="S27" s="185" t="n"/>
      <c r="T27" s="61" t="str">
        <f>VLOOKUP(A27,'1.Loading'!A:R,2,FALSE)</f>
        <v>2026-10-25</v>
      </c>
      <c r="U27" s="63">
        <f>T27-S27</f>
        <v>46320</v>
      </c>
      <c r="V27" s="186" t="n"/>
      <c r="W27" s="61" t="str">
        <f>VLOOKUP(A27,'3.GateMove'!A:D,4,FALSE)</f>
        <v>2026-10-22</v>
      </c>
      <c r="X27" s="63">
        <f>((T27-W27)+1)</f>
        <v>4</v>
      </c>
      <c r="Y27" s="64">
        <f>IF(AND(OR(C27="BKK01",C27="BKK04"),L27="CFS/CY"),0,IF(M27="DG",1,IF(LEFT(C27,3)="LCH",7,IF(C27="BKK02",5,3))))</f>
        <v>7</v>
      </c>
      <c r="Z27" s="63">
        <f>IF(IF(AND(AC27="TML",AB27&gt;0),((T27-W27)+1)-AB27,((T27-W27)+1)-Y27)&gt;0,IF(AND(AC27="TML",AB27&gt;0),((T27-W27)+1)-AB27,((T27-W27)+1)-Y27),0)</f>
        <v>0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46321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0</v>
      </c>
      <c r="AJ27" s="188" t="n"/>
      <c r="AK27" s="62" t="str">
        <f>VLOOKUP(D27,'2.Bookinglist'!A:CT,40,FALSE)</f>
        <v>Vilaiporn</v>
      </c>
      <c r="AL27" s="60" t="str">
        <f>VLOOKUP(D27,'2.Bookinglist'!A:CW,101,FALSE)</f>
        <v>2026-10-24</v>
      </c>
      <c r="AM27" s="60" t="str">
        <f>VLOOKUP(D27,'2.Bookinglist'!A:BK,63,FALSE)</f>
        <v>LCH27</v>
      </c>
      <c r="AN27" s="62" t="str">
        <f>VLOOKUP(D27,'2.Bookinglist'!A:AZ,52,FALSE)</f>
        <v>Pickup : 2026-10-19, Return : 2026-10-20 (EXTEND CLOSING 22/10/26 @23.59)
 ** PLEASE CHECK OPEN GATE BEFORE RETURN C NTR ** </v>
      </c>
      <c r="AO27" s="62">
        <f>VLOOKUP(D27,'2.Bookinglist'!A:CY,103,FALSE)</f>
        <v>0</v>
      </c>
    </row>
    <row r="28" ht="12.95" customHeight="1">
      <c r="A28" s="96" t="inlineStr">
        <is>
          <t>SKHU6512604</t>
        </is>
      </c>
      <c r="B28" s="184" t="str">
        <f>IF(C28=Charge!$M$1,Charge!$J$1,IF(C28=Charge!$M$23,Charge!$J$23,IF(C28=Charge!$M$17,Charge!$J$17,IF(C28=Charge!$N$17,Charge!$J$17,Charge!$J$7))))</f>
        <v>G2</v>
      </c>
      <c r="C28" s="61" t="str">
        <f>VLOOKUP(A28,'1.Loading'!A:R,14,FALSE)</f>
        <v>LCH01</v>
      </c>
      <c r="D28" s="61" t="str">
        <f>VLOOKUP(A28,'1.Loading'!A:R,17,FALSE)</f>
        <v>HASLS22260901363</v>
      </c>
      <c r="E28" s="62" t="str">
        <f>VLOOKUP(D28,'2.Bookinglist'!A:CT,27,FALSE)</f>
        <v>NIPPON EXPRESS LOGISTICS (THAILAND) CO., LTD.</v>
      </c>
      <c r="F28" s="62" t="str">
        <f>VLOOKUP(D28,'2.Bookinglist'!A:CT,28,FALSE)</f>
        <v>SYNERGY HEALTH (THAILAND) CO., LTD.</v>
      </c>
      <c r="G28" s="60">
        <f>VLOOKUP(D28,'2.Bookinglist'!A:E,5,FALSE)</f>
        <v>0</v>
      </c>
      <c r="H28" s="61" t="str">
        <f>VLOOKUP(D28,'2.Bookinglist'!A:CT,15,FALSE)</f>
        <v>THLCH</v>
      </c>
      <c r="I28" s="61" t="str">
        <f>VLOOKUP(D28,'2.Bookinglist'!A:CT,19,FALSE)</f>
        <v>HKHKG</v>
      </c>
      <c r="J28" s="61">
        <f>VLOOKUP(D28,'2.Bookinglist'!A:CT,26,FALSE)</f>
        <v>0</v>
      </c>
      <c r="K28" s="61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KMGY</v>
      </c>
      <c r="P28" s="61" t="str">
        <f>VLOOKUP(A28,'1.Loading'!A:R,4,FALSE)</f>
        <v>2611N</v>
      </c>
      <c r="Q28" s="61" t="str">
        <f>VLOOKUP(D28,'2.Bookinglist'!A:CT,12,FALSE)</f>
        <v>CHT</v>
      </c>
      <c r="R28" s="60" t="str">
        <f>IF(LEFT(K28,2)="22","20'","40'")</f>
        <v>40'</v>
      </c>
      <c r="S28" s="185" t="n"/>
      <c r="T28" s="61" t="str">
        <f>VLOOKUP(A28,'1.Loading'!A:R,2,FALSE)</f>
        <v>2026-10-25</v>
      </c>
      <c r="U28" s="63">
        <f>T28-S28</f>
        <v>46320</v>
      </c>
      <c r="V28" s="186" t="n"/>
      <c r="W28" s="61" t="str">
        <f>VLOOKUP(A28,'3.GateMove'!A:D,4,FALSE)</f>
        <v>2026-10-21</v>
      </c>
      <c r="X28" s="63">
        <f>((T28-W28)+1)</f>
        <v>5</v>
      </c>
      <c r="Y28" s="64">
        <f>IF(AND(OR(C28="BKK01",C28="BKK04"),L28="CFS/CY"),0,IF(M28="DG",1,IF(LEFT(C28,3)="LCH",7,IF(C28="BKK02",5,3))))</f>
        <v>7</v>
      </c>
      <c r="Z28" s="63">
        <f>IF(IF(AND(AC28="TML",AB28&gt;0),((T28-W28)+1)-AB28,((T28-W28)+1)-Y28)&gt;0,IF(AND(AC28="TML",AB28&gt;0),((T28-W28)+1)-AB28,((T28-W28)+1)-Y28),0)</f>
        <v>0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46321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0</v>
      </c>
      <c r="AJ28" s="188" t="n"/>
      <c r="AK28" s="62" t="str">
        <f>VLOOKUP(D28,'2.Bookinglist'!A:CT,40,FALSE)</f>
        <v>Vilaiporn</v>
      </c>
      <c r="AL28" s="60" t="str">
        <f>VLOOKUP(D28,'2.Bookinglist'!A:CW,101,FALSE)</f>
        <v>2026-10-24</v>
      </c>
      <c r="AM28" s="60" t="str">
        <f>VLOOKUP(D28,'2.Bookinglist'!A:BK,63,FALSE)</f>
        <v>LCHY5</v>
      </c>
      <c r="AN28" s="62" t="str">
        <f>VLOOKUP(D28,'2.Bookinglist'!A:AZ,52,FALSE)</f>
        <v>Pickup : 2026-10-20, Return : 2026-10-20 
 ** PLEASE CHECK OPEN GATE BEFORE RETURN CNTR **
</v>
      </c>
      <c r="AO28" s="62">
        <f>VLOOKUP(D28,'2.Bookinglist'!A:CY,103,FALSE)</f>
        <v>0</v>
      </c>
    </row>
    <row r="29" ht="12.95" customHeight="1">
      <c r="A29" s="96" t="inlineStr">
        <is>
          <t>SKHU6626757</t>
        </is>
      </c>
      <c r="B29" s="184" t="str">
        <f>IF(C29=Charge!$M$1,Charge!$J$1,IF(C29=Charge!$M$23,Charge!$J$23,IF(C29=Charge!$M$17,Charge!$J$17,IF(C29=Charge!$N$17,Charge!$J$17,Charge!$J$7))))</f>
        <v>G2</v>
      </c>
      <c r="C29" s="61" t="str">
        <f>VLOOKUP(A29,'1.Loading'!A:R,14,FALSE)</f>
        <v>LCH01</v>
      </c>
      <c r="D29" s="61" t="str">
        <f>VLOOKUP(A29,'1.Loading'!A:R,17,FALSE)</f>
        <v>HASLS22260901774</v>
      </c>
      <c r="E29" s="62" t="str">
        <f>VLOOKUP(D29,'2.Bookinglist'!A:CT,27,FALSE)</f>
        <v>KWE-KINTETSU WORLD EXPRESS (THAILAND) CO., LTD.</v>
      </c>
      <c r="F29" s="62" t="str">
        <f>VLOOKUP(D29,'2.Bookinglist'!A:CT,28,FALSE)</f>
        <v>ELNA (THAILAND) CO.,LTD.</v>
      </c>
      <c r="G29" s="60">
        <f>VLOOKUP(D29,'2.Bookinglist'!A:E,5,FALSE)</f>
        <v>0</v>
      </c>
      <c r="H29" s="61" t="str">
        <f>VLOOKUP(D29,'2.Bookinglist'!A:CT,15,FALSE)</f>
        <v>THLCH</v>
      </c>
      <c r="I29" s="61" t="str">
        <f>VLOOKUP(D29,'2.Bookinglist'!A:CT,19,FALSE)</f>
        <v>HKHKG</v>
      </c>
      <c r="J29" s="61">
        <f>VLOOKUP(D29,'2.Bookinglist'!A:CT,26,FALSE)</f>
        <v>0</v>
      </c>
      <c r="K29" s="61" t="str">
        <f>VLOOKUP(A29,'1.Loading'!A:R,5,FALSE)</f>
        <v>45GP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KMGY</v>
      </c>
      <c r="P29" s="61" t="str">
        <f>VLOOKUP(A29,'1.Loading'!A:R,4,FALSE)</f>
        <v>2611N</v>
      </c>
      <c r="Q29" s="61" t="str">
        <f>VLOOKUP(D29,'2.Bookinglist'!A:CT,12,FALSE)</f>
        <v>CHT</v>
      </c>
      <c r="R29" s="60" t="str">
        <f>IF(LEFT(K29,2)="22","20'","40'")</f>
        <v>40'</v>
      </c>
      <c r="S29" s="185" t="n"/>
      <c r="T29" s="61" t="str">
        <f>VLOOKUP(A29,'1.Loading'!A:R,2,FALSE)</f>
        <v>2026-10-25</v>
      </c>
      <c r="U29" s="63">
        <f>T29-S29</f>
        <v>46320</v>
      </c>
      <c r="V29" s="186" t="n"/>
      <c r="W29" s="61" t="str">
        <f>VLOOKUP(A29,'3.GateMove'!A:D,4,FALSE)</f>
        <v>2026-10-22</v>
      </c>
      <c r="X29" s="63">
        <f>((T29-W29)+1)</f>
        <v>4</v>
      </c>
      <c r="Y29" s="64">
        <f>IF(AND(OR(C29="BKK01",C29="BKK04"),L29="CFS/CY"),0,IF(M29="DG",1,IF(LEFT(C29,3)="LCH",7,IF(C29="BKK02",5,3))))</f>
        <v>7</v>
      </c>
      <c r="Z29" s="63">
        <f>IF(IF(AND(AC29="TML",AB29&gt;0),((T29-W29)+1)-AB29,((T29-W29)+1)-Y29)&gt;0,IF(AND(AC29="TML",AB29&gt;0),((T29-W29)+1)-AB29,((T29-W29)+1)-Y29),0)</f>
        <v>0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46321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0</v>
      </c>
      <c r="AJ29" s="188" t="n"/>
      <c r="AK29" s="62" t="str">
        <f>VLOOKUP(D29,'2.Bookinglist'!A:CT,40,FALSE)</f>
        <v>Arunphat W. (Aiw)</v>
      </c>
      <c r="AL29" s="60" t="str">
        <f>VLOOKUP(D29,'2.Bookinglist'!A:CW,101,FALSE)</f>
        <v>2026-10-24</v>
      </c>
      <c r="AM29" s="60" t="str">
        <f>VLOOKUP(D29,'2.Bookinglist'!A:BK,63,FALSE)</f>
        <v>LCHY5</v>
      </c>
      <c r="AN29" s="62" t="str">
        <f>VLOOKUP(D29,'2.Bookinglist'!A:AZ,52,FALSE)</f>
        <v>Pickup : 2026-10-12, Return : 2026-10-15</v>
      </c>
      <c r="AO29" s="62" t="str">
        <f>VLOOKUP(D29,'2.Bookinglist'!A:CY,103,FALSE)</f>
        <v>ROLL OVER FORM PREVIOU VSL CMA 2615N BY ALLOCATION TEAM MS.TARN APRPOVED COST IS UNDER HA DD.21/10</v>
      </c>
    </row>
    <row r="30" ht="12.95" customHeight="1">
      <c r="A30" s="96" t="inlineStr">
        <is>
          <t>SKHU8109795</t>
        </is>
      </c>
      <c r="B30" s="184" t="str">
        <f>IF(C30=Charge!$M$1,Charge!$J$1,IF(C30=Charge!$M$23,Charge!$J$23,IF(C30=Charge!$M$17,Charge!$J$17,IF(C30=Charge!$N$17,Charge!$J$17,Charge!$J$7))))</f>
        <v>G2</v>
      </c>
      <c r="C30" s="61" t="str">
        <f>VLOOKUP(A30,'1.Loading'!A:R,14,FALSE)</f>
        <v>LCH01</v>
      </c>
      <c r="D30" s="61" t="str">
        <f>VLOOKUP(A30,'1.Loading'!A:R,17,FALSE)</f>
        <v>HASLS22261001424</v>
      </c>
      <c r="E30" s="62" t="str">
        <f>VLOOKUP(D30,'2.Bookinglist'!A:CT,27,FALSE)</f>
        <v>CARGO NETWORK DELIVERY (THAILAND) CO., LTD.</v>
      </c>
      <c r="F30" s="62" t="str">
        <f>VLOOKUP(D30,'2.Bookinglist'!A:CT,28,FALSE)</f>
        <v>THAI GULF JELLYFISH CO., LTD.</v>
      </c>
      <c r="G30" s="60">
        <f>VLOOKUP(D30,'2.Bookinglist'!A:E,5,FALSE)</f>
        <v>0</v>
      </c>
      <c r="H30" s="61" t="str">
        <f>VLOOKUP(D30,'2.Bookinglist'!A:CT,15,FALSE)</f>
        <v>THLCH</v>
      </c>
      <c r="I30" s="61" t="str">
        <f>VLOOKUP(D30,'2.Bookinglist'!A:CT,19,FALSE)</f>
        <v>KRINC</v>
      </c>
      <c r="J30" s="61">
        <f>VLOOKUP(D30,'2.Bookinglist'!A:CT,26,FALSE)</f>
        <v>0</v>
      </c>
      <c r="K30" s="61" t="str">
        <f>VLOOKUP(A30,'1.Loading'!A:R,5,FALSE)</f>
        <v>45GP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KMGY</v>
      </c>
      <c r="P30" s="61" t="str">
        <f>VLOOKUP(A30,'1.Loading'!A:R,4,FALSE)</f>
        <v>2611N</v>
      </c>
      <c r="Q30" s="61" t="str">
        <f>VLOOKUP(D30,'2.Bookinglist'!A:CT,12,FALSE)</f>
        <v>CHT</v>
      </c>
      <c r="R30" s="60" t="str">
        <f>IF(LEFT(K30,2)="22","20'","40'")</f>
        <v>40'</v>
      </c>
      <c r="S30" s="185" t="n"/>
      <c r="T30" s="61" t="str">
        <f>VLOOKUP(A30,'1.Loading'!A:R,2,FALSE)</f>
        <v>2026-10-25</v>
      </c>
      <c r="U30" s="63">
        <f>T30-S30</f>
        <v>46320</v>
      </c>
      <c r="V30" s="186" t="n"/>
      <c r="W30" s="61" t="str">
        <f>VLOOKUP(A30,'3.GateMove'!A:D,4,FALSE)</f>
        <v>2026-10-21</v>
      </c>
      <c r="X30" s="63">
        <f>((T30-W30)+1)</f>
        <v>5</v>
      </c>
      <c r="Y30" s="64">
        <f>IF(AND(OR(C30="BKK01",C30="BKK04"),L30="CFS/CY"),0,IF(M30="DG",1,IF(LEFT(C30,3)="LCH",7,IF(C30="BKK02",5,3))))</f>
        <v>7</v>
      </c>
      <c r="Z30" s="63">
        <f>IF(IF(AND(AC30="TML",AB30&gt;0),((T30-W30)+1)-AB30,((T30-W30)+1)-Y30)&gt;0,IF(AND(AC30="TML",AB30&gt;0),((T30-W30)+1)-AB30,((T30-W30)+1)-Y30),0)</f>
        <v>0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46321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0</v>
      </c>
      <c r="AJ30" s="188" t="n"/>
      <c r="AK30" s="62" t="str">
        <f>VLOOKUP(D30,'2.Bookinglist'!A:CT,40,FALSE)</f>
        <v>Nustsireerach</v>
      </c>
      <c r="AL30" s="60" t="str">
        <f>VLOOKUP(D30,'2.Bookinglist'!A:CW,101,FALSE)</f>
        <v>2026-10-24</v>
      </c>
      <c r="AM30" s="60" t="str">
        <f>VLOOKUP(D30,'2.Bookinglist'!A:BK,63,FALSE)</f>
        <v>LCHY5</v>
      </c>
      <c r="AN30" s="62" t="str">
        <f>VLOOKUP(D30,'2.Bookinglist'!A:AZ,52,FALSE)</f>
        <v>Pickup : 2026-10-20, Return : 2026-10-21
 ** PLEASE CHECK OPEN GATE BEFORE RETURN CNTR **
</v>
      </c>
      <c r="AO30" s="62">
        <f>VLOOKUP(D30,'2.Bookinglist'!A:CY,103,FALSE)</f>
        <v>0</v>
      </c>
    </row>
    <row r="31" ht="12.95" customHeight="1">
      <c r="A31" s="96" t="inlineStr">
        <is>
          <t>SKHU8916204</t>
        </is>
      </c>
      <c r="B31" s="184" t="str">
        <f>IF(C31=Charge!$M$1,Charge!$J$1,IF(C31=Charge!$M$23,Charge!$J$23,IF(C31=Charge!$M$17,Charge!$J$17,IF(C31=Charge!$N$17,Charge!$J$17,Charge!$J$7))))</f>
        <v>G2</v>
      </c>
      <c r="C31" s="61" t="str">
        <f>VLOOKUP(A31,'1.Loading'!A:R,14,FALSE)</f>
        <v>LCH01</v>
      </c>
      <c r="D31" s="61" t="str">
        <f>VLOOKUP(A31,'1.Loading'!A:R,17,FALSE)</f>
        <v>HASLS22261000813</v>
      </c>
      <c r="E31" s="62" t="str">
        <f>VLOOKUP(D31,'2.Bookinglist'!A:CT,27,FALSE)</f>
        <v>YUSEN LOGISTICS (THAILAND) CO., LTD.</v>
      </c>
      <c r="F31" s="62" t="str">
        <f>VLOOKUP(D31,'2.Bookinglist'!A:CT,28,FALSE)</f>
        <v>KURARAY CO., LTD.</v>
      </c>
      <c r="G31" s="60">
        <f>VLOOKUP(D31,'2.Bookinglist'!A:E,5,FALSE)</f>
        <v>0</v>
      </c>
      <c r="H31" s="61" t="str">
        <f>VLOOKUP(D31,'2.Bookinglist'!A:CT,15,FALSE)</f>
        <v>THLCH</v>
      </c>
      <c r="I31" s="61" t="str">
        <f>VLOOKUP(D31,'2.Bookinglist'!A:CT,19,FALSE)</f>
        <v>HKHKG</v>
      </c>
      <c r="J31" s="61">
        <f>VLOOKUP(D31,'2.Bookinglist'!A:CT,26,FALSE)</f>
        <v>0</v>
      </c>
      <c r="K31" s="61" t="str">
        <f>VLOOKUP(A31,'1.Loading'!A:R,5,FALSE)</f>
        <v>45GP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KMGY</v>
      </c>
      <c r="P31" s="61" t="str">
        <f>VLOOKUP(A31,'1.Loading'!A:R,4,FALSE)</f>
        <v>2611N</v>
      </c>
      <c r="Q31" s="61" t="str">
        <f>VLOOKUP(D31,'2.Bookinglist'!A:CT,12,FALSE)</f>
        <v>CHT</v>
      </c>
      <c r="R31" s="60" t="str">
        <f>IF(LEFT(K31,2)="22","20'","40'")</f>
        <v>40'</v>
      </c>
      <c r="S31" s="185" t="n"/>
      <c r="T31" s="61" t="str">
        <f>VLOOKUP(A31,'1.Loading'!A:R,2,FALSE)</f>
        <v>2026-10-25</v>
      </c>
      <c r="U31" s="63">
        <f>T31-S31</f>
        <v>46320</v>
      </c>
      <c r="V31" s="186" t="n"/>
      <c r="W31" s="61" t="str">
        <f>VLOOKUP(A31,'3.GateMove'!A:D,4,FALSE)</f>
        <v>2026-10-21</v>
      </c>
      <c r="X31" s="63">
        <f>((T31-W31)+1)</f>
        <v>5</v>
      </c>
      <c r="Y31" s="64">
        <f>IF(AND(OR(C31="BKK01",C31="BKK04"),L31="CFS/CY"),0,IF(M31="DG",1,IF(LEFT(C31,3)="LCH",7,IF(C31="BKK02",5,3))))</f>
        <v>7</v>
      </c>
      <c r="Z31" s="63">
        <f>IF(IF(AND(AC31="TML",AB31&gt;0),((T31-W31)+1)-AB31,((T31-W31)+1)-Y31)&gt;0,IF(AND(AC31="TML",AB31&gt;0),((T31-W31)+1)-AB31,((T31-W31)+1)-Y31),0)</f>
        <v>0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46321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0</v>
      </c>
      <c r="AJ31" s="188" t="n"/>
      <c r="AK31" s="62" t="str">
        <f>VLOOKUP(D31,'2.Bookinglist'!A:CT,40,FALSE)</f>
        <v>Vilaiporn</v>
      </c>
      <c r="AL31" s="60" t="str">
        <f>VLOOKUP(D31,'2.Bookinglist'!A:CW,101,FALSE)</f>
        <v>2026-10-24</v>
      </c>
      <c r="AM31" s="60" t="str">
        <f>VLOOKUP(D31,'2.Bookinglist'!A:BK,63,FALSE)</f>
        <v>LCHY5</v>
      </c>
      <c r="AN31" s="62" t="str">
        <f>VLOOKUP(D31,'2.Bookinglist'!A:AZ,52,FALSE)</f>
        <v>Pickup : 2026-10-17, Return : 2026-10-19 (1ST RTN 20/10 W/O RENT) 
 ** PLEASE CHECK OPEN GATE BEFORE RETURN CNTR **(EXTEND CLOSING DD.22/10/26 @23.59)</v>
      </c>
      <c r="AO31" s="62">
        <f>VLOOKUP(D31,'2.Bookinglist'!A:CY,103,FALSE)</f>
        <v>0</v>
      </c>
    </row>
    <row r="32" ht="12.95" customHeight="1">
      <c r="A32" s="96" t="inlineStr">
        <is>
          <t>SKHU9310844</t>
        </is>
      </c>
      <c r="B32" s="184" t="str">
        <f>IF(C32=Charge!$M$1,Charge!$J$1,IF(C32=Charge!$M$23,Charge!$J$23,IF(C32=Charge!$M$17,Charge!$J$17,IF(C32=Charge!$N$17,Charge!$J$17,Charge!$J$7))))</f>
        <v>G2</v>
      </c>
      <c r="C32" s="61" t="str">
        <f>VLOOKUP(A32,'1.Loading'!A:R,14,FALSE)</f>
        <v>LCH01</v>
      </c>
      <c r="D32" s="61" t="str">
        <f>VLOOKUP(A32,'1.Loading'!A:R,17,FALSE)</f>
        <v>HASLS22261000813</v>
      </c>
      <c r="E32" s="62" t="str">
        <f>VLOOKUP(D32,'2.Bookinglist'!A:CT,27,FALSE)</f>
        <v>YUSEN LOGISTICS (THAILAND) CO., LTD.</v>
      </c>
      <c r="F32" s="62" t="str">
        <f>VLOOKUP(D32,'2.Bookinglist'!A:CT,28,FALSE)</f>
        <v>KURARAY CO., LTD.</v>
      </c>
      <c r="G32" s="60">
        <f>VLOOKUP(D32,'2.Bookinglist'!A:E,5,FALSE)</f>
        <v>0</v>
      </c>
      <c r="H32" s="61" t="str">
        <f>VLOOKUP(D32,'2.Bookinglist'!A:CT,15,FALSE)</f>
        <v>THLCH</v>
      </c>
      <c r="I32" s="61" t="str">
        <f>VLOOKUP(D32,'2.Bookinglist'!A:CT,19,FALSE)</f>
        <v>HKHKG</v>
      </c>
      <c r="J32" s="61">
        <f>VLOOKUP(D32,'2.Bookinglist'!A:CT,26,FALSE)</f>
        <v>0</v>
      </c>
      <c r="K32" s="61" t="str">
        <f>VLOOKUP(A32,'1.Loading'!A:R,5,FALSE)</f>
        <v>45GP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KMGY</v>
      </c>
      <c r="P32" s="61" t="str">
        <f>VLOOKUP(A32,'1.Loading'!A:R,4,FALSE)</f>
        <v>2611N</v>
      </c>
      <c r="Q32" s="61" t="str">
        <f>VLOOKUP(D32,'2.Bookinglist'!A:CT,12,FALSE)</f>
        <v>CHT</v>
      </c>
      <c r="R32" s="60" t="str">
        <f>IF(LEFT(K32,2)="22","20'","40'")</f>
        <v>40'</v>
      </c>
      <c r="S32" s="185" t="n"/>
      <c r="T32" s="61" t="str">
        <f>VLOOKUP(A32,'1.Loading'!A:R,2,FALSE)</f>
        <v>2026-10-25</v>
      </c>
      <c r="U32" s="63">
        <f>T32-S32</f>
        <v>46320</v>
      </c>
      <c r="V32" s="186" t="n"/>
      <c r="W32" s="61" t="str">
        <f>VLOOKUP(A32,'3.GateMove'!A:D,4,FALSE)</f>
        <v>2026-10-22</v>
      </c>
      <c r="X32" s="63">
        <f>((T32-W32)+1)</f>
        <v>4</v>
      </c>
      <c r="Y32" s="64">
        <f>IF(AND(OR(C32="BKK01",C32="BKK04"),L32="CFS/CY"),0,IF(M32="DG",1,IF(LEFT(C32,3)="LCH",7,IF(C32="BKK02",5,3))))</f>
        <v>7</v>
      </c>
      <c r="Z32" s="63">
        <f>IF(IF(AND(AC32="TML",AB32&gt;0),((T32-W32)+1)-AB32,((T32-W32)+1)-Y32)&gt;0,IF(AND(AC32="TML",AB32&gt;0),((T32-W32)+1)-AB32,((T32-W32)+1)-Y32),0)</f>
        <v>0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46321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0</v>
      </c>
      <c r="AJ32" s="188" t="n"/>
      <c r="AK32" s="62" t="str">
        <f>VLOOKUP(D32,'2.Bookinglist'!A:CT,40,FALSE)</f>
        <v>Vilaiporn</v>
      </c>
      <c r="AL32" s="60" t="str">
        <f>VLOOKUP(D32,'2.Bookinglist'!A:CW,101,FALSE)</f>
        <v>2026-10-24</v>
      </c>
      <c r="AM32" s="60" t="str">
        <f>VLOOKUP(D32,'2.Bookinglist'!A:BK,63,FALSE)</f>
        <v>LCHY5</v>
      </c>
      <c r="AN32" s="62" t="str">
        <f>VLOOKUP(D32,'2.Bookinglist'!A:AZ,52,FALSE)</f>
        <v>Pickup : 2026-10-17, Return : 2026-10-19 (1ST RTN 20/10 W/O RENT) 
 ** PLEASE CHECK OPEN GATE BEFORE RETURN CNTR **(EXTEND CLOSING DD.22/10/26 @23.59)</v>
      </c>
      <c r="AO32" s="62">
        <f>VLOOKUP(D32,'2.Bookinglist'!A:CY,103,FALSE)</f>
        <v>0</v>
      </c>
    </row>
    <row r="33" ht="12.95" customHeight="1">
      <c r="A33" s="96" t="inlineStr">
        <is>
          <t>SKHU9312092</t>
        </is>
      </c>
      <c r="B33" s="184" t="str">
        <f>IF(C33=Charge!$M$1,Charge!$J$1,IF(C33=Charge!$M$23,Charge!$J$23,IF(C33=Charge!$M$17,Charge!$J$17,IF(C33=Charge!$N$17,Charge!$J$17,Charge!$J$7))))</f>
        <v>G2</v>
      </c>
      <c r="C33" s="61" t="str">
        <f>VLOOKUP(A33,'1.Loading'!A:R,14,FALSE)</f>
        <v>LCH01</v>
      </c>
      <c r="D33" s="61" t="str">
        <f>VLOOKUP(A33,'1.Loading'!A:R,17,FALSE)</f>
        <v>HASLS22261001156</v>
      </c>
      <c r="E33" s="62" t="str">
        <f>VLOOKUP(D33,'2.Bookinglist'!A:CT,27,FALSE)</f>
        <v>YUSEN LOGISTICS (THAILAND) CO., LTD.</v>
      </c>
      <c r="F33" s="62" t="str">
        <f>VLOOKUP(D33,'2.Bookinglist'!A:CT,28,FALSE)</f>
        <v>KURARAY GC ADVANCED MATERIALS CO.,LTD</v>
      </c>
      <c r="G33" s="60">
        <f>VLOOKUP(D33,'2.Bookinglist'!A:E,5,FALSE)</f>
        <v>0</v>
      </c>
      <c r="H33" s="61" t="str">
        <f>VLOOKUP(D33,'2.Bookinglist'!A:CT,15,FALSE)</f>
        <v>THLCH</v>
      </c>
      <c r="I33" s="61" t="str">
        <f>VLOOKUP(D33,'2.Bookinglist'!A:CT,19,FALSE)</f>
        <v>HKHKG</v>
      </c>
      <c r="J33" s="61">
        <f>VLOOKUP(D33,'2.Bookinglist'!A:CT,26,FALSE)</f>
        <v>0</v>
      </c>
      <c r="K33" s="61" t="str">
        <f>VLOOKUP(A33,'1.Loading'!A:R,5,FALSE)</f>
        <v>45GP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KMGY</v>
      </c>
      <c r="P33" s="61" t="str">
        <f>VLOOKUP(A33,'1.Loading'!A:R,4,FALSE)</f>
        <v>2611N</v>
      </c>
      <c r="Q33" s="61" t="str">
        <f>VLOOKUP(D33,'2.Bookinglist'!A:CT,12,FALSE)</f>
        <v>CHT</v>
      </c>
      <c r="R33" s="60" t="str">
        <f>IF(LEFT(K33,2)="22","20'","40'")</f>
        <v>40'</v>
      </c>
      <c r="S33" s="185" t="n"/>
      <c r="T33" s="61" t="str">
        <f>VLOOKUP(A33,'1.Loading'!A:R,2,FALSE)</f>
        <v>2026-10-25</v>
      </c>
      <c r="U33" s="63">
        <f>T33-S33</f>
        <v>46320</v>
      </c>
      <c r="V33" s="186" t="n"/>
      <c r="W33" s="61" t="str">
        <f>VLOOKUP(A33,'3.GateMove'!A:D,4,FALSE)</f>
        <v>2026-10-20</v>
      </c>
      <c r="X33" s="63">
        <f>((T33-W33)+1)</f>
        <v>6</v>
      </c>
      <c r="Y33" s="64">
        <f>IF(AND(OR(C33="BKK01",C33="BKK04"),L33="CFS/CY"),0,IF(M33="DG",1,IF(LEFT(C33,3)="LCH",7,IF(C33="BKK02",5,3))))</f>
        <v>7</v>
      </c>
      <c r="Z33" s="63">
        <f>IF(IF(AND(AC33="TML",AB33&gt;0),((T33-W33)+1)-AB33,((T33-W33)+1)-Y33)&gt;0,IF(AND(AC33="TML",AB33&gt;0),((T33-W33)+1)-AB33,((T33-W33)+1)-Y33),0)</f>
        <v>0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46321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0</v>
      </c>
      <c r="AJ33" s="188" t="n"/>
      <c r="AK33" s="62" t="str">
        <f>VLOOKUP(D33,'2.Bookinglist'!A:CT,40,FALSE)</f>
        <v>Vilaiporn</v>
      </c>
      <c r="AL33" s="60" t="str">
        <f>VLOOKUP(D33,'2.Bookinglist'!A:CW,101,FALSE)</f>
        <v>2026-10-24</v>
      </c>
      <c r="AM33" s="60" t="str">
        <f>VLOOKUP(D33,'2.Bookinglist'!A:BK,63,FALSE)</f>
        <v>LCH27</v>
      </c>
      <c r="AN33" s="62" t="str">
        <f>VLOOKUP(D33,'2.Bookinglist'!A:AZ,52,FALSE)</f>
        <v>Pickup : 2026-10-19, Return : 2026-10-20 (EXTEND CLOSING 22/10/26 @23.59)
 ** PLEASE CHECK OPEN GATE BEFORE RETURN C NTR ** </v>
      </c>
      <c r="AO33" s="62">
        <f>VLOOKUP(D33,'2.Bookinglist'!A:CY,103,FALSE)</f>
        <v>0</v>
      </c>
    </row>
    <row r="34" ht="12.95" customHeight="1">
      <c r="A34" s="96" t="inlineStr">
        <is>
          <t>SKHU9404603</t>
        </is>
      </c>
      <c r="B34" s="184" t="str">
        <f>IF(C34=Charge!$M$1,Charge!$J$1,IF(C34=Charge!$M$23,Charge!$J$23,IF(C34=Charge!$M$17,Charge!$J$17,IF(C34=Charge!$N$17,Charge!$J$17,Charge!$J$7))))</f>
        <v>G2</v>
      </c>
      <c r="C34" s="61" t="str">
        <f>VLOOKUP(A34,'1.Loading'!A:R,14,FALSE)</f>
        <v>LCH01</v>
      </c>
      <c r="D34" s="61" t="str">
        <f>VLOOKUP(A34,'1.Loading'!A:R,17,FALSE)</f>
        <v>HASLS22261000813</v>
      </c>
      <c r="E34" s="62" t="str">
        <f>VLOOKUP(D34,'2.Bookinglist'!A:CT,27,FALSE)</f>
        <v>YUSEN LOGISTICS (THAILAND) CO., LTD.</v>
      </c>
      <c r="F34" s="62" t="str">
        <f>VLOOKUP(D34,'2.Bookinglist'!A:CT,28,FALSE)</f>
        <v>KURARAY CO., LTD.</v>
      </c>
      <c r="G34" s="60">
        <f>VLOOKUP(D34,'2.Bookinglist'!A:E,5,FALSE)</f>
        <v>0</v>
      </c>
      <c r="H34" s="61" t="str">
        <f>VLOOKUP(D34,'2.Bookinglist'!A:CT,15,FALSE)</f>
        <v>THLCH</v>
      </c>
      <c r="I34" s="61" t="str">
        <f>VLOOKUP(D34,'2.Bookinglist'!A:CT,19,FALSE)</f>
        <v>HKHKG</v>
      </c>
      <c r="J34" s="61">
        <f>VLOOKUP(D34,'2.Bookinglist'!A:CT,26,FALSE)</f>
        <v>0</v>
      </c>
      <c r="K34" s="61" t="str">
        <f>VLOOKUP(A34,'1.Loading'!A:R,5,FALSE)</f>
        <v>45GP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KMGY</v>
      </c>
      <c r="P34" s="61" t="str">
        <f>VLOOKUP(A34,'1.Loading'!A:R,4,FALSE)</f>
        <v>2611N</v>
      </c>
      <c r="Q34" s="61" t="str">
        <f>VLOOKUP(D34,'2.Bookinglist'!A:CT,12,FALSE)</f>
        <v>CHT</v>
      </c>
      <c r="R34" s="60" t="str">
        <f>IF(LEFT(K34,2)="22","20'","40'")</f>
        <v>40'</v>
      </c>
      <c r="S34" s="185" t="n"/>
      <c r="T34" s="61" t="str">
        <f>VLOOKUP(A34,'1.Loading'!A:R,2,FALSE)</f>
        <v>2026-10-25</v>
      </c>
      <c r="U34" s="63">
        <f>T34-S34</f>
        <v>46320</v>
      </c>
      <c r="V34" s="186" t="n"/>
      <c r="W34" s="61" t="str">
        <f>VLOOKUP(A34,'3.GateMove'!A:D,4,FALSE)</f>
        <v>2026-10-22</v>
      </c>
      <c r="X34" s="63">
        <f>((T34-W34)+1)</f>
        <v>4</v>
      </c>
      <c r="Y34" s="64">
        <f>IF(AND(OR(C34="BKK01",C34="BKK04"),L34="CFS/CY"),0,IF(M34="DG",1,IF(LEFT(C34,3)="LCH",7,IF(C34="BKK02",5,3))))</f>
        <v>7</v>
      </c>
      <c r="Z34" s="63">
        <f>IF(IF(AND(AC34="TML",AB34&gt;0),((T34-W34)+1)-AB34,((T34-W34)+1)-Y34)&gt;0,IF(AND(AC34="TML",AB34&gt;0),((T34-W34)+1)-AB34,((T34-W34)+1)-Y34),0)</f>
        <v>0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46321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0</v>
      </c>
      <c r="AJ34" s="188" t="n"/>
      <c r="AK34" s="62" t="str">
        <f>VLOOKUP(D34,'2.Bookinglist'!A:CT,40,FALSE)</f>
        <v>Vilaiporn</v>
      </c>
      <c r="AL34" s="60" t="str">
        <f>VLOOKUP(D34,'2.Bookinglist'!A:CW,101,FALSE)</f>
        <v>2026-10-24</v>
      </c>
      <c r="AM34" s="60" t="str">
        <f>VLOOKUP(D34,'2.Bookinglist'!A:BK,63,FALSE)</f>
        <v>LCHY5</v>
      </c>
      <c r="AN34" s="62" t="str">
        <f>VLOOKUP(D34,'2.Bookinglist'!A:AZ,52,FALSE)</f>
        <v>Pickup : 2026-10-17, Return : 2026-10-19 (1ST RTN 20/10 W/O RENT) 
 ** PLEASE CHECK OPEN GATE BEFORE RETURN CNTR **(EXTEND CLOSING DD.22/10/26 @23.59)</v>
      </c>
      <c r="AO34" s="62">
        <f>VLOOKUP(D34,'2.Bookinglist'!A:CY,103,FALSE)</f>
        <v>0</v>
      </c>
    </row>
    <row r="35" ht="12.95" customHeight="1">
      <c r="A35" s="96" t="inlineStr">
        <is>
          <t>SKHU9415212</t>
        </is>
      </c>
      <c r="B35" s="184" t="str">
        <f>IF(C35=Charge!$M$1,Charge!$J$1,IF(C35=Charge!$M$23,Charge!$J$23,IF(C35=Charge!$M$17,Charge!$J$17,IF(C35=Charge!$N$17,Charge!$J$17,Charge!$J$7))))</f>
        <v>G2</v>
      </c>
      <c r="C35" s="61" t="str">
        <f>VLOOKUP(A35,'1.Loading'!A:R,14,FALSE)</f>
        <v>LCH01</v>
      </c>
      <c r="D35" s="61" t="str">
        <f>VLOOKUP(A35,'1.Loading'!A:R,17,FALSE)</f>
        <v>HASLS22260902742</v>
      </c>
      <c r="E35" s="62" t="str">
        <f>VLOOKUP(D35,'2.Bookinglist'!A:CT,27,FALSE)</f>
        <v>SEA &amp; AERO LOGISTICS CO., LTD.</v>
      </c>
      <c r="F35" s="62" t="str">
        <f>VLOOKUP(D35,'2.Bookinglist'!A:CT,28,FALSE)</f>
        <v>GOTO (THAILAND) CO.,LTD.</v>
      </c>
      <c r="G35" s="60">
        <f>VLOOKUP(D35,'2.Bookinglist'!A:E,5,FALSE)</f>
        <v>0</v>
      </c>
      <c r="H35" s="61" t="str">
        <f>VLOOKUP(D35,'2.Bookinglist'!A:CT,15,FALSE)</f>
        <v>THLCH</v>
      </c>
      <c r="I35" s="61" t="str">
        <f>VLOOKUP(D35,'2.Bookinglist'!A:CT,19,FALSE)</f>
        <v>HKHKG</v>
      </c>
      <c r="J35" s="61">
        <f>VLOOKUP(D35,'2.Bookinglist'!A:CT,26,FALSE)</f>
        <v>0</v>
      </c>
      <c r="K35" s="61" t="str">
        <f>VLOOKUP(A35,'1.Loading'!A:R,5,FALSE)</f>
        <v>45GP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KMGY</v>
      </c>
      <c r="P35" s="61" t="str">
        <f>VLOOKUP(A35,'1.Loading'!A:R,4,FALSE)</f>
        <v>2611N</v>
      </c>
      <c r="Q35" s="61" t="str">
        <f>VLOOKUP(D35,'2.Bookinglist'!A:CT,12,FALSE)</f>
        <v>CHT</v>
      </c>
      <c r="R35" s="60" t="str">
        <f>IF(LEFT(K35,2)="22","20'","40'")</f>
        <v>40'</v>
      </c>
      <c r="S35" s="185" t="n"/>
      <c r="T35" s="61" t="str">
        <f>VLOOKUP(A35,'1.Loading'!A:R,2,FALSE)</f>
        <v>2026-10-25</v>
      </c>
      <c r="U35" s="63">
        <f>T35-S35</f>
        <v>46320</v>
      </c>
      <c r="V35" s="186" t="n"/>
      <c r="W35" s="61" t="str">
        <f>VLOOKUP(A35,'3.GateMove'!A:D,4,FALSE)</f>
        <v>2026-10-18</v>
      </c>
      <c r="X35" s="63">
        <f>((T35-W35)+1)</f>
        <v>8</v>
      </c>
      <c r="Y35" s="64">
        <f>IF(AND(OR(C35="BKK01",C35="BKK04"),L35="CFS/CY"),0,IF(M35="DG",1,IF(LEFT(C35,3)="LCH",7,IF(C35="BKK02",5,3))))</f>
        <v>7</v>
      </c>
      <c r="Z35" s="63">
        <f>IF(IF(AND(AC35="TML",AB35&gt;0),((T35-W35)+1)-AB35,((T35-W35)+1)-Y35)&gt;0,IF(AND(AC35="TML",AB35&gt;0),((T35-W35)+1)-AB35,((T35-W35)+1)-Y35),0)</f>
        <v>1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250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46321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250</v>
      </c>
      <c r="AJ35" s="188" t="n"/>
      <c r="AK35" s="62" t="str">
        <f>VLOOKUP(D35,'2.Bookinglist'!A:CT,40,FALSE)</f>
        <v>Vilaiporn</v>
      </c>
      <c r="AL35" s="60" t="str">
        <f>VLOOKUP(D35,'2.Bookinglist'!A:CW,101,FALSE)</f>
        <v>2026-10-21</v>
      </c>
      <c r="AM35" s="60" t="str">
        <f>VLOOKUP(D35,'2.Bookinglist'!A:BK,63,FALSE)</f>
        <v>LCHY5</v>
      </c>
      <c r="AN35" s="62" t="str">
        <f>VLOOKUP(D35,'2.Bookinglist'!A:AZ,52,FALSE)</f>
        <v>Pickup : 2026-10-17, Return : 2026-10-18  // ADD COST NEW SEAL = 700 BAHT 
** PLEASE CHECK OPEN GATE BEFORE RETURN CONTAINER ** </v>
      </c>
      <c r="AO35" s="62">
        <f>VLOOKUP(D35,'2.Bookinglist'!A:CY,103,FALSE)</f>
        <v>0</v>
      </c>
    </row>
    <row r="36" ht="12.95" customHeight="1">
      <c r="A36" s="96" t="inlineStr">
        <is>
          <t>SKHU9420482</t>
        </is>
      </c>
      <c r="B36" s="184" t="str">
        <f>IF(C36=Charge!$M$1,Charge!$J$1,IF(C36=Charge!$M$23,Charge!$J$23,IF(C36=Charge!$M$17,Charge!$J$17,IF(C36=Charge!$N$17,Charge!$J$17,Charge!$J$7))))</f>
        <v>G2</v>
      </c>
      <c r="C36" s="61" t="str">
        <f>VLOOKUP(A36,'1.Loading'!A:R,14,FALSE)</f>
        <v>LCH01</v>
      </c>
      <c r="D36" s="61" t="str">
        <f>VLOOKUP(A36,'1.Loading'!A:R,17,FALSE)</f>
        <v>HASLS22261000813</v>
      </c>
      <c r="E36" s="62" t="str">
        <f>VLOOKUP(D36,'2.Bookinglist'!A:CT,27,FALSE)</f>
        <v>YUSEN LOGISTICS (THAILAND) CO., LTD.</v>
      </c>
      <c r="F36" s="62" t="str">
        <f>VLOOKUP(D36,'2.Bookinglist'!A:CT,28,FALSE)</f>
        <v>KURARAY CO., LTD.</v>
      </c>
      <c r="G36" s="60">
        <f>VLOOKUP(D36,'2.Bookinglist'!A:E,5,FALSE)</f>
        <v>0</v>
      </c>
      <c r="H36" s="61" t="str">
        <f>VLOOKUP(D36,'2.Bookinglist'!A:CT,15,FALSE)</f>
        <v>THLCH</v>
      </c>
      <c r="I36" s="61" t="str">
        <f>VLOOKUP(D36,'2.Bookinglist'!A:CT,19,FALSE)</f>
        <v>HKHKG</v>
      </c>
      <c r="J36" s="61">
        <f>VLOOKUP(D36,'2.Bookinglist'!A:CT,26,FALSE)</f>
        <v>0</v>
      </c>
      <c r="K36" s="61" t="str">
        <f>VLOOKUP(A36,'1.Loading'!A:R,5,FALSE)</f>
        <v>45GP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KMGY</v>
      </c>
      <c r="P36" s="61" t="str">
        <f>VLOOKUP(A36,'1.Loading'!A:R,4,FALSE)</f>
        <v>2611N</v>
      </c>
      <c r="Q36" s="61" t="str">
        <f>VLOOKUP(D36,'2.Bookinglist'!A:CT,12,FALSE)</f>
        <v>CHT</v>
      </c>
      <c r="R36" s="60" t="str">
        <f>IF(LEFT(K36,2)="22","20'","40'")</f>
        <v>40'</v>
      </c>
      <c r="S36" s="185" t="n"/>
      <c r="T36" s="61" t="str">
        <f>VLOOKUP(A36,'1.Loading'!A:R,2,FALSE)</f>
        <v>2026-10-25</v>
      </c>
      <c r="U36" s="63">
        <f>T36-S36</f>
        <v>46320</v>
      </c>
      <c r="V36" s="186" t="n"/>
      <c r="W36" s="61" t="str">
        <f>VLOOKUP(A36,'3.GateMove'!A:D,4,FALSE)</f>
        <v>2026-10-22</v>
      </c>
      <c r="X36" s="63">
        <f>((T36-W36)+1)</f>
        <v>4</v>
      </c>
      <c r="Y36" s="64">
        <f>IF(AND(OR(C36="BKK01",C36="BKK04"),L36="CFS/CY"),0,IF(M36="DG",1,IF(LEFT(C36,3)="LCH",7,IF(C36="BKK02",5,3))))</f>
        <v>7</v>
      </c>
      <c r="Z36" s="63">
        <f>IF(IF(AND(AC36="TML",AB36&gt;0),((T36-W36)+1)-AB36,((T36-W36)+1)-Y36)&gt;0,IF(AND(AC36="TML",AB36&gt;0),((T36-W36)+1)-AB36,((T36-W36)+1)-Y36),0)</f>
        <v>0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46321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0</v>
      </c>
      <c r="AJ36" s="188" t="n"/>
      <c r="AK36" s="62" t="str">
        <f>VLOOKUP(D36,'2.Bookinglist'!A:CT,40,FALSE)</f>
        <v>Vilaiporn</v>
      </c>
      <c r="AL36" s="60" t="str">
        <f>VLOOKUP(D36,'2.Bookinglist'!A:CW,101,FALSE)</f>
        <v>2026-10-24</v>
      </c>
      <c r="AM36" s="60" t="str">
        <f>VLOOKUP(D36,'2.Bookinglist'!A:BK,63,FALSE)</f>
        <v>LCHY5</v>
      </c>
      <c r="AN36" s="62" t="str">
        <f>VLOOKUP(D36,'2.Bookinglist'!A:AZ,52,FALSE)</f>
        <v>Pickup : 2026-10-17, Return : 2026-10-19 (1ST RTN 20/10 W/O RENT) 
 ** PLEASE CHECK OPEN GATE BEFORE RETURN CNTR **(EXTEND CLOSING DD.22/10/26 @23.59)</v>
      </c>
      <c r="AO36" s="62">
        <f>VLOOKUP(D36,'2.Bookinglist'!A:CY,103,FALSE)</f>
        <v>0</v>
      </c>
    </row>
    <row r="37" ht="12.95" customHeight="1">
      <c r="A37" s="96" t="inlineStr">
        <is>
          <t>SKHU9531450</t>
        </is>
      </c>
      <c r="B37" s="184" t="str">
        <f>IF(C37=Charge!$M$1,Charge!$J$1,IF(C37=Charge!$M$23,Charge!$J$23,IF(C37=Charge!$M$17,Charge!$J$17,IF(C37=Charge!$N$17,Charge!$J$17,Charge!$J$7))))</f>
        <v>G2</v>
      </c>
      <c r="C37" s="61" t="str">
        <f>VLOOKUP(A37,'1.Loading'!A:R,14,FALSE)</f>
        <v>LCH01</v>
      </c>
      <c r="D37" s="61" t="str">
        <f>VLOOKUP(A37,'1.Loading'!A:R,17,FALSE)</f>
        <v>HASLS22261000031</v>
      </c>
      <c r="E37" s="62" t="str">
        <f>VLOOKUP(D37,'2.Bookinglist'!A:CT,27,FALSE)</f>
        <v>KWE-KINTETSU WORLD EXPRESS (THAILAND) CO., LTD.</v>
      </c>
      <c r="F37" s="62" t="str">
        <f>VLOOKUP(D37,'2.Bookinglist'!A:CT,28,FALSE)</f>
        <v>ASIAN HONDA MOTOR CO., LTD.</v>
      </c>
      <c r="G37" s="60">
        <f>VLOOKUP(D37,'2.Bookinglist'!A:E,5,FALSE)</f>
        <v>0</v>
      </c>
      <c r="H37" s="61" t="str">
        <f>VLOOKUP(D37,'2.Bookinglist'!A:CT,15,FALSE)</f>
        <v>THLCH</v>
      </c>
      <c r="I37" s="61" t="str">
        <f>VLOOKUP(D37,'2.Bookinglist'!A:CT,19,FALSE)</f>
        <v>KRINC</v>
      </c>
      <c r="J37" s="61">
        <f>VLOOKUP(D37,'2.Bookinglist'!A:CT,26,FALSE)</f>
        <v>0</v>
      </c>
      <c r="K37" s="61" t="str">
        <f>VLOOKUP(A37,'1.Loading'!A:R,5,FALSE)</f>
        <v>45GP</v>
      </c>
      <c r="L37" s="60" t="str">
        <f>VLOOKUP(D37,'2.Bookinglist'!A:CT,85,FALSE)</f>
        <v>CY/CY</v>
      </c>
      <c r="M37" s="60" t="str">
        <f>IF(VLOOKUP(D37,'2.Bookinglist'!A:CT,43,FALSE)=0,"","DG")</f>
        <v>DG</v>
      </c>
      <c r="N37" s="60" t="str">
        <f>IF(RIGHT(K37,2)="RE","RF","")</f>
        <v/>
      </c>
      <c r="O37" s="61" t="str">
        <f>VLOOKUP(A37,'1.Loading'!A:R,3,FALSE)</f>
        <v>KMGY</v>
      </c>
      <c r="P37" s="61" t="str">
        <f>VLOOKUP(A37,'1.Loading'!A:R,4,FALSE)</f>
        <v>2611N</v>
      </c>
      <c r="Q37" s="61" t="str">
        <f>VLOOKUP(D37,'2.Bookinglist'!A:CT,12,FALSE)</f>
        <v>CHT</v>
      </c>
      <c r="R37" s="60" t="str">
        <f>IF(LEFT(K37,2)="22","20'","40'")</f>
        <v>40'</v>
      </c>
      <c r="S37" s="185" t="n"/>
      <c r="T37" s="61" t="str">
        <f>VLOOKUP(A37,'1.Loading'!A:R,2,FALSE)</f>
        <v>2026-10-25</v>
      </c>
      <c r="U37" s="63">
        <f>T37-S37</f>
        <v>46320</v>
      </c>
      <c r="V37" s="186" t="n"/>
      <c r="W37" s="189" t="n">
        <v>46320</v>
      </c>
      <c r="X37" s="63">
        <f>((T37-W37)+1)</f>
        <v>1</v>
      </c>
      <c r="Y37" s="64">
        <f>IF(AND(OR(C37="BKK01",C37="BKK04"),L37="CFS/CY"),0,IF(M37="DG",1,IF(LEFT(C37,3)="LCH",7,IF(C37="BKK02",5,3))))</f>
        <v>1</v>
      </c>
      <c r="Z37" s="63">
        <f>IF(IF(AND(AC37="TML",AB37&gt;0),((T37-W37)+1)-AB37,((T37-W37)+1)-Y37)&gt;0,IF(AND(AC37="TML",AB37&gt;0),((T37-W37)+1)-AB37,((T37-W37)+1)-Y37),0)</f>
        <v>0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0</v>
      </c>
      <c r="AB37" s="184" t="n"/>
      <c r="AC37" s="184" t="n"/>
      <c r="AD37" s="60">
        <f>IF(M37="DG",3,IF(N37="RF",3,5))+IF(AND(LEFT(C37,3)="BKK",N37="RF",Q37="KTS"),1,0)+IF(Q37="KHS",1,0)</f>
        <v>3</v>
      </c>
      <c r="AE37" s="63">
        <f>(T37-V37)+1</f>
        <v>46321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0</v>
      </c>
      <c r="AJ37" s="188" t="inlineStr">
        <is>
          <t>DG LCH: Location ใน GATE (ไม่มี) ไม่ตรง LWharf LCH01 ใช้ ETD เป็นวันตู้เข้า</t>
        </is>
      </c>
      <c r="AK37" s="62" t="str">
        <f>VLOOKUP(D37,'2.Bookinglist'!A:CT,40,FALSE)</f>
        <v>Arunphat W. (Aiw)</v>
      </c>
      <c r="AL37" s="60" t="str">
        <f>VLOOKUP(D37,'2.Bookinglist'!A:CW,101,FALSE)</f>
        <v>2026-10-21</v>
      </c>
      <c r="AM37" s="60" t="str">
        <f>VLOOKUP(D37,'2.Bookinglist'!A:BK,63,FALSE)</f>
        <v>LCH28</v>
      </c>
      <c r="AN37" s="62" t="str">
        <f>VLOOKUP(D37,'2.Bookinglist'!A:AZ,52,FALSE)</f>
        <v>**APPROVAL BY MR.JEONG-YONG UM DD.14/10/2026** DG45GPx1 (CLS 8 / UN 2800) 
Pickup : 2026-10-20, Return : 2026-10-21</v>
      </c>
      <c r="AO37" s="62">
        <f>VLOOKUP(D37,'2.Bookinglist'!A:CY,103,FALSE)</f>
        <v>0</v>
      </c>
    </row>
    <row r="38" ht="12.95" customHeight="1">
      <c r="A38" s="96" t="inlineStr">
        <is>
          <t>SKHU9539445</t>
        </is>
      </c>
      <c r="B38" s="184" t="str">
        <f>IF(C38=Charge!$M$1,Charge!$J$1,IF(C38=Charge!$M$23,Charge!$J$23,IF(C38=Charge!$M$17,Charge!$J$17,IF(C38=Charge!$N$17,Charge!$J$17,Charge!$J$7))))</f>
        <v>G2</v>
      </c>
      <c r="C38" s="61" t="str">
        <f>VLOOKUP(A38,'1.Loading'!A:R,14,FALSE)</f>
        <v>LCH01</v>
      </c>
      <c r="D38" s="61" t="str">
        <f>VLOOKUP(A38,'1.Loading'!A:R,17,FALSE)</f>
        <v>HASLS22260902742</v>
      </c>
      <c r="E38" s="62" t="str">
        <f>VLOOKUP(D38,'2.Bookinglist'!A:CT,27,FALSE)</f>
        <v>SEA &amp; AERO LOGISTICS CO., LTD.</v>
      </c>
      <c r="F38" s="62" t="str">
        <f>VLOOKUP(D38,'2.Bookinglist'!A:CT,28,FALSE)</f>
        <v>GOTO (THAILAND) CO.,LTD.</v>
      </c>
      <c r="G38" s="60">
        <f>VLOOKUP(D38,'2.Bookinglist'!A:E,5,FALSE)</f>
        <v>0</v>
      </c>
      <c r="H38" s="61" t="str">
        <f>VLOOKUP(D38,'2.Bookinglist'!A:CT,15,FALSE)</f>
        <v>THLCH</v>
      </c>
      <c r="I38" s="61" t="str">
        <f>VLOOKUP(D38,'2.Bookinglist'!A:CT,19,FALSE)</f>
        <v>HKHKG</v>
      </c>
      <c r="J38" s="61">
        <f>VLOOKUP(D38,'2.Bookinglist'!A:CT,26,FALSE)</f>
        <v>0</v>
      </c>
      <c r="K38" s="61" t="str">
        <f>VLOOKUP(A38,'1.Loading'!A:R,5,FALSE)</f>
        <v>45GP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KMGY</v>
      </c>
      <c r="P38" s="61" t="str">
        <f>VLOOKUP(A38,'1.Loading'!A:R,4,FALSE)</f>
        <v>2611N</v>
      </c>
      <c r="Q38" s="61" t="str">
        <f>VLOOKUP(D38,'2.Bookinglist'!A:CT,12,FALSE)</f>
        <v>CHT</v>
      </c>
      <c r="R38" s="60" t="str">
        <f>IF(LEFT(K38,2)="22","20'","40'")</f>
        <v>40'</v>
      </c>
      <c r="S38" s="185" t="n"/>
      <c r="T38" s="61" t="str">
        <f>VLOOKUP(A38,'1.Loading'!A:R,2,FALSE)</f>
        <v>2026-10-25</v>
      </c>
      <c r="U38" s="63">
        <f>T38-S38</f>
        <v>46320</v>
      </c>
      <c r="V38" s="186" t="n"/>
      <c r="W38" s="61" t="str">
        <f>VLOOKUP(A38,'3.GateMove'!A:D,4,FALSE)</f>
        <v>2026-10-20</v>
      </c>
      <c r="X38" s="63">
        <f>((T38-W38)+1)</f>
        <v>6</v>
      </c>
      <c r="Y38" s="64">
        <f>IF(AND(OR(C38="BKK01",C38="BKK04"),L38="CFS/CY"),0,IF(M38="DG",1,IF(LEFT(C38,3)="LCH",7,IF(C38="BKK02",5,3))))</f>
        <v>7</v>
      </c>
      <c r="Z38" s="63">
        <f>IF(IF(AND(AC38="TML",AB38&gt;0),((T38-W38)+1)-AB38,((T38-W38)+1)-Y38)&gt;0,IF(AND(AC38="TML",AB38&gt;0),((T38-W38)+1)-AB38,((T38-W38)+1)-Y38),0)</f>
        <v>0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46321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0</v>
      </c>
      <c r="AJ38" s="188" t="n"/>
      <c r="AK38" s="62" t="str">
        <f>VLOOKUP(D38,'2.Bookinglist'!A:CT,40,FALSE)</f>
        <v>Vilaiporn</v>
      </c>
      <c r="AL38" s="60" t="str">
        <f>VLOOKUP(D38,'2.Bookinglist'!A:CW,101,FALSE)</f>
        <v>2026-10-21</v>
      </c>
      <c r="AM38" s="60" t="str">
        <f>VLOOKUP(D38,'2.Bookinglist'!A:BK,63,FALSE)</f>
        <v>LCHY5</v>
      </c>
      <c r="AN38" s="62" t="str">
        <f>VLOOKUP(D38,'2.Bookinglist'!A:AZ,52,FALSE)</f>
        <v>Pickup : 2026-10-17, Return : 2026-10-18  // ADD COST NEW SEAL = 700 BAHT 
** PLEASE CHECK OPEN GATE BEFORE RETURN CONTAINER ** </v>
      </c>
      <c r="AO38" s="62">
        <f>VLOOKUP(D38,'2.Bookinglist'!A:CY,103,FALSE)</f>
        <v>0</v>
      </c>
    </row>
    <row r="39" ht="12.95" customHeight="1">
      <c r="A39" s="96" t="inlineStr">
        <is>
          <t>SKHU9604849</t>
        </is>
      </c>
      <c r="B39" s="184" t="str">
        <f>IF(C39=Charge!$M$1,Charge!$J$1,IF(C39=Charge!$M$23,Charge!$J$23,IF(C39=Charge!$M$17,Charge!$J$17,IF(C39=Charge!$N$17,Charge!$J$17,Charge!$J$7))))</f>
        <v>G2</v>
      </c>
      <c r="C39" s="61" t="str">
        <f>VLOOKUP(A39,'1.Loading'!A:R,14,FALSE)</f>
        <v>LCH01</v>
      </c>
      <c r="D39" s="61" t="str">
        <f>VLOOKUP(A39,'1.Loading'!A:R,17,FALSE)</f>
        <v>HASLS22261000813</v>
      </c>
      <c r="E39" s="62" t="str">
        <f>VLOOKUP(D39,'2.Bookinglist'!A:CT,27,FALSE)</f>
        <v>YUSEN LOGISTICS (THAILAND) CO., LTD.</v>
      </c>
      <c r="F39" s="62" t="str">
        <f>VLOOKUP(D39,'2.Bookinglist'!A:CT,28,FALSE)</f>
        <v>KURARAY CO., LTD.</v>
      </c>
      <c r="G39" s="60">
        <f>VLOOKUP(D39,'2.Bookinglist'!A:E,5,FALSE)</f>
        <v>0</v>
      </c>
      <c r="H39" s="61" t="str">
        <f>VLOOKUP(D39,'2.Bookinglist'!A:CT,15,FALSE)</f>
        <v>THLCH</v>
      </c>
      <c r="I39" s="61" t="str">
        <f>VLOOKUP(D39,'2.Bookinglist'!A:CT,19,FALSE)</f>
        <v>HKHKG</v>
      </c>
      <c r="J39" s="61">
        <f>VLOOKUP(D39,'2.Bookinglist'!A:CT,26,FALSE)</f>
        <v>0</v>
      </c>
      <c r="K39" s="61" t="str">
        <f>VLOOKUP(A39,'1.Loading'!A:R,5,FALSE)</f>
        <v>45GP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KMGY</v>
      </c>
      <c r="P39" s="61" t="str">
        <f>VLOOKUP(A39,'1.Loading'!A:R,4,FALSE)</f>
        <v>2611N</v>
      </c>
      <c r="Q39" s="61" t="str">
        <f>VLOOKUP(D39,'2.Bookinglist'!A:CT,12,FALSE)</f>
        <v>CHT</v>
      </c>
      <c r="R39" s="60" t="str">
        <f>IF(LEFT(K39,2)="22","20'","40'")</f>
        <v>40'</v>
      </c>
      <c r="S39" s="185" t="n"/>
      <c r="T39" s="61" t="str">
        <f>VLOOKUP(A39,'1.Loading'!A:R,2,FALSE)</f>
        <v>2026-10-25</v>
      </c>
      <c r="U39" s="63">
        <f>T39-S39</f>
        <v>46320</v>
      </c>
      <c r="V39" s="186" t="n"/>
      <c r="W39" s="61" t="str">
        <f>VLOOKUP(A39,'3.GateMove'!A:D,4,FALSE)</f>
        <v>2026-10-21</v>
      </c>
      <c r="X39" s="63">
        <f>((T39-W39)+1)</f>
        <v>5</v>
      </c>
      <c r="Y39" s="64">
        <f>IF(AND(OR(C39="BKK01",C39="BKK04"),L39="CFS/CY"),0,IF(M39="DG",1,IF(LEFT(C39,3)="LCH",7,IF(C39="BKK02",5,3))))</f>
        <v>7</v>
      </c>
      <c r="Z39" s="63">
        <f>IF(IF(AND(AC39="TML",AB39&gt;0),((T39-W39)+1)-AB39,((T39-W39)+1)-Y39)&gt;0,IF(AND(AC39="TML",AB39&gt;0),((T39-W39)+1)-AB39,((T39-W39)+1)-Y39),0)</f>
        <v>0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46321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0</v>
      </c>
      <c r="AJ39" s="188" t="n"/>
      <c r="AK39" s="62" t="str">
        <f>VLOOKUP(D39,'2.Bookinglist'!A:CT,40,FALSE)</f>
        <v>Vilaiporn</v>
      </c>
      <c r="AL39" s="60" t="str">
        <f>VLOOKUP(D39,'2.Bookinglist'!A:CW,101,FALSE)</f>
        <v>2026-10-24</v>
      </c>
      <c r="AM39" s="60" t="str">
        <f>VLOOKUP(D39,'2.Bookinglist'!A:BK,63,FALSE)</f>
        <v>LCHY5</v>
      </c>
      <c r="AN39" s="62" t="str">
        <f>VLOOKUP(D39,'2.Bookinglist'!A:AZ,52,FALSE)</f>
        <v>Pickup : 2026-10-17, Return : 2026-10-19 (1ST RTN 20/10 W/O RENT) 
 ** PLEASE CHECK OPEN GATE BEFORE RETURN CNTR **(EXTEND CLOSING DD.22/10/26 @23.59)</v>
      </c>
      <c r="AO39" s="62">
        <f>VLOOKUP(D39,'2.Bookinglist'!A:CY,103,FALSE)</f>
        <v>0</v>
      </c>
    </row>
    <row r="40" ht="12.95" customHeight="1">
      <c r="A40" s="96" t="inlineStr">
        <is>
          <t>SKHU9627567</t>
        </is>
      </c>
      <c r="B40" s="184" t="str">
        <f>IF(C40=Charge!$M$1,Charge!$J$1,IF(C40=Charge!$M$23,Charge!$J$23,IF(C40=Charge!$M$17,Charge!$J$17,IF(C40=Charge!$N$17,Charge!$J$17,Charge!$J$7))))</f>
        <v>G2</v>
      </c>
      <c r="C40" s="61" t="str">
        <f>VLOOKUP(A40,'1.Loading'!A:R,14,FALSE)</f>
        <v>LCH01</v>
      </c>
      <c r="D40" s="61" t="str">
        <f>VLOOKUP(A40,'1.Loading'!A:R,17,FALSE)</f>
        <v>HASLS22261001156</v>
      </c>
      <c r="E40" s="62" t="str">
        <f>VLOOKUP(D40,'2.Bookinglist'!A:CT,27,FALSE)</f>
        <v>YUSEN LOGISTICS (THAILAND) CO., LTD.</v>
      </c>
      <c r="F40" s="62" t="str">
        <f>VLOOKUP(D40,'2.Bookinglist'!A:CT,28,FALSE)</f>
        <v>KURARAY GC ADVANCED MATERIALS CO.,LTD</v>
      </c>
      <c r="G40" s="60">
        <f>VLOOKUP(D40,'2.Bookinglist'!A:E,5,FALSE)</f>
        <v>0</v>
      </c>
      <c r="H40" s="61" t="str">
        <f>VLOOKUP(D40,'2.Bookinglist'!A:CT,15,FALSE)</f>
        <v>THLCH</v>
      </c>
      <c r="I40" s="61" t="str">
        <f>VLOOKUP(D40,'2.Bookinglist'!A:CT,19,FALSE)</f>
        <v>HKHKG</v>
      </c>
      <c r="J40" s="61">
        <f>VLOOKUP(D40,'2.Bookinglist'!A:CT,26,FALSE)</f>
        <v>0</v>
      </c>
      <c r="K40" s="61" t="str">
        <f>VLOOKUP(A40,'1.Loading'!A:R,5,FALSE)</f>
        <v>45GP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KMGY</v>
      </c>
      <c r="P40" s="61" t="str">
        <f>VLOOKUP(A40,'1.Loading'!A:R,4,FALSE)</f>
        <v>2611N</v>
      </c>
      <c r="Q40" s="61" t="str">
        <f>VLOOKUP(D40,'2.Bookinglist'!A:CT,12,FALSE)</f>
        <v>CHT</v>
      </c>
      <c r="R40" s="60" t="str">
        <f>IF(LEFT(K40,2)="22","20'","40'")</f>
        <v>40'</v>
      </c>
      <c r="S40" s="185" t="n"/>
      <c r="T40" s="61" t="str">
        <f>VLOOKUP(A40,'1.Loading'!A:R,2,FALSE)</f>
        <v>2026-10-25</v>
      </c>
      <c r="U40" s="63">
        <f>T40-S40</f>
        <v>46320</v>
      </c>
      <c r="V40" s="186" t="n"/>
      <c r="W40" s="61" t="str">
        <f>VLOOKUP(A40,'3.GateMove'!A:D,4,FALSE)</f>
        <v>2026-10-21</v>
      </c>
      <c r="X40" s="63">
        <f>((T40-W40)+1)</f>
        <v>5</v>
      </c>
      <c r="Y40" s="64">
        <f>IF(AND(OR(C40="BKK01",C40="BKK04"),L40="CFS/CY"),0,IF(M40="DG",1,IF(LEFT(C40,3)="LCH",7,IF(C40="BKK02",5,3))))</f>
        <v>7</v>
      </c>
      <c r="Z40" s="63">
        <f>IF(IF(AND(AC40="TML",AB40&gt;0),((T40-W40)+1)-AB40,((T40-W40)+1)-Y40)&gt;0,IF(AND(AC40="TML",AB40&gt;0),((T40-W40)+1)-AB40,((T40-W40)+1)-Y40),0)</f>
        <v>0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46321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0</v>
      </c>
      <c r="AJ40" s="188" t="n"/>
      <c r="AK40" s="62" t="str">
        <f>VLOOKUP(D40,'2.Bookinglist'!A:CT,40,FALSE)</f>
        <v>Vilaiporn</v>
      </c>
      <c r="AL40" s="60" t="str">
        <f>VLOOKUP(D40,'2.Bookinglist'!A:CW,101,FALSE)</f>
        <v>2026-10-24</v>
      </c>
      <c r="AM40" s="60" t="str">
        <f>VLOOKUP(D40,'2.Bookinglist'!A:BK,63,FALSE)</f>
        <v>LCH27</v>
      </c>
      <c r="AN40" s="62" t="str">
        <f>VLOOKUP(D40,'2.Bookinglist'!A:AZ,52,FALSE)</f>
        <v>Pickup : 2026-10-19, Return : 2026-10-20 (EXTEND CLOSING 22/10/26 @23.59)
 ** PLEASE CHECK OPEN GATE BEFORE RETURN C NTR ** </v>
      </c>
      <c r="AO40" s="62">
        <f>VLOOKUP(D40,'2.Bookinglist'!A:CY,103,FALSE)</f>
        <v>0</v>
      </c>
    </row>
    <row r="41" ht="12.95" customHeight="1">
      <c r="A41" s="96" t="inlineStr">
        <is>
          <t>SKHU9919569</t>
        </is>
      </c>
      <c r="B41" s="184" t="str">
        <f>IF(C41=Charge!$M$1,Charge!$J$1,IF(C41=Charge!$M$23,Charge!$J$23,IF(C41=Charge!$M$17,Charge!$J$17,IF(C41=Charge!$N$17,Charge!$J$17,Charge!$J$7))))</f>
        <v>G2</v>
      </c>
      <c r="C41" s="61" t="str">
        <f>VLOOKUP(A41,'1.Loading'!A:R,14,FALSE)</f>
        <v>LCH01</v>
      </c>
      <c r="D41" s="61" t="str">
        <f>VLOOKUP(A41,'1.Loading'!A:R,17,FALSE)</f>
        <v>HASLS22261001156</v>
      </c>
      <c r="E41" s="62" t="str">
        <f>VLOOKUP(D41,'2.Bookinglist'!A:CT,27,FALSE)</f>
        <v>YUSEN LOGISTICS (THAILAND) CO., LTD.</v>
      </c>
      <c r="F41" s="62" t="str">
        <f>VLOOKUP(D41,'2.Bookinglist'!A:CT,28,FALSE)</f>
        <v>KURARAY GC ADVANCED MATERIALS CO.,LTD</v>
      </c>
      <c r="G41" s="60">
        <f>VLOOKUP(D41,'2.Bookinglist'!A:E,5,FALSE)</f>
        <v>0</v>
      </c>
      <c r="H41" s="61" t="str">
        <f>VLOOKUP(D41,'2.Bookinglist'!A:CT,15,FALSE)</f>
        <v>THLCH</v>
      </c>
      <c r="I41" s="61" t="str">
        <f>VLOOKUP(D41,'2.Bookinglist'!A:CT,19,FALSE)</f>
        <v>HKHKG</v>
      </c>
      <c r="J41" s="61">
        <f>VLOOKUP(D41,'2.Bookinglist'!A:CT,26,FALSE)</f>
        <v>0</v>
      </c>
      <c r="K41" s="61" t="str">
        <f>VLOOKUP(A41,'1.Loading'!A:R,5,FALSE)</f>
        <v>45GP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KMGY</v>
      </c>
      <c r="P41" s="61" t="str">
        <f>VLOOKUP(A41,'1.Loading'!A:R,4,FALSE)</f>
        <v>2611N</v>
      </c>
      <c r="Q41" s="61" t="str">
        <f>VLOOKUP(D41,'2.Bookinglist'!A:CT,12,FALSE)</f>
        <v>CHT</v>
      </c>
      <c r="R41" s="60" t="str">
        <f>IF(LEFT(K41,2)="22","20'","40'")</f>
        <v>40'</v>
      </c>
      <c r="S41" s="185" t="n"/>
      <c r="T41" s="61" t="str">
        <f>VLOOKUP(A41,'1.Loading'!A:R,2,FALSE)</f>
        <v>2026-10-25</v>
      </c>
      <c r="U41" s="63">
        <f>T41-S41</f>
        <v>46320</v>
      </c>
      <c r="V41" s="186" t="n"/>
      <c r="W41" s="61" t="str">
        <f>VLOOKUP(A41,'3.GateMove'!A:D,4,FALSE)</f>
        <v>2026-10-21</v>
      </c>
      <c r="X41" s="63">
        <f>((T41-W41)+1)</f>
        <v>5</v>
      </c>
      <c r="Y41" s="64">
        <f>IF(AND(OR(C41="BKK01",C41="BKK04"),L41="CFS/CY"),0,IF(M41="DG",1,IF(LEFT(C41,3)="LCH",7,IF(C41="BKK02",5,3))))</f>
        <v>7</v>
      </c>
      <c r="Z41" s="63">
        <f>IF(IF(AND(AC41="TML",AB41&gt;0),((T41-W41)+1)-AB41,((T41-W41)+1)-Y41)&gt;0,IF(AND(AC41="TML",AB41&gt;0),((T41-W41)+1)-AB41,((T41-W41)+1)-Y41),0)</f>
        <v>0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46321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0</v>
      </c>
      <c r="AJ41" s="188" t="n"/>
      <c r="AK41" s="62" t="str">
        <f>VLOOKUP(D41,'2.Bookinglist'!A:CT,40,FALSE)</f>
        <v>Vilaiporn</v>
      </c>
      <c r="AL41" s="60" t="str">
        <f>VLOOKUP(D41,'2.Bookinglist'!A:CW,101,FALSE)</f>
        <v>2026-10-24</v>
      </c>
      <c r="AM41" s="60" t="str">
        <f>VLOOKUP(D41,'2.Bookinglist'!A:BK,63,FALSE)</f>
        <v>LCH27</v>
      </c>
      <c r="AN41" s="62" t="str">
        <f>VLOOKUP(D41,'2.Bookinglist'!A:AZ,52,FALSE)</f>
        <v>Pickup : 2026-10-19, Return : 2026-10-20 (EXTEND CLOSING 22/10/26 @23.59)
 ** PLEASE CHECK OPEN GATE BEFORE RETURN C NTR ** </v>
      </c>
      <c r="AO41" s="62">
        <f>VLOOKUP(D41,'2.Bookinglist'!A:CY,103,FALSE)</f>
        <v>0</v>
      </c>
    </row>
    <row r="42" ht="12.95" customHeight="1">
      <c r="A42" s="96" t="inlineStr">
        <is>
          <t>SKHU9924518</t>
        </is>
      </c>
      <c r="B42" s="184" t="str">
        <f>IF(C42=Charge!$M$1,Charge!$J$1,IF(C42=Charge!$M$23,Charge!$J$23,IF(C42=Charge!$M$17,Charge!$J$17,IF(C42=Charge!$N$17,Charge!$J$17,Charge!$J$7))))</f>
        <v>G2</v>
      </c>
      <c r="C42" s="61" t="str">
        <f>VLOOKUP(A42,'1.Loading'!A:R,14,FALSE)</f>
        <v>LCH01</v>
      </c>
      <c r="D42" s="61" t="str">
        <f>VLOOKUP(A42,'1.Loading'!A:R,17,FALSE)</f>
        <v>HASLS22261001156</v>
      </c>
      <c r="E42" s="62" t="str">
        <f>VLOOKUP(D42,'2.Bookinglist'!A:CT,27,FALSE)</f>
        <v>YUSEN LOGISTICS (THAILAND) CO., LTD.</v>
      </c>
      <c r="F42" s="62" t="str">
        <f>VLOOKUP(D42,'2.Bookinglist'!A:CT,28,FALSE)</f>
        <v>KURARAY GC ADVANCED MATERIALS CO.,LTD</v>
      </c>
      <c r="G42" s="60">
        <f>VLOOKUP(D42,'2.Bookinglist'!A:E,5,FALSE)</f>
        <v>0</v>
      </c>
      <c r="H42" s="61" t="str">
        <f>VLOOKUP(D42,'2.Bookinglist'!A:CT,15,FALSE)</f>
        <v>THLCH</v>
      </c>
      <c r="I42" s="61" t="str">
        <f>VLOOKUP(D42,'2.Bookinglist'!A:CT,19,FALSE)</f>
        <v>HKHKG</v>
      </c>
      <c r="J42" s="61">
        <f>VLOOKUP(D42,'2.Bookinglist'!A:CT,26,FALSE)</f>
        <v>0</v>
      </c>
      <c r="K42" s="61" t="str">
        <f>VLOOKUP(A42,'1.Loading'!A:R,5,FALSE)</f>
        <v>45GP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KMGY</v>
      </c>
      <c r="P42" s="61" t="str">
        <f>VLOOKUP(A42,'1.Loading'!A:R,4,FALSE)</f>
        <v>2611N</v>
      </c>
      <c r="Q42" s="61" t="str">
        <f>VLOOKUP(D42,'2.Bookinglist'!A:CT,12,FALSE)</f>
        <v>CHT</v>
      </c>
      <c r="R42" s="60" t="str">
        <f>IF(LEFT(K42,2)="22","20'","40'")</f>
        <v>40'</v>
      </c>
      <c r="S42" s="185" t="n"/>
      <c r="T42" s="61" t="str">
        <f>VLOOKUP(A42,'1.Loading'!A:R,2,FALSE)</f>
        <v>2026-10-25</v>
      </c>
      <c r="U42" s="63">
        <f>T42-S42</f>
        <v>46320</v>
      </c>
      <c r="V42" s="186" t="n"/>
      <c r="W42" s="61" t="str">
        <f>VLOOKUP(A42,'3.GateMove'!A:D,4,FALSE)</f>
        <v>2026-10-21</v>
      </c>
      <c r="X42" s="63">
        <f>((T42-W42)+1)</f>
        <v>5</v>
      </c>
      <c r="Y42" s="64">
        <f>IF(AND(OR(C42="BKK01",C42="BKK04"),L42="CFS/CY"),0,IF(M42="DG",1,IF(LEFT(C42,3)="LCH",7,IF(C42="BKK02",5,3))))</f>
        <v>7</v>
      </c>
      <c r="Z42" s="63">
        <f>IF(IF(AND(AC42="TML",AB42&gt;0),((T42-W42)+1)-AB42,((T42-W42)+1)-Y42)&gt;0,IF(AND(AC42="TML",AB42&gt;0),((T42-W42)+1)-AB42,((T42-W42)+1)-Y42),0)</f>
        <v>0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46321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0</v>
      </c>
      <c r="AJ42" s="188" t="n"/>
      <c r="AK42" s="62" t="str">
        <f>VLOOKUP(D42,'2.Bookinglist'!A:CT,40,FALSE)</f>
        <v>Vilaiporn</v>
      </c>
      <c r="AL42" s="60" t="str">
        <f>VLOOKUP(D42,'2.Bookinglist'!A:CW,101,FALSE)</f>
        <v>2026-10-24</v>
      </c>
      <c r="AM42" s="60" t="str">
        <f>VLOOKUP(D42,'2.Bookinglist'!A:BK,63,FALSE)</f>
        <v>LCH27</v>
      </c>
      <c r="AN42" s="62" t="str">
        <f>VLOOKUP(D42,'2.Bookinglist'!A:AZ,52,FALSE)</f>
        <v>Pickup : 2026-10-19, Return : 2026-10-20 (EXTEND CLOSING 22/10/26 @23.59)
 ** PLEASE CHECK OPEN GATE BEFORE RETURN C NTR ** </v>
      </c>
      <c r="AO42" s="62">
        <f>VLOOKUP(D42,'2.Bookinglist'!A:CY,103,FALSE)</f>
        <v>0</v>
      </c>
    </row>
    <row r="43" ht="12.95" customHeight="1">
      <c r="A43" s="96" t="inlineStr">
        <is>
          <t>SKHU9931688</t>
        </is>
      </c>
      <c r="B43" s="184" t="str">
        <f>IF(C43=Charge!$M$1,Charge!$J$1,IF(C43=Charge!$M$23,Charge!$J$23,IF(C43=Charge!$M$17,Charge!$J$17,IF(C43=Charge!$N$17,Charge!$J$17,Charge!$J$7))))</f>
        <v>G2</v>
      </c>
      <c r="C43" s="61" t="str">
        <f>VLOOKUP(A43,'1.Loading'!A:R,14,FALSE)</f>
        <v>LCH01</v>
      </c>
      <c r="D43" s="61" t="str">
        <f>VLOOKUP(A43,'1.Loading'!A:R,17,FALSE)</f>
        <v>HASLS22261001156</v>
      </c>
      <c r="E43" s="62" t="str">
        <f>VLOOKUP(D43,'2.Bookinglist'!A:CT,27,FALSE)</f>
        <v>YUSEN LOGISTICS (THAILAND) CO., LTD.</v>
      </c>
      <c r="F43" s="62" t="str">
        <f>VLOOKUP(D43,'2.Bookinglist'!A:CT,28,FALSE)</f>
        <v>KURARAY GC ADVANCED MATERIALS CO.,LTD</v>
      </c>
      <c r="G43" s="60">
        <f>VLOOKUP(D43,'2.Bookinglist'!A:E,5,FALSE)</f>
        <v>0</v>
      </c>
      <c r="H43" s="61" t="str">
        <f>VLOOKUP(D43,'2.Bookinglist'!A:CT,15,FALSE)</f>
        <v>THLCH</v>
      </c>
      <c r="I43" s="61" t="str">
        <f>VLOOKUP(D43,'2.Bookinglist'!A:CT,19,FALSE)</f>
        <v>HKHKG</v>
      </c>
      <c r="J43" s="61">
        <f>VLOOKUP(D43,'2.Bookinglist'!A:CT,26,FALSE)</f>
        <v>0</v>
      </c>
      <c r="K43" s="61" t="str">
        <f>VLOOKUP(A43,'1.Loading'!A:R,5,FALSE)</f>
        <v>45GP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KMGY</v>
      </c>
      <c r="P43" s="61" t="str">
        <f>VLOOKUP(A43,'1.Loading'!A:R,4,FALSE)</f>
        <v>2611N</v>
      </c>
      <c r="Q43" s="61" t="str">
        <f>VLOOKUP(D43,'2.Bookinglist'!A:CT,12,FALSE)</f>
        <v>CHT</v>
      </c>
      <c r="R43" s="60" t="str">
        <f>IF(LEFT(K43,2)="22","20'","40'")</f>
        <v>40'</v>
      </c>
      <c r="S43" s="185" t="n"/>
      <c r="T43" s="61" t="str">
        <f>VLOOKUP(A43,'1.Loading'!A:R,2,FALSE)</f>
        <v>2026-10-25</v>
      </c>
      <c r="U43" s="63">
        <f>T43-S43</f>
        <v>46320</v>
      </c>
      <c r="V43" s="186" t="n"/>
      <c r="W43" s="61" t="str">
        <f>VLOOKUP(A43,'3.GateMove'!A:D,4,FALSE)</f>
        <v>2026-10-21</v>
      </c>
      <c r="X43" s="63">
        <f>((T43-W43)+1)</f>
        <v>5</v>
      </c>
      <c r="Y43" s="64">
        <f>IF(AND(OR(C43="BKK01",C43="BKK04"),L43="CFS/CY"),0,IF(M43="DG",1,IF(LEFT(C43,3)="LCH",7,IF(C43="BKK02",5,3))))</f>
        <v>7</v>
      </c>
      <c r="Z43" s="63">
        <f>IF(IF(AND(AC43="TML",AB43&gt;0),((T43-W43)+1)-AB43,((T43-W43)+1)-Y43)&gt;0,IF(AND(AC43="TML",AB43&gt;0),((T43-W43)+1)-AB43,((T43-W43)+1)-Y43),0)</f>
        <v>0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46321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0</v>
      </c>
      <c r="AJ43" s="188" t="n"/>
      <c r="AK43" s="62" t="str">
        <f>VLOOKUP(D43,'2.Bookinglist'!A:CT,40,FALSE)</f>
        <v>Vilaiporn</v>
      </c>
      <c r="AL43" s="60" t="str">
        <f>VLOOKUP(D43,'2.Bookinglist'!A:CW,101,FALSE)</f>
        <v>2026-10-24</v>
      </c>
      <c r="AM43" s="60" t="str">
        <f>VLOOKUP(D43,'2.Bookinglist'!A:BK,63,FALSE)</f>
        <v>LCH27</v>
      </c>
      <c r="AN43" s="62" t="str">
        <f>VLOOKUP(D43,'2.Bookinglist'!A:AZ,52,FALSE)</f>
        <v>Pickup : 2026-10-19, Return : 2026-10-20 (EXTEND CLOSING 22/10/26 @23.59)
 ** PLEASE CHECK OPEN GATE BEFORE RETURN C NTR ** </v>
      </c>
      <c r="AO43" s="62">
        <f>VLOOKUP(D43,'2.Bookinglist'!A:CY,103,FALSE)</f>
        <v>0</v>
      </c>
    </row>
    <row r="44" ht="12.95" customHeight="1">
      <c r="A44" s="96" t="inlineStr">
        <is>
          <t>SKLU0706215</t>
        </is>
      </c>
      <c r="B44" s="184" t="str">
        <f>IF(C44=Charge!$M$1,Charge!$J$1,IF(C44=Charge!$M$23,Charge!$J$23,IF(C44=Charge!$M$17,Charge!$J$17,IF(C44=Charge!$N$17,Charge!$J$17,Charge!$J$7))))</f>
        <v>G2</v>
      </c>
      <c r="C44" s="61" t="str">
        <f>VLOOKUP(A44,'1.Loading'!A:R,14,FALSE)</f>
        <v>LCH01</v>
      </c>
      <c r="D44" s="61" t="str">
        <f>VLOOKUP(A44,'1.Loading'!A:R,17,FALSE)</f>
        <v>HASLS22261001311</v>
      </c>
      <c r="E44" s="62" t="str">
        <f>VLOOKUP(D44,'2.Bookinglist'!A:CT,27,FALSE)</f>
        <v>TRANS-MAKER CO., LTD.</v>
      </c>
      <c r="F44" s="62" t="str">
        <f>VLOOKUP(D44,'2.Bookinglist'!A:CT,28,FALSE)</f>
        <v>TFL LEDERTECHNIK GMBH</v>
      </c>
      <c r="G44" s="60">
        <f>VLOOKUP(D44,'2.Bookinglist'!A:E,5,FALSE)</f>
        <v>0</v>
      </c>
      <c r="H44" s="61" t="str">
        <f>VLOOKUP(D44,'2.Bookinglist'!A:CT,15,FALSE)</f>
        <v>THLCH</v>
      </c>
      <c r="I44" s="61" t="str">
        <f>VLOOKUP(D44,'2.Bookinglist'!A:CT,19,FALSE)</f>
        <v>HKHKG</v>
      </c>
      <c r="J44" s="61">
        <f>VLOOKUP(D44,'2.Bookinglist'!A:CT,26,FALSE)</f>
        <v>0</v>
      </c>
      <c r="K44" s="61" t="str">
        <f>VLOOKUP(A44,'1.Loading'!A:R,5,FALSE)</f>
        <v>22GP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KMGY</v>
      </c>
      <c r="P44" s="61" t="str">
        <f>VLOOKUP(A44,'1.Loading'!A:R,4,FALSE)</f>
        <v>2611N</v>
      </c>
      <c r="Q44" s="61" t="str">
        <f>VLOOKUP(D44,'2.Bookinglist'!A:CT,12,FALSE)</f>
        <v>CHT</v>
      </c>
      <c r="R44" s="60" t="str">
        <f>IF(LEFT(K44,2)="22","20'","40'")</f>
        <v>20'</v>
      </c>
      <c r="S44" s="185" t="n"/>
      <c r="T44" s="61" t="str">
        <f>VLOOKUP(A44,'1.Loading'!A:R,2,FALSE)</f>
        <v>2026-10-25</v>
      </c>
      <c r="U44" s="63">
        <f>T44-S44</f>
        <v>46320</v>
      </c>
      <c r="V44" s="186" t="n"/>
      <c r="W44" s="61" t="str">
        <f>VLOOKUP(A44,'3.GateMove'!A:D,4,FALSE)</f>
        <v>2026-10-21</v>
      </c>
      <c r="X44" s="63">
        <f>((T44-W44)+1)</f>
        <v>5</v>
      </c>
      <c r="Y44" s="64">
        <f>IF(AND(OR(C44="BKK01",C44="BKK04"),L44="CFS/CY"),0,IF(M44="DG",1,IF(LEFT(C44,3)="LCH",7,IF(C44="BKK02",5,3))))</f>
        <v>7</v>
      </c>
      <c r="Z44" s="63">
        <f>IF(IF(AND(AC44="TML",AB44&gt;0),((T44-W44)+1)-AB44,((T44-W44)+1)-Y44)&gt;0,IF(AND(AC44="TML",AB44&gt;0),((T44-W44)+1)-AB44,((T44-W44)+1)-Y44),0)</f>
        <v>0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0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46321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0</v>
      </c>
      <c r="AJ44" s="188" t="n"/>
      <c r="AK44" s="62" t="str">
        <f>VLOOKUP(D44,'2.Bookinglist'!A:CT,40,FALSE)</f>
        <v>Vilaiporn</v>
      </c>
      <c r="AL44" s="60" t="str">
        <f>VLOOKUP(D44,'2.Bookinglist'!A:CW,101,FALSE)</f>
        <v>2026-10-24</v>
      </c>
      <c r="AM44" s="60" t="str">
        <f>VLOOKUP(D44,'2.Bookinglist'!A:BK,63,FALSE)</f>
        <v>LCHY5</v>
      </c>
      <c r="AN44" s="62" t="str">
        <f>VLOOKUP(D44,'2.Bookinglist'!A:AZ,52,FALSE)</f>
        <v>Pickup : 2026-10-20, Return : 2026-10-21</v>
      </c>
      <c r="AO44" s="62">
        <f>VLOOKUP(D44,'2.Bookinglist'!A:CY,103,FALSE)</f>
        <v>0</v>
      </c>
    </row>
    <row r="45" ht="12.95" customHeight="1">
      <c r="A45" s="96" t="inlineStr">
        <is>
          <t>SKLU0743559</t>
        </is>
      </c>
      <c r="B45" s="184" t="str">
        <f>IF(C45=Charge!$M$1,Charge!$J$1,IF(C45=Charge!$M$23,Charge!$J$23,IF(C45=Charge!$M$17,Charge!$J$17,IF(C45=Charge!$N$17,Charge!$J$17,Charge!$J$7))))</f>
        <v>G2</v>
      </c>
      <c r="C45" s="61" t="str">
        <f>VLOOKUP(A45,'1.Loading'!A:R,14,FALSE)</f>
        <v>LCH01</v>
      </c>
      <c r="D45" s="61" t="str">
        <f>VLOOKUP(A45,'1.Loading'!A:R,17,FALSE)</f>
        <v>HASLS22261000278</v>
      </c>
      <c r="E45" s="62" t="str">
        <f>VLOOKUP(D45,'2.Bookinglist'!A:CT,27,FALSE)</f>
        <v>DOUBLE A (1991) PUBLIC COMPANY LIMITED</v>
      </c>
      <c r="F45" s="62" t="str">
        <f>VLOOKUP(D45,'2.Bookinglist'!A:CT,28,FALSE)</f>
        <v>DOUBLE A (1991) PUBLIC COMPANY LIMITED</v>
      </c>
      <c r="G45" s="60">
        <f>VLOOKUP(D45,'2.Bookinglist'!A:E,5,FALSE)</f>
        <v>0</v>
      </c>
      <c r="H45" s="61" t="str">
        <f>VLOOKUP(D45,'2.Bookinglist'!A:CT,15,FALSE)</f>
        <v>THLCH</v>
      </c>
      <c r="I45" s="61" t="str">
        <f>VLOOKUP(D45,'2.Bookinglist'!A:CT,19,FALSE)</f>
        <v>HKHKG</v>
      </c>
      <c r="J45" s="61">
        <f>VLOOKUP(D45,'2.Bookinglist'!A:CT,26,FALSE)</f>
        <v>0</v>
      </c>
      <c r="K45" s="61" t="str">
        <f>VLOOKUP(A45,'1.Loading'!A:R,5,FALSE)</f>
        <v>22GP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KMGY</v>
      </c>
      <c r="P45" s="61" t="str">
        <f>VLOOKUP(A45,'1.Loading'!A:R,4,FALSE)</f>
        <v>2611N</v>
      </c>
      <c r="Q45" s="61" t="str">
        <f>VLOOKUP(D45,'2.Bookinglist'!A:CT,12,FALSE)</f>
        <v>CHT</v>
      </c>
      <c r="R45" s="60" t="str">
        <f>IF(LEFT(K45,2)="22","20'","40'")</f>
        <v>20'</v>
      </c>
      <c r="S45" s="185" t="n"/>
      <c r="T45" s="61" t="str">
        <f>VLOOKUP(A45,'1.Loading'!A:R,2,FALSE)</f>
        <v>2026-10-25</v>
      </c>
      <c r="U45" s="63">
        <f>T45-S45</f>
        <v>46320</v>
      </c>
      <c r="V45" s="186" t="n"/>
      <c r="W45" s="61" t="str">
        <f>VLOOKUP(A45,'3.GateMove'!A:D,4,FALSE)</f>
        <v>2026-10-21</v>
      </c>
      <c r="X45" s="63">
        <f>((T45-W45)+1)</f>
        <v>5</v>
      </c>
      <c r="Y45" s="64">
        <f>IF(AND(OR(C45="BKK01",C45="BKK04"),L45="CFS/CY"),0,IF(M45="DG",1,IF(LEFT(C45,3)="LCH",7,IF(C45="BKK02",5,3))))</f>
        <v>7</v>
      </c>
      <c r="Z45" s="63">
        <f>IF(IF(AND(AC45="TML",AB45&gt;0),((T45-W45)+1)-AB45,((T45-W45)+1)-Y45)&gt;0,IF(AND(AC45="TML",AB45&gt;0),((T45-W45)+1)-AB45,((T45-W45)+1)-Y45),0)</f>
        <v>0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0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46321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0</v>
      </c>
      <c r="AJ45" s="188" t="n"/>
      <c r="AK45" s="62" t="str">
        <f>VLOOKUP(D45,'2.Bookinglist'!A:CT,40,FALSE)</f>
        <v>Kanokporn</v>
      </c>
      <c r="AL45" s="60" t="str">
        <f>VLOOKUP(D45,'2.Bookinglist'!A:CW,101,FALSE)</f>
        <v>2026-10-21</v>
      </c>
      <c r="AM45" s="60" t="str">
        <f>VLOOKUP(D45,'2.Bookinglist'!A:BK,63,FALSE)</f>
        <v>LCHY5</v>
      </c>
      <c r="AN45" s="62" t="str">
        <f>VLOOKUP(D45,'2.Bookinglist'!A:AZ,52,FALSE)</f>
        <v>CY-RTN : 15-17/10/2026 
REF : PI-HK-TH-DA-26100021
FRT $ 35, FREE TIME 14/14, DTHC(HKD) 2000
</v>
      </c>
      <c r="AO45" s="62">
        <f>VLOOKUP(D45,'2.Bookinglist'!A:CY,103,FALSE)</f>
        <v>0</v>
      </c>
    </row>
    <row r="46" ht="12.95" customHeight="1">
      <c r="A46" s="96" t="inlineStr">
        <is>
          <t>SKLU1104001</t>
        </is>
      </c>
      <c r="B46" s="184" t="str">
        <f>IF(C46=Charge!$M$1,Charge!$J$1,IF(C46=Charge!$M$23,Charge!$J$23,IF(C46=Charge!$M$17,Charge!$J$17,IF(C46=Charge!$N$17,Charge!$J$17,Charge!$J$7))))</f>
        <v>G2</v>
      </c>
      <c r="C46" s="61" t="str">
        <f>VLOOKUP(A46,'1.Loading'!A:R,14,FALSE)</f>
        <v>LCH01</v>
      </c>
      <c r="D46" s="61" t="str">
        <f>VLOOKUP(A46,'1.Loading'!A:R,17,FALSE)</f>
        <v>HASLS22260902763</v>
      </c>
      <c r="E46" s="62" t="str">
        <f>VLOOKUP(D46,'2.Bookinglist'!A:CT,27,FALSE)</f>
        <v>HAST LOGISTICS CO., LTD.</v>
      </c>
      <c r="F46" s="62" t="str">
        <f>VLOOKUP(D46,'2.Bookinglist'!A:CT,28,FALSE)</f>
        <v>THE THAI SUGAR TRADING CORPORATION LTD.</v>
      </c>
      <c r="G46" s="60">
        <f>VLOOKUP(D46,'2.Bookinglist'!A:E,5,FALSE)</f>
        <v>0</v>
      </c>
      <c r="H46" s="61" t="str">
        <f>VLOOKUP(D46,'2.Bookinglist'!A:CT,15,FALSE)</f>
        <v>THLCH</v>
      </c>
      <c r="I46" s="61" t="str">
        <f>VLOOKUP(D46,'2.Bookinglist'!A:CT,19,FALSE)</f>
        <v>HKHKG</v>
      </c>
      <c r="J46" s="61">
        <f>VLOOKUP(D46,'2.Bookinglist'!A:CT,26,FALSE)</f>
        <v>0</v>
      </c>
      <c r="K46" s="61" t="str">
        <f>VLOOKUP(A46,'1.Loading'!A:R,5,FALSE)</f>
        <v>22GP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KMGY</v>
      </c>
      <c r="P46" s="61" t="str">
        <f>VLOOKUP(A46,'1.Loading'!A:R,4,FALSE)</f>
        <v>2611N</v>
      </c>
      <c r="Q46" s="61" t="str">
        <f>VLOOKUP(D46,'2.Bookinglist'!A:CT,12,FALSE)</f>
        <v>CHT</v>
      </c>
      <c r="R46" s="60" t="str">
        <f>IF(LEFT(K46,2)="22","20'","40'")</f>
        <v>20'</v>
      </c>
      <c r="S46" s="185" t="n"/>
      <c r="T46" s="61" t="str">
        <f>VLOOKUP(A46,'1.Loading'!A:R,2,FALSE)</f>
        <v>2026-10-25</v>
      </c>
      <c r="U46" s="63">
        <f>T46-S46</f>
        <v>46320</v>
      </c>
      <c r="V46" s="186" t="n"/>
      <c r="W46" s="61" t="str">
        <f>VLOOKUP(A46,'3.GateMove'!A:D,4,FALSE)</f>
        <v>2026-10-22</v>
      </c>
      <c r="X46" s="63">
        <f>((T46-W46)+1)</f>
        <v>4</v>
      </c>
      <c r="Y46" s="64">
        <f>IF(AND(OR(C46="BKK01",C46="BKK04"),L46="CFS/CY"),0,IF(M46="DG",1,IF(LEFT(C46,3)="LCH",7,IF(C46="BKK02",5,3))))</f>
        <v>7</v>
      </c>
      <c r="Z46" s="63">
        <f>IF(IF(AND(AC46="TML",AB46&gt;0),((T46-W46)+1)-AB46,((T46-W46)+1)-Y46)&gt;0,IF(AND(AC46="TML",AB46&gt;0),((T46-W46)+1)-AB46,((T46-W46)+1)-Y46),0)</f>
        <v>0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46321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0</v>
      </c>
      <c r="AJ46" s="188" t="n"/>
      <c r="AK46" s="62" t="str">
        <f>VLOOKUP(D46,'2.Bookinglist'!A:CT,40,FALSE)</f>
        <v>Kanokporn</v>
      </c>
      <c r="AL46" s="60" t="str">
        <f>VLOOKUP(D46,'2.Bookinglist'!A:CW,101,FALSE)</f>
        <v>2026-10-24</v>
      </c>
      <c r="AM46" s="60" t="str">
        <f>VLOOKUP(D46,'2.Bookinglist'!A:BK,63,FALSE)</f>
        <v>LCHY5</v>
      </c>
      <c r="AN46" s="62" t="str">
        <f>VLOOKUP(D46,'2.Bookinglist'!A:AZ,52,FALSE)</f>
        <v>Pickup : 2026-10-19, Return : 2026-10-20</v>
      </c>
      <c r="AO46" s="62">
        <f>VLOOKUP(D46,'2.Bookinglist'!A:CY,103,FALSE)</f>
        <v>0</v>
      </c>
    </row>
    <row r="47" ht="12.95" customHeight="1">
      <c r="A47" s="96" t="inlineStr">
        <is>
          <t>SKLU1117117</t>
        </is>
      </c>
      <c r="B47" s="184" t="str">
        <f>IF(C47=Charge!$M$1,Charge!$J$1,IF(C47=Charge!$M$23,Charge!$J$23,IF(C47=Charge!$M$17,Charge!$J$17,IF(C47=Charge!$N$17,Charge!$J$17,Charge!$J$7))))</f>
        <v>G2</v>
      </c>
      <c r="C47" s="61" t="str">
        <f>VLOOKUP(A47,'1.Loading'!A:R,14,FALSE)</f>
        <v>LCH01</v>
      </c>
      <c r="D47" s="61" t="str">
        <f>VLOOKUP(A47,'1.Loading'!A:R,17,FALSE)</f>
        <v>HASLS22261000795</v>
      </c>
      <c r="E47" s="62" t="str">
        <f>VLOOKUP(D47,'2.Bookinglist'!A:CT,27,FALSE)</f>
        <v>IRPC PUBLIC COMPANY LIMITED</v>
      </c>
      <c r="F47" s="62" t="str">
        <f>VLOOKUP(D47,'2.Bookinglist'!A:CT,28,FALSE)</f>
        <v>IRPC PUBLIC COMPANY LIMITED</v>
      </c>
      <c r="G47" s="60">
        <f>VLOOKUP(D47,'2.Bookinglist'!A:E,5,FALSE)</f>
        <v>0</v>
      </c>
      <c r="H47" s="61" t="str">
        <f>VLOOKUP(D47,'2.Bookinglist'!A:CT,15,FALSE)</f>
        <v>THLCH</v>
      </c>
      <c r="I47" s="61" t="str">
        <f>VLOOKUP(D47,'2.Bookinglist'!A:CT,19,FALSE)</f>
        <v>HKHKG</v>
      </c>
      <c r="J47" s="61">
        <f>VLOOKUP(D47,'2.Bookinglist'!A:CT,26,FALSE)</f>
        <v>0</v>
      </c>
      <c r="K47" s="61" t="str">
        <f>VLOOKUP(A47,'1.Loading'!A:R,5,FALSE)</f>
        <v>22GP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KMGY</v>
      </c>
      <c r="P47" s="61" t="str">
        <f>VLOOKUP(A47,'1.Loading'!A:R,4,FALSE)</f>
        <v>2611N</v>
      </c>
      <c r="Q47" s="61" t="str">
        <f>VLOOKUP(D47,'2.Bookinglist'!A:CT,12,FALSE)</f>
        <v>CHT</v>
      </c>
      <c r="R47" s="60" t="str">
        <f>IF(LEFT(K47,2)="22","20'","40'")</f>
        <v>20'</v>
      </c>
      <c r="S47" s="185" t="n"/>
      <c r="T47" s="61" t="str">
        <f>VLOOKUP(A47,'1.Loading'!A:R,2,FALSE)</f>
        <v>2026-10-25</v>
      </c>
      <c r="U47" s="63">
        <f>T47-S47</f>
        <v>46320</v>
      </c>
      <c r="V47" s="186" t="n"/>
      <c r="W47" s="61" t="str">
        <f>VLOOKUP(A47,'3.GateMove'!A:D,4,FALSE)</f>
        <v>2026-10-19</v>
      </c>
      <c r="X47" s="63">
        <f>((T47-W47)+1)</f>
        <v>7</v>
      </c>
      <c r="Y47" s="64">
        <f>IF(AND(OR(C47="BKK01",C47="BKK04"),L47="CFS/CY"),0,IF(M47="DG",1,IF(LEFT(C47,3)="LCH",7,IF(C47="BKK02",5,3))))</f>
        <v>7</v>
      </c>
      <c r="Z47" s="63">
        <f>IF(IF(AND(AC47="TML",AB47&gt;0),((T47-W47)+1)-AB47,((T47-W47)+1)-Y47)&gt;0,IF(AND(AC47="TML",AB47&gt;0),((T47-W47)+1)-AB47,((T47-W47)+1)-Y47),0)</f>
        <v>0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0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46321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0</v>
      </c>
      <c r="AJ47" s="188" t="n"/>
      <c r="AK47" s="62" t="str">
        <f>VLOOKUP(D47,'2.Bookinglist'!A:CT,40,FALSE)</f>
        <v>Dharaporn</v>
      </c>
      <c r="AL47" s="60" t="str">
        <f>VLOOKUP(D47,'2.Bookinglist'!A:CW,101,FALSE)</f>
        <v>2026-10-21</v>
      </c>
      <c r="AM47" s="60" t="str">
        <f>VLOOKUP(D47,'2.Bookinglist'!A:BK,63,FALSE)</f>
        <v>LCHY5</v>
      </c>
      <c r="AN47" s="62" t="str">
        <f>VLOOKUP(D47,'2.Bookinglist'!A:AZ,52,FALSE)</f>
        <v>CY-RTN 14-15/10/26 (PI26100048-5 )
PLS CHECK OPEN GATE BEFORE RETURN CTNR
</v>
      </c>
      <c r="AO47" s="62">
        <f>VLOOKUP(D47,'2.Bookinglist'!A:CY,103,FALSE)</f>
        <v>0</v>
      </c>
    </row>
    <row r="48" ht="12.95" customHeight="1">
      <c r="A48" s="96" t="inlineStr">
        <is>
          <t>SKLU1302497</t>
        </is>
      </c>
      <c r="B48" s="184" t="str">
        <f>IF(C48=Charge!$M$1,Charge!$J$1,IF(C48=Charge!$M$23,Charge!$J$23,IF(C48=Charge!$M$17,Charge!$J$17,IF(C48=Charge!$N$17,Charge!$J$17,Charge!$J$7))))</f>
        <v>G2</v>
      </c>
      <c r="C48" s="61" t="str">
        <f>VLOOKUP(A48,'1.Loading'!A:R,14,FALSE)</f>
        <v>LCH01</v>
      </c>
      <c r="D48" s="61" t="str">
        <f>VLOOKUP(A48,'1.Loading'!A:R,17,FALSE)</f>
        <v>HASLS22260902763</v>
      </c>
      <c r="E48" s="62" t="str">
        <f>VLOOKUP(D48,'2.Bookinglist'!A:CT,27,FALSE)</f>
        <v>HAST LOGISTICS CO., LTD.</v>
      </c>
      <c r="F48" s="62" t="str">
        <f>VLOOKUP(D48,'2.Bookinglist'!A:CT,28,FALSE)</f>
        <v>THE THAI SUGAR TRADING CORPORATION LTD.</v>
      </c>
      <c r="G48" s="60">
        <f>VLOOKUP(D48,'2.Bookinglist'!A:E,5,FALSE)</f>
        <v>0</v>
      </c>
      <c r="H48" s="61" t="str">
        <f>VLOOKUP(D48,'2.Bookinglist'!A:CT,15,FALSE)</f>
        <v>THLCH</v>
      </c>
      <c r="I48" s="61" t="str">
        <f>VLOOKUP(D48,'2.Bookinglist'!A:CT,19,FALSE)</f>
        <v>HKHKG</v>
      </c>
      <c r="J48" s="61">
        <f>VLOOKUP(D48,'2.Bookinglist'!A:CT,26,FALSE)</f>
        <v>0</v>
      </c>
      <c r="K48" s="61" t="str">
        <f>VLOOKUP(A48,'1.Loading'!A:R,5,FALSE)</f>
        <v>22GP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KMGY</v>
      </c>
      <c r="P48" s="61" t="str">
        <f>VLOOKUP(A48,'1.Loading'!A:R,4,FALSE)</f>
        <v>2611N</v>
      </c>
      <c r="Q48" s="61" t="str">
        <f>VLOOKUP(D48,'2.Bookinglist'!A:CT,12,FALSE)</f>
        <v>CHT</v>
      </c>
      <c r="R48" s="60" t="str">
        <f>IF(LEFT(K48,2)="22","20'","40'")</f>
        <v>20'</v>
      </c>
      <c r="S48" s="185" t="n"/>
      <c r="T48" s="61" t="str">
        <f>VLOOKUP(A48,'1.Loading'!A:R,2,FALSE)</f>
        <v>2026-10-25</v>
      </c>
      <c r="U48" s="63">
        <f>T48-S48</f>
        <v>46320</v>
      </c>
      <c r="V48" s="186" t="n"/>
      <c r="W48" s="61" t="str">
        <f>VLOOKUP(A48,'3.GateMove'!A:D,4,FALSE)</f>
        <v>2026-10-21</v>
      </c>
      <c r="X48" s="63">
        <f>((T48-W48)+1)</f>
        <v>5</v>
      </c>
      <c r="Y48" s="64">
        <f>IF(AND(OR(C48="BKK01",C48="BKK04"),L48="CFS/CY"),0,IF(M48="DG",1,IF(LEFT(C48,3)="LCH",7,IF(C48="BKK02",5,3))))</f>
        <v>7</v>
      </c>
      <c r="Z48" s="63">
        <f>IF(IF(AND(AC48="TML",AB48&gt;0),((T48-W48)+1)-AB48,((T48-W48)+1)-Y48)&gt;0,IF(AND(AC48="TML",AB48&gt;0),((T48-W48)+1)-AB48,((T48-W48)+1)-Y48),0)</f>
        <v>0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0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46321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0</v>
      </c>
      <c r="AJ48" s="188" t="n"/>
      <c r="AK48" s="62" t="str">
        <f>VLOOKUP(D48,'2.Bookinglist'!A:CT,40,FALSE)</f>
        <v>Kanokporn</v>
      </c>
      <c r="AL48" s="60" t="str">
        <f>VLOOKUP(D48,'2.Bookinglist'!A:CW,101,FALSE)</f>
        <v>2026-10-24</v>
      </c>
      <c r="AM48" s="60" t="str">
        <f>VLOOKUP(D48,'2.Bookinglist'!A:BK,63,FALSE)</f>
        <v>LCHY5</v>
      </c>
      <c r="AN48" s="62" t="str">
        <f>VLOOKUP(D48,'2.Bookinglist'!A:AZ,52,FALSE)</f>
        <v>Pickup : 2026-10-19, Return : 2026-10-20</v>
      </c>
      <c r="AO48" s="62">
        <f>VLOOKUP(D48,'2.Bookinglist'!A:CY,103,FALSE)</f>
        <v>0</v>
      </c>
    </row>
    <row r="49" ht="12.95" customHeight="1">
      <c r="A49" s="96" t="inlineStr">
        <is>
          <t>SKLU1312113</t>
        </is>
      </c>
      <c r="B49" s="184" t="str">
        <f>IF(C49=Charge!$M$1,Charge!$J$1,IF(C49=Charge!$M$23,Charge!$J$23,IF(C49=Charge!$M$17,Charge!$J$17,IF(C49=Charge!$N$17,Charge!$J$17,Charge!$J$7))))</f>
        <v>G2</v>
      </c>
      <c r="C49" s="61" t="str">
        <f>VLOOKUP(A49,'1.Loading'!A:R,14,FALSE)</f>
        <v>LCH01</v>
      </c>
      <c r="D49" s="61" t="str">
        <f>VLOOKUP(A49,'1.Loading'!A:R,17,FALSE)</f>
        <v>HASLS22260900819</v>
      </c>
      <c r="E49" s="62" t="str">
        <f>VLOOKUP(D49,'2.Bookinglist'!A:CT,27,FALSE)</f>
        <v>JAST GLOBAL CO.,LTD.</v>
      </c>
      <c r="F49" s="62" t="str">
        <f>VLOOKUP(D49,'2.Bookinglist'!A:CT,28,FALSE)</f>
        <v>THE THAI SUGAR TRADING CORPORATION LTD.</v>
      </c>
      <c r="G49" s="60">
        <f>VLOOKUP(D49,'2.Bookinglist'!A:E,5,FALSE)</f>
        <v>0</v>
      </c>
      <c r="H49" s="61" t="str">
        <f>VLOOKUP(D49,'2.Bookinglist'!A:CT,15,FALSE)</f>
        <v>THLCH</v>
      </c>
      <c r="I49" s="61" t="str">
        <f>VLOOKUP(D49,'2.Bookinglist'!A:CT,19,FALSE)</f>
        <v>KRINC</v>
      </c>
      <c r="J49" s="61">
        <f>VLOOKUP(D49,'2.Bookinglist'!A:CT,26,FALSE)</f>
        <v>0</v>
      </c>
      <c r="K49" s="61" t="str">
        <f>VLOOKUP(A49,'1.Loading'!A:R,5,FALSE)</f>
        <v>22GP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/>
      </c>
      <c r="O49" s="61" t="str">
        <f>VLOOKUP(A49,'1.Loading'!A:R,3,FALSE)</f>
        <v>KMGY</v>
      </c>
      <c r="P49" s="61" t="str">
        <f>VLOOKUP(A49,'1.Loading'!A:R,4,FALSE)</f>
        <v>2611N</v>
      </c>
      <c r="Q49" s="61" t="str">
        <f>VLOOKUP(D49,'2.Bookinglist'!A:CT,12,FALSE)</f>
        <v>CHT</v>
      </c>
      <c r="R49" s="60" t="str">
        <f>IF(LEFT(K49,2)="22","20'","40'")</f>
        <v>20'</v>
      </c>
      <c r="S49" s="185" t="n"/>
      <c r="T49" s="61" t="str">
        <f>VLOOKUP(A49,'1.Loading'!A:R,2,FALSE)</f>
        <v>2026-10-25</v>
      </c>
      <c r="U49" s="63">
        <f>T49-S49</f>
        <v>46320</v>
      </c>
      <c r="V49" s="186" t="n"/>
      <c r="W49" s="61" t="str">
        <f>VLOOKUP(A49,'3.GateMove'!A:D,4,FALSE)</f>
        <v>2026-10-17</v>
      </c>
      <c r="X49" s="63">
        <f>((T49-W49)+1)</f>
        <v>9</v>
      </c>
      <c r="Y49" s="64">
        <f>IF(AND(OR(C49="BKK01",C49="BKK04"),L49="CFS/CY"),0,IF(M49="DG",1,IF(LEFT(C49,3)="LCH",7,IF(C49="BKK02",5,3))))</f>
        <v>7</v>
      </c>
      <c r="Z49" s="63">
        <f>IF(IF(AND(AC49="TML",AB49&gt;0),((T49-W49)+1)-AB49,((T49-W49)+1)-Y49)&gt;0,IF(AND(AC49="TML",AB49&gt;0),((T49-W49)+1)-AB49,((T49-W49)+1)-Y49),0)</f>
        <v>2</v>
      </c>
      <c r="AA49" s="187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250</v>
      </c>
      <c r="AB49" s="184" t="n"/>
      <c r="AC49" s="184" t="n"/>
      <c r="AD49" s="60">
        <f>IF(M49="DG",3,IF(N49="RF",3,5))+IF(AND(LEFT(C49,3)="BKK",N49="RF",Q49="KTS"),1,0)+IF(Q49="KHS",1,0)</f>
        <v>5</v>
      </c>
      <c r="AE49" s="63">
        <f>(T49-V49)+1</f>
        <v>46321</v>
      </c>
      <c r="AF49" s="63">
        <f>IF(AB49&gt;IF((V49-W49)&gt;0,V49-W49,0),0,IF(AB49&lt;IF((V49-W49)&gt;0,V49-W49,0),IF((V49-W49)&gt;0,V49-W49,0)-AB49,IF((V49-W49)&gt;0,V49-W49,0)))</f>
        <v>0</v>
      </c>
      <c r="AG49" s="187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 t="n"/>
      <c r="AI49" s="65">
        <f>AA49-AH49</f>
        <v>250</v>
      </c>
      <c r="AJ49" s="188" t="n"/>
      <c r="AK49" s="62" t="str">
        <f>VLOOKUP(D49,'2.Bookinglist'!A:CT,40,FALSE)</f>
        <v>Kim jaewon</v>
      </c>
      <c r="AL49" s="60" t="str">
        <f>VLOOKUP(D49,'2.Bookinglist'!A:CW,101,FALSE)</f>
        <v>2026-10-21</v>
      </c>
      <c r="AM49" s="60" t="str">
        <f>VLOOKUP(D49,'2.Bookinglist'!A:BK,63,FALSE)</f>
        <v>LCHY5</v>
      </c>
      <c r="AN49" s="62" t="str">
        <f>VLOOKUP(D49,'2.Bookinglist'!A:AZ,52,FALSE)</f>
        <v>Pickup : 2026-10-15, Return : 2026-10-16
**CHECK OPENGATE BEFORE RETURN CNTR**
</v>
      </c>
      <c r="AO49" s="62">
        <f>VLOOKUP(D49,'2.Bookinglist'!A:CY,103,FALSE)</f>
        <v>0</v>
      </c>
    </row>
    <row r="50" ht="12.95" customHeight="1">
      <c r="A50" s="96" t="inlineStr">
        <is>
          <t>SKLU1338340</t>
        </is>
      </c>
      <c r="B50" s="184" t="str">
        <f>IF(C50=Charge!$M$1,Charge!$J$1,IF(C50=Charge!$M$23,Charge!$J$23,IF(C50=Charge!$M$17,Charge!$J$17,IF(C50=Charge!$N$17,Charge!$J$17,Charge!$J$7))))</f>
        <v>G2</v>
      </c>
      <c r="C50" s="61" t="str">
        <f>VLOOKUP(A50,'1.Loading'!A:R,14,FALSE)</f>
        <v>LCH01</v>
      </c>
      <c r="D50" s="61" t="str">
        <f>VLOOKUP(A50,'1.Loading'!A:R,17,FALSE)</f>
        <v>HASLS22260900819</v>
      </c>
      <c r="E50" s="62" t="str">
        <f>VLOOKUP(D50,'2.Bookinglist'!A:CT,27,FALSE)</f>
        <v>JAST GLOBAL CO.,LTD.</v>
      </c>
      <c r="F50" s="62" t="str">
        <f>VLOOKUP(D50,'2.Bookinglist'!A:CT,28,FALSE)</f>
        <v>THE THAI SUGAR TRADING CORPORATION LTD.</v>
      </c>
      <c r="G50" s="60">
        <f>VLOOKUP(D50,'2.Bookinglist'!A:E,5,FALSE)</f>
        <v>0</v>
      </c>
      <c r="H50" s="61" t="str">
        <f>VLOOKUP(D50,'2.Bookinglist'!A:CT,15,FALSE)</f>
        <v>THLCH</v>
      </c>
      <c r="I50" s="61" t="str">
        <f>VLOOKUP(D50,'2.Bookinglist'!A:CT,19,FALSE)</f>
        <v>KRINC</v>
      </c>
      <c r="J50" s="61">
        <f>VLOOKUP(D50,'2.Bookinglist'!A:CT,26,FALSE)</f>
        <v>0</v>
      </c>
      <c r="K50" s="61" t="str">
        <f>VLOOKUP(A50,'1.Loading'!A:R,5,FALSE)</f>
        <v>22GP</v>
      </c>
      <c r="L50" s="60" t="str">
        <f>VLOOKUP(D50,'2.Bookinglist'!A:CT,85,FALSE)</f>
        <v>CY/CY</v>
      </c>
      <c r="M50" s="60" t="str">
        <f>IF(VLOOKUP(D50,'2.Bookinglist'!A:CT,43,FALSE)=0,"","DG")</f>
        <v/>
      </c>
      <c r="N50" s="60" t="str">
        <f>IF(RIGHT(K50,2)="RE","RF","")</f>
        <v/>
      </c>
      <c r="O50" s="61" t="str">
        <f>VLOOKUP(A50,'1.Loading'!A:R,3,FALSE)</f>
        <v>KMGY</v>
      </c>
      <c r="P50" s="61" t="str">
        <f>VLOOKUP(A50,'1.Loading'!A:R,4,FALSE)</f>
        <v>2611N</v>
      </c>
      <c r="Q50" s="61" t="str">
        <f>VLOOKUP(D50,'2.Bookinglist'!A:CT,12,FALSE)</f>
        <v>CHT</v>
      </c>
      <c r="R50" s="60" t="str">
        <f>IF(LEFT(K50,2)="22","20'","40'")</f>
        <v>20'</v>
      </c>
      <c r="S50" s="185" t="n"/>
      <c r="T50" s="61" t="str">
        <f>VLOOKUP(A50,'1.Loading'!A:R,2,FALSE)</f>
        <v>2026-10-25</v>
      </c>
      <c r="U50" s="63">
        <f>T50-S50</f>
        <v>46320</v>
      </c>
      <c r="V50" s="186" t="n"/>
      <c r="W50" s="61" t="str">
        <f>VLOOKUP(A50,'3.GateMove'!A:D,4,FALSE)</f>
        <v>2026-10-17</v>
      </c>
      <c r="X50" s="63">
        <f>((T50-W50)+1)</f>
        <v>9</v>
      </c>
      <c r="Y50" s="64">
        <f>IF(AND(OR(C50="BKK01",C50="BKK04"),L50="CFS/CY"),0,IF(M50="DG",1,IF(LEFT(C50,3)="LCH",7,IF(C50="BKK02",5,3))))</f>
        <v>7</v>
      </c>
      <c r="Z50" s="63">
        <f>IF(IF(AND(AC50="TML",AB50&gt;0),((T50-W50)+1)-AB50,((T50-W50)+1)-Y50)&gt;0,IF(AND(AC50="TML",AB50&gt;0),((T50-W50)+1)-AB50,((T50-W50)+1)-Y50),0)</f>
        <v>2</v>
      </c>
      <c r="AA50" s="187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250</v>
      </c>
      <c r="AB50" s="184" t="n"/>
      <c r="AC50" s="184" t="n"/>
      <c r="AD50" s="60">
        <f>IF(M50="DG",3,IF(N50="RF",3,5))+IF(AND(LEFT(C50,3)="BKK",N50="RF",Q50="KTS"),1,0)+IF(Q50="KHS",1,0)</f>
        <v>5</v>
      </c>
      <c r="AE50" s="63">
        <f>(T50-V50)+1</f>
        <v>46321</v>
      </c>
      <c r="AF50" s="63">
        <f>IF(AB50&gt;IF((V50-W50)&gt;0,V50-W50,0),0,IF(AB50&lt;IF((V50-W50)&gt;0,V50-W50,0),IF((V50-W50)&gt;0,V50-W50,0)-AB50,IF((V50-W50)&gt;0,V50-W50,0)))</f>
        <v>0</v>
      </c>
      <c r="AG50" s="187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 t="n"/>
      <c r="AI50" s="65">
        <f>AA50-AH50</f>
        <v>250</v>
      </c>
      <c r="AJ50" s="188" t="n"/>
      <c r="AK50" s="62" t="str">
        <f>VLOOKUP(D50,'2.Bookinglist'!A:CT,40,FALSE)</f>
        <v>Kim jaewon</v>
      </c>
      <c r="AL50" s="60" t="str">
        <f>VLOOKUP(D50,'2.Bookinglist'!A:CW,101,FALSE)</f>
        <v>2026-10-21</v>
      </c>
      <c r="AM50" s="60" t="str">
        <f>VLOOKUP(D50,'2.Bookinglist'!A:BK,63,FALSE)</f>
        <v>LCHY5</v>
      </c>
      <c r="AN50" s="62" t="str">
        <f>VLOOKUP(D50,'2.Bookinglist'!A:AZ,52,FALSE)</f>
        <v>Pickup : 2026-10-15, Return : 2026-10-16
**CHECK OPENGATE BEFORE RETURN CNTR**
</v>
      </c>
      <c r="AO50" s="62">
        <f>VLOOKUP(D50,'2.Bookinglist'!A:CY,103,FALSE)</f>
        <v>0</v>
      </c>
    </row>
    <row r="51" ht="12.95" customHeight="1">
      <c r="A51" s="96" t="inlineStr">
        <is>
          <t>SKLU1403640</t>
        </is>
      </c>
      <c r="B51" s="184" t="str">
        <f>IF(C51=Charge!$M$1,Charge!$J$1,IF(C51=Charge!$M$23,Charge!$J$23,IF(C51=Charge!$M$17,Charge!$J$17,IF(C51=Charge!$N$17,Charge!$J$17,Charge!$J$7))))</f>
        <v>G2</v>
      </c>
      <c r="C51" s="61" t="str">
        <f>VLOOKUP(A51,'1.Loading'!A:R,14,FALSE)</f>
        <v>LCH01</v>
      </c>
      <c r="D51" s="61" t="str">
        <f>VLOOKUP(A51,'1.Loading'!A:R,17,FALSE)</f>
        <v>HASLS22261000792</v>
      </c>
      <c r="E51" s="62" t="str">
        <f>VLOOKUP(D51,'2.Bookinglist'!A:CT,27,FALSE)</f>
        <v>IRPC PUBLIC COMPANY LIMITED</v>
      </c>
      <c r="F51" s="62" t="str">
        <f>VLOOKUP(D51,'2.Bookinglist'!A:CT,28,FALSE)</f>
        <v>IRPC PUBLIC COMPANY LIMITED</v>
      </c>
      <c r="G51" s="60">
        <f>VLOOKUP(D51,'2.Bookinglist'!A:E,5,FALSE)</f>
        <v>0</v>
      </c>
      <c r="H51" s="61" t="str">
        <f>VLOOKUP(D51,'2.Bookinglist'!A:CT,15,FALSE)</f>
        <v>THLCH</v>
      </c>
      <c r="I51" s="61" t="str">
        <f>VLOOKUP(D51,'2.Bookinglist'!A:CT,19,FALSE)</f>
        <v>HKHKG</v>
      </c>
      <c r="J51" s="61">
        <f>VLOOKUP(D51,'2.Bookinglist'!A:CT,26,FALSE)</f>
        <v>0</v>
      </c>
      <c r="K51" s="61" t="str">
        <f>VLOOKUP(A51,'1.Loading'!A:R,5,FALSE)</f>
        <v>22GP</v>
      </c>
      <c r="L51" s="60" t="str">
        <f>VLOOKUP(D51,'2.Bookinglist'!A:CT,85,FALSE)</f>
        <v>CY/CY</v>
      </c>
      <c r="M51" s="60" t="str">
        <f>IF(VLOOKUP(D51,'2.Bookinglist'!A:CT,43,FALSE)=0,"","DG")</f>
        <v/>
      </c>
      <c r="N51" s="60" t="str">
        <f>IF(RIGHT(K51,2)="RE","RF","")</f>
        <v/>
      </c>
      <c r="O51" s="61" t="str">
        <f>VLOOKUP(A51,'1.Loading'!A:R,3,FALSE)</f>
        <v>KMGY</v>
      </c>
      <c r="P51" s="61" t="str">
        <f>VLOOKUP(A51,'1.Loading'!A:R,4,FALSE)</f>
        <v>2611N</v>
      </c>
      <c r="Q51" s="61" t="str">
        <f>VLOOKUP(D51,'2.Bookinglist'!A:CT,12,FALSE)</f>
        <v>CHT</v>
      </c>
      <c r="R51" s="60" t="str">
        <f>IF(LEFT(K51,2)="22","20'","40'")</f>
        <v>20'</v>
      </c>
      <c r="S51" s="185" t="n"/>
      <c r="T51" s="61" t="str">
        <f>VLOOKUP(A51,'1.Loading'!A:R,2,FALSE)</f>
        <v>2026-10-25</v>
      </c>
      <c r="U51" s="63">
        <f>T51-S51</f>
        <v>46320</v>
      </c>
      <c r="V51" s="186" t="n"/>
      <c r="W51" s="61" t="str">
        <f>VLOOKUP(A51,'3.GateMove'!A:D,4,FALSE)</f>
        <v>2026-10-18</v>
      </c>
      <c r="X51" s="63">
        <f>((T51-W51)+1)</f>
        <v>8</v>
      </c>
      <c r="Y51" s="64">
        <f>IF(AND(OR(C51="BKK01",C51="BKK04"),L51="CFS/CY"),0,IF(M51="DG",1,IF(LEFT(C51,3)="LCH",7,IF(C51="BKK02",5,3))))</f>
        <v>7</v>
      </c>
      <c r="Z51" s="63">
        <f>IF(IF(AND(AC51="TML",AB51&gt;0),((T51-W51)+1)-AB51,((T51-W51)+1)-Y51)&gt;0,IF(AND(AC51="TML",AB51&gt;0),((T51-W51)+1)-AB51,((T51-W51)+1)-Y51),0)</f>
        <v>1</v>
      </c>
      <c r="AA51" s="187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125</v>
      </c>
      <c r="AB51" s="184" t="n"/>
      <c r="AC51" s="184" t="n"/>
      <c r="AD51" s="60">
        <f>IF(M51="DG",3,IF(N51="RF",3,5))+IF(AND(LEFT(C51,3)="BKK",N51="RF",Q51="KTS"),1,0)+IF(Q51="KHS",1,0)</f>
        <v>5</v>
      </c>
      <c r="AE51" s="63">
        <f>(T51-V51)+1</f>
        <v>46321</v>
      </c>
      <c r="AF51" s="63">
        <f>IF(AB51&gt;IF((V51-W51)&gt;0,V51-W51,0),0,IF(AB51&lt;IF((V51-W51)&gt;0,V51-W51,0),IF((V51-W51)&gt;0,V51-W51,0)-AB51,IF((V51-W51)&gt;0,V51-W51,0)))</f>
        <v>0</v>
      </c>
      <c r="AG51" s="187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5" t="n"/>
      <c r="AI51" s="65">
        <f>AA51-AH51</f>
        <v>125</v>
      </c>
      <c r="AJ51" s="188" t="n"/>
      <c r="AK51" s="62" t="str">
        <f>VLOOKUP(D51,'2.Bookinglist'!A:CT,40,FALSE)</f>
        <v>Dharaporn</v>
      </c>
      <c r="AL51" s="60" t="str">
        <f>VLOOKUP(D51,'2.Bookinglist'!A:CW,101,FALSE)</f>
        <v>2026-10-21</v>
      </c>
      <c r="AM51" s="60" t="str">
        <f>VLOOKUP(D51,'2.Bookinglist'!A:BK,63,FALSE)</f>
        <v>LCHY5</v>
      </c>
      <c r="AN51" s="62" t="str">
        <f>VLOOKUP(D51,'2.Bookinglist'!A:AZ,52,FALSE)</f>
        <v>CY-RTN 14-15/10/26 (PI26050167-36)
PLS CHECK OPEN GATE BEFORE RETURN CTNR
</v>
      </c>
      <c r="AO51" s="62">
        <f>VLOOKUP(D51,'2.Bookinglist'!A:CY,103,FALSE)</f>
        <v>0</v>
      </c>
    </row>
    <row r="52" ht="12.95" customHeight="1">
      <c r="A52" s="96" t="inlineStr">
        <is>
          <t>SKLU1417011</t>
        </is>
      </c>
      <c r="B52" s="184" t="str">
        <f>IF(C52=Charge!$M$1,Charge!$J$1,IF(C52=Charge!$M$23,Charge!$J$23,IF(C52=Charge!$M$17,Charge!$J$17,IF(C52=Charge!$N$17,Charge!$J$17,Charge!$J$7))))</f>
        <v>G2</v>
      </c>
      <c r="C52" s="61" t="str">
        <f>VLOOKUP(A52,'1.Loading'!A:R,14,FALSE)</f>
        <v>LCH01</v>
      </c>
      <c r="D52" s="61" t="str">
        <f>VLOOKUP(A52,'1.Loading'!A:R,17,FALSE)</f>
        <v>HASLS22260902763</v>
      </c>
      <c r="E52" s="62" t="str">
        <f>VLOOKUP(D52,'2.Bookinglist'!A:CT,27,FALSE)</f>
        <v>HAST LOGISTICS CO., LTD.</v>
      </c>
      <c r="F52" s="62" t="str">
        <f>VLOOKUP(D52,'2.Bookinglist'!A:CT,28,FALSE)</f>
        <v>THE THAI SUGAR TRADING CORPORATION LTD.</v>
      </c>
      <c r="G52" s="60">
        <f>VLOOKUP(D52,'2.Bookinglist'!A:E,5,FALSE)</f>
        <v>0</v>
      </c>
      <c r="H52" s="61" t="str">
        <f>VLOOKUP(D52,'2.Bookinglist'!A:CT,15,FALSE)</f>
        <v>THLCH</v>
      </c>
      <c r="I52" s="61" t="str">
        <f>VLOOKUP(D52,'2.Bookinglist'!A:CT,19,FALSE)</f>
        <v>HKHKG</v>
      </c>
      <c r="J52" s="61">
        <f>VLOOKUP(D52,'2.Bookinglist'!A:CT,26,FALSE)</f>
        <v>0</v>
      </c>
      <c r="K52" s="61" t="str">
        <f>VLOOKUP(A52,'1.Loading'!A:R,5,FALSE)</f>
        <v>22GP</v>
      </c>
      <c r="L52" s="60" t="str">
        <f>VLOOKUP(D52,'2.Bookinglist'!A:CT,85,FALSE)</f>
        <v>CY/CY</v>
      </c>
      <c r="M52" s="60" t="str">
        <f>IF(VLOOKUP(D52,'2.Bookinglist'!A:CT,43,FALSE)=0,"","DG")</f>
        <v/>
      </c>
      <c r="N52" s="60" t="str">
        <f>IF(RIGHT(K52,2)="RE","RF","")</f>
        <v/>
      </c>
      <c r="O52" s="61" t="str">
        <f>VLOOKUP(A52,'1.Loading'!A:R,3,FALSE)</f>
        <v>KMGY</v>
      </c>
      <c r="P52" s="61" t="str">
        <f>VLOOKUP(A52,'1.Loading'!A:R,4,FALSE)</f>
        <v>2611N</v>
      </c>
      <c r="Q52" s="61" t="str">
        <f>VLOOKUP(D52,'2.Bookinglist'!A:CT,12,FALSE)</f>
        <v>CHT</v>
      </c>
      <c r="R52" s="60" t="str">
        <f>IF(LEFT(K52,2)="22","20'","40'")</f>
        <v>20'</v>
      </c>
      <c r="S52" s="185" t="n"/>
      <c r="T52" s="61" t="str">
        <f>VLOOKUP(A52,'1.Loading'!A:R,2,FALSE)</f>
        <v>2026-10-25</v>
      </c>
      <c r="U52" s="63">
        <f>T52-S52</f>
        <v>46320</v>
      </c>
      <c r="V52" s="186" t="n"/>
      <c r="W52" s="61" t="str">
        <f>VLOOKUP(A52,'3.GateMove'!A:D,4,FALSE)</f>
        <v>2026-10-20</v>
      </c>
      <c r="X52" s="63">
        <f>((T52-W52)+1)</f>
        <v>6</v>
      </c>
      <c r="Y52" s="64">
        <f>IF(AND(OR(C52="BKK01",C52="BKK04"),L52="CFS/CY"),0,IF(M52="DG",1,IF(LEFT(C52,3)="LCH",7,IF(C52="BKK02",5,3))))</f>
        <v>7</v>
      </c>
      <c r="Z52" s="63">
        <f>IF(IF(AND(AC52="TML",AB52&gt;0),((T52-W52)+1)-AB52,((T52-W52)+1)-Y52)&gt;0,IF(AND(AC52="TML",AB52&gt;0),((T52-W52)+1)-AB52,((T52-W52)+1)-Y52),0)</f>
        <v>0</v>
      </c>
      <c r="AA52" s="187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0</v>
      </c>
      <c r="AB52" s="184" t="n"/>
      <c r="AC52" s="184" t="n"/>
      <c r="AD52" s="60">
        <f>IF(M52="DG",3,IF(N52="RF",3,5))+IF(AND(LEFT(C52,3)="BKK",N52="RF",Q52="KTS"),1,0)+IF(Q52="KHS",1,0)</f>
        <v>5</v>
      </c>
      <c r="AE52" s="63">
        <f>(T52-V52)+1</f>
        <v>46321</v>
      </c>
      <c r="AF52" s="63">
        <f>IF(AB52&gt;IF((V52-W52)&gt;0,V52-W52,0),0,IF(AB52&lt;IF((V52-W52)&gt;0,V52-W52,0),IF((V52-W52)&gt;0,V52-W52,0)-AB52,IF((V52-W52)&gt;0,V52-W52,0)))</f>
        <v>0</v>
      </c>
      <c r="AG52" s="187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5" t="n"/>
      <c r="AI52" s="65">
        <f>AA52-AH52</f>
        <v>0</v>
      </c>
      <c r="AJ52" s="188" t="n"/>
      <c r="AK52" s="62" t="str">
        <f>VLOOKUP(D52,'2.Bookinglist'!A:CT,40,FALSE)</f>
        <v>Kanokporn</v>
      </c>
      <c r="AL52" s="60" t="str">
        <f>VLOOKUP(D52,'2.Bookinglist'!A:CW,101,FALSE)</f>
        <v>2026-10-24</v>
      </c>
      <c r="AM52" s="60" t="str">
        <f>VLOOKUP(D52,'2.Bookinglist'!A:BK,63,FALSE)</f>
        <v>LCHY5</v>
      </c>
      <c r="AN52" s="62" t="str">
        <f>VLOOKUP(D52,'2.Bookinglist'!A:AZ,52,FALSE)</f>
        <v>Pickup : 2026-10-19, Return : 2026-10-20</v>
      </c>
      <c r="AO52" s="62">
        <f>VLOOKUP(D52,'2.Bookinglist'!A:CY,103,FALSE)</f>
        <v>0</v>
      </c>
    </row>
    <row r="53" ht="12.95" customHeight="1">
      <c r="A53" s="96" t="inlineStr">
        <is>
          <t>SKLU1432757</t>
        </is>
      </c>
      <c r="B53" s="184" t="str">
        <f>IF(C53=Charge!$M$1,Charge!$J$1,IF(C53=Charge!$M$23,Charge!$J$23,IF(C53=Charge!$M$17,Charge!$J$17,IF(C53=Charge!$N$17,Charge!$J$17,Charge!$J$7))))</f>
        <v>G2</v>
      </c>
      <c r="C53" s="61" t="str">
        <f>VLOOKUP(A53,'1.Loading'!A:R,14,FALSE)</f>
        <v>LCH01</v>
      </c>
      <c r="D53" s="61" t="str">
        <f>VLOOKUP(A53,'1.Loading'!A:R,17,FALSE)</f>
        <v>HASLS22260900819</v>
      </c>
      <c r="E53" s="62" t="str">
        <f>VLOOKUP(D53,'2.Bookinglist'!A:CT,27,FALSE)</f>
        <v>JAST GLOBAL CO.,LTD.</v>
      </c>
      <c r="F53" s="62" t="str">
        <f>VLOOKUP(D53,'2.Bookinglist'!A:CT,28,FALSE)</f>
        <v>THE THAI SUGAR TRADING CORPORATION LTD.</v>
      </c>
      <c r="G53" s="60">
        <f>VLOOKUP(D53,'2.Bookinglist'!A:E,5,FALSE)</f>
        <v>0</v>
      </c>
      <c r="H53" s="61" t="str">
        <f>VLOOKUP(D53,'2.Bookinglist'!A:CT,15,FALSE)</f>
        <v>THLCH</v>
      </c>
      <c r="I53" s="61" t="str">
        <f>VLOOKUP(D53,'2.Bookinglist'!A:CT,19,FALSE)</f>
        <v>KRINC</v>
      </c>
      <c r="J53" s="61">
        <f>VLOOKUP(D53,'2.Bookinglist'!A:CT,26,FALSE)</f>
        <v>0</v>
      </c>
      <c r="K53" s="61" t="str">
        <f>VLOOKUP(A53,'1.Loading'!A:R,5,FALSE)</f>
        <v>22GP</v>
      </c>
      <c r="L53" s="60" t="str">
        <f>VLOOKUP(D53,'2.Bookinglist'!A:CT,85,FALSE)</f>
        <v>CY/CY</v>
      </c>
      <c r="M53" s="60" t="str">
        <f>IF(VLOOKUP(D53,'2.Bookinglist'!A:CT,43,FALSE)=0,"","DG")</f>
        <v/>
      </c>
      <c r="N53" s="60" t="str">
        <f>IF(RIGHT(K53,2)="RE","RF","")</f>
        <v/>
      </c>
      <c r="O53" s="61" t="str">
        <f>VLOOKUP(A53,'1.Loading'!A:R,3,FALSE)</f>
        <v>KMGY</v>
      </c>
      <c r="P53" s="61" t="str">
        <f>VLOOKUP(A53,'1.Loading'!A:R,4,FALSE)</f>
        <v>2611N</v>
      </c>
      <c r="Q53" s="61" t="str">
        <f>VLOOKUP(D53,'2.Bookinglist'!A:CT,12,FALSE)</f>
        <v>CHT</v>
      </c>
      <c r="R53" s="60" t="str">
        <f>IF(LEFT(K53,2)="22","20'","40'")</f>
        <v>20'</v>
      </c>
      <c r="S53" s="185" t="n"/>
      <c r="T53" s="61" t="str">
        <f>VLOOKUP(A53,'1.Loading'!A:R,2,FALSE)</f>
        <v>2026-10-25</v>
      </c>
      <c r="U53" s="63">
        <f>T53-S53</f>
        <v>46320</v>
      </c>
      <c r="V53" s="186" t="n"/>
      <c r="W53" s="61" t="str">
        <f>VLOOKUP(A53,'3.GateMove'!A:D,4,FALSE)</f>
        <v>2026-10-17</v>
      </c>
      <c r="X53" s="63">
        <f>((T53-W53)+1)</f>
        <v>9</v>
      </c>
      <c r="Y53" s="64">
        <f>IF(AND(OR(C53="BKK01",C53="BKK04"),L53="CFS/CY"),0,IF(M53="DG",1,IF(LEFT(C53,3)="LCH",7,IF(C53="BKK02",5,3))))</f>
        <v>7</v>
      </c>
      <c r="Z53" s="63">
        <f>IF(IF(AND(AC53="TML",AB53&gt;0),((T53-W53)+1)-AB53,((T53-W53)+1)-Y53)&gt;0,IF(AND(AC53="TML",AB53&gt;0),((T53-W53)+1)-AB53,((T53-W53)+1)-Y53),0)</f>
        <v>2</v>
      </c>
      <c r="AA53" s="187">
        <f>IF(AND(B53="G1",M53=""),IF(R53="20'",
VLOOKUP(Z53,Charge!$K$2:$M$5,2,TRUE)+(Z53-VLOOKUP(Z53,Charge!$K$2:$M$5,1,TRUE))*VLOOKUP(Z53,Charge!$K$2:$M$5,3,TRUE),
VLOOKUP(Z53,Charge!$N$2:$P$5,2,TRUE)+(Z53-VLOOKUP(Z53,Charge!$N$2:$P$5,1,TRUE))*VLOOKUP(Z53,Charge!$N$2:$P$5,3,TRUE)),
IF(AND(B53="G1",M53="DG"),IF(R53="20'",
VLOOKUP(Z53,Charge!$R$2:$T$5,2,TRUE)+(Z53-VLOOKUP(Z53,Charge!$R$2:$T$5,1,TRUE))*VLOOKUP(Z53,Charge!$R$2:$T$5,3,TRUE),
VLOOKUP(Z53,Charge!$U$2:$W$5,2,TRUE)+(Z53-VLOOKUP(Z53,Charge!$U$2:$W$5,1,TRUE))*VLOOKUP(Z53,Charge!$U$2:$W$5,3,TRUE)),
IF(AND(B53="G3",M53=""),IF(R53="20'",
VLOOKUP(Z53,Charge!$K$18:$M$21,2,TRUE)+(Z53-VLOOKUP(Z53,Charge!$K$18:$M$21,1,TRUE))*VLOOKUP(Z53,Charge!$K$18:$M$21,3,TRUE),
VLOOKUP(Z53,Charge!$N$18:$P$21,2,TRUE)+(Z53-VLOOKUP(Z53,Charge!$N$18:$P$21,1,TRUE))*VLOOKUP(Z53,Charge!$N$18:$P$21,3,TRUE)),
IF(AND(B53="G3",M53="DG"),IF(R53="20'",
VLOOKUP(Z53,Charge!$R$18:$T$21,2,TRUE)+(Z53-VLOOKUP(Z53,Charge!$R$18:$T$21,1,TRUE))*VLOOKUP(Z53,Charge!$R$18:$T$21,3,TRUE),
VLOOKUP(Z53,Charge!$U$18:$W$21,2,TRUE)+(Z53-VLOOKUP(Z53,Charge!$U$18:$W$21,1,TRUE))*VLOOKUP(Z53,Charge!$U$18:$W$21,3,TRUE)),
IF(AND(B53="G2",M53=""),IF(R53="20'",
VLOOKUP(Z53,Charge!$K$9:$M$12,2,TRUE)+(Z53-VLOOKUP(Z53,Charge!$K$9:$M$12,1,TRUE))*VLOOKUP(Z53,Charge!$K$9:$M$12,3,TRUE),
VLOOKUP(Z53,Charge!$N$9:$P$12,2,TRUE)+(Z53-VLOOKUP(Z53,Charge!$N$9:$P$12,1,TRUE))*VLOOKUP(Z53,Charge!$N$9:$P$12,3,TRUE)),
IF(AND(B53="G2",M53="DG"),IF(R53="20'",
VLOOKUP(Z53,Charge!$R$9:$T$12,2,TRUE)+(Z53-VLOOKUP(Z53,Charge!$R$9:$T$12,1,TRUE))*VLOOKUP(Z53,Charge!$R$9:$T$12,3,TRUE),
VLOOKUP(Z53,Charge!$U$9:$W$12,2,TRUE)+(Z53-VLOOKUP(Z53,Charge!$U$9:$W$12,1,TRUE))*VLOOKUP(Z53,Charge!$U$9:$W$12,3,TRUE)),IF(AND(B53="G4",M53=""),IF(R53="20'",Z53*Charge!$M$25,Z53*Charge!$P$25),IF(AND(B53="G4",M53="DG"),IF(R53="20'",Z53*Charge!$T$25,Z53*Charge!$W$25),0))))))))</f>
        <v>250</v>
      </c>
      <c r="AB53" s="184" t="n"/>
      <c r="AC53" s="184" t="n"/>
      <c r="AD53" s="60">
        <f>IF(M53="DG",3,IF(N53="RF",3,5))+IF(AND(LEFT(C53,3)="BKK",N53="RF",Q53="KTS"),1,0)+IF(Q53="KHS",1,0)</f>
        <v>5</v>
      </c>
      <c r="AE53" s="63">
        <f>(T53-V53)+1</f>
        <v>46321</v>
      </c>
      <c r="AF53" s="63">
        <f>IF(AB53&gt;IF((V53-W53)&gt;0,V53-W53,0),0,IF(AB53&lt;IF((V53-W53)&gt;0,V53-W53,0),IF((V53-W53)&gt;0,V53-W53,0)-AB53,IF((V53-W53)&gt;0,V53-W53,0)))</f>
        <v>0</v>
      </c>
      <c r="AG53" s="187">
        <f>IF(AND(M53=""),IF(R53="20'",
VLOOKUP(AF53,Charge!$K$31:$M$34,2,TRUE)+(AF53-VLOOKUP(AF53,Charge!$K$31:$M$34,1,TRUE))*VLOOKUP(AF53,Charge!$K$31:$M$34,3,TRUE),
VLOOKUP(AF53,Charge!$N$31:$P$34,2,TRUE)+(AF53-VLOOKUP(AF53,Charge!$N$31:$P$34,1,TRUE))*VLOOKUP(AF53,Charge!$N$31:$P$34,3,TRUE)),
IF(AND(M53="DG"),IF(R53="20'",
VLOOKUP(AF53,Charge!$R$31:$T$34,2,TRUE)+(AF53-VLOOKUP(AF53,Charge!$R$31:$T$34,1,TRUE))*VLOOKUP(AF53,Charge!$R$31:$T$34,3,TRUE),
VLOOKUP(AF53,Charge!$U$31:$W$34,2,TRUE)+(AF53-VLOOKUP(AF53,Charge!$U$31:$W$34,1,TRUE))*VLOOKUP(AF53,Charge!$U$31:$W$34,3,TRUE)),0))</f>
        <v>0</v>
      </c>
      <c r="AH53" s="65" t="n"/>
      <c r="AI53" s="65">
        <f>AA53-AH53</f>
        <v>250</v>
      </c>
      <c r="AJ53" s="188" t="n"/>
      <c r="AK53" s="62" t="str">
        <f>VLOOKUP(D53,'2.Bookinglist'!A:CT,40,FALSE)</f>
        <v>Kim jaewon</v>
      </c>
      <c r="AL53" s="60" t="str">
        <f>VLOOKUP(D53,'2.Bookinglist'!A:CW,101,FALSE)</f>
        <v>2026-10-21</v>
      </c>
      <c r="AM53" s="60" t="str">
        <f>VLOOKUP(D53,'2.Bookinglist'!A:BK,63,FALSE)</f>
        <v>LCHY5</v>
      </c>
      <c r="AN53" s="62" t="str">
        <f>VLOOKUP(D53,'2.Bookinglist'!A:AZ,52,FALSE)</f>
        <v>Pickup : 2026-10-15, Return : 2026-10-16
**CHECK OPENGATE BEFORE RETURN CNTR**
</v>
      </c>
      <c r="AO53" s="62">
        <f>VLOOKUP(D53,'2.Bookinglist'!A:CY,103,FALSE)</f>
        <v>0</v>
      </c>
    </row>
    <row r="54" ht="12.95" customHeight="1">
      <c r="A54" s="96" t="inlineStr">
        <is>
          <t>SKLU1504230</t>
        </is>
      </c>
      <c r="B54" s="184" t="str">
        <f>IF(C54=Charge!$M$1,Charge!$J$1,IF(C54=Charge!$M$23,Charge!$J$23,IF(C54=Charge!$M$17,Charge!$J$17,IF(C54=Charge!$N$17,Charge!$J$17,Charge!$J$7))))</f>
        <v>G2</v>
      </c>
      <c r="C54" s="61" t="str">
        <f>VLOOKUP(A54,'1.Loading'!A:R,14,FALSE)</f>
        <v>LCH01</v>
      </c>
      <c r="D54" s="61" t="str">
        <f>VLOOKUP(A54,'1.Loading'!A:R,17,FALSE)</f>
        <v>HASLS22261001374</v>
      </c>
      <c r="E54" s="62" t="str">
        <f>VLOOKUP(D54,'2.Bookinglist'!A:CT,27,FALSE)</f>
        <v>UBE CHEMICALS (ASIA) PUBLIC COMPANY LIMITED</v>
      </c>
      <c r="F54" s="62" t="str">
        <f>VLOOKUP(D54,'2.Bookinglist'!A:CT,28,FALSE)</f>
        <v>THAI SYNTHETIC RUBBERS CO., LTD.</v>
      </c>
      <c r="G54" s="60">
        <f>VLOOKUP(D54,'2.Bookinglist'!A:E,5,FALSE)</f>
        <v>0</v>
      </c>
      <c r="H54" s="61" t="str">
        <f>VLOOKUP(D54,'2.Bookinglist'!A:CT,15,FALSE)</f>
        <v>THLCH</v>
      </c>
      <c r="I54" s="61" t="str">
        <f>VLOOKUP(D54,'2.Bookinglist'!A:CT,19,FALSE)</f>
        <v>HKHKG</v>
      </c>
      <c r="J54" s="61">
        <f>VLOOKUP(D54,'2.Bookinglist'!A:CT,26,FALSE)</f>
        <v>0</v>
      </c>
      <c r="K54" s="61" t="str">
        <f>VLOOKUP(A54,'1.Loading'!A:R,5,FALSE)</f>
        <v>22GP</v>
      </c>
      <c r="L54" s="60" t="str">
        <f>VLOOKUP(D54,'2.Bookinglist'!A:CT,85,FALSE)</f>
        <v>CY/CY</v>
      </c>
      <c r="M54" s="60" t="str">
        <f>IF(VLOOKUP(D54,'2.Bookinglist'!A:CT,43,FALSE)=0,"","DG")</f>
        <v/>
      </c>
      <c r="N54" s="60" t="str">
        <f>IF(RIGHT(K54,2)="RE","RF","")</f>
        <v/>
      </c>
      <c r="O54" s="61" t="str">
        <f>VLOOKUP(A54,'1.Loading'!A:R,3,FALSE)</f>
        <v>KMGY</v>
      </c>
      <c r="P54" s="61" t="str">
        <f>VLOOKUP(A54,'1.Loading'!A:R,4,FALSE)</f>
        <v>2611N</v>
      </c>
      <c r="Q54" s="61" t="str">
        <f>VLOOKUP(D54,'2.Bookinglist'!A:CT,12,FALSE)</f>
        <v>CHT</v>
      </c>
      <c r="R54" s="60" t="str">
        <f>IF(LEFT(K54,2)="22","20'","40'")</f>
        <v>20'</v>
      </c>
      <c r="S54" s="185" t="n"/>
      <c r="T54" s="61" t="str">
        <f>VLOOKUP(A54,'1.Loading'!A:R,2,FALSE)</f>
        <v>2026-10-25</v>
      </c>
      <c r="U54" s="63">
        <f>T54-S54</f>
        <v>46320</v>
      </c>
      <c r="V54" s="186" t="n"/>
      <c r="W54" s="61" t="str">
        <f>VLOOKUP(A54,'3.GateMove'!A:D,4,FALSE)</f>
        <v>2026-10-22</v>
      </c>
      <c r="X54" s="63">
        <f>((T54-W54)+1)</f>
        <v>4</v>
      </c>
      <c r="Y54" s="64">
        <f>IF(AND(OR(C54="BKK01",C54="BKK04"),L54="CFS/CY"),0,IF(M54="DG",1,IF(LEFT(C54,3)="LCH",7,IF(C54="BKK02",5,3))))</f>
        <v>7</v>
      </c>
      <c r="Z54" s="63">
        <f>IF(IF(AND(AC54="TML",AB54&gt;0),((T54-W54)+1)-AB54,((T54-W54)+1)-Y54)&gt;0,IF(AND(AC54="TML",AB54&gt;0),((T54-W54)+1)-AB54,((T54-W54)+1)-Y54),0)</f>
        <v>0</v>
      </c>
      <c r="AA54" s="187">
        <f>IF(AND(B54="G1",M54=""),IF(R54="20'",
VLOOKUP(Z54,Charge!$K$2:$M$5,2,TRUE)+(Z54-VLOOKUP(Z54,Charge!$K$2:$M$5,1,TRUE))*VLOOKUP(Z54,Charge!$K$2:$M$5,3,TRUE),
VLOOKUP(Z54,Charge!$N$2:$P$5,2,TRUE)+(Z54-VLOOKUP(Z54,Charge!$N$2:$P$5,1,TRUE))*VLOOKUP(Z54,Charge!$N$2:$P$5,3,TRUE)),
IF(AND(B54="G1",M54="DG"),IF(R54="20'",
VLOOKUP(Z54,Charge!$R$2:$T$5,2,TRUE)+(Z54-VLOOKUP(Z54,Charge!$R$2:$T$5,1,TRUE))*VLOOKUP(Z54,Charge!$R$2:$T$5,3,TRUE),
VLOOKUP(Z54,Charge!$U$2:$W$5,2,TRUE)+(Z54-VLOOKUP(Z54,Charge!$U$2:$W$5,1,TRUE))*VLOOKUP(Z54,Charge!$U$2:$W$5,3,TRUE)),
IF(AND(B54="G3",M54=""),IF(R54="20'",
VLOOKUP(Z54,Charge!$K$18:$M$21,2,TRUE)+(Z54-VLOOKUP(Z54,Charge!$K$18:$M$21,1,TRUE))*VLOOKUP(Z54,Charge!$K$18:$M$21,3,TRUE),
VLOOKUP(Z54,Charge!$N$18:$P$21,2,TRUE)+(Z54-VLOOKUP(Z54,Charge!$N$18:$P$21,1,TRUE))*VLOOKUP(Z54,Charge!$N$18:$P$21,3,TRUE)),
IF(AND(B54="G3",M54="DG"),IF(R54="20'",
VLOOKUP(Z54,Charge!$R$18:$T$21,2,TRUE)+(Z54-VLOOKUP(Z54,Charge!$R$18:$T$21,1,TRUE))*VLOOKUP(Z54,Charge!$R$18:$T$21,3,TRUE),
VLOOKUP(Z54,Charge!$U$18:$W$21,2,TRUE)+(Z54-VLOOKUP(Z54,Charge!$U$18:$W$21,1,TRUE))*VLOOKUP(Z54,Charge!$U$18:$W$21,3,TRUE)),
IF(AND(B54="G2",M54=""),IF(R54="20'",
VLOOKUP(Z54,Charge!$K$9:$M$12,2,TRUE)+(Z54-VLOOKUP(Z54,Charge!$K$9:$M$12,1,TRUE))*VLOOKUP(Z54,Charge!$K$9:$M$12,3,TRUE),
VLOOKUP(Z54,Charge!$N$9:$P$12,2,TRUE)+(Z54-VLOOKUP(Z54,Charge!$N$9:$P$12,1,TRUE))*VLOOKUP(Z54,Charge!$N$9:$P$12,3,TRUE)),
IF(AND(B54="G2",M54="DG"),IF(R54="20'",
VLOOKUP(Z54,Charge!$R$9:$T$12,2,TRUE)+(Z54-VLOOKUP(Z54,Charge!$R$9:$T$12,1,TRUE))*VLOOKUP(Z54,Charge!$R$9:$T$12,3,TRUE),
VLOOKUP(Z54,Charge!$U$9:$W$12,2,TRUE)+(Z54-VLOOKUP(Z54,Charge!$U$9:$W$12,1,TRUE))*VLOOKUP(Z54,Charge!$U$9:$W$12,3,TRUE)),IF(AND(B54="G4",M54=""),IF(R54="20'",Z54*Charge!$M$25,Z54*Charge!$P$25),IF(AND(B54="G4",M54="DG"),IF(R54="20'",Z54*Charge!$T$25,Z54*Charge!$W$25),0))))))))</f>
        <v>0</v>
      </c>
      <c r="AB54" s="184" t="n"/>
      <c r="AC54" s="184" t="n"/>
      <c r="AD54" s="60">
        <f>IF(M54="DG",3,IF(N54="RF",3,5))+IF(AND(LEFT(C54,3)="BKK",N54="RF",Q54="KTS"),1,0)+IF(Q54="KHS",1,0)</f>
        <v>5</v>
      </c>
      <c r="AE54" s="63">
        <f>(T54-V54)+1</f>
        <v>46321</v>
      </c>
      <c r="AF54" s="63">
        <f>IF(AB54&gt;IF((V54-W54)&gt;0,V54-W54,0),0,IF(AB54&lt;IF((V54-W54)&gt;0,V54-W54,0),IF((V54-W54)&gt;0,V54-W54,0)-AB54,IF((V54-W54)&gt;0,V54-W54,0)))</f>
        <v>0</v>
      </c>
      <c r="AG54" s="187">
        <f>IF(AND(M54=""),IF(R54="20'",
VLOOKUP(AF54,Charge!$K$31:$M$34,2,TRUE)+(AF54-VLOOKUP(AF54,Charge!$K$31:$M$34,1,TRUE))*VLOOKUP(AF54,Charge!$K$31:$M$34,3,TRUE),
VLOOKUP(AF54,Charge!$N$31:$P$34,2,TRUE)+(AF54-VLOOKUP(AF54,Charge!$N$31:$P$34,1,TRUE))*VLOOKUP(AF54,Charge!$N$31:$P$34,3,TRUE)),
IF(AND(M54="DG"),IF(R54="20'",
VLOOKUP(AF54,Charge!$R$31:$T$34,2,TRUE)+(AF54-VLOOKUP(AF54,Charge!$R$31:$T$34,1,TRUE))*VLOOKUP(AF54,Charge!$R$31:$T$34,3,TRUE),
VLOOKUP(AF54,Charge!$U$31:$W$34,2,TRUE)+(AF54-VLOOKUP(AF54,Charge!$U$31:$W$34,1,TRUE))*VLOOKUP(AF54,Charge!$U$31:$W$34,3,TRUE)),0))</f>
        <v>0</v>
      </c>
      <c r="AH54" s="65" t="n"/>
      <c r="AI54" s="65">
        <f>AA54-AH54</f>
        <v>0</v>
      </c>
      <c r="AJ54" s="188" t="n"/>
      <c r="AK54" s="62" t="str">
        <f>VLOOKUP(D54,'2.Bookinglist'!A:CT,40,FALSE)</f>
        <v>Tarn(Supaporn)</v>
      </c>
      <c r="AL54" s="60" t="str">
        <f>VLOOKUP(D54,'2.Bookinglist'!A:CW,101,FALSE)</f>
        <v>2026-10-24</v>
      </c>
      <c r="AM54" s="60" t="str">
        <f>VLOOKUP(D54,'2.Bookinglist'!A:BK,63,FALSE)</f>
        <v>LCHY5</v>
      </c>
      <c r="AN54" s="62" t="str">
        <f>VLOOKUP(D54,'2.Bookinglist'!A:AZ,52,FALSE)</f>
        <v>CY-RTN : 21-22/10/2026 REF : ID-TBA1002(BR-26083B)
CLS TIME DD.23/10/2026 @ 12.00
RQST Good condition; Grade B+ 
</v>
      </c>
      <c r="AO54" s="62">
        <f>VLOOKUP(D54,'2.Bookinglist'!A:CY,103,FALSE)</f>
        <v>0</v>
      </c>
    </row>
    <row r="55" ht="12.95" customHeight="1">
      <c r="A55" s="96" t="inlineStr">
        <is>
          <t>SKLU1506335</t>
        </is>
      </c>
      <c r="B55" s="184" t="str">
        <f>IF(C55=Charge!$M$1,Charge!$J$1,IF(C55=Charge!$M$23,Charge!$J$23,IF(C55=Charge!$M$17,Charge!$J$17,IF(C55=Charge!$N$17,Charge!$J$17,Charge!$J$7))))</f>
        <v>G2</v>
      </c>
      <c r="C55" s="61" t="str">
        <f>VLOOKUP(A55,'1.Loading'!A:R,14,FALSE)</f>
        <v>LCH01</v>
      </c>
      <c r="D55" s="61" t="str">
        <f>VLOOKUP(A55,'1.Loading'!A:R,17,FALSE)</f>
        <v>HASLS22261000794</v>
      </c>
      <c r="E55" s="62" t="str">
        <f>VLOOKUP(D55,'2.Bookinglist'!A:CT,27,FALSE)</f>
        <v>IRPC PUBLIC COMPANY LIMITED</v>
      </c>
      <c r="F55" s="62" t="str">
        <f>VLOOKUP(D55,'2.Bookinglist'!A:CT,28,FALSE)</f>
        <v>IRPC PUBLIC COMPANY LIMITED</v>
      </c>
      <c r="G55" s="60">
        <f>VLOOKUP(D55,'2.Bookinglist'!A:E,5,FALSE)</f>
        <v>0</v>
      </c>
      <c r="H55" s="61" t="str">
        <f>VLOOKUP(D55,'2.Bookinglist'!A:CT,15,FALSE)</f>
        <v>THLCH</v>
      </c>
      <c r="I55" s="61" t="str">
        <f>VLOOKUP(D55,'2.Bookinglist'!A:CT,19,FALSE)</f>
        <v>HKHKG</v>
      </c>
      <c r="J55" s="61">
        <f>VLOOKUP(D55,'2.Bookinglist'!A:CT,26,FALSE)</f>
        <v>0</v>
      </c>
      <c r="K55" s="61" t="str">
        <f>VLOOKUP(A55,'1.Loading'!A:R,5,FALSE)</f>
        <v>22GP</v>
      </c>
      <c r="L55" s="60" t="str">
        <f>VLOOKUP(D55,'2.Bookinglist'!A:CT,85,FALSE)</f>
        <v>CY/CY</v>
      </c>
      <c r="M55" s="60" t="str">
        <f>IF(VLOOKUP(D55,'2.Bookinglist'!A:CT,43,FALSE)=0,"","DG")</f>
        <v/>
      </c>
      <c r="N55" s="60" t="str">
        <f>IF(RIGHT(K55,2)="RE","RF","")</f>
        <v/>
      </c>
      <c r="O55" s="61" t="str">
        <f>VLOOKUP(A55,'1.Loading'!A:R,3,FALSE)</f>
        <v>KMGY</v>
      </c>
      <c r="P55" s="61" t="str">
        <f>VLOOKUP(A55,'1.Loading'!A:R,4,FALSE)</f>
        <v>2611N</v>
      </c>
      <c r="Q55" s="61" t="str">
        <f>VLOOKUP(D55,'2.Bookinglist'!A:CT,12,FALSE)</f>
        <v>CHT</v>
      </c>
      <c r="R55" s="60" t="str">
        <f>IF(LEFT(K55,2)="22","20'","40'")</f>
        <v>20'</v>
      </c>
      <c r="S55" s="185" t="n"/>
      <c r="T55" s="61" t="str">
        <f>VLOOKUP(A55,'1.Loading'!A:R,2,FALSE)</f>
        <v>2026-10-25</v>
      </c>
      <c r="U55" s="63">
        <f>T55-S55</f>
        <v>46320</v>
      </c>
      <c r="V55" s="186" t="n"/>
      <c r="W55" s="61" t="str">
        <f>VLOOKUP(A55,'3.GateMove'!A:D,4,FALSE)</f>
        <v>2026-10-18</v>
      </c>
      <c r="X55" s="63">
        <f>((T55-W55)+1)</f>
        <v>8</v>
      </c>
      <c r="Y55" s="64">
        <f>IF(AND(OR(C55="BKK01",C55="BKK04"),L55="CFS/CY"),0,IF(M55="DG",1,IF(LEFT(C55,3)="LCH",7,IF(C55="BKK02",5,3))))</f>
        <v>7</v>
      </c>
      <c r="Z55" s="63">
        <f>IF(IF(AND(AC55="TML",AB55&gt;0),((T55-W55)+1)-AB55,((T55-W55)+1)-Y55)&gt;0,IF(AND(AC55="TML",AB55&gt;0),((T55-W55)+1)-AB55,((T55-W55)+1)-Y55),0)</f>
        <v>1</v>
      </c>
      <c r="AA55" s="187">
        <f>IF(AND(B55="G1",M55=""),IF(R55="20'",
VLOOKUP(Z55,Charge!$K$2:$M$5,2,TRUE)+(Z55-VLOOKUP(Z55,Charge!$K$2:$M$5,1,TRUE))*VLOOKUP(Z55,Charge!$K$2:$M$5,3,TRUE),
VLOOKUP(Z55,Charge!$N$2:$P$5,2,TRUE)+(Z55-VLOOKUP(Z55,Charge!$N$2:$P$5,1,TRUE))*VLOOKUP(Z55,Charge!$N$2:$P$5,3,TRUE)),
IF(AND(B55="G1",M55="DG"),IF(R55="20'",
VLOOKUP(Z55,Charge!$R$2:$T$5,2,TRUE)+(Z55-VLOOKUP(Z55,Charge!$R$2:$T$5,1,TRUE))*VLOOKUP(Z55,Charge!$R$2:$T$5,3,TRUE),
VLOOKUP(Z55,Charge!$U$2:$W$5,2,TRUE)+(Z55-VLOOKUP(Z55,Charge!$U$2:$W$5,1,TRUE))*VLOOKUP(Z55,Charge!$U$2:$W$5,3,TRUE)),
IF(AND(B55="G3",M55=""),IF(R55="20'",
VLOOKUP(Z55,Charge!$K$18:$M$21,2,TRUE)+(Z55-VLOOKUP(Z55,Charge!$K$18:$M$21,1,TRUE))*VLOOKUP(Z55,Charge!$K$18:$M$21,3,TRUE),
VLOOKUP(Z55,Charge!$N$18:$P$21,2,TRUE)+(Z55-VLOOKUP(Z55,Charge!$N$18:$P$21,1,TRUE))*VLOOKUP(Z55,Charge!$N$18:$P$21,3,TRUE)),
IF(AND(B55="G3",M55="DG"),IF(R55="20'",
VLOOKUP(Z55,Charge!$R$18:$T$21,2,TRUE)+(Z55-VLOOKUP(Z55,Charge!$R$18:$T$21,1,TRUE))*VLOOKUP(Z55,Charge!$R$18:$T$21,3,TRUE),
VLOOKUP(Z55,Charge!$U$18:$W$21,2,TRUE)+(Z55-VLOOKUP(Z55,Charge!$U$18:$W$21,1,TRUE))*VLOOKUP(Z55,Charge!$U$18:$W$21,3,TRUE)),
IF(AND(B55="G2",M55=""),IF(R55="20'",
VLOOKUP(Z55,Charge!$K$9:$M$12,2,TRUE)+(Z55-VLOOKUP(Z55,Charge!$K$9:$M$12,1,TRUE))*VLOOKUP(Z55,Charge!$K$9:$M$12,3,TRUE),
VLOOKUP(Z55,Charge!$N$9:$P$12,2,TRUE)+(Z55-VLOOKUP(Z55,Charge!$N$9:$P$12,1,TRUE))*VLOOKUP(Z55,Charge!$N$9:$P$12,3,TRUE)),
IF(AND(B55="G2",M55="DG"),IF(R55="20'",
VLOOKUP(Z55,Charge!$R$9:$T$12,2,TRUE)+(Z55-VLOOKUP(Z55,Charge!$R$9:$T$12,1,TRUE))*VLOOKUP(Z55,Charge!$R$9:$T$12,3,TRUE),
VLOOKUP(Z55,Charge!$U$9:$W$12,2,TRUE)+(Z55-VLOOKUP(Z55,Charge!$U$9:$W$12,1,TRUE))*VLOOKUP(Z55,Charge!$U$9:$W$12,3,TRUE)),IF(AND(B55="G4",M55=""),IF(R55="20'",Z55*Charge!$M$25,Z55*Charge!$P$25),IF(AND(B55="G4",M55="DG"),IF(R55="20'",Z55*Charge!$T$25,Z55*Charge!$W$25),0))))))))</f>
        <v>125</v>
      </c>
      <c r="AB55" s="184" t="n"/>
      <c r="AC55" s="184" t="n"/>
      <c r="AD55" s="60">
        <f>IF(M55="DG",3,IF(N55="RF",3,5))+IF(AND(LEFT(C55,3)="BKK",N55="RF",Q55="KTS"),1,0)+IF(Q55="KHS",1,0)</f>
        <v>5</v>
      </c>
      <c r="AE55" s="63">
        <f>(T55-V55)+1</f>
        <v>46321</v>
      </c>
      <c r="AF55" s="63">
        <f>IF(AB55&gt;IF((V55-W55)&gt;0,V55-W55,0),0,IF(AB55&lt;IF((V55-W55)&gt;0,V55-W55,0),IF((V55-W55)&gt;0,V55-W55,0)-AB55,IF((V55-W55)&gt;0,V55-W55,0)))</f>
        <v>0</v>
      </c>
      <c r="AG55" s="187">
        <f>IF(AND(M55=""),IF(R55="20'",
VLOOKUP(AF55,Charge!$K$31:$M$34,2,TRUE)+(AF55-VLOOKUP(AF55,Charge!$K$31:$M$34,1,TRUE))*VLOOKUP(AF55,Charge!$K$31:$M$34,3,TRUE),
VLOOKUP(AF55,Charge!$N$31:$P$34,2,TRUE)+(AF55-VLOOKUP(AF55,Charge!$N$31:$P$34,1,TRUE))*VLOOKUP(AF55,Charge!$N$31:$P$34,3,TRUE)),
IF(AND(M55="DG"),IF(R55="20'",
VLOOKUP(AF55,Charge!$R$31:$T$34,2,TRUE)+(AF55-VLOOKUP(AF55,Charge!$R$31:$T$34,1,TRUE))*VLOOKUP(AF55,Charge!$R$31:$T$34,3,TRUE),
VLOOKUP(AF55,Charge!$U$31:$W$34,2,TRUE)+(AF55-VLOOKUP(AF55,Charge!$U$31:$W$34,1,TRUE))*VLOOKUP(AF55,Charge!$U$31:$W$34,3,TRUE)),0))</f>
        <v>0</v>
      </c>
      <c r="AH55" s="65" t="n"/>
      <c r="AI55" s="65">
        <f>AA55-AH55</f>
        <v>125</v>
      </c>
      <c r="AJ55" s="188" t="n"/>
      <c r="AK55" s="62" t="str">
        <f>VLOOKUP(D55,'2.Bookinglist'!A:CT,40,FALSE)</f>
        <v>Dharaporn</v>
      </c>
      <c r="AL55" s="60" t="str">
        <f>VLOOKUP(D55,'2.Bookinglist'!A:CW,101,FALSE)</f>
        <v>2026-10-21</v>
      </c>
      <c r="AM55" s="60" t="str">
        <f>VLOOKUP(D55,'2.Bookinglist'!A:BK,63,FALSE)</f>
        <v>LCHY5</v>
      </c>
      <c r="AN55" s="62" t="str">
        <f>VLOOKUP(D55,'2.Bookinglist'!A:AZ,52,FALSE)</f>
        <v>CY-RTN 14-15/10/26 (PI26050167-37)
PLS CHECK OPEN GATE BEFORE RETURN CTNR
</v>
      </c>
      <c r="AO55" s="62">
        <f>VLOOKUP(D55,'2.Bookinglist'!A:CY,103,FALSE)</f>
        <v>0</v>
      </c>
    </row>
    <row r="56" ht="12.95" customHeight="1">
      <c r="A56" s="96" t="inlineStr">
        <is>
          <t>SKLU1575001</t>
        </is>
      </c>
      <c r="B56" s="184" t="str">
        <f>IF(C56=Charge!$M$1,Charge!$J$1,IF(C56=Charge!$M$23,Charge!$J$23,IF(C56=Charge!$M$17,Charge!$J$17,IF(C56=Charge!$N$17,Charge!$J$17,Charge!$J$7))))</f>
        <v>G2</v>
      </c>
      <c r="C56" s="61" t="str">
        <f>VLOOKUP(A56,'1.Loading'!A:R,14,FALSE)</f>
        <v>LCH01</v>
      </c>
      <c r="D56" s="61" t="str">
        <f>VLOOKUP(A56,'1.Loading'!A:R,17,FALSE)</f>
        <v>HASLS22260902763</v>
      </c>
      <c r="E56" s="62" t="str">
        <f>VLOOKUP(D56,'2.Bookinglist'!A:CT,27,FALSE)</f>
        <v>HAST LOGISTICS CO., LTD.</v>
      </c>
      <c r="F56" s="62" t="str">
        <f>VLOOKUP(D56,'2.Bookinglist'!A:CT,28,FALSE)</f>
        <v>THE THAI SUGAR TRADING CORPORATION LTD.</v>
      </c>
      <c r="G56" s="60">
        <f>VLOOKUP(D56,'2.Bookinglist'!A:E,5,FALSE)</f>
        <v>0</v>
      </c>
      <c r="H56" s="61" t="str">
        <f>VLOOKUP(D56,'2.Bookinglist'!A:CT,15,FALSE)</f>
        <v>THLCH</v>
      </c>
      <c r="I56" s="61" t="str">
        <f>VLOOKUP(D56,'2.Bookinglist'!A:CT,19,FALSE)</f>
        <v>HKHKG</v>
      </c>
      <c r="J56" s="61">
        <f>VLOOKUP(D56,'2.Bookinglist'!A:CT,26,FALSE)</f>
        <v>0</v>
      </c>
      <c r="K56" s="61" t="str">
        <f>VLOOKUP(A56,'1.Loading'!A:R,5,FALSE)</f>
        <v>22GP</v>
      </c>
      <c r="L56" s="60" t="str">
        <f>VLOOKUP(D56,'2.Bookinglist'!A:CT,85,FALSE)</f>
        <v>CY/CY</v>
      </c>
      <c r="M56" s="60" t="str">
        <f>IF(VLOOKUP(D56,'2.Bookinglist'!A:CT,43,FALSE)=0,"","DG")</f>
        <v/>
      </c>
      <c r="N56" s="60" t="str">
        <f>IF(RIGHT(K56,2)="RE","RF","")</f>
        <v/>
      </c>
      <c r="O56" s="61" t="str">
        <f>VLOOKUP(A56,'1.Loading'!A:R,3,FALSE)</f>
        <v>KMGY</v>
      </c>
      <c r="P56" s="61" t="str">
        <f>VLOOKUP(A56,'1.Loading'!A:R,4,FALSE)</f>
        <v>2611N</v>
      </c>
      <c r="Q56" s="61" t="str">
        <f>VLOOKUP(D56,'2.Bookinglist'!A:CT,12,FALSE)</f>
        <v>CHT</v>
      </c>
      <c r="R56" s="60" t="str">
        <f>IF(LEFT(K56,2)="22","20'","40'")</f>
        <v>20'</v>
      </c>
      <c r="S56" s="185" t="n"/>
      <c r="T56" s="61" t="str">
        <f>VLOOKUP(A56,'1.Loading'!A:R,2,FALSE)</f>
        <v>2026-10-25</v>
      </c>
      <c r="U56" s="63">
        <f>T56-S56</f>
        <v>46320</v>
      </c>
      <c r="V56" s="186" t="n"/>
      <c r="W56" s="61" t="str">
        <f>VLOOKUP(A56,'3.GateMove'!A:D,4,FALSE)</f>
        <v>2026-10-22</v>
      </c>
      <c r="X56" s="63">
        <f>((T56-W56)+1)</f>
        <v>4</v>
      </c>
      <c r="Y56" s="64">
        <f>IF(AND(OR(C56="BKK01",C56="BKK04"),L56="CFS/CY"),0,IF(M56="DG",1,IF(LEFT(C56,3)="LCH",7,IF(C56="BKK02",5,3))))</f>
        <v>7</v>
      </c>
      <c r="Z56" s="63">
        <f>IF(IF(AND(AC56="TML",AB56&gt;0),((T56-W56)+1)-AB56,((T56-W56)+1)-Y56)&gt;0,IF(AND(AC56="TML",AB56&gt;0),((T56-W56)+1)-AB56,((T56-W56)+1)-Y56),0)</f>
        <v>0</v>
      </c>
      <c r="AA56" s="187">
        <f>IF(AND(B56="G1",M56=""),IF(R56="20'",
VLOOKUP(Z56,Charge!$K$2:$M$5,2,TRUE)+(Z56-VLOOKUP(Z56,Charge!$K$2:$M$5,1,TRUE))*VLOOKUP(Z56,Charge!$K$2:$M$5,3,TRUE),
VLOOKUP(Z56,Charge!$N$2:$P$5,2,TRUE)+(Z56-VLOOKUP(Z56,Charge!$N$2:$P$5,1,TRUE))*VLOOKUP(Z56,Charge!$N$2:$P$5,3,TRUE)),
IF(AND(B56="G1",M56="DG"),IF(R56="20'",
VLOOKUP(Z56,Charge!$R$2:$T$5,2,TRUE)+(Z56-VLOOKUP(Z56,Charge!$R$2:$T$5,1,TRUE))*VLOOKUP(Z56,Charge!$R$2:$T$5,3,TRUE),
VLOOKUP(Z56,Charge!$U$2:$W$5,2,TRUE)+(Z56-VLOOKUP(Z56,Charge!$U$2:$W$5,1,TRUE))*VLOOKUP(Z56,Charge!$U$2:$W$5,3,TRUE)),
IF(AND(B56="G3",M56=""),IF(R56="20'",
VLOOKUP(Z56,Charge!$K$18:$M$21,2,TRUE)+(Z56-VLOOKUP(Z56,Charge!$K$18:$M$21,1,TRUE))*VLOOKUP(Z56,Charge!$K$18:$M$21,3,TRUE),
VLOOKUP(Z56,Charge!$N$18:$P$21,2,TRUE)+(Z56-VLOOKUP(Z56,Charge!$N$18:$P$21,1,TRUE))*VLOOKUP(Z56,Charge!$N$18:$P$21,3,TRUE)),
IF(AND(B56="G3",M56="DG"),IF(R56="20'",
VLOOKUP(Z56,Charge!$R$18:$T$21,2,TRUE)+(Z56-VLOOKUP(Z56,Charge!$R$18:$T$21,1,TRUE))*VLOOKUP(Z56,Charge!$R$18:$T$21,3,TRUE),
VLOOKUP(Z56,Charge!$U$18:$W$21,2,TRUE)+(Z56-VLOOKUP(Z56,Charge!$U$18:$W$21,1,TRUE))*VLOOKUP(Z56,Charge!$U$18:$W$21,3,TRUE)),
IF(AND(B56="G2",M56=""),IF(R56="20'",
VLOOKUP(Z56,Charge!$K$9:$M$12,2,TRUE)+(Z56-VLOOKUP(Z56,Charge!$K$9:$M$12,1,TRUE))*VLOOKUP(Z56,Charge!$K$9:$M$12,3,TRUE),
VLOOKUP(Z56,Charge!$N$9:$P$12,2,TRUE)+(Z56-VLOOKUP(Z56,Charge!$N$9:$P$12,1,TRUE))*VLOOKUP(Z56,Charge!$N$9:$P$12,3,TRUE)),
IF(AND(B56="G2",M56="DG"),IF(R56="20'",
VLOOKUP(Z56,Charge!$R$9:$T$12,2,TRUE)+(Z56-VLOOKUP(Z56,Charge!$R$9:$T$12,1,TRUE))*VLOOKUP(Z56,Charge!$R$9:$T$12,3,TRUE),
VLOOKUP(Z56,Charge!$U$9:$W$12,2,TRUE)+(Z56-VLOOKUP(Z56,Charge!$U$9:$W$12,1,TRUE))*VLOOKUP(Z56,Charge!$U$9:$W$12,3,TRUE)),IF(AND(B56="G4",M56=""),IF(R56="20'",Z56*Charge!$M$25,Z56*Charge!$P$25),IF(AND(B56="G4",M56="DG"),IF(R56="20'",Z56*Charge!$T$25,Z56*Charge!$W$25),0))))))))</f>
        <v>0</v>
      </c>
      <c r="AB56" s="184" t="n"/>
      <c r="AC56" s="184" t="n"/>
      <c r="AD56" s="60">
        <f>IF(M56="DG",3,IF(N56="RF",3,5))+IF(AND(LEFT(C56,3)="BKK",N56="RF",Q56="KTS"),1,0)+IF(Q56="KHS",1,0)</f>
        <v>5</v>
      </c>
      <c r="AE56" s="63">
        <f>(T56-V56)+1</f>
        <v>46321</v>
      </c>
      <c r="AF56" s="63">
        <f>IF(AB56&gt;IF((V56-W56)&gt;0,V56-W56,0),0,IF(AB56&lt;IF((V56-W56)&gt;0,V56-W56,0),IF((V56-W56)&gt;0,V56-W56,0)-AB56,IF((V56-W56)&gt;0,V56-W56,0)))</f>
        <v>0</v>
      </c>
      <c r="AG56" s="187">
        <f>IF(AND(M56=""),IF(R56="20'",
VLOOKUP(AF56,Charge!$K$31:$M$34,2,TRUE)+(AF56-VLOOKUP(AF56,Charge!$K$31:$M$34,1,TRUE))*VLOOKUP(AF56,Charge!$K$31:$M$34,3,TRUE),
VLOOKUP(AF56,Charge!$N$31:$P$34,2,TRUE)+(AF56-VLOOKUP(AF56,Charge!$N$31:$P$34,1,TRUE))*VLOOKUP(AF56,Charge!$N$31:$P$34,3,TRUE)),
IF(AND(M56="DG"),IF(R56="20'",
VLOOKUP(AF56,Charge!$R$31:$T$34,2,TRUE)+(AF56-VLOOKUP(AF56,Charge!$R$31:$T$34,1,TRUE))*VLOOKUP(AF56,Charge!$R$31:$T$34,3,TRUE),
VLOOKUP(AF56,Charge!$U$31:$W$34,2,TRUE)+(AF56-VLOOKUP(AF56,Charge!$U$31:$W$34,1,TRUE))*VLOOKUP(AF56,Charge!$U$31:$W$34,3,TRUE)),0))</f>
        <v>0</v>
      </c>
      <c r="AH56" s="65" t="n"/>
      <c r="AI56" s="65">
        <f>AA56-AH56</f>
        <v>0</v>
      </c>
      <c r="AJ56" s="188" t="n"/>
      <c r="AK56" s="62" t="str">
        <f>VLOOKUP(D56,'2.Bookinglist'!A:CT,40,FALSE)</f>
        <v>Kanokporn</v>
      </c>
      <c r="AL56" s="60" t="str">
        <f>VLOOKUP(D56,'2.Bookinglist'!A:CW,101,FALSE)</f>
        <v>2026-10-24</v>
      </c>
      <c r="AM56" s="60" t="str">
        <f>VLOOKUP(D56,'2.Bookinglist'!A:BK,63,FALSE)</f>
        <v>LCHY5</v>
      </c>
      <c r="AN56" s="62" t="str">
        <f>VLOOKUP(D56,'2.Bookinglist'!A:AZ,52,FALSE)</f>
        <v>Pickup : 2026-10-19, Return : 2026-10-20</v>
      </c>
      <c r="AO56" s="62">
        <f>VLOOKUP(D56,'2.Bookinglist'!A:CY,103,FALSE)</f>
        <v>0</v>
      </c>
    </row>
    <row r="57" ht="12.95" customHeight="1">
      <c r="A57" s="96" t="inlineStr">
        <is>
          <t>SKLU1800801</t>
        </is>
      </c>
      <c r="B57" s="184" t="str">
        <f>IF(C57=Charge!$M$1,Charge!$J$1,IF(C57=Charge!$M$23,Charge!$J$23,IF(C57=Charge!$M$17,Charge!$J$17,IF(C57=Charge!$N$17,Charge!$J$17,Charge!$J$7))))</f>
        <v>G2</v>
      </c>
      <c r="C57" s="61" t="str">
        <f>VLOOKUP(A57,'1.Loading'!A:R,14,FALSE)</f>
        <v>LCH01</v>
      </c>
      <c r="D57" s="61" t="str">
        <f>VLOOKUP(A57,'1.Loading'!A:R,17,FALSE)</f>
        <v>HASLS22261000795</v>
      </c>
      <c r="E57" s="62" t="str">
        <f>VLOOKUP(D57,'2.Bookinglist'!A:CT,27,FALSE)</f>
        <v>IRPC PUBLIC COMPANY LIMITED</v>
      </c>
      <c r="F57" s="62" t="str">
        <f>VLOOKUP(D57,'2.Bookinglist'!A:CT,28,FALSE)</f>
        <v>IRPC PUBLIC COMPANY LIMITED</v>
      </c>
      <c r="G57" s="60">
        <f>VLOOKUP(D57,'2.Bookinglist'!A:E,5,FALSE)</f>
        <v>0</v>
      </c>
      <c r="H57" s="61" t="str">
        <f>VLOOKUP(D57,'2.Bookinglist'!A:CT,15,FALSE)</f>
        <v>THLCH</v>
      </c>
      <c r="I57" s="61" t="str">
        <f>VLOOKUP(D57,'2.Bookinglist'!A:CT,19,FALSE)</f>
        <v>HKHKG</v>
      </c>
      <c r="J57" s="61">
        <f>VLOOKUP(D57,'2.Bookinglist'!A:CT,26,FALSE)</f>
        <v>0</v>
      </c>
      <c r="K57" s="61" t="str">
        <f>VLOOKUP(A57,'1.Loading'!A:R,5,FALSE)</f>
        <v>22GP</v>
      </c>
      <c r="L57" s="60" t="str">
        <f>VLOOKUP(D57,'2.Bookinglist'!A:CT,85,FALSE)</f>
        <v>CY/CY</v>
      </c>
      <c r="M57" s="60" t="str">
        <f>IF(VLOOKUP(D57,'2.Bookinglist'!A:CT,43,FALSE)=0,"","DG")</f>
        <v/>
      </c>
      <c r="N57" s="60" t="str">
        <f>IF(RIGHT(K57,2)="RE","RF","")</f>
        <v/>
      </c>
      <c r="O57" s="61" t="str">
        <f>VLOOKUP(A57,'1.Loading'!A:R,3,FALSE)</f>
        <v>KMGY</v>
      </c>
      <c r="P57" s="61" t="str">
        <f>VLOOKUP(A57,'1.Loading'!A:R,4,FALSE)</f>
        <v>2611N</v>
      </c>
      <c r="Q57" s="61" t="str">
        <f>VLOOKUP(D57,'2.Bookinglist'!A:CT,12,FALSE)</f>
        <v>CHT</v>
      </c>
      <c r="R57" s="60" t="str">
        <f>IF(LEFT(K57,2)="22","20'","40'")</f>
        <v>20'</v>
      </c>
      <c r="S57" s="185" t="n"/>
      <c r="T57" s="61" t="str">
        <f>VLOOKUP(A57,'1.Loading'!A:R,2,FALSE)</f>
        <v>2026-10-25</v>
      </c>
      <c r="U57" s="63">
        <f>T57-S57</f>
        <v>46320</v>
      </c>
      <c r="V57" s="186" t="n"/>
      <c r="W57" s="61" t="str">
        <f>VLOOKUP(A57,'3.GateMove'!A:D,4,FALSE)</f>
        <v>2026-10-19</v>
      </c>
      <c r="X57" s="63">
        <f>((T57-W57)+1)</f>
        <v>7</v>
      </c>
      <c r="Y57" s="64">
        <f>IF(AND(OR(C57="BKK01",C57="BKK04"),L57="CFS/CY"),0,IF(M57="DG",1,IF(LEFT(C57,3)="LCH",7,IF(C57="BKK02",5,3))))</f>
        <v>7</v>
      </c>
      <c r="Z57" s="63">
        <f>IF(IF(AND(AC57="TML",AB57&gt;0),((T57-W57)+1)-AB57,((T57-W57)+1)-Y57)&gt;0,IF(AND(AC57="TML",AB57&gt;0),((T57-W57)+1)-AB57,((T57-W57)+1)-Y57),0)</f>
        <v>0</v>
      </c>
      <c r="AA57" s="187">
        <f>IF(AND(B57="G1",M57=""),IF(R57="20'",
VLOOKUP(Z57,Charge!$K$2:$M$5,2,TRUE)+(Z57-VLOOKUP(Z57,Charge!$K$2:$M$5,1,TRUE))*VLOOKUP(Z57,Charge!$K$2:$M$5,3,TRUE),
VLOOKUP(Z57,Charge!$N$2:$P$5,2,TRUE)+(Z57-VLOOKUP(Z57,Charge!$N$2:$P$5,1,TRUE))*VLOOKUP(Z57,Charge!$N$2:$P$5,3,TRUE)),
IF(AND(B57="G1",M57="DG"),IF(R57="20'",
VLOOKUP(Z57,Charge!$R$2:$T$5,2,TRUE)+(Z57-VLOOKUP(Z57,Charge!$R$2:$T$5,1,TRUE))*VLOOKUP(Z57,Charge!$R$2:$T$5,3,TRUE),
VLOOKUP(Z57,Charge!$U$2:$W$5,2,TRUE)+(Z57-VLOOKUP(Z57,Charge!$U$2:$W$5,1,TRUE))*VLOOKUP(Z57,Charge!$U$2:$W$5,3,TRUE)),
IF(AND(B57="G3",M57=""),IF(R57="20'",
VLOOKUP(Z57,Charge!$K$18:$M$21,2,TRUE)+(Z57-VLOOKUP(Z57,Charge!$K$18:$M$21,1,TRUE))*VLOOKUP(Z57,Charge!$K$18:$M$21,3,TRUE),
VLOOKUP(Z57,Charge!$N$18:$P$21,2,TRUE)+(Z57-VLOOKUP(Z57,Charge!$N$18:$P$21,1,TRUE))*VLOOKUP(Z57,Charge!$N$18:$P$21,3,TRUE)),
IF(AND(B57="G3",M57="DG"),IF(R57="20'",
VLOOKUP(Z57,Charge!$R$18:$T$21,2,TRUE)+(Z57-VLOOKUP(Z57,Charge!$R$18:$T$21,1,TRUE))*VLOOKUP(Z57,Charge!$R$18:$T$21,3,TRUE),
VLOOKUP(Z57,Charge!$U$18:$W$21,2,TRUE)+(Z57-VLOOKUP(Z57,Charge!$U$18:$W$21,1,TRUE))*VLOOKUP(Z57,Charge!$U$18:$W$21,3,TRUE)),
IF(AND(B57="G2",M57=""),IF(R57="20'",
VLOOKUP(Z57,Charge!$K$9:$M$12,2,TRUE)+(Z57-VLOOKUP(Z57,Charge!$K$9:$M$12,1,TRUE))*VLOOKUP(Z57,Charge!$K$9:$M$12,3,TRUE),
VLOOKUP(Z57,Charge!$N$9:$P$12,2,TRUE)+(Z57-VLOOKUP(Z57,Charge!$N$9:$P$12,1,TRUE))*VLOOKUP(Z57,Charge!$N$9:$P$12,3,TRUE)),
IF(AND(B57="G2",M57="DG"),IF(R57="20'",
VLOOKUP(Z57,Charge!$R$9:$T$12,2,TRUE)+(Z57-VLOOKUP(Z57,Charge!$R$9:$T$12,1,TRUE))*VLOOKUP(Z57,Charge!$R$9:$T$12,3,TRUE),
VLOOKUP(Z57,Charge!$U$9:$W$12,2,TRUE)+(Z57-VLOOKUP(Z57,Charge!$U$9:$W$12,1,TRUE))*VLOOKUP(Z57,Charge!$U$9:$W$12,3,TRUE)),IF(AND(B57="G4",M57=""),IF(R57="20'",Z57*Charge!$M$25,Z57*Charge!$P$25),IF(AND(B57="G4",M57="DG"),IF(R57="20'",Z57*Charge!$T$25,Z57*Charge!$W$25),0))))))))</f>
        <v>0</v>
      </c>
      <c r="AB57" s="184" t="n"/>
      <c r="AC57" s="184" t="n"/>
      <c r="AD57" s="60">
        <f>IF(M57="DG",3,IF(N57="RF",3,5))+IF(AND(LEFT(C57,3)="BKK",N57="RF",Q57="KTS"),1,0)+IF(Q57="KHS",1,0)</f>
        <v>5</v>
      </c>
      <c r="AE57" s="63">
        <f>(T57-V57)+1</f>
        <v>46321</v>
      </c>
      <c r="AF57" s="63">
        <f>IF(AB57&gt;IF((V57-W57)&gt;0,V57-W57,0),0,IF(AB57&lt;IF((V57-W57)&gt;0,V57-W57,0),IF((V57-W57)&gt;0,V57-W57,0)-AB57,IF((V57-W57)&gt;0,V57-W57,0)))</f>
        <v>0</v>
      </c>
      <c r="AG57" s="187">
        <f>IF(AND(M57=""),IF(R57="20'",
VLOOKUP(AF57,Charge!$K$31:$M$34,2,TRUE)+(AF57-VLOOKUP(AF57,Charge!$K$31:$M$34,1,TRUE))*VLOOKUP(AF57,Charge!$K$31:$M$34,3,TRUE),
VLOOKUP(AF57,Charge!$N$31:$P$34,2,TRUE)+(AF57-VLOOKUP(AF57,Charge!$N$31:$P$34,1,TRUE))*VLOOKUP(AF57,Charge!$N$31:$P$34,3,TRUE)),
IF(AND(M57="DG"),IF(R57="20'",
VLOOKUP(AF57,Charge!$R$31:$T$34,2,TRUE)+(AF57-VLOOKUP(AF57,Charge!$R$31:$T$34,1,TRUE))*VLOOKUP(AF57,Charge!$R$31:$T$34,3,TRUE),
VLOOKUP(AF57,Charge!$U$31:$W$34,2,TRUE)+(AF57-VLOOKUP(AF57,Charge!$U$31:$W$34,1,TRUE))*VLOOKUP(AF57,Charge!$U$31:$W$34,3,TRUE)),0))</f>
        <v>0</v>
      </c>
      <c r="AH57" s="65" t="n"/>
      <c r="AI57" s="65">
        <f>AA57-AH57</f>
        <v>0</v>
      </c>
      <c r="AJ57" s="188" t="n"/>
      <c r="AK57" s="62" t="str">
        <f>VLOOKUP(D57,'2.Bookinglist'!A:CT,40,FALSE)</f>
        <v>Dharaporn</v>
      </c>
      <c r="AL57" s="60" t="str">
        <f>VLOOKUP(D57,'2.Bookinglist'!A:CW,101,FALSE)</f>
        <v>2026-10-21</v>
      </c>
      <c r="AM57" s="60" t="str">
        <f>VLOOKUP(D57,'2.Bookinglist'!A:BK,63,FALSE)</f>
        <v>LCHY5</v>
      </c>
      <c r="AN57" s="62" t="str">
        <f>VLOOKUP(D57,'2.Bookinglist'!A:AZ,52,FALSE)</f>
        <v>CY-RTN 14-15/10/26 (PI26100048-5 )
PLS CHECK OPEN GATE BEFORE RETURN CTNR
</v>
      </c>
      <c r="AO57" s="62">
        <f>VLOOKUP(D57,'2.Bookinglist'!A:CY,103,FALSE)</f>
        <v>0</v>
      </c>
    </row>
    <row r="58" ht="12.95" customHeight="1">
      <c r="A58" s="96" t="inlineStr">
        <is>
          <t>SKLU1815226</t>
        </is>
      </c>
      <c r="B58" s="184" t="str">
        <f>IF(C58=Charge!$M$1,Charge!$J$1,IF(C58=Charge!$M$23,Charge!$J$23,IF(C58=Charge!$M$17,Charge!$J$17,IF(C58=Charge!$N$17,Charge!$J$17,Charge!$J$7))))</f>
        <v>G2</v>
      </c>
      <c r="C58" s="61" t="str">
        <f>VLOOKUP(A58,'1.Loading'!A:R,14,FALSE)</f>
        <v>LCH01</v>
      </c>
      <c r="D58" s="61" t="str">
        <f>VLOOKUP(A58,'1.Loading'!A:R,17,FALSE)</f>
        <v>HASLS22261001312</v>
      </c>
      <c r="E58" s="62" t="str">
        <f>VLOOKUP(D58,'2.Bookinglist'!A:CT,27,FALSE)</f>
        <v>YUSEN LOGISTICS (THAILAND) CO., LTD.</v>
      </c>
      <c r="F58" s="62" t="str">
        <f>VLOOKUP(D58,'2.Bookinglist'!A:CT,28,FALSE)</f>
        <v>SANKO ELECTRONICS (THAILAND) CO., LTD.</v>
      </c>
      <c r="G58" s="60">
        <f>VLOOKUP(D58,'2.Bookinglist'!A:E,5,FALSE)</f>
        <v>0</v>
      </c>
      <c r="H58" s="61" t="str">
        <f>VLOOKUP(D58,'2.Bookinglist'!A:CT,15,FALSE)</f>
        <v>THLCH</v>
      </c>
      <c r="I58" s="61" t="str">
        <f>VLOOKUP(D58,'2.Bookinglist'!A:CT,19,FALSE)</f>
        <v>HKHKG</v>
      </c>
      <c r="J58" s="61">
        <f>VLOOKUP(D58,'2.Bookinglist'!A:CT,26,FALSE)</f>
        <v>0</v>
      </c>
      <c r="K58" s="61" t="str">
        <f>VLOOKUP(A58,'1.Loading'!A:R,5,FALSE)</f>
        <v>22GP</v>
      </c>
      <c r="L58" s="60" t="str">
        <f>VLOOKUP(D58,'2.Bookinglist'!A:CT,85,FALSE)</f>
        <v>CY/CY</v>
      </c>
      <c r="M58" s="60" t="str">
        <f>IF(VLOOKUP(D58,'2.Bookinglist'!A:CT,43,FALSE)=0,"","DG")</f>
        <v/>
      </c>
      <c r="N58" s="60" t="str">
        <f>IF(RIGHT(K58,2)="RE","RF","")</f>
        <v/>
      </c>
      <c r="O58" s="61" t="str">
        <f>VLOOKUP(A58,'1.Loading'!A:R,3,FALSE)</f>
        <v>KMGY</v>
      </c>
      <c r="P58" s="61" t="str">
        <f>VLOOKUP(A58,'1.Loading'!A:R,4,FALSE)</f>
        <v>2611N</v>
      </c>
      <c r="Q58" s="61" t="str">
        <f>VLOOKUP(D58,'2.Bookinglist'!A:CT,12,FALSE)</f>
        <v>CHT</v>
      </c>
      <c r="R58" s="60" t="str">
        <f>IF(LEFT(K58,2)="22","20'","40'")</f>
        <v>20'</v>
      </c>
      <c r="S58" s="185" t="n"/>
      <c r="T58" s="61" t="str">
        <f>VLOOKUP(A58,'1.Loading'!A:R,2,FALSE)</f>
        <v>2026-10-25</v>
      </c>
      <c r="U58" s="63">
        <f>T58-S58</f>
        <v>46320</v>
      </c>
      <c r="V58" s="186" t="n"/>
      <c r="W58" s="61" t="str">
        <f>VLOOKUP(A58,'3.GateMove'!A:D,4,FALSE)</f>
        <v>2026-10-22</v>
      </c>
      <c r="X58" s="63">
        <f>((T58-W58)+1)</f>
        <v>4</v>
      </c>
      <c r="Y58" s="64">
        <f>IF(AND(OR(C58="BKK01",C58="BKK04"),L58="CFS/CY"),0,IF(M58="DG",1,IF(LEFT(C58,3)="LCH",7,IF(C58="BKK02",5,3))))</f>
        <v>7</v>
      </c>
      <c r="Z58" s="63">
        <f>IF(IF(AND(AC58="TML",AB58&gt;0),((T58-W58)+1)-AB58,((T58-W58)+1)-Y58)&gt;0,IF(AND(AC58="TML",AB58&gt;0),((T58-W58)+1)-AB58,((T58-W58)+1)-Y58),0)</f>
        <v>0</v>
      </c>
      <c r="AA58" s="187">
        <f>IF(AND(B58="G1",M58=""),IF(R58="20'",
VLOOKUP(Z58,Charge!$K$2:$M$5,2,TRUE)+(Z58-VLOOKUP(Z58,Charge!$K$2:$M$5,1,TRUE))*VLOOKUP(Z58,Charge!$K$2:$M$5,3,TRUE),
VLOOKUP(Z58,Charge!$N$2:$P$5,2,TRUE)+(Z58-VLOOKUP(Z58,Charge!$N$2:$P$5,1,TRUE))*VLOOKUP(Z58,Charge!$N$2:$P$5,3,TRUE)),
IF(AND(B58="G1",M58="DG"),IF(R58="20'",
VLOOKUP(Z58,Charge!$R$2:$T$5,2,TRUE)+(Z58-VLOOKUP(Z58,Charge!$R$2:$T$5,1,TRUE))*VLOOKUP(Z58,Charge!$R$2:$T$5,3,TRUE),
VLOOKUP(Z58,Charge!$U$2:$W$5,2,TRUE)+(Z58-VLOOKUP(Z58,Charge!$U$2:$W$5,1,TRUE))*VLOOKUP(Z58,Charge!$U$2:$W$5,3,TRUE)),
IF(AND(B58="G3",M58=""),IF(R58="20'",
VLOOKUP(Z58,Charge!$K$18:$M$21,2,TRUE)+(Z58-VLOOKUP(Z58,Charge!$K$18:$M$21,1,TRUE))*VLOOKUP(Z58,Charge!$K$18:$M$21,3,TRUE),
VLOOKUP(Z58,Charge!$N$18:$P$21,2,TRUE)+(Z58-VLOOKUP(Z58,Charge!$N$18:$P$21,1,TRUE))*VLOOKUP(Z58,Charge!$N$18:$P$21,3,TRUE)),
IF(AND(B58="G3",M58="DG"),IF(R58="20'",
VLOOKUP(Z58,Charge!$R$18:$T$21,2,TRUE)+(Z58-VLOOKUP(Z58,Charge!$R$18:$T$21,1,TRUE))*VLOOKUP(Z58,Charge!$R$18:$T$21,3,TRUE),
VLOOKUP(Z58,Charge!$U$18:$W$21,2,TRUE)+(Z58-VLOOKUP(Z58,Charge!$U$18:$W$21,1,TRUE))*VLOOKUP(Z58,Charge!$U$18:$W$21,3,TRUE)),
IF(AND(B58="G2",M58=""),IF(R58="20'",
VLOOKUP(Z58,Charge!$K$9:$M$12,2,TRUE)+(Z58-VLOOKUP(Z58,Charge!$K$9:$M$12,1,TRUE))*VLOOKUP(Z58,Charge!$K$9:$M$12,3,TRUE),
VLOOKUP(Z58,Charge!$N$9:$P$12,2,TRUE)+(Z58-VLOOKUP(Z58,Charge!$N$9:$P$12,1,TRUE))*VLOOKUP(Z58,Charge!$N$9:$P$12,3,TRUE)),
IF(AND(B58="G2",M58="DG"),IF(R58="20'",
VLOOKUP(Z58,Charge!$R$9:$T$12,2,TRUE)+(Z58-VLOOKUP(Z58,Charge!$R$9:$T$12,1,TRUE))*VLOOKUP(Z58,Charge!$R$9:$T$12,3,TRUE),
VLOOKUP(Z58,Charge!$U$9:$W$12,2,TRUE)+(Z58-VLOOKUP(Z58,Charge!$U$9:$W$12,1,TRUE))*VLOOKUP(Z58,Charge!$U$9:$W$12,3,TRUE)),IF(AND(B58="G4",M58=""),IF(R58="20'",Z58*Charge!$M$25,Z58*Charge!$P$25),IF(AND(B58="G4",M58="DG"),IF(R58="20'",Z58*Charge!$T$25,Z58*Charge!$W$25),0))))))))</f>
        <v>0</v>
      </c>
      <c r="AB58" s="184" t="n"/>
      <c r="AC58" s="184" t="n"/>
      <c r="AD58" s="60">
        <f>IF(M58="DG",3,IF(N58="RF",3,5))+IF(AND(LEFT(C58,3)="BKK",N58="RF",Q58="KTS"),1,0)+IF(Q58="KHS",1,0)</f>
        <v>5</v>
      </c>
      <c r="AE58" s="63">
        <f>(T58-V58)+1</f>
        <v>46321</v>
      </c>
      <c r="AF58" s="63">
        <f>IF(AB58&gt;IF((V58-W58)&gt;0,V58-W58,0),0,IF(AB58&lt;IF((V58-W58)&gt;0,V58-W58,0),IF((V58-W58)&gt;0,V58-W58,0)-AB58,IF((V58-W58)&gt;0,V58-W58,0)))</f>
        <v>0</v>
      </c>
      <c r="AG58" s="187">
        <f>IF(AND(M58=""),IF(R58="20'",
VLOOKUP(AF58,Charge!$K$31:$M$34,2,TRUE)+(AF58-VLOOKUP(AF58,Charge!$K$31:$M$34,1,TRUE))*VLOOKUP(AF58,Charge!$K$31:$M$34,3,TRUE),
VLOOKUP(AF58,Charge!$N$31:$P$34,2,TRUE)+(AF58-VLOOKUP(AF58,Charge!$N$31:$P$34,1,TRUE))*VLOOKUP(AF58,Charge!$N$31:$P$34,3,TRUE)),
IF(AND(M58="DG"),IF(R58="20'",
VLOOKUP(AF58,Charge!$R$31:$T$34,2,TRUE)+(AF58-VLOOKUP(AF58,Charge!$R$31:$T$34,1,TRUE))*VLOOKUP(AF58,Charge!$R$31:$T$34,3,TRUE),
VLOOKUP(AF58,Charge!$U$31:$W$34,2,TRUE)+(AF58-VLOOKUP(AF58,Charge!$U$31:$W$34,1,TRUE))*VLOOKUP(AF58,Charge!$U$31:$W$34,3,TRUE)),0))</f>
        <v>0</v>
      </c>
      <c r="AH58" s="65" t="n"/>
      <c r="AI58" s="65">
        <f>AA58-AH58</f>
        <v>0</v>
      </c>
      <c r="AJ58" s="188" t="n"/>
      <c r="AK58" s="62" t="str">
        <f>VLOOKUP(D58,'2.Bookinglist'!A:CT,40,FALSE)</f>
        <v>Vilaiporn</v>
      </c>
      <c r="AL58" s="60" t="str">
        <f>VLOOKUP(D58,'2.Bookinglist'!A:CW,101,FALSE)</f>
        <v>2026-10-24</v>
      </c>
      <c r="AM58" s="60" t="str">
        <f>VLOOKUP(D58,'2.Bookinglist'!A:BK,63,FALSE)</f>
        <v>LCHY5</v>
      </c>
      <c r="AN58" s="62" t="str">
        <f>VLOOKUP(D58,'2.Bookinglist'!A:AZ,52,FALSE)</f>
        <v>Pickup : 2026-10-21, Return : 2026-10-22</v>
      </c>
      <c r="AO58" s="62">
        <f>VLOOKUP(D58,'2.Bookinglist'!A:CY,103,FALSE)</f>
        <v>0</v>
      </c>
    </row>
    <row r="59" ht="12.95" customHeight="1">
      <c r="A59" s="96" t="inlineStr">
        <is>
          <t>SKLU1821912</t>
        </is>
      </c>
      <c r="B59" s="184" t="str">
        <f>IF(C59=Charge!$M$1,Charge!$J$1,IF(C59=Charge!$M$23,Charge!$J$23,IF(C59=Charge!$M$17,Charge!$J$17,IF(C59=Charge!$N$17,Charge!$J$17,Charge!$J$7))))</f>
        <v>G2</v>
      </c>
      <c r="C59" s="61" t="str">
        <f>VLOOKUP(A59,'1.Loading'!A:R,14,FALSE)</f>
        <v>LCH01</v>
      </c>
      <c r="D59" s="61" t="str">
        <f>VLOOKUP(A59,'1.Loading'!A:R,17,FALSE)</f>
        <v>HASLS22261001374</v>
      </c>
      <c r="E59" s="62" t="str">
        <f>VLOOKUP(D59,'2.Bookinglist'!A:CT,27,FALSE)</f>
        <v>UBE CHEMICALS (ASIA) PUBLIC COMPANY LIMITED</v>
      </c>
      <c r="F59" s="62" t="str">
        <f>VLOOKUP(D59,'2.Bookinglist'!A:CT,28,FALSE)</f>
        <v>THAI SYNTHETIC RUBBERS CO., LTD.</v>
      </c>
      <c r="G59" s="60">
        <f>VLOOKUP(D59,'2.Bookinglist'!A:E,5,FALSE)</f>
        <v>0</v>
      </c>
      <c r="H59" s="61" t="str">
        <f>VLOOKUP(D59,'2.Bookinglist'!A:CT,15,FALSE)</f>
        <v>THLCH</v>
      </c>
      <c r="I59" s="61" t="str">
        <f>VLOOKUP(D59,'2.Bookinglist'!A:CT,19,FALSE)</f>
        <v>HKHKG</v>
      </c>
      <c r="J59" s="61">
        <f>VLOOKUP(D59,'2.Bookinglist'!A:CT,26,FALSE)</f>
        <v>0</v>
      </c>
      <c r="K59" s="61" t="str">
        <f>VLOOKUP(A59,'1.Loading'!A:R,5,FALSE)</f>
        <v>22GP</v>
      </c>
      <c r="L59" s="60" t="str">
        <f>VLOOKUP(D59,'2.Bookinglist'!A:CT,85,FALSE)</f>
        <v>CY/CY</v>
      </c>
      <c r="M59" s="60" t="str">
        <f>IF(VLOOKUP(D59,'2.Bookinglist'!A:CT,43,FALSE)=0,"","DG")</f>
        <v/>
      </c>
      <c r="N59" s="60" t="str">
        <f>IF(RIGHT(K59,2)="RE","RF","")</f>
        <v/>
      </c>
      <c r="O59" s="61" t="str">
        <f>VLOOKUP(A59,'1.Loading'!A:R,3,FALSE)</f>
        <v>KMGY</v>
      </c>
      <c r="P59" s="61" t="str">
        <f>VLOOKUP(A59,'1.Loading'!A:R,4,FALSE)</f>
        <v>2611N</v>
      </c>
      <c r="Q59" s="61" t="str">
        <f>VLOOKUP(D59,'2.Bookinglist'!A:CT,12,FALSE)</f>
        <v>CHT</v>
      </c>
      <c r="R59" s="60" t="str">
        <f>IF(LEFT(K59,2)="22","20'","40'")</f>
        <v>20'</v>
      </c>
      <c r="S59" s="185" t="n"/>
      <c r="T59" s="61" t="str">
        <f>VLOOKUP(A59,'1.Loading'!A:R,2,FALSE)</f>
        <v>2026-10-25</v>
      </c>
      <c r="U59" s="63">
        <f>T59-S59</f>
        <v>46320</v>
      </c>
      <c r="V59" s="186" t="n"/>
      <c r="W59" s="61" t="str">
        <f>VLOOKUP(A59,'3.GateMove'!A:D,4,FALSE)</f>
        <v>2026-10-22</v>
      </c>
      <c r="X59" s="63">
        <f>((T59-W59)+1)</f>
        <v>4</v>
      </c>
      <c r="Y59" s="64">
        <f>IF(AND(OR(C59="BKK01",C59="BKK04"),L59="CFS/CY"),0,IF(M59="DG",1,IF(LEFT(C59,3)="LCH",7,IF(C59="BKK02",5,3))))</f>
        <v>7</v>
      </c>
      <c r="Z59" s="63">
        <f>IF(IF(AND(AC59="TML",AB59&gt;0),((T59-W59)+1)-AB59,((T59-W59)+1)-Y59)&gt;0,IF(AND(AC59="TML",AB59&gt;0),((T59-W59)+1)-AB59,((T59-W59)+1)-Y59),0)</f>
        <v>0</v>
      </c>
      <c r="AA59" s="187">
        <f>IF(AND(B59="G1",M59=""),IF(R59="20'",
VLOOKUP(Z59,Charge!$K$2:$M$5,2,TRUE)+(Z59-VLOOKUP(Z59,Charge!$K$2:$M$5,1,TRUE))*VLOOKUP(Z59,Charge!$K$2:$M$5,3,TRUE),
VLOOKUP(Z59,Charge!$N$2:$P$5,2,TRUE)+(Z59-VLOOKUP(Z59,Charge!$N$2:$P$5,1,TRUE))*VLOOKUP(Z59,Charge!$N$2:$P$5,3,TRUE)),
IF(AND(B59="G1",M59="DG"),IF(R59="20'",
VLOOKUP(Z59,Charge!$R$2:$T$5,2,TRUE)+(Z59-VLOOKUP(Z59,Charge!$R$2:$T$5,1,TRUE))*VLOOKUP(Z59,Charge!$R$2:$T$5,3,TRUE),
VLOOKUP(Z59,Charge!$U$2:$W$5,2,TRUE)+(Z59-VLOOKUP(Z59,Charge!$U$2:$W$5,1,TRUE))*VLOOKUP(Z59,Charge!$U$2:$W$5,3,TRUE)),
IF(AND(B59="G3",M59=""),IF(R59="20'",
VLOOKUP(Z59,Charge!$K$18:$M$21,2,TRUE)+(Z59-VLOOKUP(Z59,Charge!$K$18:$M$21,1,TRUE))*VLOOKUP(Z59,Charge!$K$18:$M$21,3,TRUE),
VLOOKUP(Z59,Charge!$N$18:$P$21,2,TRUE)+(Z59-VLOOKUP(Z59,Charge!$N$18:$P$21,1,TRUE))*VLOOKUP(Z59,Charge!$N$18:$P$21,3,TRUE)),
IF(AND(B59="G3",M59="DG"),IF(R59="20'",
VLOOKUP(Z59,Charge!$R$18:$T$21,2,TRUE)+(Z59-VLOOKUP(Z59,Charge!$R$18:$T$21,1,TRUE))*VLOOKUP(Z59,Charge!$R$18:$T$21,3,TRUE),
VLOOKUP(Z59,Charge!$U$18:$W$21,2,TRUE)+(Z59-VLOOKUP(Z59,Charge!$U$18:$W$21,1,TRUE))*VLOOKUP(Z59,Charge!$U$18:$W$21,3,TRUE)),
IF(AND(B59="G2",M59=""),IF(R59="20'",
VLOOKUP(Z59,Charge!$K$9:$M$12,2,TRUE)+(Z59-VLOOKUP(Z59,Charge!$K$9:$M$12,1,TRUE))*VLOOKUP(Z59,Charge!$K$9:$M$12,3,TRUE),
VLOOKUP(Z59,Charge!$N$9:$P$12,2,TRUE)+(Z59-VLOOKUP(Z59,Charge!$N$9:$P$12,1,TRUE))*VLOOKUP(Z59,Charge!$N$9:$P$12,3,TRUE)),
IF(AND(B59="G2",M59="DG"),IF(R59="20'",
VLOOKUP(Z59,Charge!$R$9:$T$12,2,TRUE)+(Z59-VLOOKUP(Z59,Charge!$R$9:$T$12,1,TRUE))*VLOOKUP(Z59,Charge!$R$9:$T$12,3,TRUE),
VLOOKUP(Z59,Charge!$U$9:$W$12,2,TRUE)+(Z59-VLOOKUP(Z59,Charge!$U$9:$W$12,1,TRUE))*VLOOKUP(Z59,Charge!$U$9:$W$12,3,TRUE)),IF(AND(B59="G4",M59=""),IF(R59="20'",Z59*Charge!$M$25,Z59*Charge!$P$25),IF(AND(B59="G4",M59="DG"),IF(R59="20'",Z59*Charge!$T$25,Z59*Charge!$W$25),0))))))))</f>
        <v>0</v>
      </c>
      <c r="AB59" s="184" t="n"/>
      <c r="AC59" s="184" t="n"/>
      <c r="AD59" s="60">
        <f>IF(M59="DG",3,IF(N59="RF",3,5))+IF(AND(LEFT(C59,3)="BKK",N59="RF",Q59="KTS"),1,0)+IF(Q59="KHS",1,0)</f>
        <v>5</v>
      </c>
      <c r="AE59" s="63">
        <f>(T59-V59)+1</f>
        <v>46321</v>
      </c>
      <c r="AF59" s="63">
        <f>IF(AB59&gt;IF((V59-W59)&gt;0,V59-W59,0),0,IF(AB59&lt;IF((V59-W59)&gt;0,V59-W59,0),IF((V59-W59)&gt;0,V59-W59,0)-AB59,IF((V59-W59)&gt;0,V59-W59,0)))</f>
        <v>0</v>
      </c>
      <c r="AG59" s="187">
        <f>IF(AND(M59=""),IF(R59="20'",
VLOOKUP(AF59,Charge!$K$31:$M$34,2,TRUE)+(AF59-VLOOKUP(AF59,Charge!$K$31:$M$34,1,TRUE))*VLOOKUP(AF59,Charge!$K$31:$M$34,3,TRUE),
VLOOKUP(AF59,Charge!$N$31:$P$34,2,TRUE)+(AF59-VLOOKUP(AF59,Charge!$N$31:$P$34,1,TRUE))*VLOOKUP(AF59,Charge!$N$31:$P$34,3,TRUE)),
IF(AND(M59="DG"),IF(R59="20'",
VLOOKUP(AF59,Charge!$R$31:$T$34,2,TRUE)+(AF59-VLOOKUP(AF59,Charge!$R$31:$T$34,1,TRUE))*VLOOKUP(AF59,Charge!$R$31:$T$34,3,TRUE),
VLOOKUP(AF59,Charge!$U$31:$W$34,2,TRUE)+(AF59-VLOOKUP(AF59,Charge!$U$31:$W$34,1,TRUE))*VLOOKUP(AF59,Charge!$U$31:$W$34,3,TRUE)),0))</f>
        <v>0</v>
      </c>
      <c r="AH59" s="65" t="n"/>
      <c r="AI59" s="65">
        <f>AA59-AH59</f>
        <v>0</v>
      </c>
      <c r="AJ59" s="188" t="n"/>
      <c r="AK59" s="62" t="str">
        <f>VLOOKUP(D59,'2.Bookinglist'!A:CT,40,FALSE)</f>
        <v>Tarn(Supaporn)</v>
      </c>
      <c r="AL59" s="60" t="str">
        <f>VLOOKUP(D59,'2.Bookinglist'!A:CW,101,FALSE)</f>
        <v>2026-10-24</v>
      </c>
      <c r="AM59" s="60" t="str">
        <f>VLOOKUP(D59,'2.Bookinglist'!A:BK,63,FALSE)</f>
        <v>LCHY5</v>
      </c>
      <c r="AN59" s="62" t="str">
        <f>VLOOKUP(D59,'2.Bookinglist'!A:AZ,52,FALSE)</f>
        <v>CY-RTN : 21-22/10/2026 REF : ID-TBA1002(BR-26083B)
CLS TIME DD.23/10/2026 @ 12.00
RQST Good condition; Grade B+ 
</v>
      </c>
      <c r="AO59" s="62">
        <f>VLOOKUP(D59,'2.Bookinglist'!A:CY,103,FALSE)</f>
        <v>0</v>
      </c>
    </row>
    <row r="60" ht="12.95" customHeight="1">
      <c r="A60" s="96" t="inlineStr">
        <is>
          <t>SKLU1923616</t>
        </is>
      </c>
      <c r="B60" s="184" t="str">
        <f>IF(C60=Charge!$M$1,Charge!$J$1,IF(C60=Charge!$M$23,Charge!$J$23,IF(C60=Charge!$M$17,Charge!$J$17,IF(C60=Charge!$N$17,Charge!$J$17,Charge!$J$7))))</f>
        <v>G2</v>
      </c>
      <c r="C60" s="61" t="str">
        <f>VLOOKUP(A60,'1.Loading'!A:R,14,FALSE)</f>
        <v>LCH01</v>
      </c>
      <c r="D60" s="61" t="str">
        <f>VLOOKUP(A60,'1.Loading'!A:R,17,FALSE)</f>
        <v>HASLS22260902604</v>
      </c>
      <c r="E60" s="62" t="str">
        <f>VLOOKUP(D60,'2.Bookinglist'!A:CT,27,FALSE)</f>
        <v>DOUBLE A (1991) PUBLIC COMPANY LIMITED</v>
      </c>
      <c r="F60" s="62" t="str">
        <f>VLOOKUP(D60,'2.Bookinglist'!A:CT,28,FALSE)</f>
        <v>DOUBLE A (1991) PUBLIC COMPANY LIMITED</v>
      </c>
      <c r="G60" s="60">
        <f>VLOOKUP(D60,'2.Bookinglist'!A:E,5,FALSE)</f>
        <v>0</v>
      </c>
      <c r="H60" s="61" t="str">
        <f>VLOOKUP(D60,'2.Bookinglist'!A:CT,15,FALSE)</f>
        <v>THLCH</v>
      </c>
      <c r="I60" s="61" t="str">
        <f>VLOOKUP(D60,'2.Bookinglist'!A:CT,19,FALSE)</f>
        <v>HKHKG</v>
      </c>
      <c r="J60" s="61">
        <f>VLOOKUP(D60,'2.Bookinglist'!A:CT,26,FALSE)</f>
        <v>0</v>
      </c>
      <c r="K60" s="61" t="str">
        <f>VLOOKUP(A60,'1.Loading'!A:R,5,FALSE)</f>
        <v>22GP</v>
      </c>
      <c r="L60" s="60" t="str">
        <f>VLOOKUP(D60,'2.Bookinglist'!A:CT,85,FALSE)</f>
        <v>CY/CY</v>
      </c>
      <c r="M60" s="60" t="str">
        <f>IF(VLOOKUP(D60,'2.Bookinglist'!A:CT,43,FALSE)=0,"","DG")</f>
        <v/>
      </c>
      <c r="N60" s="60" t="str">
        <f>IF(RIGHT(K60,2)="RE","RF","")</f>
        <v/>
      </c>
      <c r="O60" s="61" t="str">
        <f>VLOOKUP(A60,'1.Loading'!A:R,3,FALSE)</f>
        <v>KMGY</v>
      </c>
      <c r="P60" s="61" t="str">
        <f>VLOOKUP(A60,'1.Loading'!A:R,4,FALSE)</f>
        <v>2611N</v>
      </c>
      <c r="Q60" s="61" t="str">
        <f>VLOOKUP(D60,'2.Bookinglist'!A:CT,12,FALSE)</f>
        <v>CHT</v>
      </c>
      <c r="R60" s="60" t="str">
        <f>IF(LEFT(K60,2)="22","20'","40'")</f>
        <v>20'</v>
      </c>
      <c r="S60" s="185" t="n"/>
      <c r="T60" s="61" t="str">
        <f>VLOOKUP(A60,'1.Loading'!A:R,2,FALSE)</f>
        <v>2026-10-25</v>
      </c>
      <c r="U60" s="63">
        <f>T60-S60</f>
        <v>46320</v>
      </c>
      <c r="V60" s="186" t="n"/>
      <c r="W60" s="61" t="str">
        <f>VLOOKUP(A60,'3.GateMove'!A:D,4,FALSE)</f>
        <v>2026-10-22</v>
      </c>
      <c r="X60" s="63">
        <f>((T60-W60)+1)</f>
        <v>4</v>
      </c>
      <c r="Y60" s="64">
        <f>IF(AND(OR(C60="BKK01",C60="BKK04"),L60="CFS/CY"),0,IF(M60="DG",1,IF(LEFT(C60,3)="LCH",7,IF(C60="BKK02",5,3))))</f>
        <v>7</v>
      </c>
      <c r="Z60" s="63">
        <f>IF(IF(AND(AC60="TML",AB60&gt;0),((T60-W60)+1)-AB60,((T60-W60)+1)-Y60)&gt;0,IF(AND(AC60="TML",AB60&gt;0),((T60-W60)+1)-AB60,((T60-W60)+1)-Y60),0)</f>
        <v>0</v>
      </c>
      <c r="AA60" s="187">
        <f>IF(AND(B60="G1",M60=""),IF(R60="20'",
VLOOKUP(Z60,Charge!$K$2:$M$5,2,TRUE)+(Z60-VLOOKUP(Z60,Charge!$K$2:$M$5,1,TRUE))*VLOOKUP(Z60,Charge!$K$2:$M$5,3,TRUE),
VLOOKUP(Z60,Charge!$N$2:$P$5,2,TRUE)+(Z60-VLOOKUP(Z60,Charge!$N$2:$P$5,1,TRUE))*VLOOKUP(Z60,Charge!$N$2:$P$5,3,TRUE)),
IF(AND(B60="G1",M60="DG"),IF(R60="20'",
VLOOKUP(Z60,Charge!$R$2:$T$5,2,TRUE)+(Z60-VLOOKUP(Z60,Charge!$R$2:$T$5,1,TRUE))*VLOOKUP(Z60,Charge!$R$2:$T$5,3,TRUE),
VLOOKUP(Z60,Charge!$U$2:$W$5,2,TRUE)+(Z60-VLOOKUP(Z60,Charge!$U$2:$W$5,1,TRUE))*VLOOKUP(Z60,Charge!$U$2:$W$5,3,TRUE)),
IF(AND(B60="G3",M60=""),IF(R60="20'",
VLOOKUP(Z60,Charge!$K$18:$M$21,2,TRUE)+(Z60-VLOOKUP(Z60,Charge!$K$18:$M$21,1,TRUE))*VLOOKUP(Z60,Charge!$K$18:$M$21,3,TRUE),
VLOOKUP(Z60,Charge!$N$18:$P$21,2,TRUE)+(Z60-VLOOKUP(Z60,Charge!$N$18:$P$21,1,TRUE))*VLOOKUP(Z60,Charge!$N$18:$P$21,3,TRUE)),
IF(AND(B60="G3",M60="DG"),IF(R60="20'",
VLOOKUP(Z60,Charge!$R$18:$T$21,2,TRUE)+(Z60-VLOOKUP(Z60,Charge!$R$18:$T$21,1,TRUE))*VLOOKUP(Z60,Charge!$R$18:$T$21,3,TRUE),
VLOOKUP(Z60,Charge!$U$18:$W$21,2,TRUE)+(Z60-VLOOKUP(Z60,Charge!$U$18:$W$21,1,TRUE))*VLOOKUP(Z60,Charge!$U$18:$W$21,3,TRUE)),
IF(AND(B60="G2",M60=""),IF(R60="20'",
VLOOKUP(Z60,Charge!$K$9:$M$12,2,TRUE)+(Z60-VLOOKUP(Z60,Charge!$K$9:$M$12,1,TRUE))*VLOOKUP(Z60,Charge!$K$9:$M$12,3,TRUE),
VLOOKUP(Z60,Charge!$N$9:$P$12,2,TRUE)+(Z60-VLOOKUP(Z60,Charge!$N$9:$P$12,1,TRUE))*VLOOKUP(Z60,Charge!$N$9:$P$12,3,TRUE)),
IF(AND(B60="G2",M60="DG"),IF(R60="20'",
VLOOKUP(Z60,Charge!$R$9:$T$12,2,TRUE)+(Z60-VLOOKUP(Z60,Charge!$R$9:$T$12,1,TRUE))*VLOOKUP(Z60,Charge!$R$9:$T$12,3,TRUE),
VLOOKUP(Z60,Charge!$U$9:$W$12,2,TRUE)+(Z60-VLOOKUP(Z60,Charge!$U$9:$W$12,1,TRUE))*VLOOKUP(Z60,Charge!$U$9:$W$12,3,TRUE)),IF(AND(B60="G4",M60=""),IF(R60="20'",Z60*Charge!$M$25,Z60*Charge!$P$25),IF(AND(B60="G4",M60="DG"),IF(R60="20'",Z60*Charge!$T$25,Z60*Charge!$W$25),0))))))))</f>
        <v>0</v>
      </c>
      <c r="AB60" s="184" t="n"/>
      <c r="AC60" s="184" t="n"/>
      <c r="AD60" s="60">
        <f>IF(M60="DG",3,IF(N60="RF",3,5))+IF(AND(LEFT(C60,3)="BKK",N60="RF",Q60="KTS"),1,0)+IF(Q60="KHS",1,0)</f>
        <v>5</v>
      </c>
      <c r="AE60" s="63">
        <f>(T60-V60)+1</f>
        <v>46321</v>
      </c>
      <c r="AF60" s="63">
        <f>IF(AB60&gt;IF((V60-W60)&gt;0,V60-W60,0),0,IF(AB60&lt;IF((V60-W60)&gt;0,V60-W60,0),IF((V60-W60)&gt;0,V60-W60,0)-AB60,IF((V60-W60)&gt;0,V60-W60,0)))</f>
        <v>0</v>
      </c>
      <c r="AG60" s="187">
        <f>IF(AND(M60=""),IF(R60="20'",
VLOOKUP(AF60,Charge!$K$31:$M$34,2,TRUE)+(AF60-VLOOKUP(AF60,Charge!$K$31:$M$34,1,TRUE))*VLOOKUP(AF60,Charge!$K$31:$M$34,3,TRUE),
VLOOKUP(AF60,Charge!$N$31:$P$34,2,TRUE)+(AF60-VLOOKUP(AF60,Charge!$N$31:$P$34,1,TRUE))*VLOOKUP(AF60,Charge!$N$31:$P$34,3,TRUE)),
IF(AND(M60="DG"),IF(R60="20'",
VLOOKUP(AF60,Charge!$R$31:$T$34,2,TRUE)+(AF60-VLOOKUP(AF60,Charge!$R$31:$T$34,1,TRUE))*VLOOKUP(AF60,Charge!$R$31:$T$34,3,TRUE),
VLOOKUP(AF60,Charge!$U$31:$W$34,2,TRUE)+(AF60-VLOOKUP(AF60,Charge!$U$31:$W$34,1,TRUE))*VLOOKUP(AF60,Charge!$U$31:$W$34,3,TRUE)),0))</f>
        <v>0</v>
      </c>
      <c r="AH60" s="65" t="n"/>
      <c r="AI60" s="65">
        <f>AA60-AH60</f>
        <v>0</v>
      </c>
      <c r="AJ60" s="188" t="n"/>
      <c r="AK60" s="62" t="str">
        <f>VLOOKUP(D60,'2.Bookinglist'!A:CT,40,FALSE)</f>
        <v>Kanokporn</v>
      </c>
      <c r="AL60" s="60" t="str">
        <f>VLOOKUP(D60,'2.Bookinglist'!A:CW,101,FALSE)</f>
        <v>2026-10-21</v>
      </c>
      <c r="AM60" s="60" t="str">
        <f>VLOOKUP(D60,'2.Bookinglist'!A:BK,63,FALSE)</f>
        <v>LCHY5</v>
      </c>
      <c r="AN60" s="62" t="str">
        <f>VLOOKUP(D60,'2.Bookinglist'!A:AZ,52,FALSE)</f>
        <v>CY-RTN : 15-17/10/2026
REF : PI-HK-TH-DA-26100017
FRT $35, FREE TIME 14/14, DTHC(HKD)2000</v>
      </c>
      <c r="AO60" s="62">
        <f>VLOOKUP(D60,'2.Bookinglist'!A:CY,103,FALSE)</f>
        <v>0</v>
      </c>
    </row>
    <row r="61" ht="12.95" customHeight="1">
      <c r="A61" s="96" t="inlineStr">
        <is>
          <t>SKLU1935258</t>
        </is>
      </c>
      <c r="B61" s="184" t="str">
        <f>IF(C61=Charge!$M$1,Charge!$J$1,IF(C61=Charge!$M$23,Charge!$J$23,IF(C61=Charge!$M$17,Charge!$J$17,IF(C61=Charge!$N$17,Charge!$J$17,Charge!$J$7))))</f>
        <v>G2</v>
      </c>
      <c r="C61" s="61" t="str">
        <f>VLOOKUP(A61,'1.Loading'!A:R,14,FALSE)</f>
        <v>LCH01</v>
      </c>
      <c r="D61" s="61" t="str">
        <f>VLOOKUP(A61,'1.Loading'!A:R,17,FALSE)</f>
        <v>HASLS22261000973</v>
      </c>
      <c r="E61" s="62" t="str">
        <f>VLOOKUP(D61,'2.Bookinglist'!A:CT,27,FALSE)</f>
        <v>IRPC PUBLIC COMPANY LIMITED</v>
      </c>
      <c r="F61" s="62" t="str">
        <f>VLOOKUP(D61,'2.Bookinglist'!A:CT,28,FALSE)</f>
        <v>IRPC PUBLIC COMPANY LIMITED</v>
      </c>
      <c r="G61" s="60">
        <f>VLOOKUP(D61,'2.Bookinglist'!A:E,5,FALSE)</f>
        <v>0</v>
      </c>
      <c r="H61" s="61" t="str">
        <f>VLOOKUP(D61,'2.Bookinglist'!A:CT,15,FALSE)</f>
        <v>THLCH</v>
      </c>
      <c r="I61" s="61" t="str">
        <f>VLOOKUP(D61,'2.Bookinglist'!A:CT,19,FALSE)</f>
        <v>HKHKG</v>
      </c>
      <c r="J61" s="61">
        <f>VLOOKUP(D61,'2.Bookinglist'!A:CT,26,FALSE)</f>
        <v>0</v>
      </c>
      <c r="K61" s="61" t="str">
        <f>VLOOKUP(A61,'1.Loading'!A:R,5,FALSE)</f>
        <v>22GP</v>
      </c>
      <c r="L61" s="60" t="str">
        <f>VLOOKUP(D61,'2.Bookinglist'!A:CT,85,FALSE)</f>
        <v>CY/CY</v>
      </c>
      <c r="M61" s="60" t="str">
        <f>IF(VLOOKUP(D61,'2.Bookinglist'!A:CT,43,FALSE)=0,"","DG")</f>
        <v/>
      </c>
      <c r="N61" s="60" t="str">
        <f>IF(RIGHT(K61,2)="RE","RF","")</f>
        <v/>
      </c>
      <c r="O61" s="61" t="str">
        <f>VLOOKUP(A61,'1.Loading'!A:R,3,FALSE)</f>
        <v>KMGY</v>
      </c>
      <c r="P61" s="61" t="str">
        <f>VLOOKUP(A61,'1.Loading'!A:R,4,FALSE)</f>
        <v>2611N</v>
      </c>
      <c r="Q61" s="61" t="str">
        <f>VLOOKUP(D61,'2.Bookinglist'!A:CT,12,FALSE)</f>
        <v>CHT</v>
      </c>
      <c r="R61" s="60" t="str">
        <f>IF(LEFT(K61,2)="22","20'","40'")</f>
        <v>20'</v>
      </c>
      <c r="S61" s="185" t="n"/>
      <c r="T61" s="61" t="str">
        <f>VLOOKUP(A61,'1.Loading'!A:R,2,FALSE)</f>
        <v>2026-10-25</v>
      </c>
      <c r="U61" s="63">
        <f>T61-S61</f>
        <v>46320</v>
      </c>
      <c r="V61" s="186" t="n"/>
      <c r="W61" s="61" t="str">
        <f>VLOOKUP(A61,'3.GateMove'!A:D,4,FALSE)</f>
        <v>2026-10-21</v>
      </c>
      <c r="X61" s="63">
        <f>((T61-W61)+1)</f>
        <v>5</v>
      </c>
      <c r="Y61" s="64">
        <f>IF(AND(OR(C61="BKK01",C61="BKK04"),L61="CFS/CY"),0,IF(M61="DG",1,IF(LEFT(C61,3)="LCH",7,IF(C61="BKK02",5,3))))</f>
        <v>7</v>
      </c>
      <c r="Z61" s="63">
        <f>IF(IF(AND(AC61="TML",AB61&gt;0),((T61-W61)+1)-AB61,((T61-W61)+1)-Y61)&gt;0,IF(AND(AC61="TML",AB61&gt;0),((T61-W61)+1)-AB61,((T61-W61)+1)-Y61),0)</f>
        <v>0</v>
      </c>
      <c r="AA61" s="187">
        <f>IF(AND(B61="G1",M61=""),IF(R61="20'",
VLOOKUP(Z61,Charge!$K$2:$M$5,2,TRUE)+(Z61-VLOOKUP(Z61,Charge!$K$2:$M$5,1,TRUE))*VLOOKUP(Z61,Charge!$K$2:$M$5,3,TRUE),
VLOOKUP(Z61,Charge!$N$2:$P$5,2,TRUE)+(Z61-VLOOKUP(Z61,Charge!$N$2:$P$5,1,TRUE))*VLOOKUP(Z61,Charge!$N$2:$P$5,3,TRUE)),
IF(AND(B61="G1",M61="DG"),IF(R61="20'",
VLOOKUP(Z61,Charge!$R$2:$T$5,2,TRUE)+(Z61-VLOOKUP(Z61,Charge!$R$2:$T$5,1,TRUE))*VLOOKUP(Z61,Charge!$R$2:$T$5,3,TRUE),
VLOOKUP(Z61,Charge!$U$2:$W$5,2,TRUE)+(Z61-VLOOKUP(Z61,Charge!$U$2:$W$5,1,TRUE))*VLOOKUP(Z61,Charge!$U$2:$W$5,3,TRUE)),
IF(AND(B61="G3",M61=""),IF(R61="20'",
VLOOKUP(Z61,Charge!$K$18:$M$21,2,TRUE)+(Z61-VLOOKUP(Z61,Charge!$K$18:$M$21,1,TRUE))*VLOOKUP(Z61,Charge!$K$18:$M$21,3,TRUE),
VLOOKUP(Z61,Charge!$N$18:$P$21,2,TRUE)+(Z61-VLOOKUP(Z61,Charge!$N$18:$P$21,1,TRUE))*VLOOKUP(Z61,Charge!$N$18:$P$21,3,TRUE)),
IF(AND(B61="G3",M61="DG"),IF(R61="20'",
VLOOKUP(Z61,Charge!$R$18:$T$21,2,TRUE)+(Z61-VLOOKUP(Z61,Charge!$R$18:$T$21,1,TRUE))*VLOOKUP(Z61,Charge!$R$18:$T$21,3,TRUE),
VLOOKUP(Z61,Charge!$U$18:$W$21,2,TRUE)+(Z61-VLOOKUP(Z61,Charge!$U$18:$W$21,1,TRUE))*VLOOKUP(Z61,Charge!$U$18:$W$21,3,TRUE)),
IF(AND(B61="G2",M61=""),IF(R61="20'",
VLOOKUP(Z61,Charge!$K$9:$M$12,2,TRUE)+(Z61-VLOOKUP(Z61,Charge!$K$9:$M$12,1,TRUE))*VLOOKUP(Z61,Charge!$K$9:$M$12,3,TRUE),
VLOOKUP(Z61,Charge!$N$9:$P$12,2,TRUE)+(Z61-VLOOKUP(Z61,Charge!$N$9:$P$12,1,TRUE))*VLOOKUP(Z61,Charge!$N$9:$P$12,3,TRUE)),
IF(AND(B61="G2",M61="DG"),IF(R61="20'",
VLOOKUP(Z61,Charge!$R$9:$T$12,2,TRUE)+(Z61-VLOOKUP(Z61,Charge!$R$9:$T$12,1,TRUE))*VLOOKUP(Z61,Charge!$R$9:$T$12,3,TRUE),
VLOOKUP(Z61,Charge!$U$9:$W$12,2,TRUE)+(Z61-VLOOKUP(Z61,Charge!$U$9:$W$12,1,TRUE))*VLOOKUP(Z61,Charge!$U$9:$W$12,3,TRUE)),IF(AND(B61="G4",M61=""),IF(R61="20'",Z61*Charge!$M$25,Z61*Charge!$P$25),IF(AND(B61="G4",M61="DG"),IF(R61="20'",Z61*Charge!$T$25,Z61*Charge!$W$25),0))))))))</f>
        <v>0</v>
      </c>
      <c r="AB61" s="184" t="n"/>
      <c r="AC61" s="184" t="n"/>
      <c r="AD61" s="60">
        <f>IF(M61="DG",3,IF(N61="RF",3,5))+IF(AND(LEFT(C61,3)="BKK",N61="RF",Q61="KTS"),1,0)+IF(Q61="KHS",1,0)</f>
        <v>5</v>
      </c>
      <c r="AE61" s="63">
        <f>(T61-V61)+1</f>
        <v>46321</v>
      </c>
      <c r="AF61" s="63">
        <f>IF(AB61&gt;IF((V61-W61)&gt;0,V61-W61,0),0,IF(AB61&lt;IF((V61-W61)&gt;0,V61-W61,0),IF((V61-W61)&gt;0,V61-W61,0)-AB61,IF((V61-W61)&gt;0,V61-W61,0)))</f>
        <v>0</v>
      </c>
      <c r="AG61" s="187">
        <f>IF(AND(M61=""),IF(R61="20'",
VLOOKUP(AF61,Charge!$K$31:$M$34,2,TRUE)+(AF61-VLOOKUP(AF61,Charge!$K$31:$M$34,1,TRUE))*VLOOKUP(AF61,Charge!$K$31:$M$34,3,TRUE),
VLOOKUP(AF61,Charge!$N$31:$P$34,2,TRUE)+(AF61-VLOOKUP(AF61,Charge!$N$31:$P$34,1,TRUE))*VLOOKUP(AF61,Charge!$N$31:$P$34,3,TRUE)),
IF(AND(M61="DG"),IF(R61="20'",
VLOOKUP(AF61,Charge!$R$31:$T$34,2,TRUE)+(AF61-VLOOKUP(AF61,Charge!$R$31:$T$34,1,TRUE))*VLOOKUP(AF61,Charge!$R$31:$T$34,3,TRUE),
VLOOKUP(AF61,Charge!$U$31:$W$34,2,TRUE)+(AF61-VLOOKUP(AF61,Charge!$U$31:$W$34,1,TRUE))*VLOOKUP(AF61,Charge!$U$31:$W$34,3,TRUE)),0))</f>
        <v>0</v>
      </c>
      <c r="AH61" s="65" t="n"/>
      <c r="AI61" s="65">
        <f>AA61-AH61</f>
        <v>0</v>
      </c>
      <c r="AJ61" s="188" t="n"/>
      <c r="AK61" s="62" t="str">
        <f>VLOOKUP(D61,'2.Bookinglist'!A:CT,40,FALSE)</f>
        <v>Dharaporn</v>
      </c>
      <c r="AL61" s="60" t="str">
        <f>VLOOKUP(D61,'2.Bookinglist'!A:CW,101,FALSE)</f>
        <v>2026-10-24</v>
      </c>
      <c r="AM61" s="60" t="str">
        <f>VLOOKUP(D61,'2.Bookinglist'!A:BK,63,FALSE)</f>
        <v>LCHY5</v>
      </c>
      <c r="AN61" s="62" t="str">
        <f>VLOOKUP(D61,'2.Bookinglist'!A:AZ,52,FALSE)</f>
        <v>CY-RTN 19-22/10/26 (PI26050167-38) CLOSING DATE DD.22/10/26 @23.59</v>
      </c>
      <c r="AO61" s="62">
        <f>VLOOKUP(D61,'2.Bookinglist'!A:CY,103,FALSE)</f>
        <v>0</v>
      </c>
    </row>
    <row r="62" ht="12.95" customHeight="1">
      <c r="A62" s="96" t="inlineStr">
        <is>
          <t>SKLU1949478</t>
        </is>
      </c>
      <c r="B62" s="184" t="str">
        <f>IF(C62=Charge!$M$1,Charge!$J$1,IF(C62=Charge!$M$23,Charge!$J$23,IF(C62=Charge!$M$17,Charge!$J$17,IF(C62=Charge!$N$17,Charge!$J$17,Charge!$J$7))))</f>
        <v>G2</v>
      </c>
      <c r="C62" s="61" t="str">
        <f>VLOOKUP(A62,'1.Loading'!A:R,14,FALSE)</f>
        <v>LCH01</v>
      </c>
      <c r="D62" s="61" t="str">
        <f>VLOOKUP(A62,'1.Loading'!A:R,17,FALSE)</f>
        <v>HASLS22261000794</v>
      </c>
      <c r="E62" s="62" t="str">
        <f>VLOOKUP(D62,'2.Bookinglist'!A:CT,27,FALSE)</f>
        <v>IRPC PUBLIC COMPANY LIMITED</v>
      </c>
      <c r="F62" s="62" t="str">
        <f>VLOOKUP(D62,'2.Bookinglist'!A:CT,28,FALSE)</f>
        <v>IRPC PUBLIC COMPANY LIMITED</v>
      </c>
      <c r="G62" s="60">
        <f>VLOOKUP(D62,'2.Bookinglist'!A:E,5,FALSE)</f>
        <v>0</v>
      </c>
      <c r="H62" s="61" t="str">
        <f>VLOOKUP(D62,'2.Bookinglist'!A:CT,15,FALSE)</f>
        <v>THLCH</v>
      </c>
      <c r="I62" s="61" t="str">
        <f>VLOOKUP(D62,'2.Bookinglist'!A:CT,19,FALSE)</f>
        <v>HKHKG</v>
      </c>
      <c r="J62" s="61">
        <f>VLOOKUP(D62,'2.Bookinglist'!A:CT,26,FALSE)</f>
        <v>0</v>
      </c>
      <c r="K62" s="61" t="str">
        <f>VLOOKUP(A62,'1.Loading'!A:R,5,FALSE)</f>
        <v>22GP</v>
      </c>
      <c r="L62" s="60" t="str">
        <f>VLOOKUP(D62,'2.Bookinglist'!A:CT,85,FALSE)</f>
        <v>CY/CY</v>
      </c>
      <c r="M62" s="60" t="str">
        <f>IF(VLOOKUP(D62,'2.Bookinglist'!A:CT,43,FALSE)=0,"","DG")</f>
        <v/>
      </c>
      <c r="N62" s="60" t="str">
        <f>IF(RIGHT(K62,2)="RE","RF","")</f>
        <v/>
      </c>
      <c r="O62" s="61" t="str">
        <f>VLOOKUP(A62,'1.Loading'!A:R,3,FALSE)</f>
        <v>KMGY</v>
      </c>
      <c r="P62" s="61" t="str">
        <f>VLOOKUP(A62,'1.Loading'!A:R,4,FALSE)</f>
        <v>2611N</v>
      </c>
      <c r="Q62" s="61" t="str">
        <f>VLOOKUP(D62,'2.Bookinglist'!A:CT,12,FALSE)</f>
        <v>CHT</v>
      </c>
      <c r="R62" s="60" t="str">
        <f>IF(LEFT(K62,2)="22","20'","40'")</f>
        <v>20'</v>
      </c>
      <c r="S62" s="185" t="n"/>
      <c r="T62" s="61" t="str">
        <f>VLOOKUP(A62,'1.Loading'!A:R,2,FALSE)</f>
        <v>2026-10-25</v>
      </c>
      <c r="U62" s="63">
        <f>T62-S62</f>
        <v>46320</v>
      </c>
      <c r="V62" s="186" t="n"/>
      <c r="W62" s="61" t="str">
        <f>VLOOKUP(A62,'3.GateMove'!A:D,4,FALSE)</f>
        <v>2026-10-19</v>
      </c>
      <c r="X62" s="63">
        <f>((T62-W62)+1)</f>
        <v>7</v>
      </c>
      <c r="Y62" s="64">
        <f>IF(AND(OR(C62="BKK01",C62="BKK04"),L62="CFS/CY"),0,IF(M62="DG",1,IF(LEFT(C62,3)="LCH",7,IF(C62="BKK02",5,3))))</f>
        <v>7</v>
      </c>
      <c r="Z62" s="63">
        <f>IF(IF(AND(AC62="TML",AB62&gt;0),((T62-W62)+1)-AB62,((T62-W62)+1)-Y62)&gt;0,IF(AND(AC62="TML",AB62&gt;0),((T62-W62)+1)-AB62,((T62-W62)+1)-Y62),0)</f>
        <v>0</v>
      </c>
      <c r="AA62" s="187">
        <f>IF(AND(B62="G1",M62=""),IF(R62="20'",
VLOOKUP(Z62,Charge!$K$2:$M$5,2,TRUE)+(Z62-VLOOKUP(Z62,Charge!$K$2:$M$5,1,TRUE))*VLOOKUP(Z62,Charge!$K$2:$M$5,3,TRUE),
VLOOKUP(Z62,Charge!$N$2:$P$5,2,TRUE)+(Z62-VLOOKUP(Z62,Charge!$N$2:$P$5,1,TRUE))*VLOOKUP(Z62,Charge!$N$2:$P$5,3,TRUE)),
IF(AND(B62="G1",M62="DG"),IF(R62="20'",
VLOOKUP(Z62,Charge!$R$2:$T$5,2,TRUE)+(Z62-VLOOKUP(Z62,Charge!$R$2:$T$5,1,TRUE))*VLOOKUP(Z62,Charge!$R$2:$T$5,3,TRUE),
VLOOKUP(Z62,Charge!$U$2:$W$5,2,TRUE)+(Z62-VLOOKUP(Z62,Charge!$U$2:$W$5,1,TRUE))*VLOOKUP(Z62,Charge!$U$2:$W$5,3,TRUE)),
IF(AND(B62="G3",M62=""),IF(R62="20'",
VLOOKUP(Z62,Charge!$K$18:$M$21,2,TRUE)+(Z62-VLOOKUP(Z62,Charge!$K$18:$M$21,1,TRUE))*VLOOKUP(Z62,Charge!$K$18:$M$21,3,TRUE),
VLOOKUP(Z62,Charge!$N$18:$P$21,2,TRUE)+(Z62-VLOOKUP(Z62,Charge!$N$18:$P$21,1,TRUE))*VLOOKUP(Z62,Charge!$N$18:$P$21,3,TRUE)),
IF(AND(B62="G3",M62="DG"),IF(R62="20'",
VLOOKUP(Z62,Charge!$R$18:$T$21,2,TRUE)+(Z62-VLOOKUP(Z62,Charge!$R$18:$T$21,1,TRUE))*VLOOKUP(Z62,Charge!$R$18:$T$21,3,TRUE),
VLOOKUP(Z62,Charge!$U$18:$W$21,2,TRUE)+(Z62-VLOOKUP(Z62,Charge!$U$18:$W$21,1,TRUE))*VLOOKUP(Z62,Charge!$U$18:$W$21,3,TRUE)),
IF(AND(B62="G2",M62=""),IF(R62="20'",
VLOOKUP(Z62,Charge!$K$9:$M$12,2,TRUE)+(Z62-VLOOKUP(Z62,Charge!$K$9:$M$12,1,TRUE))*VLOOKUP(Z62,Charge!$K$9:$M$12,3,TRUE),
VLOOKUP(Z62,Charge!$N$9:$P$12,2,TRUE)+(Z62-VLOOKUP(Z62,Charge!$N$9:$P$12,1,TRUE))*VLOOKUP(Z62,Charge!$N$9:$P$12,3,TRUE)),
IF(AND(B62="G2",M62="DG"),IF(R62="20'",
VLOOKUP(Z62,Charge!$R$9:$T$12,2,TRUE)+(Z62-VLOOKUP(Z62,Charge!$R$9:$T$12,1,TRUE))*VLOOKUP(Z62,Charge!$R$9:$T$12,3,TRUE),
VLOOKUP(Z62,Charge!$U$9:$W$12,2,TRUE)+(Z62-VLOOKUP(Z62,Charge!$U$9:$W$12,1,TRUE))*VLOOKUP(Z62,Charge!$U$9:$W$12,3,TRUE)),IF(AND(B62="G4",M62=""),IF(R62="20'",Z62*Charge!$M$25,Z62*Charge!$P$25),IF(AND(B62="G4",M62="DG"),IF(R62="20'",Z62*Charge!$T$25,Z62*Charge!$W$25),0))))))))</f>
        <v>0</v>
      </c>
      <c r="AB62" s="184" t="n"/>
      <c r="AC62" s="184" t="n"/>
      <c r="AD62" s="60">
        <f>IF(M62="DG",3,IF(N62="RF",3,5))+IF(AND(LEFT(C62,3)="BKK",N62="RF",Q62="KTS"),1,0)+IF(Q62="KHS",1,0)</f>
        <v>5</v>
      </c>
      <c r="AE62" s="63">
        <f>(T62-V62)+1</f>
        <v>46321</v>
      </c>
      <c r="AF62" s="63">
        <f>IF(AB62&gt;IF((V62-W62)&gt;0,V62-W62,0),0,IF(AB62&lt;IF((V62-W62)&gt;0,V62-W62,0),IF((V62-W62)&gt;0,V62-W62,0)-AB62,IF((V62-W62)&gt;0,V62-W62,0)))</f>
        <v>0</v>
      </c>
      <c r="AG62" s="187">
        <f>IF(AND(M62=""),IF(R62="20'",
VLOOKUP(AF62,Charge!$K$31:$M$34,2,TRUE)+(AF62-VLOOKUP(AF62,Charge!$K$31:$M$34,1,TRUE))*VLOOKUP(AF62,Charge!$K$31:$M$34,3,TRUE),
VLOOKUP(AF62,Charge!$N$31:$P$34,2,TRUE)+(AF62-VLOOKUP(AF62,Charge!$N$31:$P$34,1,TRUE))*VLOOKUP(AF62,Charge!$N$31:$P$34,3,TRUE)),
IF(AND(M62="DG"),IF(R62="20'",
VLOOKUP(AF62,Charge!$R$31:$T$34,2,TRUE)+(AF62-VLOOKUP(AF62,Charge!$R$31:$T$34,1,TRUE))*VLOOKUP(AF62,Charge!$R$31:$T$34,3,TRUE),
VLOOKUP(AF62,Charge!$U$31:$W$34,2,TRUE)+(AF62-VLOOKUP(AF62,Charge!$U$31:$W$34,1,TRUE))*VLOOKUP(AF62,Charge!$U$31:$W$34,3,TRUE)),0))</f>
        <v>0</v>
      </c>
      <c r="AH62" s="65" t="n"/>
      <c r="AI62" s="65">
        <f>AA62-AH62</f>
        <v>0</v>
      </c>
      <c r="AJ62" s="188" t="n"/>
      <c r="AK62" s="62" t="str">
        <f>VLOOKUP(D62,'2.Bookinglist'!A:CT,40,FALSE)</f>
        <v>Dharaporn</v>
      </c>
      <c r="AL62" s="60" t="str">
        <f>VLOOKUP(D62,'2.Bookinglist'!A:CW,101,FALSE)</f>
        <v>2026-10-21</v>
      </c>
      <c r="AM62" s="60" t="str">
        <f>VLOOKUP(D62,'2.Bookinglist'!A:BK,63,FALSE)</f>
        <v>LCHY5</v>
      </c>
      <c r="AN62" s="62" t="str">
        <f>VLOOKUP(D62,'2.Bookinglist'!A:AZ,52,FALSE)</f>
        <v>CY-RTN 14-15/10/26 (PI26050167-37)
PLS CHECK OPEN GATE BEFORE RETURN CTNR
</v>
      </c>
      <c r="AO62" s="62">
        <f>VLOOKUP(D62,'2.Bookinglist'!A:CY,103,FALSE)</f>
        <v>0</v>
      </c>
    </row>
    <row r="63" ht="12.95" customHeight="1">
      <c r="A63" s="96" t="inlineStr">
        <is>
          <t>SKLU2001538</t>
        </is>
      </c>
      <c r="B63" s="184" t="str">
        <f>IF(C63=Charge!$M$1,Charge!$J$1,IF(C63=Charge!$M$23,Charge!$J$23,IF(C63=Charge!$M$17,Charge!$J$17,IF(C63=Charge!$N$17,Charge!$J$17,Charge!$J$7))))</f>
        <v>G2</v>
      </c>
      <c r="C63" s="61" t="str">
        <f>VLOOKUP(A63,'1.Loading'!A:R,14,FALSE)</f>
        <v>LCH01</v>
      </c>
      <c r="D63" s="61" t="str">
        <f>VLOOKUP(A63,'1.Loading'!A:R,17,FALSE)</f>
        <v>HASLS22260900819</v>
      </c>
      <c r="E63" s="62" t="str">
        <f>VLOOKUP(D63,'2.Bookinglist'!A:CT,27,FALSE)</f>
        <v>JAST GLOBAL CO.,LTD.</v>
      </c>
      <c r="F63" s="62" t="str">
        <f>VLOOKUP(D63,'2.Bookinglist'!A:CT,28,FALSE)</f>
        <v>THE THAI SUGAR TRADING CORPORATION LTD.</v>
      </c>
      <c r="G63" s="60">
        <f>VLOOKUP(D63,'2.Bookinglist'!A:E,5,FALSE)</f>
        <v>0</v>
      </c>
      <c r="H63" s="61" t="str">
        <f>VLOOKUP(D63,'2.Bookinglist'!A:CT,15,FALSE)</f>
        <v>THLCH</v>
      </c>
      <c r="I63" s="61" t="str">
        <f>VLOOKUP(D63,'2.Bookinglist'!A:CT,19,FALSE)</f>
        <v>KRINC</v>
      </c>
      <c r="J63" s="61">
        <f>VLOOKUP(D63,'2.Bookinglist'!A:CT,26,FALSE)</f>
        <v>0</v>
      </c>
      <c r="K63" s="61" t="str">
        <f>VLOOKUP(A63,'1.Loading'!A:R,5,FALSE)</f>
        <v>22GP</v>
      </c>
      <c r="L63" s="60" t="str">
        <f>VLOOKUP(D63,'2.Bookinglist'!A:CT,85,FALSE)</f>
        <v>CY/CY</v>
      </c>
      <c r="M63" s="60" t="str">
        <f>IF(VLOOKUP(D63,'2.Bookinglist'!A:CT,43,FALSE)=0,"","DG")</f>
        <v/>
      </c>
      <c r="N63" s="60" t="str">
        <f>IF(RIGHT(K63,2)="RE","RF","")</f>
        <v/>
      </c>
      <c r="O63" s="61" t="str">
        <f>VLOOKUP(A63,'1.Loading'!A:R,3,FALSE)</f>
        <v>KMGY</v>
      </c>
      <c r="P63" s="61" t="str">
        <f>VLOOKUP(A63,'1.Loading'!A:R,4,FALSE)</f>
        <v>2611N</v>
      </c>
      <c r="Q63" s="61" t="str">
        <f>VLOOKUP(D63,'2.Bookinglist'!A:CT,12,FALSE)</f>
        <v>CHT</v>
      </c>
      <c r="R63" s="60" t="str">
        <f>IF(LEFT(K63,2)="22","20'","40'")</f>
        <v>20'</v>
      </c>
      <c r="S63" s="185" t="n"/>
      <c r="T63" s="61" t="str">
        <f>VLOOKUP(A63,'1.Loading'!A:R,2,FALSE)</f>
        <v>2026-10-25</v>
      </c>
      <c r="U63" s="63">
        <f>T63-S63</f>
        <v>46320</v>
      </c>
      <c r="V63" s="186" t="n"/>
      <c r="W63" s="61" t="str">
        <f>VLOOKUP(A63,'3.GateMove'!A:D,4,FALSE)</f>
        <v>2026-10-17</v>
      </c>
      <c r="X63" s="63">
        <f>((T63-W63)+1)</f>
        <v>9</v>
      </c>
      <c r="Y63" s="64">
        <f>IF(AND(OR(C63="BKK01",C63="BKK04"),L63="CFS/CY"),0,IF(M63="DG",1,IF(LEFT(C63,3)="LCH",7,IF(C63="BKK02",5,3))))</f>
        <v>7</v>
      </c>
      <c r="Z63" s="63">
        <f>IF(IF(AND(AC63="TML",AB63&gt;0),((T63-W63)+1)-AB63,((T63-W63)+1)-Y63)&gt;0,IF(AND(AC63="TML",AB63&gt;0),((T63-W63)+1)-AB63,((T63-W63)+1)-Y63),0)</f>
        <v>2</v>
      </c>
      <c r="AA63" s="187">
        <f>IF(AND(B63="G1",M63=""),IF(R63="20'",
VLOOKUP(Z63,Charge!$K$2:$M$5,2,TRUE)+(Z63-VLOOKUP(Z63,Charge!$K$2:$M$5,1,TRUE))*VLOOKUP(Z63,Charge!$K$2:$M$5,3,TRUE),
VLOOKUP(Z63,Charge!$N$2:$P$5,2,TRUE)+(Z63-VLOOKUP(Z63,Charge!$N$2:$P$5,1,TRUE))*VLOOKUP(Z63,Charge!$N$2:$P$5,3,TRUE)),
IF(AND(B63="G1",M63="DG"),IF(R63="20'",
VLOOKUP(Z63,Charge!$R$2:$T$5,2,TRUE)+(Z63-VLOOKUP(Z63,Charge!$R$2:$T$5,1,TRUE))*VLOOKUP(Z63,Charge!$R$2:$T$5,3,TRUE),
VLOOKUP(Z63,Charge!$U$2:$W$5,2,TRUE)+(Z63-VLOOKUP(Z63,Charge!$U$2:$W$5,1,TRUE))*VLOOKUP(Z63,Charge!$U$2:$W$5,3,TRUE)),
IF(AND(B63="G3",M63=""),IF(R63="20'",
VLOOKUP(Z63,Charge!$K$18:$M$21,2,TRUE)+(Z63-VLOOKUP(Z63,Charge!$K$18:$M$21,1,TRUE))*VLOOKUP(Z63,Charge!$K$18:$M$21,3,TRUE),
VLOOKUP(Z63,Charge!$N$18:$P$21,2,TRUE)+(Z63-VLOOKUP(Z63,Charge!$N$18:$P$21,1,TRUE))*VLOOKUP(Z63,Charge!$N$18:$P$21,3,TRUE)),
IF(AND(B63="G3",M63="DG"),IF(R63="20'",
VLOOKUP(Z63,Charge!$R$18:$T$21,2,TRUE)+(Z63-VLOOKUP(Z63,Charge!$R$18:$T$21,1,TRUE))*VLOOKUP(Z63,Charge!$R$18:$T$21,3,TRUE),
VLOOKUP(Z63,Charge!$U$18:$W$21,2,TRUE)+(Z63-VLOOKUP(Z63,Charge!$U$18:$W$21,1,TRUE))*VLOOKUP(Z63,Charge!$U$18:$W$21,3,TRUE)),
IF(AND(B63="G2",M63=""),IF(R63="20'",
VLOOKUP(Z63,Charge!$K$9:$M$12,2,TRUE)+(Z63-VLOOKUP(Z63,Charge!$K$9:$M$12,1,TRUE))*VLOOKUP(Z63,Charge!$K$9:$M$12,3,TRUE),
VLOOKUP(Z63,Charge!$N$9:$P$12,2,TRUE)+(Z63-VLOOKUP(Z63,Charge!$N$9:$P$12,1,TRUE))*VLOOKUP(Z63,Charge!$N$9:$P$12,3,TRUE)),
IF(AND(B63="G2",M63="DG"),IF(R63="20'",
VLOOKUP(Z63,Charge!$R$9:$T$12,2,TRUE)+(Z63-VLOOKUP(Z63,Charge!$R$9:$T$12,1,TRUE))*VLOOKUP(Z63,Charge!$R$9:$T$12,3,TRUE),
VLOOKUP(Z63,Charge!$U$9:$W$12,2,TRUE)+(Z63-VLOOKUP(Z63,Charge!$U$9:$W$12,1,TRUE))*VLOOKUP(Z63,Charge!$U$9:$W$12,3,TRUE)),IF(AND(B63="G4",M63=""),IF(R63="20'",Z63*Charge!$M$25,Z63*Charge!$P$25),IF(AND(B63="G4",M63="DG"),IF(R63="20'",Z63*Charge!$T$25,Z63*Charge!$W$25),0))))))))</f>
        <v>250</v>
      </c>
      <c r="AB63" s="184" t="n"/>
      <c r="AC63" s="184" t="n"/>
      <c r="AD63" s="60">
        <f>IF(M63="DG",3,IF(N63="RF",3,5))+IF(AND(LEFT(C63,3)="BKK",N63="RF",Q63="KTS"),1,0)+IF(Q63="KHS",1,0)</f>
        <v>5</v>
      </c>
      <c r="AE63" s="63">
        <f>(T63-V63)+1</f>
        <v>46321</v>
      </c>
      <c r="AF63" s="63">
        <f>IF(AB63&gt;IF((V63-W63)&gt;0,V63-W63,0),0,IF(AB63&lt;IF((V63-W63)&gt;0,V63-W63,0),IF((V63-W63)&gt;0,V63-W63,0)-AB63,IF((V63-W63)&gt;0,V63-W63,0)))</f>
        <v>0</v>
      </c>
      <c r="AG63" s="187">
        <f>IF(AND(M63=""),IF(R63="20'",
VLOOKUP(AF63,Charge!$K$31:$M$34,2,TRUE)+(AF63-VLOOKUP(AF63,Charge!$K$31:$M$34,1,TRUE))*VLOOKUP(AF63,Charge!$K$31:$M$34,3,TRUE),
VLOOKUP(AF63,Charge!$N$31:$P$34,2,TRUE)+(AF63-VLOOKUP(AF63,Charge!$N$31:$P$34,1,TRUE))*VLOOKUP(AF63,Charge!$N$31:$P$34,3,TRUE)),
IF(AND(M63="DG"),IF(R63="20'",
VLOOKUP(AF63,Charge!$R$31:$T$34,2,TRUE)+(AF63-VLOOKUP(AF63,Charge!$R$31:$T$34,1,TRUE))*VLOOKUP(AF63,Charge!$R$31:$T$34,3,TRUE),
VLOOKUP(AF63,Charge!$U$31:$W$34,2,TRUE)+(AF63-VLOOKUP(AF63,Charge!$U$31:$W$34,1,TRUE))*VLOOKUP(AF63,Charge!$U$31:$W$34,3,TRUE)),0))</f>
        <v>0</v>
      </c>
      <c r="AH63" s="65" t="n"/>
      <c r="AI63" s="65">
        <f>AA63-AH63</f>
        <v>250</v>
      </c>
      <c r="AJ63" s="188" t="n"/>
      <c r="AK63" s="62" t="str">
        <f>VLOOKUP(D63,'2.Bookinglist'!A:CT,40,FALSE)</f>
        <v>Kim jaewon</v>
      </c>
      <c r="AL63" s="60" t="str">
        <f>VLOOKUP(D63,'2.Bookinglist'!A:CW,101,FALSE)</f>
        <v>2026-10-21</v>
      </c>
      <c r="AM63" s="60" t="str">
        <f>VLOOKUP(D63,'2.Bookinglist'!A:BK,63,FALSE)</f>
        <v>LCHY5</v>
      </c>
      <c r="AN63" s="62" t="str">
        <f>VLOOKUP(D63,'2.Bookinglist'!A:AZ,52,FALSE)</f>
        <v>Pickup : 2026-10-15, Return : 2026-10-16
**CHECK OPENGATE BEFORE RETURN CNTR**
</v>
      </c>
      <c r="AO63" s="62">
        <f>VLOOKUP(D63,'2.Bookinglist'!A:CY,103,FALSE)</f>
        <v>0</v>
      </c>
    </row>
    <row r="64" ht="12.95" customHeight="1">
      <c r="A64" s="96" t="inlineStr">
        <is>
          <t>SKLU2066117</t>
        </is>
      </c>
      <c r="B64" s="184" t="str">
        <f>IF(C64=Charge!$M$1,Charge!$J$1,IF(C64=Charge!$M$23,Charge!$J$23,IF(C64=Charge!$M$17,Charge!$J$17,IF(C64=Charge!$N$17,Charge!$J$17,Charge!$J$7))))</f>
        <v>G2</v>
      </c>
      <c r="C64" s="61" t="str">
        <f>VLOOKUP(A64,'1.Loading'!A:R,14,FALSE)</f>
        <v>LCH01</v>
      </c>
      <c r="D64" s="61" t="str">
        <f>VLOOKUP(A64,'1.Loading'!A:R,17,FALSE)</f>
        <v>HASLS22260900819</v>
      </c>
      <c r="E64" s="62" t="str">
        <f>VLOOKUP(D64,'2.Bookinglist'!A:CT,27,FALSE)</f>
        <v>JAST GLOBAL CO.,LTD.</v>
      </c>
      <c r="F64" s="62" t="str">
        <f>VLOOKUP(D64,'2.Bookinglist'!A:CT,28,FALSE)</f>
        <v>THE THAI SUGAR TRADING CORPORATION LTD.</v>
      </c>
      <c r="G64" s="60">
        <f>VLOOKUP(D64,'2.Bookinglist'!A:E,5,FALSE)</f>
        <v>0</v>
      </c>
      <c r="H64" s="61" t="str">
        <f>VLOOKUP(D64,'2.Bookinglist'!A:CT,15,FALSE)</f>
        <v>THLCH</v>
      </c>
      <c r="I64" s="61" t="str">
        <f>VLOOKUP(D64,'2.Bookinglist'!A:CT,19,FALSE)</f>
        <v>KRINC</v>
      </c>
      <c r="J64" s="61">
        <f>VLOOKUP(D64,'2.Bookinglist'!A:CT,26,FALSE)</f>
        <v>0</v>
      </c>
      <c r="K64" s="61" t="str">
        <f>VLOOKUP(A64,'1.Loading'!A:R,5,FALSE)</f>
        <v>22GP</v>
      </c>
      <c r="L64" s="60" t="str">
        <f>VLOOKUP(D64,'2.Bookinglist'!A:CT,85,FALSE)</f>
        <v>CY/CY</v>
      </c>
      <c r="M64" s="60" t="str">
        <f>IF(VLOOKUP(D64,'2.Bookinglist'!A:CT,43,FALSE)=0,"","DG")</f>
        <v/>
      </c>
      <c r="N64" s="60" t="str">
        <f>IF(RIGHT(K64,2)="RE","RF","")</f>
        <v/>
      </c>
      <c r="O64" s="61" t="str">
        <f>VLOOKUP(A64,'1.Loading'!A:R,3,FALSE)</f>
        <v>KMGY</v>
      </c>
      <c r="P64" s="61" t="str">
        <f>VLOOKUP(A64,'1.Loading'!A:R,4,FALSE)</f>
        <v>2611N</v>
      </c>
      <c r="Q64" s="61" t="str">
        <f>VLOOKUP(D64,'2.Bookinglist'!A:CT,12,FALSE)</f>
        <v>CHT</v>
      </c>
      <c r="R64" s="60" t="str">
        <f>IF(LEFT(K64,2)="22","20'","40'")</f>
        <v>20'</v>
      </c>
      <c r="S64" s="185" t="n"/>
      <c r="T64" s="61" t="str">
        <f>VLOOKUP(A64,'1.Loading'!A:R,2,FALSE)</f>
        <v>2026-10-25</v>
      </c>
      <c r="U64" s="63">
        <f>T64-S64</f>
        <v>46320</v>
      </c>
      <c r="V64" s="186" t="n"/>
      <c r="W64" s="61" t="str">
        <f>VLOOKUP(A64,'3.GateMove'!A:D,4,FALSE)</f>
        <v>2026-10-17</v>
      </c>
      <c r="X64" s="63">
        <f>((T64-W64)+1)</f>
        <v>9</v>
      </c>
      <c r="Y64" s="64">
        <f>IF(AND(OR(C64="BKK01",C64="BKK04"),L64="CFS/CY"),0,IF(M64="DG",1,IF(LEFT(C64,3)="LCH",7,IF(C64="BKK02",5,3))))</f>
        <v>7</v>
      </c>
      <c r="Z64" s="63">
        <f>IF(IF(AND(AC64="TML",AB64&gt;0),((T64-W64)+1)-AB64,((T64-W64)+1)-Y64)&gt;0,IF(AND(AC64="TML",AB64&gt;0),((T64-W64)+1)-AB64,((T64-W64)+1)-Y64),0)</f>
        <v>2</v>
      </c>
      <c r="AA64" s="187">
        <f>IF(AND(B64="G1",M64=""),IF(R64="20'",
VLOOKUP(Z64,Charge!$K$2:$M$5,2,TRUE)+(Z64-VLOOKUP(Z64,Charge!$K$2:$M$5,1,TRUE))*VLOOKUP(Z64,Charge!$K$2:$M$5,3,TRUE),
VLOOKUP(Z64,Charge!$N$2:$P$5,2,TRUE)+(Z64-VLOOKUP(Z64,Charge!$N$2:$P$5,1,TRUE))*VLOOKUP(Z64,Charge!$N$2:$P$5,3,TRUE)),
IF(AND(B64="G1",M64="DG"),IF(R64="20'",
VLOOKUP(Z64,Charge!$R$2:$T$5,2,TRUE)+(Z64-VLOOKUP(Z64,Charge!$R$2:$T$5,1,TRUE))*VLOOKUP(Z64,Charge!$R$2:$T$5,3,TRUE),
VLOOKUP(Z64,Charge!$U$2:$W$5,2,TRUE)+(Z64-VLOOKUP(Z64,Charge!$U$2:$W$5,1,TRUE))*VLOOKUP(Z64,Charge!$U$2:$W$5,3,TRUE)),
IF(AND(B64="G3",M64=""),IF(R64="20'",
VLOOKUP(Z64,Charge!$K$18:$M$21,2,TRUE)+(Z64-VLOOKUP(Z64,Charge!$K$18:$M$21,1,TRUE))*VLOOKUP(Z64,Charge!$K$18:$M$21,3,TRUE),
VLOOKUP(Z64,Charge!$N$18:$P$21,2,TRUE)+(Z64-VLOOKUP(Z64,Charge!$N$18:$P$21,1,TRUE))*VLOOKUP(Z64,Charge!$N$18:$P$21,3,TRUE)),
IF(AND(B64="G3",M64="DG"),IF(R64="20'",
VLOOKUP(Z64,Charge!$R$18:$T$21,2,TRUE)+(Z64-VLOOKUP(Z64,Charge!$R$18:$T$21,1,TRUE))*VLOOKUP(Z64,Charge!$R$18:$T$21,3,TRUE),
VLOOKUP(Z64,Charge!$U$18:$W$21,2,TRUE)+(Z64-VLOOKUP(Z64,Charge!$U$18:$W$21,1,TRUE))*VLOOKUP(Z64,Charge!$U$18:$W$21,3,TRUE)),
IF(AND(B64="G2",M64=""),IF(R64="20'",
VLOOKUP(Z64,Charge!$K$9:$M$12,2,TRUE)+(Z64-VLOOKUP(Z64,Charge!$K$9:$M$12,1,TRUE))*VLOOKUP(Z64,Charge!$K$9:$M$12,3,TRUE),
VLOOKUP(Z64,Charge!$N$9:$P$12,2,TRUE)+(Z64-VLOOKUP(Z64,Charge!$N$9:$P$12,1,TRUE))*VLOOKUP(Z64,Charge!$N$9:$P$12,3,TRUE)),
IF(AND(B64="G2",M64="DG"),IF(R64="20'",
VLOOKUP(Z64,Charge!$R$9:$T$12,2,TRUE)+(Z64-VLOOKUP(Z64,Charge!$R$9:$T$12,1,TRUE))*VLOOKUP(Z64,Charge!$R$9:$T$12,3,TRUE),
VLOOKUP(Z64,Charge!$U$9:$W$12,2,TRUE)+(Z64-VLOOKUP(Z64,Charge!$U$9:$W$12,1,TRUE))*VLOOKUP(Z64,Charge!$U$9:$W$12,3,TRUE)),IF(AND(B64="G4",M64=""),IF(R64="20'",Z64*Charge!$M$25,Z64*Charge!$P$25),IF(AND(B64="G4",M64="DG"),IF(R64="20'",Z64*Charge!$T$25,Z64*Charge!$W$25),0))))))))</f>
        <v>250</v>
      </c>
      <c r="AB64" s="184" t="n"/>
      <c r="AC64" s="184" t="n"/>
      <c r="AD64" s="60">
        <f>IF(M64="DG",3,IF(N64="RF",3,5))+IF(AND(LEFT(C64,3)="BKK",N64="RF",Q64="KTS"),1,0)+IF(Q64="KHS",1,0)</f>
        <v>5</v>
      </c>
      <c r="AE64" s="63">
        <f>(T64-V64)+1</f>
        <v>46321</v>
      </c>
      <c r="AF64" s="63">
        <f>IF(AB64&gt;IF((V64-W64)&gt;0,V64-W64,0),0,IF(AB64&lt;IF((V64-W64)&gt;0,V64-W64,0),IF((V64-W64)&gt;0,V64-W64,0)-AB64,IF((V64-W64)&gt;0,V64-W64,0)))</f>
        <v>0</v>
      </c>
      <c r="AG64" s="187">
        <f>IF(AND(M64=""),IF(R64="20'",
VLOOKUP(AF64,Charge!$K$31:$M$34,2,TRUE)+(AF64-VLOOKUP(AF64,Charge!$K$31:$M$34,1,TRUE))*VLOOKUP(AF64,Charge!$K$31:$M$34,3,TRUE),
VLOOKUP(AF64,Charge!$N$31:$P$34,2,TRUE)+(AF64-VLOOKUP(AF64,Charge!$N$31:$P$34,1,TRUE))*VLOOKUP(AF64,Charge!$N$31:$P$34,3,TRUE)),
IF(AND(M64="DG"),IF(R64="20'",
VLOOKUP(AF64,Charge!$R$31:$T$34,2,TRUE)+(AF64-VLOOKUP(AF64,Charge!$R$31:$T$34,1,TRUE))*VLOOKUP(AF64,Charge!$R$31:$T$34,3,TRUE),
VLOOKUP(AF64,Charge!$U$31:$W$34,2,TRUE)+(AF64-VLOOKUP(AF64,Charge!$U$31:$W$34,1,TRUE))*VLOOKUP(AF64,Charge!$U$31:$W$34,3,TRUE)),0))</f>
        <v>0</v>
      </c>
      <c r="AH64" s="65" t="n"/>
      <c r="AI64" s="65">
        <f>AA64-AH64</f>
        <v>250</v>
      </c>
      <c r="AJ64" s="188" t="n"/>
      <c r="AK64" s="62" t="str">
        <f>VLOOKUP(D64,'2.Bookinglist'!A:CT,40,FALSE)</f>
        <v>Kim jaewon</v>
      </c>
      <c r="AL64" s="60" t="str">
        <f>VLOOKUP(D64,'2.Bookinglist'!A:CW,101,FALSE)</f>
        <v>2026-10-21</v>
      </c>
      <c r="AM64" s="60" t="str">
        <f>VLOOKUP(D64,'2.Bookinglist'!A:BK,63,FALSE)</f>
        <v>LCHY5</v>
      </c>
      <c r="AN64" s="62" t="str">
        <f>VLOOKUP(D64,'2.Bookinglist'!A:AZ,52,FALSE)</f>
        <v>Pickup : 2026-10-15, Return : 2026-10-16
**CHECK OPENGATE BEFORE RETURN CNTR**
</v>
      </c>
      <c r="AO64" s="62">
        <f>VLOOKUP(D64,'2.Bookinglist'!A:CY,103,FALSE)</f>
        <v>0</v>
      </c>
    </row>
    <row r="65" ht="12.95" customHeight="1">
      <c r="A65" s="96" t="inlineStr">
        <is>
          <t>SKLU2080434</t>
        </is>
      </c>
      <c r="B65" s="184" t="str">
        <f>IF(C65=Charge!$M$1,Charge!$J$1,IF(C65=Charge!$M$23,Charge!$J$23,IF(C65=Charge!$M$17,Charge!$J$17,IF(C65=Charge!$N$17,Charge!$J$17,Charge!$J$7))))</f>
        <v>G2</v>
      </c>
      <c r="C65" s="61" t="str">
        <f>VLOOKUP(A65,'1.Loading'!A:R,14,FALSE)</f>
        <v>LCH01</v>
      </c>
      <c r="D65" s="61" t="str">
        <f>VLOOKUP(A65,'1.Loading'!A:R,17,FALSE)</f>
        <v>HASLS22260902763</v>
      </c>
      <c r="E65" s="62" t="str">
        <f>VLOOKUP(D65,'2.Bookinglist'!A:CT,27,FALSE)</f>
        <v>HAST LOGISTICS CO., LTD.</v>
      </c>
      <c r="F65" s="62" t="str">
        <f>VLOOKUP(D65,'2.Bookinglist'!A:CT,28,FALSE)</f>
        <v>THE THAI SUGAR TRADING CORPORATION LTD.</v>
      </c>
      <c r="G65" s="60">
        <f>VLOOKUP(D65,'2.Bookinglist'!A:E,5,FALSE)</f>
        <v>0</v>
      </c>
      <c r="H65" s="61" t="str">
        <f>VLOOKUP(D65,'2.Bookinglist'!A:CT,15,FALSE)</f>
        <v>THLCH</v>
      </c>
      <c r="I65" s="61" t="str">
        <f>VLOOKUP(D65,'2.Bookinglist'!A:CT,19,FALSE)</f>
        <v>HKHKG</v>
      </c>
      <c r="J65" s="61">
        <f>VLOOKUP(D65,'2.Bookinglist'!A:CT,26,FALSE)</f>
        <v>0</v>
      </c>
      <c r="K65" s="61" t="str">
        <f>VLOOKUP(A65,'1.Loading'!A:R,5,FALSE)</f>
        <v>22GP</v>
      </c>
      <c r="L65" s="60" t="str">
        <f>VLOOKUP(D65,'2.Bookinglist'!A:CT,85,FALSE)</f>
        <v>CY/CY</v>
      </c>
      <c r="M65" s="60" t="str">
        <f>IF(VLOOKUP(D65,'2.Bookinglist'!A:CT,43,FALSE)=0,"","DG")</f>
        <v/>
      </c>
      <c r="N65" s="60" t="str">
        <f>IF(RIGHT(K65,2)="RE","RF","")</f>
        <v/>
      </c>
      <c r="O65" s="61" t="str">
        <f>VLOOKUP(A65,'1.Loading'!A:R,3,FALSE)</f>
        <v>KMGY</v>
      </c>
      <c r="P65" s="61" t="str">
        <f>VLOOKUP(A65,'1.Loading'!A:R,4,FALSE)</f>
        <v>2611N</v>
      </c>
      <c r="Q65" s="61" t="str">
        <f>VLOOKUP(D65,'2.Bookinglist'!A:CT,12,FALSE)</f>
        <v>CHT</v>
      </c>
      <c r="R65" s="60" t="str">
        <f>IF(LEFT(K65,2)="22","20'","40'")</f>
        <v>20'</v>
      </c>
      <c r="S65" s="185" t="n"/>
      <c r="T65" s="61" t="str">
        <f>VLOOKUP(A65,'1.Loading'!A:R,2,FALSE)</f>
        <v>2026-10-25</v>
      </c>
      <c r="U65" s="63">
        <f>T65-S65</f>
        <v>46320</v>
      </c>
      <c r="V65" s="186" t="n"/>
      <c r="W65" s="61" t="str">
        <f>VLOOKUP(A65,'3.GateMove'!A:D,4,FALSE)</f>
        <v>2026-10-20</v>
      </c>
      <c r="X65" s="63">
        <f>((T65-W65)+1)</f>
        <v>6</v>
      </c>
      <c r="Y65" s="64">
        <f>IF(AND(OR(C65="BKK01",C65="BKK04"),L65="CFS/CY"),0,IF(M65="DG",1,IF(LEFT(C65,3)="LCH",7,IF(C65="BKK02",5,3))))</f>
        <v>7</v>
      </c>
      <c r="Z65" s="63">
        <f>IF(IF(AND(AC65="TML",AB65&gt;0),((T65-W65)+1)-AB65,((T65-W65)+1)-Y65)&gt;0,IF(AND(AC65="TML",AB65&gt;0),((T65-W65)+1)-AB65,((T65-W65)+1)-Y65),0)</f>
        <v>0</v>
      </c>
      <c r="AA65" s="187">
        <f>IF(AND(B65="G1",M65=""),IF(R65="20'",
VLOOKUP(Z65,Charge!$K$2:$M$5,2,TRUE)+(Z65-VLOOKUP(Z65,Charge!$K$2:$M$5,1,TRUE))*VLOOKUP(Z65,Charge!$K$2:$M$5,3,TRUE),
VLOOKUP(Z65,Charge!$N$2:$P$5,2,TRUE)+(Z65-VLOOKUP(Z65,Charge!$N$2:$P$5,1,TRUE))*VLOOKUP(Z65,Charge!$N$2:$P$5,3,TRUE)),
IF(AND(B65="G1",M65="DG"),IF(R65="20'",
VLOOKUP(Z65,Charge!$R$2:$T$5,2,TRUE)+(Z65-VLOOKUP(Z65,Charge!$R$2:$T$5,1,TRUE))*VLOOKUP(Z65,Charge!$R$2:$T$5,3,TRUE),
VLOOKUP(Z65,Charge!$U$2:$W$5,2,TRUE)+(Z65-VLOOKUP(Z65,Charge!$U$2:$W$5,1,TRUE))*VLOOKUP(Z65,Charge!$U$2:$W$5,3,TRUE)),
IF(AND(B65="G3",M65=""),IF(R65="20'",
VLOOKUP(Z65,Charge!$K$18:$M$21,2,TRUE)+(Z65-VLOOKUP(Z65,Charge!$K$18:$M$21,1,TRUE))*VLOOKUP(Z65,Charge!$K$18:$M$21,3,TRUE),
VLOOKUP(Z65,Charge!$N$18:$P$21,2,TRUE)+(Z65-VLOOKUP(Z65,Charge!$N$18:$P$21,1,TRUE))*VLOOKUP(Z65,Charge!$N$18:$P$21,3,TRUE)),
IF(AND(B65="G3",M65="DG"),IF(R65="20'",
VLOOKUP(Z65,Charge!$R$18:$T$21,2,TRUE)+(Z65-VLOOKUP(Z65,Charge!$R$18:$T$21,1,TRUE))*VLOOKUP(Z65,Charge!$R$18:$T$21,3,TRUE),
VLOOKUP(Z65,Charge!$U$18:$W$21,2,TRUE)+(Z65-VLOOKUP(Z65,Charge!$U$18:$W$21,1,TRUE))*VLOOKUP(Z65,Charge!$U$18:$W$21,3,TRUE)),
IF(AND(B65="G2",M65=""),IF(R65="20'",
VLOOKUP(Z65,Charge!$K$9:$M$12,2,TRUE)+(Z65-VLOOKUP(Z65,Charge!$K$9:$M$12,1,TRUE))*VLOOKUP(Z65,Charge!$K$9:$M$12,3,TRUE),
VLOOKUP(Z65,Charge!$N$9:$P$12,2,TRUE)+(Z65-VLOOKUP(Z65,Charge!$N$9:$P$12,1,TRUE))*VLOOKUP(Z65,Charge!$N$9:$P$12,3,TRUE)),
IF(AND(B65="G2",M65="DG"),IF(R65="20'",
VLOOKUP(Z65,Charge!$R$9:$T$12,2,TRUE)+(Z65-VLOOKUP(Z65,Charge!$R$9:$T$12,1,TRUE))*VLOOKUP(Z65,Charge!$R$9:$T$12,3,TRUE),
VLOOKUP(Z65,Charge!$U$9:$W$12,2,TRUE)+(Z65-VLOOKUP(Z65,Charge!$U$9:$W$12,1,TRUE))*VLOOKUP(Z65,Charge!$U$9:$W$12,3,TRUE)),IF(AND(B65="G4",M65=""),IF(R65="20'",Z65*Charge!$M$25,Z65*Charge!$P$25),IF(AND(B65="G4",M65="DG"),IF(R65="20'",Z65*Charge!$T$25,Z65*Charge!$W$25),0))))))))</f>
        <v>0</v>
      </c>
      <c r="AB65" s="184" t="n"/>
      <c r="AC65" s="184" t="n"/>
      <c r="AD65" s="60">
        <f>IF(M65="DG",3,IF(N65="RF",3,5))+IF(AND(LEFT(C65,3)="BKK",N65="RF",Q65="KTS"),1,0)+IF(Q65="KHS",1,0)</f>
        <v>5</v>
      </c>
      <c r="AE65" s="63">
        <f>(T65-V65)+1</f>
        <v>46321</v>
      </c>
      <c r="AF65" s="63">
        <f>IF(AB65&gt;IF((V65-W65)&gt;0,V65-W65,0),0,IF(AB65&lt;IF((V65-W65)&gt;0,V65-W65,0),IF((V65-W65)&gt;0,V65-W65,0)-AB65,IF((V65-W65)&gt;0,V65-W65,0)))</f>
        <v>0</v>
      </c>
      <c r="AG65" s="187">
        <f>IF(AND(M65=""),IF(R65="20'",
VLOOKUP(AF65,Charge!$K$31:$M$34,2,TRUE)+(AF65-VLOOKUP(AF65,Charge!$K$31:$M$34,1,TRUE))*VLOOKUP(AF65,Charge!$K$31:$M$34,3,TRUE),
VLOOKUP(AF65,Charge!$N$31:$P$34,2,TRUE)+(AF65-VLOOKUP(AF65,Charge!$N$31:$P$34,1,TRUE))*VLOOKUP(AF65,Charge!$N$31:$P$34,3,TRUE)),
IF(AND(M65="DG"),IF(R65="20'",
VLOOKUP(AF65,Charge!$R$31:$T$34,2,TRUE)+(AF65-VLOOKUP(AF65,Charge!$R$31:$T$34,1,TRUE))*VLOOKUP(AF65,Charge!$R$31:$T$34,3,TRUE),
VLOOKUP(AF65,Charge!$U$31:$W$34,2,TRUE)+(AF65-VLOOKUP(AF65,Charge!$U$31:$W$34,1,TRUE))*VLOOKUP(AF65,Charge!$U$31:$W$34,3,TRUE)),0))</f>
        <v>0</v>
      </c>
      <c r="AH65" s="65" t="n"/>
      <c r="AI65" s="65">
        <f>AA65-AH65</f>
        <v>0</v>
      </c>
      <c r="AJ65" s="188" t="n"/>
      <c r="AK65" s="62" t="str">
        <f>VLOOKUP(D65,'2.Bookinglist'!A:CT,40,FALSE)</f>
        <v>Kanokporn</v>
      </c>
      <c r="AL65" s="60" t="str">
        <f>VLOOKUP(D65,'2.Bookinglist'!A:CW,101,FALSE)</f>
        <v>2026-10-24</v>
      </c>
      <c r="AM65" s="60" t="str">
        <f>VLOOKUP(D65,'2.Bookinglist'!A:BK,63,FALSE)</f>
        <v>LCHY5</v>
      </c>
      <c r="AN65" s="62" t="str">
        <f>VLOOKUP(D65,'2.Bookinglist'!A:AZ,52,FALSE)</f>
        <v>Pickup : 2026-10-19, Return : 2026-10-20</v>
      </c>
      <c r="AO65" s="62">
        <f>VLOOKUP(D65,'2.Bookinglist'!A:CY,103,FALSE)</f>
        <v>0</v>
      </c>
    </row>
    <row r="66" ht="12.95" customHeight="1">
      <c r="A66" s="96" t="inlineStr">
        <is>
          <t>SKLU2309182</t>
        </is>
      </c>
      <c r="B66" s="184" t="str">
        <f>IF(C66=Charge!$M$1,Charge!$J$1,IF(C66=Charge!$M$23,Charge!$J$23,IF(C66=Charge!$M$17,Charge!$J$17,IF(C66=Charge!$N$17,Charge!$J$17,Charge!$J$7))))</f>
        <v>G2</v>
      </c>
      <c r="C66" s="61" t="str">
        <f>VLOOKUP(A66,'1.Loading'!A:R,14,FALSE)</f>
        <v>LCH01</v>
      </c>
      <c r="D66" s="61" t="str">
        <f>VLOOKUP(A66,'1.Loading'!A:R,17,FALSE)</f>
        <v>HASLS22261000795</v>
      </c>
      <c r="E66" s="62" t="str">
        <f>VLOOKUP(D66,'2.Bookinglist'!A:CT,27,FALSE)</f>
        <v>IRPC PUBLIC COMPANY LIMITED</v>
      </c>
      <c r="F66" s="62" t="str">
        <f>VLOOKUP(D66,'2.Bookinglist'!A:CT,28,FALSE)</f>
        <v>IRPC PUBLIC COMPANY LIMITED</v>
      </c>
      <c r="G66" s="60">
        <f>VLOOKUP(D66,'2.Bookinglist'!A:E,5,FALSE)</f>
        <v>0</v>
      </c>
      <c r="H66" s="61" t="str">
        <f>VLOOKUP(D66,'2.Bookinglist'!A:CT,15,FALSE)</f>
        <v>THLCH</v>
      </c>
      <c r="I66" s="61" t="str">
        <f>VLOOKUP(D66,'2.Bookinglist'!A:CT,19,FALSE)</f>
        <v>HKHKG</v>
      </c>
      <c r="J66" s="61">
        <f>VLOOKUP(D66,'2.Bookinglist'!A:CT,26,FALSE)</f>
        <v>0</v>
      </c>
      <c r="K66" s="61" t="str">
        <f>VLOOKUP(A66,'1.Loading'!A:R,5,FALSE)</f>
        <v>22GP</v>
      </c>
      <c r="L66" s="60" t="str">
        <f>VLOOKUP(D66,'2.Bookinglist'!A:CT,85,FALSE)</f>
        <v>CY/CY</v>
      </c>
      <c r="M66" s="60" t="str">
        <f>IF(VLOOKUP(D66,'2.Bookinglist'!A:CT,43,FALSE)=0,"","DG")</f>
        <v/>
      </c>
      <c r="N66" s="60" t="str">
        <f>IF(RIGHT(K66,2)="RE","RF","")</f>
        <v/>
      </c>
      <c r="O66" s="61" t="str">
        <f>VLOOKUP(A66,'1.Loading'!A:R,3,FALSE)</f>
        <v>KMGY</v>
      </c>
      <c r="P66" s="61" t="str">
        <f>VLOOKUP(A66,'1.Loading'!A:R,4,FALSE)</f>
        <v>2611N</v>
      </c>
      <c r="Q66" s="61" t="str">
        <f>VLOOKUP(D66,'2.Bookinglist'!A:CT,12,FALSE)</f>
        <v>CHT</v>
      </c>
      <c r="R66" s="60" t="str">
        <f>IF(LEFT(K66,2)="22","20'","40'")</f>
        <v>20'</v>
      </c>
      <c r="S66" s="185" t="n"/>
      <c r="T66" s="61" t="str">
        <f>VLOOKUP(A66,'1.Loading'!A:R,2,FALSE)</f>
        <v>2026-10-25</v>
      </c>
      <c r="U66" s="63">
        <f>T66-S66</f>
        <v>46320</v>
      </c>
      <c r="V66" s="186" t="n"/>
      <c r="W66" s="61" t="str">
        <f>VLOOKUP(A66,'3.GateMove'!A:D,4,FALSE)</f>
        <v>2026-10-19</v>
      </c>
      <c r="X66" s="63">
        <f>((T66-W66)+1)</f>
        <v>7</v>
      </c>
      <c r="Y66" s="64">
        <f>IF(AND(OR(C66="BKK01",C66="BKK04"),L66="CFS/CY"),0,IF(M66="DG",1,IF(LEFT(C66,3)="LCH",7,IF(C66="BKK02",5,3))))</f>
        <v>7</v>
      </c>
      <c r="Z66" s="63">
        <f>IF(IF(AND(AC66="TML",AB66&gt;0),((T66-W66)+1)-AB66,((T66-W66)+1)-Y66)&gt;0,IF(AND(AC66="TML",AB66&gt;0),((T66-W66)+1)-AB66,((T66-W66)+1)-Y66),0)</f>
        <v>0</v>
      </c>
      <c r="AA66" s="187">
        <f>IF(AND(B66="G1",M66=""),IF(R66="20'",
VLOOKUP(Z66,Charge!$K$2:$M$5,2,TRUE)+(Z66-VLOOKUP(Z66,Charge!$K$2:$M$5,1,TRUE))*VLOOKUP(Z66,Charge!$K$2:$M$5,3,TRUE),
VLOOKUP(Z66,Charge!$N$2:$P$5,2,TRUE)+(Z66-VLOOKUP(Z66,Charge!$N$2:$P$5,1,TRUE))*VLOOKUP(Z66,Charge!$N$2:$P$5,3,TRUE)),
IF(AND(B66="G1",M66="DG"),IF(R66="20'",
VLOOKUP(Z66,Charge!$R$2:$T$5,2,TRUE)+(Z66-VLOOKUP(Z66,Charge!$R$2:$T$5,1,TRUE))*VLOOKUP(Z66,Charge!$R$2:$T$5,3,TRUE),
VLOOKUP(Z66,Charge!$U$2:$W$5,2,TRUE)+(Z66-VLOOKUP(Z66,Charge!$U$2:$W$5,1,TRUE))*VLOOKUP(Z66,Charge!$U$2:$W$5,3,TRUE)),
IF(AND(B66="G3",M66=""),IF(R66="20'",
VLOOKUP(Z66,Charge!$K$18:$M$21,2,TRUE)+(Z66-VLOOKUP(Z66,Charge!$K$18:$M$21,1,TRUE))*VLOOKUP(Z66,Charge!$K$18:$M$21,3,TRUE),
VLOOKUP(Z66,Charge!$N$18:$P$21,2,TRUE)+(Z66-VLOOKUP(Z66,Charge!$N$18:$P$21,1,TRUE))*VLOOKUP(Z66,Charge!$N$18:$P$21,3,TRUE)),
IF(AND(B66="G3",M66="DG"),IF(R66="20'",
VLOOKUP(Z66,Charge!$R$18:$T$21,2,TRUE)+(Z66-VLOOKUP(Z66,Charge!$R$18:$T$21,1,TRUE))*VLOOKUP(Z66,Charge!$R$18:$T$21,3,TRUE),
VLOOKUP(Z66,Charge!$U$18:$W$21,2,TRUE)+(Z66-VLOOKUP(Z66,Charge!$U$18:$W$21,1,TRUE))*VLOOKUP(Z66,Charge!$U$18:$W$21,3,TRUE)),
IF(AND(B66="G2",M66=""),IF(R66="20'",
VLOOKUP(Z66,Charge!$K$9:$M$12,2,TRUE)+(Z66-VLOOKUP(Z66,Charge!$K$9:$M$12,1,TRUE))*VLOOKUP(Z66,Charge!$K$9:$M$12,3,TRUE),
VLOOKUP(Z66,Charge!$N$9:$P$12,2,TRUE)+(Z66-VLOOKUP(Z66,Charge!$N$9:$P$12,1,TRUE))*VLOOKUP(Z66,Charge!$N$9:$P$12,3,TRUE)),
IF(AND(B66="G2",M66="DG"),IF(R66="20'",
VLOOKUP(Z66,Charge!$R$9:$T$12,2,TRUE)+(Z66-VLOOKUP(Z66,Charge!$R$9:$T$12,1,TRUE))*VLOOKUP(Z66,Charge!$R$9:$T$12,3,TRUE),
VLOOKUP(Z66,Charge!$U$9:$W$12,2,TRUE)+(Z66-VLOOKUP(Z66,Charge!$U$9:$W$12,1,TRUE))*VLOOKUP(Z66,Charge!$U$9:$W$12,3,TRUE)),IF(AND(B66="G4",M66=""),IF(R66="20'",Z66*Charge!$M$25,Z66*Charge!$P$25),IF(AND(B66="G4",M66="DG"),IF(R66="20'",Z66*Charge!$T$25,Z66*Charge!$W$25),0))))))))</f>
        <v>0</v>
      </c>
      <c r="AB66" s="184" t="n"/>
      <c r="AC66" s="184" t="n"/>
      <c r="AD66" s="60">
        <f>IF(M66="DG",3,IF(N66="RF",3,5))+IF(AND(LEFT(C66,3)="BKK",N66="RF",Q66="KTS"),1,0)+IF(Q66="KHS",1,0)</f>
        <v>5</v>
      </c>
      <c r="AE66" s="63">
        <f>(T66-V66)+1</f>
        <v>46321</v>
      </c>
      <c r="AF66" s="63">
        <f>IF(AB66&gt;IF((V66-W66)&gt;0,V66-W66,0),0,IF(AB66&lt;IF((V66-W66)&gt;0,V66-W66,0),IF((V66-W66)&gt;0,V66-W66,0)-AB66,IF((V66-W66)&gt;0,V66-W66,0)))</f>
        <v>0</v>
      </c>
      <c r="AG66" s="187">
        <f>IF(AND(M66=""),IF(R66="20'",
VLOOKUP(AF66,Charge!$K$31:$M$34,2,TRUE)+(AF66-VLOOKUP(AF66,Charge!$K$31:$M$34,1,TRUE))*VLOOKUP(AF66,Charge!$K$31:$M$34,3,TRUE),
VLOOKUP(AF66,Charge!$N$31:$P$34,2,TRUE)+(AF66-VLOOKUP(AF66,Charge!$N$31:$P$34,1,TRUE))*VLOOKUP(AF66,Charge!$N$31:$P$34,3,TRUE)),
IF(AND(M66="DG"),IF(R66="20'",
VLOOKUP(AF66,Charge!$R$31:$T$34,2,TRUE)+(AF66-VLOOKUP(AF66,Charge!$R$31:$T$34,1,TRUE))*VLOOKUP(AF66,Charge!$R$31:$T$34,3,TRUE),
VLOOKUP(AF66,Charge!$U$31:$W$34,2,TRUE)+(AF66-VLOOKUP(AF66,Charge!$U$31:$W$34,1,TRUE))*VLOOKUP(AF66,Charge!$U$31:$W$34,3,TRUE)),0))</f>
        <v>0</v>
      </c>
      <c r="AH66" s="65" t="n"/>
      <c r="AI66" s="65">
        <f>AA66-AH66</f>
        <v>0</v>
      </c>
      <c r="AJ66" s="188" t="n"/>
      <c r="AK66" s="62" t="str">
        <f>VLOOKUP(D66,'2.Bookinglist'!A:CT,40,FALSE)</f>
        <v>Dharaporn</v>
      </c>
      <c r="AL66" s="60" t="str">
        <f>VLOOKUP(D66,'2.Bookinglist'!A:CW,101,FALSE)</f>
        <v>2026-10-21</v>
      </c>
      <c r="AM66" s="60" t="str">
        <f>VLOOKUP(D66,'2.Bookinglist'!A:BK,63,FALSE)</f>
        <v>LCHY5</v>
      </c>
      <c r="AN66" s="62" t="str">
        <f>VLOOKUP(D66,'2.Bookinglist'!A:AZ,52,FALSE)</f>
        <v>CY-RTN 14-15/10/26 (PI26100048-5 )
PLS CHECK OPEN GATE BEFORE RETURN CTNR
</v>
      </c>
      <c r="AO66" s="62">
        <f>VLOOKUP(D66,'2.Bookinglist'!A:CY,103,FALSE)</f>
        <v>0</v>
      </c>
    </row>
    <row r="67" ht="12.95" customHeight="1">
      <c r="A67" s="96" t="inlineStr">
        <is>
          <t>SKLU2320221</t>
        </is>
      </c>
      <c r="B67" s="184" t="str">
        <f>IF(C67=Charge!$M$1,Charge!$J$1,IF(C67=Charge!$M$23,Charge!$J$23,IF(C67=Charge!$M$17,Charge!$J$17,IF(C67=Charge!$N$17,Charge!$J$17,Charge!$J$7))))</f>
        <v>G2</v>
      </c>
      <c r="C67" s="61" t="str">
        <f>VLOOKUP(A67,'1.Loading'!A:R,14,FALSE)</f>
        <v>LCH01</v>
      </c>
      <c r="D67" s="61" t="str">
        <f>VLOOKUP(A67,'1.Loading'!A:R,17,FALSE)</f>
        <v>HASLS22260902763</v>
      </c>
      <c r="E67" s="62" t="str">
        <f>VLOOKUP(D67,'2.Bookinglist'!A:CT,27,FALSE)</f>
        <v>HAST LOGISTICS CO., LTD.</v>
      </c>
      <c r="F67" s="62" t="str">
        <f>VLOOKUP(D67,'2.Bookinglist'!A:CT,28,FALSE)</f>
        <v>THE THAI SUGAR TRADING CORPORATION LTD.</v>
      </c>
      <c r="G67" s="60">
        <f>VLOOKUP(D67,'2.Bookinglist'!A:E,5,FALSE)</f>
        <v>0</v>
      </c>
      <c r="H67" s="61" t="str">
        <f>VLOOKUP(D67,'2.Bookinglist'!A:CT,15,FALSE)</f>
        <v>THLCH</v>
      </c>
      <c r="I67" s="61" t="str">
        <f>VLOOKUP(D67,'2.Bookinglist'!A:CT,19,FALSE)</f>
        <v>HKHKG</v>
      </c>
      <c r="J67" s="61">
        <f>VLOOKUP(D67,'2.Bookinglist'!A:CT,26,FALSE)</f>
        <v>0</v>
      </c>
      <c r="K67" s="61" t="str">
        <f>VLOOKUP(A67,'1.Loading'!A:R,5,FALSE)</f>
        <v>22GP</v>
      </c>
      <c r="L67" s="60" t="str">
        <f>VLOOKUP(D67,'2.Bookinglist'!A:CT,85,FALSE)</f>
        <v>CY/CY</v>
      </c>
      <c r="M67" s="60" t="str">
        <f>IF(VLOOKUP(D67,'2.Bookinglist'!A:CT,43,FALSE)=0,"","DG")</f>
        <v/>
      </c>
      <c r="N67" s="60" t="str">
        <f>IF(RIGHT(K67,2)="RE","RF","")</f>
        <v/>
      </c>
      <c r="O67" s="61" t="str">
        <f>VLOOKUP(A67,'1.Loading'!A:R,3,FALSE)</f>
        <v>KMGY</v>
      </c>
      <c r="P67" s="61" t="str">
        <f>VLOOKUP(A67,'1.Loading'!A:R,4,FALSE)</f>
        <v>2611N</v>
      </c>
      <c r="Q67" s="61" t="str">
        <f>VLOOKUP(D67,'2.Bookinglist'!A:CT,12,FALSE)</f>
        <v>CHT</v>
      </c>
      <c r="R67" s="60" t="str">
        <f>IF(LEFT(K67,2)="22","20'","40'")</f>
        <v>20'</v>
      </c>
      <c r="S67" s="185" t="n"/>
      <c r="T67" s="61" t="str">
        <f>VLOOKUP(A67,'1.Loading'!A:R,2,FALSE)</f>
        <v>2026-10-25</v>
      </c>
      <c r="U67" s="63">
        <f>T67-S67</f>
        <v>46320</v>
      </c>
      <c r="V67" s="186" t="n"/>
      <c r="W67" s="61" t="str">
        <f>VLOOKUP(A67,'3.GateMove'!A:D,4,FALSE)</f>
        <v>2026-10-21</v>
      </c>
      <c r="X67" s="63">
        <f>((T67-W67)+1)</f>
        <v>5</v>
      </c>
      <c r="Y67" s="64">
        <f>IF(AND(OR(C67="BKK01",C67="BKK04"),L67="CFS/CY"),0,IF(M67="DG",1,IF(LEFT(C67,3)="LCH",7,IF(C67="BKK02",5,3))))</f>
        <v>7</v>
      </c>
      <c r="Z67" s="63">
        <f>IF(IF(AND(AC67="TML",AB67&gt;0),((T67-W67)+1)-AB67,((T67-W67)+1)-Y67)&gt;0,IF(AND(AC67="TML",AB67&gt;0),((T67-W67)+1)-AB67,((T67-W67)+1)-Y67),0)</f>
        <v>0</v>
      </c>
      <c r="AA67" s="187">
        <f>IF(AND(B67="G1",M67=""),IF(R67="20'",
VLOOKUP(Z67,Charge!$K$2:$M$5,2,TRUE)+(Z67-VLOOKUP(Z67,Charge!$K$2:$M$5,1,TRUE))*VLOOKUP(Z67,Charge!$K$2:$M$5,3,TRUE),
VLOOKUP(Z67,Charge!$N$2:$P$5,2,TRUE)+(Z67-VLOOKUP(Z67,Charge!$N$2:$P$5,1,TRUE))*VLOOKUP(Z67,Charge!$N$2:$P$5,3,TRUE)),
IF(AND(B67="G1",M67="DG"),IF(R67="20'",
VLOOKUP(Z67,Charge!$R$2:$T$5,2,TRUE)+(Z67-VLOOKUP(Z67,Charge!$R$2:$T$5,1,TRUE))*VLOOKUP(Z67,Charge!$R$2:$T$5,3,TRUE),
VLOOKUP(Z67,Charge!$U$2:$W$5,2,TRUE)+(Z67-VLOOKUP(Z67,Charge!$U$2:$W$5,1,TRUE))*VLOOKUP(Z67,Charge!$U$2:$W$5,3,TRUE)),
IF(AND(B67="G3",M67=""),IF(R67="20'",
VLOOKUP(Z67,Charge!$K$18:$M$21,2,TRUE)+(Z67-VLOOKUP(Z67,Charge!$K$18:$M$21,1,TRUE))*VLOOKUP(Z67,Charge!$K$18:$M$21,3,TRUE),
VLOOKUP(Z67,Charge!$N$18:$P$21,2,TRUE)+(Z67-VLOOKUP(Z67,Charge!$N$18:$P$21,1,TRUE))*VLOOKUP(Z67,Charge!$N$18:$P$21,3,TRUE)),
IF(AND(B67="G3",M67="DG"),IF(R67="20'",
VLOOKUP(Z67,Charge!$R$18:$T$21,2,TRUE)+(Z67-VLOOKUP(Z67,Charge!$R$18:$T$21,1,TRUE))*VLOOKUP(Z67,Charge!$R$18:$T$21,3,TRUE),
VLOOKUP(Z67,Charge!$U$18:$W$21,2,TRUE)+(Z67-VLOOKUP(Z67,Charge!$U$18:$W$21,1,TRUE))*VLOOKUP(Z67,Charge!$U$18:$W$21,3,TRUE)),
IF(AND(B67="G2",M67=""),IF(R67="20'",
VLOOKUP(Z67,Charge!$K$9:$M$12,2,TRUE)+(Z67-VLOOKUP(Z67,Charge!$K$9:$M$12,1,TRUE))*VLOOKUP(Z67,Charge!$K$9:$M$12,3,TRUE),
VLOOKUP(Z67,Charge!$N$9:$P$12,2,TRUE)+(Z67-VLOOKUP(Z67,Charge!$N$9:$P$12,1,TRUE))*VLOOKUP(Z67,Charge!$N$9:$P$12,3,TRUE)),
IF(AND(B67="G2",M67="DG"),IF(R67="20'",
VLOOKUP(Z67,Charge!$R$9:$T$12,2,TRUE)+(Z67-VLOOKUP(Z67,Charge!$R$9:$T$12,1,TRUE))*VLOOKUP(Z67,Charge!$R$9:$T$12,3,TRUE),
VLOOKUP(Z67,Charge!$U$9:$W$12,2,TRUE)+(Z67-VLOOKUP(Z67,Charge!$U$9:$W$12,1,TRUE))*VLOOKUP(Z67,Charge!$U$9:$W$12,3,TRUE)),IF(AND(B67="G4",M67=""),IF(R67="20'",Z67*Charge!$M$25,Z67*Charge!$P$25),IF(AND(B67="G4",M67="DG"),IF(R67="20'",Z67*Charge!$T$25,Z67*Charge!$W$25),0))))))))</f>
        <v>0</v>
      </c>
      <c r="AB67" s="184" t="n"/>
      <c r="AC67" s="184" t="n"/>
      <c r="AD67" s="60">
        <f>IF(M67="DG",3,IF(N67="RF",3,5))+IF(AND(LEFT(C67,3)="BKK",N67="RF",Q67="KTS"),1,0)+IF(Q67="KHS",1,0)</f>
        <v>5</v>
      </c>
      <c r="AE67" s="63">
        <f>(T67-V67)+1</f>
        <v>46321</v>
      </c>
      <c r="AF67" s="63">
        <f>IF(AB67&gt;IF((V67-W67)&gt;0,V67-W67,0),0,IF(AB67&lt;IF((V67-W67)&gt;0,V67-W67,0),IF((V67-W67)&gt;0,V67-W67,0)-AB67,IF((V67-W67)&gt;0,V67-W67,0)))</f>
        <v>0</v>
      </c>
      <c r="AG67" s="187">
        <f>IF(AND(M67=""),IF(R67="20'",
VLOOKUP(AF67,Charge!$K$31:$M$34,2,TRUE)+(AF67-VLOOKUP(AF67,Charge!$K$31:$M$34,1,TRUE))*VLOOKUP(AF67,Charge!$K$31:$M$34,3,TRUE),
VLOOKUP(AF67,Charge!$N$31:$P$34,2,TRUE)+(AF67-VLOOKUP(AF67,Charge!$N$31:$P$34,1,TRUE))*VLOOKUP(AF67,Charge!$N$31:$P$34,3,TRUE)),
IF(AND(M67="DG"),IF(R67="20'",
VLOOKUP(AF67,Charge!$R$31:$T$34,2,TRUE)+(AF67-VLOOKUP(AF67,Charge!$R$31:$T$34,1,TRUE))*VLOOKUP(AF67,Charge!$R$31:$T$34,3,TRUE),
VLOOKUP(AF67,Charge!$U$31:$W$34,2,TRUE)+(AF67-VLOOKUP(AF67,Charge!$U$31:$W$34,1,TRUE))*VLOOKUP(AF67,Charge!$U$31:$W$34,3,TRUE)),0))</f>
        <v>0</v>
      </c>
      <c r="AH67" s="65" t="n"/>
      <c r="AI67" s="65">
        <f>AA67-AH67</f>
        <v>0</v>
      </c>
      <c r="AJ67" s="188" t="n"/>
      <c r="AK67" s="62" t="str">
        <f>VLOOKUP(D67,'2.Bookinglist'!A:CT,40,FALSE)</f>
        <v>Kanokporn</v>
      </c>
      <c r="AL67" s="60" t="str">
        <f>VLOOKUP(D67,'2.Bookinglist'!A:CW,101,FALSE)</f>
        <v>2026-10-24</v>
      </c>
      <c r="AM67" s="60" t="str">
        <f>VLOOKUP(D67,'2.Bookinglist'!A:BK,63,FALSE)</f>
        <v>LCHY5</v>
      </c>
      <c r="AN67" s="62" t="str">
        <f>VLOOKUP(D67,'2.Bookinglist'!A:AZ,52,FALSE)</f>
        <v>Pickup : 2026-10-19, Return : 2026-10-20</v>
      </c>
      <c r="AO67" s="62">
        <f>VLOOKUP(D67,'2.Bookinglist'!A:CY,103,FALSE)</f>
        <v>0</v>
      </c>
    </row>
    <row r="68" ht="12.95" customHeight="1">
      <c r="A68" s="96" t="inlineStr">
        <is>
          <t>SKLU2320788</t>
        </is>
      </c>
      <c r="B68" s="184" t="str">
        <f>IF(C68=Charge!$M$1,Charge!$J$1,IF(C68=Charge!$M$23,Charge!$J$23,IF(C68=Charge!$M$17,Charge!$J$17,IF(C68=Charge!$N$17,Charge!$J$17,Charge!$J$7))))</f>
        <v>G2</v>
      </c>
      <c r="C68" s="61" t="str">
        <f>VLOOKUP(A68,'1.Loading'!A:R,14,FALSE)</f>
        <v>LCH01</v>
      </c>
      <c r="D68" s="61" t="str">
        <f>VLOOKUP(A68,'1.Loading'!A:R,17,FALSE)</f>
        <v>HASLS22260900819</v>
      </c>
      <c r="E68" s="62" t="str">
        <f>VLOOKUP(D68,'2.Bookinglist'!A:CT,27,FALSE)</f>
        <v>JAST GLOBAL CO.,LTD.</v>
      </c>
      <c r="F68" s="62" t="str">
        <f>VLOOKUP(D68,'2.Bookinglist'!A:CT,28,FALSE)</f>
        <v>THE THAI SUGAR TRADING CORPORATION LTD.</v>
      </c>
      <c r="G68" s="60">
        <f>VLOOKUP(D68,'2.Bookinglist'!A:E,5,FALSE)</f>
        <v>0</v>
      </c>
      <c r="H68" s="61" t="str">
        <f>VLOOKUP(D68,'2.Bookinglist'!A:CT,15,FALSE)</f>
        <v>THLCH</v>
      </c>
      <c r="I68" s="61" t="str">
        <f>VLOOKUP(D68,'2.Bookinglist'!A:CT,19,FALSE)</f>
        <v>KRINC</v>
      </c>
      <c r="J68" s="61">
        <f>VLOOKUP(D68,'2.Bookinglist'!A:CT,26,FALSE)</f>
        <v>0</v>
      </c>
      <c r="K68" s="61" t="str">
        <f>VLOOKUP(A68,'1.Loading'!A:R,5,FALSE)</f>
        <v>22GP</v>
      </c>
      <c r="L68" s="60" t="str">
        <f>VLOOKUP(D68,'2.Bookinglist'!A:CT,85,FALSE)</f>
        <v>CY/CY</v>
      </c>
      <c r="M68" s="60" t="str">
        <f>IF(VLOOKUP(D68,'2.Bookinglist'!A:CT,43,FALSE)=0,"","DG")</f>
        <v/>
      </c>
      <c r="N68" s="60" t="str">
        <f>IF(RIGHT(K68,2)="RE","RF","")</f>
        <v/>
      </c>
      <c r="O68" s="61" t="str">
        <f>VLOOKUP(A68,'1.Loading'!A:R,3,FALSE)</f>
        <v>KMGY</v>
      </c>
      <c r="P68" s="61" t="str">
        <f>VLOOKUP(A68,'1.Loading'!A:R,4,FALSE)</f>
        <v>2611N</v>
      </c>
      <c r="Q68" s="61" t="str">
        <f>VLOOKUP(D68,'2.Bookinglist'!A:CT,12,FALSE)</f>
        <v>CHT</v>
      </c>
      <c r="R68" s="60" t="str">
        <f>IF(LEFT(K68,2)="22","20'","40'")</f>
        <v>20'</v>
      </c>
      <c r="S68" s="185" t="n"/>
      <c r="T68" s="61" t="str">
        <f>VLOOKUP(A68,'1.Loading'!A:R,2,FALSE)</f>
        <v>2026-10-25</v>
      </c>
      <c r="U68" s="63">
        <f>T68-S68</f>
        <v>46320</v>
      </c>
      <c r="V68" s="186" t="n"/>
      <c r="W68" s="61" t="str">
        <f>VLOOKUP(A68,'3.GateMove'!A:D,4,FALSE)</f>
        <v>2026-10-16</v>
      </c>
      <c r="X68" s="63">
        <f>((T68-W68)+1)</f>
        <v>10</v>
      </c>
      <c r="Y68" s="64">
        <f>IF(AND(OR(C68="BKK01",C68="BKK04"),L68="CFS/CY"),0,IF(M68="DG",1,IF(LEFT(C68,3)="LCH",7,IF(C68="BKK02",5,3))))</f>
        <v>7</v>
      </c>
      <c r="Z68" s="63">
        <f>IF(IF(AND(AC68="TML",AB68&gt;0),((T68-W68)+1)-AB68,((T68-W68)+1)-Y68)&gt;0,IF(AND(AC68="TML",AB68&gt;0),((T68-W68)+1)-AB68,((T68-W68)+1)-Y68),0)</f>
        <v>3</v>
      </c>
      <c r="AA68" s="187">
        <f>IF(AND(B68="G1",M68=""),IF(R68="20'",
VLOOKUP(Z68,Charge!$K$2:$M$5,2,TRUE)+(Z68-VLOOKUP(Z68,Charge!$K$2:$M$5,1,TRUE))*VLOOKUP(Z68,Charge!$K$2:$M$5,3,TRUE),
VLOOKUP(Z68,Charge!$N$2:$P$5,2,TRUE)+(Z68-VLOOKUP(Z68,Charge!$N$2:$P$5,1,TRUE))*VLOOKUP(Z68,Charge!$N$2:$P$5,3,TRUE)),
IF(AND(B68="G1",M68="DG"),IF(R68="20'",
VLOOKUP(Z68,Charge!$R$2:$T$5,2,TRUE)+(Z68-VLOOKUP(Z68,Charge!$R$2:$T$5,1,TRUE))*VLOOKUP(Z68,Charge!$R$2:$T$5,3,TRUE),
VLOOKUP(Z68,Charge!$U$2:$W$5,2,TRUE)+(Z68-VLOOKUP(Z68,Charge!$U$2:$W$5,1,TRUE))*VLOOKUP(Z68,Charge!$U$2:$W$5,3,TRUE)),
IF(AND(B68="G3",M68=""),IF(R68="20'",
VLOOKUP(Z68,Charge!$K$18:$M$21,2,TRUE)+(Z68-VLOOKUP(Z68,Charge!$K$18:$M$21,1,TRUE))*VLOOKUP(Z68,Charge!$K$18:$M$21,3,TRUE),
VLOOKUP(Z68,Charge!$N$18:$P$21,2,TRUE)+(Z68-VLOOKUP(Z68,Charge!$N$18:$P$21,1,TRUE))*VLOOKUP(Z68,Charge!$N$18:$P$21,3,TRUE)),
IF(AND(B68="G3",M68="DG"),IF(R68="20'",
VLOOKUP(Z68,Charge!$R$18:$T$21,2,TRUE)+(Z68-VLOOKUP(Z68,Charge!$R$18:$T$21,1,TRUE))*VLOOKUP(Z68,Charge!$R$18:$T$21,3,TRUE),
VLOOKUP(Z68,Charge!$U$18:$W$21,2,TRUE)+(Z68-VLOOKUP(Z68,Charge!$U$18:$W$21,1,TRUE))*VLOOKUP(Z68,Charge!$U$18:$W$21,3,TRUE)),
IF(AND(B68="G2",M68=""),IF(R68="20'",
VLOOKUP(Z68,Charge!$K$9:$M$12,2,TRUE)+(Z68-VLOOKUP(Z68,Charge!$K$9:$M$12,1,TRUE))*VLOOKUP(Z68,Charge!$K$9:$M$12,3,TRUE),
VLOOKUP(Z68,Charge!$N$9:$P$12,2,TRUE)+(Z68-VLOOKUP(Z68,Charge!$N$9:$P$12,1,TRUE))*VLOOKUP(Z68,Charge!$N$9:$P$12,3,TRUE)),
IF(AND(B68="G2",M68="DG"),IF(R68="20'",
VLOOKUP(Z68,Charge!$R$9:$T$12,2,TRUE)+(Z68-VLOOKUP(Z68,Charge!$R$9:$T$12,1,TRUE))*VLOOKUP(Z68,Charge!$R$9:$T$12,3,TRUE),
VLOOKUP(Z68,Charge!$U$9:$W$12,2,TRUE)+(Z68-VLOOKUP(Z68,Charge!$U$9:$W$12,1,TRUE))*VLOOKUP(Z68,Charge!$U$9:$W$12,3,TRUE)),IF(AND(B68="G4",M68=""),IF(R68="20'",Z68*Charge!$M$25,Z68*Charge!$P$25),IF(AND(B68="G4",M68="DG"),IF(R68="20'",Z68*Charge!$T$25,Z68*Charge!$W$25),0))))))))</f>
        <v>375</v>
      </c>
      <c r="AB68" s="184" t="n"/>
      <c r="AC68" s="184" t="n"/>
      <c r="AD68" s="60">
        <f>IF(M68="DG",3,IF(N68="RF",3,5))+IF(AND(LEFT(C68,3)="BKK",N68="RF",Q68="KTS"),1,0)+IF(Q68="KHS",1,0)</f>
        <v>5</v>
      </c>
      <c r="AE68" s="63">
        <f>(T68-V68)+1</f>
        <v>46321</v>
      </c>
      <c r="AF68" s="63">
        <f>IF(AB68&gt;IF((V68-W68)&gt;0,V68-W68,0),0,IF(AB68&lt;IF((V68-W68)&gt;0,V68-W68,0),IF((V68-W68)&gt;0,V68-W68,0)-AB68,IF((V68-W68)&gt;0,V68-W68,0)))</f>
        <v>0</v>
      </c>
      <c r="AG68" s="187">
        <f>IF(AND(M68=""),IF(R68="20'",
VLOOKUP(AF68,Charge!$K$31:$M$34,2,TRUE)+(AF68-VLOOKUP(AF68,Charge!$K$31:$M$34,1,TRUE))*VLOOKUP(AF68,Charge!$K$31:$M$34,3,TRUE),
VLOOKUP(AF68,Charge!$N$31:$P$34,2,TRUE)+(AF68-VLOOKUP(AF68,Charge!$N$31:$P$34,1,TRUE))*VLOOKUP(AF68,Charge!$N$31:$P$34,3,TRUE)),
IF(AND(M68="DG"),IF(R68="20'",
VLOOKUP(AF68,Charge!$R$31:$T$34,2,TRUE)+(AF68-VLOOKUP(AF68,Charge!$R$31:$T$34,1,TRUE))*VLOOKUP(AF68,Charge!$R$31:$T$34,3,TRUE),
VLOOKUP(AF68,Charge!$U$31:$W$34,2,TRUE)+(AF68-VLOOKUP(AF68,Charge!$U$31:$W$34,1,TRUE))*VLOOKUP(AF68,Charge!$U$31:$W$34,3,TRUE)),0))</f>
        <v>0</v>
      </c>
      <c r="AH68" s="65" t="n"/>
      <c r="AI68" s="65">
        <f>AA68-AH68</f>
        <v>375</v>
      </c>
      <c r="AJ68" s="188" t="n"/>
      <c r="AK68" s="62" t="str">
        <f>VLOOKUP(D68,'2.Bookinglist'!A:CT,40,FALSE)</f>
        <v>Kim jaewon</v>
      </c>
      <c r="AL68" s="60" t="str">
        <f>VLOOKUP(D68,'2.Bookinglist'!A:CW,101,FALSE)</f>
        <v>2026-10-21</v>
      </c>
      <c r="AM68" s="60" t="str">
        <f>VLOOKUP(D68,'2.Bookinglist'!A:BK,63,FALSE)</f>
        <v>LCHY5</v>
      </c>
      <c r="AN68" s="62" t="str">
        <f>VLOOKUP(D68,'2.Bookinglist'!A:AZ,52,FALSE)</f>
        <v>Pickup : 2026-10-15, Return : 2026-10-16
**CHECK OPENGATE BEFORE RETURN CNTR**
</v>
      </c>
      <c r="AO68" s="62">
        <f>VLOOKUP(D68,'2.Bookinglist'!A:CY,103,FALSE)</f>
        <v>0</v>
      </c>
    </row>
    <row r="69" ht="12.95" customHeight="1">
      <c r="A69" s="96" t="inlineStr">
        <is>
          <t>SKLU2480488</t>
        </is>
      </c>
      <c r="B69" s="184" t="str">
        <f>IF(C69=Charge!$M$1,Charge!$J$1,IF(C69=Charge!$M$23,Charge!$J$23,IF(C69=Charge!$M$17,Charge!$J$17,IF(C69=Charge!$N$17,Charge!$J$17,Charge!$J$7))))</f>
        <v>G2</v>
      </c>
      <c r="C69" s="61" t="str">
        <f>VLOOKUP(A69,'1.Loading'!A:R,14,FALSE)</f>
        <v>LCH01</v>
      </c>
      <c r="D69" s="61" t="str">
        <f>VLOOKUP(A69,'1.Loading'!A:R,17,FALSE)</f>
        <v>HASLS22260900819</v>
      </c>
      <c r="E69" s="62" t="str">
        <f>VLOOKUP(D69,'2.Bookinglist'!A:CT,27,FALSE)</f>
        <v>JAST GLOBAL CO.,LTD.</v>
      </c>
      <c r="F69" s="62" t="str">
        <f>VLOOKUP(D69,'2.Bookinglist'!A:CT,28,FALSE)</f>
        <v>THE THAI SUGAR TRADING CORPORATION LTD.</v>
      </c>
      <c r="G69" s="60">
        <f>VLOOKUP(D69,'2.Bookinglist'!A:E,5,FALSE)</f>
        <v>0</v>
      </c>
      <c r="H69" s="61" t="str">
        <f>VLOOKUP(D69,'2.Bookinglist'!A:CT,15,FALSE)</f>
        <v>THLCH</v>
      </c>
      <c r="I69" s="61" t="str">
        <f>VLOOKUP(D69,'2.Bookinglist'!A:CT,19,FALSE)</f>
        <v>KRINC</v>
      </c>
      <c r="J69" s="61">
        <f>VLOOKUP(D69,'2.Bookinglist'!A:CT,26,FALSE)</f>
        <v>0</v>
      </c>
      <c r="K69" s="61" t="str">
        <f>VLOOKUP(A69,'1.Loading'!A:R,5,FALSE)</f>
        <v>22GP</v>
      </c>
      <c r="L69" s="60" t="str">
        <f>VLOOKUP(D69,'2.Bookinglist'!A:CT,85,FALSE)</f>
        <v>CY/CY</v>
      </c>
      <c r="M69" s="60" t="str">
        <f>IF(VLOOKUP(D69,'2.Bookinglist'!A:CT,43,FALSE)=0,"","DG")</f>
        <v/>
      </c>
      <c r="N69" s="60" t="str">
        <f>IF(RIGHT(K69,2)="RE","RF","")</f>
        <v/>
      </c>
      <c r="O69" s="61" t="str">
        <f>VLOOKUP(A69,'1.Loading'!A:R,3,FALSE)</f>
        <v>KMGY</v>
      </c>
      <c r="P69" s="61" t="str">
        <f>VLOOKUP(A69,'1.Loading'!A:R,4,FALSE)</f>
        <v>2611N</v>
      </c>
      <c r="Q69" s="61" t="str">
        <f>VLOOKUP(D69,'2.Bookinglist'!A:CT,12,FALSE)</f>
        <v>CHT</v>
      </c>
      <c r="R69" s="60" t="str">
        <f>IF(LEFT(K69,2)="22","20'","40'")</f>
        <v>20'</v>
      </c>
      <c r="S69" s="185" t="n"/>
      <c r="T69" s="61" t="str">
        <f>VLOOKUP(A69,'1.Loading'!A:R,2,FALSE)</f>
        <v>2026-10-25</v>
      </c>
      <c r="U69" s="63">
        <f>T69-S69</f>
        <v>46320</v>
      </c>
      <c r="V69" s="186" t="n"/>
      <c r="W69" s="61" t="str">
        <f>VLOOKUP(A69,'3.GateMove'!A:D,4,FALSE)</f>
        <v>2026-10-17</v>
      </c>
      <c r="X69" s="63">
        <f>((T69-W69)+1)</f>
        <v>9</v>
      </c>
      <c r="Y69" s="64">
        <f>IF(AND(OR(C69="BKK01",C69="BKK04"),L69="CFS/CY"),0,IF(M69="DG",1,IF(LEFT(C69,3)="LCH",7,IF(C69="BKK02",5,3))))</f>
        <v>7</v>
      </c>
      <c r="Z69" s="63">
        <f>IF(IF(AND(AC69="TML",AB69&gt;0),((T69-W69)+1)-AB69,((T69-W69)+1)-Y69)&gt;0,IF(AND(AC69="TML",AB69&gt;0),((T69-W69)+1)-AB69,((T69-W69)+1)-Y69),0)</f>
        <v>2</v>
      </c>
      <c r="AA69" s="187">
        <f>IF(AND(B69="G1",M69=""),IF(R69="20'",
VLOOKUP(Z69,Charge!$K$2:$M$5,2,TRUE)+(Z69-VLOOKUP(Z69,Charge!$K$2:$M$5,1,TRUE))*VLOOKUP(Z69,Charge!$K$2:$M$5,3,TRUE),
VLOOKUP(Z69,Charge!$N$2:$P$5,2,TRUE)+(Z69-VLOOKUP(Z69,Charge!$N$2:$P$5,1,TRUE))*VLOOKUP(Z69,Charge!$N$2:$P$5,3,TRUE)),
IF(AND(B69="G1",M69="DG"),IF(R69="20'",
VLOOKUP(Z69,Charge!$R$2:$T$5,2,TRUE)+(Z69-VLOOKUP(Z69,Charge!$R$2:$T$5,1,TRUE))*VLOOKUP(Z69,Charge!$R$2:$T$5,3,TRUE),
VLOOKUP(Z69,Charge!$U$2:$W$5,2,TRUE)+(Z69-VLOOKUP(Z69,Charge!$U$2:$W$5,1,TRUE))*VLOOKUP(Z69,Charge!$U$2:$W$5,3,TRUE)),
IF(AND(B69="G3",M69=""),IF(R69="20'",
VLOOKUP(Z69,Charge!$K$18:$M$21,2,TRUE)+(Z69-VLOOKUP(Z69,Charge!$K$18:$M$21,1,TRUE))*VLOOKUP(Z69,Charge!$K$18:$M$21,3,TRUE),
VLOOKUP(Z69,Charge!$N$18:$P$21,2,TRUE)+(Z69-VLOOKUP(Z69,Charge!$N$18:$P$21,1,TRUE))*VLOOKUP(Z69,Charge!$N$18:$P$21,3,TRUE)),
IF(AND(B69="G3",M69="DG"),IF(R69="20'",
VLOOKUP(Z69,Charge!$R$18:$T$21,2,TRUE)+(Z69-VLOOKUP(Z69,Charge!$R$18:$T$21,1,TRUE))*VLOOKUP(Z69,Charge!$R$18:$T$21,3,TRUE),
VLOOKUP(Z69,Charge!$U$18:$W$21,2,TRUE)+(Z69-VLOOKUP(Z69,Charge!$U$18:$W$21,1,TRUE))*VLOOKUP(Z69,Charge!$U$18:$W$21,3,TRUE)),
IF(AND(B69="G2",M69=""),IF(R69="20'",
VLOOKUP(Z69,Charge!$K$9:$M$12,2,TRUE)+(Z69-VLOOKUP(Z69,Charge!$K$9:$M$12,1,TRUE))*VLOOKUP(Z69,Charge!$K$9:$M$12,3,TRUE),
VLOOKUP(Z69,Charge!$N$9:$P$12,2,TRUE)+(Z69-VLOOKUP(Z69,Charge!$N$9:$P$12,1,TRUE))*VLOOKUP(Z69,Charge!$N$9:$P$12,3,TRUE)),
IF(AND(B69="G2",M69="DG"),IF(R69="20'",
VLOOKUP(Z69,Charge!$R$9:$T$12,2,TRUE)+(Z69-VLOOKUP(Z69,Charge!$R$9:$T$12,1,TRUE))*VLOOKUP(Z69,Charge!$R$9:$T$12,3,TRUE),
VLOOKUP(Z69,Charge!$U$9:$W$12,2,TRUE)+(Z69-VLOOKUP(Z69,Charge!$U$9:$W$12,1,TRUE))*VLOOKUP(Z69,Charge!$U$9:$W$12,3,TRUE)),IF(AND(B69="G4",M69=""),IF(R69="20'",Z69*Charge!$M$25,Z69*Charge!$P$25),IF(AND(B69="G4",M69="DG"),IF(R69="20'",Z69*Charge!$T$25,Z69*Charge!$W$25),0))))))))</f>
        <v>250</v>
      </c>
      <c r="AB69" s="184" t="n"/>
      <c r="AC69" s="184" t="n"/>
      <c r="AD69" s="60">
        <f>IF(M69="DG",3,IF(N69="RF",3,5))+IF(AND(LEFT(C69,3)="BKK",N69="RF",Q69="KTS"),1,0)+IF(Q69="KHS",1,0)</f>
        <v>5</v>
      </c>
      <c r="AE69" s="63">
        <f>(T69-V69)+1</f>
        <v>46321</v>
      </c>
      <c r="AF69" s="63">
        <f>IF(AB69&gt;IF((V69-W69)&gt;0,V69-W69,0),0,IF(AB69&lt;IF((V69-W69)&gt;0,V69-W69,0),IF((V69-W69)&gt;0,V69-W69,0)-AB69,IF((V69-W69)&gt;0,V69-W69,0)))</f>
        <v>0</v>
      </c>
      <c r="AG69" s="187">
        <f>IF(AND(M69=""),IF(R69="20'",
VLOOKUP(AF69,Charge!$K$31:$M$34,2,TRUE)+(AF69-VLOOKUP(AF69,Charge!$K$31:$M$34,1,TRUE))*VLOOKUP(AF69,Charge!$K$31:$M$34,3,TRUE),
VLOOKUP(AF69,Charge!$N$31:$P$34,2,TRUE)+(AF69-VLOOKUP(AF69,Charge!$N$31:$P$34,1,TRUE))*VLOOKUP(AF69,Charge!$N$31:$P$34,3,TRUE)),
IF(AND(M69="DG"),IF(R69="20'",
VLOOKUP(AF69,Charge!$R$31:$T$34,2,TRUE)+(AF69-VLOOKUP(AF69,Charge!$R$31:$T$34,1,TRUE))*VLOOKUP(AF69,Charge!$R$31:$T$34,3,TRUE),
VLOOKUP(AF69,Charge!$U$31:$W$34,2,TRUE)+(AF69-VLOOKUP(AF69,Charge!$U$31:$W$34,1,TRUE))*VLOOKUP(AF69,Charge!$U$31:$W$34,3,TRUE)),0))</f>
        <v>0</v>
      </c>
      <c r="AH69" s="65" t="n"/>
      <c r="AI69" s="65">
        <f>AA69-AH69</f>
        <v>250</v>
      </c>
      <c r="AJ69" s="188" t="n"/>
      <c r="AK69" s="62" t="str">
        <f>VLOOKUP(D69,'2.Bookinglist'!A:CT,40,FALSE)</f>
        <v>Kim jaewon</v>
      </c>
      <c r="AL69" s="60" t="str">
        <f>VLOOKUP(D69,'2.Bookinglist'!A:CW,101,FALSE)</f>
        <v>2026-10-21</v>
      </c>
      <c r="AM69" s="60" t="str">
        <f>VLOOKUP(D69,'2.Bookinglist'!A:BK,63,FALSE)</f>
        <v>LCHY5</v>
      </c>
      <c r="AN69" s="62" t="str">
        <f>VLOOKUP(D69,'2.Bookinglist'!A:AZ,52,FALSE)</f>
        <v>Pickup : 2026-10-15, Return : 2026-10-16
**CHECK OPENGATE BEFORE RETURN CNTR**
</v>
      </c>
      <c r="AO69" s="62">
        <f>VLOOKUP(D69,'2.Bookinglist'!A:CY,103,FALSE)</f>
        <v>0</v>
      </c>
    </row>
    <row r="70" ht="12.95" customHeight="1">
      <c r="A70" s="96" t="inlineStr">
        <is>
          <t>SKRU9907547</t>
        </is>
      </c>
      <c r="B70" s="184" t="str">
        <f>IF(C70=Charge!$M$1,Charge!$J$1,IF(C70=Charge!$M$23,Charge!$J$23,IF(C70=Charge!$M$17,Charge!$J$17,IF(C70=Charge!$N$17,Charge!$J$17,Charge!$J$7))))</f>
        <v>G2</v>
      </c>
      <c r="C70" s="61" t="str">
        <f>VLOOKUP(A70,'1.Loading'!A:R,14,FALSE)</f>
        <v>LCH01</v>
      </c>
      <c r="D70" s="61" t="str">
        <f>VLOOKUP(A70,'1.Loading'!A:R,17,FALSE)</f>
        <v>HASLS22260901125</v>
      </c>
      <c r="E70" s="62" t="str">
        <f>VLOOKUP(D70,'2.Bookinglist'!A:CT,27,FALSE)</f>
        <v>DYNAMIC INTERTRANSPORT CO., LTD.</v>
      </c>
      <c r="F70" s="62" t="str">
        <f>VLOOKUP(D70,'2.Bookinglist'!A:CT,28,FALSE)</f>
        <v>CP-MEIJI CO., LTD.</v>
      </c>
      <c r="G70" s="60">
        <f>VLOOKUP(D70,'2.Bookinglist'!A:E,5,FALSE)</f>
        <v>0</v>
      </c>
      <c r="H70" s="61" t="str">
        <f>VLOOKUP(D70,'2.Bookinglist'!A:CT,15,FALSE)</f>
        <v>THLCH</v>
      </c>
      <c r="I70" s="61" t="str">
        <f>VLOOKUP(D70,'2.Bookinglist'!A:CT,19,FALSE)</f>
        <v>HKHKG</v>
      </c>
      <c r="J70" s="61">
        <f>VLOOKUP(D70,'2.Bookinglist'!A:CT,26,FALSE)</f>
        <v>0</v>
      </c>
      <c r="K70" s="61" t="str">
        <f>VLOOKUP(A70,'1.Loading'!A:R,5,FALSE)</f>
        <v>45RE</v>
      </c>
      <c r="L70" s="60" t="str">
        <f>VLOOKUP(D70,'2.Bookinglist'!A:CT,85,FALSE)</f>
        <v>CY/CY</v>
      </c>
      <c r="M70" s="60" t="str">
        <f>IF(VLOOKUP(D70,'2.Bookinglist'!A:CT,43,FALSE)=0,"","DG")</f>
        <v/>
      </c>
      <c r="N70" s="60" t="str">
        <f>IF(RIGHT(K70,2)="RE","RF","")</f>
        <v>RF</v>
      </c>
      <c r="O70" s="61" t="str">
        <f>VLOOKUP(A70,'1.Loading'!A:R,3,FALSE)</f>
        <v>KMGY</v>
      </c>
      <c r="P70" s="61" t="str">
        <f>VLOOKUP(A70,'1.Loading'!A:R,4,FALSE)</f>
        <v>2611N</v>
      </c>
      <c r="Q70" s="61" t="str">
        <f>VLOOKUP(D70,'2.Bookinglist'!A:CT,12,FALSE)</f>
        <v>CHT</v>
      </c>
      <c r="R70" s="60" t="str">
        <f>IF(LEFT(K70,2)="22","20'","40'")</f>
        <v>40'</v>
      </c>
      <c r="S70" s="185" t="n"/>
      <c r="T70" s="61" t="str">
        <f>VLOOKUP(A70,'1.Loading'!A:R,2,FALSE)</f>
        <v>2026-10-25</v>
      </c>
      <c r="U70" s="63">
        <f>T70-S70</f>
        <v>46320</v>
      </c>
      <c r="V70" s="186" t="n"/>
      <c r="W70" s="61" t="str">
        <f>VLOOKUP(A70,'3.GateMove'!A:D,4,FALSE)</f>
        <v>2026-10-23</v>
      </c>
      <c r="X70" s="63">
        <f>((T70-W70)+1)</f>
        <v>3</v>
      </c>
      <c r="Y70" s="64">
        <f>IF(AND(OR(C70="BKK01",C70="BKK04"),L70="CFS/CY"),0,IF(M70="DG",1,IF(LEFT(C70,3)="LCH",7,IF(C70="BKK02",5,3))))</f>
        <v>7</v>
      </c>
      <c r="Z70" s="63">
        <f>IF(IF(AND(AC70="TML",AB70&gt;0),((T70-W70)+1)-AB70,((T70-W70)+1)-Y70)&gt;0,IF(AND(AC70="TML",AB70&gt;0),((T70-W70)+1)-AB70,((T70-W70)+1)-Y70),0)</f>
        <v>0</v>
      </c>
      <c r="AA70" s="187">
        <f>IF(AND(B70="G1",M70=""),IF(R70="20'",
VLOOKUP(Z70,Charge!$K$2:$M$5,2,TRUE)+(Z70-VLOOKUP(Z70,Charge!$K$2:$M$5,1,TRUE))*VLOOKUP(Z70,Charge!$K$2:$M$5,3,TRUE),
VLOOKUP(Z70,Charge!$N$2:$P$5,2,TRUE)+(Z70-VLOOKUP(Z70,Charge!$N$2:$P$5,1,TRUE))*VLOOKUP(Z70,Charge!$N$2:$P$5,3,TRUE)),
IF(AND(B70="G1",M70="DG"),IF(R70="20'",
VLOOKUP(Z70,Charge!$R$2:$T$5,2,TRUE)+(Z70-VLOOKUP(Z70,Charge!$R$2:$T$5,1,TRUE))*VLOOKUP(Z70,Charge!$R$2:$T$5,3,TRUE),
VLOOKUP(Z70,Charge!$U$2:$W$5,2,TRUE)+(Z70-VLOOKUP(Z70,Charge!$U$2:$W$5,1,TRUE))*VLOOKUP(Z70,Charge!$U$2:$W$5,3,TRUE)),
IF(AND(B70="G3",M70=""),IF(R70="20'",
VLOOKUP(Z70,Charge!$K$18:$M$21,2,TRUE)+(Z70-VLOOKUP(Z70,Charge!$K$18:$M$21,1,TRUE))*VLOOKUP(Z70,Charge!$K$18:$M$21,3,TRUE),
VLOOKUP(Z70,Charge!$N$18:$P$21,2,TRUE)+(Z70-VLOOKUP(Z70,Charge!$N$18:$P$21,1,TRUE))*VLOOKUP(Z70,Charge!$N$18:$P$21,3,TRUE)),
IF(AND(B70="G3",M70="DG"),IF(R70="20'",
VLOOKUP(Z70,Charge!$R$18:$T$21,2,TRUE)+(Z70-VLOOKUP(Z70,Charge!$R$18:$T$21,1,TRUE))*VLOOKUP(Z70,Charge!$R$18:$T$21,3,TRUE),
VLOOKUP(Z70,Charge!$U$18:$W$21,2,TRUE)+(Z70-VLOOKUP(Z70,Charge!$U$18:$W$21,1,TRUE))*VLOOKUP(Z70,Charge!$U$18:$W$21,3,TRUE)),
IF(AND(B70="G2",M70=""),IF(R70="20'",
VLOOKUP(Z70,Charge!$K$9:$M$12,2,TRUE)+(Z70-VLOOKUP(Z70,Charge!$K$9:$M$12,1,TRUE))*VLOOKUP(Z70,Charge!$K$9:$M$12,3,TRUE),
VLOOKUP(Z70,Charge!$N$9:$P$12,2,TRUE)+(Z70-VLOOKUP(Z70,Charge!$N$9:$P$12,1,TRUE))*VLOOKUP(Z70,Charge!$N$9:$P$12,3,TRUE)),
IF(AND(B70="G2",M70="DG"),IF(R70="20'",
VLOOKUP(Z70,Charge!$R$9:$T$12,2,TRUE)+(Z70-VLOOKUP(Z70,Charge!$R$9:$T$12,1,TRUE))*VLOOKUP(Z70,Charge!$R$9:$T$12,3,TRUE),
VLOOKUP(Z70,Charge!$U$9:$W$12,2,TRUE)+(Z70-VLOOKUP(Z70,Charge!$U$9:$W$12,1,TRUE))*VLOOKUP(Z70,Charge!$U$9:$W$12,3,TRUE)),IF(AND(B70="G4",M70=""),IF(R70="20'",Z70*Charge!$M$25,Z70*Charge!$P$25),IF(AND(B70="G4",M70="DG"),IF(R70="20'",Z70*Charge!$T$25,Z70*Charge!$W$25),0))))))))</f>
        <v>0</v>
      </c>
      <c r="AB70" s="184" t="n"/>
      <c r="AC70" s="184" t="n"/>
      <c r="AD70" s="60">
        <f>IF(M70="DG",3,IF(N70="RF",3,5))+IF(AND(LEFT(C70,3)="BKK",N70="RF",Q70="KTS"),1,0)+IF(Q70="KHS",1,0)</f>
        <v>3</v>
      </c>
      <c r="AE70" s="63">
        <f>(T70-V70)+1</f>
        <v>46321</v>
      </c>
      <c r="AF70" s="63">
        <f>IF(AB70&gt;IF((V70-W70)&gt;0,V70-W70,0),0,IF(AB70&lt;IF((V70-W70)&gt;0,V70-W70,0),IF((V70-W70)&gt;0,V70-W70,0)-AB70,IF((V70-W70)&gt;0,V70-W70,0)))</f>
        <v>0</v>
      </c>
      <c r="AG70" s="187">
        <f>IF(AND(M70=""),IF(R70="20'",
VLOOKUP(AF70,Charge!$K$31:$M$34,2,TRUE)+(AF70-VLOOKUP(AF70,Charge!$K$31:$M$34,1,TRUE))*VLOOKUP(AF70,Charge!$K$31:$M$34,3,TRUE),
VLOOKUP(AF70,Charge!$N$31:$P$34,2,TRUE)+(AF70-VLOOKUP(AF70,Charge!$N$31:$P$34,1,TRUE))*VLOOKUP(AF70,Charge!$N$31:$P$34,3,TRUE)),
IF(AND(M70="DG"),IF(R70="20'",
VLOOKUP(AF70,Charge!$R$31:$T$34,2,TRUE)+(AF70-VLOOKUP(AF70,Charge!$R$31:$T$34,1,TRUE))*VLOOKUP(AF70,Charge!$R$31:$T$34,3,TRUE),
VLOOKUP(AF70,Charge!$U$31:$W$34,2,TRUE)+(AF70-VLOOKUP(AF70,Charge!$U$31:$W$34,1,TRUE))*VLOOKUP(AF70,Charge!$U$31:$W$34,3,TRUE)),0))</f>
        <v>0</v>
      </c>
      <c r="AH70" s="65" t="n"/>
      <c r="AI70" s="65">
        <f>AA70-AH70</f>
        <v>0</v>
      </c>
      <c r="AJ70" s="188" t="n"/>
      <c r="AK70" s="62" t="str">
        <f>VLOOKUP(D70,'2.Bookinglist'!A:CT,40,FALSE)</f>
        <v>Vilaiporn</v>
      </c>
      <c r="AL70" s="60" t="str">
        <f>VLOOKUP(D70,'2.Bookinglist'!A:CW,101,FALSE)</f>
        <v>2026-10-21</v>
      </c>
      <c r="AM70" s="60" t="str">
        <f>VLOOKUP(D70,'2.Bookinglist'!A:BK,63,FALSE)</f>
        <v>LCH27</v>
      </c>
      <c r="AN70" s="62" t="str">
        <f>VLOOKUP(D70,'2.Bookinglist'!A:AZ,52,FALSE)</f>
        <v>Pickup : 2026-10-22, Return : 2026-10-23 (Temp +0.0 / Vent Close)
 CLS TIME : 23/10 @16.00 </v>
      </c>
      <c r="AO70" s="62">
        <f>VLOOKUP(D70,'2.Bookinglist'!A:CY,103,FALSE)</f>
        <v>0</v>
      </c>
    </row>
    <row r="71" ht="12.95" customHeight="1">
      <c r="A71" s="96" t="inlineStr">
        <is>
          <t>TCNU8245237</t>
        </is>
      </c>
      <c r="B71" s="184" t="str">
        <f>IF(C71=Charge!$M$1,Charge!$J$1,IF(C71=Charge!$M$23,Charge!$J$23,IF(C71=Charge!$M$17,Charge!$J$17,IF(C71=Charge!$N$17,Charge!$J$17,Charge!$J$7))))</f>
        <v>G2</v>
      </c>
      <c r="C71" s="61" t="str">
        <f>VLOOKUP(A71,'1.Loading'!A:R,14,FALSE)</f>
        <v>LCH01</v>
      </c>
      <c r="D71" s="61" t="str">
        <f>VLOOKUP(A71,'1.Loading'!A:R,17,FALSE)</f>
        <v>HASLS22261000813</v>
      </c>
      <c r="E71" s="62" t="str">
        <f>VLOOKUP(D71,'2.Bookinglist'!A:CT,27,FALSE)</f>
        <v>YUSEN LOGISTICS (THAILAND) CO., LTD.</v>
      </c>
      <c r="F71" s="62" t="str">
        <f>VLOOKUP(D71,'2.Bookinglist'!A:CT,28,FALSE)</f>
        <v>KURARAY CO., LTD.</v>
      </c>
      <c r="G71" s="60">
        <f>VLOOKUP(D71,'2.Bookinglist'!A:E,5,FALSE)</f>
        <v>0</v>
      </c>
      <c r="H71" s="61" t="str">
        <f>VLOOKUP(D71,'2.Bookinglist'!A:CT,15,FALSE)</f>
        <v>THLCH</v>
      </c>
      <c r="I71" s="61" t="str">
        <f>VLOOKUP(D71,'2.Bookinglist'!A:CT,19,FALSE)</f>
        <v>HKHKG</v>
      </c>
      <c r="J71" s="61">
        <f>VLOOKUP(D71,'2.Bookinglist'!A:CT,26,FALSE)</f>
        <v>0</v>
      </c>
      <c r="K71" s="61" t="str">
        <f>VLOOKUP(A71,'1.Loading'!A:R,5,FALSE)</f>
        <v>45GP</v>
      </c>
      <c r="L71" s="60" t="str">
        <f>VLOOKUP(D71,'2.Bookinglist'!A:CT,85,FALSE)</f>
        <v>CY/CY</v>
      </c>
      <c r="M71" s="60" t="str">
        <f>IF(VLOOKUP(D71,'2.Bookinglist'!A:CT,43,FALSE)=0,"","DG")</f>
        <v/>
      </c>
      <c r="N71" s="60" t="str">
        <f>IF(RIGHT(K71,2)="RE","RF","")</f>
        <v/>
      </c>
      <c r="O71" s="61" t="str">
        <f>VLOOKUP(A71,'1.Loading'!A:R,3,FALSE)</f>
        <v>KMGY</v>
      </c>
      <c r="P71" s="61" t="str">
        <f>VLOOKUP(A71,'1.Loading'!A:R,4,FALSE)</f>
        <v>2611N</v>
      </c>
      <c r="Q71" s="61" t="str">
        <f>VLOOKUP(D71,'2.Bookinglist'!A:CT,12,FALSE)</f>
        <v>CHT</v>
      </c>
      <c r="R71" s="60" t="str">
        <f>IF(LEFT(K71,2)="22","20'","40'")</f>
        <v>40'</v>
      </c>
      <c r="S71" s="185" t="n"/>
      <c r="T71" s="61" t="str">
        <f>VLOOKUP(A71,'1.Loading'!A:R,2,FALSE)</f>
        <v>2026-10-25</v>
      </c>
      <c r="U71" s="63">
        <f>T71-S71</f>
        <v>46320</v>
      </c>
      <c r="V71" s="186" t="n"/>
      <c r="W71" s="61" t="str">
        <f>VLOOKUP(A71,'3.GateMove'!A:D,4,FALSE)</f>
        <v>2026-10-22</v>
      </c>
      <c r="X71" s="63">
        <f>((T71-W71)+1)</f>
        <v>4</v>
      </c>
      <c r="Y71" s="64">
        <f>IF(AND(OR(C71="BKK01",C71="BKK04"),L71="CFS/CY"),0,IF(M71="DG",1,IF(LEFT(C71,3)="LCH",7,IF(C71="BKK02",5,3))))</f>
        <v>7</v>
      </c>
      <c r="Z71" s="63">
        <f>IF(IF(AND(AC71="TML",AB71&gt;0),((T71-W71)+1)-AB71,((T71-W71)+1)-Y71)&gt;0,IF(AND(AC71="TML",AB71&gt;0),((T71-W71)+1)-AB71,((T71-W71)+1)-Y71),0)</f>
        <v>0</v>
      </c>
      <c r="AA71" s="187">
        <f>IF(AND(B71="G1",M71=""),IF(R71="20'",
VLOOKUP(Z71,Charge!$K$2:$M$5,2,TRUE)+(Z71-VLOOKUP(Z71,Charge!$K$2:$M$5,1,TRUE))*VLOOKUP(Z71,Charge!$K$2:$M$5,3,TRUE),
VLOOKUP(Z71,Charge!$N$2:$P$5,2,TRUE)+(Z71-VLOOKUP(Z71,Charge!$N$2:$P$5,1,TRUE))*VLOOKUP(Z71,Charge!$N$2:$P$5,3,TRUE)),
IF(AND(B71="G1",M71="DG"),IF(R71="20'",
VLOOKUP(Z71,Charge!$R$2:$T$5,2,TRUE)+(Z71-VLOOKUP(Z71,Charge!$R$2:$T$5,1,TRUE))*VLOOKUP(Z71,Charge!$R$2:$T$5,3,TRUE),
VLOOKUP(Z71,Charge!$U$2:$W$5,2,TRUE)+(Z71-VLOOKUP(Z71,Charge!$U$2:$W$5,1,TRUE))*VLOOKUP(Z71,Charge!$U$2:$W$5,3,TRUE)),
IF(AND(B71="G3",M71=""),IF(R71="20'",
VLOOKUP(Z71,Charge!$K$18:$M$21,2,TRUE)+(Z71-VLOOKUP(Z71,Charge!$K$18:$M$21,1,TRUE))*VLOOKUP(Z71,Charge!$K$18:$M$21,3,TRUE),
VLOOKUP(Z71,Charge!$N$18:$P$21,2,TRUE)+(Z71-VLOOKUP(Z71,Charge!$N$18:$P$21,1,TRUE))*VLOOKUP(Z71,Charge!$N$18:$P$21,3,TRUE)),
IF(AND(B71="G3",M71="DG"),IF(R71="20'",
VLOOKUP(Z71,Charge!$R$18:$T$21,2,TRUE)+(Z71-VLOOKUP(Z71,Charge!$R$18:$T$21,1,TRUE))*VLOOKUP(Z71,Charge!$R$18:$T$21,3,TRUE),
VLOOKUP(Z71,Charge!$U$18:$W$21,2,TRUE)+(Z71-VLOOKUP(Z71,Charge!$U$18:$W$21,1,TRUE))*VLOOKUP(Z71,Charge!$U$18:$W$21,3,TRUE)),
IF(AND(B71="G2",M71=""),IF(R71="20'",
VLOOKUP(Z71,Charge!$K$9:$M$12,2,TRUE)+(Z71-VLOOKUP(Z71,Charge!$K$9:$M$12,1,TRUE))*VLOOKUP(Z71,Charge!$K$9:$M$12,3,TRUE),
VLOOKUP(Z71,Charge!$N$9:$P$12,2,TRUE)+(Z71-VLOOKUP(Z71,Charge!$N$9:$P$12,1,TRUE))*VLOOKUP(Z71,Charge!$N$9:$P$12,3,TRUE)),
IF(AND(B71="G2",M71="DG"),IF(R71="20'",
VLOOKUP(Z71,Charge!$R$9:$T$12,2,TRUE)+(Z71-VLOOKUP(Z71,Charge!$R$9:$T$12,1,TRUE))*VLOOKUP(Z71,Charge!$R$9:$T$12,3,TRUE),
VLOOKUP(Z71,Charge!$U$9:$W$12,2,TRUE)+(Z71-VLOOKUP(Z71,Charge!$U$9:$W$12,1,TRUE))*VLOOKUP(Z71,Charge!$U$9:$W$12,3,TRUE)),IF(AND(B71="G4",M71=""),IF(R71="20'",Z71*Charge!$M$25,Z71*Charge!$P$25),IF(AND(B71="G4",M71="DG"),IF(R71="20'",Z71*Charge!$T$25,Z71*Charge!$W$25),0))))))))</f>
        <v>0</v>
      </c>
      <c r="AB71" s="184" t="n"/>
      <c r="AC71" s="184" t="n"/>
      <c r="AD71" s="60">
        <f>IF(M71="DG",3,IF(N71="RF",3,5))+IF(AND(LEFT(C71,3)="BKK",N71="RF",Q71="KTS"),1,0)+IF(Q71="KHS",1,0)</f>
        <v>5</v>
      </c>
      <c r="AE71" s="63">
        <f>(T71-V71)+1</f>
        <v>46321</v>
      </c>
      <c r="AF71" s="63">
        <f>IF(AB71&gt;IF((V71-W71)&gt;0,V71-W71,0),0,IF(AB71&lt;IF((V71-W71)&gt;0,V71-W71,0),IF((V71-W71)&gt;0,V71-W71,0)-AB71,IF((V71-W71)&gt;0,V71-W71,0)))</f>
        <v>0</v>
      </c>
      <c r="AG71" s="187">
        <f>IF(AND(M71=""),IF(R71="20'",
VLOOKUP(AF71,Charge!$K$31:$M$34,2,TRUE)+(AF71-VLOOKUP(AF71,Charge!$K$31:$M$34,1,TRUE))*VLOOKUP(AF71,Charge!$K$31:$M$34,3,TRUE),
VLOOKUP(AF71,Charge!$N$31:$P$34,2,TRUE)+(AF71-VLOOKUP(AF71,Charge!$N$31:$P$34,1,TRUE))*VLOOKUP(AF71,Charge!$N$31:$P$34,3,TRUE)),
IF(AND(M71="DG"),IF(R71="20'",
VLOOKUP(AF71,Charge!$R$31:$T$34,2,TRUE)+(AF71-VLOOKUP(AF71,Charge!$R$31:$T$34,1,TRUE))*VLOOKUP(AF71,Charge!$R$31:$T$34,3,TRUE),
VLOOKUP(AF71,Charge!$U$31:$W$34,2,TRUE)+(AF71-VLOOKUP(AF71,Charge!$U$31:$W$34,1,TRUE))*VLOOKUP(AF71,Charge!$U$31:$W$34,3,TRUE)),0))</f>
        <v>0</v>
      </c>
      <c r="AH71" s="65" t="n"/>
      <c r="AI71" s="65">
        <f>AA71-AH71</f>
        <v>0</v>
      </c>
      <c r="AJ71" s="188" t="n"/>
      <c r="AK71" s="62" t="str">
        <f>VLOOKUP(D71,'2.Bookinglist'!A:CT,40,FALSE)</f>
        <v>Vilaiporn</v>
      </c>
      <c r="AL71" s="60" t="str">
        <f>VLOOKUP(D71,'2.Bookinglist'!A:CW,101,FALSE)</f>
        <v>2026-10-24</v>
      </c>
      <c r="AM71" s="60" t="str">
        <f>VLOOKUP(D71,'2.Bookinglist'!A:BK,63,FALSE)</f>
        <v>LCHY5</v>
      </c>
      <c r="AN71" s="62" t="str">
        <f>VLOOKUP(D71,'2.Bookinglist'!A:AZ,52,FALSE)</f>
        <v>Pickup : 2026-10-17, Return : 2026-10-19 (1ST RTN 20/10 W/O RENT) 
 ** PLEASE CHECK OPEN GATE BEFORE RETURN CNTR **(EXTEND CLOSING DD.22/10/26 @23.59)</v>
      </c>
      <c r="AO71" s="62">
        <f>VLOOKUP(D71,'2.Bookinglist'!A:CY,103,FALSE)</f>
        <v>0</v>
      </c>
    </row>
    <row r="72" ht="12.95" customHeight="1">
      <c r="A72" s="96" t="inlineStr">
        <is>
          <t>TCNU8376010</t>
        </is>
      </c>
      <c r="B72" s="184" t="str">
        <f>IF(C72=Charge!$M$1,Charge!$J$1,IF(C72=Charge!$M$23,Charge!$J$23,IF(C72=Charge!$M$17,Charge!$J$17,IF(C72=Charge!$N$17,Charge!$J$17,Charge!$J$7))))</f>
        <v>G2</v>
      </c>
      <c r="C72" s="61" t="str">
        <f>VLOOKUP(A72,'1.Loading'!A:R,14,FALSE)</f>
        <v>LCH01</v>
      </c>
      <c r="D72" s="61" t="str">
        <f>VLOOKUP(A72,'1.Loading'!A:R,17,FALSE)</f>
        <v>HASLS22261000813</v>
      </c>
      <c r="E72" s="62" t="str">
        <f>VLOOKUP(D72,'2.Bookinglist'!A:CT,27,FALSE)</f>
        <v>YUSEN LOGISTICS (THAILAND) CO., LTD.</v>
      </c>
      <c r="F72" s="62" t="str">
        <f>VLOOKUP(D72,'2.Bookinglist'!A:CT,28,FALSE)</f>
        <v>KURARAY CO., LTD.</v>
      </c>
      <c r="G72" s="60">
        <f>VLOOKUP(D72,'2.Bookinglist'!A:E,5,FALSE)</f>
        <v>0</v>
      </c>
      <c r="H72" s="61" t="str">
        <f>VLOOKUP(D72,'2.Bookinglist'!A:CT,15,FALSE)</f>
        <v>THLCH</v>
      </c>
      <c r="I72" s="61" t="str">
        <f>VLOOKUP(D72,'2.Bookinglist'!A:CT,19,FALSE)</f>
        <v>HKHKG</v>
      </c>
      <c r="J72" s="61">
        <f>VLOOKUP(D72,'2.Bookinglist'!A:CT,26,FALSE)</f>
        <v>0</v>
      </c>
      <c r="K72" s="61" t="str">
        <f>VLOOKUP(A72,'1.Loading'!A:R,5,FALSE)</f>
        <v>45GP</v>
      </c>
      <c r="L72" s="60" t="str">
        <f>VLOOKUP(D72,'2.Bookinglist'!A:CT,85,FALSE)</f>
        <v>CY/CY</v>
      </c>
      <c r="M72" s="60" t="str">
        <f>IF(VLOOKUP(D72,'2.Bookinglist'!A:CT,43,FALSE)=0,"","DG")</f>
        <v/>
      </c>
      <c r="N72" s="60" t="str">
        <f>IF(RIGHT(K72,2)="RE","RF","")</f>
        <v/>
      </c>
      <c r="O72" s="61" t="str">
        <f>VLOOKUP(A72,'1.Loading'!A:R,3,FALSE)</f>
        <v>KMGY</v>
      </c>
      <c r="P72" s="61" t="str">
        <f>VLOOKUP(A72,'1.Loading'!A:R,4,FALSE)</f>
        <v>2611N</v>
      </c>
      <c r="Q72" s="61" t="str">
        <f>VLOOKUP(D72,'2.Bookinglist'!A:CT,12,FALSE)</f>
        <v>CHT</v>
      </c>
      <c r="R72" s="60" t="str">
        <f>IF(LEFT(K72,2)="22","20'","40'")</f>
        <v>40'</v>
      </c>
      <c r="S72" s="185" t="n"/>
      <c r="T72" s="61" t="str">
        <f>VLOOKUP(A72,'1.Loading'!A:R,2,FALSE)</f>
        <v>2026-10-25</v>
      </c>
      <c r="U72" s="63">
        <f>T72-S72</f>
        <v>46320</v>
      </c>
      <c r="V72" s="186" t="n"/>
      <c r="W72" s="61" t="str">
        <f>VLOOKUP(A72,'3.GateMove'!A:D,4,FALSE)</f>
        <v>2026-10-21</v>
      </c>
      <c r="X72" s="63">
        <f>((T72-W72)+1)</f>
        <v>5</v>
      </c>
      <c r="Y72" s="64">
        <f>IF(AND(OR(C72="BKK01",C72="BKK04"),L72="CFS/CY"),0,IF(M72="DG",1,IF(LEFT(C72,3)="LCH",7,IF(C72="BKK02",5,3))))</f>
        <v>7</v>
      </c>
      <c r="Z72" s="63">
        <f>IF(IF(AND(AC72="TML",AB72&gt;0),((T72-W72)+1)-AB72,((T72-W72)+1)-Y72)&gt;0,IF(AND(AC72="TML",AB72&gt;0),((T72-W72)+1)-AB72,((T72-W72)+1)-Y72),0)</f>
        <v>0</v>
      </c>
      <c r="AA72" s="187">
        <f>IF(AND(B72="G1",M72=""),IF(R72="20'",
VLOOKUP(Z72,Charge!$K$2:$M$5,2,TRUE)+(Z72-VLOOKUP(Z72,Charge!$K$2:$M$5,1,TRUE))*VLOOKUP(Z72,Charge!$K$2:$M$5,3,TRUE),
VLOOKUP(Z72,Charge!$N$2:$P$5,2,TRUE)+(Z72-VLOOKUP(Z72,Charge!$N$2:$P$5,1,TRUE))*VLOOKUP(Z72,Charge!$N$2:$P$5,3,TRUE)),
IF(AND(B72="G1",M72="DG"),IF(R72="20'",
VLOOKUP(Z72,Charge!$R$2:$T$5,2,TRUE)+(Z72-VLOOKUP(Z72,Charge!$R$2:$T$5,1,TRUE))*VLOOKUP(Z72,Charge!$R$2:$T$5,3,TRUE),
VLOOKUP(Z72,Charge!$U$2:$W$5,2,TRUE)+(Z72-VLOOKUP(Z72,Charge!$U$2:$W$5,1,TRUE))*VLOOKUP(Z72,Charge!$U$2:$W$5,3,TRUE)),
IF(AND(B72="G3",M72=""),IF(R72="20'",
VLOOKUP(Z72,Charge!$K$18:$M$21,2,TRUE)+(Z72-VLOOKUP(Z72,Charge!$K$18:$M$21,1,TRUE))*VLOOKUP(Z72,Charge!$K$18:$M$21,3,TRUE),
VLOOKUP(Z72,Charge!$N$18:$P$21,2,TRUE)+(Z72-VLOOKUP(Z72,Charge!$N$18:$P$21,1,TRUE))*VLOOKUP(Z72,Charge!$N$18:$P$21,3,TRUE)),
IF(AND(B72="G3",M72="DG"),IF(R72="20'",
VLOOKUP(Z72,Charge!$R$18:$T$21,2,TRUE)+(Z72-VLOOKUP(Z72,Charge!$R$18:$T$21,1,TRUE))*VLOOKUP(Z72,Charge!$R$18:$T$21,3,TRUE),
VLOOKUP(Z72,Charge!$U$18:$W$21,2,TRUE)+(Z72-VLOOKUP(Z72,Charge!$U$18:$W$21,1,TRUE))*VLOOKUP(Z72,Charge!$U$18:$W$21,3,TRUE)),
IF(AND(B72="G2",M72=""),IF(R72="20'",
VLOOKUP(Z72,Charge!$K$9:$M$12,2,TRUE)+(Z72-VLOOKUP(Z72,Charge!$K$9:$M$12,1,TRUE))*VLOOKUP(Z72,Charge!$K$9:$M$12,3,TRUE),
VLOOKUP(Z72,Charge!$N$9:$P$12,2,TRUE)+(Z72-VLOOKUP(Z72,Charge!$N$9:$P$12,1,TRUE))*VLOOKUP(Z72,Charge!$N$9:$P$12,3,TRUE)),
IF(AND(B72="G2",M72="DG"),IF(R72="20'",
VLOOKUP(Z72,Charge!$R$9:$T$12,2,TRUE)+(Z72-VLOOKUP(Z72,Charge!$R$9:$T$12,1,TRUE))*VLOOKUP(Z72,Charge!$R$9:$T$12,3,TRUE),
VLOOKUP(Z72,Charge!$U$9:$W$12,2,TRUE)+(Z72-VLOOKUP(Z72,Charge!$U$9:$W$12,1,TRUE))*VLOOKUP(Z72,Charge!$U$9:$W$12,3,TRUE)),IF(AND(B72="G4",M72=""),IF(R72="20'",Z72*Charge!$M$25,Z72*Charge!$P$25),IF(AND(B72="G4",M72="DG"),IF(R72="20'",Z72*Charge!$T$25,Z72*Charge!$W$25),0))))))))</f>
        <v>0</v>
      </c>
      <c r="AB72" s="184" t="n"/>
      <c r="AC72" s="184" t="n"/>
      <c r="AD72" s="60">
        <f>IF(M72="DG",3,IF(N72="RF",3,5))+IF(AND(LEFT(C72,3)="BKK",N72="RF",Q72="KTS"),1,0)+IF(Q72="KHS",1,0)</f>
        <v>5</v>
      </c>
      <c r="AE72" s="63">
        <f>(T72-V72)+1</f>
        <v>46321</v>
      </c>
      <c r="AF72" s="63">
        <f>IF(AB72&gt;IF((V72-W72)&gt;0,V72-W72,0),0,IF(AB72&lt;IF((V72-W72)&gt;0,V72-W72,0),IF((V72-W72)&gt;0,V72-W72,0)-AB72,IF((V72-W72)&gt;0,V72-W72,0)))</f>
        <v>0</v>
      </c>
      <c r="AG72" s="187">
        <f>IF(AND(M72=""),IF(R72="20'",
VLOOKUP(AF72,Charge!$K$31:$M$34,2,TRUE)+(AF72-VLOOKUP(AF72,Charge!$K$31:$M$34,1,TRUE))*VLOOKUP(AF72,Charge!$K$31:$M$34,3,TRUE),
VLOOKUP(AF72,Charge!$N$31:$P$34,2,TRUE)+(AF72-VLOOKUP(AF72,Charge!$N$31:$P$34,1,TRUE))*VLOOKUP(AF72,Charge!$N$31:$P$34,3,TRUE)),
IF(AND(M72="DG"),IF(R72="20'",
VLOOKUP(AF72,Charge!$R$31:$T$34,2,TRUE)+(AF72-VLOOKUP(AF72,Charge!$R$31:$T$34,1,TRUE))*VLOOKUP(AF72,Charge!$R$31:$T$34,3,TRUE),
VLOOKUP(AF72,Charge!$U$31:$W$34,2,TRUE)+(AF72-VLOOKUP(AF72,Charge!$U$31:$W$34,1,TRUE))*VLOOKUP(AF72,Charge!$U$31:$W$34,3,TRUE)),0))</f>
        <v>0</v>
      </c>
      <c r="AH72" s="65" t="n"/>
      <c r="AI72" s="65">
        <f>AA72-AH72</f>
        <v>0</v>
      </c>
      <c r="AJ72" s="188" t="n"/>
      <c r="AK72" s="62" t="str">
        <f>VLOOKUP(D72,'2.Bookinglist'!A:CT,40,FALSE)</f>
        <v>Vilaiporn</v>
      </c>
      <c r="AL72" s="60" t="str">
        <f>VLOOKUP(D72,'2.Bookinglist'!A:CW,101,FALSE)</f>
        <v>2026-10-24</v>
      </c>
      <c r="AM72" s="60" t="str">
        <f>VLOOKUP(D72,'2.Bookinglist'!A:BK,63,FALSE)</f>
        <v>LCHY5</v>
      </c>
      <c r="AN72" s="62" t="str">
        <f>VLOOKUP(D72,'2.Bookinglist'!A:AZ,52,FALSE)</f>
        <v>Pickup : 2026-10-17, Return : 2026-10-19 (1ST RTN 20/10 W/O RENT) 
 ** PLEASE CHECK OPEN GATE BEFORE RETURN CNTR **(EXTEND CLOSING DD.22/10/26 @23.59)</v>
      </c>
      <c r="AO72" s="62">
        <f>VLOOKUP(D72,'2.Bookinglist'!A:CY,103,FALSE)</f>
        <v>0</v>
      </c>
    </row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2026-10-25T02:22:38Z</dcterms:modified>
  <cp:lastModifiedBy>office4</cp:lastModifiedBy>
  <cp:lastPrinted>2019-11-19T03:03:39Z</cp:lastPrinted>
</cp:coreProperties>
</file>