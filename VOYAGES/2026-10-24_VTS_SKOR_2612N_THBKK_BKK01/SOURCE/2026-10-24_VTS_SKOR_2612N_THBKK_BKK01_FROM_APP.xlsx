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<sst xmlns="http://schemas.openxmlformats.org/spreadsheetml/2006/main" count="4943" uniqueCount="856">
  <si>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</si>
  <si>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</si>
  <si>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</si>
  <si>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</si>
  <si>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</si>
  <si>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</si>
  <si>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</si>
  <si>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</si>
  <si>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</si>
  <si>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</si>
  <si>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</si>
  <si>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</si>
  <si>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</si>
  <si>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</si>
  <si>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</si>
  <si>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</si>
  <si>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</si>
  <si>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</si>
  <si>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</si>
  <si>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</si>
  <si>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</si>
  <si>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</si>
  <si>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</si>
  <si>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</si>
  <si>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</si>
  <si>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</si>
  <si>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</si>
  <si>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</si>
  <si>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</si>
  <si>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BEAU2864426</t>
  </si>
  <si>
    <t>2026-10-24</t>
  </si>
  <si>
    <t>SKOR</t>
  </si>
  <si>
    <t>2612N</t>
  </si>
  <si>
    <t>22GP</t>
  </si>
  <si>
    <t>SD</t>
  </si>
  <si>
    <t>THBKK</t>
  </si>
  <si>
    <t>HKHKG</t>
  </si>
  <si>
    <t>F</t>
  </si>
  <si>
    <t>L/T</t>
  </si>
  <si>
    <t>VFL</t>
  </si>
  <si>
    <t>BKK01</t>
  </si>
  <si>
    <t>BKK</t>
  </si>
  <si>
    <t>TH</t>
  </si>
  <si>
    <t>HASLS22260900337</t>
  </si>
  <si>
    <t>N</t>
  </si>
  <si>
    <t>VTS</t>
  </si>
  <si>
    <t>TSN16L10</t>
  </si>
  <si>
    <t>VARA FOOD &amp; DRINK CO.,LTD.</t>
  </si>
  <si>
    <t>VFD</t>
  </si>
  <si>
    <t>TONG TSEN (H.K.) CO.,LTD.</t>
  </si>
  <si>
    <t>HKG03</t>
  </si>
  <si>
    <t>HALU2029998</t>
  </si>
  <si>
    <t>OWN</t>
  </si>
  <si>
    <t>HASLS22260900333</t>
  </si>
  <si>
    <t>TXG13016</t>
  </si>
  <si>
    <t>HALU2087274</t>
  </si>
  <si>
    <t>HASLS22260901049</t>
  </si>
  <si>
    <t>TXG15008</t>
  </si>
  <si>
    <t>DSV AIR &amp; SEA LTD.</t>
  </si>
  <si>
    <t>DSV AIR &amp; SEA LIMITED</t>
  </si>
  <si>
    <t>HALU2104052</t>
  </si>
  <si>
    <t>HASLS22261000291</t>
  </si>
  <si>
    <t>C0521003</t>
  </si>
  <si>
    <t>YUSEN LOGISTICS (THAILAND) CO., LTD</t>
  </si>
  <si>
    <t>YUSEN LOGISTICS (HONG KONG) LTD.</t>
  </si>
  <si>
    <t>HALU2308713</t>
  </si>
  <si>
    <t>CNXMN</t>
  </si>
  <si>
    <t>HASLS22260901473</t>
  </si>
  <si>
    <t>C0323005</t>
  </si>
  <si>
    <t>DIMERCO EXPRESS (THAILAND) CO.,LTD.</t>
  </si>
  <si>
    <t>YOUNG &amp; FINE FOOD TECH (XIAMEN)</t>
  </si>
  <si>
    <t>DIVERSIFIED INTERNATIONAL</t>
  </si>
  <si>
    <t>XMN01</t>
  </si>
  <si>
    <t>HALU2440782</t>
  </si>
  <si>
    <t>HASLS22260901437</t>
  </si>
  <si>
    <t>C0324009</t>
  </si>
  <si>
    <t>ONE WORLD LOGISTICS AND FREIGHT</t>
  </si>
  <si>
    <t>MING HING FREIGHT SERVICE LTD.</t>
  </si>
  <si>
    <t>HALU2461661</t>
  </si>
  <si>
    <t>HASLS22260901326</t>
  </si>
  <si>
    <t>C0224002</t>
  </si>
  <si>
    <t>HALU2509045</t>
  </si>
  <si>
    <t>HASLS22260902320</t>
  </si>
  <si>
    <t>C0125002</t>
  </si>
  <si>
    <t>LAEMTHONG CORPORATION LTD.</t>
  </si>
  <si>
    <t>TO ORDER</t>
  </si>
  <si>
    <t>LAEMTHONG INTERNATIONAL LTD.</t>
  </si>
  <si>
    <t>HALU2529186</t>
  </si>
  <si>
    <t>KRPUS</t>
  </si>
  <si>
    <t>JPTMK</t>
  </si>
  <si>
    <t>HASLS22260901897</t>
  </si>
  <si>
    <t>Y</t>
  </si>
  <si>
    <t>NIPPON EXPRESS LOGISTICS</t>
  </si>
  <si>
    <t>NIPPON EXPRESS CO., LTD.</t>
  </si>
  <si>
    <t>TMK03</t>
  </si>
  <si>
    <t>HALU2534536</t>
  </si>
  <si>
    <t>HASLS22260901621</t>
  </si>
  <si>
    <t>THAI OTSUKA PHARMACEUTICAL CO.,LTD.</t>
  </si>
  <si>
    <t>OTSUKA PHARMACEUTICAL (H.K.) LTD.</t>
  </si>
  <si>
    <t>HALU2575509</t>
  </si>
  <si>
    <t>HASLS22261000043</t>
  </si>
  <si>
    <t>C0225005</t>
  </si>
  <si>
    <t>CHAI SAN SAN TRADING LIMITED</t>
  </si>
  <si>
    <t>KIU FUNG FOOD COMPANY LIMITED</t>
  </si>
  <si>
    <t>HALU2580700</t>
  </si>
  <si>
    <t>HASLS22261000536</t>
  </si>
  <si>
    <t>C0426001</t>
  </si>
  <si>
    <t>KWE-KINTETSU WORLD EXPRESS</t>
  </si>
  <si>
    <t>KINTETSU WORLD EXPRESS (HK) LIMITED</t>
  </si>
  <si>
    <t>HALU5640568</t>
  </si>
  <si>
    <t>45GP</t>
  </si>
  <si>
    <t>HASLS22260902673</t>
  </si>
  <si>
    <t>SHK14003</t>
  </si>
  <si>
    <t>DIVERSIFIED FREIGHT SYSTEM LTD.</t>
  </si>
  <si>
    <t>HALU8503070</t>
  </si>
  <si>
    <t>45RE</t>
  </si>
  <si>
    <t>HASLS22261000975</t>
  </si>
  <si>
    <t>C0825001</t>
  </si>
  <si>
    <t>CPF FOOD NETWORK CO.,LTD.</t>
  </si>
  <si>
    <t>CONSUMER PACKAGE COMMERCE</t>
  </si>
  <si>
    <t>PUSH4</t>
  </si>
  <si>
    <t>HLHU6418524</t>
  </si>
  <si>
    <t>HASLS22261000194</t>
  </si>
  <si>
    <t>C0724001</t>
  </si>
  <si>
    <t>YEARRAKARN CO., LTD.</t>
  </si>
  <si>
    <t>HELKA GLOBAL LOGISTICS LIMITED</t>
  </si>
  <si>
    <t>HLHU8412607</t>
  </si>
  <si>
    <t>HASLS22260901159</t>
  </si>
  <si>
    <t>C0124001</t>
  </si>
  <si>
    <t>HLHU8467894</t>
  </si>
  <si>
    <t>C0324008</t>
  </si>
  <si>
    <t>HLHU8521296</t>
  </si>
  <si>
    <t>HASLS22260901556</t>
  </si>
  <si>
    <t>C0125003</t>
  </si>
  <si>
    <t>PILOT CONSOLIDATOR CO.,LTD</t>
  </si>
  <si>
    <t>CHARTER LINK LOGISTICS (HK) LIMITED</t>
  </si>
  <si>
    <t>HLHU8549077</t>
  </si>
  <si>
    <t>C5625001</t>
  </si>
  <si>
    <t>HLHU8577187</t>
  </si>
  <si>
    <t>C0725001</t>
  </si>
  <si>
    <t>HLHU8582389</t>
  </si>
  <si>
    <t>HLHU8600306</t>
  </si>
  <si>
    <t>SEKU9003088</t>
  </si>
  <si>
    <t>22RE</t>
  </si>
  <si>
    <t>ONE</t>
  </si>
  <si>
    <t>HASLS22260901749</t>
  </si>
  <si>
    <t>K0120024</t>
  </si>
  <si>
    <t>YUSEN LOGISTICS (THAILAND)</t>
  </si>
  <si>
    <t>SEKU9003391</t>
  </si>
  <si>
    <t>HASLS22260901748</t>
  </si>
  <si>
    <t>C0121002</t>
  </si>
  <si>
    <t>SKHU6346165</t>
  </si>
  <si>
    <t>HASLS22261000919</t>
  </si>
  <si>
    <t>K0120023</t>
  </si>
  <si>
    <t>STAR CONCORD (THAILAND) CO., LTD.</t>
  </si>
  <si>
    <t>XIAMEN RUIJING METALS WARE CO., LTD</t>
  </si>
  <si>
    <t>PACIFIC STAR EXPRESS (CHINA) CO.,</t>
  </si>
  <si>
    <t>SKHU6562251</t>
  </si>
  <si>
    <t>SKHU6588997</t>
  </si>
  <si>
    <t>SKHU8109481</t>
  </si>
  <si>
    <t>HASLS22260902748</t>
  </si>
  <si>
    <t>OCEAN GLASS PUBLIC COMPANY LIMITED</t>
  </si>
  <si>
    <t>MEYER KOREA CO., LTD.</t>
  </si>
  <si>
    <t>SKHU8408327</t>
  </si>
  <si>
    <t>CNSUD</t>
  </si>
  <si>
    <t>HASLS22260902140</t>
  </si>
  <si>
    <t>THAI ARROW PRODUCTS COMPANY LIMITED</t>
  </si>
  <si>
    <t>FOSHAN SHUNDE YAZAKI AUTO PARTS</t>
  </si>
  <si>
    <t>SKHU9524960</t>
  </si>
  <si>
    <t>HASLS22261000577</t>
  </si>
  <si>
    <t>EMBASSY FREIGHT (THAILAND) CO.,LTD.</t>
  </si>
  <si>
    <t>EMBASSY FREIGHT HONG KONG LIMITED</t>
  </si>
  <si>
    <t>SKHU9527315</t>
  </si>
  <si>
    <t>SKHU9530704</t>
  </si>
  <si>
    <t>SKHU9556709</t>
  </si>
  <si>
    <t>SKHU9822666</t>
  </si>
  <si>
    <t>SKLU0588724</t>
  </si>
  <si>
    <t>K0120021</t>
  </si>
  <si>
    <t>SKLU1406526</t>
  </si>
  <si>
    <t>HASLS22260900779</t>
  </si>
  <si>
    <t>RIVER KWAI INTERNATIONAL FOOD</t>
  </si>
  <si>
    <t>WELL SYNERGY INTERNATIONAL LTD.</t>
  </si>
  <si>
    <t>SKLU1442858</t>
  </si>
  <si>
    <t>SKLU1605868</t>
  </si>
  <si>
    <t>HASLS22260900328</t>
  </si>
  <si>
    <t>SKLU1901052</t>
  </si>
  <si>
    <t>HASLS22261000301</t>
  </si>
  <si>
    <t>COCONUT SIAM EXPORT CO., LTD</t>
  </si>
  <si>
    <t>JOYSPEED HONG KONG LTD.</t>
  </si>
  <si>
    <t>THAI GROCERY TRADING LIMITED</t>
  </si>
  <si>
    <t>SKLU1926430</t>
  </si>
  <si>
    <t>SKLU2004054</t>
  </si>
  <si>
    <t>HASLS22261000655</t>
  </si>
  <si>
    <t>P.S.P. SPECIALTIES PUBLIC</t>
  </si>
  <si>
    <t>WELL CROWN (GROUP)</t>
  </si>
  <si>
    <t>SKLU2306840</t>
  </si>
  <si>
    <t>HASLS22260901048</t>
  </si>
  <si>
    <t>SKLU2326533</t>
  </si>
  <si>
    <t>RUVVO</t>
  </si>
  <si>
    <t>HASLS22260900431</t>
  </si>
  <si>
    <t>PRO AUTOMOTIVE CORPORATION CO., LTD</t>
  </si>
  <si>
    <t>MEGATEX TRADING CO LTD</t>
  </si>
  <si>
    <t>LLC "TIS LOGISTIC"</t>
  </si>
  <si>
    <t>VVO01</t>
  </si>
  <si>
    <t>SKLU2339398</t>
  </si>
  <si>
    <t>HASLS22261000229</t>
  </si>
  <si>
    <t>SMS CORPORATION CO., LTD.</t>
  </si>
  <si>
    <t>MATSUTANI KOREA LTD.</t>
  </si>
  <si>
    <t>SKLU2344141</t>
  </si>
  <si>
    <t>HASLS22260902016</t>
  </si>
  <si>
    <t>SKLU2429608</t>
  </si>
  <si>
    <t>HASLS22260900656</t>
  </si>
  <si>
    <t>NIPPON EXPRESS (H.K.) CO.,LTD.</t>
  </si>
  <si>
    <t>SKLU2471510</t>
  </si>
  <si>
    <t>SKLU2472862</t>
  </si>
  <si>
    <t>HASLS22261000425</t>
  </si>
  <si>
    <t>SKLU2490568</t>
  </si>
  <si>
    <t>UETU2422861</t>
  </si>
  <si>
    <t>HASLS22260901133</t>
  </si>
  <si>
    <t>TSN16L02</t>
  </si>
  <si>
    <t>CARGOPORT (THAILAND) LTD.</t>
  </si>
  <si>
    <t>VED</t>
  </si>
  <si>
    <t>GREEN GLOBE LINE CO.,LTD.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</si>
  <si>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</si>
  <si>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</si>
  <si>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</si>
  <si>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</si>
  <si>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</si>
  <si>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</si>
  <si>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</si>
  <si>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</si>
  <si>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</si>
  <si>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</si>
  <si>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</si>
  <si>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</si>
  <si>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</si>
  <si>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</si>
  <si>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</si>
  <si>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</si>
  <si>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</si>
  <si>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</si>
  <si>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</si>
  <si>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</si>
  <si>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</si>
  <si>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</si>
  <si>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</si>
  <si>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</si>
  <si>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</si>
  <si>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</si>
  <si>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</si>
  <si>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</si>
  <si>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</si>
  <si>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</si>
  <si>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</si>
  <si>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</si>
  <si>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</si>
  <si>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</si>
  <si>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</si>
  <si>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</si>
  <si>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</si>
  <si>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</si>
  <si>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</si>
  <si>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</si>
  <si>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</si>
  <si>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</si>
  <si>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</si>
  <si>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</si>
  <si>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</si>
  <si>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</si>
  <si>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</si>
  <si>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</si>
  <si>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</si>
  <si>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</si>
  <si>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</si>
  <si>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</si>
  <si>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</si>
  <si>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</si>
  <si>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</si>
  <si>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</si>
  <si>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</si>
  <si>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</si>
  <si>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</si>
  <si>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</si>
  <si>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</si>
  <si>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</si>
  <si>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</si>
  <si>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</si>
  <si>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</si>
  <si>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</si>
  <si>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</si>
  <si>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</si>
  <si>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</si>
  <si>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</si>
  <si>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</si>
  <si>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</si>
  <si>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</si>
  <si>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</si>
  <si>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</si>
  <si>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</si>
  <si>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</si>
  <si>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</si>
  <si>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</si>
  <si>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</si>
  <si>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</si>
  <si>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</si>
  <si>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</si>
  <si>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</si>
  <si>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</si>
  <si>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</si>
  <si>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</si>
  <si>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</si>
  <si>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</si>
  <si>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</si>
  <si>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</si>
  <si>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</si>
  <si>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</si>
  <si>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</si>
  <si>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IA</t>
  </si>
  <si>
    <t>2026-10-28</t>
  </si>
  <si>
    <t>VARA FOOD &amp; DRINK CO., LTD.</t>
  </si>
  <si>
    <t>OK</t>
  </si>
  <si>
    <t>TBKK28</t>
  </si>
  <si>
    <t>Nustsireerach</t>
  </si>
  <si>
    <t>COCONUT MILK</t>
  </si>
  <si>
    <t>Normal</t>
  </si>
  <si>
    <t>Pickup : 2026-10-08, Return : 2026-10-10</t>
  </si>
  <si>
    <t>ROLL OVER FROM PREVIOUS VSL KMTP 2612N BY ALLOATION TEAM MS.TARN APPROVED COST IS UNDER HA DD.12/10</t>
  </si>
  <si>
    <t>P</t>
  </si>
  <si>
    <t>2026-09-03</t>
  </si>
  <si>
    <t>2026-10-12</t>
  </si>
  <si>
    <t>CANNED GOODS</t>
  </si>
  <si>
    <t>Line</t>
  </si>
  <si>
    <t>S22</t>
  </si>
  <si>
    <t>BKK25</t>
  </si>
  <si>
    <t>2026-10-08</t>
  </si>
  <si>
    <t>FULL</t>
  </si>
  <si>
    <t>0 Teu</t>
  </si>
  <si>
    <t>CY/CY</t>
  </si>
  <si>
    <t>pairin_document@varafood.com</t>
  </si>
  <si>
    <t>202610211700</t>
  </si>
  <si>
    <t>202610212359</t>
  </si>
  <si>
    <t>S19-2107036</t>
  </si>
  <si>
    <t>TH05K7</t>
  </si>
  <si>
    <t>2026-10-21</t>
  </si>
  <si>
    <t>Pickup : 2026-10-14, Return : 2026-10-15</t>
  </si>
  <si>
    <t>2026-10-18</t>
  </si>
  <si>
    <t>2026-10-14</t>
  </si>
  <si>
    <t>2026-10-16</t>
  </si>
  <si>
    <t>2026-11-06</t>
  </si>
  <si>
    <t>RU</t>
  </si>
  <si>
    <t>FREIGHT LINKS EXPRESS (THAILAND) CO., LTD.</t>
  </si>
  <si>
    <t>PRO AUTOMOTIVE CORPORATION CO., LTD.</t>
  </si>
  <si>
    <t>COOLANT</t>
  </si>
  <si>
    <t>[FIX]SKOR/2612N/10/31[FIX] Pickup : 2026-10-14, Return : 2026-10-15 (1ST RETURN 15/10 W/O RENT) // FM SWAL 2609N BY HAl DD.14/10</t>
  </si>
  <si>
    <t xml:space="preserve">FM SWSP 2609N 18/09ACTUAL SHIPPER : Pro automotive corporation Co.,LtdCY : 14/10 // RTN 15/10
FM SWAL 2609N BY HAl DD.14/10</t>
  </si>
  <si>
    <t>2026-09-04</t>
  </si>
  <si>
    <t>2026-10-19</t>
  </si>
  <si>
    <t>AUTO MOTIVE PART</t>
  </si>
  <si>
    <t>BKK27</t>
  </si>
  <si>
    <t>POL: THBKK [SKOR/2612N]; T/S(1st): KRPUS [SDTR/2631N]; POD: RUVVO [/]</t>
  </si>
  <si>
    <t>oversea@freightlinks.co.th</t>
  </si>
  <si>
    <t>S19-2308006</t>
  </si>
  <si>
    <t>TH05MY</t>
  </si>
  <si>
    <t>382000</t>
  </si>
  <si>
    <t>NIPPON EXPRESS LOGISTICS (THAILAND) CO., LTD.</t>
  </si>
  <si>
    <t>TOYO SEIKAN (THAILAND) CO., LTD.</t>
  </si>
  <si>
    <t>TBKK55</t>
  </si>
  <si>
    <t>Vilaiporn</t>
  </si>
  <si>
    <t>DYDO BLEND</t>
  </si>
  <si>
    <t>Pickup : 2026-10-12, Return : 2026-10-13</t>
  </si>
  <si>
    <t>2026-09-08</t>
  </si>
  <si>
    <t>VARISIKA.TONGLOB@NIPPONEXPRESS.COM</t>
  </si>
  <si>
    <t>S19-2308033</t>
  </si>
  <si>
    <t>THTQV3</t>
  </si>
  <si>
    <t>2026-10-15</t>
  </si>
  <si>
    <t>CARGO CARE LOGISTICS CO., LTD.</t>
  </si>
  <si>
    <t>RIVER KWAI INTERNATIONAL FOOD INDUSTRY CO., LTD.</t>
  </si>
  <si>
    <t>TH0042</t>
  </si>
  <si>
    <t>Sukunpoj Damrongying</t>
  </si>
  <si>
    <t>SWEET CORN</t>
  </si>
  <si>
    <t xml:space="preserve">ROLL OVER FROM PREVIOUS VSL KMTP 2612N BY ALLOATION TEAM MS.TARN APPROVED COST IS UNDER HA DD.12/10
Good and clean Container (Food Grade)(No leaks, no odors, and no oil stains.)</t>
  </si>
  <si>
    <t>2026-09-09</t>
  </si>
  <si>
    <t>Dhunyakorn@cargocare.co.th</t>
  </si>
  <si>
    <t>S19-2002011</t>
  </si>
  <si>
    <t>THTHAU</t>
  </si>
  <si>
    <t>CHEVRON (THAILAND) LIMITED</t>
  </si>
  <si>
    <t>TH0011</t>
  </si>
  <si>
    <t>Nannaapust Sukporntaweewat</t>
  </si>
  <si>
    <t>LUBE OIL</t>
  </si>
  <si>
    <t>Pickup : 2026-10-10, Return : 2026-10-12</t>
  </si>
  <si>
    <t xml:space="preserve">S/C : S22-2408032Shipper       :          Chevron THAI LTD.POL               :        Bangkok, ThailandPOD              :        Hong KongCY BKK         :       10/OCTReturn BKK :         12/OCTFreight        :          PREPAID Volume        :         1x20'DCG.W.             :        20,000.00 KGS / 20'DCSpecial request: Container condition  GRADE B+ CNTR / CLEAN CNTR WITH GOOD CONDITION / NO SMELL/NODAMAGES / STRONG &amp; SMOOTH FLOOR / NO NAILS / LOAD UNDERDECK </t>
  </si>
  <si>
    <t>2026-09-14</t>
  </si>
  <si>
    <t>2026-10-10</t>
  </si>
  <si>
    <t>wilawan.prasanpim@dbschenker.com</t>
  </si>
  <si>
    <t>S22-2408032</t>
  </si>
  <si>
    <t>TH016T</t>
  </si>
  <si>
    <t>20'x3</t>
  </si>
  <si>
    <t>Pickup : 2026-10-14, Return : 2026-10-16</t>
  </si>
  <si>
    <t xml:space="preserve">FM 1X20GP DD 14/09Shipper       :          Chevron THAI LTD.POL               :        Bangkok, ThailandPOD              :        Hong KongCY BKK         :       10/OCTReturn BKK :         12/OCTFreight        :          PREPAID Volume        :         3x20'DCG.W.             :        20,000.00 KGS / 20'DCSpecial request: Container condition  GRADE B+ CNTR / CLEAN CNTR WITH GOOD CONDITION / NO SMELL/NODAMAGES / STRONG &amp; SMOOTH FLOOR / NO NAILS / LOAD UNDERDECK </t>
  </si>
  <si>
    <t>2026-10-20</t>
  </si>
  <si>
    <t>2026-11-01</t>
  </si>
  <si>
    <t>KR</t>
  </si>
  <si>
    <t>TH0013</t>
  </si>
  <si>
    <t>Papavadee Chiengchin</t>
  </si>
  <si>
    <t>GENERAL CARGO (CONSOL)</t>
  </si>
  <si>
    <t xml:space="preserve">CY-RTN : 12-14/10/20206 (CONSOL)
</t>
  </si>
  <si>
    <t>'Paninthorn@th.cpworldgroup.com'</t>
  </si>
  <si>
    <t>S22-2501030</t>
  </si>
  <si>
    <t>TH03A8</t>
  </si>
  <si>
    <t>40Hx1</t>
  </si>
  <si>
    <t>YUSEN LOGISTICS (THAILAND) CO., LTD.</t>
  </si>
  <si>
    <t>CON</t>
  </si>
  <si>
    <t>AS PER ATTACHED SHEET (CONSOL)</t>
  </si>
  <si>
    <t xml:space="preserve">Pickup : 2026-10-15, Return : 2026-10-16 CONSOL </t>
  </si>
  <si>
    <t>chayachon.s@th.yusen-logistics.com</t>
  </si>
  <si>
    <t>S19-2207004</t>
  </si>
  <si>
    <t>TH03TL</t>
  </si>
  <si>
    <t>BEER THIP BREWERY (1991) CO., LTD.</t>
  </si>
  <si>
    <t>CHANG SODA WATER</t>
  </si>
  <si>
    <t>Pickup : 2026-10-15, Return : 2026-10-16</t>
  </si>
  <si>
    <t xml:space="preserve">FM KJT 2611N DD 24/09 </t>
  </si>
  <si>
    <t>2026-09-16</t>
  </si>
  <si>
    <t>2026-10-06</t>
  </si>
  <si>
    <t xml:space="preserve">CHANG SODA WATER </t>
  </si>
  <si>
    <t>jitsupa.j@th.yusen-logistics.com</t>
  </si>
  <si>
    <t>S19-2112038</t>
  </si>
  <si>
    <t>ONE WORLD LOGISTICS AND FREIGHT CO., LTD.</t>
  </si>
  <si>
    <t>DUNI (THAILAND) CO., LTD.</t>
  </si>
  <si>
    <t>TBKK19</t>
  </si>
  <si>
    <t>Kanokporn</t>
  </si>
  <si>
    <t>PAPER NAPKIN</t>
  </si>
  <si>
    <t>Pickup : 2026-10-12, Return : 2026-10-13 (1ST RTN DD: 16/10/26 WO/RENT)</t>
  </si>
  <si>
    <t>FM CMA 2615N 09/10ISSUE B/L SURRENDER</t>
  </si>
  <si>
    <t xml:space="preserve">PAPER NAPKIN </t>
  </si>
  <si>
    <t>cs_ex@oneworld.co.th</t>
  </si>
  <si>
    <t>S22-2407011</t>
  </si>
  <si>
    <t>THTNSI</t>
  </si>
  <si>
    <t>20'x2</t>
  </si>
  <si>
    <t>2026-10-29</t>
  </si>
  <si>
    <t>DIMERCO EXPRESS (THAILAND) CO., LTD.</t>
  </si>
  <si>
    <t>ASIA MODIFIED STARCH CO.,LTD.</t>
  </si>
  <si>
    <t xml:space="preserve">MODIFIED STARCH </t>
  </si>
  <si>
    <t xml:space="preserve">Pickup : 2026-10-14, Return : 2026-10-16 
 </t>
  </si>
  <si>
    <t>Dry &amp; Clean Container (Food Grade) / Container grade A</t>
  </si>
  <si>
    <t>2026-09-17</t>
  </si>
  <si>
    <t>oe_dimbkk@dimerco.com</t>
  </si>
  <si>
    <t>S19-2307006</t>
  </si>
  <si>
    <t>BB0164</t>
  </si>
  <si>
    <t>40Hx3</t>
  </si>
  <si>
    <t>PILOT CONSOLIDATOR CO., LTD.</t>
  </si>
  <si>
    <t>CONSOLE (AS PER ATTACHED SHEET)</t>
  </si>
  <si>
    <t>Pickup : 2026-10-16, Return : 2026-10-16 CONSOL</t>
  </si>
  <si>
    <t>khwanruan@pilot.co.th</t>
  </si>
  <si>
    <t>S19-2308042</t>
  </si>
  <si>
    <t>THTH0M</t>
  </si>
  <si>
    <t>SONIC INTERFREIGHT PUBLIC COMPANY LIMITED</t>
  </si>
  <si>
    <t>THAI OTSUKA PHARMACEUTICAL CO., LTD.</t>
  </si>
  <si>
    <t>TBKK13</t>
  </si>
  <si>
    <t>Dharaporn</t>
  </si>
  <si>
    <t>MEDICAL (PARENTERAL SOLUTIONS)</t>
  </si>
  <si>
    <t>Pickup : 2026-10-12, Return : 2026-10-15 RTN CNTR  DD.15/10 NO COST RENT</t>
  </si>
  <si>
    <t>SHPR. THAI OTSUKACY-RTN : 12-13/10GOOD &amp; CLEAN CONT. , NO SMELL</t>
  </si>
  <si>
    <t>MEDICAL</t>
  </si>
  <si>
    <t>sirikul.t@sonic.co.th</t>
  </si>
  <si>
    <t>S22-2308022</t>
  </si>
  <si>
    <t>BB0481</t>
  </si>
  <si>
    <t>20RFx1</t>
  </si>
  <si>
    <t xml:space="preserve">NIPPN FOODS CORPORATION (THAILAND) LTD. </t>
  </si>
  <si>
    <t>RAW MATERIALS FOR MISTER DONUT &amp; FOODS</t>
  </si>
  <si>
    <t>RF// MIN:-18.0 MAX:-18.0 [COVER:CLOSE]</t>
  </si>
  <si>
    <t xml:space="preserve">22REx1 </t>
  </si>
  <si>
    <t xml:space="preserve">Pickup : 2026-10-16, Return : 2026-10-16 (Temp -18.0 / Vent Close) *PRECOOL*
CLS TIME 18/10/26 @23.59 (1ST DATE RTN 17/10/2026 W/O RENT,ELECTRIC)
COST PRECOOL = 1,000 BAHT</t>
  </si>
  <si>
    <t xml:space="preserve">COST PRECOOL = 1,000 BAHT
FM CMA 2615N 08/10**REQUEST: PRE-COOL = -18'C &amp; NO VENT**GOOD AND CLEAN CONTAINER FOR FOOD.</t>
  </si>
  <si>
    <t>2026-09-18</t>
  </si>
  <si>
    <t>kusumalnan.s@th.yusen-logistics.com</t>
  </si>
  <si>
    <t>22RE x1: RF(Temp:-18.0' / Cover:CLOSE)</t>
  </si>
  <si>
    <t xml:space="preserve">Pickup : 2026-10-16, Return : 2026-10-16  (Temp -18.0 / Vent Close) *PRECOOL*
CLS TIME 18/10/26 @23.59 (1ST DATE RTN 17/10/2026 W/O RENT,ELECTRIC)
COST PRECOOL = 1,000 BAHT</t>
  </si>
  <si>
    <t xml:space="preserve"> COST PRECOOL = 1,000 BAHT 
FM CMA 2615N 08/10**REQUEST: PRE-COOL = -18'C &amp; NO VENT**GOOD AND CLEAN CONTAINER FOR FOOD.</t>
  </si>
  <si>
    <t>2026-11-19</t>
  </si>
  <si>
    <t>JP</t>
  </si>
  <si>
    <t>NIPRO (THAILAND) CORPORATION LIMITED</t>
  </si>
  <si>
    <t>MEDICAL PRODUCT</t>
  </si>
  <si>
    <t>Pickup : 2026-10-17, Return : 2026-10-19</t>
  </si>
  <si>
    <t>ROLL OVER FROM PREVIOUS VSL SWMM 2610N BY ALLOCATION TEAM MS.TARN APRPOVED COST IS UNDER HA DD.21/10</t>
  </si>
  <si>
    <t>2026-09-21</t>
  </si>
  <si>
    <t>2026-10-17</t>
  </si>
  <si>
    <t>POL: THBKK [SKOR/2612N]; T/S(1st): KRPUS [HAKT/2640E]; POD: JPTMK [/]</t>
  </si>
  <si>
    <t>nelt-ayu-exportcs2@nipponexpress.com</t>
  </si>
  <si>
    <t>901831</t>
  </si>
  <si>
    <t>COSMOS BREWERY (THAILAND) CO.,LTD.</t>
  </si>
  <si>
    <t xml:space="preserve">CANNED CHANG BEER </t>
  </si>
  <si>
    <t>Pickup : 2026-10-12, Return : 2026-10-14</t>
  </si>
  <si>
    <t>ROLL OVER FROM PREVIOUS VSL KJT 2611N BY ALLOCATION TEAM MS.TARN APPROVED COST IS UNDER HA DD.16/10</t>
  </si>
  <si>
    <t>2026-09-22</t>
  </si>
  <si>
    <t>2026-10-23</t>
  </si>
  <si>
    <t>Barge</t>
  </si>
  <si>
    <t>ELC CONTAINER LINES CO.,LTD.</t>
  </si>
  <si>
    <t>THAI ARROW PRODUCTS CO., LTD.</t>
  </si>
  <si>
    <t xml:space="preserve">RAW MATERIAL FOR AUTOMOTIVE </t>
  </si>
  <si>
    <t>BL SURRENDERD</t>
  </si>
  <si>
    <t>2026-09-23</t>
  </si>
  <si>
    <t>RAW MATERIAL</t>
  </si>
  <si>
    <t>jum@elccont.com</t>
  </si>
  <si>
    <t>BKK14A0075-1</t>
  </si>
  <si>
    <t>BB0690</t>
  </si>
  <si>
    <t>TBKK47</t>
  </si>
  <si>
    <t>Tarn(Supaporn)</t>
  </si>
  <si>
    <t>WHEAT FLOUR</t>
  </si>
  <si>
    <t xml:space="preserve">Pickup : 2026-10-14, Return : 2026-10-15  (1ST RTN 16/10 W/O RENT) 
 </t>
  </si>
  <si>
    <t>FM 1X20GP DD 06/10 add 1 cont/rev cy-rtn/rev vessel, cy-rtn/DRY CONTAINER (GRADE A)/CY:  SMART LOGISTIC OR BE DEPOT, BANGNA-TRAD</t>
  </si>
  <si>
    <t>2026-09-24</t>
  </si>
  <si>
    <t>salelfr@laemthong.com</t>
  </si>
  <si>
    <t>S19-2009001</t>
  </si>
  <si>
    <t>X0920</t>
  </si>
  <si>
    <t>40Hx2</t>
  </si>
  <si>
    <t>CAL-COMP ELECTRONICS (THAILAND) PUBLIC COMPANY LIMITED</t>
  </si>
  <si>
    <t>LASER PRINTER</t>
  </si>
  <si>
    <t xml:space="preserve">Pickup : 2026-10-16, Return : 2026-10-16
</t>
  </si>
  <si>
    <t>FM TSXM 2618N 29/09Request clean container</t>
  </si>
  <si>
    <t>2026-09-29</t>
  </si>
  <si>
    <t>S1951</t>
  </si>
  <si>
    <t>Lee suk hyun</t>
  </si>
  <si>
    <t>HOUSEHOLD GLASSWARE</t>
  </si>
  <si>
    <t>C</t>
  </si>
  <si>
    <t>2026-09-30</t>
  </si>
  <si>
    <t>parima@oceanglass.com</t>
  </si>
  <si>
    <t>SEL14A0644-01</t>
  </si>
  <si>
    <t>THTKDS</t>
  </si>
  <si>
    <t>HASLS22260902803</t>
  </si>
  <si>
    <t>THAI LOGIST LLC CO., LTD.</t>
  </si>
  <si>
    <t>THAI LOGIST LLC, CO., LTD</t>
  </si>
  <si>
    <t>TABLEWARE OF PORCELAIN</t>
  </si>
  <si>
    <t xml:space="preserve">Pickup : 2026-10-08, Return : 2026-10-12 SOC 
CUSTOMS FORMALITY (SOC) BY HAL NO COST</t>
  </si>
  <si>
    <t>CUSTOMS FORMALITY (SOC) BY HAL NO COST</t>
  </si>
  <si>
    <t>2026-10-22</t>
  </si>
  <si>
    <t>CY/FO</t>
  </si>
  <si>
    <t>office@logist.group</t>
  </si>
  <si>
    <t>GUANGZHOU SHUNTONGLAI TRADING</t>
  </si>
  <si>
    <t>S22-2502045</t>
  </si>
  <si>
    <t>THTRF1</t>
  </si>
  <si>
    <t>POLAR STAR CO., LTD.</t>
  </si>
  <si>
    <t>PAT TERMINAL 2 (PORT AUTHORITY OF THAILAND) CFS</t>
  </si>
  <si>
    <t>NOODLE (THAI FOODSTUFFS AND CONSUMER PRODUCTS)</t>
  </si>
  <si>
    <t xml:space="preserve">STUFFING @PAT (SPORT LIGHT TOWER 2) DD.15/10/26 *CLS TIME CFS DD.16/10/26 - 17:00HRS.* </t>
  </si>
  <si>
    <t>CFS/ KF</t>
  </si>
  <si>
    <t>2026-10-01</t>
  </si>
  <si>
    <t>NOODLE</t>
  </si>
  <si>
    <t>CFS/CY</t>
  </si>
  <si>
    <t>SAO@POLARSTAR.CO.TH</t>
  </si>
  <si>
    <t>S22-2210039</t>
  </si>
  <si>
    <t>TH00A3</t>
  </si>
  <si>
    <t>40Hx8</t>
  </si>
  <si>
    <t>FULL WELL FREIGHT (THAILAND) CO., LTD.</t>
  </si>
  <si>
    <t>TBKK97</t>
  </si>
  <si>
    <t>Arunphat W. (Aiw)</t>
  </si>
  <si>
    <t>NON-DAIRY CERAMER</t>
  </si>
  <si>
    <t xml:space="preserve">CY-RTN 10-13/10/26 = 3X40'HC (1ST RETURN DD.13/10/26)
CY-RTN 12-13/10/26 = 1X40'HC
CY-RTN 12-14/10/26 = 4X40'HC
</t>
  </si>
  <si>
    <t xml:space="preserve">ROLL OVER FROM PREVOIUS VSL KJT 2611N BY ALLOCATION TEAM MS.TARN APRPOVED COST IS UNDER HA DD.15/10
- Food Grade Container Only- pick up empty at Smart depot- hs code: 21069030</t>
  </si>
  <si>
    <t>2026-10-02</t>
  </si>
  <si>
    <t>export@fullwellfreight.com</t>
  </si>
  <si>
    <t>S22-2606016</t>
  </si>
  <si>
    <t>THTI1C</t>
  </si>
  <si>
    <t>ROLL OVER FROM PREVOIUS VSL KJT 2611N BY ALLOCATION TEAM MS.TARN APRPOVED COST IS UNDER HA DD.15/10</t>
  </si>
  <si>
    <t>H2602</t>
  </si>
  <si>
    <t>Kim jaewon</t>
  </si>
  <si>
    <t>(FOOD PREPARATION)</t>
  </si>
  <si>
    <t xml:space="preserve">Pickup : 2026-10-16, Return : 2026-10-19
CLS TIME DD.20/10/2026 @ 06.00Hrs.</t>
  </si>
  <si>
    <t>NEED VERY CLEAN CONTAINER P.O.NO.SWP-0694-26</t>
  </si>
  <si>
    <t>2026-10-04</t>
  </si>
  <si>
    <t>MODIFIED TAPIOCA STARCH  SWP-0694-26</t>
  </si>
  <si>
    <t>product@poonphol.com</t>
  </si>
  <si>
    <t>K01-2501145</t>
  </si>
  <si>
    <t>TH05Z7</t>
  </si>
  <si>
    <t>CHEF'S CHOICE FOODS MANUFACTURER CO., LTD.</t>
  </si>
  <si>
    <t>ALOE VERA IN SYRUP AND COCONUT MILK</t>
  </si>
  <si>
    <t xml:space="preserve">Pickup : 2026-10-14, Return : 2026-10-16 </t>
  </si>
  <si>
    <t>RQST GOOD CLEAN AND DRY CONTAINER GRADE 'A'</t>
  </si>
  <si>
    <t>2026-10-05</t>
  </si>
  <si>
    <t xml:space="preserve">THAI FOODSTUFF </t>
  </si>
  <si>
    <t>JIRAWAT.H@th.yusen-logistics.com</t>
  </si>
  <si>
    <t>ACCORD PILOT LOGISTICS (THAILAND) CO., LTD.</t>
  </si>
  <si>
    <t>COCONUT SIAM EXPORT CO., LTD.</t>
  </si>
  <si>
    <t>THAI COOKING SETS</t>
  </si>
  <si>
    <t>*REQ. CONTAINER FOOD GRADE, GOOD &amp; CLEAN.</t>
  </si>
  <si>
    <t>kaewta@pilot.co.th</t>
  </si>
  <si>
    <t>S19-2310008</t>
  </si>
  <si>
    <t>THTIPI</t>
  </si>
  <si>
    <t xml:space="preserve">Pickup : 2026-10-15, Return : 2026-10-16 </t>
  </si>
  <si>
    <t>**GOOD AND CLEAN CONTAINER FOR FOOD (MISTER DONUT &amp; FOODS)</t>
  </si>
  <si>
    <t>20'x1 40Hx1</t>
  </si>
  <si>
    <t>KWE-KINTETSU WORLD EXPRESS (THAILAND) CO., LTD.</t>
  </si>
  <si>
    <t>NISSIN FOODS (THAILAND) CO., LTD.</t>
  </si>
  <si>
    <t>NISSIN INSTANT NOODLES THAI SIGNATURE</t>
  </si>
  <si>
    <t xml:space="preserve">Pickup : 2026-10-14, Return : 2026-10-15 (1ST RTN 16/10 W/O RENT) 
 </t>
  </si>
  <si>
    <t xml:space="preserve">FM KJT 2611N DD 07/10 </t>
  </si>
  <si>
    <t>2026-10-07</t>
  </si>
  <si>
    <t>INSTANT NOODLES BAG TYPE THAI SIGNATURE SERIES</t>
  </si>
  <si>
    <t>oceexp.kweth@kwe.com;ocersv.kweth@kwe.com;waraphon.fungsuk@kwe.com;napasorn.achanond@kwe.com</t>
  </si>
  <si>
    <t>S22-2605009</t>
  </si>
  <si>
    <t>THTJIX</t>
  </si>
  <si>
    <t>EMBASSY FREIGHT (THAILAND) CO., LTD.</t>
  </si>
  <si>
    <t>MITSUBISHI HEAVY INDUSTRIES-MAHAJAK AIR CONDITIONERS CO.,LTD</t>
  </si>
  <si>
    <t>AIR CONDITIONERS</t>
  </si>
  <si>
    <t>Pickup : 2026-10-14, Return : 2026-10-15 [1ST RTN 16/10/2026 W/O RENT]</t>
  </si>
  <si>
    <t xml:space="preserve">FM KMTP 2612N  DD 09/10 1X40'HQ (10 TON), CY: 08/10-RTN: 09/10 after 24.00 PM, COM.: AIR CONDITIONERS (HS:841510),GOOD AND CLEAN CONTAINER, NO OIL, NO SMELL, S/MITSUBISHI HEAVY INDUSTRIES </t>
  </si>
  <si>
    <t>AIR CONDITIONERS, HS:841510</t>
  </si>
  <si>
    <t>seaexport5@embassyfreightbkk.com</t>
  </si>
  <si>
    <t>S22-2410001</t>
  </si>
  <si>
    <t>THTMY0</t>
  </si>
  <si>
    <t>841510</t>
  </si>
  <si>
    <t>TRUE MARINE CO., LTD.</t>
  </si>
  <si>
    <t>P.S.P. SPECIALTIES PUBLIC COMPANY LIMITED</t>
  </si>
  <si>
    <t>LUBRICANT BASE OIL</t>
  </si>
  <si>
    <t>**REQUEST GOOD AND CLEAN CONTAINER**CY AT BANGKOK 15.10.2026 RETURN AT BANGKOK 16.10.2026/ PLEASE SHOW FREETIME</t>
  </si>
  <si>
    <t xml:space="preserve">LUBRICANT BASE OIL </t>
  </si>
  <si>
    <t>op.support@truemarine.co.th</t>
  </si>
  <si>
    <t>S22-2408031</t>
  </si>
  <si>
    <t>THTKB2</t>
  </si>
  <si>
    <t>TITANIUM INTERNATIONAL CO., LTD.</t>
  </si>
  <si>
    <t>ROSE COVER,AL KNOB,ALUMINUM HANDLE,ZINC COVER,HANDLESET,ZAMAK 3</t>
  </si>
  <si>
    <t>Pickup : 2026-10-19, Return : 2026-10-19 (EXTEND CLOSING 19/10/26 @23.59)</t>
  </si>
  <si>
    <t>REQ GOOD CLEAN CONTAINER, NO RUST, NO SMELL, NO DENTS.</t>
  </si>
  <si>
    <t>ZINC COVER</t>
  </si>
  <si>
    <t>nattida.pi@starconcord.co.th</t>
  </si>
  <si>
    <t>S19-1912005</t>
  </si>
  <si>
    <t>THTIYM</t>
  </si>
  <si>
    <t>R40Hx1</t>
  </si>
  <si>
    <t>C.P. INTERTRADE CO., LTD.</t>
  </si>
  <si>
    <t>CPF FOOD NETWORK CO., LTD.</t>
  </si>
  <si>
    <t>FROZEN FULLY COOKED CHICKEN MEAT</t>
  </si>
  <si>
    <t xml:space="preserve">45REx1 </t>
  </si>
  <si>
    <t xml:space="preserve">Pickup : 2026-10-19, Return : 2026-10-20 (Temp -18.0 / Vent Close)  *PRECOOL*
CLS TIME 21/10/26 @ 07.00Hrs. COST PRECOOL = 1,200 BAHT</t>
  </si>
  <si>
    <t xml:space="preserve"> COST PRECOOL = 1,200 BAHTCY : 19/10 AT BKKRTN : 20/10 AT BKKTEMP -18'C PRECOOL   REQUEST CLEAN &amp; GOOD CONTAINERSEND BOOKING TO : apichaya.sae@cpintertrade.com</t>
  </si>
  <si>
    <t>FROZEN PREPARED CHICKEN MEAT</t>
  </si>
  <si>
    <t>apichaya.sae@cpintertrade.com</t>
  </si>
  <si>
    <t>45RE x1: RF(Temp:-18.0' / Cover:CLOSE)</t>
  </si>
  <si>
    <t>S19-2308018</t>
  </si>
  <si>
    <t>THTQ0T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</si>
  <si>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</si>
  <si>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</si>
  <si>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</si>
  <si>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</si>
  <si>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</si>
  <si>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</si>
  <si>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</si>
  <si>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</si>
  <si>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</si>
  <si>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</si>
  <si>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</si>
  <si>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</si>
  <si>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</si>
  <si>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</si>
  <si>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</si>
  <si>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</si>
  <si>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</si>
  <si>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</si>
  <si>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</si>
  <si>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</si>
  <si>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</si>
  <si>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</si>
  <si>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</si>
  <si>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</si>
  <si>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</si>
  <si>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</si>
  <si>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</si>
  <si>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</si>
  <si>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</si>
  <si>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0020</t>
  </si>
  <si>
    <t>Sirichai Prayochananon</t>
  </si>
  <si>
    <t>Full</t>
  </si>
  <si>
    <t xml:space="preserve">20'x1 </t>
  </si>
  <si>
    <t>2016</t>
  </si>
  <si>
    <t>2359</t>
  </si>
  <si>
    <t>TBKK42</t>
  </si>
  <si>
    <t>0015</t>
  </si>
  <si>
    <t>2013</t>
  </si>
  <si>
    <t>1258</t>
  </si>
  <si>
    <t>Chuanchuen</t>
  </si>
  <si>
    <t xml:space="preserve">20'x3 </t>
  </si>
  <si>
    <t>2015</t>
  </si>
  <si>
    <t>1622</t>
  </si>
  <si>
    <t>TBKK07</t>
  </si>
  <si>
    <t>0136</t>
  </si>
  <si>
    <t>2021</t>
  </si>
  <si>
    <t>1246</t>
  </si>
  <si>
    <t xml:space="preserve">20'x2 </t>
  </si>
  <si>
    <t>2023</t>
  </si>
  <si>
    <t>1243</t>
  </si>
  <si>
    <t>2024</t>
  </si>
  <si>
    <t>1212</t>
  </si>
  <si>
    <t>0005</t>
  </si>
  <si>
    <t>2025</t>
  </si>
  <si>
    <t>2044</t>
  </si>
  <si>
    <t>IFW</t>
  </si>
  <si>
    <t>1100</t>
  </si>
  <si>
    <t>HAL404666</t>
  </si>
  <si>
    <t>Chotika</t>
  </si>
  <si>
    <t>1516</t>
  </si>
  <si>
    <t>TBKK06</t>
  </si>
  <si>
    <t>1759</t>
  </si>
  <si>
    <t xml:space="preserve">40Hx1 20'x1 </t>
  </si>
  <si>
    <t>0329</t>
  </si>
  <si>
    <t xml:space="preserve">40Hx2 </t>
  </si>
  <si>
    <t>2014</t>
  </si>
  <si>
    <t>2227</t>
  </si>
  <si>
    <t xml:space="preserve">R40Hx1 </t>
  </si>
  <si>
    <t>CARRIER</t>
  </si>
  <si>
    <t>69NT40-571-112</t>
  </si>
  <si>
    <t>1038</t>
  </si>
  <si>
    <t>2026-10-13</t>
  </si>
  <si>
    <t>0043</t>
  </si>
  <si>
    <t xml:space="preserve">40Hx8 </t>
  </si>
  <si>
    <t>0021</t>
  </si>
  <si>
    <t>1722</t>
  </si>
  <si>
    <t xml:space="preserve">40Hx1 </t>
  </si>
  <si>
    <t>1553</t>
  </si>
  <si>
    <t>1844</t>
  </si>
  <si>
    <t>1039</t>
  </si>
  <si>
    <t>1303</t>
  </si>
  <si>
    <t xml:space="preserve">40Hx3 </t>
  </si>
  <si>
    <t>1313</t>
  </si>
  <si>
    <t>0013</t>
  </si>
  <si>
    <t>1927</t>
  </si>
  <si>
    <t>0032</t>
  </si>
  <si>
    <t>1339</t>
  </si>
  <si>
    <t>2011</t>
  </si>
  <si>
    <t>2117</t>
  </si>
  <si>
    <t xml:space="preserve">20RFx1 </t>
  </si>
  <si>
    <t>69NT40-561-507</t>
  </si>
  <si>
    <t>2000</t>
  </si>
  <si>
    <t>0845</t>
  </si>
  <si>
    <t>1306</t>
  </si>
  <si>
    <t>0408</t>
  </si>
  <si>
    <t>0358</t>
  </si>
  <si>
    <t>2318</t>
  </si>
  <si>
    <t>2004</t>
  </si>
  <si>
    <t>0842</t>
  </si>
  <si>
    <t>1259</t>
  </si>
  <si>
    <t>1300</t>
  </si>
  <si>
    <t>2018</t>
  </si>
  <si>
    <t>0006</t>
  </si>
  <si>
    <t>2026-10-11</t>
  </si>
  <si>
    <t>0426</t>
  </si>
  <si>
    <t>2325</t>
  </si>
  <si>
    <t>0402</t>
  </si>
  <si>
    <t>1237</t>
  </si>
  <si>
    <t>2019</t>
  </si>
  <si>
    <t>2122</t>
  </si>
  <si>
    <t>2259</t>
  </si>
  <si>
    <t>2131</t>
  </si>
  <si>
    <t>1602</t>
  </si>
  <si>
    <t>0210</t>
  </si>
  <si>
    <t>1349</t>
  </si>
  <si>
    <t>2028</t>
  </si>
  <si>
    <t>2149</t>
  </si>
  <si>
    <t>1042</t>
  </si>
  <si>
    <t>1925</t>
  </si>
  <si>
    <t>1307</t>
  </si>
  <si>
    <t>1242</t>
  </si>
  <si>
    <t>BKK04</t>
  </si>
  <si>
    <t>2252</t>
  </si>
  <si>
    <t>0954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</si>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</sst>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66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0" fillId="2" borderId="0" xfId="0" applyFont="1" applyFill="1" applyAlignment="1">
      <alignment vertical="center"/>
    </xf>
    <xf numFmtId="0" fontId="11" fillId="2" borderId="5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readingOrder="1"/>
    </xf>
    <xf numFmtId="49" fontId="16" fillId="3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49" fontId="4" fillId="10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9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horizontal="center" vertical="center"/>
    </xf>
    <xf numFmtId="169" fontId="14" fillId="2" borderId="7" xfId="0" applyNumberFormat="1" applyFont="1" applyFill="1" applyBorder="1" applyAlignment="1">
      <alignment horizontal="center" vertical="center"/>
    </xf>
    <xf numFmtId="169" fontId="6" fillId="2" borderId="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1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19960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52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53</v>
      </c>
      <c r="R3" s="3" t="s">
        <v>44</v>
      </c>
      <c r="S3" s="3" t="s">
        <v>44</v>
      </c>
      <c r="T3" s="3" t="s">
        <v>45</v>
      </c>
      <c r="U3" s="5"/>
      <c r="V3" s="3" t="s">
        <v>54</v>
      </c>
      <c r="W3" s="3" t="s">
        <v>47</v>
      </c>
      <c r="X3" s="3" t="s">
        <v>48</v>
      </c>
      <c r="Y3" s="3" t="s">
        <v>49</v>
      </c>
      <c r="Z3" s="3" t="s">
        <v>49</v>
      </c>
      <c r="AA3" s="5">
        <v>20060</v>
      </c>
      <c r="AB3" s="3" t="s">
        <v>40</v>
      </c>
      <c r="AC3" s="3" t="s">
        <v>50</v>
      </c>
    </row>
    <row r="4" ht="12" customHeight="1" spans="1:29" x14ac:dyDescent="0.25">
      <c r="A4" s="3" t="s">
        <v>55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36</v>
      </c>
      <c r="J4" s="3" t="s">
        <v>36</v>
      </c>
      <c r="K4" s="3" t="s">
        <v>37</v>
      </c>
      <c r="L4" s="3" t="s">
        <v>52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56</v>
      </c>
      <c r="R4" s="3" t="s">
        <v>44</v>
      </c>
      <c r="S4" s="3" t="s">
        <v>44</v>
      </c>
      <c r="T4" s="3" t="s">
        <v>45</v>
      </c>
      <c r="U4" s="5"/>
      <c r="V4" s="3" t="s">
        <v>57</v>
      </c>
      <c r="W4" s="3" t="s">
        <v>58</v>
      </c>
      <c r="X4" s="3" t="s">
        <v>48</v>
      </c>
      <c r="Y4" s="3" t="s">
        <v>59</v>
      </c>
      <c r="Z4" s="3" t="s">
        <v>59</v>
      </c>
      <c r="AA4" s="5">
        <v>10242.68</v>
      </c>
      <c r="AB4" s="3" t="s">
        <v>40</v>
      </c>
      <c r="AC4" s="3" t="s">
        <v>50</v>
      </c>
    </row>
    <row r="5" ht="12" customHeight="1" spans="1:29" x14ac:dyDescent="0.25">
      <c r="A5" s="3" t="s">
        <v>60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35</v>
      </c>
      <c r="I5" s="3" t="s">
        <v>36</v>
      </c>
      <c r="J5" s="3" t="s">
        <v>36</v>
      </c>
      <c r="K5" s="3" t="s">
        <v>37</v>
      </c>
      <c r="L5" s="3" t="s">
        <v>52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61</v>
      </c>
      <c r="R5" s="3" t="s">
        <v>44</v>
      </c>
      <c r="S5" s="3" t="s">
        <v>44</v>
      </c>
      <c r="T5" s="3" t="s">
        <v>45</v>
      </c>
      <c r="U5" s="5"/>
      <c r="V5" s="3" t="s">
        <v>62</v>
      </c>
      <c r="W5" s="3" t="s">
        <v>63</v>
      </c>
      <c r="X5" s="3" t="s">
        <v>48</v>
      </c>
      <c r="Y5" s="3" t="s">
        <v>64</v>
      </c>
      <c r="Z5" s="3" t="s">
        <v>64</v>
      </c>
      <c r="AA5" s="5">
        <v>5111</v>
      </c>
      <c r="AB5" s="3" t="s">
        <v>40</v>
      </c>
      <c r="AC5" s="3" t="s">
        <v>50</v>
      </c>
    </row>
    <row r="6" ht="12" customHeight="1" spans="1:29" x14ac:dyDescent="0.25">
      <c r="A6" s="3" t="s">
        <v>65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66</v>
      </c>
      <c r="J6" s="3" t="s">
        <v>66</v>
      </c>
      <c r="K6" s="3" t="s">
        <v>37</v>
      </c>
      <c r="L6" s="3" t="s">
        <v>52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67</v>
      </c>
      <c r="R6" s="3" t="s">
        <v>44</v>
      </c>
      <c r="S6" s="3" t="s">
        <v>44</v>
      </c>
      <c r="T6" s="3" t="s">
        <v>45</v>
      </c>
      <c r="U6" s="5"/>
      <c r="V6" s="3" t="s">
        <v>68</v>
      </c>
      <c r="W6" s="3" t="s">
        <v>69</v>
      </c>
      <c r="X6" s="3" t="s">
        <v>48</v>
      </c>
      <c r="Y6" s="3" t="s">
        <v>70</v>
      </c>
      <c r="Z6" s="3" t="s">
        <v>71</v>
      </c>
      <c r="AA6" s="5">
        <v>18288</v>
      </c>
      <c r="AB6" s="3" t="s">
        <v>40</v>
      </c>
      <c r="AC6" s="3" t="s">
        <v>72</v>
      </c>
    </row>
    <row r="7" ht="12" customHeight="1" spans="1:29" x14ac:dyDescent="0.25">
      <c r="A7" s="3" t="s">
        <v>73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52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74</v>
      </c>
      <c r="R7" s="3" t="s">
        <v>44</v>
      </c>
      <c r="S7" s="3" t="s">
        <v>44</v>
      </c>
      <c r="T7" s="3" t="s">
        <v>45</v>
      </c>
      <c r="U7" s="5"/>
      <c r="V7" s="3" t="s">
        <v>75</v>
      </c>
      <c r="W7" s="3" t="s">
        <v>76</v>
      </c>
      <c r="X7" s="3" t="s">
        <v>48</v>
      </c>
      <c r="Y7" s="3" t="s">
        <v>77</v>
      </c>
      <c r="Z7" s="3" t="s">
        <v>77</v>
      </c>
      <c r="AA7" s="5">
        <v>2106</v>
      </c>
      <c r="AB7" s="3" t="s">
        <v>40</v>
      </c>
      <c r="AC7" s="3" t="s">
        <v>50</v>
      </c>
    </row>
    <row r="8" ht="12" customHeight="1" spans="1:29" x14ac:dyDescent="0.25">
      <c r="A8" s="3" t="s">
        <v>78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/>
      <c r="H8" s="3" t="s">
        <v>35</v>
      </c>
      <c r="I8" s="3" t="s">
        <v>36</v>
      </c>
      <c r="J8" s="3" t="s">
        <v>36</v>
      </c>
      <c r="K8" s="3" t="s">
        <v>37</v>
      </c>
      <c r="L8" s="3" t="s">
        <v>52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79</v>
      </c>
      <c r="R8" s="3" t="s">
        <v>44</v>
      </c>
      <c r="S8" s="3" t="s">
        <v>44</v>
      </c>
      <c r="T8" s="3" t="s">
        <v>45</v>
      </c>
      <c r="U8" s="5"/>
      <c r="V8" s="3" t="s">
        <v>80</v>
      </c>
      <c r="W8" s="3" t="s">
        <v>63</v>
      </c>
      <c r="X8" s="3" t="s">
        <v>48</v>
      </c>
      <c r="Y8" s="3" t="s">
        <v>64</v>
      </c>
      <c r="Z8" s="3" t="s">
        <v>64</v>
      </c>
      <c r="AA8" s="5">
        <v>19440</v>
      </c>
      <c r="AB8" s="3" t="s">
        <v>40</v>
      </c>
      <c r="AC8" s="3" t="s">
        <v>50</v>
      </c>
    </row>
    <row r="9" ht="12" customHeight="1" spans="1:29" x14ac:dyDescent="0.25">
      <c r="A9" s="3" t="s">
        <v>81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35</v>
      </c>
      <c r="I9" s="3" t="s">
        <v>36</v>
      </c>
      <c r="J9" s="3" t="s">
        <v>36</v>
      </c>
      <c r="K9" s="3" t="s">
        <v>37</v>
      </c>
      <c r="L9" s="3" t="s">
        <v>52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82</v>
      </c>
      <c r="R9" s="3" t="s">
        <v>44</v>
      </c>
      <c r="S9" s="3" t="s">
        <v>44</v>
      </c>
      <c r="T9" s="3" t="s">
        <v>45</v>
      </c>
      <c r="U9" s="5"/>
      <c r="V9" s="3" t="s">
        <v>83</v>
      </c>
      <c r="W9" s="3" t="s">
        <v>84</v>
      </c>
      <c r="X9" s="3" t="s">
        <v>48</v>
      </c>
      <c r="Y9" s="3" t="s">
        <v>85</v>
      </c>
      <c r="Z9" s="3" t="s">
        <v>86</v>
      </c>
      <c r="AA9" s="5">
        <v>20720.7</v>
      </c>
      <c r="AB9" s="3" t="s">
        <v>40</v>
      </c>
      <c r="AC9" s="3" t="s">
        <v>50</v>
      </c>
    </row>
    <row r="10" ht="12" customHeight="1" spans="1:29" x14ac:dyDescent="0.25">
      <c r="A10" s="3" t="s">
        <v>87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35</v>
      </c>
      <c r="I10" s="3" t="s">
        <v>88</v>
      </c>
      <c r="J10" s="3" t="s">
        <v>89</v>
      </c>
      <c r="K10" s="3" t="s">
        <v>37</v>
      </c>
      <c r="L10" s="3" t="s">
        <v>52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90</v>
      </c>
      <c r="R10" s="3" t="s">
        <v>91</v>
      </c>
      <c r="S10" s="3" t="s">
        <v>44</v>
      </c>
      <c r="T10" s="3" t="s">
        <v>45</v>
      </c>
      <c r="U10" s="5"/>
      <c r="V10" s="3" t="s">
        <v>83</v>
      </c>
      <c r="W10" s="3" t="s">
        <v>92</v>
      </c>
      <c r="X10" s="3" t="s">
        <v>48</v>
      </c>
      <c r="Y10" s="3" t="s">
        <v>93</v>
      </c>
      <c r="Z10" s="3" t="s">
        <v>93</v>
      </c>
      <c r="AA10" s="5">
        <v>2831.9</v>
      </c>
      <c r="AB10" s="3" t="s">
        <v>40</v>
      </c>
      <c r="AC10" s="3" t="s">
        <v>94</v>
      </c>
    </row>
    <row r="11" ht="12" customHeight="1" spans="1:29" x14ac:dyDescent="0.25">
      <c r="A11" s="3" t="s">
        <v>95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35</v>
      </c>
      <c r="I11" s="3" t="s">
        <v>36</v>
      </c>
      <c r="J11" s="3" t="s">
        <v>36</v>
      </c>
      <c r="K11" s="3" t="s">
        <v>37</v>
      </c>
      <c r="L11" s="3" t="s">
        <v>52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96</v>
      </c>
      <c r="R11" s="3" t="s">
        <v>44</v>
      </c>
      <c r="S11" s="3" t="s">
        <v>44</v>
      </c>
      <c r="T11" s="3" t="s">
        <v>45</v>
      </c>
      <c r="U11" s="5"/>
      <c r="V11" s="3" t="s">
        <v>83</v>
      </c>
      <c r="W11" s="3" t="s">
        <v>97</v>
      </c>
      <c r="X11" s="3" t="s">
        <v>48</v>
      </c>
      <c r="Y11" s="3" t="s">
        <v>98</v>
      </c>
      <c r="Z11" s="3" t="s">
        <v>98</v>
      </c>
      <c r="AA11" s="5">
        <v>15236</v>
      </c>
      <c r="AB11" s="3" t="s">
        <v>40</v>
      </c>
      <c r="AC11" s="3" t="s">
        <v>50</v>
      </c>
    </row>
    <row r="12" ht="12" customHeight="1" spans="1:29" x14ac:dyDescent="0.25">
      <c r="A12" s="3" t="s">
        <v>99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36</v>
      </c>
      <c r="J12" s="3" t="s">
        <v>36</v>
      </c>
      <c r="K12" s="3" t="s">
        <v>37</v>
      </c>
      <c r="L12" s="3" t="s">
        <v>52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100</v>
      </c>
      <c r="R12" s="3" t="s">
        <v>44</v>
      </c>
      <c r="S12" s="3" t="s">
        <v>44</v>
      </c>
      <c r="T12" s="3" t="s">
        <v>45</v>
      </c>
      <c r="U12" s="5"/>
      <c r="V12" s="3" t="s">
        <v>101</v>
      </c>
      <c r="W12" s="3" t="s">
        <v>102</v>
      </c>
      <c r="X12" s="3" t="s">
        <v>48</v>
      </c>
      <c r="Y12" s="3" t="s">
        <v>103</v>
      </c>
      <c r="Z12" s="3" t="s">
        <v>103</v>
      </c>
      <c r="AA12" s="5">
        <v>9871</v>
      </c>
      <c r="AB12" s="3" t="s">
        <v>40</v>
      </c>
      <c r="AC12" s="3" t="s">
        <v>50</v>
      </c>
    </row>
    <row r="13" ht="12" customHeight="1" spans="1:29" x14ac:dyDescent="0.25">
      <c r="A13" s="3" t="s">
        <v>104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52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105</v>
      </c>
      <c r="R13" s="3" t="s">
        <v>44</v>
      </c>
      <c r="S13" s="3" t="s">
        <v>44</v>
      </c>
      <c r="T13" s="3" t="s">
        <v>45</v>
      </c>
      <c r="U13" s="5"/>
      <c r="V13" s="3" t="s">
        <v>106</v>
      </c>
      <c r="W13" s="3" t="s">
        <v>107</v>
      </c>
      <c r="X13" s="3" t="s">
        <v>48</v>
      </c>
      <c r="Y13" s="3" t="s">
        <v>108</v>
      </c>
      <c r="Z13" s="3" t="s">
        <v>108</v>
      </c>
      <c r="AA13" s="5">
        <v>3116</v>
      </c>
      <c r="AB13" s="3" t="s">
        <v>40</v>
      </c>
      <c r="AC13" s="3" t="s">
        <v>50</v>
      </c>
    </row>
    <row r="14" ht="12" customHeight="1" spans="1:29" x14ac:dyDescent="0.25">
      <c r="A14" s="3" t="s">
        <v>109</v>
      </c>
      <c r="B14" s="4" t="s">
        <v>30</v>
      </c>
      <c r="C14" s="3" t="s">
        <v>31</v>
      </c>
      <c r="D14" s="3" t="s">
        <v>32</v>
      </c>
      <c r="E14" s="3" t="s">
        <v>110</v>
      </c>
      <c r="F14" s="3" t="s">
        <v>34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37</v>
      </c>
      <c r="L14" s="3" t="s">
        <v>52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111</v>
      </c>
      <c r="R14" s="3" t="s">
        <v>44</v>
      </c>
      <c r="S14" s="3" t="s">
        <v>44</v>
      </c>
      <c r="T14" s="3" t="s">
        <v>45</v>
      </c>
      <c r="U14" s="5"/>
      <c r="V14" s="3" t="s">
        <v>112</v>
      </c>
      <c r="W14" s="3" t="s">
        <v>69</v>
      </c>
      <c r="X14" s="3" t="s">
        <v>48</v>
      </c>
      <c r="Y14" s="3" t="s">
        <v>113</v>
      </c>
      <c r="Z14" s="3" t="s">
        <v>113</v>
      </c>
      <c r="AA14" s="5">
        <v>9072</v>
      </c>
      <c r="AB14" s="3" t="s">
        <v>40</v>
      </c>
      <c r="AC14" s="3" t="s">
        <v>50</v>
      </c>
    </row>
    <row r="15" ht="12" customHeight="1" spans="1:29" x14ac:dyDescent="0.25">
      <c r="A15" s="3" t="s">
        <v>114</v>
      </c>
      <c r="B15" s="4" t="s">
        <v>30</v>
      </c>
      <c r="C15" s="3" t="s">
        <v>31</v>
      </c>
      <c r="D15" s="3" t="s">
        <v>32</v>
      </c>
      <c r="E15" s="3" t="s">
        <v>115</v>
      </c>
      <c r="F15" s="3" t="s">
        <v>34</v>
      </c>
      <c r="G15" s="3"/>
      <c r="H15" s="3" t="s">
        <v>35</v>
      </c>
      <c r="I15" s="3" t="s">
        <v>88</v>
      </c>
      <c r="J15" s="3" t="s">
        <v>88</v>
      </c>
      <c r="K15" s="3" t="s">
        <v>37</v>
      </c>
      <c r="L15" s="3" t="s">
        <v>52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116</v>
      </c>
      <c r="R15" s="3" t="s">
        <v>44</v>
      </c>
      <c r="S15" s="3" t="s">
        <v>44</v>
      </c>
      <c r="T15" s="3" t="s">
        <v>45</v>
      </c>
      <c r="U15" s="5"/>
      <c r="V15" s="3" t="s">
        <v>117</v>
      </c>
      <c r="W15" s="3" t="s">
        <v>118</v>
      </c>
      <c r="X15" s="3" t="s">
        <v>48</v>
      </c>
      <c r="Y15" s="3" t="s">
        <v>119</v>
      </c>
      <c r="Z15" s="3" t="s">
        <v>119</v>
      </c>
      <c r="AA15" s="5">
        <v>15785</v>
      </c>
      <c r="AB15" s="3" t="s">
        <v>40</v>
      </c>
      <c r="AC15" s="3" t="s">
        <v>120</v>
      </c>
    </row>
    <row r="16" ht="12" customHeight="1" spans="1:29" x14ac:dyDescent="0.25">
      <c r="A16" s="3" t="s">
        <v>121</v>
      </c>
      <c r="B16" s="4" t="s">
        <v>30</v>
      </c>
      <c r="C16" s="3" t="s">
        <v>31</v>
      </c>
      <c r="D16" s="3" t="s">
        <v>32</v>
      </c>
      <c r="E16" s="3" t="s">
        <v>110</v>
      </c>
      <c r="F16" s="3" t="s">
        <v>34</v>
      </c>
      <c r="G16" s="3" t="s">
        <v>35</v>
      </c>
      <c r="H16" s="3" t="s">
        <v>35</v>
      </c>
      <c r="I16" s="3" t="s">
        <v>36</v>
      </c>
      <c r="J16" s="3" t="s">
        <v>36</v>
      </c>
      <c r="K16" s="3" t="s">
        <v>37</v>
      </c>
      <c r="L16" s="3" t="s">
        <v>52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122</v>
      </c>
      <c r="R16" s="3" t="s">
        <v>44</v>
      </c>
      <c r="S16" s="3" t="s">
        <v>44</v>
      </c>
      <c r="T16" s="3" t="s">
        <v>45</v>
      </c>
      <c r="U16" s="5"/>
      <c r="V16" s="3" t="s">
        <v>123</v>
      </c>
      <c r="W16" s="3" t="s">
        <v>124</v>
      </c>
      <c r="X16" s="3" t="s">
        <v>48</v>
      </c>
      <c r="Y16" s="3" t="s">
        <v>125</v>
      </c>
      <c r="Z16" s="3" t="s">
        <v>125</v>
      </c>
      <c r="AA16" s="5">
        <v>25500</v>
      </c>
      <c r="AB16" s="3" t="s">
        <v>40</v>
      </c>
      <c r="AC16" s="3" t="s">
        <v>50</v>
      </c>
    </row>
    <row r="17" ht="12" customHeight="1" spans="1:29" x14ac:dyDescent="0.25">
      <c r="A17" s="3" t="s">
        <v>126</v>
      </c>
      <c r="B17" s="4" t="s">
        <v>30</v>
      </c>
      <c r="C17" s="3" t="s">
        <v>31</v>
      </c>
      <c r="D17" s="3" t="s">
        <v>32</v>
      </c>
      <c r="E17" s="3" t="s">
        <v>110</v>
      </c>
      <c r="F17" s="3" t="s">
        <v>34</v>
      </c>
      <c r="G17" s="3" t="s">
        <v>35</v>
      </c>
      <c r="H17" s="3" t="s">
        <v>35</v>
      </c>
      <c r="I17" s="3" t="s">
        <v>36</v>
      </c>
      <c r="J17" s="3" t="s">
        <v>36</v>
      </c>
      <c r="K17" s="3" t="s">
        <v>37</v>
      </c>
      <c r="L17" s="3" t="s">
        <v>52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127</v>
      </c>
      <c r="R17" s="3" t="s">
        <v>44</v>
      </c>
      <c r="S17" s="3" t="s">
        <v>44</v>
      </c>
      <c r="T17" s="3" t="s">
        <v>45</v>
      </c>
      <c r="U17" s="5"/>
      <c r="V17" s="3" t="s">
        <v>128</v>
      </c>
      <c r="W17" s="3" t="s">
        <v>63</v>
      </c>
      <c r="X17" s="3" t="s">
        <v>48</v>
      </c>
      <c r="Y17" s="3" t="s">
        <v>64</v>
      </c>
      <c r="Z17" s="3" t="s">
        <v>64</v>
      </c>
      <c r="AA17" s="5">
        <v>5421.81</v>
      </c>
      <c r="AB17" s="3" t="s">
        <v>40</v>
      </c>
      <c r="AC17" s="3" t="s">
        <v>50</v>
      </c>
    </row>
    <row r="18" ht="12" customHeight="1" spans="1:29" x14ac:dyDescent="0.25">
      <c r="A18" s="3" t="s">
        <v>129</v>
      </c>
      <c r="B18" s="4" t="s">
        <v>30</v>
      </c>
      <c r="C18" s="3" t="s">
        <v>31</v>
      </c>
      <c r="D18" s="3" t="s">
        <v>32</v>
      </c>
      <c r="E18" s="3" t="s">
        <v>110</v>
      </c>
      <c r="F18" s="3" t="s">
        <v>34</v>
      </c>
      <c r="G18" s="3" t="s">
        <v>35</v>
      </c>
      <c r="H18" s="3" t="s">
        <v>35</v>
      </c>
      <c r="I18" s="3" t="s">
        <v>36</v>
      </c>
      <c r="J18" s="3" t="s">
        <v>36</v>
      </c>
      <c r="K18" s="3" t="s">
        <v>37</v>
      </c>
      <c r="L18" s="3" t="s">
        <v>52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122</v>
      </c>
      <c r="R18" s="3" t="s">
        <v>44</v>
      </c>
      <c r="S18" s="3" t="s">
        <v>44</v>
      </c>
      <c r="T18" s="3" t="s">
        <v>45</v>
      </c>
      <c r="U18" s="5"/>
      <c r="V18" s="3" t="s">
        <v>130</v>
      </c>
      <c r="W18" s="3" t="s">
        <v>124</v>
      </c>
      <c r="X18" s="3" t="s">
        <v>48</v>
      </c>
      <c r="Y18" s="3" t="s">
        <v>125</v>
      </c>
      <c r="Z18" s="3" t="s">
        <v>125</v>
      </c>
      <c r="AA18" s="5">
        <v>25500</v>
      </c>
      <c r="AB18" s="3" t="s">
        <v>40</v>
      </c>
      <c r="AC18" s="3" t="s">
        <v>50</v>
      </c>
    </row>
    <row r="19" ht="12" customHeight="1" spans="1:29" x14ac:dyDescent="0.25">
      <c r="A19" s="3" t="s">
        <v>131</v>
      </c>
      <c r="B19" s="4" t="s">
        <v>30</v>
      </c>
      <c r="C19" s="3" t="s">
        <v>31</v>
      </c>
      <c r="D19" s="3" t="s">
        <v>32</v>
      </c>
      <c r="E19" s="3" t="s">
        <v>110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52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132</v>
      </c>
      <c r="R19" s="3" t="s">
        <v>44</v>
      </c>
      <c r="S19" s="3" t="s">
        <v>44</v>
      </c>
      <c r="T19" s="3" t="s">
        <v>45</v>
      </c>
      <c r="U19" s="5"/>
      <c r="V19" s="3" t="s">
        <v>133</v>
      </c>
      <c r="W19" s="3" t="s">
        <v>134</v>
      </c>
      <c r="X19" s="3" t="s">
        <v>48</v>
      </c>
      <c r="Y19" s="3" t="s">
        <v>135</v>
      </c>
      <c r="Z19" s="3" t="s">
        <v>135</v>
      </c>
      <c r="AA19" s="5">
        <v>18760.88</v>
      </c>
      <c r="AB19" s="3" t="s">
        <v>40</v>
      </c>
      <c r="AC19" s="3" t="s">
        <v>50</v>
      </c>
    </row>
    <row r="20" ht="12" customHeight="1" spans="1:29" x14ac:dyDescent="0.25">
      <c r="A20" s="3" t="s">
        <v>136</v>
      </c>
      <c r="B20" s="4" t="s">
        <v>30</v>
      </c>
      <c r="C20" s="3" t="s">
        <v>31</v>
      </c>
      <c r="D20" s="3" t="s">
        <v>32</v>
      </c>
      <c r="E20" s="3" t="s">
        <v>110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52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122</v>
      </c>
      <c r="R20" s="3" t="s">
        <v>44</v>
      </c>
      <c r="S20" s="3" t="s">
        <v>44</v>
      </c>
      <c r="T20" s="3" t="s">
        <v>45</v>
      </c>
      <c r="U20" s="5"/>
      <c r="V20" s="3" t="s">
        <v>137</v>
      </c>
      <c r="W20" s="3" t="s">
        <v>124</v>
      </c>
      <c r="X20" s="3" t="s">
        <v>48</v>
      </c>
      <c r="Y20" s="3" t="s">
        <v>125</v>
      </c>
      <c r="Z20" s="3" t="s">
        <v>125</v>
      </c>
      <c r="AA20" s="5">
        <v>25500</v>
      </c>
      <c r="AB20" s="3" t="s">
        <v>40</v>
      </c>
      <c r="AC20" s="3" t="s">
        <v>50</v>
      </c>
    </row>
    <row r="21" ht="12" customHeight="1" spans="1:29" x14ac:dyDescent="0.25">
      <c r="A21" s="3" t="s">
        <v>138</v>
      </c>
      <c r="B21" s="4" t="s">
        <v>30</v>
      </c>
      <c r="C21" s="3" t="s">
        <v>31</v>
      </c>
      <c r="D21" s="3" t="s">
        <v>32</v>
      </c>
      <c r="E21" s="3" t="s">
        <v>110</v>
      </c>
      <c r="F21" s="3" t="s">
        <v>34</v>
      </c>
      <c r="G21" s="3" t="s">
        <v>35</v>
      </c>
      <c r="H21" s="3" t="s">
        <v>35</v>
      </c>
      <c r="I21" s="3" t="s">
        <v>36</v>
      </c>
      <c r="J21" s="3" t="s">
        <v>36</v>
      </c>
      <c r="K21" s="3" t="s">
        <v>37</v>
      </c>
      <c r="L21" s="3" t="s">
        <v>52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122</v>
      </c>
      <c r="R21" s="3" t="s">
        <v>44</v>
      </c>
      <c r="S21" s="3" t="s">
        <v>44</v>
      </c>
      <c r="T21" s="3" t="s">
        <v>45</v>
      </c>
      <c r="U21" s="5"/>
      <c r="V21" s="3" t="s">
        <v>139</v>
      </c>
      <c r="W21" s="3" t="s">
        <v>124</v>
      </c>
      <c r="X21" s="3" t="s">
        <v>48</v>
      </c>
      <c r="Y21" s="3" t="s">
        <v>125</v>
      </c>
      <c r="Z21" s="3" t="s">
        <v>125</v>
      </c>
      <c r="AA21" s="5">
        <v>25500</v>
      </c>
      <c r="AB21" s="3" t="s">
        <v>40</v>
      </c>
      <c r="AC21" s="3" t="s">
        <v>50</v>
      </c>
    </row>
    <row r="22" ht="12" customHeight="1" spans="1:29" x14ac:dyDescent="0.25">
      <c r="A22" s="3" t="s">
        <v>140</v>
      </c>
      <c r="B22" s="4" t="s">
        <v>30</v>
      </c>
      <c r="C22" s="3" t="s">
        <v>31</v>
      </c>
      <c r="D22" s="3" t="s">
        <v>32</v>
      </c>
      <c r="E22" s="3" t="s">
        <v>110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52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122</v>
      </c>
      <c r="R22" s="3" t="s">
        <v>44</v>
      </c>
      <c r="S22" s="3" t="s">
        <v>44</v>
      </c>
      <c r="T22" s="3" t="s">
        <v>45</v>
      </c>
      <c r="U22" s="5"/>
      <c r="V22" s="3" t="s">
        <v>139</v>
      </c>
      <c r="W22" s="3" t="s">
        <v>124</v>
      </c>
      <c r="X22" s="3" t="s">
        <v>48</v>
      </c>
      <c r="Y22" s="3" t="s">
        <v>125</v>
      </c>
      <c r="Z22" s="3" t="s">
        <v>125</v>
      </c>
      <c r="AA22" s="5">
        <v>25500</v>
      </c>
      <c r="AB22" s="3" t="s">
        <v>40</v>
      </c>
      <c r="AC22" s="3" t="s">
        <v>50</v>
      </c>
    </row>
    <row r="23" ht="12" customHeight="1" spans="1:29" x14ac:dyDescent="0.25">
      <c r="A23" s="3" t="s">
        <v>141</v>
      </c>
      <c r="B23" s="4" t="s">
        <v>30</v>
      </c>
      <c r="C23" s="3" t="s">
        <v>31</v>
      </c>
      <c r="D23" s="3" t="s">
        <v>32</v>
      </c>
      <c r="E23" s="3" t="s">
        <v>110</v>
      </c>
      <c r="F23" s="3" t="s">
        <v>34</v>
      </c>
      <c r="G23" s="3" t="s">
        <v>35</v>
      </c>
      <c r="H23" s="3" t="s">
        <v>35</v>
      </c>
      <c r="I23" s="3" t="s">
        <v>36</v>
      </c>
      <c r="J23" s="3" t="s">
        <v>36</v>
      </c>
      <c r="K23" s="3" t="s">
        <v>37</v>
      </c>
      <c r="L23" s="3" t="s">
        <v>52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122</v>
      </c>
      <c r="R23" s="3" t="s">
        <v>44</v>
      </c>
      <c r="S23" s="3" t="s">
        <v>44</v>
      </c>
      <c r="T23" s="3" t="s">
        <v>45</v>
      </c>
      <c r="U23" s="5"/>
      <c r="V23" s="3" t="s">
        <v>139</v>
      </c>
      <c r="W23" s="3" t="s">
        <v>124</v>
      </c>
      <c r="X23" s="3" t="s">
        <v>48</v>
      </c>
      <c r="Y23" s="3" t="s">
        <v>125</v>
      </c>
      <c r="Z23" s="3" t="s">
        <v>125</v>
      </c>
      <c r="AA23" s="5">
        <v>25500</v>
      </c>
      <c r="AB23" s="3" t="s">
        <v>40</v>
      </c>
      <c r="AC23" s="3" t="s">
        <v>50</v>
      </c>
    </row>
    <row r="24" ht="12" customHeight="1" spans="1:29" x14ac:dyDescent="0.25">
      <c r="A24" s="3" t="s">
        <v>142</v>
      </c>
      <c r="B24" s="4" t="s">
        <v>30</v>
      </c>
      <c r="C24" s="3" t="s">
        <v>31</v>
      </c>
      <c r="D24" s="3" t="s">
        <v>32</v>
      </c>
      <c r="E24" s="3" t="s">
        <v>143</v>
      </c>
      <c r="F24" s="3" t="s">
        <v>34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37</v>
      </c>
      <c r="L24" s="3" t="s">
        <v>144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145</v>
      </c>
      <c r="R24" s="3" t="s">
        <v>44</v>
      </c>
      <c r="S24" s="3" t="s">
        <v>44</v>
      </c>
      <c r="T24" s="3" t="s">
        <v>45</v>
      </c>
      <c r="U24" s="5"/>
      <c r="V24" s="3" t="s">
        <v>146</v>
      </c>
      <c r="W24" s="3" t="s">
        <v>147</v>
      </c>
      <c r="X24" s="3" t="s">
        <v>48</v>
      </c>
      <c r="Y24" s="3" t="s">
        <v>64</v>
      </c>
      <c r="Z24" s="3" t="s">
        <v>64</v>
      </c>
      <c r="AA24" s="5">
        <v>1869.64</v>
      </c>
      <c r="AB24" s="3" t="s">
        <v>40</v>
      </c>
      <c r="AC24" s="3" t="s">
        <v>50</v>
      </c>
    </row>
    <row r="25" ht="12" customHeight="1" spans="1:29" x14ac:dyDescent="0.25">
      <c r="A25" s="3" t="s">
        <v>148</v>
      </c>
      <c r="B25" s="4" t="s">
        <v>30</v>
      </c>
      <c r="C25" s="3" t="s">
        <v>31</v>
      </c>
      <c r="D25" s="3" t="s">
        <v>32</v>
      </c>
      <c r="E25" s="3" t="s">
        <v>143</v>
      </c>
      <c r="F25" s="3" t="s">
        <v>34</v>
      </c>
      <c r="G25" s="3" t="s">
        <v>35</v>
      </c>
      <c r="H25" s="3" t="s">
        <v>35</v>
      </c>
      <c r="I25" s="3" t="s">
        <v>36</v>
      </c>
      <c r="J25" s="3" t="s">
        <v>36</v>
      </c>
      <c r="K25" s="3" t="s">
        <v>37</v>
      </c>
      <c r="L25" s="3" t="s">
        <v>38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149</v>
      </c>
      <c r="R25" s="3" t="s">
        <v>44</v>
      </c>
      <c r="S25" s="3" t="s">
        <v>44</v>
      </c>
      <c r="T25" s="3" t="s">
        <v>45</v>
      </c>
      <c r="U25" s="5"/>
      <c r="V25" s="3" t="s">
        <v>150</v>
      </c>
      <c r="W25" s="3" t="s">
        <v>147</v>
      </c>
      <c r="X25" s="3" t="s">
        <v>48</v>
      </c>
      <c r="Y25" s="3" t="s">
        <v>64</v>
      </c>
      <c r="Z25" s="3" t="s">
        <v>64</v>
      </c>
      <c r="AA25" s="5">
        <v>4366.29</v>
      </c>
      <c r="AB25" s="3" t="s">
        <v>40</v>
      </c>
      <c r="AC25" s="3" t="s">
        <v>50</v>
      </c>
    </row>
    <row r="26" ht="12" customHeight="1" spans="1:29" x14ac:dyDescent="0.25">
      <c r="A26" s="3" t="s">
        <v>151</v>
      </c>
      <c r="B26" s="4" t="s">
        <v>30</v>
      </c>
      <c r="C26" s="3" t="s">
        <v>31</v>
      </c>
      <c r="D26" s="3" t="s">
        <v>32</v>
      </c>
      <c r="E26" s="3" t="s">
        <v>110</v>
      </c>
      <c r="F26" s="3" t="s">
        <v>34</v>
      </c>
      <c r="G26" s="3" t="s">
        <v>35</v>
      </c>
      <c r="H26" s="3" t="s">
        <v>35</v>
      </c>
      <c r="I26" s="3" t="s">
        <v>66</v>
      </c>
      <c r="J26" s="3" t="s">
        <v>66</v>
      </c>
      <c r="K26" s="3" t="s">
        <v>37</v>
      </c>
      <c r="L26" s="3" t="s">
        <v>144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152</v>
      </c>
      <c r="R26" s="3" t="s">
        <v>44</v>
      </c>
      <c r="S26" s="3" t="s">
        <v>44</v>
      </c>
      <c r="T26" s="3" t="s">
        <v>45</v>
      </c>
      <c r="U26" s="5"/>
      <c r="V26" s="3" t="s">
        <v>153</v>
      </c>
      <c r="W26" s="3" t="s">
        <v>154</v>
      </c>
      <c r="X26" s="3" t="s">
        <v>48</v>
      </c>
      <c r="Y26" s="3" t="s">
        <v>155</v>
      </c>
      <c r="Z26" s="3" t="s">
        <v>156</v>
      </c>
      <c r="AA26" s="5">
        <v>14409</v>
      </c>
      <c r="AB26" s="3" t="s">
        <v>40</v>
      </c>
      <c r="AC26" s="3" t="s">
        <v>72</v>
      </c>
    </row>
    <row r="27" ht="12" customHeight="1" spans="1:29" x14ac:dyDescent="0.25">
      <c r="A27" s="3" t="s">
        <v>157</v>
      </c>
      <c r="B27" s="4" t="s">
        <v>30</v>
      </c>
      <c r="C27" s="3" t="s">
        <v>31</v>
      </c>
      <c r="D27" s="3" t="s">
        <v>32</v>
      </c>
      <c r="E27" s="3" t="s">
        <v>110</v>
      </c>
      <c r="F27" s="3" t="s">
        <v>34</v>
      </c>
      <c r="G27" s="3" t="s">
        <v>35</v>
      </c>
      <c r="H27" s="3" t="s">
        <v>35</v>
      </c>
      <c r="I27" s="3" t="s">
        <v>36</v>
      </c>
      <c r="J27" s="3" t="s">
        <v>36</v>
      </c>
      <c r="K27" s="3" t="s">
        <v>37</v>
      </c>
      <c r="L27" s="3" t="s">
        <v>144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122</v>
      </c>
      <c r="R27" s="3" t="s">
        <v>44</v>
      </c>
      <c r="S27" s="3" t="s">
        <v>44</v>
      </c>
      <c r="T27" s="3" t="s">
        <v>45</v>
      </c>
      <c r="U27" s="5"/>
      <c r="V27" s="3" t="s">
        <v>153</v>
      </c>
      <c r="W27" s="3" t="s">
        <v>124</v>
      </c>
      <c r="X27" s="3" t="s">
        <v>48</v>
      </c>
      <c r="Y27" s="3" t="s">
        <v>125</v>
      </c>
      <c r="Z27" s="3" t="s">
        <v>125</v>
      </c>
      <c r="AA27" s="5">
        <v>25500</v>
      </c>
      <c r="AB27" s="3" t="s">
        <v>40</v>
      </c>
      <c r="AC27" s="3" t="s">
        <v>50</v>
      </c>
    </row>
    <row r="28" ht="12" customHeight="1" spans="1:29" x14ac:dyDescent="0.25">
      <c r="A28" s="3" t="s">
        <v>158</v>
      </c>
      <c r="B28" s="4" t="s">
        <v>30</v>
      </c>
      <c r="C28" s="3" t="s">
        <v>31</v>
      </c>
      <c r="D28" s="3" t="s">
        <v>32</v>
      </c>
      <c r="E28" s="3" t="s">
        <v>110</v>
      </c>
      <c r="F28" s="3" t="s">
        <v>34</v>
      </c>
      <c r="G28" s="3" t="s">
        <v>35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144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122</v>
      </c>
      <c r="R28" s="3" t="s">
        <v>44</v>
      </c>
      <c r="S28" s="3" t="s">
        <v>44</v>
      </c>
      <c r="T28" s="3" t="s">
        <v>45</v>
      </c>
      <c r="U28" s="5"/>
      <c r="V28" s="3" t="s">
        <v>153</v>
      </c>
      <c r="W28" s="3" t="s">
        <v>124</v>
      </c>
      <c r="X28" s="3" t="s">
        <v>48</v>
      </c>
      <c r="Y28" s="3" t="s">
        <v>125</v>
      </c>
      <c r="Z28" s="3" t="s">
        <v>125</v>
      </c>
      <c r="AA28" s="5">
        <v>25500</v>
      </c>
      <c r="AB28" s="3" t="s">
        <v>40</v>
      </c>
      <c r="AC28" s="3" t="s">
        <v>50</v>
      </c>
    </row>
    <row r="29" ht="12" customHeight="1" spans="1:29" x14ac:dyDescent="0.25">
      <c r="A29" s="3" t="s">
        <v>159</v>
      </c>
      <c r="B29" s="4" t="s">
        <v>30</v>
      </c>
      <c r="C29" s="3" t="s">
        <v>31</v>
      </c>
      <c r="D29" s="3" t="s">
        <v>32</v>
      </c>
      <c r="E29" s="3" t="s">
        <v>110</v>
      </c>
      <c r="F29" s="3" t="s">
        <v>34</v>
      </c>
      <c r="G29" s="3" t="s">
        <v>35</v>
      </c>
      <c r="H29" s="3" t="s">
        <v>35</v>
      </c>
      <c r="I29" s="3" t="s">
        <v>88</v>
      </c>
      <c r="J29" s="3" t="s">
        <v>88</v>
      </c>
      <c r="K29" s="3" t="s">
        <v>37</v>
      </c>
      <c r="L29" s="3" t="s">
        <v>144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160</v>
      </c>
      <c r="R29" s="3" t="s">
        <v>44</v>
      </c>
      <c r="S29" s="3" t="s">
        <v>44</v>
      </c>
      <c r="T29" s="3" t="s">
        <v>45</v>
      </c>
      <c r="U29" s="5"/>
      <c r="V29" s="3" t="s">
        <v>153</v>
      </c>
      <c r="W29" s="3" t="s">
        <v>161</v>
      </c>
      <c r="X29" s="3" t="s">
        <v>48</v>
      </c>
      <c r="Y29" s="3" t="s">
        <v>162</v>
      </c>
      <c r="Z29" s="3" t="s">
        <v>162</v>
      </c>
      <c r="AA29" s="5">
        <v>20023.98</v>
      </c>
      <c r="AB29" s="3" t="s">
        <v>40</v>
      </c>
      <c r="AC29" s="3" t="s">
        <v>120</v>
      </c>
    </row>
    <row r="30" ht="12" customHeight="1" spans="1:29" x14ac:dyDescent="0.25">
      <c r="A30" s="3" t="s">
        <v>163</v>
      </c>
      <c r="B30" s="4" t="s">
        <v>30</v>
      </c>
      <c r="C30" s="3" t="s">
        <v>31</v>
      </c>
      <c r="D30" s="3" t="s">
        <v>32</v>
      </c>
      <c r="E30" s="3" t="s">
        <v>110</v>
      </c>
      <c r="F30" s="3" t="s">
        <v>34</v>
      </c>
      <c r="G30" s="3" t="s">
        <v>35</v>
      </c>
      <c r="H30" s="3" t="s">
        <v>35</v>
      </c>
      <c r="I30" s="3" t="s">
        <v>36</v>
      </c>
      <c r="J30" s="3" t="s">
        <v>164</v>
      </c>
      <c r="K30" s="3" t="s">
        <v>37</v>
      </c>
      <c r="L30" s="3" t="s">
        <v>144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165</v>
      </c>
      <c r="R30" s="3" t="s">
        <v>44</v>
      </c>
      <c r="S30" s="3" t="s">
        <v>44</v>
      </c>
      <c r="T30" s="3" t="s">
        <v>45</v>
      </c>
      <c r="U30" s="5"/>
      <c r="V30" s="3" t="s">
        <v>153</v>
      </c>
      <c r="W30" s="3" t="s">
        <v>166</v>
      </c>
      <c r="X30" s="3" t="s">
        <v>48</v>
      </c>
      <c r="Y30" s="3" t="s">
        <v>167</v>
      </c>
      <c r="Z30" s="3" t="s">
        <v>167</v>
      </c>
      <c r="AA30" s="5">
        <v>6956.88</v>
      </c>
      <c r="AB30" s="3" t="s">
        <v>40</v>
      </c>
      <c r="AC30" s="3" t="s">
        <v>50</v>
      </c>
    </row>
    <row r="31" ht="12" customHeight="1" spans="1:29" x14ac:dyDescent="0.25">
      <c r="A31" s="3" t="s">
        <v>168</v>
      </c>
      <c r="B31" s="4" t="s">
        <v>30</v>
      </c>
      <c r="C31" s="3" t="s">
        <v>31</v>
      </c>
      <c r="D31" s="3" t="s">
        <v>32</v>
      </c>
      <c r="E31" s="3" t="s">
        <v>110</v>
      </c>
      <c r="F31" s="3" t="s">
        <v>34</v>
      </c>
      <c r="G31" s="3" t="s">
        <v>35</v>
      </c>
      <c r="H31" s="3" t="s">
        <v>35</v>
      </c>
      <c r="I31" s="3" t="s">
        <v>36</v>
      </c>
      <c r="J31" s="3" t="s">
        <v>36</v>
      </c>
      <c r="K31" s="3" t="s">
        <v>37</v>
      </c>
      <c r="L31" s="3" t="s">
        <v>144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169</v>
      </c>
      <c r="R31" s="3" t="s">
        <v>44</v>
      </c>
      <c r="S31" s="3" t="s">
        <v>44</v>
      </c>
      <c r="T31" s="3" t="s">
        <v>45</v>
      </c>
      <c r="U31" s="5"/>
      <c r="V31" s="3" t="s">
        <v>153</v>
      </c>
      <c r="W31" s="3" t="s">
        <v>170</v>
      </c>
      <c r="X31" s="3" t="s">
        <v>48</v>
      </c>
      <c r="Y31" s="3" t="s">
        <v>171</v>
      </c>
      <c r="Z31" s="3" t="s">
        <v>171</v>
      </c>
      <c r="AA31" s="5">
        <v>6215</v>
      </c>
      <c r="AB31" s="3" t="s">
        <v>40</v>
      </c>
      <c r="AC31" s="3" t="s">
        <v>50</v>
      </c>
    </row>
    <row r="32" ht="12" customHeight="1" spans="1:29" x14ac:dyDescent="0.25">
      <c r="A32" s="3" t="s">
        <v>172</v>
      </c>
      <c r="B32" s="4" t="s">
        <v>30</v>
      </c>
      <c r="C32" s="3" t="s">
        <v>31</v>
      </c>
      <c r="D32" s="3" t="s">
        <v>32</v>
      </c>
      <c r="E32" s="3" t="s">
        <v>110</v>
      </c>
      <c r="F32" s="3" t="s">
        <v>34</v>
      </c>
      <c r="G32" s="3" t="s">
        <v>35</v>
      </c>
      <c r="H32" s="3" t="s">
        <v>35</v>
      </c>
      <c r="I32" s="3" t="s">
        <v>36</v>
      </c>
      <c r="J32" s="3" t="s">
        <v>36</v>
      </c>
      <c r="K32" s="3" t="s">
        <v>37</v>
      </c>
      <c r="L32" s="3" t="s">
        <v>144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111</v>
      </c>
      <c r="R32" s="3" t="s">
        <v>44</v>
      </c>
      <c r="S32" s="3" t="s">
        <v>44</v>
      </c>
      <c r="T32" s="3" t="s">
        <v>45</v>
      </c>
      <c r="U32" s="5"/>
      <c r="V32" s="3" t="s">
        <v>153</v>
      </c>
      <c r="W32" s="3" t="s">
        <v>69</v>
      </c>
      <c r="X32" s="3" t="s">
        <v>48</v>
      </c>
      <c r="Y32" s="3" t="s">
        <v>113</v>
      </c>
      <c r="Z32" s="3" t="s">
        <v>113</v>
      </c>
      <c r="AA32" s="5">
        <v>9072</v>
      </c>
      <c r="AB32" s="3" t="s">
        <v>40</v>
      </c>
      <c r="AC32" s="3" t="s">
        <v>50</v>
      </c>
    </row>
    <row r="33" ht="12" customHeight="1" spans="1:29" x14ac:dyDescent="0.25">
      <c r="A33" s="3" t="s">
        <v>173</v>
      </c>
      <c r="B33" s="4" t="s">
        <v>30</v>
      </c>
      <c r="C33" s="3" t="s">
        <v>31</v>
      </c>
      <c r="D33" s="3" t="s">
        <v>32</v>
      </c>
      <c r="E33" s="3" t="s">
        <v>110</v>
      </c>
      <c r="F33" s="3" t="s">
        <v>34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144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132</v>
      </c>
      <c r="R33" s="3" t="s">
        <v>44</v>
      </c>
      <c r="S33" s="3" t="s">
        <v>44</v>
      </c>
      <c r="T33" s="3" t="s">
        <v>45</v>
      </c>
      <c r="U33" s="5"/>
      <c r="V33" s="3" t="s">
        <v>153</v>
      </c>
      <c r="W33" s="3" t="s">
        <v>134</v>
      </c>
      <c r="X33" s="3" t="s">
        <v>48</v>
      </c>
      <c r="Y33" s="3" t="s">
        <v>135</v>
      </c>
      <c r="Z33" s="3" t="s">
        <v>135</v>
      </c>
      <c r="AA33" s="5">
        <v>17498.27</v>
      </c>
      <c r="AB33" s="3" t="s">
        <v>40</v>
      </c>
      <c r="AC33" s="3" t="s">
        <v>50</v>
      </c>
    </row>
    <row r="34" ht="12" customHeight="1" spans="1:29" x14ac:dyDescent="0.25">
      <c r="A34" s="3" t="s">
        <v>174</v>
      </c>
      <c r="B34" s="4" t="s">
        <v>30</v>
      </c>
      <c r="C34" s="3" t="s">
        <v>31</v>
      </c>
      <c r="D34" s="3" t="s">
        <v>32</v>
      </c>
      <c r="E34" s="3" t="s">
        <v>110</v>
      </c>
      <c r="F34" s="3" t="s">
        <v>34</v>
      </c>
      <c r="G34" s="3" t="s">
        <v>35</v>
      </c>
      <c r="H34" s="3" t="s">
        <v>35</v>
      </c>
      <c r="I34" s="3" t="s">
        <v>36</v>
      </c>
      <c r="J34" s="3" t="s">
        <v>36</v>
      </c>
      <c r="K34" s="3" t="s">
        <v>37</v>
      </c>
      <c r="L34" s="3" t="s">
        <v>144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105</v>
      </c>
      <c r="R34" s="3" t="s">
        <v>44</v>
      </c>
      <c r="S34" s="3" t="s">
        <v>44</v>
      </c>
      <c r="T34" s="3" t="s">
        <v>45</v>
      </c>
      <c r="U34" s="5"/>
      <c r="V34" s="3" t="s">
        <v>153</v>
      </c>
      <c r="W34" s="3" t="s">
        <v>107</v>
      </c>
      <c r="X34" s="3" t="s">
        <v>48</v>
      </c>
      <c r="Y34" s="3" t="s">
        <v>108</v>
      </c>
      <c r="Z34" s="3" t="s">
        <v>108</v>
      </c>
      <c r="AA34" s="5">
        <v>9629.2</v>
      </c>
      <c r="AB34" s="3" t="s">
        <v>40</v>
      </c>
      <c r="AC34" s="3" t="s">
        <v>50</v>
      </c>
    </row>
    <row r="35" ht="12" customHeight="1" spans="1:29" x14ac:dyDescent="0.25">
      <c r="A35" s="3" t="s">
        <v>175</v>
      </c>
      <c r="B35" s="4" t="s">
        <v>30</v>
      </c>
      <c r="C35" s="3" t="s">
        <v>31</v>
      </c>
      <c r="D35" s="3" t="s">
        <v>32</v>
      </c>
      <c r="E35" s="3" t="s">
        <v>110</v>
      </c>
      <c r="F35" s="3" t="s">
        <v>34</v>
      </c>
      <c r="G35" s="3" t="s">
        <v>35</v>
      </c>
      <c r="H35" s="3" t="s">
        <v>35</v>
      </c>
      <c r="I35" s="3" t="s">
        <v>36</v>
      </c>
      <c r="J35" s="3" t="s">
        <v>36</v>
      </c>
      <c r="K35" s="3" t="s">
        <v>37</v>
      </c>
      <c r="L35" s="3" t="s">
        <v>144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132</v>
      </c>
      <c r="R35" s="3" t="s">
        <v>44</v>
      </c>
      <c r="S35" s="3" t="s">
        <v>44</v>
      </c>
      <c r="T35" s="3" t="s">
        <v>45</v>
      </c>
      <c r="U35" s="5"/>
      <c r="V35" s="3" t="s">
        <v>153</v>
      </c>
      <c r="W35" s="3" t="s">
        <v>134</v>
      </c>
      <c r="X35" s="3" t="s">
        <v>48</v>
      </c>
      <c r="Y35" s="3" t="s">
        <v>135</v>
      </c>
      <c r="Z35" s="3" t="s">
        <v>135</v>
      </c>
      <c r="AA35" s="5">
        <v>10214.88</v>
      </c>
      <c r="AB35" s="3" t="s">
        <v>40</v>
      </c>
      <c r="AC35" s="3" t="s">
        <v>50</v>
      </c>
    </row>
    <row r="36" ht="12" customHeight="1" spans="1:29" x14ac:dyDescent="0.25">
      <c r="A36" s="3" t="s">
        <v>176</v>
      </c>
      <c r="B36" s="4" t="s">
        <v>30</v>
      </c>
      <c r="C36" s="3" t="s">
        <v>31</v>
      </c>
      <c r="D36" s="3" t="s">
        <v>32</v>
      </c>
      <c r="E36" s="3" t="s">
        <v>33</v>
      </c>
      <c r="F36" s="3" t="s">
        <v>34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37</v>
      </c>
      <c r="L36" s="3" t="s">
        <v>144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82</v>
      </c>
      <c r="R36" s="3" t="s">
        <v>44</v>
      </c>
      <c r="S36" s="3" t="s">
        <v>44</v>
      </c>
      <c r="T36" s="3" t="s">
        <v>45</v>
      </c>
      <c r="U36" s="5"/>
      <c r="V36" s="3" t="s">
        <v>177</v>
      </c>
      <c r="W36" s="3" t="s">
        <v>84</v>
      </c>
      <c r="X36" s="3" t="s">
        <v>48</v>
      </c>
      <c r="Y36" s="3" t="s">
        <v>85</v>
      </c>
      <c r="Z36" s="3" t="s">
        <v>86</v>
      </c>
      <c r="AA36" s="5">
        <v>20720.7</v>
      </c>
      <c r="AB36" s="3" t="s">
        <v>40</v>
      </c>
      <c r="AC36" s="3" t="s">
        <v>50</v>
      </c>
    </row>
    <row r="37" ht="12" customHeight="1" spans="1:29" x14ac:dyDescent="0.25">
      <c r="A37" s="3" t="s">
        <v>178</v>
      </c>
      <c r="B37" s="4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3" t="s">
        <v>35</v>
      </c>
      <c r="H37" s="3" t="s">
        <v>35</v>
      </c>
      <c r="I37" s="3" t="s">
        <v>36</v>
      </c>
      <c r="J37" s="3" t="s">
        <v>36</v>
      </c>
      <c r="K37" s="3" t="s">
        <v>37</v>
      </c>
      <c r="L37" s="3" t="s">
        <v>144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179</v>
      </c>
      <c r="R37" s="3" t="s">
        <v>44</v>
      </c>
      <c r="S37" s="3" t="s">
        <v>44</v>
      </c>
      <c r="T37" s="3" t="s">
        <v>45</v>
      </c>
      <c r="U37" s="5"/>
      <c r="V37" s="3" t="s">
        <v>177</v>
      </c>
      <c r="W37" s="3" t="s">
        <v>180</v>
      </c>
      <c r="X37" s="3" t="s">
        <v>48</v>
      </c>
      <c r="Y37" s="3" t="s">
        <v>181</v>
      </c>
      <c r="Z37" s="3" t="s">
        <v>181</v>
      </c>
      <c r="AA37" s="5">
        <v>22326</v>
      </c>
      <c r="AB37" s="3" t="s">
        <v>40</v>
      </c>
      <c r="AC37" s="3" t="s">
        <v>50</v>
      </c>
    </row>
    <row r="38" ht="12" customHeight="1" spans="1:29" x14ac:dyDescent="0.25">
      <c r="A38" s="3" t="s">
        <v>182</v>
      </c>
      <c r="B38" s="4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 t="s">
        <v>35</v>
      </c>
      <c r="H38" s="3" t="s">
        <v>35</v>
      </c>
      <c r="I38" s="3" t="s">
        <v>36</v>
      </c>
      <c r="J38" s="3" t="s">
        <v>36</v>
      </c>
      <c r="K38" s="3" t="s">
        <v>37</v>
      </c>
      <c r="L38" s="3" t="s">
        <v>144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56</v>
      </c>
      <c r="R38" s="3" t="s">
        <v>44</v>
      </c>
      <c r="S38" s="3" t="s">
        <v>44</v>
      </c>
      <c r="T38" s="3" t="s">
        <v>45</v>
      </c>
      <c r="U38" s="5"/>
      <c r="V38" s="3" t="s">
        <v>177</v>
      </c>
      <c r="W38" s="3" t="s">
        <v>58</v>
      </c>
      <c r="X38" s="3" t="s">
        <v>48</v>
      </c>
      <c r="Y38" s="3" t="s">
        <v>59</v>
      </c>
      <c r="Z38" s="3" t="s">
        <v>59</v>
      </c>
      <c r="AA38" s="5">
        <v>15292.8</v>
      </c>
      <c r="AB38" s="3" t="s">
        <v>40</v>
      </c>
      <c r="AC38" s="3" t="s">
        <v>50</v>
      </c>
    </row>
    <row r="39" ht="12" customHeight="1" spans="1:29" x14ac:dyDescent="0.25">
      <c r="A39" s="3" t="s">
        <v>183</v>
      </c>
      <c r="B39" s="4" t="s">
        <v>30</v>
      </c>
      <c r="C39" s="3" t="s">
        <v>31</v>
      </c>
      <c r="D39" s="3" t="s">
        <v>32</v>
      </c>
      <c r="E39" s="3" t="s">
        <v>33</v>
      </c>
      <c r="F39" s="3" t="s">
        <v>34</v>
      </c>
      <c r="G39" s="3" t="s">
        <v>35</v>
      </c>
      <c r="H39" s="3" t="s">
        <v>35</v>
      </c>
      <c r="I39" s="3" t="s">
        <v>36</v>
      </c>
      <c r="J39" s="3" t="s">
        <v>36</v>
      </c>
      <c r="K39" s="3" t="s">
        <v>37</v>
      </c>
      <c r="L39" s="3" t="s">
        <v>144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184</v>
      </c>
      <c r="R39" s="3" t="s">
        <v>44</v>
      </c>
      <c r="S39" s="3" t="s">
        <v>44</v>
      </c>
      <c r="T39" s="3" t="s">
        <v>45</v>
      </c>
      <c r="U39" s="5"/>
      <c r="V39" s="3" t="s">
        <v>177</v>
      </c>
      <c r="W39" s="3" t="s">
        <v>47</v>
      </c>
      <c r="X39" s="3" t="s">
        <v>48</v>
      </c>
      <c r="Y39" s="3" t="s">
        <v>49</v>
      </c>
      <c r="Z39" s="3" t="s">
        <v>49</v>
      </c>
      <c r="AA39" s="5">
        <v>20060</v>
      </c>
      <c r="AB39" s="3" t="s">
        <v>40</v>
      </c>
      <c r="AC39" s="3" t="s">
        <v>50</v>
      </c>
    </row>
    <row r="40" ht="12" customHeight="1" spans="1:29" x14ac:dyDescent="0.25">
      <c r="A40" s="3" t="s">
        <v>185</v>
      </c>
      <c r="B40" s="4" t="s">
        <v>30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35</v>
      </c>
      <c r="I40" s="3" t="s">
        <v>36</v>
      </c>
      <c r="J40" s="3" t="s">
        <v>36</v>
      </c>
      <c r="K40" s="3" t="s">
        <v>37</v>
      </c>
      <c r="L40" s="3" t="s">
        <v>144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186</v>
      </c>
      <c r="R40" s="3" t="s">
        <v>44</v>
      </c>
      <c r="S40" s="3" t="s">
        <v>44</v>
      </c>
      <c r="T40" s="3" t="s">
        <v>45</v>
      </c>
      <c r="U40" s="5"/>
      <c r="V40" s="3" t="s">
        <v>177</v>
      </c>
      <c r="W40" s="3" t="s">
        <v>187</v>
      </c>
      <c r="X40" s="3" t="s">
        <v>48</v>
      </c>
      <c r="Y40" s="3" t="s">
        <v>188</v>
      </c>
      <c r="Z40" s="3" t="s">
        <v>189</v>
      </c>
      <c r="AA40" s="5">
        <v>15894</v>
      </c>
      <c r="AB40" s="3" t="s">
        <v>40</v>
      </c>
      <c r="AC40" s="3" t="s">
        <v>50</v>
      </c>
    </row>
    <row r="41" ht="12" customHeight="1" spans="1:29" x14ac:dyDescent="0.25">
      <c r="A41" s="3" t="s">
        <v>190</v>
      </c>
      <c r="B41" s="4" t="s">
        <v>30</v>
      </c>
      <c r="C41" s="3" t="s">
        <v>31</v>
      </c>
      <c r="D41" s="3" t="s">
        <v>32</v>
      </c>
      <c r="E41" s="3" t="s">
        <v>33</v>
      </c>
      <c r="F41" s="3" t="s">
        <v>34</v>
      </c>
      <c r="G41" s="3" t="s">
        <v>35</v>
      </c>
      <c r="H41" s="3" t="s">
        <v>35</v>
      </c>
      <c r="I41" s="3" t="s">
        <v>36</v>
      </c>
      <c r="J41" s="3" t="s">
        <v>36</v>
      </c>
      <c r="K41" s="3" t="s">
        <v>37</v>
      </c>
      <c r="L41" s="3" t="s">
        <v>144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56</v>
      </c>
      <c r="R41" s="3" t="s">
        <v>44</v>
      </c>
      <c r="S41" s="3" t="s">
        <v>44</v>
      </c>
      <c r="T41" s="3" t="s">
        <v>45</v>
      </c>
      <c r="U41" s="5"/>
      <c r="V41" s="3" t="s">
        <v>177</v>
      </c>
      <c r="W41" s="3" t="s">
        <v>58</v>
      </c>
      <c r="X41" s="3" t="s">
        <v>48</v>
      </c>
      <c r="Y41" s="3" t="s">
        <v>59</v>
      </c>
      <c r="Z41" s="3" t="s">
        <v>59</v>
      </c>
      <c r="AA41" s="5">
        <v>10044.96</v>
      </c>
      <c r="AB41" s="3" t="s">
        <v>40</v>
      </c>
      <c r="AC41" s="3" t="s">
        <v>50</v>
      </c>
    </row>
    <row r="42" ht="12" customHeight="1" spans="1:29" x14ac:dyDescent="0.25">
      <c r="A42" s="3" t="s">
        <v>191</v>
      </c>
      <c r="B42" s="4" t="s">
        <v>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35</v>
      </c>
      <c r="H42" s="3" t="s">
        <v>35</v>
      </c>
      <c r="I42" s="3" t="s">
        <v>36</v>
      </c>
      <c r="J42" s="3" t="s">
        <v>36</v>
      </c>
      <c r="K42" s="3" t="s">
        <v>37</v>
      </c>
      <c r="L42" s="3" t="s">
        <v>144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192</v>
      </c>
      <c r="R42" s="3" t="s">
        <v>44</v>
      </c>
      <c r="S42" s="3" t="s">
        <v>44</v>
      </c>
      <c r="T42" s="3" t="s">
        <v>45</v>
      </c>
      <c r="U42" s="5"/>
      <c r="V42" s="3" t="s">
        <v>177</v>
      </c>
      <c r="W42" s="3" t="s">
        <v>193</v>
      </c>
      <c r="X42" s="3" t="s">
        <v>48</v>
      </c>
      <c r="Y42" s="3" t="s">
        <v>194</v>
      </c>
      <c r="Z42" s="3" t="s">
        <v>194</v>
      </c>
      <c r="AA42" s="5">
        <v>11353.71</v>
      </c>
      <c r="AB42" s="3" t="s">
        <v>40</v>
      </c>
      <c r="AC42" s="3" t="s">
        <v>50</v>
      </c>
    </row>
    <row r="43" ht="12" customHeight="1" spans="1:29" x14ac:dyDescent="0.25">
      <c r="A43" s="3" t="s">
        <v>195</v>
      </c>
      <c r="B43" s="4" t="s">
        <v>30</v>
      </c>
      <c r="C43" s="3" t="s">
        <v>31</v>
      </c>
      <c r="D43" s="3" t="s">
        <v>32</v>
      </c>
      <c r="E43" s="3" t="s">
        <v>33</v>
      </c>
      <c r="F43" s="3" t="s">
        <v>34</v>
      </c>
      <c r="G43" s="3" t="s">
        <v>35</v>
      </c>
      <c r="H43" s="3" t="s">
        <v>35</v>
      </c>
      <c r="I43" s="3" t="s">
        <v>36</v>
      </c>
      <c r="J43" s="3" t="s">
        <v>36</v>
      </c>
      <c r="K43" s="3" t="s">
        <v>37</v>
      </c>
      <c r="L43" s="3" t="s">
        <v>144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196</v>
      </c>
      <c r="R43" s="3" t="s">
        <v>44</v>
      </c>
      <c r="S43" s="3" t="s">
        <v>44</v>
      </c>
      <c r="T43" s="3" t="s">
        <v>45</v>
      </c>
      <c r="U43" s="5"/>
      <c r="V43" s="3" t="s">
        <v>177</v>
      </c>
      <c r="W43" s="3" t="s">
        <v>58</v>
      </c>
      <c r="X43" s="3" t="s">
        <v>48</v>
      </c>
      <c r="Y43" s="3" t="s">
        <v>59</v>
      </c>
      <c r="Z43" s="3" t="s">
        <v>59</v>
      </c>
      <c r="AA43" s="5">
        <v>15030.4</v>
      </c>
      <c r="AB43" s="3" t="s">
        <v>40</v>
      </c>
      <c r="AC43" s="3" t="s">
        <v>50</v>
      </c>
    </row>
    <row r="44" ht="12" customHeight="1" spans="1:29" x14ac:dyDescent="0.25">
      <c r="A44" s="3" t="s">
        <v>197</v>
      </c>
      <c r="B44" s="4" t="s">
        <v>30</v>
      </c>
      <c r="C44" s="3" t="s">
        <v>31</v>
      </c>
      <c r="D44" s="3" t="s">
        <v>32</v>
      </c>
      <c r="E44" s="3" t="s">
        <v>33</v>
      </c>
      <c r="F44" s="3" t="s">
        <v>34</v>
      </c>
      <c r="G44" s="3" t="s">
        <v>35</v>
      </c>
      <c r="H44" s="3" t="s">
        <v>35</v>
      </c>
      <c r="I44" s="3" t="s">
        <v>88</v>
      </c>
      <c r="J44" s="3" t="s">
        <v>198</v>
      </c>
      <c r="K44" s="3" t="s">
        <v>37</v>
      </c>
      <c r="L44" s="3" t="s">
        <v>144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199</v>
      </c>
      <c r="R44" s="3" t="s">
        <v>91</v>
      </c>
      <c r="S44" s="3" t="s">
        <v>44</v>
      </c>
      <c r="T44" s="3" t="s">
        <v>45</v>
      </c>
      <c r="U44" s="5"/>
      <c r="V44" s="3" t="s">
        <v>177</v>
      </c>
      <c r="W44" s="3" t="s">
        <v>200</v>
      </c>
      <c r="X44" s="3" t="s">
        <v>48</v>
      </c>
      <c r="Y44" s="3" t="s">
        <v>201</v>
      </c>
      <c r="Z44" s="3" t="s">
        <v>202</v>
      </c>
      <c r="AA44" s="5">
        <v>14389</v>
      </c>
      <c r="AB44" s="3" t="s">
        <v>40</v>
      </c>
      <c r="AC44" s="3" t="s">
        <v>203</v>
      </c>
    </row>
    <row r="45" ht="12" customHeight="1" spans="1:29" x14ac:dyDescent="0.25">
      <c r="A45" s="3" t="s">
        <v>204</v>
      </c>
      <c r="B45" s="4" t="s">
        <v>30</v>
      </c>
      <c r="C45" s="3" t="s">
        <v>31</v>
      </c>
      <c r="D45" s="3" t="s">
        <v>32</v>
      </c>
      <c r="E45" s="3" t="s">
        <v>33</v>
      </c>
      <c r="F45" s="3" t="s">
        <v>34</v>
      </c>
      <c r="G45" s="3" t="s">
        <v>35</v>
      </c>
      <c r="H45" s="3" t="s">
        <v>35</v>
      </c>
      <c r="I45" s="3" t="s">
        <v>88</v>
      </c>
      <c r="J45" s="3" t="s">
        <v>88</v>
      </c>
      <c r="K45" s="3" t="s">
        <v>37</v>
      </c>
      <c r="L45" s="3" t="s">
        <v>144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205</v>
      </c>
      <c r="R45" s="3" t="s">
        <v>44</v>
      </c>
      <c r="S45" s="3" t="s">
        <v>44</v>
      </c>
      <c r="T45" s="3" t="s">
        <v>45</v>
      </c>
      <c r="U45" s="5"/>
      <c r="V45" s="3" t="s">
        <v>177</v>
      </c>
      <c r="W45" s="3" t="s">
        <v>206</v>
      </c>
      <c r="X45" s="3" t="s">
        <v>48</v>
      </c>
      <c r="Y45" s="3" t="s">
        <v>207</v>
      </c>
      <c r="Z45" s="3" t="s">
        <v>207</v>
      </c>
      <c r="AA45" s="5">
        <v>14168</v>
      </c>
      <c r="AB45" s="3" t="s">
        <v>40</v>
      </c>
      <c r="AC45" s="3" t="s">
        <v>120</v>
      </c>
    </row>
    <row r="46" ht="12" customHeight="1" spans="1:29" x14ac:dyDescent="0.25">
      <c r="A46" s="3" t="s">
        <v>208</v>
      </c>
      <c r="B46" s="4" t="s">
        <v>30</v>
      </c>
      <c r="C46" s="3" t="s">
        <v>31</v>
      </c>
      <c r="D46" s="3" t="s">
        <v>32</v>
      </c>
      <c r="E46" s="3" t="s">
        <v>33</v>
      </c>
      <c r="F46" s="3" t="s">
        <v>34</v>
      </c>
      <c r="G46" s="3"/>
      <c r="H46" s="3" t="s">
        <v>35</v>
      </c>
      <c r="I46" s="3" t="s">
        <v>36</v>
      </c>
      <c r="J46" s="3" t="s">
        <v>36</v>
      </c>
      <c r="K46" s="3" t="s">
        <v>37</v>
      </c>
      <c r="L46" s="3" t="s">
        <v>144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209</v>
      </c>
      <c r="R46" s="3" t="s">
        <v>44</v>
      </c>
      <c r="S46" s="3" t="s">
        <v>44</v>
      </c>
      <c r="T46" s="3" t="s">
        <v>45</v>
      </c>
      <c r="U46" s="5"/>
      <c r="V46" s="3" t="s">
        <v>177</v>
      </c>
      <c r="W46" s="3" t="s">
        <v>63</v>
      </c>
      <c r="X46" s="3" t="s">
        <v>48</v>
      </c>
      <c r="Y46" s="3" t="s">
        <v>64</v>
      </c>
      <c r="Z46" s="3" t="s">
        <v>64</v>
      </c>
      <c r="AA46" s="5">
        <v>19164.8</v>
      </c>
      <c r="AB46" s="3" t="s">
        <v>40</v>
      </c>
      <c r="AC46" s="3" t="s">
        <v>50</v>
      </c>
    </row>
    <row r="47" ht="12" customHeight="1" spans="1:29" x14ac:dyDescent="0.25">
      <c r="A47" s="3" t="s">
        <v>210</v>
      </c>
      <c r="B47" s="4" t="s">
        <v>30</v>
      </c>
      <c r="C47" s="3" t="s">
        <v>31</v>
      </c>
      <c r="D47" s="3" t="s">
        <v>32</v>
      </c>
      <c r="E47" s="3" t="s">
        <v>33</v>
      </c>
      <c r="F47" s="3" t="s">
        <v>34</v>
      </c>
      <c r="G47" s="3" t="s">
        <v>35</v>
      </c>
      <c r="H47" s="3" t="s">
        <v>35</v>
      </c>
      <c r="I47" s="3" t="s">
        <v>36</v>
      </c>
      <c r="J47" s="3" t="s">
        <v>36</v>
      </c>
      <c r="K47" s="3" t="s">
        <v>37</v>
      </c>
      <c r="L47" s="3" t="s">
        <v>144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211</v>
      </c>
      <c r="R47" s="3" t="s">
        <v>44</v>
      </c>
      <c r="S47" s="3" t="s">
        <v>44</v>
      </c>
      <c r="T47" s="3" t="s">
        <v>45</v>
      </c>
      <c r="U47" s="5"/>
      <c r="V47" s="3" t="s">
        <v>177</v>
      </c>
      <c r="W47" s="3" t="s">
        <v>92</v>
      </c>
      <c r="X47" s="3" t="s">
        <v>48</v>
      </c>
      <c r="Y47" s="3" t="s">
        <v>212</v>
      </c>
      <c r="Z47" s="3" t="s">
        <v>212</v>
      </c>
      <c r="AA47" s="5">
        <v>9951.72</v>
      </c>
      <c r="AB47" s="3" t="s">
        <v>40</v>
      </c>
      <c r="AC47" s="3" t="s">
        <v>50</v>
      </c>
    </row>
    <row r="48" ht="12" customHeight="1" spans="1:29" x14ac:dyDescent="0.25">
      <c r="A48" s="3" t="s">
        <v>213</v>
      </c>
      <c r="B48" s="4" t="s">
        <v>30</v>
      </c>
      <c r="C48" s="3" t="s">
        <v>31</v>
      </c>
      <c r="D48" s="3" t="s">
        <v>32</v>
      </c>
      <c r="E48" s="3" t="s">
        <v>33</v>
      </c>
      <c r="F48" s="3" t="s">
        <v>34</v>
      </c>
      <c r="G48" s="3" t="s">
        <v>35</v>
      </c>
      <c r="H48" s="3" t="s">
        <v>35</v>
      </c>
      <c r="I48" s="3" t="s">
        <v>36</v>
      </c>
      <c r="J48" s="3" t="s">
        <v>36</v>
      </c>
      <c r="K48" s="3" t="s">
        <v>37</v>
      </c>
      <c r="L48" s="3" t="s">
        <v>144</v>
      </c>
      <c r="M48" s="3" t="s">
        <v>39</v>
      </c>
      <c r="N48" s="3" t="s">
        <v>40</v>
      </c>
      <c r="O48" s="3" t="s">
        <v>41</v>
      </c>
      <c r="P48" s="3" t="s">
        <v>42</v>
      </c>
      <c r="Q48" s="3" t="s">
        <v>96</v>
      </c>
      <c r="R48" s="3" t="s">
        <v>44</v>
      </c>
      <c r="S48" s="3" t="s">
        <v>44</v>
      </c>
      <c r="T48" s="3" t="s">
        <v>45</v>
      </c>
      <c r="U48" s="5"/>
      <c r="V48" s="3" t="s">
        <v>177</v>
      </c>
      <c r="W48" s="3" t="s">
        <v>97</v>
      </c>
      <c r="X48" s="3" t="s">
        <v>48</v>
      </c>
      <c r="Y48" s="3" t="s">
        <v>98</v>
      </c>
      <c r="Z48" s="3" t="s">
        <v>98</v>
      </c>
      <c r="AA48" s="5">
        <v>15236</v>
      </c>
      <c r="AB48" s="3" t="s">
        <v>40</v>
      </c>
      <c r="AC48" s="3" t="s">
        <v>50</v>
      </c>
    </row>
    <row r="49" ht="12" customHeight="1" spans="1:29" x14ac:dyDescent="0.25">
      <c r="A49" s="3" t="s">
        <v>214</v>
      </c>
      <c r="B49" s="4" t="s">
        <v>30</v>
      </c>
      <c r="C49" s="3" t="s">
        <v>31</v>
      </c>
      <c r="D49" s="3" t="s">
        <v>32</v>
      </c>
      <c r="E49" s="3" t="s">
        <v>33</v>
      </c>
      <c r="F49" s="3" t="s">
        <v>34</v>
      </c>
      <c r="G49" s="3" t="s">
        <v>35</v>
      </c>
      <c r="H49" s="3" t="s">
        <v>35</v>
      </c>
      <c r="I49" s="3" t="s">
        <v>36</v>
      </c>
      <c r="J49" s="3" t="s">
        <v>36</v>
      </c>
      <c r="K49" s="3" t="s">
        <v>37</v>
      </c>
      <c r="L49" s="3" t="s">
        <v>144</v>
      </c>
      <c r="M49" s="3" t="s">
        <v>39</v>
      </c>
      <c r="N49" s="3" t="s">
        <v>40</v>
      </c>
      <c r="O49" s="3" t="s">
        <v>41</v>
      </c>
      <c r="P49" s="3" t="s">
        <v>42</v>
      </c>
      <c r="Q49" s="3" t="s">
        <v>215</v>
      </c>
      <c r="R49" s="3" t="s">
        <v>44</v>
      </c>
      <c r="S49" s="3" t="s">
        <v>44</v>
      </c>
      <c r="T49" s="3" t="s">
        <v>45</v>
      </c>
      <c r="U49" s="5"/>
      <c r="V49" s="3" t="s">
        <v>177</v>
      </c>
      <c r="W49" s="3" t="s">
        <v>147</v>
      </c>
      <c r="X49" s="3" t="s">
        <v>48</v>
      </c>
      <c r="Y49" s="3" t="s">
        <v>64</v>
      </c>
      <c r="Z49" s="3" t="s">
        <v>64</v>
      </c>
      <c r="AA49" s="5">
        <v>5674</v>
      </c>
      <c r="AB49" s="3" t="s">
        <v>40</v>
      </c>
      <c r="AC49" s="3" t="s">
        <v>50</v>
      </c>
    </row>
    <row r="50" ht="12" customHeight="1" spans="1:29" x14ac:dyDescent="0.25">
      <c r="A50" s="3" t="s">
        <v>216</v>
      </c>
      <c r="B50" s="4" t="s">
        <v>30</v>
      </c>
      <c r="C50" s="3" t="s">
        <v>31</v>
      </c>
      <c r="D50" s="3" t="s">
        <v>32</v>
      </c>
      <c r="E50" s="3" t="s">
        <v>33</v>
      </c>
      <c r="F50" s="3" t="s">
        <v>34</v>
      </c>
      <c r="G50" s="3" t="s">
        <v>35</v>
      </c>
      <c r="H50" s="3" t="s">
        <v>35</v>
      </c>
      <c r="I50" s="3" t="s">
        <v>66</v>
      </c>
      <c r="J50" s="3" t="s">
        <v>66</v>
      </c>
      <c r="K50" s="3" t="s">
        <v>37</v>
      </c>
      <c r="L50" s="3" t="s">
        <v>144</v>
      </c>
      <c r="M50" s="3" t="s">
        <v>39</v>
      </c>
      <c r="N50" s="3" t="s">
        <v>40</v>
      </c>
      <c r="O50" s="3" t="s">
        <v>41</v>
      </c>
      <c r="P50" s="3" t="s">
        <v>42</v>
      </c>
      <c r="Q50" s="3" t="s">
        <v>67</v>
      </c>
      <c r="R50" s="3" t="s">
        <v>44</v>
      </c>
      <c r="S50" s="3" t="s">
        <v>44</v>
      </c>
      <c r="T50" s="3" t="s">
        <v>45</v>
      </c>
      <c r="U50" s="5"/>
      <c r="V50" s="3" t="s">
        <v>177</v>
      </c>
      <c r="W50" s="3" t="s">
        <v>69</v>
      </c>
      <c r="X50" s="3" t="s">
        <v>48</v>
      </c>
      <c r="Y50" s="3" t="s">
        <v>70</v>
      </c>
      <c r="Z50" s="3" t="s">
        <v>71</v>
      </c>
      <c r="AA50" s="5">
        <v>18288</v>
      </c>
      <c r="AB50" s="3" t="s">
        <v>40</v>
      </c>
      <c r="AC50" s="3" t="s">
        <v>72</v>
      </c>
    </row>
    <row r="51" ht="12" customHeight="1" spans="1:29" x14ac:dyDescent="0.25">
      <c r="A51" s="3" t="s">
        <v>217</v>
      </c>
      <c r="B51" s="4" t="s">
        <v>30</v>
      </c>
      <c r="C51" s="3" t="s">
        <v>31</v>
      </c>
      <c r="D51" s="3" t="s">
        <v>32</v>
      </c>
      <c r="E51" s="3" t="s">
        <v>33</v>
      </c>
      <c r="F51" s="3" t="s">
        <v>34</v>
      </c>
      <c r="G51" s="3" t="s">
        <v>35</v>
      </c>
      <c r="H51" s="3" t="s">
        <v>35</v>
      </c>
      <c r="I51" s="3" t="s">
        <v>88</v>
      </c>
      <c r="J51" s="3" t="s">
        <v>88</v>
      </c>
      <c r="K51" s="3" t="s">
        <v>37</v>
      </c>
      <c r="L51" s="3" t="s">
        <v>38</v>
      </c>
      <c r="M51" s="3" t="s">
        <v>39</v>
      </c>
      <c r="N51" s="3" t="s">
        <v>40</v>
      </c>
      <c r="O51" s="3" t="s">
        <v>41</v>
      </c>
      <c r="P51" s="3" t="s">
        <v>42</v>
      </c>
      <c r="Q51" s="3" t="s">
        <v>218</v>
      </c>
      <c r="R51" s="3" t="s">
        <v>44</v>
      </c>
      <c r="S51" s="3" t="s">
        <v>44</v>
      </c>
      <c r="T51" s="3" t="s">
        <v>45</v>
      </c>
      <c r="U51" s="5"/>
      <c r="V51" s="3" t="s">
        <v>219</v>
      </c>
      <c r="W51" s="3" t="s">
        <v>220</v>
      </c>
      <c r="X51" s="3" t="s">
        <v>221</v>
      </c>
      <c r="Y51" s="3" t="s">
        <v>222</v>
      </c>
      <c r="Z51" s="3" t="s">
        <v>222</v>
      </c>
      <c r="AA51" s="5">
        <v>9041.94</v>
      </c>
      <c r="AB51" s="3" t="s">
        <v>40</v>
      </c>
      <c r="AC51" s="3" t="s">
        <v>120</v>
      </c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235</v>
      </c>
      <c r="N1" s="2" t="s">
        <v>236</v>
      </c>
      <c r="O1" s="2" t="s">
        <v>237</v>
      </c>
      <c r="P1" s="2" t="s">
        <v>238</v>
      </c>
      <c r="Q1" s="2" t="s">
        <v>239</v>
      </c>
      <c r="R1" s="2" t="s">
        <v>240</v>
      </c>
      <c r="S1" s="2" t="s">
        <v>241</v>
      </c>
      <c r="T1" s="2" t="s">
        <v>242</v>
      </c>
      <c r="U1" s="2" t="s">
        <v>243</v>
      </c>
      <c r="V1" s="2" t="s">
        <v>244</v>
      </c>
      <c r="W1" s="2" t="s">
        <v>245</v>
      </c>
      <c r="X1" s="2" t="s">
        <v>246</v>
      </c>
      <c r="Y1" s="2" t="s">
        <v>247</v>
      </c>
      <c r="Z1" s="2" t="s">
        <v>248</v>
      </c>
      <c r="AA1" s="2" t="s">
        <v>22</v>
      </c>
      <c r="AB1" s="2" t="s">
        <v>249</v>
      </c>
      <c r="AC1" s="2" t="s">
        <v>250</v>
      </c>
      <c r="AD1" s="2" t="s">
        <v>251</v>
      </c>
      <c r="AE1" s="2" t="s">
        <v>252</v>
      </c>
      <c r="AF1" s="2" t="s">
        <v>253</v>
      </c>
      <c r="AG1" s="2" t="s">
        <v>254</v>
      </c>
      <c r="AH1" s="2" t="s">
        <v>255</v>
      </c>
      <c r="AI1" s="2" t="s">
        <v>256</v>
      </c>
      <c r="AJ1" s="2" t="s">
        <v>257</v>
      </c>
      <c r="AK1" s="2" t="s">
        <v>258</v>
      </c>
      <c r="AL1" s="2" t="s">
        <v>259</v>
      </c>
      <c r="AM1" s="2" t="s">
        <v>260</v>
      </c>
      <c r="AN1" s="2" t="s">
        <v>261</v>
      </c>
      <c r="AO1" s="2" t="s">
        <v>262</v>
      </c>
      <c r="AP1" s="2" t="s">
        <v>263</v>
      </c>
      <c r="AQ1" s="2" t="s">
        <v>264</v>
      </c>
      <c r="AR1" s="2" t="s">
        <v>265</v>
      </c>
      <c r="AS1" s="2" t="s">
        <v>266</v>
      </c>
      <c r="AT1" s="2" t="s">
        <v>267</v>
      </c>
      <c r="AU1" s="2" t="s">
        <v>268</v>
      </c>
      <c r="AV1" s="2" t="s">
        <v>269</v>
      </c>
      <c r="AW1" s="2" t="s">
        <v>270</v>
      </c>
      <c r="AX1" s="2" t="s">
        <v>271</v>
      </c>
      <c r="AY1" s="2" t="s">
        <v>272</v>
      </c>
      <c r="AZ1" s="2" t="s">
        <v>20</v>
      </c>
      <c r="BA1" s="2" t="s">
        <v>273</v>
      </c>
      <c r="BB1" s="2" t="s">
        <v>274</v>
      </c>
      <c r="BC1" s="2" t="s">
        <v>275</v>
      </c>
      <c r="BD1" s="2" t="s">
        <v>276</v>
      </c>
      <c r="BE1" s="2" t="s">
        <v>277</v>
      </c>
      <c r="BF1" s="2" t="s">
        <v>278</v>
      </c>
      <c r="BG1" s="2" t="s">
        <v>279</v>
      </c>
      <c r="BH1" s="2" t="s">
        <v>280</v>
      </c>
      <c r="BI1" s="2" t="s">
        <v>281</v>
      </c>
      <c r="BJ1" s="2" t="s">
        <v>282</v>
      </c>
      <c r="BK1" s="2" t="s">
        <v>225</v>
      </c>
      <c r="BL1" s="2" t="s">
        <v>283</v>
      </c>
      <c r="BM1" s="2" t="s">
        <v>284</v>
      </c>
      <c r="BN1" s="2" t="s">
        <v>33</v>
      </c>
      <c r="BO1" s="2" t="s">
        <v>285</v>
      </c>
      <c r="BP1" s="2" t="s">
        <v>110</v>
      </c>
      <c r="BQ1" s="2" t="s">
        <v>143</v>
      </c>
      <c r="BR1" s="2" t="s">
        <v>115</v>
      </c>
      <c r="BS1" s="2" t="s">
        <v>286</v>
      </c>
      <c r="BT1" s="2" t="s">
        <v>287</v>
      </c>
      <c r="BU1" s="2" t="s">
        <v>288</v>
      </c>
      <c r="BV1" s="2" t="s">
        <v>289</v>
      </c>
      <c r="BW1" s="2" t="s">
        <v>290</v>
      </c>
      <c r="BX1" s="2" t="s">
        <v>291</v>
      </c>
      <c r="BY1" s="2" t="s">
        <v>292</v>
      </c>
      <c r="BZ1" s="2" t="s">
        <v>293</v>
      </c>
      <c r="CA1" s="2" t="s">
        <v>294</v>
      </c>
      <c r="CB1" s="2" t="s">
        <v>295</v>
      </c>
      <c r="CC1" s="2" t="s">
        <v>296</v>
      </c>
      <c r="CD1" s="2" t="s">
        <v>297</v>
      </c>
      <c r="CE1" s="2" t="s">
        <v>298</v>
      </c>
      <c r="CF1" s="2" t="s">
        <v>299</v>
      </c>
      <c r="CG1" s="2" t="s">
        <v>300</v>
      </c>
      <c r="CH1" s="2" t="s">
        <v>301</v>
      </c>
      <c r="CI1" s="2" t="s">
        <v>302</v>
      </c>
      <c r="CJ1" s="2" t="s">
        <v>22</v>
      </c>
      <c r="CK1" s="2" t="s">
        <v>24</v>
      </c>
      <c r="CL1" s="2" t="s">
        <v>25</v>
      </c>
      <c r="CM1" s="2" t="s">
        <v>303</v>
      </c>
      <c r="CN1" s="2" t="s">
        <v>304</v>
      </c>
      <c r="CO1" s="2" t="s">
        <v>305</v>
      </c>
      <c r="CP1" s="2" t="s">
        <v>306</v>
      </c>
      <c r="CQ1" s="2" t="s">
        <v>307</v>
      </c>
      <c r="CR1" s="2" t="s">
        <v>308</v>
      </c>
      <c r="CS1" s="2" t="s">
        <v>309</v>
      </c>
      <c r="CT1" s="2" t="s">
        <v>310</v>
      </c>
      <c r="CU1" s="2" t="s">
        <v>311</v>
      </c>
      <c r="CV1" s="2" t="s">
        <v>312</v>
      </c>
      <c r="CW1" s="2" t="s">
        <v>313</v>
      </c>
      <c r="CX1" s="2" t="s">
        <v>314</v>
      </c>
      <c r="CY1" s="10" t="s">
        <v>315</v>
      </c>
    </row>
    <row r="2" ht="12" customHeight="1" spans="1:103" x14ac:dyDescent="0.25">
      <c r="A2" s="11" t="s">
        <v>184</v>
      </c>
      <c r="B2" s="3" t="s">
        <v>316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317</v>
      </c>
      <c r="R2" s="4" t="s">
        <v>30</v>
      </c>
      <c r="S2" s="3" t="s">
        <v>36</v>
      </c>
      <c r="T2" s="3" t="s">
        <v>50</v>
      </c>
      <c r="U2" s="3" t="s">
        <v>36</v>
      </c>
      <c r="V2" s="4" t="s">
        <v>318</v>
      </c>
      <c r="W2" s="3" t="s">
        <v>317</v>
      </c>
      <c r="X2" s="5"/>
      <c r="Y2" s="5"/>
      <c r="Z2" s="5"/>
      <c r="AA2" s="3" t="s">
        <v>319</v>
      </c>
      <c r="AB2" s="3" t="s">
        <v>319</v>
      </c>
      <c r="AC2" s="12">
        <v>20060</v>
      </c>
      <c r="AD2" s="12">
        <v>22260</v>
      </c>
      <c r="AE2" s="3" t="s">
        <v>320</v>
      </c>
      <c r="AF2" s="3"/>
      <c r="AG2" s="5"/>
      <c r="AH2" s="3" t="s">
        <v>256</v>
      </c>
      <c r="AI2" s="5" t="s">
        <v>320</v>
      </c>
      <c r="AJ2" s="5"/>
      <c r="AK2" s="5"/>
      <c r="AL2" s="5"/>
      <c r="AM2" s="3" t="s">
        <v>321</v>
      </c>
      <c r="AN2" s="3" t="s">
        <v>322</v>
      </c>
      <c r="AO2" s="3" t="s">
        <v>323</v>
      </c>
      <c r="AP2" s="3" t="s">
        <v>324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/>
      <c r="AZ2" s="3" t="s">
        <v>325</v>
      </c>
      <c r="BA2" s="5" t="s">
        <v>326</v>
      </c>
      <c r="BB2" s="3" t="s">
        <v>327</v>
      </c>
      <c r="BC2" s="4" t="s">
        <v>328</v>
      </c>
      <c r="BD2" s="4" t="s">
        <v>329</v>
      </c>
      <c r="BE2" s="3" t="s">
        <v>91</v>
      </c>
      <c r="BF2" s="3" t="s">
        <v>330</v>
      </c>
      <c r="BG2" s="3" t="s">
        <v>331</v>
      </c>
      <c r="BH2" s="3" t="s">
        <v>332</v>
      </c>
      <c r="BI2" s="5"/>
      <c r="BJ2" s="5"/>
      <c r="BK2" s="3" t="s">
        <v>333</v>
      </c>
      <c r="BL2" s="4" t="s">
        <v>334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335</v>
      </c>
      <c r="BZ2" s="5"/>
      <c r="CA2" s="3" t="s">
        <v>91</v>
      </c>
      <c r="CB2" s="5"/>
      <c r="CC2" s="3" t="s">
        <v>40</v>
      </c>
      <c r="CD2" s="5"/>
      <c r="CE2" s="5"/>
      <c r="CF2" s="3" t="s">
        <v>336</v>
      </c>
      <c r="CG2" s="3" t="s">
        <v>337</v>
      </c>
      <c r="CH2" s="5"/>
      <c r="CI2" s="3" t="s">
        <v>338</v>
      </c>
      <c r="CJ2" s="3" t="s">
        <v>47</v>
      </c>
      <c r="CK2" s="3" t="s">
        <v>49</v>
      </c>
      <c r="CL2" s="3" t="s">
        <v>49</v>
      </c>
      <c r="CM2" s="5"/>
      <c r="CN2" s="3" t="s">
        <v>339</v>
      </c>
      <c r="CO2" s="3" t="s">
        <v>340</v>
      </c>
      <c r="CP2" s="5"/>
      <c r="CQ2" s="3" t="s">
        <v>341</v>
      </c>
      <c r="CR2" s="3" t="s">
        <v>342</v>
      </c>
      <c r="CS2" s="3" t="s">
        <v>319</v>
      </c>
      <c r="CT2" s="3" t="s">
        <v>44</v>
      </c>
      <c r="CU2" s="5"/>
      <c r="CV2" s="5"/>
      <c r="CW2" s="4" t="s">
        <v>343</v>
      </c>
      <c r="CX2" s="5"/>
      <c r="CY2" s="14" t="s">
        <v>326</v>
      </c>
    </row>
    <row r="3" ht="12" customHeight="1" spans="1:103" x14ac:dyDescent="0.25">
      <c r="A3" s="11" t="s">
        <v>53</v>
      </c>
      <c r="B3" s="3" t="s">
        <v>316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317</v>
      </c>
      <c r="R3" s="4" t="s">
        <v>30</v>
      </c>
      <c r="S3" s="3" t="s">
        <v>36</v>
      </c>
      <c r="T3" s="3" t="s">
        <v>50</v>
      </c>
      <c r="U3" s="3" t="s">
        <v>36</v>
      </c>
      <c r="V3" s="4" t="s">
        <v>318</v>
      </c>
      <c r="W3" s="3" t="s">
        <v>317</v>
      </c>
      <c r="X3" s="5"/>
      <c r="Y3" s="5"/>
      <c r="Z3" s="5"/>
      <c r="AA3" s="3" t="s">
        <v>319</v>
      </c>
      <c r="AB3" s="3" t="s">
        <v>319</v>
      </c>
      <c r="AC3" s="12">
        <v>20060</v>
      </c>
      <c r="AD3" s="12">
        <v>22260</v>
      </c>
      <c r="AE3" s="3" t="s">
        <v>320</v>
      </c>
      <c r="AF3" s="3"/>
      <c r="AG3" s="5"/>
      <c r="AH3" s="3" t="s">
        <v>256</v>
      </c>
      <c r="AI3" s="5" t="s">
        <v>320</v>
      </c>
      <c r="AJ3" s="5"/>
      <c r="AK3" s="5"/>
      <c r="AL3" s="5"/>
      <c r="AM3" s="3" t="s">
        <v>321</v>
      </c>
      <c r="AN3" s="3" t="s">
        <v>322</v>
      </c>
      <c r="AO3" s="3" t="s">
        <v>323</v>
      </c>
      <c r="AP3" s="3" t="s">
        <v>324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/>
      <c r="AZ3" s="3" t="s">
        <v>344</v>
      </c>
      <c r="BA3" s="5"/>
      <c r="BB3" s="3" t="s">
        <v>327</v>
      </c>
      <c r="BC3" s="4" t="s">
        <v>328</v>
      </c>
      <c r="BD3" s="4" t="s">
        <v>345</v>
      </c>
      <c r="BE3" s="3" t="s">
        <v>91</v>
      </c>
      <c r="BF3" s="3" t="s">
        <v>330</v>
      </c>
      <c r="BG3" s="3" t="s">
        <v>331</v>
      </c>
      <c r="BH3" s="3" t="s">
        <v>332</v>
      </c>
      <c r="BI3" s="5"/>
      <c r="BJ3" s="5"/>
      <c r="BK3" s="3" t="s">
        <v>333</v>
      </c>
      <c r="BL3" s="4" t="s">
        <v>346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335</v>
      </c>
      <c r="BZ3" s="5"/>
      <c r="CA3" s="3" t="s">
        <v>91</v>
      </c>
      <c r="CB3" s="5"/>
      <c r="CC3" s="3" t="s">
        <v>40</v>
      </c>
      <c r="CD3" s="5"/>
      <c r="CE3" s="5"/>
      <c r="CF3" s="3" t="s">
        <v>336</v>
      </c>
      <c r="CG3" s="3" t="s">
        <v>337</v>
      </c>
      <c r="CH3" s="5"/>
      <c r="CI3" s="3" t="s">
        <v>338</v>
      </c>
      <c r="CJ3" s="3" t="s">
        <v>47</v>
      </c>
      <c r="CK3" s="3" t="s">
        <v>49</v>
      </c>
      <c r="CL3" s="3" t="s">
        <v>49</v>
      </c>
      <c r="CM3" s="5"/>
      <c r="CN3" s="3" t="s">
        <v>339</v>
      </c>
      <c r="CO3" s="3" t="s">
        <v>340</v>
      </c>
      <c r="CP3" s="5"/>
      <c r="CQ3" s="3" t="s">
        <v>341</v>
      </c>
      <c r="CR3" s="3" t="s">
        <v>342</v>
      </c>
      <c r="CS3" s="3" t="s">
        <v>319</v>
      </c>
      <c r="CT3" s="3" t="s">
        <v>44</v>
      </c>
      <c r="CU3" s="5"/>
      <c r="CV3" s="5"/>
      <c r="CW3" s="4" t="s">
        <v>347</v>
      </c>
      <c r="CX3" s="5"/>
      <c r="CY3" s="14"/>
    </row>
    <row r="4" ht="12" customHeight="1" spans="1:103" x14ac:dyDescent="0.25">
      <c r="A4" s="11" t="s">
        <v>43</v>
      </c>
      <c r="B4" s="3" t="s">
        <v>316</v>
      </c>
      <c r="C4" s="5">
        <v>1</v>
      </c>
      <c r="D4" s="5">
        <v>1</v>
      </c>
      <c r="E4" s="5"/>
      <c r="F4" s="5">
        <v>0</v>
      </c>
      <c r="G4" s="5">
        <v>1</v>
      </c>
      <c r="H4" s="5">
        <v>0</v>
      </c>
      <c r="I4" s="5">
        <v>0</v>
      </c>
      <c r="J4" s="5">
        <v>1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317</v>
      </c>
      <c r="R4" s="4" t="s">
        <v>30</v>
      </c>
      <c r="S4" s="3" t="s">
        <v>36</v>
      </c>
      <c r="T4" s="3" t="s">
        <v>50</v>
      </c>
      <c r="U4" s="3" t="s">
        <v>36</v>
      </c>
      <c r="V4" s="4" t="s">
        <v>318</v>
      </c>
      <c r="W4" s="3" t="s">
        <v>317</v>
      </c>
      <c r="X4" s="5"/>
      <c r="Y4" s="5"/>
      <c r="Z4" s="5"/>
      <c r="AA4" s="3" t="s">
        <v>319</v>
      </c>
      <c r="AB4" s="3" t="s">
        <v>319</v>
      </c>
      <c r="AC4" s="12">
        <v>19960</v>
      </c>
      <c r="AD4" s="12">
        <v>22160</v>
      </c>
      <c r="AE4" s="3" t="s">
        <v>320</v>
      </c>
      <c r="AF4" s="3"/>
      <c r="AG4" s="5"/>
      <c r="AH4" s="3" t="s">
        <v>256</v>
      </c>
      <c r="AI4" s="5" t="s">
        <v>320</v>
      </c>
      <c r="AJ4" s="5"/>
      <c r="AK4" s="5"/>
      <c r="AL4" s="5"/>
      <c r="AM4" s="3" t="s">
        <v>321</v>
      </c>
      <c r="AN4" s="3" t="s">
        <v>322</v>
      </c>
      <c r="AO4" s="3" t="s">
        <v>323</v>
      </c>
      <c r="AP4" s="3" t="s">
        <v>324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344</v>
      </c>
      <c r="BA4" s="5"/>
      <c r="BB4" s="3" t="s">
        <v>327</v>
      </c>
      <c r="BC4" s="4" t="s">
        <v>328</v>
      </c>
      <c r="BD4" s="4" t="s">
        <v>345</v>
      </c>
      <c r="BE4" s="3" t="s">
        <v>91</v>
      </c>
      <c r="BF4" s="3" t="s">
        <v>330</v>
      </c>
      <c r="BG4" s="3" t="s">
        <v>331</v>
      </c>
      <c r="BH4" s="3" t="s">
        <v>332</v>
      </c>
      <c r="BI4" s="5"/>
      <c r="BJ4" s="5"/>
      <c r="BK4" s="3" t="s">
        <v>333</v>
      </c>
      <c r="BL4" s="4" t="s">
        <v>346</v>
      </c>
      <c r="BM4" s="13"/>
      <c r="BN4" s="13">
        <v>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3" t="s">
        <v>335</v>
      </c>
      <c r="BZ4" s="5"/>
      <c r="CA4" s="3" t="s">
        <v>91</v>
      </c>
      <c r="CB4" s="5"/>
      <c r="CC4" s="3" t="s">
        <v>40</v>
      </c>
      <c r="CD4" s="5"/>
      <c r="CE4" s="5"/>
      <c r="CF4" s="3" t="s">
        <v>336</v>
      </c>
      <c r="CG4" s="3" t="s">
        <v>337</v>
      </c>
      <c r="CH4" s="5"/>
      <c r="CI4" s="3" t="s">
        <v>338</v>
      </c>
      <c r="CJ4" s="3" t="s">
        <v>47</v>
      </c>
      <c r="CK4" s="3" t="s">
        <v>49</v>
      </c>
      <c r="CL4" s="3" t="s">
        <v>49</v>
      </c>
      <c r="CM4" s="5"/>
      <c r="CN4" s="3" t="s">
        <v>339</v>
      </c>
      <c r="CO4" s="3" t="s">
        <v>340</v>
      </c>
      <c r="CP4" s="5"/>
      <c r="CQ4" s="3" t="s">
        <v>341</v>
      </c>
      <c r="CR4" s="3" t="s">
        <v>342</v>
      </c>
      <c r="CS4" s="3" t="s">
        <v>319</v>
      </c>
      <c r="CT4" s="3" t="s">
        <v>44</v>
      </c>
      <c r="CU4" s="5"/>
      <c r="CV4" s="5"/>
      <c r="CW4" s="4" t="s">
        <v>347</v>
      </c>
      <c r="CX4" s="5"/>
      <c r="CY4" s="14"/>
    </row>
    <row r="5" ht="12" customHeight="1" spans="1:103" x14ac:dyDescent="0.25">
      <c r="A5" s="11" t="s">
        <v>199</v>
      </c>
      <c r="B5" s="3" t="s">
        <v>316</v>
      </c>
      <c r="C5" s="5">
        <v>1</v>
      </c>
      <c r="D5" s="5">
        <v>1</v>
      </c>
      <c r="E5" s="5"/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317</v>
      </c>
      <c r="R5" s="4" t="s">
        <v>30</v>
      </c>
      <c r="S5" s="3" t="s">
        <v>198</v>
      </c>
      <c r="T5" s="3" t="s">
        <v>203</v>
      </c>
      <c r="U5" s="3" t="s">
        <v>198</v>
      </c>
      <c r="V5" s="4" t="s">
        <v>348</v>
      </c>
      <c r="W5" s="3" t="s">
        <v>349</v>
      </c>
      <c r="X5" s="5"/>
      <c r="Y5" s="5" t="s">
        <v>120</v>
      </c>
      <c r="Z5" s="5" t="s">
        <v>88</v>
      </c>
      <c r="AA5" s="3" t="s">
        <v>350</v>
      </c>
      <c r="AB5" s="3" t="s">
        <v>351</v>
      </c>
      <c r="AC5" s="12">
        <v>14389</v>
      </c>
      <c r="AD5" s="12">
        <v>16589</v>
      </c>
      <c r="AE5" s="3" t="s">
        <v>320</v>
      </c>
      <c r="AF5" s="3" t="s">
        <v>253</v>
      </c>
      <c r="AG5" s="5"/>
      <c r="AH5" s="3" t="s">
        <v>256</v>
      </c>
      <c r="AI5" s="5" t="s">
        <v>320</v>
      </c>
      <c r="AJ5" s="5"/>
      <c r="AK5" s="5"/>
      <c r="AL5" s="5"/>
      <c r="AM5" s="3" t="s">
        <v>321</v>
      </c>
      <c r="AN5" s="3" t="s">
        <v>322</v>
      </c>
      <c r="AO5" s="3" t="s">
        <v>352</v>
      </c>
      <c r="AP5" s="3" t="s">
        <v>17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/>
      <c r="AZ5" s="3" t="s">
        <v>353</v>
      </c>
      <c r="BA5" s="5" t="s">
        <v>354</v>
      </c>
      <c r="BB5" s="3" t="s">
        <v>327</v>
      </c>
      <c r="BC5" s="4" t="s">
        <v>355</v>
      </c>
      <c r="BD5" s="4" t="s">
        <v>356</v>
      </c>
      <c r="BE5" s="3" t="s">
        <v>91</v>
      </c>
      <c r="BF5" s="3" t="s">
        <v>357</v>
      </c>
      <c r="BG5" s="3" t="s">
        <v>331</v>
      </c>
      <c r="BH5" s="3" t="s">
        <v>332</v>
      </c>
      <c r="BI5" s="5"/>
      <c r="BJ5" s="5"/>
      <c r="BK5" s="3" t="s">
        <v>358</v>
      </c>
      <c r="BL5" s="4" t="s">
        <v>346</v>
      </c>
      <c r="BM5" s="13"/>
      <c r="BN5" s="13">
        <v>1</v>
      </c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3" t="s">
        <v>335</v>
      </c>
      <c r="BZ5" s="5">
        <v>3</v>
      </c>
      <c r="CA5" s="3" t="s">
        <v>91</v>
      </c>
      <c r="CB5" s="5"/>
      <c r="CC5" s="3" t="s">
        <v>40</v>
      </c>
      <c r="CD5" s="5"/>
      <c r="CE5" s="5"/>
      <c r="CF5" s="3" t="s">
        <v>336</v>
      </c>
      <c r="CG5" s="3" t="s">
        <v>337</v>
      </c>
      <c r="CH5" s="5" t="s">
        <v>359</v>
      </c>
      <c r="CI5" s="3" t="s">
        <v>360</v>
      </c>
      <c r="CJ5" s="3" t="s">
        <v>200</v>
      </c>
      <c r="CK5" s="3" t="s">
        <v>201</v>
      </c>
      <c r="CL5" s="3" t="s">
        <v>202</v>
      </c>
      <c r="CM5" s="5"/>
      <c r="CN5" s="3" t="s">
        <v>339</v>
      </c>
      <c r="CO5" s="3" t="s">
        <v>340</v>
      </c>
      <c r="CP5" s="5"/>
      <c r="CQ5" s="3" t="s">
        <v>361</v>
      </c>
      <c r="CR5" s="3" t="s">
        <v>362</v>
      </c>
      <c r="CS5" s="3" t="s">
        <v>350</v>
      </c>
      <c r="CT5" s="3" t="s">
        <v>44</v>
      </c>
      <c r="CU5" s="5"/>
      <c r="CV5" s="5"/>
      <c r="CW5" s="4" t="s">
        <v>343</v>
      </c>
      <c r="CX5" s="5" t="s">
        <v>363</v>
      </c>
      <c r="CY5" s="14"/>
    </row>
    <row r="6" ht="12" customHeight="1" spans="1:103" x14ac:dyDescent="0.25">
      <c r="A6" s="11" t="s">
        <v>211</v>
      </c>
      <c r="B6" s="3" t="s">
        <v>316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317</v>
      </c>
      <c r="R6" s="4" t="s">
        <v>30</v>
      </c>
      <c r="S6" s="3" t="s">
        <v>36</v>
      </c>
      <c r="T6" s="3" t="s">
        <v>50</v>
      </c>
      <c r="U6" s="3" t="s">
        <v>36</v>
      </c>
      <c r="V6" s="4" t="s">
        <v>318</v>
      </c>
      <c r="W6" s="3" t="s">
        <v>317</v>
      </c>
      <c r="X6" s="5"/>
      <c r="Y6" s="5"/>
      <c r="Z6" s="5"/>
      <c r="AA6" s="3" t="s">
        <v>364</v>
      </c>
      <c r="AB6" s="3" t="s">
        <v>365</v>
      </c>
      <c r="AC6" s="12">
        <v>9951.72</v>
      </c>
      <c r="AD6" s="12">
        <v>12151.72</v>
      </c>
      <c r="AE6" s="3" t="s">
        <v>320</v>
      </c>
      <c r="AF6" s="3"/>
      <c r="AG6" s="5"/>
      <c r="AH6" s="3" t="s">
        <v>256</v>
      </c>
      <c r="AI6" s="5" t="s">
        <v>320</v>
      </c>
      <c r="AJ6" s="5"/>
      <c r="AK6" s="5"/>
      <c r="AL6" s="5"/>
      <c r="AM6" s="3" t="s">
        <v>366</v>
      </c>
      <c r="AN6" s="3" t="s">
        <v>367</v>
      </c>
      <c r="AO6" s="3" t="s">
        <v>368</v>
      </c>
      <c r="AP6" s="3" t="s">
        <v>324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369</v>
      </c>
      <c r="BA6" s="5"/>
      <c r="BB6" s="3" t="s">
        <v>327</v>
      </c>
      <c r="BC6" s="4" t="s">
        <v>370</v>
      </c>
      <c r="BD6" s="4" t="s">
        <v>346</v>
      </c>
      <c r="BE6" s="3" t="s">
        <v>91</v>
      </c>
      <c r="BF6" s="3" t="s">
        <v>368</v>
      </c>
      <c r="BG6" s="3" t="s">
        <v>331</v>
      </c>
      <c r="BH6" s="3" t="s">
        <v>332</v>
      </c>
      <c r="BI6" s="5"/>
      <c r="BJ6" s="5"/>
      <c r="BK6" s="3" t="s">
        <v>333</v>
      </c>
      <c r="BL6" s="4" t="s">
        <v>329</v>
      </c>
      <c r="BM6" s="13"/>
      <c r="BN6" s="13">
        <v>1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3" t="s">
        <v>335</v>
      </c>
      <c r="BZ6" s="5"/>
      <c r="CA6" s="3" t="s">
        <v>91</v>
      </c>
      <c r="CB6" s="5"/>
      <c r="CC6" s="3" t="s">
        <v>40</v>
      </c>
      <c r="CD6" s="5"/>
      <c r="CE6" s="5"/>
      <c r="CF6" s="3" t="s">
        <v>336</v>
      </c>
      <c r="CG6" s="3" t="s">
        <v>337</v>
      </c>
      <c r="CH6" s="5"/>
      <c r="CI6" s="3" t="s">
        <v>371</v>
      </c>
      <c r="CJ6" s="3" t="s">
        <v>92</v>
      </c>
      <c r="CK6" s="3" t="s">
        <v>212</v>
      </c>
      <c r="CL6" s="3" t="s">
        <v>212</v>
      </c>
      <c r="CM6" s="5"/>
      <c r="CN6" s="3" t="s">
        <v>339</v>
      </c>
      <c r="CO6" s="3" t="s">
        <v>340</v>
      </c>
      <c r="CP6" s="5"/>
      <c r="CQ6" s="3" t="s">
        <v>372</v>
      </c>
      <c r="CR6" s="3" t="s">
        <v>373</v>
      </c>
      <c r="CS6" s="3" t="s">
        <v>364</v>
      </c>
      <c r="CT6" s="3" t="s">
        <v>44</v>
      </c>
      <c r="CU6" s="5"/>
      <c r="CV6" s="5"/>
      <c r="CW6" s="4" t="s">
        <v>374</v>
      </c>
      <c r="CX6" s="5"/>
      <c r="CY6" s="14"/>
    </row>
    <row r="7" ht="12" customHeight="1" spans="1:103" x14ac:dyDescent="0.25">
      <c r="A7" s="11" t="s">
        <v>179</v>
      </c>
      <c r="B7" s="3" t="s">
        <v>316</v>
      </c>
      <c r="C7" s="5">
        <v>1</v>
      </c>
      <c r="D7" s="5">
        <v>1</v>
      </c>
      <c r="E7" s="5"/>
      <c r="F7" s="5">
        <v>0</v>
      </c>
      <c r="G7" s="5">
        <v>1</v>
      </c>
      <c r="H7" s="5">
        <v>0</v>
      </c>
      <c r="I7" s="5">
        <v>0</v>
      </c>
      <c r="J7" s="5">
        <v>1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317</v>
      </c>
      <c r="R7" s="4" t="s">
        <v>30</v>
      </c>
      <c r="S7" s="3" t="s">
        <v>36</v>
      </c>
      <c r="T7" s="3" t="s">
        <v>50</v>
      </c>
      <c r="U7" s="3" t="s">
        <v>36</v>
      </c>
      <c r="V7" s="4" t="s">
        <v>318</v>
      </c>
      <c r="W7" s="3" t="s">
        <v>317</v>
      </c>
      <c r="X7" s="5"/>
      <c r="Y7" s="5"/>
      <c r="Z7" s="5"/>
      <c r="AA7" s="3" t="s">
        <v>375</v>
      </c>
      <c r="AB7" s="3" t="s">
        <v>376</v>
      </c>
      <c r="AC7" s="12">
        <v>22326</v>
      </c>
      <c r="AD7" s="12">
        <v>24526</v>
      </c>
      <c r="AE7" s="3" t="s">
        <v>320</v>
      </c>
      <c r="AF7" s="3" t="s">
        <v>253</v>
      </c>
      <c r="AG7" s="5"/>
      <c r="AH7" s="3" t="s">
        <v>256</v>
      </c>
      <c r="AI7" s="5" t="s">
        <v>320</v>
      </c>
      <c r="AJ7" s="5"/>
      <c r="AK7" s="5"/>
      <c r="AL7" s="5"/>
      <c r="AM7" s="3" t="s">
        <v>377</v>
      </c>
      <c r="AN7" s="3" t="s">
        <v>378</v>
      </c>
      <c r="AO7" s="3" t="s">
        <v>379</v>
      </c>
      <c r="AP7" s="3" t="s">
        <v>324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/>
      <c r="AZ7" s="3" t="s">
        <v>325</v>
      </c>
      <c r="BA7" s="5" t="s">
        <v>380</v>
      </c>
      <c r="BB7" s="3" t="s">
        <v>327</v>
      </c>
      <c r="BC7" s="4" t="s">
        <v>381</v>
      </c>
      <c r="BD7" s="4" t="s">
        <v>356</v>
      </c>
      <c r="BE7" s="3" t="s">
        <v>91</v>
      </c>
      <c r="BF7" s="3" t="s">
        <v>379</v>
      </c>
      <c r="BG7" s="3" t="s">
        <v>331</v>
      </c>
      <c r="BH7" s="3" t="s">
        <v>332</v>
      </c>
      <c r="BI7" s="5"/>
      <c r="BJ7" s="5"/>
      <c r="BK7" s="3" t="s">
        <v>333</v>
      </c>
      <c r="BL7" s="4" t="s">
        <v>334</v>
      </c>
      <c r="BM7" s="13"/>
      <c r="BN7" s="13">
        <v>1</v>
      </c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3" t="s">
        <v>335</v>
      </c>
      <c r="BZ7" s="5"/>
      <c r="CA7" s="3" t="s">
        <v>91</v>
      </c>
      <c r="CB7" s="5"/>
      <c r="CC7" s="3" t="s">
        <v>40</v>
      </c>
      <c r="CD7" s="5"/>
      <c r="CE7" s="5"/>
      <c r="CF7" s="3" t="s">
        <v>336</v>
      </c>
      <c r="CG7" s="3" t="s">
        <v>337</v>
      </c>
      <c r="CH7" s="5"/>
      <c r="CI7" s="3" t="s">
        <v>382</v>
      </c>
      <c r="CJ7" s="3" t="s">
        <v>180</v>
      </c>
      <c r="CK7" s="3" t="s">
        <v>181</v>
      </c>
      <c r="CL7" s="3" t="s">
        <v>181</v>
      </c>
      <c r="CM7" s="5"/>
      <c r="CN7" s="3" t="s">
        <v>339</v>
      </c>
      <c r="CO7" s="3" t="s">
        <v>340</v>
      </c>
      <c r="CP7" s="5"/>
      <c r="CQ7" s="3" t="s">
        <v>383</v>
      </c>
      <c r="CR7" s="3" t="s">
        <v>384</v>
      </c>
      <c r="CS7" s="3" t="s">
        <v>375</v>
      </c>
      <c r="CT7" s="3" t="s">
        <v>44</v>
      </c>
      <c r="CU7" s="5"/>
      <c r="CV7" s="5"/>
      <c r="CW7" s="4" t="s">
        <v>343</v>
      </c>
      <c r="CX7" s="5"/>
      <c r="CY7" s="14" t="s">
        <v>326</v>
      </c>
    </row>
    <row r="8" ht="12" customHeight="1" spans="1:103" x14ac:dyDescent="0.25">
      <c r="A8" s="11" t="s">
        <v>196</v>
      </c>
      <c r="B8" s="3" t="s">
        <v>316</v>
      </c>
      <c r="C8" s="5">
        <v>1</v>
      </c>
      <c r="D8" s="5">
        <v>1</v>
      </c>
      <c r="E8" s="5"/>
      <c r="F8" s="5">
        <v>0</v>
      </c>
      <c r="G8" s="5">
        <v>1</v>
      </c>
      <c r="H8" s="5">
        <v>0</v>
      </c>
      <c r="I8" s="5">
        <v>0</v>
      </c>
      <c r="J8" s="5">
        <v>1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317</v>
      </c>
      <c r="R8" s="4" t="s">
        <v>30</v>
      </c>
      <c r="S8" s="3" t="s">
        <v>36</v>
      </c>
      <c r="T8" s="3" t="s">
        <v>50</v>
      </c>
      <c r="U8" s="3" t="s">
        <v>36</v>
      </c>
      <c r="V8" s="4" t="s">
        <v>318</v>
      </c>
      <c r="W8" s="3" t="s">
        <v>317</v>
      </c>
      <c r="X8" s="5"/>
      <c r="Y8" s="5"/>
      <c r="Z8" s="5"/>
      <c r="AA8" s="3" t="s">
        <v>58</v>
      </c>
      <c r="AB8" s="3" t="s">
        <v>385</v>
      </c>
      <c r="AC8" s="12">
        <v>15030.4</v>
      </c>
      <c r="AD8" s="12">
        <v>17230.4</v>
      </c>
      <c r="AE8" s="3" t="s">
        <v>320</v>
      </c>
      <c r="AF8" s="3" t="s">
        <v>253</v>
      </c>
      <c r="AG8" s="5"/>
      <c r="AH8" s="3" t="s">
        <v>256</v>
      </c>
      <c r="AI8" s="5" t="s">
        <v>320</v>
      </c>
      <c r="AJ8" s="5"/>
      <c r="AK8" s="5"/>
      <c r="AL8" s="5"/>
      <c r="AM8" s="3" t="s">
        <v>386</v>
      </c>
      <c r="AN8" s="3" t="s">
        <v>387</v>
      </c>
      <c r="AO8" s="3" t="s">
        <v>388</v>
      </c>
      <c r="AP8" s="3" t="s">
        <v>324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/>
      <c r="AZ8" s="3" t="s">
        <v>389</v>
      </c>
      <c r="BA8" s="5" t="s">
        <v>390</v>
      </c>
      <c r="BB8" s="3" t="s">
        <v>327</v>
      </c>
      <c r="BC8" s="4" t="s">
        <v>391</v>
      </c>
      <c r="BD8" s="4" t="s">
        <v>356</v>
      </c>
      <c r="BE8" s="3" t="s">
        <v>91</v>
      </c>
      <c r="BF8" s="3" t="s">
        <v>388</v>
      </c>
      <c r="BG8" s="3" t="s">
        <v>331</v>
      </c>
      <c r="BH8" s="3" t="s">
        <v>332</v>
      </c>
      <c r="BI8" s="5"/>
      <c r="BJ8" s="5"/>
      <c r="BK8" s="3" t="s">
        <v>333</v>
      </c>
      <c r="BL8" s="4" t="s">
        <v>392</v>
      </c>
      <c r="BM8" s="13"/>
      <c r="BN8" s="13">
        <v>1</v>
      </c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3" t="s">
        <v>335</v>
      </c>
      <c r="BZ8" s="5"/>
      <c r="CA8" s="3" t="s">
        <v>91</v>
      </c>
      <c r="CB8" s="5"/>
      <c r="CC8" s="3" t="s">
        <v>40</v>
      </c>
      <c r="CD8" s="5"/>
      <c r="CE8" s="5"/>
      <c r="CF8" s="3" t="s">
        <v>336</v>
      </c>
      <c r="CG8" s="3" t="s">
        <v>337</v>
      </c>
      <c r="CH8" s="5"/>
      <c r="CI8" s="3" t="s">
        <v>393</v>
      </c>
      <c r="CJ8" s="3" t="s">
        <v>58</v>
      </c>
      <c r="CK8" s="3" t="s">
        <v>59</v>
      </c>
      <c r="CL8" s="3" t="s">
        <v>59</v>
      </c>
      <c r="CM8" s="5"/>
      <c r="CN8" s="3" t="s">
        <v>339</v>
      </c>
      <c r="CO8" s="3" t="s">
        <v>340</v>
      </c>
      <c r="CP8" s="5"/>
      <c r="CQ8" s="3" t="s">
        <v>394</v>
      </c>
      <c r="CR8" s="3" t="s">
        <v>395</v>
      </c>
      <c r="CS8" s="3" t="s">
        <v>58</v>
      </c>
      <c r="CT8" s="3" t="s">
        <v>44</v>
      </c>
      <c r="CU8" s="5"/>
      <c r="CV8" s="5"/>
      <c r="CW8" s="4" t="s">
        <v>347</v>
      </c>
      <c r="CX8" s="5"/>
      <c r="CY8" s="14"/>
    </row>
    <row r="9" ht="12" customHeight="1" spans="1:103" x14ac:dyDescent="0.25">
      <c r="A9" s="11" t="s">
        <v>56</v>
      </c>
      <c r="B9" s="3" t="s">
        <v>396</v>
      </c>
      <c r="C9" s="5">
        <v>3</v>
      </c>
      <c r="D9" s="5">
        <v>3</v>
      </c>
      <c r="E9" s="5"/>
      <c r="F9" s="5">
        <v>0</v>
      </c>
      <c r="G9" s="5">
        <v>3</v>
      </c>
      <c r="H9" s="5">
        <v>0</v>
      </c>
      <c r="I9" s="5">
        <v>0</v>
      </c>
      <c r="J9" s="5">
        <v>3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317</v>
      </c>
      <c r="R9" s="4" t="s">
        <v>30</v>
      </c>
      <c r="S9" s="3" t="s">
        <v>36</v>
      </c>
      <c r="T9" s="3" t="s">
        <v>50</v>
      </c>
      <c r="U9" s="3" t="s">
        <v>36</v>
      </c>
      <c r="V9" s="4" t="s">
        <v>318</v>
      </c>
      <c r="W9" s="3" t="s">
        <v>317</v>
      </c>
      <c r="X9" s="5"/>
      <c r="Y9" s="5"/>
      <c r="Z9" s="5"/>
      <c r="AA9" s="3" t="s">
        <v>58</v>
      </c>
      <c r="AB9" s="3" t="s">
        <v>385</v>
      </c>
      <c r="AC9" s="12">
        <v>35580.44</v>
      </c>
      <c r="AD9" s="12">
        <v>42180.44</v>
      </c>
      <c r="AE9" s="3" t="s">
        <v>320</v>
      </c>
      <c r="AF9" s="3" t="s">
        <v>253</v>
      </c>
      <c r="AG9" s="5"/>
      <c r="AH9" s="3" t="s">
        <v>256</v>
      </c>
      <c r="AI9" s="5" t="s">
        <v>320</v>
      </c>
      <c r="AJ9" s="5"/>
      <c r="AK9" s="5"/>
      <c r="AL9" s="5"/>
      <c r="AM9" s="3" t="s">
        <v>386</v>
      </c>
      <c r="AN9" s="3" t="s">
        <v>387</v>
      </c>
      <c r="AO9" s="3" t="s">
        <v>388</v>
      </c>
      <c r="AP9" s="3" t="s">
        <v>324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397</v>
      </c>
      <c r="BA9" s="5" t="s">
        <v>398</v>
      </c>
      <c r="BB9" s="3" t="s">
        <v>327</v>
      </c>
      <c r="BC9" s="4" t="s">
        <v>391</v>
      </c>
      <c r="BD9" s="4" t="s">
        <v>346</v>
      </c>
      <c r="BE9" s="3" t="s">
        <v>91</v>
      </c>
      <c r="BF9" s="3" t="s">
        <v>388</v>
      </c>
      <c r="BG9" s="3" t="s">
        <v>331</v>
      </c>
      <c r="BH9" s="3" t="s">
        <v>332</v>
      </c>
      <c r="BI9" s="5"/>
      <c r="BJ9" s="5"/>
      <c r="BK9" s="3" t="s">
        <v>333</v>
      </c>
      <c r="BL9" s="4" t="s">
        <v>346</v>
      </c>
      <c r="BM9" s="13"/>
      <c r="BN9" s="13">
        <v>3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3" t="s">
        <v>335</v>
      </c>
      <c r="BZ9" s="5"/>
      <c r="CA9" s="3" t="s">
        <v>91</v>
      </c>
      <c r="CB9" s="5"/>
      <c r="CC9" s="3" t="s">
        <v>40</v>
      </c>
      <c r="CD9" s="5"/>
      <c r="CE9" s="5"/>
      <c r="CF9" s="3" t="s">
        <v>336</v>
      </c>
      <c r="CG9" s="3" t="s">
        <v>337</v>
      </c>
      <c r="CH9" s="5"/>
      <c r="CI9" s="3" t="s">
        <v>393</v>
      </c>
      <c r="CJ9" s="3" t="s">
        <v>58</v>
      </c>
      <c r="CK9" s="3" t="s">
        <v>59</v>
      </c>
      <c r="CL9" s="3" t="s">
        <v>59</v>
      </c>
      <c r="CM9" s="5"/>
      <c r="CN9" s="3" t="s">
        <v>339</v>
      </c>
      <c r="CO9" s="3" t="s">
        <v>340</v>
      </c>
      <c r="CP9" s="5"/>
      <c r="CQ9" s="3" t="s">
        <v>394</v>
      </c>
      <c r="CR9" s="3" t="s">
        <v>395</v>
      </c>
      <c r="CS9" s="3" t="s">
        <v>58</v>
      </c>
      <c r="CT9" s="3" t="s">
        <v>44</v>
      </c>
      <c r="CU9" s="5"/>
      <c r="CV9" s="5"/>
      <c r="CW9" s="4" t="s">
        <v>399</v>
      </c>
      <c r="CX9" s="5"/>
      <c r="CY9" s="14"/>
    </row>
    <row r="10" ht="12" customHeight="1" spans="1:103" x14ac:dyDescent="0.25">
      <c r="A10" s="11" t="s">
        <v>218</v>
      </c>
      <c r="B10" s="3" t="s">
        <v>316</v>
      </c>
      <c r="C10" s="5">
        <v>0</v>
      </c>
      <c r="D10" s="5">
        <v>0</v>
      </c>
      <c r="E10" s="5"/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317</v>
      </c>
      <c r="R10" s="4" t="s">
        <v>30</v>
      </c>
      <c r="S10" s="3" t="s">
        <v>88</v>
      </c>
      <c r="T10" s="3" t="s">
        <v>120</v>
      </c>
      <c r="U10" s="3" t="s">
        <v>88</v>
      </c>
      <c r="V10" s="4" t="s">
        <v>400</v>
      </c>
      <c r="W10" s="3" t="s">
        <v>401</v>
      </c>
      <c r="X10" s="5"/>
      <c r="Y10" s="5"/>
      <c r="Z10" s="5"/>
      <c r="AA10" s="3" t="s">
        <v>220</v>
      </c>
      <c r="AB10" s="3" t="s">
        <v>220</v>
      </c>
      <c r="AC10" s="12">
        <v>9041.94</v>
      </c>
      <c r="AD10" s="12">
        <v>11241.94</v>
      </c>
      <c r="AE10" s="3" t="s">
        <v>320</v>
      </c>
      <c r="AF10" s="3" t="s">
        <v>253</v>
      </c>
      <c r="AG10" s="5"/>
      <c r="AH10" s="3" t="s">
        <v>256</v>
      </c>
      <c r="AI10" s="5" t="s">
        <v>320</v>
      </c>
      <c r="AJ10" s="5"/>
      <c r="AK10" s="5"/>
      <c r="AL10" s="5"/>
      <c r="AM10" s="3" t="s">
        <v>402</v>
      </c>
      <c r="AN10" s="3" t="s">
        <v>403</v>
      </c>
      <c r="AO10" s="3" t="s">
        <v>404</v>
      </c>
      <c r="AP10" s="3" t="s">
        <v>324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405</v>
      </c>
      <c r="BA10" s="5"/>
      <c r="BB10" s="3" t="s">
        <v>327</v>
      </c>
      <c r="BC10" s="4" t="s">
        <v>391</v>
      </c>
      <c r="BD10" s="4" t="s">
        <v>399</v>
      </c>
      <c r="BE10" s="3" t="s">
        <v>91</v>
      </c>
      <c r="BF10" s="3" t="s">
        <v>404</v>
      </c>
      <c r="BG10" s="3" t="s">
        <v>331</v>
      </c>
      <c r="BH10" s="3" t="s">
        <v>332</v>
      </c>
      <c r="BI10" s="5"/>
      <c r="BJ10" s="5"/>
      <c r="BK10" s="3" t="s">
        <v>40</v>
      </c>
      <c r="BL10" s="4" t="s">
        <v>329</v>
      </c>
      <c r="BM10" s="13"/>
      <c r="BN10" s="13">
        <v>1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3" t="s">
        <v>335</v>
      </c>
      <c r="BZ10" s="5"/>
      <c r="CA10" s="3"/>
      <c r="CB10" s="5"/>
      <c r="CC10" s="3" t="s">
        <v>40</v>
      </c>
      <c r="CD10" s="5"/>
      <c r="CE10" s="5"/>
      <c r="CF10" s="3" t="s">
        <v>336</v>
      </c>
      <c r="CG10" s="3" t="s">
        <v>337</v>
      </c>
      <c r="CH10" s="5"/>
      <c r="CI10" s="3" t="s">
        <v>406</v>
      </c>
      <c r="CJ10" s="3" t="s">
        <v>220</v>
      </c>
      <c r="CK10" s="3" t="s">
        <v>222</v>
      </c>
      <c r="CL10" s="3" t="s">
        <v>222</v>
      </c>
      <c r="CM10" s="5"/>
      <c r="CN10" s="3" t="s">
        <v>339</v>
      </c>
      <c r="CO10" s="3" t="s">
        <v>340</v>
      </c>
      <c r="CP10" s="5"/>
      <c r="CQ10" s="3" t="s">
        <v>407</v>
      </c>
      <c r="CR10" s="3" t="s">
        <v>408</v>
      </c>
      <c r="CS10" s="3" t="s">
        <v>220</v>
      </c>
      <c r="CT10" s="3" t="s">
        <v>44</v>
      </c>
      <c r="CU10" s="5"/>
      <c r="CV10" s="5"/>
      <c r="CW10" s="4" t="s">
        <v>347</v>
      </c>
      <c r="CX10" s="5"/>
      <c r="CY10" s="14"/>
    </row>
    <row r="11" ht="12" customHeight="1" spans="1:103" x14ac:dyDescent="0.25">
      <c r="A11" s="11" t="s">
        <v>127</v>
      </c>
      <c r="B11" s="3" t="s">
        <v>409</v>
      </c>
      <c r="C11" s="5">
        <v>0</v>
      </c>
      <c r="D11" s="5">
        <v>0</v>
      </c>
      <c r="E11" s="5"/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317</v>
      </c>
      <c r="R11" s="4" t="s">
        <v>30</v>
      </c>
      <c r="S11" s="3" t="s">
        <v>36</v>
      </c>
      <c r="T11" s="3" t="s">
        <v>50</v>
      </c>
      <c r="U11" s="3" t="s">
        <v>36</v>
      </c>
      <c r="V11" s="4" t="s">
        <v>318</v>
      </c>
      <c r="W11" s="3" t="s">
        <v>317</v>
      </c>
      <c r="X11" s="5"/>
      <c r="Y11" s="5"/>
      <c r="Z11" s="5"/>
      <c r="AA11" s="3" t="s">
        <v>410</v>
      </c>
      <c r="AB11" s="3" t="s">
        <v>410</v>
      </c>
      <c r="AC11" s="12">
        <v>5421.81</v>
      </c>
      <c r="AD11" s="12">
        <v>9421.81</v>
      </c>
      <c r="AE11" s="3" t="s">
        <v>320</v>
      </c>
      <c r="AF11" s="3"/>
      <c r="AG11" s="5"/>
      <c r="AH11" s="3" t="s">
        <v>411</v>
      </c>
      <c r="AI11" s="5" t="s">
        <v>320</v>
      </c>
      <c r="AJ11" s="5"/>
      <c r="AK11" s="5"/>
      <c r="AL11" s="5"/>
      <c r="AM11" s="3" t="s">
        <v>402</v>
      </c>
      <c r="AN11" s="3" t="s">
        <v>403</v>
      </c>
      <c r="AO11" s="3" t="s">
        <v>412</v>
      </c>
      <c r="AP11" s="3" t="s">
        <v>324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/>
      <c r="AZ11" s="3" t="s">
        <v>413</v>
      </c>
      <c r="BA11" s="5"/>
      <c r="BB11" s="3" t="s">
        <v>327</v>
      </c>
      <c r="BC11" s="4" t="s">
        <v>391</v>
      </c>
      <c r="BD11" s="4" t="s">
        <v>356</v>
      </c>
      <c r="BE11" s="3" t="s">
        <v>91</v>
      </c>
      <c r="BF11" s="3" t="s">
        <v>404</v>
      </c>
      <c r="BG11" s="3" t="s">
        <v>331</v>
      </c>
      <c r="BH11" s="3" t="s">
        <v>332</v>
      </c>
      <c r="BI11" s="5"/>
      <c r="BJ11" s="5"/>
      <c r="BK11" s="3" t="s">
        <v>40</v>
      </c>
      <c r="BL11" s="4" t="s">
        <v>374</v>
      </c>
      <c r="BM11" s="13"/>
      <c r="BN11" s="13"/>
      <c r="BO11" s="13"/>
      <c r="BP11" s="13">
        <v>1</v>
      </c>
      <c r="BQ11" s="13"/>
      <c r="BR11" s="13"/>
      <c r="BS11" s="13"/>
      <c r="BT11" s="13"/>
      <c r="BU11" s="13"/>
      <c r="BV11" s="13"/>
      <c r="BW11" s="13"/>
      <c r="BX11" s="13"/>
      <c r="BY11" s="3" t="s">
        <v>335</v>
      </c>
      <c r="BZ11" s="5"/>
      <c r="CA11" s="3" t="s">
        <v>91</v>
      </c>
      <c r="CB11" s="5"/>
      <c r="CC11" s="3" t="s">
        <v>40</v>
      </c>
      <c r="CD11" s="5"/>
      <c r="CE11" s="5"/>
      <c r="CF11" s="3" t="s">
        <v>336</v>
      </c>
      <c r="CG11" s="3" t="s">
        <v>337</v>
      </c>
      <c r="CH11" s="5"/>
      <c r="CI11" s="3" t="s">
        <v>414</v>
      </c>
      <c r="CJ11" s="3" t="s">
        <v>63</v>
      </c>
      <c r="CK11" s="3" t="s">
        <v>64</v>
      </c>
      <c r="CL11" s="3" t="s">
        <v>64</v>
      </c>
      <c r="CM11" s="5"/>
      <c r="CN11" s="3" t="s">
        <v>339</v>
      </c>
      <c r="CO11" s="3" t="s">
        <v>340</v>
      </c>
      <c r="CP11" s="5"/>
      <c r="CQ11" s="3" t="s">
        <v>415</v>
      </c>
      <c r="CR11" s="3" t="s">
        <v>416</v>
      </c>
      <c r="CS11" s="3" t="s">
        <v>410</v>
      </c>
      <c r="CT11" s="3" t="s">
        <v>44</v>
      </c>
      <c r="CU11" s="5"/>
      <c r="CV11" s="5"/>
      <c r="CW11" s="4" t="s">
        <v>399</v>
      </c>
      <c r="CX11" s="5"/>
      <c r="CY11" s="14"/>
    </row>
    <row r="12" ht="12" customHeight="1" spans="1:103" x14ac:dyDescent="0.25">
      <c r="A12" s="11" t="s">
        <v>79</v>
      </c>
      <c r="B12" s="3" t="s">
        <v>316</v>
      </c>
      <c r="C12" s="5">
        <v>1</v>
      </c>
      <c r="D12" s="5">
        <v>1</v>
      </c>
      <c r="E12" s="5"/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317</v>
      </c>
      <c r="R12" s="4" t="s">
        <v>30</v>
      </c>
      <c r="S12" s="3" t="s">
        <v>36</v>
      </c>
      <c r="T12" s="3" t="s">
        <v>50</v>
      </c>
      <c r="U12" s="3" t="s">
        <v>36</v>
      </c>
      <c r="V12" s="4" t="s">
        <v>318</v>
      </c>
      <c r="W12" s="3" t="s">
        <v>317</v>
      </c>
      <c r="X12" s="5"/>
      <c r="Y12" s="5"/>
      <c r="Z12" s="5"/>
      <c r="AA12" s="3" t="s">
        <v>410</v>
      </c>
      <c r="AB12" s="3" t="s">
        <v>417</v>
      </c>
      <c r="AC12" s="12">
        <v>19440</v>
      </c>
      <c r="AD12" s="12">
        <v>21640</v>
      </c>
      <c r="AE12" s="3" t="s">
        <v>320</v>
      </c>
      <c r="AF12" s="3"/>
      <c r="AG12" s="5"/>
      <c r="AH12" s="3" t="s">
        <v>256</v>
      </c>
      <c r="AI12" s="5"/>
      <c r="AJ12" s="5"/>
      <c r="AK12" s="5"/>
      <c r="AL12" s="5"/>
      <c r="AM12" s="3" t="s">
        <v>366</v>
      </c>
      <c r="AN12" s="3" t="s">
        <v>367</v>
      </c>
      <c r="AO12" s="3" t="s">
        <v>418</v>
      </c>
      <c r="AP12" s="3" t="s">
        <v>324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/>
      <c r="AZ12" s="3" t="s">
        <v>419</v>
      </c>
      <c r="BA12" s="5" t="s">
        <v>420</v>
      </c>
      <c r="BB12" s="3" t="s">
        <v>327</v>
      </c>
      <c r="BC12" s="4" t="s">
        <v>421</v>
      </c>
      <c r="BD12" s="4" t="s">
        <v>422</v>
      </c>
      <c r="BE12" s="3" t="s">
        <v>91</v>
      </c>
      <c r="BF12" s="3" t="s">
        <v>423</v>
      </c>
      <c r="BG12" s="3" t="s">
        <v>331</v>
      </c>
      <c r="BH12" s="3" t="s">
        <v>332</v>
      </c>
      <c r="BI12" s="5"/>
      <c r="BJ12" s="5"/>
      <c r="BK12" s="3" t="s">
        <v>333</v>
      </c>
      <c r="BL12" s="4" t="s">
        <v>374</v>
      </c>
      <c r="BM12" s="13"/>
      <c r="BN12" s="13">
        <v>1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3" t="s">
        <v>335</v>
      </c>
      <c r="BZ12" s="5"/>
      <c r="CA12" s="3" t="s">
        <v>91</v>
      </c>
      <c r="CB12" s="5"/>
      <c r="CC12" s="3" t="s">
        <v>40</v>
      </c>
      <c r="CD12" s="5"/>
      <c r="CE12" s="5"/>
      <c r="CF12" s="3" t="s">
        <v>336</v>
      </c>
      <c r="CG12" s="3" t="s">
        <v>337</v>
      </c>
      <c r="CH12" s="5"/>
      <c r="CI12" s="3" t="s">
        <v>424</v>
      </c>
      <c r="CJ12" s="3" t="s">
        <v>63</v>
      </c>
      <c r="CK12" s="3" t="s">
        <v>64</v>
      </c>
      <c r="CL12" s="3" t="s">
        <v>64</v>
      </c>
      <c r="CM12" s="5"/>
      <c r="CN12" s="3" t="s">
        <v>339</v>
      </c>
      <c r="CO12" s="3" t="s">
        <v>340</v>
      </c>
      <c r="CP12" s="5"/>
      <c r="CQ12" s="3" t="s">
        <v>425</v>
      </c>
      <c r="CR12" s="3" t="s">
        <v>416</v>
      </c>
      <c r="CS12" s="3" t="s">
        <v>410</v>
      </c>
      <c r="CT12" s="3" t="s">
        <v>44</v>
      </c>
      <c r="CU12" s="5"/>
      <c r="CV12" s="5"/>
      <c r="CW12" s="4" t="s">
        <v>399</v>
      </c>
      <c r="CX12" s="5"/>
      <c r="CY12" s="14"/>
    </row>
    <row r="13" ht="12" customHeight="1" spans="1:103" x14ac:dyDescent="0.25">
      <c r="A13" s="11" t="s">
        <v>74</v>
      </c>
      <c r="B13" s="3" t="s">
        <v>316</v>
      </c>
      <c r="C13" s="5">
        <v>1</v>
      </c>
      <c r="D13" s="5">
        <v>1</v>
      </c>
      <c r="E13" s="5"/>
      <c r="F13" s="5">
        <v>0</v>
      </c>
      <c r="G13" s="5">
        <v>1</v>
      </c>
      <c r="H13" s="5">
        <v>0</v>
      </c>
      <c r="I13" s="5">
        <v>0</v>
      </c>
      <c r="J13" s="5">
        <v>1</v>
      </c>
      <c r="K13" s="3" t="s">
        <v>44</v>
      </c>
      <c r="L13" s="3" t="s">
        <v>45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317</v>
      </c>
      <c r="R13" s="4" t="s">
        <v>30</v>
      </c>
      <c r="S13" s="3" t="s">
        <v>36</v>
      </c>
      <c r="T13" s="3" t="s">
        <v>50</v>
      </c>
      <c r="U13" s="3" t="s">
        <v>36</v>
      </c>
      <c r="V13" s="4" t="s">
        <v>318</v>
      </c>
      <c r="W13" s="3" t="s">
        <v>317</v>
      </c>
      <c r="X13" s="5"/>
      <c r="Y13" s="5"/>
      <c r="Z13" s="5"/>
      <c r="AA13" s="3" t="s">
        <v>426</v>
      </c>
      <c r="AB13" s="3" t="s">
        <v>427</v>
      </c>
      <c r="AC13" s="12">
        <v>2106</v>
      </c>
      <c r="AD13" s="12">
        <v>4306</v>
      </c>
      <c r="AE13" s="3" t="s">
        <v>320</v>
      </c>
      <c r="AF13" s="3"/>
      <c r="AG13" s="5"/>
      <c r="AH13" s="3" t="s">
        <v>256</v>
      </c>
      <c r="AI13" s="5"/>
      <c r="AJ13" s="5"/>
      <c r="AK13" s="5"/>
      <c r="AL13" s="5"/>
      <c r="AM13" s="3" t="s">
        <v>428</v>
      </c>
      <c r="AN13" s="3" t="s">
        <v>429</v>
      </c>
      <c r="AO13" s="3" t="s">
        <v>430</v>
      </c>
      <c r="AP13" s="3" t="s">
        <v>324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/>
      <c r="AZ13" s="3" t="s">
        <v>431</v>
      </c>
      <c r="BA13" s="5" t="s">
        <v>432</v>
      </c>
      <c r="BB13" s="3" t="s">
        <v>327</v>
      </c>
      <c r="BC13" s="4" t="s">
        <v>421</v>
      </c>
      <c r="BD13" s="4" t="s">
        <v>374</v>
      </c>
      <c r="BE13" s="3" t="s">
        <v>91</v>
      </c>
      <c r="BF13" s="3" t="s">
        <v>433</v>
      </c>
      <c r="BG13" s="3" t="s">
        <v>331</v>
      </c>
      <c r="BH13" s="3" t="s">
        <v>332</v>
      </c>
      <c r="BI13" s="5"/>
      <c r="BJ13" s="5"/>
      <c r="BK13" s="3" t="s">
        <v>333</v>
      </c>
      <c r="BL13" s="4" t="s">
        <v>329</v>
      </c>
      <c r="BM13" s="13"/>
      <c r="BN13" s="13">
        <v>1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3" t="s">
        <v>335</v>
      </c>
      <c r="BZ13" s="5"/>
      <c r="CA13" s="3" t="s">
        <v>91</v>
      </c>
      <c r="CB13" s="5"/>
      <c r="CC13" s="3" t="s">
        <v>40</v>
      </c>
      <c r="CD13" s="5"/>
      <c r="CE13" s="5"/>
      <c r="CF13" s="3" t="s">
        <v>336</v>
      </c>
      <c r="CG13" s="3" t="s">
        <v>337</v>
      </c>
      <c r="CH13" s="5"/>
      <c r="CI13" s="3" t="s">
        <v>434</v>
      </c>
      <c r="CJ13" s="3" t="s">
        <v>76</v>
      </c>
      <c r="CK13" s="3" t="s">
        <v>77</v>
      </c>
      <c r="CL13" s="3" t="s">
        <v>77</v>
      </c>
      <c r="CM13" s="5"/>
      <c r="CN13" s="3" t="s">
        <v>339</v>
      </c>
      <c r="CO13" s="3" t="s">
        <v>340</v>
      </c>
      <c r="CP13" s="5"/>
      <c r="CQ13" s="3" t="s">
        <v>435</v>
      </c>
      <c r="CR13" s="3" t="s">
        <v>436</v>
      </c>
      <c r="CS13" s="3" t="s">
        <v>426</v>
      </c>
      <c r="CT13" s="3" t="s">
        <v>44</v>
      </c>
      <c r="CU13" s="5"/>
      <c r="CV13" s="5"/>
      <c r="CW13" s="4" t="s">
        <v>399</v>
      </c>
      <c r="CX13" s="5"/>
      <c r="CY13" s="14"/>
    </row>
    <row r="14" ht="12" customHeight="1" spans="1:103" x14ac:dyDescent="0.25">
      <c r="A14" s="11" t="s">
        <v>67</v>
      </c>
      <c r="B14" s="3" t="s">
        <v>437</v>
      </c>
      <c r="C14" s="5">
        <v>2</v>
      </c>
      <c r="D14" s="5">
        <v>2</v>
      </c>
      <c r="E14" s="5"/>
      <c r="F14" s="5">
        <v>0</v>
      </c>
      <c r="G14" s="5">
        <v>2</v>
      </c>
      <c r="H14" s="5">
        <v>0</v>
      </c>
      <c r="I14" s="5">
        <v>0</v>
      </c>
      <c r="J14" s="5">
        <v>2</v>
      </c>
      <c r="K14" s="3" t="s">
        <v>44</v>
      </c>
      <c r="L14" s="3" t="s">
        <v>45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317</v>
      </c>
      <c r="R14" s="4" t="s">
        <v>30</v>
      </c>
      <c r="S14" s="3" t="s">
        <v>66</v>
      </c>
      <c r="T14" s="3" t="s">
        <v>72</v>
      </c>
      <c r="U14" s="3" t="s">
        <v>66</v>
      </c>
      <c r="V14" s="4" t="s">
        <v>438</v>
      </c>
      <c r="W14" s="3" t="s">
        <v>317</v>
      </c>
      <c r="X14" s="5"/>
      <c r="Y14" s="5"/>
      <c r="Z14" s="5"/>
      <c r="AA14" s="3" t="s">
        <v>439</v>
      </c>
      <c r="AB14" s="3" t="s">
        <v>440</v>
      </c>
      <c r="AC14" s="12">
        <v>36576</v>
      </c>
      <c r="AD14" s="12">
        <v>40976</v>
      </c>
      <c r="AE14" s="3" t="s">
        <v>320</v>
      </c>
      <c r="AF14" s="3" t="s">
        <v>253</v>
      </c>
      <c r="AG14" s="5"/>
      <c r="AH14" s="3" t="s">
        <v>256</v>
      </c>
      <c r="AI14" s="5" t="s">
        <v>320</v>
      </c>
      <c r="AJ14" s="5"/>
      <c r="AK14" s="5"/>
      <c r="AL14" s="5"/>
      <c r="AM14" s="3" t="s">
        <v>321</v>
      </c>
      <c r="AN14" s="3" t="s">
        <v>322</v>
      </c>
      <c r="AO14" s="3" t="s">
        <v>441</v>
      </c>
      <c r="AP14" s="3" t="s">
        <v>324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/>
      <c r="AZ14" s="3" t="s">
        <v>442</v>
      </c>
      <c r="BA14" s="5" t="s">
        <v>443</v>
      </c>
      <c r="BB14" s="3" t="s">
        <v>327</v>
      </c>
      <c r="BC14" s="4" t="s">
        <v>444</v>
      </c>
      <c r="BD14" s="4" t="s">
        <v>356</v>
      </c>
      <c r="BE14" s="3" t="s">
        <v>91</v>
      </c>
      <c r="BF14" s="3" t="s">
        <v>441</v>
      </c>
      <c r="BG14" s="3" t="s">
        <v>331</v>
      </c>
      <c r="BH14" s="3" t="s">
        <v>332</v>
      </c>
      <c r="BI14" s="5"/>
      <c r="BJ14" s="5"/>
      <c r="BK14" s="3" t="s">
        <v>358</v>
      </c>
      <c r="BL14" s="4" t="s">
        <v>346</v>
      </c>
      <c r="BM14" s="13"/>
      <c r="BN14" s="13">
        <v>2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335</v>
      </c>
      <c r="BZ14" s="5"/>
      <c r="CA14" s="3" t="s">
        <v>91</v>
      </c>
      <c r="CB14" s="5"/>
      <c r="CC14" s="3" t="s">
        <v>40</v>
      </c>
      <c r="CD14" s="5"/>
      <c r="CE14" s="5"/>
      <c r="CF14" s="3" t="s">
        <v>336</v>
      </c>
      <c r="CG14" s="3" t="s">
        <v>337</v>
      </c>
      <c r="CH14" s="5"/>
      <c r="CI14" s="3" t="s">
        <v>445</v>
      </c>
      <c r="CJ14" s="3" t="s">
        <v>69</v>
      </c>
      <c r="CK14" s="3" t="s">
        <v>70</v>
      </c>
      <c r="CL14" s="3" t="s">
        <v>71</v>
      </c>
      <c r="CM14" s="5"/>
      <c r="CN14" s="3" t="s">
        <v>339</v>
      </c>
      <c r="CO14" s="3" t="s">
        <v>340</v>
      </c>
      <c r="CP14" s="5"/>
      <c r="CQ14" s="3" t="s">
        <v>446</v>
      </c>
      <c r="CR14" s="3" t="s">
        <v>447</v>
      </c>
      <c r="CS14" s="3" t="s">
        <v>439</v>
      </c>
      <c r="CT14" s="3" t="s">
        <v>44</v>
      </c>
      <c r="CU14" s="5"/>
      <c r="CV14" s="5"/>
      <c r="CW14" s="4" t="s">
        <v>345</v>
      </c>
      <c r="CX14" s="5"/>
      <c r="CY14" s="14"/>
    </row>
    <row r="15" ht="12" customHeight="1" spans="1:103" x14ac:dyDescent="0.25">
      <c r="A15" s="11" t="s">
        <v>132</v>
      </c>
      <c r="B15" s="3" t="s">
        <v>448</v>
      </c>
      <c r="C15" s="5">
        <v>0</v>
      </c>
      <c r="D15" s="5">
        <v>0</v>
      </c>
      <c r="E15" s="5"/>
      <c r="F15" s="5">
        <v>0</v>
      </c>
      <c r="G15" s="5">
        <v>0</v>
      </c>
      <c r="H15" s="5">
        <v>0</v>
      </c>
      <c r="I15" s="5">
        <v>3</v>
      </c>
      <c r="J15" s="5">
        <v>6</v>
      </c>
      <c r="K15" s="3" t="s">
        <v>44</v>
      </c>
      <c r="L15" s="3" t="s">
        <v>45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317</v>
      </c>
      <c r="R15" s="4" t="s">
        <v>30</v>
      </c>
      <c r="S15" s="3" t="s">
        <v>36</v>
      </c>
      <c r="T15" s="3" t="s">
        <v>50</v>
      </c>
      <c r="U15" s="3" t="s">
        <v>36</v>
      </c>
      <c r="V15" s="4" t="s">
        <v>318</v>
      </c>
      <c r="W15" s="3" t="s">
        <v>317</v>
      </c>
      <c r="X15" s="5"/>
      <c r="Y15" s="5"/>
      <c r="Z15" s="5"/>
      <c r="AA15" s="3" t="s">
        <v>449</v>
      </c>
      <c r="AB15" s="3" t="s">
        <v>449</v>
      </c>
      <c r="AC15" s="12">
        <v>46892</v>
      </c>
      <c r="AD15" s="12">
        <v>58892</v>
      </c>
      <c r="AE15" s="3" t="s">
        <v>320</v>
      </c>
      <c r="AF15" s="3"/>
      <c r="AG15" s="5"/>
      <c r="AH15" s="3" t="s">
        <v>411</v>
      </c>
      <c r="AI15" s="5" t="s">
        <v>320</v>
      </c>
      <c r="AJ15" s="5"/>
      <c r="AK15" s="5"/>
      <c r="AL15" s="5"/>
      <c r="AM15" s="3" t="s">
        <v>402</v>
      </c>
      <c r="AN15" s="3" t="s">
        <v>403</v>
      </c>
      <c r="AO15" s="3" t="s">
        <v>450</v>
      </c>
      <c r="AP15" s="3" t="s">
        <v>324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/>
      <c r="AZ15" s="3" t="s">
        <v>451</v>
      </c>
      <c r="BA15" s="5"/>
      <c r="BB15" s="3" t="s">
        <v>327</v>
      </c>
      <c r="BC15" s="4" t="s">
        <v>444</v>
      </c>
      <c r="BD15" s="4" t="s">
        <v>343</v>
      </c>
      <c r="BE15" s="3" t="s">
        <v>91</v>
      </c>
      <c r="BF15" s="3" t="s">
        <v>404</v>
      </c>
      <c r="BG15" s="3" t="s">
        <v>331</v>
      </c>
      <c r="BH15" s="3" t="s">
        <v>332</v>
      </c>
      <c r="BI15" s="5"/>
      <c r="BJ15" s="5"/>
      <c r="BK15" s="3" t="s">
        <v>40</v>
      </c>
      <c r="BL15" s="4" t="s">
        <v>347</v>
      </c>
      <c r="BM15" s="13"/>
      <c r="BN15" s="13"/>
      <c r="BO15" s="13"/>
      <c r="BP15" s="13">
        <v>3</v>
      </c>
      <c r="BQ15" s="13"/>
      <c r="BR15" s="13"/>
      <c r="BS15" s="13"/>
      <c r="BT15" s="13"/>
      <c r="BU15" s="13"/>
      <c r="BV15" s="13"/>
      <c r="BW15" s="13"/>
      <c r="BX15" s="13"/>
      <c r="BY15" s="3" t="s">
        <v>335</v>
      </c>
      <c r="BZ15" s="5"/>
      <c r="CA15" s="3" t="s">
        <v>91</v>
      </c>
      <c r="CB15" s="5"/>
      <c r="CC15" s="3" t="s">
        <v>40</v>
      </c>
      <c r="CD15" s="5"/>
      <c r="CE15" s="5"/>
      <c r="CF15" s="3" t="s">
        <v>336</v>
      </c>
      <c r="CG15" s="3" t="s">
        <v>337</v>
      </c>
      <c r="CH15" s="5"/>
      <c r="CI15" s="3" t="s">
        <v>452</v>
      </c>
      <c r="CJ15" s="3" t="s">
        <v>134</v>
      </c>
      <c r="CK15" s="3" t="s">
        <v>135</v>
      </c>
      <c r="CL15" s="3" t="s">
        <v>135</v>
      </c>
      <c r="CM15" s="5"/>
      <c r="CN15" s="3" t="s">
        <v>339</v>
      </c>
      <c r="CO15" s="3" t="s">
        <v>340</v>
      </c>
      <c r="CP15" s="5"/>
      <c r="CQ15" s="3" t="s">
        <v>453</v>
      </c>
      <c r="CR15" s="3" t="s">
        <v>454</v>
      </c>
      <c r="CS15" s="3" t="s">
        <v>449</v>
      </c>
      <c r="CT15" s="3" t="s">
        <v>44</v>
      </c>
      <c r="CU15" s="5"/>
      <c r="CV15" s="5"/>
      <c r="CW15" s="4" t="s">
        <v>399</v>
      </c>
      <c r="CX15" s="5"/>
      <c r="CY15" s="14"/>
    </row>
    <row r="16" ht="12" customHeight="1" spans="1:103" x14ac:dyDescent="0.25">
      <c r="A16" s="11" t="s">
        <v>96</v>
      </c>
      <c r="B16" s="3" t="s">
        <v>437</v>
      </c>
      <c r="C16" s="5">
        <v>2</v>
      </c>
      <c r="D16" s="5">
        <v>2</v>
      </c>
      <c r="E16" s="5"/>
      <c r="F16" s="5">
        <v>0</v>
      </c>
      <c r="G16" s="5">
        <v>2</v>
      </c>
      <c r="H16" s="5">
        <v>0</v>
      </c>
      <c r="I16" s="5">
        <v>0</v>
      </c>
      <c r="J16" s="5">
        <v>2</v>
      </c>
      <c r="K16" s="3" t="s">
        <v>44</v>
      </c>
      <c r="L16" s="3" t="s">
        <v>45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317</v>
      </c>
      <c r="R16" s="4" t="s">
        <v>30</v>
      </c>
      <c r="S16" s="3" t="s">
        <v>36</v>
      </c>
      <c r="T16" s="3" t="s">
        <v>50</v>
      </c>
      <c r="U16" s="3" t="s">
        <v>36</v>
      </c>
      <c r="V16" s="4" t="s">
        <v>318</v>
      </c>
      <c r="W16" s="3" t="s">
        <v>317</v>
      </c>
      <c r="X16" s="5"/>
      <c r="Y16" s="5"/>
      <c r="Z16" s="5"/>
      <c r="AA16" s="3" t="s">
        <v>455</v>
      </c>
      <c r="AB16" s="3" t="s">
        <v>456</v>
      </c>
      <c r="AC16" s="12">
        <v>30472</v>
      </c>
      <c r="AD16" s="12">
        <v>34872</v>
      </c>
      <c r="AE16" s="3" t="s">
        <v>320</v>
      </c>
      <c r="AF16" s="3" t="s">
        <v>253</v>
      </c>
      <c r="AG16" s="5"/>
      <c r="AH16" s="3" t="s">
        <v>256</v>
      </c>
      <c r="AI16" s="5" t="s">
        <v>320</v>
      </c>
      <c r="AJ16" s="5"/>
      <c r="AK16" s="5"/>
      <c r="AL16" s="5"/>
      <c r="AM16" s="3" t="s">
        <v>457</v>
      </c>
      <c r="AN16" s="3" t="s">
        <v>458</v>
      </c>
      <c r="AO16" s="3" t="s">
        <v>459</v>
      </c>
      <c r="AP16" s="3" t="s">
        <v>324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/>
      <c r="AZ16" s="3" t="s">
        <v>460</v>
      </c>
      <c r="BA16" s="5" t="s">
        <v>461</v>
      </c>
      <c r="BB16" s="3" t="s">
        <v>327</v>
      </c>
      <c r="BC16" s="4" t="s">
        <v>444</v>
      </c>
      <c r="BD16" s="4" t="s">
        <v>356</v>
      </c>
      <c r="BE16" s="3" t="s">
        <v>91</v>
      </c>
      <c r="BF16" s="3" t="s">
        <v>462</v>
      </c>
      <c r="BG16" s="3" t="s">
        <v>331</v>
      </c>
      <c r="BH16" s="3" t="s">
        <v>332</v>
      </c>
      <c r="BI16" s="5"/>
      <c r="BJ16" s="5"/>
      <c r="BK16" s="3" t="s">
        <v>358</v>
      </c>
      <c r="BL16" s="4" t="s">
        <v>329</v>
      </c>
      <c r="BM16" s="13"/>
      <c r="BN16" s="13">
        <v>2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3" t="s">
        <v>335</v>
      </c>
      <c r="BZ16" s="5"/>
      <c r="CA16" s="3" t="s">
        <v>91</v>
      </c>
      <c r="CB16" s="5"/>
      <c r="CC16" s="3" t="s">
        <v>40</v>
      </c>
      <c r="CD16" s="5"/>
      <c r="CE16" s="5"/>
      <c r="CF16" s="3" t="s">
        <v>336</v>
      </c>
      <c r="CG16" s="3" t="s">
        <v>337</v>
      </c>
      <c r="CH16" s="5"/>
      <c r="CI16" s="3" t="s">
        <v>463</v>
      </c>
      <c r="CJ16" s="3" t="s">
        <v>97</v>
      </c>
      <c r="CK16" s="3" t="s">
        <v>98</v>
      </c>
      <c r="CL16" s="3" t="s">
        <v>98</v>
      </c>
      <c r="CM16" s="5"/>
      <c r="CN16" s="3" t="s">
        <v>339</v>
      </c>
      <c r="CO16" s="3" t="s">
        <v>340</v>
      </c>
      <c r="CP16" s="5"/>
      <c r="CQ16" s="3" t="s">
        <v>464</v>
      </c>
      <c r="CR16" s="3" t="s">
        <v>465</v>
      </c>
      <c r="CS16" s="3" t="s">
        <v>455</v>
      </c>
      <c r="CT16" s="3" t="s">
        <v>44</v>
      </c>
      <c r="CU16" s="5"/>
      <c r="CV16" s="5"/>
      <c r="CW16" s="4" t="s">
        <v>347</v>
      </c>
      <c r="CX16" s="5"/>
      <c r="CY16" s="14"/>
    </row>
    <row r="17" ht="12" customHeight="1" spans="1:103" x14ac:dyDescent="0.25">
      <c r="A17" s="11" t="s">
        <v>149</v>
      </c>
      <c r="B17" s="3" t="s">
        <v>466</v>
      </c>
      <c r="C17" s="5">
        <v>1</v>
      </c>
      <c r="D17" s="5">
        <v>1</v>
      </c>
      <c r="E17" s="5"/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3" t="s">
        <v>44</v>
      </c>
      <c r="L17" s="3" t="s">
        <v>45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317</v>
      </c>
      <c r="R17" s="4" t="s">
        <v>30</v>
      </c>
      <c r="S17" s="3" t="s">
        <v>36</v>
      </c>
      <c r="T17" s="3" t="s">
        <v>50</v>
      </c>
      <c r="U17" s="3" t="s">
        <v>36</v>
      </c>
      <c r="V17" s="4" t="s">
        <v>318</v>
      </c>
      <c r="W17" s="3" t="s">
        <v>317</v>
      </c>
      <c r="X17" s="5"/>
      <c r="Y17" s="5"/>
      <c r="Z17" s="5"/>
      <c r="AA17" s="3" t="s">
        <v>410</v>
      </c>
      <c r="AB17" s="3" t="s">
        <v>467</v>
      </c>
      <c r="AC17" s="12">
        <v>4366.29</v>
      </c>
      <c r="AD17" s="12">
        <v>6566.29</v>
      </c>
      <c r="AE17" s="3" t="s">
        <v>320</v>
      </c>
      <c r="AF17" s="3" t="s">
        <v>253</v>
      </c>
      <c r="AG17" s="5"/>
      <c r="AH17" s="3" t="s">
        <v>256</v>
      </c>
      <c r="AI17" s="5" t="s">
        <v>320</v>
      </c>
      <c r="AJ17" s="5"/>
      <c r="AK17" s="5"/>
      <c r="AL17" s="5"/>
      <c r="AM17" s="3" t="s">
        <v>366</v>
      </c>
      <c r="AN17" s="3" t="s">
        <v>367</v>
      </c>
      <c r="AO17" s="3" t="s">
        <v>468</v>
      </c>
      <c r="AP17" s="3" t="s">
        <v>324</v>
      </c>
      <c r="AQ17" s="5"/>
      <c r="AR17" s="5"/>
      <c r="AS17" s="5" t="s">
        <v>469</v>
      </c>
      <c r="AT17" s="5" t="s">
        <v>470</v>
      </c>
      <c r="AU17" s="5"/>
      <c r="AV17" s="5"/>
      <c r="AW17" s="5">
        <v>0</v>
      </c>
      <c r="AX17" s="3" t="s">
        <v>44</v>
      </c>
      <c r="AY17" s="5"/>
      <c r="AZ17" s="3" t="s">
        <v>471</v>
      </c>
      <c r="BA17" s="5" t="s">
        <v>472</v>
      </c>
      <c r="BB17" s="3" t="s">
        <v>327</v>
      </c>
      <c r="BC17" s="4" t="s">
        <v>473</v>
      </c>
      <c r="BD17" s="4" t="s">
        <v>356</v>
      </c>
      <c r="BE17" s="3" t="s">
        <v>91</v>
      </c>
      <c r="BF17" s="3" t="s">
        <v>468</v>
      </c>
      <c r="BG17" s="3" t="s">
        <v>331</v>
      </c>
      <c r="BH17" s="3" t="s">
        <v>332</v>
      </c>
      <c r="BI17" s="5"/>
      <c r="BJ17" s="5"/>
      <c r="BK17" s="3" t="s">
        <v>358</v>
      </c>
      <c r="BL17" s="4" t="s">
        <v>347</v>
      </c>
      <c r="BM17" s="13"/>
      <c r="BN17" s="13"/>
      <c r="BO17" s="13"/>
      <c r="BP17" s="13"/>
      <c r="BQ17" s="13">
        <v>1</v>
      </c>
      <c r="BR17" s="13"/>
      <c r="BS17" s="13"/>
      <c r="BT17" s="13"/>
      <c r="BU17" s="13"/>
      <c r="BV17" s="13"/>
      <c r="BW17" s="13"/>
      <c r="BX17" s="13"/>
      <c r="BY17" s="3" t="s">
        <v>335</v>
      </c>
      <c r="BZ17" s="5"/>
      <c r="CA17" s="3" t="s">
        <v>91</v>
      </c>
      <c r="CB17" s="5"/>
      <c r="CC17" s="3" t="s">
        <v>40</v>
      </c>
      <c r="CD17" s="5"/>
      <c r="CE17" s="5"/>
      <c r="CF17" s="3" t="s">
        <v>336</v>
      </c>
      <c r="CG17" s="3" t="s">
        <v>337</v>
      </c>
      <c r="CH17" s="5"/>
      <c r="CI17" s="3" t="s">
        <v>474</v>
      </c>
      <c r="CJ17" s="3" t="s">
        <v>147</v>
      </c>
      <c r="CK17" s="3" t="s">
        <v>64</v>
      </c>
      <c r="CL17" s="3" t="s">
        <v>64</v>
      </c>
      <c r="CM17" s="5"/>
      <c r="CN17" s="3" t="s">
        <v>339</v>
      </c>
      <c r="CO17" s="3" t="s">
        <v>340</v>
      </c>
      <c r="CP17" s="5" t="s">
        <v>475</v>
      </c>
      <c r="CQ17" s="3" t="s">
        <v>425</v>
      </c>
      <c r="CR17" s="3" t="s">
        <v>416</v>
      </c>
      <c r="CS17" s="3" t="s">
        <v>410</v>
      </c>
      <c r="CT17" s="3" t="s">
        <v>44</v>
      </c>
      <c r="CU17" s="5"/>
      <c r="CV17" s="5"/>
      <c r="CW17" s="4" t="s">
        <v>399</v>
      </c>
      <c r="CX17" s="5"/>
      <c r="CY17" s="14"/>
    </row>
    <row r="18" ht="12" customHeight="1" spans="1:103" x14ac:dyDescent="0.25">
      <c r="A18" s="11" t="s">
        <v>145</v>
      </c>
      <c r="B18" s="3" t="s">
        <v>466</v>
      </c>
      <c r="C18" s="5">
        <v>1</v>
      </c>
      <c r="D18" s="5">
        <v>1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3" t="s">
        <v>44</v>
      </c>
      <c r="L18" s="3" t="s">
        <v>45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317</v>
      </c>
      <c r="R18" s="4" t="s">
        <v>30</v>
      </c>
      <c r="S18" s="3" t="s">
        <v>36</v>
      </c>
      <c r="T18" s="3" t="s">
        <v>50</v>
      </c>
      <c r="U18" s="3" t="s">
        <v>36</v>
      </c>
      <c r="V18" s="4" t="s">
        <v>318</v>
      </c>
      <c r="W18" s="3" t="s">
        <v>317</v>
      </c>
      <c r="X18" s="5"/>
      <c r="Y18" s="5"/>
      <c r="Z18" s="5"/>
      <c r="AA18" s="3" t="s">
        <v>410</v>
      </c>
      <c r="AB18" s="3" t="s">
        <v>467</v>
      </c>
      <c r="AC18" s="12">
        <v>1869.64</v>
      </c>
      <c r="AD18" s="12">
        <v>4069.64</v>
      </c>
      <c r="AE18" s="3" t="s">
        <v>320</v>
      </c>
      <c r="AF18" s="3" t="s">
        <v>253</v>
      </c>
      <c r="AG18" s="5"/>
      <c r="AH18" s="3" t="s">
        <v>256</v>
      </c>
      <c r="AI18" s="5" t="s">
        <v>320</v>
      </c>
      <c r="AJ18" s="5"/>
      <c r="AK18" s="5"/>
      <c r="AL18" s="5"/>
      <c r="AM18" s="3" t="s">
        <v>366</v>
      </c>
      <c r="AN18" s="3" t="s">
        <v>367</v>
      </c>
      <c r="AO18" s="3" t="s">
        <v>468</v>
      </c>
      <c r="AP18" s="3" t="s">
        <v>324</v>
      </c>
      <c r="AQ18" s="5"/>
      <c r="AR18" s="5"/>
      <c r="AS18" s="5" t="s">
        <v>469</v>
      </c>
      <c r="AT18" s="5" t="s">
        <v>470</v>
      </c>
      <c r="AU18" s="5"/>
      <c r="AV18" s="5"/>
      <c r="AW18" s="5">
        <v>0</v>
      </c>
      <c r="AX18" s="3" t="s">
        <v>44</v>
      </c>
      <c r="AY18" s="5"/>
      <c r="AZ18" s="3" t="s">
        <v>476</v>
      </c>
      <c r="BA18" s="5" t="s">
        <v>477</v>
      </c>
      <c r="BB18" s="3" t="s">
        <v>327</v>
      </c>
      <c r="BC18" s="4" t="s">
        <v>473</v>
      </c>
      <c r="BD18" s="4" t="s">
        <v>356</v>
      </c>
      <c r="BE18" s="3" t="s">
        <v>91</v>
      </c>
      <c r="BF18" s="3" t="s">
        <v>468</v>
      </c>
      <c r="BG18" s="3" t="s">
        <v>331</v>
      </c>
      <c r="BH18" s="3" t="s">
        <v>332</v>
      </c>
      <c r="BI18" s="5"/>
      <c r="BJ18" s="5"/>
      <c r="BK18" s="3" t="s">
        <v>358</v>
      </c>
      <c r="BL18" s="4" t="s">
        <v>347</v>
      </c>
      <c r="BM18" s="13"/>
      <c r="BN18" s="13"/>
      <c r="BO18" s="13"/>
      <c r="BP18" s="13"/>
      <c r="BQ18" s="13">
        <v>1</v>
      </c>
      <c r="BR18" s="13"/>
      <c r="BS18" s="13"/>
      <c r="BT18" s="13"/>
      <c r="BU18" s="13"/>
      <c r="BV18" s="13"/>
      <c r="BW18" s="13"/>
      <c r="BX18" s="13"/>
      <c r="BY18" s="3" t="s">
        <v>335</v>
      </c>
      <c r="BZ18" s="5"/>
      <c r="CA18" s="3" t="s">
        <v>91</v>
      </c>
      <c r="CB18" s="5"/>
      <c r="CC18" s="3" t="s">
        <v>40</v>
      </c>
      <c r="CD18" s="5"/>
      <c r="CE18" s="5"/>
      <c r="CF18" s="3" t="s">
        <v>336</v>
      </c>
      <c r="CG18" s="3" t="s">
        <v>337</v>
      </c>
      <c r="CH18" s="5"/>
      <c r="CI18" s="3" t="s">
        <v>474</v>
      </c>
      <c r="CJ18" s="3" t="s">
        <v>147</v>
      </c>
      <c r="CK18" s="3" t="s">
        <v>64</v>
      </c>
      <c r="CL18" s="3" t="s">
        <v>64</v>
      </c>
      <c r="CM18" s="5"/>
      <c r="CN18" s="3" t="s">
        <v>339</v>
      </c>
      <c r="CO18" s="3" t="s">
        <v>340</v>
      </c>
      <c r="CP18" s="5" t="s">
        <v>475</v>
      </c>
      <c r="CQ18" s="3" t="s">
        <v>425</v>
      </c>
      <c r="CR18" s="3" t="s">
        <v>416</v>
      </c>
      <c r="CS18" s="3" t="s">
        <v>410</v>
      </c>
      <c r="CT18" s="3" t="s">
        <v>44</v>
      </c>
      <c r="CU18" s="5"/>
      <c r="CV18" s="5"/>
      <c r="CW18" s="4" t="s">
        <v>399</v>
      </c>
      <c r="CX18" s="5"/>
      <c r="CY18" s="14"/>
    </row>
    <row r="19" ht="12" customHeight="1" spans="1:103" x14ac:dyDescent="0.25">
      <c r="A19" s="11" t="s">
        <v>90</v>
      </c>
      <c r="B19" s="3" t="s">
        <v>316</v>
      </c>
      <c r="C19" s="5">
        <v>1</v>
      </c>
      <c r="D19" s="5">
        <v>1</v>
      </c>
      <c r="E19" s="5"/>
      <c r="F19" s="5">
        <v>0</v>
      </c>
      <c r="G19" s="5">
        <v>1</v>
      </c>
      <c r="H19" s="5">
        <v>0</v>
      </c>
      <c r="I19" s="5">
        <v>0</v>
      </c>
      <c r="J19" s="5">
        <v>1</v>
      </c>
      <c r="K19" s="3" t="s">
        <v>44</v>
      </c>
      <c r="L19" s="3" t="s">
        <v>45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317</v>
      </c>
      <c r="R19" s="4" t="s">
        <v>30</v>
      </c>
      <c r="S19" s="3" t="s">
        <v>89</v>
      </c>
      <c r="T19" s="3" t="s">
        <v>94</v>
      </c>
      <c r="U19" s="3" t="s">
        <v>89</v>
      </c>
      <c r="V19" s="4" t="s">
        <v>478</v>
      </c>
      <c r="W19" s="3" t="s">
        <v>479</v>
      </c>
      <c r="X19" s="5"/>
      <c r="Y19" s="5" t="s">
        <v>120</v>
      </c>
      <c r="Z19" s="5" t="s">
        <v>88</v>
      </c>
      <c r="AA19" s="3" t="s">
        <v>364</v>
      </c>
      <c r="AB19" s="3" t="s">
        <v>480</v>
      </c>
      <c r="AC19" s="12">
        <v>2831.9</v>
      </c>
      <c r="AD19" s="12">
        <v>5031.9</v>
      </c>
      <c r="AE19" s="3" t="s">
        <v>320</v>
      </c>
      <c r="AF19" s="3"/>
      <c r="AG19" s="5"/>
      <c r="AH19" s="3" t="s">
        <v>256</v>
      </c>
      <c r="AI19" s="5" t="s">
        <v>320</v>
      </c>
      <c r="AJ19" s="5"/>
      <c r="AK19" s="5"/>
      <c r="AL19" s="5"/>
      <c r="AM19" s="3" t="s">
        <v>366</v>
      </c>
      <c r="AN19" s="3" t="s">
        <v>367</v>
      </c>
      <c r="AO19" s="3" t="s">
        <v>481</v>
      </c>
      <c r="AP19" s="3" t="s">
        <v>17</v>
      </c>
      <c r="AQ19" s="5"/>
      <c r="AR19" s="5"/>
      <c r="AS19" s="5"/>
      <c r="AT19" s="5"/>
      <c r="AU19" s="5"/>
      <c r="AV19" s="5"/>
      <c r="AW19" s="5">
        <v>0</v>
      </c>
      <c r="AX19" s="3" t="s">
        <v>44</v>
      </c>
      <c r="AY19" s="5"/>
      <c r="AZ19" s="3" t="s">
        <v>482</v>
      </c>
      <c r="BA19" s="5" t="s">
        <v>483</v>
      </c>
      <c r="BB19" s="3" t="s">
        <v>327</v>
      </c>
      <c r="BC19" s="4" t="s">
        <v>484</v>
      </c>
      <c r="BD19" s="4" t="s">
        <v>343</v>
      </c>
      <c r="BE19" s="3" t="s">
        <v>91</v>
      </c>
      <c r="BF19" s="3" t="s">
        <v>481</v>
      </c>
      <c r="BG19" s="3" t="s">
        <v>331</v>
      </c>
      <c r="BH19" s="3" t="s">
        <v>332</v>
      </c>
      <c r="BI19" s="5"/>
      <c r="BJ19" s="5"/>
      <c r="BK19" s="3" t="s">
        <v>358</v>
      </c>
      <c r="BL19" s="4" t="s">
        <v>485</v>
      </c>
      <c r="BM19" s="13"/>
      <c r="BN19" s="13">
        <v>1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3" t="s">
        <v>335</v>
      </c>
      <c r="BZ19" s="5">
        <v>12</v>
      </c>
      <c r="CA19" s="3" t="s">
        <v>91</v>
      </c>
      <c r="CB19" s="5"/>
      <c r="CC19" s="3" t="s">
        <v>40</v>
      </c>
      <c r="CD19" s="5"/>
      <c r="CE19" s="5"/>
      <c r="CF19" s="3" t="s">
        <v>336</v>
      </c>
      <c r="CG19" s="3" t="s">
        <v>337</v>
      </c>
      <c r="CH19" s="5" t="s">
        <v>486</v>
      </c>
      <c r="CI19" s="3" t="s">
        <v>487</v>
      </c>
      <c r="CJ19" s="3" t="s">
        <v>92</v>
      </c>
      <c r="CK19" s="3" t="s">
        <v>93</v>
      </c>
      <c r="CL19" s="3" t="s">
        <v>93</v>
      </c>
      <c r="CM19" s="5"/>
      <c r="CN19" s="3" t="s">
        <v>339</v>
      </c>
      <c r="CO19" s="3" t="s">
        <v>340</v>
      </c>
      <c r="CP19" s="5"/>
      <c r="CQ19" s="3" t="s">
        <v>372</v>
      </c>
      <c r="CR19" s="3" t="s">
        <v>373</v>
      </c>
      <c r="CS19" s="3" t="s">
        <v>364</v>
      </c>
      <c r="CT19" s="3" t="s">
        <v>44</v>
      </c>
      <c r="CU19" s="5"/>
      <c r="CV19" s="5"/>
      <c r="CW19" s="4" t="s">
        <v>30</v>
      </c>
      <c r="CX19" s="5" t="s">
        <v>488</v>
      </c>
      <c r="CY19" s="14" t="s">
        <v>483</v>
      </c>
    </row>
    <row r="20" ht="12" customHeight="1" spans="1:103" x14ac:dyDescent="0.25">
      <c r="A20" s="11" t="s">
        <v>209</v>
      </c>
      <c r="B20" s="3" t="s">
        <v>316</v>
      </c>
      <c r="C20" s="5">
        <v>1</v>
      </c>
      <c r="D20" s="5">
        <v>1</v>
      </c>
      <c r="E20" s="5"/>
      <c r="F20" s="5">
        <v>0</v>
      </c>
      <c r="G20" s="5">
        <v>1</v>
      </c>
      <c r="H20" s="5">
        <v>0</v>
      </c>
      <c r="I20" s="5">
        <v>0</v>
      </c>
      <c r="J20" s="5">
        <v>1</v>
      </c>
      <c r="K20" s="3" t="s">
        <v>44</v>
      </c>
      <c r="L20" s="3" t="s">
        <v>45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317</v>
      </c>
      <c r="R20" s="4" t="s">
        <v>30</v>
      </c>
      <c r="S20" s="3" t="s">
        <v>36</v>
      </c>
      <c r="T20" s="3" t="s">
        <v>50</v>
      </c>
      <c r="U20" s="3" t="s">
        <v>36</v>
      </c>
      <c r="V20" s="4" t="s">
        <v>318</v>
      </c>
      <c r="W20" s="3" t="s">
        <v>317</v>
      </c>
      <c r="X20" s="5"/>
      <c r="Y20" s="5"/>
      <c r="Z20" s="5"/>
      <c r="AA20" s="3" t="s">
        <v>410</v>
      </c>
      <c r="AB20" s="3" t="s">
        <v>489</v>
      </c>
      <c r="AC20" s="12">
        <v>19164.8</v>
      </c>
      <c r="AD20" s="12">
        <v>21364.8</v>
      </c>
      <c r="AE20" s="3" t="s">
        <v>320</v>
      </c>
      <c r="AF20" s="3"/>
      <c r="AG20" s="5"/>
      <c r="AH20" s="3" t="s">
        <v>256</v>
      </c>
      <c r="AI20" s="5" t="s">
        <v>320</v>
      </c>
      <c r="AJ20" s="5"/>
      <c r="AK20" s="5"/>
      <c r="AL20" s="5"/>
      <c r="AM20" s="3" t="s">
        <v>366</v>
      </c>
      <c r="AN20" s="3" t="s">
        <v>367</v>
      </c>
      <c r="AO20" s="3" t="s">
        <v>490</v>
      </c>
      <c r="AP20" s="3" t="s">
        <v>324</v>
      </c>
      <c r="AQ20" s="5"/>
      <c r="AR20" s="5"/>
      <c r="AS20" s="5"/>
      <c r="AT20" s="5"/>
      <c r="AU20" s="5"/>
      <c r="AV20" s="5"/>
      <c r="AW20" s="5">
        <v>0</v>
      </c>
      <c r="AX20" s="3" t="s">
        <v>44</v>
      </c>
      <c r="AY20" s="5"/>
      <c r="AZ20" s="3" t="s">
        <v>491</v>
      </c>
      <c r="BA20" s="5" t="s">
        <v>492</v>
      </c>
      <c r="BB20" s="3" t="s">
        <v>327</v>
      </c>
      <c r="BC20" s="4" t="s">
        <v>493</v>
      </c>
      <c r="BD20" s="4" t="s">
        <v>347</v>
      </c>
      <c r="BE20" s="3" t="s">
        <v>91</v>
      </c>
      <c r="BF20" s="3" t="s">
        <v>490</v>
      </c>
      <c r="BG20" s="3" t="s">
        <v>331</v>
      </c>
      <c r="BH20" s="3" t="s">
        <v>332</v>
      </c>
      <c r="BI20" s="5"/>
      <c r="BJ20" s="5"/>
      <c r="BK20" s="3" t="s">
        <v>358</v>
      </c>
      <c r="BL20" s="4" t="s">
        <v>329</v>
      </c>
      <c r="BM20" s="13"/>
      <c r="BN20" s="13">
        <v>1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3" t="s">
        <v>335</v>
      </c>
      <c r="BZ20" s="5"/>
      <c r="CA20" s="3" t="s">
        <v>91</v>
      </c>
      <c r="CB20" s="5"/>
      <c r="CC20" s="3" t="s">
        <v>40</v>
      </c>
      <c r="CD20" s="5"/>
      <c r="CE20" s="5"/>
      <c r="CF20" s="3" t="s">
        <v>336</v>
      </c>
      <c r="CG20" s="3" t="s">
        <v>337</v>
      </c>
      <c r="CH20" s="5"/>
      <c r="CI20" s="3" t="s">
        <v>424</v>
      </c>
      <c r="CJ20" s="3" t="s">
        <v>63</v>
      </c>
      <c r="CK20" s="3" t="s">
        <v>64</v>
      </c>
      <c r="CL20" s="3" t="s">
        <v>64</v>
      </c>
      <c r="CM20" s="5"/>
      <c r="CN20" s="3" t="s">
        <v>339</v>
      </c>
      <c r="CO20" s="3" t="s">
        <v>340</v>
      </c>
      <c r="CP20" s="5"/>
      <c r="CQ20" s="3" t="s">
        <v>425</v>
      </c>
      <c r="CR20" s="3" t="s">
        <v>416</v>
      </c>
      <c r="CS20" s="3" t="s">
        <v>410</v>
      </c>
      <c r="CT20" s="3" t="s">
        <v>44</v>
      </c>
      <c r="CU20" s="5"/>
      <c r="CV20" s="5"/>
      <c r="CW20" s="4" t="s">
        <v>494</v>
      </c>
      <c r="CX20" s="5"/>
      <c r="CY20" s="14" t="s">
        <v>492</v>
      </c>
    </row>
    <row r="21" ht="12" customHeight="1" spans="1:103" x14ac:dyDescent="0.25">
      <c r="A21" s="11" t="s">
        <v>165</v>
      </c>
      <c r="B21" s="3" t="s">
        <v>409</v>
      </c>
      <c r="C21" s="5">
        <v>1</v>
      </c>
      <c r="D21" s="5">
        <v>1</v>
      </c>
      <c r="E21" s="5"/>
      <c r="F21" s="5">
        <v>0</v>
      </c>
      <c r="G21" s="5">
        <v>0</v>
      </c>
      <c r="H21" s="5">
        <v>0</v>
      </c>
      <c r="I21" s="5">
        <v>1</v>
      </c>
      <c r="J21" s="5">
        <v>2</v>
      </c>
      <c r="K21" s="3" t="s">
        <v>44</v>
      </c>
      <c r="L21" s="3" t="s">
        <v>45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317</v>
      </c>
      <c r="R21" s="4" t="s">
        <v>30</v>
      </c>
      <c r="S21" s="3" t="s">
        <v>36</v>
      </c>
      <c r="T21" s="3" t="s">
        <v>50</v>
      </c>
      <c r="U21" s="3" t="s">
        <v>164</v>
      </c>
      <c r="V21" s="4" t="s">
        <v>318</v>
      </c>
      <c r="W21" s="3" t="s">
        <v>317</v>
      </c>
      <c r="X21" s="5" t="s">
        <v>495</v>
      </c>
      <c r="Y21" s="5"/>
      <c r="Z21" s="5"/>
      <c r="AA21" s="3" t="s">
        <v>496</v>
      </c>
      <c r="AB21" s="3" t="s">
        <v>497</v>
      </c>
      <c r="AC21" s="12">
        <v>6956.88</v>
      </c>
      <c r="AD21" s="12">
        <v>10956.88</v>
      </c>
      <c r="AE21" s="3" t="s">
        <v>320</v>
      </c>
      <c r="AF21" s="3"/>
      <c r="AG21" s="5"/>
      <c r="AH21" s="3" t="s">
        <v>256</v>
      </c>
      <c r="AI21" s="5" t="s">
        <v>320</v>
      </c>
      <c r="AJ21" s="5"/>
      <c r="AK21" s="5"/>
      <c r="AL21" s="5"/>
      <c r="AM21" s="3" t="s">
        <v>457</v>
      </c>
      <c r="AN21" s="3" t="s">
        <v>458</v>
      </c>
      <c r="AO21" s="3" t="s">
        <v>498</v>
      </c>
      <c r="AP21" s="3" t="s">
        <v>324</v>
      </c>
      <c r="AQ21" s="5"/>
      <c r="AR21" s="5"/>
      <c r="AS21" s="5"/>
      <c r="AT21" s="5"/>
      <c r="AU21" s="5"/>
      <c r="AV21" s="5"/>
      <c r="AW21" s="5">
        <v>0</v>
      </c>
      <c r="AX21" s="3" t="s">
        <v>44</v>
      </c>
      <c r="AY21" s="5"/>
      <c r="AZ21" s="3" t="s">
        <v>442</v>
      </c>
      <c r="BA21" s="5" t="s">
        <v>499</v>
      </c>
      <c r="BB21" s="3" t="s">
        <v>327</v>
      </c>
      <c r="BC21" s="4" t="s">
        <v>500</v>
      </c>
      <c r="BD21" s="4" t="s">
        <v>347</v>
      </c>
      <c r="BE21" s="3" t="s">
        <v>91</v>
      </c>
      <c r="BF21" s="3" t="s">
        <v>501</v>
      </c>
      <c r="BG21" s="3" t="s">
        <v>331</v>
      </c>
      <c r="BH21" s="3" t="s">
        <v>332</v>
      </c>
      <c r="BI21" s="5"/>
      <c r="BJ21" s="5"/>
      <c r="BK21" s="3" t="s">
        <v>358</v>
      </c>
      <c r="BL21" s="4" t="s">
        <v>346</v>
      </c>
      <c r="BM21" s="13"/>
      <c r="BN21" s="13"/>
      <c r="BO21" s="13"/>
      <c r="BP21" s="13">
        <v>1</v>
      </c>
      <c r="BQ21" s="13"/>
      <c r="BR21" s="13"/>
      <c r="BS21" s="13"/>
      <c r="BT21" s="13"/>
      <c r="BU21" s="13"/>
      <c r="BV21" s="13"/>
      <c r="BW21" s="13"/>
      <c r="BX21" s="13"/>
      <c r="BY21" s="3" t="s">
        <v>335</v>
      </c>
      <c r="BZ21" s="5"/>
      <c r="CA21" s="3" t="s">
        <v>91</v>
      </c>
      <c r="CB21" s="5"/>
      <c r="CC21" s="3" t="s">
        <v>40</v>
      </c>
      <c r="CD21" s="5"/>
      <c r="CE21" s="5"/>
      <c r="CF21" s="3" t="s">
        <v>336</v>
      </c>
      <c r="CG21" s="3" t="s">
        <v>337</v>
      </c>
      <c r="CH21" s="5"/>
      <c r="CI21" s="3" t="s">
        <v>502</v>
      </c>
      <c r="CJ21" s="3" t="s">
        <v>166</v>
      </c>
      <c r="CK21" s="3" t="s">
        <v>167</v>
      </c>
      <c r="CL21" s="3" t="s">
        <v>167</v>
      </c>
      <c r="CM21" s="5"/>
      <c r="CN21" s="3" t="s">
        <v>339</v>
      </c>
      <c r="CO21" s="3" t="s">
        <v>340</v>
      </c>
      <c r="CP21" s="5"/>
      <c r="CQ21" s="3" t="s">
        <v>503</v>
      </c>
      <c r="CR21" s="3" t="s">
        <v>504</v>
      </c>
      <c r="CS21" s="3" t="s">
        <v>496</v>
      </c>
      <c r="CT21" s="3" t="s">
        <v>44</v>
      </c>
      <c r="CU21" s="5"/>
      <c r="CV21" s="5"/>
      <c r="CW21" s="4" t="s">
        <v>399</v>
      </c>
      <c r="CX21" s="5"/>
      <c r="CY21" s="14"/>
    </row>
    <row r="22" ht="12" customHeight="1" spans="1:103" x14ac:dyDescent="0.25">
      <c r="A22" s="11" t="s">
        <v>82</v>
      </c>
      <c r="B22" s="3" t="s">
        <v>437</v>
      </c>
      <c r="C22" s="5">
        <v>2</v>
      </c>
      <c r="D22" s="5">
        <v>2</v>
      </c>
      <c r="E22" s="5"/>
      <c r="F22" s="5">
        <v>0</v>
      </c>
      <c r="G22" s="5">
        <v>2</v>
      </c>
      <c r="H22" s="5">
        <v>0</v>
      </c>
      <c r="I22" s="5">
        <v>0</v>
      </c>
      <c r="J22" s="5">
        <v>2</v>
      </c>
      <c r="K22" s="3" t="s">
        <v>44</v>
      </c>
      <c r="L22" s="3" t="s">
        <v>45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317</v>
      </c>
      <c r="R22" s="4" t="s">
        <v>30</v>
      </c>
      <c r="S22" s="3" t="s">
        <v>36</v>
      </c>
      <c r="T22" s="3" t="s">
        <v>50</v>
      </c>
      <c r="U22" s="3" t="s">
        <v>36</v>
      </c>
      <c r="V22" s="4" t="s">
        <v>318</v>
      </c>
      <c r="W22" s="3" t="s">
        <v>317</v>
      </c>
      <c r="X22" s="5"/>
      <c r="Y22" s="5"/>
      <c r="Z22" s="5"/>
      <c r="AA22" s="3" t="s">
        <v>84</v>
      </c>
      <c r="AB22" s="3" t="s">
        <v>84</v>
      </c>
      <c r="AC22" s="12">
        <v>41441.4</v>
      </c>
      <c r="AD22" s="12">
        <v>45841.4</v>
      </c>
      <c r="AE22" s="3" t="s">
        <v>320</v>
      </c>
      <c r="AF22" s="3" t="s">
        <v>253</v>
      </c>
      <c r="AG22" s="5"/>
      <c r="AH22" s="3" t="s">
        <v>256</v>
      </c>
      <c r="AI22" s="5" t="s">
        <v>320</v>
      </c>
      <c r="AJ22" s="5"/>
      <c r="AK22" s="5"/>
      <c r="AL22" s="5"/>
      <c r="AM22" s="3" t="s">
        <v>505</v>
      </c>
      <c r="AN22" s="3" t="s">
        <v>506</v>
      </c>
      <c r="AO22" s="3" t="s">
        <v>507</v>
      </c>
      <c r="AP22" s="3" t="s">
        <v>324</v>
      </c>
      <c r="AQ22" s="5"/>
      <c r="AR22" s="5"/>
      <c r="AS22" s="5"/>
      <c r="AT22" s="5"/>
      <c r="AU22" s="5"/>
      <c r="AV22" s="5"/>
      <c r="AW22" s="5">
        <v>0</v>
      </c>
      <c r="AX22" s="3" t="s">
        <v>44</v>
      </c>
      <c r="AY22" s="5"/>
      <c r="AZ22" s="3" t="s">
        <v>508</v>
      </c>
      <c r="BA22" s="5" t="s">
        <v>509</v>
      </c>
      <c r="BB22" s="3" t="s">
        <v>327</v>
      </c>
      <c r="BC22" s="4" t="s">
        <v>510</v>
      </c>
      <c r="BD22" s="4" t="s">
        <v>422</v>
      </c>
      <c r="BE22" s="3" t="s">
        <v>91</v>
      </c>
      <c r="BF22" s="3" t="s">
        <v>507</v>
      </c>
      <c r="BG22" s="3" t="s">
        <v>331</v>
      </c>
      <c r="BH22" s="3" t="s">
        <v>332</v>
      </c>
      <c r="BI22" s="5"/>
      <c r="BJ22" s="5"/>
      <c r="BK22" s="3" t="s">
        <v>358</v>
      </c>
      <c r="BL22" s="4" t="s">
        <v>346</v>
      </c>
      <c r="BM22" s="13"/>
      <c r="BN22" s="13">
        <v>2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3" t="s">
        <v>335</v>
      </c>
      <c r="BZ22" s="5"/>
      <c r="CA22" s="3" t="s">
        <v>91</v>
      </c>
      <c r="CB22" s="5"/>
      <c r="CC22" s="3" t="s">
        <v>40</v>
      </c>
      <c r="CD22" s="5"/>
      <c r="CE22" s="5"/>
      <c r="CF22" s="3" t="s">
        <v>336</v>
      </c>
      <c r="CG22" s="3" t="s">
        <v>337</v>
      </c>
      <c r="CH22" s="5"/>
      <c r="CI22" s="3" t="s">
        <v>511</v>
      </c>
      <c r="CJ22" s="3" t="s">
        <v>84</v>
      </c>
      <c r="CK22" s="3" t="s">
        <v>85</v>
      </c>
      <c r="CL22" s="3" t="s">
        <v>86</v>
      </c>
      <c r="CM22" s="5"/>
      <c r="CN22" s="3" t="s">
        <v>339</v>
      </c>
      <c r="CO22" s="3" t="s">
        <v>340</v>
      </c>
      <c r="CP22" s="5"/>
      <c r="CQ22" s="3" t="s">
        <v>512</v>
      </c>
      <c r="CR22" s="3" t="s">
        <v>513</v>
      </c>
      <c r="CS22" s="3" t="s">
        <v>84</v>
      </c>
      <c r="CT22" s="3" t="s">
        <v>44</v>
      </c>
      <c r="CU22" s="5"/>
      <c r="CV22" s="5"/>
      <c r="CW22" s="4" t="s">
        <v>399</v>
      </c>
      <c r="CX22" s="5"/>
      <c r="CY22" s="14"/>
    </row>
    <row r="23" ht="12" customHeight="1" spans="1:103" x14ac:dyDescent="0.25">
      <c r="A23" s="11" t="s">
        <v>111</v>
      </c>
      <c r="B23" s="3" t="s">
        <v>514</v>
      </c>
      <c r="C23" s="5">
        <v>2</v>
      </c>
      <c r="D23" s="5">
        <v>2</v>
      </c>
      <c r="E23" s="5"/>
      <c r="F23" s="5">
        <v>0</v>
      </c>
      <c r="G23" s="5">
        <v>0</v>
      </c>
      <c r="H23" s="5">
        <v>0</v>
      </c>
      <c r="I23" s="5">
        <v>2</v>
      </c>
      <c r="J23" s="5">
        <v>4</v>
      </c>
      <c r="K23" s="3" t="s">
        <v>44</v>
      </c>
      <c r="L23" s="3" t="s">
        <v>45</v>
      </c>
      <c r="M23" s="3" t="s">
        <v>31</v>
      </c>
      <c r="N23" s="3" t="s">
        <v>32</v>
      </c>
      <c r="O23" s="3" t="s">
        <v>35</v>
      </c>
      <c r="P23" s="3" t="s">
        <v>40</v>
      </c>
      <c r="Q23" s="3" t="s">
        <v>317</v>
      </c>
      <c r="R23" s="4" t="s">
        <v>30</v>
      </c>
      <c r="S23" s="3" t="s">
        <v>36</v>
      </c>
      <c r="T23" s="3" t="s">
        <v>50</v>
      </c>
      <c r="U23" s="3" t="s">
        <v>36</v>
      </c>
      <c r="V23" s="4" t="s">
        <v>318</v>
      </c>
      <c r="W23" s="3" t="s">
        <v>317</v>
      </c>
      <c r="X23" s="5"/>
      <c r="Y23" s="5"/>
      <c r="Z23" s="5"/>
      <c r="AA23" s="3" t="s">
        <v>439</v>
      </c>
      <c r="AB23" s="3" t="s">
        <v>515</v>
      </c>
      <c r="AC23" s="12">
        <v>18144</v>
      </c>
      <c r="AD23" s="12">
        <v>26144</v>
      </c>
      <c r="AE23" s="3" t="s">
        <v>320</v>
      </c>
      <c r="AF23" s="3" t="s">
        <v>253</v>
      </c>
      <c r="AG23" s="5"/>
      <c r="AH23" s="3" t="s">
        <v>256</v>
      </c>
      <c r="AI23" s="5" t="s">
        <v>320</v>
      </c>
      <c r="AJ23" s="5"/>
      <c r="AK23" s="5"/>
      <c r="AL23" s="5"/>
      <c r="AM23" s="3" t="s">
        <v>321</v>
      </c>
      <c r="AN23" s="3" t="s">
        <v>322</v>
      </c>
      <c r="AO23" s="3" t="s">
        <v>516</v>
      </c>
      <c r="AP23" s="3" t="s">
        <v>324</v>
      </c>
      <c r="AQ23" s="5"/>
      <c r="AR23" s="5"/>
      <c r="AS23" s="5"/>
      <c r="AT23" s="5"/>
      <c r="AU23" s="5"/>
      <c r="AV23" s="5"/>
      <c r="AW23" s="5">
        <v>0</v>
      </c>
      <c r="AX23" s="3" t="s">
        <v>44</v>
      </c>
      <c r="AY23" s="5"/>
      <c r="AZ23" s="3" t="s">
        <v>517</v>
      </c>
      <c r="BA23" s="5" t="s">
        <v>518</v>
      </c>
      <c r="BB23" s="3" t="s">
        <v>327</v>
      </c>
      <c r="BC23" s="4" t="s">
        <v>519</v>
      </c>
      <c r="BD23" s="4" t="s">
        <v>356</v>
      </c>
      <c r="BE23" s="3" t="s">
        <v>91</v>
      </c>
      <c r="BF23" s="3" t="s">
        <v>516</v>
      </c>
      <c r="BG23" s="3" t="s">
        <v>331</v>
      </c>
      <c r="BH23" s="3" t="s">
        <v>332</v>
      </c>
      <c r="BI23" s="5"/>
      <c r="BJ23" s="5"/>
      <c r="BK23" s="3" t="s">
        <v>358</v>
      </c>
      <c r="BL23" s="4" t="s">
        <v>347</v>
      </c>
      <c r="BM23" s="13"/>
      <c r="BN23" s="13"/>
      <c r="BO23" s="13"/>
      <c r="BP23" s="13">
        <v>2</v>
      </c>
      <c r="BQ23" s="13"/>
      <c r="BR23" s="13"/>
      <c r="BS23" s="13"/>
      <c r="BT23" s="13"/>
      <c r="BU23" s="13"/>
      <c r="BV23" s="13"/>
      <c r="BW23" s="13"/>
      <c r="BX23" s="13"/>
      <c r="BY23" s="3" t="s">
        <v>335</v>
      </c>
      <c r="BZ23" s="5"/>
      <c r="CA23" s="3" t="s">
        <v>91</v>
      </c>
      <c r="CB23" s="5"/>
      <c r="CC23" s="3" t="s">
        <v>40</v>
      </c>
      <c r="CD23" s="5"/>
      <c r="CE23" s="5"/>
      <c r="CF23" s="3" t="s">
        <v>336</v>
      </c>
      <c r="CG23" s="3" t="s">
        <v>337</v>
      </c>
      <c r="CH23" s="5"/>
      <c r="CI23" s="3" t="s">
        <v>445</v>
      </c>
      <c r="CJ23" s="3" t="s">
        <v>69</v>
      </c>
      <c r="CK23" s="3" t="s">
        <v>113</v>
      </c>
      <c r="CL23" s="3" t="s">
        <v>113</v>
      </c>
      <c r="CM23" s="5"/>
      <c r="CN23" s="3" t="s">
        <v>339</v>
      </c>
      <c r="CO23" s="3" t="s">
        <v>340</v>
      </c>
      <c r="CP23" s="5"/>
      <c r="CQ23" s="3" t="s">
        <v>446</v>
      </c>
      <c r="CR23" s="3" t="s">
        <v>447</v>
      </c>
      <c r="CS23" s="3" t="s">
        <v>439</v>
      </c>
      <c r="CT23" s="3" t="s">
        <v>44</v>
      </c>
      <c r="CU23" s="5"/>
      <c r="CV23" s="5"/>
      <c r="CW23" s="4" t="s">
        <v>345</v>
      </c>
      <c r="CX23" s="5"/>
      <c r="CY23" s="14"/>
    </row>
    <row r="24" ht="12" customHeight="1" spans="1:103" x14ac:dyDescent="0.25">
      <c r="A24" s="11" t="s">
        <v>160</v>
      </c>
      <c r="B24" s="3" t="s">
        <v>409</v>
      </c>
      <c r="C24" s="5">
        <v>1</v>
      </c>
      <c r="D24" s="5">
        <v>1</v>
      </c>
      <c r="E24" s="5"/>
      <c r="F24" s="5">
        <v>0</v>
      </c>
      <c r="G24" s="5">
        <v>0</v>
      </c>
      <c r="H24" s="5">
        <v>0</v>
      </c>
      <c r="I24" s="5">
        <v>1</v>
      </c>
      <c r="J24" s="5">
        <v>2</v>
      </c>
      <c r="K24" s="3" t="s">
        <v>44</v>
      </c>
      <c r="L24" s="3" t="s">
        <v>45</v>
      </c>
      <c r="M24" s="3" t="s">
        <v>31</v>
      </c>
      <c r="N24" s="3" t="s">
        <v>32</v>
      </c>
      <c r="O24" s="3" t="s">
        <v>35</v>
      </c>
      <c r="P24" s="3" t="s">
        <v>40</v>
      </c>
      <c r="Q24" s="3" t="s">
        <v>317</v>
      </c>
      <c r="R24" s="4" t="s">
        <v>30</v>
      </c>
      <c r="S24" s="3" t="s">
        <v>88</v>
      </c>
      <c r="T24" s="3" t="s">
        <v>120</v>
      </c>
      <c r="U24" s="3" t="s">
        <v>88</v>
      </c>
      <c r="V24" s="4" t="s">
        <v>400</v>
      </c>
      <c r="W24" s="3" t="s">
        <v>401</v>
      </c>
      <c r="X24" s="5"/>
      <c r="Y24" s="5"/>
      <c r="Z24" s="5"/>
      <c r="AA24" s="3" t="s">
        <v>161</v>
      </c>
      <c r="AB24" s="3" t="s">
        <v>161</v>
      </c>
      <c r="AC24" s="12">
        <v>20023.98</v>
      </c>
      <c r="AD24" s="12">
        <v>24023.98</v>
      </c>
      <c r="AE24" s="3" t="s">
        <v>320</v>
      </c>
      <c r="AF24" s="3"/>
      <c r="AG24" s="5"/>
      <c r="AH24" s="3" t="s">
        <v>256</v>
      </c>
      <c r="AI24" s="5" t="s">
        <v>320</v>
      </c>
      <c r="AJ24" s="5"/>
      <c r="AK24" s="5"/>
      <c r="AL24" s="5"/>
      <c r="AM24" s="3" t="s">
        <v>520</v>
      </c>
      <c r="AN24" s="3" t="s">
        <v>521</v>
      </c>
      <c r="AO24" s="3" t="s">
        <v>522</v>
      </c>
      <c r="AP24" s="3" t="s">
        <v>324</v>
      </c>
      <c r="AQ24" s="5"/>
      <c r="AR24" s="5"/>
      <c r="AS24" s="5"/>
      <c r="AT24" s="5"/>
      <c r="AU24" s="5"/>
      <c r="AV24" s="5"/>
      <c r="AW24" s="5">
        <v>0</v>
      </c>
      <c r="AX24" s="3" t="s">
        <v>44</v>
      </c>
      <c r="AY24" s="5"/>
      <c r="AZ24" s="3" t="s">
        <v>419</v>
      </c>
      <c r="BA24" s="5"/>
      <c r="BB24" s="3" t="s">
        <v>523</v>
      </c>
      <c r="BC24" s="4" t="s">
        <v>524</v>
      </c>
      <c r="BD24" s="4" t="s">
        <v>356</v>
      </c>
      <c r="BE24" s="3" t="s">
        <v>91</v>
      </c>
      <c r="BF24" s="3" t="s">
        <v>522</v>
      </c>
      <c r="BG24" s="3" t="s">
        <v>331</v>
      </c>
      <c r="BH24" s="3" t="s">
        <v>332</v>
      </c>
      <c r="BI24" s="5"/>
      <c r="BJ24" s="5"/>
      <c r="BK24" s="3" t="s">
        <v>358</v>
      </c>
      <c r="BL24" s="4" t="s">
        <v>374</v>
      </c>
      <c r="BM24" s="13"/>
      <c r="BN24" s="13"/>
      <c r="BO24" s="13"/>
      <c r="BP24" s="13">
        <v>1</v>
      </c>
      <c r="BQ24" s="13"/>
      <c r="BR24" s="13"/>
      <c r="BS24" s="13"/>
      <c r="BT24" s="13"/>
      <c r="BU24" s="13"/>
      <c r="BV24" s="13"/>
      <c r="BW24" s="13"/>
      <c r="BX24" s="13"/>
      <c r="BY24" s="3" t="s">
        <v>335</v>
      </c>
      <c r="BZ24" s="5"/>
      <c r="CA24" s="3" t="s">
        <v>91</v>
      </c>
      <c r="CB24" s="5"/>
      <c r="CC24" s="3" t="s">
        <v>40</v>
      </c>
      <c r="CD24" s="5"/>
      <c r="CE24" s="5"/>
      <c r="CF24" s="3" t="s">
        <v>336</v>
      </c>
      <c r="CG24" s="3" t="s">
        <v>337</v>
      </c>
      <c r="CH24" s="5"/>
      <c r="CI24" s="3" t="s">
        <v>525</v>
      </c>
      <c r="CJ24" s="3" t="s">
        <v>161</v>
      </c>
      <c r="CK24" s="3" t="s">
        <v>162</v>
      </c>
      <c r="CL24" s="3" t="s">
        <v>162</v>
      </c>
      <c r="CM24" s="5"/>
      <c r="CN24" s="3" t="s">
        <v>339</v>
      </c>
      <c r="CO24" s="3" t="s">
        <v>340</v>
      </c>
      <c r="CP24" s="5"/>
      <c r="CQ24" s="3" t="s">
        <v>526</v>
      </c>
      <c r="CR24" s="3" t="s">
        <v>527</v>
      </c>
      <c r="CS24" s="3" t="s">
        <v>161</v>
      </c>
      <c r="CT24" s="3" t="s">
        <v>44</v>
      </c>
      <c r="CU24" s="5"/>
      <c r="CV24" s="5"/>
      <c r="CW24" s="4" t="s">
        <v>345</v>
      </c>
      <c r="CX24" s="5"/>
      <c r="CY24" s="14"/>
    </row>
    <row r="25" ht="12" customHeight="1" spans="1:103" x14ac:dyDescent="0.25">
      <c r="A25" s="11" t="s">
        <v>528</v>
      </c>
      <c r="B25" s="3" t="s">
        <v>316</v>
      </c>
      <c r="C25" s="5">
        <v>0</v>
      </c>
      <c r="D25" s="5">
        <v>0</v>
      </c>
      <c r="E25" s="5"/>
      <c r="F25" s="5">
        <v>0</v>
      </c>
      <c r="G25" s="5">
        <v>1</v>
      </c>
      <c r="H25" s="5">
        <v>0</v>
      </c>
      <c r="I25" s="5">
        <v>0</v>
      </c>
      <c r="J25" s="5">
        <v>1</v>
      </c>
      <c r="K25" s="3" t="s">
        <v>233</v>
      </c>
      <c r="L25" s="3" t="s">
        <v>45</v>
      </c>
      <c r="M25" s="3" t="s">
        <v>31</v>
      </c>
      <c r="N25" s="3" t="s">
        <v>32</v>
      </c>
      <c r="O25" s="3" t="s">
        <v>35</v>
      </c>
      <c r="P25" s="3" t="s">
        <v>40</v>
      </c>
      <c r="Q25" s="3" t="s">
        <v>317</v>
      </c>
      <c r="R25" s="4" t="s">
        <v>30</v>
      </c>
      <c r="S25" s="3" t="s">
        <v>66</v>
      </c>
      <c r="T25" s="3" t="s">
        <v>72</v>
      </c>
      <c r="U25" s="3" t="s">
        <v>66</v>
      </c>
      <c r="V25" s="4" t="s">
        <v>438</v>
      </c>
      <c r="W25" s="3" t="s">
        <v>317</v>
      </c>
      <c r="X25" s="5"/>
      <c r="Y25" s="5"/>
      <c r="Z25" s="5"/>
      <c r="AA25" s="3" t="s">
        <v>529</v>
      </c>
      <c r="AB25" s="3" t="s">
        <v>530</v>
      </c>
      <c r="AC25" s="12">
        <v>2941</v>
      </c>
      <c r="AD25" s="12">
        <v>5141</v>
      </c>
      <c r="AE25" s="3" t="s">
        <v>320</v>
      </c>
      <c r="AF25" s="3" t="s">
        <v>253</v>
      </c>
      <c r="AG25" s="5"/>
      <c r="AH25" s="3" t="s">
        <v>256</v>
      </c>
      <c r="AI25" s="5" t="s">
        <v>320</v>
      </c>
      <c r="AJ25" s="5"/>
      <c r="AK25" s="5"/>
      <c r="AL25" s="5"/>
      <c r="AM25" s="3" t="s">
        <v>377</v>
      </c>
      <c r="AN25" s="3" t="s">
        <v>378</v>
      </c>
      <c r="AO25" s="3" t="s">
        <v>531</v>
      </c>
      <c r="AP25" s="3" t="s">
        <v>324</v>
      </c>
      <c r="AQ25" s="5"/>
      <c r="AR25" s="5"/>
      <c r="AS25" s="5"/>
      <c r="AT25" s="5"/>
      <c r="AU25" s="5"/>
      <c r="AV25" s="5"/>
      <c r="AW25" s="5">
        <v>0</v>
      </c>
      <c r="AX25" s="3" t="s">
        <v>44</v>
      </c>
      <c r="AY25" s="5"/>
      <c r="AZ25" s="3" t="s">
        <v>532</v>
      </c>
      <c r="BA25" s="5" t="s">
        <v>533</v>
      </c>
      <c r="BB25" s="3" t="s">
        <v>327</v>
      </c>
      <c r="BC25" s="4" t="s">
        <v>524</v>
      </c>
      <c r="BD25" s="4" t="s">
        <v>534</v>
      </c>
      <c r="BE25" s="3" t="s">
        <v>91</v>
      </c>
      <c r="BF25" s="3" t="s">
        <v>531</v>
      </c>
      <c r="BG25" s="3" t="s">
        <v>331</v>
      </c>
      <c r="BH25" s="3" t="s">
        <v>332</v>
      </c>
      <c r="BI25" s="5"/>
      <c r="BJ25" s="5"/>
      <c r="BK25" s="3"/>
      <c r="BL25" s="4" t="s">
        <v>334</v>
      </c>
      <c r="BM25" s="13"/>
      <c r="BN25" s="13">
        <v>1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3" t="s">
        <v>335</v>
      </c>
      <c r="BZ25" s="5"/>
      <c r="CA25" s="3" t="s">
        <v>91</v>
      </c>
      <c r="CB25" s="5"/>
      <c r="CC25" s="3" t="s">
        <v>40</v>
      </c>
      <c r="CD25" s="5"/>
      <c r="CE25" s="5"/>
      <c r="CF25" s="3" t="s">
        <v>336</v>
      </c>
      <c r="CG25" s="3" t="s">
        <v>535</v>
      </c>
      <c r="CH25" s="5"/>
      <c r="CI25" s="3" t="s">
        <v>536</v>
      </c>
      <c r="CJ25" s="3" t="s">
        <v>529</v>
      </c>
      <c r="CK25" s="3" t="s">
        <v>537</v>
      </c>
      <c r="CL25" s="3" t="s">
        <v>537</v>
      </c>
      <c r="CM25" s="5"/>
      <c r="CN25" s="3" t="s">
        <v>339</v>
      </c>
      <c r="CO25" s="3" t="s">
        <v>340</v>
      </c>
      <c r="CP25" s="5"/>
      <c r="CQ25" s="3" t="s">
        <v>538</v>
      </c>
      <c r="CR25" s="3" t="s">
        <v>539</v>
      </c>
      <c r="CS25" s="3" t="s">
        <v>529</v>
      </c>
      <c r="CT25" s="3" t="s">
        <v>44</v>
      </c>
      <c r="CU25" s="5"/>
      <c r="CV25" s="5"/>
      <c r="CW25" s="4" t="s">
        <v>399</v>
      </c>
      <c r="CX25" s="5"/>
      <c r="CY25" s="14"/>
    </row>
    <row r="26" ht="12" customHeight="1" spans="1:103" x14ac:dyDescent="0.25">
      <c r="A26" s="11" t="s">
        <v>100</v>
      </c>
      <c r="B26" s="3" t="s">
        <v>316</v>
      </c>
      <c r="C26" s="5">
        <v>0</v>
      </c>
      <c r="D26" s="5">
        <v>0</v>
      </c>
      <c r="E26" s="5"/>
      <c r="F26" s="5">
        <v>0</v>
      </c>
      <c r="G26" s="5">
        <v>1</v>
      </c>
      <c r="H26" s="5">
        <v>0</v>
      </c>
      <c r="I26" s="5">
        <v>0</v>
      </c>
      <c r="J26" s="5">
        <v>1</v>
      </c>
      <c r="K26" s="3" t="s">
        <v>44</v>
      </c>
      <c r="L26" s="3" t="s">
        <v>45</v>
      </c>
      <c r="M26" s="3" t="s">
        <v>31</v>
      </c>
      <c r="N26" s="3" t="s">
        <v>32</v>
      </c>
      <c r="O26" s="3" t="s">
        <v>35</v>
      </c>
      <c r="P26" s="3" t="s">
        <v>40</v>
      </c>
      <c r="Q26" s="3" t="s">
        <v>317</v>
      </c>
      <c r="R26" s="4" t="s">
        <v>30</v>
      </c>
      <c r="S26" s="3" t="s">
        <v>36</v>
      </c>
      <c r="T26" s="3" t="s">
        <v>50</v>
      </c>
      <c r="U26" s="3" t="s">
        <v>36</v>
      </c>
      <c r="V26" s="4" t="s">
        <v>318</v>
      </c>
      <c r="W26" s="3" t="s">
        <v>317</v>
      </c>
      <c r="X26" s="5"/>
      <c r="Y26" s="5"/>
      <c r="Z26" s="5"/>
      <c r="AA26" s="3" t="s">
        <v>540</v>
      </c>
      <c r="AB26" s="3" t="s">
        <v>102</v>
      </c>
      <c r="AC26" s="12">
        <v>9871</v>
      </c>
      <c r="AD26" s="12">
        <v>12071</v>
      </c>
      <c r="AE26" s="3" t="s">
        <v>320</v>
      </c>
      <c r="AF26" s="3" t="s">
        <v>253</v>
      </c>
      <c r="AG26" s="5"/>
      <c r="AH26" s="3" t="s">
        <v>256</v>
      </c>
      <c r="AI26" s="5" t="s">
        <v>320</v>
      </c>
      <c r="AJ26" s="5" t="s">
        <v>541</v>
      </c>
      <c r="AK26" s="5"/>
      <c r="AL26" s="5"/>
      <c r="AM26" s="3" t="s">
        <v>428</v>
      </c>
      <c r="AN26" s="3" t="s">
        <v>429</v>
      </c>
      <c r="AO26" s="3" t="s">
        <v>542</v>
      </c>
      <c r="AP26" s="3" t="s">
        <v>324</v>
      </c>
      <c r="AQ26" s="5"/>
      <c r="AR26" s="5"/>
      <c r="AS26" s="5"/>
      <c r="AT26" s="5"/>
      <c r="AU26" s="5"/>
      <c r="AV26" s="5"/>
      <c r="AW26" s="5">
        <v>0</v>
      </c>
      <c r="AX26" s="3" t="s">
        <v>44</v>
      </c>
      <c r="AY26" s="5"/>
      <c r="AZ26" s="3" t="s">
        <v>543</v>
      </c>
      <c r="BA26" s="5" t="s">
        <v>544</v>
      </c>
      <c r="BB26" s="3" t="s">
        <v>327</v>
      </c>
      <c r="BC26" s="4" t="s">
        <v>545</v>
      </c>
      <c r="BD26" s="4" t="s">
        <v>345</v>
      </c>
      <c r="BE26" s="3" t="s">
        <v>91</v>
      </c>
      <c r="BF26" s="3" t="s">
        <v>546</v>
      </c>
      <c r="BG26" s="3" t="s">
        <v>331</v>
      </c>
      <c r="BH26" s="3" t="s">
        <v>332</v>
      </c>
      <c r="BI26" s="5"/>
      <c r="BJ26" s="5"/>
      <c r="BK26" s="3" t="s">
        <v>40</v>
      </c>
      <c r="BL26" s="4" t="s">
        <v>374</v>
      </c>
      <c r="BM26" s="13"/>
      <c r="BN26" s="13">
        <v>1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3" t="s">
        <v>335</v>
      </c>
      <c r="BZ26" s="5"/>
      <c r="CA26" s="3" t="s">
        <v>91</v>
      </c>
      <c r="CB26" s="5"/>
      <c r="CC26" s="3" t="s">
        <v>40</v>
      </c>
      <c r="CD26" s="5"/>
      <c r="CE26" s="5"/>
      <c r="CF26" s="3" t="s">
        <v>336</v>
      </c>
      <c r="CG26" s="3" t="s">
        <v>547</v>
      </c>
      <c r="CH26" s="5"/>
      <c r="CI26" s="3" t="s">
        <v>548</v>
      </c>
      <c r="CJ26" s="3" t="s">
        <v>102</v>
      </c>
      <c r="CK26" s="3" t="s">
        <v>103</v>
      </c>
      <c r="CL26" s="3" t="s">
        <v>103</v>
      </c>
      <c r="CM26" s="5"/>
      <c r="CN26" s="3" t="s">
        <v>339</v>
      </c>
      <c r="CO26" s="3" t="s">
        <v>340</v>
      </c>
      <c r="CP26" s="5"/>
      <c r="CQ26" s="3" t="s">
        <v>549</v>
      </c>
      <c r="CR26" s="3" t="s">
        <v>550</v>
      </c>
      <c r="CS26" s="3" t="s">
        <v>540</v>
      </c>
      <c r="CT26" s="3" t="s">
        <v>44</v>
      </c>
      <c r="CU26" s="5"/>
      <c r="CV26" s="5"/>
      <c r="CW26" s="4" t="s">
        <v>345</v>
      </c>
      <c r="CX26" s="5"/>
      <c r="CY26" s="14"/>
    </row>
    <row r="27" ht="12" customHeight="1" spans="1:103" x14ac:dyDescent="0.25">
      <c r="A27" s="11" t="s">
        <v>122</v>
      </c>
      <c r="B27" s="3" t="s">
        <v>551</v>
      </c>
      <c r="C27" s="5">
        <v>8</v>
      </c>
      <c r="D27" s="5">
        <v>8</v>
      </c>
      <c r="E27" s="5"/>
      <c r="F27" s="5">
        <v>0</v>
      </c>
      <c r="G27" s="5">
        <v>0</v>
      </c>
      <c r="H27" s="5">
        <v>0</v>
      </c>
      <c r="I27" s="5">
        <v>8</v>
      </c>
      <c r="J27" s="5">
        <v>16</v>
      </c>
      <c r="K27" s="3" t="s">
        <v>44</v>
      </c>
      <c r="L27" s="3" t="s">
        <v>45</v>
      </c>
      <c r="M27" s="3" t="s">
        <v>31</v>
      </c>
      <c r="N27" s="3" t="s">
        <v>32</v>
      </c>
      <c r="O27" s="3" t="s">
        <v>35</v>
      </c>
      <c r="P27" s="3" t="s">
        <v>40</v>
      </c>
      <c r="Q27" s="3" t="s">
        <v>317</v>
      </c>
      <c r="R27" s="4" t="s">
        <v>30</v>
      </c>
      <c r="S27" s="3" t="s">
        <v>36</v>
      </c>
      <c r="T27" s="3" t="s">
        <v>50</v>
      </c>
      <c r="U27" s="3" t="s">
        <v>36</v>
      </c>
      <c r="V27" s="4" t="s">
        <v>318</v>
      </c>
      <c r="W27" s="3" t="s">
        <v>317</v>
      </c>
      <c r="X27" s="5"/>
      <c r="Y27" s="5"/>
      <c r="Z27" s="5"/>
      <c r="AA27" s="3" t="s">
        <v>552</v>
      </c>
      <c r="AB27" s="3" t="s">
        <v>124</v>
      </c>
      <c r="AC27" s="12">
        <v>204000</v>
      </c>
      <c r="AD27" s="12">
        <v>236000</v>
      </c>
      <c r="AE27" s="3" t="s">
        <v>320</v>
      </c>
      <c r="AF27" s="3" t="s">
        <v>253</v>
      </c>
      <c r="AG27" s="5"/>
      <c r="AH27" s="3" t="s">
        <v>256</v>
      </c>
      <c r="AI27" s="5" t="s">
        <v>320</v>
      </c>
      <c r="AJ27" s="5"/>
      <c r="AK27" s="5"/>
      <c r="AL27" s="5"/>
      <c r="AM27" s="3" t="s">
        <v>553</v>
      </c>
      <c r="AN27" s="3" t="s">
        <v>554</v>
      </c>
      <c r="AO27" s="3" t="s">
        <v>555</v>
      </c>
      <c r="AP27" s="3" t="s">
        <v>324</v>
      </c>
      <c r="AQ27" s="5"/>
      <c r="AR27" s="5"/>
      <c r="AS27" s="5"/>
      <c r="AT27" s="5"/>
      <c r="AU27" s="5"/>
      <c r="AV27" s="5"/>
      <c r="AW27" s="5">
        <v>0</v>
      </c>
      <c r="AX27" s="3" t="s">
        <v>44</v>
      </c>
      <c r="AY27" s="5"/>
      <c r="AZ27" s="3" t="s">
        <v>556</v>
      </c>
      <c r="BA27" s="5" t="s">
        <v>557</v>
      </c>
      <c r="BB27" s="3" t="s">
        <v>327</v>
      </c>
      <c r="BC27" s="4" t="s">
        <v>558</v>
      </c>
      <c r="BD27" s="4" t="s">
        <v>374</v>
      </c>
      <c r="BE27" s="3" t="s">
        <v>91</v>
      </c>
      <c r="BF27" s="3" t="s">
        <v>555</v>
      </c>
      <c r="BG27" s="3" t="s">
        <v>331</v>
      </c>
      <c r="BH27" s="3" t="s">
        <v>332</v>
      </c>
      <c r="BI27" s="5"/>
      <c r="BJ27" s="5"/>
      <c r="BK27" s="3" t="s">
        <v>333</v>
      </c>
      <c r="BL27" s="4" t="s">
        <v>392</v>
      </c>
      <c r="BM27" s="13"/>
      <c r="BN27" s="13"/>
      <c r="BO27" s="13"/>
      <c r="BP27" s="13">
        <v>8</v>
      </c>
      <c r="BQ27" s="13"/>
      <c r="BR27" s="13"/>
      <c r="BS27" s="13"/>
      <c r="BT27" s="13"/>
      <c r="BU27" s="13"/>
      <c r="BV27" s="13"/>
      <c r="BW27" s="13"/>
      <c r="BX27" s="13"/>
      <c r="BY27" s="3" t="s">
        <v>335</v>
      </c>
      <c r="BZ27" s="5"/>
      <c r="CA27" s="3" t="s">
        <v>91</v>
      </c>
      <c r="CB27" s="5"/>
      <c r="CC27" s="3" t="s">
        <v>40</v>
      </c>
      <c r="CD27" s="5"/>
      <c r="CE27" s="5"/>
      <c r="CF27" s="3" t="s">
        <v>336</v>
      </c>
      <c r="CG27" s="3" t="s">
        <v>337</v>
      </c>
      <c r="CH27" s="5"/>
      <c r="CI27" s="3" t="s">
        <v>559</v>
      </c>
      <c r="CJ27" s="3" t="s">
        <v>124</v>
      </c>
      <c r="CK27" s="3" t="s">
        <v>125</v>
      </c>
      <c r="CL27" s="3" t="s">
        <v>125</v>
      </c>
      <c r="CM27" s="5"/>
      <c r="CN27" s="3" t="s">
        <v>339</v>
      </c>
      <c r="CO27" s="3" t="s">
        <v>340</v>
      </c>
      <c r="CP27" s="5"/>
      <c r="CQ27" s="3" t="s">
        <v>560</v>
      </c>
      <c r="CR27" s="3" t="s">
        <v>561</v>
      </c>
      <c r="CS27" s="3" t="s">
        <v>552</v>
      </c>
      <c r="CT27" s="3" t="s">
        <v>44</v>
      </c>
      <c r="CU27" s="5"/>
      <c r="CV27" s="5"/>
      <c r="CW27" s="4" t="s">
        <v>343</v>
      </c>
      <c r="CX27" s="5"/>
      <c r="CY27" s="14" t="s">
        <v>562</v>
      </c>
    </row>
    <row r="28" ht="12" customHeight="1" spans="1:103" x14ac:dyDescent="0.25">
      <c r="A28" s="11" t="s">
        <v>205</v>
      </c>
      <c r="B28" s="3" t="s">
        <v>316</v>
      </c>
      <c r="C28" s="5">
        <v>1</v>
      </c>
      <c r="D28" s="5">
        <v>1</v>
      </c>
      <c r="E28" s="5"/>
      <c r="F28" s="5">
        <v>0</v>
      </c>
      <c r="G28" s="5">
        <v>1</v>
      </c>
      <c r="H28" s="5">
        <v>0</v>
      </c>
      <c r="I28" s="5">
        <v>0</v>
      </c>
      <c r="J28" s="5">
        <v>1</v>
      </c>
      <c r="K28" s="3" t="s">
        <v>44</v>
      </c>
      <c r="L28" s="3" t="s">
        <v>45</v>
      </c>
      <c r="M28" s="3" t="s">
        <v>31</v>
      </c>
      <c r="N28" s="3" t="s">
        <v>32</v>
      </c>
      <c r="O28" s="3" t="s">
        <v>35</v>
      </c>
      <c r="P28" s="3" t="s">
        <v>40</v>
      </c>
      <c r="Q28" s="3" t="s">
        <v>317</v>
      </c>
      <c r="R28" s="4" t="s">
        <v>30</v>
      </c>
      <c r="S28" s="3" t="s">
        <v>88</v>
      </c>
      <c r="T28" s="3" t="s">
        <v>120</v>
      </c>
      <c r="U28" s="3" t="s">
        <v>88</v>
      </c>
      <c r="V28" s="4" t="s">
        <v>400</v>
      </c>
      <c r="W28" s="3" t="s">
        <v>401</v>
      </c>
      <c r="X28" s="5"/>
      <c r="Y28" s="5"/>
      <c r="Z28" s="5"/>
      <c r="AA28" s="3" t="s">
        <v>206</v>
      </c>
      <c r="AB28" s="3" t="s">
        <v>206</v>
      </c>
      <c r="AC28" s="12">
        <v>14168</v>
      </c>
      <c r="AD28" s="12">
        <v>16368</v>
      </c>
      <c r="AE28" s="3" t="s">
        <v>320</v>
      </c>
      <c r="AF28" s="3" t="s">
        <v>253</v>
      </c>
      <c r="AG28" s="5"/>
      <c r="AH28" s="3" t="s">
        <v>256</v>
      </c>
      <c r="AI28" s="5" t="s">
        <v>320</v>
      </c>
      <c r="AJ28" s="5"/>
      <c r="AK28" s="5"/>
      <c r="AL28" s="5"/>
      <c r="AM28" s="3" t="s">
        <v>563</v>
      </c>
      <c r="AN28" s="3" t="s">
        <v>564</v>
      </c>
      <c r="AO28" s="3" t="s">
        <v>565</v>
      </c>
      <c r="AP28" s="3" t="s">
        <v>324</v>
      </c>
      <c r="AQ28" s="5"/>
      <c r="AR28" s="5"/>
      <c r="AS28" s="5"/>
      <c r="AT28" s="5"/>
      <c r="AU28" s="5"/>
      <c r="AV28" s="5"/>
      <c r="AW28" s="5">
        <v>0</v>
      </c>
      <c r="AX28" s="3" t="s">
        <v>44</v>
      </c>
      <c r="AY28" s="5"/>
      <c r="AZ28" s="3" t="s">
        <v>566</v>
      </c>
      <c r="BA28" s="5" t="s">
        <v>567</v>
      </c>
      <c r="BB28" s="3" t="s">
        <v>523</v>
      </c>
      <c r="BC28" s="4" t="s">
        <v>568</v>
      </c>
      <c r="BD28" s="4" t="s">
        <v>356</v>
      </c>
      <c r="BE28" s="3" t="s">
        <v>91</v>
      </c>
      <c r="BF28" s="3" t="s">
        <v>569</v>
      </c>
      <c r="BG28" s="3" t="s">
        <v>331</v>
      </c>
      <c r="BH28" s="3" t="s">
        <v>332</v>
      </c>
      <c r="BI28" s="5"/>
      <c r="BJ28" s="5"/>
      <c r="BK28" s="3" t="s">
        <v>358</v>
      </c>
      <c r="BL28" s="4" t="s">
        <v>347</v>
      </c>
      <c r="BM28" s="13"/>
      <c r="BN28" s="13">
        <v>1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3" t="s">
        <v>335</v>
      </c>
      <c r="BZ28" s="5"/>
      <c r="CA28" s="3" t="s">
        <v>91</v>
      </c>
      <c r="CB28" s="5"/>
      <c r="CC28" s="3" t="s">
        <v>40</v>
      </c>
      <c r="CD28" s="5"/>
      <c r="CE28" s="5"/>
      <c r="CF28" s="3" t="s">
        <v>336</v>
      </c>
      <c r="CG28" s="3" t="s">
        <v>337</v>
      </c>
      <c r="CH28" s="5"/>
      <c r="CI28" s="3" t="s">
        <v>570</v>
      </c>
      <c r="CJ28" s="3" t="s">
        <v>206</v>
      </c>
      <c r="CK28" s="3" t="s">
        <v>207</v>
      </c>
      <c r="CL28" s="3" t="s">
        <v>207</v>
      </c>
      <c r="CM28" s="5"/>
      <c r="CN28" s="3" t="s">
        <v>339</v>
      </c>
      <c r="CO28" s="3" t="s">
        <v>340</v>
      </c>
      <c r="CP28" s="5"/>
      <c r="CQ28" s="3" t="s">
        <v>571</v>
      </c>
      <c r="CR28" s="3" t="s">
        <v>572</v>
      </c>
      <c r="CS28" s="3" t="s">
        <v>206</v>
      </c>
      <c r="CT28" s="3" t="s">
        <v>44</v>
      </c>
      <c r="CU28" s="5"/>
      <c r="CV28" s="5"/>
      <c r="CW28" s="4" t="s">
        <v>399</v>
      </c>
      <c r="CX28" s="5"/>
      <c r="CY28" s="14"/>
    </row>
    <row r="29" ht="12" customHeight="1" spans="1:103" x14ac:dyDescent="0.25">
      <c r="A29" s="11" t="s">
        <v>61</v>
      </c>
      <c r="B29" s="3" t="s">
        <v>316</v>
      </c>
      <c r="C29" s="5">
        <v>1</v>
      </c>
      <c r="D29" s="5">
        <v>1</v>
      </c>
      <c r="E29" s="5"/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3" t="s">
        <v>44</v>
      </c>
      <c r="L29" s="3" t="s">
        <v>45</v>
      </c>
      <c r="M29" s="3" t="s">
        <v>31</v>
      </c>
      <c r="N29" s="3" t="s">
        <v>32</v>
      </c>
      <c r="O29" s="3" t="s">
        <v>35</v>
      </c>
      <c r="P29" s="3" t="s">
        <v>40</v>
      </c>
      <c r="Q29" s="3" t="s">
        <v>317</v>
      </c>
      <c r="R29" s="4" t="s">
        <v>30</v>
      </c>
      <c r="S29" s="3" t="s">
        <v>36</v>
      </c>
      <c r="T29" s="3" t="s">
        <v>50</v>
      </c>
      <c r="U29" s="3" t="s">
        <v>36</v>
      </c>
      <c r="V29" s="4" t="s">
        <v>318</v>
      </c>
      <c r="W29" s="3" t="s">
        <v>317</v>
      </c>
      <c r="X29" s="5"/>
      <c r="Y29" s="5"/>
      <c r="Z29" s="5"/>
      <c r="AA29" s="3" t="s">
        <v>410</v>
      </c>
      <c r="AB29" s="3" t="s">
        <v>573</v>
      </c>
      <c r="AC29" s="12">
        <v>5111</v>
      </c>
      <c r="AD29" s="12">
        <v>7311</v>
      </c>
      <c r="AE29" s="3" t="s">
        <v>320</v>
      </c>
      <c r="AF29" s="3" t="s">
        <v>253</v>
      </c>
      <c r="AG29" s="5"/>
      <c r="AH29" s="3" t="s">
        <v>256</v>
      </c>
      <c r="AI29" s="5" t="s">
        <v>320</v>
      </c>
      <c r="AJ29" s="5"/>
      <c r="AK29" s="5"/>
      <c r="AL29" s="5"/>
      <c r="AM29" s="3" t="s">
        <v>366</v>
      </c>
      <c r="AN29" s="3" t="s">
        <v>367</v>
      </c>
      <c r="AO29" s="3" t="s">
        <v>574</v>
      </c>
      <c r="AP29" s="3" t="s">
        <v>324</v>
      </c>
      <c r="AQ29" s="5"/>
      <c r="AR29" s="5"/>
      <c r="AS29" s="5"/>
      <c r="AT29" s="5"/>
      <c r="AU29" s="5"/>
      <c r="AV29" s="5"/>
      <c r="AW29" s="5">
        <v>0</v>
      </c>
      <c r="AX29" s="3" t="s">
        <v>44</v>
      </c>
      <c r="AY29" s="5"/>
      <c r="AZ29" s="3" t="s">
        <v>575</v>
      </c>
      <c r="BA29" s="5" t="s">
        <v>576</v>
      </c>
      <c r="BB29" s="3" t="s">
        <v>327</v>
      </c>
      <c r="BC29" s="4" t="s">
        <v>577</v>
      </c>
      <c r="BD29" s="4" t="s">
        <v>346</v>
      </c>
      <c r="BE29" s="3" t="s">
        <v>91</v>
      </c>
      <c r="BF29" s="3" t="s">
        <v>578</v>
      </c>
      <c r="BG29" s="3" t="s">
        <v>331</v>
      </c>
      <c r="BH29" s="3" t="s">
        <v>332</v>
      </c>
      <c r="BI29" s="5"/>
      <c r="BJ29" s="5"/>
      <c r="BK29" s="3" t="s">
        <v>358</v>
      </c>
      <c r="BL29" s="4" t="s">
        <v>346</v>
      </c>
      <c r="BM29" s="13"/>
      <c r="BN29" s="13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3" t="s">
        <v>335</v>
      </c>
      <c r="BZ29" s="5"/>
      <c r="CA29" s="3" t="s">
        <v>91</v>
      </c>
      <c r="CB29" s="5"/>
      <c r="CC29" s="3" t="s">
        <v>40</v>
      </c>
      <c r="CD29" s="5"/>
      <c r="CE29" s="5"/>
      <c r="CF29" s="3" t="s">
        <v>336</v>
      </c>
      <c r="CG29" s="3" t="s">
        <v>337</v>
      </c>
      <c r="CH29" s="5"/>
      <c r="CI29" s="3" t="s">
        <v>579</v>
      </c>
      <c r="CJ29" s="3" t="s">
        <v>63</v>
      </c>
      <c r="CK29" s="3" t="s">
        <v>64</v>
      </c>
      <c r="CL29" s="3" t="s">
        <v>64</v>
      </c>
      <c r="CM29" s="5"/>
      <c r="CN29" s="3" t="s">
        <v>339</v>
      </c>
      <c r="CO29" s="3" t="s">
        <v>340</v>
      </c>
      <c r="CP29" s="5"/>
      <c r="CQ29" s="3" t="s">
        <v>425</v>
      </c>
      <c r="CR29" s="3" t="s">
        <v>416</v>
      </c>
      <c r="CS29" s="3" t="s">
        <v>410</v>
      </c>
      <c r="CT29" s="3" t="s">
        <v>44</v>
      </c>
      <c r="CU29" s="5"/>
      <c r="CV29" s="5"/>
      <c r="CW29" s="4" t="s">
        <v>399</v>
      </c>
      <c r="CX29" s="5"/>
      <c r="CY29" s="14"/>
    </row>
    <row r="30" ht="12" customHeight="1" spans="1:103" x14ac:dyDescent="0.25">
      <c r="A30" s="11" t="s">
        <v>186</v>
      </c>
      <c r="B30" s="3" t="s">
        <v>316</v>
      </c>
      <c r="C30" s="5">
        <v>1</v>
      </c>
      <c r="D30" s="5">
        <v>1</v>
      </c>
      <c r="E30" s="5"/>
      <c r="F30" s="5">
        <v>0</v>
      </c>
      <c r="G30" s="5">
        <v>1</v>
      </c>
      <c r="H30" s="5">
        <v>0</v>
      </c>
      <c r="I30" s="5">
        <v>0</v>
      </c>
      <c r="J30" s="5">
        <v>1</v>
      </c>
      <c r="K30" s="3" t="s">
        <v>44</v>
      </c>
      <c r="L30" s="3" t="s">
        <v>45</v>
      </c>
      <c r="M30" s="3" t="s">
        <v>31</v>
      </c>
      <c r="N30" s="3" t="s">
        <v>32</v>
      </c>
      <c r="O30" s="3" t="s">
        <v>35</v>
      </c>
      <c r="P30" s="3" t="s">
        <v>40</v>
      </c>
      <c r="Q30" s="3" t="s">
        <v>317</v>
      </c>
      <c r="R30" s="4" t="s">
        <v>30</v>
      </c>
      <c r="S30" s="3" t="s">
        <v>36</v>
      </c>
      <c r="T30" s="3" t="s">
        <v>50</v>
      </c>
      <c r="U30" s="3" t="s">
        <v>36</v>
      </c>
      <c r="V30" s="4" t="s">
        <v>318</v>
      </c>
      <c r="W30" s="3" t="s">
        <v>317</v>
      </c>
      <c r="X30" s="5"/>
      <c r="Y30" s="5"/>
      <c r="Z30" s="5"/>
      <c r="AA30" s="3" t="s">
        <v>580</v>
      </c>
      <c r="AB30" s="3" t="s">
        <v>581</v>
      </c>
      <c r="AC30" s="12">
        <v>15894</v>
      </c>
      <c r="AD30" s="12">
        <v>18094</v>
      </c>
      <c r="AE30" s="3" t="s">
        <v>320</v>
      </c>
      <c r="AF30" s="3" t="s">
        <v>253</v>
      </c>
      <c r="AG30" s="5"/>
      <c r="AH30" s="3" t="s">
        <v>256</v>
      </c>
      <c r="AI30" s="5" t="s">
        <v>320</v>
      </c>
      <c r="AJ30" s="5"/>
      <c r="AK30" s="5"/>
      <c r="AL30" s="5"/>
      <c r="AM30" s="3" t="s">
        <v>428</v>
      </c>
      <c r="AN30" s="3" t="s">
        <v>429</v>
      </c>
      <c r="AO30" s="3" t="s">
        <v>582</v>
      </c>
      <c r="AP30" s="3" t="s">
        <v>324</v>
      </c>
      <c r="AQ30" s="5"/>
      <c r="AR30" s="5"/>
      <c r="AS30" s="5"/>
      <c r="AT30" s="5"/>
      <c r="AU30" s="5"/>
      <c r="AV30" s="5"/>
      <c r="AW30" s="5">
        <v>0</v>
      </c>
      <c r="AX30" s="3" t="s">
        <v>44</v>
      </c>
      <c r="AY30" s="5"/>
      <c r="AZ30" s="3" t="s">
        <v>419</v>
      </c>
      <c r="BA30" s="5" t="s">
        <v>583</v>
      </c>
      <c r="BB30" s="3" t="s">
        <v>327</v>
      </c>
      <c r="BC30" s="4" t="s">
        <v>577</v>
      </c>
      <c r="BD30" s="4" t="s">
        <v>356</v>
      </c>
      <c r="BE30" s="3" t="s">
        <v>91</v>
      </c>
      <c r="BF30" s="3" t="s">
        <v>582</v>
      </c>
      <c r="BG30" s="3" t="s">
        <v>331</v>
      </c>
      <c r="BH30" s="3" t="s">
        <v>332</v>
      </c>
      <c r="BI30" s="5"/>
      <c r="BJ30" s="5"/>
      <c r="BK30" s="3" t="s">
        <v>358</v>
      </c>
      <c r="BL30" s="4" t="s">
        <v>374</v>
      </c>
      <c r="BM30" s="13"/>
      <c r="BN30" s="13">
        <v>1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3" t="s">
        <v>335</v>
      </c>
      <c r="BZ30" s="5"/>
      <c r="CA30" s="3" t="s">
        <v>91</v>
      </c>
      <c r="CB30" s="5"/>
      <c r="CC30" s="3" t="s">
        <v>40</v>
      </c>
      <c r="CD30" s="5"/>
      <c r="CE30" s="5"/>
      <c r="CF30" s="3" t="s">
        <v>336</v>
      </c>
      <c r="CG30" s="3" t="s">
        <v>337</v>
      </c>
      <c r="CH30" s="5"/>
      <c r="CI30" s="3" t="s">
        <v>584</v>
      </c>
      <c r="CJ30" s="3" t="s">
        <v>187</v>
      </c>
      <c r="CK30" s="3" t="s">
        <v>188</v>
      </c>
      <c r="CL30" s="3" t="s">
        <v>189</v>
      </c>
      <c r="CM30" s="5"/>
      <c r="CN30" s="3" t="s">
        <v>339</v>
      </c>
      <c r="CO30" s="3" t="s">
        <v>340</v>
      </c>
      <c r="CP30" s="5"/>
      <c r="CQ30" s="3" t="s">
        <v>585</v>
      </c>
      <c r="CR30" s="3" t="s">
        <v>586</v>
      </c>
      <c r="CS30" s="3" t="s">
        <v>580</v>
      </c>
      <c r="CT30" s="3" t="s">
        <v>44</v>
      </c>
      <c r="CU30" s="5"/>
      <c r="CV30" s="5"/>
      <c r="CW30" s="4" t="s">
        <v>399</v>
      </c>
      <c r="CX30" s="5"/>
      <c r="CY30" s="14"/>
    </row>
    <row r="31" ht="12" customHeight="1" spans="1:103" x14ac:dyDescent="0.25">
      <c r="A31" s="11" t="s">
        <v>215</v>
      </c>
      <c r="B31" s="3" t="s">
        <v>316</v>
      </c>
      <c r="C31" s="5">
        <v>1</v>
      </c>
      <c r="D31" s="5">
        <v>1</v>
      </c>
      <c r="E31" s="5"/>
      <c r="F31" s="5">
        <v>0</v>
      </c>
      <c r="G31" s="5">
        <v>1</v>
      </c>
      <c r="H31" s="5">
        <v>0</v>
      </c>
      <c r="I31" s="5">
        <v>0</v>
      </c>
      <c r="J31" s="5">
        <v>1</v>
      </c>
      <c r="K31" s="3" t="s">
        <v>44</v>
      </c>
      <c r="L31" s="3" t="s">
        <v>45</v>
      </c>
      <c r="M31" s="3" t="s">
        <v>31</v>
      </c>
      <c r="N31" s="3" t="s">
        <v>32</v>
      </c>
      <c r="O31" s="3" t="s">
        <v>35</v>
      </c>
      <c r="P31" s="3" t="s">
        <v>40</v>
      </c>
      <c r="Q31" s="3" t="s">
        <v>317</v>
      </c>
      <c r="R31" s="4" t="s">
        <v>30</v>
      </c>
      <c r="S31" s="3" t="s">
        <v>36</v>
      </c>
      <c r="T31" s="3" t="s">
        <v>50</v>
      </c>
      <c r="U31" s="3" t="s">
        <v>36</v>
      </c>
      <c r="V31" s="4" t="s">
        <v>318</v>
      </c>
      <c r="W31" s="3" t="s">
        <v>317</v>
      </c>
      <c r="X31" s="5"/>
      <c r="Y31" s="5"/>
      <c r="Z31" s="5"/>
      <c r="AA31" s="3" t="s">
        <v>410</v>
      </c>
      <c r="AB31" s="3" t="s">
        <v>467</v>
      </c>
      <c r="AC31" s="12">
        <v>5674</v>
      </c>
      <c r="AD31" s="12">
        <v>7874</v>
      </c>
      <c r="AE31" s="3" t="s">
        <v>320</v>
      </c>
      <c r="AF31" s="3" t="s">
        <v>253</v>
      </c>
      <c r="AG31" s="5"/>
      <c r="AH31" s="3" t="s">
        <v>256</v>
      </c>
      <c r="AI31" s="5" t="s">
        <v>320</v>
      </c>
      <c r="AJ31" s="5"/>
      <c r="AK31" s="5"/>
      <c r="AL31" s="5"/>
      <c r="AM31" s="3" t="s">
        <v>366</v>
      </c>
      <c r="AN31" s="3" t="s">
        <v>367</v>
      </c>
      <c r="AO31" s="3" t="s">
        <v>468</v>
      </c>
      <c r="AP31" s="3" t="s">
        <v>324</v>
      </c>
      <c r="AQ31" s="5"/>
      <c r="AR31" s="5"/>
      <c r="AS31" s="5"/>
      <c r="AT31" s="5"/>
      <c r="AU31" s="5"/>
      <c r="AV31" s="5"/>
      <c r="AW31" s="5">
        <v>0</v>
      </c>
      <c r="AX31" s="3" t="s">
        <v>44</v>
      </c>
      <c r="AY31" s="5"/>
      <c r="AZ31" s="3" t="s">
        <v>587</v>
      </c>
      <c r="BA31" s="5" t="s">
        <v>588</v>
      </c>
      <c r="BB31" s="3" t="s">
        <v>327</v>
      </c>
      <c r="BC31" s="4" t="s">
        <v>422</v>
      </c>
      <c r="BD31" s="4" t="s">
        <v>347</v>
      </c>
      <c r="BE31" s="3" t="s">
        <v>91</v>
      </c>
      <c r="BF31" s="3" t="s">
        <v>468</v>
      </c>
      <c r="BG31" s="3" t="s">
        <v>331</v>
      </c>
      <c r="BH31" s="3" t="s">
        <v>332</v>
      </c>
      <c r="BI31" s="5"/>
      <c r="BJ31" s="5"/>
      <c r="BK31" s="3" t="s">
        <v>358</v>
      </c>
      <c r="BL31" s="4" t="s">
        <v>374</v>
      </c>
      <c r="BM31" s="13"/>
      <c r="BN31" s="13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3" t="s">
        <v>335</v>
      </c>
      <c r="BZ31" s="5"/>
      <c r="CA31" s="3" t="s">
        <v>91</v>
      </c>
      <c r="CB31" s="5"/>
      <c r="CC31" s="3" t="s">
        <v>40</v>
      </c>
      <c r="CD31" s="5"/>
      <c r="CE31" s="5"/>
      <c r="CF31" s="3" t="s">
        <v>336</v>
      </c>
      <c r="CG31" s="3" t="s">
        <v>337</v>
      </c>
      <c r="CH31" s="5"/>
      <c r="CI31" s="3" t="s">
        <v>474</v>
      </c>
      <c r="CJ31" s="3" t="s">
        <v>147</v>
      </c>
      <c r="CK31" s="3" t="s">
        <v>64</v>
      </c>
      <c r="CL31" s="3" t="s">
        <v>64</v>
      </c>
      <c r="CM31" s="5"/>
      <c r="CN31" s="3" t="s">
        <v>339</v>
      </c>
      <c r="CO31" s="3" t="s">
        <v>340</v>
      </c>
      <c r="CP31" s="5"/>
      <c r="CQ31" s="3" t="s">
        <v>425</v>
      </c>
      <c r="CR31" s="3" t="s">
        <v>416</v>
      </c>
      <c r="CS31" s="3" t="s">
        <v>410</v>
      </c>
      <c r="CT31" s="3" t="s">
        <v>44</v>
      </c>
      <c r="CU31" s="5"/>
      <c r="CV31" s="5"/>
      <c r="CW31" s="4" t="s">
        <v>399</v>
      </c>
      <c r="CX31" s="5"/>
      <c r="CY31" s="14"/>
    </row>
    <row r="32" ht="12" customHeight="1" spans="1:103" x14ac:dyDescent="0.25">
      <c r="A32" s="11" t="s">
        <v>105</v>
      </c>
      <c r="B32" s="3" t="s">
        <v>589</v>
      </c>
      <c r="C32" s="5">
        <v>2</v>
      </c>
      <c r="D32" s="5">
        <v>2</v>
      </c>
      <c r="E32" s="5"/>
      <c r="F32" s="5">
        <v>0</v>
      </c>
      <c r="G32" s="5">
        <v>1</v>
      </c>
      <c r="H32" s="5">
        <v>0</v>
      </c>
      <c r="I32" s="5">
        <v>1</v>
      </c>
      <c r="J32" s="5">
        <v>3</v>
      </c>
      <c r="K32" s="3" t="s">
        <v>44</v>
      </c>
      <c r="L32" s="3" t="s">
        <v>45</v>
      </c>
      <c r="M32" s="3" t="s">
        <v>31</v>
      </c>
      <c r="N32" s="3" t="s">
        <v>32</v>
      </c>
      <c r="O32" s="3" t="s">
        <v>35</v>
      </c>
      <c r="P32" s="3" t="s">
        <v>40</v>
      </c>
      <c r="Q32" s="3" t="s">
        <v>317</v>
      </c>
      <c r="R32" s="4" t="s">
        <v>30</v>
      </c>
      <c r="S32" s="3" t="s">
        <v>36</v>
      </c>
      <c r="T32" s="3" t="s">
        <v>50</v>
      </c>
      <c r="U32" s="3" t="s">
        <v>36</v>
      </c>
      <c r="V32" s="4" t="s">
        <v>318</v>
      </c>
      <c r="W32" s="3" t="s">
        <v>317</v>
      </c>
      <c r="X32" s="5"/>
      <c r="Y32" s="5"/>
      <c r="Z32" s="5"/>
      <c r="AA32" s="3" t="s">
        <v>590</v>
      </c>
      <c r="AB32" s="3" t="s">
        <v>591</v>
      </c>
      <c r="AC32" s="12">
        <v>12745.2</v>
      </c>
      <c r="AD32" s="12">
        <v>18945.2</v>
      </c>
      <c r="AE32" s="3" t="s">
        <v>320</v>
      </c>
      <c r="AF32" s="3"/>
      <c r="AG32" s="5"/>
      <c r="AH32" s="3" t="s">
        <v>256</v>
      </c>
      <c r="AI32" s="5" t="s">
        <v>320</v>
      </c>
      <c r="AJ32" s="5"/>
      <c r="AK32" s="5"/>
      <c r="AL32" s="5"/>
      <c r="AM32" s="3" t="s">
        <v>553</v>
      </c>
      <c r="AN32" s="3" t="s">
        <v>554</v>
      </c>
      <c r="AO32" s="3" t="s">
        <v>592</v>
      </c>
      <c r="AP32" s="3" t="s">
        <v>324</v>
      </c>
      <c r="AQ32" s="5"/>
      <c r="AR32" s="5"/>
      <c r="AS32" s="5"/>
      <c r="AT32" s="5"/>
      <c r="AU32" s="5"/>
      <c r="AV32" s="5"/>
      <c r="AW32" s="5">
        <v>0</v>
      </c>
      <c r="AX32" s="3" t="s">
        <v>44</v>
      </c>
      <c r="AY32" s="5"/>
      <c r="AZ32" s="3" t="s">
        <v>593</v>
      </c>
      <c r="BA32" s="5" t="s">
        <v>594</v>
      </c>
      <c r="BB32" s="3" t="s">
        <v>327</v>
      </c>
      <c r="BC32" s="4" t="s">
        <v>595</v>
      </c>
      <c r="BD32" s="4" t="s">
        <v>356</v>
      </c>
      <c r="BE32" s="3" t="s">
        <v>91</v>
      </c>
      <c r="BF32" s="3" t="s">
        <v>596</v>
      </c>
      <c r="BG32" s="3" t="s">
        <v>331</v>
      </c>
      <c r="BH32" s="3" t="s">
        <v>332</v>
      </c>
      <c r="BI32" s="5"/>
      <c r="BJ32" s="5"/>
      <c r="BK32" s="3" t="s">
        <v>358</v>
      </c>
      <c r="BL32" s="4" t="s">
        <v>346</v>
      </c>
      <c r="BM32" s="13"/>
      <c r="BN32" s="13">
        <v>1</v>
      </c>
      <c r="BO32" s="13"/>
      <c r="BP32" s="13">
        <v>1</v>
      </c>
      <c r="BQ32" s="13"/>
      <c r="BR32" s="13"/>
      <c r="BS32" s="13"/>
      <c r="BT32" s="13"/>
      <c r="BU32" s="13"/>
      <c r="BV32" s="13"/>
      <c r="BW32" s="13"/>
      <c r="BX32" s="13"/>
      <c r="BY32" s="3" t="s">
        <v>335</v>
      </c>
      <c r="BZ32" s="5"/>
      <c r="CA32" s="3" t="s">
        <v>91</v>
      </c>
      <c r="CB32" s="5"/>
      <c r="CC32" s="3" t="s">
        <v>40</v>
      </c>
      <c r="CD32" s="5"/>
      <c r="CE32" s="5"/>
      <c r="CF32" s="3" t="s">
        <v>336</v>
      </c>
      <c r="CG32" s="3" t="s">
        <v>337</v>
      </c>
      <c r="CH32" s="5"/>
      <c r="CI32" s="3" t="s">
        <v>597</v>
      </c>
      <c r="CJ32" s="3" t="s">
        <v>107</v>
      </c>
      <c r="CK32" s="3" t="s">
        <v>108</v>
      </c>
      <c r="CL32" s="3" t="s">
        <v>108</v>
      </c>
      <c r="CM32" s="5"/>
      <c r="CN32" s="3" t="s">
        <v>339</v>
      </c>
      <c r="CO32" s="3" t="s">
        <v>340</v>
      </c>
      <c r="CP32" s="5"/>
      <c r="CQ32" s="3" t="s">
        <v>598</v>
      </c>
      <c r="CR32" s="3" t="s">
        <v>599</v>
      </c>
      <c r="CS32" s="3" t="s">
        <v>590</v>
      </c>
      <c r="CT32" s="3" t="s">
        <v>44</v>
      </c>
      <c r="CU32" s="5"/>
      <c r="CV32" s="5"/>
      <c r="CW32" s="4" t="s">
        <v>399</v>
      </c>
      <c r="CX32" s="5"/>
      <c r="CY32" s="14"/>
    </row>
    <row r="33" ht="12" customHeight="1" spans="1:103" x14ac:dyDescent="0.25">
      <c r="A33" s="11" t="s">
        <v>169</v>
      </c>
      <c r="B33" s="3" t="s">
        <v>409</v>
      </c>
      <c r="C33" s="5">
        <v>1</v>
      </c>
      <c r="D33" s="5">
        <v>1</v>
      </c>
      <c r="E33" s="5"/>
      <c r="F33" s="5">
        <v>0</v>
      </c>
      <c r="G33" s="5">
        <v>0</v>
      </c>
      <c r="H33" s="5">
        <v>0</v>
      </c>
      <c r="I33" s="5">
        <v>1</v>
      </c>
      <c r="J33" s="5">
        <v>2</v>
      </c>
      <c r="K33" s="3" t="s">
        <v>44</v>
      </c>
      <c r="L33" s="3" t="s">
        <v>45</v>
      </c>
      <c r="M33" s="3" t="s">
        <v>31</v>
      </c>
      <c r="N33" s="3" t="s">
        <v>32</v>
      </c>
      <c r="O33" s="3" t="s">
        <v>35</v>
      </c>
      <c r="P33" s="3" t="s">
        <v>40</v>
      </c>
      <c r="Q33" s="3" t="s">
        <v>317</v>
      </c>
      <c r="R33" s="4" t="s">
        <v>30</v>
      </c>
      <c r="S33" s="3" t="s">
        <v>36</v>
      </c>
      <c r="T33" s="3" t="s">
        <v>50</v>
      </c>
      <c r="U33" s="3" t="s">
        <v>36</v>
      </c>
      <c r="V33" s="4" t="s">
        <v>318</v>
      </c>
      <c r="W33" s="3" t="s">
        <v>317</v>
      </c>
      <c r="X33" s="5"/>
      <c r="Y33" s="5"/>
      <c r="Z33" s="5"/>
      <c r="AA33" s="3" t="s">
        <v>600</v>
      </c>
      <c r="AB33" s="3" t="s">
        <v>601</v>
      </c>
      <c r="AC33" s="12">
        <v>6215</v>
      </c>
      <c r="AD33" s="12">
        <v>10215</v>
      </c>
      <c r="AE33" s="3" t="s">
        <v>320</v>
      </c>
      <c r="AF33" s="3" t="s">
        <v>253</v>
      </c>
      <c r="AG33" s="5"/>
      <c r="AH33" s="3" t="s">
        <v>256</v>
      </c>
      <c r="AI33" s="5" t="s">
        <v>320</v>
      </c>
      <c r="AJ33" s="5"/>
      <c r="AK33" s="5"/>
      <c r="AL33" s="5"/>
      <c r="AM33" s="3" t="s">
        <v>428</v>
      </c>
      <c r="AN33" s="3" t="s">
        <v>429</v>
      </c>
      <c r="AO33" s="3" t="s">
        <v>602</v>
      </c>
      <c r="AP33" s="3" t="s">
        <v>324</v>
      </c>
      <c r="AQ33" s="5"/>
      <c r="AR33" s="5"/>
      <c r="AS33" s="5"/>
      <c r="AT33" s="5"/>
      <c r="AU33" s="5"/>
      <c r="AV33" s="5"/>
      <c r="AW33" s="5">
        <v>0</v>
      </c>
      <c r="AX33" s="3" t="s">
        <v>44</v>
      </c>
      <c r="AY33" s="5"/>
      <c r="AZ33" s="3" t="s">
        <v>603</v>
      </c>
      <c r="BA33" s="5" t="s">
        <v>604</v>
      </c>
      <c r="BB33" s="3" t="s">
        <v>327</v>
      </c>
      <c r="BC33" s="4" t="s">
        <v>595</v>
      </c>
      <c r="BD33" s="4" t="s">
        <v>346</v>
      </c>
      <c r="BE33" s="3" t="s">
        <v>91</v>
      </c>
      <c r="BF33" s="3" t="s">
        <v>605</v>
      </c>
      <c r="BG33" s="3" t="s">
        <v>331</v>
      </c>
      <c r="BH33" s="3" t="s">
        <v>332</v>
      </c>
      <c r="BI33" s="5"/>
      <c r="BJ33" s="5"/>
      <c r="BK33" s="3" t="s">
        <v>358</v>
      </c>
      <c r="BL33" s="4" t="s">
        <v>346</v>
      </c>
      <c r="BM33" s="13"/>
      <c r="BN33" s="13"/>
      <c r="BO33" s="13"/>
      <c r="BP33" s="13">
        <v>1</v>
      </c>
      <c r="BQ33" s="13"/>
      <c r="BR33" s="13"/>
      <c r="BS33" s="13"/>
      <c r="BT33" s="13"/>
      <c r="BU33" s="13"/>
      <c r="BV33" s="13"/>
      <c r="BW33" s="13"/>
      <c r="BX33" s="13"/>
      <c r="BY33" s="3" t="s">
        <v>335</v>
      </c>
      <c r="BZ33" s="5"/>
      <c r="CA33" s="3" t="s">
        <v>91</v>
      </c>
      <c r="CB33" s="5"/>
      <c r="CC33" s="3" t="s">
        <v>40</v>
      </c>
      <c r="CD33" s="5"/>
      <c r="CE33" s="5"/>
      <c r="CF33" s="3" t="s">
        <v>336</v>
      </c>
      <c r="CG33" s="3" t="s">
        <v>337</v>
      </c>
      <c r="CH33" s="5"/>
      <c r="CI33" s="3" t="s">
        <v>606</v>
      </c>
      <c r="CJ33" s="3" t="s">
        <v>170</v>
      </c>
      <c r="CK33" s="3" t="s">
        <v>171</v>
      </c>
      <c r="CL33" s="3" t="s">
        <v>171</v>
      </c>
      <c r="CM33" s="5"/>
      <c r="CN33" s="3" t="s">
        <v>339</v>
      </c>
      <c r="CO33" s="3" t="s">
        <v>340</v>
      </c>
      <c r="CP33" s="5"/>
      <c r="CQ33" s="3" t="s">
        <v>607</v>
      </c>
      <c r="CR33" s="3" t="s">
        <v>608</v>
      </c>
      <c r="CS33" s="3" t="s">
        <v>600</v>
      </c>
      <c r="CT33" s="3" t="s">
        <v>44</v>
      </c>
      <c r="CU33" s="5"/>
      <c r="CV33" s="5"/>
      <c r="CW33" s="4" t="s">
        <v>399</v>
      </c>
      <c r="CX33" s="5" t="s">
        <v>609</v>
      </c>
      <c r="CY33" s="14"/>
    </row>
    <row r="34" ht="12" customHeight="1" spans="1:103" x14ac:dyDescent="0.25">
      <c r="A34" s="11" t="s">
        <v>192</v>
      </c>
      <c r="B34" s="3" t="s">
        <v>316</v>
      </c>
      <c r="C34" s="5">
        <v>1</v>
      </c>
      <c r="D34" s="5">
        <v>1</v>
      </c>
      <c r="E34" s="5"/>
      <c r="F34" s="5">
        <v>0</v>
      </c>
      <c r="G34" s="5">
        <v>1</v>
      </c>
      <c r="H34" s="5">
        <v>0</v>
      </c>
      <c r="I34" s="5">
        <v>0</v>
      </c>
      <c r="J34" s="5">
        <v>1</v>
      </c>
      <c r="K34" s="3" t="s">
        <v>44</v>
      </c>
      <c r="L34" s="3" t="s">
        <v>45</v>
      </c>
      <c r="M34" s="3" t="s">
        <v>31</v>
      </c>
      <c r="N34" s="3" t="s">
        <v>32</v>
      </c>
      <c r="O34" s="3" t="s">
        <v>35</v>
      </c>
      <c r="P34" s="3" t="s">
        <v>40</v>
      </c>
      <c r="Q34" s="3" t="s">
        <v>317</v>
      </c>
      <c r="R34" s="4" t="s">
        <v>30</v>
      </c>
      <c r="S34" s="3" t="s">
        <v>36</v>
      </c>
      <c r="T34" s="3" t="s">
        <v>50</v>
      </c>
      <c r="U34" s="3" t="s">
        <v>36</v>
      </c>
      <c r="V34" s="4" t="s">
        <v>318</v>
      </c>
      <c r="W34" s="3" t="s">
        <v>317</v>
      </c>
      <c r="X34" s="5"/>
      <c r="Y34" s="5"/>
      <c r="Z34" s="5"/>
      <c r="AA34" s="3" t="s">
        <v>610</v>
      </c>
      <c r="AB34" s="3" t="s">
        <v>611</v>
      </c>
      <c r="AC34" s="12">
        <v>11353.71</v>
      </c>
      <c r="AD34" s="12">
        <v>13553.71</v>
      </c>
      <c r="AE34" s="3" t="s">
        <v>320</v>
      </c>
      <c r="AF34" s="3" t="s">
        <v>253</v>
      </c>
      <c r="AG34" s="5"/>
      <c r="AH34" s="3" t="s">
        <v>256</v>
      </c>
      <c r="AI34" s="5" t="s">
        <v>320</v>
      </c>
      <c r="AJ34" s="5"/>
      <c r="AK34" s="5"/>
      <c r="AL34" s="5"/>
      <c r="AM34" s="3" t="s">
        <v>386</v>
      </c>
      <c r="AN34" s="3" t="s">
        <v>387</v>
      </c>
      <c r="AO34" s="3" t="s">
        <v>612</v>
      </c>
      <c r="AP34" s="3" t="s">
        <v>324</v>
      </c>
      <c r="AQ34" s="5"/>
      <c r="AR34" s="5"/>
      <c r="AS34" s="5"/>
      <c r="AT34" s="5"/>
      <c r="AU34" s="5"/>
      <c r="AV34" s="5"/>
      <c r="AW34" s="5">
        <v>0</v>
      </c>
      <c r="AX34" s="3" t="s">
        <v>44</v>
      </c>
      <c r="AY34" s="5"/>
      <c r="AZ34" s="3" t="s">
        <v>419</v>
      </c>
      <c r="BA34" s="5" t="s">
        <v>613</v>
      </c>
      <c r="BB34" s="3" t="s">
        <v>327</v>
      </c>
      <c r="BC34" s="4" t="s">
        <v>334</v>
      </c>
      <c r="BD34" s="4" t="s">
        <v>399</v>
      </c>
      <c r="BE34" s="3" t="s">
        <v>91</v>
      </c>
      <c r="BF34" s="3" t="s">
        <v>614</v>
      </c>
      <c r="BG34" s="3" t="s">
        <v>331</v>
      </c>
      <c r="BH34" s="3" t="s">
        <v>332</v>
      </c>
      <c r="BI34" s="5"/>
      <c r="BJ34" s="5"/>
      <c r="BK34" s="3" t="s">
        <v>358</v>
      </c>
      <c r="BL34" s="4" t="s">
        <v>374</v>
      </c>
      <c r="BM34" s="13"/>
      <c r="BN34" s="13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3" t="s">
        <v>335</v>
      </c>
      <c r="BZ34" s="5"/>
      <c r="CA34" s="3" t="s">
        <v>91</v>
      </c>
      <c r="CB34" s="5"/>
      <c r="CC34" s="3" t="s">
        <v>40</v>
      </c>
      <c r="CD34" s="5"/>
      <c r="CE34" s="5"/>
      <c r="CF34" s="3" t="s">
        <v>336</v>
      </c>
      <c r="CG34" s="3" t="s">
        <v>337</v>
      </c>
      <c r="CH34" s="5"/>
      <c r="CI34" s="3" t="s">
        <v>615</v>
      </c>
      <c r="CJ34" s="3" t="s">
        <v>193</v>
      </c>
      <c r="CK34" s="3" t="s">
        <v>194</v>
      </c>
      <c r="CL34" s="3" t="s">
        <v>194</v>
      </c>
      <c r="CM34" s="5"/>
      <c r="CN34" s="3" t="s">
        <v>339</v>
      </c>
      <c r="CO34" s="3" t="s">
        <v>340</v>
      </c>
      <c r="CP34" s="5"/>
      <c r="CQ34" s="3" t="s">
        <v>616</v>
      </c>
      <c r="CR34" s="3" t="s">
        <v>617</v>
      </c>
      <c r="CS34" s="3" t="s">
        <v>610</v>
      </c>
      <c r="CT34" s="3" t="s">
        <v>44</v>
      </c>
      <c r="CU34" s="5"/>
      <c r="CV34" s="5"/>
      <c r="CW34" s="4" t="s">
        <v>399</v>
      </c>
      <c r="CX34" s="5"/>
      <c r="CY34" s="14"/>
    </row>
    <row r="35" ht="12" customHeight="1" spans="1:103" x14ac:dyDescent="0.25">
      <c r="A35" s="11" t="s">
        <v>152</v>
      </c>
      <c r="B35" s="3" t="s">
        <v>409</v>
      </c>
      <c r="C35" s="5">
        <v>1</v>
      </c>
      <c r="D35" s="5">
        <v>1</v>
      </c>
      <c r="E35" s="5"/>
      <c r="F35" s="5">
        <v>0</v>
      </c>
      <c r="G35" s="5">
        <v>0</v>
      </c>
      <c r="H35" s="5">
        <v>0</v>
      </c>
      <c r="I35" s="5">
        <v>1</v>
      </c>
      <c r="J35" s="5">
        <v>2</v>
      </c>
      <c r="K35" s="3" t="s">
        <v>44</v>
      </c>
      <c r="L35" s="3" t="s">
        <v>45</v>
      </c>
      <c r="M35" s="3" t="s">
        <v>31</v>
      </c>
      <c r="N35" s="3" t="s">
        <v>32</v>
      </c>
      <c r="O35" s="3" t="s">
        <v>35</v>
      </c>
      <c r="P35" s="3" t="s">
        <v>40</v>
      </c>
      <c r="Q35" s="3" t="s">
        <v>317</v>
      </c>
      <c r="R35" s="4" t="s">
        <v>30</v>
      </c>
      <c r="S35" s="3" t="s">
        <v>66</v>
      </c>
      <c r="T35" s="3" t="s">
        <v>72</v>
      </c>
      <c r="U35" s="3" t="s">
        <v>66</v>
      </c>
      <c r="V35" s="4" t="s">
        <v>438</v>
      </c>
      <c r="W35" s="3" t="s">
        <v>317</v>
      </c>
      <c r="X35" s="5"/>
      <c r="Y35" s="5"/>
      <c r="Z35" s="5"/>
      <c r="AA35" s="3" t="s">
        <v>154</v>
      </c>
      <c r="AB35" s="3" t="s">
        <v>618</v>
      </c>
      <c r="AC35" s="12">
        <v>16431</v>
      </c>
      <c r="AD35" s="12">
        <v>20431</v>
      </c>
      <c r="AE35" s="3" t="s">
        <v>320</v>
      </c>
      <c r="AF35" s="3"/>
      <c r="AG35" s="5"/>
      <c r="AH35" s="3" t="s">
        <v>256</v>
      </c>
      <c r="AI35" s="5" t="s">
        <v>320</v>
      </c>
      <c r="AJ35" s="5"/>
      <c r="AK35" s="5"/>
      <c r="AL35" s="5"/>
      <c r="AM35" s="3" t="s">
        <v>553</v>
      </c>
      <c r="AN35" s="3" t="s">
        <v>554</v>
      </c>
      <c r="AO35" s="3" t="s">
        <v>619</v>
      </c>
      <c r="AP35" s="3" t="s">
        <v>324</v>
      </c>
      <c r="AQ35" s="5"/>
      <c r="AR35" s="5"/>
      <c r="AS35" s="5"/>
      <c r="AT35" s="5"/>
      <c r="AU35" s="5"/>
      <c r="AV35" s="5"/>
      <c r="AW35" s="5">
        <v>0</v>
      </c>
      <c r="AX35" s="3" t="s">
        <v>44</v>
      </c>
      <c r="AY35" s="5"/>
      <c r="AZ35" s="3" t="s">
        <v>620</v>
      </c>
      <c r="BA35" s="5" t="s">
        <v>621</v>
      </c>
      <c r="BB35" s="3" t="s">
        <v>327</v>
      </c>
      <c r="BC35" s="4" t="s">
        <v>329</v>
      </c>
      <c r="BD35" s="4" t="s">
        <v>534</v>
      </c>
      <c r="BE35" s="3" t="s">
        <v>91</v>
      </c>
      <c r="BF35" s="3" t="s">
        <v>622</v>
      </c>
      <c r="BG35" s="3" t="s">
        <v>331</v>
      </c>
      <c r="BH35" s="3" t="s">
        <v>332</v>
      </c>
      <c r="BI35" s="5"/>
      <c r="BJ35" s="5"/>
      <c r="BK35" s="3" t="s">
        <v>358</v>
      </c>
      <c r="BL35" s="4" t="s">
        <v>356</v>
      </c>
      <c r="BM35" s="13"/>
      <c r="BN35" s="13"/>
      <c r="BO35" s="13"/>
      <c r="BP35" s="13">
        <v>1</v>
      </c>
      <c r="BQ35" s="13"/>
      <c r="BR35" s="13"/>
      <c r="BS35" s="13"/>
      <c r="BT35" s="13"/>
      <c r="BU35" s="13"/>
      <c r="BV35" s="13"/>
      <c r="BW35" s="13"/>
      <c r="BX35" s="13"/>
      <c r="BY35" s="3" t="s">
        <v>335</v>
      </c>
      <c r="BZ35" s="5"/>
      <c r="CA35" s="3" t="s">
        <v>91</v>
      </c>
      <c r="CB35" s="5"/>
      <c r="CC35" s="3" t="s">
        <v>40</v>
      </c>
      <c r="CD35" s="5"/>
      <c r="CE35" s="5"/>
      <c r="CF35" s="3" t="s">
        <v>336</v>
      </c>
      <c r="CG35" s="3" t="s">
        <v>337</v>
      </c>
      <c r="CH35" s="5"/>
      <c r="CI35" s="3" t="s">
        <v>623</v>
      </c>
      <c r="CJ35" s="3" t="s">
        <v>154</v>
      </c>
      <c r="CK35" s="3" t="s">
        <v>155</v>
      </c>
      <c r="CL35" s="3" t="s">
        <v>156</v>
      </c>
      <c r="CM35" s="5"/>
      <c r="CN35" s="3" t="s">
        <v>339</v>
      </c>
      <c r="CO35" s="3" t="s">
        <v>340</v>
      </c>
      <c r="CP35" s="5"/>
      <c r="CQ35" s="3" t="s">
        <v>624</v>
      </c>
      <c r="CR35" s="3" t="s">
        <v>625</v>
      </c>
      <c r="CS35" s="3" t="s">
        <v>154</v>
      </c>
      <c r="CT35" s="3" t="s">
        <v>44</v>
      </c>
      <c r="CU35" s="5"/>
      <c r="CV35" s="5"/>
      <c r="CW35" s="4" t="s">
        <v>343</v>
      </c>
      <c r="CX35" s="5"/>
      <c r="CY35" s="14"/>
    </row>
    <row r="36" ht="12" customHeight="1" spans="1:103" x14ac:dyDescent="0.25">
      <c r="A36" s="11" t="s">
        <v>116</v>
      </c>
      <c r="B36" s="3" t="s">
        <v>626</v>
      </c>
      <c r="C36" s="5">
        <v>1</v>
      </c>
      <c r="D36" s="5">
        <v>1</v>
      </c>
      <c r="E36" s="5"/>
      <c r="F36" s="5">
        <v>0</v>
      </c>
      <c r="G36" s="5">
        <v>0</v>
      </c>
      <c r="H36" s="5">
        <v>0</v>
      </c>
      <c r="I36" s="5">
        <v>1</v>
      </c>
      <c r="J36" s="5">
        <v>2</v>
      </c>
      <c r="K36" s="3" t="s">
        <v>44</v>
      </c>
      <c r="L36" s="3" t="s">
        <v>45</v>
      </c>
      <c r="M36" s="3" t="s">
        <v>31</v>
      </c>
      <c r="N36" s="3" t="s">
        <v>32</v>
      </c>
      <c r="O36" s="3" t="s">
        <v>35</v>
      </c>
      <c r="P36" s="3" t="s">
        <v>40</v>
      </c>
      <c r="Q36" s="3" t="s">
        <v>317</v>
      </c>
      <c r="R36" s="4" t="s">
        <v>30</v>
      </c>
      <c r="S36" s="3" t="s">
        <v>88</v>
      </c>
      <c r="T36" s="3" t="s">
        <v>120</v>
      </c>
      <c r="U36" s="3" t="s">
        <v>88</v>
      </c>
      <c r="V36" s="4" t="s">
        <v>400</v>
      </c>
      <c r="W36" s="3" t="s">
        <v>401</v>
      </c>
      <c r="X36" s="5"/>
      <c r="Y36" s="5"/>
      <c r="Z36" s="5"/>
      <c r="AA36" s="3" t="s">
        <v>627</v>
      </c>
      <c r="AB36" s="3" t="s">
        <v>628</v>
      </c>
      <c r="AC36" s="12">
        <v>15785</v>
      </c>
      <c r="AD36" s="12">
        <v>19785</v>
      </c>
      <c r="AE36" s="3" t="s">
        <v>320</v>
      </c>
      <c r="AF36" s="3" t="s">
        <v>253</v>
      </c>
      <c r="AG36" s="5"/>
      <c r="AH36" s="3" t="s">
        <v>256</v>
      </c>
      <c r="AI36" s="5"/>
      <c r="AJ36" s="5"/>
      <c r="AK36" s="5"/>
      <c r="AL36" s="5"/>
      <c r="AM36" s="3" t="s">
        <v>366</v>
      </c>
      <c r="AN36" s="3" t="s">
        <v>367</v>
      </c>
      <c r="AO36" s="3" t="s">
        <v>629</v>
      </c>
      <c r="AP36" s="3" t="s">
        <v>324</v>
      </c>
      <c r="AQ36" s="5"/>
      <c r="AR36" s="5"/>
      <c r="AS36" s="5" t="s">
        <v>469</v>
      </c>
      <c r="AT36" s="5" t="s">
        <v>630</v>
      </c>
      <c r="AU36" s="5"/>
      <c r="AV36" s="5"/>
      <c r="AW36" s="5">
        <v>0</v>
      </c>
      <c r="AX36" s="3" t="s">
        <v>44</v>
      </c>
      <c r="AY36" s="5"/>
      <c r="AZ36" s="3" t="s">
        <v>631</v>
      </c>
      <c r="BA36" s="5" t="s">
        <v>632</v>
      </c>
      <c r="BB36" s="3" t="s">
        <v>327</v>
      </c>
      <c r="BC36" s="4" t="s">
        <v>346</v>
      </c>
      <c r="BD36" s="4" t="s">
        <v>356</v>
      </c>
      <c r="BE36" s="3" t="s">
        <v>91</v>
      </c>
      <c r="BF36" s="3" t="s">
        <v>633</v>
      </c>
      <c r="BG36" s="3" t="s">
        <v>331</v>
      </c>
      <c r="BH36" s="3" t="s">
        <v>332</v>
      </c>
      <c r="BI36" s="5"/>
      <c r="BJ36" s="5"/>
      <c r="BK36" s="3" t="s">
        <v>358</v>
      </c>
      <c r="BL36" s="4" t="s">
        <v>356</v>
      </c>
      <c r="BM36" s="13"/>
      <c r="BN36" s="13"/>
      <c r="BO36" s="13"/>
      <c r="BP36" s="13"/>
      <c r="BQ36" s="13"/>
      <c r="BR36" s="13">
        <v>1</v>
      </c>
      <c r="BS36" s="13"/>
      <c r="BT36" s="13"/>
      <c r="BU36" s="13"/>
      <c r="BV36" s="13"/>
      <c r="BW36" s="13"/>
      <c r="BX36" s="13"/>
      <c r="BY36" s="3" t="s">
        <v>335</v>
      </c>
      <c r="BZ36" s="5"/>
      <c r="CA36" s="3" t="s">
        <v>91</v>
      </c>
      <c r="CB36" s="5"/>
      <c r="CC36" s="3" t="s">
        <v>40</v>
      </c>
      <c r="CD36" s="5"/>
      <c r="CE36" s="5"/>
      <c r="CF36" s="3" t="s">
        <v>336</v>
      </c>
      <c r="CG36" s="3" t="s">
        <v>337</v>
      </c>
      <c r="CH36" s="5"/>
      <c r="CI36" s="3" t="s">
        <v>634</v>
      </c>
      <c r="CJ36" s="3" t="s">
        <v>118</v>
      </c>
      <c r="CK36" s="3" t="s">
        <v>119</v>
      </c>
      <c r="CL36" s="3" t="s">
        <v>119</v>
      </c>
      <c r="CM36" s="5"/>
      <c r="CN36" s="3" t="s">
        <v>339</v>
      </c>
      <c r="CO36" s="3" t="s">
        <v>340</v>
      </c>
      <c r="CP36" s="5" t="s">
        <v>635</v>
      </c>
      <c r="CQ36" s="3" t="s">
        <v>636</v>
      </c>
      <c r="CR36" s="3" t="s">
        <v>637</v>
      </c>
      <c r="CS36" s="3" t="s">
        <v>627</v>
      </c>
      <c r="CT36" s="3" t="s">
        <v>44</v>
      </c>
      <c r="CU36" s="5"/>
      <c r="CV36" s="5"/>
      <c r="CW36" s="4" t="s">
        <v>343</v>
      </c>
      <c r="CX36" s="5"/>
      <c r="CY36" s="14"/>
    </row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5" t="s">
        <v>638</v>
      </c>
      <c r="B1" s="15" t="s">
        <v>13</v>
      </c>
      <c r="C1" s="15" t="s">
        <v>639</v>
      </c>
      <c r="D1" s="15" t="s">
        <v>640</v>
      </c>
      <c r="E1" s="15" t="s">
        <v>641</v>
      </c>
      <c r="F1" s="15" t="s">
        <v>642</v>
      </c>
      <c r="G1" s="15" t="s">
        <v>22</v>
      </c>
      <c r="H1" s="15" t="s">
        <v>643</v>
      </c>
      <c r="I1" s="15" t="s">
        <v>20</v>
      </c>
      <c r="J1" s="15" t="s">
        <v>644</v>
      </c>
      <c r="K1" s="15" t="s">
        <v>645</v>
      </c>
      <c r="L1" s="15" t="s">
        <v>10</v>
      </c>
      <c r="M1" s="15" t="s">
        <v>646</v>
      </c>
      <c r="N1" s="15" t="s">
        <v>647</v>
      </c>
      <c r="O1" s="15" t="s">
        <v>648</v>
      </c>
      <c r="P1" s="15" t="s">
        <v>649</v>
      </c>
      <c r="Q1" s="15" t="s">
        <v>650</v>
      </c>
      <c r="R1" s="15" t="s">
        <v>2</v>
      </c>
      <c r="S1" s="15" t="s">
        <v>3</v>
      </c>
      <c r="T1" s="15" t="s">
        <v>651</v>
      </c>
      <c r="U1" s="15" t="s">
        <v>237</v>
      </c>
      <c r="V1" s="15" t="s">
        <v>652</v>
      </c>
      <c r="W1" s="15" t="s">
        <v>241</v>
      </c>
      <c r="X1" s="15" t="s">
        <v>653</v>
      </c>
      <c r="Y1" s="15" t="s">
        <v>233</v>
      </c>
      <c r="Z1" s="15" t="s">
        <v>654</v>
      </c>
      <c r="AA1" s="15" t="s">
        <v>655</v>
      </c>
      <c r="AB1" s="15" t="s">
        <v>656</v>
      </c>
      <c r="AC1" s="15" t="s">
        <v>657</v>
      </c>
      <c r="AD1" s="15" t="s">
        <v>658</v>
      </c>
      <c r="AE1" s="15" t="s">
        <v>659</v>
      </c>
      <c r="AF1" s="15" t="s">
        <v>660</v>
      </c>
      <c r="AG1" s="15" t="s">
        <v>661</v>
      </c>
      <c r="AH1" s="15" t="s">
        <v>662</v>
      </c>
      <c r="AI1" s="15" t="s">
        <v>663</v>
      </c>
      <c r="AJ1" s="15" t="s">
        <v>664</v>
      </c>
      <c r="AK1" s="15" t="s">
        <v>665</v>
      </c>
    </row>
    <row r="2" ht="12" customHeight="1" spans="1:37" x14ac:dyDescent="0.25">
      <c r="A2" s="16" t="s">
        <v>29</v>
      </c>
      <c r="B2" s="16" t="s">
        <v>40</v>
      </c>
      <c r="C2" s="16" t="s">
        <v>666</v>
      </c>
      <c r="D2" s="17" t="s">
        <v>485</v>
      </c>
      <c r="E2" s="18" t="s">
        <v>667</v>
      </c>
      <c r="F2" s="3" t="s">
        <v>43</v>
      </c>
      <c r="G2" s="3" t="s">
        <v>319</v>
      </c>
      <c r="H2" s="19" t="s">
        <v>33</v>
      </c>
      <c r="I2" s="3"/>
      <c r="J2" s="3" t="s">
        <v>668</v>
      </c>
      <c r="K2" s="3" t="s">
        <v>34</v>
      </c>
      <c r="L2" s="19" t="s">
        <v>669</v>
      </c>
      <c r="M2" s="3" t="s">
        <v>43</v>
      </c>
      <c r="N2" s="3" t="s">
        <v>670</v>
      </c>
      <c r="O2" s="19" t="s">
        <v>671</v>
      </c>
      <c r="P2" s="19"/>
      <c r="Q2" s="19"/>
      <c r="R2" s="3"/>
      <c r="S2" s="3"/>
      <c r="T2" s="3" t="s">
        <v>40</v>
      </c>
      <c r="U2" s="3" t="s">
        <v>35</v>
      </c>
      <c r="V2" s="4" t="s">
        <v>30</v>
      </c>
      <c r="W2" s="3" t="s">
        <v>36</v>
      </c>
      <c r="X2" s="4" t="s">
        <v>318</v>
      </c>
      <c r="Y2" s="5"/>
      <c r="Z2" s="5"/>
      <c r="AA2" s="5"/>
      <c r="AB2" s="5"/>
      <c r="AC2" s="5"/>
      <c r="AD2" s="4" t="s">
        <v>345</v>
      </c>
      <c r="AE2" s="20" t="s">
        <v>672</v>
      </c>
      <c r="AF2" s="3" t="s">
        <v>673</v>
      </c>
      <c r="AG2" s="5"/>
      <c r="AH2" s="5"/>
      <c r="AI2" s="5"/>
      <c r="AJ2" s="3" t="s">
        <v>49</v>
      </c>
      <c r="AK2" s="21">
        <v>0</v>
      </c>
    </row>
    <row r="3" ht="12" customHeight="1" spans="1:37" x14ac:dyDescent="0.25">
      <c r="A3" s="16" t="s">
        <v>51</v>
      </c>
      <c r="B3" s="16" t="s">
        <v>40</v>
      </c>
      <c r="C3" s="16" t="s">
        <v>666</v>
      </c>
      <c r="D3" s="17" t="s">
        <v>485</v>
      </c>
      <c r="E3" s="18" t="s">
        <v>674</v>
      </c>
      <c r="F3" s="3" t="s">
        <v>53</v>
      </c>
      <c r="G3" s="3" t="s">
        <v>319</v>
      </c>
      <c r="H3" s="19" t="s">
        <v>33</v>
      </c>
      <c r="I3" s="3"/>
      <c r="J3" s="3" t="s">
        <v>668</v>
      </c>
      <c r="K3" s="3" t="s">
        <v>34</v>
      </c>
      <c r="L3" s="19" t="s">
        <v>669</v>
      </c>
      <c r="M3" s="3" t="s">
        <v>53</v>
      </c>
      <c r="N3" s="3" t="s">
        <v>670</v>
      </c>
      <c r="O3" s="19" t="s">
        <v>675</v>
      </c>
      <c r="P3" s="19"/>
      <c r="Q3" s="19"/>
      <c r="R3" s="3"/>
      <c r="S3" s="3"/>
      <c r="T3" s="3" t="s">
        <v>40</v>
      </c>
      <c r="U3" s="3" t="s">
        <v>35</v>
      </c>
      <c r="V3" s="4" t="s">
        <v>30</v>
      </c>
      <c r="W3" s="3" t="s">
        <v>36</v>
      </c>
      <c r="X3" s="4" t="s">
        <v>318</v>
      </c>
      <c r="Y3" s="5"/>
      <c r="Z3" s="5"/>
      <c r="AA3" s="5"/>
      <c r="AB3" s="5"/>
      <c r="AC3" s="5"/>
      <c r="AD3" s="4" t="s">
        <v>345</v>
      </c>
      <c r="AE3" s="20" t="s">
        <v>672</v>
      </c>
      <c r="AF3" s="3" t="s">
        <v>673</v>
      </c>
      <c r="AG3" s="5"/>
      <c r="AH3" s="5"/>
      <c r="AI3" s="5"/>
      <c r="AJ3" s="3" t="s">
        <v>49</v>
      </c>
      <c r="AK3" s="21">
        <v>0</v>
      </c>
    </row>
    <row r="4" ht="12" customHeight="1" spans="1:37" x14ac:dyDescent="0.25">
      <c r="A4" s="16" t="s">
        <v>55</v>
      </c>
      <c r="B4" s="16" t="s">
        <v>40</v>
      </c>
      <c r="C4" s="16" t="s">
        <v>666</v>
      </c>
      <c r="D4" s="17" t="s">
        <v>347</v>
      </c>
      <c r="E4" s="18" t="s">
        <v>676</v>
      </c>
      <c r="F4" s="3" t="s">
        <v>56</v>
      </c>
      <c r="G4" s="3" t="s">
        <v>58</v>
      </c>
      <c r="H4" s="19" t="s">
        <v>33</v>
      </c>
      <c r="I4" s="3"/>
      <c r="J4" s="3" t="s">
        <v>677</v>
      </c>
      <c r="K4" s="3" t="s">
        <v>34</v>
      </c>
      <c r="L4" s="19" t="s">
        <v>669</v>
      </c>
      <c r="M4" s="3" t="s">
        <v>56</v>
      </c>
      <c r="N4" s="3" t="s">
        <v>678</v>
      </c>
      <c r="O4" s="19" t="s">
        <v>679</v>
      </c>
      <c r="P4" s="19"/>
      <c r="Q4" s="19"/>
      <c r="R4" s="3"/>
      <c r="S4" s="3"/>
      <c r="T4" s="3" t="s">
        <v>40</v>
      </c>
      <c r="U4" s="3" t="s">
        <v>35</v>
      </c>
      <c r="V4" s="4" t="s">
        <v>30</v>
      </c>
      <c r="W4" s="3" t="s">
        <v>36</v>
      </c>
      <c r="X4" s="4" t="s">
        <v>318</v>
      </c>
      <c r="Y4" s="5"/>
      <c r="Z4" s="5"/>
      <c r="AA4" s="5"/>
      <c r="AB4" s="5"/>
      <c r="AC4" s="5"/>
      <c r="AD4" s="4" t="s">
        <v>356</v>
      </c>
      <c r="AE4" s="20" t="s">
        <v>680</v>
      </c>
      <c r="AF4" s="3" t="s">
        <v>681</v>
      </c>
      <c r="AG4" s="5"/>
      <c r="AH4" s="5"/>
      <c r="AI4" s="5"/>
      <c r="AJ4" s="3" t="s">
        <v>59</v>
      </c>
      <c r="AK4" s="21">
        <v>0</v>
      </c>
    </row>
    <row r="5" ht="12" customHeight="1" spans="1:37" x14ac:dyDescent="0.25">
      <c r="A5" s="16" t="s">
        <v>60</v>
      </c>
      <c r="B5" s="16" t="s">
        <v>40</v>
      </c>
      <c r="C5" s="16" t="s">
        <v>666</v>
      </c>
      <c r="D5" s="17" t="s">
        <v>485</v>
      </c>
      <c r="E5" s="18" t="s">
        <v>682</v>
      </c>
      <c r="F5" s="3" t="s">
        <v>61</v>
      </c>
      <c r="G5" s="3" t="s">
        <v>410</v>
      </c>
      <c r="H5" s="19" t="s">
        <v>33</v>
      </c>
      <c r="I5" s="3"/>
      <c r="J5" s="3" t="s">
        <v>668</v>
      </c>
      <c r="K5" s="3" t="s">
        <v>34</v>
      </c>
      <c r="L5" s="19" t="s">
        <v>669</v>
      </c>
      <c r="M5" s="3" t="s">
        <v>61</v>
      </c>
      <c r="N5" s="3" t="s">
        <v>670</v>
      </c>
      <c r="O5" s="19" t="s">
        <v>683</v>
      </c>
      <c r="P5" s="19"/>
      <c r="Q5" s="19"/>
      <c r="R5" s="3"/>
      <c r="S5" s="3"/>
      <c r="T5" s="3" t="s">
        <v>40</v>
      </c>
      <c r="U5" s="3" t="s">
        <v>35</v>
      </c>
      <c r="V5" s="4" t="s">
        <v>30</v>
      </c>
      <c r="W5" s="3" t="s">
        <v>36</v>
      </c>
      <c r="X5" s="4" t="s">
        <v>318</v>
      </c>
      <c r="Y5" s="5"/>
      <c r="Z5" s="5"/>
      <c r="AA5" s="5"/>
      <c r="AB5" s="5"/>
      <c r="AC5" s="5"/>
      <c r="AD5" s="4" t="s">
        <v>345</v>
      </c>
      <c r="AE5" s="20" t="s">
        <v>672</v>
      </c>
      <c r="AF5" s="3" t="s">
        <v>673</v>
      </c>
      <c r="AG5" s="5"/>
      <c r="AH5" s="5"/>
      <c r="AI5" s="5"/>
      <c r="AJ5" s="3" t="s">
        <v>64</v>
      </c>
      <c r="AK5" s="21">
        <v>0</v>
      </c>
    </row>
    <row r="6" ht="12" customHeight="1" spans="1:37" x14ac:dyDescent="0.25">
      <c r="A6" s="16" t="s">
        <v>65</v>
      </c>
      <c r="B6" s="16" t="s">
        <v>40</v>
      </c>
      <c r="C6" s="16" t="s">
        <v>666</v>
      </c>
      <c r="D6" s="17" t="s">
        <v>347</v>
      </c>
      <c r="E6" s="18" t="s">
        <v>684</v>
      </c>
      <c r="F6" s="3" t="s">
        <v>67</v>
      </c>
      <c r="G6" s="3" t="s">
        <v>439</v>
      </c>
      <c r="H6" s="19" t="s">
        <v>33</v>
      </c>
      <c r="I6" s="3"/>
      <c r="J6" s="3" t="s">
        <v>668</v>
      </c>
      <c r="K6" s="3" t="s">
        <v>34</v>
      </c>
      <c r="L6" s="19" t="s">
        <v>669</v>
      </c>
      <c r="M6" s="3" t="s">
        <v>67</v>
      </c>
      <c r="N6" s="3" t="s">
        <v>685</v>
      </c>
      <c r="O6" s="19" t="s">
        <v>686</v>
      </c>
      <c r="P6" s="19"/>
      <c r="Q6" s="19"/>
      <c r="R6" s="3"/>
      <c r="S6" s="3"/>
      <c r="T6" s="3" t="s">
        <v>40</v>
      </c>
      <c r="U6" s="3" t="s">
        <v>35</v>
      </c>
      <c r="V6" s="4" t="s">
        <v>30</v>
      </c>
      <c r="W6" s="3" t="s">
        <v>66</v>
      </c>
      <c r="X6" s="4" t="s">
        <v>438</v>
      </c>
      <c r="Y6" s="5"/>
      <c r="Z6" s="5"/>
      <c r="AA6" s="5"/>
      <c r="AB6" s="5"/>
      <c r="AC6" s="5"/>
      <c r="AD6" s="4" t="s">
        <v>345</v>
      </c>
      <c r="AE6" s="20" t="s">
        <v>672</v>
      </c>
      <c r="AF6" s="3" t="s">
        <v>673</v>
      </c>
      <c r="AG6" s="5"/>
      <c r="AH6" s="5"/>
      <c r="AI6" s="5"/>
      <c r="AJ6" s="3" t="s">
        <v>70</v>
      </c>
      <c r="AK6" s="21">
        <v>0</v>
      </c>
    </row>
    <row r="7" ht="12" customHeight="1" spans="1:37" x14ac:dyDescent="0.25">
      <c r="A7" s="16" t="s">
        <v>73</v>
      </c>
      <c r="B7" s="16" t="s">
        <v>40</v>
      </c>
      <c r="C7" s="16" t="s">
        <v>666</v>
      </c>
      <c r="D7" s="17" t="s">
        <v>347</v>
      </c>
      <c r="E7" s="18" t="s">
        <v>687</v>
      </c>
      <c r="F7" s="3" t="s">
        <v>74</v>
      </c>
      <c r="G7" s="3" t="s">
        <v>426</v>
      </c>
      <c r="H7" s="19" t="s">
        <v>33</v>
      </c>
      <c r="I7" s="3"/>
      <c r="J7" s="3" t="s">
        <v>668</v>
      </c>
      <c r="K7" s="3" t="s">
        <v>34</v>
      </c>
      <c r="L7" s="19" t="s">
        <v>669</v>
      </c>
      <c r="M7" s="3" t="s">
        <v>74</v>
      </c>
      <c r="N7" s="3" t="s">
        <v>670</v>
      </c>
      <c r="O7" s="19" t="s">
        <v>688</v>
      </c>
      <c r="P7" s="19"/>
      <c r="Q7" s="19"/>
      <c r="R7" s="3"/>
      <c r="S7" s="3"/>
      <c r="T7" s="3" t="s">
        <v>40</v>
      </c>
      <c r="U7" s="3" t="s">
        <v>35</v>
      </c>
      <c r="V7" s="4" t="s">
        <v>30</v>
      </c>
      <c r="W7" s="3" t="s">
        <v>36</v>
      </c>
      <c r="X7" s="4" t="s">
        <v>318</v>
      </c>
      <c r="Y7" s="5"/>
      <c r="Z7" s="5"/>
      <c r="AA7" s="5"/>
      <c r="AB7" s="5"/>
      <c r="AC7" s="5"/>
      <c r="AD7" s="4" t="s">
        <v>345</v>
      </c>
      <c r="AE7" s="20" t="s">
        <v>672</v>
      </c>
      <c r="AF7" s="3" t="s">
        <v>673</v>
      </c>
      <c r="AG7" s="5"/>
      <c r="AH7" s="5"/>
      <c r="AI7" s="5"/>
      <c r="AJ7" s="3" t="s">
        <v>77</v>
      </c>
      <c r="AK7" s="21">
        <v>0</v>
      </c>
    </row>
    <row r="8" ht="12" customHeight="1" spans="1:37" x14ac:dyDescent="0.25">
      <c r="A8" s="16" t="s">
        <v>78</v>
      </c>
      <c r="B8" s="16" t="s">
        <v>40</v>
      </c>
      <c r="C8" s="16" t="s">
        <v>666</v>
      </c>
      <c r="D8" s="17" t="s">
        <v>347</v>
      </c>
      <c r="E8" s="18" t="s">
        <v>689</v>
      </c>
      <c r="F8" s="3" t="s">
        <v>79</v>
      </c>
      <c r="G8" s="3" t="s">
        <v>410</v>
      </c>
      <c r="H8" s="19" t="s">
        <v>33</v>
      </c>
      <c r="I8" s="3"/>
      <c r="J8" s="3" t="s">
        <v>668</v>
      </c>
      <c r="K8" s="3" t="s">
        <v>34</v>
      </c>
      <c r="L8" s="19" t="s">
        <v>669</v>
      </c>
      <c r="M8" s="3" t="s">
        <v>79</v>
      </c>
      <c r="N8" s="3" t="s">
        <v>670</v>
      </c>
      <c r="O8" s="19" t="s">
        <v>688</v>
      </c>
      <c r="P8" s="19"/>
      <c r="Q8" s="19"/>
      <c r="R8" s="3"/>
      <c r="S8" s="3"/>
      <c r="T8" s="3" t="s">
        <v>40</v>
      </c>
      <c r="U8" s="3" t="s">
        <v>35</v>
      </c>
      <c r="V8" s="4" t="s">
        <v>30</v>
      </c>
      <c r="W8" s="3" t="s">
        <v>36</v>
      </c>
      <c r="X8" s="4" t="s">
        <v>318</v>
      </c>
      <c r="Y8" s="5"/>
      <c r="Z8" s="5"/>
      <c r="AA8" s="5"/>
      <c r="AB8" s="5"/>
      <c r="AC8" s="5"/>
      <c r="AD8" s="4" t="s">
        <v>345</v>
      </c>
      <c r="AE8" s="20" t="s">
        <v>672</v>
      </c>
      <c r="AF8" s="3" t="s">
        <v>673</v>
      </c>
      <c r="AG8" s="5"/>
      <c r="AH8" s="5"/>
      <c r="AI8" s="5"/>
      <c r="AJ8" s="3" t="s">
        <v>64</v>
      </c>
      <c r="AK8" s="21">
        <v>0</v>
      </c>
    </row>
    <row r="9" ht="12" customHeight="1" spans="1:37" x14ac:dyDescent="0.25">
      <c r="A9" s="16" t="s">
        <v>81</v>
      </c>
      <c r="B9" s="16" t="s">
        <v>40</v>
      </c>
      <c r="C9" s="16" t="s">
        <v>666</v>
      </c>
      <c r="D9" s="17" t="s">
        <v>347</v>
      </c>
      <c r="E9" s="18" t="s">
        <v>690</v>
      </c>
      <c r="F9" s="3" t="s">
        <v>82</v>
      </c>
      <c r="G9" s="3" t="s">
        <v>84</v>
      </c>
      <c r="H9" s="19" t="s">
        <v>33</v>
      </c>
      <c r="I9" s="3"/>
      <c r="J9" s="3" t="s">
        <v>668</v>
      </c>
      <c r="K9" s="3" t="s">
        <v>34</v>
      </c>
      <c r="L9" s="19" t="s">
        <v>669</v>
      </c>
      <c r="M9" s="3" t="s">
        <v>82</v>
      </c>
      <c r="N9" s="3" t="s">
        <v>685</v>
      </c>
      <c r="O9" s="19" t="s">
        <v>691</v>
      </c>
      <c r="P9" s="19"/>
      <c r="Q9" s="19"/>
      <c r="R9" s="3"/>
      <c r="S9" s="3"/>
      <c r="T9" s="3" t="s">
        <v>40</v>
      </c>
      <c r="U9" s="3" t="s">
        <v>35</v>
      </c>
      <c r="V9" s="4" t="s">
        <v>30</v>
      </c>
      <c r="W9" s="3" t="s">
        <v>36</v>
      </c>
      <c r="X9" s="4" t="s">
        <v>318</v>
      </c>
      <c r="Y9" s="5"/>
      <c r="Z9" s="5"/>
      <c r="AA9" s="5"/>
      <c r="AB9" s="5"/>
      <c r="AC9" s="5"/>
      <c r="AD9" s="4" t="s">
        <v>345</v>
      </c>
      <c r="AE9" s="20" t="s">
        <v>672</v>
      </c>
      <c r="AF9" s="3" t="s">
        <v>673</v>
      </c>
      <c r="AG9" s="5"/>
      <c r="AH9" s="5"/>
      <c r="AI9" s="5"/>
      <c r="AJ9" s="3" t="s">
        <v>85</v>
      </c>
      <c r="AK9" s="21">
        <v>0</v>
      </c>
    </row>
    <row r="10" ht="12" customHeight="1" spans="1:37" x14ac:dyDescent="0.25">
      <c r="A10" s="16" t="s">
        <v>95</v>
      </c>
      <c r="B10" s="16" t="s">
        <v>40</v>
      </c>
      <c r="C10" s="16" t="s">
        <v>666</v>
      </c>
      <c r="D10" s="17" t="s">
        <v>374</v>
      </c>
      <c r="E10" s="18" t="s">
        <v>687</v>
      </c>
      <c r="F10" s="3" t="s">
        <v>96</v>
      </c>
      <c r="G10" s="3" t="s">
        <v>455</v>
      </c>
      <c r="H10" s="19" t="s">
        <v>33</v>
      </c>
      <c r="I10" s="3"/>
      <c r="J10" s="3" t="s">
        <v>677</v>
      </c>
      <c r="K10" s="3" t="s">
        <v>34</v>
      </c>
      <c r="L10" s="19" t="s">
        <v>669</v>
      </c>
      <c r="M10" s="3" t="s">
        <v>96</v>
      </c>
      <c r="N10" s="3" t="s">
        <v>685</v>
      </c>
      <c r="O10" s="19" t="s">
        <v>691</v>
      </c>
      <c r="P10" s="19"/>
      <c r="Q10" s="19"/>
      <c r="R10" s="3"/>
      <c r="S10" s="3"/>
      <c r="T10" s="3" t="s">
        <v>40</v>
      </c>
      <c r="U10" s="3" t="s">
        <v>35</v>
      </c>
      <c r="V10" s="4" t="s">
        <v>30</v>
      </c>
      <c r="W10" s="3" t="s">
        <v>36</v>
      </c>
      <c r="X10" s="4" t="s">
        <v>318</v>
      </c>
      <c r="Y10" s="5"/>
      <c r="Z10" s="5"/>
      <c r="AA10" s="5"/>
      <c r="AB10" s="5"/>
      <c r="AC10" s="5"/>
      <c r="AD10" s="4" t="s">
        <v>374</v>
      </c>
      <c r="AE10" s="20" t="s">
        <v>692</v>
      </c>
      <c r="AF10" s="3" t="s">
        <v>681</v>
      </c>
      <c r="AG10" s="5"/>
      <c r="AH10" s="5"/>
      <c r="AI10" s="5"/>
      <c r="AJ10" s="3" t="s">
        <v>98</v>
      </c>
      <c r="AK10" s="21">
        <v>0</v>
      </c>
    </row>
    <row r="11" ht="12" customHeight="1" spans="1:37" x14ac:dyDescent="0.25">
      <c r="A11" s="16" t="s">
        <v>99</v>
      </c>
      <c r="B11" s="16" t="s">
        <v>40</v>
      </c>
      <c r="C11" s="16" t="s">
        <v>693</v>
      </c>
      <c r="D11" s="17" t="s">
        <v>374</v>
      </c>
      <c r="E11" s="18" t="s">
        <v>694</v>
      </c>
      <c r="F11" s="3" t="s">
        <v>100</v>
      </c>
      <c r="G11" s="3" t="s">
        <v>540</v>
      </c>
      <c r="H11" s="19" t="s">
        <v>33</v>
      </c>
      <c r="I11" s="3" t="s">
        <v>695</v>
      </c>
      <c r="J11" s="3" t="s">
        <v>696</v>
      </c>
      <c r="K11" s="3" t="s">
        <v>34</v>
      </c>
      <c r="L11" s="19" t="s">
        <v>669</v>
      </c>
      <c r="M11" s="3" t="s">
        <v>100</v>
      </c>
      <c r="N11" s="3" t="s">
        <v>670</v>
      </c>
      <c r="O11" s="19" t="s">
        <v>691</v>
      </c>
      <c r="P11" s="19"/>
      <c r="Q11" s="19"/>
      <c r="R11" s="3"/>
      <c r="S11" s="3"/>
      <c r="T11" s="3" t="s">
        <v>40</v>
      </c>
      <c r="U11" s="3" t="s">
        <v>35</v>
      </c>
      <c r="V11" s="4" t="s">
        <v>30</v>
      </c>
      <c r="W11" s="3" t="s">
        <v>36</v>
      </c>
      <c r="X11" s="4" t="s">
        <v>318</v>
      </c>
      <c r="Y11" s="5"/>
      <c r="Z11" s="5"/>
      <c r="AA11" s="5"/>
      <c r="AB11" s="5"/>
      <c r="AC11" s="5"/>
      <c r="AD11" s="4" t="s">
        <v>347</v>
      </c>
      <c r="AE11" s="20" t="s">
        <v>697</v>
      </c>
      <c r="AF11" s="3" t="s">
        <v>698</v>
      </c>
      <c r="AG11" s="5"/>
      <c r="AH11" s="5"/>
      <c r="AI11" s="5"/>
      <c r="AJ11" s="3" t="s">
        <v>103</v>
      </c>
      <c r="AK11" s="21">
        <v>0</v>
      </c>
    </row>
    <row r="12" ht="12" customHeight="1" spans="1:37" x14ac:dyDescent="0.25">
      <c r="A12" s="16" t="s">
        <v>104</v>
      </c>
      <c r="B12" s="16" t="s">
        <v>40</v>
      </c>
      <c r="C12" s="16" t="s">
        <v>666</v>
      </c>
      <c r="D12" s="17" t="s">
        <v>347</v>
      </c>
      <c r="E12" s="18" t="s">
        <v>699</v>
      </c>
      <c r="F12" s="3" t="s">
        <v>105</v>
      </c>
      <c r="G12" s="3" t="s">
        <v>590</v>
      </c>
      <c r="H12" s="19" t="s">
        <v>33</v>
      </c>
      <c r="I12" s="3"/>
      <c r="J12" s="3" t="s">
        <v>668</v>
      </c>
      <c r="K12" s="3" t="s">
        <v>34</v>
      </c>
      <c r="L12" s="19" t="s">
        <v>669</v>
      </c>
      <c r="M12" s="3" t="s">
        <v>105</v>
      </c>
      <c r="N12" s="3" t="s">
        <v>700</v>
      </c>
      <c r="O12" s="19" t="s">
        <v>691</v>
      </c>
      <c r="P12" s="19"/>
      <c r="Q12" s="19"/>
      <c r="R12" s="3"/>
      <c r="S12" s="3"/>
      <c r="T12" s="3" t="s">
        <v>40</v>
      </c>
      <c r="U12" s="3" t="s">
        <v>35</v>
      </c>
      <c r="V12" s="4" t="s">
        <v>30</v>
      </c>
      <c r="W12" s="3" t="s">
        <v>36</v>
      </c>
      <c r="X12" s="4" t="s">
        <v>318</v>
      </c>
      <c r="Y12" s="5"/>
      <c r="Z12" s="5"/>
      <c r="AA12" s="5"/>
      <c r="AB12" s="5"/>
      <c r="AC12" s="5"/>
      <c r="AD12" s="4" t="s">
        <v>345</v>
      </c>
      <c r="AE12" s="20" t="s">
        <v>672</v>
      </c>
      <c r="AF12" s="3" t="s">
        <v>673</v>
      </c>
      <c r="AG12" s="5"/>
      <c r="AH12" s="5"/>
      <c r="AI12" s="5"/>
      <c r="AJ12" s="3" t="s">
        <v>108</v>
      </c>
      <c r="AK12" s="21">
        <v>0</v>
      </c>
    </row>
    <row r="13" ht="12" customHeight="1" spans="1:37" x14ac:dyDescent="0.25">
      <c r="A13" s="16" t="s">
        <v>109</v>
      </c>
      <c r="B13" s="16" t="s">
        <v>40</v>
      </c>
      <c r="C13" s="16" t="s">
        <v>666</v>
      </c>
      <c r="D13" s="17" t="s">
        <v>485</v>
      </c>
      <c r="E13" s="18" t="s">
        <v>701</v>
      </c>
      <c r="F13" s="3" t="s">
        <v>111</v>
      </c>
      <c r="G13" s="3" t="s">
        <v>439</v>
      </c>
      <c r="H13" s="19" t="s">
        <v>110</v>
      </c>
      <c r="I13" s="3"/>
      <c r="J13" s="3" t="s">
        <v>668</v>
      </c>
      <c r="K13" s="3" t="s">
        <v>34</v>
      </c>
      <c r="L13" s="19" t="s">
        <v>669</v>
      </c>
      <c r="M13" s="3" t="s">
        <v>111</v>
      </c>
      <c r="N13" s="3" t="s">
        <v>702</v>
      </c>
      <c r="O13" s="19" t="s">
        <v>703</v>
      </c>
      <c r="P13" s="19"/>
      <c r="Q13" s="19"/>
      <c r="R13" s="3"/>
      <c r="S13" s="3"/>
      <c r="T13" s="3" t="s">
        <v>40</v>
      </c>
      <c r="U13" s="3" t="s">
        <v>35</v>
      </c>
      <c r="V13" s="4" t="s">
        <v>30</v>
      </c>
      <c r="W13" s="3" t="s">
        <v>36</v>
      </c>
      <c r="X13" s="4" t="s">
        <v>318</v>
      </c>
      <c r="Y13" s="5"/>
      <c r="Z13" s="5"/>
      <c r="AA13" s="5"/>
      <c r="AB13" s="5"/>
      <c r="AC13" s="5"/>
      <c r="AD13" s="4" t="s">
        <v>345</v>
      </c>
      <c r="AE13" s="20" t="s">
        <v>672</v>
      </c>
      <c r="AF13" s="3" t="s">
        <v>673</v>
      </c>
      <c r="AG13" s="5"/>
      <c r="AH13" s="5"/>
      <c r="AI13" s="5"/>
      <c r="AJ13" s="3" t="s">
        <v>113</v>
      </c>
      <c r="AK13" s="21">
        <v>0</v>
      </c>
    </row>
    <row r="14" ht="12" customHeight="1" spans="1:37" x14ac:dyDescent="0.25">
      <c r="A14" s="16" t="s">
        <v>114</v>
      </c>
      <c r="B14" s="16" t="s">
        <v>40</v>
      </c>
      <c r="C14" s="16" t="s">
        <v>666</v>
      </c>
      <c r="D14" s="17" t="s">
        <v>399</v>
      </c>
      <c r="E14" s="18" t="s">
        <v>704</v>
      </c>
      <c r="F14" s="3" t="s">
        <v>116</v>
      </c>
      <c r="G14" s="3" t="s">
        <v>627</v>
      </c>
      <c r="H14" s="19" t="s">
        <v>115</v>
      </c>
      <c r="I14" s="3"/>
      <c r="J14" s="3" t="s">
        <v>677</v>
      </c>
      <c r="K14" s="3" t="s">
        <v>34</v>
      </c>
      <c r="L14" s="19" t="s">
        <v>669</v>
      </c>
      <c r="M14" s="3" t="s">
        <v>116</v>
      </c>
      <c r="N14" s="3" t="s">
        <v>705</v>
      </c>
      <c r="O14" s="19" t="s">
        <v>691</v>
      </c>
      <c r="P14" s="19" t="s">
        <v>706</v>
      </c>
      <c r="Q14" s="19" t="s">
        <v>707</v>
      </c>
      <c r="R14" s="3"/>
      <c r="S14" s="3"/>
      <c r="T14" s="3" t="s">
        <v>40</v>
      </c>
      <c r="U14" s="3" t="s">
        <v>35</v>
      </c>
      <c r="V14" s="4" t="s">
        <v>30</v>
      </c>
      <c r="W14" s="3" t="s">
        <v>88</v>
      </c>
      <c r="X14" s="4" t="s">
        <v>400</v>
      </c>
      <c r="Y14" s="5"/>
      <c r="Z14" s="5"/>
      <c r="AA14" s="5"/>
      <c r="AB14" s="5"/>
      <c r="AC14" s="5"/>
      <c r="AD14" s="4" t="s">
        <v>343</v>
      </c>
      <c r="AE14" s="20" t="s">
        <v>708</v>
      </c>
      <c r="AF14" s="3" t="s">
        <v>681</v>
      </c>
      <c r="AG14" s="5"/>
      <c r="AH14" s="5"/>
      <c r="AI14" s="5"/>
      <c r="AJ14" s="3" t="s">
        <v>119</v>
      </c>
      <c r="AK14" s="21">
        <v>0</v>
      </c>
    </row>
    <row r="15" ht="12" customHeight="1" spans="1:37" x14ac:dyDescent="0.25">
      <c r="A15" s="16" t="s">
        <v>121</v>
      </c>
      <c r="B15" s="16" t="s">
        <v>40</v>
      </c>
      <c r="C15" s="16" t="s">
        <v>666</v>
      </c>
      <c r="D15" s="17" t="s">
        <v>709</v>
      </c>
      <c r="E15" s="18" t="s">
        <v>710</v>
      </c>
      <c r="F15" s="3" t="s">
        <v>122</v>
      </c>
      <c r="G15" s="3" t="s">
        <v>552</v>
      </c>
      <c r="H15" s="19" t="s">
        <v>110</v>
      </c>
      <c r="I15" s="3"/>
      <c r="J15" s="3" t="s">
        <v>668</v>
      </c>
      <c r="K15" s="3" t="s">
        <v>34</v>
      </c>
      <c r="L15" s="19" t="s">
        <v>669</v>
      </c>
      <c r="M15" s="3" t="s">
        <v>122</v>
      </c>
      <c r="N15" s="3" t="s">
        <v>711</v>
      </c>
      <c r="O15" s="19" t="s">
        <v>688</v>
      </c>
      <c r="P15" s="19"/>
      <c r="Q15" s="19"/>
      <c r="R15" s="3"/>
      <c r="S15" s="3"/>
      <c r="T15" s="3" t="s">
        <v>40</v>
      </c>
      <c r="U15" s="3" t="s">
        <v>35</v>
      </c>
      <c r="V15" s="4" t="s">
        <v>30</v>
      </c>
      <c r="W15" s="3" t="s">
        <v>36</v>
      </c>
      <c r="X15" s="4" t="s">
        <v>318</v>
      </c>
      <c r="Y15" s="5"/>
      <c r="Z15" s="5"/>
      <c r="AA15" s="5"/>
      <c r="AB15" s="5"/>
      <c r="AC15" s="5"/>
      <c r="AD15" s="4" t="s">
        <v>346</v>
      </c>
      <c r="AE15" s="20" t="s">
        <v>712</v>
      </c>
      <c r="AF15" s="3" t="s">
        <v>673</v>
      </c>
      <c r="AG15" s="5"/>
      <c r="AH15" s="5"/>
      <c r="AI15" s="5"/>
      <c r="AJ15" s="3" t="s">
        <v>125</v>
      </c>
      <c r="AK15" s="21">
        <v>0</v>
      </c>
    </row>
    <row r="16" ht="12" customHeight="1" spans="1:37" x14ac:dyDescent="0.25">
      <c r="A16" s="16" t="s">
        <v>126</v>
      </c>
      <c r="B16" s="16" t="s">
        <v>40</v>
      </c>
      <c r="C16" s="16" t="s">
        <v>693</v>
      </c>
      <c r="D16" s="17" t="s">
        <v>356</v>
      </c>
      <c r="E16" s="18" t="s">
        <v>713</v>
      </c>
      <c r="F16" s="3" t="s">
        <v>127</v>
      </c>
      <c r="G16" s="3" t="s">
        <v>410</v>
      </c>
      <c r="H16" s="19" t="s">
        <v>110</v>
      </c>
      <c r="I16" s="3"/>
      <c r="J16" s="3" t="s">
        <v>677</v>
      </c>
      <c r="K16" s="3" t="s">
        <v>34</v>
      </c>
      <c r="L16" s="19" t="s">
        <v>669</v>
      </c>
      <c r="M16" s="3" t="s">
        <v>127</v>
      </c>
      <c r="N16" s="3" t="s">
        <v>714</v>
      </c>
      <c r="O16" s="19" t="s">
        <v>688</v>
      </c>
      <c r="P16" s="19"/>
      <c r="Q16" s="19"/>
      <c r="R16" s="3"/>
      <c r="S16" s="3"/>
      <c r="T16" s="3" t="s">
        <v>40</v>
      </c>
      <c r="U16" s="3" t="s">
        <v>35</v>
      </c>
      <c r="V16" s="4" t="s">
        <v>30</v>
      </c>
      <c r="W16" s="3" t="s">
        <v>36</v>
      </c>
      <c r="X16" s="4" t="s">
        <v>318</v>
      </c>
      <c r="Y16" s="5"/>
      <c r="Z16" s="5"/>
      <c r="AA16" s="5"/>
      <c r="AB16" s="5"/>
      <c r="AC16" s="5"/>
      <c r="AD16" s="4" t="s">
        <v>343</v>
      </c>
      <c r="AE16" s="20" t="s">
        <v>715</v>
      </c>
      <c r="AF16" s="3" t="s">
        <v>681</v>
      </c>
      <c r="AG16" s="5"/>
      <c r="AH16" s="5"/>
      <c r="AI16" s="5"/>
      <c r="AJ16" s="3" t="s">
        <v>64</v>
      </c>
      <c r="AK16" s="21">
        <v>0</v>
      </c>
    </row>
    <row r="17" ht="12" customHeight="1" spans="1:37" x14ac:dyDescent="0.25">
      <c r="A17" s="16" t="s">
        <v>129</v>
      </c>
      <c r="B17" s="16" t="s">
        <v>40</v>
      </c>
      <c r="C17" s="16" t="s">
        <v>666</v>
      </c>
      <c r="D17" s="17" t="s">
        <v>346</v>
      </c>
      <c r="E17" s="18" t="s">
        <v>716</v>
      </c>
      <c r="F17" s="3" t="s">
        <v>122</v>
      </c>
      <c r="G17" s="3" t="s">
        <v>552</v>
      </c>
      <c r="H17" s="19" t="s">
        <v>110</v>
      </c>
      <c r="I17" s="3"/>
      <c r="J17" s="3" t="s">
        <v>677</v>
      </c>
      <c r="K17" s="3" t="s">
        <v>34</v>
      </c>
      <c r="L17" s="19" t="s">
        <v>669</v>
      </c>
      <c r="M17" s="3" t="s">
        <v>122</v>
      </c>
      <c r="N17" s="3" t="s">
        <v>711</v>
      </c>
      <c r="O17" s="19" t="s">
        <v>688</v>
      </c>
      <c r="P17" s="19"/>
      <c r="Q17" s="19"/>
      <c r="R17" s="3"/>
      <c r="S17" s="3"/>
      <c r="T17" s="3" t="s">
        <v>40</v>
      </c>
      <c r="U17" s="3" t="s">
        <v>35</v>
      </c>
      <c r="V17" s="4" t="s">
        <v>30</v>
      </c>
      <c r="W17" s="3" t="s">
        <v>36</v>
      </c>
      <c r="X17" s="4" t="s">
        <v>318</v>
      </c>
      <c r="Y17" s="5"/>
      <c r="Z17" s="5"/>
      <c r="AA17" s="5"/>
      <c r="AB17" s="5"/>
      <c r="AC17" s="5"/>
      <c r="AD17" s="4" t="s">
        <v>374</v>
      </c>
      <c r="AE17" s="20" t="s">
        <v>717</v>
      </c>
      <c r="AF17" s="3" t="s">
        <v>681</v>
      </c>
      <c r="AG17" s="5"/>
      <c r="AH17" s="5"/>
      <c r="AI17" s="5"/>
      <c r="AJ17" s="3" t="s">
        <v>125</v>
      </c>
      <c r="AK17" s="21">
        <v>0</v>
      </c>
    </row>
    <row r="18" ht="12" customHeight="1" spans="1:37" x14ac:dyDescent="0.25">
      <c r="A18" s="16" t="s">
        <v>131</v>
      </c>
      <c r="B18" s="16" t="s">
        <v>40</v>
      </c>
      <c r="C18" s="16" t="s">
        <v>693</v>
      </c>
      <c r="D18" s="17" t="s">
        <v>494</v>
      </c>
      <c r="E18" s="18" t="s">
        <v>718</v>
      </c>
      <c r="F18" s="3" t="s">
        <v>132</v>
      </c>
      <c r="G18" s="3" t="s">
        <v>449</v>
      </c>
      <c r="H18" s="19" t="s">
        <v>110</v>
      </c>
      <c r="I18" s="3"/>
      <c r="J18" s="3" t="s">
        <v>668</v>
      </c>
      <c r="K18" s="3" t="s">
        <v>34</v>
      </c>
      <c r="L18" s="19" t="s">
        <v>669</v>
      </c>
      <c r="M18" s="3" t="s">
        <v>132</v>
      </c>
      <c r="N18" s="3" t="s">
        <v>719</v>
      </c>
      <c r="O18" s="19" t="s">
        <v>691</v>
      </c>
      <c r="P18" s="19"/>
      <c r="Q18" s="19"/>
      <c r="R18" s="3"/>
      <c r="S18" s="3"/>
      <c r="T18" s="3" t="s">
        <v>40</v>
      </c>
      <c r="U18" s="3" t="s">
        <v>35</v>
      </c>
      <c r="V18" s="4" t="s">
        <v>30</v>
      </c>
      <c r="W18" s="3" t="s">
        <v>36</v>
      </c>
      <c r="X18" s="4" t="s">
        <v>318</v>
      </c>
      <c r="Y18" s="5"/>
      <c r="Z18" s="5"/>
      <c r="AA18" s="5"/>
      <c r="AB18" s="5"/>
      <c r="AC18" s="5"/>
      <c r="AD18" s="4" t="s">
        <v>30</v>
      </c>
      <c r="AE18" s="20" t="s">
        <v>720</v>
      </c>
      <c r="AF18" s="3" t="s">
        <v>673</v>
      </c>
      <c r="AG18" s="5"/>
      <c r="AH18" s="5"/>
      <c r="AI18" s="5"/>
      <c r="AJ18" s="3" t="s">
        <v>135</v>
      </c>
      <c r="AK18" s="21">
        <v>0</v>
      </c>
    </row>
    <row r="19" ht="12" customHeight="1" spans="1:37" x14ac:dyDescent="0.25">
      <c r="A19" s="16" t="s">
        <v>136</v>
      </c>
      <c r="B19" s="16" t="s">
        <v>40</v>
      </c>
      <c r="C19" s="16" t="s">
        <v>666</v>
      </c>
      <c r="D19" s="17" t="s">
        <v>709</v>
      </c>
      <c r="E19" s="18" t="s">
        <v>721</v>
      </c>
      <c r="F19" s="3" t="s">
        <v>122</v>
      </c>
      <c r="G19" s="3" t="s">
        <v>552</v>
      </c>
      <c r="H19" s="19" t="s">
        <v>110</v>
      </c>
      <c r="I19" s="3"/>
      <c r="J19" s="3" t="s">
        <v>668</v>
      </c>
      <c r="K19" s="3" t="s">
        <v>34</v>
      </c>
      <c r="L19" s="19" t="s">
        <v>669</v>
      </c>
      <c r="M19" s="3" t="s">
        <v>122</v>
      </c>
      <c r="N19" s="3" t="s">
        <v>711</v>
      </c>
      <c r="O19" s="19" t="s">
        <v>691</v>
      </c>
      <c r="P19" s="19"/>
      <c r="Q19" s="19"/>
      <c r="R19" s="3"/>
      <c r="S19" s="3"/>
      <c r="T19" s="3" t="s">
        <v>40</v>
      </c>
      <c r="U19" s="3" t="s">
        <v>35</v>
      </c>
      <c r="V19" s="4" t="s">
        <v>30</v>
      </c>
      <c r="W19" s="3" t="s">
        <v>36</v>
      </c>
      <c r="X19" s="4" t="s">
        <v>318</v>
      </c>
      <c r="Y19" s="5"/>
      <c r="Z19" s="5"/>
      <c r="AA19" s="5"/>
      <c r="AB19" s="5"/>
      <c r="AC19" s="5"/>
      <c r="AD19" s="4" t="s">
        <v>346</v>
      </c>
      <c r="AE19" s="20" t="s">
        <v>712</v>
      </c>
      <c r="AF19" s="3" t="s">
        <v>673</v>
      </c>
      <c r="AG19" s="5"/>
      <c r="AH19" s="5"/>
      <c r="AI19" s="5"/>
      <c r="AJ19" s="3" t="s">
        <v>125</v>
      </c>
      <c r="AK19" s="21">
        <v>0</v>
      </c>
    </row>
    <row r="20" ht="12" customHeight="1" spans="1:37" x14ac:dyDescent="0.25">
      <c r="A20" s="16" t="s">
        <v>138</v>
      </c>
      <c r="B20" s="16" t="s">
        <v>40</v>
      </c>
      <c r="C20" s="16" t="s">
        <v>666</v>
      </c>
      <c r="D20" s="17" t="s">
        <v>346</v>
      </c>
      <c r="E20" s="18" t="s">
        <v>722</v>
      </c>
      <c r="F20" s="3" t="s">
        <v>122</v>
      </c>
      <c r="G20" s="3" t="s">
        <v>552</v>
      </c>
      <c r="H20" s="19" t="s">
        <v>110</v>
      </c>
      <c r="I20" s="3"/>
      <c r="J20" s="3" t="s">
        <v>677</v>
      </c>
      <c r="K20" s="3" t="s">
        <v>34</v>
      </c>
      <c r="L20" s="19" t="s">
        <v>669</v>
      </c>
      <c r="M20" s="3" t="s">
        <v>122</v>
      </c>
      <c r="N20" s="3" t="s">
        <v>711</v>
      </c>
      <c r="O20" s="19" t="s">
        <v>691</v>
      </c>
      <c r="P20" s="19"/>
      <c r="Q20" s="19"/>
      <c r="R20" s="3"/>
      <c r="S20" s="3"/>
      <c r="T20" s="3" t="s">
        <v>40</v>
      </c>
      <c r="U20" s="3" t="s">
        <v>35</v>
      </c>
      <c r="V20" s="4" t="s">
        <v>30</v>
      </c>
      <c r="W20" s="3" t="s">
        <v>36</v>
      </c>
      <c r="X20" s="4" t="s">
        <v>318</v>
      </c>
      <c r="Y20" s="5"/>
      <c r="Z20" s="5"/>
      <c r="AA20" s="5"/>
      <c r="AB20" s="5"/>
      <c r="AC20" s="5"/>
      <c r="AD20" s="4" t="s">
        <v>374</v>
      </c>
      <c r="AE20" s="20" t="s">
        <v>717</v>
      </c>
      <c r="AF20" s="3" t="s">
        <v>681</v>
      </c>
      <c r="AG20" s="5"/>
      <c r="AH20" s="5"/>
      <c r="AI20" s="5"/>
      <c r="AJ20" s="3" t="s">
        <v>125</v>
      </c>
      <c r="AK20" s="21">
        <v>0</v>
      </c>
    </row>
    <row r="21" ht="12" customHeight="1" spans="1:37" x14ac:dyDescent="0.25">
      <c r="A21" s="16" t="s">
        <v>140</v>
      </c>
      <c r="B21" s="16" t="s">
        <v>40</v>
      </c>
      <c r="C21" s="16" t="s">
        <v>666</v>
      </c>
      <c r="D21" s="17" t="s">
        <v>709</v>
      </c>
      <c r="E21" s="18" t="s">
        <v>723</v>
      </c>
      <c r="F21" s="3" t="s">
        <v>122</v>
      </c>
      <c r="G21" s="3" t="s">
        <v>552</v>
      </c>
      <c r="H21" s="19" t="s">
        <v>110</v>
      </c>
      <c r="I21" s="3"/>
      <c r="J21" s="3" t="s">
        <v>668</v>
      </c>
      <c r="K21" s="3" t="s">
        <v>34</v>
      </c>
      <c r="L21" s="19" t="s">
        <v>669</v>
      </c>
      <c r="M21" s="3" t="s">
        <v>122</v>
      </c>
      <c r="N21" s="3" t="s">
        <v>711</v>
      </c>
      <c r="O21" s="19" t="s">
        <v>691</v>
      </c>
      <c r="P21" s="19"/>
      <c r="Q21" s="19"/>
      <c r="R21" s="3"/>
      <c r="S21" s="3"/>
      <c r="T21" s="3" t="s">
        <v>40</v>
      </c>
      <c r="U21" s="3" t="s">
        <v>35</v>
      </c>
      <c r="V21" s="4" t="s">
        <v>30</v>
      </c>
      <c r="W21" s="3" t="s">
        <v>36</v>
      </c>
      <c r="X21" s="4" t="s">
        <v>318</v>
      </c>
      <c r="Y21" s="5"/>
      <c r="Z21" s="5"/>
      <c r="AA21" s="5"/>
      <c r="AB21" s="5"/>
      <c r="AC21" s="5"/>
      <c r="AD21" s="4" t="s">
        <v>346</v>
      </c>
      <c r="AE21" s="20" t="s">
        <v>712</v>
      </c>
      <c r="AF21" s="3" t="s">
        <v>673</v>
      </c>
      <c r="AG21" s="5"/>
      <c r="AH21" s="5"/>
      <c r="AI21" s="5"/>
      <c r="AJ21" s="3" t="s">
        <v>125</v>
      </c>
      <c r="AK21" s="21">
        <v>0</v>
      </c>
    </row>
    <row r="22" ht="12" customHeight="1" spans="1:37" x14ac:dyDescent="0.25">
      <c r="A22" s="16" t="s">
        <v>141</v>
      </c>
      <c r="B22" s="16" t="s">
        <v>40</v>
      </c>
      <c r="C22" s="16" t="s">
        <v>666</v>
      </c>
      <c r="D22" s="17" t="s">
        <v>346</v>
      </c>
      <c r="E22" s="18" t="s">
        <v>724</v>
      </c>
      <c r="F22" s="3" t="s">
        <v>122</v>
      </c>
      <c r="G22" s="3" t="s">
        <v>552</v>
      </c>
      <c r="H22" s="19" t="s">
        <v>110</v>
      </c>
      <c r="I22" s="3"/>
      <c r="J22" s="3" t="s">
        <v>677</v>
      </c>
      <c r="K22" s="3" t="s">
        <v>34</v>
      </c>
      <c r="L22" s="19" t="s">
        <v>669</v>
      </c>
      <c r="M22" s="3" t="s">
        <v>122</v>
      </c>
      <c r="N22" s="3" t="s">
        <v>711</v>
      </c>
      <c r="O22" s="19" t="s">
        <v>691</v>
      </c>
      <c r="P22" s="19"/>
      <c r="Q22" s="19"/>
      <c r="R22" s="3"/>
      <c r="S22" s="3"/>
      <c r="T22" s="3" t="s">
        <v>40</v>
      </c>
      <c r="U22" s="3" t="s">
        <v>35</v>
      </c>
      <c r="V22" s="4" t="s">
        <v>30</v>
      </c>
      <c r="W22" s="3" t="s">
        <v>36</v>
      </c>
      <c r="X22" s="4" t="s">
        <v>318</v>
      </c>
      <c r="Y22" s="5"/>
      <c r="Z22" s="5"/>
      <c r="AA22" s="5"/>
      <c r="AB22" s="5"/>
      <c r="AC22" s="5"/>
      <c r="AD22" s="4" t="s">
        <v>346</v>
      </c>
      <c r="AE22" s="20" t="s">
        <v>725</v>
      </c>
      <c r="AF22" s="3" t="s">
        <v>681</v>
      </c>
      <c r="AG22" s="5"/>
      <c r="AH22" s="5"/>
      <c r="AI22" s="5"/>
      <c r="AJ22" s="3" t="s">
        <v>125</v>
      </c>
      <c r="AK22" s="21">
        <v>0</v>
      </c>
    </row>
    <row r="23" ht="12" customHeight="1" spans="1:37" x14ac:dyDescent="0.25">
      <c r="A23" s="16" t="s">
        <v>142</v>
      </c>
      <c r="B23" s="16" t="s">
        <v>40</v>
      </c>
      <c r="C23" s="16" t="s">
        <v>666</v>
      </c>
      <c r="D23" s="17" t="s">
        <v>347</v>
      </c>
      <c r="E23" s="18" t="s">
        <v>726</v>
      </c>
      <c r="F23" s="3" t="s">
        <v>145</v>
      </c>
      <c r="G23" s="3" t="s">
        <v>410</v>
      </c>
      <c r="H23" s="19" t="s">
        <v>143</v>
      </c>
      <c r="I23" s="3"/>
      <c r="J23" s="3" t="s">
        <v>668</v>
      </c>
      <c r="K23" s="3" t="s">
        <v>34</v>
      </c>
      <c r="L23" s="19" t="s">
        <v>669</v>
      </c>
      <c r="M23" s="3" t="s">
        <v>145</v>
      </c>
      <c r="N23" s="3" t="s">
        <v>727</v>
      </c>
      <c r="O23" s="19" t="s">
        <v>683</v>
      </c>
      <c r="P23" s="19" t="s">
        <v>706</v>
      </c>
      <c r="Q23" s="19" t="s">
        <v>728</v>
      </c>
      <c r="R23" s="3"/>
      <c r="S23" s="3"/>
      <c r="T23" s="3" t="s">
        <v>40</v>
      </c>
      <c r="U23" s="3" t="s">
        <v>35</v>
      </c>
      <c r="V23" s="4" t="s">
        <v>30</v>
      </c>
      <c r="W23" s="3" t="s">
        <v>36</v>
      </c>
      <c r="X23" s="4" t="s">
        <v>318</v>
      </c>
      <c r="Y23" s="5"/>
      <c r="Z23" s="5"/>
      <c r="AA23" s="5"/>
      <c r="AB23" s="5"/>
      <c r="AC23" s="5"/>
      <c r="AD23" s="4" t="s">
        <v>345</v>
      </c>
      <c r="AE23" s="20" t="s">
        <v>672</v>
      </c>
      <c r="AF23" s="3" t="s">
        <v>673</v>
      </c>
      <c r="AG23" s="5"/>
      <c r="AH23" s="5"/>
      <c r="AI23" s="5"/>
      <c r="AJ23" s="3" t="s">
        <v>64</v>
      </c>
      <c r="AK23" s="21">
        <v>0</v>
      </c>
    </row>
    <row r="24" ht="12" customHeight="1" spans="1:37" x14ac:dyDescent="0.25">
      <c r="A24" s="16" t="s">
        <v>148</v>
      </c>
      <c r="B24" s="16" t="s">
        <v>40</v>
      </c>
      <c r="C24" s="16" t="s">
        <v>666</v>
      </c>
      <c r="D24" s="17" t="s">
        <v>347</v>
      </c>
      <c r="E24" s="18" t="s">
        <v>729</v>
      </c>
      <c r="F24" s="3" t="s">
        <v>149</v>
      </c>
      <c r="G24" s="3" t="s">
        <v>410</v>
      </c>
      <c r="H24" s="19" t="s">
        <v>143</v>
      </c>
      <c r="I24" s="3"/>
      <c r="J24" s="3" t="s">
        <v>668</v>
      </c>
      <c r="K24" s="3" t="s">
        <v>34</v>
      </c>
      <c r="L24" s="19" t="s">
        <v>669</v>
      </c>
      <c r="M24" s="3" t="s">
        <v>149</v>
      </c>
      <c r="N24" s="3" t="s">
        <v>727</v>
      </c>
      <c r="O24" s="19" t="s">
        <v>683</v>
      </c>
      <c r="P24" s="19" t="s">
        <v>706</v>
      </c>
      <c r="Q24" s="19" t="s">
        <v>728</v>
      </c>
      <c r="R24" s="3"/>
      <c r="S24" s="3"/>
      <c r="T24" s="3" t="s">
        <v>40</v>
      </c>
      <c r="U24" s="3" t="s">
        <v>35</v>
      </c>
      <c r="V24" s="4" t="s">
        <v>30</v>
      </c>
      <c r="W24" s="3" t="s">
        <v>36</v>
      </c>
      <c r="X24" s="4" t="s">
        <v>318</v>
      </c>
      <c r="Y24" s="5"/>
      <c r="Z24" s="5"/>
      <c r="AA24" s="5"/>
      <c r="AB24" s="5"/>
      <c r="AC24" s="5"/>
      <c r="AD24" s="4" t="s">
        <v>345</v>
      </c>
      <c r="AE24" s="20" t="s">
        <v>672</v>
      </c>
      <c r="AF24" s="3" t="s">
        <v>673</v>
      </c>
      <c r="AG24" s="5"/>
      <c r="AH24" s="5"/>
      <c r="AI24" s="5"/>
      <c r="AJ24" s="3" t="s">
        <v>64</v>
      </c>
      <c r="AK24" s="21">
        <v>0</v>
      </c>
    </row>
    <row r="25" ht="12" customHeight="1" spans="1:37" x14ac:dyDescent="0.25">
      <c r="A25" s="16" t="s">
        <v>151</v>
      </c>
      <c r="B25" s="16" t="s">
        <v>40</v>
      </c>
      <c r="C25" s="16" t="s">
        <v>666</v>
      </c>
      <c r="D25" s="17" t="s">
        <v>399</v>
      </c>
      <c r="E25" s="18" t="s">
        <v>730</v>
      </c>
      <c r="F25" s="3" t="s">
        <v>152</v>
      </c>
      <c r="G25" s="3" t="s">
        <v>154</v>
      </c>
      <c r="H25" s="19" t="s">
        <v>110</v>
      </c>
      <c r="I25" s="3"/>
      <c r="J25" s="3" t="s">
        <v>677</v>
      </c>
      <c r="K25" s="3" t="s">
        <v>34</v>
      </c>
      <c r="L25" s="19" t="s">
        <v>669</v>
      </c>
      <c r="M25" s="3" t="s">
        <v>152</v>
      </c>
      <c r="N25" s="3" t="s">
        <v>714</v>
      </c>
      <c r="O25" s="19" t="s">
        <v>686</v>
      </c>
      <c r="P25" s="19"/>
      <c r="Q25" s="19"/>
      <c r="R25" s="3"/>
      <c r="S25" s="3"/>
      <c r="T25" s="3" t="s">
        <v>40</v>
      </c>
      <c r="U25" s="3" t="s">
        <v>35</v>
      </c>
      <c r="V25" s="4" t="s">
        <v>30</v>
      </c>
      <c r="W25" s="3" t="s">
        <v>66</v>
      </c>
      <c r="X25" s="4" t="s">
        <v>438</v>
      </c>
      <c r="Y25" s="5"/>
      <c r="Z25" s="5"/>
      <c r="AA25" s="5"/>
      <c r="AB25" s="5"/>
      <c r="AC25" s="5"/>
      <c r="AD25" s="4" t="s">
        <v>343</v>
      </c>
      <c r="AE25" s="20" t="s">
        <v>715</v>
      </c>
      <c r="AF25" s="3" t="s">
        <v>681</v>
      </c>
      <c r="AG25" s="5"/>
      <c r="AH25" s="5"/>
      <c r="AI25" s="5"/>
      <c r="AJ25" s="3" t="s">
        <v>155</v>
      </c>
      <c r="AK25" s="21">
        <v>0</v>
      </c>
    </row>
    <row r="26" ht="12" customHeight="1" spans="1:37" x14ac:dyDescent="0.25">
      <c r="A26" s="16" t="s">
        <v>157</v>
      </c>
      <c r="B26" s="16" t="s">
        <v>40</v>
      </c>
      <c r="C26" s="16" t="s">
        <v>666</v>
      </c>
      <c r="D26" s="17" t="s">
        <v>346</v>
      </c>
      <c r="E26" s="18" t="s">
        <v>731</v>
      </c>
      <c r="F26" s="3" t="s">
        <v>122</v>
      </c>
      <c r="G26" s="3" t="s">
        <v>552</v>
      </c>
      <c r="H26" s="19" t="s">
        <v>110</v>
      </c>
      <c r="I26" s="3"/>
      <c r="J26" s="3" t="s">
        <v>677</v>
      </c>
      <c r="K26" s="3" t="s">
        <v>34</v>
      </c>
      <c r="L26" s="19" t="s">
        <v>669</v>
      </c>
      <c r="M26" s="3" t="s">
        <v>122</v>
      </c>
      <c r="N26" s="3" t="s">
        <v>711</v>
      </c>
      <c r="O26" s="19" t="s">
        <v>691</v>
      </c>
      <c r="P26" s="19"/>
      <c r="Q26" s="19"/>
      <c r="R26" s="3"/>
      <c r="S26" s="3"/>
      <c r="T26" s="3" t="s">
        <v>40</v>
      </c>
      <c r="U26" s="3" t="s">
        <v>35</v>
      </c>
      <c r="V26" s="4" t="s">
        <v>30</v>
      </c>
      <c r="W26" s="3" t="s">
        <v>36</v>
      </c>
      <c r="X26" s="4" t="s">
        <v>318</v>
      </c>
      <c r="Y26" s="5"/>
      <c r="Z26" s="5"/>
      <c r="AA26" s="5"/>
      <c r="AB26" s="5"/>
      <c r="AC26" s="5"/>
      <c r="AD26" s="4" t="s">
        <v>346</v>
      </c>
      <c r="AE26" s="20" t="s">
        <v>725</v>
      </c>
      <c r="AF26" s="3" t="s">
        <v>681</v>
      </c>
      <c r="AG26" s="5"/>
      <c r="AH26" s="5"/>
      <c r="AI26" s="5"/>
      <c r="AJ26" s="3" t="s">
        <v>125</v>
      </c>
      <c r="AK26" s="21">
        <v>0</v>
      </c>
    </row>
    <row r="27" ht="12" customHeight="1" spans="1:37" x14ac:dyDescent="0.25">
      <c r="A27" s="16" t="s">
        <v>158</v>
      </c>
      <c r="B27" s="16" t="s">
        <v>40</v>
      </c>
      <c r="C27" s="16" t="s">
        <v>666</v>
      </c>
      <c r="D27" s="17" t="s">
        <v>709</v>
      </c>
      <c r="E27" s="18" t="s">
        <v>732</v>
      </c>
      <c r="F27" s="3" t="s">
        <v>122</v>
      </c>
      <c r="G27" s="3" t="s">
        <v>552</v>
      </c>
      <c r="H27" s="19" t="s">
        <v>110</v>
      </c>
      <c r="I27" s="3"/>
      <c r="J27" s="3" t="s">
        <v>668</v>
      </c>
      <c r="K27" s="3" t="s">
        <v>34</v>
      </c>
      <c r="L27" s="19" t="s">
        <v>669</v>
      </c>
      <c r="M27" s="3" t="s">
        <v>122</v>
      </c>
      <c r="N27" s="3" t="s">
        <v>711</v>
      </c>
      <c r="O27" s="19" t="s">
        <v>691</v>
      </c>
      <c r="P27" s="19"/>
      <c r="Q27" s="19"/>
      <c r="R27" s="3"/>
      <c r="S27" s="3"/>
      <c r="T27" s="3" t="s">
        <v>40</v>
      </c>
      <c r="U27" s="3" t="s">
        <v>35</v>
      </c>
      <c r="V27" s="4" t="s">
        <v>30</v>
      </c>
      <c r="W27" s="3" t="s">
        <v>36</v>
      </c>
      <c r="X27" s="4" t="s">
        <v>318</v>
      </c>
      <c r="Y27" s="5"/>
      <c r="Z27" s="5"/>
      <c r="AA27" s="5"/>
      <c r="AB27" s="5"/>
      <c r="AC27" s="5"/>
      <c r="AD27" s="4" t="s">
        <v>346</v>
      </c>
      <c r="AE27" s="20" t="s">
        <v>712</v>
      </c>
      <c r="AF27" s="3" t="s">
        <v>673</v>
      </c>
      <c r="AG27" s="5"/>
      <c r="AH27" s="5"/>
      <c r="AI27" s="5"/>
      <c r="AJ27" s="3" t="s">
        <v>125</v>
      </c>
      <c r="AK27" s="21">
        <v>0</v>
      </c>
    </row>
    <row r="28" ht="12" customHeight="1" spans="1:37" x14ac:dyDescent="0.25">
      <c r="A28" s="16" t="s">
        <v>159</v>
      </c>
      <c r="B28" s="16" t="s">
        <v>40</v>
      </c>
      <c r="C28" s="16" t="s">
        <v>666</v>
      </c>
      <c r="D28" s="17" t="s">
        <v>485</v>
      </c>
      <c r="E28" s="18" t="s">
        <v>733</v>
      </c>
      <c r="F28" s="3" t="s">
        <v>160</v>
      </c>
      <c r="G28" s="3" t="s">
        <v>161</v>
      </c>
      <c r="H28" s="19" t="s">
        <v>110</v>
      </c>
      <c r="I28" s="3"/>
      <c r="J28" s="3" t="s">
        <v>668</v>
      </c>
      <c r="K28" s="3" t="s">
        <v>34</v>
      </c>
      <c r="L28" s="19" t="s">
        <v>669</v>
      </c>
      <c r="M28" s="3" t="s">
        <v>160</v>
      </c>
      <c r="N28" s="3" t="s">
        <v>714</v>
      </c>
      <c r="O28" s="19" t="s">
        <v>725</v>
      </c>
      <c r="P28" s="19"/>
      <c r="Q28" s="19"/>
      <c r="R28" s="3"/>
      <c r="S28" s="3"/>
      <c r="T28" s="3" t="s">
        <v>40</v>
      </c>
      <c r="U28" s="3" t="s">
        <v>35</v>
      </c>
      <c r="V28" s="4" t="s">
        <v>30</v>
      </c>
      <c r="W28" s="3" t="s">
        <v>88</v>
      </c>
      <c r="X28" s="4" t="s">
        <v>400</v>
      </c>
      <c r="Y28" s="5"/>
      <c r="Z28" s="5"/>
      <c r="AA28" s="5"/>
      <c r="AB28" s="5"/>
      <c r="AC28" s="5"/>
      <c r="AD28" s="4" t="s">
        <v>345</v>
      </c>
      <c r="AE28" s="20" t="s">
        <v>672</v>
      </c>
      <c r="AF28" s="3" t="s">
        <v>673</v>
      </c>
      <c r="AG28" s="5"/>
      <c r="AH28" s="5"/>
      <c r="AI28" s="5"/>
      <c r="AJ28" s="3" t="s">
        <v>162</v>
      </c>
      <c r="AK28" s="21">
        <v>0</v>
      </c>
    </row>
    <row r="29" ht="12" customHeight="1" spans="1:37" x14ac:dyDescent="0.25">
      <c r="A29" s="16" t="s">
        <v>163</v>
      </c>
      <c r="B29" s="16" t="s">
        <v>40</v>
      </c>
      <c r="C29" s="16" t="s">
        <v>666</v>
      </c>
      <c r="D29" s="17" t="s">
        <v>347</v>
      </c>
      <c r="E29" s="18" t="s">
        <v>734</v>
      </c>
      <c r="F29" s="3" t="s">
        <v>165</v>
      </c>
      <c r="G29" s="3" t="s">
        <v>496</v>
      </c>
      <c r="H29" s="19" t="s">
        <v>110</v>
      </c>
      <c r="I29" s="3"/>
      <c r="J29" s="3" t="s">
        <v>668</v>
      </c>
      <c r="K29" s="3" t="s">
        <v>34</v>
      </c>
      <c r="L29" s="19" t="s">
        <v>669</v>
      </c>
      <c r="M29" s="3" t="s">
        <v>165</v>
      </c>
      <c r="N29" s="3" t="s">
        <v>714</v>
      </c>
      <c r="O29" s="19" t="s">
        <v>735</v>
      </c>
      <c r="P29" s="19"/>
      <c r="Q29" s="19"/>
      <c r="R29" s="3"/>
      <c r="S29" s="3"/>
      <c r="T29" s="3" t="s">
        <v>40</v>
      </c>
      <c r="U29" s="3" t="s">
        <v>35</v>
      </c>
      <c r="V29" s="4" t="s">
        <v>30</v>
      </c>
      <c r="W29" s="3" t="s">
        <v>36</v>
      </c>
      <c r="X29" s="4" t="s">
        <v>318</v>
      </c>
      <c r="Y29" s="5"/>
      <c r="Z29" s="5"/>
      <c r="AA29" s="5"/>
      <c r="AB29" s="5"/>
      <c r="AC29" s="5"/>
      <c r="AD29" s="4" t="s">
        <v>345</v>
      </c>
      <c r="AE29" s="20" t="s">
        <v>672</v>
      </c>
      <c r="AF29" s="3" t="s">
        <v>673</v>
      </c>
      <c r="AG29" s="5"/>
      <c r="AH29" s="5"/>
      <c r="AI29" s="5"/>
      <c r="AJ29" s="3" t="s">
        <v>167</v>
      </c>
      <c r="AK29" s="21">
        <v>0</v>
      </c>
    </row>
    <row r="30" ht="12" customHeight="1" spans="1:37" x14ac:dyDescent="0.25">
      <c r="A30" s="16" t="s">
        <v>168</v>
      </c>
      <c r="B30" s="16" t="s">
        <v>40</v>
      </c>
      <c r="C30" s="16" t="s">
        <v>666</v>
      </c>
      <c r="D30" s="17" t="s">
        <v>347</v>
      </c>
      <c r="E30" s="18" t="s">
        <v>687</v>
      </c>
      <c r="F30" s="3" t="s">
        <v>169</v>
      </c>
      <c r="G30" s="3" t="s">
        <v>600</v>
      </c>
      <c r="H30" s="19" t="s">
        <v>110</v>
      </c>
      <c r="I30" s="3"/>
      <c r="J30" s="3" t="s">
        <v>668</v>
      </c>
      <c r="K30" s="3" t="s">
        <v>34</v>
      </c>
      <c r="L30" s="19" t="s">
        <v>669</v>
      </c>
      <c r="M30" s="3" t="s">
        <v>169</v>
      </c>
      <c r="N30" s="3" t="s">
        <v>714</v>
      </c>
      <c r="O30" s="19" t="s">
        <v>679</v>
      </c>
      <c r="P30" s="19"/>
      <c r="Q30" s="19"/>
      <c r="R30" s="3"/>
      <c r="S30" s="3"/>
      <c r="T30" s="3" t="s">
        <v>40</v>
      </c>
      <c r="U30" s="3" t="s">
        <v>35</v>
      </c>
      <c r="V30" s="4" t="s">
        <v>30</v>
      </c>
      <c r="W30" s="3" t="s">
        <v>36</v>
      </c>
      <c r="X30" s="4" t="s">
        <v>318</v>
      </c>
      <c r="Y30" s="5"/>
      <c r="Z30" s="5"/>
      <c r="AA30" s="5"/>
      <c r="AB30" s="5"/>
      <c r="AC30" s="5"/>
      <c r="AD30" s="4" t="s">
        <v>345</v>
      </c>
      <c r="AE30" s="20" t="s">
        <v>672</v>
      </c>
      <c r="AF30" s="3" t="s">
        <v>673</v>
      </c>
      <c r="AG30" s="5"/>
      <c r="AH30" s="5"/>
      <c r="AI30" s="5"/>
      <c r="AJ30" s="3" t="s">
        <v>171</v>
      </c>
      <c r="AK30" s="21">
        <v>0</v>
      </c>
    </row>
    <row r="31" ht="12" customHeight="1" spans="1:37" x14ac:dyDescent="0.25">
      <c r="A31" s="16" t="s">
        <v>172</v>
      </c>
      <c r="B31" s="16" t="s">
        <v>40</v>
      </c>
      <c r="C31" s="16" t="s">
        <v>666</v>
      </c>
      <c r="D31" s="17" t="s">
        <v>485</v>
      </c>
      <c r="E31" s="18" t="s">
        <v>736</v>
      </c>
      <c r="F31" s="3" t="s">
        <v>111</v>
      </c>
      <c r="G31" s="3" t="s">
        <v>439</v>
      </c>
      <c r="H31" s="19" t="s">
        <v>110</v>
      </c>
      <c r="I31" s="3"/>
      <c r="J31" s="3" t="s">
        <v>668</v>
      </c>
      <c r="K31" s="3" t="s">
        <v>34</v>
      </c>
      <c r="L31" s="19" t="s">
        <v>669</v>
      </c>
      <c r="M31" s="3" t="s">
        <v>111</v>
      </c>
      <c r="N31" s="3" t="s">
        <v>702</v>
      </c>
      <c r="O31" s="19" t="s">
        <v>679</v>
      </c>
      <c r="P31" s="19"/>
      <c r="Q31" s="19"/>
      <c r="R31" s="3"/>
      <c r="S31" s="3"/>
      <c r="T31" s="3" t="s">
        <v>40</v>
      </c>
      <c r="U31" s="3" t="s">
        <v>35</v>
      </c>
      <c r="V31" s="4" t="s">
        <v>30</v>
      </c>
      <c r="W31" s="3" t="s">
        <v>36</v>
      </c>
      <c r="X31" s="4" t="s">
        <v>318</v>
      </c>
      <c r="Y31" s="5"/>
      <c r="Z31" s="5"/>
      <c r="AA31" s="5"/>
      <c r="AB31" s="5"/>
      <c r="AC31" s="5"/>
      <c r="AD31" s="4" t="s">
        <v>345</v>
      </c>
      <c r="AE31" s="20" t="s">
        <v>672</v>
      </c>
      <c r="AF31" s="3" t="s">
        <v>673</v>
      </c>
      <c r="AG31" s="5"/>
      <c r="AH31" s="5"/>
      <c r="AI31" s="5"/>
      <c r="AJ31" s="3" t="s">
        <v>113</v>
      </c>
      <c r="AK31" s="21">
        <v>0</v>
      </c>
    </row>
    <row r="32" ht="12" customHeight="1" spans="1:37" x14ac:dyDescent="0.25">
      <c r="A32" s="16" t="s">
        <v>173</v>
      </c>
      <c r="B32" s="16" t="s">
        <v>40</v>
      </c>
      <c r="C32" s="16" t="s">
        <v>693</v>
      </c>
      <c r="D32" s="17" t="s">
        <v>494</v>
      </c>
      <c r="E32" s="18" t="s">
        <v>737</v>
      </c>
      <c r="F32" s="3" t="s">
        <v>132</v>
      </c>
      <c r="G32" s="3" t="s">
        <v>449</v>
      </c>
      <c r="H32" s="19" t="s">
        <v>110</v>
      </c>
      <c r="I32" s="3"/>
      <c r="J32" s="3" t="s">
        <v>668</v>
      </c>
      <c r="K32" s="3" t="s">
        <v>34</v>
      </c>
      <c r="L32" s="19" t="s">
        <v>669</v>
      </c>
      <c r="M32" s="3" t="s">
        <v>132</v>
      </c>
      <c r="N32" s="3" t="s">
        <v>719</v>
      </c>
      <c r="O32" s="19" t="s">
        <v>679</v>
      </c>
      <c r="P32" s="19"/>
      <c r="Q32" s="19"/>
      <c r="R32" s="3"/>
      <c r="S32" s="3"/>
      <c r="T32" s="3" t="s">
        <v>40</v>
      </c>
      <c r="U32" s="3" t="s">
        <v>35</v>
      </c>
      <c r="V32" s="4" t="s">
        <v>30</v>
      </c>
      <c r="W32" s="3" t="s">
        <v>36</v>
      </c>
      <c r="X32" s="4" t="s">
        <v>318</v>
      </c>
      <c r="Y32" s="5"/>
      <c r="Z32" s="5"/>
      <c r="AA32" s="5"/>
      <c r="AB32" s="5"/>
      <c r="AC32" s="5"/>
      <c r="AD32" s="4" t="s">
        <v>30</v>
      </c>
      <c r="AE32" s="20" t="s">
        <v>720</v>
      </c>
      <c r="AF32" s="3" t="s">
        <v>673</v>
      </c>
      <c r="AG32" s="5"/>
      <c r="AH32" s="5"/>
      <c r="AI32" s="5"/>
      <c r="AJ32" s="3" t="s">
        <v>135</v>
      </c>
      <c r="AK32" s="21">
        <v>0</v>
      </c>
    </row>
    <row r="33" ht="12" customHeight="1" spans="1:37" x14ac:dyDescent="0.25">
      <c r="A33" s="16" t="s">
        <v>174</v>
      </c>
      <c r="B33" s="16" t="s">
        <v>40</v>
      </c>
      <c r="C33" s="16" t="s">
        <v>666</v>
      </c>
      <c r="D33" s="17" t="s">
        <v>347</v>
      </c>
      <c r="E33" s="18" t="s">
        <v>671</v>
      </c>
      <c r="F33" s="3" t="s">
        <v>105</v>
      </c>
      <c r="G33" s="3" t="s">
        <v>590</v>
      </c>
      <c r="H33" s="19" t="s">
        <v>110</v>
      </c>
      <c r="I33" s="3"/>
      <c r="J33" s="3" t="s">
        <v>668</v>
      </c>
      <c r="K33" s="3" t="s">
        <v>34</v>
      </c>
      <c r="L33" s="19" t="s">
        <v>669</v>
      </c>
      <c r="M33" s="3" t="s">
        <v>105</v>
      </c>
      <c r="N33" s="3" t="s">
        <v>700</v>
      </c>
      <c r="O33" s="19" t="s">
        <v>679</v>
      </c>
      <c r="P33" s="19"/>
      <c r="Q33" s="19"/>
      <c r="R33" s="3"/>
      <c r="S33" s="3"/>
      <c r="T33" s="3" t="s">
        <v>40</v>
      </c>
      <c r="U33" s="3" t="s">
        <v>35</v>
      </c>
      <c r="V33" s="4" t="s">
        <v>30</v>
      </c>
      <c r="W33" s="3" t="s">
        <v>36</v>
      </c>
      <c r="X33" s="4" t="s">
        <v>318</v>
      </c>
      <c r="Y33" s="5"/>
      <c r="Z33" s="5"/>
      <c r="AA33" s="5"/>
      <c r="AB33" s="5"/>
      <c r="AC33" s="5"/>
      <c r="AD33" s="4" t="s">
        <v>345</v>
      </c>
      <c r="AE33" s="20" t="s">
        <v>672</v>
      </c>
      <c r="AF33" s="3" t="s">
        <v>673</v>
      </c>
      <c r="AG33" s="5"/>
      <c r="AH33" s="5"/>
      <c r="AI33" s="5"/>
      <c r="AJ33" s="3" t="s">
        <v>108</v>
      </c>
      <c r="AK33" s="21">
        <v>0</v>
      </c>
    </row>
    <row r="34" ht="12" customHeight="1" spans="1:37" x14ac:dyDescent="0.25">
      <c r="A34" s="16" t="s">
        <v>175</v>
      </c>
      <c r="B34" s="16" t="s">
        <v>40</v>
      </c>
      <c r="C34" s="16" t="s">
        <v>693</v>
      </c>
      <c r="D34" s="17" t="s">
        <v>494</v>
      </c>
      <c r="E34" s="18" t="s">
        <v>738</v>
      </c>
      <c r="F34" s="3" t="s">
        <v>132</v>
      </c>
      <c r="G34" s="3" t="s">
        <v>449</v>
      </c>
      <c r="H34" s="19" t="s">
        <v>110</v>
      </c>
      <c r="I34" s="3"/>
      <c r="J34" s="3" t="s">
        <v>668</v>
      </c>
      <c r="K34" s="3" t="s">
        <v>34</v>
      </c>
      <c r="L34" s="19" t="s">
        <v>669</v>
      </c>
      <c r="M34" s="3" t="s">
        <v>132</v>
      </c>
      <c r="N34" s="3" t="s">
        <v>719</v>
      </c>
      <c r="O34" s="19" t="s">
        <v>739</v>
      </c>
      <c r="P34" s="19"/>
      <c r="Q34" s="19"/>
      <c r="R34" s="3"/>
      <c r="S34" s="3"/>
      <c r="T34" s="3" t="s">
        <v>40</v>
      </c>
      <c r="U34" s="3" t="s">
        <v>35</v>
      </c>
      <c r="V34" s="4" t="s">
        <v>30</v>
      </c>
      <c r="W34" s="3" t="s">
        <v>36</v>
      </c>
      <c r="X34" s="4" t="s">
        <v>318</v>
      </c>
      <c r="Y34" s="5"/>
      <c r="Z34" s="5"/>
      <c r="AA34" s="5"/>
      <c r="AB34" s="5"/>
      <c r="AC34" s="5"/>
      <c r="AD34" s="4" t="s">
        <v>30</v>
      </c>
      <c r="AE34" s="20" t="s">
        <v>720</v>
      </c>
      <c r="AF34" s="3" t="s">
        <v>673</v>
      </c>
      <c r="AG34" s="5"/>
      <c r="AH34" s="5"/>
      <c r="AI34" s="5"/>
      <c r="AJ34" s="3" t="s">
        <v>135</v>
      </c>
      <c r="AK34" s="21">
        <v>0</v>
      </c>
    </row>
    <row r="35" ht="12" customHeight="1" spans="1:37" x14ac:dyDescent="0.25">
      <c r="A35" s="16" t="s">
        <v>176</v>
      </c>
      <c r="B35" s="16" t="s">
        <v>40</v>
      </c>
      <c r="C35" s="16" t="s">
        <v>666</v>
      </c>
      <c r="D35" s="17" t="s">
        <v>347</v>
      </c>
      <c r="E35" s="18" t="s">
        <v>740</v>
      </c>
      <c r="F35" s="3" t="s">
        <v>82</v>
      </c>
      <c r="G35" s="3" t="s">
        <v>84</v>
      </c>
      <c r="H35" s="19" t="s">
        <v>33</v>
      </c>
      <c r="I35" s="3"/>
      <c r="J35" s="3" t="s">
        <v>668</v>
      </c>
      <c r="K35" s="3" t="s">
        <v>34</v>
      </c>
      <c r="L35" s="19" t="s">
        <v>669</v>
      </c>
      <c r="M35" s="3" t="s">
        <v>82</v>
      </c>
      <c r="N35" s="3" t="s">
        <v>685</v>
      </c>
      <c r="O35" s="19" t="s">
        <v>691</v>
      </c>
      <c r="P35" s="19"/>
      <c r="Q35" s="19"/>
      <c r="R35" s="3"/>
      <c r="S35" s="3"/>
      <c r="T35" s="3" t="s">
        <v>40</v>
      </c>
      <c r="U35" s="3" t="s">
        <v>35</v>
      </c>
      <c r="V35" s="4" t="s">
        <v>30</v>
      </c>
      <c r="W35" s="3" t="s">
        <v>36</v>
      </c>
      <c r="X35" s="4" t="s">
        <v>318</v>
      </c>
      <c r="Y35" s="5"/>
      <c r="Z35" s="5"/>
      <c r="AA35" s="5"/>
      <c r="AB35" s="5"/>
      <c r="AC35" s="5"/>
      <c r="AD35" s="4" t="s">
        <v>345</v>
      </c>
      <c r="AE35" s="20" t="s">
        <v>672</v>
      </c>
      <c r="AF35" s="3" t="s">
        <v>673</v>
      </c>
      <c r="AG35" s="5"/>
      <c r="AH35" s="5"/>
      <c r="AI35" s="5"/>
      <c r="AJ35" s="3" t="s">
        <v>85</v>
      </c>
      <c r="AK35" s="21">
        <v>0</v>
      </c>
    </row>
    <row r="36" ht="12" customHeight="1" spans="1:37" x14ac:dyDescent="0.25">
      <c r="A36" s="16" t="s">
        <v>178</v>
      </c>
      <c r="B36" s="16" t="s">
        <v>40</v>
      </c>
      <c r="C36" s="16" t="s">
        <v>666</v>
      </c>
      <c r="D36" s="17" t="s">
        <v>741</v>
      </c>
      <c r="E36" s="18" t="s">
        <v>742</v>
      </c>
      <c r="F36" s="3" t="s">
        <v>179</v>
      </c>
      <c r="G36" s="3" t="s">
        <v>375</v>
      </c>
      <c r="H36" s="19" t="s">
        <v>33</v>
      </c>
      <c r="I36" s="3"/>
      <c r="J36" s="3" t="s">
        <v>668</v>
      </c>
      <c r="K36" s="3" t="s">
        <v>34</v>
      </c>
      <c r="L36" s="19" t="s">
        <v>669</v>
      </c>
      <c r="M36" s="3" t="s">
        <v>179</v>
      </c>
      <c r="N36" s="3" t="s">
        <v>670</v>
      </c>
      <c r="O36" s="19" t="s">
        <v>703</v>
      </c>
      <c r="P36" s="19"/>
      <c r="Q36" s="19"/>
      <c r="R36" s="3"/>
      <c r="S36" s="3"/>
      <c r="T36" s="3" t="s">
        <v>40</v>
      </c>
      <c r="U36" s="3" t="s">
        <v>35</v>
      </c>
      <c r="V36" s="4" t="s">
        <v>30</v>
      </c>
      <c r="W36" s="3" t="s">
        <v>36</v>
      </c>
      <c r="X36" s="4" t="s">
        <v>318</v>
      </c>
      <c r="Y36" s="5"/>
      <c r="Z36" s="5"/>
      <c r="AA36" s="5"/>
      <c r="AB36" s="5"/>
      <c r="AC36" s="5"/>
      <c r="AD36" s="4" t="s">
        <v>741</v>
      </c>
      <c r="AE36" s="20" t="s">
        <v>743</v>
      </c>
      <c r="AF36" s="3" t="s">
        <v>673</v>
      </c>
      <c r="AG36" s="5"/>
      <c r="AH36" s="5"/>
      <c r="AI36" s="5"/>
      <c r="AJ36" s="3" t="s">
        <v>181</v>
      </c>
      <c r="AK36" s="21">
        <v>0</v>
      </c>
    </row>
    <row r="37" ht="12" customHeight="1" spans="1:37" x14ac:dyDescent="0.25">
      <c r="A37" s="16" t="s">
        <v>182</v>
      </c>
      <c r="B37" s="16" t="s">
        <v>40</v>
      </c>
      <c r="C37" s="16" t="s">
        <v>666</v>
      </c>
      <c r="D37" s="17" t="s">
        <v>347</v>
      </c>
      <c r="E37" s="18" t="s">
        <v>676</v>
      </c>
      <c r="F37" s="3" t="s">
        <v>56</v>
      </c>
      <c r="G37" s="3" t="s">
        <v>58</v>
      </c>
      <c r="H37" s="19" t="s">
        <v>33</v>
      </c>
      <c r="I37" s="3"/>
      <c r="J37" s="3" t="s">
        <v>677</v>
      </c>
      <c r="K37" s="3" t="s">
        <v>34</v>
      </c>
      <c r="L37" s="19" t="s">
        <v>669</v>
      </c>
      <c r="M37" s="3" t="s">
        <v>56</v>
      </c>
      <c r="N37" s="3" t="s">
        <v>678</v>
      </c>
      <c r="O37" s="19" t="s">
        <v>703</v>
      </c>
      <c r="P37" s="19"/>
      <c r="Q37" s="19"/>
      <c r="R37" s="3"/>
      <c r="S37" s="3"/>
      <c r="T37" s="3" t="s">
        <v>40</v>
      </c>
      <c r="U37" s="3" t="s">
        <v>35</v>
      </c>
      <c r="V37" s="4" t="s">
        <v>30</v>
      </c>
      <c r="W37" s="3" t="s">
        <v>36</v>
      </c>
      <c r="X37" s="4" t="s">
        <v>318</v>
      </c>
      <c r="Y37" s="5"/>
      <c r="Z37" s="5"/>
      <c r="AA37" s="5"/>
      <c r="AB37" s="5"/>
      <c r="AC37" s="5"/>
      <c r="AD37" s="4" t="s">
        <v>356</v>
      </c>
      <c r="AE37" s="20" t="s">
        <v>680</v>
      </c>
      <c r="AF37" s="3" t="s">
        <v>681</v>
      </c>
      <c r="AG37" s="5"/>
      <c r="AH37" s="5"/>
      <c r="AI37" s="5"/>
      <c r="AJ37" s="3" t="s">
        <v>59</v>
      </c>
      <c r="AK37" s="21">
        <v>0</v>
      </c>
    </row>
    <row r="38" ht="12" customHeight="1" spans="1:37" x14ac:dyDescent="0.25">
      <c r="A38" s="16" t="s">
        <v>183</v>
      </c>
      <c r="B38" s="16" t="s">
        <v>40</v>
      </c>
      <c r="C38" s="16" t="s">
        <v>666</v>
      </c>
      <c r="D38" s="17" t="s">
        <v>741</v>
      </c>
      <c r="E38" s="18" t="s">
        <v>744</v>
      </c>
      <c r="F38" s="3" t="s">
        <v>184</v>
      </c>
      <c r="G38" s="3" t="s">
        <v>319</v>
      </c>
      <c r="H38" s="19" t="s">
        <v>33</v>
      </c>
      <c r="I38" s="3"/>
      <c r="J38" s="3" t="s">
        <v>668</v>
      </c>
      <c r="K38" s="3" t="s">
        <v>34</v>
      </c>
      <c r="L38" s="19" t="s">
        <v>669</v>
      </c>
      <c r="M38" s="3" t="s">
        <v>184</v>
      </c>
      <c r="N38" s="3" t="s">
        <v>670</v>
      </c>
      <c r="O38" s="19" t="s">
        <v>671</v>
      </c>
      <c r="P38" s="19"/>
      <c r="Q38" s="19"/>
      <c r="R38" s="3"/>
      <c r="S38" s="3"/>
      <c r="T38" s="3" t="s">
        <v>40</v>
      </c>
      <c r="U38" s="3" t="s">
        <v>35</v>
      </c>
      <c r="V38" s="4" t="s">
        <v>30</v>
      </c>
      <c r="W38" s="3" t="s">
        <v>36</v>
      </c>
      <c r="X38" s="4" t="s">
        <v>318</v>
      </c>
      <c r="Y38" s="5"/>
      <c r="Z38" s="5"/>
      <c r="AA38" s="5"/>
      <c r="AB38" s="5"/>
      <c r="AC38" s="5"/>
      <c r="AD38" s="4" t="s">
        <v>741</v>
      </c>
      <c r="AE38" s="20" t="s">
        <v>743</v>
      </c>
      <c r="AF38" s="3" t="s">
        <v>673</v>
      </c>
      <c r="AG38" s="5"/>
      <c r="AH38" s="5"/>
      <c r="AI38" s="5"/>
      <c r="AJ38" s="3" t="s">
        <v>49</v>
      </c>
      <c r="AK38" s="21">
        <v>0</v>
      </c>
    </row>
    <row r="39" ht="12" customHeight="1" spans="1:37" x14ac:dyDescent="0.25">
      <c r="A39" s="16" t="s">
        <v>185</v>
      </c>
      <c r="B39" s="16" t="s">
        <v>40</v>
      </c>
      <c r="C39" s="16" t="s">
        <v>666</v>
      </c>
      <c r="D39" s="17" t="s">
        <v>347</v>
      </c>
      <c r="E39" s="18" t="s">
        <v>745</v>
      </c>
      <c r="F39" s="3" t="s">
        <v>186</v>
      </c>
      <c r="G39" s="3" t="s">
        <v>580</v>
      </c>
      <c r="H39" s="19" t="s">
        <v>33</v>
      </c>
      <c r="I39" s="3"/>
      <c r="J39" s="3" t="s">
        <v>668</v>
      </c>
      <c r="K39" s="3" t="s">
        <v>34</v>
      </c>
      <c r="L39" s="19" t="s">
        <v>669</v>
      </c>
      <c r="M39" s="3" t="s">
        <v>186</v>
      </c>
      <c r="N39" s="3" t="s">
        <v>670</v>
      </c>
      <c r="O39" s="19" t="s">
        <v>746</v>
      </c>
      <c r="P39" s="19"/>
      <c r="Q39" s="19"/>
      <c r="R39" s="3"/>
      <c r="S39" s="3"/>
      <c r="T39" s="3" t="s">
        <v>40</v>
      </c>
      <c r="U39" s="3" t="s">
        <v>35</v>
      </c>
      <c r="V39" s="4" t="s">
        <v>30</v>
      </c>
      <c r="W39" s="3" t="s">
        <v>36</v>
      </c>
      <c r="X39" s="4" t="s">
        <v>318</v>
      </c>
      <c r="Y39" s="5"/>
      <c r="Z39" s="5"/>
      <c r="AA39" s="5"/>
      <c r="AB39" s="5"/>
      <c r="AC39" s="5"/>
      <c r="AD39" s="4" t="s">
        <v>345</v>
      </c>
      <c r="AE39" s="20" t="s">
        <v>672</v>
      </c>
      <c r="AF39" s="3" t="s">
        <v>673</v>
      </c>
      <c r="AG39" s="5"/>
      <c r="AH39" s="5"/>
      <c r="AI39" s="5"/>
      <c r="AJ39" s="3" t="s">
        <v>188</v>
      </c>
      <c r="AK39" s="21">
        <v>0</v>
      </c>
    </row>
    <row r="40" ht="12" customHeight="1" spans="1:37" x14ac:dyDescent="0.25">
      <c r="A40" s="16" t="s">
        <v>190</v>
      </c>
      <c r="B40" s="16" t="s">
        <v>40</v>
      </c>
      <c r="C40" s="16" t="s">
        <v>666</v>
      </c>
      <c r="D40" s="17" t="s">
        <v>347</v>
      </c>
      <c r="E40" s="18" t="s">
        <v>747</v>
      </c>
      <c r="F40" s="3" t="s">
        <v>56</v>
      </c>
      <c r="G40" s="3" t="s">
        <v>58</v>
      </c>
      <c r="H40" s="19" t="s">
        <v>33</v>
      </c>
      <c r="I40" s="3"/>
      <c r="J40" s="3" t="s">
        <v>677</v>
      </c>
      <c r="K40" s="3" t="s">
        <v>34</v>
      </c>
      <c r="L40" s="19" t="s">
        <v>669</v>
      </c>
      <c r="M40" s="3" t="s">
        <v>56</v>
      </c>
      <c r="N40" s="3" t="s">
        <v>678</v>
      </c>
      <c r="O40" s="19" t="s">
        <v>746</v>
      </c>
      <c r="P40" s="19"/>
      <c r="Q40" s="19"/>
      <c r="R40" s="3"/>
      <c r="S40" s="3"/>
      <c r="T40" s="3" t="s">
        <v>40</v>
      </c>
      <c r="U40" s="3" t="s">
        <v>35</v>
      </c>
      <c r="V40" s="4" t="s">
        <v>30</v>
      </c>
      <c r="W40" s="3" t="s">
        <v>36</v>
      </c>
      <c r="X40" s="4" t="s">
        <v>318</v>
      </c>
      <c r="Y40" s="5"/>
      <c r="Z40" s="5"/>
      <c r="AA40" s="5"/>
      <c r="AB40" s="5"/>
      <c r="AC40" s="5"/>
      <c r="AD40" s="4" t="s">
        <v>356</v>
      </c>
      <c r="AE40" s="20" t="s">
        <v>680</v>
      </c>
      <c r="AF40" s="3" t="s">
        <v>681</v>
      </c>
      <c r="AG40" s="5"/>
      <c r="AH40" s="5"/>
      <c r="AI40" s="5"/>
      <c r="AJ40" s="3" t="s">
        <v>59</v>
      </c>
      <c r="AK40" s="21">
        <v>0</v>
      </c>
    </row>
    <row r="41" ht="12" customHeight="1" spans="1:37" x14ac:dyDescent="0.25">
      <c r="A41" s="16" t="s">
        <v>191</v>
      </c>
      <c r="B41" s="16" t="s">
        <v>40</v>
      </c>
      <c r="C41" s="16" t="s">
        <v>666</v>
      </c>
      <c r="D41" s="17" t="s">
        <v>347</v>
      </c>
      <c r="E41" s="18" t="s">
        <v>748</v>
      </c>
      <c r="F41" s="3" t="s">
        <v>192</v>
      </c>
      <c r="G41" s="3" t="s">
        <v>610</v>
      </c>
      <c r="H41" s="19" t="s">
        <v>33</v>
      </c>
      <c r="I41" s="3"/>
      <c r="J41" s="3" t="s">
        <v>668</v>
      </c>
      <c r="K41" s="3" t="s">
        <v>34</v>
      </c>
      <c r="L41" s="19" t="s">
        <v>669</v>
      </c>
      <c r="M41" s="3" t="s">
        <v>192</v>
      </c>
      <c r="N41" s="3" t="s">
        <v>670</v>
      </c>
      <c r="O41" s="19" t="s">
        <v>746</v>
      </c>
      <c r="P41" s="19"/>
      <c r="Q41" s="19"/>
      <c r="R41" s="3"/>
      <c r="S41" s="3"/>
      <c r="T41" s="3" t="s">
        <v>40</v>
      </c>
      <c r="U41" s="3" t="s">
        <v>35</v>
      </c>
      <c r="V41" s="4" t="s">
        <v>30</v>
      </c>
      <c r="W41" s="3" t="s">
        <v>36</v>
      </c>
      <c r="X41" s="4" t="s">
        <v>318</v>
      </c>
      <c r="Y41" s="5"/>
      <c r="Z41" s="5"/>
      <c r="AA41" s="5"/>
      <c r="AB41" s="5"/>
      <c r="AC41" s="5"/>
      <c r="AD41" s="4" t="s">
        <v>345</v>
      </c>
      <c r="AE41" s="20" t="s">
        <v>672</v>
      </c>
      <c r="AF41" s="3" t="s">
        <v>673</v>
      </c>
      <c r="AG41" s="5"/>
      <c r="AH41" s="5"/>
      <c r="AI41" s="5"/>
      <c r="AJ41" s="3" t="s">
        <v>194</v>
      </c>
      <c r="AK41" s="21">
        <v>0</v>
      </c>
    </row>
    <row r="42" ht="12" customHeight="1" spans="1:37" x14ac:dyDescent="0.25">
      <c r="A42" s="16" t="s">
        <v>195</v>
      </c>
      <c r="B42" s="16" t="s">
        <v>40</v>
      </c>
      <c r="C42" s="16" t="s">
        <v>666</v>
      </c>
      <c r="D42" s="17" t="s">
        <v>347</v>
      </c>
      <c r="E42" s="18" t="s">
        <v>747</v>
      </c>
      <c r="F42" s="3" t="s">
        <v>196</v>
      </c>
      <c r="G42" s="3" t="s">
        <v>58</v>
      </c>
      <c r="H42" s="19" t="s">
        <v>33</v>
      </c>
      <c r="I42" s="3"/>
      <c r="J42" s="3" t="s">
        <v>677</v>
      </c>
      <c r="K42" s="3" t="s">
        <v>34</v>
      </c>
      <c r="L42" s="19" t="s">
        <v>669</v>
      </c>
      <c r="M42" s="3" t="s">
        <v>196</v>
      </c>
      <c r="N42" s="3" t="s">
        <v>670</v>
      </c>
      <c r="O42" s="19" t="s">
        <v>686</v>
      </c>
      <c r="P42" s="19"/>
      <c r="Q42" s="19"/>
      <c r="R42" s="3"/>
      <c r="S42" s="3"/>
      <c r="T42" s="3" t="s">
        <v>40</v>
      </c>
      <c r="U42" s="3" t="s">
        <v>35</v>
      </c>
      <c r="V42" s="4" t="s">
        <v>30</v>
      </c>
      <c r="W42" s="3" t="s">
        <v>36</v>
      </c>
      <c r="X42" s="4" t="s">
        <v>318</v>
      </c>
      <c r="Y42" s="5"/>
      <c r="Z42" s="5"/>
      <c r="AA42" s="5"/>
      <c r="AB42" s="5"/>
      <c r="AC42" s="5"/>
      <c r="AD42" s="4" t="s">
        <v>356</v>
      </c>
      <c r="AE42" s="20" t="s">
        <v>680</v>
      </c>
      <c r="AF42" s="3" t="s">
        <v>681</v>
      </c>
      <c r="AG42" s="5"/>
      <c r="AH42" s="5"/>
      <c r="AI42" s="5"/>
      <c r="AJ42" s="3" t="s">
        <v>59</v>
      </c>
      <c r="AK42" s="21">
        <v>0</v>
      </c>
    </row>
    <row r="43" ht="12" customHeight="1" spans="1:37" x14ac:dyDescent="0.25">
      <c r="A43" s="16" t="s">
        <v>197</v>
      </c>
      <c r="B43" s="16" t="s">
        <v>40</v>
      </c>
      <c r="C43" s="16" t="s">
        <v>666</v>
      </c>
      <c r="D43" s="17" t="s">
        <v>374</v>
      </c>
      <c r="E43" s="18" t="s">
        <v>749</v>
      </c>
      <c r="F43" s="3" t="s">
        <v>199</v>
      </c>
      <c r="G43" s="3" t="s">
        <v>350</v>
      </c>
      <c r="H43" s="19" t="s">
        <v>33</v>
      </c>
      <c r="I43" s="3"/>
      <c r="J43" s="3" t="s">
        <v>677</v>
      </c>
      <c r="K43" s="3" t="s">
        <v>34</v>
      </c>
      <c r="L43" s="19" t="s">
        <v>669</v>
      </c>
      <c r="M43" s="3" t="s">
        <v>199</v>
      </c>
      <c r="N43" s="3" t="s">
        <v>670</v>
      </c>
      <c r="O43" s="19" t="s">
        <v>686</v>
      </c>
      <c r="P43" s="19"/>
      <c r="Q43" s="19"/>
      <c r="R43" s="3"/>
      <c r="S43" s="3"/>
      <c r="T43" s="3" t="s">
        <v>40</v>
      </c>
      <c r="U43" s="3" t="s">
        <v>35</v>
      </c>
      <c r="V43" s="4" t="s">
        <v>30</v>
      </c>
      <c r="W43" s="3" t="s">
        <v>198</v>
      </c>
      <c r="X43" s="4" t="s">
        <v>400</v>
      </c>
      <c r="Y43" s="5"/>
      <c r="Z43" s="5"/>
      <c r="AA43" s="5"/>
      <c r="AB43" s="5"/>
      <c r="AC43" s="5"/>
      <c r="AD43" s="4" t="s">
        <v>356</v>
      </c>
      <c r="AE43" s="20" t="s">
        <v>750</v>
      </c>
      <c r="AF43" s="3" t="s">
        <v>681</v>
      </c>
      <c r="AG43" s="5"/>
      <c r="AH43" s="5"/>
      <c r="AI43" s="5"/>
      <c r="AJ43" s="3" t="s">
        <v>201</v>
      </c>
      <c r="AK43" s="21">
        <v>0</v>
      </c>
    </row>
    <row r="44" ht="12" customHeight="1" spans="1:37" x14ac:dyDescent="0.25">
      <c r="A44" s="16" t="s">
        <v>204</v>
      </c>
      <c r="B44" s="16" t="s">
        <v>40</v>
      </c>
      <c r="C44" s="16" t="s">
        <v>666</v>
      </c>
      <c r="D44" s="17" t="s">
        <v>356</v>
      </c>
      <c r="E44" s="18" t="s">
        <v>751</v>
      </c>
      <c r="F44" s="3" t="s">
        <v>205</v>
      </c>
      <c r="G44" s="3" t="s">
        <v>206</v>
      </c>
      <c r="H44" s="19" t="s">
        <v>33</v>
      </c>
      <c r="I44" s="3"/>
      <c r="J44" s="3" t="s">
        <v>677</v>
      </c>
      <c r="K44" s="3" t="s">
        <v>34</v>
      </c>
      <c r="L44" s="19" t="s">
        <v>669</v>
      </c>
      <c r="M44" s="3" t="s">
        <v>205</v>
      </c>
      <c r="N44" s="3" t="s">
        <v>670</v>
      </c>
      <c r="O44" s="19" t="s">
        <v>686</v>
      </c>
      <c r="P44" s="19"/>
      <c r="Q44" s="19"/>
      <c r="R44" s="3"/>
      <c r="S44" s="3"/>
      <c r="T44" s="3" t="s">
        <v>40</v>
      </c>
      <c r="U44" s="3" t="s">
        <v>35</v>
      </c>
      <c r="V44" s="4" t="s">
        <v>30</v>
      </c>
      <c r="W44" s="3" t="s">
        <v>88</v>
      </c>
      <c r="X44" s="4" t="s">
        <v>400</v>
      </c>
      <c r="Y44" s="5"/>
      <c r="Z44" s="5"/>
      <c r="AA44" s="5"/>
      <c r="AB44" s="5"/>
      <c r="AC44" s="5"/>
      <c r="AD44" s="4" t="s">
        <v>356</v>
      </c>
      <c r="AE44" s="20" t="s">
        <v>694</v>
      </c>
      <c r="AF44" s="3" t="s">
        <v>681</v>
      </c>
      <c r="AG44" s="5"/>
      <c r="AH44" s="5"/>
      <c r="AI44" s="5"/>
      <c r="AJ44" s="3" t="s">
        <v>207</v>
      </c>
      <c r="AK44" s="21">
        <v>0</v>
      </c>
    </row>
    <row r="45" ht="12" customHeight="1" spans="1:37" x14ac:dyDescent="0.25">
      <c r="A45" s="16" t="s">
        <v>208</v>
      </c>
      <c r="B45" s="16" t="s">
        <v>40</v>
      </c>
      <c r="C45" s="16" t="s">
        <v>666</v>
      </c>
      <c r="D45" s="17" t="s">
        <v>346</v>
      </c>
      <c r="E45" s="18" t="s">
        <v>752</v>
      </c>
      <c r="F45" s="3" t="s">
        <v>209</v>
      </c>
      <c r="G45" s="3" t="s">
        <v>410</v>
      </c>
      <c r="H45" s="19" t="s">
        <v>33</v>
      </c>
      <c r="I45" s="3"/>
      <c r="J45" s="3" t="s">
        <v>677</v>
      </c>
      <c r="K45" s="3" t="s">
        <v>34</v>
      </c>
      <c r="L45" s="19" t="s">
        <v>669</v>
      </c>
      <c r="M45" s="3" t="s">
        <v>209</v>
      </c>
      <c r="N45" s="3" t="s">
        <v>670</v>
      </c>
      <c r="O45" s="19" t="s">
        <v>686</v>
      </c>
      <c r="P45" s="19"/>
      <c r="Q45" s="19"/>
      <c r="R45" s="3"/>
      <c r="S45" s="3"/>
      <c r="T45" s="3" t="s">
        <v>40</v>
      </c>
      <c r="U45" s="3" t="s">
        <v>35</v>
      </c>
      <c r="V45" s="4" t="s">
        <v>30</v>
      </c>
      <c r="W45" s="3" t="s">
        <v>36</v>
      </c>
      <c r="X45" s="4" t="s">
        <v>318</v>
      </c>
      <c r="Y45" s="5"/>
      <c r="Z45" s="5"/>
      <c r="AA45" s="5"/>
      <c r="AB45" s="5"/>
      <c r="AC45" s="5"/>
      <c r="AD45" s="4" t="s">
        <v>346</v>
      </c>
      <c r="AE45" s="20" t="s">
        <v>753</v>
      </c>
      <c r="AF45" s="3" t="s">
        <v>681</v>
      </c>
      <c r="AG45" s="5"/>
      <c r="AH45" s="5"/>
      <c r="AI45" s="5"/>
      <c r="AJ45" s="3" t="s">
        <v>64</v>
      </c>
      <c r="AK45" s="21">
        <v>0</v>
      </c>
    </row>
    <row r="46" ht="12" customHeight="1" spans="1:37" x14ac:dyDescent="0.25">
      <c r="A46" s="16" t="s">
        <v>210</v>
      </c>
      <c r="B46" s="16" t="s">
        <v>40</v>
      </c>
      <c r="C46" s="16" t="s">
        <v>666</v>
      </c>
      <c r="D46" s="17" t="s">
        <v>346</v>
      </c>
      <c r="E46" s="18" t="s">
        <v>754</v>
      </c>
      <c r="F46" s="3" t="s">
        <v>211</v>
      </c>
      <c r="G46" s="3" t="s">
        <v>364</v>
      </c>
      <c r="H46" s="19" t="s">
        <v>33</v>
      </c>
      <c r="I46" s="3"/>
      <c r="J46" s="3" t="s">
        <v>677</v>
      </c>
      <c r="K46" s="3" t="s">
        <v>34</v>
      </c>
      <c r="L46" s="19" t="s">
        <v>669</v>
      </c>
      <c r="M46" s="3" t="s">
        <v>211</v>
      </c>
      <c r="N46" s="3" t="s">
        <v>670</v>
      </c>
      <c r="O46" s="19" t="s">
        <v>688</v>
      </c>
      <c r="P46" s="19"/>
      <c r="Q46" s="19"/>
      <c r="R46" s="3"/>
      <c r="S46" s="3"/>
      <c r="T46" s="3" t="s">
        <v>40</v>
      </c>
      <c r="U46" s="3" t="s">
        <v>35</v>
      </c>
      <c r="V46" s="4" t="s">
        <v>30</v>
      </c>
      <c r="W46" s="3" t="s">
        <v>36</v>
      </c>
      <c r="X46" s="4" t="s">
        <v>318</v>
      </c>
      <c r="Y46" s="5"/>
      <c r="Z46" s="5"/>
      <c r="AA46" s="5"/>
      <c r="AB46" s="5"/>
      <c r="AC46" s="5"/>
      <c r="AD46" s="4" t="s">
        <v>374</v>
      </c>
      <c r="AE46" s="20" t="s">
        <v>755</v>
      </c>
      <c r="AF46" s="3" t="s">
        <v>681</v>
      </c>
      <c r="AG46" s="5"/>
      <c r="AH46" s="5"/>
      <c r="AI46" s="5"/>
      <c r="AJ46" s="3" t="s">
        <v>212</v>
      </c>
      <c r="AK46" s="21">
        <v>0</v>
      </c>
    </row>
    <row r="47" ht="12" customHeight="1" spans="1:37" x14ac:dyDescent="0.25">
      <c r="A47" s="16" t="s">
        <v>213</v>
      </c>
      <c r="B47" s="16" t="s">
        <v>40</v>
      </c>
      <c r="C47" s="16" t="s">
        <v>666</v>
      </c>
      <c r="D47" s="17" t="s">
        <v>374</v>
      </c>
      <c r="E47" s="18" t="s">
        <v>756</v>
      </c>
      <c r="F47" s="3" t="s">
        <v>96</v>
      </c>
      <c r="G47" s="3" t="s">
        <v>455</v>
      </c>
      <c r="H47" s="19" t="s">
        <v>33</v>
      </c>
      <c r="I47" s="3"/>
      <c r="J47" s="3" t="s">
        <v>677</v>
      </c>
      <c r="K47" s="3" t="s">
        <v>34</v>
      </c>
      <c r="L47" s="19" t="s">
        <v>669</v>
      </c>
      <c r="M47" s="3" t="s">
        <v>96</v>
      </c>
      <c r="N47" s="3" t="s">
        <v>685</v>
      </c>
      <c r="O47" s="19" t="s">
        <v>688</v>
      </c>
      <c r="P47" s="19"/>
      <c r="Q47" s="19"/>
      <c r="R47" s="3"/>
      <c r="S47" s="3"/>
      <c r="T47" s="3" t="s">
        <v>40</v>
      </c>
      <c r="U47" s="3" t="s">
        <v>35</v>
      </c>
      <c r="V47" s="4" t="s">
        <v>30</v>
      </c>
      <c r="W47" s="3" t="s">
        <v>36</v>
      </c>
      <c r="X47" s="4" t="s">
        <v>318</v>
      </c>
      <c r="Y47" s="5"/>
      <c r="Z47" s="5"/>
      <c r="AA47" s="5"/>
      <c r="AB47" s="5"/>
      <c r="AC47" s="5"/>
      <c r="AD47" s="4" t="s">
        <v>356</v>
      </c>
      <c r="AE47" s="20" t="s">
        <v>750</v>
      </c>
      <c r="AF47" s="3" t="s">
        <v>681</v>
      </c>
      <c r="AG47" s="5"/>
      <c r="AH47" s="5"/>
      <c r="AI47" s="5"/>
      <c r="AJ47" s="3" t="s">
        <v>98</v>
      </c>
      <c r="AK47" s="21">
        <v>0</v>
      </c>
    </row>
    <row r="48" ht="12" customHeight="1" spans="1:37" x14ac:dyDescent="0.25">
      <c r="A48" s="16" t="s">
        <v>214</v>
      </c>
      <c r="B48" s="16" t="s">
        <v>40</v>
      </c>
      <c r="C48" s="16" t="s">
        <v>666</v>
      </c>
      <c r="D48" s="17" t="s">
        <v>347</v>
      </c>
      <c r="E48" s="18" t="s">
        <v>757</v>
      </c>
      <c r="F48" s="3" t="s">
        <v>215</v>
      </c>
      <c r="G48" s="3" t="s">
        <v>410</v>
      </c>
      <c r="H48" s="19" t="s">
        <v>33</v>
      </c>
      <c r="I48" s="3"/>
      <c r="J48" s="3" t="s">
        <v>668</v>
      </c>
      <c r="K48" s="3" t="s">
        <v>34</v>
      </c>
      <c r="L48" s="19" t="s">
        <v>669</v>
      </c>
      <c r="M48" s="3" t="s">
        <v>215</v>
      </c>
      <c r="N48" s="3" t="s">
        <v>670</v>
      </c>
      <c r="O48" s="19" t="s">
        <v>688</v>
      </c>
      <c r="P48" s="19"/>
      <c r="Q48" s="19"/>
      <c r="R48" s="3"/>
      <c r="S48" s="3"/>
      <c r="T48" s="3" t="s">
        <v>40</v>
      </c>
      <c r="U48" s="3" t="s">
        <v>35</v>
      </c>
      <c r="V48" s="4" t="s">
        <v>30</v>
      </c>
      <c r="W48" s="3" t="s">
        <v>36</v>
      </c>
      <c r="X48" s="4" t="s">
        <v>318</v>
      </c>
      <c r="Y48" s="5"/>
      <c r="Z48" s="5"/>
      <c r="AA48" s="5"/>
      <c r="AB48" s="5"/>
      <c r="AC48" s="5"/>
      <c r="AD48" s="4" t="s">
        <v>345</v>
      </c>
      <c r="AE48" s="20" t="s">
        <v>672</v>
      </c>
      <c r="AF48" s="3" t="s">
        <v>673</v>
      </c>
      <c r="AG48" s="5"/>
      <c r="AH48" s="5"/>
      <c r="AI48" s="5"/>
      <c r="AJ48" s="3" t="s">
        <v>64</v>
      </c>
      <c r="AK48" s="21">
        <v>0</v>
      </c>
    </row>
    <row r="49" ht="12" customHeight="1" spans="1:37" x14ac:dyDescent="0.25">
      <c r="A49" s="16" t="s">
        <v>216</v>
      </c>
      <c r="B49" s="16" t="s">
        <v>40</v>
      </c>
      <c r="C49" s="16" t="s">
        <v>666</v>
      </c>
      <c r="D49" s="17" t="s">
        <v>347</v>
      </c>
      <c r="E49" s="18" t="s">
        <v>758</v>
      </c>
      <c r="F49" s="3" t="s">
        <v>67</v>
      </c>
      <c r="G49" s="3" t="s">
        <v>439</v>
      </c>
      <c r="H49" s="19" t="s">
        <v>33</v>
      </c>
      <c r="I49" s="3"/>
      <c r="J49" s="3" t="s">
        <v>668</v>
      </c>
      <c r="K49" s="3" t="s">
        <v>34</v>
      </c>
      <c r="L49" s="19" t="s">
        <v>669</v>
      </c>
      <c r="M49" s="3" t="s">
        <v>67</v>
      </c>
      <c r="N49" s="3" t="s">
        <v>685</v>
      </c>
      <c r="O49" s="19" t="s">
        <v>688</v>
      </c>
      <c r="P49" s="19"/>
      <c r="Q49" s="19"/>
      <c r="R49" s="3"/>
      <c r="S49" s="3"/>
      <c r="T49" s="3" t="s">
        <v>40</v>
      </c>
      <c r="U49" s="3" t="s">
        <v>35</v>
      </c>
      <c r="V49" s="4" t="s">
        <v>30</v>
      </c>
      <c r="W49" s="3" t="s">
        <v>66</v>
      </c>
      <c r="X49" s="4" t="s">
        <v>438</v>
      </c>
      <c r="Y49" s="5"/>
      <c r="Z49" s="5"/>
      <c r="AA49" s="5"/>
      <c r="AB49" s="5"/>
      <c r="AC49" s="5"/>
      <c r="AD49" s="4" t="s">
        <v>345</v>
      </c>
      <c r="AE49" s="20" t="s">
        <v>672</v>
      </c>
      <c r="AF49" s="3" t="s">
        <v>673</v>
      </c>
      <c r="AG49" s="5"/>
      <c r="AH49" s="5"/>
      <c r="AI49" s="5"/>
      <c r="AJ49" s="3" t="s">
        <v>70</v>
      </c>
      <c r="AK49" s="21">
        <v>0</v>
      </c>
    </row>
    <row r="50" ht="12" customHeight="1" spans="1:37" x14ac:dyDescent="0.25">
      <c r="A50" s="16" t="s">
        <v>217</v>
      </c>
      <c r="B50" s="16" t="s">
        <v>40</v>
      </c>
      <c r="C50" s="16" t="s">
        <v>693</v>
      </c>
      <c r="D50" s="17" t="s">
        <v>534</v>
      </c>
      <c r="E50" s="18" t="s">
        <v>722</v>
      </c>
      <c r="F50" s="3" t="s">
        <v>218</v>
      </c>
      <c r="G50" s="3" t="s">
        <v>220</v>
      </c>
      <c r="H50" s="19" t="s">
        <v>33</v>
      </c>
      <c r="I50" s="3"/>
      <c r="J50" s="3" t="s">
        <v>668</v>
      </c>
      <c r="K50" s="3" t="s">
        <v>34</v>
      </c>
      <c r="L50" s="19" t="s">
        <v>669</v>
      </c>
      <c r="M50" s="3" t="s">
        <v>218</v>
      </c>
      <c r="N50" s="3" t="s">
        <v>670</v>
      </c>
      <c r="O50" s="19" t="s">
        <v>679</v>
      </c>
      <c r="P50" s="19"/>
      <c r="Q50" s="19"/>
      <c r="R50" s="3"/>
      <c r="S50" s="3"/>
      <c r="T50" s="3" t="s">
        <v>40</v>
      </c>
      <c r="U50" s="3" t="s">
        <v>35</v>
      </c>
      <c r="V50" s="4" t="s">
        <v>30</v>
      </c>
      <c r="W50" s="3" t="s">
        <v>88</v>
      </c>
      <c r="X50" s="4" t="s">
        <v>400</v>
      </c>
      <c r="Y50" s="5"/>
      <c r="Z50" s="5"/>
      <c r="AA50" s="5"/>
      <c r="AB50" s="5"/>
      <c r="AC50" s="5"/>
      <c r="AD50" s="4" t="s">
        <v>30</v>
      </c>
      <c r="AE50" s="20" t="s">
        <v>720</v>
      </c>
      <c r="AF50" s="3" t="s">
        <v>673</v>
      </c>
      <c r="AG50" s="5"/>
      <c r="AH50" s="5"/>
      <c r="AI50" s="5"/>
      <c r="AJ50" s="3" t="s">
        <v>222</v>
      </c>
      <c r="AK50" s="21">
        <v>0</v>
      </c>
    </row>
    <row r="51" ht="12" customHeight="1" spans="1:37" x14ac:dyDescent="0.25">
      <c r="A51" s="16" t="s">
        <v>87</v>
      </c>
      <c r="B51" s="16" t="s">
        <v>759</v>
      </c>
      <c r="C51" s="16" t="s">
        <v>666</v>
      </c>
      <c r="D51" s="17" t="s">
        <v>356</v>
      </c>
      <c r="E51" s="18" t="s">
        <v>760</v>
      </c>
      <c r="F51" s="3" t="s">
        <v>90</v>
      </c>
      <c r="G51" s="3" t="s">
        <v>364</v>
      </c>
      <c r="H51" s="19" t="s">
        <v>33</v>
      </c>
      <c r="I51" s="3"/>
      <c r="J51" s="3" t="s">
        <v>677</v>
      </c>
      <c r="K51" s="3" t="s">
        <v>34</v>
      </c>
      <c r="L51" s="19" t="s">
        <v>669</v>
      </c>
      <c r="M51" s="3" t="s">
        <v>90</v>
      </c>
      <c r="N51" s="3" t="s">
        <v>670</v>
      </c>
      <c r="O51" s="19" t="s">
        <v>691</v>
      </c>
      <c r="P51" s="19"/>
      <c r="Q51" s="19"/>
      <c r="R51" s="3"/>
      <c r="S51" s="3"/>
      <c r="T51" s="3" t="s">
        <v>40</v>
      </c>
      <c r="U51" s="3" t="s">
        <v>35</v>
      </c>
      <c r="V51" s="4" t="s">
        <v>30</v>
      </c>
      <c r="W51" s="3" t="s">
        <v>89</v>
      </c>
      <c r="X51" s="4" t="s">
        <v>400</v>
      </c>
      <c r="Y51" s="5"/>
      <c r="Z51" s="5"/>
      <c r="AA51" s="5"/>
      <c r="AB51" s="5"/>
      <c r="AC51" s="5"/>
      <c r="AD51" s="4" t="s">
        <v>399</v>
      </c>
      <c r="AE51" s="20" t="s">
        <v>761</v>
      </c>
      <c r="AF51" s="3" t="s">
        <v>681</v>
      </c>
      <c r="AG51" s="5"/>
      <c r="AH51" s="5"/>
      <c r="AI51" s="5"/>
      <c r="AJ51" s="3" t="s">
        <v>93</v>
      </c>
      <c r="AK51" s="21">
        <v>0</v>
      </c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22" customWidth="1"/>
    <col min="2" max="2" width="4.75" style="23" customWidth="1"/>
    <col min="3" max="3" width="5.875" style="22" customWidth="1"/>
    <col min="4" max="4" width="13.125" style="22" customWidth="1"/>
    <col min="5" max="6" width="16.75" style="22" customWidth="1"/>
    <col min="7" max="7" width="7.875" style="24" customWidth="1"/>
    <col min="8" max="10" width="6.625" style="22" customWidth="1"/>
    <col min="11" max="11" width="3.875" style="22" customWidth="1"/>
    <col min="12" max="12" width="4.625" style="22" customWidth="1"/>
    <col min="13" max="13" width="2.625" style="22" customWidth="1"/>
    <col min="14" max="14" width="2.5" style="22" customWidth="1"/>
    <col min="15" max="15" width="4.625" style="22" customWidth="1"/>
    <col min="16" max="16" width="5.375" style="22" customWidth="1"/>
    <col min="17" max="17" width="4.5" style="22" customWidth="1"/>
    <col min="18" max="18" width="3.25" style="22" customWidth="1"/>
    <col min="19" max="19" width="3.375" style="25" customWidth="1"/>
    <col min="20" max="20" width="7.875" style="22" customWidth="1"/>
    <col min="21" max="21" width="6.875" style="22" customWidth="1"/>
    <col min="22" max="22" width="4" style="25" customWidth="1"/>
    <col min="23" max="23" width="7.875" style="22" customWidth="1"/>
    <col min="24" max="26" width="3.875" style="22" customWidth="1"/>
    <col min="27" max="27" width="11.625" style="25" customWidth="1"/>
    <col min="28" max="29" width="4.625" style="25" customWidth="1"/>
    <col min="30" max="30" width="7.75" style="22" customWidth="1"/>
    <col min="31" max="31" width="5.625" style="22" customWidth="1"/>
    <col min="32" max="32" width="4.625" style="22" customWidth="1"/>
    <col min="33" max="33" width="11.625" style="25" customWidth="1"/>
    <col min="34" max="34" width="4.625" style="25" customWidth="1"/>
    <col min="35" max="35" width="10.125" style="25" customWidth="1"/>
    <col min="36" max="36" width="4.25" style="24" customWidth="1"/>
    <col min="37" max="37" width="14.375" style="26" customWidth="1"/>
    <col min="38" max="38" width="7.875" style="24" customWidth="1"/>
    <col min="39" max="39" width="7.125" style="22" customWidth="1"/>
    <col min="40" max="40" width="15.375" style="22" customWidth="1"/>
    <col min="41" max="16384" width="7.125" style="22" customWidth="1"/>
  </cols>
  <sheetData>
    <row r="1" ht="39.95" customHeight="1" spans="1:38" s="27" customFormat="1" x14ac:dyDescent="0.25">
      <c r="A1" s="28" t="s">
        <v>762</v>
      </c>
      <c r="B1" s="29"/>
      <c r="C1" s="30"/>
      <c r="G1" s="30"/>
      <c r="R1" s="31" t="s">
        <v>763</v>
      </c>
      <c r="S1" s="32"/>
      <c r="U1" s="33"/>
      <c r="V1" s="34"/>
      <c r="W1" s="28" t="s">
        <v>764</v>
      </c>
      <c r="X1" s="28"/>
      <c r="Y1" s="33"/>
      <c r="Z1" s="35"/>
      <c r="AA1" s="36">
        <f>SUM(AA3:AA1353)</f>
        <v>68575</v>
      </c>
      <c r="AB1" s="37"/>
      <c r="AC1" s="37"/>
      <c r="AF1" s="35"/>
      <c r="AG1" s="36">
        <f>SUM(AG3:AG1353)</f>
        <v>0</v>
      </c>
      <c r="AH1" s="36">
        <f>SUM(AH3:AH1353)</f>
        <v>0</v>
      </c>
      <c r="AI1" s="36">
        <f>SUM(AI3:AI1353)</f>
        <v>68575</v>
      </c>
      <c r="AK1" s="38"/>
      <c r="AL1" s="30"/>
    </row>
    <row r="2" ht="39.95" customHeight="1" spans="1:41" s="39" customFormat="1" x14ac:dyDescent="0.25">
      <c r="A2" s="40" t="s">
        <v>0</v>
      </c>
      <c r="B2" s="41" t="s">
        <v>765</v>
      </c>
      <c r="C2" s="42" t="s">
        <v>13</v>
      </c>
      <c r="D2" s="43" t="s">
        <v>16</v>
      </c>
      <c r="E2" s="43" t="s">
        <v>22</v>
      </c>
      <c r="F2" s="43" t="s">
        <v>249</v>
      </c>
      <c r="G2" s="44" t="s">
        <v>227</v>
      </c>
      <c r="H2" s="43" t="s">
        <v>237</v>
      </c>
      <c r="I2" s="43" t="s">
        <v>241</v>
      </c>
      <c r="J2" s="45" t="s">
        <v>248</v>
      </c>
      <c r="K2" s="46" t="s">
        <v>4</v>
      </c>
      <c r="L2" s="46" t="s">
        <v>300</v>
      </c>
      <c r="M2" s="43" t="s">
        <v>264</v>
      </c>
      <c r="N2" s="43" t="s">
        <v>266</v>
      </c>
      <c r="O2" s="43" t="s">
        <v>2</v>
      </c>
      <c r="P2" s="43" t="s">
        <v>3</v>
      </c>
      <c r="Q2" s="43" t="s">
        <v>234</v>
      </c>
      <c r="R2" s="47" t="s">
        <v>766</v>
      </c>
      <c r="S2" s="48" t="s">
        <v>767</v>
      </c>
      <c r="T2" s="43" t="s">
        <v>240</v>
      </c>
      <c r="U2" s="49" t="s">
        <v>768</v>
      </c>
      <c r="V2" s="50" t="s">
        <v>769</v>
      </c>
      <c r="W2" s="42" t="s">
        <v>770</v>
      </c>
      <c r="X2" s="49" t="s">
        <v>771</v>
      </c>
      <c r="Y2" s="49" t="s">
        <v>772</v>
      </c>
      <c r="Z2" s="49" t="s">
        <v>773</v>
      </c>
      <c r="AA2" s="51" t="s">
        <v>774</v>
      </c>
      <c r="AB2" s="52" t="s">
        <v>775</v>
      </c>
      <c r="AC2" s="52" t="s">
        <v>776</v>
      </c>
      <c r="AD2" s="47" t="s">
        <v>777</v>
      </c>
      <c r="AE2" s="47" t="s">
        <v>778</v>
      </c>
      <c r="AF2" s="49" t="s">
        <v>779</v>
      </c>
      <c r="AG2" s="51" t="s">
        <v>780</v>
      </c>
      <c r="AH2" s="52" t="s">
        <v>781</v>
      </c>
      <c r="AI2" s="51" t="s">
        <v>782</v>
      </c>
      <c r="AJ2" s="53" t="s">
        <v>20</v>
      </c>
      <c r="AK2" s="43" t="s">
        <v>261</v>
      </c>
      <c r="AL2" s="44" t="s">
        <v>313</v>
      </c>
      <c r="AM2" s="54" t="s">
        <v>783</v>
      </c>
      <c r="AN2" s="55" t="s">
        <v>784</v>
      </c>
      <c r="AO2" s="55" t="s">
        <v>785</v>
      </c>
    </row>
    <row r="3" ht="12.95" customHeight="1" spans="1:41" x14ac:dyDescent="0.25">
      <c r="A3" s="3" t="s">
        <v>29</v>
      </c>
      <c r="B3" s="56" t="str">
        <f>IF(C3=Charge!$M$1,Charge!$J$1,IF(C3=Charge!$M$23,Charge!$J$23,IF(C3=Charge!$M$17,Charge!$J$17,IF(C3=Charge!$N$17,Charge!$J$17,Charge!$J$7))))</f>
        <v>G3</v>
      </c>
      <c r="C3" s="57" t="str">
        <f>VLOOKUP(A3,'1.Loading'!A:R,14,FALSE)</f>
        <v>BKK01</v>
      </c>
      <c r="D3" s="57" t="str">
        <f>VLOOKUP(A3,'1.Loading'!A:R,17,FALSE)</f>
        <v>HASLS22260900337</v>
      </c>
      <c r="E3" s="58" t="str">
        <f>VLOOKUP(D3,'2.Bookinglist'!A:CT,27,FALSE)</f>
        <v>VARA FOOD &amp; DRINK CO., LTD.</v>
      </c>
      <c r="F3" s="58" t="str">
        <f>VLOOKUP(D3,'2.Bookinglist'!A:CT,28,FALSE)</f>
        <v>VARA FOOD &amp; DRINK CO., LTD.</v>
      </c>
      <c r="G3" s="59">
        <f>VLOOKUP(D3,'2.Bookinglist'!A:E,5,FALSE)</f>
        <v>0</v>
      </c>
      <c r="H3" s="57" t="str">
        <f>VLOOKUP(D3,'2.Bookinglist'!A:CT,15,FALSE)</f>
        <v>THBKK</v>
      </c>
      <c r="I3" s="57" t="str">
        <f>VLOOKUP(D3,'2.Bookinglist'!A:CT,19,FALSE)</f>
        <v>HKHKG</v>
      </c>
      <c r="J3" s="57">
        <f>VLOOKUP(D3,'2.Bookinglist'!A:CT,26,FALSE)</f>
        <v>0</v>
      </c>
      <c r="K3" s="57" t="str">
        <f>VLOOKUP(A3,'1.Loading'!A:R,5,FALSE)</f>
        <v>22GP</v>
      </c>
      <c r="L3" s="59" t="str">
        <f>VLOOKUP(D3,'2.Bookinglist'!A:CT,85,FALSE)</f>
        <v>CY/CY</v>
      </c>
      <c r="M3" s="59" t="str">
        <f>IF(VLOOKUP(D3,'2.Bookinglist'!A:CT,43,FALSE)=0,"","DG")</f>
        <v/>
      </c>
      <c r="N3" s="59" t="str">
        <f>IF(RIGHT(K3,2)="RE","RF","")</f>
        <v/>
      </c>
      <c r="O3" s="57" t="str">
        <f>VLOOKUP(A3,'1.Loading'!A:R,3,FALSE)</f>
        <v>SKOR</v>
      </c>
      <c r="P3" s="57" t="str">
        <f>VLOOKUP(A3,'1.Loading'!A:R,4,FALSE)</f>
        <v>2612N</v>
      </c>
      <c r="Q3" s="57" t="str">
        <f>VLOOKUP(D3,'2.Bookinglist'!A:CT,12,FALSE)</f>
        <v>VTS</v>
      </c>
      <c r="R3" s="59" t="str">
        <f>IF(LEFT(K3,2)="22","20'","40'")</f>
        <v>20'</v>
      </c>
      <c r="S3" s="41"/>
      <c r="T3" s="57" t="str">
        <f>VLOOKUP(A3,'1.Loading'!A:R,2,FALSE)</f>
        <v>2026-10-24</v>
      </c>
      <c r="U3" s="60">
        <f>T3-S3</f>
        <v>46319</v>
      </c>
      <c r="V3" s="61"/>
      <c r="W3" s="57" t="str">
        <f>VLOOKUP(A3,'3.GateMove'!A:D,4,FALSE)</f>
        <v>2026-10-17</v>
      </c>
      <c r="X3" s="60">
        <f>((T3-W3)+1)</f>
        <v>8</v>
      </c>
      <c r="Y3" s="62">
        <f>IF(AND(OR(C3="BKK01",C3="BKK04"),L3="CFS/CY"),0,IF(M3="DG",1,IF(LEFT(C3,3)="LCH",7,IF(C3="BKK02",5,3))))</f>
        <v>3</v>
      </c>
      <c r="Z3" s="60">
        <f>IF(IF(AND(AC3="TML",AB3&gt;0),((T3-W3)+1)-AB3,((T3-W3)+1)-Y3)&gt;0,IF(AND(AC3="TML",AB3&gt;0),((T3-W3)+1)-AB3,((T3-W3)+1)-Y3),0)</f>
        <v>5</v>
      </c>
      <c r="AA3" s="51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800</v>
      </c>
      <c r="AB3" s="56"/>
      <c r="AC3" s="56"/>
      <c r="AD3" s="59">
        <f>IF(M3="DG",3,IF(N3="RF",3,5))+IF(AND(LEFT(C3,3)="BKK",N3="RF",Q3="KTS"),1,0)+IF(Q3="KHS",1,0)</f>
        <v>5</v>
      </c>
      <c r="AE3" s="60">
        <f>(T3-V3)+1</f>
        <v>46320</v>
      </c>
      <c r="AF3" s="60">
        <f>IF(AB3&gt;IF((V3-W3)&gt;0,V3-W3,0),0,IF(AB3&lt;IF((V3-W3)&gt;0,V3-W3,0),IF((V3-W3)&gt;0,V3-W3,0)-AB3,IF((V3-W3)&gt;0,V3-W3,0)))</f>
        <v>0</v>
      </c>
      <c r="AG3" s="51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3"/>
      <c r="AI3" s="63">
        <f>AA3-AH3</f>
        <v>800</v>
      </c>
      <c r="AJ3" s="64"/>
      <c r="AK3" s="58" t="str">
        <f>VLOOKUP(D3,'2.Bookinglist'!A:CT,40,FALSE)</f>
        <v>Nustsireerach</v>
      </c>
      <c r="AL3" s="59" t="str">
        <f>VLOOKUP(D3,'2.Bookinglist'!A:CW,101,FALSE)</f>
        <v>2026-10-16</v>
      </c>
      <c r="AM3" s="59" t="str">
        <f>VLOOKUP(D3,'2.Bookinglist'!A:BK,63,FALSE)</f>
        <v>BKK25</v>
      </c>
      <c r="AN3" s="58" t="str">
        <f>VLOOKUP(D3,'2.Bookinglist'!A:AZ,52,FALSE)</f>
        <v>Pickup : 2026-10-14, Return : 2026-10-15</v>
      </c>
      <c r="AO3" s="58">
        <f>VLOOKUP(D3,'2.Bookinglist'!A:CY,103,FALSE)</f>
        <v>0</v>
      </c>
    </row>
    <row r="4" ht="12.95" customHeight="1" spans="1:41" x14ac:dyDescent="0.25">
      <c r="A4" s="3" t="s">
        <v>51</v>
      </c>
      <c r="B4" s="56" t="str">
        <f>IF(C4=Charge!$M$1,Charge!$J$1,IF(C4=Charge!$M$23,Charge!$J$23,IF(C4=Charge!$M$17,Charge!$J$17,IF(C4=Charge!$N$17,Charge!$J$17,Charge!$J$7))))</f>
        <v>G3</v>
      </c>
      <c r="C4" s="57" t="str">
        <f>VLOOKUP(A4,'1.Loading'!A:R,14,FALSE)</f>
        <v>BKK01</v>
      </c>
      <c r="D4" s="57" t="str">
        <f>VLOOKUP(A4,'1.Loading'!A:R,17,FALSE)</f>
        <v>HASLS22260900333</v>
      </c>
      <c r="E4" s="58" t="str">
        <f>VLOOKUP(D4,'2.Bookinglist'!A:CT,27,FALSE)</f>
        <v>VARA FOOD &amp; DRINK CO., LTD.</v>
      </c>
      <c r="F4" s="58" t="str">
        <f>VLOOKUP(D4,'2.Bookinglist'!A:CT,28,FALSE)</f>
        <v>VARA FOOD &amp; DRINK CO., LTD.</v>
      </c>
      <c r="G4" s="59">
        <f>VLOOKUP(D4,'2.Bookinglist'!A:E,5,FALSE)</f>
        <v>0</v>
      </c>
      <c r="H4" s="57" t="str">
        <f>VLOOKUP(D4,'2.Bookinglist'!A:CT,15,FALSE)</f>
        <v>THBKK</v>
      </c>
      <c r="I4" s="57" t="str">
        <f>VLOOKUP(D4,'2.Bookinglist'!A:CT,19,FALSE)</f>
        <v>HKHKG</v>
      </c>
      <c r="J4" s="57">
        <f>VLOOKUP(D4,'2.Bookinglist'!A:CT,26,FALSE)</f>
        <v>0</v>
      </c>
      <c r="K4" s="57" t="str">
        <f>VLOOKUP(A4,'1.Loading'!A:R,5,FALSE)</f>
        <v>22GP</v>
      </c>
      <c r="L4" s="59" t="str">
        <f>VLOOKUP(D4,'2.Bookinglist'!A:CT,85,FALSE)</f>
        <v>CY/CY</v>
      </c>
      <c r="M4" s="59" t="str">
        <f>IF(VLOOKUP(D4,'2.Bookinglist'!A:CT,43,FALSE)=0,"","DG")</f>
        <v/>
      </c>
      <c r="N4" s="59" t="str">
        <f>IF(RIGHT(K4,2)="RE","RF","")</f>
        <v/>
      </c>
      <c r="O4" s="57" t="str">
        <f>VLOOKUP(A4,'1.Loading'!A:R,3,FALSE)</f>
        <v>SKOR</v>
      </c>
      <c r="P4" s="57" t="str">
        <f>VLOOKUP(A4,'1.Loading'!A:R,4,FALSE)</f>
        <v>2612N</v>
      </c>
      <c r="Q4" s="57" t="str">
        <f>VLOOKUP(D4,'2.Bookinglist'!A:CT,12,FALSE)</f>
        <v>VTS</v>
      </c>
      <c r="R4" s="59" t="str">
        <f>IF(LEFT(K4,2)="22","20'","40'")</f>
        <v>20'</v>
      </c>
      <c r="S4" s="41"/>
      <c r="T4" s="57" t="str">
        <f>VLOOKUP(A4,'1.Loading'!A:R,2,FALSE)</f>
        <v>2026-10-24</v>
      </c>
      <c r="U4" s="60">
        <f>T4-S4</f>
        <v>46319</v>
      </c>
      <c r="V4" s="61"/>
      <c r="W4" s="57" t="str">
        <f>VLOOKUP(A4,'3.GateMove'!A:D,4,FALSE)</f>
        <v>2026-10-17</v>
      </c>
      <c r="X4" s="60">
        <f>((T4-W4)+1)</f>
        <v>8</v>
      </c>
      <c r="Y4" s="62">
        <f>IF(AND(OR(C4="BKK01",C4="BKK04"),L4="CFS/CY"),0,IF(M4="DG",1,IF(LEFT(C4,3)="LCH",7,IF(C4="BKK02",5,3))))</f>
        <v>3</v>
      </c>
      <c r="Z4" s="60">
        <f>IF(IF(AND(AC4="TML",AB4&gt;0),((T4-W4)+1)-AB4,((T4-W4)+1)-Y4)&gt;0,IF(AND(AC4="TML",AB4&gt;0),((T4-W4)+1)-AB4,((T4-W4)+1)-Y4),0)</f>
        <v>5</v>
      </c>
      <c r="AA4" s="51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800</v>
      </c>
      <c r="AB4" s="56"/>
      <c r="AC4" s="56"/>
      <c r="AD4" s="59">
        <f>IF(M4="DG",3,IF(N4="RF",3,5))+IF(AND(LEFT(C4,3)="BKK",N4="RF",Q4="KTS"),1,0)+IF(Q4="KHS",1,0)</f>
        <v>5</v>
      </c>
      <c r="AE4" s="60">
        <f>(T4-V4)+1</f>
        <v>46320</v>
      </c>
      <c r="AF4" s="60">
        <f>IF(AB4&gt;IF((V4-W4)&gt;0,V4-W4,0),0,IF(AB4&lt;IF((V4-W4)&gt;0,V4-W4,0),IF((V4-W4)&gt;0,V4-W4,0)-AB4,IF((V4-W4)&gt;0,V4-W4,0)))</f>
        <v>0</v>
      </c>
      <c r="AG4" s="51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3"/>
      <c r="AI4" s="63">
        <f>AA4-AH4</f>
        <v>800</v>
      </c>
      <c r="AJ4" s="64"/>
      <c r="AK4" s="58" t="str">
        <f>VLOOKUP(D4,'2.Bookinglist'!A:CT,40,FALSE)</f>
        <v>Nustsireerach</v>
      </c>
      <c r="AL4" s="59" t="str">
        <f>VLOOKUP(D4,'2.Bookinglist'!A:CW,101,FALSE)</f>
        <v>2026-10-16</v>
      </c>
      <c r="AM4" s="59" t="str">
        <f>VLOOKUP(D4,'2.Bookinglist'!A:BK,63,FALSE)</f>
        <v>BKK25</v>
      </c>
      <c r="AN4" s="58" t="str">
        <f>VLOOKUP(D4,'2.Bookinglist'!A:AZ,52,FALSE)</f>
        <v>Pickup : 2026-10-14, Return : 2026-10-15</v>
      </c>
      <c r="AO4" s="58">
        <f>VLOOKUP(D4,'2.Bookinglist'!A:CY,103,FALSE)</f>
        <v>0</v>
      </c>
    </row>
    <row r="5" ht="12.95" customHeight="1" spans="1:41" x14ac:dyDescent="0.25">
      <c r="A5" s="3" t="s">
        <v>55</v>
      </c>
      <c r="B5" s="56" t="str">
        <f>IF(C5=Charge!$M$1,Charge!$J$1,IF(C5=Charge!$M$23,Charge!$J$23,IF(C5=Charge!$M$17,Charge!$J$17,IF(C5=Charge!$N$17,Charge!$J$17,Charge!$J$7))))</f>
        <v>G3</v>
      </c>
      <c r="C5" s="57" t="str">
        <f>VLOOKUP(A5,'1.Loading'!A:R,14,FALSE)</f>
        <v>BKK01</v>
      </c>
      <c r="D5" s="57" t="str">
        <f>VLOOKUP(A5,'1.Loading'!A:R,17,FALSE)</f>
        <v>HASLS22260901049</v>
      </c>
      <c r="E5" s="58" t="str">
        <f>VLOOKUP(D5,'2.Bookinglist'!A:CT,27,FALSE)</f>
        <v>DSV AIR &amp; SEA LTD.</v>
      </c>
      <c r="F5" s="58" t="str">
        <f>VLOOKUP(D5,'2.Bookinglist'!A:CT,28,FALSE)</f>
        <v>CHEVRON (THAILAND) LIMITED</v>
      </c>
      <c r="G5" s="59">
        <f>VLOOKUP(D5,'2.Bookinglist'!A:E,5,FALSE)</f>
        <v>0</v>
      </c>
      <c r="H5" s="57" t="str">
        <f>VLOOKUP(D5,'2.Bookinglist'!A:CT,15,FALSE)</f>
        <v>THBKK</v>
      </c>
      <c r="I5" s="57" t="str">
        <f>VLOOKUP(D5,'2.Bookinglist'!A:CT,19,FALSE)</f>
        <v>HKHKG</v>
      </c>
      <c r="J5" s="57">
        <f>VLOOKUP(D5,'2.Bookinglist'!A:CT,26,FALSE)</f>
        <v>0</v>
      </c>
      <c r="K5" s="57" t="str">
        <f>VLOOKUP(A5,'1.Loading'!A:R,5,FALSE)</f>
        <v>22GP</v>
      </c>
      <c r="L5" s="59" t="str">
        <f>VLOOKUP(D5,'2.Bookinglist'!A:CT,85,FALSE)</f>
        <v>CY/CY</v>
      </c>
      <c r="M5" s="59" t="str">
        <f>IF(VLOOKUP(D5,'2.Bookinglist'!A:CT,43,FALSE)=0,"","DG")</f>
        <v/>
      </c>
      <c r="N5" s="59" t="str">
        <f>IF(RIGHT(K5,2)="RE","RF","")</f>
        <v/>
      </c>
      <c r="O5" s="57" t="str">
        <f>VLOOKUP(A5,'1.Loading'!A:R,3,FALSE)</f>
        <v>SKOR</v>
      </c>
      <c r="P5" s="57" t="str">
        <f>VLOOKUP(A5,'1.Loading'!A:R,4,FALSE)</f>
        <v>2612N</v>
      </c>
      <c r="Q5" s="57" t="str">
        <f>VLOOKUP(D5,'2.Bookinglist'!A:CT,12,FALSE)</f>
        <v>VTS</v>
      </c>
      <c r="R5" s="59" t="str">
        <f>IF(LEFT(K5,2)="22","20'","40'")</f>
        <v>20'</v>
      </c>
      <c r="S5" s="41"/>
      <c r="T5" s="57" t="str">
        <f>VLOOKUP(A5,'1.Loading'!A:R,2,FALSE)</f>
        <v>2026-10-24</v>
      </c>
      <c r="U5" s="60">
        <f>T5-S5</f>
        <v>46319</v>
      </c>
      <c r="V5" s="61"/>
      <c r="W5" s="57" t="str">
        <f>VLOOKUP(A5,'3.GateMove'!A:D,4,FALSE)</f>
        <v>2026-10-16</v>
      </c>
      <c r="X5" s="60">
        <f>((T5-W5)+1)</f>
        <v>9</v>
      </c>
      <c r="Y5" s="62">
        <f>IF(AND(OR(C5="BKK01",C5="BKK04"),L5="CFS/CY"),0,IF(M5="DG",1,IF(LEFT(C5,3)="LCH",7,IF(C5="BKK02",5,3))))</f>
        <v>3</v>
      </c>
      <c r="Z5" s="60">
        <f>IF(IF(AND(AC5="TML",AB5&gt;0),((T5-W5)+1)-AB5,((T5-W5)+1)-Y5)&gt;0,IF(AND(AC5="TML",AB5&gt;0),((T5-W5)+1)-AB5,((T5-W5)+1)-Y5),0)</f>
        <v>6</v>
      </c>
      <c r="AA5" s="51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56"/>
      <c r="AC5" s="56"/>
      <c r="AD5" s="59">
        <f>IF(M5="DG",3,IF(N5="RF",3,5))+IF(AND(LEFT(C5,3)="BKK",N5="RF",Q5="KTS"),1,0)+IF(Q5="KHS",1,0)</f>
        <v>5</v>
      </c>
      <c r="AE5" s="60">
        <f>(T5-V5)+1</f>
        <v>46320</v>
      </c>
      <c r="AF5" s="60">
        <f>IF(AB5&gt;IF((V5-W5)&gt;0,V5-W5,0),0,IF(AB5&lt;IF((V5-W5)&gt;0,V5-W5,0),IF((V5-W5)&gt;0,V5-W5,0)-AB5,IF((V5-W5)&gt;0,V5-W5,0)))</f>
        <v>0</v>
      </c>
      <c r="AG5" s="51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3"/>
      <c r="AI5" s="63">
        <f>AA5-AH5</f>
        <v>960</v>
      </c>
      <c r="AJ5" s="64"/>
      <c r="AK5" s="58" t="str">
        <f>VLOOKUP(D5,'2.Bookinglist'!A:CT,40,FALSE)</f>
        <v>Nannaapust Sukporntaweewat</v>
      </c>
      <c r="AL5" s="59" t="str">
        <f>VLOOKUP(D5,'2.Bookinglist'!A:CW,101,FALSE)</f>
        <v>2026-10-20</v>
      </c>
      <c r="AM5" s="59" t="str">
        <f>VLOOKUP(D5,'2.Bookinglist'!A:BK,63,FALSE)</f>
        <v>BKK25</v>
      </c>
      <c r="AN5" s="58" t="str">
        <f>VLOOKUP(D5,'2.Bookinglist'!A:AZ,52,FALSE)</f>
        <v>Pickup : 2026-10-14, Return : 2026-10-16</v>
      </c>
      <c r="AO5" s="58">
        <f>VLOOKUP(D5,'2.Bookinglist'!A:CY,103,FALSE)</f>
        <v>0</v>
      </c>
    </row>
    <row r="6" ht="12.95" customHeight="1" spans="1:41" x14ac:dyDescent="0.25">
      <c r="A6" s="3" t="s">
        <v>60</v>
      </c>
      <c r="B6" s="56" t="str">
        <f>IF(C6=Charge!$M$1,Charge!$J$1,IF(C6=Charge!$M$23,Charge!$J$23,IF(C6=Charge!$M$17,Charge!$J$17,IF(C6=Charge!$N$17,Charge!$J$17,Charge!$J$7))))</f>
        <v>G3</v>
      </c>
      <c r="C6" s="57" t="str">
        <f>VLOOKUP(A6,'1.Loading'!A:R,14,FALSE)</f>
        <v>BKK01</v>
      </c>
      <c r="D6" s="57" t="str">
        <f>VLOOKUP(A6,'1.Loading'!A:R,17,FALSE)</f>
        <v>HASLS22261000291</v>
      </c>
      <c r="E6" s="58" t="str">
        <f>VLOOKUP(D6,'2.Bookinglist'!A:CT,27,FALSE)</f>
        <v>YUSEN LOGISTICS (THAILAND) CO., LTD.</v>
      </c>
      <c r="F6" s="58" t="str">
        <f>VLOOKUP(D6,'2.Bookinglist'!A:CT,28,FALSE)</f>
        <v>CHEF'S CHOICE FOODS MANUFACTURER CO., LTD.</v>
      </c>
      <c r="G6" s="59">
        <f>VLOOKUP(D6,'2.Bookinglist'!A:E,5,FALSE)</f>
        <v>0</v>
      </c>
      <c r="H6" s="57" t="str">
        <f>VLOOKUP(D6,'2.Bookinglist'!A:CT,15,FALSE)</f>
        <v>THBKK</v>
      </c>
      <c r="I6" s="57" t="str">
        <f>VLOOKUP(D6,'2.Bookinglist'!A:CT,19,FALSE)</f>
        <v>HKHKG</v>
      </c>
      <c r="J6" s="57">
        <f>VLOOKUP(D6,'2.Bookinglist'!A:CT,26,FALSE)</f>
        <v>0</v>
      </c>
      <c r="K6" s="57" t="str">
        <f>VLOOKUP(A6,'1.Loading'!A:R,5,FALSE)</f>
        <v>22GP</v>
      </c>
      <c r="L6" s="59" t="str">
        <f>VLOOKUP(D6,'2.Bookinglist'!A:CT,85,FALSE)</f>
        <v>CY/CY</v>
      </c>
      <c r="M6" s="59" t="str">
        <f>IF(VLOOKUP(D6,'2.Bookinglist'!A:CT,43,FALSE)=0,"","DG")</f>
        <v/>
      </c>
      <c r="N6" s="59" t="str">
        <f>IF(RIGHT(K6,2)="RE","RF","")</f>
        <v/>
      </c>
      <c r="O6" s="57" t="str">
        <f>VLOOKUP(A6,'1.Loading'!A:R,3,FALSE)</f>
        <v>SKOR</v>
      </c>
      <c r="P6" s="57" t="str">
        <f>VLOOKUP(A6,'1.Loading'!A:R,4,FALSE)</f>
        <v>2612N</v>
      </c>
      <c r="Q6" s="57" t="str">
        <f>VLOOKUP(D6,'2.Bookinglist'!A:CT,12,FALSE)</f>
        <v>VTS</v>
      </c>
      <c r="R6" s="59" t="str">
        <f>IF(LEFT(K6,2)="22","20'","40'")</f>
        <v>20'</v>
      </c>
      <c r="S6" s="41"/>
      <c r="T6" s="57" t="str">
        <f>VLOOKUP(A6,'1.Loading'!A:R,2,FALSE)</f>
        <v>2026-10-24</v>
      </c>
      <c r="U6" s="60">
        <f>T6-S6</f>
        <v>46319</v>
      </c>
      <c r="V6" s="61"/>
      <c r="W6" s="57" t="str">
        <f>VLOOKUP(A6,'3.GateMove'!A:D,4,FALSE)</f>
        <v>2026-10-17</v>
      </c>
      <c r="X6" s="60">
        <f>((T6-W6)+1)</f>
        <v>8</v>
      </c>
      <c r="Y6" s="62">
        <f>IF(AND(OR(C6="BKK01",C6="BKK04"),L6="CFS/CY"),0,IF(M6="DG",1,IF(LEFT(C6,3)="LCH",7,IF(C6="BKK02",5,3))))</f>
        <v>3</v>
      </c>
      <c r="Z6" s="60">
        <f>IF(IF(AND(AC6="TML",AB6&gt;0),((T6-W6)+1)-AB6,((T6-W6)+1)-Y6)&gt;0,IF(AND(AC6="TML",AB6&gt;0),((T6-W6)+1)-AB6,((T6-W6)+1)-Y6),0)</f>
        <v>5</v>
      </c>
      <c r="AA6" s="51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800</v>
      </c>
      <c r="AB6" s="56"/>
      <c r="AC6" s="56"/>
      <c r="AD6" s="59">
        <f>IF(M6="DG",3,IF(N6="RF",3,5))+IF(AND(LEFT(C6,3)="BKK",N6="RF",Q6="KTS"),1,0)+IF(Q6="KHS",1,0)</f>
        <v>5</v>
      </c>
      <c r="AE6" s="60">
        <f>(T6-V6)+1</f>
        <v>46320</v>
      </c>
      <c r="AF6" s="60">
        <f>IF(AB6&gt;IF((V6-W6)&gt;0,V6-W6,0),0,IF(AB6&lt;IF((V6-W6)&gt;0,V6-W6,0),IF((V6-W6)&gt;0,V6-W6,0)-AB6,IF((V6-W6)&gt;0,V6-W6,0)))</f>
        <v>0</v>
      </c>
      <c r="AG6" s="51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3"/>
      <c r="AI6" s="63">
        <f>AA6-AH6</f>
        <v>800</v>
      </c>
      <c r="AJ6" s="64"/>
      <c r="AK6" s="58" t="str">
        <f>VLOOKUP(D6,'2.Bookinglist'!A:CT,40,FALSE)</f>
        <v>Vilaiporn</v>
      </c>
      <c r="AL6" s="59" t="str">
        <f>VLOOKUP(D6,'2.Bookinglist'!A:CW,101,FALSE)</f>
        <v>2026-10-20</v>
      </c>
      <c r="AM6" s="59" t="str">
        <f>VLOOKUP(D6,'2.Bookinglist'!A:BK,63,FALSE)</f>
        <v>BKK27</v>
      </c>
      <c r="AN6" s="58" t="str">
        <f>VLOOKUP(D6,'2.Bookinglist'!A:AZ,52,FALSE)</f>
        <v>Pickup : 2026-10-14, Return : 2026-10-16 </v>
      </c>
      <c r="AO6" s="58">
        <f>VLOOKUP(D6,'2.Bookinglist'!A:CY,103,FALSE)</f>
        <v>0</v>
      </c>
    </row>
    <row r="7" ht="12.95" customHeight="1" spans="1:41" x14ac:dyDescent="0.25">
      <c r="A7" s="3" t="s">
        <v>65</v>
      </c>
      <c r="B7" s="56" t="str">
        <f>IF(C7=Charge!$M$1,Charge!$J$1,IF(C7=Charge!$M$23,Charge!$J$23,IF(C7=Charge!$M$17,Charge!$J$17,IF(C7=Charge!$N$17,Charge!$J$17,Charge!$J$7))))</f>
        <v>G3</v>
      </c>
      <c r="C7" s="57" t="str">
        <f>VLOOKUP(A7,'1.Loading'!A:R,14,FALSE)</f>
        <v>BKK01</v>
      </c>
      <c r="D7" s="57" t="str">
        <f>VLOOKUP(A7,'1.Loading'!A:R,17,FALSE)</f>
        <v>HASLS22260901473</v>
      </c>
      <c r="E7" s="58" t="str">
        <f>VLOOKUP(D7,'2.Bookinglist'!A:CT,27,FALSE)</f>
        <v>DIMERCO EXPRESS (THAILAND) CO., LTD.</v>
      </c>
      <c r="F7" s="58" t="str">
        <f>VLOOKUP(D7,'2.Bookinglist'!A:CT,28,FALSE)</f>
        <v>ASIA MODIFIED STARCH CO.,LTD.</v>
      </c>
      <c r="G7" s="59">
        <f>VLOOKUP(D7,'2.Bookinglist'!A:E,5,FALSE)</f>
        <v>0</v>
      </c>
      <c r="H7" s="57" t="str">
        <f>VLOOKUP(D7,'2.Bookinglist'!A:CT,15,FALSE)</f>
        <v>THBKK</v>
      </c>
      <c r="I7" s="57" t="str">
        <f>VLOOKUP(D7,'2.Bookinglist'!A:CT,19,FALSE)</f>
        <v>CNXMN</v>
      </c>
      <c r="J7" s="57">
        <f>VLOOKUP(D7,'2.Bookinglist'!A:CT,26,FALSE)</f>
        <v>0</v>
      </c>
      <c r="K7" s="57" t="str">
        <f>VLOOKUP(A7,'1.Loading'!A:R,5,FALSE)</f>
        <v>22GP</v>
      </c>
      <c r="L7" s="59" t="str">
        <f>VLOOKUP(D7,'2.Bookinglist'!A:CT,85,FALSE)</f>
        <v>CY/CY</v>
      </c>
      <c r="M7" s="59" t="str">
        <f>IF(VLOOKUP(D7,'2.Bookinglist'!A:CT,43,FALSE)=0,"","DG")</f>
        <v/>
      </c>
      <c r="N7" s="59" t="str">
        <f>IF(RIGHT(K7,2)="RE","RF","")</f>
        <v/>
      </c>
      <c r="O7" s="57" t="str">
        <f>VLOOKUP(A7,'1.Loading'!A:R,3,FALSE)</f>
        <v>SKOR</v>
      </c>
      <c r="P7" s="57" t="str">
        <f>VLOOKUP(A7,'1.Loading'!A:R,4,FALSE)</f>
        <v>2612N</v>
      </c>
      <c r="Q7" s="57" t="str">
        <f>VLOOKUP(D7,'2.Bookinglist'!A:CT,12,FALSE)</f>
        <v>VTS</v>
      </c>
      <c r="R7" s="59" t="str">
        <f>IF(LEFT(K7,2)="22","20'","40'")</f>
        <v>20'</v>
      </c>
      <c r="S7" s="41"/>
      <c r="T7" s="57" t="str">
        <f>VLOOKUP(A7,'1.Loading'!A:R,2,FALSE)</f>
        <v>2026-10-24</v>
      </c>
      <c r="U7" s="60">
        <f>T7-S7</f>
        <v>46319</v>
      </c>
      <c r="V7" s="61"/>
      <c r="W7" s="57" t="str">
        <f>VLOOKUP(A7,'3.GateMove'!A:D,4,FALSE)</f>
        <v>2026-10-16</v>
      </c>
      <c r="X7" s="60">
        <f>((T7-W7)+1)</f>
        <v>9</v>
      </c>
      <c r="Y7" s="62">
        <f>IF(AND(OR(C7="BKK01",C7="BKK04"),L7="CFS/CY"),0,IF(M7="DG",1,IF(LEFT(C7,3)="LCH",7,IF(C7="BKK02",5,3))))</f>
        <v>3</v>
      </c>
      <c r="Z7" s="60">
        <f>IF(IF(AND(AC7="TML",AB7&gt;0),((T7-W7)+1)-AB7,((T7-W7)+1)-Y7)&gt;0,IF(AND(AC7="TML",AB7&gt;0),((T7-W7)+1)-AB7,((T7-W7)+1)-Y7),0)</f>
        <v>6</v>
      </c>
      <c r="AA7" s="51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960</v>
      </c>
      <c r="AB7" s="56"/>
      <c r="AC7" s="56"/>
      <c r="AD7" s="59">
        <f>IF(M7="DG",3,IF(N7="RF",3,5))+IF(AND(LEFT(C7,3)="BKK",N7="RF",Q7="KTS"),1,0)+IF(Q7="KHS",1,0)</f>
        <v>5</v>
      </c>
      <c r="AE7" s="60">
        <f>(T7-V7)+1</f>
        <v>46320</v>
      </c>
      <c r="AF7" s="60">
        <f>IF(AB7&gt;IF((V7-W7)&gt;0,V7-W7,0),0,IF(AB7&lt;IF((V7-W7)&gt;0,V7-W7,0),IF((V7-W7)&gt;0,V7-W7,0)-AB7,IF((V7-W7)&gt;0,V7-W7,0)))</f>
        <v>0</v>
      </c>
      <c r="AG7" s="51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3"/>
      <c r="AI7" s="63">
        <f>AA7-AH7</f>
        <v>960</v>
      </c>
      <c r="AJ7" s="64"/>
      <c r="AK7" s="58" t="str">
        <f>VLOOKUP(D7,'2.Bookinglist'!A:CT,40,FALSE)</f>
        <v>Nustsireerach</v>
      </c>
      <c r="AL7" s="59" t="str">
        <f>VLOOKUP(D7,'2.Bookinglist'!A:CW,101,FALSE)</f>
        <v>2026-10-18</v>
      </c>
      <c r="AM7" s="59" t="str">
        <f>VLOOKUP(D7,'2.Bookinglist'!A:BK,63,FALSE)</f>
        <v>BKK27</v>
      </c>
      <c r="AN7" s="58" t="str">
        <f>VLOOKUP(D7,'2.Bookinglist'!A:AZ,52,FALSE)</f>
        <v>Pickup : 2026-10-14, Return : 2026-10-16 
 </v>
      </c>
      <c r="AO7" s="58">
        <f>VLOOKUP(D7,'2.Bookinglist'!A:CY,103,FALSE)</f>
        <v>0</v>
      </c>
    </row>
    <row r="8" ht="12.95" customHeight="1" spans="1:41" x14ac:dyDescent="0.25">
      <c r="A8" s="3" t="s">
        <v>73</v>
      </c>
      <c r="B8" s="56" t="str">
        <f>IF(C8=Charge!$M$1,Charge!$J$1,IF(C8=Charge!$M$23,Charge!$J$23,IF(C8=Charge!$M$17,Charge!$J$17,IF(C8=Charge!$N$17,Charge!$J$17,Charge!$J$7))))</f>
        <v>G3</v>
      </c>
      <c r="C8" s="57" t="str">
        <f>VLOOKUP(A8,'1.Loading'!A:R,14,FALSE)</f>
        <v>BKK01</v>
      </c>
      <c r="D8" s="57" t="str">
        <f>VLOOKUP(A8,'1.Loading'!A:R,17,FALSE)</f>
        <v>HASLS22260901437</v>
      </c>
      <c r="E8" s="58" t="str">
        <f>VLOOKUP(D8,'2.Bookinglist'!A:CT,27,FALSE)</f>
        <v>ONE WORLD LOGISTICS AND FREIGHT CO., LTD.</v>
      </c>
      <c r="F8" s="58" t="str">
        <f>VLOOKUP(D8,'2.Bookinglist'!A:CT,28,FALSE)</f>
        <v>DUNI (THAILAND) CO., LTD.</v>
      </c>
      <c r="G8" s="59">
        <f>VLOOKUP(D8,'2.Bookinglist'!A:E,5,FALSE)</f>
        <v>0</v>
      </c>
      <c r="H8" s="57" t="str">
        <f>VLOOKUP(D8,'2.Bookinglist'!A:CT,15,FALSE)</f>
        <v>THBKK</v>
      </c>
      <c r="I8" s="57" t="str">
        <f>VLOOKUP(D8,'2.Bookinglist'!A:CT,19,FALSE)</f>
        <v>HKHKG</v>
      </c>
      <c r="J8" s="57">
        <f>VLOOKUP(D8,'2.Bookinglist'!A:CT,26,FALSE)</f>
        <v>0</v>
      </c>
      <c r="K8" s="57" t="str">
        <f>VLOOKUP(A8,'1.Loading'!A:R,5,FALSE)</f>
        <v>22GP</v>
      </c>
      <c r="L8" s="59" t="str">
        <f>VLOOKUP(D8,'2.Bookinglist'!A:CT,85,FALSE)</f>
        <v>CY/CY</v>
      </c>
      <c r="M8" s="59" t="str">
        <f>IF(VLOOKUP(D8,'2.Bookinglist'!A:CT,43,FALSE)=0,"","DG")</f>
        <v/>
      </c>
      <c r="N8" s="59" t="str">
        <f>IF(RIGHT(K8,2)="RE","RF","")</f>
        <v/>
      </c>
      <c r="O8" s="57" t="str">
        <f>VLOOKUP(A8,'1.Loading'!A:R,3,FALSE)</f>
        <v>SKOR</v>
      </c>
      <c r="P8" s="57" t="str">
        <f>VLOOKUP(A8,'1.Loading'!A:R,4,FALSE)</f>
        <v>2612N</v>
      </c>
      <c r="Q8" s="57" t="str">
        <f>VLOOKUP(D8,'2.Bookinglist'!A:CT,12,FALSE)</f>
        <v>VTS</v>
      </c>
      <c r="R8" s="59" t="str">
        <f>IF(LEFT(K8,2)="22","20'","40'")</f>
        <v>20'</v>
      </c>
      <c r="S8" s="41"/>
      <c r="T8" s="57" t="str">
        <f>VLOOKUP(A8,'1.Loading'!A:R,2,FALSE)</f>
        <v>2026-10-24</v>
      </c>
      <c r="U8" s="60">
        <f>T8-S8</f>
        <v>46319</v>
      </c>
      <c r="V8" s="61"/>
      <c r="W8" s="57" t="str">
        <f>VLOOKUP(A8,'3.GateMove'!A:D,4,FALSE)</f>
        <v>2026-10-16</v>
      </c>
      <c r="X8" s="60">
        <f>((T8-W8)+1)</f>
        <v>9</v>
      </c>
      <c r="Y8" s="62">
        <f>IF(AND(OR(C8="BKK01",C8="BKK04"),L8="CFS/CY"),0,IF(M8="DG",1,IF(LEFT(C8,3)="LCH",7,IF(C8="BKK02",5,3))))</f>
        <v>3</v>
      </c>
      <c r="Z8" s="60">
        <f>IF(IF(AND(AC8="TML",AB8&gt;0),((T8-W8)+1)-AB8,((T8-W8)+1)-Y8)&gt;0,IF(AND(AC8="TML",AB8&gt;0),((T8-W8)+1)-AB8,((T8-W8)+1)-Y8),0)</f>
        <v>6</v>
      </c>
      <c r="AA8" s="51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960</v>
      </c>
      <c r="AB8" s="56"/>
      <c r="AC8" s="56"/>
      <c r="AD8" s="59">
        <f>IF(M8="DG",3,IF(N8="RF",3,5))+IF(AND(LEFT(C8,3)="BKK",N8="RF",Q8="KTS"),1,0)+IF(Q8="KHS",1,0)</f>
        <v>5</v>
      </c>
      <c r="AE8" s="60">
        <f>(T8-V8)+1</f>
        <v>46320</v>
      </c>
      <c r="AF8" s="60">
        <f>IF(AB8&gt;IF((V8-W8)&gt;0,V8-W8,0),0,IF(AB8&lt;IF((V8-W8)&gt;0,V8-W8,0),IF((V8-W8)&gt;0,V8-W8,0)-AB8,IF((V8-W8)&gt;0,V8-W8,0)))</f>
        <v>0</v>
      </c>
      <c r="AG8" s="51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3"/>
      <c r="AI8" s="63">
        <f>AA8-AH8</f>
        <v>960</v>
      </c>
      <c r="AJ8" s="64"/>
      <c r="AK8" s="58" t="str">
        <f>VLOOKUP(D8,'2.Bookinglist'!A:CT,40,FALSE)</f>
        <v>Kanokporn</v>
      </c>
      <c r="AL8" s="59" t="str">
        <f>VLOOKUP(D8,'2.Bookinglist'!A:CW,101,FALSE)</f>
        <v>2026-10-20</v>
      </c>
      <c r="AM8" s="59" t="str">
        <f>VLOOKUP(D8,'2.Bookinglist'!A:BK,63,FALSE)</f>
        <v>BKK25</v>
      </c>
      <c r="AN8" s="58" t="str">
        <f>VLOOKUP(D8,'2.Bookinglist'!A:AZ,52,FALSE)</f>
        <v>Pickup : 2026-10-12, Return : 2026-10-13 (1ST RTN DD: 16/10/26 WO/RENT)</v>
      </c>
      <c r="AO8" s="58">
        <f>VLOOKUP(D8,'2.Bookinglist'!A:CY,103,FALSE)</f>
        <v>0</v>
      </c>
    </row>
    <row r="9" ht="12.95" customHeight="1" spans="1:41" x14ac:dyDescent="0.25">
      <c r="A9" s="3" t="s">
        <v>78</v>
      </c>
      <c r="B9" s="56" t="str">
        <f>IF(C9=Charge!$M$1,Charge!$J$1,IF(C9=Charge!$M$23,Charge!$J$23,IF(C9=Charge!$M$17,Charge!$J$17,IF(C9=Charge!$N$17,Charge!$J$17,Charge!$J$7))))</f>
        <v>G3</v>
      </c>
      <c r="C9" s="57" t="str">
        <f>VLOOKUP(A9,'1.Loading'!A:R,14,FALSE)</f>
        <v>BKK01</v>
      </c>
      <c r="D9" s="57" t="str">
        <f>VLOOKUP(A9,'1.Loading'!A:R,17,FALSE)</f>
        <v>HASLS22260901326</v>
      </c>
      <c r="E9" s="58" t="str">
        <f>VLOOKUP(D9,'2.Bookinglist'!A:CT,27,FALSE)</f>
        <v>YUSEN LOGISTICS (THAILAND) CO., LTD.</v>
      </c>
      <c r="F9" s="58" t="str">
        <f>VLOOKUP(D9,'2.Bookinglist'!A:CT,28,FALSE)</f>
        <v>BEER THIP BREWERY (1991) CO., LTD.</v>
      </c>
      <c r="G9" s="59">
        <f>VLOOKUP(D9,'2.Bookinglist'!A:E,5,FALSE)</f>
        <v>0</v>
      </c>
      <c r="H9" s="57" t="str">
        <f>VLOOKUP(D9,'2.Bookinglist'!A:CT,15,FALSE)</f>
        <v>THBKK</v>
      </c>
      <c r="I9" s="57" t="str">
        <f>VLOOKUP(D9,'2.Bookinglist'!A:CT,19,FALSE)</f>
        <v>HKHKG</v>
      </c>
      <c r="J9" s="57">
        <f>VLOOKUP(D9,'2.Bookinglist'!A:CT,26,FALSE)</f>
        <v>0</v>
      </c>
      <c r="K9" s="57" t="str">
        <f>VLOOKUP(A9,'1.Loading'!A:R,5,FALSE)</f>
        <v>22GP</v>
      </c>
      <c r="L9" s="59" t="str">
        <f>VLOOKUP(D9,'2.Bookinglist'!A:CT,85,FALSE)</f>
        <v>CY/CY</v>
      </c>
      <c r="M9" s="59" t="str">
        <f>IF(VLOOKUP(D9,'2.Bookinglist'!A:CT,43,FALSE)=0,"","DG")</f>
        <v/>
      </c>
      <c r="N9" s="59" t="str">
        <f>IF(RIGHT(K9,2)="RE","RF","")</f>
        <v/>
      </c>
      <c r="O9" s="57" t="str">
        <f>VLOOKUP(A9,'1.Loading'!A:R,3,FALSE)</f>
        <v>SKOR</v>
      </c>
      <c r="P9" s="57" t="str">
        <f>VLOOKUP(A9,'1.Loading'!A:R,4,FALSE)</f>
        <v>2612N</v>
      </c>
      <c r="Q9" s="57" t="str">
        <f>VLOOKUP(D9,'2.Bookinglist'!A:CT,12,FALSE)</f>
        <v>VTS</v>
      </c>
      <c r="R9" s="59" t="str">
        <f>IF(LEFT(K9,2)="22","20'","40'")</f>
        <v>20'</v>
      </c>
      <c r="S9" s="41"/>
      <c r="T9" s="57" t="str">
        <f>VLOOKUP(A9,'1.Loading'!A:R,2,FALSE)</f>
        <v>2026-10-24</v>
      </c>
      <c r="U9" s="60">
        <f>T9-S9</f>
        <v>46319</v>
      </c>
      <c r="V9" s="61"/>
      <c r="W9" s="57" t="str">
        <f>VLOOKUP(A9,'3.GateMove'!A:D,4,FALSE)</f>
        <v>2026-10-16</v>
      </c>
      <c r="X9" s="60">
        <f>((T9-W9)+1)</f>
        <v>9</v>
      </c>
      <c r="Y9" s="62">
        <f>IF(AND(OR(C9="BKK01",C9="BKK04"),L9="CFS/CY"),0,IF(M9="DG",1,IF(LEFT(C9,3)="LCH",7,IF(C9="BKK02",5,3))))</f>
        <v>3</v>
      </c>
      <c r="Z9" s="60">
        <f>IF(IF(AND(AC9="TML",AB9&gt;0),((T9-W9)+1)-AB9,((T9-W9)+1)-Y9)&gt;0,IF(AND(AC9="TML",AB9&gt;0),((T9-W9)+1)-AB9,((T9-W9)+1)-Y9),0)</f>
        <v>6</v>
      </c>
      <c r="AA9" s="51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960</v>
      </c>
      <c r="AB9" s="56"/>
      <c r="AC9" s="56"/>
      <c r="AD9" s="59">
        <f>IF(M9="DG",3,IF(N9="RF",3,5))+IF(AND(LEFT(C9,3)="BKK",N9="RF",Q9="KTS"),1,0)+IF(Q9="KHS",1,0)</f>
        <v>5</v>
      </c>
      <c r="AE9" s="60">
        <f>(T9-V9)+1</f>
        <v>46320</v>
      </c>
      <c r="AF9" s="60">
        <f>IF(AB9&gt;IF((V9-W9)&gt;0,V9-W9,0),0,IF(AB9&lt;IF((V9-W9)&gt;0,V9-W9,0),IF((V9-W9)&gt;0,V9-W9,0)-AB9,IF((V9-W9)&gt;0,V9-W9,0)))</f>
        <v>0</v>
      </c>
      <c r="AG9" s="51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3"/>
      <c r="AI9" s="63">
        <f>AA9-AH9</f>
        <v>960</v>
      </c>
      <c r="AJ9" s="64"/>
      <c r="AK9" s="58" t="str">
        <f>VLOOKUP(D9,'2.Bookinglist'!A:CT,40,FALSE)</f>
        <v>Vilaiporn</v>
      </c>
      <c r="AL9" s="59" t="str">
        <f>VLOOKUP(D9,'2.Bookinglist'!A:CW,101,FALSE)</f>
        <v>2026-10-20</v>
      </c>
      <c r="AM9" s="59" t="str">
        <f>VLOOKUP(D9,'2.Bookinglist'!A:BK,63,FALSE)</f>
        <v>BKK25</v>
      </c>
      <c r="AN9" s="58" t="str">
        <f>VLOOKUP(D9,'2.Bookinglist'!A:AZ,52,FALSE)</f>
        <v>Pickup : 2026-10-15, Return : 2026-10-16</v>
      </c>
      <c r="AO9" s="58">
        <f>VLOOKUP(D9,'2.Bookinglist'!A:CY,103,FALSE)</f>
        <v>0</v>
      </c>
    </row>
    <row r="10" ht="12.95" customHeight="1" spans="1:41" x14ac:dyDescent="0.25">
      <c r="A10" s="3" t="s">
        <v>81</v>
      </c>
      <c r="B10" s="56" t="str">
        <f>IF(C10=Charge!$M$1,Charge!$J$1,IF(C10=Charge!$M$23,Charge!$J$23,IF(C10=Charge!$M$17,Charge!$J$17,IF(C10=Charge!$N$17,Charge!$J$17,Charge!$J$7))))</f>
        <v>G3</v>
      </c>
      <c r="C10" s="57" t="str">
        <f>VLOOKUP(A10,'1.Loading'!A:R,14,FALSE)</f>
        <v>BKK01</v>
      </c>
      <c r="D10" s="57" t="str">
        <f>VLOOKUP(A10,'1.Loading'!A:R,17,FALSE)</f>
        <v>HASLS22260902320</v>
      </c>
      <c r="E10" s="58" t="str">
        <f>VLOOKUP(D10,'2.Bookinglist'!A:CT,27,FALSE)</f>
        <v>LAEMTHONG CORPORATION LTD.</v>
      </c>
      <c r="F10" s="58" t="str">
        <f>VLOOKUP(D10,'2.Bookinglist'!A:CT,28,FALSE)</f>
        <v>LAEMTHONG CORPORATION LTD.</v>
      </c>
      <c r="G10" s="59">
        <f>VLOOKUP(D10,'2.Bookinglist'!A:E,5,FALSE)</f>
        <v>0</v>
      </c>
      <c r="H10" s="57" t="str">
        <f>VLOOKUP(D10,'2.Bookinglist'!A:CT,15,FALSE)</f>
        <v>THBKK</v>
      </c>
      <c r="I10" s="57" t="str">
        <f>VLOOKUP(D10,'2.Bookinglist'!A:CT,19,FALSE)</f>
        <v>HKHKG</v>
      </c>
      <c r="J10" s="57">
        <f>VLOOKUP(D10,'2.Bookinglist'!A:CT,26,FALSE)</f>
        <v>0</v>
      </c>
      <c r="K10" s="57" t="str">
        <f>VLOOKUP(A10,'1.Loading'!A:R,5,FALSE)</f>
        <v>22GP</v>
      </c>
      <c r="L10" s="59" t="str">
        <f>VLOOKUP(D10,'2.Bookinglist'!A:CT,85,FALSE)</f>
        <v>CY/CY</v>
      </c>
      <c r="M10" s="59" t="str">
        <f>IF(VLOOKUP(D10,'2.Bookinglist'!A:CT,43,FALSE)=0,"","DG")</f>
        <v/>
      </c>
      <c r="N10" s="59" t="str">
        <f>IF(RIGHT(K10,2)="RE","RF","")</f>
        <v/>
      </c>
      <c r="O10" s="57" t="str">
        <f>VLOOKUP(A10,'1.Loading'!A:R,3,FALSE)</f>
        <v>SKOR</v>
      </c>
      <c r="P10" s="57" t="str">
        <f>VLOOKUP(A10,'1.Loading'!A:R,4,FALSE)</f>
        <v>2612N</v>
      </c>
      <c r="Q10" s="57" t="str">
        <f>VLOOKUP(D10,'2.Bookinglist'!A:CT,12,FALSE)</f>
        <v>VTS</v>
      </c>
      <c r="R10" s="59" t="str">
        <f>IF(LEFT(K10,2)="22","20'","40'")</f>
        <v>20'</v>
      </c>
      <c r="S10" s="41"/>
      <c r="T10" s="57" t="str">
        <f>VLOOKUP(A10,'1.Loading'!A:R,2,FALSE)</f>
        <v>2026-10-24</v>
      </c>
      <c r="U10" s="60">
        <f>T10-S10</f>
        <v>46319</v>
      </c>
      <c r="V10" s="61"/>
      <c r="W10" s="57" t="str">
        <f>VLOOKUP(A10,'3.GateMove'!A:D,4,FALSE)</f>
        <v>2026-10-16</v>
      </c>
      <c r="X10" s="60">
        <f>((T10-W10)+1)</f>
        <v>9</v>
      </c>
      <c r="Y10" s="62">
        <f>IF(AND(OR(C10="BKK01",C10="BKK04"),L10="CFS/CY"),0,IF(M10="DG",1,IF(LEFT(C10,3)="LCH",7,IF(C10="BKK02",5,3))))</f>
        <v>3</v>
      </c>
      <c r="Z10" s="60">
        <f>IF(IF(AND(AC10="TML",AB10&gt;0),((T10-W10)+1)-AB10,((T10-W10)+1)-Y10)&gt;0,IF(AND(AC10="TML",AB10&gt;0),((T10-W10)+1)-AB10,((T10-W10)+1)-Y10),0)</f>
        <v>6</v>
      </c>
      <c r="AA10" s="51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960</v>
      </c>
      <c r="AB10" s="56"/>
      <c r="AC10" s="56"/>
      <c r="AD10" s="59">
        <f>IF(M10="DG",3,IF(N10="RF",3,5))+IF(AND(LEFT(C10,3)="BKK",N10="RF",Q10="KTS"),1,0)+IF(Q10="KHS",1,0)</f>
        <v>5</v>
      </c>
      <c r="AE10" s="60">
        <f>(T10-V10)+1</f>
        <v>46320</v>
      </c>
      <c r="AF10" s="60">
        <f>IF(AB10&gt;IF((V10-W10)&gt;0,V10-W10,0),0,IF(AB10&lt;IF((V10-W10)&gt;0,V10-W10,0),IF((V10-W10)&gt;0,V10-W10,0)-AB10,IF((V10-W10)&gt;0,V10-W10,0)))</f>
        <v>0</v>
      </c>
      <c r="AG10" s="51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3"/>
      <c r="AI10" s="63">
        <f>AA10-AH10</f>
        <v>960</v>
      </c>
      <c r="AJ10" s="64"/>
      <c r="AK10" s="58" t="str">
        <f>VLOOKUP(D10,'2.Bookinglist'!A:CT,40,FALSE)</f>
        <v>Tarn(Supaporn)</v>
      </c>
      <c r="AL10" s="59" t="str">
        <f>VLOOKUP(D10,'2.Bookinglist'!A:CW,101,FALSE)</f>
        <v>2026-10-20</v>
      </c>
      <c r="AM10" s="59" t="str">
        <f>VLOOKUP(D10,'2.Bookinglist'!A:BK,63,FALSE)</f>
        <v>BKK27</v>
      </c>
      <c r="AN10" s="58" t="str">
        <f>VLOOKUP(D10,'2.Bookinglist'!A:AZ,52,FALSE)</f>
        <v>Pickup : 2026-10-14, Return : 2026-10-15  (1ST RTN 16/10 W/O RENT) 
 </v>
      </c>
      <c r="AO10" s="58">
        <f>VLOOKUP(D10,'2.Bookinglist'!A:CY,103,FALSE)</f>
        <v>0</v>
      </c>
    </row>
    <row r="11" ht="12.95" customHeight="1" spans="1:41" x14ac:dyDescent="0.25">
      <c r="A11" s="3" t="s">
        <v>87</v>
      </c>
      <c r="B11" s="56" t="str">
        <f>IF(C11=Charge!$M$1,Charge!$J$1,IF(C11=Charge!$M$23,Charge!$J$23,IF(C11=Charge!$M$17,Charge!$J$17,IF(C11=Charge!$N$17,Charge!$J$17,Charge!$J$7))))</f>
        <v>G3</v>
      </c>
      <c r="C11" s="57" t="str">
        <f>VLOOKUP(A11,'1.Loading'!A:R,14,FALSE)</f>
        <v>BKK01</v>
      </c>
      <c r="D11" s="57" t="str">
        <f>VLOOKUP(A11,'1.Loading'!A:R,17,FALSE)</f>
        <v>HASLS22260901897</v>
      </c>
      <c r="E11" s="58" t="str">
        <f>VLOOKUP(D11,'2.Bookinglist'!A:CT,27,FALSE)</f>
        <v>NIPPON EXPRESS LOGISTICS (THAILAND) CO., LTD.</v>
      </c>
      <c r="F11" s="58" t="str">
        <f>VLOOKUP(D11,'2.Bookinglist'!A:CT,28,FALSE)</f>
        <v>NIPRO (THAILAND) CORPORATION LIMITED</v>
      </c>
      <c r="G11" s="59">
        <f>VLOOKUP(D11,'2.Bookinglist'!A:E,5,FALSE)</f>
        <v>0</v>
      </c>
      <c r="H11" s="57" t="str">
        <f>VLOOKUP(D11,'2.Bookinglist'!A:CT,15,FALSE)</f>
        <v>THBKK</v>
      </c>
      <c r="I11" s="57" t="str">
        <f>VLOOKUP(D11,'2.Bookinglist'!A:CT,19,FALSE)</f>
        <v>JPTMK</v>
      </c>
      <c r="J11" s="57" t="str">
        <f>VLOOKUP(D11,'2.Bookinglist'!A:CT,26,FALSE)</f>
        <v>KRPUS</v>
      </c>
      <c r="K11" s="57" t="str">
        <f>VLOOKUP(A11,'1.Loading'!A:R,5,FALSE)</f>
        <v>22GP</v>
      </c>
      <c r="L11" s="59" t="str">
        <f>VLOOKUP(D11,'2.Bookinglist'!A:CT,85,FALSE)</f>
        <v>CY/CY</v>
      </c>
      <c r="M11" s="59" t="str">
        <f>IF(VLOOKUP(D11,'2.Bookinglist'!A:CT,43,FALSE)=0,"","DG")</f>
        <v/>
      </c>
      <c r="N11" s="59" t="str">
        <f>IF(RIGHT(K11,2)="RE","RF","")</f>
        <v/>
      </c>
      <c r="O11" s="57" t="str">
        <f>VLOOKUP(A11,'1.Loading'!A:R,3,FALSE)</f>
        <v>SKOR</v>
      </c>
      <c r="P11" s="57" t="str">
        <f>VLOOKUP(A11,'1.Loading'!A:R,4,FALSE)</f>
        <v>2612N</v>
      </c>
      <c r="Q11" s="57" t="str">
        <f>VLOOKUP(D11,'2.Bookinglist'!A:CT,12,FALSE)</f>
        <v>VTS</v>
      </c>
      <c r="R11" s="59" t="str">
        <f>IF(LEFT(K11,2)="22","20'","40'")</f>
        <v>20'</v>
      </c>
      <c r="S11" s="41"/>
      <c r="T11" s="57" t="str">
        <f>VLOOKUP(A11,'1.Loading'!A:R,2,FALSE)</f>
        <v>2026-10-24</v>
      </c>
      <c r="U11" s="60">
        <f>T11-S11</f>
        <v>46319</v>
      </c>
      <c r="V11" s="61"/>
      <c r="W11" s="57" t="str">
        <f>VLOOKUP(A11,'3.GateMove'!A:D,4,FALSE)</f>
        <v>2026-10-19</v>
      </c>
      <c r="X11" s="60">
        <f>((T11-W11)+1)</f>
        <v>6</v>
      </c>
      <c r="Y11" s="62">
        <f>IF(AND(OR(C11="BKK01",C11="BKK04"),L11="CFS/CY"),0,IF(M11="DG",1,IF(LEFT(C11,3)="LCH",7,IF(C11="BKK02",5,3))))</f>
        <v>3</v>
      </c>
      <c r="Z11" s="60">
        <f>IF(IF(AND(AC11="TML",AB11&gt;0),((T11-W11)+1)-AB11,((T11-W11)+1)-Y11)&gt;0,IF(AND(AC11="TML",AB11&gt;0),((T11-W11)+1)-AB11,((T11-W11)+1)-Y11),0)</f>
        <v>3</v>
      </c>
      <c r="AA11" s="51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480</v>
      </c>
      <c r="AB11" s="56"/>
      <c r="AC11" s="56"/>
      <c r="AD11" s="59">
        <f>IF(M11="DG",3,IF(N11="RF",3,5))+IF(AND(LEFT(C11,3)="BKK",N11="RF",Q11="KTS"),1,0)+IF(Q11="KHS",1,0)</f>
        <v>5</v>
      </c>
      <c r="AE11" s="60">
        <f>(T11-V11)+1</f>
        <v>46320</v>
      </c>
      <c r="AF11" s="60">
        <f>IF(AB11&gt;IF((V11-W11)&gt;0,V11-W11,0),0,IF(AB11&lt;IF((V11-W11)&gt;0,V11-W11,0),IF((V11-W11)&gt;0,V11-W11,0)-AB11,IF((V11-W11)&gt;0,V11-W11,0)))</f>
        <v>0</v>
      </c>
      <c r="AG11" s="51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3"/>
      <c r="AI11" s="63">
        <f>AA11-AH11</f>
        <v>480</v>
      </c>
      <c r="AJ11" s="64"/>
      <c r="AK11" s="58" t="str">
        <f>VLOOKUP(D11,'2.Bookinglist'!A:CT,40,FALSE)</f>
        <v>Vilaiporn</v>
      </c>
      <c r="AL11" s="59" t="str">
        <f>VLOOKUP(D11,'2.Bookinglist'!A:CW,101,FALSE)</f>
        <v>2026-10-24</v>
      </c>
      <c r="AM11" s="59" t="str">
        <f>VLOOKUP(D11,'2.Bookinglist'!A:BK,63,FALSE)</f>
        <v>BKK27</v>
      </c>
      <c r="AN11" s="58" t="str">
        <f>VLOOKUP(D11,'2.Bookinglist'!A:AZ,52,FALSE)</f>
        <v>Pickup : 2026-10-17, Return : 2026-10-19</v>
      </c>
      <c r="AO11" s="58" t="str">
        <f>VLOOKUP(D11,'2.Bookinglist'!A:CY,103,FALSE)</f>
        <v>ROLL OVER FROM PREVIOUS VSL SWMM 2610N BY ALLOCATION TEAM MS.TARN APRPOVED COST IS UNDER HA DD.21/10</v>
      </c>
    </row>
    <row r="12" ht="12.95" customHeight="1" spans="1:41" x14ac:dyDescent="0.25">
      <c r="A12" s="3" t="s">
        <v>95</v>
      </c>
      <c r="B12" s="56" t="str">
        <f>IF(C12=Charge!$M$1,Charge!$J$1,IF(C12=Charge!$M$23,Charge!$J$23,IF(C12=Charge!$M$17,Charge!$J$17,IF(C12=Charge!$N$17,Charge!$J$17,Charge!$J$7))))</f>
        <v>G3</v>
      </c>
      <c r="C12" s="57" t="str">
        <f>VLOOKUP(A12,'1.Loading'!A:R,14,FALSE)</f>
        <v>BKK01</v>
      </c>
      <c r="D12" s="57" t="str">
        <f>VLOOKUP(A12,'1.Loading'!A:R,17,FALSE)</f>
        <v>HASLS22260901621</v>
      </c>
      <c r="E12" s="58" t="str">
        <f>VLOOKUP(D12,'2.Bookinglist'!A:CT,27,FALSE)</f>
        <v>SONIC INTERFREIGHT PUBLIC COMPANY LIMITED</v>
      </c>
      <c r="F12" s="58" t="str">
        <f>VLOOKUP(D12,'2.Bookinglist'!A:CT,28,FALSE)</f>
        <v>THAI OTSUKA PHARMACEUTICAL CO., LTD.</v>
      </c>
      <c r="G12" s="59">
        <f>VLOOKUP(D12,'2.Bookinglist'!A:E,5,FALSE)</f>
        <v>0</v>
      </c>
      <c r="H12" s="57" t="str">
        <f>VLOOKUP(D12,'2.Bookinglist'!A:CT,15,FALSE)</f>
        <v>THBKK</v>
      </c>
      <c r="I12" s="57" t="str">
        <f>VLOOKUP(D12,'2.Bookinglist'!A:CT,19,FALSE)</f>
        <v>HKHKG</v>
      </c>
      <c r="J12" s="57">
        <f>VLOOKUP(D12,'2.Bookinglist'!A:CT,26,FALSE)</f>
        <v>0</v>
      </c>
      <c r="K12" s="57" t="str">
        <f>VLOOKUP(A12,'1.Loading'!A:R,5,FALSE)</f>
        <v>22GP</v>
      </c>
      <c r="L12" s="59" t="str">
        <f>VLOOKUP(D12,'2.Bookinglist'!A:CT,85,FALSE)</f>
        <v>CY/CY</v>
      </c>
      <c r="M12" s="59" t="str">
        <f>IF(VLOOKUP(D12,'2.Bookinglist'!A:CT,43,FALSE)=0,"","DG")</f>
        <v/>
      </c>
      <c r="N12" s="59" t="str">
        <f>IF(RIGHT(K12,2)="RE","RF","")</f>
        <v/>
      </c>
      <c r="O12" s="57" t="str">
        <f>VLOOKUP(A12,'1.Loading'!A:R,3,FALSE)</f>
        <v>SKOR</v>
      </c>
      <c r="P12" s="57" t="str">
        <f>VLOOKUP(A12,'1.Loading'!A:R,4,FALSE)</f>
        <v>2612N</v>
      </c>
      <c r="Q12" s="57" t="str">
        <f>VLOOKUP(D12,'2.Bookinglist'!A:CT,12,FALSE)</f>
        <v>VTS</v>
      </c>
      <c r="R12" s="59" t="str">
        <f>IF(LEFT(K12,2)="22","20'","40'")</f>
        <v>20'</v>
      </c>
      <c r="S12" s="41"/>
      <c r="T12" s="57" t="str">
        <f>VLOOKUP(A12,'1.Loading'!A:R,2,FALSE)</f>
        <v>2026-10-24</v>
      </c>
      <c r="U12" s="60">
        <f>T12-S12</f>
        <v>46319</v>
      </c>
      <c r="V12" s="61"/>
      <c r="W12" s="57" t="str">
        <f>VLOOKUP(A12,'3.GateMove'!A:D,4,FALSE)</f>
        <v>2026-10-15</v>
      </c>
      <c r="X12" s="60">
        <f>((T12-W12)+1)</f>
        <v>10</v>
      </c>
      <c r="Y12" s="62">
        <f>IF(AND(OR(C12="BKK01",C12="BKK04"),L12="CFS/CY"),0,IF(M12="DG",1,IF(LEFT(C12,3)="LCH",7,IF(C12="BKK02",5,3))))</f>
        <v>3</v>
      </c>
      <c r="Z12" s="60">
        <f>IF(IF(AND(AC12="TML",AB12&gt;0),((T12-W12)+1)-AB12,((T12-W12)+1)-Y12)&gt;0,IF(AND(AC12="TML",AB12&gt;0),((T12-W12)+1)-AB12,((T12-W12)+1)-Y12),0)</f>
        <v>7</v>
      </c>
      <c r="AA12" s="51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1120</v>
      </c>
      <c r="AB12" s="56"/>
      <c r="AC12" s="56"/>
      <c r="AD12" s="59">
        <f>IF(M12="DG",3,IF(N12="RF",3,5))+IF(AND(LEFT(C12,3)="BKK",N12="RF",Q12="KTS"),1,0)+IF(Q12="KHS",1,0)</f>
        <v>5</v>
      </c>
      <c r="AE12" s="60">
        <f>(T12-V12)+1</f>
        <v>46320</v>
      </c>
      <c r="AF12" s="60">
        <f>IF(AB12&gt;IF((V12-W12)&gt;0,V12-W12,0),0,IF(AB12&lt;IF((V12-W12)&gt;0,V12-W12,0),IF((V12-W12)&gt;0,V12-W12,0)-AB12,IF((V12-W12)&gt;0,V12-W12,0)))</f>
        <v>0</v>
      </c>
      <c r="AG12" s="51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3"/>
      <c r="AI12" s="63">
        <f>AA12-AH12</f>
        <v>1120</v>
      </c>
      <c r="AJ12" s="64"/>
      <c r="AK12" s="58" t="str">
        <f>VLOOKUP(D12,'2.Bookinglist'!A:CT,40,FALSE)</f>
        <v>Dharaporn</v>
      </c>
      <c r="AL12" s="59" t="str">
        <f>VLOOKUP(D12,'2.Bookinglist'!A:CW,101,FALSE)</f>
        <v>2026-10-16</v>
      </c>
      <c r="AM12" s="59" t="str">
        <f>VLOOKUP(D12,'2.Bookinglist'!A:BK,63,FALSE)</f>
        <v>BKK27</v>
      </c>
      <c r="AN12" s="58" t="str">
        <f>VLOOKUP(D12,'2.Bookinglist'!A:AZ,52,FALSE)</f>
        <v>Pickup : 2026-10-12, Return : 2026-10-15 RTN CNTR  DD.15/10 NO COST RENT</v>
      </c>
      <c r="AO12" s="58">
        <f>VLOOKUP(D12,'2.Bookinglist'!A:CY,103,FALSE)</f>
        <v>0</v>
      </c>
    </row>
    <row r="13" ht="12.95" customHeight="1" spans="1:41" x14ac:dyDescent="0.25">
      <c r="A13" s="3" t="s">
        <v>99</v>
      </c>
      <c r="B13" s="56" t="str">
        <f>IF(C13=Charge!$M$1,Charge!$J$1,IF(C13=Charge!$M$23,Charge!$J$23,IF(C13=Charge!$M$17,Charge!$J$17,IF(C13=Charge!$N$17,Charge!$J$17,Charge!$J$7))))</f>
        <v>G3</v>
      </c>
      <c r="C13" s="57" t="str">
        <f>VLOOKUP(A13,'1.Loading'!A:R,14,FALSE)</f>
        <v>BKK01</v>
      </c>
      <c r="D13" s="57" t="str">
        <f>VLOOKUP(A13,'1.Loading'!A:R,17,FALSE)</f>
        <v>HASLS22261000043</v>
      </c>
      <c r="E13" s="58" t="str">
        <f>VLOOKUP(D13,'2.Bookinglist'!A:CT,27,FALSE)</f>
        <v>POLAR STAR CO., LTD.</v>
      </c>
      <c r="F13" s="58" t="str">
        <f>VLOOKUP(D13,'2.Bookinglist'!A:CT,28,FALSE)</f>
        <v>CHAI SAN SAN TRADING LIMITED</v>
      </c>
      <c r="G13" s="59">
        <f>VLOOKUP(D13,'2.Bookinglist'!A:E,5,FALSE)</f>
        <v>0</v>
      </c>
      <c r="H13" s="57" t="str">
        <f>VLOOKUP(D13,'2.Bookinglist'!A:CT,15,FALSE)</f>
        <v>THBKK</v>
      </c>
      <c r="I13" s="57" t="str">
        <f>VLOOKUP(D13,'2.Bookinglist'!A:CT,19,FALSE)</f>
        <v>HKHKG</v>
      </c>
      <c r="J13" s="57">
        <f>VLOOKUP(D13,'2.Bookinglist'!A:CT,26,FALSE)</f>
        <v>0</v>
      </c>
      <c r="K13" s="57" t="str">
        <f>VLOOKUP(A13,'1.Loading'!A:R,5,FALSE)</f>
        <v>22GP</v>
      </c>
      <c r="L13" s="59" t="str">
        <f>VLOOKUP(D13,'2.Bookinglist'!A:CT,85,FALSE)</f>
        <v>CFS/CY</v>
      </c>
      <c r="M13" s="59" t="str">
        <f>IF(VLOOKUP(D13,'2.Bookinglist'!A:CT,43,FALSE)=0,"","DG")</f>
        <v/>
      </c>
      <c r="N13" s="59" t="str">
        <f>IF(RIGHT(K13,2)="RE","RF","")</f>
        <v/>
      </c>
      <c r="O13" s="57" t="str">
        <f>VLOOKUP(A13,'1.Loading'!A:R,3,FALSE)</f>
        <v>SKOR</v>
      </c>
      <c r="P13" s="57" t="str">
        <f>VLOOKUP(A13,'1.Loading'!A:R,4,FALSE)</f>
        <v>2612N</v>
      </c>
      <c r="Q13" s="57" t="str">
        <f>VLOOKUP(D13,'2.Bookinglist'!A:CT,12,FALSE)</f>
        <v>VTS</v>
      </c>
      <c r="R13" s="59" t="str">
        <f>IF(LEFT(K13,2)="22","20'","40'")</f>
        <v>20'</v>
      </c>
      <c r="S13" s="41"/>
      <c r="T13" s="57" t="str">
        <f>VLOOKUP(A13,'1.Loading'!A:R,2,FALSE)</f>
        <v>2026-10-24</v>
      </c>
      <c r="U13" s="60">
        <f>T13-S13</f>
        <v>46319</v>
      </c>
      <c r="V13" s="61"/>
      <c r="W13" s="57" t="str">
        <f>VLOOKUP(A13,'3.GateMove'!A:D,4,FALSE)</f>
        <v>2026-10-15</v>
      </c>
      <c r="X13" s="60">
        <f>((T13-W13)+1)</f>
        <v>10</v>
      </c>
      <c r="Y13" s="62">
        <f>IF(AND(OR(C13="BKK01",C13="BKK04"),L13="CFS/CY"),0,IF(M13="DG",1,IF(LEFT(C13,3)="LCH",7,IF(C13="BKK02",5,3))))</f>
        <v>0</v>
      </c>
      <c r="Z13" s="60">
        <f>IF(IF(AND(AC13="TML",AB13&gt;0),((T13-W13)+1)-AB13,((T13-W13)+1)-Y13)&gt;0,IF(AND(AC13="TML",AB13&gt;0),((T13-W13)+1)-AB13,((T13-W13)+1)-Y13),0)</f>
        <v>10</v>
      </c>
      <c r="AA13" s="51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1945</v>
      </c>
      <c r="AB13" s="56"/>
      <c r="AC13" s="56"/>
      <c r="AD13" s="59">
        <f>IF(M13="DG",3,IF(N13="RF",3,5))+IF(AND(LEFT(C13,3)="BKK",N13="RF",Q13="KTS"),1,0)+IF(Q13="KHS",1,0)</f>
        <v>5</v>
      </c>
      <c r="AE13" s="60">
        <f>(T13-V13)+1</f>
        <v>46320</v>
      </c>
      <c r="AF13" s="60">
        <f>IF(AB13&gt;IF((V13-W13)&gt;0,V13-W13,0),0,IF(AB13&lt;IF((V13-W13)&gt;0,V13-W13,0),IF((V13-W13)&gt;0,V13-W13,0)-AB13,IF((V13-W13)&gt;0,V13-W13,0)))</f>
        <v>0</v>
      </c>
      <c r="AG13" s="51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3"/>
      <c r="AI13" s="63">
        <f>AA13-AH13</f>
        <v>1945</v>
      </c>
      <c r="AJ13" s="64"/>
      <c r="AK13" s="58" t="str">
        <f>VLOOKUP(D13,'2.Bookinglist'!A:CT,40,FALSE)</f>
        <v>Kanokporn</v>
      </c>
      <c r="AL13" s="59" t="str">
        <f>VLOOKUP(D13,'2.Bookinglist'!A:CW,101,FALSE)</f>
        <v>2026-10-18</v>
      </c>
      <c r="AM13" s="59" t="str">
        <f>VLOOKUP(D13,'2.Bookinglist'!A:BK,63,FALSE)</f>
        <v>BKK01</v>
      </c>
      <c r="AN13" s="58" t="str">
        <f>VLOOKUP(D13,'2.Bookinglist'!A:AZ,52,FALSE)</f>
        <v>STUFFING @PAT (SPORT LIGHT TOWER 2) DD.15/10/26 *CLS TIME CFS DD.16/10/26 - 17:00HRS.* </v>
      </c>
      <c r="AO13" s="58">
        <f>VLOOKUP(D13,'2.Bookinglist'!A:CY,103,FALSE)</f>
        <v>0</v>
      </c>
    </row>
    <row r="14" ht="12.95" customHeight="1" spans="1:41" x14ac:dyDescent="0.25">
      <c r="A14" s="3" t="s">
        <v>104</v>
      </c>
      <c r="B14" s="56" t="str">
        <f>IF(C14=Charge!$M$1,Charge!$J$1,IF(C14=Charge!$M$23,Charge!$J$23,IF(C14=Charge!$M$17,Charge!$J$17,IF(C14=Charge!$N$17,Charge!$J$17,Charge!$J$7))))</f>
        <v>G3</v>
      </c>
      <c r="C14" s="57" t="str">
        <f>VLOOKUP(A14,'1.Loading'!A:R,14,FALSE)</f>
        <v>BKK01</v>
      </c>
      <c r="D14" s="57" t="str">
        <f>VLOOKUP(A14,'1.Loading'!A:R,17,FALSE)</f>
        <v>HASLS22261000536</v>
      </c>
      <c r="E14" s="58" t="str">
        <f>VLOOKUP(D14,'2.Bookinglist'!A:CT,27,FALSE)</f>
        <v>KWE-KINTETSU WORLD EXPRESS (THAILAND) CO., LTD.</v>
      </c>
      <c r="F14" s="58" t="str">
        <f>VLOOKUP(D14,'2.Bookinglist'!A:CT,28,FALSE)</f>
        <v>NISSIN FOODS (THAILAND) CO., LTD.</v>
      </c>
      <c r="G14" s="59">
        <f>VLOOKUP(D14,'2.Bookinglist'!A:E,5,FALSE)</f>
        <v>0</v>
      </c>
      <c r="H14" s="57" t="str">
        <f>VLOOKUP(D14,'2.Bookinglist'!A:CT,15,FALSE)</f>
        <v>THBKK</v>
      </c>
      <c r="I14" s="57" t="str">
        <f>VLOOKUP(D14,'2.Bookinglist'!A:CT,19,FALSE)</f>
        <v>HKHKG</v>
      </c>
      <c r="J14" s="57">
        <f>VLOOKUP(D14,'2.Bookinglist'!A:CT,26,FALSE)</f>
        <v>0</v>
      </c>
      <c r="K14" s="57" t="str">
        <f>VLOOKUP(A14,'1.Loading'!A:R,5,FALSE)</f>
        <v>22GP</v>
      </c>
      <c r="L14" s="59" t="str">
        <f>VLOOKUP(D14,'2.Bookinglist'!A:CT,85,FALSE)</f>
        <v>CY/CY</v>
      </c>
      <c r="M14" s="59" t="str">
        <f>IF(VLOOKUP(D14,'2.Bookinglist'!A:CT,43,FALSE)=0,"","DG")</f>
        <v/>
      </c>
      <c r="N14" s="59" t="str">
        <f>IF(RIGHT(K14,2)="RE","RF","")</f>
        <v/>
      </c>
      <c r="O14" s="57" t="str">
        <f>VLOOKUP(A14,'1.Loading'!A:R,3,FALSE)</f>
        <v>SKOR</v>
      </c>
      <c r="P14" s="57" t="str">
        <f>VLOOKUP(A14,'1.Loading'!A:R,4,FALSE)</f>
        <v>2612N</v>
      </c>
      <c r="Q14" s="57" t="str">
        <f>VLOOKUP(D14,'2.Bookinglist'!A:CT,12,FALSE)</f>
        <v>VTS</v>
      </c>
      <c r="R14" s="59" t="str">
        <f>IF(LEFT(K14,2)="22","20'","40'")</f>
        <v>20'</v>
      </c>
      <c r="S14" s="41"/>
      <c r="T14" s="57" t="str">
        <f>VLOOKUP(A14,'1.Loading'!A:R,2,FALSE)</f>
        <v>2026-10-24</v>
      </c>
      <c r="U14" s="60">
        <f>T14-S14</f>
        <v>46319</v>
      </c>
      <c r="V14" s="61"/>
      <c r="W14" s="57" t="str">
        <f>VLOOKUP(A14,'3.GateMove'!A:D,4,FALSE)</f>
        <v>2026-10-16</v>
      </c>
      <c r="X14" s="60">
        <f>((T14-W14)+1)</f>
        <v>9</v>
      </c>
      <c r="Y14" s="62">
        <f>IF(AND(OR(C14="BKK01",C14="BKK04"),L14="CFS/CY"),0,IF(M14="DG",1,IF(LEFT(C14,3)="LCH",7,IF(C14="BKK02",5,3))))</f>
        <v>3</v>
      </c>
      <c r="Z14" s="60">
        <f>IF(IF(AND(AC14="TML",AB14&gt;0),((T14-W14)+1)-AB14,((T14-W14)+1)-Y14)&gt;0,IF(AND(AC14="TML",AB14&gt;0),((T14-W14)+1)-AB14,((T14-W14)+1)-Y14),0)</f>
        <v>6</v>
      </c>
      <c r="AA14" s="51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960</v>
      </c>
      <c r="AB14" s="56"/>
      <c r="AC14" s="56"/>
      <c r="AD14" s="59">
        <f>IF(M14="DG",3,IF(N14="RF",3,5))+IF(AND(LEFT(C14,3)="BKK",N14="RF",Q14="KTS"),1,0)+IF(Q14="KHS",1,0)</f>
        <v>5</v>
      </c>
      <c r="AE14" s="60">
        <f>(T14-V14)+1</f>
        <v>46320</v>
      </c>
      <c r="AF14" s="60">
        <f>IF(AB14&gt;IF((V14-W14)&gt;0,V14-W14,0),0,IF(AB14&lt;IF((V14-W14)&gt;0,V14-W14,0),IF((V14-W14)&gt;0,V14-W14,0)-AB14,IF((V14-W14)&gt;0,V14-W14,0)))</f>
        <v>0</v>
      </c>
      <c r="AG14" s="51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3"/>
      <c r="AI14" s="63">
        <f>AA14-AH14</f>
        <v>960</v>
      </c>
      <c r="AJ14" s="64"/>
      <c r="AK14" s="58" t="str">
        <f>VLOOKUP(D14,'2.Bookinglist'!A:CT,40,FALSE)</f>
        <v>Arunphat W. (Aiw)</v>
      </c>
      <c r="AL14" s="59" t="str">
        <f>VLOOKUP(D14,'2.Bookinglist'!A:CW,101,FALSE)</f>
        <v>2026-10-20</v>
      </c>
      <c r="AM14" s="59" t="str">
        <f>VLOOKUP(D14,'2.Bookinglist'!A:BK,63,FALSE)</f>
        <v>BKK27</v>
      </c>
      <c r="AN14" s="58" t="str">
        <f>VLOOKUP(D14,'2.Bookinglist'!A:AZ,52,FALSE)</f>
        <v>Pickup : 2026-10-14, Return : 2026-10-15 (1ST RTN 16/10 W/O RENT) 
 </v>
      </c>
      <c r="AO14" s="58">
        <f>VLOOKUP(D14,'2.Bookinglist'!A:CY,103,FALSE)</f>
        <v>0</v>
      </c>
    </row>
    <row r="15" ht="12.95" customHeight="1" spans="1:41" x14ac:dyDescent="0.25">
      <c r="A15" s="3" t="s">
        <v>109</v>
      </c>
      <c r="B15" s="56" t="str">
        <f>IF(C15=Charge!$M$1,Charge!$J$1,IF(C15=Charge!$M$23,Charge!$J$23,IF(C15=Charge!$M$17,Charge!$J$17,IF(C15=Charge!$N$17,Charge!$J$17,Charge!$J$7))))</f>
        <v>G3</v>
      </c>
      <c r="C15" s="57" t="str">
        <f>VLOOKUP(A15,'1.Loading'!A:R,14,FALSE)</f>
        <v>BKK01</v>
      </c>
      <c r="D15" s="57" t="str">
        <f>VLOOKUP(A15,'1.Loading'!A:R,17,FALSE)</f>
        <v>HASLS22260902673</v>
      </c>
      <c r="E15" s="58" t="str">
        <f>VLOOKUP(D15,'2.Bookinglist'!A:CT,27,FALSE)</f>
        <v>DIMERCO EXPRESS (THAILAND) CO., LTD.</v>
      </c>
      <c r="F15" s="58" t="str">
        <f>VLOOKUP(D15,'2.Bookinglist'!A:CT,28,FALSE)</f>
        <v>CAL-COMP ELECTRONICS (THAILAND) PUBLIC COMPANY LIMITED</v>
      </c>
      <c r="G15" s="59">
        <f>VLOOKUP(D15,'2.Bookinglist'!A:E,5,FALSE)</f>
        <v>0</v>
      </c>
      <c r="H15" s="57" t="str">
        <f>VLOOKUP(D15,'2.Bookinglist'!A:CT,15,FALSE)</f>
        <v>THBKK</v>
      </c>
      <c r="I15" s="57" t="str">
        <f>VLOOKUP(D15,'2.Bookinglist'!A:CT,19,FALSE)</f>
        <v>HKHKG</v>
      </c>
      <c r="J15" s="57">
        <f>VLOOKUP(D15,'2.Bookinglist'!A:CT,26,FALSE)</f>
        <v>0</v>
      </c>
      <c r="K15" s="57" t="str">
        <f>VLOOKUP(A15,'1.Loading'!A:R,5,FALSE)</f>
        <v>45GP</v>
      </c>
      <c r="L15" s="59" t="str">
        <f>VLOOKUP(D15,'2.Bookinglist'!A:CT,85,FALSE)</f>
        <v>CY/CY</v>
      </c>
      <c r="M15" s="59" t="str">
        <f>IF(VLOOKUP(D15,'2.Bookinglist'!A:CT,43,FALSE)=0,"","DG")</f>
        <v/>
      </c>
      <c r="N15" s="59" t="str">
        <f>IF(RIGHT(K15,2)="RE","RF","")</f>
        <v/>
      </c>
      <c r="O15" s="57" t="str">
        <f>VLOOKUP(A15,'1.Loading'!A:R,3,FALSE)</f>
        <v>SKOR</v>
      </c>
      <c r="P15" s="57" t="str">
        <f>VLOOKUP(A15,'1.Loading'!A:R,4,FALSE)</f>
        <v>2612N</v>
      </c>
      <c r="Q15" s="57" t="str">
        <f>VLOOKUP(D15,'2.Bookinglist'!A:CT,12,FALSE)</f>
        <v>VTS</v>
      </c>
      <c r="R15" s="59" t="str">
        <f>IF(LEFT(K15,2)="22","20'","40'")</f>
        <v>40'</v>
      </c>
      <c r="S15" s="41"/>
      <c r="T15" s="57" t="str">
        <f>VLOOKUP(A15,'1.Loading'!A:R,2,FALSE)</f>
        <v>2026-10-24</v>
      </c>
      <c r="U15" s="60">
        <f>T15-S15</f>
        <v>46319</v>
      </c>
      <c r="V15" s="61"/>
      <c r="W15" s="57" t="str">
        <f>VLOOKUP(A15,'3.GateMove'!A:D,4,FALSE)</f>
        <v>2026-10-17</v>
      </c>
      <c r="X15" s="60">
        <f>((T15-W15)+1)</f>
        <v>8</v>
      </c>
      <c r="Y15" s="62">
        <f>IF(AND(OR(C15="BKK01",C15="BKK04"),L15="CFS/CY"),0,IF(M15="DG",1,IF(LEFT(C15,3)="LCH",7,IF(C15="BKK02",5,3))))</f>
        <v>3</v>
      </c>
      <c r="Z15" s="60">
        <f>IF(IF(AND(AC15="TML",AB15&gt;0),((T15-W15)+1)-AB15,((T15-W15)+1)-Y15)&gt;0,IF(AND(AC15="TML",AB15&gt;0),((T15-W15)+1)-AB15,((T15-W15)+1)-Y15),0)</f>
        <v>5</v>
      </c>
      <c r="AA15" s="51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1600</v>
      </c>
      <c r="AB15" s="56"/>
      <c r="AC15" s="56"/>
      <c r="AD15" s="59">
        <f>IF(M15="DG",3,IF(N15="RF",3,5))+IF(AND(LEFT(C15,3)="BKK",N15="RF",Q15="KTS"),1,0)+IF(Q15="KHS",1,0)</f>
        <v>5</v>
      </c>
      <c r="AE15" s="60">
        <f>(T15-V15)+1</f>
        <v>46320</v>
      </c>
      <c r="AF15" s="60">
        <f>IF(AB15&gt;IF((V15-W15)&gt;0,V15-W15,0),0,IF(AB15&lt;IF((V15-W15)&gt;0,V15-W15,0),IF((V15-W15)&gt;0,V15-W15,0)-AB15,IF((V15-W15)&gt;0,V15-W15,0)))</f>
        <v>0</v>
      </c>
      <c r="AG15" s="51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3"/>
      <c r="AI15" s="63">
        <f>AA15-AH15</f>
        <v>1600</v>
      </c>
      <c r="AJ15" s="64"/>
      <c r="AK15" s="58" t="str">
        <f>VLOOKUP(D15,'2.Bookinglist'!A:CT,40,FALSE)</f>
        <v>Nustsireerach</v>
      </c>
      <c r="AL15" s="59" t="str">
        <f>VLOOKUP(D15,'2.Bookinglist'!A:CW,101,FALSE)</f>
        <v>2026-10-18</v>
      </c>
      <c r="AM15" s="59" t="str">
        <f>VLOOKUP(D15,'2.Bookinglist'!A:BK,63,FALSE)</f>
        <v>BKK27</v>
      </c>
      <c r="AN15" s="58" t="str">
        <f>VLOOKUP(D15,'2.Bookinglist'!A:AZ,52,FALSE)</f>
        <v>Pickup : 2026-10-16, Return : 2026-10-16
</v>
      </c>
      <c r="AO15" s="58">
        <f>VLOOKUP(D15,'2.Bookinglist'!A:CY,103,FALSE)</f>
        <v>0</v>
      </c>
    </row>
    <row r="16" ht="12.95" customHeight="1" spans="1:41" x14ac:dyDescent="0.25">
      <c r="A16" s="3" t="s">
        <v>114</v>
      </c>
      <c r="B16" s="56" t="str">
        <f>IF(C16=Charge!$M$1,Charge!$J$1,IF(C16=Charge!$M$23,Charge!$J$23,IF(C16=Charge!$M$17,Charge!$J$17,IF(C16=Charge!$N$17,Charge!$J$17,Charge!$J$7))))</f>
        <v>G3</v>
      </c>
      <c r="C16" s="57" t="str">
        <f>VLOOKUP(A16,'1.Loading'!A:R,14,FALSE)</f>
        <v>BKK01</v>
      </c>
      <c r="D16" s="57" t="str">
        <f>VLOOKUP(A16,'1.Loading'!A:R,17,FALSE)</f>
        <v>HASLS22261000975</v>
      </c>
      <c r="E16" s="58" t="str">
        <f>VLOOKUP(D16,'2.Bookinglist'!A:CT,27,FALSE)</f>
        <v>C.P. INTERTRADE CO., LTD.</v>
      </c>
      <c r="F16" s="58" t="str">
        <f>VLOOKUP(D16,'2.Bookinglist'!A:CT,28,FALSE)</f>
        <v>CPF FOOD NETWORK CO., LTD.</v>
      </c>
      <c r="G16" s="59">
        <f>VLOOKUP(D16,'2.Bookinglist'!A:E,5,FALSE)</f>
        <v>0</v>
      </c>
      <c r="H16" s="57" t="str">
        <f>VLOOKUP(D16,'2.Bookinglist'!A:CT,15,FALSE)</f>
        <v>THBKK</v>
      </c>
      <c r="I16" s="57" t="str">
        <f>VLOOKUP(D16,'2.Bookinglist'!A:CT,19,FALSE)</f>
        <v>KRPUS</v>
      </c>
      <c r="J16" s="57">
        <f>VLOOKUP(D16,'2.Bookinglist'!A:CT,26,FALSE)</f>
        <v>0</v>
      </c>
      <c r="K16" s="57" t="str">
        <f>VLOOKUP(A16,'1.Loading'!A:R,5,FALSE)</f>
        <v>45RE</v>
      </c>
      <c r="L16" s="59" t="str">
        <f>VLOOKUP(D16,'2.Bookinglist'!A:CT,85,FALSE)</f>
        <v>CY/CY</v>
      </c>
      <c r="M16" s="59" t="str">
        <f>IF(VLOOKUP(D16,'2.Bookinglist'!A:CT,43,FALSE)=0,"","DG")</f>
        <v/>
      </c>
      <c r="N16" s="59" t="str">
        <f>IF(RIGHT(K16,2)="RE","RF","")</f>
        <v>RF</v>
      </c>
      <c r="O16" s="57" t="str">
        <f>VLOOKUP(A16,'1.Loading'!A:R,3,FALSE)</f>
        <v>SKOR</v>
      </c>
      <c r="P16" s="57" t="str">
        <f>VLOOKUP(A16,'1.Loading'!A:R,4,FALSE)</f>
        <v>2612N</v>
      </c>
      <c r="Q16" s="57" t="str">
        <f>VLOOKUP(D16,'2.Bookinglist'!A:CT,12,FALSE)</f>
        <v>VTS</v>
      </c>
      <c r="R16" s="59" t="str">
        <f>IF(LEFT(K16,2)="22","20'","40'")</f>
        <v>40'</v>
      </c>
      <c r="S16" s="41"/>
      <c r="T16" s="57" t="str">
        <f>VLOOKUP(A16,'1.Loading'!A:R,2,FALSE)</f>
        <v>2026-10-24</v>
      </c>
      <c r="U16" s="60">
        <f>T16-S16</f>
        <v>46319</v>
      </c>
      <c r="V16" s="61"/>
      <c r="W16" s="57" t="str">
        <f>VLOOKUP(A16,'3.GateMove'!A:D,4,FALSE)</f>
        <v>2026-10-20</v>
      </c>
      <c r="X16" s="60">
        <f>((T16-W16)+1)</f>
        <v>5</v>
      </c>
      <c r="Y16" s="62">
        <f>IF(AND(OR(C16="BKK01",C16="BKK04"),L16="CFS/CY"),0,IF(M16="DG",1,IF(LEFT(C16,3)="LCH",7,IF(C16="BKK02",5,3))))</f>
        <v>3</v>
      </c>
      <c r="Z16" s="60">
        <f>IF(IF(AND(AC16="TML",AB16&gt;0),((T16-W16)+1)-AB16,((T16-W16)+1)-Y16)&gt;0,IF(AND(AC16="TML",AB16&gt;0),((T16-W16)+1)-AB16,((T16-W16)+1)-Y16),0)</f>
        <v>2</v>
      </c>
      <c r="AA16" s="51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640</v>
      </c>
      <c r="AB16" s="56"/>
      <c r="AC16" s="56"/>
      <c r="AD16" s="59">
        <f>IF(M16="DG",3,IF(N16="RF",3,5))+IF(AND(LEFT(C16,3)="BKK",N16="RF",Q16="KTS"),1,0)+IF(Q16="KHS",1,0)</f>
        <v>3</v>
      </c>
      <c r="AE16" s="60">
        <f>(T16-V16)+1</f>
        <v>46320</v>
      </c>
      <c r="AF16" s="60">
        <f>IF(AB16&gt;IF((V16-W16)&gt;0,V16-W16,0),0,IF(AB16&lt;IF((V16-W16)&gt;0,V16-W16,0),IF((V16-W16)&gt;0,V16-W16,0)-AB16,IF((V16-W16)&gt;0,V16-W16,0)))</f>
        <v>0</v>
      </c>
      <c r="AG16" s="51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3"/>
      <c r="AI16" s="63">
        <f>AA16-AH16</f>
        <v>640</v>
      </c>
      <c r="AJ16" s="64"/>
      <c r="AK16" s="58" t="str">
        <f>VLOOKUP(D16,'2.Bookinglist'!A:CT,40,FALSE)</f>
        <v>Vilaiporn</v>
      </c>
      <c r="AL16" s="59" t="str">
        <f>VLOOKUP(D16,'2.Bookinglist'!A:CW,101,FALSE)</f>
        <v>2026-10-21</v>
      </c>
      <c r="AM16" s="59" t="str">
        <f>VLOOKUP(D16,'2.Bookinglist'!A:BK,63,FALSE)</f>
        <v>BKK27</v>
      </c>
      <c r="AN16" s="58" t="str">
        <f>VLOOKUP(D16,'2.Bookinglist'!A:AZ,52,FALSE)</f>
        <v>Pickup : 2026-10-19, Return : 2026-10-20 (Temp -18.0 / Vent Close)  *PRECOOL*
CLS TIME 21/10/26 @ 07.00Hrs. COST PRECOOL = 1,200 BAHT</v>
      </c>
      <c r="AO16" s="58">
        <f>VLOOKUP(D16,'2.Bookinglist'!A:CY,103,FALSE)</f>
        <v>0</v>
      </c>
    </row>
    <row r="17" ht="12.95" customHeight="1" spans="1:41" x14ac:dyDescent="0.25">
      <c r="A17" s="3" t="s">
        <v>121</v>
      </c>
      <c r="B17" s="56" t="str">
        <f>IF(C17=Charge!$M$1,Charge!$J$1,IF(C17=Charge!$M$23,Charge!$J$23,IF(C17=Charge!$M$17,Charge!$J$17,IF(C17=Charge!$N$17,Charge!$J$17,Charge!$J$7))))</f>
        <v>G3</v>
      </c>
      <c r="C17" s="57" t="str">
        <f>VLOOKUP(A17,'1.Loading'!A:R,14,FALSE)</f>
        <v>BKK01</v>
      </c>
      <c r="D17" s="57" t="str">
        <f>VLOOKUP(A17,'1.Loading'!A:R,17,FALSE)</f>
        <v>HASLS22261000194</v>
      </c>
      <c r="E17" s="58" t="str">
        <f>VLOOKUP(D17,'2.Bookinglist'!A:CT,27,FALSE)</f>
        <v>FULL WELL FREIGHT (THAILAND) CO., LTD.</v>
      </c>
      <c r="F17" s="58" t="str">
        <f>VLOOKUP(D17,'2.Bookinglist'!A:CT,28,FALSE)</f>
        <v>YEARRAKARN CO., LTD.</v>
      </c>
      <c r="G17" s="59">
        <f>VLOOKUP(D17,'2.Bookinglist'!A:E,5,FALSE)</f>
        <v>0</v>
      </c>
      <c r="H17" s="57" t="str">
        <f>VLOOKUP(D17,'2.Bookinglist'!A:CT,15,FALSE)</f>
        <v>THBKK</v>
      </c>
      <c r="I17" s="57" t="str">
        <f>VLOOKUP(D17,'2.Bookinglist'!A:CT,19,FALSE)</f>
        <v>HKHKG</v>
      </c>
      <c r="J17" s="57">
        <f>VLOOKUP(D17,'2.Bookinglist'!A:CT,26,FALSE)</f>
        <v>0</v>
      </c>
      <c r="K17" s="57" t="str">
        <f>VLOOKUP(A17,'1.Loading'!A:R,5,FALSE)</f>
        <v>45GP</v>
      </c>
      <c r="L17" s="59" t="str">
        <f>VLOOKUP(D17,'2.Bookinglist'!A:CT,85,FALSE)</f>
        <v>CY/CY</v>
      </c>
      <c r="M17" s="59" t="str">
        <f>IF(VLOOKUP(D17,'2.Bookinglist'!A:CT,43,FALSE)=0,"","DG")</f>
        <v/>
      </c>
      <c r="N17" s="59" t="str">
        <f>IF(RIGHT(K17,2)="RE","RF","")</f>
        <v/>
      </c>
      <c r="O17" s="57" t="str">
        <f>VLOOKUP(A17,'1.Loading'!A:R,3,FALSE)</f>
        <v>SKOR</v>
      </c>
      <c r="P17" s="57" t="str">
        <f>VLOOKUP(A17,'1.Loading'!A:R,4,FALSE)</f>
        <v>2612N</v>
      </c>
      <c r="Q17" s="57" t="str">
        <f>VLOOKUP(D17,'2.Bookinglist'!A:CT,12,FALSE)</f>
        <v>VTS</v>
      </c>
      <c r="R17" s="59" t="str">
        <f>IF(LEFT(K17,2)="22","20'","40'")</f>
        <v>40'</v>
      </c>
      <c r="S17" s="41"/>
      <c r="T17" s="57" t="str">
        <f>VLOOKUP(A17,'1.Loading'!A:R,2,FALSE)</f>
        <v>2026-10-24</v>
      </c>
      <c r="U17" s="60">
        <f>T17-S17</f>
        <v>46319</v>
      </c>
      <c r="V17" s="61"/>
      <c r="W17" s="57" t="str">
        <f>VLOOKUP(A17,'3.GateMove'!A:D,4,FALSE)</f>
        <v>2026-10-13</v>
      </c>
      <c r="X17" s="60">
        <f>((T17-W17)+1)</f>
        <v>12</v>
      </c>
      <c r="Y17" s="62">
        <f>IF(AND(OR(C17="BKK01",C17="BKK04"),L17="CFS/CY"),0,IF(M17="DG",1,IF(LEFT(C17,3)="LCH",7,IF(C17="BKK02",5,3))))</f>
        <v>3</v>
      </c>
      <c r="Z17" s="60">
        <f>IF(IF(AND(AC17="TML",AB17&gt;0),((T17-W17)+1)-AB17,((T17-W17)+1)-Y17)&gt;0,IF(AND(AC17="TML",AB17&gt;0),((T17-W17)+1)-AB17,((T17-W17)+1)-Y17),0)</f>
        <v>9</v>
      </c>
      <c r="AA17" s="51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3340</v>
      </c>
      <c r="AB17" s="56"/>
      <c r="AC17" s="56"/>
      <c r="AD17" s="59">
        <f>IF(M17="DG",3,IF(N17="RF",3,5))+IF(AND(LEFT(C17,3)="BKK",N17="RF",Q17="KTS"),1,0)+IF(Q17="KHS",1,0)</f>
        <v>5</v>
      </c>
      <c r="AE17" s="60">
        <f>(T17-V17)+1</f>
        <v>46320</v>
      </c>
      <c r="AF17" s="60">
        <f>IF(AB17&gt;IF((V17-W17)&gt;0,V17-W17,0),0,IF(AB17&lt;IF((V17-W17)&gt;0,V17-W17,0),IF((V17-W17)&gt;0,V17-W17,0)-AB17,IF((V17-W17)&gt;0,V17-W17,0)))</f>
        <v>0</v>
      </c>
      <c r="AG17" s="51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3"/>
      <c r="AI17" s="63">
        <f>AA17-AH17</f>
        <v>3340</v>
      </c>
      <c r="AJ17" s="64"/>
      <c r="AK17" s="58" t="str">
        <f>VLOOKUP(D17,'2.Bookinglist'!A:CT,40,FALSE)</f>
        <v>Arunphat W. (Aiw)</v>
      </c>
      <c r="AL17" s="59" t="str">
        <f>VLOOKUP(D17,'2.Bookinglist'!A:CW,101,FALSE)</f>
        <v>2026-10-21</v>
      </c>
      <c r="AM17" s="59" t="str">
        <f>VLOOKUP(D17,'2.Bookinglist'!A:BK,63,FALSE)</f>
        <v>BKK25</v>
      </c>
      <c r="AN17" s="58" t="str">
        <f>VLOOKUP(D17,'2.Bookinglist'!A:AZ,52,FALSE)</f>
        <v>CY-RTN 10-13/10/26 = 3X40'HC (1ST RETURN DD.13/10/26)
CY-RTN 12-13/10/26 = 1X40'HC
CY-RTN 12-14/10/26 = 4X40'HC
</v>
      </c>
      <c r="AO17" s="58" t="str">
        <f>VLOOKUP(D17,'2.Bookinglist'!A:CY,103,FALSE)</f>
        <v>ROLL OVER FROM PREVOIUS VSL KJT 2611N BY ALLOCATION TEAM MS.TARN APRPOVED COST IS UNDER HA DD.15/10</v>
      </c>
    </row>
    <row r="18" ht="12.95" customHeight="1" spans="1:41" x14ac:dyDescent="0.25">
      <c r="A18" s="3" t="s">
        <v>126</v>
      </c>
      <c r="B18" s="56" t="str">
        <f>IF(C18=Charge!$M$1,Charge!$J$1,IF(C18=Charge!$M$23,Charge!$J$23,IF(C18=Charge!$M$17,Charge!$J$17,IF(C18=Charge!$N$17,Charge!$J$17,Charge!$J$7))))</f>
        <v>G3</v>
      </c>
      <c r="C18" s="57" t="str">
        <f>VLOOKUP(A18,'1.Loading'!A:R,14,FALSE)</f>
        <v>BKK01</v>
      </c>
      <c r="D18" s="57" t="str">
        <f>VLOOKUP(A18,'1.Loading'!A:R,17,FALSE)</f>
        <v>HASLS22260901159</v>
      </c>
      <c r="E18" s="58" t="str">
        <f>VLOOKUP(D18,'2.Bookinglist'!A:CT,27,FALSE)</f>
        <v>YUSEN LOGISTICS (THAILAND) CO., LTD.</v>
      </c>
      <c r="F18" s="58" t="str">
        <f>VLOOKUP(D18,'2.Bookinglist'!A:CT,28,FALSE)</f>
        <v>YUSEN LOGISTICS (THAILAND) CO., LTD.</v>
      </c>
      <c r="G18" s="59">
        <f>VLOOKUP(D18,'2.Bookinglist'!A:E,5,FALSE)</f>
        <v>0</v>
      </c>
      <c r="H18" s="57" t="str">
        <f>VLOOKUP(D18,'2.Bookinglist'!A:CT,15,FALSE)</f>
        <v>THBKK</v>
      </c>
      <c r="I18" s="57" t="str">
        <f>VLOOKUP(D18,'2.Bookinglist'!A:CT,19,FALSE)</f>
        <v>HKHKG</v>
      </c>
      <c r="J18" s="57">
        <f>VLOOKUP(D18,'2.Bookinglist'!A:CT,26,FALSE)</f>
        <v>0</v>
      </c>
      <c r="K18" s="57" t="str">
        <f>VLOOKUP(A18,'1.Loading'!A:R,5,FALSE)</f>
        <v>45GP</v>
      </c>
      <c r="L18" s="59" t="str">
        <f>VLOOKUP(D18,'2.Bookinglist'!A:CT,85,FALSE)</f>
        <v>CY/CY</v>
      </c>
      <c r="M18" s="59" t="str">
        <f>IF(VLOOKUP(D18,'2.Bookinglist'!A:CT,43,FALSE)=0,"","DG")</f>
        <v/>
      </c>
      <c r="N18" s="59" t="str">
        <f>IF(RIGHT(K18,2)="RE","RF","")</f>
        <v/>
      </c>
      <c r="O18" s="57" t="str">
        <f>VLOOKUP(A18,'1.Loading'!A:R,3,FALSE)</f>
        <v>SKOR</v>
      </c>
      <c r="P18" s="57" t="str">
        <f>VLOOKUP(A18,'1.Loading'!A:R,4,FALSE)</f>
        <v>2612N</v>
      </c>
      <c r="Q18" s="57" t="str">
        <f>VLOOKUP(D18,'2.Bookinglist'!A:CT,12,FALSE)</f>
        <v>VTS</v>
      </c>
      <c r="R18" s="59" t="str">
        <f>IF(LEFT(K18,2)="22","20'","40'")</f>
        <v>40'</v>
      </c>
      <c r="S18" s="41"/>
      <c r="T18" s="57" t="str">
        <f>VLOOKUP(A18,'1.Loading'!A:R,2,FALSE)</f>
        <v>2026-10-24</v>
      </c>
      <c r="U18" s="60">
        <f>T18-S18</f>
        <v>46319</v>
      </c>
      <c r="V18" s="61"/>
      <c r="W18" s="57" t="str">
        <f>VLOOKUP(A18,'3.GateMove'!A:D,4,FALSE)</f>
        <v>2026-10-19</v>
      </c>
      <c r="X18" s="60">
        <f>((T18-W18)+1)</f>
        <v>6</v>
      </c>
      <c r="Y18" s="62">
        <f>IF(AND(OR(C18="BKK01",C18="BKK04"),L18="CFS/CY"),0,IF(M18="DG",1,IF(LEFT(C18,3)="LCH",7,IF(C18="BKK02",5,3))))</f>
        <v>3</v>
      </c>
      <c r="Z18" s="60">
        <f>IF(IF(AND(AC18="TML",AB18&gt;0),((T18-W18)+1)-AB18,((T18-W18)+1)-Y18)&gt;0,IF(AND(AC18="TML",AB18&gt;0),((T18-W18)+1)-AB18,((T18-W18)+1)-Y18),0)</f>
        <v>3</v>
      </c>
      <c r="AA18" s="51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960</v>
      </c>
      <c r="AB18" s="56"/>
      <c r="AC18" s="56"/>
      <c r="AD18" s="59">
        <f>IF(M18="DG",3,IF(N18="RF",3,5))+IF(AND(LEFT(C18,3)="BKK",N18="RF",Q18="KTS"),1,0)+IF(Q18="KHS",1,0)</f>
        <v>5</v>
      </c>
      <c r="AE18" s="60">
        <f>(T18-V18)+1</f>
        <v>46320</v>
      </c>
      <c r="AF18" s="60">
        <f>IF(AB18&gt;IF((V18-W18)&gt;0,V18-W18,0),0,IF(AB18&lt;IF((V18-W18)&gt;0,V18-W18,0),IF((V18-W18)&gt;0,V18-W18,0)-AB18,IF((V18-W18)&gt;0,V18-W18,0)))</f>
        <v>0</v>
      </c>
      <c r="AG18" s="51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3"/>
      <c r="AI18" s="63">
        <f>AA18-AH18</f>
        <v>960</v>
      </c>
      <c r="AJ18" s="64"/>
      <c r="AK18" s="58" t="str">
        <f>VLOOKUP(D18,'2.Bookinglist'!A:CT,40,FALSE)</f>
        <v>Papavadee Chiengchin</v>
      </c>
      <c r="AL18" s="59" t="str">
        <f>VLOOKUP(D18,'2.Bookinglist'!A:CW,101,FALSE)</f>
        <v>2026-10-20</v>
      </c>
      <c r="AM18" s="59" t="str">
        <f>VLOOKUP(D18,'2.Bookinglist'!A:BK,63,FALSE)</f>
        <v>BKK01</v>
      </c>
      <c r="AN18" s="58" t="str">
        <f>VLOOKUP(D18,'2.Bookinglist'!A:AZ,52,FALSE)</f>
        <v>Pickup : 2026-10-15, Return : 2026-10-16 CONSOL </v>
      </c>
      <c r="AO18" s="58">
        <f>VLOOKUP(D18,'2.Bookinglist'!A:CY,103,FALSE)</f>
        <v>0</v>
      </c>
    </row>
    <row r="19" ht="12.95" customHeight="1" spans="1:41" x14ac:dyDescent="0.25">
      <c r="A19" s="3" t="s">
        <v>129</v>
      </c>
      <c r="B19" s="56" t="str">
        <f>IF(C19=Charge!$M$1,Charge!$J$1,IF(C19=Charge!$M$23,Charge!$J$23,IF(C19=Charge!$M$17,Charge!$J$17,IF(C19=Charge!$N$17,Charge!$J$17,Charge!$J$7))))</f>
        <v>G3</v>
      </c>
      <c r="C19" s="57" t="str">
        <f>VLOOKUP(A19,'1.Loading'!A:R,14,FALSE)</f>
        <v>BKK01</v>
      </c>
      <c r="D19" s="57" t="str">
        <f>VLOOKUP(A19,'1.Loading'!A:R,17,FALSE)</f>
        <v>HASLS22261000194</v>
      </c>
      <c r="E19" s="58" t="str">
        <f>VLOOKUP(D19,'2.Bookinglist'!A:CT,27,FALSE)</f>
        <v>FULL WELL FREIGHT (THAILAND) CO., LTD.</v>
      </c>
      <c r="F19" s="58" t="str">
        <f>VLOOKUP(D19,'2.Bookinglist'!A:CT,28,FALSE)</f>
        <v>YEARRAKARN CO., LTD.</v>
      </c>
      <c r="G19" s="59">
        <f>VLOOKUP(D19,'2.Bookinglist'!A:E,5,FALSE)</f>
        <v>0</v>
      </c>
      <c r="H19" s="57" t="str">
        <f>VLOOKUP(D19,'2.Bookinglist'!A:CT,15,FALSE)</f>
        <v>THBKK</v>
      </c>
      <c r="I19" s="57" t="str">
        <f>VLOOKUP(D19,'2.Bookinglist'!A:CT,19,FALSE)</f>
        <v>HKHKG</v>
      </c>
      <c r="J19" s="57">
        <f>VLOOKUP(D19,'2.Bookinglist'!A:CT,26,FALSE)</f>
        <v>0</v>
      </c>
      <c r="K19" s="57" t="str">
        <f>VLOOKUP(A19,'1.Loading'!A:R,5,FALSE)</f>
        <v>45GP</v>
      </c>
      <c r="L19" s="59" t="str">
        <f>VLOOKUP(D19,'2.Bookinglist'!A:CT,85,FALSE)</f>
        <v>CY/CY</v>
      </c>
      <c r="M19" s="59" t="str">
        <f>IF(VLOOKUP(D19,'2.Bookinglist'!A:CT,43,FALSE)=0,"","DG")</f>
        <v/>
      </c>
      <c r="N19" s="59" t="str">
        <f>IF(RIGHT(K19,2)="RE","RF","")</f>
        <v/>
      </c>
      <c r="O19" s="57" t="str">
        <f>VLOOKUP(A19,'1.Loading'!A:R,3,FALSE)</f>
        <v>SKOR</v>
      </c>
      <c r="P19" s="57" t="str">
        <f>VLOOKUP(A19,'1.Loading'!A:R,4,FALSE)</f>
        <v>2612N</v>
      </c>
      <c r="Q19" s="57" t="str">
        <f>VLOOKUP(D19,'2.Bookinglist'!A:CT,12,FALSE)</f>
        <v>VTS</v>
      </c>
      <c r="R19" s="59" t="str">
        <f>IF(LEFT(K19,2)="22","20'","40'")</f>
        <v>40'</v>
      </c>
      <c r="S19" s="41"/>
      <c r="T19" s="57" t="str">
        <f>VLOOKUP(A19,'1.Loading'!A:R,2,FALSE)</f>
        <v>2026-10-24</v>
      </c>
      <c r="U19" s="60">
        <f>T19-S19</f>
        <v>46319</v>
      </c>
      <c r="V19" s="61"/>
      <c r="W19" s="57" t="str">
        <f>VLOOKUP(A19,'3.GateMove'!A:D,4,FALSE)</f>
        <v>2026-10-14</v>
      </c>
      <c r="X19" s="60">
        <f>((T19-W19)+1)</f>
        <v>11</v>
      </c>
      <c r="Y19" s="62">
        <f>IF(AND(OR(C19="BKK01",C19="BKK04"),L19="CFS/CY"),0,IF(M19="DG",1,IF(LEFT(C19,3)="LCH",7,IF(C19="BKK02",5,3))))</f>
        <v>3</v>
      </c>
      <c r="Z19" s="60">
        <f>IF(IF(AND(AC19="TML",AB19&gt;0),((T19-W19)+1)-AB19,((T19-W19)+1)-Y19)&gt;0,IF(AND(AC19="TML",AB19&gt;0),((T19-W19)+1)-AB19,((T19-W19)+1)-Y19),0)</f>
        <v>8</v>
      </c>
      <c r="AA19" s="51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2790</v>
      </c>
      <c r="AB19" s="56"/>
      <c r="AC19" s="56"/>
      <c r="AD19" s="59">
        <f>IF(M19="DG",3,IF(N19="RF",3,5))+IF(AND(LEFT(C19,3)="BKK",N19="RF",Q19="KTS"),1,0)+IF(Q19="KHS",1,0)</f>
        <v>5</v>
      </c>
      <c r="AE19" s="60">
        <f>(T19-V19)+1</f>
        <v>46320</v>
      </c>
      <c r="AF19" s="60">
        <f>IF(AB19&gt;IF((V19-W19)&gt;0,V19-W19,0),0,IF(AB19&lt;IF((V19-W19)&gt;0,V19-W19,0),IF((V19-W19)&gt;0,V19-W19,0)-AB19,IF((V19-W19)&gt;0,V19-W19,0)))</f>
        <v>0</v>
      </c>
      <c r="AG19" s="51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3"/>
      <c r="AI19" s="63">
        <f>AA19-AH19</f>
        <v>2790</v>
      </c>
      <c r="AJ19" s="64"/>
      <c r="AK19" s="58" t="str">
        <f>VLOOKUP(D19,'2.Bookinglist'!A:CT,40,FALSE)</f>
        <v>Arunphat W. (Aiw)</v>
      </c>
      <c r="AL19" s="59" t="str">
        <f>VLOOKUP(D19,'2.Bookinglist'!A:CW,101,FALSE)</f>
        <v>2026-10-21</v>
      </c>
      <c r="AM19" s="59" t="str">
        <f>VLOOKUP(D19,'2.Bookinglist'!A:BK,63,FALSE)</f>
        <v>BKK25</v>
      </c>
      <c r="AN19" s="58" t="str">
        <f>VLOOKUP(D19,'2.Bookinglist'!A:AZ,52,FALSE)</f>
        <v>CY-RTN 10-13/10/26 = 3X40'HC (1ST RETURN DD.13/10/26)
CY-RTN 12-13/10/26 = 1X40'HC
CY-RTN 12-14/10/26 = 4X40'HC
</v>
      </c>
      <c r="AO19" s="58" t="str">
        <f>VLOOKUP(D19,'2.Bookinglist'!A:CY,103,FALSE)</f>
        <v>ROLL OVER FROM PREVOIUS VSL KJT 2611N BY ALLOCATION TEAM MS.TARN APRPOVED COST IS UNDER HA DD.15/10</v>
      </c>
    </row>
    <row r="20" ht="12.95" customHeight="1" spans="1:41" x14ac:dyDescent="0.25">
      <c r="A20" s="3" t="s">
        <v>131</v>
      </c>
      <c r="B20" s="56" t="str">
        <f>IF(C20=Charge!$M$1,Charge!$J$1,IF(C20=Charge!$M$23,Charge!$J$23,IF(C20=Charge!$M$17,Charge!$J$17,IF(C20=Charge!$N$17,Charge!$J$17,Charge!$J$7))))</f>
        <v>G3</v>
      </c>
      <c r="C20" s="57" t="str">
        <f>VLOOKUP(A20,'1.Loading'!A:R,14,FALSE)</f>
        <v>BKK01</v>
      </c>
      <c r="D20" s="57" t="str">
        <f>VLOOKUP(A20,'1.Loading'!A:R,17,FALSE)</f>
        <v>HASLS22260901556</v>
      </c>
      <c r="E20" s="58" t="str">
        <f>VLOOKUP(D20,'2.Bookinglist'!A:CT,27,FALSE)</f>
        <v>PILOT CONSOLIDATOR CO., LTD.</v>
      </c>
      <c r="F20" s="58" t="str">
        <f>VLOOKUP(D20,'2.Bookinglist'!A:CT,28,FALSE)</f>
        <v>PILOT CONSOLIDATOR CO., LTD.</v>
      </c>
      <c r="G20" s="59">
        <f>VLOOKUP(D20,'2.Bookinglist'!A:E,5,FALSE)</f>
        <v>0</v>
      </c>
      <c r="H20" s="57" t="str">
        <f>VLOOKUP(D20,'2.Bookinglist'!A:CT,15,FALSE)</f>
        <v>THBKK</v>
      </c>
      <c r="I20" s="57" t="str">
        <f>VLOOKUP(D20,'2.Bookinglist'!A:CT,19,FALSE)</f>
        <v>HKHKG</v>
      </c>
      <c r="J20" s="57">
        <f>VLOOKUP(D20,'2.Bookinglist'!A:CT,26,FALSE)</f>
        <v>0</v>
      </c>
      <c r="K20" s="57" t="str">
        <f>VLOOKUP(A20,'1.Loading'!A:R,5,FALSE)</f>
        <v>45GP</v>
      </c>
      <c r="L20" s="59" t="str">
        <f>VLOOKUP(D20,'2.Bookinglist'!A:CT,85,FALSE)</f>
        <v>CY/CY</v>
      </c>
      <c r="M20" s="59" t="str">
        <f>IF(VLOOKUP(D20,'2.Bookinglist'!A:CT,43,FALSE)=0,"","DG")</f>
        <v/>
      </c>
      <c r="N20" s="59" t="str">
        <f>IF(RIGHT(K20,2)="RE","RF","")</f>
        <v/>
      </c>
      <c r="O20" s="57" t="str">
        <f>VLOOKUP(A20,'1.Loading'!A:R,3,FALSE)</f>
        <v>SKOR</v>
      </c>
      <c r="P20" s="57" t="str">
        <f>VLOOKUP(A20,'1.Loading'!A:R,4,FALSE)</f>
        <v>2612N</v>
      </c>
      <c r="Q20" s="57" t="str">
        <f>VLOOKUP(D20,'2.Bookinglist'!A:CT,12,FALSE)</f>
        <v>VTS</v>
      </c>
      <c r="R20" s="59" t="str">
        <f>IF(LEFT(K20,2)="22","20'","40'")</f>
        <v>40'</v>
      </c>
      <c r="S20" s="41"/>
      <c r="T20" s="57" t="str">
        <f>VLOOKUP(A20,'1.Loading'!A:R,2,FALSE)</f>
        <v>2026-10-24</v>
      </c>
      <c r="U20" s="60">
        <f>T20-S20</f>
        <v>46319</v>
      </c>
      <c r="V20" s="61"/>
      <c r="W20" s="57" t="str">
        <f>VLOOKUP(A20,'3.GateMove'!A:D,4,FALSE)</f>
        <v>2026-10-23</v>
      </c>
      <c r="X20" s="60">
        <f>((T20-W20)+1)</f>
        <v>2</v>
      </c>
      <c r="Y20" s="62">
        <f>IF(AND(OR(C20="BKK01",C20="BKK04"),L20="CFS/CY"),0,IF(M20="DG",1,IF(LEFT(C20,3)="LCH",7,IF(C20="BKK02",5,3))))</f>
        <v>3</v>
      </c>
      <c r="Z20" s="60">
        <f>IF(IF(AND(AC20="TML",AB20&gt;0),((T20-W20)+1)-AB20,((T20-W20)+1)-Y20)&gt;0,IF(AND(AC20="TML",AB20&gt;0),((T20-W20)+1)-AB20,((T20-W20)+1)-Y20),0)</f>
        <v>0</v>
      </c>
      <c r="AA20" s="51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56"/>
      <c r="AC20" s="56"/>
      <c r="AD20" s="59">
        <f>IF(M20="DG",3,IF(N20="RF",3,5))+IF(AND(LEFT(C20,3)="BKK",N20="RF",Q20="KTS"),1,0)+IF(Q20="KHS",1,0)</f>
        <v>5</v>
      </c>
      <c r="AE20" s="60">
        <f>(T20-V20)+1</f>
        <v>46320</v>
      </c>
      <c r="AF20" s="60">
        <f>IF(AB20&gt;IF((V20-W20)&gt;0,V20-W20,0),0,IF(AB20&lt;IF((V20-W20)&gt;0,V20-W20,0),IF((V20-W20)&gt;0,V20-W20,0)-AB20,IF((V20-W20)&gt;0,V20-W20,0)))</f>
        <v>0</v>
      </c>
      <c r="AG20" s="51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3"/>
      <c r="AI20" s="63">
        <f>AA20-AH20</f>
        <v>0</v>
      </c>
      <c r="AJ20" s="64"/>
      <c r="AK20" s="58" t="str">
        <f>VLOOKUP(D20,'2.Bookinglist'!A:CT,40,FALSE)</f>
        <v>Papavadee Chiengchin</v>
      </c>
      <c r="AL20" s="59" t="str">
        <f>VLOOKUP(D20,'2.Bookinglist'!A:CW,101,FALSE)</f>
        <v>2026-10-20</v>
      </c>
      <c r="AM20" s="59" t="str">
        <f>VLOOKUP(D20,'2.Bookinglist'!A:BK,63,FALSE)</f>
        <v>BKK01</v>
      </c>
      <c r="AN20" s="58" t="str">
        <f>VLOOKUP(D20,'2.Bookinglist'!A:AZ,52,FALSE)</f>
        <v>Pickup : 2026-10-16, Return : 2026-10-16 CONSOL</v>
      </c>
      <c r="AO20" s="58">
        <f>VLOOKUP(D20,'2.Bookinglist'!A:CY,103,FALSE)</f>
        <v>0</v>
      </c>
    </row>
    <row r="21" ht="12.95" customHeight="1" spans="1:41" x14ac:dyDescent="0.25">
      <c r="A21" s="3" t="s">
        <v>136</v>
      </c>
      <c r="B21" s="56" t="str">
        <f>IF(C21=Charge!$M$1,Charge!$J$1,IF(C21=Charge!$M$23,Charge!$J$23,IF(C21=Charge!$M$17,Charge!$J$17,IF(C21=Charge!$N$17,Charge!$J$17,Charge!$J$7))))</f>
        <v>G3</v>
      </c>
      <c r="C21" s="57" t="str">
        <f>VLOOKUP(A21,'1.Loading'!A:R,14,FALSE)</f>
        <v>BKK01</v>
      </c>
      <c r="D21" s="57" t="str">
        <f>VLOOKUP(A21,'1.Loading'!A:R,17,FALSE)</f>
        <v>HASLS22261000194</v>
      </c>
      <c r="E21" s="58" t="str">
        <f>VLOOKUP(D21,'2.Bookinglist'!A:CT,27,FALSE)</f>
        <v>FULL WELL FREIGHT (THAILAND) CO., LTD.</v>
      </c>
      <c r="F21" s="58" t="str">
        <f>VLOOKUP(D21,'2.Bookinglist'!A:CT,28,FALSE)</f>
        <v>YEARRAKARN CO., LTD.</v>
      </c>
      <c r="G21" s="59">
        <f>VLOOKUP(D21,'2.Bookinglist'!A:E,5,FALSE)</f>
        <v>0</v>
      </c>
      <c r="H21" s="57" t="str">
        <f>VLOOKUP(D21,'2.Bookinglist'!A:CT,15,FALSE)</f>
        <v>THBKK</v>
      </c>
      <c r="I21" s="57" t="str">
        <f>VLOOKUP(D21,'2.Bookinglist'!A:CT,19,FALSE)</f>
        <v>HKHKG</v>
      </c>
      <c r="J21" s="57">
        <f>VLOOKUP(D21,'2.Bookinglist'!A:CT,26,FALSE)</f>
        <v>0</v>
      </c>
      <c r="K21" s="57" t="str">
        <f>VLOOKUP(A21,'1.Loading'!A:R,5,FALSE)</f>
        <v>45GP</v>
      </c>
      <c r="L21" s="59" t="str">
        <f>VLOOKUP(D21,'2.Bookinglist'!A:CT,85,FALSE)</f>
        <v>CY/CY</v>
      </c>
      <c r="M21" s="59" t="str">
        <f>IF(VLOOKUP(D21,'2.Bookinglist'!A:CT,43,FALSE)=0,"","DG")</f>
        <v/>
      </c>
      <c r="N21" s="59" t="str">
        <f>IF(RIGHT(K21,2)="RE","RF","")</f>
        <v/>
      </c>
      <c r="O21" s="57" t="str">
        <f>VLOOKUP(A21,'1.Loading'!A:R,3,FALSE)</f>
        <v>SKOR</v>
      </c>
      <c r="P21" s="57" t="str">
        <f>VLOOKUP(A21,'1.Loading'!A:R,4,FALSE)</f>
        <v>2612N</v>
      </c>
      <c r="Q21" s="57" t="str">
        <f>VLOOKUP(D21,'2.Bookinglist'!A:CT,12,FALSE)</f>
        <v>VTS</v>
      </c>
      <c r="R21" s="59" t="str">
        <f>IF(LEFT(K21,2)="22","20'","40'")</f>
        <v>40'</v>
      </c>
      <c r="S21" s="41"/>
      <c r="T21" s="57" t="str">
        <f>VLOOKUP(A21,'1.Loading'!A:R,2,FALSE)</f>
        <v>2026-10-24</v>
      </c>
      <c r="U21" s="60">
        <f>T21-S21</f>
        <v>46319</v>
      </c>
      <c r="V21" s="61"/>
      <c r="W21" s="57" t="str">
        <f>VLOOKUP(A21,'3.GateMove'!A:D,4,FALSE)</f>
        <v>2026-10-13</v>
      </c>
      <c r="X21" s="60">
        <f>((T21-W21)+1)</f>
        <v>12</v>
      </c>
      <c r="Y21" s="62">
        <f>IF(AND(OR(C21="BKK01",C21="BKK04"),L21="CFS/CY"),0,IF(M21="DG",1,IF(LEFT(C21,3)="LCH",7,IF(C21="BKK02",5,3))))</f>
        <v>3</v>
      </c>
      <c r="Z21" s="60">
        <f>IF(IF(AND(AC21="TML",AB21&gt;0),((T21-W21)+1)-AB21,((T21-W21)+1)-Y21)&gt;0,IF(AND(AC21="TML",AB21&gt;0),((T21-W21)+1)-AB21,((T21-W21)+1)-Y21),0)</f>
        <v>9</v>
      </c>
      <c r="AA21" s="51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3340</v>
      </c>
      <c r="AB21" s="56"/>
      <c r="AC21" s="56"/>
      <c r="AD21" s="59">
        <f>IF(M21="DG",3,IF(N21="RF",3,5))+IF(AND(LEFT(C21,3)="BKK",N21="RF",Q21="KTS"),1,0)+IF(Q21="KHS",1,0)</f>
        <v>5</v>
      </c>
      <c r="AE21" s="60">
        <f>(T21-V21)+1</f>
        <v>46320</v>
      </c>
      <c r="AF21" s="60">
        <f>IF(AB21&gt;IF((V21-W21)&gt;0,V21-W21,0),0,IF(AB21&lt;IF((V21-W21)&gt;0,V21-W21,0),IF((V21-W21)&gt;0,V21-W21,0)-AB21,IF((V21-W21)&gt;0,V21-W21,0)))</f>
        <v>0</v>
      </c>
      <c r="AG21" s="51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3"/>
      <c r="AI21" s="63">
        <f>AA21-AH21</f>
        <v>3340</v>
      </c>
      <c r="AJ21" s="64"/>
      <c r="AK21" s="58" t="str">
        <f>VLOOKUP(D21,'2.Bookinglist'!A:CT,40,FALSE)</f>
        <v>Arunphat W. (Aiw)</v>
      </c>
      <c r="AL21" s="59" t="str">
        <f>VLOOKUP(D21,'2.Bookinglist'!A:CW,101,FALSE)</f>
        <v>2026-10-21</v>
      </c>
      <c r="AM21" s="59" t="str">
        <f>VLOOKUP(D21,'2.Bookinglist'!A:BK,63,FALSE)</f>
        <v>BKK25</v>
      </c>
      <c r="AN21" s="58" t="str">
        <f>VLOOKUP(D21,'2.Bookinglist'!A:AZ,52,FALSE)</f>
        <v>CY-RTN 10-13/10/26 = 3X40'HC (1ST RETURN DD.13/10/26)
CY-RTN 12-13/10/26 = 1X40'HC
CY-RTN 12-14/10/26 = 4X40'HC
</v>
      </c>
      <c r="AO21" s="58" t="str">
        <f>VLOOKUP(D21,'2.Bookinglist'!A:CY,103,FALSE)</f>
        <v>ROLL OVER FROM PREVOIUS VSL KJT 2611N BY ALLOCATION TEAM MS.TARN APRPOVED COST IS UNDER HA DD.15/10</v>
      </c>
    </row>
    <row r="22" ht="12.95" customHeight="1" spans="1:41" x14ac:dyDescent="0.25">
      <c r="A22" s="3" t="s">
        <v>138</v>
      </c>
      <c r="B22" s="56" t="str">
        <f>IF(C22=Charge!$M$1,Charge!$J$1,IF(C22=Charge!$M$23,Charge!$J$23,IF(C22=Charge!$M$17,Charge!$J$17,IF(C22=Charge!$N$17,Charge!$J$17,Charge!$J$7))))</f>
        <v>G3</v>
      </c>
      <c r="C22" s="57" t="str">
        <f>VLOOKUP(A22,'1.Loading'!A:R,14,FALSE)</f>
        <v>BKK01</v>
      </c>
      <c r="D22" s="57" t="str">
        <f>VLOOKUP(A22,'1.Loading'!A:R,17,FALSE)</f>
        <v>HASLS22261000194</v>
      </c>
      <c r="E22" s="58" t="str">
        <f>VLOOKUP(D22,'2.Bookinglist'!A:CT,27,FALSE)</f>
        <v>FULL WELL FREIGHT (THAILAND) CO., LTD.</v>
      </c>
      <c r="F22" s="58" t="str">
        <f>VLOOKUP(D22,'2.Bookinglist'!A:CT,28,FALSE)</f>
        <v>YEARRAKARN CO., LTD.</v>
      </c>
      <c r="G22" s="59">
        <f>VLOOKUP(D22,'2.Bookinglist'!A:E,5,FALSE)</f>
        <v>0</v>
      </c>
      <c r="H22" s="57" t="str">
        <f>VLOOKUP(D22,'2.Bookinglist'!A:CT,15,FALSE)</f>
        <v>THBKK</v>
      </c>
      <c r="I22" s="57" t="str">
        <f>VLOOKUP(D22,'2.Bookinglist'!A:CT,19,FALSE)</f>
        <v>HKHKG</v>
      </c>
      <c r="J22" s="57">
        <f>VLOOKUP(D22,'2.Bookinglist'!A:CT,26,FALSE)</f>
        <v>0</v>
      </c>
      <c r="K22" s="57" t="str">
        <f>VLOOKUP(A22,'1.Loading'!A:R,5,FALSE)</f>
        <v>45GP</v>
      </c>
      <c r="L22" s="59" t="str">
        <f>VLOOKUP(D22,'2.Bookinglist'!A:CT,85,FALSE)</f>
        <v>CY/CY</v>
      </c>
      <c r="M22" s="59" t="str">
        <f>IF(VLOOKUP(D22,'2.Bookinglist'!A:CT,43,FALSE)=0,"","DG")</f>
        <v/>
      </c>
      <c r="N22" s="59" t="str">
        <f>IF(RIGHT(K22,2)="RE","RF","")</f>
        <v/>
      </c>
      <c r="O22" s="57" t="str">
        <f>VLOOKUP(A22,'1.Loading'!A:R,3,FALSE)</f>
        <v>SKOR</v>
      </c>
      <c r="P22" s="57" t="str">
        <f>VLOOKUP(A22,'1.Loading'!A:R,4,FALSE)</f>
        <v>2612N</v>
      </c>
      <c r="Q22" s="57" t="str">
        <f>VLOOKUP(D22,'2.Bookinglist'!A:CT,12,FALSE)</f>
        <v>VTS</v>
      </c>
      <c r="R22" s="59" t="str">
        <f>IF(LEFT(K22,2)="22","20'","40'")</f>
        <v>40'</v>
      </c>
      <c r="S22" s="41"/>
      <c r="T22" s="57" t="str">
        <f>VLOOKUP(A22,'1.Loading'!A:R,2,FALSE)</f>
        <v>2026-10-24</v>
      </c>
      <c r="U22" s="60">
        <f>T22-S22</f>
        <v>46319</v>
      </c>
      <c r="V22" s="61"/>
      <c r="W22" s="57" t="str">
        <f>VLOOKUP(A22,'3.GateMove'!A:D,4,FALSE)</f>
        <v>2026-10-14</v>
      </c>
      <c r="X22" s="60">
        <f>((T22-W22)+1)</f>
        <v>11</v>
      </c>
      <c r="Y22" s="62">
        <f>IF(AND(OR(C22="BKK01",C22="BKK04"),L22="CFS/CY"),0,IF(M22="DG",1,IF(LEFT(C22,3)="LCH",7,IF(C22="BKK02",5,3))))</f>
        <v>3</v>
      </c>
      <c r="Z22" s="60">
        <f>IF(IF(AND(AC22="TML",AB22&gt;0),((T22-W22)+1)-AB22,((T22-W22)+1)-Y22)&gt;0,IF(AND(AC22="TML",AB22&gt;0),((T22-W22)+1)-AB22,((T22-W22)+1)-Y22),0)</f>
        <v>8</v>
      </c>
      <c r="AA22" s="51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2790</v>
      </c>
      <c r="AB22" s="56"/>
      <c r="AC22" s="56"/>
      <c r="AD22" s="59">
        <f>IF(M22="DG",3,IF(N22="RF",3,5))+IF(AND(LEFT(C22,3)="BKK",N22="RF",Q22="KTS"),1,0)+IF(Q22="KHS",1,0)</f>
        <v>5</v>
      </c>
      <c r="AE22" s="60">
        <f>(T22-V22)+1</f>
        <v>46320</v>
      </c>
      <c r="AF22" s="60">
        <f>IF(AB22&gt;IF((V22-W22)&gt;0,V22-W22,0),0,IF(AB22&lt;IF((V22-W22)&gt;0,V22-W22,0),IF((V22-W22)&gt;0,V22-W22,0)-AB22,IF((V22-W22)&gt;0,V22-W22,0)))</f>
        <v>0</v>
      </c>
      <c r="AG22" s="51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3"/>
      <c r="AI22" s="63">
        <f>AA22-AH22</f>
        <v>2790</v>
      </c>
      <c r="AJ22" s="64"/>
      <c r="AK22" s="58" t="str">
        <f>VLOOKUP(D22,'2.Bookinglist'!A:CT,40,FALSE)</f>
        <v>Arunphat W. (Aiw)</v>
      </c>
      <c r="AL22" s="59" t="str">
        <f>VLOOKUP(D22,'2.Bookinglist'!A:CW,101,FALSE)</f>
        <v>2026-10-21</v>
      </c>
      <c r="AM22" s="59" t="str">
        <f>VLOOKUP(D22,'2.Bookinglist'!A:BK,63,FALSE)</f>
        <v>BKK25</v>
      </c>
      <c r="AN22" s="58" t="str">
        <f>VLOOKUP(D22,'2.Bookinglist'!A:AZ,52,FALSE)</f>
        <v>CY-RTN 10-13/10/26 = 3X40'HC (1ST RETURN DD.13/10/26)
CY-RTN 12-13/10/26 = 1X40'HC
CY-RTN 12-14/10/26 = 4X40'HC
</v>
      </c>
      <c r="AO22" s="58" t="str">
        <f>VLOOKUP(D22,'2.Bookinglist'!A:CY,103,FALSE)</f>
        <v>ROLL OVER FROM PREVOIUS VSL KJT 2611N BY ALLOCATION TEAM MS.TARN APRPOVED COST IS UNDER HA DD.15/10</v>
      </c>
    </row>
    <row r="23" ht="12.95" customHeight="1" spans="1:41" x14ac:dyDescent="0.25">
      <c r="A23" s="3" t="s">
        <v>140</v>
      </c>
      <c r="B23" s="56" t="str">
        <f>IF(C23=Charge!$M$1,Charge!$J$1,IF(C23=Charge!$M$23,Charge!$J$23,IF(C23=Charge!$M$17,Charge!$J$17,IF(C23=Charge!$N$17,Charge!$J$17,Charge!$J$7))))</f>
        <v>G3</v>
      </c>
      <c r="C23" s="57" t="str">
        <f>VLOOKUP(A23,'1.Loading'!A:R,14,FALSE)</f>
        <v>BKK01</v>
      </c>
      <c r="D23" s="57" t="str">
        <f>VLOOKUP(A23,'1.Loading'!A:R,17,FALSE)</f>
        <v>HASLS22261000194</v>
      </c>
      <c r="E23" s="58" t="str">
        <f>VLOOKUP(D23,'2.Bookinglist'!A:CT,27,FALSE)</f>
        <v>FULL WELL FREIGHT (THAILAND) CO., LTD.</v>
      </c>
      <c r="F23" s="58" t="str">
        <f>VLOOKUP(D23,'2.Bookinglist'!A:CT,28,FALSE)</f>
        <v>YEARRAKARN CO., LTD.</v>
      </c>
      <c r="G23" s="59">
        <f>VLOOKUP(D23,'2.Bookinglist'!A:E,5,FALSE)</f>
        <v>0</v>
      </c>
      <c r="H23" s="57" t="str">
        <f>VLOOKUP(D23,'2.Bookinglist'!A:CT,15,FALSE)</f>
        <v>THBKK</v>
      </c>
      <c r="I23" s="57" t="str">
        <f>VLOOKUP(D23,'2.Bookinglist'!A:CT,19,FALSE)</f>
        <v>HKHKG</v>
      </c>
      <c r="J23" s="57">
        <f>VLOOKUP(D23,'2.Bookinglist'!A:CT,26,FALSE)</f>
        <v>0</v>
      </c>
      <c r="K23" s="57" t="str">
        <f>VLOOKUP(A23,'1.Loading'!A:R,5,FALSE)</f>
        <v>45GP</v>
      </c>
      <c r="L23" s="59" t="str">
        <f>VLOOKUP(D23,'2.Bookinglist'!A:CT,85,FALSE)</f>
        <v>CY/CY</v>
      </c>
      <c r="M23" s="59" t="str">
        <f>IF(VLOOKUP(D23,'2.Bookinglist'!A:CT,43,FALSE)=0,"","DG")</f>
        <v/>
      </c>
      <c r="N23" s="59" t="str">
        <f>IF(RIGHT(K23,2)="RE","RF","")</f>
        <v/>
      </c>
      <c r="O23" s="57" t="str">
        <f>VLOOKUP(A23,'1.Loading'!A:R,3,FALSE)</f>
        <v>SKOR</v>
      </c>
      <c r="P23" s="57" t="str">
        <f>VLOOKUP(A23,'1.Loading'!A:R,4,FALSE)</f>
        <v>2612N</v>
      </c>
      <c r="Q23" s="57" t="str">
        <f>VLOOKUP(D23,'2.Bookinglist'!A:CT,12,FALSE)</f>
        <v>VTS</v>
      </c>
      <c r="R23" s="59" t="str">
        <f>IF(LEFT(K23,2)="22","20'","40'")</f>
        <v>40'</v>
      </c>
      <c r="S23" s="41"/>
      <c r="T23" s="57" t="str">
        <f>VLOOKUP(A23,'1.Loading'!A:R,2,FALSE)</f>
        <v>2026-10-24</v>
      </c>
      <c r="U23" s="60">
        <f>T23-S23</f>
        <v>46319</v>
      </c>
      <c r="V23" s="61"/>
      <c r="W23" s="57" t="str">
        <f>VLOOKUP(A23,'3.GateMove'!A:D,4,FALSE)</f>
        <v>2026-10-13</v>
      </c>
      <c r="X23" s="60">
        <f>((T23-W23)+1)</f>
        <v>12</v>
      </c>
      <c r="Y23" s="62">
        <f>IF(AND(OR(C23="BKK01",C23="BKK04"),L23="CFS/CY"),0,IF(M23="DG",1,IF(LEFT(C23,3)="LCH",7,IF(C23="BKK02",5,3))))</f>
        <v>3</v>
      </c>
      <c r="Z23" s="60">
        <f>IF(IF(AND(AC23="TML",AB23&gt;0),((T23-W23)+1)-AB23,((T23-W23)+1)-Y23)&gt;0,IF(AND(AC23="TML",AB23&gt;0),((T23-W23)+1)-AB23,((T23-W23)+1)-Y23),0)</f>
        <v>9</v>
      </c>
      <c r="AA23" s="51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3340</v>
      </c>
      <c r="AB23" s="56"/>
      <c r="AC23" s="56"/>
      <c r="AD23" s="59">
        <f>IF(M23="DG",3,IF(N23="RF",3,5))+IF(AND(LEFT(C23,3)="BKK",N23="RF",Q23="KTS"),1,0)+IF(Q23="KHS",1,0)</f>
        <v>5</v>
      </c>
      <c r="AE23" s="60">
        <f>(T23-V23)+1</f>
        <v>46320</v>
      </c>
      <c r="AF23" s="60">
        <f>IF(AB23&gt;IF((V23-W23)&gt;0,V23-W23,0),0,IF(AB23&lt;IF((V23-W23)&gt;0,V23-W23,0),IF((V23-W23)&gt;0,V23-W23,0)-AB23,IF((V23-W23)&gt;0,V23-W23,0)))</f>
        <v>0</v>
      </c>
      <c r="AG23" s="51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3"/>
      <c r="AI23" s="63">
        <f>AA23-AH23</f>
        <v>3340</v>
      </c>
      <c r="AJ23" s="64"/>
      <c r="AK23" s="58" t="str">
        <f>VLOOKUP(D23,'2.Bookinglist'!A:CT,40,FALSE)</f>
        <v>Arunphat W. (Aiw)</v>
      </c>
      <c r="AL23" s="59" t="str">
        <f>VLOOKUP(D23,'2.Bookinglist'!A:CW,101,FALSE)</f>
        <v>2026-10-21</v>
      </c>
      <c r="AM23" s="59" t="str">
        <f>VLOOKUP(D23,'2.Bookinglist'!A:BK,63,FALSE)</f>
        <v>BKK25</v>
      </c>
      <c r="AN23" s="58" t="str">
        <f>VLOOKUP(D23,'2.Bookinglist'!A:AZ,52,FALSE)</f>
        <v>CY-RTN 10-13/10/26 = 3X40'HC (1ST RETURN DD.13/10/26)
CY-RTN 12-13/10/26 = 1X40'HC
CY-RTN 12-14/10/26 = 4X40'HC
</v>
      </c>
      <c r="AO23" s="58" t="str">
        <f>VLOOKUP(D23,'2.Bookinglist'!A:CY,103,FALSE)</f>
        <v>ROLL OVER FROM PREVOIUS VSL KJT 2611N BY ALLOCATION TEAM MS.TARN APRPOVED COST IS UNDER HA DD.15/10</v>
      </c>
    </row>
    <row r="24" ht="12.95" customHeight="1" spans="1:41" x14ac:dyDescent="0.25">
      <c r="A24" s="3" t="s">
        <v>141</v>
      </c>
      <c r="B24" s="56" t="str">
        <f>IF(C24=Charge!$M$1,Charge!$J$1,IF(C24=Charge!$M$23,Charge!$J$23,IF(C24=Charge!$M$17,Charge!$J$17,IF(C24=Charge!$N$17,Charge!$J$17,Charge!$J$7))))</f>
        <v>G3</v>
      </c>
      <c r="C24" s="57" t="str">
        <f>VLOOKUP(A24,'1.Loading'!A:R,14,FALSE)</f>
        <v>BKK01</v>
      </c>
      <c r="D24" s="57" t="str">
        <f>VLOOKUP(A24,'1.Loading'!A:R,17,FALSE)</f>
        <v>HASLS22261000194</v>
      </c>
      <c r="E24" s="58" t="str">
        <f>VLOOKUP(D24,'2.Bookinglist'!A:CT,27,FALSE)</f>
        <v>FULL WELL FREIGHT (THAILAND) CO., LTD.</v>
      </c>
      <c r="F24" s="58" t="str">
        <f>VLOOKUP(D24,'2.Bookinglist'!A:CT,28,FALSE)</f>
        <v>YEARRAKARN CO., LTD.</v>
      </c>
      <c r="G24" s="59">
        <f>VLOOKUP(D24,'2.Bookinglist'!A:E,5,FALSE)</f>
        <v>0</v>
      </c>
      <c r="H24" s="57" t="str">
        <f>VLOOKUP(D24,'2.Bookinglist'!A:CT,15,FALSE)</f>
        <v>THBKK</v>
      </c>
      <c r="I24" s="57" t="str">
        <f>VLOOKUP(D24,'2.Bookinglist'!A:CT,19,FALSE)</f>
        <v>HKHKG</v>
      </c>
      <c r="J24" s="57">
        <f>VLOOKUP(D24,'2.Bookinglist'!A:CT,26,FALSE)</f>
        <v>0</v>
      </c>
      <c r="K24" s="57" t="str">
        <f>VLOOKUP(A24,'1.Loading'!A:R,5,FALSE)</f>
        <v>45GP</v>
      </c>
      <c r="L24" s="59" t="str">
        <f>VLOOKUP(D24,'2.Bookinglist'!A:CT,85,FALSE)</f>
        <v>CY/CY</v>
      </c>
      <c r="M24" s="59" t="str">
        <f>IF(VLOOKUP(D24,'2.Bookinglist'!A:CT,43,FALSE)=0,"","DG")</f>
        <v/>
      </c>
      <c r="N24" s="59" t="str">
        <f>IF(RIGHT(K24,2)="RE","RF","")</f>
        <v/>
      </c>
      <c r="O24" s="57" t="str">
        <f>VLOOKUP(A24,'1.Loading'!A:R,3,FALSE)</f>
        <v>SKOR</v>
      </c>
      <c r="P24" s="57" t="str">
        <f>VLOOKUP(A24,'1.Loading'!A:R,4,FALSE)</f>
        <v>2612N</v>
      </c>
      <c r="Q24" s="57" t="str">
        <f>VLOOKUP(D24,'2.Bookinglist'!A:CT,12,FALSE)</f>
        <v>VTS</v>
      </c>
      <c r="R24" s="59" t="str">
        <f>IF(LEFT(K24,2)="22","20'","40'")</f>
        <v>40'</v>
      </c>
      <c r="S24" s="41"/>
      <c r="T24" s="57" t="str">
        <f>VLOOKUP(A24,'1.Loading'!A:R,2,FALSE)</f>
        <v>2026-10-24</v>
      </c>
      <c r="U24" s="60">
        <f>T24-S24</f>
        <v>46319</v>
      </c>
      <c r="V24" s="61"/>
      <c r="W24" s="57" t="str">
        <f>VLOOKUP(A24,'3.GateMove'!A:D,4,FALSE)</f>
        <v>2026-10-14</v>
      </c>
      <c r="X24" s="60">
        <f>((T24-W24)+1)</f>
        <v>11</v>
      </c>
      <c r="Y24" s="62">
        <f>IF(AND(OR(C24="BKK01",C24="BKK04"),L24="CFS/CY"),0,IF(M24="DG",1,IF(LEFT(C24,3)="LCH",7,IF(C24="BKK02",5,3))))</f>
        <v>3</v>
      </c>
      <c r="Z24" s="60">
        <f>IF(IF(AND(AC24="TML",AB24&gt;0),((T24-W24)+1)-AB24,((T24-W24)+1)-Y24)&gt;0,IF(AND(AC24="TML",AB24&gt;0),((T24-W24)+1)-AB24,((T24-W24)+1)-Y24),0)</f>
        <v>8</v>
      </c>
      <c r="AA24" s="51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2790</v>
      </c>
      <c r="AB24" s="56"/>
      <c r="AC24" s="56"/>
      <c r="AD24" s="59">
        <f>IF(M24="DG",3,IF(N24="RF",3,5))+IF(AND(LEFT(C24,3)="BKK",N24="RF",Q24="KTS"),1,0)+IF(Q24="KHS",1,0)</f>
        <v>5</v>
      </c>
      <c r="AE24" s="60">
        <f>(T24-V24)+1</f>
        <v>46320</v>
      </c>
      <c r="AF24" s="60">
        <f>IF(AB24&gt;IF((V24-W24)&gt;0,V24-W24,0),0,IF(AB24&lt;IF((V24-W24)&gt;0,V24-W24,0),IF((V24-W24)&gt;0,V24-W24,0)-AB24,IF((V24-W24)&gt;0,V24-W24,0)))</f>
        <v>0</v>
      </c>
      <c r="AG24" s="51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3"/>
      <c r="AI24" s="63">
        <f>AA24-AH24</f>
        <v>2790</v>
      </c>
      <c r="AJ24" s="64"/>
      <c r="AK24" s="58" t="str">
        <f>VLOOKUP(D24,'2.Bookinglist'!A:CT,40,FALSE)</f>
        <v>Arunphat W. (Aiw)</v>
      </c>
      <c r="AL24" s="59" t="str">
        <f>VLOOKUP(D24,'2.Bookinglist'!A:CW,101,FALSE)</f>
        <v>2026-10-21</v>
      </c>
      <c r="AM24" s="59" t="str">
        <f>VLOOKUP(D24,'2.Bookinglist'!A:BK,63,FALSE)</f>
        <v>BKK25</v>
      </c>
      <c r="AN24" s="58" t="str">
        <f>VLOOKUP(D24,'2.Bookinglist'!A:AZ,52,FALSE)</f>
        <v>CY-RTN 10-13/10/26 = 3X40'HC (1ST RETURN DD.13/10/26)
CY-RTN 12-13/10/26 = 1X40'HC
CY-RTN 12-14/10/26 = 4X40'HC
</v>
      </c>
      <c r="AO24" s="58" t="str">
        <f>VLOOKUP(D24,'2.Bookinglist'!A:CY,103,FALSE)</f>
        <v>ROLL OVER FROM PREVOIUS VSL KJT 2611N BY ALLOCATION TEAM MS.TARN APRPOVED COST IS UNDER HA DD.15/10</v>
      </c>
    </row>
    <row r="25" ht="12.95" customHeight="1" spans="1:41" x14ac:dyDescent="0.25">
      <c r="A25" s="3" t="s">
        <v>142</v>
      </c>
      <c r="B25" s="56" t="str">
        <f>IF(C25=Charge!$M$1,Charge!$J$1,IF(C25=Charge!$M$23,Charge!$J$23,IF(C25=Charge!$M$17,Charge!$J$17,IF(C25=Charge!$N$17,Charge!$J$17,Charge!$J$7))))</f>
        <v>G3</v>
      </c>
      <c r="C25" s="57" t="str">
        <f>VLOOKUP(A25,'1.Loading'!A:R,14,FALSE)</f>
        <v>BKK01</v>
      </c>
      <c r="D25" s="57" t="str">
        <f>VLOOKUP(A25,'1.Loading'!A:R,17,FALSE)</f>
        <v>HASLS22260901749</v>
      </c>
      <c r="E25" s="58" t="str">
        <f>VLOOKUP(D25,'2.Bookinglist'!A:CT,27,FALSE)</f>
        <v>YUSEN LOGISTICS (THAILAND) CO., LTD.</v>
      </c>
      <c r="F25" s="58" t="str">
        <f>VLOOKUP(D25,'2.Bookinglist'!A:CT,28,FALSE)</f>
        <v>NIPPN FOODS CORPORATION (THAILAND) LTD. </v>
      </c>
      <c r="G25" s="59">
        <f>VLOOKUP(D25,'2.Bookinglist'!A:E,5,FALSE)</f>
        <v>0</v>
      </c>
      <c r="H25" s="57" t="str">
        <f>VLOOKUP(D25,'2.Bookinglist'!A:CT,15,FALSE)</f>
        <v>THBKK</v>
      </c>
      <c r="I25" s="57" t="str">
        <f>VLOOKUP(D25,'2.Bookinglist'!A:CT,19,FALSE)</f>
        <v>HKHKG</v>
      </c>
      <c r="J25" s="57">
        <f>VLOOKUP(D25,'2.Bookinglist'!A:CT,26,FALSE)</f>
        <v>0</v>
      </c>
      <c r="K25" s="57" t="str">
        <f>VLOOKUP(A25,'1.Loading'!A:R,5,FALSE)</f>
        <v>22RE</v>
      </c>
      <c r="L25" s="59" t="str">
        <f>VLOOKUP(D25,'2.Bookinglist'!A:CT,85,FALSE)</f>
        <v>CY/CY</v>
      </c>
      <c r="M25" s="59" t="str">
        <f>IF(VLOOKUP(D25,'2.Bookinglist'!A:CT,43,FALSE)=0,"","DG")</f>
        <v/>
      </c>
      <c r="N25" s="59" t="str">
        <f>IF(RIGHT(K25,2)="RE","RF","")</f>
        <v>RF</v>
      </c>
      <c r="O25" s="57" t="str">
        <f>VLOOKUP(A25,'1.Loading'!A:R,3,FALSE)</f>
        <v>SKOR</v>
      </c>
      <c r="P25" s="57" t="str">
        <f>VLOOKUP(A25,'1.Loading'!A:R,4,FALSE)</f>
        <v>2612N</v>
      </c>
      <c r="Q25" s="57" t="str">
        <f>VLOOKUP(D25,'2.Bookinglist'!A:CT,12,FALSE)</f>
        <v>VTS</v>
      </c>
      <c r="R25" s="59" t="str">
        <f>IF(LEFT(K25,2)="22","20'","40'")</f>
        <v>20'</v>
      </c>
      <c r="S25" s="41"/>
      <c r="T25" s="57" t="str">
        <f>VLOOKUP(A25,'1.Loading'!A:R,2,FALSE)</f>
        <v>2026-10-24</v>
      </c>
      <c r="U25" s="60">
        <f>T25-S25</f>
        <v>46319</v>
      </c>
      <c r="V25" s="61"/>
      <c r="W25" s="57" t="str">
        <f>VLOOKUP(A25,'3.GateMove'!A:D,4,FALSE)</f>
        <v>2026-10-16</v>
      </c>
      <c r="X25" s="60">
        <f>((T25-W25)+1)</f>
        <v>9</v>
      </c>
      <c r="Y25" s="62">
        <f>IF(AND(OR(C25="BKK01",C25="BKK04"),L25="CFS/CY"),0,IF(M25="DG",1,IF(LEFT(C25,3)="LCH",7,IF(C25="BKK02",5,3))))</f>
        <v>3</v>
      </c>
      <c r="Z25" s="60">
        <f>IF(IF(AND(AC25="TML",AB25&gt;0),((T25-W25)+1)-AB25,((T25-W25)+1)-Y25)&gt;0,IF(AND(AC25="TML",AB25&gt;0),((T25-W25)+1)-AB25,((T25-W25)+1)-Y25),0)</f>
        <v>6</v>
      </c>
      <c r="AA25" s="51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960</v>
      </c>
      <c r="AB25" s="56"/>
      <c r="AC25" s="56"/>
      <c r="AD25" s="59">
        <f>IF(M25="DG",3,IF(N25="RF",3,5))+IF(AND(LEFT(C25,3)="BKK",N25="RF",Q25="KTS"),1,0)+IF(Q25="KHS",1,0)</f>
        <v>3</v>
      </c>
      <c r="AE25" s="60">
        <f>(T25-V25)+1</f>
        <v>46320</v>
      </c>
      <c r="AF25" s="60">
        <f>IF(AB25&gt;IF((V25-W25)&gt;0,V25-W25,0),0,IF(AB25&lt;IF((V25-W25)&gt;0,V25-W25,0),IF((V25-W25)&gt;0,V25-W25,0)-AB25,IF((V25-W25)&gt;0,V25-W25,0)))</f>
        <v>0</v>
      </c>
      <c r="AG25" s="51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3"/>
      <c r="AI25" s="63">
        <f>AA25-AH25</f>
        <v>960</v>
      </c>
      <c r="AJ25" s="64"/>
      <c r="AK25" s="58" t="str">
        <f>VLOOKUP(D25,'2.Bookinglist'!A:CT,40,FALSE)</f>
        <v>Vilaiporn</v>
      </c>
      <c r="AL25" s="59" t="str">
        <f>VLOOKUP(D25,'2.Bookinglist'!A:CW,101,FALSE)</f>
        <v>2026-10-20</v>
      </c>
      <c r="AM25" s="59" t="str">
        <f>VLOOKUP(D25,'2.Bookinglist'!A:BK,63,FALSE)</f>
        <v>BKK27</v>
      </c>
      <c r="AN25" s="58" t="str">
        <f>VLOOKUP(D25,'2.Bookinglist'!A:AZ,52,FALSE)</f>
        <v>Pickup : 2026-10-16, Return : 2026-10-16  (Temp -18.0 / Vent Close) *PRECOOL*
CLS TIME 18/10/26 @23.59 (1ST DATE RTN 17/10/2026 W/O RENT,ELECTRIC)
COST PRECOOL = 1,000 BAHT</v>
      </c>
      <c r="AO25" s="58">
        <f>VLOOKUP(D25,'2.Bookinglist'!A:CY,103,FALSE)</f>
        <v>0</v>
      </c>
    </row>
    <row r="26" ht="12.95" customHeight="1" spans="1:41" x14ac:dyDescent="0.25">
      <c r="A26" s="3" t="s">
        <v>148</v>
      </c>
      <c r="B26" s="56" t="str">
        <f>IF(C26=Charge!$M$1,Charge!$J$1,IF(C26=Charge!$M$23,Charge!$J$23,IF(C26=Charge!$M$17,Charge!$J$17,IF(C26=Charge!$N$17,Charge!$J$17,Charge!$J$7))))</f>
        <v>G3</v>
      </c>
      <c r="C26" s="57" t="str">
        <f>VLOOKUP(A26,'1.Loading'!A:R,14,FALSE)</f>
        <v>BKK01</v>
      </c>
      <c r="D26" s="57" t="str">
        <f>VLOOKUP(A26,'1.Loading'!A:R,17,FALSE)</f>
        <v>HASLS22260901748</v>
      </c>
      <c r="E26" s="58" t="str">
        <f>VLOOKUP(D26,'2.Bookinglist'!A:CT,27,FALSE)</f>
        <v>YUSEN LOGISTICS (THAILAND) CO., LTD.</v>
      </c>
      <c r="F26" s="58" t="str">
        <f>VLOOKUP(D26,'2.Bookinglist'!A:CT,28,FALSE)</f>
        <v>NIPPN FOODS CORPORATION (THAILAND) LTD. </v>
      </c>
      <c r="G26" s="59">
        <f>VLOOKUP(D26,'2.Bookinglist'!A:E,5,FALSE)</f>
        <v>0</v>
      </c>
      <c r="H26" s="57" t="str">
        <f>VLOOKUP(D26,'2.Bookinglist'!A:CT,15,FALSE)</f>
        <v>THBKK</v>
      </c>
      <c r="I26" s="57" t="str">
        <f>VLOOKUP(D26,'2.Bookinglist'!A:CT,19,FALSE)</f>
        <v>HKHKG</v>
      </c>
      <c r="J26" s="57">
        <f>VLOOKUP(D26,'2.Bookinglist'!A:CT,26,FALSE)</f>
        <v>0</v>
      </c>
      <c r="K26" s="57" t="str">
        <f>VLOOKUP(A26,'1.Loading'!A:R,5,FALSE)</f>
        <v>22RE</v>
      </c>
      <c r="L26" s="59" t="str">
        <f>VLOOKUP(D26,'2.Bookinglist'!A:CT,85,FALSE)</f>
        <v>CY/CY</v>
      </c>
      <c r="M26" s="59" t="str">
        <f>IF(VLOOKUP(D26,'2.Bookinglist'!A:CT,43,FALSE)=0,"","DG")</f>
        <v/>
      </c>
      <c r="N26" s="59" t="str">
        <f>IF(RIGHT(K26,2)="RE","RF","")</f>
        <v>RF</v>
      </c>
      <c r="O26" s="57" t="str">
        <f>VLOOKUP(A26,'1.Loading'!A:R,3,FALSE)</f>
        <v>SKOR</v>
      </c>
      <c r="P26" s="57" t="str">
        <f>VLOOKUP(A26,'1.Loading'!A:R,4,FALSE)</f>
        <v>2612N</v>
      </c>
      <c r="Q26" s="57" t="str">
        <f>VLOOKUP(D26,'2.Bookinglist'!A:CT,12,FALSE)</f>
        <v>VTS</v>
      </c>
      <c r="R26" s="59" t="str">
        <f>IF(LEFT(K26,2)="22","20'","40'")</f>
        <v>20'</v>
      </c>
      <c r="S26" s="41"/>
      <c r="T26" s="57" t="str">
        <f>VLOOKUP(A26,'1.Loading'!A:R,2,FALSE)</f>
        <v>2026-10-24</v>
      </c>
      <c r="U26" s="60">
        <f>T26-S26</f>
        <v>46319</v>
      </c>
      <c r="V26" s="61"/>
      <c r="W26" s="57" t="str">
        <f>VLOOKUP(A26,'3.GateMove'!A:D,4,FALSE)</f>
        <v>2026-10-16</v>
      </c>
      <c r="X26" s="60">
        <f>((T26-W26)+1)</f>
        <v>9</v>
      </c>
      <c r="Y26" s="62">
        <f>IF(AND(OR(C26="BKK01",C26="BKK04"),L26="CFS/CY"),0,IF(M26="DG",1,IF(LEFT(C26,3)="LCH",7,IF(C26="BKK02",5,3))))</f>
        <v>3</v>
      </c>
      <c r="Z26" s="60">
        <f>IF(IF(AND(AC26="TML",AB26&gt;0),((T26-W26)+1)-AB26,((T26-W26)+1)-Y26)&gt;0,IF(AND(AC26="TML",AB26&gt;0),((T26-W26)+1)-AB26,((T26-W26)+1)-Y26),0)</f>
        <v>6</v>
      </c>
      <c r="AA26" s="51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56"/>
      <c r="AC26" s="56"/>
      <c r="AD26" s="59">
        <f>IF(M26="DG",3,IF(N26="RF",3,5))+IF(AND(LEFT(C26,3)="BKK",N26="RF",Q26="KTS"),1,0)+IF(Q26="KHS",1,0)</f>
        <v>3</v>
      </c>
      <c r="AE26" s="60">
        <f>(T26-V26)+1</f>
        <v>46320</v>
      </c>
      <c r="AF26" s="60">
        <f>IF(AB26&gt;IF((V26-W26)&gt;0,V26-W26,0),0,IF(AB26&lt;IF((V26-W26)&gt;0,V26-W26,0),IF((V26-W26)&gt;0,V26-W26,0)-AB26,IF((V26-W26)&gt;0,V26-W26,0)))</f>
        <v>0</v>
      </c>
      <c r="AG26" s="51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3"/>
      <c r="AI26" s="63">
        <f>AA26-AH26</f>
        <v>960</v>
      </c>
      <c r="AJ26" s="64"/>
      <c r="AK26" s="58" t="str">
        <f>VLOOKUP(D26,'2.Bookinglist'!A:CT,40,FALSE)</f>
        <v>Vilaiporn</v>
      </c>
      <c r="AL26" s="59" t="str">
        <f>VLOOKUP(D26,'2.Bookinglist'!A:CW,101,FALSE)</f>
        <v>2026-10-20</v>
      </c>
      <c r="AM26" s="59" t="str">
        <f>VLOOKUP(D26,'2.Bookinglist'!A:BK,63,FALSE)</f>
        <v>BKK27</v>
      </c>
      <c r="AN26" s="58" t="str">
        <f>VLOOKUP(D26,'2.Bookinglist'!A:AZ,52,FALSE)</f>
        <v>Pickup : 2026-10-16, Return : 2026-10-16 (Temp -18.0 / Vent Close) *PRECOOL*
CLS TIME 18/10/26 @23.59 (1ST DATE RTN 17/10/2026 W/O RENT,ELECTRIC)
COST PRECOOL = 1,000 BAHT</v>
      </c>
      <c r="AO26" s="58">
        <f>VLOOKUP(D26,'2.Bookinglist'!A:CY,103,FALSE)</f>
        <v>0</v>
      </c>
    </row>
    <row r="27" ht="12.95" customHeight="1" spans="1:41" x14ac:dyDescent="0.25">
      <c r="A27" s="3" t="s">
        <v>151</v>
      </c>
      <c r="B27" s="56" t="str">
        <f>IF(C27=Charge!$M$1,Charge!$J$1,IF(C27=Charge!$M$23,Charge!$J$23,IF(C27=Charge!$M$17,Charge!$J$17,IF(C27=Charge!$N$17,Charge!$J$17,Charge!$J$7))))</f>
        <v>G3</v>
      </c>
      <c r="C27" s="57" t="str">
        <f>VLOOKUP(A27,'1.Loading'!A:R,14,FALSE)</f>
        <v>BKK01</v>
      </c>
      <c r="D27" s="57" t="str">
        <f>VLOOKUP(A27,'1.Loading'!A:R,17,FALSE)</f>
        <v>HASLS22261000919</v>
      </c>
      <c r="E27" s="58" t="str">
        <f>VLOOKUP(D27,'2.Bookinglist'!A:CT,27,FALSE)</f>
        <v>STAR CONCORD (THAILAND) CO., LTD.</v>
      </c>
      <c r="F27" s="58" t="str">
        <f>VLOOKUP(D27,'2.Bookinglist'!A:CT,28,FALSE)</f>
        <v>TITANIUM INTERNATIONAL CO., LTD.</v>
      </c>
      <c r="G27" s="59">
        <f>VLOOKUP(D27,'2.Bookinglist'!A:E,5,FALSE)</f>
        <v>0</v>
      </c>
      <c r="H27" s="57" t="str">
        <f>VLOOKUP(D27,'2.Bookinglist'!A:CT,15,FALSE)</f>
        <v>THBKK</v>
      </c>
      <c r="I27" s="57" t="str">
        <f>VLOOKUP(D27,'2.Bookinglist'!A:CT,19,FALSE)</f>
        <v>CNXMN</v>
      </c>
      <c r="J27" s="57">
        <f>VLOOKUP(D27,'2.Bookinglist'!A:CT,26,FALSE)</f>
        <v>0</v>
      </c>
      <c r="K27" s="57" t="str">
        <f>VLOOKUP(A27,'1.Loading'!A:R,5,FALSE)</f>
        <v>45GP</v>
      </c>
      <c r="L27" s="59" t="str">
        <f>VLOOKUP(D27,'2.Bookinglist'!A:CT,85,FALSE)</f>
        <v>CY/CY</v>
      </c>
      <c r="M27" s="59" t="str">
        <f>IF(VLOOKUP(D27,'2.Bookinglist'!A:CT,43,FALSE)=0,"","DG")</f>
        <v/>
      </c>
      <c r="N27" s="59" t="str">
        <f>IF(RIGHT(K27,2)="RE","RF","")</f>
        <v/>
      </c>
      <c r="O27" s="57" t="str">
        <f>VLOOKUP(A27,'1.Loading'!A:R,3,FALSE)</f>
        <v>SKOR</v>
      </c>
      <c r="P27" s="57" t="str">
        <f>VLOOKUP(A27,'1.Loading'!A:R,4,FALSE)</f>
        <v>2612N</v>
      </c>
      <c r="Q27" s="57" t="str">
        <f>VLOOKUP(D27,'2.Bookinglist'!A:CT,12,FALSE)</f>
        <v>VTS</v>
      </c>
      <c r="R27" s="59" t="str">
        <f>IF(LEFT(K27,2)="22","20'","40'")</f>
        <v>40'</v>
      </c>
      <c r="S27" s="41"/>
      <c r="T27" s="57" t="str">
        <f>VLOOKUP(A27,'1.Loading'!A:R,2,FALSE)</f>
        <v>2026-10-24</v>
      </c>
      <c r="U27" s="60">
        <f>T27-S27</f>
        <v>46319</v>
      </c>
      <c r="V27" s="61"/>
      <c r="W27" s="57" t="str">
        <f>VLOOKUP(A27,'3.GateMove'!A:D,4,FALSE)</f>
        <v>2026-10-20</v>
      </c>
      <c r="X27" s="60">
        <f>((T27-W27)+1)</f>
        <v>5</v>
      </c>
      <c r="Y27" s="62">
        <f>IF(AND(OR(C27="BKK01",C27="BKK04"),L27="CFS/CY"),0,IF(M27="DG",1,IF(LEFT(C27,3)="LCH",7,IF(C27="BKK02",5,3))))</f>
        <v>3</v>
      </c>
      <c r="Z27" s="60">
        <f>IF(IF(AND(AC27="TML",AB27&gt;0),((T27-W27)+1)-AB27,((T27-W27)+1)-Y27)&gt;0,IF(AND(AC27="TML",AB27&gt;0),((T27-W27)+1)-AB27,((T27-W27)+1)-Y27),0)</f>
        <v>2</v>
      </c>
      <c r="AA27" s="51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640</v>
      </c>
      <c r="AB27" s="56"/>
      <c r="AC27" s="56"/>
      <c r="AD27" s="59">
        <f>IF(M27="DG",3,IF(N27="RF",3,5))+IF(AND(LEFT(C27,3)="BKK",N27="RF",Q27="KTS"),1,0)+IF(Q27="KHS",1,0)</f>
        <v>5</v>
      </c>
      <c r="AE27" s="60">
        <f>(T27-V27)+1</f>
        <v>46320</v>
      </c>
      <c r="AF27" s="60">
        <f>IF(AB27&gt;IF((V27-W27)&gt;0,V27-W27,0),0,IF(AB27&lt;IF((V27-W27)&gt;0,V27-W27,0),IF((V27-W27)&gt;0,V27-W27,0)-AB27,IF((V27-W27)&gt;0,V27-W27,0)))</f>
        <v>0</v>
      </c>
      <c r="AG27" s="51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3"/>
      <c r="AI27" s="63">
        <f>AA27-AH27</f>
        <v>640</v>
      </c>
      <c r="AJ27" s="64"/>
      <c r="AK27" s="58" t="str">
        <f>VLOOKUP(D27,'2.Bookinglist'!A:CT,40,FALSE)</f>
        <v>Arunphat W. (Aiw)</v>
      </c>
      <c r="AL27" s="59" t="str">
        <f>VLOOKUP(D27,'2.Bookinglist'!A:CW,101,FALSE)</f>
        <v>2026-10-21</v>
      </c>
      <c r="AM27" s="59" t="str">
        <f>VLOOKUP(D27,'2.Bookinglist'!A:BK,63,FALSE)</f>
        <v>BKK27</v>
      </c>
      <c r="AN27" s="58" t="str">
        <f>VLOOKUP(D27,'2.Bookinglist'!A:AZ,52,FALSE)</f>
        <v>Pickup : 2026-10-19, Return : 2026-10-19 (EXTEND CLOSING 19/10/26 @23.59)</v>
      </c>
      <c r="AO27" s="58">
        <f>VLOOKUP(D27,'2.Bookinglist'!A:CY,103,FALSE)</f>
        <v>0</v>
      </c>
    </row>
    <row r="28" ht="12.95" customHeight="1" spans="1:41" x14ac:dyDescent="0.25">
      <c r="A28" s="3" t="s">
        <v>157</v>
      </c>
      <c r="B28" s="56" t="str">
        <f>IF(C28=Charge!$M$1,Charge!$J$1,IF(C28=Charge!$M$23,Charge!$J$23,IF(C28=Charge!$M$17,Charge!$J$17,IF(C28=Charge!$N$17,Charge!$J$17,Charge!$J$7))))</f>
        <v>G3</v>
      </c>
      <c r="C28" s="57" t="str">
        <f>VLOOKUP(A28,'1.Loading'!A:R,14,FALSE)</f>
        <v>BKK01</v>
      </c>
      <c r="D28" s="57" t="str">
        <f>VLOOKUP(A28,'1.Loading'!A:R,17,FALSE)</f>
        <v>HASLS22261000194</v>
      </c>
      <c r="E28" s="58" t="str">
        <f>VLOOKUP(D28,'2.Bookinglist'!A:CT,27,FALSE)</f>
        <v>FULL WELL FREIGHT (THAILAND) CO., LTD.</v>
      </c>
      <c r="F28" s="58" t="str">
        <f>VLOOKUP(D28,'2.Bookinglist'!A:CT,28,FALSE)</f>
        <v>YEARRAKARN CO., LTD.</v>
      </c>
      <c r="G28" s="59">
        <f>VLOOKUP(D28,'2.Bookinglist'!A:E,5,FALSE)</f>
        <v>0</v>
      </c>
      <c r="H28" s="57" t="str">
        <f>VLOOKUP(D28,'2.Bookinglist'!A:CT,15,FALSE)</f>
        <v>THBKK</v>
      </c>
      <c r="I28" s="57" t="str">
        <f>VLOOKUP(D28,'2.Bookinglist'!A:CT,19,FALSE)</f>
        <v>HKHKG</v>
      </c>
      <c r="J28" s="57">
        <f>VLOOKUP(D28,'2.Bookinglist'!A:CT,26,FALSE)</f>
        <v>0</v>
      </c>
      <c r="K28" s="57" t="str">
        <f>VLOOKUP(A28,'1.Loading'!A:R,5,FALSE)</f>
        <v>45GP</v>
      </c>
      <c r="L28" s="59" t="str">
        <f>VLOOKUP(D28,'2.Bookinglist'!A:CT,85,FALSE)</f>
        <v>CY/CY</v>
      </c>
      <c r="M28" s="59" t="str">
        <f>IF(VLOOKUP(D28,'2.Bookinglist'!A:CT,43,FALSE)=0,"","DG")</f>
        <v/>
      </c>
      <c r="N28" s="59" t="str">
        <f>IF(RIGHT(K28,2)="RE","RF","")</f>
        <v/>
      </c>
      <c r="O28" s="57" t="str">
        <f>VLOOKUP(A28,'1.Loading'!A:R,3,FALSE)</f>
        <v>SKOR</v>
      </c>
      <c r="P28" s="57" t="str">
        <f>VLOOKUP(A28,'1.Loading'!A:R,4,FALSE)</f>
        <v>2612N</v>
      </c>
      <c r="Q28" s="57" t="str">
        <f>VLOOKUP(D28,'2.Bookinglist'!A:CT,12,FALSE)</f>
        <v>VTS</v>
      </c>
      <c r="R28" s="59" t="str">
        <f>IF(LEFT(K28,2)="22","20'","40'")</f>
        <v>40'</v>
      </c>
      <c r="S28" s="41"/>
      <c r="T28" s="57" t="str">
        <f>VLOOKUP(A28,'1.Loading'!A:R,2,FALSE)</f>
        <v>2026-10-24</v>
      </c>
      <c r="U28" s="60">
        <f>T28-S28</f>
        <v>46319</v>
      </c>
      <c r="V28" s="61"/>
      <c r="W28" s="57" t="str">
        <f>VLOOKUP(A28,'3.GateMove'!A:D,4,FALSE)</f>
        <v>2026-10-14</v>
      </c>
      <c r="X28" s="60">
        <f>((T28-W28)+1)</f>
        <v>11</v>
      </c>
      <c r="Y28" s="62">
        <f>IF(AND(OR(C28="BKK01",C28="BKK04"),L28="CFS/CY"),0,IF(M28="DG",1,IF(LEFT(C28,3)="LCH",7,IF(C28="BKK02",5,3))))</f>
        <v>3</v>
      </c>
      <c r="Z28" s="60">
        <f>IF(IF(AND(AC28="TML",AB28&gt;0),((T28-W28)+1)-AB28,((T28-W28)+1)-Y28)&gt;0,IF(AND(AC28="TML",AB28&gt;0),((T28-W28)+1)-AB28,((T28-W28)+1)-Y28),0)</f>
        <v>8</v>
      </c>
      <c r="AA28" s="51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2790</v>
      </c>
      <c r="AB28" s="56"/>
      <c r="AC28" s="56"/>
      <c r="AD28" s="59">
        <f>IF(M28="DG",3,IF(N28="RF",3,5))+IF(AND(LEFT(C28,3)="BKK",N28="RF",Q28="KTS"),1,0)+IF(Q28="KHS",1,0)</f>
        <v>5</v>
      </c>
      <c r="AE28" s="60">
        <f>(T28-V28)+1</f>
        <v>46320</v>
      </c>
      <c r="AF28" s="60">
        <f>IF(AB28&gt;IF((V28-W28)&gt;0,V28-W28,0),0,IF(AB28&lt;IF((V28-W28)&gt;0,V28-W28,0),IF((V28-W28)&gt;0,V28-W28,0)-AB28,IF((V28-W28)&gt;0,V28-W28,0)))</f>
        <v>0</v>
      </c>
      <c r="AG28" s="51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3"/>
      <c r="AI28" s="63">
        <f>AA28-AH28</f>
        <v>2790</v>
      </c>
      <c r="AJ28" s="64"/>
      <c r="AK28" s="58" t="str">
        <f>VLOOKUP(D28,'2.Bookinglist'!A:CT,40,FALSE)</f>
        <v>Arunphat W. (Aiw)</v>
      </c>
      <c r="AL28" s="59" t="str">
        <f>VLOOKUP(D28,'2.Bookinglist'!A:CW,101,FALSE)</f>
        <v>2026-10-21</v>
      </c>
      <c r="AM28" s="59" t="str">
        <f>VLOOKUP(D28,'2.Bookinglist'!A:BK,63,FALSE)</f>
        <v>BKK25</v>
      </c>
      <c r="AN28" s="58" t="str">
        <f>VLOOKUP(D28,'2.Bookinglist'!A:AZ,52,FALSE)</f>
        <v>CY-RTN 10-13/10/26 = 3X40'HC (1ST RETURN DD.13/10/26)
CY-RTN 12-13/10/26 = 1X40'HC
CY-RTN 12-14/10/26 = 4X40'HC
</v>
      </c>
      <c r="AO28" s="58" t="str">
        <f>VLOOKUP(D28,'2.Bookinglist'!A:CY,103,FALSE)</f>
        <v>ROLL OVER FROM PREVOIUS VSL KJT 2611N BY ALLOCATION TEAM MS.TARN APRPOVED COST IS UNDER HA DD.15/10</v>
      </c>
    </row>
    <row r="29" ht="12.95" customHeight="1" spans="1:41" x14ac:dyDescent="0.25">
      <c r="A29" s="3" t="s">
        <v>158</v>
      </c>
      <c r="B29" s="56" t="str">
        <f>IF(C29=Charge!$M$1,Charge!$J$1,IF(C29=Charge!$M$23,Charge!$J$23,IF(C29=Charge!$M$17,Charge!$J$17,IF(C29=Charge!$N$17,Charge!$J$17,Charge!$J$7))))</f>
        <v>G3</v>
      </c>
      <c r="C29" s="57" t="str">
        <f>VLOOKUP(A29,'1.Loading'!A:R,14,FALSE)</f>
        <v>BKK01</v>
      </c>
      <c r="D29" s="57" t="str">
        <f>VLOOKUP(A29,'1.Loading'!A:R,17,FALSE)</f>
        <v>HASLS22261000194</v>
      </c>
      <c r="E29" s="58" t="str">
        <f>VLOOKUP(D29,'2.Bookinglist'!A:CT,27,FALSE)</f>
        <v>FULL WELL FREIGHT (THAILAND) CO., LTD.</v>
      </c>
      <c r="F29" s="58" t="str">
        <f>VLOOKUP(D29,'2.Bookinglist'!A:CT,28,FALSE)</f>
        <v>YEARRAKARN CO., LTD.</v>
      </c>
      <c r="G29" s="59">
        <f>VLOOKUP(D29,'2.Bookinglist'!A:E,5,FALSE)</f>
        <v>0</v>
      </c>
      <c r="H29" s="57" t="str">
        <f>VLOOKUP(D29,'2.Bookinglist'!A:CT,15,FALSE)</f>
        <v>THBKK</v>
      </c>
      <c r="I29" s="57" t="str">
        <f>VLOOKUP(D29,'2.Bookinglist'!A:CT,19,FALSE)</f>
        <v>HKHKG</v>
      </c>
      <c r="J29" s="57">
        <f>VLOOKUP(D29,'2.Bookinglist'!A:CT,26,FALSE)</f>
        <v>0</v>
      </c>
      <c r="K29" s="57" t="str">
        <f>VLOOKUP(A29,'1.Loading'!A:R,5,FALSE)</f>
        <v>45GP</v>
      </c>
      <c r="L29" s="59" t="str">
        <f>VLOOKUP(D29,'2.Bookinglist'!A:CT,85,FALSE)</f>
        <v>CY/CY</v>
      </c>
      <c r="M29" s="59" t="str">
        <f>IF(VLOOKUP(D29,'2.Bookinglist'!A:CT,43,FALSE)=0,"","DG")</f>
        <v/>
      </c>
      <c r="N29" s="59" t="str">
        <f>IF(RIGHT(K29,2)="RE","RF","")</f>
        <v/>
      </c>
      <c r="O29" s="57" t="str">
        <f>VLOOKUP(A29,'1.Loading'!A:R,3,FALSE)</f>
        <v>SKOR</v>
      </c>
      <c r="P29" s="57" t="str">
        <f>VLOOKUP(A29,'1.Loading'!A:R,4,FALSE)</f>
        <v>2612N</v>
      </c>
      <c r="Q29" s="57" t="str">
        <f>VLOOKUP(D29,'2.Bookinglist'!A:CT,12,FALSE)</f>
        <v>VTS</v>
      </c>
      <c r="R29" s="59" t="str">
        <f>IF(LEFT(K29,2)="22","20'","40'")</f>
        <v>40'</v>
      </c>
      <c r="S29" s="41"/>
      <c r="T29" s="57" t="str">
        <f>VLOOKUP(A29,'1.Loading'!A:R,2,FALSE)</f>
        <v>2026-10-24</v>
      </c>
      <c r="U29" s="60">
        <f>T29-S29</f>
        <v>46319</v>
      </c>
      <c r="V29" s="61"/>
      <c r="W29" s="57" t="str">
        <f>VLOOKUP(A29,'3.GateMove'!A:D,4,FALSE)</f>
        <v>2026-10-13</v>
      </c>
      <c r="X29" s="60">
        <f>((T29-W29)+1)</f>
        <v>12</v>
      </c>
      <c r="Y29" s="62">
        <f>IF(AND(OR(C29="BKK01",C29="BKK04"),L29="CFS/CY"),0,IF(M29="DG",1,IF(LEFT(C29,3)="LCH",7,IF(C29="BKK02",5,3))))</f>
        <v>3</v>
      </c>
      <c r="Z29" s="60">
        <f>IF(IF(AND(AC29="TML",AB29&gt;0),((T29-W29)+1)-AB29,((T29-W29)+1)-Y29)&gt;0,IF(AND(AC29="TML",AB29&gt;0),((T29-W29)+1)-AB29,((T29-W29)+1)-Y29),0)</f>
        <v>9</v>
      </c>
      <c r="AA29" s="51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3340</v>
      </c>
      <c r="AB29" s="56"/>
      <c r="AC29" s="56"/>
      <c r="AD29" s="59">
        <f>IF(M29="DG",3,IF(N29="RF",3,5))+IF(AND(LEFT(C29,3)="BKK",N29="RF",Q29="KTS"),1,0)+IF(Q29="KHS",1,0)</f>
        <v>5</v>
      </c>
      <c r="AE29" s="60">
        <f>(T29-V29)+1</f>
        <v>46320</v>
      </c>
      <c r="AF29" s="60">
        <f>IF(AB29&gt;IF((V29-W29)&gt;0,V29-W29,0),0,IF(AB29&lt;IF((V29-W29)&gt;0,V29-W29,0),IF((V29-W29)&gt;0,V29-W29,0)-AB29,IF((V29-W29)&gt;0,V29-W29,0)))</f>
        <v>0</v>
      </c>
      <c r="AG29" s="51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3"/>
      <c r="AI29" s="63">
        <f>AA29-AH29</f>
        <v>3340</v>
      </c>
      <c r="AJ29" s="64"/>
      <c r="AK29" s="58" t="str">
        <f>VLOOKUP(D29,'2.Bookinglist'!A:CT,40,FALSE)</f>
        <v>Arunphat W. (Aiw)</v>
      </c>
      <c r="AL29" s="59" t="str">
        <f>VLOOKUP(D29,'2.Bookinglist'!A:CW,101,FALSE)</f>
        <v>2026-10-21</v>
      </c>
      <c r="AM29" s="59" t="str">
        <f>VLOOKUP(D29,'2.Bookinglist'!A:BK,63,FALSE)</f>
        <v>BKK25</v>
      </c>
      <c r="AN29" s="58" t="str">
        <f>VLOOKUP(D29,'2.Bookinglist'!A:AZ,52,FALSE)</f>
        <v>CY-RTN 10-13/10/26 = 3X40'HC (1ST RETURN DD.13/10/26)
CY-RTN 12-13/10/26 = 1X40'HC
CY-RTN 12-14/10/26 = 4X40'HC
</v>
      </c>
      <c r="AO29" s="58" t="str">
        <f>VLOOKUP(D29,'2.Bookinglist'!A:CY,103,FALSE)</f>
        <v>ROLL OVER FROM PREVOIUS VSL KJT 2611N BY ALLOCATION TEAM MS.TARN APRPOVED COST IS UNDER HA DD.15/10</v>
      </c>
    </row>
    <row r="30" ht="12.95" customHeight="1" spans="1:41" x14ac:dyDescent="0.25">
      <c r="A30" s="3" t="s">
        <v>159</v>
      </c>
      <c r="B30" s="56" t="str">
        <f>IF(C30=Charge!$M$1,Charge!$J$1,IF(C30=Charge!$M$23,Charge!$J$23,IF(C30=Charge!$M$17,Charge!$J$17,IF(C30=Charge!$N$17,Charge!$J$17,Charge!$J$7))))</f>
        <v>G3</v>
      </c>
      <c r="C30" s="57" t="str">
        <f>VLOOKUP(A30,'1.Loading'!A:R,14,FALSE)</f>
        <v>BKK01</v>
      </c>
      <c r="D30" s="57" t="str">
        <f>VLOOKUP(A30,'1.Loading'!A:R,17,FALSE)</f>
        <v>HASLS22260902748</v>
      </c>
      <c r="E30" s="58" t="str">
        <f>VLOOKUP(D30,'2.Bookinglist'!A:CT,27,FALSE)</f>
        <v>OCEAN GLASS PUBLIC COMPANY LIMITED</v>
      </c>
      <c r="F30" s="58" t="str">
        <f>VLOOKUP(D30,'2.Bookinglist'!A:CT,28,FALSE)</f>
        <v>OCEAN GLASS PUBLIC COMPANY LIMITED</v>
      </c>
      <c r="G30" s="59">
        <f>VLOOKUP(D30,'2.Bookinglist'!A:E,5,FALSE)</f>
        <v>0</v>
      </c>
      <c r="H30" s="57" t="str">
        <f>VLOOKUP(D30,'2.Bookinglist'!A:CT,15,FALSE)</f>
        <v>THBKK</v>
      </c>
      <c r="I30" s="57" t="str">
        <f>VLOOKUP(D30,'2.Bookinglist'!A:CT,19,FALSE)</f>
        <v>KRPUS</v>
      </c>
      <c r="J30" s="57">
        <f>VLOOKUP(D30,'2.Bookinglist'!A:CT,26,FALSE)</f>
        <v>0</v>
      </c>
      <c r="K30" s="57" t="str">
        <f>VLOOKUP(A30,'1.Loading'!A:R,5,FALSE)</f>
        <v>45GP</v>
      </c>
      <c r="L30" s="59" t="str">
        <f>VLOOKUP(D30,'2.Bookinglist'!A:CT,85,FALSE)</f>
        <v>CY/CY</v>
      </c>
      <c r="M30" s="59" t="str">
        <f>IF(VLOOKUP(D30,'2.Bookinglist'!A:CT,43,FALSE)=0,"","DG")</f>
        <v/>
      </c>
      <c r="N30" s="59" t="str">
        <f>IF(RIGHT(K30,2)="RE","RF","")</f>
        <v/>
      </c>
      <c r="O30" s="57" t="str">
        <f>VLOOKUP(A30,'1.Loading'!A:R,3,FALSE)</f>
        <v>SKOR</v>
      </c>
      <c r="P30" s="57" t="str">
        <f>VLOOKUP(A30,'1.Loading'!A:R,4,FALSE)</f>
        <v>2612N</v>
      </c>
      <c r="Q30" s="57" t="str">
        <f>VLOOKUP(D30,'2.Bookinglist'!A:CT,12,FALSE)</f>
        <v>VTS</v>
      </c>
      <c r="R30" s="59" t="str">
        <f>IF(LEFT(K30,2)="22","20'","40'")</f>
        <v>40'</v>
      </c>
      <c r="S30" s="41"/>
      <c r="T30" s="57" t="str">
        <f>VLOOKUP(A30,'1.Loading'!A:R,2,FALSE)</f>
        <v>2026-10-24</v>
      </c>
      <c r="U30" s="60">
        <f>T30-S30</f>
        <v>46319</v>
      </c>
      <c r="V30" s="61"/>
      <c r="W30" s="57" t="str">
        <f>VLOOKUP(A30,'3.GateMove'!A:D,4,FALSE)</f>
        <v>2026-10-17</v>
      </c>
      <c r="X30" s="60">
        <f>((T30-W30)+1)</f>
        <v>8</v>
      </c>
      <c r="Y30" s="62">
        <f>IF(AND(OR(C30="BKK01",C30="BKK04"),L30="CFS/CY"),0,IF(M30="DG",1,IF(LEFT(C30,3)="LCH",7,IF(C30="BKK02",5,3))))</f>
        <v>3</v>
      </c>
      <c r="Z30" s="60">
        <f>IF(IF(AND(AC30="TML",AB30&gt;0),((T30-W30)+1)-AB30,((T30-W30)+1)-Y30)&gt;0,IF(AND(AC30="TML",AB30&gt;0),((T30-W30)+1)-AB30,((T30-W30)+1)-Y30),0)</f>
        <v>5</v>
      </c>
      <c r="AA30" s="51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1600</v>
      </c>
      <c r="AB30" s="56"/>
      <c r="AC30" s="56"/>
      <c r="AD30" s="59">
        <f>IF(M30="DG",3,IF(N30="RF",3,5))+IF(AND(LEFT(C30,3)="BKK",N30="RF",Q30="KTS"),1,0)+IF(Q30="KHS",1,0)</f>
        <v>5</v>
      </c>
      <c r="AE30" s="60">
        <f>(T30-V30)+1</f>
        <v>46320</v>
      </c>
      <c r="AF30" s="60">
        <f>IF(AB30&gt;IF((V30-W30)&gt;0,V30-W30,0),0,IF(AB30&lt;IF((V30-W30)&gt;0,V30-W30,0),IF((V30-W30)&gt;0,V30-W30,0)-AB30,IF((V30-W30)&gt;0,V30-W30,0)))</f>
        <v>0</v>
      </c>
      <c r="AG30" s="51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3"/>
      <c r="AI30" s="63">
        <f>AA30-AH30</f>
        <v>1600</v>
      </c>
      <c r="AJ30" s="64"/>
      <c r="AK30" s="58" t="str">
        <f>VLOOKUP(D30,'2.Bookinglist'!A:CT,40,FALSE)</f>
        <v>Lee suk hyun</v>
      </c>
      <c r="AL30" s="59" t="str">
        <f>VLOOKUP(D30,'2.Bookinglist'!A:CW,101,FALSE)</f>
        <v>2026-10-18</v>
      </c>
      <c r="AM30" s="59" t="str">
        <f>VLOOKUP(D30,'2.Bookinglist'!A:BK,63,FALSE)</f>
        <v>BKK27</v>
      </c>
      <c r="AN30" s="58" t="str">
        <f>VLOOKUP(D30,'2.Bookinglist'!A:AZ,52,FALSE)</f>
        <v>Pickup : 2026-10-15, Return : 2026-10-16</v>
      </c>
      <c r="AO30" s="58">
        <f>VLOOKUP(D30,'2.Bookinglist'!A:CY,103,FALSE)</f>
        <v>0</v>
      </c>
    </row>
    <row r="31" ht="12.95" customHeight="1" spans="1:41" x14ac:dyDescent="0.25">
      <c r="A31" s="3" t="s">
        <v>163</v>
      </c>
      <c r="B31" s="56" t="str">
        <f>IF(C31=Charge!$M$1,Charge!$J$1,IF(C31=Charge!$M$23,Charge!$J$23,IF(C31=Charge!$M$17,Charge!$J$17,IF(C31=Charge!$N$17,Charge!$J$17,Charge!$J$7))))</f>
        <v>G3</v>
      </c>
      <c r="C31" s="57" t="str">
        <f>VLOOKUP(A31,'1.Loading'!A:R,14,FALSE)</f>
        <v>BKK01</v>
      </c>
      <c r="D31" s="57" t="str">
        <f>VLOOKUP(A31,'1.Loading'!A:R,17,FALSE)</f>
        <v>HASLS22260902140</v>
      </c>
      <c r="E31" s="58" t="str">
        <f>VLOOKUP(D31,'2.Bookinglist'!A:CT,27,FALSE)</f>
        <v>ELC CONTAINER LINES CO.,LTD.</v>
      </c>
      <c r="F31" s="58" t="str">
        <f>VLOOKUP(D31,'2.Bookinglist'!A:CT,28,FALSE)</f>
        <v>THAI ARROW PRODUCTS CO., LTD.</v>
      </c>
      <c r="G31" s="59">
        <f>VLOOKUP(D31,'2.Bookinglist'!A:E,5,FALSE)</f>
        <v>0</v>
      </c>
      <c r="H31" s="57" t="str">
        <f>VLOOKUP(D31,'2.Bookinglist'!A:CT,15,FALSE)</f>
        <v>THBKK</v>
      </c>
      <c r="I31" s="57" t="str">
        <f>VLOOKUP(D31,'2.Bookinglist'!A:CT,19,FALSE)</f>
        <v>HKHKG</v>
      </c>
      <c r="J31" s="57">
        <f>VLOOKUP(D31,'2.Bookinglist'!A:CT,26,FALSE)</f>
        <v>0</v>
      </c>
      <c r="K31" s="57" t="str">
        <f>VLOOKUP(A31,'1.Loading'!A:R,5,FALSE)</f>
        <v>45GP</v>
      </c>
      <c r="L31" s="59" t="str">
        <f>VLOOKUP(D31,'2.Bookinglist'!A:CT,85,FALSE)</f>
        <v>CY/CY</v>
      </c>
      <c r="M31" s="59" t="str">
        <f>IF(VLOOKUP(D31,'2.Bookinglist'!A:CT,43,FALSE)=0,"","DG")</f>
        <v/>
      </c>
      <c r="N31" s="59" t="str">
        <f>IF(RIGHT(K31,2)="RE","RF","")</f>
        <v/>
      </c>
      <c r="O31" s="57" t="str">
        <f>VLOOKUP(A31,'1.Loading'!A:R,3,FALSE)</f>
        <v>SKOR</v>
      </c>
      <c r="P31" s="57" t="str">
        <f>VLOOKUP(A31,'1.Loading'!A:R,4,FALSE)</f>
        <v>2612N</v>
      </c>
      <c r="Q31" s="57" t="str">
        <f>VLOOKUP(D31,'2.Bookinglist'!A:CT,12,FALSE)</f>
        <v>VTS</v>
      </c>
      <c r="R31" s="59" t="str">
        <f>IF(LEFT(K31,2)="22","20'","40'")</f>
        <v>40'</v>
      </c>
      <c r="S31" s="41"/>
      <c r="T31" s="57" t="str">
        <f>VLOOKUP(A31,'1.Loading'!A:R,2,FALSE)</f>
        <v>2026-10-24</v>
      </c>
      <c r="U31" s="60">
        <f>T31-S31</f>
        <v>46319</v>
      </c>
      <c r="V31" s="61"/>
      <c r="W31" s="57" t="str">
        <f>VLOOKUP(A31,'3.GateMove'!A:D,4,FALSE)</f>
        <v>2026-10-16</v>
      </c>
      <c r="X31" s="60">
        <f>((T31-W31)+1)</f>
        <v>9</v>
      </c>
      <c r="Y31" s="62">
        <f>IF(AND(OR(C31="BKK01",C31="BKK04"),L31="CFS/CY"),0,IF(M31="DG",1,IF(LEFT(C31,3)="LCH",7,IF(C31="BKK02",5,3))))</f>
        <v>3</v>
      </c>
      <c r="Z31" s="60">
        <f>IF(IF(AND(AC31="TML",AB31&gt;0),((T31-W31)+1)-AB31,((T31-W31)+1)-Y31)&gt;0,IF(AND(AC31="TML",AB31&gt;0),((T31-W31)+1)-AB31,((T31-W31)+1)-Y31),0)</f>
        <v>6</v>
      </c>
      <c r="AA31" s="51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1920</v>
      </c>
      <c r="AB31" s="56"/>
      <c r="AC31" s="56"/>
      <c r="AD31" s="59">
        <f>IF(M31="DG",3,IF(N31="RF",3,5))+IF(AND(LEFT(C31,3)="BKK",N31="RF",Q31="KTS"),1,0)+IF(Q31="KHS",1,0)</f>
        <v>5</v>
      </c>
      <c r="AE31" s="60">
        <f>(T31-V31)+1</f>
        <v>46320</v>
      </c>
      <c r="AF31" s="60">
        <f>IF(AB31&gt;IF((V31-W31)&gt;0,V31-W31,0),0,IF(AB31&lt;IF((V31-W31)&gt;0,V31-W31,0),IF((V31-W31)&gt;0,V31-W31,0)-AB31,IF((V31-W31)&gt;0,V31-W31,0)))</f>
        <v>0</v>
      </c>
      <c r="AG31" s="51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3"/>
      <c r="AI31" s="63">
        <f>AA31-AH31</f>
        <v>1920</v>
      </c>
      <c r="AJ31" s="64"/>
      <c r="AK31" s="58" t="str">
        <f>VLOOKUP(D31,'2.Bookinglist'!A:CT,40,FALSE)</f>
        <v>Dharaporn</v>
      </c>
      <c r="AL31" s="59" t="str">
        <f>VLOOKUP(D31,'2.Bookinglist'!A:CW,101,FALSE)</f>
        <v>2026-10-20</v>
      </c>
      <c r="AM31" s="59" t="str">
        <f>VLOOKUP(D31,'2.Bookinglist'!A:BK,63,FALSE)</f>
        <v>BKK27</v>
      </c>
      <c r="AN31" s="58" t="str">
        <f>VLOOKUP(D31,'2.Bookinglist'!A:AZ,52,FALSE)</f>
        <v>Pickup : 2026-10-14, Return : 2026-10-16 
 </v>
      </c>
      <c r="AO31" s="58">
        <f>VLOOKUP(D31,'2.Bookinglist'!A:CY,103,FALSE)</f>
        <v>0</v>
      </c>
    </row>
    <row r="32" ht="12.95" customHeight="1" spans="1:41" x14ac:dyDescent="0.25">
      <c r="A32" s="3" t="s">
        <v>168</v>
      </c>
      <c r="B32" s="56" t="str">
        <f>IF(C32=Charge!$M$1,Charge!$J$1,IF(C32=Charge!$M$23,Charge!$J$23,IF(C32=Charge!$M$17,Charge!$J$17,IF(C32=Charge!$N$17,Charge!$J$17,Charge!$J$7))))</f>
        <v>G3</v>
      </c>
      <c r="C32" s="57" t="str">
        <f>VLOOKUP(A32,'1.Loading'!A:R,14,FALSE)</f>
        <v>BKK01</v>
      </c>
      <c r="D32" s="57" t="str">
        <f>VLOOKUP(A32,'1.Loading'!A:R,17,FALSE)</f>
        <v>HASLS22261000577</v>
      </c>
      <c r="E32" s="58" t="str">
        <f>VLOOKUP(D32,'2.Bookinglist'!A:CT,27,FALSE)</f>
        <v>EMBASSY FREIGHT (THAILAND) CO., LTD.</v>
      </c>
      <c r="F32" s="58" t="str">
        <f>VLOOKUP(D32,'2.Bookinglist'!A:CT,28,FALSE)</f>
        <v>MITSUBISHI HEAVY INDUSTRIES-MAHAJAK AIR CONDITIONERS CO.,LTD</v>
      </c>
      <c r="G32" s="59">
        <f>VLOOKUP(D32,'2.Bookinglist'!A:E,5,FALSE)</f>
        <v>0</v>
      </c>
      <c r="H32" s="57" t="str">
        <f>VLOOKUP(D32,'2.Bookinglist'!A:CT,15,FALSE)</f>
        <v>THBKK</v>
      </c>
      <c r="I32" s="57" t="str">
        <f>VLOOKUP(D32,'2.Bookinglist'!A:CT,19,FALSE)</f>
        <v>HKHKG</v>
      </c>
      <c r="J32" s="57">
        <f>VLOOKUP(D32,'2.Bookinglist'!A:CT,26,FALSE)</f>
        <v>0</v>
      </c>
      <c r="K32" s="57" t="str">
        <f>VLOOKUP(A32,'1.Loading'!A:R,5,FALSE)</f>
        <v>45GP</v>
      </c>
      <c r="L32" s="59" t="str">
        <f>VLOOKUP(D32,'2.Bookinglist'!A:CT,85,FALSE)</f>
        <v>CY/CY</v>
      </c>
      <c r="M32" s="59" t="str">
        <f>IF(VLOOKUP(D32,'2.Bookinglist'!A:CT,43,FALSE)=0,"","DG")</f>
        <v/>
      </c>
      <c r="N32" s="59" t="str">
        <f>IF(RIGHT(K32,2)="RE","RF","")</f>
        <v/>
      </c>
      <c r="O32" s="57" t="str">
        <f>VLOOKUP(A32,'1.Loading'!A:R,3,FALSE)</f>
        <v>SKOR</v>
      </c>
      <c r="P32" s="57" t="str">
        <f>VLOOKUP(A32,'1.Loading'!A:R,4,FALSE)</f>
        <v>2612N</v>
      </c>
      <c r="Q32" s="57" t="str">
        <f>VLOOKUP(D32,'2.Bookinglist'!A:CT,12,FALSE)</f>
        <v>VTS</v>
      </c>
      <c r="R32" s="59" t="str">
        <f>IF(LEFT(K32,2)="22","20'","40'")</f>
        <v>40'</v>
      </c>
      <c r="S32" s="41"/>
      <c r="T32" s="57" t="str">
        <f>VLOOKUP(A32,'1.Loading'!A:R,2,FALSE)</f>
        <v>2026-10-24</v>
      </c>
      <c r="U32" s="60">
        <f>T32-S32</f>
        <v>46319</v>
      </c>
      <c r="V32" s="61"/>
      <c r="W32" s="57" t="str">
        <f>VLOOKUP(A32,'3.GateMove'!A:D,4,FALSE)</f>
        <v>2026-10-16</v>
      </c>
      <c r="X32" s="60">
        <f>((T32-W32)+1)</f>
        <v>9</v>
      </c>
      <c r="Y32" s="62">
        <f>IF(AND(OR(C32="BKK01",C32="BKK04"),L32="CFS/CY"),0,IF(M32="DG",1,IF(LEFT(C32,3)="LCH",7,IF(C32="BKK02",5,3))))</f>
        <v>3</v>
      </c>
      <c r="Z32" s="60">
        <f>IF(IF(AND(AC32="TML",AB32&gt;0),((T32-W32)+1)-AB32,((T32-W32)+1)-Y32)&gt;0,IF(AND(AC32="TML",AB32&gt;0),((T32-W32)+1)-AB32,((T32-W32)+1)-Y32),0)</f>
        <v>6</v>
      </c>
      <c r="AA32" s="51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1920</v>
      </c>
      <c r="AB32" s="56"/>
      <c r="AC32" s="56"/>
      <c r="AD32" s="59">
        <f>IF(M32="DG",3,IF(N32="RF",3,5))+IF(AND(LEFT(C32,3)="BKK",N32="RF",Q32="KTS"),1,0)+IF(Q32="KHS",1,0)</f>
        <v>5</v>
      </c>
      <c r="AE32" s="60">
        <f>(T32-V32)+1</f>
        <v>46320</v>
      </c>
      <c r="AF32" s="60">
        <f>IF(AB32&gt;IF((V32-W32)&gt;0,V32-W32,0),0,IF(AB32&lt;IF((V32-W32)&gt;0,V32-W32,0),IF((V32-W32)&gt;0,V32-W32,0)-AB32,IF((V32-W32)&gt;0,V32-W32,0)))</f>
        <v>0</v>
      </c>
      <c r="AG32" s="51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3"/>
      <c r="AI32" s="63">
        <f>AA32-AH32</f>
        <v>1920</v>
      </c>
      <c r="AJ32" s="64"/>
      <c r="AK32" s="58" t="str">
        <f>VLOOKUP(D32,'2.Bookinglist'!A:CT,40,FALSE)</f>
        <v>Kanokporn</v>
      </c>
      <c r="AL32" s="59" t="str">
        <f>VLOOKUP(D32,'2.Bookinglist'!A:CW,101,FALSE)</f>
        <v>2026-10-20</v>
      </c>
      <c r="AM32" s="59" t="str">
        <f>VLOOKUP(D32,'2.Bookinglist'!A:BK,63,FALSE)</f>
        <v>BKK27</v>
      </c>
      <c r="AN32" s="58" t="str">
        <f>VLOOKUP(D32,'2.Bookinglist'!A:AZ,52,FALSE)</f>
        <v>Pickup : 2026-10-14, Return : 2026-10-15 [1ST RTN 16/10/2026 W/O RENT]</v>
      </c>
      <c r="AO32" s="58">
        <f>VLOOKUP(D32,'2.Bookinglist'!A:CY,103,FALSE)</f>
        <v>0</v>
      </c>
    </row>
    <row r="33" ht="12.95" customHeight="1" spans="1:41" x14ac:dyDescent="0.25">
      <c r="A33" s="3" t="s">
        <v>172</v>
      </c>
      <c r="B33" s="56" t="str">
        <f>IF(C33=Charge!$M$1,Charge!$J$1,IF(C33=Charge!$M$23,Charge!$J$23,IF(C33=Charge!$M$17,Charge!$J$17,IF(C33=Charge!$N$17,Charge!$J$17,Charge!$J$7))))</f>
        <v>G3</v>
      </c>
      <c r="C33" s="57" t="str">
        <f>VLOOKUP(A33,'1.Loading'!A:R,14,FALSE)</f>
        <v>BKK01</v>
      </c>
      <c r="D33" s="57" t="str">
        <f>VLOOKUP(A33,'1.Loading'!A:R,17,FALSE)</f>
        <v>HASLS22260902673</v>
      </c>
      <c r="E33" s="58" t="str">
        <f>VLOOKUP(D33,'2.Bookinglist'!A:CT,27,FALSE)</f>
        <v>DIMERCO EXPRESS (THAILAND) CO., LTD.</v>
      </c>
      <c r="F33" s="58" t="str">
        <f>VLOOKUP(D33,'2.Bookinglist'!A:CT,28,FALSE)</f>
        <v>CAL-COMP ELECTRONICS (THAILAND) PUBLIC COMPANY LIMITED</v>
      </c>
      <c r="G33" s="59">
        <f>VLOOKUP(D33,'2.Bookinglist'!A:E,5,FALSE)</f>
        <v>0</v>
      </c>
      <c r="H33" s="57" t="str">
        <f>VLOOKUP(D33,'2.Bookinglist'!A:CT,15,FALSE)</f>
        <v>THBKK</v>
      </c>
      <c r="I33" s="57" t="str">
        <f>VLOOKUP(D33,'2.Bookinglist'!A:CT,19,FALSE)</f>
        <v>HKHKG</v>
      </c>
      <c r="J33" s="57">
        <f>VLOOKUP(D33,'2.Bookinglist'!A:CT,26,FALSE)</f>
        <v>0</v>
      </c>
      <c r="K33" s="57" t="str">
        <f>VLOOKUP(A33,'1.Loading'!A:R,5,FALSE)</f>
        <v>45GP</v>
      </c>
      <c r="L33" s="59" t="str">
        <f>VLOOKUP(D33,'2.Bookinglist'!A:CT,85,FALSE)</f>
        <v>CY/CY</v>
      </c>
      <c r="M33" s="59" t="str">
        <f>IF(VLOOKUP(D33,'2.Bookinglist'!A:CT,43,FALSE)=0,"","DG")</f>
        <v/>
      </c>
      <c r="N33" s="59" t="str">
        <f>IF(RIGHT(K33,2)="RE","RF","")</f>
        <v/>
      </c>
      <c r="O33" s="57" t="str">
        <f>VLOOKUP(A33,'1.Loading'!A:R,3,FALSE)</f>
        <v>SKOR</v>
      </c>
      <c r="P33" s="57" t="str">
        <f>VLOOKUP(A33,'1.Loading'!A:R,4,FALSE)</f>
        <v>2612N</v>
      </c>
      <c r="Q33" s="57" t="str">
        <f>VLOOKUP(D33,'2.Bookinglist'!A:CT,12,FALSE)</f>
        <v>VTS</v>
      </c>
      <c r="R33" s="59" t="str">
        <f>IF(LEFT(K33,2)="22","20'","40'")</f>
        <v>40'</v>
      </c>
      <c r="S33" s="41"/>
      <c r="T33" s="57" t="str">
        <f>VLOOKUP(A33,'1.Loading'!A:R,2,FALSE)</f>
        <v>2026-10-24</v>
      </c>
      <c r="U33" s="60">
        <f>T33-S33</f>
        <v>46319</v>
      </c>
      <c r="V33" s="61"/>
      <c r="W33" s="57" t="str">
        <f>VLOOKUP(A33,'3.GateMove'!A:D,4,FALSE)</f>
        <v>2026-10-17</v>
      </c>
      <c r="X33" s="60">
        <f>((T33-W33)+1)</f>
        <v>8</v>
      </c>
      <c r="Y33" s="62">
        <f>IF(AND(OR(C33="BKK01",C33="BKK04"),L33="CFS/CY"),0,IF(M33="DG",1,IF(LEFT(C33,3)="LCH",7,IF(C33="BKK02",5,3))))</f>
        <v>3</v>
      </c>
      <c r="Z33" s="60">
        <f>IF(IF(AND(AC33="TML",AB33&gt;0),((T33-W33)+1)-AB33,((T33-W33)+1)-Y33)&gt;0,IF(AND(AC33="TML",AB33&gt;0),((T33-W33)+1)-AB33,((T33-W33)+1)-Y33),0)</f>
        <v>5</v>
      </c>
      <c r="AA33" s="51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1600</v>
      </c>
      <c r="AB33" s="56"/>
      <c r="AC33" s="56"/>
      <c r="AD33" s="59">
        <f>IF(M33="DG",3,IF(N33="RF",3,5))+IF(AND(LEFT(C33,3)="BKK",N33="RF",Q33="KTS"),1,0)+IF(Q33="KHS",1,0)</f>
        <v>5</v>
      </c>
      <c r="AE33" s="60">
        <f>(T33-V33)+1</f>
        <v>46320</v>
      </c>
      <c r="AF33" s="60">
        <f>IF(AB33&gt;IF((V33-W33)&gt;0,V33-W33,0),0,IF(AB33&lt;IF((V33-W33)&gt;0,V33-W33,0),IF((V33-W33)&gt;0,V33-W33,0)-AB33,IF((V33-W33)&gt;0,V33-W33,0)))</f>
        <v>0</v>
      </c>
      <c r="AG33" s="51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3"/>
      <c r="AI33" s="63">
        <f>AA33-AH33</f>
        <v>1600</v>
      </c>
      <c r="AJ33" s="64"/>
      <c r="AK33" s="58" t="str">
        <f>VLOOKUP(D33,'2.Bookinglist'!A:CT,40,FALSE)</f>
        <v>Nustsireerach</v>
      </c>
      <c r="AL33" s="59" t="str">
        <f>VLOOKUP(D33,'2.Bookinglist'!A:CW,101,FALSE)</f>
        <v>2026-10-18</v>
      </c>
      <c r="AM33" s="59" t="str">
        <f>VLOOKUP(D33,'2.Bookinglist'!A:BK,63,FALSE)</f>
        <v>BKK27</v>
      </c>
      <c r="AN33" s="58" t="str">
        <f>VLOOKUP(D33,'2.Bookinglist'!A:AZ,52,FALSE)</f>
        <v>Pickup : 2026-10-16, Return : 2026-10-16
</v>
      </c>
      <c r="AO33" s="58">
        <f>VLOOKUP(D33,'2.Bookinglist'!A:CY,103,FALSE)</f>
        <v>0</v>
      </c>
    </row>
    <row r="34" ht="12.95" customHeight="1" spans="1:41" x14ac:dyDescent="0.25">
      <c r="A34" s="3" t="s">
        <v>173</v>
      </c>
      <c r="B34" s="56" t="str">
        <f>IF(C34=Charge!$M$1,Charge!$J$1,IF(C34=Charge!$M$23,Charge!$J$23,IF(C34=Charge!$M$17,Charge!$J$17,IF(C34=Charge!$N$17,Charge!$J$17,Charge!$J$7))))</f>
        <v>G3</v>
      </c>
      <c r="C34" s="57" t="str">
        <f>VLOOKUP(A34,'1.Loading'!A:R,14,FALSE)</f>
        <v>BKK01</v>
      </c>
      <c r="D34" s="57" t="str">
        <f>VLOOKUP(A34,'1.Loading'!A:R,17,FALSE)</f>
        <v>HASLS22260901556</v>
      </c>
      <c r="E34" s="58" t="str">
        <f>VLOOKUP(D34,'2.Bookinglist'!A:CT,27,FALSE)</f>
        <v>PILOT CONSOLIDATOR CO., LTD.</v>
      </c>
      <c r="F34" s="58" t="str">
        <f>VLOOKUP(D34,'2.Bookinglist'!A:CT,28,FALSE)</f>
        <v>PILOT CONSOLIDATOR CO., LTD.</v>
      </c>
      <c r="G34" s="59">
        <f>VLOOKUP(D34,'2.Bookinglist'!A:E,5,FALSE)</f>
        <v>0</v>
      </c>
      <c r="H34" s="57" t="str">
        <f>VLOOKUP(D34,'2.Bookinglist'!A:CT,15,FALSE)</f>
        <v>THBKK</v>
      </c>
      <c r="I34" s="57" t="str">
        <f>VLOOKUP(D34,'2.Bookinglist'!A:CT,19,FALSE)</f>
        <v>HKHKG</v>
      </c>
      <c r="J34" s="57">
        <f>VLOOKUP(D34,'2.Bookinglist'!A:CT,26,FALSE)</f>
        <v>0</v>
      </c>
      <c r="K34" s="57" t="str">
        <f>VLOOKUP(A34,'1.Loading'!A:R,5,FALSE)</f>
        <v>45GP</v>
      </c>
      <c r="L34" s="59" t="str">
        <f>VLOOKUP(D34,'2.Bookinglist'!A:CT,85,FALSE)</f>
        <v>CY/CY</v>
      </c>
      <c r="M34" s="59" t="str">
        <f>IF(VLOOKUP(D34,'2.Bookinglist'!A:CT,43,FALSE)=0,"","DG")</f>
        <v/>
      </c>
      <c r="N34" s="59" t="str">
        <f>IF(RIGHT(K34,2)="RE","RF","")</f>
        <v/>
      </c>
      <c r="O34" s="57" t="str">
        <f>VLOOKUP(A34,'1.Loading'!A:R,3,FALSE)</f>
        <v>SKOR</v>
      </c>
      <c r="P34" s="57" t="str">
        <f>VLOOKUP(A34,'1.Loading'!A:R,4,FALSE)</f>
        <v>2612N</v>
      </c>
      <c r="Q34" s="57" t="str">
        <f>VLOOKUP(D34,'2.Bookinglist'!A:CT,12,FALSE)</f>
        <v>VTS</v>
      </c>
      <c r="R34" s="59" t="str">
        <f>IF(LEFT(K34,2)="22","20'","40'")</f>
        <v>40'</v>
      </c>
      <c r="S34" s="41"/>
      <c r="T34" s="57" t="str">
        <f>VLOOKUP(A34,'1.Loading'!A:R,2,FALSE)</f>
        <v>2026-10-24</v>
      </c>
      <c r="U34" s="60">
        <f>T34-S34</f>
        <v>46319</v>
      </c>
      <c r="V34" s="61"/>
      <c r="W34" s="57" t="str">
        <f>VLOOKUP(A34,'3.GateMove'!A:D,4,FALSE)</f>
        <v>2026-10-23</v>
      </c>
      <c r="X34" s="60">
        <f>((T34-W34)+1)</f>
        <v>2</v>
      </c>
      <c r="Y34" s="62">
        <f>IF(AND(OR(C34="BKK01",C34="BKK04"),L34="CFS/CY"),0,IF(M34="DG",1,IF(LEFT(C34,3)="LCH",7,IF(C34="BKK02",5,3))))</f>
        <v>3</v>
      </c>
      <c r="Z34" s="60">
        <f>IF(IF(AND(AC34="TML",AB34&gt;0),((T34-W34)+1)-AB34,((T34-W34)+1)-Y34)&gt;0,IF(AND(AC34="TML",AB34&gt;0),((T34-W34)+1)-AB34,((T34-W34)+1)-Y34),0)</f>
        <v>0</v>
      </c>
      <c r="AA34" s="51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56"/>
      <c r="AC34" s="56"/>
      <c r="AD34" s="59">
        <f>IF(M34="DG",3,IF(N34="RF",3,5))+IF(AND(LEFT(C34,3)="BKK",N34="RF",Q34="KTS"),1,0)+IF(Q34="KHS",1,0)</f>
        <v>5</v>
      </c>
      <c r="AE34" s="60">
        <f>(T34-V34)+1</f>
        <v>46320</v>
      </c>
      <c r="AF34" s="60">
        <f>IF(AB34&gt;IF((V34-W34)&gt;0,V34-W34,0),0,IF(AB34&lt;IF((V34-W34)&gt;0,V34-W34,0),IF((V34-W34)&gt;0,V34-W34,0)-AB34,IF((V34-W34)&gt;0,V34-W34,0)))</f>
        <v>0</v>
      </c>
      <c r="AG34" s="51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3"/>
      <c r="AI34" s="63">
        <f>AA34-AH34</f>
        <v>0</v>
      </c>
      <c r="AJ34" s="64"/>
      <c r="AK34" s="58" t="str">
        <f>VLOOKUP(D34,'2.Bookinglist'!A:CT,40,FALSE)</f>
        <v>Papavadee Chiengchin</v>
      </c>
      <c r="AL34" s="59" t="str">
        <f>VLOOKUP(D34,'2.Bookinglist'!A:CW,101,FALSE)</f>
        <v>2026-10-20</v>
      </c>
      <c r="AM34" s="59" t="str">
        <f>VLOOKUP(D34,'2.Bookinglist'!A:BK,63,FALSE)</f>
        <v>BKK01</v>
      </c>
      <c r="AN34" s="58" t="str">
        <f>VLOOKUP(D34,'2.Bookinglist'!A:AZ,52,FALSE)</f>
        <v>Pickup : 2026-10-16, Return : 2026-10-16 CONSOL</v>
      </c>
      <c r="AO34" s="58">
        <f>VLOOKUP(D34,'2.Bookinglist'!A:CY,103,FALSE)</f>
        <v>0</v>
      </c>
    </row>
    <row r="35" ht="12.95" customHeight="1" spans="1:41" x14ac:dyDescent="0.25">
      <c r="A35" s="3" t="s">
        <v>174</v>
      </c>
      <c r="B35" s="56" t="str">
        <f>IF(C35=Charge!$M$1,Charge!$J$1,IF(C35=Charge!$M$23,Charge!$J$23,IF(C35=Charge!$M$17,Charge!$J$17,IF(C35=Charge!$N$17,Charge!$J$17,Charge!$J$7))))</f>
        <v>G3</v>
      </c>
      <c r="C35" s="57" t="str">
        <f>VLOOKUP(A35,'1.Loading'!A:R,14,FALSE)</f>
        <v>BKK01</v>
      </c>
      <c r="D35" s="57" t="str">
        <f>VLOOKUP(A35,'1.Loading'!A:R,17,FALSE)</f>
        <v>HASLS22261000536</v>
      </c>
      <c r="E35" s="58" t="str">
        <f>VLOOKUP(D35,'2.Bookinglist'!A:CT,27,FALSE)</f>
        <v>KWE-KINTETSU WORLD EXPRESS (THAILAND) CO., LTD.</v>
      </c>
      <c r="F35" s="58" t="str">
        <f>VLOOKUP(D35,'2.Bookinglist'!A:CT,28,FALSE)</f>
        <v>NISSIN FOODS (THAILAND) CO., LTD.</v>
      </c>
      <c r="G35" s="59">
        <f>VLOOKUP(D35,'2.Bookinglist'!A:E,5,FALSE)</f>
        <v>0</v>
      </c>
      <c r="H35" s="57" t="str">
        <f>VLOOKUP(D35,'2.Bookinglist'!A:CT,15,FALSE)</f>
        <v>THBKK</v>
      </c>
      <c r="I35" s="57" t="str">
        <f>VLOOKUP(D35,'2.Bookinglist'!A:CT,19,FALSE)</f>
        <v>HKHKG</v>
      </c>
      <c r="J35" s="57">
        <f>VLOOKUP(D35,'2.Bookinglist'!A:CT,26,FALSE)</f>
        <v>0</v>
      </c>
      <c r="K35" s="57" t="str">
        <f>VLOOKUP(A35,'1.Loading'!A:R,5,FALSE)</f>
        <v>45GP</v>
      </c>
      <c r="L35" s="59" t="str">
        <f>VLOOKUP(D35,'2.Bookinglist'!A:CT,85,FALSE)</f>
        <v>CY/CY</v>
      </c>
      <c r="M35" s="59" t="str">
        <f>IF(VLOOKUP(D35,'2.Bookinglist'!A:CT,43,FALSE)=0,"","DG")</f>
        <v/>
      </c>
      <c r="N35" s="59" t="str">
        <f>IF(RIGHT(K35,2)="RE","RF","")</f>
        <v/>
      </c>
      <c r="O35" s="57" t="str">
        <f>VLOOKUP(A35,'1.Loading'!A:R,3,FALSE)</f>
        <v>SKOR</v>
      </c>
      <c r="P35" s="57" t="str">
        <f>VLOOKUP(A35,'1.Loading'!A:R,4,FALSE)</f>
        <v>2612N</v>
      </c>
      <c r="Q35" s="57" t="str">
        <f>VLOOKUP(D35,'2.Bookinglist'!A:CT,12,FALSE)</f>
        <v>VTS</v>
      </c>
      <c r="R35" s="59" t="str">
        <f>IF(LEFT(K35,2)="22","20'","40'")</f>
        <v>40'</v>
      </c>
      <c r="S35" s="41"/>
      <c r="T35" s="57" t="str">
        <f>VLOOKUP(A35,'1.Loading'!A:R,2,FALSE)</f>
        <v>2026-10-24</v>
      </c>
      <c r="U35" s="60">
        <f>T35-S35</f>
        <v>46319</v>
      </c>
      <c r="V35" s="61"/>
      <c r="W35" s="57" t="str">
        <f>VLOOKUP(A35,'3.GateMove'!A:D,4,FALSE)</f>
        <v>2026-10-16</v>
      </c>
      <c r="X35" s="60">
        <f>((T35-W35)+1)</f>
        <v>9</v>
      </c>
      <c r="Y35" s="62">
        <f>IF(AND(OR(C35="BKK01",C35="BKK04"),L35="CFS/CY"),0,IF(M35="DG",1,IF(LEFT(C35,3)="LCH",7,IF(C35="BKK02",5,3))))</f>
        <v>3</v>
      </c>
      <c r="Z35" s="60">
        <f>IF(IF(AND(AC35="TML",AB35&gt;0),((T35-W35)+1)-AB35,((T35-W35)+1)-Y35)&gt;0,IF(AND(AC35="TML",AB35&gt;0),((T35-W35)+1)-AB35,((T35-W35)+1)-Y35),0)</f>
        <v>6</v>
      </c>
      <c r="AA35" s="51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1920</v>
      </c>
      <c r="AB35" s="56"/>
      <c r="AC35" s="56"/>
      <c r="AD35" s="59">
        <f>IF(M35="DG",3,IF(N35="RF",3,5))+IF(AND(LEFT(C35,3)="BKK",N35="RF",Q35="KTS"),1,0)+IF(Q35="KHS",1,0)</f>
        <v>5</v>
      </c>
      <c r="AE35" s="60">
        <f>(T35-V35)+1</f>
        <v>46320</v>
      </c>
      <c r="AF35" s="60">
        <f>IF(AB35&gt;IF((V35-W35)&gt;0,V35-W35,0),0,IF(AB35&lt;IF((V35-W35)&gt;0,V35-W35,0),IF((V35-W35)&gt;0,V35-W35,0)-AB35,IF((V35-W35)&gt;0,V35-W35,0)))</f>
        <v>0</v>
      </c>
      <c r="AG35" s="51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3"/>
      <c r="AI35" s="63">
        <f>AA35-AH35</f>
        <v>1920</v>
      </c>
      <c r="AJ35" s="64"/>
      <c r="AK35" s="58" t="str">
        <f>VLOOKUP(D35,'2.Bookinglist'!A:CT,40,FALSE)</f>
        <v>Arunphat W. (Aiw)</v>
      </c>
      <c r="AL35" s="59" t="str">
        <f>VLOOKUP(D35,'2.Bookinglist'!A:CW,101,FALSE)</f>
        <v>2026-10-20</v>
      </c>
      <c r="AM35" s="59" t="str">
        <f>VLOOKUP(D35,'2.Bookinglist'!A:BK,63,FALSE)</f>
        <v>BKK27</v>
      </c>
      <c r="AN35" s="58" t="str">
        <f>VLOOKUP(D35,'2.Bookinglist'!A:AZ,52,FALSE)</f>
        <v>Pickup : 2026-10-14, Return : 2026-10-15 (1ST RTN 16/10 W/O RENT) 
 </v>
      </c>
      <c r="AO35" s="58">
        <f>VLOOKUP(D35,'2.Bookinglist'!A:CY,103,FALSE)</f>
        <v>0</v>
      </c>
    </row>
    <row r="36" ht="12.95" customHeight="1" spans="1:41" x14ac:dyDescent="0.25">
      <c r="A36" s="3" t="s">
        <v>175</v>
      </c>
      <c r="B36" s="56" t="str">
        <f>IF(C36=Charge!$M$1,Charge!$J$1,IF(C36=Charge!$M$23,Charge!$J$23,IF(C36=Charge!$M$17,Charge!$J$17,IF(C36=Charge!$N$17,Charge!$J$17,Charge!$J$7))))</f>
        <v>G3</v>
      </c>
      <c r="C36" s="57" t="str">
        <f>VLOOKUP(A36,'1.Loading'!A:R,14,FALSE)</f>
        <v>BKK01</v>
      </c>
      <c r="D36" s="57" t="str">
        <f>VLOOKUP(A36,'1.Loading'!A:R,17,FALSE)</f>
        <v>HASLS22260901556</v>
      </c>
      <c r="E36" s="58" t="str">
        <f>VLOOKUP(D36,'2.Bookinglist'!A:CT,27,FALSE)</f>
        <v>PILOT CONSOLIDATOR CO., LTD.</v>
      </c>
      <c r="F36" s="58" t="str">
        <f>VLOOKUP(D36,'2.Bookinglist'!A:CT,28,FALSE)</f>
        <v>PILOT CONSOLIDATOR CO., LTD.</v>
      </c>
      <c r="G36" s="59">
        <f>VLOOKUP(D36,'2.Bookinglist'!A:E,5,FALSE)</f>
        <v>0</v>
      </c>
      <c r="H36" s="57" t="str">
        <f>VLOOKUP(D36,'2.Bookinglist'!A:CT,15,FALSE)</f>
        <v>THBKK</v>
      </c>
      <c r="I36" s="57" t="str">
        <f>VLOOKUP(D36,'2.Bookinglist'!A:CT,19,FALSE)</f>
        <v>HKHKG</v>
      </c>
      <c r="J36" s="57">
        <f>VLOOKUP(D36,'2.Bookinglist'!A:CT,26,FALSE)</f>
        <v>0</v>
      </c>
      <c r="K36" s="57" t="str">
        <f>VLOOKUP(A36,'1.Loading'!A:R,5,FALSE)</f>
        <v>45GP</v>
      </c>
      <c r="L36" s="59" t="str">
        <f>VLOOKUP(D36,'2.Bookinglist'!A:CT,85,FALSE)</f>
        <v>CY/CY</v>
      </c>
      <c r="M36" s="59" t="str">
        <f>IF(VLOOKUP(D36,'2.Bookinglist'!A:CT,43,FALSE)=0,"","DG")</f>
        <v/>
      </c>
      <c r="N36" s="59" t="str">
        <f>IF(RIGHT(K36,2)="RE","RF","")</f>
        <v/>
      </c>
      <c r="O36" s="57" t="str">
        <f>VLOOKUP(A36,'1.Loading'!A:R,3,FALSE)</f>
        <v>SKOR</v>
      </c>
      <c r="P36" s="57" t="str">
        <f>VLOOKUP(A36,'1.Loading'!A:R,4,FALSE)</f>
        <v>2612N</v>
      </c>
      <c r="Q36" s="57" t="str">
        <f>VLOOKUP(D36,'2.Bookinglist'!A:CT,12,FALSE)</f>
        <v>VTS</v>
      </c>
      <c r="R36" s="59" t="str">
        <f>IF(LEFT(K36,2)="22","20'","40'")</f>
        <v>40'</v>
      </c>
      <c r="S36" s="41"/>
      <c r="T36" s="57" t="str">
        <f>VLOOKUP(A36,'1.Loading'!A:R,2,FALSE)</f>
        <v>2026-10-24</v>
      </c>
      <c r="U36" s="60">
        <f>T36-S36</f>
        <v>46319</v>
      </c>
      <c r="V36" s="61"/>
      <c r="W36" s="57" t="str">
        <f>VLOOKUP(A36,'3.GateMove'!A:D,4,FALSE)</f>
        <v>2026-10-23</v>
      </c>
      <c r="X36" s="60">
        <f>((T36-W36)+1)</f>
        <v>2</v>
      </c>
      <c r="Y36" s="62">
        <f>IF(AND(OR(C36="BKK01",C36="BKK04"),L36="CFS/CY"),0,IF(M36="DG",1,IF(LEFT(C36,3)="LCH",7,IF(C36="BKK02",5,3))))</f>
        <v>3</v>
      </c>
      <c r="Z36" s="60">
        <f>IF(IF(AND(AC36="TML",AB36&gt;0),((T36-W36)+1)-AB36,((T36-W36)+1)-Y36)&gt;0,IF(AND(AC36="TML",AB36&gt;0),((T36-W36)+1)-AB36,((T36-W36)+1)-Y36),0)</f>
        <v>0</v>
      </c>
      <c r="AA36" s="51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56"/>
      <c r="AC36" s="56"/>
      <c r="AD36" s="59">
        <f>IF(M36="DG",3,IF(N36="RF",3,5))+IF(AND(LEFT(C36,3)="BKK",N36="RF",Q36="KTS"),1,0)+IF(Q36="KHS",1,0)</f>
        <v>5</v>
      </c>
      <c r="AE36" s="60">
        <f>(T36-V36)+1</f>
        <v>46320</v>
      </c>
      <c r="AF36" s="60">
        <f>IF(AB36&gt;IF((V36-W36)&gt;0,V36-W36,0),0,IF(AB36&lt;IF((V36-W36)&gt;0,V36-W36,0),IF((V36-W36)&gt;0,V36-W36,0)-AB36,IF((V36-W36)&gt;0,V36-W36,0)))</f>
        <v>0</v>
      </c>
      <c r="AG36" s="51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3"/>
      <c r="AI36" s="63">
        <f>AA36-AH36</f>
        <v>0</v>
      </c>
      <c r="AJ36" s="64"/>
      <c r="AK36" s="58" t="str">
        <f>VLOOKUP(D36,'2.Bookinglist'!A:CT,40,FALSE)</f>
        <v>Papavadee Chiengchin</v>
      </c>
      <c r="AL36" s="59" t="str">
        <f>VLOOKUP(D36,'2.Bookinglist'!A:CW,101,FALSE)</f>
        <v>2026-10-20</v>
      </c>
      <c r="AM36" s="59" t="str">
        <f>VLOOKUP(D36,'2.Bookinglist'!A:BK,63,FALSE)</f>
        <v>BKK01</v>
      </c>
      <c r="AN36" s="58" t="str">
        <f>VLOOKUP(D36,'2.Bookinglist'!A:AZ,52,FALSE)</f>
        <v>Pickup : 2026-10-16, Return : 2026-10-16 CONSOL</v>
      </c>
      <c r="AO36" s="58">
        <f>VLOOKUP(D36,'2.Bookinglist'!A:CY,103,FALSE)</f>
        <v>0</v>
      </c>
    </row>
    <row r="37" ht="12.95" customHeight="1" spans="1:41" x14ac:dyDescent="0.25">
      <c r="A37" s="3" t="s">
        <v>176</v>
      </c>
      <c r="B37" s="56" t="str">
        <f>IF(C37=Charge!$M$1,Charge!$J$1,IF(C37=Charge!$M$23,Charge!$J$23,IF(C37=Charge!$M$17,Charge!$J$17,IF(C37=Charge!$N$17,Charge!$J$17,Charge!$J$7))))</f>
        <v>G3</v>
      </c>
      <c r="C37" s="57" t="str">
        <f>VLOOKUP(A37,'1.Loading'!A:R,14,FALSE)</f>
        <v>BKK01</v>
      </c>
      <c r="D37" s="57" t="str">
        <f>VLOOKUP(A37,'1.Loading'!A:R,17,FALSE)</f>
        <v>HASLS22260902320</v>
      </c>
      <c r="E37" s="58" t="str">
        <f>VLOOKUP(D37,'2.Bookinglist'!A:CT,27,FALSE)</f>
        <v>LAEMTHONG CORPORATION LTD.</v>
      </c>
      <c r="F37" s="58" t="str">
        <f>VLOOKUP(D37,'2.Bookinglist'!A:CT,28,FALSE)</f>
        <v>LAEMTHONG CORPORATION LTD.</v>
      </c>
      <c r="G37" s="59">
        <f>VLOOKUP(D37,'2.Bookinglist'!A:E,5,FALSE)</f>
        <v>0</v>
      </c>
      <c r="H37" s="57" t="str">
        <f>VLOOKUP(D37,'2.Bookinglist'!A:CT,15,FALSE)</f>
        <v>THBKK</v>
      </c>
      <c r="I37" s="57" t="str">
        <f>VLOOKUP(D37,'2.Bookinglist'!A:CT,19,FALSE)</f>
        <v>HKHKG</v>
      </c>
      <c r="J37" s="57">
        <f>VLOOKUP(D37,'2.Bookinglist'!A:CT,26,FALSE)</f>
        <v>0</v>
      </c>
      <c r="K37" s="57" t="str">
        <f>VLOOKUP(A37,'1.Loading'!A:R,5,FALSE)</f>
        <v>22GP</v>
      </c>
      <c r="L37" s="59" t="str">
        <f>VLOOKUP(D37,'2.Bookinglist'!A:CT,85,FALSE)</f>
        <v>CY/CY</v>
      </c>
      <c r="M37" s="59" t="str">
        <f>IF(VLOOKUP(D37,'2.Bookinglist'!A:CT,43,FALSE)=0,"","DG")</f>
        <v/>
      </c>
      <c r="N37" s="59" t="str">
        <f>IF(RIGHT(K37,2)="RE","RF","")</f>
        <v/>
      </c>
      <c r="O37" s="57" t="str">
        <f>VLOOKUP(A37,'1.Loading'!A:R,3,FALSE)</f>
        <v>SKOR</v>
      </c>
      <c r="P37" s="57" t="str">
        <f>VLOOKUP(A37,'1.Loading'!A:R,4,FALSE)</f>
        <v>2612N</v>
      </c>
      <c r="Q37" s="57" t="str">
        <f>VLOOKUP(D37,'2.Bookinglist'!A:CT,12,FALSE)</f>
        <v>VTS</v>
      </c>
      <c r="R37" s="59" t="str">
        <f>IF(LEFT(K37,2)="22","20'","40'")</f>
        <v>20'</v>
      </c>
      <c r="S37" s="41"/>
      <c r="T37" s="57" t="str">
        <f>VLOOKUP(A37,'1.Loading'!A:R,2,FALSE)</f>
        <v>2026-10-24</v>
      </c>
      <c r="U37" s="60">
        <f>T37-S37</f>
        <v>46319</v>
      </c>
      <c r="V37" s="61"/>
      <c r="W37" s="57" t="str">
        <f>VLOOKUP(A37,'3.GateMove'!A:D,4,FALSE)</f>
        <v>2026-10-16</v>
      </c>
      <c r="X37" s="60">
        <f>((T37-W37)+1)</f>
        <v>9</v>
      </c>
      <c r="Y37" s="62">
        <f>IF(AND(OR(C37="BKK01",C37="BKK04"),L37="CFS/CY"),0,IF(M37="DG",1,IF(LEFT(C37,3)="LCH",7,IF(C37="BKK02",5,3))))</f>
        <v>3</v>
      </c>
      <c r="Z37" s="60">
        <f>IF(IF(AND(AC37="TML",AB37&gt;0),((T37-W37)+1)-AB37,((T37-W37)+1)-Y37)&gt;0,IF(AND(AC37="TML",AB37&gt;0),((T37-W37)+1)-AB37,((T37-W37)+1)-Y37),0)</f>
        <v>6</v>
      </c>
      <c r="AA37" s="51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960</v>
      </c>
      <c r="AB37" s="56"/>
      <c r="AC37" s="56"/>
      <c r="AD37" s="59">
        <f>IF(M37="DG",3,IF(N37="RF",3,5))+IF(AND(LEFT(C37,3)="BKK",N37="RF",Q37="KTS"),1,0)+IF(Q37="KHS",1,0)</f>
        <v>5</v>
      </c>
      <c r="AE37" s="60">
        <f>(T37-V37)+1</f>
        <v>46320</v>
      </c>
      <c r="AF37" s="60">
        <f>IF(AB37&gt;IF((V37-W37)&gt;0,V37-W37,0),0,IF(AB37&lt;IF((V37-W37)&gt;0,V37-W37,0),IF((V37-W37)&gt;0,V37-W37,0)-AB37,IF((V37-W37)&gt;0,V37-W37,0)))</f>
        <v>0</v>
      </c>
      <c r="AG37" s="51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3"/>
      <c r="AI37" s="63">
        <f>AA37-AH37</f>
        <v>960</v>
      </c>
      <c r="AJ37" s="64"/>
      <c r="AK37" s="58" t="str">
        <f>VLOOKUP(D37,'2.Bookinglist'!A:CT,40,FALSE)</f>
        <v>Tarn(Supaporn)</v>
      </c>
      <c r="AL37" s="59" t="str">
        <f>VLOOKUP(D37,'2.Bookinglist'!A:CW,101,FALSE)</f>
        <v>2026-10-20</v>
      </c>
      <c r="AM37" s="59" t="str">
        <f>VLOOKUP(D37,'2.Bookinglist'!A:BK,63,FALSE)</f>
        <v>BKK27</v>
      </c>
      <c r="AN37" s="58" t="str">
        <f>VLOOKUP(D37,'2.Bookinglist'!A:AZ,52,FALSE)</f>
        <v>Pickup : 2026-10-14, Return : 2026-10-15  (1ST RTN 16/10 W/O RENT) 
 </v>
      </c>
      <c r="AO37" s="58">
        <f>VLOOKUP(D37,'2.Bookinglist'!A:CY,103,FALSE)</f>
        <v>0</v>
      </c>
    </row>
    <row r="38" ht="12.95" customHeight="1" spans="1:41" x14ac:dyDescent="0.25">
      <c r="A38" s="3" t="s">
        <v>178</v>
      </c>
      <c r="B38" s="56" t="str">
        <f>IF(C38=Charge!$M$1,Charge!$J$1,IF(C38=Charge!$M$23,Charge!$J$23,IF(C38=Charge!$M$17,Charge!$J$17,IF(C38=Charge!$N$17,Charge!$J$17,Charge!$J$7))))</f>
        <v>G3</v>
      </c>
      <c r="C38" s="57" t="str">
        <f>VLOOKUP(A38,'1.Loading'!A:R,14,FALSE)</f>
        <v>BKK01</v>
      </c>
      <c r="D38" s="57" t="str">
        <f>VLOOKUP(A38,'1.Loading'!A:R,17,FALSE)</f>
        <v>HASLS22260900779</v>
      </c>
      <c r="E38" s="58" t="str">
        <f>VLOOKUP(D38,'2.Bookinglist'!A:CT,27,FALSE)</f>
        <v>CARGO CARE LOGISTICS CO., LTD.</v>
      </c>
      <c r="F38" s="58" t="str">
        <f>VLOOKUP(D38,'2.Bookinglist'!A:CT,28,FALSE)</f>
        <v>RIVER KWAI INTERNATIONAL FOOD INDUSTRY CO., LTD.</v>
      </c>
      <c r="G38" s="59">
        <f>VLOOKUP(D38,'2.Bookinglist'!A:E,5,FALSE)</f>
        <v>0</v>
      </c>
      <c r="H38" s="57" t="str">
        <f>VLOOKUP(D38,'2.Bookinglist'!A:CT,15,FALSE)</f>
        <v>THBKK</v>
      </c>
      <c r="I38" s="57" t="str">
        <f>VLOOKUP(D38,'2.Bookinglist'!A:CT,19,FALSE)</f>
        <v>HKHKG</v>
      </c>
      <c r="J38" s="57">
        <f>VLOOKUP(D38,'2.Bookinglist'!A:CT,26,FALSE)</f>
        <v>0</v>
      </c>
      <c r="K38" s="57" t="str">
        <f>VLOOKUP(A38,'1.Loading'!A:R,5,FALSE)</f>
        <v>22GP</v>
      </c>
      <c r="L38" s="59" t="str">
        <f>VLOOKUP(D38,'2.Bookinglist'!A:CT,85,FALSE)</f>
        <v>CY/CY</v>
      </c>
      <c r="M38" s="59" t="str">
        <f>IF(VLOOKUP(D38,'2.Bookinglist'!A:CT,43,FALSE)=0,"","DG")</f>
        <v/>
      </c>
      <c r="N38" s="59" t="str">
        <f>IF(RIGHT(K38,2)="RE","RF","")</f>
        <v/>
      </c>
      <c r="O38" s="57" t="str">
        <f>VLOOKUP(A38,'1.Loading'!A:R,3,FALSE)</f>
        <v>SKOR</v>
      </c>
      <c r="P38" s="57" t="str">
        <f>VLOOKUP(A38,'1.Loading'!A:R,4,FALSE)</f>
        <v>2612N</v>
      </c>
      <c r="Q38" s="57" t="str">
        <f>VLOOKUP(D38,'2.Bookinglist'!A:CT,12,FALSE)</f>
        <v>VTS</v>
      </c>
      <c r="R38" s="59" t="str">
        <f>IF(LEFT(K38,2)="22","20'","40'")</f>
        <v>20'</v>
      </c>
      <c r="S38" s="41"/>
      <c r="T38" s="57" t="str">
        <f>VLOOKUP(A38,'1.Loading'!A:R,2,FALSE)</f>
        <v>2026-10-24</v>
      </c>
      <c r="U38" s="60">
        <f>T38-S38</f>
        <v>46319</v>
      </c>
      <c r="V38" s="61"/>
      <c r="W38" s="57" t="str">
        <f>VLOOKUP(A38,'3.GateMove'!A:D,4,FALSE)</f>
        <v>2026-10-11</v>
      </c>
      <c r="X38" s="60">
        <f>((T38-W38)+1)</f>
        <v>14</v>
      </c>
      <c r="Y38" s="62">
        <f>IF(AND(OR(C38="BKK01",C38="BKK04"),L38="CFS/CY"),0,IF(M38="DG",1,IF(LEFT(C38,3)="LCH",7,IF(C38="BKK02",5,3))))</f>
        <v>3</v>
      </c>
      <c r="Z38" s="60">
        <f>IF(IF(AND(AC38="TML",AB38&gt;0),((T38-W38)+1)-AB38,((T38-W38)+1)-Y38)&gt;0,IF(AND(AC38="TML",AB38&gt;0),((T38-W38)+1)-AB38,((T38-W38)+1)-Y38),0)</f>
        <v>11</v>
      </c>
      <c r="AA38" s="51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2220</v>
      </c>
      <c r="AB38" s="56"/>
      <c r="AC38" s="56"/>
      <c r="AD38" s="59">
        <f>IF(M38="DG",3,IF(N38="RF",3,5))+IF(AND(LEFT(C38,3)="BKK",N38="RF",Q38="KTS"),1,0)+IF(Q38="KHS",1,0)</f>
        <v>5</v>
      </c>
      <c r="AE38" s="60">
        <f>(T38-V38)+1</f>
        <v>46320</v>
      </c>
      <c r="AF38" s="60">
        <f>IF(AB38&gt;IF((V38-W38)&gt;0,V38-W38,0),0,IF(AB38&lt;IF((V38-W38)&gt;0,V38-W38,0),IF((V38-W38)&gt;0,V38-W38,0)-AB38,IF((V38-W38)&gt;0,V38-W38,0)))</f>
        <v>0</v>
      </c>
      <c r="AG38" s="51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3"/>
      <c r="AI38" s="63">
        <f>AA38-AH38</f>
        <v>2220</v>
      </c>
      <c r="AJ38" s="64"/>
      <c r="AK38" s="58" t="str">
        <f>VLOOKUP(D38,'2.Bookinglist'!A:CT,40,FALSE)</f>
        <v>Sukunpoj Damrongying</v>
      </c>
      <c r="AL38" s="59" t="str">
        <f>VLOOKUP(D38,'2.Bookinglist'!A:CW,101,FALSE)</f>
        <v>2026-10-21</v>
      </c>
      <c r="AM38" s="59" t="str">
        <f>VLOOKUP(D38,'2.Bookinglist'!A:BK,63,FALSE)</f>
        <v>BKK25</v>
      </c>
      <c r="AN38" s="58" t="str">
        <f>VLOOKUP(D38,'2.Bookinglist'!A:AZ,52,FALSE)</f>
        <v>Pickup : 2026-10-08, Return : 2026-10-10</v>
      </c>
      <c r="AO38" s="58" t="str">
        <f>VLOOKUP(D38,'2.Bookinglist'!A:CY,103,FALSE)</f>
        <v>ROLL OVER FROM PREVIOUS VSL KMTP 2612N BY ALLOATION TEAM MS.TARN APPROVED COST IS UNDER HA DD.12/10</v>
      </c>
    </row>
    <row r="39" ht="12.95" customHeight="1" spans="1:41" x14ac:dyDescent="0.25">
      <c r="A39" s="3" t="s">
        <v>182</v>
      </c>
      <c r="B39" s="56" t="str">
        <f>IF(C39=Charge!$M$1,Charge!$J$1,IF(C39=Charge!$M$23,Charge!$J$23,IF(C39=Charge!$M$17,Charge!$J$17,IF(C39=Charge!$N$17,Charge!$J$17,Charge!$J$7))))</f>
        <v>G3</v>
      </c>
      <c r="C39" s="57" t="str">
        <f>VLOOKUP(A39,'1.Loading'!A:R,14,FALSE)</f>
        <v>BKK01</v>
      </c>
      <c r="D39" s="57" t="str">
        <f>VLOOKUP(A39,'1.Loading'!A:R,17,FALSE)</f>
        <v>HASLS22260901049</v>
      </c>
      <c r="E39" s="58" t="str">
        <f>VLOOKUP(D39,'2.Bookinglist'!A:CT,27,FALSE)</f>
        <v>DSV AIR &amp; SEA LTD.</v>
      </c>
      <c r="F39" s="58" t="str">
        <f>VLOOKUP(D39,'2.Bookinglist'!A:CT,28,FALSE)</f>
        <v>CHEVRON (THAILAND) LIMITED</v>
      </c>
      <c r="G39" s="59">
        <f>VLOOKUP(D39,'2.Bookinglist'!A:E,5,FALSE)</f>
        <v>0</v>
      </c>
      <c r="H39" s="57" t="str">
        <f>VLOOKUP(D39,'2.Bookinglist'!A:CT,15,FALSE)</f>
        <v>THBKK</v>
      </c>
      <c r="I39" s="57" t="str">
        <f>VLOOKUP(D39,'2.Bookinglist'!A:CT,19,FALSE)</f>
        <v>HKHKG</v>
      </c>
      <c r="J39" s="57">
        <f>VLOOKUP(D39,'2.Bookinglist'!A:CT,26,FALSE)</f>
        <v>0</v>
      </c>
      <c r="K39" s="57" t="str">
        <f>VLOOKUP(A39,'1.Loading'!A:R,5,FALSE)</f>
        <v>22GP</v>
      </c>
      <c r="L39" s="59" t="str">
        <f>VLOOKUP(D39,'2.Bookinglist'!A:CT,85,FALSE)</f>
        <v>CY/CY</v>
      </c>
      <c r="M39" s="59" t="str">
        <f>IF(VLOOKUP(D39,'2.Bookinglist'!A:CT,43,FALSE)=0,"","DG")</f>
        <v/>
      </c>
      <c r="N39" s="59" t="str">
        <f>IF(RIGHT(K39,2)="RE","RF","")</f>
        <v/>
      </c>
      <c r="O39" s="57" t="str">
        <f>VLOOKUP(A39,'1.Loading'!A:R,3,FALSE)</f>
        <v>SKOR</v>
      </c>
      <c r="P39" s="57" t="str">
        <f>VLOOKUP(A39,'1.Loading'!A:R,4,FALSE)</f>
        <v>2612N</v>
      </c>
      <c r="Q39" s="57" t="str">
        <f>VLOOKUP(D39,'2.Bookinglist'!A:CT,12,FALSE)</f>
        <v>VTS</v>
      </c>
      <c r="R39" s="59" t="str">
        <f>IF(LEFT(K39,2)="22","20'","40'")</f>
        <v>20'</v>
      </c>
      <c r="S39" s="41"/>
      <c r="T39" s="57" t="str">
        <f>VLOOKUP(A39,'1.Loading'!A:R,2,FALSE)</f>
        <v>2026-10-24</v>
      </c>
      <c r="U39" s="60">
        <f>T39-S39</f>
        <v>46319</v>
      </c>
      <c r="V39" s="61"/>
      <c r="W39" s="57" t="str">
        <f>VLOOKUP(A39,'3.GateMove'!A:D,4,FALSE)</f>
        <v>2026-10-16</v>
      </c>
      <c r="X39" s="60">
        <f>((T39-W39)+1)</f>
        <v>9</v>
      </c>
      <c r="Y39" s="62">
        <f>IF(AND(OR(C39="BKK01",C39="BKK04"),L39="CFS/CY"),0,IF(M39="DG",1,IF(LEFT(C39,3)="LCH",7,IF(C39="BKK02",5,3))))</f>
        <v>3</v>
      </c>
      <c r="Z39" s="60">
        <f>IF(IF(AND(AC39="TML",AB39&gt;0),((T39-W39)+1)-AB39,((T39-W39)+1)-Y39)&gt;0,IF(AND(AC39="TML",AB39&gt;0),((T39-W39)+1)-AB39,((T39-W39)+1)-Y39),0)</f>
        <v>6</v>
      </c>
      <c r="AA39" s="51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960</v>
      </c>
      <c r="AB39" s="56"/>
      <c r="AC39" s="56"/>
      <c r="AD39" s="59">
        <f>IF(M39="DG",3,IF(N39="RF",3,5))+IF(AND(LEFT(C39,3)="BKK",N39="RF",Q39="KTS"),1,0)+IF(Q39="KHS",1,0)</f>
        <v>5</v>
      </c>
      <c r="AE39" s="60">
        <f>(T39-V39)+1</f>
        <v>46320</v>
      </c>
      <c r="AF39" s="60">
        <f>IF(AB39&gt;IF((V39-W39)&gt;0,V39-W39,0),0,IF(AB39&lt;IF((V39-W39)&gt;0,V39-W39,0),IF((V39-W39)&gt;0,V39-W39,0)-AB39,IF((V39-W39)&gt;0,V39-W39,0)))</f>
        <v>0</v>
      </c>
      <c r="AG39" s="51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3"/>
      <c r="AI39" s="63">
        <f>AA39-AH39</f>
        <v>960</v>
      </c>
      <c r="AJ39" s="64"/>
      <c r="AK39" s="58" t="str">
        <f>VLOOKUP(D39,'2.Bookinglist'!A:CT,40,FALSE)</f>
        <v>Nannaapust Sukporntaweewat</v>
      </c>
      <c r="AL39" s="59" t="str">
        <f>VLOOKUP(D39,'2.Bookinglist'!A:CW,101,FALSE)</f>
        <v>2026-10-20</v>
      </c>
      <c r="AM39" s="59" t="str">
        <f>VLOOKUP(D39,'2.Bookinglist'!A:BK,63,FALSE)</f>
        <v>BKK25</v>
      </c>
      <c r="AN39" s="58" t="str">
        <f>VLOOKUP(D39,'2.Bookinglist'!A:AZ,52,FALSE)</f>
        <v>Pickup : 2026-10-14, Return : 2026-10-16</v>
      </c>
      <c r="AO39" s="58">
        <f>VLOOKUP(D39,'2.Bookinglist'!A:CY,103,FALSE)</f>
        <v>0</v>
      </c>
    </row>
    <row r="40" ht="12.95" customHeight="1" spans="1:41" x14ac:dyDescent="0.25">
      <c r="A40" s="3" t="s">
        <v>183</v>
      </c>
      <c r="B40" s="56" t="str">
        <f>IF(C40=Charge!$M$1,Charge!$J$1,IF(C40=Charge!$M$23,Charge!$J$23,IF(C40=Charge!$M$17,Charge!$J$17,IF(C40=Charge!$N$17,Charge!$J$17,Charge!$J$7))))</f>
        <v>G3</v>
      </c>
      <c r="C40" s="57" t="str">
        <f>VLOOKUP(A40,'1.Loading'!A:R,14,FALSE)</f>
        <v>BKK01</v>
      </c>
      <c r="D40" s="57" t="str">
        <f>VLOOKUP(A40,'1.Loading'!A:R,17,FALSE)</f>
        <v>HASLS22260900328</v>
      </c>
      <c r="E40" s="58" t="str">
        <f>VLOOKUP(D40,'2.Bookinglist'!A:CT,27,FALSE)</f>
        <v>VARA FOOD &amp; DRINK CO., LTD.</v>
      </c>
      <c r="F40" s="58" t="str">
        <f>VLOOKUP(D40,'2.Bookinglist'!A:CT,28,FALSE)</f>
        <v>VARA FOOD &amp; DRINK CO., LTD.</v>
      </c>
      <c r="G40" s="59">
        <f>VLOOKUP(D40,'2.Bookinglist'!A:E,5,FALSE)</f>
        <v>0</v>
      </c>
      <c r="H40" s="57" t="str">
        <f>VLOOKUP(D40,'2.Bookinglist'!A:CT,15,FALSE)</f>
        <v>THBKK</v>
      </c>
      <c r="I40" s="57" t="str">
        <f>VLOOKUP(D40,'2.Bookinglist'!A:CT,19,FALSE)</f>
        <v>HKHKG</v>
      </c>
      <c r="J40" s="57">
        <f>VLOOKUP(D40,'2.Bookinglist'!A:CT,26,FALSE)</f>
        <v>0</v>
      </c>
      <c r="K40" s="57" t="str">
        <f>VLOOKUP(A40,'1.Loading'!A:R,5,FALSE)</f>
        <v>22GP</v>
      </c>
      <c r="L40" s="59" t="str">
        <f>VLOOKUP(D40,'2.Bookinglist'!A:CT,85,FALSE)</f>
        <v>CY/CY</v>
      </c>
      <c r="M40" s="59" t="str">
        <f>IF(VLOOKUP(D40,'2.Bookinglist'!A:CT,43,FALSE)=0,"","DG")</f>
        <v/>
      </c>
      <c r="N40" s="59" t="str">
        <f>IF(RIGHT(K40,2)="RE","RF","")</f>
        <v/>
      </c>
      <c r="O40" s="57" t="str">
        <f>VLOOKUP(A40,'1.Loading'!A:R,3,FALSE)</f>
        <v>SKOR</v>
      </c>
      <c r="P40" s="57" t="str">
        <f>VLOOKUP(A40,'1.Loading'!A:R,4,FALSE)</f>
        <v>2612N</v>
      </c>
      <c r="Q40" s="57" t="str">
        <f>VLOOKUP(D40,'2.Bookinglist'!A:CT,12,FALSE)</f>
        <v>VTS</v>
      </c>
      <c r="R40" s="59" t="str">
        <f>IF(LEFT(K40,2)="22","20'","40'")</f>
        <v>20'</v>
      </c>
      <c r="S40" s="41"/>
      <c r="T40" s="57" t="str">
        <f>VLOOKUP(A40,'1.Loading'!A:R,2,FALSE)</f>
        <v>2026-10-24</v>
      </c>
      <c r="U40" s="60">
        <f>T40-S40</f>
        <v>46319</v>
      </c>
      <c r="V40" s="61"/>
      <c r="W40" s="57" t="str">
        <f>VLOOKUP(A40,'3.GateMove'!A:D,4,FALSE)</f>
        <v>2026-10-11</v>
      </c>
      <c r="X40" s="60">
        <f>((T40-W40)+1)</f>
        <v>14</v>
      </c>
      <c r="Y40" s="62">
        <f>IF(AND(OR(C40="BKK01",C40="BKK04"),L40="CFS/CY"),0,IF(M40="DG",1,IF(LEFT(C40,3)="LCH",7,IF(C40="BKK02",5,3))))</f>
        <v>3</v>
      </c>
      <c r="Z40" s="60">
        <f>IF(IF(AND(AC40="TML",AB40&gt;0),((T40-W40)+1)-AB40,((T40-W40)+1)-Y40)&gt;0,IF(AND(AC40="TML",AB40&gt;0),((T40-W40)+1)-AB40,((T40-W40)+1)-Y40),0)</f>
        <v>11</v>
      </c>
      <c r="AA40" s="51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2220</v>
      </c>
      <c r="AB40" s="56"/>
      <c r="AC40" s="56"/>
      <c r="AD40" s="59">
        <f>IF(M40="DG",3,IF(N40="RF",3,5))+IF(AND(LEFT(C40,3)="BKK",N40="RF",Q40="KTS"),1,0)+IF(Q40="KHS",1,0)</f>
        <v>5</v>
      </c>
      <c r="AE40" s="60">
        <f>(T40-V40)+1</f>
        <v>46320</v>
      </c>
      <c r="AF40" s="60">
        <f>IF(AB40&gt;IF((V40-W40)&gt;0,V40-W40,0),0,IF(AB40&lt;IF((V40-W40)&gt;0,V40-W40,0),IF((V40-W40)&gt;0,V40-W40,0)-AB40,IF((V40-W40)&gt;0,V40-W40,0)))</f>
        <v>0</v>
      </c>
      <c r="AG40" s="51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3"/>
      <c r="AI40" s="63">
        <f>AA40-AH40</f>
        <v>2220</v>
      </c>
      <c r="AJ40" s="64"/>
      <c r="AK40" s="58" t="str">
        <f>VLOOKUP(D40,'2.Bookinglist'!A:CT,40,FALSE)</f>
        <v>Nustsireerach</v>
      </c>
      <c r="AL40" s="59" t="str">
        <f>VLOOKUP(D40,'2.Bookinglist'!A:CW,101,FALSE)</f>
        <v>2026-10-21</v>
      </c>
      <c r="AM40" s="59" t="str">
        <f>VLOOKUP(D40,'2.Bookinglist'!A:BK,63,FALSE)</f>
        <v>BKK25</v>
      </c>
      <c r="AN40" s="58" t="str">
        <f>VLOOKUP(D40,'2.Bookinglist'!A:AZ,52,FALSE)</f>
        <v>Pickup : 2026-10-08, Return : 2026-10-10</v>
      </c>
      <c r="AO40" s="58" t="str">
        <f>VLOOKUP(D40,'2.Bookinglist'!A:CY,103,FALSE)</f>
        <v>ROLL OVER FROM PREVIOUS VSL KMTP 2612N BY ALLOATION TEAM MS.TARN APPROVED COST IS UNDER HA DD.12/10</v>
      </c>
    </row>
    <row r="41" ht="12.95" customHeight="1" spans="1:41" x14ac:dyDescent="0.25">
      <c r="A41" s="3" t="s">
        <v>185</v>
      </c>
      <c r="B41" s="56" t="str">
        <f>IF(C41=Charge!$M$1,Charge!$J$1,IF(C41=Charge!$M$23,Charge!$J$23,IF(C41=Charge!$M$17,Charge!$J$17,IF(C41=Charge!$N$17,Charge!$J$17,Charge!$J$7))))</f>
        <v>G3</v>
      </c>
      <c r="C41" s="57" t="str">
        <f>VLOOKUP(A41,'1.Loading'!A:R,14,FALSE)</f>
        <v>BKK01</v>
      </c>
      <c r="D41" s="57" t="str">
        <f>VLOOKUP(A41,'1.Loading'!A:R,17,FALSE)</f>
        <v>HASLS22261000301</v>
      </c>
      <c r="E41" s="58" t="str">
        <f>VLOOKUP(D41,'2.Bookinglist'!A:CT,27,FALSE)</f>
        <v>ACCORD PILOT LOGISTICS (THAILAND) CO., LTD.</v>
      </c>
      <c r="F41" s="58" t="str">
        <f>VLOOKUP(D41,'2.Bookinglist'!A:CT,28,FALSE)</f>
        <v>COCONUT SIAM EXPORT CO., LTD.</v>
      </c>
      <c r="G41" s="59">
        <f>VLOOKUP(D41,'2.Bookinglist'!A:E,5,FALSE)</f>
        <v>0</v>
      </c>
      <c r="H41" s="57" t="str">
        <f>VLOOKUP(D41,'2.Bookinglist'!A:CT,15,FALSE)</f>
        <v>THBKK</v>
      </c>
      <c r="I41" s="57" t="str">
        <f>VLOOKUP(D41,'2.Bookinglist'!A:CT,19,FALSE)</f>
        <v>HKHKG</v>
      </c>
      <c r="J41" s="57">
        <f>VLOOKUP(D41,'2.Bookinglist'!A:CT,26,FALSE)</f>
        <v>0</v>
      </c>
      <c r="K41" s="57" t="str">
        <f>VLOOKUP(A41,'1.Loading'!A:R,5,FALSE)</f>
        <v>22GP</v>
      </c>
      <c r="L41" s="59" t="str">
        <f>VLOOKUP(D41,'2.Bookinglist'!A:CT,85,FALSE)</f>
        <v>CY/CY</v>
      </c>
      <c r="M41" s="59" t="str">
        <f>IF(VLOOKUP(D41,'2.Bookinglist'!A:CT,43,FALSE)=0,"","DG")</f>
        <v/>
      </c>
      <c r="N41" s="59" t="str">
        <f>IF(RIGHT(K41,2)="RE","RF","")</f>
        <v/>
      </c>
      <c r="O41" s="57" t="str">
        <f>VLOOKUP(A41,'1.Loading'!A:R,3,FALSE)</f>
        <v>SKOR</v>
      </c>
      <c r="P41" s="57" t="str">
        <f>VLOOKUP(A41,'1.Loading'!A:R,4,FALSE)</f>
        <v>2612N</v>
      </c>
      <c r="Q41" s="57" t="str">
        <f>VLOOKUP(D41,'2.Bookinglist'!A:CT,12,FALSE)</f>
        <v>VTS</v>
      </c>
      <c r="R41" s="59" t="str">
        <f>IF(LEFT(K41,2)="22","20'","40'")</f>
        <v>20'</v>
      </c>
      <c r="S41" s="41"/>
      <c r="T41" s="57" t="str">
        <f>VLOOKUP(A41,'1.Loading'!A:R,2,FALSE)</f>
        <v>2026-10-24</v>
      </c>
      <c r="U41" s="60">
        <f>T41-S41</f>
        <v>46319</v>
      </c>
      <c r="V41" s="61"/>
      <c r="W41" s="57" t="str">
        <f>VLOOKUP(A41,'3.GateMove'!A:D,4,FALSE)</f>
        <v>2026-10-16</v>
      </c>
      <c r="X41" s="60">
        <f>((T41-W41)+1)</f>
        <v>9</v>
      </c>
      <c r="Y41" s="62">
        <f>IF(AND(OR(C41="BKK01",C41="BKK04"),L41="CFS/CY"),0,IF(M41="DG",1,IF(LEFT(C41,3)="LCH",7,IF(C41="BKK02",5,3))))</f>
        <v>3</v>
      </c>
      <c r="Z41" s="60">
        <f>IF(IF(AND(AC41="TML",AB41&gt;0),((T41-W41)+1)-AB41,((T41-W41)+1)-Y41)&gt;0,IF(AND(AC41="TML",AB41&gt;0),((T41-W41)+1)-AB41,((T41-W41)+1)-Y41),0)</f>
        <v>6</v>
      </c>
      <c r="AA41" s="51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960</v>
      </c>
      <c r="AB41" s="56"/>
      <c r="AC41" s="56"/>
      <c r="AD41" s="59">
        <f>IF(M41="DG",3,IF(N41="RF",3,5))+IF(AND(LEFT(C41,3)="BKK",N41="RF",Q41="KTS"),1,0)+IF(Q41="KHS",1,0)</f>
        <v>5</v>
      </c>
      <c r="AE41" s="60">
        <f>(T41-V41)+1</f>
        <v>46320</v>
      </c>
      <c r="AF41" s="60">
        <f>IF(AB41&gt;IF((V41-W41)&gt;0,V41-W41,0),0,IF(AB41&lt;IF((V41-W41)&gt;0,V41-W41,0),IF((V41-W41)&gt;0,V41-W41,0)-AB41,IF((V41-W41)&gt;0,V41-W41,0)))</f>
        <v>0</v>
      </c>
      <c r="AG41" s="51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3"/>
      <c r="AI41" s="63">
        <f>AA41-AH41</f>
        <v>960</v>
      </c>
      <c r="AJ41" s="64"/>
      <c r="AK41" s="58" t="str">
        <f>VLOOKUP(D41,'2.Bookinglist'!A:CT,40,FALSE)</f>
        <v>Kanokporn</v>
      </c>
      <c r="AL41" s="59" t="str">
        <f>VLOOKUP(D41,'2.Bookinglist'!A:CW,101,FALSE)</f>
        <v>2026-10-20</v>
      </c>
      <c r="AM41" s="59" t="str">
        <f>VLOOKUP(D41,'2.Bookinglist'!A:BK,63,FALSE)</f>
        <v>BKK27</v>
      </c>
      <c r="AN41" s="58" t="str">
        <f>VLOOKUP(D41,'2.Bookinglist'!A:AZ,52,FALSE)</f>
        <v>Pickup : 2026-10-15, Return : 2026-10-16</v>
      </c>
      <c r="AO41" s="58">
        <f>VLOOKUP(D41,'2.Bookinglist'!A:CY,103,FALSE)</f>
        <v>0</v>
      </c>
    </row>
    <row r="42" ht="12.95" customHeight="1" spans="1:41" x14ac:dyDescent="0.25">
      <c r="A42" s="3" t="s">
        <v>190</v>
      </c>
      <c r="B42" s="56" t="str">
        <f>IF(C42=Charge!$M$1,Charge!$J$1,IF(C42=Charge!$M$23,Charge!$J$23,IF(C42=Charge!$M$17,Charge!$J$17,IF(C42=Charge!$N$17,Charge!$J$17,Charge!$J$7))))</f>
        <v>G3</v>
      </c>
      <c r="C42" s="57" t="str">
        <f>VLOOKUP(A42,'1.Loading'!A:R,14,FALSE)</f>
        <v>BKK01</v>
      </c>
      <c r="D42" s="57" t="str">
        <f>VLOOKUP(A42,'1.Loading'!A:R,17,FALSE)</f>
        <v>HASLS22260901049</v>
      </c>
      <c r="E42" s="58" t="str">
        <f>VLOOKUP(D42,'2.Bookinglist'!A:CT,27,FALSE)</f>
        <v>DSV AIR &amp; SEA LTD.</v>
      </c>
      <c r="F42" s="58" t="str">
        <f>VLOOKUP(D42,'2.Bookinglist'!A:CT,28,FALSE)</f>
        <v>CHEVRON (THAILAND) LIMITED</v>
      </c>
      <c r="G42" s="59">
        <f>VLOOKUP(D42,'2.Bookinglist'!A:E,5,FALSE)</f>
        <v>0</v>
      </c>
      <c r="H42" s="57" t="str">
        <f>VLOOKUP(D42,'2.Bookinglist'!A:CT,15,FALSE)</f>
        <v>THBKK</v>
      </c>
      <c r="I42" s="57" t="str">
        <f>VLOOKUP(D42,'2.Bookinglist'!A:CT,19,FALSE)</f>
        <v>HKHKG</v>
      </c>
      <c r="J42" s="57">
        <f>VLOOKUP(D42,'2.Bookinglist'!A:CT,26,FALSE)</f>
        <v>0</v>
      </c>
      <c r="K42" s="57" t="str">
        <f>VLOOKUP(A42,'1.Loading'!A:R,5,FALSE)</f>
        <v>22GP</v>
      </c>
      <c r="L42" s="59" t="str">
        <f>VLOOKUP(D42,'2.Bookinglist'!A:CT,85,FALSE)</f>
        <v>CY/CY</v>
      </c>
      <c r="M42" s="59" t="str">
        <f>IF(VLOOKUP(D42,'2.Bookinglist'!A:CT,43,FALSE)=0,"","DG")</f>
        <v/>
      </c>
      <c r="N42" s="59" t="str">
        <f>IF(RIGHT(K42,2)="RE","RF","")</f>
        <v/>
      </c>
      <c r="O42" s="57" t="str">
        <f>VLOOKUP(A42,'1.Loading'!A:R,3,FALSE)</f>
        <v>SKOR</v>
      </c>
      <c r="P42" s="57" t="str">
        <f>VLOOKUP(A42,'1.Loading'!A:R,4,FALSE)</f>
        <v>2612N</v>
      </c>
      <c r="Q42" s="57" t="str">
        <f>VLOOKUP(D42,'2.Bookinglist'!A:CT,12,FALSE)</f>
        <v>VTS</v>
      </c>
      <c r="R42" s="59" t="str">
        <f>IF(LEFT(K42,2)="22","20'","40'")</f>
        <v>20'</v>
      </c>
      <c r="S42" s="41"/>
      <c r="T42" s="57" t="str">
        <f>VLOOKUP(A42,'1.Loading'!A:R,2,FALSE)</f>
        <v>2026-10-24</v>
      </c>
      <c r="U42" s="60">
        <f>T42-S42</f>
        <v>46319</v>
      </c>
      <c r="V42" s="61"/>
      <c r="W42" s="57" t="str">
        <f>VLOOKUP(A42,'3.GateMove'!A:D,4,FALSE)</f>
        <v>2026-10-16</v>
      </c>
      <c r="X42" s="60">
        <f>((T42-W42)+1)</f>
        <v>9</v>
      </c>
      <c r="Y42" s="62">
        <f>IF(AND(OR(C42="BKK01",C42="BKK04"),L42="CFS/CY"),0,IF(M42="DG",1,IF(LEFT(C42,3)="LCH",7,IF(C42="BKK02",5,3))))</f>
        <v>3</v>
      </c>
      <c r="Z42" s="60">
        <f>IF(IF(AND(AC42="TML",AB42&gt;0),((T42-W42)+1)-AB42,((T42-W42)+1)-Y42)&gt;0,IF(AND(AC42="TML",AB42&gt;0),((T42-W42)+1)-AB42,((T42-W42)+1)-Y42),0)</f>
        <v>6</v>
      </c>
      <c r="AA42" s="51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960</v>
      </c>
      <c r="AB42" s="56"/>
      <c r="AC42" s="56"/>
      <c r="AD42" s="59">
        <f>IF(M42="DG",3,IF(N42="RF",3,5))+IF(AND(LEFT(C42,3)="BKK",N42="RF",Q42="KTS"),1,0)+IF(Q42="KHS",1,0)</f>
        <v>5</v>
      </c>
      <c r="AE42" s="60">
        <f>(T42-V42)+1</f>
        <v>46320</v>
      </c>
      <c r="AF42" s="60">
        <f>IF(AB42&gt;IF((V42-W42)&gt;0,V42-W42,0),0,IF(AB42&lt;IF((V42-W42)&gt;0,V42-W42,0),IF((V42-W42)&gt;0,V42-W42,0)-AB42,IF((V42-W42)&gt;0,V42-W42,0)))</f>
        <v>0</v>
      </c>
      <c r="AG42" s="51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3"/>
      <c r="AI42" s="63">
        <f>AA42-AH42</f>
        <v>960</v>
      </c>
      <c r="AJ42" s="64"/>
      <c r="AK42" s="58" t="str">
        <f>VLOOKUP(D42,'2.Bookinglist'!A:CT,40,FALSE)</f>
        <v>Nannaapust Sukporntaweewat</v>
      </c>
      <c r="AL42" s="59" t="str">
        <f>VLOOKUP(D42,'2.Bookinglist'!A:CW,101,FALSE)</f>
        <v>2026-10-20</v>
      </c>
      <c r="AM42" s="59" t="str">
        <f>VLOOKUP(D42,'2.Bookinglist'!A:BK,63,FALSE)</f>
        <v>BKK25</v>
      </c>
      <c r="AN42" s="58" t="str">
        <f>VLOOKUP(D42,'2.Bookinglist'!A:AZ,52,FALSE)</f>
        <v>Pickup : 2026-10-14, Return : 2026-10-16</v>
      </c>
      <c r="AO42" s="58">
        <f>VLOOKUP(D42,'2.Bookinglist'!A:CY,103,FALSE)</f>
        <v>0</v>
      </c>
    </row>
    <row r="43" ht="12.95" customHeight="1" spans="1:41" x14ac:dyDescent="0.25">
      <c r="A43" s="3" t="s">
        <v>191</v>
      </c>
      <c r="B43" s="56" t="str">
        <f>IF(C43=Charge!$M$1,Charge!$J$1,IF(C43=Charge!$M$23,Charge!$J$23,IF(C43=Charge!$M$17,Charge!$J$17,IF(C43=Charge!$N$17,Charge!$J$17,Charge!$J$7))))</f>
        <v>G3</v>
      </c>
      <c r="C43" s="57" t="str">
        <f>VLOOKUP(A43,'1.Loading'!A:R,14,FALSE)</f>
        <v>BKK01</v>
      </c>
      <c r="D43" s="57" t="str">
        <f>VLOOKUP(A43,'1.Loading'!A:R,17,FALSE)</f>
        <v>HASLS22261000655</v>
      </c>
      <c r="E43" s="58" t="str">
        <f>VLOOKUP(D43,'2.Bookinglist'!A:CT,27,FALSE)</f>
        <v>TRUE MARINE CO., LTD.</v>
      </c>
      <c r="F43" s="58" t="str">
        <f>VLOOKUP(D43,'2.Bookinglist'!A:CT,28,FALSE)</f>
        <v>P.S.P. SPECIALTIES PUBLIC COMPANY LIMITED</v>
      </c>
      <c r="G43" s="59">
        <f>VLOOKUP(D43,'2.Bookinglist'!A:E,5,FALSE)</f>
        <v>0</v>
      </c>
      <c r="H43" s="57" t="str">
        <f>VLOOKUP(D43,'2.Bookinglist'!A:CT,15,FALSE)</f>
        <v>THBKK</v>
      </c>
      <c r="I43" s="57" t="str">
        <f>VLOOKUP(D43,'2.Bookinglist'!A:CT,19,FALSE)</f>
        <v>HKHKG</v>
      </c>
      <c r="J43" s="57">
        <f>VLOOKUP(D43,'2.Bookinglist'!A:CT,26,FALSE)</f>
        <v>0</v>
      </c>
      <c r="K43" s="57" t="str">
        <f>VLOOKUP(A43,'1.Loading'!A:R,5,FALSE)</f>
        <v>22GP</v>
      </c>
      <c r="L43" s="59" t="str">
        <f>VLOOKUP(D43,'2.Bookinglist'!A:CT,85,FALSE)</f>
        <v>CY/CY</v>
      </c>
      <c r="M43" s="59" t="str">
        <f>IF(VLOOKUP(D43,'2.Bookinglist'!A:CT,43,FALSE)=0,"","DG")</f>
        <v/>
      </c>
      <c r="N43" s="59" t="str">
        <f>IF(RIGHT(K43,2)="RE","RF","")</f>
        <v/>
      </c>
      <c r="O43" s="57" t="str">
        <f>VLOOKUP(A43,'1.Loading'!A:R,3,FALSE)</f>
        <v>SKOR</v>
      </c>
      <c r="P43" s="57" t="str">
        <f>VLOOKUP(A43,'1.Loading'!A:R,4,FALSE)</f>
        <v>2612N</v>
      </c>
      <c r="Q43" s="57" t="str">
        <f>VLOOKUP(D43,'2.Bookinglist'!A:CT,12,FALSE)</f>
        <v>VTS</v>
      </c>
      <c r="R43" s="59" t="str">
        <f>IF(LEFT(K43,2)="22","20'","40'")</f>
        <v>20'</v>
      </c>
      <c r="S43" s="41"/>
      <c r="T43" s="57" t="str">
        <f>VLOOKUP(A43,'1.Loading'!A:R,2,FALSE)</f>
        <v>2026-10-24</v>
      </c>
      <c r="U43" s="60">
        <f>T43-S43</f>
        <v>46319</v>
      </c>
      <c r="V43" s="61"/>
      <c r="W43" s="57" t="str">
        <f>VLOOKUP(A43,'3.GateMove'!A:D,4,FALSE)</f>
        <v>2026-10-16</v>
      </c>
      <c r="X43" s="60">
        <f>((T43-W43)+1)</f>
        <v>9</v>
      </c>
      <c r="Y43" s="62">
        <f>IF(AND(OR(C43="BKK01",C43="BKK04"),L43="CFS/CY"),0,IF(M43="DG",1,IF(LEFT(C43,3)="LCH",7,IF(C43="BKK02",5,3))))</f>
        <v>3</v>
      </c>
      <c r="Z43" s="60">
        <f>IF(IF(AND(AC43="TML",AB43&gt;0),((T43-W43)+1)-AB43,((T43-W43)+1)-Y43)&gt;0,IF(AND(AC43="TML",AB43&gt;0),((T43-W43)+1)-AB43,((T43-W43)+1)-Y43),0)</f>
        <v>6</v>
      </c>
      <c r="AA43" s="51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960</v>
      </c>
      <c r="AB43" s="56"/>
      <c r="AC43" s="56"/>
      <c r="AD43" s="59">
        <f>IF(M43="DG",3,IF(N43="RF",3,5))+IF(AND(LEFT(C43,3)="BKK",N43="RF",Q43="KTS"),1,0)+IF(Q43="KHS",1,0)</f>
        <v>5</v>
      </c>
      <c r="AE43" s="60">
        <f>(T43-V43)+1</f>
        <v>46320</v>
      </c>
      <c r="AF43" s="60">
        <f>IF(AB43&gt;IF((V43-W43)&gt;0,V43-W43,0),0,IF(AB43&lt;IF((V43-W43)&gt;0,V43-W43,0),IF((V43-W43)&gt;0,V43-W43,0)-AB43,IF((V43-W43)&gt;0,V43-W43,0)))</f>
        <v>0</v>
      </c>
      <c r="AG43" s="51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3"/>
      <c r="AI43" s="63">
        <f>AA43-AH43</f>
        <v>960</v>
      </c>
      <c r="AJ43" s="64"/>
      <c r="AK43" s="58" t="str">
        <f>VLOOKUP(D43,'2.Bookinglist'!A:CT,40,FALSE)</f>
        <v>Nannaapust Sukporntaweewat</v>
      </c>
      <c r="AL43" s="59" t="str">
        <f>VLOOKUP(D43,'2.Bookinglist'!A:CW,101,FALSE)</f>
        <v>2026-10-20</v>
      </c>
      <c r="AM43" s="59" t="str">
        <f>VLOOKUP(D43,'2.Bookinglist'!A:BK,63,FALSE)</f>
        <v>BKK27</v>
      </c>
      <c r="AN43" s="58" t="str">
        <f>VLOOKUP(D43,'2.Bookinglist'!A:AZ,52,FALSE)</f>
        <v>Pickup : 2026-10-15, Return : 2026-10-16</v>
      </c>
      <c r="AO43" s="58">
        <f>VLOOKUP(D43,'2.Bookinglist'!A:CY,103,FALSE)</f>
        <v>0</v>
      </c>
    </row>
    <row r="44" ht="12.95" customHeight="1" spans="1:41" x14ac:dyDescent="0.25">
      <c r="A44" s="3" t="s">
        <v>195</v>
      </c>
      <c r="B44" s="56" t="str">
        <f>IF(C44=Charge!$M$1,Charge!$J$1,IF(C44=Charge!$M$23,Charge!$J$23,IF(C44=Charge!$M$17,Charge!$J$17,IF(C44=Charge!$N$17,Charge!$J$17,Charge!$J$7))))</f>
        <v>G3</v>
      </c>
      <c r="C44" s="57" t="str">
        <f>VLOOKUP(A44,'1.Loading'!A:R,14,FALSE)</f>
        <v>BKK01</v>
      </c>
      <c r="D44" s="57" t="str">
        <f>VLOOKUP(A44,'1.Loading'!A:R,17,FALSE)</f>
        <v>HASLS22260901048</v>
      </c>
      <c r="E44" s="58" t="str">
        <f>VLOOKUP(D44,'2.Bookinglist'!A:CT,27,FALSE)</f>
        <v>DSV AIR &amp; SEA LTD.</v>
      </c>
      <c r="F44" s="58" t="str">
        <f>VLOOKUP(D44,'2.Bookinglist'!A:CT,28,FALSE)</f>
        <v>CHEVRON (THAILAND) LIMITED</v>
      </c>
      <c r="G44" s="59">
        <f>VLOOKUP(D44,'2.Bookinglist'!A:E,5,FALSE)</f>
        <v>0</v>
      </c>
      <c r="H44" s="57" t="str">
        <f>VLOOKUP(D44,'2.Bookinglist'!A:CT,15,FALSE)</f>
        <v>THBKK</v>
      </c>
      <c r="I44" s="57" t="str">
        <f>VLOOKUP(D44,'2.Bookinglist'!A:CT,19,FALSE)</f>
        <v>HKHKG</v>
      </c>
      <c r="J44" s="57">
        <f>VLOOKUP(D44,'2.Bookinglist'!A:CT,26,FALSE)</f>
        <v>0</v>
      </c>
      <c r="K44" s="57" t="str">
        <f>VLOOKUP(A44,'1.Loading'!A:R,5,FALSE)</f>
        <v>22GP</v>
      </c>
      <c r="L44" s="59" t="str">
        <f>VLOOKUP(D44,'2.Bookinglist'!A:CT,85,FALSE)</f>
        <v>CY/CY</v>
      </c>
      <c r="M44" s="59" t="str">
        <f>IF(VLOOKUP(D44,'2.Bookinglist'!A:CT,43,FALSE)=0,"","DG")</f>
        <v/>
      </c>
      <c r="N44" s="59" t="str">
        <f>IF(RIGHT(K44,2)="RE","RF","")</f>
        <v/>
      </c>
      <c r="O44" s="57" t="str">
        <f>VLOOKUP(A44,'1.Loading'!A:R,3,FALSE)</f>
        <v>SKOR</v>
      </c>
      <c r="P44" s="57" t="str">
        <f>VLOOKUP(A44,'1.Loading'!A:R,4,FALSE)</f>
        <v>2612N</v>
      </c>
      <c r="Q44" s="57" t="str">
        <f>VLOOKUP(D44,'2.Bookinglist'!A:CT,12,FALSE)</f>
        <v>VTS</v>
      </c>
      <c r="R44" s="59" t="str">
        <f>IF(LEFT(K44,2)="22","20'","40'")</f>
        <v>20'</v>
      </c>
      <c r="S44" s="41"/>
      <c r="T44" s="57" t="str">
        <f>VLOOKUP(A44,'1.Loading'!A:R,2,FALSE)</f>
        <v>2026-10-24</v>
      </c>
      <c r="U44" s="60">
        <f>T44-S44</f>
        <v>46319</v>
      </c>
      <c r="V44" s="61"/>
      <c r="W44" s="57" t="str">
        <f>VLOOKUP(A44,'3.GateMove'!A:D,4,FALSE)</f>
        <v>2026-10-16</v>
      </c>
      <c r="X44" s="60">
        <f>((T44-W44)+1)</f>
        <v>9</v>
      </c>
      <c r="Y44" s="62">
        <f>IF(AND(OR(C44="BKK01",C44="BKK04"),L44="CFS/CY"),0,IF(M44="DG",1,IF(LEFT(C44,3)="LCH",7,IF(C44="BKK02",5,3))))</f>
        <v>3</v>
      </c>
      <c r="Z44" s="60">
        <f>IF(IF(AND(AC44="TML",AB44&gt;0),((T44-W44)+1)-AB44,((T44-W44)+1)-Y44)&gt;0,IF(AND(AC44="TML",AB44&gt;0),((T44-W44)+1)-AB44,((T44-W44)+1)-Y44),0)</f>
        <v>6</v>
      </c>
      <c r="AA44" s="51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960</v>
      </c>
      <c r="AB44" s="56"/>
      <c r="AC44" s="56"/>
      <c r="AD44" s="59">
        <f>IF(M44="DG",3,IF(N44="RF",3,5))+IF(AND(LEFT(C44,3)="BKK",N44="RF",Q44="KTS"),1,0)+IF(Q44="KHS",1,0)</f>
        <v>5</v>
      </c>
      <c r="AE44" s="60">
        <f>(T44-V44)+1</f>
        <v>46320</v>
      </c>
      <c r="AF44" s="60">
        <f>IF(AB44&gt;IF((V44-W44)&gt;0,V44-W44,0),0,IF(AB44&lt;IF((V44-W44)&gt;0,V44-W44,0),IF((V44-W44)&gt;0,V44-W44,0)-AB44,IF((V44-W44)&gt;0,V44-W44,0)))</f>
        <v>0</v>
      </c>
      <c r="AG44" s="51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3"/>
      <c r="AI44" s="63">
        <f>AA44-AH44</f>
        <v>960</v>
      </c>
      <c r="AJ44" s="64"/>
      <c r="AK44" s="58" t="str">
        <f>VLOOKUP(D44,'2.Bookinglist'!A:CT,40,FALSE)</f>
        <v>Nannaapust Sukporntaweewat</v>
      </c>
      <c r="AL44" s="59" t="str">
        <f>VLOOKUP(D44,'2.Bookinglist'!A:CW,101,FALSE)</f>
        <v>2026-10-16</v>
      </c>
      <c r="AM44" s="59" t="str">
        <f>VLOOKUP(D44,'2.Bookinglist'!A:BK,63,FALSE)</f>
        <v>BKK25</v>
      </c>
      <c r="AN44" s="58" t="str">
        <f>VLOOKUP(D44,'2.Bookinglist'!A:AZ,52,FALSE)</f>
        <v>Pickup : 2026-10-10, Return : 2026-10-12</v>
      </c>
      <c r="AO44" s="58">
        <f>VLOOKUP(D44,'2.Bookinglist'!A:CY,103,FALSE)</f>
        <v>0</v>
      </c>
    </row>
    <row r="45" ht="12.95" customHeight="1" spans="1:41" x14ac:dyDescent="0.25">
      <c r="A45" s="3" t="s">
        <v>197</v>
      </c>
      <c r="B45" s="56" t="str">
        <f>IF(C45=Charge!$M$1,Charge!$J$1,IF(C45=Charge!$M$23,Charge!$J$23,IF(C45=Charge!$M$17,Charge!$J$17,IF(C45=Charge!$N$17,Charge!$J$17,Charge!$J$7))))</f>
        <v>G3</v>
      </c>
      <c r="C45" s="57" t="str">
        <f>VLOOKUP(A45,'1.Loading'!A:R,14,FALSE)</f>
        <v>BKK01</v>
      </c>
      <c r="D45" s="57" t="str">
        <f>VLOOKUP(A45,'1.Loading'!A:R,17,FALSE)</f>
        <v>HASLS22260900431</v>
      </c>
      <c r="E45" s="58" t="str">
        <f>VLOOKUP(D45,'2.Bookinglist'!A:CT,27,FALSE)</f>
        <v>FREIGHT LINKS EXPRESS (THAILAND) CO., LTD.</v>
      </c>
      <c r="F45" s="58" t="str">
        <f>VLOOKUP(D45,'2.Bookinglist'!A:CT,28,FALSE)</f>
        <v>PRO AUTOMOTIVE CORPORATION CO., LTD.</v>
      </c>
      <c r="G45" s="59">
        <f>VLOOKUP(D45,'2.Bookinglist'!A:E,5,FALSE)</f>
        <v>0</v>
      </c>
      <c r="H45" s="57" t="str">
        <f>VLOOKUP(D45,'2.Bookinglist'!A:CT,15,FALSE)</f>
        <v>THBKK</v>
      </c>
      <c r="I45" s="57" t="str">
        <f>VLOOKUP(D45,'2.Bookinglist'!A:CT,19,FALSE)</f>
        <v>RUVVO</v>
      </c>
      <c r="J45" s="57" t="str">
        <f>VLOOKUP(D45,'2.Bookinglist'!A:CT,26,FALSE)</f>
        <v>KRPUS</v>
      </c>
      <c r="K45" s="57" t="str">
        <f>VLOOKUP(A45,'1.Loading'!A:R,5,FALSE)</f>
        <v>22GP</v>
      </c>
      <c r="L45" s="59" t="str">
        <f>VLOOKUP(D45,'2.Bookinglist'!A:CT,85,FALSE)</f>
        <v>CY/CY</v>
      </c>
      <c r="M45" s="59" t="str">
        <f>IF(VLOOKUP(D45,'2.Bookinglist'!A:CT,43,FALSE)=0,"","DG")</f>
        <v/>
      </c>
      <c r="N45" s="59" t="str">
        <f>IF(RIGHT(K45,2)="RE","RF","")</f>
        <v/>
      </c>
      <c r="O45" s="57" t="str">
        <f>VLOOKUP(A45,'1.Loading'!A:R,3,FALSE)</f>
        <v>SKOR</v>
      </c>
      <c r="P45" s="57" t="str">
        <f>VLOOKUP(A45,'1.Loading'!A:R,4,FALSE)</f>
        <v>2612N</v>
      </c>
      <c r="Q45" s="57" t="str">
        <f>VLOOKUP(D45,'2.Bookinglist'!A:CT,12,FALSE)</f>
        <v>VTS</v>
      </c>
      <c r="R45" s="59" t="str">
        <f>IF(LEFT(K45,2)="22","20'","40'")</f>
        <v>20'</v>
      </c>
      <c r="S45" s="41"/>
      <c r="T45" s="57" t="str">
        <f>VLOOKUP(A45,'1.Loading'!A:R,2,FALSE)</f>
        <v>2026-10-24</v>
      </c>
      <c r="U45" s="60">
        <f>T45-S45</f>
        <v>46319</v>
      </c>
      <c r="V45" s="61"/>
      <c r="W45" s="57" t="str">
        <f>VLOOKUP(A45,'3.GateMove'!A:D,4,FALSE)</f>
        <v>2026-10-15</v>
      </c>
      <c r="X45" s="60">
        <f>((T45-W45)+1)</f>
        <v>10</v>
      </c>
      <c r="Y45" s="62">
        <f>IF(AND(OR(C45="BKK01",C45="BKK04"),L45="CFS/CY"),0,IF(M45="DG",1,IF(LEFT(C45,3)="LCH",7,IF(C45="BKK02",5,3))))</f>
        <v>3</v>
      </c>
      <c r="Z45" s="60">
        <f>IF(IF(AND(AC45="TML",AB45&gt;0),((T45-W45)+1)-AB45,((T45-W45)+1)-Y45)&gt;0,IF(AND(AC45="TML",AB45&gt;0),((T45-W45)+1)-AB45,((T45-W45)+1)-Y45),0)</f>
        <v>7</v>
      </c>
      <c r="AA45" s="51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1120</v>
      </c>
      <c r="AB45" s="56"/>
      <c r="AC45" s="56"/>
      <c r="AD45" s="59">
        <f>IF(M45="DG",3,IF(N45="RF",3,5))+IF(AND(LEFT(C45,3)="BKK",N45="RF",Q45="KTS"),1,0)+IF(Q45="KHS",1,0)</f>
        <v>5</v>
      </c>
      <c r="AE45" s="60">
        <f>(T45-V45)+1</f>
        <v>46320</v>
      </c>
      <c r="AF45" s="60">
        <f>IF(AB45&gt;IF((V45-W45)&gt;0,V45-W45,0),0,IF(AB45&lt;IF((V45-W45)&gt;0,V45-W45,0),IF((V45-W45)&gt;0,V45-W45,0)-AB45,IF((V45-W45)&gt;0,V45-W45,0)))</f>
        <v>0</v>
      </c>
      <c r="AG45" s="51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3"/>
      <c r="AI45" s="63">
        <f>AA45-AH45</f>
        <v>1120</v>
      </c>
      <c r="AJ45" s="64"/>
      <c r="AK45" s="58" t="str">
        <f>VLOOKUP(D45,'2.Bookinglist'!A:CT,40,FALSE)</f>
        <v>Nustsireerach</v>
      </c>
      <c r="AL45" s="59" t="str">
        <f>VLOOKUP(D45,'2.Bookinglist'!A:CW,101,FALSE)</f>
        <v>2026-10-21</v>
      </c>
      <c r="AM45" s="59" t="str">
        <f>VLOOKUP(D45,'2.Bookinglist'!A:BK,63,FALSE)</f>
        <v>BKK27</v>
      </c>
      <c r="AN45" s="58" t="str">
        <f>VLOOKUP(D45,'2.Bookinglist'!A:AZ,52,FALSE)</f>
        <v>[FIX]SKOR/2612N/10/31[FIX] Pickup : 2026-10-14, Return : 2026-10-15 (1ST RETURN 15/10 W/O RENT) // FM SWAL 2609N BY HAl DD.14/10</v>
      </c>
      <c r="AO45" s="58">
        <f>VLOOKUP(D45,'2.Bookinglist'!A:CY,103,FALSE)</f>
        <v>0</v>
      </c>
    </row>
    <row r="46" ht="12.95" customHeight="1" spans="1:41" x14ac:dyDescent="0.25">
      <c r="A46" s="3" t="s">
        <v>204</v>
      </c>
      <c r="B46" s="56" t="str">
        <f>IF(C46=Charge!$M$1,Charge!$J$1,IF(C46=Charge!$M$23,Charge!$J$23,IF(C46=Charge!$M$17,Charge!$J$17,IF(C46=Charge!$N$17,Charge!$J$17,Charge!$J$7))))</f>
        <v>G3</v>
      </c>
      <c r="C46" s="57" t="str">
        <f>VLOOKUP(A46,'1.Loading'!A:R,14,FALSE)</f>
        <v>BKK01</v>
      </c>
      <c r="D46" s="57" t="str">
        <f>VLOOKUP(A46,'1.Loading'!A:R,17,FALSE)</f>
        <v>HASLS22261000229</v>
      </c>
      <c r="E46" s="58" t="str">
        <f>VLOOKUP(D46,'2.Bookinglist'!A:CT,27,FALSE)</f>
        <v>SMS CORPORATION CO., LTD.</v>
      </c>
      <c r="F46" s="58" t="str">
        <f>VLOOKUP(D46,'2.Bookinglist'!A:CT,28,FALSE)</f>
        <v>SMS CORPORATION CO., LTD.</v>
      </c>
      <c r="G46" s="59">
        <f>VLOOKUP(D46,'2.Bookinglist'!A:E,5,FALSE)</f>
        <v>0</v>
      </c>
      <c r="H46" s="57" t="str">
        <f>VLOOKUP(D46,'2.Bookinglist'!A:CT,15,FALSE)</f>
        <v>THBKK</v>
      </c>
      <c r="I46" s="57" t="str">
        <f>VLOOKUP(D46,'2.Bookinglist'!A:CT,19,FALSE)</f>
        <v>KRPUS</v>
      </c>
      <c r="J46" s="57">
        <f>VLOOKUP(D46,'2.Bookinglist'!A:CT,26,FALSE)</f>
        <v>0</v>
      </c>
      <c r="K46" s="57" t="str">
        <f>VLOOKUP(A46,'1.Loading'!A:R,5,FALSE)</f>
        <v>22GP</v>
      </c>
      <c r="L46" s="59" t="str">
        <f>VLOOKUP(D46,'2.Bookinglist'!A:CT,85,FALSE)</f>
        <v>CY/CY</v>
      </c>
      <c r="M46" s="59" t="str">
        <f>IF(VLOOKUP(D46,'2.Bookinglist'!A:CT,43,FALSE)=0,"","DG")</f>
        <v/>
      </c>
      <c r="N46" s="59" t="str">
        <f>IF(RIGHT(K46,2)="RE","RF","")</f>
        <v/>
      </c>
      <c r="O46" s="57" t="str">
        <f>VLOOKUP(A46,'1.Loading'!A:R,3,FALSE)</f>
        <v>SKOR</v>
      </c>
      <c r="P46" s="57" t="str">
        <f>VLOOKUP(A46,'1.Loading'!A:R,4,FALSE)</f>
        <v>2612N</v>
      </c>
      <c r="Q46" s="57" t="str">
        <f>VLOOKUP(D46,'2.Bookinglist'!A:CT,12,FALSE)</f>
        <v>VTS</v>
      </c>
      <c r="R46" s="59" t="str">
        <f>IF(LEFT(K46,2)="22","20'","40'")</f>
        <v>20'</v>
      </c>
      <c r="S46" s="41"/>
      <c r="T46" s="57" t="str">
        <f>VLOOKUP(A46,'1.Loading'!A:R,2,FALSE)</f>
        <v>2026-10-24</v>
      </c>
      <c r="U46" s="60">
        <f>T46-S46</f>
        <v>46319</v>
      </c>
      <c r="V46" s="61"/>
      <c r="W46" s="57" t="str">
        <f>VLOOKUP(A46,'3.GateMove'!A:D,4,FALSE)</f>
        <v>2026-10-19</v>
      </c>
      <c r="X46" s="60">
        <f>((T46-W46)+1)</f>
        <v>6</v>
      </c>
      <c r="Y46" s="62">
        <f>IF(AND(OR(C46="BKK01",C46="BKK04"),L46="CFS/CY"),0,IF(M46="DG",1,IF(LEFT(C46,3)="LCH",7,IF(C46="BKK02",5,3))))</f>
        <v>3</v>
      </c>
      <c r="Z46" s="60">
        <f>IF(IF(AND(AC46="TML",AB46&gt;0),((T46-W46)+1)-AB46,((T46-W46)+1)-Y46)&gt;0,IF(AND(AC46="TML",AB46&gt;0),((T46-W46)+1)-AB46,((T46-W46)+1)-Y46),0)</f>
        <v>3</v>
      </c>
      <c r="AA46" s="51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480</v>
      </c>
      <c r="AB46" s="56"/>
      <c r="AC46" s="56"/>
      <c r="AD46" s="59">
        <f>IF(M46="DG",3,IF(N46="RF",3,5))+IF(AND(LEFT(C46,3)="BKK",N46="RF",Q46="KTS"),1,0)+IF(Q46="KHS",1,0)</f>
        <v>5</v>
      </c>
      <c r="AE46" s="60">
        <f>(T46-V46)+1</f>
        <v>46320</v>
      </c>
      <c r="AF46" s="60">
        <f>IF(AB46&gt;IF((V46-W46)&gt;0,V46-W46,0),0,IF(AB46&lt;IF((V46-W46)&gt;0,V46-W46,0),IF((V46-W46)&gt;0,V46-W46,0)-AB46,IF((V46-W46)&gt;0,V46-W46,0)))</f>
        <v>0</v>
      </c>
      <c r="AG46" s="51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3"/>
      <c r="AI46" s="63">
        <f>AA46-AH46</f>
        <v>480</v>
      </c>
      <c r="AJ46" s="64"/>
      <c r="AK46" s="58" t="str">
        <f>VLOOKUP(D46,'2.Bookinglist'!A:CT,40,FALSE)</f>
        <v>Kim jaewon</v>
      </c>
      <c r="AL46" s="59" t="str">
        <f>VLOOKUP(D46,'2.Bookinglist'!A:CW,101,FALSE)</f>
        <v>2026-10-20</v>
      </c>
      <c r="AM46" s="59" t="str">
        <f>VLOOKUP(D46,'2.Bookinglist'!A:BK,63,FALSE)</f>
        <v>BKK27</v>
      </c>
      <c r="AN46" s="58" t="str">
        <f>VLOOKUP(D46,'2.Bookinglist'!A:AZ,52,FALSE)</f>
        <v>Pickup : 2026-10-16, Return : 2026-10-19
CLS TIME DD.20/10/2026 @ 06.00Hrs.</v>
      </c>
      <c r="AO46" s="58">
        <f>VLOOKUP(D46,'2.Bookinglist'!A:CY,103,FALSE)</f>
        <v>0</v>
      </c>
    </row>
    <row r="47" ht="12.95" customHeight="1" spans="1:41" x14ac:dyDescent="0.25">
      <c r="A47" s="3" t="s">
        <v>208</v>
      </c>
      <c r="B47" s="56" t="str">
        <f>IF(C47=Charge!$M$1,Charge!$J$1,IF(C47=Charge!$M$23,Charge!$J$23,IF(C47=Charge!$M$17,Charge!$J$17,IF(C47=Charge!$N$17,Charge!$J$17,Charge!$J$7))))</f>
        <v>G3</v>
      </c>
      <c r="C47" s="57" t="str">
        <f>VLOOKUP(A47,'1.Loading'!A:R,14,FALSE)</f>
        <v>BKK01</v>
      </c>
      <c r="D47" s="57" t="str">
        <f>VLOOKUP(A47,'1.Loading'!A:R,17,FALSE)</f>
        <v>HASLS22260902016</v>
      </c>
      <c r="E47" s="58" t="str">
        <f>VLOOKUP(D47,'2.Bookinglist'!A:CT,27,FALSE)</f>
        <v>YUSEN LOGISTICS (THAILAND) CO., LTD.</v>
      </c>
      <c r="F47" s="58" t="str">
        <f>VLOOKUP(D47,'2.Bookinglist'!A:CT,28,FALSE)</f>
        <v>COSMOS BREWERY (THAILAND) CO.,LTD.</v>
      </c>
      <c r="G47" s="59">
        <f>VLOOKUP(D47,'2.Bookinglist'!A:E,5,FALSE)</f>
        <v>0</v>
      </c>
      <c r="H47" s="57" t="str">
        <f>VLOOKUP(D47,'2.Bookinglist'!A:CT,15,FALSE)</f>
        <v>THBKK</v>
      </c>
      <c r="I47" s="57" t="str">
        <f>VLOOKUP(D47,'2.Bookinglist'!A:CT,19,FALSE)</f>
        <v>HKHKG</v>
      </c>
      <c r="J47" s="57">
        <f>VLOOKUP(D47,'2.Bookinglist'!A:CT,26,FALSE)</f>
        <v>0</v>
      </c>
      <c r="K47" s="57" t="str">
        <f>VLOOKUP(A47,'1.Loading'!A:R,5,FALSE)</f>
        <v>22GP</v>
      </c>
      <c r="L47" s="59" t="str">
        <f>VLOOKUP(D47,'2.Bookinglist'!A:CT,85,FALSE)</f>
        <v>CY/CY</v>
      </c>
      <c r="M47" s="59" t="str">
        <f>IF(VLOOKUP(D47,'2.Bookinglist'!A:CT,43,FALSE)=0,"","DG")</f>
        <v/>
      </c>
      <c r="N47" s="59" t="str">
        <f>IF(RIGHT(K47,2)="RE","RF","")</f>
        <v/>
      </c>
      <c r="O47" s="57" t="str">
        <f>VLOOKUP(A47,'1.Loading'!A:R,3,FALSE)</f>
        <v>SKOR</v>
      </c>
      <c r="P47" s="57" t="str">
        <f>VLOOKUP(A47,'1.Loading'!A:R,4,FALSE)</f>
        <v>2612N</v>
      </c>
      <c r="Q47" s="57" t="str">
        <f>VLOOKUP(D47,'2.Bookinglist'!A:CT,12,FALSE)</f>
        <v>VTS</v>
      </c>
      <c r="R47" s="59" t="str">
        <f>IF(LEFT(K47,2)="22","20'","40'")</f>
        <v>20'</v>
      </c>
      <c r="S47" s="41"/>
      <c r="T47" s="57" t="str">
        <f>VLOOKUP(A47,'1.Loading'!A:R,2,FALSE)</f>
        <v>2026-10-24</v>
      </c>
      <c r="U47" s="60">
        <f>T47-S47</f>
        <v>46319</v>
      </c>
      <c r="V47" s="61"/>
      <c r="W47" s="57" t="str">
        <f>VLOOKUP(A47,'3.GateMove'!A:D,4,FALSE)</f>
        <v>2026-10-14</v>
      </c>
      <c r="X47" s="60">
        <f>((T47-W47)+1)</f>
        <v>11</v>
      </c>
      <c r="Y47" s="62">
        <f>IF(AND(OR(C47="BKK01",C47="BKK04"),L47="CFS/CY"),0,IF(M47="DG",1,IF(LEFT(C47,3)="LCH",7,IF(C47="BKK02",5,3))))</f>
        <v>3</v>
      </c>
      <c r="Z47" s="60">
        <f>IF(IF(AND(AC47="TML",AB47&gt;0),((T47-W47)+1)-AB47,((T47-W47)+1)-Y47)&gt;0,IF(AND(AC47="TML",AB47&gt;0),((T47-W47)+1)-AB47,((T47-W47)+1)-Y47),0)</f>
        <v>8</v>
      </c>
      <c r="AA47" s="51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1395</v>
      </c>
      <c r="AB47" s="56"/>
      <c r="AC47" s="56"/>
      <c r="AD47" s="59">
        <f>IF(M47="DG",3,IF(N47="RF",3,5))+IF(AND(LEFT(C47,3)="BKK",N47="RF",Q47="KTS"),1,0)+IF(Q47="KHS",1,0)</f>
        <v>5</v>
      </c>
      <c r="AE47" s="60">
        <f>(T47-V47)+1</f>
        <v>46320</v>
      </c>
      <c r="AF47" s="60">
        <f>IF(AB47&gt;IF((V47-W47)&gt;0,V47-W47,0),0,IF(AB47&lt;IF((V47-W47)&gt;0,V47-W47,0),IF((V47-W47)&gt;0,V47-W47,0)-AB47,IF((V47-W47)&gt;0,V47-W47,0)))</f>
        <v>0</v>
      </c>
      <c r="AG47" s="51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3"/>
      <c r="AI47" s="63">
        <f>AA47-AH47</f>
        <v>1395</v>
      </c>
      <c r="AJ47" s="64"/>
      <c r="AK47" s="58" t="str">
        <f>VLOOKUP(D47,'2.Bookinglist'!A:CT,40,FALSE)</f>
        <v>Vilaiporn</v>
      </c>
      <c r="AL47" s="59" t="str">
        <f>VLOOKUP(D47,'2.Bookinglist'!A:CW,101,FALSE)</f>
        <v>2026-10-23</v>
      </c>
      <c r="AM47" s="59" t="str">
        <f>VLOOKUP(D47,'2.Bookinglist'!A:BK,63,FALSE)</f>
        <v>BKK27</v>
      </c>
      <c r="AN47" s="58" t="str">
        <f>VLOOKUP(D47,'2.Bookinglist'!A:AZ,52,FALSE)</f>
        <v>Pickup : 2026-10-12, Return : 2026-10-14</v>
      </c>
      <c r="AO47" s="58" t="str">
        <f>VLOOKUP(D47,'2.Bookinglist'!A:CY,103,FALSE)</f>
        <v>ROLL OVER FROM PREVIOUS VSL KJT 2611N BY ALLOCATION TEAM MS.TARN APPROVED COST IS UNDER HA DD.16/10</v>
      </c>
    </row>
    <row r="48" ht="12.95" customHeight="1" spans="1:41" x14ac:dyDescent="0.25">
      <c r="A48" s="3" t="s">
        <v>210</v>
      </c>
      <c r="B48" s="56" t="str">
        <f>IF(C48=Charge!$M$1,Charge!$J$1,IF(C48=Charge!$M$23,Charge!$J$23,IF(C48=Charge!$M$17,Charge!$J$17,IF(C48=Charge!$N$17,Charge!$J$17,Charge!$J$7))))</f>
        <v>G3</v>
      </c>
      <c r="C48" s="57" t="str">
        <f>VLOOKUP(A48,'1.Loading'!A:R,14,FALSE)</f>
        <v>BKK01</v>
      </c>
      <c r="D48" s="57" t="str">
        <f>VLOOKUP(A48,'1.Loading'!A:R,17,FALSE)</f>
        <v>HASLS22260900656</v>
      </c>
      <c r="E48" s="58" t="str">
        <f>VLOOKUP(D48,'2.Bookinglist'!A:CT,27,FALSE)</f>
        <v>NIPPON EXPRESS LOGISTICS (THAILAND) CO., LTD.</v>
      </c>
      <c r="F48" s="58" t="str">
        <f>VLOOKUP(D48,'2.Bookinglist'!A:CT,28,FALSE)</f>
        <v>TOYO SEIKAN (THAILAND) CO., LTD.</v>
      </c>
      <c r="G48" s="59">
        <f>VLOOKUP(D48,'2.Bookinglist'!A:E,5,FALSE)</f>
        <v>0</v>
      </c>
      <c r="H48" s="57" t="str">
        <f>VLOOKUP(D48,'2.Bookinglist'!A:CT,15,FALSE)</f>
        <v>THBKK</v>
      </c>
      <c r="I48" s="57" t="str">
        <f>VLOOKUP(D48,'2.Bookinglist'!A:CT,19,FALSE)</f>
        <v>HKHKG</v>
      </c>
      <c r="J48" s="57">
        <f>VLOOKUP(D48,'2.Bookinglist'!A:CT,26,FALSE)</f>
        <v>0</v>
      </c>
      <c r="K48" s="57" t="str">
        <f>VLOOKUP(A48,'1.Loading'!A:R,5,FALSE)</f>
        <v>22GP</v>
      </c>
      <c r="L48" s="59" t="str">
        <f>VLOOKUP(D48,'2.Bookinglist'!A:CT,85,FALSE)</f>
        <v>CY/CY</v>
      </c>
      <c r="M48" s="59" t="str">
        <f>IF(VLOOKUP(D48,'2.Bookinglist'!A:CT,43,FALSE)=0,"","DG")</f>
        <v/>
      </c>
      <c r="N48" s="59" t="str">
        <f>IF(RIGHT(K48,2)="RE","RF","")</f>
        <v/>
      </c>
      <c r="O48" s="57" t="str">
        <f>VLOOKUP(A48,'1.Loading'!A:R,3,FALSE)</f>
        <v>SKOR</v>
      </c>
      <c r="P48" s="57" t="str">
        <f>VLOOKUP(A48,'1.Loading'!A:R,4,FALSE)</f>
        <v>2612N</v>
      </c>
      <c r="Q48" s="57" t="str">
        <f>VLOOKUP(D48,'2.Bookinglist'!A:CT,12,FALSE)</f>
        <v>VTS</v>
      </c>
      <c r="R48" s="59" t="str">
        <f>IF(LEFT(K48,2)="22","20'","40'")</f>
        <v>20'</v>
      </c>
      <c r="S48" s="41"/>
      <c r="T48" s="57" t="str">
        <f>VLOOKUP(A48,'1.Loading'!A:R,2,FALSE)</f>
        <v>2026-10-24</v>
      </c>
      <c r="U48" s="60">
        <f>T48-S48</f>
        <v>46319</v>
      </c>
      <c r="V48" s="61"/>
      <c r="W48" s="57" t="str">
        <f>VLOOKUP(A48,'3.GateMove'!A:D,4,FALSE)</f>
        <v>2026-10-14</v>
      </c>
      <c r="X48" s="60">
        <f>((T48-W48)+1)</f>
        <v>11</v>
      </c>
      <c r="Y48" s="62">
        <f>IF(AND(OR(C48="BKK01",C48="BKK04"),L48="CFS/CY"),0,IF(M48="DG",1,IF(LEFT(C48,3)="LCH",7,IF(C48="BKK02",5,3))))</f>
        <v>3</v>
      </c>
      <c r="Z48" s="60">
        <f>IF(IF(AND(AC48="TML",AB48&gt;0),((T48-W48)+1)-AB48,((T48-W48)+1)-Y48)&gt;0,IF(AND(AC48="TML",AB48&gt;0),((T48-W48)+1)-AB48,((T48-W48)+1)-Y48),0)</f>
        <v>8</v>
      </c>
      <c r="AA48" s="51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1395</v>
      </c>
      <c r="AB48" s="56"/>
      <c r="AC48" s="56"/>
      <c r="AD48" s="59">
        <f>IF(M48="DG",3,IF(N48="RF",3,5))+IF(AND(LEFT(C48,3)="BKK",N48="RF",Q48="KTS"),1,0)+IF(Q48="KHS",1,0)</f>
        <v>5</v>
      </c>
      <c r="AE48" s="60">
        <f>(T48-V48)+1</f>
        <v>46320</v>
      </c>
      <c r="AF48" s="60">
        <f>IF(AB48&gt;IF((V48-W48)&gt;0,V48-W48,0),0,IF(AB48&lt;IF((V48-W48)&gt;0,V48-W48,0),IF((V48-W48)&gt;0,V48-W48,0)-AB48,IF((V48-W48)&gt;0,V48-W48,0)))</f>
        <v>0</v>
      </c>
      <c r="AG48" s="51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3"/>
      <c r="AI48" s="63">
        <f>AA48-AH48</f>
        <v>1395</v>
      </c>
      <c r="AJ48" s="64"/>
      <c r="AK48" s="58" t="str">
        <f>VLOOKUP(D48,'2.Bookinglist'!A:CT,40,FALSE)</f>
        <v>Vilaiporn</v>
      </c>
      <c r="AL48" s="59" t="str">
        <f>VLOOKUP(D48,'2.Bookinglist'!A:CW,101,FALSE)</f>
        <v>2026-10-15</v>
      </c>
      <c r="AM48" s="59" t="str">
        <f>VLOOKUP(D48,'2.Bookinglist'!A:BK,63,FALSE)</f>
        <v>BKK25</v>
      </c>
      <c r="AN48" s="58" t="str">
        <f>VLOOKUP(D48,'2.Bookinglist'!A:AZ,52,FALSE)</f>
        <v>Pickup : 2026-10-12, Return : 2026-10-13</v>
      </c>
      <c r="AO48" s="58">
        <f>VLOOKUP(D48,'2.Bookinglist'!A:CY,103,FALSE)</f>
        <v>0</v>
      </c>
    </row>
    <row r="49" ht="12.95" customHeight="1" spans="1:41" x14ac:dyDescent="0.25">
      <c r="A49" s="3" t="s">
        <v>213</v>
      </c>
      <c r="B49" s="56" t="str">
        <f>IF(C49=Charge!$M$1,Charge!$J$1,IF(C49=Charge!$M$23,Charge!$J$23,IF(C49=Charge!$M$17,Charge!$J$17,IF(C49=Charge!$N$17,Charge!$J$17,Charge!$J$7))))</f>
        <v>G3</v>
      </c>
      <c r="C49" s="57" t="str">
        <f>VLOOKUP(A49,'1.Loading'!A:R,14,FALSE)</f>
        <v>BKK01</v>
      </c>
      <c r="D49" s="57" t="str">
        <f>VLOOKUP(A49,'1.Loading'!A:R,17,FALSE)</f>
        <v>HASLS22260901621</v>
      </c>
      <c r="E49" s="58" t="str">
        <f>VLOOKUP(D49,'2.Bookinglist'!A:CT,27,FALSE)</f>
        <v>SONIC INTERFREIGHT PUBLIC COMPANY LIMITED</v>
      </c>
      <c r="F49" s="58" t="str">
        <f>VLOOKUP(D49,'2.Bookinglist'!A:CT,28,FALSE)</f>
        <v>THAI OTSUKA PHARMACEUTICAL CO., LTD.</v>
      </c>
      <c r="G49" s="59">
        <f>VLOOKUP(D49,'2.Bookinglist'!A:E,5,FALSE)</f>
        <v>0</v>
      </c>
      <c r="H49" s="57" t="str">
        <f>VLOOKUP(D49,'2.Bookinglist'!A:CT,15,FALSE)</f>
        <v>THBKK</v>
      </c>
      <c r="I49" s="57" t="str">
        <f>VLOOKUP(D49,'2.Bookinglist'!A:CT,19,FALSE)</f>
        <v>HKHKG</v>
      </c>
      <c r="J49" s="57">
        <f>VLOOKUP(D49,'2.Bookinglist'!A:CT,26,FALSE)</f>
        <v>0</v>
      </c>
      <c r="K49" s="57" t="str">
        <f>VLOOKUP(A49,'1.Loading'!A:R,5,FALSE)</f>
        <v>22GP</v>
      </c>
      <c r="L49" s="59" t="str">
        <f>VLOOKUP(D49,'2.Bookinglist'!A:CT,85,FALSE)</f>
        <v>CY/CY</v>
      </c>
      <c r="M49" s="59" t="str">
        <f>IF(VLOOKUP(D49,'2.Bookinglist'!A:CT,43,FALSE)=0,"","DG")</f>
        <v/>
      </c>
      <c r="N49" s="59" t="str">
        <f>IF(RIGHT(K49,2)="RE","RF","")</f>
        <v/>
      </c>
      <c r="O49" s="57" t="str">
        <f>VLOOKUP(A49,'1.Loading'!A:R,3,FALSE)</f>
        <v>SKOR</v>
      </c>
      <c r="P49" s="57" t="str">
        <f>VLOOKUP(A49,'1.Loading'!A:R,4,FALSE)</f>
        <v>2612N</v>
      </c>
      <c r="Q49" s="57" t="str">
        <f>VLOOKUP(D49,'2.Bookinglist'!A:CT,12,FALSE)</f>
        <v>VTS</v>
      </c>
      <c r="R49" s="59" t="str">
        <f>IF(LEFT(K49,2)="22","20'","40'")</f>
        <v>20'</v>
      </c>
      <c r="S49" s="41"/>
      <c r="T49" s="57" t="str">
        <f>VLOOKUP(A49,'1.Loading'!A:R,2,FALSE)</f>
        <v>2026-10-24</v>
      </c>
      <c r="U49" s="60">
        <f>T49-S49</f>
        <v>46319</v>
      </c>
      <c r="V49" s="61"/>
      <c r="W49" s="57" t="str">
        <f>VLOOKUP(A49,'3.GateMove'!A:D,4,FALSE)</f>
        <v>2026-10-15</v>
      </c>
      <c r="X49" s="60">
        <f>((T49-W49)+1)</f>
        <v>10</v>
      </c>
      <c r="Y49" s="62">
        <f>IF(AND(OR(C49="BKK01",C49="BKK04"),L49="CFS/CY"),0,IF(M49="DG",1,IF(LEFT(C49,3)="LCH",7,IF(C49="BKK02",5,3))))</f>
        <v>3</v>
      </c>
      <c r="Z49" s="60">
        <f>IF(IF(AND(AC49="TML",AB49&gt;0),((T49-W49)+1)-AB49,((T49-W49)+1)-Y49)&gt;0,IF(AND(AC49="TML",AB49&gt;0),((T49-W49)+1)-AB49,((T49-W49)+1)-Y49),0)</f>
        <v>7</v>
      </c>
      <c r="AA49" s="51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1120</v>
      </c>
      <c r="AB49" s="56"/>
      <c r="AC49" s="56"/>
      <c r="AD49" s="59">
        <f>IF(M49="DG",3,IF(N49="RF",3,5))+IF(AND(LEFT(C49,3)="BKK",N49="RF",Q49="KTS"),1,0)+IF(Q49="KHS",1,0)</f>
        <v>5</v>
      </c>
      <c r="AE49" s="60">
        <f>(T49-V49)+1</f>
        <v>46320</v>
      </c>
      <c r="AF49" s="60">
        <f>IF(AB49&gt;IF((V49-W49)&gt;0,V49-W49,0),0,IF(AB49&lt;IF((V49-W49)&gt;0,V49-W49,0),IF((V49-W49)&gt;0,V49-W49,0)-AB49,IF((V49-W49)&gt;0,V49-W49,0)))</f>
        <v>0</v>
      </c>
      <c r="AG49" s="51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3"/>
      <c r="AI49" s="63">
        <f>AA49-AH49</f>
        <v>1120</v>
      </c>
      <c r="AJ49" s="64"/>
      <c r="AK49" s="58" t="str">
        <f>VLOOKUP(D49,'2.Bookinglist'!A:CT,40,FALSE)</f>
        <v>Dharaporn</v>
      </c>
      <c r="AL49" s="59" t="str">
        <f>VLOOKUP(D49,'2.Bookinglist'!A:CW,101,FALSE)</f>
        <v>2026-10-16</v>
      </c>
      <c r="AM49" s="59" t="str">
        <f>VLOOKUP(D49,'2.Bookinglist'!A:BK,63,FALSE)</f>
        <v>BKK27</v>
      </c>
      <c r="AN49" s="58" t="str">
        <f>VLOOKUP(D49,'2.Bookinglist'!A:AZ,52,FALSE)</f>
        <v>Pickup : 2026-10-12, Return : 2026-10-15 RTN CNTR  DD.15/10 NO COST RENT</v>
      </c>
      <c r="AO49" s="58">
        <f>VLOOKUP(D49,'2.Bookinglist'!A:CY,103,FALSE)</f>
        <v>0</v>
      </c>
    </row>
    <row r="50" ht="12.95" customHeight="1" spans="1:41" x14ac:dyDescent="0.25">
      <c r="A50" s="3" t="s">
        <v>214</v>
      </c>
      <c r="B50" s="56" t="str">
        <f>IF(C50=Charge!$M$1,Charge!$J$1,IF(C50=Charge!$M$23,Charge!$J$23,IF(C50=Charge!$M$17,Charge!$J$17,IF(C50=Charge!$N$17,Charge!$J$17,Charge!$J$7))))</f>
        <v>G3</v>
      </c>
      <c r="C50" s="57" t="str">
        <f>VLOOKUP(A50,'1.Loading'!A:R,14,FALSE)</f>
        <v>BKK01</v>
      </c>
      <c r="D50" s="57" t="str">
        <f>VLOOKUP(A50,'1.Loading'!A:R,17,FALSE)</f>
        <v>HASLS22261000425</v>
      </c>
      <c r="E50" s="58" t="str">
        <f>VLOOKUP(D50,'2.Bookinglist'!A:CT,27,FALSE)</f>
        <v>YUSEN LOGISTICS (THAILAND) CO., LTD.</v>
      </c>
      <c r="F50" s="58" t="str">
        <f>VLOOKUP(D50,'2.Bookinglist'!A:CT,28,FALSE)</f>
        <v>NIPPN FOODS CORPORATION (THAILAND) LTD. </v>
      </c>
      <c r="G50" s="59">
        <f>VLOOKUP(D50,'2.Bookinglist'!A:E,5,FALSE)</f>
        <v>0</v>
      </c>
      <c r="H50" s="57" t="str">
        <f>VLOOKUP(D50,'2.Bookinglist'!A:CT,15,FALSE)</f>
        <v>THBKK</v>
      </c>
      <c r="I50" s="57" t="str">
        <f>VLOOKUP(D50,'2.Bookinglist'!A:CT,19,FALSE)</f>
        <v>HKHKG</v>
      </c>
      <c r="J50" s="57">
        <f>VLOOKUP(D50,'2.Bookinglist'!A:CT,26,FALSE)</f>
        <v>0</v>
      </c>
      <c r="K50" s="57" t="str">
        <f>VLOOKUP(A50,'1.Loading'!A:R,5,FALSE)</f>
        <v>22GP</v>
      </c>
      <c r="L50" s="59" t="str">
        <f>VLOOKUP(D50,'2.Bookinglist'!A:CT,85,FALSE)</f>
        <v>CY/CY</v>
      </c>
      <c r="M50" s="59" t="str">
        <f>IF(VLOOKUP(D50,'2.Bookinglist'!A:CT,43,FALSE)=0,"","DG")</f>
        <v/>
      </c>
      <c r="N50" s="59" t="str">
        <f>IF(RIGHT(K50,2)="RE","RF","")</f>
        <v/>
      </c>
      <c r="O50" s="57" t="str">
        <f>VLOOKUP(A50,'1.Loading'!A:R,3,FALSE)</f>
        <v>SKOR</v>
      </c>
      <c r="P50" s="57" t="str">
        <f>VLOOKUP(A50,'1.Loading'!A:R,4,FALSE)</f>
        <v>2612N</v>
      </c>
      <c r="Q50" s="57" t="str">
        <f>VLOOKUP(D50,'2.Bookinglist'!A:CT,12,FALSE)</f>
        <v>VTS</v>
      </c>
      <c r="R50" s="59" t="str">
        <f>IF(LEFT(K50,2)="22","20'","40'")</f>
        <v>20'</v>
      </c>
      <c r="S50" s="41"/>
      <c r="T50" s="57" t="str">
        <f>VLOOKUP(A50,'1.Loading'!A:R,2,FALSE)</f>
        <v>2026-10-24</v>
      </c>
      <c r="U50" s="60">
        <f>T50-S50</f>
        <v>46319</v>
      </c>
      <c r="V50" s="61"/>
      <c r="W50" s="57" t="str">
        <f>VLOOKUP(A50,'3.GateMove'!A:D,4,FALSE)</f>
        <v>2026-10-16</v>
      </c>
      <c r="X50" s="60">
        <f>((T50-W50)+1)</f>
        <v>9</v>
      </c>
      <c r="Y50" s="62">
        <f>IF(AND(OR(C50="BKK01",C50="BKK04"),L50="CFS/CY"),0,IF(M50="DG",1,IF(LEFT(C50,3)="LCH",7,IF(C50="BKK02",5,3))))</f>
        <v>3</v>
      </c>
      <c r="Z50" s="60">
        <f>IF(IF(AND(AC50="TML",AB50&gt;0),((T50-W50)+1)-AB50,((T50-W50)+1)-Y50)&gt;0,IF(AND(AC50="TML",AB50&gt;0),((T50-W50)+1)-AB50,((T50-W50)+1)-Y50),0)</f>
        <v>6</v>
      </c>
      <c r="AA50" s="51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960</v>
      </c>
      <c r="AB50" s="56"/>
      <c r="AC50" s="56"/>
      <c r="AD50" s="59">
        <f>IF(M50="DG",3,IF(N50="RF",3,5))+IF(AND(LEFT(C50,3)="BKK",N50="RF",Q50="KTS"),1,0)+IF(Q50="KHS",1,0)</f>
        <v>5</v>
      </c>
      <c r="AE50" s="60">
        <f>(T50-V50)+1</f>
        <v>46320</v>
      </c>
      <c r="AF50" s="60">
        <f>IF(AB50&gt;IF((V50-W50)&gt;0,V50-W50,0),0,IF(AB50&lt;IF((V50-W50)&gt;0,V50-W50,0),IF((V50-W50)&gt;0,V50-W50,0)-AB50,IF((V50-W50)&gt;0,V50-W50,0)))</f>
        <v>0</v>
      </c>
      <c r="AG50" s="51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3"/>
      <c r="AI50" s="63">
        <f>AA50-AH50</f>
        <v>960</v>
      </c>
      <c r="AJ50" s="64"/>
      <c r="AK50" s="58" t="str">
        <f>VLOOKUP(D50,'2.Bookinglist'!A:CT,40,FALSE)</f>
        <v>Vilaiporn</v>
      </c>
      <c r="AL50" s="59" t="str">
        <f>VLOOKUP(D50,'2.Bookinglist'!A:CW,101,FALSE)</f>
        <v>2026-10-20</v>
      </c>
      <c r="AM50" s="59" t="str">
        <f>VLOOKUP(D50,'2.Bookinglist'!A:BK,63,FALSE)</f>
        <v>BKK27</v>
      </c>
      <c r="AN50" s="58" t="str">
        <f>VLOOKUP(D50,'2.Bookinglist'!A:AZ,52,FALSE)</f>
        <v>Pickup : 2026-10-15, Return : 2026-10-16 </v>
      </c>
      <c r="AO50" s="58">
        <f>VLOOKUP(D50,'2.Bookinglist'!A:CY,103,FALSE)</f>
        <v>0</v>
      </c>
    </row>
    <row r="51" ht="12.95" customHeight="1" spans="1:41" x14ac:dyDescent="0.25">
      <c r="A51" s="3" t="s">
        <v>216</v>
      </c>
      <c r="B51" s="56" t="str">
        <f>IF(C51=Charge!$M$1,Charge!$J$1,IF(C51=Charge!$M$23,Charge!$J$23,IF(C51=Charge!$M$17,Charge!$J$17,IF(C51=Charge!$N$17,Charge!$J$17,Charge!$J$7))))</f>
        <v>G3</v>
      </c>
      <c r="C51" s="57" t="str">
        <f>VLOOKUP(A51,'1.Loading'!A:R,14,FALSE)</f>
        <v>BKK01</v>
      </c>
      <c r="D51" s="57" t="str">
        <f>VLOOKUP(A51,'1.Loading'!A:R,17,FALSE)</f>
        <v>HASLS22260901473</v>
      </c>
      <c r="E51" s="58" t="str">
        <f>VLOOKUP(D51,'2.Bookinglist'!A:CT,27,FALSE)</f>
        <v>DIMERCO EXPRESS (THAILAND) CO., LTD.</v>
      </c>
      <c r="F51" s="58" t="str">
        <f>VLOOKUP(D51,'2.Bookinglist'!A:CT,28,FALSE)</f>
        <v>ASIA MODIFIED STARCH CO.,LTD.</v>
      </c>
      <c r="G51" s="59">
        <f>VLOOKUP(D51,'2.Bookinglist'!A:E,5,FALSE)</f>
        <v>0</v>
      </c>
      <c r="H51" s="57" t="str">
        <f>VLOOKUP(D51,'2.Bookinglist'!A:CT,15,FALSE)</f>
        <v>THBKK</v>
      </c>
      <c r="I51" s="57" t="str">
        <f>VLOOKUP(D51,'2.Bookinglist'!A:CT,19,FALSE)</f>
        <v>CNXMN</v>
      </c>
      <c r="J51" s="57">
        <f>VLOOKUP(D51,'2.Bookinglist'!A:CT,26,FALSE)</f>
        <v>0</v>
      </c>
      <c r="K51" s="57" t="str">
        <f>VLOOKUP(A51,'1.Loading'!A:R,5,FALSE)</f>
        <v>22GP</v>
      </c>
      <c r="L51" s="59" t="str">
        <f>VLOOKUP(D51,'2.Bookinglist'!A:CT,85,FALSE)</f>
        <v>CY/CY</v>
      </c>
      <c r="M51" s="59" t="str">
        <f>IF(VLOOKUP(D51,'2.Bookinglist'!A:CT,43,FALSE)=0,"","DG")</f>
        <v/>
      </c>
      <c r="N51" s="59" t="str">
        <f>IF(RIGHT(K51,2)="RE","RF","")</f>
        <v/>
      </c>
      <c r="O51" s="57" t="str">
        <f>VLOOKUP(A51,'1.Loading'!A:R,3,FALSE)</f>
        <v>SKOR</v>
      </c>
      <c r="P51" s="57" t="str">
        <f>VLOOKUP(A51,'1.Loading'!A:R,4,FALSE)</f>
        <v>2612N</v>
      </c>
      <c r="Q51" s="57" t="str">
        <f>VLOOKUP(D51,'2.Bookinglist'!A:CT,12,FALSE)</f>
        <v>VTS</v>
      </c>
      <c r="R51" s="59" t="str">
        <f>IF(LEFT(K51,2)="22","20'","40'")</f>
        <v>20'</v>
      </c>
      <c r="S51" s="41"/>
      <c r="T51" s="57" t="str">
        <f>VLOOKUP(A51,'1.Loading'!A:R,2,FALSE)</f>
        <v>2026-10-24</v>
      </c>
      <c r="U51" s="60">
        <f>T51-S51</f>
        <v>46319</v>
      </c>
      <c r="V51" s="61"/>
      <c r="W51" s="57" t="str">
        <f>VLOOKUP(A51,'3.GateMove'!A:D,4,FALSE)</f>
        <v>2026-10-16</v>
      </c>
      <c r="X51" s="60">
        <f>((T51-W51)+1)</f>
        <v>9</v>
      </c>
      <c r="Y51" s="62">
        <f>IF(AND(OR(C51="BKK01",C51="BKK04"),L51="CFS/CY"),0,IF(M51="DG",1,IF(LEFT(C51,3)="LCH",7,IF(C51="BKK02",5,3))))</f>
        <v>3</v>
      </c>
      <c r="Z51" s="60">
        <f>IF(IF(AND(AC51="TML",AB51&gt;0),((T51-W51)+1)-AB51,((T51-W51)+1)-Y51)&gt;0,IF(AND(AC51="TML",AB51&gt;0),((T51-W51)+1)-AB51,((T51-W51)+1)-Y51),0)</f>
        <v>6</v>
      </c>
      <c r="AA51" s="51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960</v>
      </c>
      <c r="AB51" s="56"/>
      <c r="AC51" s="56"/>
      <c r="AD51" s="59">
        <f>IF(M51="DG",3,IF(N51="RF",3,5))+IF(AND(LEFT(C51,3)="BKK",N51="RF",Q51="KTS"),1,0)+IF(Q51="KHS",1,0)</f>
        <v>5</v>
      </c>
      <c r="AE51" s="60">
        <f>(T51-V51)+1</f>
        <v>46320</v>
      </c>
      <c r="AF51" s="60">
        <f>IF(AB51&gt;IF((V51-W51)&gt;0,V51-W51,0),0,IF(AB51&lt;IF((V51-W51)&gt;0,V51-W51,0),IF((V51-W51)&gt;0,V51-W51,0)-AB51,IF((V51-W51)&gt;0,V51-W51,0)))</f>
        <v>0</v>
      </c>
      <c r="AG51" s="51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3"/>
      <c r="AI51" s="63">
        <f>AA51-AH51</f>
        <v>960</v>
      </c>
      <c r="AJ51" s="64"/>
      <c r="AK51" s="58" t="str">
        <f>VLOOKUP(D51,'2.Bookinglist'!A:CT,40,FALSE)</f>
        <v>Nustsireerach</v>
      </c>
      <c r="AL51" s="59" t="str">
        <f>VLOOKUP(D51,'2.Bookinglist'!A:CW,101,FALSE)</f>
        <v>2026-10-18</v>
      </c>
      <c r="AM51" s="59" t="str">
        <f>VLOOKUP(D51,'2.Bookinglist'!A:BK,63,FALSE)</f>
        <v>BKK27</v>
      </c>
      <c r="AN51" s="58" t="str">
        <f>VLOOKUP(D51,'2.Bookinglist'!A:AZ,52,FALSE)</f>
        <v>Pickup : 2026-10-14, Return : 2026-10-16 
 </v>
      </c>
      <c r="AO51" s="58">
        <f>VLOOKUP(D51,'2.Bookinglist'!A:CY,103,FALSE)</f>
        <v>0</v>
      </c>
    </row>
    <row r="52" ht="12.95" customHeight="1" spans="1:41" x14ac:dyDescent="0.25">
      <c r="A52" s="3" t="s">
        <v>217</v>
      </c>
      <c r="B52" s="56" t="str">
        <f>IF(C52=Charge!$M$1,Charge!$J$1,IF(C52=Charge!$M$23,Charge!$J$23,IF(C52=Charge!$M$17,Charge!$J$17,IF(C52=Charge!$N$17,Charge!$J$17,Charge!$J$7))))</f>
        <v>G3</v>
      </c>
      <c r="C52" s="57" t="str">
        <f>VLOOKUP(A52,'1.Loading'!A:R,14,FALSE)</f>
        <v>BKK01</v>
      </c>
      <c r="D52" s="57" t="str">
        <f>VLOOKUP(A52,'1.Loading'!A:R,17,FALSE)</f>
        <v>HASLS22260901133</v>
      </c>
      <c r="E52" s="58" t="str">
        <f>VLOOKUP(D52,'2.Bookinglist'!A:CT,27,FALSE)</f>
        <v>CARGOPORT (THAILAND) LTD.</v>
      </c>
      <c r="F52" s="58" t="str">
        <f>VLOOKUP(D52,'2.Bookinglist'!A:CT,28,FALSE)</f>
        <v>CARGOPORT (THAILAND) LTD.</v>
      </c>
      <c r="G52" s="59">
        <f>VLOOKUP(D52,'2.Bookinglist'!A:E,5,FALSE)</f>
        <v>0</v>
      </c>
      <c r="H52" s="57" t="str">
        <f>VLOOKUP(D52,'2.Bookinglist'!A:CT,15,FALSE)</f>
        <v>THBKK</v>
      </c>
      <c r="I52" s="57" t="str">
        <f>VLOOKUP(D52,'2.Bookinglist'!A:CT,19,FALSE)</f>
        <v>KRPUS</v>
      </c>
      <c r="J52" s="57">
        <f>VLOOKUP(D52,'2.Bookinglist'!A:CT,26,FALSE)</f>
        <v>0</v>
      </c>
      <c r="K52" s="57" t="str">
        <f>VLOOKUP(A52,'1.Loading'!A:R,5,FALSE)</f>
        <v>22GP</v>
      </c>
      <c r="L52" s="59" t="str">
        <f>VLOOKUP(D52,'2.Bookinglist'!A:CT,85,FALSE)</f>
        <v>CY/CY</v>
      </c>
      <c r="M52" s="59" t="str">
        <f>IF(VLOOKUP(D52,'2.Bookinglist'!A:CT,43,FALSE)=0,"","DG")</f>
        <v/>
      </c>
      <c r="N52" s="59" t="str">
        <f>IF(RIGHT(K52,2)="RE","RF","")</f>
        <v/>
      </c>
      <c r="O52" s="57" t="str">
        <f>VLOOKUP(A52,'1.Loading'!A:R,3,FALSE)</f>
        <v>SKOR</v>
      </c>
      <c r="P52" s="57" t="str">
        <f>VLOOKUP(A52,'1.Loading'!A:R,4,FALSE)</f>
        <v>2612N</v>
      </c>
      <c r="Q52" s="57" t="str">
        <f>VLOOKUP(D52,'2.Bookinglist'!A:CT,12,FALSE)</f>
        <v>VTS</v>
      </c>
      <c r="R52" s="59" t="str">
        <f>IF(LEFT(K52,2)="22","20'","40'")</f>
        <v>20'</v>
      </c>
      <c r="S52" s="41"/>
      <c r="T52" s="57" t="str">
        <f>VLOOKUP(A52,'1.Loading'!A:R,2,FALSE)</f>
        <v>2026-10-24</v>
      </c>
      <c r="U52" s="60">
        <f>T52-S52</f>
        <v>46319</v>
      </c>
      <c r="V52" s="61"/>
      <c r="W52" s="57" t="str">
        <f>VLOOKUP(A52,'3.GateMove'!A:D,4,FALSE)</f>
        <v>2026-10-22</v>
      </c>
      <c r="X52" s="60">
        <f>((T52-W52)+1)</f>
        <v>3</v>
      </c>
      <c r="Y52" s="62">
        <f>IF(AND(OR(C52="BKK01",C52="BKK04"),L52="CFS/CY"),0,IF(M52="DG",1,IF(LEFT(C52,3)="LCH",7,IF(C52="BKK02",5,3))))</f>
        <v>3</v>
      </c>
      <c r="Z52" s="60">
        <f>IF(IF(AND(AC52="TML",AB52&gt;0),((T52-W52)+1)-AB52,((T52-W52)+1)-Y52)&gt;0,IF(AND(AC52="TML",AB52&gt;0),((T52-W52)+1)-AB52,((T52-W52)+1)-Y52),0)</f>
        <v>0</v>
      </c>
      <c r="AA52" s="51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56"/>
      <c r="AC52" s="56"/>
      <c r="AD52" s="59">
        <f>IF(M52="DG",3,IF(N52="RF",3,5))+IF(AND(LEFT(C52,3)="BKK",N52="RF",Q52="KTS"),1,0)+IF(Q52="KHS",1,0)</f>
        <v>5</v>
      </c>
      <c r="AE52" s="60">
        <f>(T52-V52)+1</f>
        <v>46320</v>
      </c>
      <c r="AF52" s="60">
        <f>IF(AB52&gt;IF((V52-W52)&gt;0,V52-W52,0),0,IF(AB52&lt;IF((V52-W52)&gt;0,V52-W52,0),IF((V52-W52)&gt;0,V52-W52,0)-AB52,IF((V52-W52)&gt;0,V52-W52,0)))</f>
        <v>0</v>
      </c>
      <c r="AG52" s="51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3"/>
      <c r="AI52" s="63">
        <f>AA52-AH52</f>
        <v>0</v>
      </c>
      <c r="AJ52" s="64"/>
      <c r="AK52" s="58" t="str">
        <f>VLOOKUP(D52,'2.Bookinglist'!A:CT,40,FALSE)</f>
        <v>Papavadee Chiengchin</v>
      </c>
      <c r="AL52" s="59" t="str">
        <f>VLOOKUP(D52,'2.Bookinglist'!A:CW,101,FALSE)</f>
        <v>2026-10-16</v>
      </c>
      <c r="AM52" s="59" t="str">
        <f>VLOOKUP(D52,'2.Bookinglist'!A:BK,63,FALSE)</f>
        <v>BKK01</v>
      </c>
      <c r="AN52" s="58" t="str">
        <f>VLOOKUP(D52,'2.Bookinglist'!A:AZ,52,FALSE)</f>
        <v>CY-RTN : 12-14/10/20206 (CONSOL)
</v>
      </c>
      <c r="AO52" s="58">
        <f>VLOOKUP(D52,'2.Bookinglist'!A:CY,103,FALSE)</f>
        <v>0</v>
      </c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2" customWidth="1"/>
    <col min="2" max="2" width="6.75" style="22" customWidth="1"/>
    <col min="3" max="3" width="16.375" style="22" customWidth="1"/>
    <col min="4" max="4" width="29.75" style="22" customWidth="1"/>
    <col min="5" max="7" width="6" style="22" customWidth="1"/>
    <col min="8" max="9" width="5.25" style="22" customWidth="1"/>
    <col min="10" max="10" width="10.875" style="22" customWidth="1"/>
    <col min="11" max="11" width="10.125" style="22" customWidth="1"/>
    <col min="12" max="12" width="6" style="22" customWidth="1"/>
    <col min="13" max="14" width="10.375" style="22" customWidth="1"/>
    <col min="15" max="15" width="7.875" style="22" customWidth="1"/>
    <col min="16" max="16" width="12.625" style="22" customWidth="1"/>
    <col min="17" max="17" width="12.125" style="22" customWidth="1"/>
    <col min="18" max="18" width="14.375" style="22" customWidth="1"/>
    <col min="19" max="19" width="9.875" style="22" customWidth="1"/>
    <col min="20" max="20" width="12.75" style="25" customWidth="1"/>
    <col min="21" max="21" width="12.75" style="22" customWidth="1"/>
    <col min="22" max="22" width="27.375" style="24" customWidth="1"/>
    <col min="23" max="23" width="21.625" style="24" customWidth="1"/>
    <col min="24" max="24" width="6" style="24" customWidth="1"/>
    <col min="25" max="16384" width="9.125" style="22" customWidth="1"/>
  </cols>
  <sheetData>
    <row r="1" ht="27" customHeight="1" spans="10:10" x14ac:dyDescent="0.25">
      <c r="J1" s="22"/>
    </row>
    <row r="2" ht="27.75" customHeight="1" spans="10:24" s="27" customFormat="1" x14ac:dyDescent="0.25">
      <c r="J2" s="33"/>
      <c r="L2" s="33"/>
      <c r="O2" s="33"/>
      <c r="P2" s="33"/>
      <c r="Q2" s="35"/>
      <c r="R2" s="35">
        <f>SUM(R4:R661)</f>
      </c>
      <c r="S2" s="24" t="s">
        <v>786</v>
      </c>
      <c r="T2" s="35">
        <f>SUM(T4:T661)</f>
      </c>
      <c r="U2" s="35">
        <f>SUM(U4:U661)</f>
      </c>
      <c r="W2" s="29"/>
      <c r="X2" s="29"/>
    </row>
    <row r="3" ht="35.25" customHeight="1" spans="1:24" s="39" customFormat="1" x14ac:dyDescent="0.25">
      <c r="A3" s="43" t="s">
        <v>0</v>
      </c>
      <c r="B3" s="43" t="s">
        <v>13</v>
      </c>
      <c r="C3" s="43" t="s">
        <v>16</v>
      </c>
      <c r="D3" s="43" t="s">
        <v>22</v>
      </c>
      <c r="E3" s="43" t="s">
        <v>237</v>
      </c>
      <c r="F3" s="43" t="s">
        <v>241</v>
      </c>
      <c r="G3" s="46" t="s">
        <v>4</v>
      </c>
      <c r="H3" s="43" t="s">
        <v>2</v>
      </c>
      <c r="I3" s="43" t="s">
        <v>3</v>
      </c>
      <c r="J3" s="47" t="s">
        <v>767</v>
      </c>
      <c r="K3" s="65" t="s">
        <v>787</v>
      </c>
      <c r="L3" s="47" t="s">
        <v>768</v>
      </c>
      <c r="M3" s="66" t="s">
        <v>770</v>
      </c>
      <c r="N3" s="66" t="s">
        <v>788</v>
      </c>
      <c r="O3" s="49" t="s">
        <v>771</v>
      </c>
      <c r="P3" s="49" t="s">
        <v>789</v>
      </c>
      <c r="Q3" s="49" t="s">
        <v>790</v>
      </c>
      <c r="R3" s="67" t="s">
        <v>791</v>
      </c>
      <c r="S3" s="49" t="s">
        <v>777</v>
      </c>
      <c r="T3" s="52" t="s">
        <v>792</v>
      </c>
      <c r="U3" s="67" t="s">
        <v>793</v>
      </c>
      <c r="V3" s="57" t="s">
        <v>20</v>
      </c>
      <c r="W3" s="68" t="s">
        <v>261</v>
      </c>
      <c r="X3" s="69"/>
    </row>
    <row r="4" ht="16.5" customHeight="1" spans="1:23" x14ac:dyDescent="0.25">
      <c r="A4" s="3"/>
      <c r="B4" s="57">
        <f>IFERROR(VLOOKUP($A:$A,CS!$A:$AK,3,FALSE),"")</f>
      </c>
      <c r="C4" s="57">
        <f>IFERROR(VLOOKUP($A:$A,CS!$A:$AK,4,FALSE),"")</f>
      </c>
      <c r="D4" s="57">
        <f>IFERROR(VLOOKUP($A:$A,CS!$A:$AK,5,FALSE),"")</f>
      </c>
      <c r="E4" s="57">
        <f>IFERROR(VLOOKUP($A:$A,CS!$A:$AK,7,FALSE),"")</f>
      </c>
      <c r="F4" s="57">
        <f>IFERROR(VLOOKUP($A:$A,CS!$A:$AK,8,FALSE),"")</f>
      </c>
      <c r="G4" s="57">
        <f>IFERROR(VLOOKUP($A:$A,CS!$A:$AK,10,FALSE),"")</f>
      </c>
      <c r="H4" s="57">
        <f>IFERROR(VLOOKUP($A:$A,CS!$A:$AK,14,FALSE),"")</f>
      </c>
      <c r="I4" s="57">
        <f>IFERROR(VLOOKUP($A:$A,CS!$A:$AK,15,FALSE),"")</f>
      </c>
      <c r="J4" s="57">
        <f>IFERROR(VLOOKUP($A:$A,CS!$A:$AK,18,FALSE),"")</f>
      </c>
      <c r="K4" s="57">
        <f>IFERROR(VLOOKUP($A:$A,CS!$A:$AK,19,FALSE),"")</f>
      </c>
      <c r="L4" s="57">
        <f>IFERROR(VLOOKUP($A:$A,CS!$A:$AK,20,FALSE),"")</f>
      </c>
      <c r="M4" s="57">
        <f>IFERROR(VLOOKUP($A:$A,CS!$A:$AK,22,FALSE),"")</f>
      </c>
      <c r="N4" s="57">
        <f>IFERROR(VLOOKUP($A:$A,CS!$A:$AK,19,FALSE),"")</f>
      </c>
      <c r="O4" s="57">
        <f>IFERROR(VLOOKUP($A:$A,CS!$A:$AK,23,FALSE),"")</f>
      </c>
      <c r="P4" s="57">
        <f>IFERROR(VLOOKUP($A:$A,CS!$A:$AK,24,FALSE),"")</f>
      </c>
      <c r="Q4" s="57">
        <f>IFERROR(VLOOKUP($A:$A,CS!$A:$AK,25,FALSE),"")</f>
      </c>
      <c r="R4" s="57">
        <f>IFERROR(VLOOKUP($A:$A,CS!$A:$AK,26,FALSE),"")</f>
      </c>
      <c r="S4" s="57">
        <f>IFERROR(VLOOKUP($A:$A,CS!$A:$AK,29,FALSE),"")</f>
      </c>
      <c r="T4" s="57">
        <f>IFERROR(VLOOKUP($A:$A,CS!$A:$AK,33,FALSE),"")</f>
      </c>
      <c r="U4" s="57">
        <f>IFERROR(VLOOKUP($A:$A,CS!$A:$AK,34,FALSE),"")</f>
      </c>
      <c r="V4" s="57">
        <f>IFERROR(VLOOKUP($A:$A,CS!$A:$AK,35,FALSE),"")</f>
      </c>
      <c r="W4" s="57">
        <f>IFERROR(VLOOKUP($A:$A,CS!$A:$AK,36,FALSE),"")</f>
      </c>
    </row>
    <row r="5" ht="16.5" customHeight="1" spans="1:23" x14ac:dyDescent="0.25">
      <c r="A5" s="3"/>
      <c r="B5" s="57">
        <f>IFERROR(VLOOKUP($A:$A,CS!$A:$AK,3,FALSE),"")</f>
      </c>
      <c r="C5" s="57">
        <f>IFERROR(VLOOKUP($A:$A,CS!$A:$AK,4,FALSE),"")</f>
      </c>
      <c r="D5" s="57">
        <f>IFERROR(VLOOKUP($A:$A,CS!$A:$AK,5,FALSE),"")</f>
      </c>
      <c r="E5" s="57">
        <f>IFERROR(VLOOKUP($A:$A,CS!$A:$AK,7,FALSE),"")</f>
      </c>
      <c r="F5" s="57">
        <f>IFERROR(VLOOKUP($A:$A,CS!$A:$AK,8,FALSE),"")</f>
      </c>
      <c r="G5" s="57">
        <f>IFERROR(VLOOKUP($A:$A,CS!$A:$AK,10,FALSE),"")</f>
      </c>
      <c r="H5" s="57">
        <f>IFERROR(VLOOKUP($A:$A,CS!$A:$AK,14,FALSE),"")</f>
      </c>
      <c r="I5" s="57">
        <f>IFERROR(VLOOKUP($A:$A,CS!$A:$AK,15,FALSE),"")</f>
      </c>
      <c r="J5" s="57">
        <f>IFERROR(VLOOKUP($A:$A,CS!$A:$AK,18,FALSE),"")</f>
      </c>
      <c r="K5" s="57">
        <f>IFERROR(VLOOKUP($A:$A,CS!$A:$AK,19,FALSE),"")</f>
      </c>
      <c r="L5" s="57">
        <f>IFERROR(VLOOKUP($A:$A,CS!$A:$AK,20,FALSE),"")</f>
      </c>
      <c r="M5" s="57">
        <f>IFERROR(VLOOKUP($A:$A,CS!$A:$AK,22,FALSE),"")</f>
      </c>
      <c r="N5" s="57">
        <f>IFERROR(VLOOKUP($A:$A,CS!$A:$AK,19,FALSE),"")</f>
      </c>
      <c r="O5" s="57">
        <f>IFERROR(VLOOKUP($A:$A,CS!$A:$AK,23,FALSE),"")</f>
      </c>
      <c r="P5" s="57">
        <f>IFERROR(VLOOKUP($A:$A,CS!$A:$AK,24,FALSE),"")</f>
      </c>
      <c r="Q5" s="57">
        <f>IFERROR(VLOOKUP($A:$A,CS!$A:$AK,25,FALSE),"")</f>
      </c>
      <c r="R5" s="57">
        <f>IFERROR(VLOOKUP($A:$A,CS!$A:$AK,26,FALSE),"")</f>
      </c>
      <c r="S5" s="57">
        <f>IFERROR(VLOOKUP($A:$A,CS!$A:$AK,29,FALSE),"")</f>
      </c>
      <c r="T5" s="57">
        <f>IFERROR(VLOOKUP($A:$A,CS!$A:$AK,33,FALSE),"")</f>
      </c>
      <c r="U5" s="57">
        <f>IFERROR(VLOOKUP($A:$A,CS!$A:$AK,34,FALSE),"")</f>
      </c>
      <c r="V5" s="57">
        <f>IFERROR(VLOOKUP($A:$A,CS!$A:$AK,35,FALSE),"")</f>
      </c>
      <c r="W5" s="57">
        <f>IFERROR(VLOOKUP($A:$A,CS!$A:$AK,36,FALSE),"")</f>
      </c>
    </row>
    <row r="6" ht="16.5" customHeight="1" spans="1:23" x14ac:dyDescent="0.25">
      <c r="A6" s="3"/>
      <c r="B6" s="57">
        <f>IFERROR(VLOOKUP($A:$A,CS!$A:$AK,3,FALSE),"")</f>
      </c>
      <c r="C6" s="57">
        <f>IFERROR(VLOOKUP($A:$A,CS!$A:$AK,4,FALSE),"")</f>
      </c>
      <c r="D6" s="57">
        <f>IFERROR(VLOOKUP($A:$A,CS!$A:$AK,5,FALSE),"")</f>
      </c>
      <c r="E6" s="57">
        <f>IFERROR(VLOOKUP($A:$A,CS!$A:$AK,7,FALSE),"")</f>
      </c>
      <c r="F6" s="57">
        <f>IFERROR(VLOOKUP($A:$A,CS!$A:$AK,8,FALSE),"")</f>
      </c>
      <c r="G6" s="57">
        <f>IFERROR(VLOOKUP($A:$A,CS!$A:$AK,10,FALSE),"")</f>
      </c>
      <c r="H6" s="57">
        <f>IFERROR(VLOOKUP($A:$A,CS!$A:$AK,14,FALSE),"")</f>
      </c>
      <c r="I6" s="57">
        <f>IFERROR(VLOOKUP($A:$A,CS!$A:$AK,15,FALSE),"")</f>
      </c>
      <c r="J6" s="57">
        <f>IFERROR(VLOOKUP($A:$A,CS!$A:$AK,18,FALSE),"")</f>
      </c>
      <c r="K6" s="57">
        <f>IFERROR(VLOOKUP($A:$A,CS!$A:$AK,19,FALSE),"")</f>
      </c>
      <c r="L6" s="57">
        <f>IFERROR(VLOOKUP($A:$A,CS!$A:$AK,20,FALSE),"")</f>
      </c>
      <c r="M6" s="57">
        <f>IFERROR(VLOOKUP($A:$A,CS!$A:$AK,22,FALSE),"")</f>
      </c>
      <c r="N6" s="57">
        <f>IFERROR(VLOOKUP($A:$A,CS!$A:$AK,19,FALSE),"")</f>
      </c>
      <c r="O6" s="57">
        <f>IFERROR(VLOOKUP($A:$A,CS!$A:$AK,23,FALSE),"")</f>
      </c>
      <c r="P6" s="57">
        <f>IFERROR(VLOOKUP($A:$A,CS!$A:$AK,24,FALSE),"")</f>
      </c>
      <c r="Q6" s="57">
        <f>IFERROR(VLOOKUP($A:$A,CS!$A:$AK,25,FALSE),"")</f>
      </c>
      <c r="R6" s="57">
        <f>IFERROR(VLOOKUP($A:$A,CS!$A:$AK,26,FALSE),"")</f>
      </c>
      <c r="S6" s="57">
        <f>IFERROR(VLOOKUP($A:$A,CS!$A:$AK,29,FALSE),"")</f>
      </c>
      <c r="T6" s="57">
        <f>IFERROR(VLOOKUP($A:$A,CS!$A:$AK,33,FALSE),"")</f>
      </c>
      <c r="U6" s="57">
        <f>IFERROR(VLOOKUP($A:$A,CS!$A:$AK,34,FALSE),"")</f>
      </c>
      <c r="V6" s="57">
        <f>IFERROR(VLOOKUP($A:$A,CS!$A:$AK,35,FALSE),"")</f>
      </c>
      <c r="W6" s="57">
        <f>IFERROR(VLOOKUP($A:$A,CS!$A:$AK,36,FALSE),"")</f>
      </c>
    </row>
    <row r="7" ht="16.5" customHeight="1" spans="1:23" x14ac:dyDescent="0.25">
      <c r="A7" s="3"/>
      <c r="B7" s="57">
        <f>IFERROR(VLOOKUP($A:$A,CS!$A:$AK,3,FALSE),"")</f>
      </c>
      <c r="C7" s="57">
        <f>IFERROR(VLOOKUP($A:$A,CS!$A:$AK,4,FALSE),"")</f>
      </c>
      <c r="D7" s="57">
        <f>IFERROR(VLOOKUP($A:$A,CS!$A:$AK,5,FALSE),"")</f>
      </c>
      <c r="E7" s="57">
        <f>IFERROR(VLOOKUP($A:$A,CS!$A:$AK,7,FALSE),"")</f>
      </c>
      <c r="F7" s="57">
        <f>IFERROR(VLOOKUP($A:$A,CS!$A:$AK,8,FALSE),"")</f>
      </c>
      <c r="G7" s="57">
        <f>IFERROR(VLOOKUP($A:$A,CS!$A:$AK,10,FALSE),"")</f>
      </c>
      <c r="H7" s="57">
        <f>IFERROR(VLOOKUP($A:$A,CS!$A:$AK,14,FALSE),"")</f>
      </c>
      <c r="I7" s="57">
        <f>IFERROR(VLOOKUP($A:$A,CS!$A:$AK,15,FALSE),"")</f>
      </c>
      <c r="J7" s="57">
        <f>IFERROR(VLOOKUP($A:$A,CS!$A:$AK,18,FALSE),"")</f>
      </c>
      <c r="K7" s="57">
        <f>IFERROR(VLOOKUP($A:$A,CS!$A:$AK,19,FALSE),"")</f>
      </c>
      <c r="L7" s="57">
        <f>IFERROR(VLOOKUP($A:$A,CS!$A:$AK,20,FALSE),"")</f>
      </c>
      <c r="M7" s="57">
        <f>IFERROR(VLOOKUP($A:$A,CS!$A:$AK,22,FALSE),"")</f>
      </c>
      <c r="N7" s="57">
        <f>IFERROR(VLOOKUP($A:$A,CS!$A:$AK,19,FALSE),"")</f>
      </c>
      <c r="O7" s="57">
        <f>IFERROR(VLOOKUP($A:$A,CS!$A:$AK,23,FALSE),"")</f>
      </c>
      <c r="P7" s="57">
        <f>IFERROR(VLOOKUP($A:$A,CS!$A:$AK,24,FALSE),"")</f>
      </c>
      <c r="Q7" s="57">
        <f>IFERROR(VLOOKUP($A:$A,CS!$A:$AK,25,FALSE),"")</f>
      </c>
      <c r="R7" s="57">
        <f>IFERROR(VLOOKUP($A:$A,CS!$A:$AK,26,FALSE),"")</f>
      </c>
      <c r="S7" s="57">
        <f>IFERROR(VLOOKUP($A:$A,CS!$A:$AK,29,FALSE),"")</f>
      </c>
      <c r="T7" s="57">
        <f>IFERROR(VLOOKUP($A:$A,CS!$A:$AK,33,FALSE),"")</f>
      </c>
      <c r="U7" s="57">
        <f>IFERROR(VLOOKUP($A:$A,CS!$A:$AK,34,FALSE),"")</f>
      </c>
      <c r="V7" s="57">
        <f>IFERROR(VLOOKUP($A:$A,CS!$A:$AK,35,FALSE),"")</f>
      </c>
      <c r="W7" s="57">
        <f>IFERROR(VLOOKUP($A:$A,CS!$A:$AK,36,FALSE),"")</f>
      </c>
    </row>
    <row r="8" ht="16.5" customHeight="1" spans="1:23" x14ac:dyDescent="0.25">
      <c r="A8" s="3"/>
      <c r="B8" s="57">
        <f>IFERROR(VLOOKUP($A:$A,CS!$A:$AK,3,FALSE),"")</f>
      </c>
      <c r="C8" s="57">
        <f>IFERROR(VLOOKUP($A:$A,CS!$A:$AK,4,FALSE),"")</f>
      </c>
      <c r="D8" s="57">
        <f>IFERROR(VLOOKUP($A:$A,CS!$A:$AK,5,FALSE),"")</f>
      </c>
      <c r="E8" s="57">
        <f>IFERROR(VLOOKUP($A:$A,CS!$A:$AK,7,FALSE),"")</f>
      </c>
      <c r="F8" s="57">
        <f>IFERROR(VLOOKUP($A:$A,CS!$A:$AK,8,FALSE),"")</f>
      </c>
      <c r="G8" s="57">
        <f>IFERROR(VLOOKUP($A:$A,CS!$A:$AK,10,FALSE),"")</f>
      </c>
      <c r="H8" s="57">
        <f>IFERROR(VLOOKUP($A:$A,CS!$A:$AK,14,FALSE),"")</f>
      </c>
      <c r="I8" s="57">
        <f>IFERROR(VLOOKUP($A:$A,CS!$A:$AK,15,FALSE),"")</f>
      </c>
      <c r="J8" s="57">
        <f>IFERROR(VLOOKUP($A:$A,CS!$A:$AK,18,FALSE),"")</f>
      </c>
      <c r="K8" s="57">
        <f>IFERROR(VLOOKUP($A:$A,CS!$A:$AK,19,FALSE),"")</f>
      </c>
      <c r="L8" s="57">
        <f>IFERROR(VLOOKUP($A:$A,CS!$A:$AK,20,FALSE),"")</f>
      </c>
      <c r="M8" s="57">
        <f>IFERROR(VLOOKUP($A:$A,CS!$A:$AK,22,FALSE),"")</f>
      </c>
      <c r="N8" s="57">
        <f>IFERROR(VLOOKUP($A:$A,CS!$A:$AK,19,FALSE),"")</f>
      </c>
      <c r="O8" s="57">
        <f>IFERROR(VLOOKUP($A:$A,CS!$A:$AK,23,FALSE),"")</f>
      </c>
      <c r="P8" s="57">
        <f>IFERROR(VLOOKUP($A:$A,CS!$A:$AK,24,FALSE),"")</f>
      </c>
      <c r="Q8" s="57">
        <f>IFERROR(VLOOKUP($A:$A,CS!$A:$AK,25,FALSE),"")</f>
      </c>
      <c r="R8" s="57">
        <f>IFERROR(VLOOKUP($A:$A,CS!$A:$AK,26,FALSE),"")</f>
      </c>
      <c r="S8" s="57">
        <f>IFERROR(VLOOKUP($A:$A,CS!$A:$AK,29,FALSE),"")</f>
      </c>
      <c r="T8" s="57">
        <f>IFERROR(VLOOKUP($A:$A,CS!$A:$AK,33,FALSE),"")</f>
      </c>
      <c r="U8" s="57">
        <f>IFERROR(VLOOKUP($A:$A,CS!$A:$AK,34,FALSE),"")</f>
      </c>
      <c r="V8" s="57">
        <f>IFERROR(VLOOKUP($A:$A,CS!$A:$AK,35,FALSE),"")</f>
      </c>
      <c r="W8" s="57">
        <f>IFERROR(VLOOKUP($A:$A,CS!$A:$AK,36,FALSE),"")</f>
      </c>
    </row>
    <row r="9" ht="16.5" customHeight="1" spans="1:23" x14ac:dyDescent="0.25">
      <c r="A9" s="3"/>
      <c r="B9" s="57">
        <f>IFERROR(VLOOKUP($A:$A,CS!$A:$AK,3,FALSE),"")</f>
      </c>
      <c r="C9" s="57">
        <f>IFERROR(VLOOKUP($A:$A,CS!$A:$AK,4,FALSE),"")</f>
      </c>
      <c r="D9" s="57">
        <f>IFERROR(VLOOKUP($A:$A,CS!$A:$AK,5,FALSE),"")</f>
      </c>
      <c r="E9" s="57">
        <f>IFERROR(VLOOKUP($A:$A,CS!$A:$AK,7,FALSE),"")</f>
      </c>
      <c r="F9" s="57">
        <f>IFERROR(VLOOKUP($A:$A,CS!$A:$AK,8,FALSE),"")</f>
      </c>
      <c r="G9" s="57">
        <f>IFERROR(VLOOKUP($A:$A,CS!$A:$AK,10,FALSE),"")</f>
      </c>
      <c r="H9" s="57">
        <f>IFERROR(VLOOKUP($A:$A,CS!$A:$AK,14,FALSE),"")</f>
      </c>
      <c r="I9" s="57">
        <f>IFERROR(VLOOKUP($A:$A,CS!$A:$AK,15,FALSE),"")</f>
      </c>
      <c r="J9" s="57">
        <f>IFERROR(VLOOKUP($A:$A,CS!$A:$AK,18,FALSE),"")</f>
      </c>
      <c r="K9" s="57">
        <f>IFERROR(VLOOKUP($A:$A,CS!$A:$AK,19,FALSE),"")</f>
      </c>
      <c r="L9" s="57">
        <f>IFERROR(VLOOKUP($A:$A,CS!$A:$AK,20,FALSE),"")</f>
      </c>
      <c r="M9" s="57">
        <f>IFERROR(VLOOKUP($A:$A,CS!$A:$AK,22,FALSE),"")</f>
      </c>
      <c r="N9" s="57">
        <f>IFERROR(VLOOKUP($A:$A,CS!$A:$AK,19,FALSE),"")</f>
      </c>
      <c r="O9" s="57">
        <f>IFERROR(VLOOKUP($A:$A,CS!$A:$AK,23,FALSE),"")</f>
      </c>
      <c r="P9" s="57">
        <f>IFERROR(VLOOKUP($A:$A,CS!$A:$AK,24,FALSE),"")</f>
      </c>
      <c r="Q9" s="57">
        <f>IFERROR(VLOOKUP($A:$A,CS!$A:$AK,25,FALSE),"")</f>
      </c>
      <c r="R9" s="57">
        <f>IFERROR(VLOOKUP($A:$A,CS!$A:$AK,26,FALSE),"")</f>
      </c>
      <c r="S9" s="57">
        <f>IFERROR(VLOOKUP($A:$A,CS!$A:$AK,29,FALSE),"")</f>
      </c>
      <c r="T9" s="57">
        <f>IFERROR(VLOOKUP($A:$A,CS!$A:$AK,33,FALSE),"")</f>
      </c>
      <c r="U9" s="57">
        <f>IFERROR(VLOOKUP($A:$A,CS!$A:$AK,34,FALSE),"")</f>
      </c>
      <c r="V9" s="57">
        <f>IFERROR(VLOOKUP($A:$A,CS!$A:$AK,35,FALSE),"")</f>
      </c>
      <c r="W9" s="57">
        <f>IFERROR(VLOOKUP($A:$A,CS!$A:$AK,36,FALSE),"")</f>
      </c>
    </row>
    <row r="10" ht="16.5" customHeight="1" spans="1:23" x14ac:dyDescent="0.25">
      <c r="A10" s="3"/>
      <c r="B10" s="57">
        <f>IFERROR(VLOOKUP($A:$A,CS!$A:$AK,3,FALSE),"")</f>
      </c>
      <c r="C10" s="57">
        <f>IFERROR(VLOOKUP($A:$A,CS!$A:$AK,4,FALSE),"")</f>
      </c>
      <c r="D10" s="57">
        <f>IFERROR(VLOOKUP($A:$A,CS!$A:$AK,5,FALSE),"")</f>
      </c>
      <c r="E10" s="57">
        <f>IFERROR(VLOOKUP($A:$A,CS!$A:$AK,7,FALSE),"")</f>
      </c>
      <c r="F10" s="57">
        <f>IFERROR(VLOOKUP($A:$A,CS!$A:$AK,8,FALSE),"")</f>
      </c>
      <c r="G10" s="57">
        <f>IFERROR(VLOOKUP($A:$A,CS!$A:$AK,10,FALSE),"")</f>
      </c>
      <c r="H10" s="57">
        <f>IFERROR(VLOOKUP($A:$A,CS!$A:$AK,14,FALSE),"")</f>
      </c>
      <c r="I10" s="57">
        <f>IFERROR(VLOOKUP($A:$A,CS!$A:$AK,15,FALSE),"")</f>
      </c>
      <c r="J10" s="57">
        <f>IFERROR(VLOOKUP($A:$A,CS!$A:$AK,18,FALSE),"")</f>
      </c>
      <c r="K10" s="57">
        <f>IFERROR(VLOOKUP($A:$A,CS!$A:$AK,19,FALSE),"")</f>
      </c>
      <c r="L10" s="57">
        <f>IFERROR(VLOOKUP($A:$A,CS!$A:$AK,20,FALSE),"")</f>
      </c>
      <c r="M10" s="57">
        <f>IFERROR(VLOOKUP($A:$A,CS!$A:$AK,22,FALSE),"")</f>
      </c>
      <c r="N10" s="57">
        <f>IFERROR(VLOOKUP($A:$A,CS!$A:$AK,19,FALSE),"")</f>
      </c>
      <c r="O10" s="57">
        <f>IFERROR(VLOOKUP($A:$A,CS!$A:$AK,23,FALSE),"")</f>
      </c>
      <c r="P10" s="57">
        <f>IFERROR(VLOOKUP($A:$A,CS!$A:$AK,24,FALSE),"")</f>
      </c>
      <c r="Q10" s="57">
        <f>IFERROR(VLOOKUP($A:$A,CS!$A:$AK,25,FALSE),"")</f>
      </c>
      <c r="R10" s="57">
        <f>IFERROR(VLOOKUP($A:$A,CS!$A:$AK,26,FALSE),"")</f>
      </c>
      <c r="S10" s="57">
        <f>IFERROR(VLOOKUP($A:$A,CS!$A:$AK,29,FALSE),"")</f>
      </c>
      <c r="T10" s="57">
        <f>IFERROR(VLOOKUP($A:$A,CS!$A:$AK,33,FALSE),"")</f>
      </c>
      <c r="U10" s="57">
        <f>IFERROR(VLOOKUP($A:$A,CS!$A:$AK,34,FALSE),"")</f>
      </c>
      <c r="V10" s="57">
        <f>IFERROR(VLOOKUP($A:$A,CS!$A:$AK,35,FALSE),"")</f>
      </c>
      <c r="W10" s="57">
        <f>IFERROR(VLOOKUP($A:$A,CS!$A:$AK,36,FALSE),"")</f>
      </c>
    </row>
    <row r="11" ht="16.5" customHeight="1" spans="1:23" x14ac:dyDescent="0.25">
      <c r="A11" s="3"/>
      <c r="B11" s="57">
        <f>IFERROR(VLOOKUP($A:$A,CS!$A:$AK,3,FALSE),"")</f>
      </c>
      <c r="C11" s="57">
        <f>IFERROR(VLOOKUP($A:$A,CS!$A:$AK,4,FALSE),"")</f>
      </c>
      <c r="D11" s="57">
        <f>IFERROR(VLOOKUP($A:$A,CS!$A:$AK,5,FALSE),"")</f>
      </c>
      <c r="E11" s="57">
        <f>IFERROR(VLOOKUP($A:$A,CS!$A:$AK,7,FALSE),"")</f>
      </c>
      <c r="F11" s="57">
        <f>IFERROR(VLOOKUP($A:$A,CS!$A:$AK,8,FALSE),"")</f>
      </c>
      <c r="G11" s="57">
        <f>IFERROR(VLOOKUP($A:$A,CS!$A:$AK,10,FALSE),"")</f>
      </c>
      <c r="H11" s="57">
        <f>IFERROR(VLOOKUP($A:$A,CS!$A:$AK,14,FALSE),"")</f>
      </c>
      <c r="I11" s="57">
        <f>IFERROR(VLOOKUP($A:$A,CS!$A:$AK,15,FALSE),"")</f>
      </c>
      <c r="J11" s="57">
        <f>IFERROR(VLOOKUP($A:$A,CS!$A:$AK,18,FALSE),"")</f>
      </c>
      <c r="K11" s="57">
        <f>IFERROR(VLOOKUP($A:$A,CS!$A:$AK,19,FALSE),"")</f>
      </c>
      <c r="L11" s="57">
        <f>IFERROR(VLOOKUP($A:$A,CS!$A:$AK,20,FALSE),"")</f>
      </c>
      <c r="M11" s="57">
        <f>IFERROR(VLOOKUP($A:$A,CS!$A:$AK,22,FALSE),"")</f>
      </c>
      <c r="N11" s="57">
        <f>IFERROR(VLOOKUP($A:$A,CS!$A:$AK,19,FALSE),"")</f>
      </c>
      <c r="O11" s="57">
        <f>IFERROR(VLOOKUP($A:$A,CS!$A:$AK,23,FALSE),"")</f>
      </c>
      <c r="P11" s="57">
        <f>IFERROR(VLOOKUP($A:$A,CS!$A:$AK,24,FALSE),"")</f>
      </c>
      <c r="Q11" s="57">
        <f>IFERROR(VLOOKUP($A:$A,CS!$A:$AK,25,FALSE),"")</f>
      </c>
      <c r="R11" s="57">
        <f>IFERROR(VLOOKUP($A:$A,CS!$A:$AK,26,FALSE),"")</f>
      </c>
      <c r="S11" s="57">
        <f>IFERROR(VLOOKUP($A:$A,CS!$A:$AK,29,FALSE),"")</f>
      </c>
      <c r="T11" s="57">
        <f>IFERROR(VLOOKUP($A:$A,CS!$A:$AK,33,FALSE),"")</f>
      </c>
      <c r="U11" s="57">
        <f>IFERROR(VLOOKUP($A:$A,CS!$A:$AK,34,FALSE),"")</f>
      </c>
      <c r="V11" s="57">
        <f>IFERROR(VLOOKUP($A:$A,CS!$A:$AK,35,FALSE),"")</f>
      </c>
      <c r="W11" s="57">
        <f>IFERROR(VLOOKUP($A:$A,CS!$A:$AK,36,FALSE),"")</f>
      </c>
    </row>
    <row r="12" ht="16.5" customHeight="1" spans="1:23" x14ac:dyDescent="0.25">
      <c r="A12" s="3"/>
      <c r="B12" s="57">
        <f>IFERROR(VLOOKUP($A:$A,CS!$A:$AK,3,FALSE),"")</f>
      </c>
      <c r="C12" s="57">
        <f>IFERROR(VLOOKUP($A:$A,CS!$A:$AK,4,FALSE),"")</f>
      </c>
      <c r="D12" s="57">
        <f>IFERROR(VLOOKUP($A:$A,CS!$A:$AK,5,FALSE),"")</f>
      </c>
      <c r="E12" s="57">
        <f>IFERROR(VLOOKUP($A:$A,CS!$A:$AK,7,FALSE),"")</f>
      </c>
      <c r="F12" s="57">
        <f>IFERROR(VLOOKUP($A:$A,CS!$A:$AK,8,FALSE),"")</f>
      </c>
      <c r="G12" s="57">
        <f>IFERROR(VLOOKUP($A:$A,CS!$A:$AK,10,FALSE),"")</f>
      </c>
      <c r="H12" s="57">
        <f>IFERROR(VLOOKUP($A:$A,CS!$A:$AK,14,FALSE),"")</f>
      </c>
      <c r="I12" s="57">
        <f>IFERROR(VLOOKUP($A:$A,CS!$A:$AK,15,FALSE),"")</f>
      </c>
      <c r="J12" s="57">
        <f>IFERROR(VLOOKUP($A:$A,CS!$A:$AK,18,FALSE),"")</f>
      </c>
      <c r="K12" s="57">
        <f>IFERROR(VLOOKUP($A:$A,CS!$A:$AK,19,FALSE),"")</f>
      </c>
      <c r="L12" s="57">
        <f>IFERROR(VLOOKUP($A:$A,CS!$A:$AK,20,FALSE),"")</f>
      </c>
      <c r="M12" s="57">
        <f>IFERROR(VLOOKUP($A:$A,CS!$A:$AK,22,FALSE),"")</f>
      </c>
      <c r="N12" s="57">
        <f>IFERROR(VLOOKUP($A:$A,CS!$A:$AK,19,FALSE),"")</f>
      </c>
      <c r="O12" s="57">
        <f>IFERROR(VLOOKUP($A:$A,CS!$A:$AK,23,FALSE),"")</f>
      </c>
      <c r="P12" s="57">
        <f>IFERROR(VLOOKUP($A:$A,CS!$A:$AK,24,FALSE),"")</f>
      </c>
      <c r="Q12" s="57">
        <f>IFERROR(VLOOKUP($A:$A,CS!$A:$AK,25,FALSE),"")</f>
      </c>
      <c r="R12" s="57">
        <f>IFERROR(VLOOKUP($A:$A,CS!$A:$AK,26,FALSE),"")</f>
      </c>
      <c r="S12" s="57">
        <f>IFERROR(VLOOKUP($A:$A,CS!$A:$AK,29,FALSE),"")</f>
      </c>
      <c r="T12" s="57">
        <f>IFERROR(VLOOKUP($A:$A,CS!$A:$AK,33,FALSE),"")</f>
      </c>
      <c r="U12" s="57">
        <f>IFERROR(VLOOKUP($A:$A,CS!$A:$AK,34,FALSE),"")</f>
      </c>
      <c r="V12" s="57">
        <f>IFERROR(VLOOKUP($A:$A,CS!$A:$AK,35,FALSE),"")</f>
      </c>
      <c r="W12" s="57">
        <f>IFERROR(VLOOKUP($A:$A,CS!$A:$AK,36,FALSE),"")</f>
      </c>
    </row>
    <row r="13" ht="16.5" customHeight="1" spans="1:23" x14ac:dyDescent="0.25">
      <c r="A13" s="3"/>
      <c r="B13" s="57">
        <f>IFERROR(VLOOKUP($A:$A,CS!$A:$AK,3,FALSE),"")</f>
      </c>
      <c r="C13" s="57">
        <f>IFERROR(VLOOKUP($A:$A,CS!$A:$AK,4,FALSE),"")</f>
      </c>
      <c r="D13" s="57">
        <f>IFERROR(VLOOKUP($A:$A,CS!$A:$AK,5,FALSE),"")</f>
      </c>
      <c r="E13" s="57">
        <f>IFERROR(VLOOKUP($A:$A,CS!$A:$AK,7,FALSE),"")</f>
      </c>
      <c r="F13" s="57">
        <f>IFERROR(VLOOKUP($A:$A,CS!$A:$AK,8,FALSE),"")</f>
      </c>
      <c r="G13" s="57">
        <f>IFERROR(VLOOKUP($A:$A,CS!$A:$AK,10,FALSE),"")</f>
      </c>
      <c r="H13" s="57">
        <f>IFERROR(VLOOKUP($A:$A,CS!$A:$AK,14,FALSE),"")</f>
      </c>
      <c r="I13" s="57">
        <f>IFERROR(VLOOKUP($A:$A,CS!$A:$AK,15,FALSE),"")</f>
      </c>
      <c r="J13" s="57">
        <f>IFERROR(VLOOKUP($A:$A,CS!$A:$AK,18,FALSE),"")</f>
      </c>
      <c r="K13" s="57">
        <f>IFERROR(VLOOKUP($A:$A,CS!$A:$AK,19,FALSE),"")</f>
      </c>
      <c r="L13" s="57">
        <f>IFERROR(VLOOKUP($A:$A,CS!$A:$AK,20,FALSE),"")</f>
      </c>
      <c r="M13" s="57">
        <f>IFERROR(VLOOKUP($A:$A,CS!$A:$AK,22,FALSE),"")</f>
      </c>
      <c r="N13" s="57">
        <f>IFERROR(VLOOKUP($A:$A,CS!$A:$AK,19,FALSE),"")</f>
      </c>
      <c r="O13" s="57">
        <f>IFERROR(VLOOKUP($A:$A,CS!$A:$AK,23,FALSE),"")</f>
      </c>
      <c r="P13" s="57">
        <f>IFERROR(VLOOKUP($A:$A,CS!$A:$AK,24,FALSE),"")</f>
      </c>
      <c r="Q13" s="57">
        <f>IFERROR(VLOOKUP($A:$A,CS!$A:$AK,25,FALSE),"")</f>
      </c>
      <c r="R13" s="57">
        <f>IFERROR(VLOOKUP($A:$A,CS!$A:$AK,26,FALSE),"")</f>
      </c>
      <c r="S13" s="57">
        <f>IFERROR(VLOOKUP($A:$A,CS!$A:$AK,29,FALSE),"")</f>
      </c>
      <c r="T13" s="57">
        <f>IFERROR(VLOOKUP($A:$A,CS!$A:$AK,33,FALSE),"")</f>
      </c>
      <c r="U13" s="57">
        <f>IFERROR(VLOOKUP($A:$A,CS!$A:$AK,34,FALSE),"")</f>
      </c>
      <c r="V13" s="57">
        <f>IFERROR(VLOOKUP($A:$A,CS!$A:$AK,35,FALSE),"")</f>
      </c>
      <c r="W13" s="57">
        <f>IFERROR(VLOOKUP($A:$A,CS!$A:$AK,36,FALSE),"")</f>
      </c>
    </row>
    <row r="14" ht="16.5" customHeight="1" spans="1:23" x14ac:dyDescent="0.25">
      <c r="A14" s="3"/>
      <c r="B14" s="57">
        <f>IFERROR(VLOOKUP($A:$A,CS!$A:$AK,3,FALSE),"")</f>
      </c>
      <c r="C14" s="57">
        <f>IFERROR(VLOOKUP($A:$A,CS!$A:$AK,4,FALSE),"")</f>
      </c>
      <c r="D14" s="57">
        <f>IFERROR(VLOOKUP($A:$A,CS!$A:$AK,5,FALSE),"")</f>
      </c>
      <c r="E14" s="57">
        <f>IFERROR(VLOOKUP($A:$A,CS!$A:$AK,7,FALSE),"")</f>
      </c>
      <c r="F14" s="57">
        <f>IFERROR(VLOOKUP($A:$A,CS!$A:$AK,8,FALSE),"")</f>
      </c>
      <c r="G14" s="57">
        <f>IFERROR(VLOOKUP($A:$A,CS!$A:$AK,10,FALSE),"")</f>
      </c>
      <c r="H14" s="57">
        <f>IFERROR(VLOOKUP($A:$A,CS!$A:$AK,14,FALSE),"")</f>
      </c>
      <c r="I14" s="57">
        <f>IFERROR(VLOOKUP($A:$A,CS!$A:$AK,15,FALSE),"")</f>
      </c>
      <c r="J14" s="57">
        <f>IFERROR(VLOOKUP($A:$A,CS!$A:$AK,18,FALSE),"")</f>
      </c>
      <c r="K14" s="57">
        <f>IFERROR(VLOOKUP($A:$A,CS!$A:$AK,19,FALSE),"")</f>
      </c>
      <c r="L14" s="57">
        <f>IFERROR(VLOOKUP($A:$A,CS!$A:$AK,20,FALSE),"")</f>
      </c>
      <c r="M14" s="57">
        <f>IFERROR(VLOOKUP($A:$A,CS!$A:$AK,22,FALSE),"")</f>
      </c>
      <c r="N14" s="57">
        <f>IFERROR(VLOOKUP($A:$A,CS!$A:$AK,19,FALSE),"")</f>
      </c>
      <c r="O14" s="57">
        <f>IFERROR(VLOOKUP($A:$A,CS!$A:$AK,23,FALSE),"")</f>
      </c>
      <c r="P14" s="57">
        <f>IFERROR(VLOOKUP($A:$A,CS!$A:$AK,24,FALSE),"")</f>
      </c>
      <c r="Q14" s="57">
        <f>IFERROR(VLOOKUP($A:$A,CS!$A:$AK,25,FALSE),"")</f>
      </c>
      <c r="R14" s="57">
        <f>IFERROR(VLOOKUP($A:$A,CS!$A:$AK,26,FALSE),"")</f>
      </c>
      <c r="S14" s="57">
        <f>IFERROR(VLOOKUP($A:$A,CS!$A:$AK,29,FALSE),"")</f>
      </c>
      <c r="T14" s="57">
        <f>IFERROR(VLOOKUP($A:$A,CS!$A:$AK,33,FALSE),"")</f>
      </c>
      <c r="U14" s="57">
        <f>IFERROR(VLOOKUP($A:$A,CS!$A:$AK,34,FALSE),"")</f>
      </c>
      <c r="V14" s="57">
        <f>IFERROR(VLOOKUP($A:$A,CS!$A:$AK,35,FALSE),"")</f>
      </c>
      <c r="W14" s="57">
        <f>IFERROR(VLOOKUP($A:$A,CS!$A:$AK,36,FALSE),"")</f>
      </c>
    </row>
    <row r="15" ht="16.5" customHeight="1" spans="1:23" x14ac:dyDescent="0.25">
      <c r="A15" s="3"/>
      <c r="B15" s="57">
        <f>IFERROR(VLOOKUP($A:$A,CS!$A:$AK,3,FALSE),"")</f>
      </c>
      <c r="C15" s="57">
        <f>IFERROR(VLOOKUP($A:$A,CS!$A:$AK,4,FALSE),"")</f>
      </c>
      <c r="D15" s="57">
        <f>IFERROR(VLOOKUP($A:$A,CS!$A:$AK,5,FALSE),"")</f>
      </c>
      <c r="E15" s="57">
        <f>IFERROR(VLOOKUP($A:$A,CS!$A:$AK,7,FALSE),"")</f>
      </c>
      <c r="F15" s="57">
        <f>IFERROR(VLOOKUP($A:$A,CS!$A:$AK,8,FALSE),"")</f>
      </c>
      <c r="G15" s="57">
        <f>IFERROR(VLOOKUP($A:$A,CS!$A:$AK,10,FALSE),"")</f>
      </c>
      <c r="H15" s="57">
        <f>IFERROR(VLOOKUP($A:$A,CS!$A:$AK,14,FALSE),"")</f>
      </c>
      <c r="I15" s="57">
        <f>IFERROR(VLOOKUP($A:$A,CS!$A:$AK,15,FALSE),"")</f>
      </c>
      <c r="J15" s="57">
        <f>IFERROR(VLOOKUP($A:$A,CS!$A:$AK,18,FALSE),"")</f>
      </c>
      <c r="K15" s="57">
        <f>IFERROR(VLOOKUP($A:$A,CS!$A:$AK,19,FALSE),"")</f>
      </c>
      <c r="L15" s="57">
        <f>IFERROR(VLOOKUP($A:$A,CS!$A:$AK,20,FALSE),"")</f>
      </c>
      <c r="M15" s="57">
        <f>IFERROR(VLOOKUP($A:$A,CS!$A:$AK,22,FALSE),"")</f>
      </c>
      <c r="N15" s="57">
        <f>IFERROR(VLOOKUP($A:$A,CS!$A:$AK,19,FALSE),"")</f>
      </c>
      <c r="O15" s="57">
        <f>IFERROR(VLOOKUP($A:$A,CS!$A:$AK,23,FALSE),"")</f>
      </c>
      <c r="P15" s="57">
        <f>IFERROR(VLOOKUP($A:$A,CS!$A:$AK,24,FALSE),"")</f>
      </c>
      <c r="Q15" s="57">
        <f>IFERROR(VLOOKUP($A:$A,CS!$A:$AK,25,FALSE),"")</f>
      </c>
      <c r="R15" s="57">
        <f>IFERROR(VLOOKUP($A:$A,CS!$A:$AK,26,FALSE),"")</f>
      </c>
      <c r="S15" s="57">
        <f>IFERROR(VLOOKUP($A:$A,CS!$A:$AK,29,FALSE),"")</f>
      </c>
      <c r="T15" s="57">
        <f>IFERROR(VLOOKUP($A:$A,CS!$A:$AK,33,FALSE),"")</f>
      </c>
      <c r="U15" s="57">
        <f>IFERROR(VLOOKUP($A:$A,CS!$A:$AK,34,FALSE),"")</f>
      </c>
      <c r="V15" s="57">
        <f>IFERROR(VLOOKUP($A:$A,CS!$A:$AK,35,FALSE),"")</f>
      </c>
      <c r="W15" s="57">
        <f>IFERROR(VLOOKUP($A:$A,CS!$A:$AK,36,FALSE),"")</f>
      </c>
    </row>
    <row r="16" ht="16.5" customHeight="1" spans="1:23" x14ac:dyDescent="0.25">
      <c r="A16" s="3"/>
      <c r="B16" s="57">
        <f>IFERROR(VLOOKUP($A:$A,CS!$A:$AK,3,FALSE),"")</f>
      </c>
      <c r="C16" s="57">
        <f>IFERROR(VLOOKUP($A:$A,CS!$A:$AK,4,FALSE),"")</f>
      </c>
      <c r="D16" s="57">
        <f>IFERROR(VLOOKUP($A:$A,CS!$A:$AK,5,FALSE),"")</f>
      </c>
      <c r="E16" s="57">
        <f>IFERROR(VLOOKUP($A:$A,CS!$A:$AK,7,FALSE),"")</f>
      </c>
      <c r="F16" s="57">
        <f>IFERROR(VLOOKUP($A:$A,CS!$A:$AK,8,FALSE),"")</f>
      </c>
      <c r="G16" s="57">
        <f>IFERROR(VLOOKUP($A:$A,CS!$A:$AK,10,FALSE),"")</f>
      </c>
      <c r="H16" s="57">
        <f>IFERROR(VLOOKUP($A:$A,CS!$A:$AK,14,FALSE),"")</f>
      </c>
      <c r="I16" s="57">
        <f>IFERROR(VLOOKUP($A:$A,CS!$A:$AK,15,FALSE),"")</f>
      </c>
      <c r="J16" s="57">
        <f>IFERROR(VLOOKUP($A:$A,CS!$A:$AK,18,FALSE),"")</f>
      </c>
      <c r="K16" s="57">
        <f>IFERROR(VLOOKUP($A:$A,CS!$A:$AK,19,FALSE),"")</f>
      </c>
      <c r="L16" s="57">
        <f>IFERROR(VLOOKUP($A:$A,CS!$A:$AK,20,FALSE),"")</f>
      </c>
      <c r="M16" s="57">
        <f>IFERROR(VLOOKUP($A:$A,CS!$A:$AK,22,FALSE),"")</f>
      </c>
      <c r="N16" s="57">
        <f>IFERROR(VLOOKUP($A:$A,CS!$A:$AK,19,FALSE),"")</f>
      </c>
      <c r="O16" s="57">
        <f>IFERROR(VLOOKUP($A:$A,CS!$A:$AK,23,FALSE),"")</f>
      </c>
      <c r="P16" s="57">
        <f>IFERROR(VLOOKUP($A:$A,CS!$A:$AK,24,FALSE),"")</f>
      </c>
      <c r="Q16" s="57">
        <f>IFERROR(VLOOKUP($A:$A,CS!$A:$AK,25,FALSE),"")</f>
      </c>
      <c r="R16" s="57">
        <f>IFERROR(VLOOKUP($A:$A,CS!$A:$AK,26,FALSE),"")</f>
      </c>
      <c r="S16" s="57">
        <f>IFERROR(VLOOKUP($A:$A,CS!$A:$AK,29,FALSE),"")</f>
      </c>
      <c r="T16" s="57">
        <f>IFERROR(VLOOKUP($A:$A,CS!$A:$AK,33,FALSE),"")</f>
      </c>
      <c r="U16" s="57">
        <f>IFERROR(VLOOKUP($A:$A,CS!$A:$AK,34,FALSE),"")</f>
      </c>
      <c r="V16" s="57">
        <f>IFERROR(VLOOKUP($A:$A,CS!$A:$AK,35,FALSE),"")</f>
      </c>
      <c r="W16" s="57">
        <f>IFERROR(VLOOKUP($A:$A,CS!$A:$AK,36,FALSE),"")</f>
      </c>
    </row>
    <row r="17" ht="16.5" customHeight="1" spans="1:23" x14ac:dyDescent="0.25">
      <c r="A17" s="3"/>
      <c r="B17" s="57">
        <f>IFERROR(VLOOKUP($A:$A,CS!$A:$AK,3,FALSE),"")</f>
      </c>
      <c r="C17" s="57">
        <f>IFERROR(VLOOKUP($A:$A,CS!$A:$AK,4,FALSE),"")</f>
      </c>
      <c r="D17" s="57">
        <f>IFERROR(VLOOKUP($A:$A,CS!$A:$AK,5,FALSE),"")</f>
      </c>
      <c r="E17" s="57">
        <f>IFERROR(VLOOKUP($A:$A,CS!$A:$AK,7,FALSE),"")</f>
      </c>
      <c r="F17" s="57">
        <f>IFERROR(VLOOKUP($A:$A,CS!$A:$AK,8,FALSE),"")</f>
      </c>
      <c r="G17" s="57">
        <f>IFERROR(VLOOKUP($A:$A,CS!$A:$AK,10,FALSE),"")</f>
      </c>
      <c r="H17" s="57">
        <f>IFERROR(VLOOKUP($A:$A,CS!$A:$AK,14,FALSE),"")</f>
      </c>
      <c r="I17" s="57">
        <f>IFERROR(VLOOKUP($A:$A,CS!$A:$AK,15,FALSE),"")</f>
      </c>
      <c r="J17" s="57">
        <f>IFERROR(VLOOKUP($A:$A,CS!$A:$AK,18,FALSE),"")</f>
      </c>
      <c r="K17" s="57">
        <f>IFERROR(VLOOKUP($A:$A,CS!$A:$AK,19,FALSE),"")</f>
      </c>
      <c r="L17" s="57">
        <f>IFERROR(VLOOKUP($A:$A,CS!$A:$AK,20,FALSE),"")</f>
      </c>
      <c r="M17" s="57">
        <f>IFERROR(VLOOKUP($A:$A,CS!$A:$AK,22,FALSE),"")</f>
      </c>
      <c r="N17" s="57">
        <f>IFERROR(VLOOKUP($A:$A,CS!$A:$AK,19,FALSE),"")</f>
      </c>
      <c r="O17" s="57">
        <f>IFERROR(VLOOKUP($A:$A,CS!$A:$AK,23,FALSE),"")</f>
      </c>
      <c r="P17" s="57">
        <f>IFERROR(VLOOKUP($A:$A,CS!$A:$AK,24,FALSE),"")</f>
      </c>
      <c r="Q17" s="57">
        <f>IFERROR(VLOOKUP($A:$A,CS!$A:$AK,25,FALSE),"")</f>
      </c>
      <c r="R17" s="57">
        <f>IFERROR(VLOOKUP($A:$A,CS!$A:$AK,26,FALSE),"")</f>
      </c>
      <c r="S17" s="57">
        <f>IFERROR(VLOOKUP($A:$A,CS!$A:$AK,29,FALSE),"")</f>
      </c>
      <c r="T17" s="57">
        <f>IFERROR(VLOOKUP($A:$A,CS!$A:$AK,33,FALSE),"")</f>
      </c>
      <c r="U17" s="57">
        <f>IFERROR(VLOOKUP($A:$A,CS!$A:$AK,34,FALSE),"")</f>
      </c>
      <c r="V17" s="57">
        <f>IFERROR(VLOOKUP($A:$A,CS!$A:$AK,35,FALSE),"")</f>
      </c>
      <c r="W17" s="57">
        <f>IFERROR(VLOOKUP($A:$A,CS!$A:$AK,36,FALSE),"")</f>
      </c>
    </row>
    <row r="18" ht="16.5" customHeight="1" spans="1:23" x14ac:dyDescent="0.25">
      <c r="A18" s="3"/>
      <c r="B18" s="57">
        <f>IFERROR(VLOOKUP($A:$A,CS!$A:$AK,3,FALSE),"")</f>
      </c>
      <c r="C18" s="57">
        <f>IFERROR(VLOOKUP($A:$A,CS!$A:$AK,4,FALSE),"")</f>
      </c>
      <c r="D18" s="57">
        <f>IFERROR(VLOOKUP($A:$A,CS!$A:$AK,5,FALSE),"")</f>
      </c>
      <c r="E18" s="57">
        <f>IFERROR(VLOOKUP($A:$A,CS!$A:$AK,7,FALSE),"")</f>
      </c>
      <c r="F18" s="57">
        <f>IFERROR(VLOOKUP($A:$A,CS!$A:$AK,8,FALSE),"")</f>
      </c>
      <c r="G18" s="57">
        <f>IFERROR(VLOOKUP($A:$A,CS!$A:$AK,10,FALSE),"")</f>
      </c>
      <c r="H18" s="57">
        <f>IFERROR(VLOOKUP($A:$A,CS!$A:$AK,14,FALSE),"")</f>
      </c>
      <c r="I18" s="57">
        <f>IFERROR(VLOOKUP($A:$A,CS!$A:$AK,15,FALSE),"")</f>
      </c>
      <c r="J18" s="57">
        <f>IFERROR(VLOOKUP($A:$A,CS!$A:$AK,18,FALSE),"")</f>
      </c>
      <c r="K18" s="57">
        <f>IFERROR(VLOOKUP($A:$A,CS!$A:$AK,19,FALSE),"")</f>
      </c>
      <c r="L18" s="57">
        <f>IFERROR(VLOOKUP($A:$A,CS!$A:$AK,20,FALSE),"")</f>
      </c>
      <c r="M18" s="57">
        <f>IFERROR(VLOOKUP($A:$A,CS!$A:$AK,22,FALSE),"")</f>
      </c>
      <c r="N18" s="57">
        <f>IFERROR(VLOOKUP($A:$A,CS!$A:$AK,19,FALSE),"")</f>
      </c>
      <c r="O18" s="57">
        <f>IFERROR(VLOOKUP($A:$A,CS!$A:$AK,23,FALSE),"")</f>
      </c>
      <c r="P18" s="57">
        <f>IFERROR(VLOOKUP($A:$A,CS!$A:$AK,24,FALSE),"")</f>
      </c>
      <c r="Q18" s="57">
        <f>IFERROR(VLOOKUP($A:$A,CS!$A:$AK,25,FALSE),"")</f>
      </c>
      <c r="R18" s="57">
        <f>IFERROR(VLOOKUP($A:$A,CS!$A:$AK,26,FALSE),"")</f>
      </c>
      <c r="S18" s="57">
        <f>IFERROR(VLOOKUP($A:$A,CS!$A:$AK,29,FALSE),"")</f>
      </c>
      <c r="T18" s="57">
        <f>IFERROR(VLOOKUP($A:$A,CS!$A:$AK,33,FALSE),"")</f>
      </c>
      <c r="U18" s="57">
        <f>IFERROR(VLOOKUP($A:$A,CS!$A:$AK,34,FALSE),"")</f>
      </c>
      <c r="V18" s="57">
        <f>IFERROR(VLOOKUP($A:$A,CS!$A:$AK,35,FALSE),"")</f>
      </c>
      <c r="W18" s="57">
        <f>IFERROR(VLOOKUP($A:$A,CS!$A:$AK,36,FALSE),"")</f>
      </c>
    </row>
    <row r="19" ht="16.5" customHeight="1" spans="1:23" x14ac:dyDescent="0.25">
      <c r="A19" s="3"/>
      <c r="B19" s="57">
        <f>IFERROR(VLOOKUP($A:$A,CS!$A:$AK,3,FALSE),"")</f>
      </c>
      <c r="C19" s="57">
        <f>IFERROR(VLOOKUP($A:$A,CS!$A:$AK,4,FALSE),"")</f>
      </c>
      <c r="D19" s="57">
        <f>IFERROR(VLOOKUP($A:$A,CS!$A:$AK,5,FALSE),"")</f>
      </c>
      <c r="E19" s="57">
        <f>IFERROR(VLOOKUP($A:$A,CS!$A:$AK,7,FALSE),"")</f>
      </c>
      <c r="F19" s="57">
        <f>IFERROR(VLOOKUP($A:$A,CS!$A:$AK,8,FALSE),"")</f>
      </c>
      <c r="G19" s="57">
        <f>IFERROR(VLOOKUP($A:$A,CS!$A:$AK,10,FALSE),"")</f>
      </c>
      <c r="H19" s="57">
        <f>IFERROR(VLOOKUP($A:$A,CS!$A:$AK,14,FALSE),"")</f>
      </c>
      <c r="I19" s="57">
        <f>IFERROR(VLOOKUP($A:$A,CS!$A:$AK,15,FALSE),"")</f>
      </c>
      <c r="J19" s="57">
        <f>IFERROR(VLOOKUP($A:$A,CS!$A:$AK,18,FALSE),"")</f>
      </c>
      <c r="K19" s="57">
        <f>IFERROR(VLOOKUP($A:$A,CS!$A:$AK,19,FALSE),"")</f>
      </c>
      <c r="L19" s="57">
        <f>IFERROR(VLOOKUP($A:$A,CS!$A:$AK,20,FALSE),"")</f>
      </c>
      <c r="M19" s="57">
        <f>IFERROR(VLOOKUP($A:$A,CS!$A:$AK,22,FALSE),"")</f>
      </c>
      <c r="N19" s="57">
        <f>IFERROR(VLOOKUP($A:$A,CS!$A:$AK,19,FALSE),"")</f>
      </c>
      <c r="O19" s="57">
        <f>IFERROR(VLOOKUP($A:$A,CS!$A:$AK,23,FALSE),"")</f>
      </c>
      <c r="P19" s="57">
        <f>IFERROR(VLOOKUP($A:$A,CS!$A:$AK,24,FALSE),"")</f>
      </c>
      <c r="Q19" s="57">
        <f>IFERROR(VLOOKUP($A:$A,CS!$A:$AK,25,FALSE),"")</f>
      </c>
      <c r="R19" s="57">
        <f>IFERROR(VLOOKUP($A:$A,CS!$A:$AK,26,FALSE),"")</f>
      </c>
      <c r="S19" s="57">
        <f>IFERROR(VLOOKUP($A:$A,CS!$A:$AK,29,FALSE),"")</f>
      </c>
      <c r="T19" s="57">
        <f>IFERROR(VLOOKUP($A:$A,CS!$A:$AK,33,FALSE),"")</f>
      </c>
      <c r="U19" s="57">
        <f>IFERROR(VLOOKUP($A:$A,CS!$A:$AK,34,FALSE),"")</f>
      </c>
      <c r="V19" s="57">
        <f>IFERROR(VLOOKUP($A:$A,CS!$A:$AK,35,FALSE),"")</f>
      </c>
      <c r="W19" s="57">
        <f>IFERROR(VLOOKUP($A:$A,CS!$A:$AK,36,FALSE),"")</f>
      </c>
    </row>
    <row r="20" ht="16.5" customHeight="1" spans="1:23" x14ac:dyDescent="0.25">
      <c r="A20" s="3"/>
      <c r="B20" s="57">
        <f>IFERROR(VLOOKUP($A:$A,CS!$A:$AK,3,FALSE),"")</f>
      </c>
      <c r="C20" s="57">
        <f>IFERROR(VLOOKUP($A:$A,CS!$A:$AK,4,FALSE),"")</f>
      </c>
      <c r="D20" s="57">
        <f>IFERROR(VLOOKUP($A:$A,CS!$A:$AK,5,FALSE),"")</f>
      </c>
      <c r="E20" s="57">
        <f>IFERROR(VLOOKUP($A:$A,CS!$A:$AK,7,FALSE),"")</f>
      </c>
      <c r="F20" s="57">
        <f>IFERROR(VLOOKUP($A:$A,CS!$A:$AK,8,FALSE),"")</f>
      </c>
      <c r="G20" s="57">
        <f>IFERROR(VLOOKUP($A:$A,CS!$A:$AK,10,FALSE),"")</f>
      </c>
      <c r="H20" s="57">
        <f>IFERROR(VLOOKUP($A:$A,CS!$A:$AK,14,FALSE),"")</f>
      </c>
      <c r="I20" s="57">
        <f>IFERROR(VLOOKUP($A:$A,CS!$A:$AK,15,FALSE),"")</f>
      </c>
      <c r="J20" s="57">
        <f>IFERROR(VLOOKUP($A:$A,CS!$A:$AK,18,FALSE),"")</f>
      </c>
      <c r="K20" s="57">
        <f>IFERROR(VLOOKUP($A:$A,CS!$A:$AK,19,FALSE),"")</f>
      </c>
      <c r="L20" s="57">
        <f>IFERROR(VLOOKUP($A:$A,CS!$A:$AK,20,FALSE),"")</f>
      </c>
      <c r="M20" s="57">
        <f>IFERROR(VLOOKUP($A:$A,CS!$A:$AK,22,FALSE),"")</f>
      </c>
      <c r="N20" s="57">
        <f>IFERROR(VLOOKUP($A:$A,CS!$A:$AK,19,FALSE),"")</f>
      </c>
      <c r="O20" s="57">
        <f>IFERROR(VLOOKUP($A:$A,CS!$A:$AK,23,FALSE),"")</f>
      </c>
      <c r="P20" s="57">
        <f>IFERROR(VLOOKUP($A:$A,CS!$A:$AK,24,FALSE),"")</f>
      </c>
      <c r="Q20" s="57">
        <f>IFERROR(VLOOKUP($A:$A,CS!$A:$AK,25,FALSE),"")</f>
      </c>
      <c r="R20" s="57">
        <f>IFERROR(VLOOKUP($A:$A,CS!$A:$AK,26,FALSE),"")</f>
      </c>
      <c r="S20" s="57">
        <f>IFERROR(VLOOKUP($A:$A,CS!$A:$AK,29,FALSE),"")</f>
      </c>
      <c r="T20" s="57">
        <f>IFERROR(VLOOKUP($A:$A,CS!$A:$AK,33,FALSE),"")</f>
      </c>
      <c r="U20" s="57">
        <f>IFERROR(VLOOKUP($A:$A,CS!$A:$AK,34,FALSE),"")</f>
      </c>
      <c r="V20" s="57">
        <f>IFERROR(VLOOKUP($A:$A,CS!$A:$AK,35,FALSE),"")</f>
      </c>
      <c r="W20" s="57">
        <f>IFERROR(VLOOKUP($A:$A,CS!$A:$AK,36,FALSE),"")</f>
      </c>
    </row>
    <row r="21" ht="16.5" customHeight="1" spans="1:23" x14ac:dyDescent="0.25">
      <c r="A21" s="3"/>
      <c r="B21" s="57">
        <f>IFERROR(VLOOKUP($A:$A,CS!$A:$AK,3,FALSE),"")</f>
      </c>
      <c r="C21" s="57">
        <f>IFERROR(VLOOKUP($A:$A,CS!$A:$AK,4,FALSE),"")</f>
      </c>
      <c r="D21" s="57">
        <f>IFERROR(VLOOKUP($A:$A,CS!$A:$AK,5,FALSE),"")</f>
      </c>
      <c r="E21" s="57">
        <f>IFERROR(VLOOKUP($A:$A,CS!$A:$AK,7,FALSE),"")</f>
      </c>
      <c r="F21" s="57">
        <f>IFERROR(VLOOKUP($A:$A,CS!$A:$AK,8,FALSE),"")</f>
      </c>
      <c r="G21" s="57">
        <f>IFERROR(VLOOKUP($A:$A,CS!$A:$AK,10,FALSE),"")</f>
      </c>
      <c r="H21" s="57">
        <f>IFERROR(VLOOKUP($A:$A,CS!$A:$AK,14,FALSE),"")</f>
      </c>
      <c r="I21" s="57">
        <f>IFERROR(VLOOKUP($A:$A,CS!$A:$AK,15,FALSE),"")</f>
      </c>
      <c r="J21" s="57">
        <f>IFERROR(VLOOKUP($A:$A,CS!$A:$AK,18,FALSE),"")</f>
      </c>
      <c r="K21" s="57">
        <f>IFERROR(VLOOKUP($A:$A,CS!$A:$AK,19,FALSE),"")</f>
      </c>
      <c r="L21" s="57">
        <f>IFERROR(VLOOKUP($A:$A,CS!$A:$AK,20,FALSE),"")</f>
      </c>
      <c r="M21" s="57">
        <f>IFERROR(VLOOKUP($A:$A,CS!$A:$AK,22,FALSE),"")</f>
      </c>
      <c r="N21" s="57">
        <f>IFERROR(VLOOKUP($A:$A,CS!$A:$AK,19,FALSE),"")</f>
      </c>
      <c r="O21" s="57">
        <f>IFERROR(VLOOKUP($A:$A,CS!$A:$AK,23,FALSE),"")</f>
      </c>
      <c r="P21" s="57">
        <f>IFERROR(VLOOKUP($A:$A,CS!$A:$AK,24,FALSE),"")</f>
      </c>
      <c r="Q21" s="57">
        <f>IFERROR(VLOOKUP($A:$A,CS!$A:$AK,25,FALSE),"")</f>
      </c>
      <c r="R21" s="57">
        <f>IFERROR(VLOOKUP($A:$A,CS!$A:$AK,26,FALSE),"")</f>
      </c>
      <c r="S21" s="57">
        <f>IFERROR(VLOOKUP($A:$A,CS!$A:$AK,29,FALSE),"")</f>
      </c>
      <c r="T21" s="57">
        <f>IFERROR(VLOOKUP($A:$A,CS!$A:$AK,33,FALSE),"")</f>
      </c>
      <c r="U21" s="57">
        <f>IFERROR(VLOOKUP($A:$A,CS!$A:$AK,34,FALSE),"")</f>
      </c>
      <c r="V21" s="57">
        <f>IFERROR(VLOOKUP($A:$A,CS!$A:$AK,35,FALSE),"")</f>
      </c>
      <c r="W21" s="57">
        <f>IFERROR(VLOOKUP($A:$A,CS!$A:$AK,36,FALSE),"")</f>
      </c>
    </row>
    <row r="22" ht="16.5" customHeight="1" spans="1:23" x14ac:dyDescent="0.25">
      <c r="A22" s="3"/>
      <c r="B22" s="57">
        <f>IFERROR(VLOOKUP($A:$A,CS!$A:$AK,3,FALSE),"")</f>
      </c>
      <c r="C22" s="57">
        <f>IFERROR(VLOOKUP($A:$A,CS!$A:$AK,4,FALSE),"")</f>
      </c>
      <c r="D22" s="57">
        <f>IFERROR(VLOOKUP($A:$A,CS!$A:$AK,5,FALSE),"")</f>
      </c>
      <c r="E22" s="57">
        <f>IFERROR(VLOOKUP($A:$A,CS!$A:$AK,7,FALSE),"")</f>
      </c>
      <c r="F22" s="57">
        <f>IFERROR(VLOOKUP($A:$A,CS!$A:$AK,8,FALSE),"")</f>
      </c>
      <c r="G22" s="57">
        <f>IFERROR(VLOOKUP($A:$A,CS!$A:$AK,10,FALSE),"")</f>
      </c>
      <c r="H22" s="57">
        <f>IFERROR(VLOOKUP($A:$A,CS!$A:$AK,14,FALSE),"")</f>
      </c>
      <c r="I22" s="57">
        <f>IFERROR(VLOOKUP($A:$A,CS!$A:$AK,15,FALSE),"")</f>
      </c>
      <c r="J22" s="57">
        <f>IFERROR(VLOOKUP($A:$A,CS!$A:$AK,18,FALSE),"")</f>
      </c>
      <c r="K22" s="57">
        <f>IFERROR(VLOOKUP($A:$A,CS!$A:$AK,19,FALSE),"")</f>
      </c>
      <c r="L22" s="57">
        <f>IFERROR(VLOOKUP($A:$A,CS!$A:$AK,20,FALSE),"")</f>
      </c>
      <c r="M22" s="57">
        <f>IFERROR(VLOOKUP($A:$A,CS!$A:$AK,22,FALSE),"")</f>
      </c>
      <c r="N22" s="57">
        <f>IFERROR(VLOOKUP($A:$A,CS!$A:$AK,19,FALSE),"")</f>
      </c>
      <c r="O22" s="57">
        <f>IFERROR(VLOOKUP($A:$A,CS!$A:$AK,23,FALSE),"")</f>
      </c>
      <c r="P22" s="57">
        <f>IFERROR(VLOOKUP($A:$A,CS!$A:$AK,24,FALSE),"")</f>
      </c>
      <c r="Q22" s="57">
        <f>IFERROR(VLOOKUP($A:$A,CS!$A:$AK,25,FALSE),"")</f>
      </c>
      <c r="R22" s="57">
        <f>IFERROR(VLOOKUP($A:$A,CS!$A:$AK,26,FALSE),"")</f>
      </c>
      <c r="S22" s="57">
        <f>IFERROR(VLOOKUP($A:$A,CS!$A:$AK,29,FALSE),"")</f>
      </c>
      <c r="T22" s="57">
        <f>IFERROR(VLOOKUP($A:$A,CS!$A:$AK,33,FALSE),"")</f>
      </c>
      <c r="U22" s="57">
        <f>IFERROR(VLOOKUP($A:$A,CS!$A:$AK,34,FALSE),"")</f>
      </c>
      <c r="V22" s="57">
        <f>IFERROR(VLOOKUP($A:$A,CS!$A:$AK,35,FALSE),"")</f>
      </c>
      <c r="W22" s="57">
        <f>IFERROR(VLOOKUP($A:$A,CS!$A:$AK,36,FALSE),"")</f>
      </c>
    </row>
    <row r="23" ht="16.5" customHeight="1" spans="1:23" x14ac:dyDescent="0.25">
      <c r="A23" s="70"/>
      <c r="B23" s="57">
        <f>IFERROR(VLOOKUP($A:$A,CS!$A:$AK,3,FALSE),"")</f>
      </c>
      <c r="C23" s="57">
        <f>IFERROR(VLOOKUP($A:$A,CS!$A:$AK,4,FALSE),"")</f>
      </c>
      <c r="D23" s="57">
        <f>IFERROR(VLOOKUP($A:$A,CS!$A:$AK,5,FALSE),"")</f>
      </c>
      <c r="E23" s="57">
        <f>IFERROR(VLOOKUP($A:$A,CS!$A:$AK,7,FALSE),"")</f>
      </c>
      <c r="F23" s="57">
        <f>IFERROR(VLOOKUP($A:$A,CS!$A:$AK,8,FALSE),"")</f>
      </c>
      <c r="G23" s="57">
        <f>IFERROR(VLOOKUP($A:$A,CS!$A:$AK,10,FALSE),"")</f>
      </c>
      <c r="H23" s="57">
        <f>IFERROR(VLOOKUP($A:$A,CS!$A:$AK,14,FALSE),"")</f>
      </c>
      <c r="I23" s="57">
        <f>IFERROR(VLOOKUP($A:$A,CS!$A:$AK,15,FALSE),"")</f>
      </c>
      <c r="J23" s="57">
        <f>IFERROR(VLOOKUP($A:$A,CS!$A:$AK,18,FALSE),"")</f>
      </c>
      <c r="K23" s="57">
        <f>IFERROR(VLOOKUP($A:$A,CS!$A:$AK,19,FALSE),"")</f>
      </c>
      <c r="L23" s="57">
        <f>IFERROR(VLOOKUP($A:$A,CS!$A:$AK,20,FALSE),"")</f>
      </c>
      <c r="M23" s="57">
        <f>IFERROR(VLOOKUP($A:$A,CS!$A:$AK,22,FALSE),"")</f>
      </c>
      <c r="N23" s="57">
        <f>IFERROR(VLOOKUP($A:$A,CS!$A:$AK,19,FALSE),"")</f>
      </c>
      <c r="O23" s="57">
        <f>IFERROR(VLOOKUP($A:$A,CS!$A:$AK,23,FALSE),"")</f>
      </c>
      <c r="P23" s="57">
        <f>IFERROR(VLOOKUP($A:$A,CS!$A:$AK,24,FALSE),"")</f>
      </c>
      <c r="Q23" s="57">
        <f>IFERROR(VLOOKUP($A:$A,CS!$A:$AK,25,FALSE),"")</f>
      </c>
      <c r="R23" s="57">
        <f>IFERROR(VLOOKUP($A:$A,CS!$A:$AK,26,FALSE),"")</f>
      </c>
      <c r="S23" s="57">
        <f>IFERROR(VLOOKUP($A:$A,CS!$A:$AK,29,FALSE),"")</f>
      </c>
      <c r="T23" s="57">
        <f>IFERROR(VLOOKUP($A:$A,CS!$A:$AK,33,FALSE),"")</f>
      </c>
      <c r="U23" s="57">
        <f>IFERROR(VLOOKUP($A:$A,CS!$A:$AK,34,FALSE),"")</f>
      </c>
      <c r="V23" s="57">
        <f>IFERROR(VLOOKUP($A:$A,CS!$A:$AK,35,FALSE),"")</f>
      </c>
      <c r="W23" s="57">
        <f>IFERROR(VLOOKUP($A:$A,CS!$A:$AK,36,FALSE),"")</f>
      </c>
    </row>
    <row r="24" ht="16.5" customHeight="1" spans="1:23" x14ac:dyDescent="0.25">
      <c r="A24" s="3"/>
      <c r="B24" s="57">
        <f>IFERROR(VLOOKUP($A:$A,CS!$A:$AK,3,FALSE),"")</f>
      </c>
      <c r="C24" s="57">
        <f>IFERROR(VLOOKUP($A:$A,CS!$A:$AK,4,FALSE),"")</f>
      </c>
      <c r="D24" s="57">
        <f>IFERROR(VLOOKUP($A:$A,CS!$A:$AK,5,FALSE),"")</f>
      </c>
      <c r="E24" s="57">
        <f>IFERROR(VLOOKUP($A:$A,CS!$A:$AK,7,FALSE),"")</f>
      </c>
      <c r="F24" s="57">
        <f>IFERROR(VLOOKUP($A:$A,CS!$A:$AK,8,FALSE),"")</f>
      </c>
      <c r="G24" s="57">
        <f>IFERROR(VLOOKUP($A:$A,CS!$A:$AK,10,FALSE),"")</f>
      </c>
      <c r="H24" s="57">
        <f>IFERROR(VLOOKUP($A:$A,CS!$A:$AK,14,FALSE),"")</f>
      </c>
      <c r="I24" s="57">
        <f>IFERROR(VLOOKUP($A:$A,CS!$A:$AK,15,FALSE),"")</f>
      </c>
      <c r="J24" s="57">
        <f>IFERROR(VLOOKUP($A:$A,CS!$A:$AK,18,FALSE),"")</f>
      </c>
      <c r="K24" s="57">
        <f>IFERROR(VLOOKUP($A:$A,CS!$A:$AK,19,FALSE),"")</f>
      </c>
      <c r="L24" s="57">
        <f>IFERROR(VLOOKUP($A:$A,CS!$A:$AK,20,FALSE),"")</f>
      </c>
      <c r="M24" s="57">
        <f>IFERROR(VLOOKUP($A:$A,CS!$A:$AK,22,FALSE),"")</f>
      </c>
      <c r="N24" s="57">
        <f>IFERROR(VLOOKUP($A:$A,CS!$A:$AK,19,FALSE),"")</f>
      </c>
      <c r="O24" s="57">
        <f>IFERROR(VLOOKUP($A:$A,CS!$A:$AK,23,FALSE),"")</f>
      </c>
      <c r="P24" s="57">
        <f>IFERROR(VLOOKUP($A:$A,CS!$A:$AK,24,FALSE),"")</f>
      </c>
      <c r="Q24" s="57">
        <f>IFERROR(VLOOKUP($A:$A,CS!$A:$AK,25,FALSE),"")</f>
      </c>
      <c r="R24" s="57">
        <f>IFERROR(VLOOKUP($A:$A,CS!$A:$AK,26,FALSE),"")</f>
      </c>
      <c r="S24" s="57">
        <f>IFERROR(VLOOKUP($A:$A,CS!$A:$AK,29,FALSE),"")</f>
      </c>
      <c r="T24" s="57">
        <f>IFERROR(VLOOKUP($A:$A,CS!$A:$AK,33,FALSE),"")</f>
      </c>
      <c r="U24" s="57">
        <f>IFERROR(VLOOKUP($A:$A,CS!$A:$AK,34,FALSE),"")</f>
      </c>
      <c r="V24" s="57">
        <f>IFERROR(VLOOKUP($A:$A,CS!$A:$AK,35,FALSE),"")</f>
      </c>
      <c r="W24" s="57">
        <f>IFERROR(VLOOKUP($A:$A,CS!$A:$AK,36,FALSE),"")</f>
      </c>
    </row>
    <row r="25" ht="16.5" customHeight="1" spans="1:23" x14ac:dyDescent="0.25">
      <c r="A25" s="3"/>
      <c r="B25" s="57">
        <f>IFERROR(VLOOKUP($A:$A,CS!$A:$AK,3,FALSE),"")</f>
      </c>
      <c r="C25" s="57">
        <f>IFERROR(VLOOKUP($A:$A,CS!$A:$AK,4,FALSE),"")</f>
      </c>
      <c r="D25" s="57">
        <f>IFERROR(VLOOKUP($A:$A,CS!$A:$AK,5,FALSE),"")</f>
      </c>
      <c r="E25" s="57">
        <f>IFERROR(VLOOKUP($A:$A,CS!$A:$AK,7,FALSE),"")</f>
      </c>
      <c r="F25" s="57">
        <f>IFERROR(VLOOKUP($A:$A,CS!$A:$AK,8,FALSE),"")</f>
      </c>
      <c r="G25" s="57">
        <f>IFERROR(VLOOKUP($A:$A,CS!$A:$AK,10,FALSE),"")</f>
      </c>
      <c r="H25" s="57">
        <f>IFERROR(VLOOKUP($A:$A,CS!$A:$AK,14,FALSE),"")</f>
      </c>
      <c r="I25" s="57">
        <f>IFERROR(VLOOKUP($A:$A,CS!$A:$AK,15,FALSE),"")</f>
      </c>
      <c r="J25" s="57">
        <f>IFERROR(VLOOKUP($A:$A,CS!$A:$AK,18,FALSE),"")</f>
      </c>
      <c r="K25" s="57">
        <f>IFERROR(VLOOKUP($A:$A,CS!$A:$AK,19,FALSE),"")</f>
      </c>
      <c r="L25" s="57">
        <f>IFERROR(VLOOKUP($A:$A,CS!$A:$AK,20,FALSE),"")</f>
      </c>
      <c r="M25" s="57">
        <f>IFERROR(VLOOKUP($A:$A,CS!$A:$AK,22,FALSE),"")</f>
      </c>
      <c r="N25" s="57">
        <f>IFERROR(VLOOKUP($A:$A,CS!$A:$AK,19,FALSE),"")</f>
      </c>
      <c r="O25" s="57">
        <f>IFERROR(VLOOKUP($A:$A,CS!$A:$AK,23,FALSE),"")</f>
      </c>
      <c r="P25" s="57">
        <f>IFERROR(VLOOKUP($A:$A,CS!$A:$AK,24,FALSE),"")</f>
      </c>
      <c r="Q25" s="57">
        <f>IFERROR(VLOOKUP($A:$A,CS!$A:$AK,25,FALSE),"")</f>
      </c>
      <c r="R25" s="57">
        <f>IFERROR(VLOOKUP($A:$A,CS!$A:$AK,26,FALSE),"")</f>
      </c>
      <c r="S25" s="57">
        <f>IFERROR(VLOOKUP($A:$A,CS!$A:$AK,29,FALSE),"")</f>
      </c>
      <c r="T25" s="57">
        <f>IFERROR(VLOOKUP($A:$A,CS!$A:$AK,33,FALSE),"")</f>
      </c>
      <c r="U25" s="57">
        <f>IFERROR(VLOOKUP($A:$A,CS!$A:$AK,34,FALSE),"")</f>
      </c>
      <c r="V25" s="57">
        <f>IFERROR(VLOOKUP($A:$A,CS!$A:$AK,35,FALSE),"")</f>
      </c>
      <c r="W25" s="57">
        <f>IFERROR(VLOOKUP($A:$A,CS!$A:$AK,36,FALSE),"")</f>
      </c>
    </row>
    <row r="26" ht="16.5" customHeight="1" spans="1:23" x14ac:dyDescent="0.25">
      <c r="A26" s="3"/>
      <c r="B26" s="57">
        <f>IFERROR(VLOOKUP($A:$A,CS!$A:$AK,3,FALSE),"")</f>
      </c>
      <c r="C26" s="57">
        <f>IFERROR(VLOOKUP($A:$A,CS!$A:$AK,4,FALSE),"")</f>
      </c>
      <c r="D26" s="57">
        <f>IFERROR(VLOOKUP($A:$A,CS!$A:$AK,5,FALSE),"")</f>
      </c>
      <c r="E26" s="57">
        <f>IFERROR(VLOOKUP($A:$A,CS!$A:$AK,7,FALSE),"")</f>
      </c>
      <c r="F26" s="57">
        <f>IFERROR(VLOOKUP($A:$A,CS!$A:$AK,8,FALSE),"")</f>
      </c>
      <c r="G26" s="57">
        <f>IFERROR(VLOOKUP($A:$A,CS!$A:$AK,10,FALSE),"")</f>
      </c>
      <c r="H26" s="57">
        <f>IFERROR(VLOOKUP($A:$A,CS!$A:$AK,14,FALSE),"")</f>
      </c>
      <c r="I26" s="57">
        <f>IFERROR(VLOOKUP($A:$A,CS!$A:$AK,15,FALSE),"")</f>
      </c>
      <c r="J26" s="57">
        <f>IFERROR(VLOOKUP($A:$A,CS!$A:$AK,18,FALSE),"")</f>
      </c>
      <c r="K26" s="57">
        <f>IFERROR(VLOOKUP($A:$A,CS!$A:$AK,19,FALSE),"")</f>
      </c>
      <c r="L26" s="57">
        <f>IFERROR(VLOOKUP($A:$A,CS!$A:$AK,20,FALSE),"")</f>
      </c>
      <c r="M26" s="57">
        <f>IFERROR(VLOOKUP($A:$A,CS!$A:$AK,22,FALSE),"")</f>
      </c>
      <c r="N26" s="57">
        <f>IFERROR(VLOOKUP($A:$A,CS!$A:$AK,19,FALSE),"")</f>
      </c>
      <c r="O26" s="57">
        <f>IFERROR(VLOOKUP($A:$A,CS!$A:$AK,23,FALSE),"")</f>
      </c>
      <c r="P26" s="57">
        <f>IFERROR(VLOOKUP($A:$A,CS!$A:$AK,24,FALSE),"")</f>
      </c>
      <c r="Q26" s="57">
        <f>IFERROR(VLOOKUP($A:$A,CS!$A:$AK,25,FALSE),"")</f>
      </c>
      <c r="R26" s="57">
        <f>IFERROR(VLOOKUP($A:$A,CS!$A:$AK,26,FALSE),"")</f>
      </c>
      <c r="S26" s="57">
        <f>IFERROR(VLOOKUP($A:$A,CS!$A:$AK,29,FALSE),"")</f>
      </c>
      <c r="T26" s="57">
        <f>IFERROR(VLOOKUP($A:$A,CS!$A:$AK,33,FALSE),"")</f>
      </c>
      <c r="U26" s="57">
        <f>IFERROR(VLOOKUP($A:$A,CS!$A:$AK,34,FALSE),"")</f>
      </c>
      <c r="V26" s="57">
        <f>IFERROR(VLOOKUP($A:$A,CS!$A:$AK,35,FALSE),"")</f>
      </c>
      <c r="W26" s="57">
        <f>IFERROR(VLOOKUP($A:$A,CS!$A:$AK,36,FALSE),"")</f>
      </c>
    </row>
    <row r="27" ht="16.5" customHeight="1" spans="1:23" x14ac:dyDescent="0.25">
      <c r="A27" s="3"/>
      <c r="B27" s="57">
        <f>IFERROR(VLOOKUP($A:$A,CS!$A:$AK,3,FALSE),"")</f>
      </c>
      <c r="C27" s="57">
        <f>IFERROR(VLOOKUP($A:$A,CS!$A:$AK,4,FALSE),"")</f>
      </c>
      <c r="D27" s="57">
        <f>IFERROR(VLOOKUP($A:$A,CS!$A:$AK,5,FALSE),"")</f>
      </c>
      <c r="E27" s="57">
        <f>IFERROR(VLOOKUP($A:$A,CS!$A:$AK,7,FALSE),"")</f>
      </c>
      <c r="F27" s="57">
        <f>IFERROR(VLOOKUP($A:$A,CS!$A:$AK,8,FALSE),"")</f>
      </c>
      <c r="G27" s="57">
        <f>IFERROR(VLOOKUP($A:$A,CS!$A:$AK,10,FALSE),"")</f>
      </c>
      <c r="H27" s="57">
        <f>IFERROR(VLOOKUP($A:$A,CS!$A:$AK,14,FALSE),"")</f>
      </c>
      <c r="I27" s="57">
        <f>IFERROR(VLOOKUP($A:$A,CS!$A:$AK,15,FALSE),"")</f>
      </c>
      <c r="J27" s="57">
        <f>IFERROR(VLOOKUP($A:$A,CS!$A:$AK,18,FALSE),"")</f>
      </c>
      <c r="K27" s="57">
        <f>IFERROR(VLOOKUP($A:$A,CS!$A:$AK,19,FALSE),"")</f>
      </c>
      <c r="L27" s="57">
        <f>IFERROR(VLOOKUP($A:$A,CS!$A:$AK,20,FALSE),"")</f>
      </c>
      <c r="M27" s="57">
        <f>IFERROR(VLOOKUP($A:$A,CS!$A:$AK,22,FALSE),"")</f>
      </c>
      <c r="N27" s="57">
        <f>IFERROR(VLOOKUP($A:$A,CS!$A:$AK,19,FALSE),"")</f>
      </c>
      <c r="O27" s="57">
        <f>IFERROR(VLOOKUP($A:$A,CS!$A:$AK,23,FALSE),"")</f>
      </c>
      <c r="P27" s="57">
        <f>IFERROR(VLOOKUP($A:$A,CS!$A:$AK,24,FALSE),"")</f>
      </c>
      <c r="Q27" s="57">
        <f>IFERROR(VLOOKUP($A:$A,CS!$A:$AK,25,FALSE),"")</f>
      </c>
      <c r="R27" s="57">
        <f>IFERROR(VLOOKUP($A:$A,CS!$A:$AK,26,FALSE),"")</f>
      </c>
      <c r="S27" s="57">
        <f>IFERROR(VLOOKUP($A:$A,CS!$A:$AK,29,FALSE),"")</f>
      </c>
      <c r="T27" s="57">
        <f>IFERROR(VLOOKUP($A:$A,CS!$A:$AK,33,FALSE),"")</f>
      </c>
      <c r="U27" s="57">
        <f>IFERROR(VLOOKUP($A:$A,CS!$A:$AK,34,FALSE),"")</f>
      </c>
      <c r="V27" s="57">
        <f>IFERROR(VLOOKUP($A:$A,CS!$A:$AK,35,FALSE),"")</f>
      </c>
      <c r="W27" s="57">
        <f>IFERROR(VLOOKUP($A:$A,CS!$A:$AK,36,FALSE),"")</f>
      </c>
    </row>
    <row r="28" ht="16.5" customHeight="1" spans="1:23" x14ac:dyDescent="0.25">
      <c r="A28" s="3"/>
      <c r="B28" s="57">
        <f>IFERROR(VLOOKUP($A:$A,CS!$A:$AK,3,FALSE),"")</f>
      </c>
      <c r="C28" s="57">
        <f>IFERROR(VLOOKUP($A:$A,CS!$A:$AK,4,FALSE),"")</f>
      </c>
      <c r="D28" s="57">
        <f>IFERROR(VLOOKUP($A:$A,CS!$A:$AK,5,FALSE),"")</f>
      </c>
      <c r="E28" s="57">
        <f>IFERROR(VLOOKUP($A:$A,CS!$A:$AK,7,FALSE),"")</f>
      </c>
      <c r="F28" s="57">
        <f>IFERROR(VLOOKUP($A:$A,CS!$A:$AK,8,FALSE),"")</f>
      </c>
      <c r="G28" s="57">
        <f>IFERROR(VLOOKUP($A:$A,CS!$A:$AK,10,FALSE),"")</f>
      </c>
      <c r="H28" s="57">
        <f>IFERROR(VLOOKUP($A:$A,CS!$A:$AK,14,FALSE),"")</f>
      </c>
      <c r="I28" s="57">
        <f>IFERROR(VLOOKUP($A:$A,CS!$A:$AK,15,FALSE),"")</f>
      </c>
      <c r="J28" s="57">
        <f>IFERROR(VLOOKUP($A:$A,CS!$A:$AK,18,FALSE),"")</f>
      </c>
      <c r="K28" s="57">
        <f>IFERROR(VLOOKUP($A:$A,CS!$A:$AK,19,FALSE),"")</f>
      </c>
      <c r="L28" s="57">
        <f>IFERROR(VLOOKUP($A:$A,CS!$A:$AK,20,FALSE),"")</f>
      </c>
      <c r="M28" s="57">
        <f>IFERROR(VLOOKUP($A:$A,CS!$A:$AK,22,FALSE),"")</f>
      </c>
      <c r="N28" s="57">
        <f>IFERROR(VLOOKUP($A:$A,CS!$A:$AK,19,FALSE),"")</f>
      </c>
      <c r="O28" s="57">
        <f>IFERROR(VLOOKUP($A:$A,CS!$A:$AK,23,FALSE),"")</f>
      </c>
      <c r="P28" s="57">
        <f>IFERROR(VLOOKUP($A:$A,CS!$A:$AK,24,FALSE),"")</f>
      </c>
      <c r="Q28" s="57">
        <f>IFERROR(VLOOKUP($A:$A,CS!$A:$AK,25,FALSE),"")</f>
      </c>
      <c r="R28" s="57">
        <f>IFERROR(VLOOKUP($A:$A,CS!$A:$AK,26,FALSE),"")</f>
      </c>
      <c r="S28" s="57">
        <f>IFERROR(VLOOKUP($A:$A,CS!$A:$AK,29,FALSE),"")</f>
      </c>
      <c r="T28" s="57">
        <f>IFERROR(VLOOKUP($A:$A,CS!$A:$AK,33,FALSE),"")</f>
      </c>
      <c r="U28" s="57">
        <f>IFERROR(VLOOKUP($A:$A,CS!$A:$AK,34,FALSE),"")</f>
      </c>
      <c r="V28" s="57">
        <f>IFERROR(VLOOKUP($A:$A,CS!$A:$AK,35,FALSE),"")</f>
      </c>
      <c r="W28" s="57">
        <f>IFERROR(VLOOKUP($A:$A,CS!$A:$AK,36,FALSE),"")</f>
      </c>
    </row>
    <row r="29" ht="16.5" customHeight="1" spans="1:23" x14ac:dyDescent="0.25">
      <c r="A29" s="71"/>
      <c r="B29" s="57">
        <f>IFERROR(VLOOKUP($A:$A,CS!$A:$AK,3,FALSE),"")</f>
      </c>
      <c r="C29" s="57">
        <f>IFERROR(VLOOKUP($A:$A,CS!$A:$AK,4,FALSE),"")</f>
      </c>
      <c r="D29" s="57">
        <f>IFERROR(VLOOKUP($A:$A,CS!$A:$AK,5,FALSE),"")</f>
      </c>
      <c r="E29" s="57">
        <f>IFERROR(VLOOKUP($A:$A,CS!$A:$AK,7,FALSE),"")</f>
      </c>
      <c r="F29" s="57">
        <f>IFERROR(VLOOKUP($A:$A,CS!$A:$AK,8,FALSE),"")</f>
      </c>
      <c r="G29" s="57">
        <f>IFERROR(VLOOKUP($A:$A,CS!$A:$AK,10,FALSE),"")</f>
      </c>
      <c r="H29" s="57">
        <f>IFERROR(VLOOKUP($A:$A,CS!$A:$AK,14,FALSE),"")</f>
      </c>
      <c r="I29" s="57">
        <f>IFERROR(VLOOKUP($A:$A,CS!$A:$AK,15,FALSE),"")</f>
      </c>
      <c r="J29" s="57">
        <f>IFERROR(VLOOKUP($A:$A,CS!$A:$AK,18,FALSE),"")</f>
      </c>
      <c r="K29" s="57">
        <f>IFERROR(VLOOKUP($A:$A,CS!$A:$AK,19,FALSE),"")</f>
      </c>
      <c r="L29" s="57">
        <f>IFERROR(VLOOKUP($A:$A,CS!$A:$AK,20,FALSE),"")</f>
      </c>
      <c r="M29" s="57">
        <f>IFERROR(VLOOKUP($A:$A,CS!$A:$AK,22,FALSE),"")</f>
      </c>
      <c r="N29" s="57">
        <f>IFERROR(VLOOKUP($A:$A,CS!$A:$AK,19,FALSE),"")</f>
      </c>
      <c r="O29" s="57">
        <f>IFERROR(VLOOKUP($A:$A,CS!$A:$AK,23,FALSE),"")</f>
      </c>
      <c r="P29" s="57">
        <f>IFERROR(VLOOKUP($A:$A,CS!$A:$AK,24,FALSE),"")</f>
      </c>
      <c r="Q29" s="57">
        <f>IFERROR(VLOOKUP($A:$A,CS!$A:$AK,25,FALSE),"")</f>
      </c>
      <c r="R29" s="57">
        <f>IFERROR(VLOOKUP($A:$A,CS!$A:$AK,26,FALSE),"")</f>
      </c>
      <c r="S29" s="57">
        <f>IFERROR(VLOOKUP($A:$A,CS!$A:$AK,29,FALSE),"")</f>
      </c>
      <c r="T29" s="57">
        <f>IFERROR(VLOOKUP($A:$A,CS!$A:$AK,33,FALSE),"")</f>
      </c>
      <c r="U29" s="57">
        <f>IFERROR(VLOOKUP($A:$A,CS!$A:$AK,34,FALSE),"")</f>
      </c>
      <c r="V29" s="57">
        <f>IFERROR(VLOOKUP($A:$A,CS!$A:$AK,35,FALSE),"")</f>
      </c>
      <c r="W29" s="57">
        <f>IFERROR(VLOOKUP($A:$A,CS!$A:$AK,36,FALSE),"")</f>
      </c>
    </row>
    <row r="30" ht="16.5" customHeight="1" spans="1:23" x14ac:dyDescent="0.25">
      <c r="A30" s="71"/>
      <c r="B30" s="57">
        <f>IFERROR(VLOOKUP($A:$A,CS!$A:$AK,3,FALSE),"")</f>
      </c>
      <c r="C30" s="57">
        <f>IFERROR(VLOOKUP($A:$A,CS!$A:$AK,4,FALSE),"")</f>
      </c>
      <c r="D30" s="57">
        <f>IFERROR(VLOOKUP($A:$A,CS!$A:$AK,5,FALSE),"")</f>
      </c>
      <c r="E30" s="57">
        <f>IFERROR(VLOOKUP($A:$A,CS!$A:$AK,7,FALSE),"")</f>
      </c>
      <c r="F30" s="57">
        <f>IFERROR(VLOOKUP($A:$A,CS!$A:$AK,8,FALSE),"")</f>
      </c>
      <c r="G30" s="57">
        <f>IFERROR(VLOOKUP($A:$A,CS!$A:$AK,10,FALSE),"")</f>
      </c>
      <c r="H30" s="57">
        <f>IFERROR(VLOOKUP($A:$A,CS!$A:$AK,14,FALSE),"")</f>
      </c>
      <c r="I30" s="57">
        <f>IFERROR(VLOOKUP($A:$A,CS!$A:$AK,15,FALSE),"")</f>
      </c>
      <c r="J30" s="57">
        <f>IFERROR(VLOOKUP($A:$A,CS!$A:$AK,18,FALSE),"")</f>
      </c>
      <c r="K30" s="57">
        <f>IFERROR(VLOOKUP($A:$A,CS!$A:$AK,19,FALSE),"")</f>
      </c>
      <c r="L30" s="57">
        <f>IFERROR(VLOOKUP($A:$A,CS!$A:$AK,20,FALSE),"")</f>
      </c>
      <c r="M30" s="57">
        <f>IFERROR(VLOOKUP($A:$A,CS!$A:$AK,22,FALSE),"")</f>
      </c>
      <c r="N30" s="57">
        <f>IFERROR(VLOOKUP($A:$A,CS!$A:$AK,19,FALSE),"")</f>
      </c>
      <c r="O30" s="57">
        <f>IFERROR(VLOOKUP($A:$A,CS!$A:$AK,23,FALSE),"")</f>
      </c>
      <c r="P30" s="57">
        <f>IFERROR(VLOOKUP($A:$A,CS!$A:$AK,24,FALSE),"")</f>
      </c>
      <c r="Q30" s="57">
        <f>IFERROR(VLOOKUP($A:$A,CS!$A:$AK,25,FALSE),"")</f>
      </c>
      <c r="R30" s="57">
        <f>IFERROR(VLOOKUP($A:$A,CS!$A:$AK,26,FALSE),"")</f>
      </c>
      <c r="S30" s="57">
        <f>IFERROR(VLOOKUP($A:$A,CS!$A:$AK,29,FALSE),"")</f>
      </c>
      <c r="T30" s="57">
        <f>IFERROR(VLOOKUP($A:$A,CS!$A:$AK,33,FALSE),"")</f>
      </c>
      <c r="U30" s="57">
        <f>IFERROR(VLOOKUP($A:$A,CS!$A:$AK,34,FALSE),"")</f>
      </c>
      <c r="V30" s="57">
        <f>IFERROR(VLOOKUP($A:$A,CS!$A:$AK,35,FALSE),"")</f>
      </c>
      <c r="W30" s="57">
        <f>IFERROR(VLOOKUP($A:$A,CS!$A:$AK,36,FALSE),"")</f>
      </c>
    </row>
    <row r="31" ht="16.5" customHeight="1" spans="1:23" x14ac:dyDescent="0.25">
      <c r="A31" s="71"/>
      <c r="B31" s="57">
        <f>IFERROR(VLOOKUP($A:$A,CS!$A:$AK,3,FALSE),"")</f>
      </c>
      <c r="C31" s="57">
        <f>IFERROR(VLOOKUP($A:$A,CS!$A:$AK,4,FALSE),"")</f>
      </c>
      <c r="D31" s="57">
        <f>IFERROR(VLOOKUP($A:$A,CS!$A:$AK,5,FALSE),"")</f>
      </c>
      <c r="E31" s="57">
        <f>IFERROR(VLOOKUP($A:$A,CS!$A:$AK,7,FALSE),"")</f>
      </c>
      <c r="F31" s="57">
        <f>IFERROR(VLOOKUP($A:$A,CS!$A:$AK,8,FALSE),"")</f>
      </c>
      <c r="G31" s="57">
        <f>IFERROR(VLOOKUP($A:$A,CS!$A:$AK,10,FALSE),"")</f>
      </c>
      <c r="H31" s="57">
        <f>IFERROR(VLOOKUP($A:$A,CS!$A:$AK,14,FALSE),"")</f>
      </c>
      <c r="I31" s="57">
        <f>IFERROR(VLOOKUP($A:$A,CS!$A:$AK,15,FALSE),"")</f>
      </c>
      <c r="J31" s="57">
        <f>IFERROR(VLOOKUP($A:$A,CS!$A:$AK,18,FALSE),"")</f>
      </c>
      <c r="K31" s="57">
        <f>IFERROR(VLOOKUP($A:$A,CS!$A:$AK,19,FALSE),"")</f>
      </c>
      <c r="L31" s="57">
        <f>IFERROR(VLOOKUP($A:$A,CS!$A:$AK,20,FALSE),"")</f>
      </c>
      <c r="M31" s="57">
        <f>IFERROR(VLOOKUP($A:$A,CS!$A:$AK,22,FALSE),"")</f>
      </c>
      <c r="N31" s="57">
        <f>IFERROR(VLOOKUP($A:$A,CS!$A:$AK,19,FALSE),"")</f>
      </c>
      <c r="O31" s="57">
        <f>IFERROR(VLOOKUP($A:$A,CS!$A:$AK,23,FALSE),"")</f>
      </c>
      <c r="P31" s="57">
        <f>IFERROR(VLOOKUP($A:$A,CS!$A:$AK,24,FALSE),"")</f>
      </c>
      <c r="Q31" s="57">
        <f>IFERROR(VLOOKUP($A:$A,CS!$A:$AK,25,FALSE),"")</f>
      </c>
      <c r="R31" s="57">
        <f>IFERROR(VLOOKUP($A:$A,CS!$A:$AK,26,FALSE),"")</f>
      </c>
      <c r="S31" s="57">
        <f>IFERROR(VLOOKUP($A:$A,CS!$A:$AK,29,FALSE),"")</f>
      </c>
      <c r="T31" s="57">
        <f>IFERROR(VLOOKUP($A:$A,CS!$A:$AK,33,FALSE),"")</f>
      </c>
      <c r="U31" s="57">
        <f>IFERROR(VLOOKUP($A:$A,CS!$A:$AK,34,FALSE),"")</f>
      </c>
      <c r="V31" s="57">
        <f>IFERROR(VLOOKUP($A:$A,CS!$A:$AK,35,FALSE),"")</f>
      </c>
      <c r="W31" s="57">
        <f>IFERROR(VLOOKUP($A:$A,CS!$A:$AK,36,FALSE),"")</f>
      </c>
    </row>
    <row r="32" ht="16.5" customHeight="1" spans="1:23" x14ac:dyDescent="0.25">
      <c r="A32" s="71"/>
      <c r="B32" s="57">
        <f>IFERROR(VLOOKUP($A:$A,CS!$A:$AK,3,FALSE),"")</f>
      </c>
      <c r="C32" s="57">
        <f>IFERROR(VLOOKUP($A:$A,CS!$A:$AK,4,FALSE),"")</f>
      </c>
      <c r="D32" s="57">
        <f>IFERROR(VLOOKUP($A:$A,CS!$A:$AK,5,FALSE),"")</f>
      </c>
      <c r="E32" s="57">
        <f>IFERROR(VLOOKUP($A:$A,CS!$A:$AK,7,FALSE),"")</f>
      </c>
      <c r="F32" s="57">
        <f>IFERROR(VLOOKUP($A:$A,CS!$A:$AK,8,FALSE),"")</f>
      </c>
      <c r="G32" s="57">
        <f>IFERROR(VLOOKUP($A:$A,CS!$A:$AK,10,FALSE),"")</f>
      </c>
      <c r="H32" s="57">
        <f>IFERROR(VLOOKUP($A:$A,CS!$A:$AK,14,FALSE),"")</f>
      </c>
      <c r="I32" s="57">
        <f>IFERROR(VLOOKUP($A:$A,CS!$A:$AK,15,FALSE),"")</f>
      </c>
      <c r="J32" s="57">
        <f>IFERROR(VLOOKUP($A:$A,CS!$A:$AK,18,FALSE),"")</f>
      </c>
      <c r="K32" s="57">
        <f>IFERROR(VLOOKUP($A:$A,CS!$A:$AK,19,FALSE),"")</f>
      </c>
      <c r="L32" s="57">
        <f>IFERROR(VLOOKUP($A:$A,CS!$A:$AK,20,FALSE),"")</f>
      </c>
      <c r="M32" s="57">
        <f>IFERROR(VLOOKUP($A:$A,CS!$A:$AK,22,FALSE),"")</f>
      </c>
      <c r="N32" s="57">
        <f>IFERROR(VLOOKUP($A:$A,CS!$A:$AK,19,FALSE),"")</f>
      </c>
      <c r="O32" s="57">
        <f>IFERROR(VLOOKUP($A:$A,CS!$A:$AK,23,FALSE),"")</f>
      </c>
      <c r="P32" s="57">
        <f>IFERROR(VLOOKUP($A:$A,CS!$A:$AK,24,FALSE),"")</f>
      </c>
      <c r="Q32" s="57">
        <f>IFERROR(VLOOKUP($A:$A,CS!$A:$AK,25,FALSE),"")</f>
      </c>
      <c r="R32" s="57">
        <f>IFERROR(VLOOKUP($A:$A,CS!$A:$AK,26,FALSE),"")</f>
      </c>
      <c r="S32" s="57">
        <f>IFERROR(VLOOKUP($A:$A,CS!$A:$AK,29,FALSE),"")</f>
      </c>
      <c r="T32" s="57">
        <f>IFERROR(VLOOKUP($A:$A,CS!$A:$AK,33,FALSE),"")</f>
      </c>
      <c r="U32" s="57">
        <f>IFERROR(VLOOKUP($A:$A,CS!$A:$AK,34,FALSE),"")</f>
      </c>
      <c r="V32" s="57">
        <f>IFERROR(VLOOKUP($A:$A,CS!$A:$AK,35,FALSE),"")</f>
      </c>
      <c r="W32" s="57">
        <f>IFERROR(VLOOKUP($A:$A,CS!$A:$AK,36,FALSE),"")</f>
      </c>
    </row>
    <row r="33" ht="16.5" customHeight="1" spans="1:23" x14ac:dyDescent="0.25">
      <c r="A33" s="71"/>
      <c r="B33" s="57">
        <f>IFERROR(VLOOKUP($A:$A,CS!$A:$AK,3,FALSE),"")</f>
      </c>
      <c r="C33" s="57">
        <f>IFERROR(VLOOKUP($A:$A,CS!$A:$AK,4,FALSE),"")</f>
      </c>
      <c r="D33" s="57">
        <f>IFERROR(VLOOKUP($A:$A,CS!$A:$AK,5,FALSE),"")</f>
      </c>
      <c r="E33" s="57">
        <f>IFERROR(VLOOKUP($A:$A,CS!$A:$AK,7,FALSE),"")</f>
      </c>
      <c r="F33" s="57">
        <f>IFERROR(VLOOKUP($A:$A,CS!$A:$AK,8,FALSE),"")</f>
      </c>
      <c r="G33" s="57">
        <f>IFERROR(VLOOKUP($A:$A,CS!$A:$AK,10,FALSE),"")</f>
      </c>
      <c r="H33" s="57">
        <f>IFERROR(VLOOKUP($A:$A,CS!$A:$AK,14,FALSE),"")</f>
      </c>
      <c r="I33" s="57">
        <f>IFERROR(VLOOKUP($A:$A,CS!$A:$AK,15,FALSE),"")</f>
      </c>
      <c r="J33" s="57">
        <f>IFERROR(VLOOKUP($A:$A,CS!$A:$AK,18,FALSE),"")</f>
      </c>
      <c r="K33" s="57">
        <f>IFERROR(VLOOKUP($A:$A,CS!$A:$AK,19,FALSE),"")</f>
      </c>
      <c r="L33" s="57">
        <f>IFERROR(VLOOKUP($A:$A,CS!$A:$AK,20,FALSE),"")</f>
      </c>
      <c r="M33" s="57">
        <f>IFERROR(VLOOKUP($A:$A,CS!$A:$AK,22,FALSE),"")</f>
      </c>
      <c r="N33" s="57">
        <f>IFERROR(VLOOKUP($A:$A,CS!$A:$AK,19,FALSE),"")</f>
      </c>
      <c r="O33" s="57">
        <f>IFERROR(VLOOKUP($A:$A,CS!$A:$AK,23,FALSE),"")</f>
      </c>
      <c r="P33" s="57">
        <f>IFERROR(VLOOKUP($A:$A,CS!$A:$AK,24,FALSE),"")</f>
      </c>
      <c r="Q33" s="57">
        <f>IFERROR(VLOOKUP($A:$A,CS!$A:$AK,25,FALSE),"")</f>
      </c>
      <c r="R33" s="57">
        <f>IFERROR(VLOOKUP($A:$A,CS!$A:$AK,26,FALSE),"")</f>
      </c>
      <c r="S33" s="57">
        <f>IFERROR(VLOOKUP($A:$A,CS!$A:$AK,29,FALSE),"")</f>
      </c>
      <c r="T33" s="57">
        <f>IFERROR(VLOOKUP($A:$A,CS!$A:$AK,33,FALSE),"")</f>
      </c>
      <c r="U33" s="57">
        <f>IFERROR(VLOOKUP($A:$A,CS!$A:$AK,34,FALSE),"")</f>
      </c>
      <c r="V33" s="57">
        <f>IFERROR(VLOOKUP($A:$A,CS!$A:$AK,35,FALSE),"")</f>
      </c>
      <c r="W33" s="57">
        <f>IFERROR(VLOOKUP($A:$A,CS!$A:$AK,36,FALSE),"")</f>
      </c>
    </row>
    <row r="34" ht="16.5" customHeight="1" spans="1:23" x14ac:dyDescent="0.25">
      <c r="A34" s="71"/>
      <c r="B34" s="57">
        <f>IFERROR(VLOOKUP($A:$A,CS!$A:$AK,3,FALSE),"")</f>
      </c>
      <c r="C34" s="57">
        <f>IFERROR(VLOOKUP($A:$A,CS!$A:$AK,4,FALSE),"")</f>
      </c>
      <c r="D34" s="57">
        <f>IFERROR(VLOOKUP($A:$A,CS!$A:$AK,5,FALSE),"")</f>
      </c>
      <c r="E34" s="57">
        <f>IFERROR(VLOOKUP($A:$A,CS!$A:$AK,7,FALSE),"")</f>
      </c>
      <c r="F34" s="57">
        <f>IFERROR(VLOOKUP($A:$A,CS!$A:$AK,8,FALSE),"")</f>
      </c>
      <c r="G34" s="57">
        <f>IFERROR(VLOOKUP($A:$A,CS!$A:$AK,10,FALSE),"")</f>
      </c>
      <c r="H34" s="57">
        <f>IFERROR(VLOOKUP($A:$A,CS!$A:$AK,14,FALSE),"")</f>
      </c>
      <c r="I34" s="57">
        <f>IFERROR(VLOOKUP($A:$A,CS!$A:$AK,15,FALSE),"")</f>
      </c>
      <c r="J34" s="57">
        <f>IFERROR(VLOOKUP($A:$A,CS!$A:$AK,18,FALSE),"")</f>
      </c>
      <c r="K34" s="57">
        <f>IFERROR(VLOOKUP($A:$A,CS!$A:$AK,19,FALSE),"")</f>
      </c>
      <c r="L34" s="57">
        <f>IFERROR(VLOOKUP($A:$A,CS!$A:$AK,20,FALSE),"")</f>
      </c>
      <c r="M34" s="57">
        <f>IFERROR(VLOOKUP($A:$A,CS!$A:$AK,22,FALSE),"")</f>
      </c>
      <c r="N34" s="57">
        <f>IFERROR(VLOOKUP($A:$A,CS!$A:$AK,19,FALSE),"")</f>
      </c>
      <c r="O34" s="57">
        <f>IFERROR(VLOOKUP($A:$A,CS!$A:$AK,23,FALSE),"")</f>
      </c>
      <c r="P34" s="57">
        <f>IFERROR(VLOOKUP($A:$A,CS!$A:$AK,24,FALSE),"")</f>
      </c>
      <c r="Q34" s="57">
        <f>IFERROR(VLOOKUP($A:$A,CS!$A:$AK,25,FALSE),"")</f>
      </c>
      <c r="R34" s="57">
        <f>IFERROR(VLOOKUP($A:$A,CS!$A:$AK,26,FALSE),"")</f>
      </c>
      <c r="S34" s="57">
        <f>IFERROR(VLOOKUP($A:$A,CS!$A:$AK,29,FALSE),"")</f>
      </c>
      <c r="T34" s="57">
        <f>IFERROR(VLOOKUP($A:$A,CS!$A:$AK,33,FALSE),"")</f>
      </c>
      <c r="U34" s="57">
        <f>IFERROR(VLOOKUP($A:$A,CS!$A:$AK,34,FALSE),"")</f>
      </c>
      <c r="V34" s="57">
        <f>IFERROR(VLOOKUP($A:$A,CS!$A:$AK,35,FALSE),"")</f>
      </c>
      <c r="W34" s="57">
        <f>IFERROR(VLOOKUP($A:$A,CS!$A:$AK,36,FALSE),"")</f>
      </c>
    </row>
    <row r="35" ht="16.5" customHeight="1" spans="1:23" x14ac:dyDescent="0.25">
      <c r="A35" s="71"/>
      <c r="B35" s="57">
        <f>IFERROR(VLOOKUP($A:$A,CS!$A:$AK,3,FALSE),"")</f>
      </c>
      <c r="C35" s="57">
        <f>IFERROR(VLOOKUP($A:$A,CS!$A:$AK,4,FALSE),"")</f>
      </c>
      <c r="D35" s="57">
        <f>IFERROR(VLOOKUP($A:$A,CS!$A:$AK,5,FALSE),"")</f>
      </c>
      <c r="E35" s="57">
        <f>IFERROR(VLOOKUP($A:$A,CS!$A:$AK,7,FALSE),"")</f>
      </c>
      <c r="F35" s="57">
        <f>IFERROR(VLOOKUP($A:$A,CS!$A:$AK,8,FALSE),"")</f>
      </c>
      <c r="G35" s="57">
        <f>IFERROR(VLOOKUP($A:$A,CS!$A:$AK,10,FALSE),"")</f>
      </c>
      <c r="H35" s="57">
        <f>IFERROR(VLOOKUP($A:$A,CS!$A:$AK,14,FALSE),"")</f>
      </c>
      <c r="I35" s="57">
        <f>IFERROR(VLOOKUP($A:$A,CS!$A:$AK,15,FALSE),"")</f>
      </c>
      <c r="J35" s="57">
        <f>IFERROR(VLOOKUP($A:$A,CS!$A:$AK,18,FALSE),"")</f>
      </c>
      <c r="K35" s="57">
        <f>IFERROR(VLOOKUP($A:$A,CS!$A:$AK,19,FALSE),"")</f>
      </c>
      <c r="L35" s="57">
        <f>IFERROR(VLOOKUP($A:$A,CS!$A:$AK,20,FALSE),"")</f>
      </c>
      <c r="M35" s="57">
        <f>IFERROR(VLOOKUP($A:$A,CS!$A:$AK,22,FALSE),"")</f>
      </c>
      <c r="N35" s="57">
        <f>IFERROR(VLOOKUP($A:$A,CS!$A:$AK,19,FALSE),"")</f>
      </c>
      <c r="O35" s="57">
        <f>IFERROR(VLOOKUP($A:$A,CS!$A:$AK,23,FALSE),"")</f>
      </c>
      <c r="P35" s="57">
        <f>IFERROR(VLOOKUP($A:$A,CS!$A:$AK,24,FALSE),"")</f>
      </c>
      <c r="Q35" s="57">
        <f>IFERROR(VLOOKUP($A:$A,CS!$A:$AK,25,FALSE),"")</f>
      </c>
      <c r="R35" s="57">
        <f>IFERROR(VLOOKUP($A:$A,CS!$A:$AK,26,FALSE),"")</f>
      </c>
      <c r="S35" s="57">
        <f>IFERROR(VLOOKUP($A:$A,CS!$A:$AK,29,FALSE),"")</f>
      </c>
      <c r="T35" s="57">
        <f>IFERROR(VLOOKUP($A:$A,CS!$A:$AK,33,FALSE),"")</f>
      </c>
      <c r="U35" s="57">
        <f>IFERROR(VLOOKUP($A:$A,CS!$A:$AK,34,FALSE),"")</f>
      </c>
      <c r="V35" s="57">
        <f>IFERROR(VLOOKUP($A:$A,CS!$A:$AK,35,FALSE),"")</f>
      </c>
      <c r="W35" s="57">
        <f>IFERROR(VLOOKUP($A:$A,CS!$A:$AK,36,FALSE),"")</f>
      </c>
    </row>
    <row r="36" ht="16.5" customHeight="1" spans="1:23" x14ac:dyDescent="0.25">
      <c r="A36" s="71"/>
      <c r="B36" s="57">
        <f>IFERROR(VLOOKUP($A:$A,CS!$A:$AK,3,FALSE),"")</f>
      </c>
      <c r="C36" s="57">
        <f>IFERROR(VLOOKUP($A:$A,CS!$A:$AK,4,FALSE),"")</f>
      </c>
      <c r="D36" s="57">
        <f>IFERROR(VLOOKUP($A:$A,CS!$A:$AK,5,FALSE),"")</f>
      </c>
      <c r="E36" s="57">
        <f>IFERROR(VLOOKUP($A:$A,CS!$A:$AK,7,FALSE),"")</f>
      </c>
      <c r="F36" s="57">
        <f>IFERROR(VLOOKUP($A:$A,CS!$A:$AK,8,FALSE),"")</f>
      </c>
      <c r="G36" s="57">
        <f>IFERROR(VLOOKUP($A:$A,CS!$A:$AK,10,FALSE),"")</f>
      </c>
      <c r="H36" s="57">
        <f>IFERROR(VLOOKUP($A:$A,CS!$A:$AK,14,FALSE),"")</f>
      </c>
      <c r="I36" s="57">
        <f>IFERROR(VLOOKUP($A:$A,CS!$A:$AK,15,FALSE),"")</f>
      </c>
      <c r="J36" s="57">
        <f>IFERROR(VLOOKUP($A:$A,CS!$A:$AK,18,FALSE),"")</f>
      </c>
      <c r="K36" s="57">
        <f>IFERROR(VLOOKUP($A:$A,CS!$A:$AK,19,FALSE),"")</f>
      </c>
      <c r="L36" s="57">
        <f>IFERROR(VLOOKUP($A:$A,CS!$A:$AK,20,FALSE),"")</f>
      </c>
      <c r="M36" s="57">
        <f>IFERROR(VLOOKUP($A:$A,CS!$A:$AK,22,FALSE),"")</f>
      </c>
      <c r="N36" s="57">
        <f>IFERROR(VLOOKUP($A:$A,CS!$A:$AK,19,FALSE),"")</f>
      </c>
      <c r="O36" s="57">
        <f>IFERROR(VLOOKUP($A:$A,CS!$A:$AK,23,FALSE),"")</f>
      </c>
      <c r="P36" s="57">
        <f>IFERROR(VLOOKUP($A:$A,CS!$A:$AK,24,FALSE),"")</f>
      </c>
      <c r="Q36" s="57">
        <f>IFERROR(VLOOKUP($A:$A,CS!$A:$AK,25,FALSE),"")</f>
      </c>
      <c r="R36" s="57">
        <f>IFERROR(VLOOKUP($A:$A,CS!$A:$AK,26,FALSE),"")</f>
      </c>
      <c r="S36" s="57">
        <f>IFERROR(VLOOKUP($A:$A,CS!$A:$AK,29,FALSE),"")</f>
      </c>
      <c r="T36" s="57">
        <f>IFERROR(VLOOKUP($A:$A,CS!$A:$AK,33,FALSE),"")</f>
      </c>
      <c r="U36" s="57">
        <f>IFERROR(VLOOKUP($A:$A,CS!$A:$AK,34,FALSE),"")</f>
      </c>
      <c r="V36" s="57">
        <f>IFERROR(VLOOKUP($A:$A,CS!$A:$AK,35,FALSE),"")</f>
      </c>
      <c r="W36" s="57">
        <f>IFERROR(VLOOKUP($A:$A,CS!$A:$AK,36,FALSE),"")</f>
      </c>
    </row>
    <row r="37" ht="16.5" customHeight="1" spans="1:23" x14ac:dyDescent="0.25">
      <c r="A37" s="71"/>
      <c r="B37" s="57">
        <f>IFERROR(VLOOKUP($A:$A,CS!$A:$AK,3,FALSE),"")</f>
      </c>
      <c r="C37" s="57">
        <f>IFERROR(VLOOKUP($A:$A,CS!$A:$AK,4,FALSE),"")</f>
      </c>
      <c r="D37" s="57">
        <f>IFERROR(VLOOKUP($A:$A,CS!$A:$AK,5,FALSE),"")</f>
      </c>
      <c r="E37" s="57">
        <f>IFERROR(VLOOKUP($A:$A,CS!$A:$AK,7,FALSE),"")</f>
      </c>
      <c r="F37" s="57">
        <f>IFERROR(VLOOKUP($A:$A,CS!$A:$AK,8,FALSE),"")</f>
      </c>
      <c r="G37" s="57">
        <f>IFERROR(VLOOKUP($A:$A,CS!$A:$AK,10,FALSE),"")</f>
      </c>
      <c r="H37" s="57">
        <f>IFERROR(VLOOKUP($A:$A,CS!$A:$AK,14,FALSE),"")</f>
      </c>
      <c r="I37" s="57">
        <f>IFERROR(VLOOKUP($A:$A,CS!$A:$AK,15,FALSE),"")</f>
      </c>
      <c r="J37" s="57">
        <f>IFERROR(VLOOKUP($A:$A,CS!$A:$AK,18,FALSE),"")</f>
      </c>
      <c r="K37" s="57">
        <f>IFERROR(VLOOKUP($A:$A,CS!$A:$AK,19,FALSE),"")</f>
      </c>
      <c r="L37" s="57">
        <f>IFERROR(VLOOKUP($A:$A,CS!$A:$AK,20,FALSE),"")</f>
      </c>
      <c r="M37" s="57">
        <f>IFERROR(VLOOKUP($A:$A,CS!$A:$AK,22,FALSE),"")</f>
      </c>
      <c r="N37" s="57">
        <f>IFERROR(VLOOKUP($A:$A,CS!$A:$AK,19,FALSE),"")</f>
      </c>
      <c r="O37" s="57">
        <f>IFERROR(VLOOKUP($A:$A,CS!$A:$AK,23,FALSE),"")</f>
      </c>
      <c r="P37" s="57">
        <f>IFERROR(VLOOKUP($A:$A,CS!$A:$AK,24,FALSE),"")</f>
      </c>
      <c r="Q37" s="57">
        <f>IFERROR(VLOOKUP($A:$A,CS!$A:$AK,25,FALSE),"")</f>
      </c>
      <c r="R37" s="57">
        <f>IFERROR(VLOOKUP($A:$A,CS!$A:$AK,26,FALSE),"")</f>
      </c>
      <c r="S37" s="57">
        <f>IFERROR(VLOOKUP($A:$A,CS!$A:$AK,29,FALSE),"")</f>
      </c>
      <c r="T37" s="57">
        <f>IFERROR(VLOOKUP($A:$A,CS!$A:$AK,33,FALSE),"")</f>
      </c>
      <c r="U37" s="57">
        <f>IFERROR(VLOOKUP($A:$A,CS!$A:$AK,34,FALSE),"")</f>
      </c>
      <c r="V37" s="57">
        <f>IFERROR(VLOOKUP($A:$A,CS!$A:$AK,35,FALSE),"")</f>
      </c>
      <c r="W37" s="57">
        <f>IFERROR(VLOOKUP($A:$A,CS!$A:$AK,36,FALSE),"")</f>
      </c>
    </row>
    <row r="38" ht="16.5" customHeight="1" spans="1:23" x14ac:dyDescent="0.25">
      <c r="A38" s="71"/>
      <c r="B38" s="57">
        <f>IFERROR(VLOOKUP($A:$A,CS!$A:$AK,3,FALSE),"")</f>
      </c>
      <c r="C38" s="57">
        <f>IFERROR(VLOOKUP($A:$A,CS!$A:$AK,4,FALSE),"")</f>
      </c>
      <c r="D38" s="57">
        <f>IFERROR(VLOOKUP($A:$A,CS!$A:$AK,5,FALSE),"")</f>
      </c>
      <c r="E38" s="57">
        <f>IFERROR(VLOOKUP($A:$A,CS!$A:$AK,7,FALSE),"")</f>
      </c>
      <c r="F38" s="57">
        <f>IFERROR(VLOOKUP($A:$A,CS!$A:$AK,8,FALSE),"")</f>
      </c>
      <c r="G38" s="57">
        <f>IFERROR(VLOOKUP($A:$A,CS!$A:$AK,10,FALSE),"")</f>
      </c>
      <c r="H38" s="57">
        <f>IFERROR(VLOOKUP($A:$A,CS!$A:$AK,14,FALSE),"")</f>
      </c>
      <c r="I38" s="57">
        <f>IFERROR(VLOOKUP($A:$A,CS!$A:$AK,15,FALSE),"")</f>
      </c>
      <c r="J38" s="57">
        <f>IFERROR(VLOOKUP($A:$A,CS!$A:$AK,18,FALSE),"")</f>
      </c>
      <c r="K38" s="57">
        <f>IFERROR(VLOOKUP($A:$A,CS!$A:$AK,19,FALSE),"")</f>
      </c>
      <c r="L38" s="57">
        <f>IFERROR(VLOOKUP($A:$A,CS!$A:$AK,20,FALSE),"")</f>
      </c>
      <c r="M38" s="57">
        <f>IFERROR(VLOOKUP($A:$A,CS!$A:$AK,22,FALSE),"")</f>
      </c>
      <c r="N38" s="57">
        <f>IFERROR(VLOOKUP($A:$A,CS!$A:$AK,19,FALSE),"")</f>
      </c>
      <c r="O38" s="57">
        <f>IFERROR(VLOOKUP($A:$A,CS!$A:$AK,23,FALSE),"")</f>
      </c>
      <c r="P38" s="57">
        <f>IFERROR(VLOOKUP($A:$A,CS!$A:$AK,24,FALSE),"")</f>
      </c>
      <c r="Q38" s="57">
        <f>IFERROR(VLOOKUP($A:$A,CS!$A:$AK,25,FALSE),"")</f>
      </c>
      <c r="R38" s="57">
        <f>IFERROR(VLOOKUP($A:$A,CS!$A:$AK,26,FALSE),"")</f>
      </c>
      <c r="S38" s="57">
        <f>IFERROR(VLOOKUP($A:$A,CS!$A:$AK,29,FALSE),"")</f>
      </c>
      <c r="T38" s="57">
        <f>IFERROR(VLOOKUP($A:$A,CS!$A:$AK,33,FALSE),"")</f>
      </c>
      <c r="U38" s="57">
        <f>IFERROR(VLOOKUP($A:$A,CS!$A:$AK,34,FALSE),"")</f>
      </c>
      <c r="V38" s="57">
        <f>IFERROR(VLOOKUP($A:$A,CS!$A:$AK,35,FALSE),"")</f>
      </c>
      <c r="W38" s="57">
        <f>IFERROR(VLOOKUP($A:$A,CS!$A:$AK,36,FALSE),"")</f>
      </c>
    </row>
    <row r="39" ht="16.5" customHeight="1" spans="1:23" x14ac:dyDescent="0.25">
      <c r="A39" s="71"/>
      <c r="B39" s="57">
        <f>IFERROR(VLOOKUP($A:$A,CS!$A:$AK,3,FALSE),"")</f>
      </c>
      <c r="C39" s="57">
        <f>IFERROR(VLOOKUP($A:$A,CS!$A:$AK,4,FALSE),"")</f>
      </c>
      <c r="D39" s="57">
        <f>IFERROR(VLOOKUP($A:$A,CS!$A:$AK,5,FALSE),"")</f>
      </c>
      <c r="E39" s="57">
        <f>IFERROR(VLOOKUP($A:$A,CS!$A:$AK,7,FALSE),"")</f>
      </c>
      <c r="F39" s="57">
        <f>IFERROR(VLOOKUP($A:$A,CS!$A:$AK,8,FALSE),"")</f>
      </c>
      <c r="G39" s="57">
        <f>IFERROR(VLOOKUP($A:$A,CS!$A:$AK,10,FALSE),"")</f>
      </c>
      <c r="H39" s="57">
        <f>IFERROR(VLOOKUP($A:$A,CS!$A:$AK,14,FALSE),"")</f>
      </c>
      <c r="I39" s="57">
        <f>IFERROR(VLOOKUP($A:$A,CS!$A:$AK,15,FALSE),"")</f>
      </c>
      <c r="J39" s="57">
        <f>IFERROR(VLOOKUP($A:$A,CS!$A:$AK,18,FALSE),"")</f>
      </c>
      <c r="K39" s="57">
        <f>IFERROR(VLOOKUP($A:$A,CS!$A:$AK,19,FALSE),"")</f>
      </c>
      <c r="L39" s="57">
        <f>IFERROR(VLOOKUP($A:$A,CS!$A:$AK,20,FALSE),"")</f>
      </c>
      <c r="M39" s="57">
        <f>IFERROR(VLOOKUP($A:$A,CS!$A:$AK,22,FALSE),"")</f>
      </c>
      <c r="N39" s="57">
        <f>IFERROR(VLOOKUP($A:$A,CS!$A:$AK,19,FALSE),"")</f>
      </c>
      <c r="O39" s="57">
        <f>IFERROR(VLOOKUP($A:$A,CS!$A:$AK,23,FALSE),"")</f>
      </c>
      <c r="P39" s="57">
        <f>IFERROR(VLOOKUP($A:$A,CS!$A:$AK,24,FALSE),"")</f>
      </c>
      <c r="Q39" s="57">
        <f>IFERROR(VLOOKUP($A:$A,CS!$A:$AK,25,FALSE),"")</f>
      </c>
      <c r="R39" s="57">
        <f>IFERROR(VLOOKUP($A:$A,CS!$A:$AK,26,FALSE),"")</f>
      </c>
      <c r="S39" s="57">
        <f>IFERROR(VLOOKUP($A:$A,CS!$A:$AK,29,FALSE),"")</f>
      </c>
      <c r="T39" s="57">
        <f>IFERROR(VLOOKUP($A:$A,CS!$A:$AK,33,FALSE),"")</f>
      </c>
      <c r="U39" s="57">
        <f>IFERROR(VLOOKUP($A:$A,CS!$A:$AK,34,FALSE),"")</f>
      </c>
      <c r="V39" s="57">
        <f>IFERROR(VLOOKUP($A:$A,CS!$A:$AK,35,FALSE),"")</f>
      </c>
      <c r="W39" s="57">
        <f>IFERROR(VLOOKUP($A:$A,CS!$A:$AK,36,FALSE),"")</f>
      </c>
    </row>
    <row r="40" ht="16.5" customHeight="1" spans="1:23" x14ac:dyDescent="0.25">
      <c r="A40" s="71"/>
      <c r="B40" s="57">
        <f>IFERROR(VLOOKUP($A:$A,CS!$A:$AK,3,FALSE),"")</f>
      </c>
      <c r="C40" s="57">
        <f>IFERROR(VLOOKUP($A:$A,CS!$A:$AK,4,FALSE),"")</f>
      </c>
      <c r="D40" s="57">
        <f>IFERROR(VLOOKUP($A:$A,CS!$A:$AK,5,FALSE),"")</f>
      </c>
      <c r="E40" s="57">
        <f>IFERROR(VLOOKUP($A:$A,CS!$A:$AK,7,FALSE),"")</f>
      </c>
      <c r="F40" s="57">
        <f>IFERROR(VLOOKUP($A:$A,CS!$A:$AK,8,FALSE),"")</f>
      </c>
      <c r="G40" s="57">
        <f>IFERROR(VLOOKUP($A:$A,CS!$A:$AK,10,FALSE),"")</f>
      </c>
      <c r="H40" s="57">
        <f>IFERROR(VLOOKUP($A:$A,CS!$A:$AK,14,FALSE),"")</f>
      </c>
      <c r="I40" s="57">
        <f>IFERROR(VLOOKUP($A:$A,CS!$A:$AK,15,FALSE),"")</f>
      </c>
      <c r="J40" s="57">
        <f>IFERROR(VLOOKUP($A:$A,CS!$A:$AK,18,FALSE),"")</f>
      </c>
      <c r="K40" s="57">
        <f>IFERROR(VLOOKUP($A:$A,CS!$A:$AK,19,FALSE),"")</f>
      </c>
      <c r="L40" s="57">
        <f>IFERROR(VLOOKUP($A:$A,CS!$A:$AK,20,FALSE),"")</f>
      </c>
      <c r="M40" s="57">
        <f>IFERROR(VLOOKUP($A:$A,CS!$A:$AK,22,FALSE),"")</f>
      </c>
      <c r="N40" s="57">
        <f>IFERROR(VLOOKUP($A:$A,CS!$A:$AK,19,FALSE),"")</f>
      </c>
      <c r="O40" s="57">
        <f>IFERROR(VLOOKUP($A:$A,CS!$A:$AK,23,FALSE),"")</f>
      </c>
      <c r="P40" s="57">
        <f>IFERROR(VLOOKUP($A:$A,CS!$A:$AK,24,FALSE),"")</f>
      </c>
      <c r="Q40" s="57">
        <f>IFERROR(VLOOKUP($A:$A,CS!$A:$AK,25,FALSE),"")</f>
      </c>
      <c r="R40" s="57">
        <f>IFERROR(VLOOKUP($A:$A,CS!$A:$AK,26,FALSE),"")</f>
      </c>
      <c r="S40" s="57">
        <f>IFERROR(VLOOKUP($A:$A,CS!$A:$AK,29,FALSE),"")</f>
      </c>
      <c r="T40" s="57">
        <f>IFERROR(VLOOKUP($A:$A,CS!$A:$AK,33,FALSE),"")</f>
      </c>
      <c r="U40" s="57">
        <f>IFERROR(VLOOKUP($A:$A,CS!$A:$AK,34,FALSE),"")</f>
      </c>
      <c r="V40" s="57">
        <f>IFERROR(VLOOKUP($A:$A,CS!$A:$AK,35,FALSE),"")</f>
      </c>
      <c r="W40" s="57">
        <f>IFERROR(VLOOKUP($A:$A,CS!$A:$AK,36,FALSE),"")</f>
      </c>
    </row>
    <row r="41" ht="16.5" customHeight="1" spans="1:23" x14ac:dyDescent="0.25">
      <c r="A41" s="71"/>
      <c r="B41" s="57">
        <f>IFERROR(VLOOKUP($A:$A,CS!$A:$AK,3,FALSE),"")</f>
      </c>
      <c r="C41" s="57">
        <f>IFERROR(VLOOKUP($A:$A,CS!$A:$AK,4,FALSE),"")</f>
      </c>
      <c r="D41" s="57">
        <f>IFERROR(VLOOKUP($A:$A,CS!$A:$AK,5,FALSE),"")</f>
      </c>
      <c r="E41" s="57">
        <f>IFERROR(VLOOKUP($A:$A,CS!$A:$AK,7,FALSE),"")</f>
      </c>
      <c r="F41" s="57">
        <f>IFERROR(VLOOKUP($A:$A,CS!$A:$AK,8,FALSE),"")</f>
      </c>
      <c r="G41" s="57">
        <f>IFERROR(VLOOKUP($A:$A,CS!$A:$AK,10,FALSE),"")</f>
      </c>
      <c r="H41" s="57">
        <f>IFERROR(VLOOKUP($A:$A,CS!$A:$AK,14,FALSE),"")</f>
      </c>
      <c r="I41" s="57">
        <f>IFERROR(VLOOKUP($A:$A,CS!$A:$AK,15,FALSE),"")</f>
      </c>
      <c r="J41" s="57">
        <f>IFERROR(VLOOKUP($A:$A,CS!$A:$AK,18,FALSE),"")</f>
      </c>
      <c r="K41" s="57">
        <f>IFERROR(VLOOKUP($A:$A,CS!$A:$AK,19,FALSE),"")</f>
      </c>
      <c r="L41" s="57">
        <f>IFERROR(VLOOKUP($A:$A,CS!$A:$AK,20,FALSE),"")</f>
      </c>
      <c r="M41" s="57">
        <f>IFERROR(VLOOKUP($A:$A,CS!$A:$AK,22,FALSE),"")</f>
      </c>
      <c r="N41" s="57">
        <f>IFERROR(VLOOKUP($A:$A,CS!$A:$AK,19,FALSE),"")</f>
      </c>
      <c r="O41" s="57">
        <f>IFERROR(VLOOKUP($A:$A,CS!$A:$AK,23,FALSE),"")</f>
      </c>
      <c r="P41" s="57">
        <f>IFERROR(VLOOKUP($A:$A,CS!$A:$AK,24,FALSE),"")</f>
      </c>
      <c r="Q41" s="57">
        <f>IFERROR(VLOOKUP($A:$A,CS!$A:$AK,25,FALSE),"")</f>
      </c>
      <c r="R41" s="57">
        <f>IFERROR(VLOOKUP($A:$A,CS!$A:$AK,26,FALSE),"")</f>
      </c>
      <c r="S41" s="57">
        <f>IFERROR(VLOOKUP($A:$A,CS!$A:$AK,29,FALSE),"")</f>
      </c>
      <c r="T41" s="57">
        <f>IFERROR(VLOOKUP($A:$A,CS!$A:$AK,33,FALSE),"")</f>
      </c>
      <c r="U41" s="57">
        <f>IFERROR(VLOOKUP($A:$A,CS!$A:$AK,34,FALSE),"")</f>
      </c>
      <c r="V41" s="57">
        <f>IFERROR(VLOOKUP($A:$A,CS!$A:$AK,35,FALSE),"")</f>
      </c>
      <c r="W41" s="57">
        <f>IFERROR(VLOOKUP($A:$A,CS!$A:$AK,36,FALSE),"")</f>
      </c>
    </row>
    <row r="42" ht="16.5" customHeight="1" spans="1:23" x14ac:dyDescent="0.25">
      <c r="A42" s="71"/>
      <c r="B42" s="57">
        <f>IFERROR(VLOOKUP($A:$A,CS!$A:$AK,3,FALSE),"")</f>
      </c>
      <c r="C42" s="57">
        <f>IFERROR(VLOOKUP($A:$A,CS!$A:$AK,4,FALSE),"")</f>
      </c>
      <c r="D42" s="57">
        <f>IFERROR(VLOOKUP($A:$A,CS!$A:$AK,5,FALSE),"")</f>
      </c>
      <c r="E42" s="57">
        <f>IFERROR(VLOOKUP($A:$A,CS!$A:$AK,7,FALSE),"")</f>
      </c>
      <c r="F42" s="57">
        <f>IFERROR(VLOOKUP($A:$A,CS!$A:$AK,8,FALSE),"")</f>
      </c>
      <c r="G42" s="57">
        <f>IFERROR(VLOOKUP($A:$A,CS!$A:$AK,10,FALSE),"")</f>
      </c>
      <c r="H42" s="57">
        <f>IFERROR(VLOOKUP($A:$A,CS!$A:$AK,14,FALSE),"")</f>
      </c>
      <c r="I42" s="57">
        <f>IFERROR(VLOOKUP($A:$A,CS!$A:$AK,15,FALSE),"")</f>
      </c>
      <c r="J42" s="57">
        <f>IFERROR(VLOOKUP($A:$A,CS!$A:$AK,18,FALSE),"")</f>
      </c>
      <c r="K42" s="57">
        <f>IFERROR(VLOOKUP($A:$A,CS!$A:$AK,19,FALSE),"")</f>
      </c>
      <c r="L42" s="57">
        <f>IFERROR(VLOOKUP($A:$A,CS!$A:$AK,20,FALSE),"")</f>
      </c>
      <c r="M42" s="57">
        <f>IFERROR(VLOOKUP($A:$A,CS!$A:$AK,22,FALSE),"")</f>
      </c>
      <c r="N42" s="57">
        <f>IFERROR(VLOOKUP($A:$A,CS!$A:$AK,19,FALSE),"")</f>
      </c>
      <c r="O42" s="57">
        <f>IFERROR(VLOOKUP($A:$A,CS!$A:$AK,23,FALSE),"")</f>
      </c>
      <c r="P42" s="57">
        <f>IFERROR(VLOOKUP($A:$A,CS!$A:$AK,24,FALSE),"")</f>
      </c>
      <c r="Q42" s="57">
        <f>IFERROR(VLOOKUP($A:$A,CS!$A:$AK,25,FALSE),"")</f>
      </c>
      <c r="R42" s="57">
        <f>IFERROR(VLOOKUP($A:$A,CS!$A:$AK,26,FALSE),"")</f>
      </c>
      <c r="S42" s="57">
        <f>IFERROR(VLOOKUP($A:$A,CS!$A:$AK,29,FALSE),"")</f>
      </c>
      <c r="T42" s="57">
        <f>IFERROR(VLOOKUP($A:$A,CS!$A:$AK,33,FALSE),"")</f>
      </c>
      <c r="U42" s="57">
        <f>IFERROR(VLOOKUP($A:$A,CS!$A:$AK,34,FALSE),"")</f>
      </c>
      <c r="V42" s="57">
        <f>IFERROR(VLOOKUP($A:$A,CS!$A:$AK,35,FALSE),"")</f>
      </c>
      <c r="W42" s="57">
        <f>IFERROR(VLOOKUP($A:$A,CS!$A:$AK,36,FALSE),"")</f>
      </c>
    </row>
    <row r="43" ht="16.5" customHeight="1" spans="1:23" x14ac:dyDescent="0.25">
      <c r="A43" s="71"/>
      <c r="B43" s="57">
        <f>IFERROR(VLOOKUP($A:$A,CS!$A:$AK,3,FALSE),"")</f>
      </c>
      <c r="C43" s="57">
        <f>IFERROR(VLOOKUP($A:$A,CS!$A:$AK,4,FALSE),"")</f>
      </c>
      <c r="D43" s="57">
        <f>IFERROR(VLOOKUP($A:$A,CS!$A:$AK,5,FALSE),"")</f>
      </c>
      <c r="E43" s="57">
        <f>IFERROR(VLOOKUP($A:$A,CS!$A:$AK,7,FALSE),"")</f>
      </c>
      <c r="F43" s="57">
        <f>IFERROR(VLOOKUP($A:$A,CS!$A:$AK,8,FALSE),"")</f>
      </c>
      <c r="G43" s="57">
        <f>IFERROR(VLOOKUP($A:$A,CS!$A:$AK,10,FALSE),"")</f>
      </c>
      <c r="H43" s="57">
        <f>IFERROR(VLOOKUP($A:$A,CS!$A:$AK,14,FALSE),"")</f>
      </c>
      <c r="I43" s="57">
        <f>IFERROR(VLOOKUP($A:$A,CS!$A:$AK,15,FALSE),"")</f>
      </c>
      <c r="J43" s="57">
        <f>IFERROR(VLOOKUP($A:$A,CS!$A:$AK,18,FALSE),"")</f>
      </c>
      <c r="K43" s="57">
        <f>IFERROR(VLOOKUP($A:$A,CS!$A:$AK,19,FALSE),"")</f>
      </c>
      <c r="L43" s="57">
        <f>IFERROR(VLOOKUP($A:$A,CS!$A:$AK,20,FALSE),"")</f>
      </c>
      <c r="M43" s="57">
        <f>IFERROR(VLOOKUP($A:$A,CS!$A:$AK,22,FALSE),"")</f>
      </c>
      <c r="N43" s="57">
        <f>IFERROR(VLOOKUP($A:$A,CS!$A:$AK,19,FALSE),"")</f>
      </c>
      <c r="O43" s="57">
        <f>IFERROR(VLOOKUP($A:$A,CS!$A:$AK,23,FALSE),"")</f>
      </c>
      <c r="P43" s="57">
        <f>IFERROR(VLOOKUP($A:$A,CS!$A:$AK,24,FALSE),"")</f>
      </c>
      <c r="Q43" s="57">
        <f>IFERROR(VLOOKUP($A:$A,CS!$A:$AK,25,FALSE),"")</f>
      </c>
      <c r="R43" s="57">
        <f>IFERROR(VLOOKUP($A:$A,CS!$A:$AK,26,FALSE),"")</f>
      </c>
      <c r="S43" s="57">
        <f>IFERROR(VLOOKUP($A:$A,CS!$A:$AK,29,FALSE),"")</f>
      </c>
      <c r="T43" s="57">
        <f>IFERROR(VLOOKUP($A:$A,CS!$A:$AK,33,FALSE),"")</f>
      </c>
      <c r="U43" s="57">
        <f>IFERROR(VLOOKUP($A:$A,CS!$A:$AK,34,FALSE),"")</f>
      </c>
      <c r="V43" s="57">
        <f>IFERROR(VLOOKUP($A:$A,CS!$A:$AK,35,FALSE),"")</f>
      </c>
      <c r="W43" s="57">
        <f>IFERROR(VLOOKUP($A:$A,CS!$A:$AK,36,FALSE),"")</f>
      </c>
    </row>
    <row r="44" ht="16.5" customHeight="1" spans="1:23" x14ac:dyDescent="0.25">
      <c r="A44" s="71"/>
      <c r="B44" s="57">
        <f>IFERROR(VLOOKUP($A:$A,CS!$A:$AK,3,FALSE),"")</f>
      </c>
      <c r="C44" s="57">
        <f>IFERROR(VLOOKUP($A:$A,CS!$A:$AK,4,FALSE),"")</f>
      </c>
      <c r="D44" s="57">
        <f>IFERROR(VLOOKUP($A:$A,CS!$A:$AK,5,FALSE),"")</f>
      </c>
      <c r="E44" s="57">
        <f>IFERROR(VLOOKUP($A:$A,CS!$A:$AK,7,FALSE),"")</f>
      </c>
      <c r="F44" s="57">
        <f>IFERROR(VLOOKUP($A:$A,CS!$A:$AK,8,FALSE),"")</f>
      </c>
      <c r="G44" s="57">
        <f>IFERROR(VLOOKUP($A:$A,CS!$A:$AK,10,FALSE),"")</f>
      </c>
      <c r="H44" s="57">
        <f>IFERROR(VLOOKUP($A:$A,CS!$A:$AK,14,FALSE),"")</f>
      </c>
      <c r="I44" s="57">
        <f>IFERROR(VLOOKUP($A:$A,CS!$A:$AK,15,FALSE),"")</f>
      </c>
      <c r="J44" s="57">
        <f>IFERROR(VLOOKUP($A:$A,CS!$A:$AK,18,FALSE),"")</f>
      </c>
      <c r="K44" s="57">
        <f>IFERROR(VLOOKUP($A:$A,CS!$A:$AK,19,FALSE),"")</f>
      </c>
      <c r="L44" s="57">
        <f>IFERROR(VLOOKUP($A:$A,CS!$A:$AK,20,FALSE),"")</f>
      </c>
      <c r="M44" s="57">
        <f>IFERROR(VLOOKUP($A:$A,CS!$A:$AK,22,FALSE),"")</f>
      </c>
      <c r="N44" s="57">
        <f>IFERROR(VLOOKUP($A:$A,CS!$A:$AK,19,FALSE),"")</f>
      </c>
      <c r="O44" s="57">
        <f>IFERROR(VLOOKUP($A:$A,CS!$A:$AK,23,FALSE),"")</f>
      </c>
      <c r="P44" s="57">
        <f>IFERROR(VLOOKUP($A:$A,CS!$A:$AK,24,FALSE),"")</f>
      </c>
      <c r="Q44" s="57">
        <f>IFERROR(VLOOKUP($A:$A,CS!$A:$AK,25,FALSE),"")</f>
      </c>
      <c r="R44" s="57">
        <f>IFERROR(VLOOKUP($A:$A,CS!$A:$AK,26,FALSE),"")</f>
      </c>
      <c r="S44" s="57">
        <f>IFERROR(VLOOKUP($A:$A,CS!$A:$AK,29,FALSE),"")</f>
      </c>
      <c r="T44" s="57">
        <f>IFERROR(VLOOKUP($A:$A,CS!$A:$AK,33,FALSE),"")</f>
      </c>
      <c r="U44" s="57">
        <f>IFERROR(VLOOKUP($A:$A,CS!$A:$AK,34,FALSE),"")</f>
      </c>
      <c r="V44" s="57">
        <f>IFERROR(VLOOKUP($A:$A,CS!$A:$AK,35,FALSE),"")</f>
      </c>
      <c r="W44" s="57">
        <f>IFERROR(VLOOKUP($A:$A,CS!$A:$AK,36,FALSE),"")</f>
      </c>
    </row>
    <row r="45" ht="16.5" customHeight="1" spans="1:23" x14ac:dyDescent="0.25">
      <c r="A45" s="71"/>
      <c r="B45" s="57">
        <f>IFERROR(VLOOKUP($A:$A,CS!$A:$AK,3,FALSE),"")</f>
      </c>
      <c r="C45" s="57">
        <f>IFERROR(VLOOKUP($A:$A,CS!$A:$AK,4,FALSE),"")</f>
      </c>
      <c r="D45" s="57">
        <f>IFERROR(VLOOKUP($A:$A,CS!$A:$AK,5,FALSE),"")</f>
      </c>
      <c r="E45" s="57">
        <f>IFERROR(VLOOKUP($A:$A,CS!$A:$AK,7,FALSE),"")</f>
      </c>
      <c r="F45" s="57">
        <f>IFERROR(VLOOKUP($A:$A,CS!$A:$AK,8,FALSE),"")</f>
      </c>
      <c r="G45" s="57">
        <f>IFERROR(VLOOKUP($A:$A,CS!$A:$AK,10,FALSE),"")</f>
      </c>
      <c r="H45" s="57">
        <f>IFERROR(VLOOKUP($A:$A,CS!$A:$AK,14,FALSE),"")</f>
      </c>
      <c r="I45" s="57">
        <f>IFERROR(VLOOKUP($A:$A,CS!$A:$AK,15,FALSE),"")</f>
      </c>
      <c r="J45" s="57">
        <f>IFERROR(VLOOKUP($A:$A,CS!$A:$AK,18,FALSE),"")</f>
      </c>
      <c r="K45" s="57">
        <f>IFERROR(VLOOKUP($A:$A,CS!$A:$AK,19,FALSE),"")</f>
      </c>
      <c r="L45" s="57">
        <f>IFERROR(VLOOKUP($A:$A,CS!$A:$AK,20,FALSE),"")</f>
      </c>
      <c r="M45" s="57">
        <f>IFERROR(VLOOKUP($A:$A,CS!$A:$AK,22,FALSE),"")</f>
      </c>
      <c r="N45" s="57">
        <f>IFERROR(VLOOKUP($A:$A,CS!$A:$AK,19,FALSE),"")</f>
      </c>
      <c r="O45" s="57">
        <f>IFERROR(VLOOKUP($A:$A,CS!$A:$AK,23,FALSE),"")</f>
      </c>
      <c r="P45" s="57">
        <f>IFERROR(VLOOKUP($A:$A,CS!$A:$AK,24,FALSE),"")</f>
      </c>
      <c r="Q45" s="57">
        <f>IFERROR(VLOOKUP($A:$A,CS!$A:$AK,25,FALSE),"")</f>
      </c>
      <c r="R45" s="57">
        <f>IFERROR(VLOOKUP($A:$A,CS!$A:$AK,26,FALSE),"")</f>
      </c>
      <c r="S45" s="57">
        <f>IFERROR(VLOOKUP($A:$A,CS!$A:$AK,29,FALSE),"")</f>
      </c>
      <c r="T45" s="57">
        <f>IFERROR(VLOOKUP($A:$A,CS!$A:$AK,33,FALSE),"")</f>
      </c>
      <c r="U45" s="57">
        <f>IFERROR(VLOOKUP($A:$A,CS!$A:$AK,34,FALSE),"")</f>
      </c>
      <c r="V45" s="57">
        <f>IFERROR(VLOOKUP($A:$A,CS!$A:$AK,35,FALSE),"")</f>
      </c>
      <c r="W45" s="57">
        <f>IFERROR(VLOOKUP($A:$A,CS!$A:$AK,36,FALSE),"")</f>
      </c>
    </row>
    <row r="46" ht="16.5" customHeight="1" spans="1:23" x14ac:dyDescent="0.25">
      <c r="A46" s="71"/>
      <c r="B46" s="57">
        <f>IFERROR(VLOOKUP($A:$A,CS!$A:$AK,3,FALSE),"")</f>
      </c>
      <c r="C46" s="57">
        <f>IFERROR(VLOOKUP($A:$A,CS!$A:$AK,4,FALSE),"")</f>
      </c>
      <c r="D46" s="57">
        <f>IFERROR(VLOOKUP($A:$A,CS!$A:$AK,5,FALSE),"")</f>
      </c>
      <c r="E46" s="57">
        <f>IFERROR(VLOOKUP($A:$A,CS!$A:$AK,7,FALSE),"")</f>
      </c>
      <c r="F46" s="57">
        <f>IFERROR(VLOOKUP($A:$A,CS!$A:$AK,8,FALSE),"")</f>
      </c>
      <c r="G46" s="57">
        <f>IFERROR(VLOOKUP($A:$A,CS!$A:$AK,10,FALSE),"")</f>
      </c>
      <c r="H46" s="57">
        <f>IFERROR(VLOOKUP($A:$A,CS!$A:$AK,14,FALSE),"")</f>
      </c>
      <c r="I46" s="57">
        <f>IFERROR(VLOOKUP($A:$A,CS!$A:$AK,15,FALSE),"")</f>
      </c>
      <c r="J46" s="57">
        <f>IFERROR(VLOOKUP($A:$A,CS!$A:$AK,18,FALSE),"")</f>
      </c>
      <c r="K46" s="57">
        <f>IFERROR(VLOOKUP($A:$A,CS!$A:$AK,19,FALSE),"")</f>
      </c>
      <c r="L46" s="57">
        <f>IFERROR(VLOOKUP($A:$A,CS!$A:$AK,20,FALSE),"")</f>
      </c>
      <c r="M46" s="57">
        <f>IFERROR(VLOOKUP($A:$A,CS!$A:$AK,22,FALSE),"")</f>
      </c>
      <c r="N46" s="57">
        <f>IFERROR(VLOOKUP($A:$A,CS!$A:$AK,19,FALSE),"")</f>
      </c>
      <c r="O46" s="57">
        <f>IFERROR(VLOOKUP($A:$A,CS!$A:$AK,23,FALSE),"")</f>
      </c>
      <c r="P46" s="57">
        <f>IFERROR(VLOOKUP($A:$A,CS!$A:$AK,24,FALSE),"")</f>
      </c>
      <c r="Q46" s="57">
        <f>IFERROR(VLOOKUP($A:$A,CS!$A:$AK,25,FALSE),"")</f>
      </c>
      <c r="R46" s="57">
        <f>IFERROR(VLOOKUP($A:$A,CS!$A:$AK,26,FALSE),"")</f>
      </c>
      <c r="S46" s="57">
        <f>IFERROR(VLOOKUP($A:$A,CS!$A:$AK,29,FALSE),"")</f>
      </c>
      <c r="T46" s="57">
        <f>IFERROR(VLOOKUP($A:$A,CS!$A:$AK,33,FALSE),"")</f>
      </c>
      <c r="U46" s="57">
        <f>IFERROR(VLOOKUP($A:$A,CS!$A:$AK,34,FALSE),"")</f>
      </c>
      <c r="V46" s="57">
        <f>IFERROR(VLOOKUP($A:$A,CS!$A:$AK,35,FALSE),"")</f>
      </c>
      <c r="W46" s="57">
        <f>IFERROR(VLOOKUP($A:$A,CS!$A:$AK,36,FALSE),"")</f>
      </c>
    </row>
    <row r="47" ht="16.5" customHeight="1" spans="1:23" x14ac:dyDescent="0.25">
      <c r="A47" s="71"/>
      <c r="B47" s="57">
        <f>IFERROR(VLOOKUP($A:$A,CS!$A:$AK,3,FALSE),"")</f>
      </c>
      <c r="C47" s="57">
        <f>IFERROR(VLOOKUP($A:$A,CS!$A:$AK,4,FALSE),"")</f>
      </c>
      <c r="D47" s="57">
        <f>IFERROR(VLOOKUP($A:$A,CS!$A:$AK,5,FALSE),"")</f>
      </c>
      <c r="E47" s="57">
        <f>IFERROR(VLOOKUP($A:$A,CS!$A:$AK,7,FALSE),"")</f>
      </c>
      <c r="F47" s="57">
        <f>IFERROR(VLOOKUP($A:$A,CS!$A:$AK,8,FALSE),"")</f>
      </c>
      <c r="G47" s="57">
        <f>IFERROR(VLOOKUP($A:$A,CS!$A:$AK,10,FALSE),"")</f>
      </c>
      <c r="H47" s="57">
        <f>IFERROR(VLOOKUP($A:$A,CS!$A:$AK,14,FALSE),"")</f>
      </c>
      <c r="I47" s="57">
        <f>IFERROR(VLOOKUP($A:$A,CS!$A:$AK,15,FALSE),"")</f>
      </c>
      <c r="J47" s="57">
        <f>IFERROR(VLOOKUP($A:$A,CS!$A:$AK,18,FALSE),"")</f>
      </c>
      <c r="K47" s="57">
        <f>IFERROR(VLOOKUP($A:$A,CS!$A:$AK,19,FALSE),"")</f>
      </c>
      <c r="L47" s="57">
        <f>IFERROR(VLOOKUP($A:$A,CS!$A:$AK,20,FALSE),"")</f>
      </c>
      <c r="M47" s="57">
        <f>IFERROR(VLOOKUP($A:$A,CS!$A:$AK,22,FALSE),"")</f>
      </c>
      <c r="N47" s="57">
        <f>IFERROR(VLOOKUP($A:$A,CS!$A:$AK,19,FALSE),"")</f>
      </c>
      <c r="O47" s="57">
        <f>IFERROR(VLOOKUP($A:$A,CS!$A:$AK,23,FALSE),"")</f>
      </c>
      <c r="P47" s="57">
        <f>IFERROR(VLOOKUP($A:$A,CS!$A:$AK,24,FALSE),"")</f>
      </c>
      <c r="Q47" s="57">
        <f>IFERROR(VLOOKUP($A:$A,CS!$A:$AK,25,FALSE),"")</f>
      </c>
      <c r="R47" s="57">
        <f>IFERROR(VLOOKUP($A:$A,CS!$A:$AK,26,FALSE),"")</f>
      </c>
      <c r="S47" s="57">
        <f>IFERROR(VLOOKUP($A:$A,CS!$A:$AK,29,FALSE),"")</f>
      </c>
      <c r="T47" s="57">
        <f>IFERROR(VLOOKUP($A:$A,CS!$A:$AK,33,FALSE),"")</f>
      </c>
      <c r="U47" s="57">
        <f>IFERROR(VLOOKUP($A:$A,CS!$A:$AK,34,FALSE),"")</f>
      </c>
      <c r="V47" s="57">
        <f>IFERROR(VLOOKUP($A:$A,CS!$A:$AK,35,FALSE),"")</f>
      </c>
      <c r="W47" s="57">
        <f>IFERROR(VLOOKUP($A:$A,CS!$A:$AK,36,FALSE),"")</f>
      </c>
    </row>
    <row r="48" ht="16.5" customHeight="1" spans="1:23" x14ac:dyDescent="0.25">
      <c r="A48" s="71"/>
      <c r="B48" s="57">
        <f>IFERROR(VLOOKUP($A:$A,CS!$A:$AK,3,FALSE),"")</f>
      </c>
      <c r="C48" s="57">
        <f>IFERROR(VLOOKUP($A:$A,CS!$A:$AK,4,FALSE),"")</f>
      </c>
      <c r="D48" s="57">
        <f>IFERROR(VLOOKUP($A:$A,CS!$A:$AK,5,FALSE),"")</f>
      </c>
      <c r="E48" s="57">
        <f>IFERROR(VLOOKUP($A:$A,CS!$A:$AK,7,FALSE),"")</f>
      </c>
      <c r="F48" s="57">
        <f>IFERROR(VLOOKUP($A:$A,CS!$A:$AK,8,FALSE),"")</f>
      </c>
      <c r="G48" s="57">
        <f>IFERROR(VLOOKUP($A:$A,CS!$A:$AK,10,FALSE),"")</f>
      </c>
      <c r="H48" s="57">
        <f>IFERROR(VLOOKUP($A:$A,CS!$A:$AK,14,FALSE),"")</f>
      </c>
      <c r="I48" s="57">
        <f>IFERROR(VLOOKUP($A:$A,CS!$A:$AK,15,FALSE),"")</f>
      </c>
      <c r="J48" s="57">
        <f>IFERROR(VLOOKUP($A:$A,CS!$A:$AK,18,FALSE),"")</f>
      </c>
      <c r="K48" s="57">
        <f>IFERROR(VLOOKUP($A:$A,CS!$A:$AK,19,FALSE),"")</f>
      </c>
      <c r="L48" s="57">
        <f>IFERROR(VLOOKUP($A:$A,CS!$A:$AK,20,FALSE),"")</f>
      </c>
      <c r="M48" s="57">
        <f>IFERROR(VLOOKUP($A:$A,CS!$A:$AK,22,FALSE),"")</f>
      </c>
      <c r="N48" s="57">
        <f>IFERROR(VLOOKUP($A:$A,CS!$A:$AK,19,FALSE),"")</f>
      </c>
      <c r="O48" s="57">
        <f>IFERROR(VLOOKUP($A:$A,CS!$A:$AK,23,FALSE),"")</f>
      </c>
      <c r="P48" s="57">
        <f>IFERROR(VLOOKUP($A:$A,CS!$A:$AK,24,FALSE),"")</f>
      </c>
      <c r="Q48" s="57">
        <f>IFERROR(VLOOKUP($A:$A,CS!$A:$AK,25,FALSE),"")</f>
      </c>
      <c r="R48" s="57">
        <f>IFERROR(VLOOKUP($A:$A,CS!$A:$AK,26,FALSE),"")</f>
      </c>
      <c r="S48" s="57">
        <f>IFERROR(VLOOKUP($A:$A,CS!$A:$AK,29,FALSE),"")</f>
      </c>
      <c r="T48" s="57">
        <f>IFERROR(VLOOKUP($A:$A,CS!$A:$AK,33,FALSE),"")</f>
      </c>
      <c r="U48" s="57">
        <f>IFERROR(VLOOKUP($A:$A,CS!$A:$AK,34,FALSE),"")</f>
      </c>
      <c r="V48" s="57">
        <f>IFERROR(VLOOKUP($A:$A,CS!$A:$AK,35,FALSE),"")</f>
      </c>
      <c r="W48" s="57">
        <f>IFERROR(VLOOKUP($A:$A,CS!$A:$AK,36,FALSE),"")</f>
      </c>
    </row>
    <row r="49" ht="16.5" customHeight="1" spans="1:23" x14ac:dyDescent="0.25">
      <c r="A49" s="71"/>
      <c r="B49" s="57">
        <f>IFERROR(VLOOKUP($A:$A,CS!$A:$AK,3,FALSE),"")</f>
      </c>
      <c r="C49" s="57">
        <f>IFERROR(VLOOKUP($A:$A,CS!$A:$AK,4,FALSE),"")</f>
      </c>
      <c r="D49" s="57">
        <f>IFERROR(VLOOKUP($A:$A,CS!$A:$AK,5,FALSE),"")</f>
      </c>
      <c r="E49" s="57">
        <f>IFERROR(VLOOKUP($A:$A,CS!$A:$AK,7,FALSE),"")</f>
      </c>
      <c r="F49" s="57">
        <f>IFERROR(VLOOKUP($A:$A,CS!$A:$AK,8,FALSE),"")</f>
      </c>
      <c r="G49" s="57">
        <f>IFERROR(VLOOKUP($A:$A,CS!$A:$AK,10,FALSE),"")</f>
      </c>
      <c r="H49" s="57">
        <f>IFERROR(VLOOKUP($A:$A,CS!$A:$AK,14,FALSE),"")</f>
      </c>
      <c r="I49" s="57">
        <f>IFERROR(VLOOKUP($A:$A,CS!$A:$AK,15,FALSE),"")</f>
      </c>
      <c r="J49" s="57">
        <f>IFERROR(VLOOKUP($A:$A,CS!$A:$AK,18,FALSE),"")</f>
      </c>
      <c r="K49" s="57">
        <f>IFERROR(VLOOKUP($A:$A,CS!$A:$AK,19,FALSE),"")</f>
      </c>
      <c r="L49" s="57">
        <f>IFERROR(VLOOKUP($A:$A,CS!$A:$AK,20,FALSE),"")</f>
      </c>
      <c r="M49" s="57">
        <f>IFERROR(VLOOKUP($A:$A,CS!$A:$AK,22,FALSE),"")</f>
      </c>
      <c r="N49" s="57">
        <f>IFERROR(VLOOKUP($A:$A,CS!$A:$AK,19,FALSE),"")</f>
      </c>
      <c r="O49" s="57">
        <f>IFERROR(VLOOKUP($A:$A,CS!$A:$AK,23,FALSE),"")</f>
      </c>
      <c r="P49" s="57">
        <f>IFERROR(VLOOKUP($A:$A,CS!$A:$AK,24,FALSE),"")</f>
      </c>
      <c r="Q49" s="57">
        <f>IFERROR(VLOOKUP($A:$A,CS!$A:$AK,25,FALSE),"")</f>
      </c>
      <c r="R49" s="57">
        <f>IFERROR(VLOOKUP($A:$A,CS!$A:$AK,26,FALSE),"")</f>
      </c>
      <c r="S49" s="57">
        <f>IFERROR(VLOOKUP($A:$A,CS!$A:$AK,29,FALSE),"")</f>
      </c>
      <c r="T49" s="57">
        <f>IFERROR(VLOOKUP($A:$A,CS!$A:$AK,33,FALSE),"")</f>
      </c>
      <c r="U49" s="57">
        <f>IFERROR(VLOOKUP($A:$A,CS!$A:$AK,34,FALSE),"")</f>
      </c>
      <c r="V49" s="57">
        <f>IFERROR(VLOOKUP($A:$A,CS!$A:$AK,35,FALSE),"")</f>
      </c>
      <c r="W49" s="57">
        <f>IFERROR(VLOOKUP($A:$A,CS!$A:$AK,36,FALSE),"")</f>
      </c>
    </row>
    <row r="50" ht="16.5" customHeight="1" spans="1:23" x14ac:dyDescent="0.25">
      <c r="A50" s="71"/>
      <c r="B50" s="57">
        <f>IFERROR(VLOOKUP($A:$A,CS!$A:$AK,3,FALSE),"")</f>
      </c>
      <c r="C50" s="57">
        <f>IFERROR(VLOOKUP($A:$A,CS!$A:$AK,4,FALSE),"")</f>
      </c>
      <c r="D50" s="57">
        <f>IFERROR(VLOOKUP($A:$A,CS!$A:$AK,5,FALSE),"")</f>
      </c>
      <c r="E50" s="57">
        <f>IFERROR(VLOOKUP($A:$A,CS!$A:$AK,7,FALSE),"")</f>
      </c>
      <c r="F50" s="57">
        <f>IFERROR(VLOOKUP($A:$A,CS!$A:$AK,8,FALSE),"")</f>
      </c>
      <c r="G50" s="57">
        <f>IFERROR(VLOOKUP($A:$A,CS!$A:$AK,10,FALSE),"")</f>
      </c>
      <c r="H50" s="57">
        <f>IFERROR(VLOOKUP($A:$A,CS!$A:$AK,14,FALSE),"")</f>
      </c>
      <c r="I50" s="57">
        <f>IFERROR(VLOOKUP($A:$A,CS!$A:$AK,15,FALSE),"")</f>
      </c>
      <c r="J50" s="57">
        <f>IFERROR(VLOOKUP($A:$A,CS!$A:$AK,18,FALSE),"")</f>
      </c>
      <c r="K50" s="57">
        <f>IFERROR(VLOOKUP($A:$A,CS!$A:$AK,19,FALSE),"")</f>
      </c>
      <c r="L50" s="57">
        <f>IFERROR(VLOOKUP($A:$A,CS!$A:$AK,20,FALSE),"")</f>
      </c>
      <c r="M50" s="57">
        <f>IFERROR(VLOOKUP($A:$A,CS!$A:$AK,22,FALSE),"")</f>
      </c>
      <c r="N50" s="57">
        <f>IFERROR(VLOOKUP($A:$A,CS!$A:$AK,19,FALSE),"")</f>
      </c>
      <c r="O50" s="57">
        <f>IFERROR(VLOOKUP($A:$A,CS!$A:$AK,23,FALSE),"")</f>
      </c>
      <c r="P50" s="57">
        <f>IFERROR(VLOOKUP($A:$A,CS!$A:$AK,24,FALSE),"")</f>
      </c>
      <c r="Q50" s="57">
        <f>IFERROR(VLOOKUP($A:$A,CS!$A:$AK,25,FALSE),"")</f>
      </c>
      <c r="R50" s="57">
        <f>IFERROR(VLOOKUP($A:$A,CS!$A:$AK,26,FALSE),"")</f>
      </c>
      <c r="S50" s="57">
        <f>IFERROR(VLOOKUP($A:$A,CS!$A:$AK,29,FALSE),"")</f>
      </c>
      <c r="T50" s="57">
        <f>IFERROR(VLOOKUP($A:$A,CS!$A:$AK,33,FALSE),"")</f>
      </c>
      <c r="U50" s="57">
        <f>IFERROR(VLOOKUP($A:$A,CS!$A:$AK,34,FALSE),"")</f>
      </c>
      <c r="V50" s="57">
        <f>IFERROR(VLOOKUP($A:$A,CS!$A:$AK,35,FALSE),"")</f>
      </c>
      <c r="W50" s="57">
        <f>IFERROR(VLOOKUP($A:$A,CS!$A:$AK,36,FALSE),"")</f>
      </c>
    </row>
    <row r="51" ht="16.5" customHeight="1" spans="1:23" x14ac:dyDescent="0.25">
      <c r="A51" s="71"/>
      <c r="B51" s="57">
        <f>IFERROR(VLOOKUP($A:$A,CS!$A:$AK,3,FALSE),"")</f>
      </c>
      <c r="C51" s="57">
        <f>IFERROR(VLOOKUP($A:$A,CS!$A:$AK,4,FALSE),"")</f>
      </c>
      <c r="D51" s="57">
        <f>IFERROR(VLOOKUP($A:$A,CS!$A:$AK,5,FALSE),"")</f>
      </c>
      <c r="E51" s="57">
        <f>IFERROR(VLOOKUP($A:$A,CS!$A:$AK,7,FALSE),"")</f>
      </c>
      <c r="F51" s="57">
        <f>IFERROR(VLOOKUP($A:$A,CS!$A:$AK,8,FALSE),"")</f>
      </c>
      <c r="G51" s="57">
        <f>IFERROR(VLOOKUP($A:$A,CS!$A:$AK,10,FALSE),"")</f>
      </c>
      <c r="H51" s="57">
        <f>IFERROR(VLOOKUP($A:$A,CS!$A:$AK,14,FALSE),"")</f>
      </c>
      <c r="I51" s="57">
        <f>IFERROR(VLOOKUP($A:$A,CS!$A:$AK,15,FALSE),"")</f>
      </c>
      <c r="J51" s="57">
        <f>IFERROR(VLOOKUP($A:$A,CS!$A:$AK,18,FALSE),"")</f>
      </c>
      <c r="K51" s="57">
        <f>IFERROR(VLOOKUP($A:$A,CS!$A:$AK,19,FALSE),"")</f>
      </c>
      <c r="L51" s="57">
        <f>IFERROR(VLOOKUP($A:$A,CS!$A:$AK,20,FALSE),"")</f>
      </c>
      <c r="M51" s="57">
        <f>IFERROR(VLOOKUP($A:$A,CS!$A:$AK,22,FALSE),"")</f>
      </c>
      <c r="N51" s="57">
        <f>IFERROR(VLOOKUP($A:$A,CS!$A:$AK,19,FALSE),"")</f>
      </c>
      <c r="O51" s="57">
        <f>IFERROR(VLOOKUP($A:$A,CS!$A:$AK,23,FALSE),"")</f>
      </c>
      <c r="P51" s="57">
        <f>IFERROR(VLOOKUP($A:$A,CS!$A:$AK,24,FALSE),"")</f>
      </c>
      <c r="Q51" s="57">
        <f>IFERROR(VLOOKUP($A:$A,CS!$A:$AK,25,FALSE),"")</f>
      </c>
      <c r="R51" s="57">
        <f>IFERROR(VLOOKUP($A:$A,CS!$A:$AK,26,FALSE),"")</f>
      </c>
      <c r="S51" s="57">
        <f>IFERROR(VLOOKUP($A:$A,CS!$A:$AK,29,FALSE),"")</f>
      </c>
      <c r="T51" s="57">
        <f>IFERROR(VLOOKUP($A:$A,CS!$A:$AK,33,FALSE),"")</f>
      </c>
      <c r="U51" s="57">
        <f>IFERROR(VLOOKUP($A:$A,CS!$A:$AK,34,FALSE),"")</f>
      </c>
      <c r="V51" s="57">
        <f>IFERROR(VLOOKUP($A:$A,CS!$A:$AK,35,FALSE),"")</f>
      </c>
      <c r="W51" s="57">
        <f>IFERROR(VLOOKUP($A:$A,CS!$A:$AK,36,FALSE),"")</f>
      </c>
    </row>
    <row r="52" ht="16.5" customHeight="1" spans="1:23" x14ac:dyDescent="0.25">
      <c r="A52" s="71"/>
      <c r="B52" s="57">
        <f>IFERROR(VLOOKUP($A:$A,CS!$A:$AK,3,FALSE),"")</f>
      </c>
      <c r="C52" s="57">
        <f>IFERROR(VLOOKUP($A:$A,CS!$A:$AK,4,FALSE),"")</f>
      </c>
      <c r="D52" s="57">
        <f>IFERROR(VLOOKUP($A:$A,CS!$A:$AK,5,FALSE),"")</f>
      </c>
      <c r="E52" s="57">
        <f>IFERROR(VLOOKUP($A:$A,CS!$A:$AK,7,FALSE),"")</f>
      </c>
      <c r="F52" s="57">
        <f>IFERROR(VLOOKUP($A:$A,CS!$A:$AK,8,FALSE),"")</f>
      </c>
      <c r="G52" s="57">
        <f>IFERROR(VLOOKUP($A:$A,CS!$A:$AK,10,FALSE),"")</f>
      </c>
      <c r="H52" s="57">
        <f>IFERROR(VLOOKUP($A:$A,CS!$A:$AK,14,FALSE),"")</f>
      </c>
      <c r="I52" s="57">
        <f>IFERROR(VLOOKUP($A:$A,CS!$A:$AK,15,FALSE),"")</f>
      </c>
      <c r="J52" s="57">
        <f>IFERROR(VLOOKUP($A:$A,CS!$A:$AK,18,FALSE),"")</f>
      </c>
      <c r="K52" s="57">
        <f>IFERROR(VLOOKUP($A:$A,CS!$A:$AK,19,FALSE),"")</f>
      </c>
      <c r="L52" s="57">
        <f>IFERROR(VLOOKUP($A:$A,CS!$A:$AK,20,FALSE),"")</f>
      </c>
      <c r="M52" s="57">
        <f>IFERROR(VLOOKUP($A:$A,CS!$A:$AK,22,FALSE),"")</f>
      </c>
      <c r="N52" s="57">
        <f>IFERROR(VLOOKUP($A:$A,CS!$A:$AK,19,FALSE),"")</f>
      </c>
      <c r="O52" s="57">
        <f>IFERROR(VLOOKUP($A:$A,CS!$A:$AK,23,FALSE),"")</f>
      </c>
      <c r="P52" s="57">
        <f>IFERROR(VLOOKUP($A:$A,CS!$A:$AK,24,FALSE),"")</f>
      </c>
      <c r="Q52" s="57">
        <f>IFERROR(VLOOKUP($A:$A,CS!$A:$AK,25,FALSE),"")</f>
      </c>
      <c r="R52" s="57">
        <f>IFERROR(VLOOKUP($A:$A,CS!$A:$AK,26,FALSE),"")</f>
      </c>
      <c r="S52" s="57">
        <f>IFERROR(VLOOKUP($A:$A,CS!$A:$AK,29,FALSE),"")</f>
      </c>
      <c r="T52" s="57">
        <f>IFERROR(VLOOKUP($A:$A,CS!$A:$AK,33,FALSE),"")</f>
      </c>
      <c r="U52" s="57">
        <f>IFERROR(VLOOKUP($A:$A,CS!$A:$AK,34,FALSE),"")</f>
      </c>
      <c r="V52" s="57">
        <f>IFERROR(VLOOKUP($A:$A,CS!$A:$AK,35,FALSE),"")</f>
      </c>
      <c r="W52" s="57">
        <f>IFERROR(VLOOKUP($A:$A,CS!$A:$AK,36,FALSE),"")</f>
      </c>
    </row>
    <row r="53" ht="16.5" customHeight="1" spans="1:23" x14ac:dyDescent="0.25">
      <c r="A53" s="71"/>
      <c r="B53" s="57">
        <f>IFERROR(VLOOKUP($A:$A,CS!$A:$AK,3,FALSE),"")</f>
      </c>
      <c r="C53" s="57">
        <f>IFERROR(VLOOKUP($A:$A,CS!$A:$AK,4,FALSE),"")</f>
      </c>
      <c r="D53" s="57">
        <f>IFERROR(VLOOKUP($A:$A,CS!$A:$AK,5,FALSE),"")</f>
      </c>
      <c r="E53" s="57">
        <f>IFERROR(VLOOKUP($A:$A,CS!$A:$AK,7,FALSE),"")</f>
      </c>
      <c r="F53" s="57">
        <f>IFERROR(VLOOKUP($A:$A,CS!$A:$AK,8,FALSE),"")</f>
      </c>
      <c r="G53" s="57">
        <f>IFERROR(VLOOKUP($A:$A,CS!$A:$AK,10,FALSE),"")</f>
      </c>
      <c r="H53" s="57">
        <f>IFERROR(VLOOKUP($A:$A,CS!$A:$AK,14,FALSE),"")</f>
      </c>
      <c r="I53" s="57">
        <f>IFERROR(VLOOKUP($A:$A,CS!$A:$AK,15,FALSE),"")</f>
      </c>
      <c r="J53" s="57">
        <f>IFERROR(VLOOKUP($A:$A,CS!$A:$AK,18,FALSE),"")</f>
      </c>
      <c r="K53" s="57">
        <f>IFERROR(VLOOKUP($A:$A,CS!$A:$AK,19,FALSE),"")</f>
      </c>
      <c r="L53" s="57">
        <f>IFERROR(VLOOKUP($A:$A,CS!$A:$AK,20,FALSE),"")</f>
      </c>
      <c r="M53" s="57">
        <f>IFERROR(VLOOKUP($A:$A,CS!$A:$AK,22,FALSE),"")</f>
      </c>
      <c r="N53" s="57">
        <f>IFERROR(VLOOKUP($A:$A,CS!$A:$AK,19,FALSE),"")</f>
      </c>
      <c r="O53" s="57">
        <f>IFERROR(VLOOKUP($A:$A,CS!$A:$AK,23,FALSE),"")</f>
      </c>
      <c r="P53" s="57">
        <f>IFERROR(VLOOKUP($A:$A,CS!$A:$AK,24,FALSE),"")</f>
      </c>
      <c r="Q53" s="57">
        <f>IFERROR(VLOOKUP($A:$A,CS!$A:$AK,25,FALSE),"")</f>
      </c>
      <c r="R53" s="57">
        <f>IFERROR(VLOOKUP($A:$A,CS!$A:$AK,26,FALSE),"")</f>
      </c>
      <c r="S53" s="57">
        <f>IFERROR(VLOOKUP($A:$A,CS!$A:$AK,29,FALSE),"")</f>
      </c>
      <c r="T53" s="57">
        <f>IFERROR(VLOOKUP($A:$A,CS!$A:$AK,33,FALSE),"")</f>
      </c>
      <c r="U53" s="57">
        <f>IFERROR(VLOOKUP($A:$A,CS!$A:$AK,34,FALSE),"")</f>
      </c>
      <c r="V53" s="57">
        <f>IFERROR(VLOOKUP($A:$A,CS!$A:$AK,35,FALSE),"")</f>
      </c>
      <c r="W53" s="57">
        <f>IFERROR(VLOOKUP($A:$A,CS!$A:$AK,36,FALSE),"")</f>
      </c>
    </row>
    <row r="54" ht="16.5" customHeight="1" spans="1:23" x14ac:dyDescent="0.25">
      <c r="A54" s="71"/>
      <c r="B54" s="57">
        <f>IFERROR(VLOOKUP($A:$A,CS!$A:$AK,3,FALSE),"")</f>
      </c>
      <c r="C54" s="57">
        <f>IFERROR(VLOOKUP($A:$A,CS!$A:$AK,4,FALSE),"")</f>
      </c>
      <c r="D54" s="57">
        <f>IFERROR(VLOOKUP($A:$A,CS!$A:$AK,5,FALSE),"")</f>
      </c>
      <c r="E54" s="57">
        <f>IFERROR(VLOOKUP($A:$A,CS!$A:$AK,7,FALSE),"")</f>
      </c>
      <c r="F54" s="57">
        <f>IFERROR(VLOOKUP($A:$A,CS!$A:$AK,8,FALSE),"")</f>
      </c>
      <c r="G54" s="57">
        <f>IFERROR(VLOOKUP($A:$A,CS!$A:$AK,10,FALSE),"")</f>
      </c>
      <c r="H54" s="57">
        <f>IFERROR(VLOOKUP($A:$A,CS!$A:$AK,14,FALSE),"")</f>
      </c>
      <c r="I54" s="57">
        <f>IFERROR(VLOOKUP($A:$A,CS!$A:$AK,15,FALSE),"")</f>
      </c>
      <c r="J54" s="57">
        <f>IFERROR(VLOOKUP($A:$A,CS!$A:$AK,18,FALSE),"")</f>
      </c>
      <c r="K54" s="57">
        <f>IFERROR(VLOOKUP($A:$A,CS!$A:$AK,19,FALSE),"")</f>
      </c>
      <c r="L54" s="57">
        <f>IFERROR(VLOOKUP($A:$A,CS!$A:$AK,20,FALSE),"")</f>
      </c>
      <c r="M54" s="57">
        <f>IFERROR(VLOOKUP($A:$A,CS!$A:$AK,22,FALSE),"")</f>
      </c>
      <c r="N54" s="57">
        <f>IFERROR(VLOOKUP($A:$A,CS!$A:$AK,19,FALSE),"")</f>
      </c>
      <c r="O54" s="57">
        <f>IFERROR(VLOOKUP($A:$A,CS!$A:$AK,23,FALSE),"")</f>
      </c>
      <c r="P54" s="57">
        <f>IFERROR(VLOOKUP($A:$A,CS!$A:$AK,24,FALSE),"")</f>
      </c>
      <c r="Q54" s="57">
        <f>IFERROR(VLOOKUP($A:$A,CS!$A:$AK,25,FALSE),"")</f>
      </c>
      <c r="R54" s="57">
        <f>IFERROR(VLOOKUP($A:$A,CS!$A:$AK,26,FALSE),"")</f>
      </c>
      <c r="S54" s="57">
        <f>IFERROR(VLOOKUP($A:$A,CS!$A:$AK,29,FALSE),"")</f>
      </c>
      <c r="T54" s="57">
        <f>IFERROR(VLOOKUP($A:$A,CS!$A:$AK,33,FALSE),"")</f>
      </c>
      <c r="U54" s="57">
        <f>IFERROR(VLOOKUP($A:$A,CS!$A:$AK,34,FALSE),"")</f>
      </c>
      <c r="V54" s="57">
        <f>IFERROR(VLOOKUP($A:$A,CS!$A:$AK,35,FALSE),"")</f>
      </c>
      <c r="W54" s="57">
        <f>IFERROR(VLOOKUP($A:$A,CS!$A:$AK,36,FALSE),"")</f>
      </c>
    </row>
    <row r="55" ht="16.5" customHeight="1" spans="1:23" x14ac:dyDescent="0.25">
      <c r="A55" s="71"/>
      <c r="B55" s="57">
        <f>IFERROR(VLOOKUP($A:$A,CS!$A:$AK,3,FALSE),"")</f>
      </c>
      <c r="C55" s="57">
        <f>IFERROR(VLOOKUP($A:$A,CS!$A:$AK,4,FALSE),"")</f>
      </c>
      <c r="D55" s="57">
        <f>IFERROR(VLOOKUP($A:$A,CS!$A:$AK,5,FALSE),"")</f>
      </c>
      <c r="E55" s="57">
        <f>IFERROR(VLOOKUP($A:$A,CS!$A:$AK,7,FALSE),"")</f>
      </c>
      <c r="F55" s="57">
        <f>IFERROR(VLOOKUP($A:$A,CS!$A:$AK,8,FALSE),"")</f>
      </c>
      <c r="G55" s="57">
        <f>IFERROR(VLOOKUP($A:$A,CS!$A:$AK,10,FALSE),"")</f>
      </c>
      <c r="H55" s="57">
        <f>IFERROR(VLOOKUP($A:$A,CS!$A:$AK,14,FALSE),"")</f>
      </c>
      <c r="I55" s="57">
        <f>IFERROR(VLOOKUP($A:$A,CS!$A:$AK,15,FALSE),"")</f>
      </c>
      <c r="J55" s="57">
        <f>IFERROR(VLOOKUP($A:$A,CS!$A:$AK,18,FALSE),"")</f>
      </c>
      <c r="K55" s="57">
        <f>IFERROR(VLOOKUP($A:$A,CS!$A:$AK,19,FALSE),"")</f>
      </c>
      <c r="L55" s="57">
        <f>IFERROR(VLOOKUP($A:$A,CS!$A:$AK,20,FALSE),"")</f>
      </c>
      <c r="M55" s="57">
        <f>IFERROR(VLOOKUP($A:$A,CS!$A:$AK,22,FALSE),"")</f>
      </c>
      <c r="N55" s="57">
        <f>IFERROR(VLOOKUP($A:$A,CS!$A:$AK,19,FALSE),"")</f>
      </c>
      <c r="O55" s="57">
        <f>IFERROR(VLOOKUP($A:$A,CS!$A:$AK,23,FALSE),"")</f>
      </c>
      <c r="P55" s="57">
        <f>IFERROR(VLOOKUP($A:$A,CS!$A:$AK,24,FALSE),"")</f>
      </c>
      <c r="Q55" s="57">
        <f>IFERROR(VLOOKUP($A:$A,CS!$A:$AK,25,FALSE),"")</f>
      </c>
      <c r="R55" s="57">
        <f>IFERROR(VLOOKUP($A:$A,CS!$A:$AK,26,FALSE),"")</f>
      </c>
      <c r="S55" s="57">
        <f>IFERROR(VLOOKUP($A:$A,CS!$A:$AK,29,FALSE),"")</f>
      </c>
      <c r="T55" s="57">
        <f>IFERROR(VLOOKUP($A:$A,CS!$A:$AK,33,FALSE),"")</f>
      </c>
      <c r="U55" s="57">
        <f>IFERROR(VLOOKUP($A:$A,CS!$A:$AK,34,FALSE),"")</f>
      </c>
      <c r="V55" s="57">
        <f>IFERROR(VLOOKUP($A:$A,CS!$A:$AK,35,FALSE),"")</f>
      </c>
      <c r="W55" s="57">
        <f>IFERROR(VLOOKUP($A:$A,CS!$A:$AK,36,FALSE),"")</f>
      </c>
    </row>
    <row r="56" ht="16.5" customHeight="1" spans="1:23" x14ac:dyDescent="0.25">
      <c r="A56" s="71"/>
      <c r="B56" s="57">
        <f>IFERROR(VLOOKUP($A:$A,CS!$A:$AK,3,FALSE),"")</f>
      </c>
      <c r="C56" s="57">
        <f>IFERROR(VLOOKUP($A:$A,CS!$A:$AK,4,FALSE),"")</f>
      </c>
      <c r="D56" s="57">
        <f>IFERROR(VLOOKUP($A:$A,CS!$A:$AK,5,FALSE),"")</f>
      </c>
      <c r="E56" s="57">
        <f>IFERROR(VLOOKUP($A:$A,CS!$A:$AK,7,FALSE),"")</f>
      </c>
      <c r="F56" s="57">
        <f>IFERROR(VLOOKUP($A:$A,CS!$A:$AK,8,FALSE),"")</f>
      </c>
      <c r="G56" s="57">
        <f>IFERROR(VLOOKUP($A:$A,CS!$A:$AK,10,FALSE),"")</f>
      </c>
      <c r="H56" s="57">
        <f>IFERROR(VLOOKUP($A:$A,CS!$A:$AK,14,FALSE),"")</f>
      </c>
      <c r="I56" s="57">
        <f>IFERROR(VLOOKUP($A:$A,CS!$A:$AK,15,FALSE),"")</f>
      </c>
      <c r="J56" s="57">
        <f>IFERROR(VLOOKUP($A:$A,CS!$A:$AK,18,FALSE),"")</f>
      </c>
      <c r="K56" s="57">
        <f>IFERROR(VLOOKUP($A:$A,CS!$A:$AK,19,FALSE),"")</f>
      </c>
      <c r="L56" s="57">
        <f>IFERROR(VLOOKUP($A:$A,CS!$A:$AK,20,FALSE),"")</f>
      </c>
      <c r="M56" s="57">
        <f>IFERROR(VLOOKUP($A:$A,CS!$A:$AK,22,FALSE),"")</f>
      </c>
      <c r="N56" s="57">
        <f>IFERROR(VLOOKUP($A:$A,CS!$A:$AK,19,FALSE),"")</f>
      </c>
      <c r="O56" s="57">
        <f>IFERROR(VLOOKUP($A:$A,CS!$A:$AK,23,FALSE),"")</f>
      </c>
      <c r="P56" s="57">
        <f>IFERROR(VLOOKUP($A:$A,CS!$A:$AK,24,FALSE),"")</f>
      </c>
      <c r="Q56" s="57">
        <f>IFERROR(VLOOKUP($A:$A,CS!$A:$AK,25,FALSE),"")</f>
      </c>
      <c r="R56" s="57">
        <f>IFERROR(VLOOKUP($A:$A,CS!$A:$AK,26,FALSE),"")</f>
      </c>
      <c r="S56" s="57">
        <f>IFERROR(VLOOKUP($A:$A,CS!$A:$AK,29,FALSE),"")</f>
      </c>
      <c r="T56" s="57">
        <f>IFERROR(VLOOKUP($A:$A,CS!$A:$AK,33,FALSE),"")</f>
      </c>
      <c r="U56" s="57">
        <f>IFERROR(VLOOKUP($A:$A,CS!$A:$AK,34,FALSE),"")</f>
      </c>
      <c r="V56" s="57">
        <f>IFERROR(VLOOKUP($A:$A,CS!$A:$AK,35,FALSE),"")</f>
      </c>
      <c r="W56" s="57">
        <f>IFERROR(VLOOKUP($A:$A,CS!$A:$AK,36,FALSE),"")</f>
      </c>
    </row>
    <row r="57" ht="16.5" customHeight="1" spans="1:23" x14ac:dyDescent="0.25">
      <c r="A57" s="71"/>
      <c r="B57" s="57">
        <f>IFERROR(VLOOKUP($A:$A,CS!$A:$AK,3,FALSE),"")</f>
      </c>
      <c r="C57" s="57">
        <f>IFERROR(VLOOKUP($A:$A,CS!$A:$AK,4,FALSE),"")</f>
      </c>
      <c r="D57" s="57">
        <f>IFERROR(VLOOKUP($A:$A,CS!$A:$AK,5,FALSE),"")</f>
      </c>
      <c r="E57" s="57">
        <f>IFERROR(VLOOKUP($A:$A,CS!$A:$AK,7,FALSE),"")</f>
      </c>
      <c r="F57" s="57">
        <f>IFERROR(VLOOKUP($A:$A,CS!$A:$AK,8,FALSE),"")</f>
      </c>
      <c r="G57" s="57">
        <f>IFERROR(VLOOKUP($A:$A,CS!$A:$AK,10,FALSE),"")</f>
      </c>
      <c r="H57" s="57">
        <f>IFERROR(VLOOKUP($A:$A,CS!$A:$AK,14,FALSE),"")</f>
      </c>
      <c r="I57" s="57">
        <f>IFERROR(VLOOKUP($A:$A,CS!$A:$AK,15,FALSE),"")</f>
      </c>
      <c r="J57" s="57">
        <f>IFERROR(VLOOKUP($A:$A,CS!$A:$AK,18,FALSE),"")</f>
      </c>
      <c r="K57" s="57">
        <f>IFERROR(VLOOKUP($A:$A,CS!$A:$AK,19,FALSE),"")</f>
      </c>
      <c r="L57" s="57">
        <f>IFERROR(VLOOKUP($A:$A,CS!$A:$AK,20,FALSE),"")</f>
      </c>
      <c r="M57" s="57">
        <f>IFERROR(VLOOKUP($A:$A,CS!$A:$AK,22,FALSE),"")</f>
      </c>
      <c r="N57" s="57">
        <f>IFERROR(VLOOKUP($A:$A,CS!$A:$AK,19,FALSE),"")</f>
      </c>
      <c r="O57" s="57">
        <f>IFERROR(VLOOKUP($A:$A,CS!$A:$AK,23,FALSE),"")</f>
      </c>
      <c r="P57" s="57">
        <f>IFERROR(VLOOKUP($A:$A,CS!$A:$AK,24,FALSE),"")</f>
      </c>
      <c r="Q57" s="57">
        <f>IFERROR(VLOOKUP($A:$A,CS!$A:$AK,25,FALSE),"")</f>
      </c>
      <c r="R57" s="57">
        <f>IFERROR(VLOOKUP($A:$A,CS!$A:$AK,26,FALSE),"")</f>
      </c>
      <c r="S57" s="57">
        <f>IFERROR(VLOOKUP($A:$A,CS!$A:$AK,29,FALSE),"")</f>
      </c>
      <c r="T57" s="57">
        <f>IFERROR(VLOOKUP($A:$A,CS!$A:$AK,33,FALSE),"")</f>
      </c>
      <c r="U57" s="57">
        <f>IFERROR(VLOOKUP($A:$A,CS!$A:$AK,34,FALSE),"")</f>
      </c>
      <c r="V57" s="57">
        <f>IFERROR(VLOOKUP($A:$A,CS!$A:$AK,35,FALSE),"")</f>
      </c>
      <c r="W57" s="57">
        <f>IFERROR(VLOOKUP($A:$A,CS!$A:$AK,36,FALSE),"")</f>
      </c>
    </row>
    <row r="58" ht="16.5" customHeight="1" spans="1:23" x14ac:dyDescent="0.25">
      <c r="A58" s="71"/>
      <c r="B58" s="57">
        <f>IFERROR(VLOOKUP($A:$A,CS!$A:$AK,3,FALSE),"")</f>
      </c>
      <c r="C58" s="57">
        <f>IFERROR(VLOOKUP($A:$A,CS!$A:$AK,4,FALSE),"")</f>
      </c>
      <c r="D58" s="57">
        <f>IFERROR(VLOOKUP($A:$A,CS!$A:$AK,5,FALSE),"")</f>
      </c>
      <c r="E58" s="57">
        <f>IFERROR(VLOOKUP($A:$A,CS!$A:$AK,7,FALSE),"")</f>
      </c>
      <c r="F58" s="57">
        <f>IFERROR(VLOOKUP($A:$A,CS!$A:$AK,8,FALSE),"")</f>
      </c>
      <c r="G58" s="57">
        <f>IFERROR(VLOOKUP($A:$A,CS!$A:$AK,10,FALSE),"")</f>
      </c>
      <c r="H58" s="57">
        <f>IFERROR(VLOOKUP($A:$A,CS!$A:$AK,14,FALSE),"")</f>
      </c>
      <c r="I58" s="57">
        <f>IFERROR(VLOOKUP($A:$A,CS!$A:$AK,15,FALSE),"")</f>
      </c>
      <c r="J58" s="57">
        <f>IFERROR(VLOOKUP($A:$A,CS!$A:$AK,18,FALSE),"")</f>
      </c>
      <c r="K58" s="57">
        <f>IFERROR(VLOOKUP($A:$A,CS!$A:$AK,19,FALSE),"")</f>
      </c>
      <c r="L58" s="57">
        <f>IFERROR(VLOOKUP($A:$A,CS!$A:$AK,20,FALSE),"")</f>
      </c>
      <c r="M58" s="57">
        <f>IFERROR(VLOOKUP($A:$A,CS!$A:$AK,22,FALSE),"")</f>
      </c>
      <c r="N58" s="57">
        <f>IFERROR(VLOOKUP($A:$A,CS!$A:$AK,19,FALSE),"")</f>
      </c>
      <c r="O58" s="57">
        <f>IFERROR(VLOOKUP($A:$A,CS!$A:$AK,23,FALSE),"")</f>
      </c>
      <c r="P58" s="57">
        <f>IFERROR(VLOOKUP($A:$A,CS!$A:$AK,24,FALSE),"")</f>
      </c>
      <c r="Q58" s="57">
        <f>IFERROR(VLOOKUP($A:$A,CS!$A:$AK,25,FALSE),"")</f>
      </c>
      <c r="R58" s="57">
        <f>IFERROR(VLOOKUP($A:$A,CS!$A:$AK,26,FALSE),"")</f>
      </c>
      <c r="S58" s="57">
        <f>IFERROR(VLOOKUP($A:$A,CS!$A:$AK,29,FALSE),"")</f>
      </c>
      <c r="T58" s="57">
        <f>IFERROR(VLOOKUP($A:$A,CS!$A:$AK,33,FALSE),"")</f>
      </c>
      <c r="U58" s="57">
        <f>IFERROR(VLOOKUP($A:$A,CS!$A:$AK,34,FALSE),"")</f>
      </c>
      <c r="V58" s="57">
        <f>IFERROR(VLOOKUP($A:$A,CS!$A:$AK,35,FALSE),"")</f>
      </c>
      <c r="W58" s="57">
        <f>IFERROR(VLOOKUP($A:$A,CS!$A:$AK,36,FALSE),"")</f>
      </c>
    </row>
    <row r="59" ht="16.5" customHeight="1" spans="1:23" x14ac:dyDescent="0.25">
      <c r="A59" s="71"/>
      <c r="B59" s="57">
        <f>IFERROR(VLOOKUP($A:$A,CS!$A:$AK,3,FALSE),"")</f>
      </c>
      <c r="C59" s="57">
        <f>IFERROR(VLOOKUP($A:$A,CS!$A:$AK,4,FALSE),"")</f>
      </c>
      <c r="D59" s="57">
        <f>IFERROR(VLOOKUP($A:$A,CS!$A:$AK,5,FALSE),"")</f>
      </c>
      <c r="E59" s="57">
        <f>IFERROR(VLOOKUP($A:$A,CS!$A:$AK,7,FALSE),"")</f>
      </c>
      <c r="F59" s="57">
        <f>IFERROR(VLOOKUP($A:$A,CS!$A:$AK,8,FALSE),"")</f>
      </c>
      <c r="G59" s="57">
        <f>IFERROR(VLOOKUP($A:$A,CS!$A:$AK,10,FALSE),"")</f>
      </c>
      <c r="H59" s="57">
        <f>IFERROR(VLOOKUP($A:$A,CS!$A:$AK,14,FALSE),"")</f>
      </c>
      <c r="I59" s="57">
        <f>IFERROR(VLOOKUP($A:$A,CS!$A:$AK,15,FALSE),"")</f>
      </c>
      <c r="J59" s="57">
        <f>IFERROR(VLOOKUP($A:$A,CS!$A:$AK,18,FALSE),"")</f>
      </c>
      <c r="K59" s="57">
        <f>IFERROR(VLOOKUP($A:$A,CS!$A:$AK,19,FALSE),"")</f>
      </c>
      <c r="L59" s="57">
        <f>IFERROR(VLOOKUP($A:$A,CS!$A:$AK,20,FALSE),"")</f>
      </c>
      <c r="M59" s="57">
        <f>IFERROR(VLOOKUP($A:$A,CS!$A:$AK,22,FALSE),"")</f>
      </c>
      <c r="N59" s="57">
        <f>IFERROR(VLOOKUP($A:$A,CS!$A:$AK,19,FALSE),"")</f>
      </c>
      <c r="O59" s="57">
        <f>IFERROR(VLOOKUP($A:$A,CS!$A:$AK,23,FALSE),"")</f>
      </c>
      <c r="P59" s="57">
        <f>IFERROR(VLOOKUP($A:$A,CS!$A:$AK,24,FALSE),"")</f>
      </c>
      <c r="Q59" s="57">
        <f>IFERROR(VLOOKUP($A:$A,CS!$A:$AK,25,FALSE),"")</f>
      </c>
      <c r="R59" s="57">
        <f>IFERROR(VLOOKUP($A:$A,CS!$A:$AK,26,FALSE),"")</f>
      </c>
      <c r="S59" s="57">
        <f>IFERROR(VLOOKUP($A:$A,CS!$A:$AK,29,FALSE),"")</f>
      </c>
      <c r="T59" s="57">
        <f>IFERROR(VLOOKUP($A:$A,CS!$A:$AK,33,FALSE),"")</f>
      </c>
      <c r="U59" s="57">
        <f>IFERROR(VLOOKUP($A:$A,CS!$A:$AK,34,FALSE),"")</f>
      </c>
      <c r="V59" s="57">
        <f>IFERROR(VLOOKUP($A:$A,CS!$A:$AK,35,FALSE),"")</f>
      </c>
      <c r="W59" s="57">
        <f>IFERROR(VLOOKUP($A:$A,CS!$A:$AK,36,FALSE),"")</f>
      </c>
    </row>
    <row r="60" ht="16.5" customHeight="1" spans="1:23" x14ac:dyDescent="0.25">
      <c r="A60" s="71"/>
      <c r="B60" s="57">
        <f>IFERROR(VLOOKUP($A:$A,CS!$A:$AK,3,FALSE),"")</f>
      </c>
      <c r="C60" s="57">
        <f>IFERROR(VLOOKUP($A:$A,CS!$A:$AK,4,FALSE),"")</f>
      </c>
      <c r="D60" s="57">
        <f>IFERROR(VLOOKUP($A:$A,CS!$A:$AK,5,FALSE),"")</f>
      </c>
      <c r="E60" s="57">
        <f>IFERROR(VLOOKUP($A:$A,CS!$A:$AK,7,FALSE),"")</f>
      </c>
      <c r="F60" s="57">
        <f>IFERROR(VLOOKUP($A:$A,CS!$A:$AK,8,FALSE),"")</f>
      </c>
      <c r="G60" s="57">
        <f>IFERROR(VLOOKUP($A:$A,CS!$A:$AK,10,FALSE),"")</f>
      </c>
      <c r="H60" s="57">
        <f>IFERROR(VLOOKUP($A:$A,CS!$A:$AK,14,FALSE),"")</f>
      </c>
      <c r="I60" s="57">
        <f>IFERROR(VLOOKUP($A:$A,CS!$A:$AK,15,FALSE),"")</f>
      </c>
      <c r="J60" s="57">
        <f>IFERROR(VLOOKUP($A:$A,CS!$A:$AK,18,FALSE),"")</f>
      </c>
      <c r="K60" s="57">
        <f>IFERROR(VLOOKUP($A:$A,CS!$A:$AK,19,FALSE),"")</f>
      </c>
      <c r="L60" s="57">
        <f>IFERROR(VLOOKUP($A:$A,CS!$A:$AK,20,FALSE),"")</f>
      </c>
      <c r="M60" s="57">
        <f>IFERROR(VLOOKUP($A:$A,CS!$A:$AK,22,FALSE),"")</f>
      </c>
      <c r="N60" s="57">
        <f>IFERROR(VLOOKUP($A:$A,CS!$A:$AK,19,FALSE),"")</f>
      </c>
      <c r="O60" s="57">
        <f>IFERROR(VLOOKUP($A:$A,CS!$A:$AK,23,FALSE),"")</f>
      </c>
      <c r="P60" s="57">
        <f>IFERROR(VLOOKUP($A:$A,CS!$A:$AK,24,FALSE),"")</f>
      </c>
      <c r="Q60" s="57">
        <f>IFERROR(VLOOKUP($A:$A,CS!$A:$AK,25,FALSE),"")</f>
      </c>
      <c r="R60" s="57">
        <f>IFERROR(VLOOKUP($A:$A,CS!$A:$AK,26,FALSE),"")</f>
      </c>
      <c r="S60" s="57">
        <f>IFERROR(VLOOKUP($A:$A,CS!$A:$AK,29,FALSE),"")</f>
      </c>
      <c r="T60" s="57">
        <f>IFERROR(VLOOKUP($A:$A,CS!$A:$AK,33,FALSE),"")</f>
      </c>
      <c r="U60" s="57">
        <f>IFERROR(VLOOKUP($A:$A,CS!$A:$AK,34,FALSE),"")</f>
      </c>
      <c r="V60" s="57">
        <f>IFERROR(VLOOKUP($A:$A,CS!$A:$AK,35,FALSE),"")</f>
      </c>
      <c r="W60" s="57">
        <f>IFERROR(VLOOKUP($A:$A,CS!$A:$AK,36,FALSE),"")</f>
      </c>
    </row>
    <row r="61" ht="16.5" customHeight="1" spans="1:23" x14ac:dyDescent="0.25">
      <c r="A61" s="71"/>
      <c r="B61" s="57">
        <f>IFERROR(VLOOKUP($A:$A,CS!$A:$AK,3,FALSE),"")</f>
      </c>
      <c r="C61" s="57">
        <f>IFERROR(VLOOKUP($A:$A,CS!$A:$AK,4,FALSE),"")</f>
      </c>
      <c r="D61" s="57">
        <f>IFERROR(VLOOKUP($A:$A,CS!$A:$AK,5,FALSE),"")</f>
      </c>
      <c r="E61" s="57">
        <f>IFERROR(VLOOKUP($A:$A,CS!$A:$AK,7,FALSE),"")</f>
      </c>
      <c r="F61" s="57">
        <f>IFERROR(VLOOKUP($A:$A,CS!$A:$AK,8,FALSE),"")</f>
      </c>
      <c r="G61" s="57">
        <f>IFERROR(VLOOKUP($A:$A,CS!$A:$AK,10,FALSE),"")</f>
      </c>
      <c r="H61" s="57">
        <f>IFERROR(VLOOKUP($A:$A,CS!$A:$AK,14,FALSE),"")</f>
      </c>
      <c r="I61" s="57">
        <f>IFERROR(VLOOKUP($A:$A,CS!$A:$AK,15,FALSE),"")</f>
      </c>
      <c r="J61" s="57">
        <f>IFERROR(VLOOKUP($A:$A,CS!$A:$AK,18,FALSE),"")</f>
      </c>
      <c r="K61" s="57">
        <f>IFERROR(VLOOKUP($A:$A,CS!$A:$AK,19,FALSE),"")</f>
      </c>
      <c r="L61" s="57">
        <f>IFERROR(VLOOKUP($A:$A,CS!$A:$AK,20,FALSE),"")</f>
      </c>
      <c r="M61" s="57">
        <f>IFERROR(VLOOKUP($A:$A,CS!$A:$AK,22,FALSE),"")</f>
      </c>
      <c r="N61" s="57">
        <f>IFERROR(VLOOKUP($A:$A,CS!$A:$AK,19,FALSE),"")</f>
      </c>
      <c r="O61" s="57">
        <f>IFERROR(VLOOKUP($A:$A,CS!$A:$AK,23,FALSE),"")</f>
      </c>
      <c r="P61" s="57">
        <f>IFERROR(VLOOKUP($A:$A,CS!$A:$AK,24,FALSE),"")</f>
      </c>
      <c r="Q61" s="57">
        <f>IFERROR(VLOOKUP($A:$A,CS!$A:$AK,25,FALSE),"")</f>
      </c>
      <c r="R61" s="57">
        <f>IFERROR(VLOOKUP($A:$A,CS!$A:$AK,26,FALSE),"")</f>
      </c>
      <c r="S61" s="57">
        <f>IFERROR(VLOOKUP($A:$A,CS!$A:$AK,29,FALSE),"")</f>
      </c>
      <c r="T61" s="57">
        <f>IFERROR(VLOOKUP($A:$A,CS!$A:$AK,33,FALSE),"")</f>
      </c>
      <c r="U61" s="57">
        <f>IFERROR(VLOOKUP($A:$A,CS!$A:$AK,34,FALSE),"")</f>
      </c>
      <c r="V61" s="57">
        <f>IFERROR(VLOOKUP($A:$A,CS!$A:$AK,35,FALSE),"")</f>
      </c>
      <c r="W61" s="57">
        <f>IFERROR(VLOOKUP($A:$A,CS!$A:$AK,36,FALSE),"")</f>
      </c>
    </row>
    <row r="62" ht="16.5" customHeight="1" spans="1:23" x14ac:dyDescent="0.25">
      <c r="A62" s="71"/>
      <c r="B62" s="57">
        <f>IFERROR(VLOOKUP($A:$A,CS!$A:$AK,3,FALSE),"")</f>
      </c>
      <c r="C62" s="57">
        <f>IFERROR(VLOOKUP($A:$A,CS!$A:$AK,4,FALSE),"")</f>
      </c>
      <c r="D62" s="57">
        <f>IFERROR(VLOOKUP($A:$A,CS!$A:$AK,5,FALSE),"")</f>
      </c>
      <c r="E62" s="57">
        <f>IFERROR(VLOOKUP($A:$A,CS!$A:$AK,7,FALSE),"")</f>
      </c>
      <c r="F62" s="57">
        <f>IFERROR(VLOOKUP($A:$A,CS!$A:$AK,8,FALSE),"")</f>
      </c>
      <c r="G62" s="57">
        <f>IFERROR(VLOOKUP($A:$A,CS!$A:$AK,10,FALSE),"")</f>
      </c>
      <c r="H62" s="57">
        <f>IFERROR(VLOOKUP($A:$A,CS!$A:$AK,14,FALSE),"")</f>
      </c>
      <c r="I62" s="57">
        <f>IFERROR(VLOOKUP($A:$A,CS!$A:$AK,15,FALSE),"")</f>
      </c>
      <c r="J62" s="57">
        <f>IFERROR(VLOOKUP($A:$A,CS!$A:$AK,18,FALSE),"")</f>
      </c>
      <c r="K62" s="57">
        <f>IFERROR(VLOOKUP($A:$A,CS!$A:$AK,19,FALSE),"")</f>
      </c>
      <c r="L62" s="57">
        <f>IFERROR(VLOOKUP($A:$A,CS!$A:$AK,20,FALSE),"")</f>
      </c>
      <c r="M62" s="57">
        <f>IFERROR(VLOOKUP($A:$A,CS!$A:$AK,22,FALSE),"")</f>
      </c>
      <c r="N62" s="57">
        <f>IFERROR(VLOOKUP($A:$A,CS!$A:$AK,19,FALSE),"")</f>
      </c>
      <c r="O62" s="57">
        <f>IFERROR(VLOOKUP($A:$A,CS!$A:$AK,23,FALSE),"")</f>
      </c>
      <c r="P62" s="57">
        <f>IFERROR(VLOOKUP($A:$A,CS!$A:$AK,24,FALSE),"")</f>
      </c>
      <c r="Q62" s="57">
        <f>IFERROR(VLOOKUP($A:$A,CS!$A:$AK,25,FALSE),"")</f>
      </c>
      <c r="R62" s="57">
        <f>IFERROR(VLOOKUP($A:$A,CS!$A:$AK,26,FALSE),"")</f>
      </c>
      <c r="S62" s="57">
        <f>IFERROR(VLOOKUP($A:$A,CS!$A:$AK,29,FALSE),"")</f>
      </c>
      <c r="T62" s="57">
        <f>IFERROR(VLOOKUP($A:$A,CS!$A:$AK,33,FALSE),"")</f>
      </c>
      <c r="U62" s="57">
        <f>IFERROR(VLOOKUP($A:$A,CS!$A:$AK,34,FALSE),"")</f>
      </c>
      <c r="V62" s="57">
        <f>IFERROR(VLOOKUP($A:$A,CS!$A:$AK,35,FALSE),"")</f>
      </c>
      <c r="W62" s="57">
        <f>IFERROR(VLOOKUP($A:$A,CS!$A:$AK,36,FALSE),"")</f>
      </c>
    </row>
    <row r="63" ht="16.5" customHeight="1" spans="1:23" x14ac:dyDescent="0.25">
      <c r="A63" s="71"/>
      <c r="B63" s="57">
        <f>IFERROR(VLOOKUP($A:$A,CS!$A:$AK,3,FALSE),"")</f>
      </c>
      <c r="C63" s="57">
        <f>IFERROR(VLOOKUP($A:$A,CS!$A:$AK,4,FALSE),"")</f>
      </c>
      <c r="D63" s="57">
        <f>IFERROR(VLOOKUP($A:$A,CS!$A:$AK,5,FALSE),"")</f>
      </c>
      <c r="E63" s="57">
        <f>IFERROR(VLOOKUP($A:$A,CS!$A:$AK,7,FALSE),"")</f>
      </c>
      <c r="F63" s="57">
        <f>IFERROR(VLOOKUP($A:$A,CS!$A:$AK,8,FALSE),"")</f>
      </c>
      <c r="G63" s="57">
        <f>IFERROR(VLOOKUP($A:$A,CS!$A:$AK,10,FALSE),"")</f>
      </c>
      <c r="H63" s="57">
        <f>IFERROR(VLOOKUP($A:$A,CS!$A:$AK,14,FALSE),"")</f>
      </c>
      <c r="I63" s="57">
        <f>IFERROR(VLOOKUP($A:$A,CS!$A:$AK,15,FALSE),"")</f>
      </c>
      <c r="J63" s="57">
        <f>IFERROR(VLOOKUP($A:$A,CS!$A:$AK,18,FALSE),"")</f>
      </c>
      <c r="K63" s="57">
        <f>IFERROR(VLOOKUP($A:$A,CS!$A:$AK,19,FALSE),"")</f>
      </c>
      <c r="L63" s="57">
        <f>IFERROR(VLOOKUP($A:$A,CS!$A:$AK,20,FALSE),"")</f>
      </c>
      <c r="M63" s="57">
        <f>IFERROR(VLOOKUP($A:$A,CS!$A:$AK,22,FALSE),"")</f>
      </c>
      <c r="N63" s="57">
        <f>IFERROR(VLOOKUP($A:$A,CS!$A:$AK,19,FALSE),"")</f>
      </c>
      <c r="O63" s="57">
        <f>IFERROR(VLOOKUP($A:$A,CS!$A:$AK,23,FALSE),"")</f>
      </c>
      <c r="P63" s="57">
        <f>IFERROR(VLOOKUP($A:$A,CS!$A:$AK,24,FALSE),"")</f>
      </c>
      <c r="Q63" s="57">
        <f>IFERROR(VLOOKUP($A:$A,CS!$A:$AK,25,FALSE),"")</f>
      </c>
      <c r="R63" s="57">
        <f>IFERROR(VLOOKUP($A:$A,CS!$A:$AK,26,FALSE),"")</f>
      </c>
      <c r="S63" s="57">
        <f>IFERROR(VLOOKUP($A:$A,CS!$A:$AK,29,FALSE),"")</f>
      </c>
      <c r="T63" s="57">
        <f>IFERROR(VLOOKUP($A:$A,CS!$A:$AK,33,FALSE),"")</f>
      </c>
      <c r="U63" s="57">
        <f>IFERROR(VLOOKUP($A:$A,CS!$A:$AK,34,FALSE),"")</f>
      </c>
      <c r="V63" s="57">
        <f>IFERROR(VLOOKUP($A:$A,CS!$A:$AK,35,FALSE),"")</f>
      </c>
      <c r="W63" s="57">
        <f>IFERROR(VLOOKUP($A:$A,CS!$A:$AK,36,FALSE),"")</f>
      </c>
    </row>
    <row r="64" ht="16.5" customHeight="1" spans="1:23" x14ac:dyDescent="0.25">
      <c r="A64" s="71"/>
      <c r="B64" s="57">
        <f>IFERROR(VLOOKUP($A:$A,CS!$A:$AK,3,FALSE),"")</f>
      </c>
      <c r="C64" s="57">
        <f>IFERROR(VLOOKUP($A:$A,CS!$A:$AK,4,FALSE),"")</f>
      </c>
      <c r="D64" s="57">
        <f>IFERROR(VLOOKUP($A:$A,CS!$A:$AK,5,FALSE),"")</f>
      </c>
      <c r="E64" s="57">
        <f>IFERROR(VLOOKUP($A:$A,CS!$A:$AK,7,FALSE),"")</f>
      </c>
      <c r="F64" s="57">
        <f>IFERROR(VLOOKUP($A:$A,CS!$A:$AK,8,FALSE),"")</f>
      </c>
      <c r="G64" s="57">
        <f>IFERROR(VLOOKUP($A:$A,CS!$A:$AK,10,FALSE),"")</f>
      </c>
      <c r="H64" s="57">
        <f>IFERROR(VLOOKUP($A:$A,CS!$A:$AK,14,FALSE),"")</f>
      </c>
      <c r="I64" s="57">
        <f>IFERROR(VLOOKUP($A:$A,CS!$A:$AK,15,FALSE),"")</f>
      </c>
      <c r="J64" s="57">
        <f>IFERROR(VLOOKUP($A:$A,CS!$A:$AK,18,FALSE),"")</f>
      </c>
      <c r="K64" s="57">
        <f>IFERROR(VLOOKUP($A:$A,CS!$A:$AK,19,FALSE),"")</f>
      </c>
      <c r="L64" s="57">
        <f>IFERROR(VLOOKUP($A:$A,CS!$A:$AK,20,FALSE),"")</f>
      </c>
      <c r="M64" s="57">
        <f>IFERROR(VLOOKUP($A:$A,CS!$A:$AK,22,FALSE),"")</f>
      </c>
      <c r="N64" s="57">
        <f>IFERROR(VLOOKUP($A:$A,CS!$A:$AK,19,FALSE),"")</f>
      </c>
      <c r="O64" s="57">
        <f>IFERROR(VLOOKUP($A:$A,CS!$A:$AK,23,FALSE),"")</f>
      </c>
      <c r="P64" s="57">
        <f>IFERROR(VLOOKUP($A:$A,CS!$A:$AK,24,FALSE),"")</f>
      </c>
      <c r="Q64" s="57">
        <f>IFERROR(VLOOKUP($A:$A,CS!$A:$AK,25,FALSE),"")</f>
      </c>
      <c r="R64" s="57">
        <f>IFERROR(VLOOKUP($A:$A,CS!$A:$AK,26,FALSE),"")</f>
      </c>
      <c r="S64" s="57">
        <f>IFERROR(VLOOKUP($A:$A,CS!$A:$AK,29,FALSE),"")</f>
      </c>
      <c r="T64" s="57">
        <f>IFERROR(VLOOKUP($A:$A,CS!$A:$AK,33,FALSE),"")</f>
      </c>
      <c r="U64" s="57">
        <f>IFERROR(VLOOKUP($A:$A,CS!$A:$AK,34,FALSE),"")</f>
      </c>
      <c r="V64" s="57">
        <f>IFERROR(VLOOKUP($A:$A,CS!$A:$AK,35,FALSE),"")</f>
      </c>
      <c r="W64" s="57">
        <f>IFERROR(VLOOKUP($A:$A,CS!$A:$AK,36,FALSE),"")</f>
      </c>
    </row>
    <row r="65" ht="16.5" customHeight="1" spans="1:23" x14ac:dyDescent="0.25">
      <c r="A65" s="71"/>
      <c r="B65" s="57">
        <f>IFERROR(VLOOKUP($A:$A,CS!$A:$AK,3,FALSE),"")</f>
      </c>
      <c r="C65" s="57">
        <f>IFERROR(VLOOKUP($A:$A,CS!$A:$AK,4,FALSE),"")</f>
      </c>
      <c r="D65" s="57">
        <f>IFERROR(VLOOKUP($A:$A,CS!$A:$AK,5,FALSE),"")</f>
      </c>
      <c r="E65" s="57">
        <f>IFERROR(VLOOKUP($A:$A,CS!$A:$AK,7,FALSE),"")</f>
      </c>
      <c r="F65" s="57">
        <f>IFERROR(VLOOKUP($A:$A,CS!$A:$AK,8,FALSE),"")</f>
      </c>
      <c r="G65" s="57">
        <f>IFERROR(VLOOKUP($A:$A,CS!$A:$AK,10,FALSE),"")</f>
      </c>
      <c r="H65" s="57">
        <f>IFERROR(VLOOKUP($A:$A,CS!$A:$AK,14,FALSE),"")</f>
      </c>
      <c r="I65" s="57">
        <f>IFERROR(VLOOKUP($A:$A,CS!$A:$AK,15,FALSE),"")</f>
      </c>
      <c r="J65" s="57">
        <f>IFERROR(VLOOKUP($A:$A,CS!$A:$AK,18,FALSE),"")</f>
      </c>
      <c r="K65" s="57">
        <f>IFERROR(VLOOKUP($A:$A,CS!$A:$AK,19,FALSE),"")</f>
      </c>
      <c r="L65" s="57">
        <f>IFERROR(VLOOKUP($A:$A,CS!$A:$AK,20,FALSE),"")</f>
      </c>
      <c r="M65" s="57">
        <f>IFERROR(VLOOKUP($A:$A,CS!$A:$AK,22,FALSE),"")</f>
      </c>
      <c r="N65" s="57">
        <f>IFERROR(VLOOKUP($A:$A,CS!$A:$AK,19,FALSE),"")</f>
      </c>
      <c r="O65" s="57">
        <f>IFERROR(VLOOKUP($A:$A,CS!$A:$AK,23,FALSE),"")</f>
      </c>
      <c r="P65" s="57">
        <f>IFERROR(VLOOKUP($A:$A,CS!$A:$AK,24,FALSE),"")</f>
      </c>
      <c r="Q65" s="57">
        <f>IFERROR(VLOOKUP($A:$A,CS!$A:$AK,25,FALSE),"")</f>
      </c>
      <c r="R65" s="57">
        <f>IFERROR(VLOOKUP($A:$A,CS!$A:$AK,26,FALSE),"")</f>
      </c>
      <c r="S65" s="57">
        <f>IFERROR(VLOOKUP($A:$A,CS!$A:$AK,29,FALSE),"")</f>
      </c>
      <c r="T65" s="57">
        <f>IFERROR(VLOOKUP($A:$A,CS!$A:$AK,33,FALSE),"")</f>
      </c>
      <c r="U65" s="57">
        <f>IFERROR(VLOOKUP($A:$A,CS!$A:$AK,34,FALSE),"")</f>
      </c>
      <c r="V65" s="57">
        <f>IFERROR(VLOOKUP($A:$A,CS!$A:$AK,35,FALSE),"")</f>
      </c>
      <c r="W65" s="57">
        <f>IFERROR(VLOOKUP($A:$A,CS!$A:$AK,36,FALSE),"")</f>
      </c>
    </row>
    <row r="66" ht="16.5" customHeight="1" spans="1:23" x14ac:dyDescent="0.25">
      <c r="A66" s="71"/>
      <c r="B66" s="57">
        <f>IFERROR(VLOOKUP($A:$A,CS!$A:$AK,3,FALSE),"")</f>
      </c>
      <c r="C66" s="57">
        <f>IFERROR(VLOOKUP($A:$A,CS!$A:$AK,4,FALSE),"")</f>
      </c>
      <c r="D66" s="57">
        <f>IFERROR(VLOOKUP($A:$A,CS!$A:$AK,5,FALSE),"")</f>
      </c>
      <c r="E66" s="57">
        <f>IFERROR(VLOOKUP($A:$A,CS!$A:$AK,7,FALSE),"")</f>
      </c>
      <c r="F66" s="57">
        <f>IFERROR(VLOOKUP($A:$A,CS!$A:$AK,8,FALSE),"")</f>
      </c>
      <c r="G66" s="57">
        <f>IFERROR(VLOOKUP($A:$A,CS!$A:$AK,10,FALSE),"")</f>
      </c>
      <c r="H66" s="57">
        <f>IFERROR(VLOOKUP($A:$A,CS!$A:$AK,14,FALSE),"")</f>
      </c>
      <c r="I66" s="57">
        <f>IFERROR(VLOOKUP($A:$A,CS!$A:$AK,15,FALSE),"")</f>
      </c>
      <c r="J66" s="57">
        <f>IFERROR(VLOOKUP($A:$A,CS!$A:$AK,18,FALSE),"")</f>
      </c>
      <c r="K66" s="57">
        <f>IFERROR(VLOOKUP($A:$A,CS!$A:$AK,19,FALSE),"")</f>
      </c>
      <c r="L66" s="57">
        <f>IFERROR(VLOOKUP($A:$A,CS!$A:$AK,20,FALSE),"")</f>
      </c>
      <c r="M66" s="57">
        <f>IFERROR(VLOOKUP($A:$A,CS!$A:$AK,22,FALSE),"")</f>
      </c>
      <c r="N66" s="57">
        <f>IFERROR(VLOOKUP($A:$A,CS!$A:$AK,19,FALSE),"")</f>
      </c>
      <c r="O66" s="57">
        <f>IFERROR(VLOOKUP($A:$A,CS!$A:$AK,23,FALSE),"")</f>
      </c>
      <c r="P66" s="57">
        <f>IFERROR(VLOOKUP($A:$A,CS!$A:$AK,24,FALSE),"")</f>
      </c>
      <c r="Q66" s="57">
        <f>IFERROR(VLOOKUP($A:$A,CS!$A:$AK,25,FALSE),"")</f>
      </c>
      <c r="R66" s="57">
        <f>IFERROR(VLOOKUP($A:$A,CS!$A:$AK,26,FALSE),"")</f>
      </c>
      <c r="S66" s="57">
        <f>IFERROR(VLOOKUP($A:$A,CS!$A:$AK,29,FALSE),"")</f>
      </c>
      <c r="T66" s="57">
        <f>IFERROR(VLOOKUP($A:$A,CS!$A:$AK,33,FALSE),"")</f>
      </c>
      <c r="U66" s="57">
        <f>IFERROR(VLOOKUP($A:$A,CS!$A:$AK,34,FALSE),"")</f>
      </c>
      <c r="V66" s="57">
        <f>IFERROR(VLOOKUP($A:$A,CS!$A:$AK,35,FALSE),"")</f>
      </c>
      <c r="W66" s="57">
        <f>IFERROR(VLOOKUP($A:$A,CS!$A:$AK,36,FALSE),"")</f>
      </c>
    </row>
    <row r="67" ht="16.5" customHeight="1" spans="1:23" x14ac:dyDescent="0.25">
      <c r="A67" s="71"/>
      <c r="B67" s="57">
        <f>IFERROR(VLOOKUP($A:$A,CS!$A:$AK,3,FALSE),"")</f>
      </c>
      <c r="C67" s="57">
        <f>IFERROR(VLOOKUP($A:$A,CS!$A:$AK,4,FALSE),"")</f>
      </c>
      <c r="D67" s="57">
        <f>IFERROR(VLOOKUP($A:$A,CS!$A:$AK,5,FALSE),"")</f>
      </c>
      <c r="E67" s="57">
        <f>IFERROR(VLOOKUP($A:$A,CS!$A:$AK,7,FALSE),"")</f>
      </c>
      <c r="F67" s="57">
        <f>IFERROR(VLOOKUP($A:$A,CS!$A:$AK,8,FALSE),"")</f>
      </c>
      <c r="G67" s="57">
        <f>IFERROR(VLOOKUP($A:$A,CS!$A:$AK,10,FALSE),"")</f>
      </c>
      <c r="H67" s="57">
        <f>IFERROR(VLOOKUP($A:$A,CS!$A:$AK,14,FALSE),"")</f>
      </c>
      <c r="I67" s="57">
        <f>IFERROR(VLOOKUP($A:$A,CS!$A:$AK,15,FALSE),"")</f>
      </c>
      <c r="J67" s="57">
        <f>IFERROR(VLOOKUP($A:$A,CS!$A:$AK,18,FALSE),"")</f>
      </c>
      <c r="K67" s="57">
        <f>IFERROR(VLOOKUP($A:$A,CS!$A:$AK,19,FALSE),"")</f>
      </c>
      <c r="L67" s="57">
        <f>IFERROR(VLOOKUP($A:$A,CS!$A:$AK,20,FALSE),"")</f>
      </c>
      <c r="M67" s="57">
        <f>IFERROR(VLOOKUP($A:$A,CS!$A:$AK,22,FALSE),"")</f>
      </c>
      <c r="N67" s="57">
        <f>IFERROR(VLOOKUP($A:$A,CS!$A:$AK,19,FALSE),"")</f>
      </c>
      <c r="O67" s="57">
        <f>IFERROR(VLOOKUP($A:$A,CS!$A:$AK,23,FALSE),"")</f>
      </c>
      <c r="P67" s="57">
        <f>IFERROR(VLOOKUP($A:$A,CS!$A:$AK,24,FALSE),"")</f>
      </c>
      <c r="Q67" s="57">
        <f>IFERROR(VLOOKUP($A:$A,CS!$A:$AK,25,FALSE),"")</f>
      </c>
      <c r="R67" s="57">
        <f>IFERROR(VLOOKUP($A:$A,CS!$A:$AK,26,FALSE),"")</f>
      </c>
      <c r="S67" s="57">
        <f>IFERROR(VLOOKUP($A:$A,CS!$A:$AK,29,FALSE),"")</f>
      </c>
      <c r="T67" s="57">
        <f>IFERROR(VLOOKUP($A:$A,CS!$A:$AK,33,FALSE),"")</f>
      </c>
      <c r="U67" s="57">
        <f>IFERROR(VLOOKUP($A:$A,CS!$A:$AK,34,FALSE),"")</f>
      </c>
      <c r="V67" s="57">
        <f>IFERROR(VLOOKUP($A:$A,CS!$A:$AK,35,FALSE),"")</f>
      </c>
      <c r="W67" s="57">
        <f>IFERROR(VLOOKUP($A:$A,CS!$A:$AK,36,FALSE),"")</f>
      </c>
    </row>
    <row r="68" ht="16.5" customHeight="1" spans="1:23" x14ac:dyDescent="0.25">
      <c r="A68" s="71"/>
      <c r="B68" s="57">
        <f>IFERROR(VLOOKUP($A:$A,CS!$A:$AK,3,FALSE),"")</f>
      </c>
      <c r="C68" s="57">
        <f>IFERROR(VLOOKUP($A:$A,CS!$A:$AK,4,FALSE),"")</f>
      </c>
      <c r="D68" s="57">
        <f>IFERROR(VLOOKUP($A:$A,CS!$A:$AK,5,FALSE),"")</f>
      </c>
      <c r="E68" s="57">
        <f>IFERROR(VLOOKUP($A:$A,CS!$A:$AK,7,FALSE),"")</f>
      </c>
      <c r="F68" s="57">
        <f>IFERROR(VLOOKUP($A:$A,CS!$A:$AK,8,FALSE),"")</f>
      </c>
      <c r="G68" s="57">
        <f>IFERROR(VLOOKUP($A:$A,CS!$A:$AK,10,FALSE),"")</f>
      </c>
      <c r="H68" s="57">
        <f>IFERROR(VLOOKUP($A:$A,CS!$A:$AK,14,FALSE),"")</f>
      </c>
      <c r="I68" s="57">
        <f>IFERROR(VLOOKUP($A:$A,CS!$A:$AK,15,FALSE),"")</f>
      </c>
      <c r="J68" s="57">
        <f>IFERROR(VLOOKUP($A:$A,CS!$A:$AK,18,FALSE),"")</f>
      </c>
      <c r="K68" s="57">
        <f>IFERROR(VLOOKUP($A:$A,CS!$A:$AK,19,FALSE),"")</f>
      </c>
      <c r="L68" s="57">
        <f>IFERROR(VLOOKUP($A:$A,CS!$A:$AK,20,FALSE),"")</f>
      </c>
      <c r="M68" s="57">
        <f>IFERROR(VLOOKUP($A:$A,CS!$A:$AK,22,FALSE),"")</f>
      </c>
      <c r="N68" s="57">
        <f>IFERROR(VLOOKUP($A:$A,CS!$A:$AK,19,FALSE),"")</f>
      </c>
      <c r="O68" s="57">
        <f>IFERROR(VLOOKUP($A:$A,CS!$A:$AK,23,FALSE),"")</f>
      </c>
      <c r="P68" s="57">
        <f>IFERROR(VLOOKUP($A:$A,CS!$A:$AK,24,FALSE),"")</f>
      </c>
      <c r="Q68" s="57">
        <f>IFERROR(VLOOKUP($A:$A,CS!$A:$AK,25,FALSE),"")</f>
      </c>
      <c r="R68" s="57">
        <f>IFERROR(VLOOKUP($A:$A,CS!$A:$AK,26,FALSE),"")</f>
      </c>
      <c r="S68" s="57">
        <f>IFERROR(VLOOKUP($A:$A,CS!$A:$AK,29,FALSE),"")</f>
      </c>
      <c r="T68" s="57">
        <f>IFERROR(VLOOKUP($A:$A,CS!$A:$AK,33,FALSE),"")</f>
      </c>
      <c r="U68" s="57">
        <f>IFERROR(VLOOKUP($A:$A,CS!$A:$AK,34,FALSE),"")</f>
      </c>
      <c r="V68" s="57">
        <f>IFERROR(VLOOKUP($A:$A,CS!$A:$AK,35,FALSE),"")</f>
      </c>
      <c r="W68" s="57">
        <f>IFERROR(VLOOKUP($A:$A,CS!$A:$AK,36,FALSE),"")</f>
      </c>
    </row>
    <row r="69" ht="16.5" customHeight="1" spans="1:23" x14ac:dyDescent="0.25">
      <c r="A69" s="71"/>
      <c r="B69" s="57">
        <f>IFERROR(VLOOKUP($A:$A,CS!$A:$AK,3,FALSE),"")</f>
      </c>
      <c r="C69" s="57">
        <f>IFERROR(VLOOKUP($A:$A,CS!$A:$AK,4,FALSE),"")</f>
      </c>
      <c r="D69" s="57">
        <f>IFERROR(VLOOKUP($A:$A,CS!$A:$AK,5,FALSE),"")</f>
      </c>
      <c r="E69" s="57">
        <f>IFERROR(VLOOKUP($A:$A,CS!$A:$AK,7,FALSE),"")</f>
      </c>
      <c r="F69" s="57">
        <f>IFERROR(VLOOKUP($A:$A,CS!$A:$AK,8,FALSE),"")</f>
      </c>
      <c r="G69" s="57">
        <f>IFERROR(VLOOKUP($A:$A,CS!$A:$AK,10,FALSE),"")</f>
      </c>
      <c r="H69" s="57">
        <f>IFERROR(VLOOKUP($A:$A,CS!$A:$AK,14,FALSE),"")</f>
      </c>
      <c r="I69" s="57">
        <f>IFERROR(VLOOKUP($A:$A,CS!$A:$AK,15,FALSE),"")</f>
      </c>
      <c r="J69" s="57">
        <f>IFERROR(VLOOKUP($A:$A,CS!$A:$AK,18,FALSE),"")</f>
      </c>
      <c r="K69" s="57">
        <f>IFERROR(VLOOKUP($A:$A,CS!$A:$AK,19,FALSE),"")</f>
      </c>
      <c r="L69" s="57">
        <f>IFERROR(VLOOKUP($A:$A,CS!$A:$AK,20,FALSE),"")</f>
      </c>
      <c r="M69" s="57">
        <f>IFERROR(VLOOKUP($A:$A,CS!$A:$AK,22,FALSE),"")</f>
      </c>
      <c r="N69" s="57">
        <f>IFERROR(VLOOKUP($A:$A,CS!$A:$AK,19,FALSE),"")</f>
      </c>
      <c r="O69" s="57">
        <f>IFERROR(VLOOKUP($A:$A,CS!$A:$AK,23,FALSE),"")</f>
      </c>
      <c r="P69" s="57">
        <f>IFERROR(VLOOKUP($A:$A,CS!$A:$AK,24,FALSE),"")</f>
      </c>
      <c r="Q69" s="57">
        <f>IFERROR(VLOOKUP($A:$A,CS!$A:$AK,25,FALSE),"")</f>
      </c>
      <c r="R69" s="57">
        <f>IFERROR(VLOOKUP($A:$A,CS!$A:$AK,26,FALSE),"")</f>
      </c>
      <c r="S69" s="57">
        <f>IFERROR(VLOOKUP($A:$A,CS!$A:$AK,29,FALSE),"")</f>
      </c>
      <c r="T69" s="57">
        <f>IFERROR(VLOOKUP($A:$A,CS!$A:$AK,33,FALSE),"")</f>
      </c>
      <c r="U69" s="57">
        <f>IFERROR(VLOOKUP($A:$A,CS!$A:$AK,34,FALSE),"")</f>
      </c>
      <c r="V69" s="57">
        <f>IFERROR(VLOOKUP($A:$A,CS!$A:$AK,35,FALSE),"")</f>
      </c>
      <c r="W69" s="57">
        <f>IFERROR(VLOOKUP($A:$A,CS!$A:$AK,36,FALSE),"")</f>
      </c>
    </row>
    <row r="70" ht="16.5" customHeight="1" spans="1:23" x14ac:dyDescent="0.25">
      <c r="A70" s="71"/>
      <c r="B70" s="57">
        <f>IFERROR(VLOOKUP($A:$A,CS!$A:$AK,3,FALSE),"")</f>
      </c>
      <c r="C70" s="57">
        <f>IFERROR(VLOOKUP($A:$A,CS!$A:$AK,4,FALSE),"")</f>
      </c>
      <c r="D70" s="57">
        <f>IFERROR(VLOOKUP($A:$A,CS!$A:$AK,5,FALSE),"")</f>
      </c>
      <c r="E70" s="57">
        <f>IFERROR(VLOOKUP($A:$A,CS!$A:$AK,7,FALSE),"")</f>
      </c>
      <c r="F70" s="57">
        <f>IFERROR(VLOOKUP($A:$A,CS!$A:$AK,8,FALSE),"")</f>
      </c>
      <c r="G70" s="57">
        <f>IFERROR(VLOOKUP($A:$A,CS!$A:$AK,10,FALSE),"")</f>
      </c>
      <c r="H70" s="57">
        <f>IFERROR(VLOOKUP($A:$A,CS!$A:$AK,14,FALSE),"")</f>
      </c>
      <c r="I70" s="57">
        <f>IFERROR(VLOOKUP($A:$A,CS!$A:$AK,15,FALSE),"")</f>
      </c>
      <c r="J70" s="57">
        <f>IFERROR(VLOOKUP($A:$A,CS!$A:$AK,18,FALSE),"")</f>
      </c>
      <c r="K70" s="57">
        <f>IFERROR(VLOOKUP($A:$A,CS!$A:$AK,19,FALSE),"")</f>
      </c>
      <c r="L70" s="57">
        <f>IFERROR(VLOOKUP($A:$A,CS!$A:$AK,20,FALSE),"")</f>
      </c>
      <c r="M70" s="57">
        <f>IFERROR(VLOOKUP($A:$A,CS!$A:$AK,22,FALSE),"")</f>
      </c>
      <c r="N70" s="57">
        <f>IFERROR(VLOOKUP($A:$A,CS!$A:$AK,19,FALSE),"")</f>
      </c>
      <c r="O70" s="57">
        <f>IFERROR(VLOOKUP($A:$A,CS!$A:$AK,23,FALSE),"")</f>
      </c>
      <c r="P70" s="57">
        <f>IFERROR(VLOOKUP($A:$A,CS!$A:$AK,24,FALSE),"")</f>
      </c>
      <c r="Q70" s="57">
        <f>IFERROR(VLOOKUP($A:$A,CS!$A:$AK,25,FALSE),"")</f>
      </c>
      <c r="R70" s="57">
        <f>IFERROR(VLOOKUP($A:$A,CS!$A:$AK,26,FALSE),"")</f>
      </c>
      <c r="S70" s="57">
        <f>IFERROR(VLOOKUP($A:$A,CS!$A:$AK,29,FALSE),"")</f>
      </c>
      <c r="T70" s="57">
        <f>IFERROR(VLOOKUP($A:$A,CS!$A:$AK,33,FALSE),"")</f>
      </c>
      <c r="U70" s="57">
        <f>IFERROR(VLOOKUP($A:$A,CS!$A:$AK,34,FALSE),"")</f>
      </c>
      <c r="V70" s="57">
        <f>IFERROR(VLOOKUP($A:$A,CS!$A:$AK,35,FALSE),"")</f>
      </c>
      <c r="W70" s="57">
        <f>IFERROR(VLOOKUP($A:$A,CS!$A:$AK,36,FALSE),"")</f>
      </c>
    </row>
    <row r="71" ht="16.5" customHeight="1" spans="1:23" x14ac:dyDescent="0.25">
      <c r="A71" s="71"/>
      <c r="B71" s="57">
        <f>IFERROR(VLOOKUP($A:$A,CS!$A:$AK,3,FALSE),"")</f>
      </c>
      <c r="C71" s="57">
        <f>IFERROR(VLOOKUP($A:$A,CS!$A:$AK,4,FALSE),"")</f>
      </c>
      <c r="D71" s="57">
        <f>IFERROR(VLOOKUP($A:$A,CS!$A:$AK,5,FALSE),"")</f>
      </c>
      <c r="E71" s="57">
        <f>IFERROR(VLOOKUP($A:$A,CS!$A:$AK,7,FALSE),"")</f>
      </c>
      <c r="F71" s="57">
        <f>IFERROR(VLOOKUP($A:$A,CS!$A:$AK,8,FALSE),"")</f>
      </c>
      <c r="G71" s="57">
        <f>IFERROR(VLOOKUP($A:$A,CS!$A:$AK,10,FALSE),"")</f>
      </c>
      <c r="H71" s="57">
        <f>IFERROR(VLOOKUP($A:$A,CS!$A:$AK,14,FALSE),"")</f>
      </c>
      <c r="I71" s="57">
        <f>IFERROR(VLOOKUP($A:$A,CS!$A:$AK,15,FALSE),"")</f>
      </c>
      <c r="J71" s="57">
        <f>IFERROR(VLOOKUP($A:$A,CS!$A:$AK,18,FALSE),"")</f>
      </c>
      <c r="K71" s="57">
        <f>IFERROR(VLOOKUP($A:$A,CS!$A:$AK,19,FALSE),"")</f>
      </c>
      <c r="L71" s="57">
        <f>IFERROR(VLOOKUP($A:$A,CS!$A:$AK,20,FALSE),"")</f>
      </c>
      <c r="M71" s="57">
        <f>IFERROR(VLOOKUP($A:$A,CS!$A:$AK,22,FALSE),"")</f>
      </c>
      <c r="N71" s="57">
        <f>IFERROR(VLOOKUP($A:$A,CS!$A:$AK,19,FALSE),"")</f>
      </c>
      <c r="O71" s="57">
        <f>IFERROR(VLOOKUP($A:$A,CS!$A:$AK,23,FALSE),"")</f>
      </c>
      <c r="P71" s="57">
        <f>IFERROR(VLOOKUP($A:$A,CS!$A:$AK,24,FALSE),"")</f>
      </c>
      <c r="Q71" s="57">
        <f>IFERROR(VLOOKUP($A:$A,CS!$A:$AK,25,FALSE),"")</f>
      </c>
      <c r="R71" s="57">
        <f>IFERROR(VLOOKUP($A:$A,CS!$A:$AK,26,FALSE),"")</f>
      </c>
      <c r="S71" s="57">
        <f>IFERROR(VLOOKUP($A:$A,CS!$A:$AK,29,FALSE),"")</f>
      </c>
      <c r="T71" s="57">
        <f>IFERROR(VLOOKUP($A:$A,CS!$A:$AK,33,FALSE),"")</f>
      </c>
      <c r="U71" s="57">
        <f>IFERROR(VLOOKUP($A:$A,CS!$A:$AK,34,FALSE),"")</f>
      </c>
      <c r="V71" s="57">
        <f>IFERROR(VLOOKUP($A:$A,CS!$A:$AK,35,FALSE),"")</f>
      </c>
      <c r="W71" s="57">
        <f>IFERROR(VLOOKUP($A:$A,CS!$A:$AK,36,FALSE),"")</f>
      </c>
    </row>
    <row r="72" ht="16.5" customHeight="1" spans="1:23" x14ac:dyDescent="0.25">
      <c r="A72" s="71"/>
      <c r="B72" s="57">
        <f>IFERROR(VLOOKUP($A:$A,CS!$A:$AK,3,FALSE),"")</f>
      </c>
      <c r="C72" s="57">
        <f>IFERROR(VLOOKUP($A:$A,CS!$A:$AK,4,FALSE),"")</f>
      </c>
      <c r="D72" s="57">
        <f>IFERROR(VLOOKUP($A:$A,CS!$A:$AK,5,FALSE),"")</f>
      </c>
      <c r="E72" s="57">
        <f>IFERROR(VLOOKUP($A:$A,CS!$A:$AK,7,FALSE),"")</f>
      </c>
      <c r="F72" s="57">
        <f>IFERROR(VLOOKUP($A:$A,CS!$A:$AK,8,FALSE),"")</f>
      </c>
      <c r="G72" s="57">
        <f>IFERROR(VLOOKUP($A:$A,CS!$A:$AK,10,FALSE),"")</f>
      </c>
      <c r="H72" s="57">
        <f>IFERROR(VLOOKUP($A:$A,CS!$A:$AK,14,FALSE),"")</f>
      </c>
      <c r="I72" s="57">
        <f>IFERROR(VLOOKUP($A:$A,CS!$A:$AK,15,FALSE),"")</f>
      </c>
      <c r="J72" s="57">
        <f>IFERROR(VLOOKUP($A:$A,CS!$A:$AK,18,FALSE),"")</f>
      </c>
      <c r="K72" s="57">
        <f>IFERROR(VLOOKUP($A:$A,CS!$A:$AK,19,FALSE),"")</f>
      </c>
      <c r="L72" s="57">
        <f>IFERROR(VLOOKUP($A:$A,CS!$A:$AK,20,FALSE),"")</f>
      </c>
      <c r="M72" s="57">
        <f>IFERROR(VLOOKUP($A:$A,CS!$A:$AK,22,FALSE),"")</f>
      </c>
      <c r="N72" s="57">
        <f>IFERROR(VLOOKUP($A:$A,CS!$A:$AK,19,FALSE),"")</f>
      </c>
      <c r="O72" s="57">
        <f>IFERROR(VLOOKUP($A:$A,CS!$A:$AK,23,FALSE),"")</f>
      </c>
      <c r="P72" s="57">
        <f>IFERROR(VLOOKUP($A:$A,CS!$A:$AK,24,FALSE),"")</f>
      </c>
      <c r="Q72" s="57">
        <f>IFERROR(VLOOKUP($A:$A,CS!$A:$AK,25,FALSE),"")</f>
      </c>
      <c r="R72" s="57">
        <f>IFERROR(VLOOKUP($A:$A,CS!$A:$AK,26,FALSE),"")</f>
      </c>
      <c r="S72" s="57">
        <f>IFERROR(VLOOKUP($A:$A,CS!$A:$AK,29,FALSE),"")</f>
      </c>
      <c r="T72" s="57">
        <f>IFERROR(VLOOKUP($A:$A,CS!$A:$AK,33,FALSE),"")</f>
      </c>
      <c r="U72" s="57">
        <f>IFERROR(VLOOKUP($A:$A,CS!$A:$AK,34,FALSE),"")</f>
      </c>
      <c r="V72" s="57">
        <f>IFERROR(VLOOKUP($A:$A,CS!$A:$AK,35,FALSE),"")</f>
      </c>
      <c r="W72" s="57">
        <f>IFERROR(VLOOKUP($A:$A,CS!$A:$AK,36,FALSE),"")</f>
      </c>
    </row>
    <row r="73" ht="16.5" customHeight="1" spans="1:23" x14ac:dyDescent="0.25">
      <c r="A73" s="71"/>
      <c r="B73" s="57">
        <f>IFERROR(VLOOKUP($A:$A,CS!$A:$AK,3,FALSE),"")</f>
      </c>
      <c r="C73" s="57">
        <f>IFERROR(VLOOKUP($A:$A,CS!$A:$AK,4,FALSE),"")</f>
      </c>
      <c r="D73" s="57">
        <f>IFERROR(VLOOKUP($A:$A,CS!$A:$AK,5,FALSE),"")</f>
      </c>
      <c r="E73" s="57">
        <f>IFERROR(VLOOKUP($A:$A,CS!$A:$AK,7,FALSE),"")</f>
      </c>
      <c r="F73" s="57">
        <f>IFERROR(VLOOKUP($A:$A,CS!$A:$AK,8,FALSE),"")</f>
      </c>
      <c r="G73" s="57">
        <f>IFERROR(VLOOKUP($A:$A,CS!$A:$AK,10,FALSE),"")</f>
      </c>
      <c r="H73" s="57">
        <f>IFERROR(VLOOKUP($A:$A,CS!$A:$AK,14,FALSE),"")</f>
      </c>
      <c r="I73" s="57">
        <f>IFERROR(VLOOKUP($A:$A,CS!$A:$AK,15,FALSE),"")</f>
      </c>
      <c r="J73" s="57">
        <f>IFERROR(VLOOKUP($A:$A,CS!$A:$AK,18,FALSE),"")</f>
      </c>
      <c r="K73" s="57">
        <f>IFERROR(VLOOKUP($A:$A,CS!$A:$AK,19,FALSE),"")</f>
      </c>
      <c r="L73" s="57">
        <f>IFERROR(VLOOKUP($A:$A,CS!$A:$AK,20,FALSE),"")</f>
      </c>
      <c r="M73" s="57">
        <f>IFERROR(VLOOKUP($A:$A,CS!$A:$AK,22,FALSE),"")</f>
      </c>
      <c r="N73" s="57">
        <f>IFERROR(VLOOKUP($A:$A,CS!$A:$AK,19,FALSE),"")</f>
      </c>
      <c r="O73" s="57">
        <f>IFERROR(VLOOKUP($A:$A,CS!$A:$AK,23,FALSE),"")</f>
      </c>
      <c r="P73" s="57">
        <f>IFERROR(VLOOKUP($A:$A,CS!$A:$AK,24,FALSE),"")</f>
      </c>
      <c r="Q73" s="57">
        <f>IFERROR(VLOOKUP($A:$A,CS!$A:$AK,25,FALSE),"")</f>
      </c>
      <c r="R73" s="57">
        <f>IFERROR(VLOOKUP($A:$A,CS!$A:$AK,26,FALSE),"")</f>
      </c>
      <c r="S73" s="57">
        <f>IFERROR(VLOOKUP($A:$A,CS!$A:$AK,29,FALSE),"")</f>
      </c>
      <c r="T73" s="57">
        <f>IFERROR(VLOOKUP($A:$A,CS!$A:$AK,33,FALSE),"")</f>
      </c>
      <c r="U73" s="57">
        <f>IFERROR(VLOOKUP($A:$A,CS!$A:$AK,34,FALSE),"")</f>
      </c>
      <c r="V73" s="57">
        <f>IFERROR(VLOOKUP($A:$A,CS!$A:$AK,35,FALSE),"")</f>
      </c>
      <c r="W73" s="57">
        <f>IFERROR(VLOOKUP($A:$A,CS!$A:$AK,36,FALSE),"")</f>
      </c>
    </row>
    <row r="74" ht="16.5" customHeight="1" spans="1:23" x14ac:dyDescent="0.25">
      <c r="A74" s="71"/>
      <c r="B74" s="57">
        <f>IFERROR(VLOOKUP($A:$A,CS!$A:$AK,3,FALSE),"")</f>
      </c>
      <c r="C74" s="57">
        <f>IFERROR(VLOOKUP($A:$A,CS!$A:$AK,4,FALSE),"")</f>
      </c>
      <c r="D74" s="57">
        <f>IFERROR(VLOOKUP($A:$A,CS!$A:$AK,5,FALSE),"")</f>
      </c>
      <c r="E74" s="57">
        <f>IFERROR(VLOOKUP($A:$A,CS!$A:$AK,7,FALSE),"")</f>
      </c>
      <c r="F74" s="57">
        <f>IFERROR(VLOOKUP($A:$A,CS!$A:$AK,8,FALSE),"")</f>
      </c>
      <c r="G74" s="57">
        <f>IFERROR(VLOOKUP($A:$A,CS!$A:$AK,10,FALSE),"")</f>
      </c>
      <c r="H74" s="57">
        <f>IFERROR(VLOOKUP($A:$A,CS!$A:$AK,14,FALSE),"")</f>
      </c>
      <c r="I74" s="57">
        <f>IFERROR(VLOOKUP($A:$A,CS!$A:$AK,15,FALSE),"")</f>
      </c>
      <c r="J74" s="57">
        <f>IFERROR(VLOOKUP($A:$A,CS!$A:$AK,18,FALSE),"")</f>
      </c>
      <c r="K74" s="57">
        <f>IFERROR(VLOOKUP($A:$A,CS!$A:$AK,19,FALSE),"")</f>
      </c>
      <c r="L74" s="57">
        <f>IFERROR(VLOOKUP($A:$A,CS!$A:$AK,20,FALSE),"")</f>
      </c>
      <c r="M74" s="57">
        <f>IFERROR(VLOOKUP($A:$A,CS!$A:$AK,22,FALSE),"")</f>
      </c>
      <c r="N74" s="57">
        <f>IFERROR(VLOOKUP($A:$A,CS!$A:$AK,19,FALSE),"")</f>
      </c>
      <c r="O74" s="57">
        <f>IFERROR(VLOOKUP($A:$A,CS!$A:$AK,23,FALSE),"")</f>
      </c>
      <c r="P74" s="57">
        <f>IFERROR(VLOOKUP($A:$A,CS!$A:$AK,24,FALSE),"")</f>
      </c>
      <c r="Q74" s="57">
        <f>IFERROR(VLOOKUP($A:$A,CS!$A:$AK,25,FALSE),"")</f>
      </c>
      <c r="R74" s="57">
        <f>IFERROR(VLOOKUP($A:$A,CS!$A:$AK,26,FALSE),"")</f>
      </c>
      <c r="S74" s="57">
        <f>IFERROR(VLOOKUP($A:$A,CS!$A:$AK,29,FALSE),"")</f>
      </c>
      <c r="T74" s="57">
        <f>IFERROR(VLOOKUP($A:$A,CS!$A:$AK,33,FALSE),"")</f>
      </c>
      <c r="U74" s="57">
        <f>IFERROR(VLOOKUP($A:$A,CS!$A:$AK,34,FALSE),"")</f>
      </c>
      <c r="V74" s="57">
        <f>IFERROR(VLOOKUP($A:$A,CS!$A:$AK,35,FALSE),"")</f>
      </c>
      <c r="W74" s="57">
        <f>IFERROR(VLOOKUP($A:$A,CS!$A:$AK,36,FALSE),"")</f>
      </c>
    </row>
    <row r="75" ht="16.5" customHeight="1" spans="1:23" x14ac:dyDescent="0.25">
      <c r="A75" s="71"/>
      <c r="B75" s="57">
        <f>IFERROR(VLOOKUP($A:$A,CS!$A:$AK,3,FALSE),"")</f>
      </c>
      <c r="C75" s="57">
        <f>IFERROR(VLOOKUP($A:$A,CS!$A:$AK,4,FALSE),"")</f>
      </c>
      <c r="D75" s="57">
        <f>IFERROR(VLOOKUP($A:$A,CS!$A:$AK,5,FALSE),"")</f>
      </c>
      <c r="E75" s="57">
        <f>IFERROR(VLOOKUP($A:$A,CS!$A:$AK,7,FALSE),"")</f>
      </c>
      <c r="F75" s="57">
        <f>IFERROR(VLOOKUP($A:$A,CS!$A:$AK,8,FALSE),"")</f>
      </c>
      <c r="G75" s="57">
        <f>IFERROR(VLOOKUP($A:$A,CS!$A:$AK,10,FALSE),"")</f>
      </c>
      <c r="H75" s="57">
        <f>IFERROR(VLOOKUP($A:$A,CS!$A:$AK,14,FALSE),"")</f>
      </c>
      <c r="I75" s="57">
        <f>IFERROR(VLOOKUP($A:$A,CS!$A:$AK,15,FALSE),"")</f>
      </c>
      <c r="J75" s="57">
        <f>IFERROR(VLOOKUP($A:$A,CS!$A:$AK,18,FALSE),"")</f>
      </c>
      <c r="K75" s="57">
        <f>IFERROR(VLOOKUP($A:$A,CS!$A:$AK,19,FALSE),"")</f>
      </c>
      <c r="L75" s="57">
        <f>IFERROR(VLOOKUP($A:$A,CS!$A:$AK,20,FALSE),"")</f>
      </c>
      <c r="M75" s="57">
        <f>IFERROR(VLOOKUP($A:$A,CS!$A:$AK,22,FALSE),"")</f>
      </c>
      <c r="N75" s="57">
        <f>IFERROR(VLOOKUP($A:$A,CS!$A:$AK,19,FALSE),"")</f>
      </c>
      <c r="O75" s="57">
        <f>IFERROR(VLOOKUP($A:$A,CS!$A:$AK,23,FALSE),"")</f>
      </c>
      <c r="P75" s="57">
        <f>IFERROR(VLOOKUP($A:$A,CS!$A:$AK,24,FALSE),"")</f>
      </c>
      <c r="Q75" s="57">
        <f>IFERROR(VLOOKUP($A:$A,CS!$A:$AK,25,FALSE),"")</f>
      </c>
      <c r="R75" s="57">
        <f>IFERROR(VLOOKUP($A:$A,CS!$A:$AK,26,FALSE),"")</f>
      </c>
      <c r="S75" s="57">
        <f>IFERROR(VLOOKUP($A:$A,CS!$A:$AK,29,FALSE),"")</f>
      </c>
      <c r="T75" s="57">
        <f>IFERROR(VLOOKUP($A:$A,CS!$A:$AK,33,FALSE),"")</f>
      </c>
      <c r="U75" s="57">
        <f>IFERROR(VLOOKUP($A:$A,CS!$A:$AK,34,FALSE),"")</f>
      </c>
      <c r="V75" s="57">
        <f>IFERROR(VLOOKUP($A:$A,CS!$A:$AK,35,FALSE),"")</f>
      </c>
      <c r="W75" s="57">
        <f>IFERROR(VLOOKUP($A:$A,CS!$A:$AK,36,FALSE),"")</f>
      </c>
    </row>
    <row r="76" ht="16.5" customHeight="1" spans="1:23" x14ac:dyDescent="0.25">
      <c r="A76" s="71"/>
      <c r="B76" s="57">
        <f>IFERROR(VLOOKUP($A:$A,CS!$A:$AK,3,FALSE),"")</f>
      </c>
      <c r="C76" s="57">
        <f>IFERROR(VLOOKUP($A:$A,CS!$A:$AK,4,FALSE),"")</f>
      </c>
      <c r="D76" s="57">
        <f>IFERROR(VLOOKUP($A:$A,CS!$A:$AK,5,FALSE),"")</f>
      </c>
      <c r="E76" s="57">
        <f>IFERROR(VLOOKUP($A:$A,CS!$A:$AK,7,FALSE),"")</f>
      </c>
      <c r="F76" s="57">
        <f>IFERROR(VLOOKUP($A:$A,CS!$A:$AK,8,FALSE),"")</f>
      </c>
      <c r="G76" s="57">
        <f>IFERROR(VLOOKUP($A:$A,CS!$A:$AK,10,FALSE),"")</f>
      </c>
      <c r="H76" s="57">
        <f>IFERROR(VLOOKUP($A:$A,CS!$A:$AK,14,FALSE),"")</f>
      </c>
      <c r="I76" s="57">
        <f>IFERROR(VLOOKUP($A:$A,CS!$A:$AK,15,FALSE),"")</f>
      </c>
      <c r="J76" s="57">
        <f>IFERROR(VLOOKUP($A:$A,CS!$A:$AK,18,FALSE),"")</f>
      </c>
      <c r="K76" s="57">
        <f>IFERROR(VLOOKUP($A:$A,CS!$A:$AK,19,FALSE),"")</f>
      </c>
      <c r="L76" s="57">
        <f>IFERROR(VLOOKUP($A:$A,CS!$A:$AK,20,FALSE),"")</f>
      </c>
      <c r="M76" s="57">
        <f>IFERROR(VLOOKUP($A:$A,CS!$A:$AK,22,FALSE),"")</f>
      </c>
      <c r="N76" s="57">
        <f>IFERROR(VLOOKUP($A:$A,CS!$A:$AK,19,FALSE),"")</f>
      </c>
      <c r="O76" s="57">
        <f>IFERROR(VLOOKUP($A:$A,CS!$A:$AK,23,FALSE),"")</f>
      </c>
      <c r="P76" s="57">
        <f>IFERROR(VLOOKUP($A:$A,CS!$A:$AK,24,FALSE),"")</f>
      </c>
      <c r="Q76" s="57">
        <f>IFERROR(VLOOKUP($A:$A,CS!$A:$AK,25,FALSE),"")</f>
      </c>
      <c r="R76" s="57">
        <f>IFERROR(VLOOKUP($A:$A,CS!$A:$AK,26,FALSE),"")</f>
      </c>
      <c r="S76" s="57">
        <f>IFERROR(VLOOKUP($A:$A,CS!$A:$AK,29,FALSE),"")</f>
      </c>
      <c r="T76" s="57">
        <f>IFERROR(VLOOKUP($A:$A,CS!$A:$AK,33,FALSE),"")</f>
      </c>
      <c r="U76" s="57">
        <f>IFERROR(VLOOKUP($A:$A,CS!$A:$AK,34,FALSE),"")</f>
      </c>
      <c r="V76" s="57">
        <f>IFERROR(VLOOKUP($A:$A,CS!$A:$AK,35,FALSE),"")</f>
      </c>
      <c r="W76" s="57">
        <f>IFERROR(VLOOKUP($A:$A,CS!$A:$AK,36,FALSE),"")</f>
      </c>
    </row>
    <row r="77" ht="16.5" customHeight="1" spans="1:23" x14ac:dyDescent="0.25">
      <c r="A77" s="71"/>
      <c r="B77" s="57">
        <f>IFERROR(VLOOKUP($A:$A,CS!$A:$AK,3,FALSE),"")</f>
      </c>
      <c r="C77" s="57">
        <f>IFERROR(VLOOKUP($A:$A,CS!$A:$AK,4,FALSE),"")</f>
      </c>
      <c r="D77" s="57">
        <f>IFERROR(VLOOKUP($A:$A,CS!$A:$AK,5,FALSE),"")</f>
      </c>
      <c r="E77" s="57">
        <f>IFERROR(VLOOKUP($A:$A,CS!$A:$AK,7,FALSE),"")</f>
      </c>
      <c r="F77" s="57">
        <f>IFERROR(VLOOKUP($A:$A,CS!$A:$AK,8,FALSE),"")</f>
      </c>
      <c r="G77" s="57">
        <f>IFERROR(VLOOKUP($A:$A,CS!$A:$AK,10,FALSE),"")</f>
      </c>
      <c r="H77" s="57">
        <f>IFERROR(VLOOKUP($A:$A,CS!$A:$AK,14,FALSE),"")</f>
      </c>
      <c r="I77" s="57">
        <f>IFERROR(VLOOKUP($A:$A,CS!$A:$AK,15,FALSE),"")</f>
      </c>
      <c r="J77" s="57">
        <f>IFERROR(VLOOKUP($A:$A,CS!$A:$AK,18,FALSE),"")</f>
      </c>
      <c r="K77" s="57">
        <f>IFERROR(VLOOKUP($A:$A,CS!$A:$AK,19,FALSE),"")</f>
      </c>
      <c r="L77" s="57">
        <f>IFERROR(VLOOKUP($A:$A,CS!$A:$AK,20,FALSE),"")</f>
      </c>
      <c r="M77" s="57">
        <f>IFERROR(VLOOKUP($A:$A,CS!$A:$AK,22,FALSE),"")</f>
      </c>
      <c r="N77" s="57">
        <f>IFERROR(VLOOKUP($A:$A,CS!$A:$AK,19,FALSE),"")</f>
      </c>
      <c r="O77" s="57">
        <f>IFERROR(VLOOKUP($A:$A,CS!$A:$AK,23,FALSE),"")</f>
      </c>
      <c r="P77" s="57">
        <f>IFERROR(VLOOKUP($A:$A,CS!$A:$AK,24,FALSE),"")</f>
      </c>
      <c r="Q77" s="57">
        <f>IFERROR(VLOOKUP($A:$A,CS!$A:$AK,25,FALSE),"")</f>
      </c>
      <c r="R77" s="57">
        <f>IFERROR(VLOOKUP($A:$A,CS!$A:$AK,26,FALSE),"")</f>
      </c>
      <c r="S77" s="57">
        <f>IFERROR(VLOOKUP($A:$A,CS!$A:$AK,29,FALSE),"")</f>
      </c>
      <c r="T77" s="57">
        <f>IFERROR(VLOOKUP($A:$A,CS!$A:$AK,33,FALSE),"")</f>
      </c>
      <c r="U77" s="57">
        <f>IFERROR(VLOOKUP($A:$A,CS!$A:$AK,34,FALSE),"")</f>
      </c>
      <c r="V77" s="57">
        <f>IFERROR(VLOOKUP($A:$A,CS!$A:$AK,35,FALSE),"")</f>
      </c>
      <c r="W77" s="57">
        <f>IFERROR(VLOOKUP($A:$A,CS!$A:$AK,36,FALSE),"")</f>
      </c>
    </row>
    <row r="78" ht="16.5" customHeight="1" spans="1:23" x14ac:dyDescent="0.25">
      <c r="A78" s="71"/>
      <c r="B78" s="57">
        <f>IFERROR(VLOOKUP($A:$A,CS!$A:$AK,3,FALSE),"")</f>
      </c>
      <c r="C78" s="57">
        <f>IFERROR(VLOOKUP($A:$A,CS!$A:$AK,4,FALSE),"")</f>
      </c>
      <c r="D78" s="57">
        <f>IFERROR(VLOOKUP($A:$A,CS!$A:$AK,5,FALSE),"")</f>
      </c>
      <c r="E78" s="57">
        <f>IFERROR(VLOOKUP($A:$A,CS!$A:$AK,7,FALSE),"")</f>
      </c>
      <c r="F78" s="57">
        <f>IFERROR(VLOOKUP($A:$A,CS!$A:$AK,8,FALSE),"")</f>
      </c>
      <c r="G78" s="57">
        <f>IFERROR(VLOOKUP($A:$A,CS!$A:$AK,10,FALSE),"")</f>
      </c>
      <c r="H78" s="57">
        <f>IFERROR(VLOOKUP($A:$A,CS!$A:$AK,14,FALSE),"")</f>
      </c>
      <c r="I78" s="57">
        <f>IFERROR(VLOOKUP($A:$A,CS!$A:$AK,15,FALSE),"")</f>
      </c>
      <c r="J78" s="57">
        <f>IFERROR(VLOOKUP($A:$A,CS!$A:$AK,18,FALSE),"")</f>
      </c>
      <c r="K78" s="57">
        <f>IFERROR(VLOOKUP($A:$A,CS!$A:$AK,19,FALSE),"")</f>
      </c>
      <c r="L78" s="57">
        <f>IFERROR(VLOOKUP($A:$A,CS!$A:$AK,20,FALSE),"")</f>
      </c>
      <c r="M78" s="57">
        <f>IFERROR(VLOOKUP($A:$A,CS!$A:$AK,22,FALSE),"")</f>
      </c>
      <c r="N78" s="57">
        <f>IFERROR(VLOOKUP($A:$A,CS!$A:$AK,19,FALSE),"")</f>
      </c>
      <c r="O78" s="57">
        <f>IFERROR(VLOOKUP($A:$A,CS!$A:$AK,23,FALSE),"")</f>
      </c>
      <c r="P78" s="57">
        <f>IFERROR(VLOOKUP($A:$A,CS!$A:$AK,24,FALSE),"")</f>
      </c>
      <c r="Q78" s="57">
        <f>IFERROR(VLOOKUP($A:$A,CS!$A:$AK,25,FALSE),"")</f>
      </c>
      <c r="R78" s="57">
        <f>IFERROR(VLOOKUP($A:$A,CS!$A:$AK,26,FALSE),"")</f>
      </c>
      <c r="S78" s="57">
        <f>IFERROR(VLOOKUP($A:$A,CS!$A:$AK,29,FALSE),"")</f>
      </c>
      <c r="T78" s="57">
        <f>IFERROR(VLOOKUP($A:$A,CS!$A:$AK,33,FALSE),"")</f>
      </c>
      <c r="U78" s="57">
        <f>IFERROR(VLOOKUP($A:$A,CS!$A:$AK,34,FALSE),"")</f>
      </c>
      <c r="V78" s="57">
        <f>IFERROR(VLOOKUP($A:$A,CS!$A:$AK,35,FALSE),"")</f>
      </c>
      <c r="W78" s="57">
        <f>IFERROR(VLOOKUP($A:$A,CS!$A:$AK,36,FALSE),"")</f>
      </c>
    </row>
    <row r="79" ht="16.5" customHeight="1" spans="1:23" x14ac:dyDescent="0.25">
      <c r="A79" s="71"/>
      <c r="B79" s="57">
        <f>IFERROR(VLOOKUP($A:$A,CS!$A:$AK,3,FALSE),"")</f>
      </c>
      <c r="C79" s="57">
        <f>IFERROR(VLOOKUP($A:$A,CS!$A:$AK,4,FALSE),"")</f>
      </c>
      <c r="D79" s="57">
        <f>IFERROR(VLOOKUP($A:$A,CS!$A:$AK,5,FALSE),"")</f>
      </c>
      <c r="E79" s="57">
        <f>IFERROR(VLOOKUP($A:$A,CS!$A:$AK,7,FALSE),"")</f>
      </c>
      <c r="F79" s="57">
        <f>IFERROR(VLOOKUP($A:$A,CS!$A:$AK,8,FALSE),"")</f>
      </c>
      <c r="G79" s="57">
        <f>IFERROR(VLOOKUP($A:$A,CS!$A:$AK,10,FALSE),"")</f>
      </c>
      <c r="H79" s="57">
        <f>IFERROR(VLOOKUP($A:$A,CS!$A:$AK,14,FALSE),"")</f>
      </c>
      <c r="I79" s="57">
        <f>IFERROR(VLOOKUP($A:$A,CS!$A:$AK,15,FALSE),"")</f>
      </c>
      <c r="J79" s="57">
        <f>IFERROR(VLOOKUP($A:$A,CS!$A:$AK,18,FALSE),"")</f>
      </c>
      <c r="K79" s="57">
        <f>IFERROR(VLOOKUP($A:$A,CS!$A:$AK,19,FALSE),"")</f>
      </c>
      <c r="L79" s="57">
        <f>IFERROR(VLOOKUP($A:$A,CS!$A:$AK,20,FALSE),"")</f>
      </c>
      <c r="M79" s="57">
        <f>IFERROR(VLOOKUP($A:$A,CS!$A:$AK,22,FALSE),"")</f>
      </c>
      <c r="N79" s="57">
        <f>IFERROR(VLOOKUP($A:$A,CS!$A:$AK,19,FALSE),"")</f>
      </c>
      <c r="O79" s="57">
        <f>IFERROR(VLOOKUP($A:$A,CS!$A:$AK,23,FALSE),"")</f>
      </c>
      <c r="P79" s="57">
        <f>IFERROR(VLOOKUP($A:$A,CS!$A:$AK,24,FALSE),"")</f>
      </c>
      <c r="Q79" s="57">
        <f>IFERROR(VLOOKUP($A:$A,CS!$A:$AK,25,FALSE),"")</f>
      </c>
      <c r="R79" s="57">
        <f>IFERROR(VLOOKUP($A:$A,CS!$A:$AK,26,FALSE),"")</f>
      </c>
      <c r="S79" s="57">
        <f>IFERROR(VLOOKUP($A:$A,CS!$A:$AK,29,FALSE),"")</f>
      </c>
      <c r="T79" s="57">
        <f>IFERROR(VLOOKUP($A:$A,CS!$A:$AK,33,FALSE),"")</f>
      </c>
      <c r="U79" s="57">
        <f>IFERROR(VLOOKUP($A:$A,CS!$A:$AK,34,FALSE),"")</f>
      </c>
      <c r="V79" s="57">
        <f>IFERROR(VLOOKUP($A:$A,CS!$A:$AK,35,FALSE),"")</f>
      </c>
      <c r="W79" s="57">
        <f>IFERROR(VLOOKUP($A:$A,CS!$A:$AK,36,FALSE),"")</f>
      </c>
    </row>
    <row r="80" ht="16.5" customHeight="1" spans="1:23" x14ac:dyDescent="0.25">
      <c r="A80" s="71"/>
      <c r="B80" s="57">
        <f>IFERROR(VLOOKUP($A:$A,CS!$A:$AK,3,FALSE),"")</f>
      </c>
      <c r="C80" s="57">
        <f>IFERROR(VLOOKUP($A:$A,CS!$A:$AK,4,FALSE),"")</f>
      </c>
      <c r="D80" s="57">
        <f>IFERROR(VLOOKUP($A:$A,CS!$A:$AK,5,FALSE),"")</f>
      </c>
      <c r="E80" s="57">
        <f>IFERROR(VLOOKUP($A:$A,CS!$A:$AK,7,FALSE),"")</f>
      </c>
      <c r="F80" s="57">
        <f>IFERROR(VLOOKUP($A:$A,CS!$A:$AK,8,FALSE),"")</f>
      </c>
      <c r="G80" s="57">
        <f>IFERROR(VLOOKUP($A:$A,CS!$A:$AK,10,FALSE),"")</f>
      </c>
      <c r="H80" s="57">
        <f>IFERROR(VLOOKUP($A:$A,CS!$A:$AK,14,FALSE),"")</f>
      </c>
      <c r="I80" s="57">
        <f>IFERROR(VLOOKUP($A:$A,CS!$A:$AK,15,FALSE),"")</f>
      </c>
      <c r="J80" s="57">
        <f>IFERROR(VLOOKUP($A:$A,CS!$A:$AK,18,FALSE),"")</f>
      </c>
      <c r="K80" s="57">
        <f>IFERROR(VLOOKUP($A:$A,CS!$A:$AK,19,FALSE),"")</f>
      </c>
      <c r="L80" s="57">
        <f>IFERROR(VLOOKUP($A:$A,CS!$A:$AK,20,FALSE),"")</f>
      </c>
      <c r="M80" s="57">
        <f>IFERROR(VLOOKUP($A:$A,CS!$A:$AK,22,FALSE),"")</f>
      </c>
      <c r="N80" s="57">
        <f>IFERROR(VLOOKUP($A:$A,CS!$A:$AK,19,FALSE),"")</f>
      </c>
      <c r="O80" s="57">
        <f>IFERROR(VLOOKUP($A:$A,CS!$A:$AK,23,FALSE),"")</f>
      </c>
      <c r="P80" s="57">
        <f>IFERROR(VLOOKUP($A:$A,CS!$A:$AK,24,FALSE),"")</f>
      </c>
      <c r="Q80" s="57">
        <f>IFERROR(VLOOKUP($A:$A,CS!$A:$AK,25,FALSE),"")</f>
      </c>
      <c r="R80" s="57">
        <f>IFERROR(VLOOKUP($A:$A,CS!$A:$AK,26,FALSE),"")</f>
      </c>
      <c r="S80" s="57">
        <f>IFERROR(VLOOKUP($A:$A,CS!$A:$AK,29,FALSE),"")</f>
      </c>
      <c r="T80" s="57">
        <f>IFERROR(VLOOKUP($A:$A,CS!$A:$AK,33,FALSE),"")</f>
      </c>
      <c r="U80" s="57">
        <f>IFERROR(VLOOKUP($A:$A,CS!$A:$AK,34,FALSE),"")</f>
      </c>
      <c r="V80" s="57">
        <f>IFERROR(VLOOKUP($A:$A,CS!$A:$AK,35,FALSE),"")</f>
      </c>
      <c r="W80" s="57">
        <f>IFERROR(VLOOKUP($A:$A,CS!$A:$AK,36,FALSE),"")</f>
      </c>
    </row>
    <row r="81" ht="16.5" customHeight="1" spans="1:23" x14ac:dyDescent="0.25">
      <c r="A81" s="71"/>
      <c r="B81" s="57">
        <f>IFERROR(VLOOKUP($A:$A,CS!$A:$AK,3,FALSE),"")</f>
      </c>
      <c r="C81" s="57">
        <f>IFERROR(VLOOKUP($A:$A,CS!$A:$AK,4,FALSE),"")</f>
      </c>
      <c r="D81" s="57">
        <f>IFERROR(VLOOKUP($A:$A,CS!$A:$AK,5,FALSE),"")</f>
      </c>
      <c r="E81" s="57">
        <f>IFERROR(VLOOKUP($A:$A,CS!$A:$AK,7,FALSE),"")</f>
      </c>
      <c r="F81" s="57">
        <f>IFERROR(VLOOKUP($A:$A,CS!$A:$AK,8,FALSE),"")</f>
      </c>
      <c r="G81" s="57">
        <f>IFERROR(VLOOKUP($A:$A,CS!$A:$AK,10,FALSE),"")</f>
      </c>
      <c r="H81" s="57">
        <f>IFERROR(VLOOKUP($A:$A,CS!$A:$AK,14,FALSE),"")</f>
      </c>
      <c r="I81" s="57">
        <f>IFERROR(VLOOKUP($A:$A,CS!$A:$AK,15,FALSE),"")</f>
      </c>
      <c r="J81" s="57">
        <f>IFERROR(VLOOKUP($A:$A,CS!$A:$AK,18,FALSE),"")</f>
      </c>
      <c r="K81" s="57">
        <f>IFERROR(VLOOKUP($A:$A,CS!$A:$AK,19,FALSE),"")</f>
      </c>
      <c r="L81" s="57">
        <f>IFERROR(VLOOKUP($A:$A,CS!$A:$AK,20,FALSE),"")</f>
      </c>
      <c r="M81" s="57">
        <f>IFERROR(VLOOKUP($A:$A,CS!$A:$AK,22,FALSE),"")</f>
      </c>
      <c r="N81" s="57">
        <f>IFERROR(VLOOKUP($A:$A,CS!$A:$AK,19,FALSE),"")</f>
      </c>
      <c r="O81" s="57">
        <f>IFERROR(VLOOKUP($A:$A,CS!$A:$AK,23,FALSE),"")</f>
      </c>
      <c r="P81" s="57">
        <f>IFERROR(VLOOKUP($A:$A,CS!$A:$AK,24,FALSE),"")</f>
      </c>
      <c r="Q81" s="57">
        <f>IFERROR(VLOOKUP($A:$A,CS!$A:$AK,25,FALSE),"")</f>
      </c>
      <c r="R81" s="57">
        <f>IFERROR(VLOOKUP($A:$A,CS!$A:$AK,26,FALSE),"")</f>
      </c>
      <c r="S81" s="57">
        <f>IFERROR(VLOOKUP($A:$A,CS!$A:$AK,29,FALSE),"")</f>
      </c>
      <c r="T81" s="57">
        <f>IFERROR(VLOOKUP($A:$A,CS!$A:$AK,33,FALSE),"")</f>
      </c>
      <c r="U81" s="57">
        <f>IFERROR(VLOOKUP($A:$A,CS!$A:$AK,34,FALSE),"")</f>
      </c>
      <c r="V81" s="57">
        <f>IFERROR(VLOOKUP($A:$A,CS!$A:$AK,35,FALSE),"")</f>
      </c>
      <c r="W81" s="57">
        <f>IFERROR(VLOOKUP($A:$A,CS!$A:$AK,36,FALSE),"")</f>
      </c>
    </row>
    <row r="82" ht="16.5" customHeight="1" spans="1:23" x14ac:dyDescent="0.25">
      <c r="A82" s="71"/>
      <c r="B82" s="57">
        <f>IFERROR(VLOOKUP($A:$A,CS!$A:$AK,3,FALSE),"")</f>
      </c>
      <c r="C82" s="57">
        <f>IFERROR(VLOOKUP($A:$A,CS!$A:$AK,4,FALSE),"")</f>
      </c>
      <c r="D82" s="57">
        <f>IFERROR(VLOOKUP($A:$A,CS!$A:$AK,5,FALSE),"")</f>
      </c>
      <c r="E82" s="57">
        <f>IFERROR(VLOOKUP($A:$A,CS!$A:$AK,7,FALSE),"")</f>
      </c>
      <c r="F82" s="57">
        <f>IFERROR(VLOOKUP($A:$A,CS!$A:$AK,8,FALSE),"")</f>
      </c>
      <c r="G82" s="57">
        <f>IFERROR(VLOOKUP($A:$A,CS!$A:$AK,10,FALSE),"")</f>
      </c>
      <c r="H82" s="57">
        <f>IFERROR(VLOOKUP($A:$A,CS!$A:$AK,14,FALSE),"")</f>
      </c>
      <c r="I82" s="57">
        <f>IFERROR(VLOOKUP($A:$A,CS!$A:$AK,15,FALSE),"")</f>
      </c>
      <c r="J82" s="57">
        <f>IFERROR(VLOOKUP($A:$A,CS!$A:$AK,18,FALSE),"")</f>
      </c>
      <c r="K82" s="57">
        <f>IFERROR(VLOOKUP($A:$A,CS!$A:$AK,19,FALSE),"")</f>
      </c>
      <c r="L82" s="57">
        <f>IFERROR(VLOOKUP($A:$A,CS!$A:$AK,20,FALSE),"")</f>
      </c>
      <c r="M82" s="57">
        <f>IFERROR(VLOOKUP($A:$A,CS!$A:$AK,22,FALSE),"")</f>
      </c>
      <c r="N82" s="57">
        <f>IFERROR(VLOOKUP($A:$A,CS!$A:$AK,19,FALSE),"")</f>
      </c>
      <c r="O82" s="57">
        <f>IFERROR(VLOOKUP($A:$A,CS!$A:$AK,23,FALSE),"")</f>
      </c>
      <c r="P82" s="57">
        <f>IFERROR(VLOOKUP($A:$A,CS!$A:$AK,24,FALSE),"")</f>
      </c>
      <c r="Q82" s="57">
        <f>IFERROR(VLOOKUP($A:$A,CS!$A:$AK,25,FALSE),"")</f>
      </c>
      <c r="R82" s="57">
        <f>IFERROR(VLOOKUP($A:$A,CS!$A:$AK,26,FALSE),"")</f>
      </c>
      <c r="S82" s="57">
        <f>IFERROR(VLOOKUP($A:$A,CS!$A:$AK,29,FALSE),"")</f>
      </c>
      <c r="T82" s="57">
        <f>IFERROR(VLOOKUP($A:$A,CS!$A:$AK,33,FALSE),"")</f>
      </c>
      <c r="U82" s="57">
        <f>IFERROR(VLOOKUP($A:$A,CS!$A:$AK,34,FALSE),"")</f>
      </c>
      <c r="V82" s="57">
        <f>IFERROR(VLOOKUP($A:$A,CS!$A:$AK,35,FALSE),"")</f>
      </c>
      <c r="W82" s="57">
        <f>IFERROR(VLOOKUP($A:$A,CS!$A:$AK,36,FALSE),"")</f>
      </c>
    </row>
    <row r="83" ht="16.5" customHeight="1" spans="1:23" x14ac:dyDescent="0.25">
      <c r="A83" s="71"/>
      <c r="B83" s="57">
        <f>IFERROR(VLOOKUP($A:$A,CS!$A:$AK,3,FALSE),"")</f>
      </c>
      <c r="C83" s="57">
        <f>IFERROR(VLOOKUP($A:$A,CS!$A:$AK,4,FALSE),"")</f>
      </c>
      <c r="D83" s="57">
        <f>IFERROR(VLOOKUP($A:$A,CS!$A:$AK,5,FALSE),"")</f>
      </c>
      <c r="E83" s="57">
        <f>IFERROR(VLOOKUP($A:$A,CS!$A:$AK,7,FALSE),"")</f>
      </c>
      <c r="F83" s="57">
        <f>IFERROR(VLOOKUP($A:$A,CS!$A:$AK,8,FALSE),"")</f>
      </c>
      <c r="G83" s="57">
        <f>IFERROR(VLOOKUP($A:$A,CS!$A:$AK,10,FALSE),"")</f>
      </c>
      <c r="H83" s="57">
        <f>IFERROR(VLOOKUP($A:$A,CS!$A:$AK,14,FALSE),"")</f>
      </c>
      <c r="I83" s="57">
        <f>IFERROR(VLOOKUP($A:$A,CS!$A:$AK,15,FALSE),"")</f>
      </c>
      <c r="J83" s="57">
        <f>IFERROR(VLOOKUP($A:$A,CS!$A:$AK,18,FALSE),"")</f>
      </c>
      <c r="K83" s="57">
        <f>IFERROR(VLOOKUP($A:$A,CS!$A:$AK,19,FALSE),"")</f>
      </c>
      <c r="L83" s="57">
        <f>IFERROR(VLOOKUP($A:$A,CS!$A:$AK,20,FALSE),"")</f>
      </c>
      <c r="M83" s="57">
        <f>IFERROR(VLOOKUP($A:$A,CS!$A:$AK,22,FALSE),"")</f>
      </c>
      <c r="N83" s="57">
        <f>IFERROR(VLOOKUP($A:$A,CS!$A:$AK,19,FALSE),"")</f>
      </c>
      <c r="O83" s="57">
        <f>IFERROR(VLOOKUP($A:$A,CS!$A:$AK,23,FALSE),"")</f>
      </c>
      <c r="P83" s="57">
        <f>IFERROR(VLOOKUP($A:$A,CS!$A:$AK,24,FALSE),"")</f>
      </c>
      <c r="Q83" s="57">
        <f>IFERROR(VLOOKUP($A:$A,CS!$A:$AK,25,FALSE),"")</f>
      </c>
      <c r="R83" s="57">
        <f>IFERROR(VLOOKUP($A:$A,CS!$A:$AK,26,FALSE),"")</f>
      </c>
      <c r="S83" s="57">
        <f>IFERROR(VLOOKUP($A:$A,CS!$A:$AK,29,FALSE),"")</f>
      </c>
      <c r="T83" s="57">
        <f>IFERROR(VLOOKUP($A:$A,CS!$A:$AK,33,FALSE),"")</f>
      </c>
      <c r="U83" s="57">
        <f>IFERROR(VLOOKUP($A:$A,CS!$A:$AK,34,FALSE),"")</f>
      </c>
      <c r="V83" s="57">
        <f>IFERROR(VLOOKUP($A:$A,CS!$A:$AK,35,FALSE),"")</f>
      </c>
      <c r="W83" s="57">
        <f>IFERROR(VLOOKUP($A:$A,CS!$A:$AK,36,FALSE),"")</f>
      </c>
    </row>
    <row r="84" ht="16.5" customHeight="1" spans="1:23" x14ac:dyDescent="0.25">
      <c r="A84" s="71"/>
      <c r="B84" s="57">
        <f>IFERROR(VLOOKUP($A:$A,CS!$A:$AK,3,FALSE),"")</f>
      </c>
      <c r="C84" s="57">
        <f>IFERROR(VLOOKUP($A:$A,CS!$A:$AK,4,FALSE),"")</f>
      </c>
      <c r="D84" s="57">
        <f>IFERROR(VLOOKUP($A:$A,CS!$A:$AK,5,FALSE),"")</f>
      </c>
      <c r="E84" s="57">
        <f>IFERROR(VLOOKUP($A:$A,CS!$A:$AK,7,FALSE),"")</f>
      </c>
      <c r="F84" s="57">
        <f>IFERROR(VLOOKUP($A:$A,CS!$A:$AK,8,FALSE),"")</f>
      </c>
      <c r="G84" s="57">
        <f>IFERROR(VLOOKUP($A:$A,CS!$A:$AK,10,FALSE),"")</f>
      </c>
      <c r="H84" s="57">
        <f>IFERROR(VLOOKUP($A:$A,CS!$A:$AK,14,FALSE),"")</f>
      </c>
      <c r="I84" s="57">
        <f>IFERROR(VLOOKUP($A:$A,CS!$A:$AK,15,FALSE),"")</f>
      </c>
      <c r="J84" s="57">
        <f>IFERROR(VLOOKUP($A:$A,CS!$A:$AK,18,FALSE),"")</f>
      </c>
      <c r="K84" s="57">
        <f>IFERROR(VLOOKUP($A:$A,CS!$A:$AK,19,FALSE),"")</f>
      </c>
      <c r="L84" s="57">
        <f>IFERROR(VLOOKUP($A:$A,CS!$A:$AK,20,FALSE),"")</f>
      </c>
      <c r="M84" s="57">
        <f>IFERROR(VLOOKUP($A:$A,CS!$A:$AK,22,FALSE),"")</f>
      </c>
      <c r="N84" s="57">
        <f>IFERROR(VLOOKUP($A:$A,CS!$A:$AK,19,FALSE),"")</f>
      </c>
      <c r="O84" s="57">
        <f>IFERROR(VLOOKUP($A:$A,CS!$A:$AK,23,FALSE),"")</f>
      </c>
      <c r="P84" s="57">
        <f>IFERROR(VLOOKUP($A:$A,CS!$A:$AK,24,FALSE),"")</f>
      </c>
      <c r="Q84" s="57">
        <f>IFERROR(VLOOKUP($A:$A,CS!$A:$AK,25,FALSE),"")</f>
      </c>
      <c r="R84" s="57">
        <f>IFERROR(VLOOKUP($A:$A,CS!$A:$AK,26,FALSE),"")</f>
      </c>
      <c r="S84" s="57">
        <f>IFERROR(VLOOKUP($A:$A,CS!$A:$AK,29,FALSE),"")</f>
      </c>
      <c r="T84" s="57">
        <f>IFERROR(VLOOKUP($A:$A,CS!$A:$AK,33,FALSE),"")</f>
      </c>
      <c r="U84" s="57">
        <f>IFERROR(VLOOKUP($A:$A,CS!$A:$AK,34,FALSE),"")</f>
      </c>
      <c r="V84" s="57">
        <f>IFERROR(VLOOKUP($A:$A,CS!$A:$AK,35,FALSE),"")</f>
      </c>
      <c r="W84" s="57">
        <f>IFERROR(VLOOKUP($A:$A,CS!$A:$AK,36,FALSE),"")</f>
      </c>
    </row>
    <row r="85" ht="16.5" customHeight="1" spans="1:23" x14ac:dyDescent="0.25">
      <c r="A85" s="71"/>
      <c r="B85" s="57">
        <f>IFERROR(VLOOKUP($A:$A,CS!$A:$AK,3,FALSE),"")</f>
      </c>
      <c r="C85" s="57">
        <f>IFERROR(VLOOKUP($A:$A,CS!$A:$AK,4,FALSE),"")</f>
      </c>
      <c r="D85" s="57">
        <f>IFERROR(VLOOKUP($A:$A,CS!$A:$AK,5,FALSE),"")</f>
      </c>
      <c r="E85" s="57">
        <f>IFERROR(VLOOKUP($A:$A,CS!$A:$AK,7,FALSE),"")</f>
      </c>
      <c r="F85" s="57">
        <f>IFERROR(VLOOKUP($A:$A,CS!$A:$AK,8,FALSE),"")</f>
      </c>
      <c r="G85" s="57">
        <f>IFERROR(VLOOKUP($A:$A,CS!$A:$AK,10,FALSE),"")</f>
      </c>
      <c r="H85" s="57">
        <f>IFERROR(VLOOKUP($A:$A,CS!$A:$AK,14,FALSE),"")</f>
      </c>
      <c r="I85" s="57">
        <f>IFERROR(VLOOKUP($A:$A,CS!$A:$AK,15,FALSE),"")</f>
      </c>
      <c r="J85" s="57">
        <f>IFERROR(VLOOKUP($A:$A,CS!$A:$AK,18,FALSE),"")</f>
      </c>
      <c r="K85" s="57">
        <f>IFERROR(VLOOKUP($A:$A,CS!$A:$AK,19,FALSE),"")</f>
      </c>
      <c r="L85" s="57">
        <f>IFERROR(VLOOKUP($A:$A,CS!$A:$AK,20,FALSE),"")</f>
      </c>
      <c r="M85" s="57">
        <f>IFERROR(VLOOKUP($A:$A,CS!$A:$AK,22,FALSE),"")</f>
      </c>
      <c r="N85" s="57">
        <f>IFERROR(VLOOKUP($A:$A,CS!$A:$AK,19,FALSE),"")</f>
      </c>
      <c r="O85" s="57">
        <f>IFERROR(VLOOKUP($A:$A,CS!$A:$AK,23,FALSE),"")</f>
      </c>
      <c r="P85" s="57">
        <f>IFERROR(VLOOKUP($A:$A,CS!$A:$AK,24,FALSE),"")</f>
      </c>
      <c r="Q85" s="57">
        <f>IFERROR(VLOOKUP($A:$A,CS!$A:$AK,25,FALSE),"")</f>
      </c>
      <c r="R85" s="57">
        <f>IFERROR(VLOOKUP($A:$A,CS!$A:$AK,26,FALSE),"")</f>
      </c>
      <c r="S85" s="57">
        <f>IFERROR(VLOOKUP($A:$A,CS!$A:$AK,29,FALSE),"")</f>
      </c>
      <c r="T85" s="57">
        <f>IFERROR(VLOOKUP($A:$A,CS!$A:$AK,33,FALSE),"")</f>
      </c>
      <c r="U85" s="57">
        <f>IFERROR(VLOOKUP($A:$A,CS!$A:$AK,34,FALSE),"")</f>
      </c>
      <c r="V85" s="57">
        <f>IFERROR(VLOOKUP($A:$A,CS!$A:$AK,35,FALSE),"")</f>
      </c>
      <c r="W85" s="57">
        <f>IFERROR(VLOOKUP($A:$A,CS!$A:$AK,36,FALSE),"")</f>
      </c>
    </row>
    <row r="86" ht="16.5" customHeight="1" spans="1:23" x14ac:dyDescent="0.25">
      <c r="A86" s="71"/>
      <c r="B86" s="57">
        <f>IFERROR(VLOOKUP($A:$A,CS!$A:$AK,3,FALSE),"")</f>
      </c>
      <c r="C86" s="57">
        <f>IFERROR(VLOOKUP($A:$A,CS!$A:$AK,4,FALSE),"")</f>
      </c>
      <c r="D86" s="57">
        <f>IFERROR(VLOOKUP($A:$A,CS!$A:$AK,5,FALSE),"")</f>
      </c>
      <c r="E86" s="57">
        <f>IFERROR(VLOOKUP($A:$A,CS!$A:$AK,7,FALSE),"")</f>
      </c>
      <c r="F86" s="57">
        <f>IFERROR(VLOOKUP($A:$A,CS!$A:$AK,8,FALSE),"")</f>
      </c>
      <c r="G86" s="57">
        <f>IFERROR(VLOOKUP($A:$A,CS!$A:$AK,10,FALSE),"")</f>
      </c>
      <c r="H86" s="57">
        <f>IFERROR(VLOOKUP($A:$A,CS!$A:$AK,14,FALSE),"")</f>
      </c>
      <c r="I86" s="57">
        <f>IFERROR(VLOOKUP($A:$A,CS!$A:$AK,15,FALSE),"")</f>
      </c>
      <c r="J86" s="57">
        <f>IFERROR(VLOOKUP($A:$A,CS!$A:$AK,18,FALSE),"")</f>
      </c>
      <c r="K86" s="57">
        <f>IFERROR(VLOOKUP($A:$A,CS!$A:$AK,19,FALSE),"")</f>
      </c>
      <c r="L86" s="57">
        <f>IFERROR(VLOOKUP($A:$A,CS!$A:$AK,20,FALSE),"")</f>
      </c>
      <c r="M86" s="57">
        <f>IFERROR(VLOOKUP($A:$A,CS!$A:$AK,22,FALSE),"")</f>
      </c>
      <c r="N86" s="57">
        <f>IFERROR(VLOOKUP($A:$A,CS!$A:$AK,19,FALSE),"")</f>
      </c>
      <c r="O86" s="57">
        <f>IFERROR(VLOOKUP($A:$A,CS!$A:$AK,23,FALSE),"")</f>
      </c>
      <c r="P86" s="57">
        <f>IFERROR(VLOOKUP($A:$A,CS!$A:$AK,24,FALSE),"")</f>
      </c>
      <c r="Q86" s="57">
        <f>IFERROR(VLOOKUP($A:$A,CS!$A:$AK,25,FALSE),"")</f>
      </c>
      <c r="R86" s="57">
        <f>IFERROR(VLOOKUP($A:$A,CS!$A:$AK,26,FALSE),"")</f>
      </c>
      <c r="S86" s="57">
        <f>IFERROR(VLOOKUP($A:$A,CS!$A:$AK,29,FALSE),"")</f>
      </c>
      <c r="T86" s="57">
        <f>IFERROR(VLOOKUP($A:$A,CS!$A:$AK,33,FALSE),"")</f>
      </c>
      <c r="U86" s="57">
        <f>IFERROR(VLOOKUP($A:$A,CS!$A:$AK,34,FALSE),"")</f>
      </c>
      <c r="V86" s="57">
        <f>IFERROR(VLOOKUP($A:$A,CS!$A:$AK,35,FALSE),"")</f>
      </c>
      <c r="W86" s="57">
        <f>IFERROR(VLOOKUP($A:$A,CS!$A:$AK,36,FALSE),"")</f>
      </c>
    </row>
    <row r="87" ht="16.5" customHeight="1" spans="1:23" x14ac:dyDescent="0.25">
      <c r="A87" s="71"/>
      <c r="B87" s="57">
        <f>IFERROR(VLOOKUP($A:$A,CS!$A:$AK,3,FALSE),"")</f>
      </c>
      <c r="C87" s="57">
        <f>IFERROR(VLOOKUP($A:$A,CS!$A:$AK,4,FALSE),"")</f>
      </c>
      <c r="D87" s="57">
        <f>IFERROR(VLOOKUP($A:$A,CS!$A:$AK,5,FALSE),"")</f>
      </c>
      <c r="E87" s="57">
        <f>IFERROR(VLOOKUP($A:$A,CS!$A:$AK,7,FALSE),"")</f>
      </c>
      <c r="F87" s="57">
        <f>IFERROR(VLOOKUP($A:$A,CS!$A:$AK,8,FALSE),"")</f>
      </c>
      <c r="G87" s="57">
        <f>IFERROR(VLOOKUP($A:$A,CS!$A:$AK,10,FALSE),"")</f>
      </c>
      <c r="H87" s="57">
        <f>IFERROR(VLOOKUP($A:$A,CS!$A:$AK,14,FALSE),"")</f>
      </c>
      <c r="I87" s="57">
        <f>IFERROR(VLOOKUP($A:$A,CS!$A:$AK,15,FALSE),"")</f>
      </c>
      <c r="J87" s="57">
        <f>IFERROR(VLOOKUP($A:$A,CS!$A:$AK,18,FALSE),"")</f>
      </c>
      <c r="K87" s="57">
        <f>IFERROR(VLOOKUP($A:$A,CS!$A:$AK,19,FALSE),"")</f>
      </c>
      <c r="L87" s="57">
        <f>IFERROR(VLOOKUP($A:$A,CS!$A:$AK,20,FALSE),"")</f>
      </c>
      <c r="M87" s="57">
        <f>IFERROR(VLOOKUP($A:$A,CS!$A:$AK,22,FALSE),"")</f>
      </c>
      <c r="N87" s="57">
        <f>IFERROR(VLOOKUP($A:$A,CS!$A:$AK,19,FALSE),"")</f>
      </c>
      <c r="O87" s="57">
        <f>IFERROR(VLOOKUP($A:$A,CS!$A:$AK,23,FALSE),"")</f>
      </c>
      <c r="P87" s="57">
        <f>IFERROR(VLOOKUP($A:$A,CS!$A:$AK,24,FALSE),"")</f>
      </c>
      <c r="Q87" s="57">
        <f>IFERROR(VLOOKUP($A:$A,CS!$A:$AK,25,FALSE),"")</f>
      </c>
      <c r="R87" s="57">
        <f>IFERROR(VLOOKUP($A:$A,CS!$A:$AK,26,FALSE),"")</f>
      </c>
      <c r="S87" s="57">
        <f>IFERROR(VLOOKUP($A:$A,CS!$A:$AK,29,FALSE),"")</f>
      </c>
      <c r="T87" s="57">
        <f>IFERROR(VLOOKUP($A:$A,CS!$A:$AK,33,FALSE),"")</f>
      </c>
      <c r="U87" s="57">
        <f>IFERROR(VLOOKUP($A:$A,CS!$A:$AK,34,FALSE),"")</f>
      </c>
      <c r="V87" s="57">
        <f>IFERROR(VLOOKUP($A:$A,CS!$A:$AK,35,FALSE),"")</f>
      </c>
      <c r="W87" s="57">
        <f>IFERROR(VLOOKUP($A:$A,CS!$A:$AK,36,FALSE),"")</f>
      </c>
    </row>
    <row r="88" ht="16.5" customHeight="1" spans="1:23" x14ac:dyDescent="0.25">
      <c r="A88" s="71"/>
      <c r="B88" s="57">
        <f>IFERROR(VLOOKUP($A:$A,CS!$A:$AK,3,FALSE),"")</f>
      </c>
      <c r="C88" s="57">
        <f>IFERROR(VLOOKUP($A:$A,CS!$A:$AK,4,FALSE),"")</f>
      </c>
      <c r="D88" s="57">
        <f>IFERROR(VLOOKUP($A:$A,CS!$A:$AK,5,FALSE),"")</f>
      </c>
      <c r="E88" s="57">
        <f>IFERROR(VLOOKUP($A:$A,CS!$A:$AK,7,FALSE),"")</f>
      </c>
      <c r="F88" s="57">
        <f>IFERROR(VLOOKUP($A:$A,CS!$A:$AK,8,FALSE),"")</f>
      </c>
      <c r="G88" s="57">
        <f>IFERROR(VLOOKUP($A:$A,CS!$A:$AK,10,FALSE),"")</f>
      </c>
      <c r="H88" s="57">
        <f>IFERROR(VLOOKUP($A:$A,CS!$A:$AK,14,FALSE),"")</f>
      </c>
      <c r="I88" s="57">
        <f>IFERROR(VLOOKUP($A:$A,CS!$A:$AK,15,FALSE),"")</f>
      </c>
      <c r="J88" s="57">
        <f>IFERROR(VLOOKUP($A:$A,CS!$A:$AK,18,FALSE),"")</f>
      </c>
      <c r="K88" s="57">
        <f>IFERROR(VLOOKUP($A:$A,CS!$A:$AK,19,FALSE),"")</f>
      </c>
      <c r="L88" s="57">
        <f>IFERROR(VLOOKUP($A:$A,CS!$A:$AK,20,FALSE),"")</f>
      </c>
      <c r="M88" s="57">
        <f>IFERROR(VLOOKUP($A:$A,CS!$A:$AK,22,FALSE),"")</f>
      </c>
      <c r="N88" s="57">
        <f>IFERROR(VLOOKUP($A:$A,CS!$A:$AK,19,FALSE),"")</f>
      </c>
      <c r="O88" s="57">
        <f>IFERROR(VLOOKUP($A:$A,CS!$A:$AK,23,FALSE),"")</f>
      </c>
      <c r="P88" s="57">
        <f>IFERROR(VLOOKUP($A:$A,CS!$A:$AK,24,FALSE),"")</f>
      </c>
      <c r="Q88" s="57">
        <f>IFERROR(VLOOKUP($A:$A,CS!$A:$AK,25,FALSE),"")</f>
      </c>
      <c r="R88" s="57">
        <f>IFERROR(VLOOKUP($A:$A,CS!$A:$AK,26,FALSE),"")</f>
      </c>
      <c r="S88" s="57">
        <f>IFERROR(VLOOKUP($A:$A,CS!$A:$AK,29,FALSE),"")</f>
      </c>
      <c r="T88" s="57">
        <f>IFERROR(VLOOKUP($A:$A,CS!$A:$AK,33,FALSE),"")</f>
      </c>
      <c r="U88" s="57">
        <f>IFERROR(VLOOKUP($A:$A,CS!$A:$AK,34,FALSE),"")</f>
      </c>
      <c r="V88" s="57">
        <f>IFERROR(VLOOKUP($A:$A,CS!$A:$AK,35,FALSE),"")</f>
      </c>
      <c r="W88" s="57">
        <f>IFERROR(VLOOKUP($A:$A,CS!$A:$AK,36,FALSE),"")</f>
      </c>
    </row>
    <row r="89" ht="16.5" customHeight="1" spans="1:23" x14ac:dyDescent="0.25">
      <c r="A89" s="71"/>
      <c r="B89" s="57">
        <f>IFERROR(VLOOKUP($A:$A,CS!$A:$AK,3,FALSE),"")</f>
      </c>
      <c r="C89" s="57">
        <f>IFERROR(VLOOKUP($A:$A,CS!$A:$AK,4,FALSE),"")</f>
      </c>
      <c r="D89" s="57">
        <f>IFERROR(VLOOKUP($A:$A,CS!$A:$AK,5,FALSE),"")</f>
      </c>
      <c r="E89" s="57">
        <f>IFERROR(VLOOKUP($A:$A,CS!$A:$AK,7,FALSE),"")</f>
      </c>
      <c r="F89" s="57">
        <f>IFERROR(VLOOKUP($A:$A,CS!$A:$AK,8,FALSE),"")</f>
      </c>
      <c r="G89" s="57">
        <f>IFERROR(VLOOKUP($A:$A,CS!$A:$AK,10,FALSE),"")</f>
      </c>
      <c r="H89" s="57">
        <f>IFERROR(VLOOKUP($A:$A,CS!$A:$AK,14,FALSE),"")</f>
      </c>
      <c r="I89" s="57">
        <f>IFERROR(VLOOKUP($A:$A,CS!$A:$AK,15,FALSE),"")</f>
      </c>
      <c r="J89" s="57">
        <f>IFERROR(VLOOKUP($A:$A,CS!$A:$AK,18,FALSE),"")</f>
      </c>
      <c r="K89" s="57">
        <f>IFERROR(VLOOKUP($A:$A,CS!$A:$AK,19,FALSE),"")</f>
      </c>
      <c r="L89" s="57">
        <f>IFERROR(VLOOKUP($A:$A,CS!$A:$AK,20,FALSE),"")</f>
      </c>
      <c r="M89" s="57">
        <f>IFERROR(VLOOKUP($A:$A,CS!$A:$AK,22,FALSE),"")</f>
      </c>
      <c r="N89" s="57">
        <f>IFERROR(VLOOKUP($A:$A,CS!$A:$AK,19,FALSE),"")</f>
      </c>
      <c r="O89" s="57">
        <f>IFERROR(VLOOKUP($A:$A,CS!$A:$AK,23,FALSE),"")</f>
      </c>
      <c r="P89" s="57">
        <f>IFERROR(VLOOKUP($A:$A,CS!$A:$AK,24,FALSE),"")</f>
      </c>
      <c r="Q89" s="57">
        <f>IFERROR(VLOOKUP($A:$A,CS!$A:$AK,25,FALSE),"")</f>
      </c>
      <c r="R89" s="57">
        <f>IFERROR(VLOOKUP($A:$A,CS!$A:$AK,26,FALSE),"")</f>
      </c>
      <c r="S89" s="57">
        <f>IFERROR(VLOOKUP($A:$A,CS!$A:$AK,29,FALSE),"")</f>
      </c>
      <c r="T89" s="57">
        <f>IFERROR(VLOOKUP($A:$A,CS!$A:$AK,33,FALSE),"")</f>
      </c>
      <c r="U89" s="57">
        <f>IFERROR(VLOOKUP($A:$A,CS!$A:$AK,34,FALSE),"")</f>
      </c>
      <c r="V89" s="57">
        <f>IFERROR(VLOOKUP($A:$A,CS!$A:$AK,35,FALSE),"")</f>
      </c>
      <c r="W89" s="57">
        <f>IFERROR(VLOOKUP($A:$A,CS!$A:$AK,36,FALSE),"")</f>
      </c>
    </row>
    <row r="90" ht="16.5" customHeight="1" spans="1:23" x14ac:dyDescent="0.25">
      <c r="A90" s="71"/>
      <c r="B90" s="57">
        <f>IFERROR(VLOOKUP($A:$A,CS!$A:$AK,3,FALSE),"")</f>
      </c>
      <c r="C90" s="57">
        <f>IFERROR(VLOOKUP($A:$A,CS!$A:$AK,4,FALSE),"")</f>
      </c>
      <c r="D90" s="57">
        <f>IFERROR(VLOOKUP($A:$A,CS!$A:$AK,5,FALSE),"")</f>
      </c>
      <c r="E90" s="57">
        <f>IFERROR(VLOOKUP($A:$A,CS!$A:$AK,7,FALSE),"")</f>
      </c>
      <c r="F90" s="57">
        <f>IFERROR(VLOOKUP($A:$A,CS!$A:$AK,8,FALSE),"")</f>
      </c>
      <c r="G90" s="57">
        <f>IFERROR(VLOOKUP($A:$A,CS!$A:$AK,10,FALSE),"")</f>
      </c>
      <c r="H90" s="57">
        <f>IFERROR(VLOOKUP($A:$A,CS!$A:$AK,14,FALSE),"")</f>
      </c>
      <c r="I90" s="57">
        <f>IFERROR(VLOOKUP($A:$A,CS!$A:$AK,15,FALSE),"")</f>
      </c>
      <c r="J90" s="57">
        <f>IFERROR(VLOOKUP($A:$A,CS!$A:$AK,18,FALSE),"")</f>
      </c>
      <c r="K90" s="57">
        <f>IFERROR(VLOOKUP($A:$A,CS!$A:$AK,19,FALSE),"")</f>
      </c>
      <c r="L90" s="57">
        <f>IFERROR(VLOOKUP($A:$A,CS!$A:$AK,20,FALSE),"")</f>
      </c>
      <c r="M90" s="57">
        <f>IFERROR(VLOOKUP($A:$A,CS!$A:$AK,22,FALSE),"")</f>
      </c>
      <c r="N90" s="57">
        <f>IFERROR(VLOOKUP($A:$A,CS!$A:$AK,19,FALSE),"")</f>
      </c>
      <c r="O90" s="57">
        <f>IFERROR(VLOOKUP($A:$A,CS!$A:$AK,23,FALSE),"")</f>
      </c>
      <c r="P90" s="57">
        <f>IFERROR(VLOOKUP($A:$A,CS!$A:$AK,24,FALSE),"")</f>
      </c>
      <c r="Q90" s="57">
        <f>IFERROR(VLOOKUP($A:$A,CS!$A:$AK,25,FALSE),"")</f>
      </c>
      <c r="R90" s="57">
        <f>IFERROR(VLOOKUP($A:$A,CS!$A:$AK,26,FALSE),"")</f>
      </c>
      <c r="S90" s="57">
        <f>IFERROR(VLOOKUP($A:$A,CS!$A:$AK,29,FALSE),"")</f>
      </c>
      <c r="T90" s="57">
        <f>IFERROR(VLOOKUP($A:$A,CS!$A:$AK,33,FALSE),"")</f>
      </c>
      <c r="U90" s="57">
        <f>IFERROR(VLOOKUP($A:$A,CS!$A:$AK,34,FALSE),"")</f>
      </c>
      <c r="V90" s="57">
        <f>IFERROR(VLOOKUP($A:$A,CS!$A:$AK,35,FALSE),"")</f>
      </c>
      <c r="W90" s="57">
        <f>IFERROR(VLOOKUP($A:$A,CS!$A:$AK,36,FALSE),"")</f>
      </c>
    </row>
    <row r="91" ht="16.5" customHeight="1" spans="1:23" x14ac:dyDescent="0.25">
      <c r="A91" s="71"/>
      <c r="B91" s="57">
        <f>IFERROR(VLOOKUP($A:$A,CS!$A:$AK,3,FALSE),"")</f>
      </c>
      <c r="C91" s="57">
        <f>IFERROR(VLOOKUP($A:$A,CS!$A:$AK,4,FALSE),"")</f>
      </c>
      <c r="D91" s="57">
        <f>IFERROR(VLOOKUP($A:$A,CS!$A:$AK,5,FALSE),"")</f>
      </c>
      <c r="E91" s="57">
        <f>IFERROR(VLOOKUP($A:$A,CS!$A:$AK,7,FALSE),"")</f>
      </c>
      <c r="F91" s="57">
        <f>IFERROR(VLOOKUP($A:$A,CS!$A:$AK,8,FALSE),"")</f>
      </c>
      <c r="G91" s="57">
        <f>IFERROR(VLOOKUP($A:$A,CS!$A:$AK,10,FALSE),"")</f>
      </c>
      <c r="H91" s="57">
        <f>IFERROR(VLOOKUP($A:$A,CS!$A:$AK,14,FALSE),"")</f>
      </c>
      <c r="I91" s="57">
        <f>IFERROR(VLOOKUP($A:$A,CS!$A:$AK,15,FALSE),"")</f>
      </c>
      <c r="J91" s="57">
        <f>IFERROR(VLOOKUP($A:$A,CS!$A:$AK,18,FALSE),"")</f>
      </c>
      <c r="K91" s="57">
        <f>IFERROR(VLOOKUP($A:$A,CS!$A:$AK,19,FALSE),"")</f>
      </c>
      <c r="L91" s="57">
        <f>IFERROR(VLOOKUP($A:$A,CS!$A:$AK,20,FALSE),"")</f>
      </c>
      <c r="M91" s="57">
        <f>IFERROR(VLOOKUP($A:$A,CS!$A:$AK,22,FALSE),"")</f>
      </c>
      <c r="N91" s="57">
        <f>IFERROR(VLOOKUP($A:$A,CS!$A:$AK,19,FALSE),"")</f>
      </c>
      <c r="O91" s="57">
        <f>IFERROR(VLOOKUP($A:$A,CS!$A:$AK,23,FALSE),"")</f>
      </c>
      <c r="P91" s="57">
        <f>IFERROR(VLOOKUP($A:$A,CS!$A:$AK,24,FALSE),"")</f>
      </c>
      <c r="Q91" s="57">
        <f>IFERROR(VLOOKUP($A:$A,CS!$A:$AK,25,FALSE),"")</f>
      </c>
      <c r="R91" s="57">
        <f>IFERROR(VLOOKUP($A:$A,CS!$A:$AK,26,FALSE),"")</f>
      </c>
      <c r="S91" s="57">
        <f>IFERROR(VLOOKUP($A:$A,CS!$A:$AK,29,FALSE),"")</f>
      </c>
      <c r="T91" s="57">
        <f>IFERROR(VLOOKUP($A:$A,CS!$A:$AK,33,FALSE),"")</f>
      </c>
      <c r="U91" s="57">
        <f>IFERROR(VLOOKUP($A:$A,CS!$A:$AK,34,FALSE),"")</f>
      </c>
      <c r="V91" s="57">
        <f>IFERROR(VLOOKUP($A:$A,CS!$A:$AK,35,FALSE),"")</f>
      </c>
      <c r="W91" s="57">
        <f>IFERROR(VLOOKUP($A:$A,CS!$A:$AK,36,FALSE),"")</f>
      </c>
    </row>
    <row r="92" ht="16.5" customHeight="1" spans="1:23" x14ac:dyDescent="0.25">
      <c r="A92" s="71"/>
      <c r="B92" s="57">
        <f>IFERROR(VLOOKUP($A:$A,CS!$A:$AK,3,FALSE),"")</f>
      </c>
      <c r="C92" s="57">
        <f>IFERROR(VLOOKUP($A:$A,CS!$A:$AK,4,FALSE),"")</f>
      </c>
      <c r="D92" s="57">
        <f>IFERROR(VLOOKUP($A:$A,CS!$A:$AK,5,FALSE),"")</f>
      </c>
      <c r="E92" s="57">
        <f>IFERROR(VLOOKUP($A:$A,CS!$A:$AK,7,FALSE),"")</f>
      </c>
      <c r="F92" s="57">
        <f>IFERROR(VLOOKUP($A:$A,CS!$A:$AK,8,FALSE),"")</f>
      </c>
      <c r="G92" s="57">
        <f>IFERROR(VLOOKUP($A:$A,CS!$A:$AK,10,FALSE),"")</f>
      </c>
      <c r="H92" s="57">
        <f>IFERROR(VLOOKUP($A:$A,CS!$A:$AK,14,FALSE),"")</f>
      </c>
      <c r="I92" s="57">
        <f>IFERROR(VLOOKUP($A:$A,CS!$A:$AK,15,FALSE),"")</f>
      </c>
      <c r="J92" s="57">
        <f>IFERROR(VLOOKUP($A:$A,CS!$A:$AK,18,FALSE),"")</f>
      </c>
      <c r="K92" s="57">
        <f>IFERROR(VLOOKUP($A:$A,CS!$A:$AK,19,FALSE),"")</f>
      </c>
      <c r="L92" s="57">
        <f>IFERROR(VLOOKUP($A:$A,CS!$A:$AK,20,FALSE),"")</f>
      </c>
      <c r="M92" s="57">
        <f>IFERROR(VLOOKUP($A:$A,CS!$A:$AK,22,FALSE),"")</f>
      </c>
      <c r="N92" s="57">
        <f>IFERROR(VLOOKUP($A:$A,CS!$A:$AK,19,FALSE),"")</f>
      </c>
      <c r="O92" s="57">
        <f>IFERROR(VLOOKUP($A:$A,CS!$A:$AK,23,FALSE),"")</f>
      </c>
      <c r="P92" s="57">
        <f>IFERROR(VLOOKUP($A:$A,CS!$A:$AK,24,FALSE),"")</f>
      </c>
      <c r="Q92" s="57">
        <f>IFERROR(VLOOKUP($A:$A,CS!$A:$AK,25,FALSE),"")</f>
      </c>
      <c r="R92" s="57">
        <f>IFERROR(VLOOKUP($A:$A,CS!$A:$AK,26,FALSE),"")</f>
      </c>
      <c r="S92" s="57">
        <f>IFERROR(VLOOKUP($A:$A,CS!$A:$AK,29,FALSE),"")</f>
      </c>
      <c r="T92" s="57">
        <f>IFERROR(VLOOKUP($A:$A,CS!$A:$AK,33,FALSE),"")</f>
      </c>
      <c r="U92" s="57">
        <f>IFERROR(VLOOKUP($A:$A,CS!$A:$AK,34,FALSE),"")</f>
      </c>
      <c r="V92" s="57">
        <f>IFERROR(VLOOKUP($A:$A,CS!$A:$AK,35,FALSE),"")</f>
      </c>
      <c r="W92" s="57">
        <f>IFERROR(VLOOKUP($A:$A,CS!$A:$AK,36,FALSE),"")</f>
      </c>
    </row>
    <row r="93" ht="16.5" customHeight="1" spans="1:23" x14ac:dyDescent="0.25">
      <c r="A93" s="71"/>
      <c r="B93" s="57">
        <f>IFERROR(VLOOKUP($A:$A,CS!$A:$AK,3,FALSE),"")</f>
      </c>
      <c r="C93" s="57">
        <f>IFERROR(VLOOKUP($A:$A,CS!$A:$AK,4,FALSE),"")</f>
      </c>
      <c r="D93" s="57">
        <f>IFERROR(VLOOKUP($A:$A,CS!$A:$AK,5,FALSE),"")</f>
      </c>
      <c r="E93" s="57">
        <f>IFERROR(VLOOKUP($A:$A,CS!$A:$AK,7,FALSE),"")</f>
      </c>
      <c r="F93" s="57">
        <f>IFERROR(VLOOKUP($A:$A,CS!$A:$AK,8,FALSE),"")</f>
      </c>
      <c r="G93" s="57">
        <f>IFERROR(VLOOKUP($A:$A,CS!$A:$AK,10,FALSE),"")</f>
      </c>
      <c r="H93" s="57">
        <f>IFERROR(VLOOKUP($A:$A,CS!$A:$AK,14,FALSE),"")</f>
      </c>
      <c r="I93" s="57">
        <f>IFERROR(VLOOKUP($A:$A,CS!$A:$AK,15,FALSE),"")</f>
      </c>
      <c r="J93" s="57">
        <f>IFERROR(VLOOKUP($A:$A,CS!$A:$AK,18,FALSE),"")</f>
      </c>
      <c r="K93" s="57">
        <f>IFERROR(VLOOKUP($A:$A,CS!$A:$AK,19,FALSE),"")</f>
      </c>
      <c r="L93" s="57">
        <f>IFERROR(VLOOKUP($A:$A,CS!$A:$AK,20,FALSE),"")</f>
      </c>
      <c r="M93" s="57">
        <f>IFERROR(VLOOKUP($A:$A,CS!$A:$AK,22,FALSE),"")</f>
      </c>
      <c r="N93" s="57">
        <f>IFERROR(VLOOKUP($A:$A,CS!$A:$AK,19,FALSE),"")</f>
      </c>
      <c r="O93" s="57">
        <f>IFERROR(VLOOKUP($A:$A,CS!$A:$AK,23,FALSE),"")</f>
      </c>
      <c r="P93" s="57">
        <f>IFERROR(VLOOKUP($A:$A,CS!$A:$AK,24,FALSE),"")</f>
      </c>
      <c r="Q93" s="57">
        <f>IFERROR(VLOOKUP($A:$A,CS!$A:$AK,25,FALSE),"")</f>
      </c>
      <c r="R93" s="57">
        <f>IFERROR(VLOOKUP($A:$A,CS!$A:$AK,26,FALSE),"")</f>
      </c>
      <c r="S93" s="57">
        <f>IFERROR(VLOOKUP($A:$A,CS!$A:$AK,29,FALSE),"")</f>
      </c>
      <c r="T93" s="57">
        <f>IFERROR(VLOOKUP($A:$A,CS!$A:$AK,33,FALSE),"")</f>
      </c>
      <c r="U93" s="57">
        <f>IFERROR(VLOOKUP($A:$A,CS!$A:$AK,34,FALSE),"")</f>
      </c>
      <c r="V93" s="57">
        <f>IFERROR(VLOOKUP($A:$A,CS!$A:$AK,35,FALSE),"")</f>
      </c>
      <c r="W93" s="57">
        <f>IFERROR(VLOOKUP($A:$A,CS!$A:$AK,36,FALSE),"")</f>
      </c>
    </row>
    <row r="94" ht="16.5" customHeight="1" spans="1:23" x14ac:dyDescent="0.25">
      <c r="A94" s="71"/>
      <c r="B94" s="57">
        <f>IFERROR(VLOOKUP($A:$A,CS!$A:$AK,3,FALSE),"")</f>
      </c>
      <c r="C94" s="57">
        <f>IFERROR(VLOOKUP($A:$A,CS!$A:$AK,4,FALSE),"")</f>
      </c>
      <c r="D94" s="57">
        <f>IFERROR(VLOOKUP($A:$A,CS!$A:$AK,5,FALSE),"")</f>
      </c>
      <c r="E94" s="57">
        <f>IFERROR(VLOOKUP($A:$A,CS!$A:$AK,7,FALSE),"")</f>
      </c>
      <c r="F94" s="57">
        <f>IFERROR(VLOOKUP($A:$A,CS!$A:$AK,8,FALSE),"")</f>
      </c>
      <c r="G94" s="57">
        <f>IFERROR(VLOOKUP($A:$A,CS!$A:$AK,10,FALSE),"")</f>
      </c>
      <c r="H94" s="57">
        <f>IFERROR(VLOOKUP($A:$A,CS!$A:$AK,14,FALSE),"")</f>
      </c>
      <c r="I94" s="57">
        <f>IFERROR(VLOOKUP($A:$A,CS!$A:$AK,15,FALSE),"")</f>
      </c>
      <c r="J94" s="57">
        <f>IFERROR(VLOOKUP($A:$A,CS!$A:$AK,18,FALSE),"")</f>
      </c>
      <c r="K94" s="57">
        <f>IFERROR(VLOOKUP($A:$A,CS!$A:$AK,19,FALSE),"")</f>
      </c>
      <c r="L94" s="57">
        <f>IFERROR(VLOOKUP($A:$A,CS!$A:$AK,20,FALSE),"")</f>
      </c>
      <c r="M94" s="57">
        <f>IFERROR(VLOOKUP($A:$A,CS!$A:$AK,22,FALSE),"")</f>
      </c>
      <c r="N94" s="57">
        <f>IFERROR(VLOOKUP($A:$A,CS!$A:$AK,19,FALSE),"")</f>
      </c>
      <c r="O94" s="57">
        <f>IFERROR(VLOOKUP($A:$A,CS!$A:$AK,23,FALSE),"")</f>
      </c>
      <c r="P94" s="57">
        <f>IFERROR(VLOOKUP($A:$A,CS!$A:$AK,24,FALSE),"")</f>
      </c>
      <c r="Q94" s="57">
        <f>IFERROR(VLOOKUP($A:$A,CS!$A:$AK,25,FALSE),"")</f>
      </c>
      <c r="R94" s="57">
        <f>IFERROR(VLOOKUP($A:$A,CS!$A:$AK,26,FALSE),"")</f>
      </c>
      <c r="S94" s="57">
        <f>IFERROR(VLOOKUP($A:$A,CS!$A:$AK,29,FALSE),"")</f>
      </c>
      <c r="T94" s="57">
        <f>IFERROR(VLOOKUP($A:$A,CS!$A:$AK,33,FALSE),"")</f>
      </c>
      <c r="U94" s="57">
        <f>IFERROR(VLOOKUP($A:$A,CS!$A:$AK,34,FALSE),"")</f>
      </c>
      <c r="V94" s="57">
        <f>IFERROR(VLOOKUP($A:$A,CS!$A:$AK,35,FALSE),"")</f>
      </c>
      <c r="W94" s="57">
        <f>IFERROR(VLOOKUP($A:$A,CS!$A:$AK,36,FALSE),"")</f>
      </c>
    </row>
    <row r="95" ht="16.5" customHeight="1" spans="1:23" x14ac:dyDescent="0.25">
      <c r="A95" s="71"/>
      <c r="B95" s="57">
        <f>IFERROR(VLOOKUP($A:$A,CS!$A:$AK,3,FALSE),"")</f>
      </c>
      <c r="C95" s="57">
        <f>IFERROR(VLOOKUP($A:$A,CS!$A:$AK,4,FALSE),"")</f>
      </c>
      <c r="D95" s="57">
        <f>IFERROR(VLOOKUP($A:$A,CS!$A:$AK,5,FALSE),"")</f>
      </c>
      <c r="E95" s="57">
        <f>IFERROR(VLOOKUP($A:$A,CS!$A:$AK,7,FALSE),"")</f>
      </c>
      <c r="F95" s="57">
        <f>IFERROR(VLOOKUP($A:$A,CS!$A:$AK,8,FALSE),"")</f>
      </c>
      <c r="G95" s="57">
        <f>IFERROR(VLOOKUP($A:$A,CS!$A:$AK,10,FALSE),"")</f>
      </c>
      <c r="H95" s="57">
        <f>IFERROR(VLOOKUP($A:$A,CS!$A:$AK,14,FALSE),"")</f>
      </c>
      <c r="I95" s="57">
        <f>IFERROR(VLOOKUP($A:$A,CS!$A:$AK,15,FALSE),"")</f>
      </c>
      <c r="J95" s="57">
        <f>IFERROR(VLOOKUP($A:$A,CS!$A:$AK,18,FALSE),"")</f>
      </c>
      <c r="K95" s="57">
        <f>IFERROR(VLOOKUP($A:$A,CS!$A:$AK,19,FALSE),"")</f>
      </c>
      <c r="L95" s="57">
        <f>IFERROR(VLOOKUP($A:$A,CS!$A:$AK,20,FALSE),"")</f>
      </c>
      <c r="M95" s="57">
        <f>IFERROR(VLOOKUP($A:$A,CS!$A:$AK,22,FALSE),"")</f>
      </c>
      <c r="N95" s="57">
        <f>IFERROR(VLOOKUP($A:$A,CS!$A:$AK,19,FALSE),"")</f>
      </c>
      <c r="O95" s="57">
        <f>IFERROR(VLOOKUP($A:$A,CS!$A:$AK,23,FALSE),"")</f>
      </c>
      <c r="P95" s="57">
        <f>IFERROR(VLOOKUP($A:$A,CS!$A:$AK,24,FALSE),"")</f>
      </c>
      <c r="Q95" s="57">
        <f>IFERROR(VLOOKUP($A:$A,CS!$A:$AK,25,FALSE),"")</f>
      </c>
      <c r="R95" s="57">
        <f>IFERROR(VLOOKUP($A:$A,CS!$A:$AK,26,FALSE),"")</f>
      </c>
      <c r="S95" s="57">
        <f>IFERROR(VLOOKUP($A:$A,CS!$A:$AK,29,FALSE),"")</f>
      </c>
      <c r="T95" s="57">
        <f>IFERROR(VLOOKUP($A:$A,CS!$A:$AK,33,FALSE),"")</f>
      </c>
      <c r="U95" s="57">
        <f>IFERROR(VLOOKUP($A:$A,CS!$A:$AK,34,FALSE),"")</f>
      </c>
      <c r="V95" s="57">
        <f>IFERROR(VLOOKUP($A:$A,CS!$A:$AK,35,FALSE),"")</f>
      </c>
      <c r="W95" s="57">
        <f>IFERROR(VLOOKUP($A:$A,CS!$A:$AK,36,FALSE),"")</f>
      </c>
    </row>
    <row r="96" ht="16.5" customHeight="1" spans="1:23" x14ac:dyDescent="0.25">
      <c r="A96" s="71"/>
      <c r="B96" s="57">
        <f>IFERROR(VLOOKUP($A:$A,CS!$A:$AK,3,FALSE),"")</f>
      </c>
      <c r="C96" s="57">
        <f>IFERROR(VLOOKUP($A:$A,CS!$A:$AK,4,FALSE),"")</f>
      </c>
      <c r="D96" s="57">
        <f>IFERROR(VLOOKUP($A:$A,CS!$A:$AK,5,FALSE),"")</f>
      </c>
      <c r="E96" s="57">
        <f>IFERROR(VLOOKUP($A:$A,CS!$A:$AK,7,FALSE),"")</f>
      </c>
      <c r="F96" s="57">
        <f>IFERROR(VLOOKUP($A:$A,CS!$A:$AK,8,FALSE),"")</f>
      </c>
      <c r="G96" s="57">
        <f>IFERROR(VLOOKUP($A:$A,CS!$A:$AK,10,FALSE),"")</f>
      </c>
      <c r="H96" s="57">
        <f>IFERROR(VLOOKUP($A:$A,CS!$A:$AK,14,FALSE),"")</f>
      </c>
      <c r="I96" s="57">
        <f>IFERROR(VLOOKUP($A:$A,CS!$A:$AK,15,FALSE),"")</f>
      </c>
      <c r="J96" s="57">
        <f>IFERROR(VLOOKUP($A:$A,CS!$A:$AK,18,FALSE),"")</f>
      </c>
      <c r="K96" s="57">
        <f>IFERROR(VLOOKUP($A:$A,CS!$A:$AK,19,FALSE),"")</f>
      </c>
      <c r="L96" s="57">
        <f>IFERROR(VLOOKUP($A:$A,CS!$A:$AK,20,FALSE),"")</f>
      </c>
      <c r="M96" s="57">
        <f>IFERROR(VLOOKUP($A:$A,CS!$A:$AK,22,FALSE),"")</f>
      </c>
      <c r="N96" s="57">
        <f>IFERROR(VLOOKUP($A:$A,CS!$A:$AK,19,FALSE),"")</f>
      </c>
      <c r="O96" s="57">
        <f>IFERROR(VLOOKUP($A:$A,CS!$A:$AK,23,FALSE),"")</f>
      </c>
      <c r="P96" s="57">
        <f>IFERROR(VLOOKUP($A:$A,CS!$A:$AK,24,FALSE),"")</f>
      </c>
      <c r="Q96" s="57">
        <f>IFERROR(VLOOKUP($A:$A,CS!$A:$AK,25,FALSE),"")</f>
      </c>
      <c r="R96" s="57">
        <f>IFERROR(VLOOKUP($A:$A,CS!$A:$AK,26,FALSE),"")</f>
      </c>
      <c r="S96" s="57">
        <f>IFERROR(VLOOKUP($A:$A,CS!$A:$AK,29,FALSE),"")</f>
      </c>
      <c r="T96" s="57">
        <f>IFERROR(VLOOKUP($A:$A,CS!$A:$AK,33,FALSE),"")</f>
      </c>
      <c r="U96" s="57">
        <f>IFERROR(VLOOKUP($A:$A,CS!$A:$AK,34,FALSE),"")</f>
      </c>
      <c r="V96" s="57">
        <f>IFERROR(VLOOKUP($A:$A,CS!$A:$AK,35,FALSE),"")</f>
      </c>
      <c r="W96" s="57">
        <f>IFERROR(VLOOKUP($A:$A,CS!$A:$AK,36,FALSE),"")</f>
      </c>
    </row>
    <row r="97" ht="16.5" customHeight="1" spans="1:23" x14ac:dyDescent="0.25">
      <c r="A97" s="71"/>
      <c r="B97" s="57">
        <f>IFERROR(VLOOKUP($A:$A,CS!$A:$AK,3,FALSE),"")</f>
      </c>
      <c r="C97" s="57">
        <f>IFERROR(VLOOKUP($A:$A,CS!$A:$AK,4,FALSE),"")</f>
      </c>
      <c r="D97" s="57">
        <f>IFERROR(VLOOKUP($A:$A,CS!$A:$AK,5,FALSE),"")</f>
      </c>
      <c r="E97" s="57">
        <f>IFERROR(VLOOKUP($A:$A,CS!$A:$AK,7,FALSE),"")</f>
      </c>
      <c r="F97" s="57">
        <f>IFERROR(VLOOKUP($A:$A,CS!$A:$AK,8,FALSE),"")</f>
      </c>
      <c r="G97" s="57">
        <f>IFERROR(VLOOKUP($A:$A,CS!$A:$AK,10,FALSE),"")</f>
      </c>
      <c r="H97" s="57">
        <f>IFERROR(VLOOKUP($A:$A,CS!$A:$AK,14,FALSE),"")</f>
      </c>
      <c r="I97" s="57">
        <f>IFERROR(VLOOKUP($A:$A,CS!$A:$AK,15,FALSE),"")</f>
      </c>
      <c r="J97" s="57">
        <f>IFERROR(VLOOKUP($A:$A,CS!$A:$AK,18,FALSE),"")</f>
      </c>
      <c r="K97" s="57">
        <f>IFERROR(VLOOKUP($A:$A,CS!$A:$AK,19,FALSE),"")</f>
      </c>
      <c r="L97" s="57">
        <f>IFERROR(VLOOKUP($A:$A,CS!$A:$AK,20,FALSE),"")</f>
      </c>
      <c r="M97" s="57">
        <f>IFERROR(VLOOKUP($A:$A,CS!$A:$AK,22,FALSE),"")</f>
      </c>
      <c r="N97" s="57">
        <f>IFERROR(VLOOKUP($A:$A,CS!$A:$AK,19,FALSE),"")</f>
      </c>
      <c r="O97" s="57">
        <f>IFERROR(VLOOKUP($A:$A,CS!$A:$AK,23,FALSE),"")</f>
      </c>
      <c r="P97" s="57">
        <f>IFERROR(VLOOKUP($A:$A,CS!$A:$AK,24,FALSE),"")</f>
      </c>
      <c r="Q97" s="57">
        <f>IFERROR(VLOOKUP($A:$A,CS!$A:$AK,25,FALSE),"")</f>
      </c>
      <c r="R97" s="57">
        <f>IFERROR(VLOOKUP($A:$A,CS!$A:$AK,26,FALSE),"")</f>
      </c>
      <c r="S97" s="57">
        <f>IFERROR(VLOOKUP($A:$A,CS!$A:$AK,29,FALSE),"")</f>
      </c>
      <c r="T97" s="57">
        <f>IFERROR(VLOOKUP($A:$A,CS!$A:$AK,33,FALSE),"")</f>
      </c>
      <c r="U97" s="57">
        <f>IFERROR(VLOOKUP($A:$A,CS!$A:$AK,34,FALSE),"")</f>
      </c>
      <c r="V97" s="57">
        <f>IFERROR(VLOOKUP($A:$A,CS!$A:$AK,35,FALSE),"")</f>
      </c>
      <c r="W97" s="57">
        <f>IFERROR(VLOOKUP($A:$A,CS!$A:$AK,36,FALSE),"")</f>
      </c>
    </row>
    <row r="98" ht="16.5" customHeight="1" spans="1:23" x14ac:dyDescent="0.25">
      <c r="A98" s="71"/>
      <c r="B98" s="57">
        <f>IFERROR(VLOOKUP($A:$A,CS!$A:$AK,3,FALSE),"")</f>
      </c>
      <c r="C98" s="57">
        <f>IFERROR(VLOOKUP($A:$A,CS!$A:$AK,4,FALSE),"")</f>
      </c>
      <c r="D98" s="57">
        <f>IFERROR(VLOOKUP($A:$A,CS!$A:$AK,5,FALSE),"")</f>
      </c>
      <c r="E98" s="57">
        <f>IFERROR(VLOOKUP($A:$A,CS!$A:$AK,7,FALSE),"")</f>
      </c>
      <c r="F98" s="57">
        <f>IFERROR(VLOOKUP($A:$A,CS!$A:$AK,8,FALSE),"")</f>
      </c>
      <c r="G98" s="57">
        <f>IFERROR(VLOOKUP($A:$A,CS!$A:$AK,10,FALSE),"")</f>
      </c>
      <c r="H98" s="57">
        <f>IFERROR(VLOOKUP($A:$A,CS!$A:$AK,14,FALSE),"")</f>
      </c>
      <c r="I98" s="57">
        <f>IFERROR(VLOOKUP($A:$A,CS!$A:$AK,15,FALSE),"")</f>
      </c>
      <c r="J98" s="57">
        <f>IFERROR(VLOOKUP($A:$A,CS!$A:$AK,18,FALSE),"")</f>
      </c>
      <c r="K98" s="57">
        <f>IFERROR(VLOOKUP($A:$A,CS!$A:$AK,19,FALSE),"")</f>
      </c>
      <c r="L98" s="57">
        <f>IFERROR(VLOOKUP($A:$A,CS!$A:$AK,20,FALSE),"")</f>
      </c>
      <c r="M98" s="57">
        <f>IFERROR(VLOOKUP($A:$A,CS!$A:$AK,22,FALSE),"")</f>
      </c>
      <c r="N98" s="57">
        <f>IFERROR(VLOOKUP($A:$A,CS!$A:$AK,19,FALSE),"")</f>
      </c>
      <c r="O98" s="57">
        <f>IFERROR(VLOOKUP($A:$A,CS!$A:$AK,23,FALSE),"")</f>
      </c>
      <c r="P98" s="57">
        <f>IFERROR(VLOOKUP($A:$A,CS!$A:$AK,24,FALSE),"")</f>
      </c>
      <c r="Q98" s="57">
        <f>IFERROR(VLOOKUP($A:$A,CS!$A:$AK,25,FALSE),"")</f>
      </c>
      <c r="R98" s="57">
        <f>IFERROR(VLOOKUP($A:$A,CS!$A:$AK,26,FALSE),"")</f>
      </c>
      <c r="S98" s="57">
        <f>IFERROR(VLOOKUP($A:$A,CS!$A:$AK,29,FALSE),"")</f>
      </c>
      <c r="T98" s="57">
        <f>IFERROR(VLOOKUP($A:$A,CS!$A:$AK,33,FALSE),"")</f>
      </c>
      <c r="U98" s="57">
        <f>IFERROR(VLOOKUP($A:$A,CS!$A:$AK,34,FALSE),"")</f>
      </c>
      <c r="V98" s="57">
        <f>IFERROR(VLOOKUP($A:$A,CS!$A:$AK,35,FALSE),"")</f>
      </c>
      <c r="W98" s="57">
        <f>IFERROR(VLOOKUP($A:$A,CS!$A:$AK,36,FALSE),"")</f>
      </c>
    </row>
    <row r="99" ht="16.5" customHeight="1" spans="1:23" x14ac:dyDescent="0.25">
      <c r="A99" s="71"/>
      <c r="B99" s="57">
        <f>IFERROR(VLOOKUP($A:$A,CS!$A:$AK,3,FALSE),"")</f>
      </c>
      <c r="C99" s="57">
        <f>IFERROR(VLOOKUP($A:$A,CS!$A:$AK,4,FALSE),"")</f>
      </c>
      <c r="D99" s="57">
        <f>IFERROR(VLOOKUP($A:$A,CS!$A:$AK,5,FALSE),"")</f>
      </c>
      <c r="E99" s="57">
        <f>IFERROR(VLOOKUP($A:$A,CS!$A:$AK,7,FALSE),"")</f>
      </c>
      <c r="F99" s="57">
        <f>IFERROR(VLOOKUP($A:$A,CS!$A:$AK,8,FALSE),"")</f>
      </c>
      <c r="G99" s="57">
        <f>IFERROR(VLOOKUP($A:$A,CS!$A:$AK,10,FALSE),"")</f>
      </c>
      <c r="H99" s="57">
        <f>IFERROR(VLOOKUP($A:$A,CS!$A:$AK,14,FALSE),"")</f>
      </c>
      <c r="I99" s="57">
        <f>IFERROR(VLOOKUP($A:$A,CS!$A:$AK,15,FALSE),"")</f>
      </c>
      <c r="J99" s="57">
        <f>IFERROR(VLOOKUP($A:$A,CS!$A:$AK,18,FALSE),"")</f>
      </c>
      <c r="K99" s="57">
        <f>IFERROR(VLOOKUP($A:$A,CS!$A:$AK,19,FALSE),"")</f>
      </c>
      <c r="L99" s="57">
        <f>IFERROR(VLOOKUP($A:$A,CS!$A:$AK,20,FALSE),"")</f>
      </c>
      <c r="M99" s="57">
        <f>IFERROR(VLOOKUP($A:$A,CS!$A:$AK,22,FALSE),"")</f>
      </c>
      <c r="N99" s="57">
        <f>IFERROR(VLOOKUP($A:$A,CS!$A:$AK,19,FALSE),"")</f>
      </c>
      <c r="O99" s="57">
        <f>IFERROR(VLOOKUP($A:$A,CS!$A:$AK,23,FALSE),"")</f>
      </c>
      <c r="P99" s="57">
        <f>IFERROR(VLOOKUP($A:$A,CS!$A:$AK,24,FALSE),"")</f>
      </c>
      <c r="Q99" s="57">
        <f>IFERROR(VLOOKUP($A:$A,CS!$A:$AK,25,FALSE),"")</f>
      </c>
      <c r="R99" s="57">
        <f>IFERROR(VLOOKUP($A:$A,CS!$A:$AK,26,FALSE),"")</f>
      </c>
      <c r="S99" s="57">
        <f>IFERROR(VLOOKUP($A:$A,CS!$A:$AK,29,FALSE),"")</f>
      </c>
      <c r="T99" s="57">
        <f>IFERROR(VLOOKUP($A:$A,CS!$A:$AK,33,FALSE),"")</f>
      </c>
      <c r="U99" s="57">
        <f>IFERROR(VLOOKUP($A:$A,CS!$A:$AK,34,FALSE),"")</f>
      </c>
      <c r="V99" s="57">
        <f>IFERROR(VLOOKUP($A:$A,CS!$A:$AK,35,FALSE),"")</f>
      </c>
      <c r="W99" s="57">
        <f>IFERROR(VLOOKUP($A:$A,CS!$A:$AK,36,FALSE),"")</f>
      </c>
    </row>
    <row r="100" ht="16.5" customHeight="1" spans="1:23" x14ac:dyDescent="0.25">
      <c r="A100" s="71"/>
      <c r="B100" s="57">
        <f>IFERROR(VLOOKUP($A:$A,CS!$A:$AK,3,FALSE),"")</f>
      </c>
      <c r="C100" s="57">
        <f>IFERROR(VLOOKUP($A:$A,CS!$A:$AK,4,FALSE),"")</f>
      </c>
      <c r="D100" s="57">
        <f>IFERROR(VLOOKUP($A:$A,CS!$A:$AK,5,FALSE),"")</f>
      </c>
      <c r="E100" s="57">
        <f>IFERROR(VLOOKUP($A:$A,CS!$A:$AK,7,FALSE),"")</f>
      </c>
      <c r="F100" s="57">
        <f>IFERROR(VLOOKUP($A:$A,CS!$A:$AK,8,FALSE),"")</f>
      </c>
      <c r="G100" s="57">
        <f>IFERROR(VLOOKUP($A:$A,CS!$A:$AK,10,FALSE),"")</f>
      </c>
      <c r="H100" s="57">
        <f>IFERROR(VLOOKUP($A:$A,CS!$A:$AK,14,FALSE),"")</f>
      </c>
      <c r="I100" s="57">
        <f>IFERROR(VLOOKUP($A:$A,CS!$A:$AK,15,FALSE),"")</f>
      </c>
      <c r="J100" s="57">
        <f>IFERROR(VLOOKUP($A:$A,CS!$A:$AK,18,FALSE),"")</f>
      </c>
      <c r="K100" s="57">
        <f>IFERROR(VLOOKUP($A:$A,CS!$A:$AK,19,FALSE),"")</f>
      </c>
      <c r="L100" s="57">
        <f>IFERROR(VLOOKUP($A:$A,CS!$A:$AK,20,FALSE),"")</f>
      </c>
      <c r="M100" s="57">
        <f>IFERROR(VLOOKUP($A:$A,CS!$A:$AK,22,FALSE),"")</f>
      </c>
      <c r="N100" s="57">
        <f>IFERROR(VLOOKUP($A:$A,CS!$A:$AK,19,FALSE),"")</f>
      </c>
      <c r="O100" s="57">
        <f>IFERROR(VLOOKUP($A:$A,CS!$A:$AK,23,FALSE),"")</f>
      </c>
      <c r="P100" s="57">
        <f>IFERROR(VLOOKUP($A:$A,CS!$A:$AK,24,FALSE),"")</f>
      </c>
      <c r="Q100" s="57">
        <f>IFERROR(VLOOKUP($A:$A,CS!$A:$AK,25,FALSE),"")</f>
      </c>
      <c r="R100" s="57">
        <f>IFERROR(VLOOKUP($A:$A,CS!$A:$AK,26,FALSE),"")</f>
      </c>
      <c r="S100" s="57">
        <f>IFERROR(VLOOKUP($A:$A,CS!$A:$AK,29,FALSE),"")</f>
      </c>
      <c r="T100" s="57">
        <f>IFERROR(VLOOKUP($A:$A,CS!$A:$AK,33,FALSE),"")</f>
      </c>
      <c r="U100" s="57">
        <f>IFERROR(VLOOKUP($A:$A,CS!$A:$AK,34,FALSE),"")</f>
      </c>
      <c r="V100" s="57">
        <f>IFERROR(VLOOKUP($A:$A,CS!$A:$AK,35,FALSE),"")</f>
      </c>
      <c r="W100" s="57">
        <f>IFERROR(VLOOKUP($A:$A,CS!$A:$AK,36,FALSE),"")</f>
      </c>
    </row>
    <row r="101" ht="16.5" customHeight="1" spans="1:23" x14ac:dyDescent="0.25">
      <c r="A101" s="71"/>
      <c r="B101" s="57">
        <f>IFERROR(VLOOKUP($A:$A,CS!$A:$AK,3,FALSE),"")</f>
      </c>
      <c r="C101" s="57">
        <f>IFERROR(VLOOKUP($A:$A,CS!$A:$AK,4,FALSE),"")</f>
      </c>
      <c r="D101" s="57">
        <f>IFERROR(VLOOKUP($A:$A,CS!$A:$AK,5,FALSE),"")</f>
      </c>
      <c r="E101" s="57">
        <f>IFERROR(VLOOKUP($A:$A,CS!$A:$AK,7,FALSE),"")</f>
      </c>
      <c r="F101" s="57">
        <f>IFERROR(VLOOKUP($A:$A,CS!$A:$AK,8,FALSE),"")</f>
      </c>
      <c r="G101" s="57">
        <f>IFERROR(VLOOKUP($A:$A,CS!$A:$AK,10,FALSE),"")</f>
      </c>
      <c r="H101" s="57">
        <f>IFERROR(VLOOKUP($A:$A,CS!$A:$AK,14,FALSE),"")</f>
      </c>
      <c r="I101" s="57">
        <f>IFERROR(VLOOKUP($A:$A,CS!$A:$AK,15,FALSE),"")</f>
      </c>
      <c r="J101" s="57">
        <f>IFERROR(VLOOKUP($A:$A,CS!$A:$AK,18,FALSE),"")</f>
      </c>
      <c r="K101" s="57">
        <f>IFERROR(VLOOKUP($A:$A,CS!$A:$AK,19,FALSE),"")</f>
      </c>
      <c r="L101" s="57">
        <f>IFERROR(VLOOKUP($A:$A,CS!$A:$AK,20,FALSE),"")</f>
      </c>
      <c r="M101" s="57">
        <f>IFERROR(VLOOKUP($A:$A,CS!$A:$AK,22,FALSE),"")</f>
      </c>
      <c r="N101" s="57">
        <f>IFERROR(VLOOKUP($A:$A,CS!$A:$AK,19,FALSE),"")</f>
      </c>
      <c r="O101" s="57">
        <f>IFERROR(VLOOKUP($A:$A,CS!$A:$AK,23,FALSE),"")</f>
      </c>
      <c r="P101" s="57">
        <f>IFERROR(VLOOKUP($A:$A,CS!$A:$AK,24,FALSE),"")</f>
      </c>
      <c r="Q101" s="57">
        <f>IFERROR(VLOOKUP($A:$A,CS!$A:$AK,25,FALSE),"")</f>
      </c>
      <c r="R101" s="57">
        <f>IFERROR(VLOOKUP($A:$A,CS!$A:$AK,26,FALSE),"")</f>
      </c>
      <c r="S101" s="57">
        <f>IFERROR(VLOOKUP($A:$A,CS!$A:$AK,29,FALSE),"")</f>
      </c>
      <c r="T101" s="57">
        <f>IFERROR(VLOOKUP($A:$A,CS!$A:$AK,33,FALSE),"")</f>
      </c>
      <c r="U101" s="57">
        <f>IFERROR(VLOOKUP($A:$A,CS!$A:$AK,34,FALSE),"")</f>
      </c>
      <c r="V101" s="57">
        <f>IFERROR(VLOOKUP($A:$A,CS!$A:$AK,35,FALSE),"")</f>
      </c>
      <c r="W101" s="57">
        <f>IFERROR(VLOOKUP($A:$A,CS!$A:$AK,36,FALSE),"")</f>
      </c>
    </row>
    <row r="102" ht="16.5" customHeight="1" spans="1:23" x14ac:dyDescent="0.25">
      <c r="A102" s="71"/>
      <c r="B102" s="57">
        <f>IFERROR(VLOOKUP($A:$A,CS!$A:$AK,3,FALSE),"")</f>
      </c>
      <c r="C102" s="57">
        <f>IFERROR(VLOOKUP($A:$A,CS!$A:$AK,4,FALSE),"")</f>
      </c>
      <c r="D102" s="57">
        <f>IFERROR(VLOOKUP($A:$A,CS!$A:$AK,5,FALSE),"")</f>
      </c>
      <c r="E102" s="57">
        <f>IFERROR(VLOOKUP($A:$A,CS!$A:$AK,7,FALSE),"")</f>
      </c>
      <c r="F102" s="57">
        <f>IFERROR(VLOOKUP($A:$A,CS!$A:$AK,8,FALSE),"")</f>
      </c>
      <c r="G102" s="57">
        <f>IFERROR(VLOOKUP($A:$A,CS!$A:$AK,10,FALSE),"")</f>
      </c>
      <c r="H102" s="57">
        <f>IFERROR(VLOOKUP($A:$A,CS!$A:$AK,14,FALSE),"")</f>
      </c>
      <c r="I102" s="57">
        <f>IFERROR(VLOOKUP($A:$A,CS!$A:$AK,15,FALSE),"")</f>
      </c>
      <c r="J102" s="57">
        <f>IFERROR(VLOOKUP($A:$A,CS!$A:$AK,18,FALSE),"")</f>
      </c>
      <c r="K102" s="57">
        <f>IFERROR(VLOOKUP($A:$A,CS!$A:$AK,19,FALSE),"")</f>
      </c>
      <c r="L102" s="57">
        <f>IFERROR(VLOOKUP($A:$A,CS!$A:$AK,20,FALSE),"")</f>
      </c>
      <c r="M102" s="57">
        <f>IFERROR(VLOOKUP($A:$A,CS!$A:$AK,22,FALSE),"")</f>
      </c>
      <c r="N102" s="57">
        <f>IFERROR(VLOOKUP($A:$A,CS!$A:$AK,19,FALSE),"")</f>
      </c>
      <c r="O102" s="57">
        <f>IFERROR(VLOOKUP($A:$A,CS!$A:$AK,23,FALSE),"")</f>
      </c>
      <c r="P102" s="57">
        <f>IFERROR(VLOOKUP($A:$A,CS!$A:$AK,24,FALSE),"")</f>
      </c>
      <c r="Q102" s="57">
        <f>IFERROR(VLOOKUP($A:$A,CS!$A:$AK,25,FALSE),"")</f>
      </c>
      <c r="R102" s="57">
        <f>IFERROR(VLOOKUP($A:$A,CS!$A:$AK,26,FALSE),"")</f>
      </c>
      <c r="S102" s="57">
        <f>IFERROR(VLOOKUP($A:$A,CS!$A:$AK,29,FALSE),"")</f>
      </c>
      <c r="T102" s="57">
        <f>IFERROR(VLOOKUP($A:$A,CS!$A:$AK,33,FALSE),"")</f>
      </c>
      <c r="U102" s="57">
        <f>IFERROR(VLOOKUP($A:$A,CS!$A:$AK,34,FALSE),"")</f>
      </c>
      <c r="V102" s="57">
        <f>IFERROR(VLOOKUP($A:$A,CS!$A:$AK,35,FALSE),"")</f>
      </c>
      <c r="W102" s="57">
        <f>IFERROR(VLOOKUP($A:$A,CS!$A:$AK,36,FALSE),"")</f>
      </c>
    </row>
    <row r="103" ht="16.5" customHeight="1" spans="1:23" x14ac:dyDescent="0.25">
      <c r="A103" s="71"/>
      <c r="B103" s="57">
        <f>IFERROR(VLOOKUP($A:$A,CS!$A:$AK,3,FALSE),"")</f>
      </c>
      <c r="C103" s="57">
        <f>IFERROR(VLOOKUP($A:$A,CS!$A:$AK,4,FALSE),"")</f>
      </c>
      <c r="D103" s="57">
        <f>IFERROR(VLOOKUP($A:$A,CS!$A:$AK,5,FALSE),"")</f>
      </c>
      <c r="E103" s="57">
        <f>IFERROR(VLOOKUP($A:$A,CS!$A:$AK,7,FALSE),"")</f>
      </c>
      <c r="F103" s="57">
        <f>IFERROR(VLOOKUP($A:$A,CS!$A:$AK,8,FALSE),"")</f>
      </c>
      <c r="G103" s="57">
        <f>IFERROR(VLOOKUP($A:$A,CS!$A:$AK,10,FALSE),"")</f>
      </c>
      <c r="H103" s="57">
        <f>IFERROR(VLOOKUP($A:$A,CS!$A:$AK,14,FALSE),"")</f>
      </c>
      <c r="I103" s="57">
        <f>IFERROR(VLOOKUP($A:$A,CS!$A:$AK,15,FALSE),"")</f>
      </c>
      <c r="J103" s="57">
        <f>IFERROR(VLOOKUP($A:$A,CS!$A:$AK,18,FALSE),"")</f>
      </c>
      <c r="K103" s="57">
        <f>IFERROR(VLOOKUP($A:$A,CS!$A:$AK,19,FALSE),"")</f>
      </c>
      <c r="L103" s="57">
        <f>IFERROR(VLOOKUP($A:$A,CS!$A:$AK,20,FALSE),"")</f>
      </c>
      <c r="M103" s="57">
        <f>IFERROR(VLOOKUP($A:$A,CS!$A:$AK,22,FALSE),"")</f>
      </c>
      <c r="N103" s="57">
        <f>IFERROR(VLOOKUP($A:$A,CS!$A:$AK,19,FALSE),"")</f>
      </c>
      <c r="O103" s="57">
        <f>IFERROR(VLOOKUP($A:$A,CS!$A:$AK,23,FALSE),"")</f>
      </c>
      <c r="P103" s="57">
        <f>IFERROR(VLOOKUP($A:$A,CS!$A:$AK,24,FALSE),"")</f>
      </c>
      <c r="Q103" s="57">
        <f>IFERROR(VLOOKUP($A:$A,CS!$A:$AK,25,FALSE),"")</f>
      </c>
      <c r="R103" s="57">
        <f>IFERROR(VLOOKUP($A:$A,CS!$A:$AK,26,FALSE),"")</f>
      </c>
      <c r="S103" s="57">
        <f>IFERROR(VLOOKUP($A:$A,CS!$A:$AK,29,FALSE),"")</f>
      </c>
      <c r="T103" s="57">
        <f>IFERROR(VLOOKUP($A:$A,CS!$A:$AK,33,FALSE),"")</f>
      </c>
      <c r="U103" s="57">
        <f>IFERROR(VLOOKUP($A:$A,CS!$A:$AK,34,FALSE),"")</f>
      </c>
      <c r="V103" s="57">
        <f>IFERROR(VLOOKUP($A:$A,CS!$A:$AK,35,FALSE),"")</f>
      </c>
      <c r="W103" s="57">
        <f>IFERROR(VLOOKUP($A:$A,CS!$A:$AK,36,FALSE),"")</f>
      </c>
    </row>
    <row r="104" ht="16.5" customHeight="1" spans="1:23" x14ac:dyDescent="0.25">
      <c r="A104" s="71"/>
      <c r="B104" s="57">
        <f>IFERROR(VLOOKUP($A:$A,CS!$A:$AK,3,FALSE),"")</f>
      </c>
      <c r="C104" s="57">
        <f>IFERROR(VLOOKUP($A:$A,CS!$A:$AK,4,FALSE),"")</f>
      </c>
      <c r="D104" s="57">
        <f>IFERROR(VLOOKUP($A:$A,CS!$A:$AK,5,FALSE),"")</f>
      </c>
      <c r="E104" s="57">
        <f>IFERROR(VLOOKUP($A:$A,CS!$A:$AK,7,FALSE),"")</f>
      </c>
      <c r="F104" s="57">
        <f>IFERROR(VLOOKUP($A:$A,CS!$A:$AK,8,FALSE),"")</f>
      </c>
      <c r="G104" s="57">
        <f>IFERROR(VLOOKUP($A:$A,CS!$A:$AK,10,FALSE),"")</f>
      </c>
      <c r="H104" s="57">
        <f>IFERROR(VLOOKUP($A:$A,CS!$A:$AK,14,FALSE),"")</f>
      </c>
      <c r="I104" s="57">
        <f>IFERROR(VLOOKUP($A:$A,CS!$A:$AK,15,FALSE),"")</f>
      </c>
      <c r="J104" s="57">
        <f>IFERROR(VLOOKUP($A:$A,CS!$A:$AK,18,FALSE),"")</f>
      </c>
      <c r="K104" s="57">
        <f>IFERROR(VLOOKUP($A:$A,CS!$A:$AK,19,FALSE),"")</f>
      </c>
      <c r="L104" s="57">
        <f>IFERROR(VLOOKUP($A:$A,CS!$A:$AK,20,FALSE),"")</f>
      </c>
      <c r="M104" s="57">
        <f>IFERROR(VLOOKUP($A:$A,CS!$A:$AK,22,FALSE),"")</f>
      </c>
      <c r="N104" s="57">
        <f>IFERROR(VLOOKUP($A:$A,CS!$A:$AK,19,FALSE),"")</f>
      </c>
      <c r="O104" s="57">
        <f>IFERROR(VLOOKUP($A:$A,CS!$A:$AK,23,FALSE),"")</f>
      </c>
      <c r="P104" s="57">
        <f>IFERROR(VLOOKUP($A:$A,CS!$A:$AK,24,FALSE),"")</f>
      </c>
      <c r="Q104" s="57">
        <f>IFERROR(VLOOKUP($A:$A,CS!$A:$AK,25,FALSE),"")</f>
      </c>
      <c r="R104" s="57">
        <f>IFERROR(VLOOKUP($A:$A,CS!$A:$AK,26,FALSE),"")</f>
      </c>
      <c r="S104" s="57">
        <f>IFERROR(VLOOKUP($A:$A,CS!$A:$AK,29,FALSE),"")</f>
      </c>
      <c r="T104" s="57">
        <f>IFERROR(VLOOKUP($A:$A,CS!$A:$AK,33,FALSE),"")</f>
      </c>
      <c r="U104" s="57">
        <f>IFERROR(VLOOKUP($A:$A,CS!$A:$AK,34,FALSE),"")</f>
      </c>
      <c r="V104" s="57">
        <f>IFERROR(VLOOKUP($A:$A,CS!$A:$AK,35,FALSE),"")</f>
      </c>
      <c r="W104" s="57">
        <f>IFERROR(VLOOKUP($A:$A,CS!$A:$AK,36,FALSE),"")</f>
      </c>
    </row>
    <row r="105" ht="16.5" customHeight="1" spans="1:23" x14ac:dyDescent="0.25">
      <c r="A105" s="71"/>
      <c r="B105" s="57">
        <f>IFERROR(VLOOKUP($A:$A,CS!$A:$AK,3,FALSE),"")</f>
      </c>
      <c r="C105" s="57">
        <f>IFERROR(VLOOKUP($A:$A,CS!$A:$AK,4,FALSE),"")</f>
      </c>
      <c r="D105" s="57">
        <f>IFERROR(VLOOKUP($A:$A,CS!$A:$AK,5,FALSE),"")</f>
      </c>
      <c r="E105" s="57">
        <f>IFERROR(VLOOKUP($A:$A,CS!$A:$AK,7,FALSE),"")</f>
      </c>
      <c r="F105" s="57">
        <f>IFERROR(VLOOKUP($A:$A,CS!$A:$AK,8,FALSE),"")</f>
      </c>
      <c r="G105" s="57">
        <f>IFERROR(VLOOKUP($A:$A,CS!$A:$AK,10,FALSE),"")</f>
      </c>
      <c r="H105" s="57">
        <f>IFERROR(VLOOKUP($A:$A,CS!$A:$AK,14,FALSE),"")</f>
      </c>
      <c r="I105" s="57">
        <f>IFERROR(VLOOKUP($A:$A,CS!$A:$AK,15,FALSE),"")</f>
      </c>
      <c r="J105" s="57">
        <f>IFERROR(VLOOKUP($A:$A,CS!$A:$AK,18,FALSE),"")</f>
      </c>
      <c r="K105" s="57">
        <f>IFERROR(VLOOKUP($A:$A,CS!$A:$AK,19,FALSE),"")</f>
      </c>
      <c r="L105" s="57">
        <f>IFERROR(VLOOKUP($A:$A,CS!$A:$AK,20,FALSE),"")</f>
      </c>
      <c r="M105" s="57">
        <f>IFERROR(VLOOKUP($A:$A,CS!$A:$AK,22,FALSE),"")</f>
      </c>
      <c r="N105" s="57">
        <f>IFERROR(VLOOKUP($A:$A,CS!$A:$AK,19,FALSE),"")</f>
      </c>
      <c r="O105" s="57">
        <f>IFERROR(VLOOKUP($A:$A,CS!$A:$AK,23,FALSE),"")</f>
      </c>
      <c r="P105" s="57">
        <f>IFERROR(VLOOKUP($A:$A,CS!$A:$AK,24,FALSE),"")</f>
      </c>
      <c r="Q105" s="57">
        <f>IFERROR(VLOOKUP($A:$A,CS!$A:$AK,25,FALSE),"")</f>
      </c>
      <c r="R105" s="57">
        <f>IFERROR(VLOOKUP($A:$A,CS!$A:$AK,26,FALSE),"")</f>
      </c>
      <c r="S105" s="57">
        <f>IFERROR(VLOOKUP($A:$A,CS!$A:$AK,29,FALSE),"")</f>
      </c>
      <c r="T105" s="57">
        <f>IFERROR(VLOOKUP($A:$A,CS!$A:$AK,33,FALSE),"")</f>
      </c>
      <c r="U105" s="57">
        <f>IFERROR(VLOOKUP($A:$A,CS!$A:$AK,34,FALSE),"")</f>
      </c>
      <c r="V105" s="57">
        <f>IFERROR(VLOOKUP($A:$A,CS!$A:$AK,35,FALSE),"")</f>
      </c>
      <c r="W105" s="57">
        <f>IFERROR(VLOOKUP($A:$A,CS!$A:$AK,36,FALSE),"")</f>
      </c>
    </row>
    <row r="106" ht="16.5" customHeight="1" spans="1:23" x14ac:dyDescent="0.25">
      <c r="A106" s="71"/>
      <c r="B106" s="57">
        <f>IFERROR(VLOOKUP($A:$A,CS!$A:$AK,3,FALSE),"")</f>
      </c>
      <c r="C106" s="57">
        <f>IFERROR(VLOOKUP($A:$A,CS!$A:$AK,4,FALSE),"")</f>
      </c>
      <c r="D106" s="57">
        <f>IFERROR(VLOOKUP($A:$A,CS!$A:$AK,5,FALSE),"")</f>
      </c>
      <c r="E106" s="57">
        <f>IFERROR(VLOOKUP($A:$A,CS!$A:$AK,7,FALSE),"")</f>
      </c>
      <c r="F106" s="57">
        <f>IFERROR(VLOOKUP($A:$A,CS!$A:$AK,8,FALSE),"")</f>
      </c>
      <c r="G106" s="57">
        <f>IFERROR(VLOOKUP($A:$A,CS!$A:$AK,10,FALSE),"")</f>
      </c>
      <c r="H106" s="57">
        <f>IFERROR(VLOOKUP($A:$A,CS!$A:$AK,14,FALSE),"")</f>
      </c>
      <c r="I106" s="57">
        <f>IFERROR(VLOOKUP($A:$A,CS!$A:$AK,15,FALSE),"")</f>
      </c>
      <c r="J106" s="57">
        <f>IFERROR(VLOOKUP($A:$A,CS!$A:$AK,18,FALSE),"")</f>
      </c>
      <c r="K106" s="57">
        <f>IFERROR(VLOOKUP($A:$A,CS!$A:$AK,19,FALSE),"")</f>
      </c>
      <c r="L106" s="57">
        <f>IFERROR(VLOOKUP($A:$A,CS!$A:$AK,20,FALSE),"")</f>
      </c>
      <c r="M106" s="57">
        <f>IFERROR(VLOOKUP($A:$A,CS!$A:$AK,22,FALSE),"")</f>
      </c>
      <c r="N106" s="57">
        <f>IFERROR(VLOOKUP($A:$A,CS!$A:$AK,19,FALSE),"")</f>
      </c>
      <c r="O106" s="57">
        <f>IFERROR(VLOOKUP($A:$A,CS!$A:$AK,23,FALSE),"")</f>
      </c>
      <c r="P106" s="57">
        <f>IFERROR(VLOOKUP($A:$A,CS!$A:$AK,24,FALSE),"")</f>
      </c>
      <c r="Q106" s="57">
        <f>IFERROR(VLOOKUP($A:$A,CS!$A:$AK,25,FALSE),"")</f>
      </c>
      <c r="R106" s="57">
        <f>IFERROR(VLOOKUP($A:$A,CS!$A:$AK,26,FALSE),"")</f>
      </c>
      <c r="S106" s="57">
        <f>IFERROR(VLOOKUP($A:$A,CS!$A:$AK,29,FALSE),"")</f>
      </c>
      <c r="T106" s="57">
        <f>IFERROR(VLOOKUP($A:$A,CS!$A:$AK,33,FALSE),"")</f>
      </c>
      <c r="U106" s="57">
        <f>IFERROR(VLOOKUP($A:$A,CS!$A:$AK,34,FALSE),"")</f>
      </c>
      <c r="V106" s="57">
        <f>IFERROR(VLOOKUP($A:$A,CS!$A:$AK,35,FALSE),"")</f>
      </c>
      <c r="W106" s="57">
        <f>IFERROR(VLOOKUP($A:$A,CS!$A:$AK,36,FALSE),"")</f>
      </c>
    </row>
    <row r="107" ht="16.5" customHeight="1" spans="1:23" x14ac:dyDescent="0.25">
      <c r="A107" s="71"/>
      <c r="B107" s="57">
        <f>IFERROR(VLOOKUP($A:$A,CS!$A:$AK,3,FALSE),"")</f>
      </c>
      <c r="C107" s="57">
        <f>IFERROR(VLOOKUP($A:$A,CS!$A:$AK,4,FALSE),"")</f>
      </c>
      <c r="D107" s="57">
        <f>IFERROR(VLOOKUP($A:$A,CS!$A:$AK,5,FALSE),"")</f>
      </c>
      <c r="E107" s="57">
        <f>IFERROR(VLOOKUP($A:$A,CS!$A:$AK,7,FALSE),"")</f>
      </c>
      <c r="F107" s="57">
        <f>IFERROR(VLOOKUP($A:$A,CS!$A:$AK,8,FALSE),"")</f>
      </c>
      <c r="G107" s="57">
        <f>IFERROR(VLOOKUP($A:$A,CS!$A:$AK,10,FALSE),"")</f>
      </c>
      <c r="H107" s="57">
        <f>IFERROR(VLOOKUP($A:$A,CS!$A:$AK,14,FALSE),"")</f>
      </c>
      <c r="I107" s="57">
        <f>IFERROR(VLOOKUP($A:$A,CS!$A:$AK,15,FALSE),"")</f>
      </c>
      <c r="J107" s="57">
        <f>IFERROR(VLOOKUP($A:$A,CS!$A:$AK,18,FALSE),"")</f>
      </c>
      <c r="K107" s="57">
        <f>IFERROR(VLOOKUP($A:$A,CS!$A:$AK,19,FALSE),"")</f>
      </c>
      <c r="L107" s="57">
        <f>IFERROR(VLOOKUP($A:$A,CS!$A:$AK,20,FALSE),"")</f>
      </c>
      <c r="M107" s="57">
        <f>IFERROR(VLOOKUP($A:$A,CS!$A:$AK,22,FALSE),"")</f>
      </c>
      <c r="N107" s="57">
        <f>IFERROR(VLOOKUP($A:$A,CS!$A:$AK,19,FALSE),"")</f>
      </c>
      <c r="O107" s="57">
        <f>IFERROR(VLOOKUP($A:$A,CS!$A:$AK,23,FALSE),"")</f>
      </c>
      <c r="P107" s="57">
        <f>IFERROR(VLOOKUP($A:$A,CS!$A:$AK,24,FALSE),"")</f>
      </c>
      <c r="Q107" s="57">
        <f>IFERROR(VLOOKUP($A:$A,CS!$A:$AK,25,FALSE),"")</f>
      </c>
      <c r="R107" s="57">
        <f>IFERROR(VLOOKUP($A:$A,CS!$A:$AK,26,FALSE),"")</f>
      </c>
      <c r="S107" s="57">
        <f>IFERROR(VLOOKUP($A:$A,CS!$A:$AK,29,FALSE),"")</f>
      </c>
      <c r="T107" s="57">
        <f>IFERROR(VLOOKUP($A:$A,CS!$A:$AK,33,FALSE),"")</f>
      </c>
      <c r="U107" s="57">
        <f>IFERROR(VLOOKUP($A:$A,CS!$A:$AK,34,FALSE),"")</f>
      </c>
      <c r="V107" s="57">
        <f>IFERROR(VLOOKUP($A:$A,CS!$A:$AK,35,FALSE),"")</f>
      </c>
      <c r="W107" s="57">
        <f>IFERROR(VLOOKUP($A:$A,CS!$A:$AK,36,FALSE),"")</f>
      </c>
    </row>
    <row r="108" ht="16.5" customHeight="1" spans="1:23" x14ac:dyDescent="0.25">
      <c r="A108" s="71"/>
      <c r="B108" s="57">
        <f>IFERROR(VLOOKUP($A:$A,CS!$A:$AK,3,FALSE),"")</f>
      </c>
      <c r="C108" s="57">
        <f>IFERROR(VLOOKUP($A:$A,CS!$A:$AK,4,FALSE),"")</f>
      </c>
      <c r="D108" s="57">
        <f>IFERROR(VLOOKUP($A:$A,CS!$A:$AK,5,FALSE),"")</f>
      </c>
      <c r="E108" s="57">
        <f>IFERROR(VLOOKUP($A:$A,CS!$A:$AK,7,FALSE),"")</f>
      </c>
      <c r="F108" s="57">
        <f>IFERROR(VLOOKUP($A:$A,CS!$A:$AK,8,FALSE),"")</f>
      </c>
      <c r="G108" s="57">
        <f>IFERROR(VLOOKUP($A:$A,CS!$A:$AK,10,FALSE),"")</f>
      </c>
      <c r="H108" s="57">
        <f>IFERROR(VLOOKUP($A:$A,CS!$A:$AK,14,FALSE),"")</f>
      </c>
      <c r="I108" s="57">
        <f>IFERROR(VLOOKUP($A:$A,CS!$A:$AK,15,FALSE),"")</f>
      </c>
      <c r="J108" s="57">
        <f>IFERROR(VLOOKUP($A:$A,CS!$A:$AK,18,FALSE),"")</f>
      </c>
      <c r="K108" s="57">
        <f>IFERROR(VLOOKUP($A:$A,CS!$A:$AK,19,FALSE),"")</f>
      </c>
      <c r="L108" s="57">
        <f>IFERROR(VLOOKUP($A:$A,CS!$A:$AK,20,FALSE),"")</f>
      </c>
      <c r="M108" s="57">
        <f>IFERROR(VLOOKUP($A:$A,CS!$A:$AK,22,FALSE),"")</f>
      </c>
      <c r="N108" s="57">
        <f>IFERROR(VLOOKUP($A:$A,CS!$A:$AK,19,FALSE),"")</f>
      </c>
      <c r="O108" s="57">
        <f>IFERROR(VLOOKUP($A:$A,CS!$A:$AK,23,FALSE),"")</f>
      </c>
      <c r="P108" s="57">
        <f>IFERROR(VLOOKUP($A:$A,CS!$A:$AK,24,FALSE),"")</f>
      </c>
      <c r="Q108" s="57">
        <f>IFERROR(VLOOKUP($A:$A,CS!$A:$AK,25,FALSE),"")</f>
      </c>
      <c r="R108" s="57">
        <f>IFERROR(VLOOKUP($A:$A,CS!$A:$AK,26,FALSE),"")</f>
      </c>
      <c r="S108" s="57">
        <f>IFERROR(VLOOKUP($A:$A,CS!$A:$AK,29,FALSE),"")</f>
      </c>
      <c r="T108" s="57">
        <f>IFERROR(VLOOKUP($A:$A,CS!$A:$AK,33,FALSE),"")</f>
      </c>
      <c r="U108" s="57">
        <f>IFERROR(VLOOKUP($A:$A,CS!$A:$AK,34,FALSE),"")</f>
      </c>
      <c r="V108" s="57">
        <f>IFERROR(VLOOKUP($A:$A,CS!$A:$AK,35,FALSE),"")</f>
      </c>
      <c r="W108" s="57">
        <f>IFERROR(VLOOKUP($A:$A,CS!$A:$AK,36,FALSE),"")</f>
      </c>
    </row>
    <row r="109" ht="16.5" customHeight="1" spans="1:23" x14ac:dyDescent="0.25">
      <c r="A109" s="71"/>
      <c r="B109" s="57">
        <f>IFERROR(VLOOKUP($A:$A,CS!$A:$AK,3,FALSE),"")</f>
      </c>
      <c r="C109" s="57">
        <f>IFERROR(VLOOKUP($A:$A,CS!$A:$AK,4,FALSE),"")</f>
      </c>
      <c r="D109" s="57">
        <f>IFERROR(VLOOKUP($A:$A,CS!$A:$AK,5,FALSE),"")</f>
      </c>
      <c r="E109" s="57">
        <f>IFERROR(VLOOKUP($A:$A,CS!$A:$AK,7,FALSE),"")</f>
      </c>
      <c r="F109" s="57">
        <f>IFERROR(VLOOKUP($A:$A,CS!$A:$AK,8,FALSE),"")</f>
      </c>
      <c r="G109" s="57">
        <f>IFERROR(VLOOKUP($A:$A,CS!$A:$AK,10,FALSE),"")</f>
      </c>
      <c r="H109" s="57">
        <f>IFERROR(VLOOKUP($A:$A,CS!$A:$AK,14,FALSE),"")</f>
      </c>
      <c r="I109" s="57">
        <f>IFERROR(VLOOKUP($A:$A,CS!$A:$AK,15,FALSE),"")</f>
      </c>
      <c r="J109" s="57">
        <f>IFERROR(VLOOKUP($A:$A,CS!$A:$AK,18,FALSE),"")</f>
      </c>
      <c r="K109" s="57">
        <f>IFERROR(VLOOKUP($A:$A,CS!$A:$AK,19,FALSE),"")</f>
      </c>
      <c r="L109" s="57">
        <f>IFERROR(VLOOKUP($A:$A,CS!$A:$AK,20,FALSE),"")</f>
      </c>
      <c r="M109" s="57">
        <f>IFERROR(VLOOKUP($A:$A,CS!$A:$AK,22,FALSE),"")</f>
      </c>
      <c r="N109" s="57">
        <f>IFERROR(VLOOKUP($A:$A,CS!$A:$AK,19,FALSE),"")</f>
      </c>
      <c r="O109" s="57">
        <f>IFERROR(VLOOKUP($A:$A,CS!$A:$AK,23,FALSE),"")</f>
      </c>
      <c r="P109" s="57">
        <f>IFERROR(VLOOKUP($A:$A,CS!$A:$AK,24,FALSE),"")</f>
      </c>
      <c r="Q109" s="57">
        <f>IFERROR(VLOOKUP($A:$A,CS!$A:$AK,25,FALSE),"")</f>
      </c>
      <c r="R109" s="57">
        <f>IFERROR(VLOOKUP($A:$A,CS!$A:$AK,26,FALSE),"")</f>
      </c>
      <c r="S109" s="57">
        <f>IFERROR(VLOOKUP($A:$A,CS!$A:$AK,29,FALSE),"")</f>
      </c>
      <c r="T109" s="57">
        <f>IFERROR(VLOOKUP($A:$A,CS!$A:$AK,33,FALSE),"")</f>
      </c>
      <c r="U109" s="57">
        <f>IFERROR(VLOOKUP($A:$A,CS!$A:$AK,34,FALSE),"")</f>
      </c>
      <c r="V109" s="57">
        <f>IFERROR(VLOOKUP($A:$A,CS!$A:$AK,35,FALSE),"")</f>
      </c>
      <c r="W109" s="57">
        <f>IFERROR(VLOOKUP($A:$A,CS!$A:$AK,36,FALSE),"")</f>
      </c>
    </row>
    <row r="110" ht="16.5" customHeight="1" spans="1:23" x14ac:dyDescent="0.25">
      <c r="A110" s="71"/>
      <c r="B110" s="57">
        <f>IFERROR(VLOOKUP($A:$A,CS!$A:$AK,3,FALSE),"")</f>
      </c>
      <c r="C110" s="57">
        <f>IFERROR(VLOOKUP($A:$A,CS!$A:$AK,4,FALSE),"")</f>
      </c>
      <c r="D110" s="57">
        <f>IFERROR(VLOOKUP($A:$A,CS!$A:$AK,5,FALSE),"")</f>
      </c>
      <c r="E110" s="57">
        <f>IFERROR(VLOOKUP($A:$A,CS!$A:$AK,7,FALSE),"")</f>
      </c>
      <c r="F110" s="57">
        <f>IFERROR(VLOOKUP($A:$A,CS!$A:$AK,8,FALSE),"")</f>
      </c>
      <c r="G110" s="57">
        <f>IFERROR(VLOOKUP($A:$A,CS!$A:$AK,10,FALSE),"")</f>
      </c>
      <c r="H110" s="57">
        <f>IFERROR(VLOOKUP($A:$A,CS!$A:$AK,14,FALSE),"")</f>
      </c>
      <c r="I110" s="57">
        <f>IFERROR(VLOOKUP($A:$A,CS!$A:$AK,15,FALSE),"")</f>
      </c>
      <c r="J110" s="57">
        <f>IFERROR(VLOOKUP($A:$A,CS!$A:$AK,18,FALSE),"")</f>
      </c>
      <c r="K110" s="57">
        <f>IFERROR(VLOOKUP($A:$A,CS!$A:$AK,19,FALSE),"")</f>
      </c>
      <c r="L110" s="57">
        <f>IFERROR(VLOOKUP($A:$A,CS!$A:$AK,20,FALSE),"")</f>
      </c>
      <c r="M110" s="57">
        <f>IFERROR(VLOOKUP($A:$A,CS!$A:$AK,22,FALSE),"")</f>
      </c>
      <c r="N110" s="57">
        <f>IFERROR(VLOOKUP($A:$A,CS!$A:$AK,19,FALSE),"")</f>
      </c>
      <c r="O110" s="57">
        <f>IFERROR(VLOOKUP($A:$A,CS!$A:$AK,23,FALSE),"")</f>
      </c>
      <c r="P110" s="57">
        <f>IFERROR(VLOOKUP($A:$A,CS!$A:$AK,24,FALSE),"")</f>
      </c>
      <c r="Q110" s="57">
        <f>IFERROR(VLOOKUP($A:$A,CS!$A:$AK,25,FALSE),"")</f>
      </c>
      <c r="R110" s="57">
        <f>IFERROR(VLOOKUP($A:$A,CS!$A:$AK,26,FALSE),"")</f>
      </c>
      <c r="S110" s="57">
        <f>IFERROR(VLOOKUP($A:$A,CS!$A:$AK,29,FALSE),"")</f>
      </c>
      <c r="T110" s="57">
        <f>IFERROR(VLOOKUP($A:$A,CS!$A:$AK,33,FALSE),"")</f>
      </c>
      <c r="U110" s="57">
        <f>IFERROR(VLOOKUP($A:$A,CS!$A:$AK,34,FALSE),"")</f>
      </c>
      <c r="V110" s="57">
        <f>IFERROR(VLOOKUP($A:$A,CS!$A:$AK,35,FALSE),"")</f>
      </c>
      <c r="W110" s="57">
        <f>IFERROR(VLOOKUP($A:$A,CS!$A:$AK,36,FALSE),"")</f>
      </c>
    </row>
    <row r="111" ht="16.5" customHeight="1" spans="1:23" x14ac:dyDescent="0.25">
      <c r="A111" s="71"/>
      <c r="B111" s="57">
        <f>IFERROR(VLOOKUP($A:$A,CS!$A:$AK,3,FALSE),"")</f>
      </c>
      <c r="C111" s="57">
        <f>IFERROR(VLOOKUP($A:$A,CS!$A:$AK,4,FALSE),"")</f>
      </c>
      <c r="D111" s="57">
        <f>IFERROR(VLOOKUP($A:$A,CS!$A:$AK,5,FALSE),"")</f>
      </c>
      <c r="E111" s="57">
        <f>IFERROR(VLOOKUP($A:$A,CS!$A:$AK,7,FALSE),"")</f>
      </c>
      <c r="F111" s="57">
        <f>IFERROR(VLOOKUP($A:$A,CS!$A:$AK,8,FALSE),"")</f>
      </c>
      <c r="G111" s="57">
        <f>IFERROR(VLOOKUP($A:$A,CS!$A:$AK,10,FALSE),"")</f>
      </c>
      <c r="H111" s="57">
        <f>IFERROR(VLOOKUP($A:$A,CS!$A:$AK,14,FALSE),"")</f>
      </c>
      <c r="I111" s="57">
        <f>IFERROR(VLOOKUP($A:$A,CS!$A:$AK,15,FALSE),"")</f>
      </c>
      <c r="J111" s="57">
        <f>IFERROR(VLOOKUP($A:$A,CS!$A:$AK,18,FALSE),"")</f>
      </c>
      <c r="K111" s="57">
        <f>IFERROR(VLOOKUP($A:$A,CS!$A:$AK,19,FALSE),"")</f>
      </c>
      <c r="L111" s="57">
        <f>IFERROR(VLOOKUP($A:$A,CS!$A:$AK,20,FALSE),"")</f>
      </c>
      <c r="M111" s="57">
        <f>IFERROR(VLOOKUP($A:$A,CS!$A:$AK,22,FALSE),"")</f>
      </c>
      <c r="N111" s="57">
        <f>IFERROR(VLOOKUP($A:$A,CS!$A:$AK,19,FALSE),"")</f>
      </c>
      <c r="O111" s="57">
        <f>IFERROR(VLOOKUP($A:$A,CS!$A:$AK,23,FALSE),"")</f>
      </c>
      <c r="P111" s="57">
        <f>IFERROR(VLOOKUP($A:$A,CS!$A:$AK,24,FALSE),"")</f>
      </c>
      <c r="Q111" s="57">
        <f>IFERROR(VLOOKUP($A:$A,CS!$A:$AK,25,FALSE),"")</f>
      </c>
      <c r="R111" s="57">
        <f>IFERROR(VLOOKUP($A:$A,CS!$A:$AK,26,FALSE),"")</f>
      </c>
      <c r="S111" s="57">
        <f>IFERROR(VLOOKUP($A:$A,CS!$A:$AK,29,FALSE),"")</f>
      </c>
      <c r="T111" s="57">
        <f>IFERROR(VLOOKUP($A:$A,CS!$A:$AK,33,FALSE),"")</f>
      </c>
      <c r="U111" s="57">
        <f>IFERROR(VLOOKUP($A:$A,CS!$A:$AK,34,FALSE),"")</f>
      </c>
      <c r="V111" s="57">
        <f>IFERROR(VLOOKUP($A:$A,CS!$A:$AK,35,FALSE),"")</f>
      </c>
      <c r="W111" s="57">
        <f>IFERROR(VLOOKUP($A:$A,CS!$A:$AK,36,FALSE),"")</f>
      </c>
    </row>
    <row r="112" ht="16.5" customHeight="1" spans="1:23" x14ac:dyDescent="0.25">
      <c r="A112" s="71"/>
      <c r="B112" s="57">
        <f>IFERROR(VLOOKUP($A:$A,CS!$A:$AK,3,FALSE),"")</f>
      </c>
      <c r="C112" s="57">
        <f>IFERROR(VLOOKUP($A:$A,CS!$A:$AK,4,FALSE),"")</f>
      </c>
      <c r="D112" s="57">
        <f>IFERROR(VLOOKUP($A:$A,CS!$A:$AK,5,FALSE),"")</f>
      </c>
      <c r="E112" s="57">
        <f>IFERROR(VLOOKUP($A:$A,CS!$A:$AK,7,FALSE),"")</f>
      </c>
      <c r="F112" s="57">
        <f>IFERROR(VLOOKUP($A:$A,CS!$A:$AK,8,FALSE),"")</f>
      </c>
      <c r="G112" s="57">
        <f>IFERROR(VLOOKUP($A:$A,CS!$A:$AK,10,FALSE),"")</f>
      </c>
      <c r="H112" s="57">
        <f>IFERROR(VLOOKUP($A:$A,CS!$A:$AK,14,FALSE),"")</f>
      </c>
      <c r="I112" s="57">
        <f>IFERROR(VLOOKUP($A:$A,CS!$A:$AK,15,FALSE),"")</f>
      </c>
      <c r="J112" s="57">
        <f>IFERROR(VLOOKUP($A:$A,CS!$A:$AK,18,FALSE),"")</f>
      </c>
      <c r="K112" s="57">
        <f>IFERROR(VLOOKUP($A:$A,CS!$A:$AK,19,FALSE),"")</f>
      </c>
      <c r="L112" s="57">
        <f>IFERROR(VLOOKUP($A:$A,CS!$A:$AK,20,FALSE),"")</f>
      </c>
      <c r="M112" s="57">
        <f>IFERROR(VLOOKUP($A:$A,CS!$A:$AK,22,FALSE),"")</f>
      </c>
      <c r="N112" s="57">
        <f>IFERROR(VLOOKUP($A:$A,CS!$A:$AK,19,FALSE),"")</f>
      </c>
      <c r="O112" s="57">
        <f>IFERROR(VLOOKUP($A:$A,CS!$A:$AK,23,FALSE),"")</f>
      </c>
      <c r="P112" s="57">
        <f>IFERROR(VLOOKUP($A:$A,CS!$A:$AK,24,FALSE),"")</f>
      </c>
      <c r="Q112" s="57">
        <f>IFERROR(VLOOKUP($A:$A,CS!$A:$AK,25,FALSE),"")</f>
      </c>
      <c r="R112" s="57">
        <f>IFERROR(VLOOKUP($A:$A,CS!$A:$AK,26,FALSE),"")</f>
      </c>
      <c r="S112" s="57">
        <f>IFERROR(VLOOKUP($A:$A,CS!$A:$AK,29,FALSE),"")</f>
      </c>
      <c r="T112" s="57">
        <f>IFERROR(VLOOKUP($A:$A,CS!$A:$AK,33,FALSE),"")</f>
      </c>
      <c r="U112" s="57">
        <f>IFERROR(VLOOKUP($A:$A,CS!$A:$AK,34,FALSE),"")</f>
      </c>
      <c r="V112" s="57">
        <f>IFERROR(VLOOKUP($A:$A,CS!$A:$AK,35,FALSE),"")</f>
      </c>
      <c r="W112" s="57">
        <f>IFERROR(VLOOKUP($A:$A,CS!$A:$AK,36,FALSE),"")</f>
      </c>
    </row>
    <row r="113" ht="16.5" customHeight="1" spans="1:23" x14ac:dyDescent="0.25">
      <c r="A113" s="71"/>
      <c r="B113" s="57">
        <f>IFERROR(VLOOKUP($A:$A,CS!$A:$AK,3,FALSE),"")</f>
      </c>
      <c r="C113" s="57">
        <f>IFERROR(VLOOKUP($A:$A,CS!$A:$AK,4,FALSE),"")</f>
      </c>
      <c r="D113" s="57">
        <f>IFERROR(VLOOKUP($A:$A,CS!$A:$AK,5,FALSE),"")</f>
      </c>
      <c r="E113" s="57">
        <f>IFERROR(VLOOKUP($A:$A,CS!$A:$AK,7,FALSE),"")</f>
      </c>
      <c r="F113" s="57">
        <f>IFERROR(VLOOKUP($A:$A,CS!$A:$AK,8,FALSE),"")</f>
      </c>
      <c r="G113" s="57">
        <f>IFERROR(VLOOKUP($A:$A,CS!$A:$AK,10,FALSE),"")</f>
      </c>
      <c r="H113" s="57">
        <f>IFERROR(VLOOKUP($A:$A,CS!$A:$AK,14,FALSE),"")</f>
      </c>
      <c r="I113" s="57">
        <f>IFERROR(VLOOKUP($A:$A,CS!$A:$AK,15,FALSE),"")</f>
      </c>
      <c r="J113" s="57">
        <f>IFERROR(VLOOKUP($A:$A,CS!$A:$AK,18,FALSE),"")</f>
      </c>
      <c r="K113" s="57">
        <f>IFERROR(VLOOKUP($A:$A,CS!$A:$AK,19,FALSE),"")</f>
      </c>
      <c r="L113" s="57">
        <f>IFERROR(VLOOKUP($A:$A,CS!$A:$AK,20,FALSE),"")</f>
      </c>
      <c r="M113" s="57">
        <f>IFERROR(VLOOKUP($A:$A,CS!$A:$AK,22,FALSE),"")</f>
      </c>
      <c r="N113" s="57">
        <f>IFERROR(VLOOKUP($A:$A,CS!$A:$AK,19,FALSE),"")</f>
      </c>
      <c r="O113" s="57">
        <f>IFERROR(VLOOKUP($A:$A,CS!$A:$AK,23,FALSE),"")</f>
      </c>
      <c r="P113" s="57">
        <f>IFERROR(VLOOKUP($A:$A,CS!$A:$AK,24,FALSE),"")</f>
      </c>
      <c r="Q113" s="57">
        <f>IFERROR(VLOOKUP($A:$A,CS!$A:$AK,25,FALSE),"")</f>
      </c>
      <c r="R113" s="57">
        <f>IFERROR(VLOOKUP($A:$A,CS!$A:$AK,26,FALSE),"")</f>
      </c>
      <c r="S113" s="57">
        <f>IFERROR(VLOOKUP($A:$A,CS!$A:$AK,29,FALSE),"")</f>
      </c>
      <c r="T113" s="57">
        <f>IFERROR(VLOOKUP($A:$A,CS!$A:$AK,33,FALSE),"")</f>
      </c>
      <c r="U113" s="57">
        <f>IFERROR(VLOOKUP($A:$A,CS!$A:$AK,34,FALSE),"")</f>
      </c>
      <c r="V113" s="57">
        <f>IFERROR(VLOOKUP($A:$A,CS!$A:$AK,35,FALSE),"")</f>
      </c>
      <c r="W113" s="57">
        <f>IFERROR(VLOOKUP($A:$A,CS!$A:$AK,36,FALSE),"")</f>
      </c>
    </row>
    <row r="114" ht="16.5" customHeight="1" spans="1:23" x14ac:dyDescent="0.25">
      <c r="A114" s="71"/>
      <c r="B114" s="57">
        <f>IFERROR(VLOOKUP($A:$A,CS!$A:$AK,3,FALSE),"")</f>
      </c>
      <c r="C114" s="57">
        <f>IFERROR(VLOOKUP($A:$A,CS!$A:$AK,4,FALSE),"")</f>
      </c>
      <c r="D114" s="57">
        <f>IFERROR(VLOOKUP($A:$A,CS!$A:$AK,5,FALSE),"")</f>
      </c>
      <c r="E114" s="57">
        <f>IFERROR(VLOOKUP($A:$A,CS!$A:$AK,7,FALSE),"")</f>
      </c>
      <c r="F114" s="57">
        <f>IFERROR(VLOOKUP($A:$A,CS!$A:$AK,8,FALSE),"")</f>
      </c>
      <c r="G114" s="57">
        <f>IFERROR(VLOOKUP($A:$A,CS!$A:$AK,10,FALSE),"")</f>
      </c>
      <c r="H114" s="57">
        <f>IFERROR(VLOOKUP($A:$A,CS!$A:$AK,14,FALSE),"")</f>
      </c>
      <c r="I114" s="57">
        <f>IFERROR(VLOOKUP($A:$A,CS!$A:$AK,15,FALSE),"")</f>
      </c>
      <c r="J114" s="57">
        <f>IFERROR(VLOOKUP($A:$A,CS!$A:$AK,18,FALSE),"")</f>
      </c>
      <c r="K114" s="57">
        <f>IFERROR(VLOOKUP($A:$A,CS!$A:$AK,19,FALSE),"")</f>
      </c>
      <c r="L114" s="57">
        <f>IFERROR(VLOOKUP($A:$A,CS!$A:$AK,20,FALSE),"")</f>
      </c>
      <c r="M114" s="57">
        <f>IFERROR(VLOOKUP($A:$A,CS!$A:$AK,22,FALSE),"")</f>
      </c>
      <c r="N114" s="57">
        <f>IFERROR(VLOOKUP($A:$A,CS!$A:$AK,19,FALSE),"")</f>
      </c>
      <c r="O114" s="57">
        <f>IFERROR(VLOOKUP($A:$A,CS!$A:$AK,23,FALSE),"")</f>
      </c>
      <c r="P114" s="57">
        <f>IFERROR(VLOOKUP($A:$A,CS!$A:$AK,24,FALSE),"")</f>
      </c>
      <c r="Q114" s="57">
        <f>IFERROR(VLOOKUP($A:$A,CS!$A:$AK,25,FALSE),"")</f>
      </c>
      <c r="R114" s="57">
        <f>IFERROR(VLOOKUP($A:$A,CS!$A:$AK,26,FALSE),"")</f>
      </c>
      <c r="S114" s="57">
        <f>IFERROR(VLOOKUP($A:$A,CS!$A:$AK,29,FALSE),"")</f>
      </c>
      <c r="T114" s="57">
        <f>IFERROR(VLOOKUP($A:$A,CS!$A:$AK,33,FALSE),"")</f>
      </c>
      <c r="U114" s="57">
        <f>IFERROR(VLOOKUP($A:$A,CS!$A:$AK,34,FALSE),"")</f>
      </c>
      <c r="V114" s="57">
        <f>IFERROR(VLOOKUP($A:$A,CS!$A:$AK,35,FALSE),"")</f>
      </c>
      <c r="W114" s="57">
        <f>IFERROR(VLOOKUP($A:$A,CS!$A:$AK,36,FALSE),"")</f>
      </c>
    </row>
    <row r="115" ht="16.5" customHeight="1" spans="1:23" x14ac:dyDescent="0.25">
      <c r="A115" s="71"/>
      <c r="B115" s="57">
        <f>IFERROR(VLOOKUP($A:$A,CS!$A:$AK,3,FALSE),"")</f>
      </c>
      <c r="C115" s="57">
        <f>IFERROR(VLOOKUP($A:$A,CS!$A:$AK,4,FALSE),"")</f>
      </c>
      <c r="D115" s="57">
        <f>IFERROR(VLOOKUP($A:$A,CS!$A:$AK,5,FALSE),"")</f>
      </c>
      <c r="E115" s="57">
        <f>IFERROR(VLOOKUP($A:$A,CS!$A:$AK,7,FALSE),"")</f>
      </c>
      <c r="F115" s="57">
        <f>IFERROR(VLOOKUP($A:$A,CS!$A:$AK,8,FALSE),"")</f>
      </c>
      <c r="G115" s="57">
        <f>IFERROR(VLOOKUP($A:$A,CS!$A:$AK,10,FALSE),"")</f>
      </c>
      <c r="H115" s="57">
        <f>IFERROR(VLOOKUP($A:$A,CS!$A:$AK,14,FALSE),"")</f>
      </c>
      <c r="I115" s="57">
        <f>IFERROR(VLOOKUP($A:$A,CS!$A:$AK,15,FALSE),"")</f>
      </c>
      <c r="J115" s="57">
        <f>IFERROR(VLOOKUP($A:$A,CS!$A:$AK,18,FALSE),"")</f>
      </c>
      <c r="K115" s="57">
        <f>IFERROR(VLOOKUP($A:$A,CS!$A:$AK,19,FALSE),"")</f>
      </c>
      <c r="L115" s="57">
        <f>IFERROR(VLOOKUP($A:$A,CS!$A:$AK,20,FALSE),"")</f>
      </c>
      <c r="M115" s="57">
        <f>IFERROR(VLOOKUP($A:$A,CS!$A:$AK,22,FALSE),"")</f>
      </c>
      <c r="N115" s="57">
        <f>IFERROR(VLOOKUP($A:$A,CS!$A:$AK,19,FALSE),"")</f>
      </c>
      <c r="O115" s="57">
        <f>IFERROR(VLOOKUP($A:$A,CS!$A:$AK,23,FALSE),"")</f>
      </c>
      <c r="P115" s="57">
        <f>IFERROR(VLOOKUP($A:$A,CS!$A:$AK,24,FALSE),"")</f>
      </c>
      <c r="Q115" s="57">
        <f>IFERROR(VLOOKUP($A:$A,CS!$A:$AK,25,FALSE),"")</f>
      </c>
      <c r="R115" s="57">
        <f>IFERROR(VLOOKUP($A:$A,CS!$A:$AK,26,FALSE),"")</f>
      </c>
      <c r="S115" s="57">
        <f>IFERROR(VLOOKUP($A:$A,CS!$A:$AK,29,FALSE),"")</f>
      </c>
      <c r="T115" s="57">
        <f>IFERROR(VLOOKUP($A:$A,CS!$A:$AK,33,FALSE),"")</f>
      </c>
      <c r="U115" s="57">
        <f>IFERROR(VLOOKUP($A:$A,CS!$A:$AK,34,FALSE),"")</f>
      </c>
      <c r="V115" s="57">
        <f>IFERROR(VLOOKUP($A:$A,CS!$A:$AK,35,FALSE),"")</f>
      </c>
      <c r="W115" s="57">
        <f>IFERROR(VLOOKUP($A:$A,CS!$A:$AK,36,FALSE),"")</f>
      </c>
    </row>
    <row r="116" ht="16.5" customHeight="1" spans="1:23" x14ac:dyDescent="0.25">
      <c r="A116" s="71"/>
      <c r="B116" s="57">
        <f>IFERROR(VLOOKUP($A:$A,CS!$A:$AK,3,FALSE),"")</f>
      </c>
      <c r="C116" s="57">
        <f>IFERROR(VLOOKUP($A:$A,CS!$A:$AK,4,FALSE),"")</f>
      </c>
      <c r="D116" s="57">
        <f>IFERROR(VLOOKUP($A:$A,CS!$A:$AK,5,FALSE),"")</f>
      </c>
      <c r="E116" s="57">
        <f>IFERROR(VLOOKUP($A:$A,CS!$A:$AK,7,FALSE),"")</f>
      </c>
      <c r="F116" s="57">
        <f>IFERROR(VLOOKUP($A:$A,CS!$A:$AK,8,FALSE),"")</f>
      </c>
      <c r="G116" s="57">
        <f>IFERROR(VLOOKUP($A:$A,CS!$A:$AK,10,FALSE),"")</f>
      </c>
      <c r="H116" s="57">
        <f>IFERROR(VLOOKUP($A:$A,CS!$A:$AK,14,FALSE),"")</f>
      </c>
      <c r="I116" s="57">
        <f>IFERROR(VLOOKUP($A:$A,CS!$A:$AK,15,FALSE),"")</f>
      </c>
      <c r="J116" s="57">
        <f>IFERROR(VLOOKUP($A:$A,CS!$A:$AK,18,FALSE),"")</f>
      </c>
      <c r="K116" s="57">
        <f>IFERROR(VLOOKUP($A:$A,CS!$A:$AK,19,FALSE),"")</f>
      </c>
      <c r="L116" s="57">
        <f>IFERROR(VLOOKUP($A:$A,CS!$A:$AK,20,FALSE),"")</f>
      </c>
      <c r="M116" s="57">
        <f>IFERROR(VLOOKUP($A:$A,CS!$A:$AK,22,FALSE),"")</f>
      </c>
      <c r="N116" s="57">
        <f>IFERROR(VLOOKUP($A:$A,CS!$A:$AK,19,FALSE),"")</f>
      </c>
      <c r="O116" s="57">
        <f>IFERROR(VLOOKUP($A:$A,CS!$A:$AK,23,FALSE),"")</f>
      </c>
      <c r="P116" s="57">
        <f>IFERROR(VLOOKUP($A:$A,CS!$A:$AK,24,FALSE),"")</f>
      </c>
      <c r="Q116" s="57">
        <f>IFERROR(VLOOKUP($A:$A,CS!$A:$AK,25,FALSE),"")</f>
      </c>
      <c r="R116" s="57">
        <f>IFERROR(VLOOKUP($A:$A,CS!$A:$AK,26,FALSE),"")</f>
      </c>
      <c r="S116" s="57">
        <f>IFERROR(VLOOKUP($A:$A,CS!$A:$AK,29,FALSE),"")</f>
      </c>
      <c r="T116" s="57">
        <f>IFERROR(VLOOKUP($A:$A,CS!$A:$AK,33,FALSE),"")</f>
      </c>
      <c r="U116" s="57">
        <f>IFERROR(VLOOKUP($A:$A,CS!$A:$AK,34,FALSE),"")</f>
      </c>
      <c r="V116" s="57">
        <f>IFERROR(VLOOKUP($A:$A,CS!$A:$AK,35,FALSE),"")</f>
      </c>
      <c r="W116" s="57">
        <f>IFERROR(VLOOKUP($A:$A,CS!$A:$AK,36,FALSE),"")</f>
      </c>
    </row>
    <row r="117" ht="16.5" customHeight="1" spans="1:23" x14ac:dyDescent="0.25">
      <c r="A117" s="71"/>
      <c r="B117" s="57">
        <f>IFERROR(VLOOKUP($A:$A,CS!$A:$AK,3,FALSE),"")</f>
      </c>
      <c r="C117" s="57">
        <f>IFERROR(VLOOKUP($A:$A,CS!$A:$AK,4,FALSE),"")</f>
      </c>
      <c r="D117" s="57">
        <f>IFERROR(VLOOKUP($A:$A,CS!$A:$AK,5,FALSE),"")</f>
      </c>
      <c r="E117" s="57">
        <f>IFERROR(VLOOKUP($A:$A,CS!$A:$AK,7,FALSE),"")</f>
      </c>
      <c r="F117" s="57">
        <f>IFERROR(VLOOKUP($A:$A,CS!$A:$AK,8,FALSE),"")</f>
      </c>
      <c r="G117" s="57">
        <f>IFERROR(VLOOKUP($A:$A,CS!$A:$AK,10,FALSE),"")</f>
      </c>
      <c r="H117" s="57">
        <f>IFERROR(VLOOKUP($A:$A,CS!$A:$AK,14,FALSE),"")</f>
      </c>
      <c r="I117" s="57">
        <f>IFERROR(VLOOKUP($A:$A,CS!$A:$AK,15,FALSE),"")</f>
      </c>
      <c r="J117" s="57">
        <f>IFERROR(VLOOKUP($A:$A,CS!$A:$AK,18,FALSE),"")</f>
      </c>
      <c r="K117" s="57">
        <f>IFERROR(VLOOKUP($A:$A,CS!$A:$AK,19,FALSE),"")</f>
      </c>
      <c r="L117" s="57">
        <f>IFERROR(VLOOKUP($A:$A,CS!$A:$AK,20,FALSE),"")</f>
      </c>
      <c r="M117" s="57">
        <f>IFERROR(VLOOKUP($A:$A,CS!$A:$AK,22,FALSE),"")</f>
      </c>
      <c r="N117" s="57">
        <f>IFERROR(VLOOKUP($A:$A,CS!$A:$AK,19,FALSE),"")</f>
      </c>
      <c r="O117" s="57">
        <f>IFERROR(VLOOKUP($A:$A,CS!$A:$AK,23,FALSE),"")</f>
      </c>
      <c r="P117" s="57">
        <f>IFERROR(VLOOKUP($A:$A,CS!$A:$AK,24,FALSE),"")</f>
      </c>
      <c r="Q117" s="57">
        <f>IFERROR(VLOOKUP($A:$A,CS!$A:$AK,25,FALSE),"")</f>
      </c>
      <c r="R117" s="57">
        <f>IFERROR(VLOOKUP($A:$A,CS!$A:$AK,26,FALSE),"")</f>
      </c>
      <c r="S117" s="57">
        <f>IFERROR(VLOOKUP($A:$A,CS!$A:$AK,29,FALSE),"")</f>
      </c>
      <c r="T117" s="57">
        <f>IFERROR(VLOOKUP($A:$A,CS!$A:$AK,33,FALSE),"")</f>
      </c>
      <c r="U117" s="57">
        <f>IFERROR(VLOOKUP($A:$A,CS!$A:$AK,34,FALSE),"")</f>
      </c>
      <c r="V117" s="57">
        <f>IFERROR(VLOOKUP($A:$A,CS!$A:$AK,35,FALSE),"")</f>
      </c>
      <c r="W117" s="57">
        <f>IFERROR(VLOOKUP($A:$A,CS!$A:$AK,36,FALSE),"")</f>
      </c>
    </row>
    <row r="118" ht="16.5" customHeight="1" spans="1:23" x14ac:dyDescent="0.25">
      <c r="A118" s="71"/>
      <c r="B118" s="57">
        <f>IFERROR(VLOOKUP($A:$A,CS!$A:$AK,3,FALSE),"")</f>
      </c>
      <c r="C118" s="57">
        <f>IFERROR(VLOOKUP($A:$A,CS!$A:$AK,4,FALSE),"")</f>
      </c>
      <c r="D118" s="57">
        <f>IFERROR(VLOOKUP($A:$A,CS!$A:$AK,5,FALSE),"")</f>
      </c>
      <c r="E118" s="57">
        <f>IFERROR(VLOOKUP($A:$A,CS!$A:$AK,7,FALSE),"")</f>
      </c>
      <c r="F118" s="57">
        <f>IFERROR(VLOOKUP($A:$A,CS!$A:$AK,8,FALSE),"")</f>
      </c>
      <c r="G118" s="57">
        <f>IFERROR(VLOOKUP($A:$A,CS!$A:$AK,10,FALSE),"")</f>
      </c>
      <c r="H118" s="57">
        <f>IFERROR(VLOOKUP($A:$A,CS!$A:$AK,14,FALSE),"")</f>
      </c>
      <c r="I118" s="57">
        <f>IFERROR(VLOOKUP($A:$A,CS!$A:$AK,15,FALSE),"")</f>
      </c>
      <c r="J118" s="57">
        <f>IFERROR(VLOOKUP($A:$A,CS!$A:$AK,18,FALSE),"")</f>
      </c>
      <c r="K118" s="57">
        <f>IFERROR(VLOOKUP($A:$A,CS!$A:$AK,19,FALSE),"")</f>
      </c>
      <c r="L118" s="57">
        <f>IFERROR(VLOOKUP($A:$A,CS!$A:$AK,20,FALSE),"")</f>
      </c>
      <c r="M118" s="57">
        <f>IFERROR(VLOOKUP($A:$A,CS!$A:$AK,22,FALSE),"")</f>
      </c>
      <c r="N118" s="57">
        <f>IFERROR(VLOOKUP($A:$A,CS!$A:$AK,19,FALSE),"")</f>
      </c>
      <c r="O118" s="57">
        <f>IFERROR(VLOOKUP($A:$A,CS!$A:$AK,23,FALSE),"")</f>
      </c>
      <c r="P118" s="57">
        <f>IFERROR(VLOOKUP($A:$A,CS!$A:$AK,24,FALSE),"")</f>
      </c>
      <c r="Q118" s="57">
        <f>IFERROR(VLOOKUP($A:$A,CS!$A:$AK,25,FALSE),"")</f>
      </c>
      <c r="R118" s="57">
        <f>IFERROR(VLOOKUP($A:$A,CS!$A:$AK,26,FALSE),"")</f>
      </c>
      <c r="S118" s="57">
        <f>IFERROR(VLOOKUP($A:$A,CS!$A:$AK,29,FALSE),"")</f>
      </c>
      <c r="T118" s="57">
        <f>IFERROR(VLOOKUP($A:$A,CS!$A:$AK,33,FALSE),"")</f>
      </c>
      <c r="U118" s="57">
        <f>IFERROR(VLOOKUP($A:$A,CS!$A:$AK,34,FALSE),"")</f>
      </c>
      <c r="V118" s="57">
        <f>IFERROR(VLOOKUP($A:$A,CS!$A:$AK,35,FALSE),"")</f>
      </c>
      <c r="W118" s="57">
        <f>IFERROR(VLOOKUP($A:$A,CS!$A:$AK,36,FALSE),"")</f>
      </c>
    </row>
    <row r="119" ht="16.5" customHeight="1" spans="1:23" x14ac:dyDescent="0.25">
      <c r="A119" s="71"/>
      <c r="B119" s="57">
        <f>IFERROR(VLOOKUP($A:$A,CS!$A:$AK,3,FALSE),"")</f>
      </c>
      <c r="C119" s="57">
        <f>IFERROR(VLOOKUP($A:$A,CS!$A:$AK,4,FALSE),"")</f>
      </c>
      <c r="D119" s="57">
        <f>IFERROR(VLOOKUP($A:$A,CS!$A:$AK,5,FALSE),"")</f>
      </c>
      <c r="E119" s="57">
        <f>IFERROR(VLOOKUP($A:$A,CS!$A:$AK,7,FALSE),"")</f>
      </c>
      <c r="F119" s="57">
        <f>IFERROR(VLOOKUP($A:$A,CS!$A:$AK,8,FALSE),"")</f>
      </c>
      <c r="G119" s="57">
        <f>IFERROR(VLOOKUP($A:$A,CS!$A:$AK,10,FALSE),"")</f>
      </c>
      <c r="H119" s="57">
        <f>IFERROR(VLOOKUP($A:$A,CS!$A:$AK,14,FALSE),"")</f>
      </c>
      <c r="I119" s="57">
        <f>IFERROR(VLOOKUP($A:$A,CS!$A:$AK,15,FALSE),"")</f>
      </c>
      <c r="J119" s="57">
        <f>IFERROR(VLOOKUP($A:$A,CS!$A:$AK,18,FALSE),"")</f>
      </c>
      <c r="K119" s="57">
        <f>IFERROR(VLOOKUP($A:$A,CS!$A:$AK,19,FALSE),"")</f>
      </c>
      <c r="L119" s="57">
        <f>IFERROR(VLOOKUP($A:$A,CS!$A:$AK,20,FALSE),"")</f>
      </c>
      <c r="M119" s="57">
        <f>IFERROR(VLOOKUP($A:$A,CS!$A:$AK,22,FALSE),"")</f>
      </c>
      <c r="N119" s="57">
        <f>IFERROR(VLOOKUP($A:$A,CS!$A:$AK,19,FALSE),"")</f>
      </c>
      <c r="O119" s="57">
        <f>IFERROR(VLOOKUP($A:$A,CS!$A:$AK,23,FALSE),"")</f>
      </c>
      <c r="P119" s="57">
        <f>IFERROR(VLOOKUP($A:$A,CS!$A:$AK,24,FALSE),"")</f>
      </c>
      <c r="Q119" s="57">
        <f>IFERROR(VLOOKUP($A:$A,CS!$A:$AK,25,FALSE),"")</f>
      </c>
      <c r="R119" s="57">
        <f>IFERROR(VLOOKUP($A:$A,CS!$A:$AK,26,FALSE),"")</f>
      </c>
      <c r="S119" s="57">
        <f>IFERROR(VLOOKUP($A:$A,CS!$A:$AK,29,FALSE),"")</f>
      </c>
      <c r="T119" s="57">
        <f>IFERROR(VLOOKUP($A:$A,CS!$A:$AK,33,FALSE),"")</f>
      </c>
      <c r="U119" s="57">
        <f>IFERROR(VLOOKUP($A:$A,CS!$A:$AK,34,FALSE),"")</f>
      </c>
      <c r="V119" s="57">
        <f>IFERROR(VLOOKUP($A:$A,CS!$A:$AK,35,FALSE),"")</f>
      </c>
      <c r="W119" s="57">
        <f>IFERROR(VLOOKUP($A:$A,CS!$A:$AK,36,FALSE),"")</f>
      </c>
    </row>
    <row r="120" ht="16.5" customHeight="1" spans="1:23" x14ac:dyDescent="0.25">
      <c r="A120" s="71"/>
      <c r="B120" s="57">
        <f>IFERROR(VLOOKUP($A:$A,CS!$A:$AK,3,FALSE),"")</f>
      </c>
      <c r="C120" s="57">
        <f>IFERROR(VLOOKUP($A:$A,CS!$A:$AK,4,FALSE),"")</f>
      </c>
      <c r="D120" s="57">
        <f>IFERROR(VLOOKUP($A:$A,CS!$A:$AK,5,FALSE),"")</f>
      </c>
      <c r="E120" s="57">
        <f>IFERROR(VLOOKUP($A:$A,CS!$A:$AK,7,FALSE),"")</f>
      </c>
      <c r="F120" s="57">
        <f>IFERROR(VLOOKUP($A:$A,CS!$A:$AK,8,FALSE),"")</f>
      </c>
      <c r="G120" s="57">
        <f>IFERROR(VLOOKUP($A:$A,CS!$A:$AK,10,FALSE),"")</f>
      </c>
      <c r="H120" s="57">
        <f>IFERROR(VLOOKUP($A:$A,CS!$A:$AK,14,FALSE),"")</f>
      </c>
      <c r="I120" s="57">
        <f>IFERROR(VLOOKUP($A:$A,CS!$A:$AK,15,FALSE),"")</f>
      </c>
      <c r="J120" s="57">
        <f>IFERROR(VLOOKUP($A:$A,CS!$A:$AK,18,FALSE),"")</f>
      </c>
      <c r="K120" s="57">
        <f>IFERROR(VLOOKUP($A:$A,CS!$A:$AK,19,FALSE),"")</f>
      </c>
      <c r="L120" s="57">
        <f>IFERROR(VLOOKUP($A:$A,CS!$A:$AK,20,FALSE),"")</f>
      </c>
      <c r="M120" s="57">
        <f>IFERROR(VLOOKUP($A:$A,CS!$A:$AK,22,FALSE),"")</f>
      </c>
      <c r="N120" s="57">
        <f>IFERROR(VLOOKUP($A:$A,CS!$A:$AK,19,FALSE),"")</f>
      </c>
      <c r="O120" s="57">
        <f>IFERROR(VLOOKUP($A:$A,CS!$A:$AK,23,FALSE),"")</f>
      </c>
      <c r="P120" s="57">
        <f>IFERROR(VLOOKUP($A:$A,CS!$A:$AK,24,FALSE),"")</f>
      </c>
      <c r="Q120" s="57">
        <f>IFERROR(VLOOKUP($A:$A,CS!$A:$AK,25,FALSE),"")</f>
      </c>
      <c r="R120" s="57">
        <f>IFERROR(VLOOKUP($A:$A,CS!$A:$AK,26,FALSE),"")</f>
      </c>
      <c r="S120" s="57">
        <f>IFERROR(VLOOKUP($A:$A,CS!$A:$AK,29,FALSE),"")</f>
      </c>
      <c r="T120" s="57">
        <f>IFERROR(VLOOKUP($A:$A,CS!$A:$AK,33,FALSE),"")</f>
      </c>
      <c r="U120" s="57">
        <f>IFERROR(VLOOKUP($A:$A,CS!$A:$AK,34,FALSE),"")</f>
      </c>
      <c r="V120" s="57">
        <f>IFERROR(VLOOKUP($A:$A,CS!$A:$AK,35,FALSE),"")</f>
      </c>
      <c r="W120" s="57">
        <f>IFERROR(VLOOKUP($A:$A,CS!$A:$AK,36,FALSE),"")</f>
      </c>
    </row>
    <row r="121" ht="16.5" customHeight="1" spans="1:23" x14ac:dyDescent="0.25">
      <c r="A121" s="71"/>
      <c r="B121" s="57">
        <f>IFERROR(VLOOKUP($A:$A,CS!$A:$AK,3,FALSE),"")</f>
      </c>
      <c r="C121" s="57">
        <f>IFERROR(VLOOKUP($A:$A,CS!$A:$AK,4,FALSE),"")</f>
      </c>
      <c r="D121" s="57">
        <f>IFERROR(VLOOKUP($A:$A,CS!$A:$AK,5,FALSE),"")</f>
      </c>
      <c r="E121" s="57">
        <f>IFERROR(VLOOKUP($A:$A,CS!$A:$AK,7,FALSE),"")</f>
      </c>
      <c r="F121" s="57">
        <f>IFERROR(VLOOKUP($A:$A,CS!$A:$AK,8,FALSE),"")</f>
      </c>
      <c r="G121" s="57">
        <f>IFERROR(VLOOKUP($A:$A,CS!$A:$AK,10,FALSE),"")</f>
      </c>
      <c r="H121" s="57">
        <f>IFERROR(VLOOKUP($A:$A,CS!$A:$AK,14,FALSE),"")</f>
      </c>
      <c r="I121" s="57">
        <f>IFERROR(VLOOKUP($A:$A,CS!$A:$AK,15,FALSE),"")</f>
      </c>
      <c r="J121" s="57">
        <f>IFERROR(VLOOKUP($A:$A,CS!$A:$AK,18,FALSE),"")</f>
      </c>
      <c r="K121" s="57">
        <f>IFERROR(VLOOKUP($A:$A,CS!$A:$AK,19,FALSE),"")</f>
      </c>
      <c r="L121" s="57">
        <f>IFERROR(VLOOKUP($A:$A,CS!$A:$AK,20,FALSE),"")</f>
      </c>
      <c r="M121" s="57">
        <f>IFERROR(VLOOKUP($A:$A,CS!$A:$AK,22,FALSE),"")</f>
      </c>
      <c r="N121" s="57">
        <f>IFERROR(VLOOKUP($A:$A,CS!$A:$AK,19,FALSE),"")</f>
      </c>
      <c r="O121" s="57">
        <f>IFERROR(VLOOKUP($A:$A,CS!$A:$AK,23,FALSE),"")</f>
      </c>
      <c r="P121" s="57">
        <f>IFERROR(VLOOKUP($A:$A,CS!$A:$AK,24,FALSE),"")</f>
      </c>
      <c r="Q121" s="57">
        <f>IFERROR(VLOOKUP($A:$A,CS!$A:$AK,25,FALSE),"")</f>
      </c>
      <c r="R121" s="57">
        <f>IFERROR(VLOOKUP($A:$A,CS!$A:$AK,26,FALSE),"")</f>
      </c>
      <c r="S121" s="57">
        <f>IFERROR(VLOOKUP($A:$A,CS!$A:$AK,29,FALSE),"")</f>
      </c>
      <c r="T121" s="57">
        <f>IFERROR(VLOOKUP($A:$A,CS!$A:$AK,33,FALSE),"")</f>
      </c>
      <c r="U121" s="57">
        <f>IFERROR(VLOOKUP($A:$A,CS!$A:$AK,34,FALSE),"")</f>
      </c>
      <c r="V121" s="57">
        <f>IFERROR(VLOOKUP($A:$A,CS!$A:$AK,35,FALSE),"")</f>
      </c>
      <c r="W121" s="57">
        <f>IFERROR(VLOOKUP($A:$A,CS!$A:$AK,36,FALSE),"")</f>
      </c>
    </row>
    <row r="122" ht="16.5" customHeight="1" spans="1:23" x14ac:dyDescent="0.25">
      <c r="A122" s="71"/>
      <c r="B122" s="57">
        <f>IFERROR(VLOOKUP($A:$A,CS!$A:$AK,3,FALSE),"")</f>
      </c>
      <c r="C122" s="57">
        <f>IFERROR(VLOOKUP($A:$A,CS!$A:$AK,4,FALSE),"")</f>
      </c>
      <c r="D122" s="57">
        <f>IFERROR(VLOOKUP($A:$A,CS!$A:$AK,5,FALSE),"")</f>
      </c>
      <c r="E122" s="57">
        <f>IFERROR(VLOOKUP($A:$A,CS!$A:$AK,7,FALSE),"")</f>
      </c>
      <c r="F122" s="57">
        <f>IFERROR(VLOOKUP($A:$A,CS!$A:$AK,8,FALSE),"")</f>
      </c>
      <c r="G122" s="57">
        <f>IFERROR(VLOOKUP($A:$A,CS!$A:$AK,10,FALSE),"")</f>
      </c>
      <c r="H122" s="57">
        <f>IFERROR(VLOOKUP($A:$A,CS!$A:$AK,14,FALSE),"")</f>
      </c>
      <c r="I122" s="57">
        <f>IFERROR(VLOOKUP($A:$A,CS!$A:$AK,15,FALSE),"")</f>
      </c>
      <c r="J122" s="57">
        <f>IFERROR(VLOOKUP($A:$A,CS!$A:$AK,18,FALSE),"")</f>
      </c>
      <c r="K122" s="57">
        <f>IFERROR(VLOOKUP($A:$A,CS!$A:$AK,19,FALSE),"")</f>
      </c>
      <c r="L122" s="57">
        <f>IFERROR(VLOOKUP($A:$A,CS!$A:$AK,20,FALSE),"")</f>
      </c>
      <c r="M122" s="57">
        <f>IFERROR(VLOOKUP($A:$A,CS!$A:$AK,22,FALSE),"")</f>
      </c>
      <c r="N122" s="57">
        <f>IFERROR(VLOOKUP($A:$A,CS!$A:$AK,19,FALSE),"")</f>
      </c>
      <c r="O122" s="57">
        <f>IFERROR(VLOOKUP($A:$A,CS!$A:$AK,23,FALSE),"")</f>
      </c>
      <c r="P122" s="57">
        <f>IFERROR(VLOOKUP($A:$A,CS!$A:$AK,24,FALSE),"")</f>
      </c>
      <c r="Q122" s="57">
        <f>IFERROR(VLOOKUP($A:$A,CS!$A:$AK,25,FALSE),"")</f>
      </c>
      <c r="R122" s="57">
        <f>IFERROR(VLOOKUP($A:$A,CS!$A:$AK,26,FALSE),"")</f>
      </c>
      <c r="S122" s="57">
        <f>IFERROR(VLOOKUP($A:$A,CS!$A:$AK,29,FALSE),"")</f>
      </c>
      <c r="T122" s="57">
        <f>IFERROR(VLOOKUP($A:$A,CS!$A:$AK,33,FALSE),"")</f>
      </c>
      <c r="U122" s="57">
        <f>IFERROR(VLOOKUP($A:$A,CS!$A:$AK,34,FALSE),"")</f>
      </c>
      <c r="V122" s="57">
        <f>IFERROR(VLOOKUP($A:$A,CS!$A:$AK,35,FALSE),"")</f>
      </c>
      <c r="W122" s="57">
        <f>IFERROR(VLOOKUP($A:$A,CS!$A:$AK,36,FALSE),"")</f>
      </c>
    </row>
    <row r="123" ht="16.5" customHeight="1" spans="1:23" x14ac:dyDescent="0.25">
      <c r="A123" s="71"/>
      <c r="B123" s="57">
        <f>IFERROR(VLOOKUP($A:$A,CS!$A:$AK,3,FALSE),"")</f>
      </c>
      <c r="C123" s="57">
        <f>IFERROR(VLOOKUP($A:$A,CS!$A:$AK,4,FALSE),"")</f>
      </c>
      <c r="D123" s="57">
        <f>IFERROR(VLOOKUP($A:$A,CS!$A:$AK,5,FALSE),"")</f>
      </c>
      <c r="E123" s="57">
        <f>IFERROR(VLOOKUP($A:$A,CS!$A:$AK,7,FALSE),"")</f>
      </c>
      <c r="F123" s="57">
        <f>IFERROR(VLOOKUP($A:$A,CS!$A:$AK,8,FALSE),"")</f>
      </c>
      <c r="G123" s="57">
        <f>IFERROR(VLOOKUP($A:$A,CS!$A:$AK,10,FALSE),"")</f>
      </c>
      <c r="H123" s="57">
        <f>IFERROR(VLOOKUP($A:$A,CS!$A:$AK,14,FALSE),"")</f>
      </c>
      <c r="I123" s="57">
        <f>IFERROR(VLOOKUP($A:$A,CS!$A:$AK,15,FALSE),"")</f>
      </c>
      <c r="J123" s="57">
        <f>IFERROR(VLOOKUP($A:$A,CS!$A:$AK,18,FALSE),"")</f>
      </c>
      <c r="K123" s="57">
        <f>IFERROR(VLOOKUP($A:$A,CS!$A:$AK,19,FALSE),"")</f>
      </c>
      <c r="L123" s="57">
        <f>IFERROR(VLOOKUP($A:$A,CS!$A:$AK,20,FALSE),"")</f>
      </c>
      <c r="M123" s="57">
        <f>IFERROR(VLOOKUP($A:$A,CS!$A:$AK,22,FALSE),"")</f>
      </c>
      <c r="N123" s="57">
        <f>IFERROR(VLOOKUP($A:$A,CS!$A:$AK,19,FALSE),"")</f>
      </c>
      <c r="O123" s="57">
        <f>IFERROR(VLOOKUP($A:$A,CS!$A:$AK,23,FALSE),"")</f>
      </c>
      <c r="P123" s="57">
        <f>IFERROR(VLOOKUP($A:$A,CS!$A:$AK,24,FALSE),"")</f>
      </c>
      <c r="Q123" s="57">
        <f>IFERROR(VLOOKUP($A:$A,CS!$A:$AK,25,FALSE),"")</f>
      </c>
      <c r="R123" s="57">
        <f>IFERROR(VLOOKUP($A:$A,CS!$A:$AK,26,FALSE),"")</f>
      </c>
      <c r="S123" s="57">
        <f>IFERROR(VLOOKUP($A:$A,CS!$A:$AK,29,FALSE),"")</f>
      </c>
      <c r="T123" s="57">
        <f>IFERROR(VLOOKUP($A:$A,CS!$A:$AK,33,FALSE),"")</f>
      </c>
      <c r="U123" s="57">
        <f>IFERROR(VLOOKUP($A:$A,CS!$A:$AK,34,FALSE),"")</f>
      </c>
      <c r="V123" s="57">
        <f>IFERROR(VLOOKUP($A:$A,CS!$A:$AK,35,FALSE),"")</f>
      </c>
      <c r="W123" s="57">
        <f>IFERROR(VLOOKUP($A:$A,CS!$A:$AK,36,FALSE),"")</f>
      </c>
    </row>
    <row r="124" ht="16.5" customHeight="1" spans="1:23" x14ac:dyDescent="0.25">
      <c r="A124" s="71"/>
      <c r="B124" s="57">
        <f>IFERROR(VLOOKUP($A:$A,CS!$A:$AK,3,FALSE),"")</f>
      </c>
      <c r="C124" s="57">
        <f>IFERROR(VLOOKUP($A:$A,CS!$A:$AK,4,FALSE),"")</f>
      </c>
      <c r="D124" s="57">
        <f>IFERROR(VLOOKUP($A:$A,CS!$A:$AK,5,FALSE),"")</f>
      </c>
      <c r="E124" s="57">
        <f>IFERROR(VLOOKUP($A:$A,CS!$A:$AK,7,FALSE),"")</f>
      </c>
      <c r="F124" s="57">
        <f>IFERROR(VLOOKUP($A:$A,CS!$A:$AK,8,FALSE),"")</f>
      </c>
      <c r="G124" s="57">
        <f>IFERROR(VLOOKUP($A:$A,CS!$A:$AK,10,FALSE),"")</f>
      </c>
      <c r="H124" s="57">
        <f>IFERROR(VLOOKUP($A:$A,CS!$A:$AK,14,FALSE),"")</f>
      </c>
      <c r="I124" s="57">
        <f>IFERROR(VLOOKUP($A:$A,CS!$A:$AK,15,FALSE),"")</f>
      </c>
      <c r="J124" s="57">
        <f>IFERROR(VLOOKUP($A:$A,CS!$A:$AK,18,FALSE),"")</f>
      </c>
      <c r="K124" s="57">
        <f>IFERROR(VLOOKUP($A:$A,CS!$A:$AK,19,FALSE),"")</f>
      </c>
      <c r="L124" s="57">
        <f>IFERROR(VLOOKUP($A:$A,CS!$A:$AK,20,FALSE),"")</f>
      </c>
      <c r="M124" s="57">
        <f>IFERROR(VLOOKUP($A:$A,CS!$A:$AK,22,FALSE),"")</f>
      </c>
      <c r="N124" s="57">
        <f>IFERROR(VLOOKUP($A:$A,CS!$A:$AK,19,FALSE),"")</f>
      </c>
      <c r="O124" s="57">
        <f>IFERROR(VLOOKUP($A:$A,CS!$A:$AK,23,FALSE),"")</f>
      </c>
      <c r="P124" s="57">
        <f>IFERROR(VLOOKUP($A:$A,CS!$A:$AK,24,FALSE),"")</f>
      </c>
      <c r="Q124" s="57">
        <f>IFERROR(VLOOKUP($A:$A,CS!$A:$AK,25,FALSE),"")</f>
      </c>
      <c r="R124" s="57">
        <f>IFERROR(VLOOKUP($A:$A,CS!$A:$AK,26,FALSE),"")</f>
      </c>
      <c r="S124" s="57">
        <f>IFERROR(VLOOKUP($A:$A,CS!$A:$AK,29,FALSE),"")</f>
      </c>
      <c r="T124" s="57">
        <f>IFERROR(VLOOKUP($A:$A,CS!$A:$AK,33,FALSE),"")</f>
      </c>
      <c r="U124" s="57">
        <f>IFERROR(VLOOKUP($A:$A,CS!$A:$AK,34,FALSE),"")</f>
      </c>
      <c r="V124" s="57">
        <f>IFERROR(VLOOKUP($A:$A,CS!$A:$AK,35,FALSE),"")</f>
      </c>
      <c r="W124" s="57">
        <f>IFERROR(VLOOKUP($A:$A,CS!$A:$AK,36,FALSE),"")</f>
      </c>
    </row>
    <row r="125" ht="16.5" customHeight="1" spans="1:23" x14ac:dyDescent="0.25">
      <c r="A125" s="71"/>
      <c r="B125" s="57">
        <f>IFERROR(VLOOKUP($A:$A,CS!$A:$AK,3,FALSE),"")</f>
      </c>
      <c r="C125" s="57">
        <f>IFERROR(VLOOKUP($A:$A,CS!$A:$AK,4,FALSE),"")</f>
      </c>
      <c r="D125" s="57">
        <f>IFERROR(VLOOKUP($A:$A,CS!$A:$AK,5,FALSE),"")</f>
      </c>
      <c r="E125" s="57">
        <f>IFERROR(VLOOKUP($A:$A,CS!$A:$AK,7,FALSE),"")</f>
      </c>
      <c r="F125" s="57">
        <f>IFERROR(VLOOKUP($A:$A,CS!$A:$AK,8,FALSE),"")</f>
      </c>
      <c r="G125" s="57">
        <f>IFERROR(VLOOKUP($A:$A,CS!$A:$AK,10,FALSE),"")</f>
      </c>
      <c r="H125" s="57">
        <f>IFERROR(VLOOKUP($A:$A,CS!$A:$AK,14,FALSE),"")</f>
      </c>
      <c r="I125" s="57">
        <f>IFERROR(VLOOKUP($A:$A,CS!$A:$AK,15,FALSE),"")</f>
      </c>
      <c r="J125" s="57">
        <f>IFERROR(VLOOKUP($A:$A,CS!$A:$AK,18,FALSE),"")</f>
      </c>
      <c r="K125" s="57">
        <f>IFERROR(VLOOKUP($A:$A,CS!$A:$AK,19,FALSE),"")</f>
      </c>
      <c r="L125" s="57">
        <f>IFERROR(VLOOKUP($A:$A,CS!$A:$AK,20,FALSE),"")</f>
      </c>
      <c r="M125" s="57">
        <f>IFERROR(VLOOKUP($A:$A,CS!$A:$AK,22,FALSE),"")</f>
      </c>
      <c r="N125" s="57">
        <f>IFERROR(VLOOKUP($A:$A,CS!$A:$AK,19,FALSE),"")</f>
      </c>
      <c r="O125" s="57">
        <f>IFERROR(VLOOKUP($A:$A,CS!$A:$AK,23,FALSE),"")</f>
      </c>
      <c r="P125" s="57">
        <f>IFERROR(VLOOKUP($A:$A,CS!$A:$AK,24,FALSE),"")</f>
      </c>
      <c r="Q125" s="57">
        <f>IFERROR(VLOOKUP($A:$A,CS!$A:$AK,25,FALSE),"")</f>
      </c>
      <c r="R125" s="57">
        <f>IFERROR(VLOOKUP($A:$A,CS!$A:$AK,26,FALSE),"")</f>
      </c>
      <c r="S125" s="57">
        <f>IFERROR(VLOOKUP($A:$A,CS!$A:$AK,29,FALSE),"")</f>
      </c>
      <c r="T125" s="57">
        <f>IFERROR(VLOOKUP($A:$A,CS!$A:$AK,33,FALSE),"")</f>
      </c>
      <c r="U125" s="57">
        <f>IFERROR(VLOOKUP($A:$A,CS!$A:$AK,34,FALSE),"")</f>
      </c>
      <c r="V125" s="57">
        <f>IFERROR(VLOOKUP($A:$A,CS!$A:$AK,35,FALSE),"")</f>
      </c>
      <c r="W125" s="57">
        <f>IFERROR(VLOOKUP($A:$A,CS!$A:$AK,36,FALSE),"")</f>
      </c>
    </row>
    <row r="126" ht="16.5" customHeight="1" spans="1:23" x14ac:dyDescent="0.25">
      <c r="A126" s="71"/>
      <c r="B126" s="57">
        <f>IFERROR(VLOOKUP($A:$A,CS!$A:$AK,3,FALSE),"")</f>
      </c>
      <c r="C126" s="57">
        <f>IFERROR(VLOOKUP($A:$A,CS!$A:$AK,4,FALSE),"")</f>
      </c>
      <c r="D126" s="57">
        <f>IFERROR(VLOOKUP($A:$A,CS!$A:$AK,5,FALSE),"")</f>
      </c>
      <c r="E126" s="57">
        <f>IFERROR(VLOOKUP($A:$A,CS!$A:$AK,7,FALSE),"")</f>
      </c>
      <c r="F126" s="57">
        <f>IFERROR(VLOOKUP($A:$A,CS!$A:$AK,8,FALSE),"")</f>
      </c>
      <c r="G126" s="57">
        <f>IFERROR(VLOOKUP($A:$A,CS!$A:$AK,10,FALSE),"")</f>
      </c>
      <c r="H126" s="57">
        <f>IFERROR(VLOOKUP($A:$A,CS!$A:$AK,14,FALSE),"")</f>
      </c>
      <c r="I126" s="57">
        <f>IFERROR(VLOOKUP($A:$A,CS!$A:$AK,15,FALSE),"")</f>
      </c>
      <c r="J126" s="57">
        <f>IFERROR(VLOOKUP($A:$A,CS!$A:$AK,18,FALSE),"")</f>
      </c>
      <c r="K126" s="57">
        <f>IFERROR(VLOOKUP($A:$A,CS!$A:$AK,19,FALSE),"")</f>
      </c>
      <c r="L126" s="57">
        <f>IFERROR(VLOOKUP($A:$A,CS!$A:$AK,20,FALSE),"")</f>
      </c>
      <c r="M126" s="57">
        <f>IFERROR(VLOOKUP($A:$A,CS!$A:$AK,22,FALSE),"")</f>
      </c>
      <c r="N126" s="57">
        <f>IFERROR(VLOOKUP($A:$A,CS!$A:$AK,19,FALSE),"")</f>
      </c>
      <c r="O126" s="57">
        <f>IFERROR(VLOOKUP($A:$A,CS!$A:$AK,23,FALSE),"")</f>
      </c>
      <c r="P126" s="57">
        <f>IFERROR(VLOOKUP($A:$A,CS!$A:$AK,24,FALSE),"")</f>
      </c>
      <c r="Q126" s="57">
        <f>IFERROR(VLOOKUP($A:$A,CS!$A:$AK,25,FALSE),"")</f>
      </c>
      <c r="R126" s="57">
        <f>IFERROR(VLOOKUP($A:$A,CS!$A:$AK,26,FALSE),"")</f>
      </c>
      <c r="S126" s="57">
        <f>IFERROR(VLOOKUP($A:$A,CS!$A:$AK,29,FALSE),"")</f>
      </c>
      <c r="T126" s="57">
        <f>IFERROR(VLOOKUP($A:$A,CS!$A:$AK,33,FALSE),"")</f>
      </c>
      <c r="U126" s="57">
        <f>IFERROR(VLOOKUP($A:$A,CS!$A:$AK,34,FALSE),"")</f>
      </c>
      <c r="V126" s="57">
        <f>IFERROR(VLOOKUP($A:$A,CS!$A:$AK,35,FALSE),"")</f>
      </c>
      <c r="W126" s="57">
        <f>IFERROR(VLOOKUP($A:$A,CS!$A:$AK,36,FALSE),"")</f>
      </c>
    </row>
    <row r="127" ht="16.5" customHeight="1" spans="1:23" x14ac:dyDescent="0.25">
      <c r="A127" s="71"/>
      <c r="B127" s="57">
        <f>IFERROR(VLOOKUP($A:$A,CS!$A:$AK,3,FALSE),"")</f>
      </c>
      <c r="C127" s="57">
        <f>IFERROR(VLOOKUP($A:$A,CS!$A:$AK,4,FALSE),"")</f>
      </c>
      <c r="D127" s="57">
        <f>IFERROR(VLOOKUP($A:$A,CS!$A:$AK,5,FALSE),"")</f>
      </c>
      <c r="E127" s="57">
        <f>IFERROR(VLOOKUP($A:$A,CS!$A:$AK,7,FALSE),"")</f>
      </c>
      <c r="F127" s="57">
        <f>IFERROR(VLOOKUP($A:$A,CS!$A:$AK,8,FALSE),"")</f>
      </c>
      <c r="G127" s="57">
        <f>IFERROR(VLOOKUP($A:$A,CS!$A:$AK,10,FALSE),"")</f>
      </c>
      <c r="H127" s="57">
        <f>IFERROR(VLOOKUP($A:$A,CS!$A:$AK,14,FALSE),"")</f>
      </c>
      <c r="I127" s="57">
        <f>IFERROR(VLOOKUP($A:$A,CS!$A:$AK,15,FALSE),"")</f>
      </c>
      <c r="J127" s="57">
        <f>IFERROR(VLOOKUP($A:$A,CS!$A:$AK,18,FALSE),"")</f>
      </c>
      <c r="K127" s="57">
        <f>IFERROR(VLOOKUP($A:$A,CS!$A:$AK,19,FALSE),"")</f>
      </c>
      <c r="L127" s="57">
        <f>IFERROR(VLOOKUP($A:$A,CS!$A:$AK,20,FALSE),"")</f>
      </c>
      <c r="M127" s="57">
        <f>IFERROR(VLOOKUP($A:$A,CS!$A:$AK,22,FALSE),"")</f>
      </c>
      <c r="N127" s="57">
        <f>IFERROR(VLOOKUP($A:$A,CS!$A:$AK,19,FALSE),"")</f>
      </c>
      <c r="O127" s="57">
        <f>IFERROR(VLOOKUP($A:$A,CS!$A:$AK,23,FALSE),"")</f>
      </c>
      <c r="P127" s="57">
        <f>IFERROR(VLOOKUP($A:$A,CS!$A:$AK,24,FALSE),"")</f>
      </c>
      <c r="Q127" s="57">
        <f>IFERROR(VLOOKUP($A:$A,CS!$A:$AK,25,FALSE),"")</f>
      </c>
      <c r="R127" s="57">
        <f>IFERROR(VLOOKUP($A:$A,CS!$A:$AK,26,FALSE),"")</f>
      </c>
      <c r="S127" s="57">
        <f>IFERROR(VLOOKUP($A:$A,CS!$A:$AK,29,FALSE),"")</f>
      </c>
      <c r="T127" s="57">
        <f>IFERROR(VLOOKUP($A:$A,CS!$A:$AK,33,FALSE),"")</f>
      </c>
      <c r="U127" s="57">
        <f>IFERROR(VLOOKUP($A:$A,CS!$A:$AK,34,FALSE),"")</f>
      </c>
      <c r="V127" s="57">
        <f>IFERROR(VLOOKUP($A:$A,CS!$A:$AK,35,FALSE),"")</f>
      </c>
      <c r="W127" s="57">
        <f>IFERROR(VLOOKUP($A:$A,CS!$A:$AK,36,FALSE),"")</f>
      </c>
    </row>
    <row r="128" ht="16.5" customHeight="1" spans="1:23" x14ac:dyDescent="0.25">
      <c r="A128" s="71"/>
      <c r="B128" s="57">
        <f>IFERROR(VLOOKUP($A:$A,CS!$A:$AK,3,FALSE),"")</f>
      </c>
      <c r="C128" s="57">
        <f>IFERROR(VLOOKUP($A:$A,CS!$A:$AK,4,FALSE),"")</f>
      </c>
      <c r="D128" s="57">
        <f>IFERROR(VLOOKUP($A:$A,CS!$A:$AK,5,FALSE),"")</f>
      </c>
      <c r="E128" s="57">
        <f>IFERROR(VLOOKUP($A:$A,CS!$A:$AK,7,FALSE),"")</f>
      </c>
      <c r="F128" s="57">
        <f>IFERROR(VLOOKUP($A:$A,CS!$A:$AK,8,FALSE),"")</f>
      </c>
      <c r="G128" s="57">
        <f>IFERROR(VLOOKUP($A:$A,CS!$A:$AK,10,FALSE),"")</f>
      </c>
      <c r="H128" s="57">
        <f>IFERROR(VLOOKUP($A:$A,CS!$A:$AK,14,FALSE),"")</f>
      </c>
      <c r="I128" s="57">
        <f>IFERROR(VLOOKUP($A:$A,CS!$A:$AK,15,FALSE),"")</f>
      </c>
      <c r="J128" s="57">
        <f>IFERROR(VLOOKUP($A:$A,CS!$A:$AK,18,FALSE),"")</f>
      </c>
      <c r="K128" s="57">
        <f>IFERROR(VLOOKUP($A:$A,CS!$A:$AK,19,FALSE),"")</f>
      </c>
      <c r="L128" s="57">
        <f>IFERROR(VLOOKUP($A:$A,CS!$A:$AK,20,FALSE),"")</f>
      </c>
      <c r="M128" s="57">
        <f>IFERROR(VLOOKUP($A:$A,CS!$A:$AK,22,FALSE),"")</f>
      </c>
      <c r="N128" s="57">
        <f>IFERROR(VLOOKUP($A:$A,CS!$A:$AK,19,FALSE),"")</f>
      </c>
      <c r="O128" s="57">
        <f>IFERROR(VLOOKUP($A:$A,CS!$A:$AK,23,FALSE),"")</f>
      </c>
      <c r="P128" s="57">
        <f>IFERROR(VLOOKUP($A:$A,CS!$A:$AK,24,FALSE),"")</f>
      </c>
      <c r="Q128" s="57">
        <f>IFERROR(VLOOKUP($A:$A,CS!$A:$AK,25,FALSE),"")</f>
      </c>
      <c r="R128" s="57">
        <f>IFERROR(VLOOKUP($A:$A,CS!$A:$AK,26,FALSE),"")</f>
      </c>
      <c r="S128" s="57">
        <f>IFERROR(VLOOKUP($A:$A,CS!$A:$AK,29,FALSE),"")</f>
      </c>
      <c r="T128" s="57">
        <f>IFERROR(VLOOKUP($A:$A,CS!$A:$AK,33,FALSE),"")</f>
      </c>
      <c r="U128" s="57">
        <f>IFERROR(VLOOKUP($A:$A,CS!$A:$AK,34,FALSE),"")</f>
      </c>
      <c r="V128" s="57">
        <f>IFERROR(VLOOKUP($A:$A,CS!$A:$AK,35,FALSE),"")</f>
      </c>
      <c r="W128" s="57">
        <f>IFERROR(VLOOKUP($A:$A,CS!$A:$AK,36,FALSE),"")</f>
      </c>
    </row>
    <row r="129" ht="16.5" customHeight="1" spans="1:23" x14ac:dyDescent="0.25">
      <c r="A129" s="71"/>
      <c r="B129" s="57">
        <f>IFERROR(VLOOKUP($A:$A,CS!$A:$AK,3,FALSE),"")</f>
      </c>
      <c r="C129" s="57">
        <f>IFERROR(VLOOKUP($A:$A,CS!$A:$AK,4,FALSE),"")</f>
      </c>
      <c r="D129" s="57">
        <f>IFERROR(VLOOKUP($A:$A,CS!$A:$AK,5,FALSE),"")</f>
      </c>
      <c r="E129" s="57">
        <f>IFERROR(VLOOKUP($A:$A,CS!$A:$AK,7,FALSE),"")</f>
      </c>
      <c r="F129" s="57">
        <f>IFERROR(VLOOKUP($A:$A,CS!$A:$AK,8,FALSE),"")</f>
      </c>
      <c r="G129" s="57">
        <f>IFERROR(VLOOKUP($A:$A,CS!$A:$AK,10,FALSE),"")</f>
      </c>
      <c r="H129" s="57">
        <f>IFERROR(VLOOKUP($A:$A,CS!$A:$AK,14,FALSE),"")</f>
      </c>
      <c r="I129" s="57">
        <f>IFERROR(VLOOKUP($A:$A,CS!$A:$AK,15,FALSE),"")</f>
      </c>
      <c r="J129" s="57">
        <f>IFERROR(VLOOKUP($A:$A,CS!$A:$AK,18,FALSE),"")</f>
      </c>
      <c r="K129" s="57">
        <f>IFERROR(VLOOKUP($A:$A,CS!$A:$AK,19,FALSE),"")</f>
      </c>
      <c r="L129" s="57">
        <f>IFERROR(VLOOKUP($A:$A,CS!$A:$AK,20,FALSE),"")</f>
      </c>
      <c r="M129" s="57">
        <f>IFERROR(VLOOKUP($A:$A,CS!$A:$AK,22,FALSE),"")</f>
      </c>
      <c r="N129" s="57">
        <f>IFERROR(VLOOKUP($A:$A,CS!$A:$AK,19,FALSE),"")</f>
      </c>
      <c r="O129" s="57">
        <f>IFERROR(VLOOKUP($A:$A,CS!$A:$AK,23,FALSE),"")</f>
      </c>
      <c r="P129" s="57">
        <f>IFERROR(VLOOKUP($A:$A,CS!$A:$AK,24,FALSE),"")</f>
      </c>
      <c r="Q129" s="57">
        <f>IFERROR(VLOOKUP($A:$A,CS!$A:$AK,25,FALSE),"")</f>
      </c>
      <c r="R129" s="57">
        <f>IFERROR(VLOOKUP($A:$A,CS!$A:$AK,26,FALSE),"")</f>
      </c>
      <c r="S129" s="57">
        <f>IFERROR(VLOOKUP($A:$A,CS!$A:$AK,29,FALSE),"")</f>
      </c>
      <c r="T129" s="57">
        <f>IFERROR(VLOOKUP($A:$A,CS!$A:$AK,33,FALSE),"")</f>
      </c>
      <c r="U129" s="57">
        <f>IFERROR(VLOOKUP($A:$A,CS!$A:$AK,34,FALSE),"")</f>
      </c>
      <c r="V129" s="57">
        <f>IFERROR(VLOOKUP($A:$A,CS!$A:$AK,35,FALSE),"")</f>
      </c>
      <c r="W129" s="57">
        <f>IFERROR(VLOOKUP($A:$A,CS!$A:$AK,36,FALSE),"")</f>
      </c>
    </row>
    <row r="130" ht="16.5" customHeight="1" spans="1:23" x14ac:dyDescent="0.25">
      <c r="A130" s="71"/>
      <c r="B130" s="57">
        <f>IFERROR(VLOOKUP($A:$A,CS!$A:$AK,3,FALSE),"")</f>
      </c>
      <c r="C130" s="57">
        <f>IFERROR(VLOOKUP($A:$A,CS!$A:$AK,4,FALSE),"")</f>
      </c>
      <c r="D130" s="57">
        <f>IFERROR(VLOOKUP($A:$A,CS!$A:$AK,5,FALSE),"")</f>
      </c>
      <c r="E130" s="57">
        <f>IFERROR(VLOOKUP($A:$A,CS!$A:$AK,7,FALSE),"")</f>
      </c>
      <c r="F130" s="57">
        <f>IFERROR(VLOOKUP($A:$A,CS!$A:$AK,8,FALSE),"")</f>
      </c>
      <c r="G130" s="57">
        <f>IFERROR(VLOOKUP($A:$A,CS!$A:$AK,10,FALSE),"")</f>
      </c>
      <c r="H130" s="57">
        <f>IFERROR(VLOOKUP($A:$A,CS!$A:$AK,14,FALSE),"")</f>
      </c>
      <c r="I130" s="57">
        <f>IFERROR(VLOOKUP($A:$A,CS!$A:$AK,15,FALSE),"")</f>
      </c>
      <c r="J130" s="57">
        <f>IFERROR(VLOOKUP($A:$A,CS!$A:$AK,18,FALSE),"")</f>
      </c>
      <c r="K130" s="57">
        <f>IFERROR(VLOOKUP($A:$A,CS!$A:$AK,19,FALSE),"")</f>
      </c>
      <c r="L130" s="57">
        <f>IFERROR(VLOOKUP($A:$A,CS!$A:$AK,20,FALSE),"")</f>
      </c>
      <c r="M130" s="57">
        <f>IFERROR(VLOOKUP($A:$A,CS!$A:$AK,22,FALSE),"")</f>
      </c>
      <c r="N130" s="57">
        <f>IFERROR(VLOOKUP($A:$A,CS!$A:$AK,19,FALSE),"")</f>
      </c>
      <c r="O130" s="57">
        <f>IFERROR(VLOOKUP($A:$A,CS!$A:$AK,23,FALSE),"")</f>
      </c>
      <c r="P130" s="57">
        <f>IFERROR(VLOOKUP($A:$A,CS!$A:$AK,24,FALSE),"")</f>
      </c>
      <c r="Q130" s="57">
        <f>IFERROR(VLOOKUP($A:$A,CS!$A:$AK,25,FALSE),"")</f>
      </c>
      <c r="R130" s="57">
        <f>IFERROR(VLOOKUP($A:$A,CS!$A:$AK,26,FALSE),"")</f>
      </c>
      <c r="S130" s="57">
        <f>IFERROR(VLOOKUP($A:$A,CS!$A:$AK,29,FALSE),"")</f>
      </c>
      <c r="T130" s="57">
        <f>IFERROR(VLOOKUP($A:$A,CS!$A:$AK,33,FALSE),"")</f>
      </c>
      <c r="U130" s="57">
        <f>IFERROR(VLOOKUP($A:$A,CS!$A:$AK,34,FALSE),"")</f>
      </c>
      <c r="V130" s="57">
        <f>IFERROR(VLOOKUP($A:$A,CS!$A:$AK,35,FALSE),"")</f>
      </c>
      <c r="W130" s="57">
        <f>IFERROR(VLOOKUP($A:$A,CS!$A:$AK,36,FALSE),"")</f>
      </c>
    </row>
    <row r="131" ht="16.5" customHeight="1" spans="1:23" x14ac:dyDescent="0.25">
      <c r="A131" s="71"/>
      <c r="B131" s="57">
        <f>IFERROR(VLOOKUP($A:$A,CS!$A:$AK,3,FALSE),"")</f>
      </c>
      <c r="C131" s="57">
        <f>IFERROR(VLOOKUP($A:$A,CS!$A:$AK,4,FALSE),"")</f>
      </c>
      <c r="D131" s="57">
        <f>IFERROR(VLOOKUP($A:$A,CS!$A:$AK,5,FALSE),"")</f>
      </c>
      <c r="E131" s="57">
        <f>IFERROR(VLOOKUP($A:$A,CS!$A:$AK,7,FALSE),"")</f>
      </c>
      <c r="F131" s="57">
        <f>IFERROR(VLOOKUP($A:$A,CS!$A:$AK,8,FALSE),"")</f>
      </c>
      <c r="G131" s="57">
        <f>IFERROR(VLOOKUP($A:$A,CS!$A:$AK,10,FALSE),"")</f>
      </c>
      <c r="H131" s="57">
        <f>IFERROR(VLOOKUP($A:$A,CS!$A:$AK,14,FALSE),"")</f>
      </c>
      <c r="I131" s="57">
        <f>IFERROR(VLOOKUP($A:$A,CS!$A:$AK,15,FALSE),"")</f>
      </c>
      <c r="J131" s="57">
        <f>IFERROR(VLOOKUP($A:$A,CS!$A:$AK,18,FALSE),"")</f>
      </c>
      <c r="K131" s="57">
        <f>IFERROR(VLOOKUP($A:$A,CS!$A:$AK,19,FALSE),"")</f>
      </c>
      <c r="L131" s="57">
        <f>IFERROR(VLOOKUP($A:$A,CS!$A:$AK,20,FALSE),"")</f>
      </c>
      <c r="M131" s="57">
        <f>IFERROR(VLOOKUP($A:$A,CS!$A:$AK,22,FALSE),"")</f>
      </c>
      <c r="N131" s="57">
        <f>IFERROR(VLOOKUP($A:$A,CS!$A:$AK,19,FALSE),"")</f>
      </c>
      <c r="O131" s="57">
        <f>IFERROR(VLOOKUP($A:$A,CS!$A:$AK,23,FALSE),"")</f>
      </c>
      <c r="P131" s="57">
        <f>IFERROR(VLOOKUP($A:$A,CS!$A:$AK,24,FALSE),"")</f>
      </c>
      <c r="Q131" s="57">
        <f>IFERROR(VLOOKUP($A:$A,CS!$A:$AK,25,FALSE),"")</f>
      </c>
      <c r="R131" s="57">
        <f>IFERROR(VLOOKUP($A:$A,CS!$A:$AK,26,FALSE),"")</f>
      </c>
      <c r="S131" s="57">
        <f>IFERROR(VLOOKUP($A:$A,CS!$A:$AK,29,FALSE),"")</f>
      </c>
      <c r="T131" s="57">
        <f>IFERROR(VLOOKUP($A:$A,CS!$A:$AK,33,FALSE),"")</f>
      </c>
      <c r="U131" s="57">
        <f>IFERROR(VLOOKUP($A:$A,CS!$A:$AK,34,FALSE),"")</f>
      </c>
      <c r="V131" s="57">
        <f>IFERROR(VLOOKUP($A:$A,CS!$A:$AK,35,FALSE),"")</f>
      </c>
      <c r="W131" s="57">
        <f>IFERROR(VLOOKUP($A:$A,CS!$A:$AK,36,FALSE),"")</f>
      </c>
    </row>
    <row r="132" ht="16.5" customHeight="1" spans="1:23" x14ac:dyDescent="0.25">
      <c r="A132" s="71"/>
      <c r="B132" s="57">
        <f>IFERROR(VLOOKUP($A:$A,CS!$A:$AK,3,FALSE),"")</f>
      </c>
      <c r="C132" s="57">
        <f>IFERROR(VLOOKUP($A:$A,CS!$A:$AK,4,FALSE),"")</f>
      </c>
      <c r="D132" s="57">
        <f>IFERROR(VLOOKUP($A:$A,CS!$A:$AK,5,FALSE),"")</f>
      </c>
      <c r="E132" s="57">
        <f>IFERROR(VLOOKUP($A:$A,CS!$A:$AK,7,FALSE),"")</f>
      </c>
      <c r="F132" s="57">
        <f>IFERROR(VLOOKUP($A:$A,CS!$A:$AK,8,FALSE),"")</f>
      </c>
      <c r="G132" s="57">
        <f>IFERROR(VLOOKUP($A:$A,CS!$A:$AK,10,FALSE),"")</f>
      </c>
      <c r="H132" s="57">
        <f>IFERROR(VLOOKUP($A:$A,CS!$A:$AK,14,FALSE),"")</f>
      </c>
      <c r="I132" s="57">
        <f>IFERROR(VLOOKUP($A:$A,CS!$A:$AK,15,FALSE),"")</f>
      </c>
      <c r="J132" s="57">
        <f>IFERROR(VLOOKUP($A:$A,CS!$A:$AK,18,FALSE),"")</f>
      </c>
      <c r="K132" s="57">
        <f>IFERROR(VLOOKUP($A:$A,CS!$A:$AK,19,FALSE),"")</f>
      </c>
      <c r="L132" s="57">
        <f>IFERROR(VLOOKUP($A:$A,CS!$A:$AK,20,FALSE),"")</f>
      </c>
      <c r="M132" s="57">
        <f>IFERROR(VLOOKUP($A:$A,CS!$A:$AK,22,FALSE),"")</f>
      </c>
      <c r="N132" s="57">
        <f>IFERROR(VLOOKUP($A:$A,CS!$A:$AK,19,FALSE),"")</f>
      </c>
      <c r="O132" s="57">
        <f>IFERROR(VLOOKUP($A:$A,CS!$A:$AK,23,FALSE),"")</f>
      </c>
      <c r="P132" s="57">
        <f>IFERROR(VLOOKUP($A:$A,CS!$A:$AK,24,FALSE),"")</f>
      </c>
      <c r="Q132" s="57">
        <f>IFERROR(VLOOKUP($A:$A,CS!$A:$AK,25,FALSE),"")</f>
      </c>
      <c r="R132" s="57">
        <f>IFERROR(VLOOKUP($A:$A,CS!$A:$AK,26,FALSE),"")</f>
      </c>
      <c r="S132" s="57">
        <f>IFERROR(VLOOKUP($A:$A,CS!$A:$AK,29,FALSE),"")</f>
      </c>
      <c r="T132" s="57">
        <f>IFERROR(VLOOKUP($A:$A,CS!$A:$AK,33,FALSE),"")</f>
      </c>
      <c r="U132" s="57">
        <f>IFERROR(VLOOKUP($A:$A,CS!$A:$AK,34,FALSE),"")</f>
      </c>
      <c r="V132" s="57">
        <f>IFERROR(VLOOKUP($A:$A,CS!$A:$AK,35,FALSE),"")</f>
      </c>
      <c r="W132" s="57">
        <f>IFERROR(VLOOKUP($A:$A,CS!$A:$AK,36,FALSE),"")</f>
      </c>
    </row>
    <row r="133" ht="16.5" customHeight="1" spans="1:23" x14ac:dyDescent="0.25">
      <c r="A133" s="71"/>
      <c r="B133" s="57">
        <f>IFERROR(VLOOKUP($A:$A,CS!$A:$AK,3,FALSE),"")</f>
      </c>
      <c r="C133" s="57">
        <f>IFERROR(VLOOKUP($A:$A,CS!$A:$AK,4,FALSE),"")</f>
      </c>
      <c r="D133" s="57">
        <f>IFERROR(VLOOKUP($A:$A,CS!$A:$AK,5,FALSE),"")</f>
      </c>
      <c r="E133" s="57">
        <f>IFERROR(VLOOKUP($A:$A,CS!$A:$AK,7,FALSE),"")</f>
      </c>
      <c r="F133" s="57">
        <f>IFERROR(VLOOKUP($A:$A,CS!$A:$AK,8,FALSE),"")</f>
      </c>
      <c r="G133" s="57">
        <f>IFERROR(VLOOKUP($A:$A,CS!$A:$AK,10,FALSE),"")</f>
      </c>
      <c r="H133" s="57">
        <f>IFERROR(VLOOKUP($A:$A,CS!$A:$AK,14,FALSE),"")</f>
      </c>
      <c r="I133" s="57">
        <f>IFERROR(VLOOKUP($A:$A,CS!$A:$AK,15,FALSE),"")</f>
      </c>
      <c r="J133" s="57">
        <f>IFERROR(VLOOKUP($A:$A,CS!$A:$AK,18,FALSE),"")</f>
      </c>
      <c r="K133" s="57">
        <f>IFERROR(VLOOKUP($A:$A,CS!$A:$AK,19,FALSE),"")</f>
      </c>
      <c r="L133" s="57">
        <f>IFERROR(VLOOKUP($A:$A,CS!$A:$AK,20,FALSE),"")</f>
      </c>
      <c r="M133" s="57">
        <f>IFERROR(VLOOKUP($A:$A,CS!$A:$AK,22,FALSE),"")</f>
      </c>
      <c r="N133" s="57">
        <f>IFERROR(VLOOKUP($A:$A,CS!$A:$AK,19,FALSE),"")</f>
      </c>
      <c r="O133" s="57">
        <f>IFERROR(VLOOKUP($A:$A,CS!$A:$AK,23,FALSE),"")</f>
      </c>
      <c r="P133" s="57">
        <f>IFERROR(VLOOKUP($A:$A,CS!$A:$AK,24,FALSE),"")</f>
      </c>
      <c r="Q133" s="57">
        <f>IFERROR(VLOOKUP($A:$A,CS!$A:$AK,25,FALSE),"")</f>
      </c>
      <c r="R133" s="57">
        <f>IFERROR(VLOOKUP($A:$A,CS!$A:$AK,26,FALSE),"")</f>
      </c>
      <c r="S133" s="57">
        <f>IFERROR(VLOOKUP($A:$A,CS!$A:$AK,29,FALSE),"")</f>
      </c>
      <c r="T133" s="57">
        <f>IFERROR(VLOOKUP($A:$A,CS!$A:$AK,33,FALSE),"")</f>
      </c>
      <c r="U133" s="57">
        <f>IFERROR(VLOOKUP($A:$A,CS!$A:$AK,34,FALSE),"")</f>
      </c>
      <c r="V133" s="57">
        <f>IFERROR(VLOOKUP($A:$A,CS!$A:$AK,35,FALSE),"")</f>
      </c>
      <c r="W133" s="57">
        <f>IFERROR(VLOOKUP($A:$A,CS!$A:$AK,36,FALSE),"")</f>
      </c>
    </row>
    <row r="134" ht="16.5" customHeight="1" spans="1:23" x14ac:dyDescent="0.25">
      <c r="A134" s="71"/>
      <c r="B134" s="57">
        <f>IFERROR(VLOOKUP($A:$A,CS!$A:$AK,3,FALSE),"")</f>
      </c>
      <c r="C134" s="57">
        <f>IFERROR(VLOOKUP($A:$A,CS!$A:$AK,4,FALSE),"")</f>
      </c>
      <c r="D134" s="57">
        <f>IFERROR(VLOOKUP($A:$A,CS!$A:$AK,5,FALSE),"")</f>
      </c>
      <c r="E134" s="57">
        <f>IFERROR(VLOOKUP($A:$A,CS!$A:$AK,7,FALSE),"")</f>
      </c>
      <c r="F134" s="57">
        <f>IFERROR(VLOOKUP($A:$A,CS!$A:$AK,8,FALSE),"")</f>
      </c>
      <c r="G134" s="57">
        <f>IFERROR(VLOOKUP($A:$A,CS!$A:$AK,10,FALSE),"")</f>
      </c>
      <c r="H134" s="57">
        <f>IFERROR(VLOOKUP($A:$A,CS!$A:$AK,14,FALSE),"")</f>
      </c>
      <c r="I134" s="57">
        <f>IFERROR(VLOOKUP($A:$A,CS!$A:$AK,15,FALSE),"")</f>
      </c>
      <c r="J134" s="57">
        <f>IFERROR(VLOOKUP($A:$A,CS!$A:$AK,18,FALSE),"")</f>
      </c>
      <c r="K134" s="57">
        <f>IFERROR(VLOOKUP($A:$A,CS!$A:$AK,19,FALSE),"")</f>
      </c>
      <c r="L134" s="57">
        <f>IFERROR(VLOOKUP($A:$A,CS!$A:$AK,20,FALSE),"")</f>
      </c>
      <c r="M134" s="57">
        <f>IFERROR(VLOOKUP($A:$A,CS!$A:$AK,22,FALSE),"")</f>
      </c>
      <c r="N134" s="57">
        <f>IFERROR(VLOOKUP($A:$A,CS!$A:$AK,19,FALSE),"")</f>
      </c>
      <c r="O134" s="57">
        <f>IFERROR(VLOOKUP($A:$A,CS!$A:$AK,23,FALSE),"")</f>
      </c>
      <c r="P134" s="57">
        <f>IFERROR(VLOOKUP($A:$A,CS!$A:$AK,24,FALSE),"")</f>
      </c>
      <c r="Q134" s="57">
        <f>IFERROR(VLOOKUP($A:$A,CS!$A:$AK,25,FALSE),"")</f>
      </c>
      <c r="R134" s="57">
        <f>IFERROR(VLOOKUP($A:$A,CS!$A:$AK,26,FALSE),"")</f>
      </c>
      <c r="S134" s="57">
        <f>IFERROR(VLOOKUP($A:$A,CS!$A:$AK,29,FALSE),"")</f>
      </c>
      <c r="T134" s="57">
        <f>IFERROR(VLOOKUP($A:$A,CS!$A:$AK,33,FALSE),"")</f>
      </c>
      <c r="U134" s="57">
        <f>IFERROR(VLOOKUP($A:$A,CS!$A:$AK,34,FALSE),"")</f>
      </c>
      <c r="V134" s="57">
        <f>IFERROR(VLOOKUP($A:$A,CS!$A:$AK,35,FALSE),"")</f>
      </c>
      <c r="W134" s="57">
        <f>IFERROR(VLOOKUP($A:$A,CS!$A:$AK,36,FALSE),"")</f>
      </c>
    </row>
    <row r="135" ht="16.5" customHeight="1" spans="1:23" x14ac:dyDescent="0.25">
      <c r="A135" s="71"/>
      <c r="B135" s="57">
        <f>IFERROR(VLOOKUP($A:$A,CS!$A:$AK,3,FALSE),"")</f>
      </c>
      <c r="C135" s="57">
        <f>IFERROR(VLOOKUP($A:$A,CS!$A:$AK,4,FALSE),"")</f>
      </c>
      <c r="D135" s="57">
        <f>IFERROR(VLOOKUP($A:$A,CS!$A:$AK,5,FALSE),"")</f>
      </c>
      <c r="E135" s="57">
        <f>IFERROR(VLOOKUP($A:$A,CS!$A:$AK,7,FALSE),"")</f>
      </c>
      <c r="F135" s="57">
        <f>IFERROR(VLOOKUP($A:$A,CS!$A:$AK,8,FALSE),"")</f>
      </c>
      <c r="G135" s="57">
        <f>IFERROR(VLOOKUP($A:$A,CS!$A:$AK,10,FALSE),"")</f>
      </c>
      <c r="H135" s="57">
        <f>IFERROR(VLOOKUP($A:$A,CS!$A:$AK,14,FALSE),"")</f>
      </c>
      <c r="I135" s="57">
        <f>IFERROR(VLOOKUP($A:$A,CS!$A:$AK,15,FALSE),"")</f>
      </c>
      <c r="J135" s="57">
        <f>IFERROR(VLOOKUP($A:$A,CS!$A:$AK,18,FALSE),"")</f>
      </c>
      <c r="K135" s="57">
        <f>IFERROR(VLOOKUP($A:$A,CS!$A:$AK,19,FALSE),"")</f>
      </c>
      <c r="L135" s="57">
        <f>IFERROR(VLOOKUP($A:$A,CS!$A:$AK,20,FALSE),"")</f>
      </c>
      <c r="M135" s="57">
        <f>IFERROR(VLOOKUP($A:$A,CS!$A:$AK,22,FALSE),"")</f>
      </c>
      <c r="N135" s="57">
        <f>IFERROR(VLOOKUP($A:$A,CS!$A:$AK,19,FALSE),"")</f>
      </c>
      <c r="O135" s="57">
        <f>IFERROR(VLOOKUP($A:$A,CS!$A:$AK,23,FALSE),"")</f>
      </c>
      <c r="P135" s="57">
        <f>IFERROR(VLOOKUP($A:$A,CS!$A:$AK,24,FALSE),"")</f>
      </c>
      <c r="Q135" s="57">
        <f>IFERROR(VLOOKUP($A:$A,CS!$A:$AK,25,FALSE),"")</f>
      </c>
      <c r="R135" s="57">
        <f>IFERROR(VLOOKUP($A:$A,CS!$A:$AK,26,FALSE),"")</f>
      </c>
      <c r="S135" s="57">
        <f>IFERROR(VLOOKUP($A:$A,CS!$A:$AK,29,FALSE),"")</f>
      </c>
      <c r="T135" s="57">
        <f>IFERROR(VLOOKUP($A:$A,CS!$A:$AK,33,FALSE),"")</f>
      </c>
      <c r="U135" s="57">
        <f>IFERROR(VLOOKUP($A:$A,CS!$A:$AK,34,FALSE),"")</f>
      </c>
      <c r="V135" s="57">
        <f>IFERROR(VLOOKUP($A:$A,CS!$A:$AK,35,FALSE),"")</f>
      </c>
      <c r="W135" s="57">
        <f>IFERROR(VLOOKUP($A:$A,CS!$A:$AK,36,FALSE),"")</f>
      </c>
    </row>
    <row r="136" ht="16.5" customHeight="1" spans="1:23" x14ac:dyDescent="0.25">
      <c r="A136" s="71"/>
      <c r="B136" s="57">
        <f>IFERROR(VLOOKUP($A:$A,CS!$A:$AK,3,FALSE),"")</f>
      </c>
      <c r="C136" s="57">
        <f>IFERROR(VLOOKUP($A:$A,CS!$A:$AK,4,FALSE),"")</f>
      </c>
      <c r="D136" s="57">
        <f>IFERROR(VLOOKUP($A:$A,CS!$A:$AK,5,FALSE),"")</f>
      </c>
      <c r="E136" s="57">
        <f>IFERROR(VLOOKUP($A:$A,CS!$A:$AK,7,FALSE),"")</f>
      </c>
      <c r="F136" s="57">
        <f>IFERROR(VLOOKUP($A:$A,CS!$A:$AK,8,FALSE),"")</f>
      </c>
      <c r="G136" s="57">
        <f>IFERROR(VLOOKUP($A:$A,CS!$A:$AK,10,FALSE),"")</f>
      </c>
      <c r="H136" s="57">
        <f>IFERROR(VLOOKUP($A:$A,CS!$A:$AK,14,FALSE),"")</f>
      </c>
      <c r="I136" s="57">
        <f>IFERROR(VLOOKUP($A:$A,CS!$A:$AK,15,FALSE),"")</f>
      </c>
      <c r="J136" s="57">
        <f>IFERROR(VLOOKUP($A:$A,CS!$A:$AK,18,FALSE),"")</f>
      </c>
      <c r="K136" s="57">
        <f>IFERROR(VLOOKUP($A:$A,CS!$A:$AK,19,FALSE),"")</f>
      </c>
      <c r="L136" s="57">
        <f>IFERROR(VLOOKUP($A:$A,CS!$A:$AK,20,FALSE),"")</f>
      </c>
      <c r="M136" s="57">
        <f>IFERROR(VLOOKUP($A:$A,CS!$A:$AK,22,FALSE),"")</f>
      </c>
      <c r="N136" s="57">
        <f>IFERROR(VLOOKUP($A:$A,CS!$A:$AK,19,FALSE),"")</f>
      </c>
      <c r="O136" s="57">
        <f>IFERROR(VLOOKUP($A:$A,CS!$A:$AK,23,FALSE),"")</f>
      </c>
      <c r="P136" s="57">
        <f>IFERROR(VLOOKUP($A:$A,CS!$A:$AK,24,FALSE),"")</f>
      </c>
      <c r="Q136" s="57">
        <f>IFERROR(VLOOKUP($A:$A,CS!$A:$AK,25,FALSE),"")</f>
      </c>
      <c r="R136" s="57">
        <f>IFERROR(VLOOKUP($A:$A,CS!$A:$AK,26,FALSE),"")</f>
      </c>
      <c r="S136" s="57">
        <f>IFERROR(VLOOKUP($A:$A,CS!$A:$AK,29,FALSE),"")</f>
      </c>
      <c r="T136" s="57">
        <f>IFERROR(VLOOKUP($A:$A,CS!$A:$AK,33,FALSE),"")</f>
      </c>
      <c r="U136" s="57">
        <f>IFERROR(VLOOKUP($A:$A,CS!$A:$AK,34,FALSE),"")</f>
      </c>
      <c r="V136" s="57">
        <f>IFERROR(VLOOKUP($A:$A,CS!$A:$AK,35,FALSE),"")</f>
      </c>
      <c r="W136" s="57">
        <f>IFERROR(VLOOKUP($A:$A,CS!$A:$AK,36,FALSE),"")</f>
      </c>
    </row>
    <row r="137" ht="16.5" customHeight="1" spans="1:23" x14ac:dyDescent="0.25">
      <c r="A137" s="71"/>
      <c r="B137" s="57">
        <f>IFERROR(VLOOKUP($A:$A,CS!$A:$AK,3,FALSE),"")</f>
      </c>
      <c r="C137" s="57">
        <f>IFERROR(VLOOKUP($A:$A,CS!$A:$AK,4,FALSE),"")</f>
      </c>
      <c r="D137" s="57">
        <f>IFERROR(VLOOKUP($A:$A,CS!$A:$AK,5,FALSE),"")</f>
      </c>
      <c r="E137" s="57">
        <f>IFERROR(VLOOKUP($A:$A,CS!$A:$AK,7,FALSE),"")</f>
      </c>
      <c r="F137" s="57">
        <f>IFERROR(VLOOKUP($A:$A,CS!$A:$AK,8,FALSE),"")</f>
      </c>
      <c r="G137" s="57">
        <f>IFERROR(VLOOKUP($A:$A,CS!$A:$AK,10,FALSE),"")</f>
      </c>
      <c r="H137" s="57">
        <f>IFERROR(VLOOKUP($A:$A,CS!$A:$AK,14,FALSE),"")</f>
      </c>
      <c r="I137" s="57">
        <f>IFERROR(VLOOKUP($A:$A,CS!$A:$AK,15,FALSE),"")</f>
      </c>
      <c r="J137" s="57">
        <f>IFERROR(VLOOKUP($A:$A,CS!$A:$AK,18,FALSE),"")</f>
      </c>
      <c r="K137" s="57">
        <f>IFERROR(VLOOKUP($A:$A,CS!$A:$AK,19,FALSE),"")</f>
      </c>
      <c r="L137" s="57">
        <f>IFERROR(VLOOKUP($A:$A,CS!$A:$AK,20,FALSE),"")</f>
      </c>
      <c r="M137" s="57">
        <f>IFERROR(VLOOKUP($A:$A,CS!$A:$AK,22,FALSE),"")</f>
      </c>
      <c r="N137" s="57">
        <f>IFERROR(VLOOKUP($A:$A,CS!$A:$AK,19,FALSE),"")</f>
      </c>
      <c r="O137" s="57">
        <f>IFERROR(VLOOKUP($A:$A,CS!$A:$AK,23,FALSE),"")</f>
      </c>
      <c r="P137" s="57">
        <f>IFERROR(VLOOKUP($A:$A,CS!$A:$AK,24,FALSE),"")</f>
      </c>
      <c r="Q137" s="57">
        <f>IFERROR(VLOOKUP($A:$A,CS!$A:$AK,25,FALSE),"")</f>
      </c>
      <c r="R137" s="57">
        <f>IFERROR(VLOOKUP($A:$A,CS!$A:$AK,26,FALSE),"")</f>
      </c>
      <c r="S137" s="57">
        <f>IFERROR(VLOOKUP($A:$A,CS!$A:$AK,29,FALSE),"")</f>
      </c>
      <c r="T137" s="57">
        <f>IFERROR(VLOOKUP($A:$A,CS!$A:$AK,33,FALSE),"")</f>
      </c>
      <c r="U137" s="57">
        <f>IFERROR(VLOOKUP($A:$A,CS!$A:$AK,34,FALSE),"")</f>
      </c>
      <c r="V137" s="57">
        <f>IFERROR(VLOOKUP($A:$A,CS!$A:$AK,35,FALSE),"")</f>
      </c>
      <c r="W137" s="57">
        <f>IFERROR(VLOOKUP($A:$A,CS!$A:$AK,36,FALSE),"")</f>
      </c>
    </row>
    <row r="138" ht="16.5" customHeight="1" spans="1:23" x14ac:dyDescent="0.25">
      <c r="A138" s="71"/>
      <c r="B138" s="57">
        <f>IFERROR(VLOOKUP($A:$A,CS!$A:$AK,3,FALSE),"")</f>
      </c>
      <c r="C138" s="57">
        <f>IFERROR(VLOOKUP($A:$A,CS!$A:$AK,4,FALSE),"")</f>
      </c>
      <c r="D138" s="57">
        <f>IFERROR(VLOOKUP($A:$A,CS!$A:$AK,5,FALSE),"")</f>
      </c>
      <c r="E138" s="57">
        <f>IFERROR(VLOOKUP($A:$A,CS!$A:$AK,7,FALSE),"")</f>
      </c>
      <c r="F138" s="57">
        <f>IFERROR(VLOOKUP($A:$A,CS!$A:$AK,8,FALSE),"")</f>
      </c>
      <c r="G138" s="57">
        <f>IFERROR(VLOOKUP($A:$A,CS!$A:$AK,10,FALSE),"")</f>
      </c>
      <c r="H138" s="57">
        <f>IFERROR(VLOOKUP($A:$A,CS!$A:$AK,14,FALSE),"")</f>
      </c>
      <c r="I138" s="57">
        <f>IFERROR(VLOOKUP($A:$A,CS!$A:$AK,15,FALSE),"")</f>
      </c>
      <c r="J138" s="57">
        <f>IFERROR(VLOOKUP($A:$A,CS!$A:$AK,18,FALSE),"")</f>
      </c>
      <c r="K138" s="57">
        <f>IFERROR(VLOOKUP($A:$A,CS!$A:$AK,19,FALSE),"")</f>
      </c>
      <c r="L138" s="57">
        <f>IFERROR(VLOOKUP($A:$A,CS!$A:$AK,20,FALSE),"")</f>
      </c>
      <c r="M138" s="57">
        <f>IFERROR(VLOOKUP($A:$A,CS!$A:$AK,22,FALSE),"")</f>
      </c>
      <c r="N138" s="57">
        <f>IFERROR(VLOOKUP($A:$A,CS!$A:$AK,19,FALSE),"")</f>
      </c>
      <c r="O138" s="57">
        <f>IFERROR(VLOOKUP($A:$A,CS!$A:$AK,23,FALSE),"")</f>
      </c>
      <c r="P138" s="57">
        <f>IFERROR(VLOOKUP($A:$A,CS!$A:$AK,24,FALSE),"")</f>
      </c>
      <c r="Q138" s="57">
        <f>IFERROR(VLOOKUP($A:$A,CS!$A:$AK,25,FALSE),"")</f>
      </c>
      <c r="R138" s="57">
        <f>IFERROR(VLOOKUP($A:$A,CS!$A:$AK,26,FALSE),"")</f>
      </c>
      <c r="S138" s="57">
        <f>IFERROR(VLOOKUP($A:$A,CS!$A:$AK,29,FALSE),"")</f>
      </c>
      <c r="T138" s="57">
        <f>IFERROR(VLOOKUP($A:$A,CS!$A:$AK,33,FALSE),"")</f>
      </c>
      <c r="U138" s="57">
        <f>IFERROR(VLOOKUP($A:$A,CS!$A:$AK,34,FALSE),"")</f>
      </c>
      <c r="V138" s="57">
        <f>IFERROR(VLOOKUP($A:$A,CS!$A:$AK,35,FALSE),"")</f>
      </c>
      <c r="W138" s="57">
        <f>IFERROR(VLOOKUP($A:$A,CS!$A:$AK,36,FALSE),"")</f>
      </c>
    </row>
    <row r="139" ht="16.5" customHeight="1" spans="1:23" x14ac:dyDescent="0.25">
      <c r="A139" s="71"/>
      <c r="B139" s="57">
        <f>IFERROR(VLOOKUP($A:$A,CS!$A:$AK,3,FALSE),"")</f>
      </c>
      <c r="C139" s="57">
        <f>IFERROR(VLOOKUP($A:$A,CS!$A:$AK,4,FALSE),"")</f>
      </c>
      <c r="D139" s="57">
        <f>IFERROR(VLOOKUP($A:$A,CS!$A:$AK,5,FALSE),"")</f>
      </c>
      <c r="E139" s="57">
        <f>IFERROR(VLOOKUP($A:$A,CS!$A:$AK,7,FALSE),"")</f>
      </c>
      <c r="F139" s="57">
        <f>IFERROR(VLOOKUP($A:$A,CS!$A:$AK,8,FALSE),"")</f>
      </c>
      <c r="G139" s="57">
        <f>IFERROR(VLOOKUP($A:$A,CS!$A:$AK,10,FALSE),"")</f>
      </c>
      <c r="H139" s="57">
        <f>IFERROR(VLOOKUP($A:$A,CS!$A:$AK,14,FALSE),"")</f>
      </c>
      <c r="I139" s="57">
        <f>IFERROR(VLOOKUP($A:$A,CS!$A:$AK,15,FALSE),"")</f>
      </c>
      <c r="J139" s="57">
        <f>IFERROR(VLOOKUP($A:$A,CS!$A:$AK,18,FALSE),"")</f>
      </c>
      <c r="K139" s="57">
        <f>IFERROR(VLOOKUP($A:$A,CS!$A:$AK,19,FALSE),"")</f>
      </c>
      <c r="L139" s="57">
        <f>IFERROR(VLOOKUP($A:$A,CS!$A:$AK,20,FALSE),"")</f>
      </c>
      <c r="M139" s="57">
        <f>IFERROR(VLOOKUP($A:$A,CS!$A:$AK,22,FALSE),"")</f>
      </c>
      <c r="N139" s="57">
        <f>IFERROR(VLOOKUP($A:$A,CS!$A:$AK,19,FALSE),"")</f>
      </c>
      <c r="O139" s="57">
        <f>IFERROR(VLOOKUP($A:$A,CS!$A:$AK,23,FALSE),"")</f>
      </c>
      <c r="P139" s="57">
        <f>IFERROR(VLOOKUP($A:$A,CS!$A:$AK,24,FALSE),"")</f>
      </c>
      <c r="Q139" s="57">
        <f>IFERROR(VLOOKUP($A:$A,CS!$A:$AK,25,FALSE),"")</f>
      </c>
      <c r="R139" s="57">
        <f>IFERROR(VLOOKUP($A:$A,CS!$A:$AK,26,FALSE),"")</f>
      </c>
      <c r="S139" s="57">
        <f>IFERROR(VLOOKUP($A:$A,CS!$A:$AK,29,FALSE),"")</f>
      </c>
      <c r="T139" s="57">
        <f>IFERROR(VLOOKUP($A:$A,CS!$A:$AK,33,FALSE),"")</f>
      </c>
      <c r="U139" s="57">
        <f>IFERROR(VLOOKUP($A:$A,CS!$A:$AK,34,FALSE),"")</f>
      </c>
      <c r="V139" s="57">
        <f>IFERROR(VLOOKUP($A:$A,CS!$A:$AK,35,FALSE),"")</f>
      </c>
      <c r="W139" s="57">
        <f>IFERROR(VLOOKUP($A:$A,CS!$A:$AK,36,FALSE),"")</f>
      </c>
    </row>
    <row r="140" ht="16.5" customHeight="1" spans="1:23" x14ac:dyDescent="0.25">
      <c r="A140" s="71"/>
      <c r="B140" s="57">
        <f>IFERROR(VLOOKUP($A:$A,CS!$A:$AK,3,FALSE),"")</f>
      </c>
      <c r="C140" s="57">
        <f>IFERROR(VLOOKUP($A:$A,CS!$A:$AK,4,FALSE),"")</f>
      </c>
      <c r="D140" s="57">
        <f>IFERROR(VLOOKUP($A:$A,CS!$A:$AK,5,FALSE),"")</f>
      </c>
      <c r="E140" s="57">
        <f>IFERROR(VLOOKUP($A:$A,CS!$A:$AK,7,FALSE),"")</f>
      </c>
      <c r="F140" s="57">
        <f>IFERROR(VLOOKUP($A:$A,CS!$A:$AK,8,FALSE),"")</f>
      </c>
      <c r="G140" s="57">
        <f>IFERROR(VLOOKUP($A:$A,CS!$A:$AK,10,FALSE),"")</f>
      </c>
      <c r="H140" s="57">
        <f>IFERROR(VLOOKUP($A:$A,CS!$A:$AK,14,FALSE),"")</f>
      </c>
      <c r="I140" s="57">
        <f>IFERROR(VLOOKUP($A:$A,CS!$A:$AK,15,FALSE),"")</f>
      </c>
      <c r="J140" s="57">
        <f>IFERROR(VLOOKUP($A:$A,CS!$A:$AK,18,FALSE),"")</f>
      </c>
      <c r="K140" s="57">
        <f>IFERROR(VLOOKUP($A:$A,CS!$A:$AK,19,FALSE),"")</f>
      </c>
      <c r="L140" s="57">
        <f>IFERROR(VLOOKUP($A:$A,CS!$A:$AK,20,FALSE),"")</f>
      </c>
      <c r="M140" s="57">
        <f>IFERROR(VLOOKUP($A:$A,CS!$A:$AK,22,FALSE),"")</f>
      </c>
      <c r="N140" s="57">
        <f>IFERROR(VLOOKUP($A:$A,CS!$A:$AK,19,FALSE),"")</f>
      </c>
      <c r="O140" s="57">
        <f>IFERROR(VLOOKUP($A:$A,CS!$A:$AK,23,FALSE),"")</f>
      </c>
      <c r="P140" s="57">
        <f>IFERROR(VLOOKUP($A:$A,CS!$A:$AK,24,FALSE),"")</f>
      </c>
      <c r="Q140" s="57">
        <f>IFERROR(VLOOKUP($A:$A,CS!$A:$AK,25,FALSE),"")</f>
      </c>
      <c r="R140" s="57">
        <f>IFERROR(VLOOKUP($A:$A,CS!$A:$AK,26,FALSE),"")</f>
      </c>
      <c r="S140" s="57">
        <f>IFERROR(VLOOKUP($A:$A,CS!$A:$AK,29,FALSE),"")</f>
      </c>
      <c r="T140" s="57">
        <f>IFERROR(VLOOKUP($A:$A,CS!$A:$AK,33,FALSE),"")</f>
      </c>
      <c r="U140" s="57">
        <f>IFERROR(VLOOKUP($A:$A,CS!$A:$AK,34,FALSE),"")</f>
      </c>
      <c r="V140" s="57">
        <f>IFERROR(VLOOKUP($A:$A,CS!$A:$AK,35,FALSE),"")</f>
      </c>
      <c r="W140" s="57">
        <f>IFERROR(VLOOKUP($A:$A,CS!$A:$AK,36,FALSE),"")</f>
      </c>
    </row>
    <row r="141" ht="16.5" customHeight="1" spans="1:23" x14ac:dyDescent="0.25">
      <c r="A141" s="71"/>
      <c r="B141" s="57">
        <f>IFERROR(VLOOKUP($A:$A,CS!$A:$AK,3,FALSE),"")</f>
      </c>
      <c r="C141" s="57">
        <f>IFERROR(VLOOKUP($A:$A,CS!$A:$AK,4,FALSE),"")</f>
      </c>
      <c r="D141" s="57">
        <f>IFERROR(VLOOKUP($A:$A,CS!$A:$AK,5,FALSE),"")</f>
      </c>
      <c r="E141" s="57">
        <f>IFERROR(VLOOKUP($A:$A,CS!$A:$AK,7,FALSE),"")</f>
      </c>
      <c r="F141" s="57">
        <f>IFERROR(VLOOKUP($A:$A,CS!$A:$AK,8,FALSE),"")</f>
      </c>
      <c r="G141" s="57">
        <f>IFERROR(VLOOKUP($A:$A,CS!$A:$AK,10,FALSE),"")</f>
      </c>
      <c r="H141" s="57">
        <f>IFERROR(VLOOKUP($A:$A,CS!$A:$AK,14,FALSE),"")</f>
      </c>
      <c r="I141" s="57">
        <f>IFERROR(VLOOKUP($A:$A,CS!$A:$AK,15,FALSE),"")</f>
      </c>
      <c r="J141" s="57">
        <f>IFERROR(VLOOKUP($A:$A,CS!$A:$AK,18,FALSE),"")</f>
      </c>
      <c r="K141" s="57">
        <f>IFERROR(VLOOKUP($A:$A,CS!$A:$AK,19,FALSE),"")</f>
      </c>
      <c r="L141" s="57">
        <f>IFERROR(VLOOKUP($A:$A,CS!$A:$AK,20,FALSE),"")</f>
      </c>
      <c r="M141" s="57">
        <f>IFERROR(VLOOKUP($A:$A,CS!$A:$AK,22,FALSE),"")</f>
      </c>
      <c r="N141" s="57">
        <f>IFERROR(VLOOKUP($A:$A,CS!$A:$AK,19,FALSE),"")</f>
      </c>
      <c r="O141" s="57">
        <f>IFERROR(VLOOKUP($A:$A,CS!$A:$AK,23,FALSE),"")</f>
      </c>
      <c r="P141" s="57">
        <f>IFERROR(VLOOKUP($A:$A,CS!$A:$AK,24,FALSE),"")</f>
      </c>
      <c r="Q141" s="57">
        <f>IFERROR(VLOOKUP($A:$A,CS!$A:$AK,25,FALSE),"")</f>
      </c>
      <c r="R141" s="57">
        <f>IFERROR(VLOOKUP($A:$A,CS!$A:$AK,26,FALSE),"")</f>
      </c>
      <c r="S141" s="57">
        <f>IFERROR(VLOOKUP($A:$A,CS!$A:$AK,29,FALSE),"")</f>
      </c>
      <c r="T141" s="57">
        <f>IFERROR(VLOOKUP($A:$A,CS!$A:$AK,33,FALSE),"")</f>
      </c>
      <c r="U141" s="57">
        <f>IFERROR(VLOOKUP($A:$A,CS!$A:$AK,34,FALSE),"")</f>
      </c>
      <c r="V141" s="57">
        <f>IFERROR(VLOOKUP($A:$A,CS!$A:$AK,35,FALSE),"")</f>
      </c>
      <c r="W141" s="57">
        <f>IFERROR(VLOOKUP($A:$A,CS!$A:$AK,36,FALSE),"")</f>
      </c>
    </row>
    <row r="142" ht="16.5" customHeight="1" spans="1:23" x14ac:dyDescent="0.25">
      <c r="A142" s="71"/>
      <c r="B142" s="57">
        <f>IFERROR(VLOOKUP($A:$A,CS!$A:$AK,3,FALSE),"")</f>
      </c>
      <c r="C142" s="57">
        <f>IFERROR(VLOOKUP($A:$A,CS!$A:$AK,4,FALSE),"")</f>
      </c>
      <c r="D142" s="57">
        <f>IFERROR(VLOOKUP($A:$A,CS!$A:$AK,5,FALSE),"")</f>
      </c>
      <c r="E142" s="57">
        <f>IFERROR(VLOOKUP($A:$A,CS!$A:$AK,7,FALSE),"")</f>
      </c>
      <c r="F142" s="57">
        <f>IFERROR(VLOOKUP($A:$A,CS!$A:$AK,8,FALSE),"")</f>
      </c>
      <c r="G142" s="57">
        <f>IFERROR(VLOOKUP($A:$A,CS!$A:$AK,10,FALSE),"")</f>
      </c>
      <c r="H142" s="57">
        <f>IFERROR(VLOOKUP($A:$A,CS!$A:$AK,14,FALSE),"")</f>
      </c>
      <c r="I142" s="57">
        <f>IFERROR(VLOOKUP($A:$A,CS!$A:$AK,15,FALSE),"")</f>
      </c>
      <c r="J142" s="57">
        <f>IFERROR(VLOOKUP($A:$A,CS!$A:$AK,18,FALSE),"")</f>
      </c>
      <c r="K142" s="57">
        <f>IFERROR(VLOOKUP($A:$A,CS!$A:$AK,19,FALSE),"")</f>
      </c>
      <c r="L142" s="57">
        <f>IFERROR(VLOOKUP($A:$A,CS!$A:$AK,20,FALSE),"")</f>
      </c>
      <c r="M142" s="57">
        <f>IFERROR(VLOOKUP($A:$A,CS!$A:$AK,22,FALSE),"")</f>
      </c>
      <c r="N142" s="57">
        <f>IFERROR(VLOOKUP($A:$A,CS!$A:$AK,19,FALSE),"")</f>
      </c>
      <c r="O142" s="57">
        <f>IFERROR(VLOOKUP($A:$A,CS!$A:$AK,23,FALSE),"")</f>
      </c>
      <c r="P142" s="57">
        <f>IFERROR(VLOOKUP($A:$A,CS!$A:$AK,24,FALSE),"")</f>
      </c>
      <c r="Q142" s="57">
        <f>IFERROR(VLOOKUP($A:$A,CS!$A:$AK,25,FALSE),"")</f>
      </c>
      <c r="R142" s="57">
        <f>IFERROR(VLOOKUP($A:$A,CS!$A:$AK,26,FALSE),"")</f>
      </c>
      <c r="S142" s="57">
        <f>IFERROR(VLOOKUP($A:$A,CS!$A:$AK,29,FALSE),"")</f>
      </c>
      <c r="T142" s="57">
        <f>IFERROR(VLOOKUP($A:$A,CS!$A:$AK,33,FALSE),"")</f>
      </c>
      <c r="U142" s="57">
        <f>IFERROR(VLOOKUP($A:$A,CS!$A:$AK,34,FALSE),"")</f>
      </c>
      <c r="V142" s="57">
        <f>IFERROR(VLOOKUP($A:$A,CS!$A:$AK,35,FALSE),"")</f>
      </c>
      <c r="W142" s="57">
        <f>IFERROR(VLOOKUP($A:$A,CS!$A:$AK,36,FALSE),"")</f>
      </c>
    </row>
    <row r="143" ht="16.5" customHeight="1" spans="1:23" x14ac:dyDescent="0.25">
      <c r="A143" s="71"/>
      <c r="B143" s="57">
        <f>IFERROR(VLOOKUP($A:$A,CS!$A:$AK,3,FALSE),"")</f>
      </c>
      <c r="C143" s="57">
        <f>IFERROR(VLOOKUP($A:$A,CS!$A:$AK,4,FALSE),"")</f>
      </c>
      <c r="D143" s="57">
        <f>IFERROR(VLOOKUP($A:$A,CS!$A:$AK,5,FALSE),"")</f>
      </c>
      <c r="E143" s="57">
        <f>IFERROR(VLOOKUP($A:$A,CS!$A:$AK,7,FALSE),"")</f>
      </c>
      <c r="F143" s="57">
        <f>IFERROR(VLOOKUP($A:$A,CS!$A:$AK,8,FALSE),"")</f>
      </c>
      <c r="G143" s="57">
        <f>IFERROR(VLOOKUP($A:$A,CS!$A:$AK,10,FALSE),"")</f>
      </c>
      <c r="H143" s="57">
        <f>IFERROR(VLOOKUP($A:$A,CS!$A:$AK,14,FALSE),"")</f>
      </c>
      <c r="I143" s="57">
        <f>IFERROR(VLOOKUP($A:$A,CS!$A:$AK,15,FALSE),"")</f>
      </c>
      <c r="J143" s="57">
        <f>IFERROR(VLOOKUP($A:$A,CS!$A:$AK,18,FALSE),"")</f>
      </c>
      <c r="K143" s="57">
        <f>IFERROR(VLOOKUP($A:$A,CS!$A:$AK,19,FALSE),"")</f>
      </c>
      <c r="L143" s="57">
        <f>IFERROR(VLOOKUP($A:$A,CS!$A:$AK,20,FALSE),"")</f>
      </c>
      <c r="M143" s="57">
        <f>IFERROR(VLOOKUP($A:$A,CS!$A:$AK,22,FALSE),"")</f>
      </c>
      <c r="N143" s="57">
        <f>IFERROR(VLOOKUP($A:$A,CS!$A:$AK,19,FALSE),"")</f>
      </c>
      <c r="O143" s="57">
        <f>IFERROR(VLOOKUP($A:$A,CS!$A:$AK,23,FALSE),"")</f>
      </c>
      <c r="P143" s="57">
        <f>IFERROR(VLOOKUP($A:$A,CS!$A:$AK,24,FALSE),"")</f>
      </c>
      <c r="Q143" s="57">
        <f>IFERROR(VLOOKUP($A:$A,CS!$A:$AK,25,FALSE),"")</f>
      </c>
      <c r="R143" s="57">
        <f>IFERROR(VLOOKUP($A:$A,CS!$A:$AK,26,FALSE),"")</f>
      </c>
      <c r="S143" s="57">
        <f>IFERROR(VLOOKUP($A:$A,CS!$A:$AK,29,FALSE),"")</f>
      </c>
      <c r="T143" s="57">
        <f>IFERROR(VLOOKUP($A:$A,CS!$A:$AK,33,FALSE),"")</f>
      </c>
      <c r="U143" s="57">
        <f>IFERROR(VLOOKUP($A:$A,CS!$A:$AK,34,FALSE),"")</f>
      </c>
      <c r="V143" s="57">
        <f>IFERROR(VLOOKUP($A:$A,CS!$A:$AK,35,FALSE),"")</f>
      </c>
      <c r="W143" s="57">
        <f>IFERROR(VLOOKUP($A:$A,CS!$A:$AK,36,FALSE),"")</f>
      </c>
    </row>
    <row r="144" ht="16.5" customHeight="1" spans="1:23" x14ac:dyDescent="0.25">
      <c r="A144" s="71"/>
      <c r="B144" s="57">
        <f>IFERROR(VLOOKUP($A:$A,CS!$A:$AK,3,FALSE),"")</f>
      </c>
      <c r="C144" s="57">
        <f>IFERROR(VLOOKUP($A:$A,CS!$A:$AK,4,FALSE),"")</f>
      </c>
      <c r="D144" s="57">
        <f>IFERROR(VLOOKUP($A:$A,CS!$A:$AK,5,FALSE),"")</f>
      </c>
      <c r="E144" s="57">
        <f>IFERROR(VLOOKUP($A:$A,CS!$A:$AK,7,FALSE),"")</f>
      </c>
      <c r="F144" s="57">
        <f>IFERROR(VLOOKUP($A:$A,CS!$A:$AK,8,FALSE),"")</f>
      </c>
      <c r="G144" s="57">
        <f>IFERROR(VLOOKUP($A:$A,CS!$A:$AK,10,FALSE),"")</f>
      </c>
      <c r="H144" s="57">
        <f>IFERROR(VLOOKUP($A:$A,CS!$A:$AK,14,FALSE),"")</f>
      </c>
      <c r="I144" s="57">
        <f>IFERROR(VLOOKUP($A:$A,CS!$A:$AK,15,FALSE),"")</f>
      </c>
      <c r="J144" s="57">
        <f>IFERROR(VLOOKUP($A:$A,CS!$A:$AK,18,FALSE),"")</f>
      </c>
      <c r="K144" s="57">
        <f>IFERROR(VLOOKUP($A:$A,CS!$A:$AK,19,FALSE),"")</f>
      </c>
      <c r="L144" s="57">
        <f>IFERROR(VLOOKUP($A:$A,CS!$A:$AK,20,FALSE),"")</f>
      </c>
      <c r="M144" s="57">
        <f>IFERROR(VLOOKUP($A:$A,CS!$A:$AK,22,FALSE),"")</f>
      </c>
      <c r="N144" s="57">
        <f>IFERROR(VLOOKUP($A:$A,CS!$A:$AK,19,FALSE),"")</f>
      </c>
      <c r="O144" s="57">
        <f>IFERROR(VLOOKUP($A:$A,CS!$A:$AK,23,FALSE),"")</f>
      </c>
      <c r="P144" s="57">
        <f>IFERROR(VLOOKUP($A:$A,CS!$A:$AK,24,FALSE),"")</f>
      </c>
      <c r="Q144" s="57">
        <f>IFERROR(VLOOKUP($A:$A,CS!$A:$AK,25,FALSE),"")</f>
      </c>
      <c r="R144" s="57">
        <f>IFERROR(VLOOKUP($A:$A,CS!$A:$AK,26,FALSE),"")</f>
      </c>
      <c r="S144" s="57">
        <f>IFERROR(VLOOKUP($A:$A,CS!$A:$AK,29,FALSE),"")</f>
      </c>
      <c r="T144" s="57">
        <f>IFERROR(VLOOKUP($A:$A,CS!$A:$AK,33,FALSE),"")</f>
      </c>
      <c r="U144" s="57">
        <f>IFERROR(VLOOKUP($A:$A,CS!$A:$AK,34,FALSE),"")</f>
      </c>
      <c r="V144" s="57">
        <f>IFERROR(VLOOKUP($A:$A,CS!$A:$AK,35,FALSE),"")</f>
      </c>
      <c r="W144" s="57">
        <f>IFERROR(VLOOKUP($A:$A,CS!$A:$AK,36,FALSE),"")</f>
      </c>
    </row>
    <row r="145" ht="16.5" customHeight="1" spans="1:23" x14ac:dyDescent="0.25">
      <c r="A145" s="71"/>
      <c r="B145" s="57">
        <f>IFERROR(VLOOKUP($A:$A,CS!$A:$AK,3,FALSE),"")</f>
      </c>
      <c r="C145" s="57">
        <f>IFERROR(VLOOKUP($A:$A,CS!$A:$AK,4,FALSE),"")</f>
      </c>
      <c r="D145" s="57">
        <f>IFERROR(VLOOKUP($A:$A,CS!$A:$AK,5,FALSE),"")</f>
      </c>
      <c r="E145" s="57">
        <f>IFERROR(VLOOKUP($A:$A,CS!$A:$AK,7,FALSE),"")</f>
      </c>
      <c r="F145" s="57">
        <f>IFERROR(VLOOKUP($A:$A,CS!$A:$AK,8,FALSE),"")</f>
      </c>
      <c r="G145" s="57">
        <f>IFERROR(VLOOKUP($A:$A,CS!$A:$AK,10,FALSE),"")</f>
      </c>
      <c r="H145" s="57">
        <f>IFERROR(VLOOKUP($A:$A,CS!$A:$AK,14,FALSE),"")</f>
      </c>
      <c r="I145" s="57">
        <f>IFERROR(VLOOKUP($A:$A,CS!$A:$AK,15,FALSE),"")</f>
      </c>
      <c r="J145" s="57">
        <f>IFERROR(VLOOKUP($A:$A,CS!$A:$AK,18,FALSE),"")</f>
      </c>
      <c r="K145" s="57">
        <f>IFERROR(VLOOKUP($A:$A,CS!$A:$AK,19,FALSE),"")</f>
      </c>
      <c r="L145" s="57">
        <f>IFERROR(VLOOKUP($A:$A,CS!$A:$AK,20,FALSE),"")</f>
      </c>
      <c r="M145" s="57">
        <f>IFERROR(VLOOKUP($A:$A,CS!$A:$AK,22,FALSE),"")</f>
      </c>
      <c r="N145" s="57">
        <f>IFERROR(VLOOKUP($A:$A,CS!$A:$AK,19,FALSE),"")</f>
      </c>
      <c r="O145" s="57">
        <f>IFERROR(VLOOKUP($A:$A,CS!$A:$AK,23,FALSE),"")</f>
      </c>
      <c r="P145" s="57">
        <f>IFERROR(VLOOKUP($A:$A,CS!$A:$AK,24,FALSE),"")</f>
      </c>
      <c r="Q145" s="57">
        <f>IFERROR(VLOOKUP($A:$A,CS!$A:$AK,25,FALSE),"")</f>
      </c>
      <c r="R145" s="57">
        <f>IFERROR(VLOOKUP($A:$A,CS!$A:$AK,26,FALSE),"")</f>
      </c>
      <c r="S145" s="57">
        <f>IFERROR(VLOOKUP($A:$A,CS!$A:$AK,29,FALSE),"")</f>
      </c>
      <c r="T145" s="57">
        <f>IFERROR(VLOOKUP($A:$A,CS!$A:$AK,33,FALSE),"")</f>
      </c>
      <c r="U145" s="57">
        <f>IFERROR(VLOOKUP($A:$A,CS!$A:$AK,34,FALSE),"")</f>
      </c>
      <c r="V145" s="57">
        <f>IFERROR(VLOOKUP($A:$A,CS!$A:$AK,35,FALSE),"")</f>
      </c>
      <c r="W145" s="57">
        <f>IFERROR(VLOOKUP($A:$A,CS!$A:$AK,36,FALSE),"")</f>
      </c>
    </row>
    <row r="146" ht="16.5" customHeight="1" spans="1:23" x14ac:dyDescent="0.25">
      <c r="A146" s="71"/>
      <c r="B146" s="57">
        <f>IFERROR(VLOOKUP($A:$A,CS!$A:$AK,3,FALSE),"")</f>
      </c>
      <c r="C146" s="57">
        <f>IFERROR(VLOOKUP($A:$A,CS!$A:$AK,4,FALSE),"")</f>
      </c>
      <c r="D146" s="57">
        <f>IFERROR(VLOOKUP($A:$A,CS!$A:$AK,5,FALSE),"")</f>
      </c>
      <c r="E146" s="57">
        <f>IFERROR(VLOOKUP($A:$A,CS!$A:$AK,7,FALSE),"")</f>
      </c>
      <c r="F146" s="57">
        <f>IFERROR(VLOOKUP($A:$A,CS!$A:$AK,8,FALSE),"")</f>
      </c>
      <c r="G146" s="57">
        <f>IFERROR(VLOOKUP($A:$A,CS!$A:$AK,10,FALSE),"")</f>
      </c>
      <c r="H146" s="57">
        <f>IFERROR(VLOOKUP($A:$A,CS!$A:$AK,14,FALSE),"")</f>
      </c>
      <c r="I146" s="57">
        <f>IFERROR(VLOOKUP($A:$A,CS!$A:$AK,15,FALSE),"")</f>
      </c>
      <c r="J146" s="57">
        <f>IFERROR(VLOOKUP($A:$A,CS!$A:$AK,18,FALSE),"")</f>
      </c>
      <c r="K146" s="57">
        <f>IFERROR(VLOOKUP($A:$A,CS!$A:$AK,19,FALSE),"")</f>
      </c>
      <c r="L146" s="57">
        <f>IFERROR(VLOOKUP($A:$A,CS!$A:$AK,20,FALSE),"")</f>
      </c>
      <c r="M146" s="57">
        <f>IFERROR(VLOOKUP($A:$A,CS!$A:$AK,22,FALSE),"")</f>
      </c>
      <c r="N146" s="57">
        <f>IFERROR(VLOOKUP($A:$A,CS!$A:$AK,19,FALSE),"")</f>
      </c>
      <c r="O146" s="57">
        <f>IFERROR(VLOOKUP($A:$A,CS!$A:$AK,23,FALSE),"")</f>
      </c>
      <c r="P146" s="57">
        <f>IFERROR(VLOOKUP($A:$A,CS!$A:$AK,24,FALSE),"")</f>
      </c>
      <c r="Q146" s="57">
        <f>IFERROR(VLOOKUP($A:$A,CS!$A:$AK,25,FALSE),"")</f>
      </c>
      <c r="R146" s="57">
        <f>IFERROR(VLOOKUP($A:$A,CS!$A:$AK,26,FALSE),"")</f>
      </c>
      <c r="S146" s="57">
        <f>IFERROR(VLOOKUP($A:$A,CS!$A:$AK,29,FALSE),"")</f>
      </c>
      <c r="T146" s="57">
        <f>IFERROR(VLOOKUP($A:$A,CS!$A:$AK,33,FALSE),"")</f>
      </c>
      <c r="U146" s="57">
        <f>IFERROR(VLOOKUP($A:$A,CS!$A:$AK,34,FALSE),"")</f>
      </c>
      <c r="V146" s="57">
        <f>IFERROR(VLOOKUP($A:$A,CS!$A:$AK,35,FALSE),"")</f>
      </c>
      <c r="W146" s="57">
        <f>IFERROR(VLOOKUP($A:$A,CS!$A:$AK,36,FALSE),"")</f>
      </c>
    </row>
    <row r="147" ht="16.5" customHeight="1" spans="1:23" x14ac:dyDescent="0.25">
      <c r="A147" s="71"/>
      <c r="B147" s="57">
        <f>IFERROR(VLOOKUP($A:$A,CS!$A:$AK,3,FALSE),"")</f>
      </c>
      <c r="C147" s="57">
        <f>IFERROR(VLOOKUP($A:$A,CS!$A:$AK,4,FALSE),"")</f>
      </c>
      <c r="D147" s="57">
        <f>IFERROR(VLOOKUP($A:$A,CS!$A:$AK,5,FALSE),"")</f>
      </c>
      <c r="E147" s="57">
        <f>IFERROR(VLOOKUP($A:$A,CS!$A:$AK,7,FALSE),"")</f>
      </c>
      <c r="F147" s="57">
        <f>IFERROR(VLOOKUP($A:$A,CS!$A:$AK,8,FALSE),"")</f>
      </c>
      <c r="G147" s="57">
        <f>IFERROR(VLOOKUP($A:$A,CS!$A:$AK,10,FALSE),"")</f>
      </c>
      <c r="H147" s="57">
        <f>IFERROR(VLOOKUP($A:$A,CS!$A:$AK,14,FALSE),"")</f>
      </c>
      <c r="I147" s="57">
        <f>IFERROR(VLOOKUP($A:$A,CS!$A:$AK,15,FALSE),"")</f>
      </c>
      <c r="J147" s="57">
        <f>IFERROR(VLOOKUP($A:$A,CS!$A:$AK,18,FALSE),"")</f>
      </c>
      <c r="K147" s="57">
        <f>IFERROR(VLOOKUP($A:$A,CS!$A:$AK,19,FALSE),"")</f>
      </c>
      <c r="L147" s="57">
        <f>IFERROR(VLOOKUP($A:$A,CS!$A:$AK,20,FALSE),"")</f>
      </c>
      <c r="M147" s="57">
        <f>IFERROR(VLOOKUP($A:$A,CS!$A:$AK,22,FALSE),"")</f>
      </c>
      <c r="N147" s="57">
        <f>IFERROR(VLOOKUP($A:$A,CS!$A:$AK,19,FALSE),"")</f>
      </c>
      <c r="O147" s="57">
        <f>IFERROR(VLOOKUP($A:$A,CS!$A:$AK,23,FALSE),"")</f>
      </c>
      <c r="P147" s="57">
        <f>IFERROR(VLOOKUP($A:$A,CS!$A:$AK,24,FALSE),"")</f>
      </c>
      <c r="Q147" s="57">
        <f>IFERROR(VLOOKUP($A:$A,CS!$A:$AK,25,FALSE),"")</f>
      </c>
      <c r="R147" s="57">
        <f>IFERROR(VLOOKUP($A:$A,CS!$A:$AK,26,FALSE),"")</f>
      </c>
      <c r="S147" s="57">
        <f>IFERROR(VLOOKUP($A:$A,CS!$A:$AK,29,FALSE),"")</f>
      </c>
      <c r="T147" s="57">
        <f>IFERROR(VLOOKUP($A:$A,CS!$A:$AK,33,FALSE),"")</f>
      </c>
      <c r="U147" s="57">
        <f>IFERROR(VLOOKUP($A:$A,CS!$A:$AK,34,FALSE),"")</f>
      </c>
      <c r="V147" s="57">
        <f>IFERROR(VLOOKUP($A:$A,CS!$A:$AK,35,FALSE),"")</f>
      </c>
      <c r="W147" s="57">
        <f>IFERROR(VLOOKUP($A:$A,CS!$A:$AK,36,FALSE),"")</f>
      </c>
    </row>
    <row r="148" ht="16.5" customHeight="1" spans="1:23" x14ac:dyDescent="0.25">
      <c r="A148" s="71"/>
      <c r="B148" s="57">
        <f>IFERROR(VLOOKUP($A:$A,CS!$A:$AK,3,FALSE),"")</f>
      </c>
      <c r="C148" s="57">
        <f>IFERROR(VLOOKUP($A:$A,CS!$A:$AK,4,FALSE),"")</f>
      </c>
      <c r="D148" s="57">
        <f>IFERROR(VLOOKUP($A:$A,CS!$A:$AK,5,FALSE),"")</f>
      </c>
      <c r="E148" s="57">
        <f>IFERROR(VLOOKUP($A:$A,CS!$A:$AK,7,FALSE),"")</f>
      </c>
      <c r="F148" s="57">
        <f>IFERROR(VLOOKUP($A:$A,CS!$A:$AK,8,FALSE),"")</f>
      </c>
      <c r="G148" s="57">
        <f>IFERROR(VLOOKUP($A:$A,CS!$A:$AK,10,FALSE),"")</f>
      </c>
      <c r="H148" s="57">
        <f>IFERROR(VLOOKUP($A:$A,CS!$A:$AK,14,FALSE),"")</f>
      </c>
      <c r="I148" s="57">
        <f>IFERROR(VLOOKUP($A:$A,CS!$A:$AK,15,FALSE),"")</f>
      </c>
      <c r="J148" s="57">
        <f>IFERROR(VLOOKUP($A:$A,CS!$A:$AK,18,FALSE),"")</f>
      </c>
      <c r="K148" s="57">
        <f>IFERROR(VLOOKUP($A:$A,CS!$A:$AK,19,FALSE),"")</f>
      </c>
      <c r="L148" s="57">
        <f>IFERROR(VLOOKUP($A:$A,CS!$A:$AK,20,FALSE),"")</f>
      </c>
      <c r="M148" s="57">
        <f>IFERROR(VLOOKUP($A:$A,CS!$A:$AK,22,FALSE),"")</f>
      </c>
      <c r="N148" s="57">
        <f>IFERROR(VLOOKUP($A:$A,CS!$A:$AK,19,FALSE),"")</f>
      </c>
      <c r="O148" s="57">
        <f>IFERROR(VLOOKUP($A:$A,CS!$A:$AK,23,FALSE),"")</f>
      </c>
      <c r="P148" s="57">
        <f>IFERROR(VLOOKUP($A:$A,CS!$A:$AK,24,FALSE),"")</f>
      </c>
      <c r="Q148" s="57">
        <f>IFERROR(VLOOKUP($A:$A,CS!$A:$AK,25,FALSE),"")</f>
      </c>
      <c r="R148" s="57">
        <f>IFERROR(VLOOKUP($A:$A,CS!$A:$AK,26,FALSE),"")</f>
      </c>
      <c r="S148" s="57">
        <f>IFERROR(VLOOKUP($A:$A,CS!$A:$AK,29,FALSE),"")</f>
      </c>
      <c r="T148" s="57">
        <f>IFERROR(VLOOKUP($A:$A,CS!$A:$AK,33,FALSE),"")</f>
      </c>
      <c r="U148" s="57">
        <f>IFERROR(VLOOKUP($A:$A,CS!$A:$AK,34,FALSE),"")</f>
      </c>
      <c r="V148" s="57">
        <f>IFERROR(VLOOKUP($A:$A,CS!$A:$AK,35,FALSE),"")</f>
      </c>
      <c r="W148" s="57">
        <f>IFERROR(VLOOKUP($A:$A,CS!$A:$AK,36,FALSE),"")</f>
      </c>
    </row>
    <row r="149" ht="16.5" customHeight="1" spans="1:23" x14ac:dyDescent="0.25">
      <c r="A149" s="71"/>
      <c r="B149" s="57">
        <f>IFERROR(VLOOKUP($A:$A,CS!$A:$AK,3,FALSE),"")</f>
      </c>
      <c r="C149" s="57">
        <f>IFERROR(VLOOKUP($A:$A,CS!$A:$AK,4,FALSE),"")</f>
      </c>
      <c r="D149" s="57">
        <f>IFERROR(VLOOKUP($A:$A,CS!$A:$AK,5,FALSE),"")</f>
      </c>
      <c r="E149" s="57">
        <f>IFERROR(VLOOKUP($A:$A,CS!$A:$AK,7,FALSE),"")</f>
      </c>
      <c r="F149" s="57">
        <f>IFERROR(VLOOKUP($A:$A,CS!$A:$AK,8,FALSE),"")</f>
      </c>
      <c r="G149" s="57">
        <f>IFERROR(VLOOKUP($A:$A,CS!$A:$AK,10,FALSE),"")</f>
      </c>
      <c r="H149" s="57">
        <f>IFERROR(VLOOKUP($A:$A,CS!$A:$AK,14,FALSE),"")</f>
      </c>
      <c r="I149" s="57">
        <f>IFERROR(VLOOKUP($A:$A,CS!$A:$AK,15,FALSE),"")</f>
      </c>
      <c r="J149" s="57">
        <f>IFERROR(VLOOKUP($A:$A,CS!$A:$AK,18,FALSE),"")</f>
      </c>
      <c r="K149" s="57">
        <f>IFERROR(VLOOKUP($A:$A,CS!$A:$AK,19,FALSE),"")</f>
      </c>
      <c r="L149" s="57">
        <f>IFERROR(VLOOKUP($A:$A,CS!$A:$AK,20,FALSE),"")</f>
      </c>
      <c r="M149" s="57">
        <f>IFERROR(VLOOKUP($A:$A,CS!$A:$AK,22,FALSE),"")</f>
      </c>
      <c r="N149" s="57">
        <f>IFERROR(VLOOKUP($A:$A,CS!$A:$AK,19,FALSE),"")</f>
      </c>
      <c r="O149" s="57">
        <f>IFERROR(VLOOKUP($A:$A,CS!$A:$AK,23,FALSE),"")</f>
      </c>
      <c r="P149" s="57">
        <f>IFERROR(VLOOKUP($A:$A,CS!$A:$AK,24,FALSE),"")</f>
      </c>
      <c r="Q149" s="57">
        <f>IFERROR(VLOOKUP($A:$A,CS!$A:$AK,25,FALSE),"")</f>
      </c>
      <c r="R149" s="57">
        <f>IFERROR(VLOOKUP($A:$A,CS!$A:$AK,26,FALSE),"")</f>
      </c>
      <c r="S149" s="57">
        <f>IFERROR(VLOOKUP($A:$A,CS!$A:$AK,29,FALSE),"")</f>
      </c>
      <c r="T149" s="57">
        <f>IFERROR(VLOOKUP($A:$A,CS!$A:$AK,33,FALSE),"")</f>
      </c>
      <c r="U149" s="57">
        <f>IFERROR(VLOOKUP($A:$A,CS!$A:$AK,34,FALSE),"")</f>
      </c>
      <c r="V149" s="57">
        <f>IFERROR(VLOOKUP($A:$A,CS!$A:$AK,35,FALSE),"")</f>
      </c>
      <c r="W149" s="57">
        <f>IFERROR(VLOOKUP($A:$A,CS!$A:$AK,36,FALSE),"")</f>
      </c>
    </row>
    <row r="150" ht="16.5" customHeight="1" spans="1:23" x14ac:dyDescent="0.25">
      <c r="A150" s="71"/>
      <c r="B150" s="57">
        <f>IFERROR(VLOOKUP($A:$A,CS!$A:$AK,3,FALSE),"")</f>
      </c>
      <c r="C150" s="57">
        <f>IFERROR(VLOOKUP($A:$A,CS!$A:$AK,4,FALSE),"")</f>
      </c>
      <c r="D150" s="57">
        <f>IFERROR(VLOOKUP($A:$A,CS!$A:$AK,5,FALSE),"")</f>
      </c>
      <c r="E150" s="57">
        <f>IFERROR(VLOOKUP($A:$A,CS!$A:$AK,7,FALSE),"")</f>
      </c>
      <c r="F150" s="57">
        <f>IFERROR(VLOOKUP($A:$A,CS!$A:$AK,8,FALSE),"")</f>
      </c>
      <c r="G150" s="57">
        <f>IFERROR(VLOOKUP($A:$A,CS!$A:$AK,10,FALSE),"")</f>
      </c>
      <c r="H150" s="57">
        <f>IFERROR(VLOOKUP($A:$A,CS!$A:$AK,14,FALSE),"")</f>
      </c>
      <c r="I150" s="57">
        <f>IFERROR(VLOOKUP($A:$A,CS!$A:$AK,15,FALSE),"")</f>
      </c>
      <c r="J150" s="57">
        <f>IFERROR(VLOOKUP($A:$A,CS!$A:$AK,18,FALSE),"")</f>
      </c>
      <c r="K150" s="57">
        <f>IFERROR(VLOOKUP($A:$A,CS!$A:$AK,19,FALSE),"")</f>
      </c>
      <c r="L150" s="57">
        <f>IFERROR(VLOOKUP($A:$A,CS!$A:$AK,20,FALSE),"")</f>
      </c>
      <c r="M150" s="57">
        <f>IFERROR(VLOOKUP($A:$A,CS!$A:$AK,22,FALSE),"")</f>
      </c>
      <c r="N150" s="57">
        <f>IFERROR(VLOOKUP($A:$A,CS!$A:$AK,19,FALSE),"")</f>
      </c>
      <c r="O150" s="57">
        <f>IFERROR(VLOOKUP($A:$A,CS!$A:$AK,23,FALSE),"")</f>
      </c>
      <c r="P150" s="57">
        <f>IFERROR(VLOOKUP($A:$A,CS!$A:$AK,24,FALSE),"")</f>
      </c>
      <c r="Q150" s="57">
        <f>IFERROR(VLOOKUP($A:$A,CS!$A:$AK,25,FALSE),"")</f>
      </c>
      <c r="R150" s="57">
        <f>IFERROR(VLOOKUP($A:$A,CS!$A:$AK,26,FALSE),"")</f>
      </c>
      <c r="S150" s="57">
        <f>IFERROR(VLOOKUP($A:$A,CS!$A:$AK,29,FALSE),"")</f>
      </c>
      <c r="T150" s="57">
        <f>IFERROR(VLOOKUP($A:$A,CS!$A:$AK,33,FALSE),"")</f>
      </c>
      <c r="U150" s="57">
        <f>IFERROR(VLOOKUP($A:$A,CS!$A:$AK,34,FALSE),"")</f>
      </c>
      <c r="V150" s="57">
        <f>IFERROR(VLOOKUP($A:$A,CS!$A:$AK,35,FALSE),"")</f>
      </c>
      <c r="W150" s="57">
        <f>IFERROR(VLOOKUP($A:$A,CS!$A:$AK,36,FALSE),"")</f>
      </c>
    </row>
    <row r="151" ht="16.5" customHeight="1" spans="1:23" x14ac:dyDescent="0.25">
      <c r="A151" s="71"/>
      <c r="B151" s="57">
        <f>IFERROR(VLOOKUP($A:$A,CS!$A:$AK,3,FALSE),"")</f>
      </c>
      <c r="C151" s="57">
        <f>IFERROR(VLOOKUP($A:$A,CS!$A:$AK,4,FALSE),"")</f>
      </c>
      <c r="D151" s="57">
        <f>IFERROR(VLOOKUP($A:$A,CS!$A:$AK,5,FALSE),"")</f>
      </c>
      <c r="E151" s="57">
        <f>IFERROR(VLOOKUP($A:$A,CS!$A:$AK,7,FALSE),"")</f>
      </c>
      <c r="F151" s="57">
        <f>IFERROR(VLOOKUP($A:$A,CS!$A:$AK,8,FALSE),"")</f>
      </c>
      <c r="G151" s="57">
        <f>IFERROR(VLOOKUP($A:$A,CS!$A:$AK,10,FALSE),"")</f>
      </c>
      <c r="H151" s="57">
        <f>IFERROR(VLOOKUP($A:$A,CS!$A:$AK,14,FALSE),"")</f>
      </c>
      <c r="I151" s="57">
        <f>IFERROR(VLOOKUP($A:$A,CS!$A:$AK,15,FALSE),"")</f>
      </c>
      <c r="J151" s="57">
        <f>IFERROR(VLOOKUP($A:$A,CS!$A:$AK,18,FALSE),"")</f>
      </c>
      <c r="K151" s="57">
        <f>IFERROR(VLOOKUP($A:$A,CS!$A:$AK,19,FALSE),"")</f>
      </c>
      <c r="L151" s="57">
        <f>IFERROR(VLOOKUP($A:$A,CS!$A:$AK,20,FALSE),"")</f>
      </c>
      <c r="M151" s="57">
        <f>IFERROR(VLOOKUP($A:$A,CS!$A:$AK,22,FALSE),"")</f>
      </c>
      <c r="N151" s="57">
        <f>IFERROR(VLOOKUP($A:$A,CS!$A:$AK,19,FALSE),"")</f>
      </c>
      <c r="O151" s="57">
        <f>IFERROR(VLOOKUP($A:$A,CS!$A:$AK,23,FALSE),"")</f>
      </c>
      <c r="P151" s="57">
        <f>IFERROR(VLOOKUP($A:$A,CS!$A:$AK,24,FALSE),"")</f>
      </c>
      <c r="Q151" s="57">
        <f>IFERROR(VLOOKUP($A:$A,CS!$A:$AK,25,FALSE),"")</f>
      </c>
      <c r="R151" s="57">
        <f>IFERROR(VLOOKUP($A:$A,CS!$A:$AK,26,FALSE),"")</f>
      </c>
      <c r="S151" s="57">
        <f>IFERROR(VLOOKUP($A:$A,CS!$A:$AK,29,FALSE),"")</f>
      </c>
      <c r="T151" s="57">
        <f>IFERROR(VLOOKUP($A:$A,CS!$A:$AK,33,FALSE),"")</f>
      </c>
      <c r="U151" s="57">
        <f>IFERROR(VLOOKUP($A:$A,CS!$A:$AK,34,FALSE),"")</f>
      </c>
      <c r="V151" s="57">
        <f>IFERROR(VLOOKUP($A:$A,CS!$A:$AK,35,FALSE),"")</f>
      </c>
      <c r="W151" s="57">
        <f>IFERROR(VLOOKUP($A:$A,CS!$A:$AK,36,FALSE),"")</f>
      </c>
    </row>
    <row r="152" ht="16.5" customHeight="1" spans="1:23" x14ac:dyDescent="0.25">
      <c r="A152" s="71"/>
      <c r="B152" s="57">
        <f>IFERROR(VLOOKUP($A:$A,CS!$A:$AK,3,FALSE),"")</f>
      </c>
      <c r="C152" s="57">
        <f>IFERROR(VLOOKUP($A:$A,CS!$A:$AK,4,FALSE),"")</f>
      </c>
      <c r="D152" s="57">
        <f>IFERROR(VLOOKUP($A:$A,CS!$A:$AK,5,FALSE),"")</f>
      </c>
      <c r="E152" s="57">
        <f>IFERROR(VLOOKUP($A:$A,CS!$A:$AK,7,FALSE),"")</f>
      </c>
      <c r="F152" s="57">
        <f>IFERROR(VLOOKUP($A:$A,CS!$A:$AK,8,FALSE),"")</f>
      </c>
      <c r="G152" s="57">
        <f>IFERROR(VLOOKUP($A:$A,CS!$A:$AK,10,FALSE),"")</f>
      </c>
      <c r="H152" s="57">
        <f>IFERROR(VLOOKUP($A:$A,CS!$A:$AK,14,FALSE),"")</f>
      </c>
      <c r="I152" s="57">
        <f>IFERROR(VLOOKUP($A:$A,CS!$A:$AK,15,FALSE),"")</f>
      </c>
      <c r="J152" s="57">
        <f>IFERROR(VLOOKUP($A:$A,CS!$A:$AK,18,FALSE),"")</f>
      </c>
      <c r="K152" s="57">
        <f>IFERROR(VLOOKUP($A:$A,CS!$A:$AK,19,FALSE),"")</f>
      </c>
      <c r="L152" s="57">
        <f>IFERROR(VLOOKUP($A:$A,CS!$A:$AK,20,FALSE),"")</f>
      </c>
      <c r="M152" s="57">
        <f>IFERROR(VLOOKUP($A:$A,CS!$A:$AK,22,FALSE),"")</f>
      </c>
      <c r="N152" s="57">
        <f>IFERROR(VLOOKUP($A:$A,CS!$A:$AK,19,FALSE),"")</f>
      </c>
      <c r="O152" s="57">
        <f>IFERROR(VLOOKUP($A:$A,CS!$A:$AK,23,FALSE),"")</f>
      </c>
      <c r="P152" s="57">
        <f>IFERROR(VLOOKUP($A:$A,CS!$A:$AK,24,FALSE),"")</f>
      </c>
      <c r="Q152" s="57">
        <f>IFERROR(VLOOKUP($A:$A,CS!$A:$AK,25,FALSE),"")</f>
      </c>
      <c r="R152" s="57">
        <f>IFERROR(VLOOKUP($A:$A,CS!$A:$AK,26,FALSE),"")</f>
      </c>
      <c r="S152" s="57">
        <f>IFERROR(VLOOKUP($A:$A,CS!$A:$AK,29,FALSE),"")</f>
      </c>
      <c r="T152" s="57">
        <f>IFERROR(VLOOKUP($A:$A,CS!$A:$AK,33,FALSE),"")</f>
      </c>
      <c r="U152" s="57">
        <f>IFERROR(VLOOKUP($A:$A,CS!$A:$AK,34,FALSE),"")</f>
      </c>
      <c r="V152" s="57">
        <f>IFERROR(VLOOKUP($A:$A,CS!$A:$AK,35,FALSE),"")</f>
      </c>
      <c r="W152" s="57">
        <f>IFERROR(VLOOKUP($A:$A,CS!$A:$AK,36,FALSE),"")</f>
      </c>
    </row>
    <row r="153" ht="16.5" customHeight="1" spans="1:23" x14ac:dyDescent="0.25">
      <c r="A153" s="71"/>
      <c r="B153" s="57">
        <f>IFERROR(VLOOKUP($A:$A,CS!$A:$AK,3,FALSE),"")</f>
      </c>
      <c r="C153" s="57">
        <f>IFERROR(VLOOKUP($A:$A,CS!$A:$AK,4,FALSE),"")</f>
      </c>
      <c r="D153" s="57">
        <f>IFERROR(VLOOKUP($A:$A,CS!$A:$AK,5,FALSE),"")</f>
      </c>
      <c r="E153" s="57">
        <f>IFERROR(VLOOKUP($A:$A,CS!$A:$AK,7,FALSE),"")</f>
      </c>
      <c r="F153" s="57">
        <f>IFERROR(VLOOKUP($A:$A,CS!$A:$AK,8,FALSE),"")</f>
      </c>
      <c r="G153" s="57">
        <f>IFERROR(VLOOKUP($A:$A,CS!$A:$AK,10,FALSE),"")</f>
      </c>
      <c r="H153" s="57">
        <f>IFERROR(VLOOKUP($A:$A,CS!$A:$AK,14,FALSE),"")</f>
      </c>
      <c r="I153" s="57">
        <f>IFERROR(VLOOKUP($A:$A,CS!$A:$AK,15,FALSE),"")</f>
      </c>
      <c r="J153" s="57">
        <f>IFERROR(VLOOKUP($A:$A,CS!$A:$AK,18,FALSE),"")</f>
      </c>
      <c r="K153" s="57">
        <f>IFERROR(VLOOKUP($A:$A,CS!$A:$AK,19,FALSE),"")</f>
      </c>
      <c r="L153" s="57">
        <f>IFERROR(VLOOKUP($A:$A,CS!$A:$AK,20,FALSE),"")</f>
      </c>
      <c r="M153" s="57">
        <f>IFERROR(VLOOKUP($A:$A,CS!$A:$AK,22,FALSE),"")</f>
      </c>
      <c r="N153" s="57">
        <f>IFERROR(VLOOKUP($A:$A,CS!$A:$AK,19,FALSE),"")</f>
      </c>
      <c r="O153" s="57">
        <f>IFERROR(VLOOKUP($A:$A,CS!$A:$AK,23,FALSE),"")</f>
      </c>
      <c r="P153" s="57">
        <f>IFERROR(VLOOKUP($A:$A,CS!$A:$AK,24,FALSE),"")</f>
      </c>
      <c r="Q153" s="57">
        <f>IFERROR(VLOOKUP($A:$A,CS!$A:$AK,25,FALSE),"")</f>
      </c>
      <c r="R153" s="57">
        <f>IFERROR(VLOOKUP($A:$A,CS!$A:$AK,26,FALSE),"")</f>
      </c>
      <c r="S153" s="57">
        <f>IFERROR(VLOOKUP($A:$A,CS!$A:$AK,29,FALSE),"")</f>
      </c>
      <c r="T153" s="57">
        <f>IFERROR(VLOOKUP($A:$A,CS!$A:$AK,33,FALSE),"")</f>
      </c>
      <c r="U153" s="57">
        <f>IFERROR(VLOOKUP($A:$A,CS!$A:$AK,34,FALSE),"")</f>
      </c>
      <c r="V153" s="57">
        <f>IFERROR(VLOOKUP($A:$A,CS!$A:$AK,35,FALSE),"")</f>
      </c>
      <c r="W153" s="57">
        <f>IFERROR(VLOOKUP($A:$A,CS!$A:$AK,36,FALSE),"")</f>
      </c>
    </row>
    <row r="154" ht="16.5" customHeight="1" spans="1:23" x14ac:dyDescent="0.25">
      <c r="A154" s="71"/>
      <c r="B154" s="57">
        <f>IFERROR(VLOOKUP($A:$A,CS!$A:$AK,3,FALSE),"")</f>
      </c>
      <c r="C154" s="57">
        <f>IFERROR(VLOOKUP($A:$A,CS!$A:$AK,4,FALSE),"")</f>
      </c>
      <c r="D154" s="57">
        <f>IFERROR(VLOOKUP($A:$A,CS!$A:$AK,5,FALSE),"")</f>
      </c>
      <c r="E154" s="57">
        <f>IFERROR(VLOOKUP($A:$A,CS!$A:$AK,7,FALSE),"")</f>
      </c>
      <c r="F154" s="57">
        <f>IFERROR(VLOOKUP($A:$A,CS!$A:$AK,8,FALSE),"")</f>
      </c>
      <c r="G154" s="57">
        <f>IFERROR(VLOOKUP($A:$A,CS!$A:$AK,10,FALSE),"")</f>
      </c>
      <c r="H154" s="57">
        <f>IFERROR(VLOOKUP($A:$A,CS!$A:$AK,14,FALSE),"")</f>
      </c>
      <c r="I154" s="57">
        <f>IFERROR(VLOOKUP($A:$A,CS!$A:$AK,15,FALSE),"")</f>
      </c>
      <c r="J154" s="57">
        <f>IFERROR(VLOOKUP($A:$A,CS!$A:$AK,18,FALSE),"")</f>
      </c>
      <c r="K154" s="57">
        <f>IFERROR(VLOOKUP($A:$A,CS!$A:$AK,19,FALSE),"")</f>
      </c>
      <c r="L154" s="57">
        <f>IFERROR(VLOOKUP($A:$A,CS!$A:$AK,20,FALSE),"")</f>
      </c>
      <c r="M154" s="57">
        <f>IFERROR(VLOOKUP($A:$A,CS!$A:$AK,22,FALSE),"")</f>
      </c>
      <c r="N154" s="57">
        <f>IFERROR(VLOOKUP($A:$A,CS!$A:$AK,19,FALSE),"")</f>
      </c>
      <c r="O154" s="57">
        <f>IFERROR(VLOOKUP($A:$A,CS!$A:$AK,23,FALSE),"")</f>
      </c>
      <c r="P154" s="57">
        <f>IFERROR(VLOOKUP($A:$A,CS!$A:$AK,24,FALSE),"")</f>
      </c>
      <c r="Q154" s="57">
        <f>IFERROR(VLOOKUP($A:$A,CS!$A:$AK,25,FALSE),"")</f>
      </c>
      <c r="R154" s="57">
        <f>IFERROR(VLOOKUP($A:$A,CS!$A:$AK,26,FALSE),"")</f>
      </c>
      <c r="S154" s="57">
        <f>IFERROR(VLOOKUP($A:$A,CS!$A:$AK,29,FALSE),"")</f>
      </c>
      <c r="T154" s="57">
        <f>IFERROR(VLOOKUP($A:$A,CS!$A:$AK,33,FALSE),"")</f>
      </c>
      <c r="U154" s="57">
        <f>IFERROR(VLOOKUP($A:$A,CS!$A:$AK,34,FALSE),"")</f>
      </c>
      <c r="V154" s="57">
        <f>IFERROR(VLOOKUP($A:$A,CS!$A:$AK,35,FALSE),"")</f>
      </c>
      <c r="W154" s="57">
        <f>IFERROR(VLOOKUP($A:$A,CS!$A:$AK,36,FALSE),"")</f>
      </c>
    </row>
    <row r="155" ht="16.5" customHeight="1" spans="1:23" x14ac:dyDescent="0.25">
      <c r="A155" s="71"/>
      <c r="B155" s="57">
        <f>IFERROR(VLOOKUP($A:$A,CS!$A:$AK,3,FALSE),"")</f>
      </c>
      <c r="C155" s="57">
        <f>IFERROR(VLOOKUP($A:$A,CS!$A:$AK,4,FALSE),"")</f>
      </c>
      <c r="D155" s="57">
        <f>IFERROR(VLOOKUP($A:$A,CS!$A:$AK,5,FALSE),"")</f>
      </c>
      <c r="E155" s="57">
        <f>IFERROR(VLOOKUP($A:$A,CS!$A:$AK,7,FALSE),"")</f>
      </c>
      <c r="F155" s="57">
        <f>IFERROR(VLOOKUP($A:$A,CS!$A:$AK,8,FALSE),"")</f>
      </c>
      <c r="G155" s="57">
        <f>IFERROR(VLOOKUP($A:$A,CS!$A:$AK,10,FALSE),"")</f>
      </c>
      <c r="H155" s="57">
        <f>IFERROR(VLOOKUP($A:$A,CS!$A:$AK,14,FALSE),"")</f>
      </c>
      <c r="I155" s="57">
        <f>IFERROR(VLOOKUP($A:$A,CS!$A:$AK,15,FALSE),"")</f>
      </c>
      <c r="J155" s="57">
        <f>IFERROR(VLOOKUP($A:$A,CS!$A:$AK,18,FALSE),"")</f>
      </c>
      <c r="K155" s="57">
        <f>IFERROR(VLOOKUP($A:$A,CS!$A:$AK,19,FALSE),"")</f>
      </c>
      <c r="L155" s="57">
        <f>IFERROR(VLOOKUP($A:$A,CS!$A:$AK,20,FALSE),"")</f>
      </c>
      <c r="M155" s="57">
        <f>IFERROR(VLOOKUP($A:$A,CS!$A:$AK,22,FALSE),"")</f>
      </c>
      <c r="N155" s="57">
        <f>IFERROR(VLOOKUP($A:$A,CS!$A:$AK,19,FALSE),"")</f>
      </c>
      <c r="O155" s="57">
        <f>IFERROR(VLOOKUP($A:$A,CS!$A:$AK,23,FALSE),"")</f>
      </c>
      <c r="P155" s="57">
        <f>IFERROR(VLOOKUP($A:$A,CS!$A:$AK,24,FALSE),"")</f>
      </c>
      <c r="Q155" s="57">
        <f>IFERROR(VLOOKUP($A:$A,CS!$A:$AK,25,FALSE),"")</f>
      </c>
      <c r="R155" s="57">
        <f>IFERROR(VLOOKUP($A:$A,CS!$A:$AK,26,FALSE),"")</f>
      </c>
      <c r="S155" s="57">
        <f>IFERROR(VLOOKUP($A:$A,CS!$A:$AK,29,FALSE),"")</f>
      </c>
      <c r="T155" s="57">
        <f>IFERROR(VLOOKUP($A:$A,CS!$A:$AK,33,FALSE),"")</f>
      </c>
      <c r="U155" s="57">
        <f>IFERROR(VLOOKUP($A:$A,CS!$A:$AK,34,FALSE),"")</f>
      </c>
      <c r="V155" s="57">
        <f>IFERROR(VLOOKUP($A:$A,CS!$A:$AK,35,FALSE),"")</f>
      </c>
      <c r="W155" s="57">
        <f>IFERROR(VLOOKUP($A:$A,CS!$A:$AK,36,FALSE),"")</f>
      </c>
    </row>
    <row r="156" ht="16.5" customHeight="1" spans="1:23" x14ac:dyDescent="0.25">
      <c r="A156" s="71"/>
      <c r="B156" s="57">
        <f>IFERROR(VLOOKUP($A:$A,CS!$A:$AK,3,FALSE),"")</f>
      </c>
      <c r="C156" s="57">
        <f>IFERROR(VLOOKUP($A:$A,CS!$A:$AK,4,FALSE),"")</f>
      </c>
      <c r="D156" s="57">
        <f>IFERROR(VLOOKUP($A:$A,CS!$A:$AK,5,FALSE),"")</f>
      </c>
      <c r="E156" s="57">
        <f>IFERROR(VLOOKUP($A:$A,CS!$A:$AK,7,FALSE),"")</f>
      </c>
      <c r="F156" s="57">
        <f>IFERROR(VLOOKUP($A:$A,CS!$A:$AK,8,FALSE),"")</f>
      </c>
      <c r="G156" s="57">
        <f>IFERROR(VLOOKUP($A:$A,CS!$A:$AK,10,FALSE),"")</f>
      </c>
      <c r="H156" s="57">
        <f>IFERROR(VLOOKUP($A:$A,CS!$A:$AK,14,FALSE),"")</f>
      </c>
      <c r="I156" s="57">
        <f>IFERROR(VLOOKUP($A:$A,CS!$A:$AK,15,FALSE),"")</f>
      </c>
      <c r="J156" s="57">
        <f>IFERROR(VLOOKUP($A:$A,CS!$A:$AK,18,FALSE),"")</f>
      </c>
      <c r="K156" s="57">
        <f>IFERROR(VLOOKUP($A:$A,CS!$A:$AK,19,FALSE),"")</f>
      </c>
      <c r="L156" s="57">
        <f>IFERROR(VLOOKUP($A:$A,CS!$A:$AK,20,FALSE),"")</f>
      </c>
      <c r="M156" s="57">
        <f>IFERROR(VLOOKUP($A:$A,CS!$A:$AK,22,FALSE),"")</f>
      </c>
      <c r="N156" s="57">
        <f>IFERROR(VLOOKUP($A:$A,CS!$A:$AK,19,FALSE),"")</f>
      </c>
      <c r="O156" s="57">
        <f>IFERROR(VLOOKUP($A:$A,CS!$A:$AK,23,FALSE),"")</f>
      </c>
      <c r="P156" s="57">
        <f>IFERROR(VLOOKUP($A:$A,CS!$A:$AK,24,FALSE),"")</f>
      </c>
      <c r="Q156" s="57">
        <f>IFERROR(VLOOKUP($A:$A,CS!$A:$AK,25,FALSE),"")</f>
      </c>
      <c r="R156" s="57">
        <f>IFERROR(VLOOKUP($A:$A,CS!$A:$AK,26,FALSE),"")</f>
      </c>
      <c r="S156" s="57">
        <f>IFERROR(VLOOKUP($A:$A,CS!$A:$AK,29,FALSE),"")</f>
      </c>
      <c r="T156" s="57">
        <f>IFERROR(VLOOKUP($A:$A,CS!$A:$AK,33,FALSE),"")</f>
      </c>
      <c r="U156" s="57">
        <f>IFERROR(VLOOKUP($A:$A,CS!$A:$AK,34,FALSE),"")</f>
      </c>
      <c r="V156" s="57">
        <f>IFERROR(VLOOKUP($A:$A,CS!$A:$AK,35,FALSE),"")</f>
      </c>
      <c r="W156" s="57">
        <f>IFERROR(VLOOKUP($A:$A,CS!$A:$AK,36,FALSE),"")</f>
      </c>
    </row>
    <row r="157" ht="16.5" customHeight="1" spans="1:23" x14ac:dyDescent="0.25">
      <c r="A157" s="71"/>
      <c r="B157" s="57">
        <f>IFERROR(VLOOKUP($A:$A,CS!$A:$AK,3,FALSE),"")</f>
      </c>
      <c r="C157" s="57">
        <f>IFERROR(VLOOKUP($A:$A,CS!$A:$AK,4,FALSE),"")</f>
      </c>
      <c r="D157" s="57">
        <f>IFERROR(VLOOKUP($A:$A,CS!$A:$AK,5,FALSE),"")</f>
      </c>
      <c r="E157" s="57">
        <f>IFERROR(VLOOKUP($A:$A,CS!$A:$AK,7,FALSE),"")</f>
      </c>
      <c r="F157" s="57">
        <f>IFERROR(VLOOKUP($A:$A,CS!$A:$AK,8,FALSE),"")</f>
      </c>
      <c r="G157" s="57">
        <f>IFERROR(VLOOKUP($A:$A,CS!$A:$AK,10,FALSE),"")</f>
      </c>
      <c r="H157" s="57">
        <f>IFERROR(VLOOKUP($A:$A,CS!$A:$AK,14,FALSE),"")</f>
      </c>
      <c r="I157" s="57">
        <f>IFERROR(VLOOKUP($A:$A,CS!$A:$AK,15,FALSE),"")</f>
      </c>
      <c r="J157" s="57">
        <f>IFERROR(VLOOKUP($A:$A,CS!$A:$AK,18,FALSE),"")</f>
      </c>
      <c r="K157" s="57">
        <f>IFERROR(VLOOKUP($A:$A,CS!$A:$AK,19,FALSE),"")</f>
      </c>
      <c r="L157" s="57">
        <f>IFERROR(VLOOKUP($A:$A,CS!$A:$AK,20,FALSE),"")</f>
      </c>
      <c r="M157" s="57">
        <f>IFERROR(VLOOKUP($A:$A,CS!$A:$AK,22,FALSE),"")</f>
      </c>
      <c r="N157" s="57">
        <f>IFERROR(VLOOKUP($A:$A,CS!$A:$AK,19,FALSE),"")</f>
      </c>
      <c r="O157" s="57">
        <f>IFERROR(VLOOKUP($A:$A,CS!$A:$AK,23,FALSE),"")</f>
      </c>
      <c r="P157" s="57">
        <f>IFERROR(VLOOKUP($A:$A,CS!$A:$AK,24,FALSE),"")</f>
      </c>
      <c r="Q157" s="57">
        <f>IFERROR(VLOOKUP($A:$A,CS!$A:$AK,25,FALSE),"")</f>
      </c>
      <c r="R157" s="57">
        <f>IFERROR(VLOOKUP($A:$A,CS!$A:$AK,26,FALSE),"")</f>
      </c>
      <c r="S157" s="57">
        <f>IFERROR(VLOOKUP($A:$A,CS!$A:$AK,29,FALSE),"")</f>
      </c>
      <c r="T157" s="57">
        <f>IFERROR(VLOOKUP($A:$A,CS!$A:$AK,33,FALSE),"")</f>
      </c>
      <c r="U157" s="57">
        <f>IFERROR(VLOOKUP($A:$A,CS!$A:$AK,34,FALSE),"")</f>
      </c>
      <c r="V157" s="57">
        <f>IFERROR(VLOOKUP($A:$A,CS!$A:$AK,35,FALSE),"")</f>
      </c>
      <c r="W157" s="57">
        <f>IFERROR(VLOOKUP($A:$A,CS!$A:$AK,36,FALSE),"")</f>
      </c>
    </row>
    <row r="158" ht="16.5" customHeight="1" spans="1:23" x14ac:dyDescent="0.25">
      <c r="A158" s="71"/>
      <c r="B158" s="57">
        <f>IFERROR(VLOOKUP($A:$A,CS!$A:$AK,3,FALSE),"")</f>
      </c>
      <c r="C158" s="57">
        <f>IFERROR(VLOOKUP($A:$A,CS!$A:$AK,4,FALSE),"")</f>
      </c>
      <c r="D158" s="57">
        <f>IFERROR(VLOOKUP($A:$A,CS!$A:$AK,5,FALSE),"")</f>
      </c>
      <c r="E158" s="57">
        <f>IFERROR(VLOOKUP($A:$A,CS!$A:$AK,7,FALSE),"")</f>
      </c>
      <c r="F158" s="57">
        <f>IFERROR(VLOOKUP($A:$A,CS!$A:$AK,8,FALSE),"")</f>
      </c>
      <c r="G158" s="57">
        <f>IFERROR(VLOOKUP($A:$A,CS!$A:$AK,10,FALSE),"")</f>
      </c>
      <c r="H158" s="57">
        <f>IFERROR(VLOOKUP($A:$A,CS!$A:$AK,14,FALSE),"")</f>
      </c>
      <c r="I158" s="57">
        <f>IFERROR(VLOOKUP($A:$A,CS!$A:$AK,15,FALSE),"")</f>
      </c>
      <c r="J158" s="57">
        <f>IFERROR(VLOOKUP($A:$A,CS!$A:$AK,18,FALSE),"")</f>
      </c>
      <c r="K158" s="57">
        <f>IFERROR(VLOOKUP($A:$A,CS!$A:$AK,19,FALSE),"")</f>
      </c>
      <c r="L158" s="57">
        <f>IFERROR(VLOOKUP($A:$A,CS!$A:$AK,20,FALSE),"")</f>
      </c>
      <c r="M158" s="57">
        <f>IFERROR(VLOOKUP($A:$A,CS!$A:$AK,22,FALSE),"")</f>
      </c>
      <c r="N158" s="57">
        <f>IFERROR(VLOOKUP($A:$A,CS!$A:$AK,19,FALSE),"")</f>
      </c>
      <c r="O158" s="57">
        <f>IFERROR(VLOOKUP($A:$A,CS!$A:$AK,23,FALSE),"")</f>
      </c>
      <c r="P158" s="57">
        <f>IFERROR(VLOOKUP($A:$A,CS!$A:$AK,24,FALSE),"")</f>
      </c>
      <c r="Q158" s="57">
        <f>IFERROR(VLOOKUP($A:$A,CS!$A:$AK,25,FALSE),"")</f>
      </c>
      <c r="R158" s="57">
        <f>IFERROR(VLOOKUP($A:$A,CS!$A:$AK,26,FALSE),"")</f>
      </c>
      <c r="S158" s="57">
        <f>IFERROR(VLOOKUP($A:$A,CS!$A:$AK,29,FALSE),"")</f>
      </c>
      <c r="T158" s="57">
        <f>IFERROR(VLOOKUP($A:$A,CS!$A:$AK,33,FALSE),"")</f>
      </c>
      <c r="U158" s="57">
        <f>IFERROR(VLOOKUP($A:$A,CS!$A:$AK,34,FALSE),"")</f>
      </c>
      <c r="V158" s="57">
        <f>IFERROR(VLOOKUP($A:$A,CS!$A:$AK,35,FALSE),"")</f>
      </c>
      <c r="W158" s="57">
        <f>IFERROR(VLOOKUP($A:$A,CS!$A:$AK,36,FALSE),"")</f>
      </c>
    </row>
    <row r="159" ht="16.5" customHeight="1" spans="1:23" x14ac:dyDescent="0.25">
      <c r="A159" s="71"/>
      <c r="B159" s="57">
        <f>IFERROR(VLOOKUP($A:$A,CS!$A:$AK,3,FALSE),"")</f>
      </c>
      <c r="C159" s="57">
        <f>IFERROR(VLOOKUP($A:$A,CS!$A:$AK,4,FALSE),"")</f>
      </c>
      <c r="D159" s="57">
        <f>IFERROR(VLOOKUP($A:$A,CS!$A:$AK,5,FALSE),"")</f>
      </c>
      <c r="E159" s="57">
        <f>IFERROR(VLOOKUP($A:$A,CS!$A:$AK,7,FALSE),"")</f>
      </c>
      <c r="F159" s="57">
        <f>IFERROR(VLOOKUP($A:$A,CS!$A:$AK,8,FALSE),"")</f>
      </c>
      <c r="G159" s="57">
        <f>IFERROR(VLOOKUP($A:$A,CS!$A:$AK,10,FALSE),"")</f>
      </c>
      <c r="H159" s="57">
        <f>IFERROR(VLOOKUP($A:$A,CS!$A:$AK,14,FALSE),"")</f>
      </c>
      <c r="I159" s="57">
        <f>IFERROR(VLOOKUP($A:$A,CS!$A:$AK,15,FALSE),"")</f>
      </c>
      <c r="J159" s="57">
        <f>IFERROR(VLOOKUP($A:$A,CS!$A:$AK,18,FALSE),"")</f>
      </c>
      <c r="K159" s="57">
        <f>IFERROR(VLOOKUP($A:$A,CS!$A:$AK,19,FALSE),"")</f>
      </c>
      <c r="L159" s="57">
        <f>IFERROR(VLOOKUP($A:$A,CS!$A:$AK,20,FALSE),"")</f>
      </c>
      <c r="M159" s="57">
        <f>IFERROR(VLOOKUP($A:$A,CS!$A:$AK,22,FALSE),"")</f>
      </c>
      <c r="N159" s="57">
        <f>IFERROR(VLOOKUP($A:$A,CS!$A:$AK,19,FALSE),"")</f>
      </c>
      <c r="O159" s="57">
        <f>IFERROR(VLOOKUP($A:$A,CS!$A:$AK,23,FALSE),"")</f>
      </c>
      <c r="P159" s="57">
        <f>IFERROR(VLOOKUP($A:$A,CS!$A:$AK,24,FALSE),"")</f>
      </c>
      <c r="Q159" s="57">
        <f>IFERROR(VLOOKUP($A:$A,CS!$A:$AK,25,FALSE),"")</f>
      </c>
      <c r="R159" s="57">
        <f>IFERROR(VLOOKUP($A:$A,CS!$A:$AK,26,FALSE),"")</f>
      </c>
      <c r="S159" s="57">
        <f>IFERROR(VLOOKUP($A:$A,CS!$A:$AK,29,FALSE),"")</f>
      </c>
      <c r="T159" s="57">
        <f>IFERROR(VLOOKUP($A:$A,CS!$A:$AK,33,FALSE),"")</f>
      </c>
      <c r="U159" s="57">
        <f>IFERROR(VLOOKUP($A:$A,CS!$A:$AK,34,FALSE),"")</f>
      </c>
      <c r="V159" s="57">
        <f>IFERROR(VLOOKUP($A:$A,CS!$A:$AK,35,FALSE),"")</f>
      </c>
      <c r="W159" s="57">
        <f>IFERROR(VLOOKUP($A:$A,CS!$A:$AK,36,FALSE),"")</f>
      </c>
    </row>
    <row r="160" ht="16.5" customHeight="1" spans="1:23" x14ac:dyDescent="0.25">
      <c r="A160" s="71"/>
      <c r="B160" s="57">
        <f>IFERROR(VLOOKUP($A:$A,CS!$A:$AK,3,FALSE),"")</f>
      </c>
      <c r="C160" s="57">
        <f>IFERROR(VLOOKUP($A:$A,CS!$A:$AK,4,FALSE),"")</f>
      </c>
      <c r="D160" s="57">
        <f>IFERROR(VLOOKUP($A:$A,CS!$A:$AK,5,FALSE),"")</f>
      </c>
      <c r="E160" s="57">
        <f>IFERROR(VLOOKUP($A:$A,CS!$A:$AK,7,FALSE),"")</f>
      </c>
      <c r="F160" s="57">
        <f>IFERROR(VLOOKUP($A:$A,CS!$A:$AK,8,FALSE),"")</f>
      </c>
      <c r="G160" s="57">
        <f>IFERROR(VLOOKUP($A:$A,CS!$A:$AK,10,FALSE),"")</f>
      </c>
      <c r="H160" s="57">
        <f>IFERROR(VLOOKUP($A:$A,CS!$A:$AK,14,FALSE),"")</f>
      </c>
      <c r="I160" s="57">
        <f>IFERROR(VLOOKUP($A:$A,CS!$A:$AK,15,FALSE),"")</f>
      </c>
      <c r="J160" s="57">
        <f>IFERROR(VLOOKUP($A:$A,CS!$A:$AK,18,FALSE),"")</f>
      </c>
      <c r="K160" s="57">
        <f>IFERROR(VLOOKUP($A:$A,CS!$A:$AK,19,FALSE),"")</f>
      </c>
      <c r="L160" s="57">
        <f>IFERROR(VLOOKUP($A:$A,CS!$A:$AK,20,FALSE),"")</f>
      </c>
      <c r="M160" s="57">
        <f>IFERROR(VLOOKUP($A:$A,CS!$A:$AK,22,FALSE),"")</f>
      </c>
      <c r="N160" s="57">
        <f>IFERROR(VLOOKUP($A:$A,CS!$A:$AK,19,FALSE),"")</f>
      </c>
      <c r="O160" s="57">
        <f>IFERROR(VLOOKUP($A:$A,CS!$A:$AK,23,FALSE),"")</f>
      </c>
      <c r="P160" s="57">
        <f>IFERROR(VLOOKUP($A:$A,CS!$A:$AK,24,FALSE),"")</f>
      </c>
      <c r="Q160" s="57">
        <f>IFERROR(VLOOKUP($A:$A,CS!$A:$AK,25,FALSE),"")</f>
      </c>
      <c r="R160" s="57">
        <f>IFERROR(VLOOKUP($A:$A,CS!$A:$AK,26,FALSE),"")</f>
      </c>
      <c r="S160" s="57">
        <f>IFERROR(VLOOKUP($A:$A,CS!$A:$AK,29,FALSE),"")</f>
      </c>
      <c r="T160" s="57">
        <f>IFERROR(VLOOKUP($A:$A,CS!$A:$AK,33,FALSE),"")</f>
      </c>
      <c r="U160" s="57">
        <f>IFERROR(VLOOKUP($A:$A,CS!$A:$AK,34,FALSE),"")</f>
      </c>
      <c r="V160" s="57">
        <f>IFERROR(VLOOKUP($A:$A,CS!$A:$AK,35,FALSE),"")</f>
      </c>
      <c r="W160" s="57">
        <f>IFERROR(VLOOKUP($A:$A,CS!$A:$AK,36,FALSE),"")</f>
      </c>
    </row>
    <row r="161" ht="16.5" customHeight="1" spans="1:23" x14ac:dyDescent="0.25">
      <c r="A161" s="71"/>
      <c r="B161" s="57">
        <f>IFERROR(VLOOKUP($A:$A,CS!$A:$AK,3,FALSE),"")</f>
      </c>
      <c r="C161" s="57">
        <f>IFERROR(VLOOKUP($A:$A,CS!$A:$AK,4,FALSE),"")</f>
      </c>
      <c r="D161" s="57">
        <f>IFERROR(VLOOKUP($A:$A,CS!$A:$AK,5,FALSE),"")</f>
      </c>
      <c r="E161" s="57">
        <f>IFERROR(VLOOKUP($A:$A,CS!$A:$AK,7,FALSE),"")</f>
      </c>
      <c r="F161" s="57">
        <f>IFERROR(VLOOKUP($A:$A,CS!$A:$AK,8,FALSE),"")</f>
      </c>
      <c r="G161" s="57">
        <f>IFERROR(VLOOKUP($A:$A,CS!$A:$AK,10,FALSE),"")</f>
      </c>
      <c r="H161" s="57">
        <f>IFERROR(VLOOKUP($A:$A,CS!$A:$AK,14,FALSE),"")</f>
      </c>
      <c r="I161" s="57">
        <f>IFERROR(VLOOKUP($A:$A,CS!$A:$AK,15,FALSE),"")</f>
      </c>
      <c r="J161" s="57">
        <f>IFERROR(VLOOKUP($A:$A,CS!$A:$AK,18,FALSE),"")</f>
      </c>
      <c r="K161" s="57">
        <f>IFERROR(VLOOKUP($A:$A,CS!$A:$AK,19,FALSE),"")</f>
      </c>
      <c r="L161" s="57">
        <f>IFERROR(VLOOKUP($A:$A,CS!$A:$AK,20,FALSE),"")</f>
      </c>
      <c r="M161" s="57">
        <f>IFERROR(VLOOKUP($A:$A,CS!$A:$AK,22,FALSE),"")</f>
      </c>
      <c r="N161" s="57">
        <f>IFERROR(VLOOKUP($A:$A,CS!$A:$AK,19,FALSE),"")</f>
      </c>
      <c r="O161" s="57">
        <f>IFERROR(VLOOKUP($A:$A,CS!$A:$AK,23,FALSE),"")</f>
      </c>
      <c r="P161" s="57">
        <f>IFERROR(VLOOKUP($A:$A,CS!$A:$AK,24,FALSE),"")</f>
      </c>
      <c r="Q161" s="57">
        <f>IFERROR(VLOOKUP($A:$A,CS!$A:$AK,25,FALSE),"")</f>
      </c>
      <c r="R161" s="57">
        <f>IFERROR(VLOOKUP($A:$A,CS!$A:$AK,26,FALSE),"")</f>
      </c>
      <c r="S161" s="57">
        <f>IFERROR(VLOOKUP($A:$A,CS!$A:$AK,29,FALSE),"")</f>
      </c>
      <c r="T161" s="57">
        <f>IFERROR(VLOOKUP($A:$A,CS!$A:$AK,33,FALSE),"")</f>
      </c>
      <c r="U161" s="57">
        <f>IFERROR(VLOOKUP($A:$A,CS!$A:$AK,34,FALSE),"")</f>
      </c>
      <c r="V161" s="57">
        <f>IFERROR(VLOOKUP($A:$A,CS!$A:$AK,35,FALSE),"")</f>
      </c>
      <c r="W161" s="57">
        <f>IFERROR(VLOOKUP($A:$A,CS!$A:$AK,36,FALSE),"")</f>
      </c>
    </row>
    <row r="162" ht="16.5" customHeight="1" spans="1:23" x14ac:dyDescent="0.25">
      <c r="A162" s="71"/>
      <c r="B162" s="57">
        <f>IFERROR(VLOOKUP($A:$A,CS!$A:$AK,3,FALSE),"")</f>
      </c>
      <c r="C162" s="57">
        <f>IFERROR(VLOOKUP($A:$A,CS!$A:$AK,4,FALSE),"")</f>
      </c>
      <c r="D162" s="57">
        <f>IFERROR(VLOOKUP($A:$A,CS!$A:$AK,5,FALSE),"")</f>
      </c>
      <c r="E162" s="57">
        <f>IFERROR(VLOOKUP($A:$A,CS!$A:$AK,7,FALSE),"")</f>
      </c>
      <c r="F162" s="57">
        <f>IFERROR(VLOOKUP($A:$A,CS!$A:$AK,8,FALSE),"")</f>
      </c>
      <c r="G162" s="57">
        <f>IFERROR(VLOOKUP($A:$A,CS!$A:$AK,10,FALSE),"")</f>
      </c>
      <c r="H162" s="57">
        <f>IFERROR(VLOOKUP($A:$A,CS!$A:$AK,14,FALSE),"")</f>
      </c>
      <c r="I162" s="57">
        <f>IFERROR(VLOOKUP($A:$A,CS!$A:$AK,15,FALSE),"")</f>
      </c>
      <c r="J162" s="57">
        <f>IFERROR(VLOOKUP($A:$A,CS!$A:$AK,18,FALSE),"")</f>
      </c>
      <c r="K162" s="57">
        <f>IFERROR(VLOOKUP($A:$A,CS!$A:$AK,19,FALSE),"")</f>
      </c>
      <c r="L162" s="57">
        <f>IFERROR(VLOOKUP($A:$A,CS!$A:$AK,20,FALSE),"")</f>
      </c>
      <c r="M162" s="57">
        <f>IFERROR(VLOOKUP($A:$A,CS!$A:$AK,22,FALSE),"")</f>
      </c>
      <c r="N162" s="57">
        <f>IFERROR(VLOOKUP($A:$A,CS!$A:$AK,19,FALSE),"")</f>
      </c>
      <c r="O162" s="57">
        <f>IFERROR(VLOOKUP($A:$A,CS!$A:$AK,23,FALSE),"")</f>
      </c>
      <c r="P162" s="57">
        <f>IFERROR(VLOOKUP($A:$A,CS!$A:$AK,24,FALSE),"")</f>
      </c>
      <c r="Q162" s="57">
        <f>IFERROR(VLOOKUP($A:$A,CS!$A:$AK,25,FALSE),"")</f>
      </c>
      <c r="R162" s="57">
        <f>IFERROR(VLOOKUP($A:$A,CS!$A:$AK,26,FALSE),"")</f>
      </c>
      <c r="S162" s="57">
        <f>IFERROR(VLOOKUP($A:$A,CS!$A:$AK,29,FALSE),"")</f>
      </c>
      <c r="T162" s="57">
        <f>IFERROR(VLOOKUP($A:$A,CS!$A:$AK,33,FALSE),"")</f>
      </c>
      <c r="U162" s="57">
        <f>IFERROR(VLOOKUP($A:$A,CS!$A:$AK,34,FALSE),"")</f>
      </c>
      <c r="V162" s="57">
        <f>IFERROR(VLOOKUP($A:$A,CS!$A:$AK,35,FALSE),"")</f>
      </c>
      <c r="W162" s="57">
        <f>IFERROR(VLOOKUP($A:$A,CS!$A:$AK,36,FALSE),"")</f>
      </c>
    </row>
    <row r="163" ht="16.5" customHeight="1" spans="1:23" x14ac:dyDescent="0.25">
      <c r="A163" s="71"/>
      <c r="B163" s="57">
        <f>IFERROR(VLOOKUP($A:$A,CS!$A:$AK,3,FALSE),"")</f>
      </c>
      <c r="C163" s="57">
        <f>IFERROR(VLOOKUP($A:$A,CS!$A:$AK,4,FALSE),"")</f>
      </c>
      <c r="D163" s="57">
        <f>IFERROR(VLOOKUP($A:$A,CS!$A:$AK,5,FALSE),"")</f>
      </c>
      <c r="E163" s="57">
        <f>IFERROR(VLOOKUP($A:$A,CS!$A:$AK,7,FALSE),"")</f>
      </c>
      <c r="F163" s="57">
        <f>IFERROR(VLOOKUP($A:$A,CS!$A:$AK,8,FALSE),"")</f>
      </c>
      <c r="G163" s="57">
        <f>IFERROR(VLOOKUP($A:$A,CS!$A:$AK,10,FALSE),"")</f>
      </c>
      <c r="H163" s="57">
        <f>IFERROR(VLOOKUP($A:$A,CS!$A:$AK,14,FALSE),"")</f>
      </c>
      <c r="I163" s="57">
        <f>IFERROR(VLOOKUP($A:$A,CS!$A:$AK,15,FALSE),"")</f>
      </c>
      <c r="J163" s="57">
        <f>IFERROR(VLOOKUP($A:$A,CS!$A:$AK,18,FALSE),"")</f>
      </c>
      <c r="K163" s="57">
        <f>IFERROR(VLOOKUP($A:$A,CS!$A:$AK,19,FALSE),"")</f>
      </c>
      <c r="L163" s="57">
        <f>IFERROR(VLOOKUP($A:$A,CS!$A:$AK,20,FALSE),"")</f>
      </c>
      <c r="M163" s="57">
        <f>IFERROR(VLOOKUP($A:$A,CS!$A:$AK,22,FALSE),"")</f>
      </c>
      <c r="N163" s="57">
        <f>IFERROR(VLOOKUP($A:$A,CS!$A:$AK,19,FALSE),"")</f>
      </c>
      <c r="O163" s="57">
        <f>IFERROR(VLOOKUP($A:$A,CS!$A:$AK,23,FALSE),"")</f>
      </c>
      <c r="P163" s="57">
        <f>IFERROR(VLOOKUP($A:$A,CS!$A:$AK,24,FALSE),"")</f>
      </c>
      <c r="Q163" s="57">
        <f>IFERROR(VLOOKUP($A:$A,CS!$A:$AK,25,FALSE),"")</f>
      </c>
      <c r="R163" s="57">
        <f>IFERROR(VLOOKUP($A:$A,CS!$A:$AK,26,FALSE),"")</f>
      </c>
      <c r="S163" s="57">
        <f>IFERROR(VLOOKUP($A:$A,CS!$A:$AK,29,FALSE),"")</f>
      </c>
      <c r="T163" s="57">
        <f>IFERROR(VLOOKUP($A:$A,CS!$A:$AK,33,FALSE),"")</f>
      </c>
      <c r="U163" s="57">
        <f>IFERROR(VLOOKUP($A:$A,CS!$A:$AK,34,FALSE),"")</f>
      </c>
      <c r="V163" s="57">
        <f>IFERROR(VLOOKUP($A:$A,CS!$A:$AK,35,FALSE),"")</f>
      </c>
      <c r="W163" s="57">
        <f>IFERROR(VLOOKUP($A:$A,CS!$A:$AK,36,FALSE),"")</f>
      </c>
    </row>
    <row r="164" ht="16.5" customHeight="1" spans="1:23" x14ac:dyDescent="0.25">
      <c r="A164" s="71"/>
      <c r="B164" s="57">
        <f>IFERROR(VLOOKUP($A:$A,CS!$A:$AK,3,FALSE),"")</f>
      </c>
      <c r="C164" s="57">
        <f>IFERROR(VLOOKUP($A:$A,CS!$A:$AK,4,FALSE),"")</f>
      </c>
      <c r="D164" s="57">
        <f>IFERROR(VLOOKUP($A:$A,CS!$A:$AK,5,FALSE),"")</f>
      </c>
      <c r="E164" s="57">
        <f>IFERROR(VLOOKUP($A:$A,CS!$A:$AK,7,FALSE),"")</f>
      </c>
      <c r="F164" s="57">
        <f>IFERROR(VLOOKUP($A:$A,CS!$A:$AK,8,FALSE),"")</f>
      </c>
      <c r="G164" s="57">
        <f>IFERROR(VLOOKUP($A:$A,CS!$A:$AK,10,FALSE),"")</f>
      </c>
      <c r="H164" s="57">
        <f>IFERROR(VLOOKUP($A:$A,CS!$A:$AK,14,FALSE),"")</f>
      </c>
      <c r="I164" s="57">
        <f>IFERROR(VLOOKUP($A:$A,CS!$A:$AK,15,FALSE),"")</f>
      </c>
      <c r="J164" s="57">
        <f>IFERROR(VLOOKUP($A:$A,CS!$A:$AK,18,FALSE),"")</f>
      </c>
      <c r="K164" s="57">
        <f>IFERROR(VLOOKUP($A:$A,CS!$A:$AK,19,FALSE),"")</f>
      </c>
      <c r="L164" s="57">
        <f>IFERROR(VLOOKUP($A:$A,CS!$A:$AK,20,FALSE),"")</f>
      </c>
      <c r="M164" s="57">
        <f>IFERROR(VLOOKUP($A:$A,CS!$A:$AK,22,FALSE),"")</f>
      </c>
      <c r="N164" s="57">
        <f>IFERROR(VLOOKUP($A:$A,CS!$A:$AK,19,FALSE),"")</f>
      </c>
      <c r="O164" s="57">
        <f>IFERROR(VLOOKUP($A:$A,CS!$A:$AK,23,FALSE),"")</f>
      </c>
      <c r="P164" s="57">
        <f>IFERROR(VLOOKUP($A:$A,CS!$A:$AK,24,FALSE),"")</f>
      </c>
      <c r="Q164" s="57">
        <f>IFERROR(VLOOKUP($A:$A,CS!$A:$AK,25,FALSE),"")</f>
      </c>
      <c r="R164" s="57">
        <f>IFERROR(VLOOKUP($A:$A,CS!$A:$AK,26,FALSE),"")</f>
      </c>
      <c r="S164" s="57">
        <f>IFERROR(VLOOKUP($A:$A,CS!$A:$AK,29,FALSE),"")</f>
      </c>
      <c r="T164" s="57">
        <f>IFERROR(VLOOKUP($A:$A,CS!$A:$AK,33,FALSE),"")</f>
      </c>
      <c r="U164" s="57">
        <f>IFERROR(VLOOKUP($A:$A,CS!$A:$AK,34,FALSE),"")</f>
      </c>
      <c r="V164" s="57">
        <f>IFERROR(VLOOKUP($A:$A,CS!$A:$AK,35,FALSE),"")</f>
      </c>
      <c r="W164" s="57">
        <f>IFERROR(VLOOKUP($A:$A,CS!$A:$AK,36,FALSE),"")</f>
      </c>
    </row>
    <row r="165" ht="16.5" customHeight="1" spans="1:23" x14ac:dyDescent="0.25">
      <c r="A165" s="71"/>
      <c r="B165" s="57">
        <f>IFERROR(VLOOKUP($A:$A,CS!$A:$AK,3,FALSE),"")</f>
      </c>
      <c r="C165" s="57">
        <f>IFERROR(VLOOKUP($A:$A,CS!$A:$AK,4,FALSE),"")</f>
      </c>
      <c r="D165" s="57">
        <f>IFERROR(VLOOKUP($A:$A,CS!$A:$AK,5,FALSE),"")</f>
      </c>
      <c r="E165" s="57">
        <f>IFERROR(VLOOKUP($A:$A,CS!$A:$AK,7,FALSE),"")</f>
      </c>
      <c r="F165" s="57">
        <f>IFERROR(VLOOKUP($A:$A,CS!$A:$AK,8,FALSE),"")</f>
      </c>
      <c r="G165" s="57">
        <f>IFERROR(VLOOKUP($A:$A,CS!$A:$AK,10,FALSE),"")</f>
      </c>
      <c r="H165" s="57">
        <f>IFERROR(VLOOKUP($A:$A,CS!$A:$AK,14,FALSE),"")</f>
      </c>
      <c r="I165" s="57">
        <f>IFERROR(VLOOKUP($A:$A,CS!$A:$AK,15,FALSE),"")</f>
      </c>
      <c r="J165" s="57">
        <f>IFERROR(VLOOKUP($A:$A,CS!$A:$AK,18,FALSE),"")</f>
      </c>
      <c r="K165" s="57">
        <f>IFERROR(VLOOKUP($A:$A,CS!$A:$AK,19,FALSE),"")</f>
      </c>
      <c r="L165" s="57">
        <f>IFERROR(VLOOKUP($A:$A,CS!$A:$AK,20,FALSE),"")</f>
      </c>
      <c r="M165" s="57">
        <f>IFERROR(VLOOKUP($A:$A,CS!$A:$AK,22,FALSE),"")</f>
      </c>
      <c r="N165" s="57">
        <f>IFERROR(VLOOKUP($A:$A,CS!$A:$AK,19,FALSE),"")</f>
      </c>
      <c r="O165" s="57">
        <f>IFERROR(VLOOKUP($A:$A,CS!$A:$AK,23,FALSE),"")</f>
      </c>
      <c r="P165" s="57">
        <f>IFERROR(VLOOKUP($A:$A,CS!$A:$AK,24,FALSE),"")</f>
      </c>
      <c r="Q165" s="57">
        <f>IFERROR(VLOOKUP($A:$A,CS!$A:$AK,25,FALSE),"")</f>
      </c>
      <c r="R165" s="57">
        <f>IFERROR(VLOOKUP($A:$A,CS!$A:$AK,26,FALSE),"")</f>
      </c>
      <c r="S165" s="57">
        <f>IFERROR(VLOOKUP($A:$A,CS!$A:$AK,29,FALSE),"")</f>
      </c>
      <c r="T165" s="57">
        <f>IFERROR(VLOOKUP($A:$A,CS!$A:$AK,33,FALSE),"")</f>
      </c>
      <c r="U165" s="57">
        <f>IFERROR(VLOOKUP($A:$A,CS!$A:$AK,34,FALSE),"")</f>
      </c>
      <c r="V165" s="57">
        <f>IFERROR(VLOOKUP($A:$A,CS!$A:$AK,35,FALSE),"")</f>
      </c>
      <c r="W165" s="57">
        <f>IFERROR(VLOOKUP($A:$A,CS!$A:$AK,36,FALSE),"")</f>
      </c>
    </row>
    <row r="166" ht="16.5" customHeight="1" spans="1:23" x14ac:dyDescent="0.25">
      <c r="A166" s="71"/>
      <c r="B166" s="57">
        <f>IFERROR(VLOOKUP($A:$A,CS!$A:$AK,3,FALSE),"")</f>
      </c>
      <c r="C166" s="57">
        <f>IFERROR(VLOOKUP($A:$A,CS!$A:$AK,4,FALSE),"")</f>
      </c>
      <c r="D166" s="57">
        <f>IFERROR(VLOOKUP($A:$A,CS!$A:$AK,5,FALSE),"")</f>
      </c>
      <c r="E166" s="57">
        <f>IFERROR(VLOOKUP($A:$A,CS!$A:$AK,7,FALSE),"")</f>
      </c>
      <c r="F166" s="57">
        <f>IFERROR(VLOOKUP($A:$A,CS!$A:$AK,8,FALSE),"")</f>
      </c>
      <c r="G166" s="57">
        <f>IFERROR(VLOOKUP($A:$A,CS!$A:$AK,10,FALSE),"")</f>
      </c>
      <c r="H166" s="57">
        <f>IFERROR(VLOOKUP($A:$A,CS!$A:$AK,14,FALSE),"")</f>
      </c>
      <c r="I166" s="57">
        <f>IFERROR(VLOOKUP($A:$A,CS!$A:$AK,15,FALSE),"")</f>
      </c>
      <c r="J166" s="57">
        <f>IFERROR(VLOOKUP($A:$A,CS!$A:$AK,18,FALSE),"")</f>
      </c>
      <c r="K166" s="57">
        <f>IFERROR(VLOOKUP($A:$A,CS!$A:$AK,19,FALSE),"")</f>
      </c>
      <c r="L166" s="57">
        <f>IFERROR(VLOOKUP($A:$A,CS!$A:$AK,20,FALSE),"")</f>
      </c>
      <c r="M166" s="57">
        <f>IFERROR(VLOOKUP($A:$A,CS!$A:$AK,22,FALSE),"")</f>
      </c>
      <c r="N166" s="57">
        <f>IFERROR(VLOOKUP($A:$A,CS!$A:$AK,19,FALSE),"")</f>
      </c>
      <c r="O166" s="57">
        <f>IFERROR(VLOOKUP($A:$A,CS!$A:$AK,23,FALSE),"")</f>
      </c>
      <c r="P166" s="57">
        <f>IFERROR(VLOOKUP($A:$A,CS!$A:$AK,24,FALSE),"")</f>
      </c>
      <c r="Q166" s="57">
        <f>IFERROR(VLOOKUP($A:$A,CS!$A:$AK,25,FALSE),"")</f>
      </c>
      <c r="R166" s="57">
        <f>IFERROR(VLOOKUP($A:$A,CS!$A:$AK,26,FALSE),"")</f>
      </c>
      <c r="S166" s="57">
        <f>IFERROR(VLOOKUP($A:$A,CS!$A:$AK,29,FALSE),"")</f>
      </c>
      <c r="T166" s="57">
        <f>IFERROR(VLOOKUP($A:$A,CS!$A:$AK,33,FALSE),"")</f>
      </c>
      <c r="U166" s="57">
        <f>IFERROR(VLOOKUP($A:$A,CS!$A:$AK,34,FALSE),"")</f>
      </c>
      <c r="V166" s="57">
        <f>IFERROR(VLOOKUP($A:$A,CS!$A:$AK,35,FALSE),"")</f>
      </c>
      <c r="W166" s="57">
        <f>IFERROR(VLOOKUP($A:$A,CS!$A:$AK,36,FALSE),"")</f>
      </c>
    </row>
    <row r="167" ht="16.5" customHeight="1" spans="1:23" x14ac:dyDescent="0.25">
      <c r="A167" s="71"/>
      <c r="B167" s="57">
        <f>IFERROR(VLOOKUP($A:$A,CS!$A:$AK,3,FALSE),"")</f>
      </c>
      <c r="C167" s="57">
        <f>IFERROR(VLOOKUP($A:$A,CS!$A:$AK,4,FALSE),"")</f>
      </c>
      <c r="D167" s="57">
        <f>IFERROR(VLOOKUP($A:$A,CS!$A:$AK,5,FALSE),"")</f>
      </c>
      <c r="E167" s="57">
        <f>IFERROR(VLOOKUP($A:$A,CS!$A:$AK,7,FALSE),"")</f>
      </c>
      <c r="F167" s="57">
        <f>IFERROR(VLOOKUP($A:$A,CS!$A:$AK,8,FALSE),"")</f>
      </c>
      <c r="G167" s="57">
        <f>IFERROR(VLOOKUP($A:$A,CS!$A:$AK,10,FALSE),"")</f>
      </c>
      <c r="H167" s="57">
        <f>IFERROR(VLOOKUP($A:$A,CS!$A:$AK,14,FALSE),"")</f>
      </c>
      <c r="I167" s="57">
        <f>IFERROR(VLOOKUP($A:$A,CS!$A:$AK,15,FALSE),"")</f>
      </c>
      <c r="J167" s="57">
        <f>IFERROR(VLOOKUP($A:$A,CS!$A:$AK,18,FALSE),"")</f>
      </c>
      <c r="K167" s="57">
        <f>IFERROR(VLOOKUP($A:$A,CS!$A:$AK,19,FALSE),"")</f>
      </c>
      <c r="L167" s="57">
        <f>IFERROR(VLOOKUP($A:$A,CS!$A:$AK,20,FALSE),"")</f>
      </c>
      <c r="M167" s="57">
        <f>IFERROR(VLOOKUP($A:$A,CS!$A:$AK,22,FALSE),"")</f>
      </c>
      <c r="N167" s="57">
        <f>IFERROR(VLOOKUP($A:$A,CS!$A:$AK,19,FALSE),"")</f>
      </c>
      <c r="O167" s="57">
        <f>IFERROR(VLOOKUP($A:$A,CS!$A:$AK,23,FALSE),"")</f>
      </c>
      <c r="P167" s="57">
        <f>IFERROR(VLOOKUP($A:$A,CS!$A:$AK,24,FALSE),"")</f>
      </c>
      <c r="Q167" s="57">
        <f>IFERROR(VLOOKUP($A:$A,CS!$A:$AK,25,FALSE),"")</f>
      </c>
      <c r="R167" s="57">
        <f>IFERROR(VLOOKUP($A:$A,CS!$A:$AK,26,FALSE),"")</f>
      </c>
      <c r="S167" s="57">
        <f>IFERROR(VLOOKUP($A:$A,CS!$A:$AK,29,FALSE),"")</f>
      </c>
      <c r="T167" s="57">
        <f>IFERROR(VLOOKUP($A:$A,CS!$A:$AK,33,FALSE),"")</f>
      </c>
      <c r="U167" s="57">
        <f>IFERROR(VLOOKUP($A:$A,CS!$A:$AK,34,FALSE),"")</f>
      </c>
      <c r="V167" s="57">
        <f>IFERROR(VLOOKUP($A:$A,CS!$A:$AK,35,FALSE),"")</f>
      </c>
      <c r="W167" s="57">
        <f>IFERROR(VLOOKUP($A:$A,CS!$A:$AK,36,FALSE),"")</f>
      </c>
    </row>
    <row r="168" ht="16.5" customHeight="1" spans="1:23" x14ac:dyDescent="0.25">
      <c r="A168" s="71"/>
      <c r="B168" s="57">
        <f>IFERROR(VLOOKUP($A:$A,CS!$A:$AK,3,FALSE),"")</f>
      </c>
      <c r="C168" s="57">
        <f>IFERROR(VLOOKUP($A:$A,CS!$A:$AK,4,FALSE),"")</f>
      </c>
      <c r="D168" s="57">
        <f>IFERROR(VLOOKUP($A:$A,CS!$A:$AK,5,FALSE),"")</f>
      </c>
      <c r="E168" s="57">
        <f>IFERROR(VLOOKUP($A:$A,CS!$A:$AK,7,FALSE),"")</f>
      </c>
      <c r="F168" s="57">
        <f>IFERROR(VLOOKUP($A:$A,CS!$A:$AK,8,FALSE),"")</f>
      </c>
      <c r="G168" s="57">
        <f>IFERROR(VLOOKUP($A:$A,CS!$A:$AK,10,FALSE),"")</f>
      </c>
      <c r="H168" s="57">
        <f>IFERROR(VLOOKUP($A:$A,CS!$A:$AK,14,FALSE),"")</f>
      </c>
      <c r="I168" s="57">
        <f>IFERROR(VLOOKUP($A:$A,CS!$A:$AK,15,FALSE),"")</f>
      </c>
      <c r="J168" s="57">
        <f>IFERROR(VLOOKUP($A:$A,CS!$A:$AK,18,FALSE),"")</f>
      </c>
      <c r="K168" s="57">
        <f>IFERROR(VLOOKUP($A:$A,CS!$A:$AK,19,FALSE),"")</f>
      </c>
      <c r="L168" s="57">
        <f>IFERROR(VLOOKUP($A:$A,CS!$A:$AK,20,FALSE),"")</f>
      </c>
      <c r="M168" s="57">
        <f>IFERROR(VLOOKUP($A:$A,CS!$A:$AK,22,FALSE),"")</f>
      </c>
      <c r="N168" s="57">
        <f>IFERROR(VLOOKUP($A:$A,CS!$A:$AK,19,FALSE),"")</f>
      </c>
      <c r="O168" s="57">
        <f>IFERROR(VLOOKUP($A:$A,CS!$A:$AK,23,FALSE),"")</f>
      </c>
      <c r="P168" s="57">
        <f>IFERROR(VLOOKUP($A:$A,CS!$A:$AK,24,FALSE),"")</f>
      </c>
      <c r="Q168" s="57">
        <f>IFERROR(VLOOKUP($A:$A,CS!$A:$AK,25,FALSE),"")</f>
      </c>
      <c r="R168" s="57">
        <f>IFERROR(VLOOKUP($A:$A,CS!$A:$AK,26,FALSE),"")</f>
      </c>
      <c r="S168" s="57">
        <f>IFERROR(VLOOKUP($A:$A,CS!$A:$AK,29,FALSE),"")</f>
      </c>
      <c r="T168" s="57">
        <f>IFERROR(VLOOKUP($A:$A,CS!$A:$AK,33,FALSE),"")</f>
      </c>
      <c r="U168" s="57">
        <f>IFERROR(VLOOKUP($A:$A,CS!$A:$AK,34,FALSE),"")</f>
      </c>
      <c r="V168" s="57">
        <f>IFERROR(VLOOKUP($A:$A,CS!$A:$AK,35,FALSE),"")</f>
      </c>
      <c r="W168" s="57">
        <f>IFERROR(VLOOKUP($A:$A,CS!$A:$AK,36,FALSE),"")</f>
      </c>
    </row>
    <row r="169" ht="16.5" customHeight="1" spans="1:23" x14ac:dyDescent="0.25">
      <c r="A169" s="71"/>
      <c r="B169" s="57">
        <f>IFERROR(VLOOKUP($A:$A,CS!$A:$AK,3,FALSE),"")</f>
      </c>
      <c r="C169" s="57">
        <f>IFERROR(VLOOKUP($A:$A,CS!$A:$AK,4,FALSE),"")</f>
      </c>
      <c r="D169" s="57">
        <f>IFERROR(VLOOKUP($A:$A,CS!$A:$AK,5,FALSE),"")</f>
      </c>
      <c r="E169" s="57">
        <f>IFERROR(VLOOKUP($A:$A,CS!$A:$AK,7,FALSE),"")</f>
      </c>
      <c r="F169" s="57">
        <f>IFERROR(VLOOKUP($A:$A,CS!$A:$AK,8,FALSE),"")</f>
      </c>
      <c r="G169" s="57">
        <f>IFERROR(VLOOKUP($A:$A,CS!$A:$AK,10,FALSE),"")</f>
      </c>
      <c r="H169" s="57">
        <f>IFERROR(VLOOKUP($A:$A,CS!$A:$AK,14,FALSE),"")</f>
      </c>
      <c r="I169" s="57">
        <f>IFERROR(VLOOKUP($A:$A,CS!$A:$AK,15,FALSE),"")</f>
      </c>
      <c r="J169" s="57">
        <f>IFERROR(VLOOKUP($A:$A,CS!$A:$AK,18,FALSE),"")</f>
      </c>
      <c r="K169" s="57">
        <f>IFERROR(VLOOKUP($A:$A,CS!$A:$AK,19,FALSE),"")</f>
      </c>
      <c r="L169" s="57">
        <f>IFERROR(VLOOKUP($A:$A,CS!$A:$AK,20,FALSE),"")</f>
      </c>
      <c r="M169" s="57">
        <f>IFERROR(VLOOKUP($A:$A,CS!$A:$AK,22,FALSE),"")</f>
      </c>
      <c r="N169" s="57">
        <f>IFERROR(VLOOKUP($A:$A,CS!$A:$AK,19,FALSE),"")</f>
      </c>
      <c r="O169" s="57">
        <f>IFERROR(VLOOKUP($A:$A,CS!$A:$AK,23,FALSE),"")</f>
      </c>
      <c r="P169" s="57">
        <f>IFERROR(VLOOKUP($A:$A,CS!$A:$AK,24,FALSE),"")</f>
      </c>
      <c r="Q169" s="57">
        <f>IFERROR(VLOOKUP($A:$A,CS!$A:$AK,25,FALSE),"")</f>
      </c>
      <c r="R169" s="57">
        <f>IFERROR(VLOOKUP($A:$A,CS!$A:$AK,26,FALSE),"")</f>
      </c>
      <c r="S169" s="57">
        <f>IFERROR(VLOOKUP($A:$A,CS!$A:$AK,29,FALSE),"")</f>
      </c>
      <c r="T169" s="57">
        <f>IFERROR(VLOOKUP($A:$A,CS!$A:$AK,33,FALSE),"")</f>
      </c>
      <c r="U169" s="57">
        <f>IFERROR(VLOOKUP($A:$A,CS!$A:$AK,34,FALSE),"")</f>
      </c>
      <c r="V169" s="57">
        <f>IFERROR(VLOOKUP($A:$A,CS!$A:$AK,35,FALSE),"")</f>
      </c>
      <c r="W169" s="57">
        <f>IFERROR(VLOOKUP($A:$A,CS!$A:$AK,36,FALSE),"")</f>
      </c>
    </row>
    <row r="170" ht="16.5" customHeight="1" spans="1:23" x14ac:dyDescent="0.25">
      <c r="A170" s="71"/>
      <c r="B170" s="57">
        <f>IFERROR(VLOOKUP($A:$A,CS!$A:$AK,3,FALSE),"")</f>
      </c>
      <c r="C170" s="57">
        <f>IFERROR(VLOOKUP($A:$A,CS!$A:$AK,4,FALSE),"")</f>
      </c>
      <c r="D170" s="57">
        <f>IFERROR(VLOOKUP($A:$A,CS!$A:$AK,5,FALSE),"")</f>
      </c>
      <c r="E170" s="57">
        <f>IFERROR(VLOOKUP($A:$A,CS!$A:$AK,7,FALSE),"")</f>
      </c>
      <c r="F170" s="57">
        <f>IFERROR(VLOOKUP($A:$A,CS!$A:$AK,8,FALSE),"")</f>
      </c>
      <c r="G170" s="57">
        <f>IFERROR(VLOOKUP($A:$A,CS!$A:$AK,10,FALSE),"")</f>
      </c>
      <c r="H170" s="57">
        <f>IFERROR(VLOOKUP($A:$A,CS!$A:$AK,14,FALSE),"")</f>
      </c>
      <c r="I170" s="57">
        <f>IFERROR(VLOOKUP($A:$A,CS!$A:$AK,15,FALSE),"")</f>
      </c>
      <c r="J170" s="57">
        <f>IFERROR(VLOOKUP($A:$A,CS!$A:$AK,18,FALSE),"")</f>
      </c>
      <c r="K170" s="57">
        <f>IFERROR(VLOOKUP($A:$A,CS!$A:$AK,19,FALSE),"")</f>
      </c>
      <c r="L170" s="57">
        <f>IFERROR(VLOOKUP($A:$A,CS!$A:$AK,20,FALSE),"")</f>
      </c>
      <c r="M170" s="57">
        <f>IFERROR(VLOOKUP($A:$A,CS!$A:$AK,22,FALSE),"")</f>
      </c>
      <c r="N170" s="57">
        <f>IFERROR(VLOOKUP($A:$A,CS!$A:$AK,19,FALSE),"")</f>
      </c>
      <c r="O170" s="57">
        <f>IFERROR(VLOOKUP($A:$A,CS!$A:$AK,23,FALSE),"")</f>
      </c>
      <c r="P170" s="57">
        <f>IFERROR(VLOOKUP($A:$A,CS!$A:$AK,24,FALSE),"")</f>
      </c>
      <c r="Q170" s="57">
        <f>IFERROR(VLOOKUP($A:$A,CS!$A:$AK,25,FALSE),"")</f>
      </c>
      <c r="R170" s="57">
        <f>IFERROR(VLOOKUP($A:$A,CS!$A:$AK,26,FALSE),"")</f>
      </c>
      <c r="S170" s="57">
        <f>IFERROR(VLOOKUP($A:$A,CS!$A:$AK,29,FALSE),"")</f>
      </c>
      <c r="T170" s="57">
        <f>IFERROR(VLOOKUP($A:$A,CS!$A:$AK,33,FALSE),"")</f>
      </c>
      <c r="U170" s="57">
        <f>IFERROR(VLOOKUP($A:$A,CS!$A:$AK,34,FALSE),"")</f>
      </c>
      <c r="V170" s="57">
        <f>IFERROR(VLOOKUP($A:$A,CS!$A:$AK,35,FALSE),"")</f>
      </c>
      <c r="W170" s="57">
        <f>IFERROR(VLOOKUP($A:$A,CS!$A:$AK,36,FALSE),"")</f>
      </c>
    </row>
    <row r="171" ht="16.5" customHeight="1" spans="1:23" x14ac:dyDescent="0.25">
      <c r="A171" s="71"/>
      <c r="B171" s="57">
        <f>IFERROR(VLOOKUP($A:$A,CS!$A:$AK,3,FALSE),"")</f>
      </c>
      <c r="C171" s="57">
        <f>IFERROR(VLOOKUP($A:$A,CS!$A:$AK,4,FALSE),"")</f>
      </c>
      <c r="D171" s="57">
        <f>IFERROR(VLOOKUP($A:$A,CS!$A:$AK,5,FALSE),"")</f>
      </c>
      <c r="E171" s="57">
        <f>IFERROR(VLOOKUP($A:$A,CS!$A:$AK,7,FALSE),"")</f>
      </c>
      <c r="F171" s="57">
        <f>IFERROR(VLOOKUP($A:$A,CS!$A:$AK,8,FALSE),"")</f>
      </c>
      <c r="G171" s="57">
        <f>IFERROR(VLOOKUP($A:$A,CS!$A:$AK,10,FALSE),"")</f>
      </c>
      <c r="H171" s="57">
        <f>IFERROR(VLOOKUP($A:$A,CS!$A:$AK,14,FALSE),"")</f>
      </c>
      <c r="I171" s="57">
        <f>IFERROR(VLOOKUP($A:$A,CS!$A:$AK,15,FALSE),"")</f>
      </c>
      <c r="J171" s="57">
        <f>IFERROR(VLOOKUP($A:$A,CS!$A:$AK,18,FALSE),"")</f>
      </c>
      <c r="K171" s="57">
        <f>IFERROR(VLOOKUP($A:$A,CS!$A:$AK,19,FALSE),"")</f>
      </c>
      <c r="L171" s="57">
        <f>IFERROR(VLOOKUP($A:$A,CS!$A:$AK,20,FALSE),"")</f>
      </c>
      <c r="M171" s="57">
        <f>IFERROR(VLOOKUP($A:$A,CS!$A:$AK,22,FALSE),"")</f>
      </c>
      <c r="N171" s="57">
        <f>IFERROR(VLOOKUP($A:$A,CS!$A:$AK,19,FALSE),"")</f>
      </c>
      <c r="O171" s="57">
        <f>IFERROR(VLOOKUP($A:$A,CS!$A:$AK,23,FALSE),"")</f>
      </c>
      <c r="P171" s="57">
        <f>IFERROR(VLOOKUP($A:$A,CS!$A:$AK,24,FALSE),"")</f>
      </c>
      <c r="Q171" s="57">
        <f>IFERROR(VLOOKUP($A:$A,CS!$A:$AK,25,FALSE),"")</f>
      </c>
      <c r="R171" s="57">
        <f>IFERROR(VLOOKUP($A:$A,CS!$A:$AK,26,FALSE),"")</f>
      </c>
      <c r="S171" s="57">
        <f>IFERROR(VLOOKUP($A:$A,CS!$A:$AK,29,FALSE),"")</f>
      </c>
      <c r="T171" s="57">
        <f>IFERROR(VLOOKUP($A:$A,CS!$A:$AK,33,FALSE),"")</f>
      </c>
      <c r="U171" s="57">
        <f>IFERROR(VLOOKUP($A:$A,CS!$A:$AK,34,FALSE),"")</f>
      </c>
      <c r="V171" s="57">
        <f>IFERROR(VLOOKUP($A:$A,CS!$A:$AK,35,FALSE),"")</f>
      </c>
      <c r="W171" s="57">
        <f>IFERROR(VLOOKUP($A:$A,CS!$A:$AK,36,FALSE),"")</f>
      </c>
    </row>
    <row r="172" ht="16.5" customHeight="1" spans="1:23" x14ac:dyDescent="0.25">
      <c r="A172" s="71"/>
      <c r="B172" s="57">
        <f>IFERROR(VLOOKUP($A:$A,CS!$A:$AK,3,FALSE),"")</f>
      </c>
      <c r="C172" s="57">
        <f>IFERROR(VLOOKUP($A:$A,CS!$A:$AK,4,FALSE),"")</f>
      </c>
      <c r="D172" s="57">
        <f>IFERROR(VLOOKUP($A:$A,CS!$A:$AK,5,FALSE),"")</f>
      </c>
      <c r="E172" s="57">
        <f>IFERROR(VLOOKUP($A:$A,CS!$A:$AK,7,FALSE),"")</f>
      </c>
      <c r="F172" s="57">
        <f>IFERROR(VLOOKUP($A:$A,CS!$A:$AK,8,FALSE),"")</f>
      </c>
      <c r="G172" s="57">
        <f>IFERROR(VLOOKUP($A:$A,CS!$A:$AK,10,FALSE),"")</f>
      </c>
      <c r="H172" s="57">
        <f>IFERROR(VLOOKUP($A:$A,CS!$A:$AK,14,FALSE),"")</f>
      </c>
      <c r="I172" s="57">
        <f>IFERROR(VLOOKUP($A:$A,CS!$A:$AK,15,FALSE),"")</f>
      </c>
      <c r="J172" s="57">
        <f>IFERROR(VLOOKUP($A:$A,CS!$A:$AK,18,FALSE),"")</f>
      </c>
      <c r="K172" s="57">
        <f>IFERROR(VLOOKUP($A:$A,CS!$A:$AK,19,FALSE),"")</f>
      </c>
      <c r="L172" s="57">
        <f>IFERROR(VLOOKUP($A:$A,CS!$A:$AK,20,FALSE),"")</f>
      </c>
      <c r="M172" s="57">
        <f>IFERROR(VLOOKUP($A:$A,CS!$A:$AK,22,FALSE),"")</f>
      </c>
      <c r="N172" s="57">
        <f>IFERROR(VLOOKUP($A:$A,CS!$A:$AK,19,FALSE),"")</f>
      </c>
      <c r="O172" s="57">
        <f>IFERROR(VLOOKUP($A:$A,CS!$A:$AK,23,FALSE),"")</f>
      </c>
      <c r="P172" s="57">
        <f>IFERROR(VLOOKUP($A:$A,CS!$A:$AK,24,FALSE),"")</f>
      </c>
      <c r="Q172" s="57">
        <f>IFERROR(VLOOKUP($A:$A,CS!$A:$AK,25,FALSE),"")</f>
      </c>
      <c r="R172" s="57">
        <f>IFERROR(VLOOKUP($A:$A,CS!$A:$AK,26,FALSE),"")</f>
      </c>
      <c r="S172" s="57">
        <f>IFERROR(VLOOKUP($A:$A,CS!$A:$AK,29,FALSE),"")</f>
      </c>
      <c r="T172" s="57">
        <f>IFERROR(VLOOKUP($A:$A,CS!$A:$AK,33,FALSE),"")</f>
      </c>
      <c r="U172" s="57">
        <f>IFERROR(VLOOKUP($A:$A,CS!$A:$AK,34,FALSE),"")</f>
      </c>
      <c r="V172" s="57">
        <f>IFERROR(VLOOKUP($A:$A,CS!$A:$AK,35,FALSE),"")</f>
      </c>
      <c r="W172" s="57">
        <f>IFERROR(VLOOKUP($A:$A,CS!$A:$AK,36,FALSE),"")</f>
      </c>
    </row>
    <row r="173" ht="16.5" customHeight="1" spans="1:23" x14ac:dyDescent="0.25">
      <c r="A173" s="71"/>
      <c r="B173" s="57">
        <f>IFERROR(VLOOKUP($A:$A,CS!$A:$AK,3,FALSE),"")</f>
      </c>
      <c r="C173" s="57">
        <f>IFERROR(VLOOKUP($A:$A,CS!$A:$AK,4,FALSE),"")</f>
      </c>
      <c r="D173" s="57">
        <f>IFERROR(VLOOKUP($A:$A,CS!$A:$AK,5,FALSE),"")</f>
      </c>
      <c r="E173" s="57">
        <f>IFERROR(VLOOKUP($A:$A,CS!$A:$AK,7,FALSE),"")</f>
      </c>
      <c r="F173" s="57">
        <f>IFERROR(VLOOKUP($A:$A,CS!$A:$AK,8,FALSE),"")</f>
      </c>
      <c r="G173" s="57">
        <f>IFERROR(VLOOKUP($A:$A,CS!$A:$AK,10,FALSE),"")</f>
      </c>
      <c r="H173" s="57">
        <f>IFERROR(VLOOKUP($A:$A,CS!$A:$AK,14,FALSE),"")</f>
      </c>
      <c r="I173" s="57">
        <f>IFERROR(VLOOKUP($A:$A,CS!$A:$AK,15,FALSE),"")</f>
      </c>
      <c r="J173" s="57">
        <f>IFERROR(VLOOKUP($A:$A,CS!$A:$AK,18,FALSE),"")</f>
      </c>
      <c r="K173" s="57">
        <f>IFERROR(VLOOKUP($A:$A,CS!$A:$AK,19,FALSE),"")</f>
      </c>
      <c r="L173" s="57">
        <f>IFERROR(VLOOKUP($A:$A,CS!$A:$AK,20,FALSE),"")</f>
      </c>
      <c r="M173" s="57">
        <f>IFERROR(VLOOKUP($A:$A,CS!$A:$AK,22,FALSE),"")</f>
      </c>
      <c r="N173" s="57">
        <f>IFERROR(VLOOKUP($A:$A,CS!$A:$AK,19,FALSE),"")</f>
      </c>
      <c r="O173" s="57">
        <f>IFERROR(VLOOKUP($A:$A,CS!$A:$AK,23,FALSE),"")</f>
      </c>
      <c r="P173" s="57">
        <f>IFERROR(VLOOKUP($A:$A,CS!$A:$AK,24,FALSE),"")</f>
      </c>
      <c r="Q173" s="57">
        <f>IFERROR(VLOOKUP($A:$A,CS!$A:$AK,25,FALSE),"")</f>
      </c>
      <c r="R173" s="57">
        <f>IFERROR(VLOOKUP($A:$A,CS!$A:$AK,26,FALSE),"")</f>
      </c>
      <c r="S173" s="57">
        <f>IFERROR(VLOOKUP($A:$A,CS!$A:$AK,29,FALSE),"")</f>
      </c>
      <c r="T173" s="57">
        <f>IFERROR(VLOOKUP($A:$A,CS!$A:$AK,33,FALSE),"")</f>
      </c>
      <c r="U173" s="57">
        <f>IFERROR(VLOOKUP($A:$A,CS!$A:$AK,34,FALSE),"")</f>
      </c>
      <c r="V173" s="57">
        <f>IFERROR(VLOOKUP($A:$A,CS!$A:$AK,35,FALSE),"")</f>
      </c>
      <c r="W173" s="57">
        <f>IFERROR(VLOOKUP($A:$A,CS!$A:$AK,36,FALSE),"")</f>
      </c>
    </row>
    <row r="174" ht="16.5" customHeight="1" spans="1:23" x14ac:dyDescent="0.25">
      <c r="A174" s="71"/>
      <c r="B174" s="57">
        <f>IFERROR(VLOOKUP($A:$A,CS!$A:$AK,3,FALSE),"")</f>
      </c>
      <c r="C174" s="57">
        <f>IFERROR(VLOOKUP($A:$A,CS!$A:$AK,4,FALSE),"")</f>
      </c>
      <c r="D174" s="57">
        <f>IFERROR(VLOOKUP($A:$A,CS!$A:$AK,5,FALSE),"")</f>
      </c>
      <c r="E174" s="57">
        <f>IFERROR(VLOOKUP($A:$A,CS!$A:$AK,7,FALSE),"")</f>
      </c>
      <c r="F174" s="57">
        <f>IFERROR(VLOOKUP($A:$A,CS!$A:$AK,8,FALSE),"")</f>
      </c>
      <c r="G174" s="57">
        <f>IFERROR(VLOOKUP($A:$A,CS!$A:$AK,10,FALSE),"")</f>
      </c>
      <c r="H174" s="57">
        <f>IFERROR(VLOOKUP($A:$A,CS!$A:$AK,14,FALSE),"")</f>
      </c>
      <c r="I174" s="57">
        <f>IFERROR(VLOOKUP($A:$A,CS!$A:$AK,15,FALSE),"")</f>
      </c>
      <c r="J174" s="57">
        <f>IFERROR(VLOOKUP($A:$A,CS!$A:$AK,18,FALSE),"")</f>
      </c>
      <c r="K174" s="57">
        <f>IFERROR(VLOOKUP($A:$A,CS!$A:$AK,19,FALSE),"")</f>
      </c>
      <c r="L174" s="57">
        <f>IFERROR(VLOOKUP($A:$A,CS!$A:$AK,20,FALSE),"")</f>
      </c>
      <c r="M174" s="57">
        <f>IFERROR(VLOOKUP($A:$A,CS!$A:$AK,22,FALSE),"")</f>
      </c>
      <c r="N174" s="57">
        <f>IFERROR(VLOOKUP($A:$A,CS!$A:$AK,19,FALSE),"")</f>
      </c>
      <c r="O174" s="57">
        <f>IFERROR(VLOOKUP($A:$A,CS!$A:$AK,23,FALSE),"")</f>
      </c>
      <c r="P174" s="57">
        <f>IFERROR(VLOOKUP($A:$A,CS!$A:$AK,24,FALSE),"")</f>
      </c>
      <c r="Q174" s="57">
        <f>IFERROR(VLOOKUP($A:$A,CS!$A:$AK,25,FALSE),"")</f>
      </c>
      <c r="R174" s="57">
        <f>IFERROR(VLOOKUP($A:$A,CS!$A:$AK,26,FALSE),"")</f>
      </c>
      <c r="S174" s="57">
        <f>IFERROR(VLOOKUP($A:$A,CS!$A:$AK,29,FALSE),"")</f>
      </c>
      <c r="T174" s="57">
        <f>IFERROR(VLOOKUP($A:$A,CS!$A:$AK,33,FALSE),"")</f>
      </c>
      <c r="U174" s="57">
        <f>IFERROR(VLOOKUP($A:$A,CS!$A:$AK,34,FALSE),"")</f>
      </c>
      <c r="V174" s="57">
        <f>IFERROR(VLOOKUP($A:$A,CS!$A:$AK,35,FALSE),"")</f>
      </c>
      <c r="W174" s="57">
        <f>IFERROR(VLOOKUP($A:$A,CS!$A:$AK,36,FALSE),"")</f>
      </c>
    </row>
    <row r="175" ht="16.5" customHeight="1" spans="1:23" x14ac:dyDescent="0.25">
      <c r="A175" s="71"/>
      <c r="B175" s="57">
        <f>IFERROR(VLOOKUP($A:$A,CS!$A:$AK,3,FALSE),"")</f>
      </c>
      <c r="C175" s="57">
        <f>IFERROR(VLOOKUP($A:$A,CS!$A:$AK,4,FALSE),"")</f>
      </c>
      <c r="D175" s="57">
        <f>IFERROR(VLOOKUP($A:$A,CS!$A:$AK,5,FALSE),"")</f>
      </c>
      <c r="E175" s="57">
        <f>IFERROR(VLOOKUP($A:$A,CS!$A:$AK,7,FALSE),"")</f>
      </c>
      <c r="F175" s="57">
        <f>IFERROR(VLOOKUP($A:$A,CS!$A:$AK,8,FALSE),"")</f>
      </c>
      <c r="G175" s="57">
        <f>IFERROR(VLOOKUP($A:$A,CS!$A:$AK,10,FALSE),"")</f>
      </c>
      <c r="H175" s="57">
        <f>IFERROR(VLOOKUP($A:$A,CS!$A:$AK,14,FALSE),"")</f>
      </c>
      <c r="I175" s="57">
        <f>IFERROR(VLOOKUP($A:$A,CS!$A:$AK,15,FALSE),"")</f>
      </c>
      <c r="J175" s="57">
        <f>IFERROR(VLOOKUP($A:$A,CS!$A:$AK,18,FALSE),"")</f>
      </c>
      <c r="K175" s="57">
        <f>IFERROR(VLOOKUP($A:$A,CS!$A:$AK,19,FALSE),"")</f>
      </c>
      <c r="L175" s="57">
        <f>IFERROR(VLOOKUP($A:$A,CS!$A:$AK,20,FALSE),"")</f>
      </c>
      <c r="M175" s="57">
        <f>IFERROR(VLOOKUP($A:$A,CS!$A:$AK,22,FALSE),"")</f>
      </c>
      <c r="N175" s="57">
        <f>IFERROR(VLOOKUP($A:$A,CS!$A:$AK,19,FALSE),"")</f>
      </c>
      <c r="O175" s="57">
        <f>IFERROR(VLOOKUP($A:$A,CS!$A:$AK,23,FALSE),"")</f>
      </c>
      <c r="P175" s="57">
        <f>IFERROR(VLOOKUP($A:$A,CS!$A:$AK,24,FALSE),"")</f>
      </c>
      <c r="Q175" s="57">
        <f>IFERROR(VLOOKUP($A:$A,CS!$A:$AK,25,FALSE),"")</f>
      </c>
      <c r="R175" s="57">
        <f>IFERROR(VLOOKUP($A:$A,CS!$A:$AK,26,FALSE),"")</f>
      </c>
      <c r="S175" s="57">
        <f>IFERROR(VLOOKUP($A:$A,CS!$A:$AK,29,FALSE),"")</f>
      </c>
      <c r="T175" s="57">
        <f>IFERROR(VLOOKUP($A:$A,CS!$A:$AK,33,FALSE),"")</f>
      </c>
      <c r="U175" s="57">
        <f>IFERROR(VLOOKUP($A:$A,CS!$A:$AK,34,FALSE),"")</f>
      </c>
      <c r="V175" s="57">
        <f>IFERROR(VLOOKUP($A:$A,CS!$A:$AK,35,FALSE),"")</f>
      </c>
      <c r="W175" s="57">
        <f>IFERROR(VLOOKUP($A:$A,CS!$A:$AK,36,FALSE),"")</f>
      </c>
    </row>
    <row r="176" ht="16.5" customHeight="1" spans="1:23" x14ac:dyDescent="0.25">
      <c r="A176" s="71"/>
      <c r="B176" s="57">
        <f>IFERROR(VLOOKUP($A:$A,CS!$A:$AK,3,FALSE),"")</f>
      </c>
      <c r="C176" s="57">
        <f>IFERROR(VLOOKUP($A:$A,CS!$A:$AK,4,FALSE),"")</f>
      </c>
      <c r="D176" s="57">
        <f>IFERROR(VLOOKUP($A:$A,CS!$A:$AK,5,FALSE),"")</f>
      </c>
      <c r="E176" s="57">
        <f>IFERROR(VLOOKUP($A:$A,CS!$A:$AK,7,FALSE),"")</f>
      </c>
      <c r="F176" s="57">
        <f>IFERROR(VLOOKUP($A:$A,CS!$A:$AK,8,FALSE),"")</f>
      </c>
      <c r="G176" s="57">
        <f>IFERROR(VLOOKUP($A:$A,CS!$A:$AK,10,FALSE),"")</f>
      </c>
      <c r="H176" s="57">
        <f>IFERROR(VLOOKUP($A:$A,CS!$A:$AK,14,FALSE),"")</f>
      </c>
      <c r="I176" s="57">
        <f>IFERROR(VLOOKUP($A:$A,CS!$A:$AK,15,FALSE),"")</f>
      </c>
      <c r="J176" s="57">
        <f>IFERROR(VLOOKUP($A:$A,CS!$A:$AK,18,FALSE),"")</f>
      </c>
      <c r="K176" s="57">
        <f>IFERROR(VLOOKUP($A:$A,CS!$A:$AK,19,FALSE),"")</f>
      </c>
      <c r="L176" s="57">
        <f>IFERROR(VLOOKUP($A:$A,CS!$A:$AK,20,FALSE),"")</f>
      </c>
      <c r="M176" s="57">
        <f>IFERROR(VLOOKUP($A:$A,CS!$A:$AK,22,FALSE),"")</f>
      </c>
      <c r="N176" s="57">
        <f>IFERROR(VLOOKUP($A:$A,CS!$A:$AK,19,FALSE),"")</f>
      </c>
      <c r="O176" s="57">
        <f>IFERROR(VLOOKUP($A:$A,CS!$A:$AK,23,FALSE),"")</f>
      </c>
      <c r="P176" s="57">
        <f>IFERROR(VLOOKUP($A:$A,CS!$A:$AK,24,FALSE),"")</f>
      </c>
      <c r="Q176" s="57">
        <f>IFERROR(VLOOKUP($A:$A,CS!$A:$AK,25,FALSE),"")</f>
      </c>
      <c r="R176" s="57">
        <f>IFERROR(VLOOKUP($A:$A,CS!$A:$AK,26,FALSE),"")</f>
      </c>
      <c r="S176" s="57">
        <f>IFERROR(VLOOKUP($A:$A,CS!$A:$AK,29,FALSE),"")</f>
      </c>
      <c r="T176" s="57">
        <f>IFERROR(VLOOKUP($A:$A,CS!$A:$AK,33,FALSE),"")</f>
      </c>
      <c r="U176" s="57">
        <f>IFERROR(VLOOKUP($A:$A,CS!$A:$AK,34,FALSE),"")</f>
      </c>
      <c r="V176" s="57">
        <f>IFERROR(VLOOKUP($A:$A,CS!$A:$AK,35,FALSE),"")</f>
      </c>
      <c r="W176" s="57">
        <f>IFERROR(VLOOKUP($A:$A,CS!$A:$AK,36,FALSE),"")</f>
      </c>
    </row>
    <row r="177" ht="16.5" customHeight="1" spans="1:23" x14ac:dyDescent="0.25">
      <c r="A177" s="71"/>
      <c r="B177" s="57">
        <f>IFERROR(VLOOKUP($A:$A,CS!$A:$AK,3,FALSE),"")</f>
      </c>
      <c r="C177" s="57">
        <f>IFERROR(VLOOKUP($A:$A,CS!$A:$AK,4,FALSE),"")</f>
      </c>
      <c r="D177" s="57">
        <f>IFERROR(VLOOKUP($A:$A,CS!$A:$AK,5,FALSE),"")</f>
      </c>
      <c r="E177" s="57">
        <f>IFERROR(VLOOKUP($A:$A,CS!$A:$AK,7,FALSE),"")</f>
      </c>
      <c r="F177" s="57">
        <f>IFERROR(VLOOKUP($A:$A,CS!$A:$AK,8,FALSE),"")</f>
      </c>
      <c r="G177" s="57">
        <f>IFERROR(VLOOKUP($A:$A,CS!$A:$AK,10,FALSE),"")</f>
      </c>
      <c r="H177" s="57">
        <f>IFERROR(VLOOKUP($A:$A,CS!$A:$AK,14,FALSE),"")</f>
      </c>
      <c r="I177" s="57">
        <f>IFERROR(VLOOKUP($A:$A,CS!$A:$AK,15,FALSE),"")</f>
      </c>
      <c r="J177" s="57">
        <f>IFERROR(VLOOKUP($A:$A,CS!$A:$AK,18,FALSE),"")</f>
      </c>
      <c r="K177" s="57">
        <f>IFERROR(VLOOKUP($A:$A,CS!$A:$AK,19,FALSE),"")</f>
      </c>
      <c r="L177" s="57">
        <f>IFERROR(VLOOKUP($A:$A,CS!$A:$AK,20,FALSE),"")</f>
      </c>
      <c r="M177" s="57">
        <f>IFERROR(VLOOKUP($A:$A,CS!$A:$AK,22,FALSE),"")</f>
      </c>
      <c r="N177" s="57">
        <f>IFERROR(VLOOKUP($A:$A,CS!$A:$AK,19,FALSE),"")</f>
      </c>
      <c r="O177" s="57">
        <f>IFERROR(VLOOKUP($A:$A,CS!$A:$AK,23,FALSE),"")</f>
      </c>
      <c r="P177" s="57">
        <f>IFERROR(VLOOKUP($A:$A,CS!$A:$AK,24,FALSE),"")</f>
      </c>
      <c r="Q177" s="57">
        <f>IFERROR(VLOOKUP($A:$A,CS!$A:$AK,25,FALSE),"")</f>
      </c>
      <c r="R177" s="57">
        <f>IFERROR(VLOOKUP($A:$A,CS!$A:$AK,26,FALSE),"")</f>
      </c>
      <c r="S177" s="57">
        <f>IFERROR(VLOOKUP($A:$A,CS!$A:$AK,29,FALSE),"")</f>
      </c>
      <c r="T177" s="57">
        <f>IFERROR(VLOOKUP($A:$A,CS!$A:$AK,33,FALSE),"")</f>
      </c>
      <c r="U177" s="57">
        <f>IFERROR(VLOOKUP($A:$A,CS!$A:$AK,34,FALSE),"")</f>
      </c>
      <c r="V177" s="57">
        <f>IFERROR(VLOOKUP($A:$A,CS!$A:$AK,35,FALSE),"")</f>
      </c>
      <c r="W177" s="57">
        <f>IFERROR(VLOOKUP($A:$A,CS!$A:$AK,36,FALSE),"")</f>
      </c>
    </row>
    <row r="178" ht="16.5" customHeight="1" spans="1:23" x14ac:dyDescent="0.25">
      <c r="A178" s="71"/>
      <c r="B178" s="57">
        <f>IFERROR(VLOOKUP($A:$A,CS!$A:$AK,3,FALSE),"")</f>
      </c>
      <c r="C178" s="57">
        <f>IFERROR(VLOOKUP($A:$A,CS!$A:$AK,4,FALSE),"")</f>
      </c>
      <c r="D178" s="57">
        <f>IFERROR(VLOOKUP($A:$A,CS!$A:$AK,5,FALSE),"")</f>
      </c>
      <c r="E178" s="57">
        <f>IFERROR(VLOOKUP($A:$A,CS!$A:$AK,7,FALSE),"")</f>
      </c>
      <c r="F178" s="57">
        <f>IFERROR(VLOOKUP($A:$A,CS!$A:$AK,8,FALSE),"")</f>
      </c>
      <c r="G178" s="57">
        <f>IFERROR(VLOOKUP($A:$A,CS!$A:$AK,10,FALSE),"")</f>
      </c>
      <c r="H178" s="57">
        <f>IFERROR(VLOOKUP($A:$A,CS!$A:$AK,14,FALSE),"")</f>
      </c>
      <c r="I178" s="57">
        <f>IFERROR(VLOOKUP($A:$A,CS!$A:$AK,15,FALSE),"")</f>
      </c>
      <c r="J178" s="57">
        <f>IFERROR(VLOOKUP($A:$A,CS!$A:$AK,18,FALSE),"")</f>
      </c>
      <c r="K178" s="57">
        <f>IFERROR(VLOOKUP($A:$A,CS!$A:$AK,19,FALSE),"")</f>
      </c>
      <c r="L178" s="57">
        <f>IFERROR(VLOOKUP($A:$A,CS!$A:$AK,20,FALSE),"")</f>
      </c>
      <c r="M178" s="57">
        <f>IFERROR(VLOOKUP($A:$A,CS!$A:$AK,22,FALSE),"")</f>
      </c>
      <c r="N178" s="57">
        <f>IFERROR(VLOOKUP($A:$A,CS!$A:$AK,19,FALSE),"")</f>
      </c>
      <c r="O178" s="57">
        <f>IFERROR(VLOOKUP($A:$A,CS!$A:$AK,23,FALSE),"")</f>
      </c>
      <c r="P178" s="57">
        <f>IFERROR(VLOOKUP($A:$A,CS!$A:$AK,24,FALSE),"")</f>
      </c>
      <c r="Q178" s="57">
        <f>IFERROR(VLOOKUP($A:$A,CS!$A:$AK,25,FALSE),"")</f>
      </c>
      <c r="R178" s="57">
        <f>IFERROR(VLOOKUP($A:$A,CS!$A:$AK,26,FALSE),"")</f>
      </c>
      <c r="S178" s="57">
        <f>IFERROR(VLOOKUP($A:$A,CS!$A:$AK,29,FALSE),"")</f>
      </c>
      <c r="T178" s="57">
        <f>IFERROR(VLOOKUP($A:$A,CS!$A:$AK,33,FALSE),"")</f>
      </c>
      <c r="U178" s="57">
        <f>IFERROR(VLOOKUP($A:$A,CS!$A:$AK,34,FALSE),"")</f>
      </c>
      <c r="V178" s="57">
        <f>IFERROR(VLOOKUP($A:$A,CS!$A:$AK,35,FALSE),"")</f>
      </c>
      <c r="W178" s="57">
        <f>IFERROR(VLOOKUP($A:$A,CS!$A:$AK,36,FALSE),"")</f>
      </c>
    </row>
    <row r="179" ht="16.5" customHeight="1" spans="1:23" x14ac:dyDescent="0.25">
      <c r="A179" s="71"/>
      <c r="B179" s="57">
        <f>IFERROR(VLOOKUP($A:$A,CS!$A:$AK,3,FALSE),"")</f>
      </c>
      <c r="C179" s="57">
        <f>IFERROR(VLOOKUP($A:$A,CS!$A:$AK,4,FALSE),"")</f>
      </c>
      <c r="D179" s="57">
        <f>IFERROR(VLOOKUP($A:$A,CS!$A:$AK,5,FALSE),"")</f>
      </c>
      <c r="E179" s="57">
        <f>IFERROR(VLOOKUP($A:$A,CS!$A:$AK,7,FALSE),"")</f>
      </c>
      <c r="F179" s="57">
        <f>IFERROR(VLOOKUP($A:$A,CS!$A:$AK,8,FALSE),"")</f>
      </c>
      <c r="G179" s="57">
        <f>IFERROR(VLOOKUP($A:$A,CS!$A:$AK,10,FALSE),"")</f>
      </c>
      <c r="H179" s="57">
        <f>IFERROR(VLOOKUP($A:$A,CS!$A:$AK,14,FALSE),"")</f>
      </c>
      <c r="I179" s="57">
        <f>IFERROR(VLOOKUP($A:$A,CS!$A:$AK,15,FALSE),"")</f>
      </c>
      <c r="J179" s="57">
        <f>IFERROR(VLOOKUP($A:$A,CS!$A:$AK,18,FALSE),"")</f>
      </c>
      <c r="K179" s="57">
        <f>IFERROR(VLOOKUP($A:$A,CS!$A:$AK,19,FALSE),"")</f>
      </c>
      <c r="L179" s="57">
        <f>IFERROR(VLOOKUP($A:$A,CS!$A:$AK,20,FALSE),"")</f>
      </c>
      <c r="M179" s="57">
        <f>IFERROR(VLOOKUP($A:$A,CS!$A:$AK,22,FALSE),"")</f>
      </c>
      <c r="N179" s="57">
        <f>IFERROR(VLOOKUP($A:$A,CS!$A:$AK,19,FALSE),"")</f>
      </c>
      <c r="O179" s="57">
        <f>IFERROR(VLOOKUP($A:$A,CS!$A:$AK,23,FALSE),"")</f>
      </c>
      <c r="P179" s="57">
        <f>IFERROR(VLOOKUP($A:$A,CS!$A:$AK,24,FALSE),"")</f>
      </c>
      <c r="Q179" s="57">
        <f>IFERROR(VLOOKUP($A:$A,CS!$A:$AK,25,FALSE),"")</f>
      </c>
      <c r="R179" s="57">
        <f>IFERROR(VLOOKUP($A:$A,CS!$A:$AK,26,FALSE),"")</f>
      </c>
      <c r="S179" s="57">
        <f>IFERROR(VLOOKUP($A:$A,CS!$A:$AK,29,FALSE),"")</f>
      </c>
      <c r="T179" s="57">
        <f>IFERROR(VLOOKUP($A:$A,CS!$A:$AK,33,FALSE),"")</f>
      </c>
      <c r="U179" s="57">
        <f>IFERROR(VLOOKUP($A:$A,CS!$A:$AK,34,FALSE),"")</f>
      </c>
      <c r="V179" s="57">
        <f>IFERROR(VLOOKUP($A:$A,CS!$A:$AK,35,FALSE),"")</f>
      </c>
      <c r="W179" s="57">
        <f>IFERROR(VLOOKUP($A:$A,CS!$A:$AK,36,FALSE),"")</f>
      </c>
    </row>
    <row r="180" ht="16.5" customHeight="1" spans="1:23" x14ac:dyDescent="0.25">
      <c r="A180" s="71"/>
      <c r="B180" s="57">
        <f>IFERROR(VLOOKUP($A:$A,CS!$A:$AK,3,FALSE),"")</f>
      </c>
      <c r="C180" s="57">
        <f>IFERROR(VLOOKUP($A:$A,CS!$A:$AK,4,FALSE),"")</f>
      </c>
      <c r="D180" s="57">
        <f>IFERROR(VLOOKUP($A:$A,CS!$A:$AK,5,FALSE),"")</f>
      </c>
      <c r="E180" s="57">
        <f>IFERROR(VLOOKUP($A:$A,CS!$A:$AK,7,FALSE),"")</f>
      </c>
      <c r="F180" s="57">
        <f>IFERROR(VLOOKUP($A:$A,CS!$A:$AK,8,FALSE),"")</f>
      </c>
      <c r="G180" s="57">
        <f>IFERROR(VLOOKUP($A:$A,CS!$A:$AK,10,FALSE),"")</f>
      </c>
      <c r="H180" s="57">
        <f>IFERROR(VLOOKUP($A:$A,CS!$A:$AK,14,FALSE),"")</f>
      </c>
      <c r="I180" s="57">
        <f>IFERROR(VLOOKUP($A:$A,CS!$A:$AK,15,FALSE),"")</f>
      </c>
      <c r="J180" s="57">
        <f>IFERROR(VLOOKUP($A:$A,CS!$A:$AK,18,FALSE),"")</f>
      </c>
      <c r="K180" s="57">
        <f>IFERROR(VLOOKUP($A:$A,CS!$A:$AK,19,FALSE),"")</f>
      </c>
      <c r="L180" s="57">
        <f>IFERROR(VLOOKUP($A:$A,CS!$A:$AK,20,FALSE),"")</f>
      </c>
      <c r="M180" s="57">
        <f>IFERROR(VLOOKUP($A:$A,CS!$A:$AK,22,FALSE),"")</f>
      </c>
      <c r="N180" s="57">
        <f>IFERROR(VLOOKUP($A:$A,CS!$A:$AK,19,FALSE),"")</f>
      </c>
      <c r="O180" s="57">
        <f>IFERROR(VLOOKUP($A:$A,CS!$A:$AK,23,FALSE),"")</f>
      </c>
      <c r="P180" s="57">
        <f>IFERROR(VLOOKUP($A:$A,CS!$A:$AK,24,FALSE),"")</f>
      </c>
      <c r="Q180" s="57">
        <f>IFERROR(VLOOKUP($A:$A,CS!$A:$AK,25,FALSE),"")</f>
      </c>
      <c r="R180" s="57">
        <f>IFERROR(VLOOKUP($A:$A,CS!$A:$AK,26,FALSE),"")</f>
      </c>
      <c r="S180" s="57">
        <f>IFERROR(VLOOKUP($A:$A,CS!$A:$AK,29,FALSE),"")</f>
      </c>
      <c r="T180" s="57">
        <f>IFERROR(VLOOKUP($A:$A,CS!$A:$AK,33,FALSE),"")</f>
      </c>
      <c r="U180" s="57">
        <f>IFERROR(VLOOKUP($A:$A,CS!$A:$AK,34,FALSE),"")</f>
      </c>
      <c r="V180" s="57">
        <f>IFERROR(VLOOKUP($A:$A,CS!$A:$AK,35,FALSE),"")</f>
      </c>
      <c r="W180" s="57">
        <f>IFERROR(VLOOKUP($A:$A,CS!$A:$AK,36,FALSE),"")</f>
      </c>
    </row>
    <row r="181" ht="16.5" customHeight="1" spans="1:23" x14ac:dyDescent="0.25">
      <c r="A181" s="71"/>
      <c r="B181" s="57">
        <f>IFERROR(VLOOKUP($A:$A,CS!$A:$AK,3,FALSE),"")</f>
      </c>
      <c r="C181" s="57">
        <f>IFERROR(VLOOKUP($A:$A,CS!$A:$AK,4,FALSE),"")</f>
      </c>
      <c r="D181" s="57">
        <f>IFERROR(VLOOKUP($A:$A,CS!$A:$AK,5,FALSE),"")</f>
      </c>
      <c r="E181" s="57">
        <f>IFERROR(VLOOKUP($A:$A,CS!$A:$AK,7,FALSE),"")</f>
      </c>
      <c r="F181" s="57">
        <f>IFERROR(VLOOKUP($A:$A,CS!$A:$AK,8,FALSE),"")</f>
      </c>
      <c r="G181" s="57">
        <f>IFERROR(VLOOKUP($A:$A,CS!$A:$AK,10,FALSE),"")</f>
      </c>
      <c r="H181" s="57">
        <f>IFERROR(VLOOKUP($A:$A,CS!$A:$AK,14,FALSE),"")</f>
      </c>
      <c r="I181" s="57">
        <f>IFERROR(VLOOKUP($A:$A,CS!$A:$AK,15,FALSE),"")</f>
      </c>
      <c r="J181" s="57">
        <f>IFERROR(VLOOKUP($A:$A,CS!$A:$AK,18,FALSE),"")</f>
      </c>
      <c r="K181" s="57">
        <f>IFERROR(VLOOKUP($A:$A,CS!$A:$AK,19,FALSE),"")</f>
      </c>
      <c r="L181" s="57">
        <f>IFERROR(VLOOKUP($A:$A,CS!$A:$AK,20,FALSE),"")</f>
      </c>
      <c r="M181" s="57">
        <f>IFERROR(VLOOKUP($A:$A,CS!$A:$AK,22,FALSE),"")</f>
      </c>
      <c r="N181" s="57">
        <f>IFERROR(VLOOKUP($A:$A,CS!$A:$AK,19,FALSE),"")</f>
      </c>
      <c r="O181" s="57">
        <f>IFERROR(VLOOKUP($A:$A,CS!$A:$AK,23,FALSE),"")</f>
      </c>
      <c r="P181" s="57">
        <f>IFERROR(VLOOKUP($A:$A,CS!$A:$AK,24,FALSE),"")</f>
      </c>
      <c r="Q181" s="57">
        <f>IFERROR(VLOOKUP($A:$A,CS!$A:$AK,25,FALSE),"")</f>
      </c>
      <c r="R181" s="57">
        <f>IFERROR(VLOOKUP($A:$A,CS!$A:$AK,26,FALSE),"")</f>
      </c>
      <c r="S181" s="57">
        <f>IFERROR(VLOOKUP($A:$A,CS!$A:$AK,29,FALSE),"")</f>
      </c>
      <c r="T181" s="57">
        <f>IFERROR(VLOOKUP($A:$A,CS!$A:$AK,33,FALSE),"")</f>
      </c>
      <c r="U181" s="57">
        <f>IFERROR(VLOOKUP($A:$A,CS!$A:$AK,34,FALSE),"")</f>
      </c>
      <c r="V181" s="57">
        <f>IFERROR(VLOOKUP($A:$A,CS!$A:$AK,35,FALSE),"")</f>
      </c>
      <c r="W181" s="57">
        <f>IFERROR(VLOOKUP($A:$A,CS!$A:$AK,36,FALSE),"")</f>
      </c>
    </row>
    <row r="182" ht="16.5" customHeight="1" spans="1:23" x14ac:dyDescent="0.25">
      <c r="A182" s="71"/>
      <c r="B182" s="57">
        <f>IFERROR(VLOOKUP($A:$A,CS!$A:$AK,3,FALSE),"")</f>
      </c>
      <c r="C182" s="57">
        <f>IFERROR(VLOOKUP($A:$A,CS!$A:$AK,4,FALSE),"")</f>
      </c>
      <c r="D182" s="57">
        <f>IFERROR(VLOOKUP($A:$A,CS!$A:$AK,5,FALSE),"")</f>
      </c>
      <c r="E182" s="57">
        <f>IFERROR(VLOOKUP($A:$A,CS!$A:$AK,7,FALSE),"")</f>
      </c>
      <c r="F182" s="57">
        <f>IFERROR(VLOOKUP($A:$A,CS!$A:$AK,8,FALSE),"")</f>
      </c>
      <c r="G182" s="57">
        <f>IFERROR(VLOOKUP($A:$A,CS!$A:$AK,10,FALSE),"")</f>
      </c>
      <c r="H182" s="57">
        <f>IFERROR(VLOOKUP($A:$A,CS!$A:$AK,14,FALSE),"")</f>
      </c>
      <c r="I182" s="57">
        <f>IFERROR(VLOOKUP($A:$A,CS!$A:$AK,15,FALSE),"")</f>
      </c>
      <c r="J182" s="57">
        <f>IFERROR(VLOOKUP($A:$A,CS!$A:$AK,18,FALSE),"")</f>
      </c>
      <c r="K182" s="57">
        <f>IFERROR(VLOOKUP($A:$A,CS!$A:$AK,19,FALSE),"")</f>
      </c>
      <c r="L182" s="57">
        <f>IFERROR(VLOOKUP($A:$A,CS!$A:$AK,20,FALSE),"")</f>
      </c>
      <c r="M182" s="57">
        <f>IFERROR(VLOOKUP($A:$A,CS!$A:$AK,22,FALSE),"")</f>
      </c>
      <c r="N182" s="57">
        <f>IFERROR(VLOOKUP($A:$A,CS!$A:$AK,19,FALSE),"")</f>
      </c>
      <c r="O182" s="57">
        <f>IFERROR(VLOOKUP($A:$A,CS!$A:$AK,23,FALSE),"")</f>
      </c>
      <c r="P182" s="57">
        <f>IFERROR(VLOOKUP($A:$A,CS!$A:$AK,24,FALSE),"")</f>
      </c>
      <c r="Q182" s="57">
        <f>IFERROR(VLOOKUP($A:$A,CS!$A:$AK,25,FALSE),"")</f>
      </c>
      <c r="R182" s="57">
        <f>IFERROR(VLOOKUP($A:$A,CS!$A:$AK,26,FALSE),"")</f>
      </c>
      <c r="S182" s="57">
        <f>IFERROR(VLOOKUP($A:$A,CS!$A:$AK,29,FALSE),"")</f>
      </c>
      <c r="T182" s="57">
        <f>IFERROR(VLOOKUP($A:$A,CS!$A:$AK,33,FALSE),"")</f>
      </c>
      <c r="U182" s="57">
        <f>IFERROR(VLOOKUP($A:$A,CS!$A:$AK,34,FALSE),"")</f>
      </c>
      <c r="V182" s="57">
        <f>IFERROR(VLOOKUP($A:$A,CS!$A:$AK,35,FALSE),"")</f>
      </c>
      <c r="W182" s="57">
        <f>IFERROR(VLOOKUP($A:$A,CS!$A:$AK,36,FALSE),"")</f>
      </c>
    </row>
    <row r="183" ht="16.5" customHeight="1" spans="1:23" x14ac:dyDescent="0.25">
      <c r="A183" s="71"/>
      <c r="B183" s="57">
        <f>IFERROR(VLOOKUP($A:$A,CS!$A:$AK,3,FALSE),"")</f>
      </c>
      <c r="C183" s="57">
        <f>IFERROR(VLOOKUP($A:$A,CS!$A:$AK,4,FALSE),"")</f>
      </c>
      <c r="D183" s="57">
        <f>IFERROR(VLOOKUP($A:$A,CS!$A:$AK,5,FALSE),"")</f>
      </c>
      <c r="E183" s="57">
        <f>IFERROR(VLOOKUP($A:$A,CS!$A:$AK,7,FALSE),"")</f>
      </c>
      <c r="F183" s="57">
        <f>IFERROR(VLOOKUP($A:$A,CS!$A:$AK,8,FALSE),"")</f>
      </c>
      <c r="G183" s="57">
        <f>IFERROR(VLOOKUP($A:$A,CS!$A:$AK,10,FALSE),"")</f>
      </c>
      <c r="H183" s="57">
        <f>IFERROR(VLOOKUP($A:$A,CS!$A:$AK,14,FALSE),"")</f>
      </c>
      <c r="I183" s="57">
        <f>IFERROR(VLOOKUP($A:$A,CS!$A:$AK,15,FALSE),"")</f>
      </c>
      <c r="J183" s="57">
        <f>IFERROR(VLOOKUP($A:$A,CS!$A:$AK,18,FALSE),"")</f>
      </c>
      <c r="K183" s="57">
        <f>IFERROR(VLOOKUP($A:$A,CS!$A:$AK,19,FALSE),"")</f>
      </c>
      <c r="L183" s="57">
        <f>IFERROR(VLOOKUP($A:$A,CS!$A:$AK,20,FALSE),"")</f>
      </c>
      <c r="M183" s="57">
        <f>IFERROR(VLOOKUP($A:$A,CS!$A:$AK,22,FALSE),"")</f>
      </c>
      <c r="N183" s="57">
        <f>IFERROR(VLOOKUP($A:$A,CS!$A:$AK,19,FALSE),"")</f>
      </c>
      <c r="O183" s="57">
        <f>IFERROR(VLOOKUP($A:$A,CS!$A:$AK,23,FALSE),"")</f>
      </c>
      <c r="P183" s="57">
        <f>IFERROR(VLOOKUP($A:$A,CS!$A:$AK,24,FALSE),"")</f>
      </c>
      <c r="Q183" s="57">
        <f>IFERROR(VLOOKUP($A:$A,CS!$A:$AK,25,FALSE),"")</f>
      </c>
      <c r="R183" s="57">
        <f>IFERROR(VLOOKUP($A:$A,CS!$A:$AK,26,FALSE),"")</f>
      </c>
      <c r="S183" s="57">
        <f>IFERROR(VLOOKUP($A:$A,CS!$A:$AK,29,FALSE),"")</f>
      </c>
      <c r="T183" s="57">
        <f>IFERROR(VLOOKUP($A:$A,CS!$A:$AK,33,FALSE),"")</f>
      </c>
      <c r="U183" s="57">
        <f>IFERROR(VLOOKUP($A:$A,CS!$A:$AK,34,FALSE),"")</f>
      </c>
      <c r="V183" s="57">
        <f>IFERROR(VLOOKUP($A:$A,CS!$A:$AK,35,FALSE),"")</f>
      </c>
      <c r="W183" s="57">
        <f>IFERROR(VLOOKUP($A:$A,CS!$A:$AK,36,FALSE),"")</f>
      </c>
    </row>
    <row r="184" ht="16.5" customHeight="1" spans="1:23" x14ac:dyDescent="0.25">
      <c r="A184" s="71"/>
      <c r="B184" s="57">
        <f>IFERROR(VLOOKUP($A:$A,CS!$A:$AK,3,FALSE),"")</f>
      </c>
      <c r="C184" s="57">
        <f>IFERROR(VLOOKUP($A:$A,CS!$A:$AK,4,FALSE),"")</f>
      </c>
      <c r="D184" s="57">
        <f>IFERROR(VLOOKUP($A:$A,CS!$A:$AK,5,FALSE),"")</f>
      </c>
      <c r="E184" s="57">
        <f>IFERROR(VLOOKUP($A:$A,CS!$A:$AK,7,FALSE),"")</f>
      </c>
      <c r="F184" s="57">
        <f>IFERROR(VLOOKUP($A:$A,CS!$A:$AK,8,FALSE),"")</f>
      </c>
      <c r="G184" s="57">
        <f>IFERROR(VLOOKUP($A:$A,CS!$A:$AK,10,FALSE),"")</f>
      </c>
      <c r="H184" s="57">
        <f>IFERROR(VLOOKUP($A:$A,CS!$A:$AK,14,FALSE),"")</f>
      </c>
      <c r="I184" s="57">
        <f>IFERROR(VLOOKUP($A:$A,CS!$A:$AK,15,FALSE),"")</f>
      </c>
      <c r="J184" s="57">
        <f>IFERROR(VLOOKUP($A:$A,CS!$A:$AK,18,FALSE),"")</f>
      </c>
      <c r="K184" s="57">
        <f>IFERROR(VLOOKUP($A:$A,CS!$A:$AK,19,FALSE),"")</f>
      </c>
      <c r="L184" s="57">
        <f>IFERROR(VLOOKUP($A:$A,CS!$A:$AK,20,FALSE),"")</f>
      </c>
      <c r="M184" s="57">
        <f>IFERROR(VLOOKUP($A:$A,CS!$A:$AK,22,FALSE),"")</f>
      </c>
      <c r="N184" s="57">
        <f>IFERROR(VLOOKUP($A:$A,CS!$A:$AK,19,FALSE),"")</f>
      </c>
      <c r="O184" s="57">
        <f>IFERROR(VLOOKUP($A:$A,CS!$A:$AK,23,FALSE),"")</f>
      </c>
      <c r="P184" s="57">
        <f>IFERROR(VLOOKUP($A:$A,CS!$A:$AK,24,FALSE),"")</f>
      </c>
      <c r="Q184" s="57">
        <f>IFERROR(VLOOKUP($A:$A,CS!$A:$AK,25,FALSE),"")</f>
      </c>
      <c r="R184" s="57">
        <f>IFERROR(VLOOKUP($A:$A,CS!$A:$AK,26,FALSE),"")</f>
      </c>
      <c r="S184" s="57">
        <f>IFERROR(VLOOKUP($A:$A,CS!$A:$AK,29,FALSE),"")</f>
      </c>
      <c r="T184" s="57">
        <f>IFERROR(VLOOKUP($A:$A,CS!$A:$AK,33,FALSE),"")</f>
      </c>
      <c r="U184" s="57">
        <f>IFERROR(VLOOKUP($A:$A,CS!$A:$AK,34,FALSE),"")</f>
      </c>
      <c r="V184" s="57">
        <f>IFERROR(VLOOKUP($A:$A,CS!$A:$AK,35,FALSE),"")</f>
      </c>
      <c r="W184" s="57">
        <f>IFERROR(VLOOKUP($A:$A,CS!$A:$AK,36,FALSE),"")</f>
      </c>
    </row>
    <row r="185" ht="16.5" customHeight="1" spans="1:23" x14ac:dyDescent="0.25">
      <c r="A185" s="71"/>
      <c r="B185" s="57">
        <f>IFERROR(VLOOKUP($A:$A,CS!$A:$AK,3,FALSE),"")</f>
      </c>
      <c r="C185" s="57">
        <f>IFERROR(VLOOKUP($A:$A,CS!$A:$AK,4,FALSE),"")</f>
      </c>
      <c r="D185" s="57">
        <f>IFERROR(VLOOKUP($A:$A,CS!$A:$AK,5,FALSE),"")</f>
      </c>
      <c r="E185" s="57">
        <f>IFERROR(VLOOKUP($A:$A,CS!$A:$AK,7,FALSE),"")</f>
      </c>
      <c r="F185" s="57">
        <f>IFERROR(VLOOKUP($A:$A,CS!$A:$AK,8,FALSE),"")</f>
      </c>
      <c r="G185" s="57">
        <f>IFERROR(VLOOKUP($A:$A,CS!$A:$AK,10,FALSE),"")</f>
      </c>
      <c r="H185" s="57">
        <f>IFERROR(VLOOKUP($A:$A,CS!$A:$AK,14,FALSE),"")</f>
      </c>
      <c r="I185" s="57">
        <f>IFERROR(VLOOKUP($A:$A,CS!$A:$AK,15,FALSE),"")</f>
      </c>
      <c r="J185" s="57">
        <f>IFERROR(VLOOKUP($A:$A,CS!$A:$AK,18,FALSE),"")</f>
      </c>
      <c r="K185" s="57">
        <f>IFERROR(VLOOKUP($A:$A,CS!$A:$AK,19,FALSE),"")</f>
      </c>
      <c r="L185" s="57">
        <f>IFERROR(VLOOKUP($A:$A,CS!$A:$AK,20,FALSE),"")</f>
      </c>
      <c r="M185" s="57">
        <f>IFERROR(VLOOKUP($A:$A,CS!$A:$AK,22,FALSE),"")</f>
      </c>
      <c r="N185" s="57">
        <f>IFERROR(VLOOKUP($A:$A,CS!$A:$AK,19,FALSE),"")</f>
      </c>
      <c r="O185" s="57">
        <f>IFERROR(VLOOKUP($A:$A,CS!$A:$AK,23,FALSE),"")</f>
      </c>
      <c r="P185" s="57">
        <f>IFERROR(VLOOKUP($A:$A,CS!$A:$AK,24,FALSE),"")</f>
      </c>
      <c r="Q185" s="57">
        <f>IFERROR(VLOOKUP($A:$A,CS!$A:$AK,25,FALSE),"")</f>
      </c>
      <c r="R185" s="57">
        <f>IFERROR(VLOOKUP($A:$A,CS!$A:$AK,26,FALSE),"")</f>
      </c>
      <c r="S185" s="57">
        <f>IFERROR(VLOOKUP($A:$A,CS!$A:$AK,29,FALSE),"")</f>
      </c>
      <c r="T185" s="57">
        <f>IFERROR(VLOOKUP($A:$A,CS!$A:$AK,33,FALSE),"")</f>
      </c>
      <c r="U185" s="57">
        <f>IFERROR(VLOOKUP($A:$A,CS!$A:$AK,34,FALSE),"")</f>
      </c>
      <c r="V185" s="57">
        <f>IFERROR(VLOOKUP($A:$A,CS!$A:$AK,35,FALSE),"")</f>
      </c>
      <c r="W185" s="57">
        <f>IFERROR(VLOOKUP($A:$A,CS!$A:$AK,36,FALSE),"")</f>
      </c>
    </row>
    <row r="186" ht="16.5" customHeight="1" spans="1:23" x14ac:dyDescent="0.25">
      <c r="A186" s="71"/>
      <c r="B186" s="57">
        <f>IFERROR(VLOOKUP($A:$A,CS!$A:$AK,3,FALSE),"")</f>
      </c>
      <c r="C186" s="57">
        <f>IFERROR(VLOOKUP($A:$A,CS!$A:$AK,4,FALSE),"")</f>
      </c>
      <c r="D186" s="57">
        <f>IFERROR(VLOOKUP($A:$A,CS!$A:$AK,5,FALSE),"")</f>
      </c>
      <c r="E186" s="57">
        <f>IFERROR(VLOOKUP($A:$A,CS!$A:$AK,7,FALSE),"")</f>
      </c>
      <c r="F186" s="57">
        <f>IFERROR(VLOOKUP($A:$A,CS!$A:$AK,8,FALSE),"")</f>
      </c>
      <c r="G186" s="57">
        <f>IFERROR(VLOOKUP($A:$A,CS!$A:$AK,10,FALSE),"")</f>
      </c>
      <c r="H186" s="57">
        <f>IFERROR(VLOOKUP($A:$A,CS!$A:$AK,14,FALSE),"")</f>
      </c>
      <c r="I186" s="57">
        <f>IFERROR(VLOOKUP($A:$A,CS!$A:$AK,15,FALSE),"")</f>
      </c>
      <c r="J186" s="57">
        <f>IFERROR(VLOOKUP($A:$A,CS!$A:$AK,18,FALSE),"")</f>
      </c>
      <c r="K186" s="57">
        <f>IFERROR(VLOOKUP($A:$A,CS!$A:$AK,19,FALSE),"")</f>
      </c>
      <c r="L186" s="57">
        <f>IFERROR(VLOOKUP($A:$A,CS!$A:$AK,20,FALSE),"")</f>
      </c>
      <c r="M186" s="57">
        <f>IFERROR(VLOOKUP($A:$A,CS!$A:$AK,22,FALSE),"")</f>
      </c>
      <c r="N186" s="57">
        <f>IFERROR(VLOOKUP($A:$A,CS!$A:$AK,19,FALSE),"")</f>
      </c>
      <c r="O186" s="57">
        <f>IFERROR(VLOOKUP($A:$A,CS!$A:$AK,23,FALSE),"")</f>
      </c>
      <c r="P186" s="57">
        <f>IFERROR(VLOOKUP($A:$A,CS!$A:$AK,24,FALSE),"")</f>
      </c>
      <c r="Q186" s="57">
        <f>IFERROR(VLOOKUP($A:$A,CS!$A:$AK,25,FALSE),"")</f>
      </c>
      <c r="R186" s="57">
        <f>IFERROR(VLOOKUP($A:$A,CS!$A:$AK,26,FALSE),"")</f>
      </c>
      <c r="S186" s="57">
        <f>IFERROR(VLOOKUP($A:$A,CS!$A:$AK,29,FALSE),"")</f>
      </c>
      <c r="T186" s="57">
        <f>IFERROR(VLOOKUP($A:$A,CS!$A:$AK,33,FALSE),"")</f>
      </c>
      <c r="U186" s="57">
        <f>IFERROR(VLOOKUP($A:$A,CS!$A:$AK,34,FALSE),"")</f>
      </c>
      <c r="V186" s="57">
        <f>IFERROR(VLOOKUP($A:$A,CS!$A:$AK,35,FALSE),"")</f>
      </c>
      <c r="W186" s="57">
        <f>IFERROR(VLOOKUP($A:$A,CS!$A:$AK,36,FALSE),"")</f>
      </c>
    </row>
    <row r="187" ht="16.5" customHeight="1" spans="1:23" x14ac:dyDescent="0.25">
      <c r="A187" s="71"/>
      <c r="B187" s="57">
        <f>IFERROR(VLOOKUP($A:$A,CS!$A:$AK,3,FALSE),"")</f>
      </c>
      <c r="C187" s="57">
        <f>IFERROR(VLOOKUP($A:$A,CS!$A:$AK,4,FALSE),"")</f>
      </c>
      <c r="D187" s="57">
        <f>IFERROR(VLOOKUP($A:$A,CS!$A:$AK,5,FALSE),"")</f>
      </c>
      <c r="E187" s="57">
        <f>IFERROR(VLOOKUP($A:$A,CS!$A:$AK,7,FALSE),"")</f>
      </c>
      <c r="F187" s="57">
        <f>IFERROR(VLOOKUP($A:$A,CS!$A:$AK,8,FALSE),"")</f>
      </c>
      <c r="G187" s="57">
        <f>IFERROR(VLOOKUP($A:$A,CS!$A:$AK,10,FALSE),"")</f>
      </c>
      <c r="H187" s="57">
        <f>IFERROR(VLOOKUP($A:$A,CS!$A:$AK,14,FALSE),"")</f>
      </c>
      <c r="I187" s="57">
        <f>IFERROR(VLOOKUP($A:$A,CS!$A:$AK,15,FALSE),"")</f>
      </c>
      <c r="J187" s="57">
        <f>IFERROR(VLOOKUP($A:$A,CS!$A:$AK,18,FALSE),"")</f>
      </c>
      <c r="K187" s="57">
        <f>IFERROR(VLOOKUP($A:$A,CS!$A:$AK,19,FALSE),"")</f>
      </c>
      <c r="L187" s="57">
        <f>IFERROR(VLOOKUP($A:$A,CS!$A:$AK,20,FALSE),"")</f>
      </c>
      <c r="M187" s="57">
        <f>IFERROR(VLOOKUP($A:$A,CS!$A:$AK,22,FALSE),"")</f>
      </c>
      <c r="N187" s="57">
        <f>IFERROR(VLOOKUP($A:$A,CS!$A:$AK,19,FALSE),"")</f>
      </c>
      <c r="O187" s="57">
        <f>IFERROR(VLOOKUP($A:$A,CS!$A:$AK,23,FALSE),"")</f>
      </c>
      <c r="P187" s="57">
        <f>IFERROR(VLOOKUP($A:$A,CS!$A:$AK,24,FALSE),"")</f>
      </c>
      <c r="Q187" s="57">
        <f>IFERROR(VLOOKUP($A:$A,CS!$A:$AK,25,FALSE),"")</f>
      </c>
      <c r="R187" s="57">
        <f>IFERROR(VLOOKUP($A:$A,CS!$A:$AK,26,FALSE),"")</f>
      </c>
      <c r="S187" s="57">
        <f>IFERROR(VLOOKUP($A:$A,CS!$A:$AK,29,FALSE),"")</f>
      </c>
      <c r="T187" s="57">
        <f>IFERROR(VLOOKUP($A:$A,CS!$A:$AK,33,FALSE),"")</f>
      </c>
      <c r="U187" s="57">
        <f>IFERROR(VLOOKUP($A:$A,CS!$A:$AK,34,FALSE),"")</f>
      </c>
      <c r="V187" s="57">
        <f>IFERROR(VLOOKUP($A:$A,CS!$A:$AK,35,FALSE),"")</f>
      </c>
      <c r="W187" s="57">
        <f>IFERROR(VLOOKUP($A:$A,CS!$A:$AK,36,FALSE),"")</f>
      </c>
    </row>
    <row r="188" ht="16.5" customHeight="1" spans="1:23" x14ac:dyDescent="0.25">
      <c r="A188" s="71"/>
      <c r="B188" s="57">
        <f>IFERROR(VLOOKUP($A:$A,CS!$A:$AK,3,FALSE),"")</f>
      </c>
      <c r="C188" s="57">
        <f>IFERROR(VLOOKUP($A:$A,CS!$A:$AK,4,FALSE),"")</f>
      </c>
      <c r="D188" s="57">
        <f>IFERROR(VLOOKUP($A:$A,CS!$A:$AK,5,FALSE),"")</f>
      </c>
      <c r="E188" s="57">
        <f>IFERROR(VLOOKUP($A:$A,CS!$A:$AK,7,FALSE),"")</f>
      </c>
      <c r="F188" s="57">
        <f>IFERROR(VLOOKUP($A:$A,CS!$A:$AK,8,FALSE),"")</f>
      </c>
      <c r="G188" s="57">
        <f>IFERROR(VLOOKUP($A:$A,CS!$A:$AK,10,FALSE),"")</f>
      </c>
      <c r="H188" s="57">
        <f>IFERROR(VLOOKUP($A:$A,CS!$A:$AK,14,FALSE),"")</f>
      </c>
      <c r="I188" s="57">
        <f>IFERROR(VLOOKUP($A:$A,CS!$A:$AK,15,FALSE),"")</f>
      </c>
      <c r="J188" s="57">
        <f>IFERROR(VLOOKUP($A:$A,CS!$A:$AK,18,FALSE),"")</f>
      </c>
      <c r="K188" s="57">
        <f>IFERROR(VLOOKUP($A:$A,CS!$A:$AK,19,FALSE),"")</f>
      </c>
      <c r="L188" s="57">
        <f>IFERROR(VLOOKUP($A:$A,CS!$A:$AK,20,FALSE),"")</f>
      </c>
      <c r="M188" s="57">
        <f>IFERROR(VLOOKUP($A:$A,CS!$A:$AK,22,FALSE),"")</f>
      </c>
      <c r="N188" s="57">
        <f>IFERROR(VLOOKUP($A:$A,CS!$A:$AK,19,FALSE),"")</f>
      </c>
      <c r="O188" s="57">
        <f>IFERROR(VLOOKUP($A:$A,CS!$A:$AK,23,FALSE),"")</f>
      </c>
      <c r="P188" s="57">
        <f>IFERROR(VLOOKUP($A:$A,CS!$A:$AK,24,FALSE),"")</f>
      </c>
      <c r="Q188" s="57">
        <f>IFERROR(VLOOKUP($A:$A,CS!$A:$AK,25,FALSE),"")</f>
      </c>
      <c r="R188" s="57">
        <f>IFERROR(VLOOKUP($A:$A,CS!$A:$AK,26,FALSE),"")</f>
      </c>
      <c r="S188" s="57">
        <f>IFERROR(VLOOKUP($A:$A,CS!$A:$AK,29,FALSE),"")</f>
      </c>
      <c r="T188" s="57">
        <f>IFERROR(VLOOKUP($A:$A,CS!$A:$AK,33,FALSE),"")</f>
      </c>
      <c r="U188" s="57">
        <f>IFERROR(VLOOKUP($A:$A,CS!$A:$AK,34,FALSE),"")</f>
      </c>
      <c r="V188" s="57">
        <f>IFERROR(VLOOKUP($A:$A,CS!$A:$AK,35,FALSE),"")</f>
      </c>
      <c r="W188" s="57">
        <f>IFERROR(VLOOKUP($A:$A,CS!$A:$AK,36,FALSE),"")</f>
      </c>
    </row>
    <row r="189" ht="16.5" customHeight="1" spans="1:23" x14ac:dyDescent="0.25">
      <c r="A189" s="71"/>
      <c r="B189" s="57">
        <f>IFERROR(VLOOKUP($A:$A,CS!$A:$AK,3,FALSE),"")</f>
      </c>
      <c r="C189" s="57">
        <f>IFERROR(VLOOKUP($A:$A,CS!$A:$AK,4,FALSE),"")</f>
      </c>
      <c r="D189" s="57">
        <f>IFERROR(VLOOKUP($A:$A,CS!$A:$AK,5,FALSE),"")</f>
      </c>
      <c r="E189" s="57">
        <f>IFERROR(VLOOKUP($A:$A,CS!$A:$AK,7,FALSE),"")</f>
      </c>
      <c r="F189" s="57">
        <f>IFERROR(VLOOKUP($A:$A,CS!$A:$AK,8,FALSE),"")</f>
      </c>
      <c r="G189" s="57">
        <f>IFERROR(VLOOKUP($A:$A,CS!$A:$AK,10,FALSE),"")</f>
      </c>
      <c r="H189" s="57">
        <f>IFERROR(VLOOKUP($A:$A,CS!$A:$AK,14,FALSE),"")</f>
      </c>
      <c r="I189" s="57">
        <f>IFERROR(VLOOKUP($A:$A,CS!$A:$AK,15,FALSE),"")</f>
      </c>
      <c r="J189" s="57">
        <f>IFERROR(VLOOKUP($A:$A,CS!$A:$AK,18,FALSE),"")</f>
      </c>
      <c r="K189" s="57">
        <f>IFERROR(VLOOKUP($A:$A,CS!$A:$AK,19,FALSE),"")</f>
      </c>
      <c r="L189" s="57">
        <f>IFERROR(VLOOKUP($A:$A,CS!$A:$AK,20,FALSE),"")</f>
      </c>
      <c r="M189" s="57">
        <f>IFERROR(VLOOKUP($A:$A,CS!$A:$AK,22,FALSE),"")</f>
      </c>
      <c r="N189" s="57">
        <f>IFERROR(VLOOKUP($A:$A,CS!$A:$AK,19,FALSE),"")</f>
      </c>
      <c r="O189" s="57">
        <f>IFERROR(VLOOKUP($A:$A,CS!$A:$AK,23,FALSE),"")</f>
      </c>
      <c r="P189" s="57">
        <f>IFERROR(VLOOKUP($A:$A,CS!$A:$AK,24,FALSE),"")</f>
      </c>
      <c r="Q189" s="57">
        <f>IFERROR(VLOOKUP($A:$A,CS!$A:$AK,25,FALSE),"")</f>
      </c>
      <c r="R189" s="57">
        <f>IFERROR(VLOOKUP($A:$A,CS!$A:$AK,26,FALSE),"")</f>
      </c>
      <c r="S189" s="57">
        <f>IFERROR(VLOOKUP($A:$A,CS!$A:$AK,29,FALSE),"")</f>
      </c>
      <c r="T189" s="57">
        <f>IFERROR(VLOOKUP($A:$A,CS!$A:$AK,33,FALSE),"")</f>
      </c>
      <c r="U189" s="57">
        <f>IFERROR(VLOOKUP($A:$A,CS!$A:$AK,34,FALSE),"")</f>
      </c>
      <c r="V189" s="57">
        <f>IFERROR(VLOOKUP($A:$A,CS!$A:$AK,35,FALSE),"")</f>
      </c>
      <c r="W189" s="57">
        <f>IFERROR(VLOOKUP($A:$A,CS!$A:$AK,36,FALSE),"")</f>
      </c>
    </row>
    <row r="190" ht="16.5" customHeight="1" spans="1:23" x14ac:dyDescent="0.25">
      <c r="A190" s="71"/>
      <c r="B190" s="57">
        <f>IFERROR(VLOOKUP($A:$A,CS!$A:$AK,3,FALSE),"")</f>
      </c>
      <c r="C190" s="57">
        <f>IFERROR(VLOOKUP($A:$A,CS!$A:$AK,4,FALSE),"")</f>
      </c>
      <c r="D190" s="57">
        <f>IFERROR(VLOOKUP($A:$A,CS!$A:$AK,5,FALSE),"")</f>
      </c>
      <c r="E190" s="57">
        <f>IFERROR(VLOOKUP($A:$A,CS!$A:$AK,7,FALSE),"")</f>
      </c>
      <c r="F190" s="57">
        <f>IFERROR(VLOOKUP($A:$A,CS!$A:$AK,8,FALSE),"")</f>
      </c>
      <c r="G190" s="57">
        <f>IFERROR(VLOOKUP($A:$A,CS!$A:$AK,10,FALSE),"")</f>
      </c>
      <c r="H190" s="57">
        <f>IFERROR(VLOOKUP($A:$A,CS!$A:$AK,14,FALSE),"")</f>
      </c>
      <c r="I190" s="57">
        <f>IFERROR(VLOOKUP($A:$A,CS!$A:$AK,15,FALSE),"")</f>
      </c>
      <c r="J190" s="57">
        <f>IFERROR(VLOOKUP($A:$A,CS!$A:$AK,18,FALSE),"")</f>
      </c>
      <c r="K190" s="57">
        <f>IFERROR(VLOOKUP($A:$A,CS!$A:$AK,19,FALSE),"")</f>
      </c>
      <c r="L190" s="57">
        <f>IFERROR(VLOOKUP($A:$A,CS!$A:$AK,20,FALSE),"")</f>
      </c>
      <c r="M190" s="57">
        <f>IFERROR(VLOOKUP($A:$A,CS!$A:$AK,22,FALSE),"")</f>
      </c>
      <c r="N190" s="57">
        <f>IFERROR(VLOOKUP($A:$A,CS!$A:$AK,19,FALSE),"")</f>
      </c>
      <c r="O190" s="57">
        <f>IFERROR(VLOOKUP($A:$A,CS!$A:$AK,23,FALSE),"")</f>
      </c>
      <c r="P190" s="57">
        <f>IFERROR(VLOOKUP($A:$A,CS!$A:$AK,24,FALSE),"")</f>
      </c>
      <c r="Q190" s="57">
        <f>IFERROR(VLOOKUP($A:$A,CS!$A:$AK,25,FALSE),"")</f>
      </c>
      <c r="R190" s="57">
        <f>IFERROR(VLOOKUP($A:$A,CS!$A:$AK,26,FALSE),"")</f>
      </c>
      <c r="S190" s="57">
        <f>IFERROR(VLOOKUP($A:$A,CS!$A:$AK,29,FALSE),"")</f>
      </c>
      <c r="T190" s="57">
        <f>IFERROR(VLOOKUP($A:$A,CS!$A:$AK,33,FALSE),"")</f>
      </c>
      <c r="U190" s="57">
        <f>IFERROR(VLOOKUP($A:$A,CS!$A:$AK,34,FALSE),"")</f>
      </c>
      <c r="V190" s="57">
        <f>IFERROR(VLOOKUP($A:$A,CS!$A:$AK,35,FALSE),"")</f>
      </c>
      <c r="W190" s="57">
        <f>IFERROR(VLOOKUP($A:$A,CS!$A:$AK,36,FALSE),"")</f>
      </c>
    </row>
    <row r="191" ht="16.5" customHeight="1" spans="1:23" x14ac:dyDescent="0.25">
      <c r="A191" s="71"/>
      <c r="B191" s="57">
        <f>IFERROR(VLOOKUP($A:$A,CS!$A:$AK,3,FALSE),"")</f>
      </c>
      <c r="C191" s="57">
        <f>IFERROR(VLOOKUP($A:$A,CS!$A:$AK,4,FALSE),"")</f>
      </c>
      <c r="D191" s="57">
        <f>IFERROR(VLOOKUP($A:$A,CS!$A:$AK,5,FALSE),"")</f>
      </c>
      <c r="E191" s="57">
        <f>IFERROR(VLOOKUP($A:$A,CS!$A:$AK,7,FALSE),"")</f>
      </c>
      <c r="F191" s="57">
        <f>IFERROR(VLOOKUP($A:$A,CS!$A:$AK,8,FALSE),"")</f>
      </c>
      <c r="G191" s="57">
        <f>IFERROR(VLOOKUP($A:$A,CS!$A:$AK,10,FALSE),"")</f>
      </c>
      <c r="H191" s="57">
        <f>IFERROR(VLOOKUP($A:$A,CS!$A:$AK,14,FALSE),"")</f>
      </c>
      <c r="I191" s="57">
        <f>IFERROR(VLOOKUP($A:$A,CS!$A:$AK,15,FALSE),"")</f>
      </c>
      <c r="J191" s="57">
        <f>IFERROR(VLOOKUP($A:$A,CS!$A:$AK,18,FALSE),"")</f>
      </c>
      <c r="K191" s="57">
        <f>IFERROR(VLOOKUP($A:$A,CS!$A:$AK,19,FALSE),"")</f>
      </c>
      <c r="L191" s="57">
        <f>IFERROR(VLOOKUP($A:$A,CS!$A:$AK,20,FALSE),"")</f>
      </c>
      <c r="M191" s="57">
        <f>IFERROR(VLOOKUP($A:$A,CS!$A:$AK,22,FALSE),"")</f>
      </c>
      <c r="N191" s="57">
        <f>IFERROR(VLOOKUP($A:$A,CS!$A:$AK,19,FALSE),"")</f>
      </c>
      <c r="O191" s="57">
        <f>IFERROR(VLOOKUP($A:$A,CS!$A:$AK,23,FALSE),"")</f>
      </c>
      <c r="P191" s="57">
        <f>IFERROR(VLOOKUP($A:$A,CS!$A:$AK,24,FALSE),"")</f>
      </c>
      <c r="Q191" s="57">
        <f>IFERROR(VLOOKUP($A:$A,CS!$A:$AK,25,FALSE),"")</f>
      </c>
      <c r="R191" s="57">
        <f>IFERROR(VLOOKUP($A:$A,CS!$A:$AK,26,FALSE),"")</f>
      </c>
      <c r="S191" s="57">
        <f>IFERROR(VLOOKUP($A:$A,CS!$A:$AK,29,FALSE),"")</f>
      </c>
      <c r="T191" s="57">
        <f>IFERROR(VLOOKUP($A:$A,CS!$A:$AK,33,FALSE),"")</f>
      </c>
      <c r="U191" s="57">
        <f>IFERROR(VLOOKUP($A:$A,CS!$A:$AK,34,FALSE),"")</f>
      </c>
      <c r="V191" s="57">
        <f>IFERROR(VLOOKUP($A:$A,CS!$A:$AK,35,FALSE),"")</f>
      </c>
      <c r="W191" s="57">
        <f>IFERROR(VLOOKUP($A:$A,CS!$A:$AK,36,FALSE),"")</f>
      </c>
    </row>
    <row r="192" ht="16.5" customHeight="1" spans="1:23" x14ac:dyDescent="0.25">
      <c r="A192" s="71"/>
      <c r="B192" s="57">
        <f>IFERROR(VLOOKUP($A:$A,CS!$A:$AK,3,FALSE),"")</f>
      </c>
      <c r="C192" s="57">
        <f>IFERROR(VLOOKUP($A:$A,CS!$A:$AK,4,FALSE),"")</f>
      </c>
      <c r="D192" s="57">
        <f>IFERROR(VLOOKUP($A:$A,CS!$A:$AK,5,FALSE),"")</f>
      </c>
      <c r="E192" s="57">
        <f>IFERROR(VLOOKUP($A:$A,CS!$A:$AK,7,FALSE),"")</f>
      </c>
      <c r="F192" s="57">
        <f>IFERROR(VLOOKUP($A:$A,CS!$A:$AK,8,FALSE),"")</f>
      </c>
      <c r="G192" s="57">
        <f>IFERROR(VLOOKUP($A:$A,CS!$A:$AK,10,FALSE),"")</f>
      </c>
      <c r="H192" s="57">
        <f>IFERROR(VLOOKUP($A:$A,CS!$A:$AK,14,FALSE),"")</f>
      </c>
      <c r="I192" s="57">
        <f>IFERROR(VLOOKUP($A:$A,CS!$A:$AK,15,FALSE),"")</f>
      </c>
      <c r="J192" s="57">
        <f>IFERROR(VLOOKUP($A:$A,CS!$A:$AK,18,FALSE),"")</f>
      </c>
      <c r="K192" s="57">
        <f>IFERROR(VLOOKUP($A:$A,CS!$A:$AK,19,FALSE),"")</f>
      </c>
      <c r="L192" s="57">
        <f>IFERROR(VLOOKUP($A:$A,CS!$A:$AK,20,FALSE),"")</f>
      </c>
      <c r="M192" s="57">
        <f>IFERROR(VLOOKUP($A:$A,CS!$A:$AK,22,FALSE),"")</f>
      </c>
      <c r="N192" s="57">
        <f>IFERROR(VLOOKUP($A:$A,CS!$A:$AK,19,FALSE),"")</f>
      </c>
      <c r="O192" s="57">
        <f>IFERROR(VLOOKUP($A:$A,CS!$A:$AK,23,FALSE),"")</f>
      </c>
      <c r="P192" s="57">
        <f>IFERROR(VLOOKUP($A:$A,CS!$A:$AK,24,FALSE),"")</f>
      </c>
      <c r="Q192" s="57">
        <f>IFERROR(VLOOKUP($A:$A,CS!$A:$AK,25,FALSE),"")</f>
      </c>
      <c r="R192" s="57">
        <f>IFERROR(VLOOKUP($A:$A,CS!$A:$AK,26,FALSE),"")</f>
      </c>
      <c r="S192" s="57">
        <f>IFERROR(VLOOKUP($A:$A,CS!$A:$AK,29,FALSE),"")</f>
      </c>
      <c r="T192" s="57">
        <f>IFERROR(VLOOKUP($A:$A,CS!$A:$AK,33,FALSE),"")</f>
      </c>
      <c r="U192" s="57">
        <f>IFERROR(VLOOKUP($A:$A,CS!$A:$AK,34,FALSE),"")</f>
      </c>
      <c r="V192" s="57">
        <f>IFERROR(VLOOKUP($A:$A,CS!$A:$AK,35,FALSE),"")</f>
      </c>
      <c r="W192" s="57">
        <f>IFERROR(VLOOKUP($A:$A,CS!$A:$AK,36,FALSE),"")</f>
      </c>
    </row>
    <row r="193" ht="16.5" customHeight="1" spans="1:23" x14ac:dyDescent="0.25">
      <c r="A193" s="71"/>
      <c r="B193" s="57">
        <f>IFERROR(VLOOKUP($A:$A,CS!$A:$AK,3,FALSE),"")</f>
      </c>
      <c r="C193" s="57">
        <f>IFERROR(VLOOKUP($A:$A,CS!$A:$AK,4,FALSE),"")</f>
      </c>
      <c r="D193" s="57">
        <f>IFERROR(VLOOKUP($A:$A,CS!$A:$AK,5,FALSE),"")</f>
      </c>
      <c r="E193" s="57">
        <f>IFERROR(VLOOKUP($A:$A,CS!$A:$AK,7,FALSE),"")</f>
      </c>
      <c r="F193" s="57">
        <f>IFERROR(VLOOKUP($A:$A,CS!$A:$AK,8,FALSE),"")</f>
      </c>
      <c r="G193" s="57">
        <f>IFERROR(VLOOKUP($A:$A,CS!$A:$AK,10,FALSE),"")</f>
      </c>
      <c r="H193" s="57">
        <f>IFERROR(VLOOKUP($A:$A,CS!$A:$AK,14,FALSE),"")</f>
      </c>
      <c r="I193" s="57">
        <f>IFERROR(VLOOKUP($A:$A,CS!$A:$AK,15,FALSE),"")</f>
      </c>
      <c r="J193" s="57">
        <f>IFERROR(VLOOKUP($A:$A,CS!$A:$AK,18,FALSE),"")</f>
      </c>
      <c r="K193" s="57">
        <f>IFERROR(VLOOKUP($A:$A,CS!$A:$AK,19,FALSE),"")</f>
      </c>
      <c r="L193" s="57">
        <f>IFERROR(VLOOKUP($A:$A,CS!$A:$AK,20,FALSE),"")</f>
      </c>
      <c r="M193" s="57">
        <f>IFERROR(VLOOKUP($A:$A,CS!$A:$AK,22,FALSE),"")</f>
      </c>
      <c r="N193" s="57">
        <f>IFERROR(VLOOKUP($A:$A,CS!$A:$AK,19,FALSE),"")</f>
      </c>
      <c r="O193" s="57">
        <f>IFERROR(VLOOKUP($A:$A,CS!$A:$AK,23,FALSE),"")</f>
      </c>
      <c r="P193" s="57">
        <f>IFERROR(VLOOKUP($A:$A,CS!$A:$AK,24,FALSE),"")</f>
      </c>
      <c r="Q193" s="57">
        <f>IFERROR(VLOOKUP($A:$A,CS!$A:$AK,25,FALSE),"")</f>
      </c>
      <c r="R193" s="57">
        <f>IFERROR(VLOOKUP($A:$A,CS!$A:$AK,26,FALSE),"")</f>
      </c>
      <c r="S193" s="57">
        <f>IFERROR(VLOOKUP($A:$A,CS!$A:$AK,29,FALSE),"")</f>
      </c>
      <c r="T193" s="57">
        <f>IFERROR(VLOOKUP($A:$A,CS!$A:$AK,33,FALSE),"")</f>
      </c>
      <c r="U193" s="57">
        <f>IFERROR(VLOOKUP($A:$A,CS!$A:$AK,34,FALSE),"")</f>
      </c>
      <c r="V193" s="57">
        <f>IFERROR(VLOOKUP($A:$A,CS!$A:$AK,35,FALSE),"")</f>
      </c>
      <c r="W193" s="57">
        <f>IFERROR(VLOOKUP($A:$A,CS!$A:$AK,36,FALSE),"")</f>
      </c>
    </row>
    <row r="194" ht="16.5" customHeight="1" spans="1:23" x14ac:dyDescent="0.25">
      <c r="A194" s="71"/>
      <c r="B194" s="57">
        <f>IFERROR(VLOOKUP($A:$A,CS!$A:$AK,3,FALSE),"")</f>
      </c>
      <c r="C194" s="57">
        <f>IFERROR(VLOOKUP($A:$A,CS!$A:$AK,4,FALSE),"")</f>
      </c>
      <c r="D194" s="57">
        <f>IFERROR(VLOOKUP($A:$A,CS!$A:$AK,5,FALSE),"")</f>
      </c>
      <c r="E194" s="57">
        <f>IFERROR(VLOOKUP($A:$A,CS!$A:$AK,7,FALSE),"")</f>
      </c>
      <c r="F194" s="57">
        <f>IFERROR(VLOOKUP($A:$A,CS!$A:$AK,8,FALSE),"")</f>
      </c>
      <c r="G194" s="57">
        <f>IFERROR(VLOOKUP($A:$A,CS!$A:$AK,10,FALSE),"")</f>
      </c>
      <c r="H194" s="57">
        <f>IFERROR(VLOOKUP($A:$A,CS!$A:$AK,14,FALSE),"")</f>
      </c>
      <c r="I194" s="57">
        <f>IFERROR(VLOOKUP($A:$A,CS!$A:$AK,15,FALSE),"")</f>
      </c>
      <c r="J194" s="57">
        <f>IFERROR(VLOOKUP($A:$A,CS!$A:$AK,18,FALSE),"")</f>
      </c>
      <c r="K194" s="57">
        <f>IFERROR(VLOOKUP($A:$A,CS!$A:$AK,19,FALSE),"")</f>
      </c>
      <c r="L194" s="57">
        <f>IFERROR(VLOOKUP($A:$A,CS!$A:$AK,20,FALSE),"")</f>
      </c>
      <c r="M194" s="57">
        <f>IFERROR(VLOOKUP($A:$A,CS!$A:$AK,22,FALSE),"")</f>
      </c>
      <c r="N194" s="57">
        <f>IFERROR(VLOOKUP($A:$A,CS!$A:$AK,19,FALSE),"")</f>
      </c>
      <c r="O194" s="57">
        <f>IFERROR(VLOOKUP($A:$A,CS!$A:$AK,23,FALSE),"")</f>
      </c>
      <c r="P194" s="57">
        <f>IFERROR(VLOOKUP($A:$A,CS!$A:$AK,24,FALSE),"")</f>
      </c>
      <c r="Q194" s="57">
        <f>IFERROR(VLOOKUP($A:$A,CS!$A:$AK,25,FALSE),"")</f>
      </c>
      <c r="R194" s="57">
        <f>IFERROR(VLOOKUP($A:$A,CS!$A:$AK,26,FALSE),"")</f>
      </c>
      <c r="S194" s="57">
        <f>IFERROR(VLOOKUP($A:$A,CS!$A:$AK,29,FALSE),"")</f>
      </c>
      <c r="T194" s="57">
        <f>IFERROR(VLOOKUP($A:$A,CS!$A:$AK,33,FALSE),"")</f>
      </c>
      <c r="U194" s="57">
        <f>IFERROR(VLOOKUP($A:$A,CS!$A:$AK,34,FALSE),"")</f>
      </c>
      <c r="V194" s="57">
        <f>IFERROR(VLOOKUP($A:$A,CS!$A:$AK,35,FALSE),"")</f>
      </c>
      <c r="W194" s="57">
        <f>IFERROR(VLOOKUP($A:$A,CS!$A:$AK,36,FALSE),"")</f>
      </c>
    </row>
    <row r="195" ht="16.5" customHeight="1" spans="1:23" x14ac:dyDescent="0.25">
      <c r="A195" s="71"/>
      <c r="B195" s="57">
        <f>IFERROR(VLOOKUP($A:$A,CS!$A:$AK,3,FALSE),"")</f>
      </c>
      <c r="C195" s="57">
        <f>IFERROR(VLOOKUP($A:$A,CS!$A:$AK,4,FALSE),"")</f>
      </c>
      <c r="D195" s="57">
        <f>IFERROR(VLOOKUP($A:$A,CS!$A:$AK,5,FALSE),"")</f>
      </c>
      <c r="E195" s="57">
        <f>IFERROR(VLOOKUP($A:$A,CS!$A:$AK,7,FALSE),"")</f>
      </c>
      <c r="F195" s="57">
        <f>IFERROR(VLOOKUP($A:$A,CS!$A:$AK,8,FALSE),"")</f>
      </c>
      <c r="G195" s="57">
        <f>IFERROR(VLOOKUP($A:$A,CS!$A:$AK,10,FALSE),"")</f>
      </c>
      <c r="H195" s="57">
        <f>IFERROR(VLOOKUP($A:$A,CS!$A:$AK,14,FALSE),"")</f>
      </c>
      <c r="I195" s="57">
        <f>IFERROR(VLOOKUP($A:$A,CS!$A:$AK,15,FALSE),"")</f>
      </c>
      <c r="J195" s="57">
        <f>IFERROR(VLOOKUP($A:$A,CS!$A:$AK,18,FALSE),"")</f>
      </c>
      <c r="K195" s="57">
        <f>IFERROR(VLOOKUP($A:$A,CS!$A:$AK,19,FALSE),"")</f>
      </c>
      <c r="L195" s="57">
        <f>IFERROR(VLOOKUP($A:$A,CS!$A:$AK,20,FALSE),"")</f>
      </c>
      <c r="M195" s="57">
        <f>IFERROR(VLOOKUP($A:$A,CS!$A:$AK,22,FALSE),"")</f>
      </c>
      <c r="N195" s="57">
        <f>IFERROR(VLOOKUP($A:$A,CS!$A:$AK,19,FALSE),"")</f>
      </c>
      <c r="O195" s="57">
        <f>IFERROR(VLOOKUP($A:$A,CS!$A:$AK,23,FALSE),"")</f>
      </c>
      <c r="P195" s="57">
        <f>IFERROR(VLOOKUP($A:$A,CS!$A:$AK,24,FALSE),"")</f>
      </c>
      <c r="Q195" s="57">
        <f>IFERROR(VLOOKUP($A:$A,CS!$A:$AK,25,FALSE),"")</f>
      </c>
      <c r="R195" s="57">
        <f>IFERROR(VLOOKUP($A:$A,CS!$A:$AK,26,FALSE),"")</f>
      </c>
      <c r="S195" s="57">
        <f>IFERROR(VLOOKUP($A:$A,CS!$A:$AK,29,FALSE),"")</f>
      </c>
      <c r="T195" s="57">
        <f>IFERROR(VLOOKUP($A:$A,CS!$A:$AK,33,FALSE),"")</f>
      </c>
      <c r="U195" s="57">
        <f>IFERROR(VLOOKUP($A:$A,CS!$A:$AK,34,FALSE),"")</f>
      </c>
      <c r="V195" s="57">
        <f>IFERROR(VLOOKUP($A:$A,CS!$A:$AK,35,FALSE),"")</f>
      </c>
      <c r="W195" s="57">
        <f>IFERROR(VLOOKUP($A:$A,CS!$A:$AK,36,FALSE),"")</f>
      </c>
    </row>
    <row r="196" ht="16.5" customHeight="1" spans="1:23" x14ac:dyDescent="0.25">
      <c r="A196" s="71"/>
      <c r="B196" s="57">
        <f>IFERROR(VLOOKUP($A:$A,CS!$A:$AK,3,FALSE),"")</f>
      </c>
      <c r="C196" s="57">
        <f>IFERROR(VLOOKUP($A:$A,CS!$A:$AK,4,FALSE),"")</f>
      </c>
      <c r="D196" s="57">
        <f>IFERROR(VLOOKUP($A:$A,CS!$A:$AK,5,FALSE),"")</f>
      </c>
      <c r="E196" s="57">
        <f>IFERROR(VLOOKUP($A:$A,CS!$A:$AK,7,FALSE),"")</f>
      </c>
      <c r="F196" s="57">
        <f>IFERROR(VLOOKUP($A:$A,CS!$A:$AK,8,FALSE),"")</f>
      </c>
      <c r="G196" s="57">
        <f>IFERROR(VLOOKUP($A:$A,CS!$A:$AK,10,FALSE),"")</f>
      </c>
      <c r="H196" s="57">
        <f>IFERROR(VLOOKUP($A:$A,CS!$A:$AK,14,FALSE),"")</f>
      </c>
      <c r="I196" s="57">
        <f>IFERROR(VLOOKUP($A:$A,CS!$A:$AK,15,FALSE),"")</f>
      </c>
      <c r="J196" s="57">
        <f>IFERROR(VLOOKUP($A:$A,CS!$A:$AK,18,FALSE),"")</f>
      </c>
      <c r="K196" s="57">
        <f>IFERROR(VLOOKUP($A:$A,CS!$A:$AK,19,FALSE),"")</f>
      </c>
      <c r="L196" s="57">
        <f>IFERROR(VLOOKUP($A:$A,CS!$A:$AK,20,FALSE),"")</f>
      </c>
      <c r="M196" s="57">
        <f>IFERROR(VLOOKUP($A:$A,CS!$A:$AK,22,FALSE),"")</f>
      </c>
      <c r="N196" s="57">
        <f>IFERROR(VLOOKUP($A:$A,CS!$A:$AK,19,FALSE),"")</f>
      </c>
      <c r="O196" s="57">
        <f>IFERROR(VLOOKUP($A:$A,CS!$A:$AK,23,FALSE),"")</f>
      </c>
      <c r="P196" s="57">
        <f>IFERROR(VLOOKUP($A:$A,CS!$A:$AK,24,FALSE),"")</f>
      </c>
      <c r="Q196" s="57">
        <f>IFERROR(VLOOKUP($A:$A,CS!$A:$AK,25,FALSE),"")</f>
      </c>
      <c r="R196" s="57">
        <f>IFERROR(VLOOKUP($A:$A,CS!$A:$AK,26,FALSE),"")</f>
      </c>
      <c r="S196" s="57">
        <f>IFERROR(VLOOKUP($A:$A,CS!$A:$AK,29,FALSE),"")</f>
      </c>
      <c r="T196" s="57">
        <f>IFERROR(VLOOKUP($A:$A,CS!$A:$AK,33,FALSE),"")</f>
      </c>
      <c r="U196" s="57">
        <f>IFERROR(VLOOKUP($A:$A,CS!$A:$AK,34,FALSE),"")</f>
      </c>
      <c r="V196" s="57">
        <f>IFERROR(VLOOKUP($A:$A,CS!$A:$AK,35,FALSE),"")</f>
      </c>
      <c r="W196" s="57">
        <f>IFERROR(VLOOKUP($A:$A,CS!$A:$AK,36,FALSE),"")</f>
      </c>
    </row>
    <row r="197" ht="16.5" customHeight="1" spans="1:23" x14ac:dyDescent="0.25">
      <c r="A197" s="71"/>
      <c r="B197" s="57">
        <f>IFERROR(VLOOKUP($A:$A,CS!$A:$AK,3,FALSE),"")</f>
      </c>
      <c r="C197" s="57">
        <f>IFERROR(VLOOKUP($A:$A,CS!$A:$AK,4,FALSE),"")</f>
      </c>
      <c r="D197" s="57">
        <f>IFERROR(VLOOKUP($A:$A,CS!$A:$AK,5,FALSE),"")</f>
      </c>
      <c r="E197" s="57">
        <f>IFERROR(VLOOKUP($A:$A,CS!$A:$AK,7,FALSE),"")</f>
      </c>
      <c r="F197" s="57">
        <f>IFERROR(VLOOKUP($A:$A,CS!$A:$AK,8,FALSE),"")</f>
      </c>
      <c r="G197" s="57">
        <f>IFERROR(VLOOKUP($A:$A,CS!$A:$AK,10,FALSE),"")</f>
      </c>
      <c r="H197" s="57">
        <f>IFERROR(VLOOKUP($A:$A,CS!$A:$AK,14,FALSE),"")</f>
      </c>
      <c r="I197" s="57">
        <f>IFERROR(VLOOKUP($A:$A,CS!$A:$AK,15,FALSE),"")</f>
      </c>
      <c r="J197" s="57">
        <f>IFERROR(VLOOKUP($A:$A,CS!$A:$AK,18,FALSE),"")</f>
      </c>
      <c r="K197" s="57">
        <f>IFERROR(VLOOKUP($A:$A,CS!$A:$AK,19,FALSE),"")</f>
      </c>
      <c r="L197" s="57">
        <f>IFERROR(VLOOKUP($A:$A,CS!$A:$AK,20,FALSE),"")</f>
      </c>
      <c r="M197" s="57">
        <f>IFERROR(VLOOKUP($A:$A,CS!$A:$AK,22,FALSE),"")</f>
      </c>
      <c r="N197" s="57">
        <f>IFERROR(VLOOKUP($A:$A,CS!$A:$AK,19,FALSE),"")</f>
      </c>
      <c r="O197" s="57">
        <f>IFERROR(VLOOKUP($A:$A,CS!$A:$AK,23,FALSE),"")</f>
      </c>
      <c r="P197" s="57">
        <f>IFERROR(VLOOKUP($A:$A,CS!$A:$AK,24,FALSE),"")</f>
      </c>
      <c r="Q197" s="57">
        <f>IFERROR(VLOOKUP($A:$A,CS!$A:$AK,25,FALSE),"")</f>
      </c>
      <c r="R197" s="57">
        <f>IFERROR(VLOOKUP($A:$A,CS!$A:$AK,26,FALSE),"")</f>
      </c>
      <c r="S197" s="57">
        <f>IFERROR(VLOOKUP($A:$A,CS!$A:$AK,29,FALSE),"")</f>
      </c>
      <c r="T197" s="57">
        <f>IFERROR(VLOOKUP($A:$A,CS!$A:$AK,33,FALSE),"")</f>
      </c>
      <c r="U197" s="57">
        <f>IFERROR(VLOOKUP($A:$A,CS!$A:$AK,34,FALSE),"")</f>
      </c>
      <c r="V197" s="57">
        <f>IFERROR(VLOOKUP($A:$A,CS!$A:$AK,35,FALSE),"")</f>
      </c>
      <c r="W197" s="57">
        <f>IFERROR(VLOOKUP($A:$A,CS!$A:$AK,36,FALSE),"")</f>
      </c>
    </row>
    <row r="198" ht="16.5" customHeight="1" spans="1:23" x14ac:dyDescent="0.25">
      <c r="A198" s="71"/>
      <c r="B198" s="57">
        <f>IFERROR(VLOOKUP($A:$A,CS!$A:$AK,3,FALSE),"")</f>
      </c>
      <c r="C198" s="57">
        <f>IFERROR(VLOOKUP($A:$A,CS!$A:$AK,4,FALSE),"")</f>
      </c>
      <c r="D198" s="57">
        <f>IFERROR(VLOOKUP($A:$A,CS!$A:$AK,5,FALSE),"")</f>
      </c>
      <c r="E198" s="57">
        <f>IFERROR(VLOOKUP($A:$A,CS!$A:$AK,7,FALSE),"")</f>
      </c>
      <c r="F198" s="57">
        <f>IFERROR(VLOOKUP($A:$A,CS!$A:$AK,8,FALSE),"")</f>
      </c>
      <c r="G198" s="57">
        <f>IFERROR(VLOOKUP($A:$A,CS!$A:$AK,10,FALSE),"")</f>
      </c>
      <c r="H198" s="57">
        <f>IFERROR(VLOOKUP($A:$A,CS!$A:$AK,14,FALSE),"")</f>
      </c>
      <c r="I198" s="57">
        <f>IFERROR(VLOOKUP($A:$A,CS!$A:$AK,15,FALSE),"")</f>
      </c>
      <c r="J198" s="57">
        <f>IFERROR(VLOOKUP($A:$A,CS!$A:$AK,18,FALSE),"")</f>
      </c>
      <c r="K198" s="57">
        <f>IFERROR(VLOOKUP($A:$A,CS!$A:$AK,19,FALSE),"")</f>
      </c>
      <c r="L198" s="57">
        <f>IFERROR(VLOOKUP($A:$A,CS!$A:$AK,20,FALSE),"")</f>
      </c>
      <c r="M198" s="57">
        <f>IFERROR(VLOOKUP($A:$A,CS!$A:$AK,22,FALSE),"")</f>
      </c>
      <c r="N198" s="57">
        <f>IFERROR(VLOOKUP($A:$A,CS!$A:$AK,19,FALSE),"")</f>
      </c>
      <c r="O198" s="57">
        <f>IFERROR(VLOOKUP($A:$A,CS!$A:$AK,23,FALSE),"")</f>
      </c>
      <c r="P198" s="57">
        <f>IFERROR(VLOOKUP($A:$A,CS!$A:$AK,24,FALSE),"")</f>
      </c>
      <c r="Q198" s="57">
        <f>IFERROR(VLOOKUP($A:$A,CS!$A:$AK,25,FALSE),"")</f>
      </c>
      <c r="R198" s="57">
        <f>IFERROR(VLOOKUP($A:$A,CS!$A:$AK,26,FALSE),"")</f>
      </c>
      <c r="S198" s="57">
        <f>IFERROR(VLOOKUP($A:$A,CS!$A:$AK,29,FALSE),"")</f>
      </c>
      <c r="T198" s="57">
        <f>IFERROR(VLOOKUP($A:$A,CS!$A:$AK,33,FALSE),"")</f>
      </c>
      <c r="U198" s="57">
        <f>IFERROR(VLOOKUP($A:$A,CS!$A:$AK,34,FALSE),"")</f>
      </c>
      <c r="V198" s="57">
        <f>IFERROR(VLOOKUP($A:$A,CS!$A:$AK,35,FALSE),"")</f>
      </c>
      <c r="W198" s="57">
        <f>IFERROR(VLOOKUP($A:$A,CS!$A:$AK,36,FALSE),"")</f>
      </c>
    </row>
    <row r="199" ht="16.5" customHeight="1" spans="1:23" x14ac:dyDescent="0.25">
      <c r="A199" s="71"/>
      <c r="B199" s="57">
        <f>IFERROR(VLOOKUP($A:$A,CS!$A:$AK,3,FALSE),"")</f>
      </c>
      <c r="C199" s="57">
        <f>IFERROR(VLOOKUP($A:$A,CS!$A:$AK,4,FALSE),"")</f>
      </c>
      <c r="D199" s="57">
        <f>IFERROR(VLOOKUP($A:$A,CS!$A:$AK,5,FALSE),"")</f>
      </c>
      <c r="E199" s="57">
        <f>IFERROR(VLOOKUP($A:$A,CS!$A:$AK,7,FALSE),"")</f>
      </c>
      <c r="F199" s="57">
        <f>IFERROR(VLOOKUP($A:$A,CS!$A:$AK,8,FALSE),"")</f>
      </c>
      <c r="G199" s="57">
        <f>IFERROR(VLOOKUP($A:$A,CS!$A:$AK,10,FALSE),"")</f>
      </c>
      <c r="H199" s="57">
        <f>IFERROR(VLOOKUP($A:$A,CS!$A:$AK,14,FALSE),"")</f>
      </c>
      <c r="I199" s="57">
        <f>IFERROR(VLOOKUP($A:$A,CS!$A:$AK,15,FALSE),"")</f>
      </c>
      <c r="J199" s="57">
        <f>IFERROR(VLOOKUP($A:$A,CS!$A:$AK,18,FALSE),"")</f>
      </c>
      <c r="K199" s="57">
        <f>IFERROR(VLOOKUP($A:$A,CS!$A:$AK,19,FALSE),"")</f>
      </c>
      <c r="L199" s="57">
        <f>IFERROR(VLOOKUP($A:$A,CS!$A:$AK,20,FALSE),"")</f>
      </c>
      <c r="M199" s="57">
        <f>IFERROR(VLOOKUP($A:$A,CS!$A:$AK,22,FALSE),"")</f>
      </c>
      <c r="N199" s="57">
        <f>IFERROR(VLOOKUP($A:$A,CS!$A:$AK,19,FALSE),"")</f>
      </c>
      <c r="O199" s="57">
        <f>IFERROR(VLOOKUP($A:$A,CS!$A:$AK,23,FALSE),"")</f>
      </c>
      <c r="P199" s="57">
        <f>IFERROR(VLOOKUP($A:$A,CS!$A:$AK,24,FALSE),"")</f>
      </c>
      <c r="Q199" s="57">
        <f>IFERROR(VLOOKUP($A:$A,CS!$A:$AK,25,FALSE),"")</f>
      </c>
      <c r="R199" s="57">
        <f>IFERROR(VLOOKUP($A:$A,CS!$A:$AK,26,FALSE),"")</f>
      </c>
      <c r="S199" s="57">
        <f>IFERROR(VLOOKUP($A:$A,CS!$A:$AK,29,FALSE),"")</f>
      </c>
      <c r="T199" s="57">
        <f>IFERROR(VLOOKUP($A:$A,CS!$A:$AK,33,FALSE),"")</f>
      </c>
      <c r="U199" s="57">
        <f>IFERROR(VLOOKUP($A:$A,CS!$A:$AK,34,FALSE),"")</f>
      </c>
      <c r="V199" s="57">
        <f>IFERROR(VLOOKUP($A:$A,CS!$A:$AK,35,FALSE),"")</f>
      </c>
      <c r="W199" s="57">
        <f>IFERROR(VLOOKUP($A:$A,CS!$A:$AK,36,FALSE),"")</f>
      </c>
    </row>
    <row r="200" ht="16.5" customHeight="1" spans="1:23" x14ac:dyDescent="0.25">
      <c r="A200" s="71"/>
      <c r="B200" s="57">
        <f>IFERROR(VLOOKUP($A:$A,CS!$A:$AK,3,FALSE),"")</f>
      </c>
      <c r="C200" s="57">
        <f>IFERROR(VLOOKUP($A:$A,CS!$A:$AK,4,FALSE),"")</f>
      </c>
      <c r="D200" s="57">
        <f>IFERROR(VLOOKUP($A:$A,CS!$A:$AK,5,FALSE),"")</f>
      </c>
      <c r="E200" s="57">
        <f>IFERROR(VLOOKUP($A:$A,CS!$A:$AK,7,FALSE),"")</f>
      </c>
      <c r="F200" s="57">
        <f>IFERROR(VLOOKUP($A:$A,CS!$A:$AK,8,FALSE),"")</f>
      </c>
      <c r="G200" s="57">
        <f>IFERROR(VLOOKUP($A:$A,CS!$A:$AK,10,FALSE),"")</f>
      </c>
      <c r="H200" s="57">
        <f>IFERROR(VLOOKUP($A:$A,CS!$A:$AK,14,FALSE),"")</f>
      </c>
      <c r="I200" s="57">
        <f>IFERROR(VLOOKUP($A:$A,CS!$A:$AK,15,FALSE),"")</f>
      </c>
      <c r="J200" s="57">
        <f>IFERROR(VLOOKUP($A:$A,CS!$A:$AK,18,FALSE),"")</f>
      </c>
      <c r="K200" s="57">
        <f>IFERROR(VLOOKUP($A:$A,CS!$A:$AK,19,FALSE),"")</f>
      </c>
      <c r="L200" s="57">
        <f>IFERROR(VLOOKUP($A:$A,CS!$A:$AK,20,FALSE),"")</f>
      </c>
      <c r="M200" s="57">
        <f>IFERROR(VLOOKUP($A:$A,CS!$A:$AK,22,FALSE),"")</f>
      </c>
      <c r="N200" s="57">
        <f>IFERROR(VLOOKUP($A:$A,CS!$A:$AK,19,FALSE),"")</f>
      </c>
      <c r="O200" s="57">
        <f>IFERROR(VLOOKUP($A:$A,CS!$A:$AK,23,FALSE),"")</f>
      </c>
      <c r="P200" s="57">
        <f>IFERROR(VLOOKUP($A:$A,CS!$A:$AK,24,FALSE),"")</f>
      </c>
      <c r="Q200" s="57">
        <f>IFERROR(VLOOKUP($A:$A,CS!$A:$AK,25,FALSE),"")</f>
      </c>
      <c r="R200" s="57">
        <f>IFERROR(VLOOKUP($A:$A,CS!$A:$AK,26,FALSE),"")</f>
      </c>
      <c r="S200" s="57">
        <f>IFERROR(VLOOKUP($A:$A,CS!$A:$AK,29,FALSE),"")</f>
      </c>
      <c r="T200" s="57">
        <f>IFERROR(VLOOKUP($A:$A,CS!$A:$AK,33,FALSE),"")</f>
      </c>
      <c r="U200" s="57">
        <f>IFERROR(VLOOKUP($A:$A,CS!$A:$AK,34,FALSE),"")</f>
      </c>
      <c r="V200" s="57">
        <f>IFERROR(VLOOKUP($A:$A,CS!$A:$AK,35,FALSE),"")</f>
      </c>
      <c r="W200" s="57">
        <f>IFERROR(VLOOKUP($A:$A,CS!$A:$AK,36,FALSE),"")</f>
      </c>
    </row>
    <row r="201" ht="16.5" customHeight="1" spans="1:23" x14ac:dyDescent="0.25">
      <c r="A201" s="71"/>
      <c r="B201" s="57">
        <f>IFERROR(VLOOKUP($A:$A,CS!$A:$AK,3,FALSE),"")</f>
      </c>
      <c r="C201" s="57">
        <f>IFERROR(VLOOKUP($A:$A,CS!$A:$AK,4,FALSE),"")</f>
      </c>
      <c r="D201" s="57">
        <f>IFERROR(VLOOKUP($A:$A,CS!$A:$AK,5,FALSE),"")</f>
      </c>
      <c r="E201" s="57">
        <f>IFERROR(VLOOKUP($A:$A,CS!$A:$AK,7,FALSE),"")</f>
      </c>
      <c r="F201" s="57">
        <f>IFERROR(VLOOKUP($A:$A,CS!$A:$AK,8,FALSE),"")</f>
      </c>
      <c r="G201" s="57">
        <f>IFERROR(VLOOKUP($A:$A,CS!$A:$AK,10,FALSE),"")</f>
      </c>
      <c r="H201" s="57">
        <f>IFERROR(VLOOKUP($A:$A,CS!$A:$AK,14,FALSE),"")</f>
      </c>
      <c r="I201" s="57">
        <f>IFERROR(VLOOKUP($A:$A,CS!$A:$AK,15,FALSE),"")</f>
      </c>
      <c r="J201" s="57">
        <f>IFERROR(VLOOKUP($A:$A,CS!$A:$AK,18,FALSE),"")</f>
      </c>
      <c r="K201" s="57">
        <f>IFERROR(VLOOKUP($A:$A,CS!$A:$AK,19,FALSE),"")</f>
      </c>
      <c r="L201" s="57">
        <f>IFERROR(VLOOKUP($A:$A,CS!$A:$AK,20,FALSE),"")</f>
      </c>
      <c r="M201" s="57">
        <f>IFERROR(VLOOKUP($A:$A,CS!$A:$AK,22,FALSE),"")</f>
      </c>
      <c r="N201" s="57">
        <f>IFERROR(VLOOKUP($A:$A,CS!$A:$AK,19,FALSE),"")</f>
      </c>
      <c r="O201" s="57">
        <f>IFERROR(VLOOKUP($A:$A,CS!$A:$AK,23,FALSE),"")</f>
      </c>
      <c r="P201" s="57">
        <f>IFERROR(VLOOKUP($A:$A,CS!$A:$AK,24,FALSE),"")</f>
      </c>
      <c r="Q201" s="57">
        <f>IFERROR(VLOOKUP($A:$A,CS!$A:$AK,25,FALSE),"")</f>
      </c>
      <c r="R201" s="57">
        <f>IFERROR(VLOOKUP($A:$A,CS!$A:$AK,26,FALSE),"")</f>
      </c>
      <c r="S201" s="57">
        <f>IFERROR(VLOOKUP($A:$A,CS!$A:$AK,29,FALSE),"")</f>
      </c>
      <c r="T201" s="57">
        <f>IFERROR(VLOOKUP($A:$A,CS!$A:$AK,33,FALSE),"")</f>
      </c>
      <c r="U201" s="57">
        <f>IFERROR(VLOOKUP($A:$A,CS!$A:$AK,34,FALSE),"")</f>
      </c>
      <c r="V201" s="57">
        <f>IFERROR(VLOOKUP($A:$A,CS!$A:$AK,35,FALSE),"")</f>
      </c>
      <c r="W201" s="57">
        <f>IFERROR(VLOOKUP($A:$A,CS!$A:$AK,36,FALSE),"")</f>
      </c>
    </row>
    <row r="202" ht="16.5" customHeight="1" spans="1:23" x14ac:dyDescent="0.25">
      <c r="A202" s="71"/>
      <c r="B202" s="57">
        <f>IFERROR(VLOOKUP($A:$A,CS!$A:$AK,3,FALSE),"")</f>
      </c>
      <c r="C202" s="57">
        <f>IFERROR(VLOOKUP($A:$A,CS!$A:$AK,4,FALSE),"")</f>
      </c>
      <c r="D202" s="57">
        <f>IFERROR(VLOOKUP($A:$A,CS!$A:$AK,5,FALSE),"")</f>
      </c>
      <c r="E202" s="57">
        <f>IFERROR(VLOOKUP($A:$A,CS!$A:$AK,7,FALSE),"")</f>
      </c>
      <c r="F202" s="57">
        <f>IFERROR(VLOOKUP($A:$A,CS!$A:$AK,8,FALSE),"")</f>
      </c>
      <c r="G202" s="57">
        <f>IFERROR(VLOOKUP($A:$A,CS!$A:$AK,10,FALSE),"")</f>
      </c>
      <c r="H202" s="57">
        <f>IFERROR(VLOOKUP($A:$A,CS!$A:$AK,14,FALSE),"")</f>
      </c>
      <c r="I202" s="57">
        <f>IFERROR(VLOOKUP($A:$A,CS!$A:$AK,15,FALSE),"")</f>
      </c>
      <c r="J202" s="57">
        <f>IFERROR(VLOOKUP($A:$A,CS!$A:$AK,18,FALSE),"")</f>
      </c>
      <c r="K202" s="57">
        <f>IFERROR(VLOOKUP($A:$A,CS!$A:$AK,19,FALSE),"")</f>
      </c>
      <c r="L202" s="57">
        <f>IFERROR(VLOOKUP($A:$A,CS!$A:$AK,20,FALSE),"")</f>
      </c>
      <c r="M202" s="57">
        <f>IFERROR(VLOOKUP($A:$A,CS!$A:$AK,22,FALSE),"")</f>
      </c>
      <c r="N202" s="57">
        <f>IFERROR(VLOOKUP($A:$A,CS!$A:$AK,19,FALSE),"")</f>
      </c>
      <c r="O202" s="57">
        <f>IFERROR(VLOOKUP($A:$A,CS!$A:$AK,23,FALSE),"")</f>
      </c>
      <c r="P202" s="57">
        <f>IFERROR(VLOOKUP($A:$A,CS!$A:$AK,24,FALSE),"")</f>
      </c>
      <c r="Q202" s="57">
        <f>IFERROR(VLOOKUP($A:$A,CS!$A:$AK,25,FALSE),"")</f>
      </c>
      <c r="R202" s="57">
        <f>IFERROR(VLOOKUP($A:$A,CS!$A:$AK,26,FALSE),"")</f>
      </c>
      <c r="S202" s="57">
        <f>IFERROR(VLOOKUP($A:$A,CS!$A:$AK,29,FALSE),"")</f>
      </c>
      <c r="T202" s="57">
        <f>IFERROR(VLOOKUP($A:$A,CS!$A:$AK,33,FALSE),"")</f>
      </c>
      <c r="U202" s="57">
        <f>IFERROR(VLOOKUP($A:$A,CS!$A:$AK,34,FALSE),"")</f>
      </c>
      <c r="V202" s="57">
        <f>IFERROR(VLOOKUP($A:$A,CS!$A:$AK,35,FALSE),"")</f>
      </c>
      <c r="W202" s="57">
        <f>IFERROR(VLOOKUP($A:$A,CS!$A:$AK,36,FALSE),"")</f>
      </c>
    </row>
    <row r="203" ht="16.5" customHeight="1" spans="1:23" x14ac:dyDescent="0.25">
      <c r="A203" s="71"/>
      <c r="B203" s="57">
        <f>IFERROR(VLOOKUP($A:$A,CS!$A:$AK,3,FALSE),"")</f>
      </c>
      <c r="C203" s="57">
        <f>IFERROR(VLOOKUP($A:$A,CS!$A:$AK,4,FALSE),"")</f>
      </c>
      <c r="D203" s="57">
        <f>IFERROR(VLOOKUP($A:$A,CS!$A:$AK,5,FALSE),"")</f>
      </c>
      <c r="E203" s="57">
        <f>IFERROR(VLOOKUP($A:$A,CS!$A:$AK,7,FALSE),"")</f>
      </c>
      <c r="F203" s="57">
        <f>IFERROR(VLOOKUP($A:$A,CS!$A:$AK,8,FALSE),"")</f>
      </c>
      <c r="G203" s="57">
        <f>IFERROR(VLOOKUP($A:$A,CS!$A:$AK,10,FALSE),"")</f>
      </c>
      <c r="H203" s="57">
        <f>IFERROR(VLOOKUP($A:$A,CS!$A:$AK,14,FALSE),"")</f>
      </c>
      <c r="I203" s="57">
        <f>IFERROR(VLOOKUP($A:$A,CS!$A:$AK,15,FALSE),"")</f>
      </c>
      <c r="J203" s="57">
        <f>IFERROR(VLOOKUP($A:$A,CS!$A:$AK,18,FALSE),"")</f>
      </c>
      <c r="K203" s="57">
        <f>IFERROR(VLOOKUP($A:$A,CS!$A:$AK,19,FALSE),"")</f>
      </c>
      <c r="L203" s="57">
        <f>IFERROR(VLOOKUP($A:$A,CS!$A:$AK,20,FALSE),"")</f>
      </c>
      <c r="M203" s="57">
        <f>IFERROR(VLOOKUP($A:$A,CS!$A:$AK,22,FALSE),"")</f>
      </c>
      <c r="N203" s="57">
        <f>IFERROR(VLOOKUP($A:$A,CS!$A:$AK,19,FALSE),"")</f>
      </c>
      <c r="O203" s="57">
        <f>IFERROR(VLOOKUP($A:$A,CS!$A:$AK,23,FALSE),"")</f>
      </c>
      <c r="P203" s="57">
        <f>IFERROR(VLOOKUP($A:$A,CS!$A:$AK,24,FALSE),"")</f>
      </c>
      <c r="Q203" s="57">
        <f>IFERROR(VLOOKUP($A:$A,CS!$A:$AK,25,FALSE),"")</f>
      </c>
      <c r="R203" s="57">
        <f>IFERROR(VLOOKUP($A:$A,CS!$A:$AK,26,FALSE),"")</f>
      </c>
      <c r="S203" s="57">
        <f>IFERROR(VLOOKUP($A:$A,CS!$A:$AK,29,FALSE),"")</f>
      </c>
      <c r="T203" s="57">
        <f>IFERROR(VLOOKUP($A:$A,CS!$A:$AK,33,FALSE),"")</f>
      </c>
      <c r="U203" s="57">
        <f>IFERROR(VLOOKUP($A:$A,CS!$A:$AK,34,FALSE),"")</f>
      </c>
      <c r="V203" s="57">
        <f>IFERROR(VLOOKUP($A:$A,CS!$A:$AK,35,FALSE),"")</f>
      </c>
      <c r="W203" s="57">
        <f>IFERROR(VLOOKUP($A:$A,CS!$A:$AK,36,FALSE),"")</f>
      </c>
    </row>
    <row r="204" ht="16.5" customHeight="1" spans="1:23" x14ac:dyDescent="0.25">
      <c r="A204" s="71"/>
      <c r="B204" s="57">
        <f>IFERROR(VLOOKUP($A:$A,CS!$A:$AK,3,FALSE),"")</f>
      </c>
      <c r="C204" s="57">
        <f>IFERROR(VLOOKUP($A:$A,CS!$A:$AK,4,FALSE),"")</f>
      </c>
      <c r="D204" s="57">
        <f>IFERROR(VLOOKUP($A:$A,CS!$A:$AK,5,FALSE),"")</f>
      </c>
      <c r="E204" s="57">
        <f>IFERROR(VLOOKUP($A:$A,CS!$A:$AK,7,FALSE),"")</f>
      </c>
      <c r="F204" s="57">
        <f>IFERROR(VLOOKUP($A:$A,CS!$A:$AK,8,FALSE),"")</f>
      </c>
      <c r="G204" s="57">
        <f>IFERROR(VLOOKUP($A:$A,CS!$A:$AK,10,FALSE),"")</f>
      </c>
      <c r="H204" s="57">
        <f>IFERROR(VLOOKUP($A:$A,CS!$A:$AK,14,FALSE),"")</f>
      </c>
      <c r="I204" s="57">
        <f>IFERROR(VLOOKUP($A:$A,CS!$A:$AK,15,FALSE),"")</f>
      </c>
      <c r="J204" s="57">
        <f>IFERROR(VLOOKUP($A:$A,CS!$A:$AK,18,FALSE),"")</f>
      </c>
      <c r="K204" s="57">
        <f>IFERROR(VLOOKUP($A:$A,CS!$A:$AK,19,FALSE),"")</f>
      </c>
      <c r="L204" s="57">
        <f>IFERROR(VLOOKUP($A:$A,CS!$A:$AK,20,FALSE),"")</f>
      </c>
      <c r="M204" s="57">
        <f>IFERROR(VLOOKUP($A:$A,CS!$A:$AK,22,FALSE),"")</f>
      </c>
      <c r="N204" s="57">
        <f>IFERROR(VLOOKUP($A:$A,CS!$A:$AK,19,FALSE),"")</f>
      </c>
      <c r="O204" s="57">
        <f>IFERROR(VLOOKUP($A:$A,CS!$A:$AK,23,FALSE),"")</f>
      </c>
      <c r="P204" s="57">
        <f>IFERROR(VLOOKUP($A:$A,CS!$A:$AK,24,FALSE),"")</f>
      </c>
      <c r="Q204" s="57">
        <f>IFERROR(VLOOKUP($A:$A,CS!$A:$AK,25,FALSE),"")</f>
      </c>
      <c r="R204" s="57">
        <f>IFERROR(VLOOKUP($A:$A,CS!$A:$AK,26,FALSE),"")</f>
      </c>
      <c r="S204" s="57">
        <f>IFERROR(VLOOKUP($A:$A,CS!$A:$AK,29,FALSE),"")</f>
      </c>
      <c r="T204" s="57">
        <f>IFERROR(VLOOKUP($A:$A,CS!$A:$AK,33,FALSE),"")</f>
      </c>
      <c r="U204" s="57">
        <f>IFERROR(VLOOKUP($A:$A,CS!$A:$AK,34,FALSE),"")</f>
      </c>
      <c r="V204" s="57">
        <f>IFERROR(VLOOKUP($A:$A,CS!$A:$AK,35,FALSE),"")</f>
      </c>
      <c r="W204" s="57">
        <f>IFERROR(VLOOKUP($A:$A,CS!$A:$AK,36,FALSE),"")</f>
      </c>
    </row>
    <row r="205" ht="16.5" customHeight="1" spans="1:23" x14ac:dyDescent="0.25">
      <c r="A205" s="71"/>
      <c r="B205" s="57">
        <f>IFERROR(VLOOKUP($A:$A,CS!$A:$AK,3,FALSE),"")</f>
      </c>
      <c r="C205" s="57">
        <f>IFERROR(VLOOKUP($A:$A,CS!$A:$AK,4,FALSE),"")</f>
      </c>
      <c r="D205" s="57">
        <f>IFERROR(VLOOKUP($A:$A,CS!$A:$AK,5,FALSE),"")</f>
      </c>
      <c r="E205" s="57">
        <f>IFERROR(VLOOKUP($A:$A,CS!$A:$AK,7,FALSE),"")</f>
      </c>
      <c r="F205" s="57">
        <f>IFERROR(VLOOKUP($A:$A,CS!$A:$AK,8,FALSE),"")</f>
      </c>
      <c r="G205" s="57">
        <f>IFERROR(VLOOKUP($A:$A,CS!$A:$AK,10,FALSE),"")</f>
      </c>
      <c r="H205" s="57">
        <f>IFERROR(VLOOKUP($A:$A,CS!$A:$AK,14,FALSE),"")</f>
      </c>
      <c r="I205" s="57">
        <f>IFERROR(VLOOKUP($A:$A,CS!$A:$AK,15,FALSE),"")</f>
      </c>
      <c r="J205" s="57">
        <f>IFERROR(VLOOKUP($A:$A,CS!$A:$AK,18,FALSE),"")</f>
      </c>
      <c r="K205" s="57">
        <f>IFERROR(VLOOKUP($A:$A,CS!$A:$AK,19,FALSE),"")</f>
      </c>
      <c r="L205" s="57">
        <f>IFERROR(VLOOKUP($A:$A,CS!$A:$AK,20,FALSE),"")</f>
      </c>
      <c r="M205" s="57">
        <f>IFERROR(VLOOKUP($A:$A,CS!$A:$AK,22,FALSE),"")</f>
      </c>
      <c r="N205" s="57">
        <f>IFERROR(VLOOKUP($A:$A,CS!$A:$AK,19,FALSE),"")</f>
      </c>
      <c r="O205" s="57">
        <f>IFERROR(VLOOKUP($A:$A,CS!$A:$AK,23,FALSE),"")</f>
      </c>
      <c r="P205" s="57">
        <f>IFERROR(VLOOKUP($A:$A,CS!$A:$AK,24,FALSE),"")</f>
      </c>
      <c r="Q205" s="57">
        <f>IFERROR(VLOOKUP($A:$A,CS!$A:$AK,25,FALSE),"")</f>
      </c>
      <c r="R205" s="57">
        <f>IFERROR(VLOOKUP($A:$A,CS!$A:$AK,26,FALSE),"")</f>
      </c>
      <c r="S205" s="57">
        <f>IFERROR(VLOOKUP($A:$A,CS!$A:$AK,29,FALSE),"")</f>
      </c>
      <c r="T205" s="57">
        <f>IFERROR(VLOOKUP($A:$A,CS!$A:$AK,33,FALSE),"")</f>
      </c>
      <c r="U205" s="57">
        <f>IFERROR(VLOOKUP($A:$A,CS!$A:$AK,34,FALSE),"")</f>
      </c>
      <c r="V205" s="57">
        <f>IFERROR(VLOOKUP($A:$A,CS!$A:$AK,35,FALSE),"")</f>
      </c>
      <c r="W205" s="57">
        <f>IFERROR(VLOOKUP($A:$A,CS!$A:$AK,36,FALSE),"")</f>
      </c>
    </row>
    <row r="206" ht="16.5" customHeight="1" spans="1:23" x14ac:dyDescent="0.25">
      <c r="A206" s="71"/>
      <c r="B206" s="57">
        <f>IFERROR(VLOOKUP($A:$A,CS!$A:$AK,3,FALSE),"")</f>
      </c>
      <c r="C206" s="57">
        <f>IFERROR(VLOOKUP($A:$A,CS!$A:$AK,4,FALSE),"")</f>
      </c>
      <c r="D206" s="57">
        <f>IFERROR(VLOOKUP($A:$A,CS!$A:$AK,5,FALSE),"")</f>
      </c>
      <c r="E206" s="57">
        <f>IFERROR(VLOOKUP($A:$A,CS!$A:$AK,7,FALSE),"")</f>
      </c>
      <c r="F206" s="57">
        <f>IFERROR(VLOOKUP($A:$A,CS!$A:$AK,8,FALSE),"")</f>
      </c>
      <c r="G206" s="57">
        <f>IFERROR(VLOOKUP($A:$A,CS!$A:$AK,10,FALSE),"")</f>
      </c>
      <c r="H206" s="57">
        <f>IFERROR(VLOOKUP($A:$A,CS!$A:$AK,14,FALSE),"")</f>
      </c>
      <c r="I206" s="57">
        <f>IFERROR(VLOOKUP($A:$A,CS!$A:$AK,15,FALSE),"")</f>
      </c>
      <c r="J206" s="57">
        <f>IFERROR(VLOOKUP($A:$A,CS!$A:$AK,18,FALSE),"")</f>
      </c>
      <c r="K206" s="57">
        <f>IFERROR(VLOOKUP($A:$A,CS!$A:$AK,19,FALSE),"")</f>
      </c>
      <c r="L206" s="57">
        <f>IFERROR(VLOOKUP($A:$A,CS!$A:$AK,20,FALSE),"")</f>
      </c>
      <c r="M206" s="57">
        <f>IFERROR(VLOOKUP($A:$A,CS!$A:$AK,22,FALSE),"")</f>
      </c>
      <c r="N206" s="57">
        <f>IFERROR(VLOOKUP($A:$A,CS!$A:$AK,19,FALSE),"")</f>
      </c>
      <c r="O206" s="57">
        <f>IFERROR(VLOOKUP($A:$A,CS!$A:$AK,23,FALSE),"")</f>
      </c>
      <c r="P206" s="57">
        <f>IFERROR(VLOOKUP($A:$A,CS!$A:$AK,24,FALSE),"")</f>
      </c>
      <c r="Q206" s="57">
        <f>IFERROR(VLOOKUP($A:$A,CS!$A:$AK,25,FALSE),"")</f>
      </c>
      <c r="R206" s="57">
        <f>IFERROR(VLOOKUP($A:$A,CS!$A:$AK,26,FALSE),"")</f>
      </c>
      <c r="S206" s="57">
        <f>IFERROR(VLOOKUP($A:$A,CS!$A:$AK,29,FALSE),"")</f>
      </c>
      <c r="T206" s="57">
        <f>IFERROR(VLOOKUP($A:$A,CS!$A:$AK,33,FALSE),"")</f>
      </c>
      <c r="U206" s="57">
        <f>IFERROR(VLOOKUP($A:$A,CS!$A:$AK,34,FALSE),"")</f>
      </c>
      <c r="V206" s="57">
        <f>IFERROR(VLOOKUP($A:$A,CS!$A:$AK,35,FALSE),"")</f>
      </c>
      <c r="W206" s="57">
        <f>IFERROR(VLOOKUP($A:$A,CS!$A:$AK,36,FALSE),"")</f>
      </c>
    </row>
    <row r="207" ht="16.5" customHeight="1" spans="1:23" x14ac:dyDescent="0.25">
      <c r="A207" s="71"/>
      <c r="B207" s="57">
        <f>IFERROR(VLOOKUP($A:$A,CS!$A:$AK,3,FALSE),"")</f>
      </c>
      <c r="C207" s="57">
        <f>IFERROR(VLOOKUP($A:$A,CS!$A:$AK,4,FALSE),"")</f>
      </c>
      <c r="D207" s="57">
        <f>IFERROR(VLOOKUP($A:$A,CS!$A:$AK,5,FALSE),"")</f>
      </c>
      <c r="E207" s="57">
        <f>IFERROR(VLOOKUP($A:$A,CS!$A:$AK,7,FALSE),"")</f>
      </c>
      <c r="F207" s="57">
        <f>IFERROR(VLOOKUP($A:$A,CS!$A:$AK,8,FALSE),"")</f>
      </c>
      <c r="G207" s="57">
        <f>IFERROR(VLOOKUP($A:$A,CS!$A:$AK,10,FALSE),"")</f>
      </c>
      <c r="H207" s="57">
        <f>IFERROR(VLOOKUP($A:$A,CS!$A:$AK,14,FALSE),"")</f>
      </c>
      <c r="I207" s="57">
        <f>IFERROR(VLOOKUP($A:$A,CS!$A:$AK,15,FALSE),"")</f>
      </c>
      <c r="J207" s="57">
        <f>IFERROR(VLOOKUP($A:$A,CS!$A:$AK,18,FALSE),"")</f>
      </c>
      <c r="K207" s="57">
        <f>IFERROR(VLOOKUP($A:$A,CS!$A:$AK,19,FALSE),"")</f>
      </c>
      <c r="L207" s="57">
        <f>IFERROR(VLOOKUP($A:$A,CS!$A:$AK,20,FALSE),"")</f>
      </c>
      <c r="M207" s="57">
        <f>IFERROR(VLOOKUP($A:$A,CS!$A:$AK,22,FALSE),"")</f>
      </c>
      <c r="N207" s="57">
        <f>IFERROR(VLOOKUP($A:$A,CS!$A:$AK,19,FALSE),"")</f>
      </c>
      <c r="O207" s="57">
        <f>IFERROR(VLOOKUP($A:$A,CS!$A:$AK,23,FALSE),"")</f>
      </c>
      <c r="P207" s="57">
        <f>IFERROR(VLOOKUP($A:$A,CS!$A:$AK,24,FALSE),"")</f>
      </c>
      <c r="Q207" s="57">
        <f>IFERROR(VLOOKUP($A:$A,CS!$A:$AK,25,FALSE),"")</f>
      </c>
      <c r="R207" s="57">
        <f>IFERROR(VLOOKUP($A:$A,CS!$A:$AK,26,FALSE),"")</f>
      </c>
      <c r="S207" s="57">
        <f>IFERROR(VLOOKUP($A:$A,CS!$A:$AK,29,FALSE),"")</f>
      </c>
      <c r="T207" s="57">
        <f>IFERROR(VLOOKUP($A:$A,CS!$A:$AK,33,FALSE),"")</f>
      </c>
      <c r="U207" s="57">
        <f>IFERROR(VLOOKUP($A:$A,CS!$A:$AK,34,FALSE),"")</f>
      </c>
      <c r="V207" s="57">
        <f>IFERROR(VLOOKUP($A:$A,CS!$A:$AK,35,FALSE),"")</f>
      </c>
      <c r="W207" s="57">
        <f>IFERROR(VLOOKUP($A:$A,CS!$A:$AK,36,FALSE),"")</f>
      </c>
    </row>
    <row r="208" ht="16.5" customHeight="1" spans="1:23" x14ac:dyDescent="0.25">
      <c r="A208" s="71"/>
      <c r="B208" s="57">
        <f>IFERROR(VLOOKUP($A:$A,CS!$A:$AK,3,FALSE),"")</f>
      </c>
      <c r="C208" s="57">
        <f>IFERROR(VLOOKUP($A:$A,CS!$A:$AK,4,FALSE),"")</f>
      </c>
      <c r="D208" s="57">
        <f>IFERROR(VLOOKUP($A:$A,CS!$A:$AK,5,FALSE),"")</f>
      </c>
      <c r="E208" s="57">
        <f>IFERROR(VLOOKUP($A:$A,CS!$A:$AK,7,FALSE),"")</f>
      </c>
      <c r="F208" s="57">
        <f>IFERROR(VLOOKUP($A:$A,CS!$A:$AK,8,FALSE),"")</f>
      </c>
      <c r="G208" s="57">
        <f>IFERROR(VLOOKUP($A:$A,CS!$A:$AK,10,FALSE),"")</f>
      </c>
      <c r="H208" s="57">
        <f>IFERROR(VLOOKUP($A:$A,CS!$A:$AK,14,FALSE),"")</f>
      </c>
      <c r="I208" s="57">
        <f>IFERROR(VLOOKUP($A:$A,CS!$A:$AK,15,FALSE),"")</f>
      </c>
      <c r="J208" s="57">
        <f>IFERROR(VLOOKUP($A:$A,CS!$A:$AK,18,FALSE),"")</f>
      </c>
      <c r="K208" s="57">
        <f>IFERROR(VLOOKUP($A:$A,CS!$A:$AK,19,FALSE),"")</f>
      </c>
      <c r="L208" s="57">
        <f>IFERROR(VLOOKUP($A:$A,CS!$A:$AK,20,FALSE),"")</f>
      </c>
      <c r="M208" s="57">
        <f>IFERROR(VLOOKUP($A:$A,CS!$A:$AK,22,FALSE),"")</f>
      </c>
      <c r="N208" s="57">
        <f>IFERROR(VLOOKUP($A:$A,CS!$A:$AK,19,FALSE),"")</f>
      </c>
      <c r="O208" s="57">
        <f>IFERROR(VLOOKUP($A:$A,CS!$A:$AK,23,FALSE),"")</f>
      </c>
      <c r="P208" s="57">
        <f>IFERROR(VLOOKUP($A:$A,CS!$A:$AK,24,FALSE),"")</f>
      </c>
      <c r="Q208" s="57">
        <f>IFERROR(VLOOKUP($A:$A,CS!$A:$AK,25,FALSE),"")</f>
      </c>
      <c r="R208" s="57">
        <f>IFERROR(VLOOKUP($A:$A,CS!$A:$AK,26,FALSE),"")</f>
      </c>
      <c r="S208" s="57">
        <f>IFERROR(VLOOKUP($A:$A,CS!$A:$AK,29,FALSE),"")</f>
      </c>
      <c r="T208" s="57">
        <f>IFERROR(VLOOKUP($A:$A,CS!$A:$AK,33,FALSE),"")</f>
      </c>
      <c r="U208" s="57">
        <f>IFERROR(VLOOKUP($A:$A,CS!$A:$AK,34,FALSE),"")</f>
      </c>
      <c r="V208" s="57">
        <f>IFERROR(VLOOKUP($A:$A,CS!$A:$AK,35,FALSE),"")</f>
      </c>
      <c r="W208" s="57">
        <f>IFERROR(VLOOKUP($A:$A,CS!$A:$AK,36,FALSE),"")</f>
      </c>
    </row>
    <row r="209" ht="16.5" customHeight="1" spans="1:23" x14ac:dyDescent="0.25">
      <c r="A209" s="71"/>
      <c r="B209" s="57">
        <f>IFERROR(VLOOKUP($A:$A,CS!$A:$AK,3,FALSE),"")</f>
      </c>
      <c r="C209" s="57">
        <f>IFERROR(VLOOKUP($A:$A,CS!$A:$AK,4,FALSE),"")</f>
      </c>
      <c r="D209" s="57">
        <f>IFERROR(VLOOKUP($A:$A,CS!$A:$AK,5,FALSE),"")</f>
      </c>
      <c r="E209" s="57">
        <f>IFERROR(VLOOKUP($A:$A,CS!$A:$AK,7,FALSE),"")</f>
      </c>
      <c r="F209" s="57">
        <f>IFERROR(VLOOKUP($A:$A,CS!$A:$AK,8,FALSE),"")</f>
      </c>
      <c r="G209" s="57">
        <f>IFERROR(VLOOKUP($A:$A,CS!$A:$AK,10,FALSE),"")</f>
      </c>
      <c r="H209" s="57">
        <f>IFERROR(VLOOKUP($A:$A,CS!$A:$AK,14,FALSE),"")</f>
      </c>
      <c r="I209" s="57">
        <f>IFERROR(VLOOKUP($A:$A,CS!$A:$AK,15,FALSE),"")</f>
      </c>
      <c r="J209" s="57">
        <f>IFERROR(VLOOKUP($A:$A,CS!$A:$AK,18,FALSE),"")</f>
      </c>
      <c r="K209" s="57">
        <f>IFERROR(VLOOKUP($A:$A,CS!$A:$AK,19,FALSE),"")</f>
      </c>
      <c r="L209" s="57">
        <f>IFERROR(VLOOKUP($A:$A,CS!$A:$AK,20,FALSE),"")</f>
      </c>
      <c r="M209" s="57">
        <f>IFERROR(VLOOKUP($A:$A,CS!$A:$AK,22,FALSE),"")</f>
      </c>
      <c r="N209" s="57">
        <f>IFERROR(VLOOKUP($A:$A,CS!$A:$AK,19,FALSE),"")</f>
      </c>
      <c r="O209" s="57">
        <f>IFERROR(VLOOKUP($A:$A,CS!$A:$AK,23,FALSE),"")</f>
      </c>
      <c r="P209" s="57">
        <f>IFERROR(VLOOKUP($A:$A,CS!$A:$AK,24,FALSE),"")</f>
      </c>
      <c r="Q209" s="57">
        <f>IFERROR(VLOOKUP($A:$A,CS!$A:$AK,25,FALSE),"")</f>
      </c>
      <c r="R209" s="57">
        <f>IFERROR(VLOOKUP($A:$A,CS!$A:$AK,26,FALSE),"")</f>
      </c>
      <c r="S209" s="57">
        <f>IFERROR(VLOOKUP($A:$A,CS!$A:$AK,29,FALSE),"")</f>
      </c>
      <c r="T209" s="57">
        <f>IFERROR(VLOOKUP($A:$A,CS!$A:$AK,33,FALSE),"")</f>
      </c>
      <c r="U209" s="57">
        <f>IFERROR(VLOOKUP($A:$A,CS!$A:$AK,34,FALSE),"")</f>
      </c>
      <c r="V209" s="57">
        <f>IFERROR(VLOOKUP($A:$A,CS!$A:$AK,35,FALSE),"")</f>
      </c>
      <c r="W209" s="57">
        <f>IFERROR(VLOOKUP($A:$A,CS!$A:$AK,36,FALSE),"")</f>
      </c>
    </row>
    <row r="210" ht="16.5" customHeight="1" spans="1:23" x14ac:dyDescent="0.25">
      <c r="A210" s="71"/>
      <c r="B210" s="57">
        <f>IFERROR(VLOOKUP($A:$A,CS!$A:$AK,3,FALSE),"")</f>
      </c>
      <c r="C210" s="57">
        <f>IFERROR(VLOOKUP($A:$A,CS!$A:$AK,4,FALSE),"")</f>
      </c>
      <c r="D210" s="57">
        <f>IFERROR(VLOOKUP($A:$A,CS!$A:$AK,5,FALSE),"")</f>
      </c>
      <c r="E210" s="57">
        <f>IFERROR(VLOOKUP($A:$A,CS!$A:$AK,7,FALSE),"")</f>
      </c>
      <c r="F210" s="57">
        <f>IFERROR(VLOOKUP($A:$A,CS!$A:$AK,8,FALSE),"")</f>
      </c>
      <c r="G210" s="57">
        <f>IFERROR(VLOOKUP($A:$A,CS!$A:$AK,10,FALSE),"")</f>
      </c>
      <c r="H210" s="57">
        <f>IFERROR(VLOOKUP($A:$A,CS!$A:$AK,14,FALSE),"")</f>
      </c>
      <c r="I210" s="57">
        <f>IFERROR(VLOOKUP($A:$A,CS!$A:$AK,15,FALSE),"")</f>
      </c>
      <c r="J210" s="57">
        <f>IFERROR(VLOOKUP($A:$A,CS!$A:$AK,18,FALSE),"")</f>
      </c>
      <c r="K210" s="57">
        <f>IFERROR(VLOOKUP($A:$A,CS!$A:$AK,19,FALSE),"")</f>
      </c>
      <c r="L210" s="57">
        <f>IFERROR(VLOOKUP($A:$A,CS!$A:$AK,20,FALSE),"")</f>
      </c>
      <c r="M210" s="57">
        <f>IFERROR(VLOOKUP($A:$A,CS!$A:$AK,22,FALSE),"")</f>
      </c>
      <c r="N210" s="57">
        <f>IFERROR(VLOOKUP($A:$A,CS!$A:$AK,19,FALSE),"")</f>
      </c>
      <c r="O210" s="57">
        <f>IFERROR(VLOOKUP($A:$A,CS!$A:$AK,23,FALSE),"")</f>
      </c>
      <c r="P210" s="57">
        <f>IFERROR(VLOOKUP($A:$A,CS!$A:$AK,24,FALSE),"")</f>
      </c>
      <c r="Q210" s="57">
        <f>IFERROR(VLOOKUP($A:$A,CS!$A:$AK,25,FALSE),"")</f>
      </c>
      <c r="R210" s="57">
        <f>IFERROR(VLOOKUP($A:$A,CS!$A:$AK,26,FALSE),"")</f>
      </c>
      <c r="S210" s="57">
        <f>IFERROR(VLOOKUP($A:$A,CS!$A:$AK,29,FALSE),"")</f>
      </c>
      <c r="T210" s="57">
        <f>IFERROR(VLOOKUP($A:$A,CS!$A:$AK,33,FALSE),"")</f>
      </c>
      <c r="U210" s="57">
        <f>IFERROR(VLOOKUP($A:$A,CS!$A:$AK,34,FALSE),"")</f>
      </c>
      <c r="V210" s="57">
        <f>IFERROR(VLOOKUP($A:$A,CS!$A:$AK,35,FALSE),"")</f>
      </c>
      <c r="W210" s="57">
        <f>IFERROR(VLOOKUP($A:$A,CS!$A:$AK,36,FALSE),"")</f>
      </c>
    </row>
    <row r="211" ht="16.5" customHeight="1" spans="1:23" x14ac:dyDescent="0.25">
      <c r="A211" s="71"/>
      <c r="B211" s="57">
        <f>IFERROR(VLOOKUP($A:$A,CS!$A:$AK,3,FALSE),"")</f>
      </c>
      <c r="C211" s="57">
        <f>IFERROR(VLOOKUP($A:$A,CS!$A:$AK,4,FALSE),"")</f>
      </c>
      <c r="D211" s="57">
        <f>IFERROR(VLOOKUP($A:$A,CS!$A:$AK,5,FALSE),"")</f>
      </c>
      <c r="E211" s="57">
        <f>IFERROR(VLOOKUP($A:$A,CS!$A:$AK,7,FALSE),"")</f>
      </c>
      <c r="F211" s="57">
        <f>IFERROR(VLOOKUP($A:$A,CS!$A:$AK,8,FALSE),"")</f>
      </c>
      <c r="G211" s="57">
        <f>IFERROR(VLOOKUP($A:$A,CS!$A:$AK,10,FALSE),"")</f>
      </c>
      <c r="H211" s="57">
        <f>IFERROR(VLOOKUP($A:$A,CS!$A:$AK,14,FALSE),"")</f>
      </c>
      <c r="I211" s="57">
        <f>IFERROR(VLOOKUP($A:$A,CS!$A:$AK,15,FALSE),"")</f>
      </c>
      <c r="J211" s="57">
        <f>IFERROR(VLOOKUP($A:$A,CS!$A:$AK,18,FALSE),"")</f>
      </c>
      <c r="K211" s="57">
        <f>IFERROR(VLOOKUP($A:$A,CS!$A:$AK,19,FALSE),"")</f>
      </c>
      <c r="L211" s="57">
        <f>IFERROR(VLOOKUP($A:$A,CS!$A:$AK,20,FALSE),"")</f>
      </c>
      <c r="M211" s="57">
        <f>IFERROR(VLOOKUP($A:$A,CS!$A:$AK,22,FALSE),"")</f>
      </c>
      <c r="N211" s="57">
        <f>IFERROR(VLOOKUP($A:$A,CS!$A:$AK,19,FALSE),"")</f>
      </c>
      <c r="O211" s="57">
        <f>IFERROR(VLOOKUP($A:$A,CS!$A:$AK,23,FALSE),"")</f>
      </c>
      <c r="P211" s="57">
        <f>IFERROR(VLOOKUP($A:$A,CS!$A:$AK,24,FALSE),"")</f>
      </c>
      <c r="Q211" s="57">
        <f>IFERROR(VLOOKUP($A:$A,CS!$A:$AK,25,FALSE),"")</f>
      </c>
      <c r="R211" s="57">
        <f>IFERROR(VLOOKUP($A:$A,CS!$A:$AK,26,FALSE),"")</f>
      </c>
      <c r="S211" s="57">
        <f>IFERROR(VLOOKUP($A:$A,CS!$A:$AK,29,FALSE),"")</f>
      </c>
      <c r="T211" s="57">
        <f>IFERROR(VLOOKUP($A:$A,CS!$A:$AK,33,FALSE),"")</f>
      </c>
      <c r="U211" s="57">
        <f>IFERROR(VLOOKUP($A:$A,CS!$A:$AK,34,FALSE),"")</f>
      </c>
      <c r="V211" s="57">
        <f>IFERROR(VLOOKUP($A:$A,CS!$A:$AK,35,FALSE),"")</f>
      </c>
      <c r="W211" s="57">
        <f>IFERROR(VLOOKUP($A:$A,CS!$A:$AK,36,FALSE),"")</f>
      </c>
    </row>
    <row r="212" ht="16.5" customHeight="1" spans="1:23" x14ac:dyDescent="0.25">
      <c r="A212" s="71"/>
      <c r="B212" s="57">
        <f>IFERROR(VLOOKUP($A:$A,CS!$A:$AK,3,FALSE),"")</f>
      </c>
      <c r="C212" s="57">
        <f>IFERROR(VLOOKUP($A:$A,CS!$A:$AK,4,FALSE),"")</f>
      </c>
      <c r="D212" s="57">
        <f>IFERROR(VLOOKUP($A:$A,CS!$A:$AK,5,FALSE),"")</f>
      </c>
      <c r="E212" s="57">
        <f>IFERROR(VLOOKUP($A:$A,CS!$A:$AK,7,FALSE),"")</f>
      </c>
      <c r="F212" s="57">
        <f>IFERROR(VLOOKUP($A:$A,CS!$A:$AK,8,FALSE),"")</f>
      </c>
      <c r="G212" s="57">
        <f>IFERROR(VLOOKUP($A:$A,CS!$A:$AK,10,FALSE),"")</f>
      </c>
      <c r="H212" s="57">
        <f>IFERROR(VLOOKUP($A:$A,CS!$A:$AK,14,FALSE),"")</f>
      </c>
      <c r="I212" s="57">
        <f>IFERROR(VLOOKUP($A:$A,CS!$A:$AK,15,FALSE),"")</f>
      </c>
      <c r="J212" s="57">
        <f>IFERROR(VLOOKUP($A:$A,CS!$A:$AK,18,FALSE),"")</f>
      </c>
      <c r="K212" s="57">
        <f>IFERROR(VLOOKUP($A:$A,CS!$A:$AK,19,FALSE),"")</f>
      </c>
      <c r="L212" s="57">
        <f>IFERROR(VLOOKUP($A:$A,CS!$A:$AK,20,FALSE),"")</f>
      </c>
      <c r="M212" s="57">
        <f>IFERROR(VLOOKUP($A:$A,CS!$A:$AK,22,FALSE),"")</f>
      </c>
      <c r="N212" s="57">
        <f>IFERROR(VLOOKUP($A:$A,CS!$A:$AK,19,FALSE),"")</f>
      </c>
      <c r="O212" s="57">
        <f>IFERROR(VLOOKUP($A:$A,CS!$A:$AK,23,FALSE),"")</f>
      </c>
      <c r="P212" s="57">
        <f>IFERROR(VLOOKUP($A:$A,CS!$A:$AK,24,FALSE),"")</f>
      </c>
      <c r="Q212" s="57">
        <f>IFERROR(VLOOKUP($A:$A,CS!$A:$AK,25,FALSE),"")</f>
      </c>
      <c r="R212" s="57">
        <f>IFERROR(VLOOKUP($A:$A,CS!$A:$AK,26,FALSE),"")</f>
      </c>
      <c r="S212" s="57">
        <f>IFERROR(VLOOKUP($A:$A,CS!$A:$AK,29,FALSE),"")</f>
      </c>
      <c r="T212" s="57">
        <f>IFERROR(VLOOKUP($A:$A,CS!$A:$AK,33,FALSE),"")</f>
      </c>
      <c r="U212" s="57">
        <f>IFERROR(VLOOKUP($A:$A,CS!$A:$AK,34,FALSE),"")</f>
      </c>
      <c r="V212" s="57">
        <f>IFERROR(VLOOKUP($A:$A,CS!$A:$AK,35,FALSE),"")</f>
      </c>
      <c r="W212" s="57">
        <f>IFERROR(VLOOKUP($A:$A,CS!$A:$AK,36,FALSE),"")</f>
      </c>
    </row>
    <row r="213" ht="16.5" customHeight="1" spans="1:23" x14ac:dyDescent="0.25">
      <c r="A213" s="71"/>
      <c r="B213" s="57">
        <f>IFERROR(VLOOKUP($A:$A,CS!$A:$AK,3,FALSE),"")</f>
      </c>
      <c r="C213" s="57">
        <f>IFERROR(VLOOKUP($A:$A,CS!$A:$AK,4,FALSE),"")</f>
      </c>
      <c r="D213" s="57">
        <f>IFERROR(VLOOKUP($A:$A,CS!$A:$AK,5,FALSE),"")</f>
      </c>
      <c r="E213" s="57">
        <f>IFERROR(VLOOKUP($A:$A,CS!$A:$AK,7,FALSE),"")</f>
      </c>
      <c r="F213" s="57">
        <f>IFERROR(VLOOKUP($A:$A,CS!$A:$AK,8,FALSE),"")</f>
      </c>
      <c r="G213" s="57">
        <f>IFERROR(VLOOKUP($A:$A,CS!$A:$AK,10,FALSE),"")</f>
      </c>
      <c r="H213" s="57">
        <f>IFERROR(VLOOKUP($A:$A,CS!$A:$AK,14,FALSE),"")</f>
      </c>
      <c r="I213" s="57">
        <f>IFERROR(VLOOKUP($A:$A,CS!$A:$AK,15,FALSE),"")</f>
      </c>
      <c r="J213" s="57">
        <f>IFERROR(VLOOKUP($A:$A,CS!$A:$AK,18,FALSE),"")</f>
      </c>
      <c r="K213" s="57">
        <f>IFERROR(VLOOKUP($A:$A,CS!$A:$AK,19,FALSE),"")</f>
      </c>
      <c r="L213" s="57">
        <f>IFERROR(VLOOKUP($A:$A,CS!$A:$AK,20,FALSE),"")</f>
      </c>
      <c r="M213" s="57">
        <f>IFERROR(VLOOKUP($A:$A,CS!$A:$AK,22,FALSE),"")</f>
      </c>
      <c r="N213" s="57">
        <f>IFERROR(VLOOKUP($A:$A,CS!$A:$AK,19,FALSE),"")</f>
      </c>
      <c r="O213" s="57">
        <f>IFERROR(VLOOKUP($A:$A,CS!$A:$AK,23,FALSE),"")</f>
      </c>
      <c r="P213" s="57">
        <f>IFERROR(VLOOKUP($A:$A,CS!$A:$AK,24,FALSE),"")</f>
      </c>
      <c r="Q213" s="57">
        <f>IFERROR(VLOOKUP($A:$A,CS!$A:$AK,25,FALSE),"")</f>
      </c>
      <c r="R213" s="57">
        <f>IFERROR(VLOOKUP($A:$A,CS!$A:$AK,26,FALSE),"")</f>
      </c>
      <c r="S213" s="57">
        <f>IFERROR(VLOOKUP($A:$A,CS!$A:$AK,29,FALSE),"")</f>
      </c>
      <c r="T213" s="57">
        <f>IFERROR(VLOOKUP($A:$A,CS!$A:$AK,33,FALSE),"")</f>
      </c>
      <c r="U213" s="57">
        <f>IFERROR(VLOOKUP($A:$A,CS!$A:$AK,34,FALSE),"")</f>
      </c>
      <c r="V213" s="57">
        <f>IFERROR(VLOOKUP($A:$A,CS!$A:$AK,35,FALSE),"")</f>
      </c>
      <c r="W213" s="57">
        <f>IFERROR(VLOOKUP($A:$A,CS!$A:$AK,36,FALSE),"")</f>
      </c>
    </row>
    <row r="214" ht="16.5" customHeight="1" spans="1:23" x14ac:dyDescent="0.25">
      <c r="A214" s="71"/>
      <c r="B214" s="57">
        <f>IFERROR(VLOOKUP($A:$A,CS!$A:$AK,3,FALSE),"")</f>
      </c>
      <c r="C214" s="57">
        <f>IFERROR(VLOOKUP($A:$A,CS!$A:$AK,4,FALSE),"")</f>
      </c>
      <c r="D214" s="57">
        <f>IFERROR(VLOOKUP($A:$A,CS!$A:$AK,5,FALSE),"")</f>
      </c>
      <c r="E214" s="57">
        <f>IFERROR(VLOOKUP($A:$A,CS!$A:$AK,7,FALSE),"")</f>
      </c>
      <c r="F214" s="57">
        <f>IFERROR(VLOOKUP($A:$A,CS!$A:$AK,8,FALSE),"")</f>
      </c>
      <c r="G214" s="57">
        <f>IFERROR(VLOOKUP($A:$A,CS!$A:$AK,10,FALSE),"")</f>
      </c>
      <c r="H214" s="57">
        <f>IFERROR(VLOOKUP($A:$A,CS!$A:$AK,14,FALSE),"")</f>
      </c>
      <c r="I214" s="57">
        <f>IFERROR(VLOOKUP($A:$A,CS!$A:$AK,15,FALSE),"")</f>
      </c>
      <c r="J214" s="57">
        <f>IFERROR(VLOOKUP($A:$A,CS!$A:$AK,18,FALSE),"")</f>
      </c>
      <c r="K214" s="57">
        <f>IFERROR(VLOOKUP($A:$A,CS!$A:$AK,19,FALSE),"")</f>
      </c>
      <c r="L214" s="57">
        <f>IFERROR(VLOOKUP($A:$A,CS!$A:$AK,20,FALSE),"")</f>
      </c>
      <c r="M214" s="57">
        <f>IFERROR(VLOOKUP($A:$A,CS!$A:$AK,22,FALSE),"")</f>
      </c>
      <c r="N214" s="57">
        <f>IFERROR(VLOOKUP($A:$A,CS!$A:$AK,19,FALSE),"")</f>
      </c>
      <c r="O214" s="57">
        <f>IFERROR(VLOOKUP($A:$A,CS!$A:$AK,23,FALSE),"")</f>
      </c>
      <c r="P214" s="57">
        <f>IFERROR(VLOOKUP($A:$A,CS!$A:$AK,24,FALSE),"")</f>
      </c>
      <c r="Q214" s="57">
        <f>IFERROR(VLOOKUP($A:$A,CS!$A:$AK,25,FALSE),"")</f>
      </c>
      <c r="R214" s="57">
        <f>IFERROR(VLOOKUP($A:$A,CS!$A:$AK,26,FALSE),"")</f>
      </c>
      <c r="S214" s="57">
        <f>IFERROR(VLOOKUP($A:$A,CS!$A:$AK,29,FALSE),"")</f>
      </c>
      <c r="T214" s="57">
        <f>IFERROR(VLOOKUP($A:$A,CS!$A:$AK,33,FALSE),"")</f>
      </c>
      <c r="U214" s="57">
        <f>IFERROR(VLOOKUP($A:$A,CS!$A:$AK,34,FALSE),"")</f>
      </c>
      <c r="V214" s="57">
        <f>IFERROR(VLOOKUP($A:$A,CS!$A:$AK,35,FALSE),"")</f>
      </c>
      <c r="W214" s="57">
        <f>IFERROR(VLOOKUP($A:$A,CS!$A:$AK,36,FALSE),"")</f>
      </c>
    </row>
    <row r="215" ht="16.5" customHeight="1" spans="1:23" x14ac:dyDescent="0.25">
      <c r="A215" s="71"/>
      <c r="B215" s="57">
        <f>IFERROR(VLOOKUP($A:$A,CS!$A:$AK,3,FALSE),"")</f>
      </c>
      <c r="C215" s="57">
        <f>IFERROR(VLOOKUP($A:$A,CS!$A:$AK,4,FALSE),"")</f>
      </c>
      <c r="D215" s="57">
        <f>IFERROR(VLOOKUP($A:$A,CS!$A:$AK,5,FALSE),"")</f>
      </c>
      <c r="E215" s="57">
        <f>IFERROR(VLOOKUP($A:$A,CS!$A:$AK,7,FALSE),"")</f>
      </c>
      <c r="F215" s="57">
        <f>IFERROR(VLOOKUP($A:$A,CS!$A:$AK,8,FALSE),"")</f>
      </c>
      <c r="G215" s="57">
        <f>IFERROR(VLOOKUP($A:$A,CS!$A:$AK,10,FALSE),"")</f>
      </c>
      <c r="H215" s="57">
        <f>IFERROR(VLOOKUP($A:$A,CS!$A:$AK,14,FALSE),"")</f>
      </c>
      <c r="I215" s="57">
        <f>IFERROR(VLOOKUP($A:$A,CS!$A:$AK,15,FALSE),"")</f>
      </c>
      <c r="J215" s="57">
        <f>IFERROR(VLOOKUP($A:$A,CS!$A:$AK,18,FALSE),"")</f>
      </c>
      <c r="K215" s="57">
        <f>IFERROR(VLOOKUP($A:$A,CS!$A:$AK,19,FALSE),"")</f>
      </c>
      <c r="L215" s="57">
        <f>IFERROR(VLOOKUP($A:$A,CS!$A:$AK,20,FALSE),"")</f>
      </c>
      <c r="M215" s="57">
        <f>IFERROR(VLOOKUP($A:$A,CS!$A:$AK,22,FALSE),"")</f>
      </c>
      <c r="N215" s="57">
        <f>IFERROR(VLOOKUP($A:$A,CS!$A:$AK,19,FALSE),"")</f>
      </c>
      <c r="O215" s="57">
        <f>IFERROR(VLOOKUP($A:$A,CS!$A:$AK,23,FALSE),"")</f>
      </c>
      <c r="P215" s="57">
        <f>IFERROR(VLOOKUP($A:$A,CS!$A:$AK,24,FALSE),"")</f>
      </c>
      <c r="Q215" s="57">
        <f>IFERROR(VLOOKUP($A:$A,CS!$A:$AK,25,FALSE),"")</f>
      </c>
      <c r="R215" s="57">
        <f>IFERROR(VLOOKUP($A:$A,CS!$A:$AK,26,FALSE),"")</f>
      </c>
      <c r="S215" s="57">
        <f>IFERROR(VLOOKUP($A:$A,CS!$A:$AK,29,FALSE),"")</f>
      </c>
      <c r="T215" s="57">
        <f>IFERROR(VLOOKUP($A:$A,CS!$A:$AK,33,FALSE),"")</f>
      </c>
      <c r="U215" s="57">
        <f>IFERROR(VLOOKUP($A:$A,CS!$A:$AK,34,FALSE),"")</f>
      </c>
      <c r="V215" s="57">
        <f>IFERROR(VLOOKUP($A:$A,CS!$A:$AK,35,FALSE),"")</f>
      </c>
      <c r="W215" s="57">
        <f>IFERROR(VLOOKUP($A:$A,CS!$A:$AK,36,FALSE),"")</f>
      </c>
    </row>
    <row r="216" ht="16.5" customHeight="1" spans="1:23" x14ac:dyDescent="0.25">
      <c r="A216" s="71"/>
      <c r="B216" s="57">
        <f>IFERROR(VLOOKUP($A:$A,CS!$A:$AK,3,FALSE),"")</f>
      </c>
      <c r="C216" s="57">
        <f>IFERROR(VLOOKUP($A:$A,CS!$A:$AK,4,FALSE),"")</f>
      </c>
      <c r="D216" s="57">
        <f>IFERROR(VLOOKUP($A:$A,CS!$A:$AK,5,FALSE),"")</f>
      </c>
      <c r="E216" s="57">
        <f>IFERROR(VLOOKUP($A:$A,CS!$A:$AK,7,FALSE),"")</f>
      </c>
      <c r="F216" s="57">
        <f>IFERROR(VLOOKUP($A:$A,CS!$A:$AK,8,FALSE),"")</f>
      </c>
      <c r="G216" s="57">
        <f>IFERROR(VLOOKUP($A:$A,CS!$A:$AK,10,FALSE),"")</f>
      </c>
      <c r="H216" s="57">
        <f>IFERROR(VLOOKUP($A:$A,CS!$A:$AK,14,FALSE),"")</f>
      </c>
      <c r="I216" s="57">
        <f>IFERROR(VLOOKUP($A:$A,CS!$A:$AK,15,FALSE),"")</f>
      </c>
      <c r="J216" s="57">
        <f>IFERROR(VLOOKUP($A:$A,CS!$A:$AK,18,FALSE),"")</f>
      </c>
      <c r="K216" s="57">
        <f>IFERROR(VLOOKUP($A:$A,CS!$A:$AK,19,FALSE),"")</f>
      </c>
      <c r="L216" s="57">
        <f>IFERROR(VLOOKUP($A:$A,CS!$A:$AK,20,FALSE),"")</f>
      </c>
      <c r="M216" s="57">
        <f>IFERROR(VLOOKUP($A:$A,CS!$A:$AK,22,FALSE),"")</f>
      </c>
      <c r="N216" s="57">
        <f>IFERROR(VLOOKUP($A:$A,CS!$A:$AK,19,FALSE),"")</f>
      </c>
      <c r="O216" s="57">
        <f>IFERROR(VLOOKUP($A:$A,CS!$A:$AK,23,FALSE),"")</f>
      </c>
      <c r="P216" s="57">
        <f>IFERROR(VLOOKUP($A:$A,CS!$A:$AK,24,FALSE),"")</f>
      </c>
      <c r="Q216" s="57">
        <f>IFERROR(VLOOKUP($A:$A,CS!$A:$AK,25,FALSE),"")</f>
      </c>
      <c r="R216" s="57">
        <f>IFERROR(VLOOKUP($A:$A,CS!$A:$AK,26,FALSE),"")</f>
      </c>
      <c r="S216" s="57">
        <f>IFERROR(VLOOKUP($A:$A,CS!$A:$AK,29,FALSE),"")</f>
      </c>
      <c r="T216" s="57">
        <f>IFERROR(VLOOKUP($A:$A,CS!$A:$AK,33,FALSE),"")</f>
      </c>
      <c r="U216" s="57">
        <f>IFERROR(VLOOKUP($A:$A,CS!$A:$AK,34,FALSE),"")</f>
      </c>
      <c r="V216" s="57">
        <f>IFERROR(VLOOKUP($A:$A,CS!$A:$AK,35,FALSE),"")</f>
      </c>
      <c r="W216" s="57">
        <f>IFERROR(VLOOKUP($A:$A,CS!$A:$AK,36,FALSE),"")</f>
      </c>
    </row>
    <row r="217" ht="16.5" customHeight="1" spans="1:23" x14ac:dyDescent="0.25">
      <c r="A217" s="71"/>
      <c r="B217" s="57">
        <f>IFERROR(VLOOKUP($A:$A,CS!$A:$AK,3,FALSE),"")</f>
      </c>
      <c r="C217" s="57">
        <f>IFERROR(VLOOKUP($A:$A,CS!$A:$AK,4,FALSE),"")</f>
      </c>
      <c r="D217" s="57">
        <f>IFERROR(VLOOKUP($A:$A,CS!$A:$AK,5,FALSE),"")</f>
      </c>
      <c r="E217" s="57">
        <f>IFERROR(VLOOKUP($A:$A,CS!$A:$AK,7,FALSE),"")</f>
      </c>
      <c r="F217" s="57">
        <f>IFERROR(VLOOKUP($A:$A,CS!$A:$AK,8,FALSE),"")</f>
      </c>
      <c r="G217" s="57">
        <f>IFERROR(VLOOKUP($A:$A,CS!$A:$AK,10,FALSE),"")</f>
      </c>
      <c r="H217" s="57">
        <f>IFERROR(VLOOKUP($A:$A,CS!$A:$AK,14,FALSE),"")</f>
      </c>
      <c r="I217" s="57">
        <f>IFERROR(VLOOKUP($A:$A,CS!$A:$AK,15,FALSE),"")</f>
      </c>
      <c r="J217" s="57">
        <f>IFERROR(VLOOKUP($A:$A,CS!$A:$AK,18,FALSE),"")</f>
      </c>
      <c r="K217" s="57">
        <f>IFERROR(VLOOKUP($A:$A,CS!$A:$AK,19,FALSE),"")</f>
      </c>
      <c r="L217" s="57">
        <f>IFERROR(VLOOKUP($A:$A,CS!$A:$AK,20,FALSE),"")</f>
      </c>
      <c r="M217" s="57">
        <f>IFERROR(VLOOKUP($A:$A,CS!$A:$AK,22,FALSE),"")</f>
      </c>
      <c r="N217" s="57">
        <f>IFERROR(VLOOKUP($A:$A,CS!$A:$AK,19,FALSE),"")</f>
      </c>
      <c r="O217" s="57">
        <f>IFERROR(VLOOKUP($A:$A,CS!$A:$AK,23,FALSE),"")</f>
      </c>
      <c r="P217" s="57">
        <f>IFERROR(VLOOKUP($A:$A,CS!$A:$AK,24,FALSE),"")</f>
      </c>
      <c r="Q217" s="57">
        <f>IFERROR(VLOOKUP($A:$A,CS!$A:$AK,25,FALSE),"")</f>
      </c>
      <c r="R217" s="57">
        <f>IFERROR(VLOOKUP($A:$A,CS!$A:$AK,26,FALSE),"")</f>
      </c>
      <c r="S217" s="57">
        <f>IFERROR(VLOOKUP($A:$A,CS!$A:$AK,29,FALSE),"")</f>
      </c>
      <c r="T217" s="57">
        <f>IFERROR(VLOOKUP($A:$A,CS!$A:$AK,33,FALSE),"")</f>
      </c>
      <c r="U217" s="57">
        <f>IFERROR(VLOOKUP($A:$A,CS!$A:$AK,34,FALSE),"")</f>
      </c>
      <c r="V217" s="57">
        <f>IFERROR(VLOOKUP($A:$A,CS!$A:$AK,35,FALSE),"")</f>
      </c>
      <c r="W217" s="57">
        <f>IFERROR(VLOOKUP($A:$A,CS!$A:$AK,36,FALSE),"")</f>
      </c>
    </row>
    <row r="218" ht="16.5" customHeight="1" spans="1:23" x14ac:dyDescent="0.25">
      <c r="A218" s="71"/>
      <c r="B218" s="57">
        <f>IFERROR(VLOOKUP($A:$A,CS!$A:$AK,3,FALSE),"")</f>
      </c>
      <c r="C218" s="57">
        <f>IFERROR(VLOOKUP($A:$A,CS!$A:$AK,4,FALSE),"")</f>
      </c>
      <c r="D218" s="57">
        <f>IFERROR(VLOOKUP($A:$A,CS!$A:$AK,5,FALSE),"")</f>
      </c>
      <c r="E218" s="57">
        <f>IFERROR(VLOOKUP($A:$A,CS!$A:$AK,7,FALSE),"")</f>
      </c>
      <c r="F218" s="57">
        <f>IFERROR(VLOOKUP($A:$A,CS!$A:$AK,8,FALSE),"")</f>
      </c>
      <c r="G218" s="57">
        <f>IFERROR(VLOOKUP($A:$A,CS!$A:$AK,10,FALSE),"")</f>
      </c>
      <c r="H218" s="57">
        <f>IFERROR(VLOOKUP($A:$A,CS!$A:$AK,14,FALSE),"")</f>
      </c>
      <c r="I218" s="57">
        <f>IFERROR(VLOOKUP($A:$A,CS!$A:$AK,15,FALSE),"")</f>
      </c>
      <c r="J218" s="57">
        <f>IFERROR(VLOOKUP($A:$A,CS!$A:$AK,18,FALSE),"")</f>
      </c>
      <c r="K218" s="57">
        <f>IFERROR(VLOOKUP($A:$A,CS!$A:$AK,19,FALSE),"")</f>
      </c>
      <c r="L218" s="57">
        <f>IFERROR(VLOOKUP($A:$A,CS!$A:$AK,20,FALSE),"")</f>
      </c>
      <c r="M218" s="57">
        <f>IFERROR(VLOOKUP($A:$A,CS!$A:$AK,22,FALSE),"")</f>
      </c>
      <c r="N218" s="57">
        <f>IFERROR(VLOOKUP($A:$A,CS!$A:$AK,19,FALSE),"")</f>
      </c>
      <c r="O218" s="57">
        <f>IFERROR(VLOOKUP($A:$A,CS!$A:$AK,23,FALSE),"")</f>
      </c>
      <c r="P218" s="57">
        <f>IFERROR(VLOOKUP($A:$A,CS!$A:$AK,24,FALSE),"")</f>
      </c>
      <c r="Q218" s="57">
        <f>IFERROR(VLOOKUP($A:$A,CS!$A:$AK,25,FALSE),"")</f>
      </c>
      <c r="R218" s="57">
        <f>IFERROR(VLOOKUP($A:$A,CS!$A:$AK,26,FALSE),"")</f>
      </c>
      <c r="S218" s="57">
        <f>IFERROR(VLOOKUP($A:$A,CS!$A:$AK,29,FALSE),"")</f>
      </c>
      <c r="T218" s="57">
        <f>IFERROR(VLOOKUP($A:$A,CS!$A:$AK,33,FALSE),"")</f>
      </c>
      <c r="U218" s="57">
        <f>IFERROR(VLOOKUP($A:$A,CS!$A:$AK,34,FALSE),"")</f>
      </c>
      <c r="V218" s="57">
        <f>IFERROR(VLOOKUP($A:$A,CS!$A:$AK,35,FALSE),"")</f>
      </c>
      <c r="W218" s="57">
        <f>IFERROR(VLOOKUP($A:$A,CS!$A:$AK,36,FALSE),"")</f>
      </c>
    </row>
    <row r="219" ht="16.5" customHeight="1" spans="1:23" x14ac:dyDescent="0.25">
      <c r="A219" s="71"/>
      <c r="B219" s="57">
        <f>IFERROR(VLOOKUP($A:$A,CS!$A:$AK,3,FALSE),"")</f>
      </c>
      <c r="C219" s="57">
        <f>IFERROR(VLOOKUP($A:$A,CS!$A:$AK,4,FALSE),"")</f>
      </c>
      <c r="D219" s="57">
        <f>IFERROR(VLOOKUP($A:$A,CS!$A:$AK,5,FALSE),"")</f>
      </c>
      <c r="E219" s="57">
        <f>IFERROR(VLOOKUP($A:$A,CS!$A:$AK,7,FALSE),"")</f>
      </c>
      <c r="F219" s="57">
        <f>IFERROR(VLOOKUP($A:$A,CS!$A:$AK,8,FALSE),"")</f>
      </c>
      <c r="G219" s="57">
        <f>IFERROR(VLOOKUP($A:$A,CS!$A:$AK,10,FALSE),"")</f>
      </c>
      <c r="H219" s="57">
        <f>IFERROR(VLOOKUP($A:$A,CS!$A:$AK,14,FALSE),"")</f>
      </c>
      <c r="I219" s="57">
        <f>IFERROR(VLOOKUP($A:$A,CS!$A:$AK,15,FALSE),"")</f>
      </c>
      <c r="J219" s="57">
        <f>IFERROR(VLOOKUP($A:$A,CS!$A:$AK,18,FALSE),"")</f>
      </c>
      <c r="K219" s="57">
        <f>IFERROR(VLOOKUP($A:$A,CS!$A:$AK,19,FALSE),"")</f>
      </c>
      <c r="L219" s="57">
        <f>IFERROR(VLOOKUP($A:$A,CS!$A:$AK,20,FALSE),"")</f>
      </c>
      <c r="M219" s="57">
        <f>IFERROR(VLOOKUP($A:$A,CS!$A:$AK,22,FALSE),"")</f>
      </c>
      <c r="N219" s="57">
        <f>IFERROR(VLOOKUP($A:$A,CS!$A:$AK,19,FALSE),"")</f>
      </c>
      <c r="O219" s="57">
        <f>IFERROR(VLOOKUP($A:$A,CS!$A:$AK,23,FALSE),"")</f>
      </c>
      <c r="P219" s="57">
        <f>IFERROR(VLOOKUP($A:$A,CS!$A:$AK,24,FALSE),"")</f>
      </c>
      <c r="Q219" s="57">
        <f>IFERROR(VLOOKUP($A:$A,CS!$A:$AK,25,FALSE),"")</f>
      </c>
      <c r="R219" s="57">
        <f>IFERROR(VLOOKUP($A:$A,CS!$A:$AK,26,FALSE),"")</f>
      </c>
      <c r="S219" s="57">
        <f>IFERROR(VLOOKUP($A:$A,CS!$A:$AK,29,FALSE),"")</f>
      </c>
      <c r="T219" s="57">
        <f>IFERROR(VLOOKUP($A:$A,CS!$A:$AK,33,FALSE),"")</f>
      </c>
      <c r="U219" s="57">
        <f>IFERROR(VLOOKUP($A:$A,CS!$A:$AK,34,FALSE),"")</f>
      </c>
      <c r="V219" s="57">
        <f>IFERROR(VLOOKUP($A:$A,CS!$A:$AK,35,FALSE),"")</f>
      </c>
      <c r="W219" s="57">
        <f>IFERROR(VLOOKUP($A:$A,CS!$A:$AK,36,FALSE),"")</f>
      </c>
    </row>
    <row r="220" ht="16.5" customHeight="1" spans="1:23" x14ac:dyDescent="0.25">
      <c r="A220" s="71"/>
      <c r="B220" s="57">
        <f>IFERROR(VLOOKUP($A:$A,CS!$A:$AK,3,FALSE),"")</f>
      </c>
      <c r="C220" s="57">
        <f>IFERROR(VLOOKUP($A:$A,CS!$A:$AK,4,FALSE),"")</f>
      </c>
      <c r="D220" s="57">
        <f>IFERROR(VLOOKUP($A:$A,CS!$A:$AK,5,FALSE),"")</f>
      </c>
      <c r="E220" s="57">
        <f>IFERROR(VLOOKUP($A:$A,CS!$A:$AK,7,FALSE),"")</f>
      </c>
      <c r="F220" s="57">
        <f>IFERROR(VLOOKUP($A:$A,CS!$A:$AK,8,FALSE),"")</f>
      </c>
      <c r="G220" s="57">
        <f>IFERROR(VLOOKUP($A:$A,CS!$A:$AK,10,FALSE),"")</f>
      </c>
      <c r="H220" s="57">
        <f>IFERROR(VLOOKUP($A:$A,CS!$A:$AK,14,FALSE),"")</f>
      </c>
      <c r="I220" s="57">
        <f>IFERROR(VLOOKUP($A:$A,CS!$A:$AK,15,FALSE),"")</f>
      </c>
      <c r="J220" s="57">
        <f>IFERROR(VLOOKUP($A:$A,CS!$A:$AK,18,FALSE),"")</f>
      </c>
      <c r="K220" s="57">
        <f>IFERROR(VLOOKUP($A:$A,CS!$A:$AK,19,FALSE),"")</f>
      </c>
      <c r="L220" s="57">
        <f>IFERROR(VLOOKUP($A:$A,CS!$A:$AK,20,FALSE),"")</f>
      </c>
      <c r="M220" s="57">
        <f>IFERROR(VLOOKUP($A:$A,CS!$A:$AK,22,FALSE),"")</f>
      </c>
      <c r="N220" s="57">
        <f>IFERROR(VLOOKUP($A:$A,CS!$A:$AK,19,FALSE),"")</f>
      </c>
      <c r="O220" s="57">
        <f>IFERROR(VLOOKUP($A:$A,CS!$A:$AK,23,FALSE),"")</f>
      </c>
      <c r="P220" s="57">
        <f>IFERROR(VLOOKUP($A:$A,CS!$A:$AK,24,FALSE),"")</f>
      </c>
      <c r="Q220" s="57">
        <f>IFERROR(VLOOKUP($A:$A,CS!$A:$AK,25,FALSE),"")</f>
      </c>
      <c r="R220" s="57">
        <f>IFERROR(VLOOKUP($A:$A,CS!$A:$AK,26,FALSE),"")</f>
      </c>
      <c r="S220" s="57">
        <f>IFERROR(VLOOKUP($A:$A,CS!$A:$AK,29,FALSE),"")</f>
      </c>
      <c r="T220" s="57">
        <f>IFERROR(VLOOKUP($A:$A,CS!$A:$AK,33,FALSE),"")</f>
      </c>
      <c r="U220" s="57">
        <f>IFERROR(VLOOKUP($A:$A,CS!$A:$AK,34,FALSE),"")</f>
      </c>
      <c r="V220" s="57">
        <f>IFERROR(VLOOKUP($A:$A,CS!$A:$AK,35,FALSE),"")</f>
      </c>
      <c r="W220" s="57">
        <f>IFERROR(VLOOKUP($A:$A,CS!$A:$AK,36,FALSE),"")</f>
      </c>
    </row>
    <row r="221" ht="16.5" customHeight="1" spans="1:23" x14ac:dyDescent="0.25">
      <c r="A221" s="71"/>
      <c r="B221" s="57">
        <f>IFERROR(VLOOKUP($A:$A,CS!$A:$AK,3,FALSE),"")</f>
      </c>
      <c r="C221" s="57">
        <f>IFERROR(VLOOKUP($A:$A,CS!$A:$AK,4,FALSE),"")</f>
      </c>
      <c r="D221" s="57">
        <f>IFERROR(VLOOKUP($A:$A,CS!$A:$AK,5,FALSE),"")</f>
      </c>
      <c r="E221" s="57">
        <f>IFERROR(VLOOKUP($A:$A,CS!$A:$AK,7,FALSE),"")</f>
      </c>
      <c r="F221" s="57">
        <f>IFERROR(VLOOKUP($A:$A,CS!$A:$AK,8,FALSE),"")</f>
      </c>
      <c r="G221" s="57">
        <f>IFERROR(VLOOKUP($A:$A,CS!$A:$AK,10,FALSE),"")</f>
      </c>
      <c r="H221" s="57">
        <f>IFERROR(VLOOKUP($A:$A,CS!$A:$AK,14,FALSE),"")</f>
      </c>
      <c r="I221" s="57">
        <f>IFERROR(VLOOKUP($A:$A,CS!$A:$AK,15,FALSE),"")</f>
      </c>
      <c r="J221" s="57">
        <f>IFERROR(VLOOKUP($A:$A,CS!$A:$AK,18,FALSE),"")</f>
      </c>
      <c r="K221" s="57">
        <f>IFERROR(VLOOKUP($A:$A,CS!$A:$AK,19,FALSE),"")</f>
      </c>
      <c r="L221" s="57">
        <f>IFERROR(VLOOKUP($A:$A,CS!$A:$AK,20,FALSE),"")</f>
      </c>
      <c r="M221" s="57">
        <f>IFERROR(VLOOKUP($A:$A,CS!$A:$AK,22,FALSE),"")</f>
      </c>
      <c r="N221" s="57">
        <f>IFERROR(VLOOKUP($A:$A,CS!$A:$AK,19,FALSE),"")</f>
      </c>
      <c r="O221" s="57">
        <f>IFERROR(VLOOKUP($A:$A,CS!$A:$AK,23,FALSE),"")</f>
      </c>
      <c r="P221" s="57">
        <f>IFERROR(VLOOKUP($A:$A,CS!$A:$AK,24,FALSE),"")</f>
      </c>
      <c r="Q221" s="57">
        <f>IFERROR(VLOOKUP($A:$A,CS!$A:$AK,25,FALSE),"")</f>
      </c>
      <c r="R221" s="57">
        <f>IFERROR(VLOOKUP($A:$A,CS!$A:$AK,26,FALSE),"")</f>
      </c>
      <c r="S221" s="57">
        <f>IFERROR(VLOOKUP($A:$A,CS!$A:$AK,29,FALSE),"")</f>
      </c>
      <c r="T221" s="57">
        <f>IFERROR(VLOOKUP($A:$A,CS!$A:$AK,33,FALSE),"")</f>
      </c>
      <c r="U221" s="57">
        <f>IFERROR(VLOOKUP($A:$A,CS!$A:$AK,34,FALSE),"")</f>
      </c>
      <c r="V221" s="57">
        <f>IFERROR(VLOOKUP($A:$A,CS!$A:$AK,35,FALSE),"")</f>
      </c>
      <c r="W221" s="57">
        <f>IFERROR(VLOOKUP($A:$A,CS!$A:$AK,36,FALSE),"")</f>
      </c>
    </row>
    <row r="222" ht="16.5" customHeight="1" spans="1:23" x14ac:dyDescent="0.25">
      <c r="A222" s="71"/>
      <c r="B222" s="57">
        <f>IFERROR(VLOOKUP($A:$A,CS!$A:$AK,3,FALSE),"")</f>
      </c>
      <c r="C222" s="57">
        <f>IFERROR(VLOOKUP($A:$A,CS!$A:$AK,4,FALSE),"")</f>
      </c>
      <c r="D222" s="57">
        <f>IFERROR(VLOOKUP($A:$A,CS!$A:$AK,5,FALSE),"")</f>
      </c>
      <c r="E222" s="57">
        <f>IFERROR(VLOOKUP($A:$A,CS!$A:$AK,7,FALSE),"")</f>
      </c>
      <c r="F222" s="57">
        <f>IFERROR(VLOOKUP($A:$A,CS!$A:$AK,8,FALSE),"")</f>
      </c>
      <c r="G222" s="57">
        <f>IFERROR(VLOOKUP($A:$A,CS!$A:$AK,10,FALSE),"")</f>
      </c>
      <c r="H222" s="57">
        <f>IFERROR(VLOOKUP($A:$A,CS!$A:$AK,14,FALSE),"")</f>
      </c>
      <c r="I222" s="57">
        <f>IFERROR(VLOOKUP($A:$A,CS!$A:$AK,15,FALSE),"")</f>
      </c>
      <c r="J222" s="57">
        <f>IFERROR(VLOOKUP($A:$A,CS!$A:$AK,18,FALSE),"")</f>
      </c>
      <c r="K222" s="57">
        <f>IFERROR(VLOOKUP($A:$A,CS!$A:$AK,19,FALSE),"")</f>
      </c>
      <c r="L222" s="57">
        <f>IFERROR(VLOOKUP($A:$A,CS!$A:$AK,20,FALSE),"")</f>
      </c>
      <c r="M222" s="57">
        <f>IFERROR(VLOOKUP($A:$A,CS!$A:$AK,22,FALSE),"")</f>
      </c>
      <c r="N222" s="57">
        <f>IFERROR(VLOOKUP($A:$A,CS!$A:$AK,19,FALSE),"")</f>
      </c>
      <c r="O222" s="57">
        <f>IFERROR(VLOOKUP($A:$A,CS!$A:$AK,23,FALSE),"")</f>
      </c>
      <c r="P222" s="57">
        <f>IFERROR(VLOOKUP($A:$A,CS!$A:$AK,24,FALSE),"")</f>
      </c>
      <c r="Q222" s="57">
        <f>IFERROR(VLOOKUP($A:$A,CS!$A:$AK,25,FALSE),"")</f>
      </c>
      <c r="R222" s="57">
        <f>IFERROR(VLOOKUP($A:$A,CS!$A:$AK,26,FALSE),"")</f>
      </c>
      <c r="S222" s="57">
        <f>IFERROR(VLOOKUP($A:$A,CS!$A:$AK,29,FALSE),"")</f>
      </c>
      <c r="T222" s="57">
        <f>IFERROR(VLOOKUP($A:$A,CS!$A:$AK,33,FALSE),"")</f>
      </c>
      <c r="U222" s="57">
        <f>IFERROR(VLOOKUP($A:$A,CS!$A:$AK,34,FALSE),"")</f>
      </c>
      <c r="V222" s="57">
        <f>IFERROR(VLOOKUP($A:$A,CS!$A:$AK,35,FALSE),"")</f>
      </c>
      <c r="W222" s="57">
        <f>IFERROR(VLOOKUP($A:$A,CS!$A:$AK,36,FALSE),"")</f>
      </c>
    </row>
    <row r="223" ht="16.5" customHeight="1" spans="1:23" x14ac:dyDescent="0.25">
      <c r="A223" s="71"/>
      <c r="B223" s="57">
        <f>IFERROR(VLOOKUP($A:$A,CS!$A:$AK,3,FALSE),"")</f>
      </c>
      <c r="C223" s="57">
        <f>IFERROR(VLOOKUP($A:$A,CS!$A:$AK,4,FALSE),"")</f>
      </c>
      <c r="D223" s="57">
        <f>IFERROR(VLOOKUP($A:$A,CS!$A:$AK,5,FALSE),"")</f>
      </c>
      <c r="E223" s="57">
        <f>IFERROR(VLOOKUP($A:$A,CS!$A:$AK,7,FALSE),"")</f>
      </c>
      <c r="F223" s="57">
        <f>IFERROR(VLOOKUP($A:$A,CS!$A:$AK,8,FALSE),"")</f>
      </c>
      <c r="G223" s="57">
        <f>IFERROR(VLOOKUP($A:$A,CS!$A:$AK,10,FALSE),"")</f>
      </c>
      <c r="H223" s="57">
        <f>IFERROR(VLOOKUP($A:$A,CS!$A:$AK,14,FALSE),"")</f>
      </c>
      <c r="I223" s="57">
        <f>IFERROR(VLOOKUP($A:$A,CS!$A:$AK,15,FALSE),"")</f>
      </c>
      <c r="J223" s="57">
        <f>IFERROR(VLOOKUP($A:$A,CS!$A:$AK,18,FALSE),"")</f>
      </c>
      <c r="K223" s="57">
        <f>IFERROR(VLOOKUP($A:$A,CS!$A:$AK,19,FALSE),"")</f>
      </c>
      <c r="L223" s="57">
        <f>IFERROR(VLOOKUP($A:$A,CS!$A:$AK,20,FALSE),"")</f>
      </c>
      <c r="M223" s="57">
        <f>IFERROR(VLOOKUP($A:$A,CS!$A:$AK,22,FALSE),"")</f>
      </c>
      <c r="N223" s="57">
        <f>IFERROR(VLOOKUP($A:$A,CS!$A:$AK,19,FALSE),"")</f>
      </c>
      <c r="O223" s="57">
        <f>IFERROR(VLOOKUP($A:$A,CS!$A:$AK,23,FALSE),"")</f>
      </c>
      <c r="P223" s="57">
        <f>IFERROR(VLOOKUP($A:$A,CS!$A:$AK,24,FALSE),"")</f>
      </c>
      <c r="Q223" s="57">
        <f>IFERROR(VLOOKUP($A:$A,CS!$A:$AK,25,FALSE),"")</f>
      </c>
      <c r="R223" s="57">
        <f>IFERROR(VLOOKUP($A:$A,CS!$A:$AK,26,FALSE),"")</f>
      </c>
      <c r="S223" s="57">
        <f>IFERROR(VLOOKUP($A:$A,CS!$A:$AK,29,FALSE),"")</f>
      </c>
      <c r="T223" s="57">
        <f>IFERROR(VLOOKUP($A:$A,CS!$A:$AK,33,FALSE),"")</f>
      </c>
      <c r="U223" s="57">
        <f>IFERROR(VLOOKUP($A:$A,CS!$A:$AK,34,FALSE),"")</f>
      </c>
      <c r="V223" s="57">
        <f>IFERROR(VLOOKUP($A:$A,CS!$A:$AK,35,FALSE),"")</f>
      </c>
      <c r="W223" s="57">
        <f>IFERROR(VLOOKUP($A:$A,CS!$A:$AK,36,FALSE),"")</f>
      </c>
    </row>
    <row r="224" ht="16.5" customHeight="1" spans="1:23" x14ac:dyDescent="0.25">
      <c r="A224" s="71"/>
      <c r="B224" s="57">
        <f>IFERROR(VLOOKUP($A:$A,CS!$A:$AK,3,FALSE),"")</f>
      </c>
      <c r="C224" s="57">
        <f>IFERROR(VLOOKUP($A:$A,CS!$A:$AK,4,FALSE),"")</f>
      </c>
      <c r="D224" s="57">
        <f>IFERROR(VLOOKUP($A:$A,CS!$A:$AK,5,FALSE),"")</f>
      </c>
      <c r="E224" s="57">
        <f>IFERROR(VLOOKUP($A:$A,CS!$A:$AK,7,FALSE),"")</f>
      </c>
      <c r="F224" s="57">
        <f>IFERROR(VLOOKUP($A:$A,CS!$A:$AK,8,FALSE),"")</f>
      </c>
      <c r="G224" s="57">
        <f>IFERROR(VLOOKUP($A:$A,CS!$A:$AK,10,FALSE),"")</f>
      </c>
      <c r="H224" s="57">
        <f>IFERROR(VLOOKUP($A:$A,CS!$A:$AK,14,FALSE),"")</f>
      </c>
      <c r="I224" s="57">
        <f>IFERROR(VLOOKUP($A:$A,CS!$A:$AK,15,FALSE),"")</f>
      </c>
      <c r="J224" s="57">
        <f>IFERROR(VLOOKUP($A:$A,CS!$A:$AK,18,FALSE),"")</f>
      </c>
      <c r="K224" s="57">
        <f>IFERROR(VLOOKUP($A:$A,CS!$A:$AK,19,FALSE),"")</f>
      </c>
      <c r="L224" s="57">
        <f>IFERROR(VLOOKUP($A:$A,CS!$A:$AK,20,FALSE),"")</f>
      </c>
      <c r="M224" s="57">
        <f>IFERROR(VLOOKUP($A:$A,CS!$A:$AK,22,FALSE),"")</f>
      </c>
      <c r="N224" s="57">
        <f>IFERROR(VLOOKUP($A:$A,CS!$A:$AK,19,FALSE),"")</f>
      </c>
      <c r="O224" s="57">
        <f>IFERROR(VLOOKUP($A:$A,CS!$A:$AK,23,FALSE),"")</f>
      </c>
      <c r="P224" s="57">
        <f>IFERROR(VLOOKUP($A:$A,CS!$A:$AK,24,FALSE),"")</f>
      </c>
      <c r="Q224" s="57">
        <f>IFERROR(VLOOKUP($A:$A,CS!$A:$AK,25,FALSE),"")</f>
      </c>
      <c r="R224" s="57">
        <f>IFERROR(VLOOKUP($A:$A,CS!$A:$AK,26,FALSE),"")</f>
      </c>
      <c r="S224" s="57">
        <f>IFERROR(VLOOKUP($A:$A,CS!$A:$AK,29,FALSE),"")</f>
      </c>
      <c r="T224" s="57">
        <f>IFERROR(VLOOKUP($A:$A,CS!$A:$AK,33,FALSE),"")</f>
      </c>
      <c r="U224" s="57">
        <f>IFERROR(VLOOKUP($A:$A,CS!$A:$AK,34,FALSE),"")</f>
      </c>
      <c r="V224" s="57">
        <f>IFERROR(VLOOKUP($A:$A,CS!$A:$AK,35,FALSE),"")</f>
      </c>
      <c r="W224" s="57">
        <f>IFERROR(VLOOKUP($A:$A,CS!$A:$AK,36,FALSE),"")</f>
      </c>
    </row>
    <row r="225" ht="16.5" customHeight="1" spans="1:23" x14ac:dyDescent="0.25">
      <c r="A225" s="71"/>
      <c r="B225" s="57">
        <f>IFERROR(VLOOKUP($A:$A,CS!$A:$AK,3,FALSE),"")</f>
      </c>
      <c r="C225" s="57">
        <f>IFERROR(VLOOKUP($A:$A,CS!$A:$AK,4,FALSE),"")</f>
      </c>
      <c r="D225" s="57">
        <f>IFERROR(VLOOKUP($A:$A,CS!$A:$AK,5,FALSE),"")</f>
      </c>
      <c r="E225" s="57">
        <f>IFERROR(VLOOKUP($A:$A,CS!$A:$AK,7,FALSE),"")</f>
      </c>
      <c r="F225" s="57">
        <f>IFERROR(VLOOKUP($A:$A,CS!$A:$AK,8,FALSE),"")</f>
      </c>
      <c r="G225" s="57">
        <f>IFERROR(VLOOKUP($A:$A,CS!$A:$AK,10,FALSE),"")</f>
      </c>
      <c r="H225" s="57">
        <f>IFERROR(VLOOKUP($A:$A,CS!$A:$AK,14,FALSE),"")</f>
      </c>
      <c r="I225" s="57">
        <f>IFERROR(VLOOKUP($A:$A,CS!$A:$AK,15,FALSE),"")</f>
      </c>
      <c r="J225" s="57">
        <f>IFERROR(VLOOKUP($A:$A,CS!$A:$AK,18,FALSE),"")</f>
      </c>
      <c r="K225" s="57">
        <f>IFERROR(VLOOKUP($A:$A,CS!$A:$AK,19,FALSE),"")</f>
      </c>
      <c r="L225" s="57">
        <f>IFERROR(VLOOKUP($A:$A,CS!$A:$AK,20,FALSE),"")</f>
      </c>
      <c r="M225" s="57">
        <f>IFERROR(VLOOKUP($A:$A,CS!$A:$AK,22,FALSE),"")</f>
      </c>
      <c r="N225" s="57">
        <f>IFERROR(VLOOKUP($A:$A,CS!$A:$AK,19,FALSE),"")</f>
      </c>
      <c r="O225" s="57">
        <f>IFERROR(VLOOKUP($A:$A,CS!$A:$AK,23,FALSE),"")</f>
      </c>
      <c r="P225" s="57">
        <f>IFERROR(VLOOKUP($A:$A,CS!$A:$AK,24,FALSE),"")</f>
      </c>
      <c r="Q225" s="57">
        <f>IFERROR(VLOOKUP($A:$A,CS!$A:$AK,25,FALSE),"")</f>
      </c>
      <c r="R225" s="57">
        <f>IFERROR(VLOOKUP($A:$A,CS!$A:$AK,26,FALSE),"")</f>
      </c>
      <c r="S225" s="57">
        <f>IFERROR(VLOOKUP($A:$A,CS!$A:$AK,29,FALSE),"")</f>
      </c>
      <c r="T225" s="57">
        <f>IFERROR(VLOOKUP($A:$A,CS!$A:$AK,33,FALSE),"")</f>
      </c>
      <c r="U225" s="57">
        <f>IFERROR(VLOOKUP($A:$A,CS!$A:$AK,34,FALSE),"")</f>
      </c>
      <c r="V225" s="57">
        <f>IFERROR(VLOOKUP($A:$A,CS!$A:$AK,35,FALSE),"")</f>
      </c>
      <c r="W225" s="57">
        <f>IFERROR(VLOOKUP($A:$A,CS!$A:$AK,36,FALSE),"")</f>
      </c>
    </row>
    <row r="226" ht="16.5" customHeight="1" spans="1:23" x14ac:dyDescent="0.25">
      <c r="A226" s="71"/>
      <c r="B226" s="57">
        <f>IFERROR(VLOOKUP($A:$A,CS!$A:$AK,3,FALSE),"")</f>
      </c>
      <c r="C226" s="57">
        <f>IFERROR(VLOOKUP($A:$A,CS!$A:$AK,4,FALSE),"")</f>
      </c>
      <c r="D226" s="57">
        <f>IFERROR(VLOOKUP($A:$A,CS!$A:$AK,5,FALSE),"")</f>
      </c>
      <c r="E226" s="57">
        <f>IFERROR(VLOOKUP($A:$A,CS!$A:$AK,7,FALSE),"")</f>
      </c>
      <c r="F226" s="57">
        <f>IFERROR(VLOOKUP($A:$A,CS!$A:$AK,8,FALSE),"")</f>
      </c>
      <c r="G226" s="57">
        <f>IFERROR(VLOOKUP($A:$A,CS!$A:$AK,10,FALSE),"")</f>
      </c>
      <c r="H226" s="57">
        <f>IFERROR(VLOOKUP($A:$A,CS!$A:$AK,14,FALSE),"")</f>
      </c>
      <c r="I226" s="57">
        <f>IFERROR(VLOOKUP($A:$A,CS!$A:$AK,15,FALSE),"")</f>
      </c>
      <c r="J226" s="57">
        <f>IFERROR(VLOOKUP($A:$A,CS!$A:$AK,18,FALSE),"")</f>
      </c>
      <c r="K226" s="57">
        <f>IFERROR(VLOOKUP($A:$A,CS!$A:$AK,19,FALSE),"")</f>
      </c>
      <c r="L226" s="57">
        <f>IFERROR(VLOOKUP($A:$A,CS!$A:$AK,20,FALSE),"")</f>
      </c>
      <c r="M226" s="57">
        <f>IFERROR(VLOOKUP($A:$A,CS!$A:$AK,22,FALSE),"")</f>
      </c>
      <c r="N226" s="57">
        <f>IFERROR(VLOOKUP($A:$A,CS!$A:$AK,19,FALSE),"")</f>
      </c>
      <c r="O226" s="57">
        <f>IFERROR(VLOOKUP($A:$A,CS!$A:$AK,23,FALSE),"")</f>
      </c>
      <c r="P226" s="57">
        <f>IFERROR(VLOOKUP($A:$A,CS!$A:$AK,24,FALSE),"")</f>
      </c>
      <c r="Q226" s="57">
        <f>IFERROR(VLOOKUP($A:$A,CS!$A:$AK,25,FALSE),"")</f>
      </c>
      <c r="R226" s="57">
        <f>IFERROR(VLOOKUP($A:$A,CS!$A:$AK,26,FALSE),"")</f>
      </c>
      <c r="S226" s="57">
        <f>IFERROR(VLOOKUP($A:$A,CS!$A:$AK,29,FALSE),"")</f>
      </c>
      <c r="T226" s="57">
        <f>IFERROR(VLOOKUP($A:$A,CS!$A:$AK,33,FALSE),"")</f>
      </c>
      <c r="U226" s="57">
        <f>IFERROR(VLOOKUP($A:$A,CS!$A:$AK,34,FALSE),"")</f>
      </c>
      <c r="V226" s="57">
        <f>IFERROR(VLOOKUP($A:$A,CS!$A:$AK,35,FALSE),"")</f>
      </c>
      <c r="W226" s="57">
        <f>IFERROR(VLOOKUP($A:$A,CS!$A:$AK,36,FALSE),"")</f>
      </c>
    </row>
    <row r="227" ht="16.5" customHeight="1" spans="1:23" x14ac:dyDescent="0.25">
      <c r="A227" s="71"/>
      <c r="B227" s="57">
        <f>IFERROR(VLOOKUP($A:$A,CS!$A:$AK,3,FALSE),"")</f>
      </c>
      <c r="C227" s="57">
        <f>IFERROR(VLOOKUP($A:$A,CS!$A:$AK,4,FALSE),"")</f>
      </c>
      <c r="D227" s="57">
        <f>IFERROR(VLOOKUP($A:$A,CS!$A:$AK,5,FALSE),"")</f>
      </c>
      <c r="E227" s="57">
        <f>IFERROR(VLOOKUP($A:$A,CS!$A:$AK,7,FALSE),"")</f>
      </c>
      <c r="F227" s="57">
        <f>IFERROR(VLOOKUP($A:$A,CS!$A:$AK,8,FALSE),"")</f>
      </c>
      <c r="G227" s="57">
        <f>IFERROR(VLOOKUP($A:$A,CS!$A:$AK,10,FALSE),"")</f>
      </c>
      <c r="H227" s="57">
        <f>IFERROR(VLOOKUP($A:$A,CS!$A:$AK,14,FALSE),"")</f>
      </c>
      <c r="I227" s="57">
        <f>IFERROR(VLOOKUP($A:$A,CS!$A:$AK,15,FALSE),"")</f>
      </c>
      <c r="J227" s="57">
        <f>IFERROR(VLOOKUP($A:$A,CS!$A:$AK,18,FALSE),"")</f>
      </c>
      <c r="K227" s="57">
        <f>IFERROR(VLOOKUP($A:$A,CS!$A:$AK,19,FALSE),"")</f>
      </c>
      <c r="L227" s="57">
        <f>IFERROR(VLOOKUP($A:$A,CS!$A:$AK,20,FALSE),"")</f>
      </c>
      <c r="M227" s="57">
        <f>IFERROR(VLOOKUP($A:$A,CS!$A:$AK,22,FALSE),"")</f>
      </c>
      <c r="N227" s="57">
        <f>IFERROR(VLOOKUP($A:$A,CS!$A:$AK,19,FALSE),"")</f>
      </c>
      <c r="O227" s="57">
        <f>IFERROR(VLOOKUP($A:$A,CS!$A:$AK,23,FALSE),"")</f>
      </c>
      <c r="P227" s="57">
        <f>IFERROR(VLOOKUP($A:$A,CS!$A:$AK,24,FALSE),"")</f>
      </c>
      <c r="Q227" s="57">
        <f>IFERROR(VLOOKUP($A:$A,CS!$A:$AK,25,FALSE),"")</f>
      </c>
      <c r="R227" s="57">
        <f>IFERROR(VLOOKUP($A:$A,CS!$A:$AK,26,FALSE),"")</f>
      </c>
      <c r="S227" s="57">
        <f>IFERROR(VLOOKUP($A:$A,CS!$A:$AK,29,FALSE),"")</f>
      </c>
      <c r="T227" s="57">
        <f>IFERROR(VLOOKUP($A:$A,CS!$A:$AK,33,FALSE),"")</f>
      </c>
      <c r="U227" s="57">
        <f>IFERROR(VLOOKUP($A:$A,CS!$A:$AK,34,FALSE),"")</f>
      </c>
      <c r="V227" s="57">
        <f>IFERROR(VLOOKUP($A:$A,CS!$A:$AK,35,FALSE),"")</f>
      </c>
      <c r="W227" s="57">
        <f>IFERROR(VLOOKUP($A:$A,CS!$A:$AK,36,FALSE),"")</f>
      </c>
    </row>
    <row r="228" ht="16.5" customHeight="1" spans="1:23" x14ac:dyDescent="0.25">
      <c r="A228" s="71"/>
      <c r="B228" s="57">
        <f>IFERROR(VLOOKUP($A:$A,CS!$A:$AK,3,FALSE),"")</f>
      </c>
      <c r="C228" s="57">
        <f>IFERROR(VLOOKUP($A:$A,CS!$A:$AK,4,FALSE),"")</f>
      </c>
      <c r="D228" s="57">
        <f>IFERROR(VLOOKUP($A:$A,CS!$A:$AK,5,FALSE),"")</f>
      </c>
      <c r="E228" s="57">
        <f>IFERROR(VLOOKUP($A:$A,CS!$A:$AK,7,FALSE),"")</f>
      </c>
      <c r="F228" s="57">
        <f>IFERROR(VLOOKUP($A:$A,CS!$A:$AK,8,FALSE),"")</f>
      </c>
      <c r="G228" s="57">
        <f>IFERROR(VLOOKUP($A:$A,CS!$A:$AK,10,FALSE),"")</f>
      </c>
      <c r="H228" s="57">
        <f>IFERROR(VLOOKUP($A:$A,CS!$A:$AK,14,FALSE),"")</f>
      </c>
      <c r="I228" s="57">
        <f>IFERROR(VLOOKUP($A:$A,CS!$A:$AK,15,FALSE),"")</f>
      </c>
      <c r="J228" s="57">
        <f>IFERROR(VLOOKUP($A:$A,CS!$A:$AK,18,FALSE),"")</f>
      </c>
      <c r="K228" s="57">
        <f>IFERROR(VLOOKUP($A:$A,CS!$A:$AK,19,FALSE),"")</f>
      </c>
      <c r="L228" s="57">
        <f>IFERROR(VLOOKUP($A:$A,CS!$A:$AK,20,FALSE),"")</f>
      </c>
      <c r="M228" s="57">
        <f>IFERROR(VLOOKUP($A:$A,CS!$A:$AK,22,FALSE),"")</f>
      </c>
      <c r="N228" s="57">
        <f>IFERROR(VLOOKUP($A:$A,CS!$A:$AK,19,FALSE),"")</f>
      </c>
      <c r="O228" s="57">
        <f>IFERROR(VLOOKUP($A:$A,CS!$A:$AK,23,FALSE),"")</f>
      </c>
      <c r="P228" s="57">
        <f>IFERROR(VLOOKUP($A:$A,CS!$A:$AK,24,FALSE),"")</f>
      </c>
      <c r="Q228" s="57">
        <f>IFERROR(VLOOKUP($A:$A,CS!$A:$AK,25,FALSE),"")</f>
      </c>
      <c r="R228" s="57">
        <f>IFERROR(VLOOKUP($A:$A,CS!$A:$AK,26,FALSE),"")</f>
      </c>
      <c r="S228" s="57">
        <f>IFERROR(VLOOKUP($A:$A,CS!$A:$AK,29,FALSE),"")</f>
      </c>
      <c r="T228" s="57">
        <f>IFERROR(VLOOKUP($A:$A,CS!$A:$AK,33,FALSE),"")</f>
      </c>
      <c r="U228" s="57">
        <f>IFERROR(VLOOKUP($A:$A,CS!$A:$AK,34,FALSE),"")</f>
      </c>
      <c r="V228" s="57">
        <f>IFERROR(VLOOKUP($A:$A,CS!$A:$AK,35,FALSE),"")</f>
      </c>
      <c r="W228" s="57">
        <f>IFERROR(VLOOKUP($A:$A,CS!$A:$AK,36,FALSE),"")</f>
      </c>
    </row>
    <row r="229" ht="16.5" customHeight="1" spans="1:23" x14ac:dyDescent="0.25">
      <c r="A229" s="71"/>
      <c r="B229" s="57">
        <f>IFERROR(VLOOKUP($A:$A,CS!$A:$AK,3,FALSE),"")</f>
      </c>
      <c r="C229" s="57">
        <f>IFERROR(VLOOKUP($A:$A,CS!$A:$AK,4,FALSE),"")</f>
      </c>
      <c r="D229" s="57">
        <f>IFERROR(VLOOKUP($A:$A,CS!$A:$AK,5,FALSE),"")</f>
      </c>
      <c r="E229" s="57">
        <f>IFERROR(VLOOKUP($A:$A,CS!$A:$AK,7,FALSE),"")</f>
      </c>
      <c r="F229" s="57">
        <f>IFERROR(VLOOKUP($A:$A,CS!$A:$AK,8,FALSE),"")</f>
      </c>
      <c r="G229" s="57">
        <f>IFERROR(VLOOKUP($A:$A,CS!$A:$AK,10,FALSE),"")</f>
      </c>
      <c r="H229" s="57">
        <f>IFERROR(VLOOKUP($A:$A,CS!$A:$AK,14,FALSE),"")</f>
      </c>
      <c r="I229" s="57">
        <f>IFERROR(VLOOKUP($A:$A,CS!$A:$AK,15,FALSE),"")</f>
      </c>
      <c r="J229" s="57">
        <f>IFERROR(VLOOKUP($A:$A,CS!$A:$AK,18,FALSE),"")</f>
      </c>
      <c r="K229" s="57">
        <f>IFERROR(VLOOKUP($A:$A,CS!$A:$AK,19,FALSE),"")</f>
      </c>
      <c r="L229" s="57">
        <f>IFERROR(VLOOKUP($A:$A,CS!$A:$AK,20,FALSE),"")</f>
      </c>
      <c r="M229" s="57">
        <f>IFERROR(VLOOKUP($A:$A,CS!$A:$AK,22,FALSE),"")</f>
      </c>
      <c r="N229" s="57">
        <f>IFERROR(VLOOKUP($A:$A,CS!$A:$AK,19,FALSE),"")</f>
      </c>
      <c r="O229" s="57">
        <f>IFERROR(VLOOKUP($A:$A,CS!$A:$AK,23,FALSE),"")</f>
      </c>
      <c r="P229" s="57">
        <f>IFERROR(VLOOKUP($A:$A,CS!$A:$AK,24,FALSE),"")</f>
      </c>
      <c r="Q229" s="57">
        <f>IFERROR(VLOOKUP($A:$A,CS!$A:$AK,25,FALSE),"")</f>
      </c>
      <c r="R229" s="57">
        <f>IFERROR(VLOOKUP($A:$A,CS!$A:$AK,26,FALSE),"")</f>
      </c>
      <c r="S229" s="57">
        <f>IFERROR(VLOOKUP($A:$A,CS!$A:$AK,29,FALSE),"")</f>
      </c>
      <c r="T229" s="57">
        <f>IFERROR(VLOOKUP($A:$A,CS!$A:$AK,33,FALSE),"")</f>
      </c>
      <c r="U229" s="57">
        <f>IFERROR(VLOOKUP($A:$A,CS!$A:$AK,34,FALSE),"")</f>
      </c>
      <c r="V229" s="57">
        <f>IFERROR(VLOOKUP($A:$A,CS!$A:$AK,35,FALSE),"")</f>
      </c>
      <c r="W229" s="57">
        <f>IFERROR(VLOOKUP($A:$A,CS!$A:$AK,36,FALSE),"")</f>
      </c>
    </row>
    <row r="230" ht="16.5" customHeight="1" spans="1:23" x14ac:dyDescent="0.25">
      <c r="A230" s="71"/>
      <c r="B230" s="57">
        <f>IFERROR(VLOOKUP($A:$A,CS!$A:$AK,3,FALSE),"")</f>
      </c>
      <c r="C230" s="57">
        <f>IFERROR(VLOOKUP($A:$A,CS!$A:$AK,4,FALSE),"")</f>
      </c>
      <c r="D230" s="57">
        <f>IFERROR(VLOOKUP($A:$A,CS!$A:$AK,5,FALSE),"")</f>
      </c>
      <c r="E230" s="57">
        <f>IFERROR(VLOOKUP($A:$A,CS!$A:$AK,7,FALSE),"")</f>
      </c>
      <c r="F230" s="57">
        <f>IFERROR(VLOOKUP($A:$A,CS!$A:$AK,8,FALSE),"")</f>
      </c>
      <c r="G230" s="57">
        <f>IFERROR(VLOOKUP($A:$A,CS!$A:$AK,10,FALSE),"")</f>
      </c>
      <c r="H230" s="57">
        <f>IFERROR(VLOOKUP($A:$A,CS!$A:$AK,14,FALSE),"")</f>
      </c>
      <c r="I230" s="57">
        <f>IFERROR(VLOOKUP($A:$A,CS!$A:$AK,15,FALSE),"")</f>
      </c>
      <c r="J230" s="57">
        <f>IFERROR(VLOOKUP($A:$A,CS!$A:$AK,18,FALSE),"")</f>
      </c>
      <c r="K230" s="57">
        <f>IFERROR(VLOOKUP($A:$A,CS!$A:$AK,19,FALSE),"")</f>
      </c>
      <c r="L230" s="57">
        <f>IFERROR(VLOOKUP($A:$A,CS!$A:$AK,20,FALSE),"")</f>
      </c>
      <c r="M230" s="57">
        <f>IFERROR(VLOOKUP($A:$A,CS!$A:$AK,22,FALSE),"")</f>
      </c>
      <c r="N230" s="57">
        <f>IFERROR(VLOOKUP($A:$A,CS!$A:$AK,19,FALSE),"")</f>
      </c>
      <c r="O230" s="57">
        <f>IFERROR(VLOOKUP($A:$A,CS!$A:$AK,23,FALSE),"")</f>
      </c>
      <c r="P230" s="57">
        <f>IFERROR(VLOOKUP($A:$A,CS!$A:$AK,24,FALSE),"")</f>
      </c>
      <c r="Q230" s="57">
        <f>IFERROR(VLOOKUP($A:$A,CS!$A:$AK,25,FALSE),"")</f>
      </c>
      <c r="R230" s="57">
        <f>IFERROR(VLOOKUP($A:$A,CS!$A:$AK,26,FALSE),"")</f>
      </c>
      <c r="S230" s="57">
        <f>IFERROR(VLOOKUP($A:$A,CS!$A:$AK,29,FALSE),"")</f>
      </c>
      <c r="T230" s="57">
        <f>IFERROR(VLOOKUP($A:$A,CS!$A:$AK,33,FALSE),"")</f>
      </c>
      <c r="U230" s="57">
        <f>IFERROR(VLOOKUP($A:$A,CS!$A:$AK,34,FALSE),"")</f>
      </c>
      <c r="V230" s="57">
        <f>IFERROR(VLOOKUP($A:$A,CS!$A:$AK,35,FALSE),"")</f>
      </c>
      <c r="W230" s="57">
        <f>IFERROR(VLOOKUP($A:$A,CS!$A:$AK,36,FALSE),"")</f>
      </c>
    </row>
    <row r="231" ht="16.5" customHeight="1" spans="1:23" x14ac:dyDescent="0.25">
      <c r="A231" s="71"/>
      <c r="B231" s="57">
        <f>IFERROR(VLOOKUP($A:$A,CS!$A:$AK,3,FALSE),"")</f>
      </c>
      <c r="C231" s="57">
        <f>IFERROR(VLOOKUP($A:$A,CS!$A:$AK,4,FALSE),"")</f>
      </c>
      <c r="D231" s="57">
        <f>IFERROR(VLOOKUP($A:$A,CS!$A:$AK,5,FALSE),"")</f>
      </c>
      <c r="E231" s="57">
        <f>IFERROR(VLOOKUP($A:$A,CS!$A:$AK,7,FALSE),"")</f>
      </c>
      <c r="F231" s="57">
        <f>IFERROR(VLOOKUP($A:$A,CS!$A:$AK,8,FALSE),"")</f>
      </c>
      <c r="G231" s="57">
        <f>IFERROR(VLOOKUP($A:$A,CS!$A:$AK,10,FALSE),"")</f>
      </c>
      <c r="H231" s="57">
        <f>IFERROR(VLOOKUP($A:$A,CS!$A:$AK,14,FALSE),"")</f>
      </c>
      <c r="I231" s="57">
        <f>IFERROR(VLOOKUP($A:$A,CS!$A:$AK,15,FALSE),"")</f>
      </c>
      <c r="J231" s="57">
        <f>IFERROR(VLOOKUP($A:$A,CS!$A:$AK,18,FALSE),"")</f>
      </c>
      <c r="K231" s="57">
        <f>IFERROR(VLOOKUP($A:$A,CS!$A:$AK,19,FALSE),"")</f>
      </c>
      <c r="L231" s="57">
        <f>IFERROR(VLOOKUP($A:$A,CS!$A:$AK,20,FALSE),"")</f>
      </c>
      <c r="M231" s="57">
        <f>IFERROR(VLOOKUP($A:$A,CS!$A:$AK,22,FALSE),"")</f>
      </c>
      <c r="N231" s="57">
        <f>IFERROR(VLOOKUP($A:$A,CS!$A:$AK,19,FALSE),"")</f>
      </c>
      <c r="O231" s="57">
        <f>IFERROR(VLOOKUP($A:$A,CS!$A:$AK,23,FALSE),"")</f>
      </c>
      <c r="P231" s="57">
        <f>IFERROR(VLOOKUP($A:$A,CS!$A:$AK,24,FALSE),"")</f>
      </c>
      <c r="Q231" s="57">
        <f>IFERROR(VLOOKUP($A:$A,CS!$A:$AK,25,FALSE),"")</f>
      </c>
      <c r="R231" s="57">
        <f>IFERROR(VLOOKUP($A:$A,CS!$A:$AK,26,FALSE),"")</f>
      </c>
      <c r="S231" s="57">
        <f>IFERROR(VLOOKUP($A:$A,CS!$A:$AK,29,FALSE),"")</f>
      </c>
      <c r="T231" s="57">
        <f>IFERROR(VLOOKUP($A:$A,CS!$A:$AK,33,FALSE),"")</f>
      </c>
      <c r="U231" s="57">
        <f>IFERROR(VLOOKUP($A:$A,CS!$A:$AK,34,FALSE),"")</f>
      </c>
      <c r="V231" s="57">
        <f>IFERROR(VLOOKUP($A:$A,CS!$A:$AK,35,FALSE),"")</f>
      </c>
      <c r="W231" s="57">
        <f>IFERROR(VLOOKUP($A:$A,CS!$A:$AK,36,FALSE),"")</f>
      </c>
    </row>
    <row r="232" ht="16.5" customHeight="1" spans="1:23" x14ac:dyDescent="0.25">
      <c r="A232" s="71"/>
      <c r="B232" s="57">
        <f>IFERROR(VLOOKUP($A:$A,CS!$A:$AK,3,FALSE),"")</f>
      </c>
      <c r="C232" s="57">
        <f>IFERROR(VLOOKUP($A:$A,CS!$A:$AK,4,FALSE),"")</f>
      </c>
      <c r="D232" s="57">
        <f>IFERROR(VLOOKUP($A:$A,CS!$A:$AK,5,FALSE),"")</f>
      </c>
      <c r="E232" s="57">
        <f>IFERROR(VLOOKUP($A:$A,CS!$A:$AK,7,FALSE),"")</f>
      </c>
      <c r="F232" s="57">
        <f>IFERROR(VLOOKUP($A:$A,CS!$A:$AK,8,FALSE),"")</f>
      </c>
      <c r="G232" s="57">
        <f>IFERROR(VLOOKUP($A:$A,CS!$A:$AK,10,FALSE),"")</f>
      </c>
      <c r="H232" s="57">
        <f>IFERROR(VLOOKUP($A:$A,CS!$A:$AK,14,FALSE),"")</f>
      </c>
      <c r="I232" s="57">
        <f>IFERROR(VLOOKUP($A:$A,CS!$A:$AK,15,FALSE),"")</f>
      </c>
      <c r="J232" s="57">
        <f>IFERROR(VLOOKUP($A:$A,CS!$A:$AK,18,FALSE),"")</f>
      </c>
      <c r="K232" s="57">
        <f>IFERROR(VLOOKUP($A:$A,CS!$A:$AK,19,FALSE),"")</f>
      </c>
      <c r="L232" s="57">
        <f>IFERROR(VLOOKUP($A:$A,CS!$A:$AK,20,FALSE),"")</f>
      </c>
      <c r="M232" s="57">
        <f>IFERROR(VLOOKUP($A:$A,CS!$A:$AK,22,FALSE),"")</f>
      </c>
      <c r="N232" s="57">
        <f>IFERROR(VLOOKUP($A:$A,CS!$A:$AK,19,FALSE),"")</f>
      </c>
      <c r="O232" s="57">
        <f>IFERROR(VLOOKUP($A:$A,CS!$A:$AK,23,FALSE),"")</f>
      </c>
      <c r="P232" s="57">
        <f>IFERROR(VLOOKUP($A:$A,CS!$A:$AK,24,FALSE),"")</f>
      </c>
      <c r="Q232" s="57">
        <f>IFERROR(VLOOKUP($A:$A,CS!$A:$AK,25,FALSE),"")</f>
      </c>
      <c r="R232" s="57">
        <f>IFERROR(VLOOKUP($A:$A,CS!$A:$AK,26,FALSE),"")</f>
      </c>
      <c r="S232" s="57">
        <f>IFERROR(VLOOKUP($A:$A,CS!$A:$AK,29,FALSE),"")</f>
      </c>
      <c r="T232" s="57">
        <f>IFERROR(VLOOKUP($A:$A,CS!$A:$AK,33,FALSE),"")</f>
      </c>
      <c r="U232" s="57">
        <f>IFERROR(VLOOKUP($A:$A,CS!$A:$AK,34,FALSE),"")</f>
      </c>
      <c r="V232" s="57">
        <f>IFERROR(VLOOKUP($A:$A,CS!$A:$AK,35,FALSE),"")</f>
      </c>
      <c r="W232" s="57">
        <f>IFERROR(VLOOKUP($A:$A,CS!$A:$AK,36,FALSE),"")</f>
      </c>
    </row>
    <row r="233" ht="16.5" customHeight="1" spans="1:23" x14ac:dyDescent="0.25">
      <c r="A233" s="71"/>
      <c r="B233" s="57">
        <f>IFERROR(VLOOKUP($A:$A,CS!$A:$AK,3,FALSE),"")</f>
      </c>
      <c r="C233" s="57">
        <f>IFERROR(VLOOKUP($A:$A,CS!$A:$AK,4,FALSE),"")</f>
      </c>
      <c r="D233" s="57">
        <f>IFERROR(VLOOKUP($A:$A,CS!$A:$AK,5,FALSE),"")</f>
      </c>
      <c r="E233" s="57">
        <f>IFERROR(VLOOKUP($A:$A,CS!$A:$AK,7,FALSE),"")</f>
      </c>
      <c r="F233" s="57">
        <f>IFERROR(VLOOKUP($A:$A,CS!$A:$AK,8,FALSE),"")</f>
      </c>
      <c r="G233" s="57">
        <f>IFERROR(VLOOKUP($A:$A,CS!$A:$AK,10,FALSE),"")</f>
      </c>
      <c r="H233" s="57">
        <f>IFERROR(VLOOKUP($A:$A,CS!$A:$AK,14,FALSE),"")</f>
      </c>
      <c r="I233" s="57">
        <f>IFERROR(VLOOKUP($A:$A,CS!$A:$AK,15,FALSE),"")</f>
      </c>
      <c r="J233" s="57">
        <f>IFERROR(VLOOKUP($A:$A,CS!$A:$AK,18,FALSE),"")</f>
      </c>
      <c r="K233" s="57">
        <f>IFERROR(VLOOKUP($A:$A,CS!$A:$AK,19,FALSE),"")</f>
      </c>
      <c r="L233" s="57">
        <f>IFERROR(VLOOKUP($A:$A,CS!$A:$AK,20,FALSE),"")</f>
      </c>
      <c r="M233" s="57">
        <f>IFERROR(VLOOKUP($A:$A,CS!$A:$AK,22,FALSE),"")</f>
      </c>
      <c r="N233" s="57">
        <f>IFERROR(VLOOKUP($A:$A,CS!$A:$AK,19,FALSE),"")</f>
      </c>
      <c r="O233" s="57">
        <f>IFERROR(VLOOKUP($A:$A,CS!$A:$AK,23,FALSE),"")</f>
      </c>
      <c r="P233" s="57">
        <f>IFERROR(VLOOKUP($A:$A,CS!$A:$AK,24,FALSE),"")</f>
      </c>
      <c r="Q233" s="57">
        <f>IFERROR(VLOOKUP($A:$A,CS!$A:$AK,25,FALSE),"")</f>
      </c>
      <c r="R233" s="57">
        <f>IFERROR(VLOOKUP($A:$A,CS!$A:$AK,26,FALSE),"")</f>
      </c>
      <c r="S233" s="57">
        <f>IFERROR(VLOOKUP($A:$A,CS!$A:$AK,29,FALSE),"")</f>
      </c>
      <c r="T233" s="57">
        <f>IFERROR(VLOOKUP($A:$A,CS!$A:$AK,33,FALSE),"")</f>
      </c>
      <c r="U233" s="57">
        <f>IFERROR(VLOOKUP($A:$A,CS!$A:$AK,34,FALSE),"")</f>
      </c>
      <c r="V233" s="57">
        <f>IFERROR(VLOOKUP($A:$A,CS!$A:$AK,35,FALSE),"")</f>
      </c>
      <c r="W233" s="57">
        <f>IFERROR(VLOOKUP($A:$A,CS!$A:$AK,36,FALSE),"")</f>
      </c>
    </row>
    <row r="234" ht="16.5" customHeight="1" spans="1:23" x14ac:dyDescent="0.25">
      <c r="A234" s="71"/>
      <c r="B234" s="57">
        <f>IFERROR(VLOOKUP($A:$A,CS!$A:$AK,3,FALSE),"")</f>
      </c>
      <c r="C234" s="57">
        <f>IFERROR(VLOOKUP($A:$A,CS!$A:$AK,4,FALSE),"")</f>
      </c>
      <c r="D234" s="57">
        <f>IFERROR(VLOOKUP($A:$A,CS!$A:$AK,5,FALSE),"")</f>
      </c>
      <c r="E234" s="57">
        <f>IFERROR(VLOOKUP($A:$A,CS!$A:$AK,7,FALSE),"")</f>
      </c>
      <c r="F234" s="57">
        <f>IFERROR(VLOOKUP($A:$A,CS!$A:$AK,8,FALSE),"")</f>
      </c>
      <c r="G234" s="57">
        <f>IFERROR(VLOOKUP($A:$A,CS!$A:$AK,10,FALSE),"")</f>
      </c>
      <c r="H234" s="57">
        <f>IFERROR(VLOOKUP($A:$A,CS!$A:$AK,14,FALSE),"")</f>
      </c>
      <c r="I234" s="57">
        <f>IFERROR(VLOOKUP($A:$A,CS!$A:$AK,15,FALSE),"")</f>
      </c>
      <c r="J234" s="57">
        <f>IFERROR(VLOOKUP($A:$A,CS!$A:$AK,18,FALSE),"")</f>
      </c>
      <c r="K234" s="57">
        <f>IFERROR(VLOOKUP($A:$A,CS!$A:$AK,19,FALSE),"")</f>
      </c>
      <c r="L234" s="57">
        <f>IFERROR(VLOOKUP($A:$A,CS!$A:$AK,20,FALSE),"")</f>
      </c>
      <c r="M234" s="57">
        <f>IFERROR(VLOOKUP($A:$A,CS!$A:$AK,22,FALSE),"")</f>
      </c>
      <c r="N234" s="57">
        <f>IFERROR(VLOOKUP($A:$A,CS!$A:$AK,19,FALSE),"")</f>
      </c>
      <c r="O234" s="57">
        <f>IFERROR(VLOOKUP($A:$A,CS!$A:$AK,23,FALSE),"")</f>
      </c>
      <c r="P234" s="57">
        <f>IFERROR(VLOOKUP($A:$A,CS!$A:$AK,24,FALSE),"")</f>
      </c>
      <c r="Q234" s="57">
        <f>IFERROR(VLOOKUP($A:$A,CS!$A:$AK,25,FALSE),"")</f>
      </c>
      <c r="R234" s="57">
        <f>IFERROR(VLOOKUP($A:$A,CS!$A:$AK,26,FALSE),"")</f>
      </c>
      <c r="S234" s="57">
        <f>IFERROR(VLOOKUP($A:$A,CS!$A:$AK,29,FALSE),"")</f>
      </c>
      <c r="T234" s="57">
        <f>IFERROR(VLOOKUP($A:$A,CS!$A:$AK,33,FALSE),"")</f>
      </c>
      <c r="U234" s="57">
        <f>IFERROR(VLOOKUP($A:$A,CS!$A:$AK,34,FALSE),"")</f>
      </c>
      <c r="V234" s="57">
        <f>IFERROR(VLOOKUP($A:$A,CS!$A:$AK,35,FALSE),"")</f>
      </c>
      <c r="W234" s="57">
        <f>IFERROR(VLOOKUP($A:$A,CS!$A:$AK,36,FALSE),"")</f>
      </c>
    </row>
    <row r="235" ht="16.5" customHeight="1" spans="1:23" x14ac:dyDescent="0.25">
      <c r="A235" s="71"/>
      <c r="B235" s="57">
        <f>IFERROR(VLOOKUP($A:$A,CS!$A:$AK,3,FALSE),"")</f>
      </c>
      <c r="C235" s="57">
        <f>IFERROR(VLOOKUP($A:$A,CS!$A:$AK,4,FALSE),"")</f>
      </c>
      <c r="D235" s="57">
        <f>IFERROR(VLOOKUP($A:$A,CS!$A:$AK,5,FALSE),"")</f>
      </c>
      <c r="E235" s="57">
        <f>IFERROR(VLOOKUP($A:$A,CS!$A:$AK,7,FALSE),"")</f>
      </c>
      <c r="F235" s="57">
        <f>IFERROR(VLOOKUP($A:$A,CS!$A:$AK,8,FALSE),"")</f>
      </c>
      <c r="G235" s="57">
        <f>IFERROR(VLOOKUP($A:$A,CS!$A:$AK,10,FALSE),"")</f>
      </c>
      <c r="H235" s="57">
        <f>IFERROR(VLOOKUP($A:$A,CS!$A:$AK,14,FALSE),"")</f>
      </c>
      <c r="I235" s="57">
        <f>IFERROR(VLOOKUP($A:$A,CS!$A:$AK,15,FALSE),"")</f>
      </c>
      <c r="J235" s="57">
        <f>IFERROR(VLOOKUP($A:$A,CS!$A:$AK,18,FALSE),"")</f>
      </c>
      <c r="K235" s="57">
        <f>IFERROR(VLOOKUP($A:$A,CS!$A:$AK,19,FALSE),"")</f>
      </c>
      <c r="L235" s="57">
        <f>IFERROR(VLOOKUP($A:$A,CS!$A:$AK,20,FALSE),"")</f>
      </c>
      <c r="M235" s="57">
        <f>IFERROR(VLOOKUP($A:$A,CS!$A:$AK,22,FALSE),"")</f>
      </c>
      <c r="N235" s="57">
        <f>IFERROR(VLOOKUP($A:$A,CS!$A:$AK,19,FALSE),"")</f>
      </c>
      <c r="O235" s="57">
        <f>IFERROR(VLOOKUP($A:$A,CS!$A:$AK,23,FALSE),"")</f>
      </c>
      <c r="P235" s="57">
        <f>IFERROR(VLOOKUP($A:$A,CS!$A:$AK,24,FALSE),"")</f>
      </c>
      <c r="Q235" s="57">
        <f>IFERROR(VLOOKUP($A:$A,CS!$A:$AK,25,FALSE),"")</f>
      </c>
      <c r="R235" s="57">
        <f>IFERROR(VLOOKUP($A:$A,CS!$A:$AK,26,FALSE),"")</f>
      </c>
      <c r="S235" s="57">
        <f>IFERROR(VLOOKUP($A:$A,CS!$A:$AK,29,FALSE),"")</f>
      </c>
      <c r="T235" s="57">
        <f>IFERROR(VLOOKUP($A:$A,CS!$A:$AK,33,FALSE),"")</f>
      </c>
      <c r="U235" s="57">
        <f>IFERROR(VLOOKUP($A:$A,CS!$A:$AK,34,FALSE),"")</f>
      </c>
      <c r="V235" s="57">
        <f>IFERROR(VLOOKUP($A:$A,CS!$A:$AK,35,FALSE),"")</f>
      </c>
      <c r="W235" s="57">
        <f>IFERROR(VLOOKUP($A:$A,CS!$A:$AK,36,FALSE),"")</f>
      </c>
    </row>
    <row r="236" ht="16.5" customHeight="1" spans="1:23" x14ac:dyDescent="0.25">
      <c r="A236" s="71"/>
      <c r="B236" s="57">
        <f>IFERROR(VLOOKUP($A:$A,CS!$A:$AK,3,FALSE),"")</f>
      </c>
      <c r="C236" s="57">
        <f>IFERROR(VLOOKUP($A:$A,CS!$A:$AK,4,FALSE),"")</f>
      </c>
      <c r="D236" s="57">
        <f>IFERROR(VLOOKUP($A:$A,CS!$A:$AK,5,FALSE),"")</f>
      </c>
      <c r="E236" s="57">
        <f>IFERROR(VLOOKUP($A:$A,CS!$A:$AK,7,FALSE),"")</f>
      </c>
      <c r="F236" s="57">
        <f>IFERROR(VLOOKUP($A:$A,CS!$A:$AK,8,FALSE),"")</f>
      </c>
      <c r="G236" s="57">
        <f>IFERROR(VLOOKUP($A:$A,CS!$A:$AK,10,FALSE),"")</f>
      </c>
      <c r="H236" s="57">
        <f>IFERROR(VLOOKUP($A:$A,CS!$A:$AK,14,FALSE),"")</f>
      </c>
      <c r="I236" s="57">
        <f>IFERROR(VLOOKUP($A:$A,CS!$A:$AK,15,FALSE),"")</f>
      </c>
      <c r="J236" s="57">
        <f>IFERROR(VLOOKUP($A:$A,CS!$A:$AK,18,FALSE),"")</f>
      </c>
      <c r="K236" s="57">
        <f>IFERROR(VLOOKUP($A:$A,CS!$A:$AK,19,FALSE),"")</f>
      </c>
      <c r="L236" s="57">
        <f>IFERROR(VLOOKUP($A:$A,CS!$A:$AK,20,FALSE),"")</f>
      </c>
      <c r="M236" s="57">
        <f>IFERROR(VLOOKUP($A:$A,CS!$A:$AK,22,FALSE),"")</f>
      </c>
      <c r="N236" s="57">
        <f>IFERROR(VLOOKUP($A:$A,CS!$A:$AK,19,FALSE),"")</f>
      </c>
      <c r="O236" s="57">
        <f>IFERROR(VLOOKUP($A:$A,CS!$A:$AK,23,FALSE),"")</f>
      </c>
      <c r="P236" s="57">
        <f>IFERROR(VLOOKUP($A:$A,CS!$A:$AK,24,FALSE),"")</f>
      </c>
      <c r="Q236" s="57">
        <f>IFERROR(VLOOKUP($A:$A,CS!$A:$AK,25,FALSE),"")</f>
      </c>
      <c r="R236" s="57">
        <f>IFERROR(VLOOKUP($A:$A,CS!$A:$AK,26,FALSE),"")</f>
      </c>
      <c r="S236" s="57">
        <f>IFERROR(VLOOKUP($A:$A,CS!$A:$AK,29,FALSE),"")</f>
      </c>
      <c r="T236" s="57">
        <f>IFERROR(VLOOKUP($A:$A,CS!$A:$AK,33,FALSE),"")</f>
      </c>
      <c r="U236" s="57">
        <f>IFERROR(VLOOKUP($A:$A,CS!$A:$AK,34,FALSE),"")</f>
      </c>
      <c r="V236" s="57">
        <f>IFERROR(VLOOKUP($A:$A,CS!$A:$AK,35,FALSE),"")</f>
      </c>
      <c r="W236" s="57">
        <f>IFERROR(VLOOKUP($A:$A,CS!$A:$AK,36,FALSE),"")</f>
      </c>
    </row>
    <row r="237" ht="16.5" customHeight="1" spans="1:23" x14ac:dyDescent="0.25">
      <c r="A237" s="71"/>
      <c r="B237" s="57">
        <f>IFERROR(VLOOKUP($A:$A,CS!$A:$AK,3,FALSE),"")</f>
      </c>
      <c r="C237" s="57">
        <f>IFERROR(VLOOKUP($A:$A,CS!$A:$AK,4,FALSE),"")</f>
      </c>
      <c r="D237" s="57">
        <f>IFERROR(VLOOKUP($A:$A,CS!$A:$AK,5,FALSE),"")</f>
      </c>
      <c r="E237" s="57">
        <f>IFERROR(VLOOKUP($A:$A,CS!$A:$AK,7,FALSE),"")</f>
      </c>
      <c r="F237" s="57">
        <f>IFERROR(VLOOKUP($A:$A,CS!$A:$AK,8,FALSE),"")</f>
      </c>
      <c r="G237" s="57">
        <f>IFERROR(VLOOKUP($A:$A,CS!$A:$AK,10,FALSE),"")</f>
      </c>
      <c r="H237" s="57">
        <f>IFERROR(VLOOKUP($A:$A,CS!$A:$AK,14,FALSE),"")</f>
      </c>
      <c r="I237" s="57">
        <f>IFERROR(VLOOKUP($A:$A,CS!$A:$AK,15,FALSE),"")</f>
      </c>
      <c r="J237" s="57">
        <f>IFERROR(VLOOKUP($A:$A,CS!$A:$AK,18,FALSE),"")</f>
      </c>
      <c r="K237" s="57">
        <f>IFERROR(VLOOKUP($A:$A,CS!$A:$AK,19,FALSE),"")</f>
      </c>
      <c r="L237" s="57">
        <f>IFERROR(VLOOKUP($A:$A,CS!$A:$AK,20,FALSE),"")</f>
      </c>
      <c r="M237" s="57">
        <f>IFERROR(VLOOKUP($A:$A,CS!$A:$AK,22,FALSE),"")</f>
      </c>
      <c r="N237" s="57">
        <f>IFERROR(VLOOKUP($A:$A,CS!$A:$AK,19,FALSE),"")</f>
      </c>
      <c r="O237" s="57">
        <f>IFERROR(VLOOKUP($A:$A,CS!$A:$AK,23,FALSE),"")</f>
      </c>
      <c r="P237" s="57">
        <f>IFERROR(VLOOKUP($A:$A,CS!$A:$AK,24,FALSE),"")</f>
      </c>
      <c r="Q237" s="57">
        <f>IFERROR(VLOOKUP($A:$A,CS!$A:$AK,25,FALSE),"")</f>
      </c>
      <c r="R237" s="57">
        <f>IFERROR(VLOOKUP($A:$A,CS!$A:$AK,26,FALSE),"")</f>
      </c>
      <c r="S237" s="57">
        <f>IFERROR(VLOOKUP($A:$A,CS!$A:$AK,29,FALSE),"")</f>
      </c>
      <c r="T237" s="57">
        <f>IFERROR(VLOOKUP($A:$A,CS!$A:$AK,33,FALSE),"")</f>
      </c>
      <c r="U237" s="57">
        <f>IFERROR(VLOOKUP($A:$A,CS!$A:$AK,34,FALSE),"")</f>
      </c>
      <c r="V237" s="57">
        <f>IFERROR(VLOOKUP($A:$A,CS!$A:$AK,35,FALSE),"")</f>
      </c>
      <c r="W237" s="57">
        <f>IFERROR(VLOOKUP($A:$A,CS!$A:$AK,36,FALSE),"")</f>
      </c>
    </row>
    <row r="238" ht="16.5" customHeight="1" spans="1:23" x14ac:dyDescent="0.25">
      <c r="A238" s="71"/>
      <c r="B238" s="57">
        <f>IFERROR(VLOOKUP($A:$A,CS!$A:$AK,3,FALSE),"")</f>
      </c>
      <c r="C238" s="57">
        <f>IFERROR(VLOOKUP($A:$A,CS!$A:$AK,4,FALSE),"")</f>
      </c>
      <c r="D238" s="57">
        <f>IFERROR(VLOOKUP($A:$A,CS!$A:$AK,5,FALSE),"")</f>
      </c>
      <c r="E238" s="57">
        <f>IFERROR(VLOOKUP($A:$A,CS!$A:$AK,7,FALSE),"")</f>
      </c>
      <c r="F238" s="57">
        <f>IFERROR(VLOOKUP($A:$A,CS!$A:$AK,8,FALSE),"")</f>
      </c>
      <c r="G238" s="57">
        <f>IFERROR(VLOOKUP($A:$A,CS!$A:$AK,10,FALSE),"")</f>
      </c>
      <c r="H238" s="57">
        <f>IFERROR(VLOOKUP($A:$A,CS!$A:$AK,14,FALSE),"")</f>
      </c>
      <c r="I238" s="57">
        <f>IFERROR(VLOOKUP($A:$A,CS!$A:$AK,15,FALSE),"")</f>
      </c>
      <c r="J238" s="57">
        <f>IFERROR(VLOOKUP($A:$A,CS!$A:$AK,18,FALSE),"")</f>
      </c>
      <c r="K238" s="57">
        <f>IFERROR(VLOOKUP($A:$A,CS!$A:$AK,19,FALSE),"")</f>
      </c>
      <c r="L238" s="57">
        <f>IFERROR(VLOOKUP($A:$A,CS!$A:$AK,20,FALSE),"")</f>
      </c>
      <c r="M238" s="57">
        <f>IFERROR(VLOOKUP($A:$A,CS!$A:$AK,22,FALSE),"")</f>
      </c>
      <c r="N238" s="57">
        <f>IFERROR(VLOOKUP($A:$A,CS!$A:$AK,19,FALSE),"")</f>
      </c>
      <c r="O238" s="57">
        <f>IFERROR(VLOOKUP($A:$A,CS!$A:$AK,23,FALSE),"")</f>
      </c>
      <c r="P238" s="57">
        <f>IFERROR(VLOOKUP($A:$A,CS!$A:$AK,24,FALSE),"")</f>
      </c>
      <c r="Q238" s="57">
        <f>IFERROR(VLOOKUP($A:$A,CS!$A:$AK,25,FALSE),"")</f>
      </c>
      <c r="R238" s="57">
        <f>IFERROR(VLOOKUP($A:$A,CS!$A:$AK,26,FALSE),"")</f>
      </c>
      <c r="S238" s="57">
        <f>IFERROR(VLOOKUP($A:$A,CS!$A:$AK,29,FALSE),"")</f>
      </c>
      <c r="T238" s="57">
        <f>IFERROR(VLOOKUP($A:$A,CS!$A:$AK,33,FALSE),"")</f>
      </c>
      <c r="U238" s="57">
        <f>IFERROR(VLOOKUP($A:$A,CS!$A:$AK,34,FALSE),"")</f>
      </c>
      <c r="V238" s="57">
        <f>IFERROR(VLOOKUP($A:$A,CS!$A:$AK,35,FALSE),"")</f>
      </c>
      <c r="W238" s="57">
        <f>IFERROR(VLOOKUP($A:$A,CS!$A:$AK,36,FALSE),"")</f>
      </c>
    </row>
    <row r="239" ht="16.5" customHeight="1" spans="1:23" x14ac:dyDescent="0.25">
      <c r="A239" s="71"/>
      <c r="B239" s="57">
        <f>IFERROR(VLOOKUP($A:$A,CS!$A:$AK,3,FALSE),"")</f>
      </c>
      <c r="C239" s="57">
        <f>IFERROR(VLOOKUP($A:$A,CS!$A:$AK,4,FALSE),"")</f>
      </c>
      <c r="D239" s="57">
        <f>IFERROR(VLOOKUP($A:$A,CS!$A:$AK,5,FALSE),"")</f>
      </c>
      <c r="E239" s="57">
        <f>IFERROR(VLOOKUP($A:$A,CS!$A:$AK,7,FALSE),"")</f>
      </c>
      <c r="F239" s="57">
        <f>IFERROR(VLOOKUP($A:$A,CS!$A:$AK,8,FALSE),"")</f>
      </c>
      <c r="G239" s="57">
        <f>IFERROR(VLOOKUP($A:$A,CS!$A:$AK,10,FALSE),"")</f>
      </c>
      <c r="H239" s="57">
        <f>IFERROR(VLOOKUP($A:$A,CS!$A:$AK,14,FALSE),"")</f>
      </c>
      <c r="I239" s="57">
        <f>IFERROR(VLOOKUP($A:$A,CS!$A:$AK,15,FALSE),"")</f>
      </c>
      <c r="J239" s="57">
        <f>IFERROR(VLOOKUP($A:$A,CS!$A:$AK,18,FALSE),"")</f>
      </c>
      <c r="K239" s="57">
        <f>IFERROR(VLOOKUP($A:$A,CS!$A:$AK,19,FALSE),"")</f>
      </c>
      <c r="L239" s="57">
        <f>IFERROR(VLOOKUP($A:$A,CS!$A:$AK,20,FALSE),"")</f>
      </c>
      <c r="M239" s="57">
        <f>IFERROR(VLOOKUP($A:$A,CS!$A:$AK,22,FALSE),"")</f>
      </c>
      <c r="N239" s="57">
        <f>IFERROR(VLOOKUP($A:$A,CS!$A:$AK,19,FALSE),"")</f>
      </c>
      <c r="O239" s="57">
        <f>IFERROR(VLOOKUP($A:$A,CS!$A:$AK,23,FALSE),"")</f>
      </c>
      <c r="P239" s="57">
        <f>IFERROR(VLOOKUP($A:$A,CS!$A:$AK,24,FALSE),"")</f>
      </c>
      <c r="Q239" s="57">
        <f>IFERROR(VLOOKUP($A:$A,CS!$A:$AK,25,FALSE),"")</f>
      </c>
      <c r="R239" s="57">
        <f>IFERROR(VLOOKUP($A:$A,CS!$A:$AK,26,FALSE),"")</f>
      </c>
      <c r="S239" s="57">
        <f>IFERROR(VLOOKUP($A:$A,CS!$A:$AK,29,FALSE),"")</f>
      </c>
      <c r="T239" s="57">
        <f>IFERROR(VLOOKUP($A:$A,CS!$A:$AK,33,FALSE),"")</f>
      </c>
      <c r="U239" s="57">
        <f>IFERROR(VLOOKUP($A:$A,CS!$A:$AK,34,FALSE),"")</f>
      </c>
      <c r="V239" s="57">
        <f>IFERROR(VLOOKUP($A:$A,CS!$A:$AK,35,FALSE),"")</f>
      </c>
      <c r="W239" s="57">
        <f>IFERROR(VLOOKUP($A:$A,CS!$A:$AK,36,FALSE),"")</f>
      </c>
    </row>
    <row r="240" ht="16.5" customHeight="1" spans="1:23" x14ac:dyDescent="0.25">
      <c r="A240" s="71"/>
      <c r="B240" s="57">
        <f>IFERROR(VLOOKUP($A:$A,CS!$A:$AK,3,FALSE),"")</f>
      </c>
      <c r="C240" s="57">
        <f>IFERROR(VLOOKUP($A:$A,CS!$A:$AK,4,FALSE),"")</f>
      </c>
      <c r="D240" s="57">
        <f>IFERROR(VLOOKUP($A:$A,CS!$A:$AK,5,FALSE),"")</f>
      </c>
      <c r="E240" s="57">
        <f>IFERROR(VLOOKUP($A:$A,CS!$A:$AK,7,FALSE),"")</f>
      </c>
      <c r="F240" s="57">
        <f>IFERROR(VLOOKUP($A:$A,CS!$A:$AK,8,FALSE),"")</f>
      </c>
      <c r="G240" s="57">
        <f>IFERROR(VLOOKUP($A:$A,CS!$A:$AK,10,FALSE),"")</f>
      </c>
      <c r="H240" s="57">
        <f>IFERROR(VLOOKUP($A:$A,CS!$A:$AK,14,FALSE),"")</f>
      </c>
      <c r="I240" s="57">
        <f>IFERROR(VLOOKUP($A:$A,CS!$A:$AK,15,FALSE),"")</f>
      </c>
      <c r="J240" s="57">
        <f>IFERROR(VLOOKUP($A:$A,CS!$A:$AK,18,FALSE),"")</f>
      </c>
      <c r="K240" s="57">
        <f>IFERROR(VLOOKUP($A:$A,CS!$A:$AK,19,FALSE),"")</f>
      </c>
      <c r="L240" s="57">
        <f>IFERROR(VLOOKUP($A:$A,CS!$A:$AK,20,FALSE),"")</f>
      </c>
      <c r="M240" s="57">
        <f>IFERROR(VLOOKUP($A:$A,CS!$A:$AK,22,FALSE),"")</f>
      </c>
      <c r="N240" s="57">
        <f>IFERROR(VLOOKUP($A:$A,CS!$A:$AK,19,FALSE),"")</f>
      </c>
      <c r="O240" s="57">
        <f>IFERROR(VLOOKUP($A:$A,CS!$A:$AK,23,FALSE),"")</f>
      </c>
      <c r="P240" s="57">
        <f>IFERROR(VLOOKUP($A:$A,CS!$A:$AK,24,FALSE),"")</f>
      </c>
      <c r="Q240" s="57">
        <f>IFERROR(VLOOKUP($A:$A,CS!$A:$AK,25,FALSE),"")</f>
      </c>
      <c r="R240" s="57">
        <f>IFERROR(VLOOKUP($A:$A,CS!$A:$AK,26,FALSE),"")</f>
      </c>
      <c r="S240" s="57">
        <f>IFERROR(VLOOKUP($A:$A,CS!$A:$AK,29,FALSE),"")</f>
      </c>
      <c r="T240" s="57">
        <f>IFERROR(VLOOKUP($A:$A,CS!$A:$AK,33,FALSE),"")</f>
      </c>
      <c r="U240" s="57">
        <f>IFERROR(VLOOKUP($A:$A,CS!$A:$AK,34,FALSE),"")</f>
      </c>
      <c r="V240" s="57">
        <f>IFERROR(VLOOKUP($A:$A,CS!$A:$AK,35,FALSE),"")</f>
      </c>
      <c r="W240" s="57">
        <f>IFERROR(VLOOKUP($A:$A,CS!$A:$AK,36,FALSE),"")</f>
      </c>
    </row>
    <row r="241" ht="16.5" customHeight="1" spans="1:23" x14ac:dyDescent="0.25">
      <c r="A241" s="71"/>
      <c r="B241" s="57">
        <f>IFERROR(VLOOKUP($A:$A,CS!$A:$AK,3,FALSE),"")</f>
      </c>
      <c r="C241" s="57">
        <f>IFERROR(VLOOKUP($A:$A,CS!$A:$AK,4,FALSE),"")</f>
      </c>
      <c r="D241" s="57">
        <f>IFERROR(VLOOKUP($A:$A,CS!$A:$AK,5,FALSE),"")</f>
      </c>
      <c r="E241" s="57">
        <f>IFERROR(VLOOKUP($A:$A,CS!$A:$AK,7,FALSE),"")</f>
      </c>
      <c r="F241" s="57">
        <f>IFERROR(VLOOKUP($A:$A,CS!$A:$AK,8,FALSE),"")</f>
      </c>
      <c r="G241" s="57">
        <f>IFERROR(VLOOKUP($A:$A,CS!$A:$AK,10,FALSE),"")</f>
      </c>
      <c r="H241" s="57">
        <f>IFERROR(VLOOKUP($A:$A,CS!$A:$AK,14,FALSE),"")</f>
      </c>
      <c r="I241" s="57">
        <f>IFERROR(VLOOKUP($A:$A,CS!$A:$AK,15,FALSE),"")</f>
      </c>
      <c r="J241" s="57">
        <f>IFERROR(VLOOKUP($A:$A,CS!$A:$AK,18,FALSE),"")</f>
      </c>
      <c r="K241" s="57">
        <f>IFERROR(VLOOKUP($A:$A,CS!$A:$AK,19,FALSE),"")</f>
      </c>
      <c r="L241" s="57">
        <f>IFERROR(VLOOKUP($A:$A,CS!$A:$AK,20,FALSE),"")</f>
      </c>
      <c r="M241" s="57">
        <f>IFERROR(VLOOKUP($A:$A,CS!$A:$AK,22,FALSE),"")</f>
      </c>
      <c r="N241" s="57">
        <f>IFERROR(VLOOKUP($A:$A,CS!$A:$AK,19,FALSE),"")</f>
      </c>
      <c r="O241" s="57">
        <f>IFERROR(VLOOKUP($A:$A,CS!$A:$AK,23,FALSE),"")</f>
      </c>
      <c r="P241" s="57">
        <f>IFERROR(VLOOKUP($A:$A,CS!$A:$AK,24,FALSE),"")</f>
      </c>
      <c r="Q241" s="57">
        <f>IFERROR(VLOOKUP($A:$A,CS!$A:$AK,25,FALSE),"")</f>
      </c>
      <c r="R241" s="57">
        <f>IFERROR(VLOOKUP($A:$A,CS!$A:$AK,26,FALSE),"")</f>
      </c>
      <c r="S241" s="57">
        <f>IFERROR(VLOOKUP($A:$A,CS!$A:$AK,29,FALSE),"")</f>
      </c>
      <c r="T241" s="57">
        <f>IFERROR(VLOOKUP($A:$A,CS!$A:$AK,33,FALSE),"")</f>
      </c>
      <c r="U241" s="57">
        <f>IFERROR(VLOOKUP($A:$A,CS!$A:$AK,34,FALSE),"")</f>
      </c>
      <c r="V241" s="57">
        <f>IFERROR(VLOOKUP($A:$A,CS!$A:$AK,35,FALSE),"")</f>
      </c>
      <c r="W241" s="57">
        <f>IFERROR(VLOOKUP($A:$A,CS!$A:$AK,36,FALSE),"")</f>
      </c>
    </row>
    <row r="242" ht="16.5" customHeight="1" spans="1:23" x14ac:dyDescent="0.25">
      <c r="A242" s="71"/>
      <c r="B242" s="57">
        <f>IFERROR(VLOOKUP($A:$A,CS!$A:$AK,3,FALSE),"")</f>
      </c>
      <c r="C242" s="57">
        <f>IFERROR(VLOOKUP($A:$A,CS!$A:$AK,4,FALSE),"")</f>
      </c>
      <c r="D242" s="57">
        <f>IFERROR(VLOOKUP($A:$A,CS!$A:$AK,5,FALSE),"")</f>
      </c>
      <c r="E242" s="57">
        <f>IFERROR(VLOOKUP($A:$A,CS!$A:$AK,7,FALSE),"")</f>
      </c>
      <c r="F242" s="57">
        <f>IFERROR(VLOOKUP($A:$A,CS!$A:$AK,8,FALSE),"")</f>
      </c>
      <c r="G242" s="57">
        <f>IFERROR(VLOOKUP($A:$A,CS!$A:$AK,10,FALSE),"")</f>
      </c>
      <c r="H242" s="57">
        <f>IFERROR(VLOOKUP($A:$A,CS!$A:$AK,14,FALSE),"")</f>
      </c>
      <c r="I242" s="57">
        <f>IFERROR(VLOOKUP($A:$A,CS!$A:$AK,15,FALSE),"")</f>
      </c>
      <c r="J242" s="57">
        <f>IFERROR(VLOOKUP($A:$A,CS!$A:$AK,18,FALSE),"")</f>
      </c>
      <c r="K242" s="57">
        <f>IFERROR(VLOOKUP($A:$A,CS!$A:$AK,19,FALSE),"")</f>
      </c>
      <c r="L242" s="57">
        <f>IFERROR(VLOOKUP($A:$A,CS!$A:$AK,20,FALSE),"")</f>
      </c>
      <c r="M242" s="57">
        <f>IFERROR(VLOOKUP($A:$A,CS!$A:$AK,22,FALSE),"")</f>
      </c>
      <c r="N242" s="57">
        <f>IFERROR(VLOOKUP($A:$A,CS!$A:$AK,19,FALSE),"")</f>
      </c>
      <c r="O242" s="57">
        <f>IFERROR(VLOOKUP($A:$A,CS!$A:$AK,23,FALSE),"")</f>
      </c>
      <c r="P242" s="57">
        <f>IFERROR(VLOOKUP($A:$A,CS!$A:$AK,24,FALSE),"")</f>
      </c>
      <c r="Q242" s="57">
        <f>IFERROR(VLOOKUP($A:$A,CS!$A:$AK,25,FALSE),"")</f>
      </c>
      <c r="R242" s="57">
        <f>IFERROR(VLOOKUP($A:$A,CS!$A:$AK,26,FALSE),"")</f>
      </c>
      <c r="S242" s="57">
        <f>IFERROR(VLOOKUP($A:$A,CS!$A:$AK,29,FALSE),"")</f>
      </c>
      <c r="T242" s="57">
        <f>IFERROR(VLOOKUP($A:$A,CS!$A:$AK,33,FALSE),"")</f>
      </c>
      <c r="U242" s="57">
        <f>IFERROR(VLOOKUP($A:$A,CS!$A:$AK,34,FALSE),"")</f>
      </c>
      <c r="V242" s="57">
        <f>IFERROR(VLOOKUP($A:$A,CS!$A:$AK,35,FALSE),"")</f>
      </c>
      <c r="W242" s="57">
        <f>IFERROR(VLOOKUP($A:$A,CS!$A:$AK,36,FALSE),"")</f>
      </c>
    </row>
    <row r="243" ht="16.5" customHeight="1" spans="1:23" x14ac:dyDescent="0.25">
      <c r="A243" s="71"/>
      <c r="B243" s="57">
        <f>IFERROR(VLOOKUP($A:$A,CS!$A:$AK,3,FALSE),"")</f>
      </c>
      <c r="C243" s="57">
        <f>IFERROR(VLOOKUP($A:$A,CS!$A:$AK,4,FALSE),"")</f>
      </c>
      <c r="D243" s="57">
        <f>IFERROR(VLOOKUP($A:$A,CS!$A:$AK,5,FALSE),"")</f>
      </c>
      <c r="E243" s="57">
        <f>IFERROR(VLOOKUP($A:$A,CS!$A:$AK,7,FALSE),"")</f>
      </c>
      <c r="F243" s="57">
        <f>IFERROR(VLOOKUP($A:$A,CS!$A:$AK,8,FALSE),"")</f>
      </c>
      <c r="G243" s="57">
        <f>IFERROR(VLOOKUP($A:$A,CS!$A:$AK,10,FALSE),"")</f>
      </c>
      <c r="H243" s="57">
        <f>IFERROR(VLOOKUP($A:$A,CS!$A:$AK,14,FALSE),"")</f>
      </c>
      <c r="I243" s="57">
        <f>IFERROR(VLOOKUP($A:$A,CS!$A:$AK,15,FALSE),"")</f>
      </c>
      <c r="J243" s="57">
        <f>IFERROR(VLOOKUP($A:$A,CS!$A:$AK,18,FALSE),"")</f>
      </c>
      <c r="K243" s="57">
        <f>IFERROR(VLOOKUP($A:$A,CS!$A:$AK,19,FALSE),"")</f>
      </c>
      <c r="L243" s="57">
        <f>IFERROR(VLOOKUP($A:$A,CS!$A:$AK,20,FALSE),"")</f>
      </c>
      <c r="M243" s="57">
        <f>IFERROR(VLOOKUP($A:$A,CS!$A:$AK,22,FALSE),"")</f>
      </c>
      <c r="N243" s="57">
        <f>IFERROR(VLOOKUP($A:$A,CS!$A:$AK,19,FALSE),"")</f>
      </c>
      <c r="O243" s="57">
        <f>IFERROR(VLOOKUP($A:$A,CS!$A:$AK,23,FALSE),"")</f>
      </c>
      <c r="P243" s="57">
        <f>IFERROR(VLOOKUP($A:$A,CS!$A:$AK,24,FALSE),"")</f>
      </c>
      <c r="Q243" s="57">
        <f>IFERROR(VLOOKUP($A:$A,CS!$A:$AK,25,FALSE),"")</f>
      </c>
      <c r="R243" s="57">
        <f>IFERROR(VLOOKUP($A:$A,CS!$A:$AK,26,FALSE),"")</f>
      </c>
      <c r="S243" s="57">
        <f>IFERROR(VLOOKUP($A:$A,CS!$A:$AK,29,FALSE),"")</f>
      </c>
      <c r="T243" s="57">
        <f>IFERROR(VLOOKUP($A:$A,CS!$A:$AK,33,FALSE),"")</f>
      </c>
      <c r="U243" s="57">
        <f>IFERROR(VLOOKUP($A:$A,CS!$A:$AK,34,FALSE),"")</f>
      </c>
      <c r="V243" s="57">
        <f>IFERROR(VLOOKUP($A:$A,CS!$A:$AK,35,FALSE),"")</f>
      </c>
      <c r="W243" s="57">
        <f>IFERROR(VLOOKUP($A:$A,CS!$A:$AK,36,FALSE),"")</f>
      </c>
    </row>
    <row r="244" ht="16.5" customHeight="1" spans="1:23" x14ac:dyDescent="0.25">
      <c r="A244" s="71"/>
      <c r="B244" s="57">
        <f>IFERROR(VLOOKUP($A:$A,CS!$A:$AK,3,FALSE),"")</f>
      </c>
      <c r="C244" s="57">
        <f>IFERROR(VLOOKUP($A:$A,CS!$A:$AK,4,FALSE),"")</f>
      </c>
      <c r="D244" s="57">
        <f>IFERROR(VLOOKUP($A:$A,CS!$A:$AK,5,FALSE),"")</f>
      </c>
      <c r="E244" s="57">
        <f>IFERROR(VLOOKUP($A:$A,CS!$A:$AK,7,FALSE),"")</f>
      </c>
      <c r="F244" s="57">
        <f>IFERROR(VLOOKUP($A:$A,CS!$A:$AK,8,FALSE),"")</f>
      </c>
      <c r="G244" s="57">
        <f>IFERROR(VLOOKUP($A:$A,CS!$A:$AK,10,FALSE),"")</f>
      </c>
      <c r="H244" s="57">
        <f>IFERROR(VLOOKUP($A:$A,CS!$A:$AK,14,FALSE),"")</f>
      </c>
      <c r="I244" s="57">
        <f>IFERROR(VLOOKUP($A:$A,CS!$A:$AK,15,FALSE),"")</f>
      </c>
      <c r="J244" s="57">
        <f>IFERROR(VLOOKUP($A:$A,CS!$A:$AK,18,FALSE),"")</f>
      </c>
      <c r="K244" s="57">
        <f>IFERROR(VLOOKUP($A:$A,CS!$A:$AK,19,FALSE),"")</f>
      </c>
      <c r="L244" s="57">
        <f>IFERROR(VLOOKUP($A:$A,CS!$A:$AK,20,FALSE),"")</f>
      </c>
      <c r="M244" s="57">
        <f>IFERROR(VLOOKUP($A:$A,CS!$A:$AK,22,FALSE),"")</f>
      </c>
      <c r="N244" s="57">
        <f>IFERROR(VLOOKUP($A:$A,CS!$A:$AK,19,FALSE),"")</f>
      </c>
      <c r="O244" s="57">
        <f>IFERROR(VLOOKUP($A:$A,CS!$A:$AK,23,FALSE),"")</f>
      </c>
      <c r="P244" s="57">
        <f>IFERROR(VLOOKUP($A:$A,CS!$A:$AK,24,FALSE),"")</f>
      </c>
      <c r="Q244" s="57">
        <f>IFERROR(VLOOKUP($A:$A,CS!$A:$AK,25,FALSE),"")</f>
      </c>
      <c r="R244" s="57">
        <f>IFERROR(VLOOKUP($A:$A,CS!$A:$AK,26,FALSE),"")</f>
      </c>
      <c r="S244" s="57">
        <f>IFERROR(VLOOKUP($A:$A,CS!$A:$AK,29,FALSE),"")</f>
      </c>
      <c r="T244" s="57">
        <f>IFERROR(VLOOKUP($A:$A,CS!$A:$AK,33,FALSE),"")</f>
      </c>
      <c r="U244" s="57">
        <f>IFERROR(VLOOKUP($A:$A,CS!$A:$AK,34,FALSE),"")</f>
      </c>
      <c r="V244" s="57">
        <f>IFERROR(VLOOKUP($A:$A,CS!$A:$AK,35,FALSE),"")</f>
      </c>
      <c r="W244" s="57">
        <f>IFERROR(VLOOKUP($A:$A,CS!$A:$AK,36,FALSE),"")</f>
      </c>
    </row>
    <row r="245" ht="16.5" customHeight="1" spans="1:23" x14ac:dyDescent="0.25">
      <c r="A245" s="71"/>
      <c r="B245" s="57">
        <f>IFERROR(VLOOKUP($A:$A,CS!$A:$AK,3,FALSE),"")</f>
      </c>
      <c r="C245" s="57">
        <f>IFERROR(VLOOKUP($A:$A,CS!$A:$AK,4,FALSE),"")</f>
      </c>
      <c r="D245" s="57">
        <f>IFERROR(VLOOKUP($A:$A,CS!$A:$AK,5,FALSE),"")</f>
      </c>
      <c r="E245" s="57">
        <f>IFERROR(VLOOKUP($A:$A,CS!$A:$AK,7,FALSE),"")</f>
      </c>
      <c r="F245" s="57">
        <f>IFERROR(VLOOKUP($A:$A,CS!$A:$AK,8,FALSE),"")</f>
      </c>
      <c r="G245" s="57">
        <f>IFERROR(VLOOKUP($A:$A,CS!$A:$AK,10,FALSE),"")</f>
      </c>
      <c r="H245" s="57">
        <f>IFERROR(VLOOKUP($A:$A,CS!$A:$AK,14,FALSE),"")</f>
      </c>
      <c r="I245" s="57">
        <f>IFERROR(VLOOKUP($A:$A,CS!$A:$AK,15,FALSE),"")</f>
      </c>
      <c r="J245" s="57">
        <f>IFERROR(VLOOKUP($A:$A,CS!$A:$AK,18,FALSE),"")</f>
      </c>
      <c r="K245" s="57">
        <f>IFERROR(VLOOKUP($A:$A,CS!$A:$AK,19,FALSE),"")</f>
      </c>
      <c r="L245" s="57">
        <f>IFERROR(VLOOKUP($A:$A,CS!$A:$AK,20,FALSE),"")</f>
      </c>
      <c r="M245" s="57">
        <f>IFERROR(VLOOKUP($A:$A,CS!$A:$AK,22,FALSE),"")</f>
      </c>
      <c r="N245" s="57">
        <f>IFERROR(VLOOKUP($A:$A,CS!$A:$AK,19,FALSE),"")</f>
      </c>
      <c r="O245" s="57">
        <f>IFERROR(VLOOKUP($A:$A,CS!$A:$AK,23,FALSE),"")</f>
      </c>
      <c r="P245" s="57">
        <f>IFERROR(VLOOKUP($A:$A,CS!$A:$AK,24,FALSE),"")</f>
      </c>
      <c r="Q245" s="57">
        <f>IFERROR(VLOOKUP($A:$A,CS!$A:$AK,25,FALSE),"")</f>
      </c>
      <c r="R245" s="57">
        <f>IFERROR(VLOOKUP($A:$A,CS!$A:$AK,26,FALSE),"")</f>
      </c>
      <c r="S245" s="57">
        <f>IFERROR(VLOOKUP($A:$A,CS!$A:$AK,29,FALSE),"")</f>
      </c>
      <c r="T245" s="57">
        <f>IFERROR(VLOOKUP($A:$A,CS!$A:$AK,33,FALSE),"")</f>
      </c>
      <c r="U245" s="57">
        <f>IFERROR(VLOOKUP($A:$A,CS!$A:$AK,34,FALSE),"")</f>
      </c>
      <c r="V245" s="57">
        <f>IFERROR(VLOOKUP($A:$A,CS!$A:$AK,35,FALSE),"")</f>
      </c>
      <c r="W245" s="57">
        <f>IFERROR(VLOOKUP($A:$A,CS!$A:$AK,36,FALSE),"")</f>
      </c>
    </row>
    <row r="246" ht="16.5" customHeight="1" spans="1:23" x14ac:dyDescent="0.25">
      <c r="A246" s="71"/>
      <c r="B246" s="57">
        <f>IFERROR(VLOOKUP($A:$A,CS!$A:$AK,3,FALSE),"")</f>
      </c>
      <c r="C246" s="57">
        <f>IFERROR(VLOOKUP($A:$A,CS!$A:$AK,4,FALSE),"")</f>
      </c>
      <c r="D246" s="57">
        <f>IFERROR(VLOOKUP($A:$A,CS!$A:$AK,5,FALSE),"")</f>
      </c>
      <c r="E246" s="57">
        <f>IFERROR(VLOOKUP($A:$A,CS!$A:$AK,7,FALSE),"")</f>
      </c>
      <c r="F246" s="57">
        <f>IFERROR(VLOOKUP($A:$A,CS!$A:$AK,8,FALSE),"")</f>
      </c>
      <c r="G246" s="57">
        <f>IFERROR(VLOOKUP($A:$A,CS!$A:$AK,10,FALSE),"")</f>
      </c>
      <c r="H246" s="57">
        <f>IFERROR(VLOOKUP($A:$A,CS!$A:$AK,14,FALSE),"")</f>
      </c>
      <c r="I246" s="57">
        <f>IFERROR(VLOOKUP($A:$A,CS!$A:$AK,15,FALSE),"")</f>
      </c>
      <c r="J246" s="57">
        <f>IFERROR(VLOOKUP($A:$A,CS!$A:$AK,18,FALSE),"")</f>
      </c>
      <c r="K246" s="57">
        <f>IFERROR(VLOOKUP($A:$A,CS!$A:$AK,19,FALSE),"")</f>
      </c>
      <c r="L246" s="57">
        <f>IFERROR(VLOOKUP($A:$A,CS!$A:$AK,20,FALSE),"")</f>
      </c>
      <c r="M246" s="57">
        <f>IFERROR(VLOOKUP($A:$A,CS!$A:$AK,22,FALSE),"")</f>
      </c>
      <c r="N246" s="57">
        <f>IFERROR(VLOOKUP($A:$A,CS!$A:$AK,19,FALSE),"")</f>
      </c>
      <c r="O246" s="57">
        <f>IFERROR(VLOOKUP($A:$A,CS!$A:$AK,23,FALSE),"")</f>
      </c>
      <c r="P246" s="57">
        <f>IFERROR(VLOOKUP($A:$A,CS!$A:$AK,24,FALSE),"")</f>
      </c>
      <c r="Q246" s="57">
        <f>IFERROR(VLOOKUP($A:$A,CS!$A:$AK,25,FALSE),"")</f>
      </c>
      <c r="R246" s="57">
        <f>IFERROR(VLOOKUP($A:$A,CS!$A:$AK,26,FALSE),"")</f>
      </c>
      <c r="S246" s="57">
        <f>IFERROR(VLOOKUP($A:$A,CS!$A:$AK,29,FALSE),"")</f>
      </c>
      <c r="T246" s="57">
        <f>IFERROR(VLOOKUP($A:$A,CS!$A:$AK,33,FALSE),"")</f>
      </c>
      <c r="U246" s="57">
        <f>IFERROR(VLOOKUP($A:$A,CS!$A:$AK,34,FALSE),"")</f>
      </c>
      <c r="V246" s="57">
        <f>IFERROR(VLOOKUP($A:$A,CS!$A:$AK,35,FALSE),"")</f>
      </c>
      <c r="W246" s="57">
        <f>IFERROR(VLOOKUP($A:$A,CS!$A:$AK,36,FALSE),"")</f>
      </c>
    </row>
    <row r="247" ht="16.5" customHeight="1" spans="1:23" x14ac:dyDescent="0.25">
      <c r="A247" s="71"/>
      <c r="B247" s="57">
        <f>IFERROR(VLOOKUP($A:$A,CS!$A:$AK,3,FALSE),"")</f>
      </c>
      <c r="C247" s="57">
        <f>IFERROR(VLOOKUP($A:$A,CS!$A:$AK,4,FALSE),"")</f>
      </c>
      <c r="D247" s="57">
        <f>IFERROR(VLOOKUP($A:$A,CS!$A:$AK,5,FALSE),"")</f>
      </c>
      <c r="E247" s="57">
        <f>IFERROR(VLOOKUP($A:$A,CS!$A:$AK,7,FALSE),"")</f>
      </c>
      <c r="F247" s="57">
        <f>IFERROR(VLOOKUP($A:$A,CS!$A:$AK,8,FALSE),"")</f>
      </c>
      <c r="G247" s="57">
        <f>IFERROR(VLOOKUP($A:$A,CS!$A:$AK,10,FALSE),"")</f>
      </c>
      <c r="H247" s="57">
        <f>IFERROR(VLOOKUP($A:$A,CS!$A:$AK,14,FALSE),"")</f>
      </c>
      <c r="I247" s="57">
        <f>IFERROR(VLOOKUP($A:$A,CS!$A:$AK,15,FALSE),"")</f>
      </c>
      <c r="J247" s="57">
        <f>IFERROR(VLOOKUP($A:$A,CS!$A:$AK,18,FALSE),"")</f>
      </c>
      <c r="K247" s="57">
        <f>IFERROR(VLOOKUP($A:$A,CS!$A:$AK,19,FALSE),"")</f>
      </c>
      <c r="L247" s="57">
        <f>IFERROR(VLOOKUP($A:$A,CS!$A:$AK,20,FALSE),"")</f>
      </c>
      <c r="M247" s="57">
        <f>IFERROR(VLOOKUP($A:$A,CS!$A:$AK,22,FALSE),"")</f>
      </c>
      <c r="N247" s="57">
        <f>IFERROR(VLOOKUP($A:$A,CS!$A:$AK,19,FALSE),"")</f>
      </c>
      <c r="O247" s="57">
        <f>IFERROR(VLOOKUP($A:$A,CS!$A:$AK,23,FALSE),"")</f>
      </c>
      <c r="P247" s="57">
        <f>IFERROR(VLOOKUP($A:$A,CS!$A:$AK,24,FALSE),"")</f>
      </c>
      <c r="Q247" s="57">
        <f>IFERROR(VLOOKUP($A:$A,CS!$A:$AK,25,FALSE),"")</f>
      </c>
      <c r="R247" s="57">
        <f>IFERROR(VLOOKUP($A:$A,CS!$A:$AK,26,FALSE),"")</f>
      </c>
      <c r="S247" s="57">
        <f>IFERROR(VLOOKUP($A:$A,CS!$A:$AK,29,FALSE),"")</f>
      </c>
      <c r="T247" s="57">
        <f>IFERROR(VLOOKUP($A:$A,CS!$A:$AK,33,FALSE),"")</f>
      </c>
      <c r="U247" s="57">
        <f>IFERROR(VLOOKUP($A:$A,CS!$A:$AK,34,FALSE),"")</f>
      </c>
      <c r="V247" s="57">
        <f>IFERROR(VLOOKUP($A:$A,CS!$A:$AK,35,FALSE),"")</f>
      </c>
      <c r="W247" s="57">
        <f>IFERROR(VLOOKUP($A:$A,CS!$A:$AK,36,FALSE),"")</f>
      </c>
    </row>
    <row r="248" ht="16.5" customHeight="1" spans="1:23" x14ac:dyDescent="0.25">
      <c r="A248" s="71"/>
      <c r="B248" s="57">
        <f>IFERROR(VLOOKUP($A:$A,CS!$A:$AK,3,FALSE),"")</f>
      </c>
      <c r="C248" s="57">
        <f>IFERROR(VLOOKUP($A:$A,CS!$A:$AK,4,FALSE),"")</f>
      </c>
      <c r="D248" s="57">
        <f>IFERROR(VLOOKUP($A:$A,CS!$A:$AK,5,FALSE),"")</f>
      </c>
      <c r="E248" s="57">
        <f>IFERROR(VLOOKUP($A:$A,CS!$A:$AK,7,FALSE),"")</f>
      </c>
      <c r="F248" s="57">
        <f>IFERROR(VLOOKUP($A:$A,CS!$A:$AK,8,FALSE),"")</f>
      </c>
      <c r="G248" s="57">
        <f>IFERROR(VLOOKUP($A:$A,CS!$A:$AK,10,FALSE),"")</f>
      </c>
      <c r="H248" s="57">
        <f>IFERROR(VLOOKUP($A:$A,CS!$A:$AK,14,FALSE),"")</f>
      </c>
      <c r="I248" s="57">
        <f>IFERROR(VLOOKUP($A:$A,CS!$A:$AK,15,FALSE),"")</f>
      </c>
      <c r="J248" s="57">
        <f>IFERROR(VLOOKUP($A:$A,CS!$A:$AK,18,FALSE),"")</f>
      </c>
      <c r="K248" s="57">
        <f>IFERROR(VLOOKUP($A:$A,CS!$A:$AK,19,FALSE),"")</f>
      </c>
      <c r="L248" s="57">
        <f>IFERROR(VLOOKUP($A:$A,CS!$A:$AK,20,FALSE),"")</f>
      </c>
      <c r="M248" s="57">
        <f>IFERROR(VLOOKUP($A:$A,CS!$A:$AK,22,FALSE),"")</f>
      </c>
      <c r="N248" s="57">
        <f>IFERROR(VLOOKUP($A:$A,CS!$A:$AK,19,FALSE),"")</f>
      </c>
      <c r="O248" s="57">
        <f>IFERROR(VLOOKUP($A:$A,CS!$A:$AK,23,FALSE),"")</f>
      </c>
      <c r="P248" s="57">
        <f>IFERROR(VLOOKUP($A:$A,CS!$A:$AK,24,FALSE),"")</f>
      </c>
      <c r="Q248" s="57">
        <f>IFERROR(VLOOKUP($A:$A,CS!$A:$AK,25,FALSE),"")</f>
      </c>
      <c r="R248" s="57">
        <f>IFERROR(VLOOKUP($A:$A,CS!$A:$AK,26,FALSE),"")</f>
      </c>
      <c r="S248" s="57">
        <f>IFERROR(VLOOKUP($A:$A,CS!$A:$AK,29,FALSE),"")</f>
      </c>
      <c r="T248" s="57">
        <f>IFERROR(VLOOKUP($A:$A,CS!$A:$AK,33,FALSE),"")</f>
      </c>
      <c r="U248" s="57">
        <f>IFERROR(VLOOKUP($A:$A,CS!$A:$AK,34,FALSE),"")</f>
      </c>
      <c r="V248" s="57">
        <f>IFERROR(VLOOKUP($A:$A,CS!$A:$AK,35,FALSE),"")</f>
      </c>
      <c r="W248" s="57">
        <f>IFERROR(VLOOKUP($A:$A,CS!$A:$AK,36,FALSE),"")</f>
      </c>
    </row>
    <row r="249" ht="16.5" customHeight="1" spans="1:23" x14ac:dyDescent="0.25">
      <c r="A249" s="71"/>
      <c r="B249" s="57">
        <f>IFERROR(VLOOKUP($A:$A,CS!$A:$AK,3,FALSE),"")</f>
      </c>
      <c r="C249" s="57">
        <f>IFERROR(VLOOKUP($A:$A,CS!$A:$AK,4,FALSE),"")</f>
      </c>
      <c r="D249" s="57">
        <f>IFERROR(VLOOKUP($A:$A,CS!$A:$AK,5,FALSE),"")</f>
      </c>
      <c r="E249" s="57">
        <f>IFERROR(VLOOKUP($A:$A,CS!$A:$AK,7,FALSE),"")</f>
      </c>
      <c r="F249" s="57">
        <f>IFERROR(VLOOKUP($A:$A,CS!$A:$AK,8,FALSE),"")</f>
      </c>
      <c r="G249" s="57">
        <f>IFERROR(VLOOKUP($A:$A,CS!$A:$AK,10,FALSE),"")</f>
      </c>
      <c r="H249" s="57">
        <f>IFERROR(VLOOKUP($A:$A,CS!$A:$AK,14,FALSE),"")</f>
      </c>
      <c r="I249" s="57">
        <f>IFERROR(VLOOKUP($A:$A,CS!$A:$AK,15,FALSE),"")</f>
      </c>
      <c r="J249" s="57">
        <f>IFERROR(VLOOKUP($A:$A,CS!$A:$AK,18,FALSE),"")</f>
      </c>
      <c r="K249" s="57">
        <f>IFERROR(VLOOKUP($A:$A,CS!$A:$AK,19,FALSE),"")</f>
      </c>
      <c r="L249" s="57">
        <f>IFERROR(VLOOKUP($A:$A,CS!$A:$AK,20,FALSE),"")</f>
      </c>
      <c r="M249" s="57">
        <f>IFERROR(VLOOKUP($A:$A,CS!$A:$AK,22,FALSE),"")</f>
      </c>
      <c r="N249" s="57">
        <f>IFERROR(VLOOKUP($A:$A,CS!$A:$AK,19,FALSE),"")</f>
      </c>
      <c r="O249" s="57">
        <f>IFERROR(VLOOKUP($A:$A,CS!$A:$AK,23,FALSE),"")</f>
      </c>
      <c r="P249" s="57">
        <f>IFERROR(VLOOKUP($A:$A,CS!$A:$AK,24,FALSE),"")</f>
      </c>
      <c r="Q249" s="57">
        <f>IFERROR(VLOOKUP($A:$A,CS!$A:$AK,25,FALSE),"")</f>
      </c>
      <c r="R249" s="57">
        <f>IFERROR(VLOOKUP($A:$A,CS!$A:$AK,26,FALSE),"")</f>
      </c>
      <c r="S249" s="57">
        <f>IFERROR(VLOOKUP($A:$A,CS!$A:$AK,29,FALSE),"")</f>
      </c>
      <c r="T249" s="57">
        <f>IFERROR(VLOOKUP($A:$A,CS!$A:$AK,33,FALSE),"")</f>
      </c>
      <c r="U249" s="57">
        <f>IFERROR(VLOOKUP($A:$A,CS!$A:$AK,34,FALSE),"")</f>
      </c>
      <c r="V249" s="57">
        <f>IFERROR(VLOOKUP($A:$A,CS!$A:$AK,35,FALSE),"")</f>
      </c>
      <c r="W249" s="57">
        <f>IFERROR(VLOOKUP($A:$A,CS!$A:$AK,36,FALSE),"")</f>
      </c>
    </row>
    <row r="250" ht="16.5" customHeight="1" spans="1:23" x14ac:dyDescent="0.25">
      <c r="A250" s="71"/>
      <c r="B250" s="57">
        <f>IFERROR(VLOOKUP($A:$A,CS!$A:$AK,3,FALSE),"")</f>
      </c>
      <c r="C250" s="57">
        <f>IFERROR(VLOOKUP($A:$A,CS!$A:$AK,4,FALSE),"")</f>
      </c>
      <c r="D250" s="57">
        <f>IFERROR(VLOOKUP($A:$A,CS!$A:$AK,5,FALSE),"")</f>
      </c>
      <c r="E250" s="57">
        <f>IFERROR(VLOOKUP($A:$A,CS!$A:$AK,7,FALSE),"")</f>
      </c>
      <c r="F250" s="57">
        <f>IFERROR(VLOOKUP($A:$A,CS!$A:$AK,8,FALSE),"")</f>
      </c>
      <c r="G250" s="57">
        <f>IFERROR(VLOOKUP($A:$A,CS!$A:$AK,10,FALSE),"")</f>
      </c>
      <c r="H250" s="57">
        <f>IFERROR(VLOOKUP($A:$A,CS!$A:$AK,14,FALSE),"")</f>
      </c>
      <c r="I250" s="57">
        <f>IFERROR(VLOOKUP($A:$A,CS!$A:$AK,15,FALSE),"")</f>
      </c>
      <c r="J250" s="57">
        <f>IFERROR(VLOOKUP($A:$A,CS!$A:$AK,18,FALSE),"")</f>
      </c>
      <c r="K250" s="57">
        <f>IFERROR(VLOOKUP($A:$A,CS!$A:$AK,19,FALSE),"")</f>
      </c>
      <c r="L250" s="57">
        <f>IFERROR(VLOOKUP($A:$A,CS!$A:$AK,20,FALSE),"")</f>
      </c>
      <c r="M250" s="57">
        <f>IFERROR(VLOOKUP($A:$A,CS!$A:$AK,22,FALSE),"")</f>
      </c>
      <c r="N250" s="57">
        <f>IFERROR(VLOOKUP($A:$A,CS!$A:$AK,19,FALSE),"")</f>
      </c>
      <c r="O250" s="57">
        <f>IFERROR(VLOOKUP($A:$A,CS!$A:$AK,23,FALSE),"")</f>
      </c>
      <c r="P250" s="57">
        <f>IFERROR(VLOOKUP($A:$A,CS!$A:$AK,24,FALSE),"")</f>
      </c>
      <c r="Q250" s="57">
        <f>IFERROR(VLOOKUP($A:$A,CS!$A:$AK,25,FALSE),"")</f>
      </c>
      <c r="R250" s="57">
        <f>IFERROR(VLOOKUP($A:$A,CS!$A:$AK,26,FALSE),"")</f>
      </c>
      <c r="S250" s="57">
        <f>IFERROR(VLOOKUP($A:$A,CS!$A:$AK,29,FALSE),"")</f>
      </c>
      <c r="T250" s="57">
        <f>IFERROR(VLOOKUP($A:$A,CS!$A:$AK,33,FALSE),"")</f>
      </c>
      <c r="U250" s="57">
        <f>IFERROR(VLOOKUP($A:$A,CS!$A:$AK,34,FALSE),"")</f>
      </c>
      <c r="V250" s="57">
        <f>IFERROR(VLOOKUP($A:$A,CS!$A:$AK,35,FALSE),"")</f>
      </c>
      <c r="W250" s="57">
        <f>IFERROR(VLOOKUP($A:$A,CS!$A:$AK,36,FALSE),"")</f>
      </c>
    </row>
    <row r="251" ht="16.5" customHeight="1" spans="1:23" x14ac:dyDescent="0.25">
      <c r="A251" s="71"/>
      <c r="B251" s="57">
        <f>IFERROR(VLOOKUP($A:$A,CS!$A:$AK,3,FALSE),"")</f>
      </c>
      <c r="C251" s="57">
        <f>IFERROR(VLOOKUP($A:$A,CS!$A:$AK,4,FALSE),"")</f>
      </c>
      <c r="D251" s="57">
        <f>IFERROR(VLOOKUP($A:$A,CS!$A:$AK,5,FALSE),"")</f>
      </c>
      <c r="E251" s="57">
        <f>IFERROR(VLOOKUP($A:$A,CS!$A:$AK,7,FALSE),"")</f>
      </c>
      <c r="F251" s="57">
        <f>IFERROR(VLOOKUP($A:$A,CS!$A:$AK,8,FALSE),"")</f>
      </c>
      <c r="G251" s="57">
        <f>IFERROR(VLOOKUP($A:$A,CS!$A:$AK,10,FALSE),"")</f>
      </c>
      <c r="H251" s="57">
        <f>IFERROR(VLOOKUP($A:$A,CS!$A:$AK,14,FALSE),"")</f>
      </c>
      <c r="I251" s="57">
        <f>IFERROR(VLOOKUP($A:$A,CS!$A:$AK,15,FALSE),"")</f>
      </c>
      <c r="J251" s="57">
        <f>IFERROR(VLOOKUP($A:$A,CS!$A:$AK,18,FALSE),"")</f>
      </c>
      <c r="K251" s="57">
        <f>IFERROR(VLOOKUP($A:$A,CS!$A:$AK,19,FALSE),"")</f>
      </c>
      <c r="L251" s="57">
        <f>IFERROR(VLOOKUP($A:$A,CS!$A:$AK,20,FALSE),"")</f>
      </c>
      <c r="M251" s="57">
        <f>IFERROR(VLOOKUP($A:$A,CS!$A:$AK,22,FALSE),"")</f>
      </c>
      <c r="N251" s="57">
        <f>IFERROR(VLOOKUP($A:$A,CS!$A:$AK,19,FALSE),"")</f>
      </c>
      <c r="O251" s="57">
        <f>IFERROR(VLOOKUP($A:$A,CS!$A:$AK,23,FALSE),"")</f>
      </c>
      <c r="P251" s="57">
        <f>IFERROR(VLOOKUP($A:$A,CS!$A:$AK,24,FALSE),"")</f>
      </c>
      <c r="Q251" s="57">
        <f>IFERROR(VLOOKUP($A:$A,CS!$A:$AK,25,FALSE),"")</f>
      </c>
      <c r="R251" s="57">
        <f>IFERROR(VLOOKUP($A:$A,CS!$A:$AK,26,FALSE),"")</f>
      </c>
      <c r="S251" s="57">
        <f>IFERROR(VLOOKUP($A:$A,CS!$A:$AK,29,FALSE),"")</f>
      </c>
      <c r="T251" s="57">
        <f>IFERROR(VLOOKUP($A:$A,CS!$A:$AK,33,FALSE),"")</f>
      </c>
      <c r="U251" s="57">
        <f>IFERROR(VLOOKUP($A:$A,CS!$A:$AK,34,FALSE),"")</f>
      </c>
      <c r="V251" s="57">
        <f>IFERROR(VLOOKUP($A:$A,CS!$A:$AK,35,FALSE),"")</f>
      </c>
      <c r="W251" s="57">
        <f>IFERROR(VLOOKUP($A:$A,CS!$A:$AK,36,FALSE),"")</f>
      </c>
    </row>
    <row r="252" ht="16.5" customHeight="1" spans="1:23" x14ac:dyDescent="0.25">
      <c r="A252" s="71"/>
      <c r="B252" s="57">
        <f>IFERROR(VLOOKUP($A:$A,CS!$A:$AK,3,FALSE),"")</f>
      </c>
      <c r="C252" s="57">
        <f>IFERROR(VLOOKUP($A:$A,CS!$A:$AK,4,FALSE),"")</f>
      </c>
      <c r="D252" s="57">
        <f>IFERROR(VLOOKUP($A:$A,CS!$A:$AK,5,FALSE),"")</f>
      </c>
      <c r="E252" s="57">
        <f>IFERROR(VLOOKUP($A:$A,CS!$A:$AK,7,FALSE),"")</f>
      </c>
      <c r="F252" s="57">
        <f>IFERROR(VLOOKUP($A:$A,CS!$A:$AK,8,FALSE),"")</f>
      </c>
      <c r="G252" s="57">
        <f>IFERROR(VLOOKUP($A:$A,CS!$A:$AK,10,FALSE),"")</f>
      </c>
      <c r="H252" s="57">
        <f>IFERROR(VLOOKUP($A:$A,CS!$A:$AK,14,FALSE),"")</f>
      </c>
      <c r="I252" s="57">
        <f>IFERROR(VLOOKUP($A:$A,CS!$A:$AK,15,FALSE),"")</f>
      </c>
      <c r="J252" s="57">
        <f>IFERROR(VLOOKUP($A:$A,CS!$A:$AK,18,FALSE),"")</f>
      </c>
      <c r="K252" s="57">
        <f>IFERROR(VLOOKUP($A:$A,CS!$A:$AK,19,FALSE),"")</f>
      </c>
      <c r="L252" s="57">
        <f>IFERROR(VLOOKUP($A:$A,CS!$A:$AK,20,FALSE),"")</f>
      </c>
      <c r="M252" s="57">
        <f>IFERROR(VLOOKUP($A:$A,CS!$A:$AK,22,FALSE),"")</f>
      </c>
      <c r="N252" s="57">
        <f>IFERROR(VLOOKUP($A:$A,CS!$A:$AK,19,FALSE),"")</f>
      </c>
      <c r="O252" s="57">
        <f>IFERROR(VLOOKUP($A:$A,CS!$A:$AK,23,FALSE),"")</f>
      </c>
      <c r="P252" s="57">
        <f>IFERROR(VLOOKUP($A:$A,CS!$A:$AK,24,FALSE),"")</f>
      </c>
      <c r="Q252" s="57">
        <f>IFERROR(VLOOKUP($A:$A,CS!$A:$AK,25,FALSE),"")</f>
      </c>
      <c r="R252" s="57">
        <f>IFERROR(VLOOKUP($A:$A,CS!$A:$AK,26,FALSE),"")</f>
      </c>
      <c r="S252" s="57">
        <f>IFERROR(VLOOKUP($A:$A,CS!$A:$AK,29,FALSE),"")</f>
      </c>
      <c r="T252" s="57">
        <f>IFERROR(VLOOKUP($A:$A,CS!$A:$AK,33,FALSE),"")</f>
      </c>
      <c r="U252" s="57">
        <f>IFERROR(VLOOKUP($A:$A,CS!$A:$AK,34,FALSE),"")</f>
      </c>
      <c r="V252" s="57">
        <f>IFERROR(VLOOKUP($A:$A,CS!$A:$AK,35,FALSE),"")</f>
      </c>
      <c r="W252" s="57">
        <f>IFERROR(VLOOKUP($A:$A,CS!$A:$AK,36,FALSE),"")</f>
      </c>
    </row>
    <row r="253" ht="16.5" customHeight="1" spans="1:23" x14ac:dyDescent="0.25">
      <c r="A253" s="71"/>
      <c r="B253" s="57">
        <f>IFERROR(VLOOKUP($A:$A,CS!$A:$AK,3,FALSE),"")</f>
      </c>
      <c r="C253" s="57">
        <f>IFERROR(VLOOKUP($A:$A,CS!$A:$AK,4,FALSE),"")</f>
      </c>
      <c r="D253" s="57">
        <f>IFERROR(VLOOKUP($A:$A,CS!$A:$AK,5,FALSE),"")</f>
      </c>
      <c r="E253" s="57">
        <f>IFERROR(VLOOKUP($A:$A,CS!$A:$AK,7,FALSE),"")</f>
      </c>
      <c r="F253" s="57">
        <f>IFERROR(VLOOKUP($A:$A,CS!$A:$AK,8,FALSE),"")</f>
      </c>
      <c r="G253" s="57">
        <f>IFERROR(VLOOKUP($A:$A,CS!$A:$AK,10,FALSE),"")</f>
      </c>
      <c r="H253" s="57">
        <f>IFERROR(VLOOKUP($A:$A,CS!$A:$AK,14,FALSE),"")</f>
      </c>
      <c r="I253" s="57">
        <f>IFERROR(VLOOKUP($A:$A,CS!$A:$AK,15,FALSE),"")</f>
      </c>
      <c r="J253" s="57">
        <f>IFERROR(VLOOKUP($A:$A,CS!$A:$AK,18,FALSE),"")</f>
      </c>
      <c r="K253" s="57">
        <f>IFERROR(VLOOKUP($A:$A,CS!$A:$AK,19,FALSE),"")</f>
      </c>
      <c r="L253" s="57">
        <f>IFERROR(VLOOKUP($A:$A,CS!$A:$AK,20,FALSE),"")</f>
      </c>
      <c r="M253" s="57">
        <f>IFERROR(VLOOKUP($A:$A,CS!$A:$AK,22,FALSE),"")</f>
      </c>
      <c r="N253" s="57">
        <f>IFERROR(VLOOKUP($A:$A,CS!$A:$AK,19,FALSE),"")</f>
      </c>
      <c r="O253" s="57">
        <f>IFERROR(VLOOKUP($A:$A,CS!$A:$AK,23,FALSE),"")</f>
      </c>
      <c r="P253" s="57">
        <f>IFERROR(VLOOKUP($A:$A,CS!$A:$AK,24,FALSE),"")</f>
      </c>
      <c r="Q253" s="57">
        <f>IFERROR(VLOOKUP($A:$A,CS!$A:$AK,25,FALSE),"")</f>
      </c>
      <c r="R253" s="57">
        <f>IFERROR(VLOOKUP($A:$A,CS!$A:$AK,26,FALSE),"")</f>
      </c>
      <c r="S253" s="57">
        <f>IFERROR(VLOOKUP($A:$A,CS!$A:$AK,29,FALSE),"")</f>
      </c>
      <c r="T253" s="57">
        <f>IFERROR(VLOOKUP($A:$A,CS!$A:$AK,33,FALSE),"")</f>
      </c>
      <c r="U253" s="57">
        <f>IFERROR(VLOOKUP($A:$A,CS!$A:$AK,34,FALSE),"")</f>
      </c>
      <c r="V253" s="57">
        <f>IFERROR(VLOOKUP($A:$A,CS!$A:$AK,35,FALSE),"")</f>
      </c>
      <c r="W253" s="57">
        <f>IFERROR(VLOOKUP($A:$A,CS!$A:$AK,36,FALSE),"")</f>
      </c>
    </row>
    <row r="254" ht="16.5" customHeight="1" spans="1:23" x14ac:dyDescent="0.25">
      <c r="A254" s="71"/>
      <c r="B254" s="57">
        <f>IFERROR(VLOOKUP($A:$A,CS!$A:$AK,3,FALSE),"")</f>
      </c>
      <c r="C254" s="57">
        <f>IFERROR(VLOOKUP($A:$A,CS!$A:$AK,4,FALSE),"")</f>
      </c>
      <c r="D254" s="57">
        <f>IFERROR(VLOOKUP($A:$A,CS!$A:$AK,5,FALSE),"")</f>
      </c>
      <c r="E254" s="57">
        <f>IFERROR(VLOOKUP($A:$A,CS!$A:$AK,7,FALSE),"")</f>
      </c>
      <c r="F254" s="57">
        <f>IFERROR(VLOOKUP($A:$A,CS!$A:$AK,8,FALSE),"")</f>
      </c>
      <c r="G254" s="57">
        <f>IFERROR(VLOOKUP($A:$A,CS!$A:$AK,10,FALSE),"")</f>
      </c>
      <c r="H254" s="57">
        <f>IFERROR(VLOOKUP($A:$A,CS!$A:$AK,14,FALSE),"")</f>
      </c>
      <c r="I254" s="57">
        <f>IFERROR(VLOOKUP($A:$A,CS!$A:$AK,15,FALSE),"")</f>
      </c>
      <c r="J254" s="57">
        <f>IFERROR(VLOOKUP($A:$A,CS!$A:$AK,18,FALSE),"")</f>
      </c>
      <c r="K254" s="57">
        <f>IFERROR(VLOOKUP($A:$A,CS!$A:$AK,19,FALSE),"")</f>
      </c>
      <c r="L254" s="57">
        <f>IFERROR(VLOOKUP($A:$A,CS!$A:$AK,20,FALSE),"")</f>
      </c>
      <c r="M254" s="57">
        <f>IFERROR(VLOOKUP($A:$A,CS!$A:$AK,22,FALSE),"")</f>
      </c>
      <c r="N254" s="57">
        <f>IFERROR(VLOOKUP($A:$A,CS!$A:$AK,19,FALSE),"")</f>
      </c>
      <c r="O254" s="57">
        <f>IFERROR(VLOOKUP($A:$A,CS!$A:$AK,23,FALSE),"")</f>
      </c>
      <c r="P254" s="57">
        <f>IFERROR(VLOOKUP($A:$A,CS!$A:$AK,24,FALSE),"")</f>
      </c>
      <c r="Q254" s="57">
        <f>IFERROR(VLOOKUP($A:$A,CS!$A:$AK,25,FALSE),"")</f>
      </c>
      <c r="R254" s="57">
        <f>IFERROR(VLOOKUP($A:$A,CS!$A:$AK,26,FALSE),"")</f>
      </c>
      <c r="S254" s="57">
        <f>IFERROR(VLOOKUP($A:$A,CS!$A:$AK,29,FALSE),"")</f>
      </c>
      <c r="T254" s="57">
        <f>IFERROR(VLOOKUP($A:$A,CS!$A:$AK,33,FALSE),"")</f>
      </c>
      <c r="U254" s="57">
        <f>IFERROR(VLOOKUP($A:$A,CS!$A:$AK,34,FALSE),"")</f>
      </c>
      <c r="V254" s="57">
        <f>IFERROR(VLOOKUP($A:$A,CS!$A:$AK,35,FALSE),"")</f>
      </c>
      <c r="W254" s="57">
        <f>IFERROR(VLOOKUP($A:$A,CS!$A:$AK,36,FALSE),"")</f>
      </c>
    </row>
    <row r="255" ht="16.5" customHeight="1" spans="1:23" x14ac:dyDescent="0.25">
      <c r="A255" s="71"/>
      <c r="B255" s="57">
        <f>IFERROR(VLOOKUP($A:$A,CS!$A:$AK,3,FALSE),"")</f>
      </c>
      <c r="C255" s="57">
        <f>IFERROR(VLOOKUP($A:$A,CS!$A:$AK,4,FALSE),"")</f>
      </c>
      <c r="D255" s="57">
        <f>IFERROR(VLOOKUP($A:$A,CS!$A:$AK,5,FALSE),"")</f>
      </c>
      <c r="E255" s="57">
        <f>IFERROR(VLOOKUP($A:$A,CS!$A:$AK,7,FALSE),"")</f>
      </c>
      <c r="F255" s="57">
        <f>IFERROR(VLOOKUP($A:$A,CS!$A:$AK,8,FALSE),"")</f>
      </c>
      <c r="G255" s="57">
        <f>IFERROR(VLOOKUP($A:$A,CS!$A:$AK,10,FALSE),"")</f>
      </c>
      <c r="H255" s="57">
        <f>IFERROR(VLOOKUP($A:$A,CS!$A:$AK,14,FALSE),"")</f>
      </c>
      <c r="I255" s="57">
        <f>IFERROR(VLOOKUP($A:$A,CS!$A:$AK,15,FALSE),"")</f>
      </c>
      <c r="J255" s="57">
        <f>IFERROR(VLOOKUP($A:$A,CS!$A:$AK,18,FALSE),"")</f>
      </c>
      <c r="K255" s="57">
        <f>IFERROR(VLOOKUP($A:$A,CS!$A:$AK,19,FALSE),"")</f>
      </c>
      <c r="L255" s="57">
        <f>IFERROR(VLOOKUP($A:$A,CS!$A:$AK,20,FALSE),"")</f>
      </c>
      <c r="M255" s="57">
        <f>IFERROR(VLOOKUP($A:$A,CS!$A:$AK,22,FALSE),"")</f>
      </c>
      <c r="N255" s="57">
        <f>IFERROR(VLOOKUP($A:$A,CS!$A:$AK,19,FALSE),"")</f>
      </c>
      <c r="O255" s="57">
        <f>IFERROR(VLOOKUP($A:$A,CS!$A:$AK,23,FALSE),"")</f>
      </c>
      <c r="P255" s="57">
        <f>IFERROR(VLOOKUP($A:$A,CS!$A:$AK,24,FALSE),"")</f>
      </c>
      <c r="Q255" s="57">
        <f>IFERROR(VLOOKUP($A:$A,CS!$A:$AK,25,FALSE),"")</f>
      </c>
      <c r="R255" s="57">
        <f>IFERROR(VLOOKUP($A:$A,CS!$A:$AK,26,FALSE),"")</f>
      </c>
      <c r="S255" s="57">
        <f>IFERROR(VLOOKUP($A:$A,CS!$A:$AK,29,FALSE),"")</f>
      </c>
      <c r="T255" s="57">
        <f>IFERROR(VLOOKUP($A:$A,CS!$A:$AK,33,FALSE),"")</f>
      </c>
      <c r="U255" s="57">
        <f>IFERROR(VLOOKUP($A:$A,CS!$A:$AK,34,FALSE),"")</f>
      </c>
      <c r="V255" s="57">
        <f>IFERROR(VLOOKUP($A:$A,CS!$A:$AK,35,FALSE),"")</f>
      </c>
      <c r="W255" s="57">
        <f>IFERROR(VLOOKUP($A:$A,CS!$A:$AK,36,FALSE),"")</f>
      </c>
    </row>
    <row r="256" ht="16.5" customHeight="1" spans="1:23" x14ac:dyDescent="0.25">
      <c r="A256" s="71"/>
      <c r="B256" s="57">
        <f>IFERROR(VLOOKUP($A:$A,CS!$A:$AK,3,FALSE),"")</f>
      </c>
      <c r="C256" s="57">
        <f>IFERROR(VLOOKUP($A:$A,CS!$A:$AK,4,FALSE),"")</f>
      </c>
      <c r="D256" s="57">
        <f>IFERROR(VLOOKUP($A:$A,CS!$A:$AK,5,FALSE),"")</f>
      </c>
      <c r="E256" s="57">
        <f>IFERROR(VLOOKUP($A:$A,CS!$A:$AK,7,FALSE),"")</f>
      </c>
      <c r="F256" s="57">
        <f>IFERROR(VLOOKUP($A:$A,CS!$A:$AK,8,FALSE),"")</f>
      </c>
      <c r="G256" s="57">
        <f>IFERROR(VLOOKUP($A:$A,CS!$A:$AK,10,FALSE),"")</f>
      </c>
      <c r="H256" s="57">
        <f>IFERROR(VLOOKUP($A:$A,CS!$A:$AK,14,FALSE),"")</f>
      </c>
      <c r="I256" s="57">
        <f>IFERROR(VLOOKUP($A:$A,CS!$A:$AK,15,FALSE),"")</f>
      </c>
      <c r="J256" s="57">
        <f>IFERROR(VLOOKUP($A:$A,CS!$A:$AK,18,FALSE),"")</f>
      </c>
      <c r="K256" s="57">
        <f>IFERROR(VLOOKUP($A:$A,CS!$A:$AK,19,FALSE),"")</f>
      </c>
      <c r="L256" s="57">
        <f>IFERROR(VLOOKUP($A:$A,CS!$A:$AK,20,FALSE),"")</f>
      </c>
      <c r="M256" s="57">
        <f>IFERROR(VLOOKUP($A:$A,CS!$A:$AK,22,FALSE),"")</f>
      </c>
      <c r="N256" s="57">
        <f>IFERROR(VLOOKUP($A:$A,CS!$A:$AK,19,FALSE),"")</f>
      </c>
      <c r="O256" s="57">
        <f>IFERROR(VLOOKUP($A:$A,CS!$A:$AK,23,FALSE),"")</f>
      </c>
      <c r="P256" s="57">
        <f>IFERROR(VLOOKUP($A:$A,CS!$A:$AK,24,FALSE),"")</f>
      </c>
      <c r="Q256" s="57">
        <f>IFERROR(VLOOKUP($A:$A,CS!$A:$AK,25,FALSE),"")</f>
      </c>
      <c r="R256" s="57">
        <f>IFERROR(VLOOKUP($A:$A,CS!$A:$AK,26,FALSE),"")</f>
      </c>
      <c r="S256" s="57">
        <f>IFERROR(VLOOKUP($A:$A,CS!$A:$AK,29,FALSE),"")</f>
      </c>
      <c r="T256" s="57">
        <f>IFERROR(VLOOKUP($A:$A,CS!$A:$AK,33,FALSE),"")</f>
      </c>
      <c r="U256" s="57">
        <f>IFERROR(VLOOKUP($A:$A,CS!$A:$AK,34,FALSE),"")</f>
      </c>
      <c r="V256" s="57">
        <f>IFERROR(VLOOKUP($A:$A,CS!$A:$AK,35,FALSE),"")</f>
      </c>
      <c r="W256" s="57">
        <f>IFERROR(VLOOKUP($A:$A,CS!$A:$AK,36,FALSE),"")</f>
      </c>
    </row>
    <row r="257" ht="16.5" customHeight="1" spans="1:23" x14ac:dyDescent="0.25">
      <c r="A257" s="71"/>
      <c r="B257" s="57">
        <f>IFERROR(VLOOKUP($A:$A,CS!$A:$AK,3,FALSE),"")</f>
      </c>
      <c r="C257" s="57">
        <f>IFERROR(VLOOKUP($A:$A,CS!$A:$AK,4,FALSE),"")</f>
      </c>
      <c r="D257" s="57">
        <f>IFERROR(VLOOKUP($A:$A,CS!$A:$AK,5,FALSE),"")</f>
      </c>
      <c r="E257" s="57">
        <f>IFERROR(VLOOKUP($A:$A,CS!$A:$AK,7,FALSE),"")</f>
      </c>
      <c r="F257" s="57">
        <f>IFERROR(VLOOKUP($A:$A,CS!$A:$AK,8,FALSE),"")</f>
      </c>
      <c r="G257" s="57">
        <f>IFERROR(VLOOKUP($A:$A,CS!$A:$AK,10,FALSE),"")</f>
      </c>
      <c r="H257" s="57">
        <f>IFERROR(VLOOKUP($A:$A,CS!$A:$AK,14,FALSE),"")</f>
      </c>
      <c r="I257" s="57">
        <f>IFERROR(VLOOKUP($A:$A,CS!$A:$AK,15,FALSE),"")</f>
      </c>
      <c r="J257" s="57">
        <f>IFERROR(VLOOKUP($A:$A,CS!$A:$AK,18,FALSE),"")</f>
      </c>
      <c r="K257" s="57">
        <f>IFERROR(VLOOKUP($A:$A,CS!$A:$AK,19,FALSE),"")</f>
      </c>
      <c r="L257" s="57">
        <f>IFERROR(VLOOKUP($A:$A,CS!$A:$AK,20,FALSE),"")</f>
      </c>
      <c r="M257" s="57">
        <f>IFERROR(VLOOKUP($A:$A,CS!$A:$AK,22,FALSE),"")</f>
      </c>
      <c r="N257" s="57">
        <f>IFERROR(VLOOKUP($A:$A,CS!$A:$AK,19,FALSE),"")</f>
      </c>
      <c r="O257" s="57">
        <f>IFERROR(VLOOKUP($A:$A,CS!$A:$AK,23,FALSE),"")</f>
      </c>
      <c r="P257" s="57">
        <f>IFERROR(VLOOKUP($A:$A,CS!$A:$AK,24,FALSE),"")</f>
      </c>
      <c r="Q257" s="57">
        <f>IFERROR(VLOOKUP($A:$A,CS!$A:$AK,25,FALSE),"")</f>
      </c>
      <c r="R257" s="57">
        <f>IFERROR(VLOOKUP($A:$A,CS!$A:$AK,26,FALSE),"")</f>
      </c>
      <c r="S257" s="57">
        <f>IFERROR(VLOOKUP($A:$A,CS!$A:$AK,29,FALSE),"")</f>
      </c>
      <c r="T257" s="57">
        <f>IFERROR(VLOOKUP($A:$A,CS!$A:$AK,33,FALSE),"")</f>
      </c>
      <c r="U257" s="57">
        <f>IFERROR(VLOOKUP($A:$A,CS!$A:$AK,34,FALSE),"")</f>
      </c>
      <c r="V257" s="57">
        <f>IFERROR(VLOOKUP($A:$A,CS!$A:$AK,35,FALSE),"")</f>
      </c>
      <c r="W257" s="57">
        <f>IFERROR(VLOOKUP($A:$A,CS!$A:$AK,36,FALSE),"")</f>
      </c>
    </row>
    <row r="258" ht="16.5" customHeight="1" spans="1:23" x14ac:dyDescent="0.25">
      <c r="A258" s="71"/>
      <c r="B258" s="57">
        <f>IFERROR(VLOOKUP($A:$A,CS!$A:$AK,3,FALSE),"")</f>
      </c>
      <c r="C258" s="57">
        <f>IFERROR(VLOOKUP($A:$A,CS!$A:$AK,4,FALSE),"")</f>
      </c>
      <c r="D258" s="57">
        <f>IFERROR(VLOOKUP($A:$A,CS!$A:$AK,5,FALSE),"")</f>
      </c>
      <c r="E258" s="57">
        <f>IFERROR(VLOOKUP($A:$A,CS!$A:$AK,7,FALSE),"")</f>
      </c>
      <c r="F258" s="57">
        <f>IFERROR(VLOOKUP($A:$A,CS!$A:$AK,8,FALSE),"")</f>
      </c>
      <c r="G258" s="57">
        <f>IFERROR(VLOOKUP($A:$A,CS!$A:$AK,10,FALSE),"")</f>
      </c>
      <c r="H258" s="57">
        <f>IFERROR(VLOOKUP($A:$A,CS!$A:$AK,14,FALSE),"")</f>
      </c>
      <c r="I258" s="57">
        <f>IFERROR(VLOOKUP($A:$A,CS!$A:$AK,15,FALSE),"")</f>
      </c>
      <c r="J258" s="57">
        <f>IFERROR(VLOOKUP($A:$A,CS!$A:$AK,18,FALSE),"")</f>
      </c>
      <c r="K258" s="57">
        <f>IFERROR(VLOOKUP($A:$A,CS!$A:$AK,19,FALSE),"")</f>
      </c>
      <c r="L258" s="57">
        <f>IFERROR(VLOOKUP($A:$A,CS!$A:$AK,20,FALSE),"")</f>
      </c>
      <c r="M258" s="57">
        <f>IFERROR(VLOOKUP($A:$A,CS!$A:$AK,22,FALSE),"")</f>
      </c>
      <c r="N258" s="57">
        <f>IFERROR(VLOOKUP($A:$A,CS!$A:$AK,19,FALSE),"")</f>
      </c>
      <c r="O258" s="57">
        <f>IFERROR(VLOOKUP($A:$A,CS!$A:$AK,23,FALSE),"")</f>
      </c>
      <c r="P258" s="57">
        <f>IFERROR(VLOOKUP($A:$A,CS!$A:$AK,24,FALSE),"")</f>
      </c>
      <c r="Q258" s="57">
        <f>IFERROR(VLOOKUP($A:$A,CS!$A:$AK,25,FALSE),"")</f>
      </c>
      <c r="R258" s="57">
        <f>IFERROR(VLOOKUP($A:$A,CS!$A:$AK,26,FALSE),"")</f>
      </c>
      <c r="S258" s="57">
        <f>IFERROR(VLOOKUP($A:$A,CS!$A:$AK,29,FALSE),"")</f>
      </c>
      <c r="T258" s="57">
        <f>IFERROR(VLOOKUP($A:$A,CS!$A:$AK,33,FALSE),"")</f>
      </c>
      <c r="U258" s="57">
        <f>IFERROR(VLOOKUP($A:$A,CS!$A:$AK,34,FALSE),"")</f>
      </c>
      <c r="V258" s="57">
        <f>IFERROR(VLOOKUP($A:$A,CS!$A:$AK,35,FALSE),"")</f>
      </c>
      <c r="W258" s="57">
        <f>IFERROR(VLOOKUP($A:$A,CS!$A:$AK,36,FALSE),"")</f>
      </c>
    </row>
    <row r="259" ht="16.5" customHeight="1" spans="1:23" x14ac:dyDescent="0.25">
      <c r="A259" s="71"/>
      <c r="B259" s="57">
        <f>IFERROR(VLOOKUP($A:$A,CS!$A:$AK,3,FALSE),"")</f>
      </c>
      <c r="C259" s="57">
        <f>IFERROR(VLOOKUP($A:$A,CS!$A:$AK,4,FALSE),"")</f>
      </c>
      <c r="D259" s="57">
        <f>IFERROR(VLOOKUP($A:$A,CS!$A:$AK,5,FALSE),"")</f>
      </c>
      <c r="E259" s="57">
        <f>IFERROR(VLOOKUP($A:$A,CS!$A:$AK,7,FALSE),"")</f>
      </c>
      <c r="F259" s="57">
        <f>IFERROR(VLOOKUP($A:$A,CS!$A:$AK,8,FALSE),"")</f>
      </c>
      <c r="G259" s="57">
        <f>IFERROR(VLOOKUP($A:$A,CS!$A:$AK,10,FALSE),"")</f>
      </c>
      <c r="H259" s="57">
        <f>IFERROR(VLOOKUP($A:$A,CS!$A:$AK,14,FALSE),"")</f>
      </c>
      <c r="I259" s="57">
        <f>IFERROR(VLOOKUP($A:$A,CS!$A:$AK,15,FALSE),"")</f>
      </c>
      <c r="J259" s="57">
        <f>IFERROR(VLOOKUP($A:$A,CS!$A:$AK,18,FALSE),"")</f>
      </c>
      <c r="K259" s="57">
        <f>IFERROR(VLOOKUP($A:$A,CS!$A:$AK,19,FALSE),"")</f>
      </c>
      <c r="L259" s="57">
        <f>IFERROR(VLOOKUP($A:$A,CS!$A:$AK,20,FALSE),"")</f>
      </c>
      <c r="M259" s="57">
        <f>IFERROR(VLOOKUP($A:$A,CS!$A:$AK,22,FALSE),"")</f>
      </c>
      <c r="N259" s="57">
        <f>IFERROR(VLOOKUP($A:$A,CS!$A:$AK,19,FALSE),"")</f>
      </c>
      <c r="O259" s="57">
        <f>IFERROR(VLOOKUP($A:$A,CS!$A:$AK,23,FALSE),"")</f>
      </c>
      <c r="P259" s="57">
        <f>IFERROR(VLOOKUP($A:$A,CS!$A:$AK,24,FALSE),"")</f>
      </c>
      <c r="Q259" s="57">
        <f>IFERROR(VLOOKUP($A:$A,CS!$A:$AK,25,FALSE),"")</f>
      </c>
      <c r="R259" s="57">
        <f>IFERROR(VLOOKUP($A:$A,CS!$A:$AK,26,FALSE),"")</f>
      </c>
      <c r="S259" s="57">
        <f>IFERROR(VLOOKUP($A:$A,CS!$A:$AK,29,FALSE),"")</f>
      </c>
      <c r="T259" s="57">
        <f>IFERROR(VLOOKUP($A:$A,CS!$A:$AK,33,FALSE),"")</f>
      </c>
      <c r="U259" s="57">
        <f>IFERROR(VLOOKUP($A:$A,CS!$A:$AK,34,FALSE),"")</f>
      </c>
      <c r="V259" s="57">
        <f>IFERROR(VLOOKUP($A:$A,CS!$A:$AK,35,FALSE),"")</f>
      </c>
      <c r="W259" s="57">
        <f>IFERROR(VLOOKUP($A:$A,CS!$A:$AK,36,FALSE),"")</f>
      </c>
    </row>
    <row r="260" ht="16.5" customHeight="1" spans="1:23" x14ac:dyDescent="0.25">
      <c r="A260" s="71"/>
      <c r="B260" s="57">
        <f>IFERROR(VLOOKUP($A:$A,CS!$A:$AK,3,FALSE),"")</f>
      </c>
      <c r="C260" s="57">
        <f>IFERROR(VLOOKUP($A:$A,CS!$A:$AK,4,FALSE),"")</f>
      </c>
      <c r="D260" s="57">
        <f>IFERROR(VLOOKUP($A:$A,CS!$A:$AK,5,FALSE),"")</f>
      </c>
      <c r="E260" s="57">
        <f>IFERROR(VLOOKUP($A:$A,CS!$A:$AK,7,FALSE),"")</f>
      </c>
      <c r="F260" s="57">
        <f>IFERROR(VLOOKUP($A:$A,CS!$A:$AK,8,FALSE),"")</f>
      </c>
      <c r="G260" s="57">
        <f>IFERROR(VLOOKUP($A:$A,CS!$A:$AK,10,FALSE),"")</f>
      </c>
      <c r="H260" s="57">
        <f>IFERROR(VLOOKUP($A:$A,CS!$A:$AK,14,FALSE),"")</f>
      </c>
      <c r="I260" s="57">
        <f>IFERROR(VLOOKUP($A:$A,CS!$A:$AK,15,FALSE),"")</f>
      </c>
      <c r="J260" s="57">
        <f>IFERROR(VLOOKUP($A:$A,CS!$A:$AK,18,FALSE),"")</f>
      </c>
      <c r="K260" s="57">
        <f>IFERROR(VLOOKUP($A:$A,CS!$A:$AK,19,FALSE),"")</f>
      </c>
      <c r="L260" s="57">
        <f>IFERROR(VLOOKUP($A:$A,CS!$A:$AK,20,FALSE),"")</f>
      </c>
      <c r="M260" s="57">
        <f>IFERROR(VLOOKUP($A:$A,CS!$A:$AK,22,FALSE),"")</f>
      </c>
      <c r="N260" s="57">
        <f>IFERROR(VLOOKUP($A:$A,CS!$A:$AK,19,FALSE),"")</f>
      </c>
      <c r="O260" s="57">
        <f>IFERROR(VLOOKUP($A:$A,CS!$A:$AK,23,FALSE),"")</f>
      </c>
      <c r="P260" s="57">
        <f>IFERROR(VLOOKUP($A:$A,CS!$A:$AK,24,FALSE),"")</f>
      </c>
      <c r="Q260" s="57">
        <f>IFERROR(VLOOKUP($A:$A,CS!$A:$AK,25,FALSE),"")</f>
      </c>
      <c r="R260" s="57">
        <f>IFERROR(VLOOKUP($A:$A,CS!$A:$AK,26,FALSE),"")</f>
      </c>
      <c r="S260" s="57">
        <f>IFERROR(VLOOKUP($A:$A,CS!$A:$AK,29,FALSE),"")</f>
      </c>
      <c r="T260" s="57">
        <f>IFERROR(VLOOKUP($A:$A,CS!$A:$AK,33,FALSE),"")</f>
      </c>
      <c r="U260" s="57">
        <f>IFERROR(VLOOKUP($A:$A,CS!$A:$AK,34,FALSE),"")</f>
      </c>
      <c r="V260" s="57">
        <f>IFERROR(VLOOKUP($A:$A,CS!$A:$AK,35,FALSE),"")</f>
      </c>
      <c r="W260" s="57">
        <f>IFERROR(VLOOKUP($A:$A,CS!$A:$AK,36,FALSE),"")</f>
      </c>
    </row>
    <row r="261" ht="16.5" customHeight="1" spans="1:23" x14ac:dyDescent="0.25">
      <c r="A261" s="71"/>
      <c r="B261" s="57">
        <f>IFERROR(VLOOKUP($A:$A,CS!$A:$AK,3,FALSE),"")</f>
      </c>
      <c r="C261" s="57">
        <f>IFERROR(VLOOKUP($A:$A,CS!$A:$AK,4,FALSE),"")</f>
      </c>
      <c r="D261" s="57">
        <f>IFERROR(VLOOKUP($A:$A,CS!$A:$AK,5,FALSE),"")</f>
      </c>
      <c r="E261" s="57">
        <f>IFERROR(VLOOKUP($A:$A,CS!$A:$AK,7,FALSE),"")</f>
      </c>
      <c r="F261" s="57">
        <f>IFERROR(VLOOKUP($A:$A,CS!$A:$AK,8,FALSE),"")</f>
      </c>
      <c r="G261" s="57">
        <f>IFERROR(VLOOKUP($A:$A,CS!$A:$AK,10,FALSE),"")</f>
      </c>
      <c r="H261" s="57">
        <f>IFERROR(VLOOKUP($A:$A,CS!$A:$AK,14,FALSE),"")</f>
      </c>
      <c r="I261" s="57">
        <f>IFERROR(VLOOKUP($A:$A,CS!$A:$AK,15,FALSE),"")</f>
      </c>
      <c r="J261" s="57">
        <f>IFERROR(VLOOKUP($A:$A,CS!$A:$AK,18,FALSE),"")</f>
      </c>
      <c r="K261" s="57">
        <f>IFERROR(VLOOKUP($A:$A,CS!$A:$AK,19,FALSE),"")</f>
      </c>
      <c r="L261" s="57">
        <f>IFERROR(VLOOKUP($A:$A,CS!$A:$AK,20,FALSE),"")</f>
      </c>
      <c r="M261" s="57">
        <f>IFERROR(VLOOKUP($A:$A,CS!$A:$AK,22,FALSE),"")</f>
      </c>
      <c r="N261" s="57">
        <f>IFERROR(VLOOKUP($A:$A,CS!$A:$AK,19,FALSE),"")</f>
      </c>
      <c r="O261" s="57">
        <f>IFERROR(VLOOKUP($A:$A,CS!$A:$AK,23,FALSE),"")</f>
      </c>
      <c r="P261" s="57">
        <f>IFERROR(VLOOKUP($A:$A,CS!$A:$AK,24,FALSE),"")</f>
      </c>
      <c r="Q261" s="57">
        <f>IFERROR(VLOOKUP($A:$A,CS!$A:$AK,25,FALSE),"")</f>
      </c>
      <c r="R261" s="57">
        <f>IFERROR(VLOOKUP($A:$A,CS!$A:$AK,26,FALSE),"")</f>
      </c>
      <c r="S261" s="57">
        <f>IFERROR(VLOOKUP($A:$A,CS!$A:$AK,29,FALSE),"")</f>
      </c>
      <c r="T261" s="57">
        <f>IFERROR(VLOOKUP($A:$A,CS!$A:$AK,33,FALSE),"")</f>
      </c>
      <c r="U261" s="57">
        <f>IFERROR(VLOOKUP($A:$A,CS!$A:$AK,34,FALSE),"")</f>
      </c>
      <c r="V261" s="57">
        <f>IFERROR(VLOOKUP($A:$A,CS!$A:$AK,35,FALSE),"")</f>
      </c>
      <c r="W261" s="57">
        <f>IFERROR(VLOOKUP($A:$A,CS!$A:$AK,36,FALSE),"")</f>
      </c>
    </row>
    <row r="262" ht="16.5" customHeight="1" spans="1:23" x14ac:dyDescent="0.25">
      <c r="A262" s="71"/>
      <c r="B262" s="57">
        <f>IFERROR(VLOOKUP($A:$A,CS!$A:$AK,3,FALSE),"")</f>
      </c>
      <c r="C262" s="57">
        <f>IFERROR(VLOOKUP($A:$A,CS!$A:$AK,4,FALSE),"")</f>
      </c>
      <c r="D262" s="57">
        <f>IFERROR(VLOOKUP($A:$A,CS!$A:$AK,5,FALSE),"")</f>
      </c>
      <c r="E262" s="57">
        <f>IFERROR(VLOOKUP($A:$A,CS!$A:$AK,7,FALSE),"")</f>
      </c>
      <c r="F262" s="57">
        <f>IFERROR(VLOOKUP($A:$A,CS!$A:$AK,8,FALSE),"")</f>
      </c>
      <c r="G262" s="57">
        <f>IFERROR(VLOOKUP($A:$A,CS!$A:$AK,10,FALSE),"")</f>
      </c>
      <c r="H262" s="57">
        <f>IFERROR(VLOOKUP($A:$A,CS!$A:$AK,14,FALSE),"")</f>
      </c>
      <c r="I262" s="57">
        <f>IFERROR(VLOOKUP($A:$A,CS!$A:$AK,15,FALSE),"")</f>
      </c>
      <c r="J262" s="57">
        <f>IFERROR(VLOOKUP($A:$A,CS!$A:$AK,18,FALSE),"")</f>
      </c>
      <c r="K262" s="57">
        <f>IFERROR(VLOOKUP($A:$A,CS!$A:$AK,19,FALSE),"")</f>
      </c>
      <c r="L262" s="57">
        <f>IFERROR(VLOOKUP($A:$A,CS!$A:$AK,20,FALSE),"")</f>
      </c>
      <c r="M262" s="57">
        <f>IFERROR(VLOOKUP($A:$A,CS!$A:$AK,22,FALSE),"")</f>
      </c>
      <c r="N262" s="57">
        <f>IFERROR(VLOOKUP($A:$A,CS!$A:$AK,19,FALSE),"")</f>
      </c>
      <c r="O262" s="57">
        <f>IFERROR(VLOOKUP($A:$A,CS!$A:$AK,23,FALSE),"")</f>
      </c>
      <c r="P262" s="57">
        <f>IFERROR(VLOOKUP($A:$A,CS!$A:$AK,24,FALSE),"")</f>
      </c>
      <c r="Q262" s="57">
        <f>IFERROR(VLOOKUP($A:$A,CS!$A:$AK,25,FALSE),"")</f>
      </c>
      <c r="R262" s="57">
        <f>IFERROR(VLOOKUP($A:$A,CS!$A:$AK,26,FALSE),"")</f>
      </c>
      <c r="S262" s="57">
        <f>IFERROR(VLOOKUP($A:$A,CS!$A:$AK,29,FALSE),"")</f>
      </c>
      <c r="T262" s="57">
        <f>IFERROR(VLOOKUP($A:$A,CS!$A:$AK,33,FALSE),"")</f>
      </c>
      <c r="U262" s="57">
        <f>IFERROR(VLOOKUP($A:$A,CS!$A:$AK,34,FALSE),"")</f>
      </c>
      <c r="V262" s="57">
        <f>IFERROR(VLOOKUP($A:$A,CS!$A:$AK,35,FALSE),"")</f>
      </c>
      <c r="W262" s="57">
        <f>IFERROR(VLOOKUP($A:$A,CS!$A:$AK,36,FALSE),"")</f>
      </c>
    </row>
    <row r="263" ht="16.5" customHeight="1" spans="1:23" x14ac:dyDescent="0.25">
      <c r="A263" s="71"/>
      <c r="B263" s="57">
        <f>IFERROR(VLOOKUP($A:$A,CS!$A:$AK,3,FALSE),"")</f>
      </c>
      <c r="C263" s="57">
        <f>IFERROR(VLOOKUP($A:$A,CS!$A:$AK,4,FALSE),"")</f>
      </c>
      <c r="D263" s="57">
        <f>IFERROR(VLOOKUP($A:$A,CS!$A:$AK,5,FALSE),"")</f>
      </c>
      <c r="E263" s="57">
        <f>IFERROR(VLOOKUP($A:$A,CS!$A:$AK,7,FALSE),"")</f>
      </c>
      <c r="F263" s="57">
        <f>IFERROR(VLOOKUP($A:$A,CS!$A:$AK,8,FALSE),"")</f>
      </c>
      <c r="G263" s="57">
        <f>IFERROR(VLOOKUP($A:$A,CS!$A:$AK,10,FALSE),"")</f>
      </c>
      <c r="H263" s="57">
        <f>IFERROR(VLOOKUP($A:$A,CS!$A:$AK,14,FALSE),"")</f>
      </c>
      <c r="I263" s="57">
        <f>IFERROR(VLOOKUP($A:$A,CS!$A:$AK,15,FALSE),"")</f>
      </c>
      <c r="J263" s="57">
        <f>IFERROR(VLOOKUP($A:$A,CS!$A:$AK,18,FALSE),"")</f>
      </c>
      <c r="K263" s="57">
        <f>IFERROR(VLOOKUP($A:$A,CS!$A:$AK,19,FALSE),"")</f>
      </c>
      <c r="L263" s="57">
        <f>IFERROR(VLOOKUP($A:$A,CS!$A:$AK,20,FALSE),"")</f>
      </c>
      <c r="M263" s="57">
        <f>IFERROR(VLOOKUP($A:$A,CS!$A:$AK,22,FALSE),"")</f>
      </c>
      <c r="N263" s="57">
        <f>IFERROR(VLOOKUP($A:$A,CS!$A:$AK,19,FALSE),"")</f>
      </c>
      <c r="O263" s="57">
        <f>IFERROR(VLOOKUP($A:$A,CS!$A:$AK,23,FALSE),"")</f>
      </c>
      <c r="P263" s="57">
        <f>IFERROR(VLOOKUP($A:$A,CS!$A:$AK,24,FALSE),"")</f>
      </c>
      <c r="Q263" s="57">
        <f>IFERROR(VLOOKUP($A:$A,CS!$A:$AK,25,FALSE),"")</f>
      </c>
      <c r="R263" s="57">
        <f>IFERROR(VLOOKUP($A:$A,CS!$A:$AK,26,FALSE),"")</f>
      </c>
      <c r="S263" s="57">
        <f>IFERROR(VLOOKUP($A:$A,CS!$A:$AK,29,FALSE),"")</f>
      </c>
      <c r="T263" s="57">
        <f>IFERROR(VLOOKUP($A:$A,CS!$A:$AK,33,FALSE),"")</f>
      </c>
      <c r="U263" s="57">
        <f>IFERROR(VLOOKUP($A:$A,CS!$A:$AK,34,FALSE),"")</f>
      </c>
      <c r="V263" s="57">
        <f>IFERROR(VLOOKUP($A:$A,CS!$A:$AK,35,FALSE),"")</f>
      </c>
      <c r="W263" s="57">
        <f>IFERROR(VLOOKUP($A:$A,CS!$A:$AK,36,FALSE),"")</f>
      </c>
    </row>
    <row r="264" ht="16.5" customHeight="1" spans="1:23" x14ac:dyDescent="0.25">
      <c r="A264" s="71"/>
      <c r="B264" s="57">
        <f>IFERROR(VLOOKUP($A:$A,CS!$A:$AK,3,FALSE),"")</f>
      </c>
      <c r="C264" s="57">
        <f>IFERROR(VLOOKUP($A:$A,CS!$A:$AK,4,FALSE),"")</f>
      </c>
      <c r="D264" s="57">
        <f>IFERROR(VLOOKUP($A:$A,CS!$A:$AK,5,FALSE),"")</f>
      </c>
      <c r="E264" s="57">
        <f>IFERROR(VLOOKUP($A:$A,CS!$A:$AK,7,FALSE),"")</f>
      </c>
      <c r="F264" s="57">
        <f>IFERROR(VLOOKUP($A:$A,CS!$A:$AK,8,FALSE),"")</f>
      </c>
      <c r="G264" s="57">
        <f>IFERROR(VLOOKUP($A:$A,CS!$A:$AK,10,FALSE),"")</f>
      </c>
      <c r="H264" s="57">
        <f>IFERROR(VLOOKUP($A:$A,CS!$A:$AK,14,FALSE),"")</f>
      </c>
      <c r="I264" s="57">
        <f>IFERROR(VLOOKUP($A:$A,CS!$A:$AK,15,FALSE),"")</f>
      </c>
      <c r="J264" s="57">
        <f>IFERROR(VLOOKUP($A:$A,CS!$A:$AK,18,FALSE),"")</f>
      </c>
      <c r="K264" s="57">
        <f>IFERROR(VLOOKUP($A:$A,CS!$A:$AK,19,FALSE),"")</f>
      </c>
      <c r="L264" s="57">
        <f>IFERROR(VLOOKUP($A:$A,CS!$A:$AK,20,FALSE),"")</f>
      </c>
      <c r="M264" s="57">
        <f>IFERROR(VLOOKUP($A:$A,CS!$A:$AK,22,FALSE),"")</f>
      </c>
      <c r="N264" s="57">
        <f>IFERROR(VLOOKUP($A:$A,CS!$A:$AK,19,FALSE),"")</f>
      </c>
      <c r="O264" s="57">
        <f>IFERROR(VLOOKUP($A:$A,CS!$A:$AK,23,FALSE),"")</f>
      </c>
      <c r="P264" s="57">
        <f>IFERROR(VLOOKUP($A:$A,CS!$A:$AK,24,FALSE),"")</f>
      </c>
      <c r="Q264" s="57">
        <f>IFERROR(VLOOKUP($A:$A,CS!$A:$AK,25,FALSE),"")</f>
      </c>
      <c r="R264" s="57">
        <f>IFERROR(VLOOKUP($A:$A,CS!$A:$AK,26,FALSE),"")</f>
      </c>
      <c r="S264" s="57">
        <f>IFERROR(VLOOKUP($A:$A,CS!$A:$AK,29,FALSE),"")</f>
      </c>
      <c r="T264" s="57">
        <f>IFERROR(VLOOKUP($A:$A,CS!$A:$AK,33,FALSE),"")</f>
      </c>
      <c r="U264" s="57">
        <f>IFERROR(VLOOKUP($A:$A,CS!$A:$AK,34,FALSE),"")</f>
      </c>
      <c r="V264" s="57">
        <f>IFERROR(VLOOKUP($A:$A,CS!$A:$AK,35,FALSE),"")</f>
      </c>
      <c r="W264" s="57">
        <f>IFERROR(VLOOKUP($A:$A,CS!$A:$AK,36,FALSE),"")</f>
      </c>
    </row>
    <row r="265" ht="16.5" customHeight="1" spans="1:23" x14ac:dyDescent="0.25">
      <c r="A265" s="71"/>
      <c r="B265" s="57">
        <f>IFERROR(VLOOKUP($A:$A,CS!$A:$AK,3,FALSE),"")</f>
      </c>
      <c r="C265" s="57">
        <f>IFERROR(VLOOKUP($A:$A,CS!$A:$AK,4,FALSE),"")</f>
      </c>
      <c r="D265" s="57">
        <f>IFERROR(VLOOKUP($A:$A,CS!$A:$AK,5,FALSE),"")</f>
      </c>
      <c r="E265" s="57">
        <f>IFERROR(VLOOKUP($A:$A,CS!$A:$AK,7,FALSE),"")</f>
      </c>
      <c r="F265" s="57">
        <f>IFERROR(VLOOKUP($A:$A,CS!$A:$AK,8,FALSE),"")</f>
      </c>
      <c r="G265" s="57">
        <f>IFERROR(VLOOKUP($A:$A,CS!$A:$AK,10,FALSE),"")</f>
      </c>
      <c r="H265" s="57">
        <f>IFERROR(VLOOKUP($A:$A,CS!$A:$AK,14,FALSE),"")</f>
      </c>
      <c r="I265" s="57">
        <f>IFERROR(VLOOKUP($A:$A,CS!$A:$AK,15,FALSE),"")</f>
      </c>
      <c r="J265" s="57">
        <f>IFERROR(VLOOKUP($A:$A,CS!$A:$AK,18,FALSE),"")</f>
      </c>
      <c r="K265" s="57">
        <f>IFERROR(VLOOKUP($A:$A,CS!$A:$AK,19,FALSE),"")</f>
      </c>
      <c r="L265" s="57">
        <f>IFERROR(VLOOKUP($A:$A,CS!$A:$AK,20,FALSE),"")</f>
      </c>
      <c r="M265" s="57">
        <f>IFERROR(VLOOKUP($A:$A,CS!$A:$AK,22,FALSE),"")</f>
      </c>
      <c r="N265" s="57">
        <f>IFERROR(VLOOKUP($A:$A,CS!$A:$AK,19,FALSE),"")</f>
      </c>
      <c r="O265" s="57">
        <f>IFERROR(VLOOKUP($A:$A,CS!$A:$AK,23,FALSE),"")</f>
      </c>
      <c r="P265" s="57">
        <f>IFERROR(VLOOKUP($A:$A,CS!$A:$AK,24,FALSE),"")</f>
      </c>
      <c r="Q265" s="57">
        <f>IFERROR(VLOOKUP($A:$A,CS!$A:$AK,25,FALSE),"")</f>
      </c>
      <c r="R265" s="57">
        <f>IFERROR(VLOOKUP($A:$A,CS!$A:$AK,26,FALSE),"")</f>
      </c>
      <c r="S265" s="57">
        <f>IFERROR(VLOOKUP($A:$A,CS!$A:$AK,29,FALSE),"")</f>
      </c>
      <c r="T265" s="57">
        <f>IFERROR(VLOOKUP($A:$A,CS!$A:$AK,33,FALSE),"")</f>
      </c>
      <c r="U265" s="57">
        <f>IFERROR(VLOOKUP($A:$A,CS!$A:$AK,34,FALSE),"")</f>
      </c>
      <c r="V265" s="57">
        <f>IFERROR(VLOOKUP($A:$A,CS!$A:$AK,35,FALSE),"")</f>
      </c>
      <c r="W265" s="57">
        <f>IFERROR(VLOOKUP($A:$A,CS!$A:$AK,36,FALSE),"")</f>
      </c>
    </row>
    <row r="266" ht="16.5" customHeight="1" spans="1:23" x14ac:dyDescent="0.25">
      <c r="A266" s="71"/>
      <c r="B266" s="57">
        <f>IFERROR(VLOOKUP($A:$A,CS!$A:$AK,3,FALSE),"")</f>
      </c>
      <c r="C266" s="57">
        <f>IFERROR(VLOOKUP($A:$A,CS!$A:$AK,4,FALSE),"")</f>
      </c>
      <c r="D266" s="57">
        <f>IFERROR(VLOOKUP($A:$A,CS!$A:$AK,5,FALSE),"")</f>
      </c>
      <c r="E266" s="57">
        <f>IFERROR(VLOOKUP($A:$A,CS!$A:$AK,7,FALSE),"")</f>
      </c>
      <c r="F266" s="57">
        <f>IFERROR(VLOOKUP($A:$A,CS!$A:$AK,8,FALSE),"")</f>
      </c>
      <c r="G266" s="57">
        <f>IFERROR(VLOOKUP($A:$A,CS!$A:$AK,10,FALSE),"")</f>
      </c>
      <c r="H266" s="57">
        <f>IFERROR(VLOOKUP($A:$A,CS!$A:$AK,14,FALSE),"")</f>
      </c>
      <c r="I266" s="57">
        <f>IFERROR(VLOOKUP($A:$A,CS!$A:$AK,15,FALSE),"")</f>
      </c>
      <c r="J266" s="57">
        <f>IFERROR(VLOOKUP($A:$A,CS!$A:$AK,18,FALSE),"")</f>
      </c>
      <c r="K266" s="57">
        <f>IFERROR(VLOOKUP($A:$A,CS!$A:$AK,19,FALSE),"")</f>
      </c>
      <c r="L266" s="57">
        <f>IFERROR(VLOOKUP($A:$A,CS!$A:$AK,20,FALSE),"")</f>
      </c>
      <c r="M266" s="57">
        <f>IFERROR(VLOOKUP($A:$A,CS!$A:$AK,22,FALSE),"")</f>
      </c>
      <c r="N266" s="57">
        <f>IFERROR(VLOOKUP($A:$A,CS!$A:$AK,19,FALSE),"")</f>
      </c>
      <c r="O266" s="57">
        <f>IFERROR(VLOOKUP($A:$A,CS!$A:$AK,23,FALSE),"")</f>
      </c>
      <c r="P266" s="57">
        <f>IFERROR(VLOOKUP($A:$A,CS!$A:$AK,24,FALSE),"")</f>
      </c>
      <c r="Q266" s="57">
        <f>IFERROR(VLOOKUP($A:$A,CS!$A:$AK,25,FALSE),"")</f>
      </c>
      <c r="R266" s="57">
        <f>IFERROR(VLOOKUP($A:$A,CS!$A:$AK,26,FALSE),"")</f>
      </c>
      <c r="S266" s="57">
        <f>IFERROR(VLOOKUP($A:$A,CS!$A:$AK,29,FALSE),"")</f>
      </c>
      <c r="T266" s="57">
        <f>IFERROR(VLOOKUP($A:$A,CS!$A:$AK,33,FALSE),"")</f>
      </c>
      <c r="U266" s="57">
        <f>IFERROR(VLOOKUP($A:$A,CS!$A:$AK,34,FALSE),"")</f>
      </c>
      <c r="V266" s="57">
        <f>IFERROR(VLOOKUP($A:$A,CS!$A:$AK,35,FALSE),"")</f>
      </c>
      <c r="W266" s="57">
        <f>IFERROR(VLOOKUP($A:$A,CS!$A:$AK,36,FALSE),"")</f>
      </c>
    </row>
    <row r="267" ht="16.5" customHeight="1" spans="1:23" x14ac:dyDescent="0.25">
      <c r="A267" s="71"/>
      <c r="B267" s="57">
        <f>IFERROR(VLOOKUP($A:$A,CS!$A:$AK,3,FALSE),"")</f>
      </c>
      <c r="C267" s="57">
        <f>IFERROR(VLOOKUP($A:$A,CS!$A:$AK,4,FALSE),"")</f>
      </c>
      <c r="D267" s="57">
        <f>IFERROR(VLOOKUP($A:$A,CS!$A:$AK,5,FALSE),"")</f>
      </c>
      <c r="E267" s="57">
        <f>IFERROR(VLOOKUP($A:$A,CS!$A:$AK,7,FALSE),"")</f>
      </c>
      <c r="F267" s="57">
        <f>IFERROR(VLOOKUP($A:$A,CS!$A:$AK,8,FALSE),"")</f>
      </c>
      <c r="G267" s="57">
        <f>IFERROR(VLOOKUP($A:$A,CS!$A:$AK,10,FALSE),"")</f>
      </c>
      <c r="H267" s="57">
        <f>IFERROR(VLOOKUP($A:$A,CS!$A:$AK,14,FALSE),"")</f>
      </c>
      <c r="I267" s="57">
        <f>IFERROR(VLOOKUP($A:$A,CS!$A:$AK,15,FALSE),"")</f>
      </c>
      <c r="J267" s="57">
        <f>IFERROR(VLOOKUP($A:$A,CS!$A:$AK,18,FALSE),"")</f>
      </c>
      <c r="K267" s="57">
        <f>IFERROR(VLOOKUP($A:$A,CS!$A:$AK,19,FALSE),"")</f>
      </c>
      <c r="L267" s="57">
        <f>IFERROR(VLOOKUP($A:$A,CS!$A:$AK,20,FALSE),"")</f>
      </c>
      <c r="M267" s="57">
        <f>IFERROR(VLOOKUP($A:$A,CS!$A:$AK,22,FALSE),"")</f>
      </c>
      <c r="N267" s="57">
        <f>IFERROR(VLOOKUP($A:$A,CS!$A:$AK,19,FALSE),"")</f>
      </c>
      <c r="O267" s="57">
        <f>IFERROR(VLOOKUP($A:$A,CS!$A:$AK,23,FALSE),"")</f>
      </c>
      <c r="P267" s="57">
        <f>IFERROR(VLOOKUP($A:$A,CS!$A:$AK,24,FALSE),"")</f>
      </c>
      <c r="Q267" s="57">
        <f>IFERROR(VLOOKUP($A:$A,CS!$A:$AK,25,FALSE),"")</f>
      </c>
      <c r="R267" s="57">
        <f>IFERROR(VLOOKUP($A:$A,CS!$A:$AK,26,FALSE),"")</f>
      </c>
      <c r="S267" s="57">
        <f>IFERROR(VLOOKUP($A:$A,CS!$A:$AK,29,FALSE),"")</f>
      </c>
      <c r="T267" s="57">
        <f>IFERROR(VLOOKUP($A:$A,CS!$A:$AK,33,FALSE),"")</f>
      </c>
      <c r="U267" s="57">
        <f>IFERROR(VLOOKUP($A:$A,CS!$A:$AK,34,FALSE),"")</f>
      </c>
      <c r="V267" s="57">
        <f>IFERROR(VLOOKUP($A:$A,CS!$A:$AK,35,FALSE),"")</f>
      </c>
      <c r="W267" s="57">
        <f>IFERROR(VLOOKUP($A:$A,CS!$A:$AK,36,FALSE),"")</f>
      </c>
    </row>
    <row r="268" ht="16.5" customHeight="1" spans="1:23" x14ac:dyDescent="0.25">
      <c r="A268" s="71"/>
      <c r="B268" s="57">
        <f>IFERROR(VLOOKUP($A:$A,CS!$A:$AK,3,FALSE),"")</f>
      </c>
      <c r="C268" s="57">
        <f>IFERROR(VLOOKUP($A:$A,CS!$A:$AK,4,FALSE),"")</f>
      </c>
      <c r="D268" s="57">
        <f>IFERROR(VLOOKUP($A:$A,CS!$A:$AK,5,FALSE),"")</f>
      </c>
      <c r="E268" s="57">
        <f>IFERROR(VLOOKUP($A:$A,CS!$A:$AK,7,FALSE),"")</f>
      </c>
      <c r="F268" s="57">
        <f>IFERROR(VLOOKUP($A:$A,CS!$A:$AK,8,FALSE),"")</f>
      </c>
      <c r="G268" s="57">
        <f>IFERROR(VLOOKUP($A:$A,CS!$A:$AK,10,FALSE),"")</f>
      </c>
      <c r="H268" s="57">
        <f>IFERROR(VLOOKUP($A:$A,CS!$A:$AK,14,FALSE),"")</f>
      </c>
      <c r="I268" s="57">
        <f>IFERROR(VLOOKUP($A:$A,CS!$A:$AK,15,FALSE),"")</f>
      </c>
      <c r="J268" s="57">
        <f>IFERROR(VLOOKUP($A:$A,CS!$A:$AK,18,FALSE),"")</f>
      </c>
      <c r="K268" s="57">
        <f>IFERROR(VLOOKUP($A:$A,CS!$A:$AK,19,FALSE),"")</f>
      </c>
      <c r="L268" s="57">
        <f>IFERROR(VLOOKUP($A:$A,CS!$A:$AK,20,FALSE),"")</f>
      </c>
      <c r="M268" s="57">
        <f>IFERROR(VLOOKUP($A:$A,CS!$A:$AK,22,FALSE),"")</f>
      </c>
      <c r="N268" s="57">
        <f>IFERROR(VLOOKUP($A:$A,CS!$A:$AK,19,FALSE),"")</f>
      </c>
      <c r="O268" s="57">
        <f>IFERROR(VLOOKUP($A:$A,CS!$A:$AK,23,FALSE),"")</f>
      </c>
      <c r="P268" s="57">
        <f>IFERROR(VLOOKUP($A:$A,CS!$A:$AK,24,FALSE),"")</f>
      </c>
      <c r="Q268" s="57">
        <f>IFERROR(VLOOKUP($A:$A,CS!$A:$AK,25,FALSE),"")</f>
      </c>
      <c r="R268" s="57">
        <f>IFERROR(VLOOKUP($A:$A,CS!$A:$AK,26,FALSE),"")</f>
      </c>
      <c r="S268" s="57">
        <f>IFERROR(VLOOKUP($A:$A,CS!$A:$AK,29,FALSE),"")</f>
      </c>
      <c r="T268" s="57">
        <f>IFERROR(VLOOKUP($A:$A,CS!$A:$AK,33,FALSE),"")</f>
      </c>
      <c r="U268" s="57">
        <f>IFERROR(VLOOKUP($A:$A,CS!$A:$AK,34,FALSE),"")</f>
      </c>
      <c r="V268" s="57">
        <f>IFERROR(VLOOKUP($A:$A,CS!$A:$AK,35,FALSE),"")</f>
      </c>
      <c r="W268" s="57">
        <f>IFERROR(VLOOKUP($A:$A,CS!$A:$AK,36,FALSE),"")</f>
      </c>
    </row>
    <row r="269" ht="16.5" customHeight="1" spans="1:23" x14ac:dyDescent="0.25">
      <c r="A269" s="71"/>
      <c r="B269" s="57">
        <f>IFERROR(VLOOKUP($A:$A,CS!$A:$AK,3,FALSE),"")</f>
      </c>
      <c r="C269" s="57">
        <f>IFERROR(VLOOKUP($A:$A,CS!$A:$AK,4,FALSE),"")</f>
      </c>
      <c r="D269" s="57">
        <f>IFERROR(VLOOKUP($A:$A,CS!$A:$AK,5,FALSE),"")</f>
      </c>
      <c r="E269" s="57">
        <f>IFERROR(VLOOKUP($A:$A,CS!$A:$AK,7,FALSE),"")</f>
      </c>
      <c r="F269" s="57">
        <f>IFERROR(VLOOKUP($A:$A,CS!$A:$AK,8,FALSE),"")</f>
      </c>
      <c r="G269" s="57">
        <f>IFERROR(VLOOKUP($A:$A,CS!$A:$AK,10,FALSE),"")</f>
      </c>
      <c r="H269" s="57">
        <f>IFERROR(VLOOKUP($A:$A,CS!$A:$AK,14,FALSE),"")</f>
      </c>
      <c r="I269" s="57">
        <f>IFERROR(VLOOKUP($A:$A,CS!$A:$AK,15,FALSE),"")</f>
      </c>
      <c r="J269" s="57">
        <f>IFERROR(VLOOKUP($A:$A,CS!$A:$AK,18,FALSE),"")</f>
      </c>
      <c r="K269" s="57">
        <f>IFERROR(VLOOKUP($A:$A,CS!$A:$AK,19,FALSE),"")</f>
      </c>
      <c r="L269" s="57">
        <f>IFERROR(VLOOKUP($A:$A,CS!$A:$AK,20,FALSE),"")</f>
      </c>
      <c r="M269" s="57">
        <f>IFERROR(VLOOKUP($A:$A,CS!$A:$AK,22,FALSE),"")</f>
      </c>
      <c r="N269" s="57">
        <f>IFERROR(VLOOKUP($A:$A,CS!$A:$AK,19,FALSE),"")</f>
      </c>
      <c r="O269" s="57">
        <f>IFERROR(VLOOKUP($A:$A,CS!$A:$AK,23,FALSE),"")</f>
      </c>
      <c r="P269" s="57">
        <f>IFERROR(VLOOKUP($A:$A,CS!$A:$AK,24,FALSE),"")</f>
      </c>
      <c r="Q269" s="57">
        <f>IFERROR(VLOOKUP($A:$A,CS!$A:$AK,25,FALSE),"")</f>
      </c>
      <c r="R269" s="57">
        <f>IFERROR(VLOOKUP($A:$A,CS!$A:$AK,26,FALSE),"")</f>
      </c>
      <c r="S269" s="57">
        <f>IFERROR(VLOOKUP($A:$A,CS!$A:$AK,29,FALSE),"")</f>
      </c>
      <c r="T269" s="57">
        <f>IFERROR(VLOOKUP($A:$A,CS!$A:$AK,33,FALSE),"")</f>
      </c>
      <c r="U269" s="57">
        <f>IFERROR(VLOOKUP($A:$A,CS!$A:$AK,34,FALSE),"")</f>
      </c>
      <c r="V269" s="57">
        <f>IFERROR(VLOOKUP($A:$A,CS!$A:$AK,35,FALSE),"")</f>
      </c>
      <c r="W269" s="57">
        <f>IFERROR(VLOOKUP($A:$A,CS!$A:$AK,36,FALSE),"")</f>
      </c>
    </row>
    <row r="270" ht="16.5" customHeight="1" spans="1:23" x14ac:dyDescent="0.25">
      <c r="A270" s="71"/>
      <c r="B270" s="57">
        <f>IFERROR(VLOOKUP($A:$A,CS!$A:$AK,3,FALSE),"")</f>
      </c>
      <c r="C270" s="57">
        <f>IFERROR(VLOOKUP($A:$A,CS!$A:$AK,4,FALSE),"")</f>
      </c>
      <c r="D270" s="57">
        <f>IFERROR(VLOOKUP($A:$A,CS!$A:$AK,5,FALSE),"")</f>
      </c>
      <c r="E270" s="57">
        <f>IFERROR(VLOOKUP($A:$A,CS!$A:$AK,7,FALSE),"")</f>
      </c>
      <c r="F270" s="57">
        <f>IFERROR(VLOOKUP($A:$A,CS!$A:$AK,8,FALSE),"")</f>
      </c>
      <c r="G270" s="57">
        <f>IFERROR(VLOOKUP($A:$A,CS!$A:$AK,10,FALSE),"")</f>
      </c>
      <c r="H270" s="57">
        <f>IFERROR(VLOOKUP($A:$A,CS!$A:$AK,14,FALSE),"")</f>
      </c>
      <c r="I270" s="57">
        <f>IFERROR(VLOOKUP($A:$A,CS!$A:$AK,15,FALSE),"")</f>
      </c>
      <c r="J270" s="57">
        <f>IFERROR(VLOOKUP($A:$A,CS!$A:$AK,18,FALSE),"")</f>
      </c>
      <c r="K270" s="57">
        <f>IFERROR(VLOOKUP($A:$A,CS!$A:$AK,19,FALSE),"")</f>
      </c>
      <c r="L270" s="57">
        <f>IFERROR(VLOOKUP($A:$A,CS!$A:$AK,20,FALSE),"")</f>
      </c>
      <c r="M270" s="57">
        <f>IFERROR(VLOOKUP($A:$A,CS!$A:$AK,22,FALSE),"")</f>
      </c>
      <c r="N270" s="57">
        <f>IFERROR(VLOOKUP($A:$A,CS!$A:$AK,19,FALSE),"")</f>
      </c>
      <c r="O270" s="57">
        <f>IFERROR(VLOOKUP($A:$A,CS!$A:$AK,23,FALSE),"")</f>
      </c>
      <c r="P270" s="57">
        <f>IFERROR(VLOOKUP($A:$A,CS!$A:$AK,24,FALSE),"")</f>
      </c>
      <c r="Q270" s="57">
        <f>IFERROR(VLOOKUP($A:$A,CS!$A:$AK,25,FALSE),"")</f>
      </c>
      <c r="R270" s="57">
        <f>IFERROR(VLOOKUP($A:$A,CS!$A:$AK,26,FALSE),"")</f>
      </c>
      <c r="S270" s="57">
        <f>IFERROR(VLOOKUP($A:$A,CS!$A:$AK,29,FALSE),"")</f>
      </c>
      <c r="T270" s="57">
        <f>IFERROR(VLOOKUP($A:$A,CS!$A:$AK,33,FALSE),"")</f>
      </c>
      <c r="U270" s="57">
        <f>IFERROR(VLOOKUP($A:$A,CS!$A:$AK,34,FALSE),"")</f>
      </c>
      <c r="V270" s="57">
        <f>IFERROR(VLOOKUP($A:$A,CS!$A:$AK,35,FALSE),"")</f>
      </c>
      <c r="W270" s="57">
        <f>IFERROR(VLOOKUP($A:$A,CS!$A:$AK,36,FALSE),"")</f>
      </c>
    </row>
    <row r="271" ht="16.5" customHeight="1" spans="1:23" x14ac:dyDescent="0.25">
      <c r="A271" s="71"/>
      <c r="B271" s="57">
        <f>IFERROR(VLOOKUP($A:$A,CS!$A:$AK,3,FALSE),"")</f>
      </c>
      <c r="C271" s="57">
        <f>IFERROR(VLOOKUP($A:$A,CS!$A:$AK,4,FALSE),"")</f>
      </c>
      <c r="D271" s="57">
        <f>IFERROR(VLOOKUP($A:$A,CS!$A:$AK,5,FALSE),"")</f>
      </c>
      <c r="E271" s="57">
        <f>IFERROR(VLOOKUP($A:$A,CS!$A:$AK,7,FALSE),"")</f>
      </c>
      <c r="F271" s="57">
        <f>IFERROR(VLOOKUP($A:$A,CS!$A:$AK,8,FALSE),"")</f>
      </c>
      <c r="G271" s="57">
        <f>IFERROR(VLOOKUP($A:$A,CS!$A:$AK,10,FALSE),"")</f>
      </c>
      <c r="H271" s="57">
        <f>IFERROR(VLOOKUP($A:$A,CS!$A:$AK,14,FALSE),"")</f>
      </c>
      <c r="I271" s="57">
        <f>IFERROR(VLOOKUP($A:$A,CS!$A:$AK,15,FALSE),"")</f>
      </c>
      <c r="J271" s="57">
        <f>IFERROR(VLOOKUP($A:$A,CS!$A:$AK,18,FALSE),"")</f>
      </c>
      <c r="K271" s="57">
        <f>IFERROR(VLOOKUP($A:$A,CS!$A:$AK,19,FALSE),"")</f>
      </c>
      <c r="L271" s="57">
        <f>IFERROR(VLOOKUP($A:$A,CS!$A:$AK,20,FALSE),"")</f>
      </c>
      <c r="M271" s="57">
        <f>IFERROR(VLOOKUP($A:$A,CS!$A:$AK,22,FALSE),"")</f>
      </c>
      <c r="N271" s="57">
        <f>IFERROR(VLOOKUP($A:$A,CS!$A:$AK,19,FALSE),"")</f>
      </c>
      <c r="O271" s="57">
        <f>IFERROR(VLOOKUP($A:$A,CS!$A:$AK,23,FALSE),"")</f>
      </c>
      <c r="P271" s="57">
        <f>IFERROR(VLOOKUP($A:$A,CS!$A:$AK,24,FALSE),"")</f>
      </c>
      <c r="Q271" s="57">
        <f>IFERROR(VLOOKUP($A:$A,CS!$A:$AK,25,FALSE),"")</f>
      </c>
      <c r="R271" s="57">
        <f>IFERROR(VLOOKUP($A:$A,CS!$A:$AK,26,FALSE),"")</f>
      </c>
      <c r="S271" s="57">
        <f>IFERROR(VLOOKUP($A:$A,CS!$A:$AK,29,FALSE),"")</f>
      </c>
      <c r="T271" s="57">
        <f>IFERROR(VLOOKUP($A:$A,CS!$A:$AK,33,FALSE),"")</f>
      </c>
      <c r="U271" s="57">
        <f>IFERROR(VLOOKUP($A:$A,CS!$A:$AK,34,FALSE),"")</f>
      </c>
      <c r="V271" s="57">
        <f>IFERROR(VLOOKUP($A:$A,CS!$A:$AK,35,FALSE),"")</f>
      </c>
      <c r="W271" s="57">
        <f>IFERROR(VLOOKUP($A:$A,CS!$A:$AK,36,FALSE),"")</f>
      </c>
    </row>
    <row r="272" ht="16.5" customHeight="1" spans="1:23" x14ac:dyDescent="0.25">
      <c r="A272" s="71"/>
      <c r="B272" s="57">
        <f>IFERROR(VLOOKUP($A:$A,CS!$A:$AK,3,FALSE),"")</f>
      </c>
      <c r="C272" s="57">
        <f>IFERROR(VLOOKUP($A:$A,CS!$A:$AK,4,FALSE),"")</f>
      </c>
      <c r="D272" s="57">
        <f>IFERROR(VLOOKUP($A:$A,CS!$A:$AK,5,FALSE),"")</f>
      </c>
      <c r="E272" s="57">
        <f>IFERROR(VLOOKUP($A:$A,CS!$A:$AK,7,FALSE),"")</f>
      </c>
      <c r="F272" s="57">
        <f>IFERROR(VLOOKUP($A:$A,CS!$A:$AK,8,FALSE),"")</f>
      </c>
      <c r="G272" s="57">
        <f>IFERROR(VLOOKUP($A:$A,CS!$A:$AK,10,FALSE),"")</f>
      </c>
      <c r="H272" s="57">
        <f>IFERROR(VLOOKUP($A:$A,CS!$A:$AK,14,FALSE),"")</f>
      </c>
      <c r="I272" s="57">
        <f>IFERROR(VLOOKUP($A:$A,CS!$A:$AK,15,FALSE),"")</f>
      </c>
      <c r="J272" s="57">
        <f>IFERROR(VLOOKUP($A:$A,CS!$A:$AK,18,FALSE),"")</f>
      </c>
      <c r="K272" s="57">
        <f>IFERROR(VLOOKUP($A:$A,CS!$A:$AK,19,FALSE),"")</f>
      </c>
      <c r="L272" s="57">
        <f>IFERROR(VLOOKUP($A:$A,CS!$A:$AK,20,FALSE),"")</f>
      </c>
      <c r="M272" s="57">
        <f>IFERROR(VLOOKUP($A:$A,CS!$A:$AK,22,FALSE),"")</f>
      </c>
      <c r="N272" s="57">
        <f>IFERROR(VLOOKUP($A:$A,CS!$A:$AK,19,FALSE),"")</f>
      </c>
      <c r="O272" s="57">
        <f>IFERROR(VLOOKUP($A:$A,CS!$A:$AK,23,FALSE),"")</f>
      </c>
      <c r="P272" s="57">
        <f>IFERROR(VLOOKUP($A:$A,CS!$A:$AK,24,FALSE),"")</f>
      </c>
      <c r="Q272" s="57">
        <f>IFERROR(VLOOKUP($A:$A,CS!$A:$AK,25,FALSE),"")</f>
      </c>
      <c r="R272" s="57">
        <f>IFERROR(VLOOKUP($A:$A,CS!$A:$AK,26,FALSE),"")</f>
      </c>
      <c r="S272" s="57">
        <f>IFERROR(VLOOKUP($A:$A,CS!$A:$AK,29,FALSE),"")</f>
      </c>
      <c r="T272" s="57">
        <f>IFERROR(VLOOKUP($A:$A,CS!$A:$AK,33,FALSE),"")</f>
      </c>
      <c r="U272" s="57">
        <f>IFERROR(VLOOKUP($A:$A,CS!$A:$AK,34,FALSE),"")</f>
      </c>
      <c r="V272" s="57">
        <f>IFERROR(VLOOKUP($A:$A,CS!$A:$AK,35,FALSE),"")</f>
      </c>
      <c r="W272" s="57">
        <f>IFERROR(VLOOKUP($A:$A,CS!$A:$AK,36,FALSE),"")</f>
      </c>
    </row>
    <row r="273" ht="16.5" customHeight="1" spans="1:23" x14ac:dyDescent="0.25">
      <c r="A273" s="71"/>
      <c r="B273" s="57">
        <f>IFERROR(VLOOKUP($A:$A,CS!$A:$AK,3,FALSE),"")</f>
      </c>
      <c r="C273" s="57">
        <f>IFERROR(VLOOKUP($A:$A,CS!$A:$AK,4,FALSE),"")</f>
      </c>
      <c r="D273" s="57">
        <f>IFERROR(VLOOKUP($A:$A,CS!$A:$AK,5,FALSE),"")</f>
      </c>
      <c r="E273" s="57">
        <f>IFERROR(VLOOKUP($A:$A,CS!$A:$AK,7,FALSE),"")</f>
      </c>
      <c r="F273" s="57">
        <f>IFERROR(VLOOKUP($A:$A,CS!$A:$AK,8,FALSE),"")</f>
      </c>
      <c r="G273" s="57">
        <f>IFERROR(VLOOKUP($A:$A,CS!$A:$AK,10,FALSE),"")</f>
      </c>
      <c r="H273" s="57">
        <f>IFERROR(VLOOKUP($A:$A,CS!$A:$AK,14,FALSE),"")</f>
      </c>
      <c r="I273" s="57">
        <f>IFERROR(VLOOKUP($A:$A,CS!$A:$AK,15,FALSE),"")</f>
      </c>
      <c r="J273" s="57">
        <f>IFERROR(VLOOKUP($A:$A,CS!$A:$AK,18,FALSE),"")</f>
      </c>
      <c r="K273" s="57">
        <f>IFERROR(VLOOKUP($A:$A,CS!$A:$AK,19,FALSE),"")</f>
      </c>
      <c r="L273" s="57">
        <f>IFERROR(VLOOKUP($A:$A,CS!$A:$AK,20,FALSE),"")</f>
      </c>
      <c r="M273" s="57">
        <f>IFERROR(VLOOKUP($A:$A,CS!$A:$AK,22,FALSE),"")</f>
      </c>
      <c r="N273" s="57">
        <f>IFERROR(VLOOKUP($A:$A,CS!$A:$AK,19,FALSE),"")</f>
      </c>
      <c r="O273" s="57">
        <f>IFERROR(VLOOKUP($A:$A,CS!$A:$AK,23,FALSE),"")</f>
      </c>
      <c r="P273" s="57">
        <f>IFERROR(VLOOKUP($A:$A,CS!$A:$AK,24,FALSE),"")</f>
      </c>
      <c r="Q273" s="57">
        <f>IFERROR(VLOOKUP($A:$A,CS!$A:$AK,25,FALSE),"")</f>
      </c>
      <c r="R273" s="57">
        <f>IFERROR(VLOOKUP($A:$A,CS!$A:$AK,26,FALSE),"")</f>
      </c>
      <c r="S273" s="57">
        <f>IFERROR(VLOOKUP($A:$A,CS!$A:$AK,29,FALSE),"")</f>
      </c>
      <c r="T273" s="57">
        <f>IFERROR(VLOOKUP($A:$A,CS!$A:$AK,33,FALSE),"")</f>
      </c>
      <c r="U273" s="57">
        <f>IFERROR(VLOOKUP($A:$A,CS!$A:$AK,34,FALSE),"")</f>
      </c>
      <c r="V273" s="57">
        <f>IFERROR(VLOOKUP($A:$A,CS!$A:$AK,35,FALSE),"")</f>
      </c>
      <c r="W273" s="57">
        <f>IFERROR(VLOOKUP($A:$A,CS!$A:$AK,36,FALSE),"")</f>
      </c>
    </row>
    <row r="274" ht="16.5" customHeight="1" spans="1:23" x14ac:dyDescent="0.25">
      <c r="A274" s="71"/>
      <c r="B274" s="57">
        <f>IFERROR(VLOOKUP($A:$A,CS!$A:$AK,3,FALSE),"")</f>
      </c>
      <c r="C274" s="57">
        <f>IFERROR(VLOOKUP($A:$A,CS!$A:$AK,4,FALSE),"")</f>
      </c>
      <c r="D274" s="57">
        <f>IFERROR(VLOOKUP($A:$A,CS!$A:$AK,5,FALSE),"")</f>
      </c>
      <c r="E274" s="57">
        <f>IFERROR(VLOOKUP($A:$A,CS!$A:$AK,7,FALSE),"")</f>
      </c>
      <c r="F274" s="57">
        <f>IFERROR(VLOOKUP($A:$A,CS!$A:$AK,8,FALSE),"")</f>
      </c>
      <c r="G274" s="57">
        <f>IFERROR(VLOOKUP($A:$A,CS!$A:$AK,10,FALSE),"")</f>
      </c>
      <c r="H274" s="57">
        <f>IFERROR(VLOOKUP($A:$A,CS!$A:$AK,14,FALSE),"")</f>
      </c>
      <c r="I274" s="57">
        <f>IFERROR(VLOOKUP($A:$A,CS!$A:$AK,15,FALSE),"")</f>
      </c>
      <c r="J274" s="57">
        <f>IFERROR(VLOOKUP($A:$A,CS!$A:$AK,18,FALSE),"")</f>
      </c>
      <c r="K274" s="57">
        <f>IFERROR(VLOOKUP($A:$A,CS!$A:$AK,19,FALSE),"")</f>
      </c>
      <c r="L274" s="57">
        <f>IFERROR(VLOOKUP($A:$A,CS!$A:$AK,20,FALSE),"")</f>
      </c>
      <c r="M274" s="57">
        <f>IFERROR(VLOOKUP($A:$A,CS!$A:$AK,22,FALSE),"")</f>
      </c>
      <c r="N274" s="57">
        <f>IFERROR(VLOOKUP($A:$A,CS!$A:$AK,19,FALSE),"")</f>
      </c>
      <c r="O274" s="57">
        <f>IFERROR(VLOOKUP($A:$A,CS!$A:$AK,23,FALSE),"")</f>
      </c>
      <c r="P274" s="57">
        <f>IFERROR(VLOOKUP($A:$A,CS!$A:$AK,24,FALSE),"")</f>
      </c>
      <c r="Q274" s="57">
        <f>IFERROR(VLOOKUP($A:$A,CS!$A:$AK,25,FALSE),"")</f>
      </c>
      <c r="R274" s="57">
        <f>IFERROR(VLOOKUP($A:$A,CS!$A:$AK,26,FALSE),"")</f>
      </c>
      <c r="S274" s="57">
        <f>IFERROR(VLOOKUP($A:$A,CS!$A:$AK,29,FALSE),"")</f>
      </c>
      <c r="T274" s="57">
        <f>IFERROR(VLOOKUP($A:$A,CS!$A:$AK,33,FALSE),"")</f>
      </c>
      <c r="U274" s="57">
        <f>IFERROR(VLOOKUP($A:$A,CS!$A:$AK,34,FALSE),"")</f>
      </c>
      <c r="V274" s="57">
        <f>IFERROR(VLOOKUP($A:$A,CS!$A:$AK,35,FALSE),"")</f>
      </c>
      <c r="W274" s="57">
        <f>IFERROR(VLOOKUP($A:$A,CS!$A:$AK,36,FALSE),"")</f>
      </c>
    </row>
    <row r="275" ht="16.5" customHeight="1" spans="1:23" x14ac:dyDescent="0.25">
      <c r="A275" s="71"/>
      <c r="B275" s="57">
        <f>IFERROR(VLOOKUP($A:$A,CS!$A:$AK,3,FALSE),"")</f>
      </c>
      <c r="C275" s="57">
        <f>IFERROR(VLOOKUP($A:$A,CS!$A:$AK,4,FALSE),"")</f>
      </c>
      <c r="D275" s="57">
        <f>IFERROR(VLOOKUP($A:$A,CS!$A:$AK,5,FALSE),"")</f>
      </c>
      <c r="E275" s="57">
        <f>IFERROR(VLOOKUP($A:$A,CS!$A:$AK,7,FALSE),"")</f>
      </c>
      <c r="F275" s="57">
        <f>IFERROR(VLOOKUP($A:$A,CS!$A:$AK,8,FALSE),"")</f>
      </c>
      <c r="G275" s="57">
        <f>IFERROR(VLOOKUP($A:$A,CS!$A:$AK,10,FALSE),"")</f>
      </c>
      <c r="H275" s="57">
        <f>IFERROR(VLOOKUP($A:$A,CS!$A:$AK,14,FALSE),"")</f>
      </c>
      <c r="I275" s="57">
        <f>IFERROR(VLOOKUP($A:$A,CS!$A:$AK,15,FALSE),"")</f>
      </c>
      <c r="J275" s="57">
        <f>IFERROR(VLOOKUP($A:$A,CS!$A:$AK,18,FALSE),"")</f>
      </c>
      <c r="K275" s="57">
        <f>IFERROR(VLOOKUP($A:$A,CS!$A:$AK,19,FALSE),"")</f>
      </c>
      <c r="L275" s="57">
        <f>IFERROR(VLOOKUP($A:$A,CS!$A:$AK,20,FALSE),"")</f>
      </c>
      <c r="M275" s="57">
        <f>IFERROR(VLOOKUP($A:$A,CS!$A:$AK,22,FALSE),"")</f>
      </c>
      <c r="N275" s="57">
        <f>IFERROR(VLOOKUP($A:$A,CS!$A:$AK,19,FALSE),"")</f>
      </c>
      <c r="O275" s="57">
        <f>IFERROR(VLOOKUP($A:$A,CS!$A:$AK,23,FALSE),"")</f>
      </c>
      <c r="P275" s="57">
        <f>IFERROR(VLOOKUP($A:$A,CS!$A:$AK,24,FALSE),"")</f>
      </c>
      <c r="Q275" s="57">
        <f>IFERROR(VLOOKUP($A:$A,CS!$A:$AK,25,FALSE),"")</f>
      </c>
      <c r="R275" s="57">
        <f>IFERROR(VLOOKUP($A:$A,CS!$A:$AK,26,FALSE),"")</f>
      </c>
      <c r="S275" s="57">
        <f>IFERROR(VLOOKUP($A:$A,CS!$A:$AK,29,FALSE),"")</f>
      </c>
      <c r="T275" s="57">
        <f>IFERROR(VLOOKUP($A:$A,CS!$A:$AK,33,FALSE),"")</f>
      </c>
      <c r="U275" s="57">
        <f>IFERROR(VLOOKUP($A:$A,CS!$A:$AK,34,FALSE),"")</f>
      </c>
      <c r="V275" s="57">
        <f>IFERROR(VLOOKUP($A:$A,CS!$A:$AK,35,FALSE),"")</f>
      </c>
      <c r="W275" s="57">
        <f>IFERROR(VLOOKUP($A:$A,CS!$A:$AK,36,FALSE),"")</f>
      </c>
    </row>
    <row r="276" ht="16.5" customHeight="1" spans="1:23" x14ac:dyDescent="0.25">
      <c r="A276" s="71"/>
      <c r="B276" s="57">
        <f>IFERROR(VLOOKUP($A:$A,CS!$A:$AK,3,FALSE),"")</f>
      </c>
      <c r="C276" s="57">
        <f>IFERROR(VLOOKUP($A:$A,CS!$A:$AK,4,FALSE),"")</f>
      </c>
      <c r="D276" s="57">
        <f>IFERROR(VLOOKUP($A:$A,CS!$A:$AK,5,FALSE),"")</f>
      </c>
      <c r="E276" s="57">
        <f>IFERROR(VLOOKUP($A:$A,CS!$A:$AK,7,FALSE),"")</f>
      </c>
      <c r="F276" s="57">
        <f>IFERROR(VLOOKUP($A:$A,CS!$A:$AK,8,FALSE),"")</f>
      </c>
      <c r="G276" s="57">
        <f>IFERROR(VLOOKUP($A:$A,CS!$A:$AK,10,FALSE),"")</f>
      </c>
      <c r="H276" s="57">
        <f>IFERROR(VLOOKUP($A:$A,CS!$A:$AK,14,FALSE),"")</f>
      </c>
      <c r="I276" s="57">
        <f>IFERROR(VLOOKUP($A:$A,CS!$A:$AK,15,FALSE),"")</f>
      </c>
      <c r="J276" s="57">
        <f>IFERROR(VLOOKUP($A:$A,CS!$A:$AK,18,FALSE),"")</f>
      </c>
      <c r="K276" s="57">
        <f>IFERROR(VLOOKUP($A:$A,CS!$A:$AK,19,FALSE),"")</f>
      </c>
      <c r="L276" s="57">
        <f>IFERROR(VLOOKUP($A:$A,CS!$A:$AK,20,FALSE),"")</f>
      </c>
      <c r="M276" s="57">
        <f>IFERROR(VLOOKUP($A:$A,CS!$A:$AK,22,FALSE),"")</f>
      </c>
      <c r="N276" s="57">
        <f>IFERROR(VLOOKUP($A:$A,CS!$A:$AK,19,FALSE),"")</f>
      </c>
      <c r="O276" s="57">
        <f>IFERROR(VLOOKUP($A:$A,CS!$A:$AK,23,FALSE),"")</f>
      </c>
      <c r="P276" s="57">
        <f>IFERROR(VLOOKUP($A:$A,CS!$A:$AK,24,FALSE),"")</f>
      </c>
      <c r="Q276" s="57">
        <f>IFERROR(VLOOKUP($A:$A,CS!$A:$AK,25,FALSE),"")</f>
      </c>
      <c r="R276" s="57">
        <f>IFERROR(VLOOKUP($A:$A,CS!$A:$AK,26,FALSE),"")</f>
      </c>
      <c r="S276" s="57">
        <f>IFERROR(VLOOKUP($A:$A,CS!$A:$AK,29,FALSE),"")</f>
      </c>
      <c r="T276" s="57">
        <f>IFERROR(VLOOKUP($A:$A,CS!$A:$AK,33,FALSE),"")</f>
      </c>
      <c r="U276" s="57">
        <f>IFERROR(VLOOKUP($A:$A,CS!$A:$AK,34,FALSE),"")</f>
      </c>
      <c r="V276" s="57">
        <f>IFERROR(VLOOKUP($A:$A,CS!$A:$AK,35,FALSE),"")</f>
      </c>
      <c r="W276" s="57">
        <f>IFERROR(VLOOKUP($A:$A,CS!$A:$AK,36,FALSE),"")</f>
      </c>
    </row>
    <row r="277" ht="16.5" customHeight="1" spans="1:23" x14ac:dyDescent="0.25">
      <c r="A277" s="71"/>
      <c r="B277" s="57">
        <f>IFERROR(VLOOKUP($A:$A,CS!$A:$AK,3,FALSE),"")</f>
      </c>
      <c r="C277" s="57">
        <f>IFERROR(VLOOKUP($A:$A,CS!$A:$AK,4,FALSE),"")</f>
      </c>
      <c r="D277" s="57">
        <f>IFERROR(VLOOKUP($A:$A,CS!$A:$AK,5,FALSE),"")</f>
      </c>
      <c r="E277" s="57">
        <f>IFERROR(VLOOKUP($A:$A,CS!$A:$AK,7,FALSE),"")</f>
      </c>
      <c r="F277" s="57">
        <f>IFERROR(VLOOKUP($A:$A,CS!$A:$AK,8,FALSE),"")</f>
      </c>
      <c r="G277" s="57">
        <f>IFERROR(VLOOKUP($A:$A,CS!$A:$AK,10,FALSE),"")</f>
      </c>
      <c r="H277" s="57">
        <f>IFERROR(VLOOKUP($A:$A,CS!$A:$AK,14,FALSE),"")</f>
      </c>
      <c r="I277" s="57">
        <f>IFERROR(VLOOKUP($A:$A,CS!$A:$AK,15,FALSE),"")</f>
      </c>
      <c r="J277" s="57">
        <f>IFERROR(VLOOKUP($A:$A,CS!$A:$AK,18,FALSE),"")</f>
      </c>
      <c r="K277" s="57">
        <f>IFERROR(VLOOKUP($A:$A,CS!$A:$AK,19,FALSE),"")</f>
      </c>
      <c r="L277" s="57">
        <f>IFERROR(VLOOKUP($A:$A,CS!$A:$AK,20,FALSE),"")</f>
      </c>
      <c r="M277" s="57">
        <f>IFERROR(VLOOKUP($A:$A,CS!$A:$AK,22,FALSE),"")</f>
      </c>
      <c r="N277" s="57">
        <f>IFERROR(VLOOKUP($A:$A,CS!$A:$AK,19,FALSE),"")</f>
      </c>
      <c r="O277" s="57">
        <f>IFERROR(VLOOKUP($A:$A,CS!$A:$AK,23,FALSE),"")</f>
      </c>
      <c r="P277" s="57">
        <f>IFERROR(VLOOKUP($A:$A,CS!$A:$AK,24,FALSE),"")</f>
      </c>
      <c r="Q277" s="57">
        <f>IFERROR(VLOOKUP($A:$A,CS!$A:$AK,25,FALSE),"")</f>
      </c>
      <c r="R277" s="57">
        <f>IFERROR(VLOOKUP($A:$A,CS!$A:$AK,26,FALSE),"")</f>
      </c>
      <c r="S277" s="57">
        <f>IFERROR(VLOOKUP($A:$A,CS!$A:$AK,29,FALSE),"")</f>
      </c>
      <c r="T277" s="57">
        <f>IFERROR(VLOOKUP($A:$A,CS!$A:$AK,33,FALSE),"")</f>
      </c>
      <c r="U277" s="57">
        <f>IFERROR(VLOOKUP($A:$A,CS!$A:$AK,34,FALSE),"")</f>
      </c>
      <c r="V277" s="57">
        <f>IFERROR(VLOOKUP($A:$A,CS!$A:$AK,35,FALSE),"")</f>
      </c>
      <c r="W277" s="57">
        <f>IFERROR(VLOOKUP($A:$A,CS!$A:$AK,36,FALSE),"")</f>
      </c>
    </row>
    <row r="278" ht="16.5" customHeight="1" spans="1:23" x14ac:dyDescent="0.25">
      <c r="A278" s="71"/>
      <c r="B278" s="57">
        <f>IFERROR(VLOOKUP($A:$A,CS!$A:$AK,3,FALSE),"")</f>
      </c>
      <c r="C278" s="57">
        <f>IFERROR(VLOOKUP($A:$A,CS!$A:$AK,4,FALSE),"")</f>
      </c>
      <c r="D278" s="57">
        <f>IFERROR(VLOOKUP($A:$A,CS!$A:$AK,5,FALSE),"")</f>
      </c>
      <c r="E278" s="57">
        <f>IFERROR(VLOOKUP($A:$A,CS!$A:$AK,7,FALSE),"")</f>
      </c>
      <c r="F278" s="57">
        <f>IFERROR(VLOOKUP($A:$A,CS!$A:$AK,8,FALSE),"")</f>
      </c>
      <c r="G278" s="57">
        <f>IFERROR(VLOOKUP($A:$A,CS!$A:$AK,10,FALSE),"")</f>
      </c>
      <c r="H278" s="57">
        <f>IFERROR(VLOOKUP($A:$A,CS!$A:$AK,14,FALSE),"")</f>
      </c>
      <c r="I278" s="57">
        <f>IFERROR(VLOOKUP($A:$A,CS!$A:$AK,15,FALSE),"")</f>
      </c>
      <c r="J278" s="57">
        <f>IFERROR(VLOOKUP($A:$A,CS!$A:$AK,18,FALSE),"")</f>
      </c>
      <c r="K278" s="57">
        <f>IFERROR(VLOOKUP($A:$A,CS!$A:$AK,19,FALSE),"")</f>
      </c>
      <c r="L278" s="57">
        <f>IFERROR(VLOOKUP($A:$A,CS!$A:$AK,20,FALSE),"")</f>
      </c>
      <c r="M278" s="57">
        <f>IFERROR(VLOOKUP($A:$A,CS!$A:$AK,22,FALSE),"")</f>
      </c>
      <c r="N278" s="57">
        <f>IFERROR(VLOOKUP($A:$A,CS!$A:$AK,19,FALSE),"")</f>
      </c>
      <c r="O278" s="57">
        <f>IFERROR(VLOOKUP($A:$A,CS!$A:$AK,23,FALSE),"")</f>
      </c>
      <c r="P278" s="57">
        <f>IFERROR(VLOOKUP($A:$A,CS!$A:$AK,24,FALSE),"")</f>
      </c>
      <c r="Q278" s="57">
        <f>IFERROR(VLOOKUP($A:$A,CS!$A:$AK,25,FALSE),"")</f>
      </c>
      <c r="R278" s="57">
        <f>IFERROR(VLOOKUP($A:$A,CS!$A:$AK,26,FALSE),"")</f>
      </c>
      <c r="S278" s="57">
        <f>IFERROR(VLOOKUP($A:$A,CS!$A:$AK,29,FALSE),"")</f>
      </c>
      <c r="T278" s="57">
        <f>IFERROR(VLOOKUP($A:$A,CS!$A:$AK,33,FALSE),"")</f>
      </c>
      <c r="U278" s="57">
        <f>IFERROR(VLOOKUP($A:$A,CS!$A:$AK,34,FALSE),"")</f>
      </c>
      <c r="V278" s="57">
        <f>IFERROR(VLOOKUP($A:$A,CS!$A:$AK,35,FALSE),"")</f>
      </c>
      <c r="W278" s="57">
        <f>IFERROR(VLOOKUP($A:$A,CS!$A:$AK,36,FALSE),"")</f>
      </c>
    </row>
    <row r="279" ht="16.5" customHeight="1" spans="1:23" x14ac:dyDescent="0.25">
      <c r="A279" s="71"/>
      <c r="B279" s="57">
        <f>IFERROR(VLOOKUP($A:$A,CS!$A:$AK,3,FALSE),"")</f>
      </c>
      <c r="C279" s="57">
        <f>IFERROR(VLOOKUP($A:$A,CS!$A:$AK,4,FALSE),"")</f>
      </c>
      <c r="D279" s="57">
        <f>IFERROR(VLOOKUP($A:$A,CS!$A:$AK,5,FALSE),"")</f>
      </c>
      <c r="E279" s="57">
        <f>IFERROR(VLOOKUP($A:$A,CS!$A:$AK,7,FALSE),"")</f>
      </c>
      <c r="F279" s="57">
        <f>IFERROR(VLOOKUP($A:$A,CS!$A:$AK,8,FALSE),"")</f>
      </c>
      <c r="G279" s="57">
        <f>IFERROR(VLOOKUP($A:$A,CS!$A:$AK,10,FALSE),"")</f>
      </c>
      <c r="H279" s="57">
        <f>IFERROR(VLOOKUP($A:$A,CS!$A:$AK,14,FALSE),"")</f>
      </c>
      <c r="I279" s="57">
        <f>IFERROR(VLOOKUP($A:$A,CS!$A:$AK,15,FALSE),"")</f>
      </c>
      <c r="J279" s="57">
        <f>IFERROR(VLOOKUP($A:$A,CS!$A:$AK,18,FALSE),"")</f>
      </c>
      <c r="K279" s="57">
        <f>IFERROR(VLOOKUP($A:$A,CS!$A:$AK,19,FALSE),"")</f>
      </c>
      <c r="L279" s="57">
        <f>IFERROR(VLOOKUP($A:$A,CS!$A:$AK,20,FALSE),"")</f>
      </c>
      <c r="M279" s="57">
        <f>IFERROR(VLOOKUP($A:$A,CS!$A:$AK,22,FALSE),"")</f>
      </c>
      <c r="N279" s="57">
        <f>IFERROR(VLOOKUP($A:$A,CS!$A:$AK,19,FALSE),"")</f>
      </c>
      <c r="O279" s="57">
        <f>IFERROR(VLOOKUP($A:$A,CS!$A:$AK,23,FALSE),"")</f>
      </c>
      <c r="P279" s="57">
        <f>IFERROR(VLOOKUP($A:$A,CS!$A:$AK,24,FALSE),"")</f>
      </c>
      <c r="Q279" s="57">
        <f>IFERROR(VLOOKUP($A:$A,CS!$A:$AK,25,FALSE),"")</f>
      </c>
      <c r="R279" s="57">
        <f>IFERROR(VLOOKUP($A:$A,CS!$A:$AK,26,FALSE),"")</f>
      </c>
      <c r="S279" s="57">
        <f>IFERROR(VLOOKUP($A:$A,CS!$A:$AK,29,FALSE),"")</f>
      </c>
      <c r="T279" s="57">
        <f>IFERROR(VLOOKUP($A:$A,CS!$A:$AK,33,FALSE),"")</f>
      </c>
      <c r="U279" s="57">
        <f>IFERROR(VLOOKUP($A:$A,CS!$A:$AK,34,FALSE),"")</f>
      </c>
      <c r="V279" s="57">
        <f>IFERROR(VLOOKUP($A:$A,CS!$A:$AK,35,FALSE),"")</f>
      </c>
      <c r="W279" s="57">
        <f>IFERROR(VLOOKUP($A:$A,CS!$A:$AK,36,FALSE),"")</f>
      </c>
    </row>
    <row r="280" ht="16.5" customHeight="1" spans="1:23" x14ac:dyDescent="0.25">
      <c r="A280" s="71"/>
      <c r="B280" s="57">
        <f>IFERROR(VLOOKUP($A:$A,CS!$A:$AK,3,FALSE),"")</f>
      </c>
      <c r="C280" s="57">
        <f>IFERROR(VLOOKUP($A:$A,CS!$A:$AK,4,FALSE),"")</f>
      </c>
      <c r="D280" s="57">
        <f>IFERROR(VLOOKUP($A:$A,CS!$A:$AK,5,FALSE),"")</f>
      </c>
      <c r="E280" s="57">
        <f>IFERROR(VLOOKUP($A:$A,CS!$A:$AK,7,FALSE),"")</f>
      </c>
      <c r="F280" s="57">
        <f>IFERROR(VLOOKUP($A:$A,CS!$A:$AK,8,FALSE),"")</f>
      </c>
      <c r="G280" s="57">
        <f>IFERROR(VLOOKUP($A:$A,CS!$A:$AK,10,FALSE),"")</f>
      </c>
      <c r="H280" s="57">
        <f>IFERROR(VLOOKUP($A:$A,CS!$A:$AK,14,FALSE),"")</f>
      </c>
      <c r="I280" s="57">
        <f>IFERROR(VLOOKUP($A:$A,CS!$A:$AK,15,FALSE),"")</f>
      </c>
      <c r="J280" s="57">
        <f>IFERROR(VLOOKUP($A:$A,CS!$A:$AK,18,FALSE),"")</f>
      </c>
      <c r="K280" s="57">
        <f>IFERROR(VLOOKUP($A:$A,CS!$A:$AK,19,FALSE),"")</f>
      </c>
      <c r="L280" s="57">
        <f>IFERROR(VLOOKUP($A:$A,CS!$A:$AK,20,FALSE),"")</f>
      </c>
      <c r="M280" s="57">
        <f>IFERROR(VLOOKUP($A:$A,CS!$A:$AK,22,FALSE),"")</f>
      </c>
      <c r="N280" s="57">
        <f>IFERROR(VLOOKUP($A:$A,CS!$A:$AK,19,FALSE),"")</f>
      </c>
      <c r="O280" s="57">
        <f>IFERROR(VLOOKUP($A:$A,CS!$A:$AK,23,FALSE),"")</f>
      </c>
      <c r="P280" s="57">
        <f>IFERROR(VLOOKUP($A:$A,CS!$A:$AK,24,FALSE),"")</f>
      </c>
      <c r="Q280" s="57">
        <f>IFERROR(VLOOKUP($A:$A,CS!$A:$AK,25,FALSE),"")</f>
      </c>
      <c r="R280" s="57">
        <f>IFERROR(VLOOKUP($A:$A,CS!$A:$AK,26,FALSE),"")</f>
      </c>
      <c r="S280" s="57">
        <f>IFERROR(VLOOKUP($A:$A,CS!$A:$AK,29,FALSE),"")</f>
      </c>
      <c r="T280" s="57">
        <f>IFERROR(VLOOKUP($A:$A,CS!$A:$AK,33,FALSE),"")</f>
      </c>
      <c r="U280" s="57">
        <f>IFERROR(VLOOKUP($A:$A,CS!$A:$AK,34,FALSE),"")</f>
      </c>
      <c r="V280" s="57">
        <f>IFERROR(VLOOKUP($A:$A,CS!$A:$AK,35,FALSE),"")</f>
      </c>
      <c r="W280" s="57">
        <f>IFERROR(VLOOKUP($A:$A,CS!$A:$AK,36,FALSE),"")</f>
      </c>
    </row>
    <row r="281" ht="16.5" customHeight="1" spans="1:23" x14ac:dyDescent="0.25">
      <c r="A281" s="71"/>
      <c r="B281" s="57">
        <f>IFERROR(VLOOKUP($A:$A,CS!$A:$AK,3,FALSE),"")</f>
      </c>
      <c r="C281" s="57">
        <f>IFERROR(VLOOKUP($A:$A,CS!$A:$AK,4,FALSE),"")</f>
      </c>
      <c r="D281" s="57">
        <f>IFERROR(VLOOKUP($A:$A,CS!$A:$AK,5,FALSE),"")</f>
      </c>
      <c r="E281" s="57">
        <f>IFERROR(VLOOKUP($A:$A,CS!$A:$AK,7,FALSE),"")</f>
      </c>
      <c r="F281" s="57">
        <f>IFERROR(VLOOKUP($A:$A,CS!$A:$AK,8,FALSE),"")</f>
      </c>
      <c r="G281" s="57">
        <f>IFERROR(VLOOKUP($A:$A,CS!$A:$AK,10,FALSE),"")</f>
      </c>
      <c r="H281" s="57">
        <f>IFERROR(VLOOKUP($A:$A,CS!$A:$AK,14,FALSE),"")</f>
      </c>
      <c r="I281" s="57">
        <f>IFERROR(VLOOKUP($A:$A,CS!$A:$AK,15,FALSE),"")</f>
      </c>
      <c r="J281" s="57">
        <f>IFERROR(VLOOKUP($A:$A,CS!$A:$AK,18,FALSE),"")</f>
      </c>
      <c r="K281" s="57">
        <f>IFERROR(VLOOKUP($A:$A,CS!$A:$AK,19,FALSE),"")</f>
      </c>
      <c r="L281" s="57">
        <f>IFERROR(VLOOKUP($A:$A,CS!$A:$AK,20,FALSE),"")</f>
      </c>
      <c r="M281" s="57">
        <f>IFERROR(VLOOKUP($A:$A,CS!$A:$AK,22,FALSE),"")</f>
      </c>
      <c r="N281" s="57">
        <f>IFERROR(VLOOKUP($A:$A,CS!$A:$AK,19,FALSE),"")</f>
      </c>
      <c r="O281" s="57">
        <f>IFERROR(VLOOKUP($A:$A,CS!$A:$AK,23,FALSE),"")</f>
      </c>
      <c r="P281" s="57">
        <f>IFERROR(VLOOKUP($A:$A,CS!$A:$AK,24,FALSE),"")</f>
      </c>
      <c r="Q281" s="57">
        <f>IFERROR(VLOOKUP($A:$A,CS!$A:$AK,25,FALSE),"")</f>
      </c>
      <c r="R281" s="57">
        <f>IFERROR(VLOOKUP($A:$A,CS!$A:$AK,26,FALSE),"")</f>
      </c>
      <c r="S281" s="57">
        <f>IFERROR(VLOOKUP($A:$A,CS!$A:$AK,29,FALSE),"")</f>
      </c>
      <c r="T281" s="57">
        <f>IFERROR(VLOOKUP($A:$A,CS!$A:$AK,33,FALSE),"")</f>
      </c>
      <c r="U281" s="57">
        <f>IFERROR(VLOOKUP($A:$A,CS!$A:$AK,34,FALSE),"")</f>
      </c>
      <c r="V281" s="57">
        <f>IFERROR(VLOOKUP($A:$A,CS!$A:$AK,35,FALSE),"")</f>
      </c>
      <c r="W281" s="57">
        <f>IFERROR(VLOOKUP($A:$A,CS!$A:$AK,36,FALSE),"")</f>
      </c>
    </row>
    <row r="282" ht="16.5" customHeight="1" spans="1:23" x14ac:dyDescent="0.25">
      <c r="A282" s="71"/>
      <c r="B282" s="57">
        <f>IFERROR(VLOOKUP($A:$A,CS!$A:$AK,3,FALSE),"")</f>
      </c>
      <c r="C282" s="57">
        <f>IFERROR(VLOOKUP($A:$A,CS!$A:$AK,4,FALSE),"")</f>
      </c>
      <c r="D282" s="57">
        <f>IFERROR(VLOOKUP($A:$A,CS!$A:$AK,5,FALSE),"")</f>
      </c>
      <c r="E282" s="57">
        <f>IFERROR(VLOOKUP($A:$A,CS!$A:$AK,7,FALSE),"")</f>
      </c>
      <c r="F282" s="57">
        <f>IFERROR(VLOOKUP($A:$A,CS!$A:$AK,8,FALSE),"")</f>
      </c>
      <c r="G282" s="57">
        <f>IFERROR(VLOOKUP($A:$A,CS!$A:$AK,10,FALSE),"")</f>
      </c>
      <c r="H282" s="57">
        <f>IFERROR(VLOOKUP($A:$A,CS!$A:$AK,14,FALSE),"")</f>
      </c>
      <c r="I282" s="57">
        <f>IFERROR(VLOOKUP($A:$A,CS!$A:$AK,15,FALSE),"")</f>
      </c>
      <c r="J282" s="57">
        <f>IFERROR(VLOOKUP($A:$A,CS!$A:$AK,18,FALSE),"")</f>
      </c>
      <c r="K282" s="57">
        <f>IFERROR(VLOOKUP($A:$A,CS!$A:$AK,19,FALSE),"")</f>
      </c>
      <c r="L282" s="57">
        <f>IFERROR(VLOOKUP($A:$A,CS!$A:$AK,20,FALSE),"")</f>
      </c>
      <c r="M282" s="57">
        <f>IFERROR(VLOOKUP($A:$A,CS!$A:$AK,22,FALSE),"")</f>
      </c>
      <c r="N282" s="57">
        <f>IFERROR(VLOOKUP($A:$A,CS!$A:$AK,19,FALSE),"")</f>
      </c>
      <c r="O282" s="57">
        <f>IFERROR(VLOOKUP($A:$A,CS!$A:$AK,23,FALSE),"")</f>
      </c>
      <c r="P282" s="57">
        <f>IFERROR(VLOOKUP($A:$A,CS!$A:$AK,24,FALSE),"")</f>
      </c>
      <c r="Q282" s="57">
        <f>IFERROR(VLOOKUP($A:$A,CS!$A:$AK,25,FALSE),"")</f>
      </c>
      <c r="R282" s="57">
        <f>IFERROR(VLOOKUP($A:$A,CS!$A:$AK,26,FALSE),"")</f>
      </c>
      <c r="S282" s="57">
        <f>IFERROR(VLOOKUP($A:$A,CS!$A:$AK,29,FALSE),"")</f>
      </c>
      <c r="T282" s="57">
        <f>IFERROR(VLOOKUP($A:$A,CS!$A:$AK,33,FALSE),"")</f>
      </c>
      <c r="U282" s="57">
        <f>IFERROR(VLOOKUP($A:$A,CS!$A:$AK,34,FALSE),"")</f>
      </c>
      <c r="V282" s="57">
        <f>IFERROR(VLOOKUP($A:$A,CS!$A:$AK,35,FALSE),"")</f>
      </c>
      <c r="W282" s="57">
        <f>IFERROR(VLOOKUP($A:$A,CS!$A:$AK,36,FALSE),"")</f>
      </c>
    </row>
    <row r="283" ht="16.5" customHeight="1" spans="1:23" x14ac:dyDescent="0.25">
      <c r="A283" s="71"/>
      <c r="B283" s="57">
        <f>IFERROR(VLOOKUP($A:$A,CS!$A:$AK,3,FALSE),"")</f>
      </c>
      <c r="C283" s="57">
        <f>IFERROR(VLOOKUP($A:$A,CS!$A:$AK,4,FALSE),"")</f>
      </c>
      <c r="D283" s="57">
        <f>IFERROR(VLOOKUP($A:$A,CS!$A:$AK,5,FALSE),"")</f>
      </c>
      <c r="E283" s="57">
        <f>IFERROR(VLOOKUP($A:$A,CS!$A:$AK,7,FALSE),"")</f>
      </c>
      <c r="F283" s="57">
        <f>IFERROR(VLOOKUP($A:$A,CS!$A:$AK,8,FALSE),"")</f>
      </c>
      <c r="G283" s="57">
        <f>IFERROR(VLOOKUP($A:$A,CS!$A:$AK,10,FALSE),"")</f>
      </c>
      <c r="H283" s="57">
        <f>IFERROR(VLOOKUP($A:$A,CS!$A:$AK,14,FALSE),"")</f>
      </c>
      <c r="I283" s="57">
        <f>IFERROR(VLOOKUP($A:$A,CS!$A:$AK,15,FALSE),"")</f>
      </c>
      <c r="J283" s="57">
        <f>IFERROR(VLOOKUP($A:$A,CS!$A:$AK,18,FALSE),"")</f>
      </c>
      <c r="K283" s="57">
        <f>IFERROR(VLOOKUP($A:$A,CS!$A:$AK,19,FALSE),"")</f>
      </c>
      <c r="L283" s="57">
        <f>IFERROR(VLOOKUP($A:$A,CS!$A:$AK,20,FALSE),"")</f>
      </c>
      <c r="M283" s="57">
        <f>IFERROR(VLOOKUP($A:$A,CS!$A:$AK,22,FALSE),"")</f>
      </c>
      <c r="N283" s="57">
        <f>IFERROR(VLOOKUP($A:$A,CS!$A:$AK,19,FALSE),"")</f>
      </c>
      <c r="O283" s="57">
        <f>IFERROR(VLOOKUP($A:$A,CS!$A:$AK,23,FALSE),"")</f>
      </c>
      <c r="P283" s="57">
        <f>IFERROR(VLOOKUP($A:$A,CS!$A:$AK,24,FALSE),"")</f>
      </c>
      <c r="Q283" s="57">
        <f>IFERROR(VLOOKUP($A:$A,CS!$A:$AK,25,FALSE),"")</f>
      </c>
      <c r="R283" s="57">
        <f>IFERROR(VLOOKUP($A:$A,CS!$A:$AK,26,FALSE),"")</f>
      </c>
      <c r="S283" s="57">
        <f>IFERROR(VLOOKUP($A:$A,CS!$A:$AK,29,FALSE),"")</f>
      </c>
      <c r="T283" s="57">
        <f>IFERROR(VLOOKUP($A:$A,CS!$A:$AK,33,FALSE),"")</f>
      </c>
      <c r="U283" s="57">
        <f>IFERROR(VLOOKUP($A:$A,CS!$A:$AK,34,FALSE),"")</f>
      </c>
      <c r="V283" s="57">
        <f>IFERROR(VLOOKUP($A:$A,CS!$A:$AK,35,FALSE),"")</f>
      </c>
      <c r="W283" s="57">
        <f>IFERROR(VLOOKUP($A:$A,CS!$A:$AK,36,FALSE),"")</f>
      </c>
    </row>
    <row r="284" ht="16.5" customHeight="1" spans="1:23" x14ac:dyDescent="0.25">
      <c r="A284" s="71"/>
      <c r="B284" s="57">
        <f>IFERROR(VLOOKUP($A:$A,CS!$A:$AK,3,FALSE),"")</f>
      </c>
      <c r="C284" s="57">
        <f>IFERROR(VLOOKUP($A:$A,CS!$A:$AK,4,FALSE),"")</f>
      </c>
      <c r="D284" s="57">
        <f>IFERROR(VLOOKUP($A:$A,CS!$A:$AK,5,FALSE),"")</f>
      </c>
      <c r="E284" s="57">
        <f>IFERROR(VLOOKUP($A:$A,CS!$A:$AK,7,FALSE),"")</f>
      </c>
      <c r="F284" s="57">
        <f>IFERROR(VLOOKUP($A:$A,CS!$A:$AK,8,FALSE),"")</f>
      </c>
      <c r="G284" s="57">
        <f>IFERROR(VLOOKUP($A:$A,CS!$A:$AK,10,FALSE),"")</f>
      </c>
      <c r="H284" s="57">
        <f>IFERROR(VLOOKUP($A:$A,CS!$A:$AK,14,FALSE),"")</f>
      </c>
      <c r="I284" s="57">
        <f>IFERROR(VLOOKUP($A:$A,CS!$A:$AK,15,FALSE),"")</f>
      </c>
      <c r="J284" s="57">
        <f>IFERROR(VLOOKUP($A:$A,CS!$A:$AK,18,FALSE),"")</f>
      </c>
      <c r="K284" s="57">
        <f>IFERROR(VLOOKUP($A:$A,CS!$A:$AK,19,FALSE),"")</f>
      </c>
      <c r="L284" s="57">
        <f>IFERROR(VLOOKUP($A:$A,CS!$A:$AK,20,FALSE),"")</f>
      </c>
      <c r="M284" s="57">
        <f>IFERROR(VLOOKUP($A:$A,CS!$A:$AK,22,FALSE),"")</f>
      </c>
      <c r="N284" s="57">
        <f>IFERROR(VLOOKUP($A:$A,CS!$A:$AK,19,FALSE),"")</f>
      </c>
      <c r="O284" s="57">
        <f>IFERROR(VLOOKUP($A:$A,CS!$A:$AK,23,FALSE),"")</f>
      </c>
      <c r="P284" s="57">
        <f>IFERROR(VLOOKUP($A:$A,CS!$A:$AK,24,FALSE),"")</f>
      </c>
      <c r="Q284" s="57">
        <f>IFERROR(VLOOKUP($A:$A,CS!$A:$AK,25,FALSE),"")</f>
      </c>
      <c r="R284" s="57">
        <f>IFERROR(VLOOKUP($A:$A,CS!$A:$AK,26,FALSE),"")</f>
      </c>
      <c r="S284" s="57">
        <f>IFERROR(VLOOKUP($A:$A,CS!$A:$AK,29,FALSE),"")</f>
      </c>
      <c r="T284" s="57">
        <f>IFERROR(VLOOKUP($A:$A,CS!$A:$AK,33,FALSE),"")</f>
      </c>
      <c r="U284" s="57">
        <f>IFERROR(VLOOKUP($A:$A,CS!$A:$AK,34,FALSE),"")</f>
      </c>
      <c r="V284" s="57">
        <f>IFERROR(VLOOKUP($A:$A,CS!$A:$AK,35,FALSE),"")</f>
      </c>
      <c r="W284" s="57">
        <f>IFERROR(VLOOKUP($A:$A,CS!$A:$AK,36,FALSE),"")</f>
      </c>
    </row>
    <row r="285" ht="16.5" customHeight="1" spans="1:23" x14ac:dyDescent="0.25">
      <c r="A285" s="71"/>
      <c r="B285" s="57">
        <f>IFERROR(VLOOKUP($A:$A,CS!$A:$AK,3,FALSE),"")</f>
      </c>
      <c r="C285" s="57">
        <f>IFERROR(VLOOKUP($A:$A,CS!$A:$AK,4,FALSE),"")</f>
      </c>
      <c r="D285" s="57">
        <f>IFERROR(VLOOKUP($A:$A,CS!$A:$AK,5,FALSE),"")</f>
      </c>
      <c r="E285" s="57">
        <f>IFERROR(VLOOKUP($A:$A,CS!$A:$AK,7,FALSE),"")</f>
      </c>
      <c r="F285" s="57">
        <f>IFERROR(VLOOKUP($A:$A,CS!$A:$AK,8,FALSE),"")</f>
      </c>
      <c r="G285" s="57">
        <f>IFERROR(VLOOKUP($A:$A,CS!$A:$AK,10,FALSE),"")</f>
      </c>
      <c r="H285" s="57">
        <f>IFERROR(VLOOKUP($A:$A,CS!$A:$AK,14,FALSE),"")</f>
      </c>
      <c r="I285" s="57">
        <f>IFERROR(VLOOKUP($A:$A,CS!$A:$AK,15,FALSE),"")</f>
      </c>
      <c r="J285" s="57">
        <f>IFERROR(VLOOKUP($A:$A,CS!$A:$AK,18,FALSE),"")</f>
      </c>
      <c r="K285" s="57">
        <f>IFERROR(VLOOKUP($A:$A,CS!$A:$AK,19,FALSE),"")</f>
      </c>
      <c r="L285" s="57">
        <f>IFERROR(VLOOKUP($A:$A,CS!$A:$AK,20,FALSE),"")</f>
      </c>
      <c r="M285" s="57">
        <f>IFERROR(VLOOKUP($A:$A,CS!$A:$AK,22,FALSE),"")</f>
      </c>
      <c r="N285" s="57">
        <f>IFERROR(VLOOKUP($A:$A,CS!$A:$AK,19,FALSE),"")</f>
      </c>
      <c r="O285" s="57">
        <f>IFERROR(VLOOKUP($A:$A,CS!$A:$AK,23,FALSE),"")</f>
      </c>
      <c r="P285" s="57">
        <f>IFERROR(VLOOKUP($A:$A,CS!$A:$AK,24,FALSE),"")</f>
      </c>
      <c r="Q285" s="57">
        <f>IFERROR(VLOOKUP($A:$A,CS!$A:$AK,25,FALSE),"")</f>
      </c>
      <c r="R285" s="57">
        <f>IFERROR(VLOOKUP($A:$A,CS!$A:$AK,26,FALSE),"")</f>
      </c>
      <c r="S285" s="57">
        <f>IFERROR(VLOOKUP($A:$A,CS!$A:$AK,29,FALSE),"")</f>
      </c>
      <c r="T285" s="57">
        <f>IFERROR(VLOOKUP($A:$A,CS!$A:$AK,33,FALSE),"")</f>
      </c>
      <c r="U285" s="57">
        <f>IFERROR(VLOOKUP($A:$A,CS!$A:$AK,34,FALSE),"")</f>
      </c>
      <c r="V285" s="57">
        <f>IFERROR(VLOOKUP($A:$A,CS!$A:$AK,35,FALSE),"")</f>
      </c>
      <c r="W285" s="57">
        <f>IFERROR(VLOOKUP($A:$A,CS!$A:$AK,36,FALSE),"")</f>
      </c>
    </row>
    <row r="286" ht="16.5" customHeight="1" spans="1:23" x14ac:dyDescent="0.25">
      <c r="A286" s="71"/>
      <c r="B286" s="57">
        <f>IFERROR(VLOOKUP($A:$A,CS!$A:$AK,3,FALSE),"")</f>
      </c>
      <c r="C286" s="57">
        <f>IFERROR(VLOOKUP($A:$A,CS!$A:$AK,4,FALSE),"")</f>
      </c>
      <c r="D286" s="57">
        <f>IFERROR(VLOOKUP($A:$A,CS!$A:$AK,5,FALSE),"")</f>
      </c>
      <c r="E286" s="57">
        <f>IFERROR(VLOOKUP($A:$A,CS!$A:$AK,7,FALSE),"")</f>
      </c>
      <c r="F286" s="57">
        <f>IFERROR(VLOOKUP($A:$A,CS!$A:$AK,8,FALSE),"")</f>
      </c>
      <c r="G286" s="57">
        <f>IFERROR(VLOOKUP($A:$A,CS!$A:$AK,10,FALSE),"")</f>
      </c>
      <c r="H286" s="57">
        <f>IFERROR(VLOOKUP($A:$A,CS!$A:$AK,14,FALSE),"")</f>
      </c>
      <c r="I286" s="57">
        <f>IFERROR(VLOOKUP($A:$A,CS!$A:$AK,15,FALSE),"")</f>
      </c>
      <c r="J286" s="57">
        <f>IFERROR(VLOOKUP($A:$A,CS!$A:$AK,18,FALSE),"")</f>
      </c>
      <c r="K286" s="57">
        <f>IFERROR(VLOOKUP($A:$A,CS!$A:$AK,19,FALSE),"")</f>
      </c>
      <c r="L286" s="57">
        <f>IFERROR(VLOOKUP($A:$A,CS!$A:$AK,20,FALSE),"")</f>
      </c>
      <c r="M286" s="57">
        <f>IFERROR(VLOOKUP($A:$A,CS!$A:$AK,22,FALSE),"")</f>
      </c>
      <c r="N286" s="57">
        <f>IFERROR(VLOOKUP($A:$A,CS!$A:$AK,19,FALSE),"")</f>
      </c>
      <c r="O286" s="57">
        <f>IFERROR(VLOOKUP($A:$A,CS!$A:$AK,23,FALSE),"")</f>
      </c>
      <c r="P286" s="57">
        <f>IFERROR(VLOOKUP($A:$A,CS!$A:$AK,24,FALSE),"")</f>
      </c>
      <c r="Q286" s="57">
        <f>IFERROR(VLOOKUP($A:$A,CS!$A:$AK,25,FALSE),"")</f>
      </c>
      <c r="R286" s="57">
        <f>IFERROR(VLOOKUP($A:$A,CS!$A:$AK,26,FALSE),"")</f>
      </c>
      <c r="S286" s="57">
        <f>IFERROR(VLOOKUP($A:$A,CS!$A:$AK,29,FALSE),"")</f>
      </c>
      <c r="T286" s="57">
        <f>IFERROR(VLOOKUP($A:$A,CS!$A:$AK,33,FALSE),"")</f>
      </c>
      <c r="U286" s="57">
        <f>IFERROR(VLOOKUP($A:$A,CS!$A:$AK,34,FALSE),"")</f>
      </c>
      <c r="V286" s="57">
        <f>IFERROR(VLOOKUP($A:$A,CS!$A:$AK,35,FALSE),"")</f>
      </c>
      <c r="W286" s="57">
        <f>IFERROR(VLOOKUP($A:$A,CS!$A:$AK,36,FALSE),"")</f>
      </c>
    </row>
    <row r="287" ht="16.5" customHeight="1" spans="1:23" x14ac:dyDescent="0.25">
      <c r="A287" s="71"/>
      <c r="B287" s="57">
        <f>IFERROR(VLOOKUP($A:$A,CS!$A:$AK,3,FALSE),"")</f>
      </c>
      <c r="C287" s="57">
        <f>IFERROR(VLOOKUP($A:$A,CS!$A:$AK,4,FALSE),"")</f>
      </c>
      <c r="D287" s="57">
        <f>IFERROR(VLOOKUP($A:$A,CS!$A:$AK,5,FALSE),"")</f>
      </c>
      <c r="E287" s="57">
        <f>IFERROR(VLOOKUP($A:$A,CS!$A:$AK,7,FALSE),"")</f>
      </c>
      <c r="F287" s="57">
        <f>IFERROR(VLOOKUP($A:$A,CS!$A:$AK,8,FALSE),"")</f>
      </c>
      <c r="G287" s="57">
        <f>IFERROR(VLOOKUP($A:$A,CS!$A:$AK,10,FALSE),"")</f>
      </c>
      <c r="H287" s="57">
        <f>IFERROR(VLOOKUP($A:$A,CS!$A:$AK,14,FALSE),"")</f>
      </c>
      <c r="I287" s="57">
        <f>IFERROR(VLOOKUP($A:$A,CS!$A:$AK,15,FALSE),"")</f>
      </c>
      <c r="J287" s="57">
        <f>IFERROR(VLOOKUP($A:$A,CS!$A:$AK,18,FALSE),"")</f>
      </c>
      <c r="K287" s="57">
        <f>IFERROR(VLOOKUP($A:$A,CS!$A:$AK,19,FALSE),"")</f>
      </c>
      <c r="L287" s="57">
        <f>IFERROR(VLOOKUP($A:$A,CS!$A:$AK,20,FALSE),"")</f>
      </c>
      <c r="M287" s="57">
        <f>IFERROR(VLOOKUP($A:$A,CS!$A:$AK,22,FALSE),"")</f>
      </c>
      <c r="N287" s="57">
        <f>IFERROR(VLOOKUP($A:$A,CS!$A:$AK,19,FALSE),"")</f>
      </c>
      <c r="O287" s="57">
        <f>IFERROR(VLOOKUP($A:$A,CS!$A:$AK,23,FALSE),"")</f>
      </c>
      <c r="P287" s="57">
        <f>IFERROR(VLOOKUP($A:$A,CS!$A:$AK,24,FALSE),"")</f>
      </c>
      <c r="Q287" s="57">
        <f>IFERROR(VLOOKUP($A:$A,CS!$A:$AK,25,FALSE),"")</f>
      </c>
      <c r="R287" s="57">
        <f>IFERROR(VLOOKUP($A:$A,CS!$A:$AK,26,FALSE),"")</f>
      </c>
      <c r="S287" s="57">
        <f>IFERROR(VLOOKUP($A:$A,CS!$A:$AK,29,FALSE),"")</f>
      </c>
      <c r="T287" s="57">
        <f>IFERROR(VLOOKUP($A:$A,CS!$A:$AK,33,FALSE),"")</f>
      </c>
      <c r="U287" s="57">
        <f>IFERROR(VLOOKUP($A:$A,CS!$A:$AK,34,FALSE),"")</f>
      </c>
      <c r="V287" s="57">
        <f>IFERROR(VLOOKUP($A:$A,CS!$A:$AK,35,FALSE),"")</f>
      </c>
      <c r="W287" s="57">
        <f>IFERROR(VLOOKUP($A:$A,CS!$A:$AK,36,FALSE),"")</f>
      </c>
    </row>
    <row r="288" ht="16.5" customHeight="1" spans="1:23" x14ac:dyDescent="0.25">
      <c r="A288" s="71"/>
      <c r="B288" s="57">
        <f>IFERROR(VLOOKUP($A:$A,CS!$A:$AK,3,FALSE),"")</f>
      </c>
      <c r="C288" s="57">
        <f>IFERROR(VLOOKUP($A:$A,CS!$A:$AK,4,FALSE),"")</f>
      </c>
      <c r="D288" s="57">
        <f>IFERROR(VLOOKUP($A:$A,CS!$A:$AK,5,FALSE),"")</f>
      </c>
      <c r="E288" s="57">
        <f>IFERROR(VLOOKUP($A:$A,CS!$A:$AK,7,FALSE),"")</f>
      </c>
      <c r="F288" s="57">
        <f>IFERROR(VLOOKUP($A:$A,CS!$A:$AK,8,FALSE),"")</f>
      </c>
      <c r="G288" s="57">
        <f>IFERROR(VLOOKUP($A:$A,CS!$A:$AK,10,FALSE),"")</f>
      </c>
      <c r="H288" s="57">
        <f>IFERROR(VLOOKUP($A:$A,CS!$A:$AK,14,FALSE),"")</f>
      </c>
      <c r="I288" s="57">
        <f>IFERROR(VLOOKUP($A:$A,CS!$A:$AK,15,FALSE),"")</f>
      </c>
      <c r="J288" s="57">
        <f>IFERROR(VLOOKUP($A:$A,CS!$A:$AK,18,FALSE),"")</f>
      </c>
      <c r="K288" s="57">
        <f>IFERROR(VLOOKUP($A:$A,CS!$A:$AK,19,FALSE),"")</f>
      </c>
      <c r="L288" s="57">
        <f>IFERROR(VLOOKUP($A:$A,CS!$A:$AK,20,FALSE),"")</f>
      </c>
      <c r="M288" s="57">
        <f>IFERROR(VLOOKUP($A:$A,CS!$A:$AK,22,FALSE),"")</f>
      </c>
      <c r="N288" s="57">
        <f>IFERROR(VLOOKUP($A:$A,CS!$A:$AK,19,FALSE),"")</f>
      </c>
      <c r="O288" s="57">
        <f>IFERROR(VLOOKUP($A:$A,CS!$A:$AK,23,FALSE),"")</f>
      </c>
      <c r="P288" s="57">
        <f>IFERROR(VLOOKUP($A:$A,CS!$A:$AK,24,FALSE),"")</f>
      </c>
      <c r="Q288" s="57">
        <f>IFERROR(VLOOKUP($A:$A,CS!$A:$AK,25,FALSE),"")</f>
      </c>
      <c r="R288" s="57">
        <f>IFERROR(VLOOKUP($A:$A,CS!$A:$AK,26,FALSE),"")</f>
      </c>
      <c r="S288" s="57">
        <f>IFERROR(VLOOKUP($A:$A,CS!$A:$AK,29,FALSE),"")</f>
      </c>
      <c r="T288" s="57">
        <f>IFERROR(VLOOKUP($A:$A,CS!$A:$AK,33,FALSE),"")</f>
      </c>
      <c r="U288" s="57">
        <f>IFERROR(VLOOKUP($A:$A,CS!$A:$AK,34,FALSE),"")</f>
      </c>
      <c r="V288" s="57">
        <f>IFERROR(VLOOKUP($A:$A,CS!$A:$AK,35,FALSE),"")</f>
      </c>
      <c r="W288" s="57">
        <f>IFERROR(VLOOKUP($A:$A,CS!$A:$AK,36,FALSE),"")</f>
      </c>
    </row>
    <row r="289" ht="16.5" customHeight="1" spans="1:23" x14ac:dyDescent="0.25">
      <c r="A289" s="71"/>
      <c r="B289" s="57">
        <f>IFERROR(VLOOKUP($A:$A,CS!$A:$AK,3,FALSE),"")</f>
      </c>
      <c r="C289" s="57">
        <f>IFERROR(VLOOKUP($A:$A,CS!$A:$AK,4,FALSE),"")</f>
      </c>
      <c r="D289" s="57">
        <f>IFERROR(VLOOKUP($A:$A,CS!$A:$AK,5,FALSE),"")</f>
      </c>
      <c r="E289" s="57">
        <f>IFERROR(VLOOKUP($A:$A,CS!$A:$AK,7,FALSE),"")</f>
      </c>
      <c r="F289" s="57">
        <f>IFERROR(VLOOKUP($A:$A,CS!$A:$AK,8,FALSE),"")</f>
      </c>
      <c r="G289" s="57">
        <f>IFERROR(VLOOKUP($A:$A,CS!$A:$AK,10,FALSE),"")</f>
      </c>
      <c r="H289" s="57">
        <f>IFERROR(VLOOKUP($A:$A,CS!$A:$AK,14,FALSE),"")</f>
      </c>
      <c r="I289" s="57">
        <f>IFERROR(VLOOKUP($A:$A,CS!$A:$AK,15,FALSE),"")</f>
      </c>
      <c r="J289" s="57">
        <f>IFERROR(VLOOKUP($A:$A,CS!$A:$AK,18,FALSE),"")</f>
      </c>
      <c r="K289" s="57">
        <f>IFERROR(VLOOKUP($A:$A,CS!$A:$AK,19,FALSE),"")</f>
      </c>
      <c r="L289" s="57">
        <f>IFERROR(VLOOKUP($A:$A,CS!$A:$AK,20,FALSE),"")</f>
      </c>
      <c r="M289" s="57">
        <f>IFERROR(VLOOKUP($A:$A,CS!$A:$AK,22,FALSE),"")</f>
      </c>
      <c r="N289" s="57">
        <f>IFERROR(VLOOKUP($A:$A,CS!$A:$AK,19,FALSE),"")</f>
      </c>
      <c r="O289" s="57">
        <f>IFERROR(VLOOKUP($A:$A,CS!$A:$AK,23,FALSE),"")</f>
      </c>
      <c r="P289" s="57">
        <f>IFERROR(VLOOKUP($A:$A,CS!$A:$AK,24,FALSE),"")</f>
      </c>
      <c r="Q289" s="57">
        <f>IFERROR(VLOOKUP($A:$A,CS!$A:$AK,25,FALSE),"")</f>
      </c>
      <c r="R289" s="57">
        <f>IFERROR(VLOOKUP($A:$A,CS!$A:$AK,26,FALSE),"")</f>
      </c>
      <c r="S289" s="57">
        <f>IFERROR(VLOOKUP($A:$A,CS!$A:$AK,29,FALSE),"")</f>
      </c>
      <c r="T289" s="57">
        <f>IFERROR(VLOOKUP($A:$A,CS!$A:$AK,33,FALSE),"")</f>
      </c>
      <c r="U289" s="57">
        <f>IFERROR(VLOOKUP($A:$A,CS!$A:$AK,34,FALSE),"")</f>
      </c>
      <c r="V289" s="57">
        <f>IFERROR(VLOOKUP($A:$A,CS!$A:$AK,35,FALSE),"")</f>
      </c>
      <c r="W289" s="57">
        <f>IFERROR(VLOOKUP($A:$A,CS!$A:$AK,36,FALSE),"")</f>
      </c>
    </row>
    <row r="290" ht="16.5" customHeight="1" spans="1:23" x14ac:dyDescent="0.25">
      <c r="A290" s="71"/>
      <c r="B290" s="57">
        <f>IFERROR(VLOOKUP($A:$A,CS!$A:$AK,3,FALSE),"")</f>
      </c>
      <c r="C290" s="57">
        <f>IFERROR(VLOOKUP($A:$A,CS!$A:$AK,4,FALSE),"")</f>
      </c>
      <c r="D290" s="57">
        <f>IFERROR(VLOOKUP($A:$A,CS!$A:$AK,5,FALSE),"")</f>
      </c>
      <c r="E290" s="57">
        <f>IFERROR(VLOOKUP($A:$A,CS!$A:$AK,7,FALSE),"")</f>
      </c>
      <c r="F290" s="57">
        <f>IFERROR(VLOOKUP($A:$A,CS!$A:$AK,8,FALSE),"")</f>
      </c>
      <c r="G290" s="57">
        <f>IFERROR(VLOOKUP($A:$A,CS!$A:$AK,10,FALSE),"")</f>
      </c>
      <c r="H290" s="57">
        <f>IFERROR(VLOOKUP($A:$A,CS!$A:$AK,14,FALSE),"")</f>
      </c>
      <c r="I290" s="57">
        <f>IFERROR(VLOOKUP($A:$A,CS!$A:$AK,15,FALSE),"")</f>
      </c>
      <c r="J290" s="57">
        <f>IFERROR(VLOOKUP($A:$A,CS!$A:$AK,18,FALSE),"")</f>
      </c>
      <c r="K290" s="57">
        <f>IFERROR(VLOOKUP($A:$A,CS!$A:$AK,19,FALSE),"")</f>
      </c>
      <c r="L290" s="57">
        <f>IFERROR(VLOOKUP($A:$A,CS!$A:$AK,20,FALSE),"")</f>
      </c>
      <c r="M290" s="57">
        <f>IFERROR(VLOOKUP($A:$A,CS!$A:$AK,22,FALSE),"")</f>
      </c>
      <c r="N290" s="57">
        <f>IFERROR(VLOOKUP($A:$A,CS!$A:$AK,19,FALSE),"")</f>
      </c>
      <c r="O290" s="57">
        <f>IFERROR(VLOOKUP($A:$A,CS!$A:$AK,23,FALSE),"")</f>
      </c>
      <c r="P290" s="57">
        <f>IFERROR(VLOOKUP($A:$A,CS!$A:$AK,24,FALSE),"")</f>
      </c>
      <c r="Q290" s="57">
        <f>IFERROR(VLOOKUP($A:$A,CS!$A:$AK,25,FALSE),"")</f>
      </c>
      <c r="R290" s="57">
        <f>IFERROR(VLOOKUP($A:$A,CS!$A:$AK,26,FALSE),"")</f>
      </c>
      <c r="S290" s="57">
        <f>IFERROR(VLOOKUP($A:$A,CS!$A:$AK,29,FALSE),"")</f>
      </c>
      <c r="T290" s="57">
        <f>IFERROR(VLOOKUP($A:$A,CS!$A:$AK,33,FALSE),"")</f>
      </c>
      <c r="U290" s="57">
        <f>IFERROR(VLOOKUP($A:$A,CS!$A:$AK,34,FALSE),"")</f>
      </c>
      <c r="V290" s="57">
        <f>IFERROR(VLOOKUP($A:$A,CS!$A:$AK,35,FALSE),"")</f>
      </c>
      <c r="W290" s="57">
        <f>IFERROR(VLOOKUP($A:$A,CS!$A:$AK,36,FALSE),"")</f>
      </c>
    </row>
    <row r="291" ht="16.5" customHeight="1" spans="1:23" x14ac:dyDescent="0.25">
      <c r="A291" s="71"/>
      <c r="B291" s="57">
        <f>IFERROR(VLOOKUP($A:$A,CS!$A:$AK,3,FALSE),"")</f>
      </c>
      <c r="C291" s="57">
        <f>IFERROR(VLOOKUP($A:$A,CS!$A:$AK,4,FALSE),"")</f>
      </c>
      <c r="D291" s="57">
        <f>IFERROR(VLOOKUP($A:$A,CS!$A:$AK,5,FALSE),"")</f>
      </c>
      <c r="E291" s="57">
        <f>IFERROR(VLOOKUP($A:$A,CS!$A:$AK,7,FALSE),"")</f>
      </c>
      <c r="F291" s="57">
        <f>IFERROR(VLOOKUP($A:$A,CS!$A:$AK,8,FALSE),"")</f>
      </c>
      <c r="G291" s="57">
        <f>IFERROR(VLOOKUP($A:$A,CS!$A:$AK,10,FALSE),"")</f>
      </c>
      <c r="H291" s="57">
        <f>IFERROR(VLOOKUP($A:$A,CS!$A:$AK,14,FALSE),"")</f>
      </c>
      <c r="I291" s="57">
        <f>IFERROR(VLOOKUP($A:$A,CS!$A:$AK,15,FALSE),"")</f>
      </c>
      <c r="J291" s="57">
        <f>IFERROR(VLOOKUP($A:$A,CS!$A:$AK,18,FALSE),"")</f>
      </c>
      <c r="K291" s="57">
        <f>IFERROR(VLOOKUP($A:$A,CS!$A:$AK,19,FALSE),"")</f>
      </c>
      <c r="L291" s="57">
        <f>IFERROR(VLOOKUP($A:$A,CS!$A:$AK,20,FALSE),"")</f>
      </c>
      <c r="M291" s="57">
        <f>IFERROR(VLOOKUP($A:$A,CS!$A:$AK,22,FALSE),"")</f>
      </c>
      <c r="N291" s="57">
        <f>IFERROR(VLOOKUP($A:$A,CS!$A:$AK,19,FALSE),"")</f>
      </c>
      <c r="O291" s="57">
        <f>IFERROR(VLOOKUP($A:$A,CS!$A:$AK,23,FALSE),"")</f>
      </c>
      <c r="P291" s="57">
        <f>IFERROR(VLOOKUP($A:$A,CS!$A:$AK,24,FALSE),"")</f>
      </c>
      <c r="Q291" s="57">
        <f>IFERROR(VLOOKUP($A:$A,CS!$A:$AK,25,FALSE),"")</f>
      </c>
      <c r="R291" s="57">
        <f>IFERROR(VLOOKUP($A:$A,CS!$A:$AK,26,FALSE),"")</f>
      </c>
      <c r="S291" s="57">
        <f>IFERROR(VLOOKUP($A:$A,CS!$A:$AK,29,FALSE),"")</f>
      </c>
      <c r="T291" s="57">
        <f>IFERROR(VLOOKUP($A:$A,CS!$A:$AK,33,FALSE),"")</f>
      </c>
      <c r="U291" s="57">
        <f>IFERROR(VLOOKUP($A:$A,CS!$A:$AK,34,FALSE),"")</f>
      </c>
      <c r="V291" s="57">
        <f>IFERROR(VLOOKUP($A:$A,CS!$A:$AK,35,FALSE),"")</f>
      </c>
      <c r="W291" s="57">
        <f>IFERROR(VLOOKUP($A:$A,CS!$A:$AK,36,FALSE),"")</f>
      </c>
    </row>
    <row r="292" ht="16.5" customHeight="1" spans="1:23" x14ac:dyDescent="0.25">
      <c r="A292" s="71"/>
      <c r="B292" s="57">
        <f>IFERROR(VLOOKUP($A:$A,CS!$A:$AK,3,FALSE),"")</f>
      </c>
      <c r="C292" s="57">
        <f>IFERROR(VLOOKUP($A:$A,CS!$A:$AK,4,FALSE),"")</f>
      </c>
      <c r="D292" s="57">
        <f>IFERROR(VLOOKUP($A:$A,CS!$A:$AK,5,FALSE),"")</f>
      </c>
      <c r="E292" s="57">
        <f>IFERROR(VLOOKUP($A:$A,CS!$A:$AK,7,FALSE),"")</f>
      </c>
      <c r="F292" s="57">
        <f>IFERROR(VLOOKUP($A:$A,CS!$A:$AK,8,FALSE),"")</f>
      </c>
      <c r="G292" s="57">
        <f>IFERROR(VLOOKUP($A:$A,CS!$A:$AK,10,FALSE),"")</f>
      </c>
      <c r="H292" s="57">
        <f>IFERROR(VLOOKUP($A:$A,CS!$A:$AK,14,FALSE),"")</f>
      </c>
      <c r="I292" s="57">
        <f>IFERROR(VLOOKUP($A:$A,CS!$A:$AK,15,FALSE),"")</f>
      </c>
      <c r="J292" s="57">
        <f>IFERROR(VLOOKUP($A:$A,CS!$A:$AK,18,FALSE),"")</f>
      </c>
      <c r="K292" s="57">
        <f>IFERROR(VLOOKUP($A:$A,CS!$A:$AK,19,FALSE),"")</f>
      </c>
      <c r="L292" s="57">
        <f>IFERROR(VLOOKUP($A:$A,CS!$A:$AK,20,FALSE),"")</f>
      </c>
      <c r="M292" s="57">
        <f>IFERROR(VLOOKUP($A:$A,CS!$A:$AK,22,FALSE),"")</f>
      </c>
      <c r="N292" s="57">
        <f>IFERROR(VLOOKUP($A:$A,CS!$A:$AK,19,FALSE),"")</f>
      </c>
      <c r="O292" s="57">
        <f>IFERROR(VLOOKUP($A:$A,CS!$A:$AK,23,FALSE),"")</f>
      </c>
      <c r="P292" s="57">
        <f>IFERROR(VLOOKUP($A:$A,CS!$A:$AK,24,FALSE),"")</f>
      </c>
      <c r="Q292" s="57">
        <f>IFERROR(VLOOKUP($A:$A,CS!$A:$AK,25,FALSE),"")</f>
      </c>
      <c r="R292" s="57">
        <f>IFERROR(VLOOKUP($A:$A,CS!$A:$AK,26,FALSE),"")</f>
      </c>
      <c r="S292" s="57">
        <f>IFERROR(VLOOKUP($A:$A,CS!$A:$AK,29,FALSE),"")</f>
      </c>
      <c r="T292" s="57">
        <f>IFERROR(VLOOKUP($A:$A,CS!$A:$AK,33,FALSE),"")</f>
      </c>
      <c r="U292" s="57">
        <f>IFERROR(VLOOKUP($A:$A,CS!$A:$AK,34,FALSE),"")</f>
      </c>
      <c r="V292" s="57">
        <f>IFERROR(VLOOKUP($A:$A,CS!$A:$AK,35,FALSE),"")</f>
      </c>
      <c r="W292" s="57">
        <f>IFERROR(VLOOKUP($A:$A,CS!$A:$AK,36,FALSE),"")</f>
      </c>
    </row>
    <row r="293" ht="16.5" customHeight="1" spans="1:23" x14ac:dyDescent="0.25">
      <c r="A293" s="71"/>
      <c r="B293" s="57">
        <f>IFERROR(VLOOKUP($A:$A,CS!$A:$AK,3,FALSE),"")</f>
      </c>
      <c r="C293" s="57">
        <f>IFERROR(VLOOKUP($A:$A,CS!$A:$AK,4,FALSE),"")</f>
      </c>
      <c r="D293" s="57">
        <f>IFERROR(VLOOKUP($A:$A,CS!$A:$AK,5,FALSE),"")</f>
      </c>
      <c r="E293" s="57">
        <f>IFERROR(VLOOKUP($A:$A,CS!$A:$AK,7,FALSE),"")</f>
      </c>
      <c r="F293" s="57">
        <f>IFERROR(VLOOKUP($A:$A,CS!$A:$AK,8,FALSE),"")</f>
      </c>
      <c r="G293" s="57">
        <f>IFERROR(VLOOKUP($A:$A,CS!$A:$AK,10,FALSE),"")</f>
      </c>
      <c r="H293" s="57">
        <f>IFERROR(VLOOKUP($A:$A,CS!$A:$AK,14,FALSE),"")</f>
      </c>
      <c r="I293" s="57">
        <f>IFERROR(VLOOKUP($A:$A,CS!$A:$AK,15,FALSE),"")</f>
      </c>
      <c r="J293" s="57">
        <f>IFERROR(VLOOKUP($A:$A,CS!$A:$AK,18,FALSE),"")</f>
      </c>
      <c r="K293" s="57">
        <f>IFERROR(VLOOKUP($A:$A,CS!$A:$AK,19,FALSE),"")</f>
      </c>
      <c r="L293" s="57">
        <f>IFERROR(VLOOKUP($A:$A,CS!$A:$AK,20,FALSE),"")</f>
      </c>
      <c r="M293" s="57">
        <f>IFERROR(VLOOKUP($A:$A,CS!$A:$AK,22,FALSE),"")</f>
      </c>
      <c r="N293" s="57">
        <f>IFERROR(VLOOKUP($A:$A,CS!$A:$AK,19,FALSE),"")</f>
      </c>
      <c r="O293" s="57">
        <f>IFERROR(VLOOKUP($A:$A,CS!$A:$AK,23,FALSE),"")</f>
      </c>
      <c r="P293" s="57">
        <f>IFERROR(VLOOKUP($A:$A,CS!$A:$AK,24,FALSE),"")</f>
      </c>
      <c r="Q293" s="57">
        <f>IFERROR(VLOOKUP($A:$A,CS!$A:$AK,25,FALSE),"")</f>
      </c>
      <c r="R293" s="57">
        <f>IFERROR(VLOOKUP($A:$A,CS!$A:$AK,26,FALSE),"")</f>
      </c>
      <c r="S293" s="57">
        <f>IFERROR(VLOOKUP($A:$A,CS!$A:$AK,29,FALSE),"")</f>
      </c>
      <c r="T293" s="57">
        <f>IFERROR(VLOOKUP($A:$A,CS!$A:$AK,33,FALSE),"")</f>
      </c>
      <c r="U293" s="57">
        <f>IFERROR(VLOOKUP($A:$A,CS!$A:$AK,34,FALSE),"")</f>
      </c>
      <c r="V293" s="57">
        <f>IFERROR(VLOOKUP($A:$A,CS!$A:$AK,35,FALSE),"")</f>
      </c>
      <c r="W293" s="57">
        <f>IFERROR(VLOOKUP($A:$A,CS!$A:$AK,36,FALSE),"")</f>
      </c>
    </row>
    <row r="294" ht="16.5" customHeight="1" spans="1:23" x14ac:dyDescent="0.25">
      <c r="A294" s="71"/>
      <c r="B294" s="57">
        <f>IFERROR(VLOOKUP($A:$A,CS!$A:$AK,3,FALSE),"")</f>
      </c>
      <c r="C294" s="57">
        <f>IFERROR(VLOOKUP($A:$A,CS!$A:$AK,4,FALSE),"")</f>
      </c>
      <c r="D294" s="57">
        <f>IFERROR(VLOOKUP($A:$A,CS!$A:$AK,5,FALSE),"")</f>
      </c>
      <c r="E294" s="57">
        <f>IFERROR(VLOOKUP($A:$A,CS!$A:$AK,7,FALSE),"")</f>
      </c>
      <c r="F294" s="57">
        <f>IFERROR(VLOOKUP($A:$A,CS!$A:$AK,8,FALSE),"")</f>
      </c>
      <c r="G294" s="57">
        <f>IFERROR(VLOOKUP($A:$A,CS!$A:$AK,10,FALSE),"")</f>
      </c>
      <c r="H294" s="57">
        <f>IFERROR(VLOOKUP($A:$A,CS!$A:$AK,14,FALSE),"")</f>
      </c>
      <c r="I294" s="57">
        <f>IFERROR(VLOOKUP($A:$A,CS!$A:$AK,15,FALSE),"")</f>
      </c>
      <c r="J294" s="57">
        <f>IFERROR(VLOOKUP($A:$A,CS!$A:$AK,18,FALSE),"")</f>
      </c>
      <c r="K294" s="57">
        <f>IFERROR(VLOOKUP($A:$A,CS!$A:$AK,19,FALSE),"")</f>
      </c>
      <c r="L294" s="57">
        <f>IFERROR(VLOOKUP($A:$A,CS!$A:$AK,20,FALSE),"")</f>
      </c>
      <c r="M294" s="57">
        <f>IFERROR(VLOOKUP($A:$A,CS!$A:$AK,22,FALSE),"")</f>
      </c>
      <c r="N294" s="57">
        <f>IFERROR(VLOOKUP($A:$A,CS!$A:$AK,19,FALSE),"")</f>
      </c>
      <c r="O294" s="57">
        <f>IFERROR(VLOOKUP($A:$A,CS!$A:$AK,23,FALSE),"")</f>
      </c>
      <c r="P294" s="57">
        <f>IFERROR(VLOOKUP($A:$A,CS!$A:$AK,24,FALSE),"")</f>
      </c>
      <c r="Q294" s="57">
        <f>IFERROR(VLOOKUP($A:$A,CS!$A:$AK,25,FALSE),"")</f>
      </c>
      <c r="R294" s="57">
        <f>IFERROR(VLOOKUP($A:$A,CS!$A:$AK,26,FALSE),"")</f>
      </c>
      <c r="S294" s="57">
        <f>IFERROR(VLOOKUP($A:$A,CS!$A:$AK,29,FALSE),"")</f>
      </c>
      <c r="T294" s="57">
        <f>IFERROR(VLOOKUP($A:$A,CS!$A:$AK,33,FALSE),"")</f>
      </c>
      <c r="U294" s="57">
        <f>IFERROR(VLOOKUP($A:$A,CS!$A:$AK,34,FALSE),"")</f>
      </c>
      <c r="V294" s="57">
        <f>IFERROR(VLOOKUP($A:$A,CS!$A:$AK,35,FALSE),"")</f>
      </c>
      <c r="W294" s="57">
        <f>IFERROR(VLOOKUP($A:$A,CS!$A:$AK,36,FALSE),"")</f>
      </c>
    </row>
    <row r="295" ht="16.5" customHeight="1" spans="1:23" x14ac:dyDescent="0.25">
      <c r="A295" s="71"/>
      <c r="B295" s="57">
        <f>IFERROR(VLOOKUP($A:$A,CS!$A:$AK,3,FALSE),"")</f>
      </c>
      <c r="C295" s="57">
        <f>IFERROR(VLOOKUP($A:$A,CS!$A:$AK,4,FALSE),"")</f>
      </c>
      <c r="D295" s="57">
        <f>IFERROR(VLOOKUP($A:$A,CS!$A:$AK,5,FALSE),"")</f>
      </c>
      <c r="E295" s="57">
        <f>IFERROR(VLOOKUP($A:$A,CS!$A:$AK,7,FALSE),"")</f>
      </c>
      <c r="F295" s="57">
        <f>IFERROR(VLOOKUP($A:$A,CS!$A:$AK,8,FALSE),"")</f>
      </c>
      <c r="G295" s="57">
        <f>IFERROR(VLOOKUP($A:$A,CS!$A:$AK,10,FALSE),"")</f>
      </c>
      <c r="H295" s="57">
        <f>IFERROR(VLOOKUP($A:$A,CS!$A:$AK,14,FALSE),"")</f>
      </c>
      <c r="I295" s="57">
        <f>IFERROR(VLOOKUP($A:$A,CS!$A:$AK,15,FALSE),"")</f>
      </c>
      <c r="J295" s="57">
        <f>IFERROR(VLOOKUP($A:$A,CS!$A:$AK,18,FALSE),"")</f>
      </c>
      <c r="K295" s="57">
        <f>IFERROR(VLOOKUP($A:$A,CS!$A:$AK,19,FALSE),"")</f>
      </c>
      <c r="L295" s="57">
        <f>IFERROR(VLOOKUP($A:$A,CS!$A:$AK,20,FALSE),"")</f>
      </c>
      <c r="M295" s="57">
        <f>IFERROR(VLOOKUP($A:$A,CS!$A:$AK,22,FALSE),"")</f>
      </c>
      <c r="N295" s="57">
        <f>IFERROR(VLOOKUP($A:$A,CS!$A:$AK,19,FALSE),"")</f>
      </c>
      <c r="O295" s="57">
        <f>IFERROR(VLOOKUP($A:$A,CS!$A:$AK,23,FALSE),"")</f>
      </c>
      <c r="P295" s="57">
        <f>IFERROR(VLOOKUP($A:$A,CS!$A:$AK,24,FALSE),"")</f>
      </c>
      <c r="Q295" s="57">
        <f>IFERROR(VLOOKUP($A:$A,CS!$A:$AK,25,FALSE),"")</f>
      </c>
      <c r="R295" s="57">
        <f>IFERROR(VLOOKUP($A:$A,CS!$A:$AK,26,FALSE),"")</f>
      </c>
      <c r="S295" s="57">
        <f>IFERROR(VLOOKUP($A:$A,CS!$A:$AK,29,FALSE),"")</f>
      </c>
      <c r="T295" s="57">
        <f>IFERROR(VLOOKUP($A:$A,CS!$A:$AK,33,FALSE),"")</f>
      </c>
      <c r="U295" s="57">
        <f>IFERROR(VLOOKUP($A:$A,CS!$A:$AK,34,FALSE),"")</f>
      </c>
      <c r="V295" s="57">
        <f>IFERROR(VLOOKUP($A:$A,CS!$A:$AK,35,FALSE),"")</f>
      </c>
      <c r="W295" s="57">
        <f>IFERROR(VLOOKUP($A:$A,CS!$A:$AK,36,FALSE),"")</f>
      </c>
    </row>
    <row r="296" ht="16.5" customHeight="1" spans="1:23" x14ac:dyDescent="0.25">
      <c r="A296" s="71"/>
      <c r="B296" s="57">
        <f>IFERROR(VLOOKUP($A:$A,CS!$A:$AK,3,FALSE),"")</f>
      </c>
      <c r="C296" s="57">
        <f>IFERROR(VLOOKUP($A:$A,CS!$A:$AK,4,FALSE),"")</f>
      </c>
      <c r="D296" s="57">
        <f>IFERROR(VLOOKUP($A:$A,CS!$A:$AK,5,FALSE),"")</f>
      </c>
      <c r="E296" s="57">
        <f>IFERROR(VLOOKUP($A:$A,CS!$A:$AK,7,FALSE),"")</f>
      </c>
      <c r="F296" s="57">
        <f>IFERROR(VLOOKUP($A:$A,CS!$A:$AK,8,FALSE),"")</f>
      </c>
      <c r="G296" s="57">
        <f>IFERROR(VLOOKUP($A:$A,CS!$A:$AK,10,FALSE),"")</f>
      </c>
      <c r="H296" s="57">
        <f>IFERROR(VLOOKUP($A:$A,CS!$A:$AK,14,FALSE),"")</f>
      </c>
      <c r="I296" s="57">
        <f>IFERROR(VLOOKUP($A:$A,CS!$A:$AK,15,FALSE),"")</f>
      </c>
      <c r="J296" s="57">
        <f>IFERROR(VLOOKUP($A:$A,CS!$A:$AK,18,FALSE),"")</f>
      </c>
      <c r="K296" s="57">
        <f>IFERROR(VLOOKUP($A:$A,CS!$A:$AK,19,FALSE),"")</f>
      </c>
      <c r="L296" s="57">
        <f>IFERROR(VLOOKUP($A:$A,CS!$A:$AK,20,FALSE),"")</f>
      </c>
      <c r="M296" s="57">
        <f>IFERROR(VLOOKUP($A:$A,CS!$A:$AK,22,FALSE),"")</f>
      </c>
      <c r="N296" s="57">
        <f>IFERROR(VLOOKUP($A:$A,CS!$A:$AK,19,FALSE),"")</f>
      </c>
      <c r="O296" s="57">
        <f>IFERROR(VLOOKUP($A:$A,CS!$A:$AK,23,FALSE),"")</f>
      </c>
      <c r="P296" s="57">
        <f>IFERROR(VLOOKUP($A:$A,CS!$A:$AK,24,FALSE),"")</f>
      </c>
      <c r="Q296" s="57">
        <f>IFERROR(VLOOKUP($A:$A,CS!$A:$AK,25,FALSE),"")</f>
      </c>
      <c r="R296" s="57">
        <f>IFERROR(VLOOKUP($A:$A,CS!$A:$AK,26,FALSE),"")</f>
      </c>
      <c r="S296" s="57">
        <f>IFERROR(VLOOKUP($A:$A,CS!$A:$AK,29,FALSE),"")</f>
      </c>
      <c r="T296" s="57">
        <f>IFERROR(VLOOKUP($A:$A,CS!$A:$AK,33,FALSE),"")</f>
      </c>
      <c r="U296" s="57">
        <f>IFERROR(VLOOKUP($A:$A,CS!$A:$AK,34,FALSE),"")</f>
      </c>
      <c r="V296" s="57">
        <f>IFERROR(VLOOKUP($A:$A,CS!$A:$AK,35,FALSE),"")</f>
      </c>
      <c r="W296" s="57">
        <f>IFERROR(VLOOKUP($A:$A,CS!$A:$AK,36,FALSE),"")</f>
      </c>
    </row>
    <row r="297" ht="16.5" customHeight="1" spans="1:23" x14ac:dyDescent="0.25">
      <c r="A297" s="71"/>
      <c r="B297" s="57">
        <f>IFERROR(VLOOKUP($A:$A,CS!$A:$AK,3,FALSE),"")</f>
      </c>
      <c r="C297" s="57">
        <f>IFERROR(VLOOKUP($A:$A,CS!$A:$AK,4,FALSE),"")</f>
      </c>
      <c r="D297" s="57">
        <f>IFERROR(VLOOKUP($A:$A,CS!$A:$AK,5,FALSE),"")</f>
      </c>
      <c r="E297" s="57">
        <f>IFERROR(VLOOKUP($A:$A,CS!$A:$AK,7,FALSE),"")</f>
      </c>
      <c r="F297" s="57">
        <f>IFERROR(VLOOKUP($A:$A,CS!$A:$AK,8,FALSE),"")</f>
      </c>
      <c r="G297" s="57">
        <f>IFERROR(VLOOKUP($A:$A,CS!$A:$AK,10,FALSE),"")</f>
      </c>
      <c r="H297" s="57">
        <f>IFERROR(VLOOKUP($A:$A,CS!$A:$AK,14,FALSE),"")</f>
      </c>
      <c r="I297" s="57">
        <f>IFERROR(VLOOKUP($A:$A,CS!$A:$AK,15,FALSE),"")</f>
      </c>
      <c r="J297" s="57">
        <f>IFERROR(VLOOKUP($A:$A,CS!$A:$AK,18,FALSE),"")</f>
      </c>
      <c r="K297" s="57">
        <f>IFERROR(VLOOKUP($A:$A,CS!$A:$AK,19,FALSE),"")</f>
      </c>
      <c r="L297" s="57">
        <f>IFERROR(VLOOKUP($A:$A,CS!$A:$AK,20,FALSE),"")</f>
      </c>
      <c r="M297" s="57">
        <f>IFERROR(VLOOKUP($A:$A,CS!$A:$AK,22,FALSE),"")</f>
      </c>
      <c r="N297" s="57">
        <f>IFERROR(VLOOKUP($A:$A,CS!$A:$AK,19,FALSE),"")</f>
      </c>
      <c r="O297" s="57">
        <f>IFERROR(VLOOKUP($A:$A,CS!$A:$AK,23,FALSE),"")</f>
      </c>
      <c r="P297" s="57">
        <f>IFERROR(VLOOKUP($A:$A,CS!$A:$AK,24,FALSE),"")</f>
      </c>
      <c r="Q297" s="57">
        <f>IFERROR(VLOOKUP($A:$A,CS!$A:$AK,25,FALSE),"")</f>
      </c>
      <c r="R297" s="57">
        <f>IFERROR(VLOOKUP($A:$A,CS!$A:$AK,26,FALSE),"")</f>
      </c>
      <c r="S297" s="57">
        <f>IFERROR(VLOOKUP($A:$A,CS!$A:$AK,29,FALSE),"")</f>
      </c>
      <c r="T297" s="57">
        <f>IFERROR(VLOOKUP($A:$A,CS!$A:$AK,33,FALSE),"")</f>
      </c>
      <c r="U297" s="57">
        <f>IFERROR(VLOOKUP($A:$A,CS!$A:$AK,34,FALSE),"")</f>
      </c>
      <c r="V297" s="57">
        <f>IFERROR(VLOOKUP($A:$A,CS!$A:$AK,35,FALSE),"")</f>
      </c>
      <c r="W297" s="57">
        <f>IFERROR(VLOOKUP($A:$A,CS!$A:$AK,36,FALSE),"")</f>
      </c>
    </row>
    <row r="298" ht="16.5" customHeight="1" spans="1:23" x14ac:dyDescent="0.25">
      <c r="A298" s="71"/>
      <c r="B298" s="57">
        <f>IFERROR(VLOOKUP($A:$A,CS!$A:$AK,3,FALSE),"")</f>
      </c>
      <c r="C298" s="57">
        <f>IFERROR(VLOOKUP($A:$A,CS!$A:$AK,4,FALSE),"")</f>
      </c>
      <c r="D298" s="57">
        <f>IFERROR(VLOOKUP($A:$A,CS!$A:$AK,5,FALSE),"")</f>
      </c>
      <c r="E298" s="57">
        <f>IFERROR(VLOOKUP($A:$A,CS!$A:$AK,7,FALSE),"")</f>
      </c>
      <c r="F298" s="57">
        <f>IFERROR(VLOOKUP($A:$A,CS!$A:$AK,8,FALSE),"")</f>
      </c>
      <c r="G298" s="57">
        <f>IFERROR(VLOOKUP($A:$A,CS!$A:$AK,10,FALSE),"")</f>
      </c>
      <c r="H298" s="57">
        <f>IFERROR(VLOOKUP($A:$A,CS!$A:$AK,14,FALSE),"")</f>
      </c>
      <c r="I298" s="57">
        <f>IFERROR(VLOOKUP($A:$A,CS!$A:$AK,15,FALSE),"")</f>
      </c>
      <c r="J298" s="57">
        <f>IFERROR(VLOOKUP($A:$A,CS!$A:$AK,18,FALSE),"")</f>
      </c>
      <c r="K298" s="57">
        <f>IFERROR(VLOOKUP($A:$A,CS!$A:$AK,19,FALSE),"")</f>
      </c>
      <c r="L298" s="57">
        <f>IFERROR(VLOOKUP($A:$A,CS!$A:$AK,20,FALSE),"")</f>
      </c>
      <c r="M298" s="57">
        <f>IFERROR(VLOOKUP($A:$A,CS!$A:$AK,22,FALSE),"")</f>
      </c>
      <c r="N298" s="57">
        <f>IFERROR(VLOOKUP($A:$A,CS!$A:$AK,19,FALSE),"")</f>
      </c>
      <c r="O298" s="57">
        <f>IFERROR(VLOOKUP($A:$A,CS!$A:$AK,23,FALSE),"")</f>
      </c>
      <c r="P298" s="57">
        <f>IFERROR(VLOOKUP($A:$A,CS!$A:$AK,24,FALSE),"")</f>
      </c>
      <c r="Q298" s="57">
        <f>IFERROR(VLOOKUP($A:$A,CS!$A:$AK,25,FALSE),"")</f>
      </c>
      <c r="R298" s="57">
        <f>IFERROR(VLOOKUP($A:$A,CS!$A:$AK,26,FALSE),"")</f>
      </c>
      <c r="S298" s="57">
        <f>IFERROR(VLOOKUP($A:$A,CS!$A:$AK,29,FALSE),"")</f>
      </c>
      <c r="T298" s="57">
        <f>IFERROR(VLOOKUP($A:$A,CS!$A:$AK,33,FALSE),"")</f>
      </c>
      <c r="U298" s="57">
        <f>IFERROR(VLOOKUP($A:$A,CS!$A:$AK,34,FALSE),"")</f>
      </c>
      <c r="V298" s="57">
        <f>IFERROR(VLOOKUP($A:$A,CS!$A:$AK,35,FALSE),"")</f>
      </c>
      <c r="W298" s="57">
        <f>IFERROR(VLOOKUP($A:$A,CS!$A:$AK,36,FALSE),"")</f>
      </c>
    </row>
    <row r="299" ht="16.5" customHeight="1" spans="1:23" x14ac:dyDescent="0.25">
      <c r="A299" s="71"/>
      <c r="B299" s="57">
        <f>IFERROR(VLOOKUP($A:$A,CS!$A:$AK,3,FALSE),"")</f>
      </c>
      <c r="C299" s="57">
        <f>IFERROR(VLOOKUP($A:$A,CS!$A:$AK,4,FALSE),"")</f>
      </c>
      <c r="D299" s="57">
        <f>IFERROR(VLOOKUP($A:$A,CS!$A:$AK,5,FALSE),"")</f>
      </c>
      <c r="E299" s="57">
        <f>IFERROR(VLOOKUP($A:$A,CS!$A:$AK,7,FALSE),"")</f>
      </c>
      <c r="F299" s="57">
        <f>IFERROR(VLOOKUP($A:$A,CS!$A:$AK,8,FALSE),"")</f>
      </c>
      <c r="G299" s="57">
        <f>IFERROR(VLOOKUP($A:$A,CS!$A:$AK,10,FALSE),"")</f>
      </c>
      <c r="H299" s="57">
        <f>IFERROR(VLOOKUP($A:$A,CS!$A:$AK,14,FALSE),"")</f>
      </c>
      <c r="I299" s="57">
        <f>IFERROR(VLOOKUP($A:$A,CS!$A:$AK,15,FALSE),"")</f>
      </c>
      <c r="J299" s="57">
        <f>IFERROR(VLOOKUP($A:$A,CS!$A:$AK,18,FALSE),"")</f>
      </c>
      <c r="K299" s="57">
        <f>IFERROR(VLOOKUP($A:$A,CS!$A:$AK,19,FALSE),"")</f>
      </c>
      <c r="L299" s="57">
        <f>IFERROR(VLOOKUP($A:$A,CS!$A:$AK,20,FALSE),"")</f>
      </c>
      <c r="M299" s="57">
        <f>IFERROR(VLOOKUP($A:$A,CS!$A:$AK,22,FALSE),"")</f>
      </c>
      <c r="N299" s="57">
        <f>IFERROR(VLOOKUP($A:$A,CS!$A:$AK,19,FALSE),"")</f>
      </c>
      <c r="O299" s="57">
        <f>IFERROR(VLOOKUP($A:$A,CS!$A:$AK,23,FALSE),"")</f>
      </c>
      <c r="P299" s="57">
        <f>IFERROR(VLOOKUP($A:$A,CS!$A:$AK,24,FALSE),"")</f>
      </c>
      <c r="Q299" s="57">
        <f>IFERROR(VLOOKUP($A:$A,CS!$A:$AK,25,FALSE),"")</f>
      </c>
      <c r="R299" s="57">
        <f>IFERROR(VLOOKUP($A:$A,CS!$A:$AK,26,FALSE),"")</f>
      </c>
      <c r="S299" s="57">
        <f>IFERROR(VLOOKUP($A:$A,CS!$A:$AK,29,FALSE),"")</f>
      </c>
      <c r="T299" s="57">
        <f>IFERROR(VLOOKUP($A:$A,CS!$A:$AK,33,FALSE),"")</f>
      </c>
      <c r="U299" s="57">
        <f>IFERROR(VLOOKUP($A:$A,CS!$A:$AK,34,FALSE),"")</f>
      </c>
      <c r="V299" s="57">
        <f>IFERROR(VLOOKUP($A:$A,CS!$A:$AK,35,FALSE),"")</f>
      </c>
      <c r="W299" s="57">
        <f>IFERROR(VLOOKUP($A:$A,CS!$A:$AK,36,FALSE),"")</f>
      </c>
    </row>
    <row r="300" ht="16.5" customHeight="1" spans="1:23" x14ac:dyDescent="0.25">
      <c r="A300" s="71"/>
      <c r="B300" s="57">
        <f>IFERROR(VLOOKUP($A:$A,CS!$A:$AK,3,FALSE),"")</f>
      </c>
      <c r="C300" s="57">
        <f>IFERROR(VLOOKUP($A:$A,CS!$A:$AK,4,FALSE),"")</f>
      </c>
      <c r="D300" s="57">
        <f>IFERROR(VLOOKUP($A:$A,CS!$A:$AK,5,FALSE),"")</f>
      </c>
      <c r="E300" s="57">
        <f>IFERROR(VLOOKUP($A:$A,CS!$A:$AK,7,FALSE),"")</f>
      </c>
      <c r="F300" s="57">
        <f>IFERROR(VLOOKUP($A:$A,CS!$A:$AK,8,FALSE),"")</f>
      </c>
      <c r="G300" s="57">
        <f>IFERROR(VLOOKUP($A:$A,CS!$A:$AK,10,FALSE),"")</f>
      </c>
      <c r="H300" s="57">
        <f>IFERROR(VLOOKUP($A:$A,CS!$A:$AK,14,FALSE),"")</f>
      </c>
      <c r="I300" s="57">
        <f>IFERROR(VLOOKUP($A:$A,CS!$A:$AK,15,FALSE),"")</f>
      </c>
      <c r="J300" s="57">
        <f>IFERROR(VLOOKUP($A:$A,CS!$A:$AK,18,FALSE),"")</f>
      </c>
      <c r="K300" s="57">
        <f>IFERROR(VLOOKUP($A:$A,CS!$A:$AK,19,FALSE),"")</f>
      </c>
      <c r="L300" s="57">
        <f>IFERROR(VLOOKUP($A:$A,CS!$A:$AK,20,FALSE),"")</f>
      </c>
      <c r="M300" s="57">
        <f>IFERROR(VLOOKUP($A:$A,CS!$A:$AK,22,FALSE),"")</f>
      </c>
      <c r="N300" s="57">
        <f>IFERROR(VLOOKUP($A:$A,CS!$A:$AK,19,FALSE),"")</f>
      </c>
      <c r="O300" s="57">
        <f>IFERROR(VLOOKUP($A:$A,CS!$A:$AK,23,FALSE),"")</f>
      </c>
      <c r="P300" s="57">
        <f>IFERROR(VLOOKUP($A:$A,CS!$A:$AK,24,FALSE),"")</f>
      </c>
      <c r="Q300" s="57">
        <f>IFERROR(VLOOKUP($A:$A,CS!$A:$AK,25,FALSE),"")</f>
      </c>
      <c r="R300" s="57">
        <f>IFERROR(VLOOKUP($A:$A,CS!$A:$AK,26,FALSE),"")</f>
      </c>
      <c r="S300" s="57">
        <f>IFERROR(VLOOKUP($A:$A,CS!$A:$AK,29,FALSE),"")</f>
      </c>
      <c r="T300" s="57">
        <f>IFERROR(VLOOKUP($A:$A,CS!$A:$AK,33,FALSE),"")</f>
      </c>
      <c r="U300" s="57">
        <f>IFERROR(VLOOKUP($A:$A,CS!$A:$AK,34,FALSE),"")</f>
      </c>
      <c r="V300" s="57">
        <f>IFERROR(VLOOKUP($A:$A,CS!$A:$AK,35,FALSE),"")</f>
      </c>
      <c r="W300" s="57">
        <f>IFERROR(VLOOKUP($A:$A,CS!$A:$AK,36,FALSE),"")</f>
      </c>
    </row>
    <row r="301" ht="16.5" customHeight="1" spans="1:23" x14ac:dyDescent="0.25">
      <c r="A301" s="71"/>
      <c r="B301" s="57">
        <f>IFERROR(VLOOKUP($A:$A,CS!$A:$AK,3,FALSE),"")</f>
      </c>
      <c r="C301" s="57">
        <f>IFERROR(VLOOKUP($A:$A,CS!$A:$AK,4,FALSE),"")</f>
      </c>
      <c r="D301" s="57">
        <f>IFERROR(VLOOKUP($A:$A,CS!$A:$AK,5,FALSE),"")</f>
      </c>
      <c r="E301" s="57">
        <f>IFERROR(VLOOKUP($A:$A,CS!$A:$AK,7,FALSE),"")</f>
      </c>
      <c r="F301" s="57">
        <f>IFERROR(VLOOKUP($A:$A,CS!$A:$AK,8,FALSE),"")</f>
      </c>
      <c r="G301" s="57">
        <f>IFERROR(VLOOKUP($A:$A,CS!$A:$AK,10,FALSE),"")</f>
      </c>
      <c r="H301" s="57">
        <f>IFERROR(VLOOKUP($A:$A,CS!$A:$AK,14,FALSE),"")</f>
      </c>
      <c r="I301" s="57">
        <f>IFERROR(VLOOKUP($A:$A,CS!$A:$AK,15,FALSE),"")</f>
      </c>
      <c r="J301" s="57">
        <f>IFERROR(VLOOKUP($A:$A,CS!$A:$AK,18,FALSE),"")</f>
      </c>
      <c r="K301" s="57">
        <f>IFERROR(VLOOKUP($A:$A,CS!$A:$AK,19,FALSE),"")</f>
      </c>
      <c r="L301" s="57">
        <f>IFERROR(VLOOKUP($A:$A,CS!$A:$AK,20,FALSE),"")</f>
      </c>
      <c r="M301" s="57">
        <f>IFERROR(VLOOKUP($A:$A,CS!$A:$AK,22,FALSE),"")</f>
      </c>
      <c r="N301" s="57">
        <f>IFERROR(VLOOKUP($A:$A,CS!$A:$AK,19,FALSE),"")</f>
      </c>
      <c r="O301" s="57">
        <f>IFERROR(VLOOKUP($A:$A,CS!$A:$AK,23,FALSE),"")</f>
      </c>
      <c r="P301" s="57">
        <f>IFERROR(VLOOKUP($A:$A,CS!$A:$AK,24,FALSE),"")</f>
      </c>
      <c r="Q301" s="57">
        <f>IFERROR(VLOOKUP($A:$A,CS!$A:$AK,25,FALSE),"")</f>
      </c>
      <c r="R301" s="57">
        <f>IFERROR(VLOOKUP($A:$A,CS!$A:$AK,26,FALSE),"")</f>
      </c>
      <c r="S301" s="57">
        <f>IFERROR(VLOOKUP($A:$A,CS!$A:$AK,29,FALSE),"")</f>
      </c>
      <c r="T301" s="57">
        <f>IFERROR(VLOOKUP($A:$A,CS!$A:$AK,33,FALSE),"")</f>
      </c>
      <c r="U301" s="57">
        <f>IFERROR(VLOOKUP($A:$A,CS!$A:$AK,34,FALSE),"")</f>
      </c>
      <c r="V301" s="57">
        <f>IFERROR(VLOOKUP($A:$A,CS!$A:$AK,35,FALSE),"")</f>
      </c>
      <c r="W301" s="57">
        <f>IFERROR(VLOOKUP($A:$A,CS!$A:$AK,36,FALSE),"")</f>
      </c>
    </row>
    <row r="302" ht="16.5" customHeight="1" spans="1:23" x14ac:dyDescent="0.25">
      <c r="A302" s="71"/>
      <c r="B302" s="57">
        <f>IFERROR(VLOOKUP($A:$A,CS!$A:$AK,3,FALSE),"")</f>
      </c>
      <c r="C302" s="57">
        <f>IFERROR(VLOOKUP($A:$A,CS!$A:$AK,4,FALSE),"")</f>
      </c>
      <c r="D302" s="57">
        <f>IFERROR(VLOOKUP($A:$A,CS!$A:$AK,5,FALSE),"")</f>
      </c>
      <c r="E302" s="57">
        <f>IFERROR(VLOOKUP($A:$A,CS!$A:$AK,7,FALSE),"")</f>
      </c>
      <c r="F302" s="57">
        <f>IFERROR(VLOOKUP($A:$A,CS!$A:$AK,8,FALSE),"")</f>
      </c>
      <c r="G302" s="57">
        <f>IFERROR(VLOOKUP($A:$A,CS!$A:$AK,10,FALSE),"")</f>
      </c>
      <c r="H302" s="57">
        <f>IFERROR(VLOOKUP($A:$A,CS!$A:$AK,14,FALSE),"")</f>
      </c>
      <c r="I302" s="57">
        <f>IFERROR(VLOOKUP($A:$A,CS!$A:$AK,15,FALSE),"")</f>
      </c>
      <c r="J302" s="57">
        <f>IFERROR(VLOOKUP($A:$A,CS!$A:$AK,18,FALSE),"")</f>
      </c>
      <c r="K302" s="57">
        <f>IFERROR(VLOOKUP($A:$A,CS!$A:$AK,19,FALSE),"")</f>
      </c>
      <c r="L302" s="57">
        <f>IFERROR(VLOOKUP($A:$A,CS!$A:$AK,20,FALSE),"")</f>
      </c>
      <c r="M302" s="57">
        <f>IFERROR(VLOOKUP($A:$A,CS!$A:$AK,22,FALSE),"")</f>
      </c>
      <c r="N302" s="57">
        <f>IFERROR(VLOOKUP($A:$A,CS!$A:$AK,19,FALSE),"")</f>
      </c>
      <c r="O302" s="57">
        <f>IFERROR(VLOOKUP($A:$A,CS!$A:$AK,23,FALSE),"")</f>
      </c>
      <c r="P302" s="57">
        <f>IFERROR(VLOOKUP($A:$A,CS!$A:$AK,24,FALSE),"")</f>
      </c>
      <c r="Q302" s="57">
        <f>IFERROR(VLOOKUP($A:$A,CS!$A:$AK,25,FALSE),"")</f>
      </c>
      <c r="R302" s="57">
        <f>IFERROR(VLOOKUP($A:$A,CS!$A:$AK,26,FALSE),"")</f>
      </c>
      <c r="S302" s="57">
        <f>IFERROR(VLOOKUP($A:$A,CS!$A:$AK,29,FALSE),"")</f>
      </c>
      <c r="T302" s="57">
        <f>IFERROR(VLOOKUP($A:$A,CS!$A:$AK,33,FALSE),"")</f>
      </c>
      <c r="U302" s="57">
        <f>IFERROR(VLOOKUP($A:$A,CS!$A:$AK,34,FALSE),"")</f>
      </c>
      <c r="V302" s="57">
        <f>IFERROR(VLOOKUP($A:$A,CS!$A:$AK,35,FALSE),"")</f>
      </c>
      <c r="W302" s="57">
        <f>IFERROR(VLOOKUP($A:$A,CS!$A:$AK,36,FALSE),"")</f>
      </c>
    </row>
    <row r="303" ht="16.5" customHeight="1" spans="1:23" x14ac:dyDescent="0.25">
      <c r="A303" s="71"/>
      <c r="B303" s="57">
        <f>IFERROR(VLOOKUP($A:$A,CS!$A:$AK,3,FALSE),"")</f>
      </c>
      <c r="C303" s="57">
        <f>IFERROR(VLOOKUP($A:$A,CS!$A:$AK,4,FALSE),"")</f>
      </c>
      <c r="D303" s="57">
        <f>IFERROR(VLOOKUP($A:$A,CS!$A:$AK,5,FALSE),"")</f>
      </c>
      <c r="E303" s="57">
        <f>IFERROR(VLOOKUP($A:$A,CS!$A:$AK,7,FALSE),"")</f>
      </c>
      <c r="F303" s="57">
        <f>IFERROR(VLOOKUP($A:$A,CS!$A:$AK,8,FALSE),"")</f>
      </c>
      <c r="G303" s="57">
        <f>IFERROR(VLOOKUP($A:$A,CS!$A:$AK,10,FALSE),"")</f>
      </c>
      <c r="H303" s="57">
        <f>IFERROR(VLOOKUP($A:$A,CS!$A:$AK,14,FALSE),"")</f>
      </c>
      <c r="I303" s="57">
        <f>IFERROR(VLOOKUP($A:$A,CS!$A:$AK,15,FALSE),"")</f>
      </c>
      <c r="J303" s="57">
        <f>IFERROR(VLOOKUP($A:$A,CS!$A:$AK,18,FALSE),"")</f>
      </c>
      <c r="K303" s="57">
        <f>IFERROR(VLOOKUP($A:$A,CS!$A:$AK,19,FALSE),"")</f>
      </c>
      <c r="L303" s="57">
        <f>IFERROR(VLOOKUP($A:$A,CS!$A:$AK,20,FALSE),"")</f>
      </c>
      <c r="M303" s="57">
        <f>IFERROR(VLOOKUP($A:$A,CS!$A:$AK,22,FALSE),"")</f>
      </c>
      <c r="N303" s="57">
        <f>IFERROR(VLOOKUP($A:$A,CS!$A:$AK,19,FALSE),"")</f>
      </c>
      <c r="O303" s="57">
        <f>IFERROR(VLOOKUP($A:$A,CS!$A:$AK,23,FALSE),"")</f>
      </c>
      <c r="P303" s="57">
        <f>IFERROR(VLOOKUP($A:$A,CS!$A:$AK,24,FALSE),"")</f>
      </c>
      <c r="Q303" s="57">
        <f>IFERROR(VLOOKUP($A:$A,CS!$A:$AK,25,FALSE),"")</f>
      </c>
      <c r="R303" s="57">
        <f>IFERROR(VLOOKUP($A:$A,CS!$A:$AK,26,FALSE),"")</f>
      </c>
      <c r="S303" s="57">
        <f>IFERROR(VLOOKUP($A:$A,CS!$A:$AK,29,FALSE),"")</f>
      </c>
      <c r="T303" s="57">
        <f>IFERROR(VLOOKUP($A:$A,CS!$A:$AK,33,FALSE),"")</f>
      </c>
      <c r="U303" s="57">
        <f>IFERROR(VLOOKUP($A:$A,CS!$A:$AK,34,FALSE),"")</f>
      </c>
      <c r="V303" s="57">
        <f>IFERROR(VLOOKUP($A:$A,CS!$A:$AK,35,FALSE),"")</f>
      </c>
      <c r="W303" s="57">
        <f>IFERROR(VLOOKUP($A:$A,CS!$A:$AK,36,FALSE),"")</f>
      </c>
    </row>
    <row r="304" ht="16.5" customHeight="1" spans="1:23" x14ac:dyDescent="0.25">
      <c r="A304" s="71"/>
      <c r="B304" s="57">
        <f>IFERROR(VLOOKUP($A:$A,CS!$A:$AK,3,FALSE),"")</f>
      </c>
      <c r="C304" s="57">
        <f>IFERROR(VLOOKUP($A:$A,CS!$A:$AK,4,FALSE),"")</f>
      </c>
      <c r="D304" s="57">
        <f>IFERROR(VLOOKUP($A:$A,CS!$A:$AK,5,FALSE),"")</f>
      </c>
      <c r="E304" s="57">
        <f>IFERROR(VLOOKUP($A:$A,CS!$A:$AK,7,FALSE),"")</f>
      </c>
      <c r="F304" s="57">
        <f>IFERROR(VLOOKUP($A:$A,CS!$A:$AK,8,FALSE),"")</f>
      </c>
      <c r="G304" s="57">
        <f>IFERROR(VLOOKUP($A:$A,CS!$A:$AK,10,FALSE),"")</f>
      </c>
      <c r="H304" s="57">
        <f>IFERROR(VLOOKUP($A:$A,CS!$A:$AK,14,FALSE),"")</f>
      </c>
      <c r="I304" s="57">
        <f>IFERROR(VLOOKUP($A:$A,CS!$A:$AK,15,FALSE),"")</f>
      </c>
      <c r="J304" s="57">
        <f>IFERROR(VLOOKUP($A:$A,CS!$A:$AK,18,FALSE),"")</f>
      </c>
      <c r="K304" s="57">
        <f>IFERROR(VLOOKUP($A:$A,CS!$A:$AK,19,FALSE),"")</f>
      </c>
      <c r="L304" s="57">
        <f>IFERROR(VLOOKUP($A:$A,CS!$A:$AK,20,FALSE),"")</f>
      </c>
      <c r="M304" s="57">
        <f>IFERROR(VLOOKUP($A:$A,CS!$A:$AK,22,FALSE),"")</f>
      </c>
      <c r="N304" s="57">
        <f>IFERROR(VLOOKUP($A:$A,CS!$A:$AK,19,FALSE),"")</f>
      </c>
      <c r="O304" s="57">
        <f>IFERROR(VLOOKUP($A:$A,CS!$A:$AK,23,FALSE),"")</f>
      </c>
      <c r="P304" s="57">
        <f>IFERROR(VLOOKUP($A:$A,CS!$A:$AK,24,FALSE),"")</f>
      </c>
      <c r="Q304" s="57">
        <f>IFERROR(VLOOKUP($A:$A,CS!$A:$AK,25,FALSE),"")</f>
      </c>
      <c r="R304" s="57">
        <f>IFERROR(VLOOKUP($A:$A,CS!$A:$AK,26,FALSE),"")</f>
      </c>
      <c r="S304" s="57">
        <f>IFERROR(VLOOKUP($A:$A,CS!$A:$AK,29,FALSE),"")</f>
      </c>
      <c r="T304" s="57">
        <f>IFERROR(VLOOKUP($A:$A,CS!$A:$AK,33,FALSE),"")</f>
      </c>
      <c r="U304" s="57">
        <f>IFERROR(VLOOKUP($A:$A,CS!$A:$AK,34,FALSE),"")</f>
      </c>
      <c r="V304" s="57">
        <f>IFERROR(VLOOKUP($A:$A,CS!$A:$AK,35,FALSE),"")</f>
      </c>
      <c r="W304" s="57">
        <f>IFERROR(VLOOKUP($A:$A,CS!$A:$AK,36,FALSE),"")</f>
      </c>
    </row>
    <row r="305" ht="16.5" customHeight="1" spans="1:23" x14ac:dyDescent="0.25">
      <c r="A305" s="71"/>
      <c r="B305" s="57">
        <f>IFERROR(VLOOKUP($A:$A,CS!$A:$AK,3,FALSE),"")</f>
      </c>
      <c r="C305" s="57">
        <f>IFERROR(VLOOKUP($A:$A,CS!$A:$AK,4,FALSE),"")</f>
      </c>
      <c r="D305" s="57">
        <f>IFERROR(VLOOKUP($A:$A,CS!$A:$AK,5,FALSE),"")</f>
      </c>
      <c r="E305" s="57">
        <f>IFERROR(VLOOKUP($A:$A,CS!$A:$AK,7,FALSE),"")</f>
      </c>
      <c r="F305" s="57">
        <f>IFERROR(VLOOKUP($A:$A,CS!$A:$AK,8,FALSE),"")</f>
      </c>
      <c r="G305" s="57">
        <f>IFERROR(VLOOKUP($A:$A,CS!$A:$AK,10,FALSE),"")</f>
      </c>
      <c r="H305" s="57">
        <f>IFERROR(VLOOKUP($A:$A,CS!$A:$AK,14,FALSE),"")</f>
      </c>
      <c r="I305" s="57">
        <f>IFERROR(VLOOKUP($A:$A,CS!$A:$AK,15,FALSE),"")</f>
      </c>
      <c r="J305" s="57">
        <f>IFERROR(VLOOKUP($A:$A,CS!$A:$AK,18,FALSE),"")</f>
      </c>
      <c r="K305" s="57">
        <f>IFERROR(VLOOKUP($A:$A,CS!$A:$AK,19,FALSE),"")</f>
      </c>
      <c r="L305" s="57">
        <f>IFERROR(VLOOKUP($A:$A,CS!$A:$AK,20,FALSE),"")</f>
      </c>
      <c r="M305" s="57">
        <f>IFERROR(VLOOKUP($A:$A,CS!$A:$AK,22,FALSE),"")</f>
      </c>
      <c r="N305" s="57">
        <f>IFERROR(VLOOKUP($A:$A,CS!$A:$AK,19,FALSE),"")</f>
      </c>
      <c r="O305" s="57">
        <f>IFERROR(VLOOKUP($A:$A,CS!$A:$AK,23,FALSE),"")</f>
      </c>
      <c r="P305" s="57">
        <f>IFERROR(VLOOKUP($A:$A,CS!$A:$AK,24,FALSE),"")</f>
      </c>
      <c r="Q305" s="57">
        <f>IFERROR(VLOOKUP($A:$A,CS!$A:$AK,25,FALSE),"")</f>
      </c>
      <c r="R305" s="57">
        <f>IFERROR(VLOOKUP($A:$A,CS!$A:$AK,26,FALSE),"")</f>
      </c>
      <c r="S305" s="57">
        <f>IFERROR(VLOOKUP($A:$A,CS!$A:$AK,29,FALSE),"")</f>
      </c>
      <c r="T305" s="57">
        <f>IFERROR(VLOOKUP($A:$A,CS!$A:$AK,33,FALSE),"")</f>
      </c>
      <c r="U305" s="57">
        <f>IFERROR(VLOOKUP($A:$A,CS!$A:$AK,34,FALSE),"")</f>
      </c>
      <c r="V305" s="57">
        <f>IFERROR(VLOOKUP($A:$A,CS!$A:$AK,35,FALSE),"")</f>
      </c>
      <c r="W305" s="57">
        <f>IFERROR(VLOOKUP($A:$A,CS!$A:$AK,36,FALSE),"")</f>
      </c>
    </row>
    <row r="306" ht="16.5" customHeight="1" spans="1:23" x14ac:dyDescent="0.25">
      <c r="A306" s="71"/>
      <c r="B306" s="57">
        <f>IFERROR(VLOOKUP($A:$A,CS!$A:$AK,3,FALSE),"")</f>
      </c>
      <c r="C306" s="57">
        <f>IFERROR(VLOOKUP($A:$A,CS!$A:$AK,4,FALSE),"")</f>
      </c>
      <c r="D306" s="57">
        <f>IFERROR(VLOOKUP($A:$A,CS!$A:$AK,5,FALSE),"")</f>
      </c>
      <c r="E306" s="57">
        <f>IFERROR(VLOOKUP($A:$A,CS!$A:$AK,7,FALSE),"")</f>
      </c>
      <c r="F306" s="57">
        <f>IFERROR(VLOOKUP($A:$A,CS!$A:$AK,8,FALSE),"")</f>
      </c>
      <c r="G306" s="57">
        <f>IFERROR(VLOOKUP($A:$A,CS!$A:$AK,10,FALSE),"")</f>
      </c>
      <c r="H306" s="57">
        <f>IFERROR(VLOOKUP($A:$A,CS!$A:$AK,14,FALSE),"")</f>
      </c>
      <c r="I306" s="57">
        <f>IFERROR(VLOOKUP($A:$A,CS!$A:$AK,15,FALSE),"")</f>
      </c>
      <c r="J306" s="57">
        <f>IFERROR(VLOOKUP($A:$A,CS!$A:$AK,18,FALSE),"")</f>
      </c>
      <c r="K306" s="57">
        <f>IFERROR(VLOOKUP($A:$A,CS!$A:$AK,19,FALSE),"")</f>
      </c>
      <c r="L306" s="57">
        <f>IFERROR(VLOOKUP($A:$A,CS!$A:$AK,20,FALSE),"")</f>
      </c>
      <c r="M306" s="57">
        <f>IFERROR(VLOOKUP($A:$A,CS!$A:$AK,22,FALSE),"")</f>
      </c>
      <c r="N306" s="57">
        <f>IFERROR(VLOOKUP($A:$A,CS!$A:$AK,19,FALSE),"")</f>
      </c>
      <c r="O306" s="57">
        <f>IFERROR(VLOOKUP($A:$A,CS!$A:$AK,23,FALSE),"")</f>
      </c>
      <c r="P306" s="57">
        <f>IFERROR(VLOOKUP($A:$A,CS!$A:$AK,24,FALSE),"")</f>
      </c>
      <c r="Q306" s="57">
        <f>IFERROR(VLOOKUP($A:$A,CS!$A:$AK,25,FALSE),"")</f>
      </c>
      <c r="R306" s="57">
        <f>IFERROR(VLOOKUP($A:$A,CS!$A:$AK,26,FALSE),"")</f>
      </c>
      <c r="S306" s="57">
        <f>IFERROR(VLOOKUP($A:$A,CS!$A:$AK,29,FALSE),"")</f>
      </c>
      <c r="T306" s="57">
        <f>IFERROR(VLOOKUP($A:$A,CS!$A:$AK,33,FALSE),"")</f>
      </c>
      <c r="U306" s="57">
        <f>IFERROR(VLOOKUP($A:$A,CS!$A:$AK,34,FALSE),"")</f>
      </c>
      <c r="V306" s="57">
        <f>IFERROR(VLOOKUP($A:$A,CS!$A:$AK,35,FALSE),"")</f>
      </c>
      <c r="W306" s="57">
        <f>IFERROR(VLOOKUP($A:$A,CS!$A:$AK,36,FALSE),"")</f>
      </c>
    </row>
    <row r="307" ht="16.5" customHeight="1" spans="1:23" x14ac:dyDescent="0.25">
      <c r="A307" s="71"/>
      <c r="B307" s="57">
        <f>IFERROR(VLOOKUP($A:$A,CS!$A:$AK,3,FALSE),"")</f>
      </c>
      <c r="C307" s="57">
        <f>IFERROR(VLOOKUP($A:$A,CS!$A:$AK,4,FALSE),"")</f>
      </c>
      <c r="D307" s="57">
        <f>IFERROR(VLOOKUP($A:$A,CS!$A:$AK,5,FALSE),"")</f>
      </c>
      <c r="E307" s="57">
        <f>IFERROR(VLOOKUP($A:$A,CS!$A:$AK,7,FALSE),"")</f>
      </c>
      <c r="F307" s="57">
        <f>IFERROR(VLOOKUP($A:$A,CS!$A:$AK,8,FALSE),"")</f>
      </c>
      <c r="G307" s="57">
        <f>IFERROR(VLOOKUP($A:$A,CS!$A:$AK,10,FALSE),"")</f>
      </c>
      <c r="H307" s="57">
        <f>IFERROR(VLOOKUP($A:$A,CS!$A:$AK,14,FALSE),"")</f>
      </c>
      <c r="I307" s="57">
        <f>IFERROR(VLOOKUP($A:$A,CS!$A:$AK,15,FALSE),"")</f>
      </c>
      <c r="J307" s="57">
        <f>IFERROR(VLOOKUP($A:$A,CS!$A:$AK,18,FALSE),"")</f>
      </c>
      <c r="K307" s="57">
        <f>IFERROR(VLOOKUP($A:$A,CS!$A:$AK,19,FALSE),"")</f>
      </c>
      <c r="L307" s="57">
        <f>IFERROR(VLOOKUP($A:$A,CS!$A:$AK,20,FALSE),"")</f>
      </c>
      <c r="M307" s="57">
        <f>IFERROR(VLOOKUP($A:$A,CS!$A:$AK,22,FALSE),"")</f>
      </c>
      <c r="N307" s="57">
        <f>IFERROR(VLOOKUP($A:$A,CS!$A:$AK,19,FALSE),"")</f>
      </c>
      <c r="O307" s="57">
        <f>IFERROR(VLOOKUP($A:$A,CS!$A:$AK,23,FALSE),"")</f>
      </c>
      <c r="P307" s="57">
        <f>IFERROR(VLOOKUP($A:$A,CS!$A:$AK,24,FALSE),"")</f>
      </c>
      <c r="Q307" s="57">
        <f>IFERROR(VLOOKUP($A:$A,CS!$A:$AK,25,FALSE),"")</f>
      </c>
      <c r="R307" s="57">
        <f>IFERROR(VLOOKUP($A:$A,CS!$A:$AK,26,FALSE),"")</f>
      </c>
      <c r="S307" s="57">
        <f>IFERROR(VLOOKUP($A:$A,CS!$A:$AK,29,FALSE),"")</f>
      </c>
      <c r="T307" s="57">
        <f>IFERROR(VLOOKUP($A:$A,CS!$A:$AK,33,FALSE),"")</f>
      </c>
      <c r="U307" s="57">
        <f>IFERROR(VLOOKUP($A:$A,CS!$A:$AK,34,FALSE),"")</f>
      </c>
      <c r="V307" s="57">
        <f>IFERROR(VLOOKUP($A:$A,CS!$A:$AK,35,FALSE),"")</f>
      </c>
      <c r="W307" s="57">
        <f>IFERROR(VLOOKUP($A:$A,CS!$A:$AK,36,FALSE),"")</f>
      </c>
    </row>
    <row r="308" ht="16.5" customHeight="1" spans="1:23" x14ac:dyDescent="0.25">
      <c r="A308" s="71"/>
      <c r="B308" s="57">
        <f>IFERROR(VLOOKUP($A:$A,CS!$A:$AK,3,FALSE),"")</f>
      </c>
      <c r="C308" s="57">
        <f>IFERROR(VLOOKUP($A:$A,CS!$A:$AK,4,FALSE),"")</f>
      </c>
      <c r="D308" s="57">
        <f>IFERROR(VLOOKUP($A:$A,CS!$A:$AK,5,FALSE),"")</f>
      </c>
      <c r="E308" s="57">
        <f>IFERROR(VLOOKUP($A:$A,CS!$A:$AK,7,FALSE),"")</f>
      </c>
      <c r="F308" s="57">
        <f>IFERROR(VLOOKUP($A:$A,CS!$A:$AK,8,FALSE),"")</f>
      </c>
      <c r="G308" s="57">
        <f>IFERROR(VLOOKUP($A:$A,CS!$A:$AK,10,FALSE),"")</f>
      </c>
      <c r="H308" s="57">
        <f>IFERROR(VLOOKUP($A:$A,CS!$A:$AK,14,FALSE),"")</f>
      </c>
      <c r="I308" s="57">
        <f>IFERROR(VLOOKUP($A:$A,CS!$A:$AK,15,FALSE),"")</f>
      </c>
      <c r="J308" s="57">
        <f>IFERROR(VLOOKUP($A:$A,CS!$A:$AK,18,FALSE),"")</f>
      </c>
      <c r="K308" s="57">
        <f>IFERROR(VLOOKUP($A:$A,CS!$A:$AK,19,FALSE),"")</f>
      </c>
      <c r="L308" s="57">
        <f>IFERROR(VLOOKUP($A:$A,CS!$A:$AK,20,FALSE),"")</f>
      </c>
      <c r="M308" s="57">
        <f>IFERROR(VLOOKUP($A:$A,CS!$A:$AK,22,FALSE),"")</f>
      </c>
      <c r="N308" s="57">
        <f>IFERROR(VLOOKUP($A:$A,CS!$A:$AK,19,FALSE),"")</f>
      </c>
      <c r="O308" s="57">
        <f>IFERROR(VLOOKUP($A:$A,CS!$A:$AK,23,FALSE),"")</f>
      </c>
      <c r="P308" s="57">
        <f>IFERROR(VLOOKUP($A:$A,CS!$A:$AK,24,FALSE),"")</f>
      </c>
      <c r="Q308" s="57">
        <f>IFERROR(VLOOKUP($A:$A,CS!$A:$AK,25,FALSE),"")</f>
      </c>
      <c r="R308" s="57">
        <f>IFERROR(VLOOKUP($A:$A,CS!$A:$AK,26,FALSE),"")</f>
      </c>
      <c r="S308" s="57">
        <f>IFERROR(VLOOKUP($A:$A,CS!$A:$AK,29,FALSE),"")</f>
      </c>
      <c r="T308" s="57">
        <f>IFERROR(VLOOKUP($A:$A,CS!$A:$AK,33,FALSE),"")</f>
      </c>
      <c r="U308" s="57">
        <f>IFERROR(VLOOKUP($A:$A,CS!$A:$AK,34,FALSE),"")</f>
      </c>
      <c r="V308" s="57">
        <f>IFERROR(VLOOKUP($A:$A,CS!$A:$AK,35,FALSE),"")</f>
      </c>
      <c r="W308" s="57">
        <f>IFERROR(VLOOKUP($A:$A,CS!$A:$AK,36,FALSE),"")</f>
      </c>
    </row>
    <row r="309" ht="16.5" customHeight="1" spans="1:23" x14ac:dyDescent="0.25">
      <c r="A309" s="71"/>
      <c r="B309" s="57">
        <f>IFERROR(VLOOKUP($A:$A,CS!$A:$AK,3,FALSE),"")</f>
      </c>
      <c r="C309" s="57">
        <f>IFERROR(VLOOKUP($A:$A,CS!$A:$AK,4,FALSE),"")</f>
      </c>
      <c r="D309" s="57">
        <f>IFERROR(VLOOKUP($A:$A,CS!$A:$AK,5,FALSE),"")</f>
      </c>
      <c r="E309" s="57">
        <f>IFERROR(VLOOKUP($A:$A,CS!$A:$AK,7,FALSE),"")</f>
      </c>
      <c r="F309" s="57">
        <f>IFERROR(VLOOKUP($A:$A,CS!$A:$AK,8,FALSE),"")</f>
      </c>
      <c r="G309" s="57">
        <f>IFERROR(VLOOKUP($A:$A,CS!$A:$AK,10,FALSE),"")</f>
      </c>
      <c r="H309" s="57">
        <f>IFERROR(VLOOKUP($A:$A,CS!$A:$AK,14,FALSE),"")</f>
      </c>
      <c r="I309" s="57">
        <f>IFERROR(VLOOKUP($A:$A,CS!$A:$AK,15,FALSE),"")</f>
      </c>
      <c r="J309" s="57">
        <f>IFERROR(VLOOKUP($A:$A,CS!$A:$AK,18,FALSE),"")</f>
      </c>
      <c r="K309" s="57">
        <f>IFERROR(VLOOKUP($A:$A,CS!$A:$AK,19,FALSE),"")</f>
      </c>
      <c r="L309" s="57">
        <f>IFERROR(VLOOKUP($A:$A,CS!$A:$AK,20,FALSE),"")</f>
      </c>
      <c r="M309" s="57">
        <f>IFERROR(VLOOKUP($A:$A,CS!$A:$AK,22,FALSE),"")</f>
      </c>
      <c r="N309" s="57">
        <f>IFERROR(VLOOKUP($A:$A,CS!$A:$AK,19,FALSE),"")</f>
      </c>
      <c r="O309" s="57">
        <f>IFERROR(VLOOKUP($A:$A,CS!$A:$AK,23,FALSE),"")</f>
      </c>
      <c r="P309" s="57">
        <f>IFERROR(VLOOKUP($A:$A,CS!$A:$AK,24,FALSE),"")</f>
      </c>
      <c r="Q309" s="57">
        <f>IFERROR(VLOOKUP($A:$A,CS!$A:$AK,25,FALSE),"")</f>
      </c>
      <c r="R309" s="57">
        <f>IFERROR(VLOOKUP($A:$A,CS!$A:$AK,26,FALSE),"")</f>
      </c>
      <c r="S309" s="57">
        <f>IFERROR(VLOOKUP($A:$A,CS!$A:$AK,29,FALSE),"")</f>
      </c>
      <c r="T309" s="57">
        <f>IFERROR(VLOOKUP($A:$A,CS!$A:$AK,33,FALSE),"")</f>
      </c>
      <c r="U309" s="57">
        <f>IFERROR(VLOOKUP($A:$A,CS!$A:$AK,34,FALSE),"")</f>
      </c>
      <c r="V309" s="57">
        <f>IFERROR(VLOOKUP($A:$A,CS!$A:$AK,35,FALSE),"")</f>
      </c>
      <c r="W309" s="57">
        <f>IFERROR(VLOOKUP($A:$A,CS!$A:$AK,36,FALSE),"")</f>
      </c>
    </row>
    <row r="310" ht="16.5" customHeight="1" spans="1:23" x14ac:dyDescent="0.25">
      <c r="A310" s="71"/>
      <c r="B310" s="57">
        <f>IFERROR(VLOOKUP($A:$A,CS!$A:$AK,3,FALSE),"")</f>
      </c>
      <c r="C310" s="57">
        <f>IFERROR(VLOOKUP($A:$A,CS!$A:$AK,4,FALSE),"")</f>
      </c>
      <c r="D310" s="57">
        <f>IFERROR(VLOOKUP($A:$A,CS!$A:$AK,5,FALSE),"")</f>
      </c>
      <c r="E310" s="57">
        <f>IFERROR(VLOOKUP($A:$A,CS!$A:$AK,7,FALSE),"")</f>
      </c>
      <c r="F310" s="57">
        <f>IFERROR(VLOOKUP($A:$A,CS!$A:$AK,8,FALSE),"")</f>
      </c>
      <c r="G310" s="57">
        <f>IFERROR(VLOOKUP($A:$A,CS!$A:$AK,10,FALSE),"")</f>
      </c>
      <c r="H310" s="57">
        <f>IFERROR(VLOOKUP($A:$A,CS!$A:$AK,14,FALSE),"")</f>
      </c>
      <c r="I310" s="57">
        <f>IFERROR(VLOOKUP($A:$A,CS!$A:$AK,15,FALSE),"")</f>
      </c>
      <c r="J310" s="57">
        <f>IFERROR(VLOOKUP($A:$A,CS!$A:$AK,18,FALSE),"")</f>
      </c>
      <c r="K310" s="57">
        <f>IFERROR(VLOOKUP($A:$A,CS!$A:$AK,19,FALSE),"")</f>
      </c>
      <c r="L310" s="57">
        <f>IFERROR(VLOOKUP($A:$A,CS!$A:$AK,20,FALSE),"")</f>
      </c>
      <c r="M310" s="57">
        <f>IFERROR(VLOOKUP($A:$A,CS!$A:$AK,22,FALSE),"")</f>
      </c>
      <c r="N310" s="57">
        <f>IFERROR(VLOOKUP($A:$A,CS!$A:$AK,19,FALSE),"")</f>
      </c>
      <c r="O310" s="57">
        <f>IFERROR(VLOOKUP($A:$A,CS!$A:$AK,23,FALSE),"")</f>
      </c>
      <c r="P310" s="57">
        <f>IFERROR(VLOOKUP($A:$A,CS!$A:$AK,24,FALSE),"")</f>
      </c>
      <c r="Q310" s="57">
        <f>IFERROR(VLOOKUP($A:$A,CS!$A:$AK,25,FALSE),"")</f>
      </c>
      <c r="R310" s="57">
        <f>IFERROR(VLOOKUP($A:$A,CS!$A:$AK,26,FALSE),"")</f>
      </c>
      <c r="S310" s="57">
        <f>IFERROR(VLOOKUP($A:$A,CS!$A:$AK,29,FALSE),"")</f>
      </c>
      <c r="T310" s="57">
        <f>IFERROR(VLOOKUP($A:$A,CS!$A:$AK,33,FALSE),"")</f>
      </c>
      <c r="U310" s="57">
        <f>IFERROR(VLOOKUP($A:$A,CS!$A:$AK,34,FALSE),"")</f>
      </c>
      <c r="V310" s="57">
        <f>IFERROR(VLOOKUP($A:$A,CS!$A:$AK,35,FALSE),"")</f>
      </c>
      <c r="W310" s="57">
        <f>IFERROR(VLOOKUP($A:$A,CS!$A:$AK,36,FALSE),"")</f>
      </c>
    </row>
    <row r="311" ht="16.5" customHeight="1" spans="1:23" x14ac:dyDescent="0.25">
      <c r="A311" s="71"/>
      <c r="B311" s="57">
        <f>IFERROR(VLOOKUP($A:$A,CS!$A:$AK,3,FALSE),"")</f>
      </c>
      <c r="C311" s="57">
        <f>IFERROR(VLOOKUP($A:$A,CS!$A:$AK,4,FALSE),"")</f>
      </c>
      <c r="D311" s="57">
        <f>IFERROR(VLOOKUP($A:$A,CS!$A:$AK,5,FALSE),"")</f>
      </c>
      <c r="E311" s="57">
        <f>IFERROR(VLOOKUP($A:$A,CS!$A:$AK,7,FALSE),"")</f>
      </c>
      <c r="F311" s="57">
        <f>IFERROR(VLOOKUP($A:$A,CS!$A:$AK,8,FALSE),"")</f>
      </c>
      <c r="G311" s="57">
        <f>IFERROR(VLOOKUP($A:$A,CS!$A:$AK,10,FALSE),"")</f>
      </c>
      <c r="H311" s="57">
        <f>IFERROR(VLOOKUP($A:$A,CS!$A:$AK,14,FALSE),"")</f>
      </c>
      <c r="I311" s="57">
        <f>IFERROR(VLOOKUP($A:$A,CS!$A:$AK,15,FALSE),"")</f>
      </c>
      <c r="J311" s="57">
        <f>IFERROR(VLOOKUP($A:$A,CS!$A:$AK,18,FALSE),"")</f>
      </c>
      <c r="K311" s="57">
        <f>IFERROR(VLOOKUP($A:$A,CS!$A:$AK,19,FALSE),"")</f>
      </c>
      <c r="L311" s="57">
        <f>IFERROR(VLOOKUP($A:$A,CS!$A:$AK,20,FALSE),"")</f>
      </c>
      <c r="M311" s="57">
        <f>IFERROR(VLOOKUP($A:$A,CS!$A:$AK,22,FALSE),"")</f>
      </c>
      <c r="N311" s="57">
        <f>IFERROR(VLOOKUP($A:$A,CS!$A:$AK,19,FALSE),"")</f>
      </c>
      <c r="O311" s="57">
        <f>IFERROR(VLOOKUP($A:$A,CS!$A:$AK,23,FALSE),"")</f>
      </c>
      <c r="P311" s="57">
        <f>IFERROR(VLOOKUP($A:$A,CS!$A:$AK,24,FALSE),"")</f>
      </c>
      <c r="Q311" s="57">
        <f>IFERROR(VLOOKUP($A:$A,CS!$A:$AK,25,FALSE),"")</f>
      </c>
      <c r="R311" s="57">
        <f>IFERROR(VLOOKUP($A:$A,CS!$A:$AK,26,FALSE),"")</f>
      </c>
      <c r="S311" s="57">
        <f>IFERROR(VLOOKUP($A:$A,CS!$A:$AK,29,FALSE),"")</f>
      </c>
      <c r="T311" s="57">
        <f>IFERROR(VLOOKUP($A:$A,CS!$A:$AK,33,FALSE),"")</f>
      </c>
      <c r="U311" s="57">
        <f>IFERROR(VLOOKUP($A:$A,CS!$A:$AK,34,FALSE),"")</f>
      </c>
      <c r="V311" s="57">
        <f>IFERROR(VLOOKUP($A:$A,CS!$A:$AK,35,FALSE),"")</f>
      </c>
      <c r="W311" s="57">
        <f>IFERROR(VLOOKUP($A:$A,CS!$A:$AK,36,FALSE),"")</f>
      </c>
    </row>
    <row r="312" ht="16.5" customHeight="1" spans="1:23" x14ac:dyDescent="0.25">
      <c r="A312" s="71"/>
      <c r="B312" s="57">
        <f>IFERROR(VLOOKUP($A:$A,CS!$A:$AK,3,FALSE),"")</f>
      </c>
      <c r="C312" s="57">
        <f>IFERROR(VLOOKUP($A:$A,CS!$A:$AK,4,FALSE),"")</f>
      </c>
      <c r="D312" s="57">
        <f>IFERROR(VLOOKUP($A:$A,CS!$A:$AK,5,FALSE),"")</f>
      </c>
      <c r="E312" s="57">
        <f>IFERROR(VLOOKUP($A:$A,CS!$A:$AK,7,FALSE),"")</f>
      </c>
      <c r="F312" s="57">
        <f>IFERROR(VLOOKUP($A:$A,CS!$A:$AK,8,FALSE),"")</f>
      </c>
      <c r="G312" s="57">
        <f>IFERROR(VLOOKUP($A:$A,CS!$A:$AK,10,FALSE),"")</f>
      </c>
      <c r="H312" s="57">
        <f>IFERROR(VLOOKUP($A:$A,CS!$A:$AK,14,FALSE),"")</f>
      </c>
      <c r="I312" s="57">
        <f>IFERROR(VLOOKUP($A:$A,CS!$A:$AK,15,FALSE),"")</f>
      </c>
      <c r="J312" s="57">
        <f>IFERROR(VLOOKUP($A:$A,CS!$A:$AK,18,FALSE),"")</f>
      </c>
      <c r="K312" s="57">
        <f>IFERROR(VLOOKUP($A:$A,CS!$A:$AK,19,FALSE),"")</f>
      </c>
      <c r="L312" s="57">
        <f>IFERROR(VLOOKUP($A:$A,CS!$A:$AK,20,FALSE),"")</f>
      </c>
      <c r="M312" s="57">
        <f>IFERROR(VLOOKUP($A:$A,CS!$A:$AK,22,FALSE),"")</f>
      </c>
      <c r="N312" s="57">
        <f>IFERROR(VLOOKUP($A:$A,CS!$A:$AK,19,FALSE),"")</f>
      </c>
      <c r="O312" s="57">
        <f>IFERROR(VLOOKUP($A:$A,CS!$A:$AK,23,FALSE),"")</f>
      </c>
      <c r="P312" s="57">
        <f>IFERROR(VLOOKUP($A:$A,CS!$A:$AK,24,FALSE),"")</f>
      </c>
      <c r="Q312" s="57">
        <f>IFERROR(VLOOKUP($A:$A,CS!$A:$AK,25,FALSE),"")</f>
      </c>
      <c r="R312" s="57">
        <f>IFERROR(VLOOKUP($A:$A,CS!$A:$AK,26,FALSE),"")</f>
      </c>
      <c r="S312" s="57">
        <f>IFERROR(VLOOKUP($A:$A,CS!$A:$AK,29,FALSE),"")</f>
      </c>
      <c r="T312" s="57">
        <f>IFERROR(VLOOKUP($A:$A,CS!$A:$AK,33,FALSE),"")</f>
      </c>
      <c r="U312" s="57">
        <f>IFERROR(VLOOKUP($A:$A,CS!$A:$AK,34,FALSE),"")</f>
      </c>
      <c r="V312" s="57">
        <f>IFERROR(VLOOKUP($A:$A,CS!$A:$AK,35,FALSE),"")</f>
      </c>
      <c r="W312" s="57">
        <f>IFERROR(VLOOKUP($A:$A,CS!$A:$AK,36,FALSE),"")</f>
      </c>
    </row>
    <row r="313" ht="16.5" customHeight="1" spans="1:23" x14ac:dyDescent="0.25">
      <c r="A313" s="71"/>
      <c r="B313" s="57">
        <f>IFERROR(VLOOKUP($A:$A,CS!$A:$AK,3,FALSE),"")</f>
      </c>
      <c r="C313" s="57">
        <f>IFERROR(VLOOKUP($A:$A,CS!$A:$AK,4,FALSE),"")</f>
      </c>
      <c r="D313" s="57">
        <f>IFERROR(VLOOKUP($A:$A,CS!$A:$AK,5,FALSE),"")</f>
      </c>
      <c r="E313" s="57">
        <f>IFERROR(VLOOKUP($A:$A,CS!$A:$AK,7,FALSE),"")</f>
      </c>
      <c r="F313" s="57">
        <f>IFERROR(VLOOKUP($A:$A,CS!$A:$AK,8,FALSE),"")</f>
      </c>
      <c r="G313" s="57">
        <f>IFERROR(VLOOKUP($A:$A,CS!$A:$AK,10,FALSE),"")</f>
      </c>
      <c r="H313" s="57">
        <f>IFERROR(VLOOKUP($A:$A,CS!$A:$AK,14,FALSE),"")</f>
      </c>
      <c r="I313" s="57">
        <f>IFERROR(VLOOKUP($A:$A,CS!$A:$AK,15,FALSE),"")</f>
      </c>
      <c r="J313" s="57">
        <f>IFERROR(VLOOKUP($A:$A,CS!$A:$AK,18,FALSE),"")</f>
      </c>
      <c r="K313" s="57">
        <f>IFERROR(VLOOKUP($A:$A,CS!$A:$AK,19,FALSE),"")</f>
      </c>
      <c r="L313" s="57">
        <f>IFERROR(VLOOKUP($A:$A,CS!$A:$AK,20,FALSE),"")</f>
      </c>
      <c r="M313" s="57">
        <f>IFERROR(VLOOKUP($A:$A,CS!$A:$AK,22,FALSE),"")</f>
      </c>
      <c r="N313" s="57">
        <f>IFERROR(VLOOKUP($A:$A,CS!$A:$AK,19,FALSE),"")</f>
      </c>
      <c r="O313" s="57">
        <f>IFERROR(VLOOKUP($A:$A,CS!$A:$AK,23,FALSE),"")</f>
      </c>
      <c r="P313" s="57">
        <f>IFERROR(VLOOKUP($A:$A,CS!$A:$AK,24,FALSE),"")</f>
      </c>
      <c r="Q313" s="57">
        <f>IFERROR(VLOOKUP($A:$A,CS!$A:$AK,25,FALSE),"")</f>
      </c>
      <c r="R313" s="57">
        <f>IFERROR(VLOOKUP($A:$A,CS!$A:$AK,26,FALSE),"")</f>
      </c>
      <c r="S313" s="57">
        <f>IFERROR(VLOOKUP($A:$A,CS!$A:$AK,29,FALSE),"")</f>
      </c>
      <c r="T313" s="57">
        <f>IFERROR(VLOOKUP($A:$A,CS!$A:$AK,33,FALSE),"")</f>
      </c>
      <c r="U313" s="57">
        <f>IFERROR(VLOOKUP($A:$A,CS!$A:$AK,34,FALSE),"")</f>
      </c>
      <c r="V313" s="57">
        <f>IFERROR(VLOOKUP($A:$A,CS!$A:$AK,35,FALSE),"")</f>
      </c>
      <c r="W313" s="57">
        <f>IFERROR(VLOOKUP($A:$A,CS!$A:$AK,36,FALSE),"")</f>
      </c>
    </row>
    <row r="314" ht="16.5" customHeight="1" spans="1:23" x14ac:dyDescent="0.25">
      <c r="A314" s="71"/>
      <c r="B314" s="57">
        <f>IFERROR(VLOOKUP($A:$A,CS!$A:$AK,3,FALSE),"")</f>
      </c>
      <c r="C314" s="57">
        <f>IFERROR(VLOOKUP($A:$A,CS!$A:$AK,4,FALSE),"")</f>
      </c>
      <c r="D314" s="57">
        <f>IFERROR(VLOOKUP($A:$A,CS!$A:$AK,5,FALSE),"")</f>
      </c>
      <c r="E314" s="57">
        <f>IFERROR(VLOOKUP($A:$A,CS!$A:$AK,7,FALSE),"")</f>
      </c>
      <c r="F314" s="57">
        <f>IFERROR(VLOOKUP($A:$A,CS!$A:$AK,8,FALSE),"")</f>
      </c>
      <c r="G314" s="57">
        <f>IFERROR(VLOOKUP($A:$A,CS!$A:$AK,10,FALSE),"")</f>
      </c>
      <c r="H314" s="57">
        <f>IFERROR(VLOOKUP($A:$A,CS!$A:$AK,14,FALSE),"")</f>
      </c>
      <c r="I314" s="57">
        <f>IFERROR(VLOOKUP($A:$A,CS!$A:$AK,15,FALSE),"")</f>
      </c>
      <c r="J314" s="57">
        <f>IFERROR(VLOOKUP($A:$A,CS!$A:$AK,18,FALSE),"")</f>
      </c>
      <c r="K314" s="57">
        <f>IFERROR(VLOOKUP($A:$A,CS!$A:$AK,19,FALSE),"")</f>
      </c>
      <c r="L314" s="57">
        <f>IFERROR(VLOOKUP($A:$A,CS!$A:$AK,20,FALSE),"")</f>
      </c>
      <c r="M314" s="57">
        <f>IFERROR(VLOOKUP($A:$A,CS!$A:$AK,22,FALSE),"")</f>
      </c>
      <c r="N314" s="57">
        <f>IFERROR(VLOOKUP($A:$A,CS!$A:$AK,19,FALSE),"")</f>
      </c>
      <c r="O314" s="57">
        <f>IFERROR(VLOOKUP($A:$A,CS!$A:$AK,23,FALSE),"")</f>
      </c>
      <c r="P314" s="57">
        <f>IFERROR(VLOOKUP($A:$A,CS!$A:$AK,24,FALSE),"")</f>
      </c>
      <c r="Q314" s="57">
        <f>IFERROR(VLOOKUP($A:$A,CS!$A:$AK,25,FALSE),"")</f>
      </c>
      <c r="R314" s="57">
        <f>IFERROR(VLOOKUP($A:$A,CS!$A:$AK,26,FALSE),"")</f>
      </c>
      <c r="S314" s="57">
        <f>IFERROR(VLOOKUP($A:$A,CS!$A:$AK,29,FALSE),"")</f>
      </c>
      <c r="T314" s="57">
        <f>IFERROR(VLOOKUP($A:$A,CS!$A:$AK,33,FALSE),"")</f>
      </c>
      <c r="U314" s="57">
        <f>IFERROR(VLOOKUP($A:$A,CS!$A:$AK,34,FALSE),"")</f>
      </c>
      <c r="V314" s="57">
        <f>IFERROR(VLOOKUP($A:$A,CS!$A:$AK,35,FALSE),"")</f>
      </c>
      <c r="W314" s="57">
        <f>IFERROR(VLOOKUP($A:$A,CS!$A:$AK,36,FALSE),"")</f>
      </c>
    </row>
    <row r="315" ht="16.5" customHeight="1" spans="1:23" x14ac:dyDescent="0.25">
      <c r="A315" s="71"/>
      <c r="B315" s="57">
        <f>IFERROR(VLOOKUP($A:$A,CS!$A:$AK,3,FALSE),"")</f>
      </c>
      <c r="C315" s="57">
        <f>IFERROR(VLOOKUP($A:$A,CS!$A:$AK,4,FALSE),"")</f>
      </c>
      <c r="D315" s="57">
        <f>IFERROR(VLOOKUP($A:$A,CS!$A:$AK,5,FALSE),"")</f>
      </c>
      <c r="E315" s="57">
        <f>IFERROR(VLOOKUP($A:$A,CS!$A:$AK,7,FALSE),"")</f>
      </c>
      <c r="F315" s="57">
        <f>IFERROR(VLOOKUP($A:$A,CS!$A:$AK,8,FALSE),"")</f>
      </c>
      <c r="G315" s="57">
        <f>IFERROR(VLOOKUP($A:$A,CS!$A:$AK,10,FALSE),"")</f>
      </c>
      <c r="H315" s="57">
        <f>IFERROR(VLOOKUP($A:$A,CS!$A:$AK,14,FALSE),"")</f>
      </c>
      <c r="I315" s="57">
        <f>IFERROR(VLOOKUP($A:$A,CS!$A:$AK,15,FALSE),"")</f>
      </c>
      <c r="J315" s="57">
        <f>IFERROR(VLOOKUP($A:$A,CS!$A:$AK,18,FALSE),"")</f>
      </c>
      <c r="K315" s="57">
        <f>IFERROR(VLOOKUP($A:$A,CS!$A:$AK,19,FALSE),"")</f>
      </c>
      <c r="L315" s="57">
        <f>IFERROR(VLOOKUP($A:$A,CS!$A:$AK,20,FALSE),"")</f>
      </c>
      <c r="M315" s="57">
        <f>IFERROR(VLOOKUP($A:$A,CS!$A:$AK,22,FALSE),"")</f>
      </c>
      <c r="N315" s="57">
        <f>IFERROR(VLOOKUP($A:$A,CS!$A:$AK,19,FALSE),"")</f>
      </c>
      <c r="O315" s="57">
        <f>IFERROR(VLOOKUP($A:$A,CS!$A:$AK,23,FALSE),"")</f>
      </c>
      <c r="P315" s="57">
        <f>IFERROR(VLOOKUP($A:$A,CS!$A:$AK,24,FALSE),"")</f>
      </c>
      <c r="Q315" s="57">
        <f>IFERROR(VLOOKUP($A:$A,CS!$A:$AK,25,FALSE),"")</f>
      </c>
      <c r="R315" s="57">
        <f>IFERROR(VLOOKUP($A:$A,CS!$A:$AK,26,FALSE),"")</f>
      </c>
      <c r="S315" s="57">
        <f>IFERROR(VLOOKUP($A:$A,CS!$A:$AK,29,FALSE),"")</f>
      </c>
      <c r="T315" s="57">
        <f>IFERROR(VLOOKUP($A:$A,CS!$A:$AK,33,FALSE),"")</f>
      </c>
      <c r="U315" s="57">
        <f>IFERROR(VLOOKUP($A:$A,CS!$A:$AK,34,FALSE),"")</f>
      </c>
      <c r="V315" s="57">
        <f>IFERROR(VLOOKUP($A:$A,CS!$A:$AK,35,FALSE),"")</f>
      </c>
      <c r="W315" s="57">
        <f>IFERROR(VLOOKUP($A:$A,CS!$A:$AK,36,FALSE),"")</f>
      </c>
    </row>
    <row r="316" ht="16.5" customHeight="1" spans="1:23" x14ac:dyDescent="0.25">
      <c r="A316" s="71"/>
      <c r="B316" s="57">
        <f>IFERROR(VLOOKUP($A:$A,CS!$A:$AK,3,FALSE),"")</f>
      </c>
      <c r="C316" s="57">
        <f>IFERROR(VLOOKUP($A:$A,CS!$A:$AK,4,FALSE),"")</f>
      </c>
      <c r="D316" s="57">
        <f>IFERROR(VLOOKUP($A:$A,CS!$A:$AK,5,FALSE),"")</f>
      </c>
      <c r="E316" s="57">
        <f>IFERROR(VLOOKUP($A:$A,CS!$A:$AK,7,FALSE),"")</f>
      </c>
      <c r="F316" s="57">
        <f>IFERROR(VLOOKUP($A:$A,CS!$A:$AK,8,FALSE),"")</f>
      </c>
      <c r="G316" s="57">
        <f>IFERROR(VLOOKUP($A:$A,CS!$A:$AK,10,FALSE),"")</f>
      </c>
      <c r="H316" s="57">
        <f>IFERROR(VLOOKUP($A:$A,CS!$A:$AK,14,FALSE),"")</f>
      </c>
      <c r="I316" s="57">
        <f>IFERROR(VLOOKUP($A:$A,CS!$A:$AK,15,FALSE),"")</f>
      </c>
      <c r="J316" s="57">
        <f>IFERROR(VLOOKUP($A:$A,CS!$A:$AK,18,FALSE),"")</f>
      </c>
      <c r="K316" s="57">
        <f>IFERROR(VLOOKUP($A:$A,CS!$A:$AK,19,FALSE),"")</f>
      </c>
      <c r="L316" s="57">
        <f>IFERROR(VLOOKUP($A:$A,CS!$A:$AK,20,FALSE),"")</f>
      </c>
      <c r="M316" s="57">
        <f>IFERROR(VLOOKUP($A:$A,CS!$A:$AK,22,FALSE),"")</f>
      </c>
      <c r="N316" s="57">
        <f>IFERROR(VLOOKUP($A:$A,CS!$A:$AK,19,FALSE),"")</f>
      </c>
      <c r="O316" s="57">
        <f>IFERROR(VLOOKUP($A:$A,CS!$A:$AK,23,FALSE),"")</f>
      </c>
      <c r="P316" s="57">
        <f>IFERROR(VLOOKUP($A:$A,CS!$A:$AK,24,FALSE),"")</f>
      </c>
      <c r="Q316" s="57">
        <f>IFERROR(VLOOKUP($A:$A,CS!$A:$AK,25,FALSE),"")</f>
      </c>
      <c r="R316" s="57">
        <f>IFERROR(VLOOKUP($A:$A,CS!$A:$AK,26,FALSE),"")</f>
      </c>
      <c r="S316" s="57">
        <f>IFERROR(VLOOKUP($A:$A,CS!$A:$AK,29,FALSE),"")</f>
      </c>
      <c r="T316" s="57">
        <f>IFERROR(VLOOKUP($A:$A,CS!$A:$AK,33,FALSE),"")</f>
      </c>
      <c r="U316" s="57">
        <f>IFERROR(VLOOKUP($A:$A,CS!$A:$AK,34,FALSE),"")</f>
      </c>
      <c r="V316" s="57">
        <f>IFERROR(VLOOKUP($A:$A,CS!$A:$AK,35,FALSE),"")</f>
      </c>
      <c r="W316" s="57">
        <f>IFERROR(VLOOKUP($A:$A,CS!$A:$AK,36,FALSE),"")</f>
      </c>
    </row>
    <row r="317" ht="16.5" customHeight="1" spans="1:23" x14ac:dyDescent="0.25">
      <c r="A317" s="71"/>
      <c r="B317" s="57">
        <f>IFERROR(VLOOKUP($A:$A,CS!$A:$AK,3,FALSE),"")</f>
      </c>
      <c r="C317" s="57">
        <f>IFERROR(VLOOKUP($A:$A,CS!$A:$AK,4,FALSE),"")</f>
      </c>
      <c r="D317" s="57">
        <f>IFERROR(VLOOKUP($A:$A,CS!$A:$AK,5,FALSE),"")</f>
      </c>
      <c r="E317" s="57">
        <f>IFERROR(VLOOKUP($A:$A,CS!$A:$AK,7,FALSE),"")</f>
      </c>
      <c r="F317" s="57">
        <f>IFERROR(VLOOKUP($A:$A,CS!$A:$AK,8,FALSE),"")</f>
      </c>
      <c r="G317" s="57">
        <f>IFERROR(VLOOKUP($A:$A,CS!$A:$AK,10,FALSE),"")</f>
      </c>
      <c r="H317" s="57">
        <f>IFERROR(VLOOKUP($A:$A,CS!$A:$AK,14,FALSE),"")</f>
      </c>
      <c r="I317" s="57">
        <f>IFERROR(VLOOKUP($A:$A,CS!$A:$AK,15,FALSE),"")</f>
      </c>
      <c r="J317" s="57">
        <f>IFERROR(VLOOKUP($A:$A,CS!$A:$AK,18,FALSE),"")</f>
      </c>
      <c r="K317" s="57">
        <f>IFERROR(VLOOKUP($A:$A,CS!$A:$AK,19,FALSE),"")</f>
      </c>
      <c r="L317" s="57">
        <f>IFERROR(VLOOKUP($A:$A,CS!$A:$AK,20,FALSE),"")</f>
      </c>
      <c r="M317" s="57">
        <f>IFERROR(VLOOKUP($A:$A,CS!$A:$AK,22,FALSE),"")</f>
      </c>
      <c r="N317" s="57">
        <f>IFERROR(VLOOKUP($A:$A,CS!$A:$AK,19,FALSE),"")</f>
      </c>
      <c r="O317" s="57">
        <f>IFERROR(VLOOKUP($A:$A,CS!$A:$AK,23,FALSE),"")</f>
      </c>
      <c r="P317" s="57">
        <f>IFERROR(VLOOKUP($A:$A,CS!$A:$AK,24,FALSE),"")</f>
      </c>
      <c r="Q317" s="57">
        <f>IFERROR(VLOOKUP($A:$A,CS!$A:$AK,25,FALSE),"")</f>
      </c>
      <c r="R317" s="57">
        <f>IFERROR(VLOOKUP($A:$A,CS!$A:$AK,26,FALSE),"")</f>
      </c>
      <c r="S317" s="57">
        <f>IFERROR(VLOOKUP($A:$A,CS!$A:$AK,29,FALSE),"")</f>
      </c>
      <c r="T317" s="57">
        <f>IFERROR(VLOOKUP($A:$A,CS!$A:$AK,33,FALSE),"")</f>
      </c>
      <c r="U317" s="57">
        <f>IFERROR(VLOOKUP($A:$A,CS!$A:$AK,34,FALSE),"")</f>
      </c>
      <c r="V317" s="57">
        <f>IFERROR(VLOOKUP($A:$A,CS!$A:$AK,35,FALSE),"")</f>
      </c>
      <c r="W317" s="57">
        <f>IFERROR(VLOOKUP($A:$A,CS!$A:$AK,36,FALSE),"")</f>
      </c>
    </row>
    <row r="318" ht="16.5" customHeight="1" spans="1:23" x14ac:dyDescent="0.25">
      <c r="A318" s="71"/>
      <c r="B318" s="57">
        <f>IFERROR(VLOOKUP($A:$A,CS!$A:$AK,3,FALSE),"")</f>
      </c>
      <c r="C318" s="57">
        <f>IFERROR(VLOOKUP($A:$A,CS!$A:$AK,4,FALSE),"")</f>
      </c>
      <c r="D318" s="57">
        <f>IFERROR(VLOOKUP($A:$A,CS!$A:$AK,5,FALSE),"")</f>
      </c>
      <c r="E318" s="57">
        <f>IFERROR(VLOOKUP($A:$A,CS!$A:$AK,7,FALSE),"")</f>
      </c>
      <c r="F318" s="57">
        <f>IFERROR(VLOOKUP($A:$A,CS!$A:$AK,8,FALSE),"")</f>
      </c>
      <c r="G318" s="57">
        <f>IFERROR(VLOOKUP($A:$A,CS!$A:$AK,10,FALSE),"")</f>
      </c>
      <c r="H318" s="57">
        <f>IFERROR(VLOOKUP($A:$A,CS!$A:$AK,14,FALSE),"")</f>
      </c>
      <c r="I318" s="57">
        <f>IFERROR(VLOOKUP($A:$A,CS!$A:$AK,15,FALSE),"")</f>
      </c>
      <c r="J318" s="57">
        <f>IFERROR(VLOOKUP($A:$A,CS!$A:$AK,18,FALSE),"")</f>
      </c>
      <c r="K318" s="57">
        <f>IFERROR(VLOOKUP($A:$A,CS!$A:$AK,19,FALSE),"")</f>
      </c>
      <c r="L318" s="57">
        <f>IFERROR(VLOOKUP($A:$A,CS!$A:$AK,20,FALSE),"")</f>
      </c>
      <c r="M318" s="57">
        <f>IFERROR(VLOOKUP($A:$A,CS!$A:$AK,22,FALSE),"")</f>
      </c>
      <c r="N318" s="57">
        <f>IFERROR(VLOOKUP($A:$A,CS!$A:$AK,19,FALSE),"")</f>
      </c>
      <c r="O318" s="57">
        <f>IFERROR(VLOOKUP($A:$A,CS!$A:$AK,23,FALSE),"")</f>
      </c>
      <c r="P318" s="57">
        <f>IFERROR(VLOOKUP($A:$A,CS!$A:$AK,24,FALSE),"")</f>
      </c>
      <c r="Q318" s="57">
        <f>IFERROR(VLOOKUP($A:$A,CS!$A:$AK,25,FALSE),"")</f>
      </c>
      <c r="R318" s="57">
        <f>IFERROR(VLOOKUP($A:$A,CS!$A:$AK,26,FALSE),"")</f>
      </c>
      <c r="S318" s="57">
        <f>IFERROR(VLOOKUP($A:$A,CS!$A:$AK,29,FALSE),"")</f>
      </c>
      <c r="T318" s="57">
        <f>IFERROR(VLOOKUP($A:$A,CS!$A:$AK,33,FALSE),"")</f>
      </c>
      <c r="U318" s="57">
        <f>IFERROR(VLOOKUP($A:$A,CS!$A:$AK,34,FALSE),"")</f>
      </c>
      <c r="V318" s="57">
        <f>IFERROR(VLOOKUP($A:$A,CS!$A:$AK,35,FALSE),"")</f>
      </c>
      <c r="W318" s="57">
        <f>IFERROR(VLOOKUP($A:$A,CS!$A:$AK,36,FALSE),"")</f>
      </c>
    </row>
    <row r="319" ht="16.5" customHeight="1" spans="1:23" x14ac:dyDescent="0.25">
      <c r="A319" s="71"/>
      <c r="B319" s="57">
        <f>IFERROR(VLOOKUP($A:$A,CS!$A:$AK,3,FALSE),"")</f>
      </c>
      <c r="C319" s="57">
        <f>IFERROR(VLOOKUP($A:$A,CS!$A:$AK,4,FALSE),"")</f>
      </c>
      <c r="D319" s="57">
        <f>IFERROR(VLOOKUP($A:$A,CS!$A:$AK,5,FALSE),"")</f>
      </c>
      <c r="E319" s="57">
        <f>IFERROR(VLOOKUP($A:$A,CS!$A:$AK,7,FALSE),"")</f>
      </c>
      <c r="F319" s="57">
        <f>IFERROR(VLOOKUP($A:$A,CS!$A:$AK,8,FALSE),"")</f>
      </c>
      <c r="G319" s="57">
        <f>IFERROR(VLOOKUP($A:$A,CS!$A:$AK,10,FALSE),"")</f>
      </c>
      <c r="H319" s="57">
        <f>IFERROR(VLOOKUP($A:$A,CS!$A:$AK,14,FALSE),"")</f>
      </c>
      <c r="I319" s="57">
        <f>IFERROR(VLOOKUP($A:$A,CS!$A:$AK,15,FALSE),"")</f>
      </c>
      <c r="J319" s="57">
        <f>IFERROR(VLOOKUP($A:$A,CS!$A:$AK,18,FALSE),"")</f>
      </c>
      <c r="K319" s="57">
        <f>IFERROR(VLOOKUP($A:$A,CS!$A:$AK,19,FALSE),"")</f>
      </c>
      <c r="L319" s="57">
        <f>IFERROR(VLOOKUP($A:$A,CS!$A:$AK,20,FALSE),"")</f>
      </c>
      <c r="M319" s="57">
        <f>IFERROR(VLOOKUP($A:$A,CS!$A:$AK,22,FALSE),"")</f>
      </c>
      <c r="N319" s="57">
        <f>IFERROR(VLOOKUP($A:$A,CS!$A:$AK,19,FALSE),"")</f>
      </c>
      <c r="O319" s="57">
        <f>IFERROR(VLOOKUP($A:$A,CS!$A:$AK,23,FALSE),"")</f>
      </c>
      <c r="P319" s="57">
        <f>IFERROR(VLOOKUP($A:$A,CS!$A:$AK,24,FALSE),"")</f>
      </c>
      <c r="Q319" s="57">
        <f>IFERROR(VLOOKUP($A:$A,CS!$A:$AK,25,FALSE),"")</f>
      </c>
      <c r="R319" s="57">
        <f>IFERROR(VLOOKUP($A:$A,CS!$A:$AK,26,FALSE),"")</f>
      </c>
      <c r="S319" s="57">
        <f>IFERROR(VLOOKUP($A:$A,CS!$A:$AK,29,FALSE),"")</f>
      </c>
      <c r="T319" s="57">
        <f>IFERROR(VLOOKUP($A:$A,CS!$A:$AK,33,FALSE),"")</f>
      </c>
      <c r="U319" s="57">
        <f>IFERROR(VLOOKUP($A:$A,CS!$A:$AK,34,FALSE),"")</f>
      </c>
      <c r="V319" s="57">
        <f>IFERROR(VLOOKUP($A:$A,CS!$A:$AK,35,FALSE),"")</f>
      </c>
      <c r="W319" s="57">
        <f>IFERROR(VLOOKUP($A:$A,CS!$A:$AK,36,FALSE),"")</f>
      </c>
    </row>
    <row r="320" ht="16.5" customHeight="1" spans="1:23" x14ac:dyDescent="0.25">
      <c r="A320" s="71"/>
      <c r="B320" s="57">
        <f>IFERROR(VLOOKUP($A:$A,CS!$A:$AK,3,FALSE),"")</f>
      </c>
      <c r="C320" s="57">
        <f>IFERROR(VLOOKUP($A:$A,CS!$A:$AK,4,FALSE),"")</f>
      </c>
      <c r="D320" s="57">
        <f>IFERROR(VLOOKUP($A:$A,CS!$A:$AK,5,FALSE),"")</f>
      </c>
      <c r="E320" s="57">
        <f>IFERROR(VLOOKUP($A:$A,CS!$A:$AK,7,FALSE),"")</f>
      </c>
      <c r="F320" s="57">
        <f>IFERROR(VLOOKUP($A:$A,CS!$A:$AK,8,FALSE),"")</f>
      </c>
      <c r="G320" s="57">
        <f>IFERROR(VLOOKUP($A:$A,CS!$A:$AK,10,FALSE),"")</f>
      </c>
      <c r="H320" s="57">
        <f>IFERROR(VLOOKUP($A:$A,CS!$A:$AK,14,FALSE),"")</f>
      </c>
      <c r="I320" s="57">
        <f>IFERROR(VLOOKUP($A:$A,CS!$A:$AK,15,FALSE),"")</f>
      </c>
      <c r="J320" s="57">
        <f>IFERROR(VLOOKUP($A:$A,CS!$A:$AK,18,FALSE),"")</f>
      </c>
      <c r="K320" s="57">
        <f>IFERROR(VLOOKUP($A:$A,CS!$A:$AK,19,FALSE),"")</f>
      </c>
      <c r="L320" s="57">
        <f>IFERROR(VLOOKUP($A:$A,CS!$A:$AK,20,FALSE),"")</f>
      </c>
      <c r="M320" s="57">
        <f>IFERROR(VLOOKUP($A:$A,CS!$A:$AK,22,FALSE),"")</f>
      </c>
      <c r="N320" s="57">
        <f>IFERROR(VLOOKUP($A:$A,CS!$A:$AK,19,FALSE),"")</f>
      </c>
      <c r="O320" s="57">
        <f>IFERROR(VLOOKUP($A:$A,CS!$A:$AK,23,FALSE),"")</f>
      </c>
      <c r="P320" s="57">
        <f>IFERROR(VLOOKUP($A:$A,CS!$A:$AK,24,FALSE),"")</f>
      </c>
      <c r="Q320" s="57">
        <f>IFERROR(VLOOKUP($A:$A,CS!$A:$AK,25,FALSE),"")</f>
      </c>
      <c r="R320" s="57">
        <f>IFERROR(VLOOKUP($A:$A,CS!$A:$AK,26,FALSE),"")</f>
      </c>
      <c r="S320" s="57">
        <f>IFERROR(VLOOKUP($A:$A,CS!$A:$AK,29,FALSE),"")</f>
      </c>
      <c r="T320" s="57">
        <f>IFERROR(VLOOKUP($A:$A,CS!$A:$AK,33,FALSE),"")</f>
      </c>
      <c r="U320" s="57">
        <f>IFERROR(VLOOKUP($A:$A,CS!$A:$AK,34,FALSE),"")</f>
      </c>
      <c r="V320" s="57">
        <f>IFERROR(VLOOKUP($A:$A,CS!$A:$AK,35,FALSE),"")</f>
      </c>
      <c r="W320" s="57">
        <f>IFERROR(VLOOKUP($A:$A,CS!$A:$AK,36,FALSE),"")</f>
      </c>
    </row>
    <row r="321" ht="16.5" customHeight="1" spans="1:23" x14ac:dyDescent="0.25">
      <c r="A321" s="71"/>
      <c r="B321" s="57">
        <f>IFERROR(VLOOKUP($A:$A,CS!$A:$AK,3,FALSE),"")</f>
      </c>
      <c r="C321" s="57">
        <f>IFERROR(VLOOKUP($A:$A,CS!$A:$AK,4,FALSE),"")</f>
      </c>
      <c r="D321" s="57">
        <f>IFERROR(VLOOKUP($A:$A,CS!$A:$AK,5,FALSE),"")</f>
      </c>
      <c r="E321" s="57">
        <f>IFERROR(VLOOKUP($A:$A,CS!$A:$AK,7,FALSE),"")</f>
      </c>
      <c r="F321" s="57">
        <f>IFERROR(VLOOKUP($A:$A,CS!$A:$AK,8,FALSE),"")</f>
      </c>
      <c r="G321" s="57">
        <f>IFERROR(VLOOKUP($A:$A,CS!$A:$AK,10,FALSE),"")</f>
      </c>
      <c r="H321" s="57">
        <f>IFERROR(VLOOKUP($A:$A,CS!$A:$AK,14,FALSE),"")</f>
      </c>
      <c r="I321" s="57">
        <f>IFERROR(VLOOKUP($A:$A,CS!$A:$AK,15,FALSE),"")</f>
      </c>
      <c r="J321" s="57">
        <f>IFERROR(VLOOKUP($A:$A,CS!$A:$AK,18,FALSE),"")</f>
      </c>
      <c r="K321" s="57">
        <f>IFERROR(VLOOKUP($A:$A,CS!$A:$AK,19,FALSE),"")</f>
      </c>
      <c r="L321" s="57">
        <f>IFERROR(VLOOKUP($A:$A,CS!$A:$AK,20,FALSE),"")</f>
      </c>
      <c r="M321" s="57">
        <f>IFERROR(VLOOKUP($A:$A,CS!$A:$AK,22,FALSE),"")</f>
      </c>
      <c r="N321" s="57">
        <f>IFERROR(VLOOKUP($A:$A,CS!$A:$AK,19,FALSE),"")</f>
      </c>
      <c r="O321" s="57">
        <f>IFERROR(VLOOKUP($A:$A,CS!$A:$AK,23,FALSE),"")</f>
      </c>
      <c r="P321" s="57">
        <f>IFERROR(VLOOKUP($A:$A,CS!$A:$AK,24,FALSE),"")</f>
      </c>
      <c r="Q321" s="57">
        <f>IFERROR(VLOOKUP($A:$A,CS!$A:$AK,25,FALSE),"")</f>
      </c>
      <c r="R321" s="57">
        <f>IFERROR(VLOOKUP($A:$A,CS!$A:$AK,26,FALSE),"")</f>
      </c>
      <c r="S321" s="57">
        <f>IFERROR(VLOOKUP($A:$A,CS!$A:$AK,29,FALSE),"")</f>
      </c>
      <c r="T321" s="57">
        <f>IFERROR(VLOOKUP($A:$A,CS!$A:$AK,33,FALSE),"")</f>
      </c>
      <c r="U321" s="57">
        <f>IFERROR(VLOOKUP($A:$A,CS!$A:$AK,34,FALSE),"")</f>
      </c>
      <c r="V321" s="57">
        <f>IFERROR(VLOOKUP($A:$A,CS!$A:$AK,35,FALSE),"")</f>
      </c>
      <c r="W321" s="57">
        <f>IFERROR(VLOOKUP($A:$A,CS!$A:$AK,36,FALSE),"")</f>
      </c>
    </row>
    <row r="322" ht="16.5" customHeight="1" spans="1:23" x14ac:dyDescent="0.25">
      <c r="A322" s="71"/>
      <c r="B322" s="57">
        <f>IFERROR(VLOOKUP($A:$A,CS!$A:$AK,3,FALSE),"")</f>
      </c>
      <c r="C322" s="57">
        <f>IFERROR(VLOOKUP($A:$A,CS!$A:$AK,4,FALSE),"")</f>
      </c>
      <c r="D322" s="57">
        <f>IFERROR(VLOOKUP($A:$A,CS!$A:$AK,5,FALSE),"")</f>
      </c>
      <c r="E322" s="57">
        <f>IFERROR(VLOOKUP($A:$A,CS!$A:$AK,7,FALSE),"")</f>
      </c>
      <c r="F322" s="57">
        <f>IFERROR(VLOOKUP($A:$A,CS!$A:$AK,8,FALSE),"")</f>
      </c>
      <c r="G322" s="57">
        <f>IFERROR(VLOOKUP($A:$A,CS!$A:$AK,10,FALSE),"")</f>
      </c>
      <c r="H322" s="57">
        <f>IFERROR(VLOOKUP($A:$A,CS!$A:$AK,14,FALSE),"")</f>
      </c>
      <c r="I322" s="57">
        <f>IFERROR(VLOOKUP($A:$A,CS!$A:$AK,15,FALSE),"")</f>
      </c>
      <c r="J322" s="57">
        <f>IFERROR(VLOOKUP($A:$A,CS!$A:$AK,18,FALSE),"")</f>
      </c>
      <c r="K322" s="57">
        <f>IFERROR(VLOOKUP($A:$A,CS!$A:$AK,19,FALSE),"")</f>
      </c>
      <c r="L322" s="57">
        <f>IFERROR(VLOOKUP($A:$A,CS!$A:$AK,20,FALSE),"")</f>
      </c>
      <c r="M322" s="57">
        <f>IFERROR(VLOOKUP($A:$A,CS!$A:$AK,22,FALSE),"")</f>
      </c>
      <c r="N322" s="57">
        <f>IFERROR(VLOOKUP($A:$A,CS!$A:$AK,19,FALSE),"")</f>
      </c>
      <c r="O322" s="57">
        <f>IFERROR(VLOOKUP($A:$A,CS!$A:$AK,23,FALSE),"")</f>
      </c>
      <c r="P322" s="57">
        <f>IFERROR(VLOOKUP($A:$A,CS!$A:$AK,24,FALSE),"")</f>
      </c>
      <c r="Q322" s="57">
        <f>IFERROR(VLOOKUP($A:$A,CS!$A:$AK,25,FALSE),"")</f>
      </c>
      <c r="R322" s="57">
        <f>IFERROR(VLOOKUP($A:$A,CS!$A:$AK,26,FALSE),"")</f>
      </c>
      <c r="S322" s="57">
        <f>IFERROR(VLOOKUP($A:$A,CS!$A:$AK,29,FALSE),"")</f>
      </c>
      <c r="T322" s="57">
        <f>IFERROR(VLOOKUP($A:$A,CS!$A:$AK,33,FALSE),"")</f>
      </c>
      <c r="U322" s="57">
        <f>IFERROR(VLOOKUP($A:$A,CS!$A:$AK,34,FALSE),"")</f>
      </c>
      <c r="V322" s="57">
        <f>IFERROR(VLOOKUP($A:$A,CS!$A:$AK,35,FALSE),"")</f>
      </c>
      <c r="W322" s="57">
        <f>IFERROR(VLOOKUP($A:$A,CS!$A:$AK,36,FALSE),"")</f>
      </c>
    </row>
    <row r="323" ht="16.5" customHeight="1" spans="1:23" x14ac:dyDescent="0.25">
      <c r="A323" s="71"/>
      <c r="B323" s="57">
        <f>IFERROR(VLOOKUP($A:$A,CS!$A:$AK,3,FALSE),"")</f>
      </c>
      <c r="C323" s="57">
        <f>IFERROR(VLOOKUP($A:$A,CS!$A:$AK,4,FALSE),"")</f>
      </c>
      <c r="D323" s="57">
        <f>IFERROR(VLOOKUP($A:$A,CS!$A:$AK,5,FALSE),"")</f>
      </c>
      <c r="E323" s="57">
        <f>IFERROR(VLOOKUP($A:$A,CS!$A:$AK,7,FALSE),"")</f>
      </c>
      <c r="F323" s="57">
        <f>IFERROR(VLOOKUP($A:$A,CS!$A:$AK,8,FALSE),"")</f>
      </c>
      <c r="G323" s="57">
        <f>IFERROR(VLOOKUP($A:$A,CS!$A:$AK,10,FALSE),"")</f>
      </c>
      <c r="H323" s="57">
        <f>IFERROR(VLOOKUP($A:$A,CS!$A:$AK,14,FALSE),"")</f>
      </c>
      <c r="I323" s="57">
        <f>IFERROR(VLOOKUP($A:$A,CS!$A:$AK,15,FALSE),"")</f>
      </c>
      <c r="J323" s="57">
        <f>IFERROR(VLOOKUP($A:$A,CS!$A:$AK,18,FALSE),"")</f>
      </c>
      <c r="K323" s="57">
        <f>IFERROR(VLOOKUP($A:$A,CS!$A:$AK,19,FALSE),"")</f>
      </c>
      <c r="L323" s="57">
        <f>IFERROR(VLOOKUP($A:$A,CS!$A:$AK,20,FALSE),"")</f>
      </c>
      <c r="M323" s="57">
        <f>IFERROR(VLOOKUP($A:$A,CS!$A:$AK,22,FALSE),"")</f>
      </c>
      <c r="N323" s="57">
        <f>IFERROR(VLOOKUP($A:$A,CS!$A:$AK,19,FALSE),"")</f>
      </c>
      <c r="O323" s="57">
        <f>IFERROR(VLOOKUP($A:$A,CS!$A:$AK,23,FALSE),"")</f>
      </c>
      <c r="P323" s="57">
        <f>IFERROR(VLOOKUP($A:$A,CS!$A:$AK,24,FALSE),"")</f>
      </c>
      <c r="Q323" s="57">
        <f>IFERROR(VLOOKUP($A:$A,CS!$A:$AK,25,FALSE),"")</f>
      </c>
      <c r="R323" s="57">
        <f>IFERROR(VLOOKUP($A:$A,CS!$A:$AK,26,FALSE),"")</f>
      </c>
      <c r="S323" s="57">
        <f>IFERROR(VLOOKUP($A:$A,CS!$A:$AK,29,FALSE),"")</f>
      </c>
      <c r="T323" s="57">
        <f>IFERROR(VLOOKUP($A:$A,CS!$A:$AK,33,FALSE),"")</f>
      </c>
      <c r="U323" s="57">
        <f>IFERROR(VLOOKUP($A:$A,CS!$A:$AK,34,FALSE),"")</f>
      </c>
      <c r="V323" s="57">
        <f>IFERROR(VLOOKUP($A:$A,CS!$A:$AK,35,FALSE),"")</f>
      </c>
      <c r="W323" s="57">
        <f>IFERROR(VLOOKUP($A:$A,CS!$A:$AK,36,FALSE),"")</f>
      </c>
    </row>
    <row r="324" ht="16.5" customHeight="1" spans="1:23" x14ac:dyDescent="0.25">
      <c r="A324" s="71"/>
      <c r="B324" s="57">
        <f>IFERROR(VLOOKUP($A:$A,CS!$A:$AK,3,FALSE),"")</f>
      </c>
      <c r="C324" s="57">
        <f>IFERROR(VLOOKUP($A:$A,CS!$A:$AK,4,FALSE),"")</f>
      </c>
      <c r="D324" s="57">
        <f>IFERROR(VLOOKUP($A:$A,CS!$A:$AK,5,FALSE),"")</f>
      </c>
      <c r="E324" s="57">
        <f>IFERROR(VLOOKUP($A:$A,CS!$A:$AK,7,FALSE),"")</f>
      </c>
      <c r="F324" s="57">
        <f>IFERROR(VLOOKUP($A:$A,CS!$A:$AK,8,FALSE),"")</f>
      </c>
      <c r="G324" s="57">
        <f>IFERROR(VLOOKUP($A:$A,CS!$A:$AK,10,FALSE),"")</f>
      </c>
      <c r="H324" s="57">
        <f>IFERROR(VLOOKUP($A:$A,CS!$A:$AK,14,FALSE),"")</f>
      </c>
      <c r="I324" s="57">
        <f>IFERROR(VLOOKUP($A:$A,CS!$A:$AK,15,FALSE),"")</f>
      </c>
      <c r="J324" s="57">
        <f>IFERROR(VLOOKUP($A:$A,CS!$A:$AK,18,FALSE),"")</f>
      </c>
      <c r="K324" s="57">
        <f>IFERROR(VLOOKUP($A:$A,CS!$A:$AK,19,FALSE),"")</f>
      </c>
      <c r="L324" s="57">
        <f>IFERROR(VLOOKUP($A:$A,CS!$A:$AK,20,FALSE),"")</f>
      </c>
      <c r="M324" s="57">
        <f>IFERROR(VLOOKUP($A:$A,CS!$A:$AK,22,FALSE),"")</f>
      </c>
      <c r="N324" s="57">
        <f>IFERROR(VLOOKUP($A:$A,CS!$A:$AK,19,FALSE),"")</f>
      </c>
      <c r="O324" s="57">
        <f>IFERROR(VLOOKUP($A:$A,CS!$A:$AK,23,FALSE),"")</f>
      </c>
      <c r="P324" s="57">
        <f>IFERROR(VLOOKUP($A:$A,CS!$A:$AK,24,FALSE),"")</f>
      </c>
      <c r="Q324" s="57">
        <f>IFERROR(VLOOKUP($A:$A,CS!$A:$AK,25,FALSE),"")</f>
      </c>
      <c r="R324" s="57">
        <f>IFERROR(VLOOKUP($A:$A,CS!$A:$AK,26,FALSE),"")</f>
      </c>
      <c r="S324" s="57">
        <f>IFERROR(VLOOKUP($A:$A,CS!$A:$AK,29,FALSE),"")</f>
      </c>
      <c r="T324" s="57">
        <f>IFERROR(VLOOKUP($A:$A,CS!$A:$AK,33,FALSE),"")</f>
      </c>
      <c r="U324" s="57">
        <f>IFERROR(VLOOKUP($A:$A,CS!$A:$AK,34,FALSE),"")</f>
      </c>
      <c r="V324" s="57">
        <f>IFERROR(VLOOKUP($A:$A,CS!$A:$AK,35,FALSE),"")</f>
      </c>
      <c r="W324" s="57">
        <f>IFERROR(VLOOKUP($A:$A,CS!$A:$AK,36,FALSE),"")</f>
      </c>
    </row>
    <row r="325" ht="16.5" customHeight="1" spans="1:23" x14ac:dyDescent="0.25">
      <c r="A325" s="71"/>
      <c r="B325" s="57">
        <f>IFERROR(VLOOKUP($A:$A,CS!$A:$AK,3,FALSE),"")</f>
      </c>
      <c r="C325" s="57">
        <f>IFERROR(VLOOKUP($A:$A,CS!$A:$AK,4,FALSE),"")</f>
      </c>
      <c r="D325" s="57">
        <f>IFERROR(VLOOKUP($A:$A,CS!$A:$AK,5,FALSE),"")</f>
      </c>
      <c r="E325" s="57">
        <f>IFERROR(VLOOKUP($A:$A,CS!$A:$AK,7,FALSE),"")</f>
      </c>
      <c r="F325" s="57">
        <f>IFERROR(VLOOKUP($A:$A,CS!$A:$AK,8,FALSE),"")</f>
      </c>
      <c r="G325" s="57">
        <f>IFERROR(VLOOKUP($A:$A,CS!$A:$AK,10,FALSE),"")</f>
      </c>
      <c r="H325" s="57">
        <f>IFERROR(VLOOKUP($A:$A,CS!$A:$AK,14,FALSE),"")</f>
      </c>
      <c r="I325" s="57">
        <f>IFERROR(VLOOKUP($A:$A,CS!$A:$AK,15,FALSE),"")</f>
      </c>
      <c r="J325" s="57">
        <f>IFERROR(VLOOKUP($A:$A,CS!$A:$AK,18,FALSE),"")</f>
      </c>
      <c r="K325" s="57">
        <f>IFERROR(VLOOKUP($A:$A,CS!$A:$AK,19,FALSE),"")</f>
      </c>
      <c r="L325" s="57">
        <f>IFERROR(VLOOKUP($A:$A,CS!$A:$AK,20,FALSE),"")</f>
      </c>
      <c r="M325" s="57">
        <f>IFERROR(VLOOKUP($A:$A,CS!$A:$AK,22,FALSE),"")</f>
      </c>
      <c r="N325" s="57">
        <f>IFERROR(VLOOKUP($A:$A,CS!$A:$AK,19,FALSE),"")</f>
      </c>
      <c r="O325" s="57">
        <f>IFERROR(VLOOKUP($A:$A,CS!$A:$AK,23,FALSE),"")</f>
      </c>
      <c r="P325" s="57">
        <f>IFERROR(VLOOKUP($A:$A,CS!$A:$AK,24,FALSE),"")</f>
      </c>
      <c r="Q325" s="57">
        <f>IFERROR(VLOOKUP($A:$A,CS!$A:$AK,25,FALSE),"")</f>
      </c>
      <c r="R325" s="57">
        <f>IFERROR(VLOOKUP($A:$A,CS!$A:$AK,26,FALSE),"")</f>
      </c>
      <c r="S325" s="57">
        <f>IFERROR(VLOOKUP($A:$A,CS!$A:$AK,29,FALSE),"")</f>
      </c>
      <c r="T325" s="57">
        <f>IFERROR(VLOOKUP($A:$A,CS!$A:$AK,33,FALSE),"")</f>
      </c>
      <c r="U325" s="57">
        <f>IFERROR(VLOOKUP($A:$A,CS!$A:$AK,34,FALSE),"")</f>
      </c>
      <c r="V325" s="57">
        <f>IFERROR(VLOOKUP($A:$A,CS!$A:$AK,35,FALSE),"")</f>
      </c>
      <c r="W325" s="57">
        <f>IFERROR(VLOOKUP($A:$A,CS!$A:$AK,36,FALSE),"")</f>
      </c>
    </row>
    <row r="326" ht="16.5" customHeight="1" spans="1:23" x14ac:dyDescent="0.25">
      <c r="A326" s="71"/>
      <c r="B326" s="57">
        <f>IFERROR(VLOOKUP($A:$A,CS!$A:$AK,3,FALSE),"")</f>
      </c>
      <c r="C326" s="57">
        <f>IFERROR(VLOOKUP($A:$A,CS!$A:$AK,4,FALSE),"")</f>
      </c>
      <c r="D326" s="57">
        <f>IFERROR(VLOOKUP($A:$A,CS!$A:$AK,5,FALSE),"")</f>
      </c>
      <c r="E326" s="57">
        <f>IFERROR(VLOOKUP($A:$A,CS!$A:$AK,7,FALSE),"")</f>
      </c>
      <c r="F326" s="57">
        <f>IFERROR(VLOOKUP($A:$A,CS!$A:$AK,8,FALSE),"")</f>
      </c>
      <c r="G326" s="57">
        <f>IFERROR(VLOOKUP($A:$A,CS!$A:$AK,10,FALSE),"")</f>
      </c>
      <c r="H326" s="57">
        <f>IFERROR(VLOOKUP($A:$A,CS!$A:$AK,14,FALSE),"")</f>
      </c>
      <c r="I326" s="57">
        <f>IFERROR(VLOOKUP($A:$A,CS!$A:$AK,15,FALSE),"")</f>
      </c>
      <c r="J326" s="57">
        <f>IFERROR(VLOOKUP($A:$A,CS!$A:$AK,18,FALSE),"")</f>
      </c>
      <c r="K326" s="57">
        <f>IFERROR(VLOOKUP($A:$A,CS!$A:$AK,19,FALSE),"")</f>
      </c>
      <c r="L326" s="57">
        <f>IFERROR(VLOOKUP($A:$A,CS!$A:$AK,20,FALSE),"")</f>
      </c>
      <c r="M326" s="57">
        <f>IFERROR(VLOOKUP($A:$A,CS!$A:$AK,22,FALSE),"")</f>
      </c>
      <c r="N326" s="57">
        <f>IFERROR(VLOOKUP($A:$A,CS!$A:$AK,19,FALSE),"")</f>
      </c>
      <c r="O326" s="57">
        <f>IFERROR(VLOOKUP($A:$A,CS!$A:$AK,23,FALSE),"")</f>
      </c>
      <c r="P326" s="57">
        <f>IFERROR(VLOOKUP($A:$A,CS!$A:$AK,24,FALSE),"")</f>
      </c>
      <c r="Q326" s="57">
        <f>IFERROR(VLOOKUP($A:$A,CS!$A:$AK,25,FALSE),"")</f>
      </c>
      <c r="R326" s="57">
        <f>IFERROR(VLOOKUP($A:$A,CS!$A:$AK,26,FALSE),"")</f>
      </c>
      <c r="S326" s="57">
        <f>IFERROR(VLOOKUP($A:$A,CS!$A:$AK,29,FALSE),"")</f>
      </c>
      <c r="T326" s="57">
        <f>IFERROR(VLOOKUP($A:$A,CS!$A:$AK,33,FALSE),"")</f>
      </c>
      <c r="U326" s="57">
        <f>IFERROR(VLOOKUP($A:$A,CS!$A:$AK,34,FALSE),"")</f>
      </c>
      <c r="V326" s="57">
        <f>IFERROR(VLOOKUP($A:$A,CS!$A:$AK,35,FALSE),"")</f>
      </c>
      <c r="W326" s="57">
        <f>IFERROR(VLOOKUP($A:$A,CS!$A:$AK,36,FALSE),"")</f>
      </c>
    </row>
    <row r="327" ht="16.5" customHeight="1" spans="1:23" x14ac:dyDescent="0.25">
      <c r="A327" s="71"/>
      <c r="B327" s="57">
        <f>IFERROR(VLOOKUP($A:$A,CS!$A:$AK,3,FALSE),"")</f>
      </c>
      <c r="C327" s="57">
        <f>IFERROR(VLOOKUP($A:$A,CS!$A:$AK,4,FALSE),"")</f>
      </c>
      <c r="D327" s="57">
        <f>IFERROR(VLOOKUP($A:$A,CS!$A:$AK,5,FALSE),"")</f>
      </c>
      <c r="E327" s="57">
        <f>IFERROR(VLOOKUP($A:$A,CS!$A:$AK,7,FALSE),"")</f>
      </c>
      <c r="F327" s="57">
        <f>IFERROR(VLOOKUP($A:$A,CS!$A:$AK,8,FALSE),"")</f>
      </c>
      <c r="G327" s="57">
        <f>IFERROR(VLOOKUP($A:$A,CS!$A:$AK,10,FALSE),"")</f>
      </c>
      <c r="H327" s="57">
        <f>IFERROR(VLOOKUP($A:$A,CS!$A:$AK,14,FALSE),"")</f>
      </c>
      <c r="I327" s="57">
        <f>IFERROR(VLOOKUP($A:$A,CS!$A:$AK,15,FALSE),"")</f>
      </c>
      <c r="J327" s="57">
        <f>IFERROR(VLOOKUP($A:$A,CS!$A:$AK,18,FALSE),"")</f>
      </c>
      <c r="K327" s="57">
        <f>IFERROR(VLOOKUP($A:$A,CS!$A:$AK,19,FALSE),"")</f>
      </c>
      <c r="L327" s="57">
        <f>IFERROR(VLOOKUP($A:$A,CS!$A:$AK,20,FALSE),"")</f>
      </c>
      <c r="M327" s="57">
        <f>IFERROR(VLOOKUP($A:$A,CS!$A:$AK,22,FALSE),"")</f>
      </c>
      <c r="N327" s="57">
        <f>IFERROR(VLOOKUP($A:$A,CS!$A:$AK,19,FALSE),"")</f>
      </c>
      <c r="O327" s="57">
        <f>IFERROR(VLOOKUP($A:$A,CS!$A:$AK,23,FALSE),"")</f>
      </c>
      <c r="P327" s="57">
        <f>IFERROR(VLOOKUP($A:$A,CS!$A:$AK,24,FALSE),"")</f>
      </c>
      <c r="Q327" s="57">
        <f>IFERROR(VLOOKUP($A:$A,CS!$A:$AK,25,FALSE),"")</f>
      </c>
      <c r="R327" s="57">
        <f>IFERROR(VLOOKUP($A:$A,CS!$A:$AK,26,FALSE),"")</f>
      </c>
      <c r="S327" s="57">
        <f>IFERROR(VLOOKUP($A:$A,CS!$A:$AK,29,FALSE),"")</f>
      </c>
      <c r="T327" s="57">
        <f>IFERROR(VLOOKUP($A:$A,CS!$A:$AK,33,FALSE),"")</f>
      </c>
      <c r="U327" s="57">
        <f>IFERROR(VLOOKUP($A:$A,CS!$A:$AK,34,FALSE),"")</f>
      </c>
      <c r="V327" s="57">
        <f>IFERROR(VLOOKUP($A:$A,CS!$A:$AK,35,FALSE),"")</f>
      </c>
      <c r="W327" s="57">
        <f>IFERROR(VLOOKUP($A:$A,CS!$A:$AK,36,FALSE),"")</f>
      </c>
    </row>
    <row r="328" ht="16.5" customHeight="1" spans="1:23" x14ac:dyDescent="0.25">
      <c r="A328" s="71"/>
      <c r="B328" s="57">
        <f>IFERROR(VLOOKUP($A:$A,CS!$A:$AK,3,FALSE),"")</f>
      </c>
      <c r="C328" s="57">
        <f>IFERROR(VLOOKUP($A:$A,CS!$A:$AK,4,FALSE),"")</f>
      </c>
      <c r="D328" s="57">
        <f>IFERROR(VLOOKUP($A:$A,CS!$A:$AK,5,FALSE),"")</f>
      </c>
      <c r="E328" s="57">
        <f>IFERROR(VLOOKUP($A:$A,CS!$A:$AK,7,FALSE),"")</f>
      </c>
      <c r="F328" s="57">
        <f>IFERROR(VLOOKUP($A:$A,CS!$A:$AK,8,FALSE),"")</f>
      </c>
      <c r="G328" s="57">
        <f>IFERROR(VLOOKUP($A:$A,CS!$A:$AK,10,FALSE),"")</f>
      </c>
      <c r="H328" s="57">
        <f>IFERROR(VLOOKUP($A:$A,CS!$A:$AK,14,FALSE),"")</f>
      </c>
      <c r="I328" s="57">
        <f>IFERROR(VLOOKUP($A:$A,CS!$A:$AK,15,FALSE),"")</f>
      </c>
      <c r="J328" s="57">
        <f>IFERROR(VLOOKUP($A:$A,CS!$A:$AK,18,FALSE),"")</f>
      </c>
      <c r="K328" s="57">
        <f>IFERROR(VLOOKUP($A:$A,CS!$A:$AK,19,FALSE),"")</f>
      </c>
      <c r="L328" s="57">
        <f>IFERROR(VLOOKUP($A:$A,CS!$A:$AK,20,FALSE),"")</f>
      </c>
      <c r="M328" s="57">
        <f>IFERROR(VLOOKUP($A:$A,CS!$A:$AK,22,FALSE),"")</f>
      </c>
      <c r="N328" s="57">
        <f>IFERROR(VLOOKUP($A:$A,CS!$A:$AK,19,FALSE),"")</f>
      </c>
      <c r="O328" s="57">
        <f>IFERROR(VLOOKUP($A:$A,CS!$A:$AK,23,FALSE),"")</f>
      </c>
      <c r="P328" s="57">
        <f>IFERROR(VLOOKUP($A:$A,CS!$A:$AK,24,FALSE),"")</f>
      </c>
      <c r="Q328" s="57">
        <f>IFERROR(VLOOKUP($A:$A,CS!$A:$AK,25,FALSE),"")</f>
      </c>
      <c r="R328" s="57">
        <f>IFERROR(VLOOKUP($A:$A,CS!$A:$AK,26,FALSE),"")</f>
      </c>
      <c r="S328" s="57">
        <f>IFERROR(VLOOKUP($A:$A,CS!$A:$AK,29,FALSE),"")</f>
      </c>
      <c r="T328" s="57">
        <f>IFERROR(VLOOKUP($A:$A,CS!$A:$AK,33,FALSE),"")</f>
      </c>
      <c r="U328" s="57">
        <f>IFERROR(VLOOKUP($A:$A,CS!$A:$AK,34,FALSE),"")</f>
      </c>
      <c r="V328" s="57">
        <f>IFERROR(VLOOKUP($A:$A,CS!$A:$AK,35,FALSE),"")</f>
      </c>
      <c r="W328" s="57">
        <f>IFERROR(VLOOKUP($A:$A,CS!$A:$AK,36,FALSE),"")</f>
      </c>
    </row>
    <row r="329" ht="16.5" customHeight="1" spans="1:23" x14ac:dyDescent="0.25">
      <c r="A329" s="71"/>
      <c r="B329" s="57">
        <f>IFERROR(VLOOKUP($A:$A,CS!$A:$AK,3,FALSE),"")</f>
      </c>
      <c r="C329" s="57">
        <f>IFERROR(VLOOKUP($A:$A,CS!$A:$AK,4,FALSE),"")</f>
      </c>
      <c r="D329" s="57">
        <f>IFERROR(VLOOKUP($A:$A,CS!$A:$AK,5,FALSE),"")</f>
      </c>
      <c r="E329" s="57">
        <f>IFERROR(VLOOKUP($A:$A,CS!$A:$AK,7,FALSE),"")</f>
      </c>
      <c r="F329" s="57">
        <f>IFERROR(VLOOKUP($A:$A,CS!$A:$AK,8,FALSE),"")</f>
      </c>
      <c r="G329" s="57">
        <f>IFERROR(VLOOKUP($A:$A,CS!$A:$AK,10,FALSE),"")</f>
      </c>
      <c r="H329" s="57">
        <f>IFERROR(VLOOKUP($A:$A,CS!$A:$AK,14,FALSE),"")</f>
      </c>
      <c r="I329" s="57">
        <f>IFERROR(VLOOKUP($A:$A,CS!$A:$AK,15,FALSE),"")</f>
      </c>
      <c r="J329" s="57">
        <f>IFERROR(VLOOKUP($A:$A,CS!$A:$AK,18,FALSE),"")</f>
      </c>
      <c r="K329" s="57">
        <f>IFERROR(VLOOKUP($A:$A,CS!$A:$AK,19,FALSE),"")</f>
      </c>
      <c r="L329" s="57">
        <f>IFERROR(VLOOKUP($A:$A,CS!$A:$AK,20,FALSE),"")</f>
      </c>
      <c r="M329" s="57">
        <f>IFERROR(VLOOKUP($A:$A,CS!$A:$AK,22,FALSE),"")</f>
      </c>
      <c r="N329" s="57">
        <f>IFERROR(VLOOKUP($A:$A,CS!$A:$AK,19,FALSE),"")</f>
      </c>
      <c r="O329" s="57">
        <f>IFERROR(VLOOKUP($A:$A,CS!$A:$AK,23,FALSE),"")</f>
      </c>
      <c r="P329" s="57">
        <f>IFERROR(VLOOKUP($A:$A,CS!$A:$AK,24,FALSE),"")</f>
      </c>
      <c r="Q329" s="57">
        <f>IFERROR(VLOOKUP($A:$A,CS!$A:$AK,25,FALSE),"")</f>
      </c>
      <c r="R329" s="57">
        <f>IFERROR(VLOOKUP($A:$A,CS!$A:$AK,26,FALSE),"")</f>
      </c>
      <c r="S329" s="57">
        <f>IFERROR(VLOOKUP($A:$A,CS!$A:$AK,29,FALSE),"")</f>
      </c>
      <c r="T329" s="57">
        <f>IFERROR(VLOOKUP($A:$A,CS!$A:$AK,33,FALSE),"")</f>
      </c>
      <c r="U329" s="57">
        <f>IFERROR(VLOOKUP($A:$A,CS!$A:$AK,34,FALSE),"")</f>
      </c>
      <c r="V329" s="57">
        <f>IFERROR(VLOOKUP($A:$A,CS!$A:$AK,35,FALSE),"")</f>
      </c>
      <c r="W329" s="57">
        <f>IFERROR(VLOOKUP($A:$A,CS!$A:$AK,36,FALSE),"")</f>
      </c>
    </row>
    <row r="330" ht="16.5" customHeight="1" spans="1:23" x14ac:dyDescent="0.25">
      <c r="A330" s="71"/>
      <c r="B330" s="57">
        <f>IFERROR(VLOOKUP($A:$A,CS!$A:$AK,3,FALSE),"")</f>
      </c>
      <c r="C330" s="57">
        <f>IFERROR(VLOOKUP($A:$A,CS!$A:$AK,4,FALSE),"")</f>
      </c>
      <c r="D330" s="57">
        <f>IFERROR(VLOOKUP($A:$A,CS!$A:$AK,5,FALSE),"")</f>
      </c>
      <c r="E330" s="57">
        <f>IFERROR(VLOOKUP($A:$A,CS!$A:$AK,7,FALSE),"")</f>
      </c>
      <c r="F330" s="57">
        <f>IFERROR(VLOOKUP($A:$A,CS!$A:$AK,8,FALSE),"")</f>
      </c>
      <c r="G330" s="57">
        <f>IFERROR(VLOOKUP($A:$A,CS!$A:$AK,10,FALSE),"")</f>
      </c>
      <c r="H330" s="57">
        <f>IFERROR(VLOOKUP($A:$A,CS!$A:$AK,14,FALSE),"")</f>
      </c>
      <c r="I330" s="57">
        <f>IFERROR(VLOOKUP($A:$A,CS!$A:$AK,15,FALSE),"")</f>
      </c>
      <c r="J330" s="57">
        <f>IFERROR(VLOOKUP($A:$A,CS!$A:$AK,18,FALSE),"")</f>
      </c>
      <c r="K330" s="57">
        <f>IFERROR(VLOOKUP($A:$A,CS!$A:$AK,19,FALSE),"")</f>
      </c>
      <c r="L330" s="57">
        <f>IFERROR(VLOOKUP($A:$A,CS!$A:$AK,20,FALSE),"")</f>
      </c>
      <c r="M330" s="57">
        <f>IFERROR(VLOOKUP($A:$A,CS!$A:$AK,22,FALSE),"")</f>
      </c>
      <c r="N330" s="57">
        <f>IFERROR(VLOOKUP($A:$A,CS!$A:$AK,19,FALSE),"")</f>
      </c>
      <c r="O330" s="57">
        <f>IFERROR(VLOOKUP($A:$A,CS!$A:$AK,23,FALSE),"")</f>
      </c>
      <c r="P330" s="57">
        <f>IFERROR(VLOOKUP($A:$A,CS!$A:$AK,24,FALSE),"")</f>
      </c>
      <c r="Q330" s="57">
        <f>IFERROR(VLOOKUP($A:$A,CS!$A:$AK,25,FALSE),"")</f>
      </c>
      <c r="R330" s="57">
        <f>IFERROR(VLOOKUP($A:$A,CS!$A:$AK,26,FALSE),"")</f>
      </c>
      <c r="S330" s="57">
        <f>IFERROR(VLOOKUP($A:$A,CS!$A:$AK,29,FALSE),"")</f>
      </c>
      <c r="T330" s="57">
        <f>IFERROR(VLOOKUP($A:$A,CS!$A:$AK,33,FALSE),"")</f>
      </c>
      <c r="U330" s="57">
        <f>IFERROR(VLOOKUP($A:$A,CS!$A:$AK,34,FALSE),"")</f>
      </c>
      <c r="V330" s="57">
        <f>IFERROR(VLOOKUP($A:$A,CS!$A:$AK,35,FALSE),"")</f>
      </c>
      <c r="W330" s="57">
        <f>IFERROR(VLOOKUP($A:$A,CS!$A:$AK,36,FALSE),"")</f>
      </c>
    </row>
    <row r="331" ht="16.5" customHeight="1" spans="1:23" x14ac:dyDescent="0.25">
      <c r="A331" s="71"/>
      <c r="B331" s="57">
        <f>IFERROR(VLOOKUP($A:$A,CS!$A:$AK,3,FALSE),"")</f>
      </c>
      <c r="C331" s="57">
        <f>IFERROR(VLOOKUP($A:$A,CS!$A:$AK,4,FALSE),"")</f>
      </c>
      <c r="D331" s="57">
        <f>IFERROR(VLOOKUP($A:$A,CS!$A:$AK,5,FALSE),"")</f>
      </c>
      <c r="E331" s="57">
        <f>IFERROR(VLOOKUP($A:$A,CS!$A:$AK,7,FALSE),"")</f>
      </c>
      <c r="F331" s="57">
        <f>IFERROR(VLOOKUP($A:$A,CS!$A:$AK,8,FALSE),"")</f>
      </c>
      <c r="G331" s="57">
        <f>IFERROR(VLOOKUP($A:$A,CS!$A:$AK,10,FALSE),"")</f>
      </c>
      <c r="H331" s="57">
        <f>IFERROR(VLOOKUP($A:$A,CS!$A:$AK,14,FALSE),"")</f>
      </c>
      <c r="I331" s="57">
        <f>IFERROR(VLOOKUP($A:$A,CS!$A:$AK,15,FALSE),"")</f>
      </c>
      <c r="J331" s="57">
        <f>IFERROR(VLOOKUP($A:$A,CS!$A:$AK,18,FALSE),"")</f>
      </c>
      <c r="K331" s="57">
        <f>IFERROR(VLOOKUP($A:$A,CS!$A:$AK,19,FALSE),"")</f>
      </c>
      <c r="L331" s="57">
        <f>IFERROR(VLOOKUP($A:$A,CS!$A:$AK,20,FALSE),"")</f>
      </c>
      <c r="M331" s="57">
        <f>IFERROR(VLOOKUP($A:$A,CS!$A:$AK,22,FALSE),"")</f>
      </c>
      <c r="N331" s="57">
        <f>IFERROR(VLOOKUP($A:$A,CS!$A:$AK,19,FALSE),"")</f>
      </c>
      <c r="O331" s="57">
        <f>IFERROR(VLOOKUP($A:$A,CS!$A:$AK,23,FALSE),"")</f>
      </c>
      <c r="P331" s="57">
        <f>IFERROR(VLOOKUP($A:$A,CS!$A:$AK,24,FALSE),"")</f>
      </c>
      <c r="Q331" s="57">
        <f>IFERROR(VLOOKUP($A:$A,CS!$A:$AK,25,FALSE),"")</f>
      </c>
      <c r="R331" s="57">
        <f>IFERROR(VLOOKUP($A:$A,CS!$A:$AK,26,FALSE),"")</f>
      </c>
      <c r="S331" s="57">
        <f>IFERROR(VLOOKUP($A:$A,CS!$A:$AK,29,FALSE),"")</f>
      </c>
      <c r="T331" s="57">
        <f>IFERROR(VLOOKUP($A:$A,CS!$A:$AK,33,FALSE),"")</f>
      </c>
      <c r="U331" s="57">
        <f>IFERROR(VLOOKUP($A:$A,CS!$A:$AK,34,FALSE),"")</f>
      </c>
      <c r="V331" s="57">
        <f>IFERROR(VLOOKUP($A:$A,CS!$A:$AK,35,FALSE),"")</f>
      </c>
      <c r="W331" s="57">
        <f>IFERROR(VLOOKUP($A:$A,CS!$A:$AK,36,FALSE),"")</f>
      </c>
    </row>
    <row r="332" ht="16.5" customHeight="1" spans="1:23" x14ac:dyDescent="0.25">
      <c r="A332" s="71"/>
      <c r="B332" s="57">
        <f>IFERROR(VLOOKUP($A:$A,CS!$A:$AK,3,FALSE),"")</f>
      </c>
      <c r="C332" s="57">
        <f>IFERROR(VLOOKUP($A:$A,CS!$A:$AK,4,FALSE),"")</f>
      </c>
      <c r="D332" s="57">
        <f>IFERROR(VLOOKUP($A:$A,CS!$A:$AK,5,FALSE),"")</f>
      </c>
      <c r="E332" s="57">
        <f>IFERROR(VLOOKUP($A:$A,CS!$A:$AK,7,FALSE),"")</f>
      </c>
      <c r="F332" s="57">
        <f>IFERROR(VLOOKUP($A:$A,CS!$A:$AK,8,FALSE),"")</f>
      </c>
      <c r="G332" s="57">
        <f>IFERROR(VLOOKUP($A:$A,CS!$A:$AK,10,FALSE),"")</f>
      </c>
      <c r="H332" s="57">
        <f>IFERROR(VLOOKUP($A:$A,CS!$A:$AK,14,FALSE),"")</f>
      </c>
      <c r="I332" s="57">
        <f>IFERROR(VLOOKUP($A:$A,CS!$A:$AK,15,FALSE),"")</f>
      </c>
      <c r="J332" s="57">
        <f>IFERROR(VLOOKUP($A:$A,CS!$A:$AK,18,FALSE),"")</f>
      </c>
      <c r="K332" s="57">
        <f>IFERROR(VLOOKUP($A:$A,CS!$A:$AK,19,FALSE),"")</f>
      </c>
      <c r="L332" s="57">
        <f>IFERROR(VLOOKUP($A:$A,CS!$A:$AK,20,FALSE),"")</f>
      </c>
      <c r="M332" s="57">
        <f>IFERROR(VLOOKUP($A:$A,CS!$A:$AK,22,FALSE),"")</f>
      </c>
      <c r="N332" s="57">
        <f>IFERROR(VLOOKUP($A:$A,CS!$A:$AK,19,FALSE),"")</f>
      </c>
      <c r="O332" s="57">
        <f>IFERROR(VLOOKUP($A:$A,CS!$A:$AK,23,FALSE),"")</f>
      </c>
      <c r="P332" s="57">
        <f>IFERROR(VLOOKUP($A:$A,CS!$A:$AK,24,FALSE),"")</f>
      </c>
      <c r="Q332" s="57">
        <f>IFERROR(VLOOKUP($A:$A,CS!$A:$AK,25,FALSE),"")</f>
      </c>
      <c r="R332" s="57">
        <f>IFERROR(VLOOKUP($A:$A,CS!$A:$AK,26,FALSE),"")</f>
      </c>
      <c r="S332" s="57">
        <f>IFERROR(VLOOKUP($A:$A,CS!$A:$AK,29,FALSE),"")</f>
      </c>
      <c r="T332" s="57">
        <f>IFERROR(VLOOKUP($A:$A,CS!$A:$AK,33,FALSE),"")</f>
      </c>
      <c r="U332" s="57">
        <f>IFERROR(VLOOKUP($A:$A,CS!$A:$AK,34,FALSE),"")</f>
      </c>
      <c r="V332" s="57">
        <f>IFERROR(VLOOKUP($A:$A,CS!$A:$AK,35,FALSE),"")</f>
      </c>
      <c r="W332" s="57">
        <f>IFERROR(VLOOKUP($A:$A,CS!$A:$AK,36,FALSE),"")</f>
      </c>
    </row>
    <row r="333" ht="16.5" customHeight="1" spans="1:23" x14ac:dyDescent="0.25">
      <c r="A333" s="71"/>
      <c r="B333" s="57">
        <f>IFERROR(VLOOKUP($A:$A,CS!$A:$AK,3,FALSE),"")</f>
      </c>
      <c r="C333" s="57">
        <f>IFERROR(VLOOKUP($A:$A,CS!$A:$AK,4,FALSE),"")</f>
      </c>
      <c r="D333" s="57">
        <f>IFERROR(VLOOKUP($A:$A,CS!$A:$AK,5,FALSE),"")</f>
      </c>
      <c r="E333" s="57">
        <f>IFERROR(VLOOKUP($A:$A,CS!$A:$AK,7,FALSE),"")</f>
      </c>
      <c r="F333" s="57">
        <f>IFERROR(VLOOKUP($A:$A,CS!$A:$AK,8,FALSE),"")</f>
      </c>
      <c r="G333" s="57">
        <f>IFERROR(VLOOKUP($A:$A,CS!$A:$AK,10,FALSE),"")</f>
      </c>
      <c r="H333" s="57">
        <f>IFERROR(VLOOKUP($A:$A,CS!$A:$AK,14,FALSE),"")</f>
      </c>
      <c r="I333" s="57">
        <f>IFERROR(VLOOKUP($A:$A,CS!$A:$AK,15,FALSE),"")</f>
      </c>
      <c r="J333" s="57">
        <f>IFERROR(VLOOKUP($A:$A,CS!$A:$AK,18,FALSE),"")</f>
      </c>
      <c r="K333" s="57">
        <f>IFERROR(VLOOKUP($A:$A,CS!$A:$AK,19,FALSE),"")</f>
      </c>
      <c r="L333" s="57">
        <f>IFERROR(VLOOKUP($A:$A,CS!$A:$AK,20,FALSE),"")</f>
      </c>
      <c r="M333" s="57">
        <f>IFERROR(VLOOKUP($A:$A,CS!$A:$AK,22,FALSE),"")</f>
      </c>
      <c r="N333" s="57">
        <f>IFERROR(VLOOKUP($A:$A,CS!$A:$AK,19,FALSE),"")</f>
      </c>
      <c r="O333" s="57">
        <f>IFERROR(VLOOKUP($A:$A,CS!$A:$AK,23,FALSE),"")</f>
      </c>
      <c r="P333" s="57">
        <f>IFERROR(VLOOKUP($A:$A,CS!$A:$AK,24,FALSE),"")</f>
      </c>
      <c r="Q333" s="57">
        <f>IFERROR(VLOOKUP($A:$A,CS!$A:$AK,25,FALSE),"")</f>
      </c>
      <c r="R333" s="57">
        <f>IFERROR(VLOOKUP($A:$A,CS!$A:$AK,26,FALSE),"")</f>
      </c>
      <c r="S333" s="57">
        <f>IFERROR(VLOOKUP($A:$A,CS!$A:$AK,29,FALSE),"")</f>
      </c>
      <c r="T333" s="57">
        <f>IFERROR(VLOOKUP($A:$A,CS!$A:$AK,33,FALSE),"")</f>
      </c>
      <c r="U333" s="57">
        <f>IFERROR(VLOOKUP($A:$A,CS!$A:$AK,34,FALSE),"")</f>
      </c>
      <c r="V333" s="57">
        <f>IFERROR(VLOOKUP($A:$A,CS!$A:$AK,35,FALSE),"")</f>
      </c>
      <c r="W333" s="57">
        <f>IFERROR(VLOOKUP($A:$A,CS!$A:$AK,36,FALSE),"")</f>
      </c>
    </row>
    <row r="334" ht="16.5" customHeight="1" spans="1:23" x14ac:dyDescent="0.25">
      <c r="A334" s="71"/>
      <c r="B334" s="57">
        <f>IFERROR(VLOOKUP($A:$A,CS!$A:$AK,3,FALSE),"")</f>
      </c>
      <c r="C334" s="57">
        <f>IFERROR(VLOOKUP($A:$A,CS!$A:$AK,4,FALSE),"")</f>
      </c>
      <c r="D334" s="57">
        <f>IFERROR(VLOOKUP($A:$A,CS!$A:$AK,5,FALSE),"")</f>
      </c>
      <c r="E334" s="57">
        <f>IFERROR(VLOOKUP($A:$A,CS!$A:$AK,7,FALSE),"")</f>
      </c>
      <c r="F334" s="57">
        <f>IFERROR(VLOOKUP($A:$A,CS!$A:$AK,8,FALSE),"")</f>
      </c>
      <c r="G334" s="57">
        <f>IFERROR(VLOOKUP($A:$A,CS!$A:$AK,10,FALSE),"")</f>
      </c>
      <c r="H334" s="57">
        <f>IFERROR(VLOOKUP($A:$A,CS!$A:$AK,14,FALSE),"")</f>
      </c>
      <c r="I334" s="57">
        <f>IFERROR(VLOOKUP($A:$A,CS!$A:$AK,15,FALSE),"")</f>
      </c>
      <c r="J334" s="57">
        <f>IFERROR(VLOOKUP($A:$A,CS!$A:$AK,18,FALSE),"")</f>
      </c>
      <c r="K334" s="57">
        <f>IFERROR(VLOOKUP($A:$A,CS!$A:$AK,19,FALSE),"")</f>
      </c>
      <c r="L334" s="57">
        <f>IFERROR(VLOOKUP($A:$A,CS!$A:$AK,20,FALSE),"")</f>
      </c>
      <c r="M334" s="57">
        <f>IFERROR(VLOOKUP($A:$A,CS!$A:$AK,22,FALSE),"")</f>
      </c>
      <c r="N334" s="57">
        <f>IFERROR(VLOOKUP($A:$A,CS!$A:$AK,19,FALSE),"")</f>
      </c>
      <c r="O334" s="57">
        <f>IFERROR(VLOOKUP($A:$A,CS!$A:$AK,23,FALSE),"")</f>
      </c>
      <c r="P334" s="57">
        <f>IFERROR(VLOOKUP($A:$A,CS!$A:$AK,24,FALSE),"")</f>
      </c>
      <c r="Q334" s="57">
        <f>IFERROR(VLOOKUP($A:$A,CS!$A:$AK,25,FALSE),"")</f>
      </c>
      <c r="R334" s="57">
        <f>IFERROR(VLOOKUP($A:$A,CS!$A:$AK,26,FALSE),"")</f>
      </c>
      <c r="S334" s="57">
        <f>IFERROR(VLOOKUP($A:$A,CS!$A:$AK,29,FALSE),"")</f>
      </c>
      <c r="T334" s="57">
        <f>IFERROR(VLOOKUP($A:$A,CS!$A:$AK,33,FALSE),"")</f>
      </c>
      <c r="U334" s="57">
        <f>IFERROR(VLOOKUP($A:$A,CS!$A:$AK,34,FALSE),"")</f>
      </c>
      <c r="V334" s="57">
        <f>IFERROR(VLOOKUP($A:$A,CS!$A:$AK,35,FALSE),"")</f>
      </c>
      <c r="W334" s="57">
        <f>IFERROR(VLOOKUP($A:$A,CS!$A:$AK,36,FALSE),"")</f>
      </c>
    </row>
    <row r="335" ht="16.5" customHeight="1" spans="1:23" x14ac:dyDescent="0.25">
      <c r="A335" s="71"/>
      <c r="B335" s="57">
        <f>IFERROR(VLOOKUP($A:$A,CS!$A:$AK,3,FALSE),"")</f>
      </c>
      <c r="C335" s="57">
        <f>IFERROR(VLOOKUP($A:$A,CS!$A:$AK,4,FALSE),"")</f>
      </c>
      <c r="D335" s="57">
        <f>IFERROR(VLOOKUP($A:$A,CS!$A:$AK,5,FALSE),"")</f>
      </c>
      <c r="E335" s="57">
        <f>IFERROR(VLOOKUP($A:$A,CS!$A:$AK,7,FALSE),"")</f>
      </c>
      <c r="F335" s="57">
        <f>IFERROR(VLOOKUP($A:$A,CS!$A:$AK,8,FALSE),"")</f>
      </c>
      <c r="G335" s="57">
        <f>IFERROR(VLOOKUP($A:$A,CS!$A:$AK,10,FALSE),"")</f>
      </c>
      <c r="H335" s="57">
        <f>IFERROR(VLOOKUP($A:$A,CS!$A:$AK,14,FALSE),"")</f>
      </c>
      <c r="I335" s="57">
        <f>IFERROR(VLOOKUP($A:$A,CS!$A:$AK,15,FALSE),"")</f>
      </c>
      <c r="J335" s="57">
        <f>IFERROR(VLOOKUP($A:$A,CS!$A:$AK,18,FALSE),"")</f>
      </c>
      <c r="K335" s="57">
        <f>IFERROR(VLOOKUP($A:$A,CS!$A:$AK,19,FALSE),"")</f>
      </c>
      <c r="L335" s="57">
        <f>IFERROR(VLOOKUP($A:$A,CS!$A:$AK,20,FALSE),"")</f>
      </c>
      <c r="M335" s="57">
        <f>IFERROR(VLOOKUP($A:$A,CS!$A:$AK,22,FALSE),"")</f>
      </c>
      <c r="N335" s="57">
        <f>IFERROR(VLOOKUP($A:$A,CS!$A:$AK,19,FALSE),"")</f>
      </c>
      <c r="O335" s="57">
        <f>IFERROR(VLOOKUP($A:$A,CS!$A:$AK,23,FALSE),"")</f>
      </c>
      <c r="P335" s="57">
        <f>IFERROR(VLOOKUP($A:$A,CS!$A:$AK,24,FALSE),"")</f>
      </c>
      <c r="Q335" s="57">
        <f>IFERROR(VLOOKUP($A:$A,CS!$A:$AK,25,FALSE),"")</f>
      </c>
      <c r="R335" s="57">
        <f>IFERROR(VLOOKUP($A:$A,CS!$A:$AK,26,FALSE),"")</f>
      </c>
      <c r="S335" s="57">
        <f>IFERROR(VLOOKUP($A:$A,CS!$A:$AK,29,FALSE),"")</f>
      </c>
      <c r="T335" s="57">
        <f>IFERROR(VLOOKUP($A:$A,CS!$A:$AK,33,FALSE),"")</f>
      </c>
      <c r="U335" s="57">
        <f>IFERROR(VLOOKUP($A:$A,CS!$A:$AK,34,FALSE),"")</f>
      </c>
      <c r="V335" s="57">
        <f>IFERROR(VLOOKUP($A:$A,CS!$A:$AK,35,FALSE),"")</f>
      </c>
      <c r="W335" s="57">
        <f>IFERROR(VLOOKUP($A:$A,CS!$A:$AK,36,FALSE),"")</f>
      </c>
    </row>
    <row r="336" ht="16.5" customHeight="1" spans="1:23" x14ac:dyDescent="0.25">
      <c r="A336" s="71"/>
      <c r="B336" s="57">
        <f>IFERROR(VLOOKUP($A:$A,CS!$A:$AK,3,FALSE),"")</f>
      </c>
      <c r="C336" s="57">
        <f>IFERROR(VLOOKUP($A:$A,CS!$A:$AK,4,FALSE),"")</f>
      </c>
      <c r="D336" s="57">
        <f>IFERROR(VLOOKUP($A:$A,CS!$A:$AK,5,FALSE),"")</f>
      </c>
      <c r="E336" s="57">
        <f>IFERROR(VLOOKUP($A:$A,CS!$A:$AK,7,FALSE),"")</f>
      </c>
      <c r="F336" s="57">
        <f>IFERROR(VLOOKUP($A:$A,CS!$A:$AK,8,FALSE),"")</f>
      </c>
      <c r="G336" s="57">
        <f>IFERROR(VLOOKUP($A:$A,CS!$A:$AK,10,FALSE),"")</f>
      </c>
      <c r="H336" s="57">
        <f>IFERROR(VLOOKUP($A:$A,CS!$A:$AK,14,FALSE),"")</f>
      </c>
      <c r="I336" s="57">
        <f>IFERROR(VLOOKUP($A:$A,CS!$A:$AK,15,FALSE),"")</f>
      </c>
      <c r="J336" s="57">
        <f>IFERROR(VLOOKUP($A:$A,CS!$A:$AK,18,FALSE),"")</f>
      </c>
      <c r="K336" s="57">
        <f>IFERROR(VLOOKUP($A:$A,CS!$A:$AK,19,FALSE),"")</f>
      </c>
      <c r="L336" s="57">
        <f>IFERROR(VLOOKUP($A:$A,CS!$A:$AK,20,FALSE),"")</f>
      </c>
      <c r="M336" s="57">
        <f>IFERROR(VLOOKUP($A:$A,CS!$A:$AK,22,FALSE),"")</f>
      </c>
      <c r="N336" s="57">
        <f>IFERROR(VLOOKUP($A:$A,CS!$A:$AK,19,FALSE),"")</f>
      </c>
      <c r="O336" s="57">
        <f>IFERROR(VLOOKUP($A:$A,CS!$A:$AK,23,FALSE),"")</f>
      </c>
      <c r="P336" s="57">
        <f>IFERROR(VLOOKUP($A:$A,CS!$A:$AK,24,FALSE),"")</f>
      </c>
      <c r="Q336" s="57">
        <f>IFERROR(VLOOKUP($A:$A,CS!$A:$AK,25,FALSE),"")</f>
      </c>
      <c r="R336" s="57">
        <f>IFERROR(VLOOKUP($A:$A,CS!$A:$AK,26,FALSE),"")</f>
      </c>
      <c r="S336" s="57">
        <f>IFERROR(VLOOKUP($A:$A,CS!$A:$AK,29,FALSE),"")</f>
      </c>
      <c r="T336" s="57">
        <f>IFERROR(VLOOKUP($A:$A,CS!$A:$AK,33,FALSE),"")</f>
      </c>
      <c r="U336" s="57">
        <f>IFERROR(VLOOKUP($A:$A,CS!$A:$AK,34,FALSE),"")</f>
      </c>
      <c r="V336" s="57">
        <f>IFERROR(VLOOKUP($A:$A,CS!$A:$AK,35,FALSE),"")</f>
      </c>
      <c r="W336" s="57">
        <f>IFERROR(VLOOKUP($A:$A,CS!$A:$AK,36,FALSE),"")</f>
      </c>
    </row>
    <row r="337" ht="16.5" customHeight="1" spans="1:23" x14ac:dyDescent="0.25">
      <c r="A337" s="71"/>
      <c r="B337" s="57">
        <f>IFERROR(VLOOKUP($A:$A,CS!$A:$AK,3,FALSE),"")</f>
      </c>
      <c r="C337" s="57">
        <f>IFERROR(VLOOKUP($A:$A,CS!$A:$AK,4,FALSE),"")</f>
      </c>
      <c r="D337" s="57">
        <f>IFERROR(VLOOKUP($A:$A,CS!$A:$AK,5,FALSE),"")</f>
      </c>
      <c r="E337" s="57">
        <f>IFERROR(VLOOKUP($A:$A,CS!$A:$AK,7,FALSE),"")</f>
      </c>
      <c r="F337" s="57">
        <f>IFERROR(VLOOKUP($A:$A,CS!$A:$AK,8,FALSE),"")</f>
      </c>
      <c r="G337" s="57">
        <f>IFERROR(VLOOKUP($A:$A,CS!$A:$AK,10,FALSE),"")</f>
      </c>
      <c r="H337" s="57">
        <f>IFERROR(VLOOKUP($A:$A,CS!$A:$AK,14,FALSE),"")</f>
      </c>
      <c r="I337" s="57">
        <f>IFERROR(VLOOKUP($A:$A,CS!$A:$AK,15,FALSE),"")</f>
      </c>
      <c r="J337" s="57">
        <f>IFERROR(VLOOKUP($A:$A,CS!$A:$AK,18,FALSE),"")</f>
      </c>
      <c r="K337" s="57">
        <f>IFERROR(VLOOKUP($A:$A,CS!$A:$AK,19,FALSE),"")</f>
      </c>
      <c r="L337" s="57">
        <f>IFERROR(VLOOKUP($A:$A,CS!$A:$AK,20,FALSE),"")</f>
      </c>
      <c r="M337" s="57">
        <f>IFERROR(VLOOKUP($A:$A,CS!$A:$AK,22,FALSE),"")</f>
      </c>
      <c r="N337" s="57">
        <f>IFERROR(VLOOKUP($A:$A,CS!$A:$AK,19,FALSE),"")</f>
      </c>
      <c r="O337" s="57">
        <f>IFERROR(VLOOKUP($A:$A,CS!$A:$AK,23,FALSE),"")</f>
      </c>
      <c r="P337" s="57">
        <f>IFERROR(VLOOKUP($A:$A,CS!$A:$AK,24,FALSE),"")</f>
      </c>
      <c r="Q337" s="57">
        <f>IFERROR(VLOOKUP($A:$A,CS!$A:$AK,25,FALSE),"")</f>
      </c>
      <c r="R337" s="57">
        <f>IFERROR(VLOOKUP($A:$A,CS!$A:$AK,26,FALSE),"")</f>
      </c>
      <c r="S337" s="57">
        <f>IFERROR(VLOOKUP($A:$A,CS!$A:$AK,29,FALSE),"")</f>
      </c>
      <c r="T337" s="57">
        <f>IFERROR(VLOOKUP($A:$A,CS!$A:$AK,33,FALSE),"")</f>
      </c>
      <c r="U337" s="57">
        <f>IFERROR(VLOOKUP($A:$A,CS!$A:$AK,34,FALSE),"")</f>
      </c>
      <c r="V337" s="57">
        <f>IFERROR(VLOOKUP($A:$A,CS!$A:$AK,35,FALSE),"")</f>
      </c>
      <c r="W337" s="57">
        <f>IFERROR(VLOOKUP($A:$A,CS!$A:$AK,36,FALSE),"")</f>
      </c>
    </row>
    <row r="338" ht="16.5" customHeight="1" spans="1:23" x14ac:dyDescent="0.25">
      <c r="A338" s="71"/>
      <c r="B338" s="57">
        <f>IFERROR(VLOOKUP($A:$A,CS!$A:$AK,3,FALSE),"")</f>
      </c>
      <c r="C338" s="57">
        <f>IFERROR(VLOOKUP($A:$A,CS!$A:$AK,4,FALSE),"")</f>
      </c>
      <c r="D338" s="57">
        <f>IFERROR(VLOOKUP($A:$A,CS!$A:$AK,5,FALSE),"")</f>
      </c>
      <c r="E338" s="57">
        <f>IFERROR(VLOOKUP($A:$A,CS!$A:$AK,7,FALSE),"")</f>
      </c>
      <c r="F338" s="57">
        <f>IFERROR(VLOOKUP($A:$A,CS!$A:$AK,8,FALSE),"")</f>
      </c>
      <c r="G338" s="57">
        <f>IFERROR(VLOOKUP($A:$A,CS!$A:$AK,10,FALSE),"")</f>
      </c>
      <c r="H338" s="57">
        <f>IFERROR(VLOOKUP($A:$A,CS!$A:$AK,14,FALSE),"")</f>
      </c>
      <c r="I338" s="57">
        <f>IFERROR(VLOOKUP($A:$A,CS!$A:$AK,15,FALSE),"")</f>
      </c>
      <c r="J338" s="57">
        <f>IFERROR(VLOOKUP($A:$A,CS!$A:$AK,18,FALSE),"")</f>
      </c>
      <c r="K338" s="57">
        <f>IFERROR(VLOOKUP($A:$A,CS!$A:$AK,19,FALSE),"")</f>
      </c>
      <c r="L338" s="57">
        <f>IFERROR(VLOOKUP($A:$A,CS!$A:$AK,20,FALSE),"")</f>
      </c>
      <c r="M338" s="57">
        <f>IFERROR(VLOOKUP($A:$A,CS!$A:$AK,22,FALSE),"")</f>
      </c>
      <c r="N338" s="57">
        <f>IFERROR(VLOOKUP($A:$A,CS!$A:$AK,19,FALSE),"")</f>
      </c>
      <c r="O338" s="57">
        <f>IFERROR(VLOOKUP($A:$A,CS!$A:$AK,23,FALSE),"")</f>
      </c>
      <c r="P338" s="57">
        <f>IFERROR(VLOOKUP($A:$A,CS!$A:$AK,24,FALSE),"")</f>
      </c>
      <c r="Q338" s="57">
        <f>IFERROR(VLOOKUP($A:$A,CS!$A:$AK,25,FALSE),"")</f>
      </c>
      <c r="R338" s="57">
        <f>IFERROR(VLOOKUP($A:$A,CS!$A:$AK,26,FALSE),"")</f>
      </c>
      <c r="S338" s="57">
        <f>IFERROR(VLOOKUP($A:$A,CS!$A:$AK,29,FALSE),"")</f>
      </c>
      <c r="T338" s="57">
        <f>IFERROR(VLOOKUP($A:$A,CS!$A:$AK,33,FALSE),"")</f>
      </c>
      <c r="U338" s="57">
        <f>IFERROR(VLOOKUP($A:$A,CS!$A:$AK,34,FALSE),"")</f>
      </c>
      <c r="V338" s="57">
        <f>IFERROR(VLOOKUP($A:$A,CS!$A:$AK,35,FALSE),"")</f>
      </c>
      <c r="W338" s="57">
        <f>IFERROR(VLOOKUP($A:$A,CS!$A:$AK,36,FALSE),"")</f>
      </c>
    </row>
    <row r="339" ht="16.5" customHeight="1" spans="1:23" x14ac:dyDescent="0.25">
      <c r="A339" s="71"/>
      <c r="B339" s="57">
        <f>IFERROR(VLOOKUP($A:$A,CS!$A:$AK,3,FALSE),"")</f>
      </c>
      <c r="C339" s="57">
        <f>IFERROR(VLOOKUP($A:$A,CS!$A:$AK,4,FALSE),"")</f>
      </c>
      <c r="D339" s="57">
        <f>IFERROR(VLOOKUP($A:$A,CS!$A:$AK,5,FALSE),"")</f>
      </c>
      <c r="E339" s="57">
        <f>IFERROR(VLOOKUP($A:$A,CS!$A:$AK,7,FALSE),"")</f>
      </c>
      <c r="F339" s="57">
        <f>IFERROR(VLOOKUP($A:$A,CS!$A:$AK,8,FALSE),"")</f>
      </c>
      <c r="G339" s="57">
        <f>IFERROR(VLOOKUP($A:$A,CS!$A:$AK,10,FALSE),"")</f>
      </c>
      <c r="H339" s="57">
        <f>IFERROR(VLOOKUP($A:$A,CS!$A:$AK,14,FALSE),"")</f>
      </c>
      <c r="I339" s="57">
        <f>IFERROR(VLOOKUP($A:$A,CS!$A:$AK,15,FALSE),"")</f>
      </c>
      <c r="J339" s="57">
        <f>IFERROR(VLOOKUP($A:$A,CS!$A:$AK,18,FALSE),"")</f>
      </c>
      <c r="K339" s="57">
        <f>IFERROR(VLOOKUP($A:$A,CS!$A:$AK,19,FALSE),"")</f>
      </c>
      <c r="L339" s="57">
        <f>IFERROR(VLOOKUP($A:$A,CS!$A:$AK,20,FALSE),"")</f>
      </c>
      <c r="M339" s="57">
        <f>IFERROR(VLOOKUP($A:$A,CS!$A:$AK,22,FALSE),"")</f>
      </c>
      <c r="N339" s="57">
        <f>IFERROR(VLOOKUP($A:$A,CS!$A:$AK,19,FALSE),"")</f>
      </c>
      <c r="O339" s="57">
        <f>IFERROR(VLOOKUP($A:$A,CS!$A:$AK,23,FALSE),"")</f>
      </c>
      <c r="P339" s="57">
        <f>IFERROR(VLOOKUP($A:$A,CS!$A:$AK,24,FALSE),"")</f>
      </c>
      <c r="Q339" s="57">
        <f>IFERROR(VLOOKUP($A:$A,CS!$A:$AK,25,FALSE),"")</f>
      </c>
      <c r="R339" s="57">
        <f>IFERROR(VLOOKUP($A:$A,CS!$A:$AK,26,FALSE),"")</f>
      </c>
      <c r="S339" s="57">
        <f>IFERROR(VLOOKUP($A:$A,CS!$A:$AK,29,FALSE),"")</f>
      </c>
      <c r="T339" s="57">
        <f>IFERROR(VLOOKUP($A:$A,CS!$A:$AK,33,FALSE),"")</f>
      </c>
      <c r="U339" s="57">
        <f>IFERROR(VLOOKUP($A:$A,CS!$A:$AK,34,FALSE),"")</f>
      </c>
      <c r="V339" s="57">
        <f>IFERROR(VLOOKUP($A:$A,CS!$A:$AK,35,FALSE),"")</f>
      </c>
      <c r="W339" s="57">
        <f>IFERROR(VLOOKUP($A:$A,CS!$A:$AK,36,FALSE),"")</f>
      </c>
    </row>
    <row r="340" ht="16.5" customHeight="1" spans="1:23" x14ac:dyDescent="0.25">
      <c r="A340" s="71"/>
      <c r="B340" s="57">
        <f>IFERROR(VLOOKUP($A:$A,CS!$A:$AK,3,FALSE),"")</f>
      </c>
      <c r="C340" s="57">
        <f>IFERROR(VLOOKUP($A:$A,CS!$A:$AK,4,FALSE),"")</f>
      </c>
      <c r="D340" s="57">
        <f>IFERROR(VLOOKUP($A:$A,CS!$A:$AK,5,FALSE),"")</f>
      </c>
      <c r="E340" s="57">
        <f>IFERROR(VLOOKUP($A:$A,CS!$A:$AK,7,FALSE),"")</f>
      </c>
      <c r="F340" s="57">
        <f>IFERROR(VLOOKUP($A:$A,CS!$A:$AK,8,FALSE),"")</f>
      </c>
      <c r="G340" s="57">
        <f>IFERROR(VLOOKUP($A:$A,CS!$A:$AK,10,FALSE),"")</f>
      </c>
      <c r="H340" s="57">
        <f>IFERROR(VLOOKUP($A:$A,CS!$A:$AK,14,FALSE),"")</f>
      </c>
      <c r="I340" s="57">
        <f>IFERROR(VLOOKUP($A:$A,CS!$A:$AK,15,FALSE),"")</f>
      </c>
      <c r="J340" s="57">
        <f>IFERROR(VLOOKUP($A:$A,CS!$A:$AK,18,FALSE),"")</f>
      </c>
      <c r="K340" s="57">
        <f>IFERROR(VLOOKUP($A:$A,CS!$A:$AK,19,FALSE),"")</f>
      </c>
      <c r="L340" s="57">
        <f>IFERROR(VLOOKUP($A:$A,CS!$A:$AK,20,FALSE),"")</f>
      </c>
      <c r="M340" s="57">
        <f>IFERROR(VLOOKUP($A:$A,CS!$A:$AK,22,FALSE),"")</f>
      </c>
      <c r="N340" s="57">
        <f>IFERROR(VLOOKUP($A:$A,CS!$A:$AK,19,FALSE),"")</f>
      </c>
      <c r="O340" s="57">
        <f>IFERROR(VLOOKUP($A:$A,CS!$A:$AK,23,FALSE),"")</f>
      </c>
      <c r="P340" s="57">
        <f>IFERROR(VLOOKUP($A:$A,CS!$A:$AK,24,FALSE),"")</f>
      </c>
      <c r="Q340" s="57">
        <f>IFERROR(VLOOKUP($A:$A,CS!$A:$AK,25,FALSE),"")</f>
      </c>
      <c r="R340" s="57">
        <f>IFERROR(VLOOKUP($A:$A,CS!$A:$AK,26,FALSE),"")</f>
      </c>
      <c r="S340" s="57">
        <f>IFERROR(VLOOKUP($A:$A,CS!$A:$AK,29,FALSE),"")</f>
      </c>
      <c r="T340" s="57">
        <f>IFERROR(VLOOKUP($A:$A,CS!$A:$AK,33,FALSE),"")</f>
      </c>
      <c r="U340" s="57">
        <f>IFERROR(VLOOKUP($A:$A,CS!$A:$AK,34,FALSE),"")</f>
      </c>
      <c r="V340" s="57">
        <f>IFERROR(VLOOKUP($A:$A,CS!$A:$AK,35,FALSE),"")</f>
      </c>
      <c r="W340" s="57">
        <f>IFERROR(VLOOKUP($A:$A,CS!$A:$AK,36,FALSE),"")</f>
      </c>
    </row>
    <row r="341" ht="16.5" customHeight="1" spans="1:23" x14ac:dyDescent="0.25">
      <c r="A341" s="71"/>
      <c r="B341" s="57">
        <f>IFERROR(VLOOKUP($A:$A,CS!$A:$AK,3,FALSE),"")</f>
      </c>
      <c r="C341" s="57">
        <f>IFERROR(VLOOKUP($A:$A,CS!$A:$AK,4,FALSE),"")</f>
      </c>
      <c r="D341" s="57">
        <f>IFERROR(VLOOKUP($A:$A,CS!$A:$AK,5,FALSE),"")</f>
      </c>
      <c r="E341" s="57">
        <f>IFERROR(VLOOKUP($A:$A,CS!$A:$AK,7,FALSE),"")</f>
      </c>
      <c r="F341" s="57">
        <f>IFERROR(VLOOKUP($A:$A,CS!$A:$AK,8,FALSE),"")</f>
      </c>
      <c r="G341" s="57">
        <f>IFERROR(VLOOKUP($A:$A,CS!$A:$AK,10,FALSE),"")</f>
      </c>
      <c r="H341" s="57">
        <f>IFERROR(VLOOKUP($A:$A,CS!$A:$AK,14,FALSE),"")</f>
      </c>
      <c r="I341" s="57">
        <f>IFERROR(VLOOKUP($A:$A,CS!$A:$AK,15,FALSE),"")</f>
      </c>
      <c r="J341" s="57">
        <f>IFERROR(VLOOKUP($A:$A,CS!$A:$AK,18,FALSE),"")</f>
      </c>
      <c r="K341" s="57">
        <f>IFERROR(VLOOKUP($A:$A,CS!$A:$AK,19,FALSE),"")</f>
      </c>
      <c r="L341" s="57">
        <f>IFERROR(VLOOKUP($A:$A,CS!$A:$AK,20,FALSE),"")</f>
      </c>
      <c r="M341" s="57">
        <f>IFERROR(VLOOKUP($A:$A,CS!$A:$AK,22,FALSE),"")</f>
      </c>
      <c r="N341" s="57">
        <f>IFERROR(VLOOKUP($A:$A,CS!$A:$AK,19,FALSE),"")</f>
      </c>
      <c r="O341" s="57">
        <f>IFERROR(VLOOKUP($A:$A,CS!$A:$AK,23,FALSE),"")</f>
      </c>
      <c r="P341" s="57">
        <f>IFERROR(VLOOKUP($A:$A,CS!$A:$AK,24,FALSE),"")</f>
      </c>
      <c r="Q341" s="57">
        <f>IFERROR(VLOOKUP($A:$A,CS!$A:$AK,25,FALSE),"")</f>
      </c>
      <c r="R341" s="57">
        <f>IFERROR(VLOOKUP($A:$A,CS!$A:$AK,26,FALSE),"")</f>
      </c>
      <c r="S341" s="57">
        <f>IFERROR(VLOOKUP($A:$A,CS!$A:$AK,29,FALSE),"")</f>
      </c>
      <c r="T341" s="57">
        <f>IFERROR(VLOOKUP($A:$A,CS!$A:$AK,33,FALSE),"")</f>
      </c>
      <c r="U341" s="57">
        <f>IFERROR(VLOOKUP($A:$A,CS!$A:$AK,34,FALSE),"")</f>
      </c>
      <c r="V341" s="57">
        <f>IFERROR(VLOOKUP($A:$A,CS!$A:$AK,35,FALSE),"")</f>
      </c>
      <c r="W341" s="57">
        <f>IFERROR(VLOOKUP($A:$A,CS!$A:$AK,36,FALSE),"")</f>
      </c>
    </row>
    <row r="342" ht="16.5" customHeight="1" spans="1:23" x14ac:dyDescent="0.25">
      <c r="A342" s="71"/>
      <c r="B342" s="57">
        <f>IFERROR(VLOOKUP($A:$A,CS!$A:$AK,3,FALSE),"")</f>
      </c>
      <c r="C342" s="57">
        <f>IFERROR(VLOOKUP($A:$A,CS!$A:$AK,4,FALSE),"")</f>
      </c>
      <c r="D342" s="57">
        <f>IFERROR(VLOOKUP($A:$A,CS!$A:$AK,5,FALSE),"")</f>
      </c>
      <c r="E342" s="57">
        <f>IFERROR(VLOOKUP($A:$A,CS!$A:$AK,7,FALSE),"")</f>
      </c>
      <c r="F342" s="57">
        <f>IFERROR(VLOOKUP($A:$A,CS!$A:$AK,8,FALSE),"")</f>
      </c>
      <c r="G342" s="57">
        <f>IFERROR(VLOOKUP($A:$A,CS!$A:$AK,10,FALSE),"")</f>
      </c>
      <c r="H342" s="57">
        <f>IFERROR(VLOOKUP($A:$A,CS!$A:$AK,14,FALSE),"")</f>
      </c>
      <c r="I342" s="57">
        <f>IFERROR(VLOOKUP($A:$A,CS!$A:$AK,15,FALSE),"")</f>
      </c>
      <c r="J342" s="57">
        <f>IFERROR(VLOOKUP($A:$A,CS!$A:$AK,18,FALSE),"")</f>
      </c>
      <c r="K342" s="57">
        <f>IFERROR(VLOOKUP($A:$A,CS!$A:$AK,19,FALSE),"")</f>
      </c>
      <c r="L342" s="57">
        <f>IFERROR(VLOOKUP($A:$A,CS!$A:$AK,20,FALSE),"")</f>
      </c>
      <c r="M342" s="57">
        <f>IFERROR(VLOOKUP($A:$A,CS!$A:$AK,22,FALSE),"")</f>
      </c>
      <c r="N342" s="57">
        <f>IFERROR(VLOOKUP($A:$A,CS!$A:$AK,19,FALSE),"")</f>
      </c>
      <c r="O342" s="57">
        <f>IFERROR(VLOOKUP($A:$A,CS!$A:$AK,23,FALSE),"")</f>
      </c>
      <c r="P342" s="57">
        <f>IFERROR(VLOOKUP($A:$A,CS!$A:$AK,24,FALSE),"")</f>
      </c>
      <c r="Q342" s="57">
        <f>IFERROR(VLOOKUP($A:$A,CS!$A:$AK,25,FALSE),"")</f>
      </c>
      <c r="R342" s="57">
        <f>IFERROR(VLOOKUP($A:$A,CS!$A:$AK,26,FALSE),"")</f>
      </c>
      <c r="S342" s="57">
        <f>IFERROR(VLOOKUP($A:$A,CS!$A:$AK,29,FALSE),"")</f>
      </c>
      <c r="T342" s="57">
        <f>IFERROR(VLOOKUP($A:$A,CS!$A:$AK,33,FALSE),"")</f>
      </c>
      <c r="U342" s="57">
        <f>IFERROR(VLOOKUP($A:$A,CS!$A:$AK,34,FALSE),"")</f>
      </c>
      <c r="V342" s="57">
        <f>IFERROR(VLOOKUP($A:$A,CS!$A:$AK,35,FALSE),"")</f>
      </c>
      <c r="W342" s="57">
        <f>IFERROR(VLOOKUP($A:$A,CS!$A:$AK,36,FALSE),"")</f>
      </c>
    </row>
    <row r="343" ht="16.5" customHeight="1" spans="1:23" x14ac:dyDescent="0.25">
      <c r="A343" s="71"/>
      <c r="B343" s="57">
        <f>IFERROR(VLOOKUP($A:$A,CS!$A:$AK,3,FALSE),"")</f>
      </c>
      <c r="C343" s="57">
        <f>IFERROR(VLOOKUP($A:$A,CS!$A:$AK,4,FALSE),"")</f>
      </c>
      <c r="D343" s="57">
        <f>IFERROR(VLOOKUP($A:$A,CS!$A:$AK,5,FALSE),"")</f>
      </c>
      <c r="E343" s="57">
        <f>IFERROR(VLOOKUP($A:$A,CS!$A:$AK,7,FALSE),"")</f>
      </c>
      <c r="F343" s="57">
        <f>IFERROR(VLOOKUP($A:$A,CS!$A:$AK,8,FALSE),"")</f>
      </c>
      <c r="G343" s="57">
        <f>IFERROR(VLOOKUP($A:$A,CS!$A:$AK,10,FALSE),"")</f>
      </c>
      <c r="H343" s="57">
        <f>IFERROR(VLOOKUP($A:$A,CS!$A:$AK,14,FALSE),"")</f>
      </c>
      <c r="I343" s="57">
        <f>IFERROR(VLOOKUP($A:$A,CS!$A:$AK,15,FALSE),"")</f>
      </c>
      <c r="J343" s="57">
        <f>IFERROR(VLOOKUP($A:$A,CS!$A:$AK,18,FALSE),"")</f>
      </c>
      <c r="K343" s="57">
        <f>IFERROR(VLOOKUP($A:$A,CS!$A:$AK,19,FALSE),"")</f>
      </c>
      <c r="L343" s="57">
        <f>IFERROR(VLOOKUP($A:$A,CS!$A:$AK,20,FALSE),"")</f>
      </c>
      <c r="M343" s="57">
        <f>IFERROR(VLOOKUP($A:$A,CS!$A:$AK,22,FALSE),"")</f>
      </c>
      <c r="N343" s="57">
        <f>IFERROR(VLOOKUP($A:$A,CS!$A:$AK,19,FALSE),"")</f>
      </c>
      <c r="O343" s="57">
        <f>IFERROR(VLOOKUP($A:$A,CS!$A:$AK,23,FALSE),"")</f>
      </c>
      <c r="P343" s="57">
        <f>IFERROR(VLOOKUP($A:$A,CS!$A:$AK,24,FALSE),"")</f>
      </c>
      <c r="Q343" s="57">
        <f>IFERROR(VLOOKUP($A:$A,CS!$A:$AK,25,FALSE),"")</f>
      </c>
      <c r="R343" s="57">
        <f>IFERROR(VLOOKUP($A:$A,CS!$A:$AK,26,FALSE),"")</f>
      </c>
      <c r="S343" s="57">
        <f>IFERROR(VLOOKUP($A:$A,CS!$A:$AK,29,FALSE),"")</f>
      </c>
      <c r="T343" s="57">
        <f>IFERROR(VLOOKUP($A:$A,CS!$A:$AK,33,FALSE),"")</f>
      </c>
      <c r="U343" s="57">
        <f>IFERROR(VLOOKUP($A:$A,CS!$A:$AK,34,FALSE),"")</f>
      </c>
      <c r="V343" s="57">
        <f>IFERROR(VLOOKUP($A:$A,CS!$A:$AK,35,FALSE),"")</f>
      </c>
      <c r="W343" s="57">
        <f>IFERROR(VLOOKUP($A:$A,CS!$A:$AK,36,FALSE),"")</f>
      </c>
    </row>
    <row r="344" ht="16.5" customHeight="1" spans="1:23" x14ac:dyDescent="0.25">
      <c r="A344" s="71"/>
      <c r="B344" s="57">
        <f>IFERROR(VLOOKUP($A:$A,CS!$A:$AK,3,FALSE),"")</f>
      </c>
      <c r="C344" s="57">
        <f>IFERROR(VLOOKUP($A:$A,CS!$A:$AK,4,FALSE),"")</f>
      </c>
      <c r="D344" s="57">
        <f>IFERROR(VLOOKUP($A:$A,CS!$A:$AK,5,FALSE),"")</f>
      </c>
      <c r="E344" s="57">
        <f>IFERROR(VLOOKUP($A:$A,CS!$A:$AK,7,FALSE),"")</f>
      </c>
      <c r="F344" s="57">
        <f>IFERROR(VLOOKUP($A:$A,CS!$A:$AK,8,FALSE),"")</f>
      </c>
      <c r="G344" s="57">
        <f>IFERROR(VLOOKUP($A:$A,CS!$A:$AK,10,FALSE),"")</f>
      </c>
      <c r="H344" s="57">
        <f>IFERROR(VLOOKUP($A:$A,CS!$A:$AK,14,FALSE),"")</f>
      </c>
      <c r="I344" s="57">
        <f>IFERROR(VLOOKUP($A:$A,CS!$A:$AK,15,FALSE),"")</f>
      </c>
      <c r="J344" s="57">
        <f>IFERROR(VLOOKUP($A:$A,CS!$A:$AK,18,FALSE),"")</f>
      </c>
      <c r="K344" s="57">
        <f>IFERROR(VLOOKUP($A:$A,CS!$A:$AK,19,FALSE),"")</f>
      </c>
      <c r="L344" s="57">
        <f>IFERROR(VLOOKUP($A:$A,CS!$A:$AK,20,FALSE),"")</f>
      </c>
      <c r="M344" s="57">
        <f>IFERROR(VLOOKUP($A:$A,CS!$A:$AK,22,FALSE),"")</f>
      </c>
      <c r="N344" s="57">
        <f>IFERROR(VLOOKUP($A:$A,CS!$A:$AK,19,FALSE),"")</f>
      </c>
      <c r="O344" s="57">
        <f>IFERROR(VLOOKUP($A:$A,CS!$A:$AK,23,FALSE),"")</f>
      </c>
      <c r="P344" s="57">
        <f>IFERROR(VLOOKUP($A:$A,CS!$A:$AK,24,FALSE),"")</f>
      </c>
      <c r="Q344" s="57">
        <f>IFERROR(VLOOKUP($A:$A,CS!$A:$AK,25,FALSE),"")</f>
      </c>
      <c r="R344" s="57">
        <f>IFERROR(VLOOKUP($A:$A,CS!$A:$AK,26,FALSE),"")</f>
      </c>
      <c r="S344" s="57">
        <f>IFERROR(VLOOKUP($A:$A,CS!$A:$AK,29,FALSE),"")</f>
      </c>
      <c r="T344" s="57">
        <f>IFERROR(VLOOKUP($A:$A,CS!$A:$AK,33,FALSE),"")</f>
      </c>
      <c r="U344" s="57">
        <f>IFERROR(VLOOKUP($A:$A,CS!$A:$AK,34,FALSE),"")</f>
      </c>
      <c r="V344" s="57">
        <f>IFERROR(VLOOKUP($A:$A,CS!$A:$AK,35,FALSE),"")</f>
      </c>
      <c r="W344" s="57">
        <f>IFERROR(VLOOKUP($A:$A,CS!$A:$AK,36,FALSE),"")</f>
      </c>
    </row>
    <row r="345" ht="16.5" customHeight="1" spans="1:23" x14ac:dyDescent="0.25">
      <c r="A345" s="71"/>
      <c r="B345" s="57">
        <f>IFERROR(VLOOKUP($A:$A,CS!$A:$AK,3,FALSE),"")</f>
      </c>
      <c r="C345" s="57">
        <f>IFERROR(VLOOKUP($A:$A,CS!$A:$AK,4,FALSE),"")</f>
      </c>
      <c r="D345" s="57">
        <f>IFERROR(VLOOKUP($A:$A,CS!$A:$AK,5,FALSE),"")</f>
      </c>
      <c r="E345" s="57">
        <f>IFERROR(VLOOKUP($A:$A,CS!$A:$AK,7,FALSE),"")</f>
      </c>
      <c r="F345" s="57">
        <f>IFERROR(VLOOKUP($A:$A,CS!$A:$AK,8,FALSE),"")</f>
      </c>
      <c r="G345" s="57">
        <f>IFERROR(VLOOKUP($A:$A,CS!$A:$AK,10,FALSE),"")</f>
      </c>
      <c r="H345" s="57">
        <f>IFERROR(VLOOKUP($A:$A,CS!$A:$AK,14,FALSE),"")</f>
      </c>
      <c r="I345" s="57">
        <f>IFERROR(VLOOKUP($A:$A,CS!$A:$AK,15,FALSE),"")</f>
      </c>
      <c r="J345" s="57">
        <f>IFERROR(VLOOKUP($A:$A,CS!$A:$AK,18,FALSE),"")</f>
      </c>
      <c r="K345" s="57">
        <f>IFERROR(VLOOKUP($A:$A,CS!$A:$AK,19,FALSE),"")</f>
      </c>
      <c r="L345" s="57">
        <f>IFERROR(VLOOKUP($A:$A,CS!$A:$AK,20,FALSE),"")</f>
      </c>
      <c r="M345" s="57">
        <f>IFERROR(VLOOKUP($A:$A,CS!$A:$AK,22,FALSE),"")</f>
      </c>
      <c r="N345" s="57">
        <f>IFERROR(VLOOKUP($A:$A,CS!$A:$AK,19,FALSE),"")</f>
      </c>
      <c r="O345" s="57">
        <f>IFERROR(VLOOKUP($A:$A,CS!$A:$AK,23,FALSE),"")</f>
      </c>
      <c r="P345" s="57">
        <f>IFERROR(VLOOKUP($A:$A,CS!$A:$AK,24,FALSE),"")</f>
      </c>
      <c r="Q345" s="57">
        <f>IFERROR(VLOOKUP($A:$A,CS!$A:$AK,25,FALSE),"")</f>
      </c>
      <c r="R345" s="57">
        <f>IFERROR(VLOOKUP($A:$A,CS!$A:$AK,26,FALSE),"")</f>
      </c>
      <c r="S345" s="57">
        <f>IFERROR(VLOOKUP($A:$A,CS!$A:$AK,29,FALSE),"")</f>
      </c>
      <c r="T345" s="57">
        <f>IFERROR(VLOOKUP($A:$A,CS!$A:$AK,33,FALSE),"")</f>
      </c>
      <c r="U345" s="57">
        <f>IFERROR(VLOOKUP($A:$A,CS!$A:$AK,34,FALSE),"")</f>
      </c>
      <c r="V345" s="57">
        <f>IFERROR(VLOOKUP($A:$A,CS!$A:$AK,35,FALSE),"")</f>
      </c>
      <c r="W345" s="57">
        <f>IFERROR(VLOOKUP($A:$A,CS!$A:$AK,36,FALSE),"")</f>
      </c>
    </row>
    <row r="346" ht="16.5" customHeight="1" spans="1:23" x14ac:dyDescent="0.25">
      <c r="A346" s="71"/>
      <c r="B346" s="57">
        <f>IFERROR(VLOOKUP($A:$A,CS!$A:$AK,3,FALSE),"")</f>
      </c>
      <c r="C346" s="57">
        <f>IFERROR(VLOOKUP($A:$A,CS!$A:$AK,4,FALSE),"")</f>
      </c>
      <c r="D346" s="57">
        <f>IFERROR(VLOOKUP($A:$A,CS!$A:$AK,5,FALSE),"")</f>
      </c>
      <c r="E346" s="57">
        <f>IFERROR(VLOOKUP($A:$A,CS!$A:$AK,7,FALSE),"")</f>
      </c>
      <c r="F346" s="57">
        <f>IFERROR(VLOOKUP($A:$A,CS!$A:$AK,8,FALSE),"")</f>
      </c>
      <c r="G346" s="57">
        <f>IFERROR(VLOOKUP($A:$A,CS!$A:$AK,10,FALSE),"")</f>
      </c>
      <c r="H346" s="57">
        <f>IFERROR(VLOOKUP($A:$A,CS!$A:$AK,14,FALSE),"")</f>
      </c>
      <c r="I346" s="57">
        <f>IFERROR(VLOOKUP($A:$A,CS!$A:$AK,15,FALSE),"")</f>
      </c>
      <c r="J346" s="57">
        <f>IFERROR(VLOOKUP($A:$A,CS!$A:$AK,18,FALSE),"")</f>
      </c>
      <c r="K346" s="57">
        <f>IFERROR(VLOOKUP($A:$A,CS!$A:$AK,19,FALSE),"")</f>
      </c>
      <c r="L346" s="57">
        <f>IFERROR(VLOOKUP($A:$A,CS!$A:$AK,20,FALSE),"")</f>
      </c>
      <c r="M346" s="57">
        <f>IFERROR(VLOOKUP($A:$A,CS!$A:$AK,22,FALSE),"")</f>
      </c>
      <c r="N346" s="57">
        <f>IFERROR(VLOOKUP($A:$A,CS!$A:$AK,19,FALSE),"")</f>
      </c>
      <c r="O346" s="57">
        <f>IFERROR(VLOOKUP($A:$A,CS!$A:$AK,23,FALSE),"")</f>
      </c>
      <c r="P346" s="57">
        <f>IFERROR(VLOOKUP($A:$A,CS!$A:$AK,24,FALSE),"")</f>
      </c>
      <c r="Q346" s="57">
        <f>IFERROR(VLOOKUP($A:$A,CS!$A:$AK,25,FALSE),"")</f>
      </c>
      <c r="R346" s="57">
        <f>IFERROR(VLOOKUP($A:$A,CS!$A:$AK,26,FALSE),"")</f>
      </c>
      <c r="S346" s="57">
        <f>IFERROR(VLOOKUP($A:$A,CS!$A:$AK,29,FALSE),"")</f>
      </c>
      <c r="T346" s="57">
        <f>IFERROR(VLOOKUP($A:$A,CS!$A:$AK,33,FALSE),"")</f>
      </c>
      <c r="U346" s="57">
        <f>IFERROR(VLOOKUP($A:$A,CS!$A:$AK,34,FALSE),"")</f>
      </c>
      <c r="V346" s="57">
        <f>IFERROR(VLOOKUP($A:$A,CS!$A:$AK,35,FALSE),"")</f>
      </c>
      <c r="W346" s="57">
        <f>IFERROR(VLOOKUP($A:$A,CS!$A:$AK,36,FALSE),"")</f>
      </c>
    </row>
    <row r="347" ht="16.5" customHeight="1" spans="1:23" x14ac:dyDescent="0.25">
      <c r="A347" s="71"/>
      <c r="B347" s="57">
        <f>IFERROR(VLOOKUP($A:$A,CS!$A:$AK,3,FALSE),"")</f>
      </c>
      <c r="C347" s="57">
        <f>IFERROR(VLOOKUP($A:$A,CS!$A:$AK,4,FALSE),"")</f>
      </c>
      <c r="D347" s="57">
        <f>IFERROR(VLOOKUP($A:$A,CS!$A:$AK,5,FALSE),"")</f>
      </c>
      <c r="E347" s="57">
        <f>IFERROR(VLOOKUP($A:$A,CS!$A:$AK,7,FALSE),"")</f>
      </c>
      <c r="F347" s="57">
        <f>IFERROR(VLOOKUP($A:$A,CS!$A:$AK,8,FALSE),"")</f>
      </c>
      <c r="G347" s="57">
        <f>IFERROR(VLOOKUP($A:$A,CS!$A:$AK,10,FALSE),"")</f>
      </c>
      <c r="H347" s="57">
        <f>IFERROR(VLOOKUP($A:$A,CS!$A:$AK,14,FALSE),"")</f>
      </c>
      <c r="I347" s="57">
        <f>IFERROR(VLOOKUP($A:$A,CS!$A:$AK,15,FALSE),"")</f>
      </c>
      <c r="J347" s="57">
        <f>IFERROR(VLOOKUP($A:$A,CS!$A:$AK,18,FALSE),"")</f>
      </c>
      <c r="K347" s="57">
        <f>IFERROR(VLOOKUP($A:$A,CS!$A:$AK,19,FALSE),"")</f>
      </c>
      <c r="L347" s="57">
        <f>IFERROR(VLOOKUP($A:$A,CS!$A:$AK,20,FALSE),"")</f>
      </c>
      <c r="M347" s="57">
        <f>IFERROR(VLOOKUP($A:$A,CS!$A:$AK,22,FALSE),"")</f>
      </c>
      <c r="N347" s="57">
        <f>IFERROR(VLOOKUP($A:$A,CS!$A:$AK,19,FALSE),"")</f>
      </c>
      <c r="O347" s="57">
        <f>IFERROR(VLOOKUP($A:$A,CS!$A:$AK,23,FALSE),"")</f>
      </c>
      <c r="P347" s="57">
        <f>IFERROR(VLOOKUP($A:$A,CS!$A:$AK,24,FALSE),"")</f>
      </c>
      <c r="Q347" s="57">
        <f>IFERROR(VLOOKUP($A:$A,CS!$A:$AK,25,FALSE),"")</f>
      </c>
      <c r="R347" s="57">
        <f>IFERROR(VLOOKUP($A:$A,CS!$A:$AK,26,FALSE),"")</f>
      </c>
      <c r="S347" s="57">
        <f>IFERROR(VLOOKUP($A:$A,CS!$A:$AK,29,FALSE),"")</f>
      </c>
      <c r="T347" s="57">
        <f>IFERROR(VLOOKUP($A:$A,CS!$A:$AK,33,FALSE),"")</f>
      </c>
      <c r="U347" s="57">
        <f>IFERROR(VLOOKUP($A:$A,CS!$A:$AK,34,FALSE),"")</f>
      </c>
      <c r="V347" s="57">
        <f>IFERROR(VLOOKUP($A:$A,CS!$A:$AK,35,FALSE),"")</f>
      </c>
      <c r="W347" s="57">
        <f>IFERROR(VLOOKUP($A:$A,CS!$A:$AK,36,FALSE),"")</f>
      </c>
    </row>
    <row r="348" ht="16.5" customHeight="1" spans="1:23" x14ac:dyDescent="0.25">
      <c r="A348" s="71"/>
      <c r="B348" s="57">
        <f>IFERROR(VLOOKUP($A:$A,CS!$A:$AK,3,FALSE),"")</f>
      </c>
      <c r="C348" s="57">
        <f>IFERROR(VLOOKUP($A:$A,CS!$A:$AK,4,FALSE),"")</f>
      </c>
      <c r="D348" s="57">
        <f>IFERROR(VLOOKUP($A:$A,CS!$A:$AK,5,FALSE),"")</f>
      </c>
      <c r="E348" s="57">
        <f>IFERROR(VLOOKUP($A:$A,CS!$A:$AK,7,FALSE),"")</f>
      </c>
      <c r="F348" s="57">
        <f>IFERROR(VLOOKUP($A:$A,CS!$A:$AK,8,FALSE),"")</f>
      </c>
      <c r="G348" s="57">
        <f>IFERROR(VLOOKUP($A:$A,CS!$A:$AK,10,FALSE),"")</f>
      </c>
      <c r="H348" s="57">
        <f>IFERROR(VLOOKUP($A:$A,CS!$A:$AK,14,FALSE),"")</f>
      </c>
      <c r="I348" s="57">
        <f>IFERROR(VLOOKUP($A:$A,CS!$A:$AK,15,FALSE),"")</f>
      </c>
      <c r="J348" s="57">
        <f>IFERROR(VLOOKUP($A:$A,CS!$A:$AK,18,FALSE),"")</f>
      </c>
      <c r="K348" s="57">
        <f>IFERROR(VLOOKUP($A:$A,CS!$A:$AK,19,FALSE),"")</f>
      </c>
      <c r="L348" s="57">
        <f>IFERROR(VLOOKUP($A:$A,CS!$A:$AK,20,FALSE),"")</f>
      </c>
      <c r="M348" s="57">
        <f>IFERROR(VLOOKUP($A:$A,CS!$A:$AK,22,FALSE),"")</f>
      </c>
      <c r="N348" s="57">
        <f>IFERROR(VLOOKUP($A:$A,CS!$A:$AK,19,FALSE),"")</f>
      </c>
      <c r="O348" s="57">
        <f>IFERROR(VLOOKUP($A:$A,CS!$A:$AK,23,FALSE),"")</f>
      </c>
      <c r="P348" s="57">
        <f>IFERROR(VLOOKUP($A:$A,CS!$A:$AK,24,FALSE),"")</f>
      </c>
      <c r="Q348" s="57">
        <f>IFERROR(VLOOKUP($A:$A,CS!$A:$AK,25,FALSE),"")</f>
      </c>
      <c r="R348" s="57">
        <f>IFERROR(VLOOKUP($A:$A,CS!$A:$AK,26,FALSE),"")</f>
      </c>
      <c r="S348" s="57">
        <f>IFERROR(VLOOKUP($A:$A,CS!$A:$AK,29,FALSE),"")</f>
      </c>
      <c r="T348" s="57">
        <f>IFERROR(VLOOKUP($A:$A,CS!$A:$AK,33,FALSE),"")</f>
      </c>
      <c r="U348" s="57">
        <f>IFERROR(VLOOKUP($A:$A,CS!$A:$AK,34,FALSE),"")</f>
      </c>
      <c r="V348" s="57">
        <f>IFERROR(VLOOKUP($A:$A,CS!$A:$AK,35,FALSE),"")</f>
      </c>
      <c r="W348" s="57">
        <f>IFERROR(VLOOKUP($A:$A,CS!$A:$AK,36,FALSE),"")</f>
      </c>
    </row>
    <row r="349" ht="16.5" customHeight="1" spans="1:23" x14ac:dyDescent="0.25">
      <c r="A349" s="71"/>
      <c r="B349" s="57">
        <f>IFERROR(VLOOKUP($A:$A,CS!$A:$AK,3,FALSE),"")</f>
      </c>
      <c r="C349" s="57">
        <f>IFERROR(VLOOKUP($A:$A,CS!$A:$AK,4,FALSE),"")</f>
      </c>
      <c r="D349" s="57">
        <f>IFERROR(VLOOKUP($A:$A,CS!$A:$AK,5,FALSE),"")</f>
      </c>
      <c r="E349" s="57">
        <f>IFERROR(VLOOKUP($A:$A,CS!$A:$AK,7,FALSE),"")</f>
      </c>
      <c r="F349" s="57">
        <f>IFERROR(VLOOKUP($A:$A,CS!$A:$AK,8,FALSE),"")</f>
      </c>
      <c r="G349" s="57">
        <f>IFERROR(VLOOKUP($A:$A,CS!$A:$AK,10,FALSE),"")</f>
      </c>
      <c r="H349" s="57">
        <f>IFERROR(VLOOKUP($A:$A,CS!$A:$AK,14,FALSE),"")</f>
      </c>
      <c r="I349" s="57">
        <f>IFERROR(VLOOKUP($A:$A,CS!$A:$AK,15,FALSE),"")</f>
      </c>
      <c r="J349" s="57">
        <f>IFERROR(VLOOKUP($A:$A,CS!$A:$AK,18,FALSE),"")</f>
      </c>
      <c r="K349" s="57">
        <f>IFERROR(VLOOKUP($A:$A,CS!$A:$AK,19,FALSE),"")</f>
      </c>
      <c r="L349" s="57">
        <f>IFERROR(VLOOKUP($A:$A,CS!$A:$AK,20,FALSE),"")</f>
      </c>
      <c r="M349" s="57">
        <f>IFERROR(VLOOKUP($A:$A,CS!$A:$AK,22,FALSE),"")</f>
      </c>
      <c r="N349" s="57">
        <f>IFERROR(VLOOKUP($A:$A,CS!$A:$AK,19,FALSE),"")</f>
      </c>
      <c r="O349" s="57">
        <f>IFERROR(VLOOKUP($A:$A,CS!$A:$AK,23,FALSE),"")</f>
      </c>
      <c r="P349" s="57">
        <f>IFERROR(VLOOKUP($A:$A,CS!$A:$AK,24,FALSE),"")</f>
      </c>
      <c r="Q349" s="57">
        <f>IFERROR(VLOOKUP($A:$A,CS!$A:$AK,25,FALSE),"")</f>
      </c>
      <c r="R349" s="57">
        <f>IFERROR(VLOOKUP($A:$A,CS!$A:$AK,26,FALSE),"")</f>
      </c>
      <c r="S349" s="57">
        <f>IFERROR(VLOOKUP($A:$A,CS!$A:$AK,29,FALSE),"")</f>
      </c>
      <c r="T349" s="57">
        <f>IFERROR(VLOOKUP($A:$A,CS!$A:$AK,33,FALSE),"")</f>
      </c>
      <c r="U349" s="57">
        <f>IFERROR(VLOOKUP($A:$A,CS!$A:$AK,34,FALSE),"")</f>
      </c>
      <c r="V349" s="57">
        <f>IFERROR(VLOOKUP($A:$A,CS!$A:$AK,35,FALSE),"")</f>
      </c>
      <c r="W349" s="57">
        <f>IFERROR(VLOOKUP($A:$A,CS!$A:$AK,36,FALSE),"")</f>
      </c>
    </row>
    <row r="350" ht="16.5" customHeight="1" spans="1:23" x14ac:dyDescent="0.25">
      <c r="A350" s="71"/>
      <c r="B350" s="57">
        <f>IFERROR(VLOOKUP($A:$A,CS!$A:$AK,3,FALSE),"")</f>
      </c>
      <c r="C350" s="57">
        <f>IFERROR(VLOOKUP($A:$A,CS!$A:$AK,4,FALSE),"")</f>
      </c>
      <c r="D350" s="57">
        <f>IFERROR(VLOOKUP($A:$A,CS!$A:$AK,5,FALSE),"")</f>
      </c>
      <c r="E350" s="57">
        <f>IFERROR(VLOOKUP($A:$A,CS!$A:$AK,7,FALSE),"")</f>
      </c>
      <c r="F350" s="57">
        <f>IFERROR(VLOOKUP($A:$A,CS!$A:$AK,8,FALSE),"")</f>
      </c>
      <c r="G350" s="57">
        <f>IFERROR(VLOOKUP($A:$A,CS!$A:$AK,10,FALSE),"")</f>
      </c>
      <c r="H350" s="57">
        <f>IFERROR(VLOOKUP($A:$A,CS!$A:$AK,14,FALSE),"")</f>
      </c>
      <c r="I350" s="57">
        <f>IFERROR(VLOOKUP($A:$A,CS!$A:$AK,15,FALSE),"")</f>
      </c>
      <c r="J350" s="57">
        <f>IFERROR(VLOOKUP($A:$A,CS!$A:$AK,18,FALSE),"")</f>
      </c>
      <c r="K350" s="57">
        <f>IFERROR(VLOOKUP($A:$A,CS!$A:$AK,19,FALSE),"")</f>
      </c>
      <c r="L350" s="57">
        <f>IFERROR(VLOOKUP($A:$A,CS!$A:$AK,20,FALSE),"")</f>
      </c>
      <c r="M350" s="57">
        <f>IFERROR(VLOOKUP($A:$A,CS!$A:$AK,22,FALSE),"")</f>
      </c>
      <c r="N350" s="57">
        <f>IFERROR(VLOOKUP($A:$A,CS!$A:$AK,19,FALSE),"")</f>
      </c>
      <c r="O350" s="57">
        <f>IFERROR(VLOOKUP($A:$A,CS!$A:$AK,23,FALSE),"")</f>
      </c>
      <c r="P350" s="57">
        <f>IFERROR(VLOOKUP($A:$A,CS!$A:$AK,24,FALSE),"")</f>
      </c>
      <c r="Q350" s="57">
        <f>IFERROR(VLOOKUP($A:$A,CS!$A:$AK,25,FALSE),"")</f>
      </c>
      <c r="R350" s="57">
        <f>IFERROR(VLOOKUP($A:$A,CS!$A:$AK,26,FALSE),"")</f>
      </c>
      <c r="S350" s="57">
        <f>IFERROR(VLOOKUP($A:$A,CS!$A:$AK,29,FALSE),"")</f>
      </c>
      <c r="T350" s="57">
        <f>IFERROR(VLOOKUP($A:$A,CS!$A:$AK,33,FALSE),"")</f>
      </c>
      <c r="U350" s="57">
        <f>IFERROR(VLOOKUP($A:$A,CS!$A:$AK,34,FALSE),"")</f>
      </c>
      <c r="V350" s="57">
        <f>IFERROR(VLOOKUP($A:$A,CS!$A:$AK,35,FALSE),"")</f>
      </c>
      <c r="W350" s="57">
        <f>IFERROR(VLOOKUP($A:$A,CS!$A:$AK,36,FALSE),"")</f>
      </c>
    </row>
    <row r="351" ht="16.5" customHeight="1" spans="1:23" x14ac:dyDescent="0.25">
      <c r="A351" s="71"/>
      <c r="B351" s="57">
        <f>IFERROR(VLOOKUP($A:$A,CS!$A:$AK,3,FALSE),"")</f>
      </c>
      <c r="C351" s="57">
        <f>IFERROR(VLOOKUP($A:$A,CS!$A:$AK,4,FALSE),"")</f>
      </c>
      <c r="D351" s="57">
        <f>IFERROR(VLOOKUP($A:$A,CS!$A:$AK,5,FALSE),"")</f>
      </c>
      <c r="E351" s="57">
        <f>IFERROR(VLOOKUP($A:$A,CS!$A:$AK,7,FALSE),"")</f>
      </c>
      <c r="F351" s="57">
        <f>IFERROR(VLOOKUP($A:$A,CS!$A:$AK,8,FALSE),"")</f>
      </c>
      <c r="G351" s="57">
        <f>IFERROR(VLOOKUP($A:$A,CS!$A:$AK,10,FALSE),"")</f>
      </c>
      <c r="H351" s="57">
        <f>IFERROR(VLOOKUP($A:$A,CS!$A:$AK,14,FALSE),"")</f>
      </c>
      <c r="I351" s="57">
        <f>IFERROR(VLOOKUP($A:$A,CS!$A:$AK,15,FALSE),"")</f>
      </c>
      <c r="J351" s="57">
        <f>IFERROR(VLOOKUP($A:$A,CS!$A:$AK,18,FALSE),"")</f>
      </c>
      <c r="K351" s="57">
        <f>IFERROR(VLOOKUP($A:$A,CS!$A:$AK,19,FALSE),"")</f>
      </c>
      <c r="L351" s="57">
        <f>IFERROR(VLOOKUP($A:$A,CS!$A:$AK,20,FALSE),"")</f>
      </c>
      <c r="M351" s="57">
        <f>IFERROR(VLOOKUP($A:$A,CS!$A:$AK,22,FALSE),"")</f>
      </c>
      <c r="N351" s="57">
        <f>IFERROR(VLOOKUP($A:$A,CS!$A:$AK,19,FALSE),"")</f>
      </c>
      <c r="O351" s="57">
        <f>IFERROR(VLOOKUP($A:$A,CS!$A:$AK,23,FALSE),"")</f>
      </c>
      <c r="P351" s="57">
        <f>IFERROR(VLOOKUP($A:$A,CS!$A:$AK,24,FALSE),"")</f>
      </c>
      <c r="Q351" s="57">
        <f>IFERROR(VLOOKUP($A:$A,CS!$A:$AK,25,FALSE),"")</f>
      </c>
      <c r="R351" s="57">
        <f>IFERROR(VLOOKUP($A:$A,CS!$A:$AK,26,FALSE),"")</f>
      </c>
      <c r="S351" s="57">
        <f>IFERROR(VLOOKUP($A:$A,CS!$A:$AK,29,FALSE),"")</f>
      </c>
      <c r="T351" s="57">
        <f>IFERROR(VLOOKUP($A:$A,CS!$A:$AK,33,FALSE),"")</f>
      </c>
      <c r="U351" s="57">
        <f>IFERROR(VLOOKUP($A:$A,CS!$A:$AK,34,FALSE),"")</f>
      </c>
      <c r="V351" s="57">
        <f>IFERROR(VLOOKUP($A:$A,CS!$A:$AK,35,FALSE),"")</f>
      </c>
      <c r="W351" s="57">
        <f>IFERROR(VLOOKUP($A:$A,CS!$A:$AK,36,FALSE),"")</f>
      </c>
    </row>
    <row r="352" ht="16.5" customHeight="1" spans="1:23" x14ac:dyDescent="0.25">
      <c r="A352" s="71"/>
      <c r="B352" s="57">
        <f>IFERROR(VLOOKUP($A:$A,CS!$A:$AK,3,FALSE),"")</f>
      </c>
      <c r="C352" s="57">
        <f>IFERROR(VLOOKUP($A:$A,CS!$A:$AK,4,FALSE),"")</f>
      </c>
      <c r="D352" s="57">
        <f>IFERROR(VLOOKUP($A:$A,CS!$A:$AK,5,FALSE),"")</f>
      </c>
      <c r="E352" s="57">
        <f>IFERROR(VLOOKUP($A:$A,CS!$A:$AK,7,FALSE),"")</f>
      </c>
      <c r="F352" s="57">
        <f>IFERROR(VLOOKUP($A:$A,CS!$A:$AK,8,FALSE),"")</f>
      </c>
      <c r="G352" s="57">
        <f>IFERROR(VLOOKUP($A:$A,CS!$A:$AK,10,FALSE),"")</f>
      </c>
      <c r="H352" s="57">
        <f>IFERROR(VLOOKUP($A:$A,CS!$A:$AK,14,FALSE),"")</f>
      </c>
      <c r="I352" s="57">
        <f>IFERROR(VLOOKUP($A:$A,CS!$A:$AK,15,FALSE),"")</f>
      </c>
      <c r="J352" s="57">
        <f>IFERROR(VLOOKUP($A:$A,CS!$A:$AK,18,FALSE),"")</f>
      </c>
      <c r="K352" s="57">
        <f>IFERROR(VLOOKUP($A:$A,CS!$A:$AK,19,FALSE),"")</f>
      </c>
      <c r="L352" s="57">
        <f>IFERROR(VLOOKUP($A:$A,CS!$A:$AK,20,FALSE),"")</f>
      </c>
      <c r="M352" s="57">
        <f>IFERROR(VLOOKUP($A:$A,CS!$A:$AK,22,FALSE),"")</f>
      </c>
      <c r="N352" s="57">
        <f>IFERROR(VLOOKUP($A:$A,CS!$A:$AK,19,FALSE),"")</f>
      </c>
      <c r="O352" s="57">
        <f>IFERROR(VLOOKUP($A:$A,CS!$A:$AK,23,FALSE),"")</f>
      </c>
      <c r="P352" s="57">
        <f>IFERROR(VLOOKUP($A:$A,CS!$A:$AK,24,FALSE),"")</f>
      </c>
      <c r="Q352" s="57">
        <f>IFERROR(VLOOKUP($A:$A,CS!$A:$AK,25,FALSE),"")</f>
      </c>
      <c r="R352" s="57">
        <f>IFERROR(VLOOKUP($A:$A,CS!$A:$AK,26,FALSE),"")</f>
      </c>
      <c r="S352" s="57">
        <f>IFERROR(VLOOKUP($A:$A,CS!$A:$AK,29,FALSE),"")</f>
      </c>
      <c r="T352" s="57">
        <f>IFERROR(VLOOKUP($A:$A,CS!$A:$AK,33,FALSE),"")</f>
      </c>
      <c r="U352" s="57">
        <f>IFERROR(VLOOKUP($A:$A,CS!$A:$AK,34,FALSE),"")</f>
      </c>
      <c r="V352" s="57">
        <f>IFERROR(VLOOKUP($A:$A,CS!$A:$AK,35,FALSE),"")</f>
      </c>
      <c r="W352" s="57">
        <f>IFERROR(VLOOKUP($A:$A,CS!$A:$AK,36,FALSE),"")</f>
      </c>
    </row>
    <row r="353" ht="16.5" customHeight="1" spans="1:23" x14ac:dyDescent="0.25">
      <c r="A353" s="71"/>
      <c r="B353" s="57">
        <f>IFERROR(VLOOKUP($A:$A,CS!$A:$AK,3,FALSE),"")</f>
      </c>
      <c r="C353" s="57">
        <f>IFERROR(VLOOKUP($A:$A,CS!$A:$AK,4,FALSE),"")</f>
      </c>
      <c r="D353" s="57">
        <f>IFERROR(VLOOKUP($A:$A,CS!$A:$AK,5,FALSE),"")</f>
      </c>
      <c r="E353" s="57">
        <f>IFERROR(VLOOKUP($A:$A,CS!$A:$AK,7,FALSE),"")</f>
      </c>
      <c r="F353" s="57">
        <f>IFERROR(VLOOKUP($A:$A,CS!$A:$AK,8,FALSE),"")</f>
      </c>
      <c r="G353" s="57">
        <f>IFERROR(VLOOKUP($A:$A,CS!$A:$AK,10,FALSE),"")</f>
      </c>
      <c r="H353" s="57">
        <f>IFERROR(VLOOKUP($A:$A,CS!$A:$AK,14,FALSE),"")</f>
      </c>
      <c r="I353" s="57">
        <f>IFERROR(VLOOKUP($A:$A,CS!$A:$AK,15,FALSE),"")</f>
      </c>
      <c r="J353" s="57">
        <f>IFERROR(VLOOKUP($A:$A,CS!$A:$AK,18,FALSE),"")</f>
      </c>
      <c r="K353" s="57">
        <f>IFERROR(VLOOKUP($A:$A,CS!$A:$AK,19,FALSE),"")</f>
      </c>
      <c r="L353" s="57">
        <f>IFERROR(VLOOKUP($A:$A,CS!$A:$AK,20,FALSE),"")</f>
      </c>
      <c r="M353" s="57">
        <f>IFERROR(VLOOKUP($A:$A,CS!$A:$AK,22,FALSE),"")</f>
      </c>
      <c r="N353" s="57">
        <f>IFERROR(VLOOKUP($A:$A,CS!$A:$AK,19,FALSE),"")</f>
      </c>
      <c r="O353" s="57">
        <f>IFERROR(VLOOKUP($A:$A,CS!$A:$AK,23,FALSE),"")</f>
      </c>
      <c r="P353" s="57">
        <f>IFERROR(VLOOKUP($A:$A,CS!$A:$AK,24,FALSE),"")</f>
      </c>
      <c r="Q353" s="57">
        <f>IFERROR(VLOOKUP($A:$A,CS!$A:$AK,25,FALSE),"")</f>
      </c>
      <c r="R353" s="57">
        <f>IFERROR(VLOOKUP($A:$A,CS!$A:$AK,26,FALSE),"")</f>
      </c>
      <c r="S353" s="57">
        <f>IFERROR(VLOOKUP($A:$A,CS!$A:$AK,29,FALSE),"")</f>
      </c>
      <c r="T353" s="57">
        <f>IFERROR(VLOOKUP($A:$A,CS!$A:$AK,33,FALSE),"")</f>
      </c>
      <c r="U353" s="57">
        <f>IFERROR(VLOOKUP($A:$A,CS!$A:$AK,34,FALSE),"")</f>
      </c>
      <c r="V353" s="57">
        <f>IFERROR(VLOOKUP($A:$A,CS!$A:$AK,35,FALSE),"")</f>
      </c>
      <c r="W353" s="57">
        <f>IFERROR(VLOOKUP($A:$A,CS!$A:$AK,36,FALSE),"")</f>
      </c>
    </row>
    <row r="354" ht="16.5" customHeight="1" spans="1:23" x14ac:dyDescent="0.25">
      <c r="A354" s="71"/>
      <c r="B354" s="57">
        <f>IFERROR(VLOOKUP($A:$A,CS!$A:$AK,3,FALSE),"")</f>
      </c>
      <c r="C354" s="57">
        <f>IFERROR(VLOOKUP($A:$A,CS!$A:$AK,4,FALSE),"")</f>
      </c>
      <c r="D354" s="57">
        <f>IFERROR(VLOOKUP($A:$A,CS!$A:$AK,5,FALSE),"")</f>
      </c>
      <c r="E354" s="57">
        <f>IFERROR(VLOOKUP($A:$A,CS!$A:$AK,7,FALSE),"")</f>
      </c>
      <c r="F354" s="57">
        <f>IFERROR(VLOOKUP($A:$A,CS!$A:$AK,8,FALSE),"")</f>
      </c>
      <c r="G354" s="57">
        <f>IFERROR(VLOOKUP($A:$A,CS!$A:$AK,10,FALSE),"")</f>
      </c>
      <c r="H354" s="57">
        <f>IFERROR(VLOOKUP($A:$A,CS!$A:$AK,14,FALSE),"")</f>
      </c>
      <c r="I354" s="57">
        <f>IFERROR(VLOOKUP($A:$A,CS!$A:$AK,15,FALSE),"")</f>
      </c>
      <c r="J354" s="57">
        <f>IFERROR(VLOOKUP($A:$A,CS!$A:$AK,18,FALSE),"")</f>
      </c>
      <c r="K354" s="57">
        <f>IFERROR(VLOOKUP($A:$A,CS!$A:$AK,19,FALSE),"")</f>
      </c>
      <c r="L354" s="57">
        <f>IFERROR(VLOOKUP($A:$A,CS!$A:$AK,20,FALSE),"")</f>
      </c>
      <c r="M354" s="57">
        <f>IFERROR(VLOOKUP($A:$A,CS!$A:$AK,22,FALSE),"")</f>
      </c>
      <c r="N354" s="57">
        <f>IFERROR(VLOOKUP($A:$A,CS!$A:$AK,19,FALSE),"")</f>
      </c>
      <c r="O354" s="57">
        <f>IFERROR(VLOOKUP($A:$A,CS!$A:$AK,23,FALSE),"")</f>
      </c>
      <c r="P354" s="57">
        <f>IFERROR(VLOOKUP($A:$A,CS!$A:$AK,24,FALSE),"")</f>
      </c>
      <c r="Q354" s="57">
        <f>IFERROR(VLOOKUP($A:$A,CS!$A:$AK,25,FALSE),"")</f>
      </c>
      <c r="R354" s="57">
        <f>IFERROR(VLOOKUP($A:$A,CS!$A:$AK,26,FALSE),"")</f>
      </c>
      <c r="S354" s="57">
        <f>IFERROR(VLOOKUP($A:$A,CS!$A:$AK,29,FALSE),"")</f>
      </c>
      <c r="T354" s="57">
        <f>IFERROR(VLOOKUP($A:$A,CS!$A:$AK,33,FALSE),"")</f>
      </c>
      <c r="U354" s="57">
        <f>IFERROR(VLOOKUP($A:$A,CS!$A:$AK,34,FALSE),"")</f>
      </c>
      <c r="V354" s="57">
        <f>IFERROR(VLOOKUP($A:$A,CS!$A:$AK,35,FALSE),"")</f>
      </c>
      <c r="W354" s="57">
        <f>IFERROR(VLOOKUP($A:$A,CS!$A:$AK,36,FALSE),"")</f>
      </c>
    </row>
    <row r="355" ht="16.5" customHeight="1" spans="1:23" x14ac:dyDescent="0.25">
      <c r="A355" s="71"/>
      <c r="B355" s="57">
        <f>IFERROR(VLOOKUP($A:$A,CS!$A:$AK,3,FALSE),"")</f>
      </c>
      <c r="C355" s="57">
        <f>IFERROR(VLOOKUP($A:$A,CS!$A:$AK,4,FALSE),"")</f>
      </c>
      <c r="D355" s="57">
        <f>IFERROR(VLOOKUP($A:$A,CS!$A:$AK,5,FALSE),"")</f>
      </c>
      <c r="E355" s="57">
        <f>IFERROR(VLOOKUP($A:$A,CS!$A:$AK,7,FALSE),"")</f>
      </c>
      <c r="F355" s="57">
        <f>IFERROR(VLOOKUP($A:$A,CS!$A:$AK,8,FALSE),"")</f>
      </c>
      <c r="G355" s="57">
        <f>IFERROR(VLOOKUP($A:$A,CS!$A:$AK,10,FALSE),"")</f>
      </c>
      <c r="H355" s="57">
        <f>IFERROR(VLOOKUP($A:$A,CS!$A:$AK,14,FALSE),"")</f>
      </c>
      <c r="I355" s="57">
        <f>IFERROR(VLOOKUP($A:$A,CS!$A:$AK,15,FALSE),"")</f>
      </c>
      <c r="J355" s="57">
        <f>IFERROR(VLOOKUP($A:$A,CS!$A:$AK,18,FALSE),"")</f>
      </c>
      <c r="K355" s="57">
        <f>IFERROR(VLOOKUP($A:$A,CS!$A:$AK,19,FALSE),"")</f>
      </c>
      <c r="L355" s="57">
        <f>IFERROR(VLOOKUP($A:$A,CS!$A:$AK,20,FALSE),"")</f>
      </c>
      <c r="M355" s="57">
        <f>IFERROR(VLOOKUP($A:$A,CS!$A:$AK,22,FALSE),"")</f>
      </c>
      <c r="N355" s="57">
        <f>IFERROR(VLOOKUP($A:$A,CS!$A:$AK,19,FALSE),"")</f>
      </c>
      <c r="O355" s="57">
        <f>IFERROR(VLOOKUP($A:$A,CS!$A:$AK,23,FALSE),"")</f>
      </c>
      <c r="P355" s="57">
        <f>IFERROR(VLOOKUP($A:$A,CS!$A:$AK,24,FALSE),"")</f>
      </c>
      <c r="Q355" s="57">
        <f>IFERROR(VLOOKUP($A:$A,CS!$A:$AK,25,FALSE),"")</f>
      </c>
      <c r="R355" s="57">
        <f>IFERROR(VLOOKUP($A:$A,CS!$A:$AK,26,FALSE),"")</f>
      </c>
      <c r="S355" s="57">
        <f>IFERROR(VLOOKUP($A:$A,CS!$A:$AK,29,FALSE),"")</f>
      </c>
      <c r="T355" s="57">
        <f>IFERROR(VLOOKUP($A:$A,CS!$A:$AK,33,FALSE),"")</f>
      </c>
      <c r="U355" s="57">
        <f>IFERROR(VLOOKUP($A:$A,CS!$A:$AK,34,FALSE),"")</f>
      </c>
      <c r="V355" s="57">
        <f>IFERROR(VLOOKUP($A:$A,CS!$A:$AK,35,FALSE),"")</f>
      </c>
      <c r="W355" s="57">
        <f>IFERROR(VLOOKUP($A:$A,CS!$A:$AK,36,FALSE),"")</f>
      </c>
    </row>
    <row r="356" ht="16.5" customHeight="1" spans="1:23" x14ac:dyDescent="0.25">
      <c r="A356" s="71"/>
      <c r="B356" s="57">
        <f>IFERROR(VLOOKUP($A:$A,CS!$A:$AK,3,FALSE),"")</f>
      </c>
      <c r="C356" s="57">
        <f>IFERROR(VLOOKUP($A:$A,CS!$A:$AK,4,FALSE),"")</f>
      </c>
      <c r="D356" s="57">
        <f>IFERROR(VLOOKUP($A:$A,CS!$A:$AK,5,FALSE),"")</f>
      </c>
      <c r="E356" s="57">
        <f>IFERROR(VLOOKUP($A:$A,CS!$A:$AK,7,FALSE),"")</f>
      </c>
      <c r="F356" s="57">
        <f>IFERROR(VLOOKUP($A:$A,CS!$A:$AK,8,FALSE),"")</f>
      </c>
      <c r="G356" s="57">
        <f>IFERROR(VLOOKUP($A:$A,CS!$A:$AK,10,FALSE),"")</f>
      </c>
      <c r="H356" s="57">
        <f>IFERROR(VLOOKUP($A:$A,CS!$A:$AK,14,FALSE),"")</f>
      </c>
      <c r="I356" s="57">
        <f>IFERROR(VLOOKUP($A:$A,CS!$A:$AK,15,FALSE),"")</f>
      </c>
      <c r="J356" s="57">
        <f>IFERROR(VLOOKUP($A:$A,CS!$A:$AK,18,FALSE),"")</f>
      </c>
      <c r="K356" s="57">
        <f>IFERROR(VLOOKUP($A:$A,CS!$A:$AK,19,FALSE),"")</f>
      </c>
      <c r="L356" s="57">
        <f>IFERROR(VLOOKUP($A:$A,CS!$A:$AK,20,FALSE),"")</f>
      </c>
      <c r="M356" s="57">
        <f>IFERROR(VLOOKUP($A:$A,CS!$A:$AK,22,FALSE),"")</f>
      </c>
      <c r="N356" s="57">
        <f>IFERROR(VLOOKUP($A:$A,CS!$A:$AK,19,FALSE),"")</f>
      </c>
      <c r="O356" s="57">
        <f>IFERROR(VLOOKUP($A:$A,CS!$A:$AK,23,FALSE),"")</f>
      </c>
      <c r="P356" s="57">
        <f>IFERROR(VLOOKUP($A:$A,CS!$A:$AK,24,FALSE),"")</f>
      </c>
      <c r="Q356" s="57">
        <f>IFERROR(VLOOKUP($A:$A,CS!$A:$AK,25,FALSE),"")</f>
      </c>
      <c r="R356" s="57">
        <f>IFERROR(VLOOKUP($A:$A,CS!$A:$AK,26,FALSE),"")</f>
      </c>
      <c r="S356" s="57">
        <f>IFERROR(VLOOKUP($A:$A,CS!$A:$AK,29,FALSE),"")</f>
      </c>
      <c r="T356" s="57">
        <f>IFERROR(VLOOKUP($A:$A,CS!$A:$AK,33,FALSE),"")</f>
      </c>
      <c r="U356" s="57">
        <f>IFERROR(VLOOKUP($A:$A,CS!$A:$AK,34,FALSE),"")</f>
      </c>
      <c r="V356" s="57">
        <f>IFERROR(VLOOKUP($A:$A,CS!$A:$AK,35,FALSE),"")</f>
      </c>
      <c r="W356" s="57">
        <f>IFERROR(VLOOKUP($A:$A,CS!$A:$AK,36,FALSE),"")</f>
      </c>
    </row>
    <row r="357" ht="16.5" customHeight="1" spans="1:23" x14ac:dyDescent="0.25">
      <c r="A357" s="71"/>
      <c r="B357" s="57">
        <f>IFERROR(VLOOKUP($A:$A,CS!$A:$AK,3,FALSE),"")</f>
      </c>
      <c r="C357" s="57">
        <f>IFERROR(VLOOKUP($A:$A,CS!$A:$AK,4,FALSE),"")</f>
      </c>
      <c r="D357" s="57">
        <f>IFERROR(VLOOKUP($A:$A,CS!$A:$AK,5,FALSE),"")</f>
      </c>
      <c r="E357" s="57">
        <f>IFERROR(VLOOKUP($A:$A,CS!$A:$AK,7,FALSE),"")</f>
      </c>
      <c r="F357" s="57">
        <f>IFERROR(VLOOKUP($A:$A,CS!$A:$AK,8,FALSE),"")</f>
      </c>
      <c r="G357" s="57">
        <f>IFERROR(VLOOKUP($A:$A,CS!$A:$AK,10,FALSE),"")</f>
      </c>
      <c r="H357" s="57">
        <f>IFERROR(VLOOKUP($A:$A,CS!$A:$AK,14,FALSE),"")</f>
      </c>
      <c r="I357" s="57">
        <f>IFERROR(VLOOKUP($A:$A,CS!$A:$AK,15,FALSE),"")</f>
      </c>
      <c r="J357" s="57">
        <f>IFERROR(VLOOKUP($A:$A,CS!$A:$AK,18,FALSE),"")</f>
      </c>
      <c r="K357" s="57">
        <f>IFERROR(VLOOKUP($A:$A,CS!$A:$AK,19,FALSE),"")</f>
      </c>
      <c r="L357" s="57">
        <f>IFERROR(VLOOKUP($A:$A,CS!$A:$AK,20,FALSE),"")</f>
      </c>
      <c r="M357" s="57">
        <f>IFERROR(VLOOKUP($A:$A,CS!$A:$AK,22,FALSE),"")</f>
      </c>
      <c r="N357" s="57">
        <f>IFERROR(VLOOKUP($A:$A,CS!$A:$AK,19,FALSE),"")</f>
      </c>
      <c r="O357" s="57">
        <f>IFERROR(VLOOKUP($A:$A,CS!$A:$AK,23,FALSE),"")</f>
      </c>
      <c r="P357" s="57">
        <f>IFERROR(VLOOKUP($A:$A,CS!$A:$AK,24,FALSE),"")</f>
      </c>
      <c r="Q357" s="57">
        <f>IFERROR(VLOOKUP($A:$A,CS!$A:$AK,25,FALSE),"")</f>
      </c>
      <c r="R357" s="57">
        <f>IFERROR(VLOOKUP($A:$A,CS!$A:$AK,26,FALSE),"")</f>
      </c>
      <c r="S357" s="57">
        <f>IFERROR(VLOOKUP($A:$A,CS!$A:$AK,29,FALSE),"")</f>
      </c>
      <c r="T357" s="57">
        <f>IFERROR(VLOOKUP($A:$A,CS!$A:$AK,33,FALSE),"")</f>
      </c>
      <c r="U357" s="57">
        <f>IFERROR(VLOOKUP($A:$A,CS!$A:$AK,34,FALSE),"")</f>
      </c>
      <c r="V357" s="57">
        <f>IFERROR(VLOOKUP($A:$A,CS!$A:$AK,35,FALSE),"")</f>
      </c>
      <c r="W357" s="57">
        <f>IFERROR(VLOOKUP($A:$A,CS!$A:$AK,36,FALSE),"")</f>
      </c>
    </row>
    <row r="358" ht="16.5" customHeight="1" spans="1:23" x14ac:dyDescent="0.25">
      <c r="A358" s="71"/>
      <c r="B358" s="57">
        <f>IFERROR(VLOOKUP($A:$A,CS!$A:$AK,3,FALSE),"")</f>
      </c>
      <c r="C358" s="57">
        <f>IFERROR(VLOOKUP($A:$A,CS!$A:$AK,4,FALSE),"")</f>
      </c>
      <c r="D358" s="57">
        <f>IFERROR(VLOOKUP($A:$A,CS!$A:$AK,5,FALSE),"")</f>
      </c>
      <c r="E358" s="57">
        <f>IFERROR(VLOOKUP($A:$A,CS!$A:$AK,7,FALSE),"")</f>
      </c>
      <c r="F358" s="57">
        <f>IFERROR(VLOOKUP($A:$A,CS!$A:$AK,8,FALSE),"")</f>
      </c>
      <c r="G358" s="57">
        <f>IFERROR(VLOOKUP($A:$A,CS!$A:$AK,10,FALSE),"")</f>
      </c>
      <c r="H358" s="57">
        <f>IFERROR(VLOOKUP($A:$A,CS!$A:$AK,14,FALSE),"")</f>
      </c>
      <c r="I358" s="57">
        <f>IFERROR(VLOOKUP($A:$A,CS!$A:$AK,15,FALSE),"")</f>
      </c>
      <c r="J358" s="57">
        <f>IFERROR(VLOOKUP($A:$A,CS!$A:$AK,18,FALSE),"")</f>
      </c>
      <c r="K358" s="57">
        <f>IFERROR(VLOOKUP($A:$A,CS!$A:$AK,19,FALSE),"")</f>
      </c>
      <c r="L358" s="57">
        <f>IFERROR(VLOOKUP($A:$A,CS!$A:$AK,20,FALSE),"")</f>
      </c>
      <c r="M358" s="57">
        <f>IFERROR(VLOOKUP($A:$A,CS!$A:$AK,22,FALSE),"")</f>
      </c>
      <c r="N358" s="57">
        <f>IFERROR(VLOOKUP($A:$A,CS!$A:$AK,19,FALSE),"")</f>
      </c>
      <c r="O358" s="57">
        <f>IFERROR(VLOOKUP($A:$A,CS!$A:$AK,23,FALSE),"")</f>
      </c>
      <c r="P358" s="57">
        <f>IFERROR(VLOOKUP($A:$A,CS!$A:$AK,24,FALSE),"")</f>
      </c>
      <c r="Q358" s="57">
        <f>IFERROR(VLOOKUP($A:$A,CS!$A:$AK,25,FALSE),"")</f>
      </c>
      <c r="R358" s="57">
        <f>IFERROR(VLOOKUP($A:$A,CS!$A:$AK,26,FALSE),"")</f>
      </c>
      <c r="S358" s="57">
        <f>IFERROR(VLOOKUP($A:$A,CS!$A:$AK,29,FALSE),"")</f>
      </c>
      <c r="T358" s="57">
        <f>IFERROR(VLOOKUP($A:$A,CS!$A:$AK,33,FALSE),"")</f>
      </c>
      <c r="U358" s="57">
        <f>IFERROR(VLOOKUP($A:$A,CS!$A:$AK,34,FALSE),"")</f>
      </c>
      <c r="V358" s="57">
        <f>IFERROR(VLOOKUP($A:$A,CS!$A:$AK,35,FALSE),"")</f>
      </c>
      <c r="W358" s="57">
        <f>IFERROR(VLOOKUP($A:$A,CS!$A:$AK,36,FALSE),"")</f>
      </c>
    </row>
    <row r="359" ht="16.5" customHeight="1" spans="1:23" x14ac:dyDescent="0.25">
      <c r="A359" s="71"/>
      <c r="B359" s="57">
        <f>IFERROR(VLOOKUP($A:$A,CS!$A:$AK,3,FALSE),"")</f>
      </c>
      <c r="C359" s="57">
        <f>IFERROR(VLOOKUP($A:$A,CS!$A:$AK,4,FALSE),"")</f>
      </c>
      <c r="D359" s="57">
        <f>IFERROR(VLOOKUP($A:$A,CS!$A:$AK,5,FALSE),"")</f>
      </c>
      <c r="E359" s="57">
        <f>IFERROR(VLOOKUP($A:$A,CS!$A:$AK,7,FALSE),"")</f>
      </c>
      <c r="F359" s="57">
        <f>IFERROR(VLOOKUP($A:$A,CS!$A:$AK,8,FALSE),"")</f>
      </c>
      <c r="G359" s="57">
        <f>IFERROR(VLOOKUP($A:$A,CS!$A:$AK,10,FALSE),"")</f>
      </c>
      <c r="H359" s="57">
        <f>IFERROR(VLOOKUP($A:$A,CS!$A:$AK,14,FALSE),"")</f>
      </c>
      <c r="I359" s="57">
        <f>IFERROR(VLOOKUP($A:$A,CS!$A:$AK,15,FALSE),"")</f>
      </c>
      <c r="J359" s="57">
        <f>IFERROR(VLOOKUP($A:$A,CS!$A:$AK,18,FALSE),"")</f>
      </c>
      <c r="K359" s="57">
        <f>IFERROR(VLOOKUP($A:$A,CS!$A:$AK,19,FALSE),"")</f>
      </c>
      <c r="L359" s="57">
        <f>IFERROR(VLOOKUP($A:$A,CS!$A:$AK,20,FALSE),"")</f>
      </c>
      <c r="M359" s="57">
        <f>IFERROR(VLOOKUP($A:$A,CS!$A:$AK,22,FALSE),"")</f>
      </c>
      <c r="N359" s="57">
        <f>IFERROR(VLOOKUP($A:$A,CS!$A:$AK,19,FALSE),"")</f>
      </c>
      <c r="O359" s="57">
        <f>IFERROR(VLOOKUP($A:$A,CS!$A:$AK,23,FALSE),"")</f>
      </c>
      <c r="P359" s="57">
        <f>IFERROR(VLOOKUP($A:$A,CS!$A:$AK,24,FALSE),"")</f>
      </c>
      <c r="Q359" s="57">
        <f>IFERROR(VLOOKUP($A:$A,CS!$A:$AK,25,FALSE),"")</f>
      </c>
      <c r="R359" s="57">
        <f>IFERROR(VLOOKUP($A:$A,CS!$A:$AK,26,FALSE),"")</f>
      </c>
      <c r="S359" s="57">
        <f>IFERROR(VLOOKUP($A:$A,CS!$A:$AK,29,FALSE),"")</f>
      </c>
      <c r="T359" s="57">
        <f>IFERROR(VLOOKUP($A:$A,CS!$A:$AK,33,FALSE),"")</f>
      </c>
      <c r="U359" s="57">
        <f>IFERROR(VLOOKUP($A:$A,CS!$A:$AK,34,FALSE),"")</f>
      </c>
      <c r="V359" s="57">
        <f>IFERROR(VLOOKUP($A:$A,CS!$A:$AK,35,FALSE),"")</f>
      </c>
      <c r="W359" s="57">
        <f>IFERROR(VLOOKUP($A:$A,CS!$A:$AK,36,FALSE),"")</f>
      </c>
    </row>
    <row r="360" ht="16.5" customHeight="1" spans="1:23" x14ac:dyDescent="0.25">
      <c r="A360" s="71"/>
      <c r="B360" s="57">
        <f>IFERROR(VLOOKUP($A:$A,CS!$A:$AK,3,FALSE),"")</f>
      </c>
      <c r="C360" s="57">
        <f>IFERROR(VLOOKUP($A:$A,CS!$A:$AK,4,FALSE),"")</f>
      </c>
      <c r="D360" s="57">
        <f>IFERROR(VLOOKUP($A:$A,CS!$A:$AK,5,FALSE),"")</f>
      </c>
      <c r="E360" s="57">
        <f>IFERROR(VLOOKUP($A:$A,CS!$A:$AK,7,FALSE),"")</f>
      </c>
      <c r="F360" s="57">
        <f>IFERROR(VLOOKUP($A:$A,CS!$A:$AK,8,FALSE),"")</f>
      </c>
      <c r="G360" s="57">
        <f>IFERROR(VLOOKUP($A:$A,CS!$A:$AK,10,FALSE),"")</f>
      </c>
      <c r="H360" s="57">
        <f>IFERROR(VLOOKUP($A:$A,CS!$A:$AK,14,FALSE),"")</f>
      </c>
      <c r="I360" s="57">
        <f>IFERROR(VLOOKUP($A:$A,CS!$A:$AK,15,FALSE),"")</f>
      </c>
      <c r="J360" s="57">
        <f>IFERROR(VLOOKUP($A:$A,CS!$A:$AK,18,FALSE),"")</f>
      </c>
      <c r="K360" s="57">
        <f>IFERROR(VLOOKUP($A:$A,CS!$A:$AK,19,FALSE),"")</f>
      </c>
      <c r="L360" s="57">
        <f>IFERROR(VLOOKUP($A:$A,CS!$A:$AK,20,FALSE),"")</f>
      </c>
      <c r="M360" s="57">
        <f>IFERROR(VLOOKUP($A:$A,CS!$A:$AK,22,FALSE),"")</f>
      </c>
      <c r="N360" s="57">
        <f>IFERROR(VLOOKUP($A:$A,CS!$A:$AK,19,FALSE),"")</f>
      </c>
      <c r="O360" s="57">
        <f>IFERROR(VLOOKUP($A:$A,CS!$A:$AK,23,FALSE),"")</f>
      </c>
      <c r="P360" s="57">
        <f>IFERROR(VLOOKUP($A:$A,CS!$A:$AK,24,FALSE),"")</f>
      </c>
      <c r="Q360" s="57">
        <f>IFERROR(VLOOKUP($A:$A,CS!$A:$AK,25,FALSE),"")</f>
      </c>
      <c r="R360" s="57">
        <f>IFERROR(VLOOKUP($A:$A,CS!$A:$AK,26,FALSE),"")</f>
      </c>
      <c r="S360" s="57">
        <f>IFERROR(VLOOKUP($A:$A,CS!$A:$AK,29,FALSE),"")</f>
      </c>
      <c r="T360" s="57">
        <f>IFERROR(VLOOKUP($A:$A,CS!$A:$AK,33,FALSE),"")</f>
      </c>
      <c r="U360" s="57">
        <f>IFERROR(VLOOKUP($A:$A,CS!$A:$AK,34,FALSE),"")</f>
      </c>
      <c r="V360" s="57">
        <f>IFERROR(VLOOKUP($A:$A,CS!$A:$AK,35,FALSE),"")</f>
      </c>
      <c r="W360" s="57">
        <f>IFERROR(VLOOKUP($A:$A,CS!$A:$AK,36,FALSE),"")</f>
      </c>
    </row>
    <row r="361" ht="16.5" customHeight="1" spans="1:23" x14ac:dyDescent="0.25">
      <c r="A361" s="71"/>
      <c r="B361" s="57">
        <f>IFERROR(VLOOKUP($A:$A,CS!$A:$AK,3,FALSE),"")</f>
      </c>
      <c r="C361" s="57">
        <f>IFERROR(VLOOKUP($A:$A,CS!$A:$AK,4,FALSE),"")</f>
      </c>
      <c r="D361" s="57">
        <f>IFERROR(VLOOKUP($A:$A,CS!$A:$AK,5,FALSE),"")</f>
      </c>
      <c r="E361" s="57">
        <f>IFERROR(VLOOKUP($A:$A,CS!$A:$AK,7,FALSE),"")</f>
      </c>
      <c r="F361" s="57">
        <f>IFERROR(VLOOKUP($A:$A,CS!$A:$AK,8,FALSE),"")</f>
      </c>
      <c r="G361" s="57">
        <f>IFERROR(VLOOKUP($A:$A,CS!$A:$AK,10,FALSE),"")</f>
      </c>
      <c r="H361" s="57">
        <f>IFERROR(VLOOKUP($A:$A,CS!$A:$AK,14,FALSE),"")</f>
      </c>
      <c r="I361" s="57">
        <f>IFERROR(VLOOKUP($A:$A,CS!$A:$AK,15,FALSE),"")</f>
      </c>
      <c r="J361" s="57">
        <f>IFERROR(VLOOKUP($A:$A,CS!$A:$AK,18,FALSE),"")</f>
      </c>
      <c r="K361" s="57">
        <f>IFERROR(VLOOKUP($A:$A,CS!$A:$AK,19,FALSE),"")</f>
      </c>
      <c r="L361" s="57">
        <f>IFERROR(VLOOKUP($A:$A,CS!$A:$AK,20,FALSE),"")</f>
      </c>
      <c r="M361" s="57">
        <f>IFERROR(VLOOKUP($A:$A,CS!$A:$AK,22,FALSE),"")</f>
      </c>
      <c r="N361" s="57">
        <f>IFERROR(VLOOKUP($A:$A,CS!$A:$AK,19,FALSE),"")</f>
      </c>
      <c r="O361" s="57">
        <f>IFERROR(VLOOKUP($A:$A,CS!$A:$AK,23,FALSE),"")</f>
      </c>
      <c r="P361" s="57">
        <f>IFERROR(VLOOKUP($A:$A,CS!$A:$AK,24,FALSE),"")</f>
      </c>
      <c r="Q361" s="57">
        <f>IFERROR(VLOOKUP($A:$A,CS!$A:$AK,25,FALSE),"")</f>
      </c>
      <c r="R361" s="57">
        <f>IFERROR(VLOOKUP($A:$A,CS!$A:$AK,26,FALSE),"")</f>
      </c>
      <c r="S361" s="57">
        <f>IFERROR(VLOOKUP($A:$A,CS!$A:$AK,29,FALSE),"")</f>
      </c>
      <c r="T361" s="57">
        <f>IFERROR(VLOOKUP($A:$A,CS!$A:$AK,33,FALSE),"")</f>
      </c>
      <c r="U361" s="57">
        <f>IFERROR(VLOOKUP($A:$A,CS!$A:$AK,34,FALSE),"")</f>
      </c>
      <c r="V361" s="57">
        <f>IFERROR(VLOOKUP($A:$A,CS!$A:$AK,35,FALSE),"")</f>
      </c>
      <c r="W361" s="57">
        <f>IFERROR(VLOOKUP($A:$A,CS!$A:$AK,36,FALSE),"")</f>
      </c>
    </row>
    <row r="362" ht="16.5" customHeight="1" spans="1:23" x14ac:dyDescent="0.25">
      <c r="A362" s="71"/>
      <c r="B362" s="57">
        <f>IFERROR(VLOOKUP($A:$A,CS!$A:$AK,3,FALSE),"")</f>
      </c>
      <c r="C362" s="57">
        <f>IFERROR(VLOOKUP($A:$A,CS!$A:$AK,4,FALSE),"")</f>
      </c>
      <c r="D362" s="57">
        <f>IFERROR(VLOOKUP($A:$A,CS!$A:$AK,5,FALSE),"")</f>
      </c>
      <c r="E362" s="57">
        <f>IFERROR(VLOOKUP($A:$A,CS!$A:$AK,7,FALSE),"")</f>
      </c>
      <c r="F362" s="57">
        <f>IFERROR(VLOOKUP($A:$A,CS!$A:$AK,8,FALSE),"")</f>
      </c>
      <c r="G362" s="57">
        <f>IFERROR(VLOOKUP($A:$A,CS!$A:$AK,10,FALSE),"")</f>
      </c>
      <c r="H362" s="57">
        <f>IFERROR(VLOOKUP($A:$A,CS!$A:$AK,14,FALSE),"")</f>
      </c>
      <c r="I362" s="57">
        <f>IFERROR(VLOOKUP($A:$A,CS!$A:$AK,15,FALSE),"")</f>
      </c>
      <c r="J362" s="57">
        <f>IFERROR(VLOOKUP($A:$A,CS!$A:$AK,18,FALSE),"")</f>
      </c>
      <c r="K362" s="57">
        <f>IFERROR(VLOOKUP($A:$A,CS!$A:$AK,19,FALSE),"")</f>
      </c>
      <c r="L362" s="57">
        <f>IFERROR(VLOOKUP($A:$A,CS!$A:$AK,20,FALSE),"")</f>
      </c>
      <c r="M362" s="57">
        <f>IFERROR(VLOOKUP($A:$A,CS!$A:$AK,22,FALSE),"")</f>
      </c>
      <c r="N362" s="57">
        <f>IFERROR(VLOOKUP($A:$A,CS!$A:$AK,19,FALSE),"")</f>
      </c>
      <c r="O362" s="57">
        <f>IFERROR(VLOOKUP($A:$A,CS!$A:$AK,23,FALSE),"")</f>
      </c>
      <c r="P362" s="57">
        <f>IFERROR(VLOOKUP($A:$A,CS!$A:$AK,24,FALSE),"")</f>
      </c>
      <c r="Q362" s="57">
        <f>IFERROR(VLOOKUP($A:$A,CS!$A:$AK,25,FALSE),"")</f>
      </c>
      <c r="R362" s="57">
        <f>IFERROR(VLOOKUP($A:$A,CS!$A:$AK,26,FALSE),"")</f>
      </c>
      <c r="S362" s="57">
        <f>IFERROR(VLOOKUP($A:$A,CS!$A:$AK,29,FALSE),"")</f>
      </c>
      <c r="T362" s="57">
        <f>IFERROR(VLOOKUP($A:$A,CS!$A:$AK,33,FALSE),"")</f>
      </c>
      <c r="U362" s="57">
        <f>IFERROR(VLOOKUP($A:$A,CS!$A:$AK,34,FALSE),"")</f>
      </c>
      <c r="V362" s="57">
        <f>IFERROR(VLOOKUP($A:$A,CS!$A:$AK,35,FALSE),"")</f>
      </c>
      <c r="W362" s="57">
        <f>IFERROR(VLOOKUP($A:$A,CS!$A:$AK,36,FALSE),"")</f>
      </c>
    </row>
    <row r="363" ht="16.5" customHeight="1" spans="1:23" x14ac:dyDescent="0.25">
      <c r="A363" s="71"/>
      <c r="B363" s="57">
        <f>IFERROR(VLOOKUP($A:$A,CS!$A:$AK,3,FALSE),"")</f>
      </c>
      <c r="C363" s="57">
        <f>IFERROR(VLOOKUP($A:$A,CS!$A:$AK,4,FALSE),"")</f>
      </c>
      <c r="D363" s="57">
        <f>IFERROR(VLOOKUP($A:$A,CS!$A:$AK,5,FALSE),"")</f>
      </c>
      <c r="E363" s="57">
        <f>IFERROR(VLOOKUP($A:$A,CS!$A:$AK,7,FALSE),"")</f>
      </c>
      <c r="F363" s="57">
        <f>IFERROR(VLOOKUP($A:$A,CS!$A:$AK,8,FALSE),"")</f>
      </c>
      <c r="G363" s="57">
        <f>IFERROR(VLOOKUP($A:$A,CS!$A:$AK,10,FALSE),"")</f>
      </c>
      <c r="H363" s="57">
        <f>IFERROR(VLOOKUP($A:$A,CS!$A:$AK,14,FALSE),"")</f>
      </c>
      <c r="I363" s="57">
        <f>IFERROR(VLOOKUP($A:$A,CS!$A:$AK,15,FALSE),"")</f>
      </c>
      <c r="J363" s="57">
        <f>IFERROR(VLOOKUP($A:$A,CS!$A:$AK,18,FALSE),"")</f>
      </c>
      <c r="K363" s="57">
        <f>IFERROR(VLOOKUP($A:$A,CS!$A:$AK,19,FALSE),"")</f>
      </c>
      <c r="L363" s="57">
        <f>IFERROR(VLOOKUP($A:$A,CS!$A:$AK,20,FALSE),"")</f>
      </c>
      <c r="M363" s="57">
        <f>IFERROR(VLOOKUP($A:$A,CS!$A:$AK,22,FALSE),"")</f>
      </c>
      <c r="N363" s="57">
        <f>IFERROR(VLOOKUP($A:$A,CS!$A:$AK,19,FALSE),"")</f>
      </c>
      <c r="O363" s="57">
        <f>IFERROR(VLOOKUP($A:$A,CS!$A:$AK,23,FALSE),"")</f>
      </c>
      <c r="P363" s="57">
        <f>IFERROR(VLOOKUP($A:$A,CS!$A:$AK,24,FALSE),"")</f>
      </c>
      <c r="Q363" s="57">
        <f>IFERROR(VLOOKUP($A:$A,CS!$A:$AK,25,FALSE),"")</f>
      </c>
      <c r="R363" s="57">
        <f>IFERROR(VLOOKUP($A:$A,CS!$A:$AK,26,FALSE),"")</f>
      </c>
      <c r="S363" s="57">
        <f>IFERROR(VLOOKUP($A:$A,CS!$A:$AK,29,FALSE),"")</f>
      </c>
      <c r="T363" s="57">
        <f>IFERROR(VLOOKUP($A:$A,CS!$A:$AK,33,FALSE),"")</f>
      </c>
      <c r="U363" s="57">
        <f>IFERROR(VLOOKUP($A:$A,CS!$A:$AK,34,FALSE),"")</f>
      </c>
      <c r="V363" s="57">
        <f>IFERROR(VLOOKUP($A:$A,CS!$A:$AK,35,FALSE),"")</f>
      </c>
      <c r="W363" s="57">
        <f>IFERROR(VLOOKUP($A:$A,CS!$A:$AK,36,FALSE),"")</f>
      </c>
    </row>
    <row r="364" ht="16.5" customHeight="1" spans="1:23" x14ac:dyDescent="0.25">
      <c r="A364" s="71"/>
      <c r="B364" s="57">
        <f>IFERROR(VLOOKUP($A:$A,CS!$A:$AK,3,FALSE),"")</f>
      </c>
      <c r="C364" s="57">
        <f>IFERROR(VLOOKUP($A:$A,CS!$A:$AK,4,FALSE),"")</f>
      </c>
      <c r="D364" s="57">
        <f>IFERROR(VLOOKUP($A:$A,CS!$A:$AK,5,FALSE),"")</f>
      </c>
      <c r="E364" s="57">
        <f>IFERROR(VLOOKUP($A:$A,CS!$A:$AK,7,FALSE),"")</f>
      </c>
      <c r="F364" s="57">
        <f>IFERROR(VLOOKUP($A:$A,CS!$A:$AK,8,FALSE),"")</f>
      </c>
      <c r="G364" s="57">
        <f>IFERROR(VLOOKUP($A:$A,CS!$A:$AK,10,FALSE),"")</f>
      </c>
      <c r="H364" s="57">
        <f>IFERROR(VLOOKUP($A:$A,CS!$A:$AK,14,FALSE),"")</f>
      </c>
      <c r="I364" s="57">
        <f>IFERROR(VLOOKUP($A:$A,CS!$A:$AK,15,FALSE),"")</f>
      </c>
      <c r="J364" s="57">
        <f>IFERROR(VLOOKUP($A:$A,CS!$A:$AK,18,FALSE),"")</f>
      </c>
      <c r="K364" s="57">
        <f>IFERROR(VLOOKUP($A:$A,CS!$A:$AK,19,FALSE),"")</f>
      </c>
      <c r="L364" s="57">
        <f>IFERROR(VLOOKUP($A:$A,CS!$A:$AK,20,FALSE),"")</f>
      </c>
      <c r="M364" s="57">
        <f>IFERROR(VLOOKUP($A:$A,CS!$A:$AK,22,FALSE),"")</f>
      </c>
      <c r="N364" s="57">
        <f>IFERROR(VLOOKUP($A:$A,CS!$A:$AK,19,FALSE),"")</f>
      </c>
      <c r="O364" s="57">
        <f>IFERROR(VLOOKUP($A:$A,CS!$A:$AK,23,FALSE),"")</f>
      </c>
      <c r="P364" s="57">
        <f>IFERROR(VLOOKUP($A:$A,CS!$A:$AK,24,FALSE),"")</f>
      </c>
      <c r="Q364" s="57">
        <f>IFERROR(VLOOKUP($A:$A,CS!$A:$AK,25,FALSE),"")</f>
      </c>
      <c r="R364" s="57">
        <f>IFERROR(VLOOKUP($A:$A,CS!$A:$AK,26,FALSE),"")</f>
      </c>
      <c r="S364" s="57">
        <f>IFERROR(VLOOKUP($A:$A,CS!$A:$AK,29,FALSE),"")</f>
      </c>
      <c r="T364" s="57">
        <f>IFERROR(VLOOKUP($A:$A,CS!$A:$AK,33,FALSE),"")</f>
      </c>
      <c r="U364" s="57">
        <f>IFERROR(VLOOKUP($A:$A,CS!$A:$AK,34,FALSE),"")</f>
      </c>
      <c r="V364" s="57">
        <f>IFERROR(VLOOKUP($A:$A,CS!$A:$AK,35,FALSE),"")</f>
      </c>
      <c r="W364" s="57">
        <f>IFERROR(VLOOKUP($A:$A,CS!$A:$AK,36,FALSE),"")</f>
      </c>
    </row>
    <row r="365" ht="16.5" customHeight="1" spans="1:23" x14ac:dyDescent="0.25">
      <c r="A365" s="71"/>
      <c r="B365" s="57">
        <f>IFERROR(VLOOKUP($A:$A,CS!$A:$AK,3,FALSE),"")</f>
      </c>
      <c r="C365" s="57">
        <f>IFERROR(VLOOKUP($A:$A,CS!$A:$AK,4,FALSE),"")</f>
      </c>
      <c r="D365" s="57">
        <f>IFERROR(VLOOKUP($A:$A,CS!$A:$AK,5,FALSE),"")</f>
      </c>
      <c r="E365" s="57">
        <f>IFERROR(VLOOKUP($A:$A,CS!$A:$AK,7,FALSE),"")</f>
      </c>
      <c r="F365" s="57">
        <f>IFERROR(VLOOKUP($A:$A,CS!$A:$AK,8,FALSE),"")</f>
      </c>
      <c r="G365" s="57">
        <f>IFERROR(VLOOKUP($A:$A,CS!$A:$AK,10,FALSE),"")</f>
      </c>
      <c r="H365" s="57">
        <f>IFERROR(VLOOKUP($A:$A,CS!$A:$AK,14,FALSE),"")</f>
      </c>
      <c r="I365" s="57">
        <f>IFERROR(VLOOKUP($A:$A,CS!$A:$AK,15,FALSE),"")</f>
      </c>
      <c r="J365" s="57">
        <f>IFERROR(VLOOKUP($A:$A,CS!$A:$AK,18,FALSE),"")</f>
      </c>
      <c r="K365" s="57">
        <f>IFERROR(VLOOKUP($A:$A,CS!$A:$AK,19,FALSE),"")</f>
      </c>
      <c r="L365" s="57">
        <f>IFERROR(VLOOKUP($A:$A,CS!$A:$AK,20,FALSE),"")</f>
      </c>
      <c r="M365" s="57">
        <f>IFERROR(VLOOKUP($A:$A,CS!$A:$AK,22,FALSE),"")</f>
      </c>
      <c r="N365" s="57">
        <f>IFERROR(VLOOKUP($A:$A,CS!$A:$AK,19,FALSE),"")</f>
      </c>
      <c r="O365" s="57">
        <f>IFERROR(VLOOKUP($A:$A,CS!$A:$AK,23,FALSE),"")</f>
      </c>
      <c r="P365" s="57">
        <f>IFERROR(VLOOKUP($A:$A,CS!$A:$AK,24,FALSE),"")</f>
      </c>
      <c r="Q365" s="57">
        <f>IFERROR(VLOOKUP($A:$A,CS!$A:$AK,25,FALSE),"")</f>
      </c>
      <c r="R365" s="57">
        <f>IFERROR(VLOOKUP($A:$A,CS!$A:$AK,26,FALSE),"")</f>
      </c>
      <c r="S365" s="57">
        <f>IFERROR(VLOOKUP($A:$A,CS!$A:$AK,29,FALSE),"")</f>
      </c>
      <c r="T365" s="57">
        <f>IFERROR(VLOOKUP($A:$A,CS!$A:$AK,33,FALSE),"")</f>
      </c>
      <c r="U365" s="57">
        <f>IFERROR(VLOOKUP($A:$A,CS!$A:$AK,34,FALSE),"")</f>
      </c>
      <c r="V365" s="57">
        <f>IFERROR(VLOOKUP($A:$A,CS!$A:$AK,35,FALSE),"")</f>
      </c>
      <c r="W365" s="57">
        <f>IFERROR(VLOOKUP($A:$A,CS!$A:$AK,36,FALSE),"")</f>
      </c>
    </row>
    <row r="366" ht="16.5" customHeight="1" spans="1:23" x14ac:dyDescent="0.25">
      <c r="A366" s="71"/>
      <c r="B366" s="57">
        <f>IFERROR(VLOOKUP($A:$A,CS!$A:$AK,3,FALSE),"")</f>
      </c>
      <c r="C366" s="57">
        <f>IFERROR(VLOOKUP($A:$A,CS!$A:$AK,4,FALSE),"")</f>
      </c>
      <c r="D366" s="57">
        <f>IFERROR(VLOOKUP($A:$A,CS!$A:$AK,5,FALSE),"")</f>
      </c>
      <c r="E366" s="57">
        <f>IFERROR(VLOOKUP($A:$A,CS!$A:$AK,7,FALSE),"")</f>
      </c>
      <c r="F366" s="57">
        <f>IFERROR(VLOOKUP($A:$A,CS!$A:$AK,8,FALSE),"")</f>
      </c>
      <c r="G366" s="57">
        <f>IFERROR(VLOOKUP($A:$A,CS!$A:$AK,10,FALSE),"")</f>
      </c>
      <c r="H366" s="57">
        <f>IFERROR(VLOOKUP($A:$A,CS!$A:$AK,14,FALSE),"")</f>
      </c>
      <c r="I366" s="57">
        <f>IFERROR(VLOOKUP($A:$A,CS!$A:$AK,15,FALSE),"")</f>
      </c>
      <c r="J366" s="57">
        <f>IFERROR(VLOOKUP($A:$A,CS!$A:$AK,18,FALSE),"")</f>
      </c>
      <c r="K366" s="57">
        <f>IFERROR(VLOOKUP($A:$A,CS!$A:$AK,19,FALSE),"")</f>
      </c>
      <c r="L366" s="57">
        <f>IFERROR(VLOOKUP($A:$A,CS!$A:$AK,20,FALSE),"")</f>
      </c>
      <c r="M366" s="57">
        <f>IFERROR(VLOOKUP($A:$A,CS!$A:$AK,22,FALSE),"")</f>
      </c>
      <c r="N366" s="57">
        <f>IFERROR(VLOOKUP($A:$A,CS!$A:$AK,19,FALSE),"")</f>
      </c>
      <c r="O366" s="57">
        <f>IFERROR(VLOOKUP($A:$A,CS!$A:$AK,23,FALSE),"")</f>
      </c>
      <c r="P366" s="57">
        <f>IFERROR(VLOOKUP($A:$A,CS!$A:$AK,24,FALSE),"")</f>
      </c>
      <c r="Q366" s="57">
        <f>IFERROR(VLOOKUP($A:$A,CS!$A:$AK,25,FALSE),"")</f>
      </c>
      <c r="R366" s="57">
        <f>IFERROR(VLOOKUP($A:$A,CS!$A:$AK,26,FALSE),"")</f>
      </c>
      <c r="S366" s="57">
        <f>IFERROR(VLOOKUP($A:$A,CS!$A:$AK,29,FALSE),"")</f>
      </c>
      <c r="T366" s="57">
        <f>IFERROR(VLOOKUP($A:$A,CS!$A:$AK,33,FALSE),"")</f>
      </c>
      <c r="U366" s="57">
        <f>IFERROR(VLOOKUP($A:$A,CS!$A:$AK,34,FALSE),"")</f>
      </c>
      <c r="V366" s="57">
        <f>IFERROR(VLOOKUP($A:$A,CS!$A:$AK,35,FALSE),"")</f>
      </c>
      <c r="W366" s="57">
        <f>IFERROR(VLOOKUP($A:$A,CS!$A:$AK,36,FALSE),"")</f>
      </c>
    </row>
    <row r="367" ht="16.5" customHeight="1" spans="1:23" x14ac:dyDescent="0.25">
      <c r="A367" s="71"/>
      <c r="B367" s="57">
        <f>IFERROR(VLOOKUP($A:$A,CS!$A:$AK,3,FALSE),"")</f>
      </c>
      <c r="C367" s="57">
        <f>IFERROR(VLOOKUP($A:$A,CS!$A:$AK,4,FALSE),"")</f>
      </c>
      <c r="D367" s="57">
        <f>IFERROR(VLOOKUP($A:$A,CS!$A:$AK,5,FALSE),"")</f>
      </c>
      <c r="E367" s="57">
        <f>IFERROR(VLOOKUP($A:$A,CS!$A:$AK,7,FALSE),"")</f>
      </c>
      <c r="F367" s="57">
        <f>IFERROR(VLOOKUP($A:$A,CS!$A:$AK,8,FALSE),"")</f>
      </c>
      <c r="G367" s="57">
        <f>IFERROR(VLOOKUP($A:$A,CS!$A:$AK,10,FALSE),"")</f>
      </c>
      <c r="H367" s="57">
        <f>IFERROR(VLOOKUP($A:$A,CS!$A:$AK,14,FALSE),"")</f>
      </c>
      <c r="I367" s="57">
        <f>IFERROR(VLOOKUP($A:$A,CS!$A:$AK,15,FALSE),"")</f>
      </c>
      <c r="J367" s="57">
        <f>IFERROR(VLOOKUP($A:$A,CS!$A:$AK,18,FALSE),"")</f>
      </c>
      <c r="K367" s="57">
        <f>IFERROR(VLOOKUP($A:$A,CS!$A:$AK,19,FALSE),"")</f>
      </c>
      <c r="L367" s="57">
        <f>IFERROR(VLOOKUP($A:$A,CS!$A:$AK,20,FALSE),"")</f>
      </c>
      <c r="M367" s="57">
        <f>IFERROR(VLOOKUP($A:$A,CS!$A:$AK,22,FALSE),"")</f>
      </c>
      <c r="N367" s="57">
        <f>IFERROR(VLOOKUP($A:$A,CS!$A:$AK,19,FALSE),"")</f>
      </c>
      <c r="O367" s="57">
        <f>IFERROR(VLOOKUP($A:$A,CS!$A:$AK,23,FALSE),"")</f>
      </c>
      <c r="P367" s="57">
        <f>IFERROR(VLOOKUP($A:$A,CS!$A:$AK,24,FALSE),"")</f>
      </c>
      <c r="Q367" s="57">
        <f>IFERROR(VLOOKUP($A:$A,CS!$A:$AK,25,FALSE),"")</f>
      </c>
      <c r="R367" s="57">
        <f>IFERROR(VLOOKUP($A:$A,CS!$A:$AK,26,FALSE),"")</f>
      </c>
      <c r="S367" s="57">
        <f>IFERROR(VLOOKUP($A:$A,CS!$A:$AK,29,FALSE),"")</f>
      </c>
      <c r="T367" s="57">
        <f>IFERROR(VLOOKUP($A:$A,CS!$A:$AK,33,FALSE),"")</f>
      </c>
      <c r="U367" s="57">
        <f>IFERROR(VLOOKUP($A:$A,CS!$A:$AK,34,FALSE),"")</f>
      </c>
      <c r="V367" s="57">
        <f>IFERROR(VLOOKUP($A:$A,CS!$A:$AK,35,FALSE),"")</f>
      </c>
      <c r="W367" s="57">
        <f>IFERROR(VLOOKUP($A:$A,CS!$A:$AK,36,FALSE),"")</f>
      </c>
    </row>
    <row r="368" ht="16.5" customHeight="1" spans="1:23" x14ac:dyDescent="0.25">
      <c r="A368" s="71"/>
      <c r="B368" s="57">
        <f>IFERROR(VLOOKUP($A:$A,CS!$A:$AK,3,FALSE),"")</f>
      </c>
      <c r="C368" s="57">
        <f>IFERROR(VLOOKUP($A:$A,CS!$A:$AK,4,FALSE),"")</f>
      </c>
      <c r="D368" s="57">
        <f>IFERROR(VLOOKUP($A:$A,CS!$A:$AK,5,FALSE),"")</f>
      </c>
      <c r="E368" s="57">
        <f>IFERROR(VLOOKUP($A:$A,CS!$A:$AK,7,FALSE),"")</f>
      </c>
      <c r="F368" s="57">
        <f>IFERROR(VLOOKUP($A:$A,CS!$A:$AK,8,FALSE),"")</f>
      </c>
      <c r="G368" s="57">
        <f>IFERROR(VLOOKUP($A:$A,CS!$A:$AK,10,FALSE),"")</f>
      </c>
      <c r="H368" s="57">
        <f>IFERROR(VLOOKUP($A:$A,CS!$A:$AK,14,FALSE),"")</f>
      </c>
      <c r="I368" s="57">
        <f>IFERROR(VLOOKUP($A:$A,CS!$A:$AK,15,FALSE),"")</f>
      </c>
      <c r="J368" s="57">
        <f>IFERROR(VLOOKUP($A:$A,CS!$A:$AK,18,FALSE),"")</f>
      </c>
      <c r="K368" s="57">
        <f>IFERROR(VLOOKUP($A:$A,CS!$A:$AK,19,FALSE),"")</f>
      </c>
      <c r="L368" s="57">
        <f>IFERROR(VLOOKUP($A:$A,CS!$A:$AK,20,FALSE),"")</f>
      </c>
      <c r="M368" s="57">
        <f>IFERROR(VLOOKUP($A:$A,CS!$A:$AK,22,FALSE),"")</f>
      </c>
      <c r="N368" s="57">
        <f>IFERROR(VLOOKUP($A:$A,CS!$A:$AK,19,FALSE),"")</f>
      </c>
      <c r="O368" s="57">
        <f>IFERROR(VLOOKUP($A:$A,CS!$A:$AK,23,FALSE),"")</f>
      </c>
      <c r="P368" s="57">
        <f>IFERROR(VLOOKUP($A:$A,CS!$A:$AK,24,FALSE),"")</f>
      </c>
      <c r="Q368" s="57">
        <f>IFERROR(VLOOKUP($A:$A,CS!$A:$AK,25,FALSE),"")</f>
      </c>
      <c r="R368" s="57">
        <f>IFERROR(VLOOKUP($A:$A,CS!$A:$AK,26,FALSE),"")</f>
      </c>
      <c r="S368" s="57">
        <f>IFERROR(VLOOKUP($A:$A,CS!$A:$AK,29,FALSE),"")</f>
      </c>
      <c r="T368" s="57">
        <f>IFERROR(VLOOKUP($A:$A,CS!$A:$AK,33,FALSE),"")</f>
      </c>
      <c r="U368" s="57">
        <f>IFERROR(VLOOKUP($A:$A,CS!$A:$AK,34,FALSE),"")</f>
      </c>
      <c r="V368" s="57">
        <f>IFERROR(VLOOKUP($A:$A,CS!$A:$AK,35,FALSE),"")</f>
      </c>
      <c r="W368" s="57">
        <f>IFERROR(VLOOKUP($A:$A,CS!$A:$AK,36,FALSE),"")</f>
      </c>
    </row>
    <row r="369" ht="16.5" customHeight="1" spans="1:23" x14ac:dyDescent="0.25">
      <c r="A369" s="71"/>
      <c r="B369" s="57">
        <f>IFERROR(VLOOKUP($A:$A,CS!$A:$AK,3,FALSE),"")</f>
      </c>
      <c r="C369" s="57">
        <f>IFERROR(VLOOKUP($A:$A,CS!$A:$AK,4,FALSE),"")</f>
      </c>
      <c r="D369" s="57">
        <f>IFERROR(VLOOKUP($A:$A,CS!$A:$AK,5,FALSE),"")</f>
      </c>
      <c r="E369" s="57">
        <f>IFERROR(VLOOKUP($A:$A,CS!$A:$AK,7,FALSE),"")</f>
      </c>
      <c r="F369" s="57">
        <f>IFERROR(VLOOKUP($A:$A,CS!$A:$AK,8,FALSE),"")</f>
      </c>
      <c r="G369" s="57">
        <f>IFERROR(VLOOKUP($A:$A,CS!$A:$AK,10,FALSE),"")</f>
      </c>
      <c r="H369" s="57">
        <f>IFERROR(VLOOKUP($A:$A,CS!$A:$AK,14,FALSE),"")</f>
      </c>
      <c r="I369" s="57">
        <f>IFERROR(VLOOKUP($A:$A,CS!$A:$AK,15,FALSE),"")</f>
      </c>
      <c r="J369" s="57">
        <f>IFERROR(VLOOKUP($A:$A,CS!$A:$AK,18,FALSE),"")</f>
      </c>
      <c r="K369" s="57">
        <f>IFERROR(VLOOKUP($A:$A,CS!$A:$AK,19,FALSE),"")</f>
      </c>
      <c r="L369" s="57">
        <f>IFERROR(VLOOKUP($A:$A,CS!$A:$AK,20,FALSE),"")</f>
      </c>
      <c r="M369" s="57">
        <f>IFERROR(VLOOKUP($A:$A,CS!$A:$AK,22,FALSE),"")</f>
      </c>
      <c r="N369" s="57">
        <f>IFERROR(VLOOKUP($A:$A,CS!$A:$AK,19,FALSE),"")</f>
      </c>
      <c r="O369" s="57">
        <f>IFERROR(VLOOKUP($A:$A,CS!$A:$AK,23,FALSE),"")</f>
      </c>
      <c r="P369" s="57">
        <f>IFERROR(VLOOKUP($A:$A,CS!$A:$AK,24,FALSE),"")</f>
      </c>
      <c r="Q369" s="57">
        <f>IFERROR(VLOOKUP($A:$A,CS!$A:$AK,25,FALSE),"")</f>
      </c>
      <c r="R369" s="57">
        <f>IFERROR(VLOOKUP($A:$A,CS!$A:$AK,26,FALSE),"")</f>
      </c>
      <c r="S369" s="57">
        <f>IFERROR(VLOOKUP($A:$A,CS!$A:$AK,29,FALSE),"")</f>
      </c>
      <c r="T369" s="57">
        <f>IFERROR(VLOOKUP($A:$A,CS!$A:$AK,33,FALSE),"")</f>
      </c>
      <c r="U369" s="57">
        <f>IFERROR(VLOOKUP($A:$A,CS!$A:$AK,34,FALSE),"")</f>
      </c>
      <c r="V369" s="57">
        <f>IFERROR(VLOOKUP($A:$A,CS!$A:$AK,35,FALSE),"")</f>
      </c>
      <c r="W369" s="57">
        <f>IFERROR(VLOOKUP($A:$A,CS!$A:$AK,36,FALSE),"")</f>
      </c>
    </row>
    <row r="370" ht="16.5" customHeight="1" spans="1:23" x14ac:dyDescent="0.25">
      <c r="A370" s="71"/>
      <c r="B370" s="57">
        <f>IFERROR(VLOOKUP($A:$A,CS!$A:$AK,3,FALSE),"")</f>
      </c>
      <c r="C370" s="57">
        <f>IFERROR(VLOOKUP($A:$A,CS!$A:$AK,4,FALSE),"")</f>
      </c>
      <c r="D370" s="57">
        <f>IFERROR(VLOOKUP($A:$A,CS!$A:$AK,5,FALSE),"")</f>
      </c>
      <c r="E370" s="57">
        <f>IFERROR(VLOOKUP($A:$A,CS!$A:$AK,7,FALSE),"")</f>
      </c>
      <c r="F370" s="57">
        <f>IFERROR(VLOOKUP($A:$A,CS!$A:$AK,8,FALSE),"")</f>
      </c>
      <c r="G370" s="57">
        <f>IFERROR(VLOOKUP($A:$A,CS!$A:$AK,10,FALSE),"")</f>
      </c>
      <c r="H370" s="57">
        <f>IFERROR(VLOOKUP($A:$A,CS!$A:$AK,14,FALSE),"")</f>
      </c>
      <c r="I370" s="57">
        <f>IFERROR(VLOOKUP($A:$A,CS!$A:$AK,15,FALSE),"")</f>
      </c>
      <c r="J370" s="57">
        <f>IFERROR(VLOOKUP($A:$A,CS!$A:$AK,18,FALSE),"")</f>
      </c>
      <c r="K370" s="57">
        <f>IFERROR(VLOOKUP($A:$A,CS!$A:$AK,19,FALSE),"")</f>
      </c>
      <c r="L370" s="57">
        <f>IFERROR(VLOOKUP($A:$A,CS!$A:$AK,20,FALSE),"")</f>
      </c>
      <c r="M370" s="57">
        <f>IFERROR(VLOOKUP($A:$A,CS!$A:$AK,22,FALSE),"")</f>
      </c>
      <c r="N370" s="57">
        <f>IFERROR(VLOOKUP($A:$A,CS!$A:$AK,19,FALSE),"")</f>
      </c>
      <c r="O370" s="57">
        <f>IFERROR(VLOOKUP($A:$A,CS!$A:$AK,23,FALSE),"")</f>
      </c>
      <c r="P370" s="57">
        <f>IFERROR(VLOOKUP($A:$A,CS!$A:$AK,24,FALSE),"")</f>
      </c>
      <c r="Q370" s="57">
        <f>IFERROR(VLOOKUP($A:$A,CS!$A:$AK,25,FALSE),"")</f>
      </c>
      <c r="R370" s="57">
        <f>IFERROR(VLOOKUP($A:$A,CS!$A:$AK,26,FALSE),"")</f>
      </c>
      <c r="S370" s="57">
        <f>IFERROR(VLOOKUP($A:$A,CS!$A:$AK,29,FALSE),"")</f>
      </c>
      <c r="T370" s="57">
        <f>IFERROR(VLOOKUP($A:$A,CS!$A:$AK,33,FALSE),"")</f>
      </c>
      <c r="U370" s="57">
        <f>IFERROR(VLOOKUP($A:$A,CS!$A:$AK,34,FALSE),"")</f>
      </c>
      <c r="V370" s="57">
        <f>IFERROR(VLOOKUP($A:$A,CS!$A:$AK,35,FALSE),"")</f>
      </c>
      <c r="W370" s="57">
        <f>IFERROR(VLOOKUP($A:$A,CS!$A:$AK,36,FALSE),"")</f>
      </c>
    </row>
    <row r="371" ht="16.5" customHeight="1" spans="1:23" x14ac:dyDescent="0.25">
      <c r="A371" s="71"/>
      <c r="B371" s="57">
        <f>IFERROR(VLOOKUP($A:$A,CS!$A:$AK,3,FALSE),"")</f>
      </c>
      <c r="C371" s="57">
        <f>IFERROR(VLOOKUP($A:$A,CS!$A:$AK,4,FALSE),"")</f>
      </c>
      <c r="D371" s="57">
        <f>IFERROR(VLOOKUP($A:$A,CS!$A:$AK,5,FALSE),"")</f>
      </c>
      <c r="E371" s="57">
        <f>IFERROR(VLOOKUP($A:$A,CS!$A:$AK,7,FALSE),"")</f>
      </c>
      <c r="F371" s="57">
        <f>IFERROR(VLOOKUP($A:$A,CS!$A:$AK,8,FALSE),"")</f>
      </c>
      <c r="G371" s="57">
        <f>IFERROR(VLOOKUP($A:$A,CS!$A:$AK,10,FALSE),"")</f>
      </c>
      <c r="H371" s="57">
        <f>IFERROR(VLOOKUP($A:$A,CS!$A:$AK,14,FALSE),"")</f>
      </c>
      <c r="I371" s="57">
        <f>IFERROR(VLOOKUP($A:$A,CS!$A:$AK,15,FALSE),"")</f>
      </c>
      <c r="J371" s="57">
        <f>IFERROR(VLOOKUP($A:$A,CS!$A:$AK,18,FALSE),"")</f>
      </c>
      <c r="K371" s="57">
        <f>IFERROR(VLOOKUP($A:$A,CS!$A:$AK,19,FALSE),"")</f>
      </c>
      <c r="L371" s="57">
        <f>IFERROR(VLOOKUP($A:$A,CS!$A:$AK,20,FALSE),"")</f>
      </c>
      <c r="M371" s="57">
        <f>IFERROR(VLOOKUP($A:$A,CS!$A:$AK,22,FALSE),"")</f>
      </c>
      <c r="N371" s="57">
        <f>IFERROR(VLOOKUP($A:$A,CS!$A:$AK,19,FALSE),"")</f>
      </c>
      <c r="O371" s="57">
        <f>IFERROR(VLOOKUP($A:$A,CS!$A:$AK,23,FALSE),"")</f>
      </c>
      <c r="P371" s="57">
        <f>IFERROR(VLOOKUP($A:$A,CS!$A:$AK,24,FALSE),"")</f>
      </c>
      <c r="Q371" s="57">
        <f>IFERROR(VLOOKUP($A:$A,CS!$A:$AK,25,FALSE),"")</f>
      </c>
      <c r="R371" s="57">
        <f>IFERROR(VLOOKUP($A:$A,CS!$A:$AK,26,FALSE),"")</f>
      </c>
      <c r="S371" s="57">
        <f>IFERROR(VLOOKUP($A:$A,CS!$A:$AK,29,FALSE),"")</f>
      </c>
      <c r="T371" s="57">
        <f>IFERROR(VLOOKUP($A:$A,CS!$A:$AK,33,FALSE),"")</f>
      </c>
      <c r="U371" s="57">
        <f>IFERROR(VLOOKUP($A:$A,CS!$A:$AK,34,FALSE),"")</f>
      </c>
      <c r="V371" s="57">
        <f>IFERROR(VLOOKUP($A:$A,CS!$A:$AK,35,FALSE),"")</f>
      </c>
      <c r="W371" s="57">
        <f>IFERROR(VLOOKUP($A:$A,CS!$A:$AK,36,FALSE),"")</f>
      </c>
    </row>
    <row r="372" ht="16.5" customHeight="1" spans="1:23" x14ac:dyDescent="0.25">
      <c r="A372" s="71"/>
      <c r="B372" s="57">
        <f>IFERROR(VLOOKUP($A:$A,CS!$A:$AK,3,FALSE),"")</f>
      </c>
      <c r="C372" s="57">
        <f>IFERROR(VLOOKUP($A:$A,CS!$A:$AK,4,FALSE),"")</f>
      </c>
      <c r="D372" s="57">
        <f>IFERROR(VLOOKUP($A:$A,CS!$A:$AK,5,FALSE),"")</f>
      </c>
      <c r="E372" s="57">
        <f>IFERROR(VLOOKUP($A:$A,CS!$A:$AK,7,FALSE),"")</f>
      </c>
      <c r="F372" s="57">
        <f>IFERROR(VLOOKUP($A:$A,CS!$A:$AK,8,FALSE),"")</f>
      </c>
      <c r="G372" s="57">
        <f>IFERROR(VLOOKUP($A:$A,CS!$A:$AK,10,FALSE),"")</f>
      </c>
      <c r="H372" s="57">
        <f>IFERROR(VLOOKUP($A:$A,CS!$A:$AK,14,FALSE),"")</f>
      </c>
      <c r="I372" s="57">
        <f>IFERROR(VLOOKUP($A:$A,CS!$A:$AK,15,FALSE),"")</f>
      </c>
      <c r="J372" s="57">
        <f>IFERROR(VLOOKUP($A:$A,CS!$A:$AK,18,FALSE),"")</f>
      </c>
      <c r="K372" s="57">
        <f>IFERROR(VLOOKUP($A:$A,CS!$A:$AK,19,FALSE),"")</f>
      </c>
      <c r="L372" s="57">
        <f>IFERROR(VLOOKUP($A:$A,CS!$A:$AK,20,FALSE),"")</f>
      </c>
      <c r="M372" s="57">
        <f>IFERROR(VLOOKUP($A:$A,CS!$A:$AK,22,FALSE),"")</f>
      </c>
      <c r="N372" s="57">
        <f>IFERROR(VLOOKUP($A:$A,CS!$A:$AK,19,FALSE),"")</f>
      </c>
      <c r="O372" s="57">
        <f>IFERROR(VLOOKUP($A:$A,CS!$A:$AK,23,FALSE),"")</f>
      </c>
      <c r="P372" s="57">
        <f>IFERROR(VLOOKUP($A:$A,CS!$A:$AK,24,FALSE),"")</f>
      </c>
      <c r="Q372" s="57">
        <f>IFERROR(VLOOKUP($A:$A,CS!$A:$AK,25,FALSE),"")</f>
      </c>
      <c r="R372" s="57">
        <f>IFERROR(VLOOKUP($A:$A,CS!$A:$AK,26,FALSE),"")</f>
      </c>
      <c r="S372" s="57">
        <f>IFERROR(VLOOKUP($A:$A,CS!$A:$AK,29,FALSE),"")</f>
      </c>
      <c r="T372" s="57">
        <f>IFERROR(VLOOKUP($A:$A,CS!$A:$AK,33,FALSE),"")</f>
      </c>
      <c r="U372" s="57">
        <f>IFERROR(VLOOKUP($A:$A,CS!$A:$AK,34,FALSE),"")</f>
      </c>
      <c r="V372" s="57">
        <f>IFERROR(VLOOKUP($A:$A,CS!$A:$AK,35,FALSE),"")</f>
      </c>
      <c r="W372" s="57">
        <f>IFERROR(VLOOKUP($A:$A,CS!$A:$AK,36,FALSE),"")</f>
      </c>
    </row>
    <row r="373" ht="16.5" customHeight="1" spans="1:23" x14ac:dyDescent="0.25">
      <c r="A373" s="71"/>
      <c r="B373" s="57">
        <f>IFERROR(VLOOKUP($A:$A,CS!$A:$AK,3,FALSE),"")</f>
      </c>
      <c r="C373" s="57">
        <f>IFERROR(VLOOKUP($A:$A,CS!$A:$AK,4,FALSE),"")</f>
      </c>
      <c r="D373" s="57">
        <f>IFERROR(VLOOKUP($A:$A,CS!$A:$AK,5,FALSE),"")</f>
      </c>
      <c r="E373" s="57">
        <f>IFERROR(VLOOKUP($A:$A,CS!$A:$AK,7,FALSE),"")</f>
      </c>
      <c r="F373" s="57">
        <f>IFERROR(VLOOKUP($A:$A,CS!$A:$AK,8,FALSE),"")</f>
      </c>
      <c r="G373" s="57">
        <f>IFERROR(VLOOKUP($A:$A,CS!$A:$AK,10,FALSE),"")</f>
      </c>
      <c r="H373" s="57">
        <f>IFERROR(VLOOKUP($A:$A,CS!$A:$AK,14,FALSE),"")</f>
      </c>
      <c r="I373" s="57">
        <f>IFERROR(VLOOKUP($A:$A,CS!$A:$AK,15,FALSE),"")</f>
      </c>
      <c r="J373" s="57">
        <f>IFERROR(VLOOKUP($A:$A,CS!$A:$AK,18,FALSE),"")</f>
      </c>
      <c r="K373" s="57">
        <f>IFERROR(VLOOKUP($A:$A,CS!$A:$AK,19,FALSE),"")</f>
      </c>
      <c r="L373" s="57">
        <f>IFERROR(VLOOKUP($A:$A,CS!$A:$AK,20,FALSE),"")</f>
      </c>
      <c r="M373" s="57">
        <f>IFERROR(VLOOKUP($A:$A,CS!$A:$AK,22,FALSE),"")</f>
      </c>
      <c r="N373" s="57">
        <f>IFERROR(VLOOKUP($A:$A,CS!$A:$AK,19,FALSE),"")</f>
      </c>
      <c r="O373" s="57">
        <f>IFERROR(VLOOKUP($A:$A,CS!$A:$AK,23,FALSE),"")</f>
      </c>
      <c r="P373" s="57">
        <f>IFERROR(VLOOKUP($A:$A,CS!$A:$AK,24,FALSE),"")</f>
      </c>
      <c r="Q373" s="57">
        <f>IFERROR(VLOOKUP($A:$A,CS!$A:$AK,25,FALSE),"")</f>
      </c>
      <c r="R373" s="57">
        <f>IFERROR(VLOOKUP($A:$A,CS!$A:$AK,26,FALSE),"")</f>
      </c>
      <c r="S373" s="57">
        <f>IFERROR(VLOOKUP($A:$A,CS!$A:$AK,29,FALSE),"")</f>
      </c>
      <c r="T373" s="57">
        <f>IFERROR(VLOOKUP($A:$A,CS!$A:$AK,33,FALSE),"")</f>
      </c>
      <c r="U373" s="57">
        <f>IFERROR(VLOOKUP($A:$A,CS!$A:$AK,34,FALSE),"")</f>
      </c>
      <c r="V373" s="57">
        <f>IFERROR(VLOOKUP($A:$A,CS!$A:$AK,35,FALSE),"")</f>
      </c>
      <c r="W373" s="57">
        <f>IFERROR(VLOOKUP($A:$A,CS!$A:$AK,36,FALSE),"")</f>
      </c>
    </row>
    <row r="374" ht="16.5" customHeight="1" spans="1:23" x14ac:dyDescent="0.25">
      <c r="A374" s="71"/>
      <c r="B374" s="57">
        <f>IFERROR(VLOOKUP($A:$A,CS!$A:$AK,3,FALSE),"")</f>
      </c>
      <c r="C374" s="57">
        <f>IFERROR(VLOOKUP($A:$A,CS!$A:$AK,4,FALSE),"")</f>
      </c>
      <c r="D374" s="57">
        <f>IFERROR(VLOOKUP($A:$A,CS!$A:$AK,5,FALSE),"")</f>
      </c>
      <c r="E374" s="57">
        <f>IFERROR(VLOOKUP($A:$A,CS!$A:$AK,7,FALSE),"")</f>
      </c>
      <c r="F374" s="57">
        <f>IFERROR(VLOOKUP($A:$A,CS!$A:$AK,8,FALSE),"")</f>
      </c>
      <c r="G374" s="57">
        <f>IFERROR(VLOOKUP($A:$A,CS!$A:$AK,10,FALSE),"")</f>
      </c>
      <c r="H374" s="57">
        <f>IFERROR(VLOOKUP($A:$A,CS!$A:$AK,14,FALSE),"")</f>
      </c>
      <c r="I374" s="57">
        <f>IFERROR(VLOOKUP($A:$A,CS!$A:$AK,15,FALSE),"")</f>
      </c>
      <c r="J374" s="57">
        <f>IFERROR(VLOOKUP($A:$A,CS!$A:$AK,18,FALSE),"")</f>
      </c>
      <c r="K374" s="57">
        <f>IFERROR(VLOOKUP($A:$A,CS!$A:$AK,19,FALSE),"")</f>
      </c>
      <c r="L374" s="57">
        <f>IFERROR(VLOOKUP($A:$A,CS!$A:$AK,20,FALSE),"")</f>
      </c>
      <c r="M374" s="57">
        <f>IFERROR(VLOOKUP($A:$A,CS!$A:$AK,22,FALSE),"")</f>
      </c>
      <c r="N374" s="57">
        <f>IFERROR(VLOOKUP($A:$A,CS!$A:$AK,19,FALSE),"")</f>
      </c>
      <c r="O374" s="57">
        <f>IFERROR(VLOOKUP($A:$A,CS!$A:$AK,23,FALSE),"")</f>
      </c>
      <c r="P374" s="57">
        <f>IFERROR(VLOOKUP($A:$A,CS!$A:$AK,24,FALSE),"")</f>
      </c>
      <c r="Q374" s="57">
        <f>IFERROR(VLOOKUP($A:$A,CS!$A:$AK,25,FALSE),"")</f>
      </c>
      <c r="R374" s="57">
        <f>IFERROR(VLOOKUP($A:$A,CS!$A:$AK,26,FALSE),"")</f>
      </c>
      <c r="S374" s="57">
        <f>IFERROR(VLOOKUP($A:$A,CS!$A:$AK,29,FALSE),"")</f>
      </c>
      <c r="T374" s="57">
        <f>IFERROR(VLOOKUP($A:$A,CS!$A:$AK,33,FALSE),"")</f>
      </c>
      <c r="U374" s="57">
        <f>IFERROR(VLOOKUP($A:$A,CS!$A:$AK,34,FALSE),"")</f>
      </c>
      <c r="V374" s="57">
        <f>IFERROR(VLOOKUP($A:$A,CS!$A:$AK,35,FALSE),"")</f>
      </c>
      <c r="W374" s="57">
        <f>IFERROR(VLOOKUP($A:$A,CS!$A:$AK,36,FALSE),"")</f>
      </c>
    </row>
    <row r="375" ht="16.5" customHeight="1" spans="1:23" x14ac:dyDescent="0.25">
      <c r="A375" s="71"/>
      <c r="B375" s="57">
        <f>IFERROR(VLOOKUP($A:$A,CS!$A:$AK,3,FALSE),"")</f>
      </c>
      <c r="C375" s="57">
        <f>IFERROR(VLOOKUP($A:$A,CS!$A:$AK,4,FALSE),"")</f>
      </c>
      <c r="D375" s="57">
        <f>IFERROR(VLOOKUP($A:$A,CS!$A:$AK,5,FALSE),"")</f>
      </c>
      <c r="E375" s="57">
        <f>IFERROR(VLOOKUP($A:$A,CS!$A:$AK,7,FALSE),"")</f>
      </c>
      <c r="F375" s="57">
        <f>IFERROR(VLOOKUP($A:$A,CS!$A:$AK,8,FALSE),"")</f>
      </c>
      <c r="G375" s="57">
        <f>IFERROR(VLOOKUP($A:$A,CS!$A:$AK,10,FALSE),"")</f>
      </c>
      <c r="H375" s="57">
        <f>IFERROR(VLOOKUP($A:$A,CS!$A:$AK,14,FALSE),"")</f>
      </c>
      <c r="I375" s="57">
        <f>IFERROR(VLOOKUP($A:$A,CS!$A:$AK,15,FALSE),"")</f>
      </c>
      <c r="J375" s="57">
        <f>IFERROR(VLOOKUP($A:$A,CS!$A:$AK,18,FALSE),"")</f>
      </c>
      <c r="K375" s="57">
        <f>IFERROR(VLOOKUP($A:$A,CS!$A:$AK,19,FALSE),"")</f>
      </c>
      <c r="L375" s="57">
        <f>IFERROR(VLOOKUP($A:$A,CS!$A:$AK,20,FALSE),"")</f>
      </c>
      <c r="M375" s="57">
        <f>IFERROR(VLOOKUP($A:$A,CS!$A:$AK,22,FALSE),"")</f>
      </c>
      <c r="N375" s="57">
        <f>IFERROR(VLOOKUP($A:$A,CS!$A:$AK,19,FALSE),"")</f>
      </c>
      <c r="O375" s="57">
        <f>IFERROR(VLOOKUP($A:$A,CS!$A:$AK,23,FALSE),"")</f>
      </c>
      <c r="P375" s="57">
        <f>IFERROR(VLOOKUP($A:$A,CS!$A:$AK,24,FALSE),"")</f>
      </c>
      <c r="Q375" s="57">
        <f>IFERROR(VLOOKUP($A:$A,CS!$A:$AK,25,FALSE),"")</f>
      </c>
      <c r="R375" s="57">
        <f>IFERROR(VLOOKUP($A:$A,CS!$A:$AK,26,FALSE),"")</f>
      </c>
      <c r="S375" s="57">
        <f>IFERROR(VLOOKUP($A:$A,CS!$A:$AK,29,FALSE),"")</f>
      </c>
      <c r="T375" s="57">
        <f>IFERROR(VLOOKUP($A:$A,CS!$A:$AK,33,FALSE),"")</f>
      </c>
      <c r="U375" s="57">
        <f>IFERROR(VLOOKUP($A:$A,CS!$A:$AK,34,FALSE),"")</f>
      </c>
      <c r="V375" s="57">
        <f>IFERROR(VLOOKUP($A:$A,CS!$A:$AK,35,FALSE),"")</f>
      </c>
      <c r="W375" s="57">
        <f>IFERROR(VLOOKUP($A:$A,CS!$A:$AK,36,FALSE),"")</f>
      </c>
    </row>
    <row r="376" ht="16.5" customHeight="1" spans="1:23" x14ac:dyDescent="0.25">
      <c r="A376" s="71"/>
      <c r="B376" s="57">
        <f>IFERROR(VLOOKUP($A:$A,CS!$A:$AK,3,FALSE),"")</f>
      </c>
      <c r="C376" s="57">
        <f>IFERROR(VLOOKUP($A:$A,CS!$A:$AK,4,FALSE),"")</f>
      </c>
      <c r="D376" s="57">
        <f>IFERROR(VLOOKUP($A:$A,CS!$A:$AK,5,FALSE),"")</f>
      </c>
      <c r="E376" s="57">
        <f>IFERROR(VLOOKUP($A:$A,CS!$A:$AK,7,FALSE),"")</f>
      </c>
      <c r="F376" s="57">
        <f>IFERROR(VLOOKUP($A:$A,CS!$A:$AK,8,FALSE),"")</f>
      </c>
      <c r="G376" s="57">
        <f>IFERROR(VLOOKUP($A:$A,CS!$A:$AK,10,FALSE),"")</f>
      </c>
      <c r="H376" s="57">
        <f>IFERROR(VLOOKUP($A:$A,CS!$A:$AK,14,FALSE),"")</f>
      </c>
      <c r="I376" s="57">
        <f>IFERROR(VLOOKUP($A:$A,CS!$A:$AK,15,FALSE),"")</f>
      </c>
      <c r="J376" s="57">
        <f>IFERROR(VLOOKUP($A:$A,CS!$A:$AK,18,FALSE),"")</f>
      </c>
      <c r="K376" s="57">
        <f>IFERROR(VLOOKUP($A:$A,CS!$A:$AK,19,FALSE),"")</f>
      </c>
      <c r="L376" s="57">
        <f>IFERROR(VLOOKUP($A:$A,CS!$A:$AK,20,FALSE),"")</f>
      </c>
      <c r="M376" s="57">
        <f>IFERROR(VLOOKUP($A:$A,CS!$A:$AK,22,FALSE),"")</f>
      </c>
      <c r="N376" s="57">
        <f>IFERROR(VLOOKUP($A:$A,CS!$A:$AK,19,FALSE),"")</f>
      </c>
      <c r="O376" s="57">
        <f>IFERROR(VLOOKUP($A:$A,CS!$A:$AK,23,FALSE),"")</f>
      </c>
      <c r="P376" s="57">
        <f>IFERROR(VLOOKUP($A:$A,CS!$A:$AK,24,FALSE),"")</f>
      </c>
      <c r="Q376" s="57">
        <f>IFERROR(VLOOKUP($A:$A,CS!$A:$AK,25,FALSE),"")</f>
      </c>
      <c r="R376" s="57">
        <f>IFERROR(VLOOKUP($A:$A,CS!$A:$AK,26,FALSE),"")</f>
      </c>
      <c r="S376" s="57">
        <f>IFERROR(VLOOKUP($A:$A,CS!$A:$AK,29,FALSE),"")</f>
      </c>
      <c r="T376" s="57">
        <f>IFERROR(VLOOKUP($A:$A,CS!$A:$AK,33,FALSE),"")</f>
      </c>
      <c r="U376" s="57">
        <f>IFERROR(VLOOKUP($A:$A,CS!$A:$AK,34,FALSE),"")</f>
      </c>
      <c r="V376" s="57">
        <f>IFERROR(VLOOKUP($A:$A,CS!$A:$AK,35,FALSE),"")</f>
      </c>
      <c r="W376" s="57">
        <f>IFERROR(VLOOKUP($A:$A,CS!$A:$AK,36,FALSE),"")</f>
      </c>
    </row>
    <row r="377" ht="16.5" customHeight="1" spans="1:23" x14ac:dyDescent="0.25">
      <c r="A377" s="71"/>
      <c r="B377" s="57">
        <f>IFERROR(VLOOKUP($A:$A,CS!$A:$AK,3,FALSE),"")</f>
      </c>
      <c r="C377" s="57">
        <f>IFERROR(VLOOKUP($A:$A,CS!$A:$AK,4,FALSE),"")</f>
      </c>
      <c r="D377" s="57">
        <f>IFERROR(VLOOKUP($A:$A,CS!$A:$AK,5,FALSE),"")</f>
      </c>
      <c r="E377" s="57">
        <f>IFERROR(VLOOKUP($A:$A,CS!$A:$AK,7,FALSE),"")</f>
      </c>
      <c r="F377" s="57">
        <f>IFERROR(VLOOKUP($A:$A,CS!$A:$AK,8,FALSE),"")</f>
      </c>
      <c r="G377" s="57">
        <f>IFERROR(VLOOKUP($A:$A,CS!$A:$AK,10,FALSE),"")</f>
      </c>
      <c r="H377" s="57">
        <f>IFERROR(VLOOKUP($A:$A,CS!$A:$AK,14,FALSE),"")</f>
      </c>
      <c r="I377" s="57">
        <f>IFERROR(VLOOKUP($A:$A,CS!$A:$AK,15,FALSE),"")</f>
      </c>
      <c r="J377" s="57">
        <f>IFERROR(VLOOKUP($A:$A,CS!$A:$AK,18,FALSE),"")</f>
      </c>
      <c r="K377" s="57">
        <f>IFERROR(VLOOKUP($A:$A,CS!$A:$AK,19,FALSE),"")</f>
      </c>
      <c r="L377" s="57">
        <f>IFERROR(VLOOKUP($A:$A,CS!$A:$AK,20,FALSE),"")</f>
      </c>
      <c r="M377" s="57">
        <f>IFERROR(VLOOKUP($A:$A,CS!$A:$AK,22,FALSE),"")</f>
      </c>
      <c r="N377" s="57">
        <f>IFERROR(VLOOKUP($A:$A,CS!$A:$AK,19,FALSE),"")</f>
      </c>
      <c r="O377" s="57">
        <f>IFERROR(VLOOKUP($A:$A,CS!$A:$AK,23,FALSE),"")</f>
      </c>
      <c r="P377" s="57">
        <f>IFERROR(VLOOKUP($A:$A,CS!$A:$AK,24,FALSE),"")</f>
      </c>
      <c r="Q377" s="57">
        <f>IFERROR(VLOOKUP($A:$A,CS!$A:$AK,25,FALSE),"")</f>
      </c>
      <c r="R377" s="57">
        <f>IFERROR(VLOOKUP($A:$A,CS!$A:$AK,26,FALSE),"")</f>
      </c>
      <c r="S377" s="57">
        <f>IFERROR(VLOOKUP($A:$A,CS!$A:$AK,29,FALSE),"")</f>
      </c>
      <c r="T377" s="57">
        <f>IFERROR(VLOOKUP($A:$A,CS!$A:$AK,33,FALSE),"")</f>
      </c>
      <c r="U377" s="57">
        <f>IFERROR(VLOOKUP($A:$A,CS!$A:$AK,34,FALSE),"")</f>
      </c>
      <c r="V377" s="57">
        <f>IFERROR(VLOOKUP($A:$A,CS!$A:$AK,35,FALSE),"")</f>
      </c>
      <c r="W377" s="57">
        <f>IFERROR(VLOOKUP($A:$A,CS!$A:$AK,36,FALSE),"")</f>
      </c>
    </row>
    <row r="378" ht="16.5" customHeight="1" spans="1:23" x14ac:dyDescent="0.25">
      <c r="A378" s="71"/>
      <c r="B378" s="57">
        <f>IFERROR(VLOOKUP($A:$A,CS!$A:$AK,3,FALSE),"")</f>
      </c>
      <c r="C378" s="57">
        <f>IFERROR(VLOOKUP($A:$A,CS!$A:$AK,4,FALSE),"")</f>
      </c>
      <c r="D378" s="57">
        <f>IFERROR(VLOOKUP($A:$A,CS!$A:$AK,5,FALSE),"")</f>
      </c>
      <c r="E378" s="57">
        <f>IFERROR(VLOOKUP($A:$A,CS!$A:$AK,7,FALSE),"")</f>
      </c>
      <c r="F378" s="57">
        <f>IFERROR(VLOOKUP($A:$A,CS!$A:$AK,8,FALSE),"")</f>
      </c>
      <c r="G378" s="57">
        <f>IFERROR(VLOOKUP($A:$A,CS!$A:$AK,10,FALSE),"")</f>
      </c>
      <c r="H378" s="57">
        <f>IFERROR(VLOOKUP($A:$A,CS!$A:$AK,14,FALSE),"")</f>
      </c>
      <c r="I378" s="57">
        <f>IFERROR(VLOOKUP($A:$A,CS!$A:$AK,15,FALSE),"")</f>
      </c>
      <c r="J378" s="57">
        <f>IFERROR(VLOOKUP($A:$A,CS!$A:$AK,18,FALSE),"")</f>
      </c>
      <c r="K378" s="57">
        <f>IFERROR(VLOOKUP($A:$A,CS!$A:$AK,19,FALSE),"")</f>
      </c>
      <c r="L378" s="57">
        <f>IFERROR(VLOOKUP($A:$A,CS!$A:$AK,20,FALSE),"")</f>
      </c>
      <c r="M378" s="57">
        <f>IFERROR(VLOOKUP($A:$A,CS!$A:$AK,22,FALSE),"")</f>
      </c>
      <c r="N378" s="57">
        <f>IFERROR(VLOOKUP($A:$A,CS!$A:$AK,19,FALSE),"")</f>
      </c>
      <c r="O378" s="57">
        <f>IFERROR(VLOOKUP($A:$A,CS!$A:$AK,23,FALSE),"")</f>
      </c>
      <c r="P378" s="57">
        <f>IFERROR(VLOOKUP($A:$A,CS!$A:$AK,24,FALSE),"")</f>
      </c>
      <c r="Q378" s="57">
        <f>IFERROR(VLOOKUP($A:$A,CS!$A:$AK,25,FALSE),"")</f>
      </c>
      <c r="R378" s="57">
        <f>IFERROR(VLOOKUP($A:$A,CS!$A:$AK,26,FALSE),"")</f>
      </c>
      <c r="S378" s="57">
        <f>IFERROR(VLOOKUP($A:$A,CS!$A:$AK,29,FALSE),"")</f>
      </c>
      <c r="T378" s="57">
        <f>IFERROR(VLOOKUP($A:$A,CS!$A:$AK,33,FALSE),"")</f>
      </c>
      <c r="U378" s="57">
        <f>IFERROR(VLOOKUP($A:$A,CS!$A:$AK,34,FALSE),"")</f>
      </c>
      <c r="V378" s="57">
        <f>IFERROR(VLOOKUP($A:$A,CS!$A:$AK,35,FALSE),"")</f>
      </c>
      <c r="W378" s="57">
        <f>IFERROR(VLOOKUP($A:$A,CS!$A:$AK,36,FALSE),"")</f>
      </c>
    </row>
    <row r="379" ht="16.5" customHeight="1" spans="1:23" x14ac:dyDescent="0.25">
      <c r="A379" s="71"/>
      <c r="B379" s="57">
        <f>IFERROR(VLOOKUP($A:$A,CS!$A:$AK,3,FALSE),"")</f>
      </c>
      <c r="C379" s="57">
        <f>IFERROR(VLOOKUP($A:$A,CS!$A:$AK,4,FALSE),"")</f>
      </c>
      <c r="D379" s="57">
        <f>IFERROR(VLOOKUP($A:$A,CS!$A:$AK,5,FALSE),"")</f>
      </c>
      <c r="E379" s="57">
        <f>IFERROR(VLOOKUP($A:$A,CS!$A:$AK,7,FALSE),"")</f>
      </c>
      <c r="F379" s="57">
        <f>IFERROR(VLOOKUP($A:$A,CS!$A:$AK,8,FALSE),"")</f>
      </c>
      <c r="G379" s="57">
        <f>IFERROR(VLOOKUP($A:$A,CS!$A:$AK,10,FALSE),"")</f>
      </c>
      <c r="H379" s="57">
        <f>IFERROR(VLOOKUP($A:$A,CS!$A:$AK,14,FALSE),"")</f>
      </c>
      <c r="I379" s="57">
        <f>IFERROR(VLOOKUP($A:$A,CS!$A:$AK,15,FALSE),"")</f>
      </c>
      <c r="J379" s="57">
        <f>IFERROR(VLOOKUP($A:$A,CS!$A:$AK,18,FALSE),"")</f>
      </c>
      <c r="K379" s="57">
        <f>IFERROR(VLOOKUP($A:$A,CS!$A:$AK,19,FALSE),"")</f>
      </c>
      <c r="L379" s="57">
        <f>IFERROR(VLOOKUP($A:$A,CS!$A:$AK,20,FALSE),"")</f>
      </c>
      <c r="M379" s="57">
        <f>IFERROR(VLOOKUP($A:$A,CS!$A:$AK,22,FALSE),"")</f>
      </c>
      <c r="N379" s="57">
        <f>IFERROR(VLOOKUP($A:$A,CS!$A:$AK,19,FALSE),"")</f>
      </c>
      <c r="O379" s="57">
        <f>IFERROR(VLOOKUP($A:$A,CS!$A:$AK,23,FALSE),"")</f>
      </c>
      <c r="P379" s="57">
        <f>IFERROR(VLOOKUP($A:$A,CS!$A:$AK,24,FALSE),"")</f>
      </c>
      <c r="Q379" s="57">
        <f>IFERROR(VLOOKUP($A:$A,CS!$A:$AK,25,FALSE),"")</f>
      </c>
      <c r="R379" s="57">
        <f>IFERROR(VLOOKUP($A:$A,CS!$A:$AK,26,FALSE),"")</f>
      </c>
      <c r="S379" s="57">
        <f>IFERROR(VLOOKUP($A:$A,CS!$A:$AK,29,FALSE),"")</f>
      </c>
      <c r="T379" s="57">
        <f>IFERROR(VLOOKUP($A:$A,CS!$A:$AK,33,FALSE),"")</f>
      </c>
      <c r="U379" s="57">
        <f>IFERROR(VLOOKUP($A:$A,CS!$A:$AK,34,FALSE),"")</f>
      </c>
      <c r="V379" s="57">
        <f>IFERROR(VLOOKUP($A:$A,CS!$A:$AK,35,FALSE),"")</f>
      </c>
      <c r="W379" s="57">
        <f>IFERROR(VLOOKUP($A:$A,CS!$A:$AK,36,FALSE),"")</f>
      </c>
    </row>
    <row r="380" ht="16.5" customHeight="1" spans="1:23" x14ac:dyDescent="0.25">
      <c r="A380" s="71"/>
      <c r="B380" s="57">
        <f>IFERROR(VLOOKUP($A:$A,CS!$A:$AK,3,FALSE),"")</f>
      </c>
      <c r="C380" s="57">
        <f>IFERROR(VLOOKUP($A:$A,CS!$A:$AK,4,FALSE),"")</f>
      </c>
      <c r="D380" s="57">
        <f>IFERROR(VLOOKUP($A:$A,CS!$A:$AK,5,FALSE),"")</f>
      </c>
      <c r="E380" s="57">
        <f>IFERROR(VLOOKUP($A:$A,CS!$A:$AK,7,FALSE),"")</f>
      </c>
      <c r="F380" s="57">
        <f>IFERROR(VLOOKUP($A:$A,CS!$A:$AK,8,FALSE),"")</f>
      </c>
      <c r="G380" s="57">
        <f>IFERROR(VLOOKUP($A:$A,CS!$A:$AK,10,FALSE),"")</f>
      </c>
      <c r="H380" s="57">
        <f>IFERROR(VLOOKUP($A:$A,CS!$A:$AK,14,FALSE),"")</f>
      </c>
      <c r="I380" s="57">
        <f>IFERROR(VLOOKUP($A:$A,CS!$A:$AK,15,FALSE),"")</f>
      </c>
      <c r="J380" s="57">
        <f>IFERROR(VLOOKUP($A:$A,CS!$A:$AK,18,FALSE),"")</f>
      </c>
      <c r="K380" s="57">
        <f>IFERROR(VLOOKUP($A:$A,CS!$A:$AK,19,FALSE),"")</f>
      </c>
      <c r="L380" s="57">
        <f>IFERROR(VLOOKUP($A:$A,CS!$A:$AK,20,FALSE),"")</f>
      </c>
      <c r="M380" s="57">
        <f>IFERROR(VLOOKUP($A:$A,CS!$A:$AK,22,FALSE),"")</f>
      </c>
      <c r="N380" s="57">
        <f>IFERROR(VLOOKUP($A:$A,CS!$A:$AK,19,FALSE),"")</f>
      </c>
      <c r="O380" s="57">
        <f>IFERROR(VLOOKUP($A:$A,CS!$A:$AK,23,FALSE),"")</f>
      </c>
      <c r="P380" s="57">
        <f>IFERROR(VLOOKUP($A:$A,CS!$A:$AK,24,FALSE),"")</f>
      </c>
      <c r="Q380" s="57">
        <f>IFERROR(VLOOKUP($A:$A,CS!$A:$AK,25,FALSE),"")</f>
      </c>
      <c r="R380" s="57">
        <f>IFERROR(VLOOKUP($A:$A,CS!$A:$AK,26,FALSE),"")</f>
      </c>
      <c r="S380" s="57">
        <f>IFERROR(VLOOKUP($A:$A,CS!$A:$AK,29,FALSE),"")</f>
      </c>
      <c r="T380" s="57">
        <f>IFERROR(VLOOKUP($A:$A,CS!$A:$AK,33,FALSE),"")</f>
      </c>
      <c r="U380" s="57">
        <f>IFERROR(VLOOKUP($A:$A,CS!$A:$AK,34,FALSE),"")</f>
      </c>
      <c r="V380" s="57">
        <f>IFERROR(VLOOKUP($A:$A,CS!$A:$AK,35,FALSE),"")</f>
      </c>
      <c r="W380" s="57">
        <f>IFERROR(VLOOKUP($A:$A,CS!$A:$AK,36,FALSE),"")</f>
      </c>
    </row>
    <row r="381" ht="16.5" customHeight="1" spans="1:23" x14ac:dyDescent="0.25">
      <c r="A381" s="71"/>
      <c r="B381" s="57">
        <f>IFERROR(VLOOKUP($A:$A,CS!$A:$AK,3,FALSE),"")</f>
      </c>
      <c r="C381" s="57">
        <f>IFERROR(VLOOKUP($A:$A,CS!$A:$AK,4,FALSE),"")</f>
      </c>
      <c r="D381" s="57">
        <f>IFERROR(VLOOKUP($A:$A,CS!$A:$AK,5,FALSE),"")</f>
      </c>
      <c r="E381" s="57">
        <f>IFERROR(VLOOKUP($A:$A,CS!$A:$AK,7,FALSE),"")</f>
      </c>
      <c r="F381" s="57">
        <f>IFERROR(VLOOKUP($A:$A,CS!$A:$AK,8,FALSE),"")</f>
      </c>
      <c r="G381" s="57">
        <f>IFERROR(VLOOKUP($A:$A,CS!$A:$AK,10,FALSE),"")</f>
      </c>
      <c r="H381" s="57">
        <f>IFERROR(VLOOKUP($A:$A,CS!$A:$AK,14,FALSE),"")</f>
      </c>
      <c r="I381" s="57">
        <f>IFERROR(VLOOKUP($A:$A,CS!$A:$AK,15,FALSE),"")</f>
      </c>
      <c r="J381" s="57">
        <f>IFERROR(VLOOKUP($A:$A,CS!$A:$AK,18,FALSE),"")</f>
      </c>
      <c r="K381" s="57">
        <f>IFERROR(VLOOKUP($A:$A,CS!$A:$AK,19,FALSE),"")</f>
      </c>
      <c r="L381" s="57">
        <f>IFERROR(VLOOKUP($A:$A,CS!$A:$AK,20,FALSE),"")</f>
      </c>
      <c r="M381" s="57">
        <f>IFERROR(VLOOKUP($A:$A,CS!$A:$AK,22,FALSE),"")</f>
      </c>
      <c r="N381" s="57">
        <f>IFERROR(VLOOKUP($A:$A,CS!$A:$AK,19,FALSE),"")</f>
      </c>
      <c r="O381" s="57">
        <f>IFERROR(VLOOKUP($A:$A,CS!$A:$AK,23,FALSE),"")</f>
      </c>
      <c r="P381" s="57">
        <f>IFERROR(VLOOKUP($A:$A,CS!$A:$AK,24,FALSE),"")</f>
      </c>
      <c r="Q381" s="57">
        <f>IFERROR(VLOOKUP($A:$A,CS!$A:$AK,25,FALSE),"")</f>
      </c>
      <c r="R381" s="57">
        <f>IFERROR(VLOOKUP($A:$A,CS!$A:$AK,26,FALSE),"")</f>
      </c>
      <c r="S381" s="57">
        <f>IFERROR(VLOOKUP($A:$A,CS!$A:$AK,29,FALSE),"")</f>
      </c>
      <c r="T381" s="57">
        <f>IFERROR(VLOOKUP($A:$A,CS!$A:$AK,33,FALSE),"")</f>
      </c>
      <c r="U381" s="57">
        <f>IFERROR(VLOOKUP($A:$A,CS!$A:$AK,34,FALSE),"")</f>
      </c>
      <c r="V381" s="57">
        <f>IFERROR(VLOOKUP($A:$A,CS!$A:$AK,35,FALSE),"")</f>
      </c>
      <c r="W381" s="57">
        <f>IFERROR(VLOOKUP($A:$A,CS!$A:$AK,36,FALSE),"")</f>
      </c>
    </row>
    <row r="382" ht="16.5" customHeight="1" spans="1:23" x14ac:dyDescent="0.25">
      <c r="A382" s="71"/>
      <c r="B382" s="57">
        <f>IFERROR(VLOOKUP($A:$A,CS!$A:$AK,3,FALSE),"")</f>
      </c>
      <c r="C382" s="57">
        <f>IFERROR(VLOOKUP($A:$A,CS!$A:$AK,4,FALSE),"")</f>
      </c>
      <c r="D382" s="57">
        <f>IFERROR(VLOOKUP($A:$A,CS!$A:$AK,5,FALSE),"")</f>
      </c>
      <c r="E382" s="57">
        <f>IFERROR(VLOOKUP($A:$A,CS!$A:$AK,7,FALSE),"")</f>
      </c>
      <c r="F382" s="57">
        <f>IFERROR(VLOOKUP($A:$A,CS!$A:$AK,8,FALSE),"")</f>
      </c>
      <c r="G382" s="57">
        <f>IFERROR(VLOOKUP($A:$A,CS!$A:$AK,10,FALSE),"")</f>
      </c>
      <c r="H382" s="57">
        <f>IFERROR(VLOOKUP($A:$A,CS!$A:$AK,14,FALSE),"")</f>
      </c>
      <c r="I382" s="57">
        <f>IFERROR(VLOOKUP($A:$A,CS!$A:$AK,15,FALSE),"")</f>
      </c>
      <c r="J382" s="57">
        <f>IFERROR(VLOOKUP($A:$A,CS!$A:$AK,18,FALSE),"")</f>
      </c>
      <c r="K382" s="57">
        <f>IFERROR(VLOOKUP($A:$A,CS!$A:$AK,19,FALSE),"")</f>
      </c>
      <c r="L382" s="57">
        <f>IFERROR(VLOOKUP($A:$A,CS!$A:$AK,20,FALSE),"")</f>
      </c>
      <c r="M382" s="57">
        <f>IFERROR(VLOOKUP($A:$A,CS!$A:$AK,22,FALSE),"")</f>
      </c>
      <c r="N382" s="57">
        <f>IFERROR(VLOOKUP($A:$A,CS!$A:$AK,19,FALSE),"")</f>
      </c>
      <c r="O382" s="57">
        <f>IFERROR(VLOOKUP($A:$A,CS!$A:$AK,23,FALSE),"")</f>
      </c>
      <c r="P382" s="57">
        <f>IFERROR(VLOOKUP($A:$A,CS!$A:$AK,24,FALSE),"")</f>
      </c>
      <c r="Q382" s="57">
        <f>IFERROR(VLOOKUP($A:$A,CS!$A:$AK,25,FALSE),"")</f>
      </c>
      <c r="R382" s="57">
        <f>IFERROR(VLOOKUP($A:$A,CS!$A:$AK,26,FALSE),"")</f>
      </c>
      <c r="S382" s="57">
        <f>IFERROR(VLOOKUP($A:$A,CS!$A:$AK,29,FALSE),"")</f>
      </c>
      <c r="T382" s="57">
        <f>IFERROR(VLOOKUP($A:$A,CS!$A:$AK,33,FALSE),"")</f>
      </c>
      <c r="U382" s="57">
        <f>IFERROR(VLOOKUP($A:$A,CS!$A:$AK,34,FALSE),"")</f>
      </c>
      <c r="V382" s="57">
        <f>IFERROR(VLOOKUP($A:$A,CS!$A:$AK,35,FALSE),"")</f>
      </c>
      <c r="W382" s="57">
        <f>IFERROR(VLOOKUP($A:$A,CS!$A:$AK,36,FALSE),"")</f>
      </c>
    </row>
    <row r="383" ht="16.5" customHeight="1" spans="1:23" x14ac:dyDescent="0.25">
      <c r="A383" s="71"/>
      <c r="B383" s="57">
        <f>IFERROR(VLOOKUP($A:$A,CS!$A:$AK,3,FALSE),"")</f>
      </c>
      <c r="C383" s="57">
        <f>IFERROR(VLOOKUP($A:$A,CS!$A:$AK,4,FALSE),"")</f>
      </c>
      <c r="D383" s="57">
        <f>IFERROR(VLOOKUP($A:$A,CS!$A:$AK,5,FALSE),"")</f>
      </c>
      <c r="E383" s="57">
        <f>IFERROR(VLOOKUP($A:$A,CS!$A:$AK,7,FALSE),"")</f>
      </c>
      <c r="F383" s="57">
        <f>IFERROR(VLOOKUP($A:$A,CS!$A:$AK,8,FALSE),"")</f>
      </c>
      <c r="G383" s="57">
        <f>IFERROR(VLOOKUP($A:$A,CS!$A:$AK,10,FALSE),"")</f>
      </c>
      <c r="H383" s="57">
        <f>IFERROR(VLOOKUP($A:$A,CS!$A:$AK,14,FALSE),"")</f>
      </c>
      <c r="I383" s="57">
        <f>IFERROR(VLOOKUP($A:$A,CS!$A:$AK,15,FALSE),"")</f>
      </c>
      <c r="J383" s="57">
        <f>IFERROR(VLOOKUP($A:$A,CS!$A:$AK,18,FALSE),"")</f>
      </c>
      <c r="K383" s="57">
        <f>IFERROR(VLOOKUP($A:$A,CS!$A:$AK,19,FALSE),"")</f>
      </c>
      <c r="L383" s="57">
        <f>IFERROR(VLOOKUP($A:$A,CS!$A:$AK,20,FALSE),"")</f>
      </c>
      <c r="M383" s="57">
        <f>IFERROR(VLOOKUP($A:$A,CS!$A:$AK,22,FALSE),"")</f>
      </c>
      <c r="N383" s="57">
        <f>IFERROR(VLOOKUP($A:$A,CS!$A:$AK,19,FALSE),"")</f>
      </c>
      <c r="O383" s="57">
        <f>IFERROR(VLOOKUP($A:$A,CS!$A:$AK,23,FALSE),"")</f>
      </c>
      <c r="P383" s="57">
        <f>IFERROR(VLOOKUP($A:$A,CS!$A:$AK,24,FALSE),"")</f>
      </c>
      <c r="Q383" s="57">
        <f>IFERROR(VLOOKUP($A:$A,CS!$A:$AK,25,FALSE),"")</f>
      </c>
      <c r="R383" s="57">
        <f>IFERROR(VLOOKUP($A:$A,CS!$A:$AK,26,FALSE),"")</f>
      </c>
      <c r="S383" s="57">
        <f>IFERROR(VLOOKUP($A:$A,CS!$A:$AK,29,FALSE),"")</f>
      </c>
      <c r="T383" s="57">
        <f>IFERROR(VLOOKUP($A:$A,CS!$A:$AK,33,FALSE),"")</f>
      </c>
      <c r="U383" s="57">
        <f>IFERROR(VLOOKUP($A:$A,CS!$A:$AK,34,FALSE),"")</f>
      </c>
      <c r="V383" s="57">
        <f>IFERROR(VLOOKUP($A:$A,CS!$A:$AK,35,FALSE),"")</f>
      </c>
      <c r="W383" s="57">
        <f>IFERROR(VLOOKUP($A:$A,CS!$A:$AK,36,FALSE),"")</f>
      </c>
    </row>
    <row r="384" ht="16.5" customHeight="1" spans="1:23" x14ac:dyDescent="0.25">
      <c r="A384" s="71"/>
      <c r="B384" s="57">
        <f>IFERROR(VLOOKUP($A:$A,CS!$A:$AK,3,FALSE),"")</f>
      </c>
      <c r="C384" s="57">
        <f>IFERROR(VLOOKUP($A:$A,CS!$A:$AK,4,FALSE),"")</f>
      </c>
      <c r="D384" s="57">
        <f>IFERROR(VLOOKUP($A:$A,CS!$A:$AK,5,FALSE),"")</f>
      </c>
      <c r="E384" s="57">
        <f>IFERROR(VLOOKUP($A:$A,CS!$A:$AK,7,FALSE),"")</f>
      </c>
      <c r="F384" s="57">
        <f>IFERROR(VLOOKUP($A:$A,CS!$A:$AK,8,FALSE),"")</f>
      </c>
      <c r="G384" s="57">
        <f>IFERROR(VLOOKUP($A:$A,CS!$A:$AK,10,FALSE),"")</f>
      </c>
      <c r="H384" s="57">
        <f>IFERROR(VLOOKUP($A:$A,CS!$A:$AK,14,FALSE),"")</f>
      </c>
      <c r="I384" s="57">
        <f>IFERROR(VLOOKUP($A:$A,CS!$A:$AK,15,FALSE),"")</f>
      </c>
      <c r="J384" s="57">
        <f>IFERROR(VLOOKUP($A:$A,CS!$A:$AK,18,FALSE),"")</f>
      </c>
      <c r="K384" s="57">
        <f>IFERROR(VLOOKUP($A:$A,CS!$A:$AK,19,FALSE),"")</f>
      </c>
      <c r="L384" s="57">
        <f>IFERROR(VLOOKUP($A:$A,CS!$A:$AK,20,FALSE),"")</f>
      </c>
      <c r="M384" s="57">
        <f>IFERROR(VLOOKUP($A:$A,CS!$A:$AK,22,FALSE),"")</f>
      </c>
      <c r="N384" s="57">
        <f>IFERROR(VLOOKUP($A:$A,CS!$A:$AK,19,FALSE),"")</f>
      </c>
      <c r="O384" s="57">
        <f>IFERROR(VLOOKUP($A:$A,CS!$A:$AK,23,FALSE),"")</f>
      </c>
      <c r="P384" s="57">
        <f>IFERROR(VLOOKUP($A:$A,CS!$A:$AK,24,FALSE),"")</f>
      </c>
      <c r="Q384" s="57">
        <f>IFERROR(VLOOKUP($A:$A,CS!$A:$AK,25,FALSE),"")</f>
      </c>
      <c r="R384" s="57">
        <f>IFERROR(VLOOKUP($A:$A,CS!$A:$AK,26,FALSE),"")</f>
      </c>
      <c r="S384" s="57">
        <f>IFERROR(VLOOKUP($A:$A,CS!$A:$AK,29,FALSE),"")</f>
      </c>
      <c r="T384" s="57">
        <f>IFERROR(VLOOKUP($A:$A,CS!$A:$AK,33,FALSE),"")</f>
      </c>
      <c r="U384" s="57">
        <f>IFERROR(VLOOKUP($A:$A,CS!$A:$AK,34,FALSE),"")</f>
      </c>
      <c r="V384" s="57">
        <f>IFERROR(VLOOKUP($A:$A,CS!$A:$AK,35,FALSE),"")</f>
      </c>
      <c r="W384" s="57">
        <f>IFERROR(VLOOKUP($A:$A,CS!$A:$AK,36,FALSE),"")</f>
      </c>
    </row>
    <row r="385" ht="16.5" customHeight="1" spans="1:23" x14ac:dyDescent="0.25">
      <c r="A385" s="71"/>
      <c r="B385" s="57">
        <f>IFERROR(VLOOKUP($A:$A,CS!$A:$AK,3,FALSE),"")</f>
      </c>
      <c r="C385" s="57">
        <f>IFERROR(VLOOKUP($A:$A,CS!$A:$AK,4,FALSE),"")</f>
      </c>
      <c r="D385" s="57">
        <f>IFERROR(VLOOKUP($A:$A,CS!$A:$AK,5,FALSE),"")</f>
      </c>
      <c r="E385" s="57">
        <f>IFERROR(VLOOKUP($A:$A,CS!$A:$AK,7,FALSE),"")</f>
      </c>
      <c r="F385" s="57">
        <f>IFERROR(VLOOKUP($A:$A,CS!$A:$AK,8,FALSE),"")</f>
      </c>
      <c r="G385" s="57">
        <f>IFERROR(VLOOKUP($A:$A,CS!$A:$AK,10,FALSE),"")</f>
      </c>
      <c r="H385" s="57">
        <f>IFERROR(VLOOKUP($A:$A,CS!$A:$AK,14,FALSE),"")</f>
      </c>
      <c r="I385" s="57">
        <f>IFERROR(VLOOKUP($A:$A,CS!$A:$AK,15,FALSE),"")</f>
      </c>
      <c r="J385" s="57">
        <f>IFERROR(VLOOKUP($A:$A,CS!$A:$AK,18,FALSE),"")</f>
      </c>
      <c r="K385" s="57">
        <f>IFERROR(VLOOKUP($A:$A,CS!$A:$AK,19,FALSE),"")</f>
      </c>
      <c r="L385" s="57">
        <f>IFERROR(VLOOKUP($A:$A,CS!$A:$AK,20,FALSE),"")</f>
      </c>
      <c r="M385" s="57">
        <f>IFERROR(VLOOKUP($A:$A,CS!$A:$AK,22,FALSE),"")</f>
      </c>
      <c r="N385" s="57">
        <f>IFERROR(VLOOKUP($A:$A,CS!$A:$AK,19,FALSE),"")</f>
      </c>
      <c r="O385" s="57">
        <f>IFERROR(VLOOKUP($A:$A,CS!$A:$AK,23,FALSE),"")</f>
      </c>
      <c r="P385" s="57">
        <f>IFERROR(VLOOKUP($A:$A,CS!$A:$AK,24,FALSE),"")</f>
      </c>
      <c r="Q385" s="57">
        <f>IFERROR(VLOOKUP($A:$A,CS!$A:$AK,25,FALSE),"")</f>
      </c>
      <c r="R385" s="57">
        <f>IFERROR(VLOOKUP($A:$A,CS!$A:$AK,26,FALSE),"")</f>
      </c>
      <c r="S385" s="57">
        <f>IFERROR(VLOOKUP($A:$A,CS!$A:$AK,29,FALSE),"")</f>
      </c>
      <c r="T385" s="57">
        <f>IFERROR(VLOOKUP($A:$A,CS!$A:$AK,33,FALSE),"")</f>
      </c>
      <c r="U385" s="57">
        <f>IFERROR(VLOOKUP($A:$A,CS!$A:$AK,34,FALSE),"")</f>
      </c>
      <c r="V385" s="57">
        <f>IFERROR(VLOOKUP($A:$A,CS!$A:$AK,35,FALSE),"")</f>
      </c>
      <c r="W385" s="57">
        <f>IFERROR(VLOOKUP($A:$A,CS!$A:$AK,36,FALSE),"")</f>
      </c>
    </row>
    <row r="386" ht="16.5" customHeight="1" spans="1:23" x14ac:dyDescent="0.25">
      <c r="A386" s="71"/>
      <c r="B386" s="57">
        <f>IFERROR(VLOOKUP($A:$A,CS!$A:$AK,3,FALSE),"")</f>
      </c>
      <c r="C386" s="57">
        <f>IFERROR(VLOOKUP($A:$A,CS!$A:$AK,4,FALSE),"")</f>
      </c>
      <c r="D386" s="57">
        <f>IFERROR(VLOOKUP($A:$A,CS!$A:$AK,5,FALSE),"")</f>
      </c>
      <c r="E386" s="57">
        <f>IFERROR(VLOOKUP($A:$A,CS!$A:$AK,7,FALSE),"")</f>
      </c>
      <c r="F386" s="57">
        <f>IFERROR(VLOOKUP($A:$A,CS!$A:$AK,8,FALSE),"")</f>
      </c>
      <c r="G386" s="57">
        <f>IFERROR(VLOOKUP($A:$A,CS!$A:$AK,10,FALSE),"")</f>
      </c>
      <c r="H386" s="57">
        <f>IFERROR(VLOOKUP($A:$A,CS!$A:$AK,14,FALSE),"")</f>
      </c>
      <c r="I386" s="57">
        <f>IFERROR(VLOOKUP($A:$A,CS!$A:$AK,15,FALSE),"")</f>
      </c>
      <c r="J386" s="57">
        <f>IFERROR(VLOOKUP($A:$A,CS!$A:$AK,18,FALSE),"")</f>
      </c>
      <c r="K386" s="57">
        <f>IFERROR(VLOOKUP($A:$A,CS!$A:$AK,19,FALSE),"")</f>
      </c>
      <c r="L386" s="57">
        <f>IFERROR(VLOOKUP($A:$A,CS!$A:$AK,20,FALSE),"")</f>
      </c>
      <c r="M386" s="57">
        <f>IFERROR(VLOOKUP($A:$A,CS!$A:$AK,22,FALSE),"")</f>
      </c>
      <c r="N386" s="57">
        <f>IFERROR(VLOOKUP($A:$A,CS!$A:$AK,19,FALSE),"")</f>
      </c>
      <c r="O386" s="57">
        <f>IFERROR(VLOOKUP($A:$A,CS!$A:$AK,23,FALSE),"")</f>
      </c>
      <c r="P386" s="57">
        <f>IFERROR(VLOOKUP($A:$A,CS!$A:$AK,24,FALSE),"")</f>
      </c>
      <c r="Q386" s="57">
        <f>IFERROR(VLOOKUP($A:$A,CS!$A:$AK,25,FALSE),"")</f>
      </c>
      <c r="R386" s="57">
        <f>IFERROR(VLOOKUP($A:$A,CS!$A:$AK,26,FALSE),"")</f>
      </c>
      <c r="S386" s="57">
        <f>IFERROR(VLOOKUP($A:$A,CS!$A:$AK,29,FALSE),"")</f>
      </c>
      <c r="T386" s="57">
        <f>IFERROR(VLOOKUP($A:$A,CS!$A:$AK,33,FALSE),"")</f>
      </c>
      <c r="U386" s="57">
        <f>IFERROR(VLOOKUP($A:$A,CS!$A:$AK,34,FALSE),"")</f>
      </c>
      <c r="V386" s="57">
        <f>IFERROR(VLOOKUP($A:$A,CS!$A:$AK,35,FALSE),"")</f>
      </c>
      <c r="W386" s="57">
        <f>IFERROR(VLOOKUP($A:$A,CS!$A:$AK,36,FALSE),"")</f>
      </c>
    </row>
    <row r="387" ht="16.5" customHeight="1" spans="1:23" x14ac:dyDescent="0.25">
      <c r="A387" s="71"/>
      <c r="B387" s="57">
        <f>IFERROR(VLOOKUP($A:$A,CS!$A:$AK,3,FALSE),"")</f>
      </c>
      <c r="C387" s="57">
        <f>IFERROR(VLOOKUP($A:$A,CS!$A:$AK,4,FALSE),"")</f>
      </c>
      <c r="D387" s="57">
        <f>IFERROR(VLOOKUP($A:$A,CS!$A:$AK,5,FALSE),"")</f>
      </c>
      <c r="E387" s="57">
        <f>IFERROR(VLOOKUP($A:$A,CS!$A:$AK,7,FALSE),"")</f>
      </c>
      <c r="F387" s="57">
        <f>IFERROR(VLOOKUP($A:$A,CS!$A:$AK,8,FALSE),"")</f>
      </c>
      <c r="G387" s="57">
        <f>IFERROR(VLOOKUP($A:$A,CS!$A:$AK,10,FALSE),"")</f>
      </c>
      <c r="H387" s="57">
        <f>IFERROR(VLOOKUP($A:$A,CS!$A:$AK,14,FALSE),"")</f>
      </c>
      <c r="I387" s="57">
        <f>IFERROR(VLOOKUP($A:$A,CS!$A:$AK,15,FALSE),"")</f>
      </c>
      <c r="J387" s="57">
        <f>IFERROR(VLOOKUP($A:$A,CS!$A:$AK,18,FALSE),"")</f>
      </c>
      <c r="K387" s="57">
        <f>IFERROR(VLOOKUP($A:$A,CS!$A:$AK,19,FALSE),"")</f>
      </c>
      <c r="L387" s="57">
        <f>IFERROR(VLOOKUP($A:$A,CS!$A:$AK,20,FALSE),"")</f>
      </c>
      <c r="M387" s="57">
        <f>IFERROR(VLOOKUP($A:$A,CS!$A:$AK,22,FALSE),"")</f>
      </c>
      <c r="N387" s="57">
        <f>IFERROR(VLOOKUP($A:$A,CS!$A:$AK,19,FALSE),"")</f>
      </c>
      <c r="O387" s="57">
        <f>IFERROR(VLOOKUP($A:$A,CS!$A:$AK,23,FALSE),"")</f>
      </c>
      <c r="P387" s="57">
        <f>IFERROR(VLOOKUP($A:$A,CS!$A:$AK,24,FALSE),"")</f>
      </c>
      <c r="Q387" s="57">
        <f>IFERROR(VLOOKUP($A:$A,CS!$A:$AK,25,FALSE),"")</f>
      </c>
      <c r="R387" s="57">
        <f>IFERROR(VLOOKUP($A:$A,CS!$A:$AK,26,FALSE),"")</f>
      </c>
      <c r="S387" s="57">
        <f>IFERROR(VLOOKUP($A:$A,CS!$A:$AK,29,FALSE),"")</f>
      </c>
      <c r="T387" s="57">
        <f>IFERROR(VLOOKUP($A:$A,CS!$A:$AK,33,FALSE),"")</f>
      </c>
      <c r="U387" s="57">
        <f>IFERROR(VLOOKUP($A:$A,CS!$A:$AK,34,FALSE),"")</f>
      </c>
      <c r="V387" s="57">
        <f>IFERROR(VLOOKUP($A:$A,CS!$A:$AK,35,FALSE),"")</f>
      </c>
      <c r="W387" s="57">
        <f>IFERROR(VLOOKUP($A:$A,CS!$A:$AK,36,FALSE),"")</f>
      </c>
    </row>
    <row r="388" ht="16.5" customHeight="1" spans="1:23" x14ac:dyDescent="0.25">
      <c r="A388" s="71"/>
      <c r="B388" s="57">
        <f>IFERROR(VLOOKUP($A:$A,CS!$A:$AK,3,FALSE),"")</f>
      </c>
      <c r="C388" s="57">
        <f>IFERROR(VLOOKUP($A:$A,CS!$A:$AK,4,FALSE),"")</f>
      </c>
      <c r="D388" s="57">
        <f>IFERROR(VLOOKUP($A:$A,CS!$A:$AK,5,FALSE),"")</f>
      </c>
      <c r="E388" s="57">
        <f>IFERROR(VLOOKUP($A:$A,CS!$A:$AK,7,FALSE),"")</f>
      </c>
      <c r="F388" s="57">
        <f>IFERROR(VLOOKUP($A:$A,CS!$A:$AK,8,FALSE),"")</f>
      </c>
      <c r="G388" s="57">
        <f>IFERROR(VLOOKUP($A:$A,CS!$A:$AK,10,FALSE),"")</f>
      </c>
      <c r="H388" s="57">
        <f>IFERROR(VLOOKUP($A:$A,CS!$A:$AK,14,FALSE),"")</f>
      </c>
      <c r="I388" s="57">
        <f>IFERROR(VLOOKUP($A:$A,CS!$A:$AK,15,FALSE),"")</f>
      </c>
      <c r="J388" s="57">
        <f>IFERROR(VLOOKUP($A:$A,CS!$A:$AK,18,FALSE),"")</f>
      </c>
      <c r="K388" s="57">
        <f>IFERROR(VLOOKUP($A:$A,CS!$A:$AK,19,FALSE),"")</f>
      </c>
      <c r="L388" s="57">
        <f>IFERROR(VLOOKUP($A:$A,CS!$A:$AK,20,FALSE),"")</f>
      </c>
      <c r="M388" s="57">
        <f>IFERROR(VLOOKUP($A:$A,CS!$A:$AK,22,FALSE),"")</f>
      </c>
      <c r="N388" s="57">
        <f>IFERROR(VLOOKUP($A:$A,CS!$A:$AK,19,FALSE),"")</f>
      </c>
      <c r="O388" s="57">
        <f>IFERROR(VLOOKUP($A:$A,CS!$A:$AK,23,FALSE),"")</f>
      </c>
      <c r="P388" s="57">
        <f>IFERROR(VLOOKUP($A:$A,CS!$A:$AK,24,FALSE),"")</f>
      </c>
      <c r="Q388" s="57">
        <f>IFERROR(VLOOKUP($A:$A,CS!$A:$AK,25,FALSE),"")</f>
      </c>
      <c r="R388" s="57">
        <f>IFERROR(VLOOKUP($A:$A,CS!$A:$AK,26,FALSE),"")</f>
      </c>
      <c r="S388" s="57">
        <f>IFERROR(VLOOKUP($A:$A,CS!$A:$AK,29,FALSE),"")</f>
      </c>
      <c r="T388" s="57">
        <f>IFERROR(VLOOKUP($A:$A,CS!$A:$AK,33,FALSE),"")</f>
      </c>
      <c r="U388" s="57">
        <f>IFERROR(VLOOKUP($A:$A,CS!$A:$AK,34,FALSE),"")</f>
      </c>
      <c r="V388" s="57">
        <f>IFERROR(VLOOKUP($A:$A,CS!$A:$AK,35,FALSE),"")</f>
      </c>
      <c r="W388" s="57">
        <f>IFERROR(VLOOKUP($A:$A,CS!$A:$AK,36,FALSE),"")</f>
      </c>
    </row>
    <row r="389" ht="16.5" customHeight="1" spans="1:23" x14ac:dyDescent="0.25">
      <c r="A389" s="71"/>
      <c r="B389" s="57">
        <f>IFERROR(VLOOKUP($A:$A,CS!$A:$AK,3,FALSE),"")</f>
      </c>
      <c r="C389" s="57">
        <f>IFERROR(VLOOKUP($A:$A,CS!$A:$AK,4,FALSE),"")</f>
      </c>
      <c r="D389" s="57">
        <f>IFERROR(VLOOKUP($A:$A,CS!$A:$AK,5,FALSE),"")</f>
      </c>
      <c r="E389" s="57">
        <f>IFERROR(VLOOKUP($A:$A,CS!$A:$AK,7,FALSE),"")</f>
      </c>
      <c r="F389" s="57">
        <f>IFERROR(VLOOKUP($A:$A,CS!$A:$AK,8,FALSE),"")</f>
      </c>
      <c r="G389" s="57">
        <f>IFERROR(VLOOKUP($A:$A,CS!$A:$AK,10,FALSE),"")</f>
      </c>
      <c r="H389" s="57">
        <f>IFERROR(VLOOKUP($A:$A,CS!$A:$AK,14,FALSE),"")</f>
      </c>
      <c r="I389" s="57">
        <f>IFERROR(VLOOKUP($A:$A,CS!$A:$AK,15,FALSE),"")</f>
      </c>
      <c r="J389" s="57">
        <f>IFERROR(VLOOKUP($A:$A,CS!$A:$AK,18,FALSE),"")</f>
      </c>
      <c r="K389" s="57">
        <f>IFERROR(VLOOKUP($A:$A,CS!$A:$AK,19,FALSE),"")</f>
      </c>
      <c r="L389" s="57">
        <f>IFERROR(VLOOKUP($A:$A,CS!$A:$AK,20,FALSE),"")</f>
      </c>
      <c r="M389" s="57">
        <f>IFERROR(VLOOKUP($A:$A,CS!$A:$AK,22,FALSE),"")</f>
      </c>
      <c r="N389" s="57">
        <f>IFERROR(VLOOKUP($A:$A,CS!$A:$AK,19,FALSE),"")</f>
      </c>
      <c r="O389" s="57">
        <f>IFERROR(VLOOKUP($A:$A,CS!$A:$AK,23,FALSE),"")</f>
      </c>
      <c r="P389" s="57">
        <f>IFERROR(VLOOKUP($A:$A,CS!$A:$AK,24,FALSE),"")</f>
      </c>
      <c r="Q389" s="57">
        <f>IFERROR(VLOOKUP($A:$A,CS!$A:$AK,25,FALSE),"")</f>
      </c>
      <c r="R389" s="57">
        <f>IFERROR(VLOOKUP($A:$A,CS!$A:$AK,26,FALSE),"")</f>
      </c>
      <c r="S389" s="57">
        <f>IFERROR(VLOOKUP($A:$A,CS!$A:$AK,29,FALSE),"")</f>
      </c>
      <c r="T389" s="57">
        <f>IFERROR(VLOOKUP($A:$A,CS!$A:$AK,33,FALSE),"")</f>
      </c>
      <c r="U389" s="57">
        <f>IFERROR(VLOOKUP($A:$A,CS!$A:$AK,34,FALSE),"")</f>
      </c>
      <c r="V389" s="57">
        <f>IFERROR(VLOOKUP($A:$A,CS!$A:$AK,35,FALSE),"")</f>
      </c>
      <c r="W389" s="57">
        <f>IFERROR(VLOOKUP($A:$A,CS!$A:$AK,36,FALSE),"")</f>
      </c>
    </row>
    <row r="390" ht="16.5" customHeight="1" spans="1:23" x14ac:dyDescent="0.25">
      <c r="A390" s="71"/>
      <c r="B390" s="57">
        <f>IFERROR(VLOOKUP($A:$A,CS!$A:$AK,3,FALSE),"")</f>
      </c>
      <c r="C390" s="57">
        <f>IFERROR(VLOOKUP($A:$A,CS!$A:$AK,4,FALSE),"")</f>
      </c>
      <c r="D390" s="57">
        <f>IFERROR(VLOOKUP($A:$A,CS!$A:$AK,5,FALSE),"")</f>
      </c>
      <c r="E390" s="57">
        <f>IFERROR(VLOOKUP($A:$A,CS!$A:$AK,7,FALSE),"")</f>
      </c>
      <c r="F390" s="57">
        <f>IFERROR(VLOOKUP($A:$A,CS!$A:$AK,8,FALSE),"")</f>
      </c>
      <c r="G390" s="57">
        <f>IFERROR(VLOOKUP($A:$A,CS!$A:$AK,10,FALSE),"")</f>
      </c>
      <c r="H390" s="57">
        <f>IFERROR(VLOOKUP($A:$A,CS!$A:$AK,14,FALSE),"")</f>
      </c>
      <c r="I390" s="57">
        <f>IFERROR(VLOOKUP($A:$A,CS!$A:$AK,15,FALSE),"")</f>
      </c>
      <c r="J390" s="57">
        <f>IFERROR(VLOOKUP($A:$A,CS!$A:$AK,18,FALSE),"")</f>
      </c>
      <c r="K390" s="57">
        <f>IFERROR(VLOOKUP($A:$A,CS!$A:$AK,19,FALSE),"")</f>
      </c>
      <c r="L390" s="57">
        <f>IFERROR(VLOOKUP($A:$A,CS!$A:$AK,20,FALSE),"")</f>
      </c>
      <c r="M390" s="57">
        <f>IFERROR(VLOOKUP($A:$A,CS!$A:$AK,22,FALSE),"")</f>
      </c>
      <c r="N390" s="57">
        <f>IFERROR(VLOOKUP($A:$A,CS!$A:$AK,19,FALSE),"")</f>
      </c>
      <c r="O390" s="57">
        <f>IFERROR(VLOOKUP($A:$A,CS!$A:$AK,23,FALSE),"")</f>
      </c>
      <c r="P390" s="57">
        <f>IFERROR(VLOOKUP($A:$A,CS!$A:$AK,24,FALSE),"")</f>
      </c>
      <c r="Q390" s="57">
        <f>IFERROR(VLOOKUP($A:$A,CS!$A:$AK,25,FALSE),"")</f>
      </c>
      <c r="R390" s="57">
        <f>IFERROR(VLOOKUP($A:$A,CS!$A:$AK,26,FALSE),"")</f>
      </c>
      <c r="S390" s="57">
        <f>IFERROR(VLOOKUP($A:$A,CS!$A:$AK,29,FALSE),"")</f>
      </c>
      <c r="T390" s="57">
        <f>IFERROR(VLOOKUP($A:$A,CS!$A:$AK,33,FALSE),"")</f>
      </c>
      <c r="U390" s="57">
        <f>IFERROR(VLOOKUP($A:$A,CS!$A:$AK,34,FALSE),"")</f>
      </c>
      <c r="V390" s="57">
        <f>IFERROR(VLOOKUP($A:$A,CS!$A:$AK,35,FALSE),"")</f>
      </c>
      <c r="W390" s="57">
        <f>IFERROR(VLOOKUP($A:$A,CS!$A:$AK,36,FALSE),"")</f>
      </c>
    </row>
    <row r="391" ht="16.5" customHeight="1" spans="1:23" x14ac:dyDescent="0.25">
      <c r="A391" s="71"/>
      <c r="B391" s="57">
        <f>IFERROR(VLOOKUP($A:$A,CS!$A:$AK,3,FALSE),"")</f>
      </c>
      <c r="C391" s="57">
        <f>IFERROR(VLOOKUP($A:$A,CS!$A:$AK,4,FALSE),"")</f>
      </c>
      <c r="D391" s="57">
        <f>IFERROR(VLOOKUP($A:$A,CS!$A:$AK,5,FALSE),"")</f>
      </c>
      <c r="E391" s="57">
        <f>IFERROR(VLOOKUP($A:$A,CS!$A:$AK,7,FALSE),"")</f>
      </c>
      <c r="F391" s="57">
        <f>IFERROR(VLOOKUP($A:$A,CS!$A:$AK,8,FALSE),"")</f>
      </c>
      <c r="G391" s="57">
        <f>IFERROR(VLOOKUP($A:$A,CS!$A:$AK,10,FALSE),"")</f>
      </c>
      <c r="H391" s="57">
        <f>IFERROR(VLOOKUP($A:$A,CS!$A:$AK,14,FALSE),"")</f>
      </c>
      <c r="I391" s="57">
        <f>IFERROR(VLOOKUP($A:$A,CS!$A:$AK,15,FALSE),"")</f>
      </c>
      <c r="J391" s="57">
        <f>IFERROR(VLOOKUP($A:$A,CS!$A:$AK,18,FALSE),"")</f>
      </c>
      <c r="K391" s="57">
        <f>IFERROR(VLOOKUP($A:$A,CS!$A:$AK,19,FALSE),"")</f>
      </c>
      <c r="L391" s="57">
        <f>IFERROR(VLOOKUP($A:$A,CS!$A:$AK,20,FALSE),"")</f>
      </c>
      <c r="M391" s="57">
        <f>IFERROR(VLOOKUP($A:$A,CS!$A:$AK,22,FALSE),"")</f>
      </c>
      <c r="N391" s="57">
        <f>IFERROR(VLOOKUP($A:$A,CS!$A:$AK,19,FALSE),"")</f>
      </c>
      <c r="O391" s="57">
        <f>IFERROR(VLOOKUP($A:$A,CS!$A:$AK,23,FALSE),"")</f>
      </c>
      <c r="P391" s="57">
        <f>IFERROR(VLOOKUP($A:$A,CS!$A:$AK,24,FALSE),"")</f>
      </c>
      <c r="Q391" s="57">
        <f>IFERROR(VLOOKUP($A:$A,CS!$A:$AK,25,FALSE),"")</f>
      </c>
      <c r="R391" s="57">
        <f>IFERROR(VLOOKUP($A:$A,CS!$A:$AK,26,FALSE),"")</f>
      </c>
      <c r="S391" s="57">
        <f>IFERROR(VLOOKUP($A:$A,CS!$A:$AK,29,FALSE),"")</f>
      </c>
      <c r="T391" s="57">
        <f>IFERROR(VLOOKUP($A:$A,CS!$A:$AK,33,FALSE),"")</f>
      </c>
      <c r="U391" s="57">
        <f>IFERROR(VLOOKUP($A:$A,CS!$A:$AK,34,FALSE),"")</f>
      </c>
      <c r="V391" s="57">
        <f>IFERROR(VLOOKUP($A:$A,CS!$A:$AK,35,FALSE),"")</f>
      </c>
      <c r="W391" s="57">
        <f>IFERROR(VLOOKUP($A:$A,CS!$A:$AK,36,FALSE),"")</f>
      </c>
    </row>
    <row r="392" ht="16.5" customHeight="1" spans="1:23" x14ac:dyDescent="0.25">
      <c r="A392" s="71"/>
      <c r="B392" s="57">
        <f>IFERROR(VLOOKUP($A:$A,CS!$A:$AK,3,FALSE),"")</f>
      </c>
      <c r="C392" s="57">
        <f>IFERROR(VLOOKUP($A:$A,CS!$A:$AK,4,FALSE),"")</f>
      </c>
      <c r="D392" s="57">
        <f>IFERROR(VLOOKUP($A:$A,CS!$A:$AK,5,FALSE),"")</f>
      </c>
      <c r="E392" s="57">
        <f>IFERROR(VLOOKUP($A:$A,CS!$A:$AK,7,FALSE),"")</f>
      </c>
      <c r="F392" s="57">
        <f>IFERROR(VLOOKUP($A:$A,CS!$A:$AK,8,FALSE),"")</f>
      </c>
      <c r="G392" s="57">
        <f>IFERROR(VLOOKUP($A:$A,CS!$A:$AK,10,FALSE),"")</f>
      </c>
      <c r="H392" s="57">
        <f>IFERROR(VLOOKUP($A:$A,CS!$A:$AK,14,FALSE),"")</f>
      </c>
      <c r="I392" s="57">
        <f>IFERROR(VLOOKUP($A:$A,CS!$A:$AK,15,FALSE),"")</f>
      </c>
      <c r="J392" s="57">
        <f>IFERROR(VLOOKUP($A:$A,CS!$A:$AK,18,FALSE),"")</f>
      </c>
      <c r="K392" s="57">
        <f>IFERROR(VLOOKUP($A:$A,CS!$A:$AK,19,FALSE),"")</f>
      </c>
      <c r="L392" s="57">
        <f>IFERROR(VLOOKUP($A:$A,CS!$A:$AK,20,FALSE),"")</f>
      </c>
      <c r="M392" s="57">
        <f>IFERROR(VLOOKUP($A:$A,CS!$A:$AK,22,FALSE),"")</f>
      </c>
      <c r="N392" s="57">
        <f>IFERROR(VLOOKUP($A:$A,CS!$A:$AK,19,FALSE),"")</f>
      </c>
      <c r="O392" s="57">
        <f>IFERROR(VLOOKUP($A:$A,CS!$A:$AK,23,FALSE),"")</f>
      </c>
      <c r="P392" s="57">
        <f>IFERROR(VLOOKUP($A:$A,CS!$A:$AK,24,FALSE),"")</f>
      </c>
      <c r="Q392" s="57">
        <f>IFERROR(VLOOKUP($A:$A,CS!$A:$AK,25,FALSE),"")</f>
      </c>
      <c r="R392" s="57">
        <f>IFERROR(VLOOKUP($A:$A,CS!$A:$AK,26,FALSE),"")</f>
      </c>
      <c r="S392" s="57">
        <f>IFERROR(VLOOKUP($A:$A,CS!$A:$AK,29,FALSE),"")</f>
      </c>
      <c r="T392" s="57">
        <f>IFERROR(VLOOKUP($A:$A,CS!$A:$AK,33,FALSE),"")</f>
      </c>
      <c r="U392" s="57">
        <f>IFERROR(VLOOKUP($A:$A,CS!$A:$AK,34,FALSE),"")</f>
      </c>
      <c r="V392" s="57">
        <f>IFERROR(VLOOKUP($A:$A,CS!$A:$AK,35,FALSE),"")</f>
      </c>
      <c r="W392" s="57">
        <f>IFERROR(VLOOKUP($A:$A,CS!$A:$AK,36,FALSE),"")</f>
      </c>
    </row>
    <row r="393" ht="16.5" customHeight="1" spans="1:23" x14ac:dyDescent="0.25">
      <c r="A393" s="71"/>
      <c r="B393" s="57">
        <f>IFERROR(VLOOKUP($A:$A,CS!$A:$AK,3,FALSE),"")</f>
      </c>
      <c r="C393" s="57">
        <f>IFERROR(VLOOKUP($A:$A,CS!$A:$AK,4,FALSE),"")</f>
      </c>
      <c r="D393" s="57">
        <f>IFERROR(VLOOKUP($A:$A,CS!$A:$AK,5,FALSE),"")</f>
      </c>
      <c r="E393" s="57">
        <f>IFERROR(VLOOKUP($A:$A,CS!$A:$AK,7,FALSE),"")</f>
      </c>
      <c r="F393" s="57">
        <f>IFERROR(VLOOKUP($A:$A,CS!$A:$AK,8,FALSE),"")</f>
      </c>
      <c r="G393" s="57">
        <f>IFERROR(VLOOKUP($A:$A,CS!$A:$AK,10,FALSE),"")</f>
      </c>
      <c r="H393" s="57">
        <f>IFERROR(VLOOKUP($A:$A,CS!$A:$AK,14,FALSE),"")</f>
      </c>
      <c r="I393" s="57">
        <f>IFERROR(VLOOKUP($A:$A,CS!$A:$AK,15,FALSE),"")</f>
      </c>
      <c r="J393" s="57">
        <f>IFERROR(VLOOKUP($A:$A,CS!$A:$AK,18,FALSE),"")</f>
      </c>
      <c r="K393" s="57">
        <f>IFERROR(VLOOKUP($A:$A,CS!$A:$AK,19,FALSE),"")</f>
      </c>
      <c r="L393" s="57">
        <f>IFERROR(VLOOKUP($A:$A,CS!$A:$AK,20,FALSE),"")</f>
      </c>
      <c r="M393" s="57">
        <f>IFERROR(VLOOKUP($A:$A,CS!$A:$AK,22,FALSE),"")</f>
      </c>
      <c r="N393" s="57">
        <f>IFERROR(VLOOKUP($A:$A,CS!$A:$AK,19,FALSE),"")</f>
      </c>
      <c r="O393" s="57">
        <f>IFERROR(VLOOKUP($A:$A,CS!$A:$AK,23,FALSE),"")</f>
      </c>
      <c r="P393" s="57">
        <f>IFERROR(VLOOKUP($A:$A,CS!$A:$AK,24,FALSE),"")</f>
      </c>
      <c r="Q393" s="57">
        <f>IFERROR(VLOOKUP($A:$A,CS!$A:$AK,25,FALSE),"")</f>
      </c>
      <c r="R393" s="57">
        <f>IFERROR(VLOOKUP($A:$A,CS!$A:$AK,26,FALSE),"")</f>
      </c>
      <c r="S393" s="57">
        <f>IFERROR(VLOOKUP($A:$A,CS!$A:$AK,29,FALSE),"")</f>
      </c>
      <c r="T393" s="57">
        <f>IFERROR(VLOOKUP($A:$A,CS!$A:$AK,33,FALSE),"")</f>
      </c>
      <c r="U393" s="57">
        <f>IFERROR(VLOOKUP($A:$A,CS!$A:$AK,34,FALSE),"")</f>
      </c>
      <c r="V393" s="57">
        <f>IFERROR(VLOOKUP($A:$A,CS!$A:$AK,35,FALSE),"")</f>
      </c>
      <c r="W393" s="57">
        <f>IFERROR(VLOOKUP($A:$A,CS!$A:$AK,36,FALSE),"")</f>
      </c>
    </row>
    <row r="394" ht="16.5" customHeight="1" spans="1:23" x14ac:dyDescent="0.25">
      <c r="A394" s="71"/>
      <c r="B394" s="57">
        <f>IFERROR(VLOOKUP($A:$A,CS!$A:$AK,3,FALSE),"")</f>
      </c>
      <c r="C394" s="57">
        <f>IFERROR(VLOOKUP($A:$A,CS!$A:$AK,4,FALSE),"")</f>
      </c>
      <c r="D394" s="57">
        <f>IFERROR(VLOOKUP($A:$A,CS!$A:$AK,5,FALSE),"")</f>
      </c>
      <c r="E394" s="57">
        <f>IFERROR(VLOOKUP($A:$A,CS!$A:$AK,7,FALSE),"")</f>
      </c>
      <c r="F394" s="57">
        <f>IFERROR(VLOOKUP($A:$A,CS!$A:$AK,8,FALSE),"")</f>
      </c>
      <c r="G394" s="57">
        <f>IFERROR(VLOOKUP($A:$A,CS!$A:$AK,10,FALSE),"")</f>
      </c>
      <c r="H394" s="57">
        <f>IFERROR(VLOOKUP($A:$A,CS!$A:$AK,14,FALSE),"")</f>
      </c>
      <c r="I394" s="57">
        <f>IFERROR(VLOOKUP($A:$A,CS!$A:$AK,15,FALSE),"")</f>
      </c>
      <c r="J394" s="57">
        <f>IFERROR(VLOOKUP($A:$A,CS!$A:$AK,18,FALSE),"")</f>
      </c>
      <c r="K394" s="57">
        <f>IFERROR(VLOOKUP($A:$A,CS!$A:$AK,19,FALSE),"")</f>
      </c>
      <c r="L394" s="57">
        <f>IFERROR(VLOOKUP($A:$A,CS!$A:$AK,20,FALSE),"")</f>
      </c>
      <c r="M394" s="57">
        <f>IFERROR(VLOOKUP($A:$A,CS!$A:$AK,22,FALSE),"")</f>
      </c>
      <c r="N394" s="57">
        <f>IFERROR(VLOOKUP($A:$A,CS!$A:$AK,19,FALSE),"")</f>
      </c>
      <c r="O394" s="57">
        <f>IFERROR(VLOOKUP($A:$A,CS!$A:$AK,23,FALSE),"")</f>
      </c>
      <c r="P394" s="57">
        <f>IFERROR(VLOOKUP($A:$A,CS!$A:$AK,24,FALSE),"")</f>
      </c>
      <c r="Q394" s="57">
        <f>IFERROR(VLOOKUP($A:$A,CS!$A:$AK,25,FALSE),"")</f>
      </c>
      <c r="R394" s="57">
        <f>IFERROR(VLOOKUP($A:$A,CS!$A:$AK,26,FALSE),"")</f>
      </c>
      <c r="S394" s="57">
        <f>IFERROR(VLOOKUP($A:$A,CS!$A:$AK,29,FALSE),"")</f>
      </c>
      <c r="T394" s="57">
        <f>IFERROR(VLOOKUP($A:$A,CS!$A:$AK,33,FALSE),"")</f>
      </c>
      <c r="U394" s="57">
        <f>IFERROR(VLOOKUP($A:$A,CS!$A:$AK,34,FALSE),"")</f>
      </c>
      <c r="V394" s="57">
        <f>IFERROR(VLOOKUP($A:$A,CS!$A:$AK,35,FALSE),"")</f>
      </c>
      <c r="W394" s="57">
        <f>IFERROR(VLOOKUP($A:$A,CS!$A:$AK,36,FALSE),"")</f>
      </c>
    </row>
    <row r="395" ht="16.5" customHeight="1" spans="1:23" x14ac:dyDescent="0.25">
      <c r="A395" s="71"/>
      <c r="B395" s="57">
        <f>IFERROR(VLOOKUP($A:$A,CS!$A:$AK,3,FALSE),"")</f>
      </c>
      <c r="C395" s="57">
        <f>IFERROR(VLOOKUP($A:$A,CS!$A:$AK,4,FALSE),"")</f>
      </c>
      <c r="D395" s="57">
        <f>IFERROR(VLOOKUP($A:$A,CS!$A:$AK,5,FALSE),"")</f>
      </c>
      <c r="E395" s="57">
        <f>IFERROR(VLOOKUP($A:$A,CS!$A:$AK,7,FALSE),"")</f>
      </c>
      <c r="F395" s="57">
        <f>IFERROR(VLOOKUP($A:$A,CS!$A:$AK,8,FALSE),"")</f>
      </c>
      <c r="G395" s="57">
        <f>IFERROR(VLOOKUP($A:$A,CS!$A:$AK,10,FALSE),"")</f>
      </c>
      <c r="H395" s="57">
        <f>IFERROR(VLOOKUP($A:$A,CS!$A:$AK,14,FALSE),"")</f>
      </c>
      <c r="I395" s="57">
        <f>IFERROR(VLOOKUP($A:$A,CS!$A:$AK,15,FALSE),"")</f>
      </c>
      <c r="J395" s="57">
        <f>IFERROR(VLOOKUP($A:$A,CS!$A:$AK,18,FALSE),"")</f>
      </c>
      <c r="K395" s="57">
        <f>IFERROR(VLOOKUP($A:$A,CS!$A:$AK,19,FALSE),"")</f>
      </c>
      <c r="L395" s="57">
        <f>IFERROR(VLOOKUP($A:$A,CS!$A:$AK,20,FALSE),"")</f>
      </c>
      <c r="M395" s="57">
        <f>IFERROR(VLOOKUP($A:$A,CS!$A:$AK,22,FALSE),"")</f>
      </c>
      <c r="N395" s="57">
        <f>IFERROR(VLOOKUP($A:$A,CS!$A:$AK,19,FALSE),"")</f>
      </c>
      <c r="O395" s="57">
        <f>IFERROR(VLOOKUP($A:$A,CS!$A:$AK,23,FALSE),"")</f>
      </c>
      <c r="P395" s="57">
        <f>IFERROR(VLOOKUP($A:$A,CS!$A:$AK,24,FALSE),"")</f>
      </c>
      <c r="Q395" s="57">
        <f>IFERROR(VLOOKUP($A:$A,CS!$A:$AK,25,FALSE),"")</f>
      </c>
      <c r="R395" s="57">
        <f>IFERROR(VLOOKUP($A:$A,CS!$A:$AK,26,FALSE),"")</f>
      </c>
      <c r="S395" s="57">
        <f>IFERROR(VLOOKUP($A:$A,CS!$A:$AK,29,FALSE),"")</f>
      </c>
      <c r="T395" s="57">
        <f>IFERROR(VLOOKUP($A:$A,CS!$A:$AK,33,FALSE),"")</f>
      </c>
      <c r="U395" s="57">
        <f>IFERROR(VLOOKUP($A:$A,CS!$A:$AK,34,FALSE),"")</f>
      </c>
      <c r="V395" s="57">
        <f>IFERROR(VLOOKUP($A:$A,CS!$A:$AK,35,FALSE),"")</f>
      </c>
      <c r="W395" s="57">
        <f>IFERROR(VLOOKUP($A:$A,CS!$A:$AK,36,FALSE),"")</f>
      </c>
    </row>
    <row r="396" ht="16.5" customHeight="1" spans="1:23" x14ac:dyDescent="0.25">
      <c r="A396" s="71"/>
      <c r="B396" s="57">
        <f>IFERROR(VLOOKUP($A:$A,CS!$A:$AK,3,FALSE),"")</f>
      </c>
      <c r="C396" s="57">
        <f>IFERROR(VLOOKUP($A:$A,CS!$A:$AK,4,FALSE),"")</f>
      </c>
      <c r="D396" s="57">
        <f>IFERROR(VLOOKUP($A:$A,CS!$A:$AK,5,FALSE),"")</f>
      </c>
      <c r="E396" s="57">
        <f>IFERROR(VLOOKUP($A:$A,CS!$A:$AK,7,FALSE),"")</f>
      </c>
      <c r="F396" s="57">
        <f>IFERROR(VLOOKUP($A:$A,CS!$A:$AK,8,FALSE),"")</f>
      </c>
      <c r="G396" s="57">
        <f>IFERROR(VLOOKUP($A:$A,CS!$A:$AK,10,FALSE),"")</f>
      </c>
      <c r="H396" s="57">
        <f>IFERROR(VLOOKUP($A:$A,CS!$A:$AK,14,FALSE),"")</f>
      </c>
      <c r="I396" s="57">
        <f>IFERROR(VLOOKUP($A:$A,CS!$A:$AK,15,FALSE),"")</f>
      </c>
      <c r="J396" s="57">
        <f>IFERROR(VLOOKUP($A:$A,CS!$A:$AK,18,FALSE),"")</f>
      </c>
      <c r="K396" s="57">
        <f>IFERROR(VLOOKUP($A:$A,CS!$A:$AK,19,FALSE),"")</f>
      </c>
      <c r="L396" s="57">
        <f>IFERROR(VLOOKUP($A:$A,CS!$A:$AK,20,FALSE),"")</f>
      </c>
      <c r="M396" s="57">
        <f>IFERROR(VLOOKUP($A:$A,CS!$A:$AK,22,FALSE),"")</f>
      </c>
      <c r="N396" s="57">
        <f>IFERROR(VLOOKUP($A:$A,CS!$A:$AK,19,FALSE),"")</f>
      </c>
      <c r="O396" s="57">
        <f>IFERROR(VLOOKUP($A:$A,CS!$A:$AK,23,FALSE),"")</f>
      </c>
      <c r="P396" s="57">
        <f>IFERROR(VLOOKUP($A:$A,CS!$A:$AK,24,FALSE),"")</f>
      </c>
      <c r="Q396" s="57">
        <f>IFERROR(VLOOKUP($A:$A,CS!$A:$AK,25,FALSE),"")</f>
      </c>
      <c r="R396" s="57">
        <f>IFERROR(VLOOKUP($A:$A,CS!$A:$AK,26,FALSE),"")</f>
      </c>
      <c r="S396" s="57">
        <f>IFERROR(VLOOKUP($A:$A,CS!$A:$AK,29,FALSE),"")</f>
      </c>
      <c r="T396" s="57">
        <f>IFERROR(VLOOKUP($A:$A,CS!$A:$AK,33,FALSE),"")</f>
      </c>
      <c r="U396" s="57">
        <f>IFERROR(VLOOKUP($A:$A,CS!$A:$AK,34,FALSE),"")</f>
      </c>
      <c r="V396" s="57">
        <f>IFERROR(VLOOKUP($A:$A,CS!$A:$AK,35,FALSE),"")</f>
      </c>
      <c r="W396" s="57">
        <f>IFERROR(VLOOKUP($A:$A,CS!$A:$AK,36,FALSE),"")</f>
      </c>
    </row>
    <row r="397" ht="16.5" customHeight="1" spans="1:23" x14ac:dyDescent="0.25">
      <c r="A397" s="71"/>
      <c r="B397" s="57">
        <f>IFERROR(VLOOKUP($A:$A,CS!$A:$AK,3,FALSE),"")</f>
      </c>
      <c r="C397" s="57">
        <f>IFERROR(VLOOKUP($A:$A,CS!$A:$AK,4,FALSE),"")</f>
      </c>
      <c r="D397" s="57">
        <f>IFERROR(VLOOKUP($A:$A,CS!$A:$AK,5,FALSE),"")</f>
      </c>
      <c r="E397" s="57">
        <f>IFERROR(VLOOKUP($A:$A,CS!$A:$AK,7,FALSE),"")</f>
      </c>
      <c r="F397" s="57">
        <f>IFERROR(VLOOKUP($A:$A,CS!$A:$AK,8,FALSE),"")</f>
      </c>
      <c r="G397" s="57">
        <f>IFERROR(VLOOKUP($A:$A,CS!$A:$AK,10,FALSE),"")</f>
      </c>
      <c r="H397" s="57">
        <f>IFERROR(VLOOKUP($A:$A,CS!$A:$AK,14,FALSE),"")</f>
      </c>
      <c r="I397" s="57">
        <f>IFERROR(VLOOKUP($A:$A,CS!$A:$AK,15,FALSE),"")</f>
      </c>
      <c r="J397" s="57">
        <f>IFERROR(VLOOKUP($A:$A,CS!$A:$AK,18,FALSE),"")</f>
      </c>
      <c r="K397" s="57">
        <f>IFERROR(VLOOKUP($A:$A,CS!$A:$AK,19,FALSE),"")</f>
      </c>
      <c r="L397" s="57">
        <f>IFERROR(VLOOKUP($A:$A,CS!$A:$AK,20,FALSE),"")</f>
      </c>
      <c r="M397" s="57">
        <f>IFERROR(VLOOKUP($A:$A,CS!$A:$AK,22,FALSE),"")</f>
      </c>
      <c r="N397" s="57">
        <f>IFERROR(VLOOKUP($A:$A,CS!$A:$AK,19,FALSE),"")</f>
      </c>
      <c r="O397" s="57">
        <f>IFERROR(VLOOKUP($A:$A,CS!$A:$AK,23,FALSE),"")</f>
      </c>
      <c r="P397" s="57">
        <f>IFERROR(VLOOKUP($A:$A,CS!$A:$AK,24,FALSE),"")</f>
      </c>
      <c r="Q397" s="57">
        <f>IFERROR(VLOOKUP($A:$A,CS!$A:$AK,25,FALSE),"")</f>
      </c>
      <c r="R397" s="57">
        <f>IFERROR(VLOOKUP($A:$A,CS!$A:$AK,26,FALSE),"")</f>
      </c>
      <c r="S397" s="57">
        <f>IFERROR(VLOOKUP($A:$A,CS!$A:$AK,29,FALSE),"")</f>
      </c>
      <c r="T397" s="57">
        <f>IFERROR(VLOOKUP($A:$A,CS!$A:$AK,33,FALSE),"")</f>
      </c>
      <c r="U397" s="57">
        <f>IFERROR(VLOOKUP($A:$A,CS!$A:$AK,34,FALSE),"")</f>
      </c>
      <c r="V397" s="57">
        <f>IFERROR(VLOOKUP($A:$A,CS!$A:$AK,35,FALSE),"")</f>
      </c>
      <c r="W397" s="57">
        <f>IFERROR(VLOOKUP($A:$A,CS!$A:$AK,36,FALSE),"")</f>
      </c>
    </row>
    <row r="398" ht="16.5" customHeight="1" spans="1:23" x14ac:dyDescent="0.25">
      <c r="A398" s="71"/>
      <c r="B398" s="57">
        <f>IFERROR(VLOOKUP($A:$A,CS!$A:$AK,3,FALSE),"")</f>
      </c>
      <c r="C398" s="57">
        <f>IFERROR(VLOOKUP($A:$A,CS!$A:$AK,4,FALSE),"")</f>
      </c>
      <c r="D398" s="57">
        <f>IFERROR(VLOOKUP($A:$A,CS!$A:$AK,5,FALSE),"")</f>
      </c>
      <c r="E398" s="57">
        <f>IFERROR(VLOOKUP($A:$A,CS!$A:$AK,7,FALSE),"")</f>
      </c>
      <c r="F398" s="57">
        <f>IFERROR(VLOOKUP($A:$A,CS!$A:$AK,8,FALSE),"")</f>
      </c>
      <c r="G398" s="57">
        <f>IFERROR(VLOOKUP($A:$A,CS!$A:$AK,10,FALSE),"")</f>
      </c>
      <c r="H398" s="57">
        <f>IFERROR(VLOOKUP($A:$A,CS!$A:$AK,14,FALSE),"")</f>
      </c>
      <c r="I398" s="57">
        <f>IFERROR(VLOOKUP($A:$A,CS!$A:$AK,15,FALSE),"")</f>
      </c>
      <c r="J398" s="57">
        <f>IFERROR(VLOOKUP($A:$A,CS!$A:$AK,18,FALSE),"")</f>
      </c>
      <c r="K398" s="57">
        <f>IFERROR(VLOOKUP($A:$A,CS!$A:$AK,19,FALSE),"")</f>
      </c>
      <c r="L398" s="57">
        <f>IFERROR(VLOOKUP($A:$A,CS!$A:$AK,20,FALSE),"")</f>
      </c>
      <c r="M398" s="57">
        <f>IFERROR(VLOOKUP($A:$A,CS!$A:$AK,22,FALSE),"")</f>
      </c>
      <c r="N398" s="57">
        <f>IFERROR(VLOOKUP($A:$A,CS!$A:$AK,19,FALSE),"")</f>
      </c>
      <c r="O398" s="57">
        <f>IFERROR(VLOOKUP($A:$A,CS!$A:$AK,23,FALSE),"")</f>
      </c>
      <c r="P398" s="57">
        <f>IFERROR(VLOOKUP($A:$A,CS!$A:$AK,24,FALSE),"")</f>
      </c>
      <c r="Q398" s="57">
        <f>IFERROR(VLOOKUP($A:$A,CS!$A:$AK,25,FALSE),"")</f>
      </c>
      <c r="R398" s="57">
        <f>IFERROR(VLOOKUP($A:$A,CS!$A:$AK,26,FALSE),"")</f>
      </c>
      <c r="S398" s="57">
        <f>IFERROR(VLOOKUP($A:$A,CS!$A:$AK,29,FALSE),"")</f>
      </c>
      <c r="T398" s="57">
        <f>IFERROR(VLOOKUP($A:$A,CS!$A:$AK,33,FALSE),"")</f>
      </c>
      <c r="U398" s="57">
        <f>IFERROR(VLOOKUP($A:$A,CS!$A:$AK,34,FALSE),"")</f>
      </c>
      <c r="V398" s="57">
        <f>IFERROR(VLOOKUP($A:$A,CS!$A:$AK,35,FALSE),"")</f>
      </c>
      <c r="W398" s="57">
        <f>IFERROR(VLOOKUP($A:$A,CS!$A:$AK,36,FALSE),"")</f>
      </c>
    </row>
    <row r="399" ht="16.5" customHeight="1" spans="1:23" x14ac:dyDescent="0.25">
      <c r="A399" s="71"/>
      <c r="B399" s="57">
        <f>IFERROR(VLOOKUP($A:$A,CS!$A:$AK,3,FALSE),"")</f>
      </c>
      <c r="C399" s="57">
        <f>IFERROR(VLOOKUP($A:$A,CS!$A:$AK,4,FALSE),"")</f>
      </c>
      <c r="D399" s="57">
        <f>IFERROR(VLOOKUP($A:$A,CS!$A:$AK,5,FALSE),"")</f>
      </c>
      <c r="E399" s="57">
        <f>IFERROR(VLOOKUP($A:$A,CS!$A:$AK,7,FALSE),"")</f>
      </c>
      <c r="F399" s="57">
        <f>IFERROR(VLOOKUP($A:$A,CS!$A:$AK,8,FALSE),"")</f>
      </c>
      <c r="G399" s="57">
        <f>IFERROR(VLOOKUP($A:$A,CS!$A:$AK,10,FALSE),"")</f>
      </c>
      <c r="H399" s="57">
        <f>IFERROR(VLOOKUP($A:$A,CS!$A:$AK,14,FALSE),"")</f>
      </c>
      <c r="I399" s="57">
        <f>IFERROR(VLOOKUP($A:$A,CS!$A:$AK,15,FALSE),"")</f>
      </c>
      <c r="J399" s="57">
        <f>IFERROR(VLOOKUP($A:$A,CS!$A:$AK,18,FALSE),"")</f>
      </c>
      <c r="K399" s="57">
        <f>IFERROR(VLOOKUP($A:$A,CS!$A:$AK,19,FALSE),"")</f>
      </c>
      <c r="L399" s="57">
        <f>IFERROR(VLOOKUP($A:$A,CS!$A:$AK,20,FALSE),"")</f>
      </c>
      <c r="M399" s="57">
        <f>IFERROR(VLOOKUP($A:$A,CS!$A:$AK,22,FALSE),"")</f>
      </c>
      <c r="N399" s="57">
        <f>IFERROR(VLOOKUP($A:$A,CS!$A:$AK,19,FALSE),"")</f>
      </c>
      <c r="O399" s="57">
        <f>IFERROR(VLOOKUP($A:$A,CS!$A:$AK,23,FALSE),"")</f>
      </c>
      <c r="P399" s="57">
        <f>IFERROR(VLOOKUP($A:$A,CS!$A:$AK,24,FALSE),"")</f>
      </c>
      <c r="Q399" s="57">
        <f>IFERROR(VLOOKUP($A:$A,CS!$A:$AK,25,FALSE),"")</f>
      </c>
      <c r="R399" s="57">
        <f>IFERROR(VLOOKUP($A:$A,CS!$A:$AK,26,FALSE),"")</f>
      </c>
      <c r="S399" s="57">
        <f>IFERROR(VLOOKUP($A:$A,CS!$A:$AK,29,FALSE),"")</f>
      </c>
      <c r="T399" s="57">
        <f>IFERROR(VLOOKUP($A:$A,CS!$A:$AK,33,FALSE),"")</f>
      </c>
      <c r="U399" s="57">
        <f>IFERROR(VLOOKUP($A:$A,CS!$A:$AK,34,FALSE),"")</f>
      </c>
      <c r="V399" s="57">
        <f>IFERROR(VLOOKUP($A:$A,CS!$A:$AK,35,FALSE),"")</f>
      </c>
      <c r="W399" s="57">
        <f>IFERROR(VLOOKUP($A:$A,CS!$A:$AK,36,FALSE),"")</f>
      </c>
    </row>
    <row r="400" ht="16.5" customHeight="1" spans="1:23" x14ac:dyDescent="0.25">
      <c r="A400" s="71"/>
      <c r="B400" s="57">
        <f>IFERROR(VLOOKUP($A:$A,CS!$A:$AK,3,FALSE),"")</f>
      </c>
      <c r="C400" s="57">
        <f>IFERROR(VLOOKUP($A:$A,CS!$A:$AK,4,FALSE),"")</f>
      </c>
      <c r="D400" s="57">
        <f>IFERROR(VLOOKUP($A:$A,CS!$A:$AK,5,FALSE),"")</f>
      </c>
      <c r="E400" s="57">
        <f>IFERROR(VLOOKUP($A:$A,CS!$A:$AK,7,FALSE),"")</f>
      </c>
      <c r="F400" s="57">
        <f>IFERROR(VLOOKUP($A:$A,CS!$A:$AK,8,FALSE),"")</f>
      </c>
      <c r="G400" s="57">
        <f>IFERROR(VLOOKUP($A:$A,CS!$A:$AK,10,FALSE),"")</f>
      </c>
      <c r="H400" s="57">
        <f>IFERROR(VLOOKUP($A:$A,CS!$A:$AK,14,FALSE),"")</f>
      </c>
      <c r="I400" s="57">
        <f>IFERROR(VLOOKUP($A:$A,CS!$A:$AK,15,FALSE),"")</f>
      </c>
      <c r="J400" s="57">
        <f>IFERROR(VLOOKUP($A:$A,CS!$A:$AK,18,FALSE),"")</f>
      </c>
      <c r="K400" s="57">
        <f>IFERROR(VLOOKUP($A:$A,CS!$A:$AK,19,FALSE),"")</f>
      </c>
      <c r="L400" s="57">
        <f>IFERROR(VLOOKUP($A:$A,CS!$A:$AK,20,FALSE),"")</f>
      </c>
      <c r="M400" s="57">
        <f>IFERROR(VLOOKUP($A:$A,CS!$A:$AK,22,FALSE),"")</f>
      </c>
      <c r="N400" s="57">
        <f>IFERROR(VLOOKUP($A:$A,CS!$A:$AK,19,FALSE),"")</f>
      </c>
      <c r="O400" s="57">
        <f>IFERROR(VLOOKUP($A:$A,CS!$A:$AK,23,FALSE),"")</f>
      </c>
      <c r="P400" s="57">
        <f>IFERROR(VLOOKUP($A:$A,CS!$A:$AK,24,FALSE),"")</f>
      </c>
      <c r="Q400" s="57">
        <f>IFERROR(VLOOKUP($A:$A,CS!$A:$AK,25,FALSE),"")</f>
      </c>
      <c r="R400" s="57">
        <f>IFERROR(VLOOKUP($A:$A,CS!$A:$AK,26,FALSE),"")</f>
      </c>
      <c r="S400" s="57">
        <f>IFERROR(VLOOKUP($A:$A,CS!$A:$AK,29,FALSE),"")</f>
      </c>
      <c r="T400" s="57">
        <f>IFERROR(VLOOKUP($A:$A,CS!$A:$AK,33,FALSE),"")</f>
      </c>
      <c r="U400" s="57">
        <f>IFERROR(VLOOKUP($A:$A,CS!$A:$AK,34,FALSE),"")</f>
      </c>
      <c r="V400" s="57">
        <f>IFERROR(VLOOKUP($A:$A,CS!$A:$AK,35,FALSE),"")</f>
      </c>
      <c r="W400" s="57">
        <f>IFERROR(VLOOKUP($A:$A,CS!$A:$AK,36,FALSE),"")</f>
      </c>
    </row>
    <row r="401" ht="16.5" customHeight="1" spans="1:23" x14ac:dyDescent="0.25">
      <c r="A401" s="71"/>
      <c r="B401" s="57">
        <f>IFERROR(VLOOKUP($A:$A,CS!$A:$AK,3,FALSE),"")</f>
      </c>
      <c r="C401" s="57">
        <f>IFERROR(VLOOKUP($A:$A,CS!$A:$AK,4,FALSE),"")</f>
      </c>
      <c r="D401" s="57">
        <f>IFERROR(VLOOKUP($A:$A,CS!$A:$AK,5,FALSE),"")</f>
      </c>
      <c r="E401" s="57">
        <f>IFERROR(VLOOKUP($A:$A,CS!$A:$AK,7,FALSE),"")</f>
      </c>
      <c r="F401" s="57">
        <f>IFERROR(VLOOKUP($A:$A,CS!$A:$AK,8,FALSE),"")</f>
      </c>
      <c r="G401" s="57">
        <f>IFERROR(VLOOKUP($A:$A,CS!$A:$AK,10,FALSE),"")</f>
      </c>
      <c r="H401" s="57">
        <f>IFERROR(VLOOKUP($A:$A,CS!$A:$AK,14,FALSE),"")</f>
      </c>
      <c r="I401" s="57">
        <f>IFERROR(VLOOKUP($A:$A,CS!$A:$AK,15,FALSE),"")</f>
      </c>
      <c r="J401" s="57">
        <f>IFERROR(VLOOKUP($A:$A,CS!$A:$AK,18,FALSE),"")</f>
      </c>
      <c r="K401" s="57">
        <f>IFERROR(VLOOKUP($A:$A,CS!$A:$AK,19,FALSE),"")</f>
      </c>
      <c r="L401" s="57">
        <f>IFERROR(VLOOKUP($A:$A,CS!$A:$AK,20,FALSE),"")</f>
      </c>
      <c r="M401" s="57">
        <f>IFERROR(VLOOKUP($A:$A,CS!$A:$AK,22,FALSE),"")</f>
      </c>
      <c r="N401" s="57">
        <f>IFERROR(VLOOKUP($A:$A,CS!$A:$AK,19,FALSE),"")</f>
      </c>
      <c r="O401" s="57">
        <f>IFERROR(VLOOKUP($A:$A,CS!$A:$AK,23,FALSE),"")</f>
      </c>
      <c r="P401" s="57">
        <f>IFERROR(VLOOKUP($A:$A,CS!$A:$AK,24,FALSE),"")</f>
      </c>
      <c r="Q401" s="57">
        <f>IFERROR(VLOOKUP($A:$A,CS!$A:$AK,25,FALSE),"")</f>
      </c>
      <c r="R401" s="57">
        <f>IFERROR(VLOOKUP($A:$A,CS!$A:$AK,26,FALSE),"")</f>
      </c>
      <c r="S401" s="57">
        <f>IFERROR(VLOOKUP($A:$A,CS!$A:$AK,29,FALSE),"")</f>
      </c>
      <c r="T401" s="57">
        <f>IFERROR(VLOOKUP($A:$A,CS!$A:$AK,33,FALSE),"")</f>
      </c>
      <c r="U401" s="57">
        <f>IFERROR(VLOOKUP($A:$A,CS!$A:$AK,34,FALSE),"")</f>
      </c>
      <c r="V401" s="57">
        <f>IFERROR(VLOOKUP($A:$A,CS!$A:$AK,35,FALSE),"")</f>
      </c>
      <c r="W401" s="57">
        <f>IFERROR(VLOOKUP($A:$A,CS!$A:$AK,36,FALSE),"")</f>
      </c>
    </row>
    <row r="402" ht="16.5" customHeight="1" spans="1:23" x14ac:dyDescent="0.25">
      <c r="A402" s="71"/>
      <c r="B402" s="57">
        <f>IFERROR(VLOOKUP($A:$A,CS!$A:$AK,3,FALSE),"")</f>
      </c>
      <c r="C402" s="57">
        <f>IFERROR(VLOOKUP($A:$A,CS!$A:$AK,4,FALSE),"")</f>
      </c>
      <c r="D402" s="57">
        <f>IFERROR(VLOOKUP($A:$A,CS!$A:$AK,5,FALSE),"")</f>
      </c>
      <c r="E402" s="57">
        <f>IFERROR(VLOOKUP($A:$A,CS!$A:$AK,7,FALSE),"")</f>
      </c>
      <c r="F402" s="57">
        <f>IFERROR(VLOOKUP($A:$A,CS!$A:$AK,8,FALSE),"")</f>
      </c>
      <c r="G402" s="57">
        <f>IFERROR(VLOOKUP($A:$A,CS!$A:$AK,10,FALSE),"")</f>
      </c>
      <c r="H402" s="57">
        <f>IFERROR(VLOOKUP($A:$A,CS!$A:$AK,14,FALSE),"")</f>
      </c>
      <c r="I402" s="57">
        <f>IFERROR(VLOOKUP($A:$A,CS!$A:$AK,15,FALSE),"")</f>
      </c>
      <c r="J402" s="57">
        <f>IFERROR(VLOOKUP($A:$A,CS!$A:$AK,18,FALSE),"")</f>
      </c>
      <c r="K402" s="57">
        <f>IFERROR(VLOOKUP($A:$A,CS!$A:$AK,19,FALSE),"")</f>
      </c>
      <c r="L402" s="57">
        <f>IFERROR(VLOOKUP($A:$A,CS!$A:$AK,20,FALSE),"")</f>
      </c>
      <c r="M402" s="57">
        <f>IFERROR(VLOOKUP($A:$A,CS!$A:$AK,22,FALSE),"")</f>
      </c>
      <c r="N402" s="57">
        <f>IFERROR(VLOOKUP($A:$A,CS!$A:$AK,19,FALSE),"")</f>
      </c>
      <c r="O402" s="57">
        <f>IFERROR(VLOOKUP($A:$A,CS!$A:$AK,23,FALSE),"")</f>
      </c>
      <c r="P402" s="57">
        <f>IFERROR(VLOOKUP($A:$A,CS!$A:$AK,24,FALSE),"")</f>
      </c>
      <c r="Q402" s="57">
        <f>IFERROR(VLOOKUP($A:$A,CS!$A:$AK,25,FALSE),"")</f>
      </c>
      <c r="R402" s="57">
        <f>IFERROR(VLOOKUP($A:$A,CS!$A:$AK,26,FALSE),"")</f>
      </c>
      <c r="S402" s="57">
        <f>IFERROR(VLOOKUP($A:$A,CS!$A:$AK,29,FALSE),"")</f>
      </c>
      <c r="T402" s="57">
        <f>IFERROR(VLOOKUP($A:$A,CS!$A:$AK,33,FALSE),"")</f>
      </c>
      <c r="U402" s="57">
        <f>IFERROR(VLOOKUP($A:$A,CS!$A:$AK,34,FALSE),"")</f>
      </c>
      <c r="V402" s="57">
        <f>IFERROR(VLOOKUP($A:$A,CS!$A:$AK,35,FALSE),"")</f>
      </c>
      <c r="W402" s="57">
        <f>IFERROR(VLOOKUP($A:$A,CS!$A:$AK,36,FALSE),"")</f>
      </c>
    </row>
    <row r="403" ht="16.5" customHeight="1" spans="1:23" x14ac:dyDescent="0.25">
      <c r="A403" s="71"/>
      <c r="B403" s="57">
        <f>IFERROR(VLOOKUP($A:$A,CS!$A:$AK,3,FALSE),"")</f>
      </c>
      <c r="C403" s="57">
        <f>IFERROR(VLOOKUP($A:$A,CS!$A:$AK,4,FALSE),"")</f>
      </c>
      <c r="D403" s="57">
        <f>IFERROR(VLOOKUP($A:$A,CS!$A:$AK,5,FALSE),"")</f>
      </c>
      <c r="E403" s="57">
        <f>IFERROR(VLOOKUP($A:$A,CS!$A:$AK,7,FALSE),"")</f>
      </c>
      <c r="F403" s="57">
        <f>IFERROR(VLOOKUP($A:$A,CS!$A:$AK,8,FALSE),"")</f>
      </c>
      <c r="G403" s="57">
        <f>IFERROR(VLOOKUP($A:$A,CS!$A:$AK,10,FALSE),"")</f>
      </c>
      <c r="H403" s="57">
        <f>IFERROR(VLOOKUP($A:$A,CS!$A:$AK,14,FALSE),"")</f>
      </c>
      <c r="I403" s="57">
        <f>IFERROR(VLOOKUP($A:$A,CS!$A:$AK,15,FALSE),"")</f>
      </c>
      <c r="J403" s="57">
        <f>IFERROR(VLOOKUP($A:$A,CS!$A:$AK,18,FALSE),"")</f>
      </c>
      <c r="K403" s="57">
        <f>IFERROR(VLOOKUP($A:$A,CS!$A:$AK,19,FALSE),"")</f>
      </c>
      <c r="L403" s="57">
        <f>IFERROR(VLOOKUP($A:$A,CS!$A:$AK,20,FALSE),"")</f>
      </c>
      <c r="M403" s="57">
        <f>IFERROR(VLOOKUP($A:$A,CS!$A:$AK,22,FALSE),"")</f>
      </c>
      <c r="N403" s="57">
        <f>IFERROR(VLOOKUP($A:$A,CS!$A:$AK,19,FALSE),"")</f>
      </c>
      <c r="O403" s="57">
        <f>IFERROR(VLOOKUP($A:$A,CS!$A:$AK,23,FALSE),"")</f>
      </c>
      <c r="P403" s="57">
        <f>IFERROR(VLOOKUP($A:$A,CS!$A:$AK,24,FALSE),"")</f>
      </c>
      <c r="Q403" s="57">
        <f>IFERROR(VLOOKUP($A:$A,CS!$A:$AK,25,FALSE),"")</f>
      </c>
      <c r="R403" s="57">
        <f>IFERROR(VLOOKUP($A:$A,CS!$A:$AK,26,FALSE),"")</f>
      </c>
      <c r="S403" s="57">
        <f>IFERROR(VLOOKUP($A:$A,CS!$A:$AK,29,FALSE),"")</f>
      </c>
      <c r="T403" s="57">
        <f>IFERROR(VLOOKUP($A:$A,CS!$A:$AK,33,FALSE),"")</f>
      </c>
      <c r="U403" s="57">
        <f>IFERROR(VLOOKUP($A:$A,CS!$A:$AK,34,FALSE),"")</f>
      </c>
      <c r="V403" s="57">
        <f>IFERROR(VLOOKUP($A:$A,CS!$A:$AK,35,FALSE),"")</f>
      </c>
      <c r="W403" s="57">
        <f>IFERROR(VLOOKUP($A:$A,CS!$A:$AK,36,FALSE),"")</f>
      </c>
    </row>
    <row r="404" ht="16.5" customHeight="1" spans="1:23" x14ac:dyDescent="0.25">
      <c r="A404" s="71"/>
      <c r="B404" s="57">
        <f>IFERROR(VLOOKUP($A:$A,CS!$A:$AK,3,FALSE),"")</f>
      </c>
      <c r="C404" s="57">
        <f>IFERROR(VLOOKUP($A:$A,CS!$A:$AK,4,FALSE),"")</f>
      </c>
      <c r="D404" s="57">
        <f>IFERROR(VLOOKUP($A:$A,CS!$A:$AK,5,FALSE),"")</f>
      </c>
      <c r="E404" s="57">
        <f>IFERROR(VLOOKUP($A:$A,CS!$A:$AK,7,FALSE),"")</f>
      </c>
      <c r="F404" s="57">
        <f>IFERROR(VLOOKUP($A:$A,CS!$A:$AK,8,FALSE),"")</f>
      </c>
      <c r="G404" s="57">
        <f>IFERROR(VLOOKUP($A:$A,CS!$A:$AK,10,FALSE),"")</f>
      </c>
      <c r="H404" s="57">
        <f>IFERROR(VLOOKUP($A:$A,CS!$A:$AK,14,FALSE),"")</f>
      </c>
      <c r="I404" s="57">
        <f>IFERROR(VLOOKUP($A:$A,CS!$A:$AK,15,FALSE),"")</f>
      </c>
      <c r="J404" s="57">
        <f>IFERROR(VLOOKUP($A:$A,CS!$A:$AK,18,FALSE),"")</f>
      </c>
      <c r="K404" s="57">
        <f>IFERROR(VLOOKUP($A:$A,CS!$A:$AK,19,FALSE),"")</f>
      </c>
      <c r="L404" s="57">
        <f>IFERROR(VLOOKUP($A:$A,CS!$A:$AK,20,FALSE),"")</f>
      </c>
      <c r="M404" s="57">
        <f>IFERROR(VLOOKUP($A:$A,CS!$A:$AK,22,FALSE),"")</f>
      </c>
      <c r="N404" s="57">
        <f>IFERROR(VLOOKUP($A:$A,CS!$A:$AK,19,FALSE),"")</f>
      </c>
      <c r="O404" s="57">
        <f>IFERROR(VLOOKUP($A:$A,CS!$A:$AK,23,FALSE),"")</f>
      </c>
      <c r="P404" s="57">
        <f>IFERROR(VLOOKUP($A:$A,CS!$A:$AK,24,FALSE),"")</f>
      </c>
      <c r="Q404" s="57">
        <f>IFERROR(VLOOKUP($A:$A,CS!$A:$AK,25,FALSE),"")</f>
      </c>
      <c r="R404" s="57">
        <f>IFERROR(VLOOKUP($A:$A,CS!$A:$AK,26,FALSE),"")</f>
      </c>
      <c r="S404" s="57">
        <f>IFERROR(VLOOKUP($A:$A,CS!$A:$AK,29,FALSE),"")</f>
      </c>
      <c r="T404" s="57">
        <f>IFERROR(VLOOKUP($A:$A,CS!$A:$AK,33,FALSE),"")</f>
      </c>
      <c r="U404" s="57">
        <f>IFERROR(VLOOKUP($A:$A,CS!$A:$AK,34,FALSE),"")</f>
      </c>
      <c r="V404" s="57">
        <f>IFERROR(VLOOKUP($A:$A,CS!$A:$AK,35,FALSE),"")</f>
      </c>
      <c r="W404" s="57">
        <f>IFERROR(VLOOKUP($A:$A,CS!$A:$AK,36,FALSE),"")</f>
      </c>
    </row>
    <row r="405" ht="16.5" customHeight="1" spans="1:23" x14ac:dyDescent="0.25">
      <c r="A405" s="71"/>
      <c r="B405" s="57">
        <f>IFERROR(VLOOKUP($A:$A,CS!$A:$AK,3,FALSE),"")</f>
      </c>
      <c r="C405" s="57">
        <f>IFERROR(VLOOKUP($A:$A,CS!$A:$AK,4,FALSE),"")</f>
      </c>
      <c r="D405" s="57">
        <f>IFERROR(VLOOKUP($A:$A,CS!$A:$AK,5,FALSE),"")</f>
      </c>
      <c r="E405" s="57">
        <f>IFERROR(VLOOKUP($A:$A,CS!$A:$AK,7,FALSE),"")</f>
      </c>
      <c r="F405" s="57">
        <f>IFERROR(VLOOKUP($A:$A,CS!$A:$AK,8,FALSE),"")</f>
      </c>
      <c r="G405" s="57">
        <f>IFERROR(VLOOKUP($A:$A,CS!$A:$AK,10,FALSE),"")</f>
      </c>
      <c r="H405" s="57">
        <f>IFERROR(VLOOKUP($A:$A,CS!$A:$AK,14,FALSE),"")</f>
      </c>
      <c r="I405" s="57">
        <f>IFERROR(VLOOKUP($A:$A,CS!$A:$AK,15,FALSE),"")</f>
      </c>
      <c r="J405" s="57">
        <f>IFERROR(VLOOKUP($A:$A,CS!$A:$AK,18,FALSE),"")</f>
      </c>
      <c r="K405" s="57">
        <f>IFERROR(VLOOKUP($A:$A,CS!$A:$AK,19,FALSE),"")</f>
      </c>
      <c r="L405" s="57">
        <f>IFERROR(VLOOKUP($A:$A,CS!$A:$AK,20,FALSE),"")</f>
      </c>
      <c r="M405" s="57">
        <f>IFERROR(VLOOKUP($A:$A,CS!$A:$AK,22,FALSE),"")</f>
      </c>
      <c r="N405" s="57">
        <f>IFERROR(VLOOKUP($A:$A,CS!$A:$AK,19,FALSE),"")</f>
      </c>
      <c r="O405" s="57">
        <f>IFERROR(VLOOKUP($A:$A,CS!$A:$AK,23,FALSE),"")</f>
      </c>
      <c r="P405" s="57">
        <f>IFERROR(VLOOKUP($A:$A,CS!$A:$AK,24,FALSE),"")</f>
      </c>
      <c r="Q405" s="57">
        <f>IFERROR(VLOOKUP($A:$A,CS!$A:$AK,25,FALSE),"")</f>
      </c>
      <c r="R405" s="57">
        <f>IFERROR(VLOOKUP($A:$A,CS!$A:$AK,26,FALSE),"")</f>
      </c>
      <c r="S405" s="57">
        <f>IFERROR(VLOOKUP($A:$A,CS!$A:$AK,29,FALSE),"")</f>
      </c>
      <c r="T405" s="57">
        <f>IFERROR(VLOOKUP($A:$A,CS!$A:$AK,33,FALSE),"")</f>
      </c>
      <c r="U405" s="57">
        <f>IFERROR(VLOOKUP($A:$A,CS!$A:$AK,34,FALSE),"")</f>
      </c>
      <c r="V405" s="57">
        <f>IFERROR(VLOOKUP($A:$A,CS!$A:$AK,35,FALSE),"")</f>
      </c>
      <c r="W405" s="57">
        <f>IFERROR(VLOOKUP($A:$A,CS!$A:$AK,36,FALSE),"")</f>
      </c>
    </row>
    <row r="406" ht="16.5" customHeight="1" spans="1:23" x14ac:dyDescent="0.25">
      <c r="A406" s="71"/>
      <c r="B406" s="57">
        <f>IFERROR(VLOOKUP($A:$A,CS!$A:$AK,3,FALSE),"")</f>
      </c>
      <c r="C406" s="57">
        <f>IFERROR(VLOOKUP($A:$A,CS!$A:$AK,4,FALSE),"")</f>
      </c>
      <c r="D406" s="57">
        <f>IFERROR(VLOOKUP($A:$A,CS!$A:$AK,5,FALSE),"")</f>
      </c>
      <c r="E406" s="57">
        <f>IFERROR(VLOOKUP($A:$A,CS!$A:$AK,7,FALSE),"")</f>
      </c>
      <c r="F406" s="57">
        <f>IFERROR(VLOOKUP($A:$A,CS!$A:$AK,8,FALSE),"")</f>
      </c>
      <c r="G406" s="57">
        <f>IFERROR(VLOOKUP($A:$A,CS!$A:$AK,10,FALSE),"")</f>
      </c>
      <c r="H406" s="57">
        <f>IFERROR(VLOOKUP($A:$A,CS!$A:$AK,14,FALSE),"")</f>
      </c>
      <c r="I406" s="57">
        <f>IFERROR(VLOOKUP($A:$A,CS!$A:$AK,15,FALSE),"")</f>
      </c>
      <c r="J406" s="57">
        <f>IFERROR(VLOOKUP($A:$A,CS!$A:$AK,18,FALSE),"")</f>
      </c>
      <c r="K406" s="57">
        <f>IFERROR(VLOOKUP($A:$A,CS!$A:$AK,19,FALSE),"")</f>
      </c>
      <c r="L406" s="57">
        <f>IFERROR(VLOOKUP($A:$A,CS!$A:$AK,20,FALSE),"")</f>
      </c>
      <c r="M406" s="57">
        <f>IFERROR(VLOOKUP($A:$A,CS!$A:$AK,22,FALSE),"")</f>
      </c>
      <c r="N406" s="57">
        <f>IFERROR(VLOOKUP($A:$A,CS!$A:$AK,19,FALSE),"")</f>
      </c>
      <c r="O406" s="57">
        <f>IFERROR(VLOOKUP($A:$A,CS!$A:$AK,23,FALSE),"")</f>
      </c>
      <c r="P406" s="57">
        <f>IFERROR(VLOOKUP($A:$A,CS!$A:$AK,24,FALSE),"")</f>
      </c>
      <c r="Q406" s="57">
        <f>IFERROR(VLOOKUP($A:$A,CS!$A:$AK,25,FALSE),"")</f>
      </c>
      <c r="R406" s="57">
        <f>IFERROR(VLOOKUP($A:$A,CS!$A:$AK,26,FALSE),"")</f>
      </c>
      <c r="S406" s="57">
        <f>IFERROR(VLOOKUP($A:$A,CS!$A:$AK,29,FALSE),"")</f>
      </c>
      <c r="T406" s="57">
        <f>IFERROR(VLOOKUP($A:$A,CS!$A:$AK,33,FALSE),"")</f>
      </c>
      <c r="U406" s="57">
        <f>IFERROR(VLOOKUP($A:$A,CS!$A:$AK,34,FALSE),"")</f>
      </c>
      <c r="V406" s="57">
        <f>IFERROR(VLOOKUP($A:$A,CS!$A:$AK,35,FALSE),"")</f>
      </c>
      <c r="W406" s="57">
        <f>IFERROR(VLOOKUP($A:$A,CS!$A:$AK,36,FALSE),"")</f>
      </c>
    </row>
    <row r="407" ht="16.5" customHeight="1" spans="1:23" x14ac:dyDescent="0.25">
      <c r="A407" s="71"/>
      <c r="B407" s="57">
        <f>IFERROR(VLOOKUP($A:$A,CS!$A:$AK,3,FALSE),"")</f>
      </c>
      <c r="C407" s="57">
        <f>IFERROR(VLOOKUP($A:$A,CS!$A:$AK,4,FALSE),"")</f>
      </c>
      <c r="D407" s="57">
        <f>IFERROR(VLOOKUP($A:$A,CS!$A:$AK,5,FALSE),"")</f>
      </c>
      <c r="E407" s="57">
        <f>IFERROR(VLOOKUP($A:$A,CS!$A:$AK,7,FALSE),"")</f>
      </c>
      <c r="F407" s="57">
        <f>IFERROR(VLOOKUP($A:$A,CS!$A:$AK,8,FALSE),"")</f>
      </c>
      <c r="G407" s="57">
        <f>IFERROR(VLOOKUP($A:$A,CS!$A:$AK,10,FALSE),"")</f>
      </c>
      <c r="H407" s="57">
        <f>IFERROR(VLOOKUP($A:$A,CS!$A:$AK,14,FALSE),"")</f>
      </c>
      <c r="I407" s="57">
        <f>IFERROR(VLOOKUP($A:$A,CS!$A:$AK,15,FALSE),"")</f>
      </c>
      <c r="J407" s="57">
        <f>IFERROR(VLOOKUP($A:$A,CS!$A:$AK,18,FALSE),"")</f>
      </c>
      <c r="K407" s="57">
        <f>IFERROR(VLOOKUP($A:$A,CS!$A:$AK,19,FALSE),"")</f>
      </c>
      <c r="L407" s="57">
        <f>IFERROR(VLOOKUP($A:$A,CS!$A:$AK,20,FALSE),"")</f>
      </c>
      <c r="M407" s="57">
        <f>IFERROR(VLOOKUP($A:$A,CS!$A:$AK,22,FALSE),"")</f>
      </c>
      <c r="N407" s="57">
        <f>IFERROR(VLOOKUP($A:$A,CS!$A:$AK,19,FALSE),"")</f>
      </c>
      <c r="O407" s="57">
        <f>IFERROR(VLOOKUP($A:$A,CS!$A:$AK,23,FALSE),"")</f>
      </c>
      <c r="P407" s="57">
        <f>IFERROR(VLOOKUP($A:$A,CS!$A:$AK,24,FALSE),"")</f>
      </c>
      <c r="Q407" s="57">
        <f>IFERROR(VLOOKUP($A:$A,CS!$A:$AK,25,FALSE),"")</f>
      </c>
      <c r="R407" s="57">
        <f>IFERROR(VLOOKUP($A:$A,CS!$A:$AK,26,FALSE),"")</f>
      </c>
      <c r="S407" s="57">
        <f>IFERROR(VLOOKUP($A:$A,CS!$A:$AK,29,FALSE),"")</f>
      </c>
      <c r="T407" s="57">
        <f>IFERROR(VLOOKUP($A:$A,CS!$A:$AK,33,FALSE),"")</f>
      </c>
      <c r="U407" s="57">
        <f>IFERROR(VLOOKUP($A:$A,CS!$A:$AK,34,FALSE),"")</f>
      </c>
      <c r="V407" s="57">
        <f>IFERROR(VLOOKUP($A:$A,CS!$A:$AK,35,FALSE),"")</f>
      </c>
      <c r="W407" s="57">
        <f>IFERROR(VLOOKUP($A:$A,CS!$A:$AK,36,FALSE),"")</f>
      </c>
    </row>
    <row r="408" ht="16.5" customHeight="1" spans="1:23" x14ac:dyDescent="0.25">
      <c r="A408" s="71"/>
      <c r="B408" s="57">
        <f>IFERROR(VLOOKUP($A:$A,CS!$A:$AK,3,FALSE),"")</f>
      </c>
      <c r="C408" s="57">
        <f>IFERROR(VLOOKUP($A:$A,CS!$A:$AK,4,FALSE),"")</f>
      </c>
      <c r="D408" s="57">
        <f>IFERROR(VLOOKUP($A:$A,CS!$A:$AK,5,FALSE),"")</f>
      </c>
      <c r="E408" s="57">
        <f>IFERROR(VLOOKUP($A:$A,CS!$A:$AK,7,FALSE),"")</f>
      </c>
      <c r="F408" s="57">
        <f>IFERROR(VLOOKUP($A:$A,CS!$A:$AK,8,FALSE),"")</f>
      </c>
      <c r="G408" s="57">
        <f>IFERROR(VLOOKUP($A:$A,CS!$A:$AK,10,FALSE),"")</f>
      </c>
      <c r="H408" s="57">
        <f>IFERROR(VLOOKUP($A:$A,CS!$A:$AK,14,FALSE),"")</f>
      </c>
      <c r="I408" s="57">
        <f>IFERROR(VLOOKUP($A:$A,CS!$A:$AK,15,FALSE),"")</f>
      </c>
      <c r="J408" s="57">
        <f>IFERROR(VLOOKUP($A:$A,CS!$A:$AK,18,FALSE),"")</f>
      </c>
      <c r="K408" s="57">
        <f>IFERROR(VLOOKUP($A:$A,CS!$A:$AK,19,FALSE),"")</f>
      </c>
      <c r="L408" s="57">
        <f>IFERROR(VLOOKUP($A:$A,CS!$A:$AK,20,FALSE),"")</f>
      </c>
      <c r="M408" s="57">
        <f>IFERROR(VLOOKUP($A:$A,CS!$A:$AK,22,FALSE),"")</f>
      </c>
      <c r="N408" s="57">
        <f>IFERROR(VLOOKUP($A:$A,CS!$A:$AK,19,FALSE),"")</f>
      </c>
      <c r="O408" s="57">
        <f>IFERROR(VLOOKUP($A:$A,CS!$A:$AK,23,FALSE),"")</f>
      </c>
      <c r="P408" s="57">
        <f>IFERROR(VLOOKUP($A:$A,CS!$A:$AK,24,FALSE),"")</f>
      </c>
      <c r="Q408" s="57">
        <f>IFERROR(VLOOKUP($A:$A,CS!$A:$AK,25,FALSE),"")</f>
      </c>
      <c r="R408" s="57">
        <f>IFERROR(VLOOKUP($A:$A,CS!$A:$AK,26,FALSE),"")</f>
      </c>
      <c r="S408" s="57">
        <f>IFERROR(VLOOKUP($A:$A,CS!$A:$AK,29,FALSE),"")</f>
      </c>
      <c r="T408" s="57">
        <f>IFERROR(VLOOKUP($A:$A,CS!$A:$AK,33,FALSE),"")</f>
      </c>
      <c r="U408" s="57">
        <f>IFERROR(VLOOKUP($A:$A,CS!$A:$AK,34,FALSE),"")</f>
      </c>
      <c r="V408" s="57">
        <f>IFERROR(VLOOKUP($A:$A,CS!$A:$AK,35,FALSE),"")</f>
      </c>
      <c r="W408" s="57">
        <f>IFERROR(VLOOKUP($A:$A,CS!$A:$AK,36,FALSE),"")</f>
      </c>
    </row>
    <row r="409" ht="16.5" customHeight="1" spans="1:23" x14ac:dyDescent="0.25">
      <c r="A409" s="71"/>
      <c r="B409" s="57">
        <f>IFERROR(VLOOKUP($A:$A,CS!$A:$AK,3,FALSE),"")</f>
      </c>
      <c r="C409" s="57">
        <f>IFERROR(VLOOKUP($A:$A,CS!$A:$AK,4,FALSE),"")</f>
      </c>
      <c r="D409" s="57">
        <f>IFERROR(VLOOKUP($A:$A,CS!$A:$AK,5,FALSE),"")</f>
      </c>
      <c r="E409" s="57">
        <f>IFERROR(VLOOKUP($A:$A,CS!$A:$AK,7,FALSE),"")</f>
      </c>
      <c r="F409" s="57">
        <f>IFERROR(VLOOKUP($A:$A,CS!$A:$AK,8,FALSE),"")</f>
      </c>
      <c r="G409" s="57">
        <f>IFERROR(VLOOKUP($A:$A,CS!$A:$AK,10,FALSE),"")</f>
      </c>
      <c r="H409" s="57">
        <f>IFERROR(VLOOKUP($A:$A,CS!$A:$AK,14,FALSE),"")</f>
      </c>
      <c r="I409" s="57">
        <f>IFERROR(VLOOKUP($A:$A,CS!$A:$AK,15,FALSE),"")</f>
      </c>
      <c r="J409" s="57">
        <f>IFERROR(VLOOKUP($A:$A,CS!$A:$AK,18,FALSE),"")</f>
      </c>
      <c r="K409" s="57">
        <f>IFERROR(VLOOKUP($A:$A,CS!$A:$AK,19,FALSE),"")</f>
      </c>
      <c r="L409" s="57">
        <f>IFERROR(VLOOKUP($A:$A,CS!$A:$AK,20,FALSE),"")</f>
      </c>
      <c r="M409" s="57">
        <f>IFERROR(VLOOKUP($A:$A,CS!$A:$AK,22,FALSE),"")</f>
      </c>
      <c r="N409" s="57">
        <f>IFERROR(VLOOKUP($A:$A,CS!$A:$AK,19,FALSE),"")</f>
      </c>
      <c r="O409" s="57">
        <f>IFERROR(VLOOKUP($A:$A,CS!$A:$AK,23,FALSE),"")</f>
      </c>
      <c r="P409" s="57">
        <f>IFERROR(VLOOKUP($A:$A,CS!$A:$AK,24,FALSE),"")</f>
      </c>
      <c r="Q409" s="57">
        <f>IFERROR(VLOOKUP($A:$A,CS!$A:$AK,25,FALSE),"")</f>
      </c>
      <c r="R409" s="57">
        <f>IFERROR(VLOOKUP($A:$A,CS!$A:$AK,26,FALSE),"")</f>
      </c>
      <c r="S409" s="57">
        <f>IFERROR(VLOOKUP($A:$A,CS!$A:$AK,29,FALSE),"")</f>
      </c>
      <c r="T409" s="57">
        <f>IFERROR(VLOOKUP($A:$A,CS!$A:$AK,33,FALSE),"")</f>
      </c>
      <c r="U409" s="57">
        <f>IFERROR(VLOOKUP($A:$A,CS!$A:$AK,34,FALSE),"")</f>
      </c>
      <c r="V409" s="57">
        <f>IFERROR(VLOOKUP($A:$A,CS!$A:$AK,35,FALSE),"")</f>
      </c>
      <c r="W409" s="57">
        <f>IFERROR(VLOOKUP($A:$A,CS!$A:$AK,36,FALSE),"")</f>
      </c>
    </row>
    <row r="410" ht="16.5" customHeight="1" spans="1:23" x14ac:dyDescent="0.25">
      <c r="A410" s="71"/>
      <c r="B410" s="57">
        <f>IFERROR(VLOOKUP($A:$A,CS!$A:$AK,3,FALSE),"")</f>
      </c>
      <c r="C410" s="57">
        <f>IFERROR(VLOOKUP($A:$A,CS!$A:$AK,4,FALSE),"")</f>
      </c>
      <c r="D410" s="57">
        <f>IFERROR(VLOOKUP($A:$A,CS!$A:$AK,5,FALSE),"")</f>
      </c>
      <c r="E410" s="57">
        <f>IFERROR(VLOOKUP($A:$A,CS!$A:$AK,7,FALSE),"")</f>
      </c>
      <c r="F410" s="57">
        <f>IFERROR(VLOOKUP($A:$A,CS!$A:$AK,8,FALSE),"")</f>
      </c>
      <c r="G410" s="57">
        <f>IFERROR(VLOOKUP($A:$A,CS!$A:$AK,10,FALSE),"")</f>
      </c>
      <c r="H410" s="57">
        <f>IFERROR(VLOOKUP($A:$A,CS!$A:$AK,14,FALSE),"")</f>
      </c>
      <c r="I410" s="57">
        <f>IFERROR(VLOOKUP($A:$A,CS!$A:$AK,15,FALSE),"")</f>
      </c>
      <c r="J410" s="57">
        <f>IFERROR(VLOOKUP($A:$A,CS!$A:$AK,18,FALSE),"")</f>
      </c>
      <c r="K410" s="57">
        <f>IFERROR(VLOOKUP($A:$A,CS!$A:$AK,19,FALSE),"")</f>
      </c>
      <c r="L410" s="57">
        <f>IFERROR(VLOOKUP($A:$A,CS!$A:$AK,20,FALSE),"")</f>
      </c>
      <c r="M410" s="57">
        <f>IFERROR(VLOOKUP($A:$A,CS!$A:$AK,22,FALSE),"")</f>
      </c>
      <c r="N410" s="57">
        <f>IFERROR(VLOOKUP($A:$A,CS!$A:$AK,19,FALSE),"")</f>
      </c>
      <c r="O410" s="57">
        <f>IFERROR(VLOOKUP($A:$A,CS!$A:$AK,23,FALSE),"")</f>
      </c>
      <c r="P410" s="57">
        <f>IFERROR(VLOOKUP($A:$A,CS!$A:$AK,24,FALSE),"")</f>
      </c>
      <c r="Q410" s="57">
        <f>IFERROR(VLOOKUP($A:$A,CS!$A:$AK,25,FALSE),"")</f>
      </c>
      <c r="R410" s="57">
        <f>IFERROR(VLOOKUP($A:$A,CS!$A:$AK,26,FALSE),"")</f>
      </c>
      <c r="S410" s="57">
        <f>IFERROR(VLOOKUP($A:$A,CS!$A:$AK,29,FALSE),"")</f>
      </c>
      <c r="T410" s="57">
        <f>IFERROR(VLOOKUP($A:$A,CS!$A:$AK,33,FALSE),"")</f>
      </c>
      <c r="U410" s="57">
        <f>IFERROR(VLOOKUP($A:$A,CS!$A:$AK,34,FALSE),"")</f>
      </c>
      <c r="V410" s="57">
        <f>IFERROR(VLOOKUP($A:$A,CS!$A:$AK,35,FALSE),"")</f>
      </c>
      <c r="W410" s="57">
        <f>IFERROR(VLOOKUP($A:$A,CS!$A:$AK,36,FALSE),"")</f>
      </c>
    </row>
    <row r="411" ht="16.5" customHeight="1" spans="1:23" x14ac:dyDescent="0.25">
      <c r="A411" s="71"/>
      <c r="B411" s="57">
        <f>IFERROR(VLOOKUP($A:$A,CS!$A:$AK,3,FALSE),"")</f>
      </c>
      <c r="C411" s="57">
        <f>IFERROR(VLOOKUP($A:$A,CS!$A:$AK,4,FALSE),"")</f>
      </c>
      <c r="D411" s="57">
        <f>IFERROR(VLOOKUP($A:$A,CS!$A:$AK,5,FALSE),"")</f>
      </c>
      <c r="E411" s="57">
        <f>IFERROR(VLOOKUP($A:$A,CS!$A:$AK,7,FALSE),"")</f>
      </c>
      <c r="F411" s="57">
        <f>IFERROR(VLOOKUP($A:$A,CS!$A:$AK,8,FALSE),"")</f>
      </c>
      <c r="G411" s="57">
        <f>IFERROR(VLOOKUP($A:$A,CS!$A:$AK,10,FALSE),"")</f>
      </c>
      <c r="H411" s="57">
        <f>IFERROR(VLOOKUP($A:$A,CS!$A:$AK,14,FALSE),"")</f>
      </c>
      <c r="I411" s="57">
        <f>IFERROR(VLOOKUP($A:$A,CS!$A:$AK,15,FALSE),"")</f>
      </c>
      <c r="J411" s="57">
        <f>IFERROR(VLOOKUP($A:$A,CS!$A:$AK,18,FALSE),"")</f>
      </c>
      <c r="K411" s="57">
        <f>IFERROR(VLOOKUP($A:$A,CS!$A:$AK,19,FALSE),"")</f>
      </c>
      <c r="L411" s="57">
        <f>IFERROR(VLOOKUP($A:$A,CS!$A:$AK,20,FALSE),"")</f>
      </c>
      <c r="M411" s="57">
        <f>IFERROR(VLOOKUP($A:$A,CS!$A:$AK,22,FALSE),"")</f>
      </c>
      <c r="N411" s="57">
        <f>IFERROR(VLOOKUP($A:$A,CS!$A:$AK,19,FALSE),"")</f>
      </c>
      <c r="O411" s="57">
        <f>IFERROR(VLOOKUP($A:$A,CS!$A:$AK,23,FALSE),"")</f>
      </c>
      <c r="P411" s="57">
        <f>IFERROR(VLOOKUP($A:$A,CS!$A:$AK,24,FALSE),"")</f>
      </c>
      <c r="Q411" s="57">
        <f>IFERROR(VLOOKUP($A:$A,CS!$A:$AK,25,FALSE),"")</f>
      </c>
      <c r="R411" s="57">
        <f>IFERROR(VLOOKUP($A:$A,CS!$A:$AK,26,FALSE),"")</f>
      </c>
      <c r="S411" s="57">
        <f>IFERROR(VLOOKUP($A:$A,CS!$A:$AK,29,FALSE),"")</f>
      </c>
      <c r="T411" s="57">
        <f>IFERROR(VLOOKUP($A:$A,CS!$A:$AK,33,FALSE),"")</f>
      </c>
      <c r="U411" s="57">
        <f>IFERROR(VLOOKUP($A:$A,CS!$A:$AK,34,FALSE),"")</f>
      </c>
      <c r="V411" s="57">
        <f>IFERROR(VLOOKUP($A:$A,CS!$A:$AK,35,FALSE),"")</f>
      </c>
      <c r="W411" s="57">
        <f>IFERROR(VLOOKUP($A:$A,CS!$A:$AK,36,FALSE),"")</f>
      </c>
    </row>
    <row r="412" ht="16.5" customHeight="1" spans="1:23" x14ac:dyDescent="0.25">
      <c r="A412" s="71"/>
      <c r="B412" s="57">
        <f>IFERROR(VLOOKUP($A:$A,CS!$A:$AK,3,FALSE),"")</f>
      </c>
      <c r="C412" s="57">
        <f>IFERROR(VLOOKUP($A:$A,CS!$A:$AK,4,FALSE),"")</f>
      </c>
      <c r="D412" s="57">
        <f>IFERROR(VLOOKUP($A:$A,CS!$A:$AK,5,FALSE),"")</f>
      </c>
      <c r="E412" s="57">
        <f>IFERROR(VLOOKUP($A:$A,CS!$A:$AK,7,FALSE),"")</f>
      </c>
      <c r="F412" s="57">
        <f>IFERROR(VLOOKUP($A:$A,CS!$A:$AK,8,FALSE),"")</f>
      </c>
      <c r="G412" s="57">
        <f>IFERROR(VLOOKUP($A:$A,CS!$A:$AK,10,FALSE),"")</f>
      </c>
      <c r="H412" s="57">
        <f>IFERROR(VLOOKUP($A:$A,CS!$A:$AK,14,FALSE),"")</f>
      </c>
      <c r="I412" s="57">
        <f>IFERROR(VLOOKUP($A:$A,CS!$A:$AK,15,FALSE),"")</f>
      </c>
      <c r="J412" s="57">
        <f>IFERROR(VLOOKUP($A:$A,CS!$A:$AK,18,FALSE),"")</f>
      </c>
      <c r="K412" s="57">
        <f>IFERROR(VLOOKUP($A:$A,CS!$A:$AK,19,FALSE),"")</f>
      </c>
      <c r="L412" s="57">
        <f>IFERROR(VLOOKUP($A:$A,CS!$A:$AK,20,FALSE),"")</f>
      </c>
      <c r="M412" s="57">
        <f>IFERROR(VLOOKUP($A:$A,CS!$A:$AK,22,FALSE),"")</f>
      </c>
      <c r="N412" s="57">
        <f>IFERROR(VLOOKUP($A:$A,CS!$A:$AK,19,FALSE),"")</f>
      </c>
      <c r="O412" s="57">
        <f>IFERROR(VLOOKUP($A:$A,CS!$A:$AK,23,FALSE),"")</f>
      </c>
      <c r="P412" s="57">
        <f>IFERROR(VLOOKUP($A:$A,CS!$A:$AK,24,FALSE),"")</f>
      </c>
      <c r="Q412" s="57">
        <f>IFERROR(VLOOKUP($A:$A,CS!$A:$AK,25,FALSE),"")</f>
      </c>
      <c r="R412" s="57">
        <f>IFERROR(VLOOKUP($A:$A,CS!$A:$AK,26,FALSE),"")</f>
      </c>
      <c r="S412" s="57">
        <f>IFERROR(VLOOKUP($A:$A,CS!$A:$AK,29,FALSE),"")</f>
      </c>
      <c r="T412" s="57">
        <f>IFERROR(VLOOKUP($A:$A,CS!$A:$AK,33,FALSE),"")</f>
      </c>
      <c r="U412" s="57">
        <f>IFERROR(VLOOKUP($A:$A,CS!$A:$AK,34,FALSE),"")</f>
      </c>
      <c r="V412" s="57">
        <f>IFERROR(VLOOKUP($A:$A,CS!$A:$AK,35,FALSE),"")</f>
      </c>
      <c r="W412" s="57">
        <f>IFERROR(VLOOKUP($A:$A,CS!$A:$AK,36,FALSE),"")</f>
      </c>
    </row>
    <row r="413" ht="16.5" customHeight="1" spans="1:23" x14ac:dyDescent="0.25">
      <c r="A413" s="71"/>
      <c r="B413" s="57">
        <f>IFERROR(VLOOKUP($A:$A,CS!$A:$AK,3,FALSE),"")</f>
      </c>
      <c r="C413" s="57">
        <f>IFERROR(VLOOKUP($A:$A,CS!$A:$AK,4,FALSE),"")</f>
      </c>
      <c r="D413" s="57">
        <f>IFERROR(VLOOKUP($A:$A,CS!$A:$AK,5,FALSE),"")</f>
      </c>
      <c r="E413" s="57">
        <f>IFERROR(VLOOKUP($A:$A,CS!$A:$AK,7,FALSE),"")</f>
      </c>
      <c r="F413" s="57">
        <f>IFERROR(VLOOKUP($A:$A,CS!$A:$AK,8,FALSE),"")</f>
      </c>
      <c r="G413" s="57">
        <f>IFERROR(VLOOKUP($A:$A,CS!$A:$AK,10,FALSE),"")</f>
      </c>
      <c r="H413" s="57">
        <f>IFERROR(VLOOKUP($A:$A,CS!$A:$AK,14,FALSE),"")</f>
      </c>
      <c r="I413" s="57">
        <f>IFERROR(VLOOKUP($A:$A,CS!$A:$AK,15,FALSE),"")</f>
      </c>
      <c r="J413" s="57">
        <f>IFERROR(VLOOKUP($A:$A,CS!$A:$AK,18,FALSE),"")</f>
      </c>
      <c r="K413" s="57">
        <f>IFERROR(VLOOKUP($A:$A,CS!$A:$AK,19,FALSE),"")</f>
      </c>
      <c r="L413" s="57">
        <f>IFERROR(VLOOKUP($A:$A,CS!$A:$AK,20,FALSE),"")</f>
      </c>
      <c r="M413" s="57">
        <f>IFERROR(VLOOKUP($A:$A,CS!$A:$AK,22,FALSE),"")</f>
      </c>
      <c r="N413" s="57">
        <f>IFERROR(VLOOKUP($A:$A,CS!$A:$AK,19,FALSE),"")</f>
      </c>
      <c r="O413" s="57">
        <f>IFERROR(VLOOKUP($A:$A,CS!$A:$AK,23,FALSE),"")</f>
      </c>
      <c r="P413" s="57">
        <f>IFERROR(VLOOKUP($A:$A,CS!$A:$AK,24,FALSE),"")</f>
      </c>
      <c r="Q413" s="57">
        <f>IFERROR(VLOOKUP($A:$A,CS!$A:$AK,25,FALSE),"")</f>
      </c>
      <c r="R413" s="57">
        <f>IFERROR(VLOOKUP($A:$A,CS!$A:$AK,26,FALSE),"")</f>
      </c>
      <c r="S413" s="57">
        <f>IFERROR(VLOOKUP($A:$A,CS!$A:$AK,29,FALSE),"")</f>
      </c>
      <c r="T413" s="57">
        <f>IFERROR(VLOOKUP($A:$A,CS!$A:$AK,33,FALSE),"")</f>
      </c>
      <c r="U413" s="57">
        <f>IFERROR(VLOOKUP($A:$A,CS!$A:$AK,34,FALSE),"")</f>
      </c>
      <c r="V413" s="57">
        <f>IFERROR(VLOOKUP($A:$A,CS!$A:$AK,35,FALSE),"")</f>
      </c>
      <c r="W413" s="57">
        <f>IFERROR(VLOOKUP($A:$A,CS!$A:$AK,36,FALSE),"")</f>
      </c>
    </row>
    <row r="414" ht="16.5" customHeight="1" spans="1:23" x14ac:dyDescent="0.25">
      <c r="A414" s="71"/>
      <c r="B414" s="57">
        <f>IFERROR(VLOOKUP($A:$A,CS!$A:$AK,3,FALSE),"")</f>
      </c>
      <c r="C414" s="57">
        <f>IFERROR(VLOOKUP($A:$A,CS!$A:$AK,4,FALSE),"")</f>
      </c>
      <c r="D414" s="57">
        <f>IFERROR(VLOOKUP($A:$A,CS!$A:$AK,5,FALSE),"")</f>
      </c>
      <c r="E414" s="57">
        <f>IFERROR(VLOOKUP($A:$A,CS!$A:$AK,7,FALSE),"")</f>
      </c>
      <c r="F414" s="57">
        <f>IFERROR(VLOOKUP($A:$A,CS!$A:$AK,8,FALSE),"")</f>
      </c>
      <c r="G414" s="57">
        <f>IFERROR(VLOOKUP($A:$A,CS!$A:$AK,10,FALSE),"")</f>
      </c>
      <c r="H414" s="57">
        <f>IFERROR(VLOOKUP($A:$A,CS!$A:$AK,14,FALSE),"")</f>
      </c>
      <c r="I414" s="57">
        <f>IFERROR(VLOOKUP($A:$A,CS!$A:$AK,15,FALSE),"")</f>
      </c>
      <c r="J414" s="57">
        <f>IFERROR(VLOOKUP($A:$A,CS!$A:$AK,18,FALSE),"")</f>
      </c>
      <c r="K414" s="57">
        <f>IFERROR(VLOOKUP($A:$A,CS!$A:$AK,19,FALSE),"")</f>
      </c>
      <c r="L414" s="57">
        <f>IFERROR(VLOOKUP($A:$A,CS!$A:$AK,20,FALSE),"")</f>
      </c>
      <c r="M414" s="57">
        <f>IFERROR(VLOOKUP($A:$A,CS!$A:$AK,22,FALSE),"")</f>
      </c>
      <c r="N414" s="57">
        <f>IFERROR(VLOOKUP($A:$A,CS!$A:$AK,19,FALSE),"")</f>
      </c>
      <c r="O414" s="57">
        <f>IFERROR(VLOOKUP($A:$A,CS!$A:$AK,23,FALSE),"")</f>
      </c>
      <c r="P414" s="57">
        <f>IFERROR(VLOOKUP($A:$A,CS!$A:$AK,24,FALSE),"")</f>
      </c>
      <c r="Q414" s="57">
        <f>IFERROR(VLOOKUP($A:$A,CS!$A:$AK,25,FALSE),"")</f>
      </c>
      <c r="R414" s="57">
        <f>IFERROR(VLOOKUP($A:$A,CS!$A:$AK,26,FALSE),"")</f>
      </c>
      <c r="S414" s="57">
        <f>IFERROR(VLOOKUP($A:$A,CS!$A:$AK,29,FALSE),"")</f>
      </c>
      <c r="T414" s="57">
        <f>IFERROR(VLOOKUP($A:$A,CS!$A:$AK,33,FALSE),"")</f>
      </c>
      <c r="U414" s="57">
        <f>IFERROR(VLOOKUP($A:$A,CS!$A:$AK,34,FALSE),"")</f>
      </c>
      <c r="V414" s="57">
        <f>IFERROR(VLOOKUP($A:$A,CS!$A:$AK,35,FALSE),"")</f>
      </c>
      <c r="W414" s="57">
        <f>IFERROR(VLOOKUP($A:$A,CS!$A:$AK,36,FALSE),"")</f>
      </c>
    </row>
    <row r="415" ht="16.5" customHeight="1" spans="1:23" x14ac:dyDescent="0.25">
      <c r="A415" s="71"/>
      <c r="B415" s="57">
        <f>IFERROR(VLOOKUP($A:$A,CS!$A:$AK,3,FALSE),"")</f>
      </c>
      <c r="C415" s="57">
        <f>IFERROR(VLOOKUP($A:$A,CS!$A:$AK,4,FALSE),"")</f>
      </c>
      <c r="D415" s="57">
        <f>IFERROR(VLOOKUP($A:$A,CS!$A:$AK,5,FALSE),"")</f>
      </c>
      <c r="E415" s="57">
        <f>IFERROR(VLOOKUP($A:$A,CS!$A:$AK,7,FALSE),"")</f>
      </c>
      <c r="F415" s="57">
        <f>IFERROR(VLOOKUP($A:$A,CS!$A:$AK,8,FALSE),"")</f>
      </c>
      <c r="G415" s="57">
        <f>IFERROR(VLOOKUP($A:$A,CS!$A:$AK,10,FALSE),"")</f>
      </c>
      <c r="H415" s="57">
        <f>IFERROR(VLOOKUP($A:$A,CS!$A:$AK,14,FALSE),"")</f>
      </c>
      <c r="I415" s="57">
        <f>IFERROR(VLOOKUP($A:$A,CS!$A:$AK,15,FALSE),"")</f>
      </c>
      <c r="J415" s="57">
        <f>IFERROR(VLOOKUP($A:$A,CS!$A:$AK,18,FALSE),"")</f>
      </c>
      <c r="K415" s="57">
        <f>IFERROR(VLOOKUP($A:$A,CS!$A:$AK,19,FALSE),"")</f>
      </c>
      <c r="L415" s="57">
        <f>IFERROR(VLOOKUP($A:$A,CS!$A:$AK,20,FALSE),"")</f>
      </c>
      <c r="M415" s="57">
        <f>IFERROR(VLOOKUP($A:$A,CS!$A:$AK,22,FALSE),"")</f>
      </c>
      <c r="N415" s="57">
        <f>IFERROR(VLOOKUP($A:$A,CS!$A:$AK,19,FALSE),"")</f>
      </c>
      <c r="O415" s="57">
        <f>IFERROR(VLOOKUP($A:$A,CS!$A:$AK,23,FALSE),"")</f>
      </c>
      <c r="P415" s="57">
        <f>IFERROR(VLOOKUP($A:$A,CS!$A:$AK,24,FALSE),"")</f>
      </c>
      <c r="Q415" s="57">
        <f>IFERROR(VLOOKUP($A:$A,CS!$A:$AK,25,FALSE),"")</f>
      </c>
      <c r="R415" s="57">
        <f>IFERROR(VLOOKUP($A:$A,CS!$A:$AK,26,FALSE),"")</f>
      </c>
      <c r="S415" s="57">
        <f>IFERROR(VLOOKUP($A:$A,CS!$A:$AK,29,FALSE),"")</f>
      </c>
      <c r="T415" s="57">
        <f>IFERROR(VLOOKUP($A:$A,CS!$A:$AK,33,FALSE),"")</f>
      </c>
      <c r="U415" s="57">
        <f>IFERROR(VLOOKUP($A:$A,CS!$A:$AK,34,FALSE),"")</f>
      </c>
      <c r="V415" s="57">
        <f>IFERROR(VLOOKUP($A:$A,CS!$A:$AK,35,FALSE),"")</f>
      </c>
      <c r="W415" s="57">
        <f>IFERROR(VLOOKUP($A:$A,CS!$A:$AK,36,FALSE),"")</f>
      </c>
    </row>
    <row r="416" ht="16.5" customHeight="1" spans="1:23" x14ac:dyDescent="0.25">
      <c r="A416" s="71"/>
      <c r="B416" s="57">
        <f>IFERROR(VLOOKUP($A:$A,CS!$A:$AK,3,FALSE),"")</f>
      </c>
      <c r="C416" s="57">
        <f>IFERROR(VLOOKUP($A:$A,CS!$A:$AK,4,FALSE),"")</f>
      </c>
      <c r="D416" s="57">
        <f>IFERROR(VLOOKUP($A:$A,CS!$A:$AK,5,FALSE),"")</f>
      </c>
      <c r="E416" s="57">
        <f>IFERROR(VLOOKUP($A:$A,CS!$A:$AK,7,FALSE),"")</f>
      </c>
      <c r="F416" s="57">
        <f>IFERROR(VLOOKUP($A:$A,CS!$A:$AK,8,FALSE),"")</f>
      </c>
      <c r="G416" s="57">
        <f>IFERROR(VLOOKUP($A:$A,CS!$A:$AK,10,FALSE),"")</f>
      </c>
      <c r="H416" s="57">
        <f>IFERROR(VLOOKUP($A:$A,CS!$A:$AK,14,FALSE),"")</f>
      </c>
      <c r="I416" s="57">
        <f>IFERROR(VLOOKUP($A:$A,CS!$A:$AK,15,FALSE),"")</f>
      </c>
      <c r="J416" s="57">
        <f>IFERROR(VLOOKUP($A:$A,CS!$A:$AK,18,FALSE),"")</f>
      </c>
      <c r="K416" s="57">
        <f>IFERROR(VLOOKUP($A:$A,CS!$A:$AK,19,FALSE),"")</f>
      </c>
      <c r="L416" s="57">
        <f>IFERROR(VLOOKUP($A:$A,CS!$A:$AK,20,FALSE),"")</f>
      </c>
      <c r="M416" s="57">
        <f>IFERROR(VLOOKUP($A:$A,CS!$A:$AK,22,FALSE),"")</f>
      </c>
      <c r="N416" s="57">
        <f>IFERROR(VLOOKUP($A:$A,CS!$A:$AK,19,FALSE),"")</f>
      </c>
      <c r="O416" s="57">
        <f>IFERROR(VLOOKUP($A:$A,CS!$A:$AK,23,FALSE),"")</f>
      </c>
      <c r="P416" s="57">
        <f>IFERROR(VLOOKUP($A:$A,CS!$A:$AK,24,FALSE),"")</f>
      </c>
      <c r="Q416" s="57">
        <f>IFERROR(VLOOKUP($A:$A,CS!$A:$AK,25,FALSE),"")</f>
      </c>
      <c r="R416" s="57">
        <f>IFERROR(VLOOKUP($A:$A,CS!$A:$AK,26,FALSE),"")</f>
      </c>
      <c r="S416" s="57">
        <f>IFERROR(VLOOKUP($A:$A,CS!$A:$AK,29,FALSE),"")</f>
      </c>
      <c r="T416" s="57">
        <f>IFERROR(VLOOKUP($A:$A,CS!$A:$AK,33,FALSE),"")</f>
      </c>
      <c r="U416" s="57">
        <f>IFERROR(VLOOKUP($A:$A,CS!$A:$AK,34,FALSE),"")</f>
      </c>
      <c r="V416" s="57">
        <f>IFERROR(VLOOKUP($A:$A,CS!$A:$AK,35,FALSE),"")</f>
      </c>
      <c r="W416" s="57">
        <f>IFERROR(VLOOKUP($A:$A,CS!$A:$AK,36,FALSE),"")</f>
      </c>
    </row>
    <row r="417" ht="16.5" customHeight="1" spans="1:23" x14ac:dyDescent="0.25">
      <c r="A417" s="71"/>
      <c r="B417" s="57">
        <f>IFERROR(VLOOKUP($A:$A,CS!$A:$AK,3,FALSE),"")</f>
      </c>
      <c r="C417" s="57">
        <f>IFERROR(VLOOKUP($A:$A,CS!$A:$AK,4,FALSE),"")</f>
      </c>
      <c r="D417" s="57">
        <f>IFERROR(VLOOKUP($A:$A,CS!$A:$AK,5,FALSE),"")</f>
      </c>
      <c r="E417" s="57">
        <f>IFERROR(VLOOKUP($A:$A,CS!$A:$AK,7,FALSE),"")</f>
      </c>
      <c r="F417" s="57">
        <f>IFERROR(VLOOKUP($A:$A,CS!$A:$AK,8,FALSE),"")</f>
      </c>
      <c r="G417" s="57">
        <f>IFERROR(VLOOKUP($A:$A,CS!$A:$AK,10,FALSE),"")</f>
      </c>
      <c r="H417" s="57">
        <f>IFERROR(VLOOKUP($A:$A,CS!$A:$AK,14,FALSE),"")</f>
      </c>
      <c r="I417" s="57">
        <f>IFERROR(VLOOKUP($A:$A,CS!$A:$AK,15,FALSE),"")</f>
      </c>
      <c r="J417" s="57">
        <f>IFERROR(VLOOKUP($A:$A,CS!$A:$AK,18,FALSE),"")</f>
      </c>
      <c r="K417" s="57">
        <f>IFERROR(VLOOKUP($A:$A,CS!$A:$AK,19,FALSE),"")</f>
      </c>
      <c r="L417" s="57">
        <f>IFERROR(VLOOKUP($A:$A,CS!$A:$AK,20,FALSE),"")</f>
      </c>
      <c r="M417" s="57">
        <f>IFERROR(VLOOKUP($A:$A,CS!$A:$AK,22,FALSE),"")</f>
      </c>
      <c r="N417" s="57">
        <f>IFERROR(VLOOKUP($A:$A,CS!$A:$AK,19,FALSE),"")</f>
      </c>
      <c r="O417" s="57">
        <f>IFERROR(VLOOKUP($A:$A,CS!$A:$AK,23,FALSE),"")</f>
      </c>
      <c r="P417" s="57">
        <f>IFERROR(VLOOKUP($A:$A,CS!$A:$AK,24,FALSE),"")</f>
      </c>
      <c r="Q417" s="57">
        <f>IFERROR(VLOOKUP($A:$A,CS!$A:$AK,25,FALSE),"")</f>
      </c>
      <c r="R417" s="57">
        <f>IFERROR(VLOOKUP($A:$A,CS!$A:$AK,26,FALSE),"")</f>
      </c>
      <c r="S417" s="57">
        <f>IFERROR(VLOOKUP($A:$A,CS!$A:$AK,29,FALSE),"")</f>
      </c>
      <c r="T417" s="57">
        <f>IFERROR(VLOOKUP($A:$A,CS!$A:$AK,33,FALSE),"")</f>
      </c>
      <c r="U417" s="57">
        <f>IFERROR(VLOOKUP($A:$A,CS!$A:$AK,34,FALSE),"")</f>
      </c>
      <c r="V417" s="57">
        <f>IFERROR(VLOOKUP($A:$A,CS!$A:$AK,35,FALSE),"")</f>
      </c>
      <c r="W417" s="57">
        <f>IFERROR(VLOOKUP($A:$A,CS!$A:$AK,36,FALSE),"")</f>
      </c>
    </row>
    <row r="418" ht="16.5" customHeight="1" spans="1:23" x14ac:dyDescent="0.25">
      <c r="A418" s="71"/>
      <c r="B418" s="57">
        <f>IFERROR(VLOOKUP($A:$A,CS!$A:$AK,3,FALSE),"")</f>
      </c>
      <c r="C418" s="57">
        <f>IFERROR(VLOOKUP($A:$A,CS!$A:$AK,4,FALSE),"")</f>
      </c>
      <c r="D418" s="57">
        <f>IFERROR(VLOOKUP($A:$A,CS!$A:$AK,5,FALSE),"")</f>
      </c>
      <c r="E418" s="57">
        <f>IFERROR(VLOOKUP($A:$A,CS!$A:$AK,7,FALSE),"")</f>
      </c>
      <c r="F418" s="57">
        <f>IFERROR(VLOOKUP($A:$A,CS!$A:$AK,8,FALSE),"")</f>
      </c>
      <c r="G418" s="57">
        <f>IFERROR(VLOOKUP($A:$A,CS!$A:$AK,10,FALSE),"")</f>
      </c>
      <c r="H418" s="57">
        <f>IFERROR(VLOOKUP($A:$A,CS!$A:$AK,14,FALSE),"")</f>
      </c>
      <c r="I418" s="57">
        <f>IFERROR(VLOOKUP($A:$A,CS!$A:$AK,15,FALSE),"")</f>
      </c>
      <c r="J418" s="57">
        <f>IFERROR(VLOOKUP($A:$A,CS!$A:$AK,18,FALSE),"")</f>
      </c>
      <c r="K418" s="57">
        <f>IFERROR(VLOOKUP($A:$A,CS!$A:$AK,19,FALSE),"")</f>
      </c>
      <c r="L418" s="57">
        <f>IFERROR(VLOOKUP($A:$A,CS!$A:$AK,20,FALSE),"")</f>
      </c>
      <c r="M418" s="57">
        <f>IFERROR(VLOOKUP($A:$A,CS!$A:$AK,22,FALSE),"")</f>
      </c>
      <c r="N418" s="57">
        <f>IFERROR(VLOOKUP($A:$A,CS!$A:$AK,19,FALSE),"")</f>
      </c>
      <c r="O418" s="57">
        <f>IFERROR(VLOOKUP($A:$A,CS!$A:$AK,23,FALSE),"")</f>
      </c>
      <c r="P418" s="57">
        <f>IFERROR(VLOOKUP($A:$A,CS!$A:$AK,24,FALSE),"")</f>
      </c>
      <c r="Q418" s="57">
        <f>IFERROR(VLOOKUP($A:$A,CS!$A:$AK,25,FALSE),"")</f>
      </c>
      <c r="R418" s="57">
        <f>IFERROR(VLOOKUP($A:$A,CS!$A:$AK,26,FALSE),"")</f>
      </c>
      <c r="S418" s="57">
        <f>IFERROR(VLOOKUP($A:$A,CS!$A:$AK,29,FALSE),"")</f>
      </c>
      <c r="T418" s="57">
        <f>IFERROR(VLOOKUP($A:$A,CS!$A:$AK,33,FALSE),"")</f>
      </c>
      <c r="U418" s="57">
        <f>IFERROR(VLOOKUP($A:$A,CS!$A:$AK,34,FALSE),"")</f>
      </c>
      <c r="V418" s="57">
        <f>IFERROR(VLOOKUP($A:$A,CS!$A:$AK,35,FALSE),"")</f>
      </c>
      <c r="W418" s="57">
        <f>IFERROR(VLOOKUP($A:$A,CS!$A:$AK,36,FALSE),"")</f>
      </c>
    </row>
    <row r="419" ht="16.5" customHeight="1" spans="1:23" x14ac:dyDescent="0.25">
      <c r="A419" s="71"/>
      <c r="B419" s="57">
        <f>IFERROR(VLOOKUP($A:$A,CS!$A:$AK,3,FALSE),"")</f>
      </c>
      <c r="C419" s="57">
        <f>IFERROR(VLOOKUP($A:$A,CS!$A:$AK,4,FALSE),"")</f>
      </c>
      <c r="D419" s="57">
        <f>IFERROR(VLOOKUP($A:$A,CS!$A:$AK,5,FALSE),"")</f>
      </c>
      <c r="E419" s="57">
        <f>IFERROR(VLOOKUP($A:$A,CS!$A:$AK,7,FALSE),"")</f>
      </c>
      <c r="F419" s="57">
        <f>IFERROR(VLOOKUP($A:$A,CS!$A:$AK,8,FALSE),"")</f>
      </c>
      <c r="G419" s="57">
        <f>IFERROR(VLOOKUP($A:$A,CS!$A:$AK,10,FALSE),"")</f>
      </c>
      <c r="H419" s="57">
        <f>IFERROR(VLOOKUP($A:$A,CS!$A:$AK,14,FALSE),"")</f>
      </c>
      <c r="I419" s="57">
        <f>IFERROR(VLOOKUP($A:$A,CS!$A:$AK,15,FALSE),"")</f>
      </c>
      <c r="J419" s="57">
        <f>IFERROR(VLOOKUP($A:$A,CS!$A:$AK,18,FALSE),"")</f>
      </c>
      <c r="K419" s="57">
        <f>IFERROR(VLOOKUP($A:$A,CS!$A:$AK,19,FALSE),"")</f>
      </c>
      <c r="L419" s="57">
        <f>IFERROR(VLOOKUP($A:$A,CS!$A:$AK,20,FALSE),"")</f>
      </c>
      <c r="M419" s="57">
        <f>IFERROR(VLOOKUP($A:$A,CS!$A:$AK,22,FALSE),"")</f>
      </c>
      <c r="N419" s="57">
        <f>IFERROR(VLOOKUP($A:$A,CS!$A:$AK,19,FALSE),"")</f>
      </c>
      <c r="O419" s="57">
        <f>IFERROR(VLOOKUP($A:$A,CS!$A:$AK,23,FALSE),"")</f>
      </c>
      <c r="P419" s="57">
        <f>IFERROR(VLOOKUP($A:$A,CS!$A:$AK,24,FALSE),"")</f>
      </c>
      <c r="Q419" s="57">
        <f>IFERROR(VLOOKUP($A:$A,CS!$A:$AK,25,FALSE),"")</f>
      </c>
      <c r="R419" s="57">
        <f>IFERROR(VLOOKUP($A:$A,CS!$A:$AK,26,FALSE),"")</f>
      </c>
      <c r="S419" s="57">
        <f>IFERROR(VLOOKUP($A:$A,CS!$A:$AK,29,FALSE),"")</f>
      </c>
      <c r="T419" s="57">
        <f>IFERROR(VLOOKUP($A:$A,CS!$A:$AK,33,FALSE),"")</f>
      </c>
      <c r="U419" s="57">
        <f>IFERROR(VLOOKUP($A:$A,CS!$A:$AK,34,FALSE),"")</f>
      </c>
      <c r="V419" s="57">
        <f>IFERROR(VLOOKUP($A:$A,CS!$A:$AK,35,FALSE),"")</f>
      </c>
      <c r="W419" s="57">
        <f>IFERROR(VLOOKUP($A:$A,CS!$A:$AK,36,FALSE),"")</f>
      </c>
    </row>
    <row r="420" ht="16.5" customHeight="1" spans="1:23" x14ac:dyDescent="0.25">
      <c r="A420" s="71"/>
      <c r="B420" s="57">
        <f>IFERROR(VLOOKUP($A:$A,CS!$A:$AK,3,FALSE),"")</f>
      </c>
      <c r="C420" s="57">
        <f>IFERROR(VLOOKUP($A:$A,CS!$A:$AK,4,FALSE),"")</f>
      </c>
      <c r="D420" s="57">
        <f>IFERROR(VLOOKUP($A:$A,CS!$A:$AK,5,FALSE),"")</f>
      </c>
      <c r="E420" s="57">
        <f>IFERROR(VLOOKUP($A:$A,CS!$A:$AK,7,FALSE),"")</f>
      </c>
      <c r="F420" s="57">
        <f>IFERROR(VLOOKUP($A:$A,CS!$A:$AK,8,FALSE),"")</f>
      </c>
      <c r="G420" s="57">
        <f>IFERROR(VLOOKUP($A:$A,CS!$A:$AK,10,FALSE),"")</f>
      </c>
      <c r="H420" s="57">
        <f>IFERROR(VLOOKUP($A:$A,CS!$A:$AK,14,FALSE),"")</f>
      </c>
      <c r="I420" s="57">
        <f>IFERROR(VLOOKUP($A:$A,CS!$A:$AK,15,FALSE),"")</f>
      </c>
      <c r="J420" s="57">
        <f>IFERROR(VLOOKUP($A:$A,CS!$A:$AK,18,FALSE),"")</f>
      </c>
      <c r="K420" s="57">
        <f>IFERROR(VLOOKUP($A:$A,CS!$A:$AK,19,FALSE),"")</f>
      </c>
      <c r="L420" s="57">
        <f>IFERROR(VLOOKUP($A:$A,CS!$A:$AK,20,FALSE),"")</f>
      </c>
      <c r="M420" s="57">
        <f>IFERROR(VLOOKUP($A:$A,CS!$A:$AK,22,FALSE),"")</f>
      </c>
      <c r="N420" s="57">
        <f>IFERROR(VLOOKUP($A:$A,CS!$A:$AK,19,FALSE),"")</f>
      </c>
      <c r="O420" s="57">
        <f>IFERROR(VLOOKUP($A:$A,CS!$A:$AK,23,FALSE),"")</f>
      </c>
      <c r="P420" s="57">
        <f>IFERROR(VLOOKUP($A:$A,CS!$A:$AK,24,FALSE),"")</f>
      </c>
      <c r="Q420" s="57">
        <f>IFERROR(VLOOKUP($A:$A,CS!$A:$AK,25,FALSE),"")</f>
      </c>
      <c r="R420" s="57">
        <f>IFERROR(VLOOKUP($A:$A,CS!$A:$AK,26,FALSE),"")</f>
      </c>
      <c r="S420" s="57">
        <f>IFERROR(VLOOKUP($A:$A,CS!$A:$AK,29,FALSE),"")</f>
      </c>
      <c r="T420" s="57">
        <f>IFERROR(VLOOKUP($A:$A,CS!$A:$AK,33,FALSE),"")</f>
      </c>
      <c r="U420" s="57">
        <f>IFERROR(VLOOKUP($A:$A,CS!$A:$AK,34,FALSE),"")</f>
      </c>
      <c r="V420" s="57">
        <f>IFERROR(VLOOKUP($A:$A,CS!$A:$AK,35,FALSE),"")</f>
      </c>
      <c r="W420" s="57">
        <f>IFERROR(VLOOKUP($A:$A,CS!$A:$AK,36,FALSE),"")</f>
      </c>
    </row>
    <row r="421" ht="16.5" customHeight="1" spans="1:23" x14ac:dyDescent="0.25">
      <c r="A421" s="71"/>
      <c r="B421" s="57">
        <f>IFERROR(VLOOKUP($A:$A,CS!$A:$AK,3,FALSE),"")</f>
      </c>
      <c r="C421" s="57">
        <f>IFERROR(VLOOKUP($A:$A,CS!$A:$AK,4,FALSE),"")</f>
      </c>
      <c r="D421" s="57">
        <f>IFERROR(VLOOKUP($A:$A,CS!$A:$AK,5,FALSE),"")</f>
      </c>
      <c r="E421" s="57">
        <f>IFERROR(VLOOKUP($A:$A,CS!$A:$AK,7,FALSE),"")</f>
      </c>
      <c r="F421" s="57">
        <f>IFERROR(VLOOKUP($A:$A,CS!$A:$AK,8,FALSE),"")</f>
      </c>
      <c r="G421" s="57">
        <f>IFERROR(VLOOKUP($A:$A,CS!$A:$AK,10,FALSE),"")</f>
      </c>
      <c r="H421" s="57">
        <f>IFERROR(VLOOKUP($A:$A,CS!$A:$AK,14,FALSE),"")</f>
      </c>
      <c r="I421" s="57">
        <f>IFERROR(VLOOKUP($A:$A,CS!$A:$AK,15,FALSE),"")</f>
      </c>
      <c r="J421" s="57">
        <f>IFERROR(VLOOKUP($A:$A,CS!$A:$AK,18,FALSE),"")</f>
      </c>
      <c r="K421" s="57">
        <f>IFERROR(VLOOKUP($A:$A,CS!$A:$AK,19,FALSE),"")</f>
      </c>
      <c r="L421" s="57">
        <f>IFERROR(VLOOKUP($A:$A,CS!$A:$AK,20,FALSE),"")</f>
      </c>
      <c r="M421" s="57">
        <f>IFERROR(VLOOKUP($A:$A,CS!$A:$AK,22,FALSE),"")</f>
      </c>
      <c r="N421" s="57">
        <f>IFERROR(VLOOKUP($A:$A,CS!$A:$AK,19,FALSE),"")</f>
      </c>
      <c r="O421" s="57">
        <f>IFERROR(VLOOKUP($A:$A,CS!$A:$AK,23,FALSE),"")</f>
      </c>
      <c r="P421" s="57">
        <f>IFERROR(VLOOKUP($A:$A,CS!$A:$AK,24,FALSE),"")</f>
      </c>
      <c r="Q421" s="57">
        <f>IFERROR(VLOOKUP($A:$A,CS!$A:$AK,25,FALSE),"")</f>
      </c>
      <c r="R421" s="57">
        <f>IFERROR(VLOOKUP($A:$A,CS!$A:$AK,26,FALSE),"")</f>
      </c>
      <c r="S421" s="57">
        <f>IFERROR(VLOOKUP($A:$A,CS!$A:$AK,29,FALSE),"")</f>
      </c>
      <c r="T421" s="57">
        <f>IFERROR(VLOOKUP($A:$A,CS!$A:$AK,33,FALSE),"")</f>
      </c>
      <c r="U421" s="57">
        <f>IFERROR(VLOOKUP($A:$A,CS!$A:$AK,34,FALSE),"")</f>
      </c>
      <c r="V421" s="57">
        <f>IFERROR(VLOOKUP($A:$A,CS!$A:$AK,35,FALSE),"")</f>
      </c>
      <c r="W421" s="57">
        <f>IFERROR(VLOOKUP($A:$A,CS!$A:$AK,36,FALSE),"")</f>
      </c>
    </row>
    <row r="422" ht="16.5" customHeight="1" spans="1:23" x14ac:dyDescent="0.25">
      <c r="A422" s="71"/>
      <c r="B422" s="57">
        <f>IFERROR(VLOOKUP($A:$A,CS!$A:$AK,3,FALSE),"")</f>
      </c>
      <c r="C422" s="57">
        <f>IFERROR(VLOOKUP($A:$A,CS!$A:$AK,4,FALSE),"")</f>
      </c>
      <c r="D422" s="57">
        <f>IFERROR(VLOOKUP($A:$A,CS!$A:$AK,5,FALSE),"")</f>
      </c>
      <c r="E422" s="57">
        <f>IFERROR(VLOOKUP($A:$A,CS!$A:$AK,7,FALSE),"")</f>
      </c>
      <c r="F422" s="57">
        <f>IFERROR(VLOOKUP($A:$A,CS!$A:$AK,8,FALSE),"")</f>
      </c>
      <c r="G422" s="57">
        <f>IFERROR(VLOOKUP($A:$A,CS!$A:$AK,10,FALSE),"")</f>
      </c>
      <c r="H422" s="57">
        <f>IFERROR(VLOOKUP($A:$A,CS!$A:$AK,14,FALSE),"")</f>
      </c>
      <c r="I422" s="57">
        <f>IFERROR(VLOOKUP($A:$A,CS!$A:$AK,15,FALSE),"")</f>
      </c>
      <c r="J422" s="57">
        <f>IFERROR(VLOOKUP($A:$A,CS!$A:$AK,18,FALSE),"")</f>
      </c>
      <c r="K422" s="57">
        <f>IFERROR(VLOOKUP($A:$A,CS!$A:$AK,19,FALSE),"")</f>
      </c>
      <c r="L422" s="57">
        <f>IFERROR(VLOOKUP($A:$A,CS!$A:$AK,20,FALSE),"")</f>
      </c>
      <c r="M422" s="57">
        <f>IFERROR(VLOOKUP($A:$A,CS!$A:$AK,22,FALSE),"")</f>
      </c>
      <c r="N422" s="57">
        <f>IFERROR(VLOOKUP($A:$A,CS!$A:$AK,19,FALSE),"")</f>
      </c>
      <c r="O422" s="57">
        <f>IFERROR(VLOOKUP($A:$A,CS!$A:$AK,23,FALSE),"")</f>
      </c>
      <c r="P422" s="57">
        <f>IFERROR(VLOOKUP($A:$A,CS!$A:$AK,24,FALSE),"")</f>
      </c>
      <c r="Q422" s="57">
        <f>IFERROR(VLOOKUP($A:$A,CS!$A:$AK,25,FALSE),"")</f>
      </c>
      <c r="R422" s="57">
        <f>IFERROR(VLOOKUP($A:$A,CS!$A:$AK,26,FALSE),"")</f>
      </c>
      <c r="S422" s="57">
        <f>IFERROR(VLOOKUP($A:$A,CS!$A:$AK,29,FALSE),"")</f>
      </c>
      <c r="T422" s="57">
        <f>IFERROR(VLOOKUP($A:$A,CS!$A:$AK,33,FALSE),"")</f>
      </c>
      <c r="U422" s="57">
        <f>IFERROR(VLOOKUP($A:$A,CS!$A:$AK,34,FALSE),"")</f>
      </c>
      <c r="V422" s="57">
        <f>IFERROR(VLOOKUP($A:$A,CS!$A:$AK,35,FALSE),"")</f>
      </c>
      <c r="W422" s="57">
        <f>IFERROR(VLOOKUP($A:$A,CS!$A:$AK,36,FALSE),"")</f>
      </c>
    </row>
    <row r="423" ht="16.5" customHeight="1" spans="1:23" x14ac:dyDescent="0.25">
      <c r="A423" s="71"/>
      <c r="B423" s="57">
        <f>IFERROR(VLOOKUP($A:$A,CS!$A:$AK,3,FALSE),"")</f>
      </c>
      <c r="C423" s="57">
        <f>IFERROR(VLOOKUP($A:$A,CS!$A:$AK,4,FALSE),"")</f>
      </c>
      <c r="D423" s="57">
        <f>IFERROR(VLOOKUP($A:$A,CS!$A:$AK,5,FALSE),"")</f>
      </c>
      <c r="E423" s="57">
        <f>IFERROR(VLOOKUP($A:$A,CS!$A:$AK,7,FALSE),"")</f>
      </c>
      <c r="F423" s="57">
        <f>IFERROR(VLOOKUP($A:$A,CS!$A:$AK,8,FALSE),"")</f>
      </c>
      <c r="G423" s="57">
        <f>IFERROR(VLOOKUP($A:$A,CS!$A:$AK,10,FALSE),"")</f>
      </c>
      <c r="H423" s="57">
        <f>IFERROR(VLOOKUP($A:$A,CS!$A:$AK,14,FALSE),"")</f>
      </c>
      <c r="I423" s="57">
        <f>IFERROR(VLOOKUP($A:$A,CS!$A:$AK,15,FALSE),"")</f>
      </c>
      <c r="J423" s="57">
        <f>IFERROR(VLOOKUP($A:$A,CS!$A:$AK,18,FALSE),"")</f>
      </c>
      <c r="K423" s="57">
        <f>IFERROR(VLOOKUP($A:$A,CS!$A:$AK,19,FALSE),"")</f>
      </c>
      <c r="L423" s="57">
        <f>IFERROR(VLOOKUP($A:$A,CS!$A:$AK,20,FALSE),"")</f>
      </c>
      <c r="M423" s="57">
        <f>IFERROR(VLOOKUP($A:$A,CS!$A:$AK,22,FALSE),"")</f>
      </c>
      <c r="N423" s="57">
        <f>IFERROR(VLOOKUP($A:$A,CS!$A:$AK,19,FALSE),"")</f>
      </c>
      <c r="O423" s="57">
        <f>IFERROR(VLOOKUP($A:$A,CS!$A:$AK,23,FALSE),"")</f>
      </c>
      <c r="P423" s="57">
        <f>IFERROR(VLOOKUP($A:$A,CS!$A:$AK,24,FALSE),"")</f>
      </c>
      <c r="Q423" s="57">
        <f>IFERROR(VLOOKUP($A:$A,CS!$A:$AK,25,FALSE),"")</f>
      </c>
      <c r="R423" s="57">
        <f>IFERROR(VLOOKUP($A:$A,CS!$A:$AK,26,FALSE),"")</f>
      </c>
      <c r="S423" s="57">
        <f>IFERROR(VLOOKUP($A:$A,CS!$A:$AK,29,FALSE),"")</f>
      </c>
      <c r="T423" s="57">
        <f>IFERROR(VLOOKUP($A:$A,CS!$A:$AK,33,FALSE),"")</f>
      </c>
      <c r="U423" s="57">
        <f>IFERROR(VLOOKUP($A:$A,CS!$A:$AK,34,FALSE),"")</f>
      </c>
      <c r="V423" s="57">
        <f>IFERROR(VLOOKUP($A:$A,CS!$A:$AK,35,FALSE),"")</f>
      </c>
      <c r="W423" s="57">
        <f>IFERROR(VLOOKUP($A:$A,CS!$A:$AK,36,FALSE),"")</f>
      </c>
    </row>
    <row r="424" ht="16.5" customHeight="1" spans="1:23" x14ac:dyDescent="0.25">
      <c r="A424" s="71"/>
      <c r="B424" s="57">
        <f>IFERROR(VLOOKUP($A:$A,CS!$A:$AK,3,FALSE),"")</f>
      </c>
      <c r="C424" s="57">
        <f>IFERROR(VLOOKUP($A:$A,CS!$A:$AK,4,FALSE),"")</f>
      </c>
      <c r="D424" s="57">
        <f>IFERROR(VLOOKUP($A:$A,CS!$A:$AK,5,FALSE),"")</f>
      </c>
      <c r="E424" s="57">
        <f>IFERROR(VLOOKUP($A:$A,CS!$A:$AK,7,FALSE),"")</f>
      </c>
      <c r="F424" s="57">
        <f>IFERROR(VLOOKUP($A:$A,CS!$A:$AK,8,FALSE),"")</f>
      </c>
      <c r="G424" s="57">
        <f>IFERROR(VLOOKUP($A:$A,CS!$A:$AK,10,FALSE),"")</f>
      </c>
      <c r="H424" s="57">
        <f>IFERROR(VLOOKUP($A:$A,CS!$A:$AK,14,FALSE),"")</f>
      </c>
      <c r="I424" s="57">
        <f>IFERROR(VLOOKUP($A:$A,CS!$A:$AK,15,FALSE),"")</f>
      </c>
      <c r="J424" s="57">
        <f>IFERROR(VLOOKUP($A:$A,CS!$A:$AK,18,FALSE),"")</f>
      </c>
      <c r="K424" s="57">
        <f>IFERROR(VLOOKUP($A:$A,CS!$A:$AK,19,FALSE),"")</f>
      </c>
      <c r="L424" s="57">
        <f>IFERROR(VLOOKUP($A:$A,CS!$A:$AK,20,FALSE),"")</f>
      </c>
      <c r="M424" s="57">
        <f>IFERROR(VLOOKUP($A:$A,CS!$A:$AK,22,FALSE),"")</f>
      </c>
      <c r="N424" s="57">
        <f>IFERROR(VLOOKUP($A:$A,CS!$A:$AK,19,FALSE),"")</f>
      </c>
      <c r="O424" s="57">
        <f>IFERROR(VLOOKUP($A:$A,CS!$A:$AK,23,FALSE),"")</f>
      </c>
      <c r="P424" s="57">
        <f>IFERROR(VLOOKUP($A:$A,CS!$A:$AK,24,FALSE),"")</f>
      </c>
      <c r="Q424" s="57">
        <f>IFERROR(VLOOKUP($A:$A,CS!$A:$AK,25,FALSE),"")</f>
      </c>
      <c r="R424" s="57">
        <f>IFERROR(VLOOKUP($A:$A,CS!$A:$AK,26,FALSE),"")</f>
      </c>
      <c r="S424" s="57">
        <f>IFERROR(VLOOKUP($A:$A,CS!$A:$AK,29,FALSE),"")</f>
      </c>
      <c r="T424" s="57">
        <f>IFERROR(VLOOKUP($A:$A,CS!$A:$AK,33,FALSE),"")</f>
      </c>
      <c r="U424" s="57">
        <f>IFERROR(VLOOKUP($A:$A,CS!$A:$AK,34,FALSE),"")</f>
      </c>
      <c r="V424" s="57">
        <f>IFERROR(VLOOKUP($A:$A,CS!$A:$AK,35,FALSE),"")</f>
      </c>
      <c r="W424" s="57">
        <f>IFERROR(VLOOKUP($A:$A,CS!$A:$AK,36,FALSE),"")</f>
      </c>
    </row>
    <row r="425" ht="16.5" customHeight="1" spans="1:23" x14ac:dyDescent="0.25">
      <c r="A425" s="71"/>
      <c r="B425" s="57">
        <f>IFERROR(VLOOKUP($A:$A,CS!$A:$AK,3,FALSE),"")</f>
      </c>
      <c r="C425" s="57">
        <f>IFERROR(VLOOKUP($A:$A,CS!$A:$AK,4,FALSE),"")</f>
      </c>
      <c r="D425" s="57">
        <f>IFERROR(VLOOKUP($A:$A,CS!$A:$AK,5,FALSE),"")</f>
      </c>
      <c r="E425" s="57">
        <f>IFERROR(VLOOKUP($A:$A,CS!$A:$AK,7,FALSE),"")</f>
      </c>
      <c r="F425" s="57">
        <f>IFERROR(VLOOKUP($A:$A,CS!$A:$AK,8,FALSE),"")</f>
      </c>
      <c r="G425" s="57">
        <f>IFERROR(VLOOKUP($A:$A,CS!$A:$AK,10,FALSE),"")</f>
      </c>
      <c r="H425" s="57">
        <f>IFERROR(VLOOKUP($A:$A,CS!$A:$AK,14,FALSE),"")</f>
      </c>
      <c r="I425" s="57">
        <f>IFERROR(VLOOKUP($A:$A,CS!$A:$AK,15,FALSE),"")</f>
      </c>
      <c r="J425" s="57">
        <f>IFERROR(VLOOKUP($A:$A,CS!$A:$AK,18,FALSE),"")</f>
      </c>
      <c r="K425" s="57">
        <f>IFERROR(VLOOKUP($A:$A,CS!$A:$AK,19,FALSE),"")</f>
      </c>
      <c r="L425" s="57">
        <f>IFERROR(VLOOKUP($A:$A,CS!$A:$AK,20,FALSE),"")</f>
      </c>
      <c r="M425" s="57">
        <f>IFERROR(VLOOKUP($A:$A,CS!$A:$AK,22,FALSE),"")</f>
      </c>
      <c r="N425" s="57">
        <f>IFERROR(VLOOKUP($A:$A,CS!$A:$AK,19,FALSE),"")</f>
      </c>
      <c r="O425" s="57">
        <f>IFERROR(VLOOKUP($A:$A,CS!$A:$AK,23,FALSE),"")</f>
      </c>
      <c r="P425" s="57">
        <f>IFERROR(VLOOKUP($A:$A,CS!$A:$AK,24,FALSE),"")</f>
      </c>
      <c r="Q425" s="57">
        <f>IFERROR(VLOOKUP($A:$A,CS!$A:$AK,25,FALSE),"")</f>
      </c>
      <c r="R425" s="57">
        <f>IFERROR(VLOOKUP($A:$A,CS!$A:$AK,26,FALSE),"")</f>
      </c>
      <c r="S425" s="57">
        <f>IFERROR(VLOOKUP($A:$A,CS!$A:$AK,29,FALSE),"")</f>
      </c>
      <c r="T425" s="57">
        <f>IFERROR(VLOOKUP($A:$A,CS!$A:$AK,33,FALSE),"")</f>
      </c>
      <c r="U425" s="57">
        <f>IFERROR(VLOOKUP($A:$A,CS!$A:$AK,34,FALSE),"")</f>
      </c>
      <c r="V425" s="57">
        <f>IFERROR(VLOOKUP($A:$A,CS!$A:$AK,35,FALSE),"")</f>
      </c>
      <c r="W425" s="57">
        <f>IFERROR(VLOOKUP($A:$A,CS!$A:$AK,36,FALSE),"")</f>
      </c>
    </row>
    <row r="426" ht="16.5" customHeight="1" spans="1:23" x14ac:dyDescent="0.25">
      <c r="A426" s="71"/>
      <c r="B426" s="57">
        <f>IFERROR(VLOOKUP($A:$A,CS!$A:$AK,3,FALSE),"")</f>
      </c>
      <c r="C426" s="57">
        <f>IFERROR(VLOOKUP($A:$A,CS!$A:$AK,4,FALSE),"")</f>
      </c>
      <c r="D426" s="57">
        <f>IFERROR(VLOOKUP($A:$A,CS!$A:$AK,5,FALSE),"")</f>
      </c>
      <c r="E426" s="57">
        <f>IFERROR(VLOOKUP($A:$A,CS!$A:$AK,7,FALSE),"")</f>
      </c>
      <c r="F426" s="57">
        <f>IFERROR(VLOOKUP($A:$A,CS!$A:$AK,8,FALSE),"")</f>
      </c>
      <c r="G426" s="57">
        <f>IFERROR(VLOOKUP($A:$A,CS!$A:$AK,10,FALSE),"")</f>
      </c>
      <c r="H426" s="57">
        <f>IFERROR(VLOOKUP($A:$A,CS!$A:$AK,14,FALSE),"")</f>
      </c>
      <c r="I426" s="57">
        <f>IFERROR(VLOOKUP($A:$A,CS!$A:$AK,15,FALSE),"")</f>
      </c>
      <c r="J426" s="57">
        <f>IFERROR(VLOOKUP($A:$A,CS!$A:$AK,18,FALSE),"")</f>
      </c>
      <c r="K426" s="57">
        <f>IFERROR(VLOOKUP($A:$A,CS!$A:$AK,19,FALSE),"")</f>
      </c>
      <c r="L426" s="57">
        <f>IFERROR(VLOOKUP($A:$A,CS!$A:$AK,20,FALSE),"")</f>
      </c>
      <c r="M426" s="57">
        <f>IFERROR(VLOOKUP($A:$A,CS!$A:$AK,22,FALSE),"")</f>
      </c>
      <c r="N426" s="57">
        <f>IFERROR(VLOOKUP($A:$A,CS!$A:$AK,19,FALSE),"")</f>
      </c>
      <c r="O426" s="57">
        <f>IFERROR(VLOOKUP($A:$A,CS!$A:$AK,23,FALSE),"")</f>
      </c>
      <c r="P426" s="57">
        <f>IFERROR(VLOOKUP($A:$A,CS!$A:$AK,24,FALSE),"")</f>
      </c>
      <c r="Q426" s="57">
        <f>IFERROR(VLOOKUP($A:$A,CS!$A:$AK,25,FALSE),"")</f>
      </c>
      <c r="R426" s="57">
        <f>IFERROR(VLOOKUP($A:$A,CS!$A:$AK,26,FALSE),"")</f>
      </c>
      <c r="S426" s="57">
        <f>IFERROR(VLOOKUP($A:$A,CS!$A:$AK,29,FALSE),"")</f>
      </c>
      <c r="T426" s="57">
        <f>IFERROR(VLOOKUP($A:$A,CS!$A:$AK,33,FALSE),"")</f>
      </c>
      <c r="U426" s="57">
        <f>IFERROR(VLOOKUP($A:$A,CS!$A:$AK,34,FALSE),"")</f>
      </c>
      <c r="V426" s="57">
        <f>IFERROR(VLOOKUP($A:$A,CS!$A:$AK,35,FALSE),"")</f>
      </c>
      <c r="W426" s="57">
        <f>IFERROR(VLOOKUP($A:$A,CS!$A:$AK,36,FALSE),"")</f>
      </c>
    </row>
    <row r="427" ht="16.5" customHeight="1" spans="1:23" x14ac:dyDescent="0.25">
      <c r="A427" s="71"/>
      <c r="B427" s="57">
        <f>IFERROR(VLOOKUP($A:$A,CS!$A:$AK,3,FALSE),"")</f>
      </c>
      <c r="C427" s="57">
        <f>IFERROR(VLOOKUP($A:$A,CS!$A:$AK,4,FALSE),"")</f>
      </c>
      <c r="D427" s="57">
        <f>IFERROR(VLOOKUP($A:$A,CS!$A:$AK,5,FALSE),"")</f>
      </c>
      <c r="E427" s="57">
        <f>IFERROR(VLOOKUP($A:$A,CS!$A:$AK,7,FALSE),"")</f>
      </c>
      <c r="F427" s="57">
        <f>IFERROR(VLOOKUP($A:$A,CS!$A:$AK,8,FALSE),"")</f>
      </c>
      <c r="G427" s="57">
        <f>IFERROR(VLOOKUP($A:$A,CS!$A:$AK,10,FALSE),"")</f>
      </c>
      <c r="H427" s="57">
        <f>IFERROR(VLOOKUP($A:$A,CS!$A:$AK,14,FALSE),"")</f>
      </c>
      <c r="I427" s="57">
        <f>IFERROR(VLOOKUP($A:$A,CS!$A:$AK,15,FALSE),"")</f>
      </c>
      <c r="J427" s="57">
        <f>IFERROR(VLOOKUP($A:$A,CS!$A:$AK,18,FALSE),"")</f>
      </c>
      <c r="K427" s="57">
        <f>IFERROR(VLOOKUP($A:$A,CS!$A:$AK,19,FALSE),"")</f>
      </c>
      <c r="L427" s="57">
        <f>IFERROR(VLOOKUP($A:$A,CS!$A:$AK,20,FALSE),"")</f>
      </c>
      <c r="M427" s="57">
        <f>IFERROR(VLOOKUP($A:$A,CS!$A:$AK,22,FALSE),"")</f>
      </c>
      <c r="N427" s="57">
        <f>IFERROR(VLOOKUP($A:$A,CS!$A:$AK,19,FALSE),"")</f>
      </c>
      <c r="O427" s="57">
        <f>IFERROR(VLOOKUP($A:$A,CS!$A:$AK,23,FALSE),"")</f>
      </c>
      <c r="P427" s="57">
        <f>IFERROR(VLOOKUP($A:$A,CS!$A:$AK,24,FALSE),"")</f>
      </c>
      <c r="Q427" s="57">
        <f>IFERROR(VLOOKUP($A:$A,CS!$A:$AK,25,FALSE),"")</f>
      </c>
      <c r="R427" s="57">
        <f>IFERROR(VLOOKUP($A:$A,CS!$A:$AK,26,FALSE),"")</f>
      </c>
      <c r="S427" s="57">
        <f>IFERROR(VLOOKUP($A:$A,CS!$A:$AK,29,FALSE),"")</f>
      </c>
      <c r="T427" s="57">
        <f>IFERROR(VLOOKUP($A:$A,CS!$A:$AK,33,FALSE),"")</f>
      </c>
      <c r="U427" s="57">
        <f>IFERROR(VLOOKUP($A:$A,CS!$A:$AK,34,FALSE),"")</f>
      </c>
      <c r="V427" s="57">
        <f>IFERROR(VLOOKUP($A:$A,CS!$A:$AK,35,FALSE),"")</f>
      </c>
      <c r="W427" s="57">
        <f>IFERROR(VLOOKUP($A:$A,CS!$A:$AK,36,FALSE),"")</f>
      </c>
    </row>
    <row r="428" ht="16.5" customHeight="1" spans="1:23" x14ac:dyDescent="0.25">
      <c r="A428" s="71"/>
      <c r="B428" s="57">
        <f>IFERROR(VLOOKUP($A:$A,CS!$A:$AK,3,FALSE),"")</f>
      </c>
      <c r="C428" s="57">
        <f>IFERROR(VLOOKUP($A:$A,CS!$A:$AK,4,FALSE),"")</f>
      </c>
      <c r="D428" s="57">
        <f>IFERROR(VLOOKUP($A:$A,CS!$A:$AK,5,FALSE),"")</f>
      </c>
      <c r="E428" s="57">
        <f>IFERROR(VLOOKUP($A:$A,CS!$A:$AK,7,FALSE),"")</f>
      </c>
      <c r="F428" s="57">
        <f>IFERROR(VLOOKUP($A:$A,CS!$A:$AK,8,FALSE),"")</f>
      </c>
      <c r="G428" s="57">
        <f>IFERROR(VLOOKUP($A:$A,CS!$A:$AK,10,FALSE),"")</f>
      </c>
      <c r="H428" s="57">
        <f>IFERROR(VLOOKUP($A:$A,CS!$A:$AK,14,FALSE),"")</f>
      </c>
      <c r="I428" s="57">
        <f>IFERROR(VLOOKUP($A:$A,CS!$A:$AK,15,FALSE),"")</f>
      </c>
      <c r="J428" s="57">
        <f>IFERROR(VLOOKUP($A:$A,CS!$A:$AK,18,FALSE),"")</f>
      </c>
      <c r="K428" s="57">
        <f>IFERROR(VLOOKUP($A:$A,CS!$A:$AK,19,FALSE),"")</f>
      </c>
      <c r="L428" s="57">
        <f>IFERROR(VLOOKUP($A:$A,CS!$A:$AK,20,FALSE),"")</f>
      </c>
      <c r="M428" s="57">
        <f>IFERROR(VLOOKUP($A:$A,CS!$A:$AK,22,FALSE),"")</f>
      </c>
      <c r="N428" s="57">
        <f>IFERROR(VLOOKUP($A:$A,CS!$A:$AK,19,FALSE),"")</f>
      </c>
      <c r="O428" s="57">
        <f>IFERROR(VLOOKUP($A:$A,CS!$A:$AK,23,FALSE),"")</f>
      </c>
      <c r="P428" s="57">
        <f>IFERROR(VLOOKUP($A:$A,CS!$A:$AK,24,FALSE),"")</f>
      </c>
      <c r="Q428" s="57">
        <f>IFERROR(VLOOKUP($A:$A,CS!$A:$AK,25,FALSE),"")</f>
      </c>
      <c r="R428" s="57">
        <f>IFERROR(VLOOKUP($A:$A,CS!$A:$AK,26,FALSE),"")</f>
      </c>
      <c r="S428" s="57">
        <f>IFERROR(VLOOKUP($A:$A,CS!$A:$AK,29,FALSE),"")</f>
      </c>
      <c r="T428" s="57">
        <f>IFERROR(VLOOKUP($A:$A,CS!$A:$AK,33,FALSE),"")</f>
      </c>
      <c r="U428" s="57">
        <f>IFERROR(VLOOKUP($A:$A,CS!$A:$AK,34,FALSE),"")</f>
      </c>
      <c r="V428" s="57">
        <f>IFERROR(VLOOKUP($A:$A,CS!$A:$AK,35,FALSE),"")</f>
      </c>
      <c r="W428" s="57">
        <f>IFERROR(VLOOKUP($A:$A,CS!$A:$AK,36,FALSE),"")</f>
      </c>
    </row>
    <row r="429" ht="16.5" customHeight="1" spans="1:23" x14ac:dyDescent="0.25">
      <c r="A429" s="71"/>
      <c r="B429" s="57">
        <f>IFERROR(VLOOKUP($A:$A,CS!$A:$AK,3,FALSE),"")</f>
      </c>
      <c r="C429" s="57">
        <f>IFERROR(VLOOKUP($A:$A,CS!$A:$AK,4,FALSE),"")</f>
      </c>
      <c r="D429" s="57">
        <f>IFERROR(VLOOKUP($A:$A,CS!$A:$AK,5,FALSE),"")</f>
      </c>
      <c r="E429" s="57">
        <f>IFERROR(VLOOKUP($A:$A,CS!$A:$AK,7,FALSE),"")</f>
      </c>
      <c r="F429" s="57">
        <f>IFERROR(VLOOKUP($A:$A,CS!$A:$AK,8,FALSE),"")</f>
      </c>
      <c r="G429" s="57">
        <f>IFERROR(VLOOKUP($A:$A,CS!$A:$AK,10,FALSE),"")</f>
      </c>
      <c r="H429" s="57">
        <f>IFERROR(VLOOKUP($A:$A,CS!$A:$AK,14,FALSE),"")</f>
      </c>
      <c r="I429" s="57">
        <f>IFERROR(VLOOKUP($A:$A,CS!$A:$AK,15,FALSE),"")</f>
      </c>
      <c r="J429" s="57">
        <f>IFERROR(VLOOKUP($A:$A,CS!$A:$AK,18,FALSE),"")</f>
      </c>
      <c r="K429" s="57">
        <f>IFERROR(VLOOKUP($A:$A,CS!$A:$AK,19,FALSE),"")</f>
      </c>
      <c r="L429" s="57">
        <f>IFERROR(VLOOKUP($A:$A,CS!$A:$AK,20,FALSE),"")</f>
      </c>
      <c r="M429" s="57">
        <f>IFERROR(VLOOKUP($A:$A,CS!$A:$AK,22,FALSE),"")</f>
      </c>
      <c r="N429" s="57">
        <f>IFERROR(VLOOKUP($A:$A,CS!$A:$AK,19,FALSE),"")</f>
      </c>
      <c r="O429" s="57">
        <f>IFERROR(VLOOKUP($A:$A,CS!$A:$AK,23,FALSE),"")</f>
      </c>
      <c r="P429" s="57">
        <f>IFERROR(VLOOKUP($A:$A,CS!$A:$AK,24,FALSE),"")</f>
      </c>
      <c r="Q429" s="57">
        <f>IFERROR(VLOOKUP($A:$A,CS!$A:$AK,25,FALSE),"")</f>
      </c>
      <c r="R429" s="57">
        <f>IFERROR(VLOOKUP($A:$A,CS!$A:$AK,26,FALSE),"")</f>
      </c>
      <c r="S429" s="57">
        <f>IFERROR(VLOOKUP($A:$A,CS!$A:$AK,29,FALSE),"")</f>
      </c>
      <c r="T429" s="57">
        <f>IFERROR(VLOOKUP($A:$A,CS!$A:$AK,33,FALSE),"")</f>
      </c>
      <c r="U429" s="57">
        <f>IFERROR(VLOOKUP($A:$A,CS!$A:$AK,34,FALSE),"")</f>
      </c>
      <c r="V429" s="57">
        <f>IFERROR(VLOOKUP($A:$A,CS!$A:$AK,35,FALSE),"")</f>
      </c>
      <c r="W429" s="57">
        <f>IFERROR(VLOOKUP($A:$A,CS!$A:$AK,36,FALSE),"")</f>
      </c>
    </row>
    <row r="430" ht="16.5" customHeight="1" spans="1:23" x14ac:dyDescent="0.25">
      <c r="A430" s="71"/>
      <c r="B430" s="57">
        <f>IFERROR(VLOOKUP($A:$A,CS!$A:$AK,3,FALSE),"")</f>
      </c>
      <c r="C430" s="57">
        <f>IFERROR(VLOOKUP($A:$A,CS!$A:$AK,4,FALSE),"")</f>
      </c>
      <c r="D430" s="57">
        <f>IFERROR(VLOOKUP($A:$A,CS!$A:$AK,5,FALSE),"")</f>
      </c>
      <c r="E430" s="57">
        <f>IFERROR(VLOOKUP($A:$A,CS!$A:$AK,7,FALSE),"")</f>
      </c>
      <c r="F430" s="57">
        <f>IFERROR(VLOOKUP($A:$A,CS!$A:$AK,8,FALSE),"")</f>
      </c>
      <c r="G430" s="57">
        <f>IFERROR(VLOOKUP($A:$A,CS!$A:$AK,10,FALSE),"")</f>
      </c>
      <c r="H430" s="57">
        <f>IFERROR(VLOOKUP($A:$A,CS!$A:$AK,14,FALSE),"")</f>
      </c>
      <c r="I430" s="57">
        <f>IFERROR(VLOOKUP($A:$A,CS!$A:$AK,15,FALSE),"")</f>
      </c>
      <c r="J430" s="57">
        <f>IFERROR(VLOOKUP($A:$A,CS!$A:$AK,18,FALSE),"")</f>
      </c>
      <c r="K430" s="57">
        <f>IFERROR(VLOOKUP($A:$A,CS!$A:$AK,19,FALSE),"")</f>
      </c>
      <c r="L430" s="57">
        <f>IFERROR(VLOOKUP($A:$A,CS!$A:$AK,20,FALSE),"")</f>
      </c>
      <c r="M430" s="57">
        <f>IFERROR(VLOOKUP($A:$A,CS!$A:$AK,22,FALSE),"")</f>
      </c>
      <c r="N430" s="57">
        <f>IFERROR(VLOOKUP($A:$A,CS!$A:$AK,19,FALSE),"")</f>
      </c>
      <c r="O430" s="57">
        <f>IFERROR(VLOOKUP($A:$A,CS!$A:$AK,23,FALSE),"")</f>
      </c>
      <c r="P430" s="57">
        <f>IFERROR(VLOOKUP($A:$A,CS!$A:$AK,24,FALSE),"")</f>
      </c>
      <c r="Q430" s="57">
        <f>IFERROR(VLOOKUP($A:$A,CS!$A:$AK,25,FALSE),"")</f>
      </c>
      <c r="R430" s="57">
        <f>IFERROR(VLOOKUP($A:$A,CS!$A:$AK,26,FALSE),"")</f>
      </c>
      <c r="S430" s="57">
        <f>IFERROR(VLOOKUP($A:$A,CS!$A:$AK,29,FALSE),"")</f>
      </c>
      <c r="T430" s="57">
        <f>IFERROR(VLOOKUP($A:$A,CS!$A:$AK,33,FALSE),"")</f>
      </c>
      <c r="U430" s="57">
        <f>IFERROR(VLOOKUP($A:$A,CS!$A:$AK,34,FALSE),"")</f>
      </c>
      <c r="V430" s="57">
        <f>IFERROR(VLOOKUP($A:$A,CS!$A:$AK,35,FALSE),"")</f>
      </c>
      <c r="W430" s="57">
        <f>IFERROR(VLOOKUP($A:$A,CS!$A:$AK,36,FALSE),"")</f>
      </c>
    </row>
    <row r="431" ht="16.5" customHeight="1" spans="1:23" x14ac:dyDescent="0.25">
      <c r="A431" s="71"/>
      <c r="B431" s="57">
        <f>IFERROR(VLOOKUP($A:$A,CS!$A:$AK,3,FALSE),"")</f>
      </c>
      <c r="C431" s="57">
        <f>IFERROR(VLOOKUP($A:$A,CS!$A:$AK,4,FALSE),"")</f>
      </c>
      <c r="D431" s="57">
        <f>IFERROR(VLOOKUP($A:$A,CS!$A:$AK,5,FALSE),"")</f>
      </c>
      <c r="E431" s="57">
        <f>IFERROR(VLOOKUP($A:$A,CS!$A:$AK,7,FALSE),"")</f>
      </c>
      <c r="F431" s="57">
        <f>IFERROR(VLOOKUP($A:$A,CS!$A:$AK,8,FALSE),"")</f>
      </c>
      <c r="G431" s="57">
        <f>IFERROR(VLOOKUP($A:$A,CS!$A:$AK,10,FALSE),"")</f>
      </c>
      <c r="H431" s="57">
        <f>IFERROR(VLOOKUP($A:$A,CS!$A:$AK,14,FALSE),"")</f>
      </c>
      <c r="I431" s="57">
        <f>IFERROR(VLOOKUP($A:$A,CS!$A:$AK,15,FALSE),"")</f>
      </c>
      <c r="J431" s="57">
        <f>IFERROR(VLOOKUP($A:$A,CS!$A:$AK,18,FALSE),"")</f>
      </c>
      <c r="K431" s="57">
        <f>IFERROR(VLOOKUP($A:$A,CS!$A:$AK,19,FALSE),"")</f>
      </c>
      <c r="L431" s="57">
        <f>IFERROR(VLOOKUP($A:$A,CS!$A:$AK,20,FALSE),"")</f>
      </c>
      <c r="M431" s="57">
        <f>IFERROR(VLOOKUP($A:$A,CS!$A:$AK,22,FALSE),"")</f>
      </c>
      <c r="N431" s="57">
        <f>IFERROR(VLOOKUP($A:$A,CS!$A:$AK,19,FALSE),"")</f>
      </c>
      <c r="O431" s="57">
        <f>IFERROR(VLOOKUP($A:$A,CS!$A:$AK,23,FALSE),"")</f>
      </c>
      <c r="P431" s="57">
        <f>IFERROR(VLOOKUP($A:$A,CS!$A:$AK,24,FALSE),"")</f>
      </c>
      <c r="Q431" s="57">
        <f>IFERROR(VLOOKUP($A:$A,CS!$A:$AK,25,FALSE),"")</f>
      </c>
      <c r="R431" s="57">
        <f>IFERROR(VLOOKUP($A:$A,CS!$A:$AK,26,FALSE),"")</f>
      </c>
      <c r="S431" s="57">
        <f>IFERROR(VLOOKUP($A:$A,CS!$A:$AK,29,FALSE),"")</f>
      </c>
      <c r="T431" s="57">
        <f>IFERROR(VLOOKUP($A:$A,CS!$A:$AK,33,FALSE),"")</f>
      </c>
      <c r="U431" s="57">
        <f>IFERROR(VLOOKUP($A:$A,CS!$A:$AK,34,FALSE),"")</f>
      </c>
      <c r="V431" s="57">
        <f>IFERROR(VLOOKUP($A:$A,CS!$A:$AK,35,FALSE),"")</f>
      </c>
      <c r="W431" s="57">
        <f>IFERROR(VLOOKUP($A:$A,CS!$A:$AK,36,FALSE),"")</f>
      </c>
    </row>
    <row r="432" ht="16.5" customHeight="1" spans="1:23" x14ac:dyDescent="0.25">
      <c r="A432" s="71"/>
      <c r="B432" s="57">
        <f>IFERROR(VLOOKUP($A:$A,CS!$A:$AK,3,FALSE),"")</f>
      </c>
      <c r="C432" s="57">
        <f>IFERROR(VLOOKUP($A:$A,CS!$A:$AK,4,FALSE),"")</f>
      </c>
      <c r="D432" s="57">
        <f>IFERROR(VLOOKUP($A:$A,CS!$A:$AK,5,FALSE),"")</f>
      </c>
      <c r="E432" s="57">
        <f>IFERROR(VLOOKUP($A:$A,CS!$A:$AK,7,FALSE),"")</f>
      </c>
      <c r="F432" s="57">
        <f>IFERROR(VLOOKUP($A:$A,CS!$A:$AK,8,FALSE),"")</f>
      </c>
      <c r="G432" s="57">
        <f>IFERROR(VLOOKUP($A:$A,CS!$A:$AK,10,FALSE),"")</f>
      </c>
      <c r="H432" s="57">
        <f>IFERROR(VLOOKUP($A:$A,CS!$A:$AK,14,FALSE),"")</f>
      </c>
      <c r="I432" s="57">
        <f>IFERROR(VLOOKUP($A:$A,CS!$A:$AK,15,FALSE),"")</f>
      </c>
      <c r="J432" s="57">
        <f>IFERROR(VLOOKUP($A:$A,CS!$A:$AK,18,FALSE),"")</f>
      </c>
      <c r="K432" s="57">
        <f>IFERROR(VLOOKUP($A:$A,CS!$A:$AK,19,FALSE),"")</f>
      </c>
      <c r="L432" s="57">
        <f>IFERROR(VLOOKUP($A:$A,CS!$A:$AK,20,FALSE),"")</f>
      </c>
      <c r="M432" s="57">
        <f>IFERROR(VLOOKUP($A:$A,CS!$A:$AK,22,FALSE),"")</f>
      </c>
      <c r="N432" s="57">
        <f>IFERROR(VLOOKUP($A:$A,CS!$A:$AK,19,FALSE),"")</f>
      </c>
      <c r="O432" s="57">
        <f>IFERROR(VLOOKUP($A:$A,CS!$A:$AK,23,FALSE),"")</f>
      </c>
      <c r="P432" s="57">
        <f>IFERROR(VLOOKUP($A:$A,CS!$A:$AK,24,FALSE),"")</f>
      </c>
      <c r="Q432" s="57">
        <f>IFERROR(VLOOKUP($A:$A,CS!$A:$AK,25,FALSE),"")</f>
      </c>
      <c r="R432" s="57">
        <f>IFERROR(VLOOKUP($A:$A,CS!$A:$AK,26,FALSE),"")</f>
      </c>
      <c r="S432" s="57">
        <f>IFERROR(VLOOKUP($A:$A,CS!$A:$AK,29,FALSE),"")</f>
      </c>
      <c r="T432" s="57">
        <f>IFERROR(VLOOKUP($A:$A,CS!$A:$AK,33,FALSE),"")</f>
      </c>
      <c r="U432" s="57">
        <f>IFERROR(VLOOKUP($A:$A,CS!$A:$AK,34,FALSE),"")</f>
      </c>
      <c r="V432" s="57">
        <f>IFERROR(VLOOKUP($A:$A,CS!$A:$AK,35,FALSE),"")</f>
      </c>
      <c r="W432" s="57">
        <f>IFERROR(VLOOKUP($A:$A,CS!$A:$AK,36,FALSE),"")</f>
      </c>
    </row>
    <row r="433" ht="16.5" customHeight="1" spans="1:23" x14ac:dyDescent="0.25">
      <c r="A433" s="71"/>
      <c r="B433" s="57">
        <f>IFERROR(VLOOKUP($A:$A,CS!$A:$AK,3,FALSE),"")</f>
      </c>
      <c r="C433" s="57">
        <f>IFERROR(VLOOKUP($A:$A,CS!$A:$AK,4,FALSE),"")</f>
      </c>
      <c r="D433" s="57">
        <f>IFERROR(VLOOKUP($A:$A,CS!$A:$AK,5,FALSE),"")</f>
      </c>
      <c r="E433" s="57">
        <f>IFERROR(VLOOKUP($A:$A,CS!$A:$AK,7,FALSE),"")</f>
      </c>
      <c r="F433" s="57">
        <f>IFERROR(VLOOKUP($A:$A,CS!$A:$AK,8,FALSE),"")</f>
      </c>
      <c r="G433" s="57">
        <f>IFERROR(VLOOKUP($A:$A,CS!$A:$AK,10,FALSE),"")</f>
      </c>
      <c r="H433" s="57">
        <f>IFERROR(VLOOKUP($A:$A,CS!$A:$AK,14,FALSE),"")</f>
      </c>
      <c r="I433" s="57">
        <f>IFERROR(VLOOKUP($A:$A,CS!$A:$AK,15,FALSE),"")</f>
      </c>
      <c r="J433" s="57">
        <f>IFERROR(VLOOKUP($A:$A,CS!$A:$AK,18,FALSE),"")</f>
      </c>
      <c r="K433" s="57">
        <f>IFERROR(VLOOKUP($A:$A,CS!$A:$AK,19,FALSE),"")</f>
      </c>
      <c r="L433" s="57">
        <f>IFERROR(VLOOKUP($A:$A,CS!$A:$AK,20,FALSE),"")</f>
      </c>
      <c r="M433" s="57">
        <f>IFERROR(VLOOKUP($A:$A,CS!$A:$AK,22,FALSE),"")</f>
      </c>
      <c r="N433" s="57">
        <f>IFERROR(VLOOKUP($A:$A,CS!$A:$AK,19,FALSE),"")</f>
      </c>
      <c r="O433" s="57">
        <f>IFERROR(VLOOKUP($A:$A,CS!$A:$AK,23,FALSE),"")</f>
      </c>
      <c r="P433" s="57">
        <f>IFERROR(VLOOKUP($A:$A,CS!$A:$AK,24,FALSE),"")</f>
      </c>
      <c r="Q433" s="57">
        <f>IFERROR(VLOOKUP($A:$A,CS!$A:$AK,25,FALSE),"")</f>
      </c>
      <c r="R433" s="57">
        <f>IFERROR(VLOOKUP($A:$A,CS!$A:$AK,26,FALSE),"")</f>
      </c>
      <c r="S433" s="57">
        <f>IFERROR(VLOOKUP($A:$A,CS!$A:$AK,29,FALSE),"")</f>
      </c>
      <c r="T433" s="57">
        <f>IFERROR(VLOOKUP($A:$A,CS!$A:$AK,33,FALSE),"")</f>
      </c>
      <c r="U433" s="57">
        <f>IFERROR(VLOOKUP($A:$A,CS!$A:$AK,34,FALSE),"")</f>
      </c>
      <c r="V433" s="57">
        <f>IFERROR(VLOOKUP($A:$A,CS!$A:$AK,35,FALSE),"")</f>
      </c>
      <c r="W433" s="57">
        <f>IFERROR(VLOOKUP($A:$A,CS!$A:$AK,36,FALSE),"")</f>
      </c>
    </row>
    <row r="434" ht="16.5" customHeight="1" spans="1:23" x14ac:dyDescent="0.25">
      <c r="A434" s="71"/>
      <c r="B434" s="57">
        <f>IFERROR(VLOOKUP($A:$A,CS!$A:$AK,3,FALSE),"")</f>
      </c>
      <c r="C434" s="57">
        <f>IFERROR(VLOOKUP($A:$A,CS!$A:$AK,4,FALSE),"")</f>
      </c>
      <c r="D434" s="57">
        <f>IFERROR(VLOOKUP($A:$A,CS!$A:$AK,5,FALSE),"")</f>
      </c>
      <c r="E434" s="57">
        <f>IFERROR(VLOOKUP($A:$A,CS!$A:$AK,7,FALSE),"")</f>
      </c>
      <c r="F434" s="57">
        <f>IFERROR(VLOOKUP($A:$A,CS!$A:$AK,8,FALSE),"")</f>
      </c>
      <c r="G434" s="57">
        <f>IFERROR(VLOOKUP($A:$A,CS!$A:$AK,10,FALSE),"")</f>
      </c>
      <c r="H434" s="57">
        <f>IFERROR(VLOOKUP($A:$A,CS!$A:$AK,14,FALSE),"")</f>
      </c>
      <c r="I434" s="57">
        <f>IFERROR(VLOOKUP($A:$A,CS!$A:$AK,15,FALSE),"")</f>
      </c>
      <c r="J434" s="57">
        <f>IFERROR(VLOOKUP($A:$A,CS!$A:$AK,18,FALSE),"")</f>
      </c>
      <c r="K434" s="57">
        <f>IFERROR(VLOOKUP($A:$A,CS!$A:$AK,19,FALSE),"")</f>
      </c>
      <c r="L434" s="57">
        <f>IFERROR(VLOOKUP($A:$A,CS!$A:$AK,20,FALSE),"")</f>
      </c>
      <c r="M434" s="57">
        <f>IFERROR(VLOOKUP($A:$A,CS!$A:$AK,22,FALSE),"")</f>
      </c>
      <c r="N434" s="57">
        <f>IFERROR(VLOOKUP($A:$A,CS!$A:$AK,19,FALSE),"")</f>
      </c>
      <c r="O434" s="57">
        <f>IFERROR(VLOOKUP($A:$A,CS!$A:$AK,23,FALSE),"")</f>
      </c>
      <c r="P434" s="57">
        <f>IFERROR(VLOOKUP($A:$A,CS!$A:$AK,24,FALSE),"")</f>
      </c>
      <c r="Q434" s="57">
        <f>IFERROR(VLOOKUP($A:$A,CS!$A:$AK,25,FALSE),"")</f>
      </c>
      <c r="R434" s="57">
        <f>IFERROR(VLOOKUP($A:$A,CS!$A:$AK,26,FALSE),"")</f>
      </c>
      <c r="S434" s="57">
        <f>IFERROR(VLOOKUP($A:$A,CS!$A:$AK,29,FALSE),"")</f>
      </c>
      <c r="T434" s="57">
        <f>IFERROR(VLOOKUP($A:$A,CS!$A:$AK,33,FALSE),"")</f>
      </c>
      <c r="U434" s="57">
        <f>IFERROR(VLOOKUP($A:$A,CS!$A:$AK,34,FALSE),"")</f>
      </c>
      <c r="V434" s="57">
        <f>IFERROR(VLOOKUP($A:$A,CS!$A:$AK,35,FALSE),"")</f>
      </c>
      <c r="W434" s="57">
        <f>IFERROR(VLOOKUP($A:$A,CS!$A:$AK,36,FALSE),"")</f>
      </c>
    </row>
    <row r="435" ht="16.5" customHeight="1" spans="1:23" x14ac:dyDescent="0.25">
      <c r="A435" s="71"/>
      <c r="B435" s="57">
        <f>IFERROR(VLOOKUP($A:$A,CS!$A:$AK,3,FALSE),"")</f>
      </c>
      <c r="C435" s="57">
        <f>IFERROR(VLOOKUP($A:$A,CS!$A:$AK,4,FALSE),"")</f>
      </c>
      <c r="D435" s="57">
        <f>IFERROR(VLOOKUP($A:$A,CS!$A:$AK,5,FALSE),"")</f>
      </c>
      <c r="E435" s="57">
        <f>IFERROR(VLOOKUP($A:$A,CS!$A:$AK,7,FALSE),"")</f>
      </c>
      <c r="F435" s="57">
        <f>IFERROR(VLOOKUP($A:$A,CS!$A:$AK,8,FALSE),"")</f>
      </c>
      <c r="G435" s="57">
        <f>IFERROR(VLOOKUP($A:$A,CS!$A:$AK,10,FALSE),"")</f>
      </c>
      <c r="H435" s="57">
        <f>IFERROR(VLOOKUP($A:$A,CS!$A:$AK,14,FALSE),"")</f>
      </c>
      <c r="I435" s="57">
        <f>IFERROR(VLOOKUP($A:$A,CS!$A:$AK,15,FALSE),"")</f>
      </c>
      <c r="J435" s="57">
        <f>IFERROR(VLOOKUP($A:$A,CS!$A:$AK,18,FALSE),"")</f>
      </c>
      <c r="K435" s="57">
        <f>IFERROR(VLOOKUP($A:$A,CS!$A:$AK,19,FALSE),"")</f>
      </c>
      <c r="L435" s="57">
        <f>IFERROR(VLOOKUP($A:$A,CS!$A:$AK,20,FALSE),"")</f>
      </c>
      <c r="M435" s="57">
        <f>IFERROR(VLOOKUP($A:$A,CS!$A:$AK,22,FALSE),"")</f>
      </c>
      <c r="N435" s="57">
        <f>IFERROR(VLOOKUP($A:$A,CS!$A:$AK,19,FALSE),"")</f>
      </c>
      <c r="O435" s="57">
        <f>IFERROR(VLOOKUP($A:$A,CS!$A:$AK,23,FALSE),"")</f>
      </c>
      <c r="P435" s="57">
        <f>IFERROR(VLOOKUP($A:$A,CS!$A:$AK,24,FALSE),"")</f>
      </c>
      <c r="Q435" s="57">
        <f>IFERROR(VLOOKUP($A:$A,CS!$A:$AK,25,FALSE),"")</f>
      </c>
      <c r="R435" s="57">
        <f>IFERROR(VLOOKUP($A:$A,CS!$A:$AK,26,FALSE),"")</f>
      </c>
      <c r="S435" s="57">
        <f>IFERROR(VLOOKUP($A:$A,CS!$A:$AK,29,FALSE),"")</f>
      </c>
      <c r="T435" s="57">
        <f>IFERROR(VLOOKUP($A:$A,CS!$A:$AK,33,FALSE),"")</f>
      </c>
      <c r="U435" s="57">
        <f>IFERROR(VLOOKUP($A:$A,CS!$A:$AK,34,FALSE),"")</f>
      </c>
      <c r="V435" s="57">
        <f>IFERROR(VLOOKUP($A:$A,CS!$A:$AK,35,FALSE),"")</f>
      </c>
      <c r="W435" s="57">
        <f>IFERROR(VLOOKUP($A:$A,CS!$A:$AK,36,FALSE),"")</f>
      </c>
    </row>
    <row r="436" ht="16.5" customHeight="1" spans="1:23" x14ac:dyDescent="0.25">
      <c r="A436" s="71"/>
      <c r="B436" s="57">
        <f>IFERROR(VLOOKUP($A:$A,CS!$A:$AK,3,FALSE),"")</f>
      </c>
      <c r="C436" s="57">
        <f>IFERROR(VLOOKUP($A:$A,CS!$A:$AK,4,FALSE),"")</f>
      </c>
      <c r="D436" s="57">
        <f>IFERROR(VLOOKUP($A:$A,CS!$A:$AK,5,FALSE),"")</f>
      </c>
      <c r="E436" s="57">
        <f>IFERROR(VLOOKUP($A:$A,CS!$A:$AK,7,FALSE),"")</f>
      </c>
      <c r="F436" s="57">
        <f>IFERROR(VLOOKUP($A:$A,CS!$A:$AK,8,FALSE),"")</f>
      </c>
      <c r="G436" s="57">
        <f>IFERROR(VLOOKUP($A:$A,CS!$A:$AK,10,FALSE),"")</f>
      </c>
      <c r="H436" s="57">
        <f>IFERROR(VLOOKUP($A:$A,CS!$A:$AK,14,FALSE),"")</f>
      </c>
      <c r="I436" s="57">
        <f>IFERROR(VLOOKUP($A:$A,CS!$A:$AK,15,FALSE),"")</f>
      </c>
      <c r="J436" s="57">
        <f>IFERROR(VLOOKUP($A:$A,CS!$A:$AK,18,FALSE),"")</f>
      </c>
      <c r="K436" s="57">
        <f>IFERROR(VLOOKUP($A:$A,CS!$A:$AK,19,FALSE),"")</f>
      </c>
      <c r="L436" s="57">
        <f>IFERROR(VLOOKUP($A:$A,CS!$A:$AK,20,FALSE),"")</f>
      </c>
      <c r="M436" s="57">
        <f>IFERROR(VLOOKUP($A:$A,CS!$A:$AK,22,FALSE),"")</f>
      </c>
      <c r="N436" s="57">
        <f>IFERROR(VLOOKUP($A:$A,CS!$A:$AK,19,FALSE),"")</f>
      </c>
      <c r="O436" s="57">
        <f>IFERROR(VLOOKUP($A:$A,CS!$A:$AK,23,FALSE),"")</f>
      </c>
      <c r="P436" s="57">
        <f>IFERROR(VLOOKUP($A:$A,CS!$A:$AK,24,FALSE),"")</f>
      </c>
      <c r="Q436" s="57">
        <f>IFERROR(VLOOKUP($A:$A,CS!$A:$AK,25,FALSE),"")</f>
      </c>
      <c r="R436" s="57">
        <f>IFERROR(VLOOKUP($A:$A,CS!$A:$AK,26,FALSE),"")</f>
      </c>
      <c r="S436" s="57">
        <f>IFERROR(VLOOKUP($A:$A,CS!$A:$AK,29,FALSE),"")</f>
      </c>
      <c r="T436" s="57">
        <f>IFERROR(VLOOKUP($A:$A,CS!$A:$AK,33,FALSE),"")</f>
      </c>
      <c r="U436" s="57">
        <f>IFERROR(VLOOKUP($A:$A,CS!$A:$AK,34,FALSE),"")</f>
      </c>
      <c r="V436" s="57">
        <f>IFERROR(VLOOKUP($A:$A,CS!$A:$AK,35,FALSE),"")</f>
      </c>
      <c r="W436" s="57">
        <f>IFERROR(VLOOKUP($A:$A,CS!$A:$AK,36,FALSE),"")</f>
      </c>
    </row>
    <row r="437" ht="16.5" customHeight="1" spans="1:23" x14ac:dyDescent="0.25">
      <c r="A437" s="71"/>
      <c r="B437" s="57">
        <f>IFERROR(VLOOKUP($A:$A,CS!$A:$AK,3,FALSE),"")</f>
      </c>
      <c r="C437" s="57">
        <f>IFERROR(VLOOKUP($A:$A,CS!$A:$AK,4,FALSE),"")</f>
      </c>
      <c r="D437" s="57">
        <f>IFERROR(VLOOKUP($A:$A,CS!$A:$AK,5,FALSE),"")</f>
      </c>
      <c r="E437" s="57">
        <f>IFERROR(VLOOKUP($A:$A,CS!$A:$AK,7,FALSE),"")</f>
      </c>
      <c r="F437" s="57">
        <f>IFERROR(VLOOKUP($A:$A,CS!$A:$AK,8,FALSE),"")</f>
      </c>
      <c r="G437" s="57">
        <f>IFERROR(VLOOKUP($A:$A,CS!$A:$AK,10,FALSE),"")</f>
      </c>
      <c r="H437" s="57">
        <f>IFERROR(VLOOKUP($A:$A,CS!$A:$AK,14,FALSE),"")</f>
      </c>
      <c r="I437" s="57">
        <f>IFERROR(VLOOKUP($A:$A,CS!$A:$AK,15,FALSE),"")</f>
      </c>
      <c r="J437" s="57">
        <f>IFERROR(VLOOKUP($A:$A,CS!$A:$AK,18,FALSE),"")</f>
      </c>
      <c r="K437" s="57">
        <f>IFERROR(VLOOKUP($A:$A,CS!$A:$AK,19,FALSE),"")</f>
      </c>
      <c r="L437" s="57">
        <f>IFERROR(VLOOKUP($A:$A,CS!$A:$AK,20,FALSE),"")</f>
      </c>
      <c r="M437" s="57">
        <f>IFERROR(VLOOKUP($A:$A,CS!$A:$AK,22,FALSE),"")</f>
      </c>
      <c r="N437" s="57">
        <f>IFERROR(VLOOKUP($A:$A,CS!$A:$AK,19,FALSE),"")</f>
      </c>
      <c r="O437" s="57">
        <f>IFERROR(VLOOKUP($A:$A,CS!$A:$AK,23,FALSE),"")</f>
      </c>
      <c r="P437" s="57">
        <f>IFERROR(VLOOKUP($A:$A,CS!$A:$AK,24,FALSE),"")</f>
      </c>
      <c r="Q437" s="57">
        <f>IFERROR(VLOOKUP($A:$A,CS!$A:$AK,25,FALSE),"")</f>
      </c>
      <c r="R437" s="57">
        <f>IFERROR(VLOOKUP($A:$A,CS!$A:$AK,26,FALSE),"")</f>
      </c>
      <c r="S437" s="57">
        <f>IFERROR(VLOOKUP($A:$A,CS!$A:$AK,29,FALSE),"")</f>
      </c>
      <c r="T437" s="57">
        <f>IFERROR(VLOOKUP($A:$A,CS!$A:$AK,33,FALSE),"")</f>
      </c>
      <c r="U437" s="57">
        <f>IFERROR(VLOOKUP($A:$A,CS!$A:$AK,34,FALSE),"")</f>
      </c>
      <c r="V437" s="57">
        <f>IFERROR(VLOOKUP($A:$A,CS!$A:$AK,35,FALSE),"")</f>
      </c>
      <c r="W437" s="57">
        <f>IFERROR(VLOOKUP($A:$A,CS!$A:$AK,36,FALSE),"")</f>
      </c>
    </row>
    <row r="438" ht="16.5" customHeight="1" spans="1:23" x14ac:dyDescent="0.25">
      <c r="A438" s="71"/>
      <c r="B438" s="57">
        <f>IFERROR(VLOOKUP($A:$A,CS!$A:$AK,3,FALSE),"")</f>
      </c>
      <c r="C438" s="57">
        <f>IFERROR(VLOOKUP($A:$A,CS!$A:$AK,4,FALSE),"")</f>
      </c>
      <c r="D438" s="57">
        <f>IFERROR(VLOOKUP($A:$A,CS!$A:$AK,5,FALSE),"")</f>
      </c>
      <c r="E438" s="57">
        <f>IFERROR(VLOOKUP($A:$A,CS!$A:$AK,7,FALSE),"")</f>
      </c>
      <c r="F438" s="57">
        <f>IFERROR(VLOOKUP($A:$A,CS!$A:$AK,8,FALSE),"")</f>
      </c>
      <c r="G438" s="57">
        <f>IFERROR(VLOOKUP($A:$A,CS!$A:$AK,10,FALSE),"")</f>
      </c>
      <c r="H438" s="57">
        <f>IFERROR(VLOOKUP($A:$A,CS!$A:$AK,14,FALSE),"")</f>
      </c>
      <c r="I438" s="57">
        <f>IFERROR(VLOOKUP($A:$A,CS!$A:$AK,15,FALSE),"")</f>
      </c>
      <c r="J438" s="57">
        <f>IFERROR(VLOOKUP($A:$A,CS!$A:$AK,18,FALSE),"")</f>
      </c>
      <c r="K438" s="57">
        <f>IFERROR(VLOOKUP($A:$A,CS!$A:$AK,19,FALSE),"")</f>
      </c>
      <c r="L438" s="57">
        <f>IFERROR(VLOOKUP($A:$A,CS!$A:$AK,20,FALSE),"")</f>
      </c>
      <c r="M438" s="57">
        <f>IFERROR(VLOOKUP($A:$A,CS!$A:$AK,22,FALSE),"")</f>
      </c>
      <c r="N438" s="57">
        <f>IFERROR(VLOOKUP($A:$A,CS!$A:$AK,19,FALSE),"")</f>
      </c>
      <c r="O438" s="57">
        <f>IFERROR(VLOOKUP($A:$A,CS!$A:$AK,23,FALSE),"")</f>
      </c>
      <c r="P438" s="57">
        <f>IFERROR(VLOOKUP($A:$A,CS!$A:$AK,24,FALSE),"")</f>
      </c>
      <c r="Q438" s="57">
        <f>IFERROR(VLOOKUP($A:$A,CS!$A:$AK,25,FALSE),"")</f>
      </c>
      <c r="R438" s="57">
        <f>IFERROR(VLOOKUP($A:$A,CS!$A:$AK,26,FALSE),"")</f>
      </c>
      <c r="S438" s="57">
        <f>IFERROR(VLOOKUP($A:$A,CS!$A:$AK,29,FALSE),"")</f>
      </c>
      <c r="T438" s="57">
        <f>IFERROR(VLOOKUP($A:$A,CS!$A:$AK,33,FALSE),"")</f>
      </c>
      <c r="U438" s="57">
        <f>IFERROR(VLOOKUP($A:$A,CS!$A:$AK,34,FALSE),"")</f>
      </c>
      <c r="V438" s="57">
        <f>IFERROR(VLOOKUP($A:$A,CS!$A:$AK,35,FALSE),"")</f>
      </c>
      <c r="W438" s="57">
        <f>IFERROR(VLOOKUP($A:$A,CS!$A:$AK,36,FALSE),"")</f>
      </c>
    </row>
    <row r="439" ht="16.5" customHeight="1" spans="1:23" x14ac:dyDescent="0.25">
      <c r="A439" s="71"/>
      <c r="B439" s="57">
        <f>IFERROR(VLOOKUP($A:$A,CS!$A:$AK,3,FALSE),"")</f>
      </c>
      <c r="C439" s="57">
        <f>IFERROR(VLOOKUP($A:$A,CS!$A:$AK,4,FALSE),"")</f>
      </c>
      <c r="D439" s="57">
        <f>IFERROR(VLOOKUP($A:$A,CS!$A:$AK,5,FALSE),"")</f>
      </c>
      <c r="E439" s="57">
        <f>IFERROR(VLOOKUP($A:$A,CS!$A:$AK,7,FALSE),"")</f>
      </c>
      <c r="F439" s="57">
        <f>IFERROR(VLOOKUP($A:$A,CS!$A:$AK,8,FALSE),"")</f>
      </c>
      <c r="G439" s="57">
        <f>IFERROR(VLOOKUP($A:$A,CS!$A:$AK,10,FALSE),"")</f>
      </c>
      <c r="H439" s="57">
        <f>IFERROR(VLOOKUP($A:$A,CS!$A:$AK,14,FALSE),"")</f>
      </c>
      <c r="I439" s="57">
        <f>IFERROR(VLOOKUP($A:$A,CS!$A:$AK,15,FALSE),"")</f>
      </c>
      <c r="J439" s="57">
        <f>IFERROR(VLOOKUP($A:$A,CS!$A:$AK,18,FALSE),"")</f>
      </c>
      <c r="K439" s="57">
        <f>IFERROR(VLOOKUP($A:$A,CS!$A:$AK,19,FALSE),"")</f>
      </c>
      <c r="L439" s="57">
        <f>IFERROR(VLOOKUP($A:$A,CS!$A:$AK,20,FALSE),"")</f>
      </c>
      <c r="M439" s="57">
        <f>IFERROR(VLOOKUP($A:$A,CS!$A:$AK,22,FALSE),"")</f>
      </c>
      <c r="N439" s="57">
        <f>IFERROR(VLOOKUP($A:$A,CS!$A:$AK,19,FALSE),"")</f>
      </c>
      <c r="O439" s="57">
        <f>IFERROR(VLOOKUP($A:$A,CS!$A:$AK,23,FALSE),"")</f>
      </c>
      <c r="P439" s="57">
        <f>IFERROR(VLOOKUP($A:$A,CS!$A:$AK,24,FALSE),"")</f>
      </c>
      <c r="Q439" s="57">
        <f>IFERROR(VLOOKUP($A:$A,CS!$A:$AK,25,FALSE),"")</f>
      </c>
      <c r="R439" s="57">
        <f>IFERROR(VLOOKUP($A:$A,CS!$A:$AK,26,FALSE),"")</f>
      </c>
      <c r="S439" s="57">
        <f>IFERROR(VLOOKUP($A:$A,CS!$A:$AK,29,FALSE),"")</f>
      </c>
      <c r="T439" s="57">
        <f>IFERROR(VLOOKUP($A:$A,CS!$A:$AK,33,FALSE),"")</f>
      </c>
      <c r="U439" s="57">
        <f>IFERROR(VLOOKUP($A:$A,CS!$A:$AK,34,FALSE),"")</f>
      </c>
      <c r="V439" s="57">
        <f>IFERROR(VLOOKUP($A:$A,CS!$A:$AK,35,FALSE),"")</f>
      </c>
      <c r="W439" s="57">
        <f>IFERROR(VLOOKUP($A:$A,CS!$A:$AK,36,FALSE),"")</f>
      </c>
    </row>
    <row r="440" ht="16.5" customHeight="1" spans="1:23" x14ac:dyDescent="0.25">
      <c r="A440" s="71"/>
      <c r="B440" s="57">
        <f>IFERROR(VLOOKUP($A:$A,CS!$A:$AK,3,FALSE),"")</f>
      </c>
      <c r="C440" s="57">
        <f>IFERROR(VLOOKUP($A:$A,CS!$A:$AK,4,FALSE),"")</f>
      </c>
      <c r="D440" s="57">
        <f>IFERROR(VLOOKUP($A:$A,CS!$A:$AK,5,FALSE),"")</f>
      </c>
      <c r="E440" s="57">
        <f>IFERROR(VLOOKUP($A:$A,CS!$A:$AK,7,FALSE),"")</f>
      </c>
      <c r="F440" s="57">
        <f>IFERROR(VLOOKUP($A:$A,CS!$A:$AK,8,FALSE),"")</f>
      </c>
      <c r="G440" s="57">
        <f>IFERROR(VLOOKUP($A:$A,CS!$A:$AK,10,FALSE),"")</f>
      </c>
      <c r="H440" s="57">
        <f>IFERROR(VLOOKUP($A:$A,CS!$A:$AK,14,FALSE),"")</f>
      </c>
      <c r="I440" s="57">
        <f>IFERROR(VLOOKUP($A:$A,CS!$A:$AK,15,FALSE),"")</f>
      </c>
      <c r="J440" s="57">
        <f>IFERROR(VLOOKUP($A:$A,CS!$A:$AK,18,FALSE),"")</f>
      </c>
      <c r="K440" s="57">
        <f>IFERROR(VLOOKUP($A:$A,CS!$A:$AK,19,FALSE),"")</f>
      </c>
      <c r="L440" s="57">
        <f>IFERROR(VLOOKUP($A:$A,CS!$A:$AK,20,FALSE),"")</f>
      </c>
      <c r="M440" s="57">
        <f>IFERROR(VLOOKUP($A:$A,CS!$A:$AK,22,FALSE),"")</f>
      </c>
      <c r="N440" s="57">
        <f>IFERROR(VLOOKUP($A:$A,CS!$A:$AK,19,FALSE),"")</f>
      </c>
      <c r="O440" s="57">
        <f>IFERROR(VLOOKUP($A:$A,CS!$A:$AK,23,FALSE),"")</f>
      </c>
      <c r="P440" s="57">
        <f>IFERROR(VLOOKUP($A:$A,CS!$A:$AK,24,FALSE),"")</f>
      </c>
      <c r="Q440" s="57">
        <f>IFERROR(VLOOKUP($A:$A,CS!$A:$AK,25,FALSE),"")</f>
      </c>
      <c r="R440" s="57">
        <f>IFERROR(VLOOKUP($A:$A,CS!$A:$AK,26,FALSE),"")</f>
      </c>
      <c r="S440" s="57">
        <f>IFERROR(VLOOKUP($A:$A,CS!$A:$AK,29,FALSE),"")</f>
      </c>
      <c r="T440" s="57">
        <f>IFERROR(VLOOKUP($A:$A,CS!$A:$AK,33,FALSE),"")</f>
      </c>
      <c r="U440" s="57">
        <f>IFERROR(VLOOKUP($A:$A,CS!$A:$AK,34,FALSE),"")</f>
      </c>
      <c r="V440" s="57">
        <f>IFERROR(VLOOKUP($A:$A,CS!$A:$AK,35,FALSE),"")</f>
      </c>
      <c r="W440" s="57">
        <f>IFERROR(VLOOKUP($A:$A,CS!$A:$AK,36,FALSE),"")</f>
      </c>
    </row>
    <row r="441" ht="16.5" customHeight="1" spans="1:23" x14ac:dyDescent="0.25">
      <c r="A441" s="71"/>
      <c r="B441" s="57">
        <f>IFERROR(VLOOKUP($A:$A,CS!$A:$AK,3,FALSE),"")</f>
      </c>
      <c r="C441" s="57">
        <f>IFERROR(VLOOKUP($A:$A,CS!$A:$AK,4,FALSE),"")</f>
      </c>
      <c r="D441" s="57">
        <f>IFERROR(VLOOKUP($A:$A,CS!$A:$AK,5,FALSE),"")</f>
      </c>
      <c r="E441" s="57">
        <f>IFERROR(VLOOKUP($A:$A,CS!$A:$AK,7,FALSE),"")</f>
      </c>
      <c r="F441" s="57">
        <f>IFERROR(VLOOKUP($A:$A,CS!$A:$AK,8,FALSE),"")</f>
      </c>
      <c r="G441" s="57">
        <f>IFERROR(VLOOKUP($A:$A,CS!$A:$AK,10,FALSE),"")</f>
      </c>
      <c r="H441" s="57">
        <f>IFERROR(VLOOKUP($A:$A,CS!$A:$AK,14,FALSE),"")</f>
      </c>
      <c r="I441" s="57">
        <f>IFERROR(VLOOKUP($A:$A,CS!$A:$AK,15,FALSE),"")</f>
      </c>
      <c r="J441" s="57">
        <f>IFERROR(VLOOKUP($A:$A,CS!$A:$AK,18,FALSE),"")</f>
      </c>
      <c r="K441" s="57">
        <f>IFERROR(VLOOKUP($A:$A,CS!$A:$AK,19,FALSE),"")</f>
      </c>
      <c r="L441" s="57">
        <f>IFERROR(VLOOKUP($A:$A,CS!$A:$AK,20,FALSE),"")</f>
      </c>
      <c r="M441" s="57">
        <f>IFERROR(VLOOKUP($A:$A,CS!$A:$AK,22,FALSE),"")</f>
      </c>
      <c r="N441" s="57">
        <f>IFERROR(VLOOKUP($A:$A,CS!$A:$AK,19,FALSE),"")</f>
      </c>
      <c r="O441" s="57">
        <f>IFERROR(VLOOKUP($A:$A,CS!$A:$AK,23,FALSE),"")</f>
      </c>
      <c r="P441" s="57">
        <f>IFERROR(VLOOKUP($A:$A,CS!$A:$AK,24,FALSE),"")</f>
      </c>
      <c r="Q441" s="57">
        <f>IFERROR(VLOOKUP($A:$A,CS!$A:$AK,25,FALSE),"")</f>
      </c>
      <c r="R441" s="57">
        <f>IFERROR(VLOOKUP($A:$A,CS!$A:$AK,26,FALSE),"")</f>
      </c>
      <c r="S441" s="57">
        <f>IFERROR(VLOOKUP($A:$A,CS!$A:$AK,29,FALSE),"")</f>
      </c>
      <c r="T441" s="57">
        <f>IFERROR(VLOOKUP($A:$A,CS!$A:$AK,33,FALSE),"")</f>
      </c>
      <c r="U441" s="57">
        <f>IFERROR(VLOOKUP($A:$A,CS!$A:$AK,34,FALSE),"")</f>
      </c>
      <c r="V441" s="57">
        <f>IFERROR(VLOOKUP($A:$A,CS!$A:$AK,35,FALSE),"")</f>
      </c>
      <c r="W441" s="57">
        <f>IFERROR(VLOOKUP($A:$A,CS!$A:$AK,36,FALSE),"")</f>
      </c>
    </row>
    <row r="442" ht="16.5" customHeight="1" spans="1:23" x14ac:dyDescent="0.25">
      <c r="A442" s="71"/>
      <c r="B442" s="57">
        <f>IFERROR(VLOOKUP($A:$A,CS!$A:$AK,3,FALSE),"")</f>
      </c>
      <c r="C442" s="57">
        <f>IFERROR(VLOOKUP($A:$A,CS!$A:$AK,4,FALSE),"")</f>
      </c>
      <c r="D442" s="57">
        <f>IFERROR(VLOOKUP($A:$A,CS!$A:$AK,5,FALSE),"")</f>
      </c>
      <c r="E442" s="57">
        <f>IFERROR(VLOOKUP($A:$A,CS!$A:$AK,7,FALSE),"")</f>
      </c>
      <c r="F442" s="57">
        <f>IFERROR(VLOOKUP($A:$A,CS!$A:$AK,8,FALSE),"")</f>
      </c>
      <c r="G442" s="57">
        <f>IFERROR(VLOOKUP($A:$A,CS!$A:$AK,10,FALSE),"")</f>
      </c>
      <c r="H442" s="57">
        <f>IFERROR(VLOOKUP($A:$A,CS!$A:$AK,14,FALSE),"")</f>
      </c>
      <c r="I442" s="57">
        <f>IFERROR(VLOOKUP($A:$A,CS!$A:$AK,15,FALSE),"")</f>
      </c>
      <c r="J442" s="57">
        <f>IFERROR(VLOOKUP($A:$A,CS!$A:$AK,18,FALSE),"")</f>
      </c>
      <c r="K442" s="57">
        <f>IFERROR(VLOOKUP($A:$A,CS!$A:$AK,19,FALSE),"")</f>
      </c>
      <c r="L442" s="57">
        <f>IFERROR(VLOOKUP($A:$A,CS!$A:$AK,20,FALSE),"")</f>
      </c>
      <c r="M442" s="57">
        <f>IFERROR(VLOOKUP($A:$A,CS!$A:$AK,22,FALSE),"")</f>
      </c>
      <c r="N442" s="57">
        <f>IFERROR(VLOOKUP($A:$A,CS!$A:$AK,19,FALSE),"")</f>
      </c>
      <c r="O442" s="57">
        <f>IFERROR(VLOOKUP($A:$A,CS!$A:$AK,23,FALSE),"")</f>
      </c>
      <c r="P442" s="57">
        <f>IFERROR(VLOOKUP($A:$A,CS!$A:$AK,24,FALSE),"")</f>
      </c>
      <c r="Q442" s="57">
        <f>IFERROR(VLOOKUP($A:$A,CS!$A:$AK,25,FALSE),"")</f>
      </c>
      <c r="R442" s="57">
        <f>IFERROR(VLOOKUP($A:$A,CS!$A:$AK,26,FALSE),"")</f>
      </c>
      <c r="S442" s="57">
        <f>IFERROR(VLOOKUP($A:$A,CS!$A:$AK,29,FALSE),"")</f>
      </c>
      <c r="T442" s="57">
        <f>IFERROR(VLOOKUP($A:$A,CS!$A:$AK,33,FALSE),"")</f>
      </c>
      <c r="U442" s="57">
        <f>IFERROR(VLOOKUP($A:$A,CS!$A:$AK,34,FALSE),"")</f>
      </c>
      <c r="V442" s="57">
        <f>IFERROR(VLOOKUP($A:$A,CS!$A:$AK,35,FALSE),"")</f>
      </c>
      <c r="W442" s="57">
        <f>IFERROR(VLOOKUP($A:$A,CS!$A:$AK,36,FALSE),"")</f>
      </c>
    </row>
    <row r="443" ht="16.5" customHeight="1" spans="1:23" x14ac:dyDescent="0.25">
      <c r="A443" s="71"/>
      <c r="B443" s="57">
        <f>IFERROR(VLOOKUP($A:$A,CS!$A:$AK,3,FALSE),"")</f>
      </c>
      <c r="C443" s="57">
        <f>IFERROR(VLOOKUP($A:$A,CS!$A:$AK,4,FALSE),"")</f>
      </c>
      <c r="D443" s="57">
        <f>IFERROR(VLOOKUP($A:$A,CS!$A:$AK,5,FALSE),"")</f>
      </c>
      <c r="E443" s="57">
        <f>IFERROR(VLOOKUP($A:$A,CS!$A:$AK,7,FALSE),"")</f>
      </c>
      <c r="F443" s="57">
        <f>IFERROR(VLOOKUP($A:$A,CS!$A:$AK,8,FALSE),"")</f>
      </c>
      <c r="G443" s="57">
        <f>IFERROR(VLOOKUP($A:$A,CS!$A:$AK,10,FALSE),"")</f>
      </c>
      <c r="H443" s="57">
        <f>IFERROR(VLOOKUP($A:$A,CS!$A:$AK,14,FALSE),"")</f>
      </c>
      <c r="I443" s="57">
        <f>IFERROR(VLOOKUP($A:$A,CS!$A:$AK,15,FALSE),"")</f>
      </c>
      <c r="J443" s="57">
        <f>IFERROR(VLOOKUP($A:$A,CS!$A:$AK,18,FALSE),"")</f>
      </c>
      <c r="K443" s="57">
        <f>IFERROR(VLOOKUP($A:$A,CS!$A:$AK,19,FALSE),"")</f>
      </c>
      <c r="L443" s="57">
        <f>IFERROR(VLOOKUP($A:$A,CS!$A:$AK,20,FALSE),"")</f>
      </c>
      <c r="M443" s="57">
        <f>IFERROR(VLOOKUP($A:$A,CS!$A:$AK,22,FALSE),"")</f>
      </c>
      <c r="N443" s="57">
        <f>IFERROR(VLOOKUP($A:$A,CS!$A:$AK,19,FALSE),"")</f>
      </c>
      <c r="O443" s="57">
        <f>IFERROR(VLOOKUP($A:$A,CS!$A:$AK,23,FALSE),"")</f>
      </c>
      <c r="P443" s="57">
        <f>IFERROR(VLOOKUP($A:$A,CS!$A:$AK,24,FALSE),"")</f>
      </c>
      <c r="Q443" s="57">
        <f>IFERROR(VLOOKUP($A:$A,CS!$A:$AK,25,FALSE),"")</f>
      </c>
      <c r="R443" s="57">
        <f>IFERROR(VLOOKUP($A:$A,CS!$A:$AK,26,FALSE),"")</f>
      </c>
      <c r="S443" s="57">
        <f>IFERROR(VLOOKUP($A:$A,CS!$A:$AK,29,FALSE),"")</f>
      </c>
      <c r="T443" s="57">
        <f>IFERROR(VLOOKUP($A:$A,CS!$A:$AK,33,FALSE),"")</f>
      </c>
      <c r="U443" s="57">
        <f>IFERROR(VLOOKUP($A:$A,CS!$A:$AK,34,FALSE),"")</f>
      </c>
      <c r="V443" s="57">
        <f>IFERROR(VLOOKUP($A:$A,CS!$A:$AK,35,FALSE),"")</f>
      </c>
      <c r="W443" s="57">
        <f>IFERROR(VLOOKUP($A:$A,CS!$A:$AK,36,FALSE),"")</f>
      </c>
    </row>
    <row r="444" ht="16.5" customHeight="1" spans="1:23" x14ac:dyDescent="0.25">
      <c r="A444" s="71"/>
      <c r="B444" s="57">
        <f>IFERROR(VLOOKUP($A:$A,CS!$A:$AK,3,FALSE),"")</f>
      </c>
      <c r="C444" s="57">
        <f>IFERROR(VLOOKUP($A:$A,CS!$A:$AK,4,FALSE),"")</f>
      </c>
      <c r="D444" s="57">
        <f>IFERROR(VLOOKUP($A:$A,CS!$A:$AK,5,FALSE),"")</f>
      </c>
      <c r="E444" s="57">
        <f>IFERROR(VLOOKUP($A:$A,CS!$A:$AK,7,FALSE),"")</f>
      </c>
      <c r="F444" s="57">
        <f>IFERROR(VLOOKUP($A:$A,CS!$A:$AK,8,FALSE),"")</f>
      </c>
      <c r="G444" s="57">
        <f>IFERROR(VLOOKUP($A:$A,CS!$A:$AK,10,FALSE),"")</f>
      </c>
      <c r="H444" s="57">
        <f>IFERROR(VLOOKUP($A:$A,CS!$A:$AK,14,FALSE),"")</f>
      </c>
      <c r="I444" s="57">
        <f>IFERROR(VLOOKUP($A:$A,CS!$A:$AK,15,FALSE),"")</f>
      </c>
      <c r="J444" s="57">
        <f>IFERROR(VLOOKUP($A:$A,CS!$A:$AK,18,FALSE),"")</f>
      </c>
      <c r="K444" s="57">
        <f>IFERROR(VLOOKUP($A:$A,CS!$A:$AK,19,FALSE),"")</f>
      </c>
      <c r="L444" s="57">
        <f>IFERROR(VLOOKUP($A:$A,CS!$A:$AK,20,FALSE),"")</f>
      </c>
      <c r="M444" s="57">
        <f>IFERROR(VLOOKUP($A:$A,CS!$A:$AK,22,FALSE),"")</f>
      </c>
      <c r="N444" s="57">
        <f>IFERROR(VLOOKUP($A:$A,CS!$A:$AK,19,FALSE),"")</f>
      </c>
      <c r="O444" s="57">
        <f>IFERROR(VLOOKUP($A:$A,CS!$A:$AK,23,FALSE),"")</f>
      </c>
      <c r="P444" s="57">
        <f>IFERROR(VLOOKUP($A:$A,CS!$A:$AK,24,FALSE),"")</f>
      </c>
      <c r="Q444" s="57">
        <f>IFERROR(VLOOKUP($A:$A,CS!$A:$AK,25,FALSE),"")</f>
      </c>
      <c r="R444" s="57">
        <f>IFERROR(VLOOKUP($A:$A,CS!$A:$AK,26,FALSE),"")</f>
      </c>
      <c r="S444" s="57">
        <f>IFERROR(VLOOKUP($A:$A,CS!$A:$AK,29,FALSE),"")</f>
      </c>
      <c r="T444" s="57">
        <f>IFERROR(VLOOKUP($A:$A,CS!$A:$AK,33,FALSE),"")</f>
      </c>
      <c r="U444" s="57">
        <f>IFERROR(VLOOKUP($A:$A,CS!$A:$AK,34,FALSE),"")</f>
      </c>
      <c r="V444" s="57">
        <f>IFERROR(VLOOKUP($A:$A,CS!$A:$AK,35,FALSE),"")</f>
      </c>
      <c r="W444" s="57">
        <f>IFERROR(VLOOKUP($A:$A,CS!$A:$AK,36,FALSE),"")</f>
      </c>
    </row>
    <row r="445" ht="16.5" customHeight="1" spans="1:23" x14ac:dyDescent="0.25">
      <c r="A445" s="71"/>
      <c r="B445" s="57">
        <f>IFERROR(VLOOKUP($A:$A,CS!$A:$AK,3,FALSE),"")</f>
      </c>
      <c r="C445" s="57">
        <f>IFERROR(VLOOKUP($A:$A,CS!$A:$AK,4,FALSE),"")</f>
      </c>
      <c r="D445" s="57">
        <f>IFERROR(VLOOKUP($A:$A,CS!$A:$AK,5,FALSE),"")</f>
      </c>
      <c r="E445" s="57">
        <f>IFERROR(VLOOKUP($A:$A,CS!$A:$AK,7,FALSE),"")</f>
      </c>
      <c r="F445" s="57">
        <f>IFERROR(VLOOKUP($A:$A,CS!$A:$AK,8,FALSE),"")</f>
      </c>
      <c r="G445" s="57">
        <f>IFERROR(VLOOKUP($A:$A,CS!$A:$AK,10,FALSE),"")</f>
      </c>
      <c r="H445" s="57">
        <f>IFERROR(VLOOKUP($A:$A,CS!$A:$AK,14,FALSE),"")</f>
      </c>
      <c r="I445" s="57">
        <f>IFERROR(VLOOKUP($A:$A,CS!$A:$AK,15,FALSE),"")</f>
      </c>
      <c r="J445" s="57">
        <f>IFERROR(VLOOKUP($A:$A,CS!$A:$AK,18,FALSE),"")</f>
      </c>
      <c r="K445" s="57">
        <f>IFERROR(VLOOKUP($A:$A,CS!$A:$AK,19,FALSE),"")</f>
      </c>
      <c r="L445" s="57">
        <f>IFERROR(VLOOKUP($A:$A,CS!$A:$AK,20,FALSE),"")</f>
      </c>
      <c r="M445" s="57">
        <f>IFERROR(VLOOKUP($A:$A,CS!$A:$AK,22,FALSE),"")</f>
      </c>
      <c r="N445" s="57">
        <f>IFERROR(VLOOKUP($A:$A,CS!$A:$AK,19,FALSE),"")</f>
      </c>
      <c r="O445" s="57">
        <f>IFERROR(VLOOKUP($A:$A,CS!$A:$AK,23,FALSE),"")</f>
      </c>
      <c r="P445" s="57">
        <f>IFERROR(VLOOKUP($A:$A,CS!$A:$AK,24,FALSE),"")</f>
      </c>
      <c r="Q445" s="57">
        <f>IFERROR(VLOOKUP($A:$A,CS!$A:$AK,25,FALSE),"")</f>
      </c>
      <c r="R445" s="57">
        <f>IFERROR(VLOOKUP($A:$A,CS!$A:$AK,26,FALSE),"")</f>
      </c>
      <c r="S445" s="57">
        <f>IFERROR(VLOOKUP($A:$A,CS!$A:$AK,29,FALSE),"")</f>
      </c>
      <c r="T445" s="57">
        <f>IFERROR(VLOOKUP($A:$A,CS!$A:$AK,33,FALSE),"")</f>
      </c>
      <c r="U445" s="57">
        <f>IFERROR(VLOOKUP($A:$A,CS!$A:$AK,34,FALSE),"")</f>
      </c>
      <c r="V445" s="57">
        <f>IFERROR(VLOOKUP($A:$A,CS!$A:$AK,35,FALSE),"")</f>
      </c>
      <c r="W445" s="57">
        <f>IFERROR(VLOOKUP($A:$A,CS!$A:$AK,36,FALSE),"")</f>
      </c>
    </row>
    <row r="446" ht="16.5" customHeight="1" spans="1:23" x14ac:dyDescent="0.25">
      <c r="A446" s="71"/>
      <c r="B446" s="57">
        <f>IFERROR(VLOOKUP($A:$A,CS!$A:$AK,3,FALSE),"")</f>
      </c>
      <c r="C446" s="57">
        <f>IFERROR(VLOOKUP($A:$A,CS!$A:$AK,4,FALSE),"")</f>
      </c>
      <c r="D446" s="57">
        <f>IFERROR(VLOOKUP($A:$A,CS!$A:$AK,5,FALSE),"")</f>
      </c>
      <c r="E446" s="57">
        <f>IFERROR(VLOOKUP($A:$A,CS!$A:$AK,7,FALSE),"")</f>
      </c>
      <c r="F446" s="57">
        <f>IFERROR(VLOOKUP($A:$A,CS!$A:$AK,8,FALSE),"")</f>
      </c>
      <c r="G446" s="57">
        <f>IFERROR(VLOOKUP($A:$A,CS!$A:$AK,10,FALSE),"")</f>
      </c>
      <c r="H446" s="57">
        <f>IFERROR(VLOOKUP($A:$A,CS!$A:$AK,14,FALSE),"")</f>
      </c>
      <c r="I446" s="57">
        <f>IFERROR(VLOOKUP($A:$A,CS!$A:$AK,15,FALSE),"")</f>
      </c>
      <c r="J446" s="57">
        <f>IFERROR(VLOOKUP($A:$A,CS!$A:$AK,18,FALSE),"")</f>
      </c>
      <c r="K446" s="57">
        <f>IFERROR(VLOOKUP($A:$A,CS!$A:$AK,19,FALSE),"")</f>
      </c>
      <c r="L446" s="57">
        <f>IFERROR(VLOOKUP($A:$A,CS!$A:$AK,20,FALSE),"")</f>
      </c>
      <c r="M446" s="57">
        <f>IFERROR(VLOOKUP($A:$A,CS!$A:$AK,22,FALSE),"")</f>
      </c>
      <c r="N446" s="57">
        <f>IFERROR(VLOOKUP($A:$A,CS!$A:$AK,19,FALSE),"")</f>
      </c>
      <c r="O446" s="57">
        <f>IFERROR(VLOOKUP($A:$A,CS!$A:$AK,23,FALSE),"")</f>
      </c>
      <c r="P446" s="57">
        <f>IFERROR(VLOOKUP($A:$A,CS!$A:$AK,24,FALSE),"")</f>
      </c>
      <c r="Q446" s="57">
        <f>IFERROR(VLOOKUP($A:$A,CS!$A:$AK,25,FALSE),"")</f>
      </c>
      <c r="R446" s="57">
        <f>IFERROR(VLOOKUP($A:$A,CS!$A:$AK,26,FALSE),"")</f>
      </c>
      <c r="S446" s="57">
        <f>IFERROR(VLOOKUP($A:$A,CS!$A:$AK,29,FALSE),"")</f>
      </c>
      <c r="T446" s="57">
        <f>IFERROR(VLOOKUP($A:$A,CS!$A:$AK,33,FALSE),"")</f>
      </c>
      <c r="U446" s="57">
        <f>IFERROR(VLOOKUP($A:$A,CS!$A:$AK,34,FALSE),"")</f>
      </c>
      <c r="V446" s="57">
        <f>IFERROR(VLOOKUP($A:$A,CS!$A:$AK,35,FALSE),"")</f>
      </c>
      <c r="W446" s="57">
        <f>IFERROR(VLOOKUP($A:$A,CS!$A:$AK,36,FALSE),"")</f>
      </c>
    </row>
    <row r="447" ht="16.5" customHeight="1" spans="1:23" x14ac:dyDescent="0.25">
      <c r="A447" s="71"/>
      <c r="B447" s="57">
        <f>IFERROR(VLOOKUP($A:$A,CS!$A:$AK,3,FALSE),"")</f>
      </c>
      <c r="C447" s="57">
        <f>IFERROR(VLOOKUP($A:$A,CS!$A:$AK,4,FALSE),"")</f>
      </c>
      <c r="D447" s="57">
        <f>IFERROR(VLOOKUP($A:$A,CS!$A:$AK,5,FALSE),"")</f>
      </c>
      <c r="E447" s="57">
        <f>IFERROR(VLOOKUP($A:$A,CS!$A:$AK,7,FALSE),"")</f>
      </c>
      <c r="F447" s="57">
        <f>IFERROR(VLOOKUP($A:$A,CS!$A:$AK,8,FALSE),"")</f>
      </c>
      <c r="G447" s="57">
        <f>IFERROR(VLOOKUP($A:$A,CS!$A:$AK,10,FALSE),"")</f>
      </c>
      <c r="H447" s="57">
        <f>IFERROR(VLOOKUP($A:$A,CS!$A:$AK,14,FALSE),"")</f>
      </c>
      <c r="I447" s="57">
        <f>IFERROR(VLOOKUP($A:$A,CS!$A:$AK,15,FALSE),"")</f>
      </c>
      <c r="J447" s="57">
        <f>IFERROR(VLOOKUP($A:$A,CS!$A:$AK,18,FALSE),"")</f>
      </c>
      <c r="K447" s="57">
        <f>IFERROR(VLOOKUP($A:$A,CS!$A:$AK,19,FALSE),"")</f>
      </c>
      <c r="L447" s="57">
        <f>IFERROR(VLOOKUP($A:$A,CS!$A:$AK,20,FALSE),"")</f>
      </c>
      <c r="M447" s="57">
        <f>IFERROR(VLOOKUP($A:$A,CS!$A:$AK,22,FALSE),"")</f>
      </c>
      <c r="N447" s="57">
        <f>IFERROR(VLOOKUP($A:$A,CS!$A:$AK,19,FALSE),"")</f>
      </c>
      <c r="O447" s="57">
        <f>IFERROR(VLOOKUP($A:$A,CS!$A:$AK,23,FALSE),"")</f>
      </c>
      <c r="P447" s="57">
        <f>IFERROR(VLOOKUP($A:$A,CS!$A:$AK,24,FALSE),"")</f>
      </c>
      <c r="Q447" s="57">
        <f>IFERROR(VLOOKUP($A:$A,CS!$A:$AK,25,FALSE),"")</f>
      </c>
      <c r="R447" s="57">
        <f>IFERROR(VLOOKUP($A:$A,CS!$A:$AK,26,FALSE),"")</f>
      </c>
      <c r="S447" s="57">
        <f>IFERROR(VLOOKUP($A:$A,CS!$A:$AK,29,FALSE),"")</f>
      </c>
      <c r="T447" s="57">
        <f>IFERROR(VLOOKUP($A:$A,CS!$A:$AK,33,FALSE),"")</f>
      </c>
      <c r="U447" s="57">
        <f>IFERROR(VLOOKUP($A:$A,CS!$A:$AK,34,FALSE),"")</f>
      </c>
      <c r="V447" s="57">
        <f>IFERROR(VLOOKUP($A:$A,CS!$A:$AK,35,FALSE),"")</f>
      </c>
      <c r="W447" s="57">
        <f>IFERROR(VLOOKUP($A:$A,CS!$A:$AK,36,FALSE),"")</f>
      </c>
    </row>
    <row r="448" ht="16.5" customHeight="1" spans="1:23" x14ac:dyDescent="0.25">
      <c r="A448" s="71"/>
      <c r="B448" s="57">
        <f>IFERROR(VLOOKUP($A:$A,CS!$A:$AK,3,FALSE),"")</f>
      </c>
      <c r="C448" s="57">
        <f>IFERROR(VLOOKUP($A:$A,CS!$A:$AK,4,FALSE),"")</f>
      </c>
      <c r="D448" s="57">
        <f>IFERROR(VLOOKUP($A:$A,CS!$A:$AK,5,FALSE),"")</f>
      </c>
      <c r="E448" s="57">
        <f>IFERROR(VLOOKUP($A:$A,CS!$A:$AK,7,FALSE),"")</f>
      </c>
      <c r="F448" s="57">
        <f>IFERROR(VLOOKUP($A:$A,CS!$A:$AK,8,FALSE),"")</f>
      </c>
      <c r="G448" s="57">
        <f>IFERROR(VLOOKUP($A:$A,CS!$A:$AK,10,FALSE),"")</f>
      </c>
      <c r="H448" s="57">
        <f>IFERROR(VLOOKUP($A:$A,CS!$A:$AK,14,FALSE),"")</f>
      </c>
      <c r="I448" s="57">
        <f>IFERROR(VLOOKUP($A:$A,CS!$A:$AK,15,FALSE),"")</f>
      </c>
      <c r="J448" s="57">
        <f>IFERROR(VLOOKUP($A:$A,CS!$A:$AK,18,FALSE),"")</f>
      </c>
      <c r="K448" s="57">
        <f>IFERROR(VLOOKUP($A:$A,CS!$A:$AK,19,FALSE),"")</f>
      </c>
      <c r="L448" s="57">
        <f>IFERROR(VLOOKUP($A:$A,CS!$A:$AK,20,FALSE),"")</f>
      </c>
      <c r="M448" s="57">
        <f>IFERROR(VLOOKUP($A:$A,CS!$A:$AK,22,FALSE),"")</f>
      </c>
      <c r="N448" s="57">
        <f>IFERROR(VLOOKUP($A:$A,CS!$A:$AK,19,FALSE),"")</f>
      </c>
      <c r="O448" s="57">
        <f>IFERROR(VLOOKUP($A:$A,CS!$A:$AK,23,FALSE),"")</f>
      </c>
      <c r="P448" s="57">
        <f>IFERROR(VLOOKUP($A:$A,CS!$A:$AK,24,FALSE),"")</f>
      </c>
      <c r="Q448" s="57">
        <f>IFERROR(VLOOKUP($A:$A,CS!$A:$AK,25,FALSE),"")</f>
      </c>
      <c r="R448" s="57">
        <f>IFERROR(VLOOKUP($A:$A,CS!$A:$AK,26,FALSE),"")</f>
      </c>
      <c r="S448" s="57">
        <f>IFERROR(VLOOKUP($A:$A,CS!$A:$AK,29,FALSE),"")</f>
      </c>
      <c r="T448" s="57">
        <f>IFERROR(VLOOKUP($A:$A,CS!$A:$AK,33,FALSE),"")</f>
      </c>
      <c r="U448" s="57">
        <f>IFERROR(VLOOKUP($A:$A,CS!$A:$AK,34,FALSE),"")</f>
      </c>
      <c r="V448" s="57">
        <f>IFERROR(VLOOKUP($A:$A,CS!$A:$AK,35,FALSE),"")</f>
      </c>
      <c r="W448" s="57">
        <f>IFERROR(VLOOKUP($A:$A,CS!$A:$AK,36,FALSE),"")</f>
      </c>
    </row>
    <row r="449" ht="16.5" customHeight="1" spans="1:23" x14ac:dyDescent="0.25">
      <c r="A449" s="71"/>
      <c r="B449" s="57">
        <f>IFERROR(VLOOKUP($A:$A,CS!$A:$AK,3,FALSE),"")</f>
      </c>
      <c r="C449" s="57">
        <f>IFERROR(VLOOKUP($A:$A,CS!$A:$AK,4,FALSE),"")</f>
      </c>
      <c r="D449" s="57">
        <f>IFERROR(VLOOKUP($A:$A,CS!$A:$AK,5,FALSE),"")</f>
      </c>
      <c r="E449" s="57">
        <f>IFERROR(VLOOKUP($A:$A,CS!$A:$AK,7,FALSE),"")</f>
      </c>
      <c r="F449" s="57">
        <f>IFERROR(VLOOKUP($A:$A,CS!$A:$AK,8,FALSE),"")</f>
      </c>
      <c r="G449" s="57">
        <f>IFERROR(VLOOKUP($A:$A,CS!$A:$AK,10,FALSE),"")</f>
      </c>
      <c r="H449" s="57">
        <f>IFERROR(VLOOKUP($A:$A,CS!$A:$AK,14,FALSE),"")</f>
      </c>
      <c r="I449" s="57">
        <f>IFERROR(VLOOKUP($A:$A,CS!$A:$AK,15,FALSE),"")</f>
      </c>
      <c r="J449" s="57">
        <f>IFERROR(VLOOKUP($A:$A,CS!$A:$AK,18,FALSE),"")</f>
      </c>
      <c r="K449" s="57">
        <f>IFERROR(VLOOKUP($A:$A,CS!$A:$AK,19,FALSE),"")</f>
      </c>
      <c r="L449" s="57">
        <f>IFERROR(VLOOKUP($A:$A,CS!$A:$AK,20,FALSE),"")</f>
      </c>
      <c r="M449" s="57">
        <f>IFERROR(VLOOKUP($A:$A,CS!$A:$AK,22,FALSE),"")</f>
      </c>
      <c r="N449" s="57">
        <f>IFERROR(VLOOKUP($A:$A,CS!$A:$AK,19,FALSE),"")</f>
      </c>
      <c r="O449" s="57">
        <f>IFERROR(VLOOKUP($A:$A,CS!$A:$AK,23,FALSE),"")</f>
      </c>
      <c r="P449" s="57">
        <f>IFERROR(VLOOKUP($A:$A,CS!$A:$AK,24,FALSE),"")</f>
      </c>
      <c r="Q449" s="57">
        <f>IFERROR(VLOOKUP($A:$A,CS!$A:$AK,25,FALSE),"")</f>
      </c>
      <c r="R449" s="57">
        <f>IFERROR(VLOOKUP($A:$A,CS!$A:$AK,26,FALSE),"")</f>
      </c>
      <c r="S449" s="57">
        <f>IFERROR(VLOOKUP($A:$A,CS!$A:$AK,29,FALSE),"")</f>
      </c>
      <c r="T449" s="57">
        <f>IFERROR(VLOOKUP($A:$A,CS!$A:$AK,33,FALSE),"")</f>
      </c>
      <c r="U449" s="57">
        <f>IFERROR(VLOOKUP($A:$A,CS!$A:$AK,34,FALSE),"")</f>
      </c>
      <c r="V449" s="57">
        <f>IFERROR(VLOOKUP($A:$A,CS!$A:$AK,35,FALSE),"")</f>
      </c>
      <c r="W449" s="57">
        <f>IFERROR(VLOOKUP($A:$A,CS!$A:$AK,36,FALSE),"")</f>
      </c>
    </row>
    <row r="450" ht="16.5" customHeight="1" spans="1:23" x14ac:dyDescent="0.25">
      <c r="A450" s="71"/>
      <c r="B450" s="57">
        <f>IFERROR(VLOOKUP($A:$A,CS!$A:$AK,3,FALSE),"")</f>
      </c>
      <c r="C450" s="57">
        <f>IFERROR(VLOOKUP($A:$A,CS!$A:$AK,4,FALSE),"")</f>
      </c>
      <c r="D450" s="57">
        <f>IFERROR(VLOOKUP($A:$A,CS!$A:$AK,5,FALSE),"")</f>
      </c>
      <c r="E450" s="57">
        <f>IFERROR(VLOOKUP($A:$A,CS!$A:$AK,7,FALSE),"")</f>
      </c>
      <c r="F450" s="57">
        <f>IFERROR(VLOOKUP($A:$A,CS!$A:$AK,8,FALSE),"")</f>
      </c>
      <c r="G450" s="57">
        <f>IFERROR(VLOOKUP($A:$A,CS!$A:$AK,10,FALSE),"")</f>
      </c>
      <c r="H450" s="57">
        <f>IFERROR(VLOOKUP($A:$A,CS!$A:$AK,14,FALSE),"")</f>
      </c>
      <c r="I450" s="57">
        <f>IFERROR(VLOOKUP($A:$A,CS!$A:$AK,15,FALSE),"")</f>
      </c>
      <c r="J450" s="57">
        <f>IFERROR(VLOOKUP($A:$A,CS!$A:$AK,18,FALSE),"")</f>
      </c>
      <c r="K450" s="57">
        <f>IFERROR(VLOOKUP($A:$A,CS!$A:$AK,19,FALSE),"")</f>
      </c>
      <c r="L450" s="57">
        <f>IFERROR(VLOOKUP($A:$A,CS!$A:$AK,20,FALSE),"")</f>
      </c>
      <c r="M450" s="57">
        <f>IFERROR(VLOOKUP($A:$A,CS!$A:$AK,22,FALSE),"")</f>
      </c>
      <c r="N450" s="57">
        <f>IFERROR(VLOOKUP($A:$A,CS!$A:$AK,19,FALSE),"")</f>
      </c>
      <c r="O450" s="57">
        <f>IFERROR(VLOOKUP($A:$A,CS!$A:$AK,23,FALSE),"")</f>
      </c>
      <c r="P450" s="57">
        <f>IFERROR(VLOOKUP($A:$A,CS!$A:$AK,24,FALSE),"")</f>
      </c>
      <c r="Q450" s="57">
        <f>IFERROR(VLOOKUP($A:$A,CS!$A:$AK,25,FALSE),"")</f>
      </c>
      <c r="R450" s="57">
        <f>IFERROR(VLOOKUP($A:$A,CS!$A:$AK,26,FALSE),"")</f>
      </c>
      <c r="S450" s="57">
        <f>IFERROR(VLOOKUP($A:$A,CS!$A:$AK,29,FALSE),"")</f>
      </c>
      <c r="T450" s="57">
        <f>IFERROR(VLOOKUP($A:$A,CS!$A:$AK,33,FALSE),"")</f>
      </c>
      <c r="U450" s="57">
        <f>IFERROR(VLOOKUP($A:$A,CS!$A:$AK,34,FALSE),"")</f>
      </c>
      <c r="V450" s="57">
        <f>IFERROR(VLOOKUP($A:$A,CS!$A:$AK,35,FALSE),"")</f>
      </c>
      <c r="W450" s="57">
        <f>IFERROR(VLOOKUP($A:$A,CS!$A:$AK,36,FALSE),"")</f>
      </c>
    </row>
    <row r="451" ht="16.5" customHeight="1" spans="1:23" x14ac:dyDescent="0.25">
      <c r="A451" s="71"/>
      <c r="B451" s="57">
        <f>IFERROR(VLOOKUP($A:$A,CS!$A:$AK,3,FALSE),"")</f>
      </c>
      <c r="C451" s="57">
        <f>IFERROR(VLOOKUP($A:$A,CS!$A:$AK,4,FALSE),"")</f>
      </c>
      <c r="D451" s="57">
        <f>IFERROR(VLOOKUP($A:$A,CS!$A:$AK,5,FALSE),"")</f>
      </c>
      <c r="E451" s="57">
        <f>IFERROR(VLOOKUP($A:$A,CS!$A:$AK,7,FALSE),"")</f>
      </c>
      <c r="F451" s="57">
        <f>IFERROR(VLOOKUP($A:$A,CS!$A:$AK,8,FALSE),"")</f>
      </c>
      <c r="G451" s="57">
        <f>IFERROR(VLOOKUP($A:$A,CS!$A:$AK,10,FALSE),"")</f>
      </c>
      <c r="H451" s="57">
        <f>IFERROR(VLOOKUP($A:$A,CS!$A:$AK,14,FALSE),"")</f>
      </c>
      <c r="I451" s="57">
        <f>IFERROR(VLOOKUP($A:$A,CS!$A:$AK,15,FALSE),"")</f>
      </c>
      <c r="J451" s="57">
        <f>IFERROR(VLOOKUP($A:$A,CS!$A:$AK,18,FALSE),"")</f>
      </c>
      <c r="K451" s="57">
        <f>IFERROR(VLOOKUP($A:$A,CS!$A:$AK,19,FALSE),"")</f>
      </c>
      <c r="L451" s="57">
        <f>IFERROR(VLOOKUP($A:$A,CS!$A:$AK,20,FALSE),"")</f>
      </c>
      <c r="M451" s="57">
        <f>IFERROR(VLOOKUP($A:$A,CS!$A:$AK,22,FALSE),"")</f>
      </c>
      <c r="N451" s="57">
        <f>IFERROR(VLOOKUP($A:$A,CS!$A:$AK,19,FALSE),"")</f>
      </c>
      <c r="O451" s="57">
        <f>IFERROR(VLOOKUP($A:$A,CS!$A:$AK,23,FALSE),"")</f>
      </c>
      <c r="P451" s="57">
        <f>IFERROR(VLOOKUP($A:$A,CS!$A:$AK,24,FALSE),"")</f>
      </c>
      <c r="Q451" s="57">
        <f>IFERROR(VLOOKUP($A:$A,CS!$A:$AK,25,FALSE),"")</f>
      </c>
      <c r="R451" s="57">
        <f>IFERROR(VLOOKUP($A:$A,CS!$A:$AK,26,FALSE),"")</f>
      </c>
      <c r="S451" s="57">
        <f>IFERROR(VLOOKUP($A:$A,CS!$A:$AK,29,FALSE),"")</f>
      </c>
      <c r="T451" s="57">
        <f>IFERROR(VLOOKUP($A:$A,CS!$A:$AK,33,FALSE),"")</f>
      </c>
      <c r="U451" s="57">
        <f>IFERROR(VLOOKUP($A:$A,CS!$A:$AK,34,FALSE),"")</f>
      </c>
      <c r="V451" s="57">
        <f>IFERROR(VLOOKUP($A:$A,CS!$A:$AK,35,FALSE),"")</f>
      </c>
      <c r="W451" s="57">
        <f>IFERROR(VLOOKUP($A:$A,CS!$A:$AK,36,FALSE),"")</f>
      </c>
    </row>
    <row r="452" ht="16.5" customHeight="1" spans="1:23" x14ac:dyDescent="0.25">
      <c r="A452" s="71"/>
      <c r="B452" s="57">
        <f>IFERROR(VLOOKUP($A:$A,CS!$A:$AK,3,FALSE),"")</f>
      </c>
      <c r="C452" s="57">
        <f>IFERROR(VLOOKUP($A:$A,CS!$A:$AK,4,FALSE),"")</f>
      </c>
      <c r="D452" s="57">
        <f>IFERROR(VLOOKUP($A:$A,CS!$A:$AK,5,FALSE),"")</f>
      </c>
      <c r="E452" s="57">
        <f>IFERROR(VLOOKUP($A:$A,CS!$A:$AK,7,FALSE),"")</f>
      </c>
      <c r="F452" s="57">
        <f>IFERROR(VLOOKUP($A:$A,CS!$A:$AK,8,FALSE),"")</f>
      </c>
      <c r="G452" s="57">
        <f>IFERROR(VLOOKUP($A:$A,CS!$A:$AK,10,FALSE),"")</f>
      </c>
      <c r="H452" s="57">
        <f>IFERROR(VLOOKUP($A:$A,CS!$A:$AK,14,FALSE),"")</f>
      </c>
      <c r="I452" s="57">
        <f>IFERROR(VLOOKUP($A:$A,CS!$A:$AK,15,FALSE),"")</f>
      </c>
      <c r="J452" s="57">
        <f>IFERROR(VLOOKUP($A:$A,CS!$A:$AK,18,FALSE),"")</f>
      </c>
      <c r="K452" s="57">
        <f>IFERROR(VLOOKUP($A:$A,CS!$A:$AK,19,FALSE),"")</f>
      </c>
      <c r="L452" s="57">
        <f>IFERROR(VLOOKUP($A:$A,CS!$A:$AK,20,FALSE),"")</f>
      </c>
      <c r="M452" s="57">
        <f>IFERROR(VLOOKUP($A:$A,CS!$A:$AK,22,FALSE),"")</f>
      </c>
      <c r="N452" s="57">
        <f>IFERROR(VLOOKUP($A:$A,CS!$A:$AK,19,FALSE),"")</f>
      </c>
      <c r="O452" s="57">
        <f>IFERROR(VLOOKUP($A:$A,CS!$A:$AK,23,FALSE),"")</f>
      </c>
      <c r="P452" s="57">
        <f>IFERROR(VLOOKUP($A:$A,CS!$A:$AK,24,FALSE),"")</f>
      </c>
      <c r="Q452" s="57">
        <f>IFERROR(VLOOKUP($A:$A,CS!$A:$AK,25,FALSE),"")</f>
      </c>
      <c r="R452" s="57">
        <f>IFERROR(VLOOKUP($A:$A,CS!$A:$AK,26,FALSE),"")</f>
      </c>
      <c r="S452" s="57">
        <f>IFERROR(VLOOKUP($A:$A,CS!$A:$AK,29,FALSE),"")</f>
      </c>
      <c r="T452" s="57">
        <f>IFERROR(VLOOKUP($A:$A,CS!$A:$AK,33,FALSE),"")</f>
      </c>
      <c r="U452" s="57">
        <f>IFERROR(VLOOKUP($A:$A,CS!$A:$AK,34,FALSE),"")</f>
      </c>
      <c r="V452" s="57">
        <f>IFERROR(VLOOKUP($A:$A,CS!$A:$AK,35,FALSE),"")</f>
      </c>
      <c r="W452" s="57">
        <f>IFERROR(VLOOKUP($A:$A,CS!$A:$AK,36,FALSE),"")</f>
      </c>
    </row>
    <row r="453" ht="16.5" customHeight="1" spans="1:23" x14ac:dyDescent="0.25">
      <c r="A453" s="71"/>
      <c r="B453" s="57">
        <f>IFERROR(VLOOKUP($A:$A,CS!$A:$AK,3,FALSE),"")</f>
      </c>
      <c r="C453" s="57">
        <f>IFERROR(VLOOKUP($A:$A,CS!$A:$AK,4,FALSE),"")</f>
      </c>
      <c r="D453" s="57">
        <f>IFERROR(VLOOKUP($A:$A,CS!$A:$AK,5,FALSE),"")</f>
      </c>
      <c r="E453" s="57">
        <f>IFERROR(VLOOKUP($A:$A,CS!$A:$AK,7,FALSE),"")</f>
      </c>
      <c r="F453" s="57">
        <f>IFERROR(VLOOKUP($A:$A,CS!$A:$AK,8,FALSE),"")</f>
      </c>
      <c r="G453" s="57">
        <f>IFERROR(VLOOKUP($A:$A,CS!$A:$AK,10,FALSE),"")</f>
      </c>
      <c r="H453" s="57">
        <f>IFERROR(VLOOKUP($A:$A,CS!$A:$AK,14,FALSE),"")</f>
      </c>
      <c r="I453" s="57">
        <f>IFERROR(VLOOKUP($A:$A,CS!$A:$AK,15,FALSE),"")</f>
      </c>
      <c r="J453" s="57">
        <f>IFERROR(VLOOKUP($A:$A,CS!$A:$AK,18,FALSE),"")</f>
      </c>
      <c r="K453" s="57">
        <f>IFERROR(VLOOKUP($A:$A,CS!$A:$AK,19,FALSE),"")</f>
      </c>
      <c r="L453" s="57">
        <f>IFERROR(VLOOKUP($A:$A,CS!$A:$AK,20,FALSE),"")</f>
      </c>
      <c r="M453" s="57">
        <f>IFERROR(VLOOKUP($A:$A,CS!$A:$AK,22,FALSE),"")</f>
      </c>
      <c r="N453" s="57">
        <f>IFERROR(VLOOKUP($A:$A,CS!$A:$AK,19,FALSE),"")</f>
      </c>
      <c r="O453" s="57">
        <f>IFERROR(VLOOKUP($A:$A,CS!$A:$AK,23,FALSE),"")</f>
      </c>
      <c r="P453" s="57">
        <f>IFERROR(VLOOKUP($A:$A,CS!$A:$AK,24,FALSE),"")</f>
      </c>
      <c r="Q453" s="57">
        <f>IFERROR(VLOOKUP($A:$A,CS!$A:$AK,25,FALSE),"")</f>
      </c>
      <c r="R453" s="57">
        <f>IFERROR(VLOOKUP($A:$A,CS!$A:$AK,26,FALSE),"")</f>
      </c>
      <c r="S453" s="57">
        <f>IFERROR(VLOOKUP($A:$A,CS!$A:$AK,29,FALSE),"")</f>
      </c>
      <c r="T453" s="57">
        <f>IFERROR(VLOOKUP($A:$A,CS!$A:$AK,33,FALSE),"")</f>
      </c>
      <c r="U453" s="57">
        <f>IFERROR(VLOOKUP($A:$A,CS!$A:$AK,34,FALSE),"")</f>
      </c>
      <c r="V453" s="57">
        <f>IFERROR(VLOOKUP($A:$A,CS!$A:$AK,35,FALSE),"")</f>
      </c>
      <c r="W453" s="57">
        <f>IFERROR(VLOOKUP($A:$A,CS!$A:$AK,36,FALSE),"")</f>
      </c>
    </row>
    <row r="454" ht="16.5" customHeight="1" spans="1:23" x14ac:dyDescent="0.25">
      <c r="A454" s="71"/>
      <c r="B454" s="57">
        <f>IFERROR(VLOOKUP($A:$A,CS!$A:$AK,3,FALSE),"")</f>
      </c>
      <c r="C454" s="57">
        <f>IFERROR(VLOOKUP($A:$A,CS!$A:$AK,4,FALSE),"")</f>
      </c>
      <c r="D454" s="57">
        <f>IFERROR(VLOOKUP($A:$A,CS!$A:$AK,5,FALSE),"")</f>
      </c>
      <c r="E454" s="57">
        <f>IFERROR(VLOOKUP($A:$A,CS!$A:$AK,7,FALSE),"")</f>
      </c>
      <c r="F454" s="57">
        <f>IFERROR(VLOOKUP($A:$A,CS!$A:$AK,8,FALSE),"")</f>
      </c>
      <c r="G454" s="57">
        <f>IFERROR(VLOOKUP($A:$A,CS!$A:$AK,10,FALSE),"")</f>
      </c>
      <c r="H454" s="57">
        <f>IFERROR(VLOOKUP($A:$A,CS!$A:$AK,14,FALSE),"")</f>
      </c>
      <c r="I454" s="57">
        <f>IFERROR(VLOOKUP($A:$A,CS!$A:$AK,15,FALSE),"")</f>
      </c>
      <c r="J454" s="57">
        <f>IFERROR(VLOOKUP($A:$A,CS!$A:$AK,18,FALSE),"")</f>
      </c>
      <c r="K454" s="57">
        <f>IFERROR(VLOOKUP($A:$A,CS!$A:$AK,19,FALSE),"")</f>
      </c>
      <c r="L454" s="57">
        <f>IFERROR(VLOOKUP($A:$A,CS!$A:$AK,20,FALSE),"")</f>
      </c>
      <c r="M454" s="57">
        <f>IFERROR(VLOOKUP($A:$A,CS!$A:$AK,22,FALSE),"")</f>
      </c>
      <c r="N454" s="57">
        <f>IFERROR(VLOOKUP($A:$A,CS!$A:$AK,19,FALSE),"")</f>
      </c>
      <c r="O454" s="57">
        <f>IFERROR(VLOOKUP($A:$A,CS!$A:$AK,23,FALSE),"")</f>
      </c>
      <c r="P454" s="57">
        <f>IFERROR(VLOOKUP($A:$A,CS!$A:$AK,24,FALSE),"")</f>
      </c>
      <c r="Q454" s="57">
        <f>IFERROR(VLOOKUP($A:$A,CS!$A:$AK,25,FALSE),"")</f>
      </c>
      <c r="R454" s="57">
        <f>IFERROR(VLOOKUP($A:$A,CS!$A:$AK,26,FALSE),"")</f>
      </c>
      <c r="S454" s="57">
        <f>IFERROR(VLOOKUP($A:$A,CS!$A:$AK,29,FALSE),"")</f>
      </c>
      <c r="T454" s="57">
        <f>IFERROR(VLOOKUP($A:$A,CS!$A:$AK,33,FALSE),"")</f>
      </c>
      <c r="U454" s="57">
        <f>IFERROR(VLOOKUP($A:$A,CS!$A:$AK,34,FALSE),"")</f>
      </c>
      <c r="V454" s="57">
        <f>IFERROR(VLOOKUP($A:$A,CS!$A:$AK,35,FALSE),"")</f>
      </c>
      <c r="W454" s="57">
        <f>IFERROR(VLOOKUP($A:$A,CS!$A:$AK,36,FALSE),"")</f>
      </c>
    </row>
    <row r="455" ht="16.5" customHeight="1" spans="1:23" x14ac:dyDescent="0.25">
      <c r="A455" s="71"/>
      <c r="B455" s="57">
        <f>IFERROR(VLOOKUP($A:$A,CS!$A:$AK,3,FALSE),"")</f>
      </c>
      <c r="C455" s="57">
        <f>IFERROR(VLOOKUP($A:$A,CS!$A:$AK,4,FALSE),"")</f>
      </c>
      <c r="D455" s="57">
        <f>IFERROR(VLOOKUP($A:$A,CS!$A:$AK,5,FALSE),"")</f>
      </c>
      <c r="E455" s="57">
        <f>IFERROR(VLOOKUP($A:$A,CS!$A:$AK,7,FALSE),"")</f>
      </c>
      <c r="F455" s="57">
        <f>IFERROR(VLOOKUP($A:$A,CS!$A:$AK,8,FALSE),"")</f>
      </c>
      <c r="G455" s="57">
        <f>IFERROR(VLOOKUP($A:$A,CS!$A:$AK,10,FALSE),"")</f>
      </c>
      <c r="H455" s="57">
        <f>IFERROR(VLOOKUP($A:$A,CS!$A:$AK,14,FALSE),"")</f>
      </c>
      <c r="I455" s="57">
        <f>IFERROR(VLOOKUP($A:$A,CS!$A:$AK,15,FALSE),"")</f>
      </c>
      <c r="J455" s="57">
        <f>IFERROR(VLOOKUP($A:$A,CS!$A:$AK,18,FALSE),"")</f>
      </c>
      <c r="K455" s="57">
        <f>IFERROR(VLOOKUP($A:$A,CS!$A:$AK,19,FALSE),"")</f>
      </c>
      <c r="L455" s="57">
        <f>IFERROR(VLOOKUP($A:$A,CS!$A:$AK,20,FALSE),"")</f>
      </c>
      <c r="M455" s="57">
        <f>IFERROR(VLOOKUP($A:$A,CS!$A:$AK,22,FALSE),"")</f>
      </c>
      <c r="N455" s="57">
        <f>IFERROR(VLOOKUP($A:$A,CS!$A:$AK,19,FALSE),"")</f>
      </c>
      <c r="O455" s="57">
        <f>IFERROR(VLOOKUP($A:$A,CS!$A:$AK,23,FALSE),"")</f>
      </c>
      <c r="P455" s="57">
        <f>IFERROR(VLOOKUP($A:$A,CS!$A:$AK,24,FALSE),"")</f>
      </c>
      <c r="Q455" s="57">
        <f>IFERROR(VLOOKUP($A:$A,CS!$A:$AK,25,FALSE),"")</f>
      </c>
      <c r="R455" s="57">
        <f>IFERROR(VLOOKUP($A:$A,CS!$A:$AK,26,FALSE),"")</f>
      </c>
      <c r="S455" s="57">
        <f>IFERROR(VLOOKUP($A:$A,CS!$A:$AK,29,FALSE),"")</f>
      </c>
      <c r="T455" s="57">
        <f>IFERROR(VLOOKUP($A:$A,CS!$A:$AK,33,FALSE),"")</f>
      </c>
      <c r="U455" s="57">
        <f>IFERROR(VLOOKUP($A:$A,CS!$A:$AK,34,FALSE),"")</f>
      </c>
      <c r="V455" s="57">
        <f>IFERROR(VLOOKUP($A:$A,CS!$A:$AK,35,FALSE),"")</f>
      </c>
      <c r="W455" s="57">
        <f>IFERROR(VLOOKUP($A:$A,CS!$A:$AK,36,FALSE),"")</f>
      </c>
    </row>
    <row r="456" ht="16.5" customHeight="1" spans="1:23" x14ac:dyDescent="0.25">
      <c r="A456" s="71"/>
      <c r="B456" s="57">
        <f>IFERROR(VLOOKUP($A:$A,CS!$A:$AK,3,FALSE),"")</f>
      </c>
      <c r="C456" s="57">
        <f>IFERROR(VLOOKUP($A:$A,CS!$A:$AK,4,FALSE),"")</f>
      </c>
      <c r="D456" s="57">
        <f>IFERROR(VLOOKUP($A:$A,CS!$A:$AK,5,FALSE),"")</f>
      </c>
      <c r="E456" s="57">
        <f>IFERROR(VLOOKUP($A:$A,CS!$A:$AK,7,FALSE),"")</f>
      </c>
      <c r="F456" s="57">
        <f>IFERROR(VLOOKUP($A:$A,CS!$A:$AK,8,FALSE),"")</f>
      </c>
      <c r="G456" s="57">
        <f>IFERROR(VLOOKUP($A:$A,CS!$A:$AK,10,FALSE),"")</f>
      </c>
      <c r="H456" s="57">
        <f>IFERROR(VLOOKUP($A:$A,CS!$A:$AK,14,FALSE),"")</f>
      </c>
      <c r="I456" s="57">
        <f>IFERROR(VLOOKUP($A:$A,CS!$A:$AK,15,FALSE),"")</f>
      </c>
      <c r="J456" s="57">
        <f>IFERROR(VLOOKUP($A:$A,CS!$A:$AK,18,FALSE),"")</f>
      </c>
      <c r="K456" s="57">
        <f>IFERROR(VLOOKUP($A:$A,CS!$A:$AK,19,FALSE),"")</f>
      </c>
      <c r="L456" s="57">
        <f>IFERROR(VLOOKUP($A:$A,CS!$A:$AK,20,FALSE),"")</f>
      </c>
      <c r="M456" s="57">
        <f>IFERROR(VLOOKUP($A:$A,CS!$A:$AK,22,FALSE),"")</f>
      </c>
      <c r="N456" s="57">
        <f>IFERROR(VLOOKUP($A:$A,CS!$A:$AK,19,FALSE),"")</f>
      </c>
      <c r="O456" s="57">
        <f>IFERROR(VLOOKUP($A:$A,CS!$A:$AK,23,FALSE),"")</f>
      </c>
      <c r="P456" s="57">
        <f>IFERROR(VLOOKUP($A:$A,CS!$A:$AK,24,FALSE),"")</f>
      </c>
      <c r="Q456" s="57">
        <f>IFERROR(VLOOKUP($A:$A,CS!$A:$AK,25,FALSE),"")</f>
      </c>
      <c r="R456" s="57">
        <f>IFERROR(VLOOKUP($A:$A,CS!$A:$AK,26,FALSE),"")</f>
      </c>
      <c r="S456" s="57">
        <f>IFERROR(VLOOKUP($A:$A,CS!$A:$AK,29,FALSE),"")</f>
      </c>
      <c r="T456" s="57">
        <f>IFERROR(VLOOKUP($A:$A,CS!$A:$AK,33,FALSE),"")</f>
      </c>
      <c r="U456" s="57">
        <f>IFERROR(VLOOKUP($A:$A,CS!$A:$AK,34,FALSE),"")</f>
      </c>
      <c r="V456" s="57">
        <f>IFERROR(VLOOKUP($A:$A,CS!$A:$AK,35,FALSE),"")</f>
      </c>
      <c r="W456" s="57">
        <f>IFERROR(VLOOKUP($A:$A,CS!$A:$AK,36,FALSE),"")</f>
      </c>
    </row>
    <row r="457" ht="16.5" customHeight="1" spans="1:23" x14ac:dyDescent="0.25">
      <c r="A457" s="71"/>
      <c r="B457" s="57">
        <f>IFERROR(VLOOKUP($A:$A,CS!$A:$AK,3,FALSE),"")</f>
      </c>
      <c r="C457" s="57">
        <f>IFERROR(VLOOKUP($A:$A,CS!$A:$AK,4,FALSE),"")</f>
      </c>
      <c r="D457" s="57">
        <f>IFERROR(VLOOKUP($A:$A,CS!$A:$AK,5,FALSE),"")</f>
      </c>
      <c r="E457" s="57">
        <f>IFERROR(VLOOKUP($A:$A,CS!$A:$AK,7,FALSE),"")</f>
      </c>
      <c r="F457" s="57">
        <f>IFERROR(VLOOKUP($A:$A,CS!$A:$AK,8,FALSE),"")</f>
      </c>
      <c r="G457" s="57">
        <f>IFERROR(VLOOKUP($A:$A,CS!$A:$AK,10,FALSE),"")</f>
      </c>
      <c r="H457" s="57">
        <f>IFERROR(VLOOKUP($A:$A,CS!$A:$AK,14,FALSE),"")</f>
      </c>
      <c r="I457" s="57">
        <f>IFERROR(VLOOKUP($A:$A,CS!$A:$AK,15,FALSE),"")</f>
      </c>
      <c r="J457" s="57">
        <f>IFERROR(VLOOKUP($A:$A,CS!$A:$AK,18,FALSE),"")</f>
      </c>
      <c r="K457" s="57">
        <f>IFERROR(VLOOKUP($A:$A,CS!$A:$AK,19,FALSE),"")</f>
      </c>
      <c r="L457" s="57">
        <f>IFERROR(VLOOKUP($A:$A,CS!$A:$AK,20,FALSE),"")</f>
      </c>
      <c r="M457" s="57">
        <f>IFERROR(VLOOKUP($A:$A,CS!$A:$AK,22,FALSE),"")</f>
      </c>
      <c r="N457" s="57">
        <f>IFERROR(VLOOKUP($A:$A,CS!$A:$AK,19,FALSE),"")</f>
      </c>
      <c r="O457" s="57">
        <f>IFERROR(VLOOKUP($A:$A,CS!$A:$AK,23,FALSE),"")</f>
      </c>
      <c r="P457" s="57">
        <f>IFERROR(VLOOKUP($A:$A,CS!$A:$AK,24,FALSE),"")</f>
      </c>
      <c r="Q457" s="57">
        <f>IFERROR(VLOOKUP($A:$A,CS!$A:$AK,25,FALSE),"")</f>
      </c>
      <c r="R457" s="57">
        <f>IFERROR(VLOOKUP($A:$A,CS!$A:$AK,26,FALSE),"")</f>
      </c>
      <c r="S457" s="57">
        <f>IFERROR(VLOOKUP($A:$A,CS!$A:$AK,29,FALSE),"")</f>
      </c>
      <c r="T457" s="57">
        <f>IFERROR(VLOOKUP($A:$A,CS!$A:$AK,33,FALSE),"")</f>
      </c>
      <c r="U457" s="57">
        <f>IFERROR(VLOOKUP($A:$A,CS!$A:$AK,34,FALSE),"")</f>
      </c>
      <c r="V457" s="57">
        <f>IFERROR(VLOOKUP($A:$A,CS!$A:$AK,35,FALSE),"")</f>
      </c>
      <c r="W457" s="57">
        <f>IFERROR(VLOOKUP($A:$A,CS!$A:$AK,36,FALSE),"")</f>
      </c>
    </row>
    <row r="458" ht="16.5" customHeight="1" spans="1:23" x14ac:dyDescent="0.25">
      <c r="A458" s="71"/>
      <c r="B458" s="57">
        <f>IFERROR(VLOOKUP($A:$A,CS!$A:$AK,3,FALSE),"")</f>
      </c>
      <c r="C458" s="57">
        <f>IFERROR(VLOOKUP($A:$A,CS!$A:$AK,4,FALSE),"")</f>
      </c>
      <c r="D458" s="57">
        <f>IFERROR(VLOOKUP($A:$A,CS!$A:$AK,5,FALSE),"")</f>
      </c>
      <c r="E458" s="57">
        <f>IFERROR(VLOOKUP($A:$A,CS!$A:$AK,7,FALSE),"")</f>
      </c>
      <c r="F458" s="57">
        <f>IFERROR(VLOOKUP($A:$A,CS!$A:$AK,8,FALSE),"")</f>
      </c>
      <c r="G458" s="57">
        <f>IFERROR(VLOOKUP($A:$A,CS!$A:$AK,10,FALSE),"")</f>
      </c>
      <c r="H458" s="57">
        <f>IFERROR(VLOOKUP($A:$A,CS!$A:$AK,14,FALSE),"")</f>
      </c>
      <c r="I458" s="57">
        <f>IFERROR(VLOOKUP($A:$A,CS!$A:$AK,15,FALSE),"")</f>
      </c>
      <c r="J458" s="57">
        <f>IFERROR(VLOOKUP($A:$A,CS!$A:$AK,18,FALSE),"")</f>
      </c>
      <c r="K458" s="57">
        <f>IFERROR(VLOOKUP($A:$A,CS!$A:$AK,19,FALSE),"")</f>
      </c>
      <c r="L458" s="57">
        <f>IFERROR(VLOOKUP($A:$A,CS!$A:$AK,20,FALSE),"")</f>
      </c>
      <c r="M458" s="57">
        <f>IFERROR(VLOOKUP($A:$A,CS!$A:$AK,22,FALSE),"")</f>
      </c>
      <c r="N458" s="57">
        <f>IFERROR(VLOOKUP($A:$A,CS!$A:$AK,19,FALSE),"")</f>
      </c>
      <c r="O458" s="57">
        <f>IFERROR(VLOOKUP($A:$A,CS!$A:$AK,23,FALSE),"")</f>
      </c>
      <c r="P458" s="57">
        <f>IFERROR(VLOOKUP($A:$A,CS!$A:$AK,24,FALSE),"")</f>
      </c>
      <c r="Q458" s="57">
        <f>IFERROR(VLOOKUP($A:$A,CS!$A:$AK,25,FALSE),"")</f>
      </c>
      <c r="R458" s="57">
        <f>IFERROR(VLOOKUP($A:$A,CS!$A:$AK,26,FALSE),"")</f>
      </c>
      <c r="S458" s="57">
        <f>IFERROR(VLOOKUP($A:$A,CS!$A:$AK,29,FALSE),"")</f>
      </c>
      <c r="T458" s="57">
        <f>IFERROR(VLOOKUP($A:$A,CS!$A:$AK,33,FALSE),"")</f>
      </c>
      <c r="U458" s="57">
        <f>IFERROR(VLOOKUP($A:$A,CS!$A:$AK,34,FALSE),"")</f>
      </c>
      <c r="V458" s="57">
        <f>IFERROR(VLOOKUP($A:$A,CS!$A:$AK,35,FALSE),"")</f>
      </c>
      <c r="W458" s="57">
        <f>IFERROR(VLOOKUP($A:$A,CS!$A:$AK,36,FALSE),"")</f>
      </c>
    </row>
    <row r="459" ht="16.5" customHeight="1" spans="1:23" x14ac:dyDescent="0.25">
      <c r="A459" s="71"/>
      <c r="B459" s="57">
        <f>IFERROR(VLOOKUP($A:$A,CS!$A:$AK,3,FALSE),"")</f>
      </c>
      <c r="C459" s="57">
        <f>IFERROR(VLOOKUP($A:$A,CS!$A:$AK,4,FALSE),"")</f>
      </c>
      <c r="D459" s="57">
        <f>IFERROR(VLOOKUP($A:$A,CS!$A:$AK,5,FALSE),"")</f>
      </c>
      <c r="E459" s="57">
        <f>IFERROR(VLOOKUP($A:$A,CS!$A:$AK,7,FALSE),"")</f>
      </c>
      <c r="F459" s="57">
        <f>IFERROR(VLOOKUP($A:$A,CS!$A:$AK,8,FALSE),"")</f>
      </c>
      <c r="G459" s="57">
        <f>IFERROR(VLOOKUP($A:$A,CS!$A:$AK,10,FALSE),"")</f>
      </c>
      <c r="H459" s="57">
        <f>IFERROR(VLOOKUP($A:$A,CS!$A:$AK,14,FALSE),"")</f>
      </c>
      <c r="I459" s="57">
        <f>IFERROR(VLOOKUP($A:$A,CS!$A:$AK,15,FALSE),"")</f>
      </c>
      <c r="J459" s="57">
        <f>IFERROR(VLOOKUP($A:$A,CS!$A:$AK,18,FALSE),"")</f>
      </c>
      <c r="K459" s="57">
        <f>IFERROR(VLOOKUP($A:$A,CS!$A:$AK,19,FALSE),"")</f>
      </c>
      <c r="L459" s="57">
        <f>IFERROR(VLOOKUP($A:$A,CS!$A:$AK,20,FALSE),"")</f>
      </c>
      <c r="M459" s="57">
        <f>IFERROR(VLOOKUP($A:$A,CS!$A:$AK,22,FALSE),"")</f>
      </c>
      <c r="N459" s="57">
        <f>IFERROR(VLOOKUP($A:$A,CS!$A:$AK,19,FALSE),"")</f>
      </c>
      <c r="O459" s="57">
        <f>IFERROR(VLOOKUP($A:$A,CS!$A:$AK,23,FALSE),"")</f>
      </c>
      <c r="P459" s="57">
        <f>IFERROR(VLOOKUP($A:$A,CS!$A:$AK,24,FALSE),"")</f>
      </c>
      <c r="Q459" s="57">
        <f>IFERROR(VLOOKUP($A:$A,CS!$A:$AK,25,FALSE),"")</f>
      </c>
      <c r="R459" s="57">
        <f>IFERROR(VLOOKUP($A:$A,CS!$A:$AK,26,FALSE),"")</f>
      </c>
      <c r="S459" s="57">
        <f>IFERROR(VLOOKUP($A:$A,CS!$A:$AK,29,FALSE),"")</f>
      </c>
      <c r="T459" s="57">
        <f>IFERROR(VLOOKUP($A:$A,CS!$A:$AK,33,FALSE),"")</f>
      </c>
      <c r="U459" s="57">
        <f>IFERROR(VLOOKUP($A:$A,CS!$A:$AK,34,FALSE),"")</f>
      </c>
      <c r="V459" s="57">
        <f>IFERROR(VLOOKUP($A:$A,CS!$A:$AK,35,FALSE),"")</f>
      </c>
      <c r="W459" s="57">
        <f>IFERROR(VLOOKUP($A:$A,CS!$A:$AK,36,FALSE),"")</f>
      </c>
    </row>
    <row r="460" ht="16.5" customHeight="1" spans="1:23" x14ac:dyDescent="0.25">
      <c r="A460" s="71"/>
      <c r="B460" s="57">
        <f>IFERROR(VLOOKUP($A:$A,CS!$A:$AK,3,FALSE),"")</f>
      </c>
      <c r="C460" s="57">
        <f>IFERROR(VLOOKUP($A:$A,CS!$A:$AK,4,FALSE),"")</f>
      </c>
      <c r="D460" s="57">
        <f>IFERROR(VLOOKUP($A:$A,CS!$A:$AK,5,FALSE),"")</f>
      </c>
      <c r="E460" s="57">
        <f>IFERROR(VLOOKUP($A:$A,CS!$A:$AK,7,FALSE),"")</f>
      </c>
      <c r="F460" s="57">
        <f>IFERROR(VLOOKUP($A:$A,CS!$A:$AK,8,FALSE),"")</f>
      </c>
      <c r="G460" s="57">
        <f>IFERROR(VLOOKUP($A:$A,CS!$A:$AK,10,FALSE),"")</f>
      </c>
      <c r="H460" s="57">
        <f>IFERROR(VLOOKUP($A:$A,CS!$A:$AK,14,FALSE),"")</f>
      </c>
      <c r="I460" s="57">
        <f>IFERROR(VLOOKUP($A:$A,CS!$A:$AK,15,FALSE),"")</f>
      </c>
      <c r="J460" s="57">
        <f>IFERROR(VLOOKUP($A:$A,CS!$A:$AK,18,FALSE),"")</f>
      </c>
      <c r="K460" s="57">
        <f>IFERROR(VLOOKUP($A:$A,CS!$A:$AK,19,FALSE),"")</f>
      </c>
      <c r="L460" s="57">
        <f>IFERROR(VLOOKUP($A:$A,CS!$A:$AK,20,FALSE),"")</f>
      </c>
      <c r="M460" s="57">
        <f>IFERROR(VLOOKUP($A:$A,CS!$A:$AK,22,FALSE),"")</f>
      </c>
      <c r="N460" s="57">
        <f>IFERROR(VLOOKUP($A:$A,CS!$A:$AK,19,FALSE),"")</f>
      </c>
      <c r="O460" s="57">
        <f>IFERROR(VLOOKUP($A:$A,CS!$A:$AK,23,FALSE),"")</f>
      </c>
      <c r="P460" s="57">
        <f>IFERROR(VLOOKUP($A:$A,CS!$A:$AK,24,FALSE),"")</f>
      </c>
      <c r="Q460" s="57">
        <f>IFERROR(VLOOKUP($A:$A,CS!$A:$AK,25,FALSE),"")</f>
      </c>
      <c r="R460" s="57">
        <f>IFERROR(VLOOKUP($A:$A,CS!$A:$AK,26,FALSE),"")</f>
      </c>
      <c r="S460" s="57">
        <f>IFERROR(VLOOKUP($A:$A,CS!$A:$AK,29,FALSE),"")</f>
      </c>
      <c r="T460" s="57">
        <f>IFERROR(VLOOKUP($A:$A,CS!$A:$AK,33,FALSE),"")</f>
      </c>
      <c r="U460" s="57">
        <f>IFERROR(VLOOKUP($A:$A,CS!$A:$AK,34,FALSE),"")</f>
      </c>
      <c r="V460" s="57">
        <f>IFERROR(VLOOKUP($A:$A,CS!$A:$AK,35,FALSE),"")</f>
      </c>
      <c r="W460" s="57">
        <f>IFERROR(VLOOKUP($A:$A,CS!$A:$AK,36,FALSE),"")</f>
      </c>
    </row>
    <row r="461" ht="16.5" customHeight="1" spans="1:23" x14ac:dyDescent="0.25">
      <c r="A461" s="71"/>
      <c r="B461" s="57">
        <f>IFERROR(VLOOKUP($A:$A,CS!$A:$AK,3,FALSE),"")</f>
      </c>
      <c r="C461" s="57">
        <f>IFERROR(VLOOKUP($A:$A,CS!$A:$AK,4,FALSE),"")</f>
      </c>
      <c r="D461" s="57">
        <f>IFERROR(VLOOKUP($A:$A,CS!$A:$AK,5,FALSE),"")</f>
      </c>
      <c r="E461" s="57">
        <f>IFERROR(VLOOKUP($A:$A,CS!$A:$AK,7,FALSE),"")</f>
      </c>
      <c r="F461" s="57">
        <f>IFERROR(VLOOKUP($A:$A,CS!$A:$AK,8,FALSE),"")</f>
      </c>
      <c r="G461" s="57">
        <f>IFERROR(VLOOKUP($A:$A,CS!$A:$AK,10,FALSE),"")</f>
      </c>
      <c r="H461" s="57">
        <f>IFERROR(VLOOKUP($A:$A,CS!$A:$AK,14,FALSE),"")</f>
      </c>
      <c r="I461" s="57">
        <f>IFERROR(VLOOKUP($A:$A,CS!$A:$AK,15,FALSE),"")</f>
      </c>
      <c r="J461" s="57">
        <f>IFERROR(VLOOKUP($A:$A,CS!$A:$AK,18,FALSE),"")</f>
      </c>
      <c r="K461" s="57">
        <f>IFERROR(VLOOKUP($A:$A,CS!$A:$AK,19,FALSE),"")</f>
      </c>
      <c r="L461" s="57">
        <f>IFERROR(VLOOKUP($A:$A,CS!$A:$AK,20,FALSE),"")</f>
      </c>
      <c r="M461" s="57">
        <f>IFERROR(VLOOKUP($A:$A,CS!$A:$AK,22,FALSE),"")</f>
      </c>
      <c r="N461" s="57">
        <f>IFERROR(VLOOKUP($A:$A,CS!$A:$AK,19,FALSE),"")</f>
      </c>
      <c r="O461" s="57">
        <f>IFERROR(VLOOKUP($A:$A,CS!$A:$AK,23,FALSE),"")</f>
      </c>
      <c r="P461" s="57">
        <f>IFERROR(VLOOKUP($A:$A,CS!$A:$AK,24,FALSE),"")</f>
      </c>
      <c r="Q461" s="57">
        <f>IFERROR(VLOOKUP($A:$A,CS!$A:$AK,25,FALSE),"")</f>
      </c>
      <c r="R461" s="57">
        <f>IFERROR(VLOOKUP($A:$A,CS!$A:$AK,26,FALSE),"")</f>
      </c>
      <c r="S461" s="57">
        <f>IFERROR(VLOOKUP($A:$A,CS!$A:$AK,29,FALSE),"")</f>
      </c>
      <c r="T461" s="57">
        <f>IFERROR(VLOOKUP($A:$A,CS!$A:$AK,33,FALSE),"")</f>
      </c>
      <c r="U461" s="57">
        <f>IFERROR(VLOOKUP($A:$A,CS!$A:$AK,34,FALSE),"")</f>
      </c>
      <c r="V461" s="57">
        <f>IFERROR(VLOOKUP($A:$A,CS!$A:$AK,35,FALSE),"")</f>
      </c>
      <c r="W461" s="57">
        <f>IFERROR(VLOOKUP($A:$A,CS!$A:$AK,36,FALSE),"")</f>
      </c>
    </row>
    <row r="462" ht="16.5" customHeight="1" spans="1:23" x14ac:dyDescent="0.25">
      <c r="A462" s="71"/>
      <c r="B462" s="57">
        <f>IFERROR(VLOOKUP($A:$A,CS!$A:$AK,3,FALSE),"")</f>
      </c>
      <c r="C462" s="57">
        <f>IFERROR(VLOOKUP($A:$A,CS!$A:$AK,4,FALSE),"")</f>
      </c>
      <c r="D462" s="57">
        <f>IFERROR(VLOOKUP($A:$A,CS!$A:$AK,5,FALSE),"")</f>
      </c>
      <c r="E462" s="57">
        <f>IFERROR(VLOOKUP($A:$A,CS!$A:$AK,7,FALSE),"")</f>
      </c>
      <c r="F462" s="57">
        <f>IFERROR(VLOOKUP($A:$A,CS!$A:$AK,8,FALSE),"")</f>
      </c>
      <c r="G462" s="57">
        <f>IFERROR(VLOOKUP($A:$A,CS!$A:$AK,10,FALSE),"")</f>
      </c>
      <c r="H462" s="57">
        <f>IFERROR(VLOOKUP($A:$A,CS!$A:$AK,14,FALSE),"")</f>
      </c>
      <c r="I462" s="57">
        <f>IFERROR(VLOOKUP($A:$A,CS!$A:$AK,15,FALSE),"")</f>
      </c>
      <c r="J462" s="57">
        <f>IFERROR(VLOOKUP($A:$A,CS!$A:$AK,18,FALSE),"")</f>
      </c>
      <c r="K462" s="57">
        <f>IFERROR(VLOOKUP($A:$A,CS!$A:$AK,19,FALSE),"")</f>
      </c>
      <c r="L462" s="57">
        <f>IFERROR(VLOOKUP($A:$A,CS!$A:$AK,20,FALSE),"")</f>
      </c>
      <c r="M462" s="57">
        <f>IFERROR(VLOOKUP($A:$A,CS!$A:$AK,22,FALSE),"")</f>
      </c>
      <c r="N462" s="57">
        <f>IFERROR(VLOOKUP($A:$A,CS!$A:$AK,19,FALSE),"")</f>
      </c>
      <c r="O462" s="57">
        <f>IFERROR(VLOOKUP($A:$A,CS!$A:$AK,23,FALSE),"")</f>
      </c>
      <c r="P462" s="57">
        <f>IFERROR(VLOOKUP($A:$A,CS!$A:$AK,24,FALSE),"")</f>
      </c>
      <c r="Q462" s="57">
        <f>IFERROR(VLOOKUP($A:$A,CS!$A:$AK,25,FALSE),"")</f>
      </c>
      <c r="R462" s="57">
        <f>IFERROR(VLOOKUP($A:$A,CS!$A:$AK,26,FALSE),"")</f>
      </c>
      <c r="S462" s="57">
        <f>IFERROR(VLOOKUP($A:$A,CS!$A:$AK,29,FALSE),"")</f>
      </c>
      <c r="T462" s="57">
        <f>IFERROR(VLOOKUP($A:$A,CS!$A:$AK,33,FALSE),"")</f>
      </c>
      <c r="U462" s="57">
        <f>IFERROR(VLOOKUP($A:$A,CS!$A:$AK,34,FALSE),"")</f>
      </c>
      <c r="V462" s="57">
        <f>IFERROR(VLOOKUP($A:$A,CS!$A:$AK,35,FALSE),"")</f>
      </c>
      <c r="W462" s="57">
        <f>IFERROR(VLOOKUP($A:$A,CS!$A:$AK,36,FALSE),"")</f>
      </c>
    </row>
    <row r="463" ht="16.5" customHeight="1" spans="1:23" x14ac:dyDescent="0.25">
      <c r="A463" s="71"/>
      <c r="B463" s="57">
        <f>IFERROR(VLOOKUP($A:$A,CS!$A:$AK,3,FALSE),"")</f>
      </c>
      <c r="C463" s="57">
        <f>IFERROR(VLOOKUP($A:$A,CS!$A:$AK,4,FALSE),"")</f>
      </c>
      <c r="D463" s="57">
        <f>IFERROR(VLOOKUP($A:$A,CS!$A:$AK,5,FALSE),"")</f>
      </c>
      <c r="E463" s="57">
        <f>IFERROR(VLOOKUP($A:$A,CS!$A:$AK,7,FALSE),"")</f>
      </c>
      <c r="F463" s="57">
        <f>IFERROR(VLOOKUP($A:$A,CS!$A:$AK,8,FALSE),"")</f>
      </c>
      <c r="G463" s="57">
        <f>IFERROR(VLOOKUP($A:$A,CS!$A:$AK,10,FALSE),"")</f>
      </c>
      <c r="H463" s="57">
        <f>IFERROR(VLOOKUP($A:$A,CS!$A:$AK,14,FALSE),"")</f>
      </c>
      <c r="I463" s="57">
        <f>IFERROR(VLOOKUP($A:$A,CS!$A:$AK,15,FALSE),"")</f>
      </c>
      <c r="J463" s="57">
        <f>IFERROR(VLOOKUP($A:$A,CS!$A:$AK,18,FALSE),"")</f>
      </c>
      <c r="K463" s="57">
        <f>IFERROR(VLOOKUP($A:$A,CS!$A:$AK,19,FALSE),"")</f>
      </c>
      <c r="L463" s="57">
        <f>IFERROR(VLOOKUP($A:$A,CS!$A:$AK,20,FALSE),"")</f>
      </c>
      <c r="M463" s="57">
        <f>IFERROR(VLOOKUP($A:$A,CS!$A:$AK,22,FALSE),"")</f>
      </c>
      <c r="N463" s="57">
        <f>IFERROR(VLOOKUP($A:$A,CS!$A:$AK,19,FALSE),"")</f>
      </c>
      <c r="O463" s="57">
        <f>IFERROR(VLOOKUP($A:$A,CS!$A:$AK,23,FALSE),"")</f>
      </c>
      <c r="P463" s="57">
        <f>IFERROR(VLOOKUP($A:$A,CS!$A:$AK,24,FALSE),"")</f>
      </c>
      <c r="Q463" s="57">
        <f>IFERROR(VLOOKUP($A:$A,CS!$A:$AK,25,FALSE),"")</f>
      </c>
      <c r="R463" s="57">
        <f>IFERROR(VLOOKUP($A:$A,CS!$A:$AK,26,FALSE),"")</f>
      </c>
      <c r="S463" s="57">
        <f>IFERROR(VLOOKUP($A:$A,CS!$A:$AK,29,FALSE),"")</f>
      </c>
      <c r="T463" s="57">
        <f>IFERROR(VLOOKUP($A:$A,CS!$A:$AK,33,FALSE),"")</f>
      </c>
      <c r="U463" s="57">
        <f>IFERROR(VLOOKUP($A:$A,CS!$A:$AK,34,FALSE),"")</f>
      </c>
      <c r="V463" s="57">
        <f>IFERROR(VLOOKUP($A:$A,CS!$A:$AK,35,FALSE),"")</f>
      </c>
      <c r="W463" s="57">
        <f>IFERROR(VLOOKUP($A:$A,CS!$A:$AK,36,FALSE),"")</f>
      </c>
    </row>
    <row r="464" ht="16.5" customHeight="1" spans="1:23" x14ac:dyDescent="0.25">
      <c r="A464" s="71"/>
      <c r="B464" s="57">
        <f>IFERROR(VLOOKUP($A:$A,CS!$A:$AK,3,FALSE),"")</f>
      </c>
      <c r="C464" s="57">
        <f>IFERROR(VLOOKUP($A:$A,CS!$A:$AK,4,FALSE),"")</f>
      </c>
      <c r="D464" s="57">
        <f>IFERROR(VLOOKUP($A:$A,CS!$A:$AK,5,FALSE),"")</f>
      </c>
      <c r="E464" s="57">
        <f>IFERROR(VLOOKUP($A:$A,CS!$A:$AK,7,FALSE),"")</f>
      </c>
      <c r="F464" s="57">
        <f>IFERROR(VLOOKUP($A:$A,CS!$A:$AK,8,FALSE),"")</f>
      </c>
      <c r="G464" s="57">
        <f>IFERROR(VLOOKUP($A:$A,CS!$A:$AK,10,FALSE),"")</f>
      </c>
      <c r="H464" s="57">
        <f>IFERROR(VLOOKUP($A:$A,CS!$A:$AK,14,FALSE),"")</f>
      </c>
      <c r="I464" s="57">
        <f>IFERROR(VLOOKUP($A:$A,CS!$A:$AK,15,FALSE),"")</f>
      </c>
      <c r="J464" s="57">
        <f>IFERROR(VLOOKUP($A:$A,CS!$A:$AK,18,FALSE),"")</f>
      </c>
      <c r="K464" s="57">
        <f>IFERROR(VLOOKUP($A:$A,CS!$A:$AK,19,FALSE),"")</f>
      </c>
      <c r="L464" s="57">
        <f>IFERROR(VLOOKUP($A:$A,CS!$A:$AK,20,FALSE),"")</f>
      </c>
      <c r="M464" s="57">
        <f>IFERROR(VLOOKUP($A:$A,CS!$A:$AK,22,FALSE),"")</f>
      </c>
      <c r="N464" s="57">
        <f>IFERROR(VLOOKUP($A:$A,CS!$A:$AK,19,FALSE),"")</f>
      </c>
      <c r="O464" s="57">
        <f>IFERROR(VLOOKUP($A:$A,CS!$A:$AK,23,FALSE),"")</f>
      </c>
      <c r="P464" s="57">
        <f>IFERROR(VLOOKUP($A:$A,CS!$A:$AK,24,FALSE),"")</f>
      </c>
      <c r="Q464" s="57">
        <f>IFERROR(VLOOKUP($A:$A,CS!$A:$AK,25,FALSE),"")</f>
      </c>
      <c r="R464" s="57">
        <f>IFERROR(VLOOKUP($A:$A,CS!$A:$AK,26,FALSE),"")</f>
      </c>
      <c r="S464" s="57">
        <f>IFERROR(VLOOKUP($A:$A,CS!$A:$AK,29,FALSE),"")</f>
      </c>
      <c r="T464" s="57">
        <f>IFERROR(VLOOKUP($A:$A,CS!$A:$AK,33,FALSE),"")</f>
      </c>
      <c r="U464" s="57">
        <f>IFERROR(VLOOKUP($A:$A,CS!$A:$AK,34,FALSE),"")</f>
      </c>
      <c r="V464" s="57">
        <f>IFERROR(VLOOKUP($A:$A,CS!$A:$AK,35,FALSE),"")</f>
      </c>
      <c r="W464" s="57">
        <f>IFERROR(VLOOKUP($A:$A,CS!$A:$AK,36,FALSE),"")</f>
      </c>
    </row>
    <row r="465" ht="16.5" customHeight="1" spans="1:23" x14ac:dyDescent="0.25">
      <c r="A465" s="71"/>
      <c r="B465" s="57">
        <f>IFERROR(VLOOKUP($A:$A,CS!$A:$AK,3,FALSE),"")</f>
      </c>
      <c r="C465" s="57">
        <f>IFERROR(VLOOKUP($A:$A,CS!$A:$AK,4,FALSE),"")</f>
      </c>
      <c r="D465" s="57">
        <f>IFERROR(VLOOKUP($A:$A,CS!$A:$AK,5,FALSE),"")</f>
      </c>
      <c r="E465" s="57">
        <f>IFERROR(VLOOKUP($A:$A,CS!$A:$AK,7,FALSE),"")</f>
      </c>
      <c r="F465" s="57">
        <f>IFERROR(VLOOKUP($A:$A,CS!$A:$AK,8,FALSE),"")</f>
      </c>
      <c r="G465" s="57">
        <f>IFERROR(VLOOKUP($A:$A,CS!$A:$AK,10,FALSE),"")</f>
      </c>
      <c r="H465" s="57">
        <f>IFERROR(VLOOKUP($A:$A,CS!$A:$AK,14,FALSE),"")</f>
      </c>
      <c r="I465" s="57">
        <f>IFERROR(VLOOKUP($A:$A,CS!$A:$AK,15,FALSE),"")</f>
      </c>
      <c r="J465" s="57">
        <f>IFERROR(VLOOKUP($A:$A,CS!$A:$AK,18,FALSE),"")</f>
      </c>
      <c r="K465" s="57">
        <f>IFERROR(VLOOKUP($A:$A,CS!$A:$AK,19,FALSE),"")</f>
      </c>
      <c r="L465" s="57">
        <f>IFERROR(VLOOKUP($A:$A,CS!$A:$AK,20,FALSE),"")</f>
      </c>
      <c r="M465" s="57">
        <f>IFERROR(VLOOKUP($A:$A,CS!$A:$AK,22,FALSE),"")</f>
      </c>
      <c r="N465" s="57">
        <f>IFERROR(VLOOKUP($A:$A,CS!$A:$AK,19,FALSE),"")</f>
      </c>
      <c r="O465" s="57">
        <f>IFERROR(VLOOKUP($A:$A,CS!$A:$AK,23,FALSE),"")</f>
      </c>
      <c r="P465" s="57">
        <f>IFERROR(VLOOKUP($A:$A,CS!$A:$AK,24,FALSE),"")</f>
      </c>
      <c r="Q465" s="57">
        <f>IFERROR(VLOOKUP($A:$A,CS!$A:$AK,25,FALSE),"")</f>
      </c>
      <c r="R465" s="57">
        <f>IFERROR(VLOOKUP($A:$A,CS!$A:$AK,26,FALSE),"")</f>
      </c>
      <c r="S465" s="57">
        <f>IFERROR(VLOOKUP($A:$A,CS!$A:$AK,29,FALSE),"")</f>
      </c>
      <c r="T465" s="57">
        <f>IFERROR(VLOOKUP($A:$A,CS!$A:$AK,33,FALSE),"")</f>
      </c>
      <c r="U465" s="57">
        <f>IFERROR(VLOOKUP($A:$A,CS!$A:$AK,34,FALSE),"")</f>
      </c>
      <c r="V465" s="57">
        <f>IFERROR(VLOOKUP($A:$A,CS!$A:$AK,35,FALSE),"")</f>
      </c>
      <c r="W465" s="57">
        <f>IFERROR(VLOOKUP($A:$A,CS!$A:$AK,36,FALSE),"")</f>
      </c>
    </row>
    <row r="466" ht="16.5" customHeight="1" spans="1:23" x14ac:dyDescent="0.25">
      <c r="A466" s="71"/>
      <c r="B466" s="57">
        <f>IFERROR(VLOOKUP($A:$A,CS!$A:$AK,3,FALSE),"")</f>
      </c>
      <c r="C466" s="57">
        <f>IFERROR(VLOOKUP($A:$A,CS!$A:$AK,4,FALSE),"")</f>
      </c>
      <c r="D466" s="57">
        <f>IFERROR(VLOOKUP($A:$A,CS!$A:$AK,5,FALSE),"")</f>
      </c>
      <c r="E466" s="57">
        <f>IFERROR(VLOOKUP($A:$A,CS!$A:$AK,7,FALSE),"")</f>
      </c>
      <c r="F466" s="57">
        <f>IFERROR(VLOOKUP($A:$A,CS!$A:$AK,8,FALSE),"")</f>
      </c>
      <c r="G466" s="57">
        <f>IFERROR(VLOOKUP($A:$A,CS!$A:$AK,10,FALSE),"")</f>
      </c>
      <c r="H466" s="57">
        <f>IFERROR(VLOOKUP($A:$A,CS!$A:$AK,14,FALSE),"")</f>
      </c>
      <c r="I466" s="57">
        <f>IFERROR(VLOOKUP($A:$A,CS!$A:$AK,15,FALSE),"")</f>
      </c>
      <c r="J466" s="57">
        <f>IFERROR(VLOOKUP($A:$A,CS!$A:$AK,18,FALSE),"")</f>
      </c>
      <c r="K466" s="57">
        <f>IFERROR(VLOOKUP($A:$A,CS!$A:$AK,19,FALSE),"")</f>
      </c>
      <c r="L466" s="57">
        <f>IFERROR(VLOOKUP($A:$A,CS!$A:$AK,20,FALSE),"")</f>
      </c>
      <c r="M466" s="57">
        <f>IFERROR(VLOOKUP($A:$A,CS!$A:$AK,22,FALSE),"")</f>
      </c>
      <c r="N466" s="57">
        <f>IFERROR(VLOOKUP($A:$A,CS!$A:$AK,19,FALSE),"")</f>
      </c>
      <c r="O466" s="57">
        <f>IFERROR(VLOOKUP($A:$A,CS!$A:$AK,23,FALSE),"")</f>
      </c>
      <c r="P466" s="57">
        <f>IFERROR(VLOOKUP($A:$A,CS!$A:$AK,24,FALSE),"")</f>
      </c>
      <c r="Q466" s="57">
        <f>IFERROR(VLOOKUP($A:$A,CS!$A:$AK,25,FALSE),"")</f>
      </c>
      <c r="R466" s="57">
        <f>IFERROR(VLOOKUP($A:$A,CS!$A:$AK,26,FALSE),"")</f>
      </c>
      <c r="S466" s="57">
        <f>IFERROR(VLOOKUP($A:$A,CS!$A:$AK,29,FALSE),"")</f>
      </c>
      <c r="T466" s="57">
        <f>IFERROR(VLOOKUP($A:$A,CS!$A:$AK,33,FALSE),"")</f>
      </c>
      <c r="U466" s="57">
        <f>IFERROR(VLOOKUP($A:$A,CS!$A:$AK,34,FALSE),"")</f>
      </c>
      <c r="V466" s="57">
        <f>IFERROR(VLOOKUP($A:$A,CS!$A:$AK,35,FALSE),"")</f>
      </c>
      <c r="W466" s="57">
        <f>IFERROR(VLOOKUP($A:$A,CS!$A:$AK,36,FALSE),"")</f>
      </c>
    </row>
    <row r="467" ht="16.5" customHeight="1" spans="1:23" x14ac:dyDescent="0.25">
      <c r="A467" s="71"/>
      <c r="B467" s="57">
        <f>IFERROR(VLOOKUP($A:$A,CS!$A:$AK,3,FALSE),"")</f>
      </c>
      <c r="C467" s="57">
        <f>IFERROR(VLOOKUP($A:$A,CS!$A:$AK,4,FALSE),"")</f>
      </c>
      <c r="D467" s="57">
        <f>IFERROR(VLOOKUP($A:$A,CS!$A:$AK,5,FALSE),"")</f>
      </c>
      <c r="E467" s="57">
        <f>IFERROR(VLOOKUP($A:$A,CS!$A:$AK,7,FALSE),"")</f>
      </c>
      <c r="F467" s="57">
        <f>IFERROR(VLOOKUP($A:$A,CS!$A:$AK,8,FALSE),"")</f>
      </c>
      <c r="G467" s="57">
        <f>IFERROR(VLOOKUP($A:$A,CS!$A:$AK,10,FALSE),"")</f>
      </c>
      <c r="H467" s="57">
        <f>IFERROR(VLOOKUP($A:$A,CS!$A:$AK,14,FALSE),"")</f>
      </c>
      <c r="I467" s="57">
        <f>IFERROR(VLOOKUP($A:$A,CS!$A:$AK,15,FALSE),"")</f>
      </c>
      <c r="J467" s="57">
        <f>IFERROR(VLOOKUP($A:$A,CS!$A:$AK,18,FALSE),"")</f>
      </c>
      <c r="K467" s="57">
        <f>IFERROR(VLOOKUP($A:$A,CS!$A:$AK,19,FALSE),"")</f>
      </c>
      <c r="L467" s="57">
        <f>IFERROR(VLOOKUP($A:$A,CS!$A:$AK,20,FALSE),"")</f>
      </c>
      <c r="M467" s="57">
        <f>IFERROR(VLOOKUP($A:$A,CS!$A:$AK,22,FALSE),"")</f>
      </c>
      <c r="N467" s="57">
        <f>IFERROR(VLOOKUP($A:$A,CS!$A:$AK,19,FALSE),"")</f>
      </c>
      <c r="O467" s="57">
        <f>IFERROR(VLOOKUP($A:$A,CS!$A:$AK,23,FALSE),"")</f>
      </c>
      <c r="P467" s="57">
        <f>IFERROR(VLOOKUP($A:$A,CS!$A:$AK,24,FALSE),"")</f>
      </c>
      <c r="Q467" s="57">
        <f>IFERROR(VLOOKUP($A:$A,CS!$A:$AK,25,FALSE),"")</f>
      </c>
      <c r="R467" s="57">
        <f>IFERROR(VLOOKUP($A:$A,CS!$A:$AK,26,FALSE),"")</f>
      </c>
      <c r="S467" s="57">
        <f>IFERROR(VLOOKUP($A:$A,CS!$A:$AK,29,FALSE),"")</f>
      </c>
      <c r="T467" s="57">
        <f>IFERROR(VLOOKUP($A:$A,CS!$A:$AK,33,FALSE),"")</f>
      </c>
      <c r="U467" s="57">
        <f>IFERROR(VLOOKUP($A:$A,CS!$A:$AK,34,FALSE),"")</f>
      </c>
      <c r="V467" s="57">
        <f>IFERROR(VLOOKUP($A:$A,CS!$A:$AK,35,FALSE),"")</f>
      </c>
      <c r="W467" s="57">
        <f>IFERROR(VLOOKUP($A:$A,CS!$A:$AK,36,FALSE),"")</f>
      </c>
    </row>
    <row r="468" ht="16.5" customHeight="1" spans="1:23" x14ac:dyDescent="0.25">
      <c r="A468" s="71"/>
      <c r="B468" s="57">
        <f>IFERROR(VLOOKUP($A:$A,CS!$A:$AK,3,FALSE),"")</f>
      </c>
      <c r="C468" s="57">
        <f>IFERROR(VLOOKUP($A:$A,CS!$A:$AK,4,FALSE),"")</f>
      </c>
      <c r="D468" s="57">
        <f>IFERROR(VLOOKUP($A:$A,CS!$A:$AK,5,FALSE),"")</f>
      </c>
      <c r="E468" s="57">
        <f>IFERROR(VLOOKUP($A:$A,CS!$A:$AK,7,FALSE),"")</f>
      </c>
      <c r="F468" s="57">
        <f>IFERROR(VLOOKUP($A:$A,CS!$A:$AK,8,FALSE),"")</f>
      </c>
      <c r="G468" s="57">
        <f>IFERROR(VLOOKUP($A:$A,CS!$A:$AK,10,FALSE),"")</f>
      </c>
      <c r="H468" s="57">
        <f>IFERROR(VLOOKUP($A:$A,CS!$A:$AK,14,FALSE),"")</f>
      </c>
      <c r="I468" s="57">
        <f>IFERROR(VLOOKUP($A:$A,CS!$A:$AK,15,FALSE),"")</f>
      </c>
      <c r="J468" s="57">
        <f>IFERROR(VLOOKUP($A:$A,CS!$A:$AK,18,FALSE),"")</f>
      </c>
      <c r="K468" s="57">
        <f>IFERROR(VLOOKUP($A:$A,CS!$A:$AK,19,FALSE),"")</f>
      </c>
      <c r="L468" s="57">
        <f>IFERROR(VLOOKUP($A:$A,CS!$A:$AK,20,FALSE),"")</f>
      </c>
      <c r="M468" s="57">
        <f>IFERROR(VLOOKUP($A:$A,CS!$A:$AK,22,FALSE),"")</f>
      </c>
      <c r="N468" s="57">
        <f>IFERROR(VLOOKUP($A:$A,CS!$A:$AK,19,FALSE),"")</f>
      </c>
      <c r="O468" s="57">
        <f>IFERROR(VLOOKUP($A:$A,CS!$A:$AK,23,FALSE),"")</f>
      </c>
      <c r="P468" s="57">
        <f>IFERROR(VLOOKUP($A:$A,CS!$A:$AK,24,FALSE),"")</f>
      </c>
      <c r="Q468" s="57">
        <f>IFERROR(VLOOKUP($A:$A,CS!$A:$AK,25,FALSE),"")</f>
      </c>
      <c r="R468" s="57">
        <f>IFERROR(VLOOKUP($A:$A,CS!$A:$AK,26,FALSE),"")</f>
      </c>
      <c r="S468" s="57">
        <f>IFERROR(VLOOKUP($A:$A,CS!$A:$AK,29,FALSE),"")</f>
      </c>
      <c r="T468" s="57">
        <f>IFERROR(VLOOKUP($A:$A,CS!$A:$AK,33,FALSE),"")</f>
      </c>
      <c r="U468" s="57">
        <f>IFERROR(VLOOKUP($A:$A,CS!$A:$AK,34,FALSE),"")</f>
      </c>
      <c r="V468" s="57">
        <f>IFERROR(VLOOKUP($A:$A,CS!$A:$AK,35,FALSE),"")</f>
      </c>
      <c r="W468" s="57">
        <f>IFERROR(VLOOKUP($A:$A,CS!$A:$AK,36,FALSE),"")</f>
      </c>
    </row>
    <row r="469" ht="16.5" customHeight="1" spans="1:23" x14ac:dyDescent="0.25">
      <c r="A469" s="71"/>
      <c r="B469" s="57">
        <f>IFERROR(VLOOKUP($A:$A,CS!$A:$AK,3,FALSE),"")</f>
      </c>
      <c r="C469" s="57">
        <f>IFERROR(VLOOKUP($A:$A,CS!$A:$AK,4,FALSE),"")</f>
      </c>
      <c r="D469" s="57">
        <f>IFERROR(VLOOKUP($A:$A,CS!$A:$AK,5,FALSE),"")</f>
      </c>
      <c r="E469" s="57">
        <f>IFERROR(VLOOKUP($A:$A,CS!$A:$AK,7,FALSE),"")</f>
      </c>
      <c r="F469" s="57">
        <f>IFERROR(VLOOKUP($A:$A,CS!$A:$AK,8,FALSE),"")</f>
      </c>
      <c r="G469" s="57">
        <f>IFERROR(VLOOKUP($A:$A,CS!$A:$AK,10,FALSE),"")</f>
      </c>
      <c r="H469" s="57">
        <f>IFERROR(VLOOKUP($A:$A,CS!$A:$AK,14,FALSE),"")</f>
      </c>
      <c r="I469" s="57">
        <f>IFERROR(VLOOKUP($A:$A,CS!$A:$AK,15,FALSE),"")</f>
      </c>
      <c r="J469" s="57">
        <f>IFERROR(VLOOKUP($A:$A,CS!$A:$AK,18,FALSE),"")</f>
      </c>
      <c r="K469" s="57">
        <f>IFERROR(VLOOKUP($A:$A,CS!$A:$AK,19,FALSE),"")</f>
      </c>
      <c r="L469" s="57">
        <f>IFERROR(VLOOKUP($A:$A,CS!$A:$AK,20,FALSE),"")</f>
      </c>
      <c r="M469" s="57">
        <f>IFERROR(VLOOKUP($A:$A,CS!$A:$AK,22,FALSE),"")</f>
      </c>
      <c r="N469" s="57">
        <f>IFERROR(VLOOKUP($A:$A,CS!$A:$AK,19,FALSE),"")</f>
      </c>
      <c r="O469" s="57">
        <f>IFERROR(VLOOKUP($A:$A,CS!$A:$AK,23,FALSE),"")</f>
      </c>
      <c r="P469" s="57">
        <f>IFERROR(VLOOKUP($A:$A,CS!$A:$AK,24,FALSE),"")</f>
      </c>
      <c r="Q469" s="57">
        <f>IFERROR(VLOOKUP($A:$A,CS!$A:$AK,25,FALSE),"")</f>
      </c>
      <c r="R469" s="57">
        <f>IFERROR(VLOOKUP($A:$A,CS!$A:$AK,26,FALSE),"")</f>
      </c>
      <c r="S469" s="57">
        <f>IFERROR(VLOOKUP($A:$A,CS!$A:$AK,29,FALSE),"")</f>
      </c>
      <c r="T469" s="57">
        <f>IFERROR(VLOOKUP($A:$A,CS!$A:$AK,33,FALSE),"")</f>
      </c>
      <c r="U469" s="57">
        <f>IFERROR(VLOOKUP($A:$A,CS!$A:$AK,34,FALSE),"")</f>
      </c>
      <c r="V469" s="57">
        <f>IFERROR(VLOOKUP($A:$A,CS!$A:$AK,35,FALSE),"")</f>
      </c>
      <c r="W469" s="57">
        <f>IFERROR(VLOOKUP($A:$A,CS!$A:$AK,36,FALSE),"")</f>
      </c>
    </row>
    <row r="470" ht="16.5" customHeight="1" spans="1:23" x14ac:dyDescent="0.25">
      <c r="A470" s="71"/>
      <c r="B470" s="57">
        <f>IFERROR(VLOOKUP($A:$A,CS!$A:$AK,3,FALSE),"")</f>
      </c>
      <c r="C470" s="57">
        <f>IFERROR(VLOOKUP($A:$A,CS!$A:$AK,4,FALSE),"")</f>
      </c>
      <c r="D470" s="57">
        <f>IFERROR(VLOOKUP($A:$A,CS!$A:$AK,5,FALSE),"")</f>
      </c>
      <c r="E470" s="57">
        <f>IFERROR(VLOOKUP($A:$A,CS!$A:$AK,7,FALSE),"")</f>
      </c>
      <c r="F470" s="57">
        <f>IFERROR(VLOOKUP($A:$A,CS!$A:$AK,8,FALSE),"")</f>
      </c>
      <c r="G470" s="57">
        <f>IFERROR(VLOOKUP($A:$A,CS!$A:$AK,10,FALSE),"")</f>
      </c>
      <c r="H470" s="57">
        <f>IFERROR(VLOOKUP($A:$A,CS!$A:$AK,14,FALSE),"")</f>
      </c>
      <c r="I470" s="57">
        <f>IFERROR(VLOOKUP($A:$A,CS!$A:$AK,15,FALSE),"")</f>
      </c>
      <c r="J470" s="57">
        <f>IFERROR(VLOOKUP($A:$A,CS!$A:$AK,18,FALSE),"")</f>
      </c>
      <c r="K470" s="57">
        <f>IFERROR(VLOOKUP($A:$A,CS!$A:$AK,19,FALSE),"")</f>
      </c>
      <c r="L470" s="57">
        <f>IFERROR(VLOOKUP($A:$A,CS!$A:$AK,20,FALSE),"")</f>
      </c>
      <c r="M470" s="57">
        <f>IFERROR(VLOOKUP($A:$A,CS!$A:$AK,22,FALSE),"")</f>
      </c>
      <c r="N470" s="57">
        <f>IFERROR(VLOOKUP($A:$A,CS!$A:$AK,19,FALSE),"")</f>
      </c>
      <c r="O470" s="57">
        <f>IFERROR(VLOOKUP($A:$A,CS!$A:$AK,23,FALSE),"")</f>
      </c>
      <c r="P470" s="57">
        <f>IFERROR(VLOOKUP($A:$A,CS!$A:$AK,24,FALSE),"")</f>
      </c>
      <c r="Q470" s="57">
        <f>IFERROR(VLOOKUP($A:$A,CS!$A:$AK,25,FALSE),"")</f>
      </c>
      <c r="R470" s="57">
        <f>IFERROR(VLOOKUP($A:$A,CS!$A:$AK,26,FALSE),"")</f>
      </c>
      <c r="S470" s="57">
        <f>IFERROR(VLOOKUP($A:$A,CS!$A:$AK,29,FALSE),"")</f>
      </c>
      <c r="T470" s="57">
        <f>IFERROR(VLOOKUP($A:$A,CS!$A:$AK,33,FALSE),"")</f>
      </c>
      <c r="U470" s="57">
        <f>IFERROR(VLOOKUP($A:$A,CS!$A:$AK,34,FALSE),"")</f>
      </c>
      <c r="V470" s="57">
        <f>IFERROR(VLOOKUP($A:$A,CS!$A:$AK,35,FALSE),"")</f>
      </c>
      <c r="W470" s="57">
        <f>IFERROR(VLOOKUP($A:$A,CS!$A:$AK,36,FALSE),"")</f>
      </c>
    </row>
    <row r="471" ht="16.5" customHeight="1" spans="1:23" x14ac:dyDescent="0.25">
      <c r="A471" s="71"/>
      <c r="B471" s="57">
        <f>IFERROR(VLOOKUP($A:$A,CS!$A:$AK,3,FALSE),"")</f>
      </c>
      <c r="C471" s="57">
        <f>IFERROR(VLOOKUP($A:$A,CS!$A:$AK,4,FALSE),"")</f>
      </c>
      <c r="D471" s="57">
        <f>IFERROR(VLOOKUP($A:$A,CS!$A:$AK,5,FALSE),"")</f>
      </c>
      <c r="E471" s="57">
        <f>IFERROR(VLOOKUP($A:$A,CS!$A:$AK,7,FALSE),"")</f>
      </c>
      <c r="F471" s="57">
        <f>IFERROR(VLOOKUP($A:$A,CS!$A:$AK,8,FALSE),"")</f>
      </c>
      <c r="G471" s="57">
        <f>IFERROR(VLOOKUP($A:$A,CS!$A:$AK,10,FALSE),"")</f>
      </c>
      <c r="H471" s="57">
        <f>IFERROR(VLOOKUP($A:$A,CS!$A:$AK,14,FALSE),"")</f>
      </c>
      <c r="I471" s="57">
        <f>IFERROR(VLOOKUP($A:$A,CS!$A:$AK,15,FALSE),"")</f>
      </c>
      <c r="J471" s="57">
        <f>IFERROR(VLOOKUP($A:$A,CS!$A:$AK,18,FALSE),"")</f>
      </c>
      <c r="K471" s="57">
        <f>IFERROR(VLOOKUP($A:$A,CS!$A:$AK,19,FALSE),"")</f>
      </c>
      <c r="L471" s="57">
        <f>IFERROR(VLOOKUP($A:$A,CS!$A:$AK,20,FALSE),"")</f>
      </c>
      <c r="M471" s="57">
        <f>IFERROR(VLOOKUP($A:$A,CS!$A:$AK,22,FALSE),"")</f>
      </c>
      <c r="N471" s="57">
        <f>IFERROR(VLOOKUP($A:$A,CS!$A:$AK,19,FALSE),"")</f>
      </c>
      <c r="O471" s="57">
        <f>IFERROR(VLOOKUP($A:$A,CS!$A:$AK,23,FALSE),"")</f>
      </c>
      <c r="P471" s="57">
        <f>IFERROR(VLOOKUP($A:$A,CS!$A:$AK,24,FALSE),"")</f>
      </c>
      <c r="Q471" s="57">
        <f>IFERROR(VLOOKUP($A:$A,CS!$A:$AK,25,FALSE),"")</f>
      </c>
      <c r="R471" s="57">
        <f>IFERROR(VLOOKUP($A:$A,CS!$A:$AK,26,FALSE),"")</f>
      </c>
      <c r="S471" s="57">
        <f>IFERROR(VLOOKUP($A:$A,CS!$A:$AK,29,FALSE),"")</f>
      </c>
      <c r="T471" s="57">
        <f>IFERROR(VLOOKUP($A:$A,CS!$A:$AK,33,FALSE),"")</f>
      </c>
      <c r="U471" s="57">
        <f>IFERROR(VLOOKUP($A:$A,CS!$A:$AK,34,FALSE),"")</f>
      </c>
      <c r="V471" s="57">
        <f>IFERROR(VLOOKUP($A:$A,CS!$A:$AK,35,FALSE),"")</f>
      </c>
      <c r="W471" s="57">
        <f>IFERROR(VLOOKUP($A:$A,CS!$A:$AK,36,FALSE),"")</f>
      </c>
    </row>
    <row r="472" ht="16.5" customHeight="1" spans="1:23" x14ac:dyDescent="0.25">
      <c r="A472" s="71"/>
      <c r="B472" s="57">
        <f>IFERROR(VLOOKUP($A:$A,CS!$A:$AK,3,FALSE),"")</f>
      </c>
      <c r="C472" s="57">
        <f>IFERROR(VLOOKUP($A:$A,CS!$A:$AK,4,FALSE),"")</f>
      </c>
      <c r="D472" s="57">
        <f>IFERROR(VLOOKUP($A:$A,CS!$A:$AK,5,FALSE),"")</f>
      </c>
      <c r="E472" s="57">
        <f>IFERROR(VLOOKUP($A:$A,CS!$A:$AK,7,FALSE),"")</f>
      </c>
      <c r="F472" s="57">
        <f>IFERROR(VLOOKUP($A:$A,CS!$A:$AK,8,FALSE),"")</f>
      </c>
      <c r="G472" s="57">
        <f>IFERROR(VLOOKUP($A:$A,CS!$A:$AK,10,FALSE),"")</f>
      </c>
      <c r="H472" s="57">
        <f>IFERROR(VLOOKUP($A:$A,CS!$A:$AK,14,FALSE),"")</f>
      </c>
      <c r="I472" s="57">
        <f>IFERROR(VLOOKUP($A:$A,CS!$A:$AK,15,FALSE),"")</f>
      </c>
      <c r="J472" s="57">
        <f>IFERROR(VLOOKUP($A:$A,CS!$A:$AK,18,FALSE),"")</f>
      </c>
      <c r="K472" s="57">
        <f>IFERROR(VLOOKUP($A:$A,CS!$A:$AK,19,FALSE),"")</f>
      </c>
      <c r="L472" s="57">
        <f>IFERROR(VLOOKUP($A:$A,CS!$A:$AK,20,FALSE),"")</f>
      </c>
      <c r="M472" s="57">
        <f>IFERROR(VLOOKUP($A:$A,CS!$A:$AK,22,FALSE),"")</f>
      </c>
      <c r="N472" s="57">
        <f>IFERROR(VLOOKUP($A:$A,CS!$A:$AK,19,FALSE),"")</f>
      </c>
      <c r="O472" s="57">
        <f>IFERROR(VLOOKUP($A:$A,CS!$A:$AK,23,FALSE),"")</f>
      </c>
      <c r="P472" s="57">
        <f>IFERROR(VLOOKUP($A:$A,CS!$A:$AK,24,FALSE),"")</f>
      </c>
      <c r="Q472" s="57">
        <f>IFERROR(VLOOKUP($A:$A,CS!$A:$AK,25,FALSE),"")</f>
      </c>
      <c r="R472" s="57">
        <f>IFERROR(VLOOKUP($A:$A,CS!$A:$AK,26,FALSE),"")</f>
      </c>
      <c r="S472" s="57">
        <f>IFERROR(VLOOKUP($A:$A,CS!$A:$AK,29,FALSE),"")</f>
      </c>
      <c r="T472" s="57">
        <f>IFERROR(VLOOKUP($A:$A,CS!$A:$AK,33,FALSE),"")</f>
      </c>
      <c r="U472" s="57">
        <f>IFERROR(VLOOKUP($A:$A,CS!$A:$AK,34,FALSE),"")</f>
      </c>
      <c r="V472" s="57">
        <f>IFERROR(VLOOKUP($A:$A,CS!$A:$AK,35,FALSE),"")</f>
      </c>
      <c r="W472" s="57">
        <f>IFERROR(VLOOKUP($A:$A,CS!$A:$AK,36,FALSE),"")</f>
      </c>
    </row>
    <row r="473" ht="16.5" customHeight="1" spans="1:23" x14ac:dyDescent="0.25">
      <c r="A473" s="71"/>
      <c r="B473" s="57">
        <f>IFERROR(VLOOKUP($A:$A,CS!$A:$AK,3,FALSE),"")</f>
      </c>
      <c r="C473" s="57">
        <f>IFERROR(VLOOKUP($A:$A,CS!$A:$AK,4,FALSE),"")</f>
      </c>
      <c r="D473" s="57">
        <f>IFERROR(VLOOKUP($A:$A,CS!$A:$AK,5,FALSE),"")</f>
      </c>
      <c r="E473" s="57">
        <f>IFERROR(VLOOKUP($A:$A,CS!$A:$AK,7,FALSE),"")</f>
      </c>
      <c r="F473" s="57">
        <f>IFERROR(VLOOKUP($A:$A,CS!$A:$AK,8,FALSE),"")</f>
      </c>
      <c r="G473" s="57">
        <f>IFERROR(VLOOKUP($A:$A,CS!$A:$AK,10,FALSE),"")</f>
      </c>
      <c r="H473" s="57">
        <f>IFERROR(VLOOKUP($A:$A,CS!$A:$AK,14,FALSE),"")</f>
      </c>
      <c r="I473" s="57">
        <f>IFERROR(VLOOKUP($A:$A,CS!$A:$AK,15,FALSE),"")</f>
      </c>
      <c r="J473" s="57">
        <f>IFERROR(VLOOKUP($A:$A,CS!$A:$AK,18,FALSE),"")</f>
      </c>
      <c r="K473" s="57">
        <f>IFERROR(VLOOKUP($A:$A,CS!$A:$AK,19,FALSE),"")</f>
      </c>
      <c r="L473" s="57">
        <f>IFERROR(VLOOKUP($A:$A,CS!$A:$AK,20,FALSE),"")</f>
      </c>
      <c r="M473" s="57">
        <f>IFERROR(VLOOKUP($A:$A,CS!$A:$AK,22,FALSE),"")</f>
      </c>
      <c r="N473" s="57">
        <f>IFERROR(VLOOKUP($A:$A,CS!$A:$AK,19,FALSE),"")</f>
      </c>
      <c r="O473" s="57">
        <f>IFERROR(VLOOKUP($A:$A,CS!$A:$AK,23,FALSE),"")</f>
      </c>
      <c r="P473" s="57">
        <f>IFERROR(VLOOKUP($A:$A,CS!$A:$AK,24,FALSE),"")</f>
      </c>
      <c r="Q473" s="57">
        <f>IFERROR(VLOOKUP($A:$A,CS!$A:$AK,25,FALSE),"")</f>
      </c>
      <c r="R473" s="57">
        <f>IFERROR(VLOOKUP($A:$A,CS!$A:$AK,26,FALSE),"")</f>
      </c>
      <c r="S473" s="57">
        <f>IFERROR(VLOOKUP($A:$A,CS!$A:$AK,29,FALSE),"")</f>
      </c>
      <c r="T473" s="57">
        <f>IFERROR(VLOOKUP($A:$A,CS!$A:$AK,33,FALSE),"")</f>
      </c>
      <c r="U473" s="57">
        <f>IFERROR(VLOOKUP($A:$A,CS!$A:$AK,34,FALSE),"")</f>
      </c>
      <c r="V473" s="57">
        <f>IFERROR(VLOOKUP($A:$A,CS!$A:$AK,35,FALSE),"")</f>
      </c>
      <c r="W473" s="57">
        <f>IFERROR(VLOOKUP($A:$A,CS!$A:$AK,36,FALSE),"")</f>
      </c>
    </row>
    <row r="474" ht="16.5" customHeight="1" spans="1:23" x14ac:dyDescent="0.25">
      <c r="A474" s="71"/>
      <c r="B474" s="57">
        <f>IFERROR(VLOOKUP($A:$A,CS!$A:$AK,3,FALSE),"")</f>
      </c>
      <c r="C474" s="57">
        <f>IFERROR(VLOOKUP($A:$A,CS!$A:$AK,4,FALSE),"")</f>
      </c>
      <c r="D474" s="57">
        <f>IFERROR(VLOOKUP($A:$A,CS!$A:$AK,5,FALSE),"")</f>
      </c>
      <c r="E474" s="57">
        <f>IFERROR(VLOOKUP($A:$A,CS!$A:$AK,7,FALSE),"")</f>
      </c>
      <c r="F474" s="57">
        <f>IFERROR(VLOOKUP($A:$A,CS!$A:$AK,8,FALSE),"")</f>
      </c>
      <c r="G474" s="57">
        <f>IFERROR(VLOOKUP($A:$A,CS!$A:$AK,10,FALSE),"")</f>
      </c>
      <c r="H474" s="57">
        <f>IFERROR(VLOOKUP($A:$A,CS!$A:$AK,14,FALSE),"")</f>
      </c>
      <c r="I474" s="57">
        <f>IFERROR(VLOOKUP($A:$A,CS!$A:$AK,15,FALSE),"")</f>
      </c>
      <c r="J474" s="57">
        <f>IFERROR(VLOOKUP($A:$A,CS!$A:$AK,18,FALSE),"")</f>
      </c>
      <c r="K474" s="57">
        <f>IFERROR(VLOOKUP($A:$A,CS!$A:$AK,19,FALSE),"")</f>
      </c>
      <c r="L474" s="57">
        <f>IFERROR(VLOOKUP($A:$A,CS!$A:$AK,20,FALSE),"")</f>
      </c>
      <c r="M474" s="57">
        <f>IFERROR(VLOOKUP($A:$A,CS!$A:$AK,22,FALSE),"")</f>
      </c>
      <c r="N474" s="57">
        <f>IFERROR(VLOOKUP($A:$A,CS!$A:$AK,19,FALSE),"")</f>
      </c>
      <c r="O474" s="57">
        <f>IFERROR(VLOOKUP($A:$A,CS!$A:$AK,23,FALSE),"")</f>
      </c>
      <c r="P474" s="57">
        <f>IFERROR(VLOOKUP($A:$A,CS!$A:$AK,24,FALSE),"")</f>
      </c>
      <c r="Q474" s="57">
        <f>IFERROR(VLOOKUP($A:$A,CS!$A:$AK,25,FALSE),"")</f>
      </c>
      <c r="R474" s="57">
        <f>IFERROR(VLOOKUP($A:$A,CS!$A:$AK,26,FALSE),"")</f>
      </c>
      <c r="S474" s="57">
        <f>IFERROR(VLOOKUP($A:$A,CS!$A:$AK,29,FALSE),"")</f>
      </c>
      <c r="T474" s="57">
        <f>IFERROR(VLOOKUP($A:$A,CS!$A:$AK,33,FALSE),"")</f>
      </c>
      <c r="U474" s="57">
        <f>IFERROR(VLOOKUP($A:$A,CS!$A:$AK,34,FALSE),"")</f>
      </c>
      <c r="V474" s="57">
        <f>IFERROR(VLOOKUP($A:$A,CS!$A:$AK,35,FALSE),"")</f>
      </c>
      <c r="W474" s="57">
        <f>IFERROR(VLOOKUP($A:$A,CS!$A:$AK,36,FALSE),"")</f>
      </c>
    </row>
    <row r="475" ht="16.5" customHeight="1" spans="1:23" x14ac:dyDescent="0.25">
      <c r="A475" s="71"/>
      <c r="B475" s="57">
        <f>IFERROR(VLOOKUP($A:$A,CS!$A:$AK,3,FALSE),"")</f>
      </c>
      <c r="C475" s="57">
        <f>IFERROR(VLOOKUP($A:$A,CS!$A:$AK,4,FALSE),"")</f>
      </c>
      <c r="D475" s="57">
        <f>IFERROR(VLOOKUP($A:$A,CS!$A:$AK,5,FALSE),"")</f>
      </c>
      <c r="E475" s="57">
        <f>IFERROR(VLOOKUP($A:$A,CS!$A:$AK,7,FALSE),"")</f>
      </c>
      <c r="F475" s="57">
        <f>IFERROR(VLOOKUP($A:$A,CS!$A:$AK,8,FALSE),"")</f>
      </c>
      <c r="G475" s="57">
        <f>IFERROR(VLOOKUP($A:$A,CS!$A:$AK,10,FALSE),"")</f>
      </c>
      <c r="H475" s="57">
        <f>IFERROR(VLOOKUP($A:$A,CS!$A:$AK,14,FALSE),"")</f>
      </c>
      <c r="I475" s="57">
        <f>IFERROR(VLOOKUP($A:$A,CS!$A:$AK,15,FALSE),"")</f>
      </c>
      <c r="J475" s="57">
        <f>IFERROR(VLOOKUP($A:$A,CS!$A:$AK,18,FALSE),"")</f>
      </c>
      <c r="K475" s="57">
        <f>IFERROR(VLOOKUP($A:$A,CS!$A:$AK,19,FALSE),"")</f>
      </c>
      <c r="L475" s="57">
        <f>IFERROR(VLOOKUP($A:$A,CS!$A:$AK,20,FALSE),"")</f>
      </c>
      <c r="M475" s="57">
        <f>IFERROR(VLOOKUP($A:$A,CS!$A:$AK,22,FALSE),"")</f>
      </c>
      <c r="N475" s="57">
        <f>IFERROR(VLOOKUP($A:$A,CS!$A:$AK,19,FALSE),"")</f>
      </c>
      <c r="O475" s="57">
        <f>IFERROR(VLOOKUP($A:$A,CS!$A:$AK,23,FALSE),"")</f>
      </c>
      <c r="P475" s="57">
        <f>IFERROR(VLOOKUP($A:$A,CS!$A:$AK,24,FALSE),"")</f>
      </c>
      <c r="Q475" s="57">
        <f>IFERROR(VLOOKUP($A:$A,CS!$A:$AK,25,FALSE),"")</f>
      </c>
      <c r="R475" s="57">
        <f>IFERROR(VLOOKUP($A:$A,CS!$A:$AK,26,FALSE),"")</f>
      </c>
      <c r="S475" s="57">
        <f>IFERROR(VLOOKUP($A:$A,CS!$A:$AK,29,FALSE),"")</f>
      </c>
      <c r="T475" s="57">
        <f>IFERROR(VLOOKUP($A:$A,CS!$A:$AK,33,FALSE),"")</f>
      </c>
      <c r="U475" s="57">
        <f>IFERROR(VLOOKUP($A:$A,CS!$A:$AK,34,FALSE),"")</f>
      </c>
      <c r="V475" s="57">
        <f>IFERROR(VLOOKUP($A:$A,CS!$A:$AK,35,FALSE),"")</f>
      </c>
      <c r="W475" s="57">
        <f>IFERROR(VLOOKUP($A:$A,CS!$A:$AK,36,FALSE),"")</f>
      </c>
    </row>
    <row r="476" ht="16.5" customHeight="1" spans="1:23" x14ac:dyDescent="0.25">
      <c r="A476" s="71"/>
      <c r="B476" s="57">
        <f>IFERROR(VLOOKUP($A:$A,CS!$A:$AK,3,FALSE),"")</f>
      </c>
      <c r="C476" s="57">
        <f>IFERROR(VLOOKUP($A:$A,CS!$A:$AK,4,FALSE),"")</f>
      </c>
      <c r="D476" s="57">
        <f>IFERROR(VLOOKUP($A:$A,CS!$A:$AK,5,FALSE),"")</f>
      </c>
      <c r="E476" s="57">
        <f>IFERROR(VLOOKUP($A:$A,CS!$A:$AK,7,FALSE),"")</f>
      </c>
      <c r="F476" s="57">
        <f>IFERROR(VLOOKUP($A:$A,CS!$A:$AK,8,FALSE),"")</f>
      </c>
      <c r="G476" s="57">
        <f>IFERROR(VLOOKUP($A:$A,CS!$A:$AK,10,FALSE),"")</f>
      </c>
      <c r="H476" s="57">
        <f>IFERROR(VLOOKUP($A:$A,CS!$A:$AK,14,FALSE),"")</f>
      </c>
      <c r="I476" s="57">
        <f>IFERROR(VLOOKUP($A:$A,CS!$A:$AK,15,FALSE),"")</f>
      </c>
      <c r="J476" s="57">
        <f>IFERROR(VLOOKUP($A:$A,CS!$A:$AK,18,FALSE),"")</f>
      </c>
      <c r="K476" s="57">
        <f>IFERROR(VLOOKUP($A:$A,CS!$A:$AK,19,FALSE),"")</f>
      </c>
      <c r="L476" s="57">
        <f>IFERROR(VLOOKUP($A:$A,CS!$A:$AK,20,FALSE),"")</f>
      </c>
      <c r="M476" s="57">
        <f>IFERROR(VLOOKUP($A:$A,CS!$A:$AK,22,FALSE),"")</f>
      </c>
      <c r="N476" s="57">
        <f>IFERROR(VLOOKUP($A:$A,CS!$A:$AK,19,FALSE),"")</f>
      </c>
      <c r="O476" s="57">
        <f>IFERROR(VLOOKUP($A:$A,CS!$A:$AK,23,FALSE),"")</f>
      </c>
      <c r="P476" s="57">
        <f>IFERROR(VLOOKUP($A:$A,CS!$A:$AK,24,FALSE),"")</f>
      </c>
      <c r="Q476" s="57">
        <f>IFERROR(VLOOKUP($A:$A,CS!$A:$AK,25,FALSE),"")</f>
      </c>
      <c r="R476" s="57">
        <f>IFERROR(VLOOKUP($A:$A,CS!$A:$AK,26,FALSE),"")</f>
      </c>
      <c r="S476" s="57">
        <f>IFERROR(VLOOKUP($A:$A,CS!$A:$AK,29,FALSE),"")</f>
      </c>
      <c r="T476" s="57">
        <f>IFERROR(VLOOKUP($A:$A,CS!$A:$AK,33,FALSE),"")</f>
      </c>
      <c r="U476" s="57">
        <f>IFERROR(VLOOKUP($A:$A,CS!$A:$AK,34,FALSE),"")</f>
      </c>
      <c r="V476" s="57">
        <f>IFERROR(VLOOKUP($A:$A,CS!$A:$AK,35,FALSE),"")</f>
      </c>
      <c r="W476" s="57">
        <f>IFERROR(VLOOKUP($A:$A,CS!$A:$AK,36,FALSE),"")</f>
      </c>
    </row>
    <row r="477" ht="16.5" customHeight="1" spans="1:23" x14ac:dyDescent="0.25">
      <c r="A477" s="71"/>
      <c r="B477" s="57">
        <f>IFERROR(VLOOKUP($A:$A,CS!$A:$AK,3,FALSE),"")</f>
      </c>
      <c r="C477" s="57">
        <f>IFERROR(VLOOKUP($A:$A,CS!$A:$AK,4,FALSE),"")</f>
      </c>
      <c r="D477" s="57">
        <f>IFERROR(VLOOKUP($A:$A,CS!$A:$AK,5,FALSE),"")</f>
      </c>
      <c r="E477" s="57">
        <f>IFERROR(VLOOKUP($A:$A,CS!$A:$AK,7,FALSE),"")</f>
      </c>
      <c r="F477" s="57">
        <f>IFERROR(VLOOKUP($A:$A,CS!$A:$AK,8,FALSE),"")</f>
      </c>
      <c r="G477" s="57">
        <f>IFERROR(VLOOKUP($A:$A,CS!$A:$AK,10,FALSE),"")</f>
      </c>
      <c r="H477" s="57">
        <f>IFERROR(VLOOKUP($A:$A,CS!$A:$AK,14,FALSE),"")</f>
      </c>
      <c r="I477" s="57">
        <f>IFERROR(VLOOKUP($A:$A,CS!$A:$AK,15,FALSE),"")</f>
      </c>
      <c r="J477" s="57">
        <f>IFERROR(VLOOKUP($A:$A,CS!$A:$AK,18,FALSE),"")</f>
      </c>
      <c r="K477" s="57">
        <f>IFERROR(VLOOKUP($A:$A,CS!$A:$AK,19,FALSE),"")</f>
      </c>
      <c r="L477" s="57">
        <f>IFERROR(VLOOKUP($A:$A,CS!$A:$AK,20,FALSE),"")</f>
      </c>
      <c r="M477" s="57">
        <f>IFERROR(VLOOKUP($A:$A,CS!$A:$AK,22,FALSE),"")</f>
      </c>
      <c r="N477" s="57">
        <f>IFERROR(VLOOKUP($A:$A,CS!$A:$AK,19,FALSE),"")</f>
      </c>
      <c r="O477" s="57">
        <f>IFERROR(VLOOKUP($A:$A,CS!$A:$AK,23,FALSE),"")</f>
      </c>
      <c r="P477" s="57">
        <f>IFERROR(VLOOKUP($A:$A,CS!$A:$AK,24,FALSE),"")</f>
      </c>
      <c r="Q477" s="57">
        <f>IFERROR(VLOOKUP($A:$A,CS!$A:$AK,25,FALSE),"")</f>
      </c>
      <c r="R477" s="57">
        <f>IFERROR(VLOOKUP($A:$A,CS!$A:$AK,26,FALSE),"")</f>
      </c>
      <c r="S477" s="57">
        <f>IFERROR(VLOOKUP($A:$A,CS!$A:$AK,29,FALSE),"")</f>
      </c>
      <c r="T477" s="57">
        <f>IFERROR(VLOOKUP($A:$A,CS!$A:$AK,33,FALSE),"")</f>
      </c>
      <c r="U477" s="57">
        <f>IFERROR(VLOOKUP($A:$A,CS!$A:$AK,34,FALSE),"")</f>
      </c>
      <c r="V477" s="57">
        <f>IFERROR(VLOOKUP($A:$A,CS!$A:$AK,35,FALSE),"")</f>
      </c>
      <c r="W477" s="57">
        <f>IFERROR(VLOOKUP($A:$A,CS!$A:$AK,36,FALSE),"")</f>
      </c>
    </row>
    <row r="478" ht="16.5" customHeight="1" spans="1:23" x14ac:dyDescent="0.25">
      <c r="A478" s="71"/>
      <c r="B478" s="57">
        <f>IFERROR(VLOOKUP($A:$A,CS!$A:$AK,3,FALSE),"")</f>
      </c>
      <c r="C478" s="57">
        <f>IFERROR(VLOOKUP($A:$A,CS!$A:$AK,4,FALSE),"")</f>
      </c>
      <c r="D478" s="57">
        <f>IFERROR(VLOOKUP($A:$A,CS!$A:$AK,5,FALSE),"")</f>
      </c>
      <c r="E478" s="57">
        <f>IFERROR(VLOOKUP($A:$A,CS!$A:$AK,7,FALSE),"")</f>
      </c>
      <c r="F478" s="57">
        <f>IFERROR(VLOOKUP($A:$A,CS!$A:$AK,8,FALSE),"")</f>
      </c>
      <c r="G478" s="57">
        <f>IFERROR(VLOOKUP($A:$A,CS!$A:$AK,10,FALSE),"")</f>
      </c>
      <c r="H478" s="57">
        <f>IFERROR(VLOOKUP($A:$A,CS!$A:$AK,14,FALSE),"")</f>
      </c>
      <c r="I478" s="57">
        <f>IFERROR(VLOOKUP($A:$A,CS!$A:$AK,15,FALSE),"")</f>
      </c>
      <c r="J478" s="57">
        <f>IFERROR(VLOOKUP($A:$A,CS!$A:$AK,18,FALSE),"")</f>
      </c>
      <c r="K478" s="57">
        <f>IFERROR(VLOOKUP($A:$A,CS!$A:$AK,19,FALSE),"")</f>
      </c>
      <c r="L478" s="57">
        <f>IFERROR(VLOOKUP($A:$A,CS!$A:$AK,20,FALSE),"")</f>
      </c>
      <c r="M478" s="57">
        <f>IFERROR(VLOOKUP($A:$A,CS!$A:$AK,22,FALSE),"")</f>
      </c>
      <c r="N478" s="57">
        <f>IFERROR(VLOOKUP($A:$A,CS!$A:$AK,19,FALSE),"")</f>
      </c>
      <c r="O478" s="57">
        <f>IFERROR(VLOOKUP($A:$A,CS!$A:$AK,23,FALSE),"")</f>
      </c>
      <c r="P478" s="57">
        <f>IFERROR(VLOOKUP($A:$A,CS!$A:$AK,24,FALSE),"")</f>
      </c>
      <c r="Q478" s="57">
        <f>IFERROR(VLOOKUP($A:$A,CS!$A:$AK,25,FALSE),"")</f>
      </c>
      <c r="R478" s="57">
        <f>IFERROR(VLOOKUP($A:$A,CS!$A:$AK,26,FALSE),"")</f>
      </c>
      <c r="S478" s="57">
        <f>IFERROR(VLOOKUP($A:$A,CS!$A:$AK,29,FALSE),"")</f>
      </c>
      <c r="T478" s="57">
        <f>IFERROR(VLOOKUP($A:$A,CS!$A:$AK,33,FALSE),"")</f>
      </c>
      <c r="U478" s="57">
        <f>IFERROR(VLOOKUP($A:$A,CS!$A:$AK,34,FALSE),"")</f>
      </c>
      <c r="V478" s="57">
        <f>IFERROR(VLOOKUP($A:$A,CS!$A:$AK,35,FALSE),"")</f>
      </c>
      <c r="W478" s="57">
        <f>IFERROR(VLOOKUP($A:$A,CS!$A:$AK,36,FALSE),"")</f>
      </c>
    </row>
    <row r="479" ht="16.5" customHeight="1" spans="1:23" x14ac:dyDescent="0.25">
      <c r="A479" s="71"/>
      <c r="B479" s="57">
        <f>IFERROR(VLOOKUP($A:$A,CS!$A:$AK,3,FALSE),"")</f>
      </c>
      <c r="C479" s="57">
        <f>IFERROR(VLOOKUP($A:$A,CS!$A:$AK,4,FALSE),"")</f>
      </c>
      <c r="D479" s="57">
        <f>IFERROR(VLOOKUP($A:$A,CS!$A:$AK,5,FALSE),"")</f>
      </c>
      <c r="E479" s="57">
        <f>IFERROR(VLOOKUP($A:$A,CS!$A:$AK,7,FALSE),"")</f>
      </c>
      <c r="F479" s="57">
        <f>IFERROR(VLOOKUP($A:$A,CS!$A:$AK,8,FALSE),"")</f>
      </c>
      <c r="G479" s="57">
        <f>IFERROR(VLOOKUP($A:$A,CS!$A:$AK,10,FALSE),"")</f>
      </c>
      <c r="H479" s="57">
        <f>IFERROR(VLOOKUP($A:$A,CS!$A:$AK,14,FALSE),"")</f>
      </c>
      <c r="I479" s="57">
        <f>IFERROR(VLOOKUP($A:$A,CS!$A:$AK,15,FALSE),"")</f>
      </c>
      <c r="J479" s="57">
        <f>IFERROR(VLOOKUP($A:$A,CS!$A:$AK,18,FALSE),"")</f>
      </c>
      <c r="K479" s="57">
        <f>IFERROR(VLOOKUP($A:$A,CS!$A:$AK,19,FALSE),"")</f>
      </c>
      <c r="L479" s="57">
        <f>IFERROR(VLOOKUP($A:$A,CS!$A:$AK,20,FALSE),"")</f>
      </c>
      <c r="M479" s="57">
        <f>IFERROR(VLOOKUP($A:$A,CS!$A:$AK,22,FALSE),"")</f>
      </c>
      <c r="N479" s="57">
        <f>IFERROR(VLOOKUP($A:$A,CS!$A:$AK,19,FALSE),"")</f>
      </c>
      <c r="O479" s="57">
        <f>IFERROR(VLOOKUP($A:$A,CS!$A:$AK,23,FALSE),"")</f>
      </c>
      <c r="P479" s="57">
        <f>IFERROR(VLOOKUP($A:$A,CS!$A:$AK,24,FALSE),"")</f>
      </c>
      <c r="Q479" s="57">
        <f>IFERROR(VLOOKUP($A:$A,CS!$A:$AK,25,FALSE),"")</f>
      </c>
      <c r="R479" s="57">
        <f>IFERROR(VLOOKUP($A:$A,CS!$A:$AK,26,FALSE),"")</f>
      </c>
      <c r="S479" s="57">
        <f>IFERROR(VLOOKUP($A:$A,CS!$A:$AK,29,FALSE),"")</f>
      </c>
      <c r="T479" s="57">
        <f>IFERROR(VLOOKUP($A:$A,CS!$A:$AK,33,FALSE),"")</f>
      </c>
      <c r="U479" s="57">
        <f>IFERROR(VLOOKUP($A:$A,CS!$A:$AK,34,FALSE),"")</f>
      </c>
      <c r="V479" s="57">
        <f>IFERROR(VLOOKUP($A:$A,CS!$A:$AK,35,FALSE),"")</f>
      </c>
      <c r="W479" s="57">
        <f>IFERROR(VLOOKUP($A:$A,CS!$A:$AK,36,FALSE),"")</f>
      </c>
    </row>
    <row r="480" ht="16.5" customHeight="1" spans="1:23" x14ac:dyDescent="0.25">
      <c r="A480" s="71"/>
      <c r="B480" s="57">
        <f>IFERROR(VLOOKUP($A:$A,CS!$A:$AK,3,FALSE),"")</f>
      </c>
      <c r="C480" s="57">
        <f>IFERROR(VLOOKUP($A:$A,CS!$A:$AK,4,FALSE),"")</f>
      </c>
      <c r="D480" s="57">
        <f>IFERROR(VLOOKUP($A:$A,CS!$A:$AK,5,FALSE),"")</f>
      </c>
      <c r="E480" s="57">
        <f>IFERROR(VLOOKUP($A:$A,CS!$A:$AK,7,FALSE),"")</f>
      </c>
      <c r="F480" s="57">
        <f>IFERROR(VLOOKUP($A:$A,CS!$A:$AK,8,FALSE),"")</f>
      </c>
      <c r="G480" s="57">
        <f>IFERROR(VLOOKUP($A:$A,CS!$A:$AK,10,FALSE),"")</f>
      </c>
      <c r="H480" s="57">
        <f>IFERROR(VLOOKUP($A:$A,CS!$A:$AK,14,FALSE),"")</f>
      </c>
      <c r="I480" s="57">
        <f>IFERROR(VLOOKUP($A:$A,CS!$A:$AK,15,FALSE),"")</f>
      </c>
      <c r="J480" s="57">
        <f>IFERROR(VLOOKUP($A:$A,CS!$A:$AK,18,FALSE),"")</f>
      </c>
      <c r="K480" s="57">
        <f>IFERROR(VLOOKUP($A:$A,CS!$A:$AK,19,FALSE),"")</f>
      </c>
      <c r="L480" s="57">
        <f>IFERROR(VLOOKUP($A:$A,CS!$A:$AK,20,FALSE),"")</f>
      </c>
      <c r="M480" s="57">
        <f>IFERROR(VLOOKUP($A:$A,CS!$A:$AK,22,FALSE),"")</f>
      </c>
      <c r="N480" s="57">
        <f>IFERROR(VLOOKUP($A:$A,CS!$A:$AK,19,FALSE),"")</f>
      </c>
      <c r="O480" s="57">
        <f>IFERROR(VLOOKUP($A:$A,CS!$A:$AK,23,FALSE),"")</f>
      </c>
      <c r="P480" s="57">
        <f>IFERROR(VLOOKUP($A:$A,CS!$A:$AK,24,FALSE),"")</f>
      </c>
      <c r="Q480" s="57">
        <f>IFERROR(VLOOKUP($A:$A,CS!$A:$AK,25,FALSE),"")</f>
      </c>
      <c r="R480" s="57">
        <f>IFERROR(VLOOKUP($A:$A,CS!$A:$AK,26,FALSE),"")</f>
      </c>
      <c r="S480" s="57">
        <f>IFERROR(VLOOKUP($A:$A,CS!$A:$AK,29,FALSE),"")</f>
      </c>
      <c r="T480" s="57">
        <f>IFERROR(VLOOKUP($A:$A,CS!$A:$AK,33,FALSE),"")</f>
      </c>
      <c r="U480" s="57">
        <f>IFERROR(VLOOKUP($A:$A,CS!$A:$AK,34,FALSE),"")</f>
      </c>
      <c r="V480" s="57">
        <f>IFERROR(VLOOKUP($A:$A,CS!$A:$AK,35,FALSE),"")</f>
      </c>
      <c r="W480" s="57">
        <f>IFERROR(VLOOKUP($A:$A,CS!$A:$AK,36,FALSE),"")</f>
      </c>
    </row>
    <row r="481" ht="16.5" customHeight="1" spans="1:23" x14ac:dyDescent="0.25">
      <c r="A481" s="71"/>
      <c r="B481" s="57">
        <f>IFERROR(VLOOKUP($A:$A,CS!$A:$AK,3,FALSE),"")</f>
      </c>
      <c r="C481" s="57">
        <f>IFERROR(VLOOKUP($A:$A,CS!$A:$AK,4,FALSE),"")</f>
      </c>
      <c r="D481" s="57">
        <f>IFERROR(VLOOKUP($A:$A,CS!$A:$AK,5,FALSE),"")</f>
      </c>
      <c r="E481" s="57">
        <f>IFERROR(VLOOKUP($A:$A,CS!$A:$AK,7,FALSE),"")</f>
      </c>
      <c r="F481" s="57">
        <f>IFERROR(VLOOKUP($A:$A,CS!$A:$AK,8,FALSE),"")</f>
      </c>
      <c r="G481" s="57">
        <f>IFERROR(VLOOKUP($A:$A,CS!$A:$AK,10,FALSE),"")</f>
      </c>
      <c r="H481" s="57">
        <f>IFERROR(VLOOKUP($A:$A,CS!$A:$AK,14,FALSE),"")</f>
      </c>
      <c r="I481" s="57">
        <f>IFERROR(VLOOKUP($A:$A,CS!$A:$AK,15,FALSE),"")</f>
      </c>
      <c r="J481" s="57">
        <f>IFERROR(VLOOKUP($A:$A,CS!$A:$AK,18,FALSE),"")</f>
      </c>
      <c r="K481" s="57">
        <f>IFERROR(VLOOKUP($A:$A,CS!$A:$AK,19,FALSE),"")</f>
      </c>
      <c r="L481" s="57">
        <f>IFERROR(VLOOKUP($A:$A,CS!$A:$AK,20,FALSE),"")</f>
      </c>
      <c r="M481" s="57">
        <f>IFERROR(VLOOKUP($A:$A,CS!$A:$AK,22,FALSE),"")</f>
      </c>
      <c r="N481" s="57">
        <f>IFERROR(VLOOKUP($A:$A,CS!$A:$AK,19,FALSE),"")</f>
      </c>
      <c r="O481" s="57">
        <f>IFERROR(VLOOKUP($A:$A,CS!$A:$AK,23,FALSE),"")</f>
      </c>
      <c r="P481" s="57">
        <f>IFERROR(VLOOKUP($A:$A,CS!$A:$AK,24,FALSE),"")</f>
      </c>
      <c r="Q481" s="57">
        <f>IFERROR(VLOOKUP($A:$A,CS!$A:$AK,25,FALSE),"")</f>
      </c>
      <c r="R481" s="57">
        <f>IFERROR(VLOOKUP($A:$A,CS!$A:$AK,26,FALSE),"")</f>
      </c>
      <c r="S481" s="57">
        <f>IFERROR(VLOOKUP($A:$A,CS!$A:$AK,29,FALSE),"")</f>
      </c>
      <c r="T481" s="57">
        <f>IFERROR(VLOOKUP($A:$A,CS!$A:$AK,33,FALSE),"")</f>
      </c>
      <c r="U481" s="57">
        <f>IFERROR(VLOOKUP($A:$A,CS!$A:$AK,34,FALSE),"")</f>
      </c>
      <c r="V481" s="57">
        <f>IFERROR(VLOOKUP($A:$A,CS!$A:$AK,35,FALSE),"")</f>
      </c>
      <c r="W481" s="57">
        <f>IFERROR(VLOOKUP($A:$A,CS!$A:$AK,36,FALSE),"")</f>
      </c>
    </row>
    <row r="482" ht="16.5" customHeight="1" spans="1:23" x14ac:dyDescent="0.25">
      <c r="A482" s="71"/>
      <c r="B482" s="57">
        <f>IFERROR(VLOOKUP($A:$A,CS!$A:$AK,3,FALSE),"")</f>
      </c>
      <c r="C482" s="57">
        <f>IFERROR(VLOOKUP($A:$A,CS!$A:$AK,4,FALSE),"")</f>
      </c>
      <c r="D482" s="57">
        <f>IFERROR(VLOOKUP($A:$A,CS!$A:$AK,5,FALSE),"")</f>
      </c>
      <c r="E482" s="57">
        <f>IFERROR(VLOOKUP($A:$A,CS!$A:$AK,7,FALSE),"")</f>
      </c>
      <c r="F482" s="57">
        <f>IFERROR(VLOOKUP($A:$A,CS!$A:$AK,8,FALSE),"")</f>
      </c>
      <c r="G482" s="57">
        <f>IFERROR(VLOOKUP($A:$A,CS!$A:$AK,10,FALSE),"")</f>
      </c>
      <c r="H482" s="57">
        <f>IFERROR(VLOOKUP($A:$A,CS!$A:$AK,14,FALSE),"")</f>
      </c>
      <c r="I482" s="57">
        <f>IFERROR(VLOOKUP($A:$A,CS!$A:$AK,15,FALSE),"")</f>
      </c>
      <c r="J482" s="57">
        <f>IFERROR(VLOOKUP($A:$A,CS!$A:$AK,18,FALSE),"")</f>
      </c>
      <c r="K482" s="57">
        <f>IFERROR(VLOOKUP($A:$A,CS!$A:$AK,19,FALSE),"")</f>
      </c>
      <c r="L482" s="57">
        <f>IFERROR(VLOOKUP($A:$A,CS!$A:$AK,20,FALSE),"")</f>
      </c>
      <c r="M482" s="57">
        <f>IFERROR(VLOOKUP($A:$A,CS!$A:$AK,22,FALSE),"")</f>
      </c>
      <c r="N482" s="57">
        <f>IFERROR(VLOOKUP($A:$A,CS!$A:$AK,19,FALSE),"")</f>
      </c>
      <c r="O482" s="57">
        <f>IFERROR(VLOOKUP($A:$A,CS!$A:$AK,23,FALSE),"")</f>
      </c>
      <c r="P482" s="57">
        <f>IFERROR(VLOOKUP($A:$A,CS!$A:$AK,24,FALSE),"")</f>
      </c>
      <c r="Q482" s="57">
        <f>IFERROR(VLOOKUP($A:$A,CS!$A:$AK,25,FALSE),"")</f>
      </c>
      <c r="R482" s="57">
        <f>IFERROR(VLOOKUP($A:$A,CS!$A:$AK,26,FALSE),"")</f>
      </c>
      <c r="S482" s="57">
        <f>IFERROR(VLOOKUP($A:$A,CS!$A:$AK,29,FALSE),"")</f>
      </c>
      <c r="T482" s="57">
        <f>IFERROR(VLOOKUP($A:$A,CS!$A:$AK,33,FALSE),"")</f>
      </c>
      <c r="U482" s="57">
        <f>IFERROR(VLOOKUP($A:$A,CS!$A:$AK,34,FALSE),"")</f>
      </c>
      <c r="V482" s="57">
        <f>IFERROR(VLOOKUP($A:$A,CS!$A:$AK,35,FALSE),"")</f>
      </c>
      <c r="W482" s="57">
        <f>IFERROR(VLOOKUP($A:$A,CS!$A:$AK,36,FALSE),"")</f>
      </c>
    </row>
    <row r="483" ht="16.5" customHeight="1" spans="1:23" x14ac:dyDescent="0.25">
      <c r="A483" s="71"/>
      <c r="B483" s="57">
        <f>IFERROR(VLOOKUP($A:$A,CS!$A:$AK,3,FALSE),"")</f>
      </c>
      <c r="C483" s="57">
        <f>IFERROR(VLOOKUP($A:$A,CS!$A:$AK,4,FALSE),"")</f>
      </c>
      <c r="D483" s="57">
        <f>IFERROR(VLOOKUP($A:$A,CS!$A:$AK,5,FALSE),"")</f>
      </c>
      <c r="E483" s="57">
        <f>IFERROR(VLOOKUP($A:$A,CS!$A:$AK,7,FALSE),"")</f>
      </c>
      <c r="F483" s="57">
        <f>IFERROR(VLOOKUP($A:$A,CS!$A:$AK,8,FALSE),"")</f>
      </c>
      <c r="G483" s="57">
        <f>IFERROR(VLOOKUP($A:$A,CS!$A:$AK,10,FALSE),"")</f>
      </c>
      <c r="H483" s="57">
        <f>IFERROR(VLOOKUP($A:$A,CS!$A:$AK,14,FALSE),"")</f>
      </c>
      <c r="I483" s="57">
        <f>IFERROR(VLOOKUP($A:$A,CS!$A:$AK,15,FALSE),"")</f>
      </c>
      <c r="J483" s="57">
        <f>IFERROR(VLOOKUP($A:$A,CS!$A:$AK,18,FALSE),"")</f>
      </c>
      <c r="K483" s="57">
        <f>IFERROR(VLOOKUP($A:$A,CS!$A:$AK,19,FALSE),"")</f>
      </c>
      <c r="L483" s="57">
        <f>IFERROR(VLOOKUP($A:$A,CS!$A:$AK,20,FALSE),"")</f>
      </c>
      <c r="M483" s="57">
        <f>IFERROR(VLOOKUP($A:$A,CS!$A:$AK,22,FALSE),"")</f>
      </c>
      <c r="N483" s="57">
        <f>IFERROR(VLOOKUP($A:$A,CS!$A:$AK,19,FALSE),"")</f>
      </c>
      <c r="O483" s="57">
        <f>IFERROR(VLOOKUP($A:$A,CS!$A:$AK,23,FALSE),"")</f>
      </c>
      <c r="P483" s="57">
        <f>IFERROR(VLOOKUP($A:$A,CS!$A:$AK,24,FALSE),"")</f>
      </c>
      <c r="Q483" s="57">
        <f>IFERROR(VLOOKUP($A:$A,CS!$A:$AK,25,FALSE),"")</f>
      </c>
      <c r="R483" s="57">
        <f>IFERROR(VLOOKUP($A:$A,CS!$A:$AK,26,FALSE),"")</f>
      </c>
      <c r="S483" s="57">
        <f>IFERROR(VLOOKUP($A:$A,CS!$A:$AK,29,FALSE),"")</f>
      </c>
      <c r="T483" s="57">
        <f>IFERROR(VLOOKUP($A:$A,CS!$A:$AK,33,FALSE),"")</f>
      </c>
      <c r="U483" s="57">
        <f>IFERROR(VLOOKUP($A:$A,CS!$A:$AK,34,FALSE),"")</f>
      </c>
      <c r="V483" s="57">
        <f>IFERROR(VLOOKUP($A:$A,CS!$A:$AK,35,FALSE),"")</f>
      </c>
      <c r="W483" s="57">
        <f>IFERROR(VLOOKUP($A:$A,CS!$A:$AK,36,FALSE),"")</f>
      </c>
    </row>
    <row r="484" ht="16.5" customHeight="1" spans="1:23" x14ac:dyDescent="0.25">
      <c r="A484" s="71"/>
      <c r="B484" s="57">
        <f>IFERROR(VLOOKUP($A:$A,CS!$A:$AK,3,FALSE),"")</f>
      </c>
      <c r="C484" s="57">
        <f>IFERROR(VLOOKUP($A:$A,CS!$A:$AK,4,FALSE),"")</f>
      </c>
      <c r="D484" s="57">
        <f>IFERROR(VLOOKUP($A:$A,CS!$A:$AK,5,FALSE),"")</f>
      </c>
      <c r="E484" s="57">
        <f>IFERROR(VLOOKUP($A:$A,CS!$A:$AK,7,FALSE),"")</f>
      </c>
      <c r="F484" s="57">
        <f>IFERROR(VLOOKUP($A:$A,CS!$A:$AK,8,FALSE),"")</f>
      </c>
      <c r="G484" s="57">
        <f>IFERROR(VLOOKUP($A:$A,CS!$A:$AK,10,FALSE),"")</f>
      </c>
      <c r="H484" s="57">
        <f>IFERROR(VLOOKUP($A:$A,CS!$A:$AK,14,FALSE),"")</f>
      </c>
      <c r="I484" s="57">
        <f>IFERROR(VLOOKUP($A:$A,CS!$A:$AK,15,FALSE),"")</f>
      </c>
      <c r="J484" s="57">
        <f>IFERROR(VLOOKUP($A:$A,CS!$A:$AK,18,FALSE),"")</f>
      </c>
      <c r="K484" s="57">
        <f>IFERROR(VLOOKUP($A:$A,CS!$A:$AK,19,FALSE),"")</f>
      </c>
      <c r="L484" s="57">
        <f>IFERROR(VLOOKUP($A:$A,CS!$A:$AK,20,FALSE),"")</f>
      </c>
      <c r="M484" s="57">
        <f>IFERROR(VLOOKUP($A:$A,CS!$A:$AK,22,FALSE),"")</f>
      </c>
      <c r="N484" s="57">
        <f>IFERROR(VLOOKUP($A:$A,CS!$A:$AK,19,FALSE),"")</f>
      </c>
      <c r="O484" s="57">
        <f>IFERROR(VLOOKUP($A:$A,CS!$A:$AK,23,FALSE),"")</f>
      </c>
      <c r="P484" s="57">
        <f>IFERROR(VLOOKUP($A:$A,CS!$A:$AK,24,FALSE),"")</f>
      </c>
      <c r="Q484" s="57">
        <f>IFERROR(VLOOKUP($A:$A,CS!$A:$AK,25,FALSE),"")</f>
      </c>
      <c r="R484" s="57">
        <f>IFERROR(VLOOKUP($A:$A,CS!$A:$AK,26,FALSE),"")</f>
      </c>
      <c r="S484" s="57">
        <f>IFERROR(VLOOKUP($A:$A,CS!$A:$AK,29,FALSE),"")</f>
      </c>
      <c r="T484" s="57">
        <f>IFERROR(VLOOKUP($A:$A,CS!$A:$AK,33,FALSE),"")</f>
      </c>
      <c r="U484" s="57">
        <f>IFERROR(VLOOKUP($A:$A,CS!$A:$AK,34,FALSE),"")</f>
      </c>
      <c r="V484" s="57">
        <f>IFERROR(VLOOKUP($A:$A,CS!$A:$AK,35,FALSE),"")</f>
      </c>
      <c r="W484" s="57">
        <f>IFERROR(VLOOKUP($A:$A,CS!$A:$AK,36,FALSE),"")</f>
      </c>
    </row>
    <row r="485" ht="16.5" customHeight="1" spans="1:23" x14ac:dyDescent="0.25">
      <c r="A485" s="71"/>
      <c r="B485" s="57">
        <f>IFERROR(VLOOKUP($A:$A,CS!$A:$AK,3,FALSE),"")</f>
      </c>
      <c r="C485" s="57">
        <f>IFERROR(VLOOKUP($A:$A,CS!$A:$AK,4,FALSE),"")</f>
      </c>
      <c r="D485" s="57">
        <f>IFERROR(VLOOKUP($A:$A,CS!$A:$AK,5,FALSE),"")</f>
      </c>
      <c r="E485" s="57">
        <f>IFERROR(VLOOKUP($A:$A,CS!$A:$AK,7,FALSE),"")</f>
      </c>
      <c r="F485" s="57">
        <f>IFERROR(VLOOKUP($A:$A,CS!$A:$AK,8,FALSE),"")</f>
      </c>
      <c r="G485" s="57">
        <f>IFERROR(VLOOKUP($A:$A,CS!$A:$AK,10,FALSE),"")</f>
      </c>
      <c r="H485" s="57">
        <f>IFERROR(VLOOKUP($A:$A,CS!$A:$AK,14,FALSE),"")</f>
      </c>
      <c r="I485" s="57">
        <f>IFERROR(VLOOKUP($A:$A,CS!$A:$AK,15,FALSE),"")</f>
      </c>
      <c r="J485" s="57">
        <f>IFERROR(VLOOKUP($A:$A,CS!$A:$AK,18,FALSE),"")</f>
      </c>
      <c r="K485" s="57">
        <f>IFERROR(VLOOKUP($A:$A,CS!$A:$AK,19,FALSE),"")</f>
      </c>
      <c r="L485" s="57">
        <f>IFERROR(VLOOKUP($A:$A,CS!$A:$AK,20,FALSE),"")</f>
      </c>
      <c r="M485" s="57">
        <f>IFERROR(VLOOKUP($A:$A,CS!$A:$AK,22,FALSE),"")</f>
      </c>
      <c r="N485" s="57">
        <f>IFERROR(VLOOKUP($A:$A,CS!$A:$AK,19,FALSE),"")</f>
      </c>
      <c r="O485" s="57">
        <f>IFERROR(VLOOKUP($A:$A,CS!$A:$AK,23,FALSE),"")</f>
      </c>
      <c r="P485" s="57">
        <f>IFERROR(VLOOKUP($A:$A,CS!$A:$AK,24,FALSE),"")</f>
      </c>
      <c r="Q485" s="57">
        <f>IFERROR(VLOOKUP($A:$A,CS!$A:$AK,25,FALSE),"")</f>
      </c>
      <c r="R485" s="57">
        <f>IFERROR(VLOOKUP($A:$A,CS!$A:$AK,26,FALSE),"")</f>
      </c>
      <c r="S485" s="57">
        <f>IFERROR(VLOOKUP($A:$A,CS!$A:$AK,29,FALSE),"")</f>
      </c>
      <c r="T485" s="57">
        <f>IFERROR(VLOOKUP($A:$A,CS!$A:$AK,33,FALSE),"")</f>
      </c>
      <c r="U485" s="57">
        <f>IFERROR(VLOOKUP($A:$A,CS!$A:$AK,34,FALSE),"")</f>
      </c>
      <c r="V485" s="57">
        <f>IFERROR(VLOOKUP($A:$A,CS!$A:$AK,35,FALSE),"")</f>
      </c>
      <c r="W485" s="57">
        <f>IFERROR(VLOOKUP($A:$A,CS!$A:$AK,36,FALSE),"")</f>
      </c>
    </row>
    <row r="486" ht="16.5" customHeight="1" spans="1:23" x14ac:dyDescent="0.25">
      <c r="A486" s="71"/>
      <c r="B486" s="57">
        <f>IFERROR(VLOOKUP($A:$A,CS!$A:$AK,3,FALSE),"")</f>
      </c>
      <c r="C486" s="57">
        <f>IFERROR(VLOOKUP($A:$A,CS!$A:$AK,4,FALSE),"")</f>
      </c>
      <c r="D486" s="57">
        <f>IFERROR(VLOOKUP($A:$A,CS!$A:$AK,5,FALSE),"")</f>
      </c>
      <c r="E486" s="57">
        <f>IFERROR(VLOOKUP($A:$A,CS!$A:$AK,7,FALSE),"")</f>
      </c>
      <c r="F486" s="57">
        <f>IFERROR(VLOOKUP($A:$A,CS!$A:$AK,8,FALSE),"")</f>
      </c>
      <c r="G486" s="57">
        <f>IFERROR(VLOOKUP($A:$A,CS!$A:$AK,10,FALSE),"")</f>
      </c>
      <c r="H486" s="57">
        <f>IFERROR(VLOOKUP($A:$A,CS!$A:$AK,14,FALSE),"")</f>
      </c>
      <c r="I486" s="57">
        <f>IFERROR(VLOOKUP($A:$A,CS!$A:$AK,15,FALSE),"")</f>
      </c>
      <c r="J486" s="57">
        <f>IFERROR(VLOOKUP($A:$A,CS!$A:$AK,18,FALSE),"")</f>
      </c>
      <c r="K486" s="57">
        <f>IFERROR(VLOOKUP($A:$A,CS!$A:$AK,19,FALSE),"")</f>
      </c>
      <c r="L486" s="57">
        <f>IFERROR(VLOOKUP($A:$A,CS!$A:$AK,20,FALSE),"")</f>
      </c>
      <c r="M486" s="57">
        <f>IFERROR(VLOOKUP($A:$A,CS!$A:$AK,22,FALSE),"")</f>
      </c>
      <c r="N486" s="57">
        <f>IFERROR(VLOOKUP($A:$A,CS!$A:$AK,19,FALSE),"")</f>
      </c>
      <c r="O486" s="57">
        <f>IFERROR(VLOOKUP($A:$A,CS!$A:$AK,23,FALSE),"")</f>
      </c>
      <c r="P486" s="57">
        <f>IFERROR(VLOOKUP($A:$A,CS!$A:$AK,24,FALSE),"")</f>
      </c>
      <c r="Q486" s="57">
        <f>IFERROR(VLOOKUP($A:$A,CS!$A:$AK,25,FALSE),"")</f>
      </c>
      <c r="R486" s="57">
        <f>IFERROR(VLOOKUP($A:$A,CS!$A:$AK,26,FALSE),"")</f>
      </c>
      <c r="S486" s="57">
        <f>IFERROR(VLOOKUP($A:$A,CS!$A:$AK,29,FALSE),"")</f>
      </c>
      <c r="T486" s="57">
        <f>IFERROR(VLOOKUP($A:$A,CS!$A:$AK,33,FALSE),"")</f>
      </c>
      <c r="U486" s="57">
        <f>IFERROR(VLOOKUP($A:$A,CS!$A:$AK,34,FALSE),"")</f>
      </c>
      <c r="V486" s="57">
        <f>IFERROR(VLOOKUP($A:$A,CS!$A:$AK,35,FALSE),"")</f>
      </c>
      <c r="W486" s="57">
        <f>IFERROR(VLOOKUP($A:$A,CS!$A:$AK,36,FALSE),"")</f>
      </c>
    </row>
    <row r="487" ht="16.5" customHeight="1" spans="1:23" x14ac:dyDescent="0.25">
      <c r="A487" s="71"/>
      <c r="B487" s="57">
        <f>IFERROR(VLOOKUP($A:$A,CS!$A:$AK,3,FALSE),"")</f>
      </c>
      <c r="C487" s="57">
        <f>IFERROR(VLOOKUP($A:$A,CS!$A:$AK,4,FALSE),"")</f>
      </c>
      <c r="D487" s="57">
        <f>IFERROR(VLOOKUP($A:$A,CS!$A:$AK,5,FALSE),"")</f>
      </c>
      <c r="E487" s="57">
        <f>IFERROR(VLOOKUP($A:$A,CS!$A:$AK,7,FALSE),"")</f>
      </c>
      <c r="F487" s="57">
        <f>IFERROR(VLOOKUP($A:$A,CS!$A:$AK,8,FALSE),"")</f>
      </c>
      <c r="G487" s="57">
        <f>IFERROR(VLOOKUP($A:$A,CS!$A:$AK,10,FALSE),"")</f>
      </c>
      <c r="H487" s="57">
        <f>IFERROR(VLOOKUP($A:$A,CS!$A:$AK,14,FALSE),"")</f>
      </c>
      <c r="I487" s="57">
        <f>IFERROR(VLOOKUP($A:$A,CS!$A:$AK,15,FALSE),"")</f>
      </c>
      <c r="J487" s="57">
        <f>IFERROR(VLOOKUP($A:$A,CS!$A:$AK,18,FALSE),"")</f>
      </c>
      <c r="K487" s="57">
        <f>IFERROR(VLOOKUP($A:$A,CS!$A:$AK,19,FALSE),"")</f>
      </c>
      <c r="L487" s="57">
        <f>IFERROR(VLOOKUP($A:$A,CS!$A:$AK,20,FALSE),"")</f>
      </c>
      <c r="M487" s="57">
        <f>IFERROR(VLOOKUP($A:$A,CS!$A:$AK,22,FALSE),"")</f>
      </c>
      <c r="N487" s="57">
        <f>IFERROR(VLOOKUP($A:$A,CS!$A:$AK,19,FALSE),"")</f>
      </c>
      <c r="O487" s="57">
        <f>IFERROR(VLOOKUP($A:$A,CS!$A:$AK,23,FALSE),"")</f>
      </c>
      <c r="P487" s="57">
        <f>IFERROR(VLOOKUP($A:$A,CS!$A:$AK,24,FALSE),"")</f>
      </c>
      <c r="Q487" s="57">
        <f>IFERROR(VLOOKUP($A:$A,CS!$A:$AK,25,FALSE),"")</f>
      </c>
      <c r="R487" s="57">
        <f>IFERROR(VLOOKUP($A:$A,CS!$A:$AK,26,FALSE),"")</f>
      </c>
      <c r="S487" s="57">
        <f>IFERROR(VLOOKUP($A:$A,CS!$A:$AK,29,FALSE),"")</f>
      </c>
      <c r="T487" s="57">
        <f>IFERROR(VLOOKUP($A:$A,CS!$A:$AK,33,FALSE),"")</f>
      </c>
      <c r="U487" s="57">
        <f>IFERROR(VLOOKUP($A:$A,CS!$A:$AK,34,FALSE),"")</f>
      </c>
      <c r="V487" s="57">
        <f>IFERROR(VLOOKUP($A:$A,CS!$A:$AK,35,FALSE),"")</f>
      </c>
      <c r="W487" s="57">
        <f>IFERROR(VLOOKUP($A:$A,CS!$A:$AK,36,FALSE),"")</f>
      </c>
    </row>
    <row r="488" ht="16.5" customHeight="1" spans="1:23" x14ac:dyDescent="0.25">
      <c r="A488" s="71"/>
      <c r="B488" s="57">
        <f>IFERROR(VLOOKUP($A:$A,CS!$A:$AK,3,FALSE),"")</f>
      </c>
      <c r="C488" s="57">
        <f>IFERROR(VLOOKUP($A:$A,CS!$A:$AK,4,FALSE),"")</f>
      </c>
      <c r="D488" s="57">
        <f>IFERROR(VLOOKUP($A:$A,CS!$A:$AK,5,FALSE),"")</f>
      </c>
      <c r="E488" s="57">
        <f>IFERROR(VLOOKUP($A:$A,CS!$A:$AK,7,FALSE),"")</f>
      </c>
      <c r="F488" s="57">
        <f>IFERROR(VLOOKUP($A:$A,CS!$A:$AK,8,FALSE),"")</f>
      </c>
      <c r="G488" s="57">
        <f>IFERROR(VLOOKUP($A:$A,CS!$A:$AK,10,FALSE),"")</f>
      </c>
      <c r="H488" s="57">
        <f>IFERROR(VLOOKUP($A:$A,CS!$A:$AK,14,FALSE),"")</f>
      </c>
      <c r="I488" s="57">
        <f>IFERROR(VLOOKUP($A:$A,CS!$A:$AK,15,FALSE),"")</f>
      </c>
      <c r="J488" s="57">
        <f>IFERROR(VLOOKUP($A:$A,CS!$A:$AK,18,FALSE),"")</f>
      </c>
      <c r="K488" s="57">
        <f>IFERROR(VLOOKUP($A:$A,CS!$A:$AK,19,FALSE),"")</f>
      </c>
      <c r="L488" s="57">
        <f>IFERROR(VLOOKUP($A:$A,CS!$A:$AK,20,FALSE),"")</f>
      </c>
      <c r="M488" s="57">
        <f>IFERROR(VLOOKUP($A:$A,CS!$A:$AK,22,FALSE),"")</f>
      </c>
      <c r="N488" s="57">
        <f>IFERROR(VLOOKUP($A:$A,CS!$A:$AK,19,FALSE),"")</f>
      </c>
      <c r="O488" s="57">
        <f>IFERROR(VLOOKUP($A:$A,CS!$A:$AK,23,FALSE),"")</f>
      </c>
      <c r="P488" s="57">
        <f>IFERROR(VLOOKUP($A:$A,CS!$A:$AK,24,FALSE),"")</f>
      </c>
      <c r="Q488" s="57">
        <f>IFERROR(VLOOKUP($A:$A,CS!$A:$AK,25,FALSE),"")</f>
      </c>
      <c r="R488" s="57">
        <f>IFERROR(VLOOKUP($A:$A,CS!$A:$AK,26,FALSE),"")</f>
      </c>
      <c r="S488" s="57">
        <f>IFERROR(VLOOKUP($A:$A,CS!$A:$AK,29,FALSE),"")</f>
      </c>
      <c r="T488" s="57">
        <f>IFERROR(VLOOKUP($A:$A,CS!$A:$AK,33,FALSE),"")</f>
      </c>
      <c r="U488" s="57">
        <f>IFERROR(VLOOKUP($A:$A,CS!$A:$AK,34,FALSE),"")</f>
      </c>
      <c r="V488" s="57">
        <f>IFERROR(VLOOKUP($A:$A,CS!$A:$AK,35,FALSE),"")</f>
      </c>
      <c r="W488" s="57">
        <f>IFERROR(VLOOKUP($A:$A,CS!$A:$AK,36,FALSE),"")</f>
      </c>
    </row>
    <row r="489" ht="16.5" customHeight="1" spans="1:23" x14ac:dyDescent="0.25">
      <c r="A489" s="71"/>
      <c r="B489" s="57">
        <f>IFERROR(VLOOKUP($A:$A,CS!$A:$AK,3,FALSE),"")</f>
      </c>
      <c r="C489" s="57">
        <f>IFERROR(VLOOKUP($A:$A,CS!$A:$AK,4,FALSE),"")</f>
      </c>
      <c r="D489" s="57">
        <f>IFERROR(VLOOKUP($A:$A,CS!$A:$AK,5,FALSE),"")</f>
      </c>
      <c r="E489" s="57">
        <f>IFERROR(VLOOKUP($A:$A,CS!$A:$AK,7,FALSE),"")</f>
      </c>
      <c r="F489" s="57">
        <f>IFERROR(VLOOKUP($A:$A,CS!$A:$AK,8,FALSE),"")</f>
      </c>
      <c r="G489" s="57">
        <f>IFERROR(VLOOKUP($A:$A,CS!$A:$AK,10,FALSE),"")</f>
      </c>
      <c r="H489" s="57">
        <f>IFERROR(VLOOKUP($A:$A,CS!$A:$AK,14,FALSE),"")</f>
      </c>
      <c r="I489" s="57">
        <f>IFERROR(VLOOKUP($A:$A,CS!$A:$AK,15,FALSE),"")</f>
      </c>
      <c r="J489" s="57">
        <f>IFERROR(VLOOKUP($A:$A,CS!$A:$AK,18,FALSE),"")</f>
      </c>
      <c r="K489" s="57">
        <f>IFERROR(VLOOKUP($A:$A,CS!$A:$AK,19,FALSE),"")</f>
      </c>
      <c r="L489" s="57">
        <f>IFERROR(VLOOKUP($A:$A,CS!$A:$AK,20,FALSE),"")</f>
      </c>
      <c r="M489" s="57">
        <f>IFERROR(VLOOKUP($A:$A,CS!$A:$AK,22,FALSE),"")</f>
      </c>
      <c r="N489" s="57">
        <f>IFERROR(VLOOKUP($A:$A,CS!$A:$AK,19,FALSE),"")</f>
      </c>
      <c r="O489" s="57">
        <f>IFERROR(VLOOKUP($A:$A,CS!$A:$AK,23,FALSE),"")</f>
      </c>
      <c r="P489" s="57">
        <f>IFERROR(VLOOKUP($A:$A,CS!$A:$AK,24,FALSE),"")</f>
      </c>
      <c r="Q489" s="57">
        <f>IFERROR(VLOOKUP($A:$A,CS!$A:$AK,25,FALSE),"")</f>
      </c>
      <c r="R489" s="57">
        <f>IFERROR(VLOOKUP($A:$A,CS!$A:$AK,26,FALSE),"")</f>
      </c>
      <c r="S489" s="57">
        <f>IFERROR(VLOOKUP($A:$A,CS!$A:$AK,29,FALSE),"")</f>
      </c>
      <c r="T489" s="57">
        <f>IFERROR(VLOOKUP($A:$A,CS!$A:$AK,33,FALSE),"")</f>
      </c>
      <c r="U489" s="57">
        <f>IFERROR(VLOOKUP($A:$A,CS!$A:$AK,34,FALSE),"")</f>
      </c>
      <c r="V489" s="57">
        <f>IFERROR(VLOOKUP($A:$A,CS!$A:$AK,35,FALSE),"")</f>
      </c>
      <c r="W489" s="57">
        <f>IFERROR(VLOOKUP($A:$A,CS!$A:$AK,36,FALSE),"")</f>
      </c>
    </row>
    <row r="490" ht="16.5" customHeight="1" spans="1:23" x14ac:dyDescent="0.25">
      <c r="A490" s="71"/>
      <c r="B490" s="57">
        <f>IFERROR(VLOOKUP($A:$A,CS!$A:$AK,3,FALSE),"")</f>
      </c>
      <c r="C490" s="57">
        <f>IFERROR(VLOOKUP($A:$A,CS!$A:$AK,4,FALSE),"")</f>
      </c>
      <c r="D490" s="57">
        <f>IFERROR(VLOOKUP($A:$A,CS!$A:$AK,5,FALSE),"")</f>
      </c>
      <c r="E490" s="57">
        <f>IFERROR(VLOOKUP($A:$A,CS!$A:$AK,7,FALSE),"")</f>
      </c>
      <c r="F490" s="57">
        <f>IFERROR(VLOOKUP($A:$A,CS!$A:$AK,8,FALSE),"")</f>
      </c>
      <c r="G490" s="57">
        <f>IFERROR(VLOOKUP($A:$A,CS!$A:$AK,10,FALSE),"")</f>
      </c>
      <c r="H490" s="57">
        <f>IFERROR(VLOOKUP($A:$A,CS!$A:$AK,14,FALSE),"")</f>
      </c>
      <c r="I490" s="57">
        <f>IFERROR(VLOOKUP($A:$A,CS!$A:$AK,15,FALSE),"")</f>
      </c>
      <c r="J490" s="57">
        <f>IFERROR(VLOOKUP($A:$A,CS!$A:$AK,18,FALSE),"")</f>
      </c>
      <c r="K490" s="57">
        <f>IFERROR(VLOOKUP($A:$A,CS!$A:$AK,19,FALSE),"")</f>
      </c>
      <c r="L490" s="57">
        <f>IFERROR(VLOOKUP($A:$A,CS!$A:$AK,20,FALSE),"")</f>
      </c>
      <c r="M490" s="57">
        <f>IFERROR(VLOOKUP($A:$A,CS!$A:$AK,22,FALSE),"")</f>
      </c>
      <c r="N490" s="57">
        <f>IFERROR(VLOOKUP($A:$A,CS!$A:$AK,19,FALSE),"")</f>
      </c>
      <c r="O490" s="57">
        <f>IFERROR(VLOOKUP($A:$A,CS!$A:$AK,23,FALSE),"")</f>
      </c>
      <c r="P490" s="57">
        <f>IFERROR(VLOOKUP($A:$A,CS!$A:$AK,24,FALSE),"")</f>
      </c>
      <c r="Q490" s="57">
        <f>IFERROR(VLOOKUP($A:$A,CS!$A:$AK,25,FALSE),"")</f>
      </c>
      <c r="R490" s="57">
        <f>IFERROR(VLOOKUP($A:$A,CS!$A:$AK,26,FALSE),"")</f>
      </c>
      <c r="S490" s="57">
        <f>IFERROR(VLOOKUP($A:$A,CS!$A:$AK,29,FALSE),"")</f>
      </c>
      <c r="T490" s="57">
        <f>IFERROR(VLOOKUP($A:$A,CS!$A:$AK,33,FALSE),"")</f>
      </c>
      <c r="U490" s="57">
        <f>IFERROR(VLOOKUP($A:$A,CS!$A:$AK,34,FALSE),"")</f>
      </c>
      <c r="V490" s="57">
        <f>IFERROR(VLOOKUP($A:$A,CS!$A:$AK,35,FALSE),"")</f>
      </c>
      <c r="W490" s="57">
        <f>IFERROR(VLOOKUP($A:$A,CS!$A:$AK,36,FALSE),"")</f>
      </c>
    </row>
    <row r="491" ht="16.5" customHeight="1" spans="1:23" x14ac:dyDescent="0.25">
      <c r="A491" s="71"/>
      <c r="B491" s="57">
        <f>IFERROR(VLOOKUP($A:$A,CS!$A:$AK,3,FALSE),"")</f>
      </c>
      <c r="C491" s="57">
        <f>IFERROR(VLOOKUP($A:$A,CS!$A:$AK,4,FALSE),"")</f>
      </c>
      <c r="D491" s="57">
        <f>IFERROR(VLOOKUP($A:$A,CS!$A:$AK,5,FALSE),"")</f>
      </c>
      <c r="E491" s="57">
        <f>IFERROR(VLOOKUP($A:$A,CS!$A:$AK,7,FALSE),"")</f>
      </c>
      <c r="F491" s="57">
        <f>IFERROR(VLOOKUP($A:$A,CS!$A:$AK,8,FALSE),"")</f>
      </c>
      <c r="G491" s="57">
        <f>IFERROR(VLOOKUP($A:$A,CS!$A:$AK,10,FALSE),"")</f>
      </c>
      <c r="H491" s="57">
        <f>IFERROR(VLOOKUP($A:$A,CS!$A:$AK,14,FALSE),"")</f>
      </c>
      <c r="I491" s="57">
        <f>IFERROR(VLOOKUP($A:$A,CS!$A:$AK,15,FALSE),"")</f>
      </c>
      <c r="J491" s="57">
        <f>IFERROR(VLOOKUP($A:$A,CS!$A:$AK,18,FALSE),"")</f>
      </c>
      <c r="K491" s="57">
        <f>IFERROR(VLOOKUP($A:$A,CS!$A:$AK,19,FALSE),"")</f>
      </c>
      <c r="L491" s="57">
        <f>IFERROR(VLOOKUP($A:$A,CS!$A:$AK,20,FALSE),"")</f>
      </c>
      <c r="M491" s="57">
        <f>IFERROR(VLOOKUP($A:$A,CS!$A:$AK,22,FALSE),"")</f>
      </c>
      <c r="N491" s="57">
        <f>IFERROR(VLOOKUP($A:$A,CS!$A:$AK,19,FALSE),"")</f>
      </c>
      <c r="O491" s="57">
        <f>IFERROR(VLOOKUP($A:$A,CS!$A:$AK,23,FALSE),"")</f>
      </c>
      <c r="P491" s="57">
        <f>IFERROR(VLOOKUP($A:$A,CS!$A:$AK,24,FALSE),"")</f>
      </c>
      <c r="Q491" s="57">
        <f>IFERROR(VLOOKUP($A:$A,CS!$A:$AK,25,FALSE),"")</f>
      </c>
      <c r="R491" s="57">
        <f>IFERROR(VLOOKUP($A:$A,CS!$A:$AK,26,FALSE),"")</f>
      </c>
      <c r="S491" s="57">
        <f>IFERROR(VLOOKUP($A:$A,CS!$A:$AK,29,FALSE),"")</f>
      </c>
      <c r="T491" s="57">
        <f>IFERROR(VLOOKUP($A:$A,CS!$A:$AK,33,FALSE),"")</f>
      </c>
      <c r="U491" s="57">
        <f>IFERROR(VLOOKUP($A:$A,CS!$A:$AK,34,FALSE),"")</f>
      </c>
      <c r="V491" s="57">
        <f>IFERROR(VLOOKUP($A:$A,CS!$A:$AK,35,FALSE),"")</f>
      </c>
      <c r="W491" s="57">
        <f>IFERROR(VLOOKUP($A:$A,CS!$A:$AK,36,FALSE),"")</f>
      </c>
    </row>
    <row r="492" ht="16.5" customHeight="1" spans="1:23" x14ac:dyDescent="0.25">
      <c r="A492" s="71"/>
      <c r="B492" s="57">
        <f>IFERROR(VLOOKUP($A:$A,CS!$A:$AK,3,FALSE),"")</f>
      </c>
      <c r="C492" s="57">
        <f>IFERROR(VLOOKUP($A:$A,CS!$A:$AK,4,FALSE),"")</f>
      </c>
      <c r="D492" s="57">
        <f>IFERROR(VLOOKUP($A:$A,CS!$A:$AK,5,FALSE),"")</f>
      </c>
      <c r="E492" s="57">
        <f>IFERROR(VLOOKUP($A:$A,CS!$A:$AK,7,FALSE),"")</f>
      </c>
      <c r="F492" s="57">
        <f>IFERROR(VLOOKUP($A:$A,CS!$A:$AK,8,FALSE),"")</f>
      </c>
      <c r="G492" s="57">
        <f>IFERROR(VLOOKUP($A:$A,CS!$A:$AK,10,FALSE),"")</f>
      </c>
      <c r="H492" s="57">
        <f>IFERROR(VLOOKUP($A:$A,CS!$A:$AK,14,FALSE),"")</f>
      </c>
      <c r="I492" s="57">
        <f>IFERROR(VLOOKUP($A:$A,CS!$A:$AK,15,FALSE),"")</f>
      </c>
      <c r="J492" s="57">
        <f>IFERROR(VLOOKUP($A:$A,CS!$A:$AK,18,FALSE),"")</f>
      </c>
      <c r="K492" s="57">
        <f>IFERROR(VLOOKUP($A:$A,CS!$A:$AK,19,FALSE),"")</f>
      </c>
      <c r="L492" s="57">
        <f>IFERROR(VLOOKUP($A:$A,CS!$A:$AK,20,FALSE),"")</f>
      </c>
      <c r="M492" s="57">
        <f>IFERROR(VLOOKUP($A:$A,CS!$A:$AK,22,FALSE),"")</f>
      </c>
      <c r="N492" s="57">
        <f>IFERROR(VLOOKUP($A:$A,CS!$A:$AK,19,FALSE),"")</f>
      </c>
      <c r="O492" s="57">
        <f>IFERROR(VLOOKUP($A:$A,CS!$A:$AK,23,FALSE),"")</f>
      </c>
      <c r="P492" s="57">
        <f>IFERROR(VLOOKUP($A:$A,CS!$A:$AK,24,FALSE),"")</f>
      </c>
      <c r="Q492" s="57">
        <f>IFERROR(VLOOKUP($A:$A,CS!$A:$AK,25,FALSE),"")</f>
      </c>
      <c r="R492" s="57">
        <f>IFERROR(VLOOKUP($A:$A,CS!$A:$AK,26,FALSE),"")</f>
      </c>
      <c r="S492" s="57">
        <f>IFERROR(VLOOKUP($A:$A,CS!$A:$AK,29,FALSE),"")</f>
      </c>
      <c r="T492" s="57">
        <f>IFERROR(VLOOKUP($A:$A,CS!$A:$AK,33,FALSE),"")</f>
      </c>
      <c r="U492" s="57">
        <f>IFERROR(VLOOKUP($A:$A,CS!$A:$AK,34,FALSE),"")</f>
      </c>
      <c r="V492" s="57">
        <f>IFERROR(VLOOKUP($A:$A,CS!$A:$AK,35,FALSE),"")</f>
      </c>
      <c r="W492" s="57">
        <f>IFERROR(VLOOKUP($A:$A,CS!$A:$AK,36,FALSE),"")</f>
      </c>
    </row>
    <row r="493" ht="16.5" customHeight="1" spans="1:23" x14ac:dyDescent="0.25">
      <c r="A493" s="71"/>
      <c r="B493" s="57">
        <f>IFERROR(VLOOKUP($A:$A,CS!$A:$AK,3,FALSE),"")</f>
      </c>
      <c r="C493" s="57">
        <f>IFERROR(VLOOKUP($A:$A,CS!$A:$AK,4,FALSE),"")</f>
      </c>
      <c r="D493" s="57">
        <f>IFERROR(VLOOKUP($A:$A,CS!$A:$AK,5,FALSE),"")</f>
      </c>
      <c r="E493" s="57">
        <f>IFERROR(VLOOKUP($A:$A,CS!$A:$AK,7,FALSE),"")</f>
      </c>
      <c r="F493" s="57">
        <f>IFERROR(VLOOKUP($A:$A,CS!$A:$AK,8,FALSE),"")</f>
      </c>
      <c r="G493" s="57">
        <f>IFERROR(VLOOKUP($A:$A,CS!$A:$AK,10,FALSE),"")</f>
      </c>
      <c r="H493" s="57">
        <f>IFERROR(VLOOKUP($A:$A,CS!$A:$AK,14,FALSE),"")</f>
      </c>
      <c r="I493" s="57">
        <f>IFERROR(VLOOKUP($A:$A,CS!$A:$AK,15,FALSE),"")</f>
      </c>
      <c r="J493" s="57">
        <f>IFERROR(VLOOKUP($A:$A,CS!$A:$AK,18,FALSE),"")</f>
      </c>
      <c r="K493" s="57">
        <f>IFERROR(VLOOKUP($A:$A,CS!$A:$AK,19,FALSE),"")</f>
      </c>
      <c r="L493" s="57">
        <f>IFERROR(VLOOKUP($A:$A,CS!$A:$AK,20,FALSE),"")</f>
      </c>
      <c r="M493" s="57">
        <f>IFERROR(VLOOKUP($A:$A,CS!$A:$AK,22,FALSE),"")</f>
      </c>
      <c r="N493" s="57">
        <f>IFERROR(VLOOKUP($A:$A,CS!$A:$AK,19,FALSE),"")</f>
      </c>
      <c r="O493" s="57">
        <f>IFERROR(VLOOKUP($A:$A,CS!$A:$AK,23,FALSE),"")</f>
      </c>
      <c r="P493" s="57">
        <f>IFERROR(VLOOKUP($A:$A,CS!$A:$AK,24,FALSE),"")</f>
      </c>
      <c r="Q493" s="57">
        <f>IFERROR(VLOOKUP($A:$A,CS!$A:$AK,25,FALSE),"")</f>
      </c>
      <c r="R493" s="57">
        <f>IFERROR(VLOOKUP($A:$A,CS!$A:$AK,26,FALSE),"")</f>
      </c>
      <c r="S493" s="57">
        <f>IFERROR(VLOOKUP($A:$A,CS!$A:$AK,29,FALSE),"")</f>
      </c>
      <c r="T493" s="57">
        <f>IFERROR(VLOOKUP($A:$A,CS!$A:$AK,33,FALSE),"")</f>
      </c>
      <c r="U493" s="57">
        <f>IFERROR(VLOOKUP($A:$A,CS!$A:$AK,34,FALSE),"")</f>
      </c>
      <c r="V493" s="57">
        <f>IFERROR(VLOOKUP($A:$A,CS!$A:$AK,35,FALSE),"")</f>
      </c>
      <c r="W493" s="57">
        <f>IFERROR(VLOOKUP($A:$A,CS!$A:$AK,36,FALSE),"")</f>
      </c>
    </row>
    <row r="494" ht="16.5" customHeight="1" spans="1:23" x14ac:dyDescent="0.25">
      <c r="A494" s="71"/>
      <c r="B494" s="57">
        <f>IFERROR(VLOOKUP($A:$A,CS!$A:$AK,3,FALSE),"")</f>
      </c>
      <c r="C494" s="57">
        <f>IFERROR(VLOOKUP($A:$A,CS!$A:$AK,4,FALSE),"")</f>
      </c>
      <c r="D494" s="57">
        <f>IFERROR(VLOOKUP($A:$A,CS!$A:$AK,5,FALSE),"")</f>
      </c>
      <c r="E494" s="57">
        <f>IFERROR(VLOOKUP($A:$A,CS!$A:$AK,7,FALSE),"")</f>
      </c>
      <c r="F494" s="57">
        <f>IFERROR(VLOOKUP($A:$A,CS!$A:$AK,8,FALSE),"")</f>
      </c>
      <c r="G494" s="57">
        <f>IFERROR(VLOOKUP($A:$A,CS!$A:$AK,10,FALSE),"")</f>
      </c>
      <c r="H494" s="57">
        <f>IFERROR(VLOOKUP($A:$A,CS!$A:$AK,14,FALSE),"")</f>
      </c>
      <c r="I494" s="57">
        <f>IFERROR(VLOOKUP($A:$A,CS!$A:$AK,15,FALSE),"")</f>
      </c>
      <c r="J494" s="57">
        <f>IFERROR(VLOOKUP($A:$A,CS!$A:$AK,18,FALSE),"")</f>
      </c>
      <c r="K494" s="57">
        <f>IFERROR(VLOOKUP($A:$A,CS!$A:$AK,19,FALSE),"")</f>
      </c>
      <c r="L494" s="57">
        <f>IFERROR(VLOOKUP($A:$A,CS!$A:$AK,20,FALSE),"")</f>
      </c>
      <c r="M494" s="57">
        <f>IFERROR(VLOOKUP($A:$A,CS!$A:$AK,22,FALSE),"")</f>
      </c>
      <c r="N494" s="57">
        <f>IFERROR(VLOOKUP($A:$A,CS!$A:$AK,19,FALSE),"")</f>
      </c>
      <c r="O494" s="57">
        <f>IFERROR(VLOOKUP($A:$A,CS!$A:$AK,23,FALSE),"")</f>
      </c>
      <c r="P494" s="57">
        <f>IFERROR(VLOOKUP($A:$A,CS!$A:$AK,24,FALSE),"")</f>
      </c>
      <c r="Q494" s="57">
        <f>IFERROR(VLOOKUP($A:$A,CS!$A:$AK,25,FALSE),"")</f>
      </c>
      <c r="R494" s="57">
        <f>IFERROR(VLOOKUP($A:$A,CS!$A:$AK,26,FALSE),"")</f>
      </c>
      <c r="S494" s="57">
        <f>IFERROR(VLOOKUP($A:$A,CS!$A:$AK,29,FALSE),"")</f>
      </c>
      <c r="T494" s="57">
        <f>IFERROR(VLOOKUP($A:$A,CS!$A:$AK,33,FALSE),"")</f>
      </c>
      <c r="U494" s="57">
        <f>IFERROR(VLOOKUP($A:$A,CS!$A:$AK,34,FALSE),"")</f>
      </c>
      <c r="V494" s="57">
        <f>IFERROR(VLOOKUP($A:$A,CS!$A:$AK,35,FALSE),"")</f>
      </c>
      <c r="W494" s="57">
        <f>IFERROR(VLOOKUP($A:$A,CS!$A:$AK,36,FALSE),"")</f>
      </c>
    </row>
    <row r="495" ht="16.5" customHeight="1" spans="1:23" x14ac:dyDescent="0.25">
      <c r="A495" s="71"/>
      <c r="B495" s="57">
        <f>IFERROR(VLOOKUP($A:$A,CS!$A:$AK,3,FALSE),"")</f>
      </c>
      <c r="C495" s="57">
        <f>IFERROR(VLOOKUP($A:$A,CS!$A:$AK,4,FALSE),"")</f>
      </c>
      <c r="D495" s="57">
        <f>IFERROR(VLOOKUP($A:$A,CS!$A:$AK,5,FALSE),"")</f>
      </c>
      <c r="E495" s="57">
        <f>IFERROR(VLOOKUP($A:$A,CS!$A:$AK,7,FALSE),"")</f>
      </c>
      <c r="F495" s="57">
        <f>IFERROR(VLOOKUP($A:$A,CS!$A:$AK,8,FALSE),"")</f>
      </c>
      <c r="G495" s="57">
        <f>IFERROR(VLOOKUP($A:$A,CS!$A:$AK,10,FALSE),"")</f>
      </c>
      <c r="H495" s="57">
        <f>IFERROR(VLOOKUP($A:$A,CS!$A:$AK,14,FALSE),"")</f>
      </c>
      <c r="I495" s="57">
        <f>IFERROR(VLOOKUP($A:$A,CS!$A:$AK,15,FALSE),"")</f>
      </c>
      <c r="J495" s="57">
        <f>IFERROR(VLOOKUP($A:$A,CS!$A:$AK,18,FALSE),"")</f>
      </c>
      <c r="K495" s="57">
        <f>IFERROR(VLOOKUP($A:$A,CS!$A:$AK,19,FALSE),"")</f>
      </c>
      <c r="L495" s="57">
        <f>IFERROR(VLOOKUP($A:$A,CS!$A:$AK,20,FALSE),"")</f>
      </c>
      <c r="M495" s="57">
        <f>IFERROR(VLOOKUP($A:$A,CS!$A:$AK,22,FALSE),"")</f>
      </c>
      <c r="N495" s="57">
        <f>IFERROR(VLOOKUP($A:$A,CS!$A:$AK,19,FALSE),"")</f>
      </c>
      <c r="O495" s="57">
        <f>IFERROR(VLOOKUP($A:$A,CS!$A:$AK,23,FALSE),"")</f>
      </c>
      <c r="P495" s="57">
        <f>IFERROR(VLOOKUP($A:$A,CS!$A:$AK,24,FALSE),"")</f>
      </c>
      <c r="Q495" s="57">
        <f>IFERROR(VLOOKUP($A:$A,CS!$A:$AK,25,FALSE),"")</f>
      </c>
      <c r="R495" s="57">
        <f>IFERROR(VLOOKUP($A:$A,CS!$A:$AK,26,FALSE),"")</f>
      </c>
      <c r="S495" s="57">
        <f>IFERROR(VLOOKUP($A:$A,CS!$A:$AK,29,FALSE),"")</f>
      </c>
      <c r="T495" s="57">
        <f>IFERROR(VLOOKUP($A:$A,CS!$A:$AK,33,FALSE),"")</f>
      </c>
      <c r="U495" s="57">
        <f>IFERROR(VLOOKUP($A:$A,CS!$A:$AK,34,FALSE),"")</f>
      </c>
      <c r="V495" s="57">
        <f>IFERROR(VLOOKUP($A:$A,CS!$A:$AK,35,FALSE),"")</f>
      </c>
      <c r="W495" s="57">
        <f>IFERROR(VLOOKUP($A:$A,CS!$A:$AK,36,FALSE),"")</f>
      </c>
    </row>
    <row r="496" ht="16.5" customHeight="1" spans="1:23" x14ac:dyDescent="0.25">
      <c r="A496" s="71"/>
      <c r="B496" s="57">
        <f>IFERROR(VLOOKUP($A:$A,CS!$A:$AK,3,FALSE),"")</f>
      </c>
      <c r="C496" s="57">
        <f>IFERROR(VLOOKUP($A:$A,CS!$A:$AK,4,FALSE),"")</f>
      </c>
      <c r="D496" s="57">
        <f>IFERROR(VLOOKUP($A:$A,CS!$A:$AK,5,FALSE),"")</f>
      </c>
      <c r="E496" s="57">
        <f>IFERROR(VLOOKUP($A:$A,CS!$A:$AK,7,FALSE),"")</f>
      </c>
      <c r="F496" s="57">
        <f>IFERROR(VLOOKUP($A:$A,CS!$A:$AK,8,FALSE),"")</f>
      </c>
      <c r="G496" s="57">
        <f>IFERROR(VLOOKUP($A:$A,CS!$A:$AK,10,FALSE),"")</f>
      </c>
      <c r="H496" s="57">
        <f>IFERROR(VLOOKUP($A:$A,CS!$A:$AK,14,FALSE),"")</f>
      </c>
      <c r="I496" s="57">
        <f>IFERROR(VLOOKUP($A:$A,CS!$A:$AK,15,FALSE),"")</f>
      </c>
      <c r="J496" s="57">
        <f>IFERROR(VLOOKUP($A:$A,CS!$A:$AK,18,FALSE),"")</f>
      </c>
      <c r="K496" s="57">
        <f>IFERROR(VLOOKUP($A:$A,CS!$A:$AK,19,FALSE),"")</f>
      </c>
      <c r="L496" s="57">
        <f>IFERROR(VLOOKUP($A:$A,CS!$A:$AK,20,FALSE),"")</f>
      </c>
      <c r="M496" s="57">
        <f>IFERROR(VLOOKUP($A:$A,CS!$A:$AK,22,FALSE),"")</f>
      </c>
      <c r="N496" s="57">
        <f>IFERROR(VLOOKUP($A:$A,CS!$A:$AK,19,FALSE),"")</f>
      </c>
      <c r="O496" s="57">
        <f>IFERROR(VLOOKUP($A:$A,CS!$A:$AK,23,FALSE),"")</f>
      </c>
      <c r="P496" s="57">
        <f>IFERROR(VLOOKUP($A:$A,CS!$A:$AK,24,FALSE),"")</f>
      </c>
      <c r="Q496" s="57">
        <f>IFERROR(VLOOKUP($A:$A,CS!$A:$AK,25,FALSE),"")</f>
      </c>
      <c r="R496" s="57">
        <f>IFERROR(VLOOKUP($A:$A,CS!$A:$AK,26,FALSE),"")</f>
      </c>
      <c r="S496" s="57">
        <f>IFERROR(VLOOKUP($A:$A,CS!$A:$AK,29,FALSE),"")</f>
      </c>
      <c r="T496" s="57">
        <f>IFERROR(VLOOKUP($A:$A,CS!$A:$AK,33,FALSE),"")</f>
      </c>
      <c r="U496" s="57">
        <f>IFERROR(VLOOKUP($A:$A,CS!$A:$AK,34,FALSE),"")</f>
      </c>
      <c r="V496" s="57">
        <f>IFERROR(VLOOKUP($A:$A,CS!$A:$AK,35,FALSE),"")</f>
      </c>
      <c r="W496" s="57">
        <f>IFERROR(VLOOKUP($A:$A,CS!$A:$AK,36,FALSE),"")</f>
      </c>
    </row>
    <row r="497" ht="16.5" customHeight="1" spans="1:23" x14ac:dyDescent="0.25">
      <c r="A497" s="71"/>
      <c r="B497" s="57">
        <f>IFERROR(VLOOKUP($A:$A,CS!$A:$AK,3,FALSE),"")</f>
      </c>
      <c r="C497" s="57">
        <f>IFERROR(VLOOKUP($A:$A,CS!$A:$AK,4,FALSE),"")</f>
      </c>
      <c r="D497" s="57">
        <f>IFERROR(VLOOKUP($A:$A,CS!$A:$AK,5,FALSE),"")</f>
      </c>
      <c r="E497" s="57">
        <f>IFERROR(VLOOKUP($A:$A,CS!$A:$AK,7,FALSE),"")</f>
      </c>
      <c r="F497" s="57">
        <f>IFERROR(VLOOKUP($A:$A,CS!$A:$AK,8,FALSE),"")</f>
      </c>
      <c r="G497" s="57">
        <f>IFERROR(VLOOKUP($A:$A,CS!$A:$AK,10,FALSE),"")</f>
      </c>
      <c r="H497" s="57">
        <f>IFERROR(VLOOKUP($A:$A,CS!$A:$AK,14,FALSE),"")</f>
      </c>
      <c r="I497" s="57">
        <f>IFERROR(VLOOKUP($A:$A,CS!$A:$AK,15,FALSE),"")</f>
      </c>
      <c r="J497" s="57">
        <f>IFERROR(VLOOKUP($A:$A,CS!$A:$AK,18,FALSE),"")</f>
      </c>
      <c r="K497" s="57">
        <f>IFERROR(VLOOKUP($A:$A,CS!$A:$AK,19,FALSE),"")</f>
      </c>
      <c r="L497" s="57">
        <f>IFERROR(VLOOKUP($A:$A,CS!$A:$AK,20,FALSE),"")</f>
      </c>
      <c r="M497" s="57">
        <f>IFERROR(VLOOKUP($A:$A,CS!$A:$AK,22,FALSE),"")</f>
      </c>
      <c r="N497" s="57">
        <f>IFERROR(VLOOKUP($A:$A,CS!$A:$AK,19,FALSE),"")</f>
      </c>
      <c r="O497" s="57">
        <f>IFERROR(VLOOKUP($A:$A,CS!$A:$AK,23,FALSE),"")</f>
      </c>
      <c r="P497" s="57">
        <f>IFERROR(VLOOKUP($A:$A,CS!$A:$AK,24,FALSE),"")</f>
      </c>
      <c r="Q497" s="57">
        <f>IFERROR(VLOOKUP($A:$A,CS!$A:$AK,25,FALSE),"")</f>
      </c>
      <c r="R497" s="57">
        <f>IFERROR(VLOOKUP($A:$A,CS!$A:$AK,26,FALSE),"")</f>
      </c>
      <c r="S497" s="57">
        <f>IFERROR(VLOOKUP($A:$A,CS!$A:$AK,29,FALSE),"")</f>
      </c>
      <c r="T497" s="57">
        <f>IFERROR(VLOOKUP($A:$A,CS!$A:$AK,33,FALSE),"")</f>
      </c>
      <c r="U497" s="57">
        <f>IFERROR(VLOOKUP($A:$A,CS!$A:$AK,34,FALSE),"")</f>
      </c>
      <c r="V497" s="57">
        <f>IFERROR(VLOOKUP($A:$A,CS!$A:$AK,35,FALSE),"")</f>
      </c>
      <c r="W497" s="57">
        <f>IFERROR(VLOOKUP($A:$A,CS!$A:$AK,36,FALSE),"")</f>
      </c>
    </row>
    <row r="498" ht="16.5" customHeight="1" spans="1:23" x14ac:dyDescent="0.25">
      <c r="A498" s="71"/>
      <c r="B498" s="57">
        <f>IFERROR(VLOOKUP($A:$A,CS!$A:$AK,3,FALSE),"")</f>
      </c>
      <c r="C498" s="57">
        <f>IFERROR(VLOOKUP($A:$A,CS!$A:$AK,4,FALSE),"")</f>
      </c>
      <c r="D498" s="57">
        <f>IFERROR(VLOOKUP($A:$A,CS!$A:$AK,5,FALSE),"")</f>
      </c>
      <c r="E498" s="57">
        <f>IFERROR(VLOOKUP($A:$A,CS!$A:$AK,7,FALSE),"")</f>
      </c>
      <c r="F498" s="57">
        <f>IFERROR(VLOOKUP($A:$A,CS!$A:$AK,8,FALSE),"")</f>
      </c>
      <c r="G498" s="57">
        <f>IFERROR(VLOOKUP($A:$A,CS!$A:$AK,10,FALSE),"")</f>
      </c>
      <c r="H498" s="57">
        <f>IFERROR(VLOOKUP($A:$A,CS!$A:$AK,14,FALSE),"")</f>
      </c>
      <c r="I498" s="57">
        <f>IFERROR(VLOOKUP($A:$A,CS!$A:$AK,15,FALSE),"")</f>
      </c>
      <c r="J498" s="57">
        <f>IFERROR(VLOOKUP($A:$A,CS!$A:$AK,18,FALSE),"")</f>
      </c>
      <c r="K498" s="57">
        <f>IFERROR(VLOOKUP($A:$A,CS!$A:$AK,19,FALSE),"")</f>
      </c>
      <c r="L498" s="57">
        <f>IFERROR(VLOOKUP($A:$A,CS!$A:$AK,20,FALSE),"")</f>
      </c>
      <c r="M498" s="57">
        <f>IFERROR(VLOOKUP($A:$A,CS!$A:$AK,22,FALSE),"")</f>
      </c>
      <c r="N498" s="57">
        <f>IFERROR(VLOOKUP($A:$A,CS!$A:$AK,19,FALSE),"")</f>
      </c>
      <c r="O498" s="57">
        <f>IFERROR(VLOOKUP($A:$A,CS!$A:$AK,23,FALSE),"")</f>
      </c>
      <c r="P498" s="57">
        <f>IFERROR(VLOOKUP($A:$A,CS!$A:$AK,24,FALSE),"")</f>
      </c>
      <c r="Q498" s="57">
        <f>IFERROR(VLOOKUP($A:$A,CS!$A:$AK,25,FALSE),"")</f>
      </c>
      <c r="R498" s="57">
        <f>IFERROR(VLOOKUP($A:$A,CS!$A:$AK,26,FALSE),"")</f>
      </c>
      <c r="S498" s="57">
        <f>IFERROR(VLOOKUP($A:$A,CS!$A:$AK,29,FALSE),"")</f>
      </c>
      <c r="T498" s="57">
        <f>IFERROR(VLOOKUP($A:$A,CS!$A:$AK,33,FALSE),"")</f>
      </c>
      <c r="U498" s="57">
        <f>IFERROR(VLOOKUP($A:$A,CS!$A:$AK,34,FALSE),"")</f>
      </c>
      <c r="V498" s="57">
        <f>IFERROR(VLOOKUP($A:$A,CS!$A:$AK,35,FALSE),"")</f>
      </c>
      <c r="W498" s="57">
        <f>IFERROR(VLOOKUP($A:$A,CS!$A:$AK,36,FALSE),"")</f>
      </c>
    </row>
    <row r="499" ht="16.5" customHeight="1" spans="1:23" x14ac:dyDescent="0.25">
      <c r="A499" s="71"/>
      <c r="B499" s="57">
        <f>IFERROR(VLOOKUP($A:$A,CS!$A:$AK,3,FALSE),"")</f>
      </c>
      <c r="C499" s="57">
        <f>IFERROR(VLOOKUP($A:$A,CS!$A:$AK,4,FALSE),"")</f>
      </c>
      <c r="D499" s="57">
        <f>IFERROR(VLOOKUP($A:$A,CS!$A:$AK,5,FALSE),"")</f>
      </c>
      <c r="E499" s="57">
        <f>IFERROR(VLOOKUP($A:$A,CS!$A:$AK,7,FALSE),"")</f>
      </c>
      <c r="F499" s="57">
        <f>IFERROR(VLOOKUP($A:$A,CS!$A:$AK,8,FALSE),"")</f>
      </c>
      <c r="G499" s="57">
        <f>IFERROR(VLOOKUP($A:$A,CS!$A:$AK,10,FALSE),"")</f>
      </c>
      <c r="H499" s="57">
        <f>IFERROR(VLOOKUP($A:$A,CS!$A:$AK,14,FALSE),"")</f>
      </c>
      <c r="I499" s="57">
        <f>IFERROR(VLOOKUP($A:$A,CS!$A:$AK,15,FALSE),"")</f>
      </c>
      <c r="J499" s="57">
        <f>IFERROR(VLOOKUP($A:$A,CS!$A:$AK,18,FALSE),"")</f>
      </c>
      <c r="K499" s="57">
        <f>IFERROR(VLOOKUP($A:$A,CS!$A:$AK,19,FALSE),"")</f>
      </c>
      <c r="L499" s="57">
        <f>IFERROR(VLOOKUP($A:$A,CS!$A:$AK,20,FALSE),"")</f>
      </c>
      <c r="M499" s="57">
        <f>IFERROR(VLOOKUP($A:$A,CS!$A:$AK,22,FALSE),"")</f>
      </c>
      <c r="N499" s="57">
        <f>IFERROR(VLOOKUP($A:$A,CS!$A:$AK,19,FALSE),"")</f>
      </c>
      <c r="O499" s="57">
        <f>IFERROR(VLOOKUP($A:$A,CS!$A:$AK,23,FALSE),"")</f>
      </c>
      <c r="P499" s="57">
        <f>IFERROR(VLOOKUP($A:$A,CS!$A:$AK,24,FALSE),"")</f>
      </c>
      <c r="Q499" s="57">
        <f>IFERROR(VLOOKUP($A:$A,CS!$A:$AK,25,FALSE),"")</f>
      </c>
      <c r="R499" s="57">
        <f>IFERROR(VLOOKUP($A:$A,CS!$A:$AK,26,FALSE),"")</f>
      </c>
      <c r="S499" s="57">
        <f>IFERROR(VLOOKUP($A:$A,CS!$A:$AK,29,FALSE),"")</f>
      </c>
      <c r="T499" s="57">
        <f>IFERROR(VLOOKUP($A:$A,CS!$A:$AK,33,FALSE),"")</f>
      </c>
      <c r="U499" s="57">
        <f>IFERROR(VLOOKUP($A:$A,CS!$A:$AK,34,FALSE),"")</f>
      </c>
      <c r="V499" s="57">
        <f>IFERROR(VLOOKUP($A:$A,CS!$A:$AK,35,FALSE),"")</f>
      </c>
      <c r="W499" s="57">
        <f>IFERROR(VLOOKUP($A:$A,CS!$A:$AK,36,FALSE),"")</f>
      </c>
    </row>
    <row r="500" ht="16.5" customHeight="1" spans="1:23" x14ac:dyDescent="0.25">
      <c r="A500" s="71"/>
      <c r="B500" s="57">
        <f>IFERROR(VLOOKUP($A:$A,CS!$A:$AK,3,FALSE),"")</f>
      </c>
      <c r="C500" s="57">
        <f>IFERROR(VLOOKUP($A:$A,CS!$A:$AK,4,FALSE),"")</f>
      </c>
      <c r="D500" s="57">
        <f>IFERROR(VLOOKUP($A:$A,CS!$A:$AK,5,FALSE),"")</f>
      </c>
      <c r="E500" s="57">
        <f>IFERROR(VLOOKUP($A:$A,CS!$A:$AK,7,FALSE),"")</f>
      </c>
      <c r="F500" s="57">
        <f>IFERROR(VLOOKUP($A:$A,CS!$A:$AK,8,FALSE),"")</f>
      </c>
      <c r="G500" s="57">
        <f>IFERROR(VLOOKUP($A:$A,CS!$A:$AK,10,FALSE),"")</f>
      </c>
      <c r="H500" s="57">
        <f>IFERROR(VLOOKUP($A:$A,CS!$A:$AK,14,FALSE),"")</f>
      </c>
      <c r="I500" s="57">
        <f>IFERROR(VLOOKUP($A:$A,CS!$A:$AK,15,FALSE),"")</f>
      </c>
      <c r="J500" s="57">
        <f>IFERROR(VLOOKUP($A:$A,CS!$A:$AK,18,FALSE),"")</f>
      </c>
      <c r="K500" s="57">
        <f>IFERROR(VLOOKUP($A:$A,CS!$A:$AK,19,FALSE),"")</f>
      </c>
      <c r="L500" s="57">
        <f>IFERROR(VLOOKUP($A:$A,CS!$A:$AK,20,FALSE),"")</f>
      </c>
      <c r="M500" s="57">
        <f>IFERROR(VLOOKUP($A:$A,CS!$A:$AK,22,FALSE),"")</f>
      </c>
      <c r="N500" s="57">
        <f>IFERROR(VLOOKUP($A:$A,CS!$A:$AK,19,FALSE),"")</f>
      </c>
      <c r="O500" s="57">
        <f>IFERROR(VLOOKUP($A:$A,CS!$A:$AK,23,FALSE),"")</f>
      </c>
      <c r="P500" s="57">
        <f>IFERROR(VLOOKUP($A:$A,CS!$A:$AK,24,FALSE),"")</f>
      </c>
      <c r="Q500" s="57">
        <f>IFERROR(VLOOKUP($A:$A,CS!$A:$AK,25,FALSE),"")</f>
      </c>
      <c r="R500" s="57">
        <f>IFERROR(VLOOKUP($A:$A,CS!$A:$AK,26,FALSE),"")</f>
      </c>
      <c r="S500" s="57">
        <f>IFERROR(VLOOKUP($A:$A,CS!$A:$AK,29,FALSE),"")</f>
      </c>
      <c r="T500" s="57">
        <f>IFERROR(VLOOKUP($A:$A,CS!$A:$AK,33,FALSE),"")</f>
      </c>
      <c r="U500" s="57">
        <f>IFERROR(VLOOKUP($A:$A,CS!$A:$AK,34,FALSE),"")</f>
      </c>
      <c r="V500" s="57">
        <f>IFERROR(VLOOKUP($A:$A,CS!$A:$AK,35,FALSE),"")</f>
      </c>
      <c r="W500" s="57">
        <f>IFERROR(VLOOKUP($A:$A,CS!$A:$AK,36,FALSE),"")</f>
      </c>
    </row>
    <row r="501" ht="16.5" customHeight="1" spans="1:23" x14ac:dyDescent="0.25">
      <c r="A501" s="71"/>
      <c r="B501" s="57">
        <f>IFERROR(VLOOKUP($A:$A,CS!$A:$AK,3,FALSE),"")</f>
      </c>
      <c r="C501" s="57">
        <f>IFERROR(VLOOKUP($A:$A,CS!$A:$AK,4,FALSE),"")</f>
      </c>
      <c r="D501" s="57">
        <f>IFERROR(VLOOKUP($A:$A,CS!$A:$AK,5,FALSE),"")</f>
      </c>
      <c r="E501" s="57">
        <f>IFERROR(VLOOKUP($A:$A,CS!$A:$AK,7,FALSE),"")</f>
      </c>
      <c r="F501" s="57">
        <f>IFERROR(VLOOKUP($A:$A,CS!$A:$AK,8,FALSE),"")</f>
      </c>
      <c r="G501" s="57">
        <f>IFERROR(VLOOKUP($A:$A,CS!$A:$AK,10,FALSE),"")</f>
      </c>
      <c r="H501" s="57">
        <f>IFERROR(VLOOKUP($A:$A,CS!$A:$AK,14,FALSE),"")</f>
      </c>
      <c r="I501" s="57">
        <f>IFERROR(VLOOKUP($A:$A,CS!$A:$AK,15,FALSE),"")</f>
      </c>
      <c r="J501" s="57">
        <f>IFERROR(VLOOKUP($A:$A,CS!$A:$AK,18,FALSE),"")</f>
      </c>
      <c r="K501" s="57">
        <f>IFERROR(VLOOKUP($A:$A,CS!$A:$AK,19,FALSE),"")</f>
      </c>
      <c r="L501" s="57">
        <f>IFERROR(VLOOKUP($A:$A,CS!$A:$AK,20,FALSE),"")</f>
      </c>
      <c r="M501" s="57">
        <f>IFERROR(VLOOKUP($A:$A,CS!$A:$AK,22,FALSE),"")</f>
      </c>
      <c r="N501" s="57">
        <f>IFERROR(VLOOKUP($A:$A,CS!$A:$AK,19,FALSE),"")</f>
      </c>
      <c r="O501" s="57">
        <f>IFERROR(VLOOKUP($A:$A,CS!$A:$AK,23,FALSE),"")</f>
      </c>
      <c r="P501" s="57">
        <f>IFERROR(VLOOKUP($A:$A,CS!$A:$AK,24,FALSE),"")</f>
      </c>
      <c r="Q501" s="57">
        <f>IFERROR(VLOOKUP($A:$A,CS!$A:$AK,25,FALSE),"")</f>
      </c>
      <c r="R501" s="57">
        <f>IFERROR(VLOOKUP($A:$A,CS!$A:$AK,26,FALSE),"")</f>
      </c>
      <c r="S501" s="57">
        <f>IFERROR(VLOOKUP($A:$A,CS!$A:$AK,29,FALSE),"")</f>
      </c>
      <c r="T501" s="57">
        <f>IFERROR(VLOOKUP($A:$A,CS!$A:$AK,33,FALSE),"")</f>
      </c>
      <c r="U501" s="57">
        <f>IFERROR(VLOOKUP($A:$A,CS!$A:$AK,34,FALSE),"")</f>
      </c>
      <c r="V501" s="57">
        <f>IFERROR(VLOOKUP($A:$A,CS!$A:$AK,35,FALSE),"")</f>
      </c>
      <c r="W501" s="57">
        <f>IFERROR(VLOOKUP($A:$A,CS!$A:$AK,36,FALSE),"")</f>
      </c>
    </row>
    <row r="502" ht="16.5" customHeight="1" spans="1:23" x14ac:dyDescent="0.25">
      <c r="A502" s="71"/>
      <c r="B502" s="57">
        <f>IFERROR(VLOOKUP($A:$A,CS!$A:$AK,3,FALSE),"")</f>
      </c>
      <c r="C502" s="57">
        <f>IFERROR(VLOOKUP($A:$A,CS!$A:$AK,4,FALSE),"")</f>
      </c>
      <c r="D502" s="57">
        <f>IFERROR(VLOOKUP($A:$A,CS!$A:$AK,5,FALSE),"")</f>
      </c>
      <c r="E502" s="57">
        <f>IFERROR(VLOOKUP($A:$A,CS!$A:$AK,7,FALSE),"")</f>
      </c>
      <c r="F502" s="57">
        <f>IFERROR(VLOOKUP($A:$A,CS!$A:$AK,8,FALSE),"")</f>
      </c>
      <c r="G502" s="57">
        <f>IFERROR(VLOOKUP($A:$A,CS!$A:$AK,10,FALSE),"")</f>
      </c>
      <c r="H502" s="57">
        <f>IFERROR(VLOOKUP($A:$A,CS!$A:$AK,14,FALSE),"")</f>
      </c>
      <c r="I502" s="57">
        <f>IFERROR(VLOOKUP($A:$A,CS!$A:$AK,15,FALSE),"")</f>
      </c>
      <c r="J502" s="57">
        <f>IFERROR(VLOOKUP($A:$A,CS!$A:$AK,18,FALSE),"")</f>
      </c>
      <c r="K502" s="57">
        <f>IFERROR(VLOOKUP($A:$A,CS!$A:$AK,19,FALSE),"")</f>
      </c>
      <c r="L502" s="57">
        <f>IFERROR(VLOOKUP($A:$A,CS!$A:$AK,20,FALSE),"")</f>
      </c>
      <c r="M502" s="57">
        <f>IFERROR(VLOOKUP($A:$A,CS!$A:$AK,22,FALSE),"")</f>
      </c>
      <c r="N502" s="57">
        <f>IFERROR(VLOOKUP($A:$A,CS!$A:$AK,19,FALSE),"")</f>
      </c>
      <c r="O502" s="57">
        <f>IFERROR(VLOOKUP($A:$A,CS!$A:$AK,23,FALSE),"")</f>
      </c>
      <c r="P502" s="57">
        <f>IFERROR(VLOOKUP($A:$A,CS!$A:$AK,24,FALSE),"")</f>
      </c>
      <c r="Q502" s="57">
        <f>IFERROR(VLOOKUP($A:$A,CS!$A:$AK,25,FALSE),"")</f>
      </c>
      <c r="R502" s="57">
        <f>IFERROR(VLOOKUP($A:$A,CS!$A:$AK,26,FALSE),"")</f>
      </c>
      <c r="S502" s="57">
        <f>IFERROR(VLOOKUP($A:$A,CS!$A:$AK,29,FALSE),"")</f>
      </c>
      <c r="T502" s="57">
        <f>IFERROR(VLOOKUP($A:$A,CS!$A:$AK,33,FALSE),"")</f>
      </c>
      <c r="U502" s="57">
        <f>IFERROR(VLOOKUP($A:$A,CS!$A:$AK,34,FALSE),"")</f>
      </c>
      <c r="V502" s="57">
        <f>IFERROR(VLOOKUP($A:$A,CS!$A:$AK,35,FALSE),"")</f>
      </c>
      <c r="W502" s="57">
        <f>IFERROR(VLOOKUP($A:$A,CS!$A:$AK,36,FALSE),"")</f>
      </c>
    </row>
    <row r="503" ht="16.5" customHeight="1" spans="1:23" x14ac:dyDescent="0.25">
      <c r="A503" s="71"/>
      <c r="B503" s="57">
        <f>IFERROR(VLOOKUP($A:$A,CS!$A:$AK,3,FALSE),"")</f>
      </c>
      <c r="C503" s="57">
        <f>IFERROR(VLOOKUP($A:$A,CS!$A:$AK,4,FALSE),"")</f>
      </c>
      <c r="D503" s="57">
        <f>IFERROR(VLOOKUP($A:$A,CS!$A:$AK,5,FALSE),"")</f>
      </c>
      <c r="E503" s="57">
        <f>IFERROR(VLOOKUP($A:$A,CS!$A:$AK,7,FALSE),"")</f>
      </c>
      <c r="F503" s="57">
        <f>IFERROR(VLOOKUP($A:$A,CS!$A:$AK,8,FALSE),"")</f>
      </c>
      <c r="G503" s="57">
        <f>IFERROR(VLOOKUP($A:$A,CS!$A:$AK,10,FALSE),"")</f>
      </c>
      <c r="H503" s="57">
        <f>IFERROR(VLOOKUP($A:$A,CS!$A:$AK,14,FALSE),"")</f>
      </c>
      <c r="I503" s="57">
        <f>IFERROR(VLOOKUP($A:$A,CS!$A:$AK,15,FALSE),"")</f>
      </c>
      <c r="J503" s="57">
        <f>IFERROR(VLOOKUP($A:$A,CS!$A:$AK,18,FALSE),"")</f>
      </c>
      <c r="K503" s="57">
        <f>IFERROR(VLOOKUP($A:$A,CS!$A:$AK,19,FALSE),"")</f>
      </c>
      <c r="L503" s="57">
        <f>IFERROR(VLOOKUP($A:$A,CS!$A:$AK,20,FALSE),"")</f>
      </c>
      <c r="M503" s="57">
        <f>IFERROR(VLOOKUP($A:$A,CS!$A:$AK,22,FALSE),"")</f>
      </c>
      <c r="N503" s="57">
        <f>IFERROR(VLOOKUP($A:$A,CS!$A:$AK,19,FALSE),"")</f>
      </c>
      <c r="O503" s="57">
        <f>IFERROR(VLOOKUP($A:$A,CS!$A:$AK,23,FALSE),"")</f>
      </c>
      <c r="P503" s="57">
        <f>IFERROR(VLOOKUP($A:$A,CS!$A:$AK,24,FALSE),"")</f>
      </c>
      <c r="Q503" s="57">
        <f>IFERROR(VLOOKUP($A:$A,CS!$A:$AK,25,FALSE),"")</f>
      </c>
      <c r="R503" s="57">
        <f>IFERROR(VLOOKUP($A:$A,CS!$A:$AK,26,FALSE),"")</f>
      </c>
      <c r="S503" s="57">
        <f>IFERROR(VLOOKUP($A:$A,CS!$A:$AK,29,FALSE),"")</f>
      </c>
      <c r="T503" s="57">
        <f>IFERROR(VLOOKUP($A:$A,CS!$A:$AK,33,FALSE),"")</f>
      </c>
      <c r="U503" s="57">
        <f>IFERROR(VLOOKUP($A:$A,CS!$A:$AK,34,FALSE),"")</f>
      </c>
      <c r="V503" s="57">
        <f>IFERROR(VLOOKUP($A:$A,CS!$A:$AK,35,FALSE),"")</f>
      </c>
      <c r="W503" s="57">
        <f>IFERROR(VLOOKUP($A:$A,CS!$A:$AK,36,FALSE),"")</f>
      </c>
    </row>
    <row r="504" ht="16.5" customHeight="1" spans="1:23" x14ac:dyDescent="0.25">
      <c r="A504" s="71"/>
      <c r="B504" s="57">
        <f>IFERROR(VLOOKUP($A:$A,CS!$A:$AK,3,FALSE),"")</f>
      </c>
      <c r="C504" s="57">
        <f>IFERROR(VLOOKUP($A:$A,CS!$A:$AK,4,FALSE),"")</f>
      </c>
      <c r="D504" s="57">
        <f>IFERROR(VLOOKUP($A:$A,CS!$A:$AK,5,FALSE),"")</f>
      </c>
      <c r="E504" s="57">
        <f>IFERROR(VLOOKUP($A:$A,CS!$A:$AK,7,FALSE),"")</f>
      </c>
      <c r="F504" s="57">
        <f>IFERROR(VLOOKUP($A:$A,CS!$A:$AK,8,FALSE),"")</f>
      </c>
      <c r="G504" s="57">
        <f>IFERROR(VLOOKUP($A:$A,CS!$A:$AK,10,FALSE),"")</f>
      </c>
      <c r="H504" s="57">
        <f>IFERROR(VLOOKUP($A:$A,CS!$A:$AK,14,FALSE),"")</f>
      </c>
      <c r="I504" s="57">
        <f>IFERROR(VLOOKUP($A:$A,CS!$A:$AK,15,FALSE),"")</f>
      </c>
      <c r="J504" s="57">
        <f>IFERROR(VLOOKUP($A:$A,CS!$A:$AK,18,FALSE),"")</f>
      </c>
      <c r="K504" s="57">
        <f>IFERROR(VLOOKUP($A:$A,CS!$A:$AK,19,FALSE),"")</f>
      </c>
      <c r="L504" s="57">
        <f>IFERROR(VLOOKUP($A:$A,CS!$A:$AK,20,FALSE),"")</f>
      </c>
      <c r="M504" s="57">
        <f>IFERROR(VLOOKUP($A:$A,CS!$A:$AK,22,FALSE),"")</f>
      </c>
      <c r="N504" s="57">
        <f>IFERROR(VLOOKUP($A:$A,CS!$A:$AK,19,FALSE),"")</f>
      </c>
      <c r="O504" s="57">
        <f>IFERROR(VLOOKUP($A:$A,CS!$A:$AK,23,FALSE),"")</f>
      </c>
      <c r="P504" s="57">
        <f>IFERROR(VLOOKUP($A:$A,CS!$A:$AK,24,FALSE),"")</f>
      </c>
      <c r="Q504" s="57">
        <f>IFERROR(VLOOKUP($A:$A,CS!$A:$AK,25,FALSE),"")</f>
      </c>
      <c r="R504" s="57">
        <f>IFERROR(VLOOKUP($A:$A,CS!$A:$AK,26,FALSE),"")</f>
      </c>
      <c r="S504" s="57">
        <f>IFERROR(VLOOKUP($A:$A,CS!$A:$AK,29,FALSE),"")</f>
      </c>
      <c r="T504" s="57">
        <f>IFERROR(VLOOKUP($A:$A,CS!$A:$AK,33,FALSE),"")</f>
      </c>
      <c r="U504" s="57">
        <f>IFERROR(VLOOKUP($A:$A,CS!$A:$AK,34,FALSE),"")</f>
      </c>
      <c r="V504" s="57">
        <f>IFERROR(VLOOKUP($A:$A,CS!$A:$AK,35,FALSE),"")</f>
      </c>
      <c r="W504" s="57">
        <f>IFERROR(VLOOKUP($A:$A,CS!$A:$AK,36,FALSE),"")</f>
      </c>
    </row>
    <row r="505" ht="16.5" customHeight="1" spans="1:23" x14ac:dyDescent="0.25">
      <c r="A505" s="71"/>
      <c r="B505" s="57">
        <f>IFERROR(VLOOKUP($A:$A,CS!$A:$AK,3,FALSE),"")</f>
      </c>
      <c r="C505" s="57">
        <f>IFERROR(VLOOKUP($A:$A,CS!$A:$AK,4,FALSE),"")</f>
      </c>
      <c r="D505" s="57">
        <f>IFERROR(VLOOKUP($A:$A,CS!$A:$AK,5,FALSE),"")</f>
      </c>
      <c r="E505" s="57">
        <f>IFERROR(VLOOKUP($A:$A,CS!$A:$AK,7,FALSE),"")</f>
      </c>
      <c r="F505" s="57">
        <f>IFERROR(VLOOKUP($A:$A,CS!$A:$AK,8,FALSE),"")</f>
      </c>
      <c r="G505" s="57">
        <f>IFERROR(VLOOKUP($A:$A,CS!$A:$AK,10,FALSE),"")</f>
      </c>
      <c r="H505" s="57">
        <f>IFERROR(VLOOKUP($A:$A,CS!$A:$AK,14,FALSE),"")</f>
      </c>
      <c r="I505" s="57">
        <f>IFERROR(VLOOKUP($A:$A,CS!$A:$AK,15,FALSE),"")</f>
      </c>
      <c r="J505" s="57">
        <f>IFERROR(VLOOKUP($A:$A,CS!$A:$AK,18,FALSE),"")</f>
      </c>
      <c r="K505" s="57">
        <f>IFERROR(VLOOKUP($A:$A,CS!$A:$AK,19,FALSE),"")</f>
      </c>
      <c r="L505" s="57">
        <f>IFERROR(VLOOKUP($A:$A,CS!$A:$AK,20,FALSE),"")</f>
      </c>
      <c r="M505" s="57">
        <f>IFERROR(VLOOKUP($A:$A,CS!$A:$AK,22,FALSE),"")</f>
      </c>
      <c r="N505" s="57">
        <f>IFERROR(VLOOKUP($A:$A,CS!$A:$AK,19,FALSE),"")</f>
      </c>
      <c r="O505" s="57">
        <f>IFERROR(VLOOKUP($A:$A,CS!$A:$AK,23,FALSE),"")</f>
      </c>
      <c r="P505" s="57">
        <f>IFERROR(VLOOKUP($A:$A,CS!$A:$AK,24,FALSE),"")</f>
      </c>
      <c r="Q505" s="57">
        <f>IFERROR(VLOOKUP($A:$A,CS!$A:$AK,25,FALSE),"")</f>
      </c>
      <c r="R505" s="57">
        <f>IFERROR(VLOOKUP($A:$A,CS!$A:$AK,26,FALSE),"")</f>
      </c>
      <c r="S505" s="57">
        <f>IFERROR(VLOOKUP($A:$A,CS!$A:$AK,29,FALSE),"")</f>
      </c>
      <c r="T505" s="57">
        <f>IFERROR(VLOOKUP($A:$A,CS!$A:$AK,33,FALSE),"")</f>
      </c>
      <c r="U505" s="57">
        <f>IFERROR(VLOOKUP($A:$A,CS!$A:$AK,34,FALSE),"")</f>
      </c>
      <c r="V505" s="57">
        <f>IFERROR(VLOOKUP($A:$A,CS!$A:$AK,35,FALSE),"")</f>
      </c>
      <c r="W505" s="57">
        <f>IFERROR(VLOOKUP($A:$A,CS!$A:$AK,36,FALSE),"")</f>
      </c>
    </row>
    <row r="506" ht="16.5" customHeight="1" spans="1:23" x14ac:dyDescent="0.25">
      <c r="A506" s="71"/>
      <c r="B506" s="57">
        <f>IFERROR(VLOOKUP($A:$A,CS!$A:$AK,3,FALSE),"")</f>
      </c>
      <c r="C506" s="57">
        <f>IFERROR(VLOOKUP($A:$A,CS!$A:$AK,4,FALSE),"")</f>
      </c>
      <c r="D506" s="57">
        <f>IFERROR(VLOOKUP($A:$A,CS!$A:$AK,5,FALSE),"")</f>
      </c>
      <c r="E506" s="57">
        <f>IFERROR(VLOOKUP($A:$A,CS!$A:$AK,7,FALSE),"")</f>
      </c>
      <c r="F506" s="57">
        <f>IFERROR(VLOOKUP($A:$A,CS!$A:$AK,8,FALSE),"")</f>
      </c>
      <c r="G506" s="57">
        <f>IFERROR(VLOOKUP($A:$A,CS!$A:$AK,10,FALSE),"")</f>
      </c>
      <c r="H506" s="57">
        <f>IFERROR(VLOOKUP($A:$A,CS!$A:$AK,14,FALSE),"")</f>
      </c>
      <c r="I506" s="57">
        <f>IFERROR(VLOOKUP($A:$A,CS!$A:$AK,15,FALSE),"")</f>
      </c>
      <c r="J506" s="57">
        <f>IFERROR(VLOOKUP($A:$A,CS!$A:$AK,18,FALSE),"")</f>
      </c>
      <c r="K506" s="57">
        <f>IFERROR(VLOOKUP($A:$A,CS!$A:$AK,19,FALSE),"")</f>
      </c>
      <c r="L506" s="57">
        <f>IFERROR(VLOOKUP($A:$A,CS!$A:$AK,20,FALSE),"")</f>
      </c>
      <c r="M506" s="57">
        <f>IFERROR(VLOOKUP($A:$A,CS!$A:$AK,22,FALSE),"")</f>
      </c>
      <c r="N506" s="57">
        <f>IFERROR(VLOOKUP($A:$A,CS!$A:$AK,19,FALSE),"")</f>
      </c>
      <c r="O506" s="57">
        <f>IFERROR(VLOOKUP($A:$A,CS!$A:$AK,23,FALSE),"")</f>
      </c>
      <c r="P506" s="57">
        <f>IFERROR(VLOOKUP($A:$A,CS!$A:$AK,24,FALSE),"")</f>
      </c>
      <c r="Q506" s="57">
        <f>IFERROR(VLOOKUP($A:$A,CS!$A:$AK,25,FALSE),"")</f>
      </c>
      <c r="R506" s="57">
        <f>IFERROR(VLOOKUP($A:$A,CS!$A:$AK,26,FALSE),"")</f>
      </c>
      <c r="S506" s="57">
        <f>IFERROR(VLOOKUP($A:$A,CS!$A:$AK,29,FALSE),"")</f>
      </c>
      <c r="T506" s="57">
        <f>IFERROR(VLOOKUP($A:$A,CS!$A:$AK,33,FALSE),"")</f>
      </c>
      <c r="U506" s="57">
        <f>IFERROR(VLOOKUP($A:$A,CS!$A:$AK,34,FALSE),"")</f>
      </c>
      <c r="V506" s="57">
        <f>IFERROR(VLOOKUP($A:$A,CS!$A:$AK,35,FALSE),"")</f>
      </c>
      <c r="W506" s="57">
        <f>IFERROR(VLOOKUP($A:$A,CS!$A:$AK,36,FALSE),"")</f>
      </c>
    </row>
    <row r="507" ht="16.5" customHeight="1" spans="1:23" x14ac:dyDescent="0.25">
      <c r="A507" s="71"/>
      <c r="B507" s="57">
        <f>IFERROR(VLOOKUP($A:$A,CS!$A:$AK,3,FALSE),"")</f>
      </c>
      <c r="C507" s="57">
        <f>IFERROR(VLOOKUP($A:$A,CS!$A:$AK,4,FALSE),"")</f>
      </c>
      <c r="D507" s="57">
        <f>IFERROR(VLOOKUP($A:$A,CS!$A:$AK,5,FALSE),"")</f>
      </c>
      <c r="E507" s="57">
        <f>IFERROR(VLOOKUP($A:$A,CS!$A:$AK,7,FALSE),"")</f>
      </c>
      <c r="F507" s="57">
        <f>IFERROR(VLOOKUP($A:$A,CS!$A:$AK,8,FALSE),"")</f>
      </c>
      <c r="G507" s="57">
        <f>IFERROR(VLOOKUP($A:$A,CS!$A:$AK,10,FALSE),"")</f>
      </c>
      <c r="H507" s="57">
        <f>IFERROR(VLOOKUP($A:$A,CS!$A:$AK,14,FALSE),"")</f>
      </c>
      <c r="I507" s="57">
        <f>IFERROR(VLOOKUP($A:$A,CS!$A:$AK,15,FALSE),"")</f>
      </c>
      <c r="J507" s="57">
        <f>IFERROR(VLOOKUP($A:$A,CS!$A:$AK,18,FALSE),"")</f>
      </c>
      <c r="K507" s="57">
        <f>IFERROR(VLOOKUP($A:$A,CS!$A:$AK,19,FALSE),"")</f>
      </c>
      <c r="L507" s="57">
        <f>IFERROR(VLOOKUP($A:$A,CS!$A:$AK,20,FALSE),"")</f>
      </c>
      <c r="M507" s="57">
        <f>IFERROR(VLOOKUP($A:$A,CS!$A:$AK,22,FALSE),"")</f>
      </c>
      <c r="N507" s="57">
        <f>IFERROR(VLOOKUP($A:$A,CS!$A:$AK,19,FALSE),"")</f>
      </c>
      <c r="O507" s="57">
        <f>IFERROR(VLOOKUP($A:$A,CS!$A:$AK,23,FALSE),"")</f>
      </c>
      <c r="P507" s="57">
        <f>IFERROR(VLOOKUP($A:$A,CS!$A:$AK,24,FALSE),"")</f>
      </c>
      <c r="Q507" s="57">
        <f>IFERROR(VLOOKUP($A:$A,CS!$A:$AK,25,FALSE),"")</f>
      </c>
      <c r="R507" s="57">
        <f>IFERROR(VLOOKUP($A:$A,CS!$A:$AK,26,FALSE),"")</f>
      </c>
      <c r="S507" s="57">
        <f>IFERROR(VLOOKUP($A:$A,CS!$A:$AK,29,FALSE),"")</f>
      </c>
      <c r="T507" s="57">
        <f>IFERROR(VLOOKUP($A:$A,CS!$A:$AK,33,FALSE),"")</f>
      </c>
      <c r="U507" s="57">
        <f>IFERROR(VLOOKUP($A:$A,CS!$A:$AK,34,FALSE),"")</f>
      </c>
      <c r="V507" s="57">
        <f>IFERROR(VLOOKUP($A:$A,CS!$A:$AK,35,FALSE),"")</f>
      </c>
      <c r="W507" s="57">
        <f>IFERROR(VLOOKUP($A:$A,CS!$A:$AK,36,FALSE),"")</f>
      </c>
    </row>
    <row r="508" ht="16.5" customHeight="1" spans="1:23" x14ac:dyDescent="0.25">
      <c r="A508" s="71"/>
      <c r="B508" s="57">
        <f>IFERROR(VLOOKUP($A:$A,CS!$A:$AK,3,FALSE),"")</f>
      </c>
      <c r="C508" s="57">
        <f>IFERROR(VLOOKUP($A:$A,CS!$A:$AK,4,FALSE),"")</f>
      </c>
      <c r="D508" s="57">
        <f>IFERROR(VLOOKUP($A:$A,CS!$A:$AK,5,FALSE),"")</f>
      </c>
      <c r="E508" s="57">
        <f>IFERROR(VLOOKUP($A:$A,CS!$A:$AK,7,FALSE),"")</f>
      </c>
      <c r="F508" s="57">
        <f>IFERROR(VLOOKUP($A:$A,CS!$A:$AK,8,FALSE),"")</f>
      </c>
      <c r="G508" s="57">
        <f>IFERROR(VLOOKUP($A:$A,CS!$A:$AK,10,FALSE),"")</f>
      </c>
      <c r="H508" s="57">
        <f>IFERROR(VLOOKUP($A:$A,CS!$A:$AK,14,FALSE),"")</f>
      </c>
      <c r="I508" s="57">
        <f>IFERROR(VLOOKUP($A:$A,CS!$A:$AK,15,FALSE),"")</f>
      </c>
      <c r="J508" s="57">
        <f>IFERROR(VLOOKUP($A:$A,CS!$A:$AK,18,FALSE),"")</f>
      </c>
      <c r="K508" s="57">
        <f>IFERROR(VLOOKUP($A:$A,CS!$A:$AK,19,FALSE),"")</f>
      </c>
      <c r="L508" s="57">
        <f>IFERROR(VLOOKUP($A:$A,CS!$A:$AK,20,FALSE),"")</f>
      </c>
      <c r="M508" s="57">
        <f>IFERROR(VLOOKUP($A:$A,CS!$A:$AK,22,FALSE),"")</f>
      </c>
      <c r="N508" s="57">
        <f>IFERROR(VLOOKUP($A:$A,CS!$A:$AK,19,FALSE),"")</f>
      </c>
      <c r="O508" s="57">
        <f>IFERROR(VLOOKUP($A:$A,CS!$A:$AK,23,FALSE),"")</f>
      </c>
      <c r="P508" s="57">
        <f>IFERROR(VLOOKUP($A:$A,CS!$A:$AK,24,FALSE),"")</f>
      </c>
      <c r="Q508" s="57">
        <f>IFERROR(VLOOKUP($A:$A,CS!$A:$AK,25,FALSE),"")</f>
      </c>
      <c r="R508" s="57">
        <f>IFERROR(VLOOKUP($A:$A,CS!$A:$AK,26,FALSE),"")</f>
      </c>
      <c r="S508" s="57">
        <f>IFERROR(VLOOKUP($A:$A,CS!$A:$AK,29,FALSE),"")</f>
      </c>
      <c r="T508" s="57">
        <f>IFERROR(VLOOKUP($A:$A,CS!$A:$AK,33,FALSE),"")</f>
      </c>
      <c r="U508" s="57">
        <f>IFERROR(VLOOKUP($A:$A,CS!$A:$AK,34,FALSE),"")</f>
      </c>
      <c r="V508" s="57">
        <f>IFERROR(VLOOKUP($A:$A,CS!$A:$AK,35,FALSE),"")</f>
      </c>
      <c r="W508" s="57">
        <f>IFERROR(VLOOKUP($A:$A,CS!$A:$AK,36,FALSE),"")</f>
      </c>
    </row>
    <row r="509" ht="16.5" customHeight="1" spans="1:23" x14ac:dyDescent="0.25">
      <c r="A509" s="71"/>
      <c r="B509" s="57">
        <f>IFERROR(VLOOKUP($A:$A,CS!$A:$AK,3,FALSE),"")</f>
      </c>
      <c r="C509" s="57">
        <f>IFERROR(VLOOKUP($A:$A,CS!$A:$AK,4,FALSE),"")</f>
      </c>
      <c r="D509" s="57">
        <f>IFERROR(VLOOKUP($A:$A,CS!$A:$AK,5,FALSE),"")</f>
      </c>
      <c r="E509" s="57">
        <f>IFERROR(VLOOKUP($A:$A,CS!$A:$AK,7,FALSE),"")</f>
      </c>
      <c r="F509" s="57">
        <f>IFERROR(VLOOKUP($A:$A,CS!$A:$AK,8,FALSE),"")</f>
      </c>
      <c r="G509" s="57">
        <f>IFERROR(VLOOKUP($A:$A,CS!$A:$AK,10,FALSE),"")</f>
      </c>
      <c r="H509" s="57">
        <f>IFERROR(VLOOKUP($A:$A,CS!$A:$AK,14,FALSE),"")</f>
      </c>
      <c r="I509" s="57">
        <f>IFERROR(VLOOKUP($A:$A,CS!$A:$AK,15,FALSE),"")</f>
      </c>
      <c r="J509" s="57">
        <f>IFERROR(VLOOKUP($A:$A,CS!$A:$AK,18,FALSE),"")</f>
      </c>
      <c r="K509" s="57">
        <f>IFERROR(VLOOKUP($A:$A,CS!$A:$AK,19,FALSE),"")</f>
      </c>
      <c r="L509" s="57">
        <f>IFERROR(VLOOKUP($A:$A,CS!$A:$AK,20,FALSE),"")</f>
      </c>
      <c r="M509" s="57">
        <f>IFERROR(VLOOKUP($A:$A,CS!$A:$AK,22,FALSE),"")</f>
      </c>
      <c r="N509" s="57">
        <f>IFERROR(VLOOKUP($A:$A,CS!$A:$AK,19,FALSE),"")</f>
      </c>
      <c r="O509" s="57">
        <f>IFERROR(VLOOKUP($A:$A,CS!$A:$AK,23,FALSE),"")</f>
      </c>
      <c r="P509" s="57">
        <f>IFERROR(VLOOKUP($A:$A,CS!$A:$AK,24,FALSE),"")</f>
      </c>
      <c r="Q509" s="57">
        <f>IFERROR(VLOOKUP($A:$A,CS!$A:$AK,25,FALSE),"")</f>
      </c>
      <c r="R509" s="57">
        <f>IFERROR(VLOOKUP($A:$A,CS!$A:$AK,26,FALSE),"")</f>
      </c>
      <c r="S509" s="57">
        <f>IFERROR(VLOOKUP($A:$A,CS!$A:$AK,29,FALSE),"")</f>
      </c>
      <c r="T509" s="57">
        <f>IFERROR(VLOOKUP($A:$A,CS!$A:$AK,33,FALSE),"")</f>
      </c>
      <c r="U509" s="57">
        <f>IFERROR(VLOOKUP($A:$A,CS!$A:$AK,34,FALSE),"")</f>
      </c>
      <c r="V509" s="57">
        <f>IFERROR(VLOOKUP($A:$A,CS!$A:$AK,35,FALSE),"")</f>
      </c>
      <c r="W509" s="57">
        <f>IFERROR(VLOOKUP($A:$A,CS!$A:$AK,36,FALSE),"")</f>
      </c>
    </row>
    <row r="510" ht="16.5" customHeight="1" spans="1:23" x14ac:dyDescent="0.25">
      <c r="A510" s="71"/>
      <c r="B510" s="57">
        <f>IFERROR(VLOOKUP($A:$A,CS!$A:$AK,3,FALSE),"")</f>
      </c>
      <c r="C510" s="57">
        <f>IFERROR(VLOOKUP($A:$A,CS!$A:$AK,4,FALSE),"")</f>
      </c>
      <c r="D510" s="57">
        <f>IFERROR(VLOOKUP($A:$A,CS!$A:$AK,5,FALSE),"")</f>
      </c>
      <c r="E510" s="57">
        <f>IFERROR(VLOOKUP($A:$A,CS!$A:$AK,7,FALSE),"")</f>
      </c>
      <c r="F510" s="57">
        <f>IFERROR(VLOOKUP($A:$A,CS!$A:$AK,8,FALSE),"")</f>
      </c>
      <c r="G510" s="57">
        <f>IFERROR(VLOOKUP($A:$A,CS!$A:$AK,10,FALSE),"")</f>
      </c>
      <c r="H510" s="57">
        <f>IFERROR(VLOOKUP($A:$A,CS!$A:$AK,14,FALSE),"")</f>
      </c>
      <c r="I510" s="57">
        <f>IFERROR(VLOOKUP($A:$A,CS!$A:$AK,15,FALSE),"")</f>
      </c>
      <c r="J510" s="57">
        <f>IFERROR(VLOOKUP($A:$A,CS!$A:$AK,18,FALSE),"")</f>
      </c>
      <c r="K510" s="57">
        <f>IFERROR(VLOOKUP($A:$A,CS!$A:$AK,19,FALSE),"")</f>
      </c>
      <c r="L510" s="57">
        <f>IFERROR(VLOOKUP($A:$A,CS!$A:$AK,20,FALSE),"")</f>
      </c>
      <c r="M510" s="57">
        <f>IFERROR(VLOOKUP($A:$A,CS!$A:$AK,22,FALSE),"")</f>
      </c>
      <c r="N510" s="57">
        <f>IFERROR(VLOOKUP($A:$A,CS!$A:$AK,19,FALSE),"")</f>
      </c>
      <c r="O510" s="57">
        <f>IFERROR(VLOOKUP($A:$A,CS!$A:$AK,23,FALSE),"")</f>
      </c>
      <c r="P510" s="57">
        <f>IFERROR(VLOOKUP($A:$A,CS!$A:$AK,24,FALSE),"")</f>
      </c>
      <c r="Q510" s="57">
        <f>IFERROR(VLOOKUP($A:$A,CS!$A:$AK,25,FALSE),"")</f>
      </c>
      <c r="R510" s="57">
        <f>IFERROR(VLOOKUP($A:$A,CS!$A:$AK,26,FALSE),"")</f>
      </c>
      <c r="S510" s="57">
        <f>IFERROR(VLOOKUP($A:$A,CS!$A:$AK,29,FALSE),"")</f>
      </c>
      <c r="T510" s="57">
        <f>IFERROR(VLOOKUP($A:$A,CS!$A:$AK,33,FALSE),"")</f>
      </c>
      <c r="U510" s="57">
        <f>IFERROR(VLOOKUP($A:$A,CS!$A:$AK,34,FALSE),"")</f>
      </c>
      <c r="V510" s="57">
        <f>IFERROR(VLOOKUP($A:$A,CS!$A:$AK,35,FALSE),"")</f>
      </c>
      <c r="W510" s="57">
        <f>IFERROR(VLOOKUP($A:$A,CS!$A:$AK,36,FALSE),"")</f>
      </c>
    </row>
    <row r="511" ht="16.5" customHeight="1" spans="1:23" x14ac:dyDescent="0.25">
      <c r="A511" s="71"/>
      <c r="B511" s="57">
        <f>IFERROR(VLOOKUP($A:$A,CS!$A:$AK,3,FALSE),"")</f>
      </c>
      <c r="C511" s="57">
        <f>IFERROR(VLOOKUP($A:$A,CS!$A:$AK,4,FALSE),"")</f>
      </c>
      <c r="D511" s="57">
        <f>IFERROR(VLOOKUP($A:$A,CS!$A:$AK,5,FALSE),"")</f>
      </c>
      <c r="E511" s="57">
        <f>IFERROR(VLOOKUP($A:$A,CS!$A:$AK,7,FALSE),"")</f>
      </c>
      <c r="F511" s="57">
        <f>IFERROR(VLOOKUP($A:$A,CS!$A:$AK,8,FALSE),"")</f>
      </c>
      <c r="G511" s="57">
        <f>IFERROR(VLOOKUP($A:$A,CS!$A:$AK,10,FALSE),"")</f>
      </c>
      <c r="H511" s="57">
        <f>IFERROR(VLOOKUP($A:$A,CS!$A:$AK,14,FALSE),"")</f>
      </c>
      <c r="I511" s="57">
        <f>IFERROR(VLOOKUP($A:$A,CS!$A:$AK,15,FALSE),"")</f>
      </c>
      <c r="J511" s="57">
        <f>IFERROR(VLOOKUP($A:$A,CS!$A:$AK,18,FALSE),"")</f>
      </c>
      <c r="K511" s="57">
        <f>IFERROR(VLOOKUP($A:$A,CS!$A:$AK,19,FALSE),"")</f>
      </c>
      <c r="L511" s="57">
        <f>IFERROR(VLOOKUP($A:$A,CS!$A:$AK,20,FALSE),"")</f>
      </c>
      <c r="M511" s="57">
        <f>IFERROR(VLOOKUP($A:$A,CS!$A:$AK,22,FALSE),"")</f>
      </c>
      <c r="N511" s="57">
        <f>IFERROR(VLOOKUP($A:$A,CS!$A:$AK,19,FALSE),"")</f>
      </c>
      <c r="O511" s="57">
        <f>IFERROR(VLOOKUP($A:$A,CS!$A:$AK,23,FALSE),"")</f>
      </c>
      <c r="P511" s="57">
        <f>IFERROR(VLOOKUP($A:$A,CS!$A:$AK,24,FALSE),"")</f>
      </c>
      <c r="Q511" s="57">
        <f>IFERROR(VLOOKUP($A:$A,CS!$A:$AK,25,FALSE),"")</f>
      </c>
      <c r="R511" s="57">
        <f>IFERROR(VLOOKUP($A:$A,CS!$A:$AK,26,FALSE),"")</f>
      </c>
      <c r="S511" s="57">
        <f>IFERROR(VLOOKUP($A:$A,CS!$A:$AK,29,FALSE),"")</f>
      </c>
      <c r="T511" s="57">
        <f>IFERROR(VLOOKUP($A:$A,CS!$A:$AK,33,FALSE),"")</f>
      </c>
      <c r="U511" s="57">
        <f>IFERROR(VLOOKUP($A:$A,CS!$A:$AK,34,FALSE),"")</f>
      </c>
      <c r="V511" s="57">
        <f>IFERROR(VLOOKUP($A:$A,CS!$A:$AK,35,FALSE),"")</f>
      </c>
      <c r="W511" s="57">
        <f>IFERROR(VLOOKUP($A:$A,CS!$A:$AK,36,FALSE),"")</f>
      </c>
    </row>
    <row r="512" ht="16.5" customHeight="1" spans="1:23" x14ac:dyDescent="0.25">
      <c r="A512" s="71"/>
      <c r="B512" s="57">
        <f>IFERROR(VLOOKUP($A:$A,CS!$A:$AK,3,FALSE),"")</f>
      </c>
      <c r="C512" s="57">
        <f>IFERROR(VLOOKUP($A:$A,CS!$A:$AK,4,FALSE),"")</f>
      </c>
      <c r="D512" s="57">
        <f>IFERROR(VLOOKUP($A:$A,CS!$A:$AK,5,FALSE),"")</f>
      </c>
      <c r="E512" s="57">
        <f>IFERROR(VLOOKUP($A:$A,CS!$A:$AK,7,FALSE),"")</f>
      </c>
      <c r="F512" s="57">
        <f>IFERROR(VLOOKUP($A:$A,CS!$A:$AK,8,FALSE),"")</f>
      </c>
      <c r="G512" s="57">
        <f>IFERROR(VLOOKUP($A:$A,CS!$A:$AK,10,FALSE),"")</f>
      </c>
      <c r="H512" s="57">
        <f>IFERROR(VLOOKUP($A:$A,CS!$A:$AK,14,FALSE),"")</f>
      </c>
      <c r="I512" s="57">
        <f>IFERROR(VLOOKUP($A:$A,CS!$A:$AK,15,FALSE),"")</f>
      </c>
      <c r="J512" s="57">
        <f>IFERROR(VLOOKUP($A:$A,CS!$A:$AK,18,FALSE),"")</f>
      </c>
      <c r="K512" s="57">
        <f>IFERROR(VLOOKUP($A:$A,CS!$A:$AK,19,FALSE),"")</f>
      </c>
      <c r="L512" s="57">
        <f>IFERROR(VLOOKUP($A:$A,CS!$A:$AK,20,FALSE),"")</f>
      </c>
      <c r="M512" s="57">
        <f>IFERROR(VLOOKUP($A:$A,CS!$A:$AK,22,FALSE),"")</f>
      </c>
      <c r="N512" s="57">
        <f>IFERROR(VLOOKUP($A:$A,CS!$A:$AK,19,FALSE),"")</f>
      </c>
      <c r="O512" s="57">
        <f>IFERROR(VLOOKUP($A:$A,CS!$A:$AK,23,FALSE),"")</f>
      </c>
      <c r="P512" s="57">
        <f>IFERROR(VLOOKUP($A:$A,CS!$A:$AK,24,FALSE),"")</f>
      </c>
      <c r="Q512" s="57">
        <f>IFERROR(VLOOKUP($A:$A,CS!$A:$AK,25,FALSE),"")</f>
      </c>
      <c r="R512" s="57">
        <f>IFERROR(VLOOKUP($A:$A,CS!$A:$AK,26,FALSE),"")</f>
      </c>
      <c r="S512" s="57">
        <f>IFERROR(VLOOKUP($A:$A,CS!$A:$AK,29,FALSE),"")</f>
      </c>
      <c r="T512" s="57">
        <f>IFERROR(VLOOKUP($A:$A,CS!$A:$AK,33,FALSE),"")</f>
      </c>
      <c r="U512" s="57">
        <f>IFERROR(VLOOKUP($A:$A,CS!$A:$AK,34,FALSE),"")</f>
      </c>
      <c r="V512" s="57">
        <f>IFERROR(VLOOKUP($A:$A,CS!$A:$AK,35,FALSE),"")</f>
      </c>
      <c r="W512" s="57">
        <f>IFERROR(VLOOKUP($A:$A,CS!$A:$AK,36,FALSE),"")</f>
      </c>
    </row>
    <row r="513" ht="16.5" customHeight="1" spans="1:23" x14ac:dyDescent="0.25">
      <c r="A513" s="71"/>
      <c r="B513" s="57">
        <f>IFERROR(VLOOKUP($A:$A,CS!$A:$AK,3,FALSE),"")</f>
      </c>
      <c r="C513" s="57">
        <f>IFERROR(VLOOKUP($A:$A,CS!$A:$AK,4,FALSE),"")</f>
      </c>
      <c r="D513" s="57">
        <f>IFERROR(VLOOKUP($A:$A,CS!$A:$AK,5,FALSE),"")</f>
      </c>
      <c r="E513" s="57">
        <f>IFERROR(VLOOKUP($A:$A,CS!$A:$AK,7,FALSE),"")</f>
      </c>
      <c r="F513" s="57">
        <f>IFERROR(VLOOKUP($A:$A,CS!$A:$AK,8,FALSE),"")</f>
      </c>
      <c r="G513" s="57">
        <f>IFERROR(VLOOKUP($A:$A,CS!$A:$AK,10,FALSE),"")</f>
      </c>
      <c r="H513" s="57">
        <f>IFERROR(VLOOKUP($A:$A,CS!$A:$AK,14,FALSE),"")</f>
      </c>
      <c r="I513" s="57">
        <f>IFERROR(VLOOKUP($A:$A,CS!$A:$AK,15,FALSE),"")</f>
      </c>
      <c r="J513" s="57">
        <f>IFERROR(VLOOKUP($A:$A,CS!$A:$AK,18,FALSE),"")</f>
      </c>
      <c r="K513" s="57">
        <f>IFERROR(VLOOKUP($A:$A,CS!$A:$AK,19,FALSE),"")</f>
      </c>
      <c r="L513" s="57">
        <f>IFERROR(VLOOKUP($A:$A,CS!$A:$AK,20,FALSE),"")</f>
      </c>
      <c r="M513" s="57">
        <f>IFERROR(VLOOKUP($A:$A,CS!$A:$AK,22,FALSE),"")</f>
      </c>
      <c r="N513" s="57">
        <f>IFERROR(VLOOKUP($A:$A,CS!$A:$AK,19,FALSE),"")</f>
      </c>
      <c r="O513" s="57">
        <f>IFERROR(VLOOKUP($A:$A,CS!$A:$AK,23,FALSE),"")</f>
      </c>
      <c r="P513" s="57">
        <f>IFERROR(VLOOKUP($A:$A,CS!$A:$AK,24,FALSE),"")</f>
      </c>
      <c r="Q513" s="57">
        <f>IFERROR(VLOOKUP($A:$A,CS!$A:$AK,25,FALSE),"")</f>
      </c>
      <c r="R513" s="57">
        <f>IFERROR(VLOOKUP($A:$A,CS!$A:$AK,26,FALSE),"")</f>
      </c>
      <c r="S513" s="57">
        <f>IFERROR(VLOOKUP($A:$A,CS!$A:$AK,29,FALSE),"")</f>
      </c>
      <c r="T513" s="57">
        <f>IFERROR(VLOOKUP($A:$A,CS!$A:$AK,33,FALSE),"")</f>
      </c>
      <c r="U513" s="57">
        <f>IFERROR(VLOOKUP($A:$A,CS!$A:$AK,34,FALSE),"")</f>
      </c>
      <c r="V513" s="57">
        <f>IFERROR(VLOOKUP($A:$A,CS!$A:$AK,35,FALSE),"")</f>
      </c>
      <c r="W513" s="57">
        <f>IFERROR(VLOOKUP($A:$A,CS!$A:$AK,36,FALSE),"")</f>
      </c>
    </row>
    <row r="514" ht="16.5" customHeight="1" spans="1:23" x14ac:dyDescent="0.25">
      <c r="A514" s="71"/>
      <c r="B514" s="57">
        <f>IFERROR(VLOOKUP($A:$A,CS!$A:$AK,3,FALSE),"")</f>
      </c>
      <c r="C514" s="57">
        <f>IFERROR(VLOOKUP($A:$A,CS!$A:$AK,4,FALSE),"")</f>
      </c>
      <c r="D514" s="57">
        <f>IFERROR(VLOOKUP($A:$A,CS!$A:$AK,5,FALSE),"")</f>
      </c>
      <c r="E514" s="57">
        <f>IFERROR(VLOOKUP($A:$A,CS!$A:$AK,7,FALSE),"")</f>
      </c>
      <c r="F514" s="57">
        <f>IFERROR(VLOOKUP($A:$A,CS!$A:$AK,8,FALSE),"")</f>
      </c>
      <c r="G514" s="57">
        <f>IFERROR(VLOOKUP($A:$A,CS!$A:$AK,10,FALSE),"")</f>
      </c>
      <c r="H514" s="57">
        <f>IFERROR(VLOOKUP($A:$A,CS!$A:$AK,14,FALSE),"")</f>
      </c>
      <c r="I514" s="57">
        <f>IFERROR(VLOOKUP($A:$A,CS!$A:$AK,15,FALSE),"")</f>
      </c>
      <c r="J514" s="57">
        <f>IFERROR(VLOOKUP($A:$A,CS!$A:$AK,18,FALSE),"")</f>
      </c>
      <c r="K514" s="57">
        <f>IFERROR(VLOOKUP($A:$A,CS!$A:$AK,19,FALSE),"")</f>
      </c>
      <c r="L514" s="57">
        <f>IFERROR(VLOOKUP($A:$A,CS!$A:$AK,20,FALSE),"")</f>
      </c>
      <c r="M514" s="57">
        <f>IFERROR(VLOOKUP($A:$A,CS!$A:$AK,22,FALSE),"")</f>
      </c>
      <c r="N514" s="57">
        <f>IFERROR(VLOOKUP($A:$A,CS!$A:$AK,19,FALSE),"")</f>
      </c>
      <c r="O514" s="57">
        <f>IFERROR(VLOOKUP($A:$A,CS!$A:$AK,23,FALSE),"")</f>
      </c>
      <c r="P514" s="57">
        <f>IFERROR(VLOOKUP($A:$A,CS!$A:$AK,24,FALSE),"")</f>
      </c>
      <c r="Q514" s="57">
        <f>IFERROR(VLOOKUP($A:$A,CS!$A:$AK,25,FALSE),"")</f>
      </c>
      <c r="R514" s="57">
        <f>IFERROR(VLOOKUP($A:$A,CS!$A:$AK,26,FALSE),"")</f>
      </c>
      <c r="S514" s="57">
        <f>IFERROR(VLOOKUP($A:$A,CS!$A:$AK,29,FALSE),"")</f>
      </c>
      <c r="T514" s="57">
        <f>IFERROR(VLOOKUP($A:$A,CS!$A:$AK,33,FALSE),"")</f>
      </c>
      <c r="U514" s="57">
        <f>IFERROR(VLOOKUP($A:$A,CS!$A:$AK,34,FALSE),"")</f>
      </c>
      <c r="V514" s="57">
        <f>IFERROR(VLOOKUP($A:$A,CS!$A:$AK,35,FALSE),"")</f>
      </c>
      <c r="W514" s="57">
        <f>IFERROR(VLOOKUP($A:$A,CS!$A:$AK,36,FALSE),"")</f>
      </c>
    </row>
    <row r="515" ht="16.5" customHeight="1" spans="1:23" x14ac:dyDescent="0.25">
      <c r="A515" s="71"/>
      <c r="B515" s="57">
        <f>IFERROR(VLOOKUP($A:$A,CS!$A:$AK,3,FALSE),"")</f>
      </c>
      <c r="C515" s="57">
        <f>IFERROR(VLOOKUP($A:$A,CS!$A:$AK,4,FALSE),"")</f>
      </c>
      <c r="D515" s="57">
        <f>IFERROR(VLOOKUP($A:$A,CS!$A:$AK,5,FALSE),"")</f>
      </c>
      <c r="E515" s="57">
        <f>IFERROR(VLOOKUP($A:$A,CS!$A:$AK,7,FALSE),"")</f>
      </c>
      <c r="F515" s="57">
        <f>IFERROR(VLOOKUP($A:$A,CS!$A:$AK,8,FALSE),"")</f>
      </c>
      <c r="G515" s="57">
        <f>IFERROR(VLOOKUP($A:$A,CS!$A:$AK,10,FALSE),"")</f>
      </c>
      <c r="H515" s="57">
        <f>IFERROR(VLOOKUP($A:$A,CS!$A:$AK,14,FALSE),"")</f>
      </c>
      <c r="I515" s="57">
        <f>IFERROR(VLOOKUP($A:$A,CS!$A:$AK,15,FALSE),"")</f>
      </c>
      <c r="J515" s="57">
        <f>IFERROR(VLOOKUP($A:$A,CS!$A:$AK,18,FALSE),"")</f>
      </c>
      <c r="K515" s="57">
        <f>IFERROR(VLOOKUP($A:$A,CS!$A:$AK,19,FALSE),"")</f>
      </c>
      <c r="L515" s="57">
        <f>IFERROR(VLOOKUP($A:$A,CS!$A:$AK,20,FALSE),"")</f>
      </c>
      <c r="M515" s="57">
        <f>IFERROR(VLOOKUP($A:$A,CS!$A:$AK,22,FALSE),"")</f>
      </c>
      <c r="N515" s="57">
        <f>IFERROR(VLOOKUP($A:$A,CS!$A:$AK,19,FALSE),"")</f>
      </c>
      <c r="O515" s="57">
        <f>IFERROR(VLOOKUP($A:$A,CS!$A:$AK,23,FALSE),"")</f>
      </c>
      <c r="P515" s="57">
        <f>IFERROR(VLOOKUP($A:$A,CS!$A:$AK,24,FALSE),"")</f>
      </c>
      <c r="Q515" s="57">
        <f>IFERROR(VLOOKUP($A:$A,CS!$A:$AK,25,FALSE),"")</f>
      </c>
      <c r="R515" s="57">
        <f>IFERROR(VLOOKUP($A:$A,CS!$A:$AK,26,FALSE),"")</f>
      </c>
      <c r="S515" s="57">
        <f>IFERROR(VLOOKUP($A:$A,CS!$A:$AK,29,FALSE),"")</f>
      </c>
      <c r="T515" s="57">
        <f>IFERROR(VLOOKUP($A:$A,CS!$A:$AK,33,FALSE),"")</f>
      </c>
      <c r="U515" s="57">
        <f>IFERROR(VLOOKUP($A:$A,CS!$A:$AK,34,FALSE),"")</f>
      </c>
      <c r="V515" s="57">
        <f>IFERROR(VLOOKUP($A:$A,CS!$A:$AK,35,FALSE),"")</f>
      </c>
      <c r="W515" s="57">
        <f>IFERROR(VLOOKUP($A:$A,CS!$A:$AK,36,FALSE),"")</f>
      </c>
    </row>
    <row r="516" ht="16.5" customHeight="1" spans="1:23" x14ac:dyDescent="0.25">
      <c r="A516" s="71"/>
      <c r="B516" s="57">
        <f>IFERROR(VLOOKUP($A:$A,CS!$A:$AK,3,FALSE),"")</f>
      </c>
      <c r="C516" s="57">
        <f>IFERROR(VLOOKUP($A:$A,CS!$A:$AK,4,FALSE),"")</f>
      </c>
      <c r="D516" s="57">
        <f>IFERROR(VLOOKUP($A:$A,CS!$A:$AK,5,FALSE),"")</f>
      </c>
      <c r="E516" s="57">
        <f>IFERROR(VLOOKUP($A:$A,CS!$A:$AK,7,FALSE),"")</f>
      </c>
      <c r="F516" s="57">
        <f>IFERROR(VLOOKUP($A:$A,CS!$A:$AK,8,FALSE),"")</f>
      </c>
      <c r="G516" s="57">
        <f>IFERROR(VLOOKUP($A:$A,CS!$A:$AK,10,FALSE),"")</f>
      </c>
      <c r="H516" s="57">
        <f>IFERROR(VLOOKUP($A:$A,CS!$A:$AK,14,FALSE),"")</f>
      </c>
      <c r="I516" s="57">
        <f>IFERROR(VLOOKUP($A:$A,CS!$A:$AK,15,FALSE),"")</f>
      </c>
      <c r="J516" s="57">
        <f>IFERROR(VLOOKUP($A:$A,CS!$A:$AK,18,FALSE),"")</f>
      </c>
      <c r="K516" s="57">
        <f>IFERROR(VLOOKUP($A:$A,CS!$A:$AK,19,FALSE),"")</f>
      </c>
      <c r="L516" s="57">
        <f>IFERROR(VLOOKUP($A:$A,CS!$A:$AK,20,FALSE),"")</f>
      </c>
      <c r="M516" s="57">
        <f>IFERROR(VLOOKUP($A:$A,CS!$A:$AK,22,FALSE),"")</f>
      </c>
      <c r="N516" s="57">
        <f>IFERROR(VLOOKUP($A:$A,CS!$A:$AK,19,FALSE),"")</f>
      </c>
      <c r="O516" s="57">
        <f>IFERROR(VLOOKUP($A:$A,CS!$A:$AK,23,FALSE),"")</f>
      </c>
      <c r="P516" s="57">
        <f>IFERROR(VLOOKUP($A:$A,CS!$A:$AK,24,FALSE),"")</f>
      </c>
      <c r="Q516" s="57">
        <f>IFERROR(VLOOKUP($A:$A,CS!$A:$AK,25,FALSE),"")</f>
      </c>
      <c r="R516" s="57">
        <f>IFERROR(VLOOKUP($A:$A,CS!$A:$AK,26,FALSE),"")</f>
      </c>
      <c r="S516" s="57">
        <f>IFERROR(VLOOKUP($A:$A,CS!$A:$AK,29,FALSE),"")</f>
      </c>
      <c r="T516" s="57">
        <f>IFERROR(VLOOKUP($A:$A,CS!$A:$AK,33,FALSE),"")</f>
      </c>
      <c r="U516" s="57">
        <f>IFERROR(VLOOKUP($A:$A,CS!$A:$AK,34,FALSE),"")</f>
      </c>
      <c r="V516" s="57">
        <f>IFERROR(VLOOKUP($A:$A,CS!$A:$AK,35,FALSE),"")</f>
      </c>
      <c r="W516" s="57">
        <f>IFERROR(VLOOKUP($A:$A,CS!$A:$AK,36,FALSE),"")</f>
      </c>
    </row>
    <row r="517" ht="16.5" customHeight="1" spans="1:23" x14ac:dyDescent="0.25">
      <c r="A517" s="71"/>
      <c r="B517" s="57">
        <f>IFERROR(VLOOKUP($A:$A,CS!$A:$AK,3,FALSE),"")</f>
      </c>
      <c r="C517" s="57">
        <f>IFERROR(VLOOKUP($A:$A,CS!$A:$AK,4,FALSE),"")</f>
      </c>
      <c r="D517" s="57">
        <f>IFERROR(VLOOKUP($A:$A,CS!$A:$AK,5,FALSE),"")</f>
      </c>
      <c r="E517" s="57">
        <f>IFERROR(VLOOKUP($A:$A,CS!$A:$AK,7,FALSE),"")</f>
      </c>
      <c r="F517" s="57">
        <f>IFERROR(VLOOKUP($A:$A,CS!$A:$AK,8,FALSE),"")</f>
      </c>
      <c r="G517" s="57">
        <f>IFERROR(VLOOKUP($A:$A,CS!$A:$AK,10,FALSE),"")</f>
      </c>
      <c r="H517" s="57">
        <f>IFERROR(VLOOKUP($A:$A,CS!$A:$AK,14,FALSE),"")</f>
      </c>
      <c r="I517" s="57">
        <f>IFERROR(VLOOKUP($A:$A,CS!$A:$AK,15,FALSE),"")</f>
      </c>
      <c r="J517" s="57">
        <f>IFERROR(VLOOKUP($A:$A,CS!$A:$AK,18,FALSE),"")</f>
      </c>
      <c r="K517" s="57">
        <f>IFERROR(VLOOKUP($A:$A,CS!$A:$AK,19,FALSE),"")</f>
      </c>
      <c r="L517" s="57">
        <f>IFERROR(VLOOKUP($A:$A,CS!$A:$AK,20,FALSE),"")</f>
      </c>
      <c r="M517" s="57">
        <f>IFERROR(VLOOKUP($A:$A,CS!$A:$AK,22,FALSE),"")</f>
      </c>
      <c r="N517" s="57">
        <f>IFERROR(VLOOKUP($A:$A,CS!$A:$AK,19,FALSE),"")</f>
      </c>
      <c r="O517" s="57">
        <f>IFERROR(VLOOKUP($A:$A,CS!$A:$AK,23,FALSE),"")</f>
      </c>
      <c r="P517" s="57">
        <f>IFERROR(VLOOKUP($A:$A,CS!$A:$AK,24,FALSE),"")</f>
      </c>
      <c r="Q517" s="57">
        <f>IFERROR(VLOOKUP($A:$A,CS!$A:$AK,25,FALSE),"")</f>
      </c>
      <c r="R517" s="57">
        <f>IFERROR(VLOOKUP($A:$A,CS!$A:$AK,26,FALSE),"")</f>
      </c>
      <c r="S517" s="57">
        <f>IFERROR(VLOOKUP($A:$A,CS!$A:$AK,29,FALSE),"")</f>
      </c>
      <c r="T517" s="57">
        <f>IFERROR(VLOOKUP($A:$A,CS!$A:$AK,33,FALSE),"")</f>
      </c>
      <c r="U517" s="57">
        <f>IFERROR(VLOOKUP($A:$A,CS!$A:$AK,34,FALSE),"")</f>
      </c>
      <c r="V517" s="57">
        <f>IFERROR(VLOOKUP($A:$A,CS!$A:$AK,35,FALSE),"")</f>
      </c>
      <c r="W517" s="57">
        <f>IFERROR(VLOOKUP($A:$A,CS!$A:$AK,36,FALSE),"")</f>
      </c>
    </row>
    <row r="518" ht="16.5" customHeight="1" spans="1:23" x14ac:dyDescent="0.25">
      <c r="A518" s="71"/>
      <c r="B518" s="57">
        <f>IFERROR(VLOOKUP($A:$A,CS!$A:$AK,3,FALSE),"")</f>
      </c>
      <c r="C518" s="57">
        <f>IFERROR(VLOOKUP($A:$A,CS!$A:$AK,4,FALSE),"")</f>
      </c>
      <c r="D518" s="57">
        <f>IFERROR(VLOOKUP($A:$A,CS!$A:$AK,5,FALSE),"")</f>
      </c>
      <c r="E518" s="57">
        <f>IFERROR(VLOOKUP($A:$A,CS!$A:$AK,7,FALSE),"")</f>
      </c>
      <c r="F518" s="57">
        <f>IFERROR(VLOOKUP($A:$A,CS!$A:$AK,8,FALSE),"")</f>
      </c>
      <c r="G518" s="57">
        <f>IFERROR(VLOOKUP($A:$A,CS!$A:$AK,10,FALSE),"")</f>
      </c>
      <c r="H518" s="57">
        <f>IFERROR(VLOOKUP($A:$A,CS!$A:$AK,14,FALSE),"")</f>
      </c>
      <c r="I518" s="57">
        <f>IFERROR(VLOOKUP($A:$A,CS!$A:$AK,15,FALSE),"")</f>
      </c>
      <c r="J518" s="57">
        <f>IFERROR(VLOOKUP($A:$A,CS!$A:$AK,18,FALSE),"")</f>
      </c>
      <c r="K518" s="57">
        <f>IFERROR(VLOOKUP($A:$A,CS!$A:$AK,19,FALSE),"")</f>
      </c>
      <c r="L518" s="57">
        <f>IFERROR(VLOOKUP($A:$A,CS!$A:$AK,20,FALSE),"")</f>
      </c>
      <c r="M518" s="57">
        <f>IFERROR(VLOOKUP($A:$A,CS!$A:$AK,22,FALSE),"")</f>
      </c>
      <c r="N518" s="57">
        <f>IFERROR(VLOOKUP($A:$A,CS!$A:$AK,19,FALSE),"")</f>
      </c>
      <c r="O518" s="57">
        <f>IFERROR(VLOOKUP($A:$A,CS!$A:$AK,23,FALSE),"")</f>
      </c>
      <c r="P518" s="57">
        <f>IFERROR(VLOOKUP($A:$A,CS!$A:$AK,24,FALSE),"")</f>
      </c>
      <c r="Q518" s="57">
        <f>IFERROR(VLOOKUP($A:$A,CS!$A:$AK,25,FALSE),"")</f>
      </c>
      <c r="R518" s="57">
        <f>IFERROR(VLOOKUP($A:$A,CS!$A:$AK,26,FALSE),"")</f>
      </c>
      <c r="S518" s="57">
        <f>IFERROR(VLOOKUP($A:$A,CS!$A:$AK,29,FALSE),"")</f>
      </c>
      <c r="T518" s="57">
        <f>IFERROR(VLOOKUP($A:$A,CS!$A:$AK,33,FALSE),"")</f>
      </c>
      <c r="U518" s="57">
        <f>IFERROR(VLOOKUP($A:$A,CS!$A:$AK,34,FALSE),"")</f>
      </c>
      <c r="V518" s="57">
        <f>IFERROR(VLOOKUP($A:$A,CS!$A:$AK,35,FALSE),"")</f>
      </c>
      <c r="W518" s="57">
        <f>IFERROR(VLOOKUP($A:$A,CS!$A:$AK,36,FALSE),"")</f>
      </c>
    </row>
    <row r="519" ht="16.5" customHeight="1" spans="1:23" x14ac:dyDescent="0.25">
      <c r="A519" s="71"/>
      <c r="B519" s="57">
        <f>IFERROR(VLOOKUP($A:$A,CS!$A:$AK,3,FALSE),"")</f>
      </c>
      <c r="C519" s="57">
        <f>IFERROR(VLOOKUP($A:$A,CS!$A:$AK,4,FALSE),"")</f>
      </c>
      <c r="D519" s="57">
        <f>IFERROR(VLOOKUP($A:$A,CS!$A:$AK,5,FALSE),"")</f>
      </c>
      <c r="E519" s="57">
        <f>IFERROR(VLOOKUP($A:$A,CS!$A:$AK,7,FALSE),"")</f>
      </c>
      <c r="F519" s="57">
        <f>IFERROR(VLOOKUP($A:$A,CS!$A:$AK,8,FALSE),"")</f>
      </c>
      <c r="G519" s="57">
        <f>IFERROR(VLOOKUP($A:$A,CS!$A:$AK,10,FALSE),"")</f>
      </c>
      <c r="H519" s="57">
        <f>IFERROR(VLOOKUP($A:$A,CS!$A:$AK,14,FALSE),"")</f>
      </c>
      <c r="I519" s="57">
        <f>IFERROR(VLOOKUP($A:$A,CS!$A:$AK,15,FALSE),"")</f>
      </c>
      <c r="J519" s="57">
        <f>IFERROR(VLOOKUP($A:$A,CS!$A:$AK,18,FALSE),"")</f>
      </c>
      <c r="K519" s="57">
        <f>IFERROR(VLOOKUP($A:$A,CS!$A:$AK,19,FALSE),"")</f>
      </c>
      <c r="L519" s="57">
        <f>IFERROR(VLOOKUP($A:$A,CS!$A:$AK,20,FALSE),"")</f>
      </c>
      <c r="M519" s="57">
        <f>IFERROR(VLOOKUP($A:$A,CS!$A:$AK,22,FALSE),"")</f>
      </c>
      <c r="N519" s="57">
        <f>IFERROR(VLOOKUP($A:$A,CS!$A:$AK,19,FALSE),"")</f>
      </c>
      <c r="O519" s="57">
        <f>IFERROR(VLOOKUP($A:$A,CS!$A:$AK,23,FALSE),"")</f>
      </c>
      <c r="P519" s="57">
        <f>IFERROR(VLOOKUP($A:$A,CS!$A:$AK,24,FALSE),"")</f>
      </c>
      <c r="Q519" s="57">
        <f>IFERROR(VLOOKUP($A:$A,CS!$A:$AK,25,FALSE),"")</f>
      </c>
      <c r="R519" s="57">
        <f>IFERROR(VLOOKUP($A:$A,CS!$A:$AK,26,FALSE),"")</f>
      </c>
      <c r="S519" s="57">
        <f>IFERROR(VLOOKUP($A:$A,CS!$A:$AK,29,FALSE),"")</f>
      </c>
      <c r="T519" s="57">
        <f>IFERROR(VLOOKUP($A:$A,CS!$A:$AK,33,FALSE),"")</f>
      </c>
      <c r="U519" s="57">
        <f>IFERROR(VLOOKUP($A:$A,CS!$A:$AK,34,FALSE),"")</f>
      </c>
      <c r="V519" s="57">
        <f>IFERROR(VLOOKUP($A:$A,CS!$A:$AK,35,FALSE),"")</f>
      </c>
      <c r="W519" s="57">
        <f>IFERROR(VLOOKUP($A:$A,CS!$A:$AK,36,FALSE),"")</f>
      </c>
    </row>
    <row r="520" ht="16.5" customHeight="1" spans="1:23" x14ac:dyDescent="0.25">
      <c r="A520" s="71"/>
      <c r="B520" s="57">
        <f>IFERROR(VLOOKUP($A:$A,CS!$A:$AK,3,FALSE),"")</f>
      </c>
      <c r="C520" s="57">
        <f>IFERROR(VLOOKUP($A:$A,CS!$A:$AK,4,FALSE),"")</f>
      </c>
      <c r="D520" s="57">
        <f>IFERROR(VLOOKUP($A:$A,CS!$A:$AK,5,FALSE),"")</f>
      </c>
      <c r="E520" s="57">
        <f>IFERROR(VLOOKUP($A:$A,CS!$A:$AK,7,FALSE),"")</f>
      </c>
      <c r="F520" s="57">
        <f>IFERROR(VLOOKUP($A:$A,CS!$A:$AK,8,FALSE),"")</f>
      </c>
      <c r="G520" s="57">
        <f>IFERROR(VLOOKUP($A:$A,CS!$A:$AK,10,FALSE),"")</f>
      </c>
      <c r="H520" s="57">
        <f>IFERROR(VLOOKUP($A:$A,CS!$A:$AK,14,FALSE),"")</f>
      </c>
      <c r="I520" s="57">
        <f>IFERROR(VLOOKUP($A:$A,CS!$A:$AK,15,FALSE),"")</f>
      </c>
      <c r="J520" s="57">
        <f>IFERROR(VLOOKUP($A:$A,CS!$A:$AK,18,FALSE),"")</f>
      </c>
      <c r="K520" s="57">
        <f>IFERROR(VLOOKUP($A:$A,CS!$A:$AK,19,FALSE),"")</f>
      </c>
      <c r="L520" s="57">
        <f>IFERROR(VLOOKUP($A:$A,CS!$A:$AK,20,FALSE),"")</f>
      </c>
      <c r="M520" s="57">
        <f>IFERROR(VLOOKUP($A:$A,CS!$A:$AK,22,FALSE),"")</f>
      </c>
      <c r="N520" s="57">
        <f>IFERROR(VLOOKUP($A:$A,CS!$A:$AK,19,FALSE),"")</f>
      </c>
      <c r="O520" s="57">
        <f>IFERROR(VLOOKUP($A:$A,CS!$A:$AK,23,FALSE),"")</f>
      </c>
      <c r="P520" s="57">
        <f>IFERROR(VLOOKUP($A:$A,CS!$A:$AK,24,FALSE),"")</f>
      </c>
      <c r="Q520" s="57">
        <f>IFERROR(VLOOKUP($A:$A,CS!$A:$AK,25,FALSE),"")</f>
      </c>
      <c r="R520" s="57">
        <f>IFERROR(VLOOKUP($A:$A,CS!$A:$AK,26,FALSE),"")</f>
      </c>
      <c r="S520" s="57">
        <f>IFERROR(VLOOKUP($A:$A,CS!$A:$AK,29,FALSE),"")</f>
      </c>
      <c r="T520" s="57">
        <f>IFERROR(VLOOKUP($A:$A,CS!$A:$AK,33,FALSE),"")</f>
      </c>
      <c r="U520" s="57">
        <f>IFERROR(VLOOKUP($A:$A,CS!$A:$AK,34,FALSE),"")</f>
      </c>
      <c r="V520" s="57">
        <f>IFERROR(VLOOKUP($A:$A,CS!$A:$AK,35,FALSE),"")</f>
      </c>
      <c r="W520" s="57">
        <f>IFERROR(VLOOKUP($A:$A,CS!$A:$AK,36,FALSE),"")</f>
      </c>
    </row>
    <row r="521" ht="16.5" customHeight="1" spans="1:23" x14ac:dyDescent="0.25">
      <c r="A521" s="71"/>
      <c r="B521" s="57">
        <f>IFERROR(VLOOKUP($A:$A,CS!$A:$AK,3,FALSE),"")</f>
      </c>
      <c r="C521" s="57">
        <f>IFERROR(VLOOKUP($A:$A,CS!$A:$AK,4,FALSE),"")</f>
      </c>
      <c r="D521" s="57">
        <f>IFERROR(VLOOKUP($A:$A,CS!$A:$AK,5,FALSE),"")</f>
      </c>
      <c r="E521" s="57">
        <f>IFERROR(VLOOKUP($A:$A,CS!$A:$AK,7,FALSE),"")</f>
      </c>
      <c r="F521" s="57">
        <f>IFERROR(VLOOKUP($A:$A,CS!$A:$AK,8,FALSE),"")</f>
      </c>
      <c r="G521" s="57">
        <f>IFERROR(VLOOKUP($A:$A,CS!$A:$AK,10,FALSE),"")</f>
      </c>
      <c r="H521" s="57">
        <f>IFERROR(VLOOKUP($A:$A,CS!$A:$AK,14,FALSE),"")</f>
      </c>
      <c r="I521" s="57">
        <f>IFERROR(VLOOKUP($A:$A,CS!$A:$AK,15,FALSE),"")</f>
      </c>
      <c r="J521" s="57">
        <f>IFERROR(VLOOKUP($A:$A,CS!$A:$AK,18,FALSE),"")</f>
      </c>
      <c r="K521" s="57">
        <f>IFERROR(VLOOKUP($A:$A,CS!$A:$AK,19,FALSE),"")</f>
      </c>
      <c r="L521" s="57">
        <f>IFERROR(VLOOKUP($A:$A,CS!$A:$AK,20,FALSE),"")</f>
      </c>
      <c r="M521" s="57">
        <f>IFERROR(VLOOKUP($A:$A,CS!$A:$AK,22,FALSE),"")</f>
      </c>
      <c r="N521" s="57">
        <f>IFERROR(VLOOKUP($A:$A,CS!$A:$AK,19,FALSE),"")</f>
      </c>
      <c r="O521" s="57">
        <f>IFERROR(VLOOKUP($A:$A,CS!$A:$AK,23,FALSE),"")</f>
      </c>
      <c r="P521" s="57">
        <f>IFERROR(VLOOKUP($A:$A,CS!$A:$AK,24,FALSE),"")</f>
      </c>
      <c r="Q521" s="57">
        <f>IFERROR(VLOOKUP($A:$A,CS!$A:$AK,25,FALSE),"")</f>
      </c>
      <c r="R521" s="57">
        <f>IFERROR(VLOOKUP($A:$A,CS!$A:$AK,26,FALSE),"")</f>
      </c>
      <c r="S521" s="57">
        <f>IFERROR(VLOOKUP($A:$A,CS!$A:$AK,29,FALSE),"")</f>
      </c>
      <c r="T521" s="57">
        <f>IFERROR(VLOOKUP($A:$A,CS!$A:$AK,33,FALSE),"")</f>
      </c>
      <c r="U521" s="57">
        <f>IFERROR(VLOOKUP($A:$A,CS!$A:$AK,34,FALSE),"")</f>
      </c>
      <c r="V521" s="57">
        <f>IFERROR(VLOOKUP($A:$A,CS!$A:$AK,35,FALSE),"")</f>
      </c>
      <c r="W521" s="57">
        <f>IFERROR(VLOOKUP($A:$A,CS!$A:$AK,36,FALSE),"")</f>
      </c>
    </row>
    <row r="522" ht="16.5" customHeight="1" spans="1:23" x14ac:dyDescent="0.25">
      <c r="A522" s="71"/>
      <c r="B522" s="57">
        <f>IFERROR(VLOOKUP($A:$A,CS!$A:$AK,3,FALSE),"")</f>
      </c>
      <c r="C522" s="57">
        <f>IFERROR(VLOOKUP($A:$A,CS!$A:$AK,4,FALSE),"")</f>
      </c>
      <c r="D522" s="57">
        <f>IFERROR(VLOOKUP($A:$A,CS!$A:$AK,5,FALSE),"")</f>
      </c>
      <c r="E522" s="57">
        <f>IFERROR(VLOOKUP($A:$A,CS!$A:$AK,7,FALSE),"")</f>
      </c>
      <c r="F522" s="57">
        <f>IFERROR(VLOOKUP($A:$A,CS!$A:$AK,8,FALSE),"")</f>
      </c>
      <c r="G522" s="57">
        <f>IFERROR(VLOOKUP($A:$A,CS!$A:$AK,10,FALSE),"")</f>
      </c>
      <c r="H522" s="57">
        <f>IFERROR(VLOOKUP($A:$A,CS!$A:$AK,14,FALSE),"")</f>
      </c>
      <c r="I522" s="57">
        <f>IFERROR(VLOOKUP($A:$A,CS!$A:$AK,15,FALSE),"")</f>
      </c>
      <c r="J522" s="57">
        <f>IFERROR(VLOOKUP($A:$A,CS!$A:$AK,18,FALSE),"")</f>
      </c>
      <c r="K522" s="57">
        <f>IFERROR(VLOOKUP($A:$A,CS!$A:$AK,19,FALSE),"")</f>
      </c>
      <c r="L522" s="57">
        <f>IFERROR(VLOOKUP($A:$A,CS!$A:$AK,20,FALSE),"")</f>
      </c>
      <c r="M522" s="57">
        <f>IFERROR(VLOOKUP($A:$A,CS!$A:$AK,22,FALSE),"")</f>
      </c>
      <c r="N522" s="57">
        <f>IFERROR(VLOOKUP($A:$A,CS!$A:$AK,19,FALSE),"")</f>
      </c>
      <c r="O522" s="57">
        <f>IFERROR(VLOOKUP($A:$A,CS!$A:$AK,23,FALSE),"")</f>
      </c>
      <c r="P522" s="57">
        <f>IFERROR(VLOOKUP($A:$A,CS!$A:$AK,24,FALSE),"")</f>
      </c>
      <c r="Q522" s="57">
        <f>IFERROR(VLOOKUP($A:$A,CS!$A:$AK,25,FALSE),"")</f>
      </c>
      <c r="R522" s="57">
        <f>IFERROR(VLOOKUP($A:$A,CS!$A:$AK,26,FALSE),"")</f>
      </c>
      <c r="S522" s="57">
        <f>IFERROR(VLOOKUP($A:$A,CS!$A:$AK,29,FALSE),"")</f>
      </c>
      <c r="T522" s="57">
        <f>IFERROR(VLOOKUP($A:$A,CS!$A:$AK,33,FALSE),"")</f>
      </c>
      <c r="U522" s="57">
        <f>IFERROR(VLOOKUP($A:$A,CS!$A:$AK,34,FALSE),"")</f>
      </c>
      <c r="V522" s="57">
        <f>IFERROR(VLOOKUP($A:$A,CS!$A:$AK,35,FALSE),"")</f>
      </c>
      <c r="W522" s="57">
        <f>IFERROR(VLOOKUP($A:$A,CS!$A:$AK,36,FALSE),"")</f>
      </c>
    </row>
    <row r="523" ht="16.5" customHeight="1" spans="1:23" x14ac:dyDescent="0.25">
      <c r="A523" s="71"/>
      <c r="B523" s="57">
        <f>IFERROR(VLOOKUP($A:$A,CS!$A:$AK,3,FALSE),"")</f>
      </c>
      <c r="C523" s="57">
        <f>IFERROR(VLOOKUP($A:$A,CS!$A:$AK,4,FALSE),"")</f>
      </c>
      <c r="D523" s="57">
        <f>IFERROR(VLOOKUP($A:$A,CS!$A:$AK,5,FALSE),"")</f>
      </c>
      <c r="E523" s="57">
        <f>IFERROR(VLOOKUP($A:$A,CS!$A:$AK,7,FALSE),"")</f>
      </c>
      <c r="F523" s="57">
        <f>IFERROR(VLOOKUP($A:$A,CS!$A:$AK,8,FALSE),"")</f>
      </c>
      <c r="G523" s="57">
        <f>IFERROR(VLOOKUP($A:$A,CS!$A:$AK,10,FALSE),"")</f>
      </c>
      <c r="H523" s="57">
        <f>IFERROR(VLOOKUP($A:$A,CS!$A:$AK,14,FALSE),"")</f>
      </c>
      <c r="I523" s="57">
        <f>IFERROR(VLOOKUP($A:$A,CS!$A:$AK,15,FALSE),"")</f>
      </c>
      <c r="J523" s="57">
        <f>IFERROR(VLOOKUP($A:$A,CS!$A:$AK,18,FALSE),"")</f>
      </c>
      <c r="K523" s="57">
        <f>IFERROR(VLOOKUP($A:$A,CS!$A:$AK,19,FALSE),"")</f>
      </c>
      <c r="L523" s="57">
        <f>IFERROR(VLOOKUP($A:$A,CS!$A:$AK,20,FALSE),"")</f>
      </c>
      <c r="M523" s="57">
        <f>IFERROR(VLOOKUP($A:$A,CS!$A:$AK,22,FALSE),"")</f>
      </c>
      <c r="N523" s="57">
        <f>IFERROR(VLOOKUP($A:$A,CS!$A:$AK,19,FALSE),"")</f>
      </c>
      <c r="O523" s="57">
        <f>IFERROR(VLOOKUP($A:$A,CS!$A:$AK,23,FALSE),"")</f>
      </c>
      <c r="P523" s="57">
        <f>IFERROR(VLOOKUP($A:$A,CS!$A:$AK,24,FALSE),"")</f>
      </c>
      <c r="Q523" s="57">
        <f>IFERROR(VLOOKUP($A:$A,CS!$A:$AK,25,FALSE),"")</f>
      </c>
      <c r="R523" s="57">
        <f>IFERROR(VLOOKUP($A:$A,CS!$A:$AK,26,FALSE),"")</f>
      </c>
      <c r="S523" s="57">
        <f>IFERROR(VLOOKUP($A:$A,CS!$A:$AK,29,FALSE),"")</f>
      </c>
      <c r="T523" s="57">
        <f>IFERROR(VLOOKUP($A:$A,CS!$A:$AK,33,FALSE),"")</f>
      </c>
      <c r="U523" s="57">
        <f>IFERROR(VLOOKUP($A:$A,CS!$A:$AK,34,FALSE),"")</f>
      </c>
      <c r="V523" s="57">
        <f>IFERROR(VLOOKUP($A:$A,CS!$A:$AK,35,FALSE),"")</f>
      </c>
      <c r="W523" s="57">
        <f>IFERROR(VLOOKUP($A:$A,CS!$A:$AK,36,FALSE),"")</f>
      </c>
    </row>
    <row r="524" ht="16.5" customHeight="1" spans="1:23" x14ac:dyDescent="0.25">
      <c r="A524" s="71"/>
      <c r="B524" s="57">
        <f>IFERROR(VLOOKUP($A:$A,CS!$A:$AK,3,FALSE),"")</f>
      </c>
      <c r="C524" s="57">
        <f>IFERROR(VLOOKUP($A:$A,CS!$A:$AK,4,FALSE),"")</f>
      </c>
      <c r="D524" s="57">
        <f>IFERROR(VLOOKUP($A:$A,CS!$A:$AK,5,FALSE),"")</f>
      </c>
      <c r="E524" s="57">
        <f>IFERROR(VLOOKUP($A:$A,CS!$A:$AK,7,FALSE),"")</f>
      </c>
      <c r="F524" s="57">
        <f>IFERROR(VLOOKUP($A:$A,CS!$A:$AK,8,FALSE),"")</f>
      </c>
      <c r="G524" s="57">
        <f>IFERROR(VLOOKUP($A:$A,CS!$A:$AK,10,FALSE),"")</f>
      </c>
      <c r="H524" s="57">
        <f>IFERROR(VLOOKUP($A:$A,CS!$A:$AK,14,FALSE),"")</f>
      </c>
      <c r="I524" s="57">
        <f>IFERROR(VLOOKUP($A:$A,CS!$A:$AK,15,FALSE),"")</f>
      </c>
      <c r="J524" s="57">
        <f>IFERROR(VLOOKUP($A:$A,CS!$A:$AK,18,FALSE),"")</f>
      </c>
      <c r="K524" s="57">
        <f>IFERROR(VLOOKUP($A:$A,CS!$A:$AK,19,FALSE),"")</f>
      </c>
      <c r="L524" s="57">
        <f>IFERROR(VLOOKUP($A:$A,CS!$A:$AK,20,FALSE),"")</f>
      </c>
      <c r="M524" s="57">
        <f>IFERROR(VLOOKUP($A:$A,CS!$A:$AK,22,FALSE),"")</f>
      </c>
      <c r="N524" s="57">
        <f>IFERROR(VLOOKUP($A:$A,CS!$A:$AK,19,FALSE),"")</f>
      </c>
      <c r="O524" s="57">
        <f>IFERROR(VLOOKUP($A:$A,CS!$A:$AK,23,FALSE),"")</f>
      </c>
      <c r="P524" s="57">
        <f>IFERROR(VLOOKUP($A:$A,CS!$A:$AK,24,FALSE),"")</f>
      </c>
      <c r="Q524" s="57">
        <f>IFERROR(VLOOKUP($A:$A,CS!$A:$AK,25,FALSE),"")</f>
      </c>
      <c r="R524" s="57">
        <f>IFERROR(VLOOKUP($A:$A,CS!$A:$AK,26,FALSE),"")</f>
      </c>
      <c r="S524" s="57">
        <f>IFERROR(VLOOKUP($A:$A,CS!$A:$AK,29,FALSE),"")</f>
      </c>
      <c r="T524" s="57">
        <f>IFERROR(VLOOKUP($A:$A,CS!$A:$AK,33,FALSE),"")</f>
      </c>
      <c r="U524" s="57">
        <f>IFERROR(VLOOKUP($A:$A,CS!$A:$AK,34,FALSE),"")</f>
      </c>
      <c r="V524" s="57">
        <f>IFERROR(VLOOKUP($A:$A,CS!$A:$AK,35,FALSE),"")</f>
      </c>
      <c r="W524" s="57">
        <f>IFERROR(VLOOKUP($A:$A,CS!$A:$AK,36,FALSE),"")</f>
      </c>
    </row>
    <row r="525" ht="16.5" customHeight="1" spans="1:23" x14ac:dyDescent="0.25">
      <c r="A525" s="71"/>
      <c r="B525" s="57">
        <f>IFERROR(VLOOKUP($A:$A,CS!$A:$AK,3,FALSE),"")</f>
      </c>
      <c r="C525" s="57">
        <f>IFERROR(VLOOKUP($A:$A,CS!$A:$AK,4,FALSE),"")</f>
      </c>
      <c r="D525" s="57">
        <f>IFERROR(VLOOKUP($A:$A,CS!$A:$AK,5,FALSE),"")</f>
      </c>
      <c r="E525" s="57">
        <f>IFERROR(VLOOKUP($A:$A,CS!$A:$AK,7,FALSE),"")</f>
      </c>
      <c r="F525" s="57">
        <f>IFERROR(VLOOKUP($A:$A,CS!$A:$AK,8,FALSE),"")</f>
      </c>
      <c r="G525" s="57">
        <f>IFERROR(VLOOKUP($A:$A,CS!$A:$AK,10,FALSE),"")</f>
      </c>
      <c r="H525" s="57">
        <f>IFERROR(VLOOKUP($A:$A,CS!$A:$AK,14,FALSE),"")</f>
      </c>
      <c r="I525" s="57">
        <f>IFERROR(VLOOKUP($A:$A,CS!$A:$AK,15,FALSE),"")</f>
      </c>
      <c r="J525" s="57">
        <f>IFERROR(VLOOKUP($A:$A,CS!$A:$AK,18,FALSE),"")</f>
      </c>
      <c r="K525" s="57">
        <f>IFERROR(VLOOKUP($A:$A,CS!$A:$AK,19,FALSE),"")</f>
      </c>
      <c r="L525" s="57">
        <f>IFERROR(VLOOKUP($A:$A,CS!$A:$AK,20,FALSE),"")</f>
      </c>
      <c r="M525" s="57">
        <f>IFERROR(VLOOKUP($A:$A,CS!$A:$AK,22,FALSE),"")</f>
      </c>
      <c r="N525" s="57">
        <f>IFERROR(VLOOKUP($A:$A,CS!$A:$AK,19,FALSE),"")</f>
      </c>
      <c r="O525" s="57">
        <f>IFERROR(VLOOKUP($A:$A,CS!$A:$AK,23,FALSE),"")</f>
      </c>
      <c r="P525" s="57">
        <f>IFERROR(VLOOKUP($A:$A,CS!$A:$AK,24,FALSE),"")</f>
      </c>
      <c r="Q525" s="57">
        <f>IFERROR(VLOOKUP($A:$A,CS!$A:$AK,25,FALSE),"")</f>
      </c>
      <c r="R525" s="57">
        <f>IFERROR(VLOOKUP($A:$A,CS!$A:$AK,26,FALSE),"")</f>
      </c>
      <c r="S525" s="57">
        <f>IFERROR(VLOOKUP($A:$A,CS!$A:$AK,29,FALSE),"")</f>
      </c>
      <c r="T525" s="57">
        <f>IFERROR(VLOOKUP($A:$A,CS!$A:$AK,33,FALSE),"")</f>
      </c>
      <c r="U525" s="57">
        <f>IFERROR(VLOOKUP($A:$A,CS!$A:$AK,34,FALSE),"")</f>
      </c>
      <c r="V525" s="57">
        <f>IFERROR(VLOOKUP($A:$A,CS!$A:$AK,35,FALSE),"")</f>
      </c>
      <c r="W525" s="57">
        <f>IFERROR(VLOOKUP($A:$A,CS!$A:$AK,36,FALSE),"")</f>
      </c>
    </row>
    <row r="526" ht="16.5" customHeight="1" spans="1:23" x14ac:dyDescent="0.25">
      <c r="A526" s="71"/>
      <c r="B526" s="57">
        <f>IFERROR(VLOOKUP($A:$A,CS!$A:$AK,3,FALSE),"")</f>
      </c>
      <c r="C526" s="57">
        <f>IFERROR(VLOOKUP($A:$A,CS!$A:$AK,4,FALSE),"")</f>
      </c>
      <c r="D526" s="57">
        <f>IFERROR(VLOOKUP($A:$A,CS!$A:$AK,5,FALSE),"")</f>
      </c>
      <c r="E526" s="57">
        <f>IFERROR(VLOOKUP($A:$A,CS!$A:$AK,7,FALSE),"")</f>
      </c>
      <c r="F526" s="57">
        <f>IFERROR(VLOOKUP($A:$A,CS!$A:$AK,8,FALSE),"")</f>
      </c>
      <c r="G526" s="57">
        <f>IFERROR(VLOOKUP($A:$A,CS!$A:$AK,10,FALSE),"")</f>
      </c>
      <c r="H526" s="57">
        <f>IFERROR(VLOOKUP($A:$A,CS!$A:$AK,14,FALSE),"")</f>
      </c>
      <c r="I526" s="57">
        <f>IFERROR(VLOOKUP($A:$A,CS!$A:$AK,15,FALSE),"")</f>
      </c>
      <c r="J526" s="57">
        <f>IFERROR(VLOOKUP($A:$A,CS!$A:$AK,18,FALSE),"")</f>
      </c>
      <c r="K526" s="57">
        <f>IFERROR(VLOOKUP($A:$A,CS!$A:$AK,19,FALSE),"")</f>
      </c>
      <c r="L526" s="57">
        <f>IFERROR(VLOOKUP($A:$A,CS!$A:$AK,20,FALSE),"")</f>
      </c>
      <c r="M526" s="57">
        <f>IFERROR(VLOOKUP($A:$A,CS!$A:$AK,22,FALSE),"")</f>
      </c>
      <c r="N526" s="57">
        <f>IFERROR(VLOOKUP($A:$A,CS!$A:$AK,19,FALSE),"")</f>
      </c>
      <c r="O526" s="57">
        <f>IFERROR(VLOOKUP($A:$A,CS!$A:$AK,23,FALSE),"")</f>
      </c>
      <c r="P526" s="57">
        <f>IFERROR(VLOOKUP($A:$A,CS!$A:$AK,24,FALSE),"")</f>
      </c>
      <c r="Q526" s="57">
        <f>IFERROR(VLOOKUP($A:$A,CS!$A:$AK,25,FALSE),"")</f>
      </c>
      <c r="R526" s="57">
        <f>IFERROR(VLOOKUP($A:$A,CS!$A:$AK,26,FALSE),"")</f>
      </c>
      <c r="S526" s="57">
        <f>IFERROR(VLOOKUP($A:$A,CS!$A:$AK,29,FALSE),"")</f>
      </c>
      <c r="T526" s="57">
        <f>IFERROR(VLOOKUP($A:$A,CS!$A:$AK,33,FALSE),"")</f>
      </c>
      <c r="U526" s="57">
        <f>IFERROR(VLOOKUP($A:$A,CS!$A:$AK,34,FALSE),"")</f>
      </c>
      <c r="V526" s="57">
        <f>IFERROR(VLOOKUP($A:$A,CS!$A:$AK,35,FALSE),"")</f>
      </c>
      <c r="W526" s="57">
        <f>IFERROR(VLOOKUP($A:$A,CS!$A:$AK,36,FALSE),"")</f>
      </c>
    </row>
    <row r="527" ht="16.5" customHeight="1" spans="1:23" x14ac:dyDescent="0.25">
      <c r="A527" s="71"/>
      <c r="B527" s="57">
        <f>IFERROR(VLOOKUP($A:$A,CS!$A:$AK,3,FALSE),"")</f>
      </c>
      <c r="C527" s="57">
        <f>IFERROR(VLOOKUP($A:$A,CS!$A:$AK,4,FALSE),"")</f>
      </c>
      <c r="D527" s="57">
        <f>IFERROR(VLOOKUP($A:$A,CS!$A:$AK,5,FALSE),"")</f>
      </c>
      <c r="E527" s="57">
        <f>IFERROR(VLOOKUP($A:$A,CS!$A:$AK,7,FALSE),"")</f>
      </c>
      <c r="F527" s="57">
        <f>IFERROR(VLOOKUP($A:$A,CS!$A:$AK,8,FALSE),"")</f>
      </c>
      <c r="G527" s="57">
        <f>IFERROR(VLOOKUP($A:$A,CS!$A:$AK,10,FALSE),"")</f>
      </c>
      <c r="H527" s="57">
        <f>IFERROR(VLOOKUP($A:$A,CS!$A:$AK,14,FALSE),"")</f>
      </c>
      <c r="I527" s="57">
        <f>IFERROR(VLOOKUP($A:$A,CS!$A:$AK,15,FALSE),"")</f>
      </c>
      <c r="J527" s="57">
        <f>IFERROR(VLOOKUP($A:$A,CS!$A:$AK,18,FALSE),"")</f>
      </c>
      <c r="K527" s="57">
        <f>IFERROR(VLOOKUP($A:$A,CS!$A:$AK,19,FALSE),"")</f>
      </c>
      <c r="L527" s="57">
        <f>IFERROR(VLOOKUP($A:$A,CS!$A:$AK,20,FALSE),"")</f>
      </c>
      <c r="M527" s="57">
        <f>IFERROR(VLOOKUP($A:$A,CS!$A:$AK,22,FALSE),"")</f>
      </c>
      <c r="N527" s="57">
        <f>IFERROR(VLOOKUP($A:$A,CS!$A:$AK,19,FALSE),"")</f>
      </c>
      <c r="O527" s="57">
        <f>IFERROR(VLOOKUP($A:$A,CS!$A:$AK,23,FALSE),"")</f>
      </c>
      <c r="P527" s="57">
        <f>IFERROR(VLOOKUP($A:$A,CS!$A:$AK,24,FALSE),"")</f>
      </c>
      <c r="Q527" s="57">
        <f>IFERROR(VLOOKUP($A:$A,CS!$A:$AK,25,FALSE),"")</f>
      </c>
      <c r="R527" s="57">
        <f>IFERROR(VLOOKUP($A:$A,CS!$A:$AK,26,FALSE),"")</f>
      </c>
      <c r="S527" s="57">
        <f>IFERROR(VLOOKUP($A:$A,CS!$A:$AK,29,FALSE),"")</f>
      </c>
      <c r="T527" s="57">
        <f>IFERROR(VLOOKUP($A:$A,CS!$A:$AK,33,FALSE),"")</f>
      </c>
      <c r="U527" s="57">
        <f>IFERROR(VLOOKUP($A:$A,CS!$A:$AK,34,FALSE),"")</f>
      </c>
      <c r="V527" s="57">
        <f>IFERROR(VLOOKUP($A:$A,CS!$A:$AK,35,FALSE),"")</f>
      </c>
      <c r="W527" s="57">
        <f>IFERROR(VLOOKUP($A:$A,CS!$A:$AK,36,FALSE),"")</f>
      </c>
    </row>
    <row r="528" ht="16.5" customHeight="1" spans="1:23" x14ac:dyDescent="0.25">
      <c r="A528" s="71"/>
      <c r="B528" s="57">
        <f>IFERROR(VLOOKUP($A:$A,CS!$A:$AK,3,FALSE),"")</f>
      </c>
      <c r="C528" s="57">
        <f>IFERROR(VLOOKUP($A:$A,CS!$A:$AK,4,FALSE),"")</f>
      </c>
      <c r="D528" s="57">
        <f>IFERROR(VLOOKUP($A:$A,CS!$A:$AK,5,FALSE),"")</f>
      </c>
      <c r="E528" s="57">
        <f>IFERROR(VLOOKUP($A:$A,CS!$A:$AK,7,FALSE),"")</f>
      </c>
      <c r="F528" s="57">
        <f>IFERROR(VLOOKUP($A:$A,CS!$A:$AK,8,FALSE),"")</f>
      </c>
      <c r="G528" s="57">
        <f>IFERROR(VLOOKUP($A:$A,CS!$A:$AK,10,FALSE),"")</f>
      </c>
      <c r="H528" s="57">
        <f>IFERROR(VLOOKUP($A:$A,CS!$A:$AK,14,FALSE),"")</f>
      </c>
      <c r="I528" s="57">
        <f>IFERROR(VLOOKUP($A:$A,CS!$A:$AK,15,FALSE),"")</f>
      </c>
      <c r="J528" s="57">
        <f>IFERROR(VLOOKUP($A:$A,CS!$A:$AK,18,FALSE),"")</f>
      </c>
      <c r="K528" s="57">
        <f>IFERROR(VLOOKUP($A:$A,CS!$A:$AK,19,FALSE),"")</f>
      </c>
      <c r="L528" s="57">
        <f>IFERROR(VLOOKUP($A:$A,CS!$A:$AK,20,FALSE),"")</f>
      </c>
      <c r="M528" s="57">
        <f>IFERROR(VLOOKUP($A:$A,CS!$A:$AK,22,FALSE),"")</f>
      </c>
      <c r="N528" s="57">
        <f>IFERROR(VLOOKUP($A:$A,CS!$A:$AK,19,FALSE),"")</f>
      </c>
      <c r="O528" s="57">
        <f>IFERROR(VLOOKUP($A:$A,CS!$A:$AK,23,FALSE),"")</f>
      </c>
      <c r="P528" s="57">
        <f>IFERROR(VLOOKUP($A:$A,CS!$A:$AK,24,FALSE),"")</f>
      </c>
      <c r="Q528" s="57">
        <f>IFERROR(VLOOKUP($A:$A,CS!$A:$AK,25,FALSE),"")</f>
      </c>
      <c r="R528" s="57">
        <f>IFERROR(VLOOKUP($A:$A,CS!$A:$AK,26,FALSE),"")</f>
      </c>
      <c r="S528" s="57">
        <f>IFERROR(VLOOKUP($A:$A,CS!$A:$AK,29,FALSE),"")</f>
      </c>
      <c r="T528" s="57">
        <f>IFERROR(VLOOKUP($A:$A,CS!$A:$AK,33,FALSE),"")</f>
      </c>
      <c r="U528" s="57">
        <f>IFERROR(VLOOKUP($A:$A,CS!$A:$AK,34,FALSE),"")</f>
      </c>
      <c r="V528" s="57">
        <f>IFERROR(VLOOKUP($A:$A,CS!$A:$AK,35,FALSE),"")</f>
      </c>
      <c r="W528" s="57">
        <f>IFERROR(VLOOKUP($A:$A,CS!$A:$AK,36,FALSE),"")</f>
      </c>
    </row>
    <row r="529" ht="16.5" customHeight="1" spans="1:23" x14ac:dyDescent="0.25">
      <c r="A529" s="71"/>
      <c r="B529" s="57">
        <f>IFERROR(VLOOKUP($A:$A,CS!$A:$AK,3,FALSE),"")</f>
      </c>
      <c r="C529" s="57">
        <f>IFERROR(VLOOKUP($A:$A,CS!$A:$AK,4,FALSE),"")</f>
      </c>
      <c r="D529" s="57">
        <f>IFERROR(VLOOKUP($A:$A,CS!$A:$AK,5,FALSE),"")</f>
      </c>
      <c r="E529" s="57">
        <f>IFERROR(VLOOKUP($A:$A,CS!$A:$AK,7,FALSE),"")</f>
      </c>
      <c r="F529" s="57">
        <f>IFERROR(VLOOKUP($A:$A,CS!$A:$AK,8,FALSE),"")</f>
      </c>
      <c r="G529" s="57">
        <f>IFERROR(VLOOKUP($A:$A,CS!$A:$AK,10,FALSE),"")</f>
      </c>
      <c r="H529" s="57">
        <f>IFERROR(VLOOKUP($A:$A,CS!$A:$AK,14,FALSE),"")</f>
      </c>
      <c r="I529" s="57">
        <f>IFERROR(VLOOKUP($A:$A,CS!$A:$AK,15,FALSE),"")</f>
      </c>
      <c r="J529" s="57">
        <f>IFERROR(VLOOKUP($A:$A,CS!$A:$AK,18,FALSE),"")</f>
      </c>
      <c r="K529" s="57">
        <f>IFERROR(VLOOKUP($A:$A,CS!$A:$AK,19,FALSE),"")</f>
      </c>
      <c r="L529" s="57">
        <f>IFERROR(VLOOKUP($A:$A,CS!$A:$AK,20,FALSE),"")</f>
      </c>
      <c r="M529" s="57">
        <f>IFERROR(VLOOKUP($A:$A,CS!$A:$AK,22,FALSE),"")</f>
      </c>
      <c r="N529" s="57">
        <f>IFERROR(VLOOKUP($A:$A,CS!$A:$AK,19,FALSE),"")</f>
      </c>
      <c r="O529" s="57">
        <f>IFERROR(VLOOKUP($A:$A,CS!$A:$AK,23,FALSE),"")</f>
      </c>
      <c r="P529" s="57">
        <f>IFERROR(VLOOKUP($A:$A,CS!$A:$AK,24,FALSE),"")</f>
      </c>
      <c r="Q529" s="57">
        <f>IFERROR(VLOOKUP($A:$A,CS!$A:$AK,25,FALSE),"")</f>
      </c>
      <c r="R529" s="57">
        <f>IFERROR(VLOOKUP($A:$A,CS!$A:$AK,26,FALSE),"")</f>
      </c>
      <c r="S529" s="57">
        <f>IFERROR(VLOOKUP($A:$A,CS!$A:$AK,29,FALSE),"")</f>
      </c>
      <c r="T529" s="57">
        <f>IFERROR(VLOOKUP($A:$A,CS!$A:$AK,33,FALSE),"")</f>
      </c>
      <c r="U529" s="57">
        <f>IFERROR(VLOOKUP($A:$A,CS!$A:$AK,34,FALSE),"")</f>
      </c>
      <c r="V529" s="57">
        <f>IFERROR(VLOOKUP($A:$A,CS!$A:$AK,35,FALSE),"")</f>
      </c>
      <c r="W529" s="57">
        <f>IFERROR(VLOOKUP($A:$A,CS!$A:$AK,36,FALSE),"")</f>
      </c>
    </row>
    <row r="530" ht="16.5" customHeight="1" spans="1:23" x14ac:dyDescent="0.25">
      <c r="A530" s="71"/>
      <c r="B530" s="57">
        <f>IFERROR(VLOOKUP($A:$A,CS!$A:$AK,3,FALSE),"")</f>
      </c>
      <c r="C530" s="57">
        <f>IFERROR(VLOOKUP($A:$A,CS!$A:$AK,4,FALSE),"")</f>
      </c>
      <c r="D530" s="57">
        <f>IFERROR(VLOOKUP($A:$A,CS!$A:$AK,5,FALSE),"")</f>
      </c>
      <c r="E530" s="57">
        <f>IFERROR(VLOOKUP($A:$A,CS!$A:$AK,7,FALSE),"")</f>
      </c>
      <c r="F530" s="57">
        <f>IFERROR(VLOOKUP($A:$A,CS!$A:$AK,8,FALSE),"")</f>
      </c>
      <c r="G530" s="57">
        <f>IFERROR(VLOOKUP($A:$A,CS!$A:$AK,10,FALSE),"")</f>
      </c>
      <c r="H530" s="57">
        <f>IFERROR(VLOOKUP($A:$A,CS!$A:$AK,14,FALSE),"")</f>
      </c>
      <c r="I530" s="57">
        <f>IFERROR(VLOOKUP($A:$A,CS!$A:$AK,15,FALSE),"")</f>
      </c>
      <c r="J530" s="57">
        <f>IFERROR(VLOOKUP($A:$A,CS!$A:$AK,18,FALSE),"")</f>
      </c>
      <c r="K530" s="57">
        <f>IFERROR(VLOOKUP($A:$A,CS!$A:$AK,19,FALSE),"")</f>
      </c>
      <c r="L530" s="57">
        <f>IFERROR(VLOOKUP($A:$A,CS!$A:$AK,20,FALSE),"")</f>
      </c>
      <c r="M530" s="57">
        <f>IFERROR(VLOOKUP($A:$A,CS!$A:$AK,22,FALSE),"")</f>
      </c>
      <c r="N530" s="57">
        <f>IFERROR(VLOOKUP($A:$A,CS!$A:$AK,19,FALSE),"")</f>
      </c>
      <c r="O530" s="57">
        <f>IFERROR(VLOOKUP($A:$A,CS!$A:$AK,23,FALSE),"")</f>
      </c>
      <c r="P530" s="57">
        <f>IFERROR(VLOOKUP($A:$A,CS!$A:$AK,24,FALSE),"")</f>
      </c>
      <c r="Q530" s="57">
        <f>IFERROR(VLOOKUP($A:$A,CS!$A:$AK,25,FALSE),"")</f>
      </c>
      <c r="R530" s="57">
        <f>IFERROR(VLOOKUP($A:$A,CS!$A:$AK,26,FALSE),"")</f>
      </c>
      <c r="S530" s="57">
        <f>IFERROR(VLOOKUP($A:$A,CS!$A:$AK,29,FALSE),"")</f>
      </c>
      <c r="T530" s="57">
        <f>IFERROR(VLOOKUP($A:$A,CS!$A:$AK,33,FALSE),"")</f>
      </c>
      <c r="U530" s="57">
        <f>IFERROR(VLOOKUP($A:$A,CS!$A:$AK,34,FALSE),"")</f>
      </c>
      <c r="V530" s="57">
        <f>IFERROR(VLOOKUP($A:$A,CS!$A:$AK,35,FALSE),"")</f>
      </c>
      <c r="W530" s="57">
        <f>IFERROR(VLOOKUP($A:$A,CS!$A:$AK,36,FALSE),"")</f>
      </c>
    </row>
    <row r="531" ht="16.5" customHeight="1" spans="1:23" x14ac:dyDescent="0.25">
      <c r="A531" s="71"/>
      <c r="B531" s="57">
        <f>IFERROR(VLOOKUP($A:$A,CS!$A:$AK,3,FALSE),"")</f>
      </c>
      <c r="C531" s="57">
        <f>IFERROR(VLOOKUP($A:$A,CS!$A:$AK,4,FALSE),"")</f>
      </c>
      <c r="D531" s="57">
        <f>IFERROR(VLOOKUP($A:$A,CS!$A:$AK,5,FALSE),"")</f>
      </c>
      <c r="E531" s="57">
        <f>IFERROR(VLOOKUP($A:$A,CS!$A:$AK,7,FALSE),"")</f>
      </c>
      <c r="F531" s="57">
        <f>IFERROR(VLOOKUP($A:$A,CS!$A:$AK,8,FALSE),"")</f>
      </c>
      <c r="G531" s="57">
        <f>IFERROR(VLOOKUP($A:$A,CS!$A:$AK,10,FALSE),"")</f>
      </c>
      <c r="H531" s="57">
        <f>IFERROR(VLOOKUP($A:$A,CS!$A:$AK,14,FALSE),"")</f>
      </c>
      <c r="I531" s="57">
        <f>IFERROR(VLOOKUP($A:$A,CS!$A:$AK,15,FALSE),"")</f>
      </c>
      <c r="J531" s="57">
        <f>IFERROR(VLOOKUP($A:$A,CS!$A:$AK,18,FALSE),"")</f>
      </c>
      <c r="K531" s="57">
        <f>IFERROR(VLOOKUP($A:$A,CS!$A:$AK,19,FALSE),"")</f>
      </c>
      <c r="L531" s="57">
        <f>IFERROR(VLOOKUP($A:$A,CS!$A:$AK,20,FALSE),"")</f>
      </c>
      <c r="M531" s="57">
        <f>IFERROR(VLOOKUP($A:$A,CS!$A:$AK,22,FALSE),"")</f>
      </c>
      <c r="N531" s="57">
        <f>IFERROR(VLOOKUP($A:$A,CS!$A:$AK,19,FALSE),"")</f>
      </c>
      <c r="O531" s="57">
        <f>IFERROR(VLOOKUP($A:$A,CS!$A:$AK,23,FALSE),"")</f>
      </c>
      <c r="P531" s="57">
        <f>IFERROR(VLOOKUP($A:$A,CS!$A:$AK,24,FALSE),"")</f>
      </c>
      <c r="Q531" s="57">
        <f>IFERROR(VLOOKUP($A:$A,CS!$A:$AK,25,FALSE),"")</f>
      </c>
      <c r="R531" s="57">
        <f>IFERROR(VLOOKUP($A:$A,CS!$A:$AK,26,FALSE),"")</f>
      </c>
      <c r="S531" s="57">
        <f>IFERROR(VLOOKUP($A:$A,CS!$A:$AK,29,FALSE),"")</f>
      </c>
      <c r="T531" s="57">
        <f>IFERROR(VLOOKUP($A:$A,CS!$A:$AK,33,FALSE),"")</f>
      </c>
      <c r="U531" s="57">
        <f>IFERROR(VLOOKUP($A:$A,CS!$A:$AK,34,FALSE),"")</f>
      </c>
      <c r="V531" s="57">
        <f>IFERROR(VLOOKUP($A:$A,CS!$A:$AK,35,FALSE),"")</f>
      </c>
      <c r="W531" s="57">
        <f>IFERROR(VLOOKUP($A:$A,CS!$A:$AK,36,FALSE),"")</f>
      </c>
    </row>
    <row r="532" ht="16.5" customHeight="1" spans="1:23" x14ac:dyDescent="0.25">
      <c r="A532" s="71"/>
      <c r="B532" s="57">
        <f>IFERROR(VLOOKUP($A:$A,CS!$A:$AK,3,FALSE),"")</f>
      </c>
      <c r="C532" s="57">
        <f>IFERROR(VLOOKUP($A:$A,CS!$A:$AK,4,FALSE),"")</f>
      </c>
      <c r="D532" s="57">
        <f>IFERROR(VLOOKUP($A:$A,CS!$A:$AK,5,FALSE),"")</f>
      </c>
      <c r="E532" s="57">
        <f>IFERROR(VLOOKUP($A:$A,CS!$A:$AK,7,FALSE),"")</f>
      </c>
      <c r="F532" s="57">
        <f>IFERROR(VLOOKUP($A:$A,CS!$A:$AK,8,FALSE),"")</f>
      </c>
      <c r="G532" s="57">
        <f>IFERROR(VLOOKUP($A:$A,CS!$A:$AK,10,FALSE),"")</f>
      </c>
      <c r="H532" s="57">
        <f>IFERROR(VLOOKUP($A:$A,CS!$A:$AK,14,FALSE),"")</f>
      </c>
      <c r="I532" s="57">
        <f>IFERROR(VLOOKUP($A:$A,CS!$A:$AK,15,FALSE),"")</f>
      </c>
      <c r="J532" s="57">
        <f>IFERROR(VLOOKUP($A:$A,CS!$A:$AK,18,FALSE),"")</f>
      </c>
      <c r="K532" s="57">
        <f>IFERROR(VLOOKUP($A:$A,CS!$A:$AK,19,FALSE),"")</f>
      </c>
      <c r="L532" s="57">
        <f>IFERROR(VLOOKUP($A:$A,CS!$A:$AK,20,FALSE),"")</f>
      </c>
      <c r="M532" s="57">
        <f>IFERROR(VLOOKUP($A:$A,CS!$A:$AK,22,FALSE),"")</f>
      </c>
      <c r="N532" s="57">
        <f>IFERROR(VLOOKUP($A:$A,CS!$A:$AK,19,FALSE),"")</f>
      </c>
      <c r="O532" s="57">
        <f>IFERROR(VLOOKUP($A:$A,CS!$A:$AK,23,FALSE),"")</f>
      </c>
      <c r="P532" s="57">
        <f>IFERROR(VLOOKUP($A:$A,CS!$A:$AK,24,FALSE),"")</f>
      </c>
      <c r="Q532" s="57">
        <f>IFERROR(VLOOKUP($A:$A,CS!$A:$AK,25,FALSE),"")</f>
      </c>
      <c r="R532" s="57">
        <f>IFERROR(VLOOKUP($A:$A,CS!$A:$AK,26,FALSE),"")</f>
      </c>
      <c r="S532" s="57">
        <f>IFERROR(VLOOKUP($A:$A,CS!$A:$AK,29,FALSE),"")</f>
      </c>
      <c r="T532" s="57">
        <f>IFERROR(VLOOKUP($A:$A,CS!$A:$AK,33,FALSE),"")</f>
      </c>
      <c r="U532" s="57">
        <f>IFERROR(VLOOKUP($A:$A,CS!$A:$AK,34,FALSE),"")</f>
      </c>
      <c r="V532" s="57">
        <f>IFERROR(VLOOKUP($A:$A,CS!$A:$AK,35,FALSE),"")</f>
      </c>
      <c r="W532" s="57">
        <f>IFERROR(VLOOKUP($A:$A,CS!$A:$AK,36,FALSE),"")</f>
      </c>
    </row>
    <row r="533" ht="16.5" customHeight="1" spans="1:23" x14ac:dyDescent="0.25">
      <c r="A533" s="71"/>
      <c r="B533" s="57">
        <f>IFERROR(VLOOKUP($A:$A,CS!$A:$AK,3,FALSE),"")</f>
      </c>
      <c r="C533" s="57">
        <f>IFERROR(VLOOKUP($A:$A,CS!$A:$AK,4,FALSE),"")</f>
      </c>
      <c r="D533" s="57">
        <f>IFERROR(VLOOKUP($A:$A,CS!$A:$AK,5,FALSE),"")</f>
      </c>
      <c r="E533" s="57">
        <f>IFERROR(VLOOKUP($A:$A,CS!$A:$AK,7,FALSE),"")</f>
      </c>
      <c r="F533" s="57">
        <f>IFERROR(VLOOKUP($A:$A,CS!$A:$AK,8,FALSE),"")</f>
      </c>
      <c r="G533" s="57">
        <f>IFERROR(VLOOKUP($A:$A,CS!$A:$AK,10,FALSE),"")</f>
      </c>
      <c r="H533" s="57">
        <f>IFERROR(VLOOKUP($A:$A,CS!$A:$AK,14,FALSE),"")</f>
      </c>
      <c r="I533" s="57">
        <f>IFERROR(VLOOKUP($A:$A,CS!$A:$AK,15,FALSE),"")</f>
      </c>
      <c r="J533" s="57">
        <f>IFERROR(VLOOKUP($A:$A,CS!$A:$AK,18,FALSE),"")</f>
      </c>
      <c r="K533" s="57">
        <f>IFERROR(VLOOKUP($A:$A,CS!$A:$AK,19,FALSE),"")</f>
      </c>
      <c r="L533" s="57">
        <f>IFERROR(VLOOKUP($A:$A,CS!$A:$AK,20,FALSE),"")</f>
      </c>
      <c r="M533" s="57">
        <f>IFERROR(VLOOKUP($A:$A,CS!$A:$AK,22,FALSE),"")</f>
      </c>
      <c r="N533" s="57">
        <f>IFERROR(VLOOKUP($A:$A,CS!$A:$AK,19,FALSE),"")</f>
      </c>
      <c r="O533" s="57">
        <f>IFERROR(VLOOKUP($A:$A,CS!$A:$AK,23,FALSE),"")</f>
      </c>
      <c r="P533" s="57">
        <f>IFERROR(VLOOKUP($A:$A,CS!$A:$AK,24,FALSE),"")</f>
      </c>
      <c r="Q533" s="57">
        <f>IFERROR(VLOOKUP($A:$A,CS!$A:$AK,25,FALSE),"")</f>
      </c>
      <c r="R533" s="57">
        <f>IFERROR(VLOOKUP($A:$A,CS!$A:$AK,26,FALSE),"")</f>
      </c>
      <c r="S533" s="57">
        <f>IFERROR(VLOOKUP($A:$A,CS!$A:$AK,29,FALSE),"")</f>
      </c>
      <c r="T533" s="57">
        <f>IFERROR(VLOOKUP($A:$A,CS!$A:$AK,33,FALSE),"")</f>
      </c>
      <c r="U533" s="57">
        <f>IFERROR(VLOOKUP($A:$A,CS!$A:$AK,34,FALSE),"")</f>
      </c>
      <c r="V533" s="57">
        <f>IFERROR(VLOOKUP($A:$A,CS!$A:$AK,35,FALSE),"")</f>
      </c>
      <c r="W533" s="57">
        <f>IFERROR(VLOOKUP($A:$A,CS!$A:$AK,36,FALSE),"")</f>
      </c>
    </row>
    <row r="534" ht="16.5" customHeight="1" spans="1:23" x14ac:dyDescent="0.25">
      <c r="A534" s="71"/>
      <c r="B534" s="57">
        <f>IFERROR(VLOOKUP($A:$A,CS!$A:$AK,3,FALSE),"")</f>
      </c>
      <c r="C534" s="57">
        <f>IFERROR(VLOOKUP($A:$A,CS!$A:$AK,4,FALSE),"")</f>
      </c>
      <c r="D534" s="57">
        <f>IFERROR(VLOOKUP($A:$A,CS!$A:$AK,5,FALSE),"")</f>
      </c>
      <c r="E534" s="57">
        <f>IFERROR(VLOOKUP($A:$A,CS!$A:$AK,7,FALSE),"")</f>
      </c>
      <c r="F534" s="57">
        <f>IFERROR(VLOOKUP($A:$A,CS!$A:$AK,8,FALSE),"")</f>
      </c>
      <c r="G534" s="57">
        <f>IFERROR(VLOOKUP($A:$A,CS!$A:$AK,10,FALSE),"")</f>
      </c>
      <c r="H534" s="57">
        <f>IFERROR(VLOOKUP($A:$A,CS!$A:$AK,14,FALSE),"")</f>
      </c>
      <c r="I534" s="57">
        <f>IFERROR(VLOOKUP($A:$A,CS!$A:$AK,15,FALSE),"")</f>
      </c>
      <c r="J534" s="57">
        <f>IFERROR(VLOOKUP($A:$A,CS!$A:$AK,18,FALSE),"")</f>
      </c>
      <c r="K534" s="57">
        <f>IFERROR(VLOOKUP($A:$A,CS!$A:$AK,19,FALSE),"")</f>
      </c>
      <c r="L534" s="57">
        <f>IFERROR(VLOOKUP($A:$A,CS!$A:$AK,20,FALSE),"")</f>
      </c>
      <c r="M534" s="57">
        <f>IFERROR(VLOOKUP($A:$A,CS!$A:$AK,22,FALSE),"")</f>
      </c>
      <c r="N534" s="57">
        <f>IFERROR(VLOOKUP($A:$A,CS!$A:$AK,19,FALSE),"")</f>
      </c>
      <c r="O534" s="57">
        <f>IFERROR(VLOOKUP($A:$A,CS!$A:$AK,23,FALSE),"")</f>
      </c>
      <c r="P534" s="57">
        <f>IFERROR(VLOOKUP($A:$A,CS!$A:$AK,24,FALSE),"")</f>
      </c>
      <c r="Q534" s="57">
        <f>IFERROR(VLOOKUP($A:$A,CS!$A:$AK,25,FALSE),"")</f>
      </c>
      <c r="R534" s="57">
        <f>IFERROR(VLOOKUP($A:$A,CS!$A:$AK,26,FALSE),"")</f>
      </c>
      <c r="S534" s="57">
        <f>IFERROR(VLOOKUP($A:$A,CS!$A:$AK,29,FALSE),"")</f>
      </c>
      <c r="T534" s="57">
        <f>IFERROR(VLOOKUP($A:$A,CS!$A:$AK,33,FALSE),"")</f>
      </c>
      <c r="U534" s="57">
        <f>IFERROR(VLOOKUP($A:$A,CS!$A:$AK,34,FALSE),"")</f>
      </c>
      <c r="V534" s="57">
        <f>IFERROR(VLOOKUP($A:$A,CS!$A:$AK,35,FALSE),"")</f>
      </c>
      <c r="W534" s="57">
        <f>IFERROR(VLOOKUP($A:$A,CS!$A:$AK,36,FALSE),"")</f>
      </c>
    </row>
    <row r="535" ht="16.5" customHeight="1" spans="1:23" x14ac:dyDescent="0.25">
      <c r="A535" s="71"/>
      <c r="B535" s="57">
        <f>IFERROR(VLOOKUP($A:$A,CS!$A:$AK,3,FALSE),"")</f>
      </c>
      <c r="C535" s="57">
        <f>IFERROR(VLOOKUP($A:$A,CS!$A:$AK,4,FALSE),"")</f>
      </c>
      <c r="D535" s="57">
        <f>IFERROR(VLOOKUP($A:$A,CS!$A:$AK,5,FALSE),"")</f>
      </c>
      <c r="E535" s="57">
        <f>IFERROR(VLOOKUP($A:$A,CS!$A:$AK,7,FALSE),"")</f>
      </c>
      <c r="F535" s="57">
        <f>IFERROR(VLOOKUP($A:$A,CS!$A:$AK,8,FALSE),"")</f>
      </c>
      <c r="G535" s="57">
        <f>IFERROR(VLOOKUP($A:$A,CS!$A:$AK,10,FALSE),"")</f>
      </c>
      <c r="H535" s="57">
        <f>IFERROR(VLOOKUP($A:$A,CS!$A:$AK,14,FALSE),"")</f>
      </c>
      <c r="I535" s="57">
        <f>IFERROR(VLOOKUP($A:$A,CS!$A:$AK,15,FALSE),"")</f>
      </c>
      <c r="J535" s="57">
        <f>IFERROR(VLOOKUP($A:$A,CS!$A:$AK,18,FALSE),"")</f>
      </c>
      <c r="K535" s="57">
        <f>IFERROR(VLOOKUP($A:$A,CS!$A:$AK,19,FALSE),"")</f>
      </c>
      <c r="L535" s="57">
        <f>IFERROR(VLOOKUP($A:$A,CS!$A:$AK,20,FALSE),"")</f>
      </c>
      <c r="M535" s="57">
        <f>IFERROR(VLOOKUP($A:$A,CS!$A:$AK,22,FALSE),"")</f>
      </c>
      <c r="N535" s="57">
        <f>IFERROR(VLOOKUP($A:$A,CS!$A:$AK,19,FALSE),"")</f>
      </c>
      <c r="O535" s="57">
        <f>IFERROR(VLOOKUP($A:$A,CS!$A:$AK,23,FALSE),"")</f>
      </c>
      <c r="P535" s="57">
        <f>IFERROR(VLOOKUP($A:$A,CS!$A:$AK,24,FALSE),"")</f>
      </c>
      <c r="Q535" s="57">
        <f>IFERROR(VLOOKUP($A:$A,CS!$A:$AK,25,FALSE),"")</f>
      </c>
      <c r="R535" s="57">
        <f>IFERROR(VLOOKUP($A:$A,CS!$A:$AK,26,FALSE),"")</f>
      </c>
      <c r="S535" s="57">
        <f>IFERROR(VLOOKUP($A:$A,CS!$A:$AK,29,FALSE),"")</f>
      </c>
      <c r="T535" s="57">
        <f>IFERROR(VLOOKUP($A:$A,CS!$A:$AK,33,FALSE),"")</f>
      </c>
      <c r="U535" s="57">
        <f>IFERROR(VLOOKUP($A:$A,CS!$A:$AK,34,FALSE),"")</f>
      </c>
      <c r="V535" s="57">
        <f>IFERROR(VLOOKUP($A:$A,CS!$A:$AK,35,FALSE),"")</f>
      </c>
      <c r="W535" s="57">
        <f>IFERROR(VLOOKUP($A:$A,CS!$A:$AK,36,FALSE),"")</f>
      </c>
    </row>
    <row r="536" ht="16.5" customHeight="1" spans="1:23" x14ac:dyDescent="0.25">
      <c r="A536" s="71"/>
      <c r="B536" s="57">
        <f>IFERROR(VLOOKUP($A:$A,CS!$A:$AK,3,FALSE),"")</f>
      </c>
      <c r="C536" s="57">
        <f>IFERROR(VLOOKUP($A:$A,CS!$A:$AK,4,FALSE),"")</f>
      </c>
      <c r="D536" s="57">
        <f>IFERROR(VLOOKUP($A:$A,CS!$A:$AK,5,FALSE),"")</f>
      </c>
      <c r="E536" s="57">
        <f>IFERROR(VLOOKUP($A:$A,CS!$A:$AK,7,FALSE),"")</f>
      </c>
      <c r="F536" s="57">
        <f>IFERROR(VLOOKUP($A:$A,CS!$A:$AK,8,FALSE),"")</f>
      </c>
      <c r="G536" s="57">
        <f>IFERROR(VLOOKUP($A:$A,CS!$A:$AK,10,FALSE),"")</f>
      </c>
      <c r="H536" s="57">
        <f>IFERROR(VLOOKUP($A:$A,CS!$A:$AK,14,FALSE),"")</f>
      </c>
      <c r="I536" s="57">
        <f>IFERROR(VLOOKUP($A:$A,CS!$A:$AK,15,FALSE),"")</f>
      </c>
      <c r="J536" s="57">
        <f>IFERROR(VLOOKUP($A:$A,CS!$A:$AK,18,FALSE),"")</f>
      </c>
      <c r="K536" s="57">
        <f>IFERROR(VLOOKUP($A:$A,CS!$A:$AK,19,FALSE),"")</f>
      </c>
      <c r="L536" s="57">
        <f>IFERROR(VLOOKUP($A:$A,CS!$A:$AK,20,FALSE),"")</f>
      </c>
      <c r="M536" s="57">
        <f>IFERROR(VLOOKUP($A:$A,CS!$A:$AK,22,FALSE),"")</f>
      </c>
      <c r="N536" s="57">
        <f>IFERROR(VLOOKUP($A:$A,CS!$A:$AK,19,FALSE),"")</f>
      </c>
      <c r="O536" s="57">
        <f>IFERROR(VLOOKUP($A:$A,CS!$A:$AK,23,FALSE),"")</f>
      </c>
      <c r="P536" s="57">
        <f>IFERROR(VLOOKUP($A:$A,CS!$A:$AK,24,FALSE),"")</f>
      </c>
      <c r="Q536" s="57">
        <f>IFERROR(VLOOKUP($A:$A,CS!$A:$AK,25,FALSE),"")</f>
      </c>
      <c r="R536" s="57">
        <f>IFERROR(VLOOKUP($A:$A,CS!$A:$AK,26,FALSE),"")</f>
      </c>
      <c r="S536" s="57">
        <f>IFERROR(VLOOKUP($A:$A,CS!$A:$AK,29,FALSE),"")</f>
      </c>
      <c r="T536" s="57">
        <f>IFERROR(VLOOKUP($A:$A,CS!$A:$AK,33,FALSE),"")</f>
      </c>
      <c r="U536" s="57">
        <f>IFERROR(VLOOKUP($A:$A,CS!$A:$AK,34,FALSE),"")</f>
      </c>
      <c r="V536" s="57">
        <f>IFERROR(VLOOKUP($A:$A,CS!$A:$AK,35,FALSE),"")</f>
      </c>
      <c r="W536" s="57">
        <f>IFERROR(VLOOKUP($A:$A,CS!$A:$AK,36,FALSE),"")</f>
      </c>
    </row>
    <row r="537" ht="16.5" customHeight="1" spans="1:23" x14ac:dyDescent="0.25">
      <c r="A537" s="71"/>
      <c r="B537" s="57">
        <f>IFERROR(VLOOKUP($A:$A,CS!$A:$AK,3,FALSE),"")</f>
      </c>
      <c r="C537" s="57">
        <f>IFERROR(VLOOKUP($A:$A,CS!$A:$AK,4,FALSE),"")</f>
      </c>
      <c r="D537" s="57">
        <f>IFERROR(VLOOKUP($A:$A,CS!$A:$AK,5,FALSE),"")</f>
      </c>
      <c r="E537" s="57">
        <f>IFERROR(VLOOKUP($A:$A,CS!$A:$AK,7,FALSE),"")</f>
      </c>
      <c r="F537" s="57">
        <f>IFERROR(VLOOKUP($A:$A,CS!$A:$AK,8,FALSE),"")</f>
      </c>
      <c r="G537" s="57">
        <f>IFERROR(VLOOKUP($A:$A,CS!$A:$AK,10,FALSE),"")</f>
      </c>
      <c r="H537" s="57">
        <f>IFERROR(VLOOKUP($A:$A,CS!$A:$AK,14,FALSE),"")</f>
      </c>
      <c r="I537" s="57">
        <f>IFERROR(VLOOKUP($A:$A,CS!$A:$AK,15,FALSE),"")</f>
      </c>
      <c r="J537" s="57">
        <f>IFERROR(VLOOKUP($A:$A,CS!$A:$AK,18,FALSE),"")</f>
      </c>
      <c r="K537" s="57">
        <f>IFERROR(VLOOKUP($A:$A,CS!$A:$AK,19,FALSE),"")</f>
      </c>
      <c r="L537" s="57">
        <f>IFERROR(VLOOKUP($A:$A,CS!$A:$AK,20,FALSE),"")</f>
      </c>
      <c r="M537" s="57">
        <f>IFERROR(VLOOKUP($A:$A,CS!$A:$AK,22,FALSE),"")</f>
      </c>
      <c r="N537" s="57">
        <f>IFERROR(VLOOKUP($A:$A,CS!$A:$AK,19,FALSE),"")</f>
      </c>
      <c r="O537" s="57">
        <f>IFERROR(VLOOKUP($A:$A,CS!$A:$AK,23,FALSE),"")</f>
      </c>
      <c r="P537" s="57">
        <f>IFERROR(VLOOKUP($A:$A,CS!$A:$AK,24,FALSE),"")</f>
      </c>
      <c r="Q537" s="57">
        <f>IFERROR(VLOOKUP($A:$A,CS!$A:$AK,25,FALSE),"")</f>
      </c>
      <c r="R537" s="57">
        <f>IFERROR(VLOOKUP($A:$A,CS!$A:$AK,26,FALSE),"")</f>
      </c>
      <c r="S537" s="57">
        <f>IFERROR(VLOOKUP($A:$A,CS!$A:$AK,29,FALSE),"")</f>
      </c>
      <c r="T537" s="57">
        <f>IFERROR(VLOOKUP($A:$A,CS!$A:$AK,33,FALSE),"")</f>
      </c>
      <c r="U537" s="57">
        <f>IFERROR(VLOOKUP($A:$A,CS!$A:$AK,34,FALSE),"")</f>
      </c>
      <c r="V537" s="57">
        <f>IFERROR(VLOOKUP($A:$A,CS!$A:$AK,35,FALSE),"")</f>
      </c>
      <c r="W537" s="57">
        <f>IFERROR(VLOOKUP($A:$A,CS!$A:$AK,36,FALSE),"")</f>
      </c>
    </row>
    <row r="538" ht="16.5" customHeight="1" spans="1:23" x14ac:dyDescent="0.25">
      <c r="A538" s="71"/>
      <c r="B538" s="57">
        <f>IFERROR(VLOOKUP($A:$A,CS!$A:$AK,3,FALSE),"")</f>
      </c>
      <c r="C538" s="57">
        <f>IFERROR(VLOOKUP($A:$A,CS!$A:$AK,4,FALSE),"")</f>
      </c>
      <c r="D538" s="57">
        <f>IFERROR(VLOOKUP($A:$A,CS!$A:$AK,5,FALSE),"")</f>
      </c>
      <c r="E538" s="57">
        <f>IFERROR(VLOOKUP($A:$A,CS!$A:$AK,7,FALSE),"")</f>
      </c>
      <c r="F538" s="57">
        <f>IFERROR(VLOOKUP($A:$A,CS!$A:$AK,8,FALSE),"")</f>
      </c>
      <c r="G538" s="57">
        <f>IFERROR(VLOOKUP($A:$A,CS!$A:$AK,10,FALSE),"")</f>
      </c>
      <c r="H538" s="57">
        <f>IFERROR(VLOOKUP($A:$A,CS!$A:$AK,14,FALSE),"")</f>
      </c>
      <c r="I538" s="57">
        <f>IFERROR(VLOOKUP($A:$A,CS!$A:$AK,15,FALSE),"")</f>
      </c>
      <c r="J538" s="57">
        <f>IFERROR(VLOOKUP($A:$A,CS!$A:$AK,18,FALSE),"")</f>
      </c>
      <c r="K538" s="57">
        <f>IFERROR(VLOOKUP($A:$A,CS!$A:$AK,19,FALSE),"")</f>
      </c>
      <c r="L538" s="57">
        <f>IFERROR(VLOOKUP($A:$A,CS!$A:$AK,20,FALSE),"")</f>
      </c>
      <c r="M538" s="57">
        <f>IFERROR(VLOOKUP($A:$A,CS!$A:$AK,22,FALSE),"")</f>
      </c>
      <c r="N538" s="57">
        <f>IFERROR(VLOOKUP($A:$A,CS!$A:$AK,19,FALSE),"")</f>
      </c>
      <c r="O538" s="57">
        <f>IFERROR(VLOOKUP($A:$A,CS!$A:$AK,23,FALSE),"")</f>
      </c>
      <c r="P538" s="57">
        <f>IFERROR(VLOOKUP($A:$A,CS!$A:$AK,24,FALSE),"")</f>
      </c>
      <c r="Q538" s="57">
        <f>IFERROR(VLOOKUP($A:$A,CS!$A:$AK,25,FALSE),"")</f>
      </c>
      <c r="R538" s="57">
        <f>IFERROR(VLOOKUP($A:$A,CS!$A:$AK,26,FALSE),"")</f>
      </c>
      <c r="S538" s="57">
        <f>IFERROR(VLOOKUP($A:$A,CS!$A:$AK,29,FALSE),"")</f>
      </c>
      <c r="T538" s="57">
        <f>IFERROR(VLOOKUP($A:$A,CS!$A:$AK,33,FALSE),"")</f>
      </c>
      <c r="U538" s="57">
        <f>IFERROR(VLOOKUP($A:$A,CS!$A:$AK,34,FALSE),"")</f>
      </c>
      <c r="V538" s="57">
        <f>IFERROR(VLOOKUP($A:$A,CS!$A:$AK,35,FALSE),"")</f>
      </c>
      <c r="W538" s="57">
        <f>IFERROR(VLOOKUP($A:$A,CS!$A:$AK,36,FALSE),"")</f>
      </c>
    </row>
    <row r="539" ht="16.5" customHeight="1" spans="1:23" x14ac:dyDescent="0.25">
      <c r="A539" s="71"/>
      <c r="B539" s="57">
        <f>IFERROR(VLOOKUP($A:$A,CS!$A:$AK,3,FALSE),"")</f>
      </c>
      <c r="C539" s="57">
        <f>IFERROR(VLOOKUP($A:$A,CS!$A:$AK,4,FALSE),"")</f>
      </c>
      <c r="D539" s="57">
        <f>IFERROR(VLOOKUP($A:$A,CS!$A:$AK,5,FALSE),"")</f>
      </c>
      <c r="E539" s="57">
        <f>IFERROR(VLOOKUP($A:$A,CS!$A:$AK,7,FALSE),"")</f>
      </c>
      <c r="F539" s="57">
        <f>IFERROR(VLOOKUP($A:$A,CS!$A:$AK,8,FALSE),"")</f>
      </c>
      <c r="G539" s="57">
        <f>IFERROR(VLOOKUP($A:$A,CS!$A:$AK,10,FALSE),"")</f>
      </c>
      <c r="H539" s="57">
        <f>IFERROR(VLOOKUP($A:$A,CS!$A:$AK,14,FALSE),"")</f>
      </c>
      <c r="I539" s="57">
        <f>IFERROR(VLOOKUP($A:$A,CS!$A:$AK,15,FALSE),"")</f>
      </c>
      <c r="J539" s="57">
        <f>IFERROR(VLOOKUP($A:$A,CS!$A:$AK,18,FALSE),"")</f>
      </c>
      <c r="K539" s="57">
        <f>IFERROR(VLOOKUP($A:$A,CS!$A:$AK,19,FALSE),"")</f>
      </c>
      <c r="L539" s="57">
        <f>IFERROR(VLOOKUP($A:$A,CS!$A:$AK,20,FALSE),"")</f>
      </c>
      <c r="M539" s="57">
        <f>IFERROR(VLOOKUP($A:$A,CS!$A:$AK,22,FALSE),"")</f>
      </c>
      <c r="N539" s="57">
        <f>IFERROR(VLOOKUP($A:$A,CS!$A:$AK,19,FALSE),"")</f>
      </c>
      <c r="O539" s="57">
        <f>IFERROR(VLOOKUP($A:$A,CS!$A:$AK,23,FALSE),"")</f>
      </c>
      <c r="P539" s="57">
        <f>IFERROR(VLOOKUP($A:$A,CS!$A:$AK,24,FALSE),"")</f>
      </c>
      <c r="Q539" s="57">
        <f>IFERROR(VLOOKUP($A:$A,CS!$A:$AK,25,FALSE),"")</f>
      </c>
      <c r="R539" s="57">
        <f>IFERROR(VLOOKUP($A:$A,CS!$A:$AK,26,FALSE),"")</f>
      </c>
      <c r="S539" s="57">
        <f>IFERROR(VLOOKUP($A:$A,CS!$A:$AK,29,FALSE),"")</f>
      </c>
      <c r="T539" s="57">
        <f>IFERROR(VLOOKUP($A:$A,CS!$A:$AK,33,FALSE),"")</f>
      </c>
      <c r="U539" s="57">
        <f>IFERROR(VLOOKUP($A:$A,CS!$A:$AK,34,FALSE),"")</f>
      </c>
      <c r="V539" s="57">
        <f>IFERROR(VLOOKUP($A:$A,CS!$A:$AK,35,FALSE),"")</f>
      </c>
      <c r="W539" s="57">
        <f>IFERROR(VLOOKUP($A:$A,CS!$A:$AK,36,FALSE),"")</f>
      </c>
    </row>
    <row r="540" ht="16.5" customHeight="1" spans="1:23" x14ac:dyDescent="0.25">
      <c r="A540" s="71"/>
      <c r="B540" s="57">
        <f>IFERROR(VLOOKUP($A:$A,CS!$A:$AK,3,FALSE),"")</f>
      </c>
      <c r="C540" s="57">
        <f>IFERROR(VLOOKUP($A:$A,CS!$A:$AK,4,FALSE),"")</f>
      </c>
      <c r="D540" s="57">
        <f>IFERROR(VLOOKUP($A:$A,CS!$A:$AK,5,FALSE),"")</f>
      </c>
      <c r="E540" s="57">
        <f>IFERROR(VLOOKUP($A:$A,CS!$A:$AK,7,FALSE),"")</f>
      </c>
      <c r="F540" s="57">
        <f>IFERROR(VLOOKUP($A:$A,CS!$A:$AK,8,FALSE),"")</f>
      </c>
      <c r="G540" s="57">
        <f>IFERROR(VLOOKUP($A:$A,CS!$A:$AK,10,FALSE),"")</f>
      </c>
      <c r="H540" s="57">
        <f>IFERROR(VLOOKUP($A:$A,CS!$A:$AK,14,FALSE),"")</f>
      </c>
      <c r="I540" s="57">
        <f>IFERROR(VLOOKUP($A:$A,CS!$A:$AK,15,FALSE),"")</f>
      </c>
      <c r="J540" s="57">
        <f>IFERROR(VLOOKUP($A:$A,CS!$A:$AK,18,FALSE),"")</f>
      </c>
      <c r="K540" s="57">
        <f>IFERROR(VLOOKUP($A:$A,CS!$A:$AK,19,FALSE),"")</f>
      </c>
      <c r="L540" s="57">
        <f>IFERROR(VLOOKUP($A:$A,CS!$A:$AK,20,FALSE),"")</f>
      </c>
      <c r="M540" s="57">
        <f>IFERROR(VLOOKUP($A:$A,CS!$A:$AK,22,FALSE),"")</f>
      </c>
      <c r="N540" s="57">
        <f>IFERROR(VLOOKUP($A:$A,CS!$A:$AK,19,FALSE),"")</f>
      </c>
      <c r="O540" s="57">
        <f>IFERROR(VLOOKUP($A:$A,CS!$A:$AK,23,FALSE),"")</f>
      </c>
      <c r="P540" s="57">
        <f>IFERROR(VLOOKUP($A:$A,CS!$A:$AK,24,FALSE),"")</f>
      </c>
      <c r="Q540" s="57">
        <f>IFERROR(VLOOKUP($A:$A,CS!$A:$AK,25,FALSE),"")</f>
      </c>
      <c r="R540" s="57">
        <f>IFERROR(VLOOKUP($A:$A,CS!$A:$AK,26,FALSE),"")</f>
      </c>
      <c r="S540" s="57">
        <f>IFERROR(VLOOKUP($A:$A,CS!$A:$AK,29,FALSE),"")</f>
      </c>
      <c r="T540" s="57">
        <f>IFERROR(VLOOKUP($A:$A,CS!$A:$AK,33,FALSE),"")</f>
      </c>
      <c r="U540" s="57">
        <f>IFERROR(VLOOKUP($A:$A,CS!$A:$AK,34,FALSE),"")</f>
      </c>
      <c r="V540" s="57">
        <f>IFERROR(VLOOKUP($A:$A,CS!$A:$AK,35,FALSE),"")</f>
      </c>
      <c r="W540" s="57">
        <f>IFERROR(VLOOKUP($A:$A,CS!$A:$AK,36,FALSE),"")</f>
      </c>
    </row>
    <row r="541" ht="16.5" customHeight="1" spans="1:23" x14ac:dyDescent="0.25">
      <c r="A541" s="71"/>
      <c r="B541" s="57">
        <f>IFERROR(VLOOKUP($A:$A,CS!$A:$AK,3,FALSE),"")</f>
      </c>
      <c r="C541" s="57">
        <f>IFERROR(VLOOKUP($A:$A,CS!$A:$AK,4,FALSE),"")</f>
      </c>
      <c r="D541" s="57">
        <f>IFERROR(VLOOKUP($A:$A,CS!$A:$AK,5,FALSE),"")</f>
      </c>
      <c r="E541" s="57">
        <f>IFERROR(VLOOKUP($A:$A,CS!$A:$AK,7,FALSE),"")</f>
      </c>
      <c r="F541" s="57">
        <f>IFERROR(VLOOKUP($A:$A,CS!$A:$AK,8,FALSE),"")</f>
      </c>
      <c r="G541" s="57">
        <f>IFERROR(VLOOKUP($A:$A,CS!$A:$AK,10,FALSE),"")</f>
      </c>
      <c r="H541" s="57">
        <f>IFERROR(VLOOKUP($A:$A,CS!$A:$AK,14,FALSE),"")</f>
      </c>
      <c r="I541" s="57">
        <f>IFERROR(VLOOKUP($A:$A,CS!$A:$AK,15,FALSE),"")</f>
      </c>
      <c r="J541" s="57">
        <f>IFERROR(VLOOKUP($A:$A,CS!$A:$AK,18,FALSE),"")</f>
      </c>
      <c r="K541" s="57">
        <f>IFERROR(VLOOKUP($A:$A,CS!$A:$AK,19,FALSE),"")</f>
      </c>
      <c r="L541" s="57">
        <f>IFERROR(VLOOKUP($A:$A,CS!$A:$AK,20,FALSE),"")</f>
      </c>
      <c r="M541" s="57">
        <f>IFERROR(VLOOKUP($A:$A,CS!$A:$AK,22,FALSE),"")</f>
      </c>
      <c r="N541" s="57">
        <f>IFERROR(VLOOKUP($A:$A,CS!$A:$AK,19,FALSE),"")</f>
      </c>
      <c r="O541" s="57">
        <f>IFERROR(VLOOKUP($A:$A,CS!$A:$AK,23,FALSE),"")</f>
      </c>
      <c r="P541" s="57">
        <f>IFERROR(VLOOKUP($A:$A,CS!$A:$AK,24,FALSE),"")</f>
      </c>
      <c r="Q541" s="57">
        <f>IFERROR(VLOOKUP($A:$A,CS!$A:$AK,25,FALSE),"")</f>
      </c>
      <c r="R541" s="57">
        <f>IFERROR(VLOOKUP($A:$A,CS!$A:$AK,26,FALSE),"")</f>
      </c>
      <c r="S541" s="57">
        <f>IFERROR(VLOOKUP($A:$A,CS!$A:$AK,29,FALSE),"")</f>
      </c>
      <c r="T541" s="57">
        <f>IFERROR(VLOOKUP($A:$A,CS!$A:$AK,33,FALSE),"")</f>
      </c>
      <c r="U541" s="57">
        <f>IFERROR(VLOOKUP($A:$A,CS!$A:$AK,34,FALSE),"")</f>
      </c>
      <c r="V541" s="57">
        <f>IFERROR(VLOOKUP($A:$A,CS!$A:$AK,35,FALSE),"")</f>
      </c>
      <c r="W541" s="57">
        <f>IFERROR(VLOOKUP($A:$A,CS!$A:$AK,36,FALSE),"")</f>
      </c>
    </row>
    <row r="542" ht="16.5" customHeight="1" spans="1:23" x14ac:dyDescent="0.25">
      <c r="A542" s="71"/>
      <c r="B542" s="57">
        <f>IFERROR(VLOOKUP($A:$A,CS!$A:$AK,3,FALSE),"")</f>
      </c>
      <c r="C542" s="57">
        <f>IFERROR(VLOOKUP($A:$A,CS!$A:$AK,4,FALSE),"")</f>
      </c>
      <c r="D542" s="57">
        <f>IFERROR(VLOOKUP($A:$A,CS!$A:$AK,5,FALSE),"")</f>
      </c>
      <c r="E542" s="57">
        <f>IFERROR(VLOOKUP($A:$A,CS!$A:$AK,7,FALSE),"")</f>
      </c>
      <c r="F542" s="57">
        <f>IFERROR(VLOOKUP($A:$A,CS!$A:$AK,8,FALSE),"")</f>
      </c>
      <c r="G542" s="57">
        <f>IFERROR(VLOOKUP($A:$A,CS!$A:$AK,10,FALSE),"")</f>
      </c>
      <c r="H542" s="57">
        <f>IFERROR(VLOOKUP($A:$A,CS!$A:$AK,14,FALSE),"")</f>
      </c>
      <c r="I542" s="57">
        <f>IFERROR(VLOOKUP($A:$A,CS!$A:$AK,15,FALSE),"")</f>
      </c>
      <c r="J542" s="57">
        <f>IFERROR(VLOOKUP($A:$A,CS!$A:$AK,18,FALSE),"")</f>
      </c>
      <c r="K542" s="57">
        <f>IFERROR(VLOOKUP($A:$A,CS!$A:$AK,19,FALSE),"")</f>
      </c>
      <c r="L542" s="57">
        <f>IFERROR(VLOOKUP($A:$A,CS!$A:$AK,20,FALSE),"")</f>
      </c>
      <c r="M542" s="57">
        <f>IFERROR(VLOOKUP($A:$A,CS!$A:$AK,22,FALSE),"")</f>
      </c>
      <c r="N542" s="57">
        <f>IFERROR(VLOOKUP($A:$A,CS!$A:$AK,19,FALSE),"")</f>
      </c>
      <c r="O542" s="57">
        <f>IFERROR(VLOOKUP($A:$A,CS!$A:$AK,23,FALSE),"")</f>
      </c>
      <c r="P542" s="57">
        <f>IFERROR(VLOOKUP($A:$A,CS!$A:$AK,24,FALSE),"")</f>
      </c>
      <c r="Q542" s="57">
        <f>IFERROR(VLOOKUP($A:$A,CS!$A:$AK,25,FALSE),"")</f>
      </c>
      <c r="R542" s="57">
        <f>IFERROR(VLOOKUP($A:$A,CS!$A:$AK,26,FALSE),"")</f>
      </c>
      <c r="S542" s="57">
        <f>IFERROR(VLOOKUP($A:$A,CS!$A:$AK,29,FALSE),"")</f>
      </c>
      <c r="T542" s="57">
        <f>IFERROR(VLOOKUP($A:$A,CS!$A:$AK,33,FALSE),"")</f>
      </c>
      <c r="U542" s="57">
        <f>IFERROR(VLOOKUP($A:$A,CS!$A:$AK,34,FALSE),"")</f>
      </c>
      <c r="V542" s="57">
        <f>IFERROR(VLOOKUP($A:$A,CS!$A:$AK,35,FALSE),"")</f>
      </c>
      <c r="W542" s="57">
        <f>IFERROR(VLOOKUP($A:$A,CS!$A:$AK,36,FALSE),"")</f>
      </c>
    </row>
    <row r="543" ht="16.5" customHeight="1" spans="1:23" x14ac:dyDescent="0.25">
      <c r="A543" s="71"/>
      <c r="B543" s="57">
        <f>IFERROR(VLOOKUP($A:$A,CS!$A:$AK,3,FALSE),"")</f>
      </c>
      <c r="C543" s="57">
        <f>IFERROR(VLOOKUP($A:$A,CS!$A:$AK,4,FALSE),"")</f>
      </c>
      <c r="D543" s="57">
        <f>IFERROR(VLOOKUP($A:$A,CS!$A:$AK,5,FALSE),"")</f>
      </c>
      <c r="E543" s="57">
        <f>IFERROR(VLOOKUP($A:$A,CS!$A:$AK,7,FALSE),"")</f>
      </c>
      <c r="F543" s="57">
        <f>IFERROR(VLOOKUP($A:$A,CS!$A:$AK,8,FALSE),"")</f>
      </c>
      <c r="G543" s="57">
        <f>IFERROR(VLOOKUP($A:$A,CS!$A:$AK,10,FALSE),"")</f>
      </c>
      <c r="H543" s="57">
        <f>IFERROR(VLOOKUP($A:$A,CS!$A:$AK,14,FALSE),"")</f>
      </c>
      <c r="I543" s="57">
        <f>IFERROR(VLOOKUP($A:$A,CS!$A:$AK,15,FALSE),"")</f>
      </c>
      <c r="J543" s="57">
        <f>IFERROR(VLOOKUP($A:$A,CS!$A:$AK,18,FALSE),"")</f>
      </c>
      <c r="K543" s="57">
        <f>IFERROR(VLOOKUP($A:$A,CS!$A:$AK,19,FALSE),"")</f>
      </c>
      <c r="L543" s="57">
        <f>IFERROR(VLOOKUP($A:$A,CS!$A:$AK,20,FALSE),"")</f>
      </c>
      <c r="M543" s="57">
        <f>IFERROR(VLOOKUP($A:$A,CS!$A:$AK,22,FALSE),"")</f>
      </c>
      <c r="N543" s="57">
        <f>IFERROR(VLOOKUP($A:$A,CS!$A:$AK,19,FALSE),"")</f>
      </c>
      <c r="O543" s="57">
        <f>IFERROR(VLOOKUP($A:$A,CS!$A:$AK,23,FALSE),"")</f>
      </c>
      <c r="P543" s="57">
        <f>IFERROR(VLOOKUP($A:$A,CS!$A:$AK,24,FALSE),"")</f>
      </c>
      <c r="Q543" s="57">
        <f>IFERROR(VLOOKUP($A:$A,CS!$A:$AK,25,FALSE),"")</f>
      </c>
      <c r="R543" s="57">
        <f>IFERROR(VLOOKUP($A:$A,CS!$A:$AK,26,FALSE),"")</f>
      </c>
      <c r="S543" s="57">
        <f>IFERROR(VLOOKUP($A:$A,CS!$A:$AK,29,FALSE),"")</f>
      </c>
      <c r="T543" s="57">
        <f>IFERROR(VLOOKUP($A:$A,CS!$A:$AK,33,FALSE),"")</f>
      </c>
      <c r="U543" s="57">
        <f>IFERROR(VLOOKUP($A:$A,CS!$A:$AK,34,FALSE),"")</f>
      </c>
      <c r="V543" s="57">
        <f>IFERROR(VLOOKUP($A:$A,CS!$A:$AK,35,FALSE),"")</f>
      </c>
      <c r="W543" s="57">
        <f>IFERROR(VLOOKUP($A:$A,CS!$A:$AK,36,FALSE),"")</f>
      </c>
    </row>
    <row r="544" ht="16.5" customHeight="1" spans="1:23" x14ac:dyDescent="0.25">
      <c r="A544" s="71"/>
      <c r="B544" s="57">
        <f>IFERROR(VLOOKUP($A:$A,CS!$A:$AK,3,FALSE),"")</f>
      </c>
      <c r="C544" s="57">
        <f>IFERROR(VLOOKUP($A:$A,CS!$A:$AK,4,FALSE),"")</f>
      </c>
      <c r="D544" s="57">
        <f>IFERROR(VLOOKUP($A:$A,CS!$A:$AK,5,FALSE),"")</f>
      </c>
      <c r="E544" s="57">
        <f>IFERROR(VLOOKUP($A:$A,CS!$A:$AK,7,FALSE),"")</f>
      </c>
      <c r="F544" s="57">
        <f>IFERROR(VLOOKUP($A:$A,CS!$A:$AK,8,FALSE),"")</f>
      </c>
      <c r="G544" s="57">
        <f>IFERROR(VLOOKUP($A:$A,CS!$A:$AK,10,FALSE),"")</f>
      </c>
      <c r="H544" s="57">
        <f>IFERROR(VLOOKUP($A:$A,CS!$A:$AK,14,FALSE),"")</f>
      </c>
      <c r="I544" s="57">
        <f>IFERROR(VLOOKUP($A:$A,CS!$A:$AK,15,FALSE),"")</f>
      </c>
      <c r="J544" s="57">
        <f>IFERROR(VLOOKUP($A:$A,CS!$A:$AK,18,FALSE),"")</f>
      </c>
      <c r="K544" s="57">
        <f>IFERROR(VLOOKUP($A:$A,CS!$A:$AK,19,FALSE),"")</f>
      </c>
      <c r="L544" s="57">
        <f>IFERROR(VLOOKUP($A:$A,CS!$A:$AK,20,FALSE),"")</f>
      </c>
      <c r="M544" s="57">
        <f>IFERROR(VLOOKUP($A:$A,CS!$A:$AK,22,FALSE),"")</f>
      </c>
      <c r="N544" s="57">
        <f>IFERROR(VLOOKUP($A:$A,CS!$A:$AK,19,FALSE),"")</f>
      </c>
      <c r="O544" s="57">
        <f>IFERROR(VLOOKUP($A:$A,CS!$A:$AK,23,FALSE),"")</f>
      </c>
      <c r="P544" s="57">
        <f>IFERROR(VLOOKUP($A:$A,CS!$A:$AK,24,FALSE),"")</f>
      </c>
      <c r="Q544" s="57">
        <f>IFERROR(VLOOKUP($A:$A,CS!$A:$AK,25,FALSE),"")</f>
      </c>
      <c r="R544" s="57">
        <f>IFERROR(VLOOKUP($A:$A,CS!$A:$AK,26,FALSE),"")</f>
      </c>
      <c r="S544" s="57">
        <f>IFERROR(VLOOKUP($A:$A,CS!$A:$AK,29,FALSE),"")</f>
      </c>
      <c r="T544" s="57">
        <f>IFERROR(VLOOKUP($A:$A,CS!$A:$AK,33,FALSE),"")</f>
      </c>
      <c r="U544" s="57">
        <f>IFERROR(VLOOKUP($A:$A,CS!$A:$AK,34,FALSE),"")</f>
      </c>
      <c r="V544" s="57">
        <f>IFERROR(VLOOKUP($A:$A,CS!$A:$AK,35,FALSE),"")</f>
      </c>
      <c r="W544" s="57">
        <f>IFERROR(VLOOKUP($A:$A,CS!$A:$AK,36,FALSE),"")</f>
      </c>
    </row>
    <row r="545" ht="16.5" customHeight="1" spans="1:23" x14ac:dyDescent="0.25">
      <c r="A545" s="71"/>
      <c r="B545" s="57">
        <f>IFERROR(VLOOKUP($A:$A,CS!$A:$AK,3,FALSE),"")</f>
      </c>
      <c r="C545" s="57">
        <f>IFERROR(VLOOKUP($A:$A,CS!$A:$AK,4,FALSE),"")</f>
      </c>
      <c r="D545" s="57">
        <f>IFERROR(VLOOKUP($A:$A,CS!$A:$AK,5,FALSE),"")</f>
      </c>
      <c r="E545" s="57">
        <f>IFERROR(VLOOKUP($A:$A,CS!$A:$AK,7,FALSE),"")</f>
      </c>
      <c r="F545" s="57">
        <f>IFERROR(VLOOKUP($A:$A,CS!$A:$AK,8,FALSE),"")</f>
      </c>
      <c r="G545" s="57">
        <f>IFERROR(VLOOKUP($A:$A,CS!$A:$AK,10,FALSE),"")</f>
      </c>
      <c r="H545" s="57">
        <f>IFERROR(VLOOKUP($A:$A,CS!$A:$AK,14,FALSE),"")</f>
      </c>
      <c r="I545" s="57">
        <f>IFERROR(VLOOKUP($A:$A,CS!$A:$AK,15,FALSE),"")</f>
      </c>
      <c r="J545" s="57">
        <f>IFERROR(VLOOKUP($A:$A,CS!$A:$AK,18,FALSE),"")</f>
      </c>
      <c r="K545" s="57">
        <f>IFERROR(VLOOKUP($A:$A,CS!$A:$AK,19,FALSE),"")</f>
      </c>
      <c r="L545" s="57">
        <f>IFERROR(VLOOKUP($A:$A,CS!$A:$AK,20,FALSE),"")</f>
      </c>
      <c r="M545" s="57">
        <f>IFERROR(VLOOKUP($A:$A,CS!$A:$AK,22,FALSE),"")</f>
      </c>
      <c r="N545" s="57">
        <f>IFERROR(VLOOKUP($A:$A,CS!$A:$AK,19,FALSE),"")</f>
      </c>
      <c r="O545" s="57">
        <f>IFERROR(VLOOKUP($A:$A,CS!$A:$AK,23,FALSE),"")</f>
      </c>
      <c r="P545" s="57">
        <f>IFERROR(VLOOKUP($A:$A,CS!$A:$AK,24,FALSE),"")</f>
      </c>
      <c r="Q545" s="57">
        <f>IFERROR(VLOOKUP($A:$A,CS!$A:$AK,25,FALSE),"")</f>
      </c>
      <c r="R545" s="57">
        <f>IFERROR(VLOOKUP($A:$A,CS!$A:$AK,26,FALSE),"")</f>
      </c>
      <c r="S545" s="57">
        <f>IFERROR(VLOOKUP($A:$A,CS!$A:$AK,29,FALSE),"")</f>
      </c>
      <c r="T545" s="57">
        <f>IFERROR(VLOOKUP($A:$A,CS!$A:$AK,33,FALSE),"")</f>
      </c>
      <c r="U545" s="57">
        <f>IFERROR(VLOOKUP($A:$A,CS!$A:$AK,34,FALSE),"")</f>
      </c>
      <c r="V545" s="57">
        <f>IFERROR(VLOOKUP($A:$A,CS!$A:$AK,35,FALSE),"")</f>
      </c>
      <c r="W545" s="57">
        <f>IFERROR(VLOOKUP($A:$A,CS!$A:$AK,36,FALSE),"")</f>
      </c>
    </row>
    <row r="546" ht="16.5" customHeight="1" spans="1:23" x14ac:dyDescent="0.25">
      <c r="A546" s="71"/>
      <c r="B546" s="57">
        <f>IFERROR(VLOOKUP($A:$A,CS!$A:$AK,3,FALSE),"")</f>
      </c>
      <c r="C546" s="57">
        <f>IFERROR(VLOOKUP($A:$A,CS!$A:$AK,4,FALSE),"")</f>
      </c>
      <c r="D546" s="57">
        <f>IFERROR(VLOOKUP($A:$A,CS!$A:$AK,5,FALSE),"")</f>
      </c>
      <c r="E546" s="57">
        <f>IFERROR(VLOOKUP($A:$A,CS!$A:$AK,7,FALSE),"")</f>
      </c>
      <c r="F546" s="57">
        <f>IFERROR(VLOOKUP($A:$A,CS!$A:$AK,8,FALSE),"")</f>
      </c>
      <c r="G546" s="57">
        <f>IFERROR(VLOOKUP($A:$A,CS!$A:$AK,10,FALSE),"")</f>
      </c>
      <c r="H546" s="57">
        <f>IFERROR(VLOOKUP($A:$A,CS!$A:$AK,14,FALSE),"")</f>
      </c>
      <c r="I546" s="57">
        <f>IFERROR(VLOOKUP($A:$A,CS!$A:$AK,15,FALSE),"")</f>
      </c>
      <c r="J546" s="57">
        <f>IFERROR(VLOOKUP($A:$A,CS!$A:$AK,18,FALSE),"")</f>
      </c>
      <c r="K546" s="57">
        <f>IFERROR(VLOOKUP($A:$A,CS!$A:$AK,19,FALSE),"")</f>
      </c>
      <c r="L546" s="57">
        <f>IFERROR(VLOOKUP($A:$A,CS!$A:$AK,20,FALSE),"")</f>
      </c>
      <c r="M546" s="57">
        <f>IFERROR(VLOOKUP($A:$A,CS!$A:$AK,22,FALSE),"")</f>
      </c>
      <c r="N546" s="57">
        <f>IFERROR(VLOOKUP($A:$A,CS!$A:$AK,19,FALSE),"")</f>
      </c>
      <c r="O546" s="57">
        <f>IFERROR(VLOOKUP($A:$A,CS!$A:$AK,23,FALSE),"")</f>
      </c>
      <c r="P546" s="57">
        <f>IFERROR(VLOOKUP($A:$A,CS!$A:$AK,24,FALSE),"")</f>
      </c>
      <c r="Q546" s="57">
        <f>IFERROR(VLOOKUP($A:$A,CS!$A:$AK,25,FALSE),"")</f>
      </c>
      <c r="R546" s="57">
        <f>IFERROR(VLOOKUP($A:$A,CS!$A:$AK,26,FALSE),"")</f>
      </c>
      <c r="S546" s="57">
        <f>IFERROR(VLOOKUP($A:$A,CS!$A:$AK,29,FALSE),"")</f>
      </c>
      <c r="T546" s="57">
        <f>IFERROR(VLOOKUP($A:$A,CS!$A:$AK,33,FALSE),"")</f>
      </c>
      <c r="U546" s="57">
        <f>IFERROR(VLOOKUP($A:$A,CS!$A:$AK,34,FALSE),"")</f>
      </c>
      <c r="V546" s="57">
        <f>IFERROR(VLOOKUP($A:$A,CS!$A:$AK,35,FALSE),"")</f>
      </c>
      <c r="W546" s="57">
        <f>IFERROR(VLOOKUP($A:$A,CS!$A:$AK,36,FALSE),"")</f>
      </c>
    </row>
    <row r="547" ht="16.5" customHeight="1" spans="1:23" x14ac:dyDescent="0.25">
      <c r="A547" s="71"/>
      <c r="B547" s="57">
        <f>IFERROR(VLOOKUP($A:$A,CS!$A:$AK,3,FALSE),"")</f>
      </c>
      <c r="C547" s="57">
        <f>IFERROR(VLOOKUP($A:$A,CS!$A:$AK,4,FALSE),"")</f>
      </c>
      <c r="D547" s="57">
        <f>IFERROR(VLOOKUP($A:$A,CS!$A:$AK,5,FALSE),"")</f>
      </c>
      <c r="E547" s="57">
        <f>IFERROR(VLOOKUP($A:$A,CS!$A:$AK,7,FALSE),"")</f>
      </c>
      <c r="F547" s="57">
        <f>IFERROR(VLOOKUP($A:$A,CS!$A:$AK,8,FALSE),"")</f>
      </c>
      <c r="G547" s="57">
        <f>IFERROR(VLOOKUP($A:$A,CS!$A:$AK,10,FALSE),"")</f>
      </c>
      <c r="H547" s="57">
        <f>IFERROR(VLOOKUP($A:$A,CS!$A:$AK,14,FALSE),"")</f>
      </c>
      <c r="I547" s="57">
        <f>IFERROR(VLOOKUP($A:$A,CS!$A:$AK,15,FALSE),"")</f>
      </c>
      <c r="J547" s="57">
        <f>IFERROR(VLOOKUP($A:$A,CS!$A:$AK,18,FALSE),"")</f>
      </c>
      <c r="K547" s="57">
        <f>IFERROR(VLOOKUP($A:$A,CS!$A:$AK,19,FALSE),"")</f>
      </c>
      <c r="L547" s="57">
        <f>IFERROR(VLOOKUP($A:$A,CS!$A:$AK,20,FALSE),"")</f>
      </c>
      <c r="M547" s="57">
        <f>IFERROR(VLOOKUP($A:$A,CS!$A:$AK,22,FALSE),"")</f>
      </c>
      <c r="N547" s="57">
        <f>IFERROR(VLOOKUP($A:$A,CS!$A:$AK,19,FALSE),"")</f>
      </c>
      <c r="O547" s="57">
        <f>IFERROR(VLOOKUP($A:$A,CS!$A:$AK,23,FALSE),"")</f>
      </c>
      <c r="P547" s="57">
        <f>IFERROR(VLOOKUP($A:$A,CS!$A:$AK,24,FALSE),"")</f>
      </c>
      <c r="Q547" s="57">
        <f>IFERROR(VLOOKUP($A:$A,CS!$A:$AK,25,FALSE),"")</f>
      </c>
      <c r="R547" s="57">
        <f>IFERROR(VLOOKUP($A:$A,CS!$A:$AK,26,FALSE),"")</f>
      </c>
      <c r="S547" s="57">
        <f>IFERROR(VLOOKUP($A:$A,CS!$A:$AK,29,FALSE),"")</f>
      </c>
      <c r="T547" s="57">
        <f>IFERROR(VLOOKUP($A:$A,CS!$A:$AK,33,FALSE),"")</f>
      </c>
      <c r="U547" s="57">
        <f>IFERROR(VLOOKUP($A:$A,CS!$A:$AK,34,FALSE),"")</f>
      </c>
      <c r="V547" s="57">
        <f>IFERROR(VLOOKUP($A:$A,CS!$A:$AK,35,FALSE),"")</f>
      </c>
      <c r="W547" s="57">
        <f>IFERROR(VLOOKUP($A:$A,CS!$A:$AK,36,FALSE),"")</f>
      </c>
    </row>
    <row r="548" ht="16.5" customHeight="1" spans="1:23" x14ac:dyDescent="0.25">
      <c r="A548" s="71"/>
      <c r="B548" s="57">
        <f>IFERROR(VLOOKUP($A:$A,CS!$A:$AK,3,FALSE),"")</f>
      </c>
      <c r="C548" s="57">
        <f>IFERROR(VLOOKUP($A:$A,CS!$A:$AK,4,FALSE),"")</f>
      </c>
      <c r="D548" s="57">
        <f>IFERROR(VLOOKUP($A:$A,CS!$A:$AK,5,FALSE),"")</f>
      </c>
      <c r="E548" s="57">
        <f>IFERROR(VLOOKUP($A:$A,CS!$A:$AK,7,FALSE),"")</f>
      </c>
      <c r="F548" s="57">
        <f>IFERROR(VLOOKUP($A:$A,CS!$A:$AK,8,FALSE),"")</f>
      </c>
      <c r="G548" s="57">
        <f>IFERROR(VLOOKUP($A:$A,CS!$A:$AK,10,FALSE),"")</f>
      </c>
      <c r="H548" s="57">
        <f>IFERROR(VLOOKUP($A:$A,CS!$A:$AK,14,FALSE),"")</f>
      </c>
      <c r="I548" s="57">
        <f>IFERROR(VLOOKUP($A:$A,CS!$A:$AK,15,FALSE),"")</f>
      </c>
      <c r="J548" s="57">
        <f>IFERROR(VLOOKUP($A:$A,CS!$A:$AK,18,FALSE),"")</f>
      </c>
      <c r="K548" s="57">
        <f>IFERROR(VLOOKUP($A:$A,CS!$A:$AK,19,FALSE),"")</f>
      </c>
      <c r="L548" s="57">
        <f>IFERROR(VLOOKUP($A:$A,CS!$A:$AK,20,FALSE),"")</f>
      </c>
      <c r="M548" s="57">
        <f>IFERROR(VLOOKUP($A:$A,CS!$A:$AK,22,FALSE),"")</f>
      </c>
      <c r="N548" s="57">
        <f>IFERROR(VLOOKUP($A:$A,CS!$A:$AK,19,FALSE),"")</f>
      </c>
      <c r="O548" s="57">
        <f>IFERROR(VLOOKUP($A:$A,CS!$A:$AK,23,FALSE),"")</f>
      </c>
      <c r="P548" s="57">
        <f>IFERROR(VLOOKUP($A:$A,CS!$A:$AK,24,FALSE),"")</f>
      </c>
      <c r="Q548" s="57">
        <f>IFERROR(VLOOKUP($A:$A,CS!$A:$AK,25,FALSE),"")</f>
      </c>
      <c r="R548" s="57">
        <f>IFERROR(VLOOKUP($A:$A,CS!$A:$AK,26,FALSE),"")</f>
      </c>
      <c r="S548" s="57">
        <f>IFERROR(VLOOKUP($A:$A,CS!$A:$AK,29,FALSE),"")</f>
      </c>
      <c r="T548" s="57">
        <f>IFERROR(VLOOKUP($A:$A,CS!$A:$AK,33,FALSE),"")</f>
      </c>
      <c r="U548" s="57">
        <f>IFERROR(VLOOKUP($A:$A,CS!$A:$AK,34,FALSE),"")</f>
      </c>
      <c r="V548" s="57">
        <f>IFERROR(VLOOKUP($A:$A,CS!$A:$AK,35,FALSE),"")</f>
      </c>
      <c r="W548" s="57">
        <f>IFERROR(VLOOKUP($A:$A,CS!$A:$AK,36,FALSE),"")</f>
      </c>
    </row>
    <row r="549" ht="16.5" customHeight="1" spans="1:23" x14ac:dyDescent="0.25">
      <c r="A549" s="71"/>
      <c r="B549" s="57">
        <f>IFERROR(VLOOKUP($A:$A,CS!$A:$AK,3,FALSE),"")</f>
      </c>
      <c r="C549" s="57">
        <f>IFERROR(VLOOKUP($A:$A,CS!$A:$AK,4,FALSE),"")</f>
      </c>
      <c r="D549" s="57">
        <f>IFERROR(VLOOKUP($A:$A,CS!$A:$AK,5,FALSE),"")</f>
      </c>
      <c r="E549" s="57">
        <f>IFERROR(VLOOKUP($A:$A,CS!$A:$AK,7,FALSE),"")</f>
      </c>
      <c r="F549" s="57">
        <f>IFERROR(VLOOKUP($A:$A,CS!$A:$AK,8,FALSE),"")</f>
      </c>
      <c r="G549" s="57">
        <f>IFERROR(VLOOKUP($A:$A,CS!$A:$AK,10,FALSE),"")</f>
      </c>
      <c r="H549" s="57">
        <f>IFERROR(VLOOKUP($A:$A,CS!$A:$AK,14,FALSE),"")</f>
      </c>
      <c r="I549" s="57">
        <f>IFERROR(VLOOKUP($A:$A,CS!$A:$AK,15,FALSE),"")</f>
      </c>
      <c r="J549" s="57">
        <f>IFERROR(VLOOKUP($A:$A,CS!$A:$AK,18,FALSE),"")</f>
      </c>
      <c r="K549" s="57">
        <f>IFERROR(VLOOKUP($A:$A,CS!$A:$AK,19,FALSE),"")</f>
      </c>
      <c r="L549" s="57">
        <f>IFERROR(VLOOKUP($A:$A,CS!$A:$AK,20,FALSE),"")</f>
      </c>
      <c r="M549" s="57">
        <f>IFERROR(VLOOKUP($A:$A,CS!$A:$AK,22,FALSE),"")</f>
      </c>
      <c r="N549" s="57">
        <f>IFERROR(VLOOKUP($A:$A,CS!$A:$AK,19,FALSE),"")</f>
      </c>
      <c r="O549" s="57">
        <f>IFERROR(VLOOKUP($A:$A,CS!$A:$AK,23,FALSE),"")</f>
      </c>
      <c r="P549" s="57">
        <f>IFERROR(VLOOKUP($A:$A,CS!$A:$AK,24,FALSE),"")</f>
      </c>
      <c r="Q549" s="57">
        <f>IFERROR(VLOOKUP($A:$A,CS!$A:$AK,25,FALSE),"")</f>
      </c>
      <c r="R549" s="57">
        <f>IFERROR(VLOOKUP($A:$A,CS!$A:$AK,26,FALSE),"")</f>
      </c>
      <c r="S549" s="57">
        <f>IFERROR(VLOOKUP($A:$A,CS!$A:$AK,29,FALSE),"")</f>
      </c>
      <c r="T549" s="57">
        <f>IFERROR(VLOOKUP($A:$A,CS!$A:$AK,33,FALSE),"")</f>
      </c>
      <c r="U549" s="57">
        <f>IFERROR(VLOOKUP($A:$A,CS!$A:$AK,34,FALSE),"")</f>
      </c>
      <c r="V549" s="57">
        <f>IFERROR(VLOOKUP($A:$A,CS!$A:$AK,35,FALSE),"")</f>
      </c>
      <c r="W549" s="57">
        <f>IFERROR(VLOOKUP($A:$A,CS!$A:$AK,36,FALSE),"")</f>
      </c>
    </row>
    <row r="550" ht="16.5" customHeight="1" spans="1:23" x14ac:dyDescent="0.25">
      <c r="A550" s="71"/>
      <c r="B550" s="57">
        <f>IFERROR(VLOOKUP($A:$A,CS!$A:$AK,3,FALSE),"")</f>
      </c>
      <c r="C550" s="57">
        <f>IFERROR(VLOOKUP($A:$A,CS!$A:$AK,4,FALSE),"")</f>
      </c>
      <c r="D550" s="57">
        <f>IFERROR(VLOOKUP($A:$A,CS!$A:$AK,5,FALSE),"")</f>
      </c>
      <c r="E550" s="57">
        <f>IFERROR(VLOOKUP($A:$A,CS!$A:$AK,7,FALSE),"")</f>
      </c>
      <c r="F550" s="57">
        <f>IFERROR(VLOOKUP($A:$A,CS!$A:$AK,8,FALSE),"")</f>
      </c>
      <c r="G550" s="57">
        <f>IFERROR(VLOOKUP($A:$A,CS!$A:$AK,10,FALSE),"")</f>
      </c>
      <c r="H550" s="57">
        <f>IFERROR(VLOOKUP($A:$A,CS!$A:$AK,14,FALSE),"")</f>
      </c>
      <c r="I550" s="57">
        <f>IFERROR(VLOOKUP($A:$A,CS!$A:$AK,15,FALSE),"")</f>
      </c>
      <c r="J550" s="57">
        <f>IFERROR(VLOOKUP($A:$A,CS!$A:$AK,18,FALSE),"")</f>
      </c>
      <c r="K550" s="57">
        <f>IFERROR(VLOOKUP($A:$A,CS!$A:$AK,19,FALSE),"")</f>
      </c>
      <c r="L550" s="57">
        <f>IFERROR(VLOOKUP($A:$A,CS!$A:$AK,20,FALSE),"")</f>
      </c>
      <c r="M550" s="57">
        <f>IFERROR(VLOOKUP($A:$A,CS!$A:$AK,22,FALSE),"")</f>
      </c>
      <c r="N550" s="57">
        <f>IFERROR(VLOOKUP($A:$A,CS!$A:$AK,19,FALSE),"")</f>
      </c>
      <c r="O550" s="57">
        <f>IFERROR(VLOOKUP($A:$A,CS!$A:$AK,23,FALSE),"")</f>
      </c>
      <c r="P550" s="57">
        <f>IFERROR(VLOOKUP($A:$A,CS!$A:$AK,24,FALSE),"")</f>
      </c>
      <c r="Q550" s="57">
        <f>IFERROR(VLOOKUP($A:$A,CS!$A:$AK,25,FALSE),"")</f>
      </c>
      <c r="R550" s="57">
        <f>IFERROR(VLOOKUP($A:$A,CS!$A:$AK,26,FALSE),"")</f>
      </c>
      <c r="S550" s="57">
        <f>IFERROR(VLOOKUP($A:$A,CS!$A:$AK,29,FALSE),"")</f>
      </c>
      <c r="T550" s="57">
        <f>IFERROR(VLOOKUP($A:$A,CS!$A:$AK,33,FALSE),"")</f>
      </c>
      <c r="U550" s="57">
        <f>IFERROR(VLOOKUP($A:$A,CS!$A:$AK,34,FALSE),"")</f>
      </c>
      <c r="V550" s="57">
        <f>IFERROR(VLOOKUP($A:$A,CS!$A:$AK,35,FALSE),"")</f>
      </c>
      <c r="W550" s="57">
        <f>IFERROR(VLOOKUP($A:$A,CS!$A:$AK,36,FALSE),"")</f>
      </c>
    </row>
    <row r="551" ht="16.5" customHeight="1" spans="1:23" x14ac:dyDescent="0.25">
      <c r="A551" s="71"/>
      <c r="B551" s="57">
        <f>IFERROR(VLOOKUP($A:$A,CS!$A:$AK,3,FALSE),"")</f>
      </c>
      <c r="C551" s="57">
        <f>IFERROR(VLOOKUP($A:$A,CS!$A:$AK,4,FALSE),"")</f>
      </c>
      <c r="D551" s="57">
        <f>IFERROR(VLOOKUP($A:$A,CS!$A:$AK,5,FALSE),"")</f>
      </c>
      <c r="E551" s="57">
        <f>IFERROR(VLOOKUP($A:$A,CS!$A:$AK,7,FALSE),"")</f>
      </c>
      <c r="F551" s="57">
        <f>IFERROR(VLOOKUP($A:$A,CS!$A:$AK,8,FALSE),"")</f>
      </c>
      <c r="G551" s="57">
        <f>IFERROR(VLOOKUP($A:$A,CS!$A:$AK,10,FALSE),"")</f>
      </c>
      <c r="H551" s="57">
        <f>IFERROR(VLOOKUP($A:$A,CS!$A:$AK,14,FALSE),"")</f>
      </c>
      <c r="I551" s="57">
        <f>IFERROR(VLOOKUP($A:$A,CS!$A:$AK,15,FALSE),"")</f>
      </c>
      <c r="J551" s="57">
        <f>IFERROR(VLOOKUP($A:$A,CS!$A:$AK,18,FALSE),"")</f>
      </c>
      <c r="K551" s="57">
        <f>IFERROR(VLOOKUP($A:$A,CS!$A:$AK,19,FALSE),"")</f>
      </c>
      <c r="L551" s="57">
        <f>IFERROR(VLOOKUP($A:$A,CS!$A:$AK,20,FALSE),"")</f>
      </c>
      <c r="M551" s="57">
        <f>IFERROR(VLOOKUP($A:$A,CS!$A:$AK,22,FALSE),"")</f>
      </c>
      <c r="N551" s="57">
        <f>IFERROR(VLOOKUP($A:$A,CS!$A:$AK,19,FALSE),"")</f>
      </c>
      <c r="O551" s="57">
        <f>IFERROR(VLOOKUP($A:$A,CS!$A:$AK,23,FALSE),"")</f>
      </c>
      <c r="P551" s="57">
        <f>IFERROR(VLOOKUP($A:$A,CS!$A:$AK,24,FALSE),"")</f>
      </c>
      <c r="Q551" s="57">
        <f>IFERROR(VLOOKUP($A:$A,CS!$A:$AK,25,FALSE),"")</f>
      </c>
      <c r="R551" s="57">
        <f>IFERROR(VLOOKUP($A:$A,CS!$A:$AK,26,FALSE),"")</f>
      </c>
      <c r="S551" s="57">
        <f>IFERROR(VLOOKUP($A:$A,CS!$A:$AK,29,FALSE),"")</f>
      </c>
      <c r="T551" s="57">
        <f>IFERROR(VLOOKUP($A:$A,CS!$A:$AK,33,FALSE),"")</f>
      </c>
      <c r="U551" s="57">
        <f>IFERROR(VLOOKUP($A:$A,CS!$A:$AK,34,FALSE),"")</f>
      </c>
      <c r="V551" s="57">
        <f>IFERROR(VLOOKUP($A:$A,CS!$A:$AK,35,FALSE),"")</f>
      </c>
      <c r="W551" s="57">
        <f>IFERROR(VLOOKUP($A:$A,CS!$A:$AK,36,FALSE),"")</f>
      </c>
    </row>
    <row r="552" ht="16.5" customHeight="1" spans="1:23" x14ac:dyDescent="0.25">
      <c r="A552" s="71"/>
      <c r="B552" s="57">
        <f>IFERROR(VLOOKUP($A:$A,CS!$A:$AK,3,FALSE),"")</f>
      </c>
      <c r="C552" s="57">
        <f>IFERROR(VLOOKUP($A:$A,CS!$A:$AK,4,FALSE),"")</f>
      </c>
      <c r="D552" s="57">
        <f>IFERROR(VLOOKUP($A:$A,CS!$A:$AK,5,FALSE),"")</f>
      </c>
      <c r="E552" s="57">
        <f>IFERROR(VLOOKUP($A:$A,CS!$A:$AK,7,FALSE),"")</f>
      </c>
      <c r="F552" s="57">
        <f>IFERROR(VLOOKUP($A:$A,CS!$A:$AK,8,FALSE),"")</f>
      </c>
      <c r="G552" s="57">
        <f>IFERROR(VLOOKUP($A:$A,CS!$A:$AK,10,FALSE),"")</f>
      </c>
      <c r="H552" s="57">
        <f>IFERROR(VLOOKUP($A:$A,CS!$A:$AK,14,FALSE),"")</f>
      </c>
      <c r="I552" s="57">
        <f>IFERROR(VLOOKUP($A:$A,CS!$A:$AK,15,FALSE),"")</f>
      </c>
      <c r="J552" s="57">
        <f>IFERROR(VLOOKUP($A:$A,CS!$A:$AK,18,FALSE),"")</f>
      </c>
      <c r="K552" s="57">
        <f>IFERROR(VLOOKUP($A:$A,CS!$A:$AK,19,FALSE),"")</f>
      </c>
      <c r="L552" s="57">
        <f>IFERROR(VLOOKUP($A:$A,CS!$A:$AK,20,FALSE),"")</f>
      </c>
      <c r="M552" s="57">
        <f>IFERROR(VLOOKUP($A:$A,CS!$A:$AK,22,FALSE),"")</f>
      </c>
      <c r="N552" s="57">
        <f>IFERROR(VLOOKUP($A:$A,CS!$A:$AK,19,FALSE),"")</f>
      </c>
      <c r="O552" s="57">
        <f>IFERROR(VLOOKUP($A:$A,CS!$A:$AK,23,FALSE),"")</f>
      </c>
      <c r="P552" s="57">
        <f>IFERROR(VLOOKUP($A:$A,CS!$A:$AK,24,FALSE),"")</f>
      </c>
      <c r="Q552" s="57">
        <f>IFERROR(VLOOKUP($A:$A,CS!$A:$AK,25,FALSE),"")</f>
      </c>
      <c r="R552" s="57">
        <f>IFERROR(VLOOKUP($A:$A,CS!$A:$AK,26,FALSE),"")</f>
      </c>
      <c r="S552" s="57">
        <f>IFERROR(VLOOKUP($A:$A,CS!$A:$AK,29,FALSE),"")</f>
      </c>
      <c r="T552" s="57">
        <f>IFERROR(VLOOKUP($A:$A,CS!$A:$AK,33,FALSE),"")</f>
      </c>
      <c r="U552" s="57">
        <f>IFERROR(VLOOKUP($A:$A,CS!$A:$AK,34,FALSE),"")</f>
      </c>
      <c r="V552" s="57">
        <f>IFERROR(VLOOKUP($A:$A,CS!$A:$AK,35,FALSE),"")</f>
      </c>
      <c r="W552" s="57">
        <f>IFERROR(VLOOKUP($A:$A,CS!$A:$AK,36,FALSE),"")</f>
      </c>
    </row>
    <row r="553" ht="16.5" customHeight="1" spans="1:23" x14ac:dyDescent="0.25">
      <c r="A553" s="71"/>
      <c r="B553" s="57">
        <f>IFERROR(VLOOKUP($A:$A,CS!$A:$AK,3,FALSE),"")</f>
      </c>
      <c r="C553" s="57">
        <f>IFERROR(VLOOKUP($A:$A,CS!$A:$AK,4,FALSE),"")</f>
      </c>
      <c r="D553" s="57">
        <f>IFERROR(VLOOKUP($A:$A,CS!$A:$AK,5,FALSE),"")</f>
      </c>
      <c r="E553" s="57">
        <f>IFERROR(VLOOKUP($A:$A,CS!$A:$AK,7,FALSE),"")</f>
      </c>
      <c r="F553" s="57">
        <f>IFERROR(VLOOKUP($A:$A,CS!$A:$AK,8,FALSE),"")</f>
      </c>
      <c r="G553" s="57">
        <f>IFERROR(VLOOKUP($A:$A,CS!$A:$AK,10,FALSE),"")</f>
      </c>
      <c r="H553" s="57">
        <f>IFERROR(VLOOKUP($A:$A,CS!$A:$AK,14,FALSE),"")</f>
      </c>
      <c r="I553" s="57">
        <f>IFERROR(VLOOKUP($A:$A,CS!$A:$AK,15,FALSE),"")</f>
      </c>
      <c r="J553" s="57">
        <f>IFERROR(VLOOKUP($A:$A,CS!$A:$AK,18,FALSE),"")</f>
      </c>
      <c r="K553" s="57">
        <f>IFERROR(VLOOKUP($A:$A,CS!$A:$AK,19,FALSE),"")</f>
      </c>
      <c r="L553" s="57">
        <f>IFERROR(VLOOKUP($A:$A,CS!$A:$AK,20,FALSE),"")</f>
      </c>
      <c r="M553" s="57">
        <f>IFERROR(VLOOKUP($A:$A,CS!$A:$AK,22,FALSE),"")</f>
      </c>
      <c r="N553" s="57">
        <f>IFERROR(VLOOKUP($A:$A,CS!$A:$AK,19,FALSE),"")</f>
      </c>
      <c r="O553" s="57">
        <f>IFERROR(VLOOKUP($A:$A,CS!$A:$AK,23,FALSE),"")</f>
      </c>
      <c r="P553" s="57">
        <f>IFERROR(VLOOKUP($A:$A,CS!$A:$AK,24,FALSE),"")</f>
      </c>
      <c r="Q553" s="57">
        <f>IFERROR(VLOOKUP($A:$A,CS!$A:$AK,25,FALSE),"")</f>
      </c>
      <c r="R553" s="57">
        <f>IFERROR(VLOOKUP($A:$A,CS!$A:$AK,26,FALSE),"")</f>
      </c>
      <c r="S553" s="57">
        <f>IFERROR(VLOOKUP($A:$A,CS!$A:$AK,29,FALSE),"")</f>
      </c>
      <c r="T553" s="57">
        <f>IFERROR(VLOOKUP($A:$A,CS!$A:$AK,33,FALSE),"")</f>
      </c>
      <c r="U553" s="57">
        <f>IFERROR(VLOOKUP($A:$A,CS!$A:$AK,34,FALSE),"")</f>
      </c>
      <c r="V553" s="57">
        <f>IFERROR(VLOOKUP($A:$A,CS!$A:$AK,35,FALSE),"")</f>
      </c>
      <c r="W553" s="57">
        <f>IFERROR(VLOOKUP($A:$A,CS!$A:$AK,36,FALSE),"")</f>
      </c>
    </row>
    <row r="554" ht="16.5" customHeight="1" spans="1:23" x14ac:dyDescent="0.25">
      <c r="A554" s="71"/>
      <c r="B554" s="57">
        <f>IFERROR(VLOOKUP($A:$A,CS!$A:$AK,3,FALSE),"")</f>
      </c>
      <c r="C554" s="57">
        <f>IFERROR(VLOOKUP($A:$A,CS!$A:$AK,4,FALSE),"")</f>
      </c>
      <c r="D554" s="57">
        <f>IFERROR(VLOOKUP($A:$A,CS!$A:$AK,5,FALSE),"")</f>
      </c>
      <c r="E554" s="57">
        <f>IFERROR(VLOOKUP($A:$A,CS!$A:$AK,7,FALSE),"")</f>
      </c>
      <c r="F554" s="57">
        <f>IFERROR(VLOOKUP($A:$A,CS!$A:$AK,8,FALSE),"")</f>
      </c>
      <c r="G554" s="57">
        <f>IFERROR(VLOOKUP($A:$A,CS!$A:$AK,10,FALSE),"")</f>
      </c>
      <c r="H554" s="57">
        <f>IFERROR(VLOOKUP($A:$A,CS!$A:$AK,14,FALSE),"")</f>
      </c>
      <c r="I554" s="57">
        <f>IFERROR(VLOOKUP($A:$A,CS!$A:$AK,15,FALSE),"")</f>
      </c>
      <c r="J554" s="57">
        <f>IFERROR(VLOOKUP($A:$A,CS!$A:$AK,18,FALSE),"")</f>
      </c>
      <c r="K554" s="57">
        <f>IFERROR(VLOOKUP($A:$A,CS!$A:$AK,19,FALSE),"")</f>
      </c>
      <c r="L554" s="57">
        <f>IFERROR(VLOOKUP($A:$A,CS!$A:$AK,20,FALSE),"")</f>
      </c>
      <c r="M554" s="57">
        <f>IFERROR(VLOOKUP($A:$A,CS!$A:$AK,22,FALSE),"")</f>
      </c>
      <c r="N554" s="57">
        <f>IFERROR(VLOOKUP($A:$A,CS!$A:$AK,19,FALSE),"")</f>
      </c>
      <c r="O554" s="57">
        <f>IFERROR(VLOOKUP($A:$A,CS!$A:$AK,23,FALSE),"")</f>
      </c>
      <c r="P554" s="57">
        <f>IFERROR(VLOOKUP($A:$A,CS!$A:$AK,24,FALSE),"")</f>
      </c>
      <c r="Q554" s="57">
        <f>IFERROR(VLOOKUP($A:$A,CS!$A:$AK,25,FALSE),"")</f>
      </c>
      <c r="R554" s="57">
        <f>IFERROR(VLOOKUP($A:$A,CS!$A:$AK,26,FALSE),"")</f>
      </c>
      <c r="S554" s="57">
        <f>IFERROR(VLOOKUP($A:$A,CS!$A:$AK,29,FALSE),"")</f>
      </c>
      <c r="T554" s="57">
        <f>IFERROR(VLOOKUP($A:$A,CS!$A:$AK,33,FALSE),"")</f>
      </c>
      <c r="U554" s="57">
        <f>IFERROR(VLOOKUP($A:$A,CS!$A:$AK,34,FALSE),"")</f>
      </c>
      <c r="V554" s="57">
        <f>IFERROR(VLOOKUP($A:$A,CS!$A:$AK,35,FALSE),"")</f>
      </c>
      <c r="W554" s="57">
        <f>IFERROR(VLOOKUP($A:$A,CS!$A:$AK,36,FALSE),"")</f>
      </c>
    </row>
    <row r="555" ht="16.5" customHeight="1" spans="1:23" x14ac:dyDescent="0.25">
      <c r="A555" s="71"/>
      <c r="B555" s="57">
        <f>IFERROR(VLOOKUP($A:$A,CS!$A:$AK,3,FALSE),"")</f>
      </c>
      <c r="C555" s="57">
        <f>IFERROR(VLOOKUP($A:$A,CS!$A:$AK,4,FALSE),"")</f>
      </c>
      <c r="D555" s="57">
        <f>IFERROR(VLOOKUP($A:$A,CS!$A:$AK,5,FALSE),"")</f>
      </c>
      <c r="E555" s="57">
        <f>IFERROR(VLOOKUP($A:$A,CS!$A:$AK,7,FALSE),"")</f>
      </c>
      <c r="F555" s="57">
        <f>IFERROR(VLOOKUP($A:$A,CS!$A:$AK,8,FALSE),"")</f>
      </c>
      <c r="G555" s="57">
        <f>IFERROR(VLOOKUP($A:$A,CS!$A:$AK,10,FALSE),"")</f>
      </c>
      <c r="H555" s="57">
        <f>IFERROR(VLOOKUP($A:$A,CS!$A:$AK,14,FALSE),"")</f>
      </c>
      <c r="I555" s="57">
        <f>IFERROR(VLOOKUP($A:$A,CS!$A:$AK,15,FALSE),"")</f>
      </c>
      <c r="J555" s="57">
        <f>IFERROR(VLOOKUP($A:$A,CS!$A:$AK,18,FALSE),"")</f>
      </c>
      <c r="K555" s="57">
        <f>IFERROR(VLOOKUP($A:$A,CS!$A:$AK,19,FALSE),"")</f>
      </c>
      <c r="L555" s="57">
        <f>IFERROR(VLOOKUP($A:$A,CS!$A:$AK,20,FALSE),"")</f>
      </c>
      <c r="M555" s="57">
        <f>IFERROR(VLOOKUP($A:$A,CS!$A:$AK,22,FALSE),"")</f>
      </c>
      <c r="N555" s="57">
        <f>IFERROR(VLOOKUP($A:$A,CS!$A:$AK,19,FALSE),"")</f>
      </c>
      <c r="O555" s="57">
        <f>IFERROR(VLOOKUP($A:$A,CS!$A:$AK,23,FALSE),"")</f>
      </c>
      <c r="P555" s="57">
        <f>IFERROR(VLOOKUP($A:$A,CS!$A:$AK,24,FALSE),"")</f>
      </c>
      <c r="Q555" s="57">
        <f>IFERROR(VLOOKUP($A:$A,CS!$A:$AK,25,FALSE),"")</f>
      </c>
      <c r="R555" s="57">
        <f>IFERROR(VLOOKUP($A:$A,CS!$A:$AK,26,FALSE),"")</f>
      </c>
      <c r="S555" s="57">
        <f>IFERROR(VLOOKUP($A:$A,CS!$A:$AK,29,FALSE),"")</f>
      </c>
      <c r="T555" s="57">
        <f>IFERROR(VLOOKUP($A:$A,CS!$A:$AK,33,FALSE),"")</f>
      </c>
      <c r="U555" s="57">
        <f>IFERROR(VLOOKUP($A:$A,CS!$A:$AK,34,FALSE),"")</f>
      </c>
      <c r="V555" s="57">
        <f>IFERROR(VLOOKUP($A:$A,CS!$A:$AK,35,FALSE),"")</f>
      </c>
      <c r="W555" s="57">
        <f>IFERROR(VLOOKUP($A:$A,CS!$A:$AK,36,FALSE),"")</f>
      </c>
    </row>
    <row r="556" ht="16.5" customHeight="1" spans="1:23" x14ac:dyDescent="0.25">
      <c r="A556" s="71"/>
      <c r="B556" s="57">
        <f>IFERROR(VLOOKUP($A:$A,CS!$A:$AK,3,FALSE),"")</f>
      </c>
      <c r="C556" s="57">
        <f>IFERROR(VLOOKUP($A:$A,CS!$A:$AK,4,FALSE),"")</f>
      </c>
      <c r="D556" s="57">
        <f>IFERROR(VLOOKUP($A:$A,CS!$A:$AK,5,FALSE),"")</f>
      </c>
      <c r="E556" s="57">
        <f>IFERROR(VLOOKUP($A:$A,CS!$A:$AK,7,FALSE),"")</f>
      </c>
      <c r="F556" s="57">
        <f>IFERROR(VLOOKUP($A:$A,CS!$A:$AK,8,FALSE),"")</f>
      </c>
      <c r="G556" s="57">
        <f>IFERROR(VLOOKUP($A:$A,CS!$A:$AK,10,FALSE),"")</f>
      </c>
      <c r="H556" s="57">
        <f>IFERROR(VLOOKUP($A:$A,CS!$A:$AK,14,FALSE),"")</f>
      </c>
      <c r="I556" s="57">
        <f>IFERROR(VLOOKUP($A:$A,CS!$A:$AK,15,FALSE),"")</f>
      </c>
      <c r="J556" s="57">
        <f>IFERROR(VLOOKUP($A:$A,CS!$A:$AK,18,FALSE),"")</f>
      </c>
      <c r="K556" s="57">
        <f>IFERROR(VLOOKUP($A:$A,CS!$A:$AK,19,FALSE),"")</f>
      </c>
      <c r="L556" s="57">
        <f>IFERROR(VLOOKUP($A:$A,CS!$A:$AK,20,FALSE),"")</f>
      </c>
      <c r="M556" s="57">
        <f>IFERROR(VLOOKUP($A:$A,CS!$A:$AK,22,FALSE),"")</f>
      </c>
      <c r="N556" s="57">
        <f>IFERROR(VLOOKUP($A:$A,CS!$A:$AK,19,FALSE),"")</f>
      </c>
      <c r="O556" s="57">
        <f>IFERROR(VLOOKUP($A:$A,CS!$A:$AK,23,FALSE),"")</f>
      </c>
      <c r="P556" s="57">
        <f>IFERROR(VLOOKUP($A:$A,CS!$A:$AK,24,FALSE),"")</f>
      </c>
      <c r="Q556" s="57">
        <f>IFERROR(VLOOKUP($A:$A,CS!$A:$AK,25,FALSE),"")</f>
      </c>
      <c r="R556" s="57">
        <f>IFERROR(VLOOKUP($A:$A,CS!$A:$AK,26,FALSE),"")</f>
      </c>
      <c r="S556" s="57">
        <f>IFERROR(VLOOKUP($A:$A,CS!$A:$AK,29,FALSE),"")</f>
      </c>
      <c r="T556" s="57">
        <f>IFERROR(VLOOKUP($A:$A,CS!$A:$AK,33,FALSE),"")</f>
      </c>
      <c r="U556" s="57">
        <f>IFERROR(VLOOKUP($A:$A,CS!$A:$AK,34,FALSE),"")</f>
      </c>
      <c r="V556" s="57">
        <f>IFERROR(VLOOKUP($A:$A,CS!$A:$AK,35,FALSE),"")</f>
      </c>
      <c r="W556" s="57">
        <f>IFERROR(VLOOKUP($A:$A,CS!$A:$AK,36,FALSE),"")</f>
      </c>
    </row>
    <row r="557" ht="16.5" customHeight="1" spans="1:23" x14ac:dyDescent="0.25">
      <c r="A557" s="71"/>
      <c r="B557" s="57">
        <f>IFERROR(VLOOKUP($A:$A,CS!$A:$AK,3,FALSE),"")</f>
      </c>
      <c r="C557" s="57">
        <f>IFERROR(VLOOKUP($A:$A,CS!$A:$AK,4,FALSE),"")</f>
      </c>
      <c r="D557" s="57">
        <f>IFERROR(VLOOKUP($A:$A,CS!$A:$AK,5,FALSE),"")</f>
      </c>
      <c r="E557" s="57">
        <f>IFERROR(VLOOKUP($A:$A,CS!$A:$AK,7,FALSE),"")</f>
      </c>
      <c r="F557" s="57">
        <f>IFERROR(VLOOKUP($A:$A,CS!$A:$AK,8,FALSE),"")</f>
      </c>
      <c r="G557" s="57">
        <f>IFERROR(VLOOKUP($A:$A,CS!$A:$AK,10,FALSE),"")</f>
      </c>
      <c r="H557" s="57">
        <f>IFERROR(VLOOKUP($A:$A,CS!$A:$AK,14,FALSE),"")</f>
      </c>
      <c r="I557" s="57">
        <f>IFERROR(VLOOKUP($A:$A,CS!$A:$AK,15,FALSE),"")</f>
      </c>
      <c r="J557" s="57">
        <f>IFERROR(VLOOKUP($A:$A,CS!$A:$AK,18,FALSE),"")</f>
      </c>
      <c r="K557" s="57">
        <f>IFERROR(VLOOKUP($A:$A,CS!$A:$AK,19,FALSE),"")</f>
      </c>
      <c r="L557" s="57">
        <f>IFERROR(VLOOKUP($A:$A,CS!$A:$AK,20,FALSE),"")</f>
      </c>
      <c r="M557" s="57">
        <f>IFERROR(VLOOKUP($A:$A,CS!$A:$AK,22,FALSE),"")</f>
      </c>
      <c r="N557" s="57">
        <f>IFERROR(VLOOKUP($A:$A,CS!$A:$AK,19,FALSE),"")</f>
      </c>
      <c r="O557" s="57">
        <f>IFERROR(VLOOKUP($A:$A,CS!$A:$AK,23,FALSE),"")</f>
      </c>
      <c r="P557" s="57">
        <f>IFERROR(VLOOKUP($A:$A,CS!$A:$AK,24,FALSE),"")</f>
      </c>
      <c r="Q557" s="57">
        <f>IFERROR(VLOOKUP($A:$A,CS!$A:$AK,25,FALSE),"")</f>
      </c>
      <c r="R557" s="57">
        <f>IFERROR(VLOOKUP($A:$A,CS!$A:$AK,26,FALSE),"")</f>
      </c>
      <c r="S557" s="57">
        <f>IFERROR(VLOOKUP($A:$A,CS!$A:$AK,29,FALSE),"")</f>
      </c>
      <c r="T557" s="57">
        <f>IFERROR(VLOOKUP($A:$A,CS!$A:$AK,33,FALSE),"")</f>
      </c>
      <c r="U557" s="57">
        <f>IFERROR(VLOOKUP($A:$A,CS!$A:$AK,34,FALSE),"")</f>
      </c>
      <c r="V557" s="57">
        <f>IFERROR(VLOOKUP($A:$A,CS!$A:$AK,35,FALSE),"")</f>
      </c>
      <c r="W557" s="57">
        <f>IFERROR(VLOOKUP($A:$A,CS!$A:$AK,36,FALSE),"")</f>
      </c>
    </row>
    <row r="558" ht="16.5" customHeight="1" spans="1:23" x14ac:dyDescent="0.25">
      <c r="A558" s="71"/>
      <c r="B558" s="57">
        <f>IFERROR(VLOOKUP($A:$A,CS!$A:$AK,3,FALSE),"")</f>
      </c>
      <c r="C558" s="57">
        <f>IFERROR(VLOOKUP($A:$A,CS!$A:$AK,4,FALSE),"")</f>
      </c>
      <c r="D558" s="57">
        <f>IFERROR(VLOOKUP($A:$A,CS!$A:$AK,5,FALSE),"")</f>
      </c>
      <c r="E558" s="57">
        <f>IFERROR(VLOOKUP($A:$A,CS!$A:$AK,7,FALSE),"")</f>
      </c>
      <c r="F558" s="57">
        <f>IFERROR(VLOOKUP($A:$A,CS!$A:$AK,8,FALSE),"")</f>
      </c>
      <c r="G558" s="57">
        <f>IFERROR(VLOOKUP($A:$A,CS!$A:$AK,10,FALSE),"")</f>
      </c>
      <c r="H558" s="57">
        <f>IFERROR(VLOOKUP($A:$A,CS!$A:$AK,14,FALSE),"")</f>
      </c>
      <c r="I558" s="57">
        <f>IFERROR(VLOOKUP($A:$A,CS!$A:$AK,15,FALSE),"")</f>
      </c>
      <c r="J558" s="57">
        <f>IFERROR(VLOOKUP($A:$A,CS!$A:$AK,18,FALSE),"")</f>
      </c>
      <c r="K558" s="57">
        <f>IFERROR(VLOOKUP($A:$A,CS!$A:$AK,19,FALSE),"")</f>
      </c>
      <c r="L558" s="57">
        <f>IFERROR(VLOOKUP($A:$A,CS!$A:$AK,20,FALSE),"")</f>
      </c>
      <c r="M558" s="57">
        <f>IFERROR(VLOOKUP($A:$A,CS!$A:$AK,22,FALSE),"")</f>
      </c>
      <c r="N558" s="57">
        <f>IFERROR(VLOOKUP($A:$A,CS!$A:$AK,19,FALSE),"")</f>
      </c>
      <c r="O558" s="57">
        <f>IFERROR(VLOOKUP($A:$A,CS!$A:$AK,23,FALSE),"")</f>
      </c>
      <c r="P558" s="57">
        <f>IFERROR(VLOOKUP($A:$A,CS!$A:$AK,24,FALSE),"")</f>
      </c>
      <c r="Q558" s="57">
        <f>IFERROR(VLOOKUP($A:$A,CS!$A:$AK,25,FALSE),"")</f>
      </c>
      <c r="R558" s="57">
        <f>IFERROR(VLOOKUP($A:$A,CS!$A:$AK,26,FALSE),"")</f>
      </c>
      <c r="S558" s="57">
        <f>IFERROR(VLOOKUP($A:$A,CS!$A:$AK,29,FALSE),"")</f>
      </c>
      <c r="T558" s="57">
        <f>IFERROR(VLOOKUP($A:$A,CS!$A:$AK,33,FALSE),"")</f>
      </c>
      <c r="U558" s="57">
        <f>IFERROR(VLOOKUP($A:$A,CS!$A:$AK,34,FALSE),"")</f>
      </c>
      <c r="V558" s="57">
        <f>IFERROR(VLOOKUP($A:$A,CS!$A:$AK,35,FALSE),"")</f>
      </c>
      <c r="W558" s="57">
        <f>IFERROR(VLOOKUP($A:$A,CS!$A:$AK,36,FALSE),"")</f>
      </c>
    </row>
    <row r="559" ht="16.5" customHeight="1" spans="1:23" x14ac:dyDescent="0.25">
      <c r="A559" s="71"/>
      <c r="B559" s="57">
        <f>IFERROR(VLOOKUP($A:$A,CS!$A:$AK,3,FALSE),"")</f>
      </c>
      <c r="C559" s="57">
        <f>IFERROR(VLOOKUP($A:$A,CS!$A:$AK,4,FALSE),"")</f>
      </c>
      <c r="D559" s="57">
        <f>IFERROR(VLOOKUP($A:$A,CS!$A:$AK,5,FALSE),"")</f>
      </c>
      <c r="E559" s="57">
        <f>IFERROR(VLOOKUP($A:$A,CS!$A:$AK,7,FALSE),"")</f>
      </c>
      <c r="F559" s="57">
        <f>IFERROR(VLOOKUP($A:$A,CS!$A:$AK,8,FALSE),"")</f>
      </c>
      <c r="G559" s="57">
        <f>IFERROR(VLOOKUP($A:$A,CS!$A:$AK,10,FALSE),"")</f>
      </c>
      <c r="H559" s="57">
        <f>IFERROR(VLOOKUP($A:$A,CS!$A:$AK,14,FALSE),"")</f>
      </c>
      <c r="I559" s="57">
        <f>IFERROR(VLOOKUP($A:$A,CS!$A:$AK,15,FALSE),"")</f>
      </c>
      <c r="J559" s="57">
        <f>IFERROR(VLOOKUP($A:$A,CS!$A:$AK,18,FALSE),"")</f>
      </c>
      <c r="K559" s="57">
        <f>IFERROR(VLOOKUP($A:$A,CS!$A:$AK,19,FALSE),"")</f>
      </c>
      <c r="L559" s="57">
        <f>IFERROR(VLOOKUP($A:$A,CS!$A:$AK,20,FALSE),"")</f>
      </c>
      <c r="M559" s="57">
        <f>IFERROR(VLOOKUP($A:$A,CS!$A:$AK,22,FALSE),"")</f>
      </c>
      <c r="N559" s="57">
        <f>IFERROR(VLOOKUP($A:$A,CS!$A:$AK,19,FALSE),"")</f>
      </c>
      <c r="O559" s="57">
        <f>IFERROR(VLOOKUP($A:$A,CS!$A:$AK,23,FALSE),"")</f>
      </c>
      <c r="P559" s="57">
        <f>IFERROR(VLOOKUP($A:$A,CS!$A:$AK,24,FALSE),"")</f>
      </c>
      <c r="Q559" s="57">
        <f>IFERROR(VLOOKUP($A:$A,CS!$A:$AK,25,FALSE),"")</f>
      </c>
      <c r="R559" s="57">
        <f>IFERROR(VLOOKUP($A:$A,CS!$A:$AK,26,FALSE),"")</f>
      </c>
      <c r="S559" s="57">
        <f>IFERROR(VLOOKUP($A:$A,CS!$A:$AK,29,FALSE),"")</f>
      </c>
      <c r="T559" s="57">
        <f>IFERROR(VLOOKUP($A:$A,CS!$A:$AK,33,FALSE),"")</f>
      </c>
      <c r="U559" s="57">
        <f>IFERROR(VLOOKUP($A:$A,CS!$A:$AK,34,FALSE),"")</f>
      </c>
      <c r="V559" s="57">
        <f>IFERROR(VLOOKUP($A:$A,CS!$A:$AK,35,FALSE),"")</f>
      </c>
      <c r="W559" s="57">
        <f>IFERROR(VLOOKUP($A:$A,CS!$A:$AK,36,FALSE),"")</f>
      </c>
    </row>
    <row r="560" ht="16.5" customHeight="1" spans="1:23" x14ac:dyDescent="0.25">
      <c r="A560" s="71"/>
      <c r="B560" s="57">
        <f>IFERROR(VLOOKUP($A:$A,CS!$A:$AK,3,FALSE),"")</f>
      </c>
      <c r="C560" s="57">
        <f>IFERROR(VLOOKUP($A:$A,CS!$A:$AK,4,FALSE),"")</f>
      </c>
      <c r="D560" s="57">
        <f>IFERROR(VLOOKUP($A:$A,CS!$A:$AK,5,FALSE),"")</f>
      </c>
      <c r="E560" s="57">
        <f>IFERROR(VLOOKUP($A:$A,CS!$A:$AK,7,FALSE),"")</f>
      </c>
      <c r="F560" s="57">
        <f>IFERROR(VLOOKUP($A:$A,CS!$A:$AK,8,FALSE),"")</f>
      </c>
      <c r="G560" s="57">
        <f>IFERROR(VLOOKUP($A:$A,CS!$A:$AK,10,FALSE),"")</f>
      </c>
      <c r="H560" s="57">
        <f>IFERROR(VLOOKUP($A:$A,CS!$A:$AK,14,FALSE),"")</f>
      </c>
      <c r="I560" s="57">
        <f>IFERROR(VLOOKUP($A:$A,CS!$A:$AK,15,FALSE),"")</f>
      </c>
      <c r="J560" s="57">
        <f>IFERROR(VLOOKUP($A:$A,CS!$A:$AK,18,FALSE),"")</f>
      </c>
      <c r="K560" s="57">
        <f>IFERROR(VLOOKUP($A:$A,CS!$A:$AK,19,FALSE),"")</f>
      </c>
      <c r="L560" s="57">
        <f>IFERROR(VLOOKUP($A:$A,CS!$A:$AK,20,FALSE),"")</f>
      </c>
      <c r="M560" s="57">
        <f>IFERROR(VLOOKUP($A:$A,CS!$A:$AK,22,FALSE),"")</f>
      </c>
      <c r="N560" s="57">
        <f>IFERROR(VLOOKUP($A:$A,CS!$A:$AK,19,FALSE),"")</f>
      </c>
      <c r="O560" s="57">
        <f>IFERROR(VLOOKUP($A:$A,CS!$A:$AK,23,FALSE),"")</f>
      </c>
      <c r="P560" s="57">
        <f>IFERROR(VLOOKUP($A:$A,CS!$A:$AK,24,FALSE),"")</f>
      </c>
      <c r="Q560" s="57">
        <f>IFERROR(VLOOKUP($A:$A,CS!$A:$AK,25,FALSE),"")</f>
      </c>
      <c r="R560" s="57">
        <f>IFERROR(VLOOKUP($A:$A,CS!$A:$AK,26,FALSE),"")</f>
      </c>
      <c r="S560" s="57">
        <f>IFERROR(VLOOKUP($A:$A,CS!$A:$AK,29,FALSE),"")</f>
      </c>
      <c r="T560" s="57">
        <f>IFERROR(VLOOKUP($A:$A,CS!$A:$AK,33,FALSE),"")</f>
      </c>
      <c r="U560" s="57">
        <f>IFERROR(VLOOKUP($A:$A,CS!$A:$AK,34,FALSE),"")</f>
      </c>
      <c r="V560" s="57">
        <f>IFERROR(VLOOKUP($A:$A,CS!$A:$AK,35,FALSE),"")</f>
      </c>
      <c r="W560" s="57">
        <f>IFERROR(VLOOKUP($A:$A,CS!$A:$AK,36,FALSE),"")</f>
      </c>
    </row>
    <row r="561" ht="16.5" customHeight="1" spans="1:23" x14ac:dyDescent="0.25">
      <c r="A561" s="71"/>
      <c r="B561" s="57">
        <f>IFERROR(VLOOKUP($A:$A,CS!$A:$AK,3,FALSE),"")</f>
      </c>
      <c r="C561" s="57">
        <f>IFERROR(VLOOKUP($A:$A,CS!$A:$AK,4,FALSE),"")</f>
      </c>
      <c r="D561" s="57">
        <f>IFERROR(VLOOKUP($A:$A,CS!$A:$AK,5,FALSE),"")</f>
      </c>
      <c r="E561" s="57">
        <f>IFERROR(VLOOKUP($A:$A,CS!$A:$AK,7,FALSE),"")</f>
      </c>
      <c r="F561" s="57">
        <f>IFERROR(VLOOKUP($A:$A,CS!$A:$AK,8,FALSE),"")</f>
      </c>
      <c r="G561" s="57">
        <f>IFERROR(VLOOKUP($A:$A,CS!$A:$AK,10,FALSE),"")</f>
      </c>
      <c r="H561" s="57">
        <f>IFERROR(VLOOKUP($A:$A,CS!$A:$AK,14,FALSE),"")</f>
      </c>
      <c r="I561" s="57">
        <f>IFERROR(VLOOKUP($A:$A,CS!$A:$AK,15,FALSE),"")</f>
      </c>
      <c r="J561" s="57">
        <f>IFERROR(VLOOKUP($A:$A,CS!$A:$AK,18,FALSE),"")</f>
      </c>
      <c r="K561" s="57">
        <f>IFERROR(VLOOKUP($A:$A,CS!$A:$AK,19,FALSE),"")</f>
      </c>
      <c r="L561" s="57">
        <f>IFERROR(VLOOKUP($A:$A,CS!$A:$AK,20,FALSE),"")</f>
      </c>
      <c r="M561" s="57">
        <f>IFERROR(VLOOKUP($A:$A,CS!$A:$AK,22,FALSE),"")</f>
      </c>
      <c r="N561" s="57">
        <f>IFERROR(VLOOKUP($A:$A,CS!$A:$AK,19,FALSE),"")</f>
      </c>
      <c r="O561" s="57">
        <f>IFERROR(VLOOKUP($A:$A,CS!$A:$AK,23,FALSE),"")</f>
      </c>
      <c r="P561" s="57">
        <f>IFERROR(VLOOKUP($A:$A,CS!$A:$AK,24,FALSE),"")</f>
      </c>
      <c r="Q561" s="57">
        <f>IFERROR(VLOOKUP($A:$A,CS!$A:$AK,25,FALSE),"")</f>
      </c>
      <c r="R561" s="57">
        <f>IFERROR(VLOOKUP($A:$A,CS!$A:$AK,26,FALSE),"")</f>
      </c>
      <c r="S561" s="57">
        <f>IFERROR(VLOOKUP($A:$A,CS!$A:$AK,29,FALSE),"")</f>
      </c>
      <c r="T561" s="57">
        <f>IFERROR(VLOOKUP($A:$A,CS!$A:$AK,33,FALSE),"")</f>
      </c>
      <c r="U561" s="57">
        <f>IFERROR(VLOOKUP($A:$A,CS!$A:$AK,34,FALSE),"")</f>
      </c>
      <c r="V561" s="57">
        <f>IFERROR(VLOOKUP($A:$A,CS!$A:$AK,35,FALSE),"")</f>
      </c>
      <c r="W561" s="57">
        <f>IFERROR(VLOOKUP($A:$A,CS!$A:$AK,36,FALSE),"")</f>
      </c>
    </row>
    <row r="562" ht="16.5" customHeight="1" spans="1:23" x14ac:dyDescent="0.25">
      <c r="A562" s="71"/>
      <c r="B562" s="57">
        <f>IFERROR(VLOOKUP($A:$A,CS!$A:$AK,3,FALSE),"")</f>
      </c>
      <c r="C562" s="57">
        <f>IFERROR(VLOOKUP($A:$A,CS!$A:$AK,4,FALSE),"")</f>
      </c>
      <c r="D562" s="57">
        <f>IFERROR(VLOOKUP($A:$A,CS!$A:$AK,5,FALSE),"")</f>
      </c>
      <c r="E562" s="57">
        <f>IFERROR(VLOOKUP($A:$A,CS!$A:$AK,7,FALSE),"")</f>
      </c>
      <c r="F562" s="57">
        <f>IFERROR(VLOOKUP($A:$A,CS!$A:$AK,8,FALSE),"")</f>
      </c>
      <c r="G562" s="57">
        <f>IFERROR(VLOOKUP($A:$A,CS!$A:$AK,10,FALSE),"")</f>
      </c>
      <c r="H562" s="57">
        <f>IFERROR(VLOOKUP($A:$A,CS!$A:$AK,14,FALSE),"")</f>
      </c>
      <c r="I562" s="57">
        <f>IFERROR(VLOOKUP($A:$A,CS!$A:$AK,15,FALSE),"")</f>
      </c>
      <c r="J562" s="57">
        <f>IFERROR(VLOOKUP($A:$A,CS!$A:$AK,18,FALSE),"")</f>
      </c>
      <c r="K562" s="57">
        <f>IFERROR(VLOOKUP($A:$A,CS!$A:$AK,19,FALSE),"")</f>
      </c>
      <c r="L562" s="57">
        <f>IFERROR(VLOOKUP($A:$A,CS!$A:$AK,20,FALSE),"")</f>
      </c>
      <c r="M562" s="57">
        <f>IFERROR(VLOOKUP($A:$A,CS!$A:$AK,22,FALSE),"")</f>
      </c>
      <c r="N562" s="57">
        <f>IFERROR(VLOOKUP($A:$A,CS!$A:$AK,19,FALSE),"")</f>
      </c>
      <c r="O562" s="57">
        <f>IFERROR(VLOOKUP($A:$A,CS!$A:$AK,23,FALSE),"")</f>
      </c>
      <c r="P562" s="57">
        <f>IFERROR(VLOOKUP($A:$A,CS!$A:$AK,24,FALSE),"")</f>
      </c>
      <c r="Q562" s="57">
        <f>IFERROR(VLOOKUP($A:$A,CS!$A:$AK,25,FALSE),"")</f>
      </c>
      <c r="R562" s="57">
        <f>IFERROR(VLOOKUP($A:$A,CS!$A:$AK,26,FALSE),"")</f>
      </c>
      <c r="S562" s="57">
        <f>IFERROR(VLOOKUP($A:$A,CS!$A:$AK,29,FALSE),"")</f>
      </c>
      <c r="T562" s="57">
        <f>IFERROR(VLOOKUP($A:$A,CS!$A:$AK,33,FALSE),"")</f>
      </c>
      <c r="U562" s="57">
        <f>IFERROR(VLOOKUP($A:$A,CS!$A:$AK,34,FALSE),"")</f>
      </c>
      <c r="V562" s="57">
        <f>IFERROR(VLOOKUP($A:$A,CS!$A:$AK,35,FALSE),"")</f>
      </c>
      <c r="W562" s="57">
        <f>IFERROR(VLOOKUP($A:$A,CS!$A:$AK,36,FALSE),"")</f>
      </c>
    </row>
    <row r="563" ht="16.5" customHeight="1" spans="1:23" x14ac:dyDescent="0.25">
      <c r="A563" s="72"/>
      <c r="B563" s="57"/>
      <c r="C563" s="57"/>
      <c r="D563" s="58"/>
      <c r="E563" s="57"/>
      <c r="F563" s="57"/>
      <c r="G563" s="57"/>
      <c r="H563" s="57"/>
      <c r="I563" s="57"/>
      <c r="J563" s="68"/>
      <c r="K563" s="57"/>
      <c r="L563" s="60"/>
      <c r="M563" s="57"/>
      <c r="N563" s="57"/>
      <c r="O563" s="60"/>
      <c r="P563" s="59"/>
      <c r="Q563" s="60"/>
      <c r="R563" s="60"/>
      <c r="S563" s="59"/>
      <c r="T563" s="63"/>
      <c r="U563" s="60"/>
      <c r="V563" s="73"/>
      <c r="W563" s="59"/>
    </row>
    <row r="564" ht="16.5" customHeight="1" spans="1:23" x14ac:dyDescent="0.25">
      <c r="A564" s="72"/>
      <c r="B564" s="57"/>
      <c r="C564" s="57"/>
      <c r="D564" s="58"/>
      <c r="E564" s="57"/>
      <c r="F564" s="57"/>
      <c r="G564" s="57"/>
      <c r="H564" s="57"/>
      <c r="I564" s="57"/>
      <c r="J564" s="68"/>
      <c r="K564" s="57"/>
      <c r="L564" s="60"/>
      <c r="M564" s="57"/>
      <c r="N564" s="57"/>
      <c r="O564" s="60"/>
      <c r="P564" s="59"/>
      <c r="Q564" s="60"/>
      <c r="R564" s="60"/>
      <c r="S564" s="59"/>
      <c r="T564" s="63"/>
      <c r="U564" s="60"/>
      <c r="V564" s="74"/>
      <c r="W564" s="59"/>
    </row>
    <row r="565" ht="16.5" customHeight="1" spans="1:23" x14ac:dyDescent="0.25">
      <c r="A565" s="72"/>
      <c r="B565" s="57"/>
      <c r="C565" s="57"/>
      <c r="D565" s="58"/>
      <c r="E565" s="57"/>
      <c r="F565" s="57"/>
      <c r="G565" s="57"/>
      <c r="H565" s="57"/>
      <c r="I565" s="57"/>
      <c r="J565" s="68"/>
      <c r="K565" s="57"/>
      <c r="L565" s="60"/>
      <c r="M565" s="57"/>
      <c r="N565" s="57"/>
      <c r="O565" s="60"/>
      <c r="P565" s="59"/>
      <c r="Q565" s="60"/>
      <c r="R565" s="60"/>
      <c r="S565" s="59"/>
      <c r="T565" s="63"/>
      <c r="U565" s="60"/>
      <c r="V565" s="74"/>
      <c r="W565" s="59"/>
    </row>
    <row r="566" ht="16.5" customHeight="1" spans="1:23" x14ac:dyDescent="0.25">
      <c r="A566" s="72"/>
      <c r="B566" s="57"/>
      <c r="C566" s="57"/>
      <c r="D566" s="58"/>
      <c r="E566" s="57"/>
      <c r="F566" s="57"/>
      <c r="G566" s="57"/>
      <c r="H566" s="57"/>
      <c r="I566" s="57"/>
      <c r="J566" s="68"/>
      <c r="K566" s="57"/>
      <c r="L566" s="60"/>
      <c r="M566" s="57"/>
      <c r="N566" s="57"/>
      <c r="O566" s="60"/>
      <c r="P566" s="59"/>
      <c r="Q566" s="60"/>
      <c r="R566" s="60"/>
      <c r="S566" s="59"/>
      <c r="T566" s="63"/>
      <c r="U566" s="60"/>
      <c r="V566" s="74"/>
      <c r="W566" s="59"/>
    </row>
    <row r="567" ht="16.5" customHeight="1" spans="1:23" x14ac:dyDescent="0.25">
      <c r="A567" s="72"/>
      <c r="B567" s="57"/>
      <c r="C567" s="57"/>
      <c r="D567" s="58"/>
      <c r="E567" s="57"/>
      <c r="F567" s="57"/>
      <c r="G567" s="57"/>
      <c r="H567" s="57"/>
      <c r="I567" s="57"/>
      <c r="J567" s="68"/>
      <c r="K567" s="57"/>
      <c r="L567" s="60"/>
      <c r="M567" s="57"/>
      <c r="N567" s="57"/>
      <c r="O567" s="60"/>
      <c r="P567" s="59"/>
      <c r="Q567" s="60"/>
      <c r="R567" s="60"/>
      <c r="S567" s="59"/>
      <c r="T567" s="63"/>
      <c r="U567" s="60"/>
      <c r="V567" s="74"/>
      <c r="W567" s="59"/>
    </row>
    <row r="568" ht="16.5" customHeight="1" spans="1:23" x14ac:dyDescent="0.25">
      <c r="A568" s="72"/>
      <c r="B568" s="57"/>
      <c r="C568" s="57"/>
      <c r="D568" s="58"/>
      <c r="E568" s="57"/>
      <c r="F568" s="57"/>
      <c r="G568" s="57"/>
      <c r="H568" s="57"/>
      <c r="I568" s="57"/>
      <c r="J568" s="68"/>
      <c r="K568" s="57"/>
      <c r="L568" s="60"/>
      <c r="M568" s="57"/>
      <c r="N568" s="57"/>
      <c r="O568" s="60"/>
      <c r="P568" s="59"/>
      <c r="Q568" s="60"/>
      <c r="R568" s="60"/>
      <c r="S568" s="59"/>
      <c r="T568" s="63"/>
      <c r="U568" s="60"/>
      <c r="V568" s="74"/>
      <c r="W568" s="59"/>
    </row>
    <row r="569" ht="16.5" customHeight="1" spans="1:23" x14ac:dyDescent="0.25">
      <c r="A569" s="72"/>
      <c r="B569" s="57"/>
      <c r="C569" s="57"/>
      <c r="D569" s="58"/>
      <c r="E569" s="57"/>
      <c r="F569" s="57"/>
      <c r="G569" s="57"/>
      <c r="H569" s="57"/>
      <c r="I569" s="57"/>
      <c r="J569" s="68"/>
      <c r="K569" s="57"/>
      <c r="L569" s="60"/>
      <c r="M569" s="57"/>
      <c r="N569" s="57"/>
      <c r="O569" s="60"/>
      <c r="P569" s="59"/>
      <c r="Q569" s="60"/>
      <c r="R569" s="60"/>
      <c r="S569" s="59"/>
      <c r="T569" s="63"/>
      <c r="U569" s="60"/>
      <c r="V569" s="74"/>
      <c r="W569" s="59"/>
    </row>
    <row r="570" ht="16.5" customHeight="1" spans="1:23" x14ac:dyDescent="0.25">
      <c r="A570" s="72"/>
      <c r="B570" s="57"/>
      <c r="C570" s="57"/>
      <c r="D570" s="58"/>
      <c r="E570" s="57"/>
      <c r="F570" s="57"/>
      <c r="G570" s="57"/>
      <c r="H570" s="57"/>
      <c r="I570" s="57"/>
      <c r="J570" s="68"/>
      <c r="K570" s="57"/>
      <c r="L570" s="60"/>
      <c r="M570" s="57"/>
      <c r="N570" s="57"/>
      <c r="O570" s="60"/>
      <c r="P570" s="59"/>
      <c r="Q570" s="60"/>
      <c r="R570" s="60"/>
      <c r="S570" s="59"/>
      <c r="T570" s="63"/>
      <c r="U570" s="60"/>
      <c r="V570" s="74"/>
      <c r="W570" s="59"/>
    </row>
    <row r="571" ht="16.5" customHeight="1" spans="1:23" x14ac:dyDescent="0.25">
      <c r="A571" s="72"/>
      <c r="B571" s="57"/>
      <c r="C571" s="57"/>
      <c r="D571" s="58"/>
      <c r="E571" s="57"/>
      <c r="F571" s="57"/>
      <c r="G571" s="57"/>
      <c r="H571" s="57"/>
      <c r="I571" s="57"/>
      <c r="J571" s="68"/>
      <c r="K571" s="57"/>
      <c r="L571" s="60"/>
      <c r="M571" s="57"/>
      <c r="N571" s="57"/>
      <c r="O571" s="60"/>
      <c r="P571" s="59"/>
      <c r="Q571" s="60"/>
      <c r="R571" s="60"/>
      <c r="S571" s="59"/>
      <c r="T571" s="63"/>
      <c r="U571" s="60"/>
      <c r="V571" s="74"/>
      <c r="W571" s="59"/>
    </row>
    <row r="572" ht="16.5" customHeight="1" spans="1:23" x14ac:dyDescent="0.25">
      <c r="A572" s="72"/>
      <c r="B572" s="57"/>
      <c r="C572" s="57"/>
      <c r="D572" s="58"/>
      <c r="E572" s="57"/>
      <c r="F572" s="57"/>
      <c r="G572" s="57"/>
      <c r="H572" s="57"/>
      <c r="I572" s="57"/>
      <c r="J572" s="68"/>
      <c r="K572" s="57"/>
      <c r="L572" s="60"/>
      <c r="M572" s="57"/>
      <c r="N572" s="57"/>
      <c r="O572" s="60"/>
      <c r="P572" s="59"/>
      <c r="Q572" s="60"/>
      <c r="R572" s="60"/>
      <c r="S572" s="59"/>
      <c r="T572" s="63"/>
      <c r="U572" s="60"/>
      <c r="V572" s="74"/>
      <c r="W572" s="59"/>
    </row>
    <row r="573" ht="16.5" customHeight="1" spans="1:23" x14ac:dyDescent="0.25">
      <c r="A573" s="72"/>
      <c r="B573" s="57"/>
      <c r="C573" s="57"/>
      <c r="D573" s="58"/>
      <c r="E573" s="57"/>
      <c r="F573" s="57"/>
      <c r="G573" s="57"/>
      <c r="H573" s="57"/>
      <c r="I573" s="57"/>
      <c r="J573" s="68"/>
      <c r="K573" s="57"/>
      <c r="L573" s="60"/>
      <c r="M573" s="57"/>
      <c r="N573" s="57"/>
      <c r="O573" s="60"/>
      <c r="P573" s="59"/>
      <c r="Q573" s="60"/>
      <c r="R573" s="60"/>
      <c r="S573" s="59"/>
      <c r="T573" s="63"/>
      <c r="U573" s="60"/>
      <c r="V573" s="74"/>
      <c r="W573" s="59"/>
    </row>
    <row r="574" ht="16.5" customHeight="1" spans="1:23" x14ac:dyDescent="0.25">
      <c r="A574" s="72"/>
      <c r="B574" s="57"/>
      <c r="C574" s="57"/>
      <c r="D574" s="58"/>
      <c r="E574" s="57"/>
      <c r="F574" s="57"/>
      <c r="G574" s="57"/>
      <c r="H574" s="57"/>
      <c r="I574" s="57"/>
      <c r="J574" s="68"/>
      <c r="K574" s="57"/>
      <c r="L574" s="60"/>
      <c r="M574" s="57"/>
      <c r="N574" s="57"/>
      <c r="O574" s="60"/>
      <c r="P574" s="59"/>
      <c r="Q574" s="60"/>
      <c r="R574" s="60"/>
      <c r="S574" s="59"/>
      <c r="T574" s="63"/>
      <c r="U574" s="60"/>
      <c r="V574" s="74"/>
      <c r="W574" s="59"/>
    </row>
    <row r="575" ht="16.5" customHeight="1" spans="1:23" x14ac:dyDescent="0.25">
      <c r="A575" s="72"/>
      <c r="B575" s="57"/>
      <c r="C575" s="57"/>
      <c r="D575" s="58"/>
      <c r="E575" s="57"/>
      <c r="F575" s="57"/>
      <c r="G575" s="57"/>
      <c r="H575" s="57"/>
      <c r="I575" s="57"/>
      <c r="J575" s="68"/>
      <c r="K575" s="57"/>
      <c r="L575" s="60"/>
      <c r="M575" s="57"/>
      <c r="N575" s="57"/>
      <c r="O575" s="60"/>
      <c r="P575" s="59"/>
      <c r="Q575" s="60"/>
      <c r="R575" s="60"/>
      <c r="S575" s="59"/>
      <c r="T575" s="63"/>
      <c r="U575" s="60"/>
      <c r="V575" s="74"/>
      <c r="W575" s="59"/>
    </row>
    <row r="576" ht="16.5" customHeight="1" spans="1:23" x14ac:dyDescent="0.25">
      <c r="A576" s="72"/>
      <c r="B576" s="57"/>
      <c r="C576" s="57"/>
      <c r="D576" s="58"/>
      <c r="E576" s="57"/>
      <c r="F576" s="57"/>
      <c r="G576" s="57"/>
      <c r="H576" s="57"/>
      <c r="I576" s="57"/>
      <c r="J576" s="68"/>
      <c r="K576" s="57"/>
      <c r="L576" s="60"/>
      <c r="M576" s="57"/>
      <c r="N576" s="57"/>
      <c r="O576" s="60"/>
      <c r="P576" s="59"/>
      <c r="Q576" s="60"/>
      <c r="R576" s="60"/>
      <c r="S576" s="59"/>
      <c r="T576" s="63"/>
      <c r="U576" s="60"/>
      <c r="V576" s="74"/>
      <c r="W576" s="59"/>
    </row>
    <row r="577" ht="16.5" customHeight="1" spans="1:23" x14ac:dyDescent="0.25">
      <c r="A577" s="72"/>
      <c r="B577" s="57"/>
      <c r="C577" s="57"/>
      <c r="D577" s="58"/>
      <c r="E577" s="57"/>
      <c r="F577" s="57"/>
      <c r="G577" s="57"/>
      <c r="H577" s="57"/>
      <c r="I577" s="57"/>
      <c r="J577" s="68"/>
      <c r="K577" s="57"/>
      <c r="L577" s="60"/>
      <c r="M577" s="57"/>
      <c r="N577" s="57"/>
      <c r="O577" s="60"/>
      <c r="P577" s="59"/>
      <c r="Q577" s="60"/>
      <c r="R577" s="60"/>
      <c r="S577" s="59"/>
      <c r="T577" s="63"/>
      <c r="U577" s="60"/>
      <c r="V577" s="74"/>
      <c r="W577" s="59"/>
    </row>
    <row r="578" ht="16.5" customHeight="1" spans="1:23" x14ac:dyDescent="0.25">
      <c r="A578" s="72"/>
      <c r="B578" s="57"/>
      <c r="C578" s="57"/>
      <c r="D578" s="58"/>
      <c r="E578" s="57"/>
      <c r="F578" s="57"/>
      <c r="G578" s="57"/>
      <c r="H578" s="57"/>
      <c r="I578" s="57"/>
      <c r="J578" s="68"/>
      <c r="K578" s="57"/>
      <c r="L578" s="60"/>
      <c r="M578" s="57"/>
      <c r="N578" s="57"/>
      <c r="O578" s="60"/>
      <c r="P578" s="59"/>
      <c r="Q578" s="60"/>
      <c r="R578" s="60"/>
      <c r="S578" s="59"/>
      <c r="T578" s="63"/>
      <c r="U578" s="60"/>
      <c r="V578" s="74"/>
      <c r="W578" s="59"/>
    </row>
    <row r="579" ht="16.5" customHeight="1" spans="1:23" x14ac:dyDescent="0.25">
      <c r="A579" s="72"/>
      <c r="B579" s="57"/>
      <c r="C579" s="57"/>
      <c r="D579" s="58"/>
      <c r="E579" s="57"/>
      <c r="F579" s="57"/>
      <c r="G579" s="57"/>
      <c r="H579" s="57"/>
      <c r="I579" s="57"/>
      <c r="J579" s="68"/>
      <c r="K579" s="57"/>
      <c r="L579" s="60"/>
      <c r="M579" s="57"/>
      <c r="N579" s="57"/>
      <c r="O579" s="60"/>
      <c r="P579" s="59"/>
      <c r="Q579" s="60"/>
      <c r="R579" s="60"/>
      <c r="S579" s="59"/>
      <c r="T579" s="63"/>
      <c r="U579" s="60"/>
      <c r="V579" s="74"/>
      <c r="W579" s="59"/>
    </row>
    <row r="580" ht="16.5" customHeight="1" spans="1:23" x14ac:dyDescent="0.25">
      <c r="A580" s="72"/>
      <c r="B580" s="57"/>
      <c r="C580" s="57"/>
      <c r="D580" s="58"/>
      <c r="E580" s="57"/>
      <c r="F580" s="57"/>
      <c r="G580" s="57"/>
      <c r="H580" s="57"/>
      <c r="I580" s="57"/>
      <c r="J580" s="68"/>
      <c r="K580" s="57"/>
      <c r="L580" s="60"/>
      <c r="M580" s="57"/>
      <c r="N580" s="57"/>
      <c r="O580" s="60"/>
      <c r="P580" s="59"/>
      <c r="Q580" s="60"/>
      <c r="R580" s="60"/>
      <c r="S580" s="59"/>
      <c r="T580" s="63"/>
      <c r="U580" s="60"/>
      <c r="V580" s="74"/>
      <c r="W580" s="59"/>
    </row>
    <row r="581" ht="16.5" customHeight="1" spans="1:23" x14ac:dyDescent="0.25">
      <c r="A581" s="72"/>
      <c r="B581" s="57"/>
      <c r="C581" s="57"/>
      <c r="D581" s="58"/>
      <c r="E581" s="57"/>
      <c r="F581" s="57"/>
      <c r="G581" s="57"/>
      <c r="H581" s="57"/>
      <c r="I581" s="57"/>
      <c r="J581" s="68"/>
      <c r="K581" s="57"/>
      <c r="L581" s="60"/>
      <c r="M581" s="57"/>
      <c r="N581" s="57"/>
      <c r="O581" s="60"/>
      <c r="P581" s="59"/>
      <c r="Q581" s="60"/>
      <c r="R581" s="60"/>
      <c r="S581" s="59"/>
      <c r="T581" s="63"/>
      <c r="U581" s="60"/>
      <c r="V581" s="74"/>
      <c r="W581" s="59"/>
    </row>
    <row r="582" ht="16.5" customHeight="1" spans="1:23" x14ac:dyDescent="0.25">
      <c r="A582" s="72"/>
      <c r="B582" s="57"/>
      <c r="C582" s="57"/>
      <c r="D582" s="58"/>
      <c r="E582" s="57"/>
      <c r="F582" s="57"/>
      <c r="G582" s="57"/>
      <c r="H582" s="57"/>
      <c r="I582" s="57"/>
      <c r="J582" s="68"/>
      <c r="K582" s="57"/>
      <c r="L582" s="60"/>
      <c r="M582" s="57"/>
      <c r="N582" s="57"/>
      <c r="O582" s="60"/>
      <c r="P582" s="59"/>
      <c r="Q582" s="60"/>
      <c r="R582" s="60"/>
      <c r="S582" s="59"/>
      <c r="T582" s="63"/>
      <c r="U582" s="60"/>
      <c r="V582" s="74"/>
      <c r="W582" s="59"/>
    </row>
    <row r="583" ht="16.5" customHeight="1" spans="1:23" x14ac:dyDescent="0.25">
      <c r="A583" s="72"/>
      <c r="B583" s="57"/>
      <c r="C583" s="57"/>
      <c r="D583" s="58"/>
      <c r="E583" s="57"/>
      <c r="F583" s="57"/>
      <c r="G583" s="57"/>
      <c r="H583" s="57"/>
      <c r="I583" s="57"/>
      <c r="J583" s="68"/>
      <c r="K583" s="57"/>
      <c r="L583" s="60"/>
      <c r="M583" s="57"/>
      <c r="N583" s="57"/>
      <c r="O583" s="60"/>
      <c r="P583" s="59"/>
      <c r="Q583" s="60"/>
      <c r="R583" s="60"/>
      <c r="S583" s="59"/>
      <c r="T583" s="63"/>
      <c r="U583" s="60"/>
      <c r="V583" s="74"/>
      <c r="W583" s="59"/>
    </row>
    <row r="584" ht="16.5" customHeight="1" spans="1:23" x14ac:dyDescent="0.25">
      <c r="A584" s="72"/>
      <c r="B584" s="57"/>
      <c r="C584" s="57"/>
      <c r="D584" s="58"/>
      <c r="E584" s="57"/>
      <c r="F584" s="57"/>
      <c r="G584" s="57"/>
      <c r="H584" s="57"/>
      <c r="I584" s="57"/>
      <c r="J584" s="68"/>
      <c r="K584" s="57"/>
      <c r="L584" s="60"/>
      <c r="M584" s="57"/>
      <c r="N584" s="57"/>
      <c r="O584" s="60"/>
      <c r="P584" s="59"/>
      <c r="Q584" s="60"/>
      <c r="R584" s="60"/>
      <c r="S584" s="59"/>
      <c r="T584" s="63"/>
      <c r="U584" s="60"/>
      <c r="V584" s="74"/>
      <c r="W584" s="59"/>
    </row>
    <row r="585" ht="16.5" customHeight="1" spans="1:23" x14ac:dyDescent="0.25">
      <c r="A585" s="72"/>
      <c r="B585" s="57"/>
      <c r="C585" s="57"/>
      <c r="D585" s="58"/>
      <c r="E585" s="57"/>
      <c r="F585" s="57"/>
      <c r="G585" s="57"/>
      <c r="H585" s="57"/>
      <c r="I585" s="57"/>
      <c r="J585" s="68"/>
      <c r="K585" s="57"/>
      <c r="L585" s="60"/>
      <c r="M585" s="57"/>
      <c r="N585" s="57"/>
      <c r="O585" s="60"/>
      <c r="P585" s="59"/>
      <c r="Q585" s="60"/>
      <c r="R585" s="60"/>
      <c r="S585" s="59"/>
      <c r="T585" s="63"/>
      <c r="U585" s="60"/>
      <c r="V585" s="74"/>
      <c r="W585" s="59"/>
    </row>
    <row r="586" ht="16.5" customHeight="1" spans="1:23" x14ac:dyDescent="0.25">
      <c r="A586" s="72"/>
      <c r="B586" s="57"/>
      <c r="C586" s="57"/>
      <c r="D586" s="58"/>
      <c r="E586" s="57"/>
      <c r="F586" s="57"/>
      <c r="G586" s="57"/>
      <c r="H586" s="57"/>
      <c r="I586" s="57"/>
      <c r="J586" s="68"/>
      <c r="K586" s="57"/>
      <c r="L586" s="60"/>
      <c r="M586" s="57"/>
      <c r="N586" s="57"/>
      <c r="O586" s="60"/>
      <c r="P586" s="59"/>
      <c r="Q586" s="60"/>
      <c r="R586" s="60"/>
      <c r="S586" s="59"/>
      <c r="T586" s="63"/>
      <c r="U586" s="60"/>
      <c r="V586" s="74"/>
      <c r="W586" s="59"/>
    </row>
    <row r="587" ht="16.5" customHeight="1" spans="1:23" x14ac:dyDescent="0.25">
      <c r="A587" s="72"/>
      <c r="B587" s="57"/>
      <c r="C587" s="57"/>
      <c r="D587" s="58"/>
      <c r="E587" s="57"/>
      <c r="F587" s="57"/>
      <c r="G587" s="57"/>
      <c r="H587" s="57"/>
      <c r="I587" s="57"/>
      <c r="J587" s="68"/>
      <c r="K587" s="57"/>
      <c r="L587" s="60"/>
      <c r="M587" s="57"/>
      <c r="N587" s="57"/>
      <c r="O587" s="60"/>
      <c r="P587" s="59"/>
      <c r="Q587" s="60"/>
      <c r="R587" s="60"/>
      <c r="S587" s="59"/>
      <c r="T587" s="63"/>
      <c r="U587" s="60"/>
      <c r="V587" s="74"/>
      <c r="W587" s="59"/>
    </row>
    <row r="588" ht="16.5" customHeight="1" spans="1:23" x14ac:dyDescent="0.25">
      <c r="A588" s="72"/>
      <c r="B588" s="57"/>
      <c r="C588" s="57"/>
      <c r="D588" s="58"/>
      <c r="E588" s="57"/>
      <c r="F588" s="57"/>
      <c r="G588" s="57"/>
      <c r="H588" s="57"/>
      <c r="I588" s="57"/>
      <c r="J588" s="68"/>
      <c r="K588" s="57"/>
      <c r="L588" s="60"/>
      <c r="M588" s="57"/>
      <c r="N588" s="57"/>
      <c r="O588" s="60"/>
      <c r="P588" s="59"/>
      <c r="Q588" s="60"/>
      <c r="R588" s="60"/>
      <c r="S588" s="59"/>
      <c r="T588" s="63"/>
      <c r="U588" s="60"/>
      <c r="V588" s="74"/>
      <c r="W588" s="59"/>
    </row>
    <row r="589" ht="16.5" customHeight="1" spans="1:23" x14ac:dyDescent="0.25">
      <c r="A589" s="72"/>
      <c r="B589" s="57"/>
      <c r="C589" s="57"/>
      <c r="D589" s="58"/>
      <c r="E589" s="57"/>
      <c r="F589" s="57"/>
      <c r="G589" s="57"/>
      <c r="H589" s="57"/>
      <c r="I589" s="57"/>
      <c r="J589" s="68"/>
      <c r="K589" s="57"/>
      <c r="L589" s="60"/>
      <c r="M589" s="57"/>
      <c r="N589" s="57"/>
      <c r="O589" s="60"/>
      <c r="P589" s="59"/>
      <c r="Q589" s="60"/>
      <c r="R589" s="60"/>
      <c r="S589" s="59"/>
      <c r="T589" s="63"/>
      <c r="U589" s="60"/>
      <c r="V589" s="74"/>
      <c r="W589" s="59"/>
    </row>
    <row r="590" ht="16.5" customHeight="1" spans="1:23" x14ac:dyDescent="0.25">
      <c r="A590" s="72"/>
      <c r="B590" s="57"/>
      <c r="C590" s="57"/>
      <c r="D590" s="58"/>
      <c r="E590" s="57"/>
      <c r="F590" s="57"/>
      <c r="G590" s="57"/>
      <c r="H590" s="57"/>
      <c r="I590" s="57"/>
      <c r="J590" s="68"/>
      <c r="K590" s="57"/>
      <c r="L590" s="60"/>
      <c r="M590" s="57"/>
      <c r="N590" s="57"/>
      <c r="O590" s="60"/>
      <c r="P590" s="59"/>
      <c r="Q590" s="60"/>
      <c r="R590" s="60"/>
      <c r="S590" s="59"/>
      <c r="T590" s="63"/>
      <c r="U590" s="60"/>
      <c r="V590" s="74"/>
      <c r="W590" s="59"/>
    </row>
    <row r="591" ht="16.5" customHeight="1" spans="1:23" x14ac:dyDescent="0.25">
      <c r="A591" s="72"/>
      <c r="B591" s="57"/>
      <c r="C591" s="57"/>
      <c r="D591" s="58"/>
      <c r="E591" s="57"/>
      <c r="F591" s="57"/>
      <c r="G591" s="57"/>
      <c r="H591" s="57"/>
      <c r="I591" s="57"/>
      <c r="J591" s="68"/>
      <c r="K591" s="57"/>
      <c r="L591" s="60"/>
      <c r="M591" s="57"/>
      <c r="N591" s="57"/>
      <c r="O591" s="60"/>
      <c r="P591" s="59"/>
      <c r="Q591" s="60"/>
      <c r="R591" s="60"/>
      <c r="S591" s="59"/>
      <c r="T591" s="63"/>
      <c r="U591" s="60"/>
      <c r="V591" s="74"/>
      <c r="W591" s="59"/>
    </row>
    <row r="592" ht="16.5" customHeight="1" spans="1:23" x14ac:dyDescent="0.25">
      <c r="A592" s="72"/>
      <c r="B592" s="57"/>
      <c r="C592" s="57"/>
      <c r="D592" s="58"/>
      <c r="E592" s="57"/>
      <c r="F592" s="57"/>
      <c r="G592" s="57"/>
      <c r="H592" s="57"/>
      <c r="I592" s="57"/>
      <c r="J592" s="68"/>
      <c r="K592" s="57"/>
      <c r="L592" s="60"/>
      <c r="M592" s="57"/>
      <c r="N592" s="57"/>
      <c r="O592" s="60"/>
      <c r="P592" s="59"/>
      <c r="Q592" s="60"/>
      <c r="R592" s="60"/>
      <c r="S592" s="59"/>
      <c r="T592" s="63"/>
      <c r="U592" s="60"/>
      <c r="V592" s="74"/>
      <c r="W592" s="59"/>
    </row>
    <row r="593" ht="16.5" customHeight="1" spans="1:23" x14ac:dyDescent="0.25">
      <c r="A593" s="72"/>
      <c r="B593" s="57"/>
      <c r="C593" s="57"/>
      <c r="D593" s="58"/>
      <c r="E593" s="57"/>
      <c r="F593" s="57"/>
      <c r="G593" s="57"/>
      <c r="H593" s="57"/>
      <c r="I593" s="57"/>
      <c r="J593" s="68"/>
      <c r="K593" s="57"/>
      <c r="L593" s="60"/>
      <c r="M593" s="57"/>
      <c r="N593" s="57"/>
      <c r="O593" s="60"/>
      <c r="P593" s="59"/>
      <c r="Q593" s="60"/>
      <c r="R593" s="60"/>
      <c r="S593" s="59"/>
      <c r="T593" s="63"/>
      <c r="U593" s="60"/>
      <c r="V593" s="74"/>
      <c r="W593" s="59"/>
    </row>
    <row r="594" ht="16.5" customHeight="1" spans="1:23" x14ac:dyDescent="0.25">
      <c r="A594" s="72"/>
      <c r="B594" s="57"/>
      <c r="C594" s="57"/>
      <c r="D594" s="58"/>
      <c r="E594" s="57"/>
      <c r="F594" s="57"/>
      <c r="G594" s="57"/>
      <c r="H594" s="57"/>
      <c r="I594" s="57"/>
      <c r="J594" s="68"/>
      <c r="K594" s="57"/>
      <c r="L594" s="60"/>
      <c r="M594" s="57"/>
      <c r="N594" s="57"/>
      <c r="O594" s="60"/>
      <c r="P594" s="59"/>
      <c r="Q594" s="60"/>
      <c r="R594" s="60"/>
      <c r="S594" s="59"/>
      <c r="T594" s="63"/>
      <c r="U594" s="60"/>
      <c r="V594" s="74"/>
      <c r="W594" s="59"/>
    </row>
    <row r="595" ht="16.5" customHeight="1" spans="1:23" x14ac:dyDescent="0.25">
      <c r="A595" s="72"/>
      <c r="B595" s="57"/>
      <c r="C595" s="57"/>
      <c r="D595" s="58"/>
      <c r="E595" s="57"/>
      <c r="F595" s="57"/>
      <c r="G595" s="57"/>
      <c r="H595" s="57"/>
      <c r="I595" s="57"/>
      <c r="J595" s="68"/>
      <c r="K595" s="57"/>
      <c r="L595" s="60"/>
      <c r="M595" s="57"/>
      <c r="N595" s="57"/>
      <c r="O595" s="60"/>
      <c r="P595" s="59"/>
      <c r="Q595" s="60"/>
      <c r="R595" s="60"/>
      <c r="S595" s="59"/>
      <c r="T595" s="63"/>
      <c r="U595" s="60"/>
      <c r="V595" s="74"/>
      <c r="W595" s="59"/>
    </row>
    <row r="596" ht="16.5" customHeight="1" spans="1:23" x14ac:dyDescent="0.25">
      <c r="A596" s="72"/>
      <c r="B596" s="57"/>
      <c r="C596" s="57"/>
      <c r="D596" s="58"/>
      <c r="E596" s="57"/>
      <c r="F596" s="57"/>
      <c r="G596" s="57"/>
      <c r="H596" s="57"/>
      <c r="I596" s="57"/>
      <c r="J596" s="68"/>
      <c r="K596" s="57"/>
      <c r="L596" s="60"/>
      <c r="M596" s="57"/>
      <c r="N596" s="57"/>
      <c r="O596" s="60"/>
      <c r="P596" s="59"/>
      <c r="Q596" s="60"/>
      <c r="R596" s="60"/>
      <c r="S596" s="59"/>
      <c r="T596" s="63"/>
      <c r="U596" s="60"/>
      <c r="V596" s="74"/>
      <c r="W596" s="59"/>
    </row>
    <row r="597" ht="16.5" customHeight="1" spans="1:23" x14ac:dyDescent="0.25">
      <c r="A597" s="72"/>
      <c r="B597" s="57"/>
      <c r="C597" s="57"/>
      <c r="D597" s="58"/>
      <c r="E597" s="57"/>
      <c r="F597" s="57"/>
      <c r="G597" s="57"/>
      <c r="H597" s="57"/>
      <c r="I597" s="57"/>
      <c r="J597" s="68"/>
      <c r="K597" s="57"/>
      <c r="L597" s="60"/>
      <c r="M597" s="57"/>
      <c r="N597" s="57"/>
      <c r="O597" s="60"/>
      <c r="P597" s="59"/>
      <c r="Q597" s="60"/>
      <c r="R597" s="60"/>
      <c r="S597" s="59"/>
      <c r="T597" s="63"/>
      <c r="U597" s="60"/>
      <c r="V597" s="74"/>
      <c r="W597" s="59"/>
    </row>
    <row r="598" ht="16.5" customHeight="1" spans="1:23" x14ac:dyDescent="0.25">
      <c r="A598" s="72"/>
      <c r="B598" s="57"/>
      <c r="C598" s="57"/>
      <c r="D598" s="58"/>
      <c r="E598" s="57"/>
      <c r="F598" s="57"/>
      <c r="G598" s="57"/>
      <c r="H598" s="57"/>
      <c r="I598" s="57"/>
      <c r="J598" s="68"/>
      <c r="K598" s="57"/>
      <c r="L598" s="60"/>
      <c r="M598" s="57"/>
      <c r="N598" s="57"/>
      <c r="O598" s="60"/>
      <c r="P598" s="59"/>
      <c r="Q598" s="60"/>
      <c r="R598" s="60"/>
      <c r="S598" s="59"/>
      <c r="T598" s="63"/>
      <c r="U598" s="60"/>
      <c r="V598" s="74"/>
      <c r="W598" s="59"/>
    </row>
    <row r="599" ht="16.5" customHeight="1" spans="1:23" x14ac:dyDescent="0.25">
      <c r="A599" s="72"/>
      <c r="B599" s="57"/>
      <c r="C599" s="57"/>
      <c r="D599" s="58"/>
      <c r="E599" s="57"/>
      <c r="F599" s="57"/>
      <c r="G599" s="57"/>
      <c r="H599" s="57"/>
      <c r="I599" s="57"/>
      <c r="J599" s="68"/>
      <c r="K599" s="57"/>
      <c r="L599" s="60"/>
      <c r="M599" s="57"/>
      <c r="N599" s="57"/>
      <c r="O599" s="60"/>
      <c r="P599" s="59"/>
      <c r="Q599" s="60"/>
      <c r="R599" s="60"/>
      <c r="S599" s="59"/>
      <c r="T599" s="63"/>
      <c r="U599" s="60"/>
      <c r="V599" s="74"/>
      <c r="W599" s="59"/>
    </row>
    <row r="600" ht="16.5" customHeight="1" spans="1:23" x14ac:dyDescent="0.25">
      <c r="A600" s="72"/>
      <c r="B600" s="57"/>
      <c r="C600" s="57"/>
      <c r="D600" s="58"/>
      <c r="E600" s="57"/>
      <c r="F600" s="57"/>
      <c r="G600" s="57"/>
      <c r="H600" s="57"/>
      <c r="I600" s="57"/>
      <c r="J600" s="68"/>
      <c r="K600" s="57"/>
      <c r="L600" s="60"/>
      <c r="M600" s="57"/>
      <c r="N600" s="57"/>
      <c r="O600" s="60"/>
      <c r="P600" s="59"/>
      <c r="Q600" s="60"/>
      <c r="R600" s="60"/>
      <c r="S600" s="59"/>
      <c r="T600" s="63"/>
      <c r="U600" s="60"/>
      <c r="V600" s="74"/>
      <c r="W600" s="59"/>
    </row>
    <row r="601" ht="16.5" customHeight="1" spans="1:23" x14ac:dyDescent="0.25">
      <c r="A601" s="72"/>
      <c r="B601" s="57"/>
      <c r="C601" s="57"/>
      <c r="D601" s="58"/>
      <c r="E601" s="57"/>
      <c r="F601" s="57"/>
      <c r="G601" s="57"/>
      <c r="H601" s="57"/>
      <c r="I601" s="57"/>
      <c r="J601" s="68"/>
      <c r="K601" s="57"/>
      <c r="L601" s="60"/>
      <c r="M601" s="57"/>
      <c r="N601" s="57"/>
      <c r="O601" s="60"/>
      <c r="P601" s="59"/>
      <c r="Q601" s="60"/>
      <c r="R601" s="60"/>
      <c r="S601" s="59"/>
      <c r="T601" s="63"/>
      <c r="U601" s="60"/>
      <c r="V601" s="74"/>
      <c r="W601" s="59"/>
    </row>
    <row r="602" ht="16.5" customHeight="1" spans="1:23" x14ac:dyDescent="0.25">
      <c r="A602" s="72"/>
      <c r="B602" s="57"/>
      <c r="C602" s="57"/>
      <c r="D602" s="58"/>
      <c r="E602" s="57"/>
      <c r="F602" s="57"/>
      <c r="G602" s="57"/>
      <c r="H602" s="57"/>
      <c r="I602" s="57"/>
      <c r="J602" s="68"/>
      <c r="K602" s="57"/>
      <c r="L602" s="60"/>
      <c r="M602" s="57"/>
      <c r="N602" s="57"/>
      <c r="O602" s="60"/>
      <c r="P602" s="59"/>
      <c r="Q602" s="60"/>
      <c r="R602" s="60"/>
      <c r="S602" s="59"/>
      <c r="T602" s="63"/>
      <c r="U602" s="60"/>
      <c r="V602" s="74"/>
      <c r="W602" s="59"/>
    </row>
    <row r="603" ht="16.5" customHeight="1" spans="1:23" x14ac:dyDescent="0.25">
      <c r="A603" s="72"/>
      <c r="B603" s="57"/>
      <c r="C603" s="57"/>
      <c r="D603" s="58"/>
      <c r="E603" s="57"/>
      <c r="F603" s="57"/>
      <c r="G603" s="57"/>
      <c r="H603" s="57"/>
      <c r="I603" s="57"/>
      <c r="J603" s="68"/>
      <c r="K603" s="57"/>
      <c r="L603" s="60"/>
      <c r="M603" s="57"/>
      <c r="N603" s="57"/>
      <c r="O603" s="60"/>
      <c r="P603" s="59"/>
      <c r="Q603" s="60"/>
      <c r="R603" s="60"/>
      <c r="S603" s="59"/>
      <c r="T603" s="63"/>
      <c r="U603" s="60"/>
      <c r="V603" s="74"/>
      <c r="W603" s="59"/>
    </row>
    <row r="604" ht="16.5" customHeight="1" spans="1:23" x14ac:dyDescent="0.25">
      <c r="A604" s="72"/>
      <c r="B604" s="57"/>
      <c r="C604" s="57"/>
      <c r="D604" s="58"/>
      <c r="E604" s="57"/>
      <c r="F604" s="57"/>
      <c r="G604" s="57"/>
      <c r="H604" s="57"/>
      <c r="I604" s="57"/>
      <c r="J604" s="68"/>
      <c r="K604" s="57"/>
      <c r="L604" s="60"/>
      <c r="M604" s="57"/>
      <c r="N604" s="57"/>
      <c r="O604" s="60"/>
      <c r="P604" s="59"/>
      <c r="Q604" s="60"/>
      <c r="R604" s="60"/>
      <c r="S604" s="59"/>
      <c r="T604" s="63"/>
      <c r="U604" s="60"/>
      <c r="V604" s="74"/>
      <c r="W604" s="59"/>
    </row>
    <row r="605" ht="16.5" customHeight="1" spans="1:23" x14ac:dyDescent="0.25">
      <c r="A605" s="72"/>
      <c r="B605" s="57"/>
      <c r="C605" s="57"/>
      <c r="D605" s="58"/>
      <c r="E605" s="57"/>
      <c r="F605" s="57"/>
      <c r="G605" s="57"/>
      <c r="H605" s="57"/>
      <c r="I605" s="57"/>
      <c r="J605" s="68"/>
      <c r="K605" s="57"/>
      <c r="L605" s="60"/>
      <c r="M605" s="57"/>
      <c r="N605" s="57"/>
      <c r="O605" s="60"/>
      <c r="P605" s="59"/>
      <c r="Q605" s="60"/>
      <c r="R605" s="60"/>
      <c r="S605" s="59"/>
      <c r="T605" s="63"/>
      <c r="U605" s="60"/>
      <c r="V605" s="74"/>
      <c r="W605" s="59"/>
    </row>
    <row r="606" ht="16.5" customHeight="1" spans="1:23" x14ac:dyDescent="0.25">
      <c r="A606" s="72"/>
      <c r="B606" s="57"/>
      <c r="C606" s="57"/>
      <c r="D606" s="58"/>
      <c r="E606" s="57"/>
      <c r="F606" s="57"/>
      <c r="G606" s="57"/>
      <c r="H606" s="57"/>
      <c r="I606" s="57"/>
      <c r="J606" s="68"/>
      <c r="K606" s="57"/>
      <c r="L606" s="60"/>
      <c r="M606" s="57"/>
      <c r="N606" s="57"/>
      <c r="O606" s="60"/>
      <c r="P606" s="59"/>
      <c r="Q606" s="60"/>
      <c r="R606" s="60"/>
      <c r="S606" s="59"/>
      <c r="T606" s="63"/>
      <c r="U606" s="60"/>
      <c r="V606" s="74"/>
      <c r="W606" s="59"/>
    </row>
    <row r="607" ht="16.5" customHeight="1" spans="1:23" x14ac:dyDescent="0.25">
      <c r="A607" s="72"/>
      <c r="B607" s="57"/>
      <c r="C607" s="57"/>
      <c r="D607" s="58"/>
      <c r="E607" s="57"/>
      <c r="F607" s="57"/>
      <c r="G607" s="57"/>
      <c r="H607" s="57"/>
      <c r="I607" s="57"/>
      <c r="J607" s="68"/>
      <c r="K607" s="57"/>
      <c r="L607" s="60"/>
      <c r="M607" s="57"/>
      <c r="N607" s="57"/>
      <c r="O607" s="60"/>
      <c r="P607" s="59"/>
      <c r="Q607" s="60"/>
      <c r="R607" s="60"/>
      <c r="S607" s="59"/>
      <c r="T607" s="63"/>
      <c r="U607" s="60"/>
      <c r="V607" s="74"/>
      <c r="W607" s="59"/>
    </row>
    <row r="608" ht="16.5" customHeight="1" spans="1:23" x14ac:dyDescent="0.25">
      <c r="A608" s="72"/>
      <c r="B608" s="57"/>
      <c r="C608" s="57"/>
      <c r="D608" s="58"/>
      <c r="E608" s="57"/>
      <c r="F608" s="57"/>
      <c r="G608" s="57"/>
      <c r="H608" s="57"/>
      <c r="I608" s="57"/>
      <c r="J608" s="68"/>
      <c r="K608" s="57"/>
      <c r="L608" s="60"/>
      <c r="M608" s="57"/>
      <c r="N608" s="57"/>
      <c r="O608" s="60"/>
      <c r="P608" s="59"/>
      <c r="Q608" s="60"/>
      <c r="R608" s="60"/>
      <c r="S608" s="59"/>
      <c r="T608" s="63"/>
      <c r="U608" s="60"/>
      <c r="V608" s="74"/>
      <c r="W608" s="59"/>
    </row>
    <row r="609" ht="16.5" customHeight="1" spans="1:23" x14ac:dyDescent="0.25">
      <c r="A609" s="72"/>
      <c r="B609" s="57"/>
      <c r="C609" s="57"/>
      <c r="D609" s="58"/>
      <c r="E609" s="57"/>
      <c r="F609" s="57"/>
      <c r="G609" s="57"/>
      <c r="H609" s="57"/>
      <c r="I609" s="57"/>
      <c r="J609" s="68"/>
      <c r="K609" s="57"/>
      <c r="L609" s="60"/>
      <c r="M609" s="57"/>
      <c r="N609" s="57"/>
      <c r="O609" s="60"/>
      <c r="P609" s="59"/>
      <c r="Q609" s="60"/>
      <c r="R609" s="60"/>
      <c r="S609" s="59"/>
      <c r="T609" s="63"/>
      <c r="U609" s="60"/>
      <c r="V609" s="74"/>
      <c r="W609" s="59"/>
    </row>
    <row r="610" ht="16.5" customHeight="1" spans="1:23" x14ac:dyDescent="0.25">
      <c r="A610" s="72"/>
      <c r="B610" s="57"/>
      <c r="C610" s="57"/>
      <c r="D610" s="58"/>
      <c r="E610" s="57"/>
      <c r="F610" s="57"/>
      <c r="G610" s="57"/>
      <c r="H610" s="57"/>
      <c r="I610" s="57"/>
      <c r="J610" s="68"/>
      <c r="K610" s="57"/>
      <c r="L610" s="60"/>
      <c r="M610" s="57"/>
      <c r="N610" s="57"/>
      <c r="O610" s="60"/>
      <c r="P610" s="59"/>
      <c r="Q610" s="60"/>
      <c r="R610" s="60"/>
      <c r="S610" s="59"/>
      <c r="T610" s="63"/>
      <c r="U610" s="60"/>
      <c r="V610" s="74"/>
      <c r="W610" s="59"/>
    </row>
    <row r="611" ht="16.5" customHeight="1" spans="1:23" x14ac:dyDescent="0.25">
      <c r="A611" s="72"/>
      <c r="B611" s="57"/>
      <c r="C611" s="57"/>
      <c r="D611" s="58"/>
      <c r="E611" s="57"/>
      <c r="F611" s="57"/>
      <c r="G611" s="57"/>
      <c r="H611" s="57"/>
      <c r="I611" s="57"/>
      <c r="J611" s="68"/>
      <c r="K611" s="57"/>
      <c r="L611" s="60"/>
      <c r="M611" s="57"/>
      <c r="N611" s="57"/>
      <c r="O611" s="60"/>
      <c r="P611" s="59"/>
      <c r="Q611" s="60"/>
      <c r="R611" s="60"/>
      <c r="S611" s="59"/>
      <c r="T611" s="63"/>
      <c r="U611" s="60"/>
      <c r="V611" s="74"/>
      <c r="W611" s="59"/>
    </row>
    <row r="612" ht="16.5" customHeight="1" spans="1:23" x14ac:dyDescent="0.25">
      <c r="A612" s="72"/>
      <c r="B612" s="57"/>
      <c r="C612" s="57"/>
      <c r="D612" s="58"/>
      <c r="E612" s="57"/>
      <c r="F612" s="57"/>
      <c r="G612" s="57"/>
      <c r="H612" s="57"/>
      <c r="I612" s="57"/>
      <c r="J612" s="68"/>
      <c r="K612" s="57"/>
      <c r="L612" s="60"/>
      <c r="M612" s="57"/>
      <c r="N612" s="57"/>
      <c r="O612" s="60"/>
      <c r="P612" s="59"/>
      <c r="Q612" s="60"/>
      <c r="R612" s="60"/>
      <c r="S612" s="59"/>
      <c r="T612" s="63"/>
      <c r="U612" s="60"/>
      <c r="V612" s="74"/>
      <c r="W612" s="59"/>
    </row>
    <row r="613" ht="16.5" customHeight="1" spans="1:23" x14ac:dyDescent="0.25">
      <c r="A613" s="72"/>
      <c r="B613" s="57"/>
      <c r="C613" s="57"/>
      <c r="D613" s="58"/>
      <c r="E613" s="57"/>
      <c r="F613" s="57"/>
      <c r="G613" s="57"/>
      <c r="H613" s="57"/>
      <c r="I613" s="57"/>
      <c r="J613" s="68"/>
      <c r="K613" s="57"/>
      <c r="L613" s="60"/>
      <c r="M613" s="57"/>
      <c r="N613" s="57"/>
      <c r="O613" s="60"/>
      <c r="P613" s="59"/>
      <c r="Q613" s="60"/>
      <c r="R613" s="60"/>
      <c r="S613" s="59"/>
      <c r="T613" s="63"/>
      <c r="U613" s="60"/>
      <c r="V613" s="74"/>
      <c r="W613" s="59"/>
    </row>
    <row r="614" ht="16.5" customHeight="1" spans="1:23" x14ac:dyDescent="0.25">
      <c r="A614" s="72"/>
      <c r="B614" s="57"/>
      <c r="C614" s="57"/>
      <c r="D614" s="58"/>
      <c r="E614" s="57"/>
      <c r="F614" s="57"/>
      <c r="G614" s="57"/>
      <c r="H614" s="57"/>
      <c r="I614" s="57"/>
      <c r="J614" s="68"/>
      <c r="K614" s="57"/>
      <c r="L614" s="60"/>
      <c r="M614" s="57"/>
      <c r="N614" s="57"/>
      <c r="O614" s="60"/>
      <c r="P614" s="59"/>
      <c r="Q614" s="60"/>
      <c r="R614" s="60"/>
      <c r="S614" s="59"/>
      <c r="T614" s="63"/>
      <c r="U614" s="60"/>
      <c r="V614" s="74"/>
      <c r="W614" s="59"/>
    </row>
    <row r="615" ht="16.5" customHeight="1" spans="1:23" x14ac:dyDescent="0.25">
      <c r="A615" s="72"/>
      <c r="B615" s="57"/>
      <c r="C615" s="57"/>
      <c r="D615" s="58"/>
      <c r="E615" s="57"/>
      <c r="F615" s="57"/>
      <c r="G615" s="57"/>
      <c r="H615" s="57"/>
      <c r="I615" s="57"/>
      <c r="J615" s="68"/>
      <c r="K615" s="57"/>
      <c r="L615" s="60"/>
      <c r="M615" s="57"/>
      <c r="N615" s="57"/>
      <c r="O615" s="60"/>
      <c r="P615" s="59"/>
      <c r="Q615" s="60"/>
      <c r="R615" s="60"/>
      <c r="S615" s="59"/>
      <c r="T615" s="63"/>
      <c r="U615" s="60"/>
      <c r="V615" s="74"/>
      <c r="W615" s="59"/>
    </row>
    <row r="616" ht="16.5" customHeight="1" spans="1:23" x14ac:dyDescent="0.25">
      <c r="A616" s="72"/>
      <c r="B616" s="57"/>
      <c r="C616" s="57"/>
      <c r="D616" s="58"/>
      <c r="E616" s="57"/>
      <c r="F616" s="57"/>
      <c r="G616" s="57"/>
      <c r="H616" s="57"/>
      <c r="I616" s="57"/>
      <c r="J616" s="68"/>
      <c r="K616" s="57"/>
      <c r="L616" s="60"/>
      <c r="M616" s="57"/>
      <c r="N616" s="57"/>
      <c r="O616" s="60"/>
      <c r="P616" s="59"/>
      <c r="Q616" s="60"/>
      <c r="R616" s="60"/>
      <c r="S616" s="59"/>
      <c r="T616" s="63"/>
      <c r="U616" s="60"/>
      <c r="V616" s="74"/>
      <c r="W616" s="59"/>
    </row>
    <row r="617" ht="16.5" customHeight="1" spans="1:23" x14ac:dyDescent="0.25">
      <c r="A617" s="72"/>
      <c r="B617" s="57"/>
      <c r="C617" s="57"/>
      <c r="D617" s="58"/>
      <c r="E617" s="57"/>
      <c r="F617" s="57"/>
      <c r="G617" s="57"/>
      <c r="H617" s="57"/>
      <c r="I617" s="57"/>
      <c r="J617" s="68"/>
      <c r="K617" s="57"/>
      <c r="L617" s="60"/>
      <c r="M617" s="57"/>
      <c r="N617" s="57"/>
      <c r="O617" s="60"/>
      <c r="P617" s="59"/>
      <c r="Q617" s="60"/>
      <c r="R617" s="60"/>
      <c r="S617" s="59"/>
      <c r="T617" s="63"/>
      <c r="U617" s="60"/>
      <c r="V617" s="74"/>
      <c r="W617" s="59"/>
    </row>
    <row r="618" ht="16.5" customHeight="1" spans="1:23" x14ac:dyDescent="0.25">
      <c r="A618" s="72"/>
      <c r="B618" s="57"/>
      <c r="C618" s="57"/>
      <c r="D618" s="58"/>
      <c r="E618" s="57"/>
      <c r="F618" s="57"/>
      <c r="G618" s="57"/>
      <c r="H618" s="57"/>
      <c r="I618" s="57"/>
      <c r="J618" s="68"/>
      <c r="K618" s="57"/>
      <c r="L618" s="60"/>
      <c r="M618" s="57"/>
      <c r="N618" s="57"/>
      <c r="O618" s="60"/>
      <c r="P618" s="59"/>
      <c r="Q618" s="60"/>
      <c r="R618" s="60"/>
      <c r="S618" s="59"/>
      <c r="T618" s="63"/>
      <c r="U618" s="60"/>
      <c r="V618" s="74"/>
      <c r="W618" s="59"/>
    </row>
    <row r="619" ht="16.5" customHeight="1" spans="1:23" x14ac:dyDescent="0.25">
      <c r="A619" s="72"/>
      <c r="B619" s="57"/>
      <c r="C619" s="57"/>
      <c r="D619" s="58"/>
      <c r="E619" s="57"/>
      <c r="F619" s="57"/>
      <c r="G619" s="57"/>
      <c r="H619" s="57"/>
      <c r="I619" s="57"/>
      <c r="J619" s="68"/>
      <c r="K619" s="57"/>
      <c r="L619" s="60"/>
      <c r="M619" s="57"/>
      <c r="N619" s="57"/>
      <c r="O619" s="60"/>
      <c r="P619" s="59"/>
      <c r="Q619" s="60"/>
      <c r="R619" s="60"/>
      <c r="S619" s="59"/>
      <c r="T619" s="63"/>
      <c r="U619" s="60"/>
      <c r="V619" s="74"/>
      <c r="W619" s="59"/>
    </row>
    <row r="620" ht="16.5" customHeight="1" spans="1:23" x14ac:dyDescent="0.25">
      <c r="A620" s="72"/>
      <c r="B620" s="57"/>
      <c r="C620" s="57"/>
      <c r="D620" s="58"/>
      <c r="E620" s="57"/>
      <c r="F620" s="57"/>
      <c r="G620" s="57"/>
      <c r="H620" s="57"/>
      <c r="I620" s="57"/>
      <c r="J620" s="68"/>
      <c r="K620" s="57"/>
      <c r="L620" s="60"/>
      <c r="M620" s="57"/>
      <c r="N620" s="57"/>
      <c r="O620" s="60"/>
      <c r="P620" s="59"/>
      <c r="Q620" s="60"/>
      <c r="R620" s="60"/>
      <c r="S620" s="59"/>
      <c r="T620" s="63"/>
      <c r="U620" s="60"/>
      <c r="V620" s="74"/>
      <c r="W620" s="59"/>
    </row>
    <row r="621" ht="16.5" customHeight="1" spans="1:23" x14ac:dyDescent="0.25">
      <c r="A621" s="72"/>
      <c r="B621" s="57"/>
      <c r="C621" s="57"/>
      <c r="D621" s="58"/>
      <c r="E621" s="57"/>
      <c r="F621" s="57"/>
      <c r="G621" s="57"/>
      <c r="H621" s="57"/>
      <c r="I621" s="57"/>
      <c r="J621" s="68"/>
      <c r="K621" s="57"/>
      <c r="L621" s="60"/>
      <c r="M621" s="57"/>
      <c r="N621" s="57"/>
      <c r="O621" s="60"/>
      <c r="P621" s="59"/>
      <c r="Q621" s="60"/>
      <c r="R621" s="60"/>
      <c r="S621" s="59"/>
      <c r="T621" s="63"/>
      <c r="U621" s="60"/>
      <c r="V621" s="74"/>
      <c r="W621" s="59"/>
    </row>
    <row r="622" ht="16.5" customHeight="1" spans="1:23" x14ac:dyDescent="0.25">
      <c r="A622" s="72"/>
      <c r="B622" s="57"/>
      <c r="C622" s="57"/>
      <c r="D622" s="58"/>
      <c r="E622" s="57"/>
      <c r="F622" s="57"/>
      <c r="G622" s="57"/>
      <c r="H622" s="57"/>
      <c r="I622" s="57"/>
      <c r="J622" s="68"/>
      <c r="K622" s="57"/>
      <c r="L622" s="60"/>
      <c r="M622" s="57"/>
      <c r="N622" s="57"/>
      <c r="O622" s="60"/>
      <c r="P622" s="59"/>
      <c r="Q622" s="60"/>
      <c r="R622" s="60"/>
      <c r="S622" s="59"/>
      <c r="T622" s="63"/>
      <c r="U622" s="60"/>
      <c r="V622" s="74"/>
      <c r="W622" s="59"/>
    </row>
    <row r="623" ht="16.5" customHeight="1" spans="1:23" x14ac:dyDescent="0.25">
      <c r="A623" s="72"/>
      <c r="B623" s="57"/>
      <c r="C623" s="57"/>
      <c r="D623" s="58"/>
      <c r="E623" s="57"/>
      <c r="F623" s="57"/>
      <c r="G623" s="57"/>
      <c r="H623" s="57"/>
      <c r="I623" s="57"/>
      <c r="J623" s="68"/>
      <c r="K623" s="57"/>
      <c r="L623" s="60"/>
      <c r="M623" s="57"/>
      <c r="N623" s="57"/>
      <c r="O623" s="60"/>
      <c r="P623" s="59"/>
      <c r="Q623" s="60"/>
      <c r="R623" s="60"/>
      <c r="S623" s="59"/>
      <c r="T623" s="63"/>
      <c r="U623" s="60"/>
      <c r="V623" s="74"/>
      <c r="W623" s="59"/>
    </row>
    <row r="624" ht="16.5" customHeight="1" spans="1:23" x14ac:dyDescent="0.25">
      <c r="A624" s="72"/>
      <c r="B624" s="57"/>
      <c r="C624" s="57"/>
      <c r="D624" s="58"/>
      <c r="E624" s="57"/>
      <c r="F624" s="57"/>
      <c r="G624" s="57"/>
      <c r="H624" s="57"/>
      <c r="I624" s="57"/>
      <c r="J624" s="68"/>
      <c r="K624" s="57"/>
      <c r="L624" s="60"/>
      <c r="M624" s="57"/>
      <c r="N624" s="57"/>
      <c r="O624" s="60"/>
      <c r="P624" s="59"/>
      <c r="Q624" s="60"/>
      <c r="R624" s="60"/>
      <c r="S624" s="59"/>
      <c r="T624" s="63"/>
      <c r="U624" s="60"/>
      <c r="V624" s="74"/>
      <c r="W624" s="59"/>
    </row>
    <row r="625" ht="16.5" customHeight="1" spans="1:23" x14ac:dyDescent="0.25">
      <c r="A625" s="72"/>
      <c r="B625" s="57"/>
      <c r="C625" s="57"/>
      <c r="D625" s="58"/>
      <c r="E625" s="57"/>
      <c r="F625" s="57"/>
      <c r="G625" s="57"/>
      <c r="H625" s="57"/>
      <c r="I625" s="57"/>
      <c r="J625" s="68"/>
      <c r="K625" s="57"/>
      <c r="L625" s="60"/>
      <c r="M625" s="57"/>
      <c r="N625" s="57"/>
      <c r="O625" s="60"/>
      <c r="P625" s="59"/>
      <c r="Q625" s="60"/>
      <c r="R625" s="60"/>
      <c r="S625" s="59"/>
      <c r="T625" s="63"/>
      <c r="U625" s="60"/>
      <c r="V625" s="74"/>
      <c r="W625" s="59"/>
    </row>
    <row r="626" ht="16.5" customHeight="1" spans="1:23" x14ac:dyDescent="0.25">
      <c r="A626" s="72"/>
      <c r="B626" s="57"/>
      <c r="C626" s="57"/>
      <c r="D626" s="58"/>
      <c r="E626" s="57"/>
      <c r="F626" s="57"/>
      <c r="G626" s="57"/>
      <c r="H626" s="57"/>
      <c r="I626" s="57"/>
      <c r="J626" s="68"/>
      <c r="K626" s="57"/>
      <c r="L626" s="60"/>
      <c r="M626" s="57"/>
      <c r="N626" s="57"/>
      <c r="O626" s="60"/>
      <c r="P626" s="59"/>
      <c r="Q626" s="60"/>
      <c r="R626" s="60"/>
      <c r="S626" s="59"/>
      <c r="T626" s="63"/>
      <c r="U626" s="60"/>
      <c r="V626" s="74"/>
      <c r="W626" s="59"/>
    </row>
    <row r="627" ht="16.5" customHeight="1" spans="1:23" x14ac:dyDescent="0.25">
      <c r="A627" s="72"/>
      <c r="B627" s="57"/>
      <c r="C627" s="57"/>
      <c r="D627" s="58"/>
      <c r="E627" s="57"/>
      <c r="F627" s="57"/>
      <c r="G627" s="57"/>
      <c r="H627" s="57"/>
      <c r="I627" s="57"/>
      <c r="J627" s="68"/>
      <c r="K627" s="57"/>
      <c r="L627" s="60"/>
      <c r="M627" s="57"/>
      <c r="N627" s="57"/>
      <c r="O627" s="60"/>
      <c r="P627" s="59"/>
      <c r="Q627" s="60"/>
      <c r="R627" s="60"/>
      <c r="S627" s="59"/>
      <c r="T627" s="63"/>
      <c r="U627" s="60"/>
      <c r="V627" s="74"/>
      <c r="W627" s="59"/>
    </row>
    <row r="628" ht="16.5" customHeight="1" spans="1:23" x14ac:dyDescent="0.25">
      <c r="A628" s="72"/>
      <c r="B628" s="57"/>
      <c r="C628" s="57"/>
      <c r="D628" s="58"/>
      <c r="E628" s="57"/>
      <c r="F628" s="57"/>
      <c r="G628" s="57"/>
      <c r="H628" s="57"/>
      <c r="I628" s="57"/>
      <c r="J628" s="68"/>
      <c r="K628" s="57"/>
      <c r="L628" s="60"/>
      <c r="M628" s="57"/>
      <c r="N628" s="57"/>
      <c r="O628" s="60"/>
      <c r="P628" s="59"/>
      <c r="Q628" s="60"/>
      <c r="R628" s="60"/>
      <c r="S628" s="59"/>
      <c r="T628" s="63"/>
      <c r="U628" s="60"/>
      <c r="V628" s="74"/>
      <c r="W628" s="59"/>
    </row>
    <row r="629" ht="16.5" customHeight="1" spans="1:23" x14ac:dyDescent="0.25">
      <c r="A629" s="72"/>
      <c r="B629" s="57"/>
      <c r="C629" s="57"/>
      <c r="D629" s="58"/>
      <c r="E629" s="57"/>
      <c r="F629" s="57"/>
      <c r="G629" s="57"/>
      <c r="H629" s="57"/>
      <c r="I629" s="57"/>
      <c r="J629" s="68"/>
      <c r="K629" s="57"/>
      <c r="L629" s="60"/>
      <c r="M629" s="57"/>
      <c r="N629" s="57"/>
      <c r="O629" s="60"/>
      <c r="P629" s="59"/>
      <c r="Q629" s="60"/>
      <c r="R629" s="60"/>
      <c r="S629" s="59"/>
      <c r="T629" s="63"/>
      <c r="U629" s="60"/>
      <c r="V629" s="74"/>
      <c r="W629" s="59"/>
    </row>
    <row r="630" ht="16.5" customHeight="1" spans="1:23" x14ac:dyDescent="0.25">
      <c r="A630" s="72"/>
      <c r="B630" s="57"/>
      <c r="C630" s="57"/>
      <c r="D630" s="58"/>
      <c r="E630" s="57"/>
      <c r="F630" s="57"/>
      <c r="G630" s="57"/>
      <c r="H630" s="57"/>
      <c r="I630" s="57"/>
      <c r="J630" s="68"/>
      <c r="K630" s="57"/>
      <c r="L630" s="60"/>
      <c r="M630" s="57"/>
      <c r="N630" s="57"/>
      <c r="O630" s="60"/>
      <c r="P630" s="59"/>
      <c r="Q630" s="60"/>
      <c r="R630" s="60"/>
      <c r="S630" s="59"/>
      <c r="T630" s="63"/>
      <c r="U630" s="60"/>
      <c r="V630" s="74"/>
      <c r="W630" s="59"/>
    </row>
    <row r="631" ht="16.5" customHeight="1" spans="1:23" x14ac:dyDescent="0.25">
      <c r="A631" s="72"/>
      <c r="B631" s="57"/>
      <c r="C631" s="57"/>
      <c r="D631" s="58"/>
      <c r="E631" s="57"/>
      <c r="F631" s="57"/>
      <c r="G631" s="57"/>
      <c r="H631" s="57"/>
      <c r="I631" s="57"/>
      <c r="J631" s="68"/>
      <c r="K631" s="57"/>
      <c r="L631" s="60"/>
      <c r="M631" s="57"/>
      <c r="N631" s="57"/>
      <c r="O631" s="60"/>
      <c r="P631" s="59"/>
      <c r="Q631" s="60"/>
      <c r="R631" s="60"/>
      <c r="S631" s="59"/>
      <c r="T631" s="63"/>
      <c r="U631" s="60"/>
      <c r="V631" s="74"/>
      <c r="W631" s="59"/>
    </row>
    <row r="632" ht="16.5" customHeight="1" spans="1:23" x14ac:dyDescent="0.25">
      <c r="A632" s="72"/>
      <c r="B632" s="57"/>
      <c r="C632" s="57"/>
      <c r="D632" s="58"/>
      <c r="E632" s="57"/>
      <c r="F632" s="57"/>
      <c r="G632" s="57"/>
      <c r="H632" s="57"/>
      <c r="I632" s="57"/>
      <c r="J632" s="68"/>
      <c r="K632" s="57"/>
      <c r="L632" s="60"/>
      <c r="M632" s="57"/>
      <c r="N632" s="57"/>
      <c r="O632" s="60"/>
      <c r="P632" s="59"/>
      <c r="Q632" s="60"/>
      <c r="R632" s="60"/>
      <c r="S632" s="59"/>
      <c r="T632" s="63"/>
      <c r="U632" s="60"/>
      <c r="V632" s="74"/>
      <c r="W632" s="59"/>
    </row>
    <row r="633" ht="16.5" customHeight="1" spans="1:23" x14ac:dyDescent="0.25">
      <c r="A633" s="72"/>
      <c r="B633" s="57"/>
      <c r="C633" s="57"/>
      <c r="D633" s="58"/>
      <c r="E633" s="57"/>
      <c r="F633" s="57"/>
      <c r="G633" s="57"/>
      <c r="H633" s="57"/>
      <c r="I633" s="57"/>
      <c r="J633" s="68"/>
      <c r="K633" s="57"/>
      <c r="L633" s="60"/>
      <c r="M633" s="57"/>
      <c r="N633" s="57"/>
      <c r="O633" s="60"/>
      <c r="P633" s="59"/>
      <c r="Q633" s="60"/>
      <c r="R633" s="60"/>
      <c r="S633" s="59"/>
      <c r="T633" s="63"/>
      <c r="U633" s="60"/>
      <c r="V633" s="74"/>
      <c r="W633" s="59"/>
    </row>
    <row r="634" ht="16.5" customHeight="1" spans="1:23" x14ac:dyDescent="0.25">
      <c r="A634" s="72"/>
      <c r="B634" s="57"/>
      <c r="C634" s="57"/>
      <c r="D634" s="58"/>
      <c r="E634" s="57"/>
      <c r="F634" s="57"/>
      <c r="G634" s="57"/>
      <c r="H634" s="57"/>
      <c r="I634" s="57"/>
      <c r="J634" s="68"/>
      <c r="K634" s="57"/>
      <c r="L634" s="60"/>
      <c r="M634" s="57"/>
      <c r="N634" s="57"/>
      <c r="O634" s="60"/>
      <c r="P634" s="59"/>
      <c r="Q634" s="60"/>
      <c r="R634" s="60"/>
      <c r="S634" s="59"/>
      <c r="T634" s="63"/>
      <c r="U634" s="60"/>
      <c r="V634" s="74"/>
      <c r="W634" s="59"/>
    </row>
    <row r="635" ht="16.5" customHeight="1" spans="1:23" x14ac:dyDescent="0.25">
      <c r="A635" s="72"/>
      <c r="B635" s="57"/>
      <c r="C635" s="57"/>
      <c r="D635" s="58"/>
      <c r="E635" s="57"/>
      <c r="F635" s="57"/>
      <c r="G635" s="57"/>
      <c r="H635" s="57"/>
      <c r="I635" s="57"/>
      <c r="J635" s="68"/>
      <c r="K635" s="57"/>
      <c r="L635" s="60"/>
      <c r="M635" s="57"/>
      <c r="N635" s="57"/>
      <c r="O635" s="60"/>
      <c r="P635" s="59"/>
      <c r="Q635" s="60"/>
      <c r="R635" s="60"/>
      <c r="S635" s="59"/>
      <c r="T635" s="63"/>
      <c r="U635" s="60"/>
      <c r="V635" s="74"/>
      <c r="W635" s="59"/>
    </row>
    <row r="636" ht="16.5" customHeight="1" spans="1:23" x14ac:dyDescent="0.25">
      <c r="A636" s="72"/>
      <c r="B636" s="57"/>
      <c r="C636" s="57"/>
      <c r="D636" s="58"/>
      <c r="E636" s="57"/>
      <c r="F636" s="57"/>
      <c r="G636" s="57"/>
      <c r="H636" s="57"/>
      <c r="I636" s="57"/>
      <c r="J636" s="68"/>
      <c r="K636" s="57"/>
      <c r="L636" s="60"/>
      <c r="M636" s="57"/>
      <c r="N636" s="57"/>
      <c r="O636" s="60"/>
      <c r="P636" s="59"/>
      <c r="Q636" s="60"/>
      <c r="R636" s="60"/>
      <c r="S636" s="59"/>
      <c r="T636" s="63"/>
      <c r="U636" s="60"/>
      <c r="V636" s="74"/>
      <c r="W636" s="59"/>
    </row>
    <row r="637" ht="16.5" customHeight="1" spans="1:23" x14ac:dyDescent="0.25">
      <c r="A637" s="72"/>
      <c r="B637" s="57"/>
      <c r="C637" s="57"/>
      <c r="D637" s="58"/>
      <c r="E637" s="57"/>
      <c r="F637" s="57"/>
      <c r="G637" s="57"/>
      <c r="H637" s="57"/>
      <c r="I637" s="57"/>
      <c r="J637" s="68"/>
      <c r="K637" s="57"/>
      <c r="L637" s="60"/>
      <c r="M637" s="57"/>
      <c r="N637" s="57"/>
      <c r="O637" s="60"/>
      <c r="P637" s="59"/>
      <c r="Q637" s="60"/>
      <c r="R637" s="60"/>
      <c r="S637" s="59"/>
      <c r="T637" s="63"/>
      <c r="U637" s="60"/>
      <c r="V637" s="74"/>
      <c r="W637" s="59"/>
    </row>
    <row r="638" ht="16.5" customHeight="1" spans="1:23" x14ac:dyDescent="0.25">
      <c r="A638" s="72"/>
      <c r="B638" s="57"/>
      <c r="C638" s="57"/>
      <c r="D638" s="58"/>
      <c r="E638" s="57"/>
      <c r="F638" s="57"/>
      <c r="G638" s="57"/>
      <c r="H638" s="57"/>
      <c r="I638" s="57"/>
      <c r="J638" s="68"/>
      <c r="K638" s="57"/>
      <c r="L638" s="60"/>
      <c r="M638" s="57"/>
      <c r="N638" s="57"/>
      <c r="O638" s="60"/>
      <c r="P638" s="59"/>
      <c r="Q638" s="60"/>
      <c r="R638" s="60"/>
      <c r="S638" s="59"/>
      <c r="T638" s="63"/>
      <c r="U638" s="60"/>
      <c r="V638" s="74"/>
      <c r="W638" s="59"/>
    </row>
    <row r="639" ht="16.5" customHeight="1" spans="1:23" x14ac:dyDescent="0.25">
      <c r="A639" s="72"/>
      <c r="B639" s="57"/>
      <c r="C639" s="57"/>
      <c r="D639" s="58"/>
      <c r="E639" s="57"/>
      <c r="F639" s="57"/>
      <c r="G639" s="57"/>
      <c r="H639" s="57"/>
      <c r="I639" s="57"/>
      <c r="J639" s="68"/>
      <c r="K639" s="57"/>
      <c r="L639" s="60"/>
      <c r="M639" s="57"/>
      <c r="N639" s="57"/>
      <c r="O639" s="60"/>
      <c r="P639" s="59"/>
      <c r="Q639" s="60"/>
      <c r="R639" s="60"/>
      <c r="S639" s="59"/>
      <c r="T639" s="63"/>
      <c r="U639" s="60"/>
      <c r="V639" s="74"/>
      <c r="W639" s="59"/>
    </row>
    <row r="640" ht="16.5" customHeight="1" spans="1:23" x14ac:dyDescent="0.25">
      <c r="A640" s="72"/>
      <c r="B640" s="57"/>
      <c r="C640" s="57"/>
      <c r="D640" s="58"/>
      <c r="E640" s="57"/>
      <c r="F640" s="57"/>
      <c r="G640" s="57"/>
      <c r="H640" s="57"/>
      <c r="I640" s="57"/>
      <c r="J640" s="68"/>
      <c r="K640" s="57"/>
      <c r="L640" s="60"/>
      <c r="M640" s="57"/>
      <c r="N640" s="57"/>
      <c r="O640" s="60"/>
      <c r="P640" s="59"/>
      <c r="Q640" s="60"/>
      <c r="R640" s="60"/>
      <c r="S640" s="59"/>
      <c r="T640" s="63"/>
      <c r="U640" s="60"/>
      <c r="V640" s="74"/>
      <c r="W640" s="59"/>
    </row>
    <row r="641" ht="16.5" customHeight="1" spans="1:23" x14ac:dyDescent="0.25">
      <c r="A641" s="72"/>
      <c r="B641" s="57"/>
      <c r="C641" s="57"/>
      <c r="D641" s="58"/>
      <c r="E641" s="57"/>
      <c r="F641" s="57"/>
      <c r="G641" s="57"/>
      <c r="H641" s="57"/>
      <c r="I641" s="57"/>
      <c r="J641" s="68"/>
      <c r="K641" s="57"/>
      <c r="L641" s="60"/>
      <c r="M641" s="57"/>
      <c r="N641" s="57"/>
      <c r="O641" s="60"/>
      <c r="P641" s="59"/>
      <c r="Q641" s="60"/>
      <c r="R641" s="60"/>
      <c r="S641" s="59"/>
      <c r="T641" s="63"/>
      <c r="U641" s="60"/>
      <c r="V641" s="74"/>
      <c r="W641" s="59"/>
    </row>
    <row r="642" ht="16.5" customHeight="1" spans="1:23" x14ac:dyDescent="0.25">
      <c r="A642" s="72"/>
      <c r="B642" s="57"/>
      <c r="C642" s="57"/>
      <c r="D642" s="58"/>
      <c r="E642" s="57"/>
      <c r="F642" s="57"/>
      <c r="G642" s="57"/>
      <c r="H642" s="57"/>
      <c r="I642" s="57"/>
      <c r="J642" s="68"/>
      <c r="K642" s="57"/>
      <c r="L642" s="60"/>
      <c r="M642" s="57"/>
      <c r="N642" s="57"/>
      <c r="O642" s="60"/>
      <c r="P642" s="59"/>
      <c r="Q642" s="60"/>
      <c r="R642" s="60"/>
      <c r="S642" s="59"/>
      <c r="T642" s="63"/>
      <c r="U642" s="60"/>
      <c r="V642" s="74"/>
      <c r="W642" s="59"/>
    </row>
    <row r="643" ht="16.5" customHeight="1" spans="1:23" x14ac:dyDescent="0.25">
      <c r="A643" s="72"/>
      <c r="B643" s="57"/>
      <c r="C643" s="57"/>
      <c r="D643" s="58"/>
      <c r="E643" s="57"/>
      <c r="F643" s="57"/>
      <c r="G643" s="57"/>
      <c r="H643" s="57"/>
      <c r="I643" s="57"/>
      <c r="J643" s="68"/>
      <c r="K643" s="57"/>
      <c r="L643" s="60"/>
      <c r="M643" s="57"/>
      <c r="N643" s="57"/>
      <c r="O643" s="60"/>
      <c r="P643" s="59"/>
      <c r="Q643" s="60"/>
      <c r="R643" s="60"/>
      <c r="S643" s="59"/>
      <c r="T643" s="63"/>
      <c r="U643" s="60"/>
      <c r="V643" s="74"/>
      <c r="W643" s="59"/>
    </row>
    <row r="644" ht="16.5" customHeight="1" spans="1:23" x14ac:dyDescent="0.25">
      <c r="A644" s="72"/>
      <c r="B644" s="57"/>
      <c r="C644" s="57"/>
      <c r="D644" s="58"/>
      <c r="E644" s="57"/>
      <c r="F644" s="57"/>
      <c r="G644" s="57"/>
      <c r="H644" s="57"/>
      <c r="I644" s="57"/>
      <c r="J644" s="68"/>
      <c r="K644" s="57"/>
      <c r="L644" s="60"/>
      <c r="M644" s="57"/>
      <c r="N644" s="57"/>
      <c r="O644" s="60"/>
      <c r="P644" s="59"/>
      <c r="Q644" s="60"/>
      <c r="R644" s="60"/>
      <c r="S644" s="59"/>
      <c r="T644" s="63"/>
      <c r="U644" s="60"/>
      <c r="V644" s="74"/>
      <c r="W644" s="59"/>
    </row>
    <row r="645" ht="16.5" customHeight="1" spans="1:23" x14ac:dyDescent="0.25">
      <c r="A645" s="72"/>
      <c r="B645" s="57"/>
      <c r="C645" s="57"/>
      <c r="D645" s="58"/>
      <c r="E645" s="57"/>
      <c r="F645" s="57"/>
      <c r="G645" s="57"/>
      <c r="H645" s="57"/>
      <c r="I645" s="57"/>
      <c r="J645" s="68"/>
      <c r="K645" s="57"/>
      <c r="L645" s="60"/>
      <c r="M645" s="57"/>
      <c r="N645" s="57"/>
      <c r="O645" s="60"/>
      <c r="P645" s="59"/>
      <c r="Q645" s="60"/>
      <c r="R645" s="60"/>
      <c r="S645" s="59"/>
      <c r="T645" s="63"/>
      <c r="U645" s="60"/>
      <c r="V645" s="74"/>
      <c r="W645" s="59"/>
    </row>
    <row r="646" ht="16.5" customHeight="1" spans="1:23" x14ac:dyDescent="0.25">
      <c r="A646" s="72"/>
      <c r="B646" s="57"/>
      <c r="C646" s="57"/>
      <c r="D646" s="58"/>
      <c r="E646" s="57"/>
      <c r="F646" s="57"/>
      <c r="G646" s="57"/>
      <c r="H646" s="57"/>
      <c r="I646" s="57"/>
      <c r="J646" s="68"/>
      <c r="K646" s="57"/>
      <c r="L646" s="60"/>
      <c r="M646" s="57"/>
      <c r="N646" s="57"/>
      <c r="O646" s="60"/>
      <c r="P646" s="59"/>
      <c r="Q646" s="60"/>
      <c r="R646" s="60"/>
      <c r="S646" s="59"/>
      <c r="T646" s="63"/>
      <c r="U646" s="60"/>
      <c r="V646" s="74"/>
      <c r="W646" s="59"/>
    </row>
    <row r="647" ht="16.5" customHeight="1" spans="1:23" x14ac:dyDescent="0.25">
      <c r="A647" s="72"/>
      <c r="B647" s="57"/>
      <c r="C647" s="57"/>
      <c r="D647" s="58"/>
      <c r="E647" s="57"/>
      <c r="F647" s="57"/>
      <c r="G647" s="57"/>
      <c r="H647" s="57"/>
      <c r="I647" s="57"/>
      <c r="J647" s="68"/>
      <c r="K647" s="57"/>
      <c r="L647" s="60"/>
      <c r="M647" s="57"/>
      <c r="N647" s="57"/>
      <c r="O647" s="60"/>
      <c r="P647" s="59"/>
      <c r="Q647" s="60"/>
      <c r="R647" s="60"/>
      <c r="S647" s="59"/>
      <c r="T647" s="63"/>
      <c r="U647" s="60"/>
      <c r="V647" s="74"/>
      <c r="W647" s="59"/>
    </row>
    <row r="648" ht="16.5" customHeight="1" spans="1:23" x14ac:dyDescent="0.25">
      <c r="A648" s="72"/>
      <c r="B648" s="57"/>
      <c r="C648" s="57"/>
      <c r="D648" s="58"/>
      <c r="E648" s="57"/>
      <c r="F648" s="57"/>
      <c r="G648" s="57"/>
      <c r="H648" s="57"/>
      <c r="I648" s="57"/>
      <c r="J648" s="68"/>
      <c r="K648" s="57"/>
      <c r="L648" s="60"/>
      <c r="M648" s="57"/>
      <c r="N648" s="57"/>
      <c r="O648" s="60"/>
      <c r="P648" s="59"/>
      <c r="Q648" s="60"/>
      <c r="R648" s="60"/>
      <c r="S648" s="59"/>
      <c r="T648" s="63"/>
      <c r="U648" s="60"/>
      <c r="V648" s="74"/>
      <c r="W648" s="59"/>
    </row>
    <row r="649" ht="16.5" customHeight="1" spans="1:23" x14ac:dyDescent="0.25">
      <c r="A649" s="72"/>
      <c r="B649" s="57"/>
      <c r="C649" s="57"/>
      <c r="D649" s="58"/>
      <c r="E649" s="57"/>
      <c r="F649" s="57"/>
      <c r="G649" s="57"/>
      <c r="H649" s="57"/>
      <c r="I649" s="57"/>
      <c r="J649" s="68"/>
      <c r="K649" s="57"/>
      <c r="L649" s="60"/>
      <c r="M649" s="57"/>
      <c r="N649" s="57"/>
      <c r="O649" s="60"/>
      <c r="P649" s="59"/>
      <c r="Q649" s="60"/>
      <c r="R649" s="60"/>
      <c r="S649" s="59"/>
      <c r="T649" s="63"/>
      <c r="U649" s="60"/>
      <c r="V649" s="74"/>
      <c r="W649" s="59"/>
    </row>
    <row r="650" ht="16.5" customHeight="1" spans="1:23" x14ac:dyDescent="0.25">
      <c r="A650" s="72"/>
      <c r="B650" s="57"/>
      <c r="C650" s="57"/>
      <c r="D650" s="58"/>
      <c r="E650" s="57"/>
      <c r="F650" s="57"/>
      <c r="G650" s="57"/>
      <c r="H650" s="57"/>
      <c r="I650" s="57"/>
      <c r="J650" s="68"/>
      <c r="K650" s="57"/>
      <c r="L650" s="60"/>
      <c r="M650" s="57"/>
      <c r="N650" s="57"/>
      <c r="O650" s="60"/>
      <c r="P650" s="59"/>
      <c r="Q650" s="60"/>
      <c r="R650" s="60"/>
      <c r="S650" s="59"/>
      <c r="T650" s="63"/>
      <c r="U650" s="60"/>
      <c r="V650" s="74"/>
      <c r="W650" s="59"/>
    </row>
    <row r="651" ht="16.5" customHeight="1" spans="1:23" x14ac:dyDescent="0.25">
      <c r="A651" s="72"/>
      <c r="B651" s="57"/>
      <c r="C651" s="57"/>
      <c r="D651" s="58"/>
      <c r="E651" s="57"/>
      <c r="F651" s="57"/>
      <c r="G651" s="57"/>
      <c r="H651" s="57"/>
      <c r="I651" s="57"/>
      <c r="J651" s="68"/>
      <c r="K651" s="57"/>
      <c r="L651" s="60"/>
      <c r="M651" s="57"/>
      <c r="N651" s="57"/>
      <c r="O651" s="60"/>
      <c r="P651" s="59"/>
      <c r="Q651" s="60"/>
      <c r="R651" s="60"/>
      <c r="S651" s="59"/>
      <c r="T651" s="63"/>
      <c r="U651" s="60"/>
      <c r="V651" s="74"/>
      <c r="W651" s="59"/>
    </row>
    <row r="652" ht="16.5" customHeight="1" spans="1:23" x14ac:dyDescent="0.25">
      <c r="A652" s="72"/>
      <c r="B652" s="57"/>
      <c r="C652" s="57"/>
      <c r="D652" s="58"/>
      <c r="E652" s="57"/>
      <c r="F652" s="57"/>
      <c r="G652" s="57"/>
      <c r="H652" s="57"/>
      <c r="I652" s="57"/>
      <c r="J652" s="68"/>
      <c r="K652" s="57"/>
      <c r="L652" s="60"/>
      <c r="M652" s="57"/>
      <c r="N652" s="57"/>
      <c r="O652" s="60"/>
      <c r="P652" s="59"/>
      <c r="Q652" s="60"/>
      <c r="R652" s="60"/>
      <c r="S652" s="59"/>
      <c r="T652" s="63"/>
      <c r="U652" s="60"/>
      <c r="V652" s="74"/>
      <c r="W652" s="59"/>
    </row>
    <row r="653" ht="16.5" customHeight="1" spans="1:23" x14ac:dyDescent="0.25">
      <c r="A653" s="72"/>
      <c r="B653" s="57"/>
      <c r="C653" s="57"/>
      <c r="D653" s="58"/>
      <c r="E653" s="57"/>
      <c r="F653" s="57"/>
      <c r="G653" s="57"/>
      <c r="H653" s="57"/>
      <c r="I653" s="57"/>
      <c r="J653" s="68"/>
      <c r="K653" s="57"/>
      <c r="L653" s="60"/>
      <c r="M653" s="57"/>
      <c r="N653" s="57"/>
      <c r="O653" s="60"/>
      <c r="P653" s="59"/>
      <c r="Q653" s="60"/>
      <c r="R653" s="60"/>
      <c r="S653" s="59"/>
      <c r="T653" s="63"/>
      <c r="U653" s="60"/>
      <c r="V653" s="74"/>
      <c r="W653" s="59"/>
    </row>
    <row r="654" ht="16.5" customHeight="1" spans="1:23" x14ac:dyDescent="0.25">
      <c r="A654" s="72"/>
      <c r="B654" s="57"/>
      <c r="C654" s="57"/>
      <c r="D654" s="58"/>
      <c r="E654" s="57"/>
      <c r="F654" s="57"/>
      <c r="G654" s="57"/>
      <c r="H654" s="57"/>
      <c r="I654" s="57"/>
      <c r="J654" s="68"/>
      <c r="K654" s="57"/>
      <c r="L654" s="60"/>
      <c r="M654" s="57"/>
      <c r="N654" s="57"/>
      <c r="O654" s="60"/>
      <c r="P654" s="59"/>
      <c r="Q654" s="60"/>
      <c r="R654" s="60"/>
      <c r="S654" s="59"/>
      <c r="T654" s="63"/>
      <c r="U654" s="60"/>
      <c r="V654" s="74"/>
      <c r="W654" s="59"/>
    </row>
    <row r="655" ht="16.5" customHeight="1" spans="1:23" x14ac:dyDescent="0.25">
      <c r="A655" s="72"/>
      <c r="B655" s="57"/>
      <c r="C655" s="57"/>
      <c r="D655" s="58"/>
      <c r="E655" s="57"/>
      <c r="F655" s="57"/>
      <c r="G655" s="57"/>
      <c r="H655" s="57"/>
      <c r="I655" s="57"/>
      <c r="J655" s="68"/>
      <c r="K655" s="57"/>
      <c r="L655" s="60"/>
      <c r="M655" s="57"/>
      <c r="N655" s="57"/>
      <c r="O655" s="60"/>
      <c r="P655" s="59"/>
      <c r="Q655" s="60"/>
      <c r="R655" s="60"/>
      <c r="S655" s="59"/>
      <c r="T655" s="63"/>
      <c r="U655" s="60"/>
      <c r="V655" s="74"/>
      <c r="W655" s="59"/>
    </row>
    <row r="656" ht="16.5" customHeight="1" spans="1:23" x14ac:dyDescent="0.25">
      <c r="A656" s="72"/>
      <c r="B656" s="57"/>
      <c r="C656" s="57"/>
      <c r="D656" s="58"/>
      <c r="E656" s="57"/>
      <c r="F656" s="57"/>
      <c r="G656" s="57"/>
      <c r="H656" s="57"/>
      <c r="I656" s="57"/>
      <c r="J656" s="68"/>
      <c r="K656" s="57"/>
      <c r="L656" s="60"/>
      <c r="M656" s="57"/>
      <c r="N656" s="57"/>
      <c r="O656" s="60"/>
      <c r="P656" s="59"/>
      <c r="Q656" s="60"/>
      <c r="R656" s="60"/>
      <c r="S656" s="59"/>
      <c r="T656" s="63"/>
      <c r="U656" s="60"/>
      <c r="V656" s="59"/>
      <c r="W656" s="59"/>
    </row>
    <row r="657" ht="16.5" customHeight="1" spans="1:23" x14ac:dyDescent="0.25">
      <c r="A657" s="72"/>
      <c r="B657" s="57"/>
      <c r="C657" s="57"/>
      <c r="D657" s="58"/>
      <c r="E657" s="57"/>
      <c r="F657" s="57"/>
      <c r="G657" s="57"/>
      <c r="H657" s="57"/>
      <c r="I657" s="57"/>
      <c r="J657" s="68"/>
      <c r="K657" s="57"/>
      <c r="L657" s="60"/>
      <c r="M657" s="57"/>
      <c r="N657" s="57"/>
      <c r="O657" s="60"/>
      <c r="P657" s="59"/>
      <c r="Q657" s="60"/>
      <c r="R657" s="60"/>
      <c r="S657" s="59"/>
      <c r="T657" s="63"/>
      <c r="U657" s="60"/>
      <c r="V657" s="59"/>
      <c r="W657" s="59"/>
    </row>
    <row r="658" ht="16.5" customHeight="1" spans="1:23" x14ac:dyDescent="0.25">
      <c r="A658" s="72"/>
      <c r="B658" s="57"/>
      <c r="C658" s="57"/>
      <c r="D658" s="58"/>
      <c r="E658" s="57"/>
      <c r="F658" s="57"/>
      <c r="G658" s="57"/>
      <c r="H658" s="57"/>
      <c r="I658" s="57"/>
      <c r="J658" s="68"/>
      <c r="K658" s="57"/>
      <c r="L658" s="60"/>
      <c r="M658" s="57"/>
      <c r="N658" s="57"/>
      <c r="O658" s="60"/>
      <c r="P658" s="59"/>
      <c r="Q658" s="60"/>
      <c r="R658" s="60"/>
      <c r="S658" s="59"/>
      <c r="T658" s="63"/>
      <c r="U658" s="60"/>
      <c r="V658" s="59"/>
      <c r="W658" s="59"/>
    </row>
    <row r="659" ht="16.5" customHeight="1" spans="1:23" x14ac:dyDescent="0.25">
      <c r="A659" s="72"/>
      <c r="B659" s="57"/>
      <c r="C659" s="57"/>
      <c r="D659" s="58"/>
      <c r="E659" s="57"/>
      <c r="F659" s="57"/>
      <c r="G659" s="57"/>
      <c r="H659" s="57"/>
      <c r="I659" s="57"/>
      <c r="J659" s="68"/>
      <c r="K659" s="57"/>
      <c r="L659" s="60"/>
      <c r="M659" s="57"/>
      <c r="N659" s="57"/>
      <c r="O659" s="60"/>
      <c r="P659" s="59"/>
      <c r="Q659" s="60"/>
      <c r="R659" s="60"/>
      <c r="S659" s="59"/>
      <c r="T659" s="63"/>
      <c r="U659" s="60"/>
      <c r="V659" s="59"/>
      <c r="W659" s="59"/>
    </row>
    <row r="660" ht="16.5" customHeight="1" spans="1:23" x14ac:dyDescent="0.25">
      <c r="A660" s="72"/>
      <c r="B660" s="57"/>
      <c r="C660" s="57"/>
      <c r="D660" s="58"/>
      <c r="E660" s="57"/>
      <c r="F660" s="57"/>
      <c r="G660" s="57"/>
      <c r="H660" s="57"/>
      <c r="I660" s="57"/>
      <c r="J660" s="68"/>
      <c r="K660" s="57"/>
      <c r="L660" s="60"/>
      <c r="M660" s="57"/>
      <c r="N660" s="57"/>
      <c r="O660" s="60"/>
      <c r="P660" s="59"/>
      <c r="Q660" s="60"/>
      <c r="R660" s="60"/>
      <c r="S660" s="59"/>
      <c r="T660" s="63"/>
      <c r="U660" s="60"/>
      <c r="V660" s="59"/>
      <c r="W660" s="59"/>
    </row>
    <row r="661" ht="16.5" customHeight="1" spans="1:23" x14ac:dyDescent="0.25">
      <c r="A661" s="72"/>
      <c r="B661" s="57"/>
      <c r="C661" s="57"/>
      <c r="D661" s="58"/>
      <c r="E661" s="57"/>
      <c r="F661" s="57"/>
      <c r="G661" s="57"/>
      <c r="H661" s="57"/>
      <c r="I661" s="57"/>
      <c r="J661" s="68"/>
      <c r="K661" s="57"/>
      <c r="L661" s="60"/>
      <c r="M661" s="57"/>
      <c r="N661" s="57"/>
      <c r="O661" s="60"/>
      <c r="P661" s="59"/>
      <c r="Q661" s="60"/>
      <c r="R661" s="60"/>
      <c r="S661" s="59"/>
      <c r="T661" s="63"/>
      <c r="U661" s="60"/>
      <c r="V661" s="59"/>
      <c r="W661" s="59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2" customWidth="1"/>
    <col min="2" max="2" width="6.75" style="22" customWidth="1"/>
    <col min="3" max="3" width="16.375" style="22" customWidth="1"/>
    <col min="4" max="4" width="29.75" style="22" customWidth="1"/>
    <col min="5" max="7" width="6" style="22" customWidth="1"/>
    <col min="8" max="9" width="5.25" style="22" customWidth="1"/>
    <col min="10" max="10" width="10.875" style="22" customWidth="1"/>
    <col min="11" max="11" width="10.125" style="22" customWidth="1"/>
    <col min="12" max="12" width="6" style="22" customWidth="1"/>
    <col min="13" max="14" width="10.375" style="22" customWidth="1"/>
    <col min="15" max="15" width="7.875" style="22" customWidth="1"/>
    <col min="16" max="16" width="12.625" style="22" customWidth="1"/>
    <col min="17" max="17" width="12.125" style="22" customWidth="1"/>
    <col min="18" max="18" width="14.375" style="22" customWidth="1"/>
    <col min="19" max="19" width="9.875" style="22" customWidth="1"/>
    <col min="20" max="20" width="12.75" style="25" customWidth="1"/>
    <col min="21" max="21" width="12.75" style="22" customWidth="1"/>
    <col min="22" max="22" width="27.375" style="24" customWidth="1"/>
    <col min="23" max="23" width="21.625" style="24" customWidth="1"/>
    <col min="24" max="24" width="6" style="24" customWidth="1"/>
    <col min="25" max="16384" width="9.125" style="22" customWidth="1"/>
  </cols>
  <sheetData>
    <row r="1" ht="27" customHeight="1" spans="10:10" x14ac:dyDescent="0.25">
      <c r="J1" s="22"/>
    </row>
    <row r="2" ht="27.75" customHeight="1" spans="10:24" s="27" customFormat="1" x14ac:dyDescent="0.25">
      <c r="J2" s="33"/>
      <c r="L2" s="33"/>
      <c r="O2" s="33"/>
      <c r="P2" s="33"/>
      <c r="Q2" s="35"/>
      <c r="R2" s="35">
        <f>SUM(R4:R574)</f>
      </c>
      <c r="S2" s="24" t="s">
        <v>786</v>
      </c>
      <c r="T2" s="35">
        <f>SUM(T4:T574)</f>
      </c>
      <c r="U2" s="35">
        <f>SUM(U4:U574)</f>
      </c>
      <c r="W2" s="29"/>
      <c r="X2" s="29"/>
    </row>
    <row r="3" ht="35.25" customHeight="1" spans="1:24" s="39" customFormat="1" x14ac:dyDescent="0.25">
      <c r="A3" s="43" t="s">
        <v>0</v>
      </c>
      <c r="B3" s="43" t="s">
        <v>13</v>
      </c>
      <c r="C3" s="43" t="s">
        <v>16</v>
      </c>
      <c r="D3" s="43" t="s">
        <v>22</v>
      </c>
      <c r="E3" s="43" t="s">
        <v>237</v>
      </c>
      <c r="F3" s="43" t="s">
        <v>241</v>
      </c>
      <c r="G3" s="46" t="s">
        <v>4</v>
      </c>
      <c r="H3" s="43" t="s">
        <v>2</v>
      </c>
      <c r="I3" s="43" t="s">
        <v>3</v>
      </c>
      <c r="J3" s="47" t="s">
        <v>767</v>
      </c>
      <c r="K3" s="65" t="s">
        <v>787</v>
      </c>
      <c r="L3" s="47" t="s">
        <v>768</v>
      </c>
      <c r="M3" s="66" t="s">
        <v>770</v>
      </c>
      <c r="N3" s="66" t="s">
        <v>788</v>
      </c>
      <c r="O3" s="49" t="s">
        <v>771</v>
      </c>
      <c r="P3" s="49" t="s">
        <v>789</v>
      </c>
      <c r="Q3" s="49" t="s">
        <v>790</v>
      </c>
      <c r="R3" s="67" t="s">
        <v>791</v>
      </c>
      <c r="S3" s="49" t="s">
        <v>777</v>
      </c>
      <c r="T3" s="52" t="s">
        <v>792</v>
      </c>
      <c r="U3" s="67" t="s">
        <v>793</v>
      </c>
      <c r="V3" s="57" t="s">
        <v>20</v>
      </c>
      <c r="W3" s="68" t="s">
        <v>261</v>
      </c>
      <c r="X3" s="69"/>
    </row>
    <row r="4" ht="16.5" customHeight="1" spans="1:23" x14ac:dyDescent="0.25">
      <c r="A4" s="70"/>
      <c r="B4" s="57">
        <f>IFERROR(VLOOKUP($A:$A,CS!$A:$AK,3,FALSE),"")</f>
      </c>
      <c r="C4" s="57">
        <f>IFERROR(VLOOKUP($A:$A,CS!$A:$AK,4,FALSE),"")</f>
      </c>
      <c r="D4" s="57">
        <f>IFERROR(VLOOKUP($A:$A,CS!$A:$AK,5,FALSE),"")</f>
      </c>
      <c r="E4" s="57">
        <f>IFERROR(VLOOKUP($A:$A,CS!$A:$AK,7,FALSE),"")</f>
      </c>
      <c r="F4" s="57">
        <f>IFERROR(VLOOKUP($A:$A,CS!$A:$AK,8,FALSE),"")</f>
      </c>
      <c r="G4" s="57">
        <f>IFERROR(VLOOKUP($A:$A,CS!$A:$AK,10,FALSE),"")</f>
      </c>
      <c r="H4" s="57">
        <f>IFERROR(VLOOKUP($A:$A,CS!$A:$AK,14,FALSE),"")</f>
      </c>
      <c r="I4" s="57">
        <f>IFERROR(VLOOKUP($A:$A,CS!$A:$AK,15,FALSE),"")</f>
      </c>
      <c r="J4" s="57">
        <f>IFERROR(VLOOKUP($A:$A,CS!$A:$AK,18,FALSE),"")</f>
      </c>
      <c r="K4" s="57">
        <f>IFERROR(VLOOKUP($A:$A,CS!$A:$AK,19,FALSE),"")</f>
      </c>
      <c r="L4" s="57">
        <f>IFERROR(VLOOKUP($A:$A,CS!$A:$AK,20,FALSE),"")</f>
      </c>
      <c r="M4" s="57">
        <f>IFERROR(VLOOKUP($A:$A,CS!$A:$AK,22,FALSE),"")</f>
      </c>
      <c r="N4" s="57">
        <f>IFERROR(VLOOKUP($A:$A,CS!$A:$AK,19,FALSE),"")</f>
      </c>
      <c r="O4" s="57">
        <f>IFERROR(VLOOKUP($A:$A,CS!$A:$AK,23,FALSE),"")</f>
      </c>
      <c r="P4" s="57">
        <f>IFERROR(VLOOKUP($A:$A,CS!$A:$AK,24,FALSE),"")</f>
      </c>
      <c r="Q4" s="57">
        <f>IFERROR(VLOOKUP($A:$A,CS!$A:$AK,25,FALSE),"")</f>
      </c>
      <c r="R4" s="57">
        <f>IFERROR(VLOOKUP($A:$A,CS!$A:$AK,26,FALSE),"")</f>
      </c>
      <c r="S4" s="57">
        <f>IFERROR(VLOOKUP($A:$A,CS!$A:$AK,29,FALSE),"")</f>
      </c>
      <c r="T4" s="57">
        <f>IFERROR(VLOOKUP($A:$A,CS!$A:$AK,33,FALSE),"")</f>
      </c>
      <c r="U4" s="57">
        <f>IFERROR(VLOOKUP($A:$A,CS!$A:$AK,34,FALSE),"")</f>
      </c>
      <c r="V4" s="57">
        <f>IFERROR(VLOOKUP($A:$A,CS!$A:$AK,35,FALSE),"")</f>
      </c>
      <c r="W4" s="57">
        <f>IFERROR(VLOOKUP($A:$A,CS!$A:$AK,36,FALSE),"")</f>
      </c>
    </row>
    <row r="5" ht="16.5" customHeight="1" spans="1:23" x14ac:dyDescent="0.25">
      <c r="A5" s="3"/>
      <c r="B5" s="57">
        <f>IFERROR(VLOOKUP($A:$A,CS!$A:$AK,3,FALSE),"")</f>
      </c>
      <c r="C5" s="57">
        <f>IFERROR(VLOOKUP($A:$A,CS!$A:$AK,4,FALSE),"")</f>
      </c>
      <c r="D5" s="57">
        <f>IFERROR(VLOOKUP($A:$A,CS!$A:$AK,5,FALSE),"")</f>
      </c>
      <c r="E5" s="57">
        <f>IFERROR(VLOOKUP($A:$A,CS!$A:$AK,7,FALSE),"")</f>
      </c>
      <c r="F5" s="57">
        <f>IFERROR(VLOOKUP($A:$A,CS!$A:$AK,8,FALSE),"")</f>
      </c>
      <c r="G5" s="57">
        <f>IFERROR(VLOOKUP($A:$A,CS!$A:$AK,10,FALSE),"")</f>
      </c>
      <c r="H5" s="57">
        <f>IFERROR(VLOOKUP($A:$A,CS!$A:$AK,14,FALSE),"")</f>
      </c>
      <c r="I5" s="57">
        <f>IFERROR(VLOOKUP($A:$A,CS!$A:$AK,15,FALSE),"")</f>
      </c>
      <c r="J5" s="57">
        <f>IFERROR(VLOOKUP($A:$A,CS!$A:$AK,18,FALSE),"")</f>
      </c>
      <c r="K5" s="57">
        <f>IFERROR(VLOOKUP($A:$A,CS!$A:$AK,19,FALSE),"")</f>
      </c>
      <c r="L5" s="57">
        <f>IFERROR(VLOOKUP($A:$A,CS!$A:$AK,20,FALSE),"")</f>
      </c>
      <c r="M5" s="57">
        <f>IFERROR(VLOOKUP($A:$A,CS!$A:$AK,22,FALSE),"")</f>
      </c>
      <c r="N5" s="57">
        <f>IFERROR(VLOOKUP($A:$A,CS!$A:$AK,19,FALSE),"")</f>
      </c>
      <c r="O5" s="57">
        <f>IFERROR(VLOOKUP($A:$A,CS!$A:$AK,23,FALSE),"")</f>
      </c>
      <c r="P5" s="57">
        <f>IFERROR(VLOOKUP($A:$A,CS!$A:$AK,24,FALSE),"")</f>
      </c>
      <c r="Q5" s="57">
        <f>IFERROR(VLOOKUP($A:$A,CS!$A:$AK,25,FALSE),"")</f>
      </c>
      <c r="R5" s="57">
        <f>IFERROR(VLOOKUP($A:$A,CS!$A:$AK,26,FALSE),"")</f>
      </c>
      <c r="S5" s="57">
        <f>IFERROR(VLOOKUP($A:$A,CS!$A:$AK,29,FALSE),"")</f>
      </c>
      <c r="T5" s="57">
        <f>IFERROR(VLOOKUP($A:$A,CS!$A:$AK,33,FALSE),"")</f>
      </c>
      <c r="U5" s="57">
        <f>IFERROR(VLOOKUP($A:$A,CS!$A:$AK,34,FALSE),"")</f>
      </c>
      <c r="V5" s="57">
        <f>IFERROR(VLOOKUP($A:$A,CS!$A:$AK,35,FALSE),"")</f>
      </c>
      <c r="W5" s="57">
        <f>IFERROR(VLOOKUP($A:$A,CS!$A:$AK,36,FALSE),"")</f>
      </c>
    </row>
    <row r="6" ht="16.5" customHeight="1" spans="1:23" x14ac:dyDescent="0.25">
      <c r="A6" s="3"/>
      <c r="B6" s="57">
        <f>IFERROR(VLOOKUP($A:$A,CS!$A:$AK,3,FALSE),"")</f>
      </c>
      <c r="C6" s="57">
        <f>IFERROR(VLOOKUP($A:$A,CS!$A:$AK,4,FALSE),"")</f>
      </c>
      <c r="D6" s="57">
        <f>IFERROR(VLOOKUP($A:$A,CS!$A:$AK,5,FALSE),"")</f>
      </c>
      <c r="E6" s="57">
        <f>IFERROR(VLOOKUP($A:$A,CS!$A:$AK,7,FALSE),"")</f>
      </c>
      <c r="F6" s="57">
        <f>IFERROR(VLOOKUP($A:$A,CS!$A:$AK,8,FALSE),"")</f>
      </c>
      <c r="G6" s="57">
        <f>IFERROR(VLOOKUP($A:$A,CS!$A:$AK,10,FALSE),"")</f>
      </c>
      <c r="H6" s="57">
        <f>IFERROR(VLOOKUP($A:$A,CS!$A:$AK,14,FALSE),"")</f>
      </c>
      <c r="I6" s="57">
        <f>IFERROR(VLOOKUP($A:$A,CS!$A:$AK,15,FALSE),"")</f>
      </c>
      <c r="J6" s="57">
        <f>IFERROR(VLOOKUP($A:$A,CS!$A:$AK,18,FALSE),"")</f>
      </c>
      <c r="K6" s="57">
        <f>IFERROR(VLOOKUP($A:$A,CS!$A:$AK,19,FALSE),"")</f>
      </c>
      <c r="L6" s="57">
        <f>IFERROR(VLOOKUP($A:$A,CS!$A:$AK,20,FALSE),"")</f>
      </c>
      <c r="M6" s="57">
        <f>IFERROR(VLOOKUP($A:$A,CS!$A:$AK,22,FALSE),"")</f>
      </c>
      <c r="N6" s="57">
        <f>IFERROR(VLOOKUP($A:$A,CS!$A:$AK,19,FALSE),"")</f>
      </c>
      <c r="O6" s="57">
        <f>IFERROR(VLOOKUP($A:$A,CS!$A:$AK,23,FALSE),"")</f>
      </c>
      <c r="P6" s="57">
        <f>IFERROR(VLOOKUP($A:$A,CS!$A:$AK,24,FALSE),"")</f>
      </c>
      <c r="Q6" s="57">
        <f>IFERROR(VLOOKUP($A:$A,CS!$A:$AK,25,FALSE),"")</f>
      </c>
      <c r="R6" s="57">
        <f>IFERROR(VLOOKUP($A:$A,CS!$A:$AK,26,FALSE),"")</f>
      </c>
      <c r="S6" s="57">
        <f>IFERROR(VLOOKUP($A:$A,CS!$A:$AK,29,FALSE),"")</f>
      </c>
      <c r="T6" s="57">
        <f>IFERROR(VLOOKUP($A:$A,CS!$A:$AK,33,FALSE),"")</f>
      </c>
      <c r="U6" s="57">
        <f>IFERROR(VLOOKUP($A:$A,CS!$A:$AK,34,FALSE),"")</f>
      </c>
      <c r="V6" s="57">
        <f>IFERROR(VLOOKUP($A:$A,CS!$A:$AK,35,FALSE),"")</f>
      </c>
      <c r="W6" s="57">
        <f>IFERROR(VLOOKUP($A:$A,CS!$A:$AK,36,FALSE),"")</f>
      </c>
    </row>
    <row r="7" ht="16.5" customHeight="1" spans="1:23" x14ac:dyDescent="0.25">
      <c r="A7" s="3"/>
      <c r="B7" s="57">
        <f>IFERROR(VLOOKUP($A:$A,CS!$A:$AK,3,FALSE),"")</f>
      </c>
      <c r="C7" s="57">
        <f>IFERROR(VLOOKUP($A:$A,CS!$A:$AK,4,FALSE),"")</f>
      </c>
      <c r="D7" s="57">
        <f>IFERROR(VLOOKUP($A:$A,CS!$A:$AK,5,FALSE),"")</f>
      </c>
      <c r="E7" s="57">
        <f>IFERROR(VLOOKUP($A:$A,CS!$A:$AK,7,FALSE),"")</f>
      </c>
      <c r="F7" s="57">
        <f>IFERROR(VLOOKUP($A:$A,CS!$A:$AK,8,FALSE),"")</f>
      </c>
      <c r="G7" s="57">
        <f>IFERROR(VLOOKUP($A:$A,CS!$A:$AK,10,FALSE),"")</f>
      </c>
      <c r="H7" s="57">
        <f>IFERROR(VLOOKUP($A:$A,CS!$A:$AK,14,FALSE),"")</f>
      </c>
      <c r="I7" s="57">
        <f>IFERROR(VLOOKUP($A:$A,CS!$A:$AK,15,FALSE),"")</f>
      </c>
      <c r="J7" s="57">
        <f>IFERROR(VLOOKUP($A:$A,CS!$A:$AK,18,FALSE),"")</f>
      </c>
      <c r="K7" s="57">
        <f>IFERROR(VLOOKUP($A:$A,CS!$A:$AK,19,FALSE),"")</f>
      </c>
      <c r="L7" s="57">
        <f>IFERROR(VLOOKUP($A:$A,CS!$A:$AK,20,FALSE),"")</f>
      </c>
      <c r="M7" s="57">
        <f>IFERROR(VLOOKUP($A:$A,CS!$A:$AK,22,FALSE),"")</f>
      </c>
      <c r="N7" s="57">
        <f>IFERROR(VLOOKUP($A:$A,CS!$A:$AK,19,FALSE),"")</f>
      </c>
      <c r="O7" s="57">
        <f>IFERROR(VLOOKUP($A:$A,CS!$A:$AK,23,FALSE),"")</f>
      </c>
      <c r="P7" s="57">
        <f>IFERROR(VLOOKUP($A:$A,CS!$A:$AK,24,FALSE),"")</f>
      </c>
      <c r="Q7" s="57">
        <f>IFERROR(VLOOKUP($A:$A,CS!$A:$AK,25,FALSE),"")</f>
      </c>
      <c r="R7" s="57">
        <f>IFERROR(VLOOKUP($A:$A,CS!$A:$AK,26,FALSE),"")</f>
      </c>
      <c r="S7" s="57">
        <f>IFERROR(VLOOKUP($A:$A,CS!$A:$AK,29,FALSE),"")</f>
      </c>
      <c r="T7" s="57">
        <f>IFERROR(VLOOKUP($A:$A,CS!$A:$AK,33,FALSE),"")</f>
      </c>
      <c r="U7" s="57">
        <f>IFERROR(VLOOKUP($A:$A,CS!$A:$AK,34,FALSE),"")</f>
      </c>
      <c r="V7" s="57">
        <f>IFERROR(VLOOKUP($A:$A,CS!$A:$AK,35,FALSE),"")</f>
      </c>
      <c r="W7" s="57">
        <f>IFERROR(VLOOKUP($A:$A,CS!$A:$AK,36,FALSE),"")</f>
      </c>
    </row>
    <row r="8" ht="16.5" customHeight="1" spans="1:23" x14ac:dyDescent="0.25">
      <c r="A8" s="3"/>
      <c r="B8" s="57">
        <f>IFERROR(VLOOKUP($A:$A,CS!$A:$AK,3,FALSE),"")</f>
      </c>
      <c r="C8" s="57">
        <f>IFERROR(VLOOKUP($A:$A,CS!$A:$AK,4,FALSE),"")</f>
      </c>
      <c r="D8" s="57">
        <f>IFERROR(VLOOKUP($A:$A,CS!$A:$AK,5,FALSE),"")</f>
      </c>
      <c r="E8" s="57">
        <f>IFERROR(VLOOKUP($A:$A,CS!$A:$AK,7,FALSE),"")</f>
      </c>
      <c r="F8" s="57">
        <f>IFERROR(VLOOKUP($A:$A,CS!$A:$AK,8,FALSE),"")</f>
      </c>
      <c r="G8" s="57">
        <f>IFERROR(VLOOKUP($A:$A,CS!$A:$AK,10,FALSE),"")</f>
      </c>
      <c r="H8" s="57">
        <f>IFERROR(VLOOKUP($A:$A,CS!$A:$AK,14,FALSE),"")</f>
      </c>
      <c r="I8" s="57">
        <f>IFERROR(VLOOKUP($A:$A,CS!$A:$AK,15,FALSE),"")</f>
      </c>
      <c r="J8" s="57">
        <f>IFERROR(VLOOKUP($A:$A,CS!$A:$AK,18,FALSE),"")</f>
      </c>
      <c r="K8" s="57">
        <f>IFERROR(VLOOKUP($A:$A,CS!$A:$AK,19,FALSE),"")</f>
      </c>
      <c r="L8" s="57">
        <f>IFERROR(VLOOKUP($A:$A,CS!$A:$AK,20,FALSE),"")</f>
      </c>
      <c r="M8" s="57">
        <f>IFERROR(VLOOKUP($A:$A,CS!$A:$AK,22,FALSE),"")</f>
      </c>
      <c r="N8" s="57">
        <f>IFERROR(VLOOKUP($A:$A,CS!$A:$AK,19,FALSE),"")</f>
      </c>
      <c r="O8" s="57">
        <f>IFERROR(VLOOKUP($A:$A,CS!$A:$AK,23,FALSE),"")</f>
      </c>
      <c r="P8" s="57">
        <f>IFERROR(VLOOKUP($A:$A,CS!$A:$AK,24,FALSE),"")</f>
      </c>
      <c r="Q8" s="57">
        <f>IFERROR(VLOOKUP($A:$A,CS!$A:$AK,25,FALSE),"")</f>
      </c>
      <c r="R8" s="57">
        <f>IFERROR(VLOOKUP($A:$A,CS!$A:$AK,26,FALSE),"")</f>
      </c>
      <c r="S8" s="57">
        <f>IFERROR(VLOOKUP($A:$A,CS!$A:$AK,29,FALSE),"")</f>
      </c>
      <c r="T8" s="57">
        <f>IFERROR(VLOOKUP($A:$A,CS!$A:$AK,33,FALSE),"")</f>
      </c>
      <c r="U8" s="57">
        <f>IFERROR(VLOOKUP($A:$A,CS!$A:$AK,34,FALSE),"")</f>
      </c>
      <c r="V8" s="57">
        <f>IFERROR(VLOOKUP($A:$A,CS!$A:$AK,35,FALSE),"")</f>
      </c>
      <c r="W8" s="57">
        <f>IFERROR(VLOOKUP($A:$A,CS!$A:$AK,36,FALSE),"")</f>
      </c>
    </row>
    <row r="9" ht="16.5" customHeight="1" spans="1:23" x14ac:dyDescent="0.25">
      <c r="A9" s="3"/>
      <c r="B9" s="57">
        <f>IFERROR(VLOOKUP($A:$A,CS!$A:$AK,3,FALSE),"")</f>
      </c>
      <c r="C9" s="57">
        <f>IFERROR(VLOOKUP($A:$A,CS!$A:$AK,4,FALSE),"")</f>
      </c>
      <c r="D9" s="57">
        <f>IFERROR(VLOOKUP($A:$A,CS!$A:$AK,5,FALSE),"")</f>
      </c>
      <c r="E9" s="57">
        <f>IFERROR(VLOOKUP($A:$A,CS!$A:$AK,7,FALSE),"")</f>
      </c>
      <c r="F9" s="57">
        <f>IFERROR(VLOOKUP($A:$A,CS!$A:$AK,8,FALSE),"")</f>
      </c>
      <c r="G9" s="57">
        <f>IFERROR(VLOOKUP($A:$A,CS!$A:$AK,10,FALSE),"")</f>
      </c>
      <c r="H9" s="57">
        <f>IFERROR(VLOOKUP($A:$A,CS!$A:$AK,14,FALSE),"")</f>
      </c>
      <c r="I9" s="57">
        <f>IFERROR(VLOOKUP($A:$A,CS!$A:$AK,15,FALSE),"")</f>
      </c>
      <c r="J9" s="57">
        <f>IFERROR(VLOOKUP($A:$A,CS!$A:$AK,18,FALSE),"")</f>
      </c>
      <c r="K9" s="57">
        <f>IFERROR(VLOOKUP($A:$A,CS!$A:$AK,19,FALSE),"")</f>
      </c>
      <c r="L9" s="57">
        <f>IFERROR(VLOOKUP($A:$A,CS!$A:$AK,20,FALSE),"")</f>
      </c>
      <c r="M9" s="57">
        <f>IFERROR(VLOOKUP($A:$A,CS!$A:$AK,22,FALSE),"")</f>
      </c>
      <c r="N9" s="57">
        <f>IFERROR(VLOOKUP($A:$A,CS!$A:$AK,19,FALSE),"")</f>
      </c>
      <c r="O9" s="57">
        <f>IFERROR(VLOOKUP($A:$A,CS!$A:$AK,23,FALSE),"")</f>
      </c>
      <c r="P9" s="57">
        <f>IFERROR(VLOOKUP($A:$A,CS!$A:$AK,24,FALSE),"")</f>
      </c>
      <c r="Q9" s="57">
        <f>IFERROR(VLOOKUP($A:$A,CS!$A:$AK,25,FALSE),"")</f>
      </c>
      <c r="R9" s="57">
        <f>IFERROR(VLOOKUP($A:$A,CS!$A:$AK,26,FALSE),"")</f>
      </c>
      <c r="S9" s="57">
        <f>IFERROR(VLOOKUP($A:$A,CS!$A:$AK,29,FALSE),"")</f>
      </c>
      <c r="T9" s="57">
        <f>IFERROR(VLOOKUP($A:$A,CS!$A:$AK,33,FALSE),"")</f>
      </c>
      <c r="U9" s="57">
        <f>IFERROR(VLOOKUP($A:$A,CS!$A:$AK,34,FALSE),"")</f>
      </c>
      <c r="V9" s="57">
        <f>IFERROR(VLOOKUP($A:$A,CS!$A:$AK,35,FALSE),"")</f>
      </c>
      <c r="W9" s="57">
        <f>IFERROR(VLOOKUP($A:$A,CS!$A:$AK,36,FALSE),"")</f>
      </c>
    </row>
    <row r="10" ht="16.5" customHeight="1" spans="1:23" x14ac:dyDescent="0.25">
      <c r="A10" s="3"/>
      <c r="B10" s="57">
        <f>IFERROR(VLOOKUP($A:$A,CS!$A:$AK,3,FALSE),"")</f>
      </c>
      <c r="C10" s="57">
        <f>IFERROR(VLOOKUP($A:$A,CS!$A:$AK,4,FALSE),"")</f>
      </c>
      <c r="D10" s="57">
        <f>IFERROR(VLOOKUP($A:$A,CS!$A:$AK,5,FALSE),"")</f>
      </c>
      <c r="E10" s="57">
        <f>IFERROR(VLOOKUP($A:$A,CS!$A:$AK,7,FALSE),"")</f>
      </c>
      <c r="F10" s="57">
        <f>IFERROR(VLOOKUP($A:$A,CS!$A:$AK,8,FALSE),"")</f>
      </c>
      <c r="G10" s="57">
        <f>IFERROR(VLOOKUP($A:$A,CS!$A:$AK,10,FALSE),"")</f>
      </c>
      <c r="H10" s="57">
        <f>IFERROR(VLOOKUP($A:$A,CS!$A:$AK,14,FALSE),"")</f>
      </c>
      <c r="I10" s="57">
        <f>IFERROR(VLOOKUP($A:$A,CS!$A:$AK,15,FALSE),"")</f>
      </c>
      <c r="J10" s="57">
        <f>IFERROR(VLOOKUP($A:$A,CS!$A:$AK,18,FALSE),"")</f>
      </c>
      <c r="K10" s="57">
        <f>IFERROR(VLOOKUP($A:$A,CS!$A:$AK,19,FALSE),"")</f>
      </c>
      <c r="L10" s="57">
        <f>IFERROR(VLOOKUP($A:$A,CS!$A:$AK,20,FALSE),"")</f>
      </c>
      <c r="M10" s="57">
        <f>IFERROR(VLOOKUP($A:$A,CS!$A:$AK,22,FALSE),"")</f>
      </c>
      <c r="N10" s="57">
        <f>IFERROR(VLOOKUP($A:$A,CS!$A:$AK,19,FALSE),"")</f>
      </c>
      <c r="O10" s="57">
        <f>IFERROR(VLOOKUP($A:$A,CS!$A:$AK,23,FALSE),"")</f>
      </c>
      <c r="P10" s="57">
        <f>IFERROR(VLOOKUP($A:$A,CS!$A:$AK,24,FALSE),"")</f>
      </c>
      <c r="Q10" s="57">
        <f>IFERROR(VLOOKUP($A:$A,CS!$A:$AK,25,FALSE),"")</f>
      </c>
      <c r="R10" s="57">
        <f>IFERROR(VLOOKUP($A:$A,CS!$A:$AK,26,FALSE),"")</f>
      </c>
      <c r="S10" s="57">
        <f>IFERROR(VLOOKUP($A:$A,CS!$A:$AK,29,FALSE),"")</f>
      </c>
      <c r="T10" s="57">
        <f>IFERROR(VLOOKUP($A:$A,CS!$A:$AK,33,FALSE),"")</f>
      </c>
      <c r="U10" s="57">
        <f>IFERROR(VLOOKUP($A:$A,CS!$A:$AK,34,FALSE),"")</f>
      </c>
      <c r="V10" s="57">
        <f>IFERROR(VLOOKUP($A:$A,CS!$A:$AK,35,FALSE),"")</f>
      </c>
      <c r="W10" s="57">
        <f>IFERROR(VLOOKUP($A:$A,CS!$A:$AK,36,FALSE),"")</f>
      </c>
    </row>
    <row r="11" ht="16.5" customHeight="1" spans="1:23" x14ac:dyDescent="0.25">
      <c r="A11" s="3"/>
      <c r="B11" s="57">
        <f>IFERROR(VLOOKUP($A:$A,CS!$A:$AK,3,FALSE),"")</f>
      </c>
      <c r="C11" s="57">
        <f>IFERROR(VLOOKUP($A:$A,CS!$A:$AK,4,FALSE),"")</f>
      </c>
      <c r="D11" s="57">
        <f>IFERROR(VLOOKUP($A:$A,CS!$A:$AK,5,FALSE),"")</f>
      </c>
      <c r="E11" s="57">
        <f>IFERROR(VLOOKUP($A:$A,CS!$A:$AK,7,FALSE),"")</f>
      </c>
      <c r="F11" s="57">
        <f>IFERROR(VLOOKUP($A:$A,CS!$A:$AK,8,FALSE),"")</f>
      </c>
      <c r="G11" s="57">
        <f>IFERROR(VLOOKUP($A:$A,CS!$A:$AK,10,FALSE),"")</f>
      </c>
      <c r="H11" s="57">
        <f>IFERROR(VLOOKUP($A:$A,CS!$A:$AK,14,FALSE),"")</f>
      </c>
      <c r="I11" s="57">
        <f>IFERROR(VLOOKUP($A:$A,CS!$A:$AK,15,FALSE),"")</f>
      </c>
      <c r="J11" s="57">
        <f>IFERROR(VLOOKUP($A:$A,CS!$A:$AK,18,FALSE),"")</f>
      </c>
      <c r="K11" s="57">
        <f>IFERROR(VLOOKUP($A:$A,CS!$A:$AK,19,FALSE),"")</f>
      </c>
      <c r="L11" s="57">
        <f>IFERROR(VLOOKUP($A:$A,CS!$A:$AK,20,FALSE),"")</f>
      </c>
      <c r="M11" s="57">
        <f>IFERROR(VLOOKUP($A:$A,CS!$A:$AK,22,FALSE),"")</f>
      </c>
      <c r="N11" s="57">
        <f>IFERROR(VLOOKUP($A:$A,CS!$A:$AK,19,FALSE),"")</f>
      </c>
      <c r="O11" s="57">
        <f>IFERROR(VLOOKUP($A:$A,CS!$A:$AK,23,FALSE),"")</f>
      </c>
      <c r="P11" s="57">
        <f>IFERROR(VLOOKUP($A:$A,CS!$A:$AK,24,FALSE),"")</f>
      </c>
      <c r="Q11" s="57">
        <f>IFERROR(VLOOKUP($A:$A,CS!$A:$AK,25,FALSE),"")</f>
      </c>
      <c r="R11" s="57">
        <f>IFERROR(VLOOKUP($A:$A,CS!$A:$AK,26,FALSE),"")</f>
      </c>
      <c r="S11" s="57">
        <f>IFERROR(VLOOKUP($A:$A,CS!$A:$AK,29,FALSE),"")</f>
      </c>
      <c r="T11" s="57">
        <f>IFERROR(VLOOKUP($A:$A,CS!$A:$AK,33,FALSE),"")</f>
      </c>
      <c r="U11" s="57">
        <f>IFERROR(VLOOKUP($A:$A,CS!$A:$AK,34,FALSE),"")</f>
      </c>
      <c r="V11" s="57">
        <f>IFERROR(VLOOKUP($A:$A,CS!$A:$AK,35,FALSE),"")</f>
      </c>
      <c r="W11" s="57">
        <f>IFERROR(VLOOKUP($A:$A,CS!$A:$AK,36,FALSE),"")</f>
      </c>
    </row>
    <row r="12" ht="16.5" customHeight="1" spans="1:23" x14ac:dyDescent="0.25">
      <c r="A12" s="3"/>
      <c r="B12" s="57">
        <f>IFERROR(VLOOKUP($A:$A,CS!$A:$AK,3,FALSE),"")</f>
      </c>
      <c r="C12" s="57">
        <f>IFERROR(VLOOKUP($A:$A,CS!$A:$AK,4,FALSE),"")</f>
      </c>
      <c r="D12" s="57">
        <f>IFERROR(VLOOKUP($A:$A,CS!$A:$AK,5,FALSE),"")</f>
      </c>
      <c r="E12" s="57">
        <f>IFERROR(VLOOKUP($A:$A,CS!$A:$AK,7,FALSE),"")</f>
      </c>
      <c r="F12" s="57">
        <f>IFERROR(VLOOKUP($A:$A,CS!$A:$AK,8,FALSE),"")</f>
      </c>
      <c r="G12" s="57">
        <f>IFERROR(VLOOKUP($A:$A,CS!$A:$AK,10,FALSE),"")</f>
      </c>
      <c r="H12" s="57">
        <f>IFERROR(VLOOKUP($A:$A,CS!$A:$AK,14,FALSE),"")</f>
      </c>
      <c r="I12" s="57">
        <f>IFERROR(VLOOKUP($A:$A,CS!$A:$AK,15,FALSE),"")</f>
      </c>
      <c r="J12" s="57">
        <f>IFERROR(VLOOKUP($A:$A,CS!$A:$AK,18,FALSE),"")</f>
      </c>
      <c r="K12" s="57">
        <f>IFERROR(VLOOKUP($A:$A,CS!$A:$AK,19,FALSE),"")</f>
      </c>
      <c r="L12" s="57">
        <f>IFERROR(VLOOKUP($A:$A,CS!$A:$AK,20,FALSE),"")</f>
      </c>
      <c r="M12" s="57">
        <f>IFERROR(VLOOKUP($A:$A,CS!$A:$AK,22,FALSE),"")</f>
      </c>
      <c r="N12" s="57">
        <f>IFERROR(VLOOKUP($A:$A,CS!$A:$AK,19,FALSE),"")</f>
      </c>
      <c r="O12" s="57">
        <f>IFERROR(VLOOKUP($A:$A,CS!$A:$AK,23,FALSE),"")</f>
      </c>
      <c r="P12" s="57">
        <f>IFERROR(VLOOKUP($A:$A,CS!$A:$AK,24,FALSE),"")</f>
      </c>
      <c r="Q12" s="57">
        <f>IFERROR(VLOOKUP($A:$A,CS!$A:$AK,25,FALSE),"")</f>
      </c>
      <c r="R12" s="57">
        <f>IFERROR(VLOOKUP($A:$A,CS!$A:$AK,26,FALSE),"")</f>
      </c>
      <c r="S12" s="57">
        <f>IFERROR(VLOOKUP($A:$A,CS!$A:$AK,29,FALSE),"")</f>
      </c>
      <c r="T12" s="57">
        <f>IFERROR(VLOOKUP($A:$A,CS!$A:$AK,33,FALSE),"")</f>
      </c>
      <c r="U12" s="57">
        <f>IFERROR(VLOOKUP($A:$A,CS!$A:$AK,34,FALSE),"")</f>
      </c>
      <c r="V12" s="57">
        <f>IFERROR(VLOOKUP($A:$A,CS!$A:$AK,35,FALSE),"")</f>
      </c>
      <c r="W12" s="57">
        <f>IFERROR(VLOOKUP($A:$A,CS!$A:$AK,36,FALSE),"")</f>
      </c>
    </row>
    <row r="13" ht="16.5" customHeight="1" spans="1:23" x14ac:dyDescent="0.25">
      <c r="A13" s="3"/>
      <c r="B13" s="57">
        <f>IFERROR(VLOOKUP($A:$A,CS!$A:$AK,3,FALSE),"")</f>
      </c>
      <c r="C13" s="57">
        <f>IFERROR(VLOOKUP($A:$A,CS!$A:$AK,4,FALSE),"")</f>
      </c>
      <c r="D13" s="57">
        <f>IFERROR(VLOOKUP($A:$A,CS!$A:$AK,5,FALSE),"")</f>
      </c>
      <c r="E13" s="57">
        <f>IFERROR(VLOOKUP($A:$A,CS!$A:$AK,7,FALSE),"")</f>
      </c>
      <c r="F13" s="57">
        <f>IFERROR(VLOOKUP($A:$A,CS!$A:$AK,8,FALSE),"")</f>
      </c>
      <c r="G13" s="57">
        <f>IFERROR(VLOOKUP($A:$A,CS!$A:$AK,10,FALSE),"")</f>
      </c>
      <c r="H13" s="57">
        <f>IFERROR(VLOOKUP($A:$A,CS!$A:$AK,14,FALSE),"")</f>
      </c>
      <c r="I13" s="57">
        <f>IFERROR(VLOOKUP($A:$A,CS!$A:$AK,15,FALSE),"")</f>
      </c>
      <c r="J13" s="57">
        <f>IFERROR(VLOOKUP($A:$A,CS!$A:$AK,18,FALSE),"")</f>
      </c>
      <c r="K13" s="57">
        <f>IFERROR(VLOOKUP($A:$A,CS!$A:$AK,19,FALSE),"")</f>
      </c>
      <c r="L13" s="57">
        <f>IFERROR(VLOOKUP($A:$A,CS!$A:$AK,20,FALSE),"")</f>
      </c>
      <c r="M13" s="57">
        <f>IFERROR(VLOOKUP($A:$A,CS!$A:$AK,22,FALSE),"")</f>
      </c>
      <c r="N13" s="57">
        <f>IFERROR(VLOOKUP($A:$A,CS!$A:$AK,19,FALSE),"")</f>
      </c>
      <c r="O13" s="57">
        <f>IFERROR(VLOOKUP($A:$A,CS!$A:$AK,23,FALSE),"")</f>
      </c>
      <c r="P13" s="57">
        <f>IFERROR(VLOOKUP($A:$A,CS!$A:$AK,24,FALSE),"")</f>
      </c>
      <c r="Q13" s="57">
        <f>IFERROR(VLOOKUP($A:$A,CS!$A:$AK,25,FALSE),"")</f>
      </c>
      <c r="R13" s="57">
        <f>IFERROR(VLOOKUP($A:$A,CS!$A:$AK,26,FALSE),"")</f>
      </c>
      <c r="S13" s="57">
        <f>IFERROR(VLOOKUP($A:$A,CS!$A:$AK,29,FALSE),"")</f>
      </c>
      <c r="T13" s="57">
        <f>IFERROR(VLOOKUP($A:$A,CS!$A:$AK,33,FALSE),"")</f>
      </c>
      <c r="U13" s="57">
        <f>IFERROR(VLOOKUP($A:$A,CS!$A:$AK,34,FALSE),"")</f>
      </c>
      <c r="V13" s="57">
        <f>IFERROR(VLOOKUP($A:$A,CS!$A:$AK,35,FALSE),"")</f>
      </c>
      <c r="W13" s="57">
        <f>IFERROR(VLOOKUP($A:$A,CS!$A:$AK,36,FALSE),"")</f>
      </c>
    </row>
    <row r="14" ht="16.5" customHeight="1" spans="1:23" x14ac:dyDescent="0.25">
      <c r="A14" s="3"/>
      <c r="B14" s="57">
        <f>IFERROR(VLOOKUP($A:$A,CS!$A:$AK,3,FALSE),"")</f>
      </c>
      <c r="C14" s="57">
        <f>IFERROR(VLOOKUP($A:$A,CS!$A:$AK,4,FALSE),"")</f>
      </c>
      <c r="D14" s="57">
        <f>IFERROR(VLOOKUP($A:$A,CS!$A:$AK,5,FALSE),"")</f>
      </c>
      <c r="E14" s="57">
        <f>IFERROR(VLOOKUP($A:$A,CS!$A:$AK,7,FALSE),"")</f>
      </c>
      <c r="F14" s="57">
        <f>IFERROR(VLOOKUP($A:$A,CS!$A:$AK,8,FALSE),"")</f>
      </c>
      <c r="G14" s="57">
        <f>IFERROR(VLOOKUP($A:$A,CS!$A:$AK,10,FALSE),"")</f>
      </c>
      <c r="H14" s="57">
        <f>IFERROR(VLOOKUP($A:$A,CS!$A:$AK,14,FALSE),"")</f>
      </c>
      <c r="I14" s="57">
        <f>IFERROR(VLOOKUP($A:$A,CS!$A:$AK,15,FALSE),"")</f>
      </c>
      <c r="J14" s="57">
        <f>IFERROR(VLOOKUP($A:$A,CS!$A:$AK,18,FALSE),"")</f>
      </c>
      <c r="K14" s="57">
        <f>IFERROR(VLOOKUP($A:$A,CS!$A:$AK,19,FALSE),"")</f>
      </c>
      <c r="L14" s="57">
        <f>IFERROR(VLOOKUP($A:$A,CS!$A:$AK,20,FALSE),"")</f>
      </c>
      <c r="M14" s="57">
        <f>IFERROR(VLOOKUP($A:$A,CS!$A:$AK,22,FALSE),"")</f>
      </c>
      <c r="N14" s="57">
        <f>IFERROR(VLOOKUP($A:$A,CS!$A:$AK,19,FALSE),"")</f>
      </c>
      <c r="O14" s="57">
        <f>IFERROR(VLOOKUP($A:$A,CS!$A:$AK,23,FALSE),"")</f>
      </c>
      <c r="P14" s="57">
        <f>IFERROR(VLOOKUP($A:$A,CS!$A:$AK,24,FALSE),"")</f>
      </c>
      <c r="Q14" s="57">
        <f>IFERROR(VLOOKUP($A:$A,CS!$A:$AK,25,FALSE),"")</f>
      </c>
      <c r="R14" s="57">
        <f>IFERROR(VLOOKUP($A:$A,CS!$A:$AK,26,FALSE),"")</f>
      </c>
      <c r="S14" s="57">
        <f>IFERROR(VLOOKUP($A:$A,CS!$A:$AK,29,FALSE),"")</f>
      </c>
      <c r="T14" s="57">
        <f>IFERROR(VLOOKUP($A:$A,CS!$A:$AK,33,FALSE),"")</f>
      </c>
      <c r="U14" s="57">
        <f>IFERROR(VLOOKUP($A:$A,CS!$A:$AK,34,FALSE),"")</f>
      </c>
      <c r="V14" s="57">
        <f>IFERROR(VLOOKUP($A:$A,CS!$A:$AK,35,FALSE),"")</f>
      </c>
      <c r="W14" s="57">
        <f>IFERROR(VLOOKUP($A:$A,CS!$A:$AK,36,FALSE),"")</f>
      </c>
    </row>
    <row r="15" ht="16.5" customHeight="1" spans="1:23" x14ac:dyDescent="0.25">
      <c r="A15" s="3"/>
      <c r="B15" s="57">
        <f>IFERROR(VLOOKUP($A:$A,CS!$A:$AK,3,FALSE),"")</f>
      </c>
      <c r="C15" s="57">
        <f>IFERROR(VLOOKUP($A:$A,CS!$A:$AK,4,FALSE),"")</f>
      </c>
      <c r="D15" s="57">
        <f>IFERROR(VLOOKUP($A:$A,CS!$A:$AK,5,FALSE),"")</f>
      </c>
      <c r="E15" s="57">
        <f>IFERROR(VLOOKUP($A:$A,CS!$A:$AK,7,FALSE),"")</f>
      </c>
      <c r="F15" s="57">
        <f>IFERROR(VLOOKUP($A:$A,CS!$A:$AK,8,FALSE),"")</f>
      </c>
      <c r="G15" s="57">
        <f>IFERROR(VLOOKUP($A:$A,CS!$A:$AK,10,FALSE),"")</f>
      </c>
      <c r="H15" s="57">
        <f>IFERROR(VLOOKUP($A:$A,CS!$A:$AK,14,FALSE),"")</f>
      </c>
      <c r="I15" s="57">
        <f>IFERROR(VLOOKUP($A:$A,CS!$A:$AK,15,FALSE),"")</f>
      </c>
      <c r="J15" s="57">
        <f>IFERROR(VLOOKUP($A:$A,CS!$A:$AK,18,FALSE),"")</f>
      </c>
      <c r="K15" s="57">
        <f>IFERROR(VLOOKUP($A:$A,CS!$A:$AK,19,FALSE),"")</f>
      </c>
      <c r="L15" s="57">
        <f>IFERROR(VLOOKUP($A:$A,CS!$A:$AK,20,FALSE),"")</f>
      </c>
      <c r="M15" s="57">
        <f>IFERROR(VLOOKUP($A:$A,CS!$A:$AK,22,FALSE),"")</f>
      </c>
      <c r="N15" s="57">
        <f>IFERROR(VLOOKUP($A:$A,CS!$A:$AK,19,FALSE),"")</f>
      </c>
      <c r="O15" s="57">
        <f>IFERROR(VLOOKUP($A:$A,CS!$A:$AK,23,FALSE),"")</f>
      </c>
      <c r="P15" s="57">
        <f>IFERROR(VLOOKUP($A:$A,CS!$A:$AK,24,FALSE),"")</f>
      </c>
      <c r="Q15" s="57">
        <f>IFERROR(VLOOKUP($A:$A,CS!$A:$AK,25,FALSE),"")</f>
      </c>
      <c r="R15" s="57">
        <f>IFERROR(VLOOKUP($A:$A,CS!$A:$AK,26,FALSE),"")</f>
      </c>
      <c r="S15" s="57">
        <f>IFERROR(VLOOKUP($A:$A,CS!$A:$AK,29,FALSE),"")</f>
      </c>
      <c r="T15" s="57">
        <f>IFERROR(VLOOKUP($A:$A,CS!$A:$AK,33,FALSE),"")</f>
      </c>
      <c r="U15" s="57">
        <f>IFERROR(VLOOKUP($A:$A,CS!$A:$AK,34,FALSE),"")</f>
      </c>
      <c r="V15" s="57">
        <f>IFERROR(VLOOKUP($A:$A,CS!$A:$AK,35,FALSE),"")</f>
      </c>
      <c r="W15" s="57">
        <f>IFERROR(VLOOKUP($A:$A,CS!$A:$AK,36,FALSE),"")</f>
      </c>
    </row>
    <row r="16" ht="16.5" customHeight="1" spans="1:23" x14ac:dyDescent="0.25">
      <c r="A16" s="3"/>
      <c r="B16" s="57">
        <f>IFERROR(VLOOKUP($A:$A,CS!$A:$AK,3,FALSE),"")</f>
      </c>
      <c r="C16" s="57">
        <f>IFERROR(VLOOKUP($A:$A,CS!$A:$AK,4,FALSE),"")</f>
      </c>
      <c r="D16" s="57">
        <f>IFERROR(VLOOKUP($A:$A,CS!$A:$AK,5,FALSE),"")</f>
      </c>
      <c r="E16" s="57">
        <f>IFERROR(VLOOKUP($A:$A,CS!$A:$AK,7,FALSE),"")</f>
      </c>
      <c r="F16" s="57">
        <f>IFERROR(VLOOKUP($A:$A,CS!$A:$AK,8,FALSE),"")</f>
      </c>
      <c r="G16" s="57">
        <f>IFERROR(VLOOKUP($A:$A,CS!$A:$AK,10,FALSE),"")</f>
      </c>
      <c r="H16" s="57">
        <f>IFERROR(VLOOKUP($A:$A,CS!$A:$AK,14,FALSE),"")</f>
      </c>
      <c r="I16" s="57">
        <f>IFERROR(VLOOKUP($A:$A,CS!$A:$AK,15,FALSE),"")</f>
      </c>
      <c r="J16" s="57">
        <f>IFERROR(VLOOKUP($A:$A,CS!$A:$AK,18,FALSE),"")</f>
      </c>
      <c r="K16" s="57">
        <f>IFERROR(VLOOKUP($A:$A,CS!$A:$AK,19,FALSE),"")</f>
      </c>
      <c r="L16" s="57">
        <f>IFERROR(VLOOKUP($A:$A,CS!$A:$AK,20,FALSE),"")</f>
      </c>
      <c r="M16" s="57">
        <f>IFERROR(VLOOKUP($A:$A,CS!$A:$AK,22,FALSE),"")</f>
      </c>
      <c r="N16" s="57">
        <f>IFERROR(VLOOKUP($A:$A,CS!$A:$AK,19,FALSE),"")</f>
      </c>
      <c r="O16" s="57">
        <f>IFERROR(VLOOKUP($A:$A,CS!$A:$AK,23,FALSE),"")</f>
      </c>
      <c r="P16" s="57">
        <f>IFERROR(VLOOKUP($A:$A,CS!$A:$AK,24,FALSE),"")</f>
      </c>
      <c r="Q16" s="57">
        <f>IFERROR(VLOOKUP($A:$A,CS!$A:$AK,25,FALSE),"")</f>
      </c>
      <c r="R16" s="57">
        <f>IFERROR(VLOOKUP($A:$A,CS!$A:$AK,26,FALSE),"")</f>
      </c>
      <c r="S16" s="57">
        <f>IFERROR(VLOOKUP($A:$A,CS!$A:$AK,29,FALSE),"")</f>
      </c>
      <c r="T16" s="57">
        <f>IFERROR(VLOOKUP($A:$A,CS!$A:$AK,33,FALSE),"")</f>
      </c>
      <c r="U16" s="57">
        <f>IFERROR(VLOOKUP($A:$A,CS!$A:$AK,34,FALSE),"")</f>
      </c>
      <c r="V16" s="57">
        <f>IFERROR(VLOOKUP($A:$A,CS!$A:$AK,35,FALSE),"")</f>
      </c>
      <c r="W16" s="57">
        <f>IFERROR(VLOOKUP($A:$A,CS!$A:$AK,36,FALSE),"")</f>
      </c>
    </row>
    <row r="17" ht="16.5" customHeight="1" spans="1:23" x14ac:dyDescent="0.25">
      <c r="A17" s="3"/>
      <c r="B17" s="57">
        <f>IFERROR(VLOOKUP($A:$A,CS!$A:$AK,3,FALSE),"")</f>
      </c>
      <c r="C17" s="57">
        <f>IFERROR(VLOOKUP($A:$A,CS!$A:$AK,4,FALSE),"")</f>
      </c>
      <c r="D17" s="57">
        <f>IFERROR(VLOOKUP($A:$A,CS!$A:$AK,5,FALSE),"")</f>
      </c>
      <c r="E17" s="57">
        <f>IFERROR(VLOOKUP($A:$A,CS!$A:$AK,7,FALSE),"")</f>
      </c>
      <c r="F17" s="57">
        <f>IFERROR(VLOOKUP($A:$A,CS!$A:$AK,8,FALSE),"")</f>
      </c>
      <c r="G17" s="57">
        <f>IFERROR(VLOOKUP($A:$A,CS!$A:$AK,10,FALSE),"")</f>
      </c>
      <c r="H17" s="57">
        <f>IFERROR(VLOOKUP($A:$A,CS!$A:$AK,14,FALSE),"")</f>
      </c>
      <c r="I17" s="57">
        <f>IFERROR(VLOOKUP($A:$A,CS!$A:$AK,15,FALSE),"")</f>
      </c>
      <c r="J17" s="57">
        <f>IFERROR(VLOOKUP($A:$A,CS!$A:$AK,18,FALSE),"")</f>
      </c>
      <c r="K17" s="57">
        <f>IFERROR(VLOOKUP($A:$A,CS!$A:$AK,19,FALSE),"")</f>
      </c>
      <c r="L17" s="57">
        <f>IFERROR(VLOOKUP($A:$A,CS!$A:$AK,20,FALSE),"")</f>
      </c>
      <c r="M17" s="57">
        <f>IFERROR(VLOOKUP($A:$A,CS!$A:$AK,22,FALSE),"")</f>
      </c>
      <c r="N17" s="57">
        <f>IFERROR(VLOOKUP($A:$A,CS!$A:$AK,19,FALSE),"")</f>
      </c>
      <c r="O17" s="57">
        <f>IFERROR(VLOOKUP($A:$A,CS!$A:$AK,23,FALSE),"")</f>
      </c>
      <c r="P17" s="57">
        <f>IFERROR(VLOOKUP($A:$A,CS!$A:$AK,24,FALSE),"")</f>
      </c>
      <c r="Q17" s="57">
        <f>IFERROR(VLOOKUP($A:$A,CS!$A:$AK,25,FALSE),"")</f>
      </c>
      <c r="R17" s="57">
        <f>IFERROR(VLOOKUP($A:$A,CS!$A:$AK,26,FALSE),"")</f>
      </c>
      <c r="S17" s="57">
        <f>IFERROR(VLOOKUP($A:$A,CS!$A:$AK,29,FALSE),"")</f>
      </c>
      <c r="T17" s="57">
        <f>IFERROR(VLOOKUP($A:$A,CS!$A:$AK,33,FALSE),"")</f>
      </c>
      <c r="U17" s="57">
        <f>IFERROR(VLOOKUP($A:$A,CS!$A:$AK,34,FALSE),"")</f>
      </c>
      <c r="V17" s="57">
        <f>IFERROR(VLOOKUP($A:$A,CS!$A:$AK,35,FALSE),"")</f>
      </c>
      <c r="W17" s="57">
        <f>IFERROR(VLOOKUP($A:$A,CS!$A:$AK,36,FALSE),"")</f>
      </c>
    </row>
    <row r="18" ht="16.5" customHeight="1" spans="1:23" x14ac:dyDescent="0.25">
      <c r="A18" s="3"/>
      <c r="B18" s="57">
        <f>IFERROR(VLOOKUP($A:$A,CS!$A:$AK,3,FALSE),"")</f>
      </c>
      <c r="C18" s="57">
        <f>IFERROR(VLOOKUP($A:$A,CS!$A:$AK,4,FALSE),"")</f>
      </c>
      <c r="D18" s="57">
        <f>IFERROR(VLOOKUP($A:$A,CS!$A:$AK,5,FALSE),"")</f>
      </c>
      <c r="E18" s="57">
        <f>IFERROR(VLOOKUP($A:$A,CS!$A:$AK,7,FALSE),"")</f>
      </c>
      <c r="F18" s="57">
        <f>IFERROR(VLOOKUP($A:$A,CS!$A:$AK,8,FALSE),"")</f>
      </c>
      <c r="G18" s="57">
        <f>IFERROR(VLOOKUP($A:$A,CS!$A:$AK,10,FALSE),"")</f>
      </c>
      <c r="H18" s="57">
        <f>IFERROR(VLOOKUP($A:$A,CS!$A:$AK,14,FALSE),"")</f>
      </c>
      <c r="I18" s="57">
        <f>IFERROR(VLOOKUP($A:$A,CS!$A:$AK,15,FALSE),"")</f>
      </c>
      <c r="J18" s="57">
        <f>IFERROR(VLOOKUP($A:$A,CS!$A:$AK,18,FALSE),"")</f>
      </c>
      <c r="K18" s="57">
        <f>IFERROR(VLOOKUP($A:$A,CS!$A:$AK,19,FALSE),"")</f>
      </c>
      <c r="L18" s="57">
        <f>IFERROR(VLOOKUP($A:$A,CS!$A:$AK,20,FALSE),"")</f>
      </c>
      <c r="M18" s="57">
        <f>IFERROR(VLOOKUP($A:$A,CS!$A:$AK,22,FALSE),"")</f>
      </c>
      <c r="N18" s="57">
        <f>IFERROR(VLOOKUP($A:$A,CS!$A:$AK,19,FALSE),"")</f>
      </c>
      <c r="O18" s="57">
        <f>IFERROR(VLOOKUP($A:$A,CS!$A:$AK,23,FALSE),"")</f>
      </c>
      <c r="P18" s="57">
        <f>IFERROR(VLOOKUP($A:$A,CS!$A:$AK,24,FALSE),"")</f>
      </c>
      <c r="Q18" s="57">
        <f>IFERROR(VLOOKUP($A:$A,CS!$A:$AK,25,FALSE),"")</f>
      </c>
      <c r="R18" s="57">
        <f>IFERROR(VLOOKUP($A:$A,CS!$A:$AK,26,FALSE),"")</f>
      </c>
      <c r="S18" s="57">
        <f>IFERROR(VLOOKUP($A:$A,CS!$A:$AK,29,FALSE),"")</f>
      </c>
      <c r="T18" s="57">
        <f>IFERROR(VLOOKUP($A:$A,CS!$A:$AK,33,FALSE),"")</f>
      </c>
      <c r="U18" s="57">
        <f>IFERROR(VLOOKUP($A:$A,CS!$A:$AK,34,FALSE),"")</f>
      </c>
      <c r="V18" s="57">
        <f>IFERROR(VLOOKUP($A:$A,CS!$A:$AK,35,FALSE),"")</f>
      </c>
      <c r="W18" s="57">
        <f>IFERROR(VLOOKUP($A:$A,CS!$A:$AK,36,FALSE),"")</f>
      </c>
    </row>
    <row r="19" ht="16.5" customHeight="1" spans="1:23" x14ac:dyDescent="0.25">
      <c r="A19" s="3"/>
      <c r="B19" s="57">
        <f>IFERROR(VLOOKUP($A:$A,CS!$A:$AK,3,FALSE),"")</f>
      </c>
      <c r="C19" s="57">
        <f>IFERROR(VLOOKUP($A:$A,CS!$A:$AK,4,FALSE),"")</f>
      </c>
      <c r="D19" s="57">
        <f>IFERROR(VLOOKUP($A:$A,CS!$A:$AK,5,FALSE),"")</f>
      </c>
      <c r="E19" s="57">
        <f>IFERROR(VLOOKUP($A:$A,CS!$A:$AK,7,FALSE),"")</f>
      </c>
      <c r="F19" s="57">
        <f>IFERROR(VLOOKUP($A:$A,CS!$A:$AK,8,FALSE),"")</f>
      </c>
      <c r="G19" s="57">
        <f>IFERROR(VLOOKUP($A:$A,CS!$A:$AK,10,FALSE),"")</f>
      </c>
      <c r="H19" s="57">
        <f>IFERROR(VLOOKUP($A:$A,CS!$A:$AK,14,FALSE),"")</f>
      </c>
      <c r="I19" s="57">
        <f>IFERROR(VLOOKUP($A:$A,CS!$A:$AK,15,FALSE),"")</f>
      </c>
      <c r="J19" s="57">
        <f>IFERROR(VLOOKUP($A:$A,CS!$A:$AK,18,FALSE),"")</f>
      </c>
      <c r="K19" s="57">
        <f>IFERROR(VLOOKUP($A:$A,CS!$A:$AK,19,FALSE),"")</f>
      </c>
      <c r="L19" s="57">
        <f>IFERROR(VLOOKUP($A:$A,CS!$A:$AK,20,FALSE),"")</f>
      </c>
      <c r="M19" s="57">
        <f>IFERROR(VLOOKUP($A:$A,CS!$A:$AK,22,FALSE),"")</f>
      </c>
      <c r="N19" s="57">
        <f>IFERROR(VLOOKUP($A:$A,CS!$A:$AK,19,FALSE),"")</f>
      </c>
      <c r="O19" s="57">
        <f>IFERROR(VLOOKUP($A:$A,CS!$A:$AK,23,FALSE),"")</f>
      </c>
      <c r="P19" s="57">
        <f>IFERROR(VLOOKUP($A:$A,CS!$A:$AK,24,FALSE),"")</f>
      </c>
      <c r="Q19" s="57">
        <f>IFERROR(VLOOKUP($A:$A,CS!$A:$AK,25,FALSE),"")</f>
      </c>
      <c r="R19" s="57">
        <f>IFERROR(VLOOKUP($A:$A,CS!$A:$AK,26,FALSE),"")</f>
      </c>
      <c r="S19" s="57">
        <f>IFERROR(VLOOKUP($A:$A,CS!$A:$AK,29,FALSE),"")</f>
      </c>
      <c r="T19" s="57">
        <f>IFERROR(VLOOKUP($A:$A,CS!$A:$AK,33,FALSE),"")</f>
      </c>
      <c r="U19" s="57">
        <f>IFERROR(VLOOKUP($A:$A,CS!$A:$AK,34,FALSE),"")</f>
      </c>
      <c r="V19" s="57">
        <f>IFERROR(VLOOKUP($A:$A,CS!$A:$AK,35,FALSE),"")</f>
      </c>
      <c r="W19" s="57">
        <f>IFERROR(VLOOKUP($A:$A,CS!$A:$AK,36,FALSE),"")</f>
      </c>
    </row>
    <row r="20" ht="16.5" customHeight="1" spans="1:23" x14ac:dyDescent="0.25">
      <c r="A20" s="3"/>
      <c r="B20" s="57">
        <f>IFERROR(VLOOKUP($A:$A,CS!$A:$AK,3,FALSE),"")</f>
      </c>
      <c r="C20" s="57">
        <f>IFERROR(VLOOKUP($A:$A,CS!$A:$AK,4,FALSE),"")</f>
      </c>
      <c r="D20" s="57">
        <f>IFERROR(VLOOKUP($A:$A,CS!$A:$AK,5,FALSE),"")</f>
      </c>
      <c r="E20" s="57">
        <f>IFERROR(VLOOKUP($A:$A,CS!$A:$AK,7,FALSE),"")</f>
      </c>
      <c r="F20" s="57">
        <f>IFERROR(VLOOKUP($A:$A,CS!$A:$AK,8,FALSE),"")</f>
      </c>
      <c r="G20" s="57">
        <f>IFERROR(VLOOKUP($A:$A,CS!$A:$AK,10,FALSE),"")</f>
      </c>
      <c r="H20" s="57">
        <f>IFERROR(VLOOKUP($A:$A,CS!$A:$AK,14,FALSE),"")</f>
      </c>
      <c r="I20" s="57">
        <f>IFERROR(VLOOKUP($A:$A,CS!$A:$AK,15,FALSE),"")</f>
      </c>
      <c r="J20" s="57">
        <f>IFERROR(VLOOKUP($A:$A,CS!$A:$AK,18,FALSE),"")</f>
      </c>
      <c r="K20" s="57">
        <f>IFERROR(VLOOKUP($A:$A,CS!$A:$AK,19,FALSE),"")</f>
      </c>
      <c r="L20" s="57">
        <f>IFERROR(VLOOKUP($A:$A,CS!$A:$AK,20,FALSE),"")</f>
      </c>
      <c r="M20" s="57">
        <f>IFERROR(VLOOKUP($A:$A,CS!$A:$AK,22,FALSE),"")</f>
      </c>
      <c r="N20" s="57">
        <f>IFERROR(VLOOKUP($A:$A,CS!$A:$AK,19,FALSE),"")</f>
      </c>
      <c r="O20" s="57">
        <f>IFERROR(VLOOKUP($A:$A,CS!$A:$AK,23,FALSE),"")</f>
      </c>
      <c r="P20" s="57">
        <f>IFERROR(VLOOKUP($A:$A,CS!$A:$AK,24,FALSE),"")</f>
      </c>
      <c r="Q20" s="57">
        <f>IFERROR(VLOOKUP($A:$A,CS!$A:$AK,25,FALSE),"")</f>
      </c>
      <c r="R20" s="57">
        <f>IFERROR(VLOOKUP($A:$A,CS!$A:$AK,26,FALSE),"")</f>
      </c>
      <c r="S20" s="57">
        <f>IFERROR(VLOOKUP($A:$A,CS!$A:$AK,29,FALSE),"")</f>
      </c>
      <c r="T20" s="57">
        <f>IFERROR(VLOOKUP($A:$A,CS!$A:$AK,33,FALSE),"")</f>
      </c>
      <c r="U20" s="57">
        <f>IFERROR(VLOOKUP($A:$A,CS!$A:$AK,34,FALSE),"")</f>
      </c>
      <c r="V20" s="57">
        <f>IFERROR(VLOOKUP($A:$A,CS!$A:$AK,35,FALSE),"")</f>
      </c>
      <c r="W20" s="57">
        <f>IFERROR(VLOOKUP($A:$A,CS!$A:$AK,36,FALSE),"")</f>
      </c>
    </row>
    <row r="21" ht="16.5" customHeight="1" spans="1:23" x14ac:dyDescent="0.25">
      <c r="A21" s="3"/>
      <c r="B21" s="57">
        <f>IFERROR(VLOOKUP($A:$A,CS!$A:$AK,3,FALSE),"")</f>
      </c>
      <c r="C21" s="57">
        <f>IFERROR(VLOOKUP($A:$A,CS!$A:$AK,4,FALSE),"")</f>
      </c>
      <c r="D21" s="57">
        <f>IFERROR(VLOOKUP($A:$A,CS!$A:$AK,5,FALSE),"")</f>
      </c>
      <c r="E21" s="57">
        <f>IFERROR(VLOOKUP($A:$A,CS!$A:$AK,7,FALSE),"")</f>
      </c>
      <c r="F21" s="57">
        <f>IFERROR(VLOOKUP($A:$A,CS!$A:$AK,8,FALSE),"")</f>
      </c>
      <c r="G21" s="57">
        <f>IFERROR(VLOOKUP($A:$A,CS!$A:$AK,10,FALSE),"")</f>
      </c>
      <c r="H21" s="57">
        <f>IFERROR(VLOOKUP($A:$A,CS!$A:$AK,14,FALSE),"")</f>
      </c>
      <c r="I21" s="57">
        <f>IFERROR(VLOOKUP($A:$A,CS!$A:$AK,15,FALSE),"")</f>
      </c>
      <c r="J21" s="57">
        <f>IFERROR(VLOOKUP($A:$A,CS!$A:$AK,18,FALSE),"")</f>
      </c>
      <c r="K21" s="57">
        <f>IFERROR(VLOOKUP($A:$A,CS!$A:$AK,19,FALSE),"")</f>
      </c>
      <c r="L21" s="57">
        <f>IFERROR(VLOOKUP($A:$A,CS!$A:$AK,20,FALSE),"")</f>
      </c>
      <c r="M21" s="57">
        <f>IFERROR(VLOOKUP($A:$A,CS!$A:$AK,22,FALSE),"")</f>
      </c>
      <c r="N21" s="57">
        <f>IFERROR(VLOOKUP($A:$A,CS!$A:$AK,19,FALSE),"")</f>
      </c>
      <c r="O21" s="57">
        <f>IFERROR(VLOOKUP($A:$A,CS!$A:$AK,23,FALSE),"")</f>
      </c>
      <c r="P21" s="57">
        <f>IFERROR(VLOOKUP($A:$A,CS!$A:$AK,24,FALSE),"")</f>
      </c>
      <c r="Q21" s="57">
        <f>IFERROR(VLOOKUP($A:$A,CS!$A:$AK,25,FALSE),"")</f>
      </c>
      <c r="R21" s="57">
        <f>IFERROR(VLOOKUP($A:$A,CS!$A:$AK,26,FALSE),"")</f>
      </c>
      <c r="S21" s="57">
        <f>IFERROR(VLOOKUP($A:$A,CS!$A:$AK,29,FALSE),"")</f>
      </c>
      <c r="T21" s="57">
        <f>IFERROR(VLOOKUP($A:$A,CS!$A:$AK,33,FALSE),"")</f>
      </c>
      <c r="U21" s="57">
        <f>IFERROR(VLOOKUP($A:$A,CS!$A:$AK,34,FALSE),"")</f>
      </c>
      <c r="V21" s="57">
        <f>IFERROR(VLOOKUP($A:$A,CS!$A:$AK,35,FALSE),"")</f>
      </c>
      <c r="W21" s="57">
        <f>IFERROR(VLOOKUP($A:$A,CS!$A:$AK,36,FALSE),"")</f>
      </c>
    </row>
    <row r="22" ht="16.5" customHeight="1" spans="1:23" x14ac:dyDescent="0.25">
      <c r="A22" s="3"/>
      <c r="B22" s="57">
        <f>IFERROR(VLOOKUP($A:$A,CS!$A:$AK,3,FALSE),"")</f>
      </c>
      <c r="C22" s="57">
        <f>IFERROR(VLOOKUP($A:$A,CS!$A:$AK,4,FALSE),"")</f>
      </c>
      <c r="D22" s="57">
        <f>IFERROR(VLOOKUP($A:$A,CS!$A:$AK,5,FALSE),"")</f>
      </c>
      <c r="E22" s="57">
        <f>IFERROR(VLOOKUP($A:$A,CS!$A:$AK,7,FALSE),"")</f>
      </c>
      <c r="F22" s="57">
        <f>IFERROR(VLOOKUP($A:$A,CS!$A:$AK,8,FALSE),"")</f>
      </c>
      <c r="G22" s="57">
        <f>IFERROR(VLOOKUP($A:$A,CS!$A:$AK,10,FALSE),"")</f>
      </c>
      <c r="H22" s="57">
        <f>IFERROR(VLOOKUP($A:$A,CS!$A:$AK,14,FALSE),"")</f>
      </c>
      <c r="I22" s="57">
        <f>IFERROR(VLOOKUP($A:$A,CS!$A:$AK,15,FALSE),"")</f>
      </c>
      <c r="J22" s="57">
        <f>IFERROR(VLOOKUP($A:$A,CS!$A:$AK,18,FALSE),"")</f>
      </c>
      <c r="K22" s="57">
        <f>IFERROR(VLOOKUP($A:$A,CS!$A:$AK,19,FALSE),"")</f>
      </c>
      <c r="L22" s="57">
        <f>IFERROR(VLOOKUP($A:$A,CS!$A:$AK,20,FALSE),"")</f>
      </c>
      <c r="M22" s="57">
        <f>IFERROR(VLOOKUP($A:$A,CS!$A:$AK,22,FALSE),"")</f>
      </c>
      <c r="N22" s="57">
        <f>IFERROR(VLOOKUP($A:$A,CS!$A:$AK,19,FALSE),"")</f>
      </c>
      <c r="O22" s="57">
        <f>IFERROR(VLOOKUP($A:$A,CS!$A:$AK,23,FALSE),"")</f>
      </c>
      <c r="P22" s="57">
        <f>IFERROR(VLOOKUP($A:$A,CS!$A:$AK,24,FALSE),"")</f>
      </c>
      <c r="Q22" s="57">
        <f>IFERROR(VLOOKUP($A:$A,CS!$A:$AK,25,FALSE),"")</f>
      </c>
      <c r="R22" s="57">
        <f>IFERROR(VLOOKUP($A:$A,CS!$A:$AK,26,FALSE),"")</f>
      </c>
      <c r="S22" s="57">
        <f>IFERROR(VLOOKUP($A:$A,CS!$A:$AK,29,FALSE),"")</f>
      </c>
      <c r="T22" s="57">
        <f>IFERROR(VLOOKUP($A:$A,CS!$A:$AK,33,FALSE),"")</f>
      </c>
      <c r="U22" s="57">
        <f>IFERROR(VLOOKUP($A:$A,CS!$A:$AK,34,FALSE),"")</f>
      </c>
      <c r="V22" s="57">
        <f>IFERROR(VLOOKUP($A:$A,CS!$A:$AK,35,FALSE),"")</f>
      </c>
      <c r="W22" s="57">
        <f>IFERROR(VLOOKUP($A:$A,CS!$A:$AK,36,FALSE),"")</f>
      </c>
    </row>
    <row r="23" ht="16.5" customHeight="1" spans="1:23" x14ac:dyDescent="0.25">
      <c r="A23" s="3"/>
      <c r="B23" s="57">
        <f>IFERROR(VLOOKUP($A:$A,CS!$A:$AK,3,FALSE),"")</f>
      </c>
      <c r="C23" s="57">
        <f>IFERROR(VLOOKUP($A:$A,CS!$A:$AK,4,FALSE),"")</f>
      </c>
      <c r="D23" s="57">
        <f>IFERROR(VLOOKUP($A:$A,CS!$A:$AK,5,FALSE),"")</f>
      </c>
      <c r="E23" s="57">
        <f>IFERROR(VLOOKUP($A:$A,CS!$A:$AK,7,FALSE),"")</f>
      </c>
      <c r="F23" s="57">
        <f>IFERROR(VLOOKUP($A:$A,CS!$A:$AK,8,FALSE),"")</f>
      </c>
      <c r="G23" s="57">
        <f>IFERROR(VLOOKUP($A:$A,CS!$A:$AK,10,FALSE),"")</f>
      </c>
      <c r="H23" s="57">
        <f>IFERROR(VLOOKUP($A:$A,CS!$A:$AK,14,FALSE),"")</f>
      </c>
      <c r="I23" s="57">
        <f>IFERROR(VLOOKUP($A:$A,CS!$A:$AK,15,FALSE),"")</f>
      </c>
      <c r="J23" s="57">
        <f>IFERROR(VLOOKUP($A:$A,CS!$A:$AK,18,FALSE),"")</f>
      </c>
      <c r="K23" s="57">
        <f>IFERROR(VLOOKUP($A:$A,CS!$A:$AK,19,FALSE),"")</f>
      </c>
      <c r="L23" s="57">
        <f>IFERROR(VLOOKUP($A:$A,CS!$A:$AK,20,FALSE),"")</f>
      </c>
      <c r="M23" s="57">
        <f>IFERROR(VLOOKUP($A:$A,CS!$A:$AK,22,FALSE),"")</f>
      </c>
      <c r="N23" s="57">
        <f>IFERROR(VLOOKUP($A:$A,CS!$A:$AK,19,FALSE),"")</f>
      </c>
      <c r="O23" s="57">
        <f>IFERROR(VLOOKUP($A:$A,CS!$A:$AK,23,FALSE),"")</f>
      </c>
      <c r="P23" s="57">
        <f>IFERROR(VLOOKUP($A:$A,CS!$A:$AK,24,FALSE),"")</f>
      </c>
      <c r="Q23" s="57">
        <f>IFERROR(VLOOKUP($A:$A,CS!$A:$AK,25,FALSE),"")</f>
      </c>
      <c r="R23" s="57">
        <f>IFERROR(VLOOKUP($A:$A,CS!$A:$AK,26,FALSE),"")</f>
      </c>
      <c r="S23" s="57">
        <f>IFERROR(VLOOKUP($A:$A,CS!$A:$AK,29,FALSE),"")</f>
      </c>
      <c r="T23" s="57">
        <f>IFERROR(VLOOKUP($A:$A,CS!$A:$AK,33,FALSE),"")</f>
      </c>
      <c r="U23" s="57">
        <f>IFERROR(VLOOKUP($A:$A,CS!$A:$AK,34,FALSE),"")</f>
      </c>
      <c r="V23" s="57">
        <f>IFERROR(VLOOKUP($A:$A,CS!$A:$AK,35,FALSE),"")</f>
      </c>
      <c r="W23" s="57">
        <f>IFERROR(VLOOKUP($A:$A,CS!$A:$AK,36,FALSE),"")</f>
      </c>
    </row>
    <row r="24" ht="16.5" customHeight="1" spans="1:23" x14ac:dyDescent="0.25">
      <c r="A24" s="3"/>
      <c r="B24" s="57">
        <f>IFERROR(VLOOKUP($A:$A,CS!$A:$AK,3,FALSE),"")</f>
      </c>
      <c r="C24" s="57">
        <f>IFERROR(VLOOKUP($A:$A,CS!$A:$AK,4,FALSE),"")</f>
      </c>
      <c r="D24" s="57">
        <f>IFERROR(VLOOKUP($A:$A,CS!$A:$AK,5,FALSE),"")</f>
      </c>
      <c r="E24" s="57">
        <f>IFERROR(VLOOKUP($A:$A,CS!$A:$AK,7,FALSE),"")</f>
      </c>
      <c r="F24" s="57">
        <f>IFERROR(VLOOKUP($A:$A,CS!$A:$AK,8,FALSE),"")</f>
      </c>
      <c r="G24" s="57">
        <f>IFERROR(VLOOKUP($A:$A,CS!$A:$AK,10,FALSE),"")</f>
      </c>
      <c r="H24" s="57">
        <f>IFERROR(VLOOKUP($A:$A,CS!$A:$AK,14,FALSE),"")</f>
      </c>
      <c r="I24" s="57">
        <f>IFERROR(VLOOKUP($A:$A,CS!$A:$AK,15,FALSE),"")</f>
      </c>
      <c r="J24" s="57">
        <f>IFERROR(VLOOKUP($A:$A,CS!$A:$AK,18,FALSE),"")</f>
      </c>
      <c r="K24" s="57">
        <f>IFERROR(VLOOKUP($A:$A,CS!$A:$AK,19,FALSE),"")</f>
      </c>
      <c r="L24" s="57">
        <f>IFERROR(VLOOKUP($A:$A,CS!$A:$AK,20,FALSE),"")</f>
      </c>
      <c r="M24" s="57">
        <f>IFERROR(VLOOKUP($A:$A,CS!$A:$AK,22,FALSE),"")</f>
      </c>
      <c r="N24" s="57">
        <f>IFERROR(VLOOKUP($A:$A,CS!$A:$AK,19,FALSE),"")</f>
      </c>
      <c r="O24" s="57">
        <f>IFERROR(VLOOKUP($A:$A,CS!$A:$AK,23,FALSE),"")</f>
      </c>
      <c r="P24" s="57">
        <f>IFERROR(VLOOKUP($A:$A,CS!$A:$AK,24,FALSE),"")</f>
      </c>
      <c r="Q24" s="57">
        <f>IFERROR(VLOOKUP($A:$A,CS!$A:$AK,25,FALSE),"")</f>
      </c>
      <c r="R24" s="57">
        <f>IFERROR(VLOOKUP($A:$A,CS!$A:$AK,26,FALSE),"")</f>
      </c>
      <c r="S24" s="57">
        <f>IFERROR(VLOOKUP($A:$A,CS!$A:$AK,29,FALSE),"")</f>
      </c>
      <c r="T24" s="57">
        <f>IFERROR(VLOOKUP($A:$A,CS!$A:$AK,33,FALSE),"")</f>
      </c>
      <c r="U24" s="57">
        <f>IFERROR(VLOOKUP($A:$A,CS!$A:$AK,34,FALSE),"")</f>
      </c>
      <c r="V24" s="57">
        <f>IFERROR(VLOOKUP($A:$A,CS!$A:$AK,35,FALSE),"")</f>
      </c>
      <c r="W24" s="57">
        <f>IFERROR(VLOOKUP($A:$A,CS!$A:$AK,36,FALSE),"")</f>
      </c>
    </row>
    <row r="25" ht="16.5" customHeight="1" spans="1:23" x14ac:dyDescent="0.25">
      <c r="A25" s="3"/>
      <c r="B25" s="57">
        <f>IFERROR(VLOOKUP($A:$A,CS!$A:$AK,3,FALSE),"")</f>
      </c>
      <c r="C25" s="57">
        <f>IFERROR(VLOOKUP($A:$A,CS!$A:$AK,4,FALSE),"")</f>
      </c>
      <c r="D25" s="57">
        <f>IFERROR(VLOOKUP($A:$A,CS!$A:$AK,5,FALSE),"")</f>
      </c>
      <c r="E25" s="57">
        <f>IFERROR(VLOOKUP($A:$A,CS!$A:$AK,7,FALSE),"")</f>
      </c>
      <c r="F25" s="57">
        <f>IFERROR(VLOOKUP($A:$A,CS!$A:$AK,8,FALSE),"")</f>
      </c>
      <c r="G25" s="57">
        <f>IFERROR(VLOOKUP($A:$A,CS!$A:$AK,10,FALSE),"")</f>
      </c>
      <c r="H25" s="57">
        <f>IFERROR(VLOOKUP($A:$A,CS!$A:$AK,14,FALSE),"")</f>
      </c>
      <c r="I25" s="57">
        <f>IFERROR(VLOOKUP($A:$A,CS!$A:$AK,15,FALSE),"")</f>
      </c>
      <c r="J25" s="57">
        <f>IFERROR(VLOOKUP($A:$A,CS!$A:$AK,18,FALSE),"")</f>
      </c>
      <c r="K25" s="57">
        <f>IFERROR(VLOOKUP($A:$A,CS!$A:$AK,19,FALSE),"")</f>
      </c>
      <c r="L25" s="57">
        <f>IFERROR(VLOOKUP($A:$A,CS!$A:$AK,20,FALSE),"")</f>
      </c>
      <c r="M25" s="57">
        <f>IFERROR(VLOOKUP($A:$A,CS!$A:$AK,22,FALSE),"")</f>
      </c>
      <c r="N25" s="57">
        <f>IFERROR(VLOOKUP($A:$A,CS!$A:$AK,19,FALSE),"")</f>
      </c>
      <c r="O25" s="57">
        <f>IFERROR(VLOOKUP($A:$A,CS!$A:$AK,23,FALSE),"")</f>
      </c>
      <c r="P25" s="57">
        <f>IFERROR(VLOOKUP($A:$A,CS!$A:$AK,24,FALSE),"")</f>
      </c>
      <c r="Q25" s="57">
        <f>IFERROR(VLOOKUP($A:$A,CS!$A:$AK,25,FALSE),"")</f>
      </c>
      <c r="R25" s="57">
        <f>IFERROR(VLOOKUP($A:$A,CS!$A:$AK,26,FALSE),"")</f>
      </c>
      <c r="S25" s="57">
        <f>IFERROR(VLOOKUP($A:$A,CS!$A:$AK,29,FALSE),"")</f>
      </c>
      <c r="T25" s="57">
        <f>IFERROR(VLOOKUP($A:$A,CS!$A:$AK,33,FALSE),"")</f>
      </c>
      <c r="U25" s="57">
        <f>IFERROR(VLOOKUP($A:$A,CS!$A:$AK,34,FALSE),"")</f>
      </c>
      <c r="V25" s="57">
        <f>IFERROR(VLOOKUP($A:$A,CS!$A:$AK,35,FALSE),"")</f>
      </c>
      <c r="W25" s="57">
        <f>IFERROR(VLOOKUP($A:$A,CS!$A:$AK,36,FALSE),"")</f>
      </c>
    </row>
    <row r="26" ht="16.5" customHeight="1" spans="1:23" x14ac:dyDescent="0.25">
      <c r="A26" s="3"/>
      <c r="B26" s="57">
        <f>IFERROR(VLOOKUP($A:$A,CS!$A:$AK,3,FALSE),"")</f>
      </c>
      <c r="C26" s="57">
        <f>IFERROR(VLOOKUP($A:$A,CS!$A:$AK,4,FALSE),"")</f>
      </c>
      <c r="D26" s="57">
        <f>IFERROR(VLOOKUP($A:$A,CS!$A:$AK,5,FALSE),"")</f>
      </c>
      <c r="E26" s="57">
        <f>IFERROR(VLOOKUP($A:$A,CS!$A:$AK,7,FALSE),"")</f>
      </c>
      <c r="F26" s="57">
        <f>IFERROR(VLOOKUP($A:$A,CS!$A:$AK,8,FALSE),"")</f>
      </c>
      <c r="G26" s="57">
        <f>IFERROR(VLOOKUP($A:$A,CS!$A:$AK,10,FALSE),"")</f>
      </c>
      <c r="H26" s="57">
        <f>IFERROR(VLOOKUP($A:$A,CS!$A:$AK,14,FALSE),"")</f>
      </c>
      <c r="I26" s="57">
        <f>IFERROR(VLOOKUP($A:$A,CS!$A:$AK,15,FALSE),"")</f>
      </c>
      <c r="J26" s="57">
        <f>IFERROR(VLOOKUP($A:$A,CS!$A:$AK,18,FALSE),"")</f>
      </c>
      <c r="K26" s="57">
        <f>IFERROR(VLOOKUP($A:$A,CS!$A:$AK,19,FALSE),"")</f>
      </c>
      <c r="L26" s="57">
        <f>IFERROR(VLOOKUP($A:$A,CS!$A:$AK,20,FALSE),"")</f>
      </c>
      <c r="M26" s="57">
        <f>IFERROR(VLOOKUP($A:$A,CS!$A:$AK,22,FALSE),"")</f>
      </c>
      <c r="N26" s="57">
        <f>IFERROR(VLOOKUP($A:$A,CS!$A:$AK,19,FALSE),"")</f>
      </c>
      <c r="O26" s="57">
        <f>IFERROR(VLOOKUP($A:$A,CS!$A:$AK,23,FALSE),"")</f>
      </c>
      <c r="P26" s="57">
        <f>IFERROR(VLOOKUP($A:$A,CS!$A:$AK,24,FALSE),"")</f>
      </c>
      <c r="Q26" s="57">
        <f>IFERROR(VLOOKUP($A:$A,CS!$A:$AK,25,FALSE),"")</f>
      </c>
      <c r="R26" s="57">
        <f>IFERROR(VLOOKUP($A:$A,CS!$A:$AK,26,FALSE),"")</f>
      </c>
      <c r="S26" s="57">
        <f>IFERROR(VLOOKUP($A:$A,CS!$A:$AK,29,FALSE),"")</f>
      </c>
      <c r="T26" s="57">
        <f>IFERROR(VLOOKUP($A:$A,CS!$A:$AK,33,FALSE),"")</f>
      </c>
      <c r="U26" s="57">
        <f>IFERROR(VLOOKUP($A:$A,CS!$A:$AK,34,FALSE),"")</f>
      </c>
      <c r="V26" s="57">
        <f>IFERROR(VLOOKUP($A:$A,CS!$A:$AK,35,FALSE),"")</f>
      </c>
      <c r="W26" s="57">
        <f>IFERROR(VLOOKUP($A:$A,CS!$A:$AK,36,FALSE),"")</f>
      </c>
    </row>
    <row r="27" ht="16.5" customHeight="1" spans="1:23" x14ac:dyDescent="0.25">
      <c r="A27" s="3"/>
      <c r="B27" s="57">
        <f>IFERROR(VLOOKUP($A:$A,CS!$A:$AK,3,FALSE),"")</f>
      </c>
      <c r="C27" s="57">
        <f>IFERROR(VLOOKUP($A:$A,CS!$A:$AK,4,FALSE),"")</f>
      </c>
      <c r="D27" s="57">
        <f>IFERROR(VLOOKUP($A:$A,CS!$A:$AK,5,FALSE),"")</f>
      </c>
      <c r="E27" s="57">
        <f>IFERROR(VLOOKUP($A:$A,CS!$A:$AK,7,FALSE),"")</f>
      </c>
      <c r="F27" s="57">
        <f>IFERROR(VLOOKUP($A:$A,CS!$A:$AK,8,FALSE),"")</f>
      </c>
      <c r="G27" s="57">
        <f>IFERROR(VLOOKUP($A:$A,CS!$A:$AK,10,FALSE),"")</f>
      </c>
      <c r="H27" s="57">
        <f>IFERROR(VLOOKUP($A:$A,CS!$A:$AK,14,FALSE),"")</f>
      </c>
      <c r="I27" s="57">
        <f>IFERROR(VLOOKUP($A:$A,CS!$A:$AK,15,FALSE),"")</f>
      </c>
      <c r="J27" s="57">
        <f>IFERROR(VLOOKUP($A:$A,CS!$A:$AK,18,FALSE),"")</f>
      </c>
      <c r="K27" s="57">
        <f>IFERROR(VLOOKUP($A:$A,CS!$A:$AK,19,FALSE),"")</f>
      </c>
      <c r="L27" s="57">
        <f>IFERROR(VLOOKUP($A:$A,CS!$A:$AK,20,FALSE),"")</f>
      </c>
      <c r="M27" s="57">
        <f>IFERROR(VLOOKUP($A:$A,CS!$A:$AK,22,FALSE),"")</f>
      </c>
      <c r="N27" s="57">
        <f>IFERROR(VLOOKUP($A:$A,CS!$A:$AK,19,FALSE),"")</f>
      </c>
      <c r="O27" s="57">
        <f>IFERROR(VLOOKUP($A:$A,CS!$A:$AK,23,FALSE),"")</f>
      </c>
      <c r="P27" s="57">
        <f>IFERROR(VLOOKUP($A:$A,CS!$A:$AK,24,FALSE),"")</f>
      </c>
      <c r="Q27" s="57">
        <f>IFERROR(VLOOKUP($A:$A,CS!$A:$AK,25,FALSE),"")</f>
      </c>
      <c r="R27" s="57">
        <f>IFERROR(VLOOKUP($A:$A,CS!$A:$AK,26,FALSE),"")</f>
      </c>
      <c r="S27" s="57">
        <f>IFERROR(VLOOKUP($A:$A,CS!$A:$AK,29,FALSE),"")</f>
      </c>
      <c r="T27" s="57">
        <f>IFERROR(VLOOKUP($A:$A,CS!$A:$AK,33,FALSE),"")</f>
      </c>
      <c r="U27" s="57">
        <f>IFERROR(VLOOKUP($A:$A,CS!$A:$AK,34,FALSE),"")</f>
      </c>
      <c r="V27" s="57">
        <f>IFERROR(VLOOKUP($A:$A,CS!$A:$AK,35,FALSE),"")</f>
      </c>
      <c r="W27" s="57">
        <f>IFERROR(VLOOKUP($A:$A,CS!$A:$AK,36,FALSE),"")</f>
      </c>
    </row>
    <row r="28" ht="16.5" customHeight="1" spans="1:23" x14ac:dyDescent="0.25">
      <c r="A28" s="3"/>
      <c r="B28" s="57">
        <f>IFERROR(VLOOKUP($A:$A,CS!$A:$AK,3,FALSE),"")</f>
      </c>
      <c r="C28" s="57">
        <f>IFERROR(VLOOKUP($A:$A,CS!$A:$AK,4,FALSE),"")</f>
      </c>
      <c r="D28" s="57">
        <f>IFERROR(VLOOKUP($A:$A,CS!$A:$AK,5,FALSE),"")</f>
      </c>
      <c r="E28" s="57">
        <f>IFERROR(VLOOKUP($A:$A,CS!$A:$AK,7,FALSE),"")</f>
      </c>
      <c r="F28" s="57">
        <f>IFERROR(VLOOKUP($A:$A,CS!$A:$AK,8,FALSE),"")</f>
      </c>
      <c r="G28" s="57">
        <f>IFERROR(VLOOKUP($A:$A,CS!$A:$AK,10,FALSE),"")</f>
      </c>
      <c r="H28" s="57">
        <f>IFERROR(VLOOKUP($A:$A,CS!$A:$AK,14,FALSE),"")</f>
      </c>
      <c r="I28" s="57">
        <f>IFERROR(VLOOKUP($A:$A,CS!$A:$AK,15,FALSE),"")</f>
      </c>
      <c r="J28" s="57">
        <f>IFERROR(VLOOKUP($A:$A,CS!$A:$AK,18,FALSE),"")</f>
      </c>
      <c r="K28" s="57">
        <f>IFERROR(VLOOKUP($A:$A,CS!$A:$AK,19,FALSE),"")</f>
      </c>
      <c r="L28" s="57">
        <f>IFERROR(VLOOKUP($A:$A,CS!$A:$AK,20,FALSE),"")</f>
      </c>
      <c r="M28" s="57">
        <f>IFERROR(VLOOKUP($A:$A,CS!$A:$AK,22,FALSE),"")</f>
      </c>
      <c r="N28" s="57">
        <f>IFERROR(VLOOKUP($A:$A,CS!$A:$AK,19,FALSE),"")</f>
      </c>
      <c r="O28" s="57">
        <f>IFERROR(VLOOKUP($A:$A,CS!$A:$AK,23,FALSE),"")</f>
      </c>
      <c r="P28" s="57">
        <f>IFERROR(VLOOKUP($A:$A,CS!$A:$AK,24,FALSE),"")</f>
      </c>
      <c r="Q28" s="57">
        <f>IFERROR(VLOOKUP($A:$A,CS!$A:$AK,25,FALSE),"")</f>
      </c>
      <c r="R28" s="57">
        <f>IFERROR(VLOOKUP($A:$A,CS!$A:$AK,26,FALSE),"")</f>
      </c>
      <c r="S28" s="57">
        <f>IFERROR(VLOOKUP($A:$A,CS!$A:$AK,29,FALSE),"")</f>
      </c>
      <c r="T28" s="57">
        <f>IFERROR(VLOOKUP($A:$A,CS!$A:$AK,33,FALSE),"")</f>
      </c>
      <c r="U28" s="57">
        <f>IFERROR(VLOOKUP($A:$A,CS!$A:$AK,34,FALSE),"")</f>
      </c>
      <c r="V28" s="57">
        <f>IFERROR(VLOOKUP($A:$A,CS!$A:$AK,35,FALSE),"")</f>
      </c>
      <c r="W28" s="57">
        <f>IFERROR(VLOOKUP($A:$A,CS!$A:$AK,36,FALSE),"")</f>
      </c>
    </row>
    <row r="29" ht="16.5" customHeight="1" spans="1:23" x14ac:dyDescent="0.25">
      <c r="A29" s="3"/>
      <c r="B29" s="57">
        <f>IFERROR(VLOOKUP($A:$A,CS!$A:$AK,3,FALSE),"")</f>
      </c>
      <c r="C29" s="57">
        <f>IFERROR(VLOOKUP($A:$A,CS!$A:$AK,4,FALSE),"")</f>
      </c>
      <c r="D29" s="57">
        <f>IFERROR(VLOOKUP($A:$A,CS!$A:$AK,5,FALSE),"")</f>
      </c>
      <c r="E29" s="57">
        <f>IFERROR(VLOOKUP($A:$A,CS!$A:$AK,7,FALSE),"")</f>
      </c>
      <c r="F29" s="57">
        <f>IFERROR(VLOOKUP($A:$A,CS!$A:$AK,8,FALSE),"")</f>
      </c>
      <c r="G29" s="57">
        <f>IFERROR(VLOOKUP($A:$A,CS!$A:$AK,10,FALSE),"")</f>
      </c>
      <c r="H29" s="57">
        <f>IFERROR(VLOOKUP($A:$A,CS!$A:$AK,14,FALSE),"")</f>
      </c>
      <c r="I29" s="57">
        <f>IFERROR(VLOOKUP($A:$A,CS!$A:$AK,15,FALSE),"")</f>
      </c>
      <c r="J29" s="57">
        <f>IFERROR(VLOOKUP($A:$A,CS!$A:$AK,18,FALSE),"")</f>
      </c>
      <c r="K29" s="57">
        <f>IFERROR(VLOOKUP($A:$A,CS!$A:$AK,19,FALSE),"")</f>
      </c>
      <c r="L29" s="57">
        <f>IFERROR(VLOOKUP($A:$A,CS!$A:$AK,20,FALSE),"")</f>
      </c>
      <c r="M29" s="57">
        <f>IFERROR(VLOOKUP($A:$A,CS!$A:$AK,22,FALSE),"")</f>
      </c>
      <c r="N29" s="57">
        <f>IFERROR(VLOOKUP($A:$A,CS!$A:$AK,19,FALSE),"")</f>
      </c>
      <c r="O29" s="57">
        <f>IFERROR(VLOOKUP($A:$A,CS!$A:$AK,23,FALSE),"")</f>
      </c>
      <c r="P29" s="57">
        <f>IFERROR(VLOOKUP($A:$A,CS!$A:$AK,24,FALSE),"")</f>
      </c>
      <c r="Q29" s="57">
        <f>IFERROR(VLOOKUP($A:$A,CS!$A:$AK,25,FALSE),"")</f>
      </c>
      <c r="R29" s="57">
        <f>IFERROR(VLOOKUP($A:$A,CS!$A:$AK,26,FALSE),"")</f>
      </c>
      <c r="S29" s="57">
        <f>IFERROR(VLOOKUP($A:$A,CS!$A:$AK,29,FALSE),"")</f>
      </c>
      <c r="T29" s="57">
        <f>IFERROR(VLOOKUP($A:$A,CS!$A:$AK,33,FALSE),"")</f>
      </c>
      <c r="U29" s="57">
        <f>IFERROR(VLOOKUP($A:$A,CS!$A:$AK,34,FALSE),"")</f>
      </c>
      <c r="V29" s="57">
        <f>IFERROR(VLOOKUP($A:$A,CS!$A:$AK,35,FALSE),"")</f>
      </c>
      <c r="W29" s="57">
        <f>IFERROR(VLOOKUP($A:$A,CS!$A:$AK,36,FALSE),"")</f>
      </c>
    </row>
    <row r="30" ht="16.5" customHeight="1" spans="1:23" x14ac:dyDescent="0.25">
      <c r="A30" s="3"/>
      <c r="B30" s="57">
        <f>IFERROR(VLOOKUP($A:$A,CS!$A:$AK,3,FALSE),"")</f>
      </c>
      <c r="C30" s="57">
        <f>IFERROR(VLOOKUP($A:$A,CS!$A:$AK,4,FALSE),"")</f>
      </c>
      <c r="D30" s="57">
        <f>IFERROR(VLOOKUP($A:$A,CS!$A:$AK,5,FALSE),"")</f>
      </c>
      <c r="E30" s="57">
        <f>IFERROR(VLOOKUP($A:$A,CS!$A:$AK,7,FALSE),"")</f>
      </c>
      <c r="F30" s="57">
        <f>IFERROR(VLOOKUP($A:$A,CS!$A:$AK,8,FALSE),"")</f>
      </c>
      <c r="G30" s="57">
        <f>IFERROR(VLOOKUP($A:$A,CS!$A:$AK,10,FALSE),"")</f>
      </c>
      <c r="H30" s="57">
        <f>IFERROR(VLOOKUP($A:$A,CS!$A:$AK,14,FALSE),"")</f>
      </c>
      <c r="I30" s="57">
        <f>IFERROR(VLOOKUP($A:$A,CS!$A:$AK,15,FALSE),"")</f>
      </c>
      <c r="J30" s="57">
        <f>IFERROR(VLOOKUP($A:$A,CS!$A:$AK,18,FALSE),"")</f>
      </c>
      <c r="K30" s="57">
        <f>IFERROR(VLOOKUP($A:$A,CS!$A:$AK,19,FALSE),"")</f>
      </c>
      <c r="L30" s="57">
        <f>IFERROR(VLOOKUP($A:$A,CS!$A:$AK,20,FALSE),"")</f>
      </c>
      <c r="M30" s="57">
        <f>IFERROR(VLOOKUP($A:$A,CS!$A:$AK,22,FALSE),"")</f>
      </c>
      <c r="N30" s="57">
        <f>IFERROR(VLOOKUP($A:$A,CS!$A:$AK,19,FALSE),"")</f>
      </c>
      <c r="O30" s="57">
        <f>IFERROR(VLOOKUP($A:$A,CS!$A:$AK,23,FALSE),"")</f>
      </c>
      <c r="P30" s="57">
        <f>IFERROR(VLOOKUP($A:$A,CS!$A:$AK,24,FALSE),"")</f>
      </c>
      <c r="Q30" s="57">
        <f>IFERROR(VLOOKUP($A:$A,CS!$A:$AK,25,FALSE),"")</f>
      </c>
      <c r="R30" s="57">
        <f>IFERROR(VLOOKUP($A:$A,CS!$A:$AK,26,FALSE),"")</f>
      </c>
      <c r="S30" s="57">
        <f>IFERROR(VLOOKUP($A:$A,CS!$A:$AK,29,FALSE),"")</f>
      </c>
      <c r="T30" s="57">
        <f>IFERROR(VLOOKUP($A:$A,CS!$A:$AK,33,FALSE),"")</f>
      </c>
      <c r="U30" s="57">
        <f>IFERROR(VLOOKUP($A:$A,CS!$A:$AK,34,FALSE),"")</f>
      </c>
      <c r="V30" s="57">
        <f>IFERROR(VLOOKUP($A:$A,CS!$A:$AK,35,FALSE),"")</f>
      </c>
      <c r="W30" s="57">
        <f>IFERROR(VLOOKUP($A:$A,CS!$A:$AK,36,FALSE),"")</f>
      </c>
    </row>
    <row r="31" ht="16.5" customHeight="1" spans="1:23" x14ac:dyDescent="0.25">
      <c r="A31" s="3"/>
      <c r="B31" s="57">
        <f>IFERROR(VLOOKUP($A:$A,CS!$A:$AK,3,FALSE),"")</f>
      </c>
      <c r="C31" s="57">
        <f>IFERROR(VLOOKUP($A:$A,CS!$A:$AK,4,FALSE),"")</f>
      </c>
      <c r="D31" s="57">
        <f>IFERROR(VLOOKUP($A:$A,CS!$A:$AK,5,FALSE),"")</f>
      </c>
      <c r="E31" s="57">
        <f>IFERROR(VLOOKUP($A:$A,CS!$A:$AK,7,FALSE),"")</f>
      </c>
      <c r="F31" s="57">
        <f>IFERROR(VLOOKUP($A:$A,CS!$A:$AK,8,FALSE),"")</f>
      </c>
      <c r="G31" s="57">
        <f>IFERROR(VLOOKUP($A:$A,CS!$A:$AK,10,FALSE),"")</f>
      </c>
      <c r="H31" s="57">
        <f>IFERROR(VLOOKUP($A:$A,CS!$A:$AK,14,FALSE),"")</f>
      </c>
      <c r="I31" s="57">
        <f>IFERROR(VLOOKUP($A:$A,CS!$A:$AK,15,FALSE),"")</f>
      </c>
      <c r="J31" s="57">
        <f>IFERROR(VLOOKUP($A:$A,CS!$A:$AK,18,FALSE),"")</f>
      </c>
      <c r="K31" s="57">
        <f>IFERROR(VLOOKUP($A:$A,CS!$A:$AK,19,FALSE),"")</f>
      </c>
      <c r="L31" s="57">
        <f>IFERROR(VLOOKUP($A:$A,CS!$A:$AK,20,FALSE),"")</f>
      </c>
      <c r="M31" s="57">
        <f>IFERROR(VLOOKUP($A:$A,CS!$A:$AK,22,FALSE),"")</f>
      </c>
      <c r="N31" s="57">
        <f>IFERROR(VLOOKUP($A:$A,CS!$A:$AK,19,FALSE),"")</f>
      </c>
      <c r="O31" s="57">
        <f>IFERROR(VLOOKUP($A:$A,CS!$A:$AK,23,FALSE),"")</f>
      </c>
      <c r="P31" s="57">
        <f>IFERROR(VLOOKUP($A:$A,CS!$A:$AK,24,FALSE),"")</f>
      </c>
      <c r="Q31" s="57">
        <f>IFERROR(VLOOKUP($A:$A,CS!$A:$AK,25,FALSE),"")</f>
      </c>
      <c r="R31" s="57">
        <f>IFERROR(VLOOKUP($A:$A,CS!$A:$AK,26,FALSE),"")</f>
      </c>
      <c r="S31" s="57">
        <f>IFERROR(VLOOKUP($A:$A,CS!$A:$AK,29,FALSE),"")</f>
      </c>
      <c r="T31" s="57">
        <f>IFERROR(VLOOKUP($A:$A,CS!$A:$AK,33,FALSE),"")</f>
      </c>
      <c r="U31" s="57">
        <f>IFERROR(VLOOKUP($A:$A,CS!$A:$AK,34,FALSE),"")</f>
      </c>
      <c r="V31" s="57">
        <f>IFERROR(VLOOKUP($A:$A,CS!$A:$AK,35,FALSE),"")</f>
      </c>
      <c r="W31" s="57">
        <f>IFERROR(VLOOKUP($A:$A,CS!$A:$AK,36,FALSE),"")</f>
      </c>
    </row>
    <row r="32" ht="16.5" customHeight="1" spans="1:23" x14ac:dyDescent="0.25">
      <c r="A32" s="3"/>
      <c r="B32" s="57">
        <f>IFERROR(VLOOKUP($A:$A,CS!$A:$AK,3,FALSE),"")</f>
      </c>
      <c r="C32" s="57">
        <f>IFERROR(VLOOKUP($A:$A,CS!$A:$AK,4,FALSE),"")</f>
      </c>
      <c r="D32" s="57">
        <f>IFERROR(VLOOKUP($A:$A,CS!$A:$AK,5,FALSE),"")</f>
      </c>
      <c r="E32" s="57">
        <f>IFERROR(VLOOKUP($A:$A,CS!$A:$AK,7,FALSE),"")</f>
      </c>
      <c r="F32" s="57">
        <f>IFERROR(VLOOKUP($A:$A,CS!$A:$AK,8,FALSE),"")</f>
      </c>
      <c r="G32" s="57">
        <f>IFERROR(VLOOKUP($A:$A,CS!$A:$AK,10,FALSE),"")</f>
      </c>
      <c r="H32" s="57">
        <f>IFERROR(VLOOKUP($A:$A,CS!$A:$AK,14,FALSE),"")</f>
      </c>
      <c r="I32" s="57">
        <f>IFERROR(VLOOKUP($A:$A,CS!$A:$AK,15,FALSE),"")</f>
      </c>
      <c r="J32" s="57">
        <f>IFERROR(VLOOKUP($A:$A,CS!$A:$AK,18,FALSE),"")</f>
      </c>
      <c r="K32" s="57">
        <f>IFERROR(VLOOKUP($A:$A,CS!$A:$AK,19,FALSE),"")</f>
      </c>
      <c r="L32" s="57">
        <f>IFERROR(VLOOKUP($A:$A,CS!$A:$AK,20,FALSE),"")</f>
      </c>
      <c r="M32" s="57">
        <f>IFERROR(VLOOKUP($A:$A,CS!$A:$AK,22,FALSE),"")</f>
      </c>
      <c r="N32" s="57">
        <f>IFERROR(VLOOKUP($A:$A,CS!$A:$AK,19,FALSE),"")</f>
      </c>
      <c r="O32" s="57">
        <f>IFERROR(VLOOKUP($A:$A,CS!$A:$AK,23,FALSE),"")</f>
      </c>
      <c r="P32" s="57">
        <f>IFERROR(VLOOKUP($A:$A,CS!$A:$AK,24,FALSE),"")</f>
      </c>
      <c r="Q32" s="57">
        <f>IFERROR(VLOOKUP($A:$A,CS!$A:$AK,25,FALSE),"")</f>
      </c>
      <c r="R32" s="57">
        <f>IFERROR(VLOOKUP($A:$A,CS!$A:$AK,26,FALSE),"")</f>
      </c>
      <c r="S32" s="57">
        <f>IFERROR(VLOOKUP($A:$A,CS!$A:$AK,29,FALSE),"")</f>
      </c>
      <c r="T32" s="57">
        <f>IFERROR(VLOOKUP($A:$A,CS!$A:$AK,33,FALSE),"")</f>
      </c>
      <c r="U32" s="57">
        <f>IFERROR(VLOOKUP($A:$A,CS!$A:$AK,34,FALSE),"")</f>
      </c>
      <c r="V32" s="57">
        <f>IFERROR(VLOOKUP($A:$A,CS!$A:$AK,35,FALSE),"")</f>
      </c>
      <c r="W32" s="57">
        <f>IFERROR(VLOOKUP($A:$A,CS!$A:$AK,36,FALSE),"")</f>
      </c>
    </row>
    <row r="33" ht="16.5" customHeight="1" spans="1:23" x14ac:dyDescent="0.25">
      <c r="A33" s="3"/>
      <c r="B33" s="57">
        <f>IFERROR(VLOOKUP($A:$A,CS!$A:$AK,3,FALSE),"")</f>
      </c>
      <c r="C33" s="57">
        <f>IFERROR(VLOOKUP($A:$A,CS!$A:$AK,4,FALSE),"")</f>
      </c>
      <c r="D33" s="57">
        <f>IFERROR(VLOOKUP($A:$A,CS!$A:$AK,5,FALSE),"")</f>
      </c>
      <c r="E33" s="57">
        <f>IFERROR(VLOOKUP($A:$A,CS!$A:$AK,7,FALSE),"")</f>
      </c>
      <c r="F33" s="57">
        <f>IFERROR(VLOOKUP($A:$A,CS!$A:$AK,8,FALSE),"")</f>
      </c>
      <c r="G33" s="57">
        <f>IFERROR(VLOOKUP($A:$A,CS!$A:$AK,10,FALSE),"")</f>
      </c>
      <c r="H33" s="57">
        <f>IFERROR(VLOOKUP($A:$A,CS!$A:$AK,14,FALSE),"")</f>
      </c>
      <c r="I33" s="57">
        <f>IFERROR(VLOOKUP($A:$A,CS!$A:$AK,15,FALSE),"")</f>
      </c>
      <c r="J33" s="57">
        <f>IFERROR(VLOOKUP($A:$A,CS!$A:$AK,18,FALSE),"")</f>
      </c>
      <c r="K33" s="57">
        <f>IFERROR(VLOOKUP($A:$A,CS!$A:$AK,19,FALSE),"")</f>
      </c>
      <c r="L33" s="57">
        <f>IFERROR(VLOOKUP($A:$A,CS!$A:$AK,20,FALSE),"")</f>
      </c>
      <c r="M33" s="57">
        <f>IFERROR(VLOOKUP($A:$A,CS!$A:$AK,22,FALSE),"")</f>
      </c>
      <c r="N33" s="57">
        <f>IFERROR(VLOOKUP($A:$A,CS!$A:$AK,19,FALSE),"")</f>
      </c>
      <c r="O33" s="57">
        <f>IFERROR(VLOOKUP($A:$A,CS!$A:$AK,23,FALSE),"")</f>
      </c>
      <c r="P33" s="57">
        <f>IFERROR(VLOOKUP($A:$A,CS!$A:$AK,24,FALSE),"")</f>
      </c>
      <c r="Q33" s="57">
        <f>IFERROR(VLOOKUP($A:$A,CS!$A:$AK,25,FALSE),"")</f>
      </c>
      <c r="R33" s="57">
        <f>IFERROR(VLOOKUP($A:$A,CS!$A:$AK,26,FALSE),"")</f>
      </c>
      <c r="S33" s="57">
        <f>IFERROR(VLOOKUP($A:$A,CS!$A:$AK,29,FALSE),"")</f>
      </c>
      <c r="T33" s="57">
        <f>IFERROR(VLOOKUP($A:$A,CS!$A:$AK,33,FALSE),"")</f>
      </c>
      <c r="U33" s="57">
        <f>IFERROR(VLOOKUP($A:$A,CS!$A:$AK,34,FALSE),"")</f>
      </c>
      <c r="V33" s="57">
        <f>IFERROR(VLOOKUP($A:$A,CS!$A:$AK,35,FALSE),"")</f>
      </c>
      <c r="W33" s="57">
        <f>IFERROR(VLOOKUP($A:$A,CS!$A:$AK,36,FALSE),"")</f>
      </c>
    </row>
    <row r="34" ht="16.5" customHeight="1" spans="1:23" x14ac:dyDescent="0.25">
      <c r="A34" s="3"/>
      <c r="B34" s="57">
        <f>IFERROR(VLOOKUP($A:$A,CS!$A:$AK,3,FALSE),"")</f>
      </c>
      <c r="C34" s="57">
        <f>IFERROR(VLOOKUP($A:$A,CS!$A:$AK,4,FALSE),"")</f>
      </c>
      <c r="D34" s="57">
        <f>IFERROR(VLOOKUP($A:$A,CS!$A:$AK,5,FALSE),"")</f>
      </c>
      <c r="E34" s="57">
        <f>IFERROR(VLOOKUP($A:$A,CS!$A:$AK,7,FALSE),"")</f>
      </c>
      <c r="F34" s="57">
        <f>IFERROR(VLOOKUP($A:$A,CS!$A:$AK,8,FALSE),"")</f>
      </c>
      <c r="G34" s="57">
        <f>IFERROR(VLOOKUP($A:$A,CS!$A:$AK,10,FALSE),"")</f>
      </c>
      <c r="H34" s="57">
        <f>IFERROR(VLOOKUP($A:$A,CS!$A:$AK,14,FALSE),"")</f>
      </c>
      <c r="I34" s="57">
        <f>IFERROR(VLOOKUP($A:$A,CS!$A:$AK,15,FALSE),"")</f>
      </c>
      <c r="J34" s="57">
        <f>IFERROR(VLOOKUP($A:$A,CS!$A:$AK,18,FALSE),"")</f>
      </c>
      <c r="K34" s="57">
        <f>IFERROR(VLOOKUP($A:$A,CS!$A:$AK,19,FALSE),"")</f>
      </c>
      <c r="L34" s="57">
        <f>IFERROR(VLOOKUP($A:$A,CS!$A:$AK,20,FALSE),"")</f>
      </c>
      <c r="M34" s="57">
        <f>IFERROR(VLOOKUP($A:$A,CS!$A:$AK,22,FALSE),"")</f>
      </c>
      <c r="N34" s="57">
        <f>IFERROR(VLOOKUP($A:$A,CS!$A:$AK,19,FALSE),"")</f>
      </c>
      <c r="O34" s="57">
        <f>IFERROR(VLOOKUP($A:$A,CS!$A:$AK,23,FALSE),"")</f>
      </c>
      <c r="P34" s="57">
        <f>IFERROR(VLOOKUP($A:$A,CS!$A:$AK,24,FALSE),"")</f>
      </c>
      <c r="Q34" s="57">
        <f>IFERROR(VLOOKUP($A:$A,CS!$A:$AK,25,FALSE),"")</f>
      </c>
      <c r="R34" s="57">
        <f>IFERROR(VLOOKUP($A:$A,CS!$A:$AK,26,FALSE),"")</f>
      </c>
      <c r="S34" s="57">
        <f>IFERROR(VLOOKUP($A:$A,CS!$A:$AK,29,FALSE),"")</f>
      </c>
      <c r="T34" s="57">
        <f>IFERROR(VLOOKUP($A:$A,CS!$A:$AK,33,FALSE),"")</f>
      </c>
      <c r="U34" s="57">
        <f>IFERROR(VLOOKUP($A:$A,CS!$A:$AK,34,FALSE),"")</f>
      </c>
      <c r="V34" s="57">
        <f>IFERROR(VLOOKUP($A:$A,CS!$A:$AK,35,FALSE),"")</f>
      </c>
      <c r="W34" s="57">
        <f>IFERROR(VLOOKUP($A:$A,CS!$A:$AK,36,FALSE),"")</f>
      </c>
    </row>
    <row r="35" ht="16.5" customHeight="1" spans="1:23" x14ac:dyDescent="0.25">
      <c r="A35" s="3"/>
      <c r="B35" s="57">
        <f>IFERROR(VLOOKUP($A:$A,CS!$A:$AK,3,FALSE),"")</f>
      </c>
      <c r="C35" s="57">
        <f>IFERROR(VLOOKUP($A:$A,CS!$A:$AK,4,FALSE),"")</f>
      </c>
      <c r="D35" s="57">
        <f>IFERROR(VLOOKUP($A:$A,CS!$A:$AK,5,FALSE),"")</f>
      </c>
      <c r="E35" s="57">
        <f>IFERROR(VLOOKUP($A:$A,CS!$A:$AK,7,FALSE),"")</f>
      </c>
      <c r="F35" s="57">
        <f>IFERROR(VLOOKUP($A:$A,CS!$A:$AK,8,FALSE),"")</f>
      </c>
      <c r="G35" s="57">
        <f>IFERROR(VLOOKUP($A:$A,CS!$A:$AK,10,FALSE),"")</f>
      </c>
      <c r="H35" s="57">
        <f>IFERROR(VLOOKUP($A:$A,CS!$A:$AK,14,FALSE),"")</f>
      </c>
      <c r="I35" s="57">
        <f>IFERROR(VLOOKUP($A:$A,CS!$A:$AK,15,FALSE),"")</f>
      </c>
      <c r="J35" s="57">
        <f>IFERROR(VLOOKUP($A:$A,CS!$A:$AK,18,FALSE),"")</f>
      </c>
      <c r="K35" s="57">
        <f>IFERROR(VLOOKUP($A:$A,CS!$A:$AK,19,FALSE),"")</f>
      </c>
      <c r="L35" s="57">
        <f>IFERROR(VLOOKUP($A:$A,CS!$A:$AK,20,FALSE),"")</f>
      </c>
      <c r="M35" s="57">
        <f>IFERROR(VLOOKUP($A:$A,CS!$A:$AK,22,FALSE),"")</f>
      </c>
      <c r="N35" s="57">
        <f>IFERROR(VLOOKUP($A:$A,CS!$A:$AK,19,FALSE),"")</f>
      </c>
      <c r="O35" s="57">
        <f>IFERROR(VLOOKUP($A:$A,CS!$A:$AK,23,FALSE),"")</f>
      </c>
      <c r="P35" s="57">
        <f>IFERROR(VLOOKUP($A:$A,CS!$A:$AK,24,FALSE),"")</f>
      </c>
      <c r="Q35" s="57">
        <f>IFERROR(VLOOKUP($A:$A,CS!$A:$AK,25,FALSE),"")</f>
      </c>
      <c r="R35" s="57">
        <f>IFERROR(VLOOKUP($A:$A,CS!$A:$AK,26,FALSE),"")</f>
      </c>
      <c r="S35" s="57">
        <f>IFERROR(VLOOKUP($A:$A,CS!$A:$AK,29,FALSE),"")</f>
      </c>
      <c r="T35" s="57">
        <f>IFERROR(VLOOKUP($A:$A,CS!$A:$AK,33,FALSE),"")</f>
      </c>
      <c r="U35" s="57">
        <f>IFERROR(VLOOKUP($A:$A,CS!$A:$AK,34,FALSE),"")</f>
      </c>
      <c r="V35" s="57">
        <f>IFERROR(VLOOKUP($A:$A,CS!$A:$AK,35,FALSE),"")</f>
      </c>
      <c r="W35" s="57">
        <f>IFERROR(VLOOKUP($A:$A,CS!$A:$AK,36,FALSE),"")</f>
      </c>
    </row>
    <row r="36" ht="16.5" customHeight="1" spans="1:23" x14ac:dyDescent="0.25">
      <c r="A36" s="3"/>
      <c r="B36" s="57">
        <f>IFERROR(VLOOKUP($A:$A,CS!$A:$AK,3,FALSE),"")</f>
      </c>
      <c r="C36" s="57">
        <f>IFERROR(VLOOKUP($A:$A,CS!$A:$AK,4,FALSE),"")</f>
      </c>
      <c r="D36" s="57">
        <f>IFERROR(VLOOKUP($A:$A,CS!$A:$AK,5,FALSE),"")</f>
      </c>
      <c r="E36" s="57">
        <f>IFERROR(VLOOKUP($A:$A,CS!$A:$AK,7,FALSE),"")</f>
      </c>
      <c r="F36" s="57">
        <f>IFERROR(VLOOKUP($A:$A,CS!$A:$AK,8,FALSE),"")</f>
      </c>
      <c r="G36" s="57">
        <f>IFERROR(VLOOKUP($A:$A,CS!$A:$AK,10,FALSE),"")</f>
      </c>
      <c r="H36" s="57">
        <f>IFERROR(VLOOKUP($A:$A,CS!$A:$AK,14,FALSE),"")</f>
      </c>
      <c r="I36" s="57">
        <f>IFERROR(VLOOKUP($A:$A,CS!$A:$AK,15,FALSE),"")</f>
      </c>
      <c r="J36" s="57">
        <f>IFERROR(VLOOKUP($A:$A,CS!$A:$AK,18,FALSE),"")</f>
      </c>
      <c r="K36" s="57">
        <f>IFERROR(VLOOKUP($A:$A,CS!$A:$AK,19,FALSE),"")</f>
      </c>
      <c r="L36" s="57">
        <f>IFERROR(VLOOKUP($A:$A,CS!$A:$AK,20,FALSE),"")</f>
      </c>
      <c r="M36" s="57">
        <f>IFERROR(VLOOKUP($A:$A,CS!$A:$AK,22,FALSE),"")</f>
      </c>
      <c r="N36" s="57">
        <f>IFERROR(VLOOKUP($A:$A,CS!$A:$AK,19,FALSE),"")</f>
      </c>
      <c r="O36" s="57">
        <f>IFERROR(VLOOKUP($A:$A,CS!$A:$AK,23,FALSE),"")</f>
      </c>
      <c r="P36" s="57">
        <f>IFERROR(VLOOKUP($A:$A,CS!$A:$AK,24,FALSE),"")</f>
      </c>
      <c r="Q36" s="57">
        <f>IFERROR(VLOOKUP($A:$A,CS!$A:$AK,25,FALSE),"")</f>
      </c>
      <c r="R36" s="57">
        <f>IFERROR(VLOOKUP($A:$A,CS!$A:$AK,26,FALSE),"")</f>
      </c>
      <c r="S36" s="57">
        <f>IFERROR(VLOOKUP($A:$A,CS!$A:$AK,29,FALSE),"")</f>
      </c>
      <c r="T36" s="57">
        <f>IFERROR(VLOOKUP($A:$A,CS!$A:$AK,33,FALSE),"")</f>
      </c>
      <c r="U36" s="57">
        <f>IFERROR(VLOOKUP($A:$A,CS!$A:$AK,34,FALSE),"")</f>
      </c>
      <c r="V36" s="57">
        <f>IFERROR(VLOOKUP($A:$A,CS!$A:$AK,35,FALSE),"")</f>
      </c>
      <c r="W36" s="57">
        <f>IFERROR(VLOOKUP($A:$A,CS!$A:$AK,36,FALSE),"")</f>
      </c>
    </row>
    <row r="37" ht="16.5" customHeight="1" spans="1:23" x14ac:dyDescent="0.25">
      <c r="A37" s="3"/>
      <c r="B37" s="57">
        <f>IFERROR(VLOOKUP($A:$A,CS!$A:$AK,3,FALSE),"")</f>
      </c>
      <c r="C37" s="57">
        <f>IFERROR(VLOOKUP($A:$A,CS!$A:$AK,4,FALSE),"")</f>
      </c>
      <c r="D37" s="57">
        <f>IFERROR(VLOOKUP($A:$A,CS!$A:$AK,5,FALSE),"")</f>
      </c>
      <c r="E37" s="57">
        <f>IFERROR(VLOOKUP($A:$A,CS!$A:$AK,7,FALSE),"")</f>
      </c>
      <c r="F37" s="57">
        <f>IFERROR(VLOOKUP($A:$A,CS!$A:$AK,8,FALSE),"")</f>
      </c>
      <c r="G37" s="57">
        <f>IFERROR(VLOOKUP($A:$A,CS!$A:$AK,10,FALSE),"")</f>
      </c>
      <c r="H37" s="57">
        <f>IFERROR(VLOOKUP($A:$A,CS!$A:$AK,14,FALSE),"")</f>
      </c>
      <c r="I37" s="57">
        <f>IFERROR(VLOOKUP($A:$A,CS!$A:$AK,15,FALSE),"")</f>
      </c>
      <c r="J37" s="57">
        <f>IFERROR(VLOOKUP($A:$A,CS!$A:$AK,18,FALSE),"")</f>
      </c>
      <c r="K37" s="57">
        <f>IFERROR(VLOOKUP($A:$A,CS!$A:$AK,19,FALSE),"")</f>
      </c>
      <c r="L37" s="57">
        <f>IFERROR(VLOOKUP($A:$A,CS!$A:$AK,20,FALSE),"")</f>
      </c>
      <c r="M37" s="57">
        <f>IFERROR(VLOOKUP($A:$A,CS!$A:$AK,22,FALSE),"")</f>
      </c>
      <c r="N37" s="57">
        <f>IFERROR(VLOOKUP($A:$A,CS!$A:$AK,19,FALSE),"")</f>
      </c>
      <c r="O37" s="57">
        <f>IFERROR(VLOOKUP($A:$A,CS!$A:$AK,23,FALSE),"")</f>
      </c>
      <c r="P37" s="57">
        <f>IFERROR(VLOOKUP($A:$A,CS!$A:$AK,24,FALSE),"")</f>
      </c>
      <c r="Q37" s="57">
        <f>IFERROR(VLOOKUP($A:$A,CS!$A:$AK,25,FALSE),"")</f>
      </c>
      <c r="R37" s="57">
        <f>IFERROR(VLOOKUP($A:$A,CS!$A:$AK,26,FALSE),"")</f>
      </c>
      <c r="S37" s="57">
        <f>IFERROR(VLOOKUP($A:$A,CS!$A:$AK,29,FALSE),"")</f>
      </c>
      <c r="T37" s="57">
        <f>IFERROR(VLOOKUP($A:$A,CS!$A:$AK,33,FALSE),"")</f>
      </c>
      <c r="U37" s="57">
        <f>IFERROR(VLOOKUP($A:$A,CS!$A:$AK,34,FALSE),"")</f>
      </c>
      <c r="V37" s="57">
        <f>IFERROR(VLOOKUP($A:$A,CS!$A:$AK,35,FALSE),"")</f>
      </c>
      <c r="W37" s="57">
        <f>IFERROR(VLOOKUP($A:$A,CS!$A:$AK,36,FALSE),"")</f>
      </c>
    </row>
    <row r="38" ht="16.5" customHeight="1" spans="1:23" x14ac:dyDescent="0.25">
      <c r="A38" s="3"/>
      <c r="B38" s="57">
        <f>IFERROR(VLOOKUP($A:$A,CS!$A:$AK,3,FALSE),"")</f>
      </c>
      <c r="C38" s="57">
        <f>IFERROR(VLOOKUP($A:$A,CS!$A:$AK,4,FALSE),"")</f>
      </c>
      <c r="D38" s="57">
        <f>IFERROR(VLOOKUP($A:$A,CS!$A:$AK,5,FALSE),"")</f>
      </c>
      <c r="E38" s="57">
        <f>IFERROR(VLOOKUP($A:$A,CS!$A:$AK,7,FALSE),"")</f>
      </c>
      <c r="F38" s="57">
        <f>IFERROR(VLOOKUP($A:$A,CS!$A:$AK,8,FALSE),"")</f>
      </c>
      <c r="G38" s="57">
        <f>IFERROR(VLOOKUP($A:$A,CS!$A:$AK,10,FALSE),"")</f>
      </c>
      <c r="H38" s="57">
        <f>IFERROR(VLOOKUP($A:$A,CS!$A:$AK,14,FALSE),"")</f>
      </c>
      <c r="I38" s="57">
        <f>IFERROR(VLOOKUP($A:$A,CS!$A:$AK,15,FALSE),"")</f>
      </c>
      <c r="J38" s="57">
        <f>IFERROR(VLOOKUP($A:$A,CS!$A:$AK,18,FALSE),"")</f>
      </c>
      <c r="K38" s="57">
        <f>IFERROR(VLOOKUP($A:$A,CS!$A:$AK,19,FALSE),"")</f>
      </c>
      <c r="L38" s="57">
        <f>IFERROR(VLOOKUP($A:$A,CS!$A:$AK,20,FALSE),"")</f>
      </c>
      <c r="M38" s="57">
        <f>IFERROR(VLOOKUP($A:$A,CS!$A:$AK,22,FALSE),"")</f>
      </c>
      <c r="N38" s="57">
        <f>IFERROR(VLOOKUP($A:$A,CS!$A:$AK,19,FALSE),"")</f>
      </c>
      <c r="O38" s="57">
        <f>IFERROR(VLOOKUP($A:$A,CS!$A:$AK,23,FALSE),"")</f>
      </c>
      <c r="P38" s="57">
        <f>IFERROR(VLOOKUP($A:$A,CS!$A:$AK,24,FALSE),"")</f>
      </c>
      <c r="Q38" s="57">
        <f>IFERROR(VLOOKUP($A:$A,CS!$A:$AK,25,FALSE),"")</f>
      </c>
      <c r="R38" s="57">
        <f>IFERROR(VLOOKUP($A:$A,CS!$A:$AK,26,FALSE),"")</f>
      </c>
      <c r="S38" s="57">
        <f>IFERROR(VLOOKUP($A:$A,CS!$A:$AK,29,FALSE),"")</f>
      </c>
      <c r="T38" s="57">
        <f>IFERROR(VLOOKUP($A:$A,CS!$A:$AK,33,FALSE),"")</f>
      </c>
      <c r="U38" s="57">
        <f>IFERROR(VLOOKUP($A:$A,CS!$A:$AK,34,FALSE),"")</f>
      </c>
      <c r="V38" s="57">
        <f>IFERROR(VLOOKUP($A:$A,CS!$A:$AK,35,FALSE),"")</f>
      </c>
      <c r="W38" s="57">
        <f>IFERROR(VLOOKUP($A:$A,CS!$A:$AK,36,FALSE),"")</f>
      </c>
    </row>
    <row r="39" ht="16.5" customHeight="1" spans="1:23" x14ac:dyDescent="0.25">
      <c r="A39" s="3"/>
      <c r="B39" s="57">
        <f>IFERROR(VLOOKUP($A:$A,CS!$A:$AK,3,FALSE),"")</f>
      </c>
      <c r="C39" s="57">
        <f>IFERROR(VLOOKUP($A:$A,CS!$A:$AK,4,FALSE),"")</f>
      </c>
      <c r="D39" s="57">
        <f>IFERROR(VLOOKUP($A:$A,CS!$A:$AK,5,FALSE),"")</f>
      </c>
      <c r="E39" s="57">
        <f>IFERROR(VLOOKUP($A:$A,CS!$A:$AK,7,FALSE),"")</f>
      </c>
      <c r="F39" s="57">
        <f>IFERROR(VLOOKUP($A:$A,CS!$A:$AK,8,FALSE),"")</f>
      </c>
      <c r="G39" s="57">
        <f>IFERROR(VLOOKUP($A:$A,CS!$A:$AK,10,FALSE),"")</f>
      </c>
      <c r="H39" s="57">
        <f>IFERROR(VLOOKUP($A:$A,CS!$A:$AK,14,FALSE),"")</f>
      </c>
      <c r="I39" s="57">
        <f>IFERROR(VLOOKUP($A:$A,CS!$A:$AK,15,FALSE),"")</f>
      </c>
      <c r="J39" s="57">
        <f>IFERROR(VLOOKUP($A:$A,CS!$A:$AK,18,FALSE),"")</f>
      </c>
      <c r="K39" s="57">
        <f>IFERROR(VLOOKUP($A:$A,CS!$A:$AK,19,FALSE),"")</f>
      </c>
      <c r="L39" s="57">
        <f>IFERROR(VLOOKUP($A:$A,CS!$A:$AK,20,FALSE),"")</f>
      </c>
      <c r="M39" s="57">
        <f>IFERROR(VLOOKUP($A:$A,CS!$A:$AK,22,FALSE),"")</f>
      </c>
      <c r="N39" s="57">
        <f>IFERROR(VLOOKUP($A:$A,CS!$A:$AK,19,FALSE),"")</f>
      </c>
      <c r="O39" s="57">
        <f>IFERROR(VLOOKUP($A:$A,CS!$A:$AK,23,FALSE),"")</f>
      </c>
      <c r="P39" s="57">
        <f>IFERROR(VLOOKUP($A:$A,CS!$A:$AK,24,FALSE),"")</f>
      </c>
      <c r="Q39" s="57">
        <f>IFERROR(VLOOKUP($A:$A,CS!$A:$AK,25,FALSE),"")</f>
      </c>
      <c r="R39" s="57">
        <f>IFERROR(VLOOKUP($A:$A,CS!$A:$AK,26,FALSE),"")</f>
      </c>
      <c r="S39" s="57">
        <f>IFERROR(VLOOKUP($A:$A,CS!$A:$AK,29,FALSE),"")</f>
      </c>
      <c r="T39" s="57">
        <f>IFERROR(VLOOKUP($A:$A,CS!$A:$AK,33,FALSE),"")</f>
      </c>
      <c r="U39" s="57">
        <f>IFERROR(VLOOKUP($A:$A,CS!$A:$AK,34,FALSE),"")</f>
      </c>
      <c r="V39" s="57">
        <f>IFERROR(VLOOKUP($A:$A,CS!$A:$AK,35,FALSE),"")</f>
      </c>
      <c r="W39" s="57">
        <f>IFERROR(VLOOKUP($A:$A,CS!$A:$AK,36,FALSE),"")</f>
      </c>
    </row>
    <row r="40" ht="16.5" customHeight="1" spans="1:23" x14ac:dyDescent="0.25">
      <c r="A40" s="71"/>
      <c r="B40" s="57">
        <f>IFERROR(VLOOKUP($A:$A,CS!$A:$AK,3,FALSE),"")</f>
      </c>
      <c r="C40" s="57">
        <f>IFERROR(VLOOKUP($A:$A,CS!$A:$AK,4,FALSE),"")</f>
      </c>
      <c r="D40" s="57">
        <f>IFERROR(VLOOKUP($A:$A,CS!$A:$AK,5,FALSE),"")</f>
      </c>
      <c r="E40" s="57">
        <f>IFERROR(VLOOKUP($A:$A,CS!$A:$AK,7,FALSE),"")</f>
      </c>
      <c r="F40" s="57">
        <f>IFERROR(VLOOKUP($A:$A,CS!$A:$AK,8,FALSE),"")</f>
      </c>
      <c r="G40" s="57">
        <f>IFERROR(VLOOKUP($A:$A,CS!$A:$AK,10,FALSE),"")</f>
      </c>
      <c r="H40" s="57">
        <f>IFERROR(VLOOKUP($A:$A,CS!$A:$AK,14,FALSE),"")</f>
      </c>
      <c r="I40" s="57">
        <f>IFERROR(VLOOKUP($A:$A,CS!$A:$AK,15,FALSE),"")</f>
      </c>
      <c r="J40" s="57">
        <f>IFERROR(VLOOKUP($A:$A,CS!$A:$AK,18,FALSE),"")</f>
      </c>
      <c r="K40" s="57">
        <f>IFERROR(VLOOKUP($A:$A,CS!$A:$AK,19,FALSE),"")</f>
      </c>
      <c r="L40" s="57">
        <f>IFERROR(VLOOKUP($A:$A,CS!$A:$AK,20,FALSE),"")</f>
      </c>
      <c r="M40" s="57">
        <f>IFERROR(VLOOKUP($A:$A,CS!$A:$AK,22,FALSE),"")</f>
      </c>
      <c r="N40" s="57">
        <f>IFERROR(VLOOKUP($A:$A,CS!$A:$AK,19,FALSE),"")</f>
      </c>
      <c r="O40" s="57">
        <f>IFERROR(VLOOKUP($A:$A,CS!$A:$AK,23,FALSE),"")</f>
      </c>
      <c r="P40" s="57">
        <f>IFERROR(VLOOKUP($A:$A,CS!$A:$AK,24,FALSE),"")</f>
      </c>
      <c r="Q40" s="57">
        <f>IFERROR(VLOOKUP($A:$A,CS!$A:$AK,25,FALSE),"")</f>
      </c>
      <c r="R40" s="57">
        <f>IFERROR(VLOOKUP($A:$A,CS!$A:$AK,26,FALSE),"")</f>
      </c>
      <c r="S40" s="57">
        <f>IFERROR(VLOOKUP($A:$A,CS!$A:$AK,29,FALSE),"")</f>
      </c>
      <c r="T40" s="57">
        <f>IFERROR(VLOOKUP($A:$A,CS!$A:$AK,33,FALSE),"")</f>
      </c>
      <c r="U40" s="57">
        <f>IFERROR(VLOOKUP($A:$A,CS!$A:$AK,34,FALSE),"")</f>
      </c>
      <c r="V40" s="57">
        <f>IFERROR(VLOOKUP($A:$A,CS!$A:$AK,35,FALSE),"")</f>
      </c>
      <c r="W40" s="57">
        <f>IFERROR(VLOOKUP($A:$A,CS!$A:$AK,36,FALSE),"")</f>
      </c>
    </row>
    <row r="41" ht="16.5" customHeight="1" spans="1:23" x14ac:dyDescent="0.25">
      <c r="A41" s="71"/>
      <c r="B41" s="57">
        <f>IFERROR(VLOOKUP($A:$A,CS!$A:$AK,3,FALSE),"")</f>
      </c>
      <c r="C41" s="57">
        <f>IFERROR(VLOOKUP($A:$A,CS!$A:$AK,4,FALSE),"")</f>
      </c>
      <c r="D41" s="57">
        <f>IFERROR(VLOOKUP($A:$A,CS!$A:$AK,5,FALSE),"")</f>
      </c>
      <c r="E41" s="57">
        <f>IFERROR(VLOOKUP($A:$A,CS!$A:$AK,7,FALSE),"")</f>
      </c>
      <c r="F41" s="57">
        <f>IFERROR(VLOOKUP($A:$A,CS!$A:$AK,8,FALSE),"")</f>
      </c>
      <c r="G41" s="57">
        <f>IFERROR(VLOOKUP($A:$A,CS!$A:$AK,10,FALSE),"")</f>
      </c>
      <c r="H41" s="57">
        <f>IFERROR(VLOOKUP($A:$A,CS!$A:$AK,14,FALSE),"")</f>
      </c>
      <c r="I41" s="57">
        <f>IFERROR(VLOOKUP($A:$A,CS!$A:$AK,15,FALSE),"")</f>
      </c>
      <c r="J41" s="57">
        <f>IFERROR(VLOOKUP($A:$A,CS!$A:$AK,18,FALSE),"")</f>
      </c>
      <c r="K41" s="57">
        <f>IFERROR(VLOOKUP($A:$A,CS!$A:$AK,19,FALSE),"")</f>
      </c>
      <c r="L41" s="57">
        <f>IFERROR(VLOOKUP($A:$A,CS!$A:$AK,20,FALSE),"")</f>
      </c>
      <c r="M41" s="57">
        <f>IFERROR(VLOOKUP($A:$A,CS!$A:$AK,22,FALSE),"")</f>
      </c>
      <c r="N41" s="57">
        <f>IFERROR(VLOOKUP($A:$A,CS!$A:$AK,19,FALSE),"")</f>
      </c>
      <c r="O41" s="57">
        <f>IFERROR(VLOOKUP($A:$A,CS!$A:$AK,23,FALSE),"")</f>
      </c>
      <c r="P41" s="57">
        <f>IFERROR(VLOOKUP($A:$A,CS!$A:$AK,24,FALSE),"")</f>
      </c>
      <c r="Q41" s="57">
        <f>IFERROR(VLOOKUP($A:$A,CS!$A:$AK,25,FALSE),"")</f>
      </c>
      <c r="R41" s="57">
        <f>IFERROR(VLOOKUP($A:$A,CS!$A:$AK,26,FALSE),"")</f>
      </c>
      <c r="S41" s="57">
        <f>IFERROR(VLOOKUP($A:$A,CS!$A:$AK,29,FALSE),"")</f>
      </c>
      <c r="T41" s="57">
        <f>IFERROR(VLOOKUP($A:$A,CS!$A:$AK,33,FALSE),"")</f>
      </c>
      <c r="U41" s="57">
        <f>IFERROR(VLOOKUP($A:$A,CS!$A:$AK,34,FALSE),"")</f>
      </c>
      <c r="V41" s="57">
        <f>IFERROR(VLOOKUP($A:$A,CS!$A:$AK,35,FALSE),"")</f>
      </c>
      <c r="W41" s="57">
        <f>IFERROR(VLOOKUP($A:$A,CS!$A:$AK,36,FALSE),"")</f>
      </c>
    </row>
    <row r="42" ht="16.5" customHeight="1" spans="1:23" x14ac:dyDescent="0.25">
      <c r="A42" s="71"/>
      <c r="B42" s="57">
        <f>IFERROR(VLOOKUP($A:$A,CS!$A:$AK,3,FALSE),"")</f>
      </c>
      <c r="C42" s="57">
        <f>IFERROR(VLOOKUP($A:$A,CS!$A:$AK,4,FALSE),"")</f>
      </c>
      <c r="D42" s="57">
        <f>IFERROR(VLOOKUP($A:$A,CS!$A:$AK,5,FALSE),"")</f>
      </c>
      <c r="E42" s="57">
        <f>IFERROR(VLOOKUP($A:$A,CS!$A:$AK,7,FALSE),"")</f>
      </c>
      <c r="F42" s="57">
        <f>IFERROR(VLOOKUP($A:$A,CS!$A:$AK,8,FALSE),"")</f>
      </c>
      <c r="G42" s="57">
        <f>IFERROR(VLOOKUP($A:$A,CS!$A:$AK,10,FALSE),"")</f>
      </c>
      <c r="H42" s="57">
        <f>IFERROR(VLOOKUP($A:$A,CS!$A:$AK,14,FALSE),"")</f>
      </c>
      <c r="I42" s="57">
        <f>IFERROR(VLOOKUP($A:$A,CS!$A:$AK,15,FALSE),"")</f>
      </c>
      <c r="J42" s="57">
        <f>IFERROR(VLOOKUP($A:$A,CS!$A:$AK,18,FALSE),"")</f>
      </c>
      <c r="K42" s="57">
        <f>IFERROR(VLOOKUP($A:$A,CS!$A:$AK,19,FALSE),"")</f>
      </c>
      <c r="L42" s="57">
        <f>IFERROR(VLOOKUP($A:$A,CS!$A:$AK,20,FALSE),"")</f>
      </c>
      <c r="M42" s="57">
        <f>IFERROR(VLOOKUP($A:$A,CS!$A:$AK,22,FALSE),"")</f>
      </c>
      <c r="N42" s="57">
        <f>IFERROR(VLOOKUP($A:$A,CS!$A:$AK,19,FALSE),"")</f>
      </c>
      <c r="O42" s="57">
        <f>IFERROR(VLOOKUP($A:$A,CS!$A:$AK,23,FALSE),"")</f>
      </c>
      <c r="P42" s="57">
        <f>IFERROR(VLOOKUP($A:$A,CS!$A:$AK,24,FALSE),"")</f>
      </c>
      <c r="Q42" s="57">
        <f>IFERROR(VLOOKUP($A:$A,CS!$A:$AK,25,FALSE),"")</f>
      </c>
      <c r="R42" s="57">
        <f>IFERROR(VLOOKUP($A:$A,CS!$A:$AK,26,FALSE),"")</f>
      </c>
      <c r="S42" s="57">
        <f>IFERROR(VLOOKUP($A:$A,CS!$A:$AK,29,FALSE),"")</f>
      </c>
      <c r="T42" s="57">
        <f>IFERROR(VLOOKUP($A:$A,CS!$A:$AK,33,FALSE),"")</f>
      </c>
      <c r="U42" s="57">
        <f>IFERROR(VLOOKUP($A:$A,CS!$A:$AK,34,FALSE),"")</f>
      </c>
      <c r="V42" s="57">
        <f>IFERROR(VLOOKUP($A:$A,CS!$A:$AK,35,FALSE),"")</f>
      </c>
      <c r="W42" s="57">
        <f>IFERROR(VLOOKUP($A:$A,CS!$A:$AK,36,FALSE),"")</f>
      </c>
    </row>
    <row r="43" ht="16.5" customHeight="1" spans="1:23" x14ac:dyDescent="0.25">
      <c r="A43" s="71"/>
      <c r="B43" s="57">
        <f>IFERROR(VLOOKUP($A:$A,CS!$A:$AK,3,FALSE),"")</f>
      </c>
      <c r="C43" s="57">
        <f>IFERROR(VLOOKUP($A:$A,CS!$A:$AK,4,FALSE),"")</f>
      </c>
      <c r="D43" s="57">
        <f>IFERROR(VLOOKUP($A:$A,CS!$A:$AK,5,FALSE),"")</f>
      </c>
      <c r="E43" s="57">
        <f>IFERROR(VLOOKUP($A:$A,CS!$A:$AK,7,FALSE),"")</f>
      </c>
      <c r="F43" s="57">
        <f>IFERROR(VLOOKUP($A:$A,CS!$A:$AK,8,FALSE),"")</f>
      </c>
      <c r="G43" s="57">
        <f>IFERROR(VLOOKUP($A:$A,CS!$A:$AK,10,FALSE),"")</f>
      </c>
      <c r="H43" s="57">
        <f>IFERROR(VLOOKUP($A:$A,CS!$A:$AK,14,FALSE),"")</f>
      </c>
      <c r="I43" s="57">
        <f>IFERROR(VLOOKUP($A:$A,CS!$A:$AK,15,FALSE),"")</f>
      </c>
      <c r="J43" s="57">
        <f>IFERROR(VLOOKUP($A:$A,CS!$A:$AK,18,FALSE),"")</f>
      </c>
      <c r="K43" s="57">
        <f>IFERROR(VLOOKUP($A:$A,CS!$A:$AK,19,FALSE),"")</f>
      </c>
      <c r="L43" s="57">
        <f>IFERROR(VLOOKUP($A:$A,CS!$A:$AK,20,FALSE),"")</f>
      </c>
      <c r="M43" s="57">
        <f>IFERROR(VLOOKUP($A:$A,CS!$A:$AK,22,FALSE),"")</f>
      </c>
      <c r="N43" s="57">
        <f>IFERROR(VLOOKUP($A:$A,CS!$A:$AK,19,FALSE),"")</f>
      </c>
      <c r="O43" s="57">
        <f>IFERROR(VLOOKUP($A:$A,CS!$A:$AK,23,FALSE),"")</f>
      </c>
      <c r="P43" s="57">
        <f>IFERROR(VLOOKUP($A:$A,CS!$A:$AK,24,FALSE),"")</f>
      </c>
      <c r="Q43" s="57">
        <f>IFERROR(VLOOKUP($A:$A,CS!$A:$AK,25,FALSE),"")</f>
      </c>
      <c r="R43" s="57">
        <f>IFERROR(VLOOKUP($A:$A,CS!$A:$AK,26,FALSE),"")</f>
      </c>
      <c r="S43" s="57">
        <f>IFERROR(VLOOKUP($A:$A,CS!$A:$AK,29,FALSE),"")</f>
      </c>
      <c r="T43" s="57">
        <f>IFERROR(VLOOKUP($A:$A,CS!$A:$AK,33,FALSE),"")</f>
      </c>
      <c r="U43" s="57">
        <f>IFERROR(VLOOKUP($A:$A,CS!$A:$AK,34,FALSE),"")</f>
      </c>
      <c r="V43" s="57">
        <f>IFERROR(VLOOKUP($A:$A,CS!$A:$AK,35,FALSE),"")</f>
      </c>
      <c r="W43" s="57">
        <f>IFERROR(VLOOKUP($A:$A,CS!$A:$AK,36,FALSE),"")</f>
      </c>
    </row>
    <row r="44" ht="16.5" customHeight="1" spans="1:23" x14ac:dyDescent="0.25">
      <c r="A44" s="71"/>
      <c r="B44" s="57">
        <f>IFERROR(VLOOKUP($A:$A,CS!$A:$AK,3,FALSE),"")</f>
      </c>
      <c r="C44" s="57">
        <f>IFERROR(VLOOKUP($A:$A,CS!$A:$AK,4,FALSE),"")</f>
      </c>
      <c r="D44" s="57">
        <f>IFERROR(VLOOKUP($A:$A,CS!$A:$AK,5,FALSE),"")</f>
      </c>
      <c r="E44" s="57">
        <f>IFERROR(VLOOKUP($A:$A,CS!$A:$AK,7,FALSE),"")</f>
      </c>
      <c r="F44" s="57">
        <f>IFERROR(VLOOKUP($A:$A,CS!$A:$AK,8,FALSE),"")</f>
      </c>
      <c r="G44" s="57">
        <f>IFERROR(VLOOKUP($A:$A,CS!$A:$AK,10,FALSE),"")</f>
      </c>
      <c r="H44" s="57">
        <f>IFERROR(VLOOKUP($A:$A,CS!$A:$AK,14,FALSE),"")</f>
      </c>
      <c r="I44" s="57">
        <f>IFERROR(VLOOKUP($A:$A,CS!$A:$AK,15,FALSE),"")</f>
      </c>
      <c r="J44" s="57">
        <f>IFERROR(VLOOKUP($A:$A,CS!$A:$AK,18,FALSE),"")</f>
      </c>
      <c r="K44" s="57">
        <f>IFERROR(VLOOKUP($A:$A,CS!$A:$AK,19,FALSE),"")</f>
      </c>
      <c r="L44" s="57">
        <f>IFERROR(VLOOKUP($A:$A,CS!$A:$AK,20,FALSE),"")</f>
      </c>
      <c r="M44" s="57">
        <f>IFERROR(VLOOKUP($A:$A,CS!$A:$AK,22,FALSE),"")</f>
      </c>
      <c r="N44" s="57">
        <f>IFERROR(VLOOKUP($A:$A,CS!$A:$AK,19,FALSE),"")</f>
      </c>
      <c r="O44" s="57">
        <f>IFERROR(VLOOKUP($A:$A,CS!$A:$AK,23,FALSE),"")</f>
      </c>
      <c r="P44" s="57">
        <f>IFERROR(VLOOKUP($A:$A,CS!$A:$AK,24,FALSE),"")</f>
      </c>
      <c r="Q44" s="57">
        <f>IFERROR(VLOOKUP($A:$A,CS!$A:$AK,25,FALSE),"")</f>
      </c>
      <c r="R44" s="57">
        <f>IFERROR(VLOOKUP($A:$A,CS!$A:$AK,26,FALSE),"")</f>
      </c>
      <c r="S44" s="57">
        <f>IFERROR(VLOOKUP($A:$A,CS!$A:$AK,29,FALSE),"")</f>
      </c>
      <c r="T44" s="57">
        <f>IFERROR(VLOOKUP($A:$A,CS!$A:$AK,33,FALSE),"")</f>
      </c>
      <c r="U44" s="57">
        <f>IFERROR(VLOOKUP($A:$A,CS!$A:$AK,34,FALSE),"")</f>
      </c>
      <c r="V44" s="57">
        <f>IFERROR(VLOOKUP($A:$A,CS!$A:$AK,35,FALSE),"")</f>
      </c>
      <c r="W44" s="57">
        <f>IFERROR(VLOOKUP($A:$A,CS!$A:$AK,36,FALSE),"")</f>
      </c>
    </row>
    <row r="45" ht="16.5" customHeight="1" spans="1:23" x14ac:dyDescent="0.25">
      <c r="A45" s="71"/>
      <c r="B45" s="57">
        <f>IFERROR(VLOOKUP($A:$A,CS!$A:$AK,3,FALSE),"")</f>
      </c>
      <c r="C45" s="57">
        <f>IFERROR(VLOOKUP($A:$A,CS!$A:$AK,4,FALSE),"")</f>
      </c>
      <c r="D45" s="57">
        <f>IFERROR(VLOOKUP($A:$A,CS!$A:$AK,5,FALSE),"")</f>
      </c>
      <c r="E45" s="57">
        <f>IFERROR(VLOOKUP($A:$A,CS!$A:$AK,7,FALSE),"")</f>
      </c>
      <c r="F45" s="57">
        <f>IFERROR(VLOOKUP($A:$A,CS!$A:$AK,8,FALSE),"")</f>
      </c>
      <c r="G45" s="57">
        <f>IFERROR(VLOOKUP($A:$A,CS!$A:$AK,10,FALSE),"")</f>
      </c>
      <c r="H45" s="57">
        <f>IFERROR(VLOOKUP($A:$A,CS!$A:$AK,14,FALSE),"")</f>
      </c>
      <c r="I45" s="57">
        <f>IFERROR(VLOOKUP($A:$A,CS!$A:$AK,15,FALSE),"")</f>
      </c>
      <c r="J45" s="57">
        <f>IFERROR(VLOOKUP($A:$A,CS!$A:$AK,18,FALSE),"")</f>
      </c>
      <c r="K45" s="57">
        <f>IFERROR(VLOOKUP($A:$A,CS!$A:$AK,19,FALSE),"")</f>
      </c>
      <c r="L45" s="57">
        <f>IFERROR(VLOOKUP($A:$A,CS!$A:$AK,20,FALSE),"")</f>
      </c>
      <c r="M45" s="57">
        <f>IFERROR(VLOOKUP($A:$A,CS!$A:$AK,22,FALSE),"")</f>
      </c>
      <c r="N45" s="57">
        <f>IFERROR(VLOOKUP($A:$A,CS!$A:$AK,19,FALSE),"")</f>
      </c>
      <c r="O45" s="57">
        <f>IFERROR(VLOOKUP($A:$A,CS!$A:$AK,23,FALSE),"")</f>
      </c>
      <c r="P45" s="57">
        <f>IFERROR(VLOOKUP($A:$A,CS!$A:$AK,24,FALSE),"")</f>
      </c>
      <c r="Q45" s="57">
        <f>IFERROR(VLOOKUP($A:$A,CS!$A:$AK,25,FALSE),"")</f>
      </c>
      <c r="R45" s="57">
        <f>IFERROR(VLOOKUP($A:$A,CS!$A:$AK,26,FALSE),"")</f>
      </c>
      <c r="S45" s="57">
        <f>IFERROR(VLOOKUP($A:$A,CS!$A:$AK,29,FALSE),"")</f>
      </c>
      <c r="T45" s="57">
        <f>IFERROR(VLOOKUP($A:$A,CS!$A:$AK,33,FALSE),"")</f>
      </c>
      <c r="U45" s="57">
        <f>IFERROR(VLOOKUP($A:$A,CS!$A:$AK,34,FALSE),"")</f>
      </c>
      <c r="V45" s="57">
        <f>IFERROR(VLOOKUP($A:$A,CS!$A:$AK,35,FALSE),"")</f>
      </c>
      <c r="W45" s="57">
        <f>IFERROR(VLOOKUP($A:$A,CS!$A:$AK,36,FALSE),"")</f>
      </c>
    </row>
    <row r="46" ht="16.5" customHeight="1" spans="1:23" x14ac:dyDescent="0.25">
      <c r="A46" s="71"/>
      <c r="B46" s="57">
        <f>IFERROR(VLOOKUP($A:$A,CS!$A:$AK,3,FALSE),"")</f>
      </c>
      <c r="C46" s="57">
        <f>IFERROR(VLOOKUP($A:$A,CS!$A:$AK,4,FALSE),"")</f>
      </c>
      <c r="D46" s="57">
        <f>IFERROR(VLOOKUP($A:$A,CS!$A:$AK,5,FALSE),"")</f>
      </c>
      <c r="E46" s="57">
        <f>IFERROR(VLOOKUP($A:$A,CS!$A:$AK,7,FALSE),"")</f>
      </c>
      <c r="F46" s="57">
        <f>IFERROR(VLOOKUP($A:$A,CS!$A:$AK,8,FALSE),"")</f>
      </c>
      <c r="G46" s="57">
        <f>IFERROR(VLOOKUP($A:$A,CS!$A:$AK,10,FALSE),"")</f>
      </c>
      <c r="H46" s="57">
        <f>IFERROR(VLOOKUP($A:$A,CS!$A:$AK,14,FALSE),"")</f>
      </c>
      <c r="I46" s="57">
        <f>IFERROR(VLOOKUP($A:$A,CS!$A:$AK,15,FALSE),"")</f>
      </c>
      <c r="J46" s="57">
        <f>IFERROR(VLOOKUP($A:$A,CS!$A:$AK,18,FALSE),"")</f>
      </c>
      <c r="K46" s="57">
        <f>IFERROR(VLOOKUP($A:$A,CS!$A:$AK,19,FALSE),"")</f>
      </c>
      <c r="L46" s="57">
        <f>IFERROR(VLOOKUP($A:$A,CS!$A:$AK,20,FALSE),"")</f>
      </c>
      <c r="M46" s="57">
        <f>IFERROR(VLOOKUP($A:$A,CS!$A:$AK,22,FALSE),"")</f>
      </c>
      <c r="N46" s="57">
        <f>IFERROR(VLOOKUP($A:$A,CS!$A:$AK,19,FALSE),"")</f>
      </c>
      <c r="O46" s="57">
        <f>IFERROR(VLOOKUP($A:$A,CS!$A:$AK,23,FALSE),"")</f>
      </c>
      <c r="P46" s="57">
        <f>IFERROR(VLOOKUP($A:$A,CS!$A:$AK,24,FALSE),"")</f>
      </c>
      <c r="Q46" s="57">
        <f>IFERROR(VLOOKUP($A:$A,CS!$A:$AK,25,FALSE),"")</f>
      </c>
      <c r="R46" s="57">
        <f>IFERROR(VLOOKUP($A:$A,CS!$A:$AK,26,FALSE),"")</f>
      </c>
      <c r="S46" s="57">
        <f>IFERROR(VLOOKUP($A:$A,CS!$A:$AK,29,FALSE),"")</f>
      </c>
      <c r="T46" s="57">
        <f>IFERROR(VLOOKUP($A:$A,CS!$A:$AK,33,FALSE),"")</f>
      </c>
      <c r="U46" s="57">
        <f>IFERROR(VLOOKUP($A:$A,CS!$A:$AK,34,FALSE),"")</f>
      </c>
      <c r="V46" s="57">
        <f>IFERROR(VLOOKUP($A:$A,CS!$A:$AK,35,FALSE),"")</f>
      </c>
      <c r="W46" s="57">
        <f>IFERROR(VLOOKUP($A:$A,CS!$A:$AK,36,FALSE),"")</f>
      </c>
    </row>
    <row r="47" ht="16.5" customHeight="1" spans="1:23" x14ac:dyDescent="0.25">
      <c r="A47" s="71"/>
      <c r="B47" s="57">
        <f>IFERROR(VLOOKUP($A:$A,CS!$A:$AK,3,FALSE),"")</f>
      </c>
      <c r="C47" s="57">
        <f>IFERROR(VLOOKUP($A:$A,CS!$A:$AK,4,FALSE),"")</f>
      </c>
      <c r="D47" s="57">
        <f>IFERROR(VLOOKUP($A:$A,CS!$A:$AK,5,FALSE),"")</f>
      </c>
      <c r="E47" s="57">
        <f>IFERROR(VLOOKUP($A:$A,CS!$A:$AK,7,FALSE),"")</f>
      </c>
      <c r="F47" s="57">
        <f>IFERROR(VLOOKUP($A:$A,CS!$A:$AK,8,FALSE),"")</f>
      </c>
      <c r="G47" s="57">
        <f>IFERROR(VLOOKUP($A:$A,CS!$A:$AK,10,FALSE),"")</f>
      </c>
      <c r="H47" s="57">
        <f>IFERROR(VLOOKUP($A:$A,CS!$A:$AK,14,FALSE),"")</f>
      </c>
      <c r="I47" s="57">
        <f>IFERROR(VLOOKUP($A:$A,CS!$A:$AK,15,FALSE),"")</f>
      </c>
      <c r="J47" s="57">
        <f>IFERROR(VLOOKUP($A:$A,CS!$A:$AK,18,FALSE),"")</f>
      </c>
      <c r="K47" s="57">
        <f>IFERROR(VLOOKUP($A:$A,CS!$A:$AK,19,FALSE),"")</f>
      </c>
      <c r="L47" s="57">
        <f>IFERROR(VLOOKUP($A:$A,CS!$A:$AK,20,FALSE),"")</f>
      </c>
      <c r="M47" s="57">
        <f>IFERROR(VLOOKUP($A:$A,CS!$A:$AK,22,FALSE),"")</f>
      </c>
      <c r="N47" s="57">
        <f>IFERROR(VLOOKUP($A:$A,CS!$A:$AK,19,FALSE),"")</f>
      </c>
      <c r="O47" s="57">
        <f>IFERROR(VLOOKUP($A:$A,CS!$A:$AK,23,FALSE),"")</f>
      </c>
      <c r="P47" s="57">
        <f>IFERROR(VLOOKUP($A:$A,CS!$A:$AK,24,FALSE),"")</f>
      </c>
      <c r="Q47" s="57">
        <f>IFERROR(VLOOKUP($A:$A,CS!$A:$AK,25,FALSE),"")</f>
      </c>
      <c r="R47" s="57">
        <f>IFERROR(VLOOKUP($A:$A,CS!$A:$AK,26,FALSE),"")</f>
      </c>
      <c r="S47" s="57">
        <f>IFERROR(VLOOKUP($A:$A,CS!$A:$AK,29,FALSE),"")</f>
      </c>
      <c r="T47" s="57">
        <f>IFERROR(VLOOKUP($A:$A,CS!$A:$AK,33,FALSE),"")</f>
      </c>
      <c r="U47" s="57">
        <f>IFERROR(VLOOKUP($A:$A,CS!$A:$AK,34,FALSE),"")</f>
      </c>
      <c r="V47" s="57">
        <f>IFERROR(VLOOKUP($A:$A,CS!$A:$AK,35,FALSE),"")</f>
      </c>
      <c r="W47" s="57">
        <f>IFERROR(VLOOKUP($A:$A,CS!$A:$AK,36,FALSE),"")</f>
      </c>
    </row>
    <row r="48" ht="16.5" customHeight="1" spans="1:23" x14ac:dyDescent="0.25">
      <c r="A48" s="71"/>
      <c r="B48" s="57">
        <f>IFERROR(VLOOKUP($A:$A,CS!$A:$AK,3,FALSE),"")</f>
      </c>
      <c r="C48" s="57">
        <f>IFERROR(VLOOKUP($A:$A,CS!$A:$AK,4,FALSE),"")</f>
      </c>
      <c r="D48" s="57">
        <f>IFERROR(VLOOKUP($A:$A,CS!$A:$AK,5,FALSE),"")</f>
      </c>
      <c r="E48" s="57">
        <f>IFERROR(VLOOKUP($A:$A,CS!$A:$AK,7,FALSE),"")</f>
      </c>
      <c r="F48" s="57">
        <f>IFERROR(VLOOKUP($A:$A,CS!$A:$AK,8,FALSE),"")</f>
      </c>
      <c r="G48" s="57">
        <f>IFERROR(VLOOKUP($A:$A,CS!$A:$AK,10,FALSE),"")</f>
      </c>
      <c r="H48" s="57">
        <f>IFERROR(VLOOKUP($A:$A,CS!$A:$AK,14,FALSE),"")</f>
      </c>
      <c r="I48" s="57">
        <f>IFERROR(VLOOKUP($A:$A,CS!$A:$AK,15,FALSE),"")</f>
      </c>
      <c r="J48" s="57">
        <f>IFERROR(VLOOKUP($A:$A,CS!$A:$AK,18,FALSE),"")</f>
      </c>
      <c r="K48" s="57">
        <f>IFERROR(VLOOKUP($A:$A,CS!$A:$AK,19,FALSE),"")</f>
      </c>
      <c r="L48" s="57">
        <f>IFERROR(VLOOKUP($A:$A,CS!$A:$AK,20,FALSE),"")</f>
      </c>
      <c r="M48" s="57">
        <f>IFERROR(VLOOKUP($A:$A,CS!$A:$AK,22,FALSE),"")</f>
      </c>
      <c r="N48" s="57">
        <f>IFERROR(VLOOKUP($A:$A,CS!$A:$AK,19,FALSE),"")</f>
      </c>
      <c r="O48" s="57">
        <f>IFERROR(VLOOKUP($A:$A,CS!$A:$AK,23,FALSE),"")</f>
      </c>
      <c r="P48" s="57">
        <f>IFERROR(VLOOKUP($A:$A,CS!$A:$AK,24,FALSE),"")</f>
      </c>
      <c r="Q48" s="57">
        <f>IFERROR(VLOOKUP($A:$A,CS!$A:$AK,25,FALSE),"")</f>
      </c>
      <c r="R48" s="57">
        <f>IFERROR(VLOOKUP($A:$A,CS!$A:$AK,26,FALSE),"")</f>
      </c>
      <c r="S48" s="57">
        <f>IFERROR(VLOOKUP($A:$A,CS!$A:$AK,29,FALSE),"")</f>
      </c>
      <c r="T48" s="57">
        <f>IFERROR(VLOOKUP($A:$A,CS!$A:$AK,33,FALSE),"")</f>
      </c>
      <c r="U48" s="57">
        <f>IFERROR(VLOOKUP($A:$A,CS!$A:$AK,34,FALSE),"")</f>
      </c>
      <c r="V48" s="57">
        <f>IFERROR(VLOOKUP($A:$A,CS!$A:$AK,35,FALSE),"")</f>
      </c>
      <c r="W48" s="57">
        <f>IFERROR(VLOOKUP($A:$A,CS!$A:$AK,36,FALSE),"")</f>
      </c>
    </row>
    <row r="49" ht="16.5" customHeight="1" spans="1:23" x14ac:dyDescent="0.25">
      <c r="A49" s="71"/>
      <c r="B49" s="57">
        <f>IFERROR(VLOOKUP($A:$A,CS!$A:$AK,3,FALSE),"")</f>
      </c>
      <c r="C49" s="57">
        <f>IFERROR(VLOOKUP($A:$A,CS!$A:$AK,4,FALSE),"")</f>
      </c>
      <c r="D49" s="57">
        <f>IFERROR(VLOOKUP($A:$A,CS!$A:$AK,5,FALSE),"")</f>
      </c>
      <c r="E49" s="57">
        <f>IFERROR(VLOOKUP($A:$A,CS!$A:$AK,7,FALSE),"")</f>
      </c>
      <c r="F49" s="57">
        <f>IFERROR(VLOOKUP($A:$A,CS!$A:$AK,8,FALSE),"")</f>
      </c>
      <c r="G49" s="57">
        <f>IFERROR(VLOOKUP($A:$A,CS!$A:$AK,10,FALSE),"")</f>
      </c>
      <c r="H49" s="57">
        <f>IFERROR(VLOOKUP($A:$A,CS!$A:$AK,14,FALSE),"")</f>
      </c>
      <c r="I49" s="57">
        <f>IFERROR(VLOOKUP($A:$A,CS!$A:$AK,15,FALSE),"")</f>
      </c>
      <c r="J49" s="57">
        <f>IFERROR(VLOOKUP($A:$A,CS!$A:$AK,18,FALSE),"")</f>
      </c>
      <c r="K49" s="57">
        <f>IFERROR(VLOOKUP($A:$A,CS!$A:$AK,19,FALSE),"")</f>
      </c>
      <c r="L49" s="57">
        <f>IFERROR(VLOOKUP($A:$A,CS!$A:$AK,20,FALSE),"")</f>
      </c>
      <c r="M49" s="57">
        <f>IFERROR(VLOOKUP($A:$A,CS!$A:$AK,22,FALSE),"")</f>
      </c>
      <c r="N49" s="57">
        <f>IFERROR(VLOOKUP($A:$A,CS!$A:$AK,19,FALSE),"")</f>
      </c>
      <c r="O49" s="57">
        <f>IFERROR(VLOOKUP($A:$A,CS!$A:$AK,23,FALSE),"")</f>
      </c>
      <c r="P49" s="57">
        <f>IFERROR(VLOOKUP($A:$A,CS!$A:$AK,24,FALSE),"")</f>
      </c>
      <c r="Q49" s="57">
        <f>IFERROR(VLOOKUP($A:$A,CS!$A:$AK,25,FALSE),"")</f>
      </c>
      <c r="R49" s="57">
        <f>IFERROR(VLOOKUP($A:$A,CS!$A:$AK,26,FALSE),"")</f>
      </c>
      <c r="S49" s="57">
        <f>IFERROR(VLOOKUP($A:$A,CS!$A:$AK,29,FALSE),"")</f>
      </c>
      <c r="T49" s="57">
        <f>IFERROR(VLOOKUP($A:$A,CS!$A:$AK,33,FALSE),"")</f>
      </c>
      <c r="U49" s="57">
        <f>IFERROR(VLOOKUP($A:$A,CS!$A:$AK,34,FALSE),"")</f>
      </c>
      <c r="V49" s="57">
        <f>IFERROR(VLOOKUP($A:$A,CS!$A:$AK,35,FALSE),"")</f>
      </c>
      <c r="W49" s="57">
        <f>IFERROR(VLOOKUP($A:$A,CS!$A:$AK,36,FALSE),"")</f>
      </c>
    </row>
    <row r="50" ht="16.5" customHeight="1" spans="1:23" x14ac:dyDescent="0.25">
      <c r="A50" s="71"/>
      <c r="B50" s="57">
        <f>IFERROR(VLOOKUP($A:$A,CS!$A:$AK,3,FALSE),"")</f>
      </c>
      <c r="C50" s="57">
        <f>IFERROR(VLOOKUP($A:$A,CS!$A:$AK,4,FALSE),"")</f>
      </c>
      <c r="D50" s="57">
        <f>IFERROR(VLOOKUP($A:$A,CS!$A:$AK,5,FALSE),"")</f>
      </c>
      <c r="E50" s="57">
        <f>IFERROR(VLOOKUP($A:$A,CS!$A:$AK,7,FALSE),"")</f>
      </c>
      <c r="F50" s="57">
        <f>IFERROR(VLOOKUP($A:$A,CS!$A:$AK,8,FALSE),"")</f>
      </c>
      <c r="G50" s="57">
        <f>IFERROR(VLOOKUP($A:$A,CS!$A:$AK,10,FALSE),"")</f>
      </c>
      <c r="H50" s="57">
        <f>IFERROR(VLOOKUP($A:$A,CS!$A:$AK,14,FALSE),"")</f>
      </c>
      <c r="I50" s="57">
        <f>IFERROR(VLOOKUP($A:$A,CS!$A:$AK,15,FALSE),"")</f>
      </c>
      <c r="J50" s="57">
        <f>IFERROR(VLOOKUP($A:$A,CS!$A:$AK,18,FALSE),"")</f>
      </c>
      <c r="K50" s="57">
        <f>IFERROR(VLOOKUP($A:$A,CS!$A:$AK,19,FALSE),"")</f>
      </c>
      <c r="L50" s="57">
        <f>IFERROR(VLOOKUP($A:$A,CS!$A:$AK,20,FALSE),"")</f>
      </c>
      <c r="M50" s="57">
        <f>IFERROR(VLOOKUP($A:$A,CS!$A:$AK,22,FALSE),"")</f>
      </c>
      <c r="N50" s="57">
        <f>IFERROR(VLOOKUP($A:$A,CS!$A:$AK,19,FALSE),"")</f>
      </c>
      <c r="O50" s="57">
        <f>IFERROR(VLOOKUP($A:$A,CS!$A:$AK,23,FALSE),"")</f>
      </c>
      <c r="P50" s="57">
        <f>IFERROR(VLOOKUP($A:$A,CS!$A:$AK,24,FALSE),"")</f>
      </c>
      <c r="Q50" s="57">
        <f>IFERROR(VLOOKUP($A:$A,CS!$A:$AK,25,FALSE),"")</f>
      </c>
      <c r="R50" s="57">
        <f>IFERROR(VLOOKUP($A:$A,CS!$A:$AK,26,FALSE),"")</f>
      </c>
      <c r="S50" s="57">
        <f>IFERROR(VLOOKUP($A:$A,CS!$A:$AK,29,FALSE),"")</f>
      </c>
      <c r="T50" s="57">
        <f>IFERROR(VLOOKUP($A:$A,CS!$A:$AK,33,FALSE),"")</f>
      </c>
      <c r="U50" s="57">
        <f>IFERROR(VLOOKUP($A:$A,CS!$A:$AK,34,FALSE),"")</f>
      </c>
      <c r="V50" s="57">
        <f>IFERROR(VLOOKUP($A:$A,CS!$A:$AK,35,FALSE),"")</f>
      </c>
      <c r="W50" s="57">
        <f>IFERROR(VLOOKUP($A:$A,CS!$A:$AK,36,FALSE),"")</f>
      </c>
    </row>
    <row r="51" ht="16.5" customHeight="1" spans="1:23" x14ac:dyDescent="0.25">
      <c r="A51" s="71"/>
      <c r="B51" s="57">
        <f>IFERROR(VLOOKUP($A:$A,CS!$A:$AK,3,FALSE),"")</f>
      </c>
      <c r="C51" s="57">
        <f>IFERROR(VLOOKUP($A:$A,CS!$A:$AK,4,FALSE),"")</f>
      </c>
      <c r="D51" s="57">
        <f>IFERROR(VLOOKUP($A:$A,CS!$A:$AK,5,FALSE),"")</f>
      </c>
      <c r="E51" s="57">
        <f>IFERROR(VLOOKUP($A:$A,CS!$A:$AK,7,FALSE),"")</f>
      </c>
      <c r="F51" s="57">
        <f>IFERROR(VLOOKUP($A:$A,CS!$A:$AK,8,FALSE),"")</f>
      </c>
      <c r="G51" s="57">
        <f>IFERROR(VLOOKUP($A:$A,CS!$A:$AK,10,FALSE),"")</f>
      </c>
      <c r="H51" s="57">
        <f>IFERROR(VLOOKUP($A:$A,CS!$A:$AK,14,FALSE),"")</f>
      </c>
      <c r="I51" s="57">
        <f>IFERROR(VLOOKUP($A:$A,CS!$A:$AK,15,FALSE),"")</f>
      </c>
      <c r="J51" s="57">
        <f>IFERROR(VLOOKUP($A:$A,CS!$A:$AK,18,FALSE),"")</f>
      </c>
      <c r="K51" s="57">
        <f>IFERROR(VLOOKUP($A:$A,CS!$A:$AK,19,FALSE),"")</f>
      </c>
      <c r="L51" s="57">
        <f>IFERROR(VLOOKUP($A:$A,CS!$A:$AK,20,FALSE),"")</f>
      </c>
      <c r="M51" s="57">
        <f>IFERROR(VLOOKUP($A:$A,CS!$A:$AK,22,FALSE),"")</f>
      </c>
      <c r="N51" s="57">
        <f>IFERROR(VLOOKUP($A:$A,CS!$A:$AK,19,FALSE),"")</f>
      </c>
      <c r="O51" s="57">
        <f>IFERROR(VLOOKUP($A:$A,CS!$A:$AK,23,FALSE),"")</f>
      </c>
      <c r="P51" s="57">
        <f>IFERROR(VLOOKUP($A:$A,CS!$A:$AK,24,FALSE),"")</f>
      </c>
      <c r="Q51" s="57">
        <f>IFERROR(VLOOKUP($A:$A,CS!$A:$AK,25,FALSE),"")</f>
      </c>
      <c r="R51" s="57">
        <f>IFERROR(VLOOKUP($A:$A,CS!$A:$AK,26,FALSE),"")</f>
      </c>
      <c r="S51" s="57">
        <f>IFERROR(VLOOKUP($A:$A,CS!$A:$AK,29,FALSE),"")</f>
      </c>
      <c r="T51" s="57">
        <f>IFERROR(VLOOKUP($A:$A,CS!$A:$AK,33,FALSE),"")</f>
      </c>
      <c r="U51" s="57">
        <f>IFERROR(VLOOKUP($A:$A,CS!$A:$AK,34,FALSE),"")</f>
      </c>
      <c r="V51" s="57">
        <f>IFERROR(VLOOKUP($A:$A,CS!$A:$AK,35,FALSE),"")</f>
      </c>
      <c r="W51" s="57">
        <f>IFERROR(VLOOKUP($A:$A,CS!$A:$AK,36,FALSE),"")</f>
      </c>
    </row>
    <row r="52" ht="16.5" customHeight="1" spans="1:23" x14ac:dyDescent="0.25">
      <c r="A52" s="71"/>
      <c r="B52" s="57">
        <f>IFERROR(VLOOKUP($A:$A,CS!$A:$AK,3,FALSE),"")</f>
      </c>
      <c r="C52" s="57">
        <f>IFERROR(VLOOKUP($A:$A,CS!$A:$AK,4,FALSE),"")</f>
      </c>
      <c r="D52" s="57">
        <f>IFERROR(VLOOKUP($A:$A,CS!$A:$AK,5,FALSE),"")</f>
      </c>
      <c r="E52" s="57">
        <f>IFERROR(VLOOKUP($A:$A,CS!$A:$AK,7,FALSE),"")</f>
      </c>
      <c r="F52" s="57">
        <f>IFERROR(VLOOKUP($A:$A,CS!$A:$AK,8,FALSE),"")</f>
      </c>
      <c r="G52" s="57">
        <f>IFERROR(VLOOKUP($A:$A,CS!$A:$AK,10,FALSE),"")</f>
      </c>
      <c r="H52" s="57">
        <f>IFERROR(VLOOKUP($A:$A,CS!$A:$AK,14,FALSE),"")</f>
      </c>
      <c r="I52" s="57">
        <f>IFERROR(VLOOKUP($A:$A,CS!$A:$AK,15,FALSE),"")</f>
      </c>
      <c r="J52" s="57">
        <f>IFERROR(VLOOKUP($A:$A,CS!$A:$AK,18,FALSE),"")</f>
      </c>
      <c r="K52" s="57">
        <f>IFERROR(VLOOKUP($A:$A,CS!$A:$AK,19,FALSE),"")</f>
      </c>
      <c r="L52" s="57">
        <f>IFERROR(VLOOKUP($A:$A,CS!$A:$AK,20,FALSE),"")</f>
      </c>
      <c r="M52" s="57">
        <f>IFERROR(VLOOKUP($A:$A,CS!$A:$AK,22,FALSE),"")</f>
      </c>
      <c r="N52" s="57">
        <f>IFERROR(VLOOKUP($A:$A,CS!$A:$AK,19,FALSE),"")</f>
      </c>
      <c r="O52" s="57">
        <f>IFERROR(VLOOKUP($A:$A,CS!$A:$AK,23,FALSE),"")</f>
      </c>
      <c r="P52" s="57">
        <f>IFERROR(VLOOKUP($A:$A,CS!$A:$AK,24,FALSE),"")</f>
      </c>
      <c r="Q52" s="57">
        <f>IFERROR(VLOOKUP($A:$A,CS!$A:$AK,25,FALSE),"")</f>
      </c>
      <c r="R52" s="57">
        <f>IFERROR(VLOOKUP($A:$A,CS!$A:$AK,26,FALSE),"")</f>
      </c>
      <c r="S52" s="57">
        <f>IFERROR(VLOOKUP($A:$A,CS!$A:$AK,29,FALSE),"")</f>
      </c>
      <c r="T52" s="57">
        <f>IFERROR(VLOOKUP($A:$A,CS!$A:$AK,33,FALSE),"")</f>
      </c>
      <c r="U52" s="57">
        <f>IFERROR(VLOOKUP($A:$A,CS!$A:$AK,34,FALSE),"")</f>
      </c>
      <c r="V52" s="57">
        <f>IFERROR(VLOOKUP($A:$A,CS!$A:$AK,35,FALSE),"")</f>
      </c>
      <c r="W52" s="57">
        <f>IFERROR(VLOOKUP($A:$A,CS!$A:$AK,36,FALSE),"")</f>
      </c>
    </row>
    <row r="53" ht="16.5" customHeight="1" spans="1:23" x14ac:dyDescent="0.25">
      <c r="A53" s="71"/>
      <c r="B53" s="57">
        <f>IFERROR(VLOOKUP($A:$A,CS!$A:$AK,3,FALSE),"")</f>
      </c>
      <c r="C53" s="57">
        <f>IFERROR(VLOOKUP($A:$A,CS!$A:$AK,4,FALSE),"")</f>
      </c>
      <c r="D53" s="57">
        <f>IFERROR(VLOOKUP($A:$A,CS!$A:$AK,5,FALSE),"")</f>
      </c>
      <c r="E53" s="57">
        <f>IFERROR(VLOOKUP($A:$A,CS!$A:$AK,7,FALSE),"")</f>
      </c>
      <c r="F53" s="57">
        <f>IFERROR(VLOOKUP($A:$A,CS!$A:$AK,8,FALSE),"")</f>
      </c>
      <c r="G53" s="57">
        <f>IFERROR(VLOOKUP($A:$A,CS!$A:$AK,10,FALSE),"")</f>
      </c>
      <c r="H53" s="57">
        <f>IFERROR(VLOOKUP($A:$A,CS!$A:$AK,14,FALSE),"")</f>
      </c>
      <c r="I53" s="57">
        <f>IFERROR(VLOOKUP($A:$A,CS!$A:$AK,15,FALSE),"")</f>
      </c>
      <c r="J53" s="57">
        <f>IFERROR(VLOOKUP($A:$A,CS!$A:$AK,18,FALSE),"")</f>
      </c>
      <c r="K53" s="57">
        <f>IFERROR(VLOOKUP($A:$A,CS!$A:$AK,19,FALSE),"")</f>
      </c>
      <c r="L53" s="57">
        <f>IFERROR(VLOOKUP($A:$A,CS!$A:$AK,20,FALSE),"")</f>
      </c>
      <c r="M53" s="57">
        <f>IFERROR(VLOOKUP($A:$A,CS!$A:$AK,22,FALSE),"")</f>
      </c>
      <c r="N53" s="57">
        <f>IFERROR(VLOOKUP($A:$A,CS!$A:$AK,19,FALSE),"")</f>
      </c>
      <c r="O53" s="57">
        <f>IFERROR(VLOOKUP($A:$A,CS!$A:$AK,23,FALSE),"")</f>
      </c>
      <c r="P53" s="57">
        <f>IFERROR(VLOOKUP($A:$A,CS!$A:$AK,24,FALSE),"")</f>
      </c>
      <c r="Q53" s="57">
        <f>IFERROR(VLOOKUP($A:$A,CS!$A:$AK,25,FALSE),"")</f>
      </c>
      <c r="R53" s="57">
        <f>IFERROR(VLOOKUP($A:$A,CS!$A:$AK,26,FALSE),"")</f>
      </c>
      <c r="S53" s="57">
        <f>IFERROR(VLOOKUP($A:$A,CS!$A:$AK,29,FALSE),"")</f>
      </c>
      <c r="T53" s="57">
        <f>IFERROR(VLOOKUP($A:$A,CS!$A:$AK,33,FALSE),"")</f>
      </c>
      <c r="U53" s="57">
        <f>IFERROR(VLOOKUP($A:$A,CS!$A:$AK,34,FALSE),"")</f>
      </c>
      <c r="V53" s="57">
        <f>IFERROR(VLOOKUP($A:$A,CS!$A:$AK,35,FALSE),"")</f>
      </c>
      <c r="W53" s="57">
        <f>IFERROR(VLOOKUP($A:$A,CS!$A:$AK,36,FALSE),"")</f>
      </c>
    </row>
    <row r="54" ht="16.5" customHeight="1" spans="1:23" x14ac:dyDescent="0.25">
      <c r="A54" s="71"/>
      <c r="B54" s="57">
        <f>IFERROR(VLOOKUP($A:$A,CS!$A:$AK,3,FALSE),"")</f>
      </c>
      <c r="C54" s="57">
        <f>IFERROR(VLOOKUP($A:$A,CS!$A:$AK,4,FALSE),"")</f>
      </c>
      <c r="D54" s="57">
        <f>IFERROR(VLOOKUP($A:$A,CS!$A:$AK,5,FALSE),"")</f>
      </c>
      <c r="E54" s="57">
        <f>IFERROR(VLOOKUP($A:$A,CS!$A:$AK,7,FALSE),"")</f>
      </c>
      <c r="F54" s="57">
        <f>IFERROR(VLOOKUP($A:$A,CS!$A:$AK,8,FALSE),"")</f>
      </c>
      <c r="G54" s="57">
        <f>IFERROR(VLOOKUP($A:$A,CS!$A:$AK,10,FALSE),"")</f>
      </c>
      <c r="H54" s="57">
        <f>IFERROR(VLOOKUP($A:$A,CS!$A:$AK,14,FALSE),"")</f>
      </c>
      <c r="I54" s="57">
        <f>IFERROR(VLOOKUP($A:$A,CS!$A:$AK,15,FALSE),"")</f>
      </c>
      <c r="J54" s="57">
        <f>IFERROR(VLOOKUP($A:$A,CS!$A:$AK,18,FALSE),"")</f>
      </c>
      <c r="K54" s="57">
        <f>IFERROR(VLOOKUP($A:$A,CS!$A:$AK,19,FALSE),"")</f>
      </c>
      <c r="L54" s="57">
        <f>IFERROR(VLOOKUP($A:$A,CS!$A:$AK,20,FALSE),"")</f>
      </c>
      <c r="M54" s="57">
        <f>IFERROR(VLOOKUP($A:$A,CS!$A:$AK,22,FALSE),"")</f>
      </c>
      <c r="N54" s="57">
        <f>IFERROR(VLOOKUP($A:$A,CS!$A:$AK,19,FALSE),"")</f>
      </c>
      <c r="O54" s="57">
        <f>IFERROR(VLOOKUP($A:$A,CS!$A:$AK,23,FALSE),"")</f>
      </c>
      <c r="P54" s="57">
        <f>IFERROR(VLOOKUP($A:$A,CS!$A:$AK,24,FALSE),"")</f>
      </c>
      <c r="Q54" s="57">
        <f>IFERROR(VLOOKUP($A:$A,CS!$A:$AK,25,FALSE),"")</f>
      </c>
      <c r="R54" s="57">
        <f>IFERROR(VLOOKUP($A:$A,CS!$A:$AK,26,FALSE),"")</f>
      </c>
      <c r="S54" s="57">
        <f>IFERROR(VLOOKUP($A:$A,CS!$A:$AK,29,FALSE),"")</f>
      </c>
      <c r="T54" s="57">
        <f>IFERROR(VLOOKUP($A:$A,CS!$A:$AK,33,FALSE),"")</f>
      </c>
      <c r="U54" s="57">
        <f>IFERROR(VLOOKUP($A:$A,CS!$A:$AK,34,FALSE),"")</f>
      </c>
      <c r="V54" s="57">
        <f>IFERROR(VLOOKUP($A:$A,CS!$A:$AK,35,FALSE),"")</f>
      </c>
      <c r="W54" s="57">
        <f>IFERROR(VLOOKUP($A:$A,CS!$A:$AK,36,FALSE),"")</f>
      </c>
    </row>
    <row r="55" ht="16.5" customHeight="1" spans="1:23" x14ac:dyDescent="0.25">
      <c r="A55" s="71"/>
      <c r="B55" s="57">
        <f>IFERROR(VLOOKUP($A:$A,CS!$A:$AK,3,FALSE),"")</f>
      </c>
      <c r="C55" s="57">
        <f>IFERROR(VLOOKUP($A:$A,CS!$A:$AK,4,FALSE),"")</f>
      </c>
      <c r="D55" s="57">
        <f>IFERROR(VLOOKUP($A:$A,CS!$A:$AK,5,FALSE),"")</f>
      </c>
      <c r="E55" s="57">
        <f>IFERROR(VLOOKUP($A:$A,CS!$A:$AK,7,FALSE),"")</f>
      </c>
      <c r="F55" s="57">
        <f>IFERROR(VLOOKUP($A:$A,CS!$A:$AK,8,FALSE),"")</f>
      </c>
      <c r="G55" s="57">
        <f>IFERROR(VLOOKUP($A:$A,CS!$A:$AK,10,FALSE),"")</f>
      </c>
      <c r="H55" s="57">
        <f>IFERROR(VLOOKUP($A:$A,CS!$A:$AK,14,FALSE),"")</f>
      </c>
      <c r="I55" s="57">
        <f>IFERROR(VLOOKUP($A:$A,CS!$A:$AK,15,FALSE),"")</f>
      </c>
      <c r="J55" s="57">
        <f>IFERROR(VLOOKUP($A:$A,CS!$A:$AK,18,FALSE),"")</f>
      </c>
      <c r="K55" s="57">
        <f>IFERROR(VLOOKUP($A:$A,CS!$A:$AK,19,FALSE),"")</f>
      </c>
      <c r="L55" s="57">
        <f>IFERROR(VLOOKUP($A:$A,CS!$A:$AK,20,FALSE),"")</f>
      </c>
      <c r="M55" s="57">
        <f>IFERROR(VLOOKUP($A:$A,CS!$A:$AK,22,FALSE),"")</f>
      </c>
      <c r="N55" s="57">
        <f>IFERROR(VLOOKUP($A:$A,CS!$A:$AK,19,FALSE),"")</f>
      </c>
      <c r="O55" s="57">
        <f>IFERROR(VLOOKUP($A:$A,CS!$A:$AK,23,FALSE),"")</f>
      </c>
      <c r="P55" s="57">
        <f>IFERROR(VLOOKUP($A:$A,CS!$A:$AK,24,FALSE),"")</f>
      </c>
      <c r="Q55" s="57">
        <f>IFERROR(VLOOKUP($A:$A,CS!$A:$AK,25,FALSE),"")</f>
      </c>
      <c r="R55" s="57">
        <f>IFERROR(VLOOKUP($A:$A,CS!$A:$AK,26,FALSE),"")</f>
      </c>
      <c r="S55" s="57">
        <f>IFERROR(VLOOKUP($A:$A,CS!$A:$AK,29,FALSE),"")</f>
      </c>
      <c r="T55" s="57">
        <f>IFERROR(VLOOKUP($A:$A,CS!$A:$AK,33,FALSE),"")</f>
      </c>
      <c r="U55" s="57">
        <f>IFERROR(VLOOKUP($A:$A,CS!$A:$AK,34,FALSE),"")</f>
      </c>
      <c r="V55" s="57">
        <f>IFERROR(VLOOKUP($A:$A,CS!$A:$AK,35,FALSE),"")</f>
      </c>
      <c r="W55" s="57">
        <f>IFERROR(VLOOKUP($A:$A,CS!$A:$AK,36,FALSE),"")</f>
      </c>
    </row>
    <row r="56" ht="16.5" customHeight="1" spans="1:23" x14ac:dyDescent="0.25">
      <c r="A56" s="71"/>
      <c r="B56" s="57">
        <f>IFERROR(VLOOKUP($A:$A,CS!$A:$AK,3,FALSE),"")</f>
      </c>
      <c r="C56" s="57">
        <f>IFERROR(VLOOKUP($A:$A,CS!$A:$AK,4,FALSE),"")</f>
      </c>
      <c r="D56" s="57">
        <f>IFERROR(VLOOKUP($A:$A,CS!$A:$AK,5,FALSE),"")</f>
      </c>
      <c r="E56" s="57">
        <f>IFERROR(VLOOKUP($A:$A,CS!$A:$AK,7,FALSE),"")</f>
      </c>
      <c r="F56" s="57">
        <f>IFERROR(VLOOKUP($A:$A,CS!$A:$AK,8,FALSE),"")</f>
      </c>
      <c r="G56" s="57">
        <f>IFERROR(VLOOKUP($A:$A,CS!$A:$AK,10,FALSE),"")</f>
      </c>
      <c r="H56" s="57">
        <f>IFERROR(VLOOKUP($A:$A,CS!$A:$AK,14,FALSE),"")</f>
      </c>
      <c r="I56" s="57">
        <f>IFERROR(VLOOKUP($A:$A,CS!$A:$AK,15,FALSE),"")</f>
      </c>
      <c r="J56" s="57">
        <f>IFERROR(VLOOKUP($A:$A,CS!$A:$AK,18,FALSE),"")</f>
      </c>
      <c r="K56" s="57">
        <f>IFERROR(VLOOKUP($A:$A,CS!$A:$AK,19,FALSE),"")</f>
      </c>
      <c r="L56" s="57">
        <f>IFERROR(VLOOKUP($A:$A,CS!$A:$AK,20,FALSE),"")</f>
      </c>
      <c r="M56" s="57">
        <f>IFERROR(VLOOKUP($A:$A,CS!$A:$AK,22,FALSE),"")</f>
      </c>
      <c r="N56" s="57">
        <f>IFERROR(VLOOKUP($A:$A,CS!$A:$AK,19,FALSE),"")</f>
      </c>
      <c r="O56" s="57">
        <f>IFERROR(VLOOKUP($A:$A,CS!$A:$AK,23,FALSE),"")</f>
      </c>
      <c r="P56" s="57">
        <f>IFERROR(VLOOKUP($A:$A,CS!$A:$AK,24,FALSE),"")</f>
      </c>
      <c r="Q56" s="57">
        <f>IFERROR(VLOOKUP($A:$A,CS!$A:$AK,25,FALSE),"")</f>
      </c>
      <c r="R56" s="57">
        <f>IFERROR(VLOOKUP($A:$A,CS!$A:$AK,26,FALSE),"")</f>
      </c>
      <c r="S56" s="57">
        <f>IFERROR(VLOOKUP($A:$A,CS!$A:$AK,29,FALSE),"")</f>
      </c>
      <c r="T56" s="57">
        <f>IFERROR(VLOOKUP($A:$A,CS!$A:$AK,33,FALSE),"")</f>
      </c>
      <c r="U56" s="57">
        <f>IFERROR(VLOOKUP($A:$A,CS!$A:$AK,34,FALSE),"")</f>
      </c>
      <c r="V56" s="57">
        <f>IFERROR(VLOOKUP($A:$A,CS!$A:$AK,35,FALSE),"")</f>
      </c>
      <c r="W56" s="57">
        <f>IFERROR(VLOOKUP($A:$A,CS!$A:$AK,36,FALSE),"")</f>
      </c>
    </row>
    <row r="57" ht="16.5" customHeight="1" spans="1:23" x14ac:dyDescent="0.25">
      <c r="A57" s="71"/>
      <c r="B57" s="57">
        <f>IFERROR(VLOOKUP($A:$A,CS!$A:$AK,3,FALSE),"")</f>
      </c>
      <c r="C57" s="57">
        <f>IFERROR(VLOOKUP($A:$A,CS!$A:$AK,4,FALSE),"")</f>
      </c>
      <c r="D57" s="57">
        <f>IFERROR(VLOOKUP($A:$A,CS!$A:$AK,5,FALSE),"")</f>
      </c>
      <c r="E57" s="57">
        <f>IFERROR(VLOOKUP($A:$A,CS!$A:$AK,7,FALSE),"")</f>
      </c>
      <c r="F57" s="57">
        <f>IFERROR(VLOOKUP($A:$A,CS!$A:$AK,8,FALSE),"")</f>
      </c>
      <c r="G57" s="57">
        <f>IFERROR(VLOOKUP($A:$A,CS!$A:$AK,10,FALSE),"")</f>
      </c>
      <c r="H57" s="57">
        <f>IFERROR(VLOOKUP($A:$A,CS!$A:$AK,14,FALSE),"")</f>
      </c>
      <c r="I57" s="57">
        <f>IFERROR(VLOOKUP($A:$A,CS!$A:$AK,15,FALSE),"")</f>
      </c>
      <c r="J57" s="57">
        <f>IFERROR(VLOOKUP($A:$A,CS!$A:$AK,18,FALSE),"")</f>
      </c>
      <c r="K57" s="57">
        <f>IFERROR(VLOOKUP($A:$A,CS!$A:$AK,19,FALSE),"")</f>
      </c>
      <c r="L57" s="57">
        <f>IFERROR(VLOOKUP($A:$A,CS!$A:$AK,20,FALSE),"")</f>
      </c>
      <c r="M57" s="57">
        <f>IFERROR(VLOOKUP($A:$A,CS!$A:$AK,22,FALSE),"")</f>
      </c>
      <c r="N57" s="57">
        <f>IFERROR(VLOOKUP($A:$A,CS!$A:$AK,19,FALSE),"")</f>
      </c>
      <c r="O57" s="57">
        <f>IFERROR(VLOOKUP($A:$A,CS!$A:$AK,23,FALSE),"")</f>
      </c>
      <c r="P57" s="57">
        <f>IFERROR(VLOOKUP($A:$A,CS!$A:$AK,24,FALSE),"")</f>
      </c>
      <c r="Q57" s="57">
        <f>IFERROR(VLOOKUP($A:$A,CS!$A:$AK,25,FALSE),"")</f>
      </c>
      <c r="R57" s="57">
        <f>IFERROR(VLOOKUP($A:$A,CS!$A:$AK,26,FALSE),"")</f>
      </c>
      <c r="S57" s="57">
        <f>IFERROR(VLOOKUP($A:$A,CS!$A:$AK,29,FALSE),"")</f>
      </c>
      <c r="T57" s="57">
        <f>IFERROR(VLOOKUP($A:$A,CS!$A:$AK,33,FALSE),"")</f>
      </c>
      <c r="U57" s="57">
        <f>IFERROR(VLOOKUP($A:$A,CS!$A:$AK,34,FALSE),"")</f>
      </c>
      <c r="V57" s="57">
        <f>IFERROR(VLOOKUP($A:$A,CS!$A:$AK,35,FALSE),"")</f>
      </c>
      <c r="W57" s="57">
        <f>IFERROR(VLOOKUP($A:$A,CS!$A:$AK,36,FALSE),"")</f>
      </c>
    </row>
    <row r="58" ht="16.5" customHeight="1" spans="1:23" x14ac:dyDescent="0.25">
      <c r="A58" s="71"/>
      <c r="B58" s="57">
        <f>IFERROR(VLOOKUP($A:$A,CS!$A:$AK,3,FALSE),"")</f>
      </c>
      <c r="C58" s="57">
        <f>IFERROR(VLOOKUP($A:$A,CS!$A:$AK,4,FALSE),"")</f>
      </c>
      <c r="D58" s="57">
        <f>IFERROR(VLOOKUP($A:$A,CS!$A:$AK,5,FALSE),"")</f>
      </c>
      <c r="E58" s="57">
        <f>IFERROR(VLOOKUP($A:$A,CS!$A:$AK,7,FALSE),"")</f>
      </c>
      <c r="F58" s="57">
        <f>IFERROR(VLOOKUP($A:$A,CS!$A:$AK,8,FALSE),"")</f>
      </c>
      <c r="G58" s="57">
        <f>IFERROR(VLOOKUP($A:$A,CS!$A:$AK,10,FALSE),"")</f>
      </c>
      <c r="H58" s="57">
        <f>IFERROR(VLOOKUP($A:$A,CS!$A:$AK,14,FALSE),"")</f>
      </c>
      <c r="I58" s="57">
        <f>IFERROR(VLOOKUP($A:$A,CS!$A:$AK,15,FALSE),"")</f>
      </c>
      <c r="J58" s="57">
        <f>IFERROR(VLOOKUP($A:$A,CS!$A:$AK,18,FALSE),"")</f>
      </c>
      <c r="K58" s="57">
        <f>IFERROR(VLOOKUP($A:$A,CS!$A:$AK,19,FALSE),"")</f>
      </c>
      <c r="L58" s="57">
        <f>IFERROR(VLOOKUP($A:$A,CS!$A:$AK,20,FALSE),"")</f>
      </c>
      <c r="M58" s="57">
        <f>IFERROR(VLOOKUP($A:$A,CS!$A:$AK,22,FALSE),"")</f>
      </c>
      <c r="N58" s="57">
        <f>IFERROR(VLOOKUP($A:$A,CS!$A:$AK,19,FALSE),"")</f>
      </c>
      <c r="O58" s="57">
        <f>IFERROR(VLOOKUP($A:$A,CS!$A:$AK,23,FALSE),"")</f>
      </c>
      <c r="P58" s="57">
        <f>IFERROR(VLOOKUP($A:$A,CS!$A:$AK,24,FALSE),"")</f>
      </c>
      <c r="Q58" s="57">
        <f>IFERROR(VLOOKUP($A:$A,CS!$A:$AK,25,FALSE),"")</f>
      </c>
      <c r="R58" s="57">
        <f>IFERROR(VLOOKUP($A:$A,CS!$A:$AK,26,FALSE),"")</f>
      </c>
      <c r="S58" s="57">
        <f>IFERROR(VLOOKUP($A:$A,CS!$A:$AK,29,FALSE),"")</f>
      </c>
      <c r="T58" s="57">
        <f>IFERROR(VLOOKUP($A:$A,CS!$A:$AK,33,FALSE),"")</f>
      </c>
      <c r="U58" s="57">
        <f>IFERROR(VLOOKUP($A:$A,CS!$A:$AK,34,FALSE),"")</f>
      </c>
      <c r="V58" s="57">
        <f>IFERROR(VLOOKUP($A:$A,CS!$A:$AK,35,FALSE),"")</f>
      </c>
      <c r="W58" s="57">
        <f>IFERROR(VLOOKUP($A:$A,CS!$A:$AK,36,FALSE),"")</f>
      </c>
    </row>
    <row r="59" ht="16.5" customHeight="1" spans="1:23" x14ac:dyDescent="0.25">
      <c r="A59" s="71"/>
      <c r="B59" s="57">
        <f>IFERROR(VLOOKUP($A:$A,CS!$A:$AK,3,FALSE),"")</f>
      </c>
      <c r="C59" s="57">
        <f>IFERROR(VLOOKUP($A:$A,CS!$A:$AK,4,FALSE),"")</f>
      </c>
      <c r="D59" s="57">
        <f>IFERROR(VLOOKUP($A:$A,CS!$A:$AK,5,FALSE),"")</f>
      </c>
      <c r="E59" s="57">
        <f>IFERROR(VLOOKUP($A:$A,CS!$A:$AK,7,FALSE),"")</f>
      </c>
      <c r="F59" s="57">
        <f>IFERROR(VLOOKUP($A:$A,CS!$A:$AK,8,FALSE),"")</f>
      </c>
      <c r="G59" s="57">
        <f>IFERROR(VLOOKUP($A:$A,CS!$A:$AK,10,FALSE),"")</f>
      </c>
      <c r="H59" s="57">
        <f>IFERROR(VLOOKUP($A:$A,CS!$A:$AK,14,FALSE),"")</f>
      </c>
      <c r="I59" s="57">
        <f>IFERROR(VLOOKUP($A:$A,CS!$A:$AK,15,FALSE),"")</f>
      </c>
      <c r="J59" s="57">
        <f>IFERROR(VLOOKUP($A:$A,CS!$A:$AK,18,FALSE),"")</f>
      </c>
      <c r="K59" s="57">
        <f>IFERROR(VLOOKUP($A:$A,CS!$A:$AK,19,FALSE),"")</f>
      </c>
      <c r="L59" s="57">
        <f>IFERROR(VLOOKUP($A:$A,CS!$A:$AK,20,FALSE),"")</f>
      </c>
      <c r="M59" s="57">
        <f>IFERROR(VLOOKUP($A:$A,CS!$A:$AK,22,FALSE),"")</f>
      </c>
      <c r="N59" s="57">
        <f>IFERROR(VLOOKUP($A:$A,CS!$A:$AK,19,FALSE),"")</f>
      </c>
      <c r="O59" s="57">
        <f>IFERROR(VLOOKUP($A:$A,CS!$A:$AK,23,FALSE),"")</f>
      </c>
      <c r="P59" s="57">
        <f>IFERROR(VLOOKUP($A:$A,CS!$A:$AK,24,FALSE),"")</f>
      </c>
      <c r="Q59" s="57">
        <f>IFERROR(VLOOKUP($A:$A,CS!$A:$AK,25,FALSE),"")</f>
      </c>
      <c r="R59" s="57">
        <f>IFERROR(VLOOKUP($A:$A,CS!$A:$AK,26,FALSE),"")</f>
      </c>
      <c r="S59" s="57">
        <f>IFERROR(VLOOKUP($A:$A,CS!$A:$AK,29,FALSE),"")</f>
      </c>
      <c r="T59" s="57">
        <f>IFERROR(VLOOKUP($A:$A,CS!$A:$AK,33,FALSE),"")</f>
      </c>
      <c r="U59" s="57">
        <f>IFERROR(VLOOKUP($A:$A,CS!$A:$AK,34,FALSE),"")</f>
      </c>
      <c r="V59" s="57">
        <f>IFERROR(VLOOKUP($A:$A,CS!$A:$AK,35,FALSE),"")</f>
      </c>
      <c r="W59" s="57">
        <f>IFERROR(VLOOKUP($A:$A,CS!$A:$AK,36,FALSE),"")</f>
      </c>
    </row>
    <row r="60" ht="16.5" customHeight="1" spans="1:23" x14ac:dyDescent="0.25">
      <c r="A60" s="71"/>
      <c r="B60" s="57">
        <f>IFERROR(VLOOKUP($A:$A,CS!$A:$AK,3,FALSE),"")</f>
      </c>
      <c r="C60" s="57">
        <f>IFERROR(VLOOKUP($A:$A,CS!$A:$AK,4,FALSE),"")</f>
      </c>
      <c r="D60" s="57">
        <f>IFERROR(VLOOKUP($A:$A,CS!$A:$AK,5,FALSE),"")</f>
      </c>
      <c r="E60" s="57">
        <f>IFERROR(VLOOKUP($A:$A,CS!$A:$AK,7,FALSE),"")</f>
      </c>
      <c r="F60" s="57">
        <f>IFERROR(VLOOKUP($A:$A,CS!$A:$AK,8,FALSE),"")</f>
      </c>
      <c r="G60" s="57">
        <f>IFERROR(VLOOKUP($A:$A,CS!$A:$AK,10,FALSE),"")</f>
      </c>
      <c r="H60" s="57">
        <f>IFERROR(VLOOKUP($A:$A,CS!$A:$AK,14,FALSE),"")</f>
      </c>
      <c r="I60" s="57">
        <f>IFERROR(VLOOKUP($A:$A,CS!$A:$AK,15,FALSE),"")</f>
      </c>
      <c r="J60" s="57">
        <f>IFERROR(VLOOKUP($A:$A,CS!$A:$AK,18,FALSE),"")</f>
      </c>
      <c r="K60" s="57">
        <f>IFERROR(VLOOKUP($A:$A,CS!$A:$AK,19,FALSE),"")</f>
      </c>
      <c r="L60" s="57">
        <f>IFERROR(VLOOKUP($A:$A,CS!$A:$AK,20,FALSE),"")</f>
      </c>
      <c r="M60" s="57">
        <f>IFERROR(VLOOKUP($A:$A,CS!$A:$AK,22,FALSE),"")</f>
      </c>
      <c r="N60" s="57">
        <f>IFERROR(VLOOKUP($A:$A,CS!$A:$AK,19,FALSE),"")</f>
      </c>
      <c r="O60" s="57">
        <f>IFERROR(VLOOKUP($A:$A,CS!$A:$AK,23,FALSE),"")</f>
      </c>
      <c r="P60" s="57">
        <f>IFERROR(VLOOKUP($A:$A,CS!$A:$AK,24,FALSE),"")</f>
      </c>
      <c r="Q60" s="57">
        <f>IFERROR(VLOOKUP($A:$A,CS!$A:$AK,25,FALSE),"")</f>
      </c>
      <c r="R60" s="57">
        <f>IFERROR(VLOOKUP($A:$A,CS!$A:$AK,26,FALSE),"")</f>
      </c>
      <c r="S60" s="57">
        <f>IFERROR(VLOOKUP($A:$A,CS!$A:$AK,29,FALSE),"")</f>
      </c>
      <c r="T60" s="57">
        <f>IFERROR(VLOOKUP($A:$A,CS!$A:$AK,33,FALSE),"")</f>
      </c>
      <c r="U60" s="57">
        <f>IFERROR(VLOOKUP($A:$A,CS!$A:$AK,34,FALSE),"")</f>
      </c>
      <c r="V60" s="57">
        <f>IFERROR(VLOOKUP($A:$A,CS!$A:$AK,35,FALSE),"")</f>
      </c>
      <c r="W60" s="57">
        <f>IFERROR(VLOOKUP($A:$A,CS!$A:$AK,36,FALSE),"")</f>
      </c>
    </row>
    <row r="61" ht="16.5" customHeight="1" spans="1:23" x14ac:dyDescent="0.25">
      <c r="A61" s="71"/>
      <c r="B61" s="57">
        <f>IFERROR(VLOOKUP($A:$A,CS!$A:$AK,3,FALSE),"")</f>
      </c>
      <c r="C61" s="57">
        <f>IFERROR(VLOOKUP($A:$A,CS!$A:$AK,4,FALSE),"")</f>
      </c>
      <c r="D61" s="57">
        <f>IFERROR(VLOOKUP($A:$A,CS!$A:$AK,5,FALSE),"")</f>
      </c>
      <c r="E61" s="57">
        <f>IFERROR(VLOOKUP($A:$A,CS!$A:$AK,7,FALSE),"")</f>
      </c>
      <c r="F61" s="57">
        <f>IFERROR(VLOOKUP($A:$A,CS!$A:$AK,8,FALSE),"")</f>
      </c>
      <c r="G61" s="57">
        <f>IFERROR(VLOOKUP($A:$A,CS!$A:$AK,10,FALSE),"")</f>
      </c>
      <c r="H61" s="57">
        <f>IFERROR(VLOOKUP($A:$A,CS!$A:$AK,14,FALSE),"")</f>
      </c>
      <c r="I61" s="57">
        <f>IFERROR(VLOOKUP($A:$A,CS!$A:$AK,15,FALSE),"")</f>
      </c>
      <c r="J61" s="57">
        <f>IFERROR(VLOOKUP($A:$A,CS!$A:$AK,18,FALSE),"")</f>
      </c>
      <c r="K61" s="57">
        <f>IFERROR(VLOOKUP($A:$A,CS!$A:$AK,19,FALSE),"")</f>
      </c>
      <c r="L61" s="57">
        <f>IFERROR(VLOOKUP($A:$A,CS!$A:$AK,20,FALSE),"")</f>
      </c>
      <c r="M61" s="57">
        <f>IFERROR(VLOOKUP($A:$A,CS!$A:$AK,22,FALSE),"")</f>
      </c>
      <c r="N61" s="57">
        <f>IFERROR(VLOOKUP($A:$A,CS!$A:$AK,19,FALSE),"")</f>
      </c>
      <c r="O61" s="57">
        <f>IFERROR(VLOOKUP($A:$A,CS!$A:$AK,23,FALSE),"")</f>
      </c>
      <c r="P61" s="57">
        <f>IFERROR(VLOOKUP($A:$A,CS!$A:$AK,24,FALSE),"")</f>
      </c>
      <c r="Q61" s="57">
        <f>IFERROR(VLOOKUP($A:$A,CS!$A:$AK,25,FALSE),"")</f>
      </c>
      <c r="R61" s="57">
        <f>IFERROR(VLOOKUP($A:$A,CS!$A:$AK,26,FALSE),"")</f>
      </c>
      <c r="S61" s="57">
        <f>IFERROR(VLOOKUP($A:$A,CS!$A:$AK,29,FALSE),"")</f>
      </c>
      <c r="T61" s="57">
        <f>IFERROR(VLOOKUP($A:$A,CS!$A:$AK,33,FALSE),"")</f>
      </c>
      <c r="U61" s="57">
        <f>IFERROR(VLOOKUP($A:$A,CS!$A:$AK,34,FALSE),"")</f>
      </c>
      <c r="V61" s="57">
        <f>IFERROR(VLOOKUP($A:$A,CS!$A:$AK,35,FALSE),"")</f>
      </c>
      <c r="W61" s="57">
        <f>IFERROR(VLOOKUP($A:$A,CS!$A:$AK,36,FALSE),"")</f>
      </c>
    </row>
    <row r="62" ht="16.5" customHeight="1" spans="1:23" x14ac:dyDescent="0.25">
      <c r="A62" s="71"/>
      <c r="B62" s="57">
        <f>IFERROR(VLOOKUP($A:$A,CS!$A:$AK,3,FALSE),"")</f>
      </c>
      <c r="C62" s="57">
        <f>IFERROR(VLOOKUP($A:$A,CS!$A:$AK,4,FALSE),"")</f>
      </c>
      <c r="D62" s="57">
        <f>IFERROR(VLOOKUP($A:$A,CS!$A:$AK,5,FALSE),"")</f>
      </c>
      <c r="E62" s="57">
        <f>IFERROR(VLOOKUP($A:$A,CS!$A:$AK,7,FALSE),"")</f>
      </c>
      <c r="F62" s="57">
        <f>IFERROR(VLOOKUP($A:$A,CS!$A:$AK,8,FALSE),"")</f>
      </c>
      <c r="G62" s="57">
        <f>IFERROR(VLOOKUP($A:$A,CS!$A:$AK,10,FALSE),"")</f>
      </c>
      <c r="H62" s="57">
        <f>IFERROR(VLOOKUP($A:$A,CS!$A:$AK,14,FALSE),"")</f>
      </c>
      <c r="I62" s="57">
        <f>IFERROR(VLOOKUP($A:$A,CS!$A:$AK,15,FALSE),"")</f>
      </c>
      <c r="J62" s="57">
        <f>IFERROR(VLOOKUP($A:$A,CS!$A:$AK,18,FALSE),"")</f>
      </c>
      <c r="K62" s="57">
        <f>IFERROR(VLOOKUP($A:$A,CS!$A:$AK,19,FALSE),"")</f>
      </c>
      <c r="L62" s="57">
        <f>IFERROR(VLOOKUP($A:$A,CS!$A:$AK,20,FALSE),"")</f>
      </c>
      <c r="M62" s="57">
        <f>IFERROR(VLOOKUP($A:$A,CS!$A:$AK,22,FALSE),"")</f>
      </c>
      <c r="N62" s="57">
        <f>IFERROR(VLOOKUP($A:$A,CS!$A:$AK,19,FALSE),"")</f>
      </c>
      <c r="O62" s="57">
        <f>IFERROR(VLOOKUP($A:$A,CS!$A:$AK,23,FALSE),"")</f>
      </c>
      <c r="P62" s="57">
        <f>IFERROR(VLOOKUP($A:$A,CS!$A:$AK,24,FALSE),"")</f>
      </c>
      <c r="Q62" s="57">
        <f>IFERROR(VLOOKUP($A:$A,CS!$A:$AK,25,FALSE),"")</f>
      </c>
      <c r="R62" s="57">
        <f>IFERROR(VLOOKUP($A:$A,CS!$A:$AK,26,FALSE),"")</f>
      </c>
      <c r="S62" s="57">
        <f>IFERROR(VLOOKUP($A:$A,CS!$A:$AK,29,FALSE),"")</f>
      </c>
      <c r="T62" s="57">
        <f>IFERROR(VLOOKUP($A:$A,CS!$A:$AK,33,FALSE),"")</f>
      </c>
      <c r="U62" s="57">
        <f>IFERROR(VLOOKUP($A:$A,CS!$A:$AK,34,FALSE),"")</f>
      </c>
      <c r="V62" s="57">
        <f>IFERROR(VLOOKUP($A:$A,CS!$A:$AK,35,FALSE),"")</f>
      </c>
      <c r="W62" s="57">
        <f>IFERROR(VLOOKUP($A:$A,CS!$A:$AK,36,FALSE),"")</f>
      </c>
    </row>
    <row r="63" ht="16.5" customHeight="1" spans="1:23" x14ac:dyDescent="0.25">
      <c r="A63" s="71"/>
      <c r="B63" s="57">
        <f>IFERROR(VLOOKUP($A:$A,CS!$A:$AK,3,FALSE),"")</f>
      </c>
      <c r="C63" s="57">
        <f>IFERROR(VLOOKUP($A:$A,CS!$A:$AK,4,FALSE),"")</f>
      </c>
      <c r="D63" s="57">
        <f>IFERROR(VLOOKUP($A:$A,CS!$A:$AK,5,FALSE),"")</f>
      </c>
      <c r="E63" s="57">
        <f>IFERROR(VLOOKUP($A:$A,CS!$A:$AK,7,FALSE),"")</f>
      </c>
      <c r="F63" s="57">
        <f>IFERROR(VLOOKUP($A:$A,CS!$A:$AK,8,FALSE),"")</f>
      </c>
      <c r="G63" s="57">
        <f>IFERROR(VLOOKUP($A:$A,CS!$A:$AK,10,FALSE),"")</f>
      </c>
      <c r="H63" s="57">
        <f>IFERROR(VLOOKUP($A:$A,CS!$A:$AK,14,FALSE),"")</f>
      </c>
      <c r="I63" s="57">
        <f>IFERROR(VLOOKUP($A:$A,CS!$A:$AK,15,FALSE),"")</f>
      </c>
      <c r="J63" s="57">
        <f>IFERROR(VLOOKUP($A:$A,CS!$A:$AK,18,FALSE),"")</f>
      </c>
      <c r="K63" s="57">
        <f>IFERROR(VLOOKUP($A:$A,CS!$A:$AK,19,FALSE),"")</f>
      </c>
      <c r="L63" s="57">
        <f>IFERROR(VLOOKUP($A:$A,CS!$A:$AK,20,FALSE),"")</f>
      </c>
      <c r="M63" s="57">
        <f>IFERROR(VLOOKUP($A:$A,CS!$A:$AK,22,FALSE),"")</f>
      </c>
      <c r="N63" s="57">
        <f>IFERROR(VLOOKUP($A:$A,CS!$A:$AK,19,FALSE),"")</f>
      </c>
      <c r="O63" s="57">
        <f>IFERROR(VLOOKUP($A:$A,CS!$A:$AK,23,FALSE),"")</f>
      </c>
      <c r="P63" s="57">
        <f>IFERROR(VLOOKUP($A:$A,CS!$A:$AK,24,FALSE),"")</f>
      </c>
      <c r="Q63" s="57">
        <f>IFERROR(VLOOKUP($A:$A,CS!$A:$AK,25,FALSE),"")</f>
      </c>
      <c r="R63" s="57">
        <f>IFERROR(VLOOKUP($A:$A,CS!$A:$AK,26,FALSE),"")</f>
      </c>
      <c r="S63" s="57">
        <f>IFERROR(VLOOKUP($A:$A,CS!$A:$AK,29,FALSE),"")</f>
      </c>
      <c r="T63" s="57">
        <f>IFERROR(VLOOKUP($A:$A,CS!$A:$AK,33,FALSE),"")</f>
      </c>
      <c r="U63" s="57">
        <f>IFERROR(VLOOKUP($A:$A,CS!$A:$AK,34,FALSE),"")</f>
      </c>
      <c r="V63" s="57">
        <f>IFERROR(VLOOKUP($A:$A,CS!$A:$AK,35,FALSE),"")</f>
      </c>
      <c r="W63" s="57">
        <f>IFERROR(VLOOKUP($A:$A,CS!$A:$AK,36,FALSE),"")</f>
      </c>
    </row>
    <row r="64" ht="16.5" customHeight="1" spans="1:23" x14ac:dyDescent="0.25">
      <c r="A64" s="71"/>
      <c r="B64" s="57">
        <f>IFERROR(VLOOKUP($A:$A,CS!$A:$AK,3,FALSE),"")</f>
      </c>
      <c r="C64" s="57">
        <f>IFERROR(VLOOKUP($A:$A,CS!$A:$AK,4,FALSE),"")</f>
      </c>
      <c r="D64" s="57">
        <f>IFERROR(VLOOKUP($A:$A,CS!$A:$AK,5,FALSE),"")</f>
      </c>
      <c r="E64" s="57">
        <f>IFERROR(VLOOKUP($A:$A,CS!$A:$AK,7,FALSE),"")</f>
      </c>
      <c r="F64" s="57">
        <f>IFERROR(VLOOKUP($A:$A,CS!$A:$AK,8,FALSE),"")</f>
      </c>
      <c r="G64" s="57">
        <f>IFERROR(VLOOKUP($A:$A,CS!$A:$AK,10,FALSE),"")</f>
      </c>
      <c r="H64" s="57">
        <f>IFERROR(VLOOKUP($A:$A,CS!$A:$AK,14,FALSE),"")</f>
      </c>
      <c r="I64" s="57">
        <f>IFERROR(VLOOKUP($A:$A,CS!$A:$AK,15,FALSE),"")</f>
      </c>
      <c r="J64" s="57">
        <f>IFERROR(VLOOKUP($A:$A,CS!$A:$AK,18,FALSE),"")</f>
      </c>
      <c r="K64" s="57">
        <f>IFERROR(VLOOKUP($A:$A,CS!$A:$AK,19,FALSE),"")</f>
      </c>
      <c r="L64" s="57">
        <f>IFERROR(VLOOKUP($A:$A,CS!$A:$AK,20,FALSE),"")</f>
      </c>
      <c r="M64" s="57">
        <f>IFERROR(VLOOKUP($A:$A,CS!$A:$AK,22,FALSE),"")</f>
      </c>
      <c r="N64" s="57">
        <f>IFERROR(VLOOKUP($A:$A,CS!$A:$AK,19,FALSE),"")</f>
      </c>
      <c r="O64" s="57">
        <f>IFERROR(VLOOKUP($A:$A,CS!$A:$AK,23,FALSE),"")</f>
      </c>
      <c r="P64" s="57">
        <f>IFERROR(VLOOKUP($A:$A,CS!$A:$AK,24,FALSE),"")</f>
      </c>
      <c r="Q64" s="57">
        <f>IFERROR(VLOOKUP($A:$A,CS!$A:$AK,25,FALSE),"")</f>
      </c>
      <c r="R64" s="57">
        <f>IFERROR(VLOOKUP($A:$A,CS!$A:$AK,26,FALSE),"")</f>
      </c>
      <c r="S64" s="57">
        <f>IFERROR(VLOOKUP($A:$A,CS!$A:$AK,29,FALSE),"")</f>
      </c>
      <c r="T64" s="57">
        <f>IFERROR(VLOOKUP($A:$A,CS!$A:$AK,33,FALSE),"")</f>
      </c>
      <c r="U64" s="57">
        <f>IFERROR(VLOOKUP($A:$A,CS!$A:$AK,34,FALSE),"")</f>
      </c>
      <c r="V64" s="57">
        <f>IFERROR(VLOOKUP($A:$A,CS!$A:$AK,35,FALSE),"")</f>
      </c>
      <c r="W64" s="57">
        <f>IFERROR(VLOOKUP($A:$A,CS!$A:$AK,36,FALSE),"")</f>
      </c>
    </row>
    <row r="65" ht="16.5" customHeight="1" spans="1:23" x14ac:dyDescent="0.25">
      <c r="A65" s="71"/>
      <c r="B65" s="57">
        <f>IFERROR(VLOOKUP($A:$A,CS!$A:$AK,3,FALSE),"")</f>
      </c>
      <c r="C65" s="57">
        <f>IFERROR(VLOOKUP($A:$A,CS!$A:$AK,4,FALSE),"")</f>
      </c>
      <c r="D65" s="57">
        <f>IFERROR(VLOOKUP($A:$A,CS!$A:$AK,5,FALSE),"")</f>
      </c>
      <c r="E65" s="57">
        <f>IFERROR(VLOOKUP($A:$A,CS!$A:$AK,7,FALSE),"")</f>
      </c>
      <c r="F65" s="57">
        <f>IFERROR(VLOOKUP($A:$A,CS!$A:$AK,8,FALSE),"")</f>
      </c>
      <c r="G65" s="57">
        <f>IFERROR(VLOOKUP($A:$A,CS!$A:$AK,10,FALSE),"")</f>
      </c>
      <c r="H65" s="57">
        <f>IFERROR(VLOOKUP($A:$A,CS!$A:$AK,14,FALSE),"")</f>
      </c>
      <c r="I65" s="57">
        <f>IFERROR(VLOOKUP($A:$A,CS!$A:$AK,15,FALSE),"")</f>
      </c>
      <c r="J65" s="57">
        <f>IFERROR(VLOOKUP($A:$A,CS!$A:$AK,18,FALSE),"")</f>
      </c>
      <c r="K65" s="57">
        <f>IFERROR(VLOOKUP($A:$A,CS!$A:$AK,19,FALSE),"")</f>
      </c>
      <c r="L65" s="57">
        <f>IFERROR(VLOOKUP($A:$A,CS!$A:$AK,20,FALSE),"")</f>
      </c>
      <c r="M65" s="57">
        <f>IFERROR(VLOOKUP($A:$A,CS!$A:$AK,22,FALSE),"")</f>
      </c>
      <c r="N65" s="57">
        <f>IFERROR(VLOOKUP($A:$A,CS!$A:$AK,19,FALSE),"")</f>
      </c>
      <c r="O65" s="57">
        <f>IFERROR(VLOOKUP($A:$A,CS!$A:$AK,23,FALSE),"")</f>
      </c>
      <c r="P65" s="57">
        <f>IFERROR(VLOOKUP($A:$A,CS!$A:$AK,24,FALSE),"")</f>
      </c>
      <c r="Q65" s="57">
        <f>IFERROR(VLOOKUP($A:$A,CS!$A:$AK,25,FALSE),"")</f>
      </c>
      <c r="R65" s="57">
        <f>IFERROR(VLOOKUP($A:$A,CS!$A:$AK,26,FALSE),"")</f>
      </c>
      <c r="S65" s="57">
        <f>IFERROR(VLOOKUP($A:$A,CS!$A:$AK,29,FALSE),"")</f>
      </c>
      <c r="T65" s="57">
        <f>IFERROR(VLOOKUP($A:$A,CS!$A:$AK,33,FALSE),"")</f>
      </c>
      <c r="U65" s="57">
        <f>IFERROR(VLOOKUP($A:$A,CS!$A:$AK,34,FALSE),"")</f>
      </c>
      <c r="V65" s="57">
        <f>IFERROR(VLOOKUP($A:$A,CS!$A:$AK,35,FALSE),"")</f>
      </c>
      <c r="W65" s="57">
        <f>IFERROR(VLOOKUP($A:$A,CS!$A:$AK,36,FALSE),"")</f>
      </c>
    </row>
    <row r="66" ht="16.5" customHeight="1" spans="1:23" x14ac:dyDescent="0.25">
      <c r="A66" s="71"/>
      <c r="B66" s="57">
        <f>IFERROR(VLOOKUP($A:$A,CS!$A:$AK,3,FALSE),"")</f>
      </c>
      <c r="C66" s="57">
        <f>IFERROR(VLOOKUP($A:$A,CS!$A:$AK,4,FALSE),"")</f>
      </c>
      <c r="D66" s="57">
        <f>IFERROR(VLOOKUP($A:$A,CS!$A:$AK,5,FALSE),"")</f>
      </c>
      <c r="E66" s="57">
        <f>IFERROR(VLOOKUP($A:$A,CS!$A:$AK,7,FALSE),"")</f>
      </c>
      <c r="F66" s="57">
        <f>IFERROR(VLOOKUP($A:$A,CS!$A:$AK,8,FALSE),"")</f>
      </c>
      <c r="G66" s="57">
        <f>IFERROR(VLOOKUP($A:$A,CS!$A:$AK,10,FALSE),"")</f>
      </c>
      <c r="H66" s="57">
        <f>IFERROR(VLOOKUP($A:$A,CS!$A:$AK,14,FALSE),"")</f>
      </c>
      <c r="I66" s="57">
        <f>IFERROR(VLOOKUP($A:$A,CS!$A:$AK,15,FALSE),"")</f>
      </c>
      <c r="J66" s="57">
        <f>IFERROR(VLOOKUP($A:$A,CS!$A:$AK,18,FALSE),"")</f>
      </c>
      <c r="K66" s="57">
        <f>IFERROR(VLOOKUP($A:$A,CS!$A:$AK,19,FALSE),"")</f>
      </c>
      <c r="L66" s="57">
        <f>IFERROR(VLOOKUP($A:$A,CS!$A:$AK,20,FALSE),"")</f>
      </c>
      <c r="M66" s="57">
        <f>IFERROR(VLOOKUP($A:$A,CS!$A:$AK,22,FALSE),"")</f>
      </c>
      <c r="N66" s="57">
        <f>IFERROR(VLOOKUP($A:$A,CS!$A:$AK,19,FALSE),"")</f>
      </c>
      <c r="O66" s="57">
        <f>IFERROR(VLOOKUP($A:$A,CS!$A:$AK,23,FALSE),"")</f>
      </c>
      <c r="P66" s="57">
        <f>IFERROR(VLOOKUP($A:$A,CS!$A:$AK,24,FALSE),"")</f>
      </c>
      <c r="Q66" s="57">
        <f>IFERROR(VLOOKUP($A:$A,CS!$A:$AK,25,FALSE),"")</f>
      </c>
      <c r="R66" s="57">
        <f>IFERROR(VLOOKUP($A:$A,CS!$A:$AK,26,FALSE),"")</f>
      </c>
      <c r="S66" s="57">
        <f>IFERROR(VLOOKUP($A:$A,CS!$A:$AK,29,FALSE),"")</f>
      </c>
      <c r="T66" s="57">
        <f>IFERROR(VLOOKUP($A:$A,CS!$A:$AK,33,FALSE),"")</f>
      </c>
      <c r="U66" s="57">
        <f>IFERROR(VLOOKUP($A:$A,CS!$A:$AK,34,FALSE),"")</f>
      </c>
      <c r="V66" s="57">
        <f>IFERROR(VLOOKUP($A:$A,CS!$A:$AK,35,FALSE),"")</f>
      </c>
      <c r="W66" s="57">
        <f>IFERROR(VLOOKUP($A:$A,CS!$A:$AK,36,FALSE),"")</f>
      </c>
    </row>
    <row r="67" ht="16.5" customHeight="1" spans="1:23" x14ac:dyDescent="0.25">
      <c r="A67" s="71"/>
      <c r="B67" s="57">
        <f>IFERROR(VLOOKUP($A:$A,CS!$A:$AK,3,FALSE),"")</f>
      </c>
      <c r="C67" s="57">
        <f>IFERROR(VLOOKUP($A:$A,CS!$A:$AK,4,FALSE),"")</f>
      </c>
      <c r="D67" s="57">
        <f>IFERROR(VLOOKUP($A:$A,CS!$A:$AK,5,FALSE),"")</f>
      </c>
      <c r="E67" s="57">
        <f>IFERROR(VLOOKUP($A:$A,CS!$A:$AK,7,FALSE),"")</f>
      </c>
      <c r="F67" s="57">
        <f>IFERROR(VLOOKUP($A:$A,CS!$A:$AK,8,FALSE),"")</f>
      </c>
      <c r="G67" s="57">
        <f>IFERROR(VLOOKUP($A:$A,CS!$A:$AK,10,FALSE),"")</f>
      </c>
      <c r="H67" s="57">
        <f>IFERROR(VLOOKUP($A:$A,CS!$A:$AK,14,FALSE),"")</f>
      </c>
      <c r="I67" s="57">
        <f>IFERROR(VLOOKUP($A:$A,CS!$A:$AK,15,FALSE),"")</f>
      </c>
      <c r="J67" s="57">
        <f>IFERROR(VLOOKUP($A:$A,CS!$A:$AK,18,FALSE),"")</f>
      </c>
      <c r="K67" s="57">
        <f>IFERROR(VLOOKUP($A:$A,CS!$A:$AK,19,FALSE),"")</f>
      </c>
      <c r="L67" s="57">
        <f>IFERROR(VLOOKUP($A:$A,CS!$A:$AK,20,FALSE),"")</f>
      </c>
      <c r="M67" s="57">
        <f>IFERROR(VLOOKUP($A:$A,CS!$A:$AK,22,FALSE),"")</f>
      </c>
      <c r="N67" s="57">
        <f>IFERROR(VLOOKUP($A:$A,CS!$A:$AK,19,FALSE),"")</f>
      </c>
      <c r="O67" s="57">
        <f>IFERROR(VLOOKUP($A:$A,CS!$A:$AK,23,FALSE),"")</f>
      </c>
      <c r="P67" s="57">
        <f>IFERROR(VLOOKUP($A:$A,CS!$A:$AK,24,FALSE),"")</f>
      </c>
      <c r="Q67" s="57">
        <f>IFERROR(VLOOKUP($A:$A,CS!$A:$AK,25,FALSE),"")</f>
      </c>
      <c r="R67" s="57">
        <f>IFERROR(VLOOKUP($A:$A,CS!$A:$AK,26,FALSE),"")</f>
      </c>
      <c r="S67" s="57">
        <f>IFERROR(VLOOKUP($A:$A,CS!$A:$AK,29,FALSE),"")</f>
      </c>
      <c r="T67" s="57">
        <f>IFERROR(VLOOKUP($A:$A,CS!$A:$AK,33,FALSE),"")</f>
      </c>
      <c r="U67" s="57">
        <f>IFERROR(VLOOKUP($A:$A,CS!$A:$AK,34,FALSE),"")</f>
      </c>
      <c r="V67" s="57">
        <f>IFERROR(VLOOKUP($A:$A,CS!$A:$AK,35,FALSE),"")</f>
      </c>
      <c r="W67" s="57">
        <f>IFERROR(VLOOKUP($A:$A,CS!$A:$AK,36,FALSE),"")</f>
      </c>
    </row>
    <row r="68" ht="16.5" customHeight="1" spans="1:23" x14ac:dyDescent="0.25">
      <c r="A68" s="71"/>
      <c r="B68" s="57">
        <f>IFERROR(VLOOKUP($A:$A,CS!$A:$AK,3,FALSE),"")</f>
      </c>
      <c r="C68" s="57">
        <f>IFERROR(VLOOKUP($A:$A,CS!$A:$AK,4,FALSE),"")</f>
      </c>
      <c r="D68" s="57">
        <f>IFERROR(VLOOKUP($A:$A,CS!$A:$AK,5,FALSE),"")</f>
      </c>
      <c r="E68" s="57">
        <f>IFERROR(VLOOKUP($A:$A,CS!$A:$AK,7,FALSE),"")</f>
      </c>
      <c r="F68" s="57">
        <f>IFERROR(VLOOKUP($A:$A,CS!$A:$AK,8,FALSE),"")</f>
      </c>
      <c r="G68" s="57">
        <f>IFERROR(VLOOKUP($A:$A,CS!$A:$AK,10,FALSE),"")</f>
      </c>
      <c r="H68" s="57">
        <f>IFERROR(VLOOKUP($A:$A,CS!$A:$AK,14,FALSE),"")</f>
      </c>
      <c r="I68" s="57">
        <f>IFERROR(VLOOKUP($A:$A,CS!$A:$AK,15,FALSE),"")</f>
      </c>
      <c r="J68" s="57">
        <f>IFERROR(VLOOKUP($A:$A,CS!$A:$AK,18,FALSE),"")</f>
      </c>
      <c r="K68" s="57">
        <f>IFERROR(VLOOKUP($A:$A,CS!$A:$AK,19,FALSE),"")</f>
      </c>
      <c r="L68" s="57">
        <f>IFERROR(VLOOKUP($A:$A,CS!$A:$AK,20,FALSE),"")</f>
      </c>
      <c r="M68" s="57">
        <f>IFERROR(VLOOKUP($A:$A,CS!$A:$AK,22,FALSE),"")</f>
      </c>
      <c r="N68" s="57">
        <f>IFERROR(VLOOKUP($A:$A,CS!$A:$AK,19,FALSE),"")</f>
      </c>
      <c r="O68" s="57">
        <f>IFERROR(VLOOKUP($A:$A,CS!$A:$AK,23,FALSE),"")</f>
      </c>
      <c r="P68" s="57">
        <f>IFERROR(VLOOKUP($A:$A,CS!$A:$AK,24,FALSE),"")</f>
      </c>
      <c r="Q68" s="57">
        <f>IFERROR(VLOOKUP($A:$A,CS!$A:$AK,25,FALSE),"")</f>
      </c>
      <c r="R68" s="57">
        <f>IFERROR(VLOOKUP($A:$A,CS!$A:$AK,26,FALSE),"")</f>
      </c>
      <c r="S68" s="57">
        <f>IFERROR(VLOOKUP($A:$A,CS!$A:$AK,29,FALSE),"")</f>
      </c>
      <c r="T68" s="57">
        <f>IFERROR(VLOOKUP($A:$A,CS!$A:$AK,33,FALSE),"")</f>
      </c>
      <c r="U68" s="57">
        <f>IFERROR(VLOOKUP($A:$A,CS!$A:$AK,34,FALSE),"")</f>
      </c>
      <c r="V68" s="57">
        <f>IFERROR(VLOOKUP($A:$A,CS!$A:$AK,35,FALSE),"")</f>
      </c>
      <c r="W68" s="57">
        <f>IFERROR(VLOOKUP($A:$A,CS!$A:$AK,36,FALSE),"")</f>
      </c>
    </row>
    <row r="69" ht="16.5" customHeight="1" spans="1:23" x14ac:dyDescent="0.25">
      <c r="A69" s="71"/>
      <c r="B69" s="57">
        <f>IFERROR(VLOOKUP($A:$A,CS!$A:$AK,3,FALSE),"")</f>
      </c>
      <c r="C69" s="57">
        <f>IFERROR(VLOOKUP($A:$A,CS!$A:$AK,4,FALSE),"")</f>
      </c>
      <c r="D69" s="57">
        <f>IFERROR(VLOOKUP($A:$A,CS!$A:$AK,5,FALSE),"")</f>
      </c>
      <c r="E69" s="57">
        <f>IFERROR(VLOOKUP($A:$A,CS!$A:$AK,7,FALSE),"")</f>
      </c>
      <c r="F69" s="57">
        <f>IFERROR(VLOOKUP($A:$A,CS!$A:$AK,8,FALSE),"")</f>
      </c>
      <c r="G69" s="57">
        <f>IFERROR(VLOOKUP($A:$A,CS!$A:$AK,10,FALSE),"")</f>
      </c>
      <c r="H69" s="57">
        <f>IFERROR(VLOOKUP($A:$A,CS!$A:$AK,14,FALSE),"")</f>
      </c>
      <c r="I69" s="57">
        <f>IFERROR(VLOOKUP($A:$A,CS!$A:$AK,15,FALSE),"")</f>
      </c>
      <c r="J69" s="57">
        <f>IFERROR(VLOOKUP($A:$A,CS!$A:$AK,18,FALSE),"")</f>
      </c>
      <c r="K69" s="57">
        <f>IFERROR(VLOOKUP($A:$A,CS!$A:$AK,19,FALSE),"")</f>
      </c>
      <c r="L69" s="57">
        <f>IFERROR(VLOOKUP($A:$A,CS!$A:$AK,20,FALSE),"")</f>
      </c>
      <c r="M69" s="57">
        <f>IFERROR(VLOOKUP($A:$A,CS!$A:$AK,22,FALSE),"")</f>
      </c>
      <c r="N69" s="57">
        <f>IFERROR(VLOOKUP($A:$A,CS!$A:$AK,19,FALSE),"")</f>
      </c>
      <c r="O69" s="57">
        <f>IFERROR(VLOOKUP($A:$A,CS!$A:$AK,23,FALSE),"")</f>
      </c>
      <c r="P69" s="57">
        <f>IFERROR(VLOOKUP($A:$A,CS!$A:$AK,24,FALSE),"")</f>
      </c>
      <c r="Q69" s="57">
        <f>IFERROR(VLOOKUP($A:$A,CS!$A:$AK,25,FALSE),"")</f>
      </c>
      <c r="R69" s="57">
        <f>IFERROR(VLOOKUP($A:$A,CS!$A:$AK,26,FALSE),"")</f>
      </c>
      <c r="S69" s="57">
        <f>IFERROR(VLOOKUP($A:$A,CS!$A:$AK,29,FALSE),"")</f>
      </c>
      <c r="T69" s="57">
        <f>IFERROR(VLOOKUP($A:$A,CS!$A:$AK,33,FALSE),"")</f>
      </c>
      <c r="U69" s="57">
        <f>IFERROR(VLOOKUP($A:$A,CS!$A:$AK,34,FALSE),"")</f>
      </c>
      <c r="V69" s="57">
        <f>IFERROR(VLOOKUP($A:$A,CS!$A:$AK,35,FALSE),"")</f>
      </c>
      <c r="W69" s="57">
        <f>IFERROR(VLOOKUP($A:$A,CS!$A:$AK,36,FALSE),"")</f>
      </c>
    </row>
    <row r="70" ht="16.5" customHeight="1" spans="1:23" x14ac:dyDescent="0.25">
      <c r="A70" s="71"/>
      <c r="B70" s="57">
        <f>IFERROR(VLOOKUP($A:$A,CS!$A:$AK,3,FALSE),"")</f>
      </c>
      <c r="C70" s="57">
        <f>IFERROR(VLOOKUP($A:$A,CS!$A:$AK,4,FALSE),"")</f>
      </c>
      <c r="D70" s="57">
        <f>IFERROR(VLOOKUP($A:$A,CS!$A:$AK,5,FALSE),"")</f>
      </c>
      <c r="E70" s="57">
        <f>IFERROR(VLOOKUP($A:$A,CS!$A:$AK,7,FALSE),"")</f>
      </c>
      <c r="F70" s="57">
        <f>IFERROR(VLOOKUP($A:$A,CS!$A:$AK,8,FALSE),"")</f>
      </c>
      <c r="G70" s="57">
        <f>IFERROR(VLOOKUP($A:$A,CS!$A:$AK,10,FALSE),"")</f>
      </c>
      <c r="H70" s="57">
        <f>IFERROR(VLOOKUP($A:$A,CS!$A:$AK,14,FALSE),"")</f>
      </c>
      <c r="I70" s="57">
        <f>IFERROR(VLOOKUP($A:$A,CS!$A:$AK,15,FALSE),"")</f>
      </c>
      <c r="J70" s="57">
        <f>IFERROR(VLOOKUP($A:$A,CS!$A:$AK,18,FALSE),"")</f>
      </c>
      <c r="K70" s="57">
        <f>IFERROR(VLOOKUP($A:$A,CS!$A:$AK,19,FALSE),"")</f>
      </c>
      <c r="L70" s="57">
        <f>IFERROR(VLOOKUP($A:$A,CS!$A:$AK,20,FALSE),"")</f>
      </c>
      <c r="M70" s="57">
        <f>IFERROR(VLOOKUP($A:$A,CS!$A:$AK,22,FALSE),"")</f>
      </c>
      <c r="N70" s="57">
        <f>IFERROR(VLOOKUP($A:$A,CS!$A:$AK,19,FALSE),"")</f>
      </c>
      <c r="O70" s="57">
        <f>IFERROR(VLOOKUP($A:$A,CS!$A:$AK,23,FALSE),"")</f>
      </c>
      <c r="P70" s="57">
        <f>IFERROR(VLOOKUP($A:$A,CS!$A:$AK,24,FALSE),"")</f>
      </c>
      <c r="Q70" s="57">
        <f>IFERROR(VLOOKUP($A:$A,CS!$A:$AK,25,FALSE),"")</f>
      </c>
      <c r="R70" s="57">
        <f>IFERROR(VLOOKUP($A:$A,CS!$A:$AK,26,FALSE),"")</f>
      </c>
      <c r="S70" s="57">
        <f>IFERROR(VLOOKUP($A:$A,CS!$A:$AK,29,FALSE),"")</f>
      </c>
      <c r="T70" s="57">
        <f>IFERROR(VLOOKUP($A:$A,CS!$A:$AK,33,FALSE),"")</f>
      </c>
      <c r="U70" s="57">
        <f>IFERROR(VLOOKUP($A:$A,CS!$A:$AK,34,FALSE),"")</f>
      </c>
      <c r="V70" s="57">
        <f>IFERROR(VLOOKUP($A:$A,CS!$A:$AK,35,FALSE),"")</f>
      </c>
      <c r="W70" s="57">
        <f>IFERROR(VLOOKUP($A:$A,CS!$A:$AK,36,FALSE),"")</f>
      </c>
    </row>
    <row r="71" ht="16.5" customHeight="1" spans="1:23" x14ac:dyDescent="0.25">
      <c r="A71" s="71"/>
      <c r="B71" s="57">
        <f>IFERROR(VLOOKUP($A:$A,CS!$A:$AK,3,FALSE),"")</f>
      </c>
      <c r="C71" s="57">
        <f>IFERROR(VLOOKUP($A:$A,CS!$A:$AK,4,FALSE),"")</f>
      </c>
      <c r="D71" s="57">
        <f>IFERROR(VLOOKUP($A:$A,CS!$A:$AK,5,FALSE),"")</f>
      </c>
      <c r="E71" s="57">
        <f>IFERROR(VLOOKUP($A:$A,CS!$A:$AK,7,FALSE),"")</f>
      </c>
      <c r="F71" s="57">
        <f>IFERROR(VLOOKUP($A:$A,CS!$A:$AK,8,FALSE),"")</f>
      </c>
      <c r="G71" s="57">
        <f>IFERROR(VLOOKUP($A:$A,CS!$A:$AK,10,FALSE),"")</f>
      </c>
      <c r="H71" s="57">
        <f>IFERROR(VLOOKUP($A:$A,CS!$A:$AK,14,FALSE),"")</f>
      </c>
      <c r="I71" s="57">
        <f>IFERROR(VLOOKUP($A:$A,CS!$A:$AK,15,FALSE),"")</f>
      </c>
      <c r="J71" s="57">
        <f>IFERROR(VLOOKUP($A:$A,CS!$A:$AK,18,FALSE),"")</f>
      </c>
      <c r="K71" s="57">
        <f>IFERROR(VLOOKUP($A:$A,CS!$A:$AK,19,FALSE),"")</f>
      </c>
      <c r="L71" s="57">
        <f>IFERROR(VLOOKUP($A:$A,CS!$A:$AK,20,FALSE),"")</f>
      </c>
      <c r="M71" s="57">
        <f>IFERROR(VLOOKUP($A:$A,CS!$A:$AK,22,FALSE),"")</f>
      </c>
      <c r="N71" s="57">
        <f>IFERROR(VLOOKUP($A:$A,CS!$A:$AK,19,FALSE),"")</f>
      </c>
      <c r="O71" s="57">
        <f>IFERROR(VLOOKUP($A:$A,CS!$A:$AK,23,FALSE),"")</f>
      </c>
      <c r="P71" s="57">
        <f>IFERROR(VLOOKUP($A:$A,CS!$A:$AK,24,FALSE),"")</f>
      </c>
      <c r="Q71" s="57">
        <f>IFERROR(VLOOKUP($A:$A,CS!$A:$AK,25,FALSE),"")</f>
      </c>
      <c r="R71" s="57">
        <f>IFERROR(VLOOKUP($A:$A,CS!$A:$AK,26,FALSE),"")</f>
      </c>
      <c r="S71" s="57">
        <f>IFERROR(VLOOKUP($A:$A,CS!$A:$AK,29,FALSE),"")</f>
      </c>
      <c r="T71" s="57">
        <f>IFERROR(VLOOKUP($A:$A,CS!$A:$AK,33,FALSE),"")</f>
      </c>
      <c r="U71" s="57">
        <f>IFERROR(VLOOKUP($A:$A,CS!$A:$AK,34,FALSE),"")</f>
      </c>
      <c r="V71" s="57">
        <f>IFERROR(VLOOKUP($A:$A,CS!$A:$AK,35,FALSE),"")</f>
      </c>
      <c r="W71" s="57">
        <f>IFERROR(VLOOKUP($A:$A,CS!$A:$AK,36,FALSE),"")</f>
      </c>
    </row>
    <row r="72" ht="16.5" customHeight="1" spans="1:23" x14ac:dyDescent="0.25">
      <c r="A72" s="71"/>
      <c r="B72" s="57">
        <f>IFERROR(VLOOKUP($A:$A,CS!$A:$AK,3,FALSE),"")</f>
      </c>
      <c r="C72" s="57">
        <f>IFERROR(VLOOKUP($A:$A,CS!$A:$AK,4,FALSE),"")</f>
      </c>
      <c r="D72" s="57">
        <f>IFERROR(VLOOKUP($A:$A,CS!$A:$AK,5,FALSE),"")</f>
      </c>
      <c r="E72" s="57">
        <f>IFERROR(VLOOKUP($A:$A,CS!$A:$AK,7,FALSE),"")</f>
      </c>
      <c r="F72" s="57">
        <f>IFERROR(VLOOKUP($A:$A,CS!$A:$AK,8,FALSE),"")</f>
      </c>
      <c r="G72" s="57">
        <f>IFERROR(VLOOKUP($A:$A,CS!$A:$AK,10,FALSE),"")</f>
      </c>
      <c r="H72" s="57">
        <f>IFERROR(VLOOKUP($A:$A,CS!$A:$AK,14,FALSE),"")</f>
      </c>
      <c r="I72" s="57">
        <f>IFERROR(VLOOKUP($A:$A,CS!$A:$AK,15,FALSE),"")</f>
      </c>
      <c r="J72" s="57">
        <f>IFERROR(VLOOKUP($A:$A,CS!$A:$AK,18,FALSE),"")</f>
      </c>
      <c r="K72" s="57">
        <f>IFERROR(VLOOKUP($A:$A,CS!$A:$AK,19,FALSE),"")</f>
      </c>
      <c r="L72" s="57">
        <f>IFERROR(VLOOKUP($A:$A,CS!$A:$AK,20,FALSE),"")</f>
      </c>
      <c r="M72" s="57">
        <f>IFERROR(VLOOKUP($A:$A,CS!$A:$AK,22,FALSE),"")</f>
      </c>
      <c r="N72" s="57">
        <f>IFERROR(VLOOKUP($A:$A,CS!$A:$AK,19,FALSE),"")</f>
      </c>
      <c r="O72" s="57">
        <f>IFERROR(VLOOKUP($A:$A,CS!$A:$AK,23,FALSE),"")</f>
      </c>
      <c r="P72" s="57">
        <f>IFERROR(VLOOKUP($A:$A,CS!$A:$AK,24,FALSE),"")</f>
      </c>
      <c r="Q72" s="57">
        <f>IFERROR(VLOOKUP($A:$A,CS!$A:$AK,25,FALSE),"")</f>
      </c>
      <c r="R72" s="57">
        <f>IFERROR(VLOOKUP($A:$A,CS!$A:$AK,26,FALSE),"")</f>
      </c>
      <c r="S72" s="57">
        <f>IFERROR(VLOOKUP($A:$A,CS!$A:$AK,29,FALSE),"")</f>
      </c>
      <c r="T72" s="57">
        <f>IFERROR(VLOOKUP($A:$A,CS!$A:$AK,33,FALSE),"")</f>
      </c>
      <c r="U72" s="57">
        <f>IFERROR(VLOOKUP($A:$A,CS!$A:$AK,34,FALSE),"")</f>
      </c>
      <c r="V72" s="57">
        <f>IFERROR(VLOOKUP($A:$A,CS!$A:$AK,35,FALSE),"")</f>
      </c>
      <c r="W72" s="57">
        <f>IFERROR(VLOOKUP($A:$A,CS!$A:$AK,36,FALSE),"")</f>
      </c>
    </row>
    <row r="73" ht="16.5" customHeight="1" spans="1:23" x14ac:dyDescent="0.25">
      <c r="A73" s="71"/>
      <c r="B73" s="57">
        <f>IFERROR(VLOOKUP($A:$A,CS!$A:$AK,3,FALSE),"")</f>
      </c>
      <c r="C73" s="57">
        <f>IFERROR(VLOOKUP($A:$A,CS!$A:$AK,4,FALSE),"")</f>
      </c>
      <c r="D73" s="57">
        <f>IFERROR(VLOOKUP($A:$A,CS!$A:$AK,5,FALSE),"")</f>
      </c>
      <c r="E73" s="57">
        <f>IFERROR(VLOOKUP($A:$A,CS!$A:$AK,7,FALSE),"")</f>
      </c>
      <c r="F73" s="57">
        <f>IFERROR(VLOOKUP($A:$A,CS!$A:$AK,8,FALSE),"")</f>
      </c>
      <c r="G73" s="57">
        <f>IFERROR(VLOOKUP($A:$A,CS!$A:$AK,10,FALSE),"")</f>
      </c>
      <c r="H73" s="57">
        <f>IFERROR(VLOOKUP($A:$A,CS!$A:$AK,14,FALSE),"")</f>
      </c>
      <c r="I73" s="57">
        <f>IFERROR(VLOOKUP($A:$A,CS!$A:$AK,15,FALSE),"")</f>
      </c>
      <c r="J73" s="57">
        <f>IFERROR(VLOOKUP($A:$A,CS!$A:$AK,18,FALSE),"")</f>
      </c>
      <c r="K73" s="57">
        <f>IFERROR(VLOOKUP($A:$A,CS!$A:$AK,19,FALSE),"")</f>
      </c>
      <c r="L73" s="57">
        <f>IFERROR(VLOOKUP($A:$A,CS!$A:$AK,20,FALSE),"")</f>
      </c>
      <c r="M73" s="57">
        <f>IFERROR(VLOOKUP($A:$A,CS!$A:$AK,22,FALSE),"")</f>
      </c>
      <c r="N73" s="57">
        <f>IFERROR(VLOOKUP($A:$A,CS!$A:$AK,19,FALSE),"")</f>
      </c>
      <c r="O73" s="57">
        <f>IFERROR(VLOOKUP($A:$A,CS!$A:$AK,23,FALSE),"")</f>
      </c>
      <c r="P73" s="57">
        <f>IFERROR(VLOOKUP($A:$A,CS!$A:$AK,24,FALSE),"")</f>
      </c>
      <c r="Q73" s="57">
        <f>IFERROR(VLOOKUP($A:$A,CS!$A:$AK,25,FALSE),"")</f>
      </c>
      <c r="R73" s="57">
        <f>IFERROR(VLOOKUP($A:$A,CS!$A:$AK,26,FALSE),"")</f>
      </c>
      <c r="S73" s="57">
        <f>IFERROR(VLOOKUP($A:$A,CS!$A:$AK,29,FALSE),"")</f>
      </c>
      <c r="T73" s="57">
        <f>IFERROR(VLOOKUP($A:$A,CS!$A:$AK,33,FALSE),"")</f>
      </c>
      <c r="U73" s="57">
        <f>IFERROR(VLOOKUP($A:$A,CS!$A:$AK,34,FALSE),"")</f>
      </c>
      <c r="V73" s="57">
        <f>IFERROR(VLOOKUP($A:$A,CS!$A:$AK,35,FALSE),"")</f>
      </c>
      <c r="W73" s="57">
        <f>IFERROR(VLOOKUP($A:$A,CS!$A:$AK,36,FALSE),"")</f>
      </c>
    </row>
    <row r="74" ht="16.5" customHeight="1" spans="1:23" x14ac:dyDescent="0.25">
      <c r="A74" s="71"/>
      <c r="B74" s="57">
        <f>IFERROR(VLOOKUP($A:$A,CS!$A:$AK,3,FALSE),"")</f>
      </c>
      <c r="C74" s="57">
        <f>IFERROR(VLOOKUP($A:$A,CS!$A:$AK,4,FALSE),"")</f>
      </c>
      <c r="D74" s="57">
        <f>IFERROR(VLOOKUP($A:$A,CS!$A:$AK,5,FALSE),"")</f>
      </c>
      <c r="E74" s="57">
        <f>IFERROR(VLOOKUP($A:$A,CS!$A:$AK,7,FALSE),"")</f>
      </c>
      <c r="F74" s="57">
        <f>IFERROR(VLOOKUP($A:$A,CS!$A:$AK,8,FALSE),"")</f>
      </c>
      <c r="G74" s="57">
        <f>IFERROR(VLOOKUP($A:$A,CS!$A:$AK,10,FALSE),"")</f>
      </c>
      <c r="H74" s="57">
        <f>IFERROR(VLOOKUP($A:$A,CS!$A:$AK,14,FALSE),"")</f>
      </c>
      <c r="I74" s="57">
        <f>IFERROR(VLOOKUP($A:$A,CS!$A:$AK,15,FALSE),"")</f>
      </c>
      <c r="J74" s="57">
        <f>IFERROR(VLOOKUP($A:$A,CS!$A:$AK,18,FALSE),"")</f>
      </c>
      <c r="K74" s="57">
        <f>IFERROR(VLOOKUP($A:$A,CS!$A:$AK,19,FALSE),"")</f>
      </c>
      <c r="L74" s="57">
        <f>IFERROR(VLOOKUP($A:$A,CS!$A:$AK,20,FALSE),"")</f>
      </c>
      <c r="M74" s="57">
        <f>IFERROR(VLOOKUP($A:$A,CS!$A:$AK,22,FALSE),"")</f>
      </c>
      <c r="N74" s="57">
        <f>IFERROR(VLOOKUP($A:$A,CS!$A:$AK,19,FALSE),"")</f>
      </c>
      <c r="O74" s="57">
        <f>IFERROR(VLOOKUP($A:$A,CS!$A:$AK,23,FALSE),"")</f>
      </c>
      <c r="P74" s="57">
        <f>IFERROR(VLOOKUP($A:$A,CS!$A:$AK,24,FALSE),"")</f>
      </c>
      <c r="Q74" s="57">
        <f>IFERROR(VLOOKUP($A:$A,CS!$A:$AK,25,FALSE),"")</f>
      </c>
      <c r="R74" s="57">
        <f>IFERROR(VLOOKUP($A:$A,CS!$A:$AK,26,FALSE),"")</f>
      </c>
      <c r="S74" s="57">
        <f>IFERROR(VLOOKUP($A:$A,CS!$A:$AK,29,FALSE),"")</f>
      </c>
      <c r="T74" s="57">
        <f>IFERROR(VLOOKUP($A:$A,CS!$A:$AK,33,FALSE),"")</f>
      </c>
      <c r="U74" s="57">
        <f>IFERROR(VLOOKUP($A:$A,CS!$A:$AK,34,FALSE),"")</f>
      </c>
      <c r="V74" s="57">
        <f>IFERROR(VLOOKUP($A:$A,CS!$A:$AK,35,FALSE),"")</f>
      </c>
      <c r="W74" s="57">
        <f>IFERROR(VLOOKUP($A:$A,CS!$A:$AK,36,FALSE),"")</f>
      </c>
    </row>
    <row r="75" ht="16.5" customHeight="1" spans="1:23" x14ac:dyDescent="0.25">
      <c r="A75" s="71"/>
      <c r="B75" s="57">
        <f>IFERROR(VLOOKUP($A:$A,CS!$A:$AK,3,FALSE),"")</f>
      </c>
      <c r="C75" s="57">
        <f>IFERROR(VLOOKUP($A:$A,CS!$A:$AK,4,FALSE),"")</f>
      </c>
      <c r="D75" s="57">
        <f>IFERROR(VLOOKUP($A:$A,CS!$A:$AK,5,FALSE),"")</f>
      </c>
      <c r="E75" s="57">
        <f>IFERROR(VLOOKUP($A:$A,CS!$A:$AK,7,FALSE),"")</f>
      </c>
      <c r="F75" s="57">
        <f>IFERROR(VLOOKUP($A:$A,CS!$A:$AK,8,FALSE),"")</f>
      </c>
      <c r="G75" s="57">
        <f>IFERROR(VLOOKUP($A:$A,CS!$A:$AK,10,FALSE),"")</f>
      </c>
      <c r="H75" s="57">
        <f>IFERROR(VLOOKUP($A:$A,CS!$A:$AK,14,FALSE),"")</f>
      </c>
      <c r="I75" s="57">
        <f>IFERROR(VLOOKUP($A:$A,CS!$A:$AK,15,FALSE),"")</f>
      </c>
      <c r="J75" s="57">
        <f>IFERROR(VLOOKUP($A:$A,CS!$A:$AK,18,FALSE),"")</f>
      </c>
      <c r="K75" s="57">
        <f>IFERROR(VLOOKUP($A:$A,CS!$A:$AK,19,FALSE),"")</f>
      </c>
      <c r="L75" s="57">
        <f>IFERROR(VLOOKUP($A:$A,CS!$A:$AK,20,FALSE),"")</f>
      </c>
      <c r="M75" s="57">
        <f>IFERROR(VLOOKUP($A:$A,CS!$A:$AK,22,FALSE),"")</f>
      </c>
      <c r="N75" s="57">
        <f>IFERROR(VLOOKUP($A:$A,CS!$A:$AK,19,FALSE),"")</f>
      </c>
      <c r="O75" s="57">
        <f>IFERROR(VLOOKUP($A:$A,CS!$A:$AK,23,FALSE),"")</f>
      </c>
      <c r="P75" s="57">
        <f>IFERROR(VLOOKUP($A:$A,CS!$A:$AK,24,FALSE),"")</f>
      </c>
      <c r="Q75" s="57">
        <f>IFERROR(VLOOKUP($A:$A,CS!$A:$AK,25,FALSE),"")</f>
      </c>
      <c r="R75" s="57">
        <f>IFERROR(VLOOKUP($A:$A,CS!$A:$AK,26,FALSE),"")</f>
      </c>
      <c r="S75" s="57">
        <f>IFERROR(VLOOKUP($A:$A,CS!$A:$AK,29,FALSE),"")</f>
      </c>
      <c r="T75" s="57">
        <f>IFERROR(VLOOKUP($A:$A,CS!$A:$AK,33,FALSE),"")</f>
      </c>
      <c r="U75" s="57">
        <f>IFERROR(VLOOKUP($A:$A,CS!$A:$AK,34,FALSE),"")</f>
      </c>
      <c r="V75" s="57">
        <f>IFERROR(VLOOKUP($A:$A,CS!$A:$AK,35,FALSE),"")</f>
      </c>
      <c r="W75" s="57">
        <f>IFERROR(VLOOKUP($A:$A,CS!$A:$AK,36,FALSE),"")</f>
      </c>
    </row>
    <row r="76" ht="16.5" customHeight="1" spans="1:23" x14ac:dyDescent="0.25">
      <c r="A76" s="71"/>
      <c r="B76" s="57">
        <f>IFERROR(VLOOKUP($A:$A,CS!$A:$AK,3,FALSE),"")</f>
      </c>
      <c r="C76" s="57">
        <f>IFERROR(VLOOKUP($A:$A,CS!$A:$AK,4,FALSE),"")</f>
      </c>
      <c r="D76" s="57">
        <f>IFERROR(VLOOKUP($A:$A,CS!$A:$AK,5,FALSE),"")</f>
      </c>
      <c r="E76" s="57">
        <f>IFERROR(VLOOKUP($A:$A,CS!$A:$AK,7,FALSE),"")</f>
      </c>
      <c r="F76" s="57">
        <f>IFERROR(VLOOKUP($A:$A,CS!$A:$AK,8,FALSE),"")</f>
      </c>
      <c r="G76" s="57">
        <f>IFERROR(VLOOKUP($A:$A,CS!$A:$AK,10,FALSE),"")</f>
      </c>
      <c r="H76" s="57">
        <f>IFERROR(VLOOKUP($A:$A,CS!$A:$AK,14,FALSE),"")</f>
      </c>
      <c r="I76" s="57">
        <f>IFERROR(VLOOKUP($A:$A,CS!$A:$AK,15,FALSE),"")</f>
      </c>
      <c r="J76" s="57">
        <f>IFERROR(VLOOKUP($A:$A,CS!$A:$AK,18,FALSE),"")</f>
      </c>
      <c r="K76" s="57">
        <f>IFERROR(VLOOKUP($A:$A,CS!$A:$AK,19,FALSE),"")</f>
      </c>
      <c r="L76" s="57">
        <f>IFERROR(VLOOKUP($A:$A,CS!$A:$AK,20,FALSE),"")</f>
      </c>
      <c r="M76" s="57">
        <f>IFERROR(VLOOKUP($A:$A,CS!$A:$AK,22,FALSE),"")</f>
      </c>
      <c r="N76" s="57">
        <f>IFERROR(VLOOKUP($A:$A,CS!$A:$AK,19,FALSE),"")</f>
      </c>
      <c r="O76" s="57">
        <f>IFERROR(VLOOKUP($A:$A,CS!$A:$AK,23,FALSE),"")</f>
      </c>
      <c r="P76" s="57">
        <f>IFERROR(VLOOKUP($A:$A,CS!$A:$AK,24,FALSE),"")</f>
      </c>
      <c r="Q76" s="57">
        <f>IFERROR(VLOOKUP($A:$A,CS!$A:$AK,25,FALSE),"")</f>
      </c>
      <c r="R76" s="57">
        <f>IFERROR(VLOOKUP($A:$A,CS!$A:$AK,26,FALSE),"")</f>
      </c>
      <c r="S76" s="57">
        <f>IFERROR(VLOOKUP($A:$A,CS!$A:$AK,29,FALSE),"")</f>
      </c>
      <c r="T76" s="57">
        <f>IFERROR(VLOOKUP($A:$A,CS!$A:$AK,33,FALSE),"")</f>
      </c>
      <c r="U76" s="57">
        <f>IFERROR(VLOOKUP($A:$A,CS!$A:$AK,34,FALSE),"")</f>
      </c>
      <c r="V76" s="57">
        <f>IFERROR(VLOOKUP($A:$A,CS!$A:$AK,35,FALSE),"")</f>
      </c>
      <c r="W76" s="57">
        <f>IFERROR(VLOOKUP($A:$A,CS!$A:$AK,36,FALSE),"")</f>
      </c>
    </row>
    <row r="77" ht="16.5" customHeight="1" spans="1:23" x14ac:dyDescent="0.25">
      <c r="A77" s="71"/>
      <c r="B77" s="57">
        <f>IFERROR(VLOOKUP($A:$A,CS!$A:$AK,3,FALSE),"")</f>
      </c>
      <c r="C77" s="57">
        <f>IFERROR(VLOOKUP($A:$A,CS!$A:$AK,4,FALSE),"")</f>
      </c>
      <c r="D77" s="57">
        <f>IFERROR(VLOOKUP($A:$A,CS!$A:$AK,5,FALSE),"")</f>
      </c>
      <c r="E77" s="57">
        <f>IFERROR(VLOOKUP($A:$A,CS!$A:$AK,7,FALSE),"")</f>
      </c>
      <c r="F77" s="57">
        <f>IFERROR(VLOOKUP($A:$A,CS!$A:$AK,8,FALSE),"")</f>
      </c>
      <c r="G77" s="57">
        <f>IFERROR(VLOOKUP($A:$A,CS!$A:$AK,10,FALSE),"")</f>
      </c>
      <c r="H77" s="57">
        <f>IFERROR(VLOOKUP($A:$A,CS!$A:$AK,14,FALSE),"")</f>
      </c>
      <c r="I77" s="57">
        <f>IFERROR(VLOOKUP($A:$A,CS!$A:$AK,15,FALSE),"")</f>
      </c>
      <c r="J77" s="57">
        <f>IFERROR(VLOOKUP($A:$A,CS!$A:$AK,18,FALSE),"")</f>
      </c>
      <c r="K77" s="57">
        <f>IFERROR(VLOOKUP($A:$A,CS!$A:$AK,19,FALSE),"")</f>
      </c>
      <c r="L77" s="57">
        <f>IFERROR(VLOOKUP($A:$A,CS!$A:$AK,20,FALSE),"")</f>
      </c>
      <c r="M77" s="57">
        <f>IFERROR(VLOOKUP($A:$A,CS!$A:$AK,22,FALSE),"")</f>
      </c>
      <c r="N77" s="57">
        <f>IFERROR(VLOOKUP($A:$A,CS!$A:$AK,19,FALSE),"")</f>
      </c>
      <c r="O77" s="57">
        <f>IFERROR(VLOOKUP($A:$A,CS!$A:$AK,23,FALSE),"")</f>
      </c>
      <c r="P77" s="57">
        <f>IFERROR(VLOOKUP($A:$A,CS!$A:$AK,24,FALSE),"")</f>
      </c>
      <c r="Q77" s="57">
        <f>IFERROR(VLOOKUP($A:$A,CS!$A:$AK,25,FALSE),"")</f>
      </c>
      <c r="R77" s="57">
        <f>IFERROR(VLOOKUP($A:$A,CS!$A:$AK,26,FALSE),"")</f>
      </c>
      <c r="S77" s="57">
        <f>IFERROR(VLOOKUP($A:$A,CS!$A:$AK,29,FALSE),"")</f>
      </c>
      <c r="T77" s="57">
        <f>IFERROR(VLOOKUP($A:$A,CS!$A:$AK,33,FALSE),"")</f>
      </c>
      <c r="U77" s="57">
        <f>IFERROR(VLOOKUP($A:$A,CS!$A:$AK,34,FALSE),"")</f>
      </c>
      <c r="V77" s="57">
        <f>IFERROR(VLOOKUP($A:$A,CS!$A:$AK,35,FALSE),"")</f>
      </c>
      <c r="W77" s="57">
        <f>IFERROR(VLOOKUP($A:$A,CS!$A:$AK,36,FALSE),"")</f>
      </c>
    </row>
    <row r="78" ht="16.5" customHeight="1" spans="1:23" x14ac:dyDescent="0.25">
      <c r="A78" s="71"/>
      <c r="B78" s="57">
        <f>IFERROR(VLOOKUP($A:$A,CS!$A:$AK,3,FALSE),"")</f>
      </c>
      <c r="C78" s="57">
        <f>IFERROR(VLOOKUP($A:$A,CS!$A:$AK,4,FALSE),"")</f>
      </c>
      <c r="D78" s="57">
        <f>IFERROR(VLOOKUP($A:$A,CS!$A:$AK,5,FALSE),"")</f>
      </c>
      <c r="E78" s="57">
        <f>IFERROR(VLOOKUP($A:$A,CS!$A:$AK,7,FALSE),"")</f>
      </c>
      <c r="F78" s="57">
        <f>IFERROR(VLOOKUP($A:$A,CS!$A:$AK,8,FALSE),"")</f>
      </c>
      <c r="G78" s="57">
        <f>IFERROR(VLOOKUP($A:$A,CS!$A:$AK,10,FALSE),"")</f>
      </c>
      <c r="H78" s="57">
        <f>IFERROR(VLOOKUP($A:$A,CS!$A:$AK,14,FALSE),"")</f>
      </c>
      <c r="I78" s="57">
        <f>IFERROR(VLOOKUP($A:$A,CS!$A:$AK,15,FALSE),"")</f>
      </c>
      <c r="J78" s="57">
        <f>IFERROR(VLOOKUP($A:$A,CS!$A:$AK,18,FALSE),"")</f>
      </c>
      <c r="K78" s="57">
        <f>IFERROR(VLOOKUP($A:$A,CS!$A:$AK,19,FALSE),"")</f>
      </c>
      <c r="L78" s="57">
        <f>IFERROR(VLOOKUP($A:$A,CS!$A:$AK,20,FALSE),"")</f>
      </c>
      <c r="M78" s="57">
        <f>IFERROR(VLOOKUP($A:$A,CS!$A:$AK,22,FALSE),"")</f>
      </c>
      <c r="N78" s="57">
        <f>IFERROR(VLOOKUP($A:$A,CS!$A:$AK,19,FALSE),"")</f>
      </c>
      <c r="O78" s="57">
        <f>IFERROR(VLOOKUP($A:$A,CS!$A:$AK,23,FALSE),"")</f>
      </c>
      <c r="P78" s="57">
        <f>IFERROR(VLOOKUP($A:$A,CS!$A:$AK,24,FALSE),"")</f>
      </c>
      <c r="Q78" s="57">
        <f>IFERROR(VLOOKUP($A:$A,CS!$A:$AK,25,FALSE),"")</f>
      </c>
      <c r="R78" s="57">
        <f>IFERROR(VLOOKUP($A:$A,CS!$A:$AK,26,FALSE),"")</f>
      </c>
      <c r="S78" s="57">
        <f>IFERROR(VLOOKUP($A:$A,CS!$A:$AK,29,FALSE),"")</f>
      </c>
      <c r="T78" s="57">
        <f>IFERROR(VLOOKUP($A:$A,CS!$A:$AK,33,FALSE),"")</f>
      </c>
      <c r="U78" s="57">
        <f>IFERROR(VLOOKUP($A:$A,CS!$A:$AK,34,FALSE),"")</f>
      </c>
      <c r="V78" s="57">
        <f>IFERROR(VLOOKUP($A:$A,CS!$A:$AK,35,FALSE),"")</f>
      </c>
      <c r="W78" s="57">
        <f>IFERROR(VLOOKUP($A:$A,CS!$A:$AK,36,FALSE),"")</f>
      </c>
    </row>
    <row r="79" ht="16.5" customHeight="1" spans="1:23" x14ac:dyDescent="0.25">
      <c r="A79" s="71"/>
      <c r="B79" s="57">
        <f>IFERROR(VLOOKUP($A:$A,CS!$A:$AK,3,FALSE),"")</f>
      </c>
      <c r="C79" s="57">
        <f>IFERROR(VLOOKUP($A:$A,CS!$A:$AK,4,FALSE),"")</f>
      </c>
      <c r="D79" s="57">
        <f>IFERROR(VLOOKUP($A:$A,CS!$A:$AK,5,FALSE),"")</f>
      </c>
      <c r="E79" s="57">
        <f>IFERROR(VLOOKUP($A:$A,CS!$A:$AK,7,FALSE),"")</f>
      </c>
      <c r="F79" s="57">
        <f>IFERROR(VLOOKUP($A:$A,CS!$A:$AK,8,FALSE),"")</f>
      </c>
      <c r="G79" s="57">
        <f>IFERROR(VLOOKUP($A:$A,CS!$A:$AK,10,FALSE),"")</f>
      </c>
      <c r="H79" s="57">
        <f>IFERROR(VLOOKUP($A:$A,CS!$A:$AK,14,FALSE),"")</f>
      </c>
      <c r="I79" s="57">
        <f>IFERROR(VLOOKUP($A:$A,CS!$A:$AK,15,FALSE),"")</f>
      </c>
      <c r="J79" s="57">
        <f>IFERROR(VLOOKUP($A:$A,CS!$A:$AK,18,FALSE),"")</f>
      </c>
      <c r="K79" s="57">
        <f>IFERROR(VLOOKUP($A:$A,CS!$A:$AK,19,FALSE),"")</f>
      </c>
      <c r="L79" s="57">
        <f>IFERROR(VLOOKUP($A:$A,CS!$A:$AK,20,FALSE),"")</f>
      </c>
      <c r="M79" s="57">
        <f>IFERROR(VLOOKUP($A:$A,CS!$A:$AK,22,FALSE),"")</f>
      </c>
      <c r="N79" s="57">
        <f>IFERROR(VLOOKUP($A:$A,CS!$A:$AK,19,FALSE),"")</f>
      </c>
      <c r="O79" s="57">
        <f>IFERROR(VLOOKUP($A:$A,CS!$A:$AK,23,FALSE),"")</f>
      </c>
      <c r="P79" s="57">
        <f>IFERROR(VLOOKUP($A:$A,CS!$A:$AK,24,FALSE),"")</f>
      </c>
      <c r="Q79" s="57">
        <f>IFERROR(VLOOKUP($A:$A,CS!$A:$AK,25,FALSE),"")</f>
      </c>
      <c r="R79" s="57">
        <f>IFERROR(VLOOKUP($A:$A,CS!$A:$AK,26,FALSE),"")</f>
      </c>
      <c r="S79" s="57">
        <f>IFERROR(VLOOKUP($A:$A,CS!$A:$AK,29,FALSE),"")</f>
      </c>
      <c r="T79" s="57">
        <f>IFERROR(VLOOKUP($A:$A,CS!$A:$AK,33,FALSE),"")</f>
      </c>
      <c r="U79" s="57">
        <f>IFERROR(VLOOKUP($A:$A,CS!$A:$AK,34,FALSE),"")</f>
      </c>
      <c r="V79" s="57">
        <f>IFERROR(VLOOKUP($A:$A,CS!$A:$AK,35,FALSE),"")</f>
      </c>
      <c r="W79" s="57">
        <f>IFERROR(VLOOKUP($A:$A,CS!$A:$AK,36,FALSE),"")</f>
      </c>
    </row>
    <row r="80" ht="16.5" customHeight="1" spans="1:23" x14ac:dyDescent="0.25">
      <c r="A80" s="71"/>
      <c r="B80" s="57">
        <f>IFERROR(VLOOKUP($A:$A,CS!$A:$AK,3,FALSE),"")</f>
      </c>
      <c r="C80" s="57">
        <f>IFERROR(VLOOKUP($A:$A,CS!$A:$AK,4,FALSE),"")</f>
      </c>
      <c r="D80" s="57">
        <f>IFERROR(VLOOKUP($A:$A,CS!$A:$AK,5,FALSE),"")</f>
      </c>
      <c r="E80" s="57">
        <f>IFERROR(VLOOKUP($A:$A,CS!$A:$AK,7,FALSE),"")</f>
      </c>
      <c r="F80" s="57">
        <f>IFERROR(VLOOKUP($A:$A,CS!$A:$AK,8,FALSE),"")</f>
      </c>
      <c r="G80" s="57">
        <f>IFERROR(VLOOKUP($A:$A,CS!$A:$AK,10,FALSE),"")</f>
      </c>
      <c r="H80" s="57">
        <f>IFERROR(VLOOKUP($A:$A,CS!$A:$AK,14,FALSE),"")</f>
      </c>
      <c r="I80" s="57">
        <f>IFERROR(VLOOKUP($A:$A,CS!$A:$AK,15,FALSE),"")</f>
      </c>
      <c r="J80" s="57">
        <f>IFERROR(VLOOKUP($A:$A,CS!$A:$AK,18,FALSE),"")</f>
      </c>
      <c r="K80" s="57">
        <f>IFERROR(VLOOKUP($A:$A,CS!$A:$AK,19,FALSE),"")</f>
      </c>
      <c r="L80" s="57">
        <f>IFERROR(VLOOKUP($A:$A,CS!$A:$AK,20,FALSE),"")</f>
      </c>
      <c r="M80" s="57">
        <f>IFERROR(VLOOKUP($A:$A,CS!$A:$AK,22,FALSE),"")</f>
      </c>
      <c r="N80" s="57">
        <f>IFERROR(VLOOKUP($A:$A,CS!$A:$AK,19,FALSE),"")</f>
      </c>
      <c r="O80" s="57">
        <f>IFERROR(VLOOKUP($A:$A,CS!$A:$AK,23,FALSE),"")</f>
      </c>
      <c r="P80" s="57">
        <f>IFERROR(VLOOKUP($A:$A,CS!$A:$AK,24,FALSE),"")</f>
      </c>
      <c r="Q80" s="57">
        <f>IFERROR(VLOOKUP($A:$A,CS!$A:$AK,25,FALSE),"")</f>
      </c>
      <c r="R80" s="57">
        <f>IFERROR(VLOOKUP($A:$A,CS!$A:$AK,26,FALSE),"")</f>
      </c>
      <c r="S80" s="57">
        <f>IFERROR(VLOOKUP($A:$A,CS!$A:$AK,29,FALSE),"")</f>
      </c>
      <c r="T80" s="57">
        <f>IFERROR(VLOOKUP($A:$A,CS!$A:$AK,33,FALSE),"")</f>
      </c>
      <c r="U80" s="57">
        <f>IFERROR(VLOOKUP($A:$A,CS!$A:$AK,34,FALSE),"")</f>
      </c>
      <c r="V80" s="57">
        <f>IFERROR(VLOOKUP($A:$A,CS!$A:$AK,35,FALSE),"")</f>
      </c>
      <c r="W80" s="57">
        <f>IFERROR(VLOOKUP($A:$A,CS!$A:$AK,36,FALSE),"")</f>
      </c>
    </row>
    <row r="81" ht="16.5" customHeight="1" spans="1:23" x14ac:dyDescent="0.25">
      <c r="A81" s="71"/>
      <c r="B81" s="57">
        <f>IFERROR(VLOOKUP($A:$A,CS!$A:$AK,3,FALSE),"")</f>
      </c>
      <c r="C81" s="57">
        <f>IFERROR(VLOOKUP($A:$A,CS!$A:$AK,4,FALSE),"")</f>
      </c>
      <c r="D81" s="57">
        <f>IFERROR(VLOOKUP($A:$A,CS!$A:$AK,5,FALSE),"")</f>
      </c>
      <c r="E81" s="57">
        <f>IFERROR(VLOOKUP($A:$A,CS!$A:$AK,7,FALSE),"")</f>
      </c>
      <c r="F81" s="57">
        <f>IFERROR(VLOOKUP($A:$A,CS!$A:$AK,8,FALSE),"")</f>
      </c>
      <c r="G81" s="57">
        <f>IFERROR(VLOOKUP($A:$A,CS!$A:$AK,10,FALSE),"")</f>
      </c>
      <c r="H81" s="57">
        <f>IFERROR(VLOOKUP($A:$A,CS!$A:$AK,14,FALSE),"")</f>
      </c>
      <c r="I81" s="57">
        <f>IFERROR(VLOOKUP($A:$A,CS!$A:$AK,15,FALSE),"")</f>
      </c>
      <c r="J81" s="57">
        <f>IFERROR(VLOOKUP($A:$A,CS!$A:$AK,18,FALSE),"")</f>
      </c>
      <c r="K81" s="57">
        <f>IFERROR(VLOOKUP($A:$A,CS!$A:$AK,19,FALSE),"")</f>
      </c>
      <c r="L81" s="57">
        <f>IFERROR(VLOOKUP($A:$A,CS!$A:$AK,20,FALSE),"")</f>
      </c>
      <c r="M81" s="57">
        <f>IFERROR(VLOOKUP($A:$A,CS!$A:$AK,22,FALSE),"")</f>
      </c>
      <c r="N81" s="57">
        <f>IFERROR(VLOOKUP($A:$A,CS!$A:$AK,19,FALSE),"")</f>
      </c>
      <c r="O81" s="57">
        <f>IFERROR(VLOOKUP($A:$A,CS!$A:$AK,23,FALSE),"")</f>
      </c>
      <c r="P81" s="57">
        <f>IFERROR(VLOOKUP($A:$A,CS!$A:$AK,24,FALSE),"")</f>
      </c>
      <c r="Q81" s="57">
        <f>IFERROR(VLOOKUP($A:$A,CS!$A:$AK,25,FALSE),"")</f>
      </c>
      <c r="R81" s="57">
        <f>IFERROR(VLOOKUP($A:$A,CS!$A:$AK,26,FALSE),"")</f>
      </c>
      <c r="S81" s="57">
        <f>IFERROR(VLOOKUP($A:$A,CS!$A:$AK,29,FALSE),"")</f>
      </c>
      <c r="T81" s="57">
        <f>IFERROR(VLOOKUP($A:$A,CS!$A:$AK,33,FALSE),"")</f>
      </c>
      <c r="U81" s="57">
        <f>IFERROR(VLOOKUP($A:$A,CS!$A:$AK,34,FALSE),"")</f>
      </c>
      <c r="V81" s="57">
        <f>IFERROR(VLOOKUP($A:$A,CS!$A:$AK,35,FALSE),"")</f>
      </c>
      <c r="W81" s="57">
        <f>IFERROR(VLOOKUP($A:$A,CS!$A:$AK,36,FALSE),"")</f>
      </c>
    </row>
    <row r="82" ht="16.5" customHeight="1" spans="1:23" x14ac:dyDescent="0.25">
      <c r="A82" s="71"/>
      <c r="B82" s="57">
        <f>IFERROR(VLOOKUP($A:$A,CS!$A:$AK,3,FALSE),"")</f>
      </c>
      <c r="C82" s="57">
        <f>IFERROR(VLOOKUP($A:$A,CS!$A:$AK,4,FALSE),"")</f>
      </c>
      <c r="D82" s="57">
        <f>IFERROR(VLOOKUP($A:$A,CS!$A:$AK,5,FALSE),"")</f>
      </c>
      <c r="E82" s="57">
        <f>IFERROR(VLOOKUP($A:$A,CS!$A:$AK,7,FALSE),"")</f>
      </c>
      <c r="F82" s="57">
        <f>IFERROR(VLOOKUP($A:$A,CS!$A:$AK,8,FALSE),"")</f>
      </c>
      <c r="G82" s="57">
        <f>IFERROR(VLOOKUP($A:$A,CS!$A:$AK,10,FALSE),"")</f>
      </c>
      <c r="H82" s="57">
        <f>IFERROR(VLOOKUP($A:$A,CS!$A:$AK,14,FALSE),"")</f>
      </c>
      <c r="I82" s="57">
        <f>IFERROR(VLOOKUP($A:$A,CS!$A:$AK,15,FALSE),"")</f>
      </c>
      <c r="J82" s="57">
        <f>IFERROR(VLOOKUP($A:$A,CS!$A:$AK,18,FALSE),"")</f>
      </c>
      <c r="K82" s="57">
        <f>IFERROR(VLOOKUP($A:$A,CS!$A:$AK,19,FALSE),"")</f>
      </c>
      <c r="L82" s="57">
        <f>IFERROR(VLOOKUP($A:$A,CS!$A:$AK,20,FALSE),"")</f>
      </c>
      <c r="M82" s="57">
        <f>IFERROR(VLOOKUP($A:$A,CS!$A:$AK,22,FALSE),"")</f>
      </c>
      <c r="N82" s="57">
        <f>IFERROR(VLOOKUP($A:$A,CS!$A:$AK,19,FALSE),"")</f>
      </c>
      <c r="O82" s="57">
        <f>IFERROR(VLOOKUP($A:$A,CS!$A:$AK,23,FALSE),"")</f>
      </c>
      <c r="P82" s="57">
        <f>IFERROR(VLOOKUP($A:$A,CS!$A:$AK,24,FALSE),"")</f>
      </c>
      <c r="Q82" s="57">
        <f>IFERROR(VLOOKUP($A:$A,CS!$A:$AK,25,FALSE),"")</f>
      </c>
      <c r="R82" s="57">
        <f>IFERROR(VLOOKUP($A:$A,CS!$A:$AK,26,FALSE),"")</f>
      </c>
      <c r="S82" s="57">
        <f>IFERROR(VLOOKUP($A:$A,CS!$A:$AK,29,FALSE),"")</f>
      </c>
      <c r="T82" s="57">
        <f>IFERROR(VLOOKUP($A:$A,CS!$A:$AK,33,FALSE),"")</f>
      </c>
      <c r="U82" s="57">
        <f>IFERROR(VLOOKUP($A:$A,CS!$A:$AK,34,FALSE),"")</f>
      </c>
      <c r="V82" s="57">
        <f>IFERROR(VLOOKUP($A:$A,CS!$A:$AK,35,FALSE),"")</f>
      </c>
      <c r="W82" s="57">
        <f>IFERROR(VLOOKUP($A:$A,CS!$A:$AK,36,FALSE),"")</f>
      </c>
    </row>
    <row r="83" ht="16.5" customHeight="1" spans="1:23" x14ac:dyDescent="0.25">
      <c r="A83" s="71"/>
      <c r="B83" s="57">
        <f>IFERROR(VLOOKUP($A:$A,CS!$A:$AK,3,FALSE),"")</f>
      </c>
      <c r="C83" s="57">
        <f>IFERROR(VLOOKUP($A:$A,CS!$A:$AK,4,FALSE),"")</f>
      </c>
      <c r="D83" s="57">
        <f>IFERROR(VLOOKUP($A:$A,CS!$A:$AK,5,FALSE),"")</f>
      </c>
      <c r="E83" s="57">
        <f>IFERROR(VLOOKUP($A:$A,CS!$A:$AK,7,FALSE),"")</f>
      </c>
      <c r="F83" s="57">
        <f>IFERROR(VLOOKUP($A:$A,CS!$A:$AK,8,FALSE),"")</f>
      </c>
      <c r="G83" s="57">
        <f>IFERROR(VLOOKUP($A:$A,CS!$A:$AK,10,FALSE),"")</f>
      </c>
      <c r="H83" s="57">
        <f>IFERROR(VLOOKUP($A:$A,CS!$A:$AK,14,FALSE),"")</f>
      </c>
      <c r="I83" s="57">
        <f>IFERROR(VLOOKUP($A:$A,CS!$A:$AK,15,FALSE),"")</f>
      </c>
      <c r="J83" s="57">
        <f>IFERROR(VLOOKUP($A:$A,CS!$A:$AK,18,FALSE),"")</f>
      </c>
      <c r="K83" s="57">
        <f>IFERROR(VLOOKUP($A:$A,CS!$A:$AK,19,FALSE),"")</f>
      </c>
      <c r="L83" s="57">
        <f>IFERROR(VLOOKUP($A:$A,CS!$A:$AK,20,FALSE),"")</f>
      </c>
      <c r="M83" s="57">
        <f>IFERROR(VLOOKUP($A:$A,CS!$A:$AK,22,FALSE),"")</f>
      </c>
      <c r="N83" s="57">
        <f>IFERROR(VLOOKUP($A:$A,CS!$A:$AK,19,FALSE),"")</f>
      </c>
      <c r="O83" s="57">
        <f>IFERROR(VLOOKUP($A:$A,CS!$A:$AK,23,FALSE),"")</f>
      </c>
      <c r="P83" s="57">
        <f>IFERROR(VLOOKUP($A:$A,CS!$A:$AK,24,FALSE),"")</f>
      </c>
      <c r="Q83" s="57">
        <f>IFERROR(VLOOKUP($A:$A,CS!$A:$AK,25,FALSE),"")</f>
      </c>
      <c r="R83" s="57">
        <f>IFERROR(VLOOKUP($A:$A,CS!$A:$AK,26,FALSE),"")</f>
      </c>
      <c r="S83" s="57">
        <f>IFERROR(VLOOKUP($A:$A,CS!$A:$AK,29,FALSE),"")</f>
      </c>
      <c r="T83" s="57">
        <f>IFERROR(VLOOKUP($A:$A,CS!$A:$AK,33,FALSE),"")</f>
      </c>
      <c r="U83" s="57">
        <f>IFERROR(VLOOKUP($A:$A,CS!$A:$AK,34,FALSE),"")</f>
      </c>
      <c r="V83" s="57">
        <f>IFERROR(VLOOKUP($A:$A,CS!$A:$AK,35,FALSE),"")</f>
      </c>
      <c r="W83" s="57">
        <f>IFERROR(VLOOKUP($A:$A,CS!$A:$AK,36,FALSE),"")</f>
      </c>
    </row>
    <row r="84" ht="16.5" customHeight="1" spans="1:23" x14ac:dyDescent="0.25">
      <c r="A84" s="71"/>
      <c r="B84" s="57">
        <f>IFERROR(VLOOKUP($A:$A,CS!$A:$AK,3,FALSE),"")</f>
      </c>
      <c r="C84" s="57">
        <f>IFERROR(VLOOKUP($A:$A,CS!$A:$AK,4,FALSE),"")</f>
      </c>
      <c r="D84" s="57">
        <f>IFERROR(VLOOKUP($A:$A,CS!$A:$AK,5,FALSE),"")</f>
      </c>
      <c r="E84" s="57">
        <f>IFERROR(VLOOKUP($A:$A,CS!$A:$AK,7,FALSE),"")</f>
      </c>
      <c r="F84" s="57">
        <f>IFERROR(VLOOKUP($A:$A,CS!$A:$AK,8,FALSE),"")</f>
      </c>
      <c r="G84" s="57">
        <f>IFERROR(VLOOKUP($A:$A,CS!$A:$AK,10,FALSE),"")</f>
      </c>
      <c r="H84" s="57">
        <f>IFERROR(VLOOKUP($A:$A,CS!$A:$AK,14,FALSE),"")</f>
      </c>
      <c r="I84" s="57">
        <f>IFERROR(VLOOKUP($A:$A,CS!$A:$AK,15,FALSE),"")</f>
      </c>
      <c r="J84" s="57">
        <f>IFERROR(VLOOKUP($A:$A,CS!$A:$AK,18,FALSE),"")</f>
      </c>
      <c r="K84" s="57">
        <f>IFERROR(VLOOKUP($A:$A,CS!$A:$AK,19,FALSE),"")</f>
      </c>
      <c r="L84" s="57">
        <f>IFERROR(VLOOKUP($A:$A,CS!$A:$AK,20,FALSE),"")</f>
      </c>
      <c r="M84" s="57">
        <f>IFERROR(VLOOKUP($A:$A,CS!$A:$AK,22,FALSE),"")</f>
      </c>
      <c r="N84" s="57">
        <f>IFERROR(VLOOKUP($A:$A,CS!$A:$AK,19,FALSE),"")</f>
      </c>
      <c r="O84" s="57">
        <f>IFERROR(VLOOKUP($A:$A,CS!$A:$AK,23,FALSE),"")</f>
      </c>
      <c r="P84" s="57">
        <f>IFERROR(VLOOKUP($A:$A,CS!$A:$AK,24,FALSE),"")</f>
      </c>
      <c r="Q84" s="57">
        <f>IFERROR(VLOOKUP($A:$A,CS!$A:$AK,25,FALSE),"")</f>
      </c>
      <c r="R84" s="57">
        <f>IFERROR(VLOOKUP($A:$A,CS!$A:$AK,26,FALSE),"")</f>
      </c>
      <c r="S84" s="57">
        <f>IFERROR(VLOOKUP($A:$A,CS!$A:$AK,29,FALSE),"")</f>
      </c>
      <c r="T84" s="57">
        <f>IFERROR(VLOOKUP($A:$A,CS!$A:$AK,33,FALSE),"")</f>
      </c>
      <c r="U84" s="57">
        <f>IFERROR(VLOOKUP($A:$A,CS!$A:$AK,34,FALSE),"")</f>
      </c>
      <c r="V84" s="57">
        <f>IFERROR(VLOOKUP($A:$A,CS!$A:$AK,35,FALSE),"")</f>
      </c>
      <c r="W84" s="57">
        <f>IFERROR(VLOOKUP($A:$A,CS!$A:$AK,36,FALSE),"")</f>
      </c>
    </row>
    <row r="85" ht="16.5" customHeight="1" spans="1:23" x14ac:dyDescent="0.25">
      <c r="A85" s="71"/>
      <c r="B85" s="57">
        <f>IFERROR(VLOOKUP($A:$A,CS!$A:$AK,3,FALSE),"")</f>
      </c>
      <c r="C85" s="57">
        <f>IFERROR(VLOOKUP($A:$A,CS!$A:$AK,4,FALSE),"")</f>
      </c>
      <c r="D85" s="57">
        <f>IFERROR(VLOOKUP($A:$A,CS!$A:$AK,5,FALSE),"")</f>
      </c>
      <c r="E85" s="57">
        <f>IFERROR(VLOOKUP($A:$A,CS!$A:$AK,7,FALSE),"")</f>
      </c>
      <c r="F85" s="57">
        <f>IFERROR(VLOOKUP($A:$A,CS!$A:$AK,8,FALSE),"")</f>
      </c>
      <c r="G85" s="57">
        <f>IFERROR(VLOOKUP($A:$A,CS!$A:$AK,10,FALSE),"")</f>
      </c>
      <c r="H85" s="57">
        <f>IFERROR(VLOOKUP($A:$A,CS!$A:$AK,14,FALSE),"")</f>
      </c>
      <c r="I85" s="57">
        <f>IFERROR(VLOOKUP($A:$A,CS!$A:$AK,15,FALSE),"")</f>
      </c>
      <c r="J85" s="57">
        <f>IFERROR(VLOOKUP($A:$A,CS!$A:$AK,18,FALSE),"")</f>
      </c>
      <c r="K85" s="57">
        <f>IFERROR(VLOOKUP($A:$A,CS!$A:$AK,19,FALSE),"")</f>
      </c>
      <c r="L85" s="57">
        <f>IFERROR(VLOOKUP($A:$A,CS!$A:$AK,20,FALSE),"")</f>
      </c>
      <c r="M85" s="57">
        <f>IFERROR(VLOOKUP($A:$A,CS!$A:$AK,22,FALSE),"")</f>
      </c>
      <c r="N85" s="57">
        <f>IFERROR(VLOOKUP($A:$A,CS!$A:$AK,19,FALSE),"")</f>
      </c>
      <c r="O85" s="57">
        <f>IFERROR(VLOOKUP($A:$A,CS!$A:$AK,23,FALSE),"")</f>
      </c>
      <c r="P85" s="57">
        <f>IFERROR(VLOOKUP($A:$A,CS!$A:$AK,24,FALSE),"")</f>
      </c>
      <c r="Q85" s="57">
        <f>IFERROR(VLOOKUP($A:$A,CS!$A:$AK,25,FALSE),"")</f>
      </c>
      <c r="R85" s="57">
        <f>IFERROR(VLOOKUP($A:$A,CS!$A:$AK,26,FALSE),"")</f>
      </c>
      <c r="S85" s="57">
        <f>IFERROR(VLOOKUP($A:$A,CS!$A:$AK,29,FALSE),"")</f>
      </c>
      <c r="T85" s="57">
        <f>IFERROR(VLOOKUP($A:$A,CS!$A:$AK,33,FALSE),"")</f>
      </c>
      <c r="U85" s="57">
        <f>IFERROR(VLOOKUP($A:$A,CS!$A:$AK,34,FALSE),"")</f>
      </c>
      <c r="V85" s="57">
        <f>IFERROR(VLOOKUP($A:$A,CS!$A:$AK,35,FALSE),"")</f>
      </c>
      <c r="W85" s="57">
        <f>IFERROR(VLOOKUP($A:$A,CS!$A:$AK,36,FALSE),"")</f>
      </c>
    </row>
    <row r="86" ht="16.5" customHeight="1" spans="1:23" x14ac:dyDescent="0.25">
      <c r="A86" s="71"/>
      <c r="B86" s="57">
        <f>IFERROR(VLOOKUP($A:$A,CS!$A:$AK,3,FALSE),"")</f>
      </c>
      <c r="C86" s="57">
        <f>IFERROR(VLOOKUP($A:$A,CS!$A:$AK,4,FALSE),"")</f>
      </c>
      <c r="D86" s="57">
        <f>IFERROR(VLOOKUP($A:$A,CS!$A:$AK,5,FALSE),"")</f>
      </c>
      <c r="E86" s="57">
        <f>IFERROR(VLOOKUP($A:$A,CS!$A:$AK,7,FALSE),"")</f>
      </c>
      <c r="F86" s="57">
        <f>IFERROR(VLOOKUP($A:$A,CS!$A:$AK,8,FALSE),"")</f>
      </c>
      <c r="G86" s="57">
        <f>IFERROR(VLOOKUP($A:$A,CS!$A:$AK,10,FALSE),"")</f>
      </c>
      <c r="H86" s="57">
        <f>IFERROR(VLOOKUP($A:$A,CS!$A:$AK,14,FALSE),"")</f>
      </c>
      <c r="I86" s="57">
        <f>IFERROR(VLOOKUP($A:$A,CS!$A:$AK,15,FALSE),"")</f>
      </c>
      <c r="J86" s="57">
        <f>IFERROR(VLOOKUP($A:$A,CS!$A:$AK,18,FALSE),"")</f>
      </c>
      <c r="K86" s="57">
        <f>IFERROR(VLOOKUP($A:$A,CS!$A:$AK,19,FALSE),"")</f>
      </c>
      <c r="L86" s="57">
        <f>IFERROR(VLOOKUP($A:$A,CS!$A:$AK,20,FALSE),"")</f>
      </c>
      <c r="M86" s="57">
        <f>IFERROR(VLOOKUP($A:$A,CS!$A:$AK,22,FALSE),"")</f>
      </c>
      <c r="N86" s="57">
        <f>IFERROR(VLOOKUP($A:$A,CS!$A:$AK,19,FALSE),"")</f>
      </c>
      <c r="O86" s="57">
        <f>IFERROR(VLOOKUP($A:$A,CS!$A:$AK,23,FALSE),"")</f>
      </c>
      <c r="P86" s="57">
        <f>IFERROR(VLOOKUP($A:$A,CS!$A:$AK,24,FALSE),"")</f>
      </c>
      <c r="Q86" s="57">
        <f>IFERROR(VLOOKUP($A:$A,CS!$A:$AK,25,FALSE),"")</f>
      </c>
      <c r="R86" s="57">
        <f>IFERROR(VLOOKUP($A:$A,CS!$A:$AK,26,FALSE),"")</f>
      </c>
      <c r="S86" s="57">
        <f>IFERROR(VLOOKUP($A:$A,CS!$A:$AK,29,FALSE),"")</f>
      </c>
      <c r="T86" s="57">
        <f>IFERROR(VLOOKUP($A:$A,CS!$A:$AK,33,FALSE),"")</f>
      </c>
      <c r="U86" s="57">
        <f>IFERROR(VLOOKUP($A:$A,CS!$A:$AK,34,FALSE),"")</f>
      </c>
      <c r="V86" s="57">
        <f>IFERROR(VLOOKUP($A:$A,CS!$A:$AK,35,FALSE),"")</f>
      </c>
      <c r="W86" s="57">
        <f>IFERROR(VLOOKUP($A:$A,CS!$A:$AK,36,FALSE),"")</f>
      </c>
    </row>
    <row r="87" ht="16.5" customHeight="1" spans="1:23" x14ac:dyDescent="0.25">
      <c r="A87" s="71"/>
      <c r="B87" s="57">
        <f>IFERROR(VLOOKUP($A:$A,CS!$A:$AK,3,FALSE),"")</f>
      </c>
      <c r="C87" s="57">
        <f>IFERROR(VLOOKUP($A:$A,CS!$A:$AK,4,FALSE),"")</f>
      </c>
      <c r="D87" s="57">
        <f>IFERROR(VLOOKUP($A:$A,CS!$A:$AK,5,FALSE),"")</f>
      </c>
      <c r="E87" s="57">
        <f>IFERROR(VLOOKUP($A:$A,CS!$A:$AK,7,FALSE),"")</f>
      </c>
      <c r="F87" s="57">
        <f>IFERROR(VLOOKUP($A:$A,CS!$A:$AK,8,FALSE),"")</f>
      </c>
      <c r="G87" s="57">
        <f>IFERROR(VLOOKUP($A:$A,CS!$A:$AK,10,FALSE),"")</f>
      </c>
      <c r="H87" s="57">
        <f>IFERROR(VLOOKUP($A:$A,CS!$A:$AK,14,FALSE),"")</f>
      </c>
      <c r="I87" s="57">
        <f>IFERROR(VLOOKUP($A:$A,CS!$A:$AK,15,FALSE),"")</f>
      </c>
      <c r="J87" s="57">
        <f>IFERROR(VLOOKUP($A:$A,CS!$A:$AK,18,FALSE),"")</f>
      </c>
      <c r="K87" s="57">
        <f>IFERROR(VLOOKUP($A:$A,CS!$A:$AK,19,FALSE),"")</f>
      </c>
      <c r="L87" s="57">
        <f>IFERROR(VLOOKUP($A:$A,CS!$A:$AK,20,FALSE),"")</f>
      </c>
      <c r="M87" s="57">
        <f>IFERROR(VLOOKUP($A:$A,CS!$A:$AK,22,FALSE),"")</f>
      </c>
      <c r="N87" s="57">
        <f>IFERROR(VLOOKUP($A:$A,CS!$A:$AK,19,FALSE),"")</f>
      </c>
      <c r="O87" s="57">
        <f>IFERROR(VLOOKUP($A:$A,CS!$A:$AK,23,FALSE),"")</f>
      </c>
      <c r="P87" s="57">
        <f>IFERROR(VLOOKUP($A:$A,CS!$A:$AK,24,FALSE),"")</f>
      </c>
      <c r="Q87" s="57">
        <f>IFERROR(VLOOKUP($A:$A,CS!$A:$AK,25,FALSE),"")</f>
      </c>
      <c r="R87" s="57">
        <f>IFERROR(VLOOKUP($A:$A,CS!$A:$AK,26,FALSE),"")</f>
      </c>
      <c r="S87" s="57">
        <f>IFERROR(VLOOKUP($A:$A,CS!$A:$AK,29,FALSE),"")</f>
      </c>
      <c r="T87" s="57">
        <f>IFERROR(VLOOKUP($A:$A,CS!$A:$AK,33,FALSE),"")</f>
      </c>
      <c r="U87" s="57">
        <f>IFERROR(VLOOKUP($A:$A,CS!$A:$AK,34,FALSE),"")</f>
      </c>
      <c r="V87" s="57">
        <f>IFERROR(VLOOKUP($A:$A,CS!$A:$AK,35,FALSE),"")</f>
      </c>
      <c r="W87" s="57">
        <f>IFERROR(VLOOKUP($A:$A,CS!$A:$AK,36,FALSE),"")</f>
      </c>
    </row>
    <row r="88" ht="16.5" customHeight="1" spans="1:23" x14ac:dyDescent="0.25">
      <c r="A88" s="71"/>
      <c r="B88" s="57">
        <f>IFERROR(VLOOKUP($A:$A,CS!$A:$AK,3,FALSE),"")</f>
      </c>
      <c r="C88" s="57">
        <f>IFERROR(VLOOKUP($A:$A,CS!$A:$AK,4,FALSE),"")</f>
      </c>
      <c r="D88" s="57">
        <f>IFERROR(VLOOKUP($A:$A,CS!$A:$AK,5,FALSE),"")</f>
      </c>
      <c r="E88" s="57">
        <f>IFERROR(VLOOKUP($A:$A,CS!$A:$AK,7,FALSE),"")</f>
      </c>
      <c r="F88" s="57">
        <f>IFERROR(VLOOKUP($A:$A,CS!$A:$AK,8,FALSE),"")</f>
      </c>
      <c r="G88" s="57">
        <f>IFERROR(VLOOKUP($A:$A,CS!$A:$AK,10,FALSE),"")</f>
      </c>
      <c r="H88" s="57">
        <f>IFERROR(VLOOKUP($A:$A,CS!$A:$AK,14,FALSE),"")</f>
      </c>
      <c r="I88" s="57">
        <f>IFERROR(VLOOKUP($A:$A,CS!$A:$AK,15,FALSE),"")</f>
      </c>
      <c r="J88" s="57">
        <f>IFERROR(VLOOKUP($A:$A,CS!$A:$AK,18,FALSE),"")</f>
      </c>
      <c r="K88" s="57">
        <f>IFERROR(VLOOKUP($A:$A,CS!$A:$AK,19,FALSE),"")</f>
      </c>
      <c r="L88" s="57">
        <f>IFERROR(VLOOKUP($A:$A,CS!$A:$AK,20,FALSE),"")</f>
      </c>
      <c r="M88" s="57">
        <f>IFERROR(VLOOKUP($A:$A,CS!$A:$AK,22,FALSE),"")</f>
      </c>
      <c r="N88" s="57">
        <f>IFERROR(VLOOKUP($A:$A,CS!$A:$AK,19,FALSE),"")</f>
      </c>
      <c r="O88" s="57">
        <f>IFERROR(VLOOKUP($A:$A,CS!$A:$AK,23,FALSE),"")</f>
      </c>
      <c r="P88" s="57">
        <f>IFERROR(VLOOKUP($A:$A,CS!$A:$AK,24,FALSE),"")</f>
      </c>
      <c r="Q88" s="57">
        <f>IFERROR(VLOOKUP($A:$A,CS!$A:$AK,25,FALSE),"")</f>
      </c>
      <c r="R88" s="57">
        <f>IFERROR(VLOOKUP($A:$A,CS!$A:$AK,26,FALSE),"")</f>
      </c>
      <c r="S88" s="57">
        <f>IFERROR(VLOOKUP($A:$A,CS!$A:$AK,29,FALSE),"")</f>
      </c>
      <c r="T88" s="57">
        <f>IFERROR(VLOOKUP($A:$A,CS!$A:$AK,33,FALSE),"")</f>
      </c>
      <c r="U88" s="57">
        <f>IFERROR(VLOOKUP($A:$A,CS!$A:$AK,34,FALSE),"")</f>
      </c>
      <c r="V88" s="57">
        <f>IFERROR(VLOOKUP($A:$A,CS!$A:$AK,35,FALSE),"")</f>
      </c>
      <c r="W88" s="57">
        <f>IFERROR(VLOOKUP($A:$A,CS!$A:$AK,36,FALSE),"")</f>
      </c>
    </row>
    <row r="89" ht="16.5" customHeight="1" spans="1:23" x14ac:dyDescent="0.25">
      <c r="A89" s="71"/>
      <c r="B89" s="57">
        <f>IFERROR(VLOOKUP($A:$A,CS!$A:$AK,3,FALSE),"")</f>
      </c>
      <c r="C89" s="57">
        <f>IFERROR(VLOOKUP($A:$A,CS!$A:$AK,4,FALSE),"")</f>
      </c>
      <c r="D89" s="57">
        <f>IFERROR(VLOOKUP($A:$A,CS!$A:$AK,5,FALSE),"")</f>
      </c>
      <c r="E89" s="57">
        <f>IFERROR(VLOOKUP($A:$A,CS!$A:$AK,7,FALSE),"")</f>
      </c>
      <c r="F89" s="57">
        <f>IFERROR(VLOOKUP($A:$A,CS!$A:$AK,8,FALSE),"")</f>
      </c>
      <c r="G89" s="57">
        <f>IFERROR(VLOOKUP($A:$A,CS!$A:$AK,10,FALSE),"")</f>
      </c>
      <c r="H89" s="57">
        <f>IFERROR(VLOOKUP($A:$A,CS!$A:$AK,14,FALSE),"")</f>
      </c>
      <c r="I89" s="57">
        <f>IFERROR(VLOOKUP($A:$A,CS!$A:$AK,15,FALSE),"")</f>
      </c>
      <c r="J89" s="57">
        <f>IFERROR(VLOOKUP($A:$A,CS!$A:$AK,18,FALSE),"")</f>
      </c>
      <c r="K89" s="57">
        <f>IFERROR(VLOOKUP($A:$A,CS!$A:$AK,19,FALSE),"")</f>
      </c>
      <c r="L89" s="57">
        <f>IFERROR(VLOOKUP($A:$A,CS!$A:$AK,20,FALSE),"")</f>
      </c>
      <c r="M89" s="57">
        <f>IFERROR(VLOOKUP($A:$A,CS!$A:$AK,22,FALSE),"")</f>
      </c>
      <c r="N89" s="57">
        <f>IFERROR(VLOOKUP($A:$A,CS!$A:$AK,19,FALSE),"")</f>
      </c>
      <c r="O89" s="57">
        <f>IFERROR(VLOOKUP($A:$A,CS!$A:$AK,23,FALSE),"")</f>
      </c>
      <c r="P89" s="57">
        <f>IFERROR(VLOOKUP($A:$A,CS!$A:$AK,24,FALSE),"")</f>
      </c>
      <c r="Q89" s="57">
        <f>IFERROR(VLOOKUP($A:$A,CS!$A:$AK,25,FALSE),"")</f>
      </c>
      <c r="R89" s="57">
        <f>IFERROR(VLOOKUP($A:$A,CS!$A:$AK,26,FALSE),"")</f>
      </c>
      <c r="S89" s="57">
        <f>IFERROR(VLOOKUP($A:$A,CS!$A:$AK,29,FALSE),"")</f>
      </c>
      <c r="T89" s="57">
        <f>IFERROR(VLOOKUP($A:$A,CS!$A:$AK,33,FALSE),"")</f>
      </c>
      <c r="U89" s="57">
        <f>IFERROR(VLOOKUP($A:$A,CS!$A:$AK,34,FALSE),"")</f>
      </c>
      <c r="V89" s="57">
        <f>IFERROR(VLOOKUP($A:$A,CS!$A:$AK,35,FALSE),"")</f>
      </c>
      <c r="W89" s="57">
        <f>IFERROR(VLOOKUP($A:$A,CS!$A:$AK,36,FALSE),"")</f>
      </c>
    </row>
    <row r="90" ht="16.5" customHeight="1" spans="1:23" x14ac:dyDescent="0.25">
      <c r="A90" s="71"/>
      <c r="B90" s="57">
        <f>IFERROR(VLOOKUP($A:$A,CS!$A:$AK,3,FALSE),"")</f>
      </c>
      <c r="C90" s="57">
        <f>IFERROR(VLOOKUP($A:$A,CS!$A:$AK,4,FALSE),"")</f>
      </c>
      <c r="D90" s="57">
        <f>IFERROR(VLOOKUP($A:$A,CS!$A:$AK,5,FALSE),"")</f>
      </c>
      <c r="E90" s="57">
        <f>IFERROR(VLOOKUP($A:$A,CS!$A:$AK,7,FALSE),"")</f>
      </c>
      <c r="F90" s="57">
        <f>IFERROR(VLOOKUP($A:$A,CS!$A:$AK,8,FALSE),"")</f>
      </c>
      <c r="G90" s="57">
        <f>IFERROR(VLOOKUP($A:$A,CS!$A:$AK,10,FALSE),"")</f>
      </c>
      <c r="H90" s="57">
        <f>IFERROR(VLOOKUP($A:$A,CS!$A:$AK,14,FALSE),"")</f>
      </c>
      <c r="I90" s="57">
        <f>IFERROR(VLOOKUP($A:$A,CS!$A:$AK,15,FALSE),"")</f>
      </c>
      <c r="J90" s="57">
        <f>IFERROR(VLOOKUP($A:$A,CS!$A:$AK,18,FALSE),"")</f>
      </c>
      <c r="K90" s="57">
        <f>IFERROR(VLOOKUP($A:$A,CS!$A:$AK,19,FALSE),"")</f>
      </c>
      <c r="L90" s="57">
        <f>IFERROR(VLOOKUP($A:$A,CS!$A:$AK,20,FALSE),"")</f>
      </c>
      <c r="M90" s="57">
        <f>IFERROR(VLOOKUP($A:$A,CS!$A:$AK,22,FALSE),"")</f>
      </c>
      <c r="N90" s="57">
        <f>IFERROR(VLOOKUP($A:$A,CS!$A:$AK,19,FALSE),"")</f>
      </c>
      <c r="O90" s="57">
        <f>IFERROR(VLOOKUP($A:$A,CS!$A:$AK,23,FALSE),"")</f>
      </c>
      <c r="P90" s="57">
        <f>IFERROR(VLOOKUP($A:$A,CS!$A:$AK,24,FALSE),"")</f>
      </c>
      <c r="Q90" s="57">
        <f>IFERROR(VLOOKUP($A:$A,CS!$A:$AK,25,FALSE),"")</f>
      </c>
      <c r="R90" s="57">
        <f>IFERROR(VLOOKUP($A:$A,CS!$A:$AK,26,FALSE),"")</f>
      </c>
      <c r="S90" s="57">
        <f>IFERROR(VLOOKUP($A:$A,CS!$A:$AK,29,FALSE),"")</f>
      </c>
      <c r="T90" s="57">
        <f>IFERROR(VLOOKUP($A:$A,CS!$A:$AK,33,FALSE),"")</f>
      </c>
      <c r="U90" s="57">
        <f>IFERROR(VLOOKUP($A:$A,CS!$A:$AK,34,FALSE),"")</f>
      </c>
      <c r="V90" s="57">
        <f>IFERROR(VLOOKUP($A:$A,CS!$A:$AK,35,FALSE),"")</f>
      </c>
      <c r="W90" s="57">
        <f>IFERROR(VLOOKUP($A:$A,CS!$A:$AK,36,FALSE),"")</f>
      </c>
    </row>
    <row r="91" ht="16.5" customHeight="1" spans="1:23" x14ac:dyDescent="0.25">
      <c r="A91" s="71"/>
      <c r="B91" s="57">
        <f>IFERROR(VLOOKUP($A:$A,CS!$A:$AK,3,FALSE),"")</f>
      </c>
      <c r="C91" s="57">
        <f>IFERROR(VLOOKUP($A:$A,CS!$A:$AK,4,FALSE),"")</f>
      </c>
      <c r="D91" s="57">
        <f>IFERROR(VLOOKUP($A:$A,CS!$A:$AK,5,FALSE),"")</f>
      </c>
      <c r="E91" s="57">
        <f>IFERROR(VLOOKUP($A:$A,CS!$A:$AK,7,FALSE),"")</f>
      </c>
      <c r="F91" s="57">
        <f>IFERROR(VLOOKUP($A:$A,CS!$A:$AK,8,FALSE),"")</f>
      </c>
      <c r="G91" s="57">
        <f>IFERROR(VLOOKUP($A:$A,CS!$A:$AK,10,FALSE),"")</f>
      </c>
      <c r="H91" s="57">
        <f>IFERROR(VLOOKUP($A:$A,CS!$A:$AK,14,FALSE),"")</f>
      </c>
      <c r="I91" s="57">
        <f>IFERROR(VLOOKUP($A:$A,CS!$A:$AK,15,FALSE),"")</f>
      </c>
      <c r="J91" s="57">
        <f>IFERROR(VLOOKUP($A:$A,CS!$A:$AK,18,FALSE),"")</f>
      </c>
      <c r="K91" s="57">
        <f>IFERROR(VLOOKUP($A:$A,CS!$A:$AK,19,FALSE),"")</f>
      </c>
      <c r="L91" s="57">
        <f>IFERROR(VLOOKUP($A:$A,CS!$A:$AK,20,FALSE),"")</f>
      </c>
      <c r="M91" s="57">
        <f>IFERROR(VLOOKUP($A:$A,CS!$A:$AK,22,FALSE),"")</f>
      </c>
      <c r="N91" s="57">
        <f>IFERROR(VLOOKUP($A:$A,CS!$A:$AK,19,FALSE),"")</f>
      </c>
      <c r="O91" s="57">
        <f>IFERROR(VLOOKUP($A:$A,CS!$A:$AK,23,FALSE),"")</f>
      </c>
      <c r="P91" s="57">
        <f>IFERROR(VLOOKUP($A:$A,CS!$A:$AK,24,FALSE),"")</f>
      </c>
      <c r="Q91" s="57">
        <f>IFERROR(VLOOKUP($A:$A,CS!$A:$AK,25,FALSE),"")</f>
      </c>
      <c r="R91" s="57">
        <f>IFERROR(VLOOKUP($A:$A,CS!$A:$AK,26,FALSE),"")</f>
      </c>
      <c r="S91" s="57">
        <f>IFERROR(VLOOKUP($A:$A,CS!$A:$AK,29,FALSE),"")</f>
      </c>
      <c r="T91" s="57">
        <f>IFERROR(VLOOKUP($A:$A,CS!$A:$AK,33,FALSE),"")</f>
      </c>
      <c r="U91" s="57">
        <f>IFERROR(VLOOKUP($A:$A,CS!$A:$AK,34,FALSE),"")</f>
      </c>
      <c r="V91" s="57">
        <f>IFERROR(VLOOKUP($A:$A,CS!$A:$AK,35,FALSE),"")</f>
      </c>
      <c r="W91" s="57">
        <f>IFERROR(VLOOKUP($A:$A,CS!$A:$AK,36,FALSE),"")</f>
      </c>
    </row>
    <row r="92" ht="16.5" customHeight="1" spans="1:23" x14ac:dyDescent="0.25">
      <c r="A92" s="71"/>
      <c r="B92" s="57">
        <f>IFERROR(VLOOKUP($A:$A,CS!$A:$AK,3,FALSE),"")</f>
      </c>
      <c r="C92" s="57">
        <f>IFERROR(VLOOKUP($A:$A,CS!$A:$AK,4,FALSE),"")</f>
      </c>
      <c r="D92" s="57">
        <f>IFERROR(VLOOKUP($A:$A,CS!$A:$AK,5,FALSE),"")</f>
      </c>
      <c r="E92" s="57">
        <f>IFERROR(VLOOKUP($A:$A,CS!$A:$AK,7,FALSE),"")</f>
      </c>
      <c r="F92" s="57">
        <f>IFERROR(VLOOKUP($A:$A,CS!$A:$AK,8,FALSE),"")</f>
      </c>
      <c r="G92" s="57">
        <f>IFERROR(VLOOKUP($A:$A,CS!$A:$AK,10,FALSE),"")</f>
      </c>
      <c r="H92" s="57">
        <f>IFERROR(VLOOKUP($A:$A,CS!$A:$AK,14,FALSE),"")</f>
      </c>
      <c r="I92" s="57">
        <f>IFERROR(VLOOKUP($A:$A,CS!$A:$AK,15,FALSE),"")</f>
      </c>
      <c r="J92" s="57">
        <f>IFERROR(VLOOKUP($A:$A,CS!$A:$AK,18,FALSE),"")</f>
      </c>
      <c r="K92" s="57">
        <f>IFERROR(VLOOKUP($A:$A,CS!$A:$AK,19,FALSE),"")</f>
      </c>
      <c r="L92" s="57">
        <f>IFERROR(VLOOKUP($A:$A,CS!$A:$AK,20,FALSE),"")</f>
      </c>
      <c r="M92" s="57">
        <f>IFERROR(VLOOKUP($A:$A,CS!$A:$AK,22,FALSE),"")</f>
      </c>
      <c r="N92" s="57">
        <f>IFERROR(VLOOKUP($A:$A,CS!$A:$AK,19,FALSE),"")</f>
      </c>
      <c r="O92" s="57">
        <f>IFERROR(VLOOKUP($A:$A,CS!$A:$AK,23,FALSE),"")</f>
      </c>
      <c r="P92" s="57">
        <f>IFERROR(VLOOKUP($A:$A,CS!$A:$AK,24,FALSE),"")</f>
      </c>
      <c r="Q92" s="57">
        <f>IFERROR(VLOOKUP($A:$A,CS!$A:$AK,25,FALSE),"")</f>
      </c>
      <c r="R92" s="57">
        <f>IFERROR(VLOOKUP($A:$A,CS!$A:$AK,26,FALSE),"")</f>
      </c>
      <c r="S92" s="57">
        <f>IFERROR(VLOOKUP($A:$A,CS!$A:$AK,29,FALSE),"")</f>
      </c>
      <c r="T92" s="57">
        <f>IFERROR(VLOOKUP($A:$A,CS!$A:$AK,33,FALSE),"")</f>
      </c>
      <c r="U92" s="57">
        <f>IFERROR(VLOOKUP($A:$A,CS!$A:$AK,34,FALSE),"")</f>
      </c>
      <c r="V92" s="57">
        <f>IFERROR(VLOOKUP($A:$A,CS!$A:$AK,35,FALSE),"")</f>
      </c>
      <c r="W92" s="57">
        <f>IFERROR(VLOOKUP($A:$A,CS!$A:$AK,36,FALSE),"")</f>
      </c>
    </row>
    <row r="93" ht="16.5" customHeight="1" spans="1:23" x14ac:dyDescent="0.25">
      <c r="A93" s="71"/>
      <c r="B93" s="57">
        <f>IFERROR(VLOOKUP($A:$A,CS!$A:$AK,3,FALSE),"")</f>
      </c>
      <c r="C93" s="57">
        <f>IFERROR(VLOOKUP($A:$A,CS!$A:$AK,4,FALSE),"")</f>
      </c>
      <c r="D93" s="57">
        <f>IFERROR(VLOOKUP($A:$A,CS!$A:$AK,5,FALSE),"")</f>
      </c>
      <c r="E93" s="57">
        <f>IFERROR(VLOOKUP($A:$A,CS!$A:$AK,7,FALSE),"")</f>
      </c>
      <c r="F93" s="57">
        <f>IFERROR(VLOOKUP($A:$A,CS!$A:$AK,8,FALSE),"")</f>
      </c>
      <c r="G93" s="57">
        <f>IFERROR(VLOOKUP($A:$A,CS!$A:$AK,10,FALSE),"")</f>
      </c>
      <c r="H93" s="57">
        <f>IFERROR(VLOOKUP($A:$A,CS!$A:$AK,14,FALSE),"")</f>
      </c>
      <c r="I93" s="57">
        <f>IFERROR(VLOOKUP($A:$A,CS!$A:$AK,15,FALSE),"")</f>
      </c>
      <c r="J93" s="57">
        <f>IFERROR(VLOOKUP($A:$A,CS!$A:$AK,18,FALSE),"")</f>
      </c>
      <c r="K93" s="57">
        <f>IFERROR(VLOOKUP($A:$A,CS!$A:$AK,19,FALSE),"")</f>
      </c>
      <c r="L93" s="57">
        <f>IFERROR(VLOOKUP($A:$A,CS!$A:$AK,20,FALSE),"")</f>
      </c>
      <c r="M93" s="57">
        <f>IFERROR(VLOOKUP($A:$A,CS!$A:$AK,22,FALSE),"")</f>
      </c>
      <c r="N93" s="57">
        <f>IFERROR(VLOOKUP($A:$A,CS!$A:$AK,19,FALSE),"")</f>
      </c>
      <c r="O93" s="57">
        <f>IFERROR(VLOOKUP($A:$A,CS!$A:$AK,23,FALSE),"")</f>
      </c>
      <c r="P93" s="57">
        <f>IFERROR(VLOOKUP($A:$A,CS!$A:$AK,24,FALSE),"")</f>
      </c>
      <c r="Q93" s="57">
        <f>IFERROR(VLOOKUP($A:$A,CS!$A:$AK,25,FALSE),"")</f>
      </c>
      <c r="R93" s="57">
        <f>IFERROR(VLOOKUP($A:$A,CS!$A:$AK,26,FALSE),"")</f>
      </c>
      <c r="S93" s="57">
        <f>IFERROR(VLOOKUP($A:$A,CS!$A:$AK,29,FALSE),"")</f>
      </c>
      <c r="T93" s="57">
        <f>IFERROR(VLOOKUP($A:$A,CS!$A:$AK,33,FALSE),"")</f>
      </c>
      <c r="U93" s="57">
        <f>IFERROR(VLOOKUP($A:$A,CS!$A:$AK,34,FALSE),"")</f>
      </c>
      <c r="V93" s="57">
        <f>IFERROR(VLOOKUP($A:$A,CS!$A:$AK,35,FALSE),"")</f>
      </c>
      <c r="W93" s="57">
        <f>IFERROR(VLOOKUP($A:$A,CS!$A:$AK,36,FALSE),"")</f>
      </c>
    </row>
    <row r="94" ht="16.5" customHeight="1" spans="1:23" x14ac:dyDescent="0.25">
      <c r="A94" s="71"/>
      <c r="B94" s="57">
        <f>IFERROR(VLOOKUP($A:$A,CS!$A:$AK,3,FALSE),"")</f>
      </c>
      <c r="C94" s="57">
        <f>IFERROR(VLOOKUP($A:$A,CS!$A:$AK,4,FALSE),"")</f>
      </c>
      <c r="D94" s="57">
        <f>IFERROR(VLOOKUP($A:$A,CS!$A:$AK,5,FALSE),"")</f>
      </c>
      <c r="E94" s="57">
        <f>IFERROR(VLOOKUP($A:$A,CS!$A:$AK,7,FALSE),"")</f>
      </c>
      <c r="F94" s="57">
        <f>IFERROR(VLOOKUP($A:$A,CS!$A:$AK,8,FALSE),"")</f>
      </c>
      <c r="G94" s="57">
        <f>IFERROR(VLOOKUP($A:$A,CS!$A:$AK,10,FALSE),"")</f>
      </c>
      <c r="H94" s="57">
        <f>IFERROR(VLOOKUP($A:$A,CS!$A:$AK,14,FALSE),"")</f>
      </c>
      <c r="I94" s="57">
        <f>IFERROR(VLOOKUP($A:$A,CS!$A:$AK,15,FALSE),"")</f>
      </c>
      <c r="J94" s="57">
        <f>IFERROR(VLOOKUP($A:$A,CS!$A:$AK,18,FALSE),"")</f>
      </c>
      <c r="K94" s="57">
        <f>IFERROR(VLOOKUP($A:$A,CS!$A:$AK,19,FALSE),"")</f>
      </c>
      <c r="L94" s="57">
        <f>IFERROR(VLOOKUP($A:$A,CS!$A:$AK,20,FALSE),"")</f>
      </c>
      <c r="M94" s="57">
        <f>IFERROR(VLOOKUP($A:$A,CS!$A:$AK,22,FALSE),"")</f>
      </c>
      <c r="N94" s="57">
        <f>IFERROR(VLOOKUP($A:$A,CS!$A:$AK,19,FALSE),"")</f>
      </c>
      <c r="O94" s="57">
        <f>IFERROR(VLOOKUP($A:$A,CS!$A:$AK,23,FALSE),"")</f>
      </c>
      <c r="P94" s="57">
        <f>IFERROR(VLOOKUP($A:$A,CS!$A:$AK,24,FALSE),"")</f>
      </c>
      <c r="Q94" s="57">
        <f>IFERROR(VLOOKUP($A:$A,CS!$A:$AK,25,FALSE),"")</f>
      </c>
      <c r="R94" s="57">
        <f>IFERROR(VLOOKUP($A:$A,CS!$A:$AK,26,FALSE),"")</f>
      </c>
      <c r="S94" s="57">
        <f>IFERROR(VLOOKUP($A:$A,CS!$A:$AK,29,FALSE),"")</f>
      </c>
      <c r="T94" s="57">
        <f>IFERROR(VLOOKUP($A:$A,CS!$A:$AK,33,FALSE),"")</f>
      </c>
      <c r="U94" s="57">
        <f>IFERROR(VLOOKUP($A:$A,CS!$A:$AK,34,FALSE),"")</f>
      </c>
      <c r="V94" s="57">
        <f>IFERROR(VLOOKUP($A:$A,CS!$A:$AK,35,FALSE),"")</f>
      </c>
      <c r="W94" s="57">
        <f>IFERROR(VLOOKUP($A:$A,CS!$A:$AK,36,FALSE),"")</f>
      </c>
    </row>
    <row r="95" ht="16.5" customHeight="1" spans="1:23" x14ac:dyDescent="0.25">
      <c r="A95" s="71"/>
      <c r="B95" s="57">
        <f>IFERROR(VLOOKUP($A:$A,CS!$A:$AK,3,FALSE),"")</f>
      </c>
      <c r="C95" s="57">
        <f>IFERROR(VLOOKUP($A:$A,CS!$A:$AK,4,FALSE),"")</f>
      </c>
      <c r="D95" s="57">
        <f>IFERROR(VLOOKUP($A:$A,CS!$A:$AK,5,FALSE),"")</f>
      </c>
      <c r="E95" s="57">
        <f>IFERROR(VLOOKUP($A:$A,CS!$A:$AK,7,FALSE),"")</f>
      </c>
      <c r="F95" s="57">
        <f>IFERROR(VLOOKUP($A:$A,CS!$A:$AK,8,FALSE),"")</f>
      </c>
      <c r="G95" s="57">
        <f>IFERROR(VLOOKUP($A:$A,CS!$A:$AK,10,FALSE),"")</f>
      </c>
      <c r="H95" s="57">
        <f>IFERROR(VLOOKUP($A:$A,CS!$A:$AK,14,FALSE),"")</f>
      </c>
      <c r="I95" s="57">
        <f>IFERROR(VLOOKUP($A:$A,CS!$A:$AK,15,FALSE),"")</f>
      </c>
      <c r="J95" s="57">
        <f>IFERROR(VLOOKUP($A:$A,CS!$A:$AK,18,FALSE),"")</f>
      </c>
      <c r="K95" s="57">
        <f>IFERROR(VLOOKUP($A:$A,CS!$A:$AK,19,FALSE),"")</f>
      </c>
      <c r="L95" s="57">
        <f>IFERROR(VLOOKUP($A:$A,CS!$A:$AK,20,FALSE),"")</f>
      </c>
      <c r="M95" s="57">
        <f>IFERROR(VLOOKUP($A:$A,CS!$A:$AK,22,FALSE),"")</f>
      </c>
      <c r="N95" s="57">
        <f>IFERROR(VLOOKUP($A:$A,CS!$A:$AK,19,FALSE),"")</f>
      </c>
      <c r="O95" s="57">
        <f>IFERROR(VLOOKUP($A:$A,CS!$A:$AK,23,FALSE),"")</f>
      </c>
      <c r="P95" s="57">
        <f>IFERROR(VLOOKUP($A:$A,CS!$A:$AK,24,FALSE),"")</f>
      </c>
      <c r="Q95" s="57">
        <f>IFERROR(VLOOKUP($A:$A,CS!$A:$AK,25,FALSE),"")</f>
      </c>
      <c r="R95" s="57">
        <f>IFERROR(VLOOKUP($A:$A,CS!$A:$AK,26,FALSE),"")</f>
      </c>
      <c r="S95" s="57">
        <f>IFERROR(VLOOKUP($A:$A,CS!$A:$AK,29,FALSE),"")</f>
      </c>
      <c r="T95" s="57">
        <f>IFERROR(VLOOKUP($A:$A,CS!$A:$AK,33,FALSE),"")</f>
      </c>
      <c r="U95" s="57">
        <f>IFERROR(VLOOKUP($A:$A,CS!$A:$AK,34,FALSE),"")</f>
      </c>
      <c r="V95" s="57">
        <f>IFERROR(VLOOKUP($A:$A,CS!$A:$AK,35,FALSE),"")</f>
      </c>
      <c r="W95" s="57">
        <f>IFERROR(VLOOKUP($A:$A,CS!$A:$AK,36,FALSE),"")</f>
      </c>
    </row>
    <row r="96" ht="16.5" customHeight="1" spans="1:23" x14ac:dyDescent="0.25">
      <c r="A96" s="71"/>
      <c r="B96" s="57">
        <f>IFERROR(VLOOKUP($A:$A,CS!$A:$AK,3,FALSE),"")</f>
      </c>
      <c r="C96" s="57">
        <f>IFERROR(VLOOKUP($A:$A,CS!$A:$AK,4,FALSE),"")</f>
      </c>
      <c r="D96" s="57">
        <f>IFERROR(VLOOKUP($A:$A,CS!$A:$AK,5,FALSE),"")</f>
      </c>
      <c r="E96" s="57">
        <f>IFERROR(VLOOKUP($A:$A,CS!$A:$AK,7,FALSE),"")</f>
      </c>
      <c r="F96" s="57">
        <f>IFERROR(VLOOKUP($A:$A,CS!$A:$AK,8,FALSE),"")</f>
      </c>
      <c r="G96" s="57">
        <f>IFERROR(VLOOKUP($A:$A,CS!$A:$AK,10,FALSE),"")</f>
      </c>
      <c r="H96" s="57">
        <f>IFERROR(VLOOKUP($A:$A,CS!$A:$AK,14,FALSE),"")</f>
      </c>
      <c r="I96" s="57">
        <f>IFERROR(VLOOKUP($A:$A,CS!$A:$AK,15,FALSE),"")</f>
      </c>
      <c r="J96" s="57">
        <f>IFERROR(VLOOKUP($A:$A,CS!$A:$AK,18,FALSE),"")</f>
      </c>
      <c r="K96" s="57">
        <f>IFERROR(VLOOKUP($A:$A,CS!$A:$AK,19,FALSE),"")</f>
      </c>
      <c r="L96" s="57">
        <f>IFERROR(VLOOKUP($A:$A,CS!$A:$AK,20,FALSE),"")</f>
      </c>
      <c r="M96" s="57">
        <f>IFERROR(VLOOKUP($A:$A,CS!$A:$AK,22,FALSE),"")</f>
      </c>
      <c r="N96" s="57">
        <f>IFERROR(VLOOKUP($A:$A,CS!$A:$AK,19,FALSE),"")</f>
      </c>
      <c r="O96" s="57">
        <f>IFERROR(VLOOKUP($A:$A,CS!$A:$AK,23,FALSE),"")</f>
      </c>
      <c r="P96" s="57">
        <f>IFERROR(VLOOKUP($A:$A,CS!$A:$AK,24,FALSE),"")</f>
      </c>
      <c r="Q96" s="57">
        <f>IFERROR(VLOOKUP($A:$A,CS!$A:$AK,25,FALSE),"")</f>
      </c>
      <c r="R96" s="57">
        <f>IFERROR(VLOOKUP($A:$A,CS!$A:$AK,26,FALSE),"")</f>
      </c>
      <c r="S96" s="57">
        <f>IFERROR(VLOOKUP($A:$A,CS!$A:$AK,29,FALSE),"")</f>
      </c>
      <c r="T96" s="57">
        <f>IFERROR(VLOOKUP($A:$A,CS!$A:$AK,33,FALSE),"")</f>
      </c>
      <c r="U96" s="57">
        <f>IFERROR(VLOOKUP($A:$A,CS!$A:$AK,34,FALSE),"")</f>
      </c>
      <c r="V96" s="57">
        <f>IFERROR(VLOOKUP($A:$A,CS!$A:$AK,35,FALSE),"")</f>
      </c>
      <c r="W96" s="57">
        <f>IFERROR(VLOOKUP($A:$A,CS!$A:$AK,36,FALSE),"")</f>
      </c>
    </row>
    <row r="97" ht="16.5" customHeight="1" spans="1:23" x14ac:dyDescent="0.25">
      <c r="A97" s="71"/>
      <c r="B97" s="57">
        <f>IFERROR(VLOOKUP($A:$A,CS!$A:$AK,3,FALSE),"")</f>
      </c>
      <c r="C97" s="57">
        <f>IFERROR(VLOOKUP($A:$A,CS!$A:$AK,4,FALSE),"")</f>
      </c>
      <c r="D97" s="57">
        <f>IFERROR(VLOOKUP($A:$A,CS!$A:$AK,5,FALSE),"")</f>
      </c>
      <c r="E97" s="57">
        <f>IFERROR(VLOOKUP($A:$A,CS!$A:$AK,7,FALSE),"")</f>
      </c>
      <c r="F97" s="57">
        <f>IFERROR(VLOOKUP($A:$A,CS!$A:$AK,8,FALSE),"")</f>
      </c>
      <c r="G97" s="57">
        <f>IFERROR(VLOOKUP($A:$A,CS!$A:$AK,10,FALSE),"")</f>
      </c>
      <c r="H97" s="57">
        <f>IFERROR(VLOOKUP($A:$A,CS!$A:$AK,14,FALSE),"")</f>
      </c>
      <c r="I97" s="57">
        <f>IFERROR(VLOOKUP($A:$A,CS!$A:$AK,15,FALSE),"")</f>
      </c>
      <c r="J97" s="57">
        <f>IFERROR(VLOOKUP($A:$A,CS!$A:$AK,18,FALSE),"")</f>
      </c>
      <c r="K97" s="57">
        <f>IFERROR(VLOOKUP($A:$A,CS!$A:$AK,19,FALSE),"")</f>
      </c>
      <c r="L97" s="57">
        <f>IFERROR(VLOOKUP($A:$A,CS!$A:$AK,20,FALSE),"")</f>
      </c>
      <c r="M97" s="57">
        <f>IFERROR(VLOOKUP($A:$A,CS!$A:$AK,22,FALSE),"")</f>
      </c>
      <c r="N97" s="57">
        <f>IFERROR(VLOOKUP($A:$A,CS!$A:$AK,19,FALSE),"")</f>
      </c>
      <c r="O97" s="57">
        <f>IFERROR(VLOOKUP($A:$A,CS!$A:$AK,23,FALSE),"")</f>
      </c>
      <c r="P97" s="57">
        <f>IFERROR(VLOOKUP($A:$A,CS!$A:$AK,24,FALSE),"")</f>
      </c>
      <c r="Q97" s="57">
        <f>IFERROR(VLOOKUP($A:$A,CS!$A:$AK,25,FALSE),"")</f>
      </c>
      <c r="R97" s="57">
        <f>IFERROR(VLOOKUP($A:$A,CS!$A:$AK,26,FALSE),"")</f>
      </c>
      <c r="S97" s="57">
        <f>IFERROR(VLOOKUP($A:$A,CS!$A:$AK,29,FALSE),"")</f>
      </c>
      <c r="T97" s="57">
        <f>IFERROR(VLOOKUP($A:$A,CS!$A:$AK,33,FALSE),"")</f>
      </c>
      <c r="U97" s="57">
        <f>IFERROR(VLOOKUP($A:$A,CS!$A:$AK,34,FALSE),"")</f>
      </c>
      <c r="V97" s="57">
        <f>IFERROR(VLOOKUP($A:$A,CS!$A:$AK,35,FALSE),"")</f>
      </c>
      <c r="W97" s="57">
        <f>IFERROR(VLOOKUP($A:$A,CS!$A:$AK,36,FALSE),"")</f>
      </c>
    </row>
    <row r="98" ht="16.5" customHeight="1" spans="1:23" x14ac:dyDescent="0.25">
      <c r="A98" s="71"/>
      <c r="B98" s="57">
        <f>IFERROR(VLOOKUP($A:$A,CS!$A:$AK,3,FALSE),"")</f>
      </c>
      <c r="C98" s="57">
        <f>IFERROR(VLOOKUP($A:$A,CS!$A:$AK,4,FALSE),"")</f>
      </c>
      <c r="D98" s="57">
        <f>IFERROR(VLOOKUP($A:$A,CS!$A:$AK,5,FALSE),"")</f>
      </c>
      <c r="E98" s="57">
        <f>IFERROR(VLOOKUP($A:$A,CS!$A:$AK,7,FALSE),"")</f>
      </c>
      <c r="F98" s="57">
        <f>IFERROR(VLOOKUP($A:$A,CS!$A:$AK,8,FALSE),"")</f>
      </c>
      <c r="G98" s="57">
        <f>IFERROR(VLOOKUP($A:$A,CS!$A:$AK,10,FALSE),"")</f>
      </c>
      <c r="H98" s="57">
        <f>IFERROR(VLOOKUP($A:$A,CS!$A:$AK,14,FALSE),"")</f>
      </c>
      <c r="I98" s="57">
        <f>IFERROR(VLOOKUP($A:$A,CS!$A:$AK,15,FALSE),"")</f>
      </c>
      <c r="J98" s="57">
        <f>IFERROR(VLOOKUP($A:$A,CS!$A:$AK,18,FALSE),"")</f>
      </c>
      <c r="K98" s="57">
        <f>IFERROR(VLOOKUP($A:$A,CS!$A:$AK,19,FALSE),"")</f>
      </c>
      <c r="L98" s="57">
        <f>IFERROR(VLOOKUP($A:$A,CS!$A:$AK,20,FALSE),"")</f>
      </c>
      <c r="M98" s="57">
        <f>IFERROR(VLOOKUP($A:$A,CS!$A:$AK,22,FALSE),"")</f>
      </c>
      <c r="N98" s="57">
        <f>IFERROR(VLOOKUP($A:$A,CS!$A:$AK,19,FALSE),"")</f>
      </c>
      <c r="O98" s="57">
        <f>IFERROR(VLOOKUP($A:$A,CS!$A:$AK,23,FALSE),"")</f>
      </c>
      <c r="P98" s="57">
        <f>IFERROR(VLOOKUP($A:$A,CS!$A:$AK,24,FALSE),"")</f>
      </c>
      <c r="Q98" s="57">
        <f>IFERROR(VLOOKUP($A:$A,CS!$A:$AK,25,FALSE),"")</f>
      </c>
      <c r="R98" s="57">
        <f>IFERROR(VLOOKUP($A:$A,CS!$A:$AK,26,FALSE),"")</f>
      </c>
      <c r="S98" s="57">
        <f>IFERROR(VLOOKUP($A:$A,CS!$A:$AK,29,FALSE),"")</f>
      </c>
      <c r="T98" s="57">
        <f>IFERROR(VLOOKUP($A:$A,CS!$A:$AK,33,FALSE),"")</f>
      </c>
      <c r="U98" s="57">
        <f>IFERROR(VLOOKUP($A:$A,CS!$A:$AK,34,FALSE),"")</f>
      </c>
      <c r="V98" s="57">
        <f>IFERROR(VLOOKUP($A:$A,CS!$A:$AK,35,FALSE),"")</f>
      </c>
      <c r="W98" s="57">
        <f>IFERROR(VLOOKUP($A:$A,CS!$A:$AK,36,FALSE),"")</f>
      </c>
    </row>
    <row r="99" ht="16.5" customHeight="1" spans="1:23" x14ac:dyDescent="0.25">
      <c r="A99" s="71"/>
      <c r="B99" s="57">
        <f>IFERROR(VLOOKUP($A:$A,CS!$A:$AK,3,FALSE),"")</f>
      </c>
      <c r="C99" s="57">
        <f>IFERROR(VLOOKUP($A:$A,CS!$A:$AK,4,FALSE),"")</f>
      </c>
      <c r="D99" s="57">
        <f>IFERROR(VLOOKUP($A:$A,CS!$A:$AK,5,FALSE),"")</f>
      </c>
      <c r="E99" s="57">
        <f>IFERROR(VLOOKUP($A:$A,CS!$A:$AK,7,FALSE),"")</f>
      </c>
      <c r="F99" s="57">
        <f>IFERROR(VLOOKUP($A:$A,CS!$A:$AK,8,FALSE),"")</f>
      </c>
      <c r="G99" s="57">
        <f>IFERROR(VLOOKUP($A:$A,CS!$A:$AK,10,FALSE),"")</f>
      </c>
      <c r="H99" s="57">
        <f>IFERROR(VLOOKUP($A:$A,CS!$A:$AK,14,FALSE),"")</f>
      </c>
      <c r="I99" s="57">
        <f>IFERROR(VLOOKUP($A:$A,CS!$A:$AK,15,FALSE),"")</f>
      </c>
      <c r="J99" s="57">
        <f>IFERROR(VLOOKUP($A:$A,CS!$A:$AK,18,FALSE),"")</f>
      </c>
      <c r="K99" s="57">
        <f>IFERROR(VLOOKUP($A:$A,CS!$A:$AK,19,FALSE),"")</f>
      </c>
      <c r="L99" s="57">
        <f>IFERROR(VLOOKUP($A:$A,CS!$A:$AK,20,FALSE),"")</f>
      </c>
      <c r="M99" s="57">
        <f>IFERROR(VLOOKUP($A:$A,CS!$A:$AK,22,FALSE),"")</f>
      </c>
      <c r="N99" s="57">
        <f>IFERROR(VLOOKUP($A:$A,CS!$A:$AK,19,FALSE),"")</f>
      </c>
      <c r="O99" s="57">
        <f>IFERROR(VLOOKUP($A:$A,CS!$A:$AK,23,FALSE),"")</f>
      </c>
      <c r="P99" s="57">
        <f>IFERROR(VLOOKUP($A:$A,CS!$A:$AK,24,FALSE),"")</f>
      </c>
      <c r="Q99" s="57">
        <f>IFERROR(VLOOKUP($A:$A,CS!$A:$AK,25,FALSE),"")</f>
      </c>
      <c r="R99" s="57">
        <f>IFERROR(VLOOKUP($A:$A,CS!$A:$AK,26,FALSE),"")</f>
      </c>
      <c r="S99" s="57">
        <f>IFERROR(VLOOKUP($A:$A,CS!$A:$AK,29,FALSE),"")</f>
      </c>
      <c r="T99" s="57">
        <f>IFERROR(VLOOKUP($A:$A,CS!$A:$AK,33,FALSE),"")</f>
      </c>
      <c r="U99" s="57">
        <f>IFERROR(VLOOKUP($A:$A,CS!$A:$AK,34,FALSE),"")</f>
      </c>
      <c r="V99" s="57">
        <f>IFERROR(VLOOKUP($A:$A,CS!$A:$AK,35,FALSE),"")</f>
      </c>
      <c r="W99" s="57">
        <f>IFERROR(VLOOKUP($A:$A,CS!$A:$AK,36,FALSE),"")</f>
      </c>
    </row>
    <row r="100" ht="16.5" customHeight="1" spans="1:23" x14ac:dyDescent="0.25">
      <c r="A100" s="71"/>
      <c r="B100" s="57">
        <f>IFERROR(VLOOKUP($A:$A,CS!$A:$AK,3,FALSE),"")</f>
      </c>
      <c r="C100" s="57">
        <f>IFERROR(VLOOKUP($A:$A,CS!$A:$AK,4,FALSE),"")</f>
      </c>
      <c r="D100" s="57">
        <f>IFERROR(VLOOKUP($A:$A,CS!$A:$AK,5,FALSE),"")</f>
      </c>
      <c r="E100" s="57">
        <f>IFERROR(VLOOKUP($A:$A,CS!$A:$AK,7,FALSE),"")</f>
      </c>
      <c r="F100" s="57">
        <f>IFERROR(VLOOKUP($A:$A,CS!$A:$AK,8,FALSE),"")</f>
      </c>
      <c r="G100" s="57">
        <f>IFERROR(VLOOKUP($A:$A,CS!$A:$AK,10,FALSE),"")</f>
      </c>
      <c r="H100" s="57">
        <f>IFERROR(VLOOKUP($A:$A,CS!$A:$AK,14,FALSE),"")</f>
      </c>
      <c r="I100" s="57">
        <f>IFERROR(VLOOKUP($A:$A,CS!$A:$AK,15,FALSE),"")</f>
      </c>
      <c r="J100" s="57">
        <f>IFERROR(VLOOKUP($A:$A,CS!$A:$AK,18,FALSE),"")</f>
      </c>
      <c r="K100" s="57">
        <f>IFERROR(VLOOKUP($A:$A,CS!$A:$AK,19,FALSE),"")</f>
      </c>
      <c r="L100" s="57">
        <f>IFERROR(VLOOKUP($A:$A,CS!$A:$AK,20,FALSE),"")</f>
      </c>
      <c r="M100" s="57">
        <f>IFERROR(VLOOKUP($A:$A,CS!$A:$AK,22,FALSE),"")</f>
      </c>
      <c r="N100" s="57">
        <f>IFERROR(VLOOKUP($A:$A,CS!$A:$AK,19,FALSE),"")</f>
      </c>
      <c r="O100" s="57">
        <f>IFERROR(VLOOKUP($A:$A,CS!$A:$AK,23,FALSE),"")</f>
      </c>
      <c r="P100" s="57">
        <f>IFERROR(VLOOKUP($A:$A,CS!$A:$AK,24,FALSE),"")</f>
      </c>
      <c r="Q100" s="57">
        <f>IFERROR(VLOOKUP($A:$A,CS!$A:$AK,25,FALSE),"")</f>
      </c>
      <c r="R100" s="57">
        <f>IFERROR(VLOOKUP($A:$A,CS!$A:$AK,26,FALSE),"")</f>
      </c>
      <c r="S100" s="57">
        <f>IFERROR(VLOOKUP($A:$A,CS!$A:$AK,29,FALSE),"")</f>
      </c>
      <c r="T100" s="57">
        <f>IFERROR(VLOOKUP($A:$A,CS!$A:$AK,33,FALSE),"")</f>
      </c>
      <c r="U100" s="57">
        <f>IFERROR(VLOOKUP($A:$A,CS!$A:$AK,34,FALSE),"")</f>
      </c>
      <c r="V100" s="57">
        <f>IFERROR(VLOOKUP($A:$A,CS!$A:$AK,35,FALSE),"")</f>
      </c>
      <c r="W100" s="57">
        <f>IFERROR(VLOOKUP($A:$A,CS!$A:$AK,36,FALSE),"")</f>
      </c>
    </row>
    <row r="101" ht="16.5" customHeight="1" spans="1:23" x14ac:dyDescent="0.25">
      <c r="A101" s="71"/>
      <c r="B101" s="57">
        <f>IFERROR(VLOOKUP($A:$A,CS!$A:$AK,3,FALSE),"")</f>
      </c>
      <c r="C101" s="57">
        <f>IFERROR(VLOOKUP($A:$A,CS!$A:$AK,4,FALSE),"")</f>
      </c>
      <c r="D101" s="57">
        <f>IFERROR(VLOOKUP($A:$A,CS!$A:$AK,5,FALSE),"")</f>
      </c>
      <c r="E101" s="57">
        <f>IFERROR(VLOOKUP($A:$A,CS!$A:$AK,7,FALSE),"")</f>
      </c>
      <c r="F101" s="57">
        <f>IFERROR(VLOOKUP($A:$A,CS!$A:$AK,8,FALSE),"")</f>
      </c>
      <c r="G101" s="57">
        <f>IFERROR(VLOOKUP($A:$A,CS!$A:$AK,10,FALSE),"")</f>
      </c>
      <c r="H101" s="57">
        <f>IFERROR(VLOOKUP($A:$A,CS!$A:$AK,14,FALSE),"")</f>
      </c>
      <c r="I101" s="57">
        <f>IFERROR(VLOOKUP($A:$A,CS!$A:$AK,15,FALSE),"")</f>
      </c>
      <c r="J101" s="57">
        <f>IFERROR(VLOOKUP($A:$A,CS!$A:$AK,18,FALSE),"")</f>
      </c>
      <c r="K101" s="57">
        <f>IFERROR(VLOOKUP($A:$A,CS!$A:$AK,19,FALSE),"")</f>
      </c>
      <c r="L101" s="57">
        <f>IFERROR(VLOOKUP($A:$A,CS!$A:$AK,20,FALSE),"")</f>
      </c>
      <c r="M101" s="57">
        <f>IFERROR(VLOOKUP($A:$A,CS!$A:$AK,22,FALSE),"")</f>
      </c>
      <c r="N101" s="57">
        <f>IFERROR(VLOOKUP($A:$A,CS!$A:$AK,19,FALSE),"")</f>
      </c>
      <c r="O101" s="57">
        <f>IFERROR(VLOOKUP($A:$A,CS!$A:$AK,23,FALSE),"")</f>
      </c>
      <c r="P101" s="57">
        <f>IFERROR(VLOOKUP($A:$A,CS!$A:$AK,24,FALSE),"")</f>
      </c>
      <c r="Q101" s="57">
        <f>IFERROR(VLOOKUP($A:$A,CS!$A:$AK,25,FALSE),"")</f>
      </c>
      <c r="R101" s="57">
        <f>IFERROR(VLOOKUP($A:$A,CS!$A:$AK,26,FALSE),"")</f>
      </c>
      <c r="S101" s="57">
        <f>IFERROR(VLOOKUP($A:$A,CS!$A:$AK,29,FALSE),"")</f>
      </c>
      <c r="T101" s="57">
        <f>IFERROR(VLOOKUP($A:$A,CS!$A:$AK,33,FALSE),"")</f>
      </c>
      <c r="U101" s="57">
        <f>IFERROR(VLOOKUP($A:$A,CS!$A:$AK,34,FALSE),"")</f>
      </c>
      <c r="V101" s="57">
        <f>IFERROR(VLOOKUP($A:$A,CS!$A:$AK,35,FALSE),"")</f>
      </c>
      <c r="W101" s="57">
        <f>IFERROR(VLOOKUP($A:$A,CS!$A:$AK,36,FALSE),"")</f>
      </c>
    </row>
    <row r="102" ht="16.5" customHeight="1" spans="1:23" x14ac:dyDescent="0.25">
      <c r="A102" s="71"/>
      <c r="B102" s="57">
        <f>IFERROR(VLOOKUP($A:$A,CS!$A:$AK,3,FALSE),"")</f>
      </c>
      <c r="C102" s="57">
        <f>IFERROR(VLOOKUP($A:$A,CS!$A:$AK,4,FALSE),"")</f>
      </c>
      <c r="D102" s="57">
        <f>IFERROR(VLOOKUP($A:$A,CS!$A:$AK,5,FALSE),"")</f>
      </c>
      <c r="E102" s="57">
        <f>IFERROR(VLOOKUP($A:$A,CS!$A:$AK,7,FALSE),"")</f>
      </c>
      <c r="F102" s="57">
        <f>IFERROR(VLOOKUP($A:$A,CS!$A:$AK,8,FALSE),"")</f>
      </c>
      <c r="G102" s="57">
        <f>IFERROR(VLOOKUP($A:$A,CS!$A:$AK,10,FALSE),"")</f>
      </c>
      <c r="H102" s="57">
        <f>IFERROR(VLOOKUP($A:$A,CS!$A:$AK,14,FALSE),"")</f>
      </c>
      <c r="I102" s="57">
        <f>IFERROR(VLOOKUP($A:$A,CS!$A:$AK,15,FALSE),"")</f>
      </c>
      <c r="J102" s="57">
        <f>IFERROR(VLOOKUP($A:$A,CS!$A:$AK,18,FALSE),"")</f>
      </c>
      <c r="K102" s="57">
        <f>IFERROR(VLOOKUP($A:$A,CS!$A:$AK,19,FALSE),"")</f>
      </c>
      <c r="L102" s="57">
        <f>IFERROR(VLOOKUP($A:$A,CS!$A:$AK,20,FALSE),"")</f>
      </c>
      <c r="M102" s="57">
        <f>IFERROR(VLOOKUP($A:$A,CS!$A:$AK,22,FALSE),"")</f>
      </c>
      <c r="N102" s="57">
        <f>IFERROR(VLOOKUP($A:$A,CS!$A:$AK,19,FALSE),"")</f>
      </c>
      <c r="O102" s="57">
        <f>IFERROR(VLOOKUP($A:$A,CS!$A:$AK,23,FALSE),"")</f>
      </c>
      <c r="P102" s="57">
        <f>IFERROR(VLOOKUP($A:$A,CS!$A:$AK,24,FALSE),"")</f>
      </c>
      <c r="Q102" s="57">
        <f>IFERROR(VLOOKUP($A:$A,CS!$A:$AK,25,FALSE),"")</f>
      </c>
      <c r="R102" s="57">
        <f>IFERROR(VLOOKUP($A:$A,CS!$A:$AK,26,FALSE),"")</f>
      </c>
      <c r="S102" s="57">
        <f>IFERROR(VLOOKUP($A:$A,CS!$A:$AK,29,FALSE),"")</f>
      </c>
      <c r="T102" s="57">
        <f>IFERROR(VLOOKUP($A:$A,CS!$A:$AK,33,FALSE),"")</f>
      </c>
      <c r="U102" s="57">
        <f>IFERROR(VLOOKUP($A:$A,CS!$A:$AK,34,FALSE),"")</f>
      </c>
      <c r="V102" s="57">
        <f>IFERROR(VLOOKUP($A:$A,CS!$A:$AK,35,FALSE),"")</f>
      </c>
      <c r="W102" s="57">
        <f>IFERROR(VLOOKUP($A:$A,CS!$A:$AK,36,FALSE),"")</f>
      </c>
    </row>
    <row r="103" ht="16.5" customHeight="1" spans="1:23" x14ac:dyDescent="0.25">
      <c r="A103" s="71"/>
      <c r="B103" s="57">
        <f>IFERROR(VLOOKUP($A:$A,CS!$A:$AK,3,FALSE),"")</f>
      </c>
      <c r="C103" s="57">
        <f>IFERROR(VLOOKUP($A:$A,CS!$A:$AK,4,FALSE),"")</f>
      </c>
      <c r="D103" s="57">
        <f>IFERROR(VLOOKUP($A:$A,CS!$A:$AK,5,FALSE),"")</f>
      </c>
      <c r="E103" s="57">
        <f>IFERROR(VLOOKUP($A:$A,CS!$A:$AK,7,FALSE),"")</f>
      </c>
      <c r="F103" s="57">
        <f>IFERROR(VLOOKUP($A:$A,CS!$A:$AK,8,FALSE),"")</f>
      </c>
      <c r="G103" s="57">
        <f>IFERROR(VLOOKUP($A:$A,CS!$A:$AK,10,FALSE),"")</f>
      </c>
      <c r="H103" s="57">
        <f>IFERROR(VLOOKUP($A:$A,CS!$A:$AK,14,FALSE),"")</f>
      </c>
      <c r="I103" s="57">
        <f>IFERROR(VLOOKUP($A:$A,CS!$A:$AK,15,FALSE),"")</f>
      </c>
      <c r="J103" s="57">
        <f>IFERROR(VLOOKUP($A:$A,CS!$A:$AK,18,FALSE),"")</f>
      </c>
      <c r="K103" s="57">
        <f>IFERROR(VLOOKUP($A:$A,CS!$A:$AK,19,FALSE),"")</f>
      </c>
      <c r="L103" s="57">
        <f>IFERROR(VLOOKUP($A:$A,CS!$A:$AK,20,FALSE),"")</f>
      </c>
      <c r="M103" s="57">
        <f>IFERROR(VLOOKUP($A:$A,CS!$A:$AK,22,FALSE),"")</f>
      </c>
      <c r="N103" s="57">
        <f>IFERROR(VLOOKUP($A:$A,CS!$A:$AK,19,FALSE),"")</f>
      </c>
      <c r="O103" s="57">
        <f>IFERROR(VLOOKUP($A:$A,CS!$A:$AK,23,FALSE),"")</f>
      </c>
      <c r="P103" s="57">
        <f>IFERROR(VLOOKUP($A:$A,CS!$A:$AK,24,FALSE),"")</f>
      </c>
      <c r="Q103" s="57">
        <f>IFERROR(VLOOKUP($A:$A,CS!$A:$AK,25,FALSE),"")</f>
      </c>
      <c r="R103" s="57">
        <f>IFERROR(VLOOKUP($A:$A,CS!$A:$AK,26,FALSE),"")</f>
      </c>
      <c r="S103" s="57">
        <f>IFERROR(VLOOKUP($A:$A,CS!$A:$AK,29,FALSE),"")</f>
      </c>
      <c r="T103" s="57">
        <f>IFERROR(VLOOKUP($A:$A,CS!$A:$AK,33,FALSE),"")</f>
      </c>
      <c r="U103" s="57">
        <f>IFERROR(VLOOKUP($A:$A,CS!$A:$AK,34,FALSE),"")</f>
      </c>
      <c r="V103" s="57">
        <f>IFERROR(VLOOKUP($A:$A,CS!$A:$AK,35,FALSE),"")</f>
      </c>
      <c r="W103" s="57">
        <f>IFERROR(VLOOKUP($A:$A,CS!$A:$AK,36,FALSE),"")</f>
      </c>
    </row>
    <row r="104" ht="16.5" customHeight="1" spans="1:23" x14ac:dyDescent="0.25">
      <c r="A104" s="71"/>
      <c r="B104" s="57">
        <f>IFERROR(VLOOKUP($A:$A,CS!$A:$AK,3,FALSE),"")</f>
      </c>
      <c r="C104" s="57">
        <f>IFERROR(VLOOKUP($A:$A,CS!$A:$AK,4,FALSE),"")</f>
      </c>
      <c r="D104" s="57">
        <f>IFERROR(VLOOKUP($A:$A,CS!$A:$AK,5,FALSE),"")</f>
      </c>
      <c r="E104" s="57">
        <f>IFERROR(VLOOKUP($A:$A,CS!$A:$AK,7,FALSE),"")</f>
      </c>
      <c r="F104" s="57">
        <f>IFERROR(VLOOKUP($A:$A,CS!$A:$AK,8,FALSE),"")</f>
      </c>
      <c r="G104" s="57">
        <f>IFERROR(VLOOKUP($A:$A,CS!$A:$AK,10,FALSE),"")</f>
      </c>
      <c r="H104" s="57">
        <f>IFERROR(VLOOKUP($A:$A,CS!$A:$AK,14,FALSE),"")</f>
      </c>
      <c r="I104" s="57">
        <f>IFERROR(VLOOKUP($A:$A,CS!$A:$AK,15,FALSE),"")</f>
      </c>
      <c r="J104" s="57">
        <f>IFERROR(VLOOKUP($A:$A,CS!$A:$AK,18,FALSE),"")</f>
      </c>
      <c r="K104" s="57">
        <f>IFERROR(VLOOKUP($A:$A,CS!$A:$AK,19,FALSE),"")</f>
      </c>
      <c r="L104" s="57">
        <f>IFERROR(VLOOKUP($A:$A,CS!$A:$AK,20,FALSE),"")</f>
      </c>
      <c r="M104" s="57">
        <f>IFERROR(VLOOKUP($A:$A,CS!$A:$AK,22,FALSE),"")</f>
      </c>
      <c r="N104" s="57">
        <f>IFERROR(VLOOKUP($A:$A,CS!$A:$AK,19,FALSE),"")</f>
      </c>
      <c r="O104" s="57">
        <f>IFERROR(VLOOKUP($A:$A,CS!$A:$AK,23,FALSE),"")</f>
      </c>
      <c r="P104" s="57">
        <f>IFERROR(VLOOKUP($A:$A,CS!$A:$AK,24,FALSE),"")</f>
      </c>
      <c r="Q104" s="57">
        <f>IFERROR(VLOOKUP($A:$A,CS!$A:$AK,25,FALSE),"")</f>
      </c>
      <c r="R104" s="57">
        <f>IFERROR(VLOOKUP($A:$A,CS!$A:$AK,26,FALSE),"")</f>
      </c>
      <c r="S104" s="57">
        <f>IFERROR(VLOOKUP($A:$A,CS!$A:$AK,29,FALSE),"")</f>
      </c>
      <c r="T104" s="57">
        <f>IFERROR(VLOOKUP($A:$A,CS!$A:$AK,33,FALSE),"")</f>
      </c>
      <c r="U104" s="57">
        <f>IFERROR(VLOOKUP($A:$A,CS!$A:$AK,34,FALSE),"")</f>
      </c>
      <c r="V104" s="57">
        <f>IFERROR(VLOOKUP($A:$A,CS!$A:$AK,35,FALSE),"")</f>
      </c>
      <c r="W104" s="57">
        <f>IFERROR(VLOOKUP($A:$A,CS!$A:$AK,36,FALSE),"")</f>
      </c>
    </row>
    <row r="105" ht="16.5" customHeight="1" spans="1:23" x14ac:dyDescent="0.25">
      <c r="A105" s="71"/>
      <c r="B105" s="57">
        <f>IFERROR(VLOOKUP($A:$A,CS!$A:$AK,3,FALSE),"")</f>
      </c>
      <c r="C105" s="57">
        <f>IFERROR(VLOOKUP($A:$A,CS!$A:$AK,4,FALSE),"")</f>
      </c>
      <c r="D105" s="57">
        <f>IFERROR(VLOOKUP($A:$A,CS!$A:$AK,5,FALSE),"")</f>
      </c>
      <c r="E105" s="57">
        <f>IFERROR(VLOOKUP($A:$A,CS!$A:$AK,7,FALSE),"")</f>
      </c>
      <c r="F105" s="57">
        <f>IFERROR(VLOOKUP($A:$A,CS!$A:$AK,8,FALSE),"")</f>
      </c>
      <c r="G105" s="57">
        <f>IFERROR(VLOOKUP($A:$A,CS!$A:$AK,10,FALSE),"")</f>
      </c>
      <c r="H105" s="57">
        <f>IFERROR(VLOOKUP($A:$A,CS!$A:$AK,14,FALSE),"")</f>
      </c>
      <c r="I105" s="57">
        <f>IFERROR(VLOOKUP($A:$A,CS!$A:$AK,15,FALSE),"")</f>
      </c>
      <c r="J105" s="57">
        <f>IFERROR(VLOOKUP($A:$A,CS!$A:$AK,18,FALSE),"")</f>
      </c>
      <c r="K105" s="57">
        <f>IFERROR(VLOOKUP($A:$A,CS!$A:$AK,19,FALSE),"")</f>
      </c>
      <c r="L105" s="57">
        <f>IFERROR(VLOOKUP($A:$A,CS!$A:$AK,20,FALSE),"")</f>
      </c>
      <c r="M105" s="57">
        <f>IFERROR(VLOOKUP($A:$A,CS!$A:$AK,22,FALSE),"")</f>
      </c>
      <c r="N105" s="57">
        <f>IFERROR(VLOOKUP($A:$A,CS!$A:$AK,19,FALSE),"")</f>
      </c>
      <c r="O105" s="57">
        <f>IFERROR(VLOOKUP($A:$A,CS!$A:$AK,23,FALSE),"")</f>
      </c>
      <c r="P105" s="57">
        <f>IFERROR(VLOOKUP($A:$A,CS!$A:$AK,24,FALSE),"")</f>
      </c>
      <c r="Q105" s="57">
        <f>IFERROR(VLOOKUP($A:$A,CS!$A:$AK,25,FALSE),"")</f>
      </c>
      <c r="R105" s="57">
        <f>IFERROR(VLOOKUP($A:$A,CS!$A:$AK,26,FALSE),"")</f>
      </c>
      <c r="S105" s="57">
        <f>IFERROR(VLOOKUP($A:$A,CS!$A:$AK,29,FALSE),"")</f>
      </c>
      <c r="T105" s="57">
        <f>IFERROR(VLOOKUP($A:$A,CS!$A:$AK,33,FALSE),"")</f>
      </c>
      <c r="U105" s="57">
        <f>IFERROR(VLOOKUP($A:$A,CS!$A:$AK,34,FALSE),"")</f>
      </c>
      <c r="V105" s="57">
        <f>IFERROR(VLOOKUP($A:$A,CS!$A:$AK,35,FALSE),"")</f>
      </c>
      <c r="W105" s="57">
        <f>IFERROR(VLOOKUP($A:$A,CS!$A:$AK,36,FALSE),"")</f>
      </c>
    </row>
    <row r="106" ht="16.5" customHeight="1" spans="1:23" x14ac:dyDescent="0.25">
      <c r="A106" s="71"/>
      <c r="B106" s="57">
        <f>IFERROR(VLOOKUP($A:$A,CS!$A:$AK,3,FALSE),"")</f>
      </c>
      <c r="C106" s="57">
        <f>IFERROR(VLOOKUP($A:$A,CS!$A:$AK,4,FALSE),"")</f>
      </c>
      <c r="D106" s="57">
        <f>IFERROR(VLOOKUP($A:$A,CS!$A:$AK,5,FALSE),"")</f>
      </c>
      <c r="E106" s="57">
        <f>IFERROR(VLOOKUP($A:$A,CS!$A:$AK,7,FALSE),"")</f>
      </c>
      <c r="F106" s="57">
        <f>IFERROR(VLOOKUP($A:$A,CS!$A:$AK,8,FALSE),"")</f>
      </c>
      <c r="G106" s="57">
        <f>IFERROR(VLOOKUP($A:$A,CS!$A:$AK,10,FALSE),"")</f>
      </c>
      <c r="H106" s="57">
        <f>IFERROR(VLOOKUP($A:$A,CS!$A:$AK,14,FALSE),"")</f>
      </c>
      <c r="I106" s="57">
        <f>IFERROR(VLOOKUP($A:$A,CS!$A:$AK,15,FALSE),"")</f>
      </c>
      <c r="J106" s="57">
        <f>IFERROR(VLOOKUP($A:$A,CS!$A:$AK,18,FALSE),"")</f>
      </c>
      <c r="K106" s="57">
        <f>IFERROR(VLOOKUP($A:$A,CS!$A:$AK,19,FALSE),"")</f>
      </c>
      <c r="L106" s="57">
        <f>IFERROR(VLOOKUP($A:$A,CS!$A:$AK,20,FALSE),"")</f>
      </c>
      <c r="M106" s="57">
        <f>IFERROR(VLOOKUP($A:$A,CS!$A:$AK,22,FALSE),"")</f>
      </c>
      <c r="N106" s="57">
        <f>IFERROR(VLOOKUP($A:$A,CS!$A:$AK,19,FALSE),"")</f>
      </c>
      <c r="O106" s="57">
        <f>IFERROR(VLOOKUP($A:$A,CS!$A:$AK,23,FALSE),"")</f>
      </c>
      <c r="P106" s="57">
        <f>IFERROR(VLOOKUP($A:$A,CS!$A:$AK,24,FALSE),"")</f>
      </c>
      <c r="Q106" s="57">
        <f>IFERROR(VLOOKUP($A:$A,CS!$A:$AK,25,FALSE),"")</f>
      </c>
      <c r="R106" s="57">
        <f>IFERROR(VLOOKUP($A:$A,CS!$A:$AK,26,FALSE),"")</f>
      </c>
      <c r="S106" s="57">
        <f>IFERROR(VLOOKUP($A:$A,CS!$A:$AK,29,FALSE),"")</f>
      </c>
      <c r="T106" s="57">
        <f>IFERROR(VLOOKUP($A:$A,CS!$A:$AK,33,FALSE),"")</f>
      </c>
      <c r="U106" s="57">
        <f>IFERROR(VLOOKUP($A:$A,CS!$A:$AK,34,FALSE),"")</f>
      </c>
      <c r="V106" s="57">
        <f>IFERROR(VLOOKUP($A:$A,CS!$A:$AK,35,FALSE),"")</f>
      </c>
      <c r="W106" s="57">
        <f>IFERROR(VLOOKUP($A:$A,CS!$A:$AK,36,FALSE),"")</f>
      </c>
    </row>
    <row r="107" ht="16.5" customHeight="1" spans="1:23" x14ac:dyDescent="0.25">
      <c r="A107" s="71"/>
      <c r="B107" s="57">
        <f>IFERROR(VLOOKUP($A:$A,CS!$A:$AK,3,FALSE),"")</f>
      </c>
      <c r="C107" s="57">
        <f>IFERROR(VLOOKUP($A:$A,CS!$A:$AK,4,FALSE),"")</f>
      </c>
      <c r="D107" s="57">
        <f>IFERROR(VLOOKUP($A:$A,CS!$A:$AK,5,FALSE),"")</f>
      </c>
      <c r="E107" s="57">
        <f>IFERROR(VLOOKUP($A:$A,CS!$A:$AK,7,FALSE),"")</f>
      </c>
      <c r="F107" s="57">
        <f>IFERROR(VLOOKUP($A:$A,CS!$A:$AK,8,FALSE),"")</f>
      </c>
      <c r="G107" s="57">
        <f>IFERROR(VLOOKUP($A:$A,CS!$A:$AK,10,FALSE),"")</f>
      </c>
      <c r="H107" s="57">
        <f>IFERROR(VLOOKUP($A:$A,CS!$A:$AK,14,FALSE),"")</f>
      </c>
      <c r="I107" s="57">
        <f>IFERROR(VLOOKUP($A:$A,CS!$A:$AK,15,FALSE),"")</f>
      </c>
      <c r="J107" s="57">
        <f>IFERROR(VLOOKUP($A:$A,CS!$A:$AK,18,FALSE),"")</f>
      </c>
      <c r="K107" s="57">
        <f>IFERROR(VLOOKUP($A:$A,CS!$A:$AK,19,FALSE),"")</f>
      </c>
      <c r="L107" s="57">
        <f>IFERROR(VLOOKUP($A:$A,CS!$A:$AK,20,FALSE),"")</f>
      </c>
      <c r="M107" s="57">
        <f>IFERROR(VLOOKUP($A:$A,CS!$A:$AK,22,FALSE),"")</f>
      </c>
      <c r="N107" s="57">
        <f>IFERROR(VLOOKUP($A:$A,CS!$A:$AK,19,FALSE),"")</f>
      </c>
      <c r="O107" s="57">
        <f>IFERROR(VLOOKUP($A:$A,CS!$A:$AK,23,FALSE),"")</f>
      </c>
      <c r="P107" s="57">
        <f>IFERROR(VLOOKUP($A:$A,CS!$A:$AK,24,FALSE),"")</f>
      </c>
      <c r="Q107" s="57">
        <f>IFERROR(VLOOKUP($A:$A,CS!$A:$AK,25,FALSE),"")</f>
      </c>
      <c r="R107" s="57">
        <f>IFERROR(VLOOKUP($A:$A,CS!$A:$AK,26,FALSE),"")</f>
      </c>
      <c r="S107" s="57">
        <f>IFERROR(VLOOKUP($A:$A,CS!$A:$AK,29,FALSE),"")</f>
      </c>
      <c r="T107" s="57">
        <f>IFERROR(VLOOKUP($A:$A,CS!$A:$AK,33,FALSE),"")</f>
      </c>
      <c r="U107" s="57">
        <f>IFERROR(VLOOKUP($A:$A,CS!$A:$AK,34,FALSE),"")</f>
      </c>
      <c r="V107" s="57">
        <f>IFERROR(VLOOKUP($A:$A,CS!$A:$AK,35,FALSE),"")</f>
      </c>
      <c r="W107" s="57">
        <f>IFERROR(VLOOKUP($A:$A,CS!$A:$AK,36,FALSE),"")</f>
      </c>
    </row>
    <row r="108" ht="16.5" customHeight="1" spans="1:23" x14ac:dyDescent="0.25">
      <c r="A108" s="71"/>
      <c r="B108" s="57">
        <f>IFERROR(VLOOKUP($A:$A,CS!$A:$AK,3,FALSE),"")</f>
      </c>
      <c r="C108" s="57">
        <f>IFERROR(VLOOKUP($A:$A,CS!$A:$AK,4,FALSE),"")</f>
      </c>
      <c r="D108" s="57">
        <f>IFERROR(VLOOKUP($A:$A,CS!$A:$AK,5,FALSE),"")</f>
      </c>
      <c r="E108" s="57">
        <f>IFERROR(VLOOKUP($A:$A,CS!$A:$AK,7,FALSE),"")</f>
      </c>
      <c r="F108" s="57">
        <f>IFERROR(VLOOKUP($A:$A,CS!$A:$AK,8,FALSE),"")</f>
      </c>
      <c r="G108" s="57">
        <f>IFERROR(VLOOKUP($A:$A,CS!$A:$AK,10,FALSE),"")</f>
      </c>
      <c r="H108" s="57">
        <f>IFERROR(VLOOKUP($A:$A,CS!$A:$AK,14,FALSE),"")</f>
      </c>
      <c r="I108" s="57">
        <f>IFERROR(VLOOKUP($A:$A,CS!$A:$AK,15,FALSE),"")</f>
      </c>
      <c r="J108" s="57">
        <f>IFERROR(VLOOKUP($A:$A,CS!$A:$AK,18,FALSE),"")</f>
      </c>
      <c r="K108" s="57">
        <f>IFERROR(VLOOKUP($A:$A,CS!$A:$AK,19,FALSE),"")</f>
      </c>
      <c r="L108" s="57">
        <f>IFERROR(VLOOKUP($A:$A,CS!$A:$AK,20,FALSE),"")</f>
      </c>
      <c r="M108" s="57">
        <f>IFERROR(VLOOKUP($A:$A,CS!$A:$AK,22,FALSE),"")</f>
      </c>
      <c r="N108" s="57">
        <f>IFERROR(VLOOKUP($A:$A,CS!$A:$AK,19,FALSE),"")</f>
      </c>
      <c r="O108" s="57">
        <f>IFERROR(VLOOKUP($A:$A,CS!$A:$AK,23,FALSE),"")</f>
      </c>
      <c r="P108" s="57">
        <f>IFERROR(VLOOKUP($A:$A,CS!$A:$AK,24,FALSE),"")</f>
      </c>
      <c r="Q108" s="57">
        <f>IFERROR(VLOOKUP($A:$A,CS!$A:$AK,25,FALSE),"")</f>
      </c>
      <c r="R108" s="57">
        <f>IFERROR(VLOOKUP($A:$A,CS!$A:$AK,26,FALSE),"")</f>
      </c>
      <c r="S108" s="57">
        <f>IFERROR(VLOOKUP($A:$A,CS!$A:$AK,29,FALSE),"")</f>
      </c>
      <c r="T108" s="57">
        <f>IFERROR(VLOOKUP($A:$A,CS!$A:$AK,33,FALSE),"")</f>
      </c>
      <c r="U108" s="57">
        <f>IFERROR(VLOOKUP($A:$A,CS!$A:$AK,34,FALSE),"")</f>
      </c>
      <c r="V108" s="57">
        <f>IFERROR(VLOOKUP($A:$A,CS!$A:$AK,35,FALSE),"")</f>
      </c>
      <c r="W108" s="57">
        <f>IFERROR(VLOOKUP($A:$A,CS!$A:$AK,36,FALSE),"")</f>
      </c>
    </row>
    <row r="109" ht="16.5" customHeight="1" spans="1:23" x14ac:dyDescent="0.25">
      <c r="A109" s="71"/>
      <c r="B109" s="57">
        <f>IFERROR(VLOOKUP($A:$A,CS!$A:$AK,3,FALSE),"")</f>
      </c>
      <c r="C109" s="57">
        <f>IFERROR(VLOOKUP($A:$A,CS!$A:$AK,4,FALSE),"")</f>
      </c>
      <c r="D109" s="57">
        <f>IFERROR(VLOOKUP($A:$A,CS!$A:$AK,5,FALSE),"")</f>
      </c>
      <c r="E109" s="57">
        <f>IFERROR(VLOOKUP($A:$A,CS!$A:$AK,7,FALSE),"")</f>
      </c>
      <c r="F109" s="57">
        <f>IFERROR(VLOOKUP($A:$A,CS!$A:$AK,8,FALSE),"")</f>
      </c>
      <c r="G109" s="57">
        <f>IFERROR(VLOOKUP($A:$A,CS!$A:$AK,10,FALSE),"")</f>
      </c>
      <c r="H109" s="57">
        <f>IFERROR(VLOOKUP($A:$A,CS!$A:$AK,14,FALSE),"")</f>
      </c>
      <c r="I109" s="57">
        <f>IFERROR(VLOOKUP($A:$A,CS!$A:$AK,15,FALSE),"")</f>
      </c>
      <c r="J109" s="57">
        <f>IFERROR(VLOOKUP($A:$A,CS!$A:$AK,18,FALSE),"")</f>
      </c>
      <c r="K109" s="57">
        <f>IFERROR(VLOOKUP($A:$A,CS!$A:$AK,19,FALSE),"")</f>
      </c>
      <c r="L109" s="57">
        <f>IFERROR(VLOOKUP($A:$A,CS!$A:$AK,20,FALSE),"")</f>
      </c>
      <c r="M109" s="57">
        <f>IFERROR(VLOOKUP($A:$A,CS!$A:$AK,22,FALSE),"")</f>
      </c>
      <c r="N109" s="57">
        <f>IFERROR(VLOOKUP($A:$A,CS!$A:$AK,19,FALSE),"")</f>
      </c>
      <c r="O109" s="57">
        <f>IFERROR(VLOOKUP($A:$A,CS!$A:$AK,23,FALSE),"")</f>
      </c>
      <c r="P109" s="57">
        <f>IFERROR(VLOOKUP($A:$A,CS!$A:$AK,24,FALSE),"")</f>
      </c>
      <c r="Q109" s="57">
        <f>IFERROR(VLOOKUP($A:$A,CS!$A:$AK,25,FALSE),"")</f>
      </c>
      <c r="R109" s="57">
        <f>IFERROR(VLOOKUP($A:$A,CS!$A:$AK,26,FALSE),"")</f>
      </c>
      <c r="S109" s="57">
        <f>IFERROR(VLOOKUP($A:$A,CS!$A:$AK,29,FALSE),"")</f>
      </c>
      <c r="T109" s="57">
        <f>IFERROR(VLOOKUP($A:$A,CS!$A:$AK,33,FALSE),"")</f>
      </c>
      <c r="U109" s="57">
        <f>IFERROR(VLOOKUP($A:$A,CS!$A:$AK,34,FALSE),"")</f>
      </c>
      <c r="V109" s="57">
        <f>IFERROR(VLOOKUP($A:$A,CS!$A:$AK,35,FALSE),"")</f>
      </c>
      <c r="W109" s="57">
        <f>IFERROR(VLOOKUP($A:$A,CS!$A:$AK,36,FALSE),"")</f>
      </c>
    </row>
    <row r="110" ht="16.5" customHeight="1" spans="1:23" x14ac:dyDescent="0.25">
      <c r="A110" s="71"/>
      <c r="B110" s="57">
        <f>IFERROR(VLOOKUP($A:$A,CS!$A:$AK,3,FALSE),"")</f>
      </c>
      <c r="C110" s="57">
        <f>IFERROR(VLOOKUP($A:$A,CS!$A:$AK,4,FALSE),"")</f>
      </c>
      <c r="D110" s="57">
        <f>IFERROR(VLOOKUP($A:$A,CS!$A:$AK,5,FALSE),"")</f>
      </c>
      <c r="E110" s="57">
        <f>IFERROR(VLOOKUP($A:$A,CS!$A:$AK,7,FALSE),"")</f>
      </c>
      <c r="F110" s="57">
        <f>IFERROR(VLOOKUP($A:$A,CS!$A:$AK,8,FALSE),"")</f>
      </c>
      <c r="G110" s="57">
        <f>IFERROR(VLOOKUP($A:$A,CS!$A:$AK,10,FALSE),"")</f>
      </c>
      <c r="H110" s="57">
        <f>IFERROR(VLOOKUP($A:$A,CS!$A:$AK,14,FALSE),"")</f>
      </c>
      <c r="I110" s="57">
        <f>IFERROR(VLOOKUP($A:$A,CS!$A:$AK,15,FALSE),"")</f>
      </c>
      <c r="J110" s="57">
        <f>IFERROR(VLOOKUP($A:$A,CS!$A:$AK,18,FALSE),"")</f>
      </c>
      <c r="K110" s="57">
        <f>IFERROR(VLOOKUP($A:$A,CS!$A:$AK,19,FALSE),"")</f>
      </c>
      <c r="L110" s="57">
        <f>IFERROR(VLOOKUP($A:$A,CS!$A:$AK,20,FALSE),"")</f>
      </c>
      <c r="M110" s="57">
        <f>IFERROR(VLOOKUP($A:$A,CS!$A:$AK,22,FALSE),"")</f>
      </c>
      <c r="N110" s="57">
        <f>IFERROR(VLOOKUP($A:$A,CS!$A:$AK,19,FALSE),"")</f>
      </c>
      <c r="O110" s="57">
        <f>IFERROR(VLOOKUP($A:$A,CS!$A:$AK,23,FALSE),"")</f>
      </c>
      <c r="P110" s="57">
        <f>IFERROR(VLOOKUP($A:$A,CS!$A:$AK,24,FALSE),"")</f>
      </c>
      <c r="Q110" s="57">
        <f>IFERROR(VLOOKUP($A:$A,CS!$A:$AK,25,FALSE),"")</f>
      </c>
      <c r="R110" s="57">
        <f>IFERROR(VLOOKUP($A:$A,CS!$A:$AK,26,FALSE),"")</f>
      </c>
      <c r="S110" s="57">
        <f>IFERROR(VLOOKUP($A:$A,CS!$A:$AK,29,FALSE),"")</f>
      </c>
      <c r="T110" s="57">
        <f>IFERROR(VLOOKUP($A:$A,CS!$A:$AK,33,FALSE),"")</f>
      </c>
      <c r="U110" s="57">
        <f>IFERROR(VLOOKUP($A:$A,CS!$A:$AK,34,FALSE),"")</f>
      </c>
      <c r="V110" s="57">
        <f>IFERROR(VLOOKUP($A:$A,CS!$A:$AK,35,FALSE),"")</f>
      </c>
      <c r="W110" s="57">
        <f>IFERROR(VLOOKUP($A:$A,CS!$A:$AK,36,FALSE),"")</f>
      </c>
    </row>
    <row r="111" ht="16.5" customHeight="1" spans="1:23" x14ac:dyDescent="0.25">
      <c r="A111" s="71"/>
      <c r="B111" s="57">
        <f>IFERROR(VLOOKUP($A:$A,CS!$A:$AK,3,FALSE),"")</f>
      </c>
      <c r="C111" s="57">
        <f>IFERROR(VLOOKUP($A:$A,CS!$A:$AK,4,FALSE),"")</f>
      </c>
      <c r="D111" s="57">
        <f>IFERROR(VLOOKUP($A:$A,CS!$A:$AK,5,FALSE),"")</f>
      </c>
      <c r="E111" s="57">
        <f>IFERROR(VLOOKUP($A:$A,CS!$A:$AK,7,FALSE),"")</f>
      </c>
      <c r="F111" s="57">
        <f>IFERROR(VLOOKUP($A:$A,CS!$A:$AK,8,FALSE),"")</f>
      </c>
      <c r="G111" s="57">
        <f>IFERROR(VLOOKUP($A:$A,CS!$A:$AK,10,FALSE),"")</f>
      </c>
      <c r="H111" s="57">
        <f>IFERROR(VLOOKUP($A:$A,CS!$A:$AK,14,FALSE),"")</f>
      </c>
      <c r="I111" s="57">
        <f>IFERROR(VLOOKUP($A:$A,CS!$A:$AK,15,FALSE),"")</f>
      </c>
      <c r="J111" s="57">
        <f>IFERROR(VLOOKUP($A:$A,CS!$A:$AK,18,FALSE),"")</f>
      </c>
      <c r="K111" s="57">
        <f>IFERROR(VLOOKUP($A:$A,CS!$A:$AK,19,FALSE),"")</f>
      </c>
      <c r="L111" s="57">
        <f>IFERROR(VLOOKUP($A:$A,CS!$A:$AK,20,FALSE),"")</f>
      </c>
      <c r="M111" s="57">
        <f>IFERROR(VLOOKUP($A:$A,CS!$A:$AK,22,FALSE),"")</f>
      </c>
      <c r="N111" s="57">
        <f>IFERROR(VLOOKUP($A:$A,CS!$A:$AK,19,FALSE),"")</f>
      </c>
      <c r="O111" s="57">
        <f>IFERROR(VLOOKUP($A:$A,CS!$A:$AK,23,FALSE),"")</f>
      </c>
      <c r="P111" s="57">
        <f>IFERROR(VLOOKUP($A:$A,CS!$A:$AK,24,FALSE),"")</f>
      </c>
      <c r="Q111" s="57">
        <f>IFERROR(VLOOKUP($A:$A,CS!$A:$AK,25,FALSE),"")</f>
      </c>
      <c r="R111" s="57">
        <f>IFERROR(VLOOKUP($A:$A,CS!$A:$AK,26,FALSE),"")</f>
      </c>
      <c r="S111" s="57">
        <f>IFERROR(VLOOKUP($A:$A,CS!$A:$AK,29,FALSE),"")</f>
      </c>
      <c r="T111" s="57">
        <f>IFERROR(VLOOKUP($A:$A,CS!$A:$AK,33,FALSE),"")</f>
      </c>
      <c r="U111" s="57">
        <f>IFERROR(VLOOKUP($A:$A,CS!$A:$AK,34,FALSE),"")</f>
      </c>
      <c r="V111" s="57">
        <f>IFERROR(VLOOKUP($A:$A,CS!$A:$AK,35,FALSE),"")</f>
      </c>
      <c r="W111" s="57">
        <f>IFERROR(VLOOKUP($A:$A,CS!$A:$AK,36,FALSE),"")</f>
      </c>
    </row>
    <row r="112" ht="16.5" customHeight="1" spans="1:23" x14ac:dyDescent="0.25">
      <c r="A112" s="71"/>
      <c r="B112" s="57">
        <f>IFERROR(VLOOKUP($A:$A,CS!$A:$AK,3,FALSE),"")</f>
      </c>
      <c r="C112" s="57">
        <f>IFERROR(VLOOKUP($A:$A,CS!$A:$AK,4,FALSE),"")</f>
      </c>
      <c r="D112" s="57">
        <f>IFERROR(VLOOKUP($A:$A,CS!$A:$AK,5,FALSE),"")</f>
      </c>
      <c r="E112" s="57">
        <f>IFERROR(VLOOKUP($A:$A,CS!$A:$AK,7,FALSE),"")</f>
      </c>
      <c r="F112" s="57">
        <f>IFERROR(VLOOKUP($A:$A,CS!$A:$AK,8,FALSE),"")</f>
      </c>
      <c r="G112" s="57">
        <f>IFERROR(VLOOKUP($A:$A,CS!$A:$AK,10,FALSE),"")</f>
      </c>
      <c r="H112" s="57">
        <f>IFERROR(VLOOKUP($A:$A,CS!$A:$AK,14,FALSE),"")</f>
      </c>
      <c r="I112" s="57">
        <f>IFERROR(VLOOKUP($A:$A,CS!$A:$AK,15,FALSE),"")</f>
      </c>
      <c r="J112" s="57">
        <f>IFERROR(VLOOKUP($A:$A,CS!$A:$AK,18,FALSE),"")</f>
      </c>
      <c r="K112" s="57">
        <f>IFERROR(VLOOKUP($A:$A,CS!$A:$AK,19,FALSE),"")</f>
      </c>
      <c r="L112" s="57">
        <f>IFERROR(VLOOKUP($A:$A,CS!$A:$AK,20,FALSE),"")</f>
      </c>
      <c r="M112" s="57">
        <f>IFERROR(VLOOKUP($A:$A,CS!$A:$AK,22,FALSE),"")</f>
      </c>
      <c r="N112" s="57">
        <f>IFERROR(VLOOKUP($A:$A,CS!$A:$AK,19,FALSE),"")</f>
      </c>
      <c r="O112" s="57">
        <f>IFERROR(VLOOKUP($A:$A,CS!$A:$AK,23,FALSE),"")</f>
      </c>
      <c r="P112" s="57">
        <f>IFERROR(VLOOKUP($A:$A,CS!$A:$AK,24,FALSE),"")</f>
      </c>
      <c r="Q112" s="57">
        <f>IFERROR(VLOOKUP($A:$A,CS!$A:$AK,25,FALSE),"")</f>
      </c>
      <c r="R112" s="57">
        <f>IFERROR(VLOOKUP($A:$A,CS!$A:$AK,26,FALSE),"")</f>
      </c>
      <c r="S112" s="57">
        <f>IFERROR(VLOOKUP($A:$A,CS!$A:$AK,29,FALSE),"")</f>
      </c>
      <c r="T112" s="57">
        <f>IFERROR(VLOOKUP($A:$A,CS!$A:$AK,33,FALSE),"")</f>
      </c>
      <c r="U112" s="57">
        <f>IFERROR(VLOOKUP($A:$A,CS!$A:$AK,34,FALSE),"")</f>
      </c>
      <c r="V112" s="57">
        <f>IFERROR(VLOOKUP($A:$A,CS!$A:$AK,35,FALSE),"")</f>
      </c>
      <c r="W112" s="57">
        <f>IFERROR(VLOOKUP($A:$A,CS!$A:$AK,36,FALSE),"")</f>
      </c>
    </row>
    <row r="113" ht="16.5" customHeight="1" spans="1:23" x14ac:dyDescent="0.25">
      <c r="A113" s="71"/>
      <c r="B113" s="57">
        <f>IFERROR(VLOOKUP($A:$A,CS!$A:$AK,3,FALSE),"")</f>
      </c>
      <c r="C113" s="57">
        <f>IFERROR(VLOOKUP($A:$A,CS!$A:$AK,4,FALSE),"")</f>
      </c>
      <c r="D113" s="57">
        <f>IFERROR(VLOOKUP($A:$A,CS!$A:$AK,5,FALSE),"")</f>
      </c>
      <c r="E113" s="57">
        <f>IFERROR(VLOOKUP($A:$A,CS!$A:$AK,7,FALSE),"")</f>
      </c>
      <c r="F113" s="57">
        <f>IFERROR(VLOOKUP($A:$A,CS!$A:$AK,8,FALSE),"")</f>
      </c>
      <c r="G113" s="57">
        <f>IFERROR(VLOOKUP($A:$A,CS!$A:$AK,10,FALSE),"")</f>
      </c>
      <c r="H113" s="57">
        <f>IFERROR(VLOOKUP($A:$A,CS!$A:$AK,14,FALSE),"")</f>
      </c>
      <c r="I113" s="57">
        <f>IFERROR(VLOOKUP($A:$A,CS!$A:$AK,15,FALSE),"")</f>
      </c>
      <c r="J113" s="57">
        <f>IFERROR(VLOOKUP($A:$A,CS!$A:$AK,18,FALSE),"")</f>
      </c>
      <c r="K113" s="57">
        <f>IFERROR(VLOOKUP($A:$A,CS!$A:$AK,19,FALSE),"")</f>
      </c>
      <c r="L113" s="57">
        <f>IFERROR(VLOOKUP($A:$A,CS!$A:$AK,20,FALSE),"")</f>
      </c>
      <c r="M113" s="57">
        <f>IFERROR(VLOOKUP($A:$A,CS!$A:$AK,22,FALSE),"")</f>
      </c>
      <c r="N113" s="57">
        <f>IFERROR(VLOOKUP($A:$A,CS!$A:$AK,19,FALSE),"")</f>
      </c>
      <c r="O113" s="57">
        <f>IFERROR(VLOOKUP($A:$A,CS!$A:$AK,23,FALSE),"")</f>
      </c>
      <c r="P113" s="57">
        <f>IFERROR(VLOOKUP($A:$A,CS!$A:$AK,24,FALSE),"")</f>
      </c>
      <c r="Q113" s="57">
        <f>IFERROR(VLOOKUP($A:$A,CS!$A:$AK,25,FALSE),"")</f>
      </c>
      <c r="R113" s="57">
        <f>IFERROR(VLOOKUP($A:$A,CS!$A:$AK,26,FALSE),"")</f>
      </c>
      <c r="S113" s="57">
        <f>IFERROR(VLOOKUP($A:$A,CS!$A:$AK,29,FALSE),"")</f>
      </c>
      <c r="T113" s="57">
        <f>IFERROR(VLOOKUP($A:$A,CS!$A:$AK,33,FALSE),"")</f>
      </c>
      <c r="U113" s="57">
        <f>IFERROR(VLOOKUP($A:$A,CS!$A:$AK,34,FALSE),"")</f>
      </c>
      <c r="V113" s="57">
        <f>IFERROR(VLOOKUP($A:$A,CS!$A:$AK,35,FALSE),"")</f>
      </c>
      <c r="W113" s="57">
        <f>IFERROR(VLOOKUP($A:$A,CS!$A:$AK,36,FALSE),"")</f>
      </c>
    </row>
    <row r="114" ht="16.5" customHeight="1" spans="1:23" x14ac:dyDescent="0.25">
      <c r="A114" s="71"/>
      <c r="B114" s="57">
        <f>IFERROR(VLOOKUP($A:$A,CS!$A:$AK,3,FALSE),"")</f>
      </c>
      <c r="C114" s="57">
        <f>IFERROR(VLOOKUP($A:$A,CS!$A:$AK,4,FALSE),"")</f>
      </c>
      <c r="D114" s="57">
        <f>IFERROR(VLOOKUP($A:$A,CS!$A:$AK,5,FALSE),"")</f>
      </c>
      <c r="E114" s="57">
        <f>IFERROR(VLOOKUP($A:$A,CS!$A:$AK,7,FALSE),"")</f>
      </c>
      <c r="F114" s="57">
        <f>IFERROR(VLOOKUP($A:$A,CS!$A:$AK,8,FALSE),"")</f>
      </c>
      <c r="G114" s="57">
        <f>IFERROR(VLOOKUP($A:$A,CS!$A:$AK,10,FALSE),"")</f>
      </c>
      <c r="H114" s="57">
        <f>IFERROR(VLOOKUP($A:$A,CS!$A:$AK,14,FALSE),"")</f>
      </c>
      <c r="I114" s="57">
        <f>IFERROR(VLOOKUP($A:$A,CS!$A:$AK,15,FALSE),"")</f>
      </c>
      <c r="J114" s="57">
        <f>IFERROR(VLOOKUP($A:$A,CS!$A:$AK,18,FALSE),"")</f>
      </c>
      <c r="K114" s="57">
        <f>IFERROR(VLOOKUP($A:$A,CS!$A:$AK,19,FALSE),"")</f>
      </c>
      <c r="L114" s="57">
        <f>IFERROR(VLOOKUP($A:$A,CS!$A:$AK,20,FALSE),"")</f>
      </c>
      <c r="M114" s="57">
        <f>IFERROR(VLOOKUP($A:$A,CS!$A:$AK,22,FALSE),"")</f>
      </c>
      <c r="N114" s="57">
        <f>IFERROR(VLOOKUP($A:$A,CS!$A:$AK,19,FALSE),"")</f>
      </c>
      <c r="O114" s="57">
        <f>IFERROR(VLOOKUP($A:$A,CS!$A:$AK,23,FALSE),"")</f>
      </c>
      <c r="P114" s="57">
        <f>IFERROR(VLOOKUP($A:$A,CS!$A:$AK,24,FALSE),"")</f>
      </c>
      <c r="Q114" s="57">
        <f>IFERROR(VLOOKUP($A:$A,CS!$A:$AK,25,FALSE),"")</f>
      </c>
      <c r="R114" s="57">
        <f>IFERROR(VLOOKUP($A:$A,CS!$A:$AK,26,FALSE),"")</f>
      </c>
      <c r="S114" s="57">
        <f>IFERROR(VLOOKUP($A:$A,CS!$A:$AK,29,FALSE),"")</f>
      </c>
      <c r="T114" s="57">
        <f>IFERROR(VLOOKUP($A:$A,CS!$A:$AK,33,FALSE),"")</f>
      </c>
      <c r="U114" s="57">
        <f>IFERROR(VLOOKUP($A:$A,CS!$A:$AK,34,FALSE),"")</f>
      </c>
      <c r="V114" s="57">
        <f>IFERROR(VLOOKUP($A:$A,CS!$A:$AK,35,FALSE),"")</f>
      </c>
      <c r="W114" s="57">
        <f>IFERROR(VLOOKUP($A:$A,CS!$A:$AK,36,FALSE),"")</f>
      </c>
    </row>
    <row r="115" ht="16.5" customHeight="1" spans="1:23" x14ac:dyDescent="0.25">
      <c r="A115" s="71"/>
      <c r="B115" s="57">
        <f>IFERROR(VLOOKUP($A:$A,CS!$A:$AK,3,FALSE),"")</f>
      </c>
      <c r="C115" s="57">
        <f>IFERROR(VLOOKUP($A:$A,CS!$A:$AK,4,FALSE),"")</f>
      </c>
      <c r="D115" s="57">
        <f>IFERROR(VLOOKUP($A:$A,CS!$A:$AK,5,FALSE),"")</f>
      </c>
      <c r="E115" s="57">
        <f>IFERROR(VLOOKUP($A:$A,CS!$A:$AK,7,FALSE),"")</f>
      </c>
      <c r="F115" s="57">
        <f>IFERROR(VLOOKUP($A:$A,CS!$A:$AK,8,FALSE),"")</f>
      </c>
      <c r="G115" s="57">
        <f>IFERROR(VLOOKUP($A:$A,CS!$A:$AK,10,FALSE),"")</f>
      </c>
      <c r="H115" s="57">
        <f>IFERROR(VLOOKUP($A:$A,CS!$A:$AK,14,FALSE),"")</f>
      </c>
      <c r="I115" s="57">
        <f>IFERROR(VLOOKUP($A:$A,CS!$A:$AK,15,FALSE),"")</f>
      </c>
      <c r="J115" s="57">
        <f>IFERROR(VLOOKUP($A:$A,CS!$A:$AK,18,FALSE),"")</f>
      </c>
      <c r="K115" s="57">
        <f>IFERROR(VLOOKUP($A:$A,CS!$A:$AK,19,FALSE),"")</f>
      </c>
      <c r="L115" s="57">
        <f>IFERROR(VLOOKUP($A:$A,CS!$A:$AK,20,FALSE),"")</f>
      </c>
      <c r="M115" s="57">
        <f>IFERROR(VLOOKUP($A:$A,CS!$A:$AK,22,FALSE),"")</f>
      </c>
      <c r="N115" s="57">
        <f>IFERROR(VLOOKUP($A:$A,CS!$A:$AK,19,FALSE),"")</f>
      </c>
      <c r="O115" s="57">
        <f>IFERROR(VLOOKUP($A:$A,CS!$A:$AK,23,FALSE),"")</f>
      </c>
      <c r="P115" s="57">
        <f>IFERROR(VLOOKUP($A:$A,CS!$A:$AK,24,FALSE),"")</f>
      </c>
      <c r="Q115" s="57">
        <f>IFERROR(VLOOKUP($A:$A,CS!$A:$AK,25,FALSE),"")</f>
      </c>
      <c r="R115" s="57">
        <f>IFERROR(VLOOKUP($A:$A,CS!$A:$AK,26,FALSE),"")</f>
      </c>
      <c r="S115" s="57">
        <f>IFERROR(VLOOKUP($A:$A,CS!$A:$AK,29,FALSE),"")</f>
      </c>
      <c r="T115" s="57">
        <f>IFERROR(VLOOKUP($A:$A,CS!$A:$AK,33,FALSE),"")</f>
      </c>
      <c r="U115" s="57">
        <f>IFERROR(VLOOKUP($A:$A,CS!$A:$AK,34,FALSE),"")</f>
      </c>
      <c r="V115" s="57">
        <f>IFERROR(VLOOKUP($A:$A,CS!$A:$AK,35,FALSE),"")</f>
      </c>
      <c r="W115" s="57">
        <f>IFERROR(VLOOKUP($A:$A,CS!$A:$AK,36,FALSE),"")</f>
      </c>
    </row>
    <row r="116" ht="16.5" customHeight="1" spans="1:23" x14ac:dyDescent="0.25">
      <c r="A116" s="71"/>
      <c r="B116" s="57">
        <f>IFERROR(VLOOKUP($A:$A,CS!$A:$AK,3,FALSE),"")</f>
      </c>
      <c r="C116" s="57">
        <f>IFERROR(VLOOKUP($A:$A,CS!$A:$AK,4,FALSE),"")</f>
      </c>
      <c r="D116" s="57">
        <f>IFERROR(VLOOKUP($A:$A,CS!$A:$AK,5,FALSE),"")</f>
      </c>
      <c r="E116" s="57">
        <f>IFERROR(VLOOKUP($A:$A,CS!$A:$AK,7,FALSE),"")</f>
      </c>
      <c r="F116" s="57">
        <f>IFERROR(VLOOKUP($A:$A,CS!$A:$AK,8,FALSE),"")</f>
      </c>
      <c r="G116" s="57">
        <f>IFERROR(VLOOKUP($A:$A,CS!$A:$AK,10,FALSE),"")</f>
      </c>
      <c r="H116" s="57">
        <f>IFERROR(VLOOKUP($A:$A,CS!$A:$AK,14,FALSE),"")</f>
      </c>
      <c r="I116" s="57">
        <f>IFERROR(VLOOKUP($A:$A,CS!$A:$AK,15,FALSE),"")</f>
      </c>
      <c r="J116" s="57">
        <f>IFERROR(VLOOKUP($A:$A,CS!$A:$AK,18,FALSE),"")</f>
      </c>
      <c r="K116" s="57">
        <f>IFERROR(VLOOKUP($A:$A,CS!$A:$AK,19,FALSE),"")</f>
      </c>
      <c r="L116" s="57">
        <f>IFERROR(VLOOKUP($A:$A,CS!$A:$AK,20,FALSE),"")</f>
      </c>
      <c r="M116" s="57">
        <f>IFERROR(VLOOKUP($A:$A,CS!$A:$AK,22,FALSE),"")</f>
      </c>
      <c r="N116" s="57">
        <f>IFERROR(VLOOKUP($A:$A,CS!$A:$AK,19,FALSE),"")</f>
      </c>
      <c r="O116" s="57">
        <f>IFERROR(VLOOKUP($A:$A,CS!$A:$AK,23,FALSE),"")</f>
      </c>
      <c r="P116" s="57">
        <f>IFERROR(VLOOKUP($A:$A,CS!$A:$AK,24,FALSE),"")</f>
      </c>
      <c r="Q116" s="57">
        <f>IFERROR(VLOOKUP($A:$A,CS!$A:$AK,25,FALSE),"")</f>
      </c>
      <c r="R116" s="57">
        <f>IFERROR(VLOOKUP($A:$A,CS!$A:$AK,26,FALSE),"")</f>
      </c>
      <c r="S116" s="57">
        <f>IFERROR(VLOOKUP($A:$A,CS!$A:$AK,29,FALSE),"")</f>
      </c>
      <c r="T116" s="57">
        <f>IFERROR(VLOOKUP($A:$A,CS!$A:$AK,33,FALSE),"")</f>
      </c>
      <c r="U116" s="57">
        <f>IFERROR(VLOOKUP($A:$A,CS!$A:$AK,34,FALSE),"")</f>
      </c>
      <c r="V116" s="57">
        <f>IFERROR(VLOOKUP($A:$A,CS!$A:$AK,35,FALSE),"")</f>
      </c>
      <c r="W116" s="57">
        <f>IFERROR(VLOOKUP($A:$A,CS!$A:$AK,36,FALSE),"")</f>
      </c>
    </row>
    <row r="117" ht="16.5" customHeight="1" spans="1:23" x14ac:dyDescent="0.25">
      <c r="A117" s="71"/>
      <c r="B117" s="57">
        <f>IFERROR(VLOOKUP($A:$A,CS!$A:$AK,3,FALSE),"")</f>
      </c>
      <c r="C117" s="57">
        <f>IFERROR(VLOOKUP($A:$A,CS!$A:$AK,4,FALSE),"")</f>
      </c>
      <c r="D117" s="57">
        <f>IFERROR(VLOOKUP($A:$A,CS!$A:$AK,5,FALSE),"")</f>
      </c>
      <c r="E117" s="57">
        <f>IFERROR(VLOOKUP($A:$A,CS!$A:$AK,7,FALSE),"")</f>
      </c>
      <c r="F117" s="57">
        <f>IFERROR(VLOOKUP($A:$A,CS!$A:$AK,8,FALSE),"")</f>
      </c>
      <c r="G117" s="57">
        <f>IFERROR(VLOOKUP($A:$A,CS!$A:$AK,10,FALSE),"")</f>
      </c>
      <c r="H117" s="57">
        <f>IFERROR(VLOOKUP($A:$A,CS!$A:$AK,14,FALSE),"")</f>
      </c>
      <c r="I117" s="57">
        <f>IFERROR(VLOOKUP($A:$A,CS!$A:$AK,15,FALSE),"")</f>
      </c>
      <c r="J117" s="57">
        <f>IFERROR(VLOOKUP($A:$A,CS!$A:$AK,18,FALSE),"")</f>
      </c>
      <c r="K117" s="57">
        <f>IFERROR(VLOOKUP($A:$A,CS!$A:$AK,19,FALSE),"")</f>
      </c>
      <c r="L117" s="57">
        <f>IFERROR(VLOOKUP($A:$A,CS!$A:$AK,20,FALSE),"")</f>
      </c>
      <c r="M117" s="57">
        <f>IFERROR(VLOOKUP($A:$A,CS!$A:$AK,22,FALSE),"")</f>
      </c>
      <c r="N117" s="57">
        <f>IFERROR(VLOOKUP($A:$A,CS!$A:$AK,19,FALSE),"")</f>
      </c>
      <c r="O117" s="57">
        <f>IFERROR(VLOOKUP($A:$A,CS!$A:$AK,23,FALSE),"")</f>
      </c>
      <c r="P117" s="57">
        <f>IFERROR(VLOOKUP($A:$A,CS!$A:$AK,24,FALSE),"")</f>
      </c>
      <c r="Q117" s="57">
        <f>IFERROR(VLOOKUP($A:$A,CS!$A:$AK,25,FALSE),"")</f>
      </c>
      <c r="R117" s="57">
        <f>IFERROR(VLOOKUP($A:$A,CS!$A:$AK,26,FALSE),"")</f>
      </c>
      <c r="S117" s="57">
        <f>IFERROR(VLOOKUP($A:$A,CS!$A:$AK,29,FALSE),"")</f>
      </c>
      <c r="T117" s="57">
        <f>IFERROR(VLOOKUP($A:$A,CS!$A:$AK,33,FALSE),"")</f>
      </c>
      <c r="U117" s="57">
        <f>IFERROR(VLOOKUP($A:$A,CS!$A:$AK,34,FALSE),"")</f>
      </c>
      <c r="V117" s="57">
        <f>IFERROR(VLOOKUP($A:$A,CS!$A:$AK,35,FALSE),"")</f>
      </c>
      <c r="W117" s="57">
        <f>IFERROR(VLOOKUP($A:$A,CS!$A:$AK,36,FALSE),"")</f>
      </c>
    </row>
    <row r="118" ht="16.5" customHeight="1" spans="1:23" x14ac:dyDescent="0.25">
      <c r="A118" s="71"/>
      <c r="B118" s="57">
        <f>IFERROR(VLOOKUP($A:$A,CS!$A:$AK,3,FALSE),"")</f>
      </c>
      <c r="C118" s="57">
        <f>IFERROR(VLOOKUP($A:$A,CS!$A:$AK,4,FALSE),"")</f>
      </c>
      <c r="D118" s="57">
        <f>IFERROR(VLOOKUP($A:$A,CS!$A:$AK,5,FALSE),"")</f>
      </c>
      <c r="E118" s="57">
        <f>IFERROR(VLOOKUP($A:$A,CS!$A:$AK,7,FALSE),"")</f>
      </c>
      <c r="F118" s="57">
        <f>IFERROR(VLOOKUP($A:$A,CS!$A:$AK,8,FALSE),"")</f>
      </c>
      <c r="G118" s="57">
        <f>IFERROR(VLOOKUP($A:$A,CS!$A:$AK,10,FALSE),"")</f>
      </c>
      <c r="H118" s="57">
        <f>IFERROR(VLOOKUP($A:$A,CS!$A:$AK,14,FALSE),"")</f>
      </c>
      <c r="I118" s="57">
        <f>IFERROR(VLOOKUP($A:$A,CS!$A:$AK,15,FALSE),"")</f>
      </c>
      <c r="J118" s="57">
        <f>IFERROR(VLOOKUP($A:$A,CS!$A:$AK,18,FALSE),"")</f>
      </c>
      <c r="K118" s="57">
        <f>IFERROR(VLOOKUP($A:$A,CS!$A:$AK,19,FALSE),"")</f>
      </c>
      <c r="L118" s="57">
        <f>IFERROR(VLOOKUP($A:$A,CS!$A:$AK,20,FALSE),"")</f>
      </c>
      <c r="M118" s="57">
        <f>IFERROR(VLOOKUP($A:$A,CS!$A:$AK,22,FALSE),"")</f>
      </c>
      <c r="N118" s="57">
        <f>IFERROR(VLOOKUP($A:$A,CS!$A:$AK,19,FALSE),"")</f>
      </c>
      <c r="O118" s="57">
        <f>IFERROR(VLOOKUP($A:$A,CS!$A:$AK,23,FALSE),"")</f>
      </c>
      <c r="P118" s="57">
        <f>IFERROR(VLOOKUP($A:$A,CS!$A:$AK,24,FALSE),"")</f>
      </c>
      <c r="Q118" s="57">
        <f>IFERROR(VLOOKUP($A:$A,CS!$A:$AK,25,FALSE),"")</f>
      </c>
      <c r="R118" s="57">
        <f>IFERROR(VLOOKUP($A:$A,CS!$A:$AK,26,FALSE),"")</f>
      </c>
      <c r="S118" s="57">
        <f>IFERROR(VLOOKUP($A:$A,CS!$A:$AK,29,FALSE),"")</f>
      </c>
      <c r="T118" s="57">
        <f>IFERROR(VLOOKUP($A:$A,CS!$A:$AK,33,FALSE),"")</f>
      </c>
      <c r="U118" s="57">
        <f>IFERROR(VLOOKUP($A:$A,CS!$A:$AK,34,FALSE),"")</f>
      </c>
      <c r="V118" s="57">
        <f>IFERROR(VLOOKUP($A:$A,CS!$A:$AK,35,FALSE),"")</f>
      </c>
      <c r="W118" s="57">
        <f>IFERROR(VLOOKUP($A:$A,CS!$A:$AK,36,FALSE),"")</f>
      </c>
    </row>
    <row r="119" ht="16.5" customHeight="1" spans="1:23" x14ac:dyDescent="0.25">
      <c r="A119" s="71"/>
      <c r="B119" s="57">
        <f>IFERROR(VLOOKUP($A:$A,CS!$A:$AK,3,FALSE),"")</f>
      </c>
      <c r="C119" s="57">
        <f>IFERROR(VLOOKUP($A:$A,CS!$A:$AK,4,FALSE),"")</f>
      </c>
      <c r="D119" s="57">
        <f>IFERROR(VLOOKUP($A:$A,CS!$A:$AK,5,FALSE),"")</f>
      </c>
      <c r="E119" s="57">
        <f>IFERROR(VLOOKUP($A:$A,CS!$A:$AK,7,FALSE),"")</f>
      </c>
      <c r="F119" s="57">
        <f>IFERROR(VLOOKUP($A:$A,CS!$A:$AK,8,FALSE),"")</f>
      </c>
      <c r="G119" s="57">
        <f>IFERROR(VLOOKUP($A:$A,CS!$A:$AK,10,FALSE),"")</f>
      </c>
      <c r="H119" s="57">
        <f>IFERROR(VLOOKUP($A:$A,CS!$A:$AK,14,FALSE),"")</f>
      </c>
      <c r="I119" s="57">
        <f>IFERROR(VLOOKUP($A:$A,CS!$A:$AK,15,FALSE),"")</f>
      </c>
      <c r="J119" s="57">
        <f>IFERROR(VLOOKUP($A:$A,CS!$A:$AK,18,FALSE),"")</f>
      </c>
      <c r="K119" s="57">
        <f>IFERROR(VLOOKUP($A:$A,CS!$A:$AK,19,FALSE),"")</f>
      </c>
      <c r="L119" s="57">
        <f>IFERROR(VLOOKUP($A:$A,CS!$A:$AK,20,FALSE),"")</f>
      </c>
      <c r="M119" s="57">
        <f>IFERROR(VLOOKUP($A:$A,CS!$A:$AK,22,FALSE),"")</f>
      </c>
      <c r="N119" s="57">
        <f>IFERROR(VLOOKUP($A:$A,CS!$A:$AK,19,FALSE),"")</f>
      </c>
      <c r="O119" s="57">
        <f>IFERROR(VLOOKUP($A:$A,CS!$A:$AK,23,FALSE),"")</f>
      </c>
      <c r="P119" s="57">
        <f>IFERROR(VLOOKUP($A:$A,CS!$A:$AK,24,FALSE),"")</f>
      </c>
      <c r="Q119" s="57">
        <f>IFERROR(VLOOKUP($A:$A,CS!$A:$AK,25,FALSE),"")</f>
      </c>
      <c r="R119" s="57">
        <f>IFERROR(VLOOKUP($A:$A,CS!$A:$AK,26,FALSE),"")</f>
      </c>
      <c r="S119" s="57">
        <f>IFERROR(VLOOKUP($A:$A,CS!$A:$AK,29,FALSE),"")</f>
      </c>
      <c r="T119" s="57">
        <f>IFERROR(VLOOKUP($A:$A,CS!$A:$AK,33,FALSE),"")</f>
      </c>
      <c r="U119" s="57">
        <f>IFERROR(VLOOKUP($A:$A,CS!$A:$AK,34,FALSE),"")</f>
      </c>
      <c r="V119" s="57">
        <f>IFERROR(VLOOKUP($A:$A,CS!$A:$AK,35,FALSE),"")</f>
      </c>
      <c r="W119" s="57">
        <f>IFERROR(VLOOKUP($A:$A,CS!$A:$AK,36,FALSE),"")</f>
      </c>
    </row>
    <row r="120" ht="16.5" customHeight="1" spans="1:23" x14ac:dyDescent="0.25">
      <c r="A120" s="71"/>
      <c r="B120" s="57">
        <f>IFERROR(VLOOKUP($A:$A,CS!$A:$AK,3,FALSE),"")</f>
      </c>
      <c r="C120" s="57">
        <f>IFERROR(VLOOKUP($A:$A,CS!$A:$AK,4,FALSE),"")</f>
      </c>
      <c r="D120" s="57">
        <f>IFERROR(VLOOKUP($A:$A,CS!$A:$AK,5,FALSE),"")</f>
      </c>
      <c r="E120" s="57">
        <f>IFERROR(VLOOKUP($A:$A,CS!$A:$AK,7,FALSE),"")</f>
      </c>
      <c r="F120" s="57">
        <f>IFERROR(VLOOKUP($A:$A,CS!$A:$AK,8,FALSE),"")</f>
      </c>
      <c r="G120" s="57">
        <f>IFERROR(VLOOKUP($A:$A,CS!$A:$AK,10,FALSE),"")</f>
      </c>
      <c r="H120" s="57">
        <f>IFERROR(VLOOKUP($A:$A,CS!$A:$AK,14,FALSE),"")</f>
      </c>
      <c r="I120" s="57">
        <f>IFERROR(VLOOKUP($A:$A,CS!$A:$AK,15,FALSE),"")</f>
      </c>
      <c r="J120" s="57">
        <f>IFERROR(VLOOKUP($A:$A,CS!$A:$AK,18,FALSE),"")</f>
      </c>
      <c r="K120" s="57">
        <f>IFERROR(VLOOKUP($A:$A,CS!$A:$AK,19,FALSE),"")</f>
      </c>
      <c r="L120" s="57">
        <f>IFERROR(VLOOKUP($A:$A,CS!$A:$AK,20,FALSE),"")</f>
      </c>
      <c r="M120" s="57">
        <f>IFERROR(VLOOKUP($A:$A,CS!$A:$AK,22,FALSE),"")</f>
      </c>
      <c r="N120" s="57">
        <f>IFERROR(VLOOKUP($A:$A,CS!$A:$AK,19,FALSE),"")</f>
      </c>
      <c r="O120" s="57">
        <f>IFERROR(VLOOKUP($A:$A,CS!$A:$AK,23,FALSE),"")</f>
      </c>
      <c r="P120" s="57">
        <f>IFERROR(VLOOKUP($A:$A,CS!$A:$AK,24,FALSE),"")</f>
      </c>
      <c r="Q120" s="57">
        <f>IFERROR(VLOOKUP($A:$A,CS!$A:$AK,25,FALSE),"")</f>
      </c>
      <c r="R120" s="57">
        <f>IFERROR(VLOOKUP($A:$A,CS!$A:$AK,26,FALSE),"")</f>
      </c>
      <c r="S120" s="57">
        <f>IFERROR(VLOOKUP($A:$A,CS!$A:$AK,29,FALSE),"")</f>
      </c>
      <c r="T120" s="57">
        <f>IFERROR(VLOOKUP($A:$A,CS!$A:$AK,33,FALSE),"")</f>
      </c>
      <c r="U120" s="57">
        <f>IFERROR(VLOOKUP($A:$A,CS!$A:$AK,34,FALSE),"")</f>
      </c>
      <c r="V120" s="57">
        <f>IFERROR(VLOOKUP($A:$A,CS!$A:$AK,35,FALSE),"")</f>
      </c>
      <c r="W120" s="57">
        <f>IFERROR(VLOOKUP($A:$A,CS!$A:$AK,36,FALSE),"")</f>
      </c>
    </row>
    <row r="121" ht="16.5" customHeight="1" spans="1:23" x14ac:dyDescent="0.25">
      <c r="A121" s="71"/>
      <c r="B121" s="57">
        <f>IFERROR(VLOOKUP($A:$A,CS!$A:$AK,3,FALSE),"")</f>
      </c>
      <c r="C121" s="57">
        <f>IFERROR(VLOOKUP($A:$A,CS!$A:$AK,4,FALSE),"")</f>
      </c>
      <c r="D121" s="57">
        <f>IFERROR(VLOOKUP($A:$A,CS!$A:$AK,5,FALSE),"")</f>
      </c>
      <c r="E121" s="57">
        <f>IFERROR(VLOOKUP($A:$A,CS!$A:$AK,7,FALSE),"")</f>
      </c>
      <c r="F121" s="57">
        <f>IFERROR(VLOOKUP($A:$A,CS!$A:$AK,8,FALSE),"")</f>
      </c>
      <c r="G121" s="57">
        <f>IFERROR(VLOOKUP($A:$A,CS!$A:$AK,10,FALSE),"")</f>
      </c>
      <c r="H121" s="57">
        <f>IFERROR(VLOOKUP($A:$A,CS!$A:$AK,14,FALSE),"")</f>
      </c>
      <c r="I121" s="57">
        <f>IFERROR(VLOOKUP($A:$A,CS!$A:$AK,15,FALSE),"")</f>
      </c>
      <c r="J121" s="57">
        <f>IFERROR(VLOOKUP($A:$A,CS!$A:$AK,18,FALSE),"")</f>
      </c>
      <c r="K121" s="57">
        <f>IFERROR(VLOOKUP($A:$A,CS!$A:$AK,19,FALSE),"")</f>
      </c>
      <c r="L121" s="57">
        <f>IFERROR(VLOOKUP($A:$A,CS!$A:$AK,20,FALSE),"")</f>
      </c>
      <c r="M121" s="57">
        <f>IFERROR(VLOOKUP($A:$A,CS!$A:$AK,22,FALSE),"")</f>
      </c>
      <c r="N121" s="57">
        <f>IFERROR(VLOOKUP($A:$A,CS!$A:$AK,19,FALSE),"")</f>
      </c>
      <c r="O121" s="57">
        <f>IFERROR(VLOOKUP($A:$A,CS!$A:$AK,23,FALSE),"")</f>
      </c>
      <c r="P121" s="57">
        <f>IFERROR(VLOOKUP($A:$A,CS!$A:$AK,24,FALSE),"")</f>
      </c>
      <c r="Q121" s="57">
        <f>IFERROR(VLOOKUP($A:$A,CS!$A:$AK,25,FALSE),"")</f>
      </c>
      <c r="R121" s="57">
        <f>IFERROR(VLOOKUP($A:$A,CS!$A:$AK,26,FALSE),"")</f>
      </c>
      <c r="S121" s="57">
        <f>IFERROR(VLOOKUP($A:$A,CS!$A:$AK,29,FALSE),"")</f>
      </c>
      <c r="T121" s="57">
        <f>IFERROR(VLOOKUP($A:$A,CS!$A:$AK,33,FALSE),"")</f>
      </c>
      <c r="U121" s="57">
        <f>IFERROR(VLOOKUP($A:$A,CS!$A:$AK,34,FALSE),"")</f>
      </c>
      <c r="V121" s="57">
        <f>IFERROR(VLOOKUP($A:$A,CS!$A:$AK,35,FALSE),"")</f>
      </c>
      <c r="W121" s="57">
        <f>IFERROR(VLOOKUP($A:$A,CS!$A:$AK,36,FALSE),"")</f>
      </c>
    </row>
    <row r="122" ht="16.5" customHeight="1" spans="1:23" x14ac:dyDescent="0.25">
      <c r="A122" s="71"/>
      <c r="B122" s="57">
        <f>IFERROR(VLOOKUP($A:$A,CS!$A:$AK,3,FALSE),"")</f>
      </c>
      <c r="C122" s="57">
        <f>IFERROR(VLOOKUP($A:$A,CS!$A:$AK,4,FALSE),"")</f>
      </c>
      <c r="D122" s="57">
        <f>IFERROR(VLOOKUP($A:$A,CS!$A:$AK,5,FALSE),"")</f>
      </c>
      <c r="E122" s="57">
        <f>IFERROR(VLOOKUP($A:$A,CS!$A:$AK,7,FALSE),"")</f>
      </c>
      <c r="F122" s="57">
        <f>IFERROR(VLOOKUP($A:$A,CS!$A:$AK,8,FALSE),"")</f>
      </c>
      <c r="G122" s="57">
        <f>IFERROR(VLOOKUP($A:$A,CS!$A:$AK,10,FALSE),"")</f>
      </c>
      <c r="H122" s="57">
        <f>IFERROR(VLOOKUP($A:$A,CS!$A:$AK,14,FALSE),"")</f>
      </c>
      <c r="I122" s="57">
        <f>IFERROR(VLOOKUP($A:$A,CS!$A:$AK,15,FALSE),"")</f>
      </c>
      <c r="J122" s="57">
        <f>IFERROR(VLOOKUP($A:$A,CS!$A:$AK,18,FALSE),"")</f>
      </c>
      <c r="K122" s="57">
        <f>IFERROR(VLOOKUP($A:$A,CS!$A:$AK,19,FALSE),"")</f>
      </c>
      <c r="L122" s="57">
        <f>IFERROR(VLOOKUP($A:$A,CS!$A:$AK,20,FALSE),"")</f>
      </c>
      <c r="M122" s="57">
        <f>IFERROR(VLOOKUP($A:$A,CS!$A:$AK,22,FALSE),"")</f>
      </c>
      <c r="N122" s="57">
        <f>IFERROR(VLOOKUP($A:$A,CS!$A:$AK,19,FALSE),"")</f>
      </c>
      <c r="O122" s="57">
        <f>IFERROR(VLOOKUP($A:$A,CS!$A:$AK,23,FALSE),"")</f>
      </c>
      <c r="P122" s="57">
        <f>IFERROR(VLOOKUP($A:$A,CS!$A:$AK,24,FALSE),"")</f>
      </c>
      <c r="Q122" s="57">
        <f>IFERROR(VLOOKUP($A:$A,CS!$A:$AK,25,FALSE),"")</f>
      </c>
      <c r="R122" s="57">
        <f>IFERROR(VLOOKUP($A:$A,CS!$A:$AK,26,FALSE),"")</f>
      </c>
      <c r="S122" s="57">
        <f>IFERROR(VLOOKUP($A:$A,CS!$A:$AK,29,FALSE),"")</f>
      </c>
      <c r="T122" s="57">
        <f>IFERROR(VLOOKUP($A:$A,CS!$A:$AK,33,FALSE),"")</f>
      </c>
      <c r="U122" s="57">
        <f>IFERROR(VLOOKUP($A:$A,CS!$A:$AK,34,FALSE),"")</f>
      </c>
      <c r="V122" s="57">
        <f>IFERROR(VLOOKUP($A:$A,CS!$A:$AK,35,FALSE),"")</f>
      </c>
      <c r="W122" s="57">
        <f>IFERROR(VLOOKUP($A:$A,CS!$A:$AK,36,FALSE),"")</f>
      </c>
    </row>
    <row r="123" ht="16.5" customHeight="1" spans="1:23" x14ac:dyDescent="0.25">
      <c r="A123" s="71"/>
      <c r="B123" s="57">
        <f>IFERROR(VLOOKUP($A:$A,CS!$A:$AK,3,FALSE),"")</f>
      </c>
      <c r="C123" s="57">
        <f>IFERROR(VLOOKUP($A:$A,CS!$A:$AK,4,FALSE),"")</f>
      </c>
      <c r="D123" s="57">
        <f>IFERROR(VLOOKUP($A:$A,CS!$A:$AK,5,FALSE),"")</f>
      </c>
      <c r="E123" s="57">
        <f>IFERROR(VLOOKUP($A:$A,CS!$A:$AK,7,FALSE),"")</f>
      </c>
      <c r="F123" s="57">
        <f>IFERROR(VLOOKUP($A:$A,CS!$A:$AK,8,FALSE),"")</f>
      </c>
      <c r="G123" s="57">
        <f>IFERROR(VLOOKUP($A:$A,CS!$A:$AK,10,FALSE),"")</f>
      </c>
      <c r="H123" s="57">
        <f>IFERROR(VLOOKUP($A:$A,CS!$A:$AK,14,FALSE),"")</f>
      </c>
      <c r="I123" s="57">
        <f>IFERROR(VLOOKUP($A:$A,CS!$A:$AK,15,FALSE),"")</f>
      </c>
      <c r="J123" s="57">
        <f>IFERROR(VLOOKUP($A:$A,CS!$A:$AK,18,FALSE),"")</f>
      </c>
      <c r="K123" s="57">
        <f>IFERROR(VLOOKUP($A:$A,CS!$A:$AK,19,FALSE),"")</f>
      </c>
      <c r="L123" s="57">
        <f>IFERROR(VLOOKUP($A:$A,CS!$A:$AK,20,FALSE),"")</f>
      </c>
      <c r="M123" s="57">
        <f>IFERROR(VLOOKUP($A:$A,CS!$A:$AK,22,FALSE),"")</f>
      </c>
      <c r="N123" s="57">
        <f>IFERROR(VLOOKUP($A:$A,CS!$A:$AK,19,FALSE),"")</f>
      </c>
      <c r="O123" s="57">
        <f>IFERROR(VLOOKUP($A:$A,CS!$A:$AK,23,FALSE),"")</f>
      </c>
      <c r="P123" s="57">
        <f>IFERROR(VLOOKUP($A:$A,CS!$A:$AK,24,FALSE),"")</f>
      </c>
      <c r="Q123" s="57">
        <f>IFERROR(VLOOKUP($A:$A,CS!$A:$AK,25,FALSE),"")</f>
      </c>
      <c r="R123" s="57">
        <f>IFERROR(VLOOKUP($A:$A,CS!$A:$AK,26,FALSE),"")</f>
      </c>
      <c r="S123" s="57">
        <f>IFERROR(VLOOKUP($A:$A,CS!$A:$AK,29,FALSE),"")</f>
      </c>
      <c r="T123" s="57">
        <f>IFERROR(VLOOKUP($A:$A,CS!$A:$AK,33,FALSE),"")</f>
      </c>
      <c r="U123" s="57">
        <f>IFERROR(VLOOKUP($A:$A,CS!$A:$AK,34,FALSE),"")</f>
      </c>
      <c r="V123" s="57">
        <f>IFERROR(VLOOKUP($A:$A,CS!$A:$AK,35,FALSE),"")</f>
      </c>
      <c r="W123" s="57">
        <f>IFERROR(VLOOKUP($A:$A,CS!$A:$AK,36,FALSE),"")</f>
      </c>
    </row>
    <row r="124" ht="16.5" customHeight="1" spans="1:23" x14ac:dyDescent="0.25">
      <c r="A124" s="71"/>
      <c r="B124" s="57">
        <f>IFERROR(VLOOKUP($A:$A,CS!$A:$AK,3,FALSE),"")</f>
      </c>
      <c r="C124" s="57">
        <f>IFERROR(VLOOKUP($A:$A,CS!$A:$AK,4,FALSE),"")</f>
      </c>
      <c r="D124" s="57">
        <f>IFERROR(VLOOKUP($A:$A,CS!$A:$AK,5,FALSE),"")</f>
      </c>
      <c r="E124" s="57">
        <f>IFERROR(VLOOKUP($A:$A,CS!$A:$AK,7,FALSE),"")</f>
      </c>
      <c r="F124" s="57">
        <f>IFERROR(VLOOKUP($A:$A,CS!$A:$AK,8,FALSE),"")</f>
      </c>
      <c r="G124" s="57">
        <f>IFERROR(VLOOKUP($A:$A,CS!$A:$AK,10,FALSE),"")</f>
      </c>
      <c r="H124" s="57">
        <f>IFERROR(VLOOKUP($A:$A,CS!$A:$AK,14,FALSE),"")</f>
      </c>
      <c r="I124" s="57">
        <f>IFERROR(VLOOKUP($A:$A,CS!$A:$AK,15,FALSE),"")</f>
      </c>
      <c r="J124" s="57">
        <f>IFERROR(VLOOKUP($A:$A,CS!$A:$AK,18,FALSE),"")</f>
      </c>
      <c r="K124" s="57">
        <f>IFERROR(VLOOKUP($A:$A,CS!$A:$AK,19,FALSE),"")</f>
      </c>
      <c r="L124" s="57">
        <f>IFERROR(VLOOKUP($A:$A,CS!$A:$AK,20,FALSE),"")</f>
      </c>
      <c r="M124" s="57">
        <f>IFERROR(VLOOKUP($A:$A,CS!$A:$AK,22,FALSE),"")</f>
      </c>
      <c r="N124" s="57">
        <f>IFERROR(VLOOKUP($A:$A,CS!$A:$AK,19,FALSE),"")</f>
      </c>
      <c r="O124" s="57">
        <f>IFERROR(VLOOKUP($A:$A,CS!$A:$AK,23,FALSE),"")</f>
      </c>
      <c r="P124" s="57">
        <f>IFERROR(VLOOKUP($A:$A,CS!$A:$AK,24,FALSE),"")</f>
      </c>
      <c r="Q124" s="57">
        <f>IFERROR(VLOOKUP($A:$A,CS!$A:$AK,25,FALSE),"")</f>
      </c>
      <c r="R124" s="57">
        <f>IFERROR(VLOOKUP($A:$A,CS!$A:$AK,26,FALSE),"")</f>
      </c>
      <c r="S124" s="57">
        <f>IFERROR(VLOOKUP($A:$A,CS!$A:$AK,29,FALSE),"")</f>
      </c>
      <c r="T124" s="57">
        <f>IFERROR(VLOOKUP($A:$A,CS!$A:$AK,33,FALSE),"")</f>
      </c>
      <c r="U124" s="57">
        <f>IFERROR(VLOOKUP($A:$A,CS!$A:$AK,34,FALSE),"")</f>
      </c>
      <c r="V124" s="57">
        <f>IFERROR(VLOOKUP($A:$A,CS!$A:$AK,35,FALSE),"")</f>
      </c>
      <c r="W124" s="57">
        <f>IFERROR(VLOOKUP($A:$A,CS!$A:$AK,36,FALSE),"")</f>
      </c>
    </row>
    <row r="125" ht="16.5" customHeight="1" spans="1:23" x14ac:dyDescent="0.25">
      <c r="A125" s="71"/>
      <c r="B125" s="57">
        <f>IFERROR(VLOOKUP($A:$A,CS!$A:$AK,3,FALSE),"")</f>
      </c>
      <c r="C125" s="57">
        <f>IFERROR(VLOOKUP($A:$A,CS!$A:$AK,4,FALSE),"")</f>
      </c>
      <c r="D125" s="57">
        <f>IFERROR(VLOOKUP($A:$A,CS!$A:$AK,5,FALSE),"")</f>
      </c>
      <c r="E125" s="57">
        <f>IFERROR(VLOOKUP($A:$A,CS!$A:$AK,7,FALSE),"")</f>
      </c>
      <c r="F125" s="57">
        <f>IFERROR(VLOOKUP($A:$A,CS!$A:$AK,8,FALSE),"")</f>
      </c>
      <c r="G125" s="57">
        <f>IFERROR(VLOOKUP($A:$A,CS!$A:$AK,10,FALSE),"")</f>
      </c>
      <c r="H125" s="57">
        <f>IFERROR(VLOOKUP($A:$A,CS!$A:$AK,14,FALSE),"")</f>
      </c>
      <c r="I125" s="57">
        <f>IFERROR(VLOOKUP($A:$A,CS!$A:$AK,15,FALSE),"")</f>
      </c>
      <c r="J125" s="57">
        <f>IFERROR(VLOOKUP($A:$A,CS!$A:$AK,18,FALSE),"")</f>
      </c>
      <c r="K125" s="57">
        <f>IFERROR(VLOOKUP($A:$A,CS!$A:$AK,19,FALSE),"")</f>
      </c>
      <c r="L125" s="57">
        <f>IFERROR(VLOOKUP($A:$A,CS!$A:$AK,20,FALSE),"")</f>
      </c>
      <c r="M125" s="57">
        <f>IFERROR(VLOOKUP($A:$A,CS!$A:$AK,22,FALSE),"")</f>
      </c>
      <c r="N125" s="57">
        <f>IFERROR(VLOOKUP($A:$A,CS!$A:$AK,19,FALSE),"")</f>
      </c>
      <c r="O125" s="57">
        <f>IFERROR(VLOOKUP($A:$A,CS!$A:$AK,23,FALSE),"")</f>
      </c>
      <c r="P125" s="57">
        <f>IFERROR(VLOOKUP($A:$A,CS!$A:$AK,24,FALSE),"")</f>
      </c>
      <c r="Q125" s="57">
        <f>IFERROR(VLOOKUP($A:$A,CS!$A:$AK,25,FALSE),"")</f>
      </c>
      <c r="R125" s="57">
        <f>IFERROR(VLOOKUP($A:$A,CS!$A:$AK,26,FALSE),"")</f>
      </c>
      <c r="S125" s="57">
        <f>IFERROR(VLOOKUP($A:$A,CS!$A:$AK,29,FALSE),"")</f>
      </c>
      <c r="T125" s="57">
        <f>IFERROR(VLOOKUP($A:$A,CS!$A:$AK,33,FALSE),"")</f>
      </c>
      <c r="U125" s="57">
        <f>IFERROR(VLOOKUP($A:$A,CS!$A:$AK,34,FALSE),"")</f>
      </c>
      <c r="V125" s="57">
        <f>IFERROR(VLOOKUP($A:$A,CS!$A:$AK,35,FALSE),"")</f>
      </c>
      <c r="W125" s="57">
        <f>IFERROR(VLOOKUP($A:$A,CS!$A:$AK,36,FALSE),"")</f>
      </c>
    </row>
    <row r="126" ht="16.5" customHeight="1" spans="1:23" x14ac:dyDescent="0.25">
      <c r="A126" s="71"/>
      <c r="B126" s="57">
        <f>IFERROR(VLOOKUP($A:$A,CS!$A:$AK,3,FALSE),"")</f>
      </c>
      <c r="C126" s="57">
        <f>IFERROR(VLOOKUP($A:$A,CS!$A:$AK,4,FALSE),"")</f>
      </c>
      <c r="D126" s="57">
        <f>IFERROR(VLOOKUP($A:$A,CS!$A:$AK,5,FALSE),"")</f>
      </c>
      <c r="E126" s="57">
        <f>IFERROR(VLOOKUP($A:$A,CS!$A:$AK,7,FALSE),"")</f>
      </c>
      <c r="F126" s="57">
        <f>IFERROR(VLOOKUP($A:$A,CS!$A:$AK,8,FALSE),"")</f>
      </c>
      <c r="G126" s="57">
        <f>IFERROR(VLOOKUP($A:$A,CS!$A:$AK,10,FALSE),"")</f>
      </c>
      <c r="H126" s="57">
        <f>IFERROR(VLOOKUP($A:$A,CS!$A:$AK,14,FALSE),"")</f>
      </c>
      <c r="I126" s="57">
        <f>IFERROR(VLOOKUP($A:$A,CS!$A:$AK,15,FALSE),"")</f>
      </c>
      <c r="J126" s="57">
        <f>IFERROR(VLOOKUP($A:$A,CS!$A:$AK,18,FALSE),"")</f>
      </c>
      <c r="K126" s="57">
        <f>IFERROR(VLOOKUP($A:$A,CS!$A:$AK,19,FALSE),"")</f>
      </c>
      <c r="L126" s="57">
        <f>IFERROR(VLOOKUP($A:$A,CS!$A:$AK,20,FALSE),"")</f>
      </c>
      <c r="M126" s="57">
        <f>IFERROR(VLOOKUP($A:$A,CS!$A:$AK,22,FALSE),"")</f>
      </c>
      <c r="N126" s="57">
        <f>IFERROR(VLOOKUP($A:$A,CS!$A:$AK,19,FALSE),"")</f>
      </c>
      <c r="O126" s="57">
        <f>IFERROR(VLOOKUP($A:$A,CS!$A:$AK,23,FALSE),"")</f>
      </c>
      <c r="P126" s="57">
        <f>IFERROR(VLOOKUP($A:$A,CS!$A:$AK,24,FALSE),"")</f>
      </c>
      <c r="Q126" s="57">
        <f>IFERROR(VLOOKUP($A:$A,CS!$A:$AK,25,FALSE),"")</f>
      </c>
      <c r="R126" s="57">
        <f>IFERROR(VLOOKUP($A:$A,CS!$A:$AK,26,FALSE),"")</f>
      </c>
      <c r="S126" s="57">
        <f>IFERROR(VLOOKUP($A:$A,CS!$A:$AK,29,FALSE),"")</f>
      </c>
      <c r="T126" s="57">
        <f>IFERROR(VLOOKUP($A:$A,CS!$A:$AK,33,FALSE),"")</f>
      </c>
      <c r="U126" s="57">
        <f>IFERROR(VLOOKUP($A:$A,CS!$A:$AK,34,FALSE),"")</f>
      </c>
      <c r="V126" s="57">
        <f>IFERROR(VLOOKUP($A:$A,CS!$A:$AK,35,FALSE),"")</f>
      </c>
      <c r="W126" s="57">
        <f>IFERROR(VLOOKUP($A:$A,CS!$A:$AK,36,FALSE),"")</f>
      </c>
    </row>
    <row r="127" ht="16.5" customHeight="1" spans="1:23" x14ac:dyDescent="0.25">
      <c r="A127" s="71"/>
      <c r="B127" s="57">
        <f>IFERROR(VLOOKUP($A:$A,CS!$A:$AK,3,FALSE),"")</f>
      </c>
      <c r="C127" s="57">
        <f>IFERROR(VLOOKUP($A:$A,CS!$A:$AK,4,FALSE),"")</f>
      </c>
      <c r="D127" s="57">
        <f>IFERROR(VLOOKUP($A:$A,CS!$A:$AK,5,FALSE),"")</f>
      </c>
      <c r="E127" s="57">
        <f>IFERROR(VLOOKUP($A:$A,CS!$A:$AK,7,FALSE),"")</f>
      </c>
      <c r="F127" s="57">
        <f>IFERROR(VLOOKUP($A:$A,CS!$A:$AK,8,FALSE),"")</f>
      </c>
      <c r="G127" s="57">
        <f>IFERROR(VLOOKUP($A:$A,CS!$A:$AK,10,FALSE),"")</f>
      </c>
      <c r="H127" s="57">
        <f>IFERROR(VLOOKUP($A:$A,CS!$A:$AK,14,FALSE),"")</f>
      </c>
      <c r="I127" s="57">
        <f>IFERROR(VLOOKUP($A:$A,CS!$A:$AK,15,FALSE),"")</f>
      </c>
      <c r="J127" s="57">
        <f>IFERROR(VLOOKUP($A:$A,CS!$A:$AK,18,FALSE),"")</f>
      </c>
      <c r="K127" s="57">
        <f>IFERROR(VLOOKUP($A:$A,CS!$A:$AK,19,FALSE),"")</f>
      </c>
      <c r="L127" s="57">
        <f>IFERROR(VLOOKUP($A:$A,CS!$A:$AK,20,FALSE),"")</f>
      </c>
      <c r="M127" s="57">
        <f>IFERROR(VLOOKUP($A:$A,CS!$A:$AK,22,FALSE),"")</f>
      </c>
      <c r="N127" s="57">
        <f>IFERROR(VLOOKUP($A:$A,CS!$A:$AK,19,FALSE),"")</f>
      </c>
      <c r="O127" s="57">
        <f>IFERROR(VLOOKUP($A:$A,CS!$A:$AK,23,FALSE),"")</f>
      </c>
      <c r="P127" s="57">
        <f>IFERROR(VLOOKUP($A:$A,CS!$A:$AK,24,FALSE),"")</f>
      </c>
      <c r="Q127" s="57">
        <f>IFERROR(VLOOKUP($A:$A,CS!$A:$AK,25,FALSE),"")</f>
      </c>
      <c r="R127" s="57">
        <f>IFERROR(VLOOKUP($A:$A,CS!$A:$AK,26,FALSE),"")</f>
      </c>
      <c r="S127" s="57">
        <f>IFERROR(VLOOKUP($A:$A,CS!$A:$AK,29,FALSE),"")</f>
      </c>
      <c r="T127" s="57">
        <f>IFERROR(VLOOKUP($A:$A,CS!$A:$AK,33,FALSE),"")</f>
      </c>
      <c r="U127" s="57">
        <f>IFERROR(VLOOKUP($A:$A,CS!$A:$AK,34,FALSE),"")</f>
      </c>
      <c r="V127" s="57">
        <f>IFERROR(VLOOKUP($A:$A,CS!$A:$AK,35,FALSE),"")</f>
      </c>
      <c r="W127" s="57">
        <f>IFERROR(VLOOKUP($A:$A,CS!$A:$AK,36,FALSE),"")</f>
      </c>
    </row>
    <row r="128" ht="16.5" customHeight="1" spans="1:23" x14ac:dyDescent="0.25">
      <c r="A128" s="71"/>
      <c r="B128" s="57">
        <f>IFERROR(VLOOKUP($A:$A,CS!$A:$AK,3,FALSE),"")</f>
      </c>
      <c r="C128" s="57">
        <f>IFERROR(VLOOKUP($A:$A,CS!$A:$AK,4,FALSE),"")</f>
      </c>
      <c r="D128" s="57">
        <f>IFERROR(VLOOKUP($A:$A,CS!$A:$AK,5,FALSE),"")</f>
      </c>
      <c r="E128" s="57">
        <f>IFERROR(VLOOKUP($A:$A,CS!$A:$AK,7,FALSE),"")</f>
      </c>
      <c r="F128" s="57">
        <f>IFERROR(VLOOKUP($A:$A,CS!$A:$AK,8,FALSE),"")</f>
      </c>
      <c r="G128" s="57">
        <f>IFERROR(VLOOKUP($A:$A,CS!$A:$AK,10,FALSE),"")</f>
      </c>
      <c r="H128" s="57">
        <f>IFERROR(VLOOKUP($A:$A,CS!$A:$AK,14,FALSE),"")</f>
      </c>
      <c r="I128" s="57">
        <f>IFERROR(VLOOKUP($A:$A,CS!$A:$AK,15,FALSE),"")</f>
      </c>
      <c r="J128" s="57">
        <f>IFERROR(VLOOKUP($A:$A,CS!$A:$AK,18,FALSE),"")</f>
      </c>
      <c r="K128" s="57">
        <f>IFERROR(VLOOKUP($A:$A,CS!$A:$AK,19,FALSE),"")</f>
      </c>
      <c r="L128" s="57">
        <f>IFERROR(VLOOKUP($A:$A,CS!$A:$AK,20,FALSE),"")</f>
      </c>
      <c r="M128" s="57">
        <f>IFERROR(VLOOKUP($A:$A,CS!$A:$AK,22,FALSE),"")</f>
      </c>
      <c r="N128" s="57">
        <f>IFERROR(VLOOKUP($A:$A,CS!$A:$AK,19,FALSE),"")</f>
      </c>
      <c r="O128" s="57">
        <f>IFERROR(VLOOKUP($A:$A,CS!$A:$AK,23,FALSE),"")</f>
      </c>
      <c r="P128" s="57">
        <f>IFERROR(VLOOKUP($A:$A,CS!$A:$AK,24,FALSE),"")</f>
      </c>
      <c r="Q128" s="57">
        <f>IFERROR(VLOOKUP($A:$A,CS!$A:$AK,25,FALSE),"")</f>
      </c>
      <c r="R128" s="57">
        <f>IFERROR(VLOOKUP($A:$A,CS!$A:$AK,26,FALSE),"")</f>
      </c>
      <c r="S128" s="57">
        <f>IFERROR(VLOOKUP($A:$A,CS!$A:$AK,29,FALSE),"")</f>
      </c>
      <c r="T128" s="57">
        <f>IFERROR(VLOOKUP($A:$A,CS!$A:$AK,33,FALSE),"")</f>
      </c>
      <c r="U128" s="57">
        <f>IFERROR(VLOOKUP($A:$A,CS!$A:$AK,34,FALSE),"")</f>
      </c>
      <c r="V128" s="57">
        <f>IFERROR(VLOOKUP($A:$A,CS!$A:$AK,35,FALSE),"")</f>
      </c>
      <c r="W128" s="57">
        <f>IFERROR(VLOOKUP($A:$A,CS!$A:$AK,36,FALSE),"")</f>
      </c>
    </row>
    <row r="129" ht="16.5" customHeight="1" spans="1:23" x14ac:dyDescent="0.25">
      <c r="A129" s="71"/>
      <c r="B129" s="57">
        <f>IFERROR(VLOOKUP($A:$A,CS!$A:$AK,3,FALSE),"")</f>
      </c>
      <c r="C129" s="57">
        <f>IFERROR(VLOOKUP($A:$A,CS!$A:$AK,4,FALSE),"")</f>
      </c>
      <c r="D129" s="57">
        <f>IFERROR(VLOOKUP($A:$A,CS!$A:$AK,5,FALSE),"")</f>
      </c>
      <c r="E129" s="57">
        <f>IFERROR(VLOOKUP($A:$A,CS!$A:$AK,7,FALSE),"")</f>
      </c>
      <c r="F129" s="57">
        <f>IFERROR(VLOOKUP($A:$A,CS!$A:$AK,8,FALSE),"")</f>
      </c>
      <c r="G129" s="57">
        <f>IFERROR(VLOOKUP($A:$A,CS!$A:$AK,10,FALSE),"")</f>
      </c>
      <c r="H129" s="57">
        <f>IFERROR(VLOOKUP($A:$A,CS!$A:$AK,14,FALSE),"")</f>
      </c>
      <c r="I129" s="57">
        <f>IFERROR(VLOOKUP($A:$A,CS!$A:$AK,15,FALSE),"")</f>
      </c>
      <c r="J129" s="57">
        <f>IFERROR(VLOOKUP($A:$A,CS!$A:$AK,18,FALSE),"")</f>
      </c>
      <c r="K129" s="57">
        <f>IFERROR(VLOOKUP($A:$A,CS!$A:$AK,19,FALSE),"")</f>
      </c>
      <c r="L129" s="57">
        <f>IFERROR(VLOOKUP($A:$A,CS!$A:$AK,20,FALSE),"")</f>
      </c>
      <c r="M129" s="57">
        <f>IFERROR(VLOOKUP($A:$A,CS!$A:$AK,22,FALSE),"")</f>
      </c>
      <c r="N129" s="57">
        <f>IFERROR(VLOOKUP($A:$A,CS!$A:$AK,19,FALSE),"")</f>
      </c>
      <c r="O129" s="57">
        <f>IFERROR(VLOOKUP($A:$A,CS!$A:$AK,23,FALSE),"")</f>
      </c>
      <c r="P129" s="57">
        <f>IFERROR(VLOOKUP($A:$A,CS!$A:$AK,24,FALSE),"")</f>
      </c>
      <c r="Q129" s="57">
        <f>IFERROR(VLOOKUP($A:$A,CS!$A:$AK,25,FALSE),"")</f>
      </c>
      <c r="R129" s="57">
        <f>IFERROR(VLOOKUP($A:$A,CS!$A:$AK,26,FALSE),"")</f>
      </c>
      <c r="S129" s="57">
        <f>IFERROR(VLOOKUP($A:$A,CS!$A:$AK,29,FALSE),"")</f>
      </c>
      <c r="T129" s="57">
        <f>IFERROR(VLOOKUP($A:$A,CS!$A:$AK,33,FALSE),"")</f>
      </c>
      <c r="U129" s="57">
        <f>IFERROR(VLOOKUP($A:$A,CS!$A:$AK,34,FALSE),"")</f>
      </c>
      <c r="V129" s="57">
        <f>IFERROR(VLOOKUP($A:$A,CS!$A:$AK,35,FALSE),"")</f>
      </c>
      <c r="W129" s="57">
        <f>IFERROR(VLOOKUP($A:$A,CS!$A:$AK,36,FALSE),"")</f>
      </c>
    </row>
    <row r="130" ht="16.5" customHeight="1" spans="1:23" x14ac:dyDescent="0.25">
      <c r="A130" s="71"/>
      <c r="B130" s="57">
        <f>IFERROR(VLOOKUP($A:$A,CS!$A:$AK,3,FALSE),"")</f>
      </c>
      <c r="C130" s="57">
        <f>IFERROR(VLOOKUP($A:$A,CS!$A:$AK,4,FALSE),"")</f>
      </c>
      <c r="D130" s="57">
        <f>IFERROR(VLOOKUP($A:$A,CS!$A:$AK,5,FALSE),"")</f>
      </c>
      <c r="E130" s="57">
        <f>IFERROR(VLOOKUP($A:$A,CS!$A:$AK,7,FALSE),"")</f>
      </c>
      <c r="F130" s="57">
        <f>IFERROR(VLOOKUP($A:$A,CS!$A:$AK,8,FALSE),"")</f>
      </c>
      <c r="G130" s="57">
        <f>IFERROR(VLOOKUP($A:$A,CS!$A:$AK,10,FALSE),"")</f>
      </c>
      <c r="H130" s="57">
        <f>IFERROR(VLOOKUP($A:$A,CS!$A:$AK,14,FALSE),"")</f>
      </c>
      <c r="I130" s="57">
        <f>IFERROR(VLOOKUP($A:$A,CS!$A:$AK,15,FALSE),"")</f>
      </c>
      <c r="J130" s="57">
        <f>IFERROR(VLOOKUP($A:$A,CS!$A:$AK,18,FALSE),"")</f>
      </c>
      <c r="K130" s="57">
        <f>IFERROR(VLOOKUP($A:$A,CS!$A:$AK,19,FALSE),"")</f>
      </c>
      <c r="L130" s="57">
        <f>IFERROR(VLOOKUP($A:$A,CS!$A:$AK,20,FALSE),"")</f>
      </c>
      <c r="M130" s="57">
        <f>IFERROR(VLOOKUP($A:$A,CS!$A:$AK,22,FALSE),"")</f>
      </c>
      <c r="N130" s="57">
        <f>IFERROR(VLOOKUP($A:$A,CS!$A:$AK,19,FALSE),"")</f>
      </c>
      <c r="O130" s="57">
        <f>IFERROR(VLOOKUP($A:$A,CS!$A:$AK,23,FALSE),"")</f>
      </c>
      <c r="P130" s="57">
        <f>IFERROR(VLOOKUP($A:$A,CS!$A:$AK,24,FALSE),"")</f>
      </c>
      <c r="Q130" s="57">
        <f>IFERROR(VLOOKUP($A:$A,CS!$A:$AK,25,FALSE),"")</f>
      </c>
      <c r="R130" s="57">
        <f>IFERROR(VLOOKUP($A:$A,CS!$A:$AK,26,FALSE),"")</f>
      </c>
      <c r="S130" s="57">
        <f>IFERROR(VLOOKUP($A:$A,CS!$A:$AK,29,FALSE),"")</f>
      </c>
      <c r="T130" s="57">
        <f>IFERROR(VLOOKUP($A:$A,CS!$A:$AK,33,FALSE),"")</f>
      </c>
      <c r="U130" s="57">
        <f>IFERROR(VLOOKUP($A:$A,CS!$A:$AK,34,FALSE),"")</f>
      </c>
      <c r="V130" s="57">
        <f>IFERROR(VLOOKUP($A:$A,CS!$A:$AK,35,FALSE),"")</f>
      </c>
      <c r="W130" s="57">
        <f>IFERROR(VLOOKUP($A:$A,CS!$A:$AK,36,FALSE),"")</f>
      </c>
    </row>
    <row r="131" ht="16.5" customHeight="1" spans="1:23" x14ac:dyDescent="0.25">
      <c r="A131" s="71"/>
      <c r="B131" s="57">
        <f>IFERROR(VLOOKUP($A:$A,CS!$A:$AK,3,FALSE),"")</f>
      </c>
      <c r="C131" s="57">
        <f>IFERROR(VLOOKUP($A:$A,CS!$A:$AK,4,FALSE),"")</f>
      </c>
      <c r="D131" s="57">
        <f>IFERROR(VLOOKUP($A:$A,CS!$A:$AK,5,FALSE),"")</f>
      </c>
      <c r="E131" s="57">
        <f>IFERROR(VLOOKUP($A:$A,CS!$A:$AK,7,FALSE),"")</f>
      </c>
      <c r="F131" s="57">
        <f>IFERROR(VLOOKUP($A:$A,CS!$A:$AK,8,FALSE),"")</f>
      </c>
      <c r="G131" s="57">
        <f>IFERROR(VLOOKUP($A:$A,CS!$A:$AK,10,FALSE),"")</f>
      </c>
      <c r="H131" s="57">
        <f>IFERROR(VLOOKUP($A:$A,CS!$A:$AK,14,FALSE),"")</f>
      </c>
      <c r="I131" s="57">
        <f>IFERROR(VLOOKUP($A:$A,CS!$A:$AK,15,FALSE),"")</f>
      </c>
      <c r="J131" s="57">
        <f>IFERROR(VLOOKUP($A:$A,CS!$A:$AK,18,FALSE),"")</f>
      </c>
      <c r="K131" s="57">
        <f>IFERROR(VLOOKUP($A:$A,CS!$A:$AK,19,FALSE),"")</f>
      </c>
      <c r="L131" s="57">
        <f>IFERROR(VLOOKUP($A:$A,CS!$A:$AK,20,FALSE),"")</f>
      </c>
      <c r="M131" s="57">
        <f>IFERROR(VLOOKUP($A:$A,CS!$A:$AK,22,FALSE),"")</f>
      </c>
      <c r="N131" s="57">
        <f>IFERROR(VLOOKUP($A:$A,CS!$A:$AK,19,FALSE),"")</f>
      </c>
      <c r="O131" s="57">
        <f>IFERROR(VLOOKUP($A:$A,CS!$A:$AK,23,FALSE),"")</f>
      </c>
      <c r="P131" s="57">
        <f>IFERROR(VLOOKUP($A:$A,CS!$A:$AK,24,FALSE),"")</f>
      </c>
      <c r="Q131" s="57">
        <f>IFERROR(VLOOKUP($A:$A,CS!$A:$AK,25,FALSE),"")</f>
      </c>
      <c r="R131" s="57">
        <f>IFERROR(VLOOKUP($A:$A,CS!$A:$AK,26,FALSE),"")</f>
      </c>
      <c r="S131" s="57">
        <f>IFERROR(VLOOKUP($A:$A,CS!$A:$AK,29,FALSE),"")</f>
      </c>
      <c r="T131" s="57">
        <f>IFERROR(VLOOKUP($A:$A,CS!$A:$AK,33,FALSE),"")</f>
      </c>
      <c r="U131" s="57">
        <f>IFERROR(VLOOKUP($A:$A,CS!$A:$AK,34,FALSE),"")</f>
      </c>
      <c r="V131" s="57">
        <f>IFERROR(VLOOKUP($A:$A,CS!$A:$AK,35,FALSE),"")</f>
      </c>
      <c r="W131" s="57">
        <f>IFERROR(VLOOKUP($A:$A,CS!$A:$AK,36,FALSE),"")</f>
      </c>
    </row>
    <row r="132" ht="16.5" customHeight="1" spans="1:23" x14ac:dyDescent="0.25">
      <c r="A132" s="71"/>
      <c r="B132" s="57">
        <f>IFERROR(VLOOKUP($A:$A,CS!$A:$AK,3,FALSE),"")</f>
      </c>
      <c r="C132" s="57">
        <f>IFERROR(VLOOKUP($A:$A,CS!$A:$AK,4,FALSE),"")</f>
      </c>
      <c r="D132" s="57">
        <f>IFERROR(VLOOKUP($A:$A,CS!$A:$AK,5,FALSE),"")</f>
      </c>
      <c r="E132" s="57">
        <f>IFERROR(VLOOKUP($A:$A,CS!$A:$AK,7,FALSE),"")</f>
      </c>
      <c r="F132" s="57">
        <f>IFERROR(VLOOKUP($A:$A,CS!$A:$AK,8,FALSE),"")</f>
      </c>
      <c r="G132" s="57">
        <f>IFERROR(VLOOKUP($A:$A,CS!$A:$AK,10,FALSE),"")</f>
      </c>
      <c r="H132" s="57">
        <f>IFERROR(VLOOKUP($A:$A,CS!$A:$AK,14,FALSE),"")</f>
      </c>
      <c r="I132" s="57">
        <f>IFERROR(VLOOKUP($A:$A,CS!$A:$AK,15,FALSE),"")</f>
      </c>
      <c r="J132" s="57">
        <f>IFERROR(VLOOKUP($A:$A,CS!$A:$AK,18,FALSE),"")</f>
      </c>
      <c r="K132" s="57">
        <f>IFERROR(VLOOKUP($A:$A,CS!$A:$AK,19,FALSE),"")</f>
      </c>
      <c r="L132" s="57">
        <f>IFERROR(VLOOKUP($A:$A,CS!$A:$AK,20,FALSE),"")</f>
      </c>
      <c r="M132" s="57">
        <f>IFERROR(VLOOKUP($A:$A,CS!$A:$AK,22,FALSE),"")</f>
      </c>
      <c r="N132" s="57">
        <f>IFERROR(VLOOKUP($A:$A,CS!$A:$AK,19,FALSE),"")</f>
      </c>
      <c r="O132" s="57">
        <f>IFERROR(VLOOKUP($A:$A,CS!$A:$AK,23,FALSE),"")</f>
      </c>
      <c r="P132" s="57">
        <f>IFERROR(VLOOKUP($A:$A,CS!$A:$AK,24,FALSE),"")</f>
      </c>
      <c r="Q132" s="57">
        <f>IFERROR(VLOOKUP($A:$A,CS!$A:$AK,25,FALSE),"")</f>
      </c>
      <c r="R132" s="57">
        <f>IFERROR(VLOOKUP($A:$A,CS!$A:$AK,26,FALSE),"")</f>
      </c>
      <c r="S132" s="57">
        <f>IFERROR(VLOOKUP($A:$A,CS!$A:$AK,29,FALSE),"")</f>
      </c>
      <c r="T132" s="57">
        <f>IFERROR(VLOOKUP($A:$A,CS!$A:$AK,33,FALSE),"")</f>
      </c>
      <c r="U132" s="57">
        <f>IFERROR(VLOOKUP($A:$A,CS!$A:$AK,34,FALSE),"")</f>
      </c>
      <c r="V132" s="57">
        <f>IFERROR(VLOOKUP($A:$A,CS!$A:$AK,35,FALSE),"")</f>
      </c>
      <c r="W132" s="57">
        <f>IFERROR(VLOOKUP($A:$A,CS!$A:$AK,36,FALSE),"")</f>
      </c>
    </row>
    <row r="133" ht="16.5" customHeight="1" spans="1:23" x14ac:dyDescent="0.25">
      <c r="A133" s="71"/>
      <c r="B133" s="57">
        <f>IFERROR(VLOOKUP($A:$A,CS!$A:$AK,3,FALSE),"")</f>
      </c>
      <c r="C133" s="57">
        <f>IFERROR(VLOOKUP($A:$A,CS!$A:$AK,4,FALSE),"")</f>
      </c>
      <c r="D133" s="57">
        <f>IFERROR(VLOOKUP($A:$A,CS!$A:$AK,5,FALSE),"")</f>
      </c>
      <c r="E133" s="57">
        <f>IFERROR(VLOOKUP($A:$A,CS!$A:$AK,7,FALSE),"")</f>
      </c>
      <c r="F133" s="57">
        <f>IFERROR(VLOOKUP($A:$A,CS!$A:$AK,8,FALSE),"")</f>
      </c>
      <c r="G133" s="57">
        <f>IFERROR(VLOOKUP($A:$A,CS!$A:$AK,10,FALSE),"")</f>
      </c>
      <c r="H133" s="57">
        <f>IFERROR(VLOOKUP($A:$A,CS!$A:$AK,14,FALSE),"")</f>
      </c>
      <c r="I133" s="57">
        <f>IFERROR(VLOOKUP($A:$A,CS!$A:$AK,15,FALSE),"")</f>
      </c>
      <c r="J133" s="57">
        <f>IFERROR(VLOOKUP($A:$A,CS!$A:$AK,18,FALSE),"")</f>
      </c>
      <c r="K133" s="57">
        <f>IFERROR(VLOOKUP($A:$A,CS!$A:$AK,19,FALSE),"")</f>
      </c>
      <c r="L133" s="57">
        <f>IFERROR(VLOOKUP($A:$A,CS!$A:$AK,20,FALSE),"")</f>
      </c>
      <c r="M133" s="57">
        <f>IFERROR(VLOOKUP($A:$A,CS!$A:$AK,22,FALSE),"")</f>
      </c>
      <c r="N133" s="57">
        <f>IFERROR(VLOOKUP($A:$A,CS!$A:$AK,19,FALSE),"")</f>
      </c>
      <c r="O133" s="57">
        <f>IFERROR(VLOOKUP($A:$A,CS!$A:$AK,23,FALSE),"")</f>
      </c>
      <c r="P133" s="57">
        <f>IFERROR(VLOOKUP($A:$A,CS!$A:$AK,24,FALSE),"")</f>
      </c>
      <c r="Q133" s="57">
        <f>IFERROR(VLOOKUP($A:$A,CS!$A:$AK,25,FALSE),"")</f>
      </c>
      <c r="R133" s="57">
        <f>IFERROR(VLOOKUP($A:$A,CS!$A:$AK,26,FALSE),"")</f>
      </c>
      <c r="S133" s="57">
        <f>IFERROR(VLOOKUP($A:$A,CS!$A:$AK,29,FALSE),"")</f>
      </c>
      <c r="T133" s="57">
        <f>IFERROR(VLOOKUP($A:$A,CS!$A:$AK,33,FALSE),"")</f>
      </c>
      <c r="U133" s="57">
        <f>IFERROR(VLOOKUP($A:$A,CS!$A:$AK,34,FALSE),"")</f>
      </c>
      <c r="V133" s="57">
        <f>IFERROR(VLOOKUP($A:$A,CS!$A:$AK,35,FALSE),"")</f>
      </c>
      <c r="W133" s="57">
        <f>IFERROR(VLOOKUP($A:$A,CS!$A:$AK,36,FALSE),"")</f>
      </c>
    </row>
    <row r="134" ht="16.5" customHeight="1" spans="1:23" x14ac:dyDescent="0.25">
      <c r="A134" s="71"/>
      <c r="B134" s="57">
        <f>IFERROR(VLOOKUP($A:$A,CS!$A:$AK,3,FALSE),"")</f>
      </c>
      <c r="C134" s="57">
        <f>IFERROR(VLOOKUP($A:$A,CS!$A:$AK,4,FALSE),"")</f>
      </c>
      <c r="D134" s="57">
        <f>IFERROR(VLOOKUP($A:$A,CS!$A:$AK,5,FALSE),"")</f>
      </c>
      <c r="E134" s="57">
        <f>IFERROR(VLOOKUP($A:$A,CS!$A:$AK,7,FALSE),"")</f>
      </c>
      <c r="F134" s="57">
        <f>IFERROR(VLOOKUP($A:$A,CS!$A:$AK,8,FALSE),"")</f>
      </c>
      <c r="G134" s="57">
        <f>IFERROR(VLOOKUP($A:$A,CS!$A:$AK,10,FALSE),"")</f>
      </c>
      <c r="H134" s="57">
        <f>IFERROR(VLOOKUP($A:$A,CS!$A:$AK,14,FALSE),"")</f>
      </c>
      <c r="I134" s="57">
        <f>IFERROR(VLOOKUP($A:$A,CS!$A:$AK,15,FALSE),"")</f>
      </c>
      <c r="J134" s="57">
        <f>IFERROR(VLOOKUP($A:$A,CS!$A:$AK,18,FALSE),"")</f>
      </c>
      <c r="K134" s="57">
        <f>IFERROR(VLOOKUP($A:$A,CS!$A:$AK,19,FALSE),"")</f>
      </c>
      <c r="L134" s="57">
        <f>IFERROR(VLOOKUP($A:$A,CS!$A:$AK,20,FALSE),"")</f>
      </c>
      <c r="M134" s="57">
        <f>IFERROR(VLOOKUP($A:$A,CS!$A:$AK,22,FALSE),"")</f>
      </c>
      <c r="N134" s="57">
        <f>IFERROR(VLOOKUP($A:$A,CS!$A:$AK,19,FALSE),"")</f>
      </c>
      <c r="O134" s="57">
        <f>IFERROR(VLOOKUP($A:$A,CS!$A:$AK,23,FALSE),"")</f>
      </c>
      <c r="P134" s="57">
        <f>IFERROR(VLOOKUP($A:$A,CS!$A:$AK,24,FALSE),"")</f>
      </c>
      <c r="Q134" s="57">
        <f>IFERROR(VLOOKUP($A:$A,CS!$A:$AK,25,FALSE),"")</f>
      </c>
      <c r="R134" s="57">
        <f>IFERROR(VLOOKUP($A:$A,CS!$A:$AK,26,FALSE),"")</f>
      </c>
      <c r="S134" s="57">
        <f>IFERROR(VLOOKUP($A:$A,CS!$A:$AK,29,FALSE),"")</f>
      </c>
      <c r="T134" s="57">
        <f>IFERROR(VLOOKUP($A:$A,CS!$A:$AK,33,FALSE),"")</f>
      </c>
      <c r="U134" s="57">
        <f>IFERROR(VLOOKUP($A:$A,CS!$A:$AK,34,FALSE),"")</f>
      </c>
      <c r="V134" s="57">
        <f>IFERROR(VLOOKUP($A:$A,CS!$A:$AK,35,FALSE),"")</f>
      </c>
      <c r="W134" s="57">
        <f>IFERROR(VLOOKUP($A:$A,CS!$A:$AK,36,FALSE),"")</f>
      </c>
    </row>
    <row r="135" ht="16.5" customHeight="1" spans="1:23" x14ac:dyDescent="0.25">
      <c r="A135" s="71"/>
      <c r="B135" s="57">
        <f>IFERROR(VLOOKUP($A:$A,CS!$A:$AK,3,FALSE),"")</f>
      </c>
      <c r="C135" s="57">
        <f>IFERROR(VLOOKUP($A:$A,CS!$A:$AK,4,FALSE),"")</f>
      </c>
      <c r="D135" s="57">
        <f>IFERROR(VLOOKUP($A:$A,CS!$A:$AK,5,FALSE),"")</f>
      </c>
      <c r="E135" s="57">
        <f>IFERROR(VLOOKUP($A:$A,CS!$A:$AK,7,FALSE),"")</f>
      </c>
      <c r="F135" s="57">
        <f>IFERROR(VLOOKUP($A:$A,CS!$A:$AK,8,FALSE),"")</f>
      </c>
      <c r="G135" s="57">
        <f>IFERROR(VLOOKUP($A:$A,CS!$A:$AK,10,FALSE),"")</f>
      </c>
      <c r="H135" s="57">
        <f>IFERROR(VLOOKUP($A:$A,CS!$A:$AK,14,FALSE),"")</f>
      </c>
      <c r="I135" s="57">
        <f>IFERROR(VLOOKUP($A:$A,CS!$A:$AK,15,FALSE),"")</f>
      </c>
      <c r="J135" s="57">
        <f>IFERROR(VLOOKUP($A:$A,CS!$A:$AK,18,FALSE),"")</f>
      </c>
      <c r="K135" s="57">
        <f>IFERROR(VLOOKUP($A:$A,CS!$A:$AK,19,FALSE),"")</f>
      </c>
      <c r="L135" s="57">
        <f>IFERROR(VLOOKUP($A:$A,CS!$A:$AK,20,FALSE),"")</f>
      </c>
      <c r="M135" s="57">
        <f>IFERROR(VLOOKUP($A:$A,CS!$A:$AK,22,FALSE),"")</f>
      </c>
      <c r="N135" s="57">
        <f>IFERROR(VLOOKUP($A:$A,CS!$A:$AK,19,FALSE),"")</f>
      </c>
      <c r="O135" s="57">
        <f>IFERROR(VLOOKUP($A:$A,CS!$A:$AK,23,FALSE),"")</f>
      </c>
      <c r="P135" s="57">
        <f>IFERROR(VLOOKUP($A:$A,CS!$A:$AK,24,FALSE),"")</f>
      </c>
      <c r="Q135" s="57">
        <f>IFERROR(VLOOKUP($A:$A,CS!$A:$AK,25,FALSE),"")</f>
      </c>
      <c r="R135" s="57">
        <f>IFERROR(VLOOKUP($A:$A,CS!$A:$AK,26,FALSE),"")</f>
      </c>
      <c r="S135" s="57">
        <f>IFERROR(VLOOKUP($A:$A,CS!$A:$AK,29,FALSE),"")</f>
      </c>
      <c r="T135" s="57">
        <f>IFERROR(VLOOKUP($A:$A,CS!$A:$AK,33,FALSE),"")</f>
      </c>
      <c r="U135" s="57">
        <f>IFERROR(VLOOKUP($A:$A,CS!$A:$AK,34,FALSE),"")</f>
      </c>
      <c r="V135" s="57">
        <f>IFERROR(VLOOKUP($A:$A,CS!$A:$AK,35,FALSE),"")</f>
      </c>
      <c r="W135" s="57">
        <f>IFERROR(VLOOKUP($A:$A,CS!$A:$AK,36,FALSE),"")</f>
      </c>
    </row>
    <row r="136" ht="16.5" customHeight="1" spans="1:23" x14ac:dyDescent="0.25">
      <c r="A136" s="71"/>
      <c r="B136" s="57">
        <f>IFERROR(VLOOKUP($A:$A,CS!$A:$AK,3,FALSE),"")</f>
      </c>
      <c r="C136" s="57">
        <f>IFERROR(VLOOKUP($A:$A,CS!$A:$AK,4,FALSE),"")</f>
      </c>
      <c r="D136" s="57">
        <f>IFERROR(VLOOKUP($A:$A,CS!$A:$AK,5,FALSE),"")</f>
      </c>
      <c r="E136" s="57">
        <f>IFERROR(VLOOKUP($A:$A,CS!$A:$AK,7,FALSE),"")</f>
      </c>
      <c r="F136" s="57">
        <f>IFERROR(VLOOKUP($A:$A,CS!$A:$AK,8,FALSE),"")</f>
      </c>
      <c r="G136" s="57">
        <f>IFERROR(VLOOKUP($A:$A,CS!$A:$AK,10,FALSE),"")</f>
      </c>
      <c r="H136" s="57">
        <f>IFERROR(VLOOKUP($A:$A,CS!$A:$AK,14,FALSE),"")</f>
      </c>
      <c r="I136" s="57">
        <f>IFERROR(VLOOKUP($A:$A,CS!$A:$AK,15,FALSE),"")</f>
      </c>
      <c r="J136" s="57">
        <f>IFERROR(VLOOKUP($A:$A,CS!$A:$AK,18,FALSE),"")</f>
      </c>
      <c r="K136" s="57">
        <f>IFERROR(VLOOKUP($A:$A,CS!$A:$AK,19,FALSE),"")</f>
      </c>
      <c r="L136" s="57">
        <f>IFERROR(VLOOKUP($A:$A,CS!$A:$AK,20,FALSE),"")</f>
      </c>
      <c r="M136" s="57">
        <f>IFERROR(VLOOKUP($A:$A,CS!$A:$AK,22,FALSE),"")</f>
      </c>
      <c r="N136" s="57">
        <f>IFERROR(VLOOKUP($A:$A,CS!$A:$AK,19,FALSE),"")</f>
      </c>
      <c r="O136" s="57">
        <f>IFERROR(VLOOKUP($A:$A,CS!$A:$AK,23,FALSE),"")</f>
      </c>
      <c r="P136" s="57">
        <f>IFERROR(VLOOKUP($A:$A,CS!$A:$AK,24,FALSE),"")</f>
      </c>
      <c r="Q136" s="57">
        <f>IFERROR(VLOOKUP($A:$A,CS!$A:$AK,25,FALSE),"")</f>
      </c>
      <c r="R136" s="57">
        <f>IFERROR(VLOOKUP($A:$A,CS!$A:$AK,26,FALSE),"")</f>
      </c>
      <c r="S136" s="57">
        <f>IFERROR(VLOOKUP($A:$A,CS!$A:$AK,29,FALSE),"")</f>
      </c>
      <c r="T136" s="57">
        <f>IFERROR(VLOOKUP($A:$A,CS!$A:$AK,33,FALSE),"")</f>
      </c>
      <c r="U136" s="57">
        <f>IFERROR(VLOOKUP($A:$A,CS!$A:$AK,34,FALSE),"")</f>
      </c>
      <c r="V136" s="57">
        <f>IFERROR(VLOOKUP($A:$A,CS!$A:$AK,35,FALSE),"")</f>
      </c>
      <c r="W136" s="57">
        <f>IFERROR(VLOOKUP($A:$A,CS!$A:$AK,36,FALSE),"")</f>
      </c>
    </row>
    <row r="137" ht="16.5" customHeight="1" spans="1:23" x14ac:dyDescent="0.25">
      <c r="A137" s="71"/>
      <c r="B137" s="57">
        <f>IFERROR(VLOOKUP($A:$A,CS!$A:$AK,3,FALSE),"")</f>
      </c>
      <c r="C137" s="57">
        <f>IFERROR(VLOOKUP($A:$A,CS!$A:$AK,4,FALSE),"")</f>
      </c>
      <c r="D137" s="57">
        <f>IFERROR(VLOOKUP($A:$A,CS!$A:$AK,5,FALSE),"")</f>
      </c>
      <c r="E137" s="57">
        <f>IFERROR(VLOOKUP($A:$A,CS!$A:$AK,7,FALSE),"")</f>
      </c>
      <c r="F137" s="57">
        <f>IFERROR(VLOOKUP($A:$A,CS!$A:$AK,8,FALSE),"")</f>
      </c>
      <c r="G137" s="57">
        <f>IFERROR(VLOOKUP($A:$A,CS!$A:$AK,10,FALSE),"")</f>
      </c>
      <c r="H137" s="57">
        <f>IFERROR(VLOOKUP($A:$A,CS!$A:$AK,14,FALSE),"")</f>
      </c>
      <c r="I137" s="57">
        <f>IFERROR(VLOOKUP($A:$A,CS!$A:$AK,15,FALSE),"")</f>
      </c>
      <c r="J137" s="57">
        <f>IFERROR(VLOOKUP($A:$A,CS!$A:$AK,18,FALSE),"")</f>
      </c>
      <c r="K137" s="57">
        <f>IFERROR(VLOOKUP($A:$A,CS!$A:$AK,19,FALSE),"")</f>
      </c>
      <c r="L137" s="57">
        <f>IFERROR(VLOOKUP($A:$A,CS!$A:$AK,20,FALSE),"")</f>
      </c>
      <c r="M137" s="57">
        <f>IFERROR(VLOOKUP($A:$A,CS!$A:$AK,22,FALSE),"")</f>
      </c>
      <c r="N137" s="57">
        <f>IFERROR(VLOOKUP($A:$A,CS!$A:$AK,19,FALSE),"")</f>
      </c>
      <c r="O137" s="57">
        <f>IFERROR(VLOOKUP($A:$A,CS!$A:$AK,23,FALSE),"")</f>
      </c>
      <c r="P137" s="57">
        <f>IFERROR(VLOOKUP($A:$A,CS!$A:$AK,24,FALSE),"")</f>
      </c>
      <c r="Q137" s="57">
        <f>IFERROR(VLOOKUP($A:$A,CS!$A:$AK,25,FALSE),"")</f>
      </c>
      <c r="R137" s="57">
        <f>IFERROR(VLOOKUP($A:$A,CS!$A:$AK,26,FALSE),"")</f>
      </c>
      <c r="S137" s="57">
        <f>IFERROR(VLOOKUP($A:$A,CS!$A:$AK,29,FALSE),"")</f>
      </c>
      <c r="T137" s="57">
        <f>IFERROR(VLOOKUP($A:$A,CS!$A:$AK,33,FALSE),"")</f>
      </c>
      <c r="U137" s="57">
        <f>IFERROR(VLOOKUP($A:$A,CS!$A:$AK,34,FALSE),"")</f>
      </c>
      <c r="V137" s="57">
        <f>IFERROR(VLOOKUP($A:$A,CS!$A:$AK,35,FALSE),"")</f>
      </c>
      <c r="W137" s="57">
        <f>IFERROR(VLOOKUP($A:$A,CS!$A:$AK,36,FALSE),"")</f>
      </c>
    </row>
    <row r="138" ht="16.5" customHeight="1" spans="1:23" x14ac:dyDescent="0.25">
      <c r="A138" s="71"/>
      <c r="B138" s="57">
        <f>IFERROR(VLOOKUP($A:$A,CS!$A:$AK,3,FALSE),"")</f>
      </c>
      <c r="C138" s="57">
        <f>IFERROR(VLOOKUP($A:$A,CS!$A:$AK,4,FALSE),"")</f>
      </c>
      <c r="D138" s="57">
        <f>IFERROR(VLOOKUP($A:$A,CS!$A:$AK,5,FALSE),"")</f>
      </c>
      <c r="E138" s="57">
        <f>IFERROR(VLOOKUP($A:$A,CS!$A:$AK,7,FALSE),"")</f>
      </c>
      <c r="F138" s="57">
        <f>IFERROR(VLOOKUP($A:$A,CS!$A:$AK,8,FALSE),"")</f>
      </c>
      <c r="G138" s="57">
        <f>IFERROR(VLOOKUP($A:$A,CS!$A:$AK,10,FALSE),"")</f>
      </c>
      <c r="H138" s="57">
        <f>IFERROR(VLOOKUP($A:$A,CS!$A:$AK,14,FALSE),"")</f>
      </c>
      <c r="I138" s="57">
        <f>IFERROR(VLOOKUP($A:$A,CS!$A:$AK,15,FALSE),"")</f>
      </c>
      <c r="J138" s="57">
        <f>IFERROR(VLOOKUP($A:$A,CS!$A:$AK,18,FALSE),"")</f>
      </c>
      <c r="K138" s="57">
        <f>IFERROR(VLOOKUP($A:$A,CS!$A:$AK,19,FALSE),"")</f>
      </c>
      <c r="L138" s="57">
        <f>IFERROR(VLOOKUP($A:$A,CS!$A:$AK,20,FALSE),"")</f>
      </c>
      <c r="M138" s="57">
        <f>IFERROR(VLOOKUP($A:$A,CS!$A:$AK,22,FALSE),"")</f>
      </c>
      <c r="N138" s="57">
        <f>IFERROR(VLOOKUP($A:$A,CS!$A:$AK,19,FALSE),"")</f>
      </c>
      <c r="O138" s="57">
        <f>IFERROR(VLOOKUP($A:$A,CS!$A:$AK,23,FALSE),"")</f>
      </c>
      <c r="P138" s="57">
        <f>IFERROR(VLOOKUP($A:$A,CS!$A:$AK,24,FALSE),"")</f>
      </c>
      <c r="Q138" s="57">
        <f>IFERROR(VLOOKUP($A:$A,CS!$A:$AK,25,FALSE),"")</f>
      </c>
      <c r="R138" s="57">
        <f>IFERROR(VLOOKUP($A:$A,CS!$A:$AK,26,FALSE),"")</f>
      </c>
      <c r="S138" s="57">
        <f>IFERROR(VLOOKUP($A:$A,CS!$A:$AK,29,FALSE),"")</f>
      </c>
      <c r="T138" s="57">
        <f>IFERROR(VLOOKUP($A:$A,CS!$A:$AK,33,FALSE),"")</f>
      </c>
      <c r="U138" s="57">
        <f>IFERROR(VLOOKUP($A:$A,CS!$A:$AK,34,FALSE),"")</f>
      </c>
      <c r="V138" s="57">
        <f>IFERROR(VLOOKUP($A:$A,CS!$A:$AK,35,FALSE),"")</f>
      </c>
      <c r="W138" s="57">
        <f>IFERROR(VLOOKUP($A:$A,CS!$A:$AK,36,FALSE),"")</f>
      </c>
    </row>
    <row r="139" ht="16.5" customHeight="1" spans="1:23" x14ac:dyDescent="0.25">
      <c r="A139" s="71"/>
      <c r="B139" s="57">
        <f>IFERROR(VLOOKUP($A:$A,CS!$A:$AK,3,FALSE),"")</f>
      </c>
      <c r="C139" s="57">
        <f>IFERROR(VLOOKUP($A:$A,CS!$A:$AK,4,FALSE),"")</f>
      </c>
      <c r="D139" s="57">
        <f>IFERROR(VLOOKUP($A:$A,CS!$A:$AK,5,FALSE),"")</f>
      </c>
      <c r="E139" s="57">
        <f>IFERROR(VLOOKUP($A:$A,CS!$A:$AK,7,FALSE),"")</f>
      </c>
      <c r="F139" s="57">
        <f>IFERROR(VLOOKUP($A:$A,CS!$A:$AK,8,FALSE),"")</f>
      </c>
      <c r="G139" s="57">
        <f>IFERROR(VLOOKUP($A:$A,CS!$A:$AK,10,FALSE),"")</f>
      </c>
      <c r="H139" s="57">
        <f>IFERROR(VLOOKUP($A:$A,CS!$A:$AK,14,FALSE),"")</f>
      </c>
      <c r="I139" s="57">
        <f>IFERROR(VLOOKUP($A:$A,CS!$A:$AK,15,FALSE),"")</f>
      </c>
      <c r="J139" s="57">
        <f>IFERROR(VLOOKUP($A:$A,CS!$A:$AK,18,FALSE),"")</f>
      </c>
      <c r="K139" s="57">
        <f>IFERROR(VLOOKUP($A:$A,CS!$A:$AK,19,FALSE),"")</f>
      </c>
      <c r="L139" s="57">
        <f>IFERROR(VLOOKUP($A:$A,CS!$A:$AK,20,FALSE),"")</f>
      </c>
      <c r="M139" s="57">
        <f>IFERROR(VLOOKUP($A:$A,CS!$A:$AK,22,FALSE),"")</f>
      </c>
      <c r="N139" s="57">
        <f>IFERROR(VLOOKUP($A:$A,CS!$A:$AK,19,FALSE),"")</f>
      </c>
      <c r="O139" s="57">
        <f>IFERROR(VLOOKUP($A:$A,CS!$A:$AK,23,FALSE),"")</f>
      </c>
      <c r="P139" s="57">
        <f>IFERROR(VLOOKUP($A:$A,CS!$A:$AK,24,FALSE),"")</f>
      </c>
      <c r="Q139" s="57">
        <f>IFERROR(VLOOKUP($A:$A,CS!$A:$AK,25,FALSE),"")</f>
      </c>
      <c r="R139" s="57">
        <f>IFERROR(VLOOKUP($A:$A,CS!$A:$AK,26,FALSE),"")</f>
      </c>
      <c r="S139" s="57">
        <f>IFERROR(VLOOKUP($A:$A,CS!$A:$AK,29,FALSE),"")</f>
      </c>
      <c r="T139" s="57">
        <f>IFERROR(VLOOKUP($A:$A,CS!$A:$AK,33,FALSE),"")</f>
      </c>
      <c r="U139" s="57">
        <f>IFERROR(VLOOKUP($A:$A,CS!$A:$AK,34,FALSE),"")</f>
      </c>
      <c r="V139" s="57">
        <f>IFERROR(VLOOKUP($A:$A,CS!$A:$AK,35,FALSE),"")</f>
      </c>
      <c r="W139" s="57">
        <f>IFERROR(VLOOKUP($A:$A,CS!$A:$AK,36,FALSE),"")</f>
      </c>
    </row>
    <row r="140" ht="16.5" customHeight="1" spans="1:23" x14ac:dyDescent="0.25">
      <c r="A140" s="71"/>
      <c r="B140" s="57">
        <f>IFERROR(VLOOKUP($A:$A,CS!$A:$AK,3,FALSE),"")</f>
      </c>
      <c r="C140" s="57">
        <f>IFERROR(VLOOKUP($A:$A,CS!$A:$AK,4,FALSE),"")</f>
      </c>
      <c r="D140" s="57">
        <f>IFERROR(VLOOKUP($A:$A,CS!$A:$AK,5,FALSE),"")</f>
      </c>
      <c r="E140" s="57">
        <f>IFERROR(VLOOKUP($A:$A,CS!$A:$AK,7,FALSE),"")</f>
      </c>
      <c r="F140" s="57">
        <f>IFERROR(VLOOKUP($A:$A,CS!$A:$AK,8,FALSE),"")</f>
      </c>
      <c r="G140" s="57">
        <f>IFERROR(VLOOKUP($A:$A,CS!$A:$AK,10,FALSE),"")</f>
      </c>
      <c r="H140" s="57">
        <f>IFERROR(VLOOKUP($A:$A,CS!$A:$AK,14,FALSE),"")</f>
      </c>
      <c r="I140" s="57">
        <f>IFERROR(VLOOKUP($A:$A,CS!$A:$AK,15,FALSE),"")</f>
      </c>
      <c r="J140" s="57">
        <f>IFERROR(VLOOKUP($A:$A,CS!$A:$AK,18,FALSE),"")</f>
      </c>
      <c r="K140" s="57">
        <f>IFERROR(VLOOKUP($A:$A,CS!$A:$AK,19,FALSE),"")</f>
      </c>
      <c r="L140" s="57">
        <f>IFERROR(VLOOKUP($A:$A,CS!$A:$AK,20,FALSE),"")</f>
      </c>
      <c r="M140" s="57">
        <f>IFERROR(VLOOKUP($A:$A,CS!$A:$AK,22,FALSE),"")</f>
      </c>
      <c r="N140" s="57">
        <f>IFERROR(VLOOKUP($A:$A,CS!$A:$AK,19,FALSE),"")</f>
      </c>
      <c r="O140" s="57">
        <f>IFERROR(VLOOKUP($A:$A,CS!$A:$AK,23,FALSE),"")</f>
      </c>
      <c r="P140" s="57">
        <f>IFERROR(VLOOKUP($A:$A,CS!$A:$AK,24,FALSE),"")</f>
      </c>
      <c r="Q140" s="57">
        <f>IFERROR(VLOOKUP($A:$A,CS!$A:$AK,25,FALSE),"")</f>
      </c>
      <c r="R140" s="57">
        <f>IFERROR(VLOOKUP($A:$A,CS!$A:$AK,26,FALSE),"")</f>
      </c>
      <c r="S140" s="57">
        <f>IFERROR(VLOOKUP($A:$A,CS!$A:$AK,29,FALSE),"")</f>
      </c>
      <c r="T140" s="57">
        <f>IFERROR(VLOOKUP($A:$A,CS!$A:$AK,33,FALSE),"")</f>
      </c>
      <c r="U140" s="57">
        <f>IFERROR(VLOOKUP($A:$A,CS!$A:$AK,34,FALSE),"")</f>
      </c>
      <c r="V140" s="57">
        <f>IFERROR(VLOOKUP($A:$A,CS!$A:$AK,35,FALSE),"")</f>
      </c>
      <c r="W140" s="57">
        <f>IFERROR(VLOOKUP($A:$A,CS!$A:$AK,36,FALSE),"")</f>
      </c>
    </row>
    <row r="141" ht="16.5" customHeight="1" spans="1:23" x14ac:dyDescent="0.25">
      <c r="A141" s="71"/>
      <c r="B141" s="57">
        <f>IFERROR(VLOOKUP($A:$A,CS!$A:$AK,3,FALSE),"")</f>
      </c>
      <c r="C141" s="57">
        <f>IFERROR(VLOOKUP($A:$A,CS!$A:$AK,4,FALSE),"")</f>
      </c>
      <c r="D141" s="57">
        <f>IFERROR(VLOOKUP($A:$A,CS!$A:$AK,5,FALSE),"")</f>
      </c>
      <c r="E141" s="57">
        <f>IFERROR(VLOOKUP($A:$A,CS!$A:$AK,7,FALSE),"")</f>
      </c>
      <c r="F141" s="57">
        <f>IFERROR(VLOOKUP($A:$A,CS!$A:$AK,8,FALSE),"")</f>
      </c>
      <c r="G141" s="57">
        <f>IFERROR(VLOOKUP($A:$A,CS!$A:$AK,10,FALSE),"")</f>
      </c>
      <c r="H141" s="57">
        <f>IFERROR(VLOOKUP($A:$A,CS!$A:$AK,14,FALSE),"")</f>
      </c>
      <c r="I141" s="57">
        <f>IFERROR(VLOOKUP($A:$A,CS!$A:$AK,15,FALSE),"")</f>
      </c>
      <c r="J141" s="57">
        <f>IFERROR(VLOOKUP($A:$A,CS!$A:$AK,18,FALSE),"")</f>
      </c>
      <c r="K141" s="57">
        <f>IFERROR(VLOOKUP($A:$A,CS!$A:$AK,19,FALSE),"")</f>
      </c>
      <c r="L141" s="57">
        <f>IFERROR(VLOOKUP($A:$A,CS!$A:$AK,20,FALSE),"")</f>
      </c>
      <c r="M141" s="57">
        <f>IFERROR(VLOOKUP($A:$A,CS!$A:$AK,22,FALSE),"")</f>
      </c>
      <c r="N141" s="57">
        <f>IFERROR(VLOOKUP($A:$A,CS!$A:$AK,19,FALSE),"")</f>
      </c>
      <c r="O141" s="57">
        <f>IFERROR(VLOOKUP($A:$A,CS!$A:$AK,23,FALSE),"")</f>
      </c>
      <c r="P141" s="57">
        <f>IFERROR(VLOOKUP($A:$A,CS!$A:$AK,24,FALSE),"")</f>
      </c>
      <c r="Q141" s="57">
        <f>IFERROR(VLOOKUP($A:$A,CS!$A:$AK,25,FALSE),"")</f>
      </c>
      <c r="R141" s="57">
        <f>IFERROR(VLOOKUP($A:$A,CS!$A:$AK,26,FALSE),"")</f>
      </c>
      <c r="S141" s="57">
        <f>IFERROR(VLOOKUP($A:$A,CS!$A:$AK,29,FALSE),"")</f>
      </c>
      <c r="T141" s="57">
        <f>IFERROR(VLOOKUP($A:$A,CS!$A:$AK,33,FALSE),"")</f>
      </c>
      <c r="U141" s="57">
        <f>IFERROR(VLOOKUP($A:$A,CS!$A:$AK,34,FALSE),"")</f>
      </c>
      <c r="V141" s="57">
        <f>IFERROR(VLOOKUP($A:$A,CS!$A:$AK,35,FALSE),"")</f>
      </c>
      <c r="W141" s="57">
        <f>IFERROR(VLOOKUP($A:$A,CS!$A:$AK,36,FALSE),"")</f>
      </c>
    </row>
    <row r="142" ht="16.5" customHeight="1" spans="1:23" x14ac:dyDescent="0.25">
      <c r="A142" s="71"/>
      <c r="B142" s="57">
        <f>IFERROR(VLOOKUP($A:$A,CS!$A:$AK,3,FALSE),"")</f>
      </c>
      <c r="C142" s="57">
        <f>IFERROR(VLOOKUP($A:$A,CS!$A:$AK,4,FALSE),"")</f>
      </c>
      <c r="D142" s="57">
        <f>IFERROR(VLOOKUP($A:$A,CS!$A:$AK,5,FALSE),"")</f>
      </c>
      <c r="E142" s="57">
        <f>IFERROR(VLOOKUP($A:$A,CS!$A:$AK,7,FALSE),"")</f>
      </c>
      <c r="F142" s="57">
        <f>IFERROR(VLOOKUP($A:$A,CS!$A:$AK,8,FALSE),"")</f>
      </c>
      <c r="G142" s="57">
        <f>IFERROR(VLOOKUP($A:$A,CS!$A:$AK,10,FALSE),"")</f>
      </c>
      <c r="H142" s="57">
        <f>IFERROR(VLOOKUP($A:$A,CS!$A:$AK,14,FALSE),"")</f>
      </c>
      <c r="I142" s="57">
        <f>IFERROR(VLOOKUP($A:$A,CS!$A:$AK,15,FALSE),"")</f>
      </c>
      <c r="J142" s="57">
        <f>IFERROR(VLOOKUP($A:$A,CS!$A:$AK,18,FALSE),"")</f>
      </c>
      <c r="K142" s="57">
        <f>IFERROR(VLOOKUP($A:$A,CS!$A:$AK,19,FALSE),"")</f>
      </c>
      <c r="L142" s="57">
        <f>IFERROR(VLOOKUP($A:$A,CS!$A:$AK,20,FALSE),"")</f>
      </c>
      <c r="M142" s="57">
        <f>IFERROR(VLOOKUP($A:$A,CS!$A:$AK,22,FALSE),"")</f>
      </c>
      <c r="N142" s="57">
        <f>IFERROR(VLOOKUP($A:$A,CS!$A:$AK,19,FALSE),"")</f>
      </c>
      <c r="O142" s="57">
        <f>IFERROR(VLOOKUP($A:$A,CS!$A:$AK,23,FALSE),"")</f>
      </c>
      <c r="P142" s="57">
        <f>IFERROR(VLOOKUP($A:$A,CS!$A:$AK,24,FALSE),"")</f>
      </c>
      <c r="Q142" s="57">
        <f>IFERROR(VLOOKUP($A:$A,CS!$A:$AK,25,FALSE),"")</f>
      </c>
      <c r="R142" s="57">
        <f>IFERROR(VLOOKUP($A:$A,CS!$A:$AK,26,FALSE),"")</f>
      </c>
      <c r="S142" s="57">
        <f>IFERROR(VLOOKUP($A:$A,CS!$A:$AK,29,FALSE),"")</f>
      </c>
      <c r="T142" s="57">
        <f>IFERROR(VLOOKUP($A:$A,CS!$A:$AK,33,FALSE),"")</f>
      </c>
      <c r="U142" s="57">
        <f>IFERROR(VLOOKUP($A:$A,CS!$A:$AK,34,FALSE),"")</f>
      </c>
      <c r="V142" s="57">
        <f>IFERROR(VLOOKUP($A:$A,CS!$A:$AK,35,FALSE),"")</f>
      </c>
      <c r="W142" s="57">
        <f>IFERROR(VLOOKUP($A:$A,CS!$A:$AK,36,FALSE),"")</f>
      </c>
    </row>
    <row r="143" ht="16.5" customHeight="1" spans="1:23" x14ac:dyDescent="0.25">
      <c r="A143" s="71"/>
      <c r="B143" s="57">
        <f>IFERROR(VLOOKUP($A:$A,CS!$A:$AK,3,FALSE),"")</f>
      </c>
      <c r="C143" s="57">
        <f>IFERROR(VLOOKUP($A:$A,CS!$A:$AK,4,FALSE),"")</f>
      </c>
      <c r="D143" s="57">
        <f>IFERROR(VLOOKUP($A:$A,CS!$A:$AK,5,FALSE),"")</f>
      </c>
      <c r="E143" s="57">
        <f>IFERROR(VLOOKUP($A:$A,CS!$A:$AK,7,FALSE),"")</f>
      </c>
      <c r="F143" s="57">
        <f>IFERROR(VLOOKUP($A:$A,CS!$A:$AK,8,FALSE),"")</f>
      </c>
      <c r="G143" s="57">
        <f>IFERROR(VLOOKUP($A:$A,CS!$A:$AK,10,FALSE),"")</f>
      </c>
      <c r="H143" s="57">
        <f>IFERROR(VLOOKUP($A:$A,CS!$A:$AK,14,FALSE),"")</f>
      </c>
      <c r="I143" s="57">
        <f>IFERROR(VLOOKUP($A:$A,CS!$A:$AK,15,FALSE),"")</f>
      </c>
      <c r="J143" s="57">
        <f>IFERROR(VLOOKUP($A:$A,CS!$A:$AK,18,FALSE),"")</f>
      </c>
      <c r="K143" s="57">
        <f>IFERROR(VLOOKUP($A:$A,CS!$A:$AK,19,FALSE),"")</f>
      </c>
      <c r="L143" s="57">
        <f>IFERROR(VLOOKUP($A:$A,CS!$A:$AK,20,FALSE),"")</f>
      </c>
      <c r="M143" s="57">
        <f>IFERROR(VLOOKUP($A:$A,CS!$A:$AK,22,FALSE),"")</f>
      </c>
      <c r="N143" s="57">
        <f>IFERROR(VLOOKUP($A:$A,CS!$A:$AK,19,FALSE),"")</f>
      </c>
      <c r="O143" s="57">
        <f>IFERROR(VLOOKUP($A:$A,CS!$A:$AK,23,FALSE),"")</f>
      </c>
      <c r="P143" s="57">
        <f>IFERROR(VLOOKUP($A:$A,CS!$A:$AK,24,FALSE),"")</f>
      </c>
      <c r="Q143" s="57">
        <f>IFERROR(VLOOKUP($A:$A,CS!$A:$AK,25,FALSE),"")</f>
      </c>
      <c r="R143" s="57">
        <f>IFERROR(VLOOKUP($A:$A,CS!$A:$AK,26,FALSE),"")</f>
      </c>
      <c r="S143" s="57">
        <f>IFERROR(VLOOKUP($A:$A,CS!$A:$AK,29,FALSE),"")</f>
      </c>
      <c r="T143" s="57">
        <f>IFERROR(VLOOKUP($A:$A,CS!$A:$AK,33,FALSE),"")</f>
      </c>
      <c r="U143" s="57">
        <f>IFERROR(VLOOKUP($A:$A,CS!$A:$AK,34,FALSE),"")</f>
      </c>
      <c r="V143" s="57">
        <f>IFERROR(VLOOKUP($A:$A,CS!$A:$AK,35,FALSE),"")</f>
      </c>
      <c r="W143" s="57">
        <f>IFERROR(VLOOKUP($A:$A,CS!$A:$AK,36,FALSE),"")</f>
      </c>
    </row>
    <row r="144" ht="16.5" customHeight="1" spans="1:23" x14ac:dyDescent="0.25">
      <c r="A144" s="71"/>
      <c r="B144" s="57">
        <f>IFERROR(VLOOKUP($A:$A,CS!$A:$AK,3,FALSE),"")</f>
      </c>
      <c r="C144" s="57">
        <f>IFERROR(VLOOKUP($A:$A,CS!$A:$AK,4,FALSE),"")</f>
      </c>
      <c r="D144" s="57">
        <f>IFERROR(VLOOKUP($A:$A,CS!$A:$AK,5,FALSE),"")</f>
      </c>
      <c r="E144" s="57">
        <f>IFERROR(VLOOKUP($A:$A,CS!$A:$AK,7,FALSE),"")</f>
      </c>
      <c r="F144" s="57">
        <f>IFERROR(VLOOKUP($A:$A,CS!$A:$AK,8,FALSE),"")</f>
      </c>
      <c r="G144" s="57">
        <f>IFERROR(VLOOKUP($A:$A,CS!$A:$AK,10,FALSE),"")</f>
      </c>
      <c r="H144" s="57">
        <f>IFERROR(VLOOKUP($A:$A,CS!$A:$AK,14,FALSE),"")</f>
      </c>
      <c r="I144" s="57">
        <f>IFERROR(VLOOKUP($A:$A,CS!$A:$AK,15,FALSE),"")</f>
      </c>
      <c r="J144" s="57">
        <f>IFERROR(VLOOKUP($A:$A,CS!$A:$AK,18,FALSE),"")</f>
      </c>
      <c r="K144" s="57">
        <f>IFERROR(VLOOKUP($A:$A,CS!$A:$AK,19,FALSE),"")</f>
      </c>
      <c r="L144" s="57">
        <f>IFERROR(VLOOKUP($A:$A,CS!$A:$AK,20,FALSE),"")</f>
      </c>
      <c r="M144" s="57">
        <f>IFERROR(VLOOKUP($A:$A,CS!$A:$AK,22,FALSE),"")</f>
      </c>
      <c r="N144" s="57">
        <f>IFERROR(VLOOKUP($A:$A,CS!$A:$AK,19,FALSE),"")</f>
      </c>
      <c r="O144" s="57">
        <f>IFERROR(VLOOKUP($A:$A,CS!$A:$AK,23,FALSE),"")</f>
      </c>
      <c r="P144" s="57">
        <f>IFERROR(VLOOKUP($A:$A,CS!$A:$AK,24,FALSE),"")</f>
      </c>
      <c r="Q144" s="57">
        <f>IFERROR(VLOOKUP($A:$A,CS!$A:$AK,25,FALSE),"")</f>
      </c>
      <c r="R144" s="57">
        <f>IFERROR(VLOOKUP($A:$A,CS!$A:$AK,26,FALSE),"")</f>
      </c>
      <c r="S144" s="57">
        <f>IFERROR(VLOOKUP($A:$A,CS!$A:$AK,29,FALSE),"")</f>
      </c>
      <c r="T144" s="57">
        <f>IFERROR(VLOOKUP($A:$A,CS!$A:$AK,33,FALSE),"")</f>
      </c>
      <c r="U144" s="57">
        <f>IFERROR(VLOOKUP($A:$A,CS!$A:$AK,34,FALSE),"")</f>
      </c>
      <c r="V144" s="57">
        <f>IFERROR(VLOOKUP($A:$A,CS!$A:$AK,35,FALSE),"")</f>
      </c>
      <c r="W144" s="57">
        <f>IFERROR(VLOOKUP($A:$A,CS!$A:$AK,36,FALSE),"")</f>
      </c>
    </row>
    <row r="145" ht="16.5" customHeight="1" spans="1:23" x14ac:dyDescent="0.25">
      <c r="A145" s="71"/>
      <c r="B145" s="57">
        <f>IFERROR(VLOOKUP($A:$A,CS!$A:$AK,3,FALSE),"")</f>
      </c>
      <c r="C145" s="57">
        <f>IFERROR(VLOOKUP($A:$A,CS!$A:$AK,4,FALSE),"")</f>
      </c>
      <c r="D145" s="57">
        <f>IFERROR(VLOOKUP($A:$A,CS!$A:$AK,5,FALSE),"")</f>
      </c>
      <c r="E145" s="57">
        <f>IFERROR(VLOOKUP($A:$A,CS!$A:$AK,7,FALSE),"")</f>
      </c>
      <c r="F145" s="57">
        <f>IFERROR(VLOOKUP($A:$A,CS!$A:$AK,8,FALSE),"")</f>
      </c>
      <c r="G145" s="57">
        <f>IFERROR(VLOOKUP($A:$A,CS!$A:$AK,10,FALSE),"")</f>
      </c>
      <c r="H145" s="57">
        <f>IFERROR(VLOOKUP($A:$A,CS!$A:$AK,14,FALSE),"")</f>
      </c>
      <c r="I145" s="57">
        <f>IFERROR(VLOOKUP($A:$A,CS!$A:$AK,15,FALSE),"")</f>
      </c>
      <c r="J145" s="57">
        <f>IFERROR(VLOOKUP($A:$A,CS!$A:$AK,18,FALSE),"")</f>
      </c>
      <c r="K145" s="57">
        <f>IFERROR(VLOOKUP($A:$A,CS!$A:$AK,19,FALSE),"")</f>
      </c>
      <c r="L145" s="57">
        <f>IFERROR(VLOOKUP($A:$A,CS!$A:$AK,20,FALSE),"")</f>
      </c>
      <c r="M145" s="57">
        <f>IFERROR(VLOOKUP($A:$A,CS!$A:$AK,22,FALSE),"")</f>
      </c>
      <c r="N145" s="57">
        <f>IFERROR(VLOOKUP($A:$A,CS!$A:$AK,19,FALSE),"")</f>
      </c>
      <c r="O145" s="57">
        <f>IFERROR(VLOOKUP($A:$A,CS!$A:$AK,23,FALSE),"")</f>
      </c>
      <c r="P145" s="57">
        <f>IFERROR(VLOOKUP($A:$A,CS!$A:$AK,24,FALSE),"")</f>
      </c>
      <c r="Q145" s="57">
        <f>IFERROR(VLOOKUP($A:$A,CS!$A:$AK,25,FALSE),"")</f>
      </c>
      <c r="R145" s="57">
        <f>IFERROR(VLOOKUP($A:$A,CS!$A:$AK,26,FALSE),"")</f>
      </c>
      <c r="S145" s="57">
        <f>IFERROR(VLOOKUP($A:$A,CS!$A:$AK,29,FALSE),"")</f>
      </c>
      <c r="T145" s="57">
        <f>IFERROR(VLOOKUP($A:$A,CS!$A:$AK,33,FALSE),"")</f>
      </c>
      <c r="U145" s="57">
        <f>IFERROR(VLOOKUP($A:$A,CS!$A:$AK,34,FALSE),"")</f>
      </c>
      <c r="V145" s="57">
        <f>IFERROR(VLOOKUP($A:$A,CS!$A:$AK,35,FALSE),"")</f>
      </c>
      <c r="W145" s="57">
        <f>IFERROR(VLOOKUP($A:$A,CS!$A:$AK,36,FALSE),"")</f>
      </c>
    </row>
    <row r="146" ht="16.5" customHeight="1" spans="1:23" x14ac:dyDescent="0.25">
      <c r="A146" s="71"/>
      <c r="B146" s="57">
        <f>IFERROR(VLOOKUP($A:$A,CS!$A:$AK,3,FALSE),"")</f>
      </c>
      <c r="C146" s="57">
        <f>IFERROR(VLOOKUP($A:$A,CS!$A:$AK,4,FALSE),"")</f>
      </c>
      <c r="D146" s="57">
        <f>IFERROR(VLOOKUP($A:$A,CS!$A:$AK,5,FALSE),"")</f>
      </c>
      <c r="E146" s="57">
        <f>IFERROR(VLOOKUP($A:$A,CS!$A:$AK,7,FALSE),"")</f>
      </c>
      <c r="F146" s="57">
        <f>IFERROR(VLOOKUP($A:$A,CS!$A:$AK,8,FALSE),"")</f>
      </c>
      <c r="G146" s="57">
        <f>IFERROR(VLOOKUP($A:$A,CS!$A:$AK,10,FALSE),"")</f>
      </c>
      <c r="H146" s="57">
        <f>IFERROR(VLOOKUP($A:$A,CS!$A:$AK,14,FALSE),"")</f>
      </c>
      <c r="I146" s="57">
        <f>IFERROR(VLOOKUP($A:$A,CS!$A:$AK,15,FALSE),"")</f>
      </c>
      <c r="J146" s="57">
        <f>IFERROR(VLOOKUP($A:$A,CS!$A:$AK,18,FALSE),"")</f>
      </c>
      <c r="K146" s="57">
        <f>IFERROR(VLOOKUP($A:$A,CS!$A:$AK,19,FALSE),"")</f>
      </c>
      <c r="L146" s="57">
        <f>IFERROR(VLOOKUP($A:$A,CS!$A:$AK,20,FALSE),"")</f>
      </c>
      <c r="M146" s="57">
        <f>IFERROR(VLOOKUP($A:$A,CS!$A:$AK,22,FALSE),"")</f>
      </c>
      <c r="N146" s="57">
        <f>IFERROR(VLOOKUP($A:$A,CS!$A:$AK,19,FALSE),"")</f>
      </c>
      <c r="O146" s="57">
        <f>IFERROR(VLOOKUP($A:$A,CS!$A:$AK,23,FALSE),"")</f>
      </c>
      <c r="P146" s="57">
        <f>IFERROR(VLOOKUP($A:$A,CS!$A:$AK,24,FALSE),"")</f>
      </c>
      <c r="Q146" s="57">
        <f>IFERROR(VLOOKUP($A:$A,CS!$A:$AK,25,FALSE),"")</f>
      </c>
      <c r="R146" s="57">
        <f>IFERROR(VLOOKUP($A:$A,CS!$A:$AK,26,FALSE),"")</f>
      </c>
      <c r="S146" s="57">
        <f>IFERROR(VLOOKUP($A:$A,CS!$A:$AK,29,FALSE),"")</f>
      </c>
      <c r="T146" s="57">
        <f>IFERROR(VLOOKUP($A:$A,CS!$A:$AK,33,FALSE),"")</f>
      </c>
      <c r="U146" s="57">
        <f>IFERROR(VLOOKUP($A:$A,CS!$A:$AK,34,FALSE),"")</f>
      </c>
      <c r="V146" s="57">
        <f>IFERROR(VLOOKUP($A:$A,CS!$A:$AK,35,FALSE),"")</f>
      </c>
      <c r="W146" s="57">
        <f>IFERROR(VLOOKUP($A:$A,CS!$A:$AK,36,FALSE),"")</f>
      </c>
    </row>
    <row r="147" ht="16.5" customHeight="1" spans="1:23" x14ac:dyDescent="0.25">
      <c r="A147" s="71"/>
      <c r="B147" s="57">
        <f>IFERROR(VLOOKUP($A:$A,CS!$A:$AK,3,FALSE),"")</f>
      </c>
      <c r="C147" s="57">
        <f>IFERROR(VLOOKUP($A:$A,CS!$A:$AK,4,FALSE),"")</f>
      </c>
      <c r="D147" s="57">
        <f>IFERROR(VLOOKUP($A:$A,CS!$A:$AK,5,FALSE),"")</f>
      </c>
      <c r="E147" s="57">
        <f>IFERROR(VLOOKUP($A:$A,CS!$A:$AK,7,FALSE),"")</f>
      </c>
      <c r="F147" s="57">
        <f>IFERROR(VLOOKUP($A:$A,CS!$A:$AK,8,FALSE),"")</f>
      </c>
      <c r="G147" s="57">
        <f>IFERROR(VLOOKUP($A:$A,CS!$A:$AK,10,FALSE),"")</f>
      </c>
      <c r="H147" s="57">
        <f>IFERROR(VLOOKUP($A:$A,CS!$A:$AK,14,FALSE),"")</f>
      </c>
      <c r="I147" s="57">
        <f>IFERROR(VLOOKUP($A:$A,CS!$A:$AK,15,FALSE),"")</f>
      </c>
      <c r="J147" s="57">
        <f>IFERROR(VLOOKUP($A:$A,CS!$A:$AK,18,FALSE),"")</f>
      </c>
      <c r="K147" s="57">
        <f>IFERROR(VLOOKUP($A:$A,CS!$A:$AK,19,FALSE),"")</f>
      </c>
      <c r="L147" s="57">
        <f>IFERROR(VLOOKUP($A:$A,CS!$A:$AK,20,FALSE),"")</f>
      </c>
      <c r="M147" s="57">
        <f>IFERROR(VLOOKUP($A:$A,CS!$A:$AK,22,FALSE),"")</f>
      </c>
      <c r="N147" s="57">
        <f>IFERROR(VLOOKUP($A:$A,CS!$A:$AK,19,FALSE),"")</f>
      </c>
      <c r="O147" s="57">
        <f>IFERROR(VLOOKUP($A:$A,CS!$A:$AK,23,FALSE),"")</f>
      </c>
      <c r="P147" s="57">
        <f>IFERROR(VLOOKUP($A:$A,CS!$A:$AK,24,FALSE),"")</f>
      </c>
      <c r="Q147" s="57">
        <f>IFERROR(VLOOKUP($A:$A,CS!$A:$AK,25,FALSE),"")</f>
      </c>
      <c r="R147" s="57">
        <f>IFERROR(VLOOKUP($A:$A,CS!$A:$AK,26,FALSE),"")</f>
      </c>
      <c r="S147" s="57">
        <f>IFERROR(VLOOKUP($A:$A,CS!$A:$AK,29,FALSE),"")</f>
      </c>
      <c r="T147" s="57">
        <f>IFERROR(VLOOKUP($A:$A,CS!$A:$AK,33,FALSE),"")</f>
      </c>
      <c r="U147" s="57">
        <f>IFERROR(VLOOKUP($A:$A,CS!$A:$AK,34,FALSE),"")</f>
      </c>
      <c r="V147" s="57">
        <f>IFERROR(VLOOKUP($A:$A,CS!$A:$AK,35,FALSE),"")</f>
      </c>
      <c r="W147" s="57">
        <f>IFERROR(VLOOKUP($A:$A,CS!$A:$AK,36,FALSE),"")</f>
      </c>
    </row>
    <row r="148" ht="16.5" customHeight="1" spans="1:23" x14ac:dyDescent="0.25">
      <c r="A148" s="71"/>
      <c r="B148" s="57">
        <f>IFERROR(VLOOKUP($A:$A,CS!$A:$AK,3,FALSE),"")</f>
      </c>
      <c r="C148" s="57">
        <f>IFERROR(VLOOKUP($A:$A,CS!$A:$AK,4,FALSE),"")</f>
      </c>
      <c r="D148" s="57">
        <f>IFERROR(VLOOKUP($A:$A,CS!$A:$AK,5,FALSE),"")</f>
      </c>
      <c r="E148" s="57">
        <f>IFERROR(VLOOKUP($A:$A,CS!$A:$AK,7,FALSE),"")</f>
      </c>
      <c r="F148" s="57">
        <f>IFERROR(VLOOKUP($A:$A,CS!$A:$AK,8,FALSE),"")</f>
      </c>
      <c r="G148" s="57">
        <f>IFERROR(VLOOKUP($A:$A,CS!$A:$AK,10,FALSE),"")</f>
      </c>
      <c r="H148" s="57">
        <f>IFERROR(VLOOKUP($A:$A,CS!$A:$AK,14,FALSE),"")</f>
      </c>
      <c r="I148" s="57">
        <f>IFERROR(VLOOKUP($A:$A,CS!$A:$AK,15,FALSE),"")</f>
      </c>
      <c r="J148" s="57">
        <f>IFERROR(VLOOKUP($A:$A,CS!$A:$AK,18,FALSE),"")</f>
      </c>
      <c r="K148" s="57">
        <f>IFERROR(VLOOKUP($A:$A,CS!$A:$AK,19,FALSE),"")</f>
      </c>
      <c r="L148" s="57">
        <f>IFERROR(VLOOKUP($A:$A,CS!$A:$AK,20,FALSE),"")</f>
      </c>
      <c r="M148" s="57">
        <f>IFERROR(VLOOKUP($A:$A,CS!$A:$AK,22,FALSE),"")</f>
      </c>
      <c r="N148" s="57">
        <f>IFERROR(VLOOKUP($A:$A,CS!$A:$AK,19,FALSE),"")</f>
      </c>
      <c r="O148" s="57">
        <f>IFERROR(VLOOKUP($A:$A,CS!$A:$AK,23,FALSE),"")</f>
      </c>
      <c r="P148" s="57">
        <f>IFERROR(VLOOKUP($A:$A,CS!$A:$AK,24,FALSE),"")</f>
      </c>
      <c r="Q148" s="57">
        <f>IFERROR(VLOOKUP($A:$A,CS!$A:$AK,25,FALSE),"")</f>
      </c>
      <c r="R148" s="57">
        <f>IFERROR(VLOOKUP($A:$A,CS!$A:$AK,26,FALSE),"")</f>
      </c>
      <c r="S148" s="57">
        <f>IFERROR(VLOOKUP($A:$A,CS!$A:$AK,29,FALSE),"")</f>
      </c>
      <c r="T148" s="57">
        <f>IFERROR(VLOOKUP($A:$A,CS!$A:$AK,33,FALSE),"")</f>
      </c>
      <c r="U148" s="57">
        <f>IFERROR(VLOOKUP($A:$A,CS!$A:$AK,34,FALSE),"")</f>
      </c>
      <c r="V148" s="57">
        <f>IFERROR(VLOOKUP($A:$A,CS!$A:$AK,35,FALSE),"")</f>
      </c>
      <c r="W148" s="57">
        <f>IFERROR(VLOOKUP($A:$A,CS!$A:$AK,36,FALSE),"")</f>
      </c>
    </row>
    <row r="149" ht="16.5" customHeight="1" spans="1:23" x14ac:dyDescent="0.25">
      <c r="A149" s="71"/>
      <c r="B149" s="57">
        <f>IFERROR(VLOOKUP($A:$A,CS!$A:$AK,3,FALSE),"")</f>
      </c>
      <c r="C149" s="57">
        <f>IFERROR(VLOOKUP($A:$A,CS!$A:$AK,4,FALSE),"")</f>
      </c>
      <c r="D149" s="57">
        <f>IFERROR(VLOOKUP($A:$A,CS!$A:$AK,5,FALSE),"")</f>
      </c>
      <c r="E149" s="57">
        <f>IFERROR(VLOOKUP($A:$A,CS!$A:$AK,7,FALSE),"")</f>
      </c>
      <c r="F149" s="57">
        <f>IFERROR(VLOOKUP($A:$A,CS!$A:$AK,8,FALSE),"")</f>
      </c>
      <c r="G149" s="57">
        <f>IFERROR(VLOOKUP($A:$A,CS!$A:$AK,10,FALSE),"")</f>
      </c>
      <c r="H149" s="57">
        <f>IFERROR(VLOOKUP($A:$A,CS!$A:$AK,14,FALSE),"")</f>
      </c>
      <c r="I149" s="57">
        <f>IFERROR(VLOOKUP($A:$A,CS!$A:$AK,15,FALSE),"")</f>
      </c>
      <c r="J149" s="57">
        <f>IFERROR(VLOOKUP($A:$A,CS!$A:$AK,18,FALSE),"")</f>
      </c>
      <c r="K149" s="57">
        <f>IFERROR(VLOOKUP($A:$A,CS!$A:$AK,19,FALSE),"")</f>
      </c>
      <c r="L149" s="57">
        <f>IFERROR(VLOOKUP($A:$A,CS!$A:$AK,20,FALSE),"")</f>
      </c>
      <c r="M149" s="57">
        <f>IFERROR(VLOOKUP($A:$A,CS!$A:$AK,22,FALSE),"")</f>
      </c>
      <c r="N149" s="57">
        <f>IFERROR(VLOOKUP($A:$A,CS!$A:$AK,19,FALSE),"")</f>
      </c>
      <c r="O149" s="57">
        <f>IFERROR(VLOOKUP($A:$A,CS!$A:$AK,23,FALSE),"")</f>
      </c>
      <c r="P149" s="57">
        <f>IFERROR(VLOOKUP($A:$A,CS!$A:$AK,24,FALSE),"")</f>
      </c>
      <c r="Q149" s="57">
        <f>IFERROR(VLOOKUP($A:$A,CS!$A:$AK,25,FALSE),"")</f>
      </c>
      <c r="R149" s="57">
        <f>IFERROR(VLOOKUP($A:$A,CS!$A:$AK,26,FALSE),"")</f>
      </c>
      <c r="S149" s="57">
        <f>IFERROR(VLOOKUP($A:$A,CS!$A:$AK,29,FALSE),"")</f>
      </c>
      <c r="T149" s="57">
        <f>IFERROR(VLOOKUP($A:$A,CS!$A:$AK,33,FALSE),"")</f>
      </c>
      <c r="U149" s="57">
        <f>IFERROR(VLOOKUP($A:$A,CS!$A:$AK,34,FALSE),"")</f>
      </c>
      <c r="V149" s="57">
        <f>IFERROR(VLOOKUP($A:$A,CS!$A:$AK,35,FALSE),"")</f>
      </c>
      <c r="W149" s="57">
        <f>IFERROR(VLOOKUP($A:$A,CS!$A:$AK,36,FALSE),"")</f>
      </c>
    </row>
    <row r="150" ht="16.5" customHeight="1" spans="1:23" x14ac:dyDescent="0.25">
      <c r="A150" s="71"/>
      <c r="B150" s="57">
        <f>IFERROR(VLOOKUP($A:$A,CS!$A:$AK,3,FALSE),"")</f>
      </c>
      <c r="C150" s="57">
        <f>IFERROR(VLOOKUP($A:$A,CS!$A:$AK,4,FALSE),"")</f>
      </c>
      <c r="D150" s="57">
        <f>IFERROR(VLOOKUP($A:$A,CS!$A:$AK,5,FALSE),"")</f>
      </c>
      <c r="E150" s="57">
        <f>IFERROR(VLOOKUP($A:$A,CS!$A:$AK,7,FALSE),"")</f>
      </c>
      <c r="F150" s="57">
        <f>IFERROR(VLOOKUP($A:$A,CS!$A:$AK,8,FALSE),"")</f>
      </c>
      <c r="G150" s="57">
        <f>IFERROR(VLOOKUP($A:$A,CS!$A:$AK,10,FALSE),"")</f>
      </c>
      <c r="H150" s="57">
        <f>IFERROR(VLOOKUP($A:$A,CS!$A:$AK,14,FALSE),"")</f>
      </c>
      <c r="I150" s="57">
        <f>IFERROR(VLOOKUP($A:$A,CS!$A:$AK,15,FALSE),"")</f>
      </c>
      <c r="J150" s="57">
        <f>IFERROR(VLOOKUP($A:$A,CS!$A:$AK,18,FALSE),"")</f>
      </c>
      <c r="K150" s="57">
        <f>IFERROR(VLOOKUP($A:$A,CS!$A:$AK,19,FALSE),"")</f>
      </c>
      <c r="L150" s="57">
        <f>IFERROR(VLOOKUP($A:$A,CS!$A:$AK,20,FALSE),"")</f>
      </c>
      <c r="M150" s="57">
        <f>IFERROR(VLOOKUP($A:$A,CS!$A:$AK,22,FALSE),"")</f>
      </c>
      <c r="N150" s="57">
        <f>IFERROR(VLOOKUP($A:$A,CS!$A:$AK,19,FALSE),"")</f>
      </c>
      <c r="O150" s="57">
        <f>IFERROR(VLOOKUP($A:$A,CS!$A:$AK,23,FALSE),"")</f>
      </c>
      <c r="P150" s="57">
        <f>IFERROR(VLOOKUP($A:$A,CS!$A:$AK,24,FALSE),"")</f>
      </c>
      <c r="Q150" s="57">
        <f>IFERROR(VLOOKUP($A:$A,CS!$A:$AK,25,FALSE),"")</f>
      </c>
      <c r="R150" s="57">
        <f>IFERROR(VLOOKUP($A:$A,CS!$A:$AK,26,FALSE),"")</f>
      </c>
      <c r="S150" s="57">
        <f>IFERROR(VLOOKUP($A:$A,CS!$A:$AK,29,FALSE),"")</f>
      </c>
      <c r="T150" s="57">
        <f>IFERROR(VLOOKUP($A:$A,CS!$A:$AK,33,FALSE),"")</f>
      </c>
      <c r="U150" s="57">
        <f>IFERROR(VLOOKUP($A:$A,CS!$A:$AK,34,FALSE),"")</f>
      </c>
      <c r="V150" s="57">
        <f>IFERROR(VLOOKUP($A:$A,CS!$A:$AK,35,FALSE),"")</f>
      </c>
      <c r="W150" s="57">
        <f>IFERROR(VLOOKUP($A:$A,CS!$A:$AK,36,FALSE),"")</f>
      </c>
    </row>
    <row r="151" ht="16.5" customHeight="1" spans="1:23" x14ac:dyDescent="0.25">
      <c r="A151" s="71"/>
      <c r="B151" s="57">
        <f>IFERROR(VLOOKUP($A:$A,CS!$A:$AK,3,FALSE),"")</f>
      </c>
      <c r="C151" s="57">
        <f>IFERROR(VLOOKUP($A:$A,CS!$A:$AK,4,FALSE),"")</f>
      </c>
      <c r="D151" s="57">
        <f>IFERROR(VLOOKUP($A:$A,CS!$A:$AK,5,FALSE),"")</f>
      </c>
      <c r="E151" s="57">
        <f>IFERROR(VLOOKUP($A:$A,CS!$A:$AK,7,FALSE),"")</f>
      </c>
      <c r="F151" s="57">
        <f>IFERROR(VLOOKUP($A:$A,CS!$A:$AK,8,FALSE),"")</f>
      </c>
      <c r="G151" s="57">
        <f>IFERROR(VLOOKUP($A:$A,CS!$A:$AK,10,FALSE),"")</f>
      </c>
      <c r="H151" s="57">
        <f>IFERROR(VLOOKUP($A:$A,CS!$A:$AK,14,FALSE),"")</f>
      </c>
      <c r="I151" s="57">
        <f>IFERROR(VLOOKUP($A:$A,CS!$A:$AK,15,FALSE),"")</f>
      </c>
      <c r="J151" s="57">
        <f>IFERROR(VLOOKUP($A:$A,CS!$A:$AK,18,FALSE),"")</f>
      </c>
      <c r="K151" s="57">
        <f>IFERROR(VLOOKUP($A:$A,CS!$A:$AK,19,FALSE),"")</f>
      </c>
      <c r="L151" s="57">
        <f>IFERROR(VLOOKUP($A:$A,CS!$A:$AK,20,FALSE),"")</f>
      </c>
      <c r="M151" s="57">
        <f>IFERROR(VLOOKUP($A:$A,CS!$A:$AK,22,FALSE),"")</f>
      </c>
      <c r="N151" s="57">
        <f>IFERROR(VLOOKUP($A:$A,CS!$A:$AK,19,FALSE),"")</f>
      </c>
      <c r="O151" s="57">
        <f>IFERROR(VLOOKUP($A:$A,CS!$A:$AK,23,FALSE),"")</f>
      </c>
      <c r="P151" s="57">
        <f>IFERROR(VLOOKUP($A:$A,CS!$A:$AK,24,FALSE),"")</f>
      </c>
      <c r="Q151" s="57">
        <f>IFERROR(VLOOKUP($A:$A,CS!$A:$AK,25,FALSE),"")</f>
      </c>
      <c r="R151" s="57">
        <f>IFERROR(VLOOKUP($A:$A,CS!$A:$AK,26,FALSE),"")</f>
      </c>
      <c r="S151" s="57">
        <f>IFERROR(VLOOKUP($A:$A,CS!$A:$AK,29,FALSE),"")</f>
      </c>
      <c r="T151" s="57">
        <f>IFERROR(VLOOKUP($A:$A,CS!$A:$AK,33,FALSE),"")</f>
      </c>
      <c r="U151" s="57">
        <f>IFERROR(VLOOKUP($A:$A,CS!$A:$AK,34,FALSE),"")</f>
      </c>
      <c r="V151" s="57">
        <f>IFERROR(VLOOKUP($A:$A,CS!$A:$AK,35,FALSE),"")</f>
      </c>
      <c r="W151" s="57">
        <f>IFERROR(VLOOKUP($A:$A,CS!$A:$AK,36,FALSE),"")</f>
      </c>
    </row>
    <row r="152" ht="16.5" customHeight="1" spans="1:23" x14ac:dyDescent="0.25">
      <c r="A152" s="71"/>
      <c r="B152" s="57">
        <f>IFERROR(VLOOKUP($A:$A,CS!$A:$AK,3,FALSE),"")</f>
      </c>
      <c r="C152" s="57">
        <f>IFERROR(VLOOKUP($A:$A,CS!$A:$AK,4,FALSE),"")</f>
      </c>
      <c r="D152" s="57">
        <f>IFERROR(VLOOKUP($A:$A,CS!$A:$AK,5,FALSE),"")</f>
      </c>
      <c r="E152" s="57">
        <f>IFERROR(VLOOKUP($A:$A,CS!$A:$AK,7,FALSE),"")</f>
      </c>
      <c r="F152" s="57">
        <f>IFERROR(VLOOKUP($A:$A,CS!$A:$AK,8,FALSE),"")</f>
      </c>
      <c r="G152" s="57">
        <f>IFERROR(VLOOKUP($A:$A,CS!$A:$AK,10,FALSE),"")</f>
      </c>
      <c r="H152" s="57">
        <f>IFERROR(VLOOKUP($A:$A,CS!$A:$AK,14,FALSE),"")</f>
      </c>
      <c r="I152" s="57">
        <f>IFERROR(VLOOKUP($A:$A,CS!$A:$AK,15,FALSE),"")</f>
      </c>
      <c r="J152" s="57">
        <f>IFERROR(VLOOKUP($A:$A,CS!$A:$AK,18,FALSE),"")</f>
      </c>
      <c r="K152" s="57">
        <f>IFERROR(VLOOKUP($A:$A,CS!$A:$AK,19,FALSE),"")</f>
      </c>
      <c r="L152" s="57">
        <f>IFERROR(VLOOKUP($A:$A,CS!$A:$AK,20,FALSE),"")</f>
      </c>
      <c r="M152" s="57">
        <f>IFERROR(VLOOKUP($A:$A,CS!$A:$AK,22,FALSE),"")</f>
      </c>
      <c r="N152" s="57">
        <f>IFERROR(VLOOKUP($A:$A,CS!$A:$AK,19,FALSE),"")</f>
      </c>
      <c r="O152" s="57">
        <f>IFERROR(VLOOKUP($A:$A,CS!$A:$AK,23,FALSE),"")</f>
      </c>
      <c r="P152" s="57">
        <f>IFERROR(VLOOKUP($A:$A,CS!$A:$AK,24,FALSE),"")</f>
      </c>
      <c r="Q152" s="57">
        <f>IFERROR(VLOOKUP($A:$A,CS!$A:$AK,25,FALSE),"")</f>
      </c>
      <c r="R152" s="57">
        <f>IFERROR(VLOOKUP($A:$A,CS!$A:$AK,26,FALSE),"")</f>
      </c>
      <c r="S152" s="57">
        <f>IFERROR(VLOOKUP($A:$A,CS!$A:$AK,29,FALSE),"")</f>
      </c>
      <c r="T152" s="57">
        <f>IFERROR(VLOOKUP($A:$A,CS!$A:$AK,33,FALSE),"")</f>
      </c>
      <c r="U152" s="57">
        <f>IFERROR(VLOOKUP($A:$A,CS!$A:$AK,34,FALSE),"")</f>
      </c>
      <c r="V152" s="57">
        <f>IFERROR(VLOOKUP($A:$A,CS!$A:$AK,35,FALSE),"")</f>
      </c>
      <c r="W152" s="57">
        <f>IFERROR(VLOOKUP($A:$A,CS!$A:$AK,36,FALSE),"")</f>
      </c>
    </row>
    <row r="153" ht="16.5" customHeight="1" spans="1:23" x14ac:dyDescent="0.25">
      <c r="A153" s="71"/>
      <c r="B153" s="57">
        <f>IFERROR(VLOOKUP($A:$A,CS!$A:$AK,3,FALSE),"")</f>
      </c>
      <c r="C153" s="57">
        <f>IFERROR(VLOOKUP($A:$A,CS!$A:$AK,4,FALSE),"")</f>
      </c>
      <c r="D153" s="57">
        <f>IFERROR(VLOOKUP($A:$A,CS!$A:$AK,5,FALSE),"")</f>
      </c>
      <c r="E153" s="57">
        <f>IFERROR(VLOOKUP($A:$A,CS!$A:$AK,7,FALSE),"")</f>
      </c>
      <c r="F153" s="57">
        <f>IFERROR(VLOOKUP($A:$A,CS!$A:$AK,8,FALSE),"")</f>
      </c>
      <c r="G153" s="57">
        <f>IFERROR(VLOOKUP($A:$A,CS!$A:$AK,10,FALSE),"")</f>
      </c>
      <c r="H153" s="57">
        <f>IFERROR(VLOOKUP($A:$A,CS!$A:$AK,14,FALSE),"")</f>
      </c>
      <c r="I153" s="57">
        <f>IFERROR(VLOOKUP($A:$A,CS!$A:$AK,15,FALSE),"")</f>
      </c>
      <c r="J153" s="57">
        <f>IFERROR(VLOOKUP($A:$A,CS!$A:$AK,18,FALSE),"")</f>
      </c>
      <c r="K153" s="57">
        <f>IFERROR(VLOOKUP($A:$A,CS!$A:$AK,19,FALSE),"")</f>
      </c>
      <c r="L153" s="57">
        <f>IFERROR(VLOOKUP($A:$A,CS!$A:$AK,20,FALSE),"")</f>
      </c>
      <c r="M153" s="57">
        <f>IFERROR(VLOOKUP($A:$A,CS!$A:$AK,22,FALSE),"")</f>
      </c>
      <c r="N153" s="57">
        <f>IFERROR(VLOOKUP($A:$A,CS!$A:$AK,19,FALSE),"")</f>
      </c>
      <c r="O153" s="57">
        <f>IFERROR(VLOOKUP($A:$A,CS!$A:$AK,23,FALSE),"")</f>
      </c>
      <c r="P153" s="57">
        <f>IFERROR(VLOOKUP($A:$A,CS!$A:$AK,24,FALSE),"")</f>
      </c>
      <c r="Q153" s="57">
        <f>IFERROR(VLOOKUP($A:$A,CS!$A:$AK,25,FALSE),"")</f>
      </c>
      <c r="R153" s="57">
        <f>IFERROR(VLOOKUP($A:$A,CS!$A:$AK,26,FALSE),"")</f>
      </c>
      <c r="S153" s="57">
        <f>IFERROR(VLOOKUP($A:$A,CS!$A:$AK,29,FALSE),"")</f>
      </c>
      <c r="T153" s="57">
        <f>IFERROR(VLOOKUP($A:$A,CS!$A:$AK,33,FALSE),"")</f>
      </c>
      <c r="U153" s="57">
        <f>IFERROR(VLOOKUP($A:$A,CS!$A:$AK,34,FALSE),"")</f>
      </c>
      <c r="V153" s="57">
        <f>IFERROR(VLOOKUP($A:$A,CS!$A:$AK,35,FALSE),"")</f>
      </c>
      <c r="W153" s="57">
        <f>IFERROR(VLOOKUP($A:$A,CS!$A:$AK,36,FALSE),"")</f>
      </c>
    </row>
    <row r="154" ht="16.5" customHeight="1" spans="1:23" x14ac:dyDescent="0.25">
      <c r="A154" s="71"/>
      <c r="B154" s="57">
        <f>IFERROR(VLOOKUP($A:$A,CS!$A:$AK,3,FALSE),"")</f>
      </c>
      <c r="C154" s="57">
        <f>IFERROR(VLOOKUP($A:$A,CS!$A:$AK,4,FALSE),"")</f>
      </c>
      <c r="D154" s="57">
        <f>IFERROR(VLOOKUP($A:$A,CS!$A:$AK,5,FALSE),"")</f>
      </c>
      <c r="E154" s="57">
        <f>IFERROR(VLOOKUP($A:$A,CS!$A:$AK,7,FALSE),"")</f>
      </c>
      <c r="F154" s="57">
        <f>IFERROR(VLOOKUP($A:$A,CS!$A:$AK,8,FALSE),"")</f>
      </c>
      <c r="G154" s="57">
        <f>IFERROR(VLOOKUP($A:$A,CS!$A:$AK,10,FALSE),"")</f>
      </c>
      <c r="H154" s="57">
        <f>IFERROR(VLOOKUP($A:$A,CS!$A:$AK,14,FALSE),"")</f>
      </c>
      <c r="I154" s="57">
        <f>IFERROR(VLOOKUP($A:$A,CS!$A:$AK,15,FALSE),"")</f>
      </c>
      <c r="J154" s="57">
        <f>IFERROR(VLOOKUP($A:$A,CS!$A:$AK,18,FALSE),"")</f>
      </c>
      <c r="K154" s="57">
        <f>IFERROR(VLOOKUP($A:$A,CS!$A:$AK,19,FALSE),"")</f>
      </c>
      <c r="L154" s="57">
        <f>IFERROR(VLOOKUP($A:$A,CS!$A:$AK,20,FALSE),"")</f>
      </c>
      <c r="M154" s="57">
        <f>IFERROR(VLOOKUP($A:$A,CS!$A:$AK,22,FALSE),"")</f>
      </c>
      <c r="N154" s="57">
        <f>IFERROR(VLOOKUP($A:$A,CS!$A:$AK,19,FALSE),"")</f>
      </c>
      <c r="O154" s="57">
        <f>IFERROR(VLOOKUP($A:$A,CS!$A:$AK,23,FALSE),"")</f>
      </c>
      <c r="P154" s="57">
        <f>IFERROR(VLOOKUP($A:$A,CS!$A:$AK,24,FALSE),"")</f>
      </c>
      <c r="Q154" s="57">
        <f>IFERROR(VLOOKUP($A:$A,CS!$A:$AK,25,FALSE),"")</f>
      </c>
      <c r="R154" s="57">
        <f>IFERROR(VLOOKUP($A:$A,CS!$A:$AK,26,FALSE),"")</f>
      </c>
      <c r="S154" s="57">
        <f>IFERROR(VLOOKUP($A:$A,CS!$A:$AK,29,FALSE),"")</f>
      </c>
      <c r="T154" s="57">
        <f>IFERROR(VLOOKUP($A:$A,CS!$A:$AK,33,FALSE),"")</f>
      </c>
      <c r="U154" s="57">
        <f>IFERROR(VLOOKUP($A:$A,CS!$A:$AK,34,FALSE),"")</f>
      </c>
      <c r="V154" s="57">
        <f>IFERROR(VLOOKUP($A:$A,CS!$A:$AK,35,FALSE),"")</f>
      </c>
      <c r="W154" s="57">
        <f>IFERROR(VLOOKUP($A:$A,CS!$A:$AK,36,FALSE),"")</f>
      </c>
    </row>
    <row r="155" ht="16.5" customHeight="1" spans="1:23" x14ac:dyDescent="0.25">
      <c r="A155" s="71"/>
      <c r="B155" s="57">
        <f>IFERROR(VLOOKUP($A:$A,CS!$A:$AK,3,FALSE),"")</f>
      </c>
      <c r="C155" s="57">
        <f>IFERROR(VLOOKUP($A:$A,CS!$A:$AK,4,FALSE),"")</f>
      </c>
      <c r="D155" s="57">
        <f>IFERROR(VLOOKUP($A:$A,CS!$A:$AK,5,FALSE),"")</f>
      </c>
      <c r="E155" s="57">
        <f>IFERROR(VLOOKUP($A:$A,CS!$A:$AK,7,FALSE),"")</f>
      </c>
      <c r="F155" s="57">
        <f>IFERROR(VLOOKUP($A:$A,CS!$A:$AK,8,FALSE),"")</f>
      </c>
      <c r="G155" s="57">
        <f>IFERROR(VLOOKUP($A:$A,CS!$A:$AK,10,FALSE),"")</f>
      </c>
      <c r="H155" s="57">
        <f>IFERROR(VLOOKUP($A:$A,CS!$A:$AK,14,FALSE),"")</f>
      </c>
      <c r="I155" s="57">
        <f>IFERROR(VLOOKUP($A:$A,CS!$A:$AK,15,FALSE),"")</f>
      </c>
      <c r="J155" s="57">
        <f>IFERROR(VLOOKUP($A:$A,CS!$A:$AK,18,FALSE),"")</f>
      </c>
      <c r="K155" s="57">
        <f>IFERROR(VLOOKUP($A:$A,CS!$A:$AK,19,FALSE),"")</f>
      </c>
      <c r="L155" s="57">
        <f>IFERROR(VLOOKUP($A:$A,CS!$A:$AK,20,FALSE),"")</f>
      </c>
      <c r="M155" s="57">
        <f>IFERROR(VLOOKUP($A:$A,CS!$A:$AK,22,FALSE),"")</f>
      </c>
      <c r="N155" s="57">
        <f>IFERROR(VLOOKUP($A:$A,CS!$A:$AK,19,FALSE),"")</f>
      </c>
      <c r="O155" s="57">
        <f>IFERROR(VLOOKUP($A:$A,CS!$A:$AK,23,FALSE),"")</f>
      </c>
      <c r="P155" s="57">
        <f>IFERROR(VLOOKUP($A:$A,CS!$A:$AK,24,FALSE),"")</f>
      </c>
      <c r="Q155" s="57">
        <f>IFERROR(VLOOKUP($A:$A,CS!$A:$AK,25,FALSE),"")</f>
      </c>
      <c r="R155" s="57">
        <f>IFERROR(VLOOKUP($A:$A,CS!$A:$AK,26,FALSE),"")</f>
      </c>
      <c r="S155" s="57">
        <f>IFERROR(VLOOKUP($A:$A,CS!$A:$AK,29,FALSE),"")</f>
      </c>
      <c r="T155" s="57">
        <f>IFERROR(VLOOKUP($A:$A,CS!$A:$AK,33,FALSE),"")</f>
      </c>
      <c r="U155" s="57">
        <f>IFERROR(VLOOKUP($A:$A,CS!$A:$AK,34,FALSE),"")</f>
      </c>
      <c r="V155" s="57">
        <f>IFERROR(VLOOKUP($A:$A,CS!$A:$AK,35,FALSE),"")</f>
      </c>
      <c r="W155" s="57">
        <f>IFERROR(VLOOKUP($A:$A,CS!$A:$AK,36,FALSE),"")</f>
      </c>
    </row>
    <row r="156" ht="16.5" customHeight="1" spans="1:23" x14ac:dyDescent="0.25">
      <c r="A156" s="71"/>
      <c r="B156" s="57">
        <f>IFERROR(VLOOKUP($A:$A,CS!$A:$AK,3,FALSE),"")</f>
      </c>
      <c r="C156" s="57">
        <f>IFERROR(VLOOKUP($A:$A,CS!$A:$AK,4,FALSE),"")</f>
      </c>
      <c r="D156" s="57">
        <f>IFERROR(VLOOKUP($A:$A,CS!$A:$AK,5,FALSE),"")</f>
      </c>
      <c r="E156" s="57">
        <f>IFERROR(VLOOKUP($A:$A,CS!$A:$AK,7,FALSE),"")</f>
      </c>
      <c r="F156" s="57">
        <f>IFERROR(VLOOKUP($A:$A,CS!$A:$AK,8,FALSE),"")</f>
      </c>
      <c r="G156" s="57">
        <f>IFERROR(VLOOKUP($A:$A,CS!$A:$AK,10,FALSE),"")</f>
      </c>
      <c r="H156" s="57">
        <f>IFERROR(VLOOKUP($A:$A,CS!$A:$AK,14,FALSE),"")</f>
      </c>
      <c r="I156" s="57">
        <f>IFERROR(VLOOKUP($A:$A,CS!$A:$AK,15,FALSE),"")</f>
      </c>
      <c r="J156" s="57">
        <f>IFERROR(VLOOKUP($A:$A,CS!$A:$AK,18,FALSE),"")</f>
      </c>
      <c r="K156" s="57">
        <f>IFERROR(VLOOKUP($A:$A,CS!$A:$AK,19,FALSE),"")</f>
      </c>
      <c r="L156" s="57">
        <f>IFERROR(VLOOKUP($A:$A,CS!$A:$AK,20,FALSE),"")</f>
      </c>
      <c r="M156" s="57">
        <f>IFERROR(VLOOKUP($A:$A,CS!$A:$AK,22,FALSE),"")</f>
      </c>
      <c r="N156" s="57">
        <f>IFERROR(VLOOKUP($A:$A,CS!$A:$AK,19,FALSE),"")</f>
      </c>
      <c r="O156" s="57">
        <f>IFERROR(VLOOKUP($A:$A,CS!$A:$AK,23,FALSE),"")</f>
      </c>
      <c r="P156" s="57">
        <f>IFERROR(VLOOKUP($A:$A,CS!$A:$AK,24,FALSE),"")</f>
      </c>
      <c r="Q156" s="57">
        <f>IFERROR(VLOOKUP($A:$A,CS!$A:$AK,25,FALSE),"")</f>
      </c>
      <c r="R156" s="57">
        <f>IFERROR(VLOOKUP($A:$A,CS!$A:$AK,26,FALSE),"")</f>
      </c>
      <c r="S156" s="57">
        <f>IFERROR(VLOOKUP($A:$A,CS!$A:$AK,29,FALSE),"")</f>
      </c>
      <c r="T156" s="57">
        <f>IFERROR(VLOOKUP($A:$A,CS!$A:$AK,33,FALSE),"")</f>
      </c>
      <c r="U156" s="57">
        <f>IFERROR(VLOOKUP($A:$A,CS!$A:$AK,34,FALSE),"")</f>
      </c>
      <c r="V156" s="57">
        <f>IFERROR(VLOOKUP($A:$A,CS!$A:$AK,35,FALSE),"")</f>
      </c>
      <c r="W156" s="57">
        <f>IFERROR(VLOOKUP($A:$A,CS!$A:$AK,36,FALSE),"")</f>
      </c>
    </row>
    <row r="157" ht="16.5" customHeight="1" spans="1:23" x14ac:dyDescent="0.25">
      <c r="A157" s="71"/>
      <c r="B157" s="57">
        <f>IFERROR(VLOOKUP($A:$A,CS!$A:$AK,3,FALSE),"")</f>
      </c>
      <c r="C157" s="57">
        <f>IFERROR(VLOOKUP($A:$A,CS!$A:$AK,4,FALSE),"")</f>
      </c>
      <c r="D157" s="57">
        <f>IFERROR(VLOOKUP($A:$A,CS!$A:$AK,5,FALSE),"")</f>
      </c>
      <c r="E157" s="57">
        <f>IFERROR(VLOOKUP($A:$A,CS!$A:$AK,7,FALSE),"")</f>
      </c>
      <c r="F157" s="57">
        <f>IFERROR(VLOOKUP($A:$A,CS!$A:$AK,8,FALSE),"")</f>
      </c>
      <c r="G157" s="57">
        <f>IFERROR(VLOOKUP($A:$A,CS!$A:$AK,10,FALSE),"")</f>
      </c>
      <c r="H157" s="57">
        <f>IFERROR(VLOOKUP($A:$A,CS!$A:$AK,14,FALSE),"")</f>
      </c>
      <c r="I157" s="57">
        <f>IFERROR(VLOOKUP($A:$A,CS!$A:$AK,15,FALSE),"")</f>
      </c>
      <c r="J157" s="57">
        <f>IFERROR(VLOOKUP($A:$A,CS!$A:$AK,18,FALSE),"")</f>
      </c>
      <c r="K157" s="57">
        <f>IFERROR(VLOOKUP($A:$A,CS!$A:$AK,19,FALSE),"")</f>
      </c>
      <c r="L157" s="57">
        <f>IFERROR(VLOOKUP($A:$A,CS!$A:$AK,20,FALSE),"")</f>
      </c>
      <c r="M157" s="57">
        <f>IFERROR(VLOOKUP($A:$A,CS!$A:$AK,22,FALSE),"")</f>
      </c>
      <c r="N157" s="57">
        <f>IFERROR(VLOOKUP($A:$A,CS!$A:$AK,19,FALSE),"")</f>
      </c>
      <c r="O157" s="57">
        <f>IFERROR(VLOOKUP($A:$A,CS!$A:$AK,23,FALSE),"")</f>
      </c>
      <c r="P157" s="57">
        <f>IFERROR(VLOOKUP($A:$A,CS!$A:$AK,24,FALSE),"")</f>
      </c>
      <c r="Q157" s="57">
        <f>IFERROR(VLOOKUP($A:$A,CS!$A:$AK,25,FALSE),"")</f>
      </c>
      <c r="R157" s="57">
        <f>IFERROR(VLOOKUP($A:$A,CS!$A:$AK,26,FALSE),"")</f>
      </c>
      <c r="S157" s="57">
        <f>IFERROR(VLOOKUP($A:$A,CS!$A:$AK,29,FALSE),"")</f>
      </c>
      <c r="T157" s="57">
        <f>IFERROR(VLOOKUP($A:$A,CS!$A:$AK,33,FALSE),"")</f>
      </c>
      <c r="U157" s="57">
        <f>IFERROR(VLOOKUP($A:$A,CS!$A:$AK,34,FALSE),"")</f>
      </c>
      <c r="V157" s="57">
        <f>IFERROR(VLOOKUP($A:$A,CS!$A:$AK,35,FALSE),"")</f>
      </c>
      <c r="W157" s="57">
        <f>IFERROR(VLOOKUP($A:$A,CS!$A:$AK,36,FALSE),"")</f>
      </c>
    </row>
    <row r="158" ht="16.5" customHeight="1" spans="1:23" x14ac:dyDescent="0.25">
      <c r="A158" s="71"/>
      <c r="B158" s="57">
        <f>IFERROR(VLOOKUP($A:$A,CS!$A:$AK,3,FALSE),"")</f>
      </c>
      <c r="C158" s="57">
        <f>IFERROR(VLOOKUP($A:$A,CS!$A:$AK,4,FALSE),"")</f>
      </c>
      <c r="D158" s="57">
        <f>IFERROR(VLOOKUP($A:$A,CS!$A:$AK,5,FALSE),"")</f>
      </c>
      <c r="E158" s="57">
        <f>IFERROR(VLOOKUP($A:$A,CS!$A:$AK,7,FALSE),"")</f>
      </c>
      <c r="F158" s="57">
        <f>IFERROR(VLOOKUP($A:$A,CS!$A:$AK,8,FALSE),"")</f>
      </c>
      <c r="G158" s="57">
        <f>IFERROR(VLOOKUP($A:$A,CS!$A:$AK,10,FALSE),"")</f>
      </c>
      <c r="H158" s="57">
        <f>IFERROR(VLOOKUP($A:$A,CS!$A:$AK,14,FALSE),"")</f>
      </c>
      <c r="I158" s="57">
        <f>IFERROR(VLOOKUP($A:$A,CS!$A:$AK,15,FALSE),"")</f>
      </c>
      <c r="J158" s="57">
        <f>IFERROR(VLOOKUP($A:$A,CS!$A:$AK,18,FALSE),"")</f>
      </c>
      <c r="K158" s="57">
        <f>IFERROR(VLOOKUP($A:$A,CS!$A:$AK,19,FALSE),"")</f>
      </c>
      <c r="L158" s="57">
        <f>IFERROR(VLOOKUP($A:$A,CS!$A:$AK,20,FALSE),"")</f>
      </c>
      <c r="M158" s="57">
        <f>IFERROR(VLOOKUP($A:$A,CS!$A:$AK,22,FALSE),"")</f>
      </c>
      <c r="N158" s="57">
        <f>IFERROR(VLOOKUP($A:$A,CS!$A:$AK,19,FALSE),"")</f>
      </c>
      <c r="O158" s="57">
        <f>IFERROR(VLOOKUP($A:$A,CS!$A:$AK,23,FALSE),"")</f>
      </c>
      <c r="P158" s="57">
        <f>IFERROR(VLOOKUP($A:$A,CS!$A:$AK,24,FALSE),"")</f>
      </c>
      <c r="Q158" s="57">
        <f>IFERROR(VLOOKUP($A:$A,CS!$A:$AK,25,FALSE),"")</f>
      </c>
      <c r="R158" s="57">
        <f>IFERROR(VLOOKUP($A:$A,CS!$A:$AK,26,FALSE),"")</f>
      </c>
      <c r="S158" s="57">
        <f>IFERROR(VLOOKUP($A:$A,CS!$A:$AK,29,FALSE),"")</f>
      </c>
      <c r="T158" s="57">
        <f>IFERROR(VLOOKUP($A:$A,CS!$A:$AK,33,FALSE),"")</f>
      </c>
      <c r="U158" s="57">
        <f>IFERROR(VLOOKUP($A:$A,CS!$A:$AK,34,FALSE),"")</f>
      </c>
      <c r="V158" s="57">
        <f>IFERROR(VLOOKUP($A:$A,CS!$A:$AK,35,FALSE),"")</f>
      </c>
      <c r="W158" s="57">
        <f>IFERROR(VLOOKUP($A:$A,CS!$A:$AK,36,FALSE),"")</f>
      </c>
    </row>
    <row r="159" ht="16.5" customHeight="1" spans="1:23" x14ac:dyDescent="0.25">
      <c r="A159" s="71"/>
      <c r="B159" s="57">
        <f>IFERROR(VLOOKUP($A:$A,CS!$A:$AK,3,FALSE),"")</f>
      </c>
      <c r="C159" s="57">
        <f>IFERROR(VLOOKUP($A:$A,CS!$A:$AK,4,FALSE),"")</f>
      </c>
      <c r="D159" s="57">
        <f>IFERROR(VLOOKUP($A:$A,CS!$A:$AK,5,FALSE),"")</f>
      </c>
      <c r="E159" s="57">
        <f>IFERROR(VLOOKUP($A:$A,CS!$A:$AK,7,FALSE),"")</f>
      </c>
      <c r="F159" s="57">
        <f>IFERROR(VLOOKUP($A:$A,CS!$A:$AK,8,FALSE),"")</f>
      </c>
      <c r="G159" s="57">
        <f>IFERROR(VLOOKUP($A:$A,CS!$A:$AK,10,FALSE),"")</f>
      </c>
      <c r="H159" s="57">
        <f>IFERROR(VLOOKUP($A:$A,CS!$A:$AK,14,FALSE),"")</f>
      </c>
      <c r="I159" s="57">
        <f>IFERROR(VLOOKUP($A:$A,CS!$A:$AK,15,FALSE),"")</f>
      </c>
      <c r="J159" s="57">
        <f>IFERROR(VLOOKUP($A:$A,CS!$A:$AK,18,FALSE),"")</f>
      </c>
      <c r="K159" s="57">
        <f>IFERROR(VLOOKUP($A:$A,CS!$A:$AK,19,FALSE),"")</f>
      </c>
      <c r="L159" s="57">
        <f>IFERROR(VLOOKUP($A:$A,CS!$A:$AK,20,FALSE),"")</f>
      </c>
      <c r="M159" s="57">
        <f>IFERROR(VLOOKUP($A:$A,CS!$A:$AK,22,FALSE),"")</f>
      </c>
      <c r="N159" s="57">
        <f>IFERROR(VLOOKUP($A:$A,CS!$A:$AK,19,FALSE),"")</f>
      </c>
      <c r="O159" s="57">
        <f>IFERROR(VLOOKUP($A:$A,CS!$A:$AK,23,FALSE),"")</f>
      </c>
      <c r="P159" s="57">
        <f>IFERROR(VLOOKUP($A:$A,CS!$A:$AK,24,FALSE),"")</f>
      </c>
      <c r="Q159" s="57">
        <f>IFERROR(VLOOKUP($A:$A,CS!$A:$AK,25,FALSE),"")</f>
      </c>
      <c r="R159" s="57">
        <f>IFERROR(VLOOKUP($A:$A,CS!$A:$AK,26,FALSE),"")</f>
      </c>
      <c r="S159" s="57">
        <f>IFERROR(VLOOKUP($A:$A,CS!$A:$AK,29,FALSE),"")</f>
      </c>
      <c r="T159" s="57">
        <f>IFERROR(VLOOKUP($A:$A,CS!$A:$AK,33,FALSE),"")</f>
      </c>
      <c r="U159" s="57">
        <f>IFERROR(VLOOKUP($A:$A,CS!$A:$AK,34,FALSE),"")</f>
      </c>
      <c r="V159" s="57">
        <f>IFERROR(VLOOKUP($A:$A,CS!$A:$AK,35,FALSE),"")</f>
      </c>
      <c r="W159" s="57">
        <f>IFERROR(VLOOKUP($A:$A,CS!$A:$AK,36,FALSE),"")</f>
      </c>
    </row>
    <row r="160" ht="16.5" customHeight="1" spans="1:23" x14ac:dyDescent="0.25">
      <c r="A160" s="71"/>
      <c r="B160" s="57">
        <f>IFERROR(VLOOKUP($A:$A,CS!$A:$AK,3,FALSE),"")</f>
      </c>
      <c r="C160" s="57">
        <f>IFERROR(VLOOKUP($A:$A,CS!$A:$AK,4,FALSE),"")</f>
      </c>
      <c r="D160" s="57">
        <f>IFERROR(VLOOKUP($A:$A,CS!$A:$AK,5,FALSE),"")</f>
      </c>
      <c r="E160" s="57">
        <f>IFERROR(VLOOKUP($A:$A,CS!$A:$AK,7,FALSE),"")</f>
      </c>
      <c r="F160" s="57">
        <f>IFERROR(VLOOKUP($A:$A,CS!$A:$AK,8,FALSE),"")</f>
      </c>
      <c r="G160" s="57">
        <f>IFERROR(VLOOKUP($A:$A,CS!$A:$AK,10,FALSE),"")</f>
      </c>
      <c r="H160" s="57">
        <f>IFERROR(VLOOKUP($A:$A,CS!$A:$AK,14,FALSE),"")</f>
      </c>
      <c r="I160" s="57">
        <f>IFERROR(VLOOKUP($A:$A,CS!$A:$AK,15,FALSE),"")</f>
      </c>
      <c r="J160" s="57">
        <f>IFERROR(VLOOKUP($A:$A,CS!$A:$AK,18,FALSE),"")</f>
      </c>
      <c r="K160" s="57">
        <f>IFERROR(VLOOKUP($A:$A,CS!$A:$AK,19,FALSE),"")</f>
      </c>
      <c r="L160" s="57">
        <f>IFERROR(VLOOKUP($A:$A,CS!$A:$AK,20,FALSE),"")</f>
      </c>
      <c r="M160" s="57">
        <f>IFERROR(VLOOKUP($A:$A,CS!$A:$AK,22,FALSE),"")</f>
      </c>
      <c r="N160" s="57">
        <f>IFERROR(VLOOKUP($A:$A,CS!$A:$AK,19,FALSE),"")</f>
      </c>
      <c r="O160" s="57">
        <f>IFERROR(VLOOKUP($A:$A,CS!$A:$AK,23,FALSE),"")</f>
      </c>
      <c r="P160" s="57">
        <f>IFERROR(VLOOKUP($A:$A,CS!$A:$AK,24,FALSE),"")</f>
      </c>
      <c r="Q160" s="57">
        <f>IFERROR(VLOOKUP($A:$A,CS!$A:$AK,25,FALSE),"")</f>
      </c>
      <c r="R160" s="57">
        <f>IFERROR(VLOOKUP($A:$A,CS!$A:$AK,26,FALSE),"")</f>
      </c>
      <c r="S160" s="57">
        <f>IFERROR(VLOOKUP($A:$A,CS!$A:$AK,29,FALSE),"")</f>
      </c>
      <c r="T160" s="57">
        <f>IFERROR(VLOOKUP($A:$A,CS!$A:$AK,33,FALSE),"")</f>
      </c>
      <c r="U160" s="57">
        <f>IFERROR(VLOOKUP($A:$A,CS!$A:$AK,34,FALSE),"")</f>
      </c>
      <c r="V160" s="57">
        <f>IFERROR(VLOOKUP($A:$A,CS!$A:$AK,35,FALSE),"")</f>
      </c>
      <c r="W160" s="57">
        <f>IFERROR(VLOOKUP($A:$A,CS!$A:$AK,36,FALSE),"")</f>
      </c>
    </row>
    <row r="161" ht="16.5" customHeight="1" spans="1:23" x14ac:dyDescent="0.25">
      <c r="A161" s="71"/>
      <c r="B161" s="57">
        <f>IFERROR(VLOOKUP($A:$A,CS!$A:$AK,3,FALSE),"")</f>
      </c>
      <c r="C161" s="57">
        <f>IFERROR(VLOOKUP($A:$A,CS!$A:$AK,4,FALSE),"")</f>
      </c>
      <c r="D161" s="57">
        <f>IFERROR(VLOOKUP($A:$A,CS!$A:$AK,5,FALSE),"")</f>
      </c>
      <c r="E161" s="57">
        <f>IFERROR(VLOOKUP($A:$A,CS!$A:$AK,7,FALSE),"")</f>
      </c>
      <c r="F161" s="57">
        <f>IFERROR(VLOOKUP($A:$A,CS!$A:$AK,8,FALSE),"")</f>
      </c>
      <c r="G161" s="57">
        <f>IFERROR(VLOOKUP($A:$A,CS!$A:$AK,10,FALSE),"")</f>
      </c>
      <c r="H161" s="57">
        <f>IFERROR(VLOOKUP($A:$A,CS!$A:$AK,14,FALSE),"")</f>
      </c>
      <c r="I161" s="57">
        <f>IFERROR(VLOOKUP($A:$A,CS!$A:$AK,15,FALSE),"")</f>
      </c>
      <c r="J161" s="57">
        <f>IFERROR(VLOOKUP($A:$A,CS!$A:$AK,18,FALSE),"")</f>
      </c>
      <c r="K161" s="57">
        <f>IFERROR(VLOOKUP($A:$A,CS!$A:$AK,19,FALSE),"")</f>
      </c>
      <c r="L161" s="57">
        <f>IFERROR(VLOOKUP($A:$A,CS!$A:$AK,20,FALSE),"")</f>
      </c>
      <c r="M161" s="57">
        <f>IFERROR(VLOOKUP($A:$A,CS!$A:$AK,22,FALSE),"")</f>
      </c>
      <c r="N161" s="57">
        <f>IFERROR(VLOOKUP($A:$A,CS!$A:$AK,19,FALSE),"")</f>
      </c>
      <c r="O161" s="57">
        <f>IFERROR(VLOOKUP($A:$A,CS!$A:$AK,23,FALSE),"")</f>
      </c>
      <c r="P161" s="57">
        <f>IFERROR(VLOOKUP($A:$A,CS!$A:$AK,24,FALSE),"")</f>
      </c>
      <c r="Q161" s="57">
        <f>IFERROR(VLOOKUP($A:$A,CS!$A:$AK,25,FALSE),"")</f>
      </c>
      <c r="R161" s="57">
        <f>IFERROR(VLOOKUP($A:$A,CS!$A:$AK,26,FALSE),"")</f>
      </c>
      <c r="S161" s="57">
        <f>IFERROR(VLOOKUP($A:$A,CS!$A:$AK,29,FALSE),"")</f>
      </c>
      <c r="T161" s="57">
        <f>IFERROR(VLOOKUP($A:$A,CS!$A:$AK,33,FALSE),"")</f>
      </c>
      <c r="U161" s="57">
        <f>IFERROR(VLOOKUP($A:$A,CS!$A:$AK,34,FALSE),"")</f>
      </c>
      <c r="V161" s="57">
        <f>IFERROR(VLOOKUP($A:$A,CS!$A:$AK,35,FALSE),"")</f>
      </c>
      <c r="W161" s="57">
        <f>IFERROR(VLOOKUP($A:$A,CS!$A:$AK,36,FALSE),"")</f>
      </c>
    </row>
    <row r="162" ht="16.5" customHeight="1" spans="1:23" x14ac:dyDescent="0.25">
      <c r="A162" s="71"/>
      <c r="B162" s="57">
        <f>IFERROR(VLOOKUP($A:$A,CS!$A:$AK,3,FALSE),"")</f>
      </c>
      <c r="C162" s="57">
        <f>IFERROR(VLOOKUP($A:$A,CS!$A:$AK,4,FALSE),"")</f>
      </c>
      <c r="D162" s="57">
        <f>IFERROR(VLOOKUP($A:$A,CS!$A:$AK,5,FALSE),"")</f>
      </c>
      <c r="E162" s="57">
        <f>IFERROR(VLOOKUP($A:$A,CS!$A:$AK,7,FALSE),"")</f>
      </c>
      <c r="F162" s="57">
        <f>IFERROR(VLOOKUP($A:$A,CS!$A:$AK,8,FALSE),"")</f>
      </c>
      <c r="G162" s="57">
        <f>IFERROR(VLOOKUP($A:$A,CS!$A:$AK,10,FALSE),"")</f>
      </c>
      <c r="H162" s="57">
        <f>IFERROR(VLOOKUP($A:$A,CS!$A:$AK,14,FALSE),"")</f>
      </c>
      <c r="I162" s="57">
        <f>IFERROR(VLOOKUP($A:$A,CS!$A:$AK,15,FALSE),"")</f>
      </c>
      <c r="J162" s="57">
        <f>IFERROR(VLOOKUP($A:$A,CS!$A:$AK,18,FALSE),"")</f>
      </c>
      <c r="K162" s="57">
        <f>IFERROR(VLOOKUP($A:$A,CS!$A:$AK,19,FALSE),"")</f>
      </c>
      <c r="L162" s="57">
        <f>IFERROR(VLOOKUP($A:$A,CS!$A:$AK,20,FALSE),"")</f>
      </c>
      <c r="M162" s="57">
        <f>IFERROR(VLOOKUP($A:$A,CS!$A:$AK,22,FALSE),"")</f>
      </c>
      <c r="N162" s="57">
        <f>IFERROR(VLOOKUP($A:$A,CS!$A:$AK,19,FALSE),"")</f>
      </c>
      <c r="O162" s="57">
        <f>IFERROR(VLOOKUP($A:$A,CS!$A:$AK,23,FALSE),"")</f>
      </c>
      <c r="P162" s="57">
        <f>IFERROR(VLOOKUP($A:$A,CS!$A:$AK,24,FALSE),"")</f>
      </c>
      <c r="Q162" s="57">
        <f>IFERROR(VLOOKUP($A:$A,CS!$A:$AK,25,FALSE),"")</f>
      </c>
      <c r="R162" s="57">
        <f>IFERROR(VLOOKUP($A:$A,CS!$A:$AK,26,FALSE),"")</f>
      </c>
      <c r="S162" s="57">
        <f>IFERROR(VLOOKUP($A:$A,CS!$A:$AK,29,FALSE),"")</f>
      </c>
      <c r="T162" s="57">
        <f>IFERROR(VLOOKUP($A:$A,CS!$A:$AK,33,FALSE),"")</f>
      </c>
      <c r="U162" s="57">
        <f>IFERROR(VLOOKUP($A:$A,CS!$A:$AK,34,FALSE),"")</f>
      </c>
      <c r="V162" s="57">
        <f>IFERROR(VLOOKUP($A:$A,CS!$A:$AK,35,FALSE),"")</f>
      </c>
      <c r="W162" s="57">
        <f>IFERROR(VLOOKUP($A:$A,CS!$A:$AK,36,FALSE),"")</f>
      </c>
    </row>
    <row r="163" ht="16.5" customHeight="1" spans="1:23" x14ac:dyDescent="0.25">
      <c r="A163" s="71"/>
      <c r="B163" s="57">
        <f>IFERROR(VLOOKUP($A:$A,CS!$A:$AK,3,FALSE),"")</f>
      </c>
      <c r="C163" s="57">
        <f>IFERROR(VLOOKUP($A:$A,CS!$A:$AK,4,FALSE),"")</f>
      </c>
      <c r="D163" s="57">
        <f>IFERROR(VLOOKUP($A:$A,CS!$A:$AK,5,FALSE),"")</f>
      </c>
      <c r="E163" s="57">
        <f>IFERROR(VLOOKUP($A:$A,CS!$A:$AK,7,FALSE),"")</f>
      </c>
      <c r="F163" s="57">
        <f>IFERROR(VLOOKUP($A:$A,CS!$A:$AK,8,FALSE),"")</f>
      </c>
      <c r="G163" s="57">
        <f>IFERROR(VLOOKUP($A:$A,CS!$A:$AK,10,FALSE),"")</f>
      </c>
      <c r="H163" s="57">
        <f>IFERROR(VLOOKUP($A:$A,CS!$A:$AK,14,FALSE),"")</f>
      </c>
      <c r="I163" s="57">
        <f>IFERROR(VLOOKUP($A:$A,CS!$A:$AK,15,FALSE),"")</f>
      </c>
      <c r="J163" s="57">
        <f>IFERROR(VLOOKUP($A:$A,CS!$A:$AK,18,FALSE),"")</f>
      </c>
      <c r="K163" s="57">
        <f>IFERROR(VLOOKUP($A:$A,CS!$A:$AK,19,FALSE),"")</f>
      </c>
      <c r="L163" s="57">
        <f>IFERROR(VLOOKUP($A:$A,CS!$A:$AK,20,FALSE),"")</f>
      </c>
      <c r="M163" s="57">
        <f>IFERROR(VLOOKUP($A:$A,CS!$A:$AK,22,FALSE),"")</f>
      </c>
      <c r="N163" s="57">
        <f>IFERROR(VLOOKUP($A:$A,CS!$A:$AK,19,FALSE),"")</f>
      </c>
      <c r="O163" s="57">
        <f>IFERROR(VLOOKUP($A:$A,CS!$A:$AK,23,FALSE),"")</f>
      </c>
      <c r="P163" s="57">
        <f>IFERROR(VLOOKUP($A:$A,CS!$A:$AK,24,FALSE),"")</f>
      </c>
      <c r="Q163" s="57">
        <f>IFERROR(VLOOKUP($A:$A,CS!$A:$AK,25,FALSE),"")</f>
      </c>
      <c r="R163" s="57">
        <f>IFERROR(VLOOKUP($A:$A,CS!$A:$AK,26,FALSE),"")</f>
      </c>
      <c r="S163" s="57">
        <f>IFERROR(VLOOKUP($A:$A,CS!$A:$AK,29,FALSE),"")</f>
      </c>
      <c r="T163" s="57">
        <f>IFERROR(VLOOKUP($A:$A,CS!$A:$AK,33,FALSE),"")</f>
      </c>
      <c r="U163" s="57">
        <f>IFERROR(VLOOKUP($A:$A,CS!$A:$AK,34,FALSE),"")</f>
      </c>
      <c r="V163" s="57">
        <f>IFERROR(VLOOKUP($A:$A,CS!$A:$AK,35,FALSE),"")</f>
      </c>
      <c r="W163" s="57">
        <f>IFERROR(VLOOKUP($A:$A,CS!$A:$AK,36,FALSE),"")</f>
      </c>
    </row>
    <row r="164" ht="16.5" customHeight="1" spans="1:23" x14ac:dyDescent="0.25">
      <c r="A164" s="71"/>
      <c r="B164" s="57">
        <f>IFERROR(VLOOKUP($A:$A,CS!$A:$AK,3,FALSE),"")</f>
      </c>
      <c r="C164" s="57">
        <f>IFERROR(VLOOKUP($A:$A,CS!$A:$AK,4,FALSE),"")</f>
      </c>
      <c r="D164" s="57">
        <f>IFERROR(VLOOKUP($A:$A,CS!$A:$AK,5,FALSE),"")</f>
      </c>
      <c r="E164" s="57">
        <f>IFERROR(VLOOKUP($A:$A,CS!$A:$AK,7,FALSE),"")</f>
      </c>
      <c r="F164" s="57">
        <f>IFERROR(VLOOKUP($A:$A,CS!$A:$AK,8,FALSE),"")</f>
      </c>
      <c r="G164" s="57">
        <f>IFERROR(VLOOKUP($A:$A,CS!$A:$AK,10,FALSE),"")</f>
      </c>
      <c r="H164" s="57">
        <f>IFERROR(VLOOKUP($A:$A,CS!$A:$AK,14,FALSE),"")</f>
      </c>
      <c r="I164" s="57">
        <f>IFERROR(VLOOKUP($A:$A,CS!$A:$AK,15,FALSE),"")</f>
      </c>
      <c r="J164" s="57">
        <f>IFERROR(VLOOKUP($A:$A,CS!$A:$AK,18,FALSE),"")</f>
      </c>
      <c r="K164" s="57">
        <f>IFERROR(VLOOKUP($A:$A,CS!$A:$AK,19,FALSE),"")</f>
      </c>
      <c r="L164" s="57">
        <f>IFERROR(VLOOKUP($A:$A,CS!$A:$AK,20,FALSE),"")</f>
      </c>
      <c r="M164" s="57">
        <f>IFERROR(VLOOKUP($A:$A,CS!$A:$AK,22,FALSE),"")</f>
      </c>
      <c r="N164" s="57">
        <f>IFERROR(VLOOKUP($A:$A,CS!$A:$AK,19,FALSE),"")</f>
      </c>
      <c r="O164" s="57">
        <f>IFERROR(VLOOKUP($A:$A,CS!$A:$AK,23,FALSE),"")</f>
      </c>
      <c r="P164" s="57">
        <f>IFERROR(VLOOKUP($A:$A,CS!$A:$AK,24,FALSE),"")</f>
      </c>
      <c r="Q164" s="57">
        <f>IFERROR(VLOOKUP($A:$A,CS!$A:$AK,25,FALSE),"")</f>
      </c>
      <c r="R164" s="57">
        <f>IFERROR(VLOOKUP($A:$A,CS!$A:$AK,26,FALSE),"")</f>
      </c>
      <c r="S164" s="57">
        <f>IFERROR(VLOOKUP($A:$A,CS!$A:$AK,29,FALSE),"")</f>
      </c>
      <c r="T164" s="57">
        <f>IFERROR(VLOOKUP($A:$A,CS!$A:$AK,33,FALSE),"")</f>
      </c>
      <c r="U164" s="57">
        <f>IFERROR(VLOOKUP($A:$A,CS!$A:$AK,34,FALSE),"")</f>
      </c>
      <c r="V164" s="57">
        <f>IFERROR(VLOOKUP($A:$A,CS!$A:$AK,35,FALSE),"")</f>
      </c>
      <c r="W164" s="57">
        <f>IFERROR(VLOOKUP($A:$A,CS!$A:$AK,36,FALSE),"")</f>
      </c>
    </row>
    <row r="165" ht="16.5" customHeight="1" spans="1:23" x14ac:dyDescent="0.25">
      <c r="A165" s="71"/>
      <c r="B165" s="57">
        <f>IFERROR(VLOOKUP($A:$A,CS!$A:$AK,3,FALSE),"")</f>
      </c>
      <c r="C165" s="57">
        <f>IFERROR(VLOOKUP($A:$A,CS!$A:$AK,4,FALSE),"")</f>
      </c>
      <c r="D165" s="57">
        <f>IFERROR(VLOOKUP($A:$A,CS!$A:$AK,5,FALSE),"")</f>
      </c>
      <c r="E165" s="57">
        <f>IFERROR(VLOOKUP($A:$A,CS!$A:$AK,7,FALSE),"")</f>
      </c>
      <c r="F165" s="57">
        <f>IFERROR(VLOOKUP($A:$A,CS!$A:$AK,8,FALSE),"")</f>
      </c>
      <c r="G165" s="57">
        <f>IFERROR(VLOOKUP($A:$A,CS!$A:$AK,10,FALSE),"")</f>
      </c>
      <c r="H165" s="57">
        <f>IFERROR(VLOOKUP($A:$A,CS!$A:$AK,14,FALSE),"")</f>
      </c>
      <c r="I165" s="57">
        <f>IFERROR(VLOOKUP($A:$A,CS!$A:$AK,15,FALSE),"")</f>
      </c>
      <c r="J165" s="57">
        <f>IFERROR(VLOOKUP($A:$A,CS!$A:$AK,18,FALSE),"")</f>
      </c>
      <c r="K165" s="57">
        <f>IFERROR(VLOOKUP($A:$A,CS!$A:$AK,19,FALSE),"")</f>
      </c>
      <c r="L165" s="57">
        <f>IFERROR(VLOOKUP($A:$A,CS!$A:$AK,20,FALSE),"")</f>
      </c>
      <c r="M165" s="57">
        <f>IFERROR(VLOOKUP($A:$A,CS!$A:$AK,22,FALSE),"")</f>
      </c>
      <c r="N165" s="57">
        <f>IFERROR(VLOOKUP($A:$A,CS!$A:$AK,19,FALSE),"")</f>
      </c>
      <c r="O165" s="57">
        <f>IFERROR(VLOOKUP($A:$A,CS!$A:$AK,23,FALSE),"")</f>
      </c>
      <c r="P165" s="57">
        <f>IFERROR(VLOOKUP($A:$A,CS!$A:$AK,24,FALSE),"")</f>
      </c>
      <c r="Q165" s="57">
        <f>IFERROR(VLOOKUP($A:$A,CS!$A:$AK,25,FALSE),"")</f>
      </c>
      <c r="R165" s="57">
        <f>IFERROR(VLOOKUP($A:$A,CS!$A:$AK,26,FALSE),"")</f>
      </c>
      <c r="S165" s="57">
        <f>IFERROR(VLOOKUP($A:$A,CS!$A:$AK,29,FALSE),"")</f>
      </c>
      <c r="T165" s="57">
        <f>IFERROR(VLOOKUP($A:$A,CS!$A:$AK,33,FALSE),"")</f>
      </c>
      <c r="U165" s="57">
        <f>IFERROR(VLOOKUP($A:$A,CS!$A:$AK,34,FALSE),"")</f>
      </c>
      <c r="V165" s="57">
        <f>IFERROR(VLOOKUP($A:$A,CS!$A:$AK,35,FALSE),"")</f>
      </c>
      <c r="W165" s="57">
        <f>IFERROR(VLOOKUP($A:$A,CS!$A:$AK,36,FALSE),"")</f>
      </c>
    </row>
    <row r="166" ht="16.5" customHeight="1" spans="1:23" x14ac:dyDescent="0.25">
      <c r="A166" s="71"/>
      <c r="B166" s="57">
        <f>IFERROR(VLOOKUP($A:$A,CS!$A:$AK,3,FALSE),"")</f>
      </c>
      <c r="C166" s="57">
        <f>IFERROR(VLOOKUP($A:$A,CS!$A:$AK,4,FALSE),"")</f>
      </c>
      <c r="D166" s="57">
        <f>IFERROR(VLOOKUP($A:$A,CS!$A:$AK,5,FALSE),"")</f>
      </c>
      <c r="E166" s="57">
        <f>IFERROR(VLOOKUP($A:$A,CS!$A:$AK,7,FALSE),"")</f>
      </c>
      <c r="F166" s="57">
        <f>IFERROR(VLOOKUP($A:$A,CS!$A:$AK,8,FALSE),"")</f>
      </c>
      <c r="G166" s="57">
        <f>IFERROR(VLOOKUP($A:$A,CS!$A:$AK,10,FALSE),"")</f>
      </c>
      <c r="H166" s="57">
        <f>IFERROR(VLOOKUP($A:$A,CS!$A:$AK,14,FALSE),"")</f>
      </c>
      <c r="I166" s="57">
        <f>IFERROR(VLOOKUP($A:$A,CS!$A:$AK,15,FALSE),"")</f>
      </c>
      <c r="J166" s="57">
        <f>IFERROR(VLOOKUP($A:$A,CS!$A:$AK,18,FALSE),"")</f>
      </c>
      <c r="K166" s="57">
        <f>IFERROR(VLOOKUP($A:$A,CS!$A:$AK,19,FALSE),"")</f>
      </c>
      <c r="L166" s="57">
        <f>IFERROR(VLOOKUP($A:$A,CS!$A:$AK,20,FALSE),"")</f>
      </c>
      <c r="M166" s="57">
        <f>IFERROR(VLOOKUP($A:$A,CS!$A:$AK,22,FALSE),"")</f>
      </c>
      <c r="N166" s="57">
        <f>IFERROR(VLOOKUP($A:$A,CS!$A:$AK,19,FALSE),"")</f>
      </c>
      <c r="O166" s="57">
        <f>IFERROR(VLOOKUP($A:$A,CS!$A:$AK,23,FALSE),"")</f>
      </c>
      <c r="P166" s="57">
        <f>IFERROR(VLOOKUP($A:$A,CS!$A:$AK,24,FALSE),"")</f>
      </c>
      <c r="Q166" s="57">
        <f>IFERROR(VLOOKUP($A:$A,CS!$A:$AK,25,FALSE),"")</f>
      </c>
      <c r="R166" s="57">
        <f>IFERROR(VLOOKUP($A:$A,CS!$A:$AK,26,FALSE),"")</f>
      </c>
      <c r="S166" s="57">
        <f>IFERROR(VLOOKUP($A:$A,CS!$A:$AK,29,FALSE),"")</f>
      </c>
      <c r="T166" s="57">
        <f>IFERROR(VLOOKUP($A:$A,CS!$A:$AK,33,FALSE),"")</f>
      </c>
      <c r="U166" s="57">
        <f>IFERROR(VLOOKUP($A:$A,CS!$A:$AK,34,FALSE),"")</f>
      </c>
      <c r="V166" s="57">
        <f>IFERROR(VLOOKUP($A:$A,CS!$A:$AK,35,FALSE),"")</f>
      </c>
      <c r="W166" s="57">
        <f>IFERROR(VLOOKUP($A:$A,CS!$A:$AK,36,FALSE),"")</f>
      </c>
    </row>
    <row r="167" ht="16.5" customHeight="1" spans="1:23" x14ac:dyDescent="0.25">
      <c r="A167" s="71"/>
      <c r="B167" s="57">
        <f>IFERROR(VLOOKUP($A:$A,CS!$A:$AK,3,FALSE),"")</f>
      </c>
      <c r="C167" s="57">
        <f>IFERROR(VLOOKUP($A:$A,CS!$A:$AK,4,FALSE),"")</f>
      </c>
      <c r="D167" s="57">
        <f>IFERROR(VLOOKUP($A:$A,CS!$A:$AK,5,FALSE),"")</f>
      </c>
      <c r="E167" s="57">
        <f>IFERROR(VLOOKUP($A:$A,CS!$A:$AK,7,FALSE),"")</f>
      </c>
      <c r="F167" s="57">
        <f>IFERROR(VLOOKUP($A:$A,CS!$A:$AK,8,FALSE),"")</f>
      </c>
      <c r="G167" s="57">
        <f>IFERROR(VLOOKUP($A:$A,CS!$A:$AK,10,FALSE),"")</f>
      </c>
      <c r="H167" s="57">
        <f>IFERROR(VLOOKUP($A:$A,CS!$A:$AK,14,FALSE),"")</f>
      </c>
      <c r="I167" s="57">
        <f>IFERROR(VLOOKUP($A:$A,CS!$A:$AK,15,FALSE),"")</f>
      </c>
      <c r="J167" s="57">
        <f>IFERROR(VLOOKUP($A:$A,CS!$A:$AK,18,FALSE),"")</f>
      </c>
      <c r="K167" s="57">
        <f>IFERROR(VLOOKUP($A:$A,CS!$A:$AK,19,FALSE),"")</f>
      </c>
      <c r="L167" s="57">
        <f>IFERROR(VLOOKUP($A:$A,CS!$A:$AK,20,FALSE),"")</f>
      </c>
      <c r="M167" s="57">
        <f>IFERROR(VLOOKUP($A:$A,CS!$A:$AK,22,FALSE),"")</f>
      </c>
      <c r="N167" s="57">
        <f>IFERROR(VLOOKUP($A:$A,CS!$A:$AK,19,FALSE),"")</f>
      </c>
      <c r="O167" s="57">
        <f>IFERROR(VLOOKUP($A:$A,CS!$A:$AK,23,FALSE),"")</f>
      </c>
      <c r="P167" s="57">
        <f>IFERROR(VLOOKUP($A:$A,CS!$A:$AK,24,FALSE),"")</f>
      </c>
      <c r="Q167" s="57">
        <f>IFERROR(VLOOKUP($A:$A,CS!$A:$AK,25,FALSE),"")</f>
      </c>
      <c r="R167" s="57">
        <f>IFERROR(VLOOKUP($A:$A,CS!$A:$AK,26,FALSE),"")</f>
      </c>
      <c r="S167" s="57">
        <f>IFERROR(VLOOKUP($A:$A,CS!$A:$AK,29,FALSE),"")</f>
      </c>
      <c r="T167" s="57">
        <f>IFERROR(VLOOKUP($A:$A,CS!$A:$AK,33,FALSE),"")</f>
      </c>
      <c r="U167" s="57">
        <f>IFERROR(VLOOKUP($A:$A,CS!$A:$AK,34,FALSE),"")</f>
      </c>
      <c r="V167" s="57">
        <f>IFERROR(VLOOKUP($A:$A,CS!$A:$AK,35,FALSE),"")</f>
      </c>
      <c r="W167" s="57">
        <f>IFERROR(VLOOKUP($A:$A,CS!$A:$AK,36,FALSE),"")</f>
      </c>
    </row>
    <row r="168" ht="16.5" customHeight="1" spans="1:23" x14ac:dyDescent="0.25">
      <c r="A168" s="71"/>
      <c r="B168" s="57">
        <f>IFERROR(VLOOKUP($A:$A,CS!$A:$AK,3,FALSE),"")</f>
      </c>
      <c r="C168" s="57">
        <f>IFERROR(VLOOKUP($A:$A,CS!$A:$AK,4,FALSE),"")</f>
      </c>
      <c r="D168" s="57">
        <f>IFERROR(VLOOKUP($A:$A,CS!$A:$AK,5,FALSE),"")</f>
      </c>
      <c r="E168" s="57">
        <f>IFERROR(VLOOKUP($A:$A,CS!$A:$AK,7,FALSE),"")</f>
      </c>
      <c r="F168" s="57">
        <f>IFERROR(VLOOKUP($A:$A,CS!$A:$AK,8,FALSE),"")</f>
      </c>
      <c r="G168" s="57">
        <f>IFERROR(VLOOKUP($A:$A,CS!$A:$AK,10,FALSE),"")</f>
      </c>
      <c r="H168" s="57">
        <f>IFERROR(VLOOKUP($A:$A,CS!$A:$AK,14,FALSE),"")</f>
      </c>
      <c r="I168" s="57">
        <f>IFERROR(VLOOKUP($A:$A,CS!$A:$AK,15,FALSE),"")</f>
      </c>
      <c r="J168" s="57">
        <f>IFERROR(VLOOKUP($A:$A,CS!$A:$AK,18,FALSE),"")</f>
      </c>
      <c r="K168" s="57">
        <f>IFERROR(VLOOKUP($A:$A,CS!$A:$AK,19,FALSE),"")</f>
      </c>
      <c r="L168" s="57">
        <f>IFERROR(VLOOKUP($A:$A,CS!$A:$AK,20,FALSE),"")</f>
      </c>
      <c r="M168" s="57">
        <f>IFERROR(VLOOKUP($A:$A,CS!$A:$AK,22,FALSE),"")</f>
      </c>
      <c r="N168" s="57">
        <f>IFERROR(VLOOKUP($A:$A,CS!$A:$AK,19,FALSE),"")</f>
      </c>
      <c r="O168" s="57">
        <f>IFERROR(VLOOKUP($A:$A,CS!$A:$AK,23,FALSE),"")</f>
      </c>
      <c r="P168" s="57">
        <f>IFERROR(VLOOKUP($A:$A,CS!$A:$AK,24,FALSE),"")</f>
      </c>
      <c r="Q168" s="57">
        <f>IFERROR(VLOOKUP($A:$A,CS!$A:$AK,25,FALSE),"")</f>
      </c>
      <c r="R168" s="57">
        <f>IFERROR(VLOOKUP($A:$A,CS!$A:$AK,26,FALSE),"")</f>
      </c>
      <c r="S168" s="57">
        <f>IFERROR(VLOOKUP($A:$A,CS!$A:$AK,29,FALSE),"")</f>
      </c>
      <c r="T168" s="57">
        <f>IFERROR(VLOOKUP($A:$A,CS!$A:$AK,33,FALSE),"")</f>
      </c>
      <c r="U168" s="57">
        <f>IFERROR(VLOOKUP($A:$A,CS!$A:$AK,34,FALSE),"")</f>
      </c>
      <c r="V168" s="57">
        <f>IFERROR(VLOOKUP($A:$A,CS!$A:$AK,35,FALSE),"")</f>
      </c>
      <c r="W168" s="57">
        <f>IFERROR(VLOOKUP($A:$A,CS!$A:$AK,36,FALSE),"")</f>
      </c>
    </row>
    <row r="169" ht="16.5" customHeight="1" spans="1:23" x14ac:dyDescent="0.25">
      <c r="A169" s="71"/>
      <c r="B169" s="57">
        <f>IFERROR(VLOOKUP($A:$A,CS!$A:$AK,3,FALSE),"")</f>
      </c>
      <c r="C169" s="57">
        <f>IFERROR(VLOOKUP($A:$A,CS!$A:$AK,4,FALSE),"")</f>
      </c>
      <c r="D169" s="57">
        <f>IFERROR(VLOOKUP($A:$A,CS!$A:$AK,5,FALSE),"")</f>
      </c>
      <c r="E169" s="57">
        <f>IFERROR(VLOOKUP($A:$A,CS!$A:$AK,7,FALSE),"")</f>
      </c>
      <c r="F169" s="57">
        <f>IFERROR(VLOOKUP($A:$A,CS!$A:$AK,8,FALSE),"")</f>
      </c>
      <c r="G169" s="57">
        <f>IFERROR(VLOOKUP($A:$A,CS!$A:$AK,10,FALSE),"")</f>
      </c>
      <c r="H169" s="57">
        <f>IFERROR(VLOOKUP($A:$A,CS!$A:$AK,14,FALSE),"")</f>
      </c>
      <c r="I169" s="57">
        <f>IFERROR(VLOOKUP($A:$A,CS!$A:$AK,15,FALSE),"")</f>
      </c>
      <c r="J169" s="57">
        <f>IFERROR(VLOOKUP($A:$A,CS!$A:$AK,18,FALSE),"")</f>
      </c>
      <c r="K169" s="57">
        <f>IFERROR(VLOOKUP($A:$A,CS!$A:$AK,19,FALSE),"")</f>
      </c>
      <c r="L169" s="57">
        <f>IFERROR(VLOOKUP($A:$A,CS!$A:$AK,20,FALSE),"")</f>
      </c>
      <c r="M169" s="57">
        <f>IFERROR(VLOOKUP($A:$A,CS!$A:$AK,22,FALSE),"")</f>
      </c>
      <c r="N169" s="57">
        <f>IFERROR(VLOOKUP($A:$A,CS!$A:$AK,19,FALSE),"")</f>
      </c>
      <c r="O169" s="57">
        <f>IFERROR(VLOOKUP($A:$A,CS!$A:$AK,23,FALSE),"")</f>
      </c>
      <c r="P169" s="57">
        <f>IFERROR(VLOOKUP($A:$A,CS!$A:$AK,24,FALSE),"")</f>
      </c>
      <c r="Q169" s="57">
        <f>IFERROR(VLOOKUP($A:$A,CS!$A:$AK,25,FALSE),"")</f>
      </c>
      <c r="R169" s="57">
        <f>IFERROR(VLOOKUP($A:$A,CS!$A:$AK,26,FALSE),"")</f>
      </c>
      <c r="S169" s="57">
        <f>IFERROR(VLOOKUP($A:$A,CS!$A:$AK,29,FALSE),"")</f>
      </c>
      <c r="T169" s="57">
        <f>IFERROR(VLOOKUP($A:$A,CS!$A:$AK,33,FALSE),"")</f>
      </c>
      <c r="U169" s="57">
        <f>IFERROR(VLOOKUP($A:$A,CS!$A:$AK,34,FALSE),"")</f>
      </c>
      <c r="V169" s="57">
        <f>IFERROR(VLOOKUP($A:$A,CS!$A:$AK,35,FALSE),"")</f>
      </c>
      <c r="W169" s="57">
        <f>IFERROR(VLOOKUP($A:$A,CS!$A:$AK,36,FALSE),"")</f>
      </c>
    </row>
    <row r="170" ht="16.5" customHeight="1" spans="1:23" x14ac:dyDescent="0.25">
      <c r="A170" s="71"/>
      <c r="B170" s="57">
        <f>IFERROR(VLOOKUP($A:$A,CS!$A:$AK,3,FALSE),"")</f>
      </c>
      <c r="C170" s="57">
        <f>IFERROR(VLOOKUP($A:$A,CS!$A:$AK,4,FALSE),"")</f>
      </c>
      <c r="D170" s="57">
        <f>IFERROR(VLOOKUP($A:$A,CS!$A:$AK,5,FALSE),"")</f>
      </c>
      <c r="E170" s="57">
        <f>IFERROR(VLOOKUP($A:$A,CS!$A:$AK,7,FALSE),"")</f>
      </c>
      <c r="F170" s="57">
        <f>IFERROR(VLOOKUP($A:$A,CS!$A:$AK,8,FALSE),"")</f>
      </c>
      <c r="G170" s="57">
        <f>IFERROR(VLOOKUP($A:$A,CS!$A:$AK,10,FALSE),"")</f>
      </c>
      <c r="H170" s="57">
        <f>IFERROR(VLOOKUP($A:$A,CS!$A:$AK,14,FALSE),"")</f>
      </c>
      <c r="I170" s="57">
        <f>IFERROR(VLOOKUP($A:$A,CS!$A:$AK,15,FALSE),"")</f>
      </c>
      <c r="J170" s="57">
        <f>IFERROR(VLOOKUP($A:$A,CS!$A:$AK,18,FALSE),"")</f>
      </c>
      <c r="K170" s="57">
        <f>IFERROR(VLOOKUP($A:$A,CS!$A:$AK,19,FALSE),"")</f>
      </c>
      <c r="L170" s="57">
        <f>IFERROR(VLOOKUP($A:$A,CS!$A:$AK,20,FALSE),"")</f>
      </c>
      <c r="M170" s="57">
        <f>IFERROR(VLOOKUP($A:$A,CS!$A:$AK,22,FALSE),"")</f>
      </c>
      <c r="N170" s="57">
        <f>IFERROR(VLOOKUP($A:$A,CS!$A:$AK,19,FALSE),"")</f>
      </c>
      <c r="O170" s="57">
        <f>IFERROR(VLOOKUP($A:$A,CS!$A:$AK,23,FALSE),"")</f>
      </c>
      <c r="P170" s="57">
        <f>IFERROR(VLOOKUP($A:$A,CS!$A:$AK,24,FALSE),"")</f>
      </c>
      <c r="Q170" s="57">
        <f>IFERROR(VLOOKUP($A:$A,CS!$A:$AK,25,FALSE),"")</f>
      </c>
      <c r="R170" s="57">
        <f>IFERROR(VLOOKUP($A:$A,CS!$A:$AK,26,FALSE),"")</f>
      </c>
      <c r="S170" s="57">
        <f>IFERROR(VLOOKUP($A:$A,CS!$A:$AK,29,FALSE),"")</f>
      </c>
      <c r="T170" s="57">
        <f>IFERROR(VLOOKUP($A:$A,CS!$A:$AK,33,FALSE),"")</f>
      </c>
      <c r="U170" s="57">
        <f>IFERROR(VLOOKUP($A:$A,CS!$A:$AK,34,FALSE),"")</f>
      </c>
      <c r="V170" s="57">
        <f>IFERROR(VLOOKUP($A:$A,CS!$A:$AK,35,FALSE),"")</f>
      </c>
      <c r="W170" s="57">
        <f>IFERROR(VLOOKUP($A:$A,CS!$A:$AK,36,FALSE),"")</f>
      </c>
    </row>
    <row r="171" ht="16.5" customHeight="1" spans="1:23" x14ac:dyDescent="0.25">
      <c r="A171" s="71"/>
      <c r="B171" s="57">
        <f>IFERROR(VLOOKUP($A:$A,CS!$A:$AK,3,FALSE),"")</f>
      </c>
      <c r="C171" s="57">
        <f>IFERROR(VLOOKUP($A:$A,CS!$A:$AK,4,FALSE),"")</f>
      </c>
      <c r="D171" s="57">
        <f>IFERROR(VLOOKUP($A:$A,CS!$A:$AK,5,FALSE),"")</f>
      </c>
      <c r="E171" s="57">
        <f>IFERROR(VLOOKUP($A:$A,CS!$A:$AK,7,FALSE),"")</f>
      </c>
      <c r="F171" s="57">
        <f>IFERROR(VLOOKUP($A:$A,CS!$A:$AK,8,FALSE),"")</f>
      </c>
      <c r="G171" s="57">
        <f>IFERROR(VLOOKUP($A:$A,CS!$A:$AK,10,FALSE),"")</f>
      </c>
      <c r="H171" s="57">
        <f>IFERROR(VLOOKUP($A:$A,CS!$A:$AK,14,FALSE),"")</f>
      </c>
      <c r="I171" s="57">
        <f>IFERROR(VLOOKUP($A:$A,CS!$A:$AK,15,FALSE),"")</f>
      </c>
      <c r="J171" s="57">
        <f>IFERROR(VLOOKUP($A:$A,CS!$A:$AK,18,FALSE),"")</f>
      </c>
      <c r="K171" s="57">
        <f>IFERROR(VLOOKUP($A:$A,CS!$A:$AK,19,FALSE),"")</f>
      </c>
      <c r="L171" s="57">
        <f>IFERROR(VLOOKUP($A:$A,CS!$A:$AK,20,FALSE),"")</f>
      </c>
      <c r="M171" s="57">
        <f>IFERROR(VLOOKUP($A:$A,CS!$A:$AK,22,FALSE),"")</f>
      </c>
      <c r="N171" s="57">
        <f>IFERROR(VLOOKUP($A:$A,CS!$A:$AK,19,FALSE),"")</f>
      </c>
      <c r="O171" s="57">
        <f>IFERROR(VLOOKUP($A:$A,CS!$A:$AK,23,FALSE),"")</f>
      </c>
      <c r="P171" s="57">
        <f>IFERROR(VLOOKUP($A:$A,CS!$A:$AK,24,FALSE),"")</f>
      </c>
      <c r="Q171" s="57">
        <f>IFERROR(VLOOKUP($A:$A,CS!$A:$AK,25,FALSE),"")</f>
      </c>
      <c r="R171" s="57">
        <f>IFERROR(VLOOKUP($A:$A,CS!$A:$AK,26,FALSE),"")</f>
      </c>
      <c r="S171" s="57">
        <f>IFERROR(VLOOKUP($A:$A,CS!$A:$AK,29,FALSE),"")</f>
      </c>
      <c r="T171" s="57">
        <f>IFERROR(VLOOKUP($A:$A,CS!$A:$AK,33,FALSE),"")</f>
      </c>
      <c r="U171" s="57">
        <f>IFERROR(VLOOKUP($A:$A,CS!$A:$AK,34,FALSE),"")</f>
      </c>
      <c r="V171" s="57">
        <f>IFERROR(VLOOKUP($A:$A,CS!$A:$AK,35,FALSE),"")</f>
      </c>
      <c r="W171" s="57">
        <f>IFERROR(VLOOKUP($A:$A,CS!$A:$AK,36,FALSE),"")</f>
      </c>
    </row>
    <row r="172" ht="16.5" customHeight="1" spans="1:23" x14ac:dyDescent="0.25">
      <c r="A172" s="71"/>
      <c r="B172" s="57">
        <f>IFERROR(VLOOKUP($A:$A,CS!$A:$AK,3,FALSE),"")</f>
      </c>
      <c r="C172" s="57">
        <f>IFERROR(VLOOKUP($A:$A,CS!$A:$AK,4,FALSE),"")</f>
      </c>
      <c r="D172" s="57">
        <f>IFERROR(VLOOKUP($A:$A,CS!$A:$AK,5,FALSE),"")</f>
      </c>
      <c r="E172" s="57">
        <f>IFERROR(VLOOKUP($A:$A,CS!$A:$AK,7,FALSE),"")</f>
      </c>
      <c r="F172" s="57">
        <f>IFERROR(VLOOKUP($A:$A,CS!$A:$AK,8,FALSE),"")</f>
      </c>
      <c r="G172" s="57">
        <f>IFERROR(VLOOKUP($A:$A,CS!$A:$AK,10,FALSE),"")</f>
      </c>
      <c r="H172" s="57">
        <f>IFERROR(VLOOKUP($A:$A,CS!$A:$AK,14,FALSE),"")</f>
      </c>
      <c r="I172" s="57">
        <f>IFERROR(VLOOKUP($A:$A,CS!$A:$AK,15,FALSE),"")</f>
      </c>
      <c r="J172" s="57">
        <f>IFERROR(VLOOKUP($A:$A,CS!$A:$AK,18,FALSE),"")</f>
      </c>
      <c r="K172" s="57">
        <f>IFERROR(VLOOKUP($A:$A,CS!$A:$AK,19,FALSE),"")</f>
      </c>
      <c r="L172" s="57">
        <f>IFERROR(VLOOKUP($A:$A,CS!$A:$AK,20,FALSE),"")</f>
      </c>
      <c r="M172" s="57">
        <f>IFERROR(VLOOKUP($A:$A,CS!$A:$AK,22,FALSE),"")</f>
      </c>
      <c r="N172" s="57">
        <f>IFERROR(VLOOKUP($A:$A,CS!$A:$AK,19,FALSE),"")</f>
      </c>
      <c r="O172" s="57">
        <f>IFERROR(VLOOKUP($A:$A,CS!$A:$AK,23,FALSE),"")</f>
      </c>
      <c r="P172" s="57">
        <f>IFERROR(VLOOKUP($A:$A,CS!$A:$AK,24,FALSE),"")</f>
      </c>
      <c r="Q172" s="57">
        <f>IFERROR(VLOOKUP($A:$A,CS!$A:$AK,25,FALSE),"")</f>
      </c>
      <c r="R172" s="57">
        <f>IFERROR(VLOOKUP($A:$A,CS!$A:$AK,26,FALSE),"")</f>
      </c>
      <c r="S172" s="57">
        <f>IFERROR(VLOOKUP($A:$A,CS!$A:$AK,29,FALSE),"")</f>
      </c>
      <c r="T172" s="57">
        <f>IFERROR(VLOOKUP($A:$A,CS!$A:$AK,33,FALSE),"")</f>
      </c>
      <c r="U172" s="57">
        <f>IFERROR(VLOOKUP($A:$A,CS!$A:$AK,34,FALSE),"")</f>
      </c>
      <c r="V172" s="57">
        <f>IFERROR(VLOOKUP($A:$A,CS!$A:$AK,35,FALSE),"")</f>
      </c>
      <c r="W172" s="57">
        <f>IFERROR(VLOOKUP($A:$A,CS!$A:$AK,36,FALSE),"")</f>
      </c>
    </row>
    <row r="173" ht="16.5" customHeight="1" spans="1:23" x14ac:dyDescent="0.25">
      <c r="A173" s="71"/>
      <c r="B173" s="57">
        <f>IFERROR(VLOOKUP($A:$A,CS!$A:$AK,3,FALSE),"")</f>
      </c>
      <c r="C173" s="57">
        <f>IFERROR(VLOOKUP($A:$A,CS!$A:$AK,4,FALSE),"")</f>
      </c>
      <c r="D173" s="57">
        <f>IFERROR(VLOOKUP($A:$A,CS!$A:$AK,5,FALSE),"")</f>
      </c>
      <c r="E173" s="57">
        <f>IFERROR(VLOOKUP($A:$A,CS!$A:$AK,7,FALSE),"")</f>
      </c>
      <c r="F173" s="57">
        <f>IFERROR(VLOOKUP($A:$A,CS!$A:$AK,8,FALSE),"")</f>
      </c>
      <c r="G173" s="57">
        <f>IFERROR(VLOOKUP($A:$A,CS!$A:$AK,10,FALSE),"")</f>
      </c>
      <c r="H173" s="57">
        <f>IFERROR(VLOOKUP($A:$A,CS!$A:$AK,14,FALSE),"")</f>
      </c>
      <c r="I173" s="57">
        <f>IFERROR(VLOOKUP($A:$A,CS!$A:$AK,15,FALSE),"")</f>
      </c>
      <c r="J173" s="57">
        <f>IFERROR(VLOOKUP($A:$A,CS!$A:$AK,18,FALSE),"")</f>
      </c>
      <c r="K173" s="57">
        <f>IFERROR(VLOOKUP($A:$A,CS!$A:$AK,19,FALSE),"")</f>
      </c>
      <c r="L173" s="57">
        <f>IFERROR(VLOOKUP($A:$A,CS!$A:$AK,20,FALSE),"")</f>
      </c>
      <c r="M173" s="57">
        <f>IFERROR(VLOOKUP($A:$A,CS!$A:$AK,22,FALSE),"")</f>
      </c>
      <c r="N173" s="57">
        <f>IFERROR(VLOOKUP($A:$A,CS!$A:$AK,19,FALSE),"")</f>
      </c>
      <c r="O173" s="57">
        <f>IFERROR(VLOOKUP($A:$A,CS!$A:$AK,23,FALSE),"")</f>
      </c>
      <c r="P173" s="57">
        <f>IFERROR(VLOOKUP($A:$A,CS!$A:$AK,24,FALSE),"")</f>
      </c>
      <c r="Q173" s="57">
        <f>IFERROR(VLOOKUP($A:$A,CS!$A:$AK,25,FALSE),"")</f>
      </c>
      <c r="R173" s="57">
        <f>IFERROR(VLOOKUP($A:$A,CS!$A:$AK,26,FALSE),"")</f>
      </c>
      <c r="S173" s="57">
        <f>IFERROR(VLOOKUP($A:$A,CS!$A:$AK,29,FALSE),"")</f>
      </c>
      <c r="T173" s="57">
        <f>IFERROR(VLOOKUP($A:$A,CS!$A:$AK,33,FALSE),"")</f>
      </c>
      <c r="U173" s="57">
        <f>IFERROR(VLOOKUP($A:$A,CS!$A:$AK,34,FALSE),"")</f>
      </c>
      <c r="V173" s="57">
        <f>IFERROR(VLOOKUP($A:$A,CS!$A:$AK,35,FALSE),"")</f>
      </c>
      <c r="W173" s="57">
        <f>IFERROR(VLOOKUP($A:$A,CS!$A:$AK,36,FALSE),"")</f>
      </c>
    </row>
    <row r="174" ht="16.5" customHeight="1" spans="1:23" x14ac:dyDescent="0.25">
      <c r="A174" s="71"/>
      <c r="B174" s="57">
        <f>IFERROR(VLOOKUP($A:$A,CS!$A:$AK,3,FALSE),"")</f>
      </c>
      <c r="C174" s="57">
        <f>IFERROR(VLOOKUP($A:$A,CS!$A:$AK,4,FALSE),"")</f>
      </c>
      <c r="D174" s="57">
        <f>IFERROR(VLOOKUP($A:$A,CS!$A:$AK,5,FALSE),"")</f>
      </c>
      <c r="E174" s="57">
        <f>IFERROR(VLOOKUP($A:$A,CS!$A:$AK,7,FALSE),"")</f>
      </c>
      <c r="F174" s="57">
        <f>IFERROR(VLOOKUP($A:$A,CS!$A:$AK,8,FALSE),"")</f>
      </c>
      <c r="G174" s="57">
        <f>IFERROR(VLOOKUP($A:$A,CS!$A:$AK,10,FALSE),"")</f>
      </c>
      <c r="H174" s="57">
        <f>IFERROR(VLOOKUP($A:$A,CS!$A:$AK,14,FALSE),"")</f>
      </c>
      <c r="I174" s="57">
        <f>IFERROR(VLOOKUP($A:$A,CS!$A:$AK,15,FALSE),"")</f>
      </c>
      <c r="J174" s="57">
        <f>IFERROR(VLOOKUP($A:$A,CS!$A:$AK,18,FALSE),"")</f>
      </c>
      <c r="K174" s="57">
        <f>IFERROR(VLOOKUP($A:$A,CS!$A:$AK,19,FALSE),"")</f>
      </c>
      <c r="L174" s="57">
        <f>IFERROR(VLOOKUP($A:$A,CS!$A:$AK,20,FALSE),"")</f>
      </c>
      <c r="M174" s="57">
        <f>IFERROR(VLOOKUP($A:$A,CS!$A:$AK,22,FALSE),"")</f>
      </c>
      <c r="N174" s="57">
        <f>IFERROR(VLOOKUP($A:$A,CS!$A:$AK,19,FALSE),"")</f>
      </c>
      <c r="O174" s="57">
        <f>IFERROR(VLOOKUP($A:$A,CS!$A:$AK,23,FALSE),"")</f>
      </c>
      <c r="P174" s="57">
        <f>IFERROR(VLOOKUP($A:$A,CS!$A:$AK,24,FALSE),"")</f>
      </c>
      <c r="Q174" s="57">
        <f>IFERROR(VLOOKUP($A:$A,CS!$A:$AK,25,FALSE),"")</f>
      </c>
      <c r="R174" s="57">
        <f>IFERROR(VLOOKUP($A:$A,CS!$A:$AK,26,FALSE),"")</f>
      </c>
      <c r="S174" s="57">
        <f>IFERROR(VLOOKUP($A:$A,CS!$A:$AK,29,FALSE),"")</f>
      </c>
      <c r="T174" s="57">
        <f>IFERROR(VLOOKUP($A:$A,CS!$A:$AK,33,FALSE),"")</f>
      </c>
      <c r="U174" s="57">
        <f>IFERROR(VLOOKUP($A:$A,CS!$A:$AK,34,FALSE),"")</f>
      </c>
      <c r="V174" s="57">
        <f>IFERROR(VLOOKUP($A:$A,CS!$A:$AK,35,FALSE),"")</f>
      </c>
      <c r="W174" s="57">
        <f>IFERROR(VLOOKUP($A:$A,CS!$A:$AK,36,FALSE),"")</f>
      </c>
    </row>
    <row r="175" ht="16.5" customHeight="1" spans="1:23" x14ac:dyDescent="0.25">
      <c r="A175" s="71"/>
      <c r="B175" s="57">
        <f>IFERROR(VLOOKUP($A:$A,CS!$A:$AK,3,FALSE),"")</f>
      </c>
      <c r="C175" s="57">
        <f>IFERROR(VLOOKUP($A:$A,CS!$A:$AK,4,FALSE),"")</f>
      </c>
      <c r="D175" s="57">
        <f>IFERROR(VLOOKUP($A:$A,CS!$A:$AK,5,FALSE),"")</f>
      </c>
      <c r="E175" s="57">
        <f>IFERROR(VLOOKUP($A:$A,CS!$A:$AK,7,FALSE),"")</f>
      </c>
      <c r="F175" s="57">
        <f>IFERROR(VLOOKUP($A:$A,CS!$A:$AK,8,FALSE),"")</f>
      </c>
      <c r="G175" s="57">
        <f>IFERROR(VLOOKUP($A:$A,CS!$A:$AK,10,FALSE),"")</f>
      </c>
      <c r="H175" s="57">
        <f>IFERROR(VLOOKUP($A:$A,CS!$A:$AK,14,FALSE),"")</f>
      </c>
      <c r="I175" s="57">
        <f>IFERROR(VLOOKUP($A:$A,CS!$A:$AK,15,FALSE),"")</f>
      </c>
      <c r="J175" s="57">
        <f>IFERROR(VLOOKUP($A:$A,CS!$A:$AK,18,FALSE),"")</f>
      </c>
      <c r="K175" s="57">
        <f>IFERROR(VLOOKUP($A:$A,CS!$A:$AK,19,FALSE),"")</f>
      </c>
      <c r="L175" s="57">
        <f>IFERROR(VLOOKUP($A:$A,CS!$A:$AK,20,FALSE),"")</f>
      </c>
      <c r="M175" s="57">
        <f>IFERROR(VLOOKUP($A:$A,CS!$A:$AK,22,FALSE),"")</f>
      </c>
      <c r="N175" s="57">
        <f>IFERROR(VLOOKUP($A:$A,CS!$A:$AK,19,FALSE),"")</f>
      </c>
      <c r="O175" s="57">
        <f>IFERROR(VLOOKUP($A:$A,CS!$A:$AK,23,FALSE),"")</f>
      </c>
      <c r="P175" s="57">
        <f>IFERROR(VLOOKUP($A:$A,CS!$A:$AK,24,FALSE),"")</f>
      </c>
      <c r="Q175" s="57">
        <f>IFERROR(VLOOKUP($A:$A,CS!$A:$AK,25,FALSE),"")</f>
      </c>
      <c r="R175" s="57">
        <f>IFERROR(VLOOKUP($A:$A,CS!$A:$AK,26,FALSE),"")</f>
      </c>
      <c r="S175" s="57">
        <f>IFERROR(VLOOKUP($A:$A,CS!$A:$AK,29,FALSE),"")</f>
      </c>
      <c r="T175" s="57">
        <f>IFERROR(VLOOKUP($A:$A,CS!$A:$AK,33,FALSE),"")</f>
      </c>
      <c r="U175" s="57">
        <f>IFERROR(VLOOKUP($A:$A,CS!$A:$AK,34,FALSE),"")</f>
      </c>
      <c r="V175" s="57">
        <f>IFERROR(VLOOKUP($A:$A,CS!$A:$AK,35,FALSE),"")</f>
      </c>
      <c r="W175" s="57">
        <f>IFERROR(VLOOKUP($A:$A,CS!$A:$AK,36,FALSE),"")</f>
      </c>
    </row>
    <row r="176" ht="16.5" customHeight="1" spans="1:23" x14ac:dyDescent="0.25">
      <c r="A176" s="71"/>
      <c r="B176" s="57">
        <f>IFERROR(VLOOKUP($A:$A,CS!$A:$AK,3,FALSE),"")</f>
      </c>
      <c r="C176" s="57">
        <f>IFERROR(VLOOKUP($A:$A,CS!$A:$AK,4,FALSE),"")</f>
      </c>
      <c r="D176" s="57">
        <f>IFERROR(VLOOKUP($A:$A,CS!$A:$AK,5,FALSE),"")</f>
      </c>
      <c r="E176" s="57">
        <f>IFERROR(VLOOKUP($A:$A,CS!$A:$AK,7,FALSE),"")</f>
      </c>
      <c r="F176" s="57">
        <f>IFERROR(VLOOKUP($A:$A,CS!$A:$AK,8,FALSE),"")</f>
      </c>
      <c r="G176" s="57">
        <f>IFERROR(VLOOKUP($A:$A,CS!$A:$AK,10,FALSE),"")</f>
      </c>
      <c r="H176" s="57">
        <f>IFERROR(VLOOKUP($A:$A,CS!$A:$AK,14,FALSE),"")</f>
      </c>
      <c r="I176" s="57">
        <f>IFERROR(VLOOKUP($A:$A,CS!$A:$AK,15,FALSE),"")</f>
      </c>
      <c r="J176" s="57">
        <f>IFERROR(VLOOKUP($A:$A,CS!$A:$AK,18,FALSE),"")</f>
      </c>
      <c r="K176" s="57">
        <f>IFERROR(VLOOKUP($A:$A,CS!$A:$AK,19,FALSE),"")</f>
      </c>
      <c r="L176" s="57">
        <f>IFERROR(VLOOKUP($A:$A,CS!$A:$AK,20,FALSE),"")</f>
      </c>
      <c r="M176" s="57">
        <f>IFERROR(VLOOKUP($A:$A,CS!$A:$AK,22,FALSE),"")</f>
      </c>
      <c r="N176" s="57">
        <f>IFERROR(VLOOKUP($A:$A,CS!$A:$AK,19,FALSE),"")</f>
      </c>
      <c r="O176" s="57">
        <f>IFERROR(VLOOKUP($A:$A,CS!$A:$AK,23,FALSE),"")</f>
      </c>
      <c r="P176" s="57">
        <f>IFERROR(VLOOKUP($A:$A,CS!$A:$AK,24,FALSE),"")</f>
      </c>
      <c r="Q176" s="57">
        <f>IFERROR(VLOOKUP($A:$A,CS!$A:$AK,25,FALSE),"")</f>
      </c>
      <c r="R176" s="57">
        <f>IFERROR(VLOOKUP($A:$A,CS!$A:$AK,26,FALSE),"")</f>
      </c>
      <c r="S176" s="57">
        <f>IFERROR(VLOOKUP($A:$A,CS!$A:$AK,29,FALSE),"")</f>
      </c>
      <c r="T176" s="57">
        <f>IFERROR(VLOOKUP($A:$A,CS!$A:$AK,33,FALSE),"")</f>
      </c>
      <c r="U176" s="57">
        <f>IFERROR(VLOOKUP($A:$A,CS!$A:$AK,34,FALSE),"")</f>
      </c>
      <c r="V176" s="57">
        <f>IFERROR(VLOOKUP($A:$A,CS!$A:$AK,35,FALSE),"")</f>
      </c>
      <c r="W176" s="57">
        <f>IFERROR(VLOOKUP($A:$A,CS!$A:$AK,36,FALSE),"")</f>
      </c>
    </row>
    <row r="177" ht="16.5" customHeight="1" spans="1:23" x14ac:dyDescent="0.25">
      <c r="A177" s="71"/>
      <c r="B177" s="57">
        <f>IFERROR(VLOOKUP($A:$A,CS!$A:$AK,3,FALSE),"")</f>
      </c>
      <c r="C177" s="57">
        <f>IFERROR(VLOOKUP($A:$A,CS!$A:$AK,4,FALSE),"")</f>
      </c>
      <c r="D177" s="57">
        <f>IFERROR(VLOOKUP($A:$A,CS!$A:$AK,5,FALSE),"")</f>
      </c>
      <c r="E177" s="57">
        <f>IFERROR(VLOOKUP($A:$A,CS!$A:$AK,7,FALSE),"")</f>
      </c>
      <c r="F177" s="57">
        <f>IFERROR(VLOOKUP($A:$A,CS!$A:$AK,8,FALSE),"")</f>
      </c>
      <c r="G177" s="57">
        <f>IFERROR(VLOOKUP($A:$A,CS!$A:$AK,10,FALSE),"")</f>
      </c>
      <c r="H177" s="57">
        <f>IFERROR(VLOOKUP($A:$A,CS!$A:$AK,14,FALSE),"")</f>
      </c>
      <c r="I177" s="57">
        <f>IFERROR(VLOOKUP($A:$A,CS!$A:$AK,15,FALSE),"")</f>
      </c>
      <c r="J177" s="57">
        <f>IFERROR(VLOOKUP($A:$A,CS!$A:$AK,18,FALSE),"")</f>
      </c>
      <c r="K177" s="57">
        <f>IFERROR(VLOOKUP($A:$A,CS!$A:$AK,19,FALSE),"")</f>
      </c>
      <c r="L177" s="57">
        <f>IFERROR(VLOOKUP($A:$A,CS!$A:$AK,20,FALSE),"")</f>
      </c>
      <c r="M177" s="57">
        <f>IFERROR(VLOOKUP($A:$A,CS!$A:$AK,22,FALSE),"")</f>
      </c>
      <c r="N177" s="57">
        <f>IFERROR(VLOOKUP($A:$A,CS!$A:$AK,19,FALSE),"")</f>
      </c>
      <c r="O177" s="57">
        <f>IFERROR(VLOOKUP($A:$A,CS!$A:$AK,23,FALSE),"")</f>
      </c>
      <c r="P177" s="57">
        <f>IFERROR(VLOOKUP($A:$A,CS!$A:$AK,24,FALSE),"")</f>
      </c>
      <c r="Q177" s="57">
        <f>IFERROR(VLOOKUP($A:$A,CS!$A:$AK,25,FALSE),"")</f>
      </c>
      <c r="R177" s="57">
        <f>IFERROR(VLOOKUP($A:$A,CS!$A:$AK,26,FALSE),"")</f>
      </c>
      <c r="S177" s="57">
        <f>IFERROR(VLOOKUP($A:$A,CS!$A:$AK,29,FALSE),"")</f>
      </c>
      <c r="T177" s="57">
        <f>IFERROR(VLOOKUP($A:$A,CS!$A:$AK,33,FALSE),"")</f>
      </c>
      <c r="U177" s="57">
        <f>IFERROR(VLOOKUP($A:$A,CS!$A:$AK,34,FALSE),"")</f>
      </c>
      <c r="V177" s="57">
        <f>IFERROR(VLOOKUP($A:$A,CS!$A:$AK,35,FALSE),"")</f>
      </c>
      <c r="W177" s="57">
        <f>IFERROR(VLOOKUP($A:$A,CS!$A:$AK,36,FALSE),"")</f>
      </c>
    </row>
    <row r="178" ht="16.5" customHeight="1" spans="1:23" x14ac:dyDescent="0.25">
      <c r="A178" s="71"/>
      <c r="B178" s="57">
        <f>IFERROR(VLOOKUP($A:$A,CS!$A:$AK,3,FALSE),"")</f>
      </c>
      <c r="C178" s="57">
        <f>IFERROR(VLOOKUP($A:$A,CS!$A:$AK,4,FALSE),"")</f>
      </c>
      <c r="D178" s="57">
        <f>IFERROR(VLOOKUP($A:$A,CS!$A:$AK,5,FALSE),"")</f>
      </c>
      <c r="E178" s="57">
        <f>IFERROR(VLOOKUP($A:$A,CS!$A:$AK,7,FALSE),"")</f>
      </c>
      <c r="F178" s="57">
        <f>IFERROR(VLOOKUP($A:$A,CS!$A:$AK,8,FALSE),"")</f>
      </c>
      <c r="G178" s="57">
        <f>IFERROR(VLOOKUP($A:$A,CS!$A:$AK,10,FALSE),"")</f>
      </c>
      <c r="H178" s="57">
        <f>IFERROR(VLOOKUP($A:$A,CS!$A:$AK,14,FALSE),"")</f>
      </c>
      <c r="I178" s="57">
        <f>IFERROR(VLOOKUP($A:$A,CS!$A:$AK,15,FALSE),"")</f>
      </c>
      <c r="J178" s="57">
        <f>IFERROR(VLOOKUP($A:$A,CS!$A:$AK,18,FALSE),"")</f>
      </c>
      <c r="K178" s="57">
        <f>IFERROR(VLOOKUP($A:$A,CS!$A:$AK,19,FALSE),"")</f>
      </c>
      <c r="L178" s="57">
        <f>IFERROR(VLOOKUP($A:$A,CS!$A:$AK,20,FALSE),"")</f>
      </c>
      <c r="M178" s="57">
        <f>IFERROR(VLOOKUP($A:$A,CS!$A:$AK,22,FALSE),"")</f>
      </c>
      <c r="N178" s="57">
        <f>IFERROR(VLOOKUP($A:$A,CS!$A:$AK,19,FALSE),"")</f>
      </c>
      <c r="O178" s="57">
        <f>IFERROR(VLOOKUP($A:$A,CS!$A:$AK,23,FALSE),"")</f>
      </c>
      <c r="P178" s="57">
        <f>IFERROR(VLOOKUP($A:$A,CS!$A:$AK,24,FALSE),"")</f>
      </c>
      <c r="Q178" s="57">
        <f>IFERROR(VLOOKUP($A:$A,CS!$A:$AK,25,FALSE),"")</f>
      </c>
      <c r="R178" s="57">
        <f>IFERROR(VLOOKUP($A:$A,CS!$A:$AK,26,FALSE),"")</f>
      </c>
      <c r="S178" s="57">
        <f>IFERROR(VLOOKUP($A:$A,CS!$A:$AK,29,FALSE),"")</f>
      </c>
      <c r="T178" s="57">
        <f>IFERROR(VLOOKUP($A:$A,CS!$A:$AK,33,FALSE),"")</f>
      </c>
      <c r="U178" s="57">
        <f>IFERROR(VLOOKUP($A:$A,CS!$A:$AK,34,FALSE),"")</f>
      </c>
      <c r="V178" s="57">
        <f>IFERROR(VLOOKUP($A:$A,CS!$A:$AK,35,FALSE),"")</f>
      </c>
      <c r="W178" s="57">
        <f>IFERROR(VLOOKUP($A:$A,CS!$A:$AK,36,FALSE),"")</f>
      </c>
    </row>
    <row r="179" ht="16.5" customHeight="1" spans="1:23" x14ac:dyDescent="0.25">
      <c r="A179" s="71"/>
      <c r="B179" s="57">
        <f>IFERROR(VLOOKUP($A:$A,CS!$A:$AK,3,FALSE),"")</f>
      </c>
      <c r="C179" s="57">
        <f>IFERROR(VLOOKUP($A:$A,CS!$A:$AK,4,FALSE),"")</f>
      </c>
      <c r="D179" s="57">
        <f>IFERROR(VLOOKUP($A:$A,CS!$A:$AK,5,FALSE),"")</f>
      </c>
      <c r="E179" s="57">
        <f>IFERROR(VLOOKUP($A:$A,CS!$A:$AK,7,FALSE),"")</f>
      </c>
      <c r="F179" s="57">
        <f>IFERROR(VLOOKUP($A:$A,CS!$A:$AK,8,FALSE),"")</f>
      </c>
      <c r="G179" s="57">
        <f>IFERROR(VLOOKUP($A:$A,CS!$A:$AK,10,FALSE),"")</f>
      </c>
      <c r="H179" s="57">
        <f>IFERROR(VLOOKUP($A:$A,CS!$A:$AK,14,FALSE),"")</f>
      </c>
      <c r="I179" s="57">
        <f>IFERROR(VLOOKUP($A:$A,CS!$A:$AK,15,FALSE),"")</f>
      </c>
      <c r="J179" s="57">
        <f>IFERROR(VLOOKUP($A:$A,CS!$A:$AK,18,FALSE),"")</f>
      </c>
      <c r="K179" s="57">
        <f>IFERROR(VLOOKUP($A:$A,CS!$A:$AK,19,FALSE),"")</f>
      </c>
      <c r="L179" s="57">
        <f>IFERROR(VLOOKUP($A:$A,CS!$A:$AK,20,FALSE),"")</f>
      </c>
      <c r="M179" s="57">
        <f>IFERROR(VLOOKUP($A:$A,CS!$A:$AK,22,FALSE),"")</f>
      </c>
      <c r="N179" s="57">
        <f>IFERROR(VLOOKUP($A:$A,CS!$A:$AK,19,FALSE),"")</f>
      </c>
      <c r="O179" s="57">
        <f>IFERROR(VLOOKUP($A:$A,CS!$A:$AK,23,FALSE),"")</f>
      </c>
      <c r="P179" s="57">
        <f>IFERROR(VLOOKUP($A:$A,CS!$A:$AK,24,FALSE),"")</f>
      </c>
      <c r="Q179" s="57">
        <f>IFERROR(VLOOKUP($A:$A,CS!$A:$AK,25,FALSE),"")</f>
      </c>
      <c r="R179" s="57">
        <f>IFERROR(VLOOKUP($A:$A,CS!$A:$AK,26,FALSE),"")</f>
      </c>
      <c r="S179" s="57">
        <f>IFERROR(VLOOKUP($A:$A,CS!$A:$AK,29,FALSE),"")</f>
      </c>
      <c r="T179" s="57">
        <f>IFERROR(VLOOKUP($A:$A,CS!$A:$AK,33,FALSE),"")</f>
      </c>
      <c r="U179" s="57">
        <f>IFERROR(VLOOKUP($A:$A,CS!$A:$AK,34,FALSE),"")</f>
      </c>
      <c r="V179" s="57">
        <f>IFERROR(VLOOKUP($A:$A,CS!$A:$AK,35,FALSE),"")</f>
      </c>
      <c r="W179" s="57">
        <f>IFERROR(VLOOKUP($A:$A,CS!$A:$AK,36,FALSE),"")</f>
      </c>
    </row>
    <row r="180" ht="16.5" customHeight="1" spans="1:23" x14ac:dyDescent="0.25">
      <c r="A180" s="71"/>
      <c r="B180" s="57">
        <f>IFERROR(VLOOKUP($A:$A,CS!$A:$AK,3,FALSE),"")</f>
      </c>
      <c r="C180" s="57">
        <f>IFERROR(VLOOKUP($A:$A,CS!$A:$AK,4,FALSE),"")</f>
      </c>
      <c r="D180" s="57">
        <f>IFERROR(VLOOKUP($A:$A,CS!$A:$AK,5,FALSE),"")</f>
      </c>
      <c r="E180" s="57">
        <f>IFERROR(VLOOKUP($A:$A,CS!$A:$AK,7,FALSE),"")</f>
      </c>
      <c r="F180" s="57">
        <f>IFERROR(VLOOKUP($A:$A,CS!$A:$AK,8,FALSE),"")</f>
      </c>
      <c r="G180" s="57">
        <f>IFERROR(VLOOKUP($A:$A,CS!$A:$AK,10,FALSE),"")</f>
      </c>
      <c r="H180" s="57">
        <f>IFERROR(VLOOKUP($A:$A,CS!$A:$AK,14,FALSE),"")</f>
      </c>
      <c r="I180" s="57">
        <f>IFERROR(VLOOKUP($A:$A,CS!$A:$AK,15,FALSE),"")</f>
      </c>
      <c r="J180" s="57">
        <f>IFERROR(VLOOKUP($A:$A,CS!$A:$AK,18,FALSE),"")</f>
      </c>
      <c r="K180" s="57">
        <f>IFERROR(VLOOKUP($A:$A,CS!$A:$AK,19,FALSE),"")</f>
      </c>
      <c r="L180" s="57">
        <f>IFERROR(VLOOKUP($A:$A,CS!$A:$AK,20,FALSE),"")</f>
      </c>
      <c r="M180" s="57">
        <f>IFERROR(VLOOKUP($A:$A,CS!$A:$AK,22,FALSE),"")</f>
      </c>
      <c r="N180" s="57">
        <f>IFERROR(VLOOKUP($A:$A,CS!$A:$AK,19,FALSE),"")</f>
      </c>
      <c r="O180" s="57">
        <f>IFERROR(VLOOKUP($A:$A,CS!$A:$AK,23,FALSE),"")</f>
      </c>
      <c r="P180" s="57">
        <f>IFERROR(VLOOKUP($A:$A,CS!$A:$AK,24,FALSE),"")</f>
      </c>
      <c r="Q180" s="57">
        <f>IFERROR(VLOOKUP($A:$A,CS!$A:$AK,25,FALSE),"")</f>
      </c>
      <c r="R180" s="57">
        <f>IFERROR(VLOOKUP($A:$A,CS!$A:$AK,26,FALSE),"")</f>
      </c>
      <c r="S180" s="57">
        <f>IFERROR(VLOOKUP($A:$A,CS!$A:$AK,29,FALSE),"")</f>
      </c>
      <c r="T180" s="57">
        <f>IFERROR(VLOOKUP($A:$A,CS!$A:$AK,33,FALSE),"")</f>
      </c>
      <c r="U180" s="57">
        <f>IFERROR(VLOOKUP($A:$A,CS!$A:$AK,34,FALSE),"")</f>
      </c>
      <c r="V180" s="57">
        <f>IFERROR(VLOOKUP($A:$A,CS!$A:$AK,35,FALSE),"")</f>
      </c>
      <c r="W180" s="57">
        <f>IFERROR(VLOOKUP($A:$A,CS!$A:$AK,36,FALSE),"")</f>
      </c>
    </row>
    <row r="181" ht="16.5" customHeight="1" spans="1:23" x14ac:dyDescent="0.25">
      <c r="A181" s="71"/>
      <c r="B181" s="57">
        <f>IFERROR(VLOOKUP($A:$A,CS!$A:$AK,3,FALSE),"")</f>
      </c>
      <c r="C181" s="57">
        <f>IFERROR(VLOOKUP($A:$A,CS!$A:$AK,4,FALSE),"")</f>
      </c>
      <c r="D181" s="57">
        <f>IFERROR(VLOOKUP($A:$A,CS!$A:$AK,5,FALSE),"")</f>
      </c>
      <c r="E181" s="57">
        <f>IFERROR(VLOOKUP($A:$A,CS!$A:$AK,7,FALSE),"")</f>
      </c>
      <c r="F181" s="57">
        <f>IFERROR(VLOOKUP($A:$A,CS!$A:$AK,8,FALSE),"")</f>
      </c>
      <c r="G181" s="57">
        <f>IFERROR(VLOOKUP($A:$A,CS!$A:$AK,10,FALSE),"")</f>
      </c>
      <c r="H181" s="57">
        <f>IFERROR(VLOOKUP($A:$A,CS!$A:$AK,14,FALSE),"")</f>
      </c>
      <c r="I181" s="57">
        <f>IFERROR(VLOOKUP($A:$A,CS!$A:$AK,15,FALSE),"")</f>
      </c>
      <c r="J181" s="57">
        <f>IFERROR(VLOOKUP($A:$A,CS!$A:$AK,18,FALSE),"")</f>
      </c>
      <c r="K181" s="57">
        <f>IFERROR(VLOOKUP($A:$A,CS!$A:$AK,19,FALSE),"")</f>
      </c>
      <c r="L181" s="57">
        <f>IFERROR(VLOOKUP($A:$A,CS!$A:$AK,20,FALSE),"")</f>
      </c>
      <c r="M181" s="57">
        <f>IFERROR(VLOOKUP($A:$A,CS!$A:$AK,22,FALSE),"")</f>
      </c>
      <c r="N181" s="57">
        <f>IFERROR(VLOOKUP($A:$A,CS!$A:$AK,19,FALSE),"")</f>
      </c>
      <c r="O181" s="57">
        <f>IFERROR(VLOOKUP($A:$A,CS!$A:$AK,23,FALSE),"")</f>
      </c>
      <c r="P181" s="57">
        <f>IFERROR(VLOOKUP($A:$A,CS!$A:$AK,24,FALSE),"")</f>
      </c>
      <c r="Q181" s="57">
        <f>IFERROR(VLOOKUP($A:$A,CS!$A:$AK,25,FALSE),"")</f>
      </c>
      <c r="R181" s="57">
        <f>IFERROR(VLOOKUP($A:$A,CS!$A:$AK,26,FALSE),"")</f>
      </c>
      <c r="S181" s="57">
        <f>IFERROR(VLOOKUP($A:$A,CS!$A:$AK,29,FALSE),"")</f>
      </c>
      <c r="T181" s="57">
        <f>IFERROR(VLOOKUP($A:$A,CS!$A:$AK,33,FALSE),"")</f>
      </c>
      <c r="U181" s="57">
        <f>IFERROR(VLOOKUP($A:$A,CS!$A:$AK,34,FALSE),"")</f>
      </c>
      <c r="V181" s="57">
        <f>IFERROR(VLOOKUP($A:$A,CS!$A:$AK,35,FALSE),"")</f>
      </c>
      <c r="W181" s="57">
        <f>IFERROR(VLOOKUP($A:$A,CS!$A:$AK,36,FALSE),"")</f>
      </c>
    </row>
    <row r="182" ht="16.5" customHeight="1" spans="1:23" x14ac:dyDescent="0.25">
      <c r="A182" s="71"/>
      <c r="B182" s="57">
        <f>IFERROR(VLOOKUP($A:$A,CS!$A:$AK,3,FALSE),"")</f>
      </c>
      <c r="C182" s="57">
        <f>IFERROR(VLOOKUP($A:$A,CS!$A:$AK,4,FALSE),"")</f>
      </c>
      <c r="D182" s="57">
        <f>IFERROR(VLOOKUP($A:$A,CS!$A:$AK,5,FALSE),"")</f>
      </c>
      <c r="E182" s="57">
        <f>IFERROR(VLOOKUP($A:$A,CS!$A:$AK,7,FALSE),"")</f>
      </c>
      <c r="F182" s="57">
        <f>IFERROR(VLOOKUP($A:$A,CS!$A:$AK,8,FALSE),"")</f>
      </c>
      <c r="G182" s="57">
        <f>IFERROR(VLOOKUP($A:$A,CS!$A:$AK,10,FALSE),"")</f>
      </c>
      <c r="H182" s="57">
        <f>IFERROR(VLOOKUP($A:$A,CS!$A:$AK,14,FALSE),"")</f>
      </c>
      <c r="I182" s="57">
        <f>IFERROR(VLOOKUP($A:$A,CS!$A:$AK,15,FALSE),"")</f>
      </c>
      <c r="J182" s="57">
        <f>IFERROR(VLOOKUP($A:$A,CS!$A:$AK,18,FALSE),"")</f>
      </c>
      <c r="K182" s="57">
        <f>IFERROR(VLOOKUP($A:$A,CS!$A:$AK,19,FALSE),"")</f>
      </c>
      <c r="L182" s="57">
        <f>IFERROR(VLOOKUP($A:$A,CS!$A:$AK,20,FALSE),"")</f>
      </c>
      <c r="M182" s="57">
        <f>IFERROR(VLOOKUP($A:$A,CS!$A:$AK,22,FALSE),"")</f>
      </c>
      <c r="N182" s="57">
        <f>IFERROR(VLOOKUP($A:$A,CS!$A:$AK,19,FALSE),"")</f>
      </c>
      <c r="O182" s="57">
        <f>IFERROR(VLOOKUP($A:$A,CS!$A:$AK,23,FALSE),"")</f>
      </c>
      <c r="P182" s="57">
        <f>IFERROR(VLOOKUP($A:$A,CS!$A:$AK,24,FALSE),"")</f>
      </c>
      <c r="Q182" s="57">
        <f>IFERROR(VLOOKUP($A:$A,CS!$A:$AK,25,FALSE),"")</f>
      </c>
      <c r="R182" s="57">
        <f>IFERROR(VLOOKUP($A:$A,CS!$A:$AK,26,FALSE),"")</f>
      </c>
      <c r="S182" s="57">
        <f>IFERROR(VLOOKUP($A:$A,CS!$A:$AK,29,FALSE),"")</f>
      </c>
      <c r="T182" s="57">
        <f>IFERROR(VLOOKUP($A:$A,CS!$A:$AK,33,FALSE),"")</f>
      </c>
      <c r="U182" s="57">
        <f>IFERROR(VLOOKUP($A:$A,CS!$A:$AK,34,FALSE),"")</f>
      </c>
      <c r="V182" s="57">
        <f>IFERROR(VLOOKUP($A:$A,CS!$A:$AK,35,FALSE),"")</f>
      </c>
      <c r="W182" s="57">
        <f>IFERROR(VLOOKUP($A:$A,CS!$A:$AK,36,FALSE),"")</f>
      </c>
    </row>
    <row r="183" ht="16.5" customHeight="1" spans="1:23" x14ac:dyDescent="0.25">
      <c r="A183" s="71"/>
      <c r="B183" s="57">
        <f>IFERROR(VLOOKUP($A:$A,CS!$A:$AK,3,FALSE),"")</f>
      </c>
      <c r="C183" s="57">
        <f>IFERROR(VLOOKUP($A:$A,CS!$A:$AK,4,FALSE),"")</f>
      </c>
      <c r="D183" s="57">
        <f>IFERROR(VLOOKUP($A:$A,CS!$A:$AK,5,FALSE),"")</f>
      </c>
      <c r="E183" s="57">
        <f>IFERROR(VLOOKUP($A:$A,CS!$A:$AK,7,FALSE),"")</f>
      </c>
      <c r="F183" s="57">
        <f>IFERROR(VLOOKUP($A:$A,CS!$A:$AK,8,FALSE),"")</f>
      </c>
      <c r="G183" s="57">
        <f>IFERROR(VLOOKUP($A:$A,CS!$A:$AK,10,FALSE),"")</f>
      </c>
      <c r="H183" s="57">
        <f>IFERROR(VLOOKUP($A:$A,CS!$A:$AK,14,FALSE),"")</f>
      </c>
      <c r="I183" s="57">
        <f>IFERROR(VLOOKUP($A:$A,CS!$A:$AK,15,FALSE),"")</f>
      </c>
      <c r="J183" s="57">
        <f>IFERROR(VLOOKUP($A:$A,CS!$A:$AK,18,FALSE),"")</f>
      </c>
      <c r="K183" s="57">
        <f>IFERROR(VLOOKUP($A:$A,CS!$A:$AK,19,FALSE),"")</f>
      </c>
      <c r="L183" s="57">
        <f>IFERROR(VLOOKUP($A:$A,CS!$A:$AK,20,FALSE),"")</f>
      </c>
      <c r="M183" s="57">
        <f>IFERROR(VLOOKUP($A:$A,CS!$A:$AK,22,FALSE),"")</f>
      </c>
      <c r="N183" s="57">
        <f>IFERROR(VLOOKUP($A:$A,CS!$A:$AK,19,FALSE),"")</f>
      </c>
      <c r="O183" s="57">
        <f>IFERROR(VLOOKUP($A:$A,CS!$A:$AK,23,FALSE),"")</f>
      </c>
      <c r="P183" s="57">
        <f>IFERROR(VLOOKUP($A:$A,CS!$A:$AK,24,FALSE),"")</f>
      </c>
      <c r="Q183" s="57">
        <f>IFERROR(VLOOKUP($A:$A,CS!$A:$AK,25,FALSE),"")</f>
      </c>
      <c r="R183" s="57">
        <f>IFERROR(VLOOKUP($A:$A,CS!$A:$AK,26,FALSE),"")</f>
      </c>
      <c r="S183" s="57">
        <f>IFERROR(VLOOKUP($A:$A,CS!$A:$AK,29,FALSE),"")</f>
      </c>
      <c r="T183" s="57">
        <f>IFERROR(VLOOKUP($A:$A,CS!$A:$AK,33,FALSE),"")</f>
      </c>
      <c r="U183" s="57">
        <f>IFERROR(VLOOKUP($A:$A,CS!$A:$AK,34,FALSE),"")</f>
      </c>
      <c r="V183" s="57">
        <f>IFERROR(VLOOKUP($A:$A,CS!$A:$AK,35,FALSE),"")</f>
      </c>
      <c r="W183" s="57">
        <f>IFERROR(VLOOKUP($A:$A,CS!$A:$AK,36,FALSE),"")</f>
      </c>
    </row>
    <row r="184" ht="16.5" customHeight="1" spans="1:23" x14ac:dyDescent="0.25">
      <c r="A184" s="71"/>
      <c r="B184" s="57">
        <f>IFERROR(VLOOKUP($A:$A,CS!$A:$AK,3,FALSE),"")</f>
      </c>
      <c r="C184" s="57">
        <f>IFERROR(VLOOKUP($A:$A,CS!$A:$AK,4,FALSE),"")</f>
      </c>
      <c r="D184" s="57">
        <f>IFERROR(VLOOKUP($A:$A,CS!$A:$AK,5,FALSE),"")</f>
      </c>
      <c r="E184" s="57">
        <f>IFERROR(VLOOKUP($A:$A,CS!$A:$AK,7,FALSE),"")</f>
      </c>
      <c r="F184" s="57">
        <f>IFERROR(VLOOKUP($A:$A,CS!$A:$AK,8,FALSE),"")</f>
      </c>
      <c r="G184" s="57">
        <f>IFERROR(VLOOKUP($A:$A,CS!$A:$AK,10,FALSE),"")</f>
      </c>
      <c r="H184" s="57">
        <f>IFERROR(VLOOKUP($A:$A,CS!$A:$AK,14,FALSE),"")</f>
      </c>
      <c r="I184" s="57">
        <f>IFERROR(VLOOKUP($A:$A,CS!$A:$AK,15,FALSE),"")</f>
      </c>
      <c r="J184" s="57">
        <f>IFERROR(VLOOKUP($A:$A,CS!$A:$AK,18,FALSE),"")</f>
      </c>
      <c r="K184" s="57">
        <f>IFERROR(VLOOKUP($A:$A,CS!$A:$AK,19,FALSE),"")</f>
      </c>
      <c r="L184" s="57">
        <f>IFERROR(VLOOKUP($A:$A,CS!$A:$AK,20,FALSE),"")</f>
      </c>
      <c r="M184" s="57">
        <f>IFERROR(VLOOKUP($A:$A,CS!$A:$AK,22,FALSE),"")</f>
      </c>
      <c r="N184" s="57">
        <f>IFERROR(VLOOKUP($A:$A,CS!$A:$AK,19,FALSE),"")</f>
      </c>
      <c r="O184" s="57">
        <f>IFERROR(VLOOKUP($A:$A,CS!$A:$AK,23,FALSE),"")</f>
      </c>
      <c r="P184" s="57">
        <f>IFERROR(VLOOKUP($A:$A,CS!$A:$AK,24,FALSE),"")</f>
      </c>
      <c r="Q184" s="57">
        <f>IFERROR(VLOOKUP($A:$A,CS!$A:$AK,25,FALSE),"")</f>
      </c>
      <c r="R184" s="57">
        <f>IFERROR(VLOOKUP($A:$A,CS!$A:$AK,26,FALSE),"")</f>
      </c>
      <c r="S184" s="57">
        <f>IFERROR(VLOOKUP($A:$A,CS!$A:$AK,29,FALSE),"")</f>
      </c>
      <c r="T184" s="57">
        <f>IFERROR(VLOOKUP($A:$A,CS!$A:$AK,33,FALSE),"")</f>
      </c>
      <c r="U184" s="57">
        <f>IFERROR(VLOOKUP($A:$A,CS!$A:$AK,34,FALSE),"")</f>
      </c>
      <c r="V184" s="57">
        <f>IFERROR(VLOOKUP($A:$A,CS!$A:$AK,35,FALSE),"")</f>
      </c>
      <c r="W184" s="57">
        <f>IFERROR(VLOOKUP($A:$A,CS!$A:$AK,36,FALSE),"")</f>
      </c>
    </row>
    <row r="185" ht="16.5" customHeight="1" spans="1:23" x14ac:dyDescent="0.25">
      <c r="A185" s="71"/>
      <c r="B185" s="57">
        <f>IFERROR(VLOOKUP($A:$A,CS!$A:$AK,3,FALSE),"")</f>
      </c>
      <c r="C185" s="57">
        <f>IFERROR(VLOOKUP($A:$A,CS!$A:$AK,4,FALSE),"")</f>
      </c>
      <c r="D185" s="57">
        <f>IFERROR(VLOOKUP($A:$A,CS!$A:$AK,5,FALSE),"")</f>
      </c>
      <c r="E185" s="57">
        <f>IFERROR(VLOOKUP($A:$A,CS!$A:$AK,7,FALSE),"")</f>
      </c>
      <c r="F185" s="57">
        <f>IFERROR(VLOOKUP($A:$A,CS!$A:$AK,8,FALSE),"")</f>
      </c>
      <c r="G185" s="57">
        <f>IFERROR(VLOOKUP($A:$A,CS!$A:$AK,10,FALSE),"")</f>
      </c>
      <c r="H185" s="57">
        <f>IFERROR(VLOOKUP($A:$A,CS!$A:$AK,14,FALSE),"")</f>
      </c>
      <c r="I185" s="57">
        <f>IFERROR(VLOOKUP($A:$A,CS!$A:$AK,15,FALSE),"")</f>
      </c>
      <c r="J185" s="57">
        <f>IFERROR(VLOOKUP($A:$A,CS!$A:$AK,18,FALSE),"")</f>
      </c>
      <c r="K185" s="57">
        <f>IFERROR(VLOOKUP($A:$A,CS!$A:$AK,19,FALSE),"")</f>
      </c>
      <c r="L185" s="57">
        <f>IFERROR(VLOOKUP($A:$A,CS!$A:$AK,20,FALSE),"")</f>
      </c>
      <c r="M185" s="57">
        <f>IFERROR(VLOOKUP($A:$A,CS!$A:$AK,22,FALSE),"")</f>
      </c>
      <c r="N185" s="57">
        <f>IFERROR(VLOOKUP($A:$A,CS!$A:$AK,19,FALSE),"")</f>
      </c>
      <c r="O185" s="57">
        <f>IFERROR(VLOOKUP($A:$A,CS!$A:$AK,23,FALSE),"")</f>
      </c>
      <c r="P185" s="57">
        <f>IFERROR(VLOOKUP($A:$A,CS!$A:$AK,24,FALSE),"")</f>
      </c>
      <c r="Q185" s="57">
        <f>IFERROR(VLOOKUP($A:$A,CS!$A:$AK,25,FALSE),"")</f>
      </c>
      <c r="R185" s="57">
        <f>IFERROR(VLOOKUP($A:$A,CS!$A:$AK,26,FALSE),"")</f>
      </c>
      <c r="S185" s="57">
        <f>IFERROR(VLOOKUP($A:$A,CS!$A:$AK,29,FALSE),"")</f>
      </c>
      <c r="T185" s="57">
        <f>IFERROR(VLOOKUP($A:$A,CS!$A:$AK,33,FALSE),"")</f>
      </c>
      <c r="U185" s="57">
        <f>IFERROR(VLOOKUP($A:$A,CS!$A:$AK,34,FALSE),"")</f>
      </c>
      <c r="V185" s="57">
        <f>IFERROR(VLOOKUP($A:$A,CS!$A:$AK,35,FALSE),"")</f>
      </c>
      <c r="W185" s="57">
        <f>IFERROR(VLOOKUP($A:$A,CS!$A:$AK,36,FALSE),"")</f>
      </c>
    </row>
    <row r="186" ht="16.5" customHeight="1" spans="1:23" x14ac:dyDescent="0.25">
      <c r="A186" s="71"/>
      <c r="B186" s="57">
        <f>IFERROR(VLOOKUP($A:$A,CS!$A:$AK,3,FALSE),"")</f>
      </c>
      <c r="C186" s="57">
        <f>IFERROR(VLOOKUP($A:$A,CS!$A:$AK,4,FALSE),"")</f>
      </c>
      <c r="D186" s="57">
        <f>IFERROR(VLOOKUP($A:$A,CS!$A:$AK,5,FALSE),"")</f>
      </c>
      <c r="E186" s="57">
        <f>IFERROR(VLOOKUP($A:$A,CS!$A:$AK,7,FALSE),"")</f>
      </c>
      <c r="F186" s="57">
        <f>IFERROR(VLOOKUP($A:$A,CS!$A:$AK,8,FALSE),"")</f>
      </c>
      <c r="G186" s="57">
        <f>IFERROR(VLOOKUP($A:$A,CS!$A:$AK,10,FALSE),"")</f>
      </c>
      <c r="H186" s="57">
        <f>IFERROR(VLOOKUP($A:$A,CS!$A:$AK,14,FALSE),"")</f>
      </c>
      <c r="I186" s="57">
        <f>IFERROR(VLOOKUP($A:$A,CS!$A:$AK,15,FALSE),"")</f>
      </c>
      <c r="J186" s="57">
        <f>IFERROR(VLOOKUP($A:$A,CS!$A:$AK,18,FALSE),"")</f>
      </c>
      <c r="K186" s="57">
        <f>IFERROR(VLOOKUP($A:$A,CS!$A:$AK,19,FALSE),"")</f>
      </c>
      <c r="L186" s="57">
        <f>IFERROR(VLOOKUP($A:$A,CS!$A:$AK,20,FALSE),"")</f>
      </c>
      <c r="M186" s="57">
        <f>IFERROR(VLOOKUP($A:$A,CS!$A:$AK,22,FALSE),"")</f>
      </c>
      <c r="N186" s="57">
        <f>IFERROR(VLOOKUP($A:$A,CS!$A:$AK,19,FALSE),"")</f>
      </c>
      <c r="O186" s="57">
        <f>IFERROR(VLOOKUP($A:$A,CS!$A:$AK,23,FALSE),"")</f>
      </c>
      <c r="P186" s="57">
        <f>IFERROR(VLOOKUP($A:$A,CS!$A:$AK,24,FALSE),"")</f>
      </c>
      <c r="Q186" s="57">
        <f>IFERROR(VLOOKUP($A:$A,CS!$A:$AK,25,FALSE),"")</f>
      </c>
      <c r="R186" s="57">
        <f>IFERROR(VLOOKUP($A:$A,CS!$A:$AK,26,FALSE),"")</f>
      </c>
      <c r="S186" s="57">
        <f>IFERROR(VLOOKUP($A:$A,CS!$A:$AK,29,FALSE),"")</f>
      </c>
      <c r="T186" s="57">
        <f>IFERROR(VLOOKUP($A:$A,CS!$A:$AK,33,FALSE),"")</f>
      </c>
      <c r="U186" s="57">
        <f>IFERROR(VLOOKUP($A:$A,CS!$A:$AK,34,FALSE),"")</f>
      </c>
      <c r="V186" s="57">
        <f>IFERROR(VLOOKUP($A:$A,CS!$A:$AK,35,FALSE),"")</f>
      </c>
      <c r="W186" s="57">
        <f>IFERROR(VLOOKUP($A:$A,CS!$A:$AK,36,FALSE),"")</f>
      </c>
    </row>
    <row r="187" ht="16.5" customHeight="1" spans="1:23" x14ac:dyDescent="0.25">
      <c r="A187" s="71"/>
      <c r="B187" s="57">
        <f>IFERROR(VLOOKUP($A:$A,CS!$A:$AK,3,FALSE),"")</f>
      </c>
      <c r="C187" s="57">
        <f>IFERROR(VLOOKUP($A:$A,CS!$A:$AK,4,FALSE),"")</f>
      </c>
      <c r="D187" s="57">
        <f>IFERROR(VLOOKUP($A:$A,CS!$A:$AK,5,FALSE),"")</f>
      </c>
      <c r="E187" s="57">
        <f>IFERROR(VLOOKUP($A:$A,CS!$A:$AK,7,FALSE),"")</f>
      </c>
      <c r="F187" s="57">
        <f>IFERROR(VLOOKUP($A:$A,CS!$A:$AK,8,FALSE),"")</f>
      </c>
      <c r="G187" s="57">
        <f>IFERROR(VLOOKUP($A:$A,CS!$A:$AK,10,FALSE),"")</f>
      </c>
      <c r="H187" s="57">
        <f>IFERROR(VLOOKUP($A:$A,CS!$A:$AK,14,FALSE),"")</f>
      </c>
      <c r="I187" s="57">
        <f>IFERROR(VLOOKUP($A:$A,CS!$A:$AK,15,FALSE),"")</f>
      </c>
      <c r="J187" s="57">
        <f>IFERROR(VLOOKUP($A:$A,CS!$A:$AK,18,FALSE),"")</f>
      </c>
      <c r="K187" s="57">
        <f>IFERROR(VLOOKUP($A:$A,CS!$A:$AK,19,FALSE),"")</f>
      </c>
      <c r="L187" s="57">
        <f>IFERROR(VLOOKUP($A:$A,CS!$A:$AK,20,FALSE),"")</f>
      </c>
      <c r="M187" s="57">
        <f>IFERROR(VLOOKUP($A:$A,CS!$A:$AK,22,FALSE),"")</f>
      </c>
      <c r="N187" s="57">
        <f>IFERROR(VLOOKUP($A:$A,CS!$A:$AK,19,FALSE),"")</f>
      </c>
      <c r="O187" s="57">
        <f>IFERROR(VLOOKUP($A:$A,CS!$A:$AK,23,FALSE),"")</f>
      </c>
      <c r="P187" s="57">
        <f>IFERROR(VLOOKUP($A:$A,CS!$A:$AK,24,FALSE),"")</f>
      </c>
      <c r="Q187" s="57">
        <f>IFERROR(VLOOKUP($A:$A,CS!$A:$AK,25,FALSE),"")</f>
      </c>
      <c r="R187" s="57">
        <f>IFERROR(VLOOKUP($A:$A,CS!$A:$AK,26,FALSE),"")</f>
      </c>
      <c r="S187" s="57">
        <f>IFERROR(VLOOKUP($A:$A,CS!$A:$AK,29,FALSE),"")</f>
      </c>
      <c r="T187" s="57">
        <f>IFERROR(VLOOKUP($A:$A,CS!$A:$AK,33,FALSE),"")</f>
      </c>
      <c r="U187" s="57">
        <f>IFERROR(VLOOKUP($A:$A,CS!$A:$AK,34,FALSE),"")</f>
      </c>
      <c r="V187" s="57">
        <f>IFERROR(VLOOKUP($A:$A,CS!$A:$AK,35,FALSE),"")</f>
      </c>
      <c r="W187" s="57">
        <f>IFERROR(VLOOKUP($A:$A,CS!$A:$AK,36,FALSE),"")</f>
      </c>
    </row>
    <row r="188" ht="16.5" customHeight="1" spans="1:23" x14ac:dyDescent="0.25">
      <c r="A188" s="71"/>
      <c r="B188" s="57">
        <f>IFERROR(VLOOKUP($A:$A,CS!$A:$AK,3,FALSE),"")</f>
      </c>
      <c r="C188" s="57">
        <f>IFERROR(VLOOKUP($A:$A,CS!$A:$AK,4,FALSE),"")</f>
      </c>
      <c r="D188" s="57">
        <f>IFERROR(VLOOKUP($A:$A,CS!$A:$AK,5,FALSE),"")</f>
      </c>
      <c r="E188" s="57">
        <f>IFERROR(VLOOKUP($A:$A,CS!$A:$AK,7,FALSE),"")</f>
      </c>
      <c r="F188" s="57">
        <f>IFERROR(VLOOKUP($A:$A,CS!$A:$AK,8,FALSE),"")</f>
      </c>
      <c r="G188" s="57">
        <f>IFERROR(VLOOKUP($A:$A,CS!$A:$AK,10,FALSE),"")</f>
      </c>
      <c r="H188" s="57">
        <f>IFERROR(VLOOKUP($A:$A,CS!$A:$AK,14,FALSE),"")</f>
      </c>
      <c r="I188" s="57">
        <f>IFERROR(VLOOKUP($A:$A,CS!$A:$AK,15,FALSE),"")</f>
      </c>
      <c r="J188" s="57">
        <f>IFERROR(VLOOKUP($A:$A,CS!$A:$AK,18,FALSE),"")</f>
      </c>
      <c r="K188" s="57">
        <f>IFERROR(VLOOKUP($A:$A,CS!$A:$AK,19,FALSE),"")</f>
      </c>
      <c r="L188" s="57">
        <f>IFERROR(VLOOKUP($A:$A,CS!$A:$AK,20,FALSE),"")</f>
      </c>
      <c r="M188" s="57">
        <f>IFERROR(VLOOKUP($A:$A,CS!$A:$AK,22,FALSE),"")</f>
      </c>
      <c r="N188" s="57">
        <f>IFERROR(VLOOKUP($A:$A,CS!$A:$AK,19,FALSE),"")</f>
      </c>
      <c r="O188" s="57">
        <f>IFERROR(VLOOKUP($A:$A,CS!$A:$AK,23,FALSE),"")</f>
      </c>
      <c r="P188" s="57">
        <f>IFERROR(VLOOKUP($A:$A,CS!$A:$AK,24,FALSE),"")</f>
      </c>
      <c r="Q188" s="57">
        <f>IFERROR(VLOOKUP($A:$A,CS!$A:$AK,25,FALSE),"")</f>
      </c>
      <c r="R188" s="57">
        <f>IFERROR(VLOOKUP($A:$A,CS!$A:$AK,26,FALSE),"")</f>
      </c>
      <c r="S188" s="57">
        <f>IFERROR(VLOOKUP($A:$A,CS!$A:$AK,29,FALSE),"")</f>
      </c>
      <c r="T188" s="57">
        <f>IFERROR(VLOOKUP($A:$A,CS!$A:$AK,33,FALSE),"")</f>
      </c>
      <c r="U188" s="57">
        <f>IFERROR(VLOOKUP($A:$A,CS!$A:$AK,34,FALSE),"")</f>
      </c>
      <c r="V188" s="57">
        <f>IFERROR(VLOOKUP($A:$A,CS!$A:$AK,35,FALSE),"")</f>
      </c>
      <c r="W188" s="57">
        <f>IFERROR(VLOOKUP($A:$A,CS!$A:$AK,36,FALSE),"")</f>
      </c>
    </row>
    <row r="189" ht="16.5" customHeight="1" spans="1:23" x14ac:dyDescent="0.25">
      <c r="A189" s="71"/>
      <c r="B189" s="57">
        <f>IFERROR(VLOOKUP($A:$A,CS!$A:$AK,3,FALSE),"")</f>
      </c>
      <c r="C189" s="57">
        <f>IFERROR(VLOOKUP($A:$A,CS!$A:$AK,4,FALSE),"")</f>
      </c>
      <c r="D189" s="57">
        <f>IFERROR(VLOOKUP($A:$A,CS!$A:$AK,5,FALSE),"")</f>
      </c>
      <c r="E189" s="57">
        <f>IFERROR(VLOOKUP($A:$A,CS!$A:$AK,7,FALSE),"")</f>
      </c>
      <c r="F189" s="57">
        <f>IFERROR(VLOOKUP($A:$A,CS!$A:$AK,8,FALSE),"")</f>
      </c>
      <c r="G189" s="57">
        <f>IFERROR(VLOOKUP($A:$A,CS!$A:$AK,10,FALSE),"")</f>
      </c>
      <c r="H189" s="57">
        <f>IFERROR(VLOOKUP($A:$A,CS!$A:$AK,14,FALSE),"")</f>
      </c>
      <c r="I189" s="57">
        <f>IFERROR(VLOOKUP($A:$A,CS!$A:$AK,15,FALSE),"")</f>
      </c>
      <c r="J189" s="57">
        <f>IFERROR(VLOOKUP($A:$A,CS!$A:$AK,18,FALSE),"")</f>
      </c>
      <c r="K189" s="57">
        <f>IFERROR(VLOOKUP($A:$A,CS!$A:$AK,19,FALSE),"")</f>
      </c>
      <c r="L189" s="57">
        <f>IFERROR(VLOOKUP($A:$A,CS!$A:$AK,20,FALSE),"")</f>
      </c>
      <c r="M189" s="57">
        <f>IFERROR(VLOOKUP($A:$A,CS!$A:$AK,22,FALSE),"")</f>
      </c>
      <c r="N189" s="57">
        <f>IFERROR(VLOOKUP($A:$A,CS!$A:$AK,19,FALSE),"")</f>
      </c>
      <c r="O189" s="57">
        <f>IFERROR(VLOOKUP($A:$A,CS!$A:$AK,23,FALSE),"")</f>
      </c>
      <c r="P189" s="57">
        <f>IFERROR(VLOOKUP($A:$A,CS!$A:$AK,24,FALSE),"")</f>
      </c>
      <c r="Q189" s="57">
        <f>IFERROR(VLOOKUP($A:$A,CS!$A:$AK,25,FALSE),"")</f>
      </c>
      <c r="R189" s="57">
        <f>IFERROR(VLOOKUP($A:$A,CS!$A:$AK,26,FALSE),"")</f>
      </c>
      <c r="S189" s="57">
        <f>IFERROR(VLOOKUP($A:$A,CS!$A:$AK,29,FALSE),"")</f>
      </c>
      <c r="T189" s="57">
        <f>IFERROR(VLOOKUP($A:$A,CS!$A:$AK,33,FALSE),"")</f>
      </c>
      <c r="U189" s="57">
        <f>IFERROR(VLOOKUP($A:$A,CS!$A:$AK,34,FALSE),"")</f>
      </c>
      <c r="V189" s="57">
        <f>IFERROR(VLOOKUP($A:$A,CS!$A:$AK,35,FALSE),"")</f>
      </c>
      <c r="W189" s="57">
        <f>IFERROR(VLOOKUP($A:$A,CS!$A:$AK,36,FALSE),"")</f>
      </c>
    </row>
    <row r="190" ht="16.5" customHeight="1" spans="1:23" x14ac:dyDescent="0.25">
      <c r="A190" s="71"/>
      <c r="B190" s="57">
        <f>IFERROR(VLOOKUP($A:$A,CS!$A:$AK,3,FALSE),"")</f>
      </c>
      <c r="C190" s="57">
        <f>IFERROR(VLOOKUP($A:$A,CS!$A:$AK,4,FALSE),"")</f>
      </c>
      <c r="D190" s="57">
        <f>IFERROR(VLOOKUP($A:$A,CS!$A:$AK,5,FALSE),"")</f>
      </c>
      <c r="E190" s="57">
        <f>IFERROR(VLOOKUP($A:$A,CS!$A:$AK,7,FALSE),"")</f>
      </c>
      <c r="F190" s="57">
        <f>IFERROR(VLOOKUP($A:$A,CS!$A:$AK,8,FALSE),"")</f>
      </c>
      <c r="G190" s="57">
        <f>IFERROR(VLOOKUP($A:$A,CS!$A:$AK,10,FALSE),"")</f>
      </c>
      <c r="H190" s="57">
        <f>IFERROR(VLOOKUP($A:$A,CS!$A:$AK,14,FALSE),"")</f>
      </c>
      <c r="I190" s="57">
        <f>IFERROR(VLOOKUP($A:$A,CS!$A:$AK,15,FALSE),"")</f>
      </c>
      <c r="J190" s="57">
        <f>IFERROR(VLOOKUP($A:$A,CS!$A:$AK,18,FALSE),"")</f>
      </c>
      <c r="K190" s="57">
        <f>IFERROR(VLOOKUP($A:$A,CS!$A:$AK,19,FALSE),"")</f>
      </c>
      <c r="L190" s="57">
        <f>IFERROR(VLOOKUP($A:$A,CS!$A:$AK,20,FALSE),"")</f>
      </c>
      <c r="M190" s="57">
        <f>IFERROR(VLOOKUP($A:$A,CS!$A:$AK,22,FALSE),"")</f>
      </c>
      <c r="N190" s="57">
        <f>IFERROR(VLOOKUP($A:$A,CS!$A:$AK,19,FALSE),"")</f>
      </c>
      <c r="O190" s="57">
        <f>IFERROR(VLOOKUP($A:$A,CS!$A:$AK,23,FALSE),"")</f>
      </c>
      <c r="P190" s="57">
        <f>IFERROR(VLOOKUP($A:$A,CS!$A:$AK,24,FALSE),"")</f>
      </c>
      <c r="Q190" s="57">
        <f>IFERROR(VLOOKUP($A:$A,CS!$A:$AK,25,FALSE),"")</f>
      </c>
      <c r="R190" s="57">
        <f>IFERROR(VLOOKUP($A:$A,CS!$A:$AK,26,FALSE),"")</f>
      </c>
      <c r="S190" s="57">
        <f>IFERROR(VLOOKUP($A:$A,CS!$A:$AK,29,FALSE),"")</f>
      </c>
      <c r="T190" s="57">
        <f>IFERROR(VLOOKUP($A:$A,CS!$A:$AK,33,FALSE),"")</f>
      </c>
      <c r="U190" s="57">
        <f>IFERROR(VLOOKUP($A:$A,CS!$A:$AK,34,FALSE),"")</f>
      </c>
      <c r="V190" s="57">
        <f>IFERROR(VLOOKUP($A:$A,CS!$A:$AK,35,FALSE),"")</f>
      </c>
      <c r="W190" s="57">
        <f>IFERROR(VLOOKUP($A:$A,CS!$A:$AK,36,FALSE),"")</f>
      </c>
    </row>
    <row r="191" ht="16.5" customHeight="1" spans="1:23" x14ac:dyDescent="0.25">
      <c r="A191" s="71"/>
      <c r="B191" s="57">
        <f>IFERROR(VLOOKUP($A:$A,CS!$A:$AK,3,FALSE),"")</f>
      </c>
      <c r="C191" s="57">
        <f>IFERROR(VLOOKUP($A:$A,CS!$A:$AK,4,FALSE),"")</f>
      </c>
      <c r="D191" s="57">
        <f>IFERROR(VLOOKUP($A:$A,CS!$A:$AK,5,FALSE),"")</f>
      </c>
      <c r="E191" s="57">
        <f>IFERROR(VLOOKUP($A:$A,CS!$A:$AK,7,FALSE),"")</f>
      </c>
      <c r="F191" s="57">
        <f>IFERROR(VLOOKUP($A:$A,CS!$A:$AK,8,FALSE),"")</f>
      </c>
      <c r="G191" s="57">
        <f>IFERROR(VLOOKUP($A:$A,CS!$A:$AK,10,FALSE),"")</f>
      </c>
      <c r="H191" s="57">
        <f>IFERROR(VLOOKUP($A:$A,CS!$A:$AK,14,FALSE),"")</f>
      </c>
      <c r="I191" s="57">
        <f>IFERROR(VLOOKUP($A:$A,CS!$A:$AK,15,FALSE),"")</f>
      </c>
      <c r="J191" s="57">
        <f>IFERROR(VLOOKUP($A:$A,CS!$A:$AK,18,FALSE),"")</f>
      </c>
      <c r="K191" s="57">
        <f>IFERROR(VLOOKUP($A:$A,CS!$A:$AK,19,FALSE),"")</f>
      </c>
      <c r="L191" s="57">
        <f>IFERROR(VLOOKUP($A:$A,CS!$A:$AK,20,FALSE),"")</f>
      </c>
      <c r="M191" s="57">
        <f>IFERROR(VLOOKUP($A:$A,CS!$A:$AK,22,FALSE),"")</f>
      </c>
      <c r="N191" s="57">
        <f>IFERROR(VLOOKUP($A:$A,CS!$A:$AK,19,FALSE),"")</f>
      </c>
      <c r="O191" s="57">
        <f>IFERROR(VLOOKUP($A:$A,CS!$A:$AK,23,FALSE),"")</f>
      </c>
      <c r="P191" s="57">
        <f>IFERROR(VLOOKUP($A:$A,CS!$A:$AK,24,FALSE),"")</f>
      </c>
      <c r="Q191" s="57">
        <f>IFERROR(VLOOKUP($A:$A,CS!$A:$AK,25,FALSE),"")</f>
      </c>
      <c r="R191" s="57">
        <f>IFERROR(VLOOKUP($A:$A,CS!$A:$AK,26,FALSE),"")</f>
      </c>
      <c r="S191" s="57">
        <f>IFERROR(VLOOKUP($A:$A,CS!$A:$AK,29,FALSE),"")</f>
      </c>
      <c r="T191" s="57">
        <f>IFERROR(VLOOKUP($A:$A,CS!$A:$AK,33,FALSE),"")</f>
      </c>
      <c r="U191" s="57">
        <f>IFERROR(VLOOKUP($A:$A,CS!$A:$AK,34,FALSE),"")</f>
      </c>
      <c r="V191" s="57">
        <f>IFERROR(VLOOKUP($A:$A,CS!$A:$AK,35,FALSE),"")</f>
      </c>
      <c r="W191" s="57">
        <f>IFERROR(VLOOKUP($A:$A,CS!$A:$AK,36,FALSE),"")</f>
      </c>
    </row>
    <row r="192" ht="16.5" customHeight="1" spans="1:23" x14ac:dyDescent="0.25">
      <c r="A192" s="71"/>
      <c r="B192" s="57">
        <f>IFERROR(VLOOKUP($A:$A,CS!$A:$AK,3,FALSE),"")</f>
      </c>
      <c r="C192" s="57">
        <f>IFERROR(VLOOKUP($A:$A,CS!$A:$AK,4,FALSE),"")</f>
      </c>
      <c r="D192" s="57">
        <f>IFERROR(VLOOKUP($A:$A,CS!$A:$AK,5,FALSE),"")</f>
      </c>
      <c r="E192" s="57">
        <f>IFERROR(VLOOKUP($A:$A,CS!$A:$AK,7,FALSE),"")</f>
      </c>
      <c r="F192" s="57">
        <f>IFERROR(VLOOKUP($A:$A,CS!$A:$AK,8,FALSE),"")</f>
      </c>
      <c r="G192" s="57">
        <f>IFERROR(VLOOKUP($A:$A,CS!$A:$AK,10,FALSE),"")</f>
      </c>
      <c r="H192" s="57">
        <f>IFERROR(VLOOKUP($A:$A,CS!$A:$AK,14,FALSE),"")</f>
      </c>
      <c r="I192" s="57">
        <f>IFERROR(VLOOKUP($A:$A,CS!$A:$AK,15,FALSE),"")</f>
      </c>
      <c r="J192" s="57">
        <f>IFERROR(VLOOKUP($A:$A,CS!$A:$AK,18,FALSE),"")</f>
      </c>
      <c r="K192" s="57">
        <f>IFERROR(VLOOKUP($A:$A,CS!$A:$AK,19,FALSE),"")</f>
      </c>
      <c r="L192" s="57">
        <f>IFERROR(VLOOKUP($A:$A,CS!$A:$AK,20,FALSE),"")</f>
      </c>
      <c r="M192" s="57">
        <f>IFERROR(VLOOKUP($A:$A,CS!$A:$AK,22,FALSE),"")</f>
      </c>
      <c r="N192" s="57">
        <f>IFERROR(VLOOKUP($A:$A,CS!$A:$AK,19,FALSE),"")</f>
      </c>
      <c r="O192" s="57">
        <f>IFERROR(VLOOKUP($A:$A,CS!$A:$AK,23,FALSE),"")</f>
      </c>
      <c r="P192" s="57">
        <f>IFERROR(VLOOKUP($A:$A,CS!$A:$AK,24,FALSE),"")</f>
      </c>
      <c r="Q192" s="57">
        <f>IFERROR(VLOOKUP($A:$A,CS!$A:$AK,25,FALSE),"")</f>
      </c>
      <c r="R192" s="57">
        <f>IFERROR(VLOOKUP($A:$A,CS!$A:$AK,26,FALSE),"")</f>
      </c>
      <c r="S192" s="57">
        <f>IFERROR(VLOOKUP($A:$A,CS!$A:$AK,29,FALSE),"")</f>
      </c>
      <c r="T192" s="57">
        <f>IFERROR(VLOOKUP($A:$A,CS!$A:$AK,33,FALSE),"")</f>
      </c>
      <c r="U192" s="57">
        <f>IFERROR(VLOOKUP($A:$A,CS!$A:$AK,34,FALSE),"")</f>
      </c>
      <c r="V192" s="57">
        <f>IFERROR(VLOOKUP($A:$A,CS!$A:$AK,35,FALSE),"")</f>
      </c>
      <c r="W192" s="57">
        <f>IFERROR(VLOOKUP($A:$A,CS!$A:$AK,36,FALSE),"")</f>
      </c>
    </row>
    <row r="193" ht="16.5" customHeight="1" spans="1:23" x14ac:dyDescent="0.25">
      <c r="A193" s="71"/>
      <c r="B193" s="57">
        <f>IFERROR(VLOOKUP($A:$A,CS!$A:$AK,3,FALSE),"")</f>
      </c>
      <c r="C193" s="57">
        <f>IFERROR(VLOOKUP($A:$A,CS!$A:$AK,4,FALSE),"")</f>
      </c>
      <c r="D193" s="57">
        <f>IFERROR(VLOOKUP($A:$A,CS!$A:$AK,5,FALSE),"")</f>
      </c>
      <c r="E193" s="57">
        <f>IFERROR(VLOOKUP($A:$A,CS!$A:$AK,7,FALSE),"")</f>
      </c>
      <c r="F193" s="57">
        <f>IFERROR(VLOOKUP($A:$A,CS!$A:$AK,8,FALSE),"")</f>
      </c>
      <c r="G193" s="57">
        <f>IFERROR(VLOOKUP($A:$A,CS!$A:$AK,10,FALSE),"")</f>
      </c>
      <c r="H193" s="57">
        <f>IFERROR(VLOOKUP($A:$A,CS!$A:$AK,14,FALSE),"")</f>
      </c>
      <c r="I193" s="57">
        <f>IFERROR(VLOOKUP($A:$A,CS!$A:$AK,15,FALSE),"")</f>
      </c>
      <c r="J193" s="57">
        <f>IFERROR(VLOOKUP($A:$A,CS!$A:$AK,18,FALSE),"")</f>
      </c>
      <c r="K193" s="57">
        <f>IFERROR(VLOOKUP($A:$A,CS!$A:$AK,19,FALSE),"")</f>
      </c>
      <c r="L193" s="57">
        <f>IFERROR(VLOOKUP($A:$A,CS!$A:$AK,20,FALSE),"")</f>
      </c>
      <c r="M193" s="57">
        <f>IFERROR(VLOOKUP($A:$A,CS!$A:$AK,22,FALSE),"")</f>
      </c>
      <c r="N193" s="57">
        <f>IFERROR(VLOOKUP($A:$A,CS!$A:$AK,19,FALSE),"")</f>
      </c>
      <c r="O193" s="57">
        <f>IFERROR(VLOOKUP($A:$A,CS!$A:$AK,23,FALSE),"")</f>
      </c>
      <c r="P193" s="57">
        <f>IFERROR(VLOOKUP($A:$A,CS!$A:$AK,24,FALSE),"")</f>
      </c>
      <c r="Q193" s="57">
        <f>IFERROR(VLOOKUP($A:$A,CS!$A:$AK,25,FALSE),"")</f>
      </c>
      <c r="R193" s="57">
        <f>IFERROR(VLOOKUP($A:$A,CS!$A:$AK,26,FALSE),"")</f>
      </c>
      <c r="S193" s="57">
        <f>IFERROR(VLOOKUP($A:$A,CS!$A:$AK,29,FALSE),"")</f>
      </c>
      <c r="T193" s="57">
        <f>IFERROR(VLOOKUP($A:$A,CS!$A:$AK,33,FALSE),"")</f>
      </c>
      <c r="U193" s="57">
        <f>IFERROR(VLOOKUP($A:$A,CS!$A:$AK,34,FALSE),"")</f>
      </c>
      <c r="V193" s="57">
        <f>IFERROR(VLOOKUP($A:$A,CS!$A:$AK,35,FALSE),"")</f>
      </c>
      <c r="W193" s="57">
        <f>IFERROR(VLOOKUP($A:$A,CS!$A:$AK,36,FALSE),"")</f>
      </c>
    </row>
    <row r="194" ht="16.5" customHeight="1" spans="1:23" x14ac:dyDescent="0.25">
      <c r="A194" s="71"/>
      <c r="B194" s="57">
        <f>IFERROR(VLOOKUP($A:$A,CS!$A:$AK,3,FALSE),"")</f>
      </c>
      <c r="C194" s="57">
        <f>IFERROR(VLOOKUP($A:$A,CS!$A:$AK,4,FALSE),"")</f>
      </c>
      <c r="D194" s="57">
        <f>IFERROR(VLOOKUP($A:$A,CS!$A:$AK,5,FALSE),"")</f>
      </c>
      <c r="E194" s="57">
        <f>IFERROR(VLOOKUP($A:$A,CS!$A:$AK,7,FALSE),"")</f>
      </c>
      <c r="F194" s="57">
        <f>IFERROR(VLOOKUP($A:$A,CS!$A:$AK,8,FALSE),"")</f>
      </c>
      <c r="G194" s="57">
        <f>IFERROR(VLOOKUP($A:$A,CS!$A:$AK,10,FALSE),"")</f>
      </c>
      <c r="H194" s="57">
        <f>IFERROR(VLOOKUP($A:$A,CS!$A:$AK,14,FALSE),"")</f>
      </c>
      <c r="I194" s="57">
        <f>IFERROR(VLOOKUP($A:$A,CS!$A:$AK,15,FALSE),"")</f>
      </c>
      <c r="J194" s="57">
        <f>IFERROR(VLOOKUP($A:$A,CS!$A:$AK,18,FALSE),"")</f>
      </c>
      <c r="K194" s="57">
        <f>IFERROR(VLOOKUP($A:$A,CS!$A:$AK,19,FALSE),"")</f>
      </c>
      <c r="L194" s="57">
        <f>IFERROR(VLOOKUP($A:$A,CS!$A:$AK,20,FALSE),"")</f>
      </c>
      <c r="M194" s="57">
        <f>IFERROR(VLOOKUP($A:$A,CS!$A:$AK,22,FALSE),"")</f>
      </c>
      <c r="N194" s="57">
        <f>IFERROR(VLOOKUP($A:$A,CS!$A:$AK,19,FALSE),"")</f>
      </c>
      <c r="O194" s="57">
        <f>IFERROR(VLOOKUP($A:$A,CS!$A:$AK,23,FALSE),"")</f>
      </c>
      <c r="P194" s="57">
        <f>IFERROR(VLOOKUP($A:$A,CS!$A:$AK,24,FALSE),"")</f>
      </c>
      <c r="Q194" s="57">
        <f>IFERROR(VLOOKUP($A:$A,CS!$A:$AK,25,FALSE),"")</f>
      </c>
      <c r="R194" s="57">
        <f>IFERROR(VLOOKUP($A:$A,CS!$A:$AK,26,FALSE),"")</f>
      </c>
      <c r="S194" s="57">
        <f>IFERROR(VLOOKUP($A:$A,CS!$A:$AK,29,FALSE),"")</f>
      </c>
      <c r="T194" s="57">
        <f>IFERROR(VLOOKUP($A:$A,CS!$A:$AK,33,FALSE),"")</f>
      </c>
      <c r="U194" s="57">
        <f>IFERROR(VLOOKUP($A:$A,CS!$A:$AK,34,FALSE),"")</f>
      </c>
      <c r="V194" s="57">
        <f>IFERROR(VLOOKUP($A:$A,CS!$A:$AK,35,FALSE),"")</f>
      </c>
      <c r="W194" s="57">
        <f>IFERROR(VLOOKUP($A:$A,CS!$A:$AK,36,FALSE),"")</f>
      </c>
    </row>
    <row r="195" ht="16.5" customHeight="1" spans="1:23" x14ac:dyDescent="0.25">
      <c r="A195" s="71"/>
      <c r="B195" s="57">
        <f>IFERROR(VLOOKUP($A:$A,CS!$A:$AK,3,FALSE),"")</f>
      </c>
      <c r="C195" s="57">
        <f>IFERROR(VLOOKUP($A:$A,CS!$A:$AK,4,FALSE),"")</f>
      </c>
      <c r="D195" s="57">
        <f>IFERROR(VLOOKUP($A:$A,CS!$A:$AK,5,FALSE),"")</f>
      </c>
      <c r="E195" s="57">
        <f>IFERROR(VLOOKUP($A:$A,CS!$A:$AK,7,FALSE),"")</f>
      </c>
      <c r="F195" s="57">
        <f>IFERROR(VLOOKUP($A:$A,CS!$A:$AK,8,FALSE),"")</f>
      </c>
      <c r="G195" s="57">
        <f>IFERROR(VLOOKUP($A:$A,CS!$A:$AK,10,FALSE),"")</f>
      </c>
      <c r="H195" s="57">
        <f>IFERROR(VLOOKUP($A:$A,CS!$A:$AK,14,FALSE),"")</f>
      </c>
      <c r="I195" s="57">
        <f>IFERROR(VLOOKUP($A:$A,CS!$A:$AK,15,FALSE),"")</f>
      </c>
      <c r="J195" s="57">
        <f>IFERROR(VLOOKUP($A:$A,CS!$A:$AK,18,FALSE),"")</f>
      </c>
      <c r="K195" s="57">
        <f>IFERROR(VLOOKUP($A:$A,CS!$A:$AK,19,FALSE),"")</f>
      </c>
      <c r="L195" s="57">
        <f>IFERROR(VLOOKUP($A:$A,CS!$A:$AK,20,FALSE),"")</f>
      </c>
      <c r="M195" s="57">
        <f>IFERROR(VLOOKUP($A:$A,CS!$A:$AK,22,FALSE),"")</f>
      </c>
      <c r="N195" s="57">
        <f>IFERROR(VLOOKUP($A:$A,CS!$A:$AK,19,FALSE),"")</f>
      </c>
      <c r="O195" s="57">
        <f>IFERROR(VLOOKUP($A:$A,CS!$A:$AK,23,FALSE),"")</f>
      </c>
      <c r="P195" s="57">
        <f>IFERROR(VLOOKUP($A:$A,CS!$A:$AK,24,FALSE),"")</f>
      </c>
      <c r="Q195" s="57">
        <f>IFERROR(VLOOKUP($A:$A,CS!$A:$AK,25,FALSE),"")</f>
      </c>
      <c r="R195" s="57">
        <f>IFERROR(VLOOKUP($A:$A,CS!$A:$AK,26,FALSE),"")</f>
      </c>
      <c r="S195" s="57">
        <f>IFERROR(VLOOKUP($A:$A,CS!$A:$AK,29,FALSE),"")</f>
      </c>
      <c r="T195" s="57">
        <f>IFERROR(VLOOKUP($A:$A,CS!$A:$AK,33,FALSE),"")</f>
      </c>
      <c r="U195" s="57">
        <f>IFERROR(VLOOKUP($A:$A,CS!$A:$AK,34,FALSE),"")</f>
      </c>
      <c r="V195" s="57">
        <f>IFERROR(VLOOKUP($A:$A,CS!$A:$AK,35,FALSE),"")</f>
      </c>
      <c r="W195" s="57">
        <f>IFERROR(VLOOKUP($A:$A,CS!$A:$AK,36,FALSE),"")</f>
      </c>
    </row>
    <row r="196" ht="16.5" customHeight="1" spans="1:23" x14ac:dyDescent="0.25">
      <c r="A196" s="71"/>
      <c r="B196" s="57">
        <f>IFERROR(VLOOKUP($A:$A,CS!$A:$AK,3,FALSE),"")</f>
      </c>
      <c r="C196" s="57">
        <f>IFERROR(VLOOKUP($A:$A,CS!$A:$AK,4,FALSE),"")</f>
      </c>
      <c r="D196" s="57">
        <f>IFERROR(VLOOKUP($A:$A,CS!$A:$AK,5,FALSE),"")</f>
      </c>
      <c r="E196" s="57">
        <f>IFERROR(VLOOKUP($A:$A,CS!$A:$AK,7,FALSE),"")</f>
      </c>
      <c r="F196" s="57">
        <f>IFERROR(VLOOKUP($A:$A,CS!$A:$AK,8,FALSE),"")</f>
      </c>
      <c r="G196" s="57">
        <f>IFERROR(VLOOKUP($A:$A,CS!$A:$AK,10,FALSE),"")</f>
      </c>
      <c r="H196" s="57">
        <f>IFERROR(VLOOKUP($A:$A,CS!$A:$AK,14,FALSE),"")</f>
      </c>
      <c r="I196" s="57">
        <f>IFERROR(VLOOKUP($A:$A,CS!$A:$AK,15,FALSE),"")</f>
      </c>
      <c r="J196" s="57">
        <f>IFERROR(VLOOKUP($A:$A,CS!$A:$AK,18,FALSE),"")</f>
      </c>
      <c r="K196" s="57">
        <f>IFERROR(VLOOKUP($A:$A,CS!$A:$AK,19,FALSE),"")</f>
      </c>
      <c r="L196" s="57">
        <f>IFERROR(VLOOKUP($A:$A,CS!$A:$AK,20,FALSE),"")</f>
      </c>
      <c r="M196" s="57">
        <f>IFERROR(VLOOKUP($A:$A,CS!$A:$AK,22,FALSE),"")</f>
      </c>
      <c r="N196" s="57">
        <f>IFERROR(VLOOKUP($A:$A,CS!$A:$AK,19,FALSE),"")</f>
      </c>
      <c r="O196" s="57">
        <f>IFERROR(VLOOKUP($A:$A,CS!$A:$AK,23,FALSE),"")</f>
      </c>
      <c r="P196" s="57">
        <f>IFERROR(VLOOKUP($A:$A,CS!$A:$AK,24,FALSE),"")</f>
      </c>
      <c r="Q196" s="57">
        <f>IFERROR(VLOOKUP($A:$A,CS!$A:$AK,25,FALSE),"")</f>
      </c>
      <c r="R196" s="57">
        <f>IFERROR(VLOOKUP($A:$A,CS!$A:$AK,26,FALSE),"")</f>
      </c>
      <c r="S196" s="57">
        <f>IFERROR(VLOOKUP($A:$A,CS!$A:$AK,29,FALSE),"")</f>
      </c>
      <c r="T196" s="57">
        <f>IFERROR(VLOOKUP($A:$A,CS!$A:$AK,33,FALSE),"")</f>
      </c>
      <c r="U196" s="57">
        <f>IFERROR(VLOOKUP($A:$A,CS!$A:$AK,34,FALSE),"")</f>
      </c>
      <c r="V196" s="57">
        <f>IFERROR(VLOOKUP($A:$A,CS!$A:$AK,35,FALSE),"")</f>
      </c>
      <c r="W196" s="57">
        <f>IFERROR(VLOOKUP($A:$A,CS!$A:$AK,36,FALSE),"")</f>
      </c>
    </row>
    <row r="197" ht="16.5" customHeight="1" spans="1:23" x14ac:dyDescent="0.25">
      <c r="A197" s="71"/>
      <c r="B197" s="57">
        <f>IFERROR(VLOOKUP($A:$A,CS!$A:$AK,3,FALSE),"")</f>
      </c>
      <c r="C197" s="57">
        <f>IFERROR(VLOOKUP($A:$A,CS!$A:$AK,4,FALSE),"")</f>
      </c>
      <c r="D197" s="57">
        <f>IFERROR(VLOOKUP($A:$A,CS!$A:$AK,5,FALSE),"")</f>
      </c>
      <c r="E197" s="57">
        <f>IFERROR(VLOOKUP($A:$A,CS!$A:$AK,7,FALSE),"")</f>
      </c>
      <c r="F197" s="57">
        <f>IFERROR(VLOOKUP($A:$A,CS!$A:$AK,8,FALSE),"")</f>
      </c>
      <c r="G197" s="57">
        <f>IFERROR(VLOOKUP($A:$A,CS!$A:$AK,10,FALSE),"")</f>
      </c>
      <c r="H197" s="57">
        <f>IFERROR(VLOOKUP($A:$A,CS!$A:$AK,14,FALSE),"")</f>
      </c>
      <c r="I197" s="57">
        <f>IFERROR(VLOOKUP($A:$A,CS!$A:$AK,15,FALSE),"")</f>
      </c>
      <c r="J197" s="57">
        <f>IFERROR(VLOOKUP($A:$A,CS!$A:$AK,18,FALSE),"")</f>
      </c>
      <c r="K197" s="57">
        <f>IFERROR(VLOOKUP($A:$A,CS!$A:$AK,19,FALSE),"")</f>
      </c>
      <c r="L197" s="57">
        <f>IFERROR(VLOOKUP($A:$A,CS!$A:$AK,20,FALSE),"")</f>
      </c>
      <c r="M197" s="57">
        <f>IFERROR(VLOOKUP($A:$A,CS!$A:$AK,22,FALSE),"")</f>
      </c>
      <c r="N197" s="57">
        <f>IFERROR(VLOOKUP($A:$A,CS!$A:$AK,19,FALSE),"")</f>
      </c>
      <c r="O197" s="57">
        <f>IFERROR(VLOOKUP($A:$A,CS!$A:$AK,23,FALSE),"")</f>
      </c>
      <c r="P197" s="57">
        <f>IFERROR(VLOOKUP($A:$A,CS!$A:$AK,24,FALSE),"")</f>
      </c>
      <c r="Q197" s="57">
        <f>IFERROR(VLOOKUP($A:$A,CS!$A:$AK,25,FALSE),"")</f>
      </c>
      <c r="R197" s="57">
        <f>IFERROR(VLOOKUP($A:$A,CS!$A:$AK,26,FALSE),"")</f>
      </c>
      <c r="S197" s="57">
        <f>IFERROR(VLOOKUP($A:$A,CS!$A:$AK,29,FALSE),"")</f>
      </c>
      <c r="T197" s="57">
        <f>IFERROR(VLOOKUP($A:$A,CS!$A:$AK,33,FALSE),"")</f>
      </c>
      <c r="U197" s="57">
        <f>IFERROR(VLOOKUP($A:$A,CS!$A:$AK,34,FALSE),"")</f>
      </c>
      <c r="V197" s="57">
        <f>IFERROR(VLOOKUP($A:$A,CS!$A:$AK,35,FALSE),"")</f>
      </c>
      <c r="W197" s="57">
        <f>IFERROR(VLOOKUP($A:$A,CS!$A:$AK,36,FALSE),"")</f>
      </c>
    </row>
    <row r="198" ht="16.5" customHeight="1" spans="1:23" x14ac:dyDescent="0.25">
      <c r="A198" s="71"/>
      <c r="B198" s="57">
        <f>IFERROR(VLOOKUP($A:$A,CS!$A:$AK,3,FALSE),"")</f>
      </c>
      <c r="C198" s="57">
        <f>IFERROR(VLOOKUP($A:$A,CS!$A:$AK,4,FALSE),"")</f>
      </c>
      <c r="D198" s="57">
        <f>IFERROR(VLOOKUP($A:$A,CS!$A:$AK,5,FALSE),"")</f>
      </c>
      <c r="E198" s="57">
        <f>IFERROR(VLOOKUP($A:$A,CS!$A:$AK,7,FALSE),"")</f>
      </c>
      <c r="F198" s="57">
        <f>IFERROR(VLOOKUP($A:$A,CS!$A:$AK,8,FALSE),"")</f>
      </c>
      <c r="G198" s="57">
        <f>IFERROR(VLOOKUP($A:$A,CS!$A:$AK,10,FALSE),"")</f>
      </c>
      <c r="H198" s="57">
        <f>IFERROR(VLOOKUP($A:$A,CS!$A:$AK,14,FALSE),"")</f>
      </c>
      <c r="I198" s="57">
        <f>IFERROR(VLOOKUP($A:$A,CS!$A:$AK,15,FALSE),"")</f>
      </c>
      <c r="J198" s="57">
        <f>IFERROR(VLOOKUP($A:$A,CS!$A:$AK,18,FALSE),"")</f>
      </c>
      <c r="K198" s="57">
        <f>IFERROR(VLOOKUP($A:$A,CS!$A:$AK,19,FALSE),"")</f>
      </c>
      <c r="L198" s="57">
        <f>IFERROR(VLOOKUP($A:$A,CS!$A:$AK,20,FALSE),"")</f>
      </c>
      <c r="M198" s="57">
        <f>IFERROR(VLOOKUP($A:$A,CS!$A:$AK,22,FALSE),"")</f>
      </c>
      <c r="N198" s="57">
        <f>IFERROR(VLOOKUP($A:$A,CS!$A:$AK,19,FALSE),"")</f>
      </c>
      <c r="O198" s="57">
        <f>IFERROR(VLOOKUP($A:$A,CS!$A:$AK,23,FALSE),"")</f>
      </c>
      <c r="P198" s="57">
        <f>IFERROR(VLOOKUP($A:$A,CS!$A:$AK,24,FALSE),"")</f>
      </c>
      <c r="Q198" s="57">
        <f>IFERROR(VLOOKUP($A:$A,CS!$A:$AK,25,FALSE),"")</f>
      </c>
      <c r="R198" s="57">
        <f>IFERROR(VLOOKUP($A:$A,CS!$A:$AK,26,FALSE),"")</f>
      </c>
      <c r="S198" s="57">
        <f>IFERROR(VLOOKUP($A:$A,CS!$A:$AK,29,FALSE),"")</f>
      </c>
      <c r="T198" s="57">
        <f>IFERROR(VLOOKUP($A:$A,CS!$A:$AK,33,FALSE),"")</f>
      </c>
      <c r="U198" s="57">
        <f>IFERROR(VLOOKUP($A:$A,CS!$A:$AK,34,FALSE),"")</f>
      </c>
      <c r="V198" s="57">
        <f>IFERROR(VLOOKUP($A:$A,CS!$A:$AK,35,FALSE),"")</f>
      </c>
      <c r="W198" s="57">
        <f>IFERROR(VLOOKUP($A:$A,CS!$A:$AK,36,FALSE),"")</f>
      </c>
    </row>
    <row r="199" ht="16.5" customHeight="1" spans="1:23" x14ac:dyDescent="0.25">
      <c r="A199" s="71"/>
      <c r="B199" s="57">
        <f>IFERROR(VLOOKUP($A:$A,CS!$A:$AK,3,FALSE),"")</f>
      </c>
      <c r="C199" s="57">
        <f>IFERROR(VLOOKUP($A:$A,CS!$A:$AK,4,FALSE),"")</f>
      </c>
      <c r="D199" s="57">
        <f>IFERROR(VLOOKUP($A:$A,CS!$A:$AK,5,FALSE),"")</f>
      </c>
      <c r="E199" s="57">
        <f>IFERROR(VLOOKUP($A:$A,CS!$A:$AK,7,FALSE),"")</f>
      </c>
      <c r="F199" s="57">
        <f>IFERROR(VLOOKUP($A:$A,CS!$A:$AK,8,FALSE),"")</f>
      </c>
      <c r="G199" s="57">
        <f>IFERROR(VLOOKUP($A:$A,CS!$A:$AK,10,FALSE),"")</f>
      </c>
      <c r="H199" s="57">
        <f>IFERROR(VLOOKUP($A:$A,CS!$A:$AK,14,FALSE),"")</f>
      </c>
      <c r="I199" s="57">
        <f>IFERROR(VLOOKUP($A:$A,CS!$A:$AK,15,FALSE),"")</f>
      </c>
      <c r="J199" s="57">
        <f>IFERROR(VLOOKUP($A:$A,CS!$A:$AK,18,FALSE),"")</f>
      </c>
      <c r="K199" s="57">
        <f>IFERROR(VLOOKUP($A:$A,CS!$A:$AK,19,FALSE),"")</f>
      </c>
      <c r="L199" s="57">
        <f>IFERROR(VLOOKUP($A:$A,CS!$A:$AK,20,FALSE),"")</f>
      </c>
      <c r="M199" s="57">
        <f>IFERROR(VLOOKUP($A:$A,CS!$A:$AK,22,FALSE),"")</f>
      </c>
      <c r="N199" s="57">
        <f>IFERROR(VLOOKUP($A:$A,CS!$A:$AK,19,FALSE),"")</f>
      </c>
      <c r="O199" s="57">
        <f>IFERROR(VLOOKUP($A:$A,CS!$A:$AK,23,FALSE),"")</f>
      </c>
      <c r="P199" s="57">
        <f>IFERROR(VLOOKUP($A:$A,CS!$A:$AK,24,FALSE),"")</f>
      </c>
      <c r="Q199" s="57">
        <f>IFERROR(VLOOKUP($A:$A,CS!$A:$AK,25,FALSE),"")</f>
      </c>
      <c r="R199" s="57">
        <f>IFERROR(VLOOKUP($A:$A,CS!$A:$AK,26,FALSE),"")</f>
      </c>
      <c r="S199" s="57">
        <f>IFERROR(VLOOKUP($A:$A,CS!$A:$AK,29,FALSE),"")</f>
      </c>
      <c r="T199" s="57">
        <f>IFERROR(VLOOKUP($A:$A,CS!$A:$AK,33,FALSE),"")</f>
      </c>
      <c r="U199" s="57">
        <f>IFERROR(VLOOKUP($A:$A,CS!$A:$AK,34,FALSE),"")</f>
      </c>
      <c r="V199" s="57">
        <f>IFERROR(VLOOKUP($A:$A,CS!$A:$AK,35,FALSE),"")</f>
      </c>
      <c r="W199" s="57">
        <f>IFERROR(VLOOKUP($A:$A,CS!$A:$AK,36,FALSE),"")</f>
      </c>
    </row>
    <row r="200" ht="16.5" customHeight="1" spans="1:23" x14ac:dyDescent="0.25">
      <c r="A200" s="71"/>
      <c r="B200" s="57">
        <f>IFERROR(VLOOKUP($A:$A,CS!$A:$AK,3,FALSE),"")</f>
      </c>
      <c r="C200" s="57">
        <f>IFERROR(VLOOKUP($A:$A,CS!$A:$AK,4,FALSE),"")</f>
      </c>
      <c r="D200" s="57">
        <f>IFERROR(VLOOKUP($A:$A,CS!$A:$AK,5,FALSE),"")</f>
      </c>
      <c r="E200" s="57">
        <f>IFERROR(VLOOKUP($A:$A,CS!$A:$AK,7,FALSE),"")</f>
      </c>
      <c r="F200" s="57">
        <f>IFERROR(VLOOKUP($A:$A,CS!$A:$AK,8,FALSE),"")</f>
      </c>
      <c r="G200" s="57">
        <f>IFERROR(VLOOKUP($A:$A,CS!$A:$AK,10,FALSE),"")</f>
      </c>
      <c r="H200" s="57">
        <f>IFERROR(VLOOKUP($A:$A,CS!$A:$AK,14,FALSE),"")</f>
      </c>
      <c r="I200" s="57">
        <f>IFERROR(VLOOKUP($A:$A,CS!$A:$AK,15,FALSE),"")</f>
      </c>
      <c r="J200" s="57">
        <f>IFERROR(VLOOKUP($A:$A,CS!$A:$AK,18,FALSE),"")</f>
      </c>
      <c r="K200" s="57">
        <f>IFERROR(VLOOKUP($A:$A,CS!$A:$AK,19,FALSE),"")</f>
      </c>
      <c r="L200" s="57">
        <f>IFERROR(VLOOKUP($A:$A,CS!$A:$AK,20,FALSE),"")</f>
      </c>
      <c r="M200" s="57">
        <f>IFERROR(VLOOKUP($A:$A,CS!$A:$AK,22,FALSE),"")</f>
      </c>
      <c r="N200" s="57">
        <f>IFERROR(VLOOKUP($A:$A,CS!$A:$AK,19,FALSE),"")</f>
      </c>
      <c r="O200" s="57">
        <f>IFERROR(VLOOKUP($A:$A,CS!$A:$AK,23,FALSE),"")</f>
      </c>
      <c r="P200" s="57">
        <f>IFERROR(VLOOKUP($A:$A,CS!$A:$AK,24,FALSE),"")</f>
      </c>
      <c r="Q200" s="57">
        <f>IFERROR(VLOOKUP($A:$A,CS!$A:$AK,25,FALSE),"")</f>
      </c>
      <c r="R200" s="57">
        <f>IFERROR(VLOOKUP($A:$A,CS!$A:$AK,26,FALSE),"")</f>
      </c>
      <c r="S200" s="57">
        <f>IFERROR(VLOOKUP($A:$A,CS!$A:$AK,29,FALSE),"")</f>
      </c>
      <c r="T200" s="57">
        <f>IFERROR(VLOOKUP($A:$A,CS!$A:$AK,33,FALSE),"")</f>
      </c>
      <c r="U200" s="57">
        <f>IFERROR(VLOOKUP($A:$A,CS!$A:$AK,34,FALSE),"")</f>
      </c>
      <c r="V200" s="57">
        <f>IFERROR(VLOOKUP($A:$A,CS!$A:$AK,35,FALSE),"")</f>
      </c>
      <c r="W200" s="57">
        <f>IFERROR(VLOOKUP($A:$A,CS!$A:$AK,36,FALSE),"")</f>
      </c>
    </row>
    <row r="201" ht="16.5" customHeight="1" spans="1:23" x14ac:dyDescent="0.25">
      <c r="A201" s="71"/>
      <c r="B201" s="57">
        <f>IFERROR(VLOOKUP($A:$A,CS!$A:$AK,3,FALSE),"")</f>
      </c>
      <c r="C201" s="57">
        <f>IFERROR(VLOOKUP($A:$A,CS!$A:$AK,4,FALSE),"")</f>
      </c>
      <c r="D201" s="57">
        <f>IFERROR(VLOOKUP($A:$A,CS!$A:$AK,5,FALSE),"")</f>
      </c>
      <c r="E201" s="57">
        <f>IFERROR(VLOOKUP($A:$A,CS!$A:$AK,7,FALSE),"")</f>
      </c>
      <c r="F201" s="57">
        <f>IFERROR(VLOOKUP($A:$A,CS!$A:$AK,8,FALSE),"")</f>
      </c>
      <c r="G201" s="57">
        <f>IFERROR(VLOOKUP($A:$A,CS!$A:$AK,10,FALSE),"")</f>
      </c>
      <c r="H201" s="57">
        <f>IFERROR(VLOOKUP($A:$A,CS!$A:$AK,14,FALSE),"")</f>
      </c>
      <c r="I201" s="57">
        <f>IFERROR(VLOOKUP($A:$A,CS!$A:$AK,15,FALSE),"")</f>
      </c>
      <c r="J201" s="57">
        <f>IFERROR(VLOOKUP($A:$A,CS!$A:$AK,18,FALSE),"")</f>
      </c>
      <c r="K201" s="57">
        <f>IFERROR(VLOOKUP($A:$A,CS!$A:$AK,19,FALSE),"")</f>
      </c>
      <c r="L201" s="57">
        <f>IFERROR(VLOOKUP($A:$A,CS!$A:$AK,20,FALSE),"")</f>
      </c>
      <c r="M201" s="57">
        <f>IFERROR(VLOOKUP($A:$A,CS!$A:$AK,22,FALSE),"")</f>
      </c>
      <c r="N201" s="57">
        <f>IFERROR(VLOOKUP($A:$A,CS!$A:$AK,19,FALSE),"")</f>
      </c>
      <c r="O201" s="57">
        <f>IFERROR(VLOOKUP($A:$A,CS!$A:$AK,23,FALSE),"")</f>
      </c>
      <c r="P201" s="57">
        <f>IFERROR(VLOOKUP($A:$A,CS!$A:$AK,24,FALSE),"")</f>
      </c>
      <c r="Q201" s="57">
        <f>IFERROR(VLOOKUP($A:$A,CS!$A:$AK,25,FALSE),"")</f>
      </c>
      <c r="R201" s="57">
        <f>IFERROR(VLOOKUP($A:$A,CS!$A:$AK,26,FALSE),"")</f>
      </c>
      <c r="S201" s="57">
        <f>IFERROR(VLOOKUP($A:$A,CS!$A:$AK,29,FALSE),"")</f>
      </c>
      <c r="T201" s="57">
        <f>IFERROR(VLOOKUP($A:$A,CS!$A:$AK,33,FALSE),"")</f>
      </c>
      <c r="U201" s="57">
        <f>IFERROR(VLOOKUP($A:$A,CS!$A:$AK,34,FALSE),"")</f>
      </c>
      <c r="V201" s="57">
        <f>IFERROR(VLOOKUP($A:$A,CS!$A:$AK,35,FALSE),"")</f>
      </c>
      <c r="W201" s="57">
        <f>IFERROR(VLOOKUP($A:$A,CS!$A:$AK,36,FALSE),"")</f>
      </c>
    </row>
    <row r="202" ht="16.5" customHeight="1" spans="1:23" x14ac:dyDescent="0.25">
      <c r="A202" s="71"/>
      <c r="B202" s="57">
        <f>IFERROR(VLOOKUP($A:$A,CS!$A:$AK,3,FALSE),"")</f>
      </c>
      <c r="C202" s="57">
        <f>IFERROR(VLOOKUP($A:$A,CS!$A:$AK,4,FALSE),"")</f>
      </c>
      <c r="D202" s="57">
        <f>IFERROR(VLOOKUP($A:$A,CS!$A:$AK,5,FALSE),"")</f>
      </c>
      <c r="E202" s="57">
        <f>IFERROR(VLOOKUP($A:$A,CS!$A:$AK,7,FALSE),"")</f>
      </c>
      <c r="F202" s="57">
        <f>IFERROR(VLOOKUP($A:$A,CS!$A:$AK,8,FALSE),"")</f>
      </c>
      <c r="G202" s="57">
        <f>IFERROR(VLOOKUP($A:$A,CS!$A:$AK,10,FALSE),"")</f>
      </c>
      <c r="H202" s="57">
        <f>IFERROR(VLOOKUP($A:$A,CS!$A:$AK,14,FALSE),"")</f>
      </c>
      <c r="I202" s="57">
        <f>IFERROR(VLOOKUP($A:$A,CS!$A:$AK,15,FALSE),"")</f>
      </c>
      <c r="J202" s="57">
        <f>IFERROR(VLOOKUP($A:$A,CS!$A:$AK,18,FALSE),"")</f>
      </c>
      <c r="K202" s="57">
        <f>IFERROR(VLOOKUP($A:$A,CS!$A:$AK,19,FALSE),"")</f>
      </c>
      <c r="L202" s="57">
        <f>IFERROR(VLOOKUP($A:$A,CS!$A:$AK,20,FALSE),"")</f>
      </c>
      <c r="M202" s="57">
        <f>IFERROR(VLOOKUP($A:$A,CS!$A:$AK,22,FALSE),"")</f>
      </c>
      <c r="N202" s="57">
        <f>IFERROR(VLOOKUP($A:$A,CS!$A:$AK,19,FALSE),"")</f>
      </c>
      <c r="O202" s="57">
        <f>IFERROR(VLOOKUP($A:$A,CS!$A:$AK,23,FALSE),"")</f>
      </c>
      <c r="P202" s="57">
        <f>IFERROR(VLOOKUP($A:$A,CS!$A:$AK,24,FALSE),"")</f>
      </c>
      <c r="Q202" s="57">
        <f>IFERROR(VLOOKUP($A:$A,CS!$A:$AK,25,FALSE),"")</f>
      </c>
      <c r="R202" s="57">
        <f>IFERROR(VLOOKUP($A:$A,CS!$A:$AK,26,FALSE),"")</f>
      </c>
      <c r="S202" s="57">
        <f>IFERROR(VLOOKUP($A:$A,CS!$A:$AK,29,FALSE),"")</f>
      </c>
      <c r="T202" s="57">
        <f>IFERROR(VLOOKUP($A:$A,CS!$A:$AK,33,FALSE),"")</f>
      </c>
      <c r="U202" s="57">
        <f>IFERROR(VLOOKUP($A:$A,CS!$A:$AK,34,FALSE),"")</f>
      </c>
      <c r="V202" s="57">
        <f>IFERROR(VLOOKUP($A:$A,CS!$A:$AK,35,FALSE),"")</f>
      </c>
      <c r="W202" s="57">
        <f>IFERROR(VLOOKUP($A:$A,CS!$A:$AK,36,FALSE),"")</f>
      </c>
    </row>
    <row r="203" ht="16.5" customHeight="1" spans="1:23" x14ac:dyDescent="0.25">
      <c r="A203" s="71"/>
      <c r="B203" s="57">
        <f>IFERROR(VLOOKUP($A:$A,CS!$A:$AK,3,FALSE),"")</f>
      </c>
      <c r="C203" s="57">
        <f>IFERROR(VLOOKUP($A:$A,CS!$A:$AK,4,FALSE),"")</f>
      </c>
      <c r="D203" s="57">
        <f>IFERROR(VLOOKUP($A:$A,CS!$A:$AK,5,FALSE),"")</f>
      </c>
      <c r="E203" s="57">
        <f>IFERROR(VLOOKUP($A:$A,CS!$A:$AK,7,FALSE),"")</f>
      </c>
      <c r="F203" s="57">
        <f>IFERROR(VLOOKUP($A:$A,CS!$A:$AK,8,FALSE),"")</f>
      </c>
      <c r="G203" s="57">
        <f>IFERROR(VLOOKUP($A:$A,CS!$A:$AK,10,FALSE),"")</f>
      </c>
      <c r="H203" s="57">
        <f>IFERROR(VLOOKUP($A:$A,CS!$A:$AK,14,FALSE),"")</f>
      </c>
      <c r="I203" s="57">
        <f>IFERROR(VLOOKUP($A:$A,CS!$A:$AK,15,FALSE),"")</f>
      </c>
      <c r="J203" s="57">
        <f>IFERROR(VLOOKUP($A:$A,CS!$A:$AK,18,FALSE),"")</f>
      </c>
      <c r="K203" s="57">
        <f>IFERROR(VLOOKUP($A:$A,CS!$A:$AK,19,FALSE),"")</f>
      </c>
      <c r="L203" s="57">
        <f>IFERROR(VLOOKUP($A:$A,CS!$A:$AK,20,FALSE),"")</f>
      </c>
      <c r="M203" s="57">
        <f>IFERROR(VLOOKUP($A:$A,CS!$A:$AK,22,FALSE),"")</f>
      </c>
      <c r="N203" s="57">
        <f>IFERROR(VLOOKUP($A:$A,CS!$A:$AK,19,FALSE),"")</f>
      </c>
      <c r="O203" s="57">
        <f>IFERROR(VLOOKUP($A:$A,CS!$A:$AK,23,FALSE),"")</f>
      </c>
      <c r="P203" s="57">
        <f>IFERROR(VLOOKUP($A:$A,CS!$A:$AK,24,FALSE),"")</f>
      </c>
      <c r="Q203" s="57">
        <f>IFERROR(VLOOKUP($A:$A,CS!$A:$AK,25,FALSE),"")</f>
      </c>
      <c r="R203" s="57">
        <f>IFERROR(VLOOKUP($A:$A,CS!$A:$AK,26,FALSE),"")</f>
      </c>
      <c r="S203" s="57">
        <f>IFERROR(VLOOKUP($A:$A,CS!$A:$AK,29,FALSE),"")</f>
      </c>
      <c r="T203" s="57">
        <f>IFERROR(VLOOKUP($A:$A,CS!$A:$AK,33,FALSE),"")</f>
      </c>
      <c r="U203" s="57">
        <f>IFERROR(VLOOKUP($A:$A,CS!$A:$AK,34,FALSE),"")</f>
      </c>
      <c r="V203" s="57">
        <f>IFERROR(VLOOKUP($A:$A,CS!$A:$AK,35,FALSE),"")</f>
      </c>
      <c r="W203" s="57">
        <f>IFERROR(VLOOKUP($A:$A,CS!$A:$AK,36,FALSE),"")</f>
      </c>
    </row>
    <row r="204" ht="16.5" customHeight="1" spans="1:23" x14ac:dyDescent="0.25">
      <c r="A204" s="71"/>
      <c r="B204" s="57">
        <f>IFERROR(VLOOKUP($A:$A,CS!$A:$AK,3,FALSE),"")</f>
      </c>
      <c r="C204" s="57">
        <f>IFERROR(VLOOKUP($A:$A,CS!$A:$AK,4,FALSE),"")</f>
      </c>
      <c r="D204" s="57">
        <f>IFERROR(VLOOKUP($A:$A,CS!$A:$AK,5,FALSE),"")</f>
      </c>
      <c r="E204" s="57">
        <f>IFERROR(VLOOKUP($A:$A,CS!$A:$AK,7,FALSE),"")</f>
      </c>
      <c r="F204" s="57">
        <f>IFERROR(VLOOKUP($A:$A,CS!$A:$AK,8,FALSE),"")</f>
      </c>
      <c r="G204" s="57">
        <f>IFERROR(VLOOKUP($A:$A,CS!$A:$AK,10,FALSE),"")</f>
      </c>
      <c r="H204" s="57">
        <f>IFERROR(VLOOKUP($A:$A,CS!$A:$AK,14,FALSE),"")</f>
      </c>
      <c r="I204" s="57">
        <f>IFERROR(VLOOKUP($A:$A,CS!$A:$AK,15,FALSE),"")</f>
      </c>
      <c r="J204" s="57">
        <f>IFERROR(VLOOKUP($A:$A,CS!$A:$AK,18,FALSE),"")</f>
      </c>
      <c r="K204" s="57">
        <f>IFERROR(VLOOKUP($A:$A,CS!$A:$AK,19,FALSE),"")</f>
      </c>
      <c r="L204" s="57">
        <f>IFERROR(VLOOKUP($A:$A,CS!$A:$AK,20,FALSE),"")</f>
      </c>
      <c r="M204" s="57">
        <f>IFERROR(VLOOKUP($A:$A,CS!$A:$AK,22,FALSE),"")</f>
      </c>
      <c r="N204" s="57">
        <f>IFERROR(VLOOKUP($A:$A,CS!$A:$AK,19,FALSE),"")</f>
      </c>
      <c r="O204" s="57">
        <f>IFERROR(VLOOKUP($A:$A,CS!$A:$AK,23,FALSE),"")</f>
      </c>
      <c r="P204" s="57">
        <f>IFERROR(VLOOKUP($A:$A,CS!$A:$AK,24,FALSE),"")</f>
      </c>
      <c r="Q204" s="57">
        <f>IFERROR(VLOOKUP($A:$A,CS!$A:$AK,25,FALSE),"")</f>
      </c>
      <c r="R204" s="57">
        <f>IFERROR(VLOOKUP($A:$A,CS!$A:$AK,26,FALSE),"")</f>
      </c>
      <c r="S204" s="57">
        <f>IFERROR(VLOOKUP($A:$A,CS!$A:$AK,29,FALSE),"")</f>
      </c>
      <c r="T204" s="57">
        <f>IFERROR(VLOOKUP($A:$A,CS!$A:$AK,33,FALSE),"")</f>
      </c>
      <c r="U204" s="57">
        <f>IFERROR(VLOOKUP($A:$A,CS!$A:$AK,34,FALSE),"")</f>
      </c>
      <c r="V204" s="57">
        <f>IFERROR(VLOOKUP($A:$A,CS!$A:$AK,35,FALSE),"")</f>
      </c>
      <c r="W204" s="57">
        <f>IFERROR(VLOOKUP($A:$A,CS!$A:$AK,36,FALSE),"")</f>
      </c>
    </row>
    <row r="205" ht="16.5" customHeight="1" spans="1:23" x14ac:dyDescent="0.25">
      <c r="A205" s="71"/>
      <c r="B205" s="57">
        <f>IFERROR(VLOOKUP($A:$A,CS!$A:$AK,3,FALSE),"")</f>
      </c>
      <c r="C205" s="57">
        <f>IFERROR(VLOOKUP($A:$A,CS!$A:$AK,4,FALSE),"")</f>
      </c>
      <c r="D205" s="57">
        <f>IFERROR(VLOOKUP($A:$A,CS!$A:$AK,5,FALSE),"")</f>
      </c>
      <c r="E205" s="57">
        <f>IFERROR(VLOOKUP($A:$A,CS!$A:$AK,7,FALSE),"")</f>
      </c>
      <c r="F205" s="57">
        <f>IFERROR(VLOOKUP($A:$A,CS!$A:$AK,8,FALSE),"")</f>
      </c>
      <c r="G205" s="57">
        <f>IFERROR(VLOOKUP($A:$A,CS!$A:$AK,10,FALSE),"")</f>
      </c>
      <c r="H205" s="57">
        <f>IFERROR(VLOOKUP($A:$A,CS!$A:$AK,14,FALSE),"")</f>
      </c>
      <c r="I205" s="57">
        <f>IFERROR(VLOOKUP($A:$A,CS!$A:$AK,15,FALSE),"")</f>
      </c>
      <c r="J205" s="57">
        <f>IFERROR(VLOOKUP($A:$A,CS!$A:$AK,18,FALSE),"")</f>
      </c>
      <c r="K205" s="57">
        <f>IFERROR(VLOOKUP($A:$A,CS!$A:$AK,19,FALSE),"")</f>
      </c>
      <c r="L205" s="57">
        <f>IFERROR(VLOOKUP($A:$A,CS!$A:$AK,20,FALSE),"")</f>
      </c>
      <c r="M205" s="57">
        <f>IFERROR(VLOOKUP($A:$A,CS!$A:$AK,22,FALSE),"")</f>
      </c>
      <c r="N205" s="57">
        <f>IFERROR(VLOOKUP($A:$A,CS!$A:$AK,19,FALSE),"")</f>
      </c>
      <c r="O205" s="57">
        <f>IFERROR(VLOOKUP($A:$A,CS!$A:$AK,23,FALSE),"")</f>
      </c>
      <c r="P205" s="57">
        <f>IFERROR(VLOOKUP($A:$A,CS!$A:$AK,24,FALSE),"")</f>
      </c>
      <c r="Q205" s="57">
        <f>IFERROR(VLOOKUP($A:$A,CS!$A:$AK,25,FALSE),"")</f>
      </c>
      <c r="R205" s="57">
        <f>IFERROR(VLOOKUP($A:$A,CS!$A:$AK,26,FALSE),"")</f>
      </c>
      <c r="S205" s="57">
        <f>IFERROR(VLOOKUP($A:$A,CS!$A:$AK,29,FALSE),"")</f>
      </c>
      <c r="T205" s="57">
        <f>IFERROR(VLOOKUP($A:$A,CS!$A:$AK,33,FALSE),"")</f>
      </c>
      <c r="U205" s="57">
        <f>IFERROR(VLOOKUP($A:$A,CS!$A:$AK,34,FALSE),"")</f>
      </c>
      <c r="V205" s="57">
        <f>IFERROR(VLOOKUP($A:$A,CS!$A:$AK,35,FALSE),"")</f>
      </c>
      <c r="W205" s="57">
        <f>IFERROR(VLOOKUP($A:$A,CS!$A:$AK,36,FALSE),"")</f>
      </c>
    </row>
    <row r="206" ht="16.5" customHeight="1" spans="1:23" x14ac:dyDescent="0.25">
      <c r="A206" s="71"/>
      <c r="B206" s="57">
        <f>IFERROR(VLOOKUP($A:$A,CS!$A:$AK,3,FALSE),"")</f>
      </c>
      <c r="C206" s="57">
        <f>IFERROR(VLOOKUP($A:$A,CS!$A:$AK,4,FALSE),"")</f>
      </c>
      <c r="D206" s="57">
        <f>IFERROR(VLOOKUP($A:$A,CS!$A:$AK,5,FALSE),"")</f>
      </c>
      <c r="E206" s="57">
        <f>IFERROR(VLOOKUP($A:$A,CS!$A:$AK,7,FALSE),"")</f>
      </c>
      <c r="F206" s="57">
        <f>IFERROR(VLOOKUP($A:$A,CS!$A:$AK,8,FALSE),"")</f>
      </c>
      <c r="G206" s="57">
        <f>IFERROR(VLOOKUP($A:$A,CS!$A:$AK,10,FALSE),"")</f>
      </c>
      <c r="H206" s="57">
        <f>IFERROR(VLOOKUP($A:$A,CS!$A:$AK,14,FALSE),"")</f>
      </c>
      <c r="I206" s="57">
        <f>IFERROR(VLOOKUP($A:$A,CS!$A:$AK,15,FALSE),"")</f>
      </c>
      <c r="J206" s="57">
        <f>IFERROR(VLOOKUP($A:$A,CS!$A:$AK,18,FALSE),"")</f>
      </c>
      <c r="K206" s="57">
        <f>IFERROR(VLOOKUP($A:$A,CS!$A:$AK,19,FALSE),"")</f>
      </c>
      <c r="L206" s="57">
        <f>IFERROR(VLOOKUP($A:$A,CS!$A:$AK,20,FALSE),"")</f>
      </c>
      <c r="M206" s="57">
        <f>IFERROR(VLOOKUP($A:$A,CS!$A:$AK,22,FALSE),"")</f>
      </c>
      <c r="N206" s="57">
        <f>IFERROR(VLOOKUP($A:$A,CS!$A:$AK,19,FALSE),"")</f>
      </c>
      <c r="O206" s="57">
        <f>IFERROR(VLOOKUP($A:$A,CS!$A:$AK,23,FALSE),"")</f>
      </c>
      <c r="P206" s="57">
        <f>IFERROR(VLOOKUP($A:$A,CS!$A:$AK,24,FALSE),"")</f>
      </c>
      <c r="Q206" s="57">
        <f>IFERROR(VLOOKUP($A:$A,CS!$A:$AK,25,FALSE),"")</f>
      </c>
      <c r="R206" s="57">
        <f>IFERROR(VLOOKUP($A:$A,CS!$A:$AK,26,FALSE),"")</f>
      </c>
      <c r="S206" s="57">
        <f>IFERROR(VLOOKUP($A:$A,CS!$A:$AK,29,FALSE),"")</f>
      </c>
      <c r="T206" s="57">
        <f>IFERROR(VLOOKUP($A:$A,CS!$A:$AK,33,FALSE),"")</f>
      </c>
      <c r="U206" s="57">
        <f>IFERROR(VLOOKUP($A:$A,CS!$A:$AK,34,FALSE),"")</f>
      </c>
      <c r="V206" s="57">
        <f>IFERROR(VLOOKUP($A:$A,CS!$A:$AK,35,FALSE),"")</f>
      </c>
      <c r="W206" s="57">
        <f>IFERROR(VLOOKUP($A:$A,CS!$A:$AK,36,FALSE),"")</f>
      </c>
    </row>
    <row r="207" ht="16.5" customHeight="1" spans="1:23" x14ac:dyDescent="0.25">
      <c r="A207" s="71"/>
      <c r="B207" s="57">
        <f>IFERROR(VLOOKUP($A:$A,CS!$A:$AK,3,FALSE),"")</f>
      </c>
      <c r="C207" s="57">
        <f>IFERROR(VLOOKUP($A:$A,CS!$A:$AK,4,FALSE),"")</f>
      </c>
      <c r="D207" s="57">
        <f>IFERROR(VLOOKUP($A:$A,CS!$A:$AK,5,FALSE),"")</f>
      </c>
      <c r="E207" s="57">
        <f>IFERROR(VLOOKUP($A:$A,CS!$A:$AK,7,FALSE),"")</f>
      </c>
      <c r="F207" s="57">
        <f>IFERROR(VLOOKUP($A:$A,CS!$A:$AK,8,FALSE),"")</f>
      </c>
      <c r="G207" s="57">
        <f>IFERROR(VLOOKUP($A:$A,CS!$A:$AK,10,FALSE),"")</f>
      </c>
      <c r="H207" s="57">
        <f>IFERROR(VLOOKUP($A:$A,CS!$A:$AK,14,FALSE),"")</f>
      </c>
      <c r="I207" s="57">
        <f>IFERROR(VLOOKUP($A:$A,CS!$A:$AK,15,FALSE),"")</f>
      </c>
      <c r="J207" s="57">
        <f>IFERROR(VLOOKUP($A:$A,CS!$A:$AK,18,FALSE),"")</f>
      </c>
      <c r="K207" s="57">
        <f>IFERROR(VLOOKUP($A:$A,CS!$A:$AK,19,FALSE),"")</f>
      </c>
      <c r="L207" s="57">
        <f>IFERROR(VLOOKUP($A:$A,CS!$A:$AK,20,FALSE),"")</f>
      </c>
      <c r="M207" s="57">
        <f>IFERROR(VLOOKUP($A:$A,CS!$A:$AK,22,FALSE),"")</f>
      </c>
      <c r="N207" s="57">
        <f>IFERROR(VLOOKUP($A:$A,CS!$A:$AK,19,FALSE),"")</f>
      </c>
      <c r="O207" s="57">
        <f>IFERROR(VLOOKUP($A:$A,CS!$A:$AK,23,FALSE),"")</f>
      </c>
      <c r="P207" s="57">
        <f>IFERROR(VLOOKUP($A:$A,CS!$A:$AK,24,FALSE),"")</f>
      </c>
      <c r="Q207" s="57">
        <f>IFERROR(VLOOKUP($A:$A,CS!$A:$AK,25,FALSE),"")</f>
      </c>
      <c r="R207" s="57">
        <f>IFERROR(VLOOKUP($A:$A,CS!$A:$AK,26,FALSE),"")</f>
      </c>
      <c r="S207" s="57">
        <f>IFERROR(VLOOKUP($A:$A,CS!$A:$AK,29,FALSE),"")</f>
      </c>
      <c r="T207" s="57">
        <f>IFERROR(VLOOKUP($A:$A,CS!$A:$AK,33,FALSE),"")</f>
      </c>
      <c r="U207" s="57">
        <f>IFERROR(VLOOKUP($A:$A,CS!$A:$AK,34,FALSE),"")</f>
      </c>
      <c r="V207" s="57">
        <f>IFERROR(VLOOKUP($A:$A,CS!$A:$AK,35,FALSE),"")</f>
      </c>
      <c r="W207" s="57">
        <f>IFERROR(VLOOKUP($A:$A,CS!$A:$AK,36,FALSE),"")</f>
      </c>
    </row>
    <row r="208" ht="16.5" customHeight="1" spans="1:23" x14ac:dyDescent="0.25">
      <c r="A208" s="71"/>
      <c r="B208" s="57">
        <f>IFERROR(VLOOKUP($A:$A,CS!$A:$AK,3,FALSE),"")</f>
      </c>
      <c r="C208" s="57">
        <f>IFERROR(VLOOKUP($A:$A,CS!$A:$AK,4,FALSE),"")</f>
      </c>
      <c r="D208" s="57">
        <f>IFERROR(VLOOKUP($A:$A,CS!$A:$AK,5,FALSE),"")</f>
      </c>
      <c r="E208" s="57">
        <f>IFERROR(VLOOKUP($A:$A,CS!$A:$AK,7,FALSE),"")</f>
      </c>
      <c r="F208" s="57">
        <f>IFERROR(VLOOKUP($A:$A,CS!$A:$AK,8,FALSE),"")</f>
      </c>
      <c r="G208" s="57">
        <f>IFERROR(VLOOKUP($A:$A,CS!$A:$AK,10,FALSE),"")</f>
      </c>
      <c r="H208" s="57">
        <f>IFERROR(VLOOKUP($A:$A,CS!$A:$AK,14,FALSE),"")</f>
      </c>
      <c r="I208" s="57">
        <f>IFERROR(VLOOKUP($A:$A,CS!$A:$AK,15,FALSE),"")</f>
      </c>
      <c r="J208" s="57">
        <f>IFERROR(VLOOKUP($A:$A,CS!$A:$AK,18,FALSE),"")</f>
      </c>
      <c r="K208" s="57">
        <f>IFERROR(VLOOKUP($A:$A,CS!$A:$AK,19,FALSE),"")</f>
      </c>
      <c r="L208" s="57">
        <f>IFERROR(VLOOKUP($A:$A,CS!$A:$AK,20,FALSE),"")</f>
      </c>
      <c r="M208" s="57">
        <f>IFERROR(VLOOKUP($A:$A,CS!$A:$AK,22,FALSE),"")</f>
      </c>
      <c r="N208" s="57">
        <f>IFERROR(VLOOKUP($A:$A,CS!$A:$AK,19,FALSE),"")</f>
      </c>
      <c r="O208" s="57">
        <f>IFERROR(VLOOKUP($A:$A,CS!$A:$AK,23,FALSE),"")</f>
      </c>
      <c r="P208" s="57">
        <f>IFERROR(VLOOKUP($A:$A,CS!$A:$AK,24,FALSE),"")</f>
      </c>
      <c r="Q208" s="57">
        <f>IFERROR(VLOOKUP($A:$A,CS!$A:$AK,25,FALSE),"")</f>
      </c>
      <c r="R208" s="57">
        <f>IFERROR(VLOOKUP($A:$A,CS!$A:$AK,26,FALSE),"")</f>
      </c>
      <c r="S208" s="57">
        <f>IFERROR(VLOOKUP($A:$A,CS!$A:$AK,29,FALSE),"")</f>
      </c>
      <c r="T208" s="57">
        <f>IFERROR(VLOOKUP($A:$A,CS!$A:$AK,33,FALSE),"")</f>
      </c>
      <c r="U208" s="57">
        <f>IFERROR(VLOOKUP($A:$A,CS!$A:$AK,34,FALSE),"")</f>
      </c>
      <c r="V208" s="57">
        <f>IFERROR(VLOOKUP($A:$A,CS!$A:$AK,35,FALSE),"")</f>
      </c>
      <c r="W208" s="57">
        <f>IFERROR(VLOOKUP($A:$A,CS!$A:$AK,36,FALSE),"")</f>
      </c>
    </row>
    <row r="209" ht="16.5" customHeight="1" spans="1:23" x14ac:dyDescent="0.25">
      <c r="A209" s="71"/>
      <c r="B209" s="57">
        <f>IFERROR(VLOOKUP($A:$A,CS!$A:$AK,3,FALSE),"")</f>
      </c>
      <c r="C209" s="57">
        <f>IFERROR(VLOOKUP($A:$A,CS!$A:$AK,4,FALSE),"")</f>
      </c>
      <c r="D209" s="57">
        <f>IFERROR(VLOOKUP($A:$A,CS!$A:$AK,5,FALSE),"")</f>
      </c>
      <c r="E209" s="57">
        <f>IFERROR(VLOOKUP($A:$A,CS!$A:$AK,7,FALSE),"")</f>
      </c>
      <c r="F209" s="57">
        <f>IFERROR(VLOOKUP($A:$A,CS!$A:$AK,8,FALSE),"")</f>
      </c>
      <c r="G209" s="57">
        <f>IFERROR(VLOOKUP($A:$A,CS!$A:$AK,10,FALSE),"")</f>
      </c>
      <c r="H209" s="57">
        <f>IFERROR(VLOOKUP($A:$A,CS!$A:$AK,14,FALSE),"")</f>
      </c>
      <c r="I209" s="57">
        <f>IFERROR(VLOOKUP($A:$A,CS!$A:$AK,15,FALSE),"")</f>
      </c>
      <c r="J209" s="57">
        <f>IFERROR(VLOOKUP($A:$A,CS!$A:$AK,18,FALSE),"")</f>
      </c>
      <c r="K209" s="57">
        <f>IFERROR(VLOOKUP($A:$A,CS!$A:$AK,19,FALSE),"")</f>
      </c>
      <c r="L209" s="57">
        <f>IFERROR(VLOOKUP($A:$A,CS!$A:$AK,20,FALSE),"")</f>
      </c>
      <c r="M209" s="57">
        <f>IFERROR(VLOOKUP($A:$A,CS!$A:$AK,22,FALSE),"")</f>
      </c>
      <c r="N209" s="57">
        <f>IFERROR(VLOOKUP($A:$A,CS!$A:$AK,19,FALSE),"")</f>
      </c>
      <c r="O209" s="57">
        <f>IFERROR(VLOOKUP($A:$A,CS!$A:$AK,23,FALSE),"")</f>
      </c>
      <c r="P209" s="57">
        <f>IFERROR(VLOOKUP($A:$A,CS!$A:$AK,24,FALSE),"")</f>
      </c>
      <c r="Q209" s="57">
        <f>IFERROR(VLOOKUP($A:$A,CS!$A:$AK,25,FALSE),"")</f>
      </c>
      <c r="R209" s="57">
        <f>IFERROR(VLOOKUP($A:$A,CS!$A:$AK,26,FALSE),"")</f>
      </c>
      <c r="S209" s="57">
        <f>IFERROR(VLOOKUP($A:$A,CS!$A:$AK,29,FALSE),"")</f>
      </c>
      <c r="T209" s="57">
        <f>IFERROR(VLOOKUP($A:$A,CS!$A:$AK,33,FALSE),"")</f>
      </c>
      <c r="U209" s="57">
        <f>IFERROR(VLOOKUP($A:$A,CS!$A:$AK,34,FALSE),"")</f>
      </c>
      <c r="V209" s="57">
        <f>IFERROR(VLOOKUP($A:$A,CS!$A:$AK,35,FALSE),"")</f>
      </c>
      <c r="W209" s="57">
        <f>IFERROR(VLOOKUP($A:$A,CS!$A:$AK,36,FALSE),"")</f>
      </c>
    </row>
    <row r="210" ht="16.5" customHeight="1" spans="1:23" x14ac:dyDescent="0.25">
      <c r="A210" s="71"/>
      <c r="B210" s="57">
        <f>IFERROR(VLOOKUP($A:$A,CS!$A:$AK,3,FALSE),"")</f>
      </c>
      <c r="C210" s="57">
        <f>IFERROR(VLOOKUP($A:$A,CS!$A:$AK,4,FALSE),"")</f>
      </c>
      <c r="D210" s="57">
        <f>IFERROR(VLOOKUP($A:$A,CS!$A:$AK,5,FALSE),"")</f>
      </c>
      <c r="E210" s="57">
        <f>IFERROR(VLOOKUP($A:$A,CS!$A:$AK,7,FALSE),"")</f>
      </c>
      <c r="F210" s="57">
        <f>IFERROR(VLOOKUP($A:$A,CS!$A:$AK,8,FALSE),"")</f>
      </c>
      <c r="G210" s="57">
        <f>IFERROR(VLOOKUP($A:$A,CS!$A:$AK,10,FALSE),"")</f>
      </c>
      <c r="H210" s="57">
        <f>IFERROR(VLOOKUP($A:$A,CS!$A:$AK,14,FALSE),"")</f>
      </c>
      <c r="I210" s="57">
        <f>IFERROR(VLOOKUP($A:$A,CS!$A:$AK,15,FALSE),"")</f>
      </c>
      <c r="J210" s="57">
        <f>IFERROR(VLOOKUP($A:$A,CS!$A:$AK,18,FALSE),"")</f>
      </c>
      <c r="K210" s="57">
        <f>IFERROR(VLOOKUP($A:$A,CS!$A:$AK,19,FALSE),"")</f>
      </c>
      <c r="L210" s="57">
        <f>IFERROR(VLOOKUP($A:$A,CS!$A:$AK,20,FALSE),"")</f>
      </c>
      <c r="M210" s="57">
        <f>IFERROR(VLOOKUP($A:$A,CS!$A:$AK,22,FALSE),"")</f>
      </c>
      <c r="N210" s="57">
        <f>IFERROR(VLOOKUP($A:$A,CS!$A:$AK,19,FALSE),"")</f>
      </c>
      <c r="O210" s="57">
        <f>IFERROR(VLOOKUP($A:$A,CS!$A:$AK,23,FALSE),"")</f>
      </c>
      <c r="P210" s="57">
        <f>IFERROR(VLOOKUP($A:$A,CS!$A:$AK,24,FALSE),"")</f>
      </c>
      <c r="Q210" s="57">
        <f>IFERROR(VLOOKUP($A:$A,CS!$A:$AK,25,FALSE),"")</f>
      </c>
      <c r="R210" s="57">
        <f>IFERROR(VLOOKUP($A:$A,CS!$A:$AK,26,FALSE),"")</f>
      </c>
      <c r="S210" s="57">
        <f>IFERROR(VLOOKUP($A:$A,CS!$A:$AK,29,FALSE),"")</f>
      </c>
      <c r="T210" s="57">
        <f>IFERROR(VLOOKUP($A:$A,CS!$A:$AK,33,FALSE),"")</f>
      </c>
      <c r="U210" s="57">
        <f>IFERROR(VLOOKUP($A:$A,CS!$A:$AK,34,FALSE),"")</f>
      </c>
      <c r="V210" s="57">
        <f>IFERROR(VLOOKUP($A:$A,CS!$A:$AK,35,FALSE),"")</f>
      </c>
      <c r="W210" s="57">
        <f>IFERROR(VLOOKUP($A:$A,CS!$A:$AK,36,FALSE),"")</f>
      </c>
    </row>
    <row r="211" ht="16.5" customHeight="1" spans="1:23" x14ac:dyDescent="0.25">
      <c r="A211" s="71"/>
      <c r="B211" s="57">
        <f>IFERROR(VLOOKUP($A:$A,CS!$A:$AK,3,FALSE),"")</f>
      </c>
      <c r="C211" s="57">
        <f>IFERROR(VLOOKUP($A:$A,CS!$A:$AK,4,FALSE),"")</f>
      </c>
      <c r="D211" s="57">
        <f>IFERROR(VLOOKUP($A:$A,CS!$A:$AK,5,FALSE),"")</f>
      </c>
      <c r="E211" s="57">
        <f>IFERROR(VLOOKUP($A:$A,CS!$A:$AK,7,FALSE),"")</f>
      </c>
      <c r="F211" s="57">
        <f>IFERROR(VLOOKUP($A:$A,CS!$A:$AK,8,FALSE),"")</f>
      </c>
      <c r="G211" s="57">
        <f>IFERROR(VLOOKUP($A:$A,CS!$A:$AK,10,FALSE),"")</f>
      </c>
      <c r="H211" s="57">
        <f>IFERROR(VLOOKUP($A:$A,CS!$A:$AK,14,FALSE),"")</f>
      </c>
      <c r="I211" s="57">
        <f>IFERROR(VLOOKUP($A:$A,CS!$A:$AK,15,FALSE),"")</f>
      </c>
      <c r="J211" s="57">
        <f>IFERROR(VLOOKUP($A:$A,CS!$A:$AK,18,FALSE),"")</f>
      </c>
      <c r="K211" s="57">
        <f>IFERROR(VLOOKUP($A:$A,CS!$A:$AK,19,FALSE),"")</f>
      </c>
      <c r="L211" s="57">
        <f>IFERROR(VLOOKUP($A:$A,CS!$A:$AK,20,FALSE),"")</f>
      </c>
      <c r="M211" s="57">
        <f>IFERROR(VLOOKUP($A:$A,CS!$A:$AK,22,FALSE),"")</f>
      </c>
      <c r="N211" s="57">
        <f>IFERROR(VLOOKUP($A:$A,CS!$A:$AK,19,FALSE),"")</f>
      </c>
      <c r="O211" s="57">
        <f>IFERROR(VLOOKUP($A:$A,CS!$A:$AK,23,FALSE),"")</f>
      </c>
      <c r="P211" s="57">
        <f>IFERROR(VLOOKUP($A:$A,CS!$A:$AK,24,FALSE),"")</f>
      </c>
      <c r="Q211" s="57">
        <f>IFERROR(VLOOKUP($A:$A,CS!$A:$AK,25,FALSE),"")</f>
      </c>
      <c r="R211" s="57">
        <f>IFERROR(VLOOKUP($A:$A,CS!$A:$AK,26,FALSE),"")</f>
      </c>
      <c r="S211" s="57">
        <f>IFERROR(VLOOKUP($A:$A,CS!$A:$AK,29,FALSE),"")</f>
      </c>
      <c r="T211" s="57">
        <f>IFERROR(VLOOKUP($A:$A,CS!$A:$AK,33,FALSE),"")</f>
      </c>
      <c r="U211" s="57">
        <f>IFERROR(VLOOKUP($A:$A,CS!$A:$AK,34,FALSE),"")</f>
      </c>
      <c r="V211" s="57">
        <f>IFERROR(VLOOKUP($A:$A,CS!$A:$AK,35,FALSE),"")</f>
      </c>
      <c r="W211" s="57">
        <f>IFERROR(VLOOKUP($A:$A,CS!$A:$AK,36,FALSE),"")</f>
      </c>
    </row>
    <row r="212" ht="16.5" customHeight="1" spans="1:23" x14ac:dyDescent="0.25">
      <c r="A212" s="71"/>
      <c r="B212" s="57">
        <f>IFERROR(VLOOKUP($A:$A,CS!$A:$AK,3,FALSE),"")</f>
      </c>
      <c r="C212" s="57">
        <f>IFERROR(VLOOKUP($A:$A,CS!$A:$AK,4,FALSE),"")</f>
      </c>
      <c r="D212" s="57">
        <f>IFERROR(VLOOKUP($A:$A,CS!$A:$AK,5,FALSE),"")</f>
      </c>
      <c r="E212" s="57">
        <f>IFERROR(VLOOKUP($A:$A,CS!$A:$AK,7,FALSE),"")</f>
      </c>
      <c r="F212" s="57">
        <f>IFERROR(VLOOKUP($A:$A,CS!$A:$AK,8,FALSE),"")</f>
      </c>
      <c r="G212" s="57">
        <f>IFERROR(VLOOKUP($A:$A,CS!$A:$AK,10,FALSE),"")</f>
      </c>
      <c r="H212" s="57">
        <f>IFERROR(VLOOKUP($A:$A,CS!$A:$AK,14,FALSE),"")</f>
      </c>
      <c r="I212" s="57">
        <f>IFERROR(VLOOKUP($A:$A,CS!$A:$AK,15,FALSE),"")</f>
      </c>
      <c r="J212" s="57">
        <f>IFERROR(VLOOKUP($A:$A,CS!$A:$AK,18,FALSE),"")</f>
      </c>
      <c r="K212" s="57">
        <f>IFERROR(VLOOKUP($A:$A,CS!$A:$AK,19,FALSE),"")</f>
      </c>
      <c r="L212" s="57">
        <f>IFERROR(VLOOKUP($A:$A,CS!$A:$AK,20,FALSE),"")</f>
      </c>
      <c r="M212" s="57">
        <f>IFERROR(VLOOKUP($A:$A,CS!$A:$AK,22,FALSE),"")</f>
      </c>
      <c r="N212" s="57">
        <f>IFERROR(VLOOKUP($A:$A,CS!$A:$AK,19,FALSE),"")</f>
      </c>
      <c r="O212" s="57">
        <f>IFERROR(VLOOKUP($A:$A,CS!$A:$AK,23,FALSE),"")</f>
      </c>
      <c r="P212" s="57">
        <f>IFERROR(VLOOKUP($A:$A,CS!$A:$AK,24,FALSE),"")</f>
      </c>
      <c r="Q212" s="57">
        <f>IFERROR(VLOOKUP($A:$A,CS!$A:$AK,25,FALSE),"")</f>
      </c>
      <c r="R212" s="57">
        <f>IFERROR(VLOOKUP($A:$A,CS!$A:$AK,26,FALSE),"")</f>
      </c>
      <c r="S212" s="57">
        <f>IFERROR(VLOOKUP($A:$A,CS!$A:$AK,29,FALSE),"")</f>
      </c>
      <c r="T212" s="57">
        <f>IFERROR(VLOOKUP($A:$A,CS!$A:$AK,33,FALSE),"")</f>
      </c>
      <c r="U212" s="57">
        <f>IFERROR(VLOOKUP($A:$A,CS!$A:$AK,34,FALSE),"")</f>
      </c>
      <c r="V212" s="57">
        <f>IFERROR(VLOOKUP($A:$A,CS!$A:$AK,35,FALSE),"")</f>
      </c>
      <c r="W212" s="57">
        <f>IFERROR(VLOOKUP($A:$A,CS!$A:$AK,36,FALSE),"")</f>
      </c>
    </row>
    <row r="213" ht="16.5" customHeight="1" spans="1:23" x14ac:dyDescent="0.25">
      <c r="A213" s="71"/>
      <c r="B213" s="57">
        <f>IFERROR(VLOOKUP($A:$A,CS!$A:$AK,3,FALSE),"")</f>
      </c>
      <c r="C213" s="57">
        <f>IFERROR(VLOOKUP($A:$A,CS!$A:$AK,4,FALSE),"")</f>
      </c>
      <c r="D213" s="57">
        <f>IFERROR(VLOOKUP($A:$A,CS!$A:$AK,5,FALSE),"")</f>
      </c>
      <c r="E213" s="57">
        <f>IFERROR(VLOOKUP($A:$A,CS!$A:$AK,7,FALSE),"")</f>
      </c>
      <c r="F213" s="57">
        <f>IFERROR(VLOOKUP($A:$A,CS!$A:$AK,8,FALSE),"")</f>
      </c>
      <c r="G213" s="57">
        <f>IFERROR(VLOOKUP($A:$A,CS!$A:$AK,10,FALSE),"")</f>
      </c>
      <c r="H213" s="57">
        <f>IFERROR(VLOOKUP($A:$A,CS!$A:$AK,14,FALSE),"")</f>
      </c>
      <c r="I213" s="57">
        <f>IFERROR(VLOOKUP($A:$A,CS!$A:$AK,15,FALSE),"")</f>
      </c>
      <c r="J213" s="57">
        <f>IFERROR(VLOOKUP($A:$A,CS!$A:$AK,18,FALSE),"")</f>
      </c>
      <c r="K213" s="57">
        <f>IFERROR(VLOOKUP($A:$A,CS!$A:$AK,19,FALSE),"")</f>
      </c>
      <c r="L213" s="57">
        <f>IFERROR(VLOOKUP($A:$A,CS!$A:$AK,20,FALSE),"")</f>
      </c>
      <c r="M213" s="57">
        <f>IFERROR(VLOOKUP($A:$A,CS!$A:$AK,22,FALSE),"")</f>
      </c>
      <c r="N213" s="57">
        <f>IFERROR(VLOOKUP($A:$A,CS!$A:$AK,19,FALSE),"")</f>
      </c>
      <c r="O213" s="57">
        <f>IFERROR(VLOOKUP($A:$A,CS!$A:$AK,23,FALSE),"")</f>
      </c>
      <c r="P213" s="57">
        <f>IFERROR(VLOOKUP($A:$A,CS!$A:$AK,24,FALSE),"")</f>
      </c>
      <c r="Q213" s="57">
        <f>IFERROR(VLOOKUP($A:$A,CS!$A:$AK,25,FALSE),"")</f>
      </c>
      <c r="R213" s="57">
        <f>IFERROR(VLOOKUP($A:$A,CS!$A:$AK,26,FALSE),"")</f>
      </c>
      <c r="S213" s="57">
        <f>IFERROR(VLOOKUP($A:$A,CS!$A:$AK,29,FALSE),"")</f>
      </c>
      <c r="T213" s="57">
        <f>IFERROR(VLOOKUP($A:$A,CS!$A:$AK,33,FALSE),"")</f>
      </c>
      <c r="U213" s="57">
        <f>IFERROR(VLOOKUP($A:$A,CS!$A:$AK,34,FALSE),"")</f>
      </c>
      <c r="V213" s="57">
        <f>IFERROR(VLOOKUP($A:$A,CS!$A:$AK,35,FALSE),"")</f>
      </c>
      <c r="W213" s="57">
        <f>IFERROR(VLOOKUP($A:$A,CS!$A:$AK,36,FALSE),"")</f>
      </c>
    </row>
    <row r="214" ht="16.5" customHeight="1" spans="1:23" x14ac:dyDescent="0.25">
      <c r="A214" s="71"/>
      <c r="B214" s="57">
        <f>IFERROR(VLOOKUP($A:$A,CS!$A:$AK,3,FALSE),"")</f>
      </c>
      <c r="C214" s="57">
        <f>IFERROR(VLOOKUP($A:$A,CS!$A:$AK,4,FALSE),"")</f>
      </c>
      <c r="D214" s="57">
        <f>IFERROR(VLOOKUP($A:$A,CS!$A:$AK,5,FALSE),"")</f>
      </c>
      <c r="E214" s="57">
        <f>IFERROR(VLOOKUP($A:$A,CS!$A:$AK,7,FALSE),"")</f>
      </c>
      <c r="F214" s="57">
        <f>IFERROR(VLOOKUP($A:$A,CS!$A:$AK,8,FALSE),"")</f>
      </c>
      <c r="G214" s="57">
        <f>IFERROR(VLOOKUP($A:$A,CS!$A:$AK,10,FALSE),"")</f>
      </c>
      <c r="H214" s="57">
        <f>IFERROR(VLOOKUP($A:$A,CS!$A:$AK,14,FALSE),"")</f>
      </c>
      <c r="I214" s="57">
        <f>IFERROR(VLOOKUP($A:$A,CS!$A:$AK,15,FALSE),"")</f>
      </c>
      <c r="J214" s="57">
        <f>IFERROR(VLOOKUP($A:$A,CS!$A:$AK,18,FALSE),"")</f>
      </c>
      <c r="K214" s="57">
        <f>IFERROR(VLOOKUP($A:$A,CS!$A:$AK,19,FALSE),"")</f>
      </c>
      <c r="L214" s="57">
        <f>IFERROR(VLOOKUP($A:$A,CS!$A:$AK,20,FALSE),"")</f>
      </c>
      <c r="M214" s="57">
        <f>IFERROR(VLOOKUP($A:$A,CS!$A:$AK,22,FALSE),"")</f>
      </c>
      <c r="N214" s="57">
        <f>IFERROR(VLOOKUP($A:$A,CS!$A:$AK,19,FALSE),"")</f>
      </c>
      <c r="O214" s="57">
        <f>IFERROR(VLOOKUP($A:$A,CS!$A:$AK,23,FALSE),"")</f>
      </c>
      <c r="P214" s="57">
        <f>IFERROR(VLOOKUP($A:$A,CS!$A:$AK,24,FALSE),"")</f>
      </c>
      <c r="Q214" s="57">
        <f>IFERROR(VLOOKUP($A:$A,CS!$A:$AK,25,FALSE),"")</f>
      </c>
      <c r="R214" s="57">
        <f>IFERROR(VLOOKUP($A:$A,CS!$A:$AK,26,FALSE),"")</f>
      </c>
      <c r="S214" s="57">
        <f>IFERROR(VLOOKUP($A:$A,CS!$A:$AK,29,FALSE),"")</f>
      </c>
      <c r="T214" s="57">
        <f>IFERROR(VLOOKUP($A:$A,CS!$A:$AK,33,FALSE),"")</f>
      </c>
      <c r="U214" s="57">
        <f>IFERROR(VLOOKUP($A:$A,CS!$A:$AK,34,FALSE),"")</f>
      </c>
      <c r="V214" s="57">
        <f>IFERROR(VLOOKUP($A:$A,CS!$A:$AK,35,FALSE),"")</f>
      </c>
      <c r="W214" s="57">
        <f>IFERROR(VLOOKUP($A:$A,CS!$A:$AK,36,FALSE),"")</f>
      </c>
    </row>
    <row r="215" ht="16.5" customHeight="1" spans="1:23" x14ac:dyDescent="0.25">
      <c r="A215" s="71"/>
      <c r="B215" s="57">
        <f>IFERROR(VLOOKUP($A:$A,CS!$A:$AK,3,FALSE),"")</f>
      </c>
      <c r="C215" s="57">
        <f>IFERROR(VLOOKUP($A:$A,CS!$A:$AK,4,FALSE),"")</f>
      </c>
      <c r="D215" s="57">
        <f>IFERROR(VLOOKUP($A:$A,CS!$A:$AK,5,FALSE),"")</f>
      </c>
      <c r="E215" s="57">
        <f>IFERROR(VLOOKUP($A:$A,CS!$A:$AK,7,FALSE),"")</f>
      </c>
      <c r="F215" s="57">
        <f>IFERROR(VLOOKUP($A:$A,CS!$A:$AK,8,FALSE),"")</f>
      </c>
      <c r="G215" s="57">
        <f>IFERROR(VLOOKUP($A:$A,CS!$A:$AK,10,FALSE),"")</f>
      </c>
      <c r="H215" s="57">
        <f>IFERROR(VLOOKUP($A:$A,CS!$A:$AK,14,FALSE),"")</f>
      </c>
      <c r="I215" s="57">
        <f>IFERROR(VLOOKUP($A:$A,CS!$A:$AK,15,FALSE),"")</f>
      </c>
      <c r="J215" s="57">
        <f>IFERROR(VLOOKUP($A:$A,CS!$A:$AK,18,FALSE),"")</f>
      </c>
      <c r="K215" s="57">
        <f>IFERROR(VLOOKUP($A:$A,CS!$A:$AK,19,FALSE),"")</f>
      </c>
      <c r="L215" s="57">
        <f>IFERROR(VLOOKUP($A:$A,CS!$A:$AK,20,FALSE),"")</f>
      </c>
      <c r="M215" s="57">
        <f>IFERROR(VLOOKUP($A:$A,CS!$A:$AK,22,FALSE),"")</f>
      </c>
      <c r="N215" s="57">
        <f>IFERROR(VLOOKUP($A:$A,CS!$A:$AK,19,FALSE),"")</f>
      </c>
      <c r="O215" s="57">
        <f>IFERROR(VLOOKUP($A:$A,CS!$A:$AK,23,FALSE),"")</f>
      </c>
      <c r="P215" s="57">
        <f>IFERROR(VLOOKUP($A:$A,CS!$A:$AK,24,FALSE),"")</f>
      </c>
      <c r="Q215" s="57">
        <f>IFERROR(VLOOKUP($A:$A,CS!$A:$AK,25,FALSE),"")</f>
      </c>
      <c r="R215" s="57">
        <f>IFERROR(VLOOKUP($A:$A,CS!$A:$AK,26,FALSE),"")</f>
      </c>
      <c r="S215" s="57">
        <f>IFERROR(VLOOKUP($A:$A,CS!$A:$AK,29,FALSE),"")</f>
      </c>
      <c r="T215" s="57">
        <f>IFERROR(VLOOKUP($A:$A,CS!$A:$AK,33,FALSE),"")</f>
      </c>
      <c r="U215" s="57">
        <f>IFERROR(VLOOKUP($A:$A,CS!$A:$AK,34,FALSE),"")</f>
      </c>
      <c r="V215" s="57">
        <f>IFERROR(VLOOKUP($A:$A,CS!$A:$AK,35,FALSE),"")</f>
      </c>
      <c r="W215" s="57">
        <f>IFERROR(VLOOKUP($A:$A,CS!$A:$AK,36,FALSE),"")</f>
      </c>
    </row>
    <row r="216" ht="16.5" customHeight="1" spans="1:23" x14ac:dyDescent="0.25">
      <c r="A216" s="71"/>
      <c r="B216" s="57">
        <f>IFERROR(VLOOKUP($A:$A,CS!$A:$AK,3,FALSE),"")</f>
      </c>
      <c r="C216" s="57">
        <f>IFERROR(VLOOKUP($A:$A,CS!$A:$AK,4,FALSE),"")</f>
      </c>
      <c r="D216" s="57">
        <f>IFERROR(VLOOKUP($A:$A,CS!$A:$AK,5,FALSE),"")</f>
      </c>
      <c r="E216" s="57">
        <f>IFERROR(VLOOKUP($A:$A,CS!$A:$AK,7,FALSE),"")</f>
      </c>
      <c r="F216" s="57">
        <f>IFERROR(VLOOKUP($A:$A,CS!$A:$AK,8,FALSE),"")</f>
      </c>
      <c r="G216" s="57">
        <f>IFERROR(VLOOKUP($A:$A,CS!$A:$AK,10,FALSE),"")</f>
      </c>
      <c r="H216" s="57">
        <f>IFERROR(VLOOKUP($A:$A,CS!$A:$AK,14,FALSE),"")</f>
      </c>
      <c r="I216" s="57">
        <f>IFERROR(VLOOKUP($A:$A,CS!$A:$AK,15,FALSE),"")</f>
      </c>
      <c r="J216" s="57">
        <f>IFERROR(VLOOKUP($A:$A,CS!$A:$AK,18,FALSE),"")</f>
      </c>
      <c r="K216" s="57">
        <f>IFERROR(VLOOKUP($A:$A,CS!$A:$AK,19,FALSE),"")</f>
      </c>
      <c r="L216" s="57">
        <f>IFERROR(VLOOKUP($A:$A,CS!$A:$AK,20,FALSE),"")</f>
      </c>
      <c r="M216" s="57">
        <f>IFERROR(VLOOKUP($A:$A,CS!$A:$AK,22,FALSE),"")</f>
      </c>
      <c r="N216" s="57">
        <f>IFERROR(VLOOKUP($A:$A,CS!$A:$AK,19,FALSE),"")</f>
      </c>
      <c r="O216" s="57">
        <f>IFERROR(VLOOKUP($A:$A,CS!$A:$AK,23,FALSE),"")</f>
      </c>
      <c r="P216" s="57">
        <f>IFERROR(VLOOKUP($A:$A,CS!$A:$AK,24,FALSE),"")</f>
      </c>
      <c r="Q216" s="57">
        <f>IFERROR(VLOOKUP($A:$A,CS!$A:$AK,25,FALSE),"")</f>
      </c>
      <c r="R216" s="57">
        <f>IFERROR(VLOOKUP($A:$A,CS!$A:$AK,26,FALSE),"")</f>
      </c>
      <c r="S216" s="57">
        <f>IFERROR(VLOOKUP($A:$A,CS!$A:$AK,29,FALSE),"")</f>
      </c>
      <c r="T216" s="57">
        <f>IFERROR(VLOOKUP($A:$A,CS!$A:$AK,33,FALSE),"")</f>
      </c>
      <c r="U216" s="57">
        <f>IFERROR(VLOOKUP($A:$A,CS!$A:$AK,34,FALSE),"")</f>
      </c>
      <c r="V216" s="57">
        <f>IFERROR(VLOOKUP($A:$A,CS!$A:$AK,35,FALSE),"")</f>
      </c>
      <c r="W216" s="57">
        <f>IFERROR(VLOOKUP($A:$A,CS!$A:$AK,36,FALSE),"")</f>
      </c>
    </row>
    <row r="217" ht="16.5" customHeight="1" spans="1:23" x14ac:dyDescent="0.25">
      <c r="A217" s="71"/>
      <c r="B217" s="57">
        <f>IFERROR(VLOOKUP($A:$A,CS!$A:$AK,3,FALSE),"")</f>
      </c>
      <c r="C217" s="57">
        <f>IFERROR(VLOOKUP($A:$A,CS!$A:$AK,4,FALSE),"")</f>
      </c>
      <c r="D217" s="57">
        <f>IFERROR(VLOOKUP($A:$A,CS!$A:$AK,5,FALSE),"")</f>
      </c>
      <c r="E217" s="57">
        <f>IFERROR(VLOOKUP($A:$A,CS!$A:$AK,7,FALSE),"")</f>
      </c>
      <c r="F217" s="57">
        <f>IFERROR(VLOOKUP($A:$A,CS!$A:$AK,8,FALSE),"")</f>
      </c>
      <c r="G217" s="57">
        <f>IFERROR(VLOOKUP($A:$A,CS!$A:$AK,10,FALSE),"")</f>
      </c>
      <c r="H217" s="57">
        <f>IFERROR(VLOOKUP($A:$A,CS!$A:$AK,14,FALSE),"")</f>
      </c>
      <c r="I217" s="57">
        <f>IFERROR(VLOOKUP($A:$A,CS!$A:$AK,15,FALSE),"")</f>
      </c>
      <c r="J217" s="57">
        <f>IFERROR(VLOOKUP($A:$A,CS!$A:$AK,18,FALSE),"")</f>
      </c>
      <c r="K217" s="57">
        <f>IFERROR(VLOOKUP($A:$A,CS!$A:$AK,19,FALSE),"")</f>
      </c>
      <c r="L217" s="57">
        <f>IFERROR(VLOOKUP($A:$A,CS!$A:$AK,20,FALSE),"")</f>
      </c>
      <c r="M217" s="57">
        <f>IFERROR(VLOOKUP($A:$A,CS!$A:$AK,22,FALSE),"")</f>
      </c>
      <c r="N217" s="57">
        <f>IFERROR(VLOOKUP($A:$A,CS!$A:$AK,19,FALSE),"")</f>
      </c>
      <c r="O217" s="57">
        <f>IFERROR(VLOOKUP($A:$A,CS!$A:$AK,23,FALSE),"")</f>
      </c>
      <c r="P217" s="57">
        <f>IFERROR(VLOOKUP($A:$A,CS!$A:$AK,24,FALSE),"")</f>
      </c>
      <c r="Q217" s="57">
        <f>IFERROR(VLOOKUP($A:$A,CS!$A:$AK,25,FALSE),"")</f>
      </c>
      <c r="R217" s="57">
        <f>IFERROR(VLOOKUP($A:$A,CS!$A:$AK,26,FALSE),"")</f>
      </c>
      <c r="S217" s="57">
        <f>IFERROR(VLOOKUP($A:$A,CS!$A:$AK,29,FALSE),"")</f>
      </c>
      <c r="T217" s="57">
        <f>IFERROR(VLOOKUP($A:$A,CS!$A:$AK,33,FALSE),"")</f>
      </c>
      <c r="U217" s="57">
        <f>IFERROR(VLOOKUP($A:$A,CS!$A:$AK,34,FALSE),"")</f>
      </c>
      <c r="V217" s="57">
        <f>IFERROR(VLOOKUP($A:$A,CS!$A:$AK,35,FALSE),"")</f>
      </c>
      <c r="W217" s="57">
        <f>IFERROR(VLOOKUP($A:$A,CS!$A:$AK,36,FALSE),"")</f>
      </c>
    </row>
    <row r="218" ht="16.5" customHeight="1" spans="1:23" x14ac:dyDescent="0.25">
      <c r="A218" s="71"/>
      <c r="B218" s="57">
        <f>IFERROR(VLOOKUP($A:$A,CS!$A:$AK,3,FALSE),"")</f>
      </c>
      <c r="C218" s="57">
        <f>IFERROR(VLOOKUP($A:$A,CS!$A:$AK,4,FALSE),"")</f>
      </c>
      <c r="D218" s="57">
        <f>IFERROR(VLOOKUP($A:$A,CS!$A:$AK,5,FALSE),"")</f>
      </c>
      <c r="E218" s="57">
        <f>IFERROR(VLOOKUP($A:$A,CS!$A:$AK,7,FALSE),"")</f>
      </c>
      <c r="F218" s="57">
        <f>IFERROR(VLOOKUP($A:$A,CS!$A:$AK,8,FALSE),"")</f>
      </c>
      <c r="G218" s="57">
        <f>IFERROR(VLOOKUP($A:$A,CS!$A:$AK,10,FALSE),"")</f>
      </c>
      <c r="H218" s="57">
        <f>IFERROR(VLOOKUP($A:$A,CS!$A:$AK,14,FALSE),"")</f>
      </c>
      <c r="I218" s="57">
        <f>IFERROR(VLOOKUP($A:$A,CS!$A:$AK,15,FALSE),"")</f>
      </c>
      <c r="J218" s="57">
        <f>IFERROR(VLOOKUP($A:$A,CS!$A:$AK,18,FALSE),"")</f>
      </c>
      <c r="K218" s="57">
        <f>IFERROR(VLOOKUP($A:$A,CS!$A:$AK,19,FALSE),"")</f>
      </c>
      <c r="L218" s="57">
        <f>IFERROR(VLOOKUP($A:$A,CS!$A:$AK,20,FALSE),"")</f>
      </c>
      <c r="M218" s="57">
        <f>IFERROR(VLOOKUP($A:$A,CS!$A:$AK,22,FALSE),"")</f>
      </c>
      <c r="N218" s="57">
        <f>IFERROR(VLOOKUP($A:$A,CS!$A:$AK,19,FALSE),"")</f>
      </c>
      <c r="O218" s="57">
        <f>IFERROR(VLOOKUP($A:$A,CS!$A:$AK,23,FALSE),"")</f>
      </c>
      <c r="P218" s="57">
        <f>IFERROR(VLOOKUP($A:$A,CS!$A:$AK,24,FALSE),"")</f>
      </c>
      <c r="Q218" s="57">
        <f>IFERROR(VLOOKUP($A:$A,CS!$A:$AK,25,FALSE),"")</f>
      </c>
      <c r="R218" s="57">
        <f>IFERROR(VLOOKUP($A:$A,CS!$A:$AK,26,FALSE),"")</f>
      </c>
      <c r="S218" s="57">
        <f>IFERROR(VLOOKUP($A:$A,CS!$A:$AK,29,FALSE),"")</f>
      </c>
      <c r="T218" s="57">
        <f>IFERROR(VLOOKUP($A:$A,CS!$A:$AK,33,FALSE),"")</f>
      </c>
      <c r="U218" s="57">
        <f>IFERROR(VLOOKUP($A:$A,CS!$A:$AK,34,FALSE),"")</f>
      </c>
      <c r="V218" s="57">
        <f>IFERROR(VLOOKUP($A:$A,CS!$A:$AK,35,FALSE),"")</f>
      </c>
      <c r="W218" s="57">
        <f>IFERROR(VLOOKUP($A:$A,CS!$A:$AK,36,FALSE),"")</f>
      </c>
    </row>
    <row r="219" ht="16.5" customHeight="1" spans="1:23" x14ac:dyDescent="0.25">
      <c r="A219" s="71"/>
      <c r="B219" s="57">
        <f>IFERROR(VLOOKUP($A:$A,CS!$A:$AK,3,FALSE),"")</f>
      </c>
      <c r="C219" s="57">
        <f>IFERROR(VLOOKUP($A:$A,CS!$A:$AK,4,FALSE),"")</f>
      </c>
      <c r="D219" s="57">
        <f>IFERROR(VLOOKUP($A:$A,CS!$A:$AK,5,FALSE),"")</f>
      </c>
      <c r="E219" s="57">
        <f>IFERROR(VLOOKUP($A:$A,CS!$A:$AK,7,FALSE),"")</f>
      </c>
      <c r="F219" s="57">
        <f>IFERROR(VLOOKUP($A:$A,CS!$A:$AK,8,FALSE),"")</f>
      </c>
      <c r="G219" s="57">
        <f>IFERROR(VLOOKUP($A:$A,CS!$A:$AK,10,FALSE),"")</f>
      </c>
      <c r="H219" s="57">
        <f>IFERROR(VLOOKUP($A:$A,CS!$A:$AK,14,FALSE),"")</f>
      </c>
      <c r="I219" s="57">
        <f>IFERROR(VLOOKUP($A:$A,CS!$A:$AK,15,FALSE),"")</f>
      </c>
      <c r="J219" s="57">
        <f>IFERROR(VLOOKUP($A:$A,CS!$A:$AK,18,FALSE),"")</f>
      </c>
      <c r="K219" s="57">
        <f>IFERROR(VLOOKUP($A:$A,CS!$A:$AK,19,FALSE),"")</f>
      </c>
      <c r="L219" s="57">
        <f>IFERROR(VLOOKUP($A:$A,CS!$A:$AK,20,FALSE),"")</f>
      </c>
      <c r="M219" s="57">
        <f>IFERROR(VLOOKUP($A:$A,CS!$A:$AK,22,FALSE),"")</f>
      </c>
      <c r="N219" s="57">
        <f>IFERROR(VLOOKUP($A:$A,CS!$A:$AK,19,FALSE),"")</f>
      </c>
      <c r="O219" s="57">
        <f>IFERROR(VLOOKUP($A:$A,CS!$A:$AK,23,FALSE),"")</f>
      </c>
      <c r="P219" s="57">
        <f>IFERROR(VLOOKUP($A:$A,CS!$A:$AK,24,FALSE),"")</f>
      </c>
      <c r="Q219" s="57">
        <f>IFERROR(VLOOKUP($A:$A,CS!$A:$AK,25,FALSE),"")</f>
      </c>
      <c r="R219" s="57">
        <f>IFERROR(VLOOKUP($A:$A,CS!$A:$AK,26,FALSE),"")</f>
      </c>
      <c r="S219" s="57">
        <f>IFERROR(VLOOKUP($A:$A,CS!$A:$AK,29,FALSE),"")</f>
      </c>
      <c r="T219" s="57">
        <f>IFERROR(VLOOKUP($A:$A,CS!$A:$AK,33,FALSE),"")</f>
      </c>
      <c r="U219" s="57">
        <f>IFERROR(VLOOKUP($A:$A,CS!$A:$AK,34,FALSE),"")</f>
      </c>
      <c r="V219" s="57">
        <f>IFERROR(VLOOKUP($A:$A,CS!$A:$AK,35,FALSE),"")</f>
      </c>
      <c r="W219" s="57">
        <f>IFERROR(VLOOKUP($A:$A,CS!$A:$AK,36,FALSE),"")</f>
      </c>
    </row>
    <row r="220" ht="16.5" customHeight="1" spans="1:23" x14ac:dyDescent="0.25">
      <c r="A220" s="71"/>
      <c r="B220" s="57">
        <f>IFERROR(VLOOKUP($A:$A,CS!$A:$AK,3,FALSE),"")</f>
      </c>
      <c r="C220" s="57">
        <f>IFERROR(VLOOKUP($A:$A,CS!$A:$AK,4,FALSE),"")</f>
      </c>
      <c r="D220" s="57">
        <f>IFERROR(VLOOKUP($A:$A,CS!$A:$AK,5,FALSE),"")</f>
      </c>
      <c r="E220" s="57">
        <f>IFERROR(VLOOKUP($A:$A,CS!$A:$AK,7,FALSE),"")</f>
      </c>
      <c r="F220" s="57">
        <f>IFERROR(VLOOKUP($A:$A,CS!$A:$AK,8,FALSE),"")</f>
      </c>
      <c r="G220" s="57">
        <f>IFERROR(VLOOKUP($A:$A,CS!$A:$AK,10,FALSE),"")</f>
      </c>
      <c r="H220" s="57">
        <f>IFERROR(VLOOKUP($A:$A,CS!$A:$AK,14,FALSE),"")</f>
      </c>
      <c r="I220" s="57">
        <f>IFERROR(VLOOKUP($A:$A,CS!$A:$AK,15,FALSE),"")</f>
      </c>
      <c r="J220" s="57">
        <f>IFERROR(VLOOKUP($A:$A,CS!$A:$AK,18,FALSE),"")</f>
      </c>
      <c r="K220" s="57">
        <f>IFERROR(VLOOKUP($A:$A,CS!$A:$AK,19,FALSE),"")</f>
      </c>
      <c r="L220" s="57">
        <f>IFERROR(VLOOKUP($A:$A,CS!$A:$AK,20,FALSE),"")</f>
      </c>
      <c r="M220" s="57">
        <f>IFERROR(VLOOKUP($A:$A,CS!$A:$AK,22,FALSE),"")</f>
      </c>
      <c r="N220" s="57">
        <f>IFERROR(VLOOKUP($A:$A,CS!$A:$AK,19,FALSE),"")</f>
      </c>
      <c r="O220" s="57">
        <f>IFERROR(VLOOKUP($A:$A,CS!$A:$AK,23,FALSE),"")</f>
      </c>
      <c r="P220" s="57">
        <f>IFERROR(VLOOKUP($A:$A,CS!$A:$AK,24,FALSE),"")</f>
      </c>
      <c r="Q220" s="57">
        <f>IFERROR(VLOOKUP($A:$A,CS!$A:$AK,25,FALSE),"")</f>
      </c>
      <c r="R220" s="57">
        <f>IFERROR(VLOOKUP($A:$A,CS!$A:$AK,26,FALSE),"")</f>
      </c>
      <c r="S220" s="57">
        <f>IFERROR(VLOOKUP($A:$A,CS!$A:$AK,29,FALSE),"")</f>
      </c>
      <c r="T220" s="57">
        <f>IFERROR(VLOOKUP($A:$A,CS!$A:$AK,33,FALSE),"")</f>
      </c>
      <c r="U220" s="57">
        <f>IFERROR(VLOOKUP($A:$A,CS!$A:$AK,34,FALSE),"")</f>
      </c>
      <c r="V220" s="57">
        <f>IFERROR(VLOOKUP($A:$A,CS!$A:$AK,35,FALSE),"")</f>
      </c>
      <c r="W220" s="57">
        <f>IFERROR(VLOOKUP($A:$A,CS!$A:$AK,36,FALSE),"")</f>
      </c>
    </row>
    <row r="221" ht="16.5" customHeight="1" spans="1:23" x14ac:dyDescent="0.25">
      <c r="A221" s="71"/>
      <c r="B221" s="57">
        <f>IFERROR(VLOOKUP($A:$A,CS!$A:$AK,3,FALSE),"")</f>
      </c>
      <c r="C221" s="57">
        <f>IFERROR(VLOOKUP($A:$A,CS!$A:$AK,4,FALSE),"")</f>
      </c>
      <c r="D221" s="57">
        <f>IFERROR(VLOOKUP($A:$A,CS!$A:$AK,5,FALSE),"")</f>
      </c>
      <c r="E221" s="57">
        <f>IFERROR(VLOOKUP($A:$A,CS!$A:$AK,7,FALSE),"")</f>
      </c>
      <c r="F221" s="57">
        <f>IFERROR(VLOOKUP($A:$A,CS!$A:$AK,8,FALSE),"")</f>
      </c>
      <c r="G221" s="57">
        <f>IFERROR(VLOOKUP($A:$A,CS!$A:$AK,10,FALSE),"")</f>
      </c>
      <c r="H221" s="57">
        <f>IFERROR(VLOOKUP($A:$A,CS!$A:$AK,14,FALSE),"")</f>
      </c>
      <c r="I221" s="57">
        <f>IFERROR(VLOOKUP($A:$A,CS!$A:$AK,15,FALSE),"")</f>
      </c>
      <c r="J221" s="57">
        <f>IFERROR(VLOOKUP($A:$A,CS!$A:$AK,18,FALSE),"")</f>
      </c>
      <c r="K221" s="57">
        <f>IFERROR(VLOOKUP($A:$A,CS!$A:$AK,19,FALSE),"")</f>
      </c>
      <c r="L221" s="57">
        <f>IFERROR(VLOOKUP($A:$A,CS!$A:$AK,20,FALSE),"")</f>
      </c>
      <c r="M221" s="57">
        <f>IFERROR(VLOOKUP($A:$A,CS!$A:$AK,22,FALSE),"")</f>
      </c>
      <c r="N221" s="57">
        <f>IFERROR(VLOOKUP($A:$A,CS!$A:$AK,19,FALSE),"")</f>
      </c>
      <c r="O221" s="57">
        <f>IFERROR(VLOOKUP($A:$A,CS!$A:$AK,23,FALSE),"")</f>
      </c>
      <c r="P221" s="57">
        <f>IFERROR(VLOOKUP($A:$A,CS!$A:$AK,24,FALSE),"")</f>
      </c>
      <c r="Q221" s="57">
        <f>IFERROR(VLOOKUP($A:$A,CS!$A:$AK,25,FALSE),"")</f>
      </c>
      <c r="R221" s="57">
        <f>IFERROR(VLOOKUP($A:$A,CS!$A:$AK,26,FALSE),"")</f>
      </c>
      <c r="S221" s="57">
        <f>IFERROR(VLOOKUP($A:$A,CS!$A:$AK,29,FALSE),"")</f>
      </c>
      <c r="T221" s="57">
        <f>IFERROR(VLOOKUP($A:$A,CS!$A:$AK,33,FALSE),"")</f>
      </c>
      <c r="U221" s="57">
        <f>IFERROR(VLOOKUP($A:$A,CS!$A:$AK,34,FALSE),"")</f>
      </c>
      <c r="V221" s="57">
        <f>IFERROR(VLOOKUP($A:$A,CS!$A:$AK,35,FALSE),"")</f>
      </c>
      <c r="W221" s="57">
        <f>IFERROR(VLOOKUP($A:$A,CS!$A:$AK,36,FALSE),"")</f>
      </c>
    </row>
    <row r="222" ht="16.5" customHeight="1" spans="1:23" x14ac:dyDescent="0.25">
      <c r="A222" s="71"/>
      <c r="B222" s="57">
        <f>IFERROR(VLOOKUP($A:$A,CS!$A:$AK,3,FALSE),"")</f>
      </c>
      <c r="C222" s="57">
        <f>IFERROR(VLOOKUP($A:$A,CS!$A:$AK,4,FALSE),"")</f>
      </c>
      <c r="D222" s="57">
        <f>IFERROR(VLOOKUP($A:$A,CS!$A:$AK,5,FALSE),"")</f>
      </c>
      <c r="E222" s="57">
        <f>IFERROR(VLOOKUP($A:$A,CS!$A:$AK,7,FALSE),"")</f>
      </c>
      <c r="F222" s="57">
        <f>IFERROR(VLOOKUP($A:$A,CS!$A:$AK,8,FALSE),"")</f>
      </c>
      <c r="G222" s="57">
        <f>IFERROR(VLOOKUP($A:$A,CS!$A:$AK,10,FALSE),"")</f>
      </c>
      <c r="H222" s="57">
        <f>IFERROR(VLOOKUP($A:$A,CS!$A:$AK,14,FALSE),"")</f>
      </c>
      <c r="I222" s="57">
        <f>IFERROR(VLOOKUP($A:$A,CS!$A:$AK,15,FALSE),"")</f>
      </c>
      <c r="J222" s="57">
        <f>IFERROR(VLOOKUP($A:$A,CS!$A:$AK,18,FALSE),"")</f>
      </c>
      <c r="K222" s="57">
        <f>IFERROR(VLOOKUP($A:$A,CS!$A:$AK,19,FALSE),"")</f>
      </c>
      <c r="L222" s="57">
        <f>IFERROR(VLOOKUP($A:$A,CS!$A:$AK,20,FALSE),"")</f>
      </c>
      <c r="M222" s="57">
        <f>IFERROR(VLOOKUP($A:$A,CS!$A:$AK,22,FALSE),"")</f>
      </c>
      <c r="N222" s="57">
        <f>IFERROR(VLOOKUP($A:$A,CS!$A:$AK,19,FALSE),"")</f>
      </c>
      <c r="O222" s="57">
        <f>IFERROR(VLOOKUP($A:$A,CS!$A:$AK,23,FALSE),"")</f>
      </c>
      <c r="P222" s="57">
        <f>IFERROR(VLOOKUP($A:$A,CS!$A:$AK,24,FALSE),"")</f>
      </c>
      <c r="Q222" s="57">
        <f>IFERROR(VLOOKUP($A:$A,CS!$A:$AK,25,FALSE),"")</f>
      </c>
      <c r="R222" s="57">
        <f>IFERROR(VLOOKUP($A:$A,CS!$A:$AK,26,FALSE),"")</f>
      </c>
      <c r="S222" s="57">
        <f>IFERROR(VLOOKUP($A:$A,CS!$A:$AK,29,FALSE),"")</f>
      </c>
      <c r="T222" s="57">
        <f>IFERROR(VLOOKUP($A:$A,CS!$A:$AK,33,FALSE),"")</f>
      </c>
      <c r="U222" s="57">
        <f>IFERROR(VLOOKUP($A:$A,CS!$A:$AK,34,FALSE),"")</f>
      </c>
      <c r="V222" s="57">
        <f>IFERROR(VLOOKUP($A:$A,CS!$A:$AK,35,FALSE),"")</f>
      </c>
      <c r="W222" s="57">
        <f>IFERROR(VLOOKUP($A:$A,CS!$A:$AK,36,FALSE),"")</f>
      </c>
    </row>
    <row r="223" ht="16.5" customHeight="1" spans="1:23" x14ac:dyDescent="0.25">
      <c r="A223" s="71"/>
      <c r="B223" s="57">
        <f>IFERROR(VLOOKUP($A:$A,CS!$A:$AK,3,FALSE),"")</f>
      </c>
      <c r="C223" s="57">
        <f>IFERROR(VLOOKUP($A:$A,CS!$A:$AK,4,FALSE),"")</f>
      </c>
      <c r="D223" s="57">
        <f>IFERROR(VLOOKUP($A:$A,CS!$A:$AK,5,FALSE),"")</f>
      </c>
      <c r="E223" s="57">
        <f>IFERROR(VLOOKUP($A:$A,CS!$A:$AK,7,FALSE),"")</f>
      </c>
      <c r="F223" s="57">
        <f>IFERROR(VLOOKUP($A:$A,CS!$A:$AK,8,FALSE),"")</f>
      </c>
      <c r="G223" s="57">
        <f>IFERROR(VLOOKUP($A:$A,CS!$A:$AK,10,FALSE),"")</f>
      </c>
      <c r="H223" s="57">
        <f>IFERROR(VLOOKUP($A:$A,CS!$A:$AK,14,FALSE),"")</f>
      </c>
      <c r="I223" s="57">
        <f>IFERROR(VLOOKUP($A:$A,CS!$A:$AK,15,FALSE),"")</f>
      </c>
      <c r="J223" s="57">
        <f>IFERROR(VLOOKUP($A:$A,CS!$A:$AK,18,FALSE),"")</f>
      </c>
      <c r="K223" s="57">
        <f>IFERROR(VLOOKUP($A:$A,CS!$A:$AK,19,FALSE),"")</f>
      </c>
      <c r="L223" s="57">
        <f>IFERROR(VLOOKUP($A:$A,CS!$A:$AK,20,FALSE),"")</f>
      </c>
      <c r="M223" s="57">
        <f>IFERROR(VLOOKUP($A:$A,CS!$A:$AK,22,FALSE),"")</f>
      </c>
      <c r="N223" s="57">
        <f>IFERROR(VLOOKUP($A:$A,CS!$A:$AK,19,FALSE),"")</f>
      </c>
      <c r="O223" s="57">
        <f>IFERROR(VLOOKUP($A:$A,CS!$A:$AK,23,FALSE),"")</f>
      </c>
      <c r="P223" s="57">
        <f>IFERROR(VLOOKUP($A:$A,CS!$A:$AK,24,FALSE),"")</f>
      </c>
      <c r="Q223" s="57">
        <f>IFERROR(VLOOKUP($A:$A,CS!$A:$AK,25,FALSE),"")</f>
      </c>
      <c r="R223" s="57">
        <f>IFERROR(VLOOKUP($A:$A,CS!$A:$AK,26,FALSE),"")</f>
      </c>
      <c r="S223" s="57">
        <f>IFERROR(VLOOKUP($A:$A,CS!$A:$AK,29,FALSE),"")</f>
      </c>
      <c r="T223" s="57">
        <f>IFERROR(VLOOKUP($A:$A,CS!$A:$AK,33,FALSE),"")</f>
      </c>
      <c r="U223" s="57">
        <f>IFERROR(VLOOKUP($A:$A,CS!$A:$AK,34,FALSE),"")</f>
      </c>
      <c r="V223" s="57">
        <f>IFERROR(VLOOKUP($A:$A,CS!$A:$AK,35,FALSE),"")</f>
      </c>
      <c r="W223" s="57">
        <f>IFERROR(VLOOKUP($A:$A,CS!$A:$AK,36,FALSE),"")</f>
      </c>
    </row>
    <row r="224" ht="16.5" customHeight="1" spans="1:23" x14ac:dyDescent="0.25">
      <c r="A224" s="71"/>
      <c r="B224" s="57">
        <f>IFERROR(VLOOKUP($A:$A,CS!$A:$AK,3,FALSE),"")</f>
      </c>
      <c r="C224" s="57">
        <f>IFERROR(VLOOKUP($A:$A,CS!$A:$AK,4,FALSE),"")</f>
      </c>
      <c r="D224" s="57">
        <f>IFERROR(VLOOKUP($A:$A,CS!$A:$AK,5,FALSE),"")</f>
      </c>
      <c r="E224" s="57">
        <f>IFERROR(VLOOKUP($A:$A,CS!$A:$AK,7,FALSE),"")</f>
      </c>
      <c r="F224" s="57">
        <f>IFERROR(VLOOKUP($A:$A,CS!$A:$AK,8,FALSE),"")</f>
      </c>
      <c r="G224" s="57">
        <f>IFERROR(VLOOKUP($A:$A,CS!$A:$AK,10,FALSE),"")</f>
      </c>
      <c r="H224" s="57">
        <f>IFERROR(VLOOKUP($A:$A,CS!$A:$AK,14,FALSE),"")</f>
      </c>
      <c r="I224" s="57">
        <f>IFERROR(VLOOKUP($A:$A,CS!$A:$AK,15,FALSE),"")</f>
      </c>
      <c r="J224" s="57">
        <f>IFERROR(VLOOKUP($A:$A,CS!$A:$AK,18,FALSE),"")</f>
      </c>
      <c r="K224" s="57">
        <f>IFERROR(VLOOKUP($A:$A,CS!$A:$AK,19,FALSE),"")</f>
      </c>
      <c r="L224" s="57">
        <f>IFERROR(VLOOKUP($A:$A,CS!$A:$AK,20,FALSE),"")</f>
      </c>
      <c r="M224" s="57">
        <f>IFERROR(VLOOKUP($A:$A,CS!$A:$AK,22,FALSE),"")</f>
      </c>
      <c r="N224" s="57">
        <f>IFERROR(VLOOKUP($A:$A,CS!$A:$AK,19,FALSE),"")</f>
      </c>
      <c r="O224" s="57">
        <f>IFERROR(VLOOKUP($A:$A,CS!$A:$AK,23,FALSE),"")</f>
      </c>
      <c r="P224" s="57">
        <f>IFERROR(VLOOKUP($A:$A,CS!$A:$AK,24,FALSE),"")</f>
      </c>
      <c r="Q224" s="57">
        <f>IFERROR(VLOOKUP($A:$A,CS!$A:$AK,25,FALSE),"")</f>
      </c>
      <c r="R224" s="57">
        <f>IFERROR(VLOOKUP($A:$A,CS!$A:$AK,26,FALSE),"")</f>
      </c>
      <c r="S224" s="57">
        <f>IFERROR(VLOOKUP($A:$A,CS!$A:$AK,29,FALSE),"")</f>
      </c>
      <c r="T224" s="57">
        <f>IFERROR(VLOOKUP($A:$A,CS!$A:$AK,33,FALSE),"")</f>
      </c>
      <c r="U224" s="57">
        <f>IFERROR(VLOOKUP($A:$A,CS!$A:$AK,34,FALSE),"")</f>
      </c>
      <c r="V224" s="57">
        <f>IFERROR(VLOOKUP($A:$A,CS!$A:$AK,35,FALSE),"")</f>
      </c>
      <c r="W224" s="57">
        <f>IFERROR(VLOOKUP($A:$A,CS!$A:$AK,36,FALSE),"")</f>
      </c>
    </row>
    <row r="225" ht="16.5" customHeight="1" spans="1:23" x14ac:dyDescent="0.25">
      <c r="A225" s="71"/>
      <c r="B225" s="57">
        <f>IFERROR(VLOOKUP($A:$A,CS!$A:$AK,3,FALSE),"")</f>
      </c>
      <c r="C225" s="57">
        <f>IFERROR(VLOOKUP($A:$A,CS!$A:$AK,4,FALSE),"")</f>
      </c>
      <c r="D225" s="57">
        <f>IFERROR(VLOOKUP($A:$A,CS!$A:$AK,5,FALSE),"")</f>
      </c>
      <c r="E225" s="57">
        <f>IFERROR(VLOOKUP($A:$A,CS!$A:$AK,7,FALSE),"")</f>
      </c>
      <c r="F225" s="57">
        <f>IFERROR(VLOOKUP($A:$A,CS!$A:$AK,8,FALSE),"")</f>
      </c>
      <c r="G225" s="57">
        <f>IFERROR(VLOOKUP($A:$A,CS!$A:$AK,10,FALSE),"")</f>
      </c>
      <c r="H225" s="57">
        <f>IFERROR(VLOOKUP($A:$A,CS!$A:$AK,14,FALSE),"")</f>
      </c>
      <c r="I225" s="57">
        <f>IFERROR(VLOOKUP($A:$A,CS!$A:$AK,15,FALSE),"")</f>
      </c>
      <c r="J225" s="57">
        <f>IFERROR(VLOOKUP($A:$A,CS!$A:$AK,18,FALSE),"")</f>
      </c>
      <c r="K225" s="57">
        <f>IFERROR(VLOOKUP($A:$A,CS!$A:$AK,19,FALSE),"")</f>
      </c>
      <c r="L225" s="57">
        <f>IFERROR(VLOOKUP($A:$A,CS!$A:$AK,20,FALSE),"")</f>
      </c>
      <c r="M225" s="57">
        <f>IFERROR(VLOOKUP($A:$A,CS!$A:$AK,22,FALSE),"")</f>
      </c>
      <c r="N225" s="57">
        <f>IFERROR(VLOOKUP($A:$A,CS!$A:$AK,19,FALSE),"")</f>
      </c>
      <c r="O225" s="57">
        <f>IFERROR(VLOOKUP($A:$A,CS!$A:$AK,23,FALSE),"")</f>
      </c>
      <c r="P225" s="57">
        <f>IFERROR(VLOOKUP($A:$A,CS!$A:$AK,24,FALSE),"")</f>
      </c>
      <c r="Q225" s="57">
        <f>IFERROR(VLOOKUP($A:$A,CS!$A:$AK,25,FALSE),"")</f>
      </c>
      <c r="R225" s="57">
        <f>IFERROR(VLOOKUP($A:$A,CS!$A:$AK,26,FALSE),"")</f>
      </c>
      <c r="S225" s="57">
        <f>IFERROR(VLOOKUP($A:$A,CS!$A:$AK,29,FALSE),"")</f>
      </c>
      <c r="T225" s="57">
        <f>IFERROR(VLOOKUP($A:$A,CS!$A:$AK,33,FALSE),"")</f>
      </c>
      <c r="U225" s="57">
        <f>IFERROR(VLOOKUP($A:$A,CS!$A:$AK,34,FALSE),"")</f>
      </c>
      <c r="V225" s="57">
        <f>IFERROR(VLOOKUP($A:$A,CS!$A:$AK,35,FALSE),"")</f>
      </c>
      <c r="W225" s="57">
        <f>IFERROR(VLOOKUP($A:$A,CS!$A:$AK,36,FALSE),"")</f>
      </c>
    </row>
    <row r="226" ht="16.5" customHeight="1" spans="1:23" x14ac:dyDescent="0.25">
      <c r="A226" s="71"/>
      <c r="B226" s="57">
        <f>IFERROR(VLOOKUP($A:$A,CS!$A:$AK,3,FALSE),"")</f>
      </c>
      <c r="C226" s="57">
        <f>IFERROR(VLOOKUP($A:$A,CS!$A:$AK,4,FALSE),"")</f>
      </c>
      <c r="D226" s="57">
        <f>IFERROR(VLOOKUP($A:$A,CS!$A:$AK,5,FALSE),"")</f>
      </c>
      <c r="E226" s="57">
        <f>IFERROR(VLOOKUP($A:$A,CS!$A:$AK,7,FALSE),"")</f>
      </c>
      <c r="F226" s="57">
        <f>IFERROR(VLOOKUP($A:$A,CS!$A:$AK,8,FALSE),"")</f>
      </c>
      <c r="G226" s="57">
        <f>IFERROR(VLOOKUP($A:$A,CS!$A:$AK,10,FALSE),"")</f>
      </c>
      <c r="H226" s="57">
        <f>IFERROR(VLOOKUP($A:$A,CS!$A:$AK,14,FALSE),"")</f>
      </c>
      <c r="I226" s="57">
        <f>IFERROR(VLOOKUP($A:$A,CS!$A:$AK,15,FALSE),"")</f>
      </c>
      <c r="J226" s="57">
        <f>IFERROR(VLOOKUP($A:$A,CS!$A:$AK,18,FALSE),"")</f>
      </c>
      <c r="K226" s="57">
        <f>IFERROR(VLOOKUP($A:$A,CS!$A:$AK,19,FALSE),"")</f>
      </c>
      <c r="L226" s="57">
        <f>IFERROR(VLOOKUP($A:$A,CS!$A:$AK,20,FALSE),"")</f>
      </c>
      <c r="M226" s="57">
        <f>IFERROR(VLOOKUP($A:$A,CS!$A:$AK,22,FALSE),"")</f>
      </c>
      <c r="N226" s="57">
        <f>IFERROR(VLOOKUP($A:$A,CS!$A:$AK,19,FALSE),"")</f>
      </c>
      <c r="O226" s="57">
        <f>IFERROR(VLOOKUP($A:$A,CS!$A:$AK,23,FALSE),"")</f>
      </c>
      <c r="P226" s="57">
        <f>IFERROR(VLOOKUP($A:$A,CS!$A:$AK,24,FALSE),"")</f>
      </c>
      <c r="Q226" s="57">
        <f>IFERROR(VLOOKUP($A:$A,CS!$A:$AK,25,FALSE),"")</f>
      </c>
      <c r="R226" s="57">
        <f>IFERROR(VLOOKUP($A:$A,CS!$A:$AK,26,FALSE),"")</f>
      </c>
      <c r="S226" s="57">
        <f>IFERROR(VLOOKUP($A:$A,CS!$A:$AK,29,FALSE),"")</f>
      </c>
      <c r="T226" s="57">
        <f>IFERROR(VLOOKUP($A:$A,CS!$A:$AK,33,FALSE),"")</f>
      </c>
      <c r="U226" s="57">
        <f>IFERROR(VLOOKUP($A:$A,CS!$A:$AK,34,FALSE),"")</f>
      </c>
      <c r="V226" s="57">
        <f>IFERROR(VLOOKUP($A:$A,CS!$A:$AK,35,FALSE),"")</f>
      </c>
      <c r="W226" s="57">
        <f>IFERROR(VLOOKUP($A:$A,CS!$A:$AK,36,FALSE),"")</f>
      </c>
    </row>
    <row r="227" ht="16.5" customHeight="1" spans="1:23" x14ac:dyDescent="0.25">
      <c r="A227" s="71"/>
      <c r="B227" s="57">
        <f>IFERROR(VLOOKUP($A:$A,CS!$A:$AK,3,FALSE),"")</f>
      </c>
      <c r="C227" s="57">
        <f>IFERROR(VLOOKUP($A:$A,CS!$A:$AK,4,FALSE),"")</f>
      </c>
      <c r="D227" s="57">
        <f>IFERROR(VLOOKUP($A:$A,CS!$A:$AK,5,FALSE),"")</f>
      </c>
      <c r="E227" s="57">
        <f>IFERROR(VLOOKUP($A:$A,CS!$A:$AK,7,FALSE),"")</f>
      </c>
      <c r="F227" s="57">
        <f>IFERROR(VLOOKUP($A:$A,CS!$A:$AK,8,FALSE),"")</f>
      </c>
      <c r="G227" s="57">
        <f>IFERROR(VLOOKUP($A:$A,CS!$A:$AK,10,FALSE),"")</f>
      </c>
      <c r="H227" s="57">
        <f>IFERROR(VLOOKUP($A:$A,CS!$A:$AK,14,FALSE),"")</f>
      </c>
      <c r="I227" s="57">
        <f>IFERROR(VLOOKUP($A:$A,CS!$A:$AK,15,FALSE),"")</f>
      </c>
      <c r="J227" s="57">
        <f>IFERROR(VLOOKUP($A:$A,CS!$A:$AK,18,FALSE),"")</f>
      </c>
      <c r="K227" s="57">
        <f>IFERROR(VLOOKUP($A:$A,CS!$A:$AK,19,FALSE),"")</f>
      </c>
      <c r="L227" s="57">
        <f>IFERROR(VLOOKUP($A:$A,CS!$A:$AK,20,FALSE),"")</f>
      </c>
      <c r="M227" s="57">
        <f>IFERROR(VLOOKUP($A:$A,CS!$A:$AK,22,FALSE),"")</f>
      </c>
      <c r="N227" s="57">
        <f>IFERROR(VLOOKUP($A:$A,CS!$A:$AK,19,FALSE),"")</f>
      </c>
      <c r="O227" s="57">
        <f>IFERROR(VLOOKUP($A:$A,CS!$A:$AK,23,FALSE),"")</f>
      </c>
      <c r="P227" s="57">
        <f>IFERROR(VLOOKUP($A:$A,CS!$A:$AK,24,FALSE),"")</f>
      </c>
      <c r="Q227" s="57">
        <f>IFERROR(VLOOKUP($A:$A,CS!$A:$AK,25,FALSE),"")</f>
      </c>
      <c r="R227" s="57">
        <f>IFERROR(VLOOKUP($A:$A,CS!$A:$AK,26,FALSE),"")</f>
      </c>
      <c r="S227" s="57">
        <f>IFERROR(VLOOKUP($A:$A,CS!$A:$AK,29,FALSE),"")</f>
      </c>
      <c r="T227" s="57">
        <f>IFERROR(VLOOKUP($A:$A,CS!$A:$AK,33,FALSE),"")</f>
      </c>
      <c r="U227" s="57">
        <f>IFERROR(VLOOKUP($A:$A,CS!$A:$AK,34,FALSE),"")</f>
      </c>
      <c r="V227" s="57">
        <f>IFERROR(VLOOKUP($A:$A,CS!$A:$AK,35,FALSE),"")</f>
      </c>
      <c r="W227" s="57">
        <f>IFERROR(VLOOKUP($A:$A,CS!$A:$AK,36,FALSE),"")</f>
      </c>
    </row>
    <row r="228" ht="16.5" customHeight="1" spans="1:23" x14ac:dyDescent="0.25">
      <c r="A228" s="71"/>
      <c r="B228" s="57">
        <f>IFERROR(VLOOKUP($A:$A,CS!$A:$AK,3,FALSE),"")</f>
      </c>
      <c r="C228" s="57">
        <f>IFERROR(VLOOKUP($A:$A,CS!$A:$AK,4,FALSE),"")</f>
      </c>
      <c r="D228" s="57">
        <f>IFERROR(VLOOKUP($A:$A,CS!$A:$AK,5,FALSE),"")</f>
      </c>
      <c r="E228" s="57">
        <f>IFERROR(VLOOKUP($A:$A,CS!$A:$AK,7,FALSE),"")</f>
      </c>
      <c r="F228" s="57">
        <f>IFERROR(VLOOKUP($A:$A,CS!$A:$AK,8,FALSE),"")</f>
      </c>
      <c r="G228" s="57">
        <f>IFERROR(VLOOKUP($A:$A,CS!$A:$AK,10,FALSE),"")</f>
      </c>
      <c r="H228" s="57">
        <f>IFERROR(VLOOKUP($A:$A,CS!$A:$AK,14,FALSE),"")</f>
      </c>
      <c r="I228" s="57">
        <f>IFERROR(VLOOKUP($A:$A,CS!$A:$AK,15,FALSE),"")</f>
      </c>
      <c r="J228" s="57">
        <f>IFERROR(VLOOKUP($A:$A,CS!$A:$AK,18,FALSE),"")</f>
      </c>
      <c r="K228" s="57">
        <f>IFERROR(VLOOKUP($A:$A,CS!$A:$AK,19,FALSE),"")</f>
      </c>
      <c r="L228" s="57">
        <f>IFERROR(VLOOKUP($A:$A,CS!$A:$AK,20,FALSE),"")</f>
      </c>
      <c r="M228" s="57">
        <f>IFERROR(VLOOKUP($A:$A,CS!$A:$AK,22,FALSE),"")</f>
      </c>
      <c r="N228" s="57">
        <f>IFERROR(VLOOKUP($A:$A,CS!$A:$AK,19,FALSE),"")</f>
      </c>
      <c r="O228" s="57">
        <f>IFERROR(VLOOKUP($A:$A,CS!$A:$AK,23,FALSE),"")</f>
      </c>
      <c r="P228" s="57">
        <f>IFERROR(VLOOKUP($A:$A,CS!$A:$AK,24,FALSE),"")</f>
      </c>
      <c r="Q228" s="57">
        <f>IFERROR(VLOOKUP($A:$A,CS!$A:$AK,25,FALSE),"")</f>
      </c>
      <c r="R228" s="57">
        <f>IFERROR(VLOOKUP($A:$A,CS!$A:$AK,26,FALSE),"")</f>
      </c>
      <c r="S228" s="57">
        <f>IFERROR(VLOOKUP($A:$A,CS!$A:$AK,29,FALSE),"")</f>
      </c>
      <c r="T228" s="57">
        <f>IFERROR(VLOOKUP($A:$A,CS!$A:$AK,33,FALSE),"")</f>
      </c>
      <c r="U228" s="57">
        <f>IFERROR(VLOOKUP($A:$A,CS!$A:$AK,34,FALSE),"")</f>
      </c>
      <c r="V228" s="57">
        <f>IFERROR(VLOOKUP($A:$A,CS!$A:$AK,35,FALSE),"")</f>
      </c>
      <c r="W228" s="57">
        <f>IFERROR(VLOOKUP($A:$A,CS!$A:$AK,36,FALSE),"")</f>
      </c>
    </row>
    <row r="229" ht="16.5" customHeight="1" spans="1:23" x14ac:dyDescent="0.25">
      <c r="A229" s="71"/>
      <c r="B229" s="57">
        <f>IFERROR(VLOOKUP($A:$A,CS!$A:$AK,3,FALSE),"")</f>
      </c>
      <c r="C229" s="57">
        <f>IFERROR(VLOOKUP($A:$A,CS!$A:$AK,4,FALSE),"")</f>
      </c>
      <c r="D229" s="57">
        <f>IFERROR(VLOOKUP($A:$A,CS!$A:$AK,5,FALSE),"")</f>
      </c>
      <c r="E229" s="57">
        <f>IFERROR(VLOOKUP($A:$A,CS!$A:$AK,7,FALSE),"")</f>
      </c>
      <c r="F229" s="57">
        <f>IFERROR(VLOOKUP($A:$A,CS!$A:$AK,8,FALSE),"")</f>
      </c>
      <c r="G229" s="57">
        <f>IFERROR(VLOOKUP($A:$A,CS!$A:$AK,10,FALSE),"")</f>
      </c>
      <c r="H229" s="57">
        <f>IFERROR(VLOOKUP($A:$A,CS!$A:$AK,14,FALSE),"")</f>
      </c>
      <c r="I229" s="57">
        <f>IFERROR(VLOOKUP($A:$A,CS!$A:$AK,15,FALSE),"")</f>
      </c>
      <c r="J229" s="57">
        <f>IFERROR(VLOOKUP($A:$A,CS!$A:$AK,18,FALSE),"")</f>
      </c>
      <c r="K229" s="57">
        <f>IFERROR(VLOOKUP($A:$A,CS!$A:$AK,19,FALSE),"")</f>
      </c>
      <c r="L229" s="57">
        <f>IFERROR(VLOOKUP($A:$A,CS!$A:$AK,20,FALSE),"")</f>
      </c>
      <c r="M229" s="57">
        <f>IFERROR(VLOOKUP($A:$A,CS!$A:$AK,22,FALSE),"")</f>
      </c>
      <c r="N229" s="57">
        <f>IFERROR(VLOOKUP($A:$A,CS!$A:$AK,19,FALSE),"")</f>
      </c>
      <c r="O229" s="57">
        <f>IFERROR(VLOOKUP($A:$A,CS!$A:$AK,23,FALSE),"")</f>
      </c>
      <c r="P229" s="57">
        <f>IFERROR(VLOOKUP($A:$A,CS!$A:$AK,24,FALSE),"")</f>
      </c>
      <c r="Q229" s="57">
        <f>IFERROR(VLOOKUP($A:$A,CS!$A:$AK,25,FALSE),"")</f>
      </c>
      <c r="R229" s="57">
        <f>IFERROR(VLOOKUP($A:$A,CS!$A:$AK,26,FALSE),"")</f>
      </c>
      <c r="S229" s="57">
        <f>IFERROR(VLOOKUP($A:$A,CS!$A:$AK,29,FALSE),"")</f>
      </c>
      <c r="T229" s="57">
        <f>IFERROR(VLOOKUP($A:$A,CS!$A:$AK,33,FALSE),"")</f>
      </c>
      <c r="U229" s="57">
        <f>IFERROR(VLOOKUP($A:$A,CS!$A:$AK,34,FALSE),"")</f>
      </c>
      <c r="V229" s="57">
        <f>IFERROR(VLOOKUP($A:$A,CS!$A:$AK,35,FALSE),"")</f>
      </c>
      <c r="W229" s="57">
        <f>IFERROR(VLOOKUP($A:$A,CS!$A:$AK,36,FALSE),"")</f>
      </c>
    </row>
    <row r="230" ht="16.5" customHeight="1" spans="1:23" x14ac:dyDescent="0.25">
      <c r="A230" s="71"/>
      <c r="B230" s="57">
        <f>IFERROR(VLOOKUP($A:$A,CS!$A:$AK,3,FALSE),"")</f>
      </c>
      <c r="C230" s="57">
        <f>IFERROR(VLOOKUP($A:$A,CS!$A:$AK,4,FALSE),"")</f>
      </c>
      <c r="D230" s="57">
        <f>IFERROR(VLOOKUP($A:$A,CS!$A:$AK,5,FALSE),"")</f>
      </c>
      <c r="E230" s="57">
        <f>IFERROR(VLOOKUP($A:$A,CS!$A:$AK,7,FALSE),"")</f>
      </c>
      <c r="F230" s="57">
        <f>IFERROR(VLOOKUP($A:$A,CS!$A:$AK,8,FALSE),"")</f>
      </c>
      <c r="G230" s="57">
        <f>IFERROR(VLOOKUP($A:$A,CS!$A:$AK,10,FALSE),"")</f>
      </c>
      <c r="H230" s="57">
        <f>IFERROR(VLOOKUP($A:$A,CS!$A:$AK,14,FALSE),"")</f>
      </c>
      <c r="I230" s="57">
        <f>IFERROR(VLOOKUP($A:$A,CS!$A:$AK,15,FALSE),"")</f>
      </c>
      <c r="J230" s="57">
        <f>IFERROR(VLOOKUP($A:$A,CS!$A:$AK,18,FALSE),"")</f>
      </c>
      <c r="K230" s="57">
        <f>IFERROR(VLOOKUP($A:$A,CS!$A:$AK,19,FALSE),"")</f>
      </c>
      <c r="L230" s="57">
        <f>IFERROR(VLOOKUP($A:$A,CS!$A:$AK,20,FALSE),"")</f>
      </c>
      <c r="M230" s="57">
        <f>IFERROR(VLOOKUP($A:$A,CS!$A:$AK,22,FALSE),"")</f>
      </c>
      <c r="N230" s="57">
        <f>IFERROR(VLOOKUP($A:$A,CS!$A:$AK,19,FALSE),"")</f>
      </c>
      <c r="O230" s="57">
        <f>IFERROR(VLOOKUP($A:$A,CS!$A:$AK,23,FALSE),"")</f>
      </c>
      <c r="P230" s="57">
        <f>IFERROR(VLOOKUP($A:$A,CS!$A:$AK,24,FALSE),"")</f>
      </c>
      <c r="Q230" s="57">
        <f>IFERROR(VLOOKUP($A:$A,CS!$A:$AK,25,FALSE),"")</f>
      </c>
      <c r="R230" s="57">
        <f>IFERROR(VLOOKUP($A:$A,CS!$A:$AK,26,FALSE),"")</f>
      </c>
      <c r="S230" s="57">
        <f>IFERROR(VLOOKUP($A:$A,CS!$A:$AK,29,FALSE),"")</f>
      </c>
      <c r="T230" s="57">
        <f>IFERROR(VLOOKUP($A:$A,CS!$A:$AK,33,FALSE),"")</f>
      </c>
      <c r="U230" s="57">
        <f>IFERROR(VLOOKUP($A:$A,CS!$A:$AK,34,FALSE),"")</f>
      </c>
      <c r="V230" s="57">
        <f>IFERROR(VLOOKUP($A:$A,CS!$A:$AK,35,FALSE),"")</f>
      </c>
      <c r="W230" s="57">
        <f>IFERROR(VLOOKUP($A:$A,CS!$A:$AK,36,FALSE),"")</f>
      </c>
    </row>
    <row r="231" ht="16.5" customHeight="1" spans="1:23" x14ac:dyDescent="0.25">
      <c r="A231" s="71"/>
      <c r="B231" s="57">
        <f>IFERROR(VLOOKUP($A:$A,CS!$A:$AK,3,FALSE),"")</f>
      </c>
      <c r="C231" s="57">
        <f>IFERROR(VLOOKUP($A:$A,CS!$A:$AK,4,FALSE),"")</f>
      </c>
      <c r="D231" s="57">
        <f>IFERROR(VLOOKUP($A:$A,CS!$A:$AK,5,FALSE),"")</f>
      </c>
      <c r="E231" s="57">
        <f>IFERROR(VLOOKUP($A:$A,CS!$A:$AK,7,FALSE),"")</f>
      </c>
      <c r="F231" s="57">
        <f>IFERROR(VLOOKUP($A:$A,CS!$A:$AK,8,FALSE),"")</f>
      </c>
      <c r="G231" s="57">
        <f>IFERROR(VLOOKUP($A:$A,CS!$A:$AK,10,FALSE),"")</f>
      </c>
      <c r="H231" s="57">
        <f>IFERROR(VLOOKUP($A:$A,CS!$A:$AK,14,FALSE),"")</f>
      </c>
      <c r="I231" s="57">
        <f>IFERROR(VLOOKUP($A:$A,CS!$A:$AK,15,FALSE),"")</f>
      </c>
      <c r="J231" s="57">
        <f>IFERROR(VLOOKUP($A:$A,CS!$A:$AK,18,FALSE),"")</f>
      </c>
      <c r="K231" s="57">
        <f>IFERROR(VLOOKUP($A:$A,CS!$A:$AK,19,FALSE),"")</f>
      </c>
      <c r="L231" s="57">
        <f>IFERROR(VLOOKUP($A:$A,CS!$A:$AK,20,FALSE),"")</f>
      </c>
      <c r="M231" s="57">
        <f>IFERROR(VLOOKUP($A:$A,CS!$A:$AK,22,FALSE),"")</f>
      </c>
      <c r="N231" s="57">
        <f>IFERROR(VLOOKUP($A:$A,CS!$A:$AK,19,FALSE),"")</f>
      </c>
      <c r="O231" s="57">
        <f>IFERROR(VLOOKUP($A:$A,CS!$A:$AK,23,FALSE),"")</f>
      </c>
      <c r="P231" s="57">
        <f>IFERROR(VLOOKUP($A:$A,CS!$A:$AK,24,FALSE),"")</f>
      </c>
      <c r="Q231" s="57">
        <f>IFERROR(VLOOKUP($A:$A,CS!$A:$AK,25,FALSE),"")</f>
      </c>
      <c r="R231" s="57">
        <f>IFERROR(VLOOKUP($A:$A,CS!$A:$AK,26,FALSE),"")</f>
      </c>
      <c r="S231" s="57">
        <f>IFERROR(VLOOKUP($A:$A,CS!$A:$AK,29,FALSE),"")</f>
      </c>
      <c r="T231" s="57">
        <f>IFERROR(VLOOKUP($A:$A,CS!$A:$AK,33,FALSE),"")</f>
      </c>
      <c r="U231" s="57">
        <f>IFERROR(VLOOKUP($A:$A,CS!$A:$AK,34,FALSE),"")</f>
      </c>
      <c r="V231" s="57">
        <f>IFERROR(VLOOKUP($A:$A,CS!$A:$AK,35,FALSE),"")</f>
      </c>
      <c r="W231" s="57">
        <f>IFERROR(VLOOKUP($A:$A,CS!$A:$AK,36,FALSE),"")</f>
      </c>
    </row>
    <row r="232" ht="16.5" customHeight="1" spans="1:23" x14ac:dyDescent="0.25">
      <c r="A232" s="71"/>
      <c r="B232" s="57">
        <f>IFERROR(VLOOKUP($A:$A,CS!$A:$AK,3,FALSE),"")</f>
      </c>
      <c r="C232" s="57">
        <f>IFERROR(VLOOKUP($A:$A,CS!$A:$AK,4,FALSE),"")</f>
      </c>
      <c r="D232" s="57">
        <f>IFERROR(VLOOKUP($A:$A,CS!$A:$AK,5,FALSE),"")</f>
      </c>
      <c r="E232" s="57">
        <f>IFERROR(VLOOKUP($A:$A,CS!$A:$AK,7,FALSE),"")</f>
      </c>
      <c r="F232" s="57">
        <f>IFERROR(VLOOKUP($A:$A,CS!$A:$AK,8,FALSE),"")</f>
      </c>
      <c r="G232" s="57">
        <f>IFERROR(VLOOKUP($A:$A,CS!$A:$AK,10,FALSE),"")</f>
      </c>
      <c r="H232" s="57">
        <f>IFERROR(VLOOKUP($A:$A,CS!$A:$AK,14,FALSE),"")</f>
      </c>
      <c r="I232" s="57">
        <f>IFERROR(VLOOKUP($A:$A,CS!$A:$AK,15,FALSE),"")</f>
      </c>
      <c r="J232" s="57">
        <f>IFERROR(VLOOKUP($A:$A,CS!$A:$AK,18,FALSE),"")</f>
      </c>
      <c r="K232" s="57">
        <f>IFERROR(VLOOKUP($A:$A,CS!$A:$AK,19,FALSE),"")</f>
      </c>
      <c r="L232" s="57">
        <f>IFERROR(VLOOKUP($A:$A,CS!$A:$AK,20,FALSE),"")</f>
      </c>
      <c r="M232" s="57">
        <f>IFERROR(VLOOKUP($A:$A,CS!$A:$AK,22,FALSE),"")</f>
      </c>
      <c r="N232" s="57">
        <f>IFERROR(VLOOKUP($A:$A,CS!$A:$AK,19,FALSE),"")</f>
      </c>
      <c r="O232" s="57">
        <f>IFERROR(VLOOKUP($A:$A,CS!$A:$AK,23,FALSE),"")</f>
      </c>
      <c r="P232" s="57">
        <f>IFERROR(VLOOKUP($A:$A,CS!$A:$AK,24,FALSE),"")</f>
      </c>
      <c r="Q232" s="57">
        <f>IFERROR(VLOOKUP($A:$A,CS!$A:$AK,25,FALSE),"")</f>
      </c>
      <c r="R232" s="57">
        <f>IFERROR(VLOOKUP($A:$A,CS!$A:$AK,26,FALSE),"")</f>
      </c>
      <c r="S232" s="57">
        <f>IFERROR(VLOOKUP($A:$A,CS!$A:$AK,29,FALSE),"")</f>
      </c>
      <c r="T232" s="57">
        <f>IFERROR(VLOOKUP($A:$A,CS!$A:$AK,33,FALSE),"")</f>
      </c>
      <c r="U232" s="57">
        <f>IFERROR(VLOOKUP($A:$A,CS!$A:$AK,34,FALSE),"")</f>
      </c>
      <c r="V232" s="57">
        <f>IFERROR(VLOOKUP($A:$A,CS!$A:$AK,35,FALSE),"")</f>
      </c>
      <c r="W232" s="57">
        <f>IFERROR(VLOOKUP($A:$A,CS!$A:$AK,36,FALSE),"")</f>
      </c>
    </row>
    <row r="233" ht="16.5" customHeight="1" spans="1:23" x14ac:dyDescent="0.25">
      <c r="A233" s="71"/>
      <c r="B233" s="57">
        <f>IFERROR(VLOOKUP($A:$A,CS!$A:$AK,3,FALSE),"")</f>
      </c>
      <c r="C233" s="57">
        <f>IFERROR(VLOOKUP($A:$A,CS!$A:$AK,4,FALSE),"")</f>
      </c>
      <c r="D233" s="57">
        <f>IFERROR(VLOOKUP($A:$A,CS!$A:$AK,5,FALSE),"")</f>
      </c>
      <c r="E233" s="57">
        <f>IFERROR(VLOOKUP($A:$A,CS!$A:$AK,7,FALSE),"")</f>
      </c>
      <c r="F233" s="57">
        <f>IFERROR(VLOOKUP($A:$A,CS!$A:$AK,8,FALSE),"")</f>
      </c>
      <c r="G233" s="57">
        <f>IFERROR(VLOOKUP($A:$A,CS!$A:$AK,10,FALSE),"")</f>
      </c>
      <c r="H233" s="57">
        <f>IFERROR(VLOOKUP($A:$A,CS!$A:$AK,14,FALSE),"")</f>
      </c>
      <c r="I233" s="57">
        <f>IFERROR(VLOOKUP($A:$A,CS!$A:$AK,15,FALSE),"")</f>
      </c>
      <c r="J233" s="57">
        <f>IFERROR(VLOOKUP($A:$A,CS!$A:$AK,18,FALSE),"")</f>
      </c>
      <c r="K233" s="57">
        <f>IFERROR(VLOOKUP($A:$A,CS!$A:$AK,19,FALSE),"")</f>
      </c>
      <c r="L233" s="57">
        <f>IFERROR(VLOOKUP($A:$A,CS!$A:$AK,20,FALSE),"")</f>
      </c>
      <c r="M233" s="57">
        <f>IFERROR(VLOOKUP($A:$A,CS!$A:$AK,22,FALSE),"")</f>
      </c>
      <c r="N233" s="57">
        <f>IFERROR(VLOOKUP($A:$A,CS!$A:$AK,19,FALSE),"")</f>
      </c>
      <c r="O233" s="57">
        <f>IFERROR(VLOOKUP($A:$A,CS!$A:$AK,23,FALSE),"")</f>
      </c>
      <c r="P233" s="57">
        <f>IFERROR(VLOOKUP($A:$A,CS!$A:$AK,24,FALSE),"")</f>
      </c>
      <c r="Q233" s="57">
        <f>IFERROR(VLOOKUP($A:$A,CS!$A:$AK,25,FALSE),"")</f>
      </c>
      <c r="R233" s="57">
        <f>IFERROR(VLOOKUP($A:$A,CS!$A:$AK,26,FALSE),"")</f>
      </c>
      <c r="S233" s="57">
        <f>IFERROR(VLOOKUP($A:$A,CS!$A:$AK,29,FALSE),"")</f>
      </c>
      <c r="T233" s="57">
        <f>IFERROR(VLOOKUP($A:$A,CS!$A:$AK,33,FALSE),"")</f>
      </c>
      <c r="U233" s="57">
        <f>IFERROR(VLOOKUP($A:$A,CS!$A:$AK,34,FALSE),"")</f>
      </c>
      <c r="V233" s="57">
        <f>IFERROR(VLOOKUP($A:$A,CS!$A:$AK,35,FALSE),"")</f>
      </c>
      <c r="W233" s="57">
        <f>IFERROR(VLOOKUP($A:$A,CS!$A:$AK,36,FALSE),"")</f>
      </c>
    </row>
    <row r="234" ht="16.5" customHeight="1" spans="1:23" x14ac:dyDescent="0.25">
      <c r="A234" s="71"/>
      <c r="B234" s="57">
        <f>IFERROR(VLOOKUP($A:$A,CS!$A:$AK,3,FALSE),"")</f>
      </c>
      <c r="C234" s="57">
        <f>IFERROR(VLOOKUP($A:$A,CS!$A:$AK,4,FALSE),"")</f>
      </c>
      <c r="D234" s="57">
        <f>IFERROR(VLOOKUP($A:$A,CS!$A:$AK,5,FALSE),"")</f>
      </c>
      <c r="E234" s="57">
        <f>IFERROR(VLOOKUP($A:$A,CS!$A:$AK,7,FALSE),"")</f>
      </c>
      <c r="F234" s="57">
        <f>IFERROR(VLOOKUP($A:$A,CS!$A:$AK,8,FALSE),"")</f>
      </c>
      <c r="G234" s="57">
        <f>IFERROR(VLOOKUP($A:$A,CS!$A:$AK,10,FALSE),"")</f>
      </c>
      <c r="H234" s="57">
        <f>IFERROR(VLOOKUP($A:$A,CS!$A:$AK,14,FALSE),"")</f>
      </c>
      <c r="I234" s="57">
        <f>IFERROR(VLOOKUP($A:$A,CS!$A:$AK,15,FALSE),"")</f>
      </c>
      <c r="J234" s="57">
        <f>IFERROR(VLOOKUP($A:$A,CS!$A:$AK,18,FALSE),"")</f>
      </c>
      <c r="K234" s="57">
        <f>IFERROR(VLOOKUP($A:$A,CS!$A:$AK,19,FALSE),"")</f>
      </c>
      <c r="L234" s="57">
        <f>IFERROR(VLOOKUP($A:$A,CS!$A:$AK,20,FALSE),"")</f>
      </c>
      <c r="M234" s="57">
        <f>IFERROR(VLOOKUP($A:$A,CS!$A:$AK,22,FALSE),"")</f>
      </c>
      <c r="N234" s="57">
        <f>IFERROR(VLOOKUP($A:$A,CS!$A:$AK,19,FALSE),"")</f>
      </c>
      <c r="O234" s="57">
        <f>IFERROR(VLOOKUP($A:$A,CS!$A:$AK,23,FALSE),"")</f>
      </c>
      <c r="P234" s="57">
        <f>IFERROR(VLOOKUP($A:$A,CS!$A:$AK,24,FALSE),"")</f>
      </c>
      <c r="Q234" s="57">
        <f>IFERROR(VLOOKUP($A:$A,CS!$A:$AK,25,FALSE),"")</f>
      </c>
      <c r="R234" s="57">
        <f>IFERROR(VLOOKUP($A:$A,CS!$A:$AK,26,FALSE),"")</f>
      </c>
      <c r="S234" s="57">
        <f>IFERROR(VLOOKUP($A:$A,CS!$A:$AK,29,FALSE),"")</f>
      </c>
      <c r="T234" s="57">
        <f>IFERROR(VLOOKUP($A:$A,CS!$A:$AK,33,FALSE),"")</f>
      </c>
      <c r="U234" s="57">
        <f>IFERROR(VLOOKUP($A:$A,CS!$A:$AK,34,FALSE),"")</f>
      </c>
      <c r="V234" s="57">
        <f>IFERROR(VLOOKUP($A:$A,CS!$A:$AK,35,FALSE),"")</f>
      </c>
      <c r="W234" s="57">
        <f>IFERROR(VLOOKUP($A:$A,CS!$A:$AK,36,FALSE),"")</f>
      </c>
    </row>
    <row r="235" ht="16.5" customHeight="1" spans="1:23" x14ac:dyDescent="0.25">
      <c r="A235" s="71"/>
      <c r="B235" s="57">
        <f>IFERROR(VLOOKUP($A:$A,CS!$A:$AK,3,FALSE),"")</f>
      </c>
      <c r="C235" s="57">
        <f>IFERROR(VLOOKUP($A:$A,CS!$A:$AK,4,FALSE),"")</f>
      </c>
      <c r="D235" s="57">
        <f>IFERROR(VLOOKUP($A:$A,CS!$A:$AK,5,FALSE),"")</f>
      </c>
      <c r="E235" s="57">
        <f>IFERROR(VLOOKUP($A:$A,CS!$A:$AK,7,FALSE),"")</f>
      </c>
      <c r="F235" s="57">
        <f>IFERROR(VLOOKUP($A:$A,CS!$A:$AK,8,FALSE),"")</f>
      </c>
      <c r="G235" s="57">
        <f>IFERROR(VLOOKUP($A:$A,CS!$A:$AK,10,FALSE),"")</f>
      </c>
      <c r="H235" s="57">
        <f>IFERROR(VLOOKUP($A:$A,CS!$A:$AK,14,FALSE),"")</f>
      </c>
      <c r="I235" s="57">
        <f>IFERROR(VLOOKUP($A:$A,CS!$A:$AK,15,FALSE),"")</f>
      </c>
      <c r="J235" s="57">
        <f>IFERROR(VLOOKUP($A:$A,CS!$A:$AK,18,FALSE),"")</f>
      </c>
      <c r="K235" s="57">
        <f>IFERROR(VLOOKUP($A:$A,CS!$A:$AK,19,FALSE),"")</f>
      </c>
      <c r="L235" s="57">
        <f>IFERROR(VLOOKUP($A:$A,CS!$A:$AK,20,FALSE),"")</f>
      </c>
      <c r="M235" s="57">
        <f>IFERROR(VLOOKUP($A:$A,CS!$A:$AK,22,FALSE),"")</f>
      </c>
      <c r="N235" s="57">
        <f>IFERROR(VLOOKUP($A:$A,CS!$A:$AK,19,FALSE),"")</f>
      </c>
      <c r="O235" s="57">
        <f>IFERROR(VLOOKUP($A:$A,CS!$A:$AK,23,FALSE),"")</f>
      </c>
      <c r="P235" s="57">
        <f>IFERROR(VLOOKUP($A:$A,CS!$A:$AK,24,FALSE),"")</f>
      </c>
      <c r="Q235" s="57">
        <f>IFERROR(VLOOKUP($A:$A,CS!$A:$AK,25,FALSE),"")</f>
      </c>
      <c r="R235" s="57">
        <f>IFERROR(VLOOKUP($A:$A,CS!$A:$AK,26,FALSE),"")</f>
      </c>
      <c r="S235" s="57">
        <f>IFERROR(VLOOKUP($A:$A,CS!$A:$AK,29,FALSE),"")</f>
      </c>
      <c r="T235" s="57">
        <f>IFERROR(VLOOKUP($A:$A,CS!$A:$AK,33,FALSE),"")</f>
      </c>
      <c r="U235" s="57">
        <f>IFERROR(VLOOKUP($A:$A,CS!$A:$AK,34,FALSE),"")</f>
      </c>
      <c r="V235" s="57">
        <f>IFERROR(VLOOKUP($A:$A,CS!$A:$AK,35,FALSE),"")</f>
      </c>
      <c r="W235" s="57">
        <f>IFERROR(VLOOKUP($A:$A,CS!$A:$AK,36,FALSE),"")</f>
      </c>
    </row>
    <row r="236" ht="16.5" customHeight="1" spans="1:23" x14ac:dyDescent="0.25">
      <c r="A236" s="71"/>
      <c r="B236" s="57">
        <f>IFERROR(VLOOKUP($A:$A,CS!$A:$AK,3,FALSE),"")</f>
      </c>
      <c r="C236" s="57">
        <f>IFERROR(VLOOKUP($A:$A,CS!$A:$AK,4,FALSE),"")</f>
      </c>
      <c r="D236" s="57">
        <f>IFERROR(VLOOKUP($A:$A,CS!$A:$AK,5,FALSE),"")</f>
      </c>
      <c r="E236" s="57">
        <f>IFERROR(VLOOKUP($A:$A,CS!$A:$AK,7,FALSE),"")</f>
      </c>
      <c r="F236" s="57">
        <f>IFERROR(VLOOKUP($A:$A,CS!$A:$AK,8,FALSE),"")</f>
      </c>
      <c r="G236" s="57">
        <f>IFERROR(VLOOKUP($A:$A,CS!$A:$AK,10,FALSE),"")</f>
      </c>
      <c r="H236" s="57">
        <f>IFERROR(VLOOKUP($A:$A,CS!$A:$AK,14,FALSE),"")</f>
      </c>
      <c r="I236" s="57">
        <f>IFERROR(VLOOKUP($A:$A,CS!$A:$AK,15,FALSE),"")</f>
      </c>
      <c r="J236" s="57">
        <f>IFERROR(VLOOKUP($A:$A,CS!$A:$AK,18,FALSE),"")</f>
      </c>
      <c r="K236" s="57">
        <f>IFERROR(VLOOKUP($A:$A,CS!$A:$AK,19,FALSE),"")</f>
      </c>
      <c r="L236" s="57">
        <f>IFERROR(VLOOKUP($A:$A,CS!$A:$AK,20,FALSE),"")</f>
      </c>
      <c r="M236" s="57">
        <f>IFERROR(VLOOKUP($A:$A,CS!$A:$AK,22,FALSE),"")</f>
      </c>
      <c r="N236" s="57">
        <f>IFERROR(VLOOKUP($A:$A,CS!$A:$AK,19,FALSE),"")</f>
      </c>
      <c r="O236" s="57">
        <f>IFERROR(VLOOKUP($A:$A,CS!$A:$AK,23,FALSE),"")</f>
      </c>
      <c r="P236" s="57">
        <f>IFERROR(VLOOKUP($A:$A,CS!$A:$AK,24,FALSE),"")</f>
      </c>
      <c r="Q236" s="57">
        <f>IFERROR(VLOOKUP($A:$A,CS!$A:$AK,25,FALSE),"")</f>
      </c>
      <c r="R236" s="57">
        <f>IFERROR(VLOOKUP($A:$A,CS!$A:$AK,26,FALSE),"")</f>
      </c>
      <c r="S236" s="57">
        <f>IFERROR(VLOOKUP($A:$A,CS!$A:$AK,29,FALSE),"")</f>
      </c>
      <c r="T236" s="57">
        <f>IFERROR(VLOOKUP($A:$A,CS!$A:$AK,33,FALSE),"")</f>
      </c>
      <c r="U236" s="57">
        <f>IFERROR(VLOOKUP($A:$A,CS!$A:$AK,34,FALSE),"")</f>
      </c>
      <c r="V236" s="57">
        <f>IFERROR(VLOOKUP($A:$A,CS!$A:$AK,35,FALSE),"")</f>
      </c>
      <c r="W236" s="57">
        <f>IFERROR(VLOOKUP($A:$A,CS!$A:$AK,36,FALSE),"")</f>
      </c>
    </row>
    <row r="237" ht="16.5" customHeight="1" spans="1:23" x14ac:dyDescent="0.25">
      <c r="A237" s="71"/>
      <c r="B237" s="57">
        <f>IFERROR(VLOOKUP($A:$A,CS!$A:$AK,3,FALSE),"")</f>
      </c>
      <c r="C237" s="57">
        <f>IFERROR(VLOOKUP($A:$A,CS!$A:$AK,4,FALSE),"")</f>
      </c>
      <c r="D237" s="57">
        <f>IFERROR(VLOOKUP($A:$A,CS!$A:$AK,5,FALSE),"")</f>
      </c>
      <c r="E237" s="57">
        <f>IFERROR(VLOOKUP($A:$A,CS!$A:$AK,7,FALSE),"")</f>
      </c>
      <c r="F237" s="57">
        <f>IFERROR(VLOOKUP($A:$A,CS!$A:$AK,8,FALSE),"")</f>
      </c>
      <c r="G237" s="57">
        <f>IFERROR(VLOOKUP($A:$A,CS!$A:$AK,10,FALSE),"")</f>
      </c>
      <c r="H237" s="57">
        <f>IFERROR(VLOOKUP($A:$A,CS!$A:$AK,14,FALSE),"")</f>
      </c>
      <c r="I237" s="57">
        <f>IFERROR(VLOOKUP($A:$A,CS!$A:$AK,15,FALSE),"")</f>
      </c>
      <c r="J237" s="57">
        <f>IFERROR(VLOOKUP($A:$A,CS!$A:$AK,18,FALSE),"")</f>
      </c>
      <c r="K237" s="57">
        <f>IFERROR(VLOOKUP($A:$A,CS!$A:$AK,19,FALSE),"")</f>
      </c>
      <c r="L237" s="57">
        <f>IFERROR(VLOOKUP($A:$A,CS!$A:$AK,20,FALSE),"")</f>
      </c>
      <c r="M237" s="57">
        <f>IFERROR(VLOOKUP($A:$A,CS!$A:$AK,22,FALSE),"")</f>
      </c>
      <c r="N237" s="57">
        <f>IFERROR(VLOOKUP($A:$A,CS!$A:$AK,19,FALSE),"")</f>
      </c>
      <c r="O237" s="57">
        <f>IFERROR(VLOOKUP($A:$A,CS!$A:$AK,23,FALSE),"")</f>
      </c>
      <c r="P237" s="57">
        <f>IFERROR(VLOOKUP($A:$A,CS!$A:$AK,24,FALSE),"")</f>
      </c>
      <c r="Q237" s="57">
        <f>IFERROR(VLOOKUP($A:$A,CS!$A:$AK,25,FALSE),"")</f>
      </c>
      <c r="R237" s="57">
        <f>IFERROR(VLOOKUP($A:$A,CS!$A:$AK,26,FALSE),"")</f>
      </c>
      <c r="S237" s="57">
        <f>IFERROR(VLOOKUP($A:$A,CS!$A:$AK,29,FALSE),"")</f>
      </c>
      <c r="T237" s="57">
        <f>IFERROR(VLOOKUP($A:$A,CS!$A:$AK,33,FALSE),"")</f>
      </c>
      <c r="U237" s="57">
        <f>IFERROR(VLOOKUP($A:$A,CS!$A:$AK,34,FALSE),"")</f>
      </c>
      <c r="V237" s="57">
        <f>IFERROR(VLOOKUP($A:$A,CS!$A:$AK,35,FALSE),"")</f>
      </c>
      <c r="W237" s="57">
        <f>IFERROR(VLOOKUP($A:$A,CS!$A:$AK,36,FALSE),"")</f>
      </c>
    </row>
    <row r="238" ht="16.5" customHeight="1" spans="1:23" x14ac:dyDescent="0.25">
      <c r="A238" s="71"/>
      <c r="B238" s="57">
        <f>IFERROR(VLOOKUP($A:$A,CS!$A:$AK,3,FALSE),"")</f>
      </c>
      <c r="C238" s="57">
        <f>IFERROR(VLOOKUP($A:$A,CS!$A:$AK,4,FALSE),"")</f>
      </c>
      <c r="D238" s="57">
        <f>IFERROR(VLOOKUP($A:$A,CS!$A:$AK,5,FALSE),"")</f>
      </c>
      <c r="E238" s="57">
        <f>IFERROR(VLOOKUP($A:$A,CS!$A:$AK,7,FALSE),"")</f>
      </c>
      <c r="F238" s="57">
        <f>IFERROR(VLOOKUP($A:$A,CS!$A:$AK,8,FALSE),"")</f>
      </c>
      <c r="G238" s="57">
        <f>IFERROR(VLOOKUP($A:$A,CS!$A:$AK,10,FALSE),"")</f>
      </c>
      <c r="H238" s="57">
        <f>IFERROR(VLOOKUP($A:$A,CS!$A:$AK,14,FALSE),"")</f>
      </c>
      <c r="I238" s="57">
        <f>IFERROR(VLOOKUP($A:$A,CS!$A:$AK,15,FALSE),"")</f>
      </c>
      <c r="J238" s="57">
        <f>IFERROR(VLOOKUP($A:$A,CS!$A:$AK,18,FALSE),"")</f>
      </c>
      <c r="K238" s="57">
        <f>IFERROR(VLOOKUP($A:$A,CS!$A:$AK,19,FALSE),"")</f>
      </c>
      <c r="L238" s="57">
        <f>IFERROR(VLOOKUP($A:$A,CS!$A:$AK,20,FALSE),"")</f>
      </c>
      <c r="M238" s="57">
        <f>IFERROR(VLOOKUP($A:$A,CS!$A:$AK,22,FALSE),"")</f>
      </c>
      <c r="N238" s="57">
        <f>IFERROR(VLOOKUP($A:$A,CS!$A:$AK,19,FALSE),"")</f>
      </c>
      <c r="O238" s="57">
        <f>IFERROR(VLOOKUP($A:$A,CS!$A:$AK,23,FALSE),"")</f>
      </c>
      <c r="P238" s="57">
        <f>IFERROR(VLOOKUP($A:$A,CS!$A:$AK,24,FALSE),"")</f>
      </c>
      <c r="Q238" s="57">
        <f>IFERROR(VLOOKUP($A:$A,CS!$A:$AK,25,FALSE),"")</f>
      </c>
      <c r="R238" s="57">
        <f>IFERROR(VLOOKUP($A:$A,CS!$A:$AK,26,FALSE),"")</f>
      </c>
      <c r="S238" s="57">
        <f>IFERROR(VLOOKUP($A:$A,CS!$A:$AK,29,FALSE),"")</f>
      </c>
      <c r="T238" s="57">
        <f>IFERROR(VLOOKUP($A:$A,CS!$A:$AK,33,FALSE),"")</f>
      </c>
      <c r="U238" s="57">
        <f>IFERROR(VLOOKUP($A:$A,CS!$A:$AK,34,FALSE),"")</f>
      </c>
      <c r="V238" s="57">
        <f>IFERROR(VLOOKUP($A:$A,CS!$A:$AK,35,FALSE),"")</f>
      </c>
      <c r="W238" s="57">
        <f>IFERROR(VLOOKUP($A:$A,CS!$A:$AK,36,FALSE),"")</f>
      </c>
    </row>
    <row r="239" ht="16.5" customHeight="1" spans="1:23" x14ac:dyDescent="0.25">
      <c r="A239" s="71"/>
      <c r="B239" s="57">
        <f>IFERROR(VLOOKUP($A:$A,CS!$A:$AK,3,FALSE),"")</f>
      </c>
      <c r="C239" s="57">
        <f>IFERROR(VLOOKUP($A:$A,CS!$A:$AK,4,FALSE),"")</f>
      </c>
      <c r="D239" s="57">
        <f>IFERROR(VLOOKUP($A:$A,CS!$A:$AK,5,FALSE),"")</f>
      </c>
      <c r="E239" s="57">
        <f>IFERROR(VLOOKUP($A:$A,CS!$A:$AK,7,FALSE),"")</f>
      </c>
      <c r="F239" s="57">
        <f>IFERROR(VLOOKUP($A:$A,CS!$A:$AK,8,FALSE),"")</f>
      </c>
      <c r="G239" s="57">
        <f>IFERROR(VLOOKUP($A:$A,CS!$A:$AK,10,FALSE),"")</f>
      </c>
      <c r="H239" s="57">
        <f>IFERROR(VLOOKUP($A:$A,CS!$A:$AK,14,FALSE),"")</f>
      </c>
      <c r="I239" s="57">
        <f>IFERROR(VLOOKUP($A:$A,CS!$A:$AK,15,FALSE),"")</f>
      </c>
      <c r="J239" s="57">
        <f>IFERROR(VLOOKUP($A:$A,CS!$A:$AK,18,FALSE),"")</f>
      </c>
      <c r="K239" s="57">
        <f>IFERROR(VLOOKUP($A:$A,CS!$A:$AK,19,FALSE),"")</f>
      </c>
      <c r="L239" s="57">
        <f>IFERROR(VLOOKUP($A:$A,CS!$A:$AK,20,FALSE),"")</f>
      </c>
      <c r="M239" s="57">
        <f>IFERROR(VLOOKUP($A:$A,CS!$A:$AK,22,FALSE),"")</f>
      </c>
      <c r="N239" s="57">
        <f>IFERROR(VLOOKUP($A:$A,CS!$A:$AK,19,FALSE),"")</f>
      </c>
      <c r="O239" s="57">
        <f>IFERROR(VLOOKUP($A:$A,CS!$A:$AK,23,FALSE),"")</f>
      </c>
      <c r="P239" s="57">
        <f>IFERROR(VLOOKUP($A:$A,CS!$A:$AK,24,FALSE),"")</f>
      </c>
      <c r="Q239" s="57">
        <f>IFERROR(VLOOKUP($A:$A,CS!$A:$AK,25,FALSE),"")</f>
      </c>
      <c r="R239" s="57">
        <f>IFERROR(VLOOKUP($A:$A,CS!$A:$AK,26,FALSE),"")</f>
      </c>
      <c r="S239" s="57">
        <f>IFERROR(VLOOKUP($A:$A,CS!$A:$AK,29,FALSE),"")</f>
      </c>
      <c r="T239" s="57">
        <f>IFERROR(VLOOKUP($A:$A,CS!$A:$AK,33,FALSE),"")</f>
      </c>
      <c r="U239" s="57">
        <f>IFERROR(VLOOKUP($A:$A,CS!$A:$AK,34,FALSE),"")</f>
      </c>
      <c r="V239" s="57">
        <f>IFERROR(VLOOKUP($A:$A,CS!$A:$AK,35,FALSE),"")</f>
      </c>
      <c r="W239" s="57">
        <f>IFERROR(VLOOKUP($A:$A,CS!$A:$AK,36,FALSE),"")</f>
      </c>
    </row>
    <row r="240" ht="16.5" customHeight="1" spans="1:23" x14ac:dyDescent="0.25">
      <c r="A240" s="71"/>
      <c r="B240" s="57">
        <f>IFERROR(VLOOKUP($A:$A,CS!$A:$AK,3,FALSE),"")</f>
      </c>
      <c r="C240" s="57">
        <f>IFERROR(VLOOKUP($A:$A,CS!$A:$AK,4,FALSE),"")</f>
      </c>
      <c r="D240" s="57">
        <f>IFERROR(VLOOKUP($A:$A,CS!$A:$AK,5,FALSE),"")</f>
      </c>
      <c r="E240" s="57">
        <f>IFERROR(VLOOKUP($A:$A,CS!$A:$AK,7,FALSE),"")</f>
      </c>
      <c r="F240" s="57">
        <f>IFERROR(VLOOKUP($A:$A,CS!$A:$AK,8,FALSE),"")</f>
      </c>
      <c r="G240" s="57">
        <f>IFERROR(VLOOKUP($A:$A,CS!$A:$AK,10,FALSE),"")</f>
      </c>
      <c r="H240" s="57">
        <f>IFERROR(VLOOKUP($A:$A,CS!$A:$AK,14,FALSE),"")</f>
      </c>
      <c r="I240" s="57">
        <f>IFERROR(VLOOKUP($A:$A,CS!$A:$AK,15,FALSE),"")</f>
      </c>
      <c r="J240" s="57">
        <f>IFERROR(VLOOKUP($A:$A,CS!$A:$AK,18,FALSE),"")</f>
      </c>
      <c r="K240" s="57">
        <f>IFERROR(VLOOKUP($A:$A,CS!$A:$AK,19,FALSE),"")</f>
      </c>
      <c r="L240" s="57">
        <f>IFERROR(VLOOKUP($A:$A,CS!$A:$AK,20,FALSE),"")</f>
      </c>
      <c r="M240" s="57">
        <f>IFERROR(VLOOKUP($A:$A,CS!$A:$AK,22,FALSE),"")</f>
      </c>
      <c r="N240" s="57">
        <f>IFERROR(VLOOKUP($A:$A,CS!$A:$AK,19,FALSE),"")</f>
      </c>
      <c r="O240" s="57">
        <f>IFERROR(VLOOKUP($A:$A,CS!$A:$AK,23,FALSE),"")</f>
      </c>
      <c r="P240" s="57">
        <f>IFERROR(VLOOKUP($A:$A,CS!$A:$AK,24,FALSE),"")</f>
      </c>
      <c r="Q240" s="57">
        <f>IFERROR(VLOOKUP($A:$A,CS!$A:$AK,25,FALSE),"")</f>
      </c>
      <c r="R240" s="57">
        <f>IFERROR(VLOOKUP($A:$A,CS!$A:$AK,26,FALSE),"")</f>
      </c>
      <c r="S240" s="57">
        <f>IFERROR(VLOOKUP($A:$A,CS!$A:$AK,29,FALSE),"")</f>
      </c>
      <c r="T240" s="57">
        <f>IFERROR(VLOOKUP($A:$A,CS!$A:$AK,33,FALSE),"")</f>
      </c>
      <c r="U240" s="57">
        <f>IFERROR(VLOOKUP($A:$A,CS!$A:$AK,34,FALSE),"")</f>
      </c>
      <c r="V240" s="57">
        <f>IFERROR(VLOOKUP($A:$A,CS!$A:$AK,35,FALSE),"")</f>
      </c>
      <c r="W240" s="57">
        <f>IFERROR(VLOOKUP($A:$A,CS!$A:$AK,36,FALSE),"")</f>
      </c>
    </row>
    <row r="241" ht="16.5" customHeight="1" spans="1:23" x14ac:dyDescent="0.25">
      <c r="A241" s="71"/>
      <c r="B241" s="57">
        <f>IFERROR(VLOOKUP($A:$A,CS!$A:$AK,3,FALSE),"")</f>
      </c>
      <c r="C241" s="57">
        <f>IFERROR(VLOOKUP($A:$A,CS!$A:$AK,4,FALSE),"")</f>
      </c>
      <c r="D241" s="57">
        <f>IFERROR(VLOOKUP($A:$A,CS!$A:$AK,5,FALSE),"")</f>
      </c>
      <c r="E241" s="57">
        <f>IFERROR(VLOOKUP($A:$A,CS!$A:$AK,7,FALSE),"")</f>
      </c>
      <c r="F241" s="57">
        <f>IFERROR(VLOOKUP($A:$A,CS!$A:$AK,8,FALSE),"")</f>
      </c>
      <c r="G241" s="57">
        <f>IFERROR(VLOOKUP($A:$A,CS!$A:$AK,10,FALSE),"")</f>
      </c>
      <c r="H241" s="57">
        <f>IFERROR(VLOOKUP($A:$A,CS!$A:$AK,14,FALSE),"")</f>
      </c>
      <c r="I241" s="57">
        <f>IFERROR(VLOOKUP($A:$A,CS!$A:$AK,15,FALSE),"")</f>
      </c>
      <c r="J241" s="57">
        <f>IFERROR(VLOOKUP($A:$A,CS!$A:$AK,18,FALSE),"")</f>
      </c>
      <c r="K241" s="57">
        <f>IFERROR(VLOOKUP($A:$A,CS!$A:$AK,19,FALSE),"")</f>
      </c>
      <c r="L241" s="57">
        <f>IFERROR(VLOOKUP($A:$A,CS!$A:$AK,20,FALSE),"")</f>
      </c>
      <c r="M241" s="57">
        <f>IFERROR(VLOOKUP($A:$A,CS!$A:$AK,22,FALSE),"")</f>
      </c>
      <c r="N241" s="57">
        <f>IFERROR(VLOOKUP($A:$A,CS!$A:$AK,19,FALSE),"")</f>
      </c>
      <c r="O241" s="57">
        <f>IFERROR(VLOOKUP($A:$A,CS!$A:$AK,23,FALSE),"")</f>
      </c>
      <c r="P241" s="57">
        <f>IFERROR(VLOOKUP($A:$A,CS!$A:$AK,24,FALSE),"")</f>
      </c>
      <c r="Q241" s="57">
        <f>IFERROR(VLOOKUP($A:$A,CS!$A:$AK,25,FALSE),"")</f>
      </c>
      <c r="R241" s="57">
        <f>IFERROR(VLOOKUP($A:$A,CS!$A:$AK,26,FALSE),"")</f>
      </c>
      <c r="S241" s="57">
        <f>IFERROR(VLOOKUP($A:$A,CS!$A:$AK,29,FALSE),"")</f>
      </c>
      <c r="T241" s="57">
        <f>IFERROR(VLOOKUP($A:$A,CS!$A:$AK,33,FALSE),"")</f>
      </c>
      <c r="U241" s="57">
        <f>IFERROR(VLOOKUP($A:$A,CS!$A:$AK,34,FALSE),"")</f>
      </c>
      <c r="V241" s="57">
        <f>IFERROR(VLOOKUP($A:$A,CS!$A:$AK,35,FALSE),"")</f>
      </c>
      <c r="W241" s="57">
        <f>IFERROR(VLOOKUP($A:$A,CS!$A:$AK,36,FALSE),"")</f>
      </c>
    </row>
    <row r="242" ht="16.5" customHeight="1" spans="1:23" x14ac:dyDescent="0.25">
      <c r="A242" s="71"/>
      <c r="B242" s="57">
        <f>IFERROR(VLOOKUP($A:$A,CS!$A:$AK,3,FALSE),"")</f>
      </c>
      <c r="C242" s="57">
        <f>IFERROR(VLOOKUP($A:$A,CS!$A:$AK,4,FALSE),"")</f>
      </c>
      <c r="D242" s="57">
        <f>IFERROR(VLOOKUP($A:$A,CS!$A:$AK,5,FALSE),"")</f>
      </c>
      <c r="E242" s="57">
        <f>IFERROR(VLOOKUP($A:$A,CS!$A:$AK,7,FALSE),"")</f>
      </c>
      <c r="F242" s="57">
        <f>IFERROR(VLOOKUP($A:$A,CS!$A:$AK,8,FALSE),"")</f>
      </c>
      <c r="G242" s="57">
        <f>IFERROR(VLOOKUP($A:$A,CS!$A:$AK,10,FALSE),"")</f>
      </c>
      <c r="H242" s="57">
        <f>IFERROR(VLOOKUP($A:$A,CS!$A:$AK,14,FALSE),"")</f>
      </c>
      <c r="I242" s="57">
        <f>IFERROR(VLOOKUP($A:$A,CS!$A:$AK,15,FALSE),"")</f>
      </c>
      <c r="J242" s="57">
        <f>IFERROR(VLOOKUP($A:$A,CS!$A:$AK,18,FALSE),"")</f>
      </c>
      <c r="K242" s="57">
        <f>IFERROR(VLOOKUP($A:$A,CS!$A:$AK,19,FALSE),"")</f>
      </c>
      <c r="L242" s="57">
        <f>IFERROR(VLOOKUP($A:$A,CS!$A:$AK,20,FALSE),"")</f>
      </c>
      <c r="M242" s="57">
        <f>IFERROR(VLOOKUP($A:$A,CS!$A:$AK,22,FALSE),"")</f>
      </c>
      <c r="N242" s="57">
        <f>IFERROR(VLOOKUP($A:$A,CS!$A:$AK,19,FALSE),"")</f>
      </c>
      <c r="O242" s="57">
        <f>IFERROR(VLOOKUP($A:$A,CS!$A:$AK,23,FALSE),"")</f>
      </c>
      <c r="P242" s="57">
        <f>IFERROR(VLOOKUP($A:$A,CS!$A:$AK,24,FALSE),"")</f>
      </c>
      <c r="Q242" s="57">
        <f>IFERROR(VLOOKUP($A:$A,CS!$A:$AK,25,FALSE),"")</f>
      </c>
      <c r="R242" s="57">
        <f>IFERROR(VLOOKUP($A:$A,CS!$A:$AK,26,FALSE),"")</f>
      </c>
      <c r="S242" s="57">
        <f>IFERROR(VLOOKUP($A:$A,CS!$A:$AK,29,FALSE),"")</f>
      </c>
      <c r="T242" s="57">
        <f>IFERROR(VLOOKUP($A:$A,CS!$A:$AK,33,FALSE),"")</f>
      </c>
      <c r="U242" s="57">
        <f>IFERROR(VLOOKUP($A:$A,CS!$A:$AK,34,FALSE),"")</f>
      </c>
      <c r="V242" s="57">
        <f>IFERROR(VLOOKUP($A:$A,CS!$A:$AK,35,FALSE),"")</f>
      </c>
      <c r="W242" s="57">
        <f>IFERROR(VLOOKUP($A:$A,CS!$A:$AK,36,FALSE),"")</f>
      </c>
    </row>
    <row r="243" ht="16.5" customHeight="1" spans="1:23" x14ac:dyDescent="0.25">
      <c r="A243" s="71"/>
      <c r="B243" s="57">
        <f>IFERROR(VLOOKUP($A:$A,CS!$A:$AK,3,FALSE),"")</f>
      </c>
      <c r="C243" s="57">
        <f>IFERROR(VLOOKUP($A:$A,CS!$A:$AK,4,FALSE),"")</f>
      </c>
      <c r="D243" s="57">
        <f>IFERROR(VLOOKUP($A:$A,CS!$A:$AK,5,FALSE),"")</f>
      </c>
      <c r="E243" s="57">
        <f>IFERROR(VLOOKUP($A:$A,CS!$A:$AK,7,FALSE),"")</f>
      </c>
      <c r="F243" s="57">
        <f>IFERROR(VLOOKUP($A:$A,CS!$A:$AK,8,FALSE),"")</f>
      </c>
      <c r="G243" s="57">
        <f>IFERROR(VLOOKUP($A:$A,CS!$A:$AK,10,FALSE),"")</f>
      </c>
      <c r="H243" s="57">
        <f>IFERROR(VLOOKUP($A:$A,CS!$A:$AK,14,FALSE),"")</f>
      </c>
      <c r="I243" s="57">
        <f>IFERROR(VLOOKUP($A:$A,CS!$A:$AK,15,FALSE),"")</f>
      </c>
      <c r="J243" s="57">
        <f>IFERROR(VLOOKUP($A:$A,CS!$A:$AK,18,FALSE),"")</f>
      </c>
      <c r="K243" s="57">
        <f>IFERROR(VLOOKUP($A:$A,CS!$A:$AK,19,FALSE),"")</f>
      </c>
      <c r="L243" s="57">
        <f>IFERROR(VLOOKUP($A:$A,CS!$A:$AK,20,FALSE),"")</f>
      </c>
      <c r="M243" s="57">
        <f>IFERROR(VLOOKUP($A:$A,CS!$A:$AK,22,FALSE),"")</f>
      </c>
      <c r="N243" s="57">
        <f>IFERROR(VLOOKUP($A:$A,CS!$A:$AK,19,FALSE),"")</f>
      </c>
      <c r="O243" s="57">
        <f>IFERROR(VLOOKUP($A:$A,CS!$A:$AK,23,FALSE),"")</f>
      </c>
      <c r="P243" s="57">
        <f>IFERROR(VLOOKUP($A:$A,CS!$A:$AK,24,FALSE),"")</f>
      </c>
      <c r="Q243" s="57">
        <f>IFERROR(VLOOKUP($A:$A,CS!$A:$AK,25,FALSE),"")</f>
      </c>
      <c r="R243" s="57">
        <f>IFERROR(VLOOKUP($A:$A,CS!$A:$AK,26,FALSE),"")</f>
      </c>
      <c r="S243" s="57">
        <f>IFERROR(VLOOKUP($A:$A,CS!$A:$AK,29,FALSE),"")</f>
      </c>
      <c r="T243" s="57">
        <f>IFERROR(VLOOKUP($A:$A,CS!$A:$AK,33,FALSE),"")</f>
      </c>
      <c r="U243" s="57">
        <f>IFERROR(VLOOKUP($A:$A,CS!$A:$AK,34,FALSE),"")</f>
      </c>
      <c r="V243" s="57">
        <f>IFERROR(VLOOKUP($A:$A,CS!$A:$AK,35,FALSE),"")</f>
      </c>
      <c r="W243" s="57">
        <f>IFERROR(VLOOKUP($A:$A,CS!$A:$AK,36,FALSE),"")</f>
      </c>
    </row>
    <row r="244" ht="16.5" customHeight="1" spans="1:23" x14ac:dyDescent="0.25">
      <c r="A244" s="71"/>
      <c r="B244" s="57">
        <f>IFERROR(VLOOKUP($A:$A,CS!$A:$AK,3,FALSE),"")</f>
      </c>
      <c r="C244" s="57">
        <f>IFERROR(VLOOKUP($A:$A,CS!$A:$AK,4,FALSE),"")</f>
      </c>
      <c r="D244" s="57">
        <f>IFERROR(VLOOKUP($A:$A,CS!$A:$AK,5,FALSE),"")</f>
      </c>
      <c r="E244" s="57">
        <f>IFERROR(VLOOKUP($A:$A,CS!$A:$AK,7,FALSE),"")</f>
      </c>
      <c r="F244" s="57">
        <f>IFERROR(VLOOKUP($A:$A,CS!$A:$AK,8,FALSE),"")</f>
      </c>
      <c r="G244" s="57">
        <f>IFERROR(VLOOKUP($A:$A,CS!$A:$AK,10,FALSE),"")</f>
      </c>
      <c r="H244" s="57">
        <f>IFERROR(VLOOKUP($A:$A,CS!$A:$AK,14,FALSE),"")</f>
      </c>
      <c r="I244" s="57">
        <f>IFERROR(VLOOKUP($A:$A,CS!$A:$AK,15,FALSE),"")</f>
      </c>
      <c r="J244" s="57">
        <f>IFERROR(VLOOKUP($A:$A,CS!$A:$AK,18,FALSE),"")</f>
      </c>
      <c r="K244" s="57">
        <f>IFERROR(VLOOKUP($A:$A,CS!$A:$AK,19,FALSE),"")</f>
      </c>
      <c r="L244" s="57">
        <f>IFERROR(VLOOKUP($A:$A,CS!$A:$AK,20,FALSE),"")</f>
      </c>
      <c r="M244" s="57">
        <f>IFERROR(VLOOKUP($A:$A,CS!$A:$AK,22,FALSE),"")</f>
      </c>
      <c r="N244" s="57">
        <f>IFERROR(VLOOKUP($A:$A,CS!$A:$AK,19,FALSE),"")</f>
      </c>
      <c r="O244" s="57">
        <f>IFERROR(VLOOKUP($A:$A,CS!$A:$AK,23,FALSE),"")</f>
      </c>
      <c r="P244" s="57">
        <f>IFERROR(VLOOKUP($A:$A,CS!$A:$AK,24,FALSE),"")</f>
      </c>
      <c r="Q244" s="57">
        <f>IFERROR(VLOOKUP($A:$A,CS!$A:$AK,25,FALSE),"")</f>
      </c>
      <c r="R244" s="57">
        <f>IFERROR(VLOOKUP($A:$A,CS!$A:$AK,26,FALSE),"")</f>
      </c>
      <c r="S244" s="57">
        <f>IFERROR(VLOOKUP($A:$A,CS!$A:$AK,29,FALSE),"")</f>
      </c>
      <c r="T244" s="57">
        <f>IFERROR(VLOOKUP($A:$A,CS!$A:$AK,33,FALSE),"")</f>
      </c>
      <c r="U244" s="57">
        <f>IFERROR(VLOOKUP($A:$A,CS!$A:$AK,34,FALSE),"")</f>
      </c>
      <c r="V244" s="57">
        <f>IFERROR(VLOOKUP($A:$A,CS!$A:$AK,35,FALSE),"")</f>
      </c>
      <c r="W244" s="57">
        <f>IFERROR(VLOOKUP($A:$A,CS!$A:$AK,36,FALSE),"")</f>
      </c>
    </row>
    <row r="245" ht="16.5" customHeight="1" spans="1:23" x14ac:dyDescent="0.25">
      <c r="A245" s="71"/>
      <c r="B245" s="57">
        <f>IFERROR(VLOOKUP($A:$A,CS!$A:$AK,3,FALSE),"")</f>
      </c>
      <c r="C245" s="57">
        <f>IFERROR(VLOOKUP($A:$A,CS!$A:$AK,4,FALSE),"")</f>
      </c>
      <c r="D245" s="57">
        <f>IFERROR(VLOOKUP($A:$A,CS!$A:$AK,5,FALSE),"")</f>
      </c>
      <c r="E245" s="57">
        <f>IFERROR(VLOOKUP($A:$A,CS!$A:$AK,7,FALSE),"")</f>
      </c>
      <c r="F245" s="57">
        <f>IFERROR(VLOOKUP($A:$A,CS!$A:$AK,8,FALSE),"")</f>
      </c>
      <c r="G245" s="57">
        <f>IFERROR(VLOOKUP($A:$A,CS!$A:$AK,10,FALSE),"")</f>
      </c>
      <c r="H245" s="57">
        <f>IFERROR(VLOOKUP($A:$A,CS!$A:$AK,14,FALSE),"")</f>
      </c>
      <c r="I245" s="57">
        <f>IFERROR(VLOOKUP($A:$A,CS!$A:$AK,15,FALSE),"")</f>
      </c>
      <c r="J245" s="57">
        <f>IFERROR(VLOOKUP($A:$A,CS!$A:$AK,18,FALSE),"")</f>
      </c>
      <c r="K245" s="57">
        <f>IFERROR(VLOOKUP($A:$A,CS!$A:$AK,19,FALSE),"")</f>
      </c>
      <c r="L245" s="57">
        <f>IFERROR(VLOOKUP($A:$A,CS!$A:$AK,20,FALSE),"")</f>
      </c>
      <c r="M245" s="57">
        <f>IFERROR(VLOOKUP($A:$A,CS!$A:$AK,22,FALSE),"")</f>
      </c>
      <c r="N245" s="57">
        <f>IFERROR(VLOOKUP($A:$A,CS!$A:$AK,19,FALSE),"")</f>
      </c>
      <c r="O245" s="57">
        <f>IFERROR(VLOOKUP($A:$A,CS!$A:$AK,23,FALSE),"")</f>
      </c>
      <c r="P245" s="57">
        <f>IFERROR(VLOOKUP($A:$A,CS!$A:$AK,24,FALSE),"")</f>
      </c>
      <c r="Q245" s="57">
        <f>IFERROR(VLOOKUP($A:$A,CS!$A:$AK,25,FALSE),"")</f>
      </c>
      <c r="R245" s="57">
        <f>IFERROR(VLOOKUP($A:$A,CS!$A:$AK,26,FALSE),"")</f>
      </c>
      <c r="S245" s="57">
        <f>IFERROR(VLOOKUP($A:$A,CS!$A:$AK,29,FALSE),"")</f>
      </c>
      <c r="T245" s="57">
        <f>IFERROR(VLOOKUP($A:$A,CS!$A:$AK,33,FALSE),"")</f>
      </c>
      <c r="U245" s="57">
        <f>IFERROR(VLOOKUP($A:$A,CS!$A:$AK,34,FALSE),"")</f>
      </c>
      <c r="V245" s="57">
        <f>IFERROR(VLOOKUP($A:$A,CS!$A:$AK,35,FALSE),"")</f>
      </c>
      <c r="W245" s="57">
        <f>IFERROR(VLOOKUP($A:$A,CS!$A:$AK,36,FALSE),"")</f>
      </c>
    </row>
    <row r="246" ht="16.5" customHeight="1" spans="1:23" x14ac:dyDescent="0.25">
      <c r="A246" s="71"/>
      <c r="B246" s="57">
        <f>IFERROR(VLOOKUP($A:$A,CS!$A:$AK,3,FALSE),"")</f>
      </c>
      <c r="C246" s="57">
        <f>IFERROR(VLOOKUP($A:$A,CS!$A:$AK,4,FALSE),"")</f>
      </c>
      <c r="D246" s="57">
        <f>IFERROR(VLOOKUP($A:$A,CS!$A:$AK,5,FALSE),"")</f>
      </c>
      <c r="E246" s="57">
        <f>IFERROR(VLOOKUP($A:$A,CS!$A:$AK,7,FALSE),"")</f>
      </c>
      <c r="F246" s="57">
        <f>IFERROR(VLOOKUP($A:$A,CS!$A:$AK,8,FALSE),"")</f>
      </c>
      <c r="G246" s="57">
        <f>IFERROR(VLOOKUP($A:$A,CS!$A:$AK,10,FALSE),"")</f>
      </c>
      <c r="H246" s="57">
        <f>IFERROR(VLOOKUP($A:$A,CS!$A:$AK,14,FALSE),"")</f>
      </c>
      <c r="I246" s="57">
        <f>IFERROR(VLOOKUP($A:$A,CS!$A:$AK,15,FALSE),"")</f>
      </c>
      <c r="J246" s="57">
        <f>IFERROR(VLOOKUP($A:$A,CS!$A:$AK,18,FALSE),"")</f>
      </c>
      <c r="K246" s="57">
        <f>IFERROR(VLOOKUP($A:$A,CS!$A:$AK,19,FALSE),"")</f>
      </c>
      <c r="L246" s="57">
        <f>IFERROR(VLOOKUP($A:$A,CS!$A:$AK,20,FALSE),"")</f>
      </c>
      <c r="M246" s="57">
        <f>IFERROR(VLOOKUP($A:$A,CS!$A:$AK,22,FALSE),"")</f>
      </c>
      <c r="N246" s="57">
        <f>IFERROR(VLOOKUP($A:$A,CS!$A:$AK,19,FALSE),"")</f>
      </c>
      <c r="O246" s="57">
        <f>IFERROR(VLOOKUP($A:$A,CS!$A:$AK,23,FALSE),"")</f>
      </c>
      <c r="P246" s="57">
        <f>IFERROR(VLOOKUP($A:$A,CS!$A:$AK,24,FALSE),"")</f>
      </c>
      <c r="Q246" s="57">
        <f>IFERROR(VLOOKUP($A:$A,CS!$A:$AK,25,FALSE),"")</f>
      </c>
      <c r="R246" s="57">
        <f>IFERROR(VLOOKUP($A:$A,CS!$A:$AK,26,FALSE),"")</f>
      </c>
      <c r="S246" s="57">
        <f>IFERROR(VLOOKUP($A:$A,CS!$A:$AK,29,FALSE),"")</f>
      </c>
      <c r="T246" s="57">
        <f>IFERROR(VLOOKUP($A:$A,CS!$A:$AK,33,FALSE),"")</f>
      </c>
      <c r="U246" s="57">
        <f>IFERROR(VLOOKUP($A:$A,CS!$A:$AK,34,FALSE),"")</f>
      </c>
      <c r="V246" s="57">
        <f>IFERROR(VLOOKUP($A:$A,CS!$A:$AK,35,FALSE),"")</f>
      </c>
      <c r="W246" s="57">
        <f>IFERROR(VLOOKUP($A:$A,CS!$A:$AK,36,FALSE),"")</f>
      </c>
    </row>
    <row r="247" ht="16.5" customHeight="1" spans="1:23" x14ac:dyDescent="0.25">
      <c r="A247" s="71"/>
      <c r="B247" s="57">
        <f>IFERROR(VLOOKUP($A:$A,CS!$A:$AK,3,FALSE),"")</f>
      </c>
      <c r="C247" s="57">
        <f>IFERROR(VLOOKUP($A:$A,CS!$A:$AK,4,FALSE),"")</f>
      </c>
      <c r="D247" s="57">
        <f>IFERROR(VLOOKUP($A:$A,CS!$A:$AK,5,FALSE),"")</f>
      </c>
      <c r="E247" s="57">
        <f>IFERROR(VLOOKUP($A:$A,CS!$A:$AK,7,FALSE),"")</f>
      </c>
      <c r="F247" s="57">
        <f>IFERROR(VLOOKUP($A:$A,CS!$A:$AK,8,FALSE),"")</f>
      </c>
      <c r="G247" s="57">
        <f>IFERROR(VLOOKUP($A:$A,CS!$A:$AK,10,FALSE),"")</f>
      </c>
      <c r="H247" s="57">
        <f>IFERROR(VLOOKUP($A:$A,CS!$A:$AK,14,FALSE),"")</f>
      </c>
      <c r="I247" s="57">
        <f>IFERROR(VLOOKUP($A:$A,CS!$A:$AK,15,FALSE),"")</f>
      </c>
      <c r="J247" s="57">
        <f>IFERROR(VLOOKUP($A:$A,CS!$A:$AK,18,FALSE),"")</f>
      </c>
      <c r="K247" s="57">
        <f>IFERROR(VLOOKUP($A:$A,CS!$A:$AK,19,FALSE),"")</f>
      </c>
      <c r="L247" s="57">
        <f>IFERROR(VLOOKUP($A:$A,CS!$A:$AK,20,FALSE),"")</f>
      </c>
      <c r="M247" s="57">
        <f>IFERROR(VLOOKUP($A:$A,CS!$A:$AK,22,FALSE),"")</f>
      </c>
      <c r="N247" s="57">
        <f>IFERROR(VLOOKUP($A:$A,CS!$A:$AK,19,FALSE),"")</f>
      </c>
      <c r="O247" s="57">
        <f>IFERROR(VLOOKUP($A:$A,CS!$A:$AK,23,FALSE),"")</f>
      </c>
      <c r="P247" s="57">
        <f>IFERROR(VLOOKUP($A:$A,CS!$A:$AK,24,FALSE),"")</f>
      </c>
      <c r="Q247" s="57">
        <f>IFERROR(VLOOKUP($A:$A,CS!$A:$AK,25,FALSE),"")</f>
      </c>
      <c r="R247" s="57">
        <f>IFERROR(VLOOKUP($A:$A,CS!$A:$AK,26,FALSE),"")</f>
      </c>
      <c r="S247" s="57">
        <f>IFERROR(VLOOKUP($A:$A,CS!$A:$AK,29,FALSE),"")</f>
      </c>
      <c r="T247" s="57">
        <f>IFERROR(VLOOKUP($A:$A,CS!$A:$AK,33,FALSE),"")</f>
      </c>
      <c r="U247" s="57">
        <f>IFERROR(VLOOKUP($A:$A,CS!$A:$AK,34,FALSE),"")</f>
      </c>
      <c r="V247" s="57">
        <f>IFERROR(VLOOKUP($A:$A,CS!$A:$AK,35,FALSE),"")</f>
      </c>
      <c r="W247" s="57">
        <f>IFERROR(VLOOKUP($A:$A,CS!$A:$AK,36,FALSE),"")</f>
      </c>
    </row>
    <row r="248" ht="16.5" customHeight="1" spans="1:23" x14ac:dyDescent="0.25">
      <c r="A248" s="71"/>
      <c r="B248" s="57">
        <f>IFERROR(VLOOKUP($A:$A,CS!$A:$AK,3,FALSE),"")</f>
      </c>
      <c r="C248" s="57">
        <f>IFERROR(VLOOKUP($A:$A,CS!$A:$AK,4,FALSE),"")</f>
      </c>
      <c r="D248" s="57">
        <f>IFERROR(VLOOKUP($A:$A,CS!$A:$AK,5,FALSE),"")</f>
      </c>
      <c r="E248" s="57">
        <f>IFERROR(VLOOKUP($A:$A,CS!$A:$AK,7,FALSE),"")</f>
      </c>
      <c r="F248" s="57">
        <f>IFERROR(VLOOKUP($A:$A,CS!$A:$AK,8,FALSE),"")</f>
      </c>
      <c r="G248" s="57">
        <f>IFERROR(VLOOKUP($A:$A,CS!$A:$AK,10,FALSE),"")</f>
      </c>
      <c r="H248" s="57">
        <f>IFERROR(VLOOKUP($A:$A,CS!$A:$AK,14,FALSE),"")</f>
      </c>
      <c r="I248" s="57">
        <f>IFERROR(VLOOKUP($A:$A,CS!$A:$AK,15,FALSE),"")</f>
      </c>
      <c r="J248" s="57">
        <f>IFERROR(VLOOKUP($A:$A,CS!$A:$AK,18,FALSE),"")</f>
      </c>
      <c r="K248" s="57">
        <f>IFERROR(VLOOKUP($A:$A,CS!$A:$AK,19,FALSE),"")</f>
      </c>
      <c r="L248" s="57">
        <f>IFERROR(VLOOKUP($A:$A,CS!$A:$AK,20,FALSE),"")</f>
      </c>
      <c r="M248" s="57">
        <f>IFERROR(VLOOKUP($A:$A,CS!$A:$AK,22,FALSE),"")</f>
      </c>
      <c r="N248" s="57">
        <f>IFERROR(VLOOKUP($A:$A,CS!$A:$AK,19,FALSE),"")</f>
      </c>
      <c r="O248" s="57">
        <f>IFERROR(VLOOKUP($A:$A,CS!$A:$AK,23,FALSE),"")</f>
      </c>
      <c r="P248" s="57">
        <f>IFERROR(VLOOKUP($A:$A,CS!$A:$AK,24,FALSE),"")</f>
      </c>
      <c r="Q248" s="57">
        <f>IFERROR(VLOOKUP($A:$A,CS!$A:$AK,25,FALSE),"")</f>
      </c>
      <c r="R248" s="57">
        <f>IFERROR(VLOOKUP($A:$A,CS!$A:$AK,26,FALSE),"")</f>
      </c>
      <c r="S248" s="57">
        <f>IFERROR(VLOOKUP($A:$A,CS!$A:$AK,29,FALSE),"")</f>
      </c>
      <c r="T248" s="57">
        <f>IFERROR(VLOOKUP($A:$A,CS!$A:$AK,33,FALSE),"")</f>
      </c>
      <c r="U248" s="57">
        <f>IFERROR(VLOOKUP($A:$A,CS!$A:$AK,34,FALSE),"")</f>
      </c>
      <c r="V248" s="57">
        <f>IFERROR(VLOOKUP($A:$A,CS!$A:$AK,35,FALSE),"")</f>
      </c>
      <c r="W248" s="57">
        <f>IFERROR(VLOOKUP($A:$A,CS!$A:$AK,36,FALSE),"")</f>
      </c>
    </row>
    <row r="249" ht="16.5" customHeight="1" spans="1:23" x14ac:dyDescent="0.25">
      <c r="A249" s="71"/>
      <c r="B249" s="57">
        <f>IFERROR(VLOOKUP($A:$A,CS!$A:$AK,3,FALSE),"")</f>
      </c>
      <c r="C249" s="57">
        <f>IFERROR(VLOOKUP($A:$A,CS!$A:$AK,4,FALSE),"")</f>
      </c>
      <c r="D249" s="57">
        <f>IFERROR(VLOOKUP($A:$A,CS!$A:$AK,5,FALSE),"")</f>
      </c>
      <c r="E249" s="57">
        <f>IFERROR(VLOOKUP($A:$A,CS!$A:$AK,7,FALSE),"")</f>
      </c>
      <c r="F249" s="57">
        <f>IFERROR(VLOOKUP($A:$A,CS!$A:$AK,8,FALSE),"")</f>
      </c>
      <c r="G249" s="57">
        <f>IFERROR(VLOOKUP($A:$A,CS!$A:$AK,10,FALSE),"")</f>
      </c>
      <c r="H249" s="57">
        <f>IFERROR(VLOOKUP($A:$A,CS!$A:$AK,14,FALSE),"")</f>
      </c>
      <c r="I249" s="57">
        <f>IFERROR(VLOOKUP($A:$A,CS!$A:$AK,15,FALSE),"")</f>
      </c>
      <c r="J249" s="57">
        <f>IFERROR(VLOOKUP($A:$A,CS!$A:$AK,18,FALSE),"")</f>
      </c>
      <c r="K249" s="57">
        <f>IFERROR(VLOOKUP($A:$A,CS!$A:$AK,19,FALSE),"")</f>
      </c>
      <c r="L249" s="57">
        <f>IFERROR(VLOOKUP($A:$A,CS!$A:$AK,20,FALSE),"")</f>
      </c>
      <c r="M249" s="57">
        <f>IFERROR(VLOOKUP($A:$A,CS!$A:$AK,22,FALSE),"")</f>
      </c>
      <c r="N249" s="57">
        <f>IFERROR(VLOOKUP($A:$A,CS!$A:$AK,19,FALSE),"")</f>
      </c>
      <c r="O249" s="57">
        <f>IFERROR(VLOOKUP($A:$A,CS!$A:$AK,23,FALSE),"")</f>
      </c>
      <c r="P249" s="57">
        <f>IFERROR(VLOOKUP($A:$A,CS!$A:$AK,24,FALSE),"")</f>
      </c>
      <c r="Q249" s="57">
        <f>IFERROR(VLOOKUP($A:$A,CS!$A:$AK,25,FALSE),"")</f>
      </c>
      <c r="R249" s="57">
        <f>IFERROR(VLOOKUP($A:$A,CS!$A:$AK,26,FALSE),"")</f>
      </c>
      <c r="S249" s="57">
        <f>IFERROR(VLOOKUP($A:$A,CS!$A:$AK,29,FALSE),"")</f>
      </c>
      <c r="T249" s="57">
        <f>IFERROR(VLOOKUP($A:$A,CS!$A:$AK,33,FALSE),"")</f>
      </c>
      <c r="U249" s="57">
        <f>IFERROR(VLOOKUP($A:$A,CS!$A:$AK,34,FALSE),"")</f>
      </c>
      <c r="V249" s="57">
        <f>IFERROR(VLOOKUP($A:$A,CS!$A:$AK,35,FALSE),"")</f>
      </c>
      <c r="W249" s="57">
        <f>IFERROR(VLOOKUP($A:$A,CS!$A:$AK,36,FALSE),"")</f>
      </c>
    </row>
    <row r="250" ht="16.5" customHeight="1" spans="1:23" x14ac:dyDescent="0.25">
      <c r="A250" s="71"/>
      <c r="B250" s="57">
        <f>IFERROR(VLOOKUP($A:$A,CS!$A:$AK,3,FALSE),"")</f>
      </c>
      <c r="C250" s="57">
        <f>IFERROR(VLOOKUP($A:$A,CS!$A:$AK,4,FALSE),"")</f>
      </c>
      <c r="D250" s="57">
        <f>IFERROR(VLOOKUP($A:$A,CS!$A:$AK,5,FALSE),"")</f>
      </c>
      <c r="E250" s="57">
        <f>IFERROR(VLOOKUP($A:$A,CS!$A:$AK,7,FALSE),"")</f>
      </c>
      <c r="F250" s="57">
        <f>IFERROR(VLOOKUP($A:$A,CS!$A:$AK,8,FALSE),"")</f>
      </c>
      <c r="G250" s="57">
        <f>IFERROR(VLOOKUP($A:$A,CS!$A:$AK,10,FALSE),"")</f>
      </c>
      <c r="H250" s="57">
        <f>IFERROR(VLOOKUP($A:$A,CS!$A:$AK,14,FALSE),"")</f>
      </c>
      <c r="I250" s="57">
        <f>IFERROR(VLOOKUP($A:$A,CS!$A:$AK,15,FALSE),"")</f>
      </c>
      <c r="J250" s="57">
        <f>IFERROR(VLOOKUP($A:$A,CS!$A:$AK,18,FALSE),"")</f>
      </c>
      <c r="K250" s="57">
        <f>IFERROR(VLOOKUP($A:$A,CS!$A:$AK,19,FALSE),"")</f>
      </c>
      <c r="L250" s="57">
        <f>IFERROR(VLOOKUP($A:$A,CS!$A:$AK,20,FALSE),"")</f>
      </c>
      <c r="M250" s="57">
        <f>IFERROR(VLOOKUP($A:$A,CS!$A:$AK,22,FALSE),"")</f>
      </c>
      <c r="N250" s="57">
        <f>IFERROR(VLOOKUP($A:$A,CS!$A:$AK,19,FALSE),"")</f>
      </c>
      <c r="O250" s="57">
        <f>IFERROR(VLOOKUP($A:$A,CS!$A:$AK,23,FALSE),"")</f>
      </c>
      <c r="P250" s="57">
        <f>IFERROR(VLOOKUP($A:$A,CS!$A:$AK,24,FALSE),"")</f>
      </c>
      <c r="Q250" s="57">
        <f>IFERROR(VLOOKUP($A:$A,CS!$A:$AK,25,FALSE),"")</f>
      </c>
      <c r="R250" s="57">
        <f>IFERROR(VLOOKUP($A:$A,CS!$A:$AK,26,FALSE),"")</f>
      </c>
      <c r="S250" s="57">
        <f>IFERROR(VLOOKUP($A:$A,CS!$A:$AK,29,FALSE),"")</f>
      </c>
      <c r="T250" s="57">
        <f>IFERROR(VLOOKUP($A:$A,CS!$A:$AK,33,FALSE),"")</f>
      </c>
      <c r="U250" s="57">
        <f>IFERROR(VLOOKUP($A:$A,CS!$A:$AK,34,FALSE),"")</f>
      </c>
      <c r="V250" s="57">
        <f>IFERROR(VLOOKUP($A:$A,CS!$A:$AK,35,FALSE),"")</f>
      </c>
      <c r="W250" s="57">
        <f>IFERROR(VLOOKUP($A:$A,CS!$A:$AK,36,FALSE),"")</f>
      </c>
    </row>
    <row r="251" ht="16.5" customHeight="1" spans="1:23" x14ac:dyDescent="0.25">
      <c r="A251" s="71"/>
      <c r="B251" s="57">
        <f>IFERROR(VLOOKUP($A:$A,CS!$A:$AK,3,FALSE),"")</f>
      </c>
      <c r="C251" s="57">
        <f>IFERROR(VLOOKUP($A:$A,CS!$A:$AK,4,FALSE),"")</f>
      </c>
      <c r="D251" s="57">
        <f>IFERROR(VLOOKUP($A:$A,CS!$A:$AK,5,FALSE),"")</f>
      </c>
      <c r="E251" s="57">
        <f>IFERROR(VLOOKUP($A:$A,CS!$A:$AK,7,FALSE),"")</f>
      </c>
      <c r="F251" s="57">
        <f>IFERROR(VLOOKUP($A:$A,CS!$A:$AK,8,FALSE),"")</f>
      </c>
      <c r="G251" s="57">
        <f>IFERROR(VLOOKUP($A:$A,CS!$A:$AK,10,FALSE),"")</f>
      </c>
      <c r="H251" s="57">
        <f>IFERROR(VLOOKUP($A:$A,CS!$A:$AK,14,FALSE),"")</f>
      </c>
      <c r="I251" s="57">
        <f>IFERROR(VLOOKUP($A:$A,CS!$A:$AK,15,FALSE),"")</f>
      </c>
      <c r="J251" s="57">
        <f>IFERROR(VLOOKUP($A:$A,CS!$A:$AK,18,FALSE),"")</f>
      </c>
      <c r="K251" s="57">
        <f>IFERROR(VLOOKUP($A:$A,CS!$A:$AK,19,FALSE),"")</f>
      </c>
      <c r="L251" s="57">
        <f>IFERROR(VLOOKUP($A:$A,CS!$A:$AK,20,FALSE),"")</f>
      </c>
      <c r="M251" s="57">
        <f>IFERROR(VLOOKUP($A:$A,CS!$A:$AK,22,FALSE),"")</f>
      </c>
      <c r="N251" s="57">
        <f>IFERROR(VLOOKUP($A:$A,CS!$A:$AK,19,FALSE),"")</f>
      </c>
      <c r="O251" s="57">
        <f>IFERROR(VLOOKUP($A:$A,CS!$A:$AK,23,FALSE),"")</f>
      </c>
      <c r="P251" s="57">
        <f>IFERROR(VLOOKUP($A:$A,CS!$A:$AK,24,FALSE),"")</f>
      </c>
      <c r="Q251" s="57">
        <f>IFERROR(VLOOKUP($A:$A,CS!$A:$AK,25,FALSE),"")</f>
      </c>
      <c r="R251" s="57">
        <f>IFERROR(VLOOKUP($A:$A,CS!$A:$AK,26,FALSE),"")</f>
      </c>
      <c r="S251" s="57">
        <f>IFERROR(VLOOKUP($A:$A,CS!$A:$AK,29,FALSE),"")</f>
      </c>
      <c r="T251" s="57">
        <f>IFERROR(VLOOKUP($A:$A,CS!$A:$AK,33,FALSE),"")</f>
      </c>
      <c r="U251" s="57">
        <f>IFERROR(VLOOKUP($A:$A,CS!$A:$AK,34,FALSE),"")</f>
      </c>
      <c r="V251" s="57">
        <f>IFERROR(VLOOKUP($A:$A,CS!$A:$AK,35,FALSE),"")</f>
      </c>
      <c r="W251" s="57">
        <f>IFERROR(VLOOKUP($A:$A,CS!$A:$AK,36,FALSE),"")</f>
      </c>
    </row>
    <row r="252" ht="16.5" customHeight="1" spans="1:23" x14ac:dyDescent="0.25">
      <c r="A252" s="71"/>
      <c r="B252" s="57">
        <f>IFERROR(VLOOKUP($A:$A,CS!$A:$AK,3,FALSE),"")</f>
      </c>
      <c r="C252" s="57">
        <f>IFERROR(VLOOKUP($A:$A,CS!$A:$AK,4,FALSE),"")</f>
      </c>
      <c r="D252" s="57">
        <f>IFERROR(VLOOKUP($A:$A,CS!$A:$AK,5,FALSE),"")</f>
      </c>
      <c r="E252" s="57">
        <f>IFERROR(VLOOKUP($A:$A,CS!$A:$AK,7,FALSE),"")</f>
      </c>
      <c r="F252" s="57">
        <f>IFERROR(VLOOKUP($A:$A,CS!$A:$AK,8,FALSE),"")</f>
      </c>
      <c r="G252" s="57">
        <f>IFERROR(VLOOKUP($A:$A,CS!$A:$AK,10,FALSE),"")</f>
      </c>
      <c r="H252" s="57">
        <f>IFERROR(VLOOKUP($A:$A,CS!$A:$AK,14,FALSE),"")</f>
      </c>
      <c r="I252" s="57">
        <f>IFERROR(VLOOKUP($A:$A,CS!$A:$AK,15,FALSE),"")</f>
      </c>
      <c r="J252" s="57">
        <f>IFERROR(VLOOKUP($A:$A,CS!$A:$AK,18,FALSE),"")</f>
      </c>
      <c r="K252" s="57">
        <f>IFERROR(VLOOKUP($A:$A,CS!$A:$AK,19,FALSE),"")</f>
      </c>
      <c r="L252" s="57">
        <f>IFERROR(VLOOKUP($A:$A,CS!$A:$AK,20,FALSE),"")</f>
      </c>
      <c r="M252" s="57">
        <f>IFERROR(VLOOKUP($A:$A,CS!$A:$AK,22,FALSE),"")</f>
      </c>
      <c r="N252" s="57">
        <f>IFERROR(VLOOKUP($A:$A,CS!$A:$AK,19,FALSE),"")</f>
      </c>
      <c r="O252" s="57">
        <f>IFERROR(VLOOKUP($A:$A,CS!$A:$AK,23,FALSE),"")</f>
      </c>
      <c r="P252" s="57">
        <f>IFERROR(VLOOKUP($A:$A,CS!$A:$AK,24,FALSE),"")</f>
      </c>
      <c r="Q252" s="57">
        <f>IFERROR(VLOOKUP($A:$A,CS!$A:$AK,25,FALSE),"")</f>
      </c>
      <c r="R252" s="57">
        <f>IFERROR(VLOOKUP($A:$A,CS!$A:$AK,26,FALSE),"")</f>
      </c>
      <c r="S252" s="57">
        <f>IFERROR(VLOOKUP($A:$A,CS!$A:$AK,29,FALSE),"")</f>
      </c>
      <c r="T252" s="57">
        <f>IFERROR(VLOOKUP($A:$A,CS!$A:$AK,33,FALSE),"")</f>
      </c>
      <c r="U252" s="57">
        <f>IFERROR(VLOOKUP($A:$A,CS!$A:$AK,34,FALSE),"")</f>
      </c>
      <c r="V252" s="57">
        <f>IFERROR(VLOOKUP($A:$A,CS!$A:$AK,35,FALSE),"")</f>
      </c>
      <c r="W252" s="57">
        <f>IFERROR(VLOOKUP($A:$A,CS!$A:$AK,36,FALSE),"")</f>
      </c>
    </row>
    <row r="253" ht="16.5" customHeight="1" spans="1:23" x14ac:dyDescent="0.25">
      <c r="A253" s="71"/>
      <c r="B253" s="57">
        <f>IFERROR(VLOOKUP($A:$A,CS!$A:$AK,3,FALSE),"")</f>
      </c>
      <c r="C253" s="57">
        <f>IFERROR(VLOOKUP($A:$A,CS!$A:$AK,4,FALSE),"")</f>
      </c>
      <c r="D253" s="57">
        <f>IFERROR(VLOOKUP($A:$A,CS!$A:$AK,5,FALSE),"")</f>
      </c>
      <c r="E253" s="57">
        <f>IFERROR(VLOOKUP($A:$A,CS!$A:$AK,7,FALSE),"")</f>
      </c>
      <c r="F253" s="57">
        <f>IFERROR(VLOOKUP($A:$A,CS!$A:$AK,8,FALSE),"")</f>
      </c>
      <c r="G253" s="57">
        <f>IFERROR(VLOOKUP($A:$A,CS!$A:$AK,10,FALSE),"")</f>
      </c>
      <c r="H253" s="57">
        <f>IFERROR(VLOOKUP($A:$A,CS!$A:$AK,14,FALSE),"")</f>
      </c>
      <c r="I253" s="57">
        <f>IFERROR(VLOOKUP($A:$A,CS!$A:$AK,15,FALSE),"")</f>
      </c>
      <c r="J253" s="57">
        <f>IFERROR(VLOOKUP($A:$A,CS!$A:$AK,18,FALSE),"")</f>
      </c>
      <c r="K253" s="57">
        <f>IFERROR(VLOOKUP($A:$A,CS!$A:$AK,19,FALSE),"")</f>
      </c>
      <c r="L253" s="57">
        <f>IFERROR(VLOOKUP($A:$A,CS!$A:$AK,20,FALSE),"")</f>
      </c>
      <c r="M253" s="57">
        <f>IFERROR(VLOOKUP($A:$A,CS!$A:$AK,22,FALSE),"")</f>
      </c>
      <c r="N253" s="57">
        <f>IFERROR(VLOOKUP($A:$A,CS!$A:$AK,19,FALSE),"")</f>
      </c>
      <c r="O253" s="57">
        <f>IFERROR(VLOOKUP($A:$A,CS!$A:$AK,23,FALSE),"")</f>
      </c>
      <c r="P253" s="57">
        <f>IFERROR(VLOOKUP($A:$A,CS!$A:$AK,24,FALSE),"")</f>
      </c>
      <c r="Q253" s="57">
        <f>IFERROR(VLOOKUP($A:$A,CS!$A:$AK,25,FALSE),"")</f>
      </c>
      <c r="R253" s="57">
        <f>IFERROR(VLOOKUP($A:$A,CS!$A:$AK,26,FALSE),"")</f>
      </c>
      <c r="S253" s="57">
        <f>IFERROR(VLOOKUP($A:$A,CS!$A:$AK,29,FALSE),"")</f>
      </c>
      <c r="T253" s="57">
        <f>IFERROR(VLOOKUP($A:$A,CS!$A:$AK,33,FALSE),"")</f>
      </c>
      <c r="U253" s="57">
        <f>IFERROR(VLOOKUP($A:$A,CS!$A:$AK,34,FALSE),"")</f>
      </c>
      <c r="V253" s="57">
        <f>IFERROR(VLOOKUP($A:$A,CS!$A:$AK,35,FALSE),"")</f>
      </c>
      <c r="W253" s="57">
        <f>IFERROR(VLOOKUP($A:$A,CS!$A:$AK,36,FALSE),"")</f>
      </c>
    </row>
    <row r="254" ht="16.5" customHeight="1" spans="1:23" x14ac:dyDescent="0.25">
      <c r="A254" s="71"/>
      <c r="B254" s="57">
        <f>IFERROR(VLOOKUP($A:$A,CS!$A:$AK,3,FALSE),"")</f>
      </c>
      <c r="C254" s="57">
        <f>IFERROR(VLOOKUP($A:$A,CS!$A:$AK,4,FALSE),"")</f>
      </c>
      <c r="D254" s="57">
        <f>IFERROR(VLOOKUP($A:$A,CS!$A:$AK,5,FALSE),"")</f>
      </c>
      <c r="E254" s="57">
        <f>IFERROR(VLOOKUP($A:$A,CS!$A:$AK,7,FALSE),"")</f>
      </c>
      <c r="F254" s="57">
        <f>IFERROR(VLOOKUP($A:$A,CS!$A:$AK,8,FALSE),"")</f>
      </c>
      <c r="G254" s="57">
        <f>IFERROR(VLOOKUP($A:$A,CS!$A:$AK,10,FALSE),"")</f>
      </c>
      <c r="H254" s="57">
        <f>IFERROR(VLOOKUP($A:$A,CS!$A:$AK,14,FALSE),"")</f>
      </c>
      <c r="I254" s="57">
        <f>IFERROR(VLOOKUP($A:$A,CS!$A:$AK,15,FALSE),"")</f>
      </c>
      <c r="J254" s="57">
        <f>IFERROR(VLOOKUP($A:$A,CS!$A:$AK,18,FALSE),"")</f>
      </c>
      <c r="K254" s="57">
        <f>IFERROR(VLOOKUP($A:$A,CS!$A:$AK,19,FALSE),"")</f>
      </c>
      <c r="L254" s="57">
        <f>IFERROR(VLOOKUP($A:$A,CS!$A:$AK,20,FALSE),"")</f>
      </c>
      <c r="M254" s="57">
        <f>IFERROR(VLOOKUP($A:$A,CS!$A:$AK,22,FALSE),"")</f>
      </c>
      <c r="N254" s="57">
        <f>IFERROR(VLOOKUP($A:$A,CS!$A:$AK,19,FALSE),"")</f>
      </c>
      <c r="O254" s="57">
        <f>IFERROR(VLOOKUP($A:$A,CS!$A:$AK,23,FALSE),"")</f>
      </c>
      <c r="P254" s="57">
        <f>IFERROR(VLOOKUP($A:$A,CS!$A:$AK,24,FALSE),"")</f>
      </c>
      <c r="Q254" s="57">
        <f>IFERROR(VLOOKUP($A:$A,CS!$A:$AK,25,FALSE),"")</f>
      </c>
      <c r="R254" s="57">
        <f>IFERROR(VLOOKUP($A:$A,CS!$A:$AK,26,FALSE),"")</f>
      </c>
      <c r="S254" s="57">
        <f>IFERROR(VLOOKUP($A:$A,CS!$A:$AK,29,FALSE),"")</f>
      </c>
      <c r="T254" s="57">
        <f>IFERROR(VLOOKUP($A:$A,CS!$A:$AK,33,FALSE),"")</f>
      </c>
      <c r="U254" s="57">
        <f>IFERROR(VLOOKUP($A:$A,CS!$A:$AK,34,FALSE),"")</f>
      </c>
      <c r="V254" s="57">
        <f>IFERROR(VLOOKUP($A:$A,CS!$A:$AK,35,FALSE),"")</f>
      </c>
      <c r="W254" s="57">
        <f>IFERROR(VLOOKUP($A:$A,CS!$A:$AK,36,FALSE),"")</f>
      </c>
    </row>
    <row r="255" ht="16.5" customHeight="1" spans="1:23" x14ac:dyDescent="0.25">
      <c r="A255" s="71"/>
      <c r="B255" s="57">
        <f>IFERROR(VLOOKUP($A:$A,CS!$A:$AK,3,FALSE),"")</f>
      </c>
      <c r="C255" s="57">
        <f>IFERROR(VLOOKUP($A:$A,CS!$A:$AK,4,FALSE),"")</f>
      </c>
      <c r="D255" s="57">
        <f>IFERROR(VLOOKUP($A:$A,CS!$A:$AK,5,FALSE),"")</f>
      </c>
      <c r="E255" s="57">
        <f>IFERROR(VLOOKUP($A:$A,CS!$A:$AK,7,FALSE),"")</f>
      </c>
      <c r="F255" s="57">
        <f>IFERROR(VLOOKUP($A:$A,CS!$A:$AK,8,FALSE),"")</f>
      </c>
      <c r="G255" s="57">
        <f>IFERROR(VLOOKUP($A:$A,CS!$A:$AK,10,FALSE),"")</f>
      </c>
      <c r="H255" s="57">
        <f>IFERROR(VLOOKUP($A:$A,CS!$A:$AK,14,FALSE),"")</f>
      </c>
      <c r="I255" s="57">
        <f>IFERROR(VLOOKUP($A:$A,CS!$A:$AK,15,FALSE),"")</f>
      </c>
      <c r="J255" s="57">
        <f>IFERROR(VLOOKUP($A:$A,CS!$A:$AK,18,FALSE),"")</f>
      </c>
      <c r="K255" s="57">
        <f>IFERROR(VLOOKUP($A:$A,CS!$A:$AK,19,FALSE),"")</f>
      </c>
      <c r="L255" s="57">
        <f>IFERROR(VLOOKUP($A:$A,CS!$A:$AK,20,FALSE),"")</f>
      </c>
      <c r="M255" s="57">
        <f>IFERROR(VLOOKUP($A:$A,CS!$A:$AK,22,FALSE),"")</f>
      </c>
      <c r="N255" s="57">
        <f>IFERROR(VLOOKUP($A:$A,CS!$A:$AK,19,FALSE),"")</f>
      </c>
      <c r="O255" s="57">
        <f>IFERROR(VLOOKUP($A:$A,CS!$A:$AK,23,FALSE),"")</f>
      </c>
      <c r="P255" s="57">
        <f>IFERROR(VLOOKUP($A:$A,CS!$A:$AK,24,FALSE),"")</f>
      </c>
      <c r="Q255" s="57">
        <f>IFERROR(VLOOKUP($A:$A,CS!$A:$AK,25,FALSE),"")</f>
      </c>
      <c r="R255" s="57">
        <f>IFERROR(VLOOKUP($A:$A,CS!$A:$AK,26,FALSE),"")</f>
      </c>
      <c r="S255" s="57">
        <f>IFERROR(VLOOKUP($A:$A,CS!$A:$AK,29,FALSE),"")</f>
      </c>
      <c r="T255" s="57">
        <f>IFERROR(VLOOKUP($A:$A,CS!$A:$AK,33,FALSE),"")</f>
      </c>
      <c r="U255" s="57">
        <f>IFERROR(VLOOKUP($A:$A,CS!$A:$AK,34,FALSE),"")</f>
      </c>
      <c r="V255" s="57">
        <f>IFERROR(VLOOKUP($A:$A,CS!$A:$AK,35,FALSE),"")</f>
      </c>
      <c r="W255" s="57">
        <f>IFERROR(VLOOKUP($A:$A,CS!$A:$AK,36,FALSE),"")</f>
      </c>
    </row>
    <row r="256" ht="16.5" customHeight="1" spans="1:23" x14ac:dyDescent="0.25">
      <c r="A256" s="71"/>
      <c r="B256" s="57">
        <f>IFERROR(VLOOKUP($A:$A,CS!$A:$AK,3,FALSE),"")</f>
      </c>
      <c r="C256" s="57">
        <f>IFERROR(VLOOKUP($A:$A,CS!$A:$AK,4,FALSE),"")</f>
      </c>
      <c r="D256" s="57">
        <f>IFERROR(VLOOKUP($A:$A,CS!$A:$AK,5,FALSE),"")</f>
      </c>
      <c r="E256" s="57">
        <f>IFERROR(VLOOKUP($A:$A,CS!$A:$AK,7,FALSE),"")</f>
      </c>
      <c r="F256" s="57">
        <f>IFERROR(VLOOKUP($A:$A,CS!$A:$AK,8,FALSE),"")</f>
      </c>
      <c r="G256" s="57">
        <f>IFERROR(VLOOKUP($A:$A,CS!$A:$AK,10,FALSE),"")</f>
      </c>
      <c r="H256" s="57">
        <f>IFERROR(VLOOKUP($A:$A,CS!$A:$AK,14,FALSE),"")</f>
      </c>
      <c r="I256" s="57">
        <f>IFERROR(VLOOKUP($A:$A,CS!$A:$AK,15,FALSE),"")</f>
      </c>
      <c r="J256" s="57">
        <f>IFERROR(VLOOKUP($A:$A,CS!$A:$AK,18,FALSE),"")</f>
      </c>
      <c r="K256" s="57">
        <f>IFERROR(VLOOKUP($A:$A,CS!$A:$AK,19,FALSE),"")</f>
      </c>
      <c r="L256" s="57">
        <f>IFERROR(VLOOKUP($A:$A,CS!$A:$AK,20,FALSE),"")</f>
      </c>
      <c r="M256" s="57">
        <f>IFERROR(VLOOKUP($A:$A,CS!$A:$AK,22,FALSE),"")</f>
      </c>
      <c r="N256" s="57">
        <f>IFERROR(VLOOKUP($A:$A,CS!$A:$AK,19,FALSE),"")</f>
      </c>
      <c r="O256" s="57">
        <f>IFERROR(VLOOKUP($A:$A,CS!$A:$AK,23,FALSE),"")</f>
      </c>
      <c r="P256" s="57">
        <f>IFERROR(VLOOKUP($A:$A,CS!$A:$AK,24,FALSE),"")</f>
      </c>
      <c r="Q256" s="57">
        <f>IFERROR(VLOOKUP($A:$A,CS!$A:$AK,25,FALSE),"")</f>
      </c>
      <c r="R256" s="57">
        <f>IFERROR(VLOOKUP($A:$A,CS!$A:$AK,26,FALSE),"")</f>
      </c>
      <c r="S256" s="57">
        <f>IFERROR(VLOOKUP($A:$A,CS!$A:$AK,29,FALSE),"")</f>
      </c>
      <c r="T256" s="57">
        <f>IFERROR(VLOOKUP($A:$A,CS!$A:$AK,33,FALSE),"")</f>
      </c>
      <c r="U256" s="57">
        <f>IFERROR(VLOOKUP($A:$A,CS!$A:$AK,34,FALSE),"")</f>
      </c>
      <c r="V256" s="57">
        <f>IFERROR(VLOOKUP($A:$A,CS!$A:$AK,35,FALSE),"")</f>
      </c>
      <c r="W256" s="57">
        <f>IFERROR(VLOOKUP($A:$A,CS!$A:$AK,36,FALSE),"")</f>
      </c>
    </row>
    <row r="257" ht="16.5" customHeight="1" spans="1:23" x14ac:dyDescent="0.25">
      <c r="A257" s="71"/>
      <c r="B257" s="57">
        <f>IFERROR(VLOOKUP($A:$A,CS!$A:$AK,3,FALSE),"")</f>
      </c>
      <c r="C257" s="57">
        <f>IFERROR(VLOOKUP($A:$A,CS!$A:$AK,4,FALSE),"")</f>
      </c>
      <c r="D257" s="57">
        <f>IFERROR(VLOOKUP($A:$A,CS!$A:$AK,5,FALSE),"")</f>
      </c>
      <c r="E257" s="57">
        <f>IFERROR(VLOOKUP($A:$A,CS!$A:$AK,7,FALSE),"")</f>
      </c>
      <c r="F257" s="57">
        <f>IFERROR(VLOOKUP($A:$A,CS!$A:$AK,8,FALSE),"")</f>
      </c>
      <c r="G257" s="57">
        <f>IFERROR(VLOOKUP($A:$A,CS!$A:$AK,10,FALSE),"")</f>
      </c>
      <c r="H257" s="57">
        <f>IFERROR(VLOOKUP($A:$A,CS!$A:$AK,14,FALSE),"")</f>
      </c>
      <c r="I257" s="57">
        <f>IFERROR(VLOOKUP($A:$A,CS!$A:$AK,15,FALSE),"")</f>
      </c>
      <c r="J257" s="57">
        <f>IFERROR(VLOOKUP($A:$A,CS!$A:$AK,18,FALSE),"")</f>
      </c>
      <c r="K257" s="57">
        <f>IFERROR(VLOOKUP($A:$A,CS!$A:$AK,19,FALSE),"")</f>
      </c>
      <c r="L257" s="57">
        <f>IFERROR(VLOOKUP($A:$A,CS!$A:$AK,20,FALSE),"")</f>
      </c>
      <c r="M257" s="57">
        <f>IFERROR(VLOOKUP($A:$A,CS!$A:$AK,22,FALSE),"")</f>
      </c>
      <c r="N257" s="57">
        <f>IFERROR(VLOOKUP($A:$A,CS!$A:$AK,19,FALSE),"")</f>
      </c>
      <c r="O257" s="57">
        <f>IFERROR(VLOOKUP($A:$A,CS!$A:$AK,23,FALSE),"")</f>
      </c>
      <c r="P257" s="57">
        <f>IFERROR(VLOOKUP($A:$A,CS!$A:$AK,24,FALSE),"")</f>
      </c>
      <c r="Q257" s="57">
        <f>IFERROR(VLOOKUP($A:$A,CS!$A:$AK,25,FALSE),"")</f>
      </c>
      <c r="R257" s="57">
        <f>IFERROR(VLOOKUP($A:$A,CS!$A:$AK,26,FALSE),"")</f>
      </c>
      <c r="S257" s="57">
        <f>IFERROR(VLOOKUP($A:$A,CS!$A:$AK,29,FALSE),"")</f>
      </c>
      <c r="T257" s="57">
        <f>IFERROR(VLOOKUP($A:$A,CS!$A:$AK,33,FALSE),"")</f>
      </c>
      <c r="U257" s="57">
        <f>IFERROR(VLOOKUP($A:$A,CS!$A:$AK,34,FALSE),"")</f>
      </c>
      <c r="V257" s="57">
        <f>IFERROR(VLOOKUP($A:$A,CS!$A:$AK,35,FALSE),"")</f>
      </c>
      <c r="W257" s="57">
        <f>IFERROR(VLOOKUP($A:$A,CS!$A:$AK,36,FALSE),"")</f>
      </c>
    </row>
    <row r="258" ht="16.5" customHeight="1" spans="1:23" x14ac:dyDescent="0.25">
      <c r="A258" s="71"/>
      <c r="B258" s="57">
        <f>IFERROR(VLOOKUP($A:$A,CS!$A:$AK,3,FALSE),"")</f>
      </c>
      <c r="C258" s="57">
        <f>IFERROR(VLOOKUP($A:$A,CS!$A:$AK,4,FALSE),"")</f>
      </c>
      <c r="D258" s="57">
        <f>IFERROR(VLOOKUP($A:$A,CS!$A:$AK,5,FALSE),"")</f>
      </c>
      <c r="E258" s="57">
        <f>IFERROR(VLOOKUP($A:$A,CS!$A:$AK,7,FALSE),"")</f>
      </c>
      <c r="F258" s="57">
        <f>IFERROR(VLOOKUP($A:$A,CS!$A:$AK,8,FALSE),"")</f>
      </c>
      <c r="G258" s="57">
        <f>IFERROR(VLOOKUP($A:$A,CS!$A:$AK,10,FALSE),"")</f>
      </c>
      <c r="H258" s="57">
        <f>IFERROR(VLOOKUP($A:$A,CS!$A:$AK,14,FALSE),"")</f>
      </c>
      <c r="I258" s="57">
        <f>IFERROR(VLOOKUP($A:$A,CS!$A:$AK,15,FALSE),"")</f>
      </c>
      <c r="J258" s="57">
        <f>IFERROR(VLOOKUP($A:$A,CS!$A:$AK,18,FALSE),"")</f>
      </c>
      <c r="K258" s="57">
        <f>IFERROR(VLOOKUP($A:$A,CS!$A:$AK,19,FALSE),"")</f>
      </c>
      <c r="L258" s="57">
        <f>IFERROR(VLOOKUP($A:$A,CS!$A:$AK,20,FALSE),"")</f>
      </c>
      <c r="M258" s="57">
        <f>IFERROR(VLOOKUP($A:$A,CS!$A:$AK,22,FALSE),"")</f>
      </c>
      <c r="N258" s="57">
        <f>IFERROR(VLOOKUP($A:$A,CS!$A:$AK,19,FALSE),"")</f>
      </c>
      <c r="O258" s="57">
        <f>IFERROR(VLOOKUP($A:$A,CS!$A:$AK,23,FALSE),"")</f>
      </c>
      <c r="P258" s="57">
        <f>IFERROR(VLOOKUP($A:$A,CS!$A:$AK,24,FALSE),"")</f>
      </c>
      <c r="Q258" s="57">
        <f>IFERROR(VLOOKUP($A:$A,CS!$A:$AK,25,FALSE),"")</f>
      </c>
      <c r="R258" s="57">
        <f>IFERROR(VLOOKUP($A:$A,CS!$A:$AK,26,FALSE),"")</f>
      </c>
      <c r="S258" s="57">
        <f>IFERROR(VLOOKUP($A:$A,CS!$A:$AK,29,FALSE),"")</f>
      </c>
      <c r="T258" s="57">
        <f>IFERROR(VLOOKUP($A:$A,CS!$A:$AK,33,FALSE),"")</f>
      </c>
      <c r="U258" s="57">
        <f>IFERROR(VLOOKUP($A:$A,CS!$A:$AK,34,FALSE),"")</f>
      </c>
      <c r="V258" s="57">
        <f>IFERROR(VLOOKUP($A:$A,CS!$A:$AK,35,FALSE),"")</f>
      </c>
      <c r="W258" s="57">
        <f>IFERROR(VLOOKUP($A:$A,CS!$A:$AK,36,FALSE),"")</f>
      </c>
    </row>
    <row r="259" ht="16.5" customHeight="1" spans="1:23" x14ac:dyDescent="0.25">
      <c r="A259" s="71"/>
      <c r="B259" s="57">
        <f>IFERROR(VLOOKUP($A:$A,CS!$A:$AK,3,FALSE),"")</f>
      </c>
      <c r="C259" s="57">
        <f>IFERROR(VLOOKUP($A:$A,CS!$A:$AK,4,FALSE),"")</f>
      </c>
      <c r="D259" s="57">
        <f>IFERROR(VLOOKUP($A:$A,CS!$A:$AK,5,FALSE),"")</f>
      </c>
      <c r="E259" s="57">
        <f>IFERROR(VLOOKUP($A:$A,CS!$A:$AK,7,FALSE),"")</f>
      </c>
      <c r="F259" s="57">
        <f>IFERROR(VLOOKUP($A:$A,CS!$A:$AK,8,FALSE),"")</f>
      </c>
      <c r="G259" s="57">
        <f>IFERROR(VLOOKUP($A:$A,CS!$A:$AK,10,FALSE),"")</f>
      </c>
      <c r="H259" s="57">
        <f>IFERROR(VLOOKUP($A:$A,CS!$A:$AK,14,FALSE),"")</f>
      </c>
      <c r="I259" s="57">
        <f>IFERROR(VLOOKUP($A:$A,CS!$A:$AK,15,FALSE),"")</f>
      </c>
      <c r="J259" s="57">
        <f>IFERROR(VLOOKUP($A:$A,CS!$A:$AK,18,FALSE),"")</f>
      </c>
      <c r="K259" s="57">
        <f>IFERROR(VLOOKUP($A:$A,CS!$A:$AK,19,FALSE),"")</f>
      </c>
      <c r="L259" s="57">
        <f>IFERROR(VLOOKUP($A:$A,CS!$A:$AK,20,FALSE),"")</f>
      </c>
      <c r="M259" s="57">
        <f>IFERROR(VLOOKUP($A:$A,CS!$A:$AK,22,FALSE),"")</f>
      </c>
      <c r="N259" s="57">
        <f>IFERROR(VLOOKUP($A:$A,CS!$A:$AK,19,FALSE),"")</f>
      </c>
      <c r="O259" s="57">
        <f>IFERROR(VLOOKUP($A:$A,CS!$A:$AK,23,FALSE),"")</f>
      </c>
      <c r="P259" s="57">
        <f>IFERROR(VLOOKUP($A:$A,CS!$A:$AK,24,FALSE),"")</f>
      </c>
      <c r="Q259" s="57">
        <f>IFERROR(VLOOKUP($A:$A,CS!$A:$AK,25,FALSE),"")</f>
      </c>
      <c r="R259" s="57">
        <f>IFERROR(VLOOKUP($A:$A,CS!$A:$AK,26,FALSE),"")</f>
      </c>
      <c r="S259" s="57">
        <f>IFERROR(VLOOKUP($A:$A,CS!$A:$AK,29,FALSE),"")</f>
      </c>
      <c r="T259" s="57">
        <f>IFERROR(VLOOKUP($A:$A,CS!$A:$AK,33,FALSE),"")</f>
      </c>
      <c r="U259" s="57">
        <f>IFERROR(VLOOKUP($A:$A,CS!$A:$AK,34,FALSE),"")</f>
      </c>
      <c r="V259" s="57">
        <f>IFERROR(VLOOKUP($A:$A,CS!$A:$AK,35,FALSE),"")</f>
      </c>
      <c r="W259" s="57">
        <f>IFERROR(VLOOKUP($A:$A,CS!$A:$AK,36,FALSE),"")</f>
      </c>
    </row>
    <row r="260" ht="16.5" customHeight="1" spans="1:23" x14ac:dyDescent="0.25">
      <c r="A260" s="71"/>
      <c r="B260" s="57">
        <f>IFERROR(VLOOKUP($A:$A,CS!$A:$AK,3,FALSE),"")</f>
      </c>
      <c r="C260" s="57">
        <f>IFERROR(VLOOKUP($A:$A,CS!$A:$AK,4,FALSE),"")</f>
      </c>
      <c r="D260" s="57">
        <f>IFERROR(VLOOKUP($A:$A,CS!$A:$AK,5,FALSE),"")</f>
      </c>
      <c r="E260" s="57">
        <f>IFERROR(VLOOKUP($A:$A,CS!$A:$AK,7,FALSE),"")</f>
      </c>
      <c r="F260" s="57">
        <f>IFERROR(VLOOKUP($A:$A,CS!$A:$AK,8,FALSE),"")</f>
      </c>
      <c r="G260" s="57">
        <f>IFERROR(VLOOKUP($A:$A,CS!$A:$AK,10,FALSE),"")</f>
      </c>
      <c r="H260" s="57">
        <f>IFERROR(VLOOKUP($A:$A,CS!$A:$AK,14,FALSE),"")</f>
      </c>
      <c r="I260" s="57">
        <f>IFERROR(VLOOKUP($A:$A,CS!$A:$AK,15,FALSE),"")</f>
      </c>
      <c r="J260" s="57">
        <f>IFERROR(VLOOKUP($A:$A,CS!$A:$AK,18,FALSE),"")</f>
      </c>
      <c r="K260" s="57">
        <f>IFERROR(VLOOKUP($A:$A,CS!$A:$AK,19,FALSE),"")</f>
      </c>
      <c r="L260" s="57">
        <f>IFERROR(VLOOKUP($A:$A,CS!$A:$AK,20,FALSE),"")</f>
      </c>
      <c r="M260" s="57">
        <f>IFERROR(VLOOKUP($A:$A,CS!$A:$AK,22,FALSE),"")</f>
      </c>
      <c r="N260" s="57">
        <f>IFERROR(VLOOKUP($A:$A,CS!$A:$AK,19,FALSE),"")</f>
      </c>
      <c r="O260" s="57">
        <f>IFERROR(VLOOKUP($A:$A,CS!$A:$AK,23,FALSE),"")</f>
      </c>
      <c r="P260" s="57">
        <f>IFERROR(VLOOKUP($A:$A,CS!$A:$AK,24,FALSE),"")</f>
      </c>
      <c r="Q260" s="57">
        <f>IFERROR(VLOOKUP($A:$A,CS!$A:$AK,25,FALSE),"")</f>
      </c>
      <c r="R260" s="57">
        <f>IFERROR(VLOOKUP($A:$A,CS!$A:$AK,26,FALSE),"")</f>
      </c>
      <c r="S260" s="57">
        <f>IFERROR(VLOOKUP($A:$A,CS!$A:$AK,29,FALSE),"")</f>
      </c>
      <c r="T260" s="57">
        <f>IFERROR(VLOOKUP($A:$A,CS!$A:$AK,33,FALSE),"")</f>
      </c>
      <c r="U260" s="57">
        <f>IFERROR(VLOOKUP($A:$A,CS!$A:$AK,34,FALSE),"")</f>
      </c>
      <c r="V260" s="57">
        <f>IFERROR(VLOOKUP($A:$A,CS!$A:$AK,35,FALSE),"")</f>
      </c>
      <c r="W260" s="57">
        <f>IFERROR(VLOOKUP($A:$A,CS!$A:$AK,36,FALSE),"")</f>
      </c>
    </row>
    <row r="261" ht="16.5" customHeight="1" spans="1:23" x14ac:dyDescent="0.25">
      <c r="A261" s="71"/>
      <c r="B261" s="57">
        <f>IFERROR(VLOOKUP($A:$A,CS!$A:$AK,3,FALSE),"")</f>
      </c>
      <c r="C261" s="57">
        <f>IFERROR(VLOOKUP($A:$A,CS!$A:$AK,4,FALSE),"")</f>
      </c>
      <c r="D261" s="57">
        <f>IFERROR(VLOOKUP($A:$A,CS!$A:$AK,5,FALSE),"")</f>
      </c>
      <c r="E261" s="57">
        <f>IFERROR(VLOOKUP($A:$A,CS!$A:$AK,7,FALSE),"")</f>
      </c>
      <c r="F261" s="57">
        <f>IFERROR(VLOOKUP($A:$A,CS!$A:$AK,8,FALSE),"")</f>
      </c>
      <c r="G261" s="57">
        <f>IFERROR(VLOOKUP($A:$A,CS!$A:$AK,10,FALSE),"")</f>
      </c>
      <c r="H261" s="57">
        <f>IFERROR(VLOOKUP($A:$A,CS!$A:$AK,14,FALSE),"")</f>
      </c>
      <c r="I261" s="57">
        <f>IFERROR(VLOOKUP($A:$A,CS!$A:$AK,15,FALSE),"")</f>
      </c>
      <c r="J261" s="57">
        <f>IFERROR(VLOOKUP($A:$A,CS!$A:$AK,18,FALSE),"")</f>
      </c>
      <c r="K261" s="57">
        <f>IFERROR(VLOOKUP($A:$A,CS!$A:$AK,19,FALSE),"")</f>
      </c>
      <c r="L261" s="57">
        <f>IFERROR(VLOOKUP($A:$A,CS!$A:$AK,20,FALSE),"")</f>
      </c>
      <c r="M261" s="57">
        <f>IFERROR(VLOOKUP($A:$A,CS!$A:$AK,22,FALSE),"")</f>
      </c>
      <c r="N261" s="57">
        <f>IFERROR(VLOOKUP($A:$A,CS!$A:$AK,19,FALSE),"")</f>
      </c>
      <c r="O261" s="57">
        <f>IFERROR(VLOOKUP($A:$A,CS!$A:$AK,23,FALSE),"")</f>
      </c>
      <c r="P261" s="57">
        <f>IFERROR(VLOOKUP($A:$A,CS!$A:$AK,24,FALSE),"")</f>
      </c>
      <c r="Q261" s="57">
        <f>IFERROR(VLOOKUP($A:$A,CS!$A:$AK,25,FALSE),"")</f>
      </c>
      <c r="R261" s="57">
        <f>IFERROR(VLOOKUP($A:$A,CS!$A:$AK,26,FALSE),"")</f>
      </c>
      <c r="S261" s="57">
        <f>IFERROR(VLOOKUP($A:$A,CS!$A:$AK,29,FALSE),"")</f>
      </c>
      <c r="T261" s="57">
        <f>IFERROR(VLOOKUP($A:$A,CS!$A:$AK,33,FALSE),"")</f>
      </c>
      <c r="U261" s="57">
        <f>IFERROR(VLOOKUP($A:$A,CS!$A:$AK,34,FALSE),"")</f>
      </c>
      <c r="V261" s="57">
        <f>IFERROR(VLOOKUP($A:$A,CS!$A:$AK,35,FALSE),"")</f>
      </c>
      <c r="W261" s="57">
        <f>IFERROR(VLOOKUP($A:$A,CS!$A:$AK,36,FALSE),"")</f>
      </c>
    </row>
    <row r="262" ht="16.5" customHeight="1" spans="1:23" x14ac:dyDescent="0.25">
      <c r="A262" s="71"/>
      <c r="B262" s="57">
        <f>IFERROR(VLOOKUP($A:$A,CS!$A:$AK,3,FALSE),"")</f>
      </c>
      <c r="C262" s="57">
        <f>IFERROR(VLOOKUP($A:$A,CS!$A:$AK,4,FALSE),"")</f>
      </c>
      <c r="D262" s="57">
        <f>IFERROR(VLOOKUP($A:$A,CS!$A:$AK,5,FALSE),"")</f>
      </c>
      <c r="E262" s="57">
        <f>IFERROR(VLOOKUP($A:$A,CS!$A:$AK,7,FALSE),"")</f>
      </c>
      <c r="F262" s="57">
        <f>IFERROR(VLOOKUP($A:$A,CS!$A:$AK,8,FALSE),"")</f>
      </c>
      <c r="G262" s="57">
        <f>IFERROR(VLOOKUP($A:$A,CS!$A:$AK,10,FALSE),"")</f>
      </c>
      <c r="H262" s="57">
        <f>IFERROR(VLOOKUP($A:$A,CS!$A:$AK,14,FALSE),"")</f>
      </c>
      <c r="I262" s="57">
        <f>IFERROR(VLOOKUP($A:$A,CS!$A:$AK,15,FALSE),"")</f>
      </c>
      <c r="J262" s="57">
        <f>IFERROR(VLOOKUP($A:$A,CS!$A:$AK,18,FALSE),"")</f>
      </c>
      <c r="K262" s="57">
        <f>IFERROR(VLOOKUP($A:$A,CS!$A:$AK,19,FALSE),"")</f>
      </c>
      <c r="L262" s="57">
        <f>IFERROR(VLOOKUP($A:$A,CS!$A:$AK,20,FALSE),"")</f>
      </c>
      <c r="M262" s="57">
        <f>IFERROR(VLOOKUP($A:$A,CS!$A:$AK,22,FALSE),"")</f>
      </c>
      <c r="N262" s="57">
        <f>IFERROR(VLOOKUP($A:$A,CS!$A:$AK,19,FALSE),"")</f>
      </c>
      <c r="O262" s="57">
        <f>IFERROR(VLOOKUP($A:$A,CS!$A:$AK,23,FALSE),"")</f>
      </c>
      <c r="P262" s="57">
        <f>IFERROR(VLOOKUP($A:$A,CS!$A:$AK,24,FALSE),"")</f>
      </c>
      <c r="Q262" s="57">
        <f>IFERROR(VLOOKUP($A:$A,CS!$A:$AK,25,FALSE),"")</f>
      </c>
      <c r="R262" s="57">
        <f>IFERROR(VLOOKUP($A:$A,CS!$A:$AK,26,FALSE),"")</f>
      </c>
      <c r="S262" s="57">
        <f>IFERROR(VLOOKUP($A:$A,CS!$A:$AK,29,FALSE),"")</f>
      </c>
      <c r="T262" s="57">
        <f>IFERROR(VLOOKUP($A:$A,CS!$A:$AK,33,FALSE),"")</f>
      </c>
      <c r="U262" s="57">
        <f>IFERROR(VLOOKUP($A:$A,CS!$A:$AK,34,FALSE),"")</f>
      </c>
      <c r="V262" s="57">
        <f>IFERROR(VLOOKUP($A:$A,CS!$A:$AK,35,FALSE),"")</f>
      </c>
      <c r="W262" s="57">
        <f>IFERROR(VLOOKUP($A:$A,CS!$A:$AK,36,FALSE),"")</f>
      </c>
    </row>
    <row r="263" ht="16.5" customHeight="1" spans="1:23" x14ac:dyDescent="0.25">
      <c r="A263" s="71"/>
      <c r="B263" s="57">
        <f>IFERROR(VLOOKUP($A:$A,CS!$A:$AK,3,FALSE),"")</f>
      </c>
      <c r="C263" s="57">
        <f>IFERROR(VLOOKUP($A:$A,CS!$A:$AK,4,FALSE),"")</f>
      </c>
      <c r="D263" s="57">
        <f>IFERROR(VLOOKUP($A:$A,CS!$A:$AK,5,FALSE),"")</f>
      </c>
      <c r="E263" s="57">
        <f>IFERROR(VLOOKUP($A:$A,CS!$A:$AK,7,FALSE),"")</f>
      </c>
      <c r="F263" s="57">
        <f>IFERROR(VLOOKUP($A:$A,CS!$A:$AK,8,FALSE),"")</f>
      </c>
      <c r="G263" s="57">
        <f>IFERROR(VLOOKUP($A:$A,CS!$A:$AK,10,FALSE),"")</f>
      </c>
      <c r="H263" s="57">
        <f>IFERROR(VLOOKUP($A:$A,CS!$A:$AK,14,FALSE),"")</f>
      </c>
      <c r="I263" s="57">
        <f>IFERROR(VLOOKUP($A:$A,CS!$A:$AK,15,FALSE),"")</f>
      </c>
      <c r="J263" s="57">
        <f>IFERROR(VLOOKUP($A:$A,CS!$A:$AK,18,FALSE),"")</f>
      </c>
      <c r="K263" s="57">
        <f>IFERROR(VLOOKUP($A:$A,CS!$A:$AK,19,FALSE),"")</f>
      </c>
      <c r="L263" s="57">
        <f>IFERROR(VLOOKUP($A:$A,CS!$A:$AK,20,FALSE),"")</f>
      </c>
      <c r="M263" s="57">
        <f>IFERROR(VLOOKUP($A:$A,CS!$A:$AK,22,FALSE),"")</f>
      </c>
      <c r="N263" s="57">
        <f>IFERROR(VLOOKUP($A:$A,CS!$A:$AK,19,FALSE),"")</f>
      </c>
      <c r="O263" s="57">
        <f>IFERROR(VLOOKUP($A:$A,CS!$A:$AK,23,FALSE),"")</f>
      </c>
      <c r="P263" s="57">
        <f>IFERROR(VLOOKUP($A:$A,CS!$A:$AK,24,FALSE),"")</f>
      </c>
      <c r="Q263" s="57">
        <f>IFERROR(VLOOKUP($A:$A,CS!$A:$AK,25,FALSE),"")</f>
      </c>
      <c r="R263" s="57">
        <f>IFERROR(VLOOKUP($A:$A,CS!$A:$AK,26,FALSE),"")</f>
      </c>
      <c r="S263" s="57">
        <f>IFERROR(VLOOKUP($A:$A,CS!$A:$AK,29,FALSE),"")</f>
      </c>
      <c r="T263" s="57">
        <f>IFERROR(VLOOKUP($A:$A,CS!$A:$AK,33,FALSE),"")</f>
      </c>
      <c r="U263" s="57">
        <f>IFERROR(VLOOKUP($A:$A,CS!$A:$AK,34,FALSE),"")</f>
      </c>
      <c r="V263" s="57">
        <f>IFERROR(VLOOKUP($A:$A,CS!$A:$AK,35,FALSE),"")</f>
      </c>
      <c r="W263" s="57">
        <f>IFERROR(VLOOKUP($A:$A,CS!$A:$AK,36,FALSE),"")</f>
      </c>
    </row>
    <row r="264" ht="16.5" customHeight="1" spans="1:23" x14ac:dyDescent="0.25">
      <c r="A264" s="71"/>
      <c r="B264" s="57">
        <f>IFERROR(VLOOKUP($A:$A,CS!$A:$AK,3,FALSE),"")</f>
      </c>
      <c r="C264" s="57">
        <f>IFERROR(VLOOKUP($A:$A,CS!$A:$AK,4,FALSE),"")</f>
      </c>
      <c r="D264" s="57">
        <f>IFERROR(VLOOKUP($A:$A,CS!$A:$AK,5,FALSE),"")</f>
      </c>
      <c r="E264" s="57">
        <f>IFERROR(VLOOKUP($A:$A,CS!$A:$AK,7,FALSE),"")</f>
      </c>
      <c r="F264" s="57">
        <f>IFERROR(VLOOKUP($A:$A,CS!$A:$AK,8,FALSE),"")</f>
      </c>
      <c r="G264" s="57">
        <f>IFERROR(VLOOKUP($A:$A,CS!$A:$AK,10,FALSE),"")</f>
      </c>
      <c r="H264" s="57">
        <f>IFERROR(VLOOKUP($A:$A,CS!$A:$AK,14,FALSE),"")</f>
      </c>
      <c r="I264" s="57">
        <f>IFERROR(VLOOKUP($A:$A,CS!$A:$AK,15,FALSE),"")</f>
      </c>
      <c r="J264" s="57">
        <f>IFERROR(VLOOKUP($A:$A,CS!$A:$AK,18,FALSE),"")</f>
      </c>
      <c r="K264" s="57">
        <f>IFERROR(VLOOKUP($A:$A,CS!$A:$AK,19,FALSE),"")</f>
      </c>
      <c r="L264" s="57">
        <f>IFERROR(VLOOKUP($A:$A,CS!$A:$AK,20,FALSE),"")</f>
      </c>
      <c r="M264" s="57">
        <f>IFERROR(VLOOKUP($A:$A,CS!$A:$AK,22,FALSE),"")</f>
      </c>
      <c r="N264" s="57">
        <f>IFERROR(VLOOKUP($A:$A,CS!$A:$AK,19,FALSE),"")</f>
      </c>
      <c r="O264" s="57">
        <f>IFERROR(VLOOKUP($A:$A,CS!$A:$AK,23,FALSE),"")</f>
      </c>
      <c r="P264" s="57">
        <f>IFERROR(VLOOKUP($A:$A,CS!$A:$AK,24,FALSE),"")</f>
      </c>
      <c r="Q264" s="57">
        <f>IFERROR(VLOOKUP($A:$A,CS!$A:$AK,25,FALSE),"")</f>
      </c>
      <c r="R264" s="57">
        <f>IFERROR(VLOOKUP($A:$A,CS!$A:$AK,26,FALSE),"")</f>
      </c>
      <c r="S264" s="57">
        <f>IFERROR(VLOOKUP($A:$A,CS!$A:$AK,29,FALSE),"")</f>
      </c>
      <c r="T264" s="57">
        <f>IFERROR(VLOOKUP($A:$A,CS!$A:$AK,33,FALSE),"")</f>
      </c>
      <c r="U264" s="57">
        <f>IFERROR(VLOOKUP($A:$A,CS!$A:$AK,34,FALSE),"")</f>
      </c>
      <c r="V264" s="57">
        <f>IFERROR(VLOOKUP($A:$A,CS!$A:$AK,35,FALSE),"")</f>
      </c>
      <c r="W264" s="57">
        <f>IFERROR(VLOOKUP($A:$A,CS!$A:$AK,36,FALSE),"")</f>
      </c>
    </row>
    <row r="265" ht="16.5" customHeight="1" spans="1:23" x14ac:dyDescent="0.25">
      <c r="A265" s="71"/>
      <c r="B265" s="57">
        <f>IFERROR(VLOOKUP($A:$A,CS!$A:$AK,3,FALSE),"")</f>
      </c>
      <c r="C265" s="57">
        <f>IFERROR(VLOOKUP($A:$A,CS!$A:$AK,4,FALSE),"")</f>
      </c>
      <c r="D265" s="57">
        <f>IFERROR(VLOOKUP($A:$A,CS!$A:$AK,5,FALSE),"")</f>
      </c>
      <c r="E265" s="57">
        <f>IFERROR(VLOOKUP($A:$A,CS!$A:$AK,7,FALSE),"")</f>
      </c>
      <c r="F265" s="57">
        <f>IFERROR(VLOOKUP($A:$A,CS!$A:$AK,8,FALSE),"")</f>
      </c>
      <c r="G265" s="57">
        <f>IFERROR(VLOOKUP($A:$A,CS!$A:$AK,10,FALSE),"")</f>
      </c>
      <c r="H265" s="57">
        <f>IFERROR(VLOOKUP($A:$A,CS!$A:$AK,14,FALSE),"")</f>
      </c>
      <c r="I265" s="57">
        <f>IFERROR(VLOOKUP($A:$A,CS!$A:$AK,15,FALSE),"")</f>
      </c>
      <c r="J265" s="57">
        <f>IFERROR(VLOOKUP($A:$A,CS!$A:$AK,18,FALSE),"")</f>
      </c>
      <c r="K265" s="57">
        <f>IFERROR(VLOOKUP($A:$A,CS!$A:$AK,19,FALSE),"")</f>
      </c>
      <c r="L265" s="57">
        <f>IFERROR(VLOOKUP($A:$A,CS!$A:$AK,20,FALSE),"")</f>
      </c>
      <c r="M265" s="57">
        <f>IFERROR(VLOOKUP($A:$A,CS!$A:$AK,22,FALSE),"")</f>
      </c>
      <c r="N265" s="57">
        <f>IFERROR(VLOOKUP($A:$A,CS!$A:$AK,19,FALSE),"")</f>
      </c>
      <c r="O265" s="57">
        <f>IFERROR(VLOOKUP($A:$A,CS!$A:$AK,23,FALSE),"")</f>
      </c>
      <c r="P265" s="57">
        <f>IFERROR(VLOOKUP($A:$A,CS!$A:$AK,24,FALSE),"")</f>
      </c>
      <c r="Q265" s="57">
        <f>IFERROR(VLOOKUP($A:$A,CS!$A:$AK,25,FALSE),"")</f>
      </c>
      <c r="R265" s="57">
        <f>IFERROR(VLOOKUP($A:$A,CS!$A:$AK,26,FALSE),"")</f>
      </c>
      <c r="S265" s="57">
        <f>IFERROR(VLOOKUP($A:$A,CS!$A:$AK,29,FALSE),"")</f>
      </c>
      <c r="T265" s="57">
        <f>IFERROR(VLOOKUP($A:$A,CS!$A:$AK,33,FALSE),"")</f>
      </c>
      <c r="U265" s="57">
        <f>IFERROR(VLOOKUP($A:$A,CS!$A:$AK,34,FALSE),"")</f>
      </c>
      <c r="V265" s="57">
        <f>IFERROR(VLOOKUP($A:$A,CS!$A:$AK,35,FALSE),"")</f>
      </c>
      <c r="W265" s="57">
        <f>IFERROR(VLOOKUP($A:$A,CS!$A:$AK,36,FALSE),"")</f>
      </c>
    </row>
    <row r="266" ht="16.5" customHeight="1" spans="1:23" x14ac:dyDescent="0.25">
      <c r="A266" s="71"/>
      <c r="B266" s="57">
        <f>IFERROR(VLOOKUP($A:$A,CS!$A:$AK,3,FALSE),"")</f>
      </c>
      <c r="C266" s="57">
        <f>IFERROR(VLOOKUP($A:$A,CS!$A:$AK,4,FALSE),"")</f>
      </c>
      <c r="D266" s="57">
        <f>IFERROR(VLOOKUP($A:$A,CS!$A:$AK,5,FALSE),"")</f>
      </c>
      <c r="E266" s="57">
        <f>IFERROR(VLOOKUP($A:$A,CS!$A:$AK,7,FALSE),"")</f>
      </c>
      <c r="F266" s="57">
        <f>IFERROR(VLOOKUP($A:$A,CS!$A:$AK,8,FALSE),"")</f>
      </c>
      <c r="G266" s="57">
        <f>IFERROR(VLOOKUP($A:$A,CS!$A:$AK,10,FALSE),"")</f>
      </c>
      <c r="H266" s="57">
        <f>IFERROR(VLOOKUP($A:$A,CS!$A:$AK,14,FALSE),"")</f>
      </c>
      <c r="I266" s="57">
        <f>IFERROR(VLOOKUP($A:$A,CS!$A:$AK,15,FALSE),"")</f>
      </c>
      <c r="J266" s="57">
        <f>IFERROR(VLOOKUP($A:$A,CS!$A:$AK,18,FALSE),"")</f>
      </c>
      <c r="K266" s="57">
        <f>IFERROR(VLOOKUP($A:$A,CS!$A:$AK,19,FALSE),"")</f>
      </c>
      <c r="L266" s="57">
        <f>IFERROR(VLOOKUP($A:$A,CS!$A:$AK,20,FALSE),"")</f>
      </c>
      <c r="M266" s="57">
        <f>IFERROR(VLOOKUP($A:$A,CS!$A:$AK,22,FALSE),"")</f>
      </c>
      <c r="N266" s="57">
        <f>IFERROR(VLOOKUP($A:$A,CS!$A:$AK,19,FALSE),"")</f>
      </c>
      <c r="O266" s="57">
        <f>IFERROR(VLOOKUP($A:$A,CS!$A:$AK,23,FALSE),"")</f>
      </c>
      <c r="P266" s="57">
        <f>IFERROR(VLOOKUP($A:$A,CS!$A:$AK,24,FALSE),"")</f>
      </c>
      <c r="Q266" s="57">
        <f>IFERROR(VLOOKUP($A:$A,CS!$A:$AK,25,FALSE),"")</f>
      </c>
      <c r="R266" s="57">
        <f>IFERROR(VLOOKUP($A:$A,CS!$A:$AK,26,FALSE),"")</f>
      </c>
      <c r="S266" s="57">
        <f>IFERROR(VLOOKUP($A:$A,CS!$A:$AK,29,FALSE),"")</f>
      </c>
      <c r="T266" s="57">
        <f>IFERROR(VLOOKUP($A:$A,CS!$A:$AK,33,FALSE),"")</f>
      </c>
      <c r="U266" s="57">
        <f>IFERROR(VLOOKUP($A:$A,CS!$A:$AK,34,FALSE),"")</f>
      </c>
      <c r="V266" s="57">
        <f>IFERROR(VLOOKUP($A:$A,CS!$A:$AK,35,FALSE),"")</f>
      </c>
      <c r="W266" s="57">
        <f>IFERROR(VLOOKUP($A:$A,CS!$A:$AK,36,FALSE),"")</f>
      </c>
    </row>
    <row r="267" ht="16.5" customHeight="1" spans="1:23" x14ac:dyDescent="0.25">
      <c r="A267" s="71"/>
      <c r="B267" s="57">
        <f>IFERROR(VLOOKUP($A:$A,CS!$A:$AK,3,FALSE),"")</f>
      </c>
      <c r="C267" s="57">
        <f>IFERROR(VLOOKUP($A:$A,CS!$A:$AK,4,FALSE),"")</f>
      </c>
      <c r="D267" s="57">
        <f>IFERROR(VLOOKUP($A:$A,CS!$A:$AK,5,FALSE),"")</f>
      </c>
      <c r="E267" s="57">
        <f>IFERROR(VLOOKUP($A:$A,CS!$A:$AK,7,FALSE),"")</f>
      </c>
      <c r="F267" s="57">
        <f>IFERROR(VLOOKUP($A:$A,CS!$A:$AK,8,FALSE),"")</f>
      </c>
      <c r="G267" s="57">
        <f>IFERROR(VLOOKUP($A:$A,CS!$A:$AK,10,FALSE),"")</f>
      </c>
      <c r="H267" s="57">
        <f>IFERROR(VLOOKUP($A:$A,CS!$A:$AK,14,FALSE),"")</f>
      </c>
      <c r="I267" s="57">
        <f>IFERROR(VLOOKUP($A:$A,CS!$A:$AK,15,FALSE),"")</f>
      </c>
      <c r="J267" s="57">
        <f>IFERROR(VLOOKUP($A:$A,CS!$A:$AK,18,FALSE),"")</f>
      </c>
      <c r="K267" s="57">
        <f>IFERROR(VLOOKUP($A:$A,CS!$A:$AK,19,FALSE),"")</f>
      </c>
      <c r="L267" s="57">
        <f>IFERROR(VLOOKUP($A:$A,CS!$A:$AK,20,FALSE),"")</f>
      </c>
      <c r="M267" s="57">
        <f>IFERROR(VLOOKUP($A:$A,CS!$A:$AK,22,FALSE),"")</f>
      </c>
      <c r="N267" s="57">
        <f>IFERROR(VLOOKUP($A:$A,CS!$A:$AK,19,FALSE),"")</f>
      </c>
      <c r="O267" s="57">
        <f>IFERROR(VLOOKUP($A:$A,CS!$A:$AK,23,FALSE),"")</f>
      </c>
      <c r="P267" s="57">
        <f>IFERROR(VLOOKUP($A:$A,CS!$A:$AK,24,FALSE),"")</f>
      </c>
      <c r="Q267" s="57">
        <f>IFERROR(VLOOKUP($A:$A,CS!$A:$AK,25,FALSE),"")</f>
      </c>
      <c r="R267" s="57">
        <f>IFERROR(VLOOKUP($A:$A,CS!$A:$AK,26,FALSE),"")</f>
      </c>
      <c r="S267" s="57">
        <f>IFERROR(VLOOKUP($A:$A,CS!$A:$AK,29,FALSE),"")</f>
      </c>
      <c r="T267" s="57">
        <f>IFERROR(VLOOKUP($A:$A,CS!$A:$AK,33,FALSE),"")</f>
      </c>
      <c r="U267" s="57">
        <f>IFERROR(VLOOKUP($A:$A,CS!$A:$AK,34,FALSE),"")</f>
      </c>
      <c r="V267" s="57">
        <f>IFERROR(VLOOKUP($A:$A,CS!$A:$AK,35,FALSE),"")</f>
      </c>
      <c r="W267" s="57">
        <f>IFERROR(VLOOKUP($A:$A,CS!$A:$AK,36,FALSE),"")</f>
      </c>
    </row>
    <row r="268" ht="16.5" customHeight="1" spans="1:23" x14ac:dyDescent="0.25">
      <c r="A268" s="71"/>
      <c r="B268" s="57">
        <f>IFERROR(VLOOKUP($A:$A,CS!$A:$AK,3,FALSE),"")</f>
      </c>
      <c r="C268" s="57">
        <f>IFERROR(VLOOKUP($A:$A,CS!$A:$AK,4,FALSE),"")</f>
      </c>
      <c r="D268" s="57">
        <f>IFERROR(VLOOKUP($A:$A,CS!$A:$AK,5,FALSE),"")</f>
      </c>
      <c r="E268" s="57">
        <f>IFERROR(VLOOKUP($A:$A,CS!$A:$AK,7,FALSE),"")</f>
      </c>
      <c r="F268" s="57">
        <f>IFERROR(VLOOKUP($A:$A,CS!$A:$AK,8,FALSE),"")</f>
      </c>
      <c r="G268" s="57">
        <f>IFERROR(VLOOKUP($A:$A,CS!$A:$AK,10,FALSE),"")</f>
      </c>
      <c r="H268" s="57">
        <f>IFERROR(VLOOKUP($A:$A,CS!$A:$AK,14,FALSE),"")</f>
      </c>
      <c r="I268" s="57">
        <f>IFERROR(VLOOKUP($A:$A,CS!$A:$AK,15,FALSE),"")</f>
      </c>
      <c r="J268" s="57">
        <f>IFERROR(VLOOKUP($A:$A,CS!$A:$AK,18,FALSE),"")</f>
      </c>
      <c r="K268" s="57">
        <f>IFERROR(VLOOKUP($A:$A,CS!$A:$AK,19,FALSE),"")</f>
      </c>
      <c r="L268" s="57">
        <f>IFERROR(VLOOKUP($A:$A,CS!$A:$AK,20,FALSE),"")</f>
      </c>
      <c r="M268" s="57">
        <f>IFERROR(VLOOKUP($A:$A,CS!$A:$AK,22,FALSE),"")</f>
      </c>
      <c r="N268" s="57">
        <f>IFERROR(VLOOKUP($A:$A,CS!$A:$AK,19,FALSE),"")</f>
      </c>
      <c r="O268" s="57">
        <f>IFERROR(VLOOKUP($A:$A,CS!$A:$AK,23,FALSE),"")</f>
      </c>
      <c r="P268" s="57">
        <f>IFERROR(VLOOKUP($A:$A,CS!$A:$AK,24,FALSE),"")</f>
      </c>
      <c r="Q268" s="57">
        <f>IFERROR(VLOOKUP($A:$A,CS!$A:$AK,25,FALSE),"")</f>
      </c>
      <c r="R268" s="57">
        <f>IFERROR(VLOOKUP($A:$A,CS!$A:$AK,26,FALSE),"")</f>
      </c>
      <c r="S268" s="57">
        <f>IFERROR(VLOOKUP($A:$A,CS!$A:$AK,29,FALSE),"")</f>
      </c>
      <c r="T268" s="57">
        <f>IFERROR(VLOOKUP($A:$A,CS!$A:$AK,33,FALSE),"")</f>
      </c>
      <c r="U268" s="57">
        <f>IFERROR(VLOOKUP($A:$A,CS!$A:$AK,34,FALSE),"")</f>
      </c>
      <c r="V268" s="57">
        <f>IFERROR(VLOOKUP($A:$A,CS!$A:$AK,35,FALSE),"")</f>
      </c>
      <c r="W268" s="57">
        <f>IFERROR(VLOOKUP($A:$A,CS!$A:$AK,36,FALSE),"")</f>
      </c>
    </row>
    <row r="269" ht="16.5" customHeight="1" spans="1:23" x14ac:dyDescent="0.25">
      <c r="A269" s="71"/>
      <c r="B269" s="57">
        <f>IFERROR(VLOOKUP($A:$A,CS!$A:$AK,3,FALSE),"")</f>
      </c>
      <c r="C269" s="57">
        <f>IFERROR(VLOOKUP($A:$A,CS!$A:$AK,4,FALSE),"")</f>
      </c>
      <c r="D269" s="57">
        <f>IFERROR(VLOOKUP($A:$A,CS!$A:$AK,5,FALSE),"")</f>
      </c>
      <c r="E269" s="57">
        <f>IFERROR(VLOOKUP($A:$A,CS!$A:$AK,7,FALSE),"")</f>
      </c>
      <c r="F269" s="57">
        <f>IFERROR(VLOOKUP($A:$A,CS!$A:$AK,8,FALSE),"")</f>
      </c>
      <c r="G269" s="57">
        <f>IFERROR(VLOOKUP($A:$A,CS!$A:$AK,10,FALSE),"")</f>
      </c>
      <c r="H269" s="57">
        <f>IFERROR(VLOOKUP($A:$A,CS!$A:$AK,14,FALSE),"")</f>
      </c>
      <c r="I269" s="57">
        <f>IFERROR(VLOOKUP($A:$A,CS!$A:$AK,15,FALSE),"")</f>
      </c>
      <c r="J269" s="57">
        <f>IFERROR(VLOOKUP($A:$A,CS!$A:$AK,18,FALSE),"")</f>
      </c>
      <c r="K269" s="57">
        <f>IFERROR(VLOOKUP($A:$A,CS!$A:$AK,19,FALSE),"")</f>
      </c>
      <c r="L269" s="57">
        <f>IFERROR(VLOOKUP($A:$A,CS!$A:$AK,20,FALSE),"")</f>
      </c>
      <c r="M269" s="57">
        <f>IFERROR(VLOOKUP($A:$A,CS!$A:$AK,22,FALSE),"")</f>
      </c>
      <c r="N269" s="57">
        <f>IFERROR(VLOOKUP($A:$A,CS!$A:$AK,19,FALSE),"")</f>
      </c>
      <c r="O269" s="57">
        <f>IFERROR(VLOOKUP($A:$A,CS!$A:$AK,23,FALSE),"")</f>
      </c>
      <c r="P269" s="57">
        <f>IFERROR(VLOOKUP($A:$A,CS!$A:$AK,24,FALSE),"")</f>
      </c>
      <c r="Q269" s="57">
        <f>IFERROR(VLOOKUP($A:$A,CS!$A:$AK,25,FALSE),"")</f>
      </c>
      <c r="R269" s="57">
        <f>IFERROR(VLOOKUP($A:$A,CS!$A:$AK,26,FALSE),"")</f>
      </c>
      <c r="S269" s="57">
        <f>IFERROR(VLOOKUP($A:$A,CS!$A:$AK,29,FALSE),"")</f>
      </c>
      <c r="T269" s="57">
        <f>IFERROR(VLOOKUP($A:$A,CS!$A:$AK,33,FALSE),"")</f>
      </c>
      <c r="U269" s="57">
        <f>IFERROR(VLOOKUP($A:$A,CS!$A:$AK,34,FALSE),"")</f>
      </c>
      <c r="V269" s="57">
        <f>IFERROR(VLOOKUP($A:$A,CS!$A:$AK,35,FALSE),"")</f>
      </c>
      <c r="W269" s="57">
        <f>IFERROR(VLOOKUP($A:$A,CS!$A:$AK,36,FALSE),"")</f>
      </c>
    </row>
    <row r="270" ht="16.5" customHeight="1" spans="1:23" x14ac:dyDescent="0.25">
      <c r="A270" s="71"/>
      <c r="B270" s="57">
        <f>IFERROR(VLOOKUP($A:$A,CS!$A:$AK,3,FALSE),"")</f>
      </c>
      <c r="C270" s="57">
        <f>IFERROR(VLOOKUP($A:$A,CS!$A:$AK,4,FALSE),"")</f>
      </c>
      <c r="D270" s="57">
        <f>IFERROR(VLOOKUP($A:$A,CS!$A:$AK,5,FALSE),"")</f>
      </c>
      <c r="E270" s="57">
        <f>IFERROR(VLOOKUP($A:$A,CS!$A:$AK,7,FALSE),"")</f>
      </c>
      <c r="F270" s="57">
        <f>IFERROR(VLOOKUP($A:$A,CS!$A:$AK,8,FALSE),"")</f>
      </c>
      <c r="G270" s="57">
        <f>IFERROR(VLOOKUP($A:$A,CS!$A:$AK,10,FALSE),"")</f>
      </c>
      <c r="H270" s="57">
        <f>IFERROR(VLOOKUP($A:$A,CS!$A:$AK,14,FALSE),"")</f>
      </c>
      <c r="I270" s="57">
        <f>IFERROR(VLOOKUP($A:$A,CS!$A:$AK,15,FALSE),"")</f>
      </c>
      <c r="J270" s="57">
        <f>IFERROR(VLOOKUP($A:$A,CS!$A:$AK,18,FALSE),"")</f>
      </c>
      <c r="K270" s="57">
        <f>IFERROR(VLOOKUP($A:$A,CS!$A:$AK,19,FALSE),"")</f>
      </c>
      <c r="L270" s="57">
        <f>IFERROR(VLOOKUP($A:$A,CS!$A:$AK,20,FALSE),"")</f>
      </c>
      <c r="M270" s="57">
        <f>IFERROR(VLOOKUP($A:$A,CS!$A:$AK,22,FALSE),"")</f>
      </c>
      <c r="N270" s="57">
        <f>IFERROR(VLOOKUP($A:$A,CS!$A:$AK,19,FALSE),"")</f>
      </c>
      <c r="O270" s="57">
        <f>IFERROR(VLOOKUP($A:$A,CS!$A:$AK,23,FALSE),"")</f>
      </c>
      <c r="P270" s="57">
        <f>IFERROR(VLOOKUP($A:$A,CS!$A:$AK,24,FALSE),"")</f>
      </c>
      <c r="Q270" s="57">
        <f>IFERROR(VLOOKUP($A:$A,CS!$A:$AK,25,FALSE),"")</f>
      </c>
      <c r="R270" s="57">
        <f>IFERROR(VLOOKUP($A:$A,CS!$A:$AK,26,FALSE),"")</f>
      </c>
      <c r="S270" s="57">
        <f>IFERROR(VLOOKUP($A:$A,CS!$A:$AK,29,FALSE),"")</f>
      </c>
      <c r="T270" s="57">
        <f>IFERROR(VLOOKUP($A:$A,CS!$A:$AK,33,FALSE),"")</f>
      </c>
      <c r="U270" s="57">
        <f>IFERROR(VLOOKUP($A:$A,CS!$A:$AK,34,FALSE),"")</f>
      </c>
      <c r="V270" s="57">
        <f>IFERROR(VLOOKUP($A:$A,CS!$A:$AK,35,FALSE),"")</f>
      </c>
      <c r="W270" s="57">
        <f>IFERROR(VLOOKUP($A:$A,CS!$A:$AK,36,FALSE),"")</f>
      </c>
    </row>
    <row r="271" ht="16.5" customHeight="1" spans="1:23" x14ac:dyDescent="0.25">
      <c r="A271" s="71"/>
      <c r="B271" s="57">
        <f>IFERROR(VLOOKUP($A:$A,CS!$A:$AK,3,FALSE),"")</f>
      </c>
      <c r="C271" s="57">
        <f>IFERROR(VLOOKUP($A:$A,CS!$A:$AK,4,FALSE),"")</f>
      </c>
      <c r="D271" s="57">
        <f>IFERROR(VLOOKUP($A:$A,CS!$A:$AK,5,FALSE),"")</f>
      </c>
      <c r="E271" s="57">
        <f>IFERROR(VLOOKUP($A:$A,CS!$A:$AK,7,FALSE),"")</f>
      </c>
      <c r="F271" s="57">
        <f>IFERROR(VLOOKUP($A:$A,CS!$A:$AK,8,FALSE),"")</f>
      </c>
      <c r="G271" s="57">
        <f>IFERROR(VLOOKUP($A:$A,CS!$A:$AK,10,FALSE),"")</f>
      </c>
      <c r="H271" s="57">
        <f>IFERROR(VLOOKUP($A:$A,CS!$A:$AK,14,FALSE),"")</f>
      </c>
      <c r="I271" s="57">
        <f>IFERROR(VLOOKUP($A:$A,CS!$A:$AK,15,FALSE),"")</f>
      </c>
      <c r="J271" s="57">
        <f>IFERROR(VLOOKUP($A:$A,CS!$A:$AK,18,FALSE),"")</f>
      </c>
      <c r="K271" s="57">
        <f>IFERROR(VLOOKUP($A:$A,CS!$A:$AK,19,FALSE),"")</f>
      </c>
      <c r="L271" s="57">
        <f>IFERROR(VLOOKUP($A:$A,CS!$A:$AK,20,FALSE),"")</f>
      </c>
      <c r="M271" s="57">
        <f>IFERROR(VLOOKUP($A:$A,CS!$A:$AK,22,FALSE),"")</f>
      </c>
      <c r="N271" s="57">
        <f>IFERROR(VLOOKUP($A:$A,CS!$A:$AK,19,FALSE),"")</f>
      </c>
      <c r="O271" s="57">
        <f>IFERROR(VLOOKUP($A:$A,CS!$A:$AK,23,FALSE),"")</f>
      </c>
      <c r="P271" s="57">
        <f>IFERROR(VLOOKUP($A:$A,CS!$A:$AK,24,FALSE),"")</f>
      </c>
      <c r="Q271" s="57">
        <f>IFERROR(VLOOKUP($A:$A,CS!$A:$AK,25,FALSE),"")</f>
      </c>
      <c r="R271" s="57">
        <f>IFERROR(VLOOKUP($A:$A,CS!$A:$AK,26,FALSE),"")</f>
      </c>
      <c r="S271" s="57">
        <f>IFERROR(VLOOKUP($A:$A,CS!$A:$AK,29,FALSE),"")</f>
      </c>
      <c r="T271" s="57">
        <f>IFERROR(VLOOKUP($A:$A,CS!$A:$AK,33,FALSE),"")</f>
      </c>
      <c r="U271" s="57">
        <f>IFERROR(VLOOKUP($A:$A,CS!$A:$AK,34,FALSE),"")</f>
      </c>
      <c r="V271" s="57">
        <f>IFERROR(VLOOKUP($A:$A,CS!$A:$AK,35,FALSE),"")</f>
      </c>
      <c r="W271" s="57">
        <f>IFERROR(VLOOKUP($A:$A,CS!$A:$AK,36,FALSE),"")</f>
      </c>
    </row>
    <row r="272" ht="16.5" customHeight="1" spans="1:23" x14ac:dyDescent="0.25">
      <c r="A272" s="71"/>
      <c r="B272" s="57">
        <f>IFERROR(VLOOKUP($A:$A,CS!$A:$AK,3,FALSE),"")</f>
      </c>
      <c r="C272" s="57">
        <f>IFERROR(VLOOKUP($A:$A,CS!$A:$AK,4,FALSE),"")</f>
      </c>
      <c r="D272" s="57">
        <f>IFERROR(VLOOKUP($A:$A,CS!$A:$AK,5,FALSE),"")</f>
      </c>
      <c r="E272" s="57">
        <f>IFERROR(VLOOKUP($A:$A,CS!$A:$AK,7,FALSE),"")</f>
      </c>
      <c r="F272" s="57">
        <f>IFERROR(VLOOKUP($A:$A,CS!$A:$AK,8,FALSE),"")</f>
      </c>
      <c r="G272" s="57">
        <f>IFERROR(VLOOKUP($A:$A,CS!$A:$AK,10,FALSE),"")</f>
      </c>
      <c r="H272" s="57">
        <f>IFERROR(VLOOKUP($A:$A,CS!$A:$AK,14,FALSE),"")</f>
      </c>
      <c r="I272" s="57">
        <f>IFERROR(VLOOKUP($A:$A,CS!$A:$AK,15,FALSE),"")</f>
      </c>
      <c r="J272" s="57">
        <f>IFERROR(VLOOKUP($A:$A,CS!$A:$AK,18,FALSE),"")</f>
      </c>
      <c r="K272" s="57">
        <f>IFERROR(VLOOKUP($A:$A,CS!$A:$AK,19,FALSE),"")</f>
      </c>
      <c r="L272" s="57">
        <f>IFERROR(VLOOKUP($A:$A,CS!$A:$AK,20,FALSE),"")</f>
      </c>
      <c r="M272" s="57">
        <f>IFERROR(VLOOKUP($A:$A,CS!$A:$AK,22,FALSE),"")</f>
      </c>
      <c r="N272" s="57">
        <f>IFERROR(VLOOKUP($A:$A,CS!$A:$AK,19,FALSE),"")</f>
      </c>
      <c r="O272" s="57">
        <f>IFERROR(VLOOKUP($A:$A,CS!$A:$AK,23,FALSE),"")</f>
      </c>
      <c r="P272" s="57">
        <f>IFERROR(VLOOKUP($A:$A,CS!$A:$AK,24,FALSE),"")</f>
      </c>
      <c r="Q272" s="57">
        <f>IFERROR(VLOOKUP($A:$A,CS!$A:$AK,25,FALSE),"")</f>
      </c>
      <c r="R272" s="57">
        <f>IFERROR(VLOOKUP($A:$A,CS!$A:$AK,26,FALSE),"")</f>
      </c>
      <c r="S272" s="57">
        <f>IFERROR(VLOOKUP($A:$A,CS!$A:$AK,29,FALSE),"")</f>
      </c>
      <c r="T272" s="57">
        <f>IFERROR(VLOOKUP($A:$A,CS!$A:$AK,33,FALSE),"")</f>
      </c>
      <c r="U272" s="57">
        <f>IFERROR(VLOOKUP($A:$A,CS!$A:$AK,34,FALSE),"")</f>
      </c>
      <c r="V272" s="57">
        <f>IFERROR(VLOOKUP($A:$A,CS!$A:$AK,35,FALSE),"")</f>
      </c>
      <c r="W272" s="57">
        <f>IFERROR(VLOOKUP($A:$A,CS!$A:$AK,36,FALSE),"")</f>
      </c>
    </row>
    <row r="273" ht="16.5" customHeight="1" spans="1:23" x14ac:dyDescent="0.25">
      <c r="A273" s="71"/>
      <c r="B273" s="57">
        <f>IFERROR(VLOOKUP($A:$A,CS!$A:$AK,3,FALSE),"")</f>
      </c>
      <c r="C273" s="57">
        <f>IFERROR(VLOOKUP($A:$A,CS!$A:$AK,4,FALSE),"")</f>
      </c>
      <c r="D273" s="57">
        <f>IFERROR(VLOOKUP($A:$A,CS!$A:$AK,5,FALSE),"")</f>
      </c>
      <c r="E273" s="57">
        <f>IFERROR(VLOOKUP($A:$A,CS!$A:$AK,7,FALSE),"")</f>
      </c>
      <c r="F273" s="57">
        <f>IFERROR(VLOOKUP($A:$A,CS!$A:$AK,8,FALSE),"")</f>
      </c>
      <c r="G273" s="57">
        <f>IFERROR(VLOOKUP($A:$A,CS!$A:$AK,10,FALSE),"")</f>
      </c>
      <c r="H273" s="57">
        <f>IFERROR(VLOOKUP($A:$A,CS!$A:$AK,14,FALSE),"")</f>
      </c>
      <c r="I273" s="57">
        <f>IFERROR(VLOOKUP($A:$A,CS!$A:$AK,15,FALSE),"")</f>
      </c>
      <c r="J273" s="57">
        <f>IFERROR(VLOOKUP($A:$A,CS!$A:$AK,18,FALSE),"")</f>
      </c>
      <c r="K273" s="57">
        <f>IFERROR(VLOOKUP($A:$A,CS!$A:$AK,19,FALSE),"")</f>
      </c>
      <c r="L273" s="57">
        <f>IFERROR(VLOOKUP($A:$A,CS!$A:$AK,20,FALSE),"")</f>
      </c>
      <c r="M273" s="57">
        <f>IFERROR(VLOOKUP($A:$A,CS!$A:$AK,22,FALSE),"")</f>
      </c>
      <c r="N273" s="57">
        <f>IFERROR(VLOOKUP($A:$A,CS!$A:$AK,19,FALSE),"")</f>
      </c>
      <c r="O273" s="57">
        <f>IFERROR(VLOOKUP($A:$A,CS!$A:$AK,23,FALSE),"")</f>
      </c>
      <c r="P273" s="57">
        <f>IFERROR(VLOOKUP($A:$A,CS!$A:$AK,24,FALSE),"")</f>
      </c>
      <c r="Q273" s="57">
        <f>IFERROR(VLOOKUP($A:$A,CS!$A:$AK,25,FALSE),"")</f>
      </c>
      <c r="R273" s="57">
        <f>IFERROR(VLOOKUP($A:$A,CS!$A:$AK,26,FALSE),"")</f>
      </c>
      <c r="S273" s="57">
        <f>IFERROR(VLOOKUP($A:$A,CS!$A:$AK,29,FALSE),"")</f>
      </c>
      <c r="T273" s="57">
        <f>IFERROR(VLOOKUP($A:$A,CS!$A:$AK,33,FALSE),"")</f>
      </c>
      <c r="U273" s="57">
        <f>IFERROR(VLOOKUP($A:$A,CS!$A:$AK,34,FALSE),"")</f>
      </c>
      <c r="V273" s="57">
        <f>IFERROR(VLOOKUP($A:$A,CS!$A:$AK,35,FALSE),"")</f>
      </c>
      <c r="W273" s="57">
        <f>IFERROR(VLOOKUP($A:$A,CS!$A:$AK,36,FALSE),"")</f>
      </c>
    </row>
    <row r="274" ht="16.5" customHeight="1" spans="1:23" x14ac:dyDescent="0.25">
      <c r="A274" s="71"/>
      <c r="B274" s="57">
        <f>IFERROR(VLOOKUP($A:$A,CS!$A:$AK,3,FALSE),"")</f>
      </c>
      <c r="C274" s="57">
        <f>IFERROR(VLOOKUP($A:$A,CS!$A:$AK,4,FALSE),"")</f>
      </c>
      <c r="D274" s="57">
        <f>IFERROR(VLOOKUP($A:$A,CS!$A:$AK,5,FALSE),"")</f>
      </c>
      <c r="E274" s="57">
        <f>IFERROR(VLOOKUP($A:$A,CS!$A:$AK,7,FALSE),"")</f>
      </c>
      <c r="F274" s="57">
        <f>IFERROR(VLOOKUP($A:$A,CS!$A:$AK,8,FALSE),"")</f>
      </c>
      <c r="G274" s="57">
        <f>IFERROR(VLOOKUP($A:$A,CS!$A:$AK,10,FALSE),"")</f>
      </c>
      <c r="H274" s="57">
        <f>IFERROR(VLOOKUP($A:$A,CS!$A:$AK,14,FALSE),"")</f>
      </c>
      <c r="I274" s="57">
        <f>IFERROR(VLOOKUP($A:$A,CS!$A:$AK,15,FALSE),"")</f>
      </c>
      <c r="J274" s="57">
        <f>IFERROR(VLOOKUP($A:$A,CS!$A:$AK,18,FALSE),"")</f>
      </c>
      <c r="K274" s="57">
        <f>IFERROR(VLOOKUP($A:$A,CS!$A:$AK,19,FALSE),"")</f>
      </c>
      <c r="L274" s="57">
        <f>IFERROR(VLOOKUP($A:$A,CS!$A:$AK,20,FALSE),"")</f>
      </c>
      <c r="M274" s="57">
        <f>IFERROR(VLOOKUP($A:$A,CS!$A:$AK,22,FALSE),"")</f>
      </c>
      <c r="N274" s="57">
        <f>IFERROR(VLOOKUP($A:$A,CS!$A:$AK,19,FALSE),"")</f>
      </c>
      <c r="O274" s="57">
        <f>IFERROR(VLOOKUP($A:$A,CS!$A:$AK,23,FALSE),"")</f>
      </c>
      <c r="P274" s="57">
        <f>IFERROR(VLOOKUP($A:$A,CS!$A:$AK,24,FALSE),"")</f>
      </c>
      <c r="Q274" s="57">
        <f>IFERROR(VLOOKUP($A:$A,CS!$A:$AK,25,FALSE),"")</f>
      </c>
      <c r="R274" s="57">
        <f>IFERROR(VLOOKUP($A:$A,CS!$A:$AK,26,FALSE),"")</f>
      </c>
      <c r="S274" s="57">
        <f>IFERROR(VLOOKUP($A:$A,CS!$A:$AK,29,FALSE),"")</f>
      </c>
      <c r="T274" s="57">
        <f>IFERROR(VLOOKUP($A:$A,CS!$A:$AK,33,FALSE),"")</f>
      </c>
      <c r="U274" s="57">
        <f>IFERROR(VLOOKUP($A:$A,CS!$A:$AK,34,FALSE),"")</f>
      </c>
      <c r="V274" s="57">
        <f>IFERROR(VLOOKUP($A:$A,CS!$A:$AK,35,FALSE),"")</f>
      </c>
      <c r="W274" s="57">
        <f>IFERROR(VLOOKUP($A:$A,CS!$A:$AK,36,FALSE),"")</f>
      </c>
    </row>
    <row r="275" ht="16.5" customHeight="1" spans="1:23" x14ac:dyDescent="0.25">
      <c r="A275" s="71"/>
      <c r="B275" s="57">
        <f>IFERROR(VLOOKUP($A:$A,CS!$A:$AK,3,FALSE),"")</f>
      </c>
      <c r="C275" s="57">
        <f>IFERROR(VLOOKUP($A:$A,CS!$A:$AK,4,FALSE),"")</f>
      </c>
      <c r="D275" s="57">
        <f>IFERROR(VLOOKUP($A:$A,CS!$A:$AK,5,FALSE),"")</f>
      </c>
      <c r="E275" s="57">
        <f>IFERROR(VLOOKUP($A:$A,CS!$A:$AK,7,FALSE),"")</f>
      </c>
      <c r="F275" s="57">
        <f>IFERROR(VLOOKUP($A:$A,CS!$A:$AK,8,FALSE),"")</f>
      </c>
      <c r="G275" s="57">
        <f>IFERROR(VLOOKUP($A:$A,CS!$A:$AK,10,FALSE),"")</f>
      </c>
      <c r="H275" s="57">
        <f>IFERROR(VLOOKUP($A:$A,CS!$A:$AK,14,FALSE),"")</f>
      </c>
      <c r="I275" s="57">
        <f>IFERROR(VLOOKUP($A:$A,CS!$A:$AK,15,FALSE),"")</f>
      </c>
      <c r="J275" s="57">
        <f>IFERROR(VLOOKUP($A:$A,CS!$A:$AK,18,FALSE),"")</f>
      </c>
      <c r="K275" s="57">
        <f>IFERROR(VLOOKUP($A:$A,CS!$A:$AK,19,FALSE),"")</f>
      </c>
      <c r="L275" s="57">
        <f>IFERROR(VLOOKUP($A:$A,CS!$A:$AK,20,FALSE),"")</f>
      </c>
      <c r="M275" s="57">
        <f>IFERROR(VLOOKUP($A:$A,CS!$A:$AK,22,FALSE),"")</f>
      </c>
      <c r="N275" s="57">
        <f>IFERROR(VLOOKUP($A:$A,CS!$A:$AK,19,FALSE),"")</f>
      </c>
      <c r="O275" s="57">
        <f>IFERROR(VLOOKUP($A:$A,CS!$A:$AK,23,FALSE),"")</f>
      </c>
      <c r="P275" s="57">
        <f>IFERROR(VLOOKUP($A:$A,CS!$A:$AK,24,FALSE),"")</f>
      </c>
      <c r="Q275" s="57">
        <f>IFERROR(VLOOKUP($A:$A,CS!$A:$AK,25,FALSE),"")</f>
      </c>
      <c r="R275" s="57">
        <f>IFERROR(VLOOKUP($A:$A,CS!$A:$AK,26,FALSE),"")</f>
      </c>
      <c r="S275" s="57">
        <f>IFERROR(VLOOKUP($A:$A,CS!$A:$AK,29,FALSE),"")</f>
      </c>
      <c r="T275" s="57">
        <f>IFERROR(VLOOKUP($A:$A,CS!$A:$AK,33,FALSE),"")</f>
      </c>
      <c r="U275" s="57">
        <f>IFERROR(VLOOKUP($A:$A,CS!$A:$AK,34,FALSE),"")</f>
      </c>
      <c r="V275" s="57">
        <f>IFERROR(VLOOKUP($A:$A,CS!$A:$AK,35,FALSE),"")</f>
      </c>
      <c r="W275" s="57">
        <f>IFERROR(VLOOKUP($A:$A,CS!$A:$AK,36,FALSE),"")</f>
      </c>
    </row>
    <row r="276" ht="16.5" customHeight="1" spans="1:23" x14ac:dyDescent="0.25">
      <c r="A276" s="71"/>
      <c r="B276" s="57">
        <f>IFERROR(VLOOKUP($A:$A,CS!$A:$AK,3,FALSE),"")</f>
      </c>
      <c r="C276" s="57">
        <f>IFERROR(VLOOKUP($A:$A,CS!$A:$AK,4,FALSE),"")</f>
      </c>
      <c r="D276" s="57">
        <f>IFERROR(VLOOKUP($A:$A,CS!$A:$AK,5,FALSE),"")</f>
      </c>
      <c r="E276" s="57">
        <f>IFERROR(VLOOKUP($A:$A,CS!$A:$AK,7,FALSE),"")</f>
      </c>
      <c r="F276" s="57">
        <f>IFERROR(VLOOKUP($A:$A,CS!$A:$AK,8,FALSE),"")</f>
      </c>
      <c r="G276" s="57">
        <f>IFERROR(VLOOKUP($A:$A,CS!$A:$AK,10,FALSE),"")</f>
      </c>
      <c r="H276" s="57">
        <f>IFERROR(VLOOKUP($A:$A,CS!$A:$AK,14,FALSE),"")</f>
      </c>
      <c r="I276" s="57">
        <f>IFERROR(VLOOKUP($A:$A,CS!$A:$AK,15,FALSE),"")</f>
      </c>
      <c r="J276" s="57">
        <f>IFERROR(VLOOKUP($A:$A,CS!$A:$AK,18,FALSE),"")</f>
      </c>
      <c r="K276" s="57">
        <f>IFERROR(VLOOKUP($A:$A,CS!$A:$AK,19,FALSE),"")</f>
      </c>
      <c r="L276" s="57">
        <f>IFERROR(VLOOKUP($A:$A,CS!$A:$AK,20,FALSE),"")</f>
      </c>
      <c r="M276" s="57">
        <f>IFERROR(VLOOKUP($A:$A,CS!$A:$AK,22,FALSE),"")</f>
      </c>
      <c r="N276" s="57">
        <f>IFERROR(VLOOKUP($A:$A,CS!$A:$AK,19,FALSE),"")</f>
      </c>
      <c r="O276" s="57">
        <f>IFERROR(VLOOKUP($A:$A,CS!$A:$AK,23,FALSE),"")</f>
      </c>
      <c r="P276" s="57">
        <f>IFERROR(VLOOKUP($A:$A,CS!$A:$AK,24,FALSE),"")</f>
      </c>
      <c r="Q276" s="57">
        <f>IFERROR(VLOOKUP($A:$A,CS!$A:$AK,25,FALSE),"")</f>
      </c>
      <c r="R276" s="57">
        <f>IFERROR(VLOOKUP($A:$A,CS!$A:$AK,26,FALSE),"")</f>
      </c>
      <c r="S276" s="57">
        <f>IFERROR(VLOOKUP($A:$A,CS!$A:$AK,29,FALSE),"")</f>
      </c>
      <c r="T276" s="57">
        <f>IFERROR(VLOOKUP($A:$A,CS!$A:$AK,33,FALSE),"")</f>
      </c>
      <c r="U276" s="57">
        <f>IFERROR(VLOOKUP($A:$A,CS!$A:$AK,34,FALSE),"")</f>
      </c>
      <c r="V276" s="57">
        <f>IFERROR(VLOOKUP($A:$A,CS!$A:$AK,35,FALSE),"")</f>
      </c>
      <c r="W276" s="57">
        <f>IFERROR(VLOOKUP($A:$A,CS!$A:$AK,36,FALSE),"")</f>
      </c>
    </row>
    <row r="277" ht="16.5" customHeight="1" spans="1:23" x14ac:dyDescent="0.25">
      <c r="A277" s="71"/>
      <c r="B277" s="57">
        <f>IFERROR(VLOOKUP($A:$A,CS!$A:$AK,3,FALSE),"")</f>
      </c>
      <c r="C277" s="57">
        <f>IFERROR(VLOOKUP($A:$A,CS!$A:$AK,4,FALSE),"")</f>
      </c>
      <c r="D277" s="57">
        <f>IFERROR(VLOOKUP($A:$A,CS!$A:$AK,5,FALSE),"")</f>
      </c>
      <c r="E277" s="57">
        <f>IFERROR(VLOOKUP($A:$A,CS!$A:$AK,7,FALSE),"")</f>
      </c>
      <c r="F277" s="57">
        <f>IFERROR(VLOOKUP($A:$A,CS!$A:$AK,8,FALSE),"")</f>
      </c>
      <c r="G277" s="57">
        <f>IFERROR(VLOOKUP($A:$A,CS!$A:$AK,10,FALSE),"")</f>
      </c>
      <c r="H277" s="57">
        <f>IFERROR(VLOOKUP($A:$A,CS!$A:$AK,14,FALSE),"")</f>
      </c>
      <c r="I277" s="57">
        <f>IFERROR(VLOOKUP($A:$A,CS!$A:$AK,15,FALSE),"")</f>
      </c>
      <c r="J277" s="57">
        <f>IFERROR(VLOOKUP($A:$A,CS!$A:$AK,18,FALSE),"")</f>
      </c>
      <c r="K277" s="57">
        <f>IFERROR(VLOOKUP($A:$A,CS!$A:$AK,19,FALSE),"")</f>
      </c>
      <c r="L277" s="57">
        <f>IFERROR(VLOOKUP($A:$A,CS!$A:$AK,20,FALSE),"")</f>
      </c>
      <c r="M277" s="57">
        <f>IFERROR(VLOOKUP($A:$A,CS!$A:$AK,22,FALSE),"")</f>
      </c>
      <c r="N277" s="57">
        <f>IFERROR(VLOOKUP($A:$A,CS!$A:$AK,19,FALSE),"")</f>
      </c>
      <c r="O277" s="57">
        <f>IFERROR(VLOOKUP($A:$A,CS!$A:$AK,23,FALSE),"")</f>
      </c>
      <c r="P277" s="57">
        <f>IFERROR(VLOOKUP($A:$A,CS!$A:$AK,24,FALSE),"")</f>
      </c>
      <c r="Q277" s="57">
        <f>IFERROR(VLOOKUP($A:$A,CS!$A:$AK,25,FALSE),"")</f>
      </c>
      <c r="R277" s="57">
        <f>IFERROR(VLOOKUP($A:$A,CS!$A:$AK,26,FALSE),"")</f>
      </c>
      <c r="S277" s="57">
        <f>IFERROR(VLOOKUP($A:$A,CS!$A:$AK,29,FALSE),"")</f>
      </c>
      <c r="T277" s="57">
        <f>IFERROR(VLOOKUP($A:$A,CS!$A:$AK,33,FALSE),"")</f>
      </c>
      <c r="U277" s="57">
        <f>IFERROR(VLOOKUP($A:$A,CS!$A:$AK,34,FALSE),"")</f>
      </c>
      <c r="V277" s="57">
        <f>IFERROR(VLOOKUP($A:$A,CS!$A:$AK,35,FALSE),"")</f>
      </c>
      <c r="W277" s="57">
        <f>IFERROR(VLOOKUP($A:$A,CS!$A:$AK,36,FALSE),"")</f>
      </c>
    </row>
    <row r="278" ht="16.5" customHeight="1" spans="1:23" x14ac:dyDescent="0.25">
      <c r="A278" s="71"/>
      <c r="B278" s="57">
        <f>IFERROR(VLOOKUP($A:$A,CS!$A:$AK,3,FALSE),"")</f>
      </c>
      <c r="C278" s="57">
        <f>IFERROR(VLOOKUP($A:$A,CS!$A:$AK,4,FALSE),"")</f>
      </c>
      <c r="D278" s="57">
        <f>IFERROR(VLOOKUP($A:$A,CS!$A:$AK,5,FALSE),"")</f>
      </c>
      <c r="E278" s="57">
        <f>IFERROR(VLOOKUP($A:$A,CS!$A:$AK,7,FALSE),"")</f>
      </c>
      <c r="F278" s="57">
        <f>IFERROR(VLOOKUP($A:$A,CS!$A:$AK,8,FALSE),"")</f>
      </c>
      <c r="G278" s="57">
        <f>IFERROR(VLOOKUP($A:$A,CS!$A:$AK,10,FALSE),"")</f>
      </c>
      <c r="H278" s="57">
        <f>IFERROR(VLOOKUP($A:$A,CS!$A:$AK,14,FALSE),"")</f>
      </c>
      <c r="I278" s="57">
        <f>IFERROR(VLOOKUP($A:$A,CS!$A:$AK,15,FALSE),"")</f>
      </c>
      <c r="J278" s="57">
        <f>IFERROR(VLOOKUP($A:$A,CS!$A:$AK,18,FALSE),"")</f>
      </c>
      <c r="K278" s="57">
        <f>IFERROR(VLOOKUP($A:$A,CS!$A:$AK,19,FALSE),"")</f>
      </c>
      <c r="L278" s="57">
        <f>IFERROR(VLOOKUP($A:$A,CS!$A:$AK,20,FALSE),"")</f>
      </c>
      <c r="M278" s="57">
        <f>IFERROR(VLOOKUP($A:$A,CS!$A:$AK,22,FALSE),"")</f>
      </c>
      <c r="N278" s="57">
        <f>IFERROR(VLOOKUP($A:$A,CS!$A:$AK,19,FALSE),"")</f>
      </c>
      <c r="O278" s="57">
        <f>IFERROR(VLOOKUP($A:$A,CS!$A:$AK,23,FALSE),"")</f>
      </c>
      <c r="P278" s="57">
        <f>IFERROR(VLOOKUP($A:$A,CS!$A:$AK,24,FALSE),"")</f>
      </c>
      <c r="Q278" s="57">
        <f>IFERROR(VLOOKUP($A:$A,CS!$A:$AK,25,FALSE),"")</f>
      </c>
      <c r="R278" s="57">
        <f>IFERROR(VLOOKUP($A:$A,CS!$A:$AK,26,FALSE),"")</f>
      </c>
      <c r="S278" s="57">
        <f>IFERROR(VLOOKUP($A:$A,CS!$A:$AK,29,FALSE),"")</f>
      </c>
      <c r="T278" s="57">
        <f>IFERROR(VLOOKUP($A:$A,CS!$A:$AK,33,FALSE),"")</f>
      </c>
      <c r="U278" s="57">
        <f>IFERROR(VLOOKUP($A:$A,CS!$A:$AK,34,FALSE),"")</f>
      </c>
      <c r="V278" s="57">
        <f>IFERROR(VLOOKUP($A:$A,CS!$A:$AK,35,FALSE),"")</f>
      </c>
      <c r="W278" s="57">
        <f>IFERROR(VLOOKUP($A:$A,CS!$A:$AK,36,FALSE),"")</f>
      </c>
    </row>
    <row r="279" ht="16.5" customHeight="1" spans="1:23" x14ac:dyDescent="0.25">
      <c r="A279" s="71"/>
      <c r="B279" s="57">
        <f>IFERROR(VLOOKUP($A:$A,CS!$A:$AK,3,FALSE),"")</f>
      </c>
      <c r="C279" s="57">
        <f>IFERROR(VLOOKUP($A:$A,CS!$A:$AK,4,FALSE),"")</f>
      </c>
      <c r="D279" s="57">
        <f>IFERROR(VLOOKUP($A:$A,CS!$A:$AK,5,FALSE),"")</f>
      </c>
      <c r="E279" s="57">
        <f>IFERROR(VLOOKUP($A:$A,CS!$A:$AK,7,FALSE),"")</f>
      </c>
      <c r="F279" s="57">
        <f>IFERROR(VLOOKUP($A:$A,CS!$A:$AK,8,FALSE),"")</f>
      </c>
      <c r="G279" s="57">
        <f>IFERROR(VLOOKUP($A:$A,CS!$A:$AK,10,FALSE),"")</f>
      </c>
      <c r="H279" s="57">
        <f>IFERROR(VLOOKUP($A:$A,CS!$A:$AK,14,FALSE),"")</f>
      </c>
      <c r="I279" s="57">
        <f>IFERROR(VLOOKUP($A:$A,CS!$A:$AK,15,FALSE),"")</f>
      </c>
      <c r="J279" s="57">
        <f>IFERROR(VLOOKUP($A:$A,CS!$A:$AK,18,FALSE),"")</f>
      </c>
      <c r="K279" s="57">
        <f>IFERROR(VLOOKUP($A:$A,CS!$A:$AK,19,FALSE),"")</f>
      </c>
      <c r="L279" s="57">
        <f>IFERROR(VLOOKUP($A:$A,CS!$A:$AK,20,FALSE),"")</f>
      </c>
      <c r="M279" s="57">
        <f>IFERROR(VLOOKUP($A:$A,CS!$A:$AK,22,FALSE),"")</f>
      </c>
      <c r="N279" s="57">
        <f>IFERROR(VLOOKUP($A:$A,CS!$A:$AK,19,FALSE),"")</f>
      </c>
      <c r="O279" s="57">
        <f>IFERROR(VLOOKUP($A:$A,CS!$A:$AK,23,FALSE),"")</f>
      </c>
      <c r="P279" s="57">
        <f>IFERROR(VLOOKUP($A:$A,CS!$A:$AK,24,FALSE),"")</f>
      </c>
      <c r="Q279" s="57">
        <f>IFERROR(VLOOKUP($A:$A,CS!$A:$AK,25,FALSE),"")</f>
      </c>
      <c r="R279" s="57">
        <f>IFERROR(VLOOKUP($A:$A,CS!$A:$AK,26,FALSE),"")</f>
      </c>
      <c r="S279" s="57">
        <f>IFERROR(VLOOKUP($A:$A,CS!$A:$AK,29,FALSE),"")</f>
      </c>
      <c r="T279" s="57">
        <f>IFERROR(VLOOKUP($A:$A,CS!$A:$AK,33,FALSE),"")</f>
      </c>
      <c r="U279" s="57">
        <f>IFERROR(VLOOKUP($A:$A,CS!$A:$AK,34,FALSE),"")</f>
      </c>
      <c r="V279" s="57">
        <f>IFERROR(VLOOKUP($A:$A,CS!$A:$AK,35,FALSE),"")</f>
      </c>
      <c r="W279" s="57">
        <f>IFERROR(VLOOKUP($A:$A,CS!$A:$AK,36,FALSE),"")</f>
      </c>
    </row>
    <row r="280" ht="16.5" customHeight="1" spans="1:23" x14ac:dyDescent="0.25">
      <c r="A280" s="71"/>
      <c r="B280" s="57">
        <f>IFERROR(VLOOKUP($A:$A,CS!$A:$AK,3,FALSE),"")</f>
      </c>
      <c r="C280" s="57">
        <f>IFERROR(VLOOKUP($A:$A,CS!$A:$AK,4,FALSE),"")</f>
      </c>
      <c r="D280" s="57">
        <f>IFERROR(VLOOKUP($A:$A,CS!$A:$AK,5,FALSE),"")</f>
      </c>
      <c r="E280" s="57">
        <f>IFERROR(VLOOKUP($A:$A,CS!$A:$AK,7,FALSE),"")</f>
      </c>
      <c r="F280" s="57">
        <f>IFERROR(VLOOKUP($A:$A,CS!$A:$AK,8,FALSE),"")</f>
      </c>
      <c r="G280" s="57">
        <f>IFERROR(VLOOKUP($A:$A,CS!$A:$AK,10,FALSE),"")</f>
      </c>
      <c r="H280" s="57">
        <f>IFERROR(VLOOKUP($A:$A,CS!$A:$AK,14,FALSE),"")</f>
      </c>
      <c r="I280" s="57">
        <f>IFERROR(VLOOKUP($A:$A,CS!$A:$AK,15,FALSE),"")</f>
      </c>
      <c r="J280" s="57">
        <f>IFERROR(VLOOKUP($A:$A,CS!$A:$AK,18,FALSE),"")</f>
      </c>
      <c r="K280" s="57">
        <f>IFERROR(VLOOKUP($A:$A,CS!$A:$AK,19,FALSE),"")</f>
      </c>
      <c r="L280" s="57">
        <f>IFERROR(VLOOKUP($A:$A,CS!$A:$AK,20,FALSE),"")</f>
      </c>
      <c r="M280" s="57">
        <f>IFERROR(VLOOKUP($A:$A,CS!$A:$AK,22,FALSE),"")</f>
      </c>
      <c r="N280" s="57">
        <f>IFERROR(VLOOKUP($A:$A,CS!$A:$AK,19,FALSE),"")</f>
      </c>
      <c r="O280" s="57">
        <f>IFERROR(VLOOKUP($A:$A,CS!$A:$AK,23,FALSE),"")</f>
      </c>
      <c r="P280" s="57">
        <f>IFERROR(VLOOKUP($A:$A,CS!$A:$AK,24,FALSE),"")</f>
      </c>
      <c r="Q280" s="57">
        <f>IFERROR(VLOOKUP($A:$A,CS!$A:$AK,25,FALSE),"")</f>
      </c>
      <c r="R280" s="57">
        <f>IFERROR(VLOOKUP($A:$A,CS!$A:$AK,26,FALSE),"")</f>
      </c>
      <c r="S280" s="57">
        <f>IFERROR(VLOOKUP($A:$A,CS!$A:$AK,29,FALSE),"")</f>
      </c>
      <c r="T280" s="57">
        <f>IFERROR(VLOOKUP($A:$A,CS!$A:$AK,33,FALSE),"")</f>
      </c>
      <c r="U280" s="57">
        <f>IFERROR(VLOOKUP($A:$A,CS!$A:$AK,34,FALSE),"")</f>
      </c>
      <c r="V280" s="57">
        <f>IFERROR(VLOOKUP($A:$A,CS!$A:$AK,35,FALSE),"")</f>
      </c>
      <c r="W280" s="57">
        <f>IFERROR(VLOOKUP($A:$A,CS!$A:$AK,36,FALSE),"")</f>
      </c>
    </row>
    <row r="281" ht="16.5" customHeight="1" spans="1:23" x14ac:dyDescent="0.25">
      <c r="A281" s="71"/>
      <c r="B281" s="57">
        <f>IFERROR(VLOOKUP($A:$A,CS!$A:$AK,3,FALSE),"")</f>
      </c>
      <c r="C281" s="57">
        <f>IFERROR(VLOOKUP($A:$A,CS!$A:$AK,4,FALSE),"")</f>
      </c>
      <c r="D281" s="57">
        <f>IFERROR(VLOOKUP($A:$A,CS!$A:$AK,5,FALSE),"")</f>
      </c>
      <c r="E281" s="57">
        <f>IFERROR(VLOOKUP($A:$A,CS!$A:$AK,7,FALSE),"")</f>
      </c>
      <c r="F281" s="57">
        <f>IFERROR(VLOOKUP($A:$A,CS!$A:$AK,8,FALSE),"")</f>
      </c>
      <c r="G281" s="57">
        <f>IFERROR(VLOOKUP($A:$A,CS!$A:$AK,10,FALSE),"")</f>
      </c>
      <c r="H281" s="57">
        <f>IFERROR(VLOOKUP($A:$A,CS!$A:$AK,14,FALSE),"")</f>
      </c>
      <c r="I281" s="57">
        <f>IFERROR(VLOOKUP($A:$A,CS!$A:$AK,15,FALSE),"")</f>
      </c>
      <c r="J281" s="57">
        <f>IFERROR(VLOOKUP($A:$A,CS!$A:$AK,18,FALSE),"")</f>
      </c>
      <c r="K281" s="57">
        <f>IFERROR(VLOOKUP($A:$A,CS!$A:$AK,19,FALSE),"")</f>
      </c>
      <c r="L281" s="57">
        <f>IFERROR(VLOOKUP($A:$A,CS!$A:$AK,20,FALSE),"")</f>
      </c>
      <c r="M281" s="57">
        <f>IFERROR(VLOOKUP($A:$A,CS!$A:$AK,22,FALSE),"")</f>
      </c>
      <c r="N281" s="57">
        <f>IFERROR(VLOOKUP($A:$A,CS!$A:$AK,19,FALSE),"")</f>
      </c>
      <c r="O281" s="57">
        <f>IFERROR(VLOOKUP($A:$A,CS!$A:$AK,23,FALSE),"")</f>
      </c>
      <c r="P281" s="57">
        <f>IFERROR(VLOOKUP($A:$A,CS!$A:$AK,24,FALSE),"")</f>
      </c>
      <c r="Q281" s="57">
        <f>IFERROR(VLOOKUP($A:$A,CS!$A:$AK,25,FALSE),"")</f>
      </c>
      <c r="R281" s="57">
        <f>IFERROR(VLOOKUP($A:$A,CS!$A:$AK,26,FALSE),"")</f>
      </c>
      <c r="S281" s="57">
        <f>IFERROR(VLOOKUP($A:$A,CS!$A:$AK,29,FALSE),"")</f>
      </c>
      <c r="T281" s="57">
        <f>IFERROR(VLOOKUP($A:$A,CS!$A:$AK,33,FALSE),"")</f>
      </c>
      <c r="U281" s="57">
        <f>IFERROR(VLOOKUP($A:$A,CS!$A:$AK,34,FALSE),"")</f>
      </c>
      <c r="V281" s="57">
        <f>IFERROR(VLOOKUP($A:$A,CS!$A:$AK,35,FALSE),"")</f>
      </c>
      <c r="W281" s="57">
        <f>IFERROR(VLOOKUP($A:$A,CS!$A:$AK,36,FALSE),"")</f>
      </c>
    </row>
    <row r="282" ht="16.5" customHeight="1" spans="1:23" x14ac:dyDescent="0.25">
      <c r="A282" s="71"/>
      <c r="B282" s="57">
        <f>IFERROR(VLOOKUP($A:$A,CS!$A:$AK,3,FALSE),"")</f>
      </c>
      <c r="C282" s="57">
        <f>IFERROR(VLOOKUP($A:$A,CS!$A:$AK,4,FALSE),"")</f>
      </c>
      <c r="D282" s="57">
        <f>IFERROR(VLOOKUP($A:$A,CS!$A:$AK,5,FALSE),"")</f>
      </c>
      <c r="E282" s="57">
        <f>IFERROR(VLOOKUP($A:$A,CS!$A:$AK,7,FALSE),"")</f>
      </c>
      <c r="F282" s="57">
        <f>IFERROR(VLOOKUP($A:$A,CS!$A:$AK,8,FALSE),"")</f>
      </c>
      <c r="G282" s="57">
        <f>IFERROR(VLOOKUP($A:$A,CS!$A:$AK,10,FALSE),"")</f>
      </c>
      <c r="H282" s="57">
        <f>IFERROR(VLOOKUP($A:$A,CS!$A:$AK,14,FALSE),"")</f>
      </c>
      <c r="I282" s="57">
        <f>IFERROR(VLOOKUP($A:$A,CS!$A:$AK,15,FALSE),"")</f>
      </c>
      <c r="J282" s="57">
        <f>IFERROR(VLOOKUP($A:$A,CS!$A:$AK,18,FALSE),"")</f>
      </c>
      <c r="K282" s="57">
        <f>IFERROR(VLOOKUP($A:$A,CS!$A:$AK,19,FALSE),"")</f>
      </c>
      <c r="L282" s="57">
        <f>IFERROR(VLOOKUP($A:$A,CS!$A:$AK,20,FALSE),"")</f>
      </c>
      <c r="M282" s="57">
        <f>IFERROR(VLOOKUP($A:$A,CS!$A:$AK,22,FALSE),"")</f>
      </c>
      <c r="N282" s="57">
        <f>IFERROR(VLOOKUP($A:$A,CS!$A:$AK,19,FALSE),"")</f>
      </c>
      <c r="O282" s="57">
        <f>IFERROR(VLOOKUP($A:$A,CS!$A:$AK,23,FALSE),"")</f>
      </c>
      <c r="P282" s="57">
        <f>IFERROR(VLOOKUP($A:$A,CS!$A:$AK,24,FALSE),"")</f>
      </c>
      <c r="Q282" s="57">
        <f>IFERROR(VLOOKUP($A:$A,CS!$A:$AK,25,FALSE),"")</f>
      </c>
      <c r="R282" s="57">
        <f>IFERROR(VLOOKUP($A:$A,CS!$A:$AK,26,FALSE),"")</f>
      </c>
      <c r="S282" s="57">
        <f>IFERROR(VLOOKUP($A:$A,CS!$A:$AK,29,FALSE),"")</f>
      </c>
      <c r="T282" s="57">
        <f>IFERROR(VLOOKUP($A:$A,CS!$A:$AK,33,FALSE),"")</f>
      </c>
      <c r="U282" s="57">
        <f>IFERROR(VLOOKUP($A:$A,CS!$A:$AK,34,FALSE),"")</f>
      </c>
      <c r="V282" s="57">
        <f>IFERROR(VLOOKUP($A:$A,CS!$A:$AK,35,FALSE),"")</f>
      </c>
      <c r="W282" s="57">
        <f>IFERROR(VLOOKUP($A:$A,CS!$A:$AK,36,FALSE),"")</f>
      </c>
    </row>
    <row r="283" ht="16.5" customHeight="1" spans="1:23" x14ac:dyDescent="0.25">
      <c r="A283" s="71"/>
      <c r="B283" s="57">
        <f>IFERROR(VLOOKUP($A:$A,CS!$A:$AK,3,FALSE),"")</f>
      </c>
      <c r="C283" s="57">
        <f>IFERROR(VLOOKUP($A:$A,CS!$A:$AK,4,FALSE),"")</f>
      </c>
      <c r="D283" s="57">
        <f>IFERROR(VLOOKUP($A:$A,CS!$A:$AK,5,FALSE),"")</f>
      </c>
      <c r="E283" s="57">
        <f>IFERROR(VLOOKUP($A:$A,CS!$A:$AK,7,FALSE),"")</f>
      </c>
      <c r="F283" s="57">
        <f>IFERROR(VLOOKUP($A:$A,CS!$A:$AK,8,FALSE),"")</f>
      </c>
      <c r="G283" s="57">
        <f>IFERROR(VLOOKUP($A:$A,CS!$A:$AK,10,FALSE),"")</f>
      </c>
      <c r="H283" s="57">
        <f>IFERROR(VLOOKUP($A:$A,CS!$A:$AK,14,FALSE),"")</f>
      </c>
      <c r="I283" s="57">
        <f>IFERROR(VLOOKUP($A:$A,CS!$A:$AK,15,FALSE),"")</f>
      </c>
      <c r="J283" s="57">
        <f>IFERROR(VLOOKUP($A:$A,CS!$A:$AK,18,FALSE),"")</f>
      </c>
      <c r="K283" s="57">
        <f>IFERROR(VLOOKUP($A:$A,CS!$A:$AK,19,FALSE),"")</f>
      </c>
      <c r="L283" s="57">
        <f>IFERROR(VLOOKUP($A:$A,CS!$A:$AK,20,FALSE),"")</f>
      </c>
      <c r="M283" s="57">
        <f>IFERROR(VLOOKUP($A:$A,CS!$A:$AK,22,FALSE),"")</f>
      </c>
      <c r="N283" s="57">
        <f>IFERROR(VLOOKUP($A:$A,CS!$A:$AK,19,FALSE),"")</f>
      </c>
      <c r="O283" s="57">
        <f>IFERROR(VLOOKUP($A:$A,CS!$A:$AK,23,FALSE),"")</f>
      </c>
      <c r="P283" s="57">
        <f>IFERROR(VLOOKUP($A:$A,CS!$A:$AK,24,FALSE),"")</f>
      </c>
      <c r="Q283" s="57">
        <f>IFERROR(VLOOKUP($A:$A,CS!$A:$AK,25,FALSE),"")</f>
      </c>
      <c r="R283" s="57">
        <f>IFERROR(VLOOKUP($A:$A,CS!$A:$AK,26,FALSE),"")</f>
      </c>
      <c r="S283" s="57">
        <f>IFERROR(VLOOKUP($A:$A,CS!$A:$AK,29,FALSE),"")</f>
      </c>
      <c r="T283" s="57">
        <f>IFERROR(VLOOKUP($A:$A,CS!$A:$AK,33,FALSE),"")</f>
      </c>
      <c r="U283" s="57">
        <f>IFERROR(VLOOKUP($A:$A,CS!$A:$AK,34,FALSE),"")</f>
      </c>
      <c r="V283" s="57">
        <f>IFERROR(VLOOKUP($A:$A,CS!$A:$AK,35,FALSE),"")</f>
      </c>
      <c r="W283" s="57">
        <f>IFERROR(VLOOKUP($A:$A,CS!$A:$AK,36,FALSE),"")</f>
      </c>
    </row>
    <row r="284" ht="16.5" customHeight="1" spans="1:23" x14ac:dyDescent="0.25">
      <c r="A284" s="71"/>
      <c r="B284" s="57">
        <f>IFERROR(VLOOKUP($A:$A,CS!$A:$AK,3,FALSE),"")</f>
      </c>
      <c r="C284" s="57">
        <f>IFERROR(VLOOKUP($A:$A,CS!$A:$AK,4,FALSE),"")</f>
      </c>
      <c r="D284" s="57">
        <f>IFERROR(VLOOKUP($A:$A,CS!$A:$AK,5,FALSE),"")</f>
      </c>
      <c r="E284" s="57">
        <f>IFERROR(VLOOKUP($A:$A,CS!$A:$AK,7,FALSE),"")</f>
      </c>
      <c r="F284" s="57">
        <f>IFERROR(VLOOKUP($A:$A,CS!$A:$AK,8,FALSE),"")</f>
      </c>
      <c r="G284" s="57">
        <f>IFERROR(VLOOKUP($A:$A,CS!$A:$AK,10,FALSE),"")</f>
      </c>
      <c r="H284" s="57">
        <f>IFERROR(VLOOKUP($A:$A,CS!$A:$AK,14,FALSE),"")</f>
      </c>
      <c r="I284" s="57">
        <f>IFERROR(VLOOKUP($A:$A,CS!$A:$AK,15,FALSE),"")</f>
      </c>
      <c r="J284" s="57">
        <f>IFERROR(VLOOKUP($A:$A,CS!$A:$AK,18,FALSE),"")</f>
      </c>
      <c r="K284" s="57">
        <f>IFERROR(VLOOKUP($A:$A,CS!$A:$AK,19,FALSE),"")</f>
      </c>
      <c r="L284" s="57">
        <f>IFERROR(VLOOKUP($A:$A,CS!$A:$AK,20,FALSE),"")</f>
      </c>
      <c r="M284" s="57">
        <f>IFERROR(VLOOKUP($A:$A,CS!$A:$AK,22,FALSE),"")</f>
      </c>
      <c r="N284" s="57">
        <f>IFERROR(VLOOKUP($A:$A,CS!$A:$AK,19,FALSE),"")</f>
      </c>
      <c r="O284" s="57">
        <f>IFERROR(VLOOKUP($A:$A,CS!$A:$AK,23,FALSE),"")</f>
      </c>
      <c r="P284" s="57">
        <f>IFERROR(VLOOKUP($A:$A,CS!$A:$AK,24,FALSE),"")</f>
      </c>
      <c r="Q284" s="57">
        <f>IFERROR(VLOOKUP($A:$A,CS!$A:$AK,25,FALSE),"")</f>
      </c>
      <c r="R284" s="57">
        <f>IFERROR(VLOOKUP($A:$A,CS!$A:$AK,26,FALSE),"")</f>
      </c>
      <c r="S284" s="57">
        <f>IFERROR(VLOOKUP($A:$A,CS!$A:$AK,29,FALSE),"")</f>
      </c>
      <c r="T284" s="57">
        <f>IFERROR(VLOOKUP($A:$A,CS!$A:$AK,33,FALSE),"")</f>
      </c>
      <c r="U284" s="57">
        <f>IFERROR(VLOOKUP($A:$A,CS!$A:$AK,34,FALSE),"")</f>
      </c>
      <c r="V284" s="57">
        <f>IFERROR(VLOOKUP($A:$A,CS!$A:$AK,35,FALSE),"")</f>
      </c>
      <c r="W284" s="57">
        <f>IFERROR(VLOOKUP($A:$A,CS!$A:$AK,36,FALSE),"")</f>
      </c>
    </row>
    <row r="285" ht="16.5" customHeight="1" spans="1:23" x14ac:dyDescent="0.25">
      <c r="A285" s="71"/>
      <c r="B285" s="57">
        <f>IFERROR(VLOOKUP($A:$A,CS!$A:$AK,3,FALSE),"")</f>
      </c>
      <c r="C285" s="57">
        <f>IFERROR(VLOOKUP($A:$A,CS!$A:$AK,4,FALSE),"")</f>
      </c>
      <c r="D285" s="57">
        <f>IFERROR(VLOOKUP($A:$A,CS!$A:$AK,5,FALSE),"")</f>
      </c>
      <c r="E285" s="57">
        <f>IFERROR(VLOOKUP($A:$A,CS!$A:$AK,7,FALSE),"")</f>
      </c>
      <c r="F285" s="57">
        <f>IFERROR(VLOOKUP($A:$A,CS!$A:$AK,8,FALSE),"")</f>
      </c>
      <c r="G285" s="57">
        <f>IFERROR(VLOOKUP($A:$A,CS!$A:$AK,10,FALSE),"")</f>
      </c>
      <c r="H285" s="57">
        <f>IFERROR(VLOOKUP($A:$A,CS!$A:$AK,14,FALSE),"")</f>
      </c>
      <c r="I285" s="57">
        <f>IFERROR(VLOOKUP($A:$A,CS!$A:$AK,15,FALSE),"")</f>
      </c>
      <c r="J285" s="57">
        <f>IFERROR(VLOOKUP($A:$A,CS!$A:$AK,18,FALSE),"")</f>
      </c>
      <c r="K285" s="57">
        <f>IFERROR(VLOOKUP($A:$A,CS!$A:$AK,19,FALSE),"")</f>
      </c>
      <c r="L285" s="57">
        <f>IFERROR(VLOOKUP($A:$A,CS!$A:$AK,20,FALSE),"")</f>
      </c>
      <c r="M285" s="57">
        <f>IFERROR(VLOOKUP($A:$A,CS!$A:$AK,22,FALSE),"")</f>
      </c>
      <c r="N285" s="57">
        <f>IFERROR(VLOOKUP($A:$A,CS!$A:$AK,19,FALSE),"")</f>
      </c>
      <c r="O285" s="57">
        <f>IFERROR(VLOOKUP($A:$A,CS!$A:$AK,23,FALSE),"")</f>
      </c>
      <c r="P285" s="57">
        <f>IFERROR(VLOOKUP($A:$A,CS!$A:$AK,24,FALSE),"")</f>
      </c>
      <c r="Q285" s="57">
        <f>IFERROR(VLOOKUP($A:$A,CS!$A:$AK,25,FALSE),"")</f>
      </c>
      <c r="R285" s="57">
        <f>IFERROR(VLOOKUP($A:$A,CS!$A:$AK,26,FALSE),"")</f>
      </c>
      <c r="S285" s="57">
        <f>IFERROR(VLOOKUP($A:$A,CS!$A:$AK,29,FALSE),"")</f>
      </c>
      <c r="T285" s="57">
        <f>IFERROR(VLOOKUP($A:$A,CS!$A:$AK,33,FALSE),"")</f>
      </c>
      <c r="U285" s="57">
        <f>IFERROR(VLOOKUP($A:$A,CS!$A:$AK,34,FALSE),"")</f>
      </c>
      <c r="V285" s="57">
        <f>IFERROR(VLOOKUP($A:$A,CS!$A:$AK,35,FALSE),"")</f>
      </c>
      <c r="W285" s="57">
        <f>IFERROR(VLOOKUP($A:$A,CS!$A:$AK,36,FALSE),"")</f>
      </c>
    </row>
    <row r="286" ht="16.5" customHeight="1" spans="1:23" x14ac:dyDescent="0.25">
      <c r="A286" s="71"/>
      <c r="B286" s="57">
        <f>IFERROR(VLOOKUP($A:$A,CS!$A:$AK,3,FALSE),"")</f>
      </c>
      <c r="C286" s="57">
        <f>IFERROR(VLOOKUP($A:$A,CS!$A:$AK,4,FALSE),"")</f>
      </c>
      <c r="D286" s="57">
        <f>IFERROR(VLOOKUP($A:$A,CS!$A:$AK,5,FALSE),"")</f>
      </c>
      <c r="E286" s="57">
        <f>IFERROR(VLOOKUP($A:$A,CS!$A:$AK,7,FALSE),"")</f>
      </c>
      <c r="F286" s="57">
        <f>IFERROR(VLOOKUP($A:$A,CS!$A:$AK,8,FALSE),"")</f>
      </c>
      <c r="G286" s="57">
        <f>IFERROR(VLOOKUP($A:$A,CS!$A:$AK,10,FALSE),"")</f>
      </c>
      <c r="H286" s="57">
        <f>IFERROR(VLOOKUP($A:$A,CS!$A:$AK,14,FALSE),"")</f>
      </c>
      <c r="I286" s="57">
        <f>IFERROR(VLOOKUP($A:$A,CS!$A:$AK,15,FALSE),"")</f>
      </c>
      <c r="J286" s="57">
        <f>IFERROR(VLOOKUP($A:$A,CS!$A:$AK,18,FALSE),"")</f>
      </c>
      <c r="K286" s="57">
        <f>IFERROR(VLOOKUP($A:$A,CS!$A:$AK,19,FALSE),"")</f>
      </c>
      <c r="L286" s="57">
        <f>IFERROR(VLOOKUP($A:$A,CS!$A:$AK,20,FALSE),"")</f>
      </c>
      <c r="M286" s="57">
        <f>IFERROR(VLOOKUP($A:$A,CS!$A:$AK,22,FALSE),"")</f>
      </c>
      <c r="N286" s="57">
        <f>IFERROR(VLOOKUP($A:$A,CS!$A:$AK,19,FALSE),"")</f>
      </c>
      <c r="O286" s="57">
        <f>IFERROR(VLOOKUP($A:$A,CS!$A:$AK,23,FALSE),"")</f>
      </c>
      <c r="P286" s="57">
        <f>IFERROR(VLOOKUP($A:$A,CS!$A:$AK,24,FALSE),"")</f>
      </c>
      <c r="Q286" s="57">
        <f>IFERROR(VLOOKUP($A:$A,CS!$A:$AK,25,FALSE),"")</f>
      </c>
      <c r="R286" s="57">
        <f>IFERROR(VLOOKUP($A:$A,CS!$A:$AK,26,FALSE),"")</f>
      </c>
      <c r="S286" s="57">
        <f>IFERROR(VLOOKUP($A:$A,CS!$A:$AK,29,FALSE),"")</f>
      </c>
      <c r="T286" s="57">
        <f>IFERROR(VLOOKUP($A:$A,CS!$A:$AK,33,FALSE),"")</f>
      </c>
      <c r="U286" s="57">
        <f>IFERROR(VLOOKUP($A:$A,CS!$A:$AK,34,FALSE),"")</f>
      </c>
      <c r="V286" s="57">
        <f>IFERROR(VLOOKUP($A:$A,CS!$A:$AK,35,FALSE),"")</f>
      </c>
      <c r="W286" s="57">
        <f>IFERROR(VLOOKUP($A:$A,CS!$A:$AK,36,FALSE),"")</f>
      </c>
    </row>
    <row r="287" ht="16.5" customHeight="1" spans="1:23" x14ac:dyDescent="0.25">
      <c r="A287" s="71"/>
      <c r="B287" s="57">
        <f>IFERROR(VLOOKUP($A:$A,CS!$A:$AK,3,FALSE),"")</f>
      </c>
      <c r="C287" s="57">
        <f>IFERROR(VLOOKUP($A:$A,CS!$A:$AK,4,FALSE),"")</f>
      </c>
      <c r="D287" s="57">
        <f>IFERROR(VLOOKUP($A:$A,CS!$A:$AK,5,FALSE),"")</f>
      </c>
      <c r="E287" s="57">
        <f>IFERROR(VLOOKUP($A:$A,CS!$A:$AK,7,FALSE),"")</f>
      </c>
      <c r="F287" s="57">
        <f>IFERROR(VLOOKUP($A:$A,CS!$A:$AK,8,FALSE),"")</f>
      </c>
      <c r="G287" s="57">
        <f>IFERROR(VLOOKUP($A:$A,CS!$A:$AK,10,FALSE),"")</f>
      </c>
      <c r="H287" s="57">
        <f>IFERROR(VLOOKUP($A:$A,CS!$A:$AK,14,FALSE),"")</f>
      </c>
      <c r="I287" s="57">
        <f>IFERROR(VLOOKUP($A:$A,CS!$A:$AK,15,FALSE),"")</f>
      </c>
      <c r="J287" s="57">
        <f>IFERROR(VLOOKUP($A:$A,CS!$A:$AK,18,FALSE),"")</f>
      </c>
      <c r="K287" s="57">
        <f>IFERROR(VLOOKUP($A:$A,CS!$A:$AK,19,FALSE),"")</f>
      </c>
      <c r="L287" s="57">
        <f>IFERROR(VLOOKUP($A:$A,CS!$A:$AK,20,FALSE),"")</f>
      </c>
      <c r="M287" s="57">
        <f>IFERROR(VLOOKUP($A:$A,CS!$A:$AK,22,FALSE),"")</f>
      </c>
      <c r="N287" s="57">
        <f>IFERROR(VLOOKUP($A:$A,CS!$A:$AK,19,FALSE),"")</f>
      </c>
      <c r="O287" s="57">
        <f>IFERROR(VLOOKUP($A:$A,CS!$A:$AK,23,FALSE),"")</f>
      </c>
      <c r="P287" s="57">
        <f>IFERROR(VLOOKUP($A:$A,CS!$A:$AK,24,FALSE),"")</f>
      </c>
      <c r="Q287" s="57">
        <f>IFERROR(VLOOKUP($A:$A,CS!$A:$AK,25,FALSE),"")</f>
      </c>
      <c r="R287" s="57">
        <f>IFERROR(VLOOKUP($A:$A,CS!$A:$AK,26,FALSE),"")</f>
      </c>
      <c r="S287" s="57">
        <f>IFERROR(VLOOKUP($A:$A,CS!$A:$AK,29,FALSE),"")</f>
      </c>
      <c r="T287" s="57">
        <f>IFERROR(VLOOKUP($A:$A,CS!$A:$AK,33,FALSE),"")</f>
      </c>
      <c r="U287" s="57">
        <f>IFERROR(VLOOKUP($A:$A,CS!$A:$AK,34,FALSE),"")</f>
      </c>
      <c r="V287" s="57">
        <f>IFERROR(VLOOKUP($A:$A,CS!$A:$AK,35,FALSE),"")</f>
      </c>
      <c r="W287" s="57">
        <f>IFERROR(VLOOKUP($A:$A,CS!$A:$AK,36,FALSE),"")</f>
      </c>
    </row>
    <row r="288" ht="16.5" customHeight="1" spans="1:23" x14ac:dyDescent="0.25">
      <c r="A288" s="71"/>
      <c r="B288" s="57">
        <f>IFERROR(VLOOKUP($A:$A,CS!$A:$AK,3,FALSE),"")</f>
      </c>
      <c r="C288" s="57">
        <f>IFERROR(VLOOKUP($A:$A,CS!$A:$AK,4,FALSE),"")</f>
      </c>
      <c r="D288" s="57">
        <f>IFERROR(VLOOKUP($A:$A,CS!$A:$AK,5,FALSE),"")</f>
      </c>
      <c r="E288" s="57">
        <f>IFERROR(VLOOKUP($A:$A,CS!$A:$AK,7,FALSE),"")</f>
      </c>
      <c r="F288" s="57">
        <f>IFERROR(VLOOKUP($A:$A,CS!$A:$AK,8,FALSE),"")</f>
      </c>
      <c r="G288" s="57">
        <f>IFERROR(VLOOKUP($A:$A,CS!$A:$AK,10,FALSE),"")</f>
      </c>
      <c r="H288" s="57">
        <f>IFERROR(VLOOKUP($A:$A,CS!$A:$AK,14,FALSE),"")</f>
      </c>
      <c r="I288" s="57">
        <f>IFERROR(VLOOKUP($A:$A,CS!$A:$AK,15,FALSE),"")</f>
      </c>
      <c r="J288" s="57">
        <f>IFERROR(VLOOKUP($A:$A,CS!$A:$AK,18,FALSE),"")</f>
      </c>
      <c r="K288" s="57">
        <f>IFERROR(VLOOKUP($A:$A,CS!$A:$AK,19,FALSE),"")</f>
      </c>
      <c r="L288" s="57">
        <f>IFERROR(VLOOKUP($A:$A,CS!$A:$AK,20,FALSE),"")</f>
      </c>
      <c r="M288" s="57">
        <f>IFERROR(VLOOKUP($A:$A,CS!$A:$AK,22,FALSE),"")</f>
      </c>
      <c r="N288" s="57">
        <f>IFERROR(VLOOKUP($A:$A,CS!$A:$AK,19,FALSE),"")</f>
      </c>
      <c r="O288" s="57">
        <f>IFERROR(VLOOKUP($A:$A,CS!$A:$AK,23,FALSE),"")</f>
      </c>
      <c r="P288" s="57">
        <f>IFERROR(VLOOKUP($A:$A,CS!$A:$AK,24,FALSE),"")</f>
      </c>
      <c r="Q288" s="57">
        <f>IFERROR(VLOOKUP($A:$A,CS!$A:$AK,25,FALSE),"")</f>
      </c>
      <c r="R288" s="57">
        <f>IFERROR(VLOOKUP($A:$A,CS!$A:$AK,26,FALSE),"")</f>
      </c>
      <c r="S288" s="57">
        <f>IFERROR(VLOOKUP($A:$A,CS!$A:$AK,29,FALSE),"")</f>
      </c>
      <c r="T288" s="57">
        <f>IFERROR(VLOOKUP($A:$A,CS!$A:$AK,33,FALSE),"")</f>
      </c>
      <c r="U288" s="57">
        <f>IFERROR(VLOOKUP($A:$A,CS!$A:$AK,34,FALSE),"")</f>
      </c>
      <c r="V288" s="57">
        <f>IFERROR(VLOOKUP($A:$A,CS!$A:$AK,35,FALSE),"")</f>
      </c>
      <c r="W288" s="57">
        <f>IFERROR(VLOOKUP($A:$A,CS!$A:$AK,36,FALSE),"")</f>
      </c>
    </row>
    <row r="289" ht="16.5" customHeight="1" spans="1:23" x14ac:dyDescent="0.25">
      <c r="A289" s="71"/>
      <c r="B289" s="57">
        <f>IFERROR(VLOOKUP($A:$A,CS!$A:$AK,3,FALSE),"")</f>
      </c>
      <c r="C289" s="57">
        <f>IFERROR(VLOOKUP($A:$A,CS!$A:$AK,4,FALSE),"")</f>
      </c>
      <c r="D289" s="57">
        <f>IFERROR(VLOOKUP($A:$A,CS!$A:$AK,5,FALSE),"")</f>
      </c>
      <c r="E289" s="57">
        <f>IFERROR(VLOOKUP($A:$A,CS!$A:$AK,7,FALSE),"")</f>
      </c>
      <c r="F289" s="57">
        <f>IFERROR(VLOOKUP($A:$A,CS!$A:$AK,8,FALSE),"")</f>
      </c>
      <c r="G289" s="57">
        <f>IFERROR(VLOOKUP($A:$A,CS!$A:$AK,10,FALSE),"")</f>
      </c>
      <c r="H289" s="57">
        <f>IFERROR(VLOOKUP($A:$A,CS!$A:$AK,14,FALSE),"")</f>
      </c>
      <c r="I289" s="57">
        <f>IFERROR(VLOOKUP($A:$A,CS!$A:$AK,15,FALSE),"")</f>
      </c>
      <c r="J289" s="57">
        <f>IFERROR(VLOOKUP($A:$A,CS!$A:$AK,18,FALSE),"")</f>
      </c>
      <c r="K289" s="57">
        <f>IFERROR(VLOOKUP($A:$A,CS!$A:$AK,19,FALSE),"")</f>
      </c>
      <c r="L289" s="57">
        <f>IFERROR(VLOOKUP($A:$A,CS!$A:$AK,20,FALSE),"")</f>
      </c>
      <c r="M289" s="57">
        <f>IFERROR(VLOOKUP($A:$A,CS!$A:$AK,22,FALSE),"")</f>
      </c>
      <c r="N289" s="57">
        <f>IFERROR(VLOOKUP($A:$A,CS!$A:$AK,19,FALSE),"")</f>
      </c>
      <c r="O289" s="57">
        <f>IFERROR(VLOOKUP($A:$A,CS!$A:$AK,23,FALSE),"")</f>
      </c>
      <c r="P289" s="57">
        <f>IFERROR(VLOOKUP($A:$A,CS!$A:$AK,24,FALSE),"")</f>
      </c>
      <c r="Q289" s="57">
        <f>IFERROR(VLOOKUP($A:$A,CS!$A:$AK,25,FALSE),"")</f>
      </c>
      <c r="R289" s="57">
        <f>IFERROR(VLOOKUP($A:$A,CS!$A:$AK,26,FALSE),"")</f>
      </c>
      <c r="S289" s="57">
        <f>IFERROR(VLOOKUP($A:$A,CS!$A:$AK,29,FALSE),"")</f>
      </c>
      <c r="T289" s="57">
        <f>IFERROR(VLOOKUP($A:$A,CS!$A:$AK,33,FALSE),"")</f>
      </c>
      <c r="U289" s="57">
        <f>IFERROR(VLOOKUP($A:$A,CS!$A:$AK,34,FALSE),"")</f>
      </c>
      <c r="V289" s="57">
        <f>IFERROR(VLOOKUP($A:$A,CS!$A:$AK,35,FALSE),"")</f>
      </c>
      <c r="W289" s="57">
        <f>IFERROR(VLOOKUP($A:$A,CS!$A:$AK,36,FALSE),"")</f>
      </c>
    </row>
    <row r="290" ht="16.5" customHeight="1" spans="1:23" x14ac:dyDescent="0.25">
      <c r="A290" s="71"/>
      <c r="B290" s="57">
        <f>IFERROR(VLOOKUP($A:$A,CS!$A:$AK,3,FALSE),"")</f>
      </c>
      <c r="C290" s="57">
        <f>IFERROR(VLOOKUP($A:$A,CS!$A:$AK,4,FALSE),"")</f>
      </c>
      <c r="D290" s="57">
        <f>IFERROR(VLOOKUP($A:$A,CS!$A:$AK,5,FALSE),"")</f>
      </c>
      <c r="E290" s="57">
        <f>IFERROR(VLOOKUP($A:$A,CS!$A:$AK,7,FALSE),"")</f>
      </c>
      <c r="F290" s="57">
        <f>IFERROR(VLOOKUP($A:$A,CS!$A:$AK,8,FALSE),"")</f>
      </c>
      <c r="G290" s="57">
        <f>IFERROR(VLOOKUP($A:$A,CS!$A:$AK,10,FALSE),"")</f>
      </c>
      <c r="H290" s="57">
        <f>IFERROR(VLOOKUP($A:$A,CS!$A:$AK,14,FALSE),"")</f>
      </c>
      <c r="I290" s="57">
        <f>IFERROR(VLOOKUP($A:$A,CS!$A:$AK,15,FALSE),"")</f>
      </c>
      <c r="J290" s="57">
        <f>IFERROR(VLOOKUP($A:$A,CS!$A:$AK,18,FALSE),"")</f>
      </c>
      <c r="K290" s="57">
        <f>IFERROR(VLOOKUP($A:$A,CS!$A:$AK,19,FALSE),"")</f>
      </c>
      <c r="L290" s="57">
        <f>IFERROR(VLOOKUP($A:$A,CS!$A:$AK,20,FALSE),"")</f>
      </c>
      <c r="M290" s="57">
        <f>IFERROR(VLOOKUP($A:$A,CS!$A:$AK,22,FALSE),"")</f>
      </c>
      <c r="N290" s="57">
        <f>IFERROR(VLOOKUP($A:$A,CS!$A:$AK,19,FALSE),"")</f>
      </c>
      <c r="O290" s="57">
        <f>IFERROR(VLOOKUP($A:$A,CS!$A:$AK,23,FALSE),"")</f>
      </c>
      <c r="P290" s="57">
        <f>IFERROR(VLOOKUP($A:$A,CS!$A:$AK,24,FALSE),"")</f>
      </c>
      <c r="Q290" s="57">
        <f>IFERROR(VLOOKUP($A:$A,CS!$A:$AK,25,FALSE),"")</f>
      </c>
      <c r="R290" s="57">
        <f>IFERROR(VLOOKUP($A:$A,CS!$A:$AK,26,FALSE),"")</f>
      </c>
      <c r="S290" s="57">
        <f>IFERROR(VLOOKUP($A:$A,CS!$A:$AK,29,FALSE),"")</f>
      </c>
      <c r="T290" s="57">
        <f>IFERROR(VLOOKUP($A:$A,CS!$A:$AK,33,FALSE),"")</f>
      </c>
      <c r="U290" s="57">
        <f>IFERROR(VLOOKUP($A:$A,CS!$A:$AK,34,FALSE),"")</f>
      </c>
      <c r="V290" s="57">
        <f>IFERROR(VLOOKUP($A:$A,CS!$A:$AK,35,FALSE),"")</f>
      </c>
      <c r="W290" s="57">
        <f>IFERROR(VLOOKUP($A:$A,CS!$A:$AK,36,FALSE),"")</f>
      </c>
    </row>
    <row r="291" ht="16.5" customHeight="1" spans="1:23" x14ac:dyDescent="0.25">
      <c r="A291" s="71"/>
      <c r="B291" s="57">
        <f>IFERROR(VLOOKUP($A:$A,CS!$A:$AK,3,FALSE),"")</f>
      </c>
      <c r="C291" s="57">
        <f>IFERROR(VLOOKUP($A:$A,CS!$A:$AK,4,FALSE),"")</f>
      </c>
      <c r="D291" s="57">
        <f>IFERROR(VLOOKUP($A:$A,CS!$A:$AK,5,FALSE),"")</f>
      </c>
      <c r="E291" s="57">
        <f>IFERROR(VLOOKUP($A:$A,CS!$A:$AK,7,FALSE),"")</f>
      </c>
      <c r="F291" s="57">
        <f>IFERROR(VLOOKUP($A:$A,CS!$A:$AK,8,FALSE),"")</f>
      </c>
      <c r="G291" s="57">
        <f>IFERROR(VLOOKUP($A:$A,CS!$A:$AK,10,FALSE),"")</f>
      </c>
      <c r="H291" s="57">
        <f>IFERROR(VLOOKUP($A:$A,CS!$A:$AK,14,FALSE),"")</f>
      </c>
      <c r="I291" s="57">
        <f>IFERROR(VLOOKUP($A:$A,CS!$A:$AK,15,FALSE),"")</f>
      </c>
      <c r="J291" s="57">
        <f>IFERROR(VLOOKUP($A:$A,CS!$A:$AK,18,FALSE),"")</f>
      </c>
      <c r="K291" s="57">
        <f>IFERROR(VLOOKUP($A:$A,CS!$A:$AK,19,FALSE),"")</f>
      </c>
      <c r="L291" s="57">
        <f>IFERROR(VLOOKUP($A:$A,CS!$A:$AK,20,FALSE),"")</f>
      </c>
      <c r="M291" s="57">
        <f>IFERROR(VLOOKUP($A:$A,CS!$A:$AK,22,FALSE),"")</f>
      </c>
      <c r="N291" s="57">
        <f>IFERROR(VLOOKUP($A:$A,CS!$A:$AK,19,FALSE),"")</f>
      </c>
      <c r="O291" s="57">
        <f>IFERROR(VLOOKUP($A:$A,CS!$A:$AK,23,FALSE),"")</f>
      </c>
      <c r="P291" s="57">
        <f>IFERROR(VLOOKUP($A:$A,CS!$A:$AK,24,FALSE),"")</f>
      </c>
      <c r="Q291" s="57">
        <f>IFERROR(VLOOKUP($A:$A,CS!$A:$AK,25,FALSE),"")</f>
      </c>
      <c r="R291" s="57">
        <f>IFERROR(VLOOKUP($A:$A,CS!$A:$AK,26,FALSE),"")</f>
      </c>
      <c r="S291" s="57">
        <f>IFERROR(VLOOKUP($A:$A,CS!$A:$AK,29,FALSE),"")</f>
      </c>
      <c r="T291" s="57">
        <f>IFERROR(VLOOKUP($A:$A,CS!$A:$AK,33,FALSE),"")</f>
      </c>
      <c r="U291" s="57">
        <f>IFERROR(VLOOKUP($A:$A,CS!$A:$AK,34,FALSE),"")</f>
      </c>
      <c r="V291" s="57">
        <f>IFERROR(VLOOKUP($A:$A,CS!$A:$AK,35,FALSE),"")</f>
      </c>
      <c r="W291" s="57">
        <f>IFERROR(VLOOKUP($A:$A,CS!$A:$AK,36,FALSE),"")</f>
      </c>
    </row>
    <row r="292" ht="16.5" customHeight="1" spans="1:23" x14ac:dyDescent="0.25">
      <c r="A292" s="71"/>
      <c r="B292" s="57">
        <f>IFERROR(VLOOKUP($A:$A,CS!$A:$AK,3,FALSE),"")</f>
      </c>
      <c r="C292" s="57">
        <f>IFERROR(VLOOKUP($A:$A,CS!$A:$AK,4,FALSE),"")</f>
      </c>
      <c r="D292" s="57">
        <f>IFERROR(VLOOKUP($A:$A,CS!$A:$AK,5,FALSE),"")</f>
      </c>
      <c r="E292" s="57">
        <f>IFERROR(VLOOKUP($A:$A,CS!$A:$AK,7,FALSE),"")</f>
      </c>
      <c r="F292" s="57">
        <f>IFERROR(VLOOKUP($A:$A,CS!$A:$AK,8,FALSE),"")</f>
      </c>
      <c r="G292" s="57">
        <f>IFERROR(VLOOKUP($A:$A,CS!$A:$AK,10,FALSE),"")</f>
      </c>
      <c r="H292" s="57">
        <f>IFERROR(VLOOKUP($A:$A,CS!$A:$AK,14,FALSE),"")</f>
      </c>
      <c r="I292" s="57">
        <f>IFERROR(VLOOKUP($A:$A,CS!$A:$AK,15,FALSE),"")</f>
      </c>
      <c r="J292" s="57">
        <f>IFERROR(VLOOKUP($A:$A,CS!$A:$AK,18,FALSE),"")</f>
      </c>
      <c r="K292" s="57">
        <f>IFERROR(VLOOKUP($A:$A,CS!$A:$AK,19,FALSE),"")</f>
      </c>
      <c r="L292" s="57">
        <f>IFERROR(VLOOKUP($A:$A,CS!$A:$AK,20,FALSE),"")</f>
      </c>
      <c r="M292" s="57">
        <f>IFERROR(VLOOKUP($A:$A,CS!$A:$AK,22,FALSE),"")</f>
      </c>
      <c r="N292" s="57">
        <f>IFERROR(VLOOKUP($A:$A,CS!$A:$AK,19,FALSE),"")</f>
      </c>
      <c r="O292" s="57">
        <f>IFERROR(VLOOKUP($A:$A,CS!$A:$AK,23,FALSE),"")</f>
      </c>
      <c r="P292" s="57">
        <f>IFERROR(VLOOKUP($A:$A,CS!$A:$AK,24,FALSE),"")</f>
      </c>
      <c r="Q292" s="57">
        <f>IFERROR(VLOOKUP($A:$A,CS!$A:$AK,25,FALSE),"")</f>
      </c>
      <c r="R292" s="57">
        <f>IFERROR(VLOOKUP($A:$A,CS!$A:$AK,26,FALSE),"")</f>
      </c>
      <c r="S292" s="57">
        <f>IFERROR(VLOOKUP($A:$A,CS!$A:$AK,29,FALSE),"")</f>
      </c>
      <c r="T292" s="57">
        <f>IFERROR(VLOOKUP($A:$A,CS!$A:$AK,33,FALSE),"")</f>
      </c>
      <c r="U292" s="57">
        <f>IFERROR(VLOOKUP($A:$A,CS!$A:$AK,34,FALSE),"")</f>
      </c>
      <c r="V292" s="57">
        <f>IFERROR(VLOOKUP($A:$A,CS!$A:$AK,35,FALSE),"")</f>
      </c>
      <c r="W292" s="57">
        <f>IFERROR(VLOOKUP($A:$A,CS!$A:$AK,36,FALSE),"")</f>
      </c>
    </row>
    <row r="293" ht="16.5" customHeight="1" spans="1:23" x14ac:dyDescent="0.25">
      <c r="A293" s="71"/>
      <c r="B293" s="57">
        <f>IFERROR(VLOOKUP($A:$A,CS!$A:$AK,3,FALSE),"")</f>
      </c>
      <c r="C293" s="57">
        <f>IFERROR(VLOOKUP($A:$A,CS!$A:$AK,4,FALSE),"")</f>
      </c>
      <c r="D293" s="57">
        <f>IFERROR(VLOOKUP($A:$A,CS!$A:$AK,5,FALSE),"")</f>
      </c>
      <c r="E293" s="57">
        <f>IFERROR(VLOOKUP($A:$A,CS!$A:$AK,7,FALSE),"")</f>
      </c>
      <c r="F293" s="57">
        <f>IFERROR(VLOOKUP($A:$A,CS!$A:$AK,8,FALSE),"")</f>
      </c>
      <c r="G293" s="57">
        <f>IFERROR(VLOOKUP($A:$A,CS!$A:$AK,10,FALSE),"")</f>
      </c>
      <c r="H293" s="57">
        <f>IFERROR(VLOOKUP($A:$A,CS!$A:$AK,14,FALSE),"")</f>
      </c>
      <c r="I293" s="57">
        <f>IFERROR(VLOOKUP($A:$A,CS!$A:$AK,15,FALSE),"")</f>
      </c>
      <c r="J293" s="57">
        <f>IFERROR(VLOOKUP($A:$A,CS!$A:$AK,18,FALSE),"")</f>
      </c>
      <c r="K293" s="57">
        <f>IFERROR(VLOOKUP($A:$A,CS!$A:$AK,19,FALSE),"")</f>
      </c>
      <c r="L293" s="57">
        <f>IFERROR(VLOOKUP($A:$A,CS!$A:$AK,20,FALSE),"")</f>
      </c>
      <c r="M293" s="57">
        <f>IFERROR(VLOOKUP($A:$A,CS!$A:$AK,22,FALSE),"")</f>
      </c>
      <c r="N293" s="57">
        <f>IFERROR(VLOOKUP($A:$A,CS!$A:$AK,19,FALSE),"")</f>
      </c>
      <c r="O293" s="57">
        <f>IFERROR(VLOOKUP($A:$A,CS!$A:$AK,23,FALSE),"")</f>
      </c>
      <c r="P293" s="57">
        <f>IFERROR(VLOOKUP($A:$A,CS!$A:$AK,24,FALSE),"")</f>
      </c>
      <c r="Q293" s="57">
        <f>IFERROR(VLOOKUP($A:$A,CS!$A:$AK,25,FALSE),"")</f>
      </c>
      <c r="R293" s="57">
        <f>IFERROR(VLOOKUP($A:$A,CS!$A:$AK,26,FALSE),"")</f>
      </c>
      <c r="S293" s="57">
        <f>IFERROR(VLOOKUP($A:$A,CS!$A:$AK,29,FALSE),"")</f>
      </c>
      <c r="T293" s="57">
        <f>IFERROR(VLOOKUP($A:$A,CS!$A:$AK,33,FALSE),"")</f>
      </c>
      <c r="U293" s="57">
        <f>IFERROR(VLOOKUP($A:$A,CS!$A:$AK,34,FALSE),"")</f>
      </c>
      <c r="V293" s="57">
        <f>IFERROR(VLOOKUP($A:$A,CS!$A:$AK,35,FALSE),"")</f>
      </c>
      <c r="W293" s="57">
        <f>IFERROR(VLOOKUP($A:$A,CS!$A:$AK,36,FALSE),"")</f>
      </c>
    </row>
    <row r="294" ht="16.5" customHeight="1" spans="1:23" x14ac:dyDescent="0.25">
      <c r="A294" s="71"/>
      <c r="B294" s="57">
        <f>IFERROR(VLOOKUP($A:$A,CS!$A:$AK,3,FALSE),"")</f>
      </c>
      <c r="C294" s="57">
        <f>IFERROR(VLOOKUP($A:$A,CS!$A:$AK,4,FALSE),"")</f>
      </c>
      <c r="D294" s="57">
        <f>IFERROR(VLOOKUP($A:$A,CS!$A:$AK,5,FALSE),"")</f>
      </c>
      <c r="E294" s="57">
        <f>IFERROR(VLOOKUP($A:$A,CS!$A:$AK,7,FALSE),"")</f>
      </c>
      <c r="F294" s="57">
        <f>IFERROR(VLOOKUP($A:$A,CS!$A:$AK,8,FALSE),"")</f>
      </c>
      <c r="G294" s="57">
        <f>IFERROR(VLOOKUP($A:$A,CS!$A:$AK,10,FALSE),"")</f>
      </c>
      <c r="H294" s="57">
        <f>IFERROR(VLOOKUP($A:$A,CS!$A:$AK,14,FALSE),"")</f>
      </c>
      <c r="I294" s="57">
        <f>IFERROR(VLOOKUP($A:$A,CS!$A:$AK,15,FALSE),"")</f>
      </c>
      <c r="J294" s="57">
        <f>IFERROR(VLOOKUP($A:$A,CS!$A:$AK,18,FALSE),"")</f>
      </c>
      <c r="K294" s="57">
        <f>IFERROR(VLOOKUP($A:$A,CS!$A:$AK,19,FALSE),"")</f>
      </c>
      <c r="L294" s="57">
        <f>IFERROR(VLOOKUP($A:$A,CS!$A:$AK,20,FALSE),"")</f>
      </c>
      <c r="M294" s="57">
        <f>IFERROR(VLOOKUP($A:$A,CS!$A:$AK,22,FALSE),"")</f>
      </c>
      <c r="N294" s="57">
        <f>IFERROR(VLOOKUP($A:$A,CS!$A:$AK,19,FALSE),"")</f>
      </c>
      <c r="O294" s="57">
        <f>IFERROR(VLOOKUP($A:$A,CS!$A:$AK,23,FALSE),"")</f>
      </c>
      <c r="P294" s="57">
        <f>IFERROR(VLOOKUP($A:$A,CS!$A:$AK,24,FALSE),"")</f>
      </c>
      <c r="Q294" s="57">
        <f>IFERROR(VLOOKUP($A:$A,CS!$A:$AK,25,FALSE),"")</f>
      </c>
      <c r="R294" s="57">
        <f>IFERROR(VLOOKUP($A:$A,CS!$A:$AK,26,FALSE),"")</f>
      </c>
      <c r="S294" s="57">
        <f>IFERROR(VLOOKUP($A:$A,CS!$A:$AK,29,FALSE),"")</f>
      </c>
      <c r="T294" s="57">
        <f>IFERROR(VLOOKUP($A:$A,CS!$A:$AK,33,FALSE),"")</f>
      </c>
      <c r="U294" s="57">
        <f>IFERROR(VLOOKUP($A:$A,CS!$A:$AK,34,FALSE),"")</f>
      </c>
      <c r="V294" s="57">
        <f>IFERROR(VLOOKUP($A:$A,CS!$A:$AK,35,FALSE),"")</f>
      </c>
      <c r="W294" s="57">
        <f>IFERROR(VLOOKUP($A:$A,CS!$A:$AK,36,FALSE),"")</f>
      </c>
    </row>
    <row r="295" ht="16.5" customHeight="1" spans="1:23" x14ac:dyDescent="0.25">
      <c r="A295" s="71"/>
      <c r="B295" s="57">
        <f>IFERROR(VLOOKUP($A:$A,CS!$A:$AK,3,FALSE),"")</f>
      </c>
      <c r="C295" s="57">
        <f>IFERROR(VLOOKUP($A:$A,CS!$A:$AK,4,FALSE),"")</f>
      </c>
      <c r="D295" s="57">
        <f>IFERROR(VLOOKUP($A:$A,CS!$A:$AK,5,FALSE),"")</f>
      </c>
      <c r="E295" s="57">
        <f>IFERROR(VLOOKUP($A:$A,CS!$A:$AK,7,FALSE),"")</f>
      </c>
      <c r="F295" s="57">
        <f>IFERROR(VLOOKUP($A:$A,CS!$A:$AK,8,FALSE),"")</f>
      </c>
      <c r="G295" s="57">
        <f>IFERROR(VLOOKUP($A:$A,CS!$A:$AK,10,FALSE),"")</f>
      </c>
      <c r="H295" s="57">
        <f>IFERROR(VLOOKUP($A:$A,CS!$A:$AK,14,FALSE),"")</f>
      </c>
      <c r="I295" s="57">
        <f>IFERROR(VLOOKUP($A:$A,CS!$A:$AK,15,FALSE),"")</f>
      </c>
      <c r="J295" s="57">
        <f>IFERROR(VLOOKUP($A:$A,CS!$A:$AK,18,FALSE),"")</f>
      </c>
      <c r="K295" s="57">
        <f>IFERROR(VLOOKUP($A:$A,CS!$A:$AK,19,FALSE),"")</f>
      </c>
      <c r="L295" s="57">
        <f>IFERROR(VLOOKUP($A:$A,CS!$A:$AK,20,FALSE),"")</f>
      </c>
      <c r="M295" s="57">
        <f>IFERROR(VLOOKUP($A:$A,CS!$A:$AK,22,FALSE),"")</f>
      </c>
      <c r="N295" s="57">
        <f>IFERROR(VLOOKUP($A:$A,CS!$A:$AK,19,FALSE),"")</f>
      </c>
      <c r="O295" s="57">
        <f>IFERROR(VLOOKUP($A:$A,CS!$A:$AK,23,FALSE),"")</f>
      </c>
      <c r="P295" s="57">
        <f>IFERROR(VLOOKUP($A:$A,CS!$A:$AK,24,FALSE),"")</f>
      </c>
      <c r="Q295" s="57">
        <f>IFERROR(VLOOKUP($A:$A,CS!$A:$AK,25,FALSE),"")</f>
      </c>
      <c r="R295" s="57">
        <f>IFERROR(VLOOKUP($A:$A,CS!$A:$AK,26,FALSE),"")</f>
      </c>
      <c r="S295" s="57">
        <f>IFERROR(VLOOKUP($A:$A,CS!$A:$AK,29,FALSE),"")</f>
      </c>
      <c r="T295" s="57">
        <f>IFERROR(VLOOKUP($A:$A,CS!$A:$AK,33,FALSE),"")</f>
      </c>
      <c r="U295" s="57">
        <f>IFERROR(VLOOKUP($A:$A,CS!$A:$AK,34,FALSE),"")</f>
      </c>
      <c r="V295" s="57">
        <f>IFERROR(VLOOKUP($A:$A,CS!$A:$AK,35,FALSE),"")</f>
      </c>
      <c r="W295" s="57">
        <f>IFERROR(VLOOKUP($A:$A,CS!$A:$AK,36,FALSE),"")</f>
      </c>
    </row>
    <row r="296" ht="16.5" customHeight="1" spans="1:23" x14ac:dyDescent="0.25">
      <c r="A296" s="71"/>
      <c r="B296" s="57">
        <f>IFERROR(VLOOKUP($A:$A,CS!$A:$AK,3,FALSE),"")</f>
      </c>
      <c r="C296" s="57">
        <f>IFERROR(VLOOKUP($A:$A,CS!$A:$AK,4,FALSE),"")</f>
      </c>
      <c r="D296" s="57">
        <f>IFERROR(VLOOKUP($A:$A,CS!$A:$AK,5,FALSE),"")</f>
      </c>
      <c r="E296" s="57">
        <f>IFERROR(VLOOKUP($A:$A,CS!$A:$AK,7,FALSE),"")</f>
      </c>
      <c r="F296" s="57">
        <f>IFERROR(VLOOKUP($A:$A,CS!$A:$AK,8,FALSE),"")</f>
      </c>
      <c r="G296" s="57">
        <f>IFERROR(VLOOKUP($A:$A,CS!$A:$AK,10,FALSE),"")</f>
      </c>
      <c r="H296" s="57">
        <f>IFERROR(VLOOKUP($A:$A,CS!$A:$AK,14,FALSE),"")</f>
      </c>
      <c r="I296" s="57">
        <f>IFERROR(VLOOKUP($A:$A,CS!$A:$AK,15,FALSE),"")</f>
      </c>
      <c r="J296" s="57">
        <f>IFERROR(VLOOKUP($A:$A,CS!$A:$AK,18,FALSE),"")</f>
      </c>
      <c r="K296" s="57">
        <f>IFERROR(VLOOKUP($A:$A,CS!$A:$AK,19,FALSE),"")</f>
      </c>
      <c r="L296" s="57">
        <f>IFERROR(VLOOKUP($A:$A,CS!$A:$AK,20,FALSE),"")</f>
      </c>
      <c r="M296" s="57">
        <f>IFERROR(VLOOKUP($A:$A,CS!$A:$AK,22,FALSE),"")</f>
      </c>
      <c r="N296" s="57">
        <f>IFERROR(VLOOKUP($A:$A,CS!$A:$AK,19,FALSE),"")</f>
      </c>
      <c r="O296" s="57">
        <f>IFERROR(VLOOKUP($A:$A,CS!$A:$AK,23,FALSE),"")</f>
      </c>
      <c r="P296" s="57">
        <f>IFERROR(VLOOKUP($A:$A,CS!$A:$AK,24,FALSE),"")</f>
      </c>
      <c r="Q296" s="57">
        <f>IFERROR(VLOOKUP($A:$A,CS!$A:$AK,25,FALSE),"")</f>
      </c>
      <c r="R296" s="57">
        <f>IFERROR(VLOOKUP($A:$A,CS!$A:$AK,26,FALSE),"")</f>
      </c>
      <c r="S296" s="57">
        <f>IFERROR(VLOOKUP($A:$A,CS!$A:$AK,29,FALSE),"")</f>
      </c>
      <c r="T296" s="57">
        <f>IFERROR(VLOOKUP($A:$A,CS!$A:$AK,33,FALSE),"")</f>
      </c>
      <c r="U296" s="57">
        <f>IFERROR(VLOOKUP($A:$A,CS!$A:$AK,34,FALSE),"")</f>
      </c>
      <c r="V296" s="57">
        <f>IFERROR(VLOOKUP($A:$A,CS!$A:$AK,35,FALSE),"")</f>
      </c>
      <c r="W296" s="57">
        <f>IFERROR(VLOOKUP($A:$A,CS!$A:$AK,36,FALSE),"")</f>
      </c>
    </row>
    <row r="297" ht="16.5" customHeight="1" spans="1:23" x14ac:dyDescent="0.25">
      <c r="A297" s="71"/>
      <c r="B297" s="57">
        <f>IFERROR(VLOOKUP($A:$A,CS!$A:$AK,3,FALSE),"")</f>
      </c>
      <c r="C297" s="57">
        <f>IFERROR(VLOOKUP($A:$A,CS!$A:$AK,4,FALSE),"")</f>
      </c>
      <c r="D297" s="57">
        <f>IFERROR(VLOOKUP($A:$A,CS!$A:$AK,5,FALSE),"")</f>
      </c>
      <c r="E297" s="57">
        <f>IFERROR(VLOOKUP($A:$A,CS!$A:$AK,7,FALSE),"")</f>
      </c>
      <c r="F297" s="57">
        <f>IFERROR(VLOOKUP($A:$A,CS!$A:$AK,8,FALSE),"")</f>
      </c>
      <c r="G297" s="57">
        <f>IFERROR(VLOOKUP($A:$A,CS!$A:$AK,10,FALSE),"")</f>
      </c>
      <c r="H297" s="57">
        <f>IFERROR(VLOOKUP($A:$A,CS!$A:$AK,14,FALSE),"")</f>
      </c>
      <c r="I297" s="57">
        <f>IFERROR(VLOOKUP($A:$A,CS!$A:$AK,15,FALSE),"")</f>
      </c>
      <c r="J297" s="57">
        <f>IFERROR(VLOOKUP($A:$A,CS!$A:$AK,18,FALSE),"")</f>
      </c>
      <c r="K297" s="57">
        <f>IFERROR(VLOOKUP($A:$A,CS!$A:$AK,19,FALSE),"")</f>
      </c>
      <c r="L297" s="57">
        <f>IFERROR(VLOOKUP($A:$A,CS!$A:$AK,20,FALSE),"")</f>
      </c>
      <c r="M297" s="57">
        <f>IFERROR(VLOOKUP($A:$A,CS!$A:$AK,22,FALSE),"")</f>
      </c>
      <c r="N297" s="57">
        <f>IFERROR(VLOOKUP($A:$A,CS!$A:$AK,19,FALSE),"")</f>
      </c>
      <c r="O297" s="57">
        <f>IFERROR(VLOOKUP($A:$A,CS!$A:$AK,23,FALSE),"")</f>
      </c>
      <c r="P297" s="57">
        <f>IFERROR(VLOOKUP($A:$A,CS!$A:$AK,24,FALSE),"")</f>
      </c>
      <c r="Q297" s="57">
        <f>IFERROR(VLOOKUP($A:$A,CS!$A:$AK,25,FALSE),"")</f>
      </c>
      <c r="R297" s="57">
        <f>IFERROR(VLOOKUP($A:$A,CS!$A:$AK,26,FALSE),"")</f>
      </c>
      <c r="S297" s="57">
        <f>IFERROR(VLOOKUP($A:$A,CS!$A:$AK,29,FALSE),"")</f>
      </c>
      <c r="T297" s="57">
        <f>IFERROR(VLOOKUP($A:$A,CS!$A:$AK,33,FALSE),"")</f>
      </c>
      <c r="U297" s="57">
        <f>IFERROR(VLOOKUP($A:$A,CS!$A:$AK,34,FALSE),"")</f>
      </c>
      <c r="V297" s="57">
        <f>IFERROR(VLOOKUP($A:$A,CS!$A:$AK,35,FALSE),"")</f>
      </c>
      <c r="W297" s="57">
        <f>IFERROR(VLOOKUP($A:$A,CS!$A:$AK,36,FALSE),"")</f>
      </c>
    </row>
    <row r="298" ht="16.5" customHeight="1" spans="1:23" x14ac:dyDescent="0.25">
      <c r="A298" s="71"/>
      <c r="B298" s="57">
        <f>IFERROR(VLOOKUP($A:$A,CS!$A:$AK,3,FALSE),"")</f>
      </c>
      <c r="C298" s="57">
        <f>IFERROR(VLOOKUP($A:$A,CS!$A:$AK,4,FALSE),"")</f>
      </c>
      <c r="D298" s="57">
        <f>IFERROR(VLOOKUP($A:$A,CS!$A:$AK,5,FALSE),"")</f>
      </c>
      <c r="E298" s="57">
        <f>IFERROR(VLOOKUP($A:$A,CS!$A:$AK,7,FALSE),"")</f>
      </c>
      <c r="F298" s="57">
        <f>IFERROR(VLOOKUP($A:$A,CS!$A:$AK,8,FALSE),"")</f>
      </c>
      <c r="G298" s="57">
        <f>IFERROR(VLOOKUP($A:$A,CS!$A:$AK,10,FALSE),"")</f>
      </c>
      <c r="H298" s="57">
        <f>IFERROR(VLOOKUP($A:$A,CS!$A:$AK,14,FALSE),"")</f>
      </c>
      <c r="I298" s="57">
        <f>IFERROR(VLOOKUP($A:$A,CS!$A:$AK,15,FALSE),"")</f>
      </c>
      <c r="J298" s="57">
        <f>IFERROR(VLOOKUP($A:$A,CS!$A:$AK,18,FALSE),"")</f>
      </c>
      <c r="K298" s="57">
        <f>IFERROR(VLOOKUP($A:$A,CS!$A:$AK,19,FALSE),"")</f>
      </c>
      <c r="L298" s="57">
        <f>IFERROR(VLOOKUP($A:$A,CS!$A:$AK,20,FALSE),"")</f>
      </c>
      <c r="M298" s="57">
        <f>IFERROR(VLOOKUP($A:$A,CS!$A:$AK,22,FALSE),"")</f>
      </c>
      <c r="N298" s="57">
        <f>IFERROR(VLOOKUP($A:$A,CS!$A:$AK,19,FALSE),"")</f>
      </c>
      <c r="O298" s="57">
        <f>IFERROR(VLOOKUP($A:$A,CS!$A:$AK,23,FALSE),"")</f>
      </c>
      <c r="P298" s="57">
        <f>IFERROR(VLOOKUP($A:$A,CS!$A:$AK,24,FALSE),"")</f>
      </c>
      <c r="Q298" s="57">
        <f>IFERROR(VLOOKUP($A:$A,CS!$A:$AK,25,FALSE),"")</f>
      </c>
      <c r="R298" s="57">
        <f>IFERROR(VLOOKUP($A:$A,CS!$A:$AK,26,FALSE),"")</f>
      </c>
      <c r="S298" s="57">
        <f>IFERROR(VLOOKUP($A:$A,CS!$A:$AK,29,FALSE),"")</f>
      </c>
      <c r="T298" s="57">
        <f>IFERROR(VLOOKUP($A:$A,CS!$A:$AK,33,FALSE),"")</f>
      </c>
      <c r="U298" s="57">
        <f>IFERROR(VLOOKUP($A:$A,CS!$A:$AK,34,FALSE),"")</f>
      </c>
      <c r="V298" s="57">
        <f>IFERROR(VLOOKUP($A:$A,CS!$A:$AK,35,FALSE),"")</f>
      </c>
      <c r="W298" s="57">
        <f>IFERROR(VLOOKUP($A:$A,CS!$A:$AK,36,FALSE),"")</f>
      </c>
    </row>
    <row r="299" ht="16.5" customHeight="1" spans="1:23" x14ac:dyDescent="0.25">
      <c r="A299" s="71"/>
      <c r="B299" s="57">
        <f>IFERROR(VLOOKUP($A:$A,CS!$A:$AK,3,FALSE),"")</f>
      </c>
      <c r="C299" s="57">
        <f>IFERROR(VLOOKUP($A:$A,CS!$A:$AK,4,FALSE),"")</f>
      </c>
      <c r="D299" s="57">
        <f>IFERROR(VLOOKUP($A:$A,CS!$A:$AK,5,FALSE),"")</f>
      </c>
      <c r="E299" s="57">
        <f>IFERROR(VLOOKUP($A:$A,CS!$A:$AK,7,FALSE),"")</f>
      </c>
      <c r="F299" s="57">
        <f>IFERROR(VLOOKUP($A:$A,CS!$A:$AK,8,FALSE),"")</f>
      </c>
      <c r="G299" s="57">
        <f>IFERROR(VLOOKUP($A:$A,CS!$A:$AK,10,FALSE),"")</f>
      </c>
      <c r="H299" s="57">
        <f>IFERROR(VLOOKUP($A:$A,CS!$A:$AK,14,FALSE),"")</f>
      </c>
      <c r="I299" s="57">
        <f>IFERROR(VLOOKUP($A:$A,CS!$A:$AK,15,FALSE),"")</f>
      </c>
      <c r="J299" s="57">
        <f>IFERROR(VLOOKUP($A:$A,CS!$A:$AK,18,FALSE),"")</f>
      </c>
      <c r="K299" s="57">
        <f>IFERROR(VLOOKUP($A:$A,CS!$A:$AK,19,FALSE),"")</f>
      </c>
      <c r="L299" s="57">
        <f>IFERROR(VLOOKUP($A:$A,CS!$A:$AK,20,FALSE),"")</f>
      </c>
      <c r="M299" s="57">
        <f>IFERROR(VLOOKUP($A:$A,CS!$A:$AK,22,FALSE),"")</f>
      </c>
      <c r="N299" s="57">
        <f>IFERROR(VLOOKUP($A:$A,CS!$A:$AK,19,FALSE),"")</f>
      </c>
      <c r="O299" s="57">
        <f>IFERROR(VLOOKUP($A:$A,CS!$A:$AK,23,FALSE),"")</f>
      </c>
      <c r="P299" s="57">
        <f>IFERROR(VLOOKUP($A:$A,CS!$A:$AK,24,FALSE),"")</f>
      </c>
      <c r="Q299" s="57">
        <f>IFERROR(VLOOKUP($A:$A,CS!$A:$AK,25,FALSE),"")</f>
      </c>
      <c r="R299" s="57">
        <f>IFERROR(VLOOKUP($A:$A,CS!$A:$AK,26,FALSE),"")</f>
      </c>
      <c r="S299" s="57">
        <f>IFERROR(VLOOKUP($A:$A,CS!$A:$AK,29,FALSE),"")</f>
      </c>
      <c r="T299" s="57">
        <f>IFERROR(VLOOKUP($A:$A,CS!$A:$AK,33,FALSE),"")</f>
      </c>
      <c r="U299" s="57">
        <f>IFERROR(VLOOKUP($A:$A,CS!$A:$AK,34,FALSE),"")</f>
      </c>
      <c r="V299" s="57">
        <f>IFERROR(VLOOKUP($A:$A,CS!$A:$AK,35,FALSE),"")</f>
      </c>
      <c r="W299" s="57">
        <f>IFERROR(VLOOKUP($A:$A,CS!$A:$AK,36,FALSE),"")</f>
      </c>
    </row>
    <row r="300" ht="16.5" customHeight="1" spans="1:23" x14ac:dyDescent="0.25">
      <c r="A300" s="71"/>
      <c r="B300" s="57">
        <f>IFERROR(VLOOKUP($A:$A,CS!$A:$AK,3,FALSE),"")</f>
      </c>
      <c r="C300" s="57">
        <f>IFERROR(VLOOKUP($A:$A,CS!$A:$AK,4,FALSE),"")</f>
      </c>
      <c r="D300" s="57">
        <f>IFERROR(VLOOKUP($A:$A,CS!$A:$AK,5,FALSE),"")</f>
      </c>
      <c r="E300" s="57">
        <f>IFERROR(VLOOKUP($A:$A,CS!$A:$AK,7,FALSE),"")</f>
      </c>
      <c r="F300" s="57">
        <f>IFERROR(VLOOKUP($A:$A,CS!$A:$AK,8,FALSE),"")</f>
      </c>
      <c r="G300" s="57">
        <f>IFERROR(VLOOKUP($A:$A,CS!$A:$AK,10,FALSE),"")</f>
      </c>
      <c r="H300" s="57">
        <f>IFERROR(VLOOKUP($A:$A,CS!$A:$AK,14,FALSE),"")</f>
      </c>
      <c r="I300" s="57">
        <f>IFERROR(VLOOKUP($A:$A,CS!$A:$AK,15,FALSE),"")</f>
      </c>
      <c r="J300" s="57">
        <f>IFERROR(VLOOKUP($A:$A,CS!$A:$AK,18,FALSE),"")</f>
      </c>
      <c r="K300" s="57">
        <f>IFERROR(VLOOKUP($A:$A,CS!$A:$AK,19,FALSE),"")</f>
      </c>
      <c r="L300" s="57">
        <f>IFERROR(VLOOKUP($A:$A,CS!$A:$AK,20,FALSE),"")</f>
      </c>
      <c r="M300" s="57">
        <f>IFERROR(VLOOKUP($A:$A,CS!$A:$AK,22,FALSE),"")</f>
      </c>
      <c r="N300" s="57">
        <f>IFERROR(VLOOKUP($A:$A,CS!$A:$AK,19,FALSE),"")</f>
      </c>
      <c r="O300" s="57">
        <f>IFERROR(VLOOKUP($A:$A,CS!$A:$AK,23,FALSE),"")</f>
      </c>
      <c r="P300" s="57">
        <f>IFERROR(VLOOKUP($A:$A,CS!$A:$AK,24,FALSE),"")</f>
      </c>
      <c r="Q300" s="57">
        <f>IFERROR(VLOOKUP($A:$A,CS!$A:$AK,25,FALSE),"")</f>
      </c>
      <c r="R300" s="57">
        <f>IFERROR(VLOOKUP($A:$A,CS!$A:$AK,26,FALSE),"")</f>
      </c>
      <c r="S300" s="57">
        <f>IFERROR(VLOOKUP($A:$A,CS!$A:$AK,29,FALSE),"")</f>
      </c>
      <c r="T300" s="57">
        <f>IFERROR(VLOOKUP($A:$A,CS!$A:$AK,33,FALSE),"")</f>
      </c>
      <c r="U300" s="57">
        <f>IFERROR(VLOOKUP($A:$A,CS!$A:$AK,34,FALSE),"")</f>
      </c>
      <c r="V300" s="57">
        <f>IFERROR(VLOOKUP($A:$A,CS!$A:$AK,35,FALSE),"")</f>
      </c>
      <c r="W300" s="57">
        <f>IFERROR(VLOOKUP($A:$A,CS!$A:$AK,36,FALSE),"")</f>
      </c>
    </row>
    <row r="301" ht="16.5" customHeight="1" spans="1:23" x14ac:dyDescent="0.25">
      <c r="A301" s="71"/>
      <c r="B301" s="57">
        <f>IFERROR(VLOOKUP($A:$A,CS!$A:$AK,3,FALSE),"")</f>
      </c>
      <c r="C301" s="57">
        <f>IFERROR(VLOOKUP($A:$A,CS!$A:$AK,4,FALSE),"")</f>
      </c>
      <c r="D301" s="57">
        <f>IFERROR(VLOOKUP($A:$A,CS!$A:$AK,5,FALSE),"")</f>
      </c>
      <c r="E301" s="57">
        <f>IFERROR(VLOOKUP($A:$A,CS!$A:$AK,7,FALSE),"")</f>
      </c>
      <c r="F301" s="57">
        <f>IFERROR(VLOOKUP($A:$A,CS!$A:$AK,8,FALSE),"")</f>
      </c>
      <c r="G301" s="57">
        <f>IFERROR(VLOOKUP($A:$A,CS!$A:$AK,10,FALSE),"")</f>
      </c>
      <c r="H301" s="57">
        <f>IFERROR(VLOOKUP($A:$A,CS!$A:$AK,14,FALSE),"")</f>
      </c>
      <c r="I301" s="57">
        <f>IFERROR(VLOOKUP($A:$A,CS!$A:$AK,15,FALSE),"")</f>
      </c>
      <c r="J301" s="57">
        <f>IFERROR(VLOOKUP($A:$A,CS!$A:$AK,18,FALSE),"")</f>
      </c>
      <c r="K301" s="57">
        <f>IFERROR(VLOOKUP($A:$A,CS!$A:$AK,19,FALSE),"")</f>
      </c>
      <c r="L301" s="57">
        <f>IFERROR(VLOOKUP($A:$A,CS!$A:$AK,20,FALSE),"")</f>
      </c>
      <c r="M301" s="57">
        <f>IFERROR(VLOOKUP($A:$A,CS!$A:$AK,22,FALSE),"")</f>
      </c>
      <c r="N301" s="57">
        <f>IFERROR(VLOOKUP($A:$A,CS!$A:$AK,19,FALSE),"")</f>
      </c>
      <c r="O301" s="57">
        <f>IFERROR(VLOOKUP($A:$A,CS!$A:$AK,23,FALSE),"")</f>
      </c>
      <c r="P301" s="57">
        <f>IFERROR(VLOOKUP($A:$A,CS!$A:$AK,24,FALSE),"")</f>
      </c>
      <c r="Q301" s="57">
        <f>IFERROR(VLOOKUP($A:$A,CS!$A:$AK,25,FALSE),"")</f>
      </c>
      <c r="R301" s="57">
        <f>IFERROR(VLOOKUP($A:$A,CS!$A:$AK,26,FALSE),"")</f>
      </c>
      <c r="S301" s="57">
        <f>IFERROR(VLOOKUP($A:$A,CS!$A:$AK,29,FALSE),"")</f>
      </c>
      <c r="T301" s="57">
        <f>IFERROR(VLOOKUP($A:$A,CS!$A:$AK,33,FALSE),"")</f>
      </c>
      <c r="U301" s="57">
        <f>IFERROR(VLOOKUP($A:$A,CS!$A:$AK,34,FALSE),"")</f>
      </c>
      <c r="V301" s="57">
        <f>IFERROR(VLOOKUP($A:$A,CS!$A:$AK,35,FALSE),"")</f>
      </c>
      <c r="W301" s="57">
        <f>IFERROR(VLOOKUP($A:$A,CS!$A:$AK,36,FALSE),"")</f>
      </c>
    </row>
    <row r="302" ht="16.5" customHeight="1" spans="1:23" x14ac:dyDescent="0.25">
      <c r="A302" s="71"/>
      <c r="B302" s="57">
        <f>IFERROR(VLOOKUP($A:$A,CS!$A:$AK,3,FALSE),"")</f>
      </c>
      <c r="C302" s="57">
        <f>IFERROR(VLOOKUP($A:$A,CS!$A:$AK,4,FALSE),"")</f>
      </c>
      <c r="D302" s="57">
        <f>IFERROR(VLOOKUP($A:$A,CS!$A:$AK,5,FALSE),"")</f>
      </c>
      <c r="E302" s="57">
        <f>IFERROR(VLOOKUP($A:$A,CS!$A:$AK,7,FALSE),"")</f>
      </c>
      <c r="F302" s="57">
        <f>IFERROR(VLOOKUP($A:$A,CS!$A:$AK,8,FALSE),"")</f>
      </c>
      <c r="G302" s="57">
        <f>IFERROR(VLOOKUP($A:$A,CS!$A:$AK,10,FALSE),"")</f>
      </c>
      <c r="H302" s="57">
        <f>IFERROR(VLOOKUP($A:$A,CS!$A:$AK,14,FALSE),"")</f>
      </c>
      <c r="I302" s="57">
        <f>IFERROR(VLOOKUP($A:$A,CS!$A:$AK,15,FALSE),"")</f>
      </c>
      <c r="J302" s="57">
        <f>IFERROR(VLOOKUP($A:$A,CS!$A:$AK,18,FALSE),"")</f>
      </c>
      <c r="K302" s="57">
        <f>IFERROR(VLOOKUP($A:$A,CS!$A:$AK,19,FALSE),"")</f>
      </c>
      <c r="L302" s="57">
        <f>IFERROR(VLOOKUP($A:$A,CS!$A:$AK,20,FALSE),"")</f>
      </c>
      <c r="M302" s="57">
        <f>IFERROR(VLOOKUP($A:$A,CS!$A:$AK,22,FALSE),"")</f>
      </c>
      <c r="N302" s="57">
        <f>IFERROR(VLOOKUP($A:$A,CS!$A:$AK,19,FALSE),"")</f>
      </c>
      <c r="O302" s="57">
        <f>IFERROR(VLOOKUP($A:$A,CS!$A:$AK,23,FALSE),"")</f>
      </c>
      <c r="P302" s="57">
        <f>IFERROR(VLOOKUP($A:$A,CS!$A:$AK,24,FALSE),"")</f>
      </c>
      <c r="Q302" s="57">
        <f>IFERROR(VLOOKUP($A:$A,CS!$A:$AK,25,FALSE),"")</f>
      </c>
      <c r="R302" s="57">
        <f>IFERROR(VLOOKUP($A:$A,CS!$A:$AK,26,FALSE),"")</f>
      </c>
      <c r="S302" s="57">
        <f>IFERROR(VLOOKUP($A:$A,CS!$A:$AK,29,FALSE),"")</f>
      </c>
      <c r="T302" s="57">
        <f>IFERROR(VLOOKUP($A:$A,CS!$A:$AK,33,FALSE),"")</f>
      </c>
      <c r="U302" s="57">
        <f>IFERROR(VLOOKUP($A:$A,CS!$A:$AK,34,FALSE),"")</f>
      </c>
      <c r="V302" s="57">
        <f>IFERROR(VLOOKUP($A:$A,CS!$A:$AK,35,FALSE),"")</f>
      </c>
      <c r="W302" s="57">
        <f>IFERROR(VLOOKUP($A:$A,CS!$A:$AK,36,FALSE),"")</f>
      </c>
    </row>
    <row r="303" ht="16.5" customHeight="1" spans="1:23" x14ac:dyDescent="0.25">
      <c r="A303" s="71"/>
      <c r="B303" s="57">
        <f>IFERROR(VLOOKUP($A:$A,CS!$A:$AK,3,FALSE),"")</f>
      </c>
      <c r="C303" s="57">
        <f>IFERROR(VLOOKUP($A:$A,CS!$A:$AK,4,FALSE),"")</f>
      </c>
      <c r="D303" s="57">
        <f>IFERROR(VLOOKUP($A:$A,CS!$A:$AK,5,FALSE),"")</f>
      </c>
      <c r="E303" s="57">
        <f>IFERROR(VLOOKUP($A:$A,CS!$A:$AK,7,FALSE),"")</f>
      </c>
      <c r="F303" s="57">
        <f>IFERROR(VLOOKUP($A:$A,CS!$A:$AK,8,FALSE),"")</f>
      </c>
      <c r="G303" s="57">
        <f>IFERROR(VLOOKUP($A:$A,CS!$A:$AK,10,FALSE),"")</f>
      </c>
      <c r="H303" s="57">
        <f>IFERROR(VLOOKUP($A:$A,CS!$A:$AK,14,FALSE),"")</f>
      </c>
      <c r="I303" s="57">
        <f>IFERROR(VLOOKUP($A:$A,CS!$A:$AK,15,FALSE),"")</f>
      </c>
      <c r="J303" s="57">
        <f>IFERROR(VLOOKUP($A:$A,CS!$A:$AK,18,FALSE),"")</f>
      </c>
      <c r="K303" s="57">
        <f>IFERROR(VLOOKUP($A:$A,CS!$A:$AK,19,FALSE),"")</f>
      </c>
      <c r="L303" s="57">
        <f>IFERROR(VLOOKUP($A:$A,CS!$A:$AK,20,FALSE),"")</f>
      </c>
      <c r="M303" s="57">
        <f>IFERROR(VLOOKUP($A:$A,CS!$A:$AK,22,FALSE),"")</f>
      </c>
      <c r="N303" s="57">
        <f>IFERROR(VLOOKUP($A:$A,CS!$A:$AK,19,FALSE),"")</f>
      </c>
      <c r="O303" s="57">
        <f>IFERROR(VLOOKUP($A:$A,CS!$A:$AK,23,FALSE),"")</f>
      </c>
      <c r="P303" s="57">
        <f>IFERROR(VLOOKUP($A:$A,CS!$A:$AK,24,FALSE),"")</f>
      </c>
      <c r="Q303" s="57">
        <f>IFERROR(VLOOKUP($A:$A,CS!$A:$AK,25,FALSE),"")</f>
      </c>
      <c r="R303" s="57">
        <f>IFERROR(VLOOKUP($A:$A,CS!$A:$AK,26,FALSE),"")</f>
      </c>
      <c r="S303" s="57">
        <f>IFERROR(VLOOKUP($A:$A,CS!$A:$AK,29,FALSE),"")</f>
      </c>
      <c r="T303" s="57">
        <f>IFERROR(VLOOKUP($A:$A,CS!$A:$AK,33,FALSE),"")</f>
      </c>
      <c r="U303" s="57">
        <f>IFERROR(VLOOKUP($A:$A,CS!$A:$AK,34,FALSE),"")</f>
      </c>
      <c r="V303" s="57">
        <f>IFERROR(VLOOKUP($A:$A,CS!$A:$AK,35,FALSE),"")</f>
      </c>
      <c r="W303" s="57">
        <f>IFERROR(VLOOKUP($A:$A,CS!$A:$AK,36,FALSE),"")</f>
      </c>
    </row>
    <row r="304" ht="16.5" customHeight="1" spans="1:23" x14ac:dyDescent="0.25">
      <c r="A304" s="71"/>
      <c r="B304" s="57">
        <f>IFERROR(VLOOKUP($A:$A,CS!$A:$AK,3,FALSE),"")</f>
      </c>
      <c r="C304" s="57">
        <f>IFERROR(VLOOKUP($A:$A,CS!$A:$AK,4,FALSE),"")</f>
      </c>
      <c r="D304" s="57">
        <f>IFERROR(VLOOKUP($A:$A,CS!$A:$AK,5,FALSE),"")</f>
      </c>
      <c r="E304" s="57">
        <f>IFERROR(VLOOKUP($A:$A,CS!$A:$AK,7,FALSE),"")</f>
      </c>
      <c r="F304" s="57">
        <f>IFERROR(VLOOKUP($A:$A,CS!$A:$AK,8,FALSE),"")</f>
      </c>
      <c r="G304" s="57">
        <f>IFERROR(VLOOKUP($A:$A,CS!$A:$AK,10,FALSE),"")</f>
      </c>
      <c r="H304" s="57">
        <f>IFERROR(VLOOKUP($A:$A,CS!$A:$AK,14,FALSE),"")</f>
      </c>
      <c r="I304" s="57">
        <f>IFERROR(VLOOKUP($A:$A,CS!$A:$AK,15,FALSE),"")</f>
      </c>
      <c r="J304" s="57">
        <f>IFERROR(VLOOKUP($A:$A,CS!$A:$AK,18,FALSE),"")</f>
      </c>
      <c r="K304" s="57">
        <f>IFERROR(VLOOKUP($A:$A,CS!$A:$AK,19,FALSE),"")</f>
      </c>
      <c r="L304" s="57">
        <f>IFERROR(VLOOKUP($A:$A,CS!$A:$AK,20,FALSE),"")</f>
      </c>
      <c r="M304" s="57">
        <f>IFERROR(VLOOKUP($A:$A,CS!$A:$AK,22,FALSE),"")</f>
      </c>
      <c r="N304" s="57">
        <f>IFERROR(VLOOKUP($A:$A,CS!$A:$AK,19,FALSE),"")</f>
      </c>
      <c r="O304" s="57">
        <f>IFERROR(VLOOKUP($A:$A,CS!$A:$AK,23,FALSE),"")</f>
      </c>
      <c r="P304" s="57">
        <f>IFERROR(VLOOKUP($A:$A,CS!$A:$AK,24,FALSE),"")</f>
      </c>
      <c r="Q304" s="57">
        <f>IFERROR(VLOOKUP($A:$A,CS!$A:$AK,25,FALSE),"")</f>
      </c>
      <c r="R304" s="57">
        <f>IFERROR(VLOOKUP($A:$A,CS!$A:$AK,26,FALSE),"")</f>
      </c>
      <c r="S304" s="57">
        <f>IFERROR(VLOOKUP($A:$A,CS!$A:$AK,29,FALSE),"")</f>
      </c>
      <c r="T304" s="57">
        <f>IFERROR(VLOOKUP($A:$A,CS!$A:$AK,33,FALSE),"")</f>
      </c>
      <c r="U304" s="57">
        <f>IFERROR(VLOOKUP($A:$A,CS!$A:$AK,34,FALSE),"")</f>
      </c>
      <c r="V304" s="57">
        <f>IFERROR(VLOOKUP($A:$A,CS!$A:$AK,35,FALSE),"")</f>
      </c>
      <c r="W304" s="57">
        <f>IFERROR(VLOOKUP($A:$A,CS!$A:$AK,36,FALSE),"")</f>
      </c>
    </row>
    <row r="305" ht="16.5" customHeight="1" spans="1:23" x14ac:dyDescent="0.25">
      <c r="A305" s="71"/>
      <c r="B305" s="57">
        <f>IFERROR(VLOOKUP($A:$A,CS!$A:$AK,3,FALSE),"")</f>
      </c>
      <c r="C305" s="57">
        <f>IFERROR(VLOOKUP($A:$A,CS!$A:$AK,4,FALSE),"")</f>
      </c>
      <c r="D305" s="57">
        <f>IFERROR(VLOOKUP($A:$A,CS!$A:$AK,5,FALSE),"")</f>
      </c>
      <c r="E305" s="57">
        <f>IFERROR(VLOOKUP($A:$A,CS!$A:$AK,7,FALSE),"")</f>
      </c>
      <c r="F305" s="57">
        <f>IFERROR(VLOOKUP($A:$A,CS!$A:$AK,8,FALSE),"")</f>
      </c>
      <c r="G305" s="57">
        <f>IFERROR(VLOOKUP($A:$A,CS!$A:$AK,10,FALSE),"")</f>
      </c>
      <c r="H305" s="57">
        <f>IFERROR(VLOOKUP($A:$A,CS!$A:$AK,14,FALSE),"")</f>
      </c>
      <c r="I305" s="57">
        <f>IFERROR(VLOOKUP($A:$A,CS!$A:$AK,15,FALSE),"")</f>
      </c>
      <c r="J305" s="57">
        <f>IFERROR(VLOOKUP($A:$A,CS!$A:$AK,18,FALSE),"")</f>
      </c>
      <c r="K305" s="57">
        <f>IFERROR(VLOOKUP($A:$A,CS!$A:$AK,19,FALSE),"")</f>
      </c>
      <c r="L305" s="57">
        <f>IFERROR(VLOOKUP($A:$A,CS!$A:$AK,20,FALSE),"")</f>
      </c>
      <c r="M305" s="57">
        <f>IFERROR(VLOOKUP($A:$A,CS!$A:$AK,22,FALSE),"")</f>
      </c>
      <c r="N305" s="57">
        <f>IFERROR(VLOOKUP($A:$A,CS!$A:$AK,19,FALSE),"")</f>
      </c>
      <c r="O305" s="57">
        <f>IFERROR(VLOOKUP($A:$A,CS!$A:$AK,23,FALSE),"")</f>
      </c>
      <c r="P305" s="57">
        <f>IFERROR(VLOOKUP($A:$A,CS!$A:$AK,24,FALSE),"")</f>
      </c>
      <c r="Q305" s="57">
        <f>IFERROR(VLOOKUP($A:$A,CS!$A:$AK,25,FALSE),"")</f>
      </c>
      <c r="R305" s="57">
        <f>IFERROR(VLOOKUP($A:$A,CS!$A:$AK,26,FALSE),"")</f>
      </c>
      <c r="S305" s="57">
        <f>IFERROR(VLOOKUP($A:$A,CS!$A:$AK,29,FALSE),"")</f>
      </c>
      <c r="T305" s="57">
        <f>IFERROR(VLOOKUP($A:$A,CS!$A:$AK,33,FALSE),"")</f>
      </c>
      <c r="U305" s="57">
        <f>IFERROR(VLOOKUP($A:$A,CS!$A:$AK,34,FALSE),"")</f>
      </c>
      <c r="V305" s="57">
        <f>IFERROR(VLOOKUP($A:$A,CS!$A:$AK,35,FALSE),"")</f>
      </c>
      <c r="W305" s="57">
        <f>IFERROR(VLOOKUP($A:$A,CS!$A:$AK,36,FALSE),"")</f>
      </c>
    </row>
    <row r="306" ht="16.5" customHeight="1" spans="1:23" x14ac:dyDescent="0.25">
      <c r="A306" s="71"/>
      <c r="B306" s="57">
        <f>IFERROR(VLOOKUP($A:$A,CS!$A:$AK,3,FALSE),"")</f>
      </c>
      <c r="C306" s="57">
        <f>IFERROR(VLOOKUP($A:$A,CS!$A:$AK,4,FALSE),"")</f>
      </c>
      <c r="D306" s="57">
        <f>IFERROR(VLOOKUP($A:$A,CS!$A:$AK,5,FALSE),"")</f>
      </c>
      <c r="E306" s="57">
        <f>IFERROR(VLOOKUP($A:$A,CS!$A:$AK,7,FALSE),"")</f>
      </c>
      <c r="F306" s="57">
        <f>IFERROR(VLOOKUP($A:$A,CS!$A:$AK,8,FALSE),"")</f>
      </c>
      <c r="G306" s="57">
        <f>IFERROR(VLOOKUP($A:$A,CS!$A:$AK,10,FALSE),"")</f>
      </c>
      <c r="H306" s="57">
        <f>IFERROR(VLOOKUP($A:$A,CS!$A:$AK,14,FALSE),"")</f>
      </c>
      <c r="I306" s="57">
        <f>IFERROR(VLOOKUP($A:$A,CS!$A:$AK,15,FALSE),"")</f>
      </c>
      <c r="J306" s="57">
        <f>IFERROR(VLOOKUP($A:$A,CS!$A:$AK,18,FALSE),"")</f>
      </c>
      <c r="K306" s="57">
        <f>IFERROR(VLOOKUP($A:$A,CS!$A:$AK,19,FALSE),"")</f>
      </c>
      <c r="L306" s="57">
        <f>IFERROR(VLOOKUP($A:$A,CS!$A:$AK,20,FALSE),"")</f>
      </c>
      <c r="M306" s="57">
        <f>IFERROR(VLOOKUP($A:$A,CS!$A:$AK,22,FALSE),"")</f>
      </c>
      <c r="N306" s="57">
        <f>IFERROR(VLOOKUP($A:$A,CS!$A:$AK,19,FALSE),"")</f>
      </c>
      <c r="O306" s="57">
        <f>IFERROR(VLOOKUP($A:$A,CS!$A:$AK,23,FALSE),"")</f>
      </c>
      <c r="P306" s="57">
        <f>IFERROR(VLOOKUP($A:$A,CS!$A:$AK,24,FALSE),"")</f>
      </c>
      <c r="Q306" s="57">
        <f>IFERROR(VLOOKUP($A:$A,CS!$A:$AK,25,FALSE),"")</f>
      </c>
      <c r="R306" s="57">
        <f>IFERROR(VLOOKUP($A:$A,CS!$A:$AK,26,FALSE),"")</f>
      </c>
      <c r="S306" s="57">
        <f>IFERROR(VLOOKUP($A:$A,CS!$A:$AK,29,FALSE),"")</f>
      </c>
      <c r="T306" s="57">
        <f>IFERROR(VLOOKUP($A:$A,CS!$A:$AK,33,FALSE),"")</f>
      </c>
      <c r="U306" s="57">
        <f>IFERROR(VLOOKUP($A:$A,CS!$A:$AK,34,FALSE),"")</f>
      </c>
      <c r="V306" s="57">
        <f>IFERROR(VLOOKUP($A:$A,CS!$A:$AK,35,FALSE),"")</f>
      </c>
      <c r="W306" s="57">
        <f>IFERROR(VLOOKUP($A:$A,CS!$A:$AK,36,FALSE),"")</f>
      </c>
    </row>
    <row r="307" ht="16.5" customHeight="1" spans="1:23" x14ac:dyDescent="0.25">
      <c r="A307" s="71"/>
      <c r="B307" s="57">
        <f>IFERROR(VLOOKUP($A:$A,CS!$A:$AK,3,FALSE),"")</f>
      </c>
      <c r="C307" s="57">
        <f>IFERROR(VLOOKUP($A:$A,CS!$A:$AK,4,FALSE),"")</f>
      </c>
      <c r="D307" s="57">
        <f>IFERROR(VLOOKUP($A:$A,CS!$A:$AK,5,FALSE),"")</f>
      </c>
      <c r="E307" s="57">
        <f>IFERROR(VLOOKUP($A:$A,CS!$A:$AK,7,FALSE),"")</f>
      </c>
      <c r="F307" s="57">
        <f>IFERROR(VLOOKUP($A:$A,CS!$A:$AK,8,FALSE),"")</f>
      </c>
      <c r="G307" s="57">
        <f>IFERROR(VLOOKUP($A:$A,CS!$A:$AK,10,FALSE),"")</f>
      </c>
      <c r="H307" s="57">
        <f>IFERROR(VLOOKUP($A:$A,CS!$A:$AK,14,FALSE),"")</f>
      </c>
      <c r="I307" s="57">
        <f>IFERROR(VLOOKUP($A:$A,CS!$A:$AK,15,FALSE),"")</f>
      </c>
      <c r="J307" s="57">
        <f>IFERROR(VLOOKUP($A:$A,CS!$A:$AK,18,FALSE),"")</f>
      </c>
      <c r="K307" s="57">
        <f>IFERROR(VLOOKUP($A:$A,CS!$A:$AK,19,FALSE),"")</f>
      </c>
      <c r="L307" s="57">
        <f>IFERROR(VLOOKUP($A:$A,CS!$A:$AK,20,FALSE),"")</f>
      </c>
      <c r="M307" s="57">
        <f>IFERROR(VLOOKUP($A:$A,CS!$A:$AK,22,FALSE),"")</f>
      </c>
      <c r="N307" s="57">
        <f>IFERROR(VLOOKUP($A:$A,CS!$A:$AK,19,FALSE),"")</f>
      </c>
      <c r="O307" s="57">
        <f>IFERROR(VLOOKUP($A:$A,CS!$A:$AK,23,FALSE),"")</f>
      </c>
      <c r="P307" s="57">
        <f>IFERROR(VLOOKUP($A:$A,CS!$A:$AK,24,FALSE),"")</f>
      </c>
      <c r="Q307" s="57">
        <f>IFERROR(VLOOKUP($A:$A,CS!$A:$AK,25,FALSE),"")</f>
      </c>
      <c r="R307" s="57">
        <f>IFERROR(VLOOKUP($A:$A,CS!$A:$AK,26,FALSE),"")</f>
      </c>
      <c r="S307" s="57">
        <f>IFERROR(VLOOKUP($A:$A,CS!$A:$AK,29,FALSE),"")</f>
      </c>
      <c r="T307" s="57">
        <f>IFERROR(VLOOKUP($A:$A,CS!$A:$AK,33,FALSE),"")</f>
      </c>
      <c r="U307" s="57">
        <f>IFERROR(VLOOKUP($A:$A,CS!$A:$AK,34,FALSE),"")</f>
      </c>
      <c r="V307" s="57">
        <f>IFERROR(VLOOKUP($A:$A,CS!$A:$AK,35,FALSE),"")</f>
      </c>
      <c r="W307" s="57">
        <f>IFERROR(VLOOKUP($A:$A,CS!$A:$AK,36,FALSE),"")</f>
      </c>
    </row>
    <row r="308" ht="16.5" customHeight="1" spans="1:23" x14ac:dyDescent="0.25">
      <c r="A308" s="71"/>
      <c r="B308" s="57">
        <f>IFERROR(VLOOKUP($A:$A,CS!$A:$AK,3,FALSE),"")</f>
      </c>
      <c r="C308" s="57">
        <f>IFERROR(VLOOKUP($A:$A,CS!$A:$AK,4,FALSE),"")</f>
      </c>
      <c r="D308" s="57">
        <f>IFERROR(VLOOKUP($A:$A,CS!$A:$AK,5,FALSE),"")</f>
      </c>
      <c r="E308" s="57">
        <f>IFERROR(VLOOKUP($A:$A,CS!$A:$AK,7,FALSE),"")</f>
      </c>
      <c r="F308" s="57">
        <f>IFERROR(VLOOKUP($A:$A,CS!$A:$AK,8,FALSE),"")</f>
      </c>
      <c r="G308" s="57">
        <f>IFERROR(VLOOKUP($A:$A,CS!$A:$AK,10,FALSE),"")</f>
      </c>
      <c r="H308" s="57">
        <f>IFERROR(VLOOKUP($A:$A,CS!$A:$AK,14,FALSE),"")</f>
      </c>
      <c r="I308" s="57">
        <f>IFERROR(VLOOKUP($A:$A,CS!$A:$AK,15,FALSE),"")</f>
      </c>
      <c r="J308" s="57">
        <f>IFERROR(VLOOKUP($A:$A,CS!$A:$AK,18,FALSE),"")</f>
      </c>
      <c r="K308" s="57">
        <f>IFERROR(VLOOKUP($A:$A,CS!$A:$AK,19,FALSE),"")</f>
      </c>
      <c r="L308" s="57">
        <f>IFERROR(VLOOKUP($A:$A,CS!$A:$AK,20,FALSE),"")</f>
      </c>
      <c r="M308" s="57">
        <f>IFERROR(VLOOKUP($A:$A,CS!$A:$AK,22,FALSE),"")</f>
      </c>
      <c r="N308" s="57">
        <f>IFERROR(VLOOKUP($A:$A,CS!$A:$AK,19,FALSE),"")</f>
      </c>
      <c r="O308" s="57">
        <f>IFERROR(VLOOKUP($A:$A,CS!$A:$AK,23,FALSE),"")</f>
      </c>
      <c r="P308" s="57">
        <f>IFERROR(VLOOKUP($A:$A,CS!$A:$AK,24,FALSE),"")</f>
      </c>
      <c r="Q308" s="57">
        <f>IFERROR(VLOOKUP($A:$A,CS!$A:$AK,25,FALSE),"")</f>
      </c>
      <c r="R308" s="57">
        <f>IFERROR(VLOOKUP($A:$A,CS!$A:$AK,26,FALSE),"")</f>
      </c>
      <c r="S308" s="57">
        <f>IFERROR(VLOOKUP($A:$A,CS!$A:$AK,29,FALSE),"")</f>
      </c>
      <c r="T308" s="57">
        <f>IFERROR(VLOOKUP($A:$A,CS!$A:$AK,33,FALSE),"")</f>
      </c>
      <c r="U308" s="57">
        <f>IFERROR(VLOOKUP($A:$A,CS!$A:$AK,34,FALSE),"")</f>
      </c>
      <c r="V308" s="57">
        <f>IFERROR(VLOOKUP($A:$A,CS!$A:$AK,35,FALSE),"")</f>
      </c>
      <c r="W308" s="57">
        <f>IFERROR(VLOOKUP($A:$A,CS!$A:$AK,36,FALSE),"")</f>
      </c>
    </row>
    <row r="309" ht="16.5" customHeight="1" spans="1:23" x14ac:dyDescent="0.25">
      <c r="A309" s="71"/>
      <c r="B309" s="57">
        <f>IFERROR(VLOOKUP($A:$A,CS!$A:$AK,3,FALSE),"")</f>
      </c>
      <c r="C309" s="57">
        <f>IFERROR(VLOOKUP($A:$A,CS!$A:$AK,4,FALSE),"")</f>
      </c>
      <c r="D309" s="57">
        <f>IFERROR(VLOOKUP($A:$A,CS!$A:$AK,5,FALSE),"")</f>
      </c>
      <c r="E309" s="57">
        <f>IFERROR(VLOOKUP($A:$A,CS!$A:$AK,7,FALSE),"")</f>
      </c>
      <c r="F309" s="57">
        <f>IFERROR(VLOOKUP($A:$A,CS!$A:$AK,8,FALSE),"")</f>
      </c>
      <c r="G309" s="57">
        <f>IFERROR(VLOOKUP($A:$A,CS!$A:$AK,10,FALSE),"")</f>
      </c>
      <c r="H309" s="57">
        <f>IFERROR(VLOOKUP($A:$A,CS!$A:$AK,14,FALSE),"")</f>
      </c>
      <c r="I309" s="57">
        <f>IFERROR(VLOOKUP($A:$A,CS!$A:$AK,15,FALSE),"")</f>
      </c>
      <c r="J309" s="57">
        <f>IFERROR(VLOOKUP($A:$A,CS!$A:$AK,18,FALSE),"")</f>
      </c>
      <c r="K309" s="57">
        <f>IFERROR(VLOOKUP($A:$A,CS!$A:$AK,19,FALSE),"")</f>
      </c>
      <c r="L309" s="57">
        <f>IFERROR(VLOOKUP($A:$A,CS!$A:$AK,20,FALSE),"")</f>
      </c>
      <c r="M309" s="57">
        <f>IFERROR(VLOOKUP($A:$A,CS!$A:$AK,22,FALSE),"")</f>
      </c>
      <c r="N309" s="57">
        <f>IFERROR(VLOOKUP($A:$A,CS!$A:$AK,19,FALSE),"")</f>
      </c>
      <c r="O309" s="57">
        <f>IFERROR(VLOOKUP($A:$A,CS!$A:$AK,23,FALSE),"")</f>
      </c>
      <c r="P309" s="57">
        <f>IFERROR(VLOOKUP($A:$A,CS!$A:$AK,24,FALSE),"")</f>
      </c>
      <c r="Q309" s="57">
        <f>IFERROR(VLOOKUP($A:$A,CS!$A:$AK,25,FALSE),"")</f>
      </c>
      <c r="R309" s="57">
        <f>IFERROR(VLOOKUP($A:$A,CS!$A:$AK,26,FALSE),"")</f>
      </c>
      <c r="S309" s="57">
        <f>IFERROR(VLOOKUP($A:$A,CS!$A:$AK,29,FALSE),"")</f>
      </c>
      <c r="T309" s="57">
        <f>IFERROR(VLOOKUP($A:$A,CS!$A:$AK,33,FALSE),"")</f>
      </c>
      <c r="U309" s="57">
        <f>IFERROR(VLOOKUP($A:$A,CS!$A:$AK,34,FALSE),"")</f>
      </c>
      <c r="V309" s="57">
        <f>IFERROR(VLOOKUP($A:$A,CS!$A:$AK,35,FALSE),"")</f>
      </c>
      <c r="W309" s="57">
        <f>IFERROR(VLOOKUP($A:$A,CS!$A:$AK,36,FALSE),"")</f>
      </c>
    </row>
    <row r="310" ht="16.5" customHeight="1" spans="1:23" x14ac:dyDescent="0.25">
      <c r="A310" s="71"/>
      <c r="B310" s="57">
        <f>IFERROR(VLOOKUP($A:$A,CS!$A:$AK,3,FALSE),"")</f>
      </c>
      <c r="C310" s="57">
        <f>IFERROR(VLOOKUP($A:$A,CS!$A:$AK,4,FALSE),"")</f>
      </c>
      <c r="D310" s="57">
        <f>IFERROR(VLOOKUP($A:$A,CS!$A:$AK,5,FALSE),"")</f>
      </c>
      <c r="E310" s="57">
        <f>IFERROR(VLOOKUP($A:$A,CS!$A:$AK,7,FALSE),"")</f>
      </c>
      <c r="F310" s="57">
        <f>IFERROR(VLOOKUP($A:$A,CS!$A:$AK,8,FALSE),"")</f>
      </c>
      <c r="G310" s="57">
        <f>IFERROR(VLOOKUP($A:$A,CS!$A:$AK,10,FALSE),"")</f>
      </c>
      <c r="H310" s="57">
        <f>IFERROR(VLOOKUP($A:$A,CS!$A:$AK,14,FALSE),"")</f>
      </c>
      <c r="I310" s="57">
        <f>IFERROR(VLOOKUP($A:$A,CS!$A:$AK,15,FALSE),"")</f>
      </c>
      <c r="J310" s="57">
        <f>IFERROR(VLOOKUP($A:$A,CS!$A:$AK,18,FALSE),"")</f>
      </c>
      <c r="K310" s="57">
        <f>IFERROR(VLOOKUP($A:$A,CS!$A:$AK,19,FALSE),"")</f>
      </c>
      <c r="L310" s="57">
        <f>IFERROR(VLOOKUP($A:$A,CS!$A:$AK,20,FALSE),"")</f>
      </c>
      <c r="M310" s="57">
        <f>IFERROR(VLOOKUP($A:$A,CS!$A:$AK,22,FALSE),"")</f>
      </c>
      <c r="N310" s="57">
        <f>IFERROR(VLOOKUP($A:$A,CS!$A:$AK,19,FALSE),"")</f>
      </c>
      <c r="O310" s="57">
        <f>IFERROR(VLOOKUP($A:$A,CS!$A:$AK,23,FALSE),"")</f>
      </c>
      <c r="P310" s="57">
        <f>IFERROR(VLOOKUP($A:$A,CS!$A:$AK,24,FALSE),"")</f>
      </c>
      <c r="Q310" s="57">
        <f>IFERROR(VLOOKUP($A:$A,CS!$A:$AK,25,FALSE),"")</f>
      </c>
      <c r="R310" s="57">
        <f>IFERROR(VLOOKUP($A:$A,CS!$A:$AK,26,FALSE),"")</f>
      </c>
      <c r="S310" s="57">
        <f>IFERROR(VLOOKUP($A:$A,CS!$A:$AK,29,FALSE),"")</f>
      </c>
      <c r="T310" s="57">
        <f>IFERROR(VLOOKUP($A:$A,CS!$A:$AK,33,FALSE),"")</f>
      </c>
      <c r="U310" s="57">
        <f>IFERROR(VLOOKUP($A:$A,CS!$A:$AK,34,FALSE),"")</f>
      </c>
      <c r="V310" s="57">
        <f>IFERROR(VLOOKUP($A:$A,CS!$A:$AK,35,FALSE),"")</f>
      </c>
      <c r="W310" s="57">
        <f>IFERROR(VLOOKUP($A:$A,CS!$A:$AK,36,FALSE),"")</f>
      </c>
    </row>
    <row r="311" ht="16.5" customHeight="1" spans="1:23" x14ac:dyDescent="0.25">
      <c r="A311" s="71"/>
      <c r="B311" s="57">
        <f>IFERROR(VLOOKUP($A:$A,CS!$A:$AK,3,FALSE),"")</f>
      </c>
      <c r="C311" s="57">
        <f>IFERROR(VLOOKUP($A:$A,CS!$A:$AK,4,FALSE),"")</f>
      </c>
      <c r="D311" s="57">
        <f>IFERROR(VLOOKUP($A:$A,CS!$A:$AK,5,FALSE),"")</f>
      </c>
      <c r="E311" s="57">
        <f>IFERROR(VLOOKUP($A:$A,CS!$A:$AK,7,FALSE),"")</f>
      </c>
      <c r="F311" s="57">
        <f>IFERROR(VLOOKUP($A:$A,CS!$A:$AK,8,FALSE),"")</f>
      </c>
      <c r="G311" s="57">
        <f>IFERROR(VLOOKUP($A:$A,CS!$A:$AK,10,FALSE),"")</f>
      </c>
      <c r="H311" s="57">
        <f>IFERROR(VLOOKUP($A:$A,CS!$A:$AK,14,FALSE),"")</f>
      </c>
      <c r="I311" s="57">
        <f>IFERROR(VLOOKUP($A:$A,CS!$A:$AK,15,FALSE),"")</f>
      </c>
      <c r="J311" s="57">
        <f>IFERROR(VLOOKUP($A:$A,CS!$A:$AK,18,FALSE),"")</f>
      </c>
      <c r="K311" s="57">
        <f>IFERROR(VLOOKUP($A:$A,CS!$A:$AK,19,FALSE),"")</f>
      </c>
      <c r="L311" s="57">
        <f>IFERROR(VLOOKUP($A:$A,CS!$A:$AK,20,FALSE),"")</f>
      </c>
      <c r="M311" s="57">
        <f>IFERROR(VLOOKUP($A:$A,CS!$A:$AK,22,FALSE),"")</f>
      </c>
      <c r="N311" s="57">
        <f>IFERROR(VLOOKUP($A:$A,CS!$A:$AK,19,FALSE),"")</f>
      </c>
      <c r="O311" s="57">
        <f>IFERROR(VLOOKUP($A:$A,CS!$A:$AK,23,FALSE),"")</f>
      </c>
      <c r="P311" s="57">
        <f>IFERROR(VLOOKUP($A:$A,CS!$A:$AK,24,FALSE),"")</f>
      </c>
      <c r="Q311" s="57">
        <f>IFERROR(VLOOKUP($A:$A,CS!$A:$AK,25,FALSE),"")</f>
      </c>
      <c r="R311" s="57">
        <f>IFERROR(VLOOKUP($A:$A,CS!$A:$AK,26,FALSE),"")</f>
      </c>
      <c r="S311" s="57">
        <f>IFERROR(VLOOKUP($A:$A,CS!$A:$AK,29,FALSE),"")</f>
      </c>
      <c r="T311" s="57">
        <f>IFERROR(VLOOKUP($A:$A,CS!$A:$AK,33,FALSE),"")</f>
      </c>
      <c r="U311" s="57">
        <f>IFERROR(VLOOKUP($A:$A,CS!$A:$AK,34,FALSE),"")</f>
      </c>
      <c r="V311" s="57">
        <f>IFERROR(VLOOKUP($A:$A,CS!$A:$AK,35,FALSE),"")</f>
      </c>
      <c r="W311" s="57">
        <f>IFERROR(VLOOKUP($A:$A,CS!$A:$AK,36,FALSE),"")</f>
      </c>
    </row>
    <row r="312" ht="16.5" customHeight="1" spans="1:23" x14ac:dyDescent="0.25">
      <c r="A312" s="71"/>
      <c r="B312" s="57">
        <f>IFERROR(VLOOKUP($A:$A,CS!$A:$AK,3,FALSE),"")</f>
      </c>
      <c r="C312" s="57">
        <f>IFERROR(VLOOKUP($A:$A,CS!$A:$AK,4,FALSE),"")</f>
      </c>
      <c r="D312" s="57">
        <f>IFERROR(VLOOKUP($A:$A,CS!$A:$AK,5,FALSE),"")</f>
      </c>
      <c r="E312" s="57">
        <f>IFERROR(VLOOKUP($A:$A,CS!$A:$AK,7,FALSE),"")</f>
      </c>
      <c r="F312" s="57">
        <f>IFERROR(VLOOKUP($A:$A,CS!$A:$AK,8,FALSE),"")</f>
      </c>
      <c r="G312" s="57">
        <f>IFERROR(VLOOKUP($A:$A,CS!$A:$AK,10,FALSE),"")</f>
      </c>
      <c r="H312" s="57">
        <f>IFERROR(VLOOKUP($A:$A,CS!$A:$AK,14,FALSE),"")</f>
      </c>
      <c r="I312" s="57">
        <f>IFERROR(VLOOKUP($A:$A,CS!$A:$AK,15,FALSE),"")</f>
      </c>
      <c r="J312" s="57">
        <f>IFERROR(VLOOKUP($A:$A,CS!$A:$AK,18,FALSE),"")</f>
      </c>
      <c r="K312" s="57">
        <f>IFERROR(VLOOKUP($A:$A,CS!$A:$AK,19,FALSE),"")</f>
      </c>
      <c r="L312" s="57">
        <f>IFERROR(VLOOKUP($A:$A,CS!$A:$AK,20,FALSE),"")</f>
      </c>
      <c r="M312" s="57">
        <f>IFERROR(VLOOKUP($A:$A,CS!$A:$AK,22,FALSE),"")</f>
      </c>
      <c r="N312" s="57">
        <f>IFERROR(VLOOKUP($A:$A,CS!$A:$AK,19,FALSE),"")</f>
      </c>
      <c r="O312" s="57">
        <f>IFERROR(VLOOKUP($A:$A,CS!$A:$AK,23,FALSE),"")</f>
      </c>
      <c r="P312" s="57">
        <f>IFERROR(VLOOKUP($A:$A,CS!$A:$AK,24,FALSE),"")</f>
      </c>
      <c r="Q312" s="57">
        <f>IFERROR(VLOOKUP($A:$A,CS!$A:$AK,25,FALSE),"")</f>
      </c>
      <c r="R312" s="57">
        <f>IFERROR(VLOOKUP($A:$A,CS!$A:$AK,26,FALSE),"")</f>
      </c>
      <c r="S312" s="57">
        <f>IFERROR(VLOOKUP($A:$A,CS!$A:$AK,29,FALSE),"")</f>
      </c>
      <c r="T312" s="57">
        <f>IFERROR(VLOOKUP($A:$A,CS!$A:$AK,33,FALSE),"")</f>
      </c>
      <c r="U312" s="57">
        <f>IFERROR(VLOOKUP($A:$A,CS!$A:$AK,34,FALSE),"")</f>
      </c>
      <c r="V312" s="57">
        <f>IFERROR(VLOOKUP($A:$A,CS!$A:$AK,35,FALSE),"")</f>
      </c>
      <c r="W312" s="57">
        <f>IFERROR(VLOOKUP($A:$A,CS!$A:$AK,36,FALSE),"")</f>
      </c>
    </row>
    <row r="313" ht="16.5" customHeight="1" spans="1:23" x14ac:dyDescent="0.25">
      <c r="A313" s="71"/>
      <c r="B313" s="57">
        <f>IFERROR(VLOOKUP($A:$A,CS!$A:$AK,3,FALSE),"")</f>
      </c>
      <c r="C313" s="57">
        <f>IFERROR(VLOOKUP($A:$A,CS!$A:$AK,4,FALSE),"")</f>
      </c>
      <c r="D313" s="57">
        <f>IFERROR(VLOOKUP($A:$A,CS!$A:$AK,5,FALSE),"")</f>
      </c>
      <c r="E313" s="57">
        <f>IFERROR(VLOOKUP($A:$A,CS!$A:$AK,7,FALSE),"")</f>
      </c>
      <c r="F313" s="57">
        <f>IFERROR(VLOOKUP($A:$A,CS!$A:$AK,8,FALSE),"")</f>
      </c>
      <c r="G313" s="57">
        <f>IFERROR(VLOOKUP($A:$A,CS!$A:$AK,10,FALSE),"")</f>
      </c>
      <c r="H313" s="57">
        <f>IFERROR(VLOOKUP($A:$A,CS!$A:$AK,14,FALSE),"")</f>
      </c>
      <c r="I313" s="57">
        <f>IFERROR(VLOOKUP($A:$A,CS!$A:$AK,15,FALSE),"")</f>
      </c>
      <c r="J313" s="57">
        <f>IFERROR(VLOOKUP($A:$A,CS!$A:$AK,18,FALSE),"")</f>
      </c>
      <c r="K313" s="57">
        <f>IFERROR(VLOOKUP($A:$A,CS!$A:$AK,19,FALSE),"")</f>
      </c>
      <c r="L313" s="57">
        <f>IFERROR(VLOOKUP($A:$A,CS!$A:$AK,20,FALSE),"")</f>
      </c>
      <c r="M313" s="57">
        <f>IFERROR(VLOOKUP($A:$A,CS!$A:$AK,22,FALSE),"")</f>
      </c>
      <c r="N313" s="57">
        <f>IFERROR(VLOOKUP($A:$A,CS!$A:$AK,19,FALSE),"")</f>
      </c>
      <c r="O313" s="57">
        <f>IFERROR(VLOOKUP($A:$A,CS!$A:$AK,23,FALSE),"")</f>
      </c>
      <c r="P313" s="57">
        <f>IFERROR(VLOOKUP($A:$A,CS!$A:$AK,24,FALSE),"")</f>
      </c>
      <c r="Q313" s="57">
        <f>IFERROR(VLOOKUP($A:$A,CS!$A:$AK,25,FALSE),"")</f>
      </c>
      <c r="R313" s="57">
        <f>IFERROR(VLOOKUP($A:$A,CS!$A:$AK,26,FALSE),"")</f>
      </c>
      <c r="S313" s="57">
        <f>IFERROR(VLOOKUP($A:$A,CS!$A:$AK,29,FALSE),"")</f>
      </c>
      <c r="T313" s="57">
        <f>IFERROR(VLOOKUP($A:$A,CS!$A:$AK,33,FALSE),"")</f>
      </c>
      <c r="U313" s="57">
        <f>IFERROR(VLOOKUP($A:$A,CS!$A:$AK,34,FALSE),"")</f>
      </c>
      <c r="V313" s="57">
        <f>IFERROR(VLOOKUP($A:$A,CS!$A:$AK,35,FALSE),"")</f>
      </c>
      <c r="W313" s="57">
        <f>IFERROR(VLOOKUP($A:$A,CS!$A:$AK,36,FALSE),"")</f>
      </c>
    </row>
    <row r="314" ht="16.5" customHeight="1" spans="1:23" x14ac:dyDescent="0.25">
      <c r="A314" s="71"/>
      <c r="B314" s="57">
        <f>IFERROR(VLOOKUP($A:$A,CS!$A:$AK,3,FALSE),"")</f>
      </c>
      <c r="C314" s="57">
        <f>IFERROR(VLOOKUP($A:$A,CS!$A:$AK,4,FALSE),"")</f>
      </c>
      <c r="D314" s="57">
        <f>IFERROR(VLOOKUP($A:$A,CS!$A:$AK,5,FALSE),"")</f>
      </c>
      <c r="E314" s="57">
        <f>IFERROR(VLOOKUP($A:$A,CS!$A:$AK,7,FALSE),"")</f>
      </c>
      <c r="F314" s="57">
        <f>IFERROR(VLOOKUP($A:$A,CS!$A:$AK,8,FALSE),"")</f>
      </c>
      <c r="G314" s="57">
        <f>IFERROR(VLOOKUP($A:$A,CS!$A:$AK,10,FALSE),"")</f>
      </c>
      <c r="H314" s="57">
        <f>IFERROR(VLOOKUP($A:$A,CS!$A:$AK,14,FALSE),"")</f>
      </c>
      <c r="I314" s="57">
        <f>IFERROR(VLOOKUP($A:$A,CS!$A:$AK,15,FALSE),"")</f>
      </c>
      <c r="J314" s="57">
        <f>IFERROR(VLOOKUP($A:$A,CS!$A:$AK,18,FALSE),"")</f>
      </c>
      <c r="K314" s="57">
        <f>IFERROR(VLOOKUP($A:$A,CS!$A:$AK,19,FALSE),"")</f>
      </c>
      <c r="L314" s="57">
        <f>IFERROR(VLOOKUP($A:$A,CS!$A:$AK,20,FALSE),"")</f>
      </c>
      <c r="M314" s="57">
        <f>IFERROR(VLOOKUP($A:$A,CS!$A:$AK,22,FALSE),"")</f>
      </c>
      <c r="N314" s="57">
        <f>IFERROR(VLOOKUP($A:$A,CS!$A:$AK,19,FALSE),"")</f>
      </c>
      <c r="O314" s="57">
        <f>IFERROR(VLOOKUP($A:$A,CS!$A:$AK,23,FALSE),"")</f>
      </c>
      <c r="P314" s="57">
        <f>IFERROR(VLOOKUP($A:$A,CS!$A:$AK,24,FALSE),"")</f>
      </c>
      <c r="Q314" s="57">
        <f>IFERROR(VLOOKUP($A:$A,CS!$A:$AK,25,FALSE),"")</f>
      </c>
      <c r="R314" s="57">
        <f>IFERROR(VLOOKUP($A:$A,CS!$A:$AK,26,FALSE),"")</f>
      </c>
      <c r="S314" s="57">
        <f>IFERROR(VLOOKUP($A:$A,CS!$A:$AK,29,FALSE),"")</f>
      </c>
      <c r="T314" s="57">
        <f>IFERROR(VLOOKUP($A:$A,CS!$A:$AK,33,FALSE),"")</f>
      </c>
      <c r="U314" s="57">
        <f>IFERROR(VLOOKUP($A:$A,CS!$A:$AK,34,FALSE),"")</f>
      </c>
      <c r="V314" s="57">
        <f>IFERROR(VLOOKUP($A:$A,CS!$A:$AK,35,FALSE),"")</f>
      </c>
      <c r="W314" s="57">
        <f>IFERROR(VLOOKUP($A:$A,CS!$A:$AK,36,FALSE),"")</f>
      </c>
    </row>
    <row r="315" ht="16.5" customHeight="1" spans="1:23" x14ac:dyDescent="0.25">
      <c r="A315" s="71"/>
      <c r="B315" s="57">
        <f>IFERROR(VLOOKUP($A:$A,CS!$A:$AK,3,FALSE),"")</f>
      </c>
      <c r="C315" s="57">
        <f>IFERROR(VLOOKUP($A:$A,CS!$A:$AK,4,FALSE),"")</f>
      </c>
      <c r="D315" s="57">
        <f>IFERROR(VLOOKUP($A:$A,CS!$A:$AK,5,FALSE),"")</f>
      </c>
      <c r="E315" s="57">
        <f>IFERROR(VLOOKUP($A:$A,CS!$A:$AK,7,FALSE),"")</f>
      </c>
      <c r="F315" s="57">
        <f>IFERROR(VLOOKUP($A:$A,CS!$A:$AK,8,FALSE),"")</f>
      </c>
      <c r="G315" s="57">
        <f>IFERROR(VLOOKUP($A:$A,CS!$A:$AK,10,FALSE),"")</f>
      </c>
      <c r="H315" s="57">
        <f>IFERROR(VLOOKUP($A:$A,CS!$A:$AK,14,FALSE),"")</f>
      </c>
      <c r="I315" s="57">
        <f>IFERROR(VLOOKUP($A:$A,CS!$A:$AK,15,FALSE),"")</f>
      </c>
      <c r="J315" s="57">
        <f>IFERROR(VLOOKUP($A:$A,CS!$A:$AK,18,FALSE),"")</f>
      </c>
      <c r="K315" s="57">
        <f>IFERROR(VLOOKUP($A:$A,CS!$A:$AK,19,FALSE),"")</f>
      </c>
      <c r="L315" s="57">
        <f>IFERROR(VLOOKUP($A:$A,CS!$A:$AK,20,FALSE),"")</f>
      </c>
      <c r="M315" s="57">
        <f>IFERROR(VLOOKUP($A:$A,CS!$A:$AK,22,FALSE),"")</f>
      </c>
      <c r="N315" s="57">
        <f>IFERROR(VLOOKUP($A:$A,CS!$A:$AK,19,FALSE),"")</f>
      </c>
      <c r="O315" s="57">
        <f>IFERROR(VLOOKUP($A:$A,CS!$A:$AK,23,FALSE),"")</f>
      </c>
      <c r="P315" s="57">
        <f>IFERROR(VLOOKUP($A:$A,CS!$A:$AK,24,FALSE),"")</f>
      </c>
      <c r="Q315" s="57">
        <f>IFERROR(VLOOKUP($A:$A,CS!$A:$AK,25,FALSE),"")</f>
      </c>
      <c r="R315" s="57">
        <f>IFERROR(VLOOKUP($A:$A,CS!$A:$AK,26,FALSE),"")</f>
      </c>
      <c r="S315" s="57">
        <f>IFERROR(VLOOKUP($A:$A,CS!$A:$AK,29,FALSE),"")</f>
      </c>
      <c r="T315" s="57">
        <f>IFERROR(VLOOKUP($A:$A,CS!$A:$AK,33,FALSE),"")</f>
      </c>
      <c r="U315" s="57">
        <f>IFERROR(VLOOKUP($A:$A,CS!$A:$AK,34,FALSE),"")</f>
      </c>
      <c r="V315" s="57">
        <f>IFERROR(VLOOKUP($A:$A,CS!$A:$AK,35,FALSE),"")</f>
      </c>
      <c r="W315" s="57">
        <f>IFERROR(VLOOKUP($A:$A,CS!$A:$AK,36,FALSE),"")</f>
      </c>
    </row>
    <row r="316" ht="16.5" customHeight="1" spans="1:23" x14ac:dyDescent="0.25">
      <c r="A316" s="71"/>
      <c r="B316" s="57">
        <f>IFERROR(VLOOKUP($A:$A,CS!$A:$AK,3,FALSE),"")</f>
      </c>
      <c r="C316" s="57">
        <f>IFERROR(VLOOKUP($A:$A,CS!$A:$AK,4,FALSE),"")</f>
      </c>
      <c r="D316" s="57">
        <f>IFERROR(VLOOKUP($A:$A,CS!$A:$AK,5,FALSE),"")</f>
      </c>
      <c r="E316" s="57">
        <f>IFERROR(VLOOKUP($A:$A,CS!$A:$AK,7,FALSE),"")</f>
      </c>
      <c r="F316" s="57">
        <f>IFERROR(VLOOKUP($A:$A,CS!$A:$AK,8,FALSE),"")</f>
      </c>
      <c r="G316" s="57">
        <f>IFERROR(VLOOKUP($A:$A,CS!$A:$AK,10,FALSE),"")</f>
      </c>
      <c r="H316" s="57">
        <f>IFERROR(VLOOKUP($A:$A,CS!$A:$AK,14,FALSE),"")</f>
      </c>
      <c r="I316" s="57">
        <f>IFERROR(VLOOKUP($A:$A,CS!$A:$AK,15,FALSE),"")</f>
      </c>
      <c r="J316" s="57">
        <f>IFERROR(VLOOKUP($A:$A,CS!$A:$AK,18,FALSE),"")</f>
      </c>
      <c r="K316" s="57">
        <f>IFERROR(VLOOKUP($A:$A,CS!$A:$AK,19,FALSE),"")</f>
      </c>
      <c r="L316" s="57">
        <f>IFERROR(VLOOKUP($A:$A,CS!$A:$AK,20,FALSE),"")</f>
      </c>
      <c r="M316" s="57">
        <f>IFERROR(VLOOKUP($A:$A,CS!$A:$AK,22,FALSE),"")</f>
      </c>
      <c r="N316" s="57">
        <f>IFERROR(VLOOKUP($A:$A,CS!$A:$AK,19,FALSE),"")</f>
      </c>
      <c r="O316" s="57">
        <f>IFERROR(VLOOKUP($A:$A,CS!$A:$AK,23,FALSE),"")</f>
      </c>
      <c r="P316" s="57">
        <f>IFERROR(VLOOKUP($A:$A,CS!$A:$AK,24,FALSE),"")</f>
      </c>
      <c r="Q316" s="57">
        <f>IFERROR(VLOOKUP($A:$A,CS!$A:$AK,25,FALSE),"")</f>
      </c>
      <c r="R316" s="57">
        <f>IFERROR(VLOOKUP($A:$A,CS!$A:$AK,26,FALSE),"")</f>
      </c>
      <c r="S316" s="57">
        <f>IFERROR(VLOOKUP($A:$A,CS!$A:$AK,29,FALSE),"")</f>
      </c>
      <c r="T316" s="57">
        <f>IFERROR(VLOOKUP($A:$A,CS!$A:$AK,33,FALSE),"")</f>
      </c>
      <c r="U316" s="57">
        <f>IFERROR(VLOOKUP($A:$A,CS!$A:$AK,34,FALSE),"")</f>
      </c>
      <c r="V316" s="57">
        <f>IFERROR(VLOOKUP($A:$A,CS!$A:$AK,35,FALSE),"")</f>
      </c>
      <c r="W316" s="57">
        <f>IFERROR(VLOOKUP($A:$A,CS!$A:$AK,36,FALSE),"")</f>
      </c>
    </row>
    <row r="317" ht="16.5" customHeight="1" spans="1:23" x14ac:dyDescent="0.25">
      <c r="A317" s="71"/>
      <c r="B317" s="57">
        <f>IFERROR(VLOOKUP($A:$A,CS!$A:$AK,3,FALSE),"")</f>
      </c>
      <c r="C317" s="57">
        <f>IFERROR(VLOOKUP($A:$A,CS!$A:$AK,4,FALSE),"")</f>
      </c>
      <c r="D317" s="57">
        <f>IFERROR(VLOOKUP($A:$A,CS!$A:$AK,5,FALSE),"")</f>
      </c>
      <c r="E317" s="57">
        <f>IFERROR(VLOOKUP($A:$A,CS!$A:$AK,7,FALSE),"")</f>
      </c>
      <c r="F317" s="57">
        <f>IFERROR(VLOOKUP($A:$A,CS!$A:$AK,8,FALSE),"")</f>
      </c>
      <c r="G317" s="57">
        <f>IFERROR(VLOOKUP($A:$A,CS!$A:$AK,10,FALSE),"")</f>
      </c>
      <c r="H317" s="57">
        <f>IFERROR(VLOOKUP($A:$A,CS!$A:$AK,14,FALSE),"")</f>
      </c>
      <c r="I317" s="57">
        <f>IFERROR(VLOOKUP($A:$A,CS!$A:$AK,15,FALSE),"")</f>
      </c>
      <c r="J317" s="57">
        <f>IFERROR(VLOOKUP($A:$A,CS!$A:$AK,18,FALSE),"")</f>
      </c>
      <c r="K317" s="57">
        <f>IFERROR(VLOOKUP($A:$A,CS!$A:$AK,19,FALSE),"")</f>
      </c>
      <c r="L317" s="57">
        <f>IFERROR(VLOOKUP($A:$A,CS!$A:$AK,20,FALSE),"")</f>
      </c>
      <c r="M317" s="57">
        <f>IFERROR(VLOOKUP($A:$A,CS!$A:$AK,22,FALSE),"")</f>
      </c>
      <c r="N317" s="57">
        <f>IFERROR(VLOOKUP($A:$A,CS!$A:$AK,19,FALSE),"")</f>
      </c>
      <c r="O317" s="57">
        <f>IFERROR(VLOOKUP($A:$A,CS!$A:$AK,23,FALSE),"")</f>
      </c>
      <c r="P317" s="57">
        <f>IFERROR(VLOOKUP($A:$A,CS!$A:$AK,24,FALSE),"")</f>
      </c>
      <c r="Q317" s="57">
        <f>IFERROR(VLOOKUP($A:$A,CS!$A:$AK,25,FALSE),"")</f>
      </c>
      <c r="R317" s="57">
        <f>IFERROR(VLOOKUP($A:$A,CS!$A:$AK,26,FALSE),"")</f>
      </c>
      <c r="S317" s="57">
        <f>IFERROR(VLOOKUP($A:$A,CS!$A:$AK,29,FALSE),"")</f>
      </c>
      <c r="T317" s="57">
        <f>IFERROR(VLOOKUP($A:$A,CS!$A:$AK,33,FALSE),"")</f>
      </c>
      <c r="U317" s="57">
        <f>IFERROR(VLOOKUP($A:$A,CS!$A:$AK,34,FALSE),"")</f>
      </c>
      <c r="V317" s="57">
        <f>IFERROR(VLOOKUP($A:$A,CS!$A:$AK,35,FALSE),"")</f>
      </c>
      <c r="W317" s="57">
        <f>IFERROR(VLOOKUP($A:$A,CS!$A:$AK,36,FALSE),"")</f>
      </c>
    </row>
    <row r="318" ht="16.5" customHeight="1" spans="1:23" x14ac:dyDescent="0.25">
      <c r="A318" s="71"/>
      <c r="B318" s="57">
        <f>IFERROR(VLOOKUP($A:$A,CS!$A:$AK,3,FALSE),"")</f>
      </c>
      <c r="C318" s="57">
        <f>IFERROR(VLOOKUP($A:$A,CS!$A:$AK,4,FALSE),"")</f>
      </c>
      <c r="D318" s="57">
        <f>IFERROR(VLOOKUP($A:$A,CS!$A:$AK,5,FALSE),"")</f>
      </c>
      <c r="E318" s="57">
        <f>IFERROR(VLOOKUP($A:$A,CS!$A:$AK,7,FALSE),"")</f>
      </c>
      <c r="F318" s="57">
        <f>IFERROR(VLOOKUP($A:$A,CS!$A:$AK,8,FALSE),"")</f>
      </c>
      <c r="G318" s="57">
        <f>IFERROR(VLOOKUP($A:$A,CS!$A:$AK,10,FALSE),"")</f>
      </c>
      <c r="H318" s="57">
        <f>IFERROR(VLOOKUP($A:$A,CS!$A:$AK,14,FALSE),"")</f>
      </c>
      <c r="I318" s="57">
        <f>IFERROR(VLOOKUP($A:$A,CS!$A:$AK,15,FALSE),"")</f>
      </c>
      <c r="J318" s="57">
        <f>IFERROR(VLOOKUP($A:$A,CS!$A:$AK,18,FALSE),"")</f>
      </c>
      <c r="K318" s="57">
        <f>IFERROR(VLOOKUP($A:$A,CS!$A:$AK,19,FALSE),"")</f>
      </c>
      <c r="L318" s="57">
        <f>IFERROR(VLOOKUP($A:$A,CS!$A:$AK,20,FALSE),"")</f>
      </c>
      <c r="M318" s="57">
        <f>IFERROR(VLOOKUP($A:$A,CS!$A:$AK,22,FALSE),"")</f>
      </c>
      <c r="N318" s="57">
        <f>IFERROR(VLOOKUP($A:$A,CS!$A:$AK,19,FALSE),"")</f>
      </c>
      <c r="O318" s="57">
        <f>IFERROR(VLOOKUP($A:$A,CS!$A:$AK,23,FALSE),"")</f>
      </c>
      <c r="P318" s="57">
        <f>IFERROR(VLOOKUP($A:$A,CS!$A:$AK,24,FALSE),"")</f>
      </c>
      <c r="Q318" s="57">
        <f>IFERROR(VLOOKUP($A:$A,CS!$A:$AK,25,FALSE),"")</f>
      </c>
      <c r="R318" s="57">
        <f>IFERROR(VLOOKUP($A:$A,CS!$A:$AK,26,FALSE),"")</f>
      </c>
      <c r="S318" s="57">
        <f>IFERROR(VLOOKUP($A:$A,CS!$A:$AK,29,FALSE),"")</f>
      </c>
      <c r="T318" s="57">
        <f>IFERROR(VLOOKUP($A:$A,CS!$A:$AK,33,FALSE),"")</f>
      </c>
      <c r="U318" s="57">
        <f>IFERROR(VLOOKUP($A:$A,CS!$A:$AK,34,FALSE),"")</f>
      </c>
      <c r="V318" s="57">
        <f>IFERROR(VLOOKUP($A:$A,CS!$A:$AK,35,FALSE),"")</f>
      </c>
      <c r="W318" s="57">
        <f>IFERROR(VLOOKUP($A:$A,CS!$A:$AK,36,FALSE),"")</f>
      </c>
    </row>
    <row r="319" ht="16.5" customHeight="1" spans="1:23" x14ac:dyDescent="0.25">
      <c r="A319" s="71"/>
      <c r="B319" s="57">
        <f>IFERROR(VLOOKUP($A:$A,CS!$A:$AK,3,FALSE),"")</f>
      </c>
      <c r="C319" s="57">
        <f>IFERROR(VLOOKUP($A:$A,CS!$A:$AK,4,FALSE),"")</f>
      </c>
      <c r="D319" s="57">
        <f>IFERROR(VLOOKUP($A:$A,CS!$A:$AK,5,FALSE),"")</f>
      </c>
      <c r="E319" s="57">
        <f>IFERROR(VLOOKUP($A:$A,CS!$A:$AK,7,FALSE),"")</f>
      </c>
      <c r="F319" s="57">
        <f>IFERROR(VLOOKUP($A:$A,CS!$A:$AK,8,FALSE),"")</f>
      </c>
      <c r="G319" s="57">
        <f>IFERROR(VLOOKUP($A:$A,CS!$A:$AK,10,FALSE),"")</f>
      </c>
      <c r="H319" s="57">
        <f>IFERROR(VLOOKUP($A:$A,CS!$A:$AK,14,FALSE),"")</f>
      </c>
      <c r="I319" s="57">
        <f>IFERROR(VLOOKUP($A:$A,CS!$A:$AK,15,FALSE),"")</f>
      </c>
      <c r="J319" s="57">
        <f>IFERROR(VLOOKUP($A:$A,CS!$A:$AK,18,FALSE),"")</f>
      </c>
      <c r="K319" s="57">
        <f>IFERROR(VLOOKUP($A:$A,CS!$A:$AK,19,FALSE),"")</f>
      </c>
      <c r="L319" s="57">
        <f>IFERROR(VLOOKUP($A:$A,CS!$A:$AK,20,FALSE),"")</f>
      </c>
      <c r="M319" s="57">
        <f>IFERROR(VLOOKUP($A:$A,CS!$A:$AK,22,FALSE),"")</f>
      </c>
      <c r="N319" s="57">
        <f>IFERROR(VLOOKUP($A:$A,CS!$A:$AK,19,FALSE),"")</f>
      </c>
      <c r="O319" s="57">
        <f>IFERROR(VLOOKUP($A:$A,CS!$A:$AK,23,FALSE),"")</f>
      </c>
      <c r="P319" s="57">
        <f>IFERROR(VLOOKUP($A:$A,CS!$A:$AK,24,FALSE),"")</f>
      </c>
      <c r="Q319" s="57">
        <f>IFERROR(VLOOKUP($A:$A,CS!$A:$AK,25,FALSE),"")</f>
      </c>
      <c r="R319" s="57">
        <f>IFERROR(VLOOKUP($A:$A,CS!$A:$AK,26,FALSE),"")</f>
      </c>
      <c r="S319" s="57">
        <f>IFERROR(VLOOKUP($A:$A,CS!$A:$AK,29,FALSE),"")</f>
      </c>
      <c r="T319" s="57">
        <f>IFERROR(VLOOKUP($A:$A,CS!$A:$AK,33,FALSE),"")</f>
      </c>
      <c r="U319" s="57">
        <f>IFERROR(VLOOKUP($A:$A,CS!$A:$AK,34,FALSE),"")</f>
      </c>
      <c r="V319" s="57">
        <f>IFERROR(VLOOKUP($A:$A,CS!$A:$AK,35,FALSE),"")</f>
      </c>
      <c r="W319" s="57">
        <f>IFERROR(VLOOKUP($A:$A,CS!$A:$AK,36,FALSE),"")</f>
      </c>
    </row>
    <row r="320" ht="16.5" customHeight="1" spans="1:23" x14ac:dyDescent="0.25">
      <c r="A320" s="71"/>
      <c r="B320" s="57">
        <f>IFERROR(VLOOKUP($A:$A,CS!$A:$AK,3,FALSE),"")</f>
      </c>
      <c r="C320" s="57">
        <f>IFERROR(VLOOKUP($A:$A,CS!$A:$AK,4,FALSE),"")</f>
      </c>
      <c r="D320" s="57">
        <f>IFERROR(VLOOKUP($A:$A,CS!$A:$AK,5,FALSE),"")</f>
      </c>
      <c r="E320" s="57">
        <f>IFERROR(VLOOKUP($A:$A,CS!$A:$AK,7,FALSE),"")</f>
      </c>
      <c r="F320" s="57">
        <f>IFERROR(VLOOKUP($A:$A,CS!$A:$AK,8,FALSE),"")</f>
      </c>
      <c r="G320" s="57">
        <f>IFERROR(VLOOKUP($A:$A,CS!$A:$AK,10,FALSE),"")</f>
      </c>
      <c r="H320" s="57">
        <f>IFERROR(VLOOKUP($A:$A,CS!$A:$AK,14,FALSE),"")</f>
      </c>
      <c r="I320" s="57">
        <f>IFERROR(VLOOKUP($A:$A,CS!$A:$AK,15,FALSE),"")</f>
      </c>
      <c r="J320" s="57">
        <f>IFERROR(VLOOKUP($A:$A,CS!$A:$AK,18,FALSE),"")</f>
      </c>
      <c r="K320" s="57">
        <f>IFERROR(VLOOKUP($A:$A,CS!$A:$AK,19,FALSE),"")</f>
      </c>
      <c r="L320" s="57">
        <f>IFERROR(VLOOKUP($A:$A,CS!$A:$AK,20,FALSE),"")</f>
      </c>
      <c r="M320" s="57">
        <f>IFERROR(VLOOKUP($A:$A,CS!$A:$AK,22,FALSE),"")</f>
      </c>
      <c r="N320" s="57">
        <f>IFERROR(VLOOKUP($A:$A,CS!$A:$AK,19,FALSE),"")</f>
      </c>
      <c r="O320" s="57">
        <f>IFERROR(VLOOKUP($A:$A,CS!$A:$AK,23,FALSE),"")</f>
      </c>
      <c r="P320" s="57">
        <f>IFERROR(VLOOKUP($A:$A,CS!$A:$AK,24,FALSE),"")</f>
      </c>
      <c r="Q320" s="57">
        <f>IFERROR(VLOOKUP($A:$A,CS!$A:$AK,25,FALSE),"")</f>
      </c>
      <c r="R320" s="57">
        <f>IFERROR(VLOOKUP($A:$A,CS!$A:$AK,26,FALSE),"")</f>
      </c>
      <c r="S320" s="57">
        <f>IFERROR(VLOOKUP($A:$A,CS!$A:$AK,29,FALSE),"")</f>
      </c>
      <c r="T320" s="57">
        <f>IFERROR(VLOOKUP($A:$A,CS!$A:$AK,33,FALSE),"")</f>
      </c>
      <c r="U320" s="57">
        <f>IFERROR(VLOOKUP($A:$A,CS!$A:$AK,34,FALSE),"")</f>
      </c>
      <c r="V320" s="57">
        <f>IFERROR(VLOOKUP($A:$A,CS!$A:$AK,35,FALSE),"")</f>
      </c>
      <c r="W320" s="57">
        <f>IFERROR(VLOOKUP($A:$A,CS!$A:$AK,36,FALSE),"")</f>
      </c>
    </row>
    <row r="321" ht="16.5" customHeight="1" spans="1:23" x14ac:dyDescent="0.25">
      <c r="A321" s="71"/>
      <c r="B321" s="57">
        <f>IFERROR(VLOOKUP($A:$A,CS!$A:$AK,3,FALSE),"")</f>
      </c>
      <c r="C321" s="57">
        <f>IFERROR(VLOOKUP($A:$A,CS!$A:$AK,4,FALSE),"")</f>
      </c>
      <c r="D321" s="57">
        <f>IFERROR(VLOOKUP($A:$A,CS!$A:$AK,5,FALSE),"")</f>
      </c>
      <c r="E321" s="57">
        <f>IFERROR(VLOOKUP($A:$A,CS!$A:$AK,7,FALSE),"")</f>
      </c>
      <c r="F321" s="57">
        <f>IFERROR(VLOOKUP($A:$A,CS!$A:$AK,8,FALSE),"")</f>
      </c>
      <c r="G321" s="57">
        <f>IFERROR(VLOOKUP($A:$A,CS!$A:$AK,10,FALSE),"")</f>
      </c>
      <c r="H321" s="57">
        <f>IFERROR(VLOOKUP($A:$A,CS!$A:$AK,14,FALSE),"")</f>
      </c>
      <c r="I321" s="57">
        <f>IFERROR(VLOOKUP($A:$A,CS!$A:$AK,15,FALSE),"")</f>
      </c>
      <c r="J321" s="57">
        <f>IFERROR(VLOOKUP($A:$A,CS!$A:$AK,18,FALSE),"")</f>
      </c>
      <c r="K321" s="57">
        <f>IFERROR(VLOOKUP($A:$A,CS!$A:$AK,19,FALSE),"")</f>
      </c>
      <c r="L321" s="57">
        <f>IFERROR(VLOOKUP($A:$A,CS!$A:$AK,20,FALSE),"")</f>
      </c>
      <c r="M321" s="57">
        <f>IFERROR(VLOOKUP($A:$A,CS!$A:$AK,22,FALSE),"")</f>
      </c>
      <c r="N321" s="57">
        <f>IFERROR(VLOOKUP($A:$A,CS!$A:$AK,19,FALSE),"")</f>
      </c>
      <c r="O321" s="57">
        <f>IFERROR(VLOOKUP($A:$A,CS!$A:$AK,23,FALSE),"")</f>
      </c>
      <c r="P321" s="57">
        <f>IFERROR(VLOOKUP($A:$A,CS!$A:$AK,24,FALSE),"")</f>
      </c>
      <c r="Q321" s="57">
        <f>IFERROR(VLOOKUP($A:$A,CS!$A:$AK,25,FALSE),"")</f>
      </c>
      <c r="R321" s="57">
        <f>IFERROR(VLOOKUP($A:$A,CS!$A:$AK,26,FALSE),"")</f>
      </c>
      <c r="S321" s="57">
        <f>IFERROR(VLOOKUP($A:$A,CS!$A:$AK,29,FALSE),"")</f>
      </c>
      <c r="T321" s="57">
        <f>IFERROR(VLOOKUP($A:$A,CS!$A:$AK,33,FALSE),"")</f>
      </c>
      <c r="U321" s="57">
        <f>IFERROR(VLOOKUP($A:$A,CS!$A:$AK,34,FALSE),"")</f>
      </c>
      <c r="V321" s="57">
        <f>IFERROR(VLOOKUP($A:$A,CS!$A:$AK,35,FALSE),"")</f>
      </c>
      <c r="W321" s="57">
        <f>IFERROR(VLOOKUP($A:$A,CS!$A:$AK,36,FALSE),"")</f>
      </c>
    </row>
    <row r="322" ht="16.5" customHeight="1" spans="1:23" x14ac:dyDescent="0.25">
      <c r="A322" s="71"/>
      <c r="B322" s="57">
        <f>IFERROR(VLOOKUP($A:$A,CS!$A:$AK,3,FALSE),"")</f>
      </c>
      <c r="C322" s="57">
        <f>IFERROR(VLOOKUP($A:$A,CS!$A:$AK,4,FALSE),"")</f>
      </c>
      <c r="D322" s="57">
        <f>IFERROR(VLOOKUP($A:$A,CS!$A:$AK,5,FALSE),"")</f>
      </c>
      <c r="E322" s="57">
        <f>IFERROR(VLOOKUP($A:$A,CS!$A:$AK,7,FALSE),"")</f>
      </c>
      <c r="F322" s="57">
        <f>IFERROR(VLOOKUP($A:$A,CS!$A:$AK,8,FALSE),"")</f>
      </c>
      <c r="G322" s="57">
        <f>IFERROR(VLOOKUP($A:$A,CS!$A:$AK,10,FALSE),"")</f>
      </c>
      <c r="H322" s="57">
        <f>IFERROR(VLOOKUP($A:$A,CS!$A:$AK,14,FALSE),"")</f>
      </c>
      <c r="I322" s="57">
        <f>IFERROR(VLOOKUP($A:$A,CS!$A:$AK,15,FALSE),"")</f>
      </c>
      <c r="J322" s="57">
        <f>IFERROR(VLOOKUP($A:$A,CS!$A:$AK,18,FALSE),"")</f>
      </c>
      <c r="K322" s="57">
        <f>IFERROR(VLOOKUP($A:$A,CS!$A:$AK,19,FALSE),"")</f>
      </c>
      <c r="L322" s="57">
        <f>IFERROR(VLOOKUP($A:$A,CS!$A:$AK,20,FALSE),"")</f>
      </c>
      <c r="M322" s="57">
        <f>IFERROR(VLOOKUP($A:$A,CS!$A:$AK,22,FALSE),"")</f>
      </c>
      <c r="N322" s="57">
        <f>IFERROR(VLOOKUP($A:$A,CS!$A:$AK,19,FALSE),"")</f>
      </c>
      <c r="O322" s="57">
        <f>IFERROR(VLOOKUP($A:$A,CS!$A:$AK,23,FALSE),"")</f>
      </c>
      <c r="P322" s="57">
        <f>IFERROR(VLOOKUP($A:$A,CS!$A:$AK,24,FALSE),"")</f>
      </c>
      <c r="Q322" s="57">
        <f>IFERROR(VLOOKUP($A:$A,CS!$A:$AK,25,FALSE),"")</f>
      </c>
      <c r="R322" s="57">
        <f>IFERROR(VLOOKUP($A:$A,CS!$A:$AK,26,FALSE),"")</f>
      </c>
      <c r="S322" s="57">
        <f>IFERROR(VLOOKUP($A:$A,CS!$A:$AK,29,FALSE),"")</f>
      </c>
      <c r="T322" s="57">
        <f>IFERROR(VLOOKUP($A:$A,CS!$A:$AK,33,FALSE),"")</f>
      </c>
      <c r="U322" s="57">
        <f>IFERROR(VLOOKUP($A:$A,CS!$A:$AK,34,FALSE),"")</f>
      </c>
      <c r="V322" s="57">
        <f>IFERROR(VLOOKUP($A:$A,CS!$A:$AK,35,FALSE),"")</f>
      </c>
      <c r="W322" s="57">
        <f>IFERROR(VLOOKUP($A:$A,CS!$A:$AK,36,FALSE),"")</f>
      </c>
    </row>
    <row r="323" ht="16.5" customHeight="1" spans="1:23" x14ac:dyDescent="0.25">
      <c r="A323" s="71"/>
      <c r="B323" s="57">
        <f>IFERROR(VLOOKUP($A:$A,CS!$A:$AK,3,FALSE),"")</f>
      </c>
      <c r="C323" s="57">
        <f>IFERROR(VLOOKUP($A:$A,CS!$A:$AK,4,FALSE),"")</f>
      </c>
      <c r="D323" s="57">
        <f>IFERROR(VLOOKUP($A:$A,CS!$A:$AK,5,FALSE),"")</f>
      </c>
      <c r="E323" s="57">
        <f>IFERROR(VLOOKUP($A:$A,CS!$A:$AK,7,FALSE),"")</f>
      </c>
      <c r="F323" s="57">
        <f>IFERROR(VLOOKUP($A:$A,CS!$A:$AK,8,FALSE),"")</f>
      </c>
      <c r="G323" s="57">
        <f>IFERROR(VLOOKUP($A:$A,CS!$A:$AK,10,FALSE),"")</f>
      </c>
      <c r="H323" s="57">
        <f>IFERROR(VLOOKUP($A:$A,CS!$A:$AK,14,FALSE),"")</f>
      </c>
      <c r="I323" s="57">
        <f>IFERROR(VLOOKUP($A:$A,CS!$A:$AK,15,FALSE),"")</f>
      </c>
      <c r="J323" s="57">
        <f>IFERROR(VLOOKUP($A:$A,CS!$A:$AK,18,FALSE),"")</f>
      </c>
      <c r="K323" s="57">
        <f>IFERROR(VLOOKUP($A:$A,CS!$A:$AK,19,FALSE),"")</f>
      </c>
      <c r="L323" s="57">
        <f>IFERROR(VLOOKUP($A:$A,CS!$A:$AK,20,FALSE),"")</f>
      </c>
      <c r="M323" s="57">
        <f>IFERROR(VLOOKUP($A:$A,CS!$A:$AK,22,FALSE),"")</f>
      </c>
      <c r="N323" s="57">
        <f>IFERROR(VLOOKUP($A:$A,CS!$A:$AK,19,FALSE),"")</f>
      </c>
      <c r="O323" s="57">
        <f>IFERROR(VLOOKUP($A:$A,CS!$A:$AK,23,FALSE),"")</f>
      </c>
      <c r="P323" s="57">
        <f>IFERROR(VLOOKUP($A:$A,CS!$A:$AK,24,FALSE),"")</f>
      </c>
      <c r="Q323" s="57">
        <f>IFERROR(VLOOKUP($A:$A,CS!$A:$AK,25,FALSE),"")</f>
      </c>
      <c r="R323" s="57">
        <f>IFERROR(VLOOKUP($A:$A,CS!$A:$AK,26,FALSE),"")</f>
      </c>
      <c r="S323" s="57">
        <f>IFERROR(VLOOKUP($A:$A,CS!$A:$AK,29,FALSE),"")</f>
      </c>
      <c r="T323" s="57">
        <f>IFERROR(VLOOKUP($A:$A,CS!$A:$AK,33,FALSE),"")</f>
      </c>
      <c r="U323" s="57">
        <f>IFERROR(VLOOKUP($A:$A,CS!$A:$AK,34,FALSE),"")</f>
      </c>
      <c r="V323" s="57">
        <f>IFERROR(VLOOKUP($A:$A,CS!$A:$AK,35,FALSE),"")</f>
      </c>
      <c r="W323" s="57">
        <f>IFERROR(VLOOKUP($A:$A,CS!$A:$AK,36,FALSE),"")</f>
      </c>
    </row>
    <row r="324" ht="16.5" customHeight="1" spans="1:23" x14ac:dyDescent="0.25">
      <c r="A324" s="71"/>
      <c r="B324" s="57">
        <f>IFERROR(VLOOKUP($A:$A,CS!$A:$AK,3,FALSE),"")</f>
      </c>
      <c r="C324" s="57">
        <f>IFERROR(VLOOKUP($A:$A,CS!$A:$AK,4,FALSE),"")</f>
      </c>
      <c r="D324" s="57">
        <f>IFERROR(VLOOKUP($A:$A,CS!$A:$AK,5,FALSE),"")</f>
      </c>
      <c r="E324" s="57">
        <f>IFERROR(VLOOKUP($A:$A,CS!$A:$AK,7,FALSE),"")</f>
      </c>
      <c r="F324" s="57">
        <f>IFERROR(VLOOKUP($A:$A,CS!$A:$AK,8,FALSE),"")</f>
      </c>
      <c r="G324" s="57">
        <f>IFERROR(VLOOKUP($A:$A,CS!$A:$AK,10,FALSE),"")</f>
      </c>
      <c r="H324" s="57">
        <f>IFERROR(VLOOKUP($A:$A,CS!$A:$AK,14,FALSE),"")</f>
      </c>
      <c r="I324" s="57">
        <f>IFERROR(VLOOKUP($A:$A,CS!$A:$AK,15,FALSE),"")</f>
      </c>
      <c r="J324" s="57">
        <f>IFERROR(VLOOKUP($A:$A,CS!$A:$AK,18,FALSE),"")</f>
      </c>
      <c r="K324" s="57">
        <f>IFERROR(VLOOKUP($A:$A,CS!$A:$AK,19,FALSE),"")</f>
      </c>
      <c r="L324" s="57">
        <f>IFERROR(VLOOKUP($A:$A,CS!$A:$AK,20,FALSE),"")</f>
      </c>
      <c r="M324" s="57">
        <f>IFERROR(VLOOKUP($A:$A,CS!$A:$AK,22,FALSE),"")</f>
      </c>
      <c r="N324" s="57">
        <f>IFERROR(VLOOKUP($A:$A,CS!$A:$AK,19,FALSE),"")</f>
      </c>
      <c r="O324" s="57">
        <f>IFERROR(VLOOKUP($A:$A,CS!$A:$AK,23,FALSE),"")</f>
      </c>
      <c r="P324" s="57">
        <f>IFERROR(VLOOKUP($A:$A,CS!$A:$AK,24,FALSE),"")</f>
      </c>
      <c r="Q324" s="57">
        <f>IFERROR(VLOOKUP($A:$A,CS!$A:$AK,25,FALSE),"")</f>
      </c>
      <c r="R324" s="57">
        <f>IFERROR(VLOOKUP($A:$A,CS!$A:$AK,26,FALSE),"")</f>
      </c>
      <c r="S324" s="57">
        <f>IFERROR(VLOOKUP($A:$A,CS!$A:$AK,29,FALSE),"")</f>
      </c>
      <c r="T324" s="57">
        <f>IFERROR(VLOOKUP($A:$A,CS!$A:$AK,33,FALSE),"")</f>
      </c>
      <c r="U324" s="57">
        <f>IFERROR(VLOOKUP($A:$A,CS!$A:$AK,34,FALSE),"")</f>
      </c>
      <c r="V324" s="57">
        <f>IFERROR(VLOOKUP($A:$A,CS!$A:$AK,35,FALSE),"")</f>
      </c>
      <c r="W324" s="57">
        <f>IFERROR(VLOOKUP($A:$A,CS!$A:$AK,36,FALSE),"")</f>
      </c>
    </row>
    <row r="325" ht="16.5" customHeight="1" spans="1:23" x14ac:dyDescent="0.25">
      <c r="A325" s="71"/>
      <c r="B325" s="57">
        <f>IFERROR(VLOOKUP($A:$A,CS!$A:$AK,3,FALSE),"")</f>
      </c>
      <c r="C325" s="57">
        <f>IFERROR(VLOOKUP($A:$A,CS!$A:$AK,4,FALSE),"")</f>
      </c>
      <c r="D325" s="57">
        <f>IFERROR(VLOOKUP($A:$A,CS!$A:$AK,5,FALSE),"")</f>
      </c>
      <c r="E325" s="57">
        <f>IFERROR(VLOOKUP($A:$A,CS!$A:$AK,7,FALSE),"")</f>
      </c>
      <c r="F325" s="57">
        <f>IFERROR(VLOOKUP($A:$A,CS!$A:$AK,8,FALSE),"")</f>
      </c>
      <c r="G325" s="57">
        <f>IFERROR(VLOOKUP($A:$A,CS!$A:$AK,10,FALSE),"")</f>
      </c>
      <c r="H325" s="57">
        <f>IFERROR(VLOOKUP($A:$A,CS!$A:$AK,14,FALSE),"")</f>
      </c>
      <c r="I325" s="57">
        <f>IFERROR(VLOOKUP($A:$A,CS!$A:$AK,15,FALSE),"")</f>
      </c>
      <c r="J325" s="57">
        <f>IFERROR(VLOOKUP($A:$A,CS!$A:$AK,18,FALSE),"")</f>
      </c>
      <c r="K325" s="57">
        <f>IFERROR(VLOOKUP($A:$A,CS!$A:$AK,19,FALSE),"")</f>
      </c>
      <c r="L325" s="57">
        <f>IFERROR(VLOOKUP($A:$A,CS!$A:$AK,20,FALSE),"")</f>
      </c>
      <c r="M325" s="57">
        <f>IFERROR(VLOOKUP($A:$A,CS!$A:$AK,22,FALSE),"")</f>
      </c>
      <c r="N325" s="57">
        <f>IFERROR(VLOOKUP($A:$A,CS!$A:$AK,19,FALSE),"")</f>
      </c>
      <c r="O325" s="57">
        <f>IFERROR(VLOOKUP($A:$A,CS!$A:$AK,23,FALSE),"")</f>
      </c>
      <c r="P325" s="57">
        <f>IFERROR(VLOOKUP($A:$A,CS!$A:$AK,24,FALSE),"")</f>
      </c>
      <c r="Q325" s="57">
        <f>IFERROR(VLOOKUP($A:$A,CS!$A:$AK,25,FALSE),"")</f>
      </c>
      <c r="R325" s="57">
        <f>IFERROR(VLOOKUP($A:$A,CS!$A:$AK,26,FALSE),"")</f>
      </c>
      <c r="S325" s="57">
        <f>IFERROR(VLOOKUP($A:$A,CS!$A:$AK,29,FALSE),"")</f>
      </c>
      <c r="T325" s="57">
        <f>IFERROR(VLOOKUP($A:$A,CS!$A:$AK,33,FALSE),"")</f>
      </c>
      <c r="U325" s="57">
        <f>IFERROR(VLOOKUP($A:$A,CS!$A:$AK,34,FALSE),"")</f>
      </c>
      <c r="V325" s="57">
        <f>IFERROR(VLOOKUP($A:$A,CS!$A:$AK,35,FALSE),"")</f>
      </c>
      <c r="W325" s="57">
        <f>IFERROR(VLOOKUP($A:$A,CS!$A:$AK,36,FALSE),"")</f>
      </c>
    </row>
    <row r="326" ht="16.5" customHeight="1" spans="1:23" x14ac:dyDescent="0.25">
      <c r="A326" s="71"/>
      <c r="B326" s="57">
        <f>IFERROR(VLOOKUP($A:$A,CS!$A:$AK,3,FALSE),"")</f>
      </c>
      <c r="C326" s="57">
        <f>IFERROR(VLOOKUP($A:$A,CS!$A:$AK,4,FALSE),"")</f>
      </c>
      <c r="D326" s="57">
        <f>IFERROR(VLOOKUP($A:$A,CS!$A:$AK,5,FALSE),"")</f>
      </c>
      <c r="E326" s="57">
        <f>IFERROR(VLOOKUP($A:$A,CS!$A:$AK,7,FALSE),"")</f>
      </c>
      <c r="F326" s="57">
        <f>IFERROR(VLOOKUP($A:$A,CS!$A:$AK,8,FALSE),"")</f>
      </c>
      <c r="G326" s="57">
        <f>IFERROR(VLOOKUP($A:$A,CS!$A:$AK,10,FALSE),"")</f>
      </c>
      <c r="H326" s="57">
        <f>IFERROR(VLOOKUP($A:$A,CS!$A:$AK,14,FALSE),"")</f>
      </c>
      <c r="I326" s="57">
        <f>IFERROR(VLOOKUP($A:$A,CS!$A:$AK,15,FALSE),"")</f>
      </c>
      <c r="J326" s="57">
        <f>IFERROR(VLOOKUP($A:$A,CS!$A:$AK,18,FALSE),"")</f>
      </c>
      <c r="K326" s="57">
        <f>IFERROR(VLOOKUP($A:$A,CS!$A:$AK,19,FALSE),"")</f>
      </c>
      <c r="L326" s="57">
        <f>IFERROR(VLOOKUP($A:$A,CS!$A:$AK,20,FALSE),"")</f>
      </c>
      <c r="M326" s="57">
        <f>IFERROR(VLOOKUP($A:$A,CS!$A:$AK,22,FALSE),"")</f>
      </c>
      <c r="N326" s="57">
        <f>IFERROR(VLOOKUP($A:$A,CS!$A:$AK,19,FALSE),"")</f>
      </c>
      <c r="O326" s="57">
        <f>IFERROR(VLOOKUP($A:$A,CS!$A:$AK,23,FALSE),"")</f>
      </c>
      <c r="P326" s="57">
        <f>IFERROR(VLOOKUP($A:$A,CS!$A:$AK,24,FALSE),"")</f>
      </c>
      <c r="Q326" s="57">
        <f>IFERROR(VLOOKUP($A:$A,CS!$A:$AK,25,FALSE),"")</f>
      </c>
      <c r="R326" s="57">
        <f>IFERROR(VLOOKUP($A:$A,CS!$A:$AK,26,FALSE),"")</f>
      </c>
      <c r="S326" s="57">
        <f>IFERROR(VLOOKUP($A:$A,CS!$A:$AK,29,FALSE),"")</f>
      </c>
      <c r="T326" s="57">
        <f>IFERROR(VLOOKUP($A:$A,CS!$A:$AK,33,FALSE),"")</f>
      </c>
      <c r="U326" s="57">
        <f>IFERROR(VLOOKUP($A:$A,CS!$A:$AK,34,FALSE),"")</f>
      </c>
      <c r="V326" s="57">
        <f>IFERROR(VLOOKUP($A:$A,CS!$A:$AK,35,FALSE),"")</f>
      </c>
      <c r="W326" s="57">
        <f>IFERROR(VLOOKUP($A:$A,CS!$A:$AK,36,FALSE),"")</f>
      </c>
    </row>
    <row r="327" ht="16.5" customHeight="1" spans="1:23" x14ac:dyDescent="0.25">
      <c r="A327" s="71"/>
      <c r="B327" s="57">
        <f>IFERROR(VLOOKUP($A:$A,CS!$A:$AK,3,FALSE),"")</f>
      </c>
      <c r="C327" s="57">
        <f>IFERROR(VLOOKUP($A:$A,CS!$A:$AK,4,FALSE),"")</f>
      </c>
      <c r="D327" s="57">
        <f>IFERROR(VLOOKUP($A:$A,CS!$A:$AK,5,FALSE),"")</f>
      </c>
      <c r="E327" s="57">
        <f>IFERROR(VLOOKUP($A:$A,CS!$A:$AK,7,FALSE),"")</f>
      </c>
      <c r="F327" s="57">
        <f>IFERROR(VLOOKUP($A:$A,CS!$A:$AK,8,FALSE),"")</f>
      </c>
      <c r="G327" s="57">
        <f>IFERROR(VLOOKUP($A:$A,CS!$A:$AK,10,FALSE),"")</f>
      </c>
      <c r="H327" s="57">
        <f>IFERROR(VLOOKUP($A:$A,CS!$A:$AK,14,FALSE),"")</f>
      </c>
      <c r="I327" s="57">
        <f>IFERROR(VLOOKUP($A:$A,CS!$A:$AK,15,FALSE),"")</f>
      </c>
      <c r="J327" s="57">
        <f>IFERROR(VLOOKUP($A:$A,CS!$A:$AK,18,FALSE),"")</f>
      </c>
      <c r="K327" s="57">
        <f>IFERROR(VLOOKUP($A:$A,CS!$A:$AK,19,FALSE),"")</f>
      </c>
      <c r="L327" s="57">
        <f>IFERROR(VLOOKUP($A:$A,CS!$A:$AK,20,FALSE),"")</f>
      </c>
      <c r="M327" s="57">
        <f>IFERROR(VLOOKUP($A:$A,CS!$A:$AK,22,FALSE),"")</f>
      </c>
      <c r="N327" s="57">
        <f>IFERROR(VLOOKUP($A:$A,CS!$A:$AK,19,FALSE),"")</f>
      </c>
      <c r="O327" s="57">
        <f>IFERROR(VLOOKUP($A:$A,CS!$A:$AK,23,FALSE),"")</f>
      </c>
      <c r="P327" s="57">
        <f>IFERROR(VLOOKUP($A:$A,CS!$A:$AK,24,FALSE),"")</f>
      </c>
      <c r="Q327" s="57">
        <f>IFERROR(VLOOKUP($A:$A,CS!$A:$AK,25,FALSE),"")</f>
      </c>
      <c r="R327" s="57">
        <f>IFERROR(VLOOKUP($A:$A,CS!$A:$AK,26,FALSE),"")</f>
      </c>
      <c r="S327" s="57">
        <f>IFERROR(VLOOKUP($A:$A,CS!$A:$AK,29,FALSE),"")</f>
      </c>
      <c r="T327" s="57">
        <f>IFERROR(VLOOKUP($A:$A,CS!$A:$AK,33,FALSE),"")</f>
      </c>
      <c r="U327" s="57">
        <f>IFERROR(VLOOKUP($A:$A,CS!$A:$AK,34,FALSE),"")</f>
      </c>
      <c r="V327" s="57">
        <f>IFERROR(VLOOKUP($A:$A,CS!$A:$AK,35,FALSE),"")</f>
      </c>
      <c r="W327" s="57">
        <f>IFERROR(VLOOKUP($A:$A,CS!$A:$AK,36,FALSE),"")</f>
      </c>
    </row>
    <row r="328" ht="16.5" customHeight="1" spans="1:23" x14ac:dyDescent="0.25">
      <c r="A328" s="71"/>
      <c r="B328" s="57">
        <f>IFERROR(VLOOKUP($A:$A,CS!$A:$AK,3,FALSE),"")</f>
      </c>
      <c r="C328" s="57">
        <f>IFERROR(VLOOKUP($A:$A,CS!$A:$AK,4,FALSE),"")</f>
      </c>
      <c r="D328" s="57">
        <f>IFERROR(VLOOKUP($A:$A,CS!$A:$AK,5,FALSE),"")</f>
      </c>
      <c r="E328" s="57">
        <f>IFERROR(VLOOKUP($A:$A,CS!$A:$AK,7,FALSE),"")</f>
      </c>
      <c r="F328" s="57">
        <f>IFERROR(VLOOKUP($A:$A,CS!$A:$AK,8,FALSE),"")</f>
      </c>
      <c r="G328" s="57">
        <f>IFERROR(VLOOKUP($A:$A,CS!$A:$AK,10,FALSE),"")</f>
      </c>
      <c r="H328" s="57">
        <f>IFERROR(VLOOKUP($A:$A,CS!$A:$AK,14,FALSE),"")</f>
      </c>
      <c r="I328" s="57">
        <f>IFERROR(VLOOKUP($A:$A,CS!$A:$AK,15,FALSE),"")</f>
      </c>
      <c r="J328" s="57">
        <f>IFERROR(VLOOKUP($A:$A,CS!$A:$AK,18,FALSE),"")</f>
      </c>
      <c r="K328" s="57">
        <f>IFERROR(VLOOKUP($A:$A,CS!$A:$AK,19,FALSE),"")</f>
      </c>
      <c r="L328" s="57">
        <f>IFERROR(VLOOKUP($A:$A,CS!$A:$AK,20,FALSE),"")</f>
      </c>
      <c r="M328" s="57">
        <f>IFERROR(VLOOKUP($A:$A,CS!$A:$AK,22,FALSE),"")</f>
      </c>
      <c r="N328" s="57">
        <f>IFERROR(VLOOKUP($A:$A,CS!$A:$AK,19,FALSE),"")</f>
      </c>
      <c r="O328" s="57">
        <f>IFERROR(VLOOKUP($A:$A,CS!$A:$AK,23,FALSE),"")</f>
      </c>
      <c r="P328" s="57">
        <f>IFERROR(VLOOKUP($A:$A,CS!$A:$AK,24,FALSE),"")</f>
      </c>
      <c r="Q328" s="57">
        <f>IFERROR(VLOOKUP($A:$A,CS!$A:$AK,25,FALSE),"")</f>
      </c>
      <c r="R328" s="57">
        <f>IFERROR(VLOOKUP($A:$A,CS!$A:$AK,26,FALSE),"")</f>
      </c>
      <c r="S328" s="57">
        <f>IFERROR(VLOOKUP($A:$A,CS!$A:$AK,29,FALSE),"")</f>
      </c>
      <c r="T328" s="57">
        <f>IFERROR(VLOOKUP($A:$A,CS!$A:$AK,33,FALSE),"")</f>
      </c>
      <c r="U328" s="57">
        <f>IFERROR(VLOOKUP($A:$A,CS!$A:$AK,34,FALSE),"")</f>
      </c>
      <c r="V328" s="57">
        <f>IFERROR(VLOOKUP($A:$A,CS!$A:$AK,35,FALSE),"")</f>
      </c>
      <c r="W328" s="57">
        <f>IFERROR(VLOOKUP($A:$A,CS!$A:$AK,36,FALSE),"")</f>
      </c>
    </row>
    <row r="329" ht="16.5" customHeight="1" spans="1:23" x14ac:dyDescent="0.25">
      <c r="A329" s="71"/>
      <c r="B329" s="57">
        <f>IFERROR(VLOOKUP($A:$A,CS!$A:$AK,3,FALSE),"")</f>
      </c>
      <c r="C329" s="57">
        <f>IFERROR(VLOOKUP($A:$A,CS!$A:$AK,4,FALSE),"")</f>
      </c>
      <c r="D329" s="57">
        <f>IFERROR(VLOOKUP($A:$A,CS!$A:$AK,5,FALSE),"")</f>
      </c>
      <c r="E329" s="57">
        <f>IFERROR(VLOOKUP($A:$A,CS!$A:$AK,7,FALSE),"")</f>
      </c>
      <c r="F329" s="57">
        <f>IFERROR(VLOOKUP($A:$A,CS!$A:$AK,8,FALSE),"")</f>
      </c>
      <c r="G329" s="57">
        <f>IFERROR(VLOOKUP($A:$A,CS!$A:$AK,10,FALSE),"")</f>
      </c>
      <c r="H329" s="57">
        <f>IFERROR(VLOOKUP($A:$A,CS!$A:$AK,14,FALSE),"")</f>
      </c>
      <c r="I329" s="57">
        <f>IFERROR(VLOOKUP($A:$A,CS!$A:$AK,15,FALSE),"")</f>
      </c>
      <c r="J329" s="57">
        <f>IFERROR(VLOOKUP($A:$A,CS!$A:$AK,18,FALSE),"")</f>
      </c>
      <c r="K329" s="57">
        <f>IFERROR(VLOOKUP($A:$A,CS!$A:$AK,19,FALSE),"")</f>
      </c>
      <c r="L329" s="57">
        <f>IFERROR(VLOOKUP($A:$A,CS!$A:$AK,20,FALSE),"")</f>
      </c>
      <c r="M329" s="57">
        <f>IFERROR(VLOOKUP($A:$A,CS!$A:$AK,22,FALSE),"")</f>
      </c>
      <c r="N329" s="57">
        <f>IFERROR(VLOOKUP($A:$A,CS!$A:$AK,19,FALSE),"")</f>
      </c>
      <c r="O329" s="57">
        <f>IFERROR(VLOOKUP($A:$A,CS!$A:$AK,23,FALSE),"")</f>
      </c>
      <c r="P329" s="57">
        <f>IFERROR(VLOOKUP($A:$A,CS!$A:$AK,24,FALSE),"")</f>
      </c>
      <c r="Q329" s="57">
        <f>IFERROR(VLOOKUP($A:$A,CS!$A:$AK,25,FALSE),"")</f>
      </c>
      <c r="R329" s="57">
        <f>IFERROR(VLOOKUP($A:$A,CS!$A:$AK,26,FALSE),"")</f>
      </c>
      <c r="S329" s="57">
        <f>IFERROR(VLOOKUP($A:$A,CS!$A:$AK,29,FALSE),"")</f>
      </c>
      <c r="T329" s="57">
        <f>IFERROR(VLOOKUP($A:$A,CS!$A:$AK,33,FALSE),"")</f>
      </c>
      <c r="U329" s="57">
        <f>IFERROR(VLOOKUP($A:$A,CS!$A:$AK,34,FALSE),"")</f>
      </c>
      <c r="V329" s="57">
        <f>IFERROR(VLOOKUP($A:$A,CS!$A:$AK,35,FALSE),"")</f>
      </c>
      <c r="W329" s="57">
        <f>IFERROR(VLOOKUP($A:$A,CS!$A:$AK,36,FALSE),"")</f>
      </c>
    </row>
    <row r="330" ht="16.5" customHeight="1" spans="1:23" x14ac:dyDescent="0.25">
      <c r="A330" s="71"/>
      <c r="B330" s="57">
        <f>IFERROR(VLOOKUP($A:$A,CS!$A:$AK,3,FALSE),"")</f>
      </c>
      <c r="C330" s="57">
        <f>IFERROR(VLOOKUP($A:$A,CS!$A:$AK,4,FALSE),"")</f>
      </c>
      <c r="D330" s="57">
        <f>IFERROR(VLOOKUP($A:$A,CS!$A:$AK,5,FALSE),"")</f>
      </c>
      <c r="E330" s="57">
        <f>IFERROR(VLOOKUP($A:$A,CS!$A:$AK,7,FALSE),"")</f>
      </c>
      <c r="F330" s="57">
        <f>IFERROR(VLOOKUP($A:$A,CS!$A:$AK,8,FALSE),"")</f>
      </c>
      <c r="G330" s="57">
        <f>IFERROR(VLOOKUP($A:$A,CS!$A:$AK,10,FALSE),"")</f>
      </c>
      <c r="H330" s="57">
        <f>IFERROR(VLOOKUP($A:$A,CS!$A:$AK,14,FALSE),"")</f>
      </c>
      <c r="I330" s="57">
        <f>IFERROR(VLOOKUP($A:$A,CS!$A:$AK,15,FALSE),"")</f>
      </c>
      <c r="J330" s="57">
        <f>IFERROR(VLOOKUP($A:$A,CS!$A:$AK,18,FALSE),"")</f>
      </c>
      <c r="K330" s="57">
        <f>IFERROR(VLOOKUP($A:$A,CS!$A:$AK,19,FALSE),"")</f>
      </c>
      <c r="L330" s="57">
        <f>IFERROR(VLOOKUP($A:$A,CS!$A:$AK,20,FALSE),"")</f>
      </c>
      <c r="M330" s="57">
        <f>IFERROR(VLOOKUP($A:$A,CS!$A:$AK,22,FALSE),"")</f>
      </c>
      <c r="N330" s="57">
        <f>IFERROR(VLOOKUP($A:$A,CS!$A:$AK,19,FALSE),"")</f>
      </c>
      <c r="O330" s="57">
        <f>IFERROR(VLOOKUP($A:$A,CS!$A:$AK,23,FALSE),"")</f>
      </c>
      <c r="P330" s="57">
        <f>IFERROR(VLOOKUP($A:$A,CS!$A:$AK,24,FALSE),"")</f>
      </c>
      <c r="Q330" s="57">
        <f>IFERROR(VLOOKUP($A:$A,CS!$A:$AK,25,FALSE),"")</f>
      </c>
      <c r="R330" s="57">
        <f>IFERROR(VLOOKUP($A:$A,CS!$A:$AK,26,FALSE),"")</f>
      </c>
      <c r="S330" s="57">
        <f>IFERROR(VLOOKUP($A:$A,CS!$A:$AK,29,FALSE),"")</f>
      </c>
      <c r="T330" s="57">
        <f>IFERROR(VLOOKUP($A:$A,CS!$A:$AK,33,FALSE),"")</f>
      </c>
      <c r="U330" s="57">
        <f>IFERROR(VLOOKUP($A:$A,CS!$A:$AK,34,FALSE),"")</f>
      </c>
      <c r="V330" s="57">
        <f>IFERROR(VLOOKUP($A:$A,CS!$A:$AK,35,FALSE),"")</f>
      </c>
      <c r="W330" s="57">
        <f>IFERROR(VLOOKUP($A:$A,CS!$A:$AK,36,FALSE),"")</f>
      </c>
    </row>
    <row r="331" ht="16.5" customHeight="1" spans="1:23" x14ac:dyDescent="0.25">
      <c r="A331" s="71"/>
      <c r="B331" s="57">
        <f>IFERROR(VLOOKUP($A:$A,CS!$A:$AK,3,FALSE),"")</f>
      </c>
      <c r="C331" s="57">
        <f>IFERROR(VLOOKUP($A:$A,CS!$A:$AK,4,FALSE),"")</f>
      </c>
      <c r="D331" s="57">
        <f>IFERROR(VLOOKUP($A:$A,CS!$A:$AK,5,FALSE),"")</f>
      </c>
      <c r="E331" s="57">
        <f>IFERROR(VLOOKUP($A:$A,CS!$A:$AK,7,FALSE),"")</f>
      </c>
      <c r="F331" s="57">
        <f>IFERROR(VLOOKUP($A:$A,CS!$A:$AK,8,FALSE),"")</f>
      </c>
      <c r="G331" s="57">
        <f>IFERROR(VLOOKUP($A:$A,CS!$A:$AK,10,FALSE),"")</f>
      </c>
      <c r="H331" s="57">
        <f>IFERROR(VLOOKUP($A:$A,CS!$A:$AK,14,FALSE),"")</f>
      </c>
      <c r="I331" s="57">
        <f>IFERROR(VLOOKUP($A:$A,CS!$A:$AK,15,FALSE),"")</f>
      </c>
      <c r="J331" s="57">
        <f>IFERROR(VLOOKUP($A:$A,CS!$A:$AK,18,FALSE),"")</f>
      </c>
      <c r="K331" s="57">
        <f>IFERROR(VLOOKUP($A:$A,CS!$A:$AK,19,FALSE),"")</f>
      </c>
      <c r="L331" s="57">
        <f>IFERROR(VLOOKUP($A:$A,CS!$A:$AK,20,FALSE),"")</f>
      </c>
      <c r="M331" s="57">
        <f>IFERROR(VLOOKUP($A:$A,CS!$A:$AK,22,FALSE),"")</f>
      </c>
      <c r="N331" s="57">
        <f>IFERROR(VLOOKUP($A:$A,CS!$A:$AK,19,FALSE),"")</f>
      </c>
      <c r="O331" s="57">
        <f>IFERROR(VLOOKUP($A:$A,CS!$A:$AK,23,FALSE),"")</f>
      </c>
      <c r="P331" s="57">
        <f>IFERROR(VLOOKUP($A:$A,CS!$A:$AK,24,FALSE),"")</f>
      </c>
      <c r="Q331" s="57">
        <f>IFERROR(VLOOKUP($A:$A,CS!$A:$AK,25,FALSE),"")</f>
      </c>
      <c r="R331" s="57">
        <f>IFERROR(VLOOKUP($A:$A,CS!$A:$AK,26,FALSE),"")</f>
      </c>
      <c r="S331" s="57">
        <f>IFERROR(VLOOKUP($A:$A,CS!$A:$AK,29,FALSE),"")</f>
      </c>
      <c r="T331" s="57">
        <f>IFERROR(VLOOKUP($A:$A,CS!$A:$AK,33,FALSE),"")</f>
      </c>
      <c r="U331" s="57">
        <f>IFERROR(VLOOKUP($A:$A,CS!$A:$AK,34,FALSE),"")</f>
      </c>
      <c r="V331" s="57">
        <f>IFERROR(VLOOKUP($A:$A,CS!$A:$AK,35,FALSE),"")</f>
      </c>
      <c r="W331" s="57">
        <f>IFERROR(VLOOKUP($A:$A,CS!$A:$AK,36,FALSE),"")</f>
      </c>
    </row>
    <row r="332" ht="16.5" customHeight="1" spans="1:23" x14ac:dyDescent="0.25">
      <c r="A332" s="71"/>
      <c r="B332" s="57">
        <f>IFERROR(VLOOKUP($A:$A,CS!$A:$AK,3,FALSE),"")</f>
      </c>
      <c r="C332" s="57">
        <f>IFERROR(VLOOKUP($A:$A,CS!$A:$AK,4,FALSE),"")</f>
      </c>
      <c r="D332" s="57">
        <f>IFERROR(VLOOKUP($A:$A,CS!$A:$AK,5,FALSE),"")</f>
      </c>
      <c r="E332" s="57">
        <f>IFERROR(VLOOKUP($A:$A,CS!$A:$AK,7,FALSE),"")</f>
      </c>
      <c r="F332" s="57">
        <f>IFERROR(VLOOKUP($A:$A,CS!$A:$AK,8,FALSE),"")</f>
      </c>
      <c r="G332" s="57">
        <f>IFERROR(VLOOKUP($A:$A,CS!$A:$AK,10,FALSE),"")</f>
      </c>
      <c r="H332" s="57">
        <f>IFERROR(VLOOKUP($A:$A,CS!$A:$AK,14,FALSE),"")</f>
      </c>
      <c r="I332" s="57">
        <f>IFERROR(VLOOKUP($A:$A,CS!$A:$AK,15,FALSE),"")</f>
      </c>
      <c r="J332" s="57">
        <f>IFERROR(VLOOKUP($A:$A,CS!$A:$AK,18,FALSE),"")</f>
      </c>
      <c r="K332" s="57">
        <f>IFERROR(VLOOKUP($A:$A,CS!$A:$AK,19,FALSE),"")</f>
      </c>
      <c r="L332" s="57">
        <f>IFERROR(VLOOKUP($A:$A,CS!$A:$AK,20,FALSE),"")</f>
      </c>
      <c r="M332" s="57">
        <f>IFERROR(VLOOKUP($A:$A,CS!$A:$AK,22,FALSE),"")</f>
      </c>
      <c r="N332" s="57">
        <f>IFERROR(VLOOKUP($A:$A,CS!$A:$AK,19,FALSE),"")</f>
      </c>
      <c r="O332" s="57">
        <f>IFERROR(VLOOKUP($A:$A,CS!$A:$AK,23,FALSE),"")</f>
      </c>
      <c r="P332" s="57">
        <f>IFERROR(VLOOKUP($A:$A,CS!$A:$AK,24,FALSE),"")</f>
      </c>
      <c r="Q332" s="57">
        <f>IFERROR(VLOOKUP($A:$A,CS!$A:$AK,25,FALSE),"")</f>
      </c>
      <c r="R332" s="57">
        <f>IFERROR(VLOOKUP($A:$A,CS!$A:$AK,26,FALSE),"")</f>
      </c>
      <c r="S332" s="57">
        <f>IFERROR(VLOOKUP($A:$A,CS!$A:$AK,29,FALSE),"")</f>
      </c>
      <c r="T332" s="57">
        <f>IFERROR(VLOOKUP($A:$A,CS!$A:$AK,33,FALSE),"")</f>
      </c>
      <c r="U332" s="57">
        <f>IFERROR(VLOOKUP($A:$A,CS!$A:$AK,34,FALSE),"")</f>
      </c>
      <c r="V332" s="57">
        <f>IFERROR(VLOOKUP($A:$A,CS!$A:$AK,35,FALSE),"")</f>
      </c>
      <c r="W332" s="57">
        <f>IFERROR(VLOOKUP($A:$A,CS!$A:$AK,36,FALSE),"")</f>
      </c>
    </row>
    <row r="333" ht="16.5" customHeight="1" spans="1:23" x14ac:dyDescent="0.25">
      <c r="A333" s="71"/>
      <c r="B333" s="57">
        <f>IFERROR(VLOOKUP($A:$A,CS!$A:$AK,3,FALSE),"")</f>
      </c>
      <c r="C333" s="57">
        <f>IFERROR(VLOOKUP($A:$A,CS!$A:$AK,4,FALSE),"")</f>
      </c>
      <c r="D333" s="57">
        <f>IFERROR(VLOOKUP($A:$A,CS!$A:$AK,5,FALSE),"")</f>
      </c>
      <c r="E333" s="57">
        <f>IFERROR(VLOOKUP($A:$A,CS!$A:$AK,7,FALSE),"")</f>
      </c>
      <c r="F333" s="57">
        <f>IFERROR(VLOOKUP($A:$A,CS!$A:$AK,8,FALSE),"")</f>
      </c>
      <c r="G333" s="57">
        <f>IFERROR(VLOOKUP($A:$A,CS!$A:$AK,10,FALSE),"")</f>
      </c>
      <c r="H333" s="57">
        <f>IFERROR(VLOOKUP($A:$A,CS!$A:$AK,14,FALSE),"")</f>
      </c>
      <c r="I333" s="57">
        <f>IFERROR(VLOOKUP($A:$A,CS!$A:$AK,15,FALSE),"")</f>
      </c>
      <c r="J333" s="57">
        <f>IFERROR(VLOOKUP($A:$A,CS!$A:$AK,18,FALSE),"")</f>
      </c>
      <c r="K333" s="57">
        <f>IFERROR(VLOOKUP($A:$A,CS!$A:$AK,19,FALSE),"")</f>
      </c>
      <c r="L333" s="57">
        <f>IFERROR(VLOOKUP($A:$A,CS!$A:$AK,20,FALSE),"")</f>
      </c>
      <c r="M333" s="57">
        <f>IFERROR(VLOOKUP($A:$A,CS!$A:$AK,22,FALSE),"")</f>
      </c>
      <c r="N333" s="57">
        <f>IFERROR(VLOOKUP($A:$A,CS!$A:$AK,19,FALSE),"")</f>
      </c>
      <c r="O333" s="57">
        <f>IFERROR(VLOOKUP($A:$A,CS!$A:$AK,23,FALSE),"")</f>
      </c>
      <c r="P333" s="57">
        <f>IFERROR(VLOOKUP($A:$A,CS!$A:$AK,24,FALSE),"")</f>
      </c>
      <c r="Q333" s="57">
        <f>IFERROR(VLOOKUP($A:$A,CS!$A:$AK,25,FALSE),"")</f>
      </c>
      <c r="R333" s="57">
        <f>IFERROR(VLOOKUP($A:$A,CS!$A:$AK,26,FALSE),"")</f>
      </c>
      <c r="S333" s="57">
        <f>IFERROR(VLOOKUP($A:$A,CS!$A:$AK,29,FALSE),"")</f>
      </c>
      <c r="T333" s="57">
        <f>IFERROR(VLOOKUP($A:$A,CS!$A:$AK,33,FALSE),"")</f>
      </c>
      <c r="U333" s="57">
        <f>IFERROR(VLOOKUP($A:$A,CS!$A:$AK,34,FALSE),"")</f>
      </c>
      <c r="V333" s="57">
        <f>IFERROR(VLOOKUP($A:$A,CS!$A:$AK,35,FALSE),"")</f>
      </c>
      <c r="W333" s="57">
        <f>IFERROR(VLOOKUP($A:$A,CS!$A:$AK,36,FALSE),"")</f>
      </c>
    </row>
    <row r="334" ht="16.5" customHeight="1" spans="1:23" x14ac:dyDescent="0.25">
      <c r="A334" s="71"/>
      <c r="B334" s="57">
        <f>IFERROR(VLOOKUP($A:$A,CS!$A:$AK,3,FALSE),"")</f>
      </c>
      <c r="C334" s="57">
        <f>IFERROR(VLOOKUP($A:$A,CS!$A:$AK,4,FALSE),"")</f>
      </c>
      <c r="D334" s="57">
        <f>IFERROR(VLOOKUP($A:$A,CS!$A:$AK,5,FALSE),"")</f>
      </c>
      <c r="E334" s="57">
        <f>IFERROR(VLOOKUP($A:$A,CS!$A:$AK,7,FALSE),"")</f>
      </c>
      <c r="F334" s="57">
        <f>IFERROR(VLOOKUP($A:$A,CS!$A:$AK,8,FALSE),"")</f>
      </c>
      <c r="G334" s="57">
        <f>IFERROR(VLOOKUP($A:$A,CS!$A:$AK,10,FALSE),"")</f>
      </c>
      <c r="H334" s="57">
        <f>IFERROR(VLOOKUP($A:$A,CS!$A:$AK,14,FALSE),"")</f>
      </c>
      <c r="I334" s="57">
        <f>IFERROR(VLOOKUP($A:$A,CS!$A:$AK,15,FALSE),"")</f>
      </c>
      <c r="J334" s="57">
        <f>IFERROR(VLOOKUP($A:$A,CS!$A:$AK,18,FALSE),"")</f>
      </c>
      <c r="K334" s="57">
        <f>IFERROR(VLOOKUP($A:$A,CS!$A:$AK,19,FALSE),"")</f>
      </c>
      <c r="L334" s="57">
        <f>IFERROR(VLOOKUP($A:$A,CS!$A:$AK,20,FALSE),"")</f>
      </c>
      <c r="M334" s="57">
        <f>IFERROR(VLOOKUP($A:$A,CS!$A:$AK,22,FALSE),"")</f>
      </c>
      <c r="N334" s="57">
        <f>IFERROR(VLOOKUP($A:$A,CS!$A:$AK,19,FALSE),"")</f>
      </c>
      <c r="O334" s="57">
        <f>IFERROR(VLOOKUP($A:$A,CS!$A:$AK,23,FALSE),"")</f>
      </c>
      <c r="P334" s="57">
        <f>IFERROR(VLOOKUP($A:$A,CS!$A:$AK,24,FALSE),"")</f>
      </c>
      <c r="Q334" s="57">
        <f>IFERROR(VLOOKUP($A:$A,CS!$A:$AK,25,FALSE),"")</f>
      </c>
      <c r="R334" s="57">
        <f>IFERROR(VLOOKUP($A:$A,CS!$A:$AK,26,FALSE),"")</f>
      </c>
      <c r="S334" s="57">
        <f>IFERROR(VLOOKUP($A:$A,CS!$A:$AK,29,FALSE),"")</f>
      </c>
      <c r="T334" s="57">
        <f>IFERROR(VLOOKUP($A:$A,CS!$A:$AK,33,FALSE),"")</f>
      </c>
      <c r="U334" s="57">
        <f>IFERROR(VLOOKUP($A:$A,CS!$A:$AK,34,FALSE),"")</f>
      </c>
      <c r="V334" s="57">
        <f>IFERROR(VLOOKUP($A:$A,CS!$A:$AK,35,FALSE),"")</f>
      </c>
      <c r="W334" s="57">
        <f>IFERROR(VLOOKUP($A:$A,CS!$A:$AK,36,FALSE),"")</f>
      </c>
    </row>
    <row r="335" ht="16.5" customHeight="1" spans="1:23" x14ac:dyDescent="0.25">
      <c r="A335" s="71"/>
      <c r="B335" s="57">
        <f>IFERROR(VLOOKUP($A:$A,CS!$A:$AK,3,FALSE),"")</f>
      </c>
      <c r="C335" s="57">
        <f>IFERROR(VLOOKUP($A:$A,CS!$A:$AK,4,FALSE),"")</f>
      </c>
      <c r="D335" s="57">
        <f>IFERROR(VLOOKUP($A:$A,CS!$A:$AK,5,FALSE),"")</f>
      </c>
      <c r="E335" s="57">
        <f>IFERROR(VLOOKUP($A:$A,CS!$A:$AK,7,FALSE),"")</f>
      </c>
      <c r="F335" s="57">
        <f>IFERROR(VLOOKUP($A:$A,CS!$A:$AK,8,FALSE),"")</f>
      </c>
      <c r="G335" s="57">
        <f>IFERROR(VLOOKUP($A:$A,CS!$A:$AK,10,FALSE),"")</f>
      </c>
      <c r="H335" s="57">
        <f>IFERROR(VLOOKUP($A:$A,CS!$A:$AK,14,FALSE),"")</f>
      </c>
      <c r="I335" s="57">
        <f>IFERROR(VLOOKUP($A:$A,CS!$A:$AK,15,FALSE),"")</f>
      </c>
      <c r="J335" s="57">
        <f>IFERROR(VLOOKUP($A:$A,CS!$A:$AK,18,FALSE),"")</f>
      </c>
      <c r="K335" s="57">
        <f>IFERROR(VLOOKUP($A:$A,CS!$A:$AK,19,FALSE),"")</f>
      </c>
      <c r="L335" s="57">
        <f>IFERROR(VLOOKUP($A:$A,CS!$A:$AK,20,FALSE),"")</f>
      </c>
      <c r="M335" s="57">
        <f>IFERROR(VLOOKUP($A:$A,CS!$A:$AK,22,FALSE),"")</f>
      </c>
      <c r="N335" s="57">
        <f>IFERROR(VLOOKUP($A:$A,CS!$A:$AK,19,FALSE),"")</f>
      </c>
      <c r="O335" s="57">
        <f>IFERROR(VLOOKUP($A:$A,CS!$A:$AK,23,FALSE),"")</f>
      </c>
      <c r="P335" s="57">
        <f>IFERROR(VLOOKUP($A:$A,CS!$A:$AK,24,FALSE),"")</f>
      </c>
      <c r="Q335" s="57">
        <f>IFERROR(VLOOKUP($A:$A,CS!$A:$AK,25,FALSE),"")</f>
      </c>
      <c r="R335" s="57">
        <f>IFERROR(VLOOKUP($A:$A,CS!$A:$AK,26,FALSE),"")</f>
      </c>
      <c r="S335" s="57">
        <f>IFERROR(VLOOKUP($A:$A,CS!$A:$AK,29,FALSE),"")</f>
      </c>
      <c r="T335" s="57">
        <f>IFERROR(VLOOKUP($A:$A,CS!$A:$AK,33,FALSE),"")</f>
      </c>
      <c r="U335" s="57">
        <f>IFERROR(VLOOKUP($A:$A,CS!$A:$AK,34,FALSE),"")</f>
      </c>
      <c r="V335" s="57">
        <f>IFERROR(VLOOKUP($A:$A,CS!$A:$AK,35,FALSE),"")</f>
      </c>
      <c r="W335" s="57">
        <f>IFERROR(VLOOKUP($A:$A,CS!$A:$AK,36,FALSE),"")</f>
      </c>
    </row>
    <row r="336" ht="16.5" customHeight="1" spans="1:23" x14ac:dyDescent="0.25">
      <c r="A336" s="71"/>
      <c r="B336" s="57">
        <f>IFERROR(VLOOKUP($A:$A,CS!$A:$AK,3,FALSE),"")</f>
      </c>
      <c r="C336" s="57">
        <f>IFERROR(VLOOKUP($A:$A,CS!$A:$AK,4,FALSE),"")</f>
      </c>
      <c r="D336" s="57">
        <f>IFERROR(VLOOKUP($A:$A,CS!$A:$AK,5,FALSE),"")</f>
      </c>
      <c r="E336" s="57">
        <f>IFERROR(VLOOKUP($A:$A,CS!$A:$AK,7,FALSE),"")</f>
      </c>
      <c r="F336" s="57">
        <f>IFERROR(VLOOKUP($A:$A,CS!$A:$AK,8,FALSE),"")</f>
      </c>
      <c r="G336" s="57">
        <f>IFERROR(VLOOKUP($A:$A,CS!$A:$AK,10,FALSE),"")</f>
      </c>
      <c r="H336" s="57">
        <f>IFERROR(VLOOKUP($A:$A,CS!$A:$AK,14,FALSE),"")</f>
      </c>
      <c r="I336" s="57">
        <f>IFERROR(VLOOKUP($A:$A,CS!$A:$AK,15,FALSE),"")</f>
      </c>
      <c r="J336" s="57">
        <f>IFERROR(VLOOKUP($A:$A,CS!$A:$AK,18,FALSE),"")</f>
      </c>
      <c r="K336" s="57">
        <f>IFERROR(VLOOKUP($A:$A,CS!$A:$AK,19,FALSE),"")</f>
      </c>
      <c r="L336" s="57">
        <f>IFERROR(VLOOKUP($A:$A,CS!$A:$AK,20,FALSE),"")</f>
      </c>
      <c r="M336" s="57">
        <f>IFERROR(VLOOKUP($A:$A,CS!$A:$AK,22,FALSE),"")</f>
      </c>
      <c r="N336" s="57">
        <f>IFERROR(VLOOKUP($A:$A,CS!$A:$AK,19,FALSE),"")</f>
      </c>
      <c r="O336" s="57">
        <f>IFERROR(VLOOKUP($A:$A,CS!$A:$AK,23,FALSE),"")</f>
      </c>
      <c r="P336" s="57">
        <f>IFERROR(VLOOKUP($A:$A,CS!$A:$AK,24,FALSE),"")</f>
      </c>
      <c r="Q336" s="57">
        <f>IFERROR(VLOOKUP($A:$A,CS!$A:$AK,25,FALSE),"")</f>
      </c>
      <c r="R336" s="57">
        <f>IFERROR(VLOOKUP($A:$A,CS!$A:$AK,26,FALSE),"")</f>
      </c>
      <c r="S336" s="57">
        <f>IFERROR(VLOOKUP($A:$A,CS!$A:$AK,29,FALSE),"")</f>
      </c>
      <c r="T336" s="57">
        <f>IFERROR(VLOOKUP($A:$A,CS!$A:$AK,33,FALSE),"")</f>
      </c>
      <c r="U336" s="57">
        <f>IFERROR(VLOOKUP($A:$A,CS!$A:$AK,34,FALSE),"")</f>
      </c>
      <c r="V336" s="57">
        <f>IFERROR(VLOOKUP($A:$A,CS!$A:$AK,35,FALSE),"")</f>
      </c>
      <c r="W336" s="57">
        <f>IFERROR(VLOOKUP($A:$A,CS!$A:$AK,36,FALSE),"")</f>
      </c>
    </row>
    <row r="337" ht="16.5" customHeight="1" spans="1:23" x14ac:dyDescent="0.25">
      <c r="A337" s="71"/>
      <c r="B337" s="57">
        <f>IFERROR(VLOOKUP($A:$A,CS!$A:$AK,3,FALSE),"")</f>
      </c>
      <c r="C337" s="57">
        <f>IFERROR(VLOOKUP($A:$A,CS!$A:$AK,4,FALSE),"")</f>
      </c>
      <c r="D337" s="57">
        <f>IFERROR(VLOOKUP($A:$A,CS!$A:$AK,5,FALSE),"")</f>
      </c>
      <c r="E337" s="57">
        <f>IFERROR(VLOOKUP($A:$A,CS!$A:$AK,7,FALSE),"")</f>
      </c>
      <c r="F337" s="57">
        <f>IFERROR(VLOOKUP($A:$A,CS!$A:$AK,8,FALSE),"")</f>
      </c>
      <c r="G337" s="57">
        <f>IFERROR(VLOOKUP($A:$A,CS!$A:$AK,10,FALSE),"")</f>
      </c>
      <c r="H337" s="57">
        <f>IFERROR(VLOOKUP($A:$A,CS!$A:$AK,14,FALSE),"")</f>
      </c>
      <c r="I337" s="57">
        <f>IFERROR(VLOOKUP($A:$A,CS!$A:$AK,15,FALSE),"")</f>
      </c>
      <c r="J337" s="57">
        <f>IFERROR(VLOOKUP($A:$A,CS!$A:$AK,18,FALSE),"")</f>
      </c>
      <c r="K337" s="57">
        <f>IFERROR(VLOOKUP($A:$A,CS!$A:$AK,19,FALSE),"")</f>
      </c>
      <c r="L337" s="57">
        <f>IFERROR(VLOOKUP($A:$A,CS!$A:$AK,20,FALSE),"")</f>
      </c>
      <c r="M337" s="57">
        <f>IFERROR(VLOOKUP($A:$A,CS!$A:$AK,22,FALSE),"")</f>
      </c>
      <c r="N337" s="57">
        <f>IFERROR(VLOOKUP($A:$A,CS!$A:$AK,19,FALSE),"")</f>
      </c>
      <c r="O337" s="57">
        <f>IFERROR(VLOOKUP($A:$A,CS!$A:$AK,23,FALSE),"")</f>
      </c>
      <c r="P337" s="57">
        <f>IFERROR(VLOOKUP($A:$A,CS!$A:$AK,24,FALSE),"")</f>
      </c>
      <c r="Q337" s="57">
        <f>IFERROR(VLOOKUP($A:$A,CS!$A:$AK,25,FALSE),"")</f>
      </c>
      <c r="R337" s="57">
        <f>IFERROR(VLOOKUP($A:$A,CS!$A:$AK,26,FALSE),"")</f>
      </c>
      <c r="S337" s="57">
        <f>IFERROR(VLOOKUP($A:$A,CS!$A:$AK,29,FALSE),"")</f>
      </c>
      <c r="T337" s="57">
        <f>IFERROR(VLOOKUP($A:$A,CS!$A:$AK,33,FALSE),"")</f>
      </c>
      <c r="U337" s="57">
        <f>IFERROR(VLOOKUP($A:$A,CS!$A:$AK,34,FALSE),"")</f>
      </c>
      <c r="V337" s="57">
        <f>IFERROR(VLOOKUP($A:$A,CS!$A:$AK,35,FALSE),"")</f>
      </c>
      <c r="W337" s="57">
        <f>IFERROR(VLOOKUP($A:$A,CS!$A:$AK,36,FALSE),"")</f>
      </c>
    </row>
    <row r="338" ht="16.5" customHeight="1" spans="1:23" x14ac:dyDescent="0.25">
      <c r="A338" s="71"/>
      <c r="B338" s="57">
        <f>IFERROR(VLOOKUP($A:$A,CS!$A:$AK,3,FALSE),"")</f>
      </c>
      <c r="C338" s="57">
        <f>IFERROR(VLOOKUP($A:$A,CS!$A:$AK,4,FALSE),"")</f>
      </c>
      <c r="D338" s="57">
        <f>IFERROR(VLOOKUP($A:$A,CS!$A:$AK,5,FALSE),"")</f>
      </c>
      <c r="E338" s="57">
        <f>IFERROR(VLOOKUP($A:$A,CS!$A:$AK,7,FALSE),"")</f>
      </c>
      <c r="F338" s="57">
        <f>IFERROR(VLOOKUP($A:$A,CS!$A:$AK,8,FALSE),"")</f>
      </c>
      <c r="G338" s="57">
        <f>IFERROR(VLOOKUP($A:$A,CS!$A:$AK,10,FALSE),"")</f>
      </c>
      <c r="H338" s="57">
        <f>IFERROR(VLOOKUP($A:$A,CS!$A:$AK,14,FALSE),"")</f>
      </c>
      <c r="I338" s="57">
        <f>IFERROR(VLOOKUP($A:$A,CS!$A:$AK,15,FALSE),"")</f>
      </c>
      <c r="J338" s="57">
        <f>IFERROR(VLOOKUP($A:$A,CS!$A:$AK,18,FALSE),"")</f>
      </c>
      <c r="K338" s="57">
        <f>IFERROR(VLOOKUP($A:$A,CS!$A:$AK,19,FALSE),"")</f>
      </c>
      <c r="L338" s="57">
        <f>IFERROR(VLOOKUP($A:$A,CS!$A:$AK,20,FALSE),"")</f>
      </c>
      <c r="M338" s="57">
        <f>IFERROR(VLOOKUP($A:$A,CS!$A:$AK,22,FALSE),"")</f>
      </c>
      <c r="N338" s="57">
        <f>IFERROR(VLOOKUP($A:$A,CS!$A:$AK,19,FALSE),"")</f>
      </c>
      <c r="O338" s="57">
        <f>IFERROR(VLOOKUP($A:$A,CS!$A:$AK,23,FALSE),"")</f>
      </c>
      <c r="P338" s="57">
        <f>IFERROR(VLOOKUP($A:$A,CS!$A:$AK,24,FALSE),"")</f>
      </c>
      <c r="Q338" s="57">
        <f>IFERROR(VLOOKUP($A:$A,CS!$A:$AK,25,FALSE),"")</f>
      </c>
      <c r="R338" s="57">
        <f>IFERROR(VLOOKUP($A:$A,CS!$A:$AK,26,FALSE),"")</f>
      </c>
      <c r="S338" s="57">
        <f>IFERROR(VLOOKUP($A:$A,CS!$A:$AK,29,FALSE),"")</f>
      </c>
      <c r="T338" s="57">
        <f>IFERROR(VLOOKUP($A:$A,CS!$A:$AK,33,FALSE),"")</f>
      </c>
      <c r="U338" s="57">
        <f>IFERROR(VLOOKUP($A:$A,CS!$A:$AK,34,FALSE),"")</f>
      </c>
      <c r="V338" s="57">
        <f>IFERROR(VLOOKUP($A:$A,CS!$A:$AK,35,FALSE),"")</f>
      </c>
      <c r="W338" s="57">
        <f>IFERROR(VLOOKUP($A:$A,CS!$A:$AK,36,FALSE),"")</f>
      </c>
    </row>
    <row r="339" ht="16.5" customHeight="1" spans="1:23" x14ac:dyDescent="0.25">
      <c r="A339" s="71"/>
      <c r="B339" s="57">
        <f>IFERROR(VLOOKUP($A:$A,CS!$A:$AK,3,FALSE),"")</f>
      </c>
      <c r="C339" s="57">
        <f>IFERROR(VLOOKUP($A:$A,CS!$A:$AK,4,FALSE),"")</f>
      </c>
      <c r="D339" s="57">
        <f>IFERROR(VLOOKUP($A:$A,CS!$A:$AK,5,FALSE),"")</f>
      </c>
      <c r="E339" s="57">
        <f>IFERROR(VLOOKUP($A:$A,CS!$A:$AK,7,FALSE),"")</f>
      </c>
      <c r="F339" s="57">
        <f>IFERROR(VLOOKUP($A:$A,CS!$A:$AK,8,FALSE),"")</f>
      </c>
      <c r="G339" s="57">
        <f>IFERROR(VLOOKUP($A:$A,CS!$A:$AK,10,FALSE),"")</f>
      </c>
      <c r="H339" s="57">
        <f>IFERROR(VLOOKUP($A:$A,CS!$A:$AK,14,FALSE),"")</f>
      </c>
      <c r="I339" s="57">
        <f>IFERROR(VLOOKUP($A:$A,CS!$A:$AK,15,FALSE),"")</f>
      </c>
      <c r="J339" s="57">
        <f>IFERROR(VLOOKUP($A:$A,CS!$A:$AK,18,FALSE),"")</f>
      </c>
      <c r="K339" s="57">
        <f>IFERROR(VLOOKUP($A:$A,CS!$A:$AK,19,FALSE),"")</f>
      </c>
      <c r="L339" s="57">
        <f>IFERROR(VLOOKUP($A:$A,CS!$A:$AK,20,FALSE),"")</f>
      </c>
      <c r="M339" s="57">
        <f>IFERROR(VLOOKUP($A:$A,CS!$A:$AK,22,FALSE),"")</f>
      </c>
      <c r="N339" s="57">
        <f>IFERROR(VLOOKUP($A:$A,CS!$A:$AK,19,FALSE),"")</f>
      </c>
      <c r="O339" s="57">
        <f>IFERROR(VLOOKUP($A:$A,CS!$A:$AK,23,FALSE),"")</f>
      </c>
      <c r="P339" s="57">
        <f>IFERROR(VLOOKUP($A:$A,CS!$A:$AK,24,FALSE),"")</f>
      </c>
      <c r="Q339" s="57">
        <f>IFERROR(VLOOKUP($A:$A,CS!$A:$AK,25,FALSE),"")</f>
      </c>
      <c r="R339" s="57">
        <f>IFERROR(VLOOKUP($A:$A,CS!$A:$AK,26,FALSE),"")</f>
      </c>
      <c r="S339" s="57">
        <f>IFERROR(VLOOKUP($A:$A,CS!$A:$AK,29,FALSE),"")</f>
      </c>
      <c r="T339" s="57">
        <f>IFERROR(VLOOKUP($A:$A,CS!$A:$AK,33,FALSE),"")</f>
      </c>
      <c r="U339" s="57">
        <f>IFERROR(VLOOKUP($A:$A,CS!$A:$AK,34,FALSE),"")</f>
      </c>
      <c r="V339" s="57">
        <f>IFERROR(VLOOKUP($A:$A,CS!$A:$AK,35,FALSE),"")</f>
      </c>
      <c r="W339" s="57">
        <f>IFERROR(VLOOKUP($A:$A,CS!$A:$AK,36,FALSE),"")</f>
      </c>
    </row>
    <row r="340" ht="16.5" customHeight="1" spans="1:23" x14ac:dyDescent="0.25">
      <c r="A340" s="71"/>
      <c r="B340" s="57">
        <f>IFERROR(VLOOKUP($A:$A,CS!$A:$AK,3,FALSE),"")</f>
      </c>
      <c r="C340" s="57">
        <f>IFERROR(VLOOKUP($A:$A,CS!$A:$AK,4,FALSE),"")</f>
      </c>
      <c r="D340" s="57">
        <f>IFERROR(VLOOKUP($A:$A,CS!$A:$AK,5,FALSE),"")</f>
      </c>
      <c r="E340" s="57">
        <f>IFERROR(VLOOKUP($A:$A,CS!$A:$AK,7,FALSE),"")</f>
      </c>
      <c r="F340" s="57">
        <f>IFERROR(VLOOKUP($A:$A,CS!$A:$AK,8,FALSE),"")</f>
      </c>
      <c r="G340" s="57">
        <f>IFERROR(VLOOKUP($A:$A,CS!$A:$AK,10,FALSE),"")</f>
      </c>
      <c r="H340" s="57">
        <f>IFERROR(VLOOKUP($A:$A,CS!$A:$AK,14,FALSE),"")</f>
      </c>
      <c r="I340" s="57">
        <f>IFERROR(VLOOKUP($A:$A,CS!$A:$AK,15,FALSE),"")</f>
      </c>
      <c r="J340" s="57">
        <f>IFERROR(VLOOKUP($A:$A,CS!$A:$AK,18,FALSE),"")</f>
      </c>
      <c r="K340" s="57">
        <f>IFERROR(VLOOKUP($A:$A,CS!$A:$AK,19,FALSE),"")</f>
      </c>
      <c r="L340" s="57">
        <f>IFERROR(VLOOKUP($A:$A,CS!$A:$AK,20,FALSE),"")</f>
      </c>
      <c r="M340" s="57">
        <f>IFERROR(VLOOKUP($A:$A,CS!$A:$AK,22,FALSE),"")</f>
      </c>
      <c r="N340" s="57">
        <f>IFERROR(VLOOKUP($A:$A,CS!$A:$AK,19,FALSE),"")</f>
      </c>
      <c r="O340" s="57">
        <f>IFERROR(VLOOKUP($A:$A,CS!$A:$AK,23,FALSE),"")</f>
      </c>
      <c r="P340" s="57">
        <f>IFERROR(VLOOKUP($A:$A,CS!$A:$AK,24,FALSE),"")</f>
      </c>
      <c r="Q340" s="57">
        <f>IFERROR(VLOOKUP($A:$A,CS!$A:$AK,25,FALSE),"")</f>
      </c>
      <c r="R340" s="57">
        <f>IFERROR(VLOOKUP($A:$A,CS!$A:$AK,26,FALSE),"")</f>
      </c>
      <c r="S340" s="57">
        <f>IFERROR(VLOOKUP($A:$A,CS!$A:$AK,29,FALSE),"")</f>
      </c>
      <c r="T340" s="57">
        <f>IFERROR(VLOOKUP($A:$A,CS!$A:$AK,33,FALSE),"")</f>
      </c>
      <c r="U340" s="57">
        <f>IFERROR(VLOOKUP($A:$A,CS!$A:$AK,34,FALSE),"")</f>
      </c>
      <c r="V340" s="57">
        <f>IFERROR(VLOOKUP($A:$A,CS!$A:$AK,35,FALSE),"")</f>
      </c>
      <c r="W340" s="57">
        <f>IFERROR(VLOOKUP($A:$A,CS!$A:$AK,36,FALSE),"")</f>
      </c>
    </row>
    <row r="341" ht="16.5" customHeight="1" spans="1:23" x14ac:dyDescent="0.25">
      <c r="A341" s="71"/>
      <c r="B341" s="57">
        <f>IFERROR(VLOOKUP($A:$A,CS!$A:$AK,3,FALSE),"")</f>
      </c>
      <c r="C341" s="57">
        <f>IFERROR(VLOOKUP($A:$A,CS!$A:$AK,4,FALSE),"")</f>
      </c>
      <c r="D341" s="57">
        <f>IFERROR(VLOOKUP($A:$A,CS!$A:$AK,5,FALSE),"")</f>
      </c>
      <c r="E341" s="57">
        <f>IFERROR(VLOOKUP($A:$A,CS!$A:$AK,7,FALSE),"")</f>
      </c>
      <c r="F341" s="57">
        <f>IFERROR(VLOOKUP($A:$A,CS!$A:$AK,8,FALSE),"")</f>
      </c>
      <c r="G341" s="57">
        <f>IFERROR(VLOOKUP($A:$A,CS!$A:$AK,10,FALSE),"")</f>
      </c>
      <c r="H341" s="57">
        <f>IFERROR(VLOOKUP($A:$A,CS!$A:$AK,14,FALSE),"")</f>
      </c>
      <c r="I341" s="57">
        <f>IFERROR(VLOOKUP($A:$A,CS!$A:$AK,15,FALSE),"")</f>
      </c>
      <c r="J341" s="57">
        <f>IFERROR(VLOOKUP($A:$A,CS!$A:$AK,18,FALSE),"")</f>
      </c>
      <c r="K341" s="57">
        <f>IFERROR(VLOOKUP($A:$A,CS!$A:$AK,19,FALSE),"")</f>
      </c>
      <c r="L341" s="57">
        <f>IFERROR(VLOOKUP($A:$A,CS!$A:$AK,20,FALSE),"")</f>
      </c>
      <c r="M341" s="57">
        <f>IFERROR(VLOOKUP($A:$A,CS!$A:$AK,22,FALSE),"")</f>
      </c>
      <c r="N341" s="57">
        <f>IFERROR(VLOOKUP($A:$A,CS!$A:$AK,19,FALSE),"")</f>
      </c>
      <c r="O341" s="57">
        <f>IFERROR(VLOOKUP($A:$A,CS!$A:$AK,23,FALSE),"")</f>
      </c>
      <c r="P341" s="57">
        <f>IFERROR(VLOOKUP($A:$A,CS!$A:$AK,24,FALSE),"")</f>
      </c>
      <c r="Q341" s="57">
        <f>IFERROR(VLOOKUP($A:$A,CS!$A:$AK,25,FALSE),"")</f>
      </c>
      <c r="R341" s="57">
        <f>IFERROR(VLOOKUP($A:$A,CS!$A:$AK,26,FALSE),"")</f>
      </c>
      <c r="S341" s="57">
        <f>IFERROR(VLOOKUP($A:$A,CS!$A:$AK,29,FALSE),"")</f>
      </c>
      <c r="T341" s="57">
        <f>IFERROR(VLOOKUP($A:$A,CS!$A:$AK,33,FALSE),"")</f>
      </c>
      <c r="U341" s="57">
        <f>IFERROR(VLOOKUP($A:$A,CS!$A:$AK,34,FALSE),"")</f>
      </c>
      <c r="V341" s="57">
        <f>IFERROR(VLOOKUP($A:$A,CS!$A:$AK,35,FALSE),"")</f>
      </c>
      <c r="W341" s="57">
        <f>IFERROR(VLOOKUP($A:$A,CS!$A:$AK,36,FALSE),"")</f>
      </c>
    </row>
    <row r="342" ht="16.5" customHeight="1" spans="1:23" x14ac:dyDescent="0.25">
      <c r="A342" s="71"/>
      <c r="B342" s="57">
        <f>IFERROR(VLOOKUP($A:$A,CS!$A:$AK,3,FALSE),"")</f>
      </c>
      <c r="C342" s="57">
        <f>IFERROR(VLOOKUP($A:$A,CS!$A:$AK,4,FALSE),"")</f>
      </c>
      <c r="D342" s="57">
        <f>IFERROR(VLOOKUP($A:$A,CS!$A:$AK,5,FALSE),"")</f>
      </c>
      <c r="E342" s="57">
        <f>IFERROR(VLOOKUP($A:$A,CS!$A:$AK,7,FALSE),"")</f>
      </c>
      <c r="F342" s="57">
        <f>IFERROR(VLOOKUP($A:$A,CS!$A:$AK,8,FALSE),"")</f>
      </c>
      <c r="G342" s="57">
        <f>IFERROR(VLOOKUP($A:$A,CS!$A:$AK,10,FALSE),"")</f>
      </c>
      <c r="H342" s="57">
        <f>IFERROR(VLOOKUP($A:$A,CS!$A:$AK,14,FALSE),"")</f>
      </c>
      <c r="I342" s="57">
        <f>IFERROR(VLOOKUP($A:$A,CS!$A:$AK,15,FALSE),"")</f>
      </c>
      <c r="J342" s="57">
        <f>IFERROR(VLOOKUP($A:$A,CS!$A:$AK,18,FALSE),"")</f>
      </c>
      <c r="K342" s="57">
        <f>IFERROR(VLOOKUP($A:$A,CS!$A:$AK,19,FALSE),"")</f>
      </c>
      <c r="L342" s="57">
        <f>IFERROR(VLOOKUP($A:$A,CS!$A:$AK,20,FALSE),"")</f>
      </c>
      <c r="M342" s="57">
        <f>IFERROR(VLOOKUP($A:$A,CS!$A:$AK,22,FALSE),"")</f>
      </c>
      <c r="N342" s="57">
        <f>IFERROR(VLOOKUP($A:$A,CS!$A:$AK,19,FALSE),"")</f>
      </c>
      <c r="O342" s="57">
        <f>IFERROR(VLOOKUP($A:$A,CS!$A:$AK,23,FALSE),"")</f>
      </c>
      <c r="P342" s="57">
        <f>IFERROR(VLOOKUP($A:$A,CS!$A:$AK,24,FALSE),"")</f>
      </c>
      <c r="Q342" s="57">
        <f>IFERROR(VLOOKUP($A:$A,CS!$A:$AK,25,FALSE),"")</f>
      </c>
      <c r="R342" s="57">
        <f>IFERROR(VLOOKUP($A:$A,CS!$A:$AK,26,FALSE),"")</f>
      </c>
      <c r="S342" s="57">
        <f>IFERROR(VLOOKUP($A:$A,CS!$A:$AK,29,FALSE),"")</f>
      </c>
      <c r="T342" s="57">
        <f>IFERROR(VLOOKUP($A:$A,CS!$A:$AK,33,FALSE),"")</f>
      </c>
      <c r="U342" s="57">
        <f>IFERROR(VLOOKUP($A:$A,CS!$A:$AK,34,FALSE),"")</f>
      </c>
      <c r="V342" s="57">
        <f>IFERROR(VLOOKUP($A:$A,CS!$A:$AK,35,FALSE),"")</f>
      </c>
      <c r="W342" s="57">
        <f>IFERROR(VLOOKUP($A:$A,CS!$A:$AK,36,FALSE),"")</f>
      </c>
    </row>
    <row r="343" ht="16.5" customHeight="1" spans="1:23" x14ac:dyDescent="0.25">
      <c r="A343" s="71"/>
      <c r="B343" s="57">
        <f>IFERROR(VLOOKUP($A:$A,CS!$A:$AK,3,FALSE),"")</f>
      </c>
      <c r="C343" s="57">
        <f>IFERROR(VLOOKUP($A:$A,CS!$A:$AK,4,FALSE),"")</f>
      </c>
      <c r="D343" s="57">
        <f>IFERROR(VLOOKUP($A:$A,CS!$A:$AK,5,FALSE),"")</f>
      </c>
      <c r="E343" s="57">
        <f>IFERROR(VLOOKUP($A:$A,CS!$A:$AK,7,FALSE),"")</f>
      </c>
      <c r="F343" s="57">
        <f>IFERROR(VLOOKUP($A:$A,CS!$A:$AK,8,FALSE),"")</f>
      </c>
      <c r="G343" s="57">
        <f>IFERROR(VLOOKUP($A:$A,CS!$A:$AK,10,FALSE),"")</f>
      </c>
      <c r="H343" s="57">
        <f>IFERROR(VLOOKUP($A:$A,CS!$A:$AK,14,FALSE),"")</f>
      </c>
      <c r="I343" s="57">
        <f>IFERROR(VLOOKUP($A:$A,CS!$A:$AK,15,FALSE),"")</f>
      </c>
      <c r="J343" s="57">
        <f>IFERROR(VLOOKUP($A:$A,CS!$A:$AK,18,FALSE),"")</f>
      </c>
      <c r="K343" s="57">
        <f>IFERROR(VLOOKUP($A:$A,CS!$A:$AK,19,FALSE),"")</f>
      </c>
      <c r="L343" s="57">
        <f>IFERROR(VLOOKUP($A:$A,CS!$A:$AK,20,FALSE),"")</f>
      </c>
      <c r="M343" s="57">
        <f>IFERROR(VLOOKUP($A:$A,CS!$A:$AK,22,FALSE),"")</f>
      </c>
      <c r="N343" s="57">
        <f>IFERROR(VLOOKUP($A:$A,CS!$A:$AK,19,FALSE),"")</f>
      </c>
      <c r="O343" s="57">
        <f>IFERROR(VLOOKUP($A:$A,CS!$A:$AK,23,FALSE),"")</f>
      </c>
      <c r="P343" s="57">
        <f>IFERROR(VLOOKUP($A:$A,CS!$A:$AK,24,FALSE),"")</f>
      </c>
      <c r="Q343" s="57">
        <f>IFERROR(VLOOKUP($A:$A,CS!$A:$AK,25,FALSE),"")</f>
      </c>
      <c r="R343" s="57">
        <f>IFERROR(VLOOKUP($A:$A,CS!$A:$AK,26,FALSE),"")</f>
      </c>
      <c r="S343" s="57">
        <f>IFERROR(VLOOKUP($A:$A,CS!$A:$AK,29,FALSE),"")</f>
      </c>
      <c r="T343" s="57">
        <f>IFERROR(VLOOKUP($A:$A,CS!$A:$AK,33,FALSE),"")</f>
      </c>
      <c r="U343" s="57">
        <f>IFERROR(VLOOKUP($A:$A,CS!$A:$AK,34,FALSE),"")</f>
      </c>
      <c r="V343" s="57">
        <f>IFERROR(VLOOKUP($A:$A,CS!$A:$AK,35,FALSE),"")</f>
      </c>
      <c r="W343" s="57">
        <f>IFERROR(VLOOKUP($A:$A,CS!$A:$AK,36,FALSE),"")</f>
      </c>
    </row>
    <row r="344" ht="16.5" customHeight="1" spans="1:23" x14ac:dyDescent="0.25">
      <c r="A344" s="71"/>
      <c r="B344" s="57">
        <f>IFERROR(VLOOKUP($A:$A,CS!$A:$AK,3,FALSE),"")</f>
      </c>
      <c r="C344" s="57">
        <f>IFERROR(VLOOKUP($A:$A,CS!$A:$AK,4,FALSE),"")</f>
      </c>
      <c r="D344" s="57">
        <f>IFERROR(VLOOKUP($A:$A,CS!$A:$AK,5,FALSE),"")</f>
      </c>
      <c r="E344" s="57">
        <f>IFERROR(VLOOKUP($A:$A,CS!$A:$AK,7,FALSE),"")</f>
      </c>
      <c r="F344" s="57">
        <f>IFERROR(VLOOKUP($A:$A,CS!$A:$AK,8,FALSE),"")</f>
      </c>
      <c r="G344" s="57">
        <f>IFERROR(VLOOKUP($A:$A,CS!$A:$AK,10,FALSE),"")</f>
      </c>
      <c r="H344" s="57">
        <f>IFERROR(VLOOKUP($A:$A,CS!$A:$AK,14,FALSE),"")</f>
      </c>
      <c r="I344" s="57">
        <f>IFERROR(VLOOKUP($A:$A,CS!$A:$AK,15,FALSE),"")</f>
      </c>
      <c r="J344" s="57">
        <f>IFERROR(VLOOKUP($A:$A,CS!$A:$AK,18,FALSE),"")</f>
      </c>
      <c r="K344" s="57">
        <f>IFERROR(VLOOKUP($A:$A,CS!$A:$AK,19,FALSE),"")</f>
      </c>
      <c r="L344" s="57">
        <f>IFERROR(VLOOKUP($A:$A,CS!$A:$AK,20,FALSE),"")</f>
      </c>
      <c r="M344" s="57">
        <f>IFERROR(VLOOKUP($A:$A,CS!$A:$AK,22,FALSE),"")</f>
      </c>
      <c r="N344" s="57">
        <f>IFERROR(VLOOKUP($A:$A,CS!$A:$AK,19,FALSE),"")</f>
      </c>
      <c r="O344" s="57">
        <f>IFERROR(VLOOKUP($A:$A,CS!$A:$AK,23,FALSE),"")</f>
      </c>
      <c r="P344" s="57">
        <f>IFERROR(VLOOKUP($A:$A,CS!$A:$AK,24,FALSE),"")</f>
      </c>
      <c r="Q344" s="57">
        <f>IFERROR(VLOOKUP($A:$A,CS!$A:$AK,25,FALSE),"")</f>
      </c>
      <c r="R344" s="57">
        <f>IFERROR(VLOOKUP($A:$A,CS!$A:$AK,26,FALSE),"")</f>
      </c>
      <c r="S344" s="57">
        <f>IFERROR(VLOOKUP($A:$A,CS!$A:$AK,29,FALSE),"")</f>
      </c>
      <c r="T344" s="57">
        <f>IFERROR(VLOOKUP($A:$A,CS!$A:$AK,33,FALSE),"")</f>
      </c>
      <c r="U344" s="57">
        <f>IFERROR(VLOOKUP($A:$A,CS!$A:$AK,34,FALSE),"")</f>
      </c>
      <c r="V344" s="57">
        <f>IFERROR(VLOOKUP($A:$A,CS!$A:$AK,35,FALSE),"")</f>
      </c>
      <c r="W344" s="57">
        <f>IFERROR(VLOOKUP($A:$A,CS!$A:$AK,36,FALSE),"")</f>
      </c>
    </row>
    <row r="345" ht="16.5" customHeight="1" spans="1:23" x14ac:dyDescent="0.25">
      <c r="A345" s="71"/>
      <c r="B345" s="57">
        <f>IFERROR(VLOOKUP($A:$A,CS!$A:$AK,3,FALSE),"")</f>
      </c>
      <c r="C345" s="57">
        <f>IFERROR(VLOOKUP($A:$A,CS!$A:$AK,4,FALSE),"")</f>
      </c>
      <c r="D345" s="57">
        <f>IFERROR(VLOOKUP($A:$A,CS!$A:$AK,5,FALSE),"")</f>
      </c>
      <c r="E345" s="57">
        <f>IFERROR(VLOOKUP($A:$A,CS!$A:$AK,7,FALSE),"")</f>
      </c>
      <c r="F345" s="57">
        <f>IFERROR(VLOOKUP($A:$A,CS!$A:$AK,8,FALSE),"")</f>
      </c>
      <c r="G345" s="57">
        <f>IFERROR(VLOOKUP($A:$A,CS!$A:$AK,10,FALSE),"")</f>
      </c>
      <c r="H345" s="57">
        <f>IFERROR(VLOOKUP($A:$A,CS!$A:$AK,14,FALSE),"")</f>
      </c>
      <c r="I345" s="57">
        <f>IFERROR(VLOOKUP($A:$A,CS!$A:$AK,15,FALSE),"")</f>
      </c>
      <c r="J345" s="57">
        <f>IFERROR(VLOOKUP($A:$A,CS!$A:$AK,18,FALSE),"")</f>
      </c>
      <c r="K345" s="57">
        <f>IFERROR(VLOOKUP($A:$A,CS!$A:$AK,19,FALSE),"")</f>
      </c>
      <c r="L345" s="57">
        <f>IFERROR(VLOOKUP($A:$A,CS!$A:$AK,20,FALSE),"")</f>
      </c>
      <c r="M345" s="57">
        <f>IFERROR(VLOOKUP($A:$A,CS!$A:$AK,22,FALSE),"")</f>
      </c>
      <c r="N345" s="57">
        <f>IFERROR(VLOOKUP($A:$A,CS!$A:$AK,19,FALSE),"")</f>
      </c>
      <c r="O345" s="57">
        <f>IFERROR(VLOOKUP($A:$A,CS!$A:$AK,23,FALSE),"")</f>
      </c>
      <c r="P345" s="57">
        <f>IFERROR(VLOOKUP($A:$A,CS!$A:$AK,24,FALSE),"")</f>
      </c>
      <c r="Q345" s="57">
        <f>IFERROR(VLOOKUP($A:$A,CS!$A:$AK,25,FALSE),"")</f>
      </c>
      <c r="R345" s="57">
        <f>IFERROR(VLOOKUP($A:$A,CS!$A:$AK,26,FALSE),"")</f>
      </c>
      <c r="S345" s="57">
        <f>IFERROR(VLOOKUP($A:$A,CS!$A:$AK,29,FALSE),"")</f>
      </c>
      <c r="T345" s="57">
        <f>IFERROR(VLOOKUP($A:$A,CS!$A:$AK,33,FALSE),"")</f>
      </c>
      <c r="U345" s="57">
        <f>IFERROR(VLOOKUP($A:$A,CS!$A:$AK,34,FALSE),"")</f>
      </c>
      <c r="V345" s="57">
        <f>IFERROR(VLOOKUP($A:$A,CS!$A:$AK,35,FALSE),"")</f>
      </c>
      <c r="W345" s="57">
        <f>IFERROR(VLOOKUP($A:$A,CS!$A:$AK,36,FALSE),"")</f>
      </c>
    </row>
    <row r="346" ht="16.5" customHeight="1" spans="1:23" x14ac:dyDescent="0.25">
      <c r="A346" s="71"/>
      <c r="B346" s="57">
        <f>IFERROR(VLOOKUP($A:$A,CS!$A:$AK,3,FALSE),"")</f>
      </c>
      <c r="C346" s="57">
        <f>IFERROR(VLOOKUP($A:$A,CS!$A:$AK,4,FALSE),"")</f>
      </c>
      <c r="D346" s="57">
        <f>IFERROR(VLOOKUP($A:$A,CS!$A:$AK,5,FALSE),"")</f>
      </c>
      <c r="E346" s="57">
        <f>IFERROR(VLOOKUP($A:$A,CS!$A:$AK,7,FALSE),"")</f>
      </c>
      <c r="F346" s="57">
        <f>IFERROR(VLOOKUP($A:$A,CS!$A:$AK,8,FALSE),"")</f>
      </c>
      <c r="G346" s="57">
        <f>IFERROR(VLOOKUP($A:$A,CS!$A:$AK,10,FALSE),"")</f>
      </c>
      <c r="H346" s="57">
        <f>IFERROR(VLOOKUP($A:$A,CS!$A:$AK,14,FALSE),"")</f>
      </c>
      <c r="I346" s="57">
        <f>IFERROR(VLOOKUP($A:$A,CS!$A:$AK,15,FALSE),"")</f>
      </c>
      <c r="J346" s="57">
        <f>IFERROR(VLOOKUP($A:$A,CS!$A:$AK,18,FALSE),"")</f>
      </c>
      <c r="K346" s="57">
        <f>IFERROR(VLOOKUP($A:$A,CS!$A:$AK,19,FALSE),"")</f>
      </c>
      <c r="L346" s="57">
        <f>IFERROR(VLOOKUP($A:$A,CS!$A:$AK,20,FALSE),"")</f>
      </c>
      <c r="M346" s="57">
        <f>IFERROR(VLOOKUP($A:$A,CS!$A:$AK,22,FALSE),"")</f>
      </c>
      <c r="N346" s="57">
        <f>IFERROR(VLOOKUP($A:$A,CS!$A:$AK,19,FALSE),"")</f>
      </c>
      <c r="O346" s="57">
        <f>IFERROR(VLOOKUP($A:$A,CS!$A:$AK,23,FALSE),"")</f>
      </c>
      <c r="P346" s="57">
        <f>IFERROR(VLOOKUP($A:$A,CS!$A:$AK,24,FALSE),"")</f>
      </c>
      <c r="Q346" s="57">
        <f>IFERROR(VLOOKUP($A:$A,CS!$A:$AK,25,FALSE),"")</f>
      </c>
      <c r="R346" s="57">
        <f>IFERROR(VLOOKUP($A:$A,CS!$A:$AK,26,FALSE),"")</f>
      </c>
      <c r="S346" s="57">
        <f>IFERROR(VLOOKUP($A:$A,CS!$A:$AK,29,FALSE),"")</f>
      </c>
      <c r="T346" s="57">
        <f>IFERROR(VLOOKUP($A:$A,CS!$A:$AK,33,FALSE),"")</f>
      </c>
      <c r="U346" s="57">
        <f>IFERROR(VLOOKUP($A:$A,CS!$A:$AK,34,FALSE),"")</f>
      </c>
      <c r="V346" s="57">
        <f>IFERROR(VLOOKUP($A:$A,CS!$A:$AK,35,FALSE),"")</f>
      </c>
      <c r="W346" s="57">
        <f>IFERROR(VLOOKUP($A:$A,CS!$A:$AK,36,FALSE),"")</f>
      </c>
    </row>
    <row r="347" ht="16.5" customHeight="1" spans="1:23" x14ac:dyDescent="0.25">
      <c r="A347" s="71"/>
      <c r="B347" s="57">
        <f>IFERROR(VLOOKUP($A:$A,CS!$A:$AK,3,FALSE),"")</f>
      </c>
      <c r="C347" s="57">
        <f>IFERROR(VLOOKUP($A:$A,CS!$A:$AK,4,FALSE),"")</f>
      </c>
      <c r="D347" s="57">
        <f>IFERROR(VLOOKUP($A:$A,CS!$A:$AK,5,FALSE),"")</f>
      </c>
      <c r="E347" s="57">
        <f>IFERROR(VLOOKUP($A:$A,CS!$A:$AK,7,FALSE),"")</f>
      </c>
      <c r="F347" s="57">
        <f>IFERROR(VLOOKUP($A:$A,CS!$A:$AK,8,FALSE),"")</f>
      </c>
      <c r="G347" s="57">
        <f>IFERROR(VLOOKUP($A:$A,CS!$A:$AK,10,FALSE),"")</f>
      </c>
      <c r="H347" s="57">
        <f>IFERROR(VLOOKUP($A:$A,CS!$A:$AK,14,FALSE),"")</f>
      </c>
      <c r="I347" s="57">
        <f>IFERROR(VLOOKUP($A:$A,CS!$A:$AK,15,FALSE),"")</f>
      </c>
      <c r="J347" s="57">
        <f>IFERROR(VLOOKUP($A:$A,CS!$A:$AK,18,FALSE),"")</f>
      </c>
      <c r="K347" s="57">
        <f>IFERROR(VLOOKUP($A:$A,CS!$A:$AK,19,FALSE),"")</f>
      </c>
      <c r="L347" s="57">
        <f>IFERROR(VLOOKUP($A:$A,CS!$A:$AK,20,FALSE),"")</f>
      </c>
      <c r="M347" s="57">
        <f>IFERROR(VLOOKUP($A:$A,CS!$A:$AK,22,FALSE),"")</f>
      </c>
      <c r="N347" s="57">
        <f>IFERROR(VLOOKUP($A:$A,CS!$A:$AK,19,FALSE),"")</f>
      </c>
      <c r="O347" s="57">
        <f>IFERROR(VLOOKUP($A:$A,CS!$A:$AK,23,FALSE),"")</f>
      </c>
      <c r="P347" s="57">
        <f>IFERROR(VLOOKUP($A:$A,CS!$A:$AK,24,FALSE),"")</f>
      </c>
      <c r="Q347" s="57">
        <f>IFERROR(VLOOKUP($A:$A,CS!$A:$AK,25,FALSE),"")</f>
      </c>
      <c r="R347" s="57">
        <f>IFERROR(VLOOKUP($A:$A,CS!$A:$AK,26,FALSE),"")</f>
      </c>
      <c r="S347" s="57">
        <f>IFERROR(VLOOKUP($A:$A,CS!$A:$AK,29,FALSE),"")</f>
      </c>
      <c r="T347" s="57">
        <f>IFERROR(VLOOKUP($A:$A,CS!$A:$AK,33,FALSE),"")</f>
      </c>
      <c r="U347" s="57">
        <f>IFERROR(VLOOKUP($A:$A,CS!$A:$AK,34,FALSE),"")</f>
      </c>
      <c r="V347" s="57">
        <f>IFERROR(VLOOKUP($A:$A,CS!$A:$AK,35,FALSE),"")</f>
      </c>
      <c r="W347" s="57">
        <f>IFERROR(VLOOKUP($A:$A,CS!$A:$AK,36,FALSE),"")</f>
      </c>
    </row>
    <row r="348" ht="16.5" customHeight="1" spans="1:23" x14ac:dyDescent="0.25">
      <c r="A348" s="71"/>
      <c r="B348" s="57">
        <f>IFERROR(VLOOKUP($A:$A,CS!$A:$AK,3,FALSE),"")</f>
      </c>
      <c r="C348" s="57">
        <f>IFERROR(VLOOKUP($A:$A,CS!$A:$AK,4,FALSE),"")</f>
      </c>
      <c r="D348" s="57">
        <f>IFERROR(VLOOKUP($A:$A,CS!$A:$AK,5,FALSE),"")</f>
      </c>
      <c r="E348" s="57">
        <f>IFERROR(VLOOKUP($A:$A,CS!$A:$AK,7,FALSE),"")</f>
      </c>
      <c r="F348" s="57">
        <f>IFERROR(VLOOKUP($A:$A,CS!$A:$AK,8,FALSE),"")</f>
      </c>
      <c r="G348" s="57">
        <f>IFERROR(VLOOKUP($A:$A,CS!$A:$AK,10,FALSE),"")</f>
      </c>
      <c r="H348" s="57">
        <f>IFERROR(VLOOKUP($A:$A,CS!$A:$AK,14,FALSE),"")</f>
      </c>
      <c r="I348" s="57">
        <f>IFERROR(VLOOKUP($A:$A,CS!$A:$AK,15,FALSE),"")</f>
      </c>
      <c r="J348" s="57">
        <f>IFERROR(VLOOKUP($A:$A,CS!$A:$AK,18,FALSE),"")</f>
      </c>
      <c r="K348" s="57">
        <f>IFERROR(VLOOKUP($A:$A,CS!$A:$AK,19,FALSE),"")</f>
      </c>
      <c r="L348" s="57">
        <f>IFERROR(VLOOKUP($A:$A,CS!$A:$AK,20,FALSE),"")</f>
      </c>
      <c r="M348" s="57">
        <f>IFERROR(VLOOKUP($A:$A,CS!$A:$AK,22,FALSE),"")</f>
      </c>
      <c r="N348" s="57">
        <f>IFERROR(VLOOKUP($A:$A,CS!$A:$AK,19,FALSE),"")</f>
      </c>
      <c r="O348" s="57">
        <f>IFERROR(VLOOKUP($A:$A,CS!$A:$AK,23,FALSE),"")</f>
      </c>
      <c r="P348" s="57">
        <f>IFERROR(VLOOKUP($A:$A,CS!$A:$AK,24,FALSE),"")</f>
      </c>
      <c r="Q348" s="57">
        <f>IFERROR(VLOOKUP($A:$A,CS!$A:$AK,25,FALSE),"")</f>
      </c>
      <c r="R348" s="57">
        <f>IFERROR(VLOOKUP($A:$A,CS!$A:$AK,26,FALSE),"")</f>
      </c>
      <c r="S348" s="57">
        <f>IFERROR(VLOOKUP($A:$A,CS!$A:$AK,29,FALSE),"")</f>
      </c>
      <c r="T348" s="57">
        <f>IFERROR(VLOOKUP($A:$A,CS!$A:$AK,33,FALSE),"")</f>
      </c>
      <c r="U348" s="57">
        <f>IFERROR(VLOOKUP($A:$A,CS!$A:$AK,34,FALSE),"")</f>
      </c>
      <c r="V348" s="57">
        <f>IFERROR(VLOOKUP($A:$A,CS!$A:$AK,35,FALSE),"")</f>
      </c>
      <c r="W348" s="57">
        <f>IFERROR(VLOOKUP($A:$A,CS!$A:$AK,36,FALSE),"")</f>
      </c>
    </row>
    <row r="349" ht="16.5" customHeight="1" spans="1:23" x14ac:dyDescent="0.25">
      <c r="A349" s="71"/>
      <c r="B349" s="57">
        <f>IFERROR(VLOOKUP($A:$A,CS!$A:$AK,3,FALSE),"")</f>
      </c>
      <c r="C349" s="57">
        <f>IFERROR(VLOOKUP($A:$A,CS!$A:$AK,4,FALSE),"")</f>
      </c>
      <c r="D349" s="57">
        <f>IFERROR(VLOOKUP($A:$A,CS!$A:$AK,5,FALSE),"")</f>
      </c>
      <c r="E349" s="57">
        <f>IFERROR(VLOOKUP($A:$A,CS!$A:$AK,7,FALSE),"")</f>
      </c>
      <c r="F349" s="57">
        <f>IFERROR(VLOOKUP($A:$A,CS!$A:$AK,8,FALSE),"")</f>
      </c>
      <c r="G349" s="57">
        <f>IFERROR(VLOOKUP($A:$A,CS!$A:$AK,10,FALSE),"")</f>
      </c>
      <c r="H349" s="57">
        <f>IFERROR(VLOOKUP($A:$A,CS!$A:$AK,14,FALSE),"")</f>
      </c>
      <c r="I349" s="57">
        <f>IFERROR(VLOOKUP($A:$A,CS!$A:$AK,15,FALSE),"")</f>
      </c>
      <c r="J349" s="57">
        <f>IFERROR(VLOOKUP($A:$A,CS!$A:$AK,18,FALSE),"")</f>
      </c>
      <c r="K349" s="57">
        <f>IFERROR(VLOOKUP($A:$A,CS!$A:$AK,19,FALSE),"")</f>
      </c>
      <c r="L349" s="57">
        <f>IFERROR(VLOOKUP($A:$A,CS!$A:$AK,20,FALSE),"")</f>
      </c>
      <c r="M349" s="57">
        <f>IFERROR(VLOOKUP($A:$A,CS!$A:$AK,22,FALSE),"")</f>
      </c>
      <c r="N349" s="57">
        <f>IFERROR(VLOOKUP($A:$A,CS!$A:$AK,19,FALSE),"")</f>
      </c>
      <c r="O349" s="57">
        <f>IFERROR(VLOOKUP($A:$A,CS!$A:$AK,23,FALSE),"")</f>
      </c>
      <c r="P349" s="57">
        <f>IFERROR(VLOOKUP($A:$A,CS!$A:$AK,24,FALSE),"")</f>
      </c>
      <c r="Q349" s="57">
        <f>IFERROR(VLOOKUP($A:$A,CS!$A:$AK,25,FALSE),"")</f>
      </c>
      <c r="R349" s="57">
        <f>IFERROR(VLOOKUP($A:$A,CS!$A:$AK,26,FALSE),"")</f>
      </c>
      <c r="S349" s="57">
        <f>IFERROR(VLOOKUP($A:$A,CS!$A:$AK,29,FALSE),"")</f>
      </c>
      <c r="T349" s="57">
        <f>IFERROR(VLOOKUP($A:$A,CS!$A:$AK,33,FALSE),"")</f>
      </c>
      <c r="U349" s="57">
        <f>IFERROR(VLOOKUP($A:$A,CS!$A:$AK,34,FALSE),"")</f>
      </c>
      <c r="V349" s="57">
        <f>IFERROR(VLOOKUP($A:$A,CS!$A:$AK,35,FALSE),"")</f>
      </c>
      <c r="W349" s="57">
        <f>IFERROR(VLOOKUP($A:$A,CS!$A:$AK,36,FALSE),"")</f>
      </c>
    </row>
    <row r="350" ht="16.5" customHeight="1" spans="1:23" x14ac:dyDescent="0.25">
      <c r="A350" s="71"/>
      <c r="B350" s="57">
        <f>IFERROR(VLOOKUP($A:$A,CS!$A:$AK,3,FALSE),"")</f>
      </c>
      <c r="C350" s="57">
        <f>IFERROR(VLOOKUP($A:$A,CS!$A:$AK,4,FALSE),"")</f>
      </c>
      <c r="D350" s="57">
        <f>IFERROR(VLOOKUP($A:$A,CS!$A:$AK,5,FALSE),"")</f>
      </c>
      <c r="E350" s="57">
        <f>IFERROR(VLOOKUP($A:$A,CS!$A:$AK,7,FALSE),"")</f>
      </c>
      <c r="F350" s="57">
        <f>IFERROR(VLOOKUP($A:$A,CS!$A:$AK,8,FALSE),"")</f>
      </c>
      <c r="G350" s="57">
        <f>IFERROR(VLOOKUP($A:$A,CS!$A:$AK,10,FALSE),"")</f>
      </c>
      <c r="H350" s="57">
        <f>IFERROR(VLOOKUP($A:$A,CS!$A:$AK,14,FALSE),"")</f>
      </c>
      <c r="I350" s="57">
        <f>IFERROR(VLOOKUP($A:$A,CS!$A:$AK,15,FALSE),"")</f>
      </c>
      <c r="J350" s="57">
        <f>IFERROR(VLOOKUP($A:$A,CS!$A:$AK,18,FALSE),"")</f>
      </c>
      <c r="K350" s="57">
        <f>IFERROR(VLOOKUP($A:$A,CS!$A:$AK,19,FALSE),"")</f>
      </c>
      <c r="L350" s="57">
        <f>IFERROR(VLOOKUP($A:$A,CS!$A:$AK,20,FALSE),"")</f>
      </c>
      <c r="M350" s="57">
        <f>IFERROR(VLOOKUP($A:$A,CS!$A:$AK,22,FALSE),"")</f>
      </c>
      <c r="N350" s="57">
        <f>IFERROR(VLOOKUP($A:$A,CS!$A:$AK,19,FALSE),"")</f>
      </c>
      <c r="O350" s="57">
        <f>IFERROR(VLOOKUP($A:$A,CS!$A:$AK,23,FALSE),"")</f>
      </c>
      <c r="P350" s="57">
        <f>IFERROR(VLOOKUP($A:$A,CS!$A:$AK,24,FALSE),"")</f>
      </c>
      <c r="Q350" s="57">
        <f>IFERROR(VLOOKUP($A:$A,CS!$A:$AK,25,FALSE),"")</f>
      </c>
      <c r="R350" s="57">
        <f>IFERROR(VLOOKUP($A:$A,CS!$A:$AK,26,FALSE),"")</f>
      </c>
      <c r="S350" s="57">
        <f>IFERROR(VLOOKUP($A:$A,CS!$A:$AK,29,FALSE),"")</f>
      </c>
      <c r="T350" s="57">
        <f>IFERROR(VLOOKUP($A:$A,CS!$A:$AK,33,FALSE),"")</f>
      </c>
      <c r="U350" s="57">
        <f>IFERROR(VLOOKUP($A:$A,CS!$A:$AK,34,FALSE),"")</f>
      </c>
      <c r="V350" s="57">
        <f>IFERROR(VLOOKUP($A:$A,CS!$A:$AK,35,FALSE),"")</f>
      </c>
      <c r="W350" s="57">
        <f>IFERROR(VLOOKUP($A:$A,CS!$A:$AK,36,FALSE),"")</f>
      </c>
    </row>
    <row r="351" ht="16.5" customHeight="1" spans="1:23" x14ac:dyDescent="0.25">
      <c r="A351" s="71"/>
      <c r="B351" s="57">
        <f>IFERROR(VLOOKUP($A:$A,CS!$A:$AK,3,FALSE),"")</f>
      </c>
      <c r="C351" s="57">
        <f>IFERROR(VLOOKUP($A:$A,CS!$A:$AK,4,FALSE),"")</f>
      </c>
      <c r="D351" s="57">
        <f>IFERROR(VLOOKUP($A:$A,CS!$A:$AK,5,FALSE),"")</f>
      </c>
      <c r="E351" s="57">
        <f>IFERROR(VLOOKUP($A:$A,CS!$A:$AK,7,FALSE),"")</f>
      </c>
      <c r="F351" s="57">
        <f>IFERROR(VLOOKUP($A:$A,CS!$A:$AK,8,FALSE),"")</f>
      </c>
      <c r="G351" s="57">
        <f>IFERROR(VLOOKUP($A:$A,CS!$A:$AK,10,FALSE),"")</f>
      </c>
      <c r="H351" s="57">
        <f>IFERROR(VLOOKUP($A:$A,CS!$A:$AK,14,FALSE),"")</f>
      </c>
      <c r="I351" s="57">
        <f>IFERROR(VLOOKUP($A:$A,CS!$A:$AK,15,FALSE),"")</f>
      </c>
      <c r="J351" s="57">
        <f>IFERROR(VLOOKUP($A:$A,CS!$A:$AK,18,FALSE),"")</f>
      </c>
      <c r="K351" s="57">
        <f>IFERROR(VLOOKUP($A:$A,CS!$A:$AK,19,FALSE),"")</f>
      </c>
      <c r="L351" s="57">
        <f>IFERROR(VLOOKUP($A:$A,CS!$A:$AK,20,FALSE),"")</f>
      </c>
      <c r="M351" s="57">
        <f>IFERROR(VLOOKUP($A:$A,CS!$A:$AK,22,FALSE),"")</f>
      </c>
      <c r="N351" s="57">
        <f>IFERROR(VLOOKUP($A:$A,CS!$A:$AK,19,FALSE),"")</f>
      </c>
      <c r="O351" s="57">
        <f>IFERROR(VLOOKUP($A:$A,CS!$A:$AK,23,FALSE),"")</f>
      </c>
      <c r="P351" s="57">
        <f>IFERROR(VLOOKUP($A:$A,CS!$A:$AK,24,FALSE),"")</f>
      </c>
      <c r="Q351" s="57">
        <f>IFERROR(VLOOKUP($A:$A,CS!$A:$AK,25,FALSE),"")</f>
      </c>
      <c r="R351" s="57">
        <f>IFERROR(VLOOKUP($A:$A,CS!$A:$AK,26,FALSE),"")</f>
      </c>
      <c r="S351" s="57">
        <f>IFERROR(VLOOKUP($A:$A,CS!$A:$AK,29,FALSE),"")</f>
      </c>
      <c r="T351" s="57">
        <f>IFERROR(VLOOKUP($A:$A,CS!$A:$AK,33,FALSE),"")</f>
      </c>
      <c r="U351" s="57">
        <f>IFERROR(VLOOKUP($A:$A,CS!$A:$AK,34,FALSE),"")</f>
      </c>
      <c r="V351" s="57">
        <f>IFERROR(VLOOKUP($A:$A,CS!$A:$AK,35,FALSE),"")</f>
      </c>
      <c r="W351" s="57">
        <f>IFERROR(VLOOKUP($A:$A,CS!$A:$AK,36,FALSE),"")</f>
      </c>
    </row>
    <row r="352" ht="16.5" customHeight="1" spans="1:23" x14ac:dyDescent="0.25">
      <c r="A352" s="71"/>
      <c r="B352" s="57">
        <f>IFERROR(VLOOKUP($A:$A,CS!$A:$AK,3,FALSE),"")</f>
      </c>
      <c r="C352" s="57">
        <f>IFERROR(VLOOKUP($A:$A,CS!$A:$AK,4,FALSE),"")</f>
      </c>
      <c r="D352" s="57">
        <f>IFERROR(VLOOKUP($A:$A,CS!$A:$AK,5,FALSE),"")</f>
      </c>
      <c r="E352" s="57">
        <f>IFERROR(VLOOKUP($A:$A,CS!$A:$AK,7,FALSE),"")</f>
      </c>
      <c r="F352" s="57">
        <f>IFERROR(VLOOKUP($A:$A,CS!$A:$AK,8,FALSE),"")</f>
      </c>
      <c r="G352" s="57">
        <f>IFERROR(VLOOKUP($A:$A,CS!$A:$AK,10,FALSE),"")</f>
      </c>
      <c r="H352" s="57">
        <f>IFERROR(VLOOKUP($A:$A,CS!$A:$AK,14,FALSE),"")</f>
      </c>
      <c r="I352" s="57">
        <f>IFERROR(VLOOKUP($A:$A,CS!$A:$AK,15,FALSE),"")</f>
      </c>
      <c r="J352" s="57">
        <f>IFERROR(VLOOKUP($A:$A,CS!$A:$AK,18,FALSE),"")</f>
      </c>
      <c r="K352" s="57">
        <f>IFERROR(VLOOKUP($A:$A,CS!$A:$AK,19,FALSE),"")</f>
      </c>
      <c r="L352" s="57">
        <f>IFERROR(VLOOKUP($A:$A,CS!$A:$AK,20,FALSE),"")</f>
      </c>
      <c r="M352" s="57">
        <f>IFERROR(VLOOKUP($A:$A,CS!$A:$AK,22,FALSE),"")</f>
      </c>
      <c r="N352" s="57">
        <f>IFERROR(VLOOKUP($A:$A,CS!$A:$AK,19,FALSE),"")</f>
      </c>
      <c r="O352" s="57">
        <f>IFERROR(VLOOKUP($A:$A,CS!$A:$AK,23,FALSE),"")</f>
      </c>
      <c r="P352" s="57">
        <f>IFERROR(VLOOKUP($A:$A,CS!$A:$AK,24,FALSE),"")</f>
      </c>
      <c r="Q352" s="57">
        <f>IFERROR(VLOOKUP($A:$A,CS!$A:$AK,25,FALSE),"")</f>
      </c>
      <c r="R352" s="57">
        <f>IFERROR(VLOOKUP($A:$A,CS!$A:$AK,26,FALSE),"")</f>
      </c>
      <c r="S352" s="57">
        <f>IFERROR(VLOOKUP($A:$A,CS!$A:$AK,29,FALSE),"")</f>
      </c>
      <c r="T352" s="57">
        <f>IFERROR(VLOOKUP($A:$A,CS!$A:$AK,33,FALSE),"")</f>
      </c>
      <c r="U352" s="57">
        <f>IFERROR(VLOOKUP($A:$A,CS!$A:$AK,34,FALSE),"")</f>
      </c>
      <c r="V352" s="57">
        <f>IFERROR(VLOOKUP($A:$A,CS!$A:$AK,35,FALSE),"")</f>
      </c>
      <c r="W352" s="57">
        <f>IFERROR(VLOOKUP($A:$A,CS!$A:$AK,36,FALSE),"")</f>
      </c>
    </row>
    <row r="353" ht="16.5" customHeight="1" spans="1:23" x14ac:dyDescent="0.25">
      <c r="A353" s="71"/>
      <c r="B353" s="57">
        <f>IFERROR(VLOOKUP($A:$A,CS!$A:$AK,3,FALSE),"")</f>
      </c>
      <c r="C353" s="57">
        <f>IFERROR(VLOOKUP($A:$A,CS!$A:$AK,4,FALSE),"")</f>
      </c>
      <c r="D353" s="57">
        <f>IFERROR(VLOOKUP($A:$A,CS!$A:$AK,5,FALSE),"")</f>
      </c>
      <c r="E353" s="57">
        <f>IFERROR(VLOOKUP($A:$A,CS!$A:$AK,7,FALSE),"")</f>
      </c>
      <c r="F353" s="57">
        <f>IFERROR(VLOOKUP($A:$A,CS!$A:$AK,8,FALSE),"")</f>
      </c>
      <c r="G353" s="57">
        <f>IFERROR(VLOOKUP($A:$A,CS!$A:$AK,10,FALSE),"")</f>
      </c>
      <c r="H353" s="57">
        <f>IFERROR(VLOOKUP($A:$A,CS!$A:$AK,14,FALSE),"")</f>
      </c>
      <c r="I353" s="57">
        <f>IFERROR(VLOOKUP($A:$A,CS!$A:$AK,15,FALSE),"")</f>
      </c>
      <c r="J353" s="57">
        <f>IFERROR(VLOOKUP($A:$A,CS!$A:$AK,18,FALSE),"")</f>
      </c>
      <c r="K353" s="57">
        <f>IFERROR(VLOOKUP($A:$A,CS!$A:$AK,19,FALSE),"")</f>
      </c>
      <c r="L353" s="57">
        <f>IFERROR(VLOOKUP($A:$A,CS!$A:$AK,20,FALSE),"")</f>
      </c>
      <c r="M353" s="57">
        <f>IFERROR(VLOOKUP($A:$A,CS!$A:$AK,22,FALSE),"")</f>
      </c>
      <c r="N353" s="57">
        <f>IFERROR(VLOOKUP($A:$A,CS!$A:$AK,19,FALSE),"")</f>
      </c>
      <c r="O353" s="57">
        <f>IFERROR(VLOOKUP($A:$A,CS!$A:$AK,23,FALSE),"")</f>
      </c>
      <c r="P353" s="57">
        <f>IFERROR(VLOOKUP($A:$A,CS!$A:$AK,24,FALSE),"")</f>
      </c>
      <c r="Q353" s="57">
        <f>IFERROR(VLOOKUP($A:$A,CS!$A:$AK,25,FALSE),"")</f>
      </c>
      <c r="R353" s="57">
        <f>IFERROR(VLOOKUP($A:$A,CS!$A:$AK,26,FALSE),"")</f>
      </c>
      <c r="S353" s="57">
        <f>IFERROR(VLOOKUP($A:$A,CS!$A:$AK,29,FALSE),"")</f>
      </c>
      <c r="T353" s="57">
        <f>IFERROR(VLOOKUP($A:$A,CS!$A:$AK,33,FALSE),"")</f>
      </c>
      <c r="U353" s="57">
        <f>IFERROR(VLOOKUP($A:$A,CS!$A:$AK,34,FALSE),"")</f>
      </c>
      <c r="V353" s="57">
        <f>IFERROR(VLOOKUP($A:$A,CS!$A:$AK,35,FALSE),"")</f>
      </c>
      <c r="W353" s="57">
        <f>IFERROR(VLOOKUP($A:$A,CS!$A:$AK,36,FALSE),"")</f>
      </c>
    </row>
    <row r="354" ht="16.5" customHeight="1" spans="1:23" x14ac:dyDescent="0.25">
      <c r="A354" s="71"/>
      <c r="B354" s="57">
        <f>IFERROR(VLOOKUP($A:$A,CS!$A:$AK,3,FALSE),"")</f>
      </c>
      <c r="C354" s="57">
        <f>IFERROR(VLOOKUP($A:$A,CS!$A:$AK,4,FALSE),"")</f>
      </c>
      <c r="D354" s="57">
        <f>IFERROR(VLOOKUP($A:$A,CS!$A:$AK,5,FALSE),"")</f>
      </c>
      <c r="E354" s="57">
        <f>IFERROR(VLOOKUP($A:$A,CS!$A:$AK,7,FALSE),"")</f>
      </c>
      <c r="F354" s="57">
        <f>IFERROR(VLOOKUP($A:$A,CS!$A:$AK,8,FALSE),"")</f>
      </c>
      <c r="G354" s="57">
        <f>IFERROR(VLOOKUP($A:$A,CS!$A:$AK,10,FALSE),"")</f>
      </c>
      <c r="H354" s="57">
        <f>IFERROR(VLOOKUP($A:$A,CS!$A:$AK,14,FALSE),"")</f>
      </c>
      <c r="I354" s="57">
        <f>IFERROR(VLOOKUP($A:$A,CS!$A:$AK,15,FALSE),"")</f>
      </c>
      <c r="J354" s="57">
        <f>IFERROR(VLOOKUP($A:$A,CS!$A:$AK,18,FALSE),"")</f>
      </c>
      <c r="K354" s="57">
        <f>IFERROR(VLOOKUP($A:$A,CS!$A:$AK,19,FALSE),"")</f>
      </c>
      <c r="L354" s="57">
        <f>IFERROR(VLOOKUP($A:$A,CS!$A:$AK,20,FALSE),"")</f>
      </c>
      <c r="M354" s="57">
        <f>IFERROR(VLOOKUP($A:$A,CS!$A:$AK,22,FALSE),"")</f>
      </c>
      <c r="N354" s="57">
        <f>IFERROR(VLOOKUP($A:$A,CS!$A:$AK,19,FALSE),"")</f>
      </c>
      <c r="O354" s="57">
        <f>IFERROR(VLOOKUP($A:$A,CS!$A:$AK,23,FALSE),"")</f>
      </c>
      <c r="P354" s="57">
        <f>IFERROR(VLOOKUP($A:$A,CS!$A:$AK,24,FALSE),"")</f>
      </c>
      <c r="Q354" s="57">
        <f>IFERROR(VLOOKUP($A:$A,CS!$A:$AK,25,FALSE),"")</f>
      </c>
      <c r="R354" s="57">
        <f>IFERROR(VLOOKUP($A:$A,CS!$A:$AK,26,FALSE),"")</f>
      </c>
      <c r="S354" s="57">
        <f>IFERROR(VLOOKUP($A:$A,CS!$A:$AK,29,FALSE),"")</f>
      </c>
      <c r="T354" s="57">
        <f>IFERROR(VLOOKUP($A:$A,CS!$A:$AK,33,FALSE),"")</f>
      </c>
      <c r="U354" s="57">
        <f>IFERROR(VLOOKUP($A:$A,CS!$A:$AK,34,FALSE),"")</f>
      </c>
      <c r="V354" s="57">
        <f>IFERROR(VLOOKUP($A:$A,CS!$A:$AK,35,FALSE),"")</f>
      </c>
      <c r="W354" s="57">
        <f>IFERROR(VLOOKUP($A:$A,CS!$A:$AK,36,FALSE),"")</f>
      </c>
    </row>
    <row r="355" ht="16.5" customHeight="1" spans="1:23" x14ac:dyDescent="0.25">
      <c r="A355" s="71"/>
      <c r="B355" s="57">
        <f>IFERROR(VLOOKUP($A:$A,CS!$A:$AK,3,FALSE),"")</f>
      </c>
      <c r="C355" s="57">
        <f>IFERROR(VLOOKUP($A:$A,CS!$A:$AK,4,FALSE),"")</f>
      </c>
      <c r="D355" s="57">
        <f>IFERROR(VLOOKUP($A:$A,CS!$A:$AK,5,FALSE),"")</f>
      </c>
      <c r="E355" s="57">
        <f>IFERROR(VLOOKUP($A:$A,CS!$A:$AK,7,FALSE),"")</f>
      </c>
      <c r="F355" s="57">
        <f>IFERROR(VLOOKUP($A:$A,CS!$A:$AK,8,FALSE),"")</f>
      </c>
      <c r="G355" s="57">
        <f>IFERROR(VLOOKUP($A:$A,CS!$A:$AK,10,FALSE),"")</f>
      </c>
      <c r="H355" s="57">
        <f>IFERROR(VLOOKUP($A:$A,CS!$A:$AK,14,FALSE),"")</f>
      </c>
      <c r="I355" s="57">
        <f>IFERROR(VLOOKUP($A:$A,CS!$A:$AK,15,FALSE),"")</f>
      </c>
      <c r="J355" s="57">
        <f>IFERROR(VLOOKUP($A:$A,CS!$A:$AK,18,FALSE),"")</f>
      </c>
      <c r="K355" s="57">
        <f>IFERROR(VLOOKUP($A:$A,CS!$A:$AK,19,FALSE),"")</f>
      </c>
      <c r="L355" s="57">
        <f>IFERROR(VLOOKUP($A:$A,CS!$A:$AK,20,FALSE),"")</f>
      </c>
      <c r="M355" s="57">
        <f>IFERROR(VLOOKUP($A:$A,CS!$A:$AK,22,FALSE),"")</f>
      </c>
      <c r="N355" s="57">
        <f>IFERROR(VLOOKUP($A:$A,CS!$A:$AK,19,FALSE),"")</f>
      </c>
      <c r="O355" s="57">
        <f>IFERROR(VLOOKUP($A:$A,CS!$A:$AK,23,FALSE),"")</f>
      </c>
      <c r="P355" s="57">
        <f>IFERROR(VLOOKUP($A:$A,CS!$A:$AK,24,FALSE),"")</f>
      </c>
      <c r="Q355" s="57">
        <f>IFERROR(VLOOKUP($A:$A,CS!$A:$AK,25,FALSE),"")</f>
      </c>
      <c r="R355" s="57">
        <f>IFERROR(VLOOKUP($A:$A,CS!$A:$AK,26,FALSE),"")</f>
      </c>
      <c r="S355" s="57">
        <f>IFERROR(VLOOKUP($A:$A,CS!$A:$AK,29,FALSE),"")</f>
      </c>
      <c r="T355" s="57">
        <f>IFERROR(VLOOKUP($A:$A,CS!$A:$AK,33,FALSE),"")</f>
      </c>
      <c r="U355" s="57">
        <f>IFERROR(VLOOKUP($A:$A,CS!$A:$AK,34,FALSE),"")</f>
      </c>
      <c r="V355" s="57">
        <f>IFERROR(VLOOKUP($A:$A,CS!$A:$AK,35,FALSE),"")</f>
      </c>
      <c r="W355" s="57">
        <f>IFERROR(VLOOKUP($A:$A,CS!$A:$AK,36,FALSE),"")</f>
      </c>
    </row>
    <row r="356" ht="16.5" customHeight="1" spans="1:23" x14ac:dyDescent="0.25">
      <c r="A356" s="71"/>
      <c r="B356" s="57">
        <f>IFERROR(VLOOKUP($A:$A,CS!$A:$AK,3,FALSE),"")</f>
      </c>
      <c r="C356" s="57">
        <f>IFERROR(VLOOKUP($A:$A,CS!$A:$AK,4,FALSE),"")</f>
      </c>
      <c r="D356" s="57">
        <f>IFERROR(VLOOKUP($A:$A,CS!$A:$AK,5,FALSE),"")</f>
      </c>
      <c r="E356" s="57">
        <f>IFERROR(VLOOKUP($A:$A,CS!$A:$AK,7,FALSE),"")</f>
      </c>
      <c r="F356" s="57">
        <f>IFERROR(VLOOKUP($A:$A,CS!$A:$AK,8,FALSE),"")</f>
      </c>
      <c r="G356" s="57">
        <f>IFERROR(VLOOKUP($A:$A,CS!$A:$AK,10,FALSE),"")</f>
      </c>
      <c r="H356" s="57">
        <f>IFERROR(VLOOKUP($A:$A,CS!$A:$AK,14,FALSE),"")</f>
      </c>
      <c r="I356" s="57">
        <f>IFERROR(VLOOKUP($A:$A,CS!$A:$AK,15,FALSE),"")</f>
      </c>
      <c r="J356" s="57">
        <f>IFERROR(VLOOKUP($A:$A,CS!$A:$AK,18,FALSE),"")</f>
      </c>
      <c r="K356" s="57">
        <f>IFERROR(VLOOKUP($A:$A,CS!$A:$AK,19,FALSE),"")</f>
      </c>
      <c r="L356" s="57">
        <f>IFERROR(VLOOKUP($A:$A,CS!$A:$AK,20,FALSE),"")</f>
      </c>
      <c r="M356" s="57">
        <f>IFERROR(VLOOKUP($A:$A,CS!$A:$AK,22,FALSE),"")</f>
      </c>
      <c r="N356" s="57">
        <f>IFERROR(VLOOKUP($A:$A,CS!$A:$AK,19,FALSE),"")</f>
      </c>
      <c r="O356" s="57">
        <f>IFERROR(VLOOKUP($A:$A,CS!$A:$AK,23,FALSE),"")</f>
      </c>
      <c r="P356" s="57">
        <f>IFERROR(VLOOKUP($A:$A,CS!$A:$AK,24,FALSE),"")</f>
      </c>
      <c r="Q356" s="57">
        <f>IFERROR(VLOOKUP($A:$A,CS!$A:$AK,25,FALSE),"")</f>
      </c>
      <c r="R356" s="57">
        <f>IFERROR(VLOOKUP($A:$A,CS!$A:$AK,26,FALSE),"")</f>
      </c>
      <c r="S356" s="57">
        <f>IFERROR(VLOOKUP($A:$A,CS!$A:$AK,29,FALSE),"")</f>
      </c>
      <c r="T356" s="57">
        <f>IFERROR(VLOOKUP($A:$A,CS!$A:$AK,33,FALSE),"")</f>
      </c>
      <c r="U356" s="57">
        <f>IFERROR(VLOOKUP($A:$A,CS!$A:$AK,34,FALSE),"")</f>
      </c>
      <c r="V356" s="57">
        <f>IFERROR(VLOOKUP($A:$A,CS!$A:$AK,35,FALSE),"")</f>
      </c>
      <c r="W356" s="57">
        <f>IFERROR(VLOOKUP($A:$A,CS!$A:$AK,36,FALSE),"")</f>
      </c>
    </row>
    <row r="357" ht="16.5" customHeight="1" spans="1:23" x14ac:dyDescent="0.25">
      <c r="A357" s="71"/>
      <c r="B357" s="57">
        <f>IFERROR(VLOOKUP($A:$A,CS!$A:$AK,3,FALSE),"")</f>
      </c>
      <c r="C357" s="57">
        <f>IFERROR(VLOOKUP($A:$A,CS!$A:$AK,4,FALSE),"")</f>
      </c>
      <c r="D357" s="57">
        <f>IFERROR(VLOOKUP($A:$A,CS!$A:$AK,5,FALSE),"")</f>
      </c>
      <c r="E357" s="57">
        <f>IFERROR(VLOOKUP($A:$A,CS!$A:$AK,7,FALSE),"")</f>
      </c>
      <c r="F357" s="57">
        <f>IFERROR(VLOOKUP($A:$A,CS!$A:$AK,8,FALSE),"")</f>
      </c>
      <c r="G357" s="57">
        <f>IFERROR(VLOOKUP($A:$A,CS!$A:$AK,10,FALSE),"")</f>
      </c>
      <c r="H357" s="57">
        <f>IFERROR(VLOOKUP($A:$A,CS!$A:$AK,14,FALSE),"")</f>
      </c>
      <c r="I357" s="57">
        <f>IFERROR(VLOOKUP($A:$A,CS!$A:$AK,15,FALSE),"")</f>
      </c>
      <c r="J357" s="57">
        <f>IFERROR(VLOOKUP($A:$A,CS!$A:$AK,18,FALSE),"")</f>
      </c>
      <c r="K357" s="57">
        <f>IFERROR(VLOOKUP($A:$A,CS!$A:$AK,19,FALSE),"")</f>
      </c>
      <c r="L357" s="57">
        <f>IFERROR(VLOOKUP($A:$A,CS!$A:$AK,20,FALSE),"")</f>
      </c>
      <c r="M357" s="57">
        <f>IFERROR(VLOOKUP($A:$A,CS!$A:$AK,22,FALSE),"")</f>
      </c>
      <c r="N357" s="57">
        <f>IFERROR(VLOOKUP($A:$A,CS!$A:$AK,19,FALSE),"")</f>
      </c>
      <c r="O357" s="57">
        <f>IFERROR(VLOOKUP($A:$A,CS!$A:$AK,23,FALSE),"")</f>
      </c>
      <c r="P357" s="57">
        <f>IFERROR(VLOOKUP($A:$A,CS!$A:$AK,24,FALSE),"")</f>
      </c>
      <c r="Q357" s="57">
        <f>IFERROR(VLOOKUP($A:$A,CS!$A:$AK,25,FALSE),"")</f>
      </c>
      <c r="R357" s="57">
        <f>IFERROR(VLOOKUP($A:$A,CS!$A:$AK,26,FALSE),"")</f>
      </c>
      <c r="S357" s="57">
        <f>IFERROR(VLOOKUP($A:$A,CS!$A:$AK,29,FALSE),"")</f>
      </c>
      <c r="T357" s="57">
        <f>IFERROR(VLOOKUP($A:$A,CS!$A:$AK,33,FALSE),"")</f>
      </c>
      <c r="U357" s="57">
        <f>IFERROR(VLOOKUP($A:$A,CS!$A:$AK,34,FALSE),"")</f>
      </c>
      <c r="V357" s="57">
        <f>IFERROR(VLOOKUP($A:$A,CS!$A:$AK,35,FALSE),"")</f>
      </c>
      <c r="W357" s="57">
        <f>IFERROR(VLOOKUP($A:$A,CS!$A:$AK,36,FALSE),"")</f>
      </c>
    </row>
    <row r="358" ht="16.5" customHeight="1" spans="1:23" x14ac:dyDescent="0.25">
      <c r="A358" s="71"/>
      <c r="B358" s="57">
        <f>IFERROR(VLOOKUP($A:$A,CS!$A:$AK,3,FALSE),"")</f>
      </c>
      <c r="C358" s="57">
        <f>IFERROR(VLOOKUP($A:$A,CS!$A:$AK,4,FALSE),"")</f>
      </c>
      <c r="D358" s="57">
        <f>IFERROR(VLOOKUP($A:$A,CS!$A:$AK,5,FALSE),"")</f>
      </c>
      <c r="E358" s="57">
        <f>IFERROR(VLOOKUP($A:$A,CS!$A:$AK,7,FALSE),"")</f>
      </c>
      <c r="F358" s="57">
        <f>IFERROR(VLOOKUP($A:$A,CS!$A:$AK,8,FALSE),"")</f>
      </c>
      <c r="G358" s="57">
        <f>IFERROR(VLOOKUP($A:$A,CS!$A:$AK,10,FALSE),"")</f>
      </c>
      <c r="H358" s="57">
        <f>IFERROR(VLOOKUP($A:$A,CS!$A:$AK,14,FALSE),"")</f>
      </c>
      <c r="I358" s="57">
        <f>IFERROR(VLOOKUP($A:$A,CS!$A:$AK,15,FALSE),"")</f>
      </c>
      <c r="J358" s="57">
        <f>IFERROR(VLOOKUP($A:$A,CS!$A:$AK,18,FALSE),"")</f>
      </c>
      <c r="K358" s="57">
        <f>IFERROR(VLOOKUP($A:$A,CS!$A:$AK,19,FALSE),"")</f>
      </c>
      <c r="L358" s="57">
        <f>IFERROR(VLOOKUP($A:$A,CS!$A:$AK,20,FALSE),"")</f>
      </c>
      <c r="M358" s="57">
        <f>IFERROR(VLOOKUP($A:$A,CS!$A:$AK,22,FALSE),"")</f>
      </c>
      <c r="N358" s="57">
        <f>IFERROR(VLOOKUP($A:$A,CS!$A:$AK,19,FALSE),"")</f>
      </c>
      <c r="O358" s="57">
        <f>IFERROR(VLOOKUP($A:$A,CS!$A:$AK,23,FALSE),"")</f>
      </c>
      <c r="P358" s="57">
        <f>IFERROR(VLOOKUP($A:$A,CS!$A:$AK,24,FALSE),"")</f>
      </c>
      <c r="Q358" s="57">
        <f>IFERROR(VLOOKUP($A:$A,CS!$A:$AK,25,FALSE),"")</f>
      </c>
      <c r="R358" s="57">
        <f>IFERROR(VLOOKUP($A:$A,CS!$A:$AK,26,FALSE),"")</f>
      </c>
      <c r="S358" s="57">
        <f>IFERROR(VLOOKUP($A:$A,CS!$A:$AK,29,FALSE),"")</f>
      </c>
      <c r="T358" s="57">
        <f>IFERROR(VLOOKUP($A:$A,CS!$A:$AK,33,FALSE),"")</f>
      </c>
      <c r="U358" s="57">
        <f>IFERROR(VLOOKUP($A:$A,CS!$A:$AK,34,FALSE),"")</f>
      </c>
      <c r="V358" s="57">
        <f>IFERROR(VLOOKUP($A:$A,CS!$A:$AK,35,FALSE),"")</f>
      </c>
      <c r="W358" s="57">
        <f>IFERROR(VLOOKUP($A:$A,CS!$A:$AK,36,FALSE),"")</f>
      </c>
    </row>
    <row r="359" ht="16.5" customHeight="1" spans="1:23" x14ac:dyDescent="0.25">
      <c r="A359" s="71"/>
      <c r="B359" s="57">
        <f>IFERROR(VLOOKUP($A:$A,CS!$A:$AK,3,FALSE),"")</f>
      </c>
      <c r="C359" s="57">
        <f>IFERROR(VLOOKUP($A:$A,CS!$A:$AK,4,FALSE),"")</f>
      </c>
      <c r="D359" s="57">
        <f>IFERROR(VLOOKUP($A:$A,CS!$A:$AK,5,FALSE),"")</f>
      </c>
      <c r="E359" s="57">
        <f>IFERROR(VLOOKUP($A:$A,CS!$A:$AK,7,FALSE),"")</f>
      </c>
      <c r="F359" s="57">
        <f>IFERROR(VLOOKUP($A:$A,CS!$A:$AK,8,FALSE),"")</f>
      </c>
      <c r="G359" s="57">
        <f>IFERROR(VLOOKUP($A:$A,CS!$A:$AK,10,FALSE),"")</f>
      </c>
      <c r="H359" s="57">
        <f>IFERROR(VLOOKUP($A:$A,CS!$A:$AK,14,FALSE),"")</f>
      </c>
      <c r="I359" s="57">
        <f>IFERROR(VLOOKUP($A:$A,CS!$A:$AK,15,FALSE),"")</f>
      </c>
      <c r="J359" s="57">
        <f>IFERROR(VLOOKUP($A:$A,CS!$A:$AK,18,FALSE),"")</f>
      </c>
      <c r="K359" s="57">
        <f>IFERROR(VLOOKUP($A:$A,CS!$A:$AK,19,FALSE),"")</f>
      </c>
      <c r="L359" s="57">
        <f>IFERROR(VLOOKUP($A:$A,CS!$A:$AK,20,FALSE),"")</f>
      </c>
      <c r="M359" s="57">
        <f>IFERROR(VLOOKUP($A:$A,CS!$A:$AK,22,FALSE),"")</f>
      </c>
      <c r="N359" s="57">
        <f>IFERROR(VLOOKUP($A:$A,CS!$A:$AK,19,FALSE),"")</f>
      </c>
      <c r="O359" s="57">
        <f>IFERROR(VLOOKUP($A:$A,CS!$A:$AK,23,FALSE),"")</f>
      </c>
      <c r="P359" s="57">
        <f>IFERROR(VLOOKUP($A:$A,CS!$A:$AK,24,FALSE),"")</f>
      </c>
      <c r="Q359" s="57">
        <f>IFERROR(VLOOKUP($A:$A,CS!$A:$AK,25,FALSE),"")</f>
      </c>
      <c r="R359" s="57">
        <f>IFERROR(VLOOKUP($A:$A,CS!$A:$AK,26,FALSE),"")</f>
      </c>
      <c r="S359" s="57">
        <f>IFERROR(VLOOKUP($A:$A,CS!$A:$AK,29,FALSE),"")</f>
      </c>
      <c r="T359" s="57">
        <f>IFERROR(VLOOKUP($A:$A,CS!$A:$AK,33,FALSE),"")</f>
      </c>
      <c r="U359" s="57">
        <f>IFERROR(VLOOKUP($A:$A,CS!$A:$AK,34,FALSE),"")</f>
      </c>
      <c r="V359" s="57">
        <f>IFERROR(VLOOKUP($A:$A,CS!$A:$AK,35,FALSE),"")</f>
      </c>
      <c r="W359" s="57">
        <f>IFERROR(VLOOKUP($A:$A,CS!$A:$AK,36,FALSE),"")</f>
      </c>
    </row>
    <row r="360" ht="16.5" customHeight="1" spans="1:23" x14ac:dyDescent="0.25">
      <c r="A360" s="71"/>
      <c r="B360" s="57">
        <f>IFERROR(VLOOKUP($A:$A,CS!$A:$AK,3,FALSE),"")</f>
      </c>
      <c r="C360" s="57">
        <f>IFERROR(VLOOKUP($A:$A,CS!$A:$AK,4,FALSE),"")</f>
      </c>
      <c r="D360" s="57">
        <f>IFERROR(VLOOKUP($A:$A,CS!$A:$AK,5,FALSE),"")</f>
      </c>
      <c r="E360" s="57">
        <f>IFERROR(VLOOKUP($A:$A,CS!$A:$AK,7,FALSE),"")</f>
      </c>
      <c r="F360" s="57">
        <f>IFERROR(VLOOKUP($A:$A,CS!$A:$AK,8,FALSE),"")</f>
      </c>
      <c r="G360" s="57">
        <f>IFERROR(VLOOKUP($A:$A,CS!$A:$AK,10,FALSE),"")</f>
      </c>
      <c r="H360" s="57">
        <f>IFERROR(VLOOKUP($A:$A,CS!$A:$AK,14,FALSE),"")</f>
      </c>
      <c r="I360" s="57">
        <f>IFERROR(VLOOKUP($A:$A,CS!$A:$AK,15,FALSE),"")</f>
      </c>
      <c r="J360" s="57">
        <f>IFERROR(VLOOKUP($A:$A,CS!$A:$AK,18,FALSE),"")</f>
      </c>
      <c r="K360" s="57">
        <f>IFERROR(VLOOKUP($A:$A,CS!$A:$AK,19,FALSE),"")</f>
      </c>
      <c r="L360" s="57">
        <f>IFERROR(VLOOKUP($A:$A,CS!$A:$AK,20,FALSE),"")</f>
      </c>
      <c r="M360" s="57">
        <f>IFERROR(VLOOKUP($A:$A,CS!$A:$AK,22,FALSE),"")</f>
      </c>
      <c r="N360" s="57">
        <f>IFERROR(VLOOKUP($A:$A,CS!$A:$AK,19,FALSE),"")</f>
      </c>
      <c r="O360" s="57">
        <f>IFERROR(VLOOKUP($A:$A,CS!$A:$AK,23,FALSE),"")</f>
      </c>
      <c r="P360" s="57">
        <f>IFERROR(VLOOKUP($A:$A,CS!$A:$AK,24,FALSE),"")</f>
      </c>
      <c r="Q360" s="57">
        <f>IFERROR(VLOOKUP($A:$A,CS!$A:$AK,25,FALSE),"")</f>
      </c>
      <c r="R360" s="57">
        <f>IFERROR(VLOOKUP($A:$A,CS!$A:$AK,26,FALSE),"")</f>
      </c>
      <c r="S360" s="57">
        <f>IFERROR(VLOOKUP($A:$A,CS!$A:$AK,29,FALSE),"")</f>
      </c>
      <c r="T360" s="57">
        <f>IFERROR(VLOOKUP($A:$A,CS!$A:$AK,33,FALSE),"")</f>
      </c>
      <c r="U360" s="57">
        <f>IFERROR(VLOOKUP($A:$A,CS!$A:$AK,34,FALSE),"")</f>
      </c>
      <c r="V360" s="57">
        <f>IFERROR(VLOOKUP($A:$A,CS!$A:$AK,35,FALSE),"")</f>
      </c>
      <c r="W360" s="57">
        <f>IFERROR(VLOOKUP($A:$A,CS!$A:$AK,36,FALSE),"")</f>
      </c>
    </row>
    <row r="361" ht="16.5" customHeight="1" spans="1:23" x14ac:dyDescent="0.25">
      <c r="A361" s="71"/>
      <c r="B361" s="57">
        <f>IFERROR(VLOOKUP($A:$A,CS!$A:$AK,3,FALSE),"")</f>
      </c>
      <c r="C361" s="57">
        <f>IFERROR(VLOOKUP($A:$A,CS!$A:$AK,4,FALSE),"")</f>
      </c>
      <c r="D361" s="57">
        <f>IFERROR(VLOOKUP($A:$A,CS!$A:$AK,5,FALSE),"")</f>
      </c>
      <c r="E361" s="57">
        <f>IFERROR(VLOOKUP($A:$A,CS!$A:$AK,7,FALSE),"")</f>
      </c>
      <c r="F361" s="57">
        <f>IFERROR(VLOOKUP($A:$A,CS!$A:$AK,8,FALSE),"")</f>
      </c>
      <c r="G361" s="57">
        <f>IFERROR(VLOOKUP($A:$A,CS!$A:$AK,10,FALSE),"")</f>
      </c>
      <c r="H361" s="57">
        <f>IFERROR(VLOOKUP($A:$A,CS!$A:$AK,14,FALSE),"")</f>
      </c>
      <c r="I361" s="57">
        <f>IFERROR(VLOOKUP($A:$A,CS!$A:$AK,15,FALSE),"")</f>
      </c>
      <c r="J361" s="57">
        <f>IFERROR(VLOOKUP($A:$A,CS!$A:$AK,18,FALSE),"")</f>
      </c>
      <c r="K361" s="57">
        <f>IFERROR(VLOOKUP($A:$A,CS!$A:$AK,19,FALSE),"")</f>
      </c>
      <c r="L361" s="57">
        <f>IFERROR(VLOOKUP($A:$A,CS!$A:$AK,20,FALSE),"")</f>
      </c>
      <c r="M361" s="57">
        <f>IFERROR(VLOOKUP($A:$A,CS!$A:$AK,22,FALSE),"")</f>
      </c>
      <c r="N361" s="57">
        <f>IFERROR(VLOOKUP($A:$A,CS!$A:$AK,19,FALSE),"")</f>
      </c>
      <c r="O361" s="57">
        <f>IFERROR(VLOOKUP($A:$A,CS!$A:$AK,23,FALSE),"")</f>
      </c>
      <c r="P361" s="57">
        <f>IFERROR(VLOOKUP($A:$A,CS!$A:$AK,24,FALSE),"")</f>
      </c>
      <c r="Q361" s="57">
        <f>IFERROR(VLOOKUP($A:$A,CS!$A:$AK,25,FALSE),"")</f>
      </c>
      <c r="R361" s="57">
        <f>IFERROR(VLOOKUP($A:$A,CS!$A:$AK,26,FALSE),"")</f>
      </c>
      <c r="S361" s="57">
        <f>IFERROR(VLOOKUP($A:$A,CS!$A:$AK,29,FALSE),"")</f>
      </c>
      <c r="T361" s="57">
        <f>IFERROR(VLOOKUP($A:$A,CS!$A:$AK,33,FALSE),"")</f>
      </c>
      <c r="U361" s="57">
        <f>IFERROR(VLOOKUP($A:$A,CS!$A:$AK,34,FALSE),"")</f>
      </c>
      <c r="V361" s="57">
        <f>IFERROR(VLOOKUP($A:$A,CS!$A:$AK,35,FALSE),"")</f>
      </c>
      <c r="W361" s="57">
        <f>IFERROR(VLOOKUP($A:$A,CS!$A:$AK,36,FALSE),"")</f>
      </c>
    </row>
    <row r="362" ht="16.5" customHeight="1" spans="1:23" x14ac:dyDescent="0.25">
      <c r="A362" s="71"/>
      <c r="B362" s="57">
        <f>IFERROR(VLOOKUP($A:$A,CS!$A:$AK,3,FALSE),"")</f>
      </c>
      <c r="C362" s="57">
        <f>IFERROR(VLOOKUP($A:$A,CS!$A:$AK,4,FALSE),"")</f>
      </c>
      <c r="D362" s="57">
        <f>IFERROR(VLOOKUP($A:$A,CS!$A:$AK,5,FALSE),"")</f>
      </c>
      <c r="E362" s="57">
        <f>IFERROR(VLOOKUP($A:$A,CS!$A:$AK,7,FALSE),"")</f>
      </c>
      <c r="F362" s="57">
        <f>IFERROR(VLOOKUP($A:$A,CS!$A:$AK,8,FALSE),"")</f>
      </c>
      <c r="G362" s="57">
        <f>IFERROR(VLOOKUP($A:$A,CS!$A:$AK,10,FALSE),"")</f>
      </c>
      <c r="H362" s="57">
        <f>IFERROR(VLOOKUP($A:$A,CS!$A:$AK,14,FALSE),"")</f>
      </c>
      <c r="I362" s="57">
        <f>IFERROR(VLOOKUP($A:$A,CS!$A:$AK,15,FALSE),"")</f>
      </c>
      <c r="J362" s="57">
        <f>IFERROR(VLOOKUP($A:$A,CS!$A:$AK,18,FALSE),"")</f>
      </c>
      <c r="K362" s="57">
        <f>IFERROR(VLOOKUP($A:$A,CS!$A:$AK,19,FALSE),"")</f>
      </c>
      <c r="L362" s="57">
        <f>IFERROR(VLOOKUP($A:$A,CS!$A:$AK,20,FALSE),"")</f>
      </c>
      <c r="M362" s="57">
        <f>IFERROR(VLOOKUP($A:$A,CS!$A:$AK,22,FALSE),"")</f>
      </c>
      <c r="N362" s="57">
        <f>IFERROR(VLOOKUP($A:$A,CS!$A:$AK,19,FALSE),"")</f>
      </c>
      <c r="O362" s="57">
        <f>IFERROR(VLOOKUP($A:$A,CS!$A:$AK,23,FALSE),"")</f>
      </c>
      <c r="P362" s="57">
        <f>IFERROR(VLOOKUP($A:$A,CS!$A:$AK,24,FALSE),"")</f>
      </c>
      <c r="Q362" s="57">
        <f>IFERROR(VLOOKUP($A:$A,CS!$A:$AK,25,FALSE),"")</f>
      </c>
      <c r="R362" s="57">
        <f>IFERROR(VLOOKUP($A:$A,CS!$A:$AK,26,FALSE),"")</f>
      </c>
      <c r="S362" s="57">
        <f>IFERROR(VLOOKUP($A:$A,CS!$A:$AK,29,FALSE),"")</f>
      </c>
      <c r="T362" s="57">
        <f>IFERROR(VLOOKUP($A:$A,CS!$A:$AK,33,FALSE),"")</f>
      </c>
      <c r="U362" s="57">
        <f>IFERROR(VLOOKUP($A:$A,CS!$A:$AK,34,FALSE),"")</f>
      </c>
      <c r="V362" s="57">
        <f>IFERROR(VLOOKUP($A:$A,CS!$A:$AK,35,FALSE),"")</f>
      </c>
      <c r="W362" s="57">
        <f>IFERROR(VLOOKUP($A:$A,CS!$A:$AK,36,FALSE),"")</f>
      </c>
    </row>
    <row r="363" ht="16.5" customHeight="1" spans="1:23" x14ac:dyDescent="0.25">
      <c r="A363" s="71"/>
      <c r="B363" s="57">
        <f>IFERROR(VLOOKUP($A:$A,CS!$A:$AK,3,FALSE),"")</f>
      </c>
      <c r="C363" s="57">
        <f>IFERROR(VLOOKUP($A:$A,CS!$A:$AK,4,FALSE),"")</f>
      </c>
      <c r="D363" s="57">
        <f>IFERROR(VLOOKUP($A:$A,CS!$A:$AK,5,FALSE),"")</f>
      </c>
      <c r="E363" s="57">
        <f>IFERROR(VLOOKUP($A:$A,CS!$A:$AK,7,FALSE),"")</f>
      </c>
      <c r="F363" s="57">
        <f>IFERROR(VLOOKUP($A:$A,CS!$A:$AK,8,FALSE),"")</f>
      </c>
      <c r="G363" s="57">
        <f>IFERROR(VLOOKUP($A:$A,CS!$A:$AK,10,FALSE),"")</f>
      </c>
      <c r="H363" s="57">
        <f>IFERROR(VLOOKUP($A:$A,CS!$A:$AK,14,FALSE),"")</f>
      </c>
      <c r="I363" s="57">
        <f>IFERROR(VLOOKUP($A:$A,CS!$A:$AK,15,FALSE),"")</f>
      </c>
      <c r="J363" s="57">
        <f>IFERROR(VLOOKUP($A:$A,CS!$A:$AK,18,FALSE),"")</f>
      </c>
      <c r="K363" s="57">
        <f>IFERROR(VLOOKUP($A:$A,CS!$A:$AK,19,FALSE),"")</f>
      </c>
      <c r="L363" s="57">
        <f>IFERROR(VLOOKUP($A:$A,CS!$A:$AK,20,FALSE),"")</f>
      </c>
      <c r="M363" s="57">
        <f>IFERROR(VLOOKUP($A:$A,CS!$A:$AK,22,FALSE),"")</f>
      </c>
      <c r="N363" s="57">
        <f>IFERROR(VLOOKUP($A:$A,CS!$A:$AK,19,FALSE),"")</f>
      </c>
      <c r="O363" s="57">
        <f>IFERROR(VLOOKUP($A:$A,CS!$A:$AK,23,FALSE),"")</f>
      </c>
      <c r="P363" s="57">
        <f>IFERROR(VLOOKUP($A:$A,CS!$A:$AK,24,FALSE),"")</f>
      </c>
      <c r="Q363" s="57">
        <f>IFERROR(VLOOKUP($A:$A,CS!$A:$AK,25,FALSE),"")</f>
      </c>
      <c r="R363" s="57">
        <f>IFERROR(VLOOKUP($A:$A,CS!$A:$AK,26,FALSE),"")</f>
      </c>
      <c r="S363" s="57">
        <f>IFERROR(VLOOKUP($A:$A,CS!$A:$AK,29,FALSE),"")</f>
      </c>
      <c r="T363" s="57">
        <f>IFERROR(VLOOKUP($A:$A,CS!$A:$AK,33,FALSE),"")</f>
      </c>
      <c r="U363" s="57">
        <f>IFERROR(VLOOKUP($A:$A,CS!$A:$AK,34,FALSE),"")</f>
      </c>
      <c r="V363" s="57">
        <f>IFERROR(VLOOKUP($A:$A,CS!$A:$AK,35,FALSE),"")</f>
      </c>
      <c r="W363" s="57">
        <f>IFERROR(VLOOKUP($A:$A,CS!$A:$AK,36,FALSE),"")</f>
      </c>
    </row>
    <row r="364" ht="16.5" customHeight="1" spans="1:23" x14ac:dyDescent="0.25">
      <c r="A364" s="71"/>
      <c r="B364" s="57">
        <f>IFERROR(VLOOKUP($A:$A,CS!$A:$AK,3,FALSE),"")</f>
      </c>
      <c r="C364" s="57">
        <f>IFERROR(VLOOKUP($A:$A,CS!$A:$AK,4,FALSE),"")</f>
      </c>
      <c r="D364" s="57">
        <f>IFERROR(VLOOKUP($A:$A,CS!$A:$AK,5,FALSE),"")</f>
      </c>
      <c r="E364" s="57">
        <f>IFERROR(VLOOKUP($A:$A,CS!$A:$AK,7,FALSE),"")</f>
      </c>
      <c r="F364" s="57">
        <f>IFERROR(VLOOKUP($A:$A,CS!$A:$AK,8,FALSE),"")</f>
      </c>
      <c r="G364" s="57">
        <f>IFERROR(VLOOKUP($A:$A,CS!$A:$AK,10,FALSE),"")</f>
      </c>
      <c r="H364" s="57">
        <f>IFERROR(VLOOKUP($A:$A,CS!$A:$AK,14,FALSE),"")</f>
      </c>
      <c r="I364" s="57">
        <f>IFERROR(VLOOKUP($A:$A,CS!$A:$AK,15,FALSE),"")</f>
      </c>
      <c r="J364" s="57">
        <f>IFERROR(VLOOKUP($A:$A,CS!$A:$AK,18,FALSE),"")</f>
      </c>
      <c r="K364" s="57">
        <f>IFERROR(VLOOKUP($A:$A,CS!$A:$AK,19,FALSE),"")</f>
      </c>
      <c r="L364" s="57">
        <f>IFERROR(VLOOKUP($A:$A,CS!$A:$AK,20,FALSE),"")</f>
      </c>
      <c r="M364" s="57">
        <f>IFERROR(VLOOKUP($A:$A,CS!$A:$AK,22,FALSE),"")</f>
      </c>
      <c r="N364" s="57">
        <f>IFERROR(VLOOKUP($A:$A,CS!$A:$AK,19,FALSE),"")</f>
      </c>
      <c r="O364" s="57">
        <f>IFERROR(VLOOKUP($A:$A,CS!$A:$AK,23,FALSE),"")</f>
      </c>
      <c r="P364" s="57">
        <f>IFERROR(VLOOKUP($A:$A,CS!$A:$AK,24,FALSE),"")</f>
      </c>
      <c r="Q364" s="57">
        <f>IFERROR(VLOOKUP($A:$A,CS!$A:$AK,25,FALSE),"")</f>
      </c>
      <c r="R364" s="57">
        <f>IFERROR(VLOOKUP($A:$A,CS!$A:$AK,26,FALSE),"")</f>
      </c>
      <c r="S364" s="57">
        <f>IFERROR(VLOOKUP($A:$A,CS!$A:$AK,29,FALSE),"")</f>
      </c>
      <c r="T364" s="57">
        <f>IFERROR(VLOOKUP($A:$A,CS!$A:$AK,33,FALSE),"")</f>
      </c>
      <c r="U364" s="57">
        <f>IFERROR(VLOOKUP($A:$A,CS!$A:$AK,34,FALSE),"")</f>
      </c>
      <c r="V364" s="57">
        <f>IFERROR(VLOOKUP($A:$A,CS!$A:$AK,35,FALSE),"")</f>
      </c>
      <c r="W364" s="57">
        <f>IFERROR(VLOOKUP($A:$A,CS!$A:$AK,36,FALSE),"")</f>
      </c>
    </row>
    <row r="365" ht="16.5" customHeight="1" spans="1:23" x14ac:dyDescent="0.25">
      <c r="A365" s="71"/>
      <c r="B365" s="57">
        <f>IFERROR(VLOOKUP($A:$A,CS!$A:$AK,3,FALSE),"")</f>
      </c>
      <c r="C365" s="57">
        <f>IFERROR(VLOOKUP($A:$A,CS!$A:$AK,4,FALSE),"")</f>
      </c>
      <c r="D365" s="57">
        <f>IFERROR(VLOOKUP($A:$A,CS!$A:$AK,5,FALSE),"")</f>
      </c>
      <c r="E365" s="57">
        <f>IFERROR(VLOOKUP($A:$A,CS!$A:$AK,7,FALSE),"")</f>
      </c>
      <c r="F365" s="57">
        <f>IFERROR(VLOOKUP($A:$A,CS!$A:$AK,8,FALSE),"")</f>
      </c>
      <c r="G365" s="57">
        <f>IFERROR(VLOOKUP($A:$A,CS!$A:$AK,10,FALSE),"")</f>
      </c>
      <c r="H365" s="57">
        <f>IFERROR(VLOOKUP($A:$A,CS!$A:$AK,14,FALSE),"")</f>
      </c>
      <c r="I365" s="57">
        <f>IFERROR(VLOOKUP($A:$A,CS!$A:$AK,15,FALSE),"")</f>
      </c>
      <c r="J365" s="57">
        <f>IFERROR(VLOOKUP($A:$A,CS!$A:$AK,18,FALSE),"")</f>
      </c>
      <c r="K365" s="57">
        <f>IFERROR(VLOOKUP($A:$A,CS!$A:$AK,19,FALSE),"")</f>
      </c>
      <c r="L365" s="57">
        <f>IFERROR(VLOOKUP($A:$A,CS!$A:$AK,20,FALSE),"")</f>
      </c>
      <c r="M365" s="57">
        <f>IFERROR(VLOOKUP($A:$A,CS!$A:$AK,22,FALSE),"")</f>
      </c>
      <c r="N365" s="57">
        <f>IFERROR(VLOOKUP($A:$A,CS!$A:$AK,19,FALSE),"")</f>
      </c>
      <c r="O365" s="57">
        <f>IFERROR(VLOOKUP($A:$A,CS!$A:$AK,23,FALSE),"")</f>
      </c>
      <c r="P365" s="57">
        <f>IFERROR(VLOOKUP($A:$A,CS!$A:$AK,24,FALSE),"")</f>
      </c>
      <c r="Q365" s="57">
        <f>IFERROR(VLOOKUP($A:$A,CS!$A:$AK,25,FALSE),"")</f>
      </c>
      <c r="R365" s="57">
        <f>IFERROR(VLOOKUP($A:$A,CS!$A:$AK,26,FALSE),"")</f>
      </c>
      <c r="S365" s="57">
        <f>IFERROR(VLOOKUP($A:$A,CS!$A:$AK,29,FALSE),"")</f>
      </c>
      <c r="T365" s="57">
        <f>IFERROR(VLOOKUP($A:$A,CS!$A:$AK,33,FALSE),"")</f>
      </c>
      <c r="U365" s="57">
        <f>IFERROR(VLOOKUP($A:$A,CS!$A:$AK,34,FALSE),"")</f>
      </c>
      <c r="V365" s="57">
        <f>IFERROR(VLOOKUP($A:$A,CS!$A:$AK,35,FALSE),"")</f>
      </c>
      <c r="W365" s="57">
        <f>IFERROR(VLOOKUP($A:$A,CS!$A:$AK,36,FALSE),"")</f>
      </c>
    </row>
    <row r="366" ht="16.5" customHeight="1" spans="1:23" x14ac:dyDescent="0.25">
      <c r="A366" s="71"/>
      <c r="B366" s="57">
        <f>IFERROR(VLOOKUP($A:$A,CS!$A:$AK,3,FALSE),"")</f>
      </c>
      <c r="C366" s="57">
        <f>IFERROR(VLOOKUP($A:$A,CS!$A:$AK,4,FALSE),"")</f>
      </c>
      <c r="D366" s="57">
        <f>IFERROR(VLOOKUP($A:$A,CS!$A:$AK,5,FALSE),"")</f>
      </c>
      <c r="E366" s="57">
        <f>IFERROR(VLOOKUP($A:$A,CS!$A:$AK,7,FALSE),"")</f>
      </c>
      <c r="F366" s="57">
        <f>IFERROR(VLOOKUP($A:$A,CS!$A:$AK,8,FALSE),"")</f>
      </c>
      <c r="G366" s="57">
        <f>IFERROR(VLOOKUP($A:$A,CS!$A:$AK,10,FALSE),"")</f>
      </c>
      <c r="H366" s="57">
        <f>IFERROR(VLOOKUP($A:$A,CS!$A:$AK,14,FALSE),"")</f>
      </c>
      <c r="I366" s="57">
        <f>IFERROR(VLOOKUP($A:$A,CS!$A:$AK,15,FALSE),"")</f>
      </c>
      <c r="J366" s="57">
        <f>IFERROR(VLOOKUP($A:$A,CS!$A:$AK,18,FALSE),"")</f>
      </c>
      <c r="K366" s="57">
        <f>IFERROR(VLOOKUP($A:$A,CS!$A:$AK,19,FALSE),"")</f>
      </c>
      <c r="L366" s="57">
        <f>IFERROR(VLOOKUP($A:$A,CS!$A:$AK,20,FALSE),"")</f>
      </c>
      <c r="M366" s="57">
        <f>IFERROR(VLOOKUP($A:$A,CS!$A:$AK,22,FALSE),"")</f>
      </c>
      <c r="N366" s="57">
        <f>IFERROR(VLOOKUP($A:$A,CS!$A:$AK,19,FALSE),"")</f>
      </c>
      <c r="O366" s="57">
        <f>IFERROR(VLOOKUP($A:$A,CS!$A:$AK,23,FALSE),"")</f>
      </c>
      <c r="P366" s="57">
        <f>IFERROR(VLOOKUP($A:$A,CS!$A:$AK,24,FALSE),"")</f>
      </c>
      <c r="Q366" s="57">
        <f>IFERROR(VLOOKUP($A:$A,CS!$A:$AK,25,FALSE),"")</f>
      </c>
      <c r="R366" s="57">
        <f>IFERROR(VLOOKUP($A:$A,CS!$A:$AK,26,FALSE),"")</f>
      </c>
      <c r="S366" s="57">
        <f>IFERROR(VLOOKUP($A:$A,CS!$A:$AK,29,FALSE),"")</f>
      </c>
      <c r="T366" s="57">
        <f>IFERROR(VLOOKUP($A:$A,CS!$A:$AK,33,FALSE),"")</f>
      </c>
      <c r="U366" s="57">
        <f>IFERROR(VLOOKUP($A:$A,CS!$A:$AK,34,FALSE),"")</f>
      </c>
      <c r="V366" s="57">
        <f>IFERROR(VLOOKUP($A:$A,CS!$A:$AK,35,FALSE),"")</f>
      </c>
      <c r="W366" s="57">
        <f>IFERROR(VLOOKUP($A:$A,CS!$A:$AK,36,FALSE),"")</f>
      </c>
    </row>
    <row r="367" ht="16.5" customHeight="1" spans="1:23" x14ac:dyDescent="0.25">
      <c r="A367" s="71"/>
      <c r="B367" s="57">
        <f>IFERROR(VLOOKUP($A:$A,CS!$A:$AK,3,FALSE),"")</f>
      </c>
      <c r="C367" s="57">
        <f>IFERROR(VLOOKUP($A:$A,CS!$A:$AK,4,FALSE),"")</f>
      </c>
      <c r="D367" s="57">
        <f>IFERROR(VLOOKUP($A:$A,CS!$A:$AK,5,FALSE),"")</f>
      </c>
      <c r="E367" s="57">
        <f>IFERROR(VLOOKUP($A:$A,CS!$A:$AK,7,FALSE),"")</f>
      </c>
      <c r="F367" s="57">
        <f>IFERROR(VLOOKUP($A:$A,CS!$A:$AK,8,FALSE),"")</f>
      </c>
      <c r="G367" s="57">
        <f>IFERROR(VLOOKUP($A:$A,CS!$A:$AK,10,FALSE),"")</f>
      </c>
      <c r="H367" s="57">
        <f>IFERROR(VLOOKUP($A:$A,CS!$A:$AK,14,FALSE),"")</f>
      </c>
      <c r="I367" s="57">
        <f>IFERROR(VLOOKUP($A:$A,CS!$A:$AK,15,FALSE),"")</f>
      </c>
      <c r="J367" s="57">
        <f>IFERROR(VLOOKUP($A:$A,CS!$A:$AK,18,FALSE),"")</f>
      </c>
      <c r="K367" s="57">
        <f>IFERROR(VLOOKUP($A:$A,CS!$A:$AK,19,FALSE),"")</f>
      </c>
      <c r="L367" s="57">
        <f>IFERROR(VLOOKUP($A:$A,CS!$A:$AK,20,FALSE),"")</f>
      </c>
      <c r="M367" s="57">
        <f>IFERROR(VLOOKUP($A:$A,CS!$A:$AK,22,FALSE),"")</f>
      </c>
      <c r="N367" s="57">
        <f>IFERROR(VLOOKUP($A:$A,CS!$A:$AK,19,FALSE),"")</f>
      </c>
      <c r="O367" s="57">
        <f>IFERROR(VLOOKUP($A:$A,CS!$A:$AK,23,FALSE),"")</f>
      </c>
      <c r="P367" s="57">
        <f>IFERROR(VLOOKUP($A:$A,CS!$A:$AK,24,FALSE),"")</f>
      </c>
      <c r="Q367" s="57">
        <f>IFERROR(VLOOKUP($A:$A,CS!$A:$AK,25,FALSE),"")</f>
      </c>
      <c r="R367" s="57">
        <f>IFERROR(VLOOKUP($A:$A,CS!$A:$AK,26,FALSE),"")</f>
      </c>
      <c r="S367" s="57">
        <f>IFERROR(VLOOKUP($A:$A,CS!$A:$AK,29,FALSE),"")</f>
      </c>
      <c r="T367" s="57">
        <f>IFERROR(VLOOKUP($A:$A,CS!$A:$AK,33,FALSE),"")</f>
      </c>
      <c r="U367" s="57">
        <f>IFERROR(VLOOKUP($A:$A,CS!$A:$AK,34,FALSE),"")</f>
      </c>
      <c r="V367" s="57">
        <f>IFERROR(VLOOKUP($A:$A,CS!$A:$AK,35,FALSE),"")</f>
      </c>
      <c r="W367" s="57">
        <f>IFERROR(VLOOKUP($A:$A,CS!$A:$AK,36,FALSE),"")</f>
      </c>
    </row>
    <row r="368" ht="16.5" customHeight="1" spans="1:23" x14ac:dyDescent="0.25">
      <c r="A368" s="71"/>
      <c r="B368" s="57">
        <f>IFERROR(VLOOKUP($A:$A,CS!$A:$AK,3,FALSE),"")</f>
      </c>
      <c r="C368" s="57">
        <f>IFERROR(VLOOKUP($A:$A,CS!$A:$AK,4,FALSE),"")</f>
      </c>
      <c r="D368" s="57">
        <f>IFERROR(VLOOKUP($A:$A,CS!$A:$AK,5,FALSE),"")</f>
      </c>
      <c r="E368" s="57">
        <f>IFERROR(VLOOKUP($A:$A,CS!$A:$AK,7,FALSE),"")</f>
      </c>
      <c r="F368" s="57">
        <f>IFERROR(VLOOKUP($A:$A,CS!$A:$AK,8,FALSE),"")</f>
      </c>
      <c r="G368" s="57">
        <f>IFERROR(VLOOKUP($A:$A,CS!$A:$AK,10,FALSE),"")</f>
      </c>
      <c r="H368" s="57">
        <f>IFERROR(VLOOKUP($A:$A,CS!$A:$AK,14,FALSE),"")</f>
      </c>
      <c r="I368" s="57">
        <f>IFERROR(VLOOKUP($A:$A,CS!$A:$AK,15,FALSE),"")</f>
      </c>
      <c r="J368" s="57">
        <f>IFERROR(VLOOKUP($A:$A,CS!$A:$AK,18,FALSE),"")</f>
      </c>
      <c r="K368" s="57">
        <f>IFERROR(VLOOKUP($A:$A,CS!$A:$AK,19,FALSE),"")</f>
      </c>
      <c r="L368" s="57">
        <f>IFERROR(VLOOKUP($A:$A,CS!$A:$AK,20,FALSE),"")</f>
      </c>
      <c r="M368" s="57">
        <f>IFERROR(VLOOKUP($A:$A,CS!$A:$AK,22,FALSE),"")</f>
      </c>
      <c r="N368" s="57">
        <f>IFERROR(VLOOKUP($A:$A,CS!$A:$AK,19,FALSE),"")</f>
      </c>
      <c r="O368" s="57">
        <f>IFERROR(VLOOKUP($A:$A,CS!$A:$AK,23,FALSE),"")</f>
      </c>
      <c r="P368" s="57">
        <f>IFERROR(VLOOKUP($A:$A,CS!$A:$AK,24,FALSE),"")</f>
      </c>
      <c r="Q368" s="57">
        <f>IFERROR(VLOOKUP($A:$A,CS!$A:$AK,25,FALSE),"")</f>
      </c>
      <c r="R368" s="57">
        <f>IFERROR(VLOOKUP($A:$A,CS!$A:$AK,26,FALSE),"")</f>
      </c>
      <c r="S368" s="57">
        <f>IFERROR(VLOOKUP($A:$A,CS!$A:$AK,29,FALSE),"")</f>
      </c>
      <c r="T368" s="57">
        <f>IFERROR(VLOOKUP($A:$A,CS!$A:$AK,33,FALSE),"")</f>
      </c>
      <c r="U368" s="57">
        <f>IFERROR(VLOOKUP($A:$A,CS!$A:$AK,34,FALSE),"")</f>
      </c>
      <c r="V368" s="57">
        <f>IFERROR(VLOOKUP($A:$A,CS!$A:$AK,35,FALSE),"")</f>
      </c>
      <c r="W368" s="57">
        <f>IFERROR(VLOOKUP($A:$A,CS!$A:$AK,36,FALSE),"")</f>
      </c>
    </row>
    <row r="369" ht="16.5" customHeight="1" spans="1:23" x14ac:dyDescent="0.25">
      <c r="A369" s="71"/>
      <c r="B369" s="57">
        <f>IFERROR(VLOOKUP($A:$A,CS!$A:$AK,3,FALSE),"")</f>
      </c>
      <c r="C369" s="57">
        <f>IFERROR(VLOOKUP($A:$A,CS!$A:$AK,4,FALSE),"")</f>
      </c>
      <c r="D369" s="57">
        <f>IFERROR(VLOOKUP($A:$A,CS!$A:$AK,5,FALSE),"")</f>
      </c>
      <c r="E369" s="57">
        <f>IFERROR(VLOOKUP($A:$A,CS!$A:$AK,7,FALSE),"")</f>
      </c>
      <c r="F369" s="57">
        <f>IFERROR(VLOOKUP($A:$A,CS!$A:$AK,8,FALSE),"")</f>
      </c>
      <c r="G369" s="57">
        <f>IFERROR(VLOOKUP($A:$A,CS!$A:$AK,10,FALSE),"")</f>
      </c>
      <c r="H369" s="57">
        <f>IFERROR(VLOOKUP($A:$A,CS!$A:$AK,14,FALSE),"")</f>
      </c>
      <c r="I369" s="57">
        <f>IFERROR(VLOOKUP($A:$A,CS!$A:$AK,15,FALSE),"")</f>
      </c>
      <c r="J369" s="57">
        <f>IFERROR(VLOOKUP($A:$A,CS!$A:$AK,18,FALSE),"")</f>
      </c>
      <c r="K369" s="57">
        <f>IFERROR(VLOOKUP($A:$A,CS!$A:$AK,19,FALSE),"")</f>
      </c>
      <c r="L369" s="57">
        <f>IFERROR(VLOOKUP($A:$A,CS!$A:$AK,20,FALSE),"")</f>
      </c>
      <c r="M369" s="57">
        <f>IFERROR(VLOOKUP($A:$A,CS!$A:$AK,22,FALSE),"")</f>
      </c>
      <c r="N369" s="57">
        <f>IFERROR(VLOOKUP($A:$A,CS!$A:$AK,19,FALSE),"")</f>
      </c>
      <c r="O369" s="57">
        <f>IFERROR(VLOOKUP($A:$A,CS!$A:$AK,23,FALSE),"")</f>
      </c>
      <c r="P369" s="57">
        <f>IFERROR(VLOOKUP($A:$A,CS!$A:$AK,24,FALSE),"")</f>
      </c>
      <c r="Q369" s="57">
        <f>IFERROR(VLOOKUP($A:$A,CS!$A:$AK,25,FALSE),"")</f>
      </c>
      <c r="R369" s="57">
        <f>IFERROR(VLOOKUP($A:$A,CS!$A:$AK,26,FALSE),"")</f>
      </c>
      <c r="S369" s="57">
        <f>IFERROR(VLOOKUP($A:$A,CS!$A:$AK,29,FALSE),"")</f>
      </c>
      <c r="T369" s="57">
        <f>IFERROR(VLOOKUP($A:$A,CS!$A:$AK,33,FALSE),"")</f>
      </c>
      <c r="U369" s="57">
        <f>IFERROR(VLOOKUP($A:$A,CS!$A:$AK,34,FALSE),"")</f>
      </c>
      <c r="V369" s="57">
        <f>IFERROR(VLOOKUP($A:$A,CS!$A:$AK,35,FALSE),"")</f>
      </c>
      <c r="W369" s="57">
        <f>IFERROR(VLOOKUP($A:$A,CS!$A:$AK,36,FALSE),"")</f>
      </c>
    </row>
    <row r="370" ht="16.5" customHeight="1" spans="1:23" x14ac:dyDescent="0.25">
      <c r="A370" s="71"/>
      <c r="B370" s="57">
        <f>IFERROR(VLOOKUP($A:$A,CS!$A:$AK,3,FALSE),"")</f>
      </c>
      <c r="C370" s="57">
        <f>IFERROR(VLOOKUP($A:$A,CS!$A:$AK,4,FALSE),"")</f>
      </c>
      <c r="D370" s="57">
        <f>IFERROR(VLOOKUP($A:$A,CS!$A:$AK,5,FALSE),"")</f>
      </c>
      <c r="E370" s="57">
        <f>IFERROR(VLOOKUP($A:$A,CS!$A:$AK,7,FALSE),"")</f>
      </c>
      <c r="F370" s="57">
        <f>IFERROR(VLOOKUP($A:$A,CS!$A:$AK,8,FALSE),"")</f>
      </c>
      <c r="G370" s="57">
        <f>IFERROR(VLOOKUP($A:$A,CS!$A:$AK,10,FALSE),"")</f>
      </c>
      <c r="H370" s="57">
        <f>IFERROR(VLOOKUP($A:$A,CS!$A:$AK,14,FALSE),"")</f>
      </c>
      <c r="I370" s="57">
        <f>IFERROR(VLOOKUP($A:$A,CS!$A:$AK,15,FALSE),"")</f>
      </c>
      <c r="J370" s="57">
        <f>IFERROR(VLOOKUP($A:$A,CS!$A:$AK,18,FALSE),"")</f>
      </c>
      <c r="K370" s="57">
        <f>IFERROR(VLOOKUP($A:$A,CS!$A:$AK,19,FALSE),"")</f>
      </c>
      <c r="L370" s="57">
        <f>IFERROR(VLOOKUP($A:$A,CS!$A:$AK,20,FALSE),"")</f>
      </c>
      <c r="M370" s="57">
        <f>IFERROR(VLOOKUP($A:$A,CS!$A:$AK,22,FALSE),"")</f>
      </c>
      <c r="N370" s="57">
        <f>IFERROR(VLOOKUP($A:$A,CS!$A:$AK,19,FALSE),"")</f>
      </c>
      <c r="O370" s="57">
        <f>IFERROR(VLOOKUP($A:$A,CS!$A:$AK,23,FALSE),"")</f>
      </c>
      <c r="P370" s="57">
        <f>IFERROR(VLOOKUP($A:$A,CS!$A:$AK,24,FALSE),"")</f>
      </c>
      <c r="Q370" s="57">
        <f>IFERROR(VLOOKUP($A:$A,CS!$A:$AK,25,FALSE),"")</f>
      </c>
      <c r="R370" s="57">
        <f>IFERROR(VLOOKUP($A:$A,CS!$A:$AK,26,FALSE),"")</f>
      </c>
      <c r="S370" s="57">
        <f>IFERROR(VLOOKUP($A:$A,CS!$A:$AK,29,FALSE),"")</f>
      </c>
      <c r="T370" s="57">
        <f>IFERROR(VLOOKUP($A:$A,CS!$A:$AK,33,FALSE),"")</f>
      </c>
      <c r="U370" s="57">
        <f>IFERROR(VLOOKUP($A:$A,CS!$A:$AK,34,FALSE),"")</f>
      </c>
      <c r="V370" s="57">
        <f>IFERROR(VLOOKUP($A:$A,CS!$A:$AK,35,FALSE),"")</f>
      </c>
      <c r="W370" s="57">
        <f>IFERROR(VLOOKUP($A:$A,CS!$A:$AK,36,FALSE),"")</f>
      </c>
    </row>
    <row r="371" ht="16.5" customHeight="1" spans="1:23" x14ac:dyDescent="0.25">
      <c r="A371" s="71"/>
      <c r="B371" s="57">
        <f>IFERROR(VLOOKUP($A:$A,CS!$A:$AK,3,FALSE),"")</f>
      </c>
      <c r="C371" s="57">
        <f>IFERROR(VLOOKUP($A:$A,CS!$A:$AK,4,FALSE),"")</f>
      </c>
      <c r="D371" s="57">
        <f>IFERROR(VLOOKUP($A:$A,CS!$A:$AK,5,FALSE),"")</f>
      </c>
      <c r="E371" s="57">
        <f>IFERROR(VLOOKUP($A:$A,CS!$A:$AK,7,FALSE),"")</f>
      </c>
      <c r="F371" s="57">
        <f>IFERROR(VLOOKUP($A:$A,CS!$A:$AK,8,FALSE),"")</f>
      </c>
      <c r="G371" s="57">
        <f>IFERROR(VLOOKUP($A:$A,CS!$A:$AK,10,FALSE),"")</f>
      </c>
      <c r="H371" s="57">
        <f>IFERROR(VLOOKUP($A:$A,CS!$A:$AK,14,FALSE),"")</f>
      </c>
      <c r="I371" s="57">
        <f>IFERROR(VLOOKUP($A:$A,CS!$A:$AK,15,FALSE),"")</f>
      </c>
      <c r="J371" s="57">
        <f>IFERROR(VLOOKUP($A:$A,CS!$A:$AK,18,FALSE),"")</f>
      </c>
      <c r="K371" s="57">
        <f>IFERROR(VLOOKUP($A:$A,CS!$A:$AK,19,FALSE),"")</f>
      </c>
      <c r="L371" s="57">
        <f>IFERROR(VLOOKUP($A:$A,CS!$A:$AK,20,FALSE),"")</f>
      </c>
      <c r="M371" s="57">
        <f>IFERROR(VLOOKUP($A:$A,CS!$A:$AK,22,FALSE),"")</f>
      </c>
      <c r="N371" s="57">
        <f>IFERROR(VLOOKUP($A:$A,CS!$A:$AK,19,FALSE),"")</f>
      </c>
      <c r="O371" s="57">
        <f>IFERROR(VLOOKUP($A:$A,CS!$A:$AK,23,FALSE),"")</f>
      </c>
      <c r="P371" s="57">
        <f>IFERROR(VLOOKUP($A:$A,CS!$A:$AK,24,FALSE),"")</f>
      </c>
      <c r="Q371" s="57">
        <f>IFERROR(VLOOKUP($A:$A,CS!$A:$AK,25,FALSE),"")</f>
      </c>
      <c r="R371" s="57">
        <f>IFERROR(VLOOKUP($A:$A,CS!$A:$AK,26,FALSE),"")</f>
      </c>
      <c r="S371" s="57">
        <f>IFERROR(VLOOKUP($A:$A,CS!$A:$AK,29,FALSE),"")</f>
      </c>
      <c r="T371" s="57">
        <f>IFERROR(VLOOKUP($A:$A,CS!$A:$AK,33,FALSE),"")</f>
      </c>
      <c r="U371" s="57">
        <f>IFERROR(VLOOKUP($A:$A,CS!$A:$AK,34,FALSE),"")</f>
      </c>
      <c r="V371" s="57">
        <f>IFERROR(VLOOKUP($A:$A,CS!$A:$AK,35,FALSE),"")</f>
      </c>
      <c r="W371" s="57">
        <f>IFERROR(VLOOKUP($A:$A,CS!$A:$AK,36,FALSE),"")</f>
      </c>
    </row>
    <row r="372" ht="16.5" customHeight="1" spans="1:23" x14ac:dyDescent="0.25">
      <c r="A372" s="71"/>
      <c r="B372" s="57">
        <f>IFERROR(VLOOKUP($A:$A,CS!$A:$AK,3,FALSE),"")</f>
      </c>
      <c r="C372" s="57">
        <f>IFERROR(VLOOKUP($A:$A,CS!$A:$AK,4,FALSE),"")</f>
      </c>
      <c r="D372" s="57">
        <f>IFERROR(VLOOKUP($A:$A,CS!$A:$AK,5,FALSE),"")</f>
      </c>
      <c r="E372" s="57">
        <f>IFERROR(VLOOKUP($A:$A,CS!$A:$AK,7,FALSE),"")</f>
      </c>
      <c r="F372" s="57">
        <f>IFERROR(VLOOKUP($A:$A,CS!$A:$AK,8,FALSE),"")</f>
      </c>
      <c r="G372" s="57">
        <f>IFERROR(VLOOKUP($A:$A,CS!$A:$AK,10,FALSE),"")</f>
      </c>
      <c r="H372" s="57">
        <f>IFERROR(VLOOKUP($A:$A,CS!$A:$AK,14,FALSE),"")</f>
      </c>
      <c r="I372" s="57">
        <f>IFERROR(VLOOKUP($A:$A,CS!$A:$AK,15,FALSE),"")</f>
      </c>
      <c r="J372" s="57">
        <f>IFERROR(VLOOKUP($A:$A,CS!$A:$AK,18,FALSE),"")</f>
      </c>
      <c r="K372" s="57">
        <f>IFERROR(VLOOKUP($A:$A,CS!$A:$AK,19,FALSE),"")</f>
      </c>
      <c r="L372" s="57">
        <f>IFERROR(VLOOKUP($A:$A,CS!$A:$AK,20,FALSE),"")</f>
      </c>
      <c r="M372" s="57">
        <f>IFERROR(VLOOKUP($A:$A,CS!$A:$AK,22,FALSE),"")</f>
      </c>
      <c r="N372" s="57">
        <f>IFERROR(VLOOKUP($A:$A,CS!$A:$AK,19,FALSE),"")</f>
      </c>
      <c r="O372" s="57">
        <f>IFERROR(VLOOKUP($A:$A,CS!$A:$AK,23,FALSE),"")</f>
      </c>
      <c r="P372" s="57">
        <f>IFERROR(VLOOKUP($A:$A,CS!$A:$AK,24,FALSE),"")</f>
      </c>
      <c r="Q372" s="57">
        <f>IFERROR(VLOOKUP($A:$A,CS!$A:$AK,25,FALSE),"")</f>
      </c>
      <c r="R372" s="57">
        <f>IFERROR(VLOOKUP($A:$A,CS!$A:$AK,26,FALSE),"")</f>
      </c>
      <c r="S372" s="57">
        <f>IFERROR(VLOOKUP($A:$A,CS!$A:$AK,29,FALSE),"")</f>
      </c>
      <c r="T372" s="57">
        <f>IFERROR(VLOOKUP($A:$A,CS!$A:$AK,33,FALSE),"")</f>
      </c>
      <c r="U372" s="57">
        <f>IFERROR(VLOOKUP($A:$A,CS!$A:$AK,34,FALSE),"")</f>
      </c>
      <c r="V372" s="57">
        <f>IFERROR(VLOOKUP($A:$A,CS!$A:$AK,35,FALSE),"")</f>
      </c>
      <c r="W372" s="57">
        <f>IFERROR(VLOOKUP($A:$A,CS!$A:$AK,36,FALSE),"")</f>
      </c>
    </row>
    <row r="373" ht="16.5" customHeight="1" spans="1:23" x14ac:dyDescent="0.25">
      <c r="A373" s="71"/>
      <c r="B373" s="57">
        <f>IFERROR(VLOOKUP($A:$A,CS!$A:$AK,3,FALSE),"")</f>
      </c>
      <c r="C373" s="57">
        <f>IFERROR(VLOOKUP($A:$A,CS!$A:$AK,4,FALSE),"")</f>
      </c>
      <c r="D373" s="57">
        <f>IFERROR(VLOOKUP($A:$A,CS!$A:$AK,5,FALSE),"")</f>
      </c>
      <c r="E373" s="57">
        <f>IFERROR(VLOOKUP($A:$A,CS!$A:$AK,7,FALSE),"")</f>
      </c>
      <c r="F373" s="57">
        <f>IFERROR(VLOOKUP($A:$A,CS!$A:$AK,8,FALSE),"")</f>
      </c>
      <c r="G373" s="57">
        <f>IFERROR(VLOOKUP($A:$A,CS!$A:$AK,10,FALSE),"")</f>
      </c>
      <c r="H373" s="57">
        <f>IFERROR(VLOOKUP($A:$A,CS!$A:$AK,14,FALSE),"")</f>
      </c>
      <c r="I373" s="57">
        <f>IFERROR(VLOOKUP($A:$A,CS!$A:$AK,15,FALSE),"")</f>
      </c>
      <c r="J373" s="57">
        <f>IFERROR(VLOOKUP($A:$A,CS!$A:$AK,18,FALSE),"")</f>
      </c>
      <c r="K373" s="57">
        <f>IFERROR(VLOOKUP($A:$A,CS!$A:$AK,19,FALSE),"")</f>
      </c>
      <c r="L373" s="57">
        <f>IFERROR(VLOOKUP($A:$A,CS!$A:$AK,20,FALSE),"")</f>
      </c>
      <c r="M373" s="57">
        <f>IFERROR(VLOOKUP($A:$A,CS!$A:$AK,22,FALSE),"")</f>
      </c>
      <c r="N373" s="57">
        <f>IFERROR(VLOOKUP($A:$A,CS!$A:$AK,19,FALSE),"")</f>
      </c>
      <c r="O373" s="57">
        <f>IFERROR(VLOOKUP($A:$A,CS!$A:$AK,23,FALSE),"")</f>
      </c>
      <c r="P373" s="57">
        <f>IFERROR(VLOOKUP($A:$A,CS!$A:$AK,24,FALSE),"")</f>
      </c>
      <c r="Q373" s="57">
        <f>IFERROR(VLOOKUP($A:$A,CS!$A:$AK,25,FALSE),"")</f>
      </c>
      <c r="R373" s="57">
        <f>IFERROR(VLOOKUP($A:$A,CS!$A:$AK,26,FALSE),"")</f>
      </c>
      <c r="S373" s="57">
        <f>IFERROR(VLOOKUP($A:$A,CS!$A:$AK,29,FALSE),"")</f>
      </c>
      <c r="T373" s="57">
        <f>IFERROR(VLOOKUP($A:$A,CS!$A:$AK,33,FALSE),"")</f>
      </c>
      <c r="U373" s="57">
        <f>IFERROR(VLOOKUP($A:$A,CS!$A:$AK,34,FALSE),"")</f>
      </c>
      <c r="V373" s="57">
        <f>IFERROR(VLOOKUP($A:$A,CS!$A:$AK,35,FALSE),"")</f>
      </c>
      <c r="W373" s="57">
        <f>IFERROR(VLOOKUP($A:$A,CS!$A:$AK,36,FALSE),"")</f>
      </c>
    </row>
    <row r="374" ht="16.5" customHeight="1" spans="1:23" x14ac:dyDescent="0.25">
      <c r="A374" s="71"/>
      <c r="B374" s="57">
        <f>IFERROR(VLOOKUP($A:$A,CS!$A:$AK,3,FALSE),"")</f>
      </c>
      <c r="C374" s="57">
        <f>IFERROR(VLOOKUP($A:$A,CS!$A:$AK,4,FALSE),"")</f>
      </c>
      <c r="D374" s="57">
        <f>IFERROR(VLOOKUP($A:$A,CS!$A:$AK,5,FALSE),"")</f>
      </c>
      <c r="E374" s="57">
        <f>IFERROR(VLOOKUP($A:$A,CS!$A:$AK,7,FALSE),"")</f>
      </c>
      <c r="F374" s="57">
        <f>IFERROR(VLOOKUP($A:$A,CS!$A:$AK,8,FALSE),"")</f>
      </c>
      <c r="G374" s="57">
        <f>IFERROR(VLOOKUP($A:$A,CS!$A:$AK,10,FALSE),"")</f>
      </c>
      <c r="H374" s="57">
        <f>IFERROR(VLOOKUP($A:$A,CS!$A:$AK,14,FALSE),"")</f>
      </c>
      <c r="I374" s="57">
        <f>IFERROR(VLOOKUP($A:$A,CS!$A:$AK,15,FALSE),"")</f>
      </c>
      <c r="J374" s="57">
        <f>IFERROR(VLOOKUP($A:$A,CS!$A:$AK,18,FALSE),"")</f>
      </c>
      <c r="K374" s="57">
        <f>IFERROR(VLOOKUP($A:$A,CS!$A:$AK,19,FALSE),"")</f>
      </c>
      <c r="L374" s="57">
        <f>IFERROR(VLOOKUP($A:$A,CS!$A:$AK,20,FALSE),"")</f>
      </c>
      <c r="M374" s="57">
        <f>IFERROR(VLOOKUP($A:$A,CS!$A:$AK,22,FALSE),"")</f>
      </c>
      <c r="N374" s="57">
        <f>IFERROR(VLOOKUP($A:$A,CS!$A:$AK,19,FALSE),"")</f>
      </c>
      <c r="O374" s="57">
        <f>IFERROR(VLOOKUP($A:$A,CS!$A:$AK,23,FALSE),"")</f>
      </c>
      <c r="P374" s="57">
        <f>IFERROR(VLOOKUP($A:$A,CS!$A:$AK,24,FALSE),"")</f>
      </c>
      <c r="Q374" s="57">
        <f>IFERROR(VLOOKUP($A:$A,CS!$A:$AK,25,FALSE),"")</f>
      </c>
      <c r="R374" s="57">
        <f>IFERROR(VLOOKUP($A:$A,CS!$A:$AK,26,FALSE),"")</f>
      </c>
      <c r="S374" s="57">
        <f>IFERROR(VLOOKUP($A:$A,CS!$A:$AK,29,FALSE),"")</f>
      </c>
      <c r="T374" s="57">
        <f>IFERROR(VLOOKUP($A:$A,CS!$A:$AK,33,FALSE),"")</f>
      </c>
      <c r="U374" s="57">
        <f>IFERROR(VLOOKUP($A:$A,CS!$A:$AK,34,FALSE),"")</f>
      </c>
      <c r="V374" s="57">
        <f>IFERROR(VLOOKUP($A:$A,CS!$A:$AK,35,FALSE),"")</f>
      </c>
      <c r="W374" s="57">
        <f>IFERROR(VLOOKUP($A:$A,CS!$A:$AK,36,FALSE),"")</f>
      </c>
    </row>
    <row r="375" ht="16.5" customHeight="1" spans="1:23" x14ac:dyDescent="0.25">
      <c r="A375" s="71"/>
      <c r="B375" s="57">
        <f>IFERROR(VLOOKUP($A:$A,CS!$A:$AK,3,FALSE),"")</f>
      </c>
      <c r="C375" s="57">
        <f>IFERROR(VLOOKUP($A:$A,CS!$A:$AK,4,FALSE),"")</f>
      </c>
      <c r="D375" s="57">
        <f>IFERROR(VLOOKUP($A:$A,CS!$A:$AK,5,FALSE),"")</f>
      </c>
      <c r="E375" s="57">
        <f>IFERROR(VLOOKUP($A:$A,CS!$A:$AK,7,FALSE),"")</f>
      </c>
      <c r="F375" s="57">
        <f>IFERROR(VLOOKUP($A:$A,CS!$A:$AK,8,FALSE),"")</f>
      </c>
      <c r="G375" s="57">
        <f>IFERROR(VLOOKUP($A:$A,CS!$A:$AK,10,FALSE),"")</f>
      </c>
      <c r="H375" s="57">
        <f>IFERROR(VLOOKUP($A:$A,CS!$A:$AK,14,FALSE),"")</f>
      </c>
      <c r="I375" s="57">
        <f>IFERROR(VLOOKUP($A:$A,CS!$A:$AK,15,FALSE),"")</f>
      </c>
      <c r="J375" s="57">
        <f>IFERROR(VLOOKUP($A:$A,CS!$A:$AK,18,FALSE),"")</f>
      </c>
      <c r="K375" s="57">
        <f>IFERROR(VLOOKUP($A:$A,CS!$A:$AK,19,FALSE),"")</f>
      </c>
      <c r="L375" s="57">
        <f>IFERROR(VLOOKUP($A:$A,CS!$A:$AK,20,FALSE),"")</f>
      </c>
      <c r="M375" s="57">
        <f>IFERROR(VLOOKUP($A:$A,CS!$A:$AK,22,FALSE),"")</f>
      </c>
      <c r="N375" s="57">
        <f>IFERROR(VLOOKUP($A:$A,CS!$A:$AK,19,FALSE),"")</f>
      </c>
      <c r="O375" s="57">
        <f>IFERROR(VLOOKUP($A:$A,CS!$A:$AK,23,FALSE),"")</f>
      </c>
      <c r="P375" s="57">
        <f>IFERROR(VLOOKUP($A:$A,CS!$A:$AK,24,FALSE),"")</f>
      </c>
      <c r="Q375" s="57">
        <f>IFERROR(VLOOKUP($A:$A,CS!$A:$AK,25,FALSE),"")</f>
      </c>
      <c r="R375" s="57">
        <f>IFERROR(VLOOKUP($A:$A,CS!$A:$AK,26,FALSE),"")</f>
      </c>
      <c r="S375" s="57">
        <f>IFERROR(VLOOKUP($A:$A,CS!$A:$AK,29,FALSE),"")</f>
      </c>
      <c r="T375" s="57">
        <f>IFERROR(VLOOKUP($A:$A,CS!$A:$AK,33,FALSE),"")</f>
      </c>
      <c r="U375" s="57">
        <f>IFERROR(VLOOKUP($A:$A,CS!$A:$AK,34,FALSE),"")</f>
      </c>
      <c r="V375" s="57">
        <f>IFERROR(VLOOKUP($A:$A,CS!$A:$AK,35,FALSE),"")</f>
      </c>
      <c r="W375" s="57">
        <f>IFERROR(VLOOKUP($A:$A,CS!$A:$AK,36,FALSE),"")</f>
      </c>
    </row>
    <row r="376" ht="16.5" customHeight="1" spans="1:23" x14ac:dyDescent="0.25">
      <c r="A376" s="71"/>
      <c r="B376" s="57">
        <f>IFERROR(VLOOKUP($A:$A,CS!$A:$AK,3,FALSE),"")</f>
      </c>
      <c r="C376" s="57">
        <f>IFERROR(VLOOKUP($A:$A,CS!$A:$AK,4,FALSE),"")</f>
      </c>
      <c r="D376" s="57">
        <f>IFERROR(VLOOKUP($A:$A,CS!$A:$AK,5,FALSE),"")</f>
      </c>
      <c r="E376" s="57">
        <f>IFERROR(VLOOKUP($A:$A,CS!$A:$AK,7,FALSE),"")</f>
      </c>
      <c r="F376" s="57">
        <f>IFERROR(VLOOKUP($A:$A,CS!$A:$AK,8,FALSE),"")</f>
      </c>
      <c r="G376" s="57">
        <f>IFERROR(VLOOKUP($A:$A,CS!$A:$AK,10,FALSE),"")</f>
      </c>
      <c r="H376" s="57">
        <f>IFERROR(VLOOKUP($A:$A,CS!$A:$AK,14,FALSE),"")</f>
      </c>
      <c r="I376" s="57">
        <f>IFERROR(VLOOKUP($A:$A,CS!$A:$AK,15,FALSE),"")</f>
      </c>
      <c r="J376" s="57">
        <f>IFERROR(VLOOKUP($A:$A,CS!$A:$AK,18,FALSE),"")</f>
      </c>
      <c r="K376" s="57">
        <f>IFERROR(VLOOKUP($A:$A,CS!$A:$AK,19,FALSE),"")</f>
      </c>
      <c r="L376" s="57">
        <f>IFERROR(VLOOKUP($A:$A,CS!$A:$AK,20,FALSE),"")</f>
      </c>
      <c r="M376" s="57">
        <f>IFERROR(VLOOKUP($A:$A,CS!$A:$AK,22,FALSE),"")</f>
      </c>
      <c r="N376" s="57">
        <f>IFERROR(VLOOKUP($A:$A,CS!$A:$AK,19,FALSE),"")</f>
      </c>
      <c r="O376" s="57">
        <f>IFERROR(VLOOKUP($A:$A,CS!$A:$AK,23,FALSE),"")</f>
      </c>
      <c r="P376" s="57">
        <f>IFERROR(VLOOKUP($A:$A,CS!$A:$AK,24,FALSE),"")</f>
      </c>
      <c r="Q376" s="57">
        <f>IFERROR(VLOOKUP($A:$A,CS!$A:$AK,25,FALSE),"")</f>
      </c>
      <c r="R376" s="57">
        <f>IFERROR(VLOOKUP($A:$A,CS!$A:$AK,26,FALSE),"")</f>
      </c>
      <c r="S376" s="57">
        <f>IFERROR(VLOOKUP($A:$A,CS!$A:$AK,29,FALSE),"")</f>
      </c>
      <c r="T376" s="57">
        <f>IFERROR(VLOOKUP($A:$A,CS!$A:$AK,33,FALSE),"")</f>
      </c>
      <c r="U376" s="57">
        <f>IFERROR(VLOOKUP($A:$A,CS!$A:$AK,34,FALSE),"")</f>
      </c>
      <c r="V376" s="57">
        <f>IFERROR(VLOOKUP($A:$A,CS!$A:$AK,35,FALSE),"")</f>
      </c>
      <c r="W376" s="57">
        <f>IFERROR(VLOOKUP($A:$A,CS!$A:$AK,36,FALSE),"")</f>
      </c>
    </row>
    <row r="377" ht="16.5" customHeight="1" spans="1:23" x14ac:dyDescent="0.25">
      <c r="A377" s="71"/>
      <c r="B377" s="57">
        <f>IFERROR(VLOOKUP($A:$A,CS!$A:$AK,3,FALSE),"")</f>
      </c>
      <c r="C377" s="57">
        <f>IFERROR(VLOOKUP($A:$A,CS!$A:$AK,4,FALSE),"")</f>
      </c>
      <c r="D377" s="57">
        <f>IFERROR(VLOOKUP($A:$A,CS!$A:$AK,5,FALSE),"")</f>
      </c>
      <c r="E377" s="57">
        <f>IFERROR(VLOOKUP($A:$A,CS!$A:$AK,7,FALSE),"")</f>
      </c>
      <c r="F377" s="57">
        <f>IFERROR(VLOOKUP($A:$A,CS!$A:$AK,8,FALSE),"")</f>
      </c>
      <c r="G377" s="57">
        <f>IFERROR(VLOOKUP($A:$A,CS!$A:$AK,10,FALSE),"")</f>
      </c>
      <c r="H377" s="57">
        <f>IFERROR(VLOOKUP($A:$A,CS!$A:$AK,14,FALSE),"")</f>
      </c>
      <c r="I377" s="57">
        <f>IFERROR(VLOOKUP($A:$A,CS!$A:$AK,15,FALSE),"")</f>
      </c>
      <c r="J377" s="57">
        <f>IFERROR(VLOOKUP($A:$A,CS!$A:$AK,18,FALSE),"")</f>
      </c>
      <c r="K377" s="57">
        <f>IFERROR(VLOOKUP($A:$A,CS!$A:$AK,19,FALSE),"")</f>
      </c>
      <c r="L377" s="57">
        <f>IFERROR(VLOOKUP($A:$A,CS!$A:$AK,20,FALSE),"")</f>
      </c>
      <c r="M377" s="57">
        <f>IFERROR(VLOOKUP($A:$A,CS!$A:$AK,22,FALSE),"")</f>
      </c>
      <c r="N377" s="57">
        <f>IFERROR(VLOOKUP($A:$A,CS!$A:$AK,19,FALSE),"")</f>
      </c>
      <c r="O377" s="57">
        <f>IFERROR(VLOOKUP($A:$A,CS!$A:$AK,23,FALSE),"")</f>
      </c>
      <c r="P377" s="57">
        <f>IFERROR(VLOOKUP($A:$A,CS!$A:$AK,24,FALSE),"")</f>
      </c>
      <c r="Q377" s="57">
        <f>IFERROR(VLOOKUP($A:$A,CS!$A:$AK,25,FALSE),"")</f>
      </c>
      <c r="R377" s="57">
        <f>IFERROR(VLOOKUP($A:$A,CS!$A:$AK,26,FALSE),"")</f>
      </c>
      <c r="S377" s="57">
        <f>IFERROR(VLOOKUP($A:$A,CS!$A:$AK,29,FALSE),"")</f>
      </c>
      <c r="T377" s="57">
        <f>IFERROR(VLOOKUP($A:$A,CS!$A:$AK,33,FALSE),"")</f>
      </c>
      <c r="U377" s="57">
        <f>IFERROR(VLOOKUP($A:$A,CS!$A:$AK,34,FALSE),"")</f>
      </c>
      <c r="V377" s="57">
        <f>IFERROR(VLOOKUP($A:$A,CS!$A:$AK,35,FALSE),"")</f>
      </c>
      <c r="W377" s="57">
        <f>IFERROR(VLOOKUP($A:$A,CS!$A:$AK,36,FALSE),"")</f>
      </c>
    </row>
    <row r="378" ht="16.5" customHeight="1" spans="1:23" x14ac:dyDescent="0.25">
      <c r="A378" s="71"/>
      <c r="B378" s="57">
        <f>IFERROR(VLOOKUP($A:$A,CS!$A:$AK,3,FALSE),"")</f>
      </c>
      <c r="C378" s="57">
        <f>IFERROR(VLOOKUP($A:$A,CS!$A:$AK,4,FALSE),"")</f>
      </c>
      <c r="D378" s="57">
        <f>IFERROR(VLOOKUP($A:$A,CS!$A:$AK,5,FALSE),"")</f>
      </c>
      <c r="E378" s="57">
        <f>IFERROR(VLOOKUP($A:$A,CS!$A:$AK,7,FALSE),"")</f>
      </c>
      <c r="F378" s="57">
        <f>IFERROR(VLOOKUP($A:$A,CS!$A:$AK,8,FALSE),"")</f>
      </c>
      <c r="G378" s="57">
        <f>IFERROR(VLOOKUP($A:$A,CS!$A:$AK,10,FALSE),"")</f>
      </c>
      <c r="H378" s="57">
        <f>IFERROR(VLOOKUP($A:$A,CS!$A:$AK,14,FALSE),"")</f>
      </c>
      <c r="I378" s="57">
        <f>IFERROR(VLOOKUP($A:$A,CS!$A:$AK,15,FALSE),"")</f>
      </c>
      <c r="J378" s="57">
        <f>IFERROR(VLOOKUP($A:$A,CS!$A:$AK,18,FALSE),"")</f>
      </c>
      <c r="K378" s="57">
        <f>IFERROR(VLOOKUP($A:$A,CS!$A:$AK,19,FALSE),"")</f>
      </c>
      <c r="L378" s="57">
        <f>IFERROR(VLOOKUP($A:$A,CS!$A:$AK,20,FALSE),"")</f>
      </c>
      <c r="M378" s="57">
        <f>IFERROR(VLOOKUP($A:$A,CS!$A:$AK,22,FALSE),"")</f>
      </c>
      <c r="N378" s="57">
        <f>IFERROR(VLOOKUP($A:$A,CS!$A:$AK,19,FALSE),"")</f>
      </c>
      <c r="O378" s="57">
        <f>IFERROR(VLOOKUP($A:$A,CS!$A:$AK,23,FALSE),"")</f>
      </c>
      <c r="P378" s="57">
        <f>IFERROR(VLOOKUP($A:$A,CS!$A:$AK,24,FALSE),"")</f>
      </c>
      <c r="Q378" s="57">
        <f>IFERROR(VLOOKUP($A:$A,CS!$A:$AK,25,FALSE),"")</f>
      </c>
      <c r="R378" s="57">
        <f>IFERROR(VLOOKUP($A:$A,CS!$A:$AK,26,FALSE),"")</f>
      </c>
      <c r="S378" s="57">
        <f>IFERROR(VLOOKUP($A:$A,CS!$A:$AK,29,FALSE),"")</f>
      </c>
      <c r="T378" s="57">
        <f>IFERROR(VLOOKUP($A:$A,CS!$A:$AK,33,FALSE),"")</f>
      </c>
      <c r="U378" s="57">
        <f>IFERROR(VLOOKUP($A:$A,CS!$A:$AK,34,FALSE),"")</f>
      </c>
      <c r="V378" s="57">
        <f>IFERROR(VLOOKUP($A:$A,CS!$A:$AK,35,FALSE),"")</f>
      </c>
      <c r="W378" s="57">
        <f>IFERROR(VLOOKUP($A:$A,CS!$A:$AK,36,FALSE),"")</f>
      </c>
    </row>
    <row r="379" ht="16.5" customHeight="1" spans="1:23" x14ac:dyDescent="0.25">
      <c r="A379" s="71"/>
      <c r="B379" s="57">
        <f>IFERROR(VLOOKUP($A:$A,CS!$A:$AK,3,FALSE),"")</f>
      </c>
      <c r="C379" s="57">
        <f>IFERROR(VLOOKUP($A:$A,CS!$A:$AK,4,FALSE),"")</f>
      </c>
      <c r="D379" s="57">
        <f>IFERROR(VLOOKUP($A:$A,CS!$A:$AK,5,FALSE),"")</f>
      </c>
      <c r="E379" s="57">
        <f>IFERROR(VLOOKUP($A:$A,CS!$A:$AK,7,FALSE),"")</f>
      </c>
      <c r="F379" s="57">
        <f>IFERROR(VLOOKUP($A:$A,CS!$A:$AK,8,FALSE),"")</f>
      </c>
      <c r="G379" s="57">
        <f>IFERROR(VLOOKUP($A:$A,CS!$A:$AK,10,FALSE),"")</f>
      </c>
      <c r="H379" s="57">
        <f>IFERROR(VLOOKUP($A:$A,CS!$A:$AK,14,FALSE),"")</f>
      </c>
      <c r="I379" s="57">
        <f>IFERROR(VLOOKUP($A:$A,CS!$A:$AK,15,FALSE),"")</f>
      </c>
      <c r="J379" s="57">
        <f>IFERROR(VLOOKUP($A:$A,CS!$A:$AK,18,FALSE),"")</f>
      </c>
      <c r="K379" s="57">
        <f>IFERROR(VLOOKUP($A:$A,CS!$A:$AK,19,FALSE),"")</f>
      </c>
      <c r="L379" s="57">
        <f>IFERROR(VLOOKUP($A:$A,CS!$A:$AK,20,FALSE),"")</f>
      </c>
      <c r="M379" s="57">
        <f>IFERROR(VLOOKUP($A:$A,CS!$A:$AK,22,FALSE),"")</f>
      </c>
      <c r="N379" s="57">
        <f>IFERROR(VLOOKUP($A:$A,CS!$A:$AK,19,FALSE),"")</f>
      </c>
      <c r="O379" s="57">
        <f>IFERROR(VLOOKUP($A:$A,CS!$A:$AK,23,FALSE),"")</f>
      </c>
      <c r="P379" s="57">
        <f>IFERROR(VLOOKUP($A:$A,CS!$A:$AK,24,FALSE),"")</f>
      </c>
      <c r="Q379" s="57">
        <f>IFERROR(VLOOKUP($A:$A,CS!$A:$AK,25,FALSE),"")</f>
      </c>
      <c r="R379" s="57">
        <f>IFERROR(VLOOKUP($A:$A,CS!$A:$AK,26,FALSE),"")</f>
      </c>
      <c r="S379" s="57">
        <f>IFERROR(VLOOKUP($A:$A,CS!$A:$AK,29,FALSE),"")</f>
      </c>
      <c r="T379" s="57">
        <f>IFERROR(VLOOKUP($A:$A,CS!$A:$AK,33,FALSE),"")</f>
      </c>
      <c r="U379" s="57">
        <f>IFERROR(VLOOKUP($A:$A,CS!$A:$AK,34,FALSE),"")</f>
      </c>
      <c r="V379" s="57">
        <f>IFERROR(VLOOKUP($A:$A,CS!$A:$AK,35,FALSE),"")</f>
      </c>
      <c r="W379" s="57">
        <f>IFERROR(VLOOKUP($A:$A,CS!$A:$AK,36,FALSE),"")</f>
      </c>
    </row>
    <row r="380" ht="16.5" customHeight="1" spans="1:23" x14ac:dyDescent="0.25">
      <c r="A380" s="71"/>
      <c r="B380" s="57">
        <f>IFERROR(VLOOKUP($A:$A,CS!$A:$AK,3,FALSE),"")</f>
      </c>
      <c r="C380" s="57">
        <f>IFERROR(VLOOKUP($A:$A,CS!$A:$AK,4,FALSE),"")</f>
      </c>
      <c r="D380" s="57">
        <f>IFERROR(VLOOKUP($A:$A,CS!$A:$AK,5,FALSE),"")</f>
      </c>
      <c r="E380" s="57">
        <f>IFERROR(VLOOKUP($A:$A,CS!$A:$AK,7,FALSE),"")</f>
      </c>
      <c r="F380" s="57">
        <f>IFERROR(VLOOKUP($A:$A,CS!$A:$AK,8,FALSE),"")</f>
      </c>
      <c r="G380" s="57">
        <f>IFERROR(VLOOKUP($A:$A,CS!$A:$AK,10,FALSE),"")</f>
      </c>
      <c r="H380" s="57">
        <f>IFERROR(VLOOKUP($A:$A,CS!$A:$AK,14,FALSE),"")</f>
      </c>
      <c r="I380" s="57">
        <f>IFERROR(VLOOKUP($A:$A,CS!$A:$AK,15,FALSE),"")</f>
      </c>
      <c r="J380" s="57">
        <f>IFERROR(VLOOKUP($A:$A,CS!$A:$AK,18,FALSE),"")</f>
      </c>
      <c r="K380" s="57">
        <f>IFERROR(VLOOKUP($A:$A,CS!$A:$AK,19,FALSE),"")</f>
      </c>
      <c r="L380" s="57">
        <f>IFERROR(VLOOKUP($A:$A,CS!$A:$AK,20,FALSE),"")</f>
      </c>
      <c r="M380" s="57">
        <f>IFERROR(VLOOKUP($A:$A,CS!$A:$AK,22,FALSE),"")</f>
      </c>
      <c r="N380" s="57">
        <f>IFERROR(VLOOKUP($A:$A,CS!$A:$AK,19,FALSE),"")</f>
      </c>
      <c r="O380" s="57">
        <f>IFERROR(VLOOKUP($A:$A,CS!$A:$AK,23,FALSE),"")</f>
      </c>
      <c r="P380" s="57">
        <f>IFERROR(VLOOKUP($A:$A,CS!$A:$AK,24,FALSE),"")</f>
      </c>
      <c r="Q380" s="57">
        <f>IFERROR(VLOOKUP($A:$A,CS!$A:$AK,25,FALSE),"")</f>
      </c>
      <c r="R380" s="57">
        <f>IFERROR(VLOOKUP($A:$A,CS!$A:$AK,26,FALSE),"")</f>
      </c>
      <c r="S380" s="57">
        <f>IFERROR(VLOOKUP($A:$A,CS!$A:$AK,29,FALSE),"")</f>
      </c>
      <c r="T380" s="57">
        <f>IFERROR(VLOOKUP($A:$A,CS!$A:$AK,33,FALSE),"")</f>
      </c>
      <c r="U380" s="57">
        <f>IFERROR(VLOOKUP($A:$A,CS!$A:$AK,34,FALSE),"")</f>
      </c>
      <c r="V380" s="57">
        <f>IFERROR(VLOOKUP($A:$A,CS!$A:$AK,35,FALSE),"")</f>
      </c>
      <c r="W380" s="57">
        <f>IFERROR(VLOOKUP($A:$A,CS!$A:$AK,36,FALSE),"")</f>
      </c>
    </row>
    <row r="381" ht="16.5" customHeight="1" spans="1:23" x14ac:dyDescent="0.25">
      <c r="A381" s="71"/>
      <c r="B381" s="57">
        <f>IFERROR(VLOOKUP($A:$A,CS!$A:$AK,3,FALSE),"")</f>
      </c>
      <c r="C381" s="57">
        <f>IFERROR(VLOOKUP($A:$A,CS!$A:$AK,4,FALSE),"")</f>
      </c>
      <c r="D381" s="57">
        <f>IFERROR(VLOOKUP($A:$A,CS!$A:$AK,5,FALSE),"")</f>
      </c>
      <c r="E381" s="57">
        <f>IFERROR(VLOOKUP($A:$A,CS!$A:$AK,7,FALSE),"")</f>
      </c>
      <c r="F381" s="57">
        <f>IFERROR(VLOOKUP($A:$A,CS!$A:$AK,8,FALSE),"")</f>
      </c>
      <c r="G381" s="57">
        <f>IFERROR(VLOOKUP($A:$A,CS!$A:$AK,10,FALSE),"")</f>
      </c>
      <c r="H381" s="57">
        <f>IFERROR(VLOOKUP($A:$A,CS!$A:$AK,14,FALSE),"")</f>
      </c>
      <c r="I381" s="57">
        <f>IFERROR(VLOOKUP($A:$A,CS!$A:$AK,15,FALSE),"")</f>
      </c>
      <c r="J381" s="57">
        <f>IFERROR(VLOOKUP($A:$A,CS!$A:$AK,18,FALSE),"")</f>
      </c>
      <c r="K381" s="57">
        <f>IFERROR(VLOOKUP($A:$A,CS!$A:$AK,19,FALSE),"")</f>
      </c>
      <c r="L381" s="57">
        <f>IFERROR(VLOOKUP($A:$A,CS!$A:$AK,20,FALSE),"")</f>
      </c>
      <c r="M381" s="57">
        <f>IFERROR(VLOOKUP($A:$A,CS!$A:$AK,22,FALSE),"")</f>
      </c>
      <c r="N381" s="57">
        <f>IFERROR(VLOOKUP($A:$A,CS!$A:$AK,19,FALSE),"")</f>
      </c>
      <c r="O381" s="57">
        <f>IFERROR(VLOOKUP($A:$A,CS!$A:$AK,23,FALSE),"")</f>
      </c>
      <c r="P381" s="57">
        <f>IFERROR(VLOOKUP($A:$A,CS!$A:$AK,24,FALSE),"")</f>
      </c>
      <c r="Q381" s="57">
        <f>IFERROR(VLOOKUP($A:$A,CS!$A:$AK,25,FALSE),"")</f>
      </c>
      <c r="R381" s="57">
        <f>IFERROR(VLOOKUP($A:$A,CS!$A:$AK,26,FALSE),"")</f>
      </c>
      <c r="S381" s="57">
        <f>IFERROR(VLOOKUP($A:$A,CS!$A:$AK,29,FALSE),"")</f>
      </c>
      <c r="T381" s="57">
        <f>IFERROR(VLOOKUP($A:$A,CS!$A:$AK,33,FALSE),"")</f>
      </c>
      <c r="U381" s="57">
        <f>IFERROR(VLOOKUP($A:$A,CS!$A:$AK,34,FALSE),"")</f>
      </c>
      <c r="V381" s="57">
        <f>IFERROR(VLOOKUP($A:$A,CS!$A:$AK,35,FALSE),"")</f>
      </c>
      <c r="W381" s="57">
        <f>IFERROR(VLOOKUP($A:$A,CS!$A:$AK,36,FALSE),"")</f>
      </c>
    </row>
    <row r="382" ht="16.5" customHeight="1" spans="1:23" x14ac:dyDescent="0.25">
      <c r="A382" s="71"/>
      <c r="B382" s="57">
        <f>IFERROR(VLOOKUP($A:$A,CS!$A:$AK,3,FALSE),"")</f>
      </c>
      <c r="C382" s="57">
        <f>IFERROR(VLOOKUP($A:$A,CS!$A:$AK,4,FALSE),"")</f>
      </c>
      <c r="D382" s="57">
        <f>IFERROR(VLOOKUP($A:$A,CS!$A:$AK,5,FALSE),"")</f>
      </c>
      <c r="E382" s="57">
        <f>IFERROR(VLOOKUP($A:$A,CS!$A:$AK,7,FALSE),"")</f>
      </c>
      <c r="F382" s="57">
        <f>IFERROR(VLOOKUP($A:$A,CS!$A:$AK,8,FALSE),"")</f>
      </c>
      <c r="G382" s="57">
        <f>IFERROR(VLOOKUP($A:$A,CS!$A:$AK,10,FALSE),"")</f>
      </c>
      <c r="H382" s="57">
        <f>IFERROR(VLOOKUP($A:$A,CS!$A:$AK,14,FALSE),"")</f>
      </c>
      <c r="I382" s="57">
        <f>IFERROR(VLOOKUP($A:$A,CS!$A:$AK,15,FALSE),"")</f>
      </c>
      <c r="J382" s="57">
        <f>IFERROR(VLOOKUP($A:$A,CS!$A:$AK,18,FALSE),"")</f>
      </c>
      <c r="K382" s="57">
        <f>IFERROR(VLOOKUP($A:$A,CS!$A:$AK,19,FALSE),"")</f>
      </c>
      <c r="L382" s="57">
        <f>IFERROR(VLOOKUP($A:$A,CS!$A:$AK,20,FALSE),"")</f>
      </c>
      <c r="M382" s="57">
        <f>IFERROR(VLOOKUP($A:$A,CS!$A:$AK,22,FALSE),"")</f>
      </c>
      <c r="N382" s="57">
        <f>IFERROR(VLOOKUP($A:$A,CS!$A:$AK,19,FALSE),"")</f>
      </c>
      <c r="O382" s="57">
        <f>IFERROR(VLOOKUP($A:$A,CS!$A:$AK,23,FALSE),"")</f>
      </c>
      <c r="P382" s="57">
        <f>IFERROR(VLOOKUP($A:$A,CS!$A:$AK,24,FALSE),"")</f>
      </c>
      <c r="Q382" s="57">
        <f>IFERROR(VLOOKUP($A:$A,CS!$A:$AK,25,FALSE),"")</f>
      </c>
      <c r="R382" s="57">
        <f>IFERROR(VLOOKUP($A:$A,CS!$A:$AK,26,FALSE),"")</f>
      </c>
      <c r="S382" s="57">
        <f>IFERROR(VLOOKUP($A:$A,CS!$A:$AK,29,FALSE),"")</f>
      </c>
      <c r="T382" s="57">
        <f>IFERROR(VLOOKUP($A:$A,CS!$A:$AK,33,FALSE),"")</f>
      </c>
      <c r="U382" s="57">
        <f>IFERROR(VLOOKUP($A:$A,CS!$A:$AK,34,FALSE),"")</f>
      </c>
      <c r="V382" s="57">
        <f>IFERROR(VLOOKUP($A:$A,CS!$A:$AK,35,FALSE),"")</f>
      </c>
      <c r="W382" s="57">
        <f>IFERROR(VLOOKUP($A:$A,CS!$A:$AK,36,FALSE),"")</f>
      </c>
    </row>
    <row r="383" ht="16.5" customHeight="1" spans="1:23" x14ac:dyDescent="0.25">
      <c r="A383" s="71"/>
      <c r="B383" s="57">
        <f>IFERROR(VLOOKUP($A:$A,CS!$A:$AK,3,FALSE),"")</f>
      </c>
      <c r="C383" s="57">
        <f>IFERROR(VLOOKUP($A:$A,CS!$A:$AK,4,FALSE),"")</f>
      </c>
      <c r="D383" s="57">
        <f>IFERROR(VLOOKUP($A:$A,CS!$A:$AK,5,FALSE),"")</f>
      </c>
      <c r="E383" s="57">
        <f>IFERROR(VLOOKUP($A:$A,CS!$A:$AK,7,FALSE),"")</f>
      </c>
      <c r="F383" s="57">
        <f>IFERROR(VLOOKUP($A:$A,CS!$A:$AK,8,FALSE),"")</f>
      </c>
      <c r="G383" s="57">
        <f>IFERROR(VLOOKUP($A:$A,CS!$A:$AK,10,FALSE),"")</f>
      </c>
      <c r="H383" s="57">
        <f>IFERROR(VLOOKUP($A:$A,CS!$A:$AK,14,FALSE),"")</f>
      </c>
      <c r="I383" s="57">
        <f>IFERROR(VLOOKUP($A:$A,CS!$A:$AK,15,FALSE),"")</f>
      </c>
      <c r="J383" s="57">
        <f>IFERROR(VLOOKUP($A:$A,CS!$A:$AK,18,FALSE),"")</f>
      </c>
      <c r="K383" s="57">
        <f>IFERROR(VLOOKUP($A:$A,CS!$A:$AK,19,FALSE),"")</f>
      </c>
      <c r="L383" s="57">
        <f>IFERROR(VLOOKUP($A:$A,CS!$A:$AK,20,FALSE),"")</f>
      </c>
      <c r="M383" s="57">
        <f>IFERROR(VLOOKUP($A:$A,CS!$A:$AK,22,FALSE),"")</f>
      </c>
      <c r="N383" s="57">
        <f>IFERROR(VLOOKUP($A:$A,CS!$A:$AK,19,FALSE),"")</f>
      </c>
      <c r="O383" s="57">
        <f>IFERROR(VLOOKUP($A:$A,CS!$A:$AK,23,FALSE),"")</f>
      </c>
      <c r="P383" s="57">
        <f>IFERROR(VLOOKUP($A:$A,CS!$A:$AK,24,FALSE),"")</f>
      </c>
      <c r="Q383" s="57">
        <f>IFERROR(VLOOKUP($A:$A,CS!$A:$AK,25,FALSE),"")</f>
      </c>
      <c r="R383" s="57">
        <f>IFERROR(VLOOKUP($A:$A,CS!$A:$AK,26,FALSE),"")</f>
      </c>
      <c r="S383" s="57">
        <f>IFERROR(VLOOKUP($A:$A,CS!$A:$AK,29,FALSE),"")</f>
      </c>
      <c r="T383" s="57">
        <f>IFERROR(VLOOKUP($A:$A,CS!$A:$AK,33,FALSE),"")</f>
      </c>
      <c r="U383" s="57">
        <f>IFERROR(VLOOKUP($A:$A,CS!$A:$AK,34,FALSE),"")</f>
      </c>
      <c r="V383" s="57">
        <f>IFERROR(VLOOKUP($A:$A,CS!$A:$AK,35,FALSE),"")</f>
      </c>
      <c r="W383" s="57">
        <f>IFERROR(VLOOKUP($A:$A,CS!$A:$AK,36,FALSE),"")</f>
      </c>
    </row>
    <row r="384" ht="16.5" customHeight="1" spans="1:23" x14ac:dyDescent="0.25">
      <c r="A384" s="71"/>
      <c r="B384" s="57">
        <f>IFERROR(VLOOKUP($A:$A,CS!$A:$AK,3,FALSE),"")</f>
      </c>
      <c r="C384" s="57">
        <f>IFERROR(VLOOKUP($A:$A,CS!$A:$AK,4,FALSE),"")</f>
      </c>
      <c r="D384" s="57">
        <f>IFERROR(VLOOKUP($A:$A,CS!$A:$AK,5,FALSE),"")</f>
      </c>
      <c r="E384" s="57">
        <f>IFERROR(VLOOKUP($A:$A,CS!$A:$AK,7,FALSE),"")</f>
      </c>
      <c r="F384" s="57">
        <f>IFERROR(VLOOKUP($A:$A,CS!$A:$AK,8,FALSE),"")</f>
      </c>
      <c r="G384" s="57">
        <f>IFERROR(VLOOKUP($A:$A,CS!$A:$AK,10,FALSE),"")</f>
      </c>
      <c r="H384" s="57">
        <f>IFERROR(VLOOKUP($A:$A,CS!$A:$AK,14,FALSE),"")</f>
      </c>
      <c r="I384" s="57">
        <f>IFERROR(VLOOKUP($A:$A,CS!$A:$AK,15,FALSE),"")</f>
      </c>
      <c r="J384" s="57">
        <f>IFERROR(VLOOKUP($A:$A,CS!$A:$AK,18,FALSE),"")</f>
      </c>
      <c r="K384" s="57">
        <f>IFERROR(VLOOKUP($A:$A,CS!$A:$AK,19,FALSE),"")</f>
      </c>
      <c r="L384" s="57">
        <f>IFERROR(VLOOKUP($A:$A,CS!$A:$AK,20,FALSE),"")</f>
      </c>
      <c r="M384" s="57">
        <f>IFERROR(VLOOKUP($A:$A,CS!$A:$AK,22,FALSE),"")</f>
      </c>
      <c r="N384" s="57">
        <f>IFERROR(VLOOKUP($A:$A,CS!$A:$AK,19,FALSE),"")</f>
      </c>
      <c r="O384" s="57">
        <f>IFERROR(VLOOKUP($A:$A,CS!$A:$AK,23,FALSE),"")</f>
      </c>
      <c r="P384" s="57">
        <f>IFERROR(VLOOKUP($A:$A,CS!$A:$AK,24,FALSE),"")</f>
      </c>
      <c r="Q384" s="57">
        <f>IFERROR(VLOOKUP($A:$A,CS!$A:$AK,25,FALSE),"")</f>
      </c>
      <c r="R384" s="57">
        <f>IFERROR(VLOOKUP($A:$A,CS!$A:$AK,26,FALSE),"")</f>
      </c>
      <c r="S384" s="57">
        <f>IFERROR(VLOOKUP($A:$A,CS!$A:$AK,29,FALSE),"")</f>
      </c>
      <c r="T384" s="57">
        <f>IFERROR(VLOOKUP($A:$A,CS!$A:$AK,33,FALSE),"")</f>
      </c>
      <c r="U384" s="57">
        <f>IFERROR(VLOOKUP($A:$A,CS!$A:$AK,34,FALSE),"")</f>
      </c>
      <c r="V384" s="57">
        <f>IFERROR(VLOOKUP($A:$A,CS!$A:$AK,35,FALSE),"")</f>
      </c>
      <c r="W384" s="57">
        <f>IFERROR(VLOOKUP($A:$A,CS!$A:$AK,36,FALSE),"")</f>
      </c>
    </row>
    <row r="385" ht="16.5" customHeight="1" spans="1:23" x14ac:dyDescent="0.25">
      <c r="A385" s="71"/>
      <c r="B385" s="57">
        <f>IFERROR(VLOOKUP($A:$A,CS!$A:$AK,3,FALSE),"")</f>
      </c>
      <c r="C385" s="57">
        <f>IFERROR(VLOOKUP($A:$A,CS!$A:$AK,4,FALSE),"")</f>
      </c>
      <c r="D385" s="57">
        <f>IFERROR(VLOOKUP($A:$A,CS!$A:$AK,5,FALSE),"")</f>
      </c>
      <c r="E385" s="57">
        <f>IFERROR(VLOOKUP($A:$A,CS!$A:$AK,7,FALSE),"")</f>
      </c>
      <c r="F385" s="57">
        <f>IFERROR(VLOOKUP($A:$A,CS!$A:$AK,8,FALSE),"")</f>
      </c>
      <c r="G385" s="57">
        <f>IFERROR(VLOOKUP($A:$A,CS!$A:$AK,10,FALSE),"")</f>
      </c>
      <c r="H385" s="57">
        <f>IFERROR(VLOOKUP($A:$A,CS!$A:$AK,14,FALSE),"")</f>
      </c>
      <c r="I385" s="57">
        <f>IFERROR(VLOOKUP($A:$A,CS!$A:$AK,15,FALSE),"")</f>
      </c>
      <c r="J385" s="57">
        <f>IFERROR(VLOOKUP($A:$A,CS!$A:$AK,18,FALSE),"")</f>
      </c>
      <c r="K385" s="57">
        <f>IFERROR(VLOOKUP($A:$A,CS!$A:$AK,19,FALSE),"")</f>
      </c>
      <c r="L385" s="57">
        <f>IFERROR(VLOOKUP($A:$A,CS!$A:$AK,20,FALSE),"")</f>
      </c>
      <c r="M385" s="57">
        <f>IFERROR(VLOOKUP($A:$A,CS!$A:$AK,22,FALSE),"")</f>
      </c>
      <c r="N385" s="57">
        <f>IFERROR(VLOOKUP($A:$A,CS!$A:$AK,19,FALSE),"")</f>
      </c>
      <c r="O385" s="57">
        <f>IFERROR(VLOOKUP($A:$A,CS!$A:$AK,23,FALSE),"")</f>
      </c>
      <c r="P385" s="57">
        <f>IFERROR(VLOOKUP($A:$A,CS!$A:$AK,24,FALSE),"")</f>
      </c>
      <c r="Q385" s="57">
        <f>IFERROR(VLOOKUP($A:$A,CS!$A:$AK,25,FALSE),"")</f>
      </c>
      <c r="R385" s="57">
        <f>IFERROR(VLOOKUP($A:$A,CS!$A:$AK,26,FALSE),"")</f>
      </c>
      <c r="S385" s="57">
        <f>IFERROR(VLOOKUP($A:$A,CS!$A:$AK,29,FALSE),"")</f>
      </c>
      <c r="T385" s="57">
        <f>IFERROR(VLOOKUP($A:$A,CS!$A:$AK,33,FALSE),"")</f>
      </c>
      <c r="U385" s="57">
        <f>IFERROR(VLOOKUP($A:$A,CS!$A:$AK,34,FALSE),"")</f>
      </c>
      <c r="V385" s="57">
        <f>IFERROR(VLOOKUP($A:$A,CS!$A:$AK,35,FALSE),"")</f>
      </c>
      <c r="W385" s="57">
        <f>IFERROR(VLOOKUP($A:$A,CS!$A:$AK,36,FALSE),"")</f>
      </c>
    </row>
    <row r="386" ht="16.5" customHeight="1" spans="1:23" x14ac:dyDescent="0.25">
      <c r="A386" s="71"/>
      <c r="B386" s="57">
        <f>IFERROR(VLOOKUP($A:$A,CS!$A:$AK,3,FALSE),"")</f>
      </c>
      <c r="C386" s="57">
        <f>IFERROR(VLOOKUP($A:$A,CS!$A:$AK,4,FALSE),"")</f>
      </c>
      <c r="D386" s="57">
        <f>IFERROR(VLOOKUP($A:$A,CS!$A:$AK,5,FALSE),"")</f>
      </c>
      <c r="E386" s="57">
        <f>IFERROR(VLOOKUP($A:$A,CS!$A:$AK,7,FALSE),"")</f>
      </c>
      <c r="F386" s="57">
        <f>IFERROR(VLOOKUP($A:$A,CS!$A:$AK,8,FALSE),"")</f>
      </c>
      <c r="G386" s="57">
        <f>IFERROR(VLOOKUP($A:$A,CS!$A:$AK,10,FALSE),"")</f>
      </c>
      <c r="H386" s="57">
        <f>IFERROR(VLOOKUP($A:$A,CS!$A:$AK,14,FALSE),"")</f>
      </c>
      <c r="I386" s="57">
        <f>IFERROR(VLOOKUP($A:$A,CS!$A:$AK,15,FALSE),"")</f>
      </c>
      <c r="J386" s="57">
        <f>IFERROR(VLOOKUP($A:$A,CS!$A:$AK,18,FALSE),"")</f>
      </c>
      <c r="K386" s="57">
        <f>IFERROR(VLOOKUP($A:$A,CS!$A:$AK,19,FALSE),"")</f>
      </c>
      <c r="L386" s="57">
        <f>IFERROR(VLOOKUP($A:$A,CS!$A:$AK,20,FALSE),"")</f>
      </c>
      <c r="M386" s="57">
        <f>IFERROR(VLOOKUP($A:$A,CS!$A:$AK,22,FALSE),"")</f>
      </c>
      <c r="N386" s="57">
        <f>IFERROR(VLOOKUP($A:$A,CS!$A:$AK,19,FALSE),"")</f>
      </c>
      <c r="O386" s="57">
        <f>IFERROR(VLOOKUP($A:$A,CS!$A:$AK,23,FALSE),"")</f>
      </c>
      <c r="P386" s="57">
        <f>IFERROR(VLOOKUP($A:$A,CS!$A:$AK,24,FALSE),"")</f>
      </c>
      <c r="Q386" s="57">
        <f>IFERROR(VLOOKUP($A:$A,CS!$A:$AK,25,FALSE),"")</f>
      </c>
      <c r="R386" s="57">
        <f>IFERROR(VLOOKUP($A:$A,CS!$A:$AK,26,FALSE),"")</f>
      </c>
      <c r="S386" s="57">
        <f>IFERROR(VLOOKUP($A:$A,CS!$A:$AK,29,FALSE),"")</f>
      </c>
      <c r="T386" s="57">
        <f>IFERROR(VLOOKUP($A:$A,CS!$A:$AK,33,FALSE),"")</f>
      </c>
      <c r="U386" s="57">
        <f>IFERROR(VLOOKUP($A:$A,CS!$A:$AK,34,FALSE),"")</f>
      </c>
      <c r="V386" s="57">
        <f>IFERROR(VLOOKUP($A:$A,CS!$A:$AK,35,FALSE),"")</f>
      </c>
      <c r="W386" s="57">
        <f>IFERROR(VLOOKUP($A:$A,CS!$A:$AK,36,FALSE),"")</f>
      </c>
    </row>
    <row r="387" ht="16.5" customHeight="1" spans="1:23" x14ac:dyDescent="0.25">
      <c r="A387" s="71"/>
      <c r="B387" s="57">
        <f>IFERROR(VLOOKUP($A:$A,CS!$A:$AK,3,FALSE),"")</f>
      </c>
      <c r="C387" s="57">
        <f>IFERROR(VLOOKUP($A:$A,CS!$A:$AK,4,FALSE),"")</f>
      </c>
      <c r="D387" s="57">
        <f>IFERROR(VLOOKUP($A:$A,CS!$A:$AK,5,FALSE),"")</f>
      </c>
      <c r="E387" s="57">
        <f>IFERROR(VLOOKUP($A:$A,CS!$A:$AK,7,FALSE),"")</f>
      </c>
      <c r="F387" s="57">
        <f>IFERROR(VLOOKUP($A:$A,CS!$A:$AK,8,FALSE),"")</f>
      </c>
      <c r="G387" s="57">
        <f>IFERROR(VLOOKUP($A:$A,CS!$A:$AK,10,FALSE),"")</f>
      </c>
      <c r="H387" s="57">
        <f>IFERROR(VLOOKUP($A:$A,CS!$A:$AK,14,FALSE),"")</f>
      </c>
      <c r="I387" s="57">
        <f>IFERROR(VLOOKUP($A:$A,CS!$A:$AK,15,FALSE),"")</f>
      </c>
      <c r="J387" s="57">
        <f>IFERROR(VLOOKUP($A:$A,CS!$A:$AK,18,FALSE),"")</f>
      </c>
      <c r="K387" s="57">
        <f>IFERROR(VLOOKUP($A:$A,CS!$A:$AK,19,FALSE),"")</f>
      </c>
      <c r="L387" s="57">
        <f>IFERROR(VLOOKUP($A:$A,CS!$A:$AK,20,FALSE),"")</f>
      </c>
      <c r="M387" s="57">
        <f>IFERROR(VLOOKUP($A:$A,CS!$A:$AK,22,FALSE),"")</f>
      </c>
      <c r="N387" s="57">
        <f>IFERROR(VLOOKUP($A:$A,CS!$A:$AK,19,FALSE),"")</f>
      </c>
      <c r="O387" s="57">
        <f>IFERROR(VLOOKUP($A:$A,CS!$A:$AK,23,FALSE),"")</f>
      </c>
      <c r="P387" s="57">
        <f>IFERROR(VLOOKUP($A:$A,CS!$A:$AK,24,FALSE),"")</f>
      </c>
      <c r="Q387" s="57">
        <f>IFERROR(VLOOKUP($A:$A,CS!$A:$AK,25,FALSE),"")</f>
      </c>
      <c r="R387" s="57">
        <f>IFERROR(VLOOKUP($A:$A,CS!$A:$AK,26,FALSE),"")</f>
      </c>
      <c r="S387" s="57">
        <f>IFERROR(VLOOKUP($A:$A,CS!$A:$AK,29,FALSE),"")</f>
      </c>
      <c r="T387" s="57">
        <f>IFERROR(VLOOKUP($A:$A,CS!$A:$AK,33,FALSE),"")</f>
      </c>
      <c r="U387" s="57">
        <f>IFERROR(VLOOKUP($A:$A,CS!$A:$AK,34,FALSE),"")</f>
      </c>
      <c r="V387" s="57">
        <f>IFERROR(VLOOKUP($A:$A,CS!$A:$AK,35,FALSE),"")</f>
      </c>
      <c r="W387" s="57">
        <f>IFERROR(VLOOKUP($A:$A,CS!$A:$AK,36,FALSE),"")</f>
      </c>
    </row>
    <row r="388" ht="16.5" customHeight="1" spans="1:23" x14ac:dyDescent="0.25">
      <c r="A388" s="71"/>
      <c r="B388" s="57">
        <f>IFERROR(VLOOKUP($A:$A,CS!$A:$AK,3,FALSE),"")</f>
      </c>
      <c r="C388" s="57">
        <f>IFERROR(VLOOKUP($A:$A,CS!$A:$AK,4,FALSE),"")</f>
      </c>
      <c r="D388" s="57">
        <f>IFERROR(VLOOKUP($A:$A,CS!$A:$AK,5,FALSE),"")</f>
      </c>
      <c r="E388" s="57">
        <f>IFERROR(VLOOKUP($A:$A,CS!$A:$AK,7,FALSE),"")</f>
      </c>
      <c r="F388" s="57">
        <f>IFERROR(VLOOKUP($A:$A,CS!$A:$AK,8,FALSE),"")</f>
      </c>
      <c r="G388" s="57">
        <f>IFERROR(VLOOKUP($A:$A,CS!$A:$AK,10,FALSE),"")</f>
      </c>
      <c r="H388" s="57">
        <f>IFERROR(VLOOKUP($A:$A,CS!$A:$AK,14,FALSE),"")</f>
      </c>
      <c r="I388" s="57">
        <f>IFERROR(VLOOKUP($A:$A,CS!$A:$AK,15,FALSE),"")</f>
      </c>
      <c r="J388" s="57">
        <f>IFERROR(VLOOKUP($A:$A,CS!$A:$AK,18,FALSE),"")</f>
      </c>
      <c r="K388" s="57">
        <f>IFERROR(VLOOKUP($A:$A,CS!$A:$AK,19,FALSE),"")</f>
      </c>
      <c r="L388" s="57">
        <f>IFERROR(VLOOKUP($A:$A,CS!$A:$AK,20,FALSE),"")</f>
      </c>
      <c r="M388" s="57">
        <f>IFERROR(VLOOKUP($A:$A,CS!$A:$AK,22,FALSE),"")</f>
      </c>
      <c r="N388" s="57">
        <f>IFERROR(VLOOKUP($A:$A,CS!$A:$AK,19,FALSE),"")</f>
      </c>
      <c r="O388" s="57">
        <f>IFERROR(VLOOKUP($A:$A,CS!$A:$AK,23,FALSE),"")</f>
      </c>
      <c r="P388" s="57">
        <f>IFERROR(VLOOKUP($A:$A,CS!$A:$AK,24,FALSE),"")</f>
      </c>
      <c r="Q388" s="57">
        <f>IFERROR(VLOOKUP($A:$A,CS!$A:$AK,25,FALSE),"")</f>
      </c>
      <c r="R388" s="57">
        <f>IFERROR(VLOOKUP($A:$A,CS!$A:$AK,26,FALSE),"")</f>
      </c>
      <c r="S388" s="57">
        <f>IFERROR(VLOOKUP($A:$A,CS!$A:$AK,29,FALSE),"")</f>
      </c>
      <c r="T388" s="57">
        <f>IFERROR(VLOOKUP($A:$A,CS!$A:$AK,33,FALSE),"")</f>
      </c>
      <c r="U388" s="57">
        <f>IFERROR(VLOOKUP($A:$A,CS!$A:$AK,34,FALSE),"")</f>
      </c>
      <c r="V388" s="57">
        <f>IFERROR(VLOOKUP($A:$A,CS!$A:$AK,35,FALSE),"")</f>
      </c>
      <c r="W388" s="57">
        <f>IFERROR(VLOOKUP($A:$A,CS!$A:$AK,36,FALSE),"")</f>
      </c>
    </row>
    <row r="389" ht="16.5" customHeight="1" spans="1:23" x14ac:dyDescent="0.25">
      <c r="A389" s="71"/>
      <c r="B389" s="57">
        <f>IFERROR(VLOOKUP($A:$A,CS!$A:$AK,3,FALSE),"")</f>
      </c>
      <c r="C389" s="57">
        <f>IFERROR(VLOOKUP($A:$A,CS!$A:$AK,4,FALSE),"")</f>
      </c>
      <c r="D389" s="57">
        <f>IFERROR(VLOOKUP($A:$A,CS!$A:$AK,5,FALSE),"")</f>
      </c>
      <c r="E389" s="57">
        <f>IFERROR(VLOOKUP($A:$A,CS!$A:$AK,7,FALSE),"")</f>
      </c>
      <c r="F389" s="57">
        <f>IFERROR(VLOOKUP($A:$A,CS!$A:$AK,8,FALSE),"")</f>
      </c>
      <c r="G389" s="57">
        <f>IFERROR(VLOOKUP($A:$A,CS!$A:$AK,10,FALSE),"")</f>
      </c>
      <c r="H389" s="57">
        <f>IFERROR(VLOOKUP($A:$A,CS!$A:$AK,14,FALSE),"")</f>
      </c>
      <c r="I389" s="57">
        <f>IFERROR(VLOOKUP($A:$A,CS!$A:$AK,15,FALSE),"")</f>
      </c>
      <c r="J389" s="57">
        <f>IFERROR(VLOOKUP($A:$A,CS!$A:$AK,18,FALSE),"")</f>
      </c>
      <c r="K389" s="57">
        <f>IFERROR(VLOOKUP($A:$A,CS!$A:$AK,19,FALSE),"")</f>
      </c>
      <c r="L389" s="57">
        <f>IFERROR(VLOOKUP($A:$A,CS!$A:$AK,20,FALSE),"")</f>
      </c>
      <c r="M389" s="57">
        <f>IFERROR(VLOOKUP($A:$A,CS!$A:$AK,22,FALSE),"")</f>
      </c>
      <c r="N389" s="57">
        <f>IFERROR(VLOOKUP($A:$A,CS!$A:$AK,19,FALSE),"")</f>
      </c>
      <c r="O389" s="57">
        <f>IFERROR(VLOOKUP($A:$A,CS!$A:$AK,23,FALSE),"")</f>
      </c>
      <c r="P389" s="57">
        <f>IFERROR(VLOOKUP($A:$A,CS!$A:$AK,24,FALSE),"")</f>
      </c>
      <c r="Q389" s="57">
        <f>IFERROR(VLOOKUP($A:$A,CS!$A:$AK,25,FALSE),"")</f>
      </c>
      <c r="R389" s="57">
        <f>IFERROR(VLOOKUP($A:$A,CS!$A:$AK,26,FALSE),"")</f>
      </c>
      <c r="S389" s="57">
        <f>IFERROR(VLOOKUP($A:$A,CS!$A:$AK,29,FALSE),"")</f>
      </c>
      <c r="T389" s="57">
        <f>IFERROR(VLOOKUP($A:$A,CS!$A:$AK,33,FALSE),"")</f>
      </c>
      <c r="U389" s="57">
        <f>IFERROR(VLOOKUP($A:$A,CS!$A:$AK,34,FALSE),"")</f>
      </c>
      <c r="V389" s="57">
        <f>IFERROR(VLOOKUP($A:$A,CS!$A:$AK,35,FALSE),"")</f>
      </c>
      <c r="W389" s="57">
        <f>IFERROR(VLOOKUP($A:$A,CS!$A:$AK,36,FALSE),"")</f>
      </c>
    </row>
    <row r="390" ht="16.5" customHeight="1" spans="1:23" x14ac:dyDescent="0.25">
      <c r="A390" s="71"/>
      <c r="B390" s="57">
        <f>IFERROR(VLOOKUP($A:$A,CS!$A:$AK,3,FALSE),"")</f>
      </c>
      <c r="C390" s="57">
        <f>IFERROR(VLOOKUP($A:$A,CS!$A:$AK,4,FALSE),"")</f>
      </c>
      <c r="D390" s="57">
        <f>IFERROR(VLOOKUP($A:$A,CS!$A:$AK,5,FALSE),"")</f>
      </c>
      <c r="E390" s="57">
        <f>IFERROR(VLOOKUP($A:$A,CS!$A:$AK,7,FALSE),"")</f>
      </c>
      <c r="F390" s="57">
        <f>IFERROR(VLOOKUP($A:$A,CS!$A:$AK,8,FALSE),"")</f>
      </c>
      <c r="G390" s="57">
        <f>IFERROR(VLOOKUP($A:$A,CS!$A:$AK,10,FALSE),"")</f>
      </c>
      <c r="H390" s="57">
        <f>IFERROR(VLOOKUP($A:$A,CS!$A:$AK,14,FALSE),"")</f>
      </c>
      <c r="I390" s="57">
        <f>IFERROR(VLOOKUP($A:$A,CS!$A:$AK,15,FALSE),"")</f>
      </c>
      <c r="J390" s="57">
        <f>IFERROR(VLOOKUP($A:$A,CS!$A:$AK,18,FALSE),"")</f>
      </c>
      <c r="K390" s="57">
        <f>IFERROR(VLOOKUP($A:$A,CS!$A:$AK,19,FALSE),"")</f>
      </c>
      <c r="L390" s="57">
        <f>IFERROR(VLOOKUP($A:$A,CS!$A:$AK,20,FALSE),"")</f>
      </c>
      <c r="M390" s="57">
        <f>IFERROR(VLOOKUP($A:$A,CS!$A:$AK,22,FALSE),"")</f>
      </c>
      <c r="N390" s="57">
        <f>IFERROR(VLOOKUP($A:$A,CS!$A:$AK,19,FALSE),"")</f>
      </c>
      <c r="O390" s="57">
        <f>IFERROR(VLOOKUP($A:$A,CS!$A:$AK,23,FALSE),"")</f>
      </c>
      <c r="P390" s="57">
        <f>IFERROR(VLOOKUP($A:$A,CS!$A:$AK,24,FALSE),"")</f>
      </c>
      <c r="Q390" s="57">
        <f>IFERROR(VLOOKUP($A:$A,CS!$A:$AK,25,FALSE),"")</f>
      </c>
      <c r="R390" s="57">
        <f>IFERROR(VLOOKUP($A:$A,CS!$A:$AK,26,FALSE),"")</f>
      </c>
      <c r="S390" s="57">
        <f>IFERROR(VLOOKUP($A:$A,CS!$A:$AK,29,FALSE),"")</f>
      </c>
      <c r="T390" s="57">
        <f>IFERROR(VLOOKUP($A:$A,CS!$A:$AK,33,FALSE),"")</f>
      </c>
      <c r="U390" s="57">
        <f>IFERROR(VLOOKUP($A:$A,CS!$A:$AK,34,FALSE),"")</f>
      </c>
      <c r="V390" s="57">
        <f>IFERROR(VLOOKUP($A:$A,CS!$A:$AK,35,FALSE),"")</f>
      </c>
      <c r="W390" s="57">
        <f>IFERROR(VLOOKUP($A:$A,CS!$A:$AK,36,FALSE),"")</f>
      </c>
    </row>
    <row r="391" ht="16.5" customHeight="1" spans="1:23" x14ac:dyDescent="0.25">
      <c r="A391" s="71"/>
      <c r="B391" s="57">
        <f>IFERROR(VLOOKUP($A:$A,CS!$A:$AK,3,FALSE),"")</f>
      </c>
      <c r="C391" s="57">
        <f>IFERROR(VLOOKUP($A:$A,CS!$A:$AK,4,FALSE),"")</f>
      </c>
      <c r="D391" s="57">
        <f>IFERROR(VLOOKUP($A:$A,CS!$A:$AK,5,FALSE),"")</f>
      </c>
      <c r="E391" s="57">
        <f>IFERROR(VLOOKUP($A:$A,CS!$A:$AK,7,FALSE),"")</f>
      </c>
      <c r="F391" s="57">
        <f>IFERROR(VLOOKUP($A:$A,CS!$A:$AK,8,FALSE),"")</f>
      </c>
      <c r="G391" s="57">
        <f>IFERROR(VLOOKUP($A:$A,CS!$A:$AK,10,FALSE),"")</f>
      </c>
      <c r="H391" s="57">
        <f>IFERROR(VLOOKUP($A:$A,CS!$A:$AK,14,FALSE),"")</f>
      </c>
      <c r="I391" s="57">
        <f>IFERROR(VLOOKUP($A:$A,CS!$A:$AK,15,FALSE),"")</f>
      </c>
      <c r="J391" s="57">
        <f>IFERROR(VLOOKUP($A:$A,CS!$A:$AK,18,FALSE),"")</f>
      </c>
      <c r="K391" s="57">
        <f>IFERROR(VLOOKUP($A:$A,CS!$A:$AK,19,FALSE),"")</f>
      </c>
      <c r="L391" s="57">
        <f>IFERROR(VLOOKUP($A:$A,CS!$A:$AK,20,FALSE),"")</f>
      </c>
      <c r="M391" s="57">
        <f>IFERROR(VLOOKUP($A:$A,CS!$A:$AK,22,FALSE),"")</f>
      </c>
      <c r="N391" s="57">
        <f>IFERROR(VLOOKUP($A:$A,CS!$A:$AK,19,FALSE),"")</f>
      </c>
      <c r="O391" s="57">
        <f>IFERROR(VLOOKUP($A:$A,CS!$A:$AK,23,FALSE),"")</f>
      </c>
      <c r="P391" s="57">
        <f>IFERROR(VLOOKUP($A:$A,CS!$A:$AK,24,FALSE),"")</f>
      </c>
      <c r="Q391" s="57">
        <f>IFERROR(VLOOKUP($A:$A,CS!$A:$AK,25,FALSE),"")</f>
      </c>
      <c r="R391" s="57">
        <f>IFERROR(VLOOKUP($A:$A,CS!$A:$AK,26,FALSE),"")</f>
      </c>
      <c r="S391" s="57">
        <f>IFERROR(VLOOKUP($A:$A,CS!$A:$AK,29,FALSE),"")</f>
      </c>
      <c r="T391" s="57">
        <f>IFERROR(VLOOKUP($A:$A,CS!$A:$AK,33,FALSE),"")</f>
      </c>
      <c r="U391" s="57">
        <f>IFERROR(VLOOKUP($A:$A,CS!$A:$AK,34,FALSE),"")</f>
      </c>
      <c r="V391" s="57">
        <f>IFERROR(VLOOKUP($A:$A,CS!$A:$AK,35,FALSE),"")</f>
      </c>
      <c r="W391" s="57">
        <f>IFERROR(VLOOKUP($A:$A,CS!$A:$AK,36,FALSE),"")</f>
      </c>
    </row>
    <row r="392" ht="16.5" customHeight="1" spans="1:23" x14ac:dyDescent="0.25">
      <c r="A392" s="71"/>
      <c r="B392" s="57">
        <f>IFERROR(VLOOKUP($A:$A,CS!$A:$AK,3,FALSE),"")</f>
      </c>
      <c r="C392" s="57">
        <f>IFERROR(VLOOKUP($A:$A,CS!$A:$AK,4,FALSE),"")</f>
      </c>
      <c r="D392" s="57">
        <f>IFERROR(VLOOKUP($A:$A,CS!$A:$AK,5,FALSE),"")</f>
      </c>
      <c r="E392" s="57">
        <f>IFERROR(VLOOKUP($A:$A,CS!$A:$AK,7,FALSE),"")</f>
      </c>
      <c r="F392" s="57">
        <f>IFERROR(VLOOKUP($A:$A,CS!$A:$AK,8,FALSE),"")</f>
      </c>
      <c r="G392" s="57">
        <f>IFERROR(VLOOKUP($A:$A,CS!$A:$AK,10,FALSE),"")</f>
      </c>
      <c r="H392" s="57">
        <f>IFERROR(VLOOKUP($A:$A,CS!$A:$AK,14,FALSE),"")</f>
      </c>
      <c r="I392" s="57">
        <f>IFERROR(VLOOKUP($A:$A,CS!$A:$AK,15,FALSE),"")</f>
      </c>
      <c r="J392" s="57">
        <f>IFERROR(VLOOKUP($A:$A,CS!$A:$AK,18,FALSE),"")</f>
      </c>
      <c r="K392" s="57">
        <f>IFERROR(VLOOKUP($A:$A,CS!$A:$AK,19,FALSE),"")</f>
      </c>
      <c r="L392" s="57">
        <f>IFERROR(VLOOKUP($A:$A,CS!$A:$AK,20,FALSE),"")</f>
      </c>
      <c r="M392" s="57">
        <f>IFERROR(VLOOKUP($A:$A,CS!$A:$AK,22,FALSE),"")</f>
      </c>
      <c r="N392" s="57">
        <f>IFERROR(VLOOKUP($A:$A,CS!$A:$AK,19,FALSE),"")</f>
      </c>
      <c r="O392" s="57">
        <f>IFERROR(VLOOKUP($A:$A,CS!$A:$AK,23,FALSE),"")</f>
      </c>
      <c r="P392" s="57">
        <f>IFERROR(VLOOKUP($A:$A,CS!$A:$AK,24,FALSE),"")</f>
      </c>
      <c r="Q392" s="57">
        <f>IFERROR(VLOOKUP($A:$A,CS!$A:$AK,25,FALSE),"")</f>
      </c>
      <c r="R392" s="57">
        <f>IFERROR(VLOOKUP($A:$A,CS!$A:$AK,26,FALSE),"")</f>
      </c>
      <c r="S392" s="57">
        <f>IFERROR(VLOOKUP($A:$A,CS!$A:$AK,29,FALSE),"")</f>
      </c>
      <c r="T392" s="57">
        <f>IFERROR(VLOOKUP($A:$A,CS!$A:$AK,33,FALSE),"")</f>
      </c>
      <c r="U392" s="57">
        <f>IFERROR(VLOOKUP($A:$A,CS!$A:$AK,34,FALSE),"")</f>
      </c>
      <c r="V392" s="57">
        <f>IFERROR(VLOOKUP($A:$A,CS!$A:$AK,35,FALSE),"")</f>
      </c>
      <c r="W392" s="57">
        <f>IFERROR(VLOOKUP($A:$A,CS!$A:$AK,36,FALSE),"")</f>
      </c>
    </row>
    <row r="393" ht="16.5" customHeight="1" spans="1:23" x14ac:dyDescent="0.25">
      <c r="A393" s="71"/>
      <c r="B393" s="57">
        <f>IFERROR(VLOOKUP($A:$A,CS!$A:$AK,3,FALSE),"")</f>
      </c>
      <c r="C393" s="57">
        <f>IFERROR(VLOOKUP($A:$A,CS!$A:$AK,4,FALSE),"")</f>
      </c>
      <c r="D393" s="57">
        <f>IFERROR(VLOOKUP($A:$A,CS!$A:$AK,5,FALSE),"")</f>
      </c>
      <c r="E393" s="57">
        <f>IFERROR(VLOOKUP($A:$A,CS!$A:$AK,7,FALSE),"")</f>
      </c>
      <c r="F393" s="57">
        <f>IFERROR(VLOOKUP($A:$A,CS!$A:$AK,8,FALSE),"")</f>
      </c>
      <c r="G393" s="57">
        <f>IFERROR(VLOOKUP($A:$A,CS!$A:$AK,10,FALSE),"")</f>
      </c>
      <c r="H393" s="57">
        <f>IFERROR(VLOOKUP($A:$A,CS!$A:$AK,14,FALSE),"")</f>
      </c>
      <c r="I393" s="57">
        <f>IFERROR(VLOOKUP($A:$A,CS!$A:$AK,15,FALSE),"")</f>
      </c>
      <c r="J393" s="57">
        <f>IFERROR(VLOOKUP($A:$A,CS!$A:$AK,18,FALSE),"")</f>
      </c>
      <c r="K393" s="57">
        <f>IFERROR(VLOOKUP($A:$A,CS!$A:$AK,19,FALSE),"")</f>
      </c>
      <c r="L393" s="57">
        <f>IFERROR(VLOOKUP($A:$A,CS!$A:$AK,20,FALSE),"")</f>
      </c>
      <c r="M393" s="57">
        <f>IFERROR(VLOOKUP($A:$A,CS!$A:$AK,22,FALSE),"")</f>
      </c>
      <c r="N393" s="57">
        <f>IFERROR(VLOOKUP($A:$A,CS!$A:$AK,19,FALSE),"")</f>
      </c>
      <c r="O393" s="57">
        <f>IFERROR(VLOOKUP($A:$A,CS!$A:$AK,23,FALSE),"")</f>
      </c>
      <c r="P393" s="57">
        <f>IFERROR(VLOOKUP($A:$A,CS!$A:$AK,24,FALSE),"")</f>
      </c>
      <c r="Q393" s="57">
        <f>IFERROR(VLOOKUP($A:$A,CS!$A:$AK,25,FALSE),"")</f>
      </c>
      <c r="R393" s="57">
        <f>IFERROR(VLOOKUP($A:$A,CS!$A:$AK,26,FALSE),"")</f>
      </c>
      <c r="S393" s="57">
        <f>IFERROR(VLOOKUP($A:$A,CS!$A:$AK,29,FALSE),"")</f>
      </c>
      <c r="T393" s="57">
        <f>IFERROR(VLOOKUP($A:$A,CS!$A:$AK,33,FALSE),"")</f>
      </c>
      <c r="U393" s="57">
        <f>IFERROR(VLOOKUP($A:$A,CS!$A:$AK,34,FALSE),"")</f>
      </c>
      <c r="V393" s="57">
        <f>IFERROR(VLOOKUP($A:$A,CS!$A:$AK,35,FALSE),"")</f>
      </c>
      <c r="W393" s="57">
        <f>IFERROR(VLOOKUP($A:$A,CS!$A:$AK,36,FALSE),"")</f>
      </c>
    </row>
    <row r="394" ht="16.5" customHeight="1" spans="1:23" x14ac:dyDescent="0.25">
      <c r="A394" s="71"/>
      <c r="B394" s="57">
        <f>IFERROR(VLOOKUP($A:$A,CS!$A:$AK,3,FALSE),"")</f>
      </c>
      <c r="C394" s="57">
        <f>IFERROR(VLOOKUP($A:$A,CS!$A:$AK,4,FALSE),"")</f>
      </c>
      <c r="D394" s="57">
        <f>IFERROR(VLOOKUP($A:$A,CS!$A:$AK,5,FALSE),"")</f>
      </c>
      <c r="E394" s="57">
        <f>IFERROR(VLOOKUP($A:$A,CS!$A:$AK,7,FALSE),"")</f>
      </c>
      <c r="F394" s="57">
        <f>IFERROR(VLOOKUP($A:$A,CS!$A:$AK,8,FALSE),"")</f>
      </c>
      <c r="G394" s="57">
        <f>IFERROR(VLOOKUP($A:$A,CS!$A:$AK,10,FALSE),"")</f>
      </c>
      <c r="H394" s="57">
        <f>IFERROR(VLOOKUP($A:$A,CS!$A:$AK,14,FALSE),"")</f>
      </c>
      <c r="I394" s="57">
        <f>IFERROR(VLOOKUP($A:$A,CS!$A:$AK,15,FALSE),"")</f>
      </c>
      <c r="J394" s="57">
        <f>IFERROR(VLOOKUP($A:$A,CS!$A:$AK,18,FALSE),"")</f>
      </c>
      <c r="K394" s="57">
        <f>IFERROR(VLOOKUP($A:$A,CS!$A:$AK,19,FALSE),"")</f>
      </c>
      <c r="L394" s="57">
        <f>IFERROR(VLOOKUP($A:$A,CS!$A:$AK,20,FALSE),"")</f>
      </c>
      <c r="M394" s="57">
        <f>IFERROR(VLOOKUP($A:$A,CS!$A:$AK,22,FALSE),"")</f>
      </c>
      <c r="N394" s="57">
        <f>IFERROR(VLOOKUP($A:$A,CS!$A:$AK,19,FALSE),"")</f>
      </c>
      <c r="O394" s="57">
        <f>IFERROR(VLOOKUP($A:$A,CS!$A:$AK,23,FALSE),"")</f>
      </c>
      <c r="P394" s="57">
        <f>IFERROR(VLOOKUP($A:$A,CS!$A:$AK,24,FALSE),"")</f>
      </c>
      <c r="Q394" s="57">
        <f>IFERROR(VLOOKUP($A:$A,CS!$A:$AK,25,FALSE),"")</f>
      </c>
      <c r="R394" s="57">
        <f>IFERROR(VLOOKUP($A:$A,CS!$A:$AK,26,FALSE),"")</f>
      </c>
      <c r="S394" s="57">
        <f>IFERROR(VLOOKUP($A:$A,CS!$A:$AK,29,FALSE),"")</f>
      </c>
      <c r="T394" s="57">
        <f>IFERROR(VLOOKUP($A:$A,CS!$A:$AK,33,FALSE),"")</f>
      </c>
      <c r="U394" s="57">
        <f>IFERROR(VLOOKUP($A:$A,CS!$A:$AK,34,FALSE),"")</f>
      </c>
      <c r="V394" s="57">
        <f>IFERROR(VLOOKUP($A:$A,CS!$A:$AK,35,FALSE),"")</f>
      </c>
      <c r="W394" s="57">
        <f>IFERROR(VLOOKUP($A:$A,CS!$A:$AK,36,FALSE),"")</f>
      </c>
    </row>
    <row r="395" ht="16.5" customHeight="1" spans="1:23" x14ac:dyDescent="0.25">
      <c r="A395" s="71"/>
      <c r="B395" s="57">
        <f>IFERROR(VLOOKUP($A:$A,CS!$A:$AK,3,FALSE),"")</f>
      </c>
      <c r="C395" s="57">
        <f>IFERROR(VLOOKUP($A:$A,CS!$A:$AK,4,FALSE),"")</f>
      </c>
      <c r="D395" s="57">
        <f>IFERROR(VLOOKUP($A:$A,CS!$A:$AK,5,FALSE),"")</f>
      </c>
      <c r="E395" s="57">
        <f>IFERROR(VLOOKUP($A:$A,CS!$A:$AK,7,FALSE),"")</f>
      </c>
      <c r="F395" s="57">
        <f>IFERROR(VLOOKUP($A:$A,CS!$A:$AK,8,FALSE),"")</f>
      </c>
      <c r="G395" s="57">
        <f>IFERROR(VLOOKUP($A:$A,CS!$A:$AK,10,FALSE),"")</f>
      </c>
      <c r="H395" s="57">
        <f>IFERROR(VLOOKUP($A:$A,CS!$A:$AK,14,FALSE),"")</f>
      </c>
      <c r="I395" s="57">
        <f>IFERROR(VLOOKUP($A:$A,CS!$A:$AK,15,FALSE),"")</f>
      </c>
      <c r="J395" s="57">
        <f>IFERROR(VLOOKUP($A:$A,CS!$A:$AK,18,FALSE),"")</f>
      </c>
      <c r="K395" s="57">
        <f>IFERROR(VLOOKUP($A:$A,CS!$A:$AK,19,FALSE),"")</f>
      </c>
      <c r="L395" s="57">
        <f>IFERROR(VLOOKUP($A:$A,CS!$A:$AK,20,FALSE),"")</f>
      </c>
      <c r="M395" s="57">
        <f>IFERROR(VLOOKUP($A:$A,CS!$A:$AK,22,FALSE),"")</f>
      </c>
      <c r="N395" s="57">
        <f>IFERROR(VLOOKUP($A:$A,CS!$A:$AK,19,FALSE),"")</f>
      </c>
      <c r="O395" s="57">
        <f>IFERROR(VLOOKUP($A:$A,CS!$A:$AK,23,FALSE),"")</f>
      </c>
      <c r="P395" s="57">
        <f>IFERROR(VLOOKUP($A:$A,CS!$A:$AK,24,FALSE),"")</f>
      </c>
      <c r="Q395" s="57">
        <f>IFERROR(VLOOKUP($A:$A,CS!$A:$AK,25,FALSE),"")</f>
      </c>
      <c r="R395" s="57">
        <f>IFERROR(VLOOKUP($A:$A,CS!$A:$AK,26,FALSE),"")</f>
      </c>
      <c r="S395" s="57">
        <f>IFERROR(VLOOKUP($A:$A,CS!$A:$AK,29,FALSE),"")</f>
      </c>
      <c r="T395" s="57">
        <f>IFERROR(VLOOKUP($A:$A,CS!$A:$AK,33,FALSE),"")</f>
      </c>
      <c r="U395" s="57">
        <f>IFERROR(VLOOKUP($A:$A,CS!$A:$AK,34,FALSE),"")</f>
      </c>
      <c r="V395" s="57">
        <f>IFERROR(VLOOKUP($A:$A,CS!$A:$AK,35,FALSE),"")</f>
      </c>
      <c r="W395" s="57">
        <f>IFERROR(VLOOKUP($A:$A,CS!$A:$AK,36,FALSE),"")</f>
      </c>
    </row>
    <row r="396" ht="16.5" customHeight="1" spans="1:23" x14ac:dyDescent="0.25">
      <c r="A396" s="71"/>
      <c r="B396" s="57">
        <f>IFERROR(VLOOKUP($A:$A,CS!$A:$AK,3,FALSE),"")</f>
      </c>
      <c r="C396" s="57">
        <f>IFERROR(VLOOKUP($A:$A,CS!$A:$AK,4,FALSE),"")</f>
      </c>
      <c r="D396" s="57">
        <f>IFERROR(VLOOKUP($A:$A,CS!$A:$AK,5,FALSE),"")</f>
      </c>
      <c r="E396" s="57">
        <f>IFERROR(VLOOKUP($A:$A,CS!$A:$AK,7,FALSE),"")</f>
      </c>
      <c r="F396" s="57">
        <f>IFERROR(VLOOKUP($A:$A,CS!$A:$AK,8,FALSE),"")</f>
      </c>
      <c r="G396" s="57">
        <f>IFERROR(VLOOKUP($A:$A,CS!$A:$AK,10,FALSE),"")</f>
      </c>
      <c r="H396" s="57">
        <f>IFERROR(VLOOKUP($A:$A,CS!$A:$AK,14,FALSE),"")</f>
      </c>
      <c r="I396" s="57">
        <f>IFERROR(VLOOKUP($A:$A,CS!$A:$AK,15,FALSE),"")</f>
      </c>
      <c r="J396" s="57">
        <f>IFERROR(VLOOKUP($A:$A,CS!$A:$AK,18,FALSE),"")</f>
      </c>
      <c r="K396" s="57">
        <f>IFERROR(VLOOKUP($A:$A,CS!$A:$AK,19,FALSE),"")</f>
      </c>
      <c r="L396" s="57">
        <f>IFERROR(VLOOKUP($A:$A,CS!$A:$AK,20,FALSE),"")</f>
      </c>
      <c r="M396" s="57">
        <f>IFERROR(VLOOKUP($A:$A,CS!$A:$AK,22,FALSE),"")</f>
      </c>
      <c r="N396" s="57">
        <f>IFERROR(VLOOKUP($A:$A,CS!$A:$AK,19,FALSE),"")</f>
      </c>
      <c r="O396" s="57">
        <f>IFERROR(VLOOKUP($A:$A,CS!$A:$AK,23,FALSE),"")</f>
      </c>
      <c r="P396" s="57">
        <f>IFERROR(VLOOKUP($A:$A,CS!$A:$AK,24,FALSE),"")</f>
      </c>
      <c r="Q396" s="57">
        <f>IFERROR(VLOOKUP($A:$A,CS!$A:$AK,25,FALSE),"")</f>
      </c>
      <c r="R396" s="57">
        <f>IFERROR(VLOOKUP($A:$A,CS!$A:$AK,26,FALSE),"")</f>
      </c>
      <c r="S396" s="57">
        <f>IFERROR(VLOOKUP($A:$A,CS!$A:$AK,29,FALSE),"")</f>
      </c>
      <c r="T396" s="57">
        <f>IFERROR(VLOOKUP($A:$A,CS!$A:$AK,33,FALSE),"")</f>
      </c>
      <c r="U396" s="57">
        <f>IFERROR(VLOOKUP($A:$A,CS!$A:$AK,34,FALSE),"")</f>
      </c>
      <c r="V396" s="57">
        <f>IFERROR(VLOOKUP($A:$A,CS!$A:$AK,35,FALSE),"")</f>
      </c>
      <c r="W396" s="57">
        <f>IFERROR(VLOOKUP($A:$A,CS!$A:$AK,36,FALSE),"")</f>
      </c>
    </row>
    <row r="397" ht="16.5" customHeight="1" spans="1:23" x14ac:dyDescent="0.25">
      <c r="A397" s="71"/>
      <c r="B397" s="57">
        <f>IFERROR(VLOOKUP($A:$A,CS!$A:$AK,3,FALSE),"")</f>
      </c>
      <c r="C397" s="57">
        <f>IFERROR(VLOOKUP($A:$A,CS!$A:$AK,4,FALSE),"")</f>
      </c>
      <c r="D397" s="57">
        <f>IFERROR(VLOOKUP($A:$A,CS!$A:$AK,5,FALSE),"")</f>
      </c>
      <c r="E397" s="57">
        <f>IFERROR(VLOOKUP($A:$A,CS!$A:$AK,7,FALSE),"")</f>
      </c>
      <c r="F397" s="57">
        <f>IFERROR(VLOOKUP($A:$A,CS!$A:$AK,8,FALSE),"")</f>
      </c>
      <c r="G397" s="57">
        <f>IFERROR(VLOOKUP($A:$A,CS!$A:$AK,10,FALSE),"")</f>
      </c>
      <c r="H397" s="57">
        <f>IFERROR(VLOOKUP($A:$A,CS!$A:$AK,14,FALSE),"")</f>
      </c>
      <c r="I397" s="57">
        <f>IFERROR(VLOOKUP($A:$A,CS!$A:$AK,15,FALSE),"")</f>
      </c>
      <c r="J397" s="57">
        <f>IFERROR(VLOOKUP($A:$A,CS!$A:$AK,18,FALSE),"")</f>
      </c>
      <c r="K397" s="57">
        <f>IFERROR(VLOOKUP($A:$A,CS!$A:$AK,19,FALSE),"")</f>
      </c>
      <c r="L397" s="57">
        <f>IFERROR(VLOOKUP($A:$A,CS!$A:$AK,20,FALSE),"")</f>
      </c>
      <c r="M397" s="57">
        <f>IFERROR(VLOOKUP($A:$A,CS!$A:$AK,22,FALSE),"")</f>
      </c>
      <c r="N397" s="57">
        <f>IFERROR(VLOOKUP($A:$A,CS!$A:$AK,19,FALSE),"")</f>
      </c>
      <c r="O397" s="57">
        <f>IFERROR(VLOOKUP($A:$A,CS!$A:$AK,23,FALSE),"")</f>
      </c>
      <c r="P397" s="57">
        <f>IFERROR(VLOOKUP($A:$A,CS!$A:$AK,24,FALSE),"")</f>
      </c>
      <c r="Q397" s="57">
        <f>IFERROR(VLOOKUP($A:$A,CS!$A:$AK,25,FALSE),"")</f>
      </c>
      <c r="R397" s="57">
        <f>IFERROR(VLOOKUP($A:$A,CS!$A:$AK,26,FALSE),"")</f>
      </c>
      <c r="S397" s="57">
        <f>IFERROR(VLOOKUP($A:$A,CS!$A:$AK,29,FALSE),"")</f>
      </c>
      <c r="T397" s="57">
        <f>IFERROR(VLOOKUP($A:$A,CS!$A:$AK,33,FALSE),"")</f>
      </c>
      <c r="U397" s="57">
        <f>IFERROR(VLOOKUP($A:$A,CS!$A:$AK,34,FALSE),"")</f>
      </c>
      <c r="V397" s="57">
        <f>IFERROR(VLOOKUP($A:$A,CS!$A:$AK,35,FALSE),"")</f>
      </c>
      <c r="W397" s="57">
        <f>IFERROR(VLOOKUP($A:$A,CS!$A:$AK,36,FALSE),"")</f>
      </c>
    </row>
    <row r="398" ht="16.5" customHeight="1" spans="1:23" x14ac:dyDescent="0.25">
      <c r="A398" s="71"/>
      <c r="B398" s="57">
        <f>IFERROR(VLOOKUP($A:$A,CS!$A:$AK,3,FALSE),"")</f>
      </c>
      <c r="C398" s="57">
        <f>IFERROR(VLOOKUP($A:$A,CS!$A:$AK,4,FALSE),"")</f>
      </c>
      <c r="D398" s="57">
        <f>IFERROR(VLOOKUP($A:$A,CS!$A:$AK,5,FALSE),"")</f>
      </c>
      <c r="E398" s="57">
        <f>IFERROR(VLOOKUP($A:$A,CS!$A:$AK,7,FALSE),"")</f>
      </c>
      <c r="F398" s="57">
        <f>IFERROR(VLOOKUP($A:$A,CS!$A:$AK,8,FALSE),"")</f>
      </c>
      <c r="G398" s="57">
        <f>IFERROR(VLOOKUP($A:$A,CS!$A:$AK,10,FALSE),"")</f>
      </c>
      <c r="H398" s="57">
        <f>IFERROR(VLOOKUP($A:$A,CS!$A:$AK,14,FALSE),"")</f>
      </c>
      <c r="I398" s="57">
        <f>IFERROR(VLOOKUP($A:$A,CS!$A:$AK,15,FALSE),"")</f>
      </c>
      <c r="J398" s="57">
        <f>IFERROR(VLOOKUP($A:$A,CS!$A:$AK,18,FALSE),"")</f>
      </c>
      <c r="K398" s="57">
        <f>IFERROR(VLOOKUP($A:$A,CS!$A:$AK,19,FALSE),"")</f>
      </c>
      <c r="L398" s="57">
        <f>IFERROR(VLOOKUP($A:$A,CS!$A:$AK,20,FALSE),"")</f>
      </c>
      <c r="M398" s="57">
        <f>IFERROR(VLOOKUP($A:$A,CS!$A:$AK,22,FALSE),"")</f>
      </c>
      <c r="N398" s="57">
        <f>IFERROR(VLOOKUP($A:$A,CS!$A:$AK,19,FALSE),"")</f>
      </c>
      <c r="O398" s="57">
        <f>IFERROR(VLOOKUP($A:$A,CS!$A:$AK,23,FALSE),"")</f>
      </c>
      <c r="P398" s="57">
        <f>IFERROR(VLOOKUP($A:$A,CS!$A:$AK,24,FALSE),"")</f>
      </c>
      <c r="Q398" s="57">
        <f>IFERROR(VLOOKUP($A:$A,CS!$A:$AK,25,FALSE),"")</f>
      </c>
      <c r="R398" s="57">
        <f>IFERROR(VLOOKUP($A:$A,CS!$A:$AK,26,FALSE),"")</f>
      </c>
      <c r="S398" s="57">
        <f>IFERROR(VLOOKUP($A:$A,CS!$A:$AK,29,FALSE),"")</f>
      </c>
      <c r="T398" s="57">
        <f>IFERROR(VLOOKUP($A:$A,CS!$A:$AK,33,FALSE),"")</f>
      </c>
      <c r="U398" s="57">
        <f>IFERROR(VLOOKUP($A:$A,CS!$A:$AK,34,FALSE),"")</f>
      </c>
      <c r="V398" s="57">
        <f>IFERROR(VLOOKUP($A:$A,CS!$A:$AK,35,FALSE),"")</f>
      </c>
      <c r="W398" s="57">
        <f>IFERROR(VLOOKUP($A:$A,CS!$A:$AK,36,FALSE),"")</f>
      </c>
    </row>
    <row r="399" ht="16.5" customHeight="1" spans="1:23" x14ac:dyDescent="0.25">
      <c r="A399" s="71"/>
      <c r="B399" s="57">
        <f>IFERROR(VLOOKUP($A:$A,CS!$A:$AK,3,FALSE),"")</f>
      </c>
      <c r="C399" s="57">
        <f>IFERROR(VLOOKUP($A:$A,CS!$A:$AK,4,FALSE),"")</f>
      </c>
      <c r="D399" s="57">
        <f>IFERROR(VLOOKUP($A:$A,CS!$A:$AK,5,FALSE),"")</f>
      </c>
      <c r="E399" s="57">
        <f>IFERROR(VLOOKUP($A:$A,CS!$A:$AK,7,FALSE),"")</f>
      </c>
      <c r="F399" s="57">
        <f>IFERROR(VLOOKUP($A:$A,CS!$A:$AK,8,FALSE),"")</f>
      </c>
      <c r="G399" s="57">
        <f>IFERROR(VLOOKUP($A:$A,CS!$A:$AK,10,FALSE),"")</f>
      </c>
      <c r="H399" s="57">
        <f>IFERROR(VLOOKUP($A:$A,CS!$A:$AK,14,FALSE),"")</f>
      </c>
      <c r="I399" s="57">
        <f>IFERROR(VLOOKUP($A:$A,CS!$A:$AK,15,FALSE),"")</f>
      </c>
      <c r="J399" s="57">
        <f>IFERROR(VLOOKUP($A:$A,CS!$A:$AK,18,FALSE),"")</f>
      </c>
      <c r="K399" s="57">
        <f>IFERROR(VLOOKUP($A:$A,CS!$A:$AK,19,FALSE),"")</f>
      </c>
      <c r="L399" s="57">
        <f>IFERROR(VLOOKUP($A:$A,CS!$A:$AK,20,FALSE),"")</f>
      </c>
      <c r="M399" s="57">
        <f>IFERROR(VLOOKUP($A:$A,CS!$A:$AK,22,FALSE),"")</f>
      </c>
      <c r="N399" s="57">
        <f>IFERROR(VLOOKUP($A:$A,CS!$A:$AK,19,FALSE),"")</f>
      </c>
      <c r="O399" s="57">
        <f>IFERROR(VLOOKUP($A:$A,CS!$A:$AK,23,FALSE),"")</f>
      </c>
      <c r="P399" s="57">
        <f>IFERROR(VLOOKUP($A:$A,CS!$A:$AK,24,FALSE),"")</f>
      </c>
      <c r="Q399" s="57">
        <f>IFERROR(VLOOKUP($A:$A,CS!$A:$AK,25,FALSE),"")</f>
      </c>
      <c r="R399" s="57">
        <f>IFERROR(VLOOKUP($A:$A,CS!$A:$AK,26,FALSE),"")</f>
      </c>
      <c r="S399" s="57">
        <f>IFERROR(VLOOKUP($A:$A,CS!$A:$AK,29,FALSE),"")</f>
      </c>
      <c r="T399" s="57">
        <f>IFERROR(VLOOKUP($A:$A,CS!$A:$AK,33,FALSE),"")</f>
      </c>
      <c r="U399" s="57">
        <f>IFERROR(VLOOKUP($A:$A,CS!$A:$AK,34,FALSE),"")</f>
      </c>
      <c r="V399" s="57">
        <f>IFERROR(VLOOKUP($A:$A,CS!$A:$AK,35,FALSE),"")</f>
      </c>
      <c r="W399" s="57">
        <f>IFERROR(VLOOKUP($A:$A,CS!$A:$AK,36,FALSE),"")</f>
      </c>
    </row>
    <row r="400" ht="16.5" customHeight="1" spans="1:23" x14ac:dyDescent="0.25">
      <c r="A400" s="71"/>
      <c r="B400" s="57">
        <f>IFERROR(VLOOKUP($A:$A,CS!$A:$AK,3,FALSE),"")</f>
      </c>
      <c r="C400" s="57">
        <f>IFERROR(VLOOKUP($A:$A,CS!$A:$AK,4,FALSE),"")</f>
      </c>
      <c r="D400" s="57">
        <f>IFERROR(VLOOKUP($A:$A,CS!$A:$AK,5,FALSE),"")</f>
      </c>
      <c r="E400" s="57">
        <f>IFERROR(VLOOKUP($A:$A,CS!$A:$AK,7,FALSE),"")</f>
      </c>
      <c r="F400" s="57">
        <f>IFERROR(VLOOKUP($A:$A,CS!$A:$AK,8,FALSE),"")</f>
      </c>
      <c r="G400" s="57">
        <f>IFERROR(VLOOKUP($A:$A,CS!$A:$AK,10,FALSE),"")</f>
      </c>
      <c r="H400" s="57">
        <f>IFERROR(VLOOKUP($A:$A,CS!$A:$AK,14,FALSE),"")</f>
      </c>
      <c r="I400" s="57">
        <f>IFERROR(VLOOKUP($A:$A,CS!$A:$AK,15,FALSE),"")</f>
      </c>
      <c r="J400" s="57">
        <f>IFERROR(VLOOKUP($A:$A,CS!$A:$AK,18,FALSE),"")</f>
      </c>
      <c r="K400" s="57">
        <f>IFERROR(VLOOKUP($A:$A,CS!$A:$AK,19,FALSE),"")</f>
      </c>
      <c r="L400" s="57">
        <f>IFERROR(VLOOKUP($A:$A,CS!$A:$AK,20,FALSE),"")</f>
      </c>
      <c r="M400" s="57">
        <f>IFERROR(VLOOKUP($A:$A,CS!$A:$AK,22,FALSE),"")</f>
      </c>
      <c r="N400" s="57">
        <f>IFERROR(VLOOKUP($A:$A,CS!$A:$AK,19,FALSE),"")</f>
      </c>
      <c r="O400" s="57">
        <f>IFERROR(VLOOKUP($A:$A,CS!$A:$AK,23,FALSE),"")</f>
      </c>
      <c r="P400" s="57">
        <f>IFERROR(VLOOKUP($A:$A,CS!$A:$AK,24,FALSE),"")</f>
      </c>
      <c r="Q400" s="57">
        <f>IFERROR(VLOOKUP($A:$A,CS!$A:$AK,25,FALSE),"")</f>
      </c>
      <c r="R400" s="57">
        <f>IFERROR(VLOOKUP($A:$A,CS!$A:$AK,26,FALSE),"")</f>
      </c>
      <c r="S400" s="57">
        <f>IFERROR(VLOOKUP($A:$A,CS!$A:$AK,29,FALSE),"")</f>
      </c>
      <c r="T400" s="57">
        <f>IFERROR(VLOOKUP($A:$A,CS!$A:$AK,33,FALSE),"")</f>
      </c>
      <c r="U400" s="57">
        <f>IFERROR(VLOOKUP($A:$A,CS!$A:$AK,34,FALSE),"")</f>
      </c>
      <c r="V400" s="57">
        <f>IFERROR(VLOOKUP($A:$A,CS!$A:$AK,35,FALSE),"")</f>
      </c>
      <c r="W400" s="57">
        <f>IFERROR(VLOOKUP($A:$A,CS!$A:$AK,36,FALSE),"")</f>
      </c>
    </row>
    <row r="401" ht="16.5" customHeight="1" spans="1:23" x14ac:dyDescent="0.25">
      <c r="A401" s="71"/>
      <c r="B401" s="57">
        <f>IFERROR(VLOOKUP($A:$A,CS!$A:$AK,3,FALSE),"")</f>
      </c>
      <c r="C401" s="57">
        <f>IFERROR(VLOOKUP($A:$A,CS!$A:$AK,4,FALSE),"")</f>
      </c>
      <c r="D401" s="57">
        <f>IFERROR(VLOOKUP($A:$A,CS!$A:$AK,5,FALSE),"")</f>
      </c>
      <c r="E401" s="57">
        <f>IFERROR(VLOOKUP($A:$A,CS!$A:$AK,7,FALSE),"")</f>
      </c>
      <c r="F401" s="57">
        <f>IFERROR(VLOOKUP($A:$A,CS!$A:$AK,8,FALSE),"")</f>
      </c>
      <c r="G401" s="57">
        <f>IFERROR(VLOOKUP($A:$A,CS!$A:$AK,10,FALSE),"")</f>
      </c>
      <c r="H401" s="57">
        <f>IFERROR(VLOOKUP($A:$A,CS!$A:$AK,14,FALSE),"")</f>
      </c>
      <c r="I401" s="57">
        <f>IFERROR(VLOOKUP($A:$A,CS!$A:$AK,15,FALSE),"")</f>
      </c>
      <c r="J401" s="57">
        <f>IFERROR(VLOOKUP($A:$A,CS!$A:$AK,18,FALSE),"")</f>
      </c>
      <c r="K401" s="57">
        <f>IFERROR(VLOOKUP($A:$A,CS!$A:$AK,19,FALSE),"")</f>
      </c>
      <c r="L401" s="57">
        <f>IFERROR(VLOOKUP($A:$A,CS!$A:$AK,20,FALSE),"")</f>
      </c>
      <c r="M401" s="57">
        <f>IFERROR(VLOOKUP($A:$A,CS!$A:$AK,22,FALSE),"")</f>
      </c>
      <c r="N401" s="57">
        <f>IFERROR(VLOOKUP($A:$A,CS!$A:$AK,19,FALSE),"")</f>
      </c>
      <c r="O401" s="57">
        <f>IFERROR(VLOOKUP($A:$A,CS!$A:$AK,23,FALSE),"")</f>
      </c>
      <c r="P401" s="57">
        <f>IFERROR(VLOOKUP($A:$A,CS!$A:$AK,24,FALSE),"")</f>
      </c>
      <c r="Q401" s="57">
        <f>IFERROR(VLOOKUP($A:$A,CS!$A:$AK,25,FALSE),"")</f>
      </c>
      <c r="R401" s="57">
        <f>IFERROR(VLOOKUP($A:$A,CS!$A:$AK,26,FALSE),"")</f>
      </c>
      <c r="S401" s="57">
        <f>IFERROR(VLOOKUP($A:$A,CS!$A:$AK,29,FALSE),"")</f>
      </c>
      <c r="T401" s="57">
        <f>IFERROR(VLOOKUP($A:$A,CS!$A:$AK,33,FALSE),"")</f>
      </c>
      <c r="U401" s="57">
        <f>IFERROR(VLOOKUP($A:$A,CS!$A:$AK,34,FALSE),"")</f>
      </c>
      <c r="V401" s="57">
        <f>IFERROR(VLOOKUP($A:$A,CS!$A:$AK,35,FALSE),"")</f>
      </c>
      <c r="W401" s="57">
        <f>IFERROR(VLOOKUP($A:$A,CS!$A:$AK,36,FALSE),"")</f>
      </c>
    </row>
    <row r="402" ht="16.5" customHeight="1" spans="1:23" x14ac:dyDescent="0.25">
      <c r="A402" s="71"/>
      <c r="B402" s="57">
        <f>IFERROR(VLOOKUP($A:$A,CS!$A:$AK,3,FALSE),"")</f>
      </c>
      <c r="C402" s="57">
        <f>IFERROR(VLOOKUP($A:$A,CS!$A:$AK,4,FALSE),"")</f>
      </c>
      <c r="D402" s="57">
        <f>IFERROR(VLOOKUP($A:$A,CS!$A:$AK,5,FALSE),"")</f>
      </c>
      <c r="E402" s="57">
        <f>IFERROR(VLOOKUP($A:$A,CS!$A:$AK,7,FALSE),"")</f>
      </c>
      <c r="F402" s="57">
        <f>IFERROR(VLOOKUP($A:$A,CS!$A:$AK,8,FALSE),"")</f>
      </c>
      <c r="G402" s="57">
        <f>IFERROR(VLOOKUP($A:$A,CS!$A:$AK,10,FALSE),"")</f>
      </c>
      <c r="H402" s="57">
        <f>IFERROR(VLOOKUP($A:$A,CS!$A:$AK,14,FALSE),"")</f>
      </c>
      <c r="I402" s="57">
        <f>IFERROR(VLOOKUP($A:$A,CS!$A:$AK,15,FALSE),"")</f>
      </c>
      <c r="J402" s="57">
        <f>IFERROR(VLOOKUP($A:$A,CS!$A:$AK,18,FALSE),"")</f>
      </c>
      <c r="K402" s="57">
        <f>IFERROR(VLOOKUP($A:$A,CS!$A:$AK,19,FALSE),"")</f>
      </c>
      <c r="L402" s="57">
        <f>IFERROR(VLOOKUP($A:$A,CS!$A:$AK,20,FALSE),"")</f>
      </c>
      <c r="M402" s="57">
        <f>IFERROR(VLOOKUP($A:$A,CS!$A:$AK,22,FALSE),"")</f>
      </c>
      <c r="N402" s="57">
        <f>IFERROR(VLOOKUP($A:$A,CS!$A:$AK,19,FALSE),"")</f>
      </c>
      <c r="O402" s="57">
        <f>IFERROR(VLOOKUP($A:$A,CS!$A:$AK,23,FALSE),"")</f>
      </c>
      <c r="P402" s="57">
        <f>IFERROR(VLOOKUP($A:$A,CS!$A:$AK,24,FALSE),"")</f>
      </c>
      <c r="Q402" s="57">
        <f>IFERROR(VLOOKUP($A:$A,CS!$A:$AK,25,FALSE),"")</f>
      </c>
      <c r="R402" s="57">
        <f>IFERROR(VLOOKUP($A:$A,CS!$A:$AK,26,FALSE),"")</f>
      </c>
      <c r="S402" s="57">
        <f>IFERROR(VLOOKUP($A:$A,CS!$A:$AK,29,FALSE),"")</f>
      </c>
      <c r="T402" s="57">
        <f>IFERROR(VLOOKUP($A:$A,CS!$A:$AK,33,FALSE),"")</f>
      </c>
      <c r="U402" s="57">
        <f>IFERROR(VLOOKUP($A:$A,CS!$A:$AK,34,FALSE),"")</f>
      </c>
      <c r="V402" s="57">
        <f>IFERROR(VLOOKUP($A:$A,CS!$A:$AK,35,FALSE),"")</f>
      </c>
      <c r="W402" s="57">
        <f>IFERROR(VLOOKUP($A:$A,CS!$A:$AK,36,FALSE),"")</f>
      </c>
    </row>
    <row r="403" ht="16.5" customHeight="1" spans="1:23" x14ac:dyDescent="0.25">
      <c r="A403" s="71"/>
      <c r="B403" s="57">
        <f>IFERROR(VLOOKUP($A:$A,CS!$A:$AK,3,FALSE),"")</f>
      </c>
      <c r="C403" s="57">
        <f>IFERROR(VLOOKUP($A:$A,CS!$A:$AK,4,FALSE),"")</f>
      </c>
      <c r="D403" s="57">
        <f>IFERROR(VLOOKUP($A:$A,CS!$A:$AK,5,FALSE),"")</f>
      </c>
      <c r="E403" s="57">
        <f>IFERROR(VLOOKUP($A:$A,CS!$A:$AK,7,FALSE),"")</f>
      </c>
      <c r="F403" s="57">
        <f>IFERROR(VLOOKUP($A:$A,CS!$A:$AK,8,FALSE),"")</f>
      </c>
      <c r="G403" s="57">
        <f>IFERROR(VLOOKUP($A:$A,CS!$A:$AK,10,FALSE),"")</f>
      </c>
      <c r="H403" s="57">
        <f>IFERROR(VLOOKUP($A:$A,CS!$A:$AK,14,FALSE),"")</f>
      </c>
      <c r="I403" s="57">
        <f>IFERROR(VLOOKUP($A:$A,CS!$A:$AK,15,FALSE),"")</f>
      </c>
      <c r="J403" s="57">
        <f>IFERROR(VLOOKUP($A:$A,CS!$A:$AK,18,FALSE),"")</f>
      </c>
      <c r="K403" s="57">
        <f>IFERROR(VLOOKUP($A:$A,CS!$A:$AK,19,FALSE),"")</f>
      </c>
      <c r="L403" s="57">
        <f>IFERROR(VLOOKUP($A:$A,CS!$A:$AK,20,FALSE),"")</f>
      </c>
      <c r="M403" s="57">
        <f>IFERROR(VLOOKUP($A:$A,CS!$A:$AK,22,FALSE),"")</f>
      </c>
      <c r="N403" s="57">
        <f>IFERROR(VLOOKUP($A:$A,CS!$A:$AK,19,FALSE),"")</f>
      </c>
      <c r="O403" s="57">
        <f>IFERROR(VLOOKUP($A:$A,CS!$A:$AK,23,FALSE),"")</f>
      </c>
      <c r="P403" s="57">
        <f>IFERROR(VLOOKUP($A:$A,CS!$A:$AK,24,FALSE),"")</f>
      </c>
      <c r="Q403" s="57">
        <f>IFERROR(VLOOKUP($A:$A,CS!$A:$AK,25,FALSE),"")</f>
      </c>
      <c r="R403" s="57">
        <f>IFERROR(VLOOKUP($A:$A,CS!$A:$AK,26,FALSE),"")</f>
      </c>
      <c r="S403" s="57">
        <f>IFERROR(VLOOKUP($A:$A,CS!$A:$AK,29,FALSE),"")</f>
      </c>
      <c r="T403" s="57">
        <f>IFERROR(VLOOKUP($A:$A,CS!$A:$AK,33,FALSE),"")</f>
      </c>
      <c r="U403" s="57">
        <f>IFERROR(VLOOKUP($A:$A,CS!$A:$AK,34,FALSE),"")</f>
      </c>
      <c r="V403" s="57">
        <f>IFERROR(VLOOKUP($A:$A,CS!$A:$AK,35,FALSE),"")</f>
      </c>
      <c r="W403" s="57">
        <f>IFERROR(VLOOKUP($A:$A,CS!$A:$AK,36,FALSE),"")</f>
      </c>
    </row>
    <row r="404" ht="16.5" customHeight="1" spans="1:23" x14ac:dyDescent="0.25">
      <c r="A404" s="71"/>
      <c r="B404" s="57">
        <f>IFERROR(VLOOKUP($A:$A,CS!$A:$AK,3,FALSE),"")</f>
      </c>
      <c r="C404" s="57">
        <f>IFERROR(VLOOKUP($A:$A,CS!$A:$AK,4,FALSE),"")</f>
      </c>
      <c r="D404" s="57">
        <f>IFERROR(VLOOKUP($A:$A,CS!$A:$AK,5,FALSE),"")</f>
      </c>
      <c r="E404" s="57">
        <f>IFERROR(VLOOKUP($A:$A,CS!$A:$AK,7,FALSE),"")</f>
      </c>
      <c r="F404" s="57">
        <f>IFERROR(VLOOKUP($A:$A,CS!$A:$AK,8,FALSE),"")</f>
      </c>
      <c r="G404" s="57">
        <f>IFERROR(VLOOKUP($A:$A,CS!$A:$AK,10,FALSE),"")</f>
      </c>
      <c r="H404" s="57">
        <f>IFERROR(VLOOKUP($A:$A,CS!$A:$AK,14,FALSE),"")</f>
      </c>
      <c r="I404" s="57">
        <f>IFERROR(VLOOKUP($A:$A,CS!$A:$AK,15,FALSE),"")</f>
      </c>
      <c r="J404" s="57">
        <f>IFERROR(VLOOKUP($A:$A,CS!$A:$AK,18,FALSE),"")</f>
      </c>
      <c r="K404" s="57">
        <f>IFERROR(VLOOKUP($A:$A,CS!$A:$AK,19,FALSE),"")</f>
      </c>
      <c r="L404" s="57">
        <f>IFERROR(VLOOKUP($A:$A,CS!$A:$AK,20,FALSE),"")</f>
      </c>
      <c r="M404" s="57">
        <f>IFERROR(VLOOKUP($A:$A,CS!$A:$AK,22,FALSE),"")</f>
      </c>
      <c r="N404" s="57">
        <f>IFERROR(VLOOKUP($A:$A,CS!$A:$AK,19,FALSE),"")</f>
      </c>
      <c r="O404" s="57">
        <f>IFERROR(VLOOKUP($A:$A,CS!$A:$AK,23,FALSE),"")</f>
      </c>
      <c r="P404" s="57">
        <f>IFERROR(VLOOKUP($A:$A,CS!$A:$AK,24,FALSE),"")</f>
      </c>
      <c r="Q404" s="57">
        <f>IFERROR(VLOOKUP($A:$A,CS!$A:$AK,25,FALSE),"")</f>
      </c>
      <c r="R404" s="57">
        <f>IFERROR(VLOOKUP($A:$A,CS!$A:$AK,26,FALSE),"")</f>
      </c>
      <c r="S404" s="57">
        <f>IFERROR(VLOOKUP($A:$A,CS!$A:$AK,29,FALSE),"")</f>
      </c>
      <c r="T404" s="57">
        <f>IFERROR(VLOOKUP($A:$A,CS!$A:$AK,33,FALSE),"")</f>
      </c>
      <c r="U404" s="57">
        <f>IFERROR(VLOOKUP($A:$A,CS!$A:$AK,34,FALSE),"")</f>
      </c>
      <c r="V404" s="57">
        <f>IFERROR(VLOOKUP($A:$A,CS!$A:$AK,35,FALSE),"")</f>
      </c>
      <c r="W404" s="57">
        <f>IFERROR(VLOOKUP($A:$A,CS!$A:$AK,36,FALSE),"")</f>
      </c>
    </row>
    <row r="405" ht="16.5" customHeight="1" spans="1:23" x14ac:dyDescent="0.25">
      <c r="A405" s="71"/>
      <c r="B405" s="57">
        <f>IFERROR(VLOOKUP($A:$A,CS!$A:$AK,3,FALSE),"")</f>
      </c>
      <c r="C405" s="57">
        <f>IFERROR(VLOOKUP($A:$A,CS!$A:$AK,4,FALSE),"")</f>
      </c>
      <c r="D405" s="57">
        <f>IFERROR(VLOOKUP($A:$A,CS!$A:$AK,5,FALSE),"")</f>
      </c>
      <c r="E405" s="57">
        <f>IFERROR(VLOOKUP($A:$A,CS!$A:$AK,7,FALSE),"")</f>
      </c>
      <c r="F405" s="57">
        <f>IFERROR(VLOOKUP($A:$A,CS!$A:$AK,8,FALSE),"")</f>
      </c>
      <c r="G405" s="57">
        <f>IFERROR(VLOOKUP($A:$A,CS!$A:$AK,10,FALSE),"")</f>
      </c>
      <c r="H405" s="57">
        <f>IFERROR(VLOOKUP($A:$A,CS!$A:$AK,14,FALSE),"")</f>
      </c>
      <c r="I405" s="57">
        <f>IFERROR(VLOOKUP($A:$A,CS!$A:$AK,15,FALSE),"")</f>
      </c>
      <c r="J405" s="57">
        <f>IFERROR(VLOOKUP($A:$A,CS!$A:$AK,18,FALSE),"")</f>
      </c>
      <c r="K405" s="57">
        <f>IFERROR(VLOOKUP($A:$A,CS!$A:$AK,19,FALSE),"")</f>
      </c>
      <c r="L405" s="57">
        <f>IFERROR(VLOOKUP($A:$A,CS!$A:$AK,20,FALSE),"")</f>
      </c>
      <c r="M405" s="57">
        <f>IFERROR(VLOOKUP($A:$A,CS!$A:$AK,22,FALSE),"")</f>
      </c>
      <c r="N405" s="57">
        <f>IFERROR(VLOOKUP($A:$A,CS!$A:$AK,19,FALSE),"")</f>
      </c>
      <c r="O405" s="57">
        <f>IFERROR(VLOOKUP($A:$A,CS!$A:$AK,23,FALSE),"")</f>
      </c>
      <c r="P405" s="57">
        <f>IFERROR(VLOOKUP($A:$A,CS!$A:$AK,24,FALSE),"")</f>
      </c>
      <c r="Q405" s="57">
        <f>IFERROR(VLOOKUP($A:$A,CS!$A:$AK,25,FALSE),"")</f>
      </c>
      <c r="R405" s="57">
        <f>IFERROR(VLOOKUP($A:$A,CS!$A:$AK,26,FALSE),"")</f>
      </c>
      <c r="S405" s="57">
        <f>IFERROR(VLOOKUP($A:$A,CS!$A:$AK,29,FALSE),"")</f>
      </c>
      <c r="T405" s="57">
        <f>IFERROR(VLOOKUP($A:$A,CS!$A:$AK,33,FALSE),"")</f>
      </c>
      <c r="U405" s="57">
        <f>IFERROR(VLOOKUP($A:$A,CS!$A:$AK,34,FALSE),"")</f>
      </c>
      <c r="V405" s="57">
        <f>IFERROR(VLOOKUP($A:$A,CS!$A:$AK,35,FALSE),"")</f>
      </c>
      <c r="W405" s="57">
        <f>IFERROR(VLOOKUP($A:$A,CS!$A:$AK,36,FALSE),"")</f>
      </c>
    </row>
    <row r="406" ht="16.5" customHeight="1" spans="1:23" x14ac:dyDescent="0.25">
      <c r="A406" s="71"/>
      <c r="B406" s="57">
        <f>IFERROR(VLOOKUP($A:$A,CS!$A:$AK,3,FALSE),"")</f>
      </c>
      <c r="C406" s="57">
        <f>IFERROR(VLOOKUP($A:$A,CS!$A:$AK,4,FALSE),"")</f>
      </c>
      <c r="D406" s="57">
        <f>IFERROR(VLOOKUP($A:$A,CS!$A:$AK,5,FALSE),"")</f>
      </c>
      <c r="E406" s="57">
        <f>IFERROR(VLOOKUP($A:$A,CS!$A:$AK,7,FALSE),"")</f>
      </c>
      <c r="F406" s="57">
        <f>IFERROR(VLOOKUP($A:$A,CS!$A:$AK,8,FALSE),"")</f>
      </c>
      <c r="G406" s="57">
        <f>IFERROR(VLOOKUP($A:$A,CS!$A:$AK,10,FALSE),"")</f>
      </c>
      <c r="H406" s="57">
        <f>IFERROR(VLOOKUP($A:$A,CS!$A:$AK,14,FALSE),"")</f>
      </c>
      <c r="I406" s="57">
        <f>IFERROR(VLOOKUP($A:$A,CS!$A:$AK,15,FALSE),"")</f>
      </c>
      <c r="J406" s="57">
        <f>IFERROR(VLOOKUP($A:$A,CS!$A:$AK,18,FALSE),"")</f>
      </c>
      <c r="K406" s="57">
        <f>IFERROR(VLOOKUP($A:$A,CS!$A:$AK,19,FALSE),"")</f>
      </c>
      <c r="L406" s="57">
        <f>IFERROR(VLOOKUP($A:$A,CS!$A:$AK,20,FALSE),"")</f>
      </c>
      <c r="M406" s="57">
        <f>IFERROR(VLOOKUP($A:$A,CS!$A:$AK,22,FALSE),"")</f>
      </c>
      <c r="N406" s="57">
        <f>IFERROR(VLOOKUP($A:$A,CS!$A:$AK,19,FALSE),"")</f>
      </c>
      <c r="O406" s="57">
        <f>IFERROR(VLOOKUP($A:$A,CS!$A:$AK,23,FALSE),"")</f>
      </c>
      <c r="P406" s="57">
        <f>IFERROR(VLOOKUP($A:$A,CS!$A:$AK,24,FALSE),"")</f>
      </c>
      <c r="Q406" s="57">
        <f>IFERROR(VLOOKUP($A:$A,CS!$A:$AK,25,FALSE),"")</f>
      </c>
      <c r="R406" s="57">
        <f>IFERROR(VLOOKUP($A:$A,CS!$A:$AK,26,FALSE),"")</f>
      </c>
      <c r="S406" s="57">
        <f>IFERROR(VLOOKUP($A:$A,CS!$A:$AK,29,FALSE),"")</f>
      </c>
      <c r="T406" s="57">
        <f>IFERROR(VLOOKUP($A:$A,CS!$A:$AK,33,FALSE),"")</f>
      </c>
      <c r="U406" s="57">
        <f>IFERROR(VLOOKUP($A:$A,CS!$A:$AK,34,FALSE),"")</f>
      </c>
      <c r="V406" s="57">
        <f>IFERROR(VLOOKUP($A:$A,CS!$A:$AK,35,FALSE),"")</f>
      </c>
      <c r="W406" s="57">
        <f>IFERROR(VLOOKUP($A:$A,CS!$A:$AK,36,FALSE),"")</f>
      </c>
    </row>
    <row r="407" ht="16.5" customHeight="1" spans="1:23" x14ac:dyDescent="0.25">
      <c r="A407" s="71"/>
      <c r="B407" s="57">
        <f>IFERROR(VLOOKUP($A:$A,CS!$A:$AK,3,FALSE),"")</f>
      </c>
      <c r="C407" s="57">
        <f>IFERROR(VLOOKUP($A:$A,CS!$A:$AK,4,FALSE),"")</f>
      </c>
      <c r="D407" s="57">
        <f>IFERROR(VLOOKUP($A:$A,CS!$A:$AK,5,FALSE),"")</f>
      </c>
      <c r="E407" s="57">
        <f>IFERROR(VLOOKUP($A:$A,CS!$A:$AK,7,FALSE),"")</f>
      </c>
      <c r="F407" s="57">
        <f>IFERROR(VLOOKUP($A:$A,CS!$A:$AK,8,FALSE),"")</f>
      </c>
      <c r="G407" s="57">
        <f>IFERROR(VLOOKUP($A:$A,CS!$A:$AK,10,FALSE),"")</f>
      </c>
      <c r="H407" s="57">
        <f>IFERROR(VLOOKUP($A:$A,CS!$A:$AK,14,FALSE),"")</f>
      </c>
      <c r="I407" s="57">
        <f>IFERROR(VLOOKUP($A:$A,CS!$A:$AK,15,FALSE),"")</f>
      </c>
      <c r="J407" s="57">
        <f>IFERROR(VLOOKUP($A:$A,CS!$A:$AK,18,FALSE),"")</f>
      </c>
      <c r="K407" s="57">
        <f>IFERROR(VLOOKUP($A:$A,CS!$A:$AK,19,FALSE),"")</f>
      </c>
      <c r="L407" s="57">
        <f>IFERROR(VLOOKUP($A:$A,CS!$A:$AK,20,FALSE),"")</f>
      </c>
      <c r="M407" s="57">
        <f>IFERROR(VLOOKUP($A:$A,CS!$A:$AK,22,FALSE),"")</f>
      </c>
      <c r="N407" s="57">
        <f>IFERROR(VLOOKUP($A:$A,CS!$A:$AK,19,FALSE),"")</f>
      </c>
      <c r="O407" s="57">
        <f>IFERROR(VLOOKUP($A:$A,CS!$A:$AK,23,FALSE),"")</f>
      </c>
      <c r="P407" s="57">
        <f>IFERROR(VLOOKUP($A:$A,CS!$A:$AK,24,FALSE),"")</f>
      </c>
      <c r="Q407" s="57">
        <f>IFERROR(VLOOKUP($A:$A,CS!$A:$AK,25,FALSE),"")</f>
      </c>
      <c r="R407" s="57">
        <f>IFERROR(VLOOKUP($A:$A,CS!$A:$AK,26,FALSE),"")</f>
      </c>
      <c r="S407" s="57">
        <f>IFERROR(VLOOKUP($A:$A,CS!$A:$AK,29,FALSE),"")</f>
      </c>
      <c r="T407" s="57">
        <f>IFERROR(VLOOKUP($A:$A,CS!$A:$AK,33,FALSE),"")</f>
      </c>
      <c r="U407" s="57">
        <f>IFERROR(VLOOKUP($A:$A,CS!$A:$AK,34,FALSE),"")</f>
      </c>
      <c r="V407" s="57">
        <f>IFERROR(VLOOKUP($A:$A,CS!$A:$AK,35,FALSE),"")</f>
      </c>
      <c r="W407" s="57">
        <f>IFERROR(VLOOKUP($A:$A,CS!$A:$AK,36,FALSE),"")</f>
      </c>
    </row>
    <row r="408" ht="16.5" customHeight="1" spans="1:23" x14ac:dyDescent="0.25">
      <c r="A408" s="71"/>
      <c r="B408" s="57">
        <f>IFERROR(VLOOKUP($A:$A,CS!$A:$AK,3,FALSE),"")</f>
      </c>
      <c r="C408" s="57">
        <f>IFERROR(VLOOKUP($A:$A,CS!$A:$AK,4,FALSE),"")</f>
      </c>
      <c r="D408" s="57">
        <f>IFERROR(VLOOKUP($A:$A,CS!$A:$AK,5,FALSE),"")</f>
      </c>
      <c r="E408" s="57">
        <f>IFERROR(VLOOKUP($A:$A,CS!$A:$AK,7,FALSE),"")</f>
      </c>
      <c r="F408" s="57">
        <f>IFERROR(VLOOKUP($A:$A,CS!$A:$AK,8,FALSE),"")</f>
      </c>
      <c r="G408" s="57">
        <f>IFERROR(VLOOKUP($A:$A,CS!$A:$AK,10,FALSE),"")</f>
      </c>
      <c r="H408" s="57">
        <f>IFERROR(VLOOKUP($A:$A,CS!$A:$AK,14,FALSE),"")</f>
      </c>
      <c r="I408" s="57">
        <f>IFERROR(VLOOKUP($A:$A,CS!$A:$AK,15,FALSE),"")</f>
      </c>
      <c r="J408" s="57">
        <f>IFERROR(VLOOKUP($A:$A,CS!$A:$AK,18,FALSE),"")</f>
      </c>
      <c r="K408" s="57">
        <f>IFERROR(VLOOKUP($A:$A,CS!$A:$AK,19,FALSE),"")</f>
      </c>
      <c r="L408" s="57">
        <f>IFERROR(VLOOKUP($A:$A,CS!$A:$AK,20,FALSE),"")</f>
      </c>
      <c r="M408" s="57">
        <f>IFERROR(VLOOKUP($A:$A,CS!$A:$AK,22,FALSE),"")</f>
      </c>
      <c r="N408" s="57">
        <f>IFERROR(VLOOKUP($A:$A,CS!$A:$AK,19,FALSE),"")</f>
      </c>
      <c r="O408" s="57">
        <f>IFERROR(VLOOKUP($A:$A,CS!$A:$AK,23,FALSE),"")</f>
      </c>
      <c r="P408" s="57">
        <f>IFERROR(VLOOKUP($A:$A,CS!$A:$AK,24,FALSE),"")</f>
      </c>
      <c r="Q408" s="57">
        <f>IFERROR(VLOOKUP($A:$A,CS!$A:$AK,25,FALSE),"")</f>
      </c>
      <c r="R408" s="57">
        <f>IFERROR(VLOOKUP($A:$A,CS!$A:$AK,26,FALSE),"")</f>
      </c>
      <c r="S408" s="57">
        <f>IFERROR(VLOOKUP($A:$A,CS!$A:$AK,29,FALSE),"")</f>
      </c>
      <c r="T408" s="57">
        <f>IFERROR(VLOOKUP($A:$A,CS!$A:$AK,33,FALSE),"")</f>
      </c>
      <c r="U408" s="57">
        <f>IFERROR(VLOOKUP($A:$A,CS!$A:$AK,34,FALSE),"")</f>
      </c>
      <c r="V408" s="57">
        <f>IFERROR(VLOOKUP($A:$A,CS!$A:$AK,35,FALSE),"")</f>
      </c>
      <c r="W408" s="57">
        <f>IFERROR(VLOOKUP($A:$A,CS!$A:$AK,36,FALSE),"")</f>
      </c>
    </row>
    <row r="409" ht="16.5" customHeight="1" spans="1:23" x14ac:dyDescent="0.25">
      <c r="A409" s="71"/>
      <c r="B409" s="57">
        <f>IFERROR(VLOOKUP($A:$A,CS!$A:$AK,3,FALSE),"")</f>
      </c>
      <c r="C409" s="57">
        <f>IFERROR(VLOOKUP($A:$A,CS!$A:$AK,4,FALSE),"")</f>
      </c>
      <c r="D409" s="57">
        <f>IFERROR(VLOOKUP($A:$A,CS!$A:$AK,5,FALSE),"")</f>
      </c>
      <c r="E409" s="57">
        <f>IFERROR(VLOOKUP($A:$A,CS!$A:$AK,7,FALSE),"")</f>
      </c>
      <c r="F409" s="57">
        <f>IFERROR(VLOOKUP($A:$A,CS!$A:$AK,8,FALSE),"")</f>
      </c>
      <c r="G409" s="57">
        <f>IFERROR(VLOOKUP($A:$A,CS!$A:$AK,10,FALSE),"")</f>
      </c>
      <c r="H409" s="57">
        <f>IFERROR(VLOOKUP($A:$A,CS!$A:$AK,14,FALSE),"")</f>
      </c>
      <c r="I409" s="57">
        <f>IFERROR(VLOOKUP($A:$A,CS!$A:$AK,15,FALSE),"")</f>
      </c>
      <c r="J409" s="57">
        <f>IFERROR(VLOOKUP($A:$A,CS!$A:$AK,18,FALSE),"")</f>
      </c>
      <c r="K409" s="57">
        <f>IFERROR(VLOOKUP($A:$A,CS!$A:$AK,19,FALSE),"")</f>
      </c>
      <c r="L409" s="57">
        <f>IFERROR(VLOOKUP($A:$A,CS!$A:$AK,20,FALSE),"")</f>
      </c>
      <c r="M409" s="57">
        <f>IFERROR(VLOOKUP($A:$A,CS!$A:$AK,22,FALSE),"")</f>
      </c>
      <c r="N409" s="57">
        <f>IFERROR(VLOOKUP($A:$A,CS!$A:$AK,19,FALSE),"")</f>
      </c>
      <c r="O409" s="57">
        <f>IFERROR(VLOOKUP($A:$A,CS!$A:$AK,23,FALSE),"")</f>
      </c>
      <c r="P409" s="57">
        <f>IFERROR(VLOOKUP($A:$A,CS!$A:$AK,24,FALSE),"")</f>
      </c>
      <c r="Q409" s="57">
        <f>IFERROR(VLOOKUP($A:$A,CS!$A:$AK,25,FALSE),"")</f>
      </c>
      <c r="R409" s="57">
        <f>IFERROR(VLOOKUP($A:$A,CS!$A:$AK,26,FALSE),"")</f>
      </c>
      <c r="S409" s="57">
        <f>IFERROR(VLOOKUP($A:$A,CS!$A:$AK,29,FALSE),"")</f>
      </c>
      <c r="T409" s="57">
        <f>IFERROR(VLOOKUP($A:$A,CS!$A:$AK,33,FALSE),"")</f>
      </c>
      <c r="U409" s="57">
        <f>IFERROR(VLOOKUP($A:$A,CS!$A:$AK,34,FALSE),"")</f>
      </c>
      <c r="V409" s="57">
        <f>IFERROR(VLOOKUP($A:$A,CS!$A:$AK,35,FALSE),"")</f>
      </c>
      <c r="W409" s="57">
        <f>IFERROR(VLOOKUP($A:$A,CS!$A:$AK,36,FALSE),"")</f>
      </c>
    </row>
    <row r="410" ht="16.5" customHeight="1" spans="1:23" x14ac:dyDescent="0.25">
      <c r="A410" s="71"/>
      <c r="B410" s="57">
        <f>IFERROR(VLOOKUP($A:$A,CS!$A:$AK,3,FALSE),"")</f>
      </c>
      <c r="C410" s="57">
        <f>IFERROR(VLOOKUP($A:$A,CS!$A:$AK,4,FALSE),"")</f>
      </c>
      <c r="D410" s="57">
        <f>IFERROR(VLOOKUP($A:$A,CS!$A:$AK,5,FALSE),"")</f>
      </c>
      <c r="E410" s="57">
        <f>IFERROR(VLOOKUP($A:$A,CS!$A:$AK,7,FALSE),"")</f>
      </c>
      <c r="F410" s="57">
        <f>IFERROR(VLOOKUP($A:$A,CS!$A:$AK,8,FALSE),"")</f>
      </c>
      <c r="G410" s="57">
        <f>IFERROR(VLOOKUP($A:$A,CS!$A:$AK,10,FALSE),"")</f>
      </c>
      <c r="H410" s="57">
        <f>IFERROR(VLOOKUP($A:$A,CS!$A:$AK,14,FALSE),"")</f>
      </c>
      <c r="I410" s="57">
        <f>IFERROR(VLOOKUP($A:$A,CS!$A:$AK,15,FALSE),"")</f>
      </c>
      <c r="J410" s="57">
        <f>IFERROR(VLOOKUP($A:$A,CS!$A:$AK,18,FALSE),"")</f>
      </c>
      <c r="K410" s="57">
        <f>IFERROR(VLOOKUP($A:$A,CS!$A:$AK,19,FALSE),"")</f>
      </c>
      <c r="L410" s="57">
        <f>IFERROR(VLOOKUP($A:$A,CS!$A:$AK,20,FALSE),"")</f>
      </c>
      <c r="M410" s="57">
        <f>IFERROR(VLOOKUP($A:$A,CS!$A:$AK,22,FALSE),"")</f>
      </c>
      <c r="N410" s="57">
        <f>IFERROR(VLOOKUP($A:$A,CS!$A:$AK,19,FALSE),"")</f>
      </c>
      <c r="O410" s="57">
        <f>IFERROR(VLOOKUP($A:$A,CS!$A:$AK,23,FALSE),"")</f>
      </c>
      <c r="P410" s="57">
        <f>IFERROR(VLOOKUP($A:$A,CS!$A:$AK,24,FALSE),"")</f>
      </c>
      <c r="Q410" s="57">
        <f>IFERROR(VLOOKUP($A:$A,CS!$A:$AK,25,FALSE),"")</f>
      </c>
      <c r="R410" s="57">
        <f>IFERROR(VLOOKUP($A:$A,CS!$A:$AK,26,FALSE),"")</f>
      </c>
      <c r="S410" s="57">
        <f>IFERROR(VLOOKUP($A:$A,CS!$A:$AK,29,FALSE),"")</f>
      </c>
      <c r="T410" s="57">
        <f>IFERROR(VLOOKUP($A:$A,CS!$A:$AK,33,FALSE),"")</f>
      </c>
      <c r="U410" s="57">
        <f>IFERROR(VLOOKUP($A:$A,CS!$A:$AK,34,FALSE),"")</f>
      </c>
      <c r="V410" s="57">
        <f>IFERROR(VLOOKUP($A:$A,CS!$A:$AK,35,FALSE),"")</f>
      </c>
      <c r="W410" s="57">
        <f>IFERROR(VLOOKUP($A:$A,CS!$A:$AK,36,FALSE),"")</f>
      </c>
    </row>
    <row r="411" ht="16.5" customHeight="1" spans="1:23" x14ac:dyDescent="0.25">
      <c r="A411" s="71"/>
      <c r="B411" s="57">
        <f>IFERROR(VLOOKUP($A:$A,CS!$A:$AK,3,FALSE),"")</f>
      </c>
      <c r="C411" s="57">
        <f>IFERROR(VLOOKUP($A:$A,CS!$A:$AK,4,FALSE),"")</f>
      </c>
      <c r="D411" s="57">
        <f>IFERROR(VLOOKUP($A:$A,CS!$A:$AK,5,FALSE),"")</f>
      </c>
      <c r="E411" s="57">
        <f>IFERROR(VLOOKUP($A:$A,CS!$A:$AK,7,FALSE),"")</f>
      </c>
      <c r="F411" s="57">
        <f>IFERROR(VLOOKUP($A:$A,CS!$A:$AK,8,FALSE),"")</f>
      </c>
      <c r="G411" s="57">
        <f>IFERROR(VLOOKUP($A:$A,CS!$A:$AK,10,FALSE),"")</f>
      </c>
      <c r="H411" s="57">
        <f>IFERROR(VLOOKUP($A:$A,CS!$A:$AK,14,FALSE),"")</f>
      </c>
      <c r="I411" s="57">
        <f>IFERROR(VLOOKUP($A:$A,CS!$A:$AK,15,FALSE),"")</f>
      </c>
      <c r="J411" s="57">
        <f>IFERROR(VLOOKUP($A:$A,CS!$A:$AK,18,FALSE),"")</f>
      </c>
      <c r="K411" s="57">
        <f>IFERROR(VLOOKUP($A:$A,CS!$A:$AK,19,FALSE),"")</f>
      </c>
      <c r="L411" s="57">
        <f>IFERROR(VLOOKUP($A:$A,CS!$A:$AK,20,FALSE),"")</f>
      </c>
      <c r="M411" s="57">
        <f>IFERROR(VLOOKUP($A:$A,CS!$A:$AK,22,FALSE),"")</f>
      </c>
      <c r="N411" s="57">
        <f>IFERROR(VLOOKUP($A:$A,CS!$A:$AK,19,FALSE),"")</f>
      </c>
      <c r="O411" s="57">
        <f>IFERROR(VLOOKUP($A:$A,CS!$A:$AK,23,FALSE),"")</f>
      </c>
      <c r="P411" s="57">
        <f>IFERROR(VLOOKUP($A:$A,CS!$A:$AK,24,FALSE),"")</f>
      </c>
      <c r="Q411" s="57">
        <f>IFERROR(VLOOKUP($A:$A,CS!$A:$AK,25,FALSE),"")</f>
      </c>
      <c r="R411" s="57">
        <f>IFERROR(VLOOKUP($A:$A,CS!$A:$AK,26,FALSE),"")</f>
      </c>
      <c r="S411" s="57">
        <f>IFERROR(VLOOKUP($A:$A,CS!$A:$AK,29,FALSE),"")</f>
      </c>
      <c r="T411" s="57">
        <f>IFERROR(VLOOKUP($A:$A,CS!$A:$AK,33,FALSE),"")</f>
      </c>
      <c r="U411" s="57">
        <f>IFERROR(VLOOKUP($A:$A,CS!$A:$AK,34,FALSE),"")</f>
      </c>
      <c r="V411" s="57">
        <f>IFERROR(VLOOKUP($A:$A,CS!$A:$AK,35,FALSE),"")</f>
      </c>
      <c r="W411" s="57">
        <f>IFERROR(VLOOKUP($A:$A,CS!$A:$AK,36,FALSE),"")</f>
      </c>
    </row>
    <row r="412" ht="16.5" customHeight="1" spans="1:23" x14ac:dyDescent="0.25">
      <c r="A412" s="71"/>
      <c r="B412" s="57">
        <f>IFERROR(VLOOKUP($A:$A,CS!$A:$AK,3,FALSE),"")</f>
      </c>
      <c r="C412" s="57">
        <f>IFERROR(VLOOKUP($A:$A,CS!$A:$AK,4,FALSE),"")</f>
      </c>
      <c r="D412" s="57">
        <f>IFERROR(VLOOKUP($A:$A,CS!$A:$AK,5,FALSE),"")</f>
      </c>
      <c r="E412" s="57">
        <f>IFERROR(VLOOKUP($A:$A,CS!$A:$AK,7,FALSE),"")</f>
      </c>
      <c r="F412" s="57">
        <f>IFERROR(VLOOKUP($A:$A,CS!$A:$AK,8,FALSE),"")</f>
      </c>
      <c r="G412" s="57">
        <f>IFERROR(VLOOKUP($A:$A,CS!$A:$AK,10,FALSE),"")</f>
      </c>
      <c r="H412" s="57">
        <f>IFERROR(VLOOKUP($A:$A,CS!$A:$AK,14,FALSE),"")</f>
      </c>
      <c r="I412" s="57">
        <f>IFERROR(VLOOKUP($A:$A,CS!$A:$AK,15,FALSE),"")</f>
      </c>
      <c r="J412" s="57">
        <f>IFERROR(VLOOKUP($A:$A,CS!$A:$AK,18,FALSE),"")</f>
      </c>
      <c r="K412" s="57">
        <f>IFERROR(VLOOKUP($A:$A,CS!$A:$AK,19,FALSE),"")</f>
      </c>
      <c r="L412" s="57">
        <f>IFERROR(VLOOKUP($A:$A,CS!$A:$AK,20,FALSE),"")</f>
      </c>
      <c r="M412" s="57">
        <f>IFERROR(VLOOKUP($A:$A,CS!$A:$AK,22,FALSE),"")</f>
      </c>
      <c r="N412" s="57">
        <f>IFERROR(VLOOKUP($A:$A,CS!$A:$AK,19,FALSE),"")</f>
      </c>
      <c r="O412" s="57">
        <f>IFERROR(VLOOKUP($A:$A,CS!$A:$AK,23,FALSE),"")</f>
      </c>
      <c r="P412" s="57">
        <f>IFERROR(VLOOKUP($A:$A,CS!$A:$AK,24,FALSE),"")</f>
      </c>
      <c r="Q412" s="57">
        <f>IFERROR(VLOOKUP($A:$A,CS!$A:$AK,25,FALSE),"")</f>
      </c>
      <c r="R412" s="57">
        <f>IFERROR(VLOOKUP($A:$A,CS!$A:$AK,26,FALSE),"")</f>
      </c>
      <c r="S412" s="57">
        <f>IFERROR(VLOOKUP($A:$A,CS!$A:$AK,29,FALSE),"")</f>
      </c>
      <c r="T412" s="57">
        <f>IFERROR(VLOOKUP($A:$A,CS!$A:$AK,33,FALSE),"")</f>
      </c>
      <c r="U412" s="57">
        <f>IFERROR(VLOOKUP($A:$A,CS!$A:$AK,34,FALSE),"")</f>
      </c>
      <c r="V412" s="57">
        <f>IFERROR(VLOOKUP($A:$A,CS!$A:$AK,35,FALSE),"")</f>
      </c>
      <c r="W412" s="57">
        <f>IFERROR(VLOOKUP($A:$A,CS!$A:$AK,36,FALSE),"")</f>
      </c>
    </row>
    <row r="413" ht="16.5" customHeight="1" spans="1:23" x14ac:dyDescent="0.25">
      <c r="A413" s="71"/>
      <c r="B413" s="57">
        <f>IFERROR(VLOOKUP($A:$A,CS!$A:$AK,3,FALSE),"")</f>
      </c>
      <c r="C413" s="57">
        <f>IFERROR(VLOOKUP($A:$A,CS!$A:$AK,4,FALSE),"")</f>
      </c>
      <c r="D413" s="57">
        <f>IFERROR(VLOOKUP($A:$A,CS!$A:$AK,5,FALSE),"")</f>
      </c>
      <c r="E413" s="57">
        <f>IFERROR(VLOOKUP($A:$A,CS!$A:$AK,7,FALSE),"")</f>
      </c>
      <c r="F413" s="57">
        <f>IFERROR(VLOOKUP($A:$A,CS!$A:$AK,8,FALSE),"")</f>
      </c>
      <c r="G413" s="57">
        <f>IFERROR(VLOOKUP($A:$A,CS!$A:$AK,10,FALSE),"")</f>
      </c>
      <c r="H413" s="57">
        <f>IFERROR(VLOOKUP($A:$A,CS!$A:$AK,14,FALSE),"")</f>
      </c>
      <c r="I413" s="57">
        <f>IFERROR(VLOOKUP($A:$A,CS!$A:$AK,15,FALSE),"")</f>
      </c>
      <c r="J413" s="57">
        <f>IFERROR(VLOOKUP($A:$A,CS!$A:$AK,18,FALSE),"")</f>
      </c>
      <c r="K413" s="57">
        <f>IFERROR(VLOOKUP($A:$A,CS!$A:$AK,19,FALSE),"")</f>
      </c>
      <c r="L413" s="57">
        <f>IFERROR(VLOOKUP($A:$A,CS!$A:$AK,20,FALSE),"")</f>
      </c>
      <c r="M413" s="57">
        <f>IFERROR(VLOOKUP($A:$A,CS!$A:$AK,22,FALSE),"")</f>
      </c>
      <c r="N413" s="57">
        <f>IFERROR(VLOOKUP($A:$A,CS!$A:$AK,19,FALSE),"")</f>
      </c>
      <c r="O413" s="57">
        <f>IFERROR(VLOOKUP($A:$A,CS!$A:$AK,23,FALSE),"")</f>
      </c>
      <c r="P413" s="57">
        <f>IFERROR(VLOOKUP($A:$A,CS!$A:$AK,24,FALSE),"")</f>
      </c>
      <c r="Q413" s="57">
        <f>IFERROR(VLOOKUP($A:$A,CS!$A:$AK,25,FALSE),"")</f>
      </c>
      <c r="R413" s="57">
        <f>IFERROR(VLOOKUP($A:$A,CS!$A:$AK,26,FALSE),"")</f>
      </c>
      <c r="S413" s="57">
        <f>IFERROR(VLOOKUP($A:$A,CS!$A:$AK,29,FALSE),"")</f>
      </c>
      <c r="T413" s="57">
        <f>IFERROR(VLOOKUP($A:$A,CS!$A:$AK,33,FALSE),"")</f>
      </c>
      <c r="U413" s="57">
        <f>IFERROR(VLOOKUP($A:$A,CS!$A:$AK,34,FALSE),"")</f>
      </c>
      <c r="V413" s="57">
        <f>IFERROR(VLOOKUP($A:$A,CS!$A:$AK,35,FALSE),"")</f>
      </c>
      <c r="W413" s="57">
        <f>IFERROR(VLOOKUP($A:$A,CS!$A:$AK,36,FALSE),"")</f>
      </c>
    </row>
    <row r="414" ht="16.5" customHeight="1" spans="1:23" x14ac:dyDescent="0.25">
      <c r="A414" s="71"/>
      <c r="B414" s="57">
        <f>IFERROR(VLOOKUP($A:$A,CS!$A:$AK,3,FALSE),"")</f>
      </c>
      <c r="C414" s="57">
        <f>IFERROR(VLOOKUP($A:$A,CS!$A:$AK,4,FALSE),"")</f>
      </c>
      <c r="D414" s="57">
        <f>IFERROR(VLOOKUP($A:$A,CS!$A:$AK,5,FALSE),"")</f>
      </c>
      <c r="E414" s="57">
        <f>IFERROR(VLOOKUP($A:$A,CS!$A:$AK,7,FALSE),"")</f>
      </c>
      <c r="F414" s="57">
        <f>IFERROR(VLOOKUP($A:$A,CS!$A:$AK,8,FALSE),"")</f>
      </c>
      <c r="G414" s="57">
        <f>IFERROR(VLOOKUP($A:$A,CS!$A:$AK,10,FALSE),"")</f>
      </c>
      <c r="H414" s="57">
        <f>IFERROR(VLOOKUP($A:$A,CS!$A:$AK,14,FALSE),"")</f>
      </c>
      <c r="I414" s="57">
        <f>IFERROR(VLOOKUP($A:$A,CS!$A:$AK,15,FALSE),"")</f>
      </c>
      <c r="J414" s="57">
        <f>IFERROR(VLOOKUP($A:$A,CS!$A:$AK,18,FALSE),"")</f>
      </c>
      <c r="K414" s="57">
        <f>IFERROR(VLOOKUP($A:$A,CS!$A:$AK,19,FALSE),"")</f>
      </c>
      <c r="L414" s="57">
        <f>IFERROR(VLOOKUP($A:$A,CS!$A:$AK,20,FALSE),"")</f>
      </c>
      <c r="M414" s="57">
        <f>IFERROR(VLOOKUP($A:$A,CS!$A:$AK,22,FALSE),"")</f>
      </c>
      <c r="N414" s="57">
        <f>IFERROR(VLOOKUP($A:$A,CS!$A:$AK,19,FALSE),"")</f>
      </c>
      <c r="O414" s="57">
        <f>IFERROR(VLOOKUP($A:$A,CS!$A:$AK,23,FALSE),"")</f>
      </c>
      <c r="P414" s="57">
        <f>IFERROR(VLOOKUP($A:$A,CS!$A:$AK,24,FALSE),"")</f>
      </c>
      <c r="Q414" s="57">
        <f>IFERROR(VLOOKUP($A:$A,CS!$A:$AK,25,FALSE),"")</f>
      </c>
      <c r="R414" s="57">
        <f>IFERROR(VLOOKUP($A:$A,CS!$A:$AK,26,FALSE),"")</f>
      </c>
      <c r="S414" s="57">
        <f>IFERROR(VLOOKUP($A:$A,CS!$A:$AK,29,FALSE),"")</f>
      </c>
      <c r="T414" s="57">
        <f>IFERROR(VLOOKUP($A:$A,CS!$A:$AK,33,FALSE),"")</f>
      </c>
      <c r="U414" s="57">
        <f>IFERROR(VLOOKUP($A:$A,CS!$A:$AK,34,FALSE),"")</f>
      </c>
      <c r="V414" s="57">
        <f>IFERROR(VLOOKUP($A:$A,CS!$A:$AK,35,FALSE),"")</f>
      </c>
      <c r="W414" s="57">
        <f>IFERROR(VLOOKUP($A:$A,CS!$A:$AK,36,FALSE),"")</f>
      </c>
    </row>
    <row r="415" ht="16.5" customHeight="1" spans="1:23" x14ac:dyDescent="0.25">
      <c r="A415" s="71"/>
      <c r="B415" s="57">
        <f>IFERROR(VLOOKUP($A:$A,CS!$A:$AK,3,FALSE),"")</f>
      </c>
      <c r="C415" s="57">
        <f>IFERROR(VLOOKUP($A:$A,CS!$A:$AK,4,FALSE),"")</f>
      </c>
      <c r="D415" s="57">
        <f>IFERROR(VLOOKUP($A:$A,CS!$A:$AK,5,FALSE),"")</f>
      </c>
      <c r="E415" s="57">
        <f>IFERROR(VLOOKUP($A:$A,CS!$A:$AK,7,FALSE),"")</f>
      </c>
      <c r="F415" s="57">
        <f>IFERROR(VLOOKUP($A:$A,CS!$A:$AK,8,FALSE),"")</f>
      </c>
      <c r="G415" s="57">
        <f>IFERROR(VLOOKUP($A:$A,CS!$A:$AK,10,FALSE),"")</f>
      </c>
      <c r="H415" s="57">
        <f>IFERROR(VLOOKUP($A:$A,CS!$A:$AK,14,FALSE),"")</f>
      </c>
      <c r="I415" s="57">
        <f>IFERROR(VLOOKUP($A:$A,CS!$A:$AK,15,FALSE),"")</f>
      </c>
      <c r="J415" s="57">
        <f>IFERROR(VLOOKUP($A:$A,CS!$A:$AK,18,FALSE),"")</f>
      </c>
      <c r="K415" s="57">
        <f>IFERROR(VLOOKUP($A:$A,CS!$A:$AK,19,FALSE),"")</f>
      </c>
      <c r="L415" s="57">
        <f>IFERROR(VLOOKUP($A:$A,CS!$A:$AK,20,FALSE),"")</f>
      </c>
      <c r="M415" s="57">
        <f>IFERROR(VLOOKUP($A:$A,CS!$A:$AK,22,FALSE),"")</f>
      </c>
      <c r="N415" s="57">
        <f>IFERROR(VLOOKUP($A:$A,CS!$A:$AK,19,FALSE),"")</f>
      </c>
      <c r="O415" s="57">
        <f>IFERROR(VLOOKUP($A:$A,CS!$A:$AK,23,FALSE),"")</f>
      </c>
      <c r="P415" s="57">
        <f>IFERROR(VLOOKUP($A:$A,CS!$A:$AK,24,FALSE),"")</f>
      </c>
      <c r="Q415" s="57">
        <f>IFERROR(VLOOKUP($A:$A,CS!$A:$AK,25,FALSE),"")</f>
      </c>
      <c r="R415" s="57">
        <f>IFERROR(VLOOKUP($A:$A,CS!$A:$AK,26,FALSE),"")</f>
      </c>
      <c r="S415" s="57">
        <f>IFERROR(VLOOKUP($A:$A,CS!$A:$AK,29,FALSE),"")</f>
      </c>
      <c r="T415" s="57">
        <f>IFERROR(VLOOKUP($A:$A,CS!$A:$AK,33,FALSE),"")</f>
      </c>
      <c r="U415" s="57">
        <f>IFERROR(VLOOKUP($A:$A,CS!$A:$AK,34,FALSE),"")</f>
      </c>
      <c r="V415" s="57">
        <f>IFERROR(VLOOKUP($A:$A,CS!$A:$AK,35,FALSE),"")</f>
      </c>
      <c r="W415" s="57">
        <f>IFERROR(VLOOKUP($A:$A,CS!$A:$AK,36,FALSE),"")</f>
      </c>
    </row>
    <row r="416" ht="16.5" customHeight="1" spans="1:23" x14ac:dyDescent="0.25">
      <c r="A416" s="71"/>
      <c r="B416" s="57">
        <f>IFERROR(VLOOKUP($A:$A,CS!$A:$AK,3,FALSE),"")</f>
      </c>
      <c r="C416" s="57">
        <f>IFERROR(VLOOKUP($A:$A,CS!$A:$AK,4,FALSE),"")</f>
      </c>
      <c r="D416" s="57">
        <f>IFERROR(VLOOKUP($A:$A,CS!$A:$AK,5,FALSE),"")</f>
      </c>
      <c r="E416" s="57">
        <f>IFERROR(VLOOKUP($A:$A,CS!$A:$AK,7,FALSE),"")</f>
      </c>
      <c r="F416" s="57">
        <f>IFERROR(VLOOKUP($A:$A,CS!$A:$AK,8,FALSE),"")</f>
      </c>
      <c r="G416" s="57">
        <f>IFERROR(VLOOKUP($A:$A,CS!$A:$AK,10,FALSE),"")</f>
      </c>
      <c r="H416" s="57">
        <f>IFERROR(VLOOKUP($A:$A,CS!$A:$AK,14,FALSE),"")</f>
      </c>
      <c r="I416" s="57">
        <f>IFERROR(VLOOKUP($A:$A,CS!$A:$AK,15,FALSE),"")</f>
      </c>
      <c r="J416" s="57">
        <f>IFERROR(VLOOKUP($A:$A,CS!$A:$AK,18,FALSE),"")</f>
      </c>
      <c r="K416" s="57">
        <f>IFERROR(VLOOKUP($A:$A,CS!$A:$AK,19,FALSE),"")</f>
      </c>
      <c r="L416" s="57">
        <f>IFERROR(VLOOKUP($A:$A,CS!$A:$AK,20,FALSE),"")</f>
      </c>
      <c r="M416" s="57">
        <f>IFERROR(VLOOKUP($A:$A,CS!$A:$AK,22,FALSE),"")</f>
      </c>
      <c r="N416" s="57">
        <f>IFERROR(VLOOKUP($A:$A,CS!$A:$AK,19,FALSE),"")</f>
      </c>
      <c r="O416" s="57">
        <f>IFERROR(VLOOKUP($A:$A,CS!$A:$AK,23,FALSE),"")</f>
      </c>
      <c r="P416" s="57">
        <f>IFERROR(VLOOKUP($A:$A,CS!$A:$AK,24,FALSE),"")</f>
      </c>
      <c r="Q416" s="57">
        <f>IFERROR(VLOOKUP($A:$A,CS!$A:$AK,25,FALSE),"")</f>
      </c>
      <c r="R416" s="57">
        <f>IFERROR(VLOOKUP($A:$A,CS!$A:$AK,26,FALSE),"")</f>
      </c>
      <c r="S416" s="57">
        <f>IFERROR(VLOOKUP($A:$A,CS!$A:$AK,29,FALSE),"")</f>
      </c>
      <c r="T416" s="57">
        <f>IFERROR(VLOOKUP($A:$A,CS!$A:$AK,33,FALSE),"")</f>
      </c>
      <c r="U416" s="57">
        <f>IFERROR(VLOOKUP($A:$A,CS!$A:$AK,34,FALSE),"")</f>
      </c>
      <c r="V416" s="57">
        <f>IFERROR(VLOOKUP($A:$A,CS!$A:$AK,35,FALSE),"")</f>
      </c>
      <c r="W416" s="57">
        <f>IFERROR(VLOOKUP($A:$A,CS!$A:$AK,36,FALSE),"")</f>
      </c>
    </row>
    <row r="417" ht="16.5" customHeight="1" spans="1:23" x14ac:dyDescent="0.25">
      <c r="A417" s="71"/>
      <c r="B417" s="57">
        <f>IFERROR(VLOOKUP($A:$A,CS!$A:$AK,3,FALSE),"")</f>
      </c>
      <c r="C417" s="57">
        <f>IFERROR(VLOOKUP($A:$A,CS!$A:$AK,4,FALSE),"")</f>
      </c>
      <c r="D417" s="57">
        <f>IFERROR(VLOOKUP($A:$A,CS!$A:$AK,5,FALSE),"")</f>
      </c>
      <c r="E417" s="57">
        <f>IFERROR(VLOOKUP($A:$A,CS!$A:$AK,7,FALSE),"")</f>
      </c>
      <c r="F417" s="57">
        <f>IFERROR(VLOOKUP($A:$A,CS!$A:$AK,8,FALSE),"")</f>
      </c>
      <c r="G417" s="57">
        <f>IFERROR(VLOOKUP($A:$A,CS!$A:$AK,10,FALSE),"")</f>
      </c>
      <c r="H417" s="57">
        <f>IFERROR(VLOOKUP($A:$A,CS!$A:$AK,14,FALSE),"")</f>
      </c>
      <c r="I417" s="57">
        <f>IFERROR(VLOOKUP($A:$A,CS!$A:$AK,15,FALSE),"")</f>
      </c>
      <c r="J417" s="57">
        <f>IFERROR(VLOOKUP($A:$A,CS!$A:$AK,18,FALSE),"")</f>
      </c>
      <c r="K417" s="57">
        <f>IFERROR(VLOOKUP($A:$A,CS!$A:$AK,19,FALSE),"")</f>
      </c>
      <c r="L417" s="57">
        <f>IFERROR(VLOOKUP($A:$A,CS!$A:$AK,20,FALSE),"")</f>
      </c>
      <c r="M417" s="57">
        <f>IFERROR(VLOOKUP($A:$A,CS!$A:$AK,22,FALSE),"")</f>
      </c>
      <c r="N417" s="57">
        <f>IFERROR(VLOOKUP($A:$A,CS!$A:$AK,19,FALSE),"")</f>
      </c>
      <c r="O417" s="57">
        <f>IFERROR(VLOOKUP($A:$A,CS!$A:$AK,23,FALSE),"")</f>
      </c>
      <c r="P417" s="57">
        <f>IFERROR(VLOOKUP($A:$A,CS!$A:$AK,24,FALSE),"")</f>
      </c>
      <c r="Q417" s="57">
        <f>IFERROR(VLOOKUP($A:$A,CS!$A:$AK,25,FALSE),"")</f>
      </c>
      <c r="R417" s="57">
        <f>IFERROR(VLOOKUP($A:$A,CS!$A:$AK,26,FALSE),"")</f>
      </c>
      <c r="S417" s="57">
        <f>IFERROR(VLOOKUP($A:$A,CS!$A:$AK,29,FALSE),"")</f>
      </c>
      <c r="T417" s="57">
        <f>IFERROR(VLOOKUP($A:$A,CS!$A:$AK,33,FALSE),"")</f>
      </c>
      <c r="U417" s="57">
        <f>IFERROR(VLOOKUP($A:$A,CS!$A:$AK,34,FALSE),"")</f>
      </c>
      <c r="V417" s="57">
        <f>IFERROR(VLOOKUP($A:$A,CS!$A:$AK,35,FALSE),"")</f>
      </c>
      <c r="W417" s="57">
        <f>IFERROR(VLOOKUP($A:$A,CS!$A:$AK,36,FALSE),"")</f>
      </c>
    </row>
    <row r="418" ht="16.5" customHeight="1" spans="1:23" x14ac:dyDescent="0.25">
      <c r="A418" s="71"/>
      <c r="B418" s="57">
        <f>IFERROR(VLOOKUP($A:$A,CS!$A:$AK,3,FALSE),"")</f>
      </c>
      <c r="C418" s="57">
        <f>IFERROR(VLOOKUP($A:$A,CS!$A:$AK,4,FALSE),"")</f>
      </c>
      <c r="D418" s="57">
        <f>IFERROR(VLOOKUP($A:$A,CS!$A:$AK,5,FALSE),"")</f>
      </c>
      <c r="E418" s="57">
        <f>IFERROR(VLOOKUP($A:$A,CS!$A:$AK,7,FALSE),"")</f>
      </c>
      <c r="F418" s="57">
        <f>IFERROR(VLOOKUP($A:$A,CS!$A:$AK,8,FALSE),"")</f>
      </c>
      <c r="G418" s="57">
        <f>IFERROR(VLOOKUP($A:$A,CS!$A:$AK,10,FALSE),"")</f>
      </c>
      <c r="H418" s="57">
        <f>IFERROR(VLOOKUP($A:$A,CS!$A:$AK,14,FALSE),"")</f>
      </c>
      <c r="I418" s="57">
        <f>IFERROR(VLOOKUP($A:$A,CS!$A:$AK,15,FALSE),"")</f>
      </c>
      <c r="J418" s="57">
        <f>IFERROR(VLOOKUP($A:$A,CS!$A:$AK,18,FALSE),"")</f>
      </c>
      <c r="K418" s="57">
        <f>IFERROR(VLOOKUP($A:$A,CS!$A:$AK,19,FALSE),"")</f>
      </c>
      <c r="L418" s="57">
        <f>IFERROR(VLOOKUP($A:$A,CS!$A:$AK,20,FALSE),"")</f>
      </c>
      <c r="M418" s="57">
        <f>IFERROR(VLOOKUP($A:$A,CS!$A:$AK,22,FALSE),"")</f>
      </c>
      <c r="N418" s="57">
        <f>IFERROR(VLOOKUP($A:$A,CS!$A:$AK,19,FALSE),"")</f>
      </c>
      <c r="O418" s="57">
        <f>IFERROR(VLOOKUP($A:$A,CS!$A:$AK,23,FALSE),"")</f>
      </c>
      <c r="P418" s="57">
        <f>IFERROR(VLOOKUP($A:$A,CS!$A:$AK,24,FALSE),"")</f>
      </c>
      <c r="Q418" s="57">
        <f>IFERROR(VLOOKUP($A:$A,CS!$A:$AK,25,FALSE),"")</f>
      </c>
      <c r="R418" s="57">
        <f>IFERROR(VLOOKUP($A:$A,CS!$A:$AK,26,FALSE),"")</f>
      </c>
      <c r="S418" s="57">
        <f>IFERROR(VLOOKUP($A:$A,CS!$A:$AK,29,FALSE),"")</f>
      </c>
      <c r="T418" s="57">
        <f>IFERROR(VLOOKUP($A:$A,CS!$A:$AK,33,FALSE),"")</f>
      </c>
      <c r="U418" s="57">
        <f>IFERROR(VLOOKUP($A:$A,CS!$A:$AK,34,FALSE),"")</f>
      </c>
      <c r="V418" s="57">
        <f>IFERROR(VLOOKUP($A:$A,CS!$A:$AK,35,FALSE),"")</f>
      </c>
      <c r="W418" s="57">
        <f>IFERROR(VLOOKUP($A:$A,CS!$A:$AK,36,FALSE),"")</f>
      </c>
    </row>
    <row r="419" ht="16.5" customHeight="1" spans="1:23" x14ac:dyDescent="0.25">
      <c r="A419" s="71"/>
      <c r="B419" s="57">
        <f>IFERROR(VLOOKUP($A:$A,CS!$A:$AK,3,FALSE),"")</f>
      </c>
      <c r="C419" s="57">
        <f>IFERROR(VLOOKUP($A:$A,CS!$A:$AK,4,FALSE),"")</f>
      </c>
      <c r="D419" s="57">
        <f>IFERROR(VLOOKUP($A:$A,CS!$A:$AK,5,FALSE),"")</f>
      </c>
      <c r="E419" s="57">
        <f>IFERROR(VLOOKUP($A:$A,CS!$A:$AK,7,FALSE),"")</f>
      </c>
      <c r="F419" s="57">
        <f>IFERROR(VLOOKUP($A:$A,CS!$A:$AK,8,FALSE),"")</f>
      </c>
      <c r="G419" s="57">
        <f>IFERROR(VLOOKUP($A:$A,CS!$A:$AK,10,FALSE),"")</f>
      </c>
      <c r="H419" s="57">
        <f>IFERROR(VLOOKUP($A:$A,CS!$A:$AK,14,FALSE),"")</f>
      </c>
      <c r="I419" s="57">
        <f>IFERROR(VLOOKUP($A:$A,CS!$A:$AK,15,FALSE),"")</f>
      </c>
      <c r="J419" s="57">
        <f>IFERROR(VLOOKUP($A:$A,CS!$A:$AK,18,FALSE),"")</f>
      </c>
      <c r="K419" s="57">
        <f>IFERROR(VLOOKUP($A:$A,CS!$A:$AK,19,FALSE),"")</f>
      </c>
      <c r="L419" s="57">
        <f>IFERROR(VLOOKUP($A:$A,CS!$A:$AK,20,FALSE),"")</f>
      </c>
      <c r="M419" s="57">
        <f>IFERROR(VLOOKUP($A:$A,CS!$A:$AK,22,FALSE),"")</f>
      </c>
      <c r="N419" s="57">
        <f>IFERROR(VLOOKUP($A:$A,CS!$A:$AK,19,FALSE),"")</f>
      </c>
      <c r="O419" s="57">
        <f>IFERROR(VLOOKUP($A:$A,CS!$A:$AK,23,FALSE),"")</f>
      </c>
      <c r="P419" s="57">
        <f>IFERROR(VLOOKUP($A:$A,CS!$A:$AK,24,FALSE),"")</f>
      </c>
      <c r="Q419" s="57">
        <f>IFERROR(VLOOKUP($A:$A,CS!$A:$AK,25,FALSE),"")</f>
      </c>
      <c r="R419" s="57">
        <f>IFERROR(VLOOKUP($A:$A,CS!$A:$AK,26,FALSE),"")</f>
      </c>
      <c r="S419" s="57">
        <f>IFERROR(VLOOKUP($A:$A,CS!$A:$AK,29,FALSE),"")</f>
      </c>
      <c r="T419" s="57">
        <f>IFERROR(VLOOKUP($A:$A,CS!$A:$AK,33,FALSE),"")</f>
      </c>
      <c r="U419" s="57">
        <f>IFERROR(VLOOKUP($A:$A,CS!$A:$AK,34,FALSE),"")</f>
      </c>
      <c r="V419" s="57">
        <f>IFERROR(VLOOKUP($A:$A,CS!$A:$AK,35,FALSE),"")</f>
      </c>
      <c r="W419" s="57">
        <f>IFERROR(VLOOKUP($A:$A,CS!$A:$AK,36,FALSE),"")</f>
      </c>
    </row>
    <row r="420" ht="16.5" customHeight="1" spans="1:23" x14ac:dyDescent="0.25">
      <c r="A420" s="71"/>
      <c r="B420" s="57">
        <f>IFERROR(VLOOKUP($A:$A,CS!$A:$AK,3,FALSE),"")</f>
      </c>
      <c r="C420" s="57">
        <f>IFERROR(VLOOKUP($A:$A,CS!$A:$AK,4,FALSE),"")</f>
      </c>
      <c r="D420" s="57">
        <f>IFERROR(VLOOKUP($A:$A,CS!$A:$AK,5,FALSE),"")</f>
      </c>
      <c r="E420" s="57">
        <f>IFERROR(VLOOKUP($A:$A,CS!$A:$AK,7,FALSE),"")</f>
      </c>
      <c r="F420" s="57">
        <f>IFERROR(VLOOKUP($A:$A,CS!$A:$AK,8,FALSE),"")</f>
      </c>
      <c r="G420" s="57">
        <f>IFERROR(VLOOKUP($A:$A,CS!$A:$AK,10,FALSE),"")</f>
      </c>
      <c r="H420" s="57">
        <f>IFERROR(VLOOKUP($A:$A,CS!$A:$AK,14,FALSE),"")</f>
      </c>
      <c r="I420" s="57">
        <f>IFERROR(VLOOKUP($A:$A,CS!$A:$AK,15,FALSE),"")</f>
      </c>
      <c r="J420" s="57">
        <f>IFERROR(VLOOKUP($A:$A,CS!$A:$AK,18,FALSE),"")</f>
      </c>
      <c r="K420" s="57">
        <f>IFERROR(VLOOKUP($A:$A,CS!$A:$AK,19,FALSE),"")</f>
      </c>
      <c r="L420" s="57">
        <f>IFERROR(VLOOKUP($A:$A,CS!$A:$AK,20,FALSE),"")</f>
      </c>
      <c r="M420" s="57">
        <f>IFERROR(VLOOKUP($A:$A,CS!$A:$AK,22,FALSE),"")</f>
      </c>
      <c r="N420" s="57">
        <f>IFERROR(VLOOKUP($A:$A,CS!$A:$AK,19,FALSE),"")</f>
      </c>
      <c r="O420" s="57">
        <f>IFERROR(VLOOKUP($A:$A,CS!$A:$AK,23,FALSE),"")</f>
      </c>
      <c r="P420" s="57">
        <f>IFERROR(VLOOKUP($A:$A,CS!$A:$AK,24,FALSE),"")</f>
      </c>
      <c r="Q420" s="57">
        <f>IFERROR(VLOOKUP($A:$A,CS!$A:$AK,25,FALSE),"")</f>
      </c>
      <c r="R420" s="57">
        <f>IFERROR(VLOOKUP($A:$A,CS!$A:$AK,26,FALSE),"")</f>
      </c>
      <c r="S420" s="57">
        <f>IFERROR(VLOOKUP($A:$A,CS!$A:$AK,29,FALSE),"")</f>
      </c>
      <c r="T420" s="57">
        <f>IFERROR(VLOOKUP($A:$A,CS!$A:$AK,33,FALSE),"")</f>
      </c>
      <c r="U420" s="57">
        <f>IFERROR(VLOOKUP($A:$A,CS!$A:$AK,34,FALSE),"")</f>
      </c>
      <c r="V420" s="57">
        <f>IFERROR(VLOOKUP($A:$A,CS!$A:$AK,35,FALSE),"")</f>
      </c>
      <c r="W420" s="57">
        <f>IFERROR(VLOOKUP($A:$A,CS!$A:$AK,36,FALSE),"")</f>
      </c>
    </row>
    <row r="421" ht="16.5" customHeight="1" spans="1:23" x14ac:dyDescent="0.25">
      <c r="A421" s="71"/>
      <c r="B421" s="57">
        <f>IFERROR(VLOOKUP($A:$A,CS!$A:$AK,3,FALSE),"")</f>
      </c>
      <c r="C421" s="57">
        <f>IFERROR(VLOOKUP($A:$A,CS!$A:$AK,4,FALSE),"")</f>
      </c>
      <c r="D421" s="57">
        <f>IFERROR(VLOOKUP($A:$A,CS!$A:$AK,5,FALSE),"")</f>
      </c>
      <c r="E421" s="57">
        <f>IFERROR(VLOOKUP($A:$A,CS!$A:$AK,7,FALSE),"")</f>
      </c>
      <c r="F421" s="57">
        <f>IFERROR(VLOOKUP($A:$A,CS!$A:$AK,8,FALSE),"")</f>
      </c>
      <c r="G421" s="57">
        <f>IFERROR(VLOOKUP($A:$A,CS!$A:$AK,10,FALSE),"")</f>
      </c>
      <c r="H421" s="57">
        <f>IFERROR(VLOOKUP($A:$A,CS!$A:$AK,14,FALSE),"")</f>
      </c>
      <c r="I421" s="57">
        <f>IFERROR(VLOOKUP($A:$A,CS!$A:$AK,15,FALSE),"")</f>
      </c>
      <c r="J421" s="57">
        <f>IFERROR(VLOOKUP($A:$A,CS!$A:$AK,18,FALSE),"")</f>
      </c>
      <c r="K421" s="57">
        <f>IFERROR(VLOOKUP($A:$A,CS!$A:$AK,19,FALSE),"")</f>
      </c>
      <c r="L421" s="57">
        <f>IFERROR(VLOOKUP($A:$A,CS!$A:$AK,20,FALSE),"")</f>
      </c>
      <c r="M421" s="57">
        <f>IFERROR(VLOOKUP($A:$A,CS!$A:$AK,22,FALSE),"")</f>
      </c>
      <c r="N421" s="57">
        <f>IFERROR(VLOOKUP($A:$A,CS!$A:$AK,19,FALSE),"")</f>
      </c>
      <c r="O421" s="57">
        <f>IFERROR(VLOOKUP($A:$A,CS!$A:$AK,23,FALSE),"")</f>
      </c>
      <c r="P421" s="57">
        <f>IFERROR(VLOOKUP($A:$A,CS!$A:$AK,24,FALSE),"")</f>
      </c>
      <c r="Q421" s="57">
        <f>IFERROR(VLOOKUP($A:$A,CS!$A:$AK,25,FALSE),"")</f>
      </c>
      <c r="R421" s="57">
        <f>IFERROR(VLOOKUP($A:$A,CS!$A:$AK,26,FALSE),"")</f>
      </c>
      <c r="S421" s="57">
        <f>IFERROR(VLOOKUP($A:$A,CS!$A:$AK,29,FALSE),"")</f>
      </c>
      <c r="T421" s="57">
        <f>IFERROR(VLOOKUP($A:$A,CS!$A:$AK,33,FALSE),"")</f>
      </c>
      <c r="U421" s="57">
        <f>IFERROR(VLOOKUP($A:$A,CS!$A:$AK,34,FALSE),"")</f>
      </c>
      <c r="V421" s="57">
        <f>IFERROR(VLOOKUP($A:$A,CS!$A:$AK,35,FALSE),"")</f>
      </c>
      <c r="W421" s="57">
        <f>IFERROR(VLOOKUP($A:$A,CS!$A:$AK,36,FALSE),"")</f>
      </c>
    </row>
    <row r="422" ht="16.5" customHeight="1" spans="1:23" x14ac:dyDescent="0.25">
      <c r="A422" s="71"/>
      <c r="B422" s="57">
        <f>IFERROR(VLOOKUP($A:$A,CS!$A:$AK,3,FALSE),"")</f>
      </c>
      <c r="C422" s="57">
        <f>IFERROR(VLOOKUP($A:$A,CS!$A:$AK,4,FALSE),"")</f>
      </c>
      <c r="D422" s="57">
        <f>IFERROR(VLOOKUP($A:$A,CS!$A:$AK,5,FALSE),"")</f>
      </c>
      <c r="E422" s="57">
        <f>IFERROR(VLOOKUP($A:$A,CS!$A:$AK,7,FALSE),"")</f>
      </c>
      <c r="F422" s="57">
        <f>IFERROR(VLOOKUP($A:$A,CS!$A:$AK,8,FALSE),"")</f>
      </c>
      <c r="G422" s="57">
        <f>IFERROR(VLOOKUP($A:$A,CS!$A:$AK,10,FALSE),"")</f>
      </c>
      <c r="H422" s="57">
        <f>IFERROR(VLOOKUP($A:$A,CS!$A:$AK,14,FALSE),"")</f>
      </c>
      <c r="I422" s="57">
        <f>IFERROR(VLOOKUP($A:$A,CS!$A:$AK,15,FALSE),"")</f>
      </c>
      <c r="J422" s="57">
        <f>IFERROR(VLOOKUP($A:$A,CS!$A:$AK,18,FALSE),"")</f>
      </c>
      <c r="K422" s="57">
        <f>IFERROR(VLOOKUP($A:$A,CS!$A:$AK,19,FALSE),"")</f>
      </c>
      <c r="L422" s="57">
        <f>IFERROR(VLOOKUP($A:$A,CS!$A:$AK,20,FALSE),"")</f>
      </c>
      <c r="M422" s="57">
        <f>IFERROR(VLOOKUP($A:$A,CS!$A:$AK,22,FALSE),"")</f>
      </c>
      <c r="N422" s="57">
        <f>IFERROR(VLOOKUP($A:$A,CS!$A:$AK,19,FALSE),"")</f>
      </c>
      <c r="O422" s="57">
        <f>IFERROR(VLOOKUP($A:$A,CS!$A:$AK,23,FALSE),"")</f>
      </c>
      <c r="P422" s="57">
        <f>IFERROR(VLOOKUP($A:$A,CS!$A:$AK,24,FALSE),"")</f>
      </c>
      <c r="Q422" s="57">
        <f>IFERROR(VLOOKUP($A:$A,CS!$A:$AK,25,FALSE),"")</f>
      </c>
      <c r="R422" s="57">
        <f>IFERROR(VLOOKUP($A:$A,CS!$A:$AK,26,FALSE),"")</f>
      </c>
      <c r="S422" s="57">
        <f>IFERROR(VLOOKUP($A:$A,CS!$A:$AK,29,FALSE),"")</f>
      </c>
      <c r="T422" s="57">
        <f>IFERROR(VLOOKUP($A:$A,CS!$A:$AK,33,FALSE),"")</f>
      </c>
      <c r="U422" s="57">
        <f>IFERROR(VLOOKUP($A:$A,CS!$A:$AK,34,FALSE),"")</f>
      </c>
      <c r="V422" s="57">
        <f>IFERROR(VLOOKUP($A:$A,CS!$A:$AK,35,FALSE),"")</f>
      </c>
      <c r="W422" s="57">
        <f>IFERROR(VLOOKUP($A:$A,CS!$A:$AK,36,FALSE),"")</f>
      </c>
    </row>
    <row r="423" ht="16.5" customHeight="1" spans="1:23" x14ac:dyDescent="0.25">
      <c r="A423" s="71"/>
      <c r="B423" s="57">
        <f>IFERROR(VLOOKUP($A:$A,CS!$A:$AK,3,FALSE),"")</f>
      </c>
      <c r="C423" s="57">
        <f>IFERROR(VLOOKUP($A:$A,CS!$A:$AK,4,FALSE),"")</f>
      </c>
      <c r="D423" s="57">
        <f>IFERROR(VLOOKUP($A:$A,CS!$A:$AK,5,FALSE),"")</f>
      </c>
      <c r="E423" s="57">
        <f>IFERROR(VLOOKUP($A:$A,CS!$A:$AK,7,FALSE),"")</f>
      </c>
      <c r="F423" s="57">
        <f>IFERROR(VLOOKUP($A:$A,CS!$A:$AK,8,FALSE),"")</f>
      </c>
      <c r="G423" s="57">
        <f>IFERROR(VLOOKUP($A:$A,CS!$A:$AK,10,FALSE),"")</f>
      </c>
      <c r="H423" s="57">
        <f>IFERROR(VLOOKUP($A:$A,CS!$A:$AK,14,FALSE),"")</f>
      </c>
      <c r="I423" s="57">
        <f>IFERROR(VLOOKUP($A:$A,CS!$A:$AK,15,FALSE),"")</f>
      </c>
      <c r="J423" s="57">
        <f>IFERROR(VLOOKUP($A:$A,CS!$A:$AK,18,FALSE),"")</f>
      </c>
      <c r="K423" s="57">
        <f>IFERROR(VLOOKUP($A:$A,CS!$A:$AK,19,FALSE),"")</f>
      </c>
      <c r="L423" s="57">
        <f>IFERROR(VLOOKUP($A:$A,CS!$A:$AK,20,FALSE),"")</f>
      </c>
      <c r="M423" s="57">
        <f>IFERROR(VLOOKUP($A:$A,CS!$A:$AK,22,FALSE),"")</f>
      </c>
      <c r="N423" s="57">
        <f>IFERROR(VLOOKUP($A:$A,CS!$A:$AK,19,FALSE),"")</f>
      </c>
      <c r="O423" s="57">
        <f>IFERROR(VLOOKUP($A:$A,CS!$A:$AK,23,FALSE),"")</f>
      </c>
      <c r="P423" s="57">
        <f>IFERROR(VLOOKUP($A:$A,CS!$A:$AK,24,FALSE),"")</f>
      </c>
      <c r="Q423" s="57">
        <f>IFERROR(VLOOKUP($A:$A,CS!$A:$AK,25,FALSE),"")</f>
      </c>
      <c r="R423" s="57">
        <f>IFERROR(VLOOKUP($A:$A,CS!$A:$AK,26,FALSE),"")</f>
      </c>
      <c r="S423" s="57">
        <f>IFERROR(VLOOKUP($A:$A,CS!$A:$AK,29,FALSE),"")</f>
      </c>
      <c r="T423" s="57">
        <f>IFERROR(VLOOKUP($A:$A,CS!$A:$AK,33,FALSE),"")</f>
      </c>
      <c r="U423" s="57">
        <f>IFERROR(VLOOKUP($A:$A,CS!$A:$AK,34,FALSE),"")</f>
      </c>
      <c r="V423" s="57">
        <f>IFERROR(VLOOKUP($A:$A,CS!$A:$AK,35,FALSE),"")</f>
      </c>
      <c r="W423" s="57">
        <f>IFERROR(VLOOKUP($A:$A,CS!$A:$AK,36,FALSE),"")</f>
      </c>
    </row>
    <row r="424" ht="16.5" customHeight="1" spans="1:23" x14ac:dyDescent="0.25">
      <c r="A424" s="71"/>
      <c r="B424" s="57">
        <f>IFERROR(VLOOKUP($A:$A,CS!$A:$AK,3,FALSE),"")</f>
      </c>
      <c r="C424" s="57">
        <f>IFERROR(VLOOKUP($A:$A,CS!$A:$AK,4,FALSE),"")</f>
      </c>
      <c r="D424" s="57">
        <f>IFERROR(VLOOKUP($A:$A,CS!$A:$AK,5,FALSE),"")</f>
      </c>
      <c r="E424" s="57">
        <f>IFERROR(VLOOKUP($A:$A,CS!$A:$AK,7,FALSE),"")</f>
      </c>
      <c r="F424" s="57">
        <f>IFERROR(VLOOKUP($A:$A,CS!$A:$AK,8,FALSE),"")</f>
      </c>
      <c r="G424" s="57">
        <f>IFERROR(VLOOKUP($A:$A,CS!$A:$AK,10,FALSE),"")</f>
      </c>
      <c r="H424" s="57">
        <f>IFERROR(VLOOKUP($A:$A,CS!$A:$AK,14,FALSE),"")</f>
      </c>
      <c r="I424" s="57">
        <f>IFERROR(VLOOKUP($A:$A,CS!$A:$AK,15,FALSE),"")</f>
      </c>
      <c r="J424" s="57">
        <f>IFERROR(VLOOKUP($A:$A,CS!$A:$AK,18,FALSE),"")</f>
      </c>
      <c r="K424" s="57">
        <f>IFERROR(VLOOKUP($A:$A,CS!$A:$AK,19,FALSE),"")</f>
      </c>
      <c r="L424" s="57">
        <f>IFERROR(VLOOKUP($A:$A,CS!$A:$AK,20,FALSE),"")</f>
      </c>
      <c r="M424" s="57">
        <f>IFERROR(VLOOKUP($A:$A,CS!$A:$AK,22,FALSE),"")</f>
      </c>
      <c r="N424" s="57">
        <f>IFERROR(VLOOKUP($A:$A,CS!$A:$AK,19,FALSE),"")</f>
      </c>
      <c r="O424" s="57">
        <f>IFERROR(VLOOKUP($A:$A,CS!$A:$AK,23,FALSE),"")</f>
      </c>
      <c r="P424" s="57">
        <f>IFERROR(VLOOKUP($A:$A,CS!$A:$AK,24,FALSE),"")</f>
      </c>
      <c r="Q424" s="57">
        <f>IFERROR(VLOOKUP($A:$A,CS!$A:$AK,25,FALSE),"")</f>
      </c>
      <c r="R424" s="57">
        <f>IFERROR(VLOOKUP($A:$A,CS!$A:$AK,26,FALSE),"")</f>
      </c>
      <c r="S424" s="57">
        <f>IFERROR(VLOOKUP($A:$A,CS!$A:$AK,29,FALSE),"")</f>
      </c>
      <c r="T424" s="57">
        <f>IFERROR(VLOOKUP($A:$A,CS!$A:$AK,33,FALSE),"")</f>
      </c>
      <c r="U424" s="57">
        <f>IFERROR(VLOOKUP($A:$A,CS!$A:$AK,34,FALSE),"")</f>
      </c>
      <c r="V424" s="57">
        <f>IFERROR(VLOOKUP($A:$A,CS!$A:$AK,35,FALSE),"")</f>
      </c>
      <c r="W424" s="57">
        <f>IFERROR(VLOOKUP($A:$A,CS!$A:$AK,36,FALSE),"")</f>
      </c>
    </row>
    <row r="425" ht="16.5" customHeight="1" spans="1:23" x14ac:dyDescent="0.25">
      <c r="A425" s="71"/>
      <c r="B425" s="57">
        <f>IFERROR(VLOOKUP($A:$A,CS!$A:$AK,3,FALSE),"")</f>
      </c>
      <c r="C425" s="57">
        <f>IFERROR(VLOOKUP($A:$A,CS!$A:$AK,4,FALSE),"")</f>
      </c>
      <c r="D425" s="57">
        <f>IFERROR(VLOOKUP($A:$A,CS!$A:$AK,5,FALSE),"")</f>
      </c>
      <c r="E425" s="57">
        <f>IFERROR(VLOOKUP($A:$A,CS!$A:$AK,7,FALSE),"")</f>
      </c>
      <c r="F425" s="57">
        <f>IFERROR(VLOOKUP($A:$A,CS!$A:$AK,8,FALSE),"")</f>
      </c>
      <c r="G425" s="57">
        <f>IFERROR(VLOOKUP($A:$A,CS!$A:$AK,10,FALSE),"")</f>
      </c>
      <c r="H425" s="57">
        <f>IFERROR(VLOOKUP($A:$A,CS!$A:$AK,14,FALSE),"")</f>
      </c>
      <c r="I425" s="57">
        <f>IFERROR(VLOOKUP($A:$A,CS!$A:$AK,15,FALSE),"")</f>
      </c>
      <c r="J425" s="57">
        <f>IFERROR(VLOOKUP($A:$A,CS!$A:$AK,18,FALSE),"")</f>
      </c>
      <c r="K425" s="57">
        <f>IFERROR(VLOOKUP($A:$A,CS!$A:$AK,19,FALSE),"")</f>
      </c>
      <c r="L425" s="57">
        <f>IFERROR(VLOOKUP($A:$A,CS!$A:$AK,20,FALSE),"")</f>
      </c>
      <c r="M425" s="57">
        <f>IFERROR(VLOOKUP($A:$A,CS!$A:$AK,22,FALSE),"")</f>
      </c>
      <c r="N425" s="57">
        <f>IFERROR(VLOOKUP($A:$A,CS!$A:$AK,19,FALSE),"")</f>
      </c>
      <c r="O425" s="57">
        <f>IFERROR(VLOOKUP($A:$A,CS!$A:$AK,23,FALSE),"")</f>
      </c>
      <c r="P425" s="57">
        <f>IFERROR(VLOOKUP($A:$A,CS!$A:$AK,24,FALSE),"")</f>
      </c>
      <c r="Q425" s="57">
        <f>IFERROR(VLOOKUP($A:$A,CS!$A:$AK,25,FALSE),"")</f>
      </c>
      <c r="R425" s="57">
        <f>IFERROR(VLOOKUP($A:$A,CS!$A:$AK,26,FALSE),"")</f>
      </c>
      <c r="S425" s="57">
        <f>IFERROR(VLOOKUP($A:$A,CS!$A:$AK,29,FALSE),"")</f>
      </c>
      <c r="T425" s="57">
        <f>IFERROR(VLOOKUP($A:$A,CS!$A:$AK,33,FALSE),"")</f>
      </c>
      <c r="U425" s="57">
        <f>IFERROR(VLOOKUP($A:$A,CS!$A:$AK,34,FALSE),"")</f>
      </c>
      <c r="V425" s="57">
        <f>IFERROR(VLOOKUP($A:$A,CS!$A:$AK,35,FALSE),"")</f>
      </c>
      <c r="W425" s="57">
        <f>IFERROR(VLOOKUP($A:$A,CS!$A:$AK,36,FALSE),"")</f>
      </c>
    </row>
    <row r="426" ht="16.5" customHeight="1" spans="1:23" x14ac:dyDescent="0.25">
      <c r="A426" s="71"/>
      <c r="B426" s="57">
        <f>IFERROR(VLOOKUP($A:$A,CS!$A:$AK,3,FALSE),"")</f>
      </c>
      <c r="C426" s="57">
        <f>IFERROR(VLOOKUP($A:$A,CS!$A:$AK,4,FALSE),"")</f>
      </c>
      <c r="D426" s="57">
        <f>IFERROR(VLOOKUP($A:$A,CS!$A:$AK,5,FALSE),"")</f>
      </c>
      <c r="E426" s="57">
        <f>IFERROR(VLOOKUP($A:$A,CS!$A:$AK,7,FALSE),"")</f>
      </c>
      <c r="F426" s="57">
        <f>IFERROR(VLOOKUP($A:$A,CS!$A:$AK,8,FALSE),"")</f>
      </c>
      <c r="G426" s="57">
        <f>IFERROR(VLOOKUP($A:$A,CS!$A:$AK,10,FALSE),"")</f>
      </c>
      <c r="H426" s="57">
        <f>IFERROR(VLOOKUP($A:$A,CS!$A:$AK,14,FALSE),"")</f>
      </c>
      <c r="I426" s="57">
        <f>IFERROR(VLOOKUP($A:$A,CS!$A:$AK,15,FALSE),"")</f>
      </c>
      <c r="J426" s="57">
        <f>IFERROR(VLOOKUP($A:$A,CS!$A:$AK,18,FALSE),"")</f>
      </c>
      <c r="K426" s="57">
        <f>IFERROR(VLOOKUP($A:$A,CS!$A:$AK,19,FALSE),"")</f>
      </c>
      <c r="L426" s="57">
        <f>IFERROR(VLOOKUP($A:$A,CS!$A:$AK,20,FALSE),"")</f>
      </c>
      <c r="M426" s="57">
        <f>IFERROR(VLOOKUP($A:$A,CS!$A:$AK,22,FALSE),"")</f>
      </c>
      <c r="N426" s="57">
        <f>IFERROR(VLOOKUP($A:$A,CS!$A:$AK,19,FALSE),"")</f>
      </c>
      <c r="O426" s="57">
        <f>IFERROR(VLOOKUP($A:$A,CS!$A:$AK,23,FALSE),"")</f>
      </c>
      <c r="P426" s="57">
        <f>IFERROR(VLOOKUP($A:$A,CS!$A:$AK,24,FALSE),"")</f>
      </c>
      <c r="Q426" s="57">
        <f>IFERROR(VLOOKUP($A:$A,CS!$A:$AK,25,FALSE),"")</f>
      </c>
      <c r="R426" s="57">
        <f>IFERROR(VLOOKUP($A:$A,CS!$A:$AK,26,FALSE),"")</f>
      </c>
      <c r="S426" s="57">
        <f>IFERROR(VLOOKUP($A:$A,CS!$A:$AK,29,FALSE),"")</f>
      </c>
      <c r="T426" s="57">
        <f>IFERROR(VLOOKUP($A:$A,CS!$A:$AK,33,FALSE),"")</f>
      </c>
      <c r="U426" s="57">
        <f>IFERROR(VLOOKUP($A:$A,CS!$A:$AK,34,FALSE),"")</f>
      </c>
      <c r="V426" s="57">
        <f>IFERROR(VLOOKUP($A:$A,CS!$A:$AK,35,FALSE),"")</f>
      </c>
      <c r="W426" s="57">
        <f>IFERROR(VLOOKUP($A:$A,CS!$A:$AK,36,FALSE),"")</f>
      </c>
    </row>
    <row r="427" ht="16.5" customHeight="1" spans="1:23" x14ac:dyDescent="0.25">
      <c r="A427" s="71"/>
      <c r="B427" s="57">
        <f>IFERROR(VLOOKUP($A:$A,CS!$A:$AK,3,FALSE),"")</f>
      </c>
      <c r="C427" s="57">
        <f>IFERROR(VLOOKUP($A:$A,CS!$A:$AK,4,FALSE),"")</f>
      </c>
      <c r="D427" s="57">
        <f>IFERROR(VLOOKUP($A:$A,CS!$A:$AK,5,FALSE),"")</f>
      </c>
      <c r="E427" s="57">
        <f>IFERROR(VLOOKUP($A:$A,CS!$A:$AK,7,FALSE),"")</f>
      </c>
      <c r="F427" s="57">
        <f>IFERROR(VLOOKUP($A:$A,CS!$A:$AK,8,FALSE),"")</f>
      </c>
      <c r="G427" s="57">
        <f>IFERROR(VLOOKUP($A:$A,CS!$A:$AK,10,FALSE),"")</f>
      </c>
      <c r="H427" s="57">
        <f>IFERROR(VLOOKUP($A:$A,CS!$A:$AK,14,FALSE),"")</f>
      </c>
      <c r="I427" s="57">
        <f>IFERROR(VLOOKUP($A:$A,CS!$A:$AK,15,FALSE),"")</f>
      </c>
      <c r="J427" s="57">
        <f>IFERROR(VLOOKUP($A:$A,CS!$A:$AK,18,FALSE),"")</f>
      </c>
      <c r="K427" s="57">
        <f>IFERROR(VLOOKUP($A:$A,CS!$A:$AK,19,FALSE),"")</f>
      </c>
      <c r="L427" s="57">
        <f>IFERROR(VLOOKUP($A:$A,CS!$A:$AK,20,FALSE),"")</f>
      </c>
      <c r="M427" s="57">
        <f>IFERROR(VLOOKUP($A:$A,CS!$A:$AK,22,FALSE),"")</f>
      </c>
      <c r="N427" s="57">
        <f>IFERROR(VLOOKUP($A:$A,CS!$A:$AK,19,FALSE),"")</f>
      </c>
      <c r="O427" s="57">
        <f>IFERROR(VLOOKUP($A:$A,CS!$A:$AK,23,FALSE),"")</f>
      </c>
      <c r="P427" s="57">
        <f>IFERROR(VLOOKUP($A:$A,CS!$A:$AK,24,FALSE),"")</f>
      </c>
      <c r="Q427" s="57">
        <f>IFERROR(VLOOKUP($A:$A,CS!$A:$AK,25,FALSE),"")</f>
      </c>
      <c r="R427" s="57">
        <f>IFERROR(VLOOKUP($A:$A,CS!$A:$AK,26,FALSE),"")</f>
      </c>
      <c r="S427" s="57">
        <f>IFERROR(VLOOKUP($A:$A,CS!$A:$AK,29,FALSE),"")</f>
      </c>
      <c r="T427" s="57">
        <f>IFERROR(VLOOKUP($A:$A,CS!$A:$AK,33,FALSE),"")</f>
      </c>
      <c r="U427" s="57">
        <f>IFERROR(VLOOKUP($A:$A,CS!$A:$AK,34,FALSE),"")</f>
      </c>
      <c r="V427" s="57">
        <f>IFERROR(VLOOKUP($A:$A,CS!$A:$AK,35,FALSE),"")</f>
      </c>
      <c r="W427" s="57">
        <f>IFERROR(VLOOKUP($A:$A,CS!$A:$AK,36,FALSE),"")</f>
      </c>
    </row>
    <row r="428" ht="16.5" customHeight="1" spans="1:23" x14ac:dyDescent="0.25">
      <c r="A428" s="71"/>
      <c r="B428" s="57">
        <f>IFERROR(VLOOKUP($A:$A,CS!$A:$AK,3,FALSE),"")</f>
      </c>
      <c r="C428" s="57">
        <f>IFERROR(VLOOKUP($A:$A,CS!$A:$AK,4,FALSE),"")</f>
      </c>
      <c r="D428" s="57">
        <f>IFERROR(VLOOKUP($A:$A,CS!$A:$AK,5,FALSE),"")</f>
      </c>
      <c r="E428" s="57">
        <f>IFERROR(VLOOKUP($A:$A,CS!$A:$AK,7,FALSE),"")</f>
      </c>
      <c r="F428" s="57">
        <f>IFERROR(VLOOKUP($A:$A,CS!$A:$AK,8,FALSE),"")</f>
      </c>
      <c r="G428" s="57">
        <f>IFERROR(VLOOKUP($A:$A,CS!$A:$AK,10,FALSE),"")</f>
      </c>
      <c r="H428" s="57">
        <f>IFERROR(VLOOKUP($A:$A,CS!$A:$AK,14,FALSE),"")</f>
      </c>
      <c r="I428" s="57">
        <f>IFERROR(VLOOKUP($A:$A,CS!$A:$AK,15,FALSE),"")</f>
      </c>
      <c r="J428" s="57">
        <f>IFERROR(VLOOKUP($A:$A,CS!$A:$AK,18,FALSE),"")</f>
      </c>
      <c r="K428" s="57">
        <f>IFERROR(VLOOKUP($A:$A,CS!$A:$AK,19,FALSE),"")</f>
      </c>
      <c r="L428" s="57">
        <f>IFERROR(VLOOKUP($A:$A,CS!$A:$AK,20,FALSE),"")</f>
      </c>
      <c r="M428" s="57">
        <f>IFERROR(VLOOKUP($A:$A,CS!$A:$AK,22,FALSE),"")</f>
      </c>
      <c r="N428" s="57">
        <f>IFERROR(VLOOKUP($A:$A,CS!$A:$AK,19,FALSE),"")</f>
      </c>
      <c r="O428" s="57">
        <f>IFERROR(VLOOKUP($A:$A,CS!$A:$AK,23,FALSE),"")</f>
      </c>
      <c r="P428" s="57">
        <f>IFERROR(VLOOKUP($A:$A,CS!$A:$AK,24,FALSE),"")</f>
      </c>
      <c r="Q428" s="57">
        <f>IFERROR(VLOOKUP($A:$A,CS!$A:$AK,25,FALSE),"")</f>
      </c>
      <c r="R428" s="57">
        <f>IFERROR(VLOOKUP($A:$A,CS!$A:$AK,26,FALSE),"")</f>
      </c>
      <c r="S428" s="57">
        <f>IFERROR(VLOOKUP($A:$A,CS!$A:$AK,29,FALSE),"")</f>
      </c>
      <c r="T428" s="57">
        <f>IFERROR(VLOOKUP($A:$A,CS!$A:$AK,33,FALSE),"")</f>
      </c>
      <c r="U428" s="57">
        <f>IFERROR(VLOOKUP($A:$A,CS!$A:$AK,34,FALSE),"")</f>
      </c>
      <c r="V428" s="57">
        <f>IFERROR(VLOOKUP($A:$A,CS!$A:$AK,35,FALSE),"")</f>
      </c>
      <c r="W428" s="57">
        <f>IFERROR(VLOOKUP($A:$A,CS!$A:$AK,36,FALSE),"")</f>
      </c>
    </row>
    <row r="429" ht="16.5" customHeight="1" spans="1:23" x14ac:dyDescent="0.25">
      <c r="A429" s="71"/>
      <c r="B429" s="57">
        <f>IFERROR(VLOOKUP($A:$A,CS!$A:$AK,3,FALSE),"")</f>
      </c>
      <c r="C429" s="57">
        <f>IFERROR(VLOOKUP($A:$A,CS!$A:$AK,4,FALSE),"")</f>
      </c>
      <c r="D429" s="57">
        <f>IFERROR(VLOOKUP($A:$A,CS!$A:$AK,5,FALSE),"")</f>
      </c>
      <c r="E429" s="57">
        <f>IFERROR(VLOOKUP($A:$A,CS!$A:$AK,7,FALSE),"")</f>
      </c>
      <c r="F429" s="57">
        <f>IFERROR(VLOOKUP($A:$A,CS!$A:$AK,8,FALSE),"")</f>
      </c>
      <c r="G429" s="57">
        <f>IFERROR(VLOOKUP($A:$A,CS!$A:$AK,10,FALSE),"")</f>
      </c>
      <c r="H429" s="57">
        <f>IFERROR(VLOOKUP($A:$A,CS!$A:$AK,14,FALSE),"")</f>
      </c>
      <c r="I429" s="57">
        <f>IFERROR(VLOOKUP($A:$A,CS!$A:$AK,15,FALSE),"")</f>
      </c>
      <c r="J429" s="57">
        <f>IFERROR(VLOOKUP($A:$A,CS!$A:$AK,18,FALSE),"")</f>
      </c>
      <c r="K429" s="57">
        <f>IFERROR(VLOOKUP($A:$A,CS!$A:$AK,19,FALSE),"")</f>
      </c>
      <c r="L429" s="57">
        <f>IFERROR(VLOOKUP($A:$A,CS!$A:$AK,20,FALSE),"")</f>
      </c>
      <c r="M429" s="57">
        <f>IFERROR(VLOOKUP($A:$A,CS!$A:$AK,22,FALSE),"")</f>
      </c>
      <c r="N429" s="57">
        <f>IFERROR(VLOOKUP($A:$A,CS!$A:$AK,19,FALSE),"")</f>
      </c>
      <c r="O429" s="57">
        <f>IFERROR(VLOOKUP($A:$A,CS!$A:$AK,23,FALSE),"")</f>
      </c>
      <c r="P429" s="57">
        <f>IFERROR(VLOOKUP($A:$A,CS!$A:$AK,24,FALSE),"")</f>
      </c>
      <c r="Q429" s="57">
        <f>IFERROR(VLOOKUP($A:$A,CS!$A:$AK,25,FALSE),"")</f>
      </c>
      <c r="R429" s="57">
        <f>IFERROR(VLOOKUP($A:$A,CS!$A:$AK,26,FALSE),"")</f>
      </c>
      <c r="S429" s="57">
        <f>IFERROR(VLOOKUP($A:$A,CS!$A:$AK,29,FALSE),"")</f>
      </c>
      <c r="T429" s="57">
        <f>IFERROR(VLOOKUP($A:$A,CS!$A:$AK,33,FALSE),"")</f>
      </c>
      <c r="U429" s="57">
        <f>IFERROR(VLOOKUP($A:$A,CS!$A:$AK,34,FALSE),"")</f>
      </c>
      <c r="V429" s="57">
        <f>IFERROR(VLOOKUP($A:$A,CS!$A:$AK,35,FALSE),"")</f>
      </c>
      <c r="W429" s="57">
        <f>IFERROR(VLOOKUP($A:$A,CS!$A:$AK,36,FALSE),"")</f>
      </c>
    </row>
    <row r="430" ht="16.5" customHeight="1" spans="1:23" x14ac:dyDescent="0.25">
      <c r="A430" s="71"/>
      <c r="B430" s="57">
        <f>IFERROR(VLOOKUP($A:$A,CS!$A:$AK,3,FALSE),"")</f>
      </c>
      <c r="C430" s="57">
        <f>IFERROR(VLOOKUP($A:$A,CS!$A:$AK,4,FALSE),"")</f>
      </c>
      <c r="D430" s="57">
        <f>IFERROR(VLOOKUP($A:$A,CS!$A:$AK,5,FALSE),"")</f>
      </c>
      <c r="E430" s="57">
        <f>IFERROR(VLOOKUP($A:$A,CS!$A:$AK,7,FALSE),"")</f>
      </c>
      <c r="F430" s="57">
        <f>IFERROR(VLOOKUP($A:$A,CS!$A:$AK,8,FALSE),"")</f>
      </c>
      <c r="G430" s="57">
        <f>IFERROR(VLOOKUP($A:$A,CS!$A:$AK,10,FALSE),"")</f>
      </c>
      <c r="H430" s="57">
        <f>IFERROR(VLOOKUP($A:$A,CS!$A:$AK,14,FALSE),"")</f>
      </c>
      <c r="I430" s="57">
        <f>IFERROR(VLOOKUP($A:$A,CS!$A:$AK,15,FALSE),"")</f>
      </c>
      <c r="J430" s="57">
        <f>IFERROR(VLOOKUP($A:$A,CS!$A:$AK,18,FALSE),"")</f>
      </c>
      <c r="K430" s="57">
        <f>IFERROR(VLOOKUP($A:$A,CS!$A:$AK,19,FALSE),"")</f>
      </c>
      <c r="L430" s="57">
        <f>IFERROR(VLOOKUP($A:$A,CS!$A:$AK,20,FALSE),"")</f>
      </c>
      <c r="M430" s="57">
        <f>IFERROR(VLOOKUP($A:$A,CS!$A:$AK,22,FALSE),"")</f>
      </c>
      <c r="N430" s="57">
        <f>IFERROR(VLOOKUP($A:$A,CS!$A:$AK,19,FALSE),"")</f>
      </c>
      <c r="O430" s="57">
        <f>IFERROR(VLOOKUP($A:$A,CS!$A:$AK,23,FALSE),"")</f>
      </c>
      <c r="P430" s="57">
        <f>IFERROR(VLOOKUP($A:$A,CS!$A:$AK,24,FALSE),"")</f>
      </c>
      <c r="Q430" s="57">
        <f>IFERROR(VLOOKUP($A:$A,CS!$A:$AK,25,FALSE),"")</f>
      </c>
      <c r="R430" s="57">
        <f>IFERROR(VLOOKUP($A:$A,CS!$A:$AK,26,FALSE),"")</f>
      </c>
      <c r="S430" s="57">
        <f>IFERROR(VLOOKUP($A:$A,CS!$A:$AK,29,FALSE),"")</f>
      </c>
      <c r="T430" s="57">
        <f>IFERROR(VLOOKUP($A:$A,CS!$A:$AK,33,FALSE),"")</f>
      </c>
      <c r="U430" s="57">
        <f>IFERROR(VLOOKUP($A:$A,CS!$A:$AK,34,FALSE),"")</f>
      </c>
      <c r="V430" s="57">
        <f>IFERROR(VLOOKUP($A:$A,CS!$A:$AK,35,FALSE),"")</f>
      </c>
      <c r="W430" s="57">
        <f>IFERROR(VLOOKUP($A:$A,CS!$A:$AK,36,FALSE),"")</f>
      </c>
    </row>
    <row r="431" ht="16.5" customHeight="1" spans="1:23" x14ac:dyDescent="0.25">
      <c r="A431" s="71"/>
      <c r="B431" s="57">
        <f>IFERROR(VLOOKUP($A:$A,CS!$A:$AK,3,FALSE),"")</f>
      </c>
      <c r="C431" s="57">
        <f>IFERROR(VLOOKUP($A:$A,CS!$A:$AK,4,FALSE),"")</f>
      </c>
      <c r="D431" s="57">
        <f>IFERROR(VLOOKUP($A:$A,CS!$A:$AK,5,FALSE),"")</f>
      </c>
      <c r="E431" s="57">
        <f>IFERROR(VLOOKUP($A:$A,CS!$A:$AK,7,FALSE),"")</f>
      </c>
      <c r="F431" s="57">
        <f>IFERROR(VLOOKUP($A:$A,CS!$A:$AK,8,FALSE),"")</f>
      </c>
      <c r="G431" s="57">
        <f>IFERROR(VLOOKUP($A:$A,CS!$A:$AK,10,FALSE),"")</f>
      </c>
      <c r="H431" s="57">
        <f>IFERROR(VLOOKUP($A:$A,CS!$A:$AK,14,FALSE),"")</f>
      </c>
      <c r="I431" s="57">
        <f>IFERROR(VLOOKUP($A:$A,CS!$A:$AK,15,FALSE),"")</f>
      </c>
      <c r="J431" s="57">
        <f>IFERROR(VLOOKUP($A:$A,CS!$A:$AK,18,FALSE),"")</f>
      </c>
      <c r="K431" s="57">
        <f>IFERROR(VLOOKUP($A:$A,CS!$A:$AK,19,FALSE),"")</f>
      </c>
      <c r="L431" s="57">
        <f>IFERROR(VLOOKUP($A:$A,CS!$A:$AK,20,FALSE),"")</f>
      </c>
      <c r="M431" s="57">
        <f>IFERROR(VLOOKUP($A:$A,CS!$A:$AK,22,FALSE),"")</f>
      </c>
      <c r="N431" s="57">
        <f>IFERROR(VLOOKUP($A:$A,CS!$A:$AK,19,FALSE),"")</f>
      </c>
      <c r="O431" s="57">
        <f>IFERROR(VLOOKUP($A:$A,CS!$A:$AK,23,FALSE),"")</f>
      </c>
      <c r="P431" s="57">
        <f>IFERROR(VLOOKUP($A:$A,CS!$A:$AK,24,FALSE),"")</f>
      </c>
      <c r="Q431" s="57">
        <f>IFERROR(VLOOKUP($A:$A,CS!$A:$AK,25,FALSE),"")</f>
      </c>
      <c r="R431" s="57">
        <f>IFERROR(VLOOKUP($A:$A,CS!$A:$AK,26,FALSE),"")</f>
      </c>
      <c r="S431" s="57">
        <f>IFERROR(VLOOKUP($A:$A,CS!$A:$AK,29,FALSE),"")</f>
      </c>
      <c r="T431" s="57">
        <f>IFERROR(VLOOKUP($A:$A,CS!$A:$AK,33,FALSE),"")</f>
      </c>
      <c r="U431" s="57">
        <f>IFERROR(VLOOKUP($A:$A,CS!$A:$AK,34,FALSE),"")</f>
      </c>
      <c r="V431" s="57">
        <f>IFERROR(VLOOKUP($A:$A,CS!$A:$AK,35,FALSE),"")</f>
      </c>
      <c r="W431" s="57">
        <f>IFERROR(VLOOKUP($A:$A,CS!$A:$AK,36,FALSE),"")</f>
      </c>
    </row>
    <row r="432" ht="16.5" customHeight="1" spans="1:23" x14ac:dyDescent="0.25">
      <c r="A432" s="71"/>
      <c r="B432" s="57">
        <f>IFERROR(VLOOKUP($A:$A,CS!$A:$AK,3,FALSE),"")</f>
      </c>
      <c r="C432" s="57">
        <f>IFERROR(VLOOKUP($A:$A,CS!$A:$AK,4,FALSE),"")</f>
      </c>
      <c r="D432" s="57">
        <f>IFERROR(VLOOKUP($A:$A,CS!$A:$AK,5,FALSE),"")</f>
      </c>
      <c r="E432" s="57">
        <f>IFERROR(VLOOKUP($A:$A,CS!$A:$AK,7,FALSE),"")</f>
      </c>
      <c r="F432" s="57">
        <f>IFERROR(VLOOKUP($A:$A,CS!$A:$AK,8,FALSE),"")</f>
      </c>
      <c r="G432" s="57">
        <f>IFERROR(VLOOKUP($A:$A,CS!$A:$AK,10,FALSE),"")</f>
      </c>
      <c r="H432" s="57">
        <f>IFERROR(VLOOKUP($A:$A,CS!$A:$AK,14,FALSE),"")</f>
      </c>
      <c r="I432" s="57">
        <f>IFERROR(VLOOKUP($A:$A,CS!$A:$AK,15,FALSE),"")</f>
      </c>
      <c r="J432" s="57">
        <f>IFERROR(VLOOKUP($A:$A,CS!$A:$AK,18,FALSE),"")</f>
      </c>
      <c r="K432" s="57">
        <f>IFERROR(VLOOKUP($A:$A,CS!$A:$AK,19,FALSE),"")</f>
      </c>
      <c r="L432" s="57">
        <f>IFERROR(VLOOKUP($A:$A,CS!$A:$AK,20,FALSE),"")</f>
      </c>
      <c r="M432" s="57">
        <f>IFERROR(VLOOKUP($A:$A,CS!$A:$AK,22,FALSE),"")</f>
      </c>
      <c r="N432" s="57">
        <f>IFERROR(VLOOKUP($A:$A,CS!$A:$AK,19,FALSE),"")</f>
      </c>
      <c r="O432" s="57">
        <f>IFERROR(VLOOKUP($A:$A,CS!$A:$AK,23,FALSE),"")</f>
      </c>
      <c r="P432" s="57">
        <f>IFERROR(VLOOKUP($A:$A,CS!$A:$AK,24,FALSE),"")</f>
      </c>
      <c r="Q432" s="57">
        <f>IFERROR(VLOOKUP($A:$A,CS!$A:$AK,25,FALSE),"")</f>
      </c>
      <c r="R432" s="57">
        <f>IFERROR(VLOOKUP($A:$A,CS!$A:$AK,26,FALSE),"")</f>
      </c>
      <c r="S432" s="57">
        <f>IFERROR(VLOOKUP($A:$A,CS!$A:$AK,29,FALSE),"")</f>
      </c>
      <c r="T432" s="57">
        <f>IFERROR(VLOOKUP($A:$A,CS!$A:$AK,33,FALSE),"")</f>
      </c>
      <c r="U432" s="57">
        <f>IFERROR(VLOOKUP($A:$A,CS!$A:$AK,34,FALSE),"")</f>
      </c>
      <c r="V432" s="57">
        <f>IFERROR(VLOOKUP($A:$A,CS!$A:$AK,35,FALSE),"")</f>
      </c>
      <c r="W432" s="57">
        <f>IFERROR(VLOOKUP($A:$A,CS!$A:$AK,36,FALSE),"")</f>
      </c>
    </row>
    <row r="433" ht="16.5" customHeight="1" spans="1:23" x14ac:dyDescent="0.25">
      <c r="A433" s="71"/>
      <c r="B433" s="57">
        <f>IFERROR(VLOOKUP($A:$A,CS!$A:$AK,3,FALSE),"")</f>
      </c>
      <c r="C433" s="57">
        <f>IFERROR(VLOOKUP($A:$A,CS!$A:$AK,4,FALSE),"")</f>
      </c>
      <c r="D433" s="57">
        <f>IFERROR(VLOOKUP($A:$A,CS!$A:$AK,5,FALSE),"")</f>
      </c>
      <c r="E433" s="57">
        <f>IFERROR(VLOOKUP($A:$A,CS!$A:$AK,7,FALSE),"")</f>
      </c>
      <c r="F433" s="57">
        <f>IFERROR(VLOOKUP($A:$A,CS!$A:$AK,8,FALSE),"")</f>
      </c>
      <c r="G433" s="57">
        <f>IFERROR(VLOOKUP($A:$A,CS!$A:$AK,10,FALSE),"")</f>
      </c>
      <c r="H433" s="57">
        <f>IFERROR(VLOOKUP($A:$A,CS!$A:$AK,14,FALSE),"")</f>
      </c>
      <c r="I433" s="57">
        <f>IFERROR(VLOOKUP($A:$A,CS!$A:$AK,15,FALSE),"")</f>
      </c>
      <c r="J433" s="57">
        <f>IFERROR(VLOOKUP($A:$A,CS!$A:$AK,18,FALSE),"")</f>
      </c>
      <c r="K433" s="57">
        <f>IFERROR(VLOOKUP($A:$A,CS!$A:$AK,19,FALSE),"")</f>
      </c>
      <c r="L433" s="57">
        <f>IFERROR(VLOOKUP($A:$A,CS!$A:$AK,20,FALSE),"")</f>
      </c>
      <c r="M433" s="57">
        <f>IFERROR(VLOOKUP($A:$A,CS!$A:$AK,22,FALSE),"")</f>
      </c>
      <c r="N433" s="57">
        <f>IFERROR(VLOOKUP($A:$A,CS!$A:$AK,19,FALSE),"")</f>
      </c>
      <c r="O433" s="57">
        <f>IFERROR(VLOOKUP($A:$A,CS!$A:$AK,23,FALSE),"")</f>
      </c>
      <c r="P433" s="57">
        <f>IFERROR(VLOOKUP($A:$A,CS!$A:$AK,24,FALSE),"")</f>
      </c>
      <c r="Q433" s="57">
        <f>IFERROR(VLOOKUP($A:$A,CS!$A:$AK,25,FALSE),"")</f>
      </c>
      <c r="R433" s="57">
        <f>IFERROR(VLOOKUP($A:$A,CS!$A:$AK,26,FALSE),"")</f>
      </c>
      <c r="S433" s="57">
        <f>IFERROR(VLOOKUP($A:$A,CS!$A:$AK,29,FALSE),"")</f>
      </c>
      <c r="T433" s="57">
        <f>IFERROR(VLOOKUP($A:$A,CS!$A:$AK,33,FALSE),"")</f>
      </c>
      <c r="U433" s="57">
        <f>IFERROR(VLOOKUP($A:$A,CS!$A:$AK,34,FALSE),"")</f>
      </c>
      <c r="V433" s="57">
        <f>IFERROR(VLOOKUP($A:$A,CS!$A:$AK,35,FALSE),"")</f>
      </c>
      <c r="W433" s="57">
        <f>IFERROR(VLOOKUP($A:$A,CS!$A:$AK,36,FALSE),"")</f>
      </c>
    </row>
    <row r="434" ht="16.5" customHeight="1" spans="1:23" x14ac:dyDescent="0.25">
      <c r="A434" s="71"/>
      <c r="B434" s="57">
        <f>IFERROR(VLOOKUP($A:$A,CS!$A:$AK,3,FALSE),"")</f>
      </c>
      <c r="C434" s="57">
        <f>IFERROR(VLOOKUP($A:$A,CS!$A:$AK,4,FALSE),"")</f>
      </c>
      <c r="D434" s="57">
        <f>IFERROR(VLOOKUP($A:$A,CS!$A:$AK,5,FALSE),"")</f>
      </c>
      <c r="E434" s="57">
        <f>IFERROR(VLOOKUP($A:$A,CS!$A:$AK,7,FALSE),"")</f>
      </c>
      <c r="F434" s="57">
        <f>IFERROR(VLOOKUP($A:$A,CS!$A:$AK,8,FALSE),"")</f>
      </c>
      <c r="G434" s="57">
        <f>IFERROR(VLOOKUP($A:$A,CS!$A:$AK,10,FALSE),"")</f>
      </c>
      <c r="H434" s="57">
        <f>IFERROR(VLOOKUP($A:$A,CS!$A:$AK,14,FALSE),"")</f>
      </c>
      <c r="I434" s="57">
        <f>IFERROR(VLOOKUP($A:$A,CS!$A:$AK,15,FALSE),"")</f>
      </c>
      <c r="J434" s="57">
        <f>IFERROR(VLOOKUP($A:$A,CS!$A:$AK,18,FALSE),"")</f>
      </c>
      <c r="K434" s="57">
        <f>IFERROR(VLOOKUP($A:$A,CS!$A:$AK,19,FALSE),"")</f>
      </c>
      <c r="L434" s="57">
        <f>IFERROR(VLOOKUP($A:$A,CS!$A:$AK,20,FALSE),"")</f>
      </c>
      <c r="M434" s="57">
        <f>IFERROR(VLOOKUP($A:$A,CS!$A:$AK,22,FALSE),"")</f>
      </c>
      <c r="N434" s="57">
        <f>IFERROR(VLOOKUP($A:$A,CS!$A:$AK,19,FALSE),"")</f>
      </c>
      <c r="O434" s="57">
        <f>IFERROR(VLOOKUP($A:$A,CS!$A:$AK,23,FALSE),"")</f>
      </c>
      <c r="P434" s="57">
        <f>IFERROR(VLOOKUP($A:$A,CS!$A:$AK,24,FALSE),"")</f>
      </c>
      <c r="Q434" s="57">
        <f>IFERROR(VLOOKUP($A:$A,CS!$A:$AK,25,FALSE),"")</f>
      </c>
      <c r="R434" s="57">
        <f>IFERROR(VLOOKUP($A:$A,CS!$A:$AK,26,FALSE),"")</f>
      </c>
      <c r="S434" s="57">
        <f>IFERROR(VLOOKUP($A:$A,CS!$A:$AK,29,FALSE),"")</f>
      </c>
      <c r="T434" s="57">
        <f>IFERROR(VLOOKUP($A:$A,CS!$A:$AK,33,FALSE),"")</f>
      </c>
      <c r="U434" s="57">
        <f>IFERROR(VLOOKUP($A:$A,CS!$A:$AK,34,FALSE),"")</f>
      </c>
      <c r="V434" s="57">
        <f>IFERROR(VLOOKUP($A:$A,CS!$A:$AK,35,FALSE),"")</f>
      </c>
      <c r="W434" s="57">
        <f>IFERROR(VLOOKUP($A:$A,CS!$A:$AK,36,FALSE),"")</f>
      </c>
    </row>
    <row r="435" ht="16.5" customHeight="1" spans="1:23" x14ac:dyDescent="0.25">
      <c r="A435" s="71"/>
      <c r="B435" s="57">
        <f>IFERROR(VLOOKUP($A:$A,CS!$A:$AK,3,FALSE),"")</f>
      </c>
      <c r="C435" s="57">
        <f>IFERROR(VLOOKUP($A:$A,CS!$A:$AK,4,FALSE),"")</f>
      </c>
      <c r="D435" s="57">
        <f>IFERROR(VLOOKUP($A:$A,CS!$A:$AK,5,FALSE),"")</f>
      </c>
      <c r="E435" s="57">
        <f>IFERROR(VLOOKUP($A:$A,CS!$A:$AK,7,FALSE),"")</f>
      </c>
      <c r="F435" s="57">
        <f>IFERROR(VLOOKUP($A:$A,CS!$A:$AK,8,FALSE),"")</f>
      </c>
      <c r="G435" s="57">
        <f>IFERROR(VLOOKUP($A:$A,CS!$A:$AK,10,FALSE),"")</f>
      </c>
      <c r="H435" s="57">
        <f>IFERROR(VLOOKUP($A:$A,CS!$A:$AK,14,FALSE),"")</f>
      </c>
      <c r="I435" s="57">
        <f>IFERROR(VLOOKUP($A:$A,CS!$A:$AK,15,FALSE),"")</f>
      </c>
      <c r="J435" s="57">
        <f>IFERROR(VLOOKUP($A:$A,CS!$A:$AK,18,FALSE),"")</f>
      </c>
      <c r="K435" s="57">
        <f>IFERROR(VLOOKUP($A:$A,CS!$A:$AK,19,FALSE),"")</f>
      </c>
      <c r="L435" s="57">
        <f>IFERROR(VLOOKUP($A:$A,CS!$A:$AK,20,FALSE),"")</f>
      </c>
      <c r="M435" s="57">
        <f>IFERROR(VLOOKUP($A:$A,CS!$A:$AK,22,FALSE),"")</f>
      </c>
      <c r="N435" s="57">
        <f>IFERROR(VLOOKUP($A:$A,CS!$A:$AK,19,FALSE),"")</f>
      </c>
      <c r="O435" s="57">
        <f>IFERROR(VLOOKUP($A:$A,CS!$A:$AK,23,FALSE),"")</f>
      </c>
      <c r="P435" s="57">
        <f>IFERROR(VLOOKUP($A:$A,CS!$A:$AK,24,FALSE),"")</f>
      </c>
      <c r="Q435" s="57">
        <f>IFERROR(VLOOKUP($A:$A,CS!$A:$AK,25,FALSE),"")</f>
      </c>
      <c r="R435" s="57">
        <f>IFERROR(VLOOKUP($A:$A,CS!$A:$AK,26,FALSE),"")</f>
      </c>
      <c r="S435" s="57">
        <f>IFERROR(VLOOKUP($A:$A,CS!$A:$AK,29,FALSE),"")</f>
      </c>
      <c r="T435" s="57">
        <f>IFERROR(VLOOKUP($A:$A,CS!$A:$AK,33,FALSE),"")</f>
      </c>
      <c r="U435" s="57">
        <f>IFERROR(VLOOKUP($A:$A,CS!$A:$AK,34,FALSE),"")</f>
      </c>
      <c r="V435" s="57">
        <f>IFERROR(VLOOKUP($A:$A,CS!$A:$AK,35,FALSE),"")</f>
      </c>
      <c r="W435" s="57">
        <f>IFERROR(VLOOKUP($A:$A,CS!$A:$AK,36,FALSE),"")</f>
      </c>
    </row>
    <row r="436" ht="16.5" customHeight="1" spans="1:23" x14ac:dyDescent="0.25">
      <c r="A436" s="71"/>
      <c r="B436" s="57">
        <f>IFERROR(VLOOKUP($A:$A,CS!$A:$AK,3,FALSE),"")</f>
      </c>
      <c r="C436" s="57">
        <f>IFERROR(VLOOKUP($A:$A,CS!$A:$AK,4,FALSE),"")</f>
      </c>
      <c r="D436" s="57">
        <f>IFERROR(VLOOKUP($A:$A,CS!$A:$AK,5,FALSE),"")</f>
      </c>
      <c r="E436" s="57">
        <f>IFERROR(VLOOKUP($A:$A,CS!$A:$AK,7,FALSE),"")</f>
      </c>
      <c r="F436" s="57">
        <f>IFERROR(VLOOKUP($A:$A,CS!$A:$AK,8,FALSE),"")</f>
      </c>
      <c r="G436" s="57">
        <f>IFERROR(VLOOKUP($A:$A,CS!$A:$AK,10,FALSE),"")</f>
      </c>
      <c r="H436" s="57">
        <f>IFERROR(VLOOKUP($A:$A,CS!$A:$AK,14,FALSE),"")</f>
      </c>
      <c r="I436" s="57">
        <f>IFERROR(VLOOKUP($A:$A,CS!$A:$AK,15,FALSE),"")</f>
      </c>
      <c r="J436" s="57">
        <f>IFERROR(VLOOKUP($A:$A,CS!$A:$AK,18,FALSE),"")</f>
      </c>
      <c r="K436" s="57">
        <f>IFERROR(VLOOKUP($A:$A,CS!$A:$AK,19,FALSE),"")</f>
      </c>
      <c r="L436" s="57">
        <f>IFERROR(VLOOKUP($A:$A,CS!$A:$AK,20,FALSE),"")</f>
      </c>
      <c r="M436" s="57">
        <f>IFERROR(VLOOKUP($A:$A,CS!$A:$AK,22,FALSE),"")</f>
      </c>
      <c r="N436" s="57">
        <f>IFERROR(VLOOKUP($A:$A,CS!$A:$AK,19,FALSE),"")</f>
      </c>
      <c r="O436" s="57">
        <f>IFERROR(VLOOKUP($A:$A,CS!$A:$AK,23,FALSE),"")</f>
      </c>
      <c r="P436" s="57">
        <f>IFERROR(VLOOKUP($A:$A,CS!$A:$AK,24,FALSE),"")</f>
      </c>
      <c r="Q436" s="57">
        <f>IFERROR(VLOOKUP($A:$A,CS!$A:$AK,25,FALSE),"")</f>
      </c>
      <c r="R436" s="57">
        <f>IFERROR(VLOOKUP($A:$A,CS!$A:$AK,26,FALSE),"")</f>
      </c>
      <c r="S436" s="57">
        <f>IFERROR(VLOOKUP($A:$A,CS!$A:$AK,29,FALSE),"")</f>
      </c>
      <c r="T436" s="57">
        <f>IFERROR(VLOOKUP($A:$A,CS!$A:$AK,33,FALSE),"")</f>
      </c>
      <c r="U436" s="57">
        <f>IFERROR(VLOOKUP($A:$A,CS!$A:$AK,34,FALSE),"")</f>
      </c>
      <c r="V436" s="57">
        <f>IFERROR(VLOOKUP($A:$A,CS!$A:$AK,35,FALSE),"")</f>
      </c>
      <c r="W436" s="57">
        <f>IFERROR(VLOOKUP($A:$A,CS!$A:$AK,36,FALSE),"")</f>
      </c>
    </row>
    <row r="437" ht="16.5" customHeight="1" spans="1:23" x14ac:dyDescent="0.25">
      <c r="A437" s="71"/>
      <c r="B437" s="57">
        <f>IFERROR(VLOOKUP($A:$A,CS!$A:$AK,3,FALSE),"")</f>
      </c>
      <c r="C437" s="57">
        <f>IFERROR(VLOOKUP($A:$A,CS!$A:$AK,4,FALSE),"")</f>
      </c>
      <c r="D437" s="57">
        <f>IFERROR(VLOOKUP($A:$A,CS!$A:$AK,5,FALSE),"")</f>
      </c>
      <c r="E437" s="57">
        <f>IFERROR(VLOOKUP($A:$A,CS!$A:$AK,7,FALSE),"")</f>
      </c>
      <c r="F437" s="57">
        <f>IFERROR(VLOOKUP($A:$A,CS!$A:$AK,8,FALSE),"")</f>
      </c>
      <c r="G437" s="57">
        <f>IFERROR(VLOOKUP($A:$A,CS!$A:$AK,10,FALSE),"")</f>
      </c>
      <c r="H437" s="57">
        <f>IFERROR(VLOOKUP($A:$A,CS!$A:$AK,14,FALSE),"")</f>
      </c>
      <c r="I437" s="57">
        <f>IFERROR(VLOOKUP($A:$A,CS!$A:$AK,15,FALSE),"")</f>
      </c>
      <c r="J437" s="57">
        <f>IFERROR(VLOOKUP($A:$A,CS!$A:$AK,18,FALSE),"")</f>
      </c>
      <c r="K437" s="57">
        <f>IFERROR(VLOOKUP($A:$A,CS!$A:$AK,19,FALSE),"")</f>
      </c>
      <c r="L437" s="57">
        <f>IFERROR(VLOOKUP($A:$A,CS!$A:$AK,20,FALSE),"")</f>
      </c>
      <c r="M437" s="57">
        <f>IFERROR(VLOOKUP($A:$A,CS!$A:$AK,22,FALSE),"")</f>
      </c>
      <c r="N437" s="57">
        <f>IFERROR(VLOOKUP($A:$A,CS!$A:$AK,19,FALSE),"")</f>
      </c>
      <c r="O437" s="57">
        <f>IFERROR(VLOOKUP($A:$A,CS!$A:$AK,23,FALSE),"")</f>
      </c>
      <c r="P437" s="57">
        <f>IFERROR(VLOOKUP($A:$A,CS!$A:$AK,24,FALSE),"")</f>
      </c>
      <c r="Q437" s="57">
        <f>IFERROR(VLOOKUP($A:$A,CS!$A:$AK,25,FALSE),"")</f>
      </c>
      <c r="R437" s="57">
        <f>IFERROR(VLOOKUP($A:$A,CS!$A:$AK,26,FALSE),"")</f>
      </c>
      <c r="S437" s="57">
        <f>IFERROR(VLOOKUP($A:$A,CS!$A:$AK,29,FALSE),"")</f>
      </c>
      <c r="T437" s="57">
        <f>IFERROR(VLOOKUP($A:$A,CS!$A:$AK,33,FALSE),"")</f>
      </c>
      <c r="U437" s="57">
        <f>IFERROR(VLOOKUP($A:$A,CS!$A:$AK,34,FALSE),"")</f>
      </c>
      <c r="V437" s="57">
        <f>IFERROR(VLOOKUP($A:$A,CS!$A:$AK,35,FALSE),"")</f>
      </c>
      <c r="W437" s="57">
        <f>IFERROR(VLOOKUP($A:$A,CS!$A:$AK,36,FALSE),"")</f>
      </c>
    </row>
    <row r="438" ht="16.5" customHeight="1" spans="1:23" x14ac:dyDescent="0.25">
      <c r="A438" s="71"/>
      <c r="B438" s="57">
        <f>IFERROR(VLOOKUP($A:$A,CS!$A:$AK,3,FALSE),"")</f>
      </c>
      <c r="C438" s="57">
        <f>IFERROR(VLOOKUP($A:$A,CS!$A:$AK,4,FALSE),"")</f>
      </c>
      <c r="D438" s="57">
        <f>IFERROR(VLOOKUP($A:$A,CS!$A:$AK,5,FALSE),"")</f>
      </c>
      <c r="E438" s="57">
        <f>IFERROR(VLOOKUP($A:$A,CS!$A:$AK,7,FALSE),"")</f>
      </c>
      <c r="F438" s="57">
        <f>IFERROR(VLOOKUP($A:$A,CS!$A:$AK,8,FALSE),"")</f>
      </c>
      <c r="G438" s="57">
        <f>IFERROR(VLOOKUP($A:$A,CS!$A:$AK,10,FALSE),"")</f>
      </c>
      <c r="H438" s="57">
        <f>IFERROR(VLOOKUP($A:$A,CS!$A:$AK,14,FALSE),"")</f>
      </c>
      <c r="I438" s="57">
        <f>IFERROR(VLOOKUP($A:$A,CS!$A:$AK,15,FALSE),"")</f>
      </c>
      <c r="J438" s="57">
        <f>IFERROR(VLOOKUP($A:$A,CS!$A:$AK,18,FALSE),"")</f>
      </c>
      <c r="K438" s="57">
        <f>IFERROR(VLOOKUP($A:$A,CS!$A:$AK,19,FALSE),"")</f>
      </c>
      <c r="L438" s="57">
        <f>IFERROR(VLOOKUP($A:$A,CS!$A:$AK,20,FALSE),"")</f>
      </c>
      <c r="M438" s="57">
        <f>IFERROR(VLOOKUP($A:$A,CS!$A:$AK,22,FALSE),"")</f>
      </c>
      <c r="N438" s="57">
        <f>IFERROR(VLOOKUP($A:$A,CS!$A:$AK,19,FALSE),"")</f>
      </c>
      <c r="O438" s="57">
        <f>IFERROR(VLOOKUP($A:$A,CS!$A:$AK,23,FALSE),"")</f>
      </c>
      <c r="P438" s="57">
        <f>IFERROR(VLOOKUP($A:$A,CS!$A:$AK,24,FALSE),"")</f>
      </c>
      <c r="Q438" s="57">
        <f>IFERROR(VLOOKUP($A:$A,CS!$A:$AK,25,FALSE),"")</f>
      </c>
      <c r="R438" s="57">
        <f>IFERROR(VLOOKUP($A:$A,CS!$A:$AK,26,FALSE),"")</f>
      </c>
      <c r="S438" s="57">
        <f>IFERROR(VLOOKUP($A:$A,CS!$A:$AK,29,FALSE),"")</f>
      </c>
      <c r="T438" s="57">
        <f>IFERROR(VLOOKUP($A:$A,CS!$A:$AK,33,FALSE),"")</f>
      </c>
      <c r="U438" s="57">
        <f>IFERROR(VLOOKUP($A:$A,CS!$A:$AK,34,FALSE),"")</f>
      </c>
      <c r="V438" s="57">
        <f>IFERROR(VLOOKUP($A:$A,CS!$A:$AK,35,FALSE),"")</f>
      </c>
      <c r="W438" s="57">
        <f>IFERROR(VLOOKUP($A:$A,CS!$A:$AK,36,FALSE),"")</f>
      </c>
    </row>
    <row r="439" ht="16.5" customHeight="1" spans="1:23" x14ac:dyDescent="0.25">
      <c r="A439" s="71"/>
      <c r="B439" s="57">
        <f>IFERROR(VLOOKUP($A:$A,CS!$A:$AK,3,FALSE),"")</f>
      </c>
      <c r="C439" s="57">
        <f>IFERROR(VLOOKUP($A:$A,CS!$A:$AK,4,FALSE),"")</f>
      </c>
      <c r="D439" s="57">
        <f>IFERROR(VLOOKUP($A:$A,CS!$A:$AK,5,FALSE),"")</f>
      </c>
      <c r="E439" s="57">
        <f>IFERROR(VLOOKUP($A:$A,CS!$A:$AK,7,FALSE),"")</f>
      </c>
      <c r="F439" s="57">
        <f>IFERROR(VLOOKUP($A:$A,CS!$A:$AK,8,FALSE),"")</f>
      </c>
      <c r="G439" s="57">
        <f>IFERROR(VLOOKUP($A:$A,CS!$A:$AK,10,FALSE),"")</f>
      </c>
      <c r="H439" s="57">
        <f>IFERROR(VLOOKUP($A:$A,CS!$A:$AK,14,FALSE),"")</f>
      </c>
      <c r="I439" s="57">
        <f>IFERROR(VLOOKUP($A:$A,CS!$A:$AK,15,FALSE),"")</f>
      </c>
      <c r="J439" s="57">
        <f>IFERROR(VLOOKUP($A:$A,CS!$A:$AK,18,FALSE),"")</f>
      </c>
      <c r="K439" s="57">
        <f>IFERROR(VLOOKUP($A:$A,CS!$A:$AK,19,FALSE),"")</f>
      </c>
      <c r="L439" s="57">
        <f>IFERROR(VLOOKUP($A:$A,CS!$A:$AK,20,FALSE),"")</f>
      </c>
      <c r="M439" s="57">
        <f>IFERROR(VLOOKUP($A:$A,CS!$A:$AK,22,FALSE),"")</f>
      </c>
      <c r="N439" s="57">
        <f>IFERROR(VLOOKUP($A:$A,CS!$A:$AK,19,FALSE),"")</f>
      </c>
      <c r="O439" s="57">
        <f>IFERROR(VLOOKUP($A:$A,CS!$A:$AK,23,FALSE),"")</f>
      </c>
      <c r="P439" s="57">
        <f>IFERROR(VLOOKUP($A:$A,CS!$A:$AK,24,FALSE),"")</f>
      </c>
      <c r="Q439" s="57">
        <f>IFERROR(VLOOKUP($A:$A,CS!$A:$AK,25,FALSE),"")</f>
      </c>
      <c r="R439" s="57">
        <f>IFERROR(VLOOKUP($A:$A,CS!$A:$AK,26,FALSE),"")</f>
      </c>
      <c r="S439" s="57">
        <f>IFERROR(VLOOKUP($A:$A,CS!$A:$AK,29,FALSE),"")</f>
      </c>
      <c r="T439" s="57">
        <f>IFERROR(VLOOKUP($A:$A,CS!$A:$AK,33,FALSE),"")</f>
      </c>
      <c r="U439" s="57">
        <f>IFERROR(VLOOKUP($A:$A,CS!$A:$AK,34,FALSE),"")</f>
      </c>
      <c r="V439" s="57">
        <f>IFERROR(VLOOKUP($A:$A,CS!$A:$AK,35,FALSE),"")</f>
      </c>
      <c r="W439" s="57">
        <f>IFERROR(VLOOKUP($A:$A,CS!$A:$AK,36,FALSE),"")</f>
      </c>
    </row>
    <row r="440" ht="16.5" customHeight="1" spans="1:23" x14ac:dyDescent="0.25">
      <c r="A440" s="71"/>
      <c r="B440" s="57">
        <f>IFERROR(VLOOKUP($A:$A,CS!$A:$AK,3,FALSE),"")</f>
      </c>
      <c r="C440" s="57">
        <f>IFERROR(VLOOKUP($A:$A,CS!$A:$AK,4,FALSE),"")</f>
      </c>
      <c r="D440" s="57">
        <f>IFERROR(VLOOKUP($A:$A,CS!$A:$AK,5,FALSE),"")</f>
      </c>
      <c r="E440" s="57">
        <f>IFERROR(VLOOKUP($A:$A,CS!$A:$AK,7,FALSE),"")</f>
      </c>
      <c r="F440" s="57">
        <f>IFERROR(VLOOKUP($A:$A,CS!$A:$AK,8,FALSE),"")</f>
      </c>
      <c r="G440" s="57">
        <f>IFERROR(VLOOKUP($A:$A,CS!$A:$AK,10,FALSE),"")</f>
      </c>
      <c r="H440" s="57">
        <f>IFERROR(VLOOKUP($A:$A,CS!$A:$AK,14,FALSE),"")</f>
      </c>
      <c r="I440" s="57">
        <f>IFERROR(VLOOKUP($A:$A,CS!$A:$AK,15,FALSE),"")</f>
      </c>
      <c r="J440" s="57">
        <f>IFERROR(VLOOKUP($A:$A,CS!$A:$AK,18,FALSE),"")</f>
      </c>
      <c r="K440" s="57">
        <f>IFERROR(VLOOKUP($A:$A,CS!$A:$AK,19,FALSE),"")</f>
      </c>
      <c r="L440" s="57">
        <f>IFERROR(VLOOKUP($A:$A,CS!$A:$AK,20,FALSE),"")</f>
      </c>
      <c r="M440" s="57">
        <f>IFERROR(VLOOKUP($A:$A,CS!$A:$AK,22,FALSE),"")</f>
      </c>
      <c r="N440" s="57">
        <f>IFERROR(VLOOKUP($A:$A,CS!$A:$AK,19,FALSE),"")</f>
      </c>
      <c r="O440" s="57">
        <f>IFERROR(VLOOKUP($A:$A,CS!$A:$AK,23,FALSE),"")</f>
      </c>
      <c r="P440" s="57">
        <f>IFERROR(VLOOKUP($A:$A,CS!$A:$AK,24,FALSE),"")</f>
      </c>
      <c r="Q440" s="57">
        <f>IFERROR(VLOOKUP($A:$A,CS!$A:$AK,25,FALSE),"")</f>
      </c>
      <c r="R440" s="57">
        <f>IFERROR(VLOOKUP($A:$A,CS!$A:$AK,26,FALSE),"")</f>
      </c>
      <c r="S440" s="57">
        <f>IFERROR(VLOOKUP($A:$A,CS!$A:$AK,29,FALSE),"")</f>
      </c>
      <c r="T440" s="57">
        <f>IFERROR(VLOOKUP($A:$A,CS!$A:$AK,33,FALSE),"")</f>
      </c>
      <c r="U440" s="57">
        <f>IFERROR(VLOOKUP($A:$A,CS!$A:$AK,34,FALSE),"")</f>
      </c>
      <c r="V440" s="57">
        <f>IFERROR(VLOOKUP($A:$A,CS!$A:$AK,35,FALSE),"")</f>
      </c>
      <c r="W440" s="57">
        <f>IFERROR(VLOOKUP($A:$A,CS!$A:$AK,36,FALSE),"")</f>
      </c>
    </row>
    <row r="441" ht="16.5" customHeight="1" spans="1:23" x14ac:dyDescent="0.25">
      <c r="A441" s="71"/>
      <c r="B441" s="57">
        <f>IFERROR(VLOOKUP($A:$A,CS!$A:$AK,3,FALSE),"")</f>
      </c>
      <c r="C441" s="57">
        <f>IFERROR(VLOOKUP($A:$A,CS!$A:$AK,4,FALSE),"")</f>
      </c>
      <c r="D441" s="57">
        <f>IFERROR(VLOOKUP($A:$A,CS!$A:$AK,5,FALSE),"")</f>
      </c>
      <c r="E441" s="57">
        <f>IFERROR(VLOOKUP($A:$A,CS!$A:$AK,7,FALSE),"")</f>
      </c>
      <c r="F441" s="57">
        <f>IFERROR(VLOOKUP($A:$A,CS!$A:$AK,8,FALSE),"")</f>
      </c>
      <c r="G441" s="57">
        <f>IFERROR(VLOOKUP($A:$A,CS!$A:$AK,10,FALSE),"")</f>
      </c>
      <c r="H441" s="57">
        <f>IFERROR(VLOOKUP($A:$A,CS!$A:$AK,14,FALSE),"")</f>
      </c>
      <c r="I441" s="57">
        <f>IFERROR(VLOOKUP($A:$A,CS!$A:$AK,15,FALSE),"")</f>
      </c>
      <c r="J441" s="57">
        <f>IFERROR(VLOOKUP($A:$A,CS!$A:$AK,18,FALSE),"")</f>
      </c>
      <c r="K441" s="57">
        <f>IFERROR(VLOOKUP($A:$A,CS!$A:$AK,19,FALSE),"")</f>
      </c>
      <c r="L441" s="57">
        <f>IFERROR(VLOOKUP($A:$A,CS!$A:$AK,20,FALSE),"")</f>
      </c>
      <c r="M441" s="57">
        <f>IFERROR(VLOOKUP($A:$A,CS!$A:$AK,22,FALSE),"")</f>
      </c>
      <c r="N441" s="57">
        <f>IFERROR(VLOOKUP($A:$A,CS!$A:$AK,19,FALSE),"")</f>
      </c>
      <c r="O441" s="57">
        <f>IFERROR(VLOOKUP($A:$A,CS!$A:$AK,23,FALSE),"")</f>
      </c>
      <c r="P441" s="57">
        <f>IFERROR(VLOOKUP($A:$A,CS!$A:$AK,24,FALSE),"")</f>
      </c>
      <c r="Q441" s="57">
        <f>IFERROR(VLOOKUP($A:$A,CS!$A:$AK,25,FALSE),"")</f>
      </c>
      <c r="R441" s="57">
        <f>IFERROR(VLOOKUP($A:$A,CS!$A:$AK,26,FALSE),"")</f>
      </c>
      <c r="S441" s="57">
        <f>IFERROR(VLOOKUP($A:$A,CS!$A:$AK,29,FALSE),"")</f>
      </c>
      <c r="T441" s="57">
        <f>IFERROR(VLOOKUP($A:$A,CS!$A:$AK,33,FALSE),"")</f>
      </c>
      <c r="U441" s="57">
        <f>IFERROR(VLOOKUP($A:$A,CS!$A:$AK,34,FALSE),"")</f>
      </c>
      <c r="V441" s="57">
        <f>IFERROR(VLOOKUP($A:$A,CS!$A:$AK,35,FALSE),"")</f>
      </c>
      <c r="W441" s="57">
        <f>IFERROR(VLOOKUP($A:$A,CS!$A:$AK,36,FALSE),"")</f>
      </c>
    </row>
    <row r="442" ht="16.5" customHeight="1" spans="1:23" x14ac:dyDescent="0.25">
      <c r="A442" s="71"/>
      <c r="B442" s="57">
        <f>IFERROR(VLOOKUP($A:$A,CS!$A:$AK,3,FALSE),"")</f>
      </c>
      <c r="C442" s="57">
        <f>IFERROR(VLOOKUP($A:$A,CS!$A:$AK,4,FALSE),"")</f>
      </c>
      <c r="D442" s="57">
        <f>IFERROR(VLOOKUP($A:$A,CS!$A:$AK,5,FALSE),"")</f>
      </c>
      <c r="E442" s="57">
        <f>IFERROR(VLOOKUP($A:$A,CS!$A:$AK,7,FALSE),"")</f>
      </c>
      <c r="F442" s="57">
        <f>IFERROR(VLOOKUP($A:$A,CS!$A:$AK,8,FALSE),"")</f>
      </c>
      <c r="G442" s="57">
        <f>IFERROR(VLOOKUP($A:$A,CS!$A:$AK,10,FALSE),"")</f>
      </c>
      <c r="H442" s="57">
        <f>IFERROR(VLOOKUP($A:$A,CS!$A:$AK,14,FALSE),"")</f>
      </c>
      <c r="I442" s="57">
        <f>IFERROR(VLOOKUP($A:$A,CS!$A:$AK,15,FALSE),"")</f>
      </c>
      <c r="J442" s="57">
        <f>IFERROR(VLOOKUP($A:$A,CS!$A:$AK,18,FALSE),"")</f>
      </c>
      <c r="K442" s="57">
        <f>IFERROR(VLOOKUP($A:$A,CS!$A:$AK,19,FALSE),"")</f>
      </c>
      <c r="L442" s="57">
        <f>IFERROR(VLOOKUP($A:$A,CS!$A:$AK,20,FALSE),"")</f>
      </c>
      <c r="M442" s="57">
        <f>IFERROR(VLOOKUP($A:$A,CS!$A:$AK,22,FALSE),"")</f>
      </c>
      <c r="N442" s="57">
        <f>IFERROR(VLOOKUP($A:$A,CS!$A:$AK,19,FALSE),"")</f>
      </c>
      <c r="O442" s="57">
        <f>IFERROR(VLOOKUP($A:$A,CS!$A:$AK,23,FALSE),"")</f>
      </c>
      <c r="P442" s="57">
        <f>IFERROR(VLOOKUP($A:$A,CS!$A:$AK,24,FALSE),"")</f>
      </c>
      <c r="Q442" s="57">
        <f>IFERROR(VLOOKUP($A:$A,CS!$A:$AK,25,FALSE),"")</f>
      </c>
      <c r="R442" s="57">
        <f>IFERROR(VLOOKUP($A:$A,CS!$A:$AK,26,FALSE),"")</f>
      </c>
      <c r="S442" s="57">
        <f>IFERROR(VLOOKUP($A:$A,CS!$A:$AK,29,FALSE),"")</f>
      </c>
      <c r="T442" s="57">
        <f>IFERROR(VLOOKUP($A:$A,CS!$A:$AK,33,FALSE),"")</f>
      </c>
      <c r="U442" s="57">
        <f>IFERROR(VLOOKUP($A:$A,CS!$A:$AK,34,FALSE),"")</f>
      </c>
      <c r="V442" s="57">
        <f>IFERROR(VLOOKUP($A:$A,CS!$A:$AK,35,FALSE),"")</f>
      </c>
      <c r="W442" s="57">
        <f>IFERROR(VLOOKUP($A:$A,CS!$A:$AK,36,FALSE),"")</f>
      </c>
    </row>
    <row r="443" ht="16.5" customHeight="1" spans="1:23" x14ac:dyDescent="0.25">
      <c r="A443" s="71"/>
      <c r="B443" s="57">
        <f>IFERROR(VLOOKUP($A:$A,CS!$A:$AK,3,FALSE),"")</f>
      </c>
      <c r="C443" s="57">
        <f>IFERROR(VLOOKUP($A:$A,CS!$A:$AK,4,FALSE),"")</f>
      </c>
      <c r="D443" s="57">
        <f>IFERROR(VLOOKUP($A:$A,CS!$A:$AK,5,FALSE),"")</f>
      </c>
      <c r="E443" s="57">
        <f>IFERROR(VLOOKUP($A:$A,CS!$A:$AK,7,FALSE),"")</f>
      </c>
      <c r="F443" s="57">
        <f>IFERROR(VLOOKUP($A:$A,CS!$A:$AK,8,FALSE),"")</f>
      </c>
      <c r="G443" s="57">
        <f>IFERROR(VLOOKUP($A:$A,CS!$A:$AK,10,FALSE),"")</f>
      </c>
      <c r="H443" s="57">
        <f>IFERROR(VLOOKUP($A:$A,CS!$A:$AK,14,FALSE),"")</f>
      </c>
      <c r="I443" s="57">
        <f>IFERROR(VLOOKUP($A:$A,CS!$A:$AK,15,FALSE),"")</f>
      </c>
      <c r="J443" s="57">
        <f>IFERROR(VLOOKUP($A:$A,CS!$A:$AK,18,FALSE),"")</f>
      </c>
      <c r="K443" s="57">
        <f>IFERROR(VLOOKUP($A:$A,CS!$A:$AK,19,FALSE),"")</f>
      </c>
      <c r="L443" s="57">
        <f>IFERROR(VLOOKUP($A:$A,CS!$A:$AK,20,FALSE),"")</f>
      </c>
      <c r="M443" s="57">
        <f>IFERROR(VLOOKUP($A:$A,CS!$A:$AK,22,FALSE),"")</f>
      </c>
      <c r="N443" s="57">
        <f>IFERROR(VLOOKUP($A:$A,CS!$A:$AK,19,FALSE),"")</f>
      </c>
      <c r="O443" s="57">
        <f>IFERROR(VLOOKUP($A:$A,CS!$A:$AK,23,FALSE),"")</f>
      </c>
      <c r="P443" s="57">
        <f>IFERROR(VLOOKUP($A:$A,CS!$A:$AK,24,FALSE),"")</f>
      </c>
      <c r="Q443" s="57">
        <f>IFERROR(VLOOKUP($A:$A,CS!$A:$AK,25,FALSE),"")</f>
      </c>
      <c r="R443" s="57">
        <f>IFERROR(VLOOKUP($A:$A,CS!$A:$AK,26,FALSE),"")</f>
      </c>
      <c r="S443" s="57">
        <f>IFERROR(VLOOKUP($A:$A,CS!$A:$AK,29,FALSE),"")</f>
      </c>
      <c r="T443" s="57">
        <f>IFERROR(VLOOKUP($A:$A,CS!$A:$AK,33,FALSE),"")</f>
      </c>
      <c r="U443" s="57">
        <f>IFERROR(VLOOKUP($A:$A,CS!$A:$AK,34,FALSE),"")</f>
      </c>
      <c r="V443" s="57">
        <f>IFERROR(VLOOKUP($A:$A,CS!$A:$AK,35,FALSE),"")</f>
      </c>
      <c r="W443" s="57">
        <f>IFERROR(VLOOKUP($A:$A,CS!$A:$AK,36,FALSE),"")</f>
      </c>
    </row>
    <row r="444" ht="16.5" customHeight="1" spans="1:23" x14ac:dyDescent="0.25">
      <c r="A444" s="71"/>
      <c r="B444" s="57">
        <f>IFERROR(VLOOKUP($A:$A,CS!$A:$AK,3,FALSE),"")</f>
      </c>
      <c r="C444" s="57">
        <f>IFERROR(VLOOKUP($A:$A,CS!$A:$AK,4,FALSE),"")</f>
      </c>
      <c r="D444" s="57">
        <f>IFERROR(VLOOKUP($A:$A,CS!$A:$AK,5,FALSE),"")</f>
      </c>
      <c r="E444" s="57">
        <f>IFERROR(VLOOKUP($A:$A,CS!$A:$AK,7,FALSE),"")</f>
      </c>
      <c r="F444" s="57">
        <f>IFERROR(VLOOKUP($A:$A,CS!$A:$AK,8,FALSE),"")</f>
      </c>
      <c r="G444" s="57">
        <f>IFERROR(VLOOKUP($A:$A,CS!$A:$AK,10,FALSE),"")</f>
      </c>
      <c r="H444" s="57">
        <f>IFERROR(VLOOKUP($A:$A,CS!$A:$AK,14,FALSE),"")</f>
      </c>
      <c r="I444" s="57">
        <f>IFERROR(VLOOKUP($A:$A,CS!$A:$AK,15,FALSE),"")</f>
      </c>
      <c r="J444" s="57">
        <f>IFERROR(VLOOKUP($A:$A,CS!$A:$AK,18,FALSE),"")</f>
      </c>
      <c r="K444" s="57">
        <f>IFERROR(VLOOKUP($A:$A,CS!$A:$AK,19,FALSE),"")</f>
      </c>
      <c r="L444" s="57">
        <f>IFERROR(VLOOKUP($A:$A,CS!$A:$AK,20,FALSE),"")</f>
      </c>
      <c r="M444" s="57">
        <f>IFERROR(VLOOKUP($A:$A,CS!$A:$AK,22,FALSE),"")</f>
      </c>
      <c r="N444" s="57">
        <f>IFERROR(VLOOKUP($A:$A,CS!$A:$AK,19,FALSE),"")</f>
      </c>
      <c r="O444" s="57">
        <f>IFERROR(VLOOKUP($A:$A,CS!$A:$AK,23,FALSE),"")</f>
      </c>
      <c r="P444" s="57">
        <f>IFERROR(VLOOKUP($A:$A,CS!$A:$AK,24,FALSE),"")</f>
      </c>
      <c r="Q444" s="57">
        <f>IFERROR(VLOOKUP($A:$A,CS!$A:$AK,25,FALSE),"")</f>
      </c>
      <c r="R444" s="57">
        <f>IFERROR(VLOOKUP($A:$A,CS!$A:$AK,26,FALSE),"")</f>
      </c>
      <c r="S444" s="57">
        <f>IFERROR(VLOOKUP($A:$A,CS!$A:$AK,29,FALSE),"")</f>
      </c>
      <c r="T444" s="57">
        <f>IFERROR(VLOOKUP($A:$A,CS!$A:$AK,33,FALSE),"")</f>
      </c>
      <c r="U444" s="57">
        <f>IFERROR(VLOOKUP($A:$A,CS!$A:$AK,34,FALSE),"")</f>
      </c>
      <c r="V444" s="57">
        <f>IFERROR(VLOOKUP($A:$A,CS!$A:$AK,35,FALSE),"")</f>
      </c>
      <c r="W444" s="57">
        <f>IFERROR(VLOOKUP($A:$A,CS!$A:$AK,36,FALSE),"")</f>
      </c>
    </row>
    <row r="445" ht="16.5" customHeight="1" spans="1:23" x14ac:dyDescent="0.25">
      <c r="A445" s="71"/>
      <c r="B445" s="57">
        <f>IFERROR(VLOOKUP($A:$A,CS!$A:$AK,3,FALSE),"")</f>
      </c>
      <c r="C445" s="57">
        <f>IFERROR(VLOOKUP($A:$A,CS!$A:$AK,4,FALSE),"")</f>
      </c>
      <c r="D445" s="57">
        <f>IFERROR(VLOOKUP($A:$A,CS!$A:$AK,5,FALSE),"")</f>
      </c>
      <c r="E445" s="57">
        <f>IFERROR(VLOOKUP($A:$A,CS!$A:$AK,7,FALSE),"")</f>
      </c>
      <c r="F445" s="57">
        <f>IFERROR(VLOOKUP($A:$A,CS!$A:$AK,8,FALSE),"")</f>
      </c>
      <c r="G445" s="57">
        <f>IFERROR(VLOOKUP($A:$A,CS!$A:$AK,10,FALSE),"")</f>
      </c>
      <c r="H445" s="57">
        <f>IFERROR(VLOOKUP($A:$A,CS!$A:$AK,14,FALSE),"")</f>
      </c>
      <c r="I445" s="57">
        <f>IFERROR(VLOOKUP($A:$A,CS!$A:$AK,15,FALSE),"")</f>
      </c>
      <c r="J445" s="57">
        <f>IFERROR(VLOOKUP($A:$A,CS!$A:$AK,18,FALSE),"")</f>
      </c>
      <c r="K445" s="57">
        <f>IFERROR(VLOOKUP($A:$A,CS!$A:$AK,19,FALSE),"")</f>
      </c>
      <c r="L445" s="57">
        <f>IFERROR(VLOOKUP($A:$A,CS!$A:$AK,20,FALSE),"")</f>
      </c>
      <c r="M445" s="57">
        <f>IFERROR(VLOOKUP($A:$A,CS!$A:$AK,22,FALSE),"")</f>
      </c>
      <c r="N445" s="57">
        <f>IFERROR(VLOOKUP($A:$A,CS!$A:$AK,19,FALSE),"")</f>
      </c>
      <c r="O445" s="57">
        <f>IFERROR(VLOOKUP($A:$A,CS!$A:$AK,23,FALSE),"")</f>
      </c>
      <c r="P445" s="57">
        <f>IFERROR(VLOOKUP($A:$A,CS!$A:$AK,24,FALSE),"")</f>
      </c>
      <c r="Q445" s="57">
        <f>IFERROR(VLOOKUP($A:$A,CS!$A:$AK,25,FALSE),"")</f>
      </c>
      <c r="R445" s="57">
        <f>IFERROR(VLOOKUP($A:$A,CS!$A:$AK,26,FALSE),"")</f>
      </c>
      <c r="S445" s="57">
        <f>IFERROR(VLOOKUP($A:$A,CS!$A:$AK,29,FALSE),"")</f>
      </c>
      <c r="T445" s="57">
        <f>IFERROR(VLOOKUP($A:$A,CS!$A:$AK,33,FALSE),"")</f>
      </c>
      <c r="U445" s="57">
        <f>IFERROR(VLOOKUP($A:$A,CS!$A:$AK,34,FALSE),"")</f>
      </c>
      <c r="V445" s="57">
        <f>IFERROR(VLOOKUP($A:$A,CS!$A:$AK,35,FALSE),"")</f>
      </c>
      <c r="W445" s="57">
        <f>IFERROR(VLOOKUP($A:$A,CS!$A:$AK,36,FALSE),"")</f>
      </c>
    </row>
    <row r="446" ht="16.5" customHeight="1" spans="1:23" x14ac:dyDescent="0.25">
      <c r="A446" s="71"/>
      <c r="B446" s="57">
        <f>IFERROR(VLOOKUP($A:$A,CS!$A:$AK,3,FALSE),"")</f>
      </c>
      <c r="C446" s="57">
        <f>IFERROR(VLOOKUP($A:$A,CS!$A:$AK,4,FALSE),"")</f>
      </c>
      <c r="D446" s="57">
        <f>IFERROR(VLOOKUP($A:$A,CS!$A:$AK,5,FALSE),"")</f>
      </c>
      <c r="E446" s="57">
        <f>IFERROR(VLOOKUP($A:$A,CS!$A:$AK,7,FALSE),"")</f>
      </c>
      <c r="F446" s="57">
        <f>IFERROR(VLOOKUP($A:$A,CS!$A:$AK,8,FALSE),"")</f>
      </c>
      <c r="G446" s="57">
        <f>IFERROR(VLOOKUP($A:$A,CS!$A:$AK,10,FALSE),"")</f>
      </c>
      <c r="H446" s="57">
        <f>IFERROR(VLOOKUP($A:$A,CS!$A:$AK,14,FALSE),"")</f>
      </c>
      <c r="I446" s="57">
        <f>IFERROR(VLOOKUP($A:$A,CS!$A:$AK,15,FALSE),"")</f>
      </c>
      <c r="J446" s="57">
        <f>IFERROR(VLOOKUP($A:$A,CS!$A:$AK,18,FALSE),"")</f>
      </c>
      <c r="K446" s="57">
        <f>IFERROR(VLOOKUP($A:$A,CS!$A:$AK,19,FALSE),"")</f>
      </c>
      <c r="L446" s="57">
        <f>IFERROR(VLOOKUP($A:$A,CS!$A:$AK,20,FALSE),"")</f>
      </c>
      <c r="M446" s="57">
        <f>IFERROR(VLOOKUP($A:$A,CS!$A:$AK,22,FALSE),"")</f>
      </c>
      <c r="N446" s="57">
        <f>IFERROR(VLOOKUP($A:$A,CS!$A:$AK,19,FALSE),"")</f>
      </c>
      <c r="O446" s="57">
        <f>IFERROR(VLOOKUP($A:$A,CS!$A:$AK,23,FALSE),"")</f>
      </c>
      <c r="P446" s="57">
        <f>IFERROR(VLOOKUP($A:$A,CS!$A:$AK,24,FALSE),"")</f>
      </c>
      <c r="Q446" s="57">
        <f>IFERROR(VLOOKUP($A:$A,CS!$A:$AK,25,FALSE),"")</f>
      </c>
      <c r="R446" s="57">
        <f>IFERROR(VLOOKUP($A:$A,CS!$A:$AK,26,FALSE),"")</f>
      </c>
      <c r="S446" s="57">
        <f>IFERROR(VLOOKUP($A:$A,CS!$A:$AK,29,FALSE),"")</f>
      </c>
      <c r="T446" s="57">
        <f>IFERROR(VLOOKUP($A:$A,CS!$A:$AK,33,FALSE),"")</f>
      </c>
      <c r="U446" s="57">
        <f>IFERROR(VLOOKUP($A:$A,CS!$A:$AK,34,FALSE),"")</f>
      </c>
      <c r="V446" s="57">
        <f>IFERROR(VLOOKUP($A:$A,CS!$A:$AK,35,FALSE),"")</f>
      </c>
      <c r="W446" s="57">
        <f>IFERROR(VLOOKUP($A:$A,CS!$A:$AK,36,FALSE),"")</f>
      </c>
    </row>
    <row r="447" ht="16.5" customHeight="1" spans="1:23" x14ac:dyDescent="0.25">
      <c r="A447" s="71"/>
      <c r="B447" s="57">
        <f>IFERROR(VLOOKUP($A:$A,CS!$A:$AK,3,FALSE),"")</f>
      </c>
      <c r="C447" s="57">
        <f>IFERROR(VLOOKUP($A:$A,CS!$A:$AK,4,FALSE),"")</f>
      </c>
      <c r="D447" s="57">
        <f>IFERROR(VLOOKUP($A:$A,CS!$A:$AK,5,FALSE),"")</f>
      </c>
      <c r="E447" s="57">
        <f>IFERROR(VLOOKUP($A:$A,CS!$A:$AK,7,FALSE),"")</f>
      </c>
      <c r="F447" s="57">
        <f>IFERROR(VLOOKUP($A:$A,CS!$A:$AK,8,FALSE),"")</f>
      </c>
      <c r="G447" s="57">
        <f>IFERROR(VLOOKUP($A:$A,CS!$A:$AK,10,FALSE),"")</f>
      </c>
      <c r="H447" s="57">
        <f>IFERROR(VLOOKUP($A:$A,CS!$A:$AK,14,FALSE),"")</f>
      </c>
      <c r="I447" s="57">
        <f>IFERROR(VLOOKUP($A:$A,CS!$A:$AK,15,FALSE),"")</f>
      </c>
      <c r="J447" s="57">
        <f>IFERROR(VLOOKUP($A:$A,CS!$A:$AK,18,FALSE),"")</f>
      </c>
      <c r="K447" s="57">
        <f>IFERROR(VLOOKUP($A:$A,CS!$A:$AK,19,FALSE),"")</f>
      </c>
      <c r="L447" s="57">
        <f>IFERROR(VLOOKUP($A:$A,CS!$A:$AK,20,FALSE),"")</f>
      </c>
      <c r="M447" s="57">
        <f>IFERROR(VLOOKUP($A:$A,CS!$A:$AK,22,FALSE),"")</f>
      </c>
      <c r="N447" s="57">
        <f>IFERROR(VLOOKUP($A:$A,CS!$A:$AK,19,FALSE),"")</f>
      </c>
      <c r="O447" s="57">
        <f>IFERROR(VLOOKUP($A:$A,CS!$A:$AK,23,FALSE),"")</f>
      </c>
      <c r="P447" s="57">
        <f>IFERROR(VLOOKUP($A:$A,CS!$A:$AK,24,FALSE),"")</f>
      </c>
      <c r="Q447" s="57">
        <f>IFERROR(VLOOKUP($A:$A,CS!$A:$AK,25,FALSE),"")</f>
      </c>
      <c r="R447" s="57">
        <f>IFERROR(VLOOKUP($A:$A,CS!$A:$AK,26,FALSE),"")</f>
      </c>
      <c r="S447" s="57">
        <f>IFERROR(VLOOKUP($A:$A,CS!$A:$AK,29,FALSE),"")</f>
      </c>
      <c r="T447" s="57">
        <f>IFERROR(VLOOKUP($A:$A,CS!$A:$AK,33,FALSE),"")</f>
      </c>
      <c r="U447" s="57">
        <f>IFERROR(VLOOKUP($A:$A,CS!$A:$AK,34,FALSE),"")</f>
      </c>
      <c r="V447" s="57">
        <f>IFERROR(VLOOKUP($A:$A,CS!$A:$AK,35,FALSE),"")</f>
      </c>
      <c r="W447" s="57">
        <f>IFERROR(VLOOKUP($A:$A,CS!$A:$AK,36,FALSE),"")</f>
      </c>
    </row>
    <row r="448" ht="16.5" customHeight="1" spans="1:23" x14ac:dyDescent="0.25">
      <c r="A448" s="71"/>
      <c r="B448" s="57">
        <f>IFERROR(VLOOKUP($A:$A,CS!$A:$AK,3,FALSE),"")</f>
      </c>
      <c r="C448" s="57">
        <f>IFERROR(VLOOKUP($A:$A,CS!$A:$AK,4,FALSE),"")</f>
      </c>
      <c r="D448" s="57">
        <f>IFERROR(VLOOKUP($A:$A,CS!$A:$AK,5,FALSE),"")</f>
      </c>
      <c r="E448" s="57">
        <f>IFERROR(VLOOKUP($A:$A,CS!$A:$AK,7,FALSE),"")</f>
      </c>
      <c r="F448" s="57">
        <f>IFERROR(VLOOKUP($A:$A,CS!$A:$AK,8,FALSE),"")</f>
      </c>
      <c r="G448" s="57">
        <f>IFERROR(VLOOKUP($A:$A,CS!$A:$AK,10,FALSE),"")</f>
      </c>
      <c r="H448" s="57">
        <f>IFERROR(VLOOKUP($A:$A,CS!$A:$AK,14,FALSE),"")</f>
      </c>
      <c r="I448" s="57">
        <f>IFERROR(VLOOKUP($A:$A,CS!$A:$AK,15,FALSE),"")</f>
      </c>
      <c r="J448" s="57">
        <f>IFERROR(VLOOKUP($A:$A,CS!$A:$AK,18,FALSE),"")</f>
      </c>
      <c r="K448" s="57">
        <f>IFERROR(VLOOKUP($A:$A,CS!$A:$AK,19,FALSE),"")</f>
      </c>
      <c r="L448" s="57">
        <f>IFERROR(VLOOKUP($A:$A,CS!$A:$AK,20,FALSE),"")</f>
      </c>
      <c r="M448" s="57">
        <f>IFERROR(VLOOKUP($A:$A,CS!$A:$AK,22,FALSE),"")</f>
      </c>
      <c r="N448" s="57">
        <f>IFERROR(VLOOKUP($A:$A,CS!$A:$AK,19,FALSE),"")</f>
      </c>
      <c r="O448" s="57">
        <f>IFERROR(VLOOKUP($A:$A,CS!$A:$AK,23,FALSE),"")</f>
      </c>
      <c r="P448" s="57">
        <f>IFERROR(VLOOKUP($A:$A,CS!$A:$AK,24,FALSE),"")</f>
      </c>
      <c r="Q448" s="57">
        <f>IFERROR(VLOOKUP($A:$A,CS!$A:$AK,25,FALSE),"")</f>
      </c>
      <c r="R448" s="57">
        <f>IFERROR(VLOOKUP($A:$A,CS!$A:$AK,26,FALSE),"")</f>
      </c>
      <c r="S448" s="57">
        <f>IFERROR(VLOOKUP($A:$A,CS!$A:$AK,29,FALSE),"")</f>
      </c>
      <c r="T448" s="57">
        <f>IFERROR(VLOOKUP($A:$A,CS!$A:$AK,33,FALSE),"")</f>
      </c>
      <c r="U448" s="57">
        <f>IFERROR(VLOOKUP($A:$A,CS!$A:$AK,34,FALSE),"")</f>
      </c>
      <c r="V448" s="57">
        <f>IFERROR(VLOOKUP($A:$A,CS!$A:$AK,35,FALSE),"")</f>
      </c>
      <c r="W448" s="57">
        <f>IFERROR(VLOOKUP($A:$A,CS!$A:$AK,36,FALSE),"")</f>
      </c>
    </row>
    <row r="449" ht="16.5" customHeight="1" spans="1:23" x14ac:dyDescent="0.25">
      <c r="A449" s="71"/>
      <c r="B449" s="57">
        <f>IFERROR(VLOOKUP($A:$A,CS!$A:$AK,3,FALSE),"")</f>
      </c>
      <c r="C449" s="57">
        <f>IFERROR(VLOOKUP($A:$A,CS!$A:$AK,4,FALSE),"")</f>
      </c>
      <c r="D449" s="57">
        <f>IFERROR(VLOOKUP($A:$A,CS!$A:$AK,5,FALSE),"")</f>
      </c>
      <c r="E449" s="57">
        <f>IFERROR(VLOOKUP($A:$A,CS!$A:$AK,7,FALSE),"")</f>
      </c>
      <c r="F449" s="57">
        <f>IFERROR(VLOOKUP($A:$A,CS!$A:$AK,8,FALSE),"")</f>
      </c>
      <c r="G449" s="57">
        <f>IFERROR(VLOOKUP($A:$A,CS!$A:$AK,10,FALSE),"")</f>
      </c>
      <c r="H449" s="57">
        <f>IFERROR(VLOOKUP($A:$A,CS!$A:$AK,14,FALSE),"")</f>
      </c>
      <c r="I449" s="57">
        <f>IFERROR(VLOOKUP($A:$A,CS!$A:$AK,15,FALSE),"")</f>
      </c>
      <c r="J449" s="57">
        <f>IFERROR(VLOOKUP($A:$A,CS!$A:$AK,18,FALSE),"")</f>
      </c>
      <c r="K449" s="57">
        <f>IFERROR(VLOOKUP($A:$A,CS!$A:$AK,19,FALSE),"")</f>
      </c>
      <c r="L449" s="57">
        <f>IFERROR(VLOOKUP($A:$A,CS!$A:$AK,20,FALSE),"")</f>
      </c>
      <c r="M449" s="57">
        <f>IFERROR(VLOOKUP($A:$A,CS!$A:$AK,22,FALSE),"")</f>
      </c>
      <c r="N449" s="57">
        <f>IFERROR(VLOOKUP($A:$A,CS!$A:$AK,19,FALSE),"")</f>
      </c>
      <c r="O449" s="57">
        <f>IFERROR(VLOOKUP($A:$A,CS!$A:$AK,23,FALSE),"")</f>
      </c>
      <c r="P449" s="57">
        <f>IFERROR(VLOOKUP($A:$A,CS!$A:$AK,24,FALSE),"")</f>
      </c>
      <c r="Q449" s="57">
        <f>IFERROR(VLOOKUP($A:$A,CS!$A:$AK,25,FALSE),"")</f>
      </c>
      <c r="R449" s="57">
        <f>IFERROR(VLOOKUP($A:$A,CS!$A:$AK,26,FALSE),"")</f>
      </c>
      <c r="S449" s="57">
        <f>IFERROR(VLOOKUP($A:$A,CS!$A:$AK,29,FALSE),"")</f>
      </c>
      <c r="T449" s="57">
        <f>IFERROR(VLOOKUP($A:$A,CS!$A:$AK,33,FALSE),"")</f>
      </c>
      <c r="U449" s="57">
        <f>IFERROR(VLOOKUP($A:$A,CS!$A:$AK,34,FALSE),"")</f>
      </c>
      <c r="V449" s="57">
        <f>IFERROR(VLOOKUP($A:$A,CS!$A:$AK,35,FALSE),"")</f>
      </c>
      <c r="W449" s="57">
        <f>IFERROR(VLOOKUP($A:$A,CS!$A:$AK,36,FALSE),"")</f>
      </c>
    </row>
    <row r="450" ht="16.5" customHeight="1" spans="1:23" x14ac:dyDescent="0.25">
      <c r="A450" s="71"/>
      <c r="B450" s="57">
        <f>IFERROR(VLOOKUP($A:$A,CS!$A:$AK,3,FALSE),"")</f>
      </c>
      <c r="C450" s="57">
        <f>IFERROR(VLOOKUP($A:$A,CS!$A:$AK,4,FALSE),"")</f>
      </c>
      <c r="D450" s="57">
        <f>IFERROR(VLOOKUP($A:$A,CS!$A:$AK,5,FALSE),"")</f>
      </c>
      <c r="E450" s="57">
        <f>IFERROR(VLOOKUP($A:$A,CS!$A:$AK,7,FALSE),"")</f>
      </c>
      <c r="F450" s="57">
        <f>IFERROR(VLOOKUP($A:$A,CS!$A:$AK,8,FALSE),"")</f>
      </c>
      <c r="G450" s="57">
        <f>IFERROR(VLOOKUP($A:$A,CS!$A:$AK,10,FALSE),"")</f>
      </c>
      <c r="H450" s="57">
        <f>IFERROR(VLOOKUP($A:$A,CS!$A:$AK,14,FALSE),"")</f>
      </c>
      <c r="I450" s="57">
        <f>IFERROR(VLOOKUP($A:$A,CS!$A:$AK,15,FALSE),"")</f>
      </c>
      <c r="J450" s="57">
        <f>IFERROR(VLOOKUP($A:$A,CS!$A:$AK,18,FALSE),"")</f>
      </c>
      <c r="K450" s="57">
        <f>IFERROR(VLOOKUP($A:$A,CS!$A:$AK,19,FALSE),"")</f>
      </c>
      <c r="L450" s="57">
        <f>IFERROR(VLOOKUP($A:$A,CS!$A:$AK,20,FALSE),"")</f>
      </c>
      <c r="M450" s="57">
        <f>IFERROR(VLOOKUP($A:$A,CS!$A:$AK,22,FALSE),"")</f>
      </c>
      <c r="N450" s="57">
        <f>IFERROR(VLOOKUP($A:$A,CS!$A:$AK,19,FALSE),"")</f>
      </c>
      <c r="O450" s="57">
        <f>IFERROR(VLOOKUP($A:$A,CS!$A:$AK,23,FALSE),"")</f>
      </c>
      <c r="P450" s="57">
        <f>IFERROR(VLOOKUP($A:$A,CS!$A:$AK,24,FALSE),"")</f>
      </c>
      <c r="Q450" s="57">
        <f>IFERROR(VLOOKUP($A:$A,CS!$A:$AK,25,FALSE),"")</f>
      </c>
      <c r="R450" s="57">
        <f>IFERROR(VLOOKUP($A:$A,CS!$A:$AK,26,FALSE),"")</f>
      </c>
      <c r="S450" s="57">
        <f>IFERROR(VLOOKUP($A:$A,CS!$A:$AK,29,FALSE),"")</f>
      </c>
      <c r="T450" s="57">
        <f>IFERROR(VLOOKUP($A:$A,CS!$A:$AK,33,FALSE),"")</f>
      </c>
      <c r="U450" s="57">
        <f>IFERROR(VLOOKUP($A:$A,CS!$A:$AK,34,FALSE),"")</f>
      </c>
      <c r="V450" s="57">
        <f>IFERROR(VLOOKUP($A:$A,CS!$A:$AK,35,FALSE),"")</f>
      </c>
      <c r="W450" s="57">
        <f>IFERROR(VLOOKUP($A:$A,CS!$A:$AK,36,FALSE),"")</f>
      </c>
    </row>
    <row r="451" ht="16.5" customHeight="1" spans="1:23" x14ac:dyDescent="0.25">
      <c r="A451" s="71"/>
      <c r="B451" s="57">
        <f>IFERROR(VLOOKUP($A:$A,CS!$A:$AK,3,FALSE),"")</f>
      </c>
      <c r="C451" s="57">
        <f>IFERROR(VLOOKUP($A:$A,CS!$A:$AK,4,FALSE),"")</f>
      </c>
      <c r="D451" s="57">
        <f>IFERROR(VLOOKUP($A:$A,CS!$A:$AK,5,FALSE),"")</f>
      </c>
      <c r="E451" s="57">
        <f>IFERROR(VLOOKUP($A:$A,CS!$A:$AK,7,FALSE),"")</f>
      </c>
      <c r="F451" s="57">
        <f>IFERROR(VLOOKUP($A:$A,CS!$A:$AK,8,FALSE),"")</f>
      </c>
      <c r="G451" s="57">
        <f>IFERROR(VLOOKUP($A:$A,CS!$A:$AK,10,FALSE),"")</f>
      </c>
      <c r="H451" s="57">
        <f>IFERROR(VLOOKUP($A:$A,CS!$A:$AK,14,FALSE),"")</f>
      </c>
      <c r="I451" s="57">
        <f>IFERROR(VLOOKUP($A:$A,CS!$A:$AK,15,FALSE),"")</f>
      </c>
      <c r="J451" s="57">
        <f>IFERROR(VLOOKUP($A:$A,CS!$A:$AK,18,FALSE),"")</f>
      </c>
      <c r="K451" s="57">
        <f>IFERROR(VLOOKUP($A:$A,CS!$A:$AK,19,FALSE),"")</f>
      </c>
      <c r="L451" s="57">
        <f>IFERROR(VLOOKUP($A:$A,CS!$A:$AK,20,FALSE),"")</f>
      </c>
      <c r="M451" s="57">
        <f>IFERROR(VLOOKUP($A:$A,CS!$A:$AK,22,FALSE),"")</f>
      </c>
      <c r="N451" s="57">
        <f>IFERROR(VLOOKUP($A:$A,CS!$A:$AK,19,FALSE),"")</f>
      </c>
      <c r="O451" s="57">
        <f>IFERROR(VLOOKUP($A:$A,CS!$A:$AK,23,FALSE),"")</f>
      </c>
      <c r="P451" s="57">
        <f>IFERROR(VLOOKUP($A:$A,CS!$A:$AK,24,FALSE),"")</f>
      </c>
      <c r="Q451" s="57">
        <f>IFERROR(VLOOKUP($A:$A,CS!$A:$AK,25,FALSE),"")</f>
      </c>
      <c r="R451" s="57">
        <f>IFERROR(VLOOKUP($A:$A,CS!$A:$AK,26,FALSE),"")</f>
      </c>
      <c r="S451" s="57">
        <f>IFERROR(VLOOKUP($A:$A,CS!$A:$AK,29,FALSE),"")</f>
      </c>
      <c r="T451" s="57">
        <f>IFERROR(VLOOKUP($A:$A,CS!$A:$AK,33,FALSE),"")</f>
      </c>
      <c r="U451" s="57">
        <f>IFERROR(VLOOKUP($A:$A,CS!$A:$AK,34,FALSE),"")</f>
      </c>
      <c r="V451" s="57">
        <f>IFERROR(VLOOKUP($A:$A,CS!$A:$AK,35,FALSE),"")</f>
      </c>
      <c r="W451" s="57">
        <f>IFERROR(VLOOKUP($A:$A,CS!$A:$AK,36,FALSE),"")</f>
      </c>
    </row>
    <row r="452" ht="16.5" customHeight="1" spans="1:23" x14ac:dyDescent="0.25">
      <c r="A452" s="71"/>
      <c r="B452" s="57">
        <f>IFERROR(VLOOKUP($A:$A,CS!$A:$AK,3,FALSE),"")</f>
      </c>
      <c r="C452" s="57">
        <f>IFERROR(VLOOKUP($A:$A,CS!$A:$AK,4,FALSE),"")</f>
      </c>
      <c r="D452" s="57">
        <f>IFERROR(VLOOKUP($A:$A,CS!$A:$AK,5,FALSE),"")</f>
      </c>
      <c r="E452" s="57">
        <f>IFERROR(VLOOKUP($A:$A,CS!$A:$AK,7,FALSE),"")</f>
      </c>
      <c r="F452" s="57">
        <f>IFERROR(VLOOKUP($A:$A,CS!$A:$AK,8,FALSE),"")</f>
      </c>
      <c r="G452" s="57">
        <f>IFERROR(VLOOKUP($A:$A,CS!$A:$AK,10,FALSE),"")</f>
      </c>
      <c r="H452" s="57">
        <f>IFERROR(VLOOKUP($A:$A,CS!$A:$AK,14,FALSE),"")</f>
      </c>
      <c r="I452" s="57">
        <f>IFERROR(VLOOKUP($A:$A,CS!$A:$AK,15,FALSE),"")</f>
      </c>
      <c r="J452" s="57">
        <f>IFERROR(VLOOKUP($A:$A,CS!$A:$AK,18,FALSE),"")</f>
      </c>
      <c r="K452" s="57">
        <f>IFERROR(VLOOKUP($A:$A,CS!$A:$AK,19,FALSE),"")</f>
      </c>
      <c r="L452" s="57">
        <f>IFERROR(VLOOKUP($A:$A,CS!$A:$AK,20,FALSE),"")</f>
      </c>
      <c r="M452" s="57">
        <f>IFERROR(VLOOKUP($A:$A,CS!$A:$AK,22,FALSE),"")</f>
      </c>
      <c r="N452" s="57">
        <f>IFERROR(VLOOKUP($A:$A,CS!$A:$AK,19,FALSE),"")</f>
      </c>
      <c r="O452" s="57">
        <f>IFERROR(VLOOKUP($A:$A,CS!$A:$AK,23,FALSE),"")</f>
      </c>
      <c r="P452" s="57">
        <f>IFERROR(VLOOKUP($A:$A,CS!$A:$AK,24,FALSE),"")</f>
      </c>
      <c r="Q452" s="57">
        <f>IFERROR(VLOOKUP($A:$A,CS!$A:$AK,25,FALSE),"")</f>
      </c>
      <c r="R452" s="57">
        <f>IFERROR(VLOOKUP($A:$A,CS!$A:$AK,26,FALSE),"")</f>
      </c>
      <c r="S452" s="57">
        <f>IFERROR(VLOOKUP($A:$A,CS!$A:$AK,29,FALSE),"")</f>
      </c>
      <c r="T452" s="57">
        <f>IFERROR(VLOOKUP($A:$A,CS!$A:$AK,33,FALSE),"")</f>
      </c>
      <c r="U452" s="57">
        <f>IFERROR(VLOOKUP($A:$A,CS!$A:$AK,34,FALSE),"")</f>
      </c>
      <c r="V452" s="57">
        <f>IFERROR(VLOOKUP($A:$A,CS!$A:$AK,35,FALSE),"")</f>
      </c>
      <c r="W452" s="57">
        <f>IFERROR(VLOOKUP($A:$A,CS!$A:$AK,36,FALSE),"")</f>
      </c>
    </row>
    <row r="453" ht="16.5" customHeight="1" spans="1:23" x14ac:dyDescent="0.25">
      <c r="A453" s="71"/>
      <c r="B453" s="57">
        <f>IFERROR(VLOOKUP($A:$A,CS!$A:$AK,3,FALSE),"")</f>
      </c>
      <c r="C453" s="57">
        <f>IFERROR(VLOOKUP($A:$A,CS!$A:$AK,4,FALSE),"")</f>
      </c>
      <c r="D453" s="57">
        <f>IFERROR(VLOOKUP($A:$A,CS!$A:$AK,5,FALSE),"")</f>
      </c>
      <c r="E453" s="57">
        <f>IFERROR(VLOOKUP($A:$A,CS!$A:$AK,7,FALSE),"")</f>
      </c>
      <c r="F453" s="57">
        <f>IFERROR(VLOOKUP($A:$A,CS!$A:$AK,8,FALSE),"")</f>
      </c>
      <c r="G453" s="57">
        <f>IFERROR(VLOOKUP($A:$A,CS!$A:$AK,10,FALSE),"")</f>
      </c>
      <c r="H453" s="57">
        <f>IFERROR(VLOOKUP($A:$A,CS!$A:$AK,14,FALSE),"")</f>
      </c>
      <c r="I453" s="57">
        <f>IFERROR(VLOOKUP($A:$A,CS!$A:$AK,15,FALSE),"")</f>
      </c>
      <c r="J453" s="57">
        <f>IFERROR(VLOOKUP($A:$A,CS!$A:$AK,18,FALSE),"")</f>
      </c>
      <c r="K453" s="57">
        <f>IFERROR(VLOOKUP($A:$A,CS!$A:$AK,19,FALSE),"")</f>
      </c>
      <c r="L453" s="57">
        <f>IFERROR(VLOOKUP($A:$A,CS!$A:$AK,20,FALSE),"")</f>
      </c>
      <c r="M453" s="57">
        <f>IFERROR(VLOOKUP($A:$A,CS!$A:$AK,22,FALSE),"")</f>
      </c>
      <c r="N453" s="57">
        <f>IFERROR(VLOOKUP($A:$A,CS!$A:$AK,19,FALSE),"")</f>
      </c>
      <c r="O453" s="57">
        <f>IFERROR(VLOOKUP($A:$A,CS!$A:$AK,23,FALSE),"")</f>
      </c>
      <c r="P453" s="57">
        <f>IFERROR(VLOOKUP($A:$A,CS!$A:$AK,24,FALSE),"")</f>
      </c>
      <c r="Q453" s="57">
        <f>IFERROR(VLOOKUP($A:$A,CS!$A:$AK,25,FALSE),"")</f>
      </c>
      <c r="R453" s="57">
        <f>IFERROR(VLOOKUP($A:$A,CS!$A:$AK,26,FALSE),"")</f>
      </c>
      <c r="S453" s="57">
        <f>IFERROR(VLOOKUP($A:$A,CS!$A:$AK,29,FALSE),"")</f>
      </c>
      <c r="T453" s="57">
        <f>IFERROR(VLOOKUP($A:$A,CS!$A:$AK,33,FALSE),"")</f>
      </c>
      <c r="U453" s="57">
        <f>IFERROR(VLOOKUP($A:$A,CS!$A:$AK,34,FALSE),"")</f>
      </c>
      <c r="V453" s="57">
        <f>IFERROR(VLOOKUP($A:$A,CS!$A:$AK,35,FALSE),"")</f>
      </c>
      <c r="W453" s="57">
        <f>IFERROR(VLOOKUP($A:$A,CS!$A:$AK,36,FALSE),"")</f>
      </c>
    </row>
    <row r="454" ht="16.5" customHeight="1" spans="1:23" x14ac:dyDescent="0.25">
      <c r="A454" s="71"/>
      <c r="B454" s="57">
        <f>IFERROR(VLOOKUP($A:$A,CS!$A:$AK,3,FALSE),"")</f>
      </c>
      <c r="C454" s="57">
        <f>IFERROR(VLOOKUP($A:$A,CS!$A:$AK,4,FALSE),"")</f>
      </c>
      <c r="D454" s="57">
        <f>IFERROR(VLOOKUP($A:$A,CS!$A:$AK,5,FALSE),"")</f>
      </c>
      <c r="E454" s="57">
        <f>IFERROR(VLOOKUP($A:$A,CS!$A:$AK,7,FALSE),"")</f>
      </c>
      <c r="F454" s="57">
        <f>IFERROR(VLOOKUP($A:$A,CS!$A:$AK,8,FALSE),"")</f>
      </c>
      <c r="G454" s="57">
        <f>IFERROR(VLOOKUP($A:$A,CS!$A:$AK,10,FALSE),"")</f>
      </c>
      <c r="H454" s="57">
        <f>IFERROR(VLOOKUP($A:$A,CS!$A:$AK,14,FALSE),"")</f>
      </c>
      <c r="I454" s="57">
        <f>IFERROR(VLOOKUP($A:$A,CS!$A:$AK,15,FALSE),"")</f>
      </c>
      <c r="J454" s="57">
        <f>IFERROR(VLOOKUP($A:$A,CS!$A:$AK,18,FALSE),"")</f>
      </c>
      <c r="K454" s="57">
        <f>IFERROR(VLOOKUP($A:$A,CS!$A:$AK,19,FALSE),"")</f>
      </c>
      <c r="L454" s="57">
        <f>IFERROR(VLOOKUP($A:$A,CS!$A:$AK,20,FALSE),"")</f>
      </c>
      <c r="M454" s="57">
        <f>IFERROR(VLOOKUP($A:$A,CS!$A:$AK,22,FALSE),"")</f>
      </c>
      <c r="N454" s="57">
        <f>IFERROR(VLOOKUP($A:$A,CS!$A:$AK,19,FALSE),"")</f>
      </c>
      <c r="O454" s="57">
        <f>IFERROR(VLOOKUP($A:$A,CS!$A:$AK,23,FALSE),"")</f>
      </c>
      <c r="P454" s="57">
        <f>IFERROR(VLOOKUP($A:$A,CS!$A:$AK,24,FALSE),"")</f>
      </c>
      <c r="Q454" s="57">
        <f>IFERROR(VLOOKUP($A:$A,CS!$A:$AK,25,FALSE),"")</f>
      </c>
      <c r="R454" s="57">
        <f>IFERROR(VLOOKUP($A:$A,CS!$A:$AK,26,FALSE),"")</f>
      </c>
      <c r="S454" s="57">
        <f>IFERROR(VLOOKUP($A:$A,CS!$A:$AK,29,FALSE),"")</f>
      </c>
      <c r="T454" s="57">
        <f>IFERROR(VLOOKUP($A:$A,CS!$A:$AK,33,FALSE),"")</f>
      </c>
      <c r="U454" s="57">
        <f>IFERROR(VLOOKUP($A:$A,CS!$A:$AK,34,FALSE),"")</f>
      </c>
      <c r="V454" s="57">
        <f>IFERROR(VLOOKUP($A:$A,CS!$A:$AK,35,FALSE),"")</f>
      </c>
      <c r="W454" s="57">
        <f>IFERROR(VLOOKUP($A:$A,CS!$A:$AK,36,FALSE),"")</f>
      </c>
    </row>
    <row r="455" ht="16.5" customHeight="1" spans="1:23" x14ac:dyDescent="0.25">
      <c r="A455" s="71"/>
      <c r="B455" s="57">
        <f>IFERROR(VLOOKUP($A:$A,CS!$A:$AK,3,FALSE),"")</f>
      </c>
      <c r="C455" s="57">
        <f>IFERROR(VLOOKUP($A:$A,CS!$A:$AK,4,FALSE),"")</f>
      </c>
      <c r="D455" s="57">
        <f>IFERROR(VLOOKUP($A:$A,CS!$A:$AK,5,FALSE),"")</f>
      </c>
      <c r="E455" s="57">
        <f>IFERROR(VLOOKUP($A:$A,CS!$A:$AK,7,FALSE),"")</f>
      </c>
      <c r="F455" s="57">
        <f>IFERROR(VLOOKUP($A:$A,CS!$A:$AK,8,FALSE),"")</f>
      </c>
      <c r="G455" s="57">
        <f>IFERROR(VLOOKUP($A:$A,CS!$A:$AK,10,FALSE),"")</f>
      </c>
      <c r="H455" s="57">
        <f>IFERROR(VLOOKUP($A:$A,CS!$A:$AK,14,FALSE),"")</f>
      </c>
      <c r="I455" s="57">
        <f>IFERROR(VLOOKUP($A:$A,CS!$A:$AK,15,FALSE),"")</f>
      </c>
      <c r="J455" s="57">
        <f>IFERROR(VLOOKUP($A:$A,CS!$A:$AK,18,FALSE),"")</f>
      </c>
      <c r="K455" s="57">
        <f>IFERROR(VLOOKUP($A:$A,CS!$A:$AK,19,FALSE),"")</f>
      </c>
      <c r="L455" s="57">
        <f>IFERROR(VLOOKUP($A:$A,CS!$A:$AK,20,FALSE),"")</f>
      </c>
      <c r="M455" s="57">
        <f>IFERROR(VLOOKUP($A:$A,CS!$A:$AK,22,FALSE),"")</f>
      </c>
      <c r="N455" s="57">
        <f>IFERROR(VLOOKUP($A:$A,CS!$A:$AK,19,FALSE),"")</f>
      </c>
      <c r="O455" s="57">
        <f>IFERROR(VLOOKUP($A:$A,CS!$A:$AK,23,FALSE),"")</f>
      </c>
      <c r="P455" s="57">
        <f>IFERROR(VLOOKUP($A:$A,CS!$A:$AK,24,FALSE),"")</f>
      </c>
      <c r="Q455" s="57">
        <f>IFERROR(VLOOKUP($A:$A,CS!$A:$AK,25,FALSE),"")</f>
      </c>
      <c r="R455" s="57">
        <f>IFERROR(VLOOKUP($A:$A,CS!$A:$AK,26,FALSE),"")</f>
      </c>
      <c r="S455" s="57">
        <f>IFERROR(VLOOKUP($A:$A,CS!$A:$AK,29,FALSE),"")</f>
      </c>
      <c r="T455" s="57">
        <f>IFERROR(VLOOKUP($A:$A,CS!$A:$AK,33,FALSE),"")</f>
      </c>
      <c r="U455" s="57">
        <f>IFERROR(VLOOKUP($A:$A,CS!$A:$AK,34,FALSE),"")</f>
      </c>
      <c r="V455" s="57">
        <f>IFERROR(VLOOKUP($A:$A,CS!$A:$AK,35,FALSE),"")</f>
      </c>
      <c r="W455" s="57">
        <f>IFERROR(VLOOKUP($A:$A,CS!$A:$AK,36,FALSE),"")</f>
      </c>
    </row>
    <row r="456" ht="16.5" customHeight="1" spans="1:23" x14ac:dyDescent="0.25">
      <c r="A456" s="71"/>
      <c r="B456" s="57">
        <f>IFERROR(VLOOKUP($A:$A,CS!$A:$AK,3,FALSE),"")</f>
      </c>
      <c r="C456" s="57">
        <f>IFERROR(VLOOKUP($A:$A,CS!$A:$AK,4,FALSE),"")</f>
      </c>
      <c r="D456" s="57">
        <f>IFERROR(VLOOKUP($A:$A,CS!$A:$AK,5,FALSE),"")</f>
      </c>
      <c r="E456" s="57">
        <f>IFERROR(VLOOKUP($A:$A,CS!$A:$AK,7,FALSE),"")</f>
      </c>
      <c r="F456" s="57">
        <f>IFERROR(VLOOKUP($A:$A,CS!$A:$AK,8,FALSE),"")</f>
      </c>
      <c r="G456" s="57">
        <f>IFERROR(VLOOKUP($A:$A,CS!$A:$AK,10,FALSE),"")</f>
      </c>
      <c r="H456" s="57">
        <f>IFERROR(VLOOKUP($A:$A,CS!$A:$AK,14,FALSE),"")</f>
      </c>
      <c r="I456" s="57">
        <f>IFERROR(VLOOKUP($A:$A,CS!$A:$AK,15,FALSE),"")</f>
      </c>
      <c r="J456" s="57">
        <f>IFERROR(VLOOKUP($A:$A,CS!$A:$AK,18,FALSE),"")</f>
      </c>
      <c r="K456" s="57">
        <f>IFERROR(VLOOKUP($A:$A,CS!$A:$AK,19,FALSE),"")</f>
      </c>
      <c r="L456" s="57">
        <f>IFERROR(VLOOKUP($A:$A,CS!$A:$AK,20,FALSE),"")</f>
      </c>
      <c r="M456" s="57">
        <f>IFERROR(VLOOKUP($A:$A,CS!$A:$AK,22,FALSE),"")</f>
      </c>
      <c r="N456" s="57">
        <f>IFERROR(VLOOKUP($A:$A,CS!$A:$AK,19,FALSE),"")</f>
      </c>
      <c r="O456" s="57">
        <f>IFERROR(VLOOKUP($A:$A,CS!$A:$AK,23,FALSE),"")</f>
      </c>
      <c r="P456" s="57">
        <f>IFERROR(VLOOKUP($A:$A,CS!$A:$AK,24,FALSE),"")</f>
      </c>
      <c r="Q456" s="57">
        <f>IFERROR(VLOOKUP($A:$A,CS!$A:$AK,25,FALSE),"")</f>
      </c>
      <c r="R456" s="57">
        <f>IFERROR(VLOOKUP($A:$A,CS!$A:$AK,26,FALSE),"")</f>
      </c>
      <c r="S456" s="57">
        <f>IFERROR(VLOOKUP($A:$A,CS!$A:$AK,29,FALSE),"")</f>
      </c>
      <c r="T456" s="57">
        <f>IFERROR(VLOOKUP($A:$A,CS!$A:$AK,33,FALSE),"")</f>
      </c>
      <c r="U456" s="57">
        <f>IFERROR(VLOOKUP($A:$A,CS!$A:$AK,34,FALSE),"")</f>
      </c>
      <c r="V456" s="57">
        <f>IFERROR(VLOOKUP($A:$A,CS!$A:$AK,35,FALSE),"")</f>
      </c>
      <c r="W456" s="57">
        <f>IFERROR(VLOOKUP($A:$A,CS!$A:$AK,36,FALSE),"")</f>
      </c>
    </row>
    <row r="457" ht="16.5" customHeight="1" spans="1:23" x14ac:dyDescent="0.25">
      <c r="A457" s="71"/>
      <c r="B457" s="57">
        <f>IFERROR(VLOOKUP($A:$A,CS!$A:$AK,3,FALSE),"")</f>
      </c>
      <c r="C457" s="57">
        <f>IFERROR(VLOOKUP($A:$A,CS!$A:$AK,4,FALSE),"")</f>
      </c>
      <c r="D457" s="57">
        <f>IFERROR(VLOOKUP($A:$A,CS!$A:$AK,5,FALSE),"")</f>
      </c>
      <c r="E457" s="57">
        <f>IFERROR(VLOOKUP($A:$A,CS!$A:$AK,7,FALSE),"")</f>
      </c>
      <c r="F457" s="57">
        <f>IFERROR(VLOOKUP($A:$A,CS!$A:$AK,8,FALSE),"")</f>
      </c>
      <c r="G457" s="57">
        <f>IFERROR(VLOOKUP($A:$A,CS!$A:$AK,10,FALSE),"")</f>
      </c>
      <c r="H457" s="57">
        <f>IFERROR(VLOOKUP($A:$A,CS!$A:$AK,14,FALSE),"")</f>
      </c>
      <c r="I457" s="57">
        <f>IFERROR(VLOOKUP($A:$A,CS!$A:$AK,15,FALSE),"")</f>
      </c>
      <c r="J457" s="57">
        <f>IFERROR(VLOOKUP($A:$A,CS!$A:$AK,18,FALSE),"")</f>
      </c>
      <c r="K457" s="57">
        <f>IFERROR(VLOOKUP($A:$A,CS!$A:$AK,19,FALSE),"")</f>
      </c>
      <c r="L457" s="57">
        <f>IFERROR(VLOOKUP($A:$A,CS!$A:$AK,20,FALSE),"")</f>
      </c>
      <c r="M457" s="57">
        <f>IFERROR(VLOOKUP($A:$A,CS!$A:$AK,22,FALSE),"")</f>
      </c>
      <c r="N457" s="57">
        <f>IFERROR(VLOOKUP($A:$A,CS!$A:$AK,19,FALSE),"")</f>
      </c>
      <c r="O457" s="57">
        <f>IFERROR(VLOOKUP($A:$A,CS!$A:$AK,23,FALSE),"")</f>
      </c>
      <c r="P457" s="57">
        <f>IFERROR(VLOOKUP($A:$A,CS!$A:$AK,24,FALSE),"")</f>
      </c>
      <c r="Q457" s="57">
        <f>IFERROR(VLOOKUP($A:$A,CS!$A:$AK,25,FALSE),"")</f>
      </c>
      <c r="R457" s="57">
        <f>IFERROR(VLOOKUP($A:$A,CS!$A:$AK,26,FALSE),"")</f>
      </c>
      <c r="S457" s="57">
        <f>IFERROR(VLOOKUP($A:$A,CS!$A:$AK,29,FALSE),"")</f>
      </c>
      <c r="T457" s="57">
        <f>IFERROR(VLOOKUP($A:$A,CS!$A:$AK,33,FALSE),"")</f>
      </c>
      <c r="U457" s="57">
        <f>IFERROR(VLOOKUP($A:$A,CS!$A:$AK,34,FALSE),"")</f>
      </c>
      <c r="V457" s="57">
        <f>IFERROR(VLOOKUP($A:$A,CS!$A:$AK,35,FALSE),"")</f>
      </c>
      <c r="W457" s="57">
        <f>IFERROR(VLOOKUP($A:$A,CS!$A:$AK,36,FALSE),"")</f>
      </c>
    </row>
    <row r="458" ht="16.5" customHeight="1" spans="1:23" x14ac:dyDescent="0.25">
      <c r="A458" s="71"/>
      <c r="B458" s="57">
        <f>IFERROR(VLOOKUP($A:$A,CS!$A:$AK,3,FALSE),"")</f>
      </c>
      <c r="C458" s="57">
        <f>IFERROR(VLOOKUP($A:$A,CS!$A:$AK,4,FALSE),"")</f>
      </c>
      <c r="D458" s="57">
        <f>IFERROR(VLOOKUP($A:$A,CS!$A:$AK,5,FALSE),"")</f>
      </c>
      <c r="E458" s="57">
        <f>IFERROR(VLOOKUP($A:$A,CS!$A:$AK,7,FALSE),"")</f>
      </c>
      <c r="F458" s="57">
        <f>IFERROR(VLOOKUP($A:$A,CS!$A:$AK,8,FALSE),"")</f>
      </c>
      <c r="G458" s="57">
        <f>IFERROR(VLOOKUP($A:$A,CS!$A:$AK,10,FALSE),"")</f>
      </c>
      <c r="H458" s="57">
        <f>IFERROR(VLOOKUP($A:$A,CS!$A:$AK,14,FALSE),"")</f>
      </c>
      <c r="I458" s="57">
        <f>IFERROR(VLOOKUP($A:$A,CS!$A:$AK,15,FALSE),"")</f>
      </c>
      <c r="J458" s="57">
        <f>IFERROR(VLOOKUP($A:$A,CS!$A:$AK,18,FALSE),"")</f>
      </c>
      <c r="K458" s="57">
        <f>IFERROR(VLOOKUP($A:$A,CS!$A:$AK,19,FALSE),"")</f>
      </c>
      <c r="L458" s="57">
        <f>IFERROR(VLOOKUP($A:$A,CS!$A:$AK,20,FALSE),"")</f>
      </c>
      <c r="M458" s="57">
        <f>IFERROR(VLOOKUP($A:$A,CS!$A:$AK,22,FALSE),"")</f>
      </c>
      <c r="N458" s="57">
        <f>IFERROR(VLOOKUP($A:$A,CS!$A:$AK,19,FALSE),"")</f>
      </c>
      <c r="O458" s="57">
        <f>IFERROR(VLOOKUP($A:$A,CS!$A:$AK,23,FALSE),"")</f>
      </c>
      <c r="P458" s="57">
        <f>IFERROR(VLOOKUP($A:$A,CS!$A:$AK,24,FALSE),"")</f>
      </c>
      <c r="Q458" s="57">
        <f>IFERROR(VLOOKUP($A:$A,CS!$A:$AK,25,FALSE),"")</f>
      </c>
      <c r="R458" s="57">
        <f>IFERROR(VLOOKUP($A:$A,CS!$A:$AK,26,FALSE),"")</f>
      </c>
      <c r="S458" s="57">
        <f>IFERROR(VLOOKUP($A:$A,CS!$A:$AK,29,FALSE),"")</f>
      </c>
      <c r="T458" s="57">
        <f>IFERROR(VLOOKUP($A:$A,CS!$A:$AK,33,FALSE),"")</f>
      </c>
      <c r="U458" s="57">
        <f>IFERROR(VLOOKUP($A:$A,CS!$A:$AK,34,FALSE),"")</f>
      </c>
      <c r="V458" s="57">
        <f>IFERROR(VLOOKUP($A:$A,CS!$A:$AK,35,FALSE),"")</f>
      </c>
      <c r="W458" s="57">
        <f>IFERROR(VLOOKUP($A:$A,CS!$A:$AK,36,FALSE),"")</f>
      </c>
    </row>
    <row r="459" ht="16.5" customHeight="1" spans="1:23" x14ac:dyDescent="0.25">
      <c r="A459" s="71"/>
      <c r="B459" s="57">
        <f>IFERROR(VLOOKUP($A:$A,CS!$A:$AK,3,FALSE),"")</f>
      </c>
      <c r="C459" s="57">
        <f>IFERROR(VLOOKUP($A:$A,CS!$A:$AK,4,FALSE),"")</f>
      </c>
      <c r="D459" s="57">
        <f>IFERROR(VLOOKUP($A:$A,CS!$A:$AK,5,FALSE),"")</f>
      </c>
      <c r="E459" s="57">
        <f>IFERROR(VLOOKUP($A:$A,CS!$A:$AK,7,FALSE),"")</f>
      </c>
      <c r="F459" s="57">
        <f>IFERROR(VLOOKUP($A:$A,CS!$A:$AK,8,FALSE),"")</f>
      </c>
      <c r="G459" s="57">
        <f>IFERROR(VLOOKUP($A:$A,CS!$A:$AK,10,FALSE),"")</f>
      </c>
      <c r="H459" s="57">
        <f>IFERROR(VLOOKUP($A:$A,CS!$A:$AK,14,FALSE),"")</f>
      </c>
      <c r="I459" s="57">
        <f>IFERROR(VLOOKUP($A:$A,CS!$A:$AK,15,FALSE),"")</f>
      </c>
      <c r="J459" s="57">
        <f>IFERROR(VLOOKUP($A:$A,CS!$A:$AK,18,FALSE),"")</f>
      </c>
      <c r="K459" s="57">
        <f>IFERROR(VLOOKUP($A:$A,CS!$A:$AK,19,FALSE),"")</f>
      </c>
      <c r="L459" s="57">
        <f>IFERROR(VLOOKUP($A:$A,CS!$A:$AK,20,FALSE),"")</f>
      </c>
      <c r="M459" s="57">
        <f>IFERROR(VLOOKUP($A:$A,CS!$A:$AK,22,FALSE),"")</f>
      </c>
      <c r="N459" s="57">
        <f>IFERROR(VLOOKUP($A:$A,CS!$A:$AK,19,FALSE),"")</f>
      </c>
      <c r="O459" s="57">
        <f>IFERROR(VLOOKUP($A:$A,CS!$A:$AK,23,FALSE),"")</f>
      </c>
      <c r="P459" s="57">
        <f>IFERROR(VLOOKUP($A:$A,CS!$A:$AK,24,FALSE),"")</f>
      </c>
      <c r="Q459" s="57">
        <f>IFERROR(VLOOKUP($A:$A,CS!$A:$AK,25,FALSE),"")</f>
      </c>
      <c r="R459" s="57">
        <f>IFERROR(VLOOKUP($A:$A,CS!$A:$AK,26,FALSE),"")</f>
      </c>
      <c r="S459" s="57">
        <f>IFERROR(VLOOKUP($A:$A,CS!$A:$AK,29,FALSE),"")</f>
      </c>
      <c r="T459" s="57">
        <f>IFERROR(VLOOKUP($A:$A,CS!$A:$AK,33,FALSE),"")</f>
      </c>
      <c r="U459" s="57">
        <f>IFERROR(VLOOKUP($A:$A,CS!$A:$AK,34,FALSE),"")</f>
      </c>
      <c r="V459" s="57">
        <f>IFERROR(VLOOKUP($A:$A,CS!$A:$AK,35,FALSE),"")</f>
      </c>
      <c r="W459" s="57">
        <f>IFERROR(VLOOKUP($A:$A,CS!$A:$AK,36,FALSE),"")</f>
      </c>
    </row>
    <row r="460" ht="16.5" customHeight="1" spans="1:23" x14ac:dyDescent="0.25">
      <c r="A460" s="71"/>
      <c r="B460" s="57">
        <f>IFERROR(VLOOKUP($A:$A,CS!$A:$AK,3,FALSE),"")</f>
      </c>
      <c r="C460" s="57">
        <f>IFERROR(VLOOKUP($A:$A,CS!$A:$AK,4,FALSE),"")</f>
      </c>
      <c r="D460" s="57">
        <f>IFERROR(VLOOKUP($A:$A,CS!$A:$AK,5,FALSE),"")</f>
      </c>
      <c r="E460" s="57">
        <f>IFERROR(VLOOKUP($A:$A,CS!$A:$AK,7,FALSE),"")</f>
      </c>
      <c r="F460" s="57">
        <f>IFERROR(VLOOKUP($A:$A,CS!$A:$AK,8,FALSE),"")</f>
      </c>
      <c r="G460" s="57">
        <f>IFERROR(VLOOKUP($A:$A,CS!$A:$AK,10,FALSE),"")</f>
      </c>
      <c r="H460" s="57">
        <f>IFERROR(VLOOKUP($A:$A,CS!$A:$AK,14,FALSE),"")</f>
      </c>
      <c r="I460" s="57">
        <f>IFERROR(VLOOKUP($A:$A,CS!$A:$AK,15,FALSE),"")</f>
      </c>
      <c r="J460" s="57">
        <f>IFERROR(VLOOKUP($A:$A,CS!$A:$AK,18,FALSE),"")</f>
      </c>
      <c r="K460" s="57">
        <f>IFERROR(VLOOKUP($A:$A,CS!$A:$AK,19,FALSE),"")</f>
      </c>
      <c r="L460" s="57">
        <f>IFERROR(VLOOKUP($A:$A,CS!$A:$AK,20,FALSE),"")</f>
      </c>
      <c r="M460" s="57">
        <f>IFERROR(VLOOKUP($A:$A,CS!$A:$AK,22,FALSE),"")</f>
      </c>
      <c r="N460" s="57">
        <f>IFERROR(VLOOKUP($A:$A,CS!$A:$AK,19,FALSE),"")</f>
      </c>
      <c r="O460" s="57">
        <f>IFERROR(VLOOKUP($A:$A,CS!$A:$AK,23,FALSE),"")</f>
      </c>
      <c r="P460" s="57">
        <f>IFERROR(VLOOKUP($A:$A,CS!$A:$AK,24,FALSE),"")</f>
      </c>
      <c r="Q460" s="57">
        <f>IFERROR(VLOOKUP($A:$A,CS!$A:$AK,25,FALSE),"")</f>
      </c>
      <c r="R460" s="57">
        <f>IFERROR(VLOOKUP($A:$A,CS!$A:$AK,26,FALSE),"")</f>
      </c>
      <c r="S460" s="57">
        <f>IFERROR(VLOOKUP($A:$A,CS!$A:$AK,29,FALSE),"")</f>
      </c>
      <c r="T460" s="57">
        <f>IFERROR(VLOOKUP($A:$A,CS!$A:$AK,33,FALSE),"")</f>
      </c>
      <c r="U460" s="57">
        <f>IFERROR(VLOOKUP($A:$A,CS!$A:$AK,34,FALSE),"")</f>
      </c>
      <c r="V460" s="57">
        <f>IFERROR(VLOOKUP($A:$A,CS!$A:$AK,35,FALSE),"")</f>
      </c>
      <c r="W460" s="57">
        <f>IFERROR(VLOOKUP($A:$A,CS!$A:$AK,36,FALSE),"")</f>
      </c>
    </row>
    <row r="461" ht="16.5" customHeight="1" spans="1:23" x14ac:dyDescent="0.25">
      <c r="A461" s="71"/>
      <c r="B461" s="57">
        <f>IFERROR(VLOOKUP($A:$A,CS!$A:$AK,3,FALSE),"")</f>
      </c>
      <c r="C461" s="57">
        <f>IFERROR(VLOOKUP($A:$A,CS!$A:$AK,4,FALSE),"")</f>
      </c>
      <c r="D461" s="57">
        <f>IFERROR(VLOOKUP($A:$A,CS!$A:$AK,5,FALSE),"")</f>
      </c>
      <c r="E461" s="57">
        <f>IFERROR(VLOOKUP($A:$A,CS!$A:$AK,7,FALSE),"")</f>
      </c>
      <c r="F461" s="57">
        <f>IFERROR(VLOOKUP($A:$A,CS!$A:$AK,8,FALSE),"")</f>
      </c>
      <c r="G461" s="57">
        <f>IFERROR(VLOOKUP($A:$A,CS!$A:$AK,10,FALSE),"")</f>
      </c>
      <c r="H461" s="57">
        <f>IFERROR(VLOOKUP($A:$A,CS!$A:$AK,14,FALSE),"")</f>
      </c>
      <c r="I461" s="57">
        <f>IFERROR(VLOOKUP($A:$A,CS!$A:$AK,15,FALSE),"")</f>
      </c>
      <c r="J461" s="57">
        <f>IFERROR(VLOOKUP($A:$A,CS!$A:$AK,18,FALSE),"")</f>
      </c>
      <c r="K461" s="57">
        <f>IFERROR(VLOOKUP($A:$A,CS!$A:$AK,19,FALSE),"")</f>
      </c>
      <c r="L461" s="57">
        <f>IFERROR(VLOOKUP($A:$A,CS!$A:$AK,20,FALSE),"")</f>
      </c>
      <c r="M461" s="57">
        <f>IFERROR(VLOOKUP($A:$A,CS!$A:$AK,22,FALSE),"")</f>
      </c>
      <c r="N461" s="57">
        <f>IFERROR(VLOOKUP($A:$A,CS!$A:$AK,19,FALSE),"")</f>
      </c>
      <c r="O461" s="57">
        <f>IFERROR(VLOOKUP($A:$A,CS!$A:$AK,23,FALSE),"")</f>
      </c>
      <c r="P461" s="57">
        <f>IFERROR(VLOOKUP($A:$A,CS!$A:$AK,24,FALSE),"")</f>
      </c>
      <c r="Q461" s="57">
        <f>IFERROR(VLOOKUP($A:$A,CS!$A:$AK,25,FALSE),"")</f>
      </c>
      <c r="R461" s="57">
        <f>IFERROR(VLOOKUP($A:$A,CS!$A:$AK,26,FALSE),"")</f>
      </c>
      <c r="S461" s="57">
        <f>IFERROR(VLOOKUP($A:$A,CS!$A:$AK,29,FALSE),"")</f>
      </c>
      <c r="T461" s="57">
        <f>IFERROR(VLOOKUP($A:$A,CS!$A:$AK,33,FALSE),"")</f>
      </c>
      <c r="U461" s="57">
        <f>IFERROR(VLOOKUP($A:$A,CS!$A:$AK,34,FALSE),"")</f>
      </c>
      <c r="V461" s="57">
        <f>IFERROR(VLOOKUP($A:$A,CS!$A:$AK,35,FALSE),"")</f>
      </c>
      <c r="W461" s="57">
        <f>IFERROR(VLOOKUP($A:$A,CS!$A:$AK,36,FALSE),"")</f>
      </c>
    </row>
    <row r="462" ht="16.5" customHeight="1" spans="1:23" x14ac:dyDescent="0.25">
      <c r="A462" s="71"/>
      <c r="B462" s="57">
        <f>IFERROR(VLOOKUP($A:$A,CS!$A:$AK,3,FALSE),"")</f>
      </c>
      <c r="C462" s="57">
        <f>IFERROR(VLOOKUP($A:$A,CS!$A:$AK,4,FALSE),"")</f>
      </c>
      <c r="D462" s="57">
        <f>IFERROR(VLOOKUP($A:$A,CS!$A:$AK,5,FALSE),"")</f>
      </c>
      <c r="E462" s="57">
        <f>IFERROR(VLOOKUP($A:$A,CS!$A:$AK,7,FALSE),"")</f>
      </c>
      <c r="F462" s="57">
        <f>IFERROR(VLOOKUP($A:$A,CS!$A:$AK,8,FALSE),"")</f>
      </c>
      <c r="G462" s="57">
        <f>IFERROR(VLOOKUP($A:$A,CS!$A:$AK,10,FALSE),"")</f>
      </c>
      <c r="H462" s="57">
        <f>IFERROR(VLOOKUP($A:$A,CS!$A:$AK,14,FALSE),"")</f>
      </c>
      <c r="I462" s="57">
        <f>IFERROR(VLOOKUP($A:$A,CS!$A:$AK,15,FALSE),"")</f>
      </c>
      <c r="J462" s="57">
        <f>IFERROR(VLOOKUP($A:$A,CS!$A:$AK,18,FALSE),"")</f>
      </c>
      <c r="K462" s="57">
        <f>IFERROR(VLOOKUP($A:$A,CS!$A:$AK,19,FALSE),"")</f>
      </c>
      <c r="L462" s="57">
        <f>IFERROR(VLOOKUP($A:$A,CS!$A:$AK,20,FALSE),"")</f>
      </c>
      <c r="M462" s="57">
        <f>IFERROR(VLOOKUP($A:$A,CS!$A:$AK,22,FALSE),"")</f>
      </c>
      <c r="N462" s="57">
        <f>IFERROR(VLOOKUP($A:$A,CS!$A:$AK,19,FALSE),"")</f>
      </c>
      <c r="O462" s="57">
        <f>IFERROR(VLOOKUP($A:$A,CS!$A:$AK,23,FALSE),"")</f>
      </c>
      <c r="P462" s="57">
        <f>IFERROR(VLOOKUP($A:$A,CS!$A:$AK,24,FALSE),"")</f>
      </c>
      <c r="Q462" s="57">
        <f>IFERROR(VLOOKUP($A:$A,CS!$A:$AK,25,FALSE),"")</f>
      </c>
      <c r="R462" s="57">
        <f>IFERROR(VLOOKUP($A:$A,CS!$A:$AK,26,FALSE),"")</f>
      </c>
      <c r="S462" s="57">
        <f>IFERROR(VLOOKUP($A:$A,CS!$A:$AK,29,FALSE),"")</f>
      </c>
      <c r="T462" s="57">
        <f>IFERROR(VLOOKUP($A:$A,CS!$A:$AK,33,FALSE),"")</f>
      </c>
      <c r="U462" s="57">
        <f>IFERROR(VLOOKUP($A:$A,CS!$A:$AK,34,FALSE),"")</f>
      </c>
      <c r="V462" s="57">
        <f>IFERROR(VLOOKUP($A:$A,CS!$A:$AK,35,FALSE),"")</f>
      </c>
      <c r="W462" s="57">
        <f>IFERROR(VLOOKUP($A:$A,CS!$A:$AK,36,FALSE),"")</f>
      </c>
    </row>
    <row r="463" ht="16.5" customHeight="1" spans="1:23" x14ac:dyDescent="0.25">
      <c r="A463" s="71"/>
      <c r="B463" s="57">
        <f>IFERROR(VLOOKUP($A:$A,CS!$A:$AK,3,FALSE),"")</f>
      </c>
      <c r="C463" s="57">
        <f>IFERROR(VLOOKUP($A:$A,CS!$A:$AK,4,FALSE),"")</f>
      </c>
      <c r="D463" s="57">
        <f>IFERROR(VLOOKUP($A:$A,CS!$A:$AK,5,FALSE),"")</f>
      </c>
      <c r="E463" s="57">
        <f>IFERROR(VLOOKUP($A:$A,CS!$A:$AK,7,FALSE),"")</f>
      </c>
      <c r="F463" s="57">
        <f>IFERROR(VLOOKUP($A:$A,CS!$A:$AK,8,FALSE),"")</f>
      </c>
      <c r="G463" s="57">
        <f>IFERROR(VLOOKUP($A:$A,CS!$A:$AK,10,FALSE),"")</f>
      </c>
      <c r="H463" s="57">
        <f>IFERROR(VLOOKUP($A:$A,CS!$A:$AK,14,FALSE),"")</f>
      </c>
      <c r="I463" s="57">
        <f>IFERROR(VLOOKUP($A:$A,CS!$A:$AK,15,FALSE),"")</f>
      </c>
      <c r="J463" s="57">
        <f>IFERROR(VLOOKUP($A:$A,CS!$A:$AK,18,FALSE),"")</f>
      </c>
      <c r="K463" s="57">
        <f>IFERROR(VLOOKUP($A:$A,CS!$A:$AK,19,FALSE),"")</f>
      </c>
      <c r="L463" s="57">
        <f>IFERROR(VLOOKUP($A:$A,CS!$A:$AK,20,FALSE),"")</f>
      </c>
      <c r="M463" s="57">
        <f>IFERROR(VLOOKUP($A:$A,CS!$A:$AK,22,FALSE),"")</f>
      </c>
      <c r="N463" s="57">
        <f>IFERROR(VLOOKUP($A:$A,CS!$A:$AK,19,FALSE),"")</f>
      </c>
      <c r="O463" s="57">
        <f>IFERROR(VLOOKUP($A:$A,CS!$A:$AK,23,FALSE),"")</f>
      </c>
      <c r="P463" s="57">
        <f>IFERROR(VLOOKUP($A:$A,CS!$A:$AK,24,FALSE),"")</f>
      </c>
      <c r="Q463" s="57">
        <f>IFERROR(VLOOKUP($A:$A,CS!$A:$AK,25,FALSE),"")</f>
      </c>
      <c r="R463" s="57">
        <f>IFERROR(VLOOKUP($A:$A,CS!$A:$AK,26,FALSE),"")</f>
      </c>
      <c r="S463" s="57">
        <f>IFERROR(VLOOKUP($A:$A,CS!$A:$AK,29,FALSE),"")</f>
      </c>
      <c r="T463" s="57">
        <f>IFERROR(VLOOKUP($A:$A,CS!$A:$AK,33,FALSE),"")</f>
      </c>
      <c r="U463" s="57">
        <f>IFERROR(VLOOKUP($A:$A,CS!$A:$AK,34,FALSE),"")</f>
      </c>
      <c r="V463" s="57">
        <f>IFERROR(VLOOKUP($A:$A,CS!$A:$AK,35,FALSE),"")</f>
      </c>
      <c r="W463" s="57">
        <f>IFERROR(VLOOKUP($A:$A,CS!$A:$AK,36,FALSE),"")</f>
      </c>
    </row>
    <row r="464" ht="16.5" customHeight="1" spans="1:23" x14ac:dyDescent="0.25">
      <c r="A464" s="71"/>
      <c r="B464" s="57">
        <f>IFERROR(VLOOKUP($A:$A,CS!$A:$AK,3,FALSE),"")</f>
      </c>
      <c r="C464" s="57">
        <f>IFERROR(VLOOKUP($A:$A,CS!$A:$AK,4,FALSE),"")</f>
      </c>
      <c r="D464" s="57">
        <f>IFERROR(VLOOKUP($A:$A,CS!$A:$AK,5,FALSE),"")</f>
      </c>
      <c r="E464" s="57">
        <f>IFERROR(VLOOKUP($A:$A,CS!$A:$AK,7,FALSE),"")</f>
      </c>
      <c r="F464" s="57">
        <f>IFERROR(VLOOKUP($A:$A,CS!$A:$AK,8,FALSE),"")</f>
      </c>
      <c r="G464" s="57">
        <f>IFERROR(VLOOKUP($A:$A,CS!$A:$AK,10,FALSE),"")</f>
      </c>
      <c r="H464" s="57">
        <f>IFERROR(VLOOKUP($A:$A,CS!$A:$AK,14,FALSE),"")</f>
      </c>
      <c r="I464" s="57">
        <f>IFERROR(VLOOKUP($A:$A,CS!$A:$AK,15,FALSE),"")</f>
      </c>
      <c r="J464" s="57">
        <f>IFERROR(VLOOKUP($A:$A,CS!$A:$AK,18,FALSE),"")</f>
      </c>
      <c r="K464" s="57">
        <f>IFERROR(VLOOKUP($A:$A,CS!$A:$AK,19,FALSE),"")</f>
      </c>
      <c r="L464" s="57">
        <f>IFERROR(VLOOKUP($A:$A,CS!$A:$AK,20,FALSE),"")</f>
      </c>
      <c r="M464" s="57">
        <f>IFERROR(VLOOKUP($A:$A,CS!$A:$AK,22,FALSE),"")</f>
      </c>
      <c r="N464" s="57">
        <f>IFERROR(VLOOKUP($A:$A,CS!$A:$AK,19,FALSE),"")</f>
      </c>
      <c r="O464" s="57">
        <f>IFERROR(VLOOKUP($A:$A,CS!$A:$AK,23,FALSE),"")</f>
      </c>
      <c r="P464" s="57">
        <f>IFERROR(VLOOKUP($A:$A,CS!$A:$AK,24,FALSE),"")</f>
      </c>
      <c r="Q464" s="57">
        <f>IFERROR(VLOOKUP($A:$A,CS!$A:$AK,25,FALSE),"")</f>
      </c>
      <c r="R464" s="57">
        <f>IFERROR(VLOOKUP($A:$A,CS!$A:$AK,26,FALSE),"")</f>
      </c>
      <c r="S464" s="57">
        <f>IFERROR(VLOOKUP($A:$A,CS!$A:$AK,29,FALSE),"")</f>
      </c>
      <c r="T464" s="57">
        <f>IFERROR(VLOOKUP($A:$A,CS!$A:$AK,33,FALSE),"")</f>
      </c>
      <c r="U464" s="57">
        <f>IFERROR(VLOOKUP($A:$A,CS!$A:$AK,34,FALSE),"")</f>
      </c>
      <c r="V464" s="57">
        <f>IFERROR(VLOOKUP($A:$A,CS!$A:$AK,35,FALSE),"")</f>
      </c>
      <c r="W464" s="57">
        <f>IFERROR(VLOOKUP($A:$A,CS!$A:$AK,36,FALSE),"")</f>
      </c>
    </row>
    <row r="465" ht="16.5" customHeight="1" spans="1:23" x14ac:dyDescent="0.25">
      <c r="A465" s="71"/>
      <c r="B465" s="57">
        <f>IFERROR(VLOOKUP($A:$A,CS!$A:$AK,3,FALSE),"")</f>
      </c>
      <c r="C465" s="57">
        <f>IFERROR(VLOOKUP($A:$A,CS!$A:$AK,4,FALSE),"")</f>
      </c>
      <c r="D465" s="57">
        <f>IFERROR(VLOOKUP($A:$A,CS!$A:$AK,5,FALSE),"")</f>
      </c>
      <c r="E465" s="57">
        <f>IFERROR(VLOOKUP($A:$A,CS!$A:$AK,7,FALSE),"")</f>
      </c>
      <c r="F465" s="57">
        <f>IFERROR(VLOOKUP($A:$A,CS!$A:$AK,8,FALSE),"")</f>
      </c>
      <c r="G465" s="57">
        <f>IFERROR(VLOOKUP($A:$A,CS!$A:$AK,10,FALSE),"")</f>
      </c>
      <c r="H465" s="57">
        <f>IFERROR(VLOOKUP($A:$A,CS!$A:$AK,14,FALSE),"")</f>
      </c>
      <c r="I465" s="57">
        <f>IFERROR(VLOOKUP($A:$A,CS!$A:$AK,15,FALSE),"")</f>
      </c>
      <c r="J465" s="57">
        <f>IFERROR(VLOOKUP($A:$A,CS!$A:$AK,18,FALSE),"")</f>
      </c>
      <c r="K465" s="57">
        <f>IFERROR(VLOOKUP($A:$A,CS!$A:$AK,19,FALSE),"")</f>
      </c>
      <c r="L465" s="57">
        <f>IFERROR(VLOOKUP($A:$A,CS!$A:$AK,20,FALSE),"")</f>
      </c>
      <c r="M465" s="57">
        <f>IFERROR(VLOOKUP($A:$A,CS!$A:$AK,22,FALSE),"")</f>
      </c>
      <c r="N465" s="57">
        <f>IFERROR(VLOOKUP($A:$A,CS!$A:$AK,19,FALSE),"")</f>
      </c>
      <c r="O465" s="57">
        <f>IFERROR(VLOOKUP($A:$A,CS!$A:$AK,23,FALSE),"")</f>
      </c>
      <c r="P465" s="57">
        <f>IFERROR(VLOOKUP($A:$A,CS!$A:$AK,24,FALSE),"")</f>
      </c>
      <c r="Q465" s="57">
        <f>IFERROR(VLOOKUP($A:$A,CS!$A:$AK,25,FALSE),"")</f>
      </c>
      <c r="R465" s="57">
        <f>IFERROR(VLOOKUP($A:$A,CS!$A:$AK,26,FALSE),"")</f>
      </c>
      <c r="S465" s="57">
        <f>IFERROR(VLOOKUP($A:$A,CS!$A:$AK,29,FALSE),"")</f>
      </c>
      <c r="T465" s="57">
        <f>IFERROR(VLOOKUP($A:$A,CS!$A:$AK,33,FALSE),"")</f>
      </c>
      <c r="U465" s="57">
        <f>IFERROR(VLOOKUP($A:$A,CS!$A:$AK,34,FALSE),"")</f>
      </c>
      <c r="V465" s="57">
        <f>IFERROR(VLOOKUP($A:$A,CS!$A:$AK,35,FALSE),"")</f>
      </c>
      <c r="W465" s="57">
        <f>IFERROR(VLOOKUP($A:$A,CS!$A:$AK,36,FALSE),"")</f>
      </c>
    </row>
    <row r="466" ht="16.5" customHeight="1" spans="1:23" x14ac:dyDescent="0.25">
      <c r="A466" s="71"/>
      <c r="B466" s="57">
        <f>IFERROR(VLOOKUP($A:$A,CS!$A:$AK,3,FALSE),"")</f>
      </c>
      <c r="C466" s="57">
        <f>IFERROR(VLOOKUP($A:$A,CS!$A:$AK,4,FALSE),"")</f>
      </c>
      <c r="D466" s="57">
        <f>IFERROR(VLOOKUP($A:$A,CS!$A:$AK,5,FALSE),"")</f>
      </c>
      <c r="E466" s="57">
        <f>IFERROR(VLOOKUP($A:$A,CS!$A:$AK,7,FALSE),"")</f>
      </c>
      <c r="F466" s="57">
        <f>IFERROR(VLOOKUP($A:$A,CS!$A:$AK,8,FALSE),"")</f>
      </c>
      <c r="G466" s="57">
        <f>IFERROR(VLOOKUP($A:$A,CS!$A:$AK,10,FALSE),"")</f>
      </c>
      <c r="H466" s="57">
        <f>IFERROR(VLOOKUP($A:$A,CS!$A:$AK,14,FALSE),"")</f>
      </c>
      <c r="I466" s="57">
        <f>IFERROR(VLOOKUP($A:$A,CS!$A:$AK,15,FALSE),"")</f>
      </c>
      <c r="J466" s="57">
        <f>IFERROR(VLOOKUP($A:$A,CS!$A:$AK,18,FALSE),"")</f>
      </c>
      <c r="K466" s="57">
        <f>IFERROR(VLOOKUP($A:$A,CS!$A:$AK,19,FALSE),"")</f>
      </c>
      <c r="L466" s="57">
        <f>IFERROR(VLOOKUP($A:$A,CS!$A:$AK,20,FALSE),"")</f>
      </c>
      <c r="M466" s="57">
        <f>IFERROR(VLOOKUP($A:$A,CS!$A:$AK,22,FALSE),"")</f>
      </c>
      <c r="N466" s="57">
        <f>IFERROR(VLOOKUP($A:$A,CS!$A:$AK,19,FALSE),"")</f>
      </c>
      <c r="O466" s="57">
        <f>IFERROR(VLOOKUP($A:$A,CS!$A:$AK,23,FALSE),"")</f>
      </c>
      <c r="P466" s="57">
        <f>IFERROR(VLOOKUP($A:$A,CS!$A:$AK,24,FALSE),"")</f>
      </c>
      <c r="Q466" s="57">
        <f>IFERROR(VLOOKUP($A:$A,CS!$A:$AK,25,FALSE),"")</f>
      </c>
      <c r="R466" s="57">
        <f>IFERROR(VLOOKUP($A:$A,CS!$A:$AK,26,FALSE),"")</f>
      </c>
      <c r="S466" s="57">
        <f>IFERROR(VLOOKUP($A:$A,CS!$A:$AK,29,FALSE),"")</f>
      </c>
      <c r="T466" s="57">
        <f>IFERROR(VLOOKUP($A:$A,CS!$A:$AK,33,FALSE),"")</f>
      </c>
      <c r="U466" s="57">
        <f>IFERROR(VLOOKUP($A:$A,CS!$A:$AK,34,FALSE),"")</f>
      </c>
      <c r="V466" s="57">
        <f>IFERROR(VLOOKUP($A:$A,CS!$A:$AK,35,FALSE),"")</f>
      </c>
      <c r="W466" s="57">
        <f>IFERROR(VLOOKUP($A:$A,CS!$A:$AK,36,FALSE),"")</f>
      </c>
    </row>
    <row r="467" ht="16.5" customHeight="1" spans="1:23" x14ac:dyDescent="0.25">
      <c r="A467" s="71"/>
      <c r="B467" s="57">
        <f>IFERROR(VLOOKUP($A:$A,CS!$A:$AK,3,FALSE),"")</f>
      </c>
      <c r="C467" s="57">
        <f>IFERROR(VLOOKUP($A:$A,CS!$A:$AK,4,FALSE),"")</f>
      </c>
      <c r="D467" s="57">
        <f>IFERROR(VLOOKUP($A:$A,CS!$A:$AK,5,FALSE),"")</f>
      </c>
      <c r="E467" s="57">
        <f>IFERROR(VLOOKUP($A:$A,CS!$A:$AK,7,FALSE),"")</f>
      </c>
      <c r="F467" s="57">
        <f>IFERROR(VLOOKUP($A:$A,CS!$A:$AK,8,FALSE),"")</f>
      </c>
      <c r="G467" s="57">
        <f>IFERROR(VLOOKUP($A:$A,CS!$A:$AK,10,FALSE),"")</f>
      </c>
      <c r="H467" s="57">
        <f>IFERROR(VLOOKUP($A:$A,CS!$A:$AK,14,FALSE),"")</f>
      </c>
      <c r="I467" s="57">
        <f>IFERROR(VLOOKUP($A:$A,CS!$A:$AK,15,FALSE),"")</f>
      </c>
      <c r="J467" s="57">
        <f>IFERROR(VLOOKUP($A:$A,CS!$A:$AK,18,FALSE),"")</f>
      </c>
      <c r="K467" s="57">
        <f>IFERROR(VLOOKUP($A:$A,CS!$A:$AK,19,FALSE),"")</f>
      </c>
      <c r="L467" s="57">
        <f>IFERROR(VLOOKUP($A:$A,CS!$A:$AK,20,FALSE),"")</f>
      </c>
      <c r="M467" s="57">
        <f>IFERROR(VLOOKUP($A:$A,CS!$A:$AK,22,FALSE),"")</f>
      </c>
      <c r="N467" s="57">
        <f>IFERROR(VLOOKUP($A:$A,CS!$A:$AK,19,FALSE),"")</f>
      </c>
      <c r="O467" s="57">
        <f>IFERROR(VLOOKUP($A:$A,CS!$A:$AK,23,FALSE),"")</f>
      </c>
      <c r="P467" s="57">
        <f>IFERROR(VLOOKUP($A:$A,CS!$A:$AK,24,FALSE),"")</f>
      </c>
      <c r="Q467" s="57">
        <f>IFERROR(VLOOKUP($A:$A,CS!$A:$AK,25,FALSE),"")</f>
      </c>
      <c r="R467" s="57">
        <f>IFERROR(VLOOKUP($A:$A,CS!$A:$AK,26,FALSE),"")</f>
      </c>
      <c r="S467" s="57">
        <f>IFERROR(VLOOKUP($A:$A,CS!$A:$AK,29,FALSE),"")</f>
      </c>
      <c r="T467" s="57">
        <f>IFERROR(VLOOKUP($A:$A,CS!$A:$AK,33,FALSE),"")</f>
      </c>
      <c r="U467" s="57">
        <f>IFERROR(VLOOKUP($A:$A,CS!$A:$AK,34,FALSE),"")</f>
      </c>
      <c r="V467" s="57">
        <f>IFERROR(VLOOKUP($A:$A,CS!$A:$AK,35,FALSE),"")</f>
      </c>
      <c r="W467" s="57">
        <f>IFERROR(VLOOKUP($A:$A,CS!$A:$AK,36,FALSE),"")</f>
      </c>
    </row>
    <row r="468" ht="16.5" customHeight="1" spans="1:23" x14ac:dyDescent="0.25">
      <c r="A468" s="71"/>
      <c r="B468" s="57">
        <f>IFERROR(VLOOKUP($A:$A,CS!$A:$AK,3,FALSE),"")</f>
      </c>
      <c r="C468" s="57">
        <f>IFERROR(VLOOKUP($A:$A,CS!$A:$AK,4,FALSE),"")</f>
      </c>
      <c r="D468" s="57">
        <f>IFERROR(VLOOKUP($A:$A,CS!$A:$AK,5,FALSE),"")</f>
      </c>
      <c r="E468" s="57">
        <f>IFERROR(VLOOKUP($A:$A,CS!$A:$AK,7,FALSE),"")</f>
      </c>
      <c r="F468" s="57">
        <f>IFERROR(VLOOKUP($A:$A,CS!$A:$AK,8,FALSE),"")</f>
      </c>
      <c r="G468" s="57">
        <f>IFERROR(VLOOKUP($A:$A,CS!$A:$AK,10,FALSE),"")</f>
      </c>
      <c r="H468" s="57">
        <f>IFERROR(VLOOKUP($A:$A,CS!$A:$AK,14,FALSE),"")</f>
      </c>
      <c r="I468" s="57">
        <f>IFERROR(VLOOKUP($A:$A,CS!$A:$AK,15,FALSE),"")</f>
      </c>
      <c r="J468" s="57">
        <f>IFERROR(VLOOKUP($A:$A,CS!$A:$AK,18,FALSE),"")</f>
      </c>
      <c r="K468" s="57">
        <f>IFERROR(VLOOKUP($A:$A,CS!$A:$AK,19,FALSE),"")</f>
      </c>
      <c r="L468" s="57">
        <f>IFERROR(VLOOKUP($A:$A,CS!$A:$AK,20,FALSE),"")</f>
      </c>
      <c r="M468" s="57">
        <f>IFERROR(VLOOKUP($A:$A,CS!$A:$AK,22,FALSE),"")</f>
      </c>
      <c r="N468" s="57">
        <f>IFERROR(VLOOKUP($A:$A,CS!$A:$AK,19,FALSE),"")</f>
      </c>
      <c r="O468" s="57">
        <f>IFERROR(VLOOKUP($A:$A,CS!$A:$AK,23,FALSE),"")</f>
      </c>
      <c r="P468" s="57">
        <f>IFERROR(VLOOKUP($A:$A,CS!$A:$AK,24,FALSE),"")</f>
      </c>
      <c r="Q468" s="57">
        <f>IFERROR(VLOOKUP($A:$A,CS!$A:$AK,25,FALSE),"")</f>
      </c>
      <c r="R468" s="57">
        <f>IFERROR(VLOOKUP($A:$A,CS!$A:$AK,26,FALSE),"")</f>
      </c>
      <c r="S468" s="57">
        <f>IFERROR(VLOOKUP($A:$A,CS!$A:$AK,29,FALSE),"")</f>
      </c>
      <c r="T468" s="57">
        <f>IFERROR(VLOOKUP($A:$A,CS!$A:$AK,33,FALSE),"")</f>
      </c>
      <c r="U468" s="57">
        <f>IFERROR(VLOOKUP($A:$A,CS!$A:$AK,34,FALSE),"")</f>
      </c>
      <c r="V468" s="57">
        <f>IFERROR(VLOOKUP($A:$A,CS!$A:$AK,35,FALSE),"")</f>
      </c>
      <c r="W468" s="57">
        <f>IFERROR(VLOOKUP($A:$A,CS!$A:$AK,36,FALSE),"")</f>
      </c>
    </row>
    <row r="469" ht="16.5" customHeight="1" spans="1:23" x14ac:dyDescent="0.25">
      <c r="A469" s="71"/>
      <c r="B469" s="57">
        <f>IFERROR(VLOOKUP($A:$A,CS!$A:$AK,3,FALSE),"")</f>
      </c>
      <c r="C469" s="57">
        <f>IFERROR(VLOOKUP($A:$A,CS!$A:$AK,4,FALSE),"")</f>
      </c>
      <c r="D469" s="57">
        <f>IFERROR(VLOOKUP($A:$A,CS!$A:$AK,5,FALSE),"")</f>
      </c>
      <c r="E469" s="57">
        <f>IFERROR(VLOOKUP($A:$A,CS!$A:$AK,7,FALSE),"")</f>
      </c>
      <c r="F469" s="57">
        <f>IFERROR(VLOOKUP($A:$A,CS!$A:$AK,8,FALSE),"")</f>
      </c>
      <c r="G469" s="57">
        <f>IFERROR(VLOOKUP($A:$A,CS!$A:$AK,10,FALSE),"")</f>
      </c>
      <c r="H469" s="57">
        <f>IFERROR(VLOOKUP($A:$A,CS!$A:$AK,14,FALSE),"")</f>
      </c>
      <c r="I469" s="57">
        <f>IFERROR(VLOOKUP($A:$A,CS!$A:$AK,15,FALSE),"")</f>
      </c>
      <c r="J469" s="57">
        <f>IFERROR(VLOOKUP($A:$A,CS!$A:$AK,18,FALSE),"")</f>
      </c>
      <c r="K469" s="57">
        <f>IFERROR(VLOOKUP($A:$A,CS!$A:$AK,19,FALSE),"")</f>
      </c>
      <c r="L469" s="57">
        <f>IFERROR(VLOOKUP($A:$A,CS!$A:$AK,20,FALSE),"")</f>
      </c>
      <c r="M469" s="57">
        <f>IFERROR(VLOOKUP($A:$A,CS!$A:$AK,22,FALSE),"")</f>
      </c>
      <c r="N469" s="57">
        <f>IFERROR(VLOOKUP($A:$A,CS!$A:$AK,19,FALSE),"")</f>
      </c>
      <c r="O469" s="57">
        <f>IFERROR(VLOOKUP($A:$A,CS!$A:$AK,23,FALSE),"")</f>
      </c>
      <c r="P469" s="57">
        <f>IFERROR(VLOOKUP($A:$A,CS!$A:$AK,24,FALSE),"")</f>
      </c>
      <c r="Q469" s="57">
        <f>IFERROR(VLOOKUP($A:$A,CS!$A:$AK,25,FALSE),"")</f>
      </c>
      <c r="R469" s="57">
        <f>IFERROR(VLOOKUP($A:$A,CS!$A:$AK,26,FALSE),"")</f>
      </c>
      <c r="S469" s="57">
        <f>IFERROR(VLOOKUP($A:$A,CS!$A:$AK,29,FALSE),"")</f>
      </c>
      <c r="T469" s="57">
        <f>IFERROR(VLOOKUP($A:$A,CS!$A:$AK,33,FALSE),"")</f>
      </c>
      <c r="U469" s="57">
        <f>IFERROR(VLOOKUP($A:$A,CS!$A:$AK,34,FALSE),"")</f>
      </c>
      <c r="V469" s="57">
        <f>IFERROR(VLOOKUP($A:$A,CS!$A:$AK,35,FALSE),"")</f>
      </c>
      <c r="W469" s="57">
        <f>IFERROR(VLOOKUP($A:$A,CS!$A:$AK,36,FALSE),"")</f>
      </c>
    </row>
    <row r="470" ht="16.5" customHeight="1" spans="1:23" x14ac:dyDescent="0.25">
      <c r="A470" s="71"/>
      <c r="B470" s="57">
        <f>IFERROR(VLOOKUP($A:$A,CS!$A:$AK,3,FALSE),"")</f>
      </c>
      <c r="C470" s="57">
        <f>IFERROR(VLOOKUP($A:$A,CS!$A:$AK,4,FALSE),"")</f>
      </c>
      <c r="D470" s="57">
        <f>IFERROR(VLOOKUP($A:$A,CS!$A:$AK,5,FALSE),"")</f>
      </c>
      <c r="E470" s="57">
        <f>IFERROR(VLOOKUP($A:$A,CS!$A:$AK,7,FALSE),"")</f>
      </c>
      <c r="F470" s="57">
        <f>IFERROR(VLOOKUP($A:$A,CS!$A:$AK,8,FALSE),"")</f>
      </c>
      <c r="G470" s="57">
        <f>IFERROR(VLOOKUP($A:$A,CS!$A:$AK,10,FALSE),"")</f>
      </c>
      <c r="H470" s="57">
        <f>IFERROR(VLOOKUP($A:$A,CS!$A:$AK,14,FALSE),"")</f>
      </c>
      <c r="I470" s="57">
        <f>IFERROR(VLOOKUP($A:$A,CS!$A:$AK,15,FALSE),"")</f>
      </c>
      <c r="J470" s="57">
        <f>IFERROR(VLOOKUP($A:$A,CS!$A:$AK,18,FALSE),"")</f>
      </c>
      <c r="K470" s="57">
        <f>IFERROR(VLOOKUP($A:$A,CS!$A:$AK,19,FALSE),"")</f>
      </c>
      <c r="L470" s="57">
        <f>IFERROR(VLOOKUP($A:$A,CS!$A:$AK,20,FALSE),"")</f>
      </c>
      <c r="M470" s="57">
        <f>IFERROR(VLOOKUP($A:$A,CS!$A:$AK,22,FALSE),"")</f>
      </c>
      <c r="N470" s="57">
        <f>IFERROR(VLOOKUP($A:$A,CS!$A:$AK,19,FALSE),"")</f>
      </c>
      <c r="O470" s="57">
        <f>IFERROR(VLOOKUP($A:$A,CS!$A:$AK,23,FALSE),"")</f>
      </c>
      <c r="P470" s="57">
        <f>IFERROR(VLOOKUP($A:$A,CS!$A:$AK,24,FALSE),"")</f>
      </c>
      <c r="Q470" s="57">
        <f>IFERROR(VLOOKUP($A:$A,CS!$A:$AK,25,FALSE),"")</f>
      </c>
      <c r="R470" s="57">
        <f>IFERROR(VLOOKUP($A:$A,CS!$A:$AK,26,FALSE),"")</f>
      </c>
      <c r="S470" s="57">
        <f>IFERROR(VLOOKUP($A:$A,CS!$A:$AK,29,FALSE),"")</f>
      </c>
      <c r="T470" s="57">
        <f>IFERROR(VLOOKUP($A:$A,CS!$A:$AK,33,FALSE),"")</f>
      </c>
      <c r="U470" s="57">
        <f>IFERROR(VLOOKUP($A:$A,CS!$A:$AK,34,FALSE),"")</f>
      </c>
      <c r="V470" s="57">
        <f>IFERROR(VLOOKUP($A:$A,CS!$A:$AK,35,FALSE),"")</f>
      </c>
      <c r="W470" s="57">
        <f>IFERROR(VLOOKUP($A:$A,CS!$A:$AK,36,FALSE),"")</f>
      </c>
    </row>
    <row r="471" ht="16.5" customHeight="1" spans="1:23" x14ac:dyDescent="0.25">
      <c r="A471" s="71"/>
      <c r="B471" s="57">
        <f>IFERROR(VLOOKUP($A:$A,CS!$A:$AK,3,FALSE),"")</f>
      </c>
      <c r="C471" s="57">
        <f>IFERROR(VLOOKUP($A:$A,CS!$A:$AK,4,FALSE),"")</f>
      </c>
      <c r="D471" s="57">
        <f>IFERROR(VLOOKUP($A:$A,CS!$A:$AK,5,FALSE),"")</f>
      </c>
      <c r="E471" s="57">
        <f>IFERROR(VLOOKUP($A:$A,CS!$A:$AK,7,FALSE),"")</f>
      </c>
      <c r="F471" s="57">
        <f>IFERROR(VLOOKUP($A:$A,CS!$A:$AK,8,FALSE),"")</f>
      </c>
      <c r="G471" s="57">
        <f>IFERROR(VLOOKUP($A:$A,CS!$A:$AK,10,FALSE),"")</f>
      </c>
      <c r="H471" s="57">
        <f>IFERROR(VLOOKUP($A:$A,CS!$A:$AK,14,FALSE),"")</f>
      </c>
      <c r="I471" s="57">
        <f>IFERROR(VLOOKUP($A:$A,CS!$A:$AK,15,FALSE),"")</f>
      </c>
      <c r="J471" s="57">
        <f>IFERROR(VLOOKUP($A:$A,CS!$A:$AK,18,FALSE),"")</f>
      </c>
      <c r="K471" s="57">
        <f>IFERROR(VLOOKUP($A:$A,CS!$A:$AK,19,FALSE),"")</f>
      </c>
      <c r="L471" s="57">
        <f>IFERROR(VLOOKUP($A:$A,CS!$A:$AK,20,FALSE),"")</f>
      </c>
      <c r="M471" s="57">
        <f>IFERROR(VLOOKUP($A:$A,CS!$A:$AK,22,FALSE),"")</f>
      </c>
      <c r="N471" s="57">
        <f>IFERROR(VLOOKUP($A:$A,CS!$A:$AK,19,FALSE),"")</f>
      </c>
      <c r="O471" s="57">
        <f>IFERROR(VLOOKUP($A:$A,CS!$A:$AK,23,FALSE),"")</f>
      </c>
      <c r="P471" s="57">
        <f>IFERROR(VLOOKUP($A:$A,CS!$A:$AK,24,FALSE),"")</f>
      </c>
      <c r="Q471" s="57">
        <f>IFERROR(VLOOKUP($A:$A,CS!$A:$AK,25,FALSE),"")</f>
      </c>
      <c r="R471" s="57">
        <f>IFERROR(VLOOKUP($A:$A,CS!$A:$AK,26,FALSE),"")</f>
      </c>
      <c r="S471" s="57">
        <f>IFERROR(VLOOKUP($A:$A,CS!$A:$AK,29,FALSE),"")</f>
      </c>
      <c r="T471" s="57">
        <f>IFERROR(VLOOKUP($A:$A,CS!$A:$AK,33,FALSE),"")</f>
      </c>
      <c r="U471" s="57">
        <f>IFERROR(VLOOKUP($A:$A,CS!$A:$AK,34,FALSE),"")</f>
      </c>
      <c r="V471" s="57">
        <f>IFERROR(VLOOKUP($A:$A,CS!$A:$AK,35,FALSE),"")</f>
      </c>
      <c r="W471" s="57">
        <f>IFERROR(VLOOKUP($A:$A,CS!$A:$AK,36,FALSE),"")</f>
      </c>
    </row>
    <row r="472" ht="16.5" customHeight="1" spans="1:23" x14ac:dyDescent="0.25">
      <c r="A472" s="71"/>
      <c r="B472" s="57">
        <f>IFERROR(VLOOKUP($A:$A,CS!$A:$AK,3,FALSE),"")</f>
      </c>
      <c r="C472" s="57">
        <f>IFERROR(VLOOKUP($A:$A,CS!$A:$AK,4,FALSE),"")</f>
      </c>
      <c r="D472" s="57">
        <f>IFERROR(VLOOKUP($A:$A,CS!$A:$AK,5,FALSE),"")</f>
      </c>
      <c r="E472" s="57">
        <f>IFERROR(VLOOKUP($A:$A,CS!$A:$AK,7,FALSE),"")</f>
      </c>
      <c r="F472" s="57">
        <f>IFERROR(VLOOKUP($A:$A,CS!$A:$AK,8,FALSE),"")</f>
      </c>
      <c r="G472" s="57">
        <f>IFERROR(VLOOKUP($A:$A,CS!$A:$AK,10,FALSE),"")</f>
      </c>
      <c r="H472" s="57">
        <f>IFERROR(VLOOKUP($A:$A,CS!$A:$AK,14,FALSE),"")</f>
      </c>
      <c r="I472" s="57">
        <f>IFERROR(VLOOKUP($A:$A,CS!$A:$AK,15,FALSE),"")</f>
      </c>
      <c r="J472" s="57">
        <f>IFERROR(VLOOKUP($A:$A,CS!$A:$AK,18,FALSE),"")</f>
      </c>
      <c r="K472" s="57">
        <f>IFERROR(VLOOKUP($A:$A,CS!$A:$AK,19,FALSE),"")</f>
      </c>
      <c r="L472" s="57">
        <f>IFERROR(VLOOKUP($A:$A,CS!$A:$AK,20,FALSE),"")</f>
      </c>
      <c r="M472" s="57">
        <f>IFERROR(VLOOKUP($A:$A,CS!$A:$AK,22,FALSE),"")</f>
      </c>
      <c r="N472" s="57">
        <f>IFERROR(VLOOKUP($A:$A,CS!$A:$AK,19,FALSE),"")</f>
      </c>
      <c r="O472" s="57">
        <f>IFERROR(VLOOKUP($A:$A,CS!$A:$AK,23,FALSE),"")</f>
      </c>
      <c r="P472" s="57">
        <f>IFERROR(VLOOKUP($A:$A,CS!$A:$AK,24,FALSE),"")</f>
      </c>
      <c r="Q472" s="57">
        <f>IFERROR(VLOOKUP($A:$A,CS!$A:$AK,25,FALSE),"")</f>
      </c>
      <c r="R472" s="57">
        <f>IFERROR(VLOOKUP($A:$A,CS!$A:$AK,26,FALSE),"")</f>
      </c>
      <c r="S472" s="57">
        <f>IFERROR(VLOOKUP($A:$A,CS!$A:$AK,29,FALSE),"")</f>
      </c>
      <c r="T472" s="57">
        <f>IFERROR(VLOOKUP($A:$A,CS!$A:$AK,33,FALSE),"")</f>
      </c>
      <c r="U472" s="57">
        <f>IFERROR(VLOOKUP($A:$A,CS!$A:$AK,34,FALSE),"")</f>
      </c>
      <c r="V472" s="57">
        <f>IFERROR(VLOOKUP($A:$A,CS!$A:$AK,35,FALSE),"")</f>
      </c>
      <c r="W472" s="57">
        <f>IFERROR(VLOOKUP($A:$A,CS!$A:$AK,36,FALSE),"")</f>
      </c>
    </row>
    <row r="473" ht="16.5" customHeight="1" spans="1:23" x14ac:dyDescent="0.25">
      <c r="A473" s="71"/>
      <c r="B473" s="57">
        <f>IFERROR(VLOOKUP($A:$A,CS!$A:$AK,3,FALSE),"")</f>
      </c>
      <c r="C473" s="57">
        <f>IFERROR(VLOOKUP($A:$A,CS!$A:$AK,4,FALSE),"")</f>
      </c>
      <c r="D473" s="57">
        <f>IFERROR(VLOOKUP($A:$A,CS!$A:$AK,5,FALSE),"")</f>
      </c>
      <c r="E473" s="57">
        <f>IFERROR(VLOOKUP($A:$A,CS!$A:$AK,7,FALSE),"")</f>
      </c>
      <c r="F473" s="57">
        <f>IFERROR(VLOOKUP($A:$A,CS!$A:$AK,8,FALSE),"")</f>
      </c>
      <c r="G473" s="57">
        <f>IFERROR(VLOOKUP($A:$A,CS!$A:$AK,10,FALSE),"")</f>
      </c>
      <c r="H473" s="57">
        <f>IFERROR(VLOOKUP($A:$A,CS!$A:$AK,14,FALSE),"")</f>
      </c>
      <c r="I473" s="57">
        <f>IFERROR(VLOOKUP($A:$A,CS!$A:$AK,15,FALSE),"")</f>
      </c>
      <c r="J473" s="57">
        <f>IFERROR(VLOOKUP($A:$A,CS!$A:$AK,18,FALSE),"")</f>
      </c>
      <c r="K473" s="57">
        <f>IFERROR(VLOOKUP($A:$A,CS!$A:$AK,19,FALSE),"")</f>
      </c>
      <c r="L473" s="57">
        <f>IFERROR(VLOOKUP($A:$A,CS!$A:$AK,20,FALSE),"")</f>
      </c>
      <c r="M473" s="57">
        <f>IFERROR(VLOOKUP($A:$A,CS!$A:$AK,22,FALSE),"")</f>
      </c>
      <c r="N473" s="57">
        <f>IFERROR(VLOOKUP($A:$A,CS!$A:$AK,19,FALSE),"")</f>
      </c>
      <c r="O473" s="57">
        <f>IFERROR(VLOOKUP($A:$A,CS!$A:$AK,23,FALSE),"")</f>
      </c>
      <c r="P473" s="57">
        <f>IFERROR(VLOOKUP($A:$A,CS!$A:$AK,24,FALSE),"")</f>
      </c>
      <c r="Q473" s="57">
        <f>IFERROR(VLOOKUP($A:$A,CS!$A:$AK,25,FALSE),"")</f>
      </c>
      <c r="R473" s="57">
        <f>IFERROR(VLOOKUP($A:$A,CS!$A:$AK,26,FALSE),"")</f>
      </c>
      <c r="S473" s="57">
        <f>IFERROR(VLOOKUP($A:$A,CS!$A:$AK,29,FALSE),"")</f>
      </c>
      <c r="T473" s="57">
        <f>IFERROR(VLOOKUP($A:$A,CS!$A:$AK,33,FALSE),"")</f>
      </c>
      <c r="U473" s="57">
        <f>IFERROR(VLOOKUP($A:$A,CS!$A:$AK,34,FALSE),"")</f>
      </c>
      <c r="V473" s="57">
        <f>IFERROR(VLOOKUP($A:$A,CS!$A:$AK,35,FALSE),"")</f>
      </c>
      <c r="W473" s="57">
        <f>IFERROR(VLOOKUP($A:$A,CS!$A:$AK,36,FALSE),"")</f>
      </c>
    </row>
    <row r="474" ht="16.5" customHeight="1" spans="1:23" x14ac:dyDescent="0.25">
      <c r="A474" s="71"/>
      <c r="B474" s="57">
        <f>IFERROR(VLOOKUP($A:$A,CS!$A:$AK,3,FALSE),"")</f>
      </c>
      <c r="C474" s="57">
        <f>IFERROR(VLOOKUP($A:$A,CS!$A:$AK,4,FALSE),"")</f>
      </c>
      <c r="D474" s="57">
        <f>IFERROR(VLOOKUP($A:$A,CS!$A:$AK,5,FALSE),"")</f>
      </c>
      <c r="E474" s="57">
        <f>IFERROR(VLOOKUP($A:$A,CS!$A:$AK,7,FALSE),"")</f>
      </c>
      <c r="F474" s="57">
        <f>IFERROR(VLOOKUP($A:$A,CS!$A:$AK,8,FALSE),"")</f>
      </c>
      <c r="G474" s="57">
        <f>IFERROR(VLOOKUP($A:$A,CS!$A:$AK,10,FALSE),"")</f>
      </c>
      <c r="H474" s="57">
        <f>IFERROR(VLOOKUP($A:$A,CS!$A:$AK,14,FALSE),"")</f>
      </c>
      <c r="I474" s="57">
        <f>IFERROR(VLOOKUP($A:$A,CS!$A:$AK,15,FALSE),"")</f>
      </c>
      <c r="J474" s="57">
        <f>IFERROR(VLOOKUP($A:$A,CS!$A:$AK,18,FALSE),"")</f>
      </c>
      <c r="K474" s="57">
        <f>IFERROR(VLOOKUP($A:$A,CS!$A:$AK,19,FALSE),"")</f>
      </c>
      <c r="L474" s="57">
        <f>IFERROR(VLOOKUP($A:$A,CS!$A:$AK,20,FALSE),"")</f>
      </c>
      <c r="M474" s="57">
        <f>IFERROR(VLOOKUP($A:$A,CS!$A:$AK,22,FALSE),"")</f>
      </c>
      <c r="N474" s="57">
        <f>IFERROR(VLOOKUP($A:$A,CS!$A:$AK,19,FALSE),"")</f>
      </c>
      <c r="O474" s="57">
        <f>IFERROR(VLOOKUP($A:$A,CS!$A:$AK,23,FALSE),"")</f>
      </c>
      <c r="P474" s="57">
        <f>IFERROR(VLOOKUP($A:$A,CS!$A:$AK,24,FALSE),"")</f>
      </c>
      <c r="Q474" s="57">
        <f>IFERROR(VLOOKUP($A:$A,CS!$A:$AK,25,FALSE),"")</f>
      </c>
      <c r="R474" s="57">
        <f>IFERROR(VLOOKUP($A:$A,CS!$A:$AK,26,FALSE),"")</f>
      </c>
      <c r="S474" s="57">
        <f>IFERROR(VLOOKUP($A:$A,CS!$A:$AK,29,FALSE),"")</f>
      </c>
      <c r="T474" s="57">
        <f>IFERROR(VLOOKUP($A:$A,CS!$A:$AK,33,FALSE),"")</f>
      </c>
      <c r="U474" s="57">
        <f>IFERROR(VLOOKUP($A:$A,CS!$A:$AK,34,FALSE),"")</f>
      </c>
      <c r="V474" s="57">
        <f>IFERROR(VLOOKUP($A:$A,CS!$A:$AK,35,FALSE),"")</f>
      </c>
      <c r="W474" s="57">
        <f>IFERROR(VLOOKUP($A:$A,CS!$A:$AK,36,FALSE),"")</f>
      </c>
    </row>
    <row r="475" ht="16.5" customHeight="1" spans="1:23" x14ac:dyDescent="0.25">
      <c r="A475" s="71"/>
      <c r="B475" s="57">
        <f>IFERROR(VLOOKUP($A:$A,CS!$A:$AK,3,FALSE),"")</f>
      </c>
      <c r="C475" s="57">
        <f>IFERROR(VLOOKUP($A:$A,CS!$A:$AK,4,FALSE),"")</f>
      </c>
      <c r="D475" s="57">
        <f>IFERROR(VLOOKUP($A:$A,CS!$A:$AK,5,FALSE),"")</f>
      </c>
      <c r="E475" s="57">
        <f>IFERROR(VLOOKUP($A:$A,CS!$A:$AK,7,FALSE),"")</f>
      </c>
      <c r="F475" s="57">
        <f>IFERROR(VLOOKUP($A:$A,CS!$A:$AK,8,FALSE),"")</f>
      </c>
      <c r="G475" s="57">
        <f>IFERROR(VLOOKUP($A:$A,CS!$A:$AK,10,FALSE),"")</f>
      </c>
      <c r="H475" s="57">
        <f>IFERROR(VLOOKUP($A:$A,CS!$A:$AK,14,FALSE),"")</f>
      </c>
      <c r="I475" s="57">
        <f>IFERROR(VLOOKUP($A:$A,CS!$A:$AK,15,FALSE),"")</f>
      </c>
      <c r="J475" s="57">
        <f>IFERROR(VLOOKUP($A:$A,CS!$A:$AK,18,FALSE),"")</f>
      </c>
      <c r="K475" s="57">
        <f>IFERROR(VLOOKUP($A:$A,CS!$A:$AK,19,FALSE),"")</f>
      </c>
      <c r="L475" s="57">
        <f>IFERROR(VLOOKUP($A:$A,CS!$A:$AK,20,FALSE),"")</f>
      </c>
      <c r="M475" s="57">
        <f>IFERROR(VLOOKUP($A:$A,CS!$A:$AK,22,FALSE),"")</f>
      </c>
      <c r="N475" s="57">
        <f>IFERROR(VLOOKUP($A:$A,CS!$A:$AK,19,FALSE),"")</f>
      </c>
      <c r="O475" s="57">
        <f>IFERROR(VLOOKUP($A:$A,CS!$A:$AK,23,FALSE),"")</f>
      </c>
      <c r="P475" s="57">
        <f>IFERROR(VLOOKUP($A:$A,CS!$A:$AK,24,FALSE),"")</f>
      </c>
      <c r="Q475" s="57">
        <f>IFERROR(VLOOKUP($A:$A,CS!$A:$AK,25,FALSE),"")</f>
      </c>
      <c r="R475" s="57">
        <f>IFERROR(VLOOKUP($A:$A,CS!$A:$AK,26,FALSE),"")</f>
      </c>
      <c r="S475" s="57">
        <f>IFERROR(VLOOKUP($A:$A,CS!$A:$AK,29,FALSE),"")</f>
      </c>
      <c r="T475" s="57">
        <f>IFERROR(VLOOKUP($A:$A,CS!$A:$AK,33,FALSE),"")</f>
      </c>
      <c r="U475" s="57">
        <f>IFERROR(VLOOKUP($A:$A,CS!$A:$AK,34,FALSE),"")</f>
      </c>
      <c r="V475" s="57">
        <f>IFERROR(VLOOKUP($A:$A,CS!$A:$AK,35,FALSE),"")</f>
      </c>
      <c r="W475" s="57">
        <f>IFERROR(VLOOKUP($A:$A,CS!$A:$AK,36,FALSE),"")</f>
      </c>
    </row>
    <row r="476" ht="16.5" customHeight="1" spans="1:23" x14ac:dyDescent="0.25">
      <c r="A476" s="72"/>
      <c r="B476" s="57"/>
      <c r="C476" s="57"/>
      <c r="D476" s="58"/>
      <c r="E476" s="57"/>
      <c r="F476" s="57"/>
      <c r="G476" s="57"/>
      <c r="H476" s="57"/>
      <c r="I476" s="57"/>
      <c r="J476" s="68"/>
      <c r="K476" s="57"/>
      <c r="L476" s="60"/>
      <c r="M476" s="57"/>
      <c r="N476" s="57"/>
      <c r="O476" s="60"/>
      <c r="P476" s="59"/>
      <c r="Q476" s="60"/>
      <c r="R476" s="60"/>
      <c r="S476" s="59"/>
      <c r="T476" s="63"/>
      <c r="U476" s="60"/>
      <c r="V476" s="73"/>
      <c r="W476" s="59"/>
    </row>
    <row r="477" ht="16.5" customHeight="1" spans="1:23" x14ac:dyDescent="0.25">
      <c r="A477" s="72"/>
      <c r="B477" s="57"/>
      <c r="C477" s="57"/>
      <c r="D477" s="58"/>
      <c r="E477" s="57"/>
      <c r="F477" s="57"/>
      <c r="G477" s="57"/>
      <c r="H477" s="57"/>
      <c r="I477" s="57"/>
      <c r="J477" s="68"/>
      <c r="K477" s="57"/>
      <c r="L477" s="60"/>
      <c r="M477" s="57"/>
      <c r="N477" s="57"/>
      <c r="O477" s="60"/>
      <c r="P477" s="59"/>
      <c r="Q477" s="60"/>
      <c r="R477" s="60"/>
      <c r="S477" s="59"/>
      <c r="T477" s="63"/>
      <c r="U477" s="60"/>
      <c r="V477" s="74"/>
      <c r="W477" s="59"/>
    </row>
    <row r="478" ht="16.5" customHeight="1" spans="1:23" x14ac:dyDescent="0.25">
      <c r="A478" s="72"/>
      <c r="B478" s="57"/>
      <c r="C478" s="57"/>
      <c r="D478" s="58"/>
      <c r="E478" s="57"/>
      <c r="F478" s="57"/>
      <c r="G478" s="57"/>
      <c r="H478" s="57"/>
      <c r="I478" s="57"/>
      <c r="J478" s="68"/>
      <c r="K478" s="57"/>
      <c r="L478" s="60"/>
      <c r="M478" s="57"/>
      <c r="N478" s="57"/>
      <c r="O478" s="60"/>
      <c r="P478" s="59"/>
      <c r="Q478" s="60"/>
      <c r="R478" s="60"/>
      <c r="S478" s="59"/>
      <c r="T478" s="63"/>
      <c r="U478" s="60"/>
      <c r="V478" s="74"/>
      <c r="W478" s="59"/>
    </row>
    <row r="479" ht="16.5" customHeight="1" spans="1:23" x14ac:dyDescent="0.25">
      <c r="A479" s="72"/>
      <c r="B479" s="57"/>
      <c r="C479" s="57"/>
      <c r="D479" s="58"/>
      <c r="E479" s="57"/>
      <c r="F479" s="57"/>
      <c r="G479" s="57"/>
      <c r="H479" s="57"/>
      <c r="I479" s="57"/>
      <c r="J479" s="68"/>
      <c r="K479" s="57"/>
      <c r="L479" s="60"/>
      <c r="M479" s="57"/>
      <c r="N479" s="57"/>
      <c r="O479" s="60"/>
      <c r="P479" s="59"/>
      <c r="Q479" s="60"/>
      <c r="R479" s="60"/>
      <c r="S479" s="59"/>
      <c r="T479" s="63"/>
      <c r="U479" s="60"/>
      <c r="V479" s="74"/>
      <c r="W479" s="59"/>
    </row>
    <row r="480" ht="16.5" customHeight="1" spans="1:23" x14ac:dyDescent="0.25">
      <c r="A480" s="72"/>
      <c r="B480" s="57"/>
      <c r="C480" s="57"/>
      <c r="D480" s="58"/>
      <c r="E480" s="57"/>
      <c r="F480" s="57"/>
      <c r="G480" s="57"/>
      <c r="H480" s="57"/>
      <c r="I480" s="57"/>
      <c r="J480" s="68"/>
      <c r="K480" s="57"/>
      <c r="L480" s="60"/>
      <c r="M480" s="57"/>
      <c r="N480" s="57"/>
      <c r="O480" s="60"/>
      <c r="P480" s="59"/>
      <c r="Q480" s="60"/>
      <c r="R480" s="60"/>
      <c r="S480" s="59"/>
      <c r="T480" s="63"/>
      <c r="U480" s="60"/>
      <c r="V480" s="74"/>
      <c r="W480" s="59"/>
    </row>
    <row r="481" ht="16.5" customHeight="1" spans="1:23" x14ac:dyDescent="0.25">
      <c r="A481" s="72"/>
      <c r="B481" s="57"/>
      <c r="C481" s="57"/>
      <c r="D481" s="58"/>
      <c r="E481" s="57"/>
      <c r="F481" s="57"/>
      <c r="G481" s="57"/>
      <c r="H481" s="57"/>
      <c r="I481" s="57"/>
      <c r="J481" s="68"/>
      <c r="K481" s="57"/>
      <c r="L481" s="60"/>
      <c r="M481" s="57"/>
      <c r="N481" s="57"/>
      <c r="O481" s="60"/>
      <c r="P481" s="59"/>
      <c r="Q481" s="60"/>
      <c r="R481" s="60"/>
      <c r="S481" s="59"/>
      <c r="T481" s="63"/>
      <c r="U481" s="60"/>
      <c r="V481" s="74"/>
      <c r="W481" s="59"/>
    </row>
    <row r="482" ht="16.5" customHeight="1" spans="1:23" x14ac:dyDescent="0.25">
      <c r="A482" s="72"/>
      <c r="B482" s="57"/>
      <c r="C482" s="57"/>
      <c r="D482" s="58"/>
      <c r="E482" s="57"/>
      <c r="F482" s="57"/>
      <c r="G482" s="57"/>
      <c r="H482" s="57"/>
      <c r="I482" s="57"/>
      <c r="J482" s="68"/>
      <c r="K482" s="57"/>
      <c r="L482" s="60"/>
      <c r="M482" s="57"/>
      <c r="N482" s="57"/>
      <c r="O482" s="60"/>
      <c r="P482" s="59"/>
      <c r="Q482" s="60"/>
      <c r="R482" s="60"/>
      <c r="S482" s="59"/>
      <c r="T482" s="63"/>
      <c r="U482" s="60"/>
      <c r="V482" s="74"/>
      <c r="W482" s="59"/>
    </row>
    <row r="483" ht="16.5" customHeight="1" spans="1:23" x14ac:dyDescent="0.25">
      <c r="A483" s="72"/>
      <c r="B483" s="57"/>
      <c r="C483" s="57"/>
      <c r="D483" s="58"/>
      <c r="E483" s="57"/>
      <c r="F483" s="57"/>
      <c r="G483" s="57"/>
      <c r="H483" s="57"/>
      <c r="I483" s="57"/>
      <c r="J483" s="68"/>
      <c r="K483" s="57"/>
      <c r="L483" s="60"/>
      <c r="M483" s="57"/>
      <c r="N483" s="57"/>
      <c r="O483" s="60"/>
      <c r="P483" s="59"/>
      <c r="Q483" s="60"/>
      <c r="R483" s="60"/>
      <c r="S483" s="59"/>
      <c r="T483" s="63"/>
      <c r="U483" s="60"/>
      <c r="V483" s="74"/>
      <c r="W483" s="59"/>
    </row>
    <row r="484" ht="16.5" customHeight="1" spans="1:23" x14ac:dyDescent="0.25">
      <c r="A484" s="72"/>
      <c r="B484" s="57"/>
      <c r="C484" s="57"/>
      <c r="D484" s="58"/>
      <c r="E484" s="57"/>
      <c r="F484" s="57"/>
      <c r="G484" s="57"/>
      <c r="H484" s="57"/>
      <c r="I484" s="57"/>
      <c r="J484" s="68"/>
      <c r="K484" s="57"/>
      <c r="L484" s="60"/>
      <c r="M484" s="57"/>
      <c r="N484" s="57"/>
      <c r="O484" s="60"/>
      <c r="P484" s="59"/>
      <c r="Q484" s="60"/>
      <c r="R484" s="60"/>
      <c r="S484" s="59"/>
      <c r="T484" s="63"/>
      <c r="U484" s="60"/>
      <c r="V484" s="74"/>
      <c r="W484" s="59"/>
    </row>
    <row r="485" ht="16.5" customHeight="1" spans="1:23" x14ac:dyDescent="0.25">
      <c r="A485" s="72"/>
      <c r="B485" s="57"/>
      <c r="C485" s="57"/>
      <c r="D485" s="58"/>
      <c r="E485" s="57"/>
      <c r="F485" s="57"/>
      <c r="G485" s="57"/>
      <c r="H485" s="57"/>
      <c r="I485" s="57"/>
      <c r="J485" s="68"/>
      <c r="K485" s="57"/>
      <c r="L485" s="60"/>
      <c r="M485" s="57"/>
      <c r="N485" s="57"/>
      <c r="O485" s="60"/>
      <c r="P485" s="59"/>
      <c r="Q485" s="60"/>
      <c r="R485" s="60"/>
      <c r="S485" s="59"/>
      <c r="T485" s="63"/>
      <c r="U485" s="60"/>
      <c r="V485" s="74"/>
      <c r="W485" s="59"/>
    </row>
    <row r="486" ht="16.5" customHeight="1" spans="1:23" x14ac:dyDescent="0.25">
      <c r="A486" s="72"/>
      <c r="B486" s="57"/>
      <c r="C486" s="57"/>
      <c r="D486" s="58"/>
      <c r="E486" s="57"/>
      <c r="F486" s="57"/>
      <c r="G486" s="57"/>
      <c r="H486" s="57"/>
      <c r="I486" s="57"/>
      <c r="J486" s="68"/>
      <c r="K486" s="57"/>
      <c r="L486" s="60"/>
      <c r="M486" s="57"/>
      <c r="N486" s="57"/>
      <c r="O486" s="60"/>
      <c r="P486" s="59"/>
      <c r="Q486" s="60"/>
      <c r="R486" s="60"/>
      <c r="S486" s="59"/>
      <c r="T486" s="63"/>
      <c r="U486" s="60"/>
      <c r="V486" s="74"/>
      <c r="W486" s="59"/>
    </row>
    <row r="487" ht="16.5" customHeight="1" spans="1:23" x14ac:dyDescent="0.25">
      <c r="A487" s="72"/>
      <c r="B487" s="57"/>
      <c r="C487" s="57"/>
      <c r="D487" s="58"/>
      <c r="E487" s="57"/>
      <c r="F487" s="57"/>
      <c r="G487" s="57"/>
      <c r="H487" s="57"/>
      <c r="I487" s="57"/>
      <c r="J487" s="68"/>
      <c r="K487" s="57"/>
      <c r="L487" s="60"/>
      <c r="M487" s="57"/>
      <c r="N487" s="57"/>
      <c r="O487" s="60"/>
      <c r="P487" s="59"/>
      <c r="Q487" s="60"/>
      <c r="R487" s="60"/>
      <c r="S487" s="59"/>
      <c r="T487" s="63"/>
      <c r="U487" s="60"/>
      <c r="V487" s="74"/>
      <c r="W487" s="59"/>
    </row>
    <row r="488" ht="16.5" customHeight="1" spans="1:23" x14ac:dyDescent="0.25">
      <c r="A488" s="72"/>
      <c r="B488" s="57"/>
      <c r="C488" s="57"/>
      <c r="D488" s="58"/>
      <c r="E488" s="57"/>
      <c r="F488" s="57"/>
      <c r="G488" s="57"/>
      <c r="H488" s="57"/>
      <c r="I488" s="57"/>
      <c r="J488" s="68"/>
      <c r="K488" s="57"/>
      <c r="L488" s="60"/>
      <c r="M488" s="57"/>
      <c r="N488" s="57"/>
      <c r="O488" s="60"/>
      <c r="P488" s="59"/>
      <c r="Q488" s="60"/>
      <c r="R488" s="60"/>
      <c r="S488" s="59"/>
      <c r="T488" s="63"/>
      <c r="U488" s="60"/>
      <c r="V488" s="74"/>
      <c r="W488" s="59"/>
    </row>
    <row r="489" ht="16.5" customHeight="1" spans="1:23" x14ac:dyDescent="0.25">
      <c r="A489" s="72"/>
      <c r="B489" s="57"/>
      <c r="C489" s="57"/>
      <c r="D489" s="58"/>
      <c r="E489" s="57"/>
      <c r="F489" s="57"/>
      <c r="G489" s="57"/>
      <c r="H489" s="57"/>
      <c r="I489" s="57"/>
      <c r="J489" s="68"/>
      <c r="K489" s="57"/>
      <c r="L489" s="60"/>
      <c r="M489" s="57"/>
      <c r="N489" s="57"/>
      <c r="O489" s="60"/>
      <c r="P489" s="59"/>
      <c r="Q489" s="60"/>
      <c r="R489" s="60"/>
      <c r="S489" s="59"/>
      <c r="T489" s="63"/>
      <c r="U489" s="60"/>
      <c r="V489" s="74"/>
      <c r="W489" s="59"/>
    </row>
    <row r="490" ht="16.5" customHeight="1" spans="1:23" x14ac:dyDescent="0.25">
      <c r="A490" s="72"/>
      <c r="B490" s="57"/>
      <c r="C490" s="57"/>
      <c r="D490" s="58"/>
      <c r="E490" s="57"/>
      <c r="F490" s="57"/>
      <c r="G490" s="57"/>
      <c r="H490" s="57"/>
      <c r="I490" s="57"/>
      <c r="J490" s="68"/>
      <c r="K490" s="57"/>
      <c r="L490" s="60"/>
      <c r="M490" s="57"/>
      <c r="N490" s="57"/>
      <c r="O490" s="60"/>
      <c r="P490" s="59"/>
      <c r="Q490" s="60"/>
      <c r="R490" s="60"/>
      <c r="S490" s="59"/>
      <c r="T490" s="63"/>
      <c r="U490" s="60"/>
      <c r="V490" s="74"/>
      <c r="W490" s="59"/>
    </row>
    <row r="491" ht="16.5" customHeight="1" spans="1:23" x14ac:dyDescent="0.25">
      <c r="A491" s="72"/>
      <c r="B491" s="57"/>
      <c r="C491" s="57"/>
      <c r="D491" s="58"/>
      <c r="E491" s="57"/>
      <c r="F491" s="57"/>
      <c r="G491" s="57"/>
      <c r="H491" s="57"/>
      <c r="I491" s="57"/>
      <c r="J491" s="68"/>
      <c r="K491" s="57"/>
      <c r="L491" s="60"/>
      <c r="M491" s="57"/>
      <c r="N491" s="57"/>
      <c r="O491" s="60"/>
      <c r="P491" s="59"/>
      <c r="Q491" s="60"/>
      <c r="R491" s="60"/>
      <c r="S491" s="59"/>
      <c r="T491" s="63"/>
      <c r="U491" s="60"/>
      <c r="V491" s="74"/>
      <c r="W491" s="59"/>
    </row>
    <row r="492" ht="16.5" customHeight="1" spans="1:23" x14ac:dyDescent="0.25">
      <c r="A492" s="72"/>
      <c r="B492" s="57"/>
      <c r="C492" s="57"/>
      <c r="D492" s="58"/>
      <c r="E492" s="57"/>
      <c r="F492" s="57"/>
      <c r="G492" s="57"/>
      <c r="H492" s="57"/>
      <c r="I492" s="57"/>
      <c r="J492" s="68"/>
      <c r="K492" s="57"/>
      <c r="L492" s="60"/>
      <c r="M492" s="57"/>
      <c r="N492" s="57"/>
      <c r="O492" s="60"/>
      <c r="P492" s="59"/>
      <c r="Q492" s="60"/>
      <c r="R492" s="60"/>
      <c r="S492" s="59"/>
      <c r="T492" s="63"/>
      <c r="U492" s="60"/>
      <c r="V492" s="74"/>
      <c r="W492" s="59"/>
    </row>
    <row r="493" ht="16.5" customHeight="1" spans="1:23" x14ac:dyDescent="0.25">
      <c r="A493" s="72"/>
      <c r="B493" s="57"/>
      <c r="C493" s="57"/>
      <c r="D493" s="58"/>
      <c r="E493" s="57"/>
      <c r="F493" s="57"/>
      <c r="G493" s="57"/>
      <c r="H493" s="57"/>
      <c r="I493" s="57"/>
      <c r="J493" s="68"/>
      <c r="K493" s="57"/>
      <c r="L493" s="60"/>
      <c r="M493" s="57"/>
      <c r="N493" s="57"/>
      <c r="O493" s="60"/>
      <c r="P493" s="59"/>
      <c r="Q493" s="60"/>
      <c r="R493" s="60"/>
      <c r="S493" s="59"/>
      <c r="T493" s="63"/>
      <c r="U493" s="60"/>
      <c r="V493" s="74"/>
      <c r="W493" s="59"/>
    </row>
    <row r="494" ht="16.5" customHeight="1" spans="1:23" x14ac:dyDescent="0.25">
      <c r="A494" s="72"/>
      <c r="B494" s="57"/>
      <c r="C494" s="57"/>
      <c r="D494" s="58"/>
      <c r="E494" s="57"/>
      <c r="F494" s="57"/>
      <c r="G494" s="57"/>
      <c r="H494" s="57"/>
      <c r="I494" s="57"/>
      <c r="J494" s="68"/>
      <c r="K494" s="57"/>
      <c r="L494" s="60"/>
      <c r="M494" s="57"/>
      <c r="N494" s="57"/>
      <c r="O494" s="60"/>
      <c r="P494" s="59"/>
      <c r="Q494" s="60"/>
      <c r="R494" s="60"/>
      <c r="S494" s="59"/>
      <c r="T494" s="63"/>
      <c r="U494" s="60"/>
      <c r="V494" s="74"/>
      <c r="W494" s="59"/>
    </row>
    <row r="495" ht="16.5" customHeight="1" spans="1:23" x14ac:dyDescent="0.25">
      <c r="A495" s="72"/>
      <c r="B495" s="57"/>
      <c r="C495" s="57"/>
      <c r="D495" s="58"/>
      <c r="E495" s="57"/>
      <c r="F495" s="57"/>
      <c r="G495" s="57"/>
      <c r="H495" s="57"/>
      <c r="I495" s="57"/>
      <c r="J495" s="68"/>
      <c r="K495" s="57"/>
      <c r="L495" s="60"/>
      <c r="M495" s="57"/>
      <c r="N495" s="57"/>
      <c r="O495" s="60"/>
      <c r="P495" s="59"/>
      <c r="Q495" s="60"/>
      <c r="R495" s="60"/>
      <c r="S495" s="59"/>
      <c r="T495" s="63"/>
      <c r="U495" s="60"/>
      <c r="V495" s="74"/>
      <c r="W495" s="59"/>
    </row>
    <row r="496" ht="16.5" customHeight="1" spans="1:23" x14ac:dyDescent="0.25">
      <c r="A496" s="72"/>
      <c r="B496" s="57"/>
      <c r="C496" s="57"/>
      <c r="D496" s="58"/>
      <c r="E496" s="57"/>
      <c r="F496" s="57"/>
      <c r="G496" s="57"/>
      <c r="H496" s="57"/>
      <c r="I496" s="57"/>
      <c r="J496" s="68"/>
      <c r="K496" s="57"/>
      <c r="L496" s="60"/>
      <c r="M496" s="57"/>
      <c r="N496" s="57"/>
      <c r="O496" s="60"/>
      <c r="P496" s="59"/>
      <c r="Q496" s="60"/>
      <c r="R496" s="60"/>
      <c r="S496" s="59"/>
      <c r="T496" s="63"/>
      <c r="U496" s="60"/>
      <c r="V496" s="74"/>
      <c r="W496" s="59"/>
    </row>
    <row r="497" ht="16.5" customHeight="1" spans="1:23" x14ac:dyDescent="0.25">
      <c r="A497" s="72"/>
      <c r="B497" s="57"/>
      <c r="C497" s="57"/>
      <c r="D497" s="58"/>
      <c r="E497" s="57"/>
      <c r="F497" s="57"/>
      <c r="G497" s="57"/>
      <c r="H497" s="57"/>
      <c r="I497" s="57"/>
      <c r="J497" s="68"/>
      <c r="K497" s="57"/>
      <c r="L497" s="60"/>
      <c r="M497" s="57"/>
      <c r="N497" s="57"/>
      <c r="O497" s="60"/>
      <c r="P497" s="59"/>
      <c r="Q497" s="60"/>
      <c r="R497" s="60"/>
      <c r="S497" s="59"/>
      <c r="T497" s="63"/>
      <c r="U497" s="60"/>
      <c r="V497" s="74"/>
      <c r="W497" s="59"/>
    </row>
    <row r="498" ht="16.5" customHeight="1" spans="1:23" x14ac:dyDescent="0.25">
      <c r="A498" s="72"/>
      <c r="B498" s="57"/>
      <c r="C498" s="57"/>
      <c r="D498" s="58"/>
      <c r="E498" s="57"/>
      <c r="F498" s="57"/>
      <c r="G498" s="57"/>
      <c r="H498" s="57"/>
      <c r="I498" s="57"/>
      <c r="J498" s="68"/>
      <c r="K498" s="57"/>
      <c r="L498" s="60"/>
      <c r="M498" s="57"/>
      <c r="N498" s="57"/>
      <c r="O498" s="60"/>
      <c r="P498" s="59"/>
      <c r="Q498" s="60"/>
      <c r="R498" s="60"/>
      <c r="S498" s="59"/>
      <c r="T498" s="63"/>
      <c r="U498" s="60"/>
      <c r="V498" s="74"/>
      <c r="W498" s="59"/>
    </row>
    <row r="499" ht="16.5" customHeight="1" spans="1:23" x14ac:dyDescent="0.25">
      <c r="A499" s="72"/>
      <c r="B499" s="57"/>
      <c r="C499" s="57"/>
      <c r="D499" s="58"/>
      <c r="E499" s="57"/>
      <c r="F499" s="57"/>
      <c r="G499" s="57"/>
      <c r="H499" s="57"/>
      <c r="I499" s="57"/>
      <c r="J499" s="68"/>
      <c r="K499" s="57"/>
      <c r="L499" s="60"/>
      <c r="M499" s="57"/>
      <c r="N499" s="57"/>
      <c r="O499" s="60"/>
      <c r="P499" s="59"/>
      <c r="Q499" s="60"/>
      <c r="R499" s="60"/>
      <c r="S499" s="59"/>
      <c r="T499" s="63"/>
      <c r="U499" s="60"/>
      <c r="V499" s="74"/>
      <c r="W499" s="59"/>
    </row>
    <row r="500" ht="16.5" customHeight="1" spans="1:23" x14ac:dyDescent="0.25">
      <c r="A500" s="72"/>
      <c r="B500" s="57"/>
      <c r="C500" s="57"/>
      <c r="D500" s="58"/>
      <c r="E500" s="57"/>
      <c r="F500" s="57"/>
      <c r="G500" s="57"/>
      <c r="H500" s="57"/>
      <c r="I500" s="57"/>
      <c r="J500" s="68"/>
      <c r="K500" s="57"/>
      <c r="L500" s="60"/>
      <c r="M500" s="57"/>
      <c r="N500" s="57"/>
      <c r="O500" s="60"/>
      <c r="P500" s="59"/>
      <c r="Q500" s="60"/>
      <c r="R500" s="60"/>
      <c r="S500" s="59"/>
      <c r="T500" s="63"/>
      <c r="U500" s="60"/>
      <c r="V500" s="74"/>
      <c r="W500" s="59"/>
    </row>
    <row r="501" ht="16.5" customHeight="1" spans="1:23" x14ac:dyDescent="0.25">
      <c r="A501" s="72"/>
      <c r="B501" s="57"/>
      <c r="C501" s="57"/>
      <c r="D501" s="58"/>
      <c r="E501" s="57"/>
      <c r="F501" s="57"/>
      <c r="G501" s="57"/>
      <c r="H501" s="57"/>
      <c r="I501" s="57"/>
      <c r="J501" s="68"/>
      <c r="K501" s="57"/>
      <c r="L501" s="60"/>
      <c r="M501" s="57"/>
      <c r="N501" s="57"/>
      <c r="O501" s="60"/>
      <c r="P501" s="59"/>
      <c r="Q501" s="60"/>
      <c r="R501" s="60"/>
      <c r="S501" s="59"/>
      <c r="T501" s="63"/>
      <c r="U501" s="60"/>
      <c r="V501" s="74"/>
      <c r="W501" s="59"/>
    </row>
    <row r="502" ht="16.5" customHeight="1" spans="1:23" x14ac:dyDescent="0.25">
      <c r="A502" s="72"/>
      <c r="B502" s="57"/>
      <c r="C502" s="57"/>
      <c r="D502" s="58"/>
      <c r="E502" s="57"/>
      <c r="F502" s="57"/>
      <c r="G502" s="57"/>
      <c r="H502" s="57"/>
      <c r="I502" s="57"/>
      <c r="J502" s="68"/>
      <c r="K502" s="57"/>
      <c r="L502" s="60"/>
      <c r="M502" s="57"/>
      <c r="N502" s="57"/>
      <c r="O502" s="60"/>
      <c r="P502" s="59"/>
      <c r="Q502" s="60"/>
      <c r="R502" s="60"/>
      <c r="S502" s="59"/>
      <c r="T502" s="63"/>
      <c r="U502" s="60"/>
      <c r="V502" s="74"/>
      <c r="W502" s="59"/>
    </row>
    <row r="503" ht="16.5" customHeight="1" spans="1:23" x14ac:dyDescent="0.25">
      <c r="A503" s="72"/>
      <c r="B503" s="57"/>
      <c r="C503" s="57"/>
      <c r="D503" s="58"/>
      <c r="E503" s="57"/>
      <c r="F503" s="57"/>
      <c r="G503" s="57"/>
      <c r="H503" s="57"/>
      <c r="I503" s="57"/>
      <c r="J503" s="68"/>
      <c r="K503" s="57"/>
      <c r="L503" s="60"/>
      <c r="M503" s="57"/>
      <c r="N503" s="57"/>
      <c r="O503" s="60"/>
      <c r="P503" s="59"/>
      <c r="Q503" s="60"/>
      <c r="R503" s="60"/>
      <c r="S503" s="59"/>
      <c r="T503" s="63"/>
      <c r="U503" s="60"/>
      <c r="V503" s="74"/>
      <c r="W503" s="59"/>
    </row>
    <row r="504" ht="16.5" customHeight="1" spans="1:23" x14ac:dyDescent="0.25">
      <c r="A504" s="72"/>
      <c r="B504" s="57"/>
      <c r="C504" s="57"/>
      <c r="D504" s="58"/>
      <c r="E504" s="57"/>
      <c r="F504" s="57"/>
      <c r="G504" s="57"/>
      <c r="H504" s="57"/>
      <c r="I504" s="57"/>
      <c r="J504" s="68"/>
      <c r="K504" s="57"/>
      <c r="L504" s="60"/>
      <c r="M504" s="57"/>
      <c r="N504" s="57"/>
      <c r="O504" s="60"/>
      <c r="P504" s="59"/>
      <c r="Q504" s="60"/>
      <c r="R504" s="60"/>
      <c r="S504" s="59"/>
      <c r="T504" s="63"/>
      <c r="U504" s="60"/>
      <c r="V504" s="74"/>
      <c r="W504" s="59"/>
    </row>
    <row r="505" ht="16.5" customHeight="1" spans="1:23" x14ac:dyDescent="0.25">
      <c r="A505" s="72"/>
      <c r="B505" s="57"/>
      <c r="C505" s="57"/>
      <c r="D505" s="58"/>
      <c r="E505" s="57"/>
      <c r="F505" s="57"/>
      <c r="G505" s="57"/>
      <c r="H505" s="57"/>
      <c r="I505" s="57"/>
      <c r="J505" s="68"/>
      <c r="K505" s="57"/>
      <c r="L505" s="60"/>
      <c r="M505" s="57"/>
      <c r="N505" s="57"/>
      <c r="O505" s="60"/>
      <c r="P505" s="59"/>
      <c r="Q505" s="60"/>
      <c r="R505" s="60"/>
      <c r="S505" s="59"/>
      <c r="T505" s="63"/>
      <c r="U505" s="60"/>
      <c r="V505" s="74"/>
      <c r="W505" s="59"/>
    </row>
    <row r="506" ht="16.5" customHeight="1" spans="1:23" x14ac:dyDescent="0.25">
      <c r="A506" s="72"/>
      <c r="B506" s="57"/>
      <c r="C506" s="57"/>
      <c r="D506" s="58"/>
      <c r="E506" s="57"/>
      <c r="F506" s="57"/>
      <c r="G506" s="57"/>
      <c r="H506" s="57"/>
      <c r="I506" s="57"/>
      <c r="J506" s="68"/>
      <c r="K506" s="57"/>
      <c r="L506" s="60"/>
      <c r="M506" s="57"/>
      <c r="N506" s="57"/>
      <c r="O506" s="60"/>
      <c r="P506" s="59"/>
      <c r="Q506" s="60"/>
      <c r="R506" s="60"/>
      <c r="S506" s="59"/>
      <c r="T506" s="63"/>
      <c r="U506" s="60"/>
      <c r="V506" s="74"/>
      <c r="W506" s="59"/>
    </row>
    <row r="507" ht="16.5" customHeight="1" spans="1:23" x14ac:dyDescent="0.25">
      <c r="A507" s="72"/>
      <c r="B507" s="57"/>
      <c r="C507" s="57"/>
      <c r="D507" s="58"/>
      <c r="E507" s="57"/>
      <c r="F507" s="57"/>
      <c r="G507" s="57"/>
      <c r="H507" s="57"/>
      <c r="I507" s="57"/>
      <c r="J507" s="68"/>
      <c r="K507" s="57"/>
      <c r="L507" s="60"/>
      <c r="M507" s="57"/>
      <c r="N507" s="57"/>
      <c r="O507" s="60"/>
      <c r="P507" s="59"/>
      <c r="Q507" s="60"/>
      <c r="R507" s="60"/>
      <c r="S507" s="59"/>
      <c r="T507" s="63"/>
      <c r="U507" s="60"/>
      <c r="V507" s="74"/>
      <c r="W507" s="59"/>
    </row>
    <row r="508" ht="16.5" customHeight="1" spans="1:23" x14ac:dyDescent="0.25">
      <c r="A508" s="72"/>
      <c r="B508" s="57"/>
      <c r="C508" s="57"/>
      <c r="D508" s="58"/>
      <c r="E508" s="57"/>
      <c r="F508" s="57"/>
      <c r="G508" s="57"/>
      <c r="H508" s="57"/>
      <c r="I508" s="57"/>
      <c r="J508" s="68"/>
      <c r="K508" s="57"/>
      <c r="L508" s="60"/>
      <c r="M508" s="57"/>
      <c r="N508" s="57"/>
      <c r="O508" s="60"/>
      <c r="P508" s="59"/>
      <c r="Q508" s="60"/>
      <c r="R508" s="60"/>
      <c r="S508" s="59"/>
      <c r="T508" s="63"/>
      <c r="U508" s="60"/>
      <c r="V508" s="74"/>
      <c r="W508" s="59"/>
    </row>
    <row r="509" ht="16.5" customHeight="1" spans="1:23" x14ac:dyDescent="0.25">
      <c r="A509" s="72"/>
      <c r="B509" s="57"/>
      <c r="C509" s="57"/>
      <c r="D509" s="58"/>
      <c r="E509" s="57"/>
      <c r="F509" s="57"/>
      <c r="G509" s="57"/>
      <c r="H509" s="57"/>
      <c r="I509" s="57"/>
      <c r="J509" s="68"/>
      <c r="K509" s="57"/>
      <c r="L509" s="60"/>
      <c r="M509" s="57"/>
      <c r="N509" s="57"/>
      <c r="O509" s="60"/>
      <c r="P509" s="59"/>
      <c r="Q509" s="60"/>
      <c r="R509" s="60"/>
      <c r="S509" s="59"/>
      <c r="T509" s="63"/>
      <c r="U509" s="60"/>
      <c r="V509" s="74"/>
      <c r="W509" s="59"/>
    </row>
    <row r="510" ht="16.5" customHeight="1" spans="1:23" x14ac:dyDescent="0.25">
      <c r="A510" s="72"/>
      <c r="B510" s="57"/>
      <c r="C510" s="57"/>
      <c r="D510" s="58"/>
      <c r="E510" s="57"/>
      <c r="F510" s="57"/>
      <c r="G510" s="57"/>
      <c r="H510" s="57"/>
      <c r="I510" s="57"/>
      <c r="J510" s="68"/>
      <c r="K510" s="57"/>
      <c r="L510" s="60"/>
      <c r="M510" s="57"/>
      <c r="N510" s="57"/>
      <c r="O510" s="60"/>
      <c r="P510" s="59"/>
      <c r="Q510" s="60"/>
      <c r="R510" s="60"/>
      <c r="S510" s="59"/>
      <c r="T510" s="63"/>
      <c r="U510" s="60"/>
      <c r="V510" s="74"/>
      <c r="W510" s="59"/>
    </row>
    <row r="511" ht="16.5" customHeight="1" spans="1:23" x14ac:dyDescent="0.25">
      <c r="A511" s="72"/>
      <c r="B511" s="57"/>
      <c r="C511" s="57"/>
      <c r="D511" s="58"/>
      <c r="E511" s="57"/>
      <c r="F511" s="57"/>
      <c r="G511" s="57"/>
      <c r="H511" s="57"/>
      <c r="I511" s="57"/>
      <c r="J511" s="68"/>
      <c r="K511" s="57"/>
      <c r="L511" s="60"/>
      <c r="M511" s="57"/>
      <c r="N511" s="57"/>
      <c r="O511" s="60"/>
      <c r="P511" s="59"/>
      <c r="Q511" s="60"/>
      <c r="R511" s="60"/>
      <c r="S511" s="59"/>
      <c r="T511" s="63"/>
      <c r="U511" s="60"/>
      <c r="V511" s="74"/>
      <c r="W511" s="59"/>
    </row>
    <row r="512" ht="16.5" customHeight="1" spans="1:23" x14ac:dyDescent="0.25">
      <c r="A512" s="72"/>
      <c r="B512" s="57"/>
      <c r="C512" s="57"/>
      <c r="D512" s="58"/>
      <c r="E512" s="57"/>
      <c r="F512" s="57"/>
      <c r="G512" s="57"/>
      <c r="H512" s="57"/>
      <c r="I512" s="57"/>
      <c r="J512" s="68"/>
      <c r="K512" s="57"/>
      <c r="L512" s="60"/>
      <c r="M512" s="57"/>
      <c r="N512" s="57"/>
      <c r="O512" s="60"/>
      <c r="P512" s="59"/>
      <c r="Q512" s="60"/>
      <c r="R512" s="60"/>
      <c r="S512" s="59"/>
      <c r="T512" s="63"/>
      <c r="U512" s="60"/>
      <c r="V512" s="74"/>
      <c r="W512" s="59"/>
    </row>
    <row r="513" ht="16.5" customHeight="1" spans="1:23" x14ac:dyDescent="0.25">
      <c r="A513" s="72"/>
      <c r="B513" s="57"/>
      <c r="C513" s="57"/>
      <c r="D513" s="58"/>
      <c r="E513" s="57"/>
      <c r="F513" s="57"/>
      <c r="G513" s="57"/>
      <c r="H513" s="57"/>
      <c r="I513" s="57"/>
      <c r="J513" s="68"/>
      <c r="K513" s="57"/>
      <c r="L513" s="60"/>
      <c r="M513" s="57"/>
      <c r="N513" s="57"/>
      <c r="O513" s="60"/>
      <c r="P513" s="59"/>
      <c r="Q513" s="60"/>
      <c r="R513" s="60"/>
      <c r="S513" s="59"/>
      <c r="T513" s="63"/>
      <c r="U513" s="60"/>
      <c r="V513" s="74"/>
      <c r="W513" s="59"/>
    </row>
    <row r="514" ht="16.5" customHeight="1" spans="1:23" x14ac:dyDescent="0.25">
      <c r="A514" s="72"/>
      <c r="B514" s="57"/>
      <c r="C514" s="57"/>
      <c r="D514" s="58"/>
      <c r="E514" s="57"/>
      <c r="F514" s="57"/>
      <c r="G514" s="57"/>
      <c r="H514" s="57"/>
      <c r="I514" s="57"/>
      <c r="J514" s="68"/>
      <c r="K514" s="57"/>
      <c r="L514" s="60"/>
      <c r="M514" s="57"/>
      <c r="N514" s="57"/>
      <c r="O514" s="60"/>
      <c r="P514" s="59"/>
      <c r="Q514" s="60"/>
      <c r="R514" s="60"/>
      <c r="S514" s="59"/>
      <c r="T514" s="63"/>
      <c r="U514" s="60"/>
      <c r="V514" s="74"/>
      <c r="W514" s="59"/>
    </row>
    <row r="515" ht="16.5" customHeight="1" spans="1:23" x14ac:dyDescent="0.25">
      <c r="A515" s="72"/>
      <c r="B515" s="57"/>
      <c r="C515" s="57"/>
      <c r="D515" s="58"/>
      <c r="E515" s="57"/>
      <c r="F515" s="57"/>
      <c r="G515" s="57"/>
      <c r="H515" s="57"/>
      <c r="I515" s="57"/>
      <c r="J515" s="68"/>
      <c r="K515" s="57"/>
      <c r="L515" s="60"/>
      <c r="M515" s="57"/>
      <c r="N515" s="57"/>
      <c r="O515" s="60"/>
      <c r="P515" s="59"/>
      <c r="Q515" s="60"/>
      <c r="R515" s="60"/>
      <c r="S515" s="59"/>
      <c r="T515" s="63"/>
      <c r="U515" s="60"/>
      <c r="V515" s="74"/>
      <c r="W515" s="59"/>
    </row>
    <row r="516" ht="16.5" customHeight="1" spans="1:23" x14ac:dyDescent="0.25">
      <c r="A516" s="72"/>
      <c r="B516" s="57"/>
      <c r="C516" s="57"/>
      <c r="D516" s="58"/>
      <c r="E516" s="57"/>
      <c r="F516" s="57"/>
      <c r="G516" s="57"/>
      <c r="H516" s="57"/>
      <c r="I516" s="57"/>
      <c r="J516" s="68"/>
      <c r="K516" s="57"/>
      <c r="L516" s="60"/>
      <c r="M516" s="57"/>
      <c r="N516" s="57"/>
      <c r="O516" s="60"/>
      <c r="P516" s="59"/>
      <c r="Q516" s="60"/>
      <c r="R516" s="60"/>
      <c r="S516" s="59"/>
      <c r="T516" s="63"/>
      <c r="U516" s="60"/>
      <c r="V516" s="74"/>
      <c r="W516" s="59"/>
    </row>
    <row r="517" ht="16.5" customHeight="1" spans="1:23" x14ac:dyDescent="0.25">
      <c r="A517" s="72"/>
      <c r="B517" s="57"/>
      <c r="C517" s="57"/>
      <c r="D517" s="58"/>
      <c r="E517" s="57"/>
      <c r="F517" s="57"/>
      <c r="G517" s="57"/>
      <c r="H517" s="57"/>
      <c r="I517" s="57"/>
      <c r="J517" s="68"/>
      <c r="K517" s="57"/>
      <c r="L517" s="60"/>
      <c r="M517" s="57"/>
      <c r="N517" s="57"/>
      <c r="O517" s="60"/>
      <c r="P517" s="59"/>
      <c r="Q517" s="60"/>
      <c r="R517" s="60"/>
      <c r="S517" s="59"/>
      <c r="T517" s="63"/>
      <c r="U517" s="60"/>
      <c r="V517" s="74"/>
      <c r="W517" s="59"/>
    </row>
    <row r="518" ht="16.5" customHeight="1" spans="1:23" x14ac:dyDescent="0.25">
      <c r="A518" s="72"/>
      <c r="B518" s="57"/>
      <c r="C518" s="57"/>
      <c r="D518" s="58"/>
      <c r="E518" s="57"/>
      <c r="F518" s="57"/>
      <c r="G518" s="57"/>
      <c r="H518" s="57"/>
      <c r="I518" s="57"/>
      <c r="J518" s="68"/>
      <c r="K518" s="57"/>
      <c r="L518" s="60"/>
      <c r="M518" s="57"/>
      <c r="N518" s="57"/>
      <c r="O518" s="60"/>
      <c r="P518" s="59"/>
      <c r="Q518" s="60"/>
      <c r="R518" s="60"/>
      <c r="S518" s="59"/>
      <c r="T518" s="63"/>
      <c r="U518" s="60"/>
      <c r="V518" s="74"/>
      <c r="W518" s="59"/>
    </row>
    <row r="519" ht="16.5" customHeight="1" spans="1:23" x14ac:dyDescent="0.25">
      <c r="A519" s="72"/>
      <c r="B519" s="57"/>
      <c r="C519" s="57"/>
      <c r="D519" s="58"/>
      <c r="E519" s="57"/>
      <c r="F519" s="57"/>
      <c r="G519" s="57"/>
      <c r="H519" s="57"/>
      <c r="I519" s="57"/>
      <c r="J519" s="68"/>
      <c r="K519" s="57"/>
      <c r="L519" s="60"/>
      <c r="M519" s="57"/>
      <c r="N519" s="57"/>
      <c r="O519" s="60"/>
      <c r="P519" s="59"/>
      <c r="Q519" s="60"/>
      <c r="R519" s="60"/>
      <c r="S519" s="59"/>
      <c r="T519" s="63"/>
      <c r="U519" s="60"/>
      <c r="V519" s="74"/>
      <c r="W519" s="59"/>
    </row>
    <row r="520" ht="16.5" customHeight="1" spans="1:23" x14ac:dyDescent="0.25">
      <c r="A520" s="72"/>
      <c r="B520" s="57"/>
      <c r="C520" s="57"/>
      <c r="D520" s="58"/>
      <c r="E520" s="57"/>
      <c r="F520" s="57"/>
      <c r="G520" s="57"/>
      <c r="H520" s="57"/>
      <c r="I520" s="57"/>
      <c r="J520" s="68"/>
      <c r="K520" s="57"/>
      <c r="L520" s="60"/>
      <c r="M520" s="57"/>
      <c r="N520" s="57"/>
      <c r="O520" s="60"/>
      <c r="P520" s="59"/>
      <c r="Q520" s="60"/>
      <c r="R520" s="60"/>
      <c r="S520" s="59"/>
      <c r="T520" s="63"/>
      <c r="U520" s="60"/>
      <c r="V520" s="74"/>
      <c r="W520" s="59"/>
    </row>
    <row r="521" ht="16.5" customHeight="1" spans="1:23" x14ac:dyDescent="0.25">
      <c r="A521" s="72"/>
      <c r="B521" s="57"/>
      <c r="C521" s="57"/>
      <c r="D521" s="58"/>
      <c r="E521" s="57"/>
      <c r="F521" s="57"/>
      <c r="G521" s="57"/>
      <c r="H521" s="57"/>
      <c r="I521" s="57"/>
      <c r="J521" s="68"/>
      <c r="K521" s="57"/>
      <c r="L521" s="60"/>
      <c r="M521" s="57"/>
      <c r="N521" s="57"/>
      <c r="O521" s="60"/>
      <c r="P521" s="59"/>
      <c r="Q521" s="60"/>
      <c r="R521" s="60"/>
      <c r="S521" s="59"/>
      <c r="T521" s="63"/>
      <c r="U521" s="60"/>
      <c r="V521" s="74"/>
      <c r="W521" s="59"/>
    </row>
    <row r="522" ht="16.5" customHeight="1" spans="1:23" x14ac:dyDescent="0.25">
      <c r="A522" s="72"/>
      <c r="B522" s="57"/>
      <c r="C522" s="57"/>
      <c r="D522" s="58"/>
      <c r="E522" s="57"/>
      <c r="F522" s="57"/>
      <c r="G522" s="57"/>
      <c r="H522" s="57"/>
      <c r="I522" s="57"/>
      <c r="J522" s="68"/>
      <c r="K522" s="57"/>
      <c r="L522" s="60"/>
      <c r="M522" s="57"/>
      <c r="N522" s="57"/>
      <c r="O522" s="60"/>
      <c r="P522" s="59"/>
      <c r="Q522" s="60"/>
      <c r="R522" s="60"/>
      <c r="S522" s="59"/>
      <c r="T522" s="63"/>
      <c r="U522" s="60"/>
      <c r="V522" s="74"/>
      <c r="W522" s="59"/>
    </row>
    <row r="523" ht="16.5" customHeight="1" spans="1:23" x14ac:dyDescent="0.25">
      <c r="A523" s="72"/>
      <c r="B523" s="57"/>
      <c r="C523" s="57"/>
      <c r="D523" s="58"/>
      <c r="E523" s="57"/>
      <c r="F523" s="57"/>
      <c r="G523" s="57"/>
      <c r="H523" s="57"/>
      <c r="I523" s="57"/>
      <c r="J523" s="68"/>
      <c r="K523" s="57"/>
      <c r="L523" s="60"/>
      <c r="M523" s="57"/>
      <c r="N523" s="57"/>
      <c r="O523" s="60"/>
      <c r="P523" s="59"/>
      <c r="Q523" s="60"/>
      <c r="R523" s="60"/>
      <c r="S523" s="59"/>
      <c r="T523" s="63"/>
      <c r="U523" s="60"/>
      <c r="V523" s="74"/>
      <c r="W523" s="59"/>
    </row>
    <row r="524" ht="16.5" customHeight="1" spans="1:23" x14ac:dyDescent="0.25">
      <c r="A524" s="72"/>
      <c r="B524" s="57"/>
      <c r="C524" s="57"/>
      <c r="D524" s="58"/>
      <c r="E524" s="57"/>
      <c r="F524" s="57"/>
      <c r="G524" s="57"/>
      <c r="H524" s="57"/>
      <c r="I524" s="57"/>
      <c r="J524" s="68"/>
      <c r="K524" s="57"/>
      <c r="L524" s="60"/>
      <c r="M524" s="57"/>
      <c r="N524" s="57"/>
      <c r="O524" s="60"/>
      <c r="P524" s="59"/>
      <c r="Q524" s="60"/>
      <c r="R524" s="60"/>
      <c r="S524" s="59"/>
      <c r="T524" s="63"/>
      <c r="U524" s="60"/>
      <c r="V524" s="74"/>
      <c r="W524" s="59"/>
    </row>
    <row r="525" ht="16.5" customHeight="1" spans="1:23" x14ac:dyDescent="0.25">
      <c r="A525" s="72"/>
      <c r="B525" s="57"/>
      <c r="C525" s="57"/>
      <c r="D525" s="58"/>
      <c r="E525" s="57"/>
      <c r="F525" s="57"/>
      <c r="G525" s="57"/>
      <c r="H525" s="57"/>
      <c r="I525" s="57"/>
      <c r="J525" s="68"/>
      <c r="K525" s="57"/>
      <c r="L525" s="60"/>
      <c r="M525" s="57"/>
      <c r="N525" s="57"/>
      <c r="O525" s="60"/>
      <c r="P525" s="59"/>
      <c r="Q525" s="60"/>
      <c r="R525" s="60"/>
      <c r="S525" s="59"/>
      <c r="T525" s="63"/>
      <c r="U525" s="60"/>
      <c r="V525" s="74"/>
      <c r="W525" s="59"/>
    </row>
    <row r="526" ht="16.5" customHeight="1" spans="1:23" x14ac:dyDescent="0.25">
      <c r="A526" s="72"/>
      <c r="B526" s="57"/>
      <c r="C526" s="57"/>
      <c r="D526" s="58"/>
      <c r="E526" s="57"/>
      <c r="F526" s="57"/>
      <c r="G526" s="57"/>
      <c r="H526" s="57"/>
      <c r="I526" s="57"/>
      <c r="J526" s="68"/>
      <c r="K526" s="57"/>
      <c r="L526" s="60"/>
      <c r="M526" s="57"/>
      <c r="N526" s="57"/>
      <c r="O526" s="60"/>
      <c r="P526" s="59"/>
      <c r="Q526" s="60"/>
      <c r="R526" s="60"/>
      <c r="S526" s="59"/>
      <c r="T526" s="63"/>
      <c r="U526" s="60"/>
      <c r="V526" s="74"/>
      <c r="W526" s="59"/>
    </row>
    <row r="527" ht="16.5" customHeight="1" spans="1:23" x14ac:dyDescent="0.25">
      <c r="A527" s="72"/>
      <c r="B527" s="57"/>
      <c r="C527" s="57"/>
      <c r="D527" s="58"/>
      <c r="E527" s="57"/>
      <c r="F527" s="57"/>
      <c r="G527" s="57"/>
      <c r="H527" s="57"/>
      <c r="I527" s="57"/>
      <c r="J527" s="68"/>
      <c r="K527" s="57"/>
      <c r="L527" s="60"/>
      <c r="M527" s="57"/>
      <c r="N527" s="57"/>
      <c r="O527" s="60"/>
      <c r="P527" s="59"/>
      <c r="Q527" s="60"/>
      <c r="R527" s="60"/>
      <c r="S527" s="59"/>
      <c r="T527" s="63"/>
      <c r="U527" s="60"/>
      <c r="V527" s="74"/>
      <c r="W527" s="59"/>
    </row>
    <row r="528" ht="16.5" customHeight="1" spans="1:23" x14ac:dyDescent="0.25">
      <c r="A528" s="72"/>
      <c r="B528" s="57"/>
      <c r="C528" s="57"/>
      <c r="D528" s="58"/>
      <c r="E528" s="57"/>
      <c r="F528" s="57"/>
      <c r="G528" s="57"/>
      <c r="H528" s="57"/>
      <c r="I528" s="57"/>
      <c r="J528" s="68"/>
      <c r="K528" s="57"/>
      <c r="L528" s="60"/>
      <c r="M528" s="57"/>
      <c r="N528" s="57"/>
      <c r="O528" s="60"/>
      <c r="P528" s="59"/>
      <c r="Q528" s="60"/>
      <c r="R528" s="60"/>
      <c r="S528" s="59"/>
      <c r="T528" s="63"/>
      <c r="U528" s="60"/>
      <c r="V528" s="74"/>
      <c r="W528" s="59"/>
    </row>
    <row r="529" ht="16.5" customHeight="1" spans="1:23" x14ac:dyDescent="0.25">
      <c r="A529" s="72"/>
      <c r="B529" s="57"/>
      <c r="C529" s="57"/>
      <c r="D529" s="58"/>
      <c r="E529" s="57"/>
      <c r="F529" s="57"/>
      <c r="G529" s="57"/>
      <c r="H529" s="57"/>
      <c r="I529" s="57"/>
      <c r="J529" s="68"/>
      <c r="K529" s="57"/>
      <c r="L529" s="60"/>
      <c r="M529" s="57"/>
      <c r="N529" s="57"/>
      <c r="O529" s="60"/>
      <c r="P529" s="59"/>
      <c r="Q529" s="60"/>
      <c r="R529" s="60"/>
      <c r="S529" s="59"/>
      <c r="T529" s="63"/>
      <c r="U529" s="60"/>
      <c r="V529" s="74"/>
      <c r="W529" s="59"/>
    </row>
    <row r="530" ht="16.5" customHeight="1" spans="1:23" x14ac:dyDescent="0.25">
      <c r="A530" s="72"/>
      <c r="B530" s="57"/>
      <c r="C530" s="57"/>
      <c r="D530" s="58"/>
      <c r="E530" s="57"/>
      <c r="F530" s="57"/>
      <c r="G530" s="57"/>
      <c r="H530" s="57"/>
      <c r="I530" s="57"/>
      <c r="J530" s="68"/>
      <c r="K530" s="57"/>
      <c r="L530" s="60"/>
      <c r="M530" s="57"/>
      <c r="N530" s="57"/>
      <c r="O530" s="60"/>
      <c r="P530" s="59"/>
      <c r="Q530" s="60"/>
      <c r="R530" s="60"/>
      <c r="S530" s="59"/>
      <c r="T530" s="63"/>
      <c r="U530" s="60"/>
      <c r="V530" s="74"/>
      <c r="W530" s="59"/>
    </row>
    <row r="531" ht="16.5" customHeight="1" spans="1:23" x14ac:dyDescent="0.25">
      <c r="A531" s="72"/>
      <c r="B531" s="57"/>
      <c r="C531" s="57"/>
      <c r="D531" s="58"/>
      <c r="E531" s="57"/>
      <c r="F531" s="57"/>
      <c r="G531" s="57"/>
      <c r="H531" s="57"/>
      <c r="I531" s="57"/>
      <c r="J531" s="68"/>
      <c r="K531" s="57"/>
      <c r="L531" s="60"/>
      <c r="M531" s="57"/>
      <c r="N531" s="57"/>
      <c r="O531" s="60"/>
      <c r="P531" s="59"/>
      <c r="Q531" s="60"/>
      <c r="R531" s="60"/>
      <c r="S531" s="59"/>
      <c r="T531" s="63"/>
      <c r="U531" s="60"/>
      <c r="V531" s="74"/>
      <c r="W531" s="59"/>
    </row>
    <row r="532" ht="16.5" customHeight="1" spans="1:23" x14ac:dyDescent="0.25">
      <c r="A532" s="72"/>
      <c r="B532" s="57"/>
      <c r="C532" s="57"/>
      <c r="D532" s="58"/>
      <c r="E532" s="57"/>
      <c r="F532" s="57"/>
      <c r="G532" s="57"/>
      <c r="H532" s="57"/>
      <c r="I532" s="57"/>
      <c r="J532" s="68"/>
      <c r="K532" s="57"/>
      <c r="L532" s="60"/>
      <c r="M532" s="57"/>
      <c r="N532" s="57"/>
      <c r="O532" s="60"/>
      <c r="P532" s="59"/>
      <c r="Q532" s="60"/>
      <c r="R532" s="60"/>
      <c r="S532" s="59"/>
      <c r="T532" s="63"/>
      <c r="U532" s="60"/>
      <c r="V532" s="74"/>
      <c r="W532" s="59"/>
    </row>
    <row r="533" ht="16.5" customHeight="1" spans="1:23" x14ac:dyDescent="0.25">
      <c r="A533" s="72"/>
      <c r="B533" s="57"/>
      <c r="C533" s="57"/>
      <c r="D533" s="58"/>
      <c r="E533" s="57"/>
      <c r="F533" s="57"/>
      <c r="G533" s="57"/>
      <c r="H533" s="57"/>
      <c r="I533" s="57"/>
      <c r="J533" s="68"/>
      <c r="K533" s="57"/>
      <c r="L533" s="60"/>
      <c r="M533" s="57"/>
      <c r="N533" s="57"/>
      <c r="O533" s="60"/>
      <c r="P533" s="59"/>
      <c r="Q533" s="60"/>
      <c r="R533" s="60"/>
      <c r="S533" s="59"/>
      <c r="T533" s="63"/>
      <c r="U533" s="60"/>
      <c r="V533" s="74"/>
      <c r="W533" s="59"/>
    </row>
    <row r="534" ht="16.5" customHeight="1" spans="1:23" x14ac:dyDescent="0.25">
      <c r="A534" s="72"/>
      <c r="B534" s="57"/>
      <c r="C534" s="57"/>
      <c r="D534" s="58"/>
      <c r="E534" s="57"/>
      <c r="F534" s="57"/>
      <c r="G534" s="57"/>
      <c r="H534" s="57"/>
      <c r="I534" s="57"/>
      <c r="J534" s="68"/>
      <c r="K534" s="57"/>
      <c r="L534" s="60"/>
      <c r="M534" s="57"/>
      <c r="N534" s="57"/>
      <c r="O534" s="60"/>
      <c r="P534" s="59"/>
      <c r="Q534" s="60"/>
      <c r="R534" s="60"/>
      <c r="S534" s="59"/>
      <c r="T534" s="63"/>
      <c r="U534" s="60"/>
      <c r="V534" s="74"/>
      <c r="W534" s="59"/>
    </row>
    <row r="535" ht="16.5" customHeight="1" spans="1:23" x14ac:dyDescent="0.25">
      <c r="A535" s="72"/>
      <c r="B535" s="57"/>
      <c r="C535" s="57"/>
      <c r="D535" s="58"/>
      <c r="E535" s="57"/>
      <c r="F535" s="57"/>
      <c r="G535" s="57"/>
      <c r="H535" s="57"/>
      <c r="I535" s="57"/>
      <c r="J535" s="68"/>
      <c r="K535" s="57"/>
      <c r="L535" s="60"/>
      <c r="M535" s="57"/>
      <c r="N535" s="57"/>
      <c r="O535" s="60"/>
      <c r="P535" s="59"/>
      <c r="Q535" s="60"/>
      <c r="R535" s="60"/>
      <c r="S535" s="59"/>
      <c r="T535" s="63"/>
      <c r="U535" s="60"/>
      <c r="V535" s="74"/>
      <c r="W535" s="59"/>
    </row>
    <row r="536" ht="16.5" customHeight="1" spans="1:23" x14ac:dyDescent="0.25">
      <c r="A536" s="72"/>
      <c r="B536" s="57"/>
      <c r="C536" s="57"/>
      <c r="D536" s="58"/>
      <c r="E536" s="57"/>
      <c r="F536" s="57"/>
      <c r="G536" s="57"/>
      <c r="H536" s="57"/>
      <c r="I536" s="57"/>
      <c r="J536" s="68"/>
      <c r="K536" s="57"/>
      <c r="L536" s="60"/>
      <c r="M536" s="57"/>
      <c r="N536" s="57"/>
      <c r="O536" s="60"/>
      <c r="P536" s="59"/>
      <c r="Q536" s="60"/>
      <c r="R536" s="60"/>
      <c r="S536" s="59"/>
      <c r="T536" s="63"/>
      <c r="U536" s="60"/>
      <c r="V536" s="74"/>
      <c r="W536" s="59"/>
    </row>
    <row r="537" ht="16.5" customHeight="1" spans="1:23" x14ac:dyDescent="0.25">
      <c r="A537" s="72"/>
      <c r="B537" s="57"/>
      <c r="C537" s="57"/>
      <c r="D537" s="58"/>
      <c r="E537" s="57"/>
      <c r="F537" s="57"/>
      <c r="G537" s="57"/>
      <c r="H537" s="57"/>
      <c r="I537" s="57"/>
      <c r="J537" s="68"/>
      <c r="K537" s="57"/>
      <c r="L537" s="60"/>
      <c r="M537" s="57"/>
      <c r="N537" s="57"/>
      <c r="O537" s="60"/>
      <c r="P537" s="59"/>
      <c r="Q537" s="60"/>
      <c r="R537" s="60"/>
      <c r="S537" s="59"/>
      <c r="T537" s="63"/>
      <c r="U537" s="60"/>
      <c r="V537" s="74"/>
      <c r="W537" s="59"/>
    </row>
    <row r="538" ht="16.5" customHeight="1" spans="1:23" x14ac:dyDescent="0.25">
      <c r="A538" s="72"/>
      <c r="B538" s="57"/>
      <c r="C538" s="57"/>
      <c r="D538" s="58"/>
      <c r="E538" s="57"/>
      <c r="F538" s="57"/>
      <c r="G538" s="57"/>
      <c r="H538" s="57"/>
      <c r="I538" s="57"/>
      <c r="J538" s="68"/>
      <c r="K538" s="57"/>
      <c r="L538" s="60"/>
      <c r="M538" s="57"/>
      <c r="N538" s="57"/>
      <c r="O538" s="60"/>
      <c r="P538" s="59"/>
      <c r="Q538" s="60"/>
      <c r="R538" s="60"/>
      <c r="S538" s="59"/>
      <c r="T538" s="63"/>
      <c r="U538" s="60"/>
      <c r="V538" s="74"/>
      <c r="W538" s="59"/>
    </row>
    <row r="539" ht="16.5" customHeight="1" spans="1:23" x14ac:dyDescent="0.25">
      <c r="A539" s="72"/>
      <c r="B539" s="57"/>
      <c r="C539" s="57"/>
      <c r="D539" s="58"/>
      <c r="E539" s="57"/>
      <c r="F539" s="57"/>
      <c r="G539" s="57"/>
      <c r="H539" s="57"/>
      <c r="I539" s="57"/>
      <c r="J539" s="68"/>
      <c r="K539" s="57"/>
      <c r="L539" s="60"/>
      <c r="M539" s="57"/>
      <c r="N539" s="57"/>
      <c r="O539" s="60"/>
      <c r="P539" s="59"/>
      <c r="Q539" s="60"/>
      <c r="R539" s="60"/>
      <c r="S539" s="59"/>
      <c r="T539" s="63"/>
      <c r="U539" s="60"/>
      <c r="V539" s="74"/>
      <c r="W539" s="59"/>
    </row>
    <row r="540" ht="16.5" customHeight="1" spans="1:23" x14ac:dyDescent="0.25">
      <c r="A540" s="72"/>
      <c r="B540" s="57"/>
      <c r="C540" s="57"/>
      <c r="D540" s="58"/>
      <c r="E540" s="57"/>
      <c r="F540" s="57"/>
      <c r="G540" s="57"/>
      <c r="H540" s="57"/>
      <c r="I540" s="57"/>
      <c r="J540" s="68"/>
      <c r="K540" s="57"/>
      <c r="L540" s="60"/>
      <c r="M540" s="57"/>
      <c r="N540" s="57"/>
      <c r="O540" s="60"/>
      <c r="P540" s="59"/>
      <c r="Q540" s="60"/>
      <c r="R540" s="60"/>
      <c r="S540" s="59"/>
      <c r="T540" s="63"/>
      <c r="U540" s="60"/>
      <c r="V540" s="74"/>
      <c r="W540" s="59"/>
    </row>
    <row r="541" ht="16.5" customHeight="1" spans="1:23" x14ac:dyDescent="0.25">
      <c r="A541" s="72"/>
      <c r="B541" s="57"/>
      <c r="C541" s="57"/>
      <c r="D541" s="58"/>
      <c r="E541" s="57"/>
      <c r="F541" s="57"/>
      <c r="G541" s="57"/>
      <c r="H541" s="57"/>
      <c r="I541" s="57"/>
      <c r="J541" s="68"/>
      <c r="K541" s="57"/>
      <c r="L541" s="60"/>
      <c r="M541" s="57"/>
      <c r="N541" s="57"/>
      <c r="O541" s="60"/>
      <c r="P541" s="59"/>
      <c r="Q541" s="60"/>
      <c r="R541" s="60"/>
      <c r="S541" s="59"/>
      <c r="T541" s="63"/>
      <c r="U541" s="60"/>
      <c r="V541" s="74"/>
      <c r="W541" s="59"/>
    </row>
    <row r="542" ht="16.5" customHeight="1" spans="1:23" x14ac:dyDescent="0.25">
      <c r="A542" s="72"/>
      <c r="B542" s="57"/>
      <c r="C542" s="57"/>
      <c r="D542" s="58"/>
      <c r="E542" s="57"/>
      <c r="F542" s="57"/>
      <c r="G542" s="57"/>
      <c r="H542" s="57"/>
      <c r="I542" s="57"/>
      <c r="J542" s="68"/>
      <c r="K542" s="57"/>
      <c r="L542" s="60"/>
      <c r="M542" s="57"/>
      <c r="N542" s="57"/>
      <c r="O542" s="60"/>
      <c r="P542" s="59"/>
      <c r="Q542" s="60"/>
      <c r="R542" s="60"/>
      <c r="S542" s="59"/>
      <c r="T542" s="63"/>
      <c r="U542" s="60"/>
      <c r="V542" s="74"/>
      <c r="W542" s="59"/>
    </row>
    <row r="543" ht="16.5" customHeight="1" spans="1:23" x14ac:dyDescent="0.25">
      <c r="A543" s="72"/>
      <c r="B543" s="57"/>
      <c r="C543" s="57"/>
      <c r="D543" s="58"/>
      <c r="E543" s="57"/>
      <c r="F543" s="57"/>
      <c r="G543" s="57"/>
      <c r="H543" s="57"/>
      <c r="I543" s="57"/>
      <c r="J543" s="68"/>
      <c r="K543" s="57"/>
      <c r="L543" s="60"/>
      <c r="M543" s="57"/>
      <c r="N543" s="57"/>
      <c r="O543" s="60"/>
      <c r="P543" s="59"/>
      <c r="Q543" s="60"/>
      <c r="R543" s="60"/>
      <c r="S543" s="59"/>
      <c r="T543" s="63"/>
      <c r="U543" s="60"/>
      <c r="V543" s="74"/>
      <c r="W543" s="59"/>
    </row>
    <row r="544" ht="16.5" customHeight="1" spans="1:23" x14ac:dyDescent="0.25">
      <c r="A544" s="72"/>
      <c r="B544" s="57"/>
      <c r="C544" s="57"/>
      <c r="D544" s="58"/>
      <c r="E544" s="57"/>
      <c r="F544" s="57"/>
      <c r="G544" s="57"/>
      <c r="H544" s="57"/>
      <c r="I544" s="57"/>
      <c r="J544" s="68"/>
      <c r="K544" s="57"/>
      <c r="L544" s="60"/>
      <c r="M544" s="57"/>
      <c r="N544" s="57"/>
      <c r="O544" s="60"/>
      <c r="P544" s="59"/>
      <c r="Q544" s="60"/>
      <c r="R544" s="60"/>
      <c r="S544" s="59"/>
      <c r="T544" s="63"/>
      <c r="U544" s="60"/>
      <c r="V544" s="74"/>
      <c r="W544" s="59"/>
    </row>
    <row r="545" ht="16.5" customHeight="1" spans="1:23" x14ac:dyDescent="0.25">
      <c r="A545" s="72"/>
      <c r="B545" s="57"/>
      <c r="C545" s="57"/>
      <c r="D545" s="58"/>
      <c r="E545" s="57"/>
      <c r="F545" s="57"/>
      <c r="G545" s="57"/>
      <c r="H545" s="57"/>
      <c r="I545" s="57"/>
      <c r="J545" s="68"/>
      <c r="K545" s="57"/>
      <c r="L545" s="60"/>
      <c r="M545" s="57"/>
      <c r="N545" s="57"/>
      <c r="O545" s="60"/>
      <c r="P545" s="59"/>
      <c r="Q545" s="60"/>
      <c r="R545" s="60"/>
      <c r="S545" s="59"/>
      <c r="T545" s="63"/>
      <c r="U545" s="60"/>
      <c r="V545" s="74"/>
      <c r="W545" s="59"/>
    </row>
    <row r="546" ht="16.5" customHeight="1" spans="1:23" x14ac:dyDescent="0.25">
      <c r="A546" s="72"/>
      <c r="B546" s="57"/>
      <c r="C546" s="57"/>
      <c r="D546" s="58"/>
      <c r="E546" s="57"/>
      <c r="F546" s="57"/>
      <c r="G546" s="57"/>
      <c r="H546" s="57"/>
      <c r="I546" s="57"/>
      <c r="J546" s="68"/>
      <c r="K546" s="57"/>
      <c r="L546" s="60"/>
      <c r="M546" s="57"/>
      <c r="N546" s="57"/>
      <c r="O546" s="60"/>
      <c r="P546" s="59"/>
      <c r="Q546" s="60"/>
      <c r="R546" s="60"/>
      <c r="S546" s="59"/>
      <c r="T546" s="63"/>
      <c r="U546" s="60"/>
      <c r="V546" s="74"/>
      <c r="W546" s="59"/>
    </row>
    <row r="547" ht="16.5" customHeight="1" spans="1:23" x14ac:dyDescent="0.25">
      <c r="A547" s="72"/>
      <c r="B547" s="57"/>
      <c r="C547" s="57"/>
      <c r="D547" s="58"/>
      <c r="E547" s="57"/>
      <c r="F547" s="57"/>
      <c r="G547" s="57"/>
      <c r="H547" s="57"/>
      <c r="I547" s="57"/>
      <c r="J547" s="68"/>
      <c r="K547" s="57"/>
      <c r="L547" s="60"/>
      <c r="M547" s="57"/>
      <c r="N547" s="57"/>
      <c r="O547" s="60"/>
      <c r="P547" s="59"/>
      <c r="Q547" s="60"/>
      <c r="R547" s="60"/>
      <c r="S547" s="59"/>
      <c r="T547" s="63"/>
      <c r="U547" s="60"/>
      <c r="V547" s="74"/>
      <c r="W547" s="59"/>
    </row>
    <row r="548" ht="16.5" customHeight="1" spans="1:23" x14ac:dyDescent="0.25">
      <c r="A548" s="72"/>
      <c r="B548" s="57"/>
      <c r="C548" s="57"/>
      <c r="D548" s="58"/>
      <c r="E548" s="57"/>
      <c r="F548" s="57"/>
      <c r="G548" s="57"/>
      <c r="H548" s="57"/>
      <c r="I548" s="57"/>
      <c r="J548" s="68"/>
      <c r="K548" s="57"/>
      <c r="L548" s="60"/>
      <c r="M548" s="57"/>
      <c r="N548" s="57"/>
      <c r="O548" s="60"/>
      <c r="P548" s="59"/>
      <c r="Q548" s="60"/>
      <c r="R548" s="60"/>
      <c r="S548" s="59"/>
      <c r="T548" s="63"/>
      <c r="U548" s="60"/>
      <c r="V548" s="74"/>
      <c r="W548" s="59"/>
    </row>
    <row r="549" ht="16.5" customHeight="1" spans="1:23" x14ac:dyDescent="0.25">
      <c r="A549" s="72"/>
      <c r="B549" s="57"/>
      <c r="C549" s="57"/>
      <c r="D549" s="58"/>
      <c r="E549" s="57"/>
      <c r="F549" s="57"/>
      <c r="G549" s="57"/>
      <c r="H549" s="57"/>
      <c r="I549" s="57"/>
      <c r="J549" s="68"/>
      <c r="K549" s="57"/>
      <c r="L549" s="60"/>
      <c r="M549" s="57"/>
      <c r="N549" s="57"/>
      <c r="O549" s="60"/>
      <c r="P549" s="59"/>
      <c r="Q549" s="60"/>
      <c r="R549" s="60"/>
      <c r="S549" s="59"/>
      <c r="T549" s="63"/>
      <c r="U549" s="60"/>
      <c r="V549" s="74"/>
      <c r="W549" s="59"/>
    </row>
    <row r="550" ht="16.5" customHeight="1" spans="1:23" x14ac:dyDescent="0.25">
      <c r="A550" s="72"/>
      <c r="B550" s="57"/>
      <c r="C550" s="57"/>
      <c r="D550" s="58"/>
      <c r="E550" s="57"/>
      <c r="F550" s="57"/>
      <c r="G550" s="57"/>
      <c r="H550" s="57"/>
      <c r="I550" s="57"/>
      <c r="J550" s="68"/>
      <c r="K550" s="57"/>
      <c r="L550" s="60"/>
      <c r="M550" s="57"/>
      <c r="N550" s="57"/>
      <c r="O550" s="60"/>
      <c r="P550" s="59"/>
      <c r="Q550" s="60"/>
      <c r="R550" s="60"/>
      <c r="S550" s="59"/>
      <c r="T550" s="63"/>
      <c r="U550" s="60"/>
      <c r="V550" s="74"/>
      <c r="W550" s="59"/>
    </row>
    <row r="551" ht="16.5" customHeight="1" spans="1:23" x14ac:dyDescent="0.25">
      <c r="A551" s="72"/>
      <c r="B551" s="57"/>
      <c r="C551" s="57"/>
      <c r="D551" s="58"/>
      <c r="E551" s="57"/>
      <c r="F551" s="57"/>
      <c r="G551" s="57"/>
      <c r="H551" s="57"/>
      <c r="I551" s="57"/>
      <c r="J551" s="68"/>
      <c r="K551" s="57"/>
      <c r="L551" s="60"/>
      <c r="M551" s="57"/>
      <c r="N551" s="57"/>
      <c r="O551" s="60"/>
      <c r="P551" s="59"/>
      <c r="Q551" s="60"/>
      <c r="R551" s="60"/>
      <c r="S551" s="59"/>
      <c r="T551" s="63"/>
      <c r="U551" s="60"/>
      <c r="V551" s="74"/>
      <c r="W551" s="59"/>
    </row>
    <row r="552" ht="16.5" customHeight="1" spans="1:23" x14ac:dyDescent="0.25">
      <c r="A552" s="72"/>
      <c r="B552" s="57"/>
      <c r="C552" s="57"/>
      <c r="D552" s="58"/>
      <c r="E552" s="57"/>
      <c r="F552" s="57"/>
      <c r="G552" s="57"/>
      <c r="H552" s="57"/>
      <c r="I552" s="57"/>
      <c r="J552" s="68"/>
      <c r="K552" s="57"/>
      <c r="L552" s="60"/>
      <c r="M552" s="57"/>
      <c r="N552" s="57"/>
      <c r="O552" s="60"/>
      <c r="P552" s="59"/>
      <c r="Q552" s="60"/>
      <c r="R552" s="60"/>
      <c r="S552" s="59"/>
      <c r="T552" s="63"/>
      <c r="U552" s="60"/>
      <c r="V552" s="74"/>
      <c r="W552" s="59"/>
    </row>
    <row r="553" ht="16.5" customHeight="1" spans="1:23" x14ac:dyDescent="0.25">
      <c r="A553" s="72"/>
      <c r="B553" s="57"/>
      <c r="C553" s="57"/>
      <c r="D553" s="58"/>
      <c r="E553" s="57"/>
      <c r="F553" s="57"/>
      <c r="G553" s="57"/>
      <c r="H553" s="57"/>
      <c r="I553" s="57"/>
      <c r="J553" s="68"/>
      <c r="K553" s="57"/>
      <c r="L553" s="60"/>
      <c r="M553" s="57"/>
      <c r="N553" s="57"/>
      <c r="O553" s="60"/>
      <c r="P553" s="59"/>
      <c r="Q553" s="60"/>
      <c r="R553" s="60"/>
      <c r="S553" s="59"/>
      <c r="T553" s="63"/>
      <c r="U553" s="60"/>
      <c r="V553" s="74"/>
      <c r="W553" s="59"/>
    </row>
    <row r="554" ht="16.5" customHeight="1" spans="1:23" x14ac:dyDescent="0.25">
      <c r="A554" s="72"/>
      <c r="B554" s="57"/>
      <c r="C554" s="57"/>
      <c r="D554" s="58"/>
      <c r="E554" s="57"/>
      <c r="F554" s="57"/>
      <c r="G554" s="57"/>
      <c r="H554" s="57"/>
      <c r="I554" s="57"/>
      <c r="J554" s="68"/>
      <c r="K554" s="57"/>
      <c r="L554" s="60"/>
      <c r="M554" s="57"/>
      <c r="N554" s="57"/>
      <c r="O554" s="60"/>
      <c r="P554" s="59"/>
      <c r="Q554" s="60"/>
      <c r="R554" s="60"/>
      <c r="S554" s="59"/>
      <c r="T554" s="63"/>
      <c r="U554" s="60"/>
      <c r="V554" s="74"/>
      <c r="W554" s="59"/>
    </row>
    <row r="555" ht="16.5" customHeight="1" spans="1:23" x14ac:dyDescent="0.25">
      <c r="A555" s="72"/>
      <c r="B555" s="57"/>
      <c r="C555" s="57"/>
      <c r="D555" s="58"/>
      <c r="E555" s="57"/>
      <c r="F555" s="57"/>
      <c r="G555" s="57"/>
      <c r="H555" s="57"/>
      <c r="I555" s="57"/>
      <c r="J555" s="68"/>
      <c r="K555" s="57"/>
      <c r="L555" s="60"/>
      <c r="M555" s="57"/>
      <c r="N555" s="57"/>
      <c r="O555" s="60"/>
      <c r="P555" s="59"/>
      <c r="Q555" s="60"/>
      <c r="R555" s="60"/>
      <c r="S555" s="59"/>
      <c r="T555" s="63"/>
      <c r="U555" s="60"/>
      <c r="V555" s="74"/>
      <c r="W555" s="59"/>
    </row>
    <row r="556" ht="16.5" customHeight="1" spans="1:23" x14ac:dyDescent="0.25">
      <c r="A556" s="72"/>
      <c r="B556" s="57"/>
      <c r="C556" s="57"/>
      <c r="D556" s="58"/>
      <c r="E556" s="57"/>
      <c r="F556" s="57"/>
      <c r="G556" s="57"/>
      <c r="H556" s="57"/>
      <c r="I556" s="57"/>
      <c r="J556" s="68"/>
      <c r="K556" s="57"/>
      <c r="L556" s="60"/>
      <c r="M556" s="57"/>
      <c r="N556" s="57"/>
      <c r="O556" s="60"/>
      <c r="P556" s="59"/>
      <c r="Q556" s="60"/>
      <c r="R556" s="60"/>
      <c r="S556" s="59"/>
      <c r="T556" s="63"/>
      <c r="U556" s="60"/>
      <c r="V556" s="74"/>
      <c r="W556" s="59"/>
    </row>
    <row r="557" ht="16.5" customHeight="1" spans="1:23" x14ac:dyDescent="0.25">
      <c r="A557" s="72"/>
      <c r="B557" s="57"/>
      <c r="C557" s="57"/>
      <c r="D557" s="58"/>
      <c r="E557" s="57"/>
      <c r="F557" s="57"/>
      <c r="G557" s="57"/>
      <c r="H557" s="57"/>
      <c r="I557" s="57"/>
      <c r="J557" s="68"/>
      <c r="K557" s="57"/>
      <c r="L557" s="60"/>
      <c r="M557" s="57"/>
      <c r="N557" s="57"/>
      <c r="O557" s="60"/>
      <c r="P557" s="59"/>
      <c r="Q557" s="60"/>
      <c r="R557" s="60"/>
      <c r="S557" s="59"/>
      <c r="T557" s="63"/>
      <c r="U557" s="60"/>
      <c r="V557" s="74"/>
      <c r="W557" s="59"/>
    </row>
    <row r="558" ht="16.5" customHeight="1" spans="1:23" x14ac:dyDescent="0.25">
      <c r="A558" s="72"/>
      <c r="B558" s="57"/>
      <c r="C558" s="57"/>
      <c r="D558" s="58"/>
      <c r="E558" s="57"/>
      <c r="F558" s="57"/>
      <c r="G558" s="57"/>
      <c r="H558" s="57"/>
      <c r="I558" s="57"/>
      <c r="J558" s="68"/>
      <c r="K558" s="57"/>
      <c r="L558" s="60"/>
      <c r="M558" s="57"/>
      <c r="N558" s="57"/>
      <c r="O558" s="60"/>
      <c r="P558" s="59"/>
      <c r="Q558" s="60"/>
      <c r="R558" s="60"/>
      <c r="S558" s="59"/>
      <c r="T558" s="63"/>
      <c r="U558" s="60"/>
      <c r="V558" s="74"/>
      <c r="W558" s="59"/>
    </row>
    <row r="559" ht="16.5" customHeight="1" spans="1:23" x14ac:dyDescent="0.25">
      <c r="A559" s="72"/>
      <c r="B559" s="57"/>
      <c r="C559" s="57"/>
      <c r="D559" s="58"/>
      <c r="E559" s="57"/>
      <c r="F559" s="57"/>
      <c r="G559" s="57"/>
      <c r="H559" s="57"/>
      <c r="I559" s="57"/>
      <c r="J559" s="68"/>
      <c r="K559" s="57"/>
      <c r="L559" s="60"/>
      <c r="M559" s="57"/>
      <c r="N559" s="57"/>
      <c r="O559" s="60"/>
      <c r="P559" s="59"/>
      <c r="Q559" s="60"/>
      <c r="R559" s="60"/>
      <c r="S559" s="59"/>
      <c r="T559" s="63"/>
      <c r="U559" s="60"/>
      <c r="V559" s="74"/>
      <c r="W559" s="59"/>
    </row>
    <row r="560" ht="16.5" customHeight="1" spans="1:23" x14ac:dyDescent="0.25">
      <c r="A560" s="72"/>
      <c r="B560" s="57"/>
      <c r="C560" s="57"/>
      <c r="D560" s="58"/>
      <c r="E560" s="57"/>
      <c r="F560" s="57"/>
      <c r="G560" s="57"/>
      <c r="H560" s="57"/>
      <c r="I560" s="57"/>
      <c r="J560" s="68"/>
      <c r="K560" s="57"/>
      <c r="L560" s="60"/>
      <c r="M560" s="57"/>
      <c r="N560" s="57"/>
      <c r="O560" s="60"/>
      <c r="P560" s="59"/>
      <c r="Q560" s="60"/>
      <c r="R560" s="60"/>
      <c r="S560" s="59"/>
      <c r="T560" s="63"/>
      <c r="U560" s="60"/>
      <c r="V560" s="74"/>
      <c r="W560" s="59"/>
    </row>
    <row r="561" ht="16.5" customHeight="1" spans="1:23" x14ac:dyDescent="0.25">
      <c r="A561" s="72"/>
      <c r="B561" s="57"/>
      <c r="C561" s="57"/>
      <c r="D561" s="58"/>
      <c r="E561" s="57"/>
      <c r="F561" s="57"/>
      <c r="G561" s="57"/>
      <c r="H561" s="57"/>
      <c r="I561" s="57"/>
      <c r="J561" s="68"/>
      <c r="K561" s="57"/>
      <c r="L561" s="60"/>
      <c r="M561" s="57"/>
      <c r="N561" s="57"/>
      <c r="O561" s="60"/>
      <c r="P561" s="59"/>
      <c r="Q561" s="60"/>
      <c r="R561" s="60"/>
      <c r="S561" s="59"/>
      <c r="T561" s="63"/>
      <c r="U561" s="60"/>
      <c r="V561" s="74"/>
      <c r="W561" s="59"/>
    </row>
    <row r="562" ht="16.5" customHeight="1" spans="1:23" x14ac:dyDescent="0.25">
      <c r="A562" s="72"/>
      <c r="B562" s="57"/>
      <c r="C562" s="57"/>
      <c r="D562" s="58"/>
      <c r="E562" s="57"/>
      <c r="F562" s="57"/>
      <c r="G562" s="57"/>
      <c r="H562" s="57"/>
      <c r="I562" s="57"/>
      <c r="J562" s="68"/>
      <c r="K562" s="57"/>
      <c r="L562" s="60"/>
      <c r="M562" s="57"/>
      <c r="N562" s="57"/>
      <c r="O562" s="60"/>
      <c r="P562" s="59"/>
      <c r="Q562" s="60"/>
      <c r="R562" s="60"/>
      <c r="S562" s="59"/>
      <c r="T562" s="63"/>
      <c r="U562" s="60"/>
      <c r="V562" s="74"/>
      <c r="W562" s="59"/>
    </row>
    <row r="563" ht="16.5" customHeight="1" spans="1:23" x14ac:dyDescent="0.25">
      <c r="A563" s="72"/>
      <c r="B563" s="57"/>
      <c r="C563" s="57"/>
      <c r="D563" s="58"/>
      <c r="E563" s="57"/>
      <c r="F563" s="57"/>
      <c r="G563" s="57"/>
      <c r="H563" s="57"/>
      <c r="I563" s="57"/>
      <c r="J563" s="68"/>
      <c r="K563" s="57"/>
      <c r="L563" s="60"/>
      <c r="M563" s="57"/>
      <c r="N563" s="57"/>
      <c r="O563" s="60"/>
      <c r="P563" s="59"/>
      <c r="Q563" s="60"/>
      <c r="R563" s="60"/>
      <c r="S563" s="59"/>
      <c r="T563" s="63"/>
      <c r="U563" s="60"/>
      <c r="V563" s="74"/>
      <c r="W563" s="59"/>
    </row>
    <row r="564" ht="16.5" customHeight="1" spans="1:23" x14ac:dyDescent="0.25">
      <c r="A564" s="72"/>
      <c r="B564" s="57"/>
      <c r="C564" s="57"/>
      <c r="D564" s="58"/>
      <c r="E564" s="57"/>
      <c r="F564" s="57"/>
      <c r="G564" s="57"/>
      <c r="H564" s="57"/>
      <c r="I564" s="57"/>
      <c r="J564" s="68"/>
      <c r="K564" s="57"/>
      <c r="L564" s="60"/>
      <c r="M564" s="57"/>
      <c r="N564" s="57"/>
      <c r="O564" s="60"/>
      <c r="P564" s="59"/>
      <c r="Q564" s="60"/>
      <c r="R564" s="60"/>
      <c r="S564" s="59"/>
      <c r="T564" s="63"/>
      <c r="U564" s="60"/>
      <c r="V564" s="74"/>
      <c r="W564" s="59"/>
    </row>
    <row r="565" ht="16.5" customHeight="1" spans="1:23" x14ac:dyDescent="0.25">
      <c r="A565" s="72"/>
      <c r="B565" s="57"/>
      <c r="C565" s="57"/>
      <c r="D565" s="58"/>
      <c r="E565" s="57"/>
      <c r="F565" s="57"/>
      <c r="G565" s="57"/>
      <c r="H565" s="57"/>
      <c r="I565" s="57"/>
      <c r="J565" s="68"/>
      <c r="K565" s="57"/>
      <c r="L565" s="60"/>
      <c r="M565" s="57"/>
      <c r="N565" s="57"/>
      <c r="O565" s="60"/>
      <c r="P565" s="59"/>
      <c r="Q565" s="60"/>
      <c r="R565" s="60"/>
      <c r="S565" s="59"/>
      <c r="T565" s="63"/>
      <c r="U565" s="60"/>
      <c r="V565" s="74"/>
      <c r="W565" s="59"/>
    </row>
    <row r="566" ht="16.5" customHeight="1" spans="1:23" x14ac:dyDescent="0.25">
      <c r="A566" s="72"/>
      <c r="B566" s="57"/>
      <c r="C566" s="57"/>
      <c r="D566" s="58"/>
      <c r="E566" s="57"/>
      <c r="F566" s="57"/>
      <c r="G566" s="57"/>
      <c r="H566" s="57"/>
      <c r="I566" s="57"/>
      <c r="J566" s="68"/>
      <c r="K566" s="57"/>
      <c r="L566" s="60"/>
      <c r="M566" s="57"/>
      <c r="N566" s="57"/>
      <c r="O566" s="60"/>
      <c r="P566" s="59"/>
      <c r="Q566" s="60"/>
      <c r="R566" s="60"/>
      <c r="S566" s="59"/>
      <c r="T566" s="63"/>
      <c r="U566" s="60"/>
      <c r="V566" s="74"/>
      <c r="W566" s="59"/>
    </row>
    <row r="567" ht="16.5" customHeight="1" spans="1:23" x14ac:dyDescent="0.25">
      <c r="A567" s="72"/>
      <c r="B567" s="57"/>
      <c r="C567" s="57"/>
      <c r="D567" s="58"/>
      <c r="E567" s="57"/>
      <c r="F567" s="57"/>
      <c r="G567" s="57"/>
      <c r="H567" s="57"/>
      <c r="I567" s="57"/>
      <c r="J567" s="68"/>
      <c r="K567" s="57"/>
      <c r="L567" s="60"/>
      <c r="M567" s="57"/>
      <c r="N567" s="57"/>
      <c r="O567" s="60"/>
      <c r="P567" s="59"/>
      <c r="Q567" s="60"/>
      <c r="R567" s="60"/>
      <c r="S567" s="59"/>
      <c r="T567" s="63"/>
      <c r="U567" s="60"/>
      <c r="V567" s="74"/>
      <c r="W567" s="59"/>
    </row>
    <row r="568" ht="16.5" customHeight="1" spans="1:23" x14ac:dyDescent="0.25">
      <c r="A568" s="72"/>
      <c r="B568" s="57"/>
      <c r="C568" s="57"/>
      <c r="D568" s="58"/>
      <c r="E568" s="57"/>
      <c r="F568" s="57"/>
      <c r="G568" s="57"/>
      <c r="H568" s="57"/>
      <c r="I568" s="57"/>
      <c r="J568" s="68"/>
      <c r="K568" s="57"/>
      <c r="L568" s="60"/>
      <c r="M568" s="57"/>
      <c r="N568" s="57"/>
      <c r="O568" s="60"/>
      <c r="P568" s="59"/>
      <c r="Q568" s="60"/>
      <c r="R568" s="60"/>
      <c r="S568" s="59"/>
      <c r="T568" s="63"/>
      <c r="U568" s="60"/>
      <c r="V568" s="74"/>
      <c r="W568" s="59"/>
    </row>
    <row r="569" ht="16.5" customHeight="1" spans="1:23" x14ac:dyDescent="0.25">
      <c r="A569" s="72"/>
      <c r="B569" s="57"/>
      <c r="C569" s="57"/>
      <c r="D569" s="58"/>
      <c r="E569" s="57"/>
      <c r="F569" s="57"/>
      <c r="G569" s="57"/>
      <c r="H569" s="57"/>
      <c r="I569" s="57"/>
      <c r="J569" s="68"/>
      <c r="K569" s="57"/>
      <c r="L569" s="60"/>
      <c r="M569" s="57"/>
      <c r="N569" s="57"/>
      <c r="O569" s="60"/>
      <c r="P569" s="59"/>
      <c r="Q569" s="60"/>
      <c r="R569" s="60"/>
      <c r="S569" s="59"/>
      <c r="T569" s="63"/>
      <c r="U569" s="60"/>
      <c r="V569" s="59"/>
      <c r="W569" s="59"/>
    </row>
    <row r="570" ht="16.5" customHeight="1" spans="1:23" x14ac:dyDescent="0.25">
      <c r="A570" s="72"/>
      <c r="B570" s="57"/>
      <c r="C570" s="57"/>
      <c r="D570" s="58"/>
      <c r="E570" s="57"/>
      <c r="F570" s="57"/>
      <c r="G570" s="57"/>
      <c r="H570" s="57"/>
      <c r="I570" s="57"/>
      <c r="J570" s="68"/>
      <c r="K570" s="57"/>
      <c r="L570" s="60"/>
      <c r="M570" s="57"/>
      <c r="N570" s="57"/>
      <c r="O570" s="60"/>
      <c r="P570" s="59"/>
      <c r="Q570" s="60"/>
      <c r="R570" s="60"/>
      <c r="S570" s="59"/>
      <c r="T570" s="63"/>
      <c r="U570" s="60"/>
      <c r="V570" s="59"/>
      <c r="W570" s="59"/>
    </row>
    <row r="571" ht="16.5" customHeight="1" spans="1:23" x14ac:dyDescent="0.25">
      <c r="A571" s="72"/>
      <c r="B571" s="57"/>
      <c r="C571" s="57"/>
      <c r="D571" s="58"/>
      <c r="E571" s="57"/>
      <c r="F571" s="57"/>
      <c r="G571" s="57"/>
      <c r="H571" s="57"/>
      <c r="I571" s="57"/>
      <c r="J571" s="68"/>
      <c r="K571" s="57"/>
      <c r="L571" s="60"/>
      <c r="M571" s="57"/>
      <c r="N571" s="57"/>
      <c r="O571" s="60"/>
      <c r="P571" s="59"/>
      <c r="Q571" s="60"/>
      <c r="R571" s="60"/>
      <c r="S571" s="59"/>
      <c r="T571" s="63"/>
      <c r="U571" s="60"/>
      <c r="V571" s="59"/>
      <c r="W571" s="59"/>
    </row>
    <row r="572" ht="16.5" customHeight="1" spans="1:23" x14ac:dyDescent="0.25">
      <c r="A572" s="72"/>
      <c r="B572" s="57"/>
      <c r="C572" s="57"/>
      <c r="D572" s="58"/>
      <c r="E572" s="57"/>
      <c r="F572" s="57"/>
      <c r="G572" s="57"/>
      <c r="H572" s="57"/>
      <c r="I572" s="57"/>
      <c r="J572" s="68"/>
      <c r="K572" s="57"/>
      <c r="L572" s="60"/>
      <c r="M572" s="57"/>
      <c r="N572" s="57"/>
      <c r="O572" s="60"/>
      <c r="P572" s="59"/>
      <c r="Q572" s="60"/>
      <c r="R572" s="60"/>
      <c r="S572" s="59"/>
      <c r="T572" s="63"/>
      <c r="U572" s="60"/>
      <c r="V572" s="59"/>
      <c r="W572" s="59"/>
    </row>
    <row r="573" ht="16.5" customHeight="1" spans="1:23" x14ac:dyDescent="0.25">
      <c r="A573" s="72"/>
      <c r="B573" s="57"/>
      <c r="C573" s="57"/>
      <c r="D573" s="58"/>
      <c r="E573" s="57"/>
      <c r="F573" s="57"/>
      <c r="G573" s="57"/>
      <c r="H573" s="57"/>
      <c r="I573" s="57"/>
      <c r="J573" s="68"/>
      <c r="K573" s="57"/>
      <c r="L573" s="60"/>
      <c r="M573" s="57"/>
      <c r="N573" s="57"/>
      <c r="O573" s="60"/>
      <c r="P573" s="59"/>
      <c r="Q573" s="60"/>
      <c r="R573" s="60"/>
      <c r="S573" s="59"/>
      <c r="T573" s="63"/>
      <c r="U573" s="60"/>
      <c r="V573" s="59"/>
      <c r="W573" s="59"/>
    </row>
    <row r="574" ht="16.5" customHeight="1" spans="1:23" x14ac:dyDescent="0.25">
      <c r="A574" s="72"/>
      <c r="B574" s="57"/>
      <c r="C574" s="57"/>
      <c r="D574" s="58"/>
      <c r="E574" s="57"/>
      <c r="F574" s="57"/>
      <c r="G574" s="57"/>
      <c r="H574" s="57"/>
      <c r="I574" s="57"/>
      <c r="J574" s="68"/>
      <c r="K574" s="57"/>
      <c r="L574" s="60"/>
      <c r="M574" s="57"/>
      <c r="N574" s="57"/>
      <c r="O574" s="60"/>
      <c r="P574" s="59"/>
      <c r="Q574" s="60"/>
      <c r="R574" s="60"/>
      <c r="S574" s="59"/>
      <c r="T574" s="63"/>
      <c r="U574" s="60"/>
      <c r="V574" s="59"/>
      <c r="W574" s="59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5" customWidth="1"/>
    <col min="2" max="2" width="10.875" style="76" customWidth="1"/>
    <col min="3" max="3" width="10.875" style="75" customWidth="1"/>
    <col min="4" max="4" width="9.125" style="75" customWidth="1"/>
    <col min="5" max="5" width="8.875" style="75" customWidth="1"/>
    <col min="6" max="9" width="5.75" style="75" customWidth="1"/>
    <col min="10" max="10" width="8.375" style="75" customWidth="1"/>
    <col min="11" max="11" width="6.625" style="76" customWidth="1"/>
    <col min="12" max="12" width="7.125" style="76" customWidth="1"/>
    <col min="13" max="16" width="6.625" style="76" customWidth="1"/>
    <col min="17" max="17" width="3.125" style="76" customWidth="1"/>
    <col min="18" max="18" width="6.625" style="76" customWidth="1"/>
    <col min="19" max="19" width="7.375" style="76" customWidth="1"/>
    <col min="20" max="23" width="6.625" style="76" customWidth="1"/>
    <col min="24" max="24" width="9" style="75" customWidth="1"/>
    <col min="25" max="25" width="5.875" style="75" hidden="1" customWidth="1"/>
    <col min="26" max="29" width="4.75" style="75" hidden="1" customWidth="1"/>
    <col min="30" max="31" width="5.25" style="75" hidden="1" customWidth="1"/>
    <col min="32" max="35" width="4.75" style="76" hidden="1" customWidth="1"/>
    <col min="36" max="36" width="5.25" style="76" hidden="1" customWidth="1"/>
    <col min="37" max="37" width="2.875" style="75" hidden="1" customWidth="1"/>
    <col min="38" max="41" width="4.75" style="76" hidden="1" customWidth="1"/>
    <col min="42" max="42" width="5.25" style="76" hidden="1" customWidth="1"/>
    <col min="43" max="43" width="6.125" style="75" hidden="1" customWidth="1"/>
    <col min="44" max="47" width="4.75" style="76" hidden="1" customWidth="1"/>
    <col min="48" max="48" width="5.25" style="76" hidden="1" customWidth="1"/>
    <col min="49" max="49" width="7.125" style="76" hidden="1" customWidth="1"/>
    <col min="50" max="16384" width="11.75" style="76" customWidth="1"/>
  </cols>
  <sheetData>
    <row r="1" ht="17.1" customHeight="1" spans="1:49" x14ac:dyDescent="0.25">
      <c r="A1" s="77" t="s">
        <v>794</v>
      </c>
      <c r="B1" s="78"/>
      <c r="C1" s="78"/>
      <c r="D1" s="78"/>
      <c r="E1" s="78"/>
      <c r="F1" s="77" t="s">
        <v>795</v>
      </c>
      <c r="G1" s="78"/>
      <c r="H1" s="77" t="s">
        <v>264</v>
      </c>
      <c r="I1" s="78"/>
      <c r="J1" s="79" t="s">
        <v>796</v>
      </c>
      <c r="K1" s="80" t="s">
        <v>795</v>
      </c>
      <c r="L1" s="81" t="s">
        <v>797</v>
      </c>
      <c r="M1" s="82" t="s">
        <v>798</v>
      </c>
      <c r="N1" s="83"/>
      <c r="O1" s="83"/>
      <c r="P1" s="84"/>
      <c r="R1" s="80" t="s">
        <v>264</v>
      </c>
      <c r="S1" s="81" t="s">
        <v>797</v>
      </c>
      <c r="T1" s="82" t="s">
        <v>798</v>
      </c>
      <c r="U1" s="83"/>
      <c r="V1" s="83"/>
      <c r="W1" s="84"/>
      <c r="X1" s="85"/>
      <c r="Y1" s="85" t="s">
        <v>795</v>
      </c>
      <c r="Z1" s="85" t="s">
        <v>799</v>
      </c>
      <c r="AA1" s="85"/>
      <c r="AB1" s="85"/>
      <c r="AC1" s="85"/>
      <c r="AD1" s="85"/>
      <c r="AE1" s="85" t="s">
        <v>795</v>
      </c>
      <c r="AF1" s="85" t="s">
        <v>800</v>
      </c>
      <c r="AG1" s="85"/>
      <c r="AH1" s="85"/>
      <c r="AI1" s="85"/>
      <c r="AJ1" s="85"/>
      <c r="AL1" s="86" t="s">
        <v>264</v>
      </c>
      <c r="AM1" s="86" t="s">
        <v>799</v>
      </c>
      <c r="AN1" s="87"/>
      <c r="AO1" s="87"/>
      <c r="AP1" s="87"/>
      <c r="AQ1" s="87"/>
      <c r="AR1" s="86" t="s">
        <v>264</v>
      </c>
      <c r="AS1" s="86" t="s">
        <v>800</v>
      </c>
      <c r="AT1" s="88"/>
      <c r="AU1" s="89"/>
      <c r="AV1" s="88"/>
      <c r="AW1" s="88"/>
    </row>
    <row r="2" ht="17.1" customHeight="1" spans="1:49" x14ac:dyDescent="0.25">
      <c r="A2" s="75" t="s">
        <v>801</v>
      </c>
      <c r="B2" s="75" t="s">
        <v>802</v>
      </c>
      <c r="C2" s="75" t="s">
        <v>803</v>
      </c>
      <c r="D2" s="75" t="s">
        <v>804</v>
      </c>
      <c r="E2" s="75" t="s">
        <v>805</v>
      </c>
      <c r="F2" s="75" t="s">
        <v>799</v>
      </c>
      <c r="G2" s="75" t="s">
        <v>800</v>
      </c>
      <c r="H2" s="75" t="s">
        <v>799</v>
      </c>
      <c r="I2" s="75" t="s">
        <v>800</v>
      </c>
      <c r="K2" s="75" t="s">
        <v>806</v>
      </c>
      <c r="L2" s="75" t="s">
        <v>807</v>
      </c>
      <c r="M2" s="75" t="s">
        <v>799</v>
      </c>
      <c r="N2" s="75" t="s">
        <v>806</v>
      </c>
      <c r="O2" s="75" t="s">
        <v>808</v>
      </c>
      <c r="P2" s="75" t="s">
        <v>800</v>
      </c>
      <c r="Q2" s="75"/>
      <c r="R2" s="75" t="s">
        <v>806</v>
      </c>
      <c r="S2" s="75" t="s">
        <v>807</v>
      </c>
      <c r="T2" s="75" t="s">
        <v>799</v>
      </c>
      <c r="U2" s="75" t="s">
        <v>806</v>
      </c>
      <c r="V2" s="75" t="s">
        <v>808</v>
      </c>
      <c r="W2" s="75" t="s">
        <v>800</v>
      </c>
      <c r="X2" s="85"/>
      <c r="Y2" s="90">
        <v>0</v>
      </c>
      <c r="Z2" s="89">
        <v>0</v>
      </c>
      <c r="AA2" s="89">
        <f>Z2</f>
      </c>
      <c r="AB2" s="89">
        <v>4</v>
      </c>
      <c r="AC2" s="88">
        <v>250</v>
      </c>
      <c r="AD2" s="88">
        <f>AA5+AC2</f>
      </c>
      <c r="AE2" s="90">
        <v>0</v>
      </c>
      <c r="AF2" s="89">
        <v>0</v>
      </c>
      <c r="AG2" s="89">
        <f>AF2</f>
      </c>
      <c r="AH2" s="89">
        <v>4</v>
      </c>
      <c r="AI2" s="88">
        <v>500</v>
      </c>
      <c r="AJ2" s="88">
        <f>AG5+AI2</f>
      </c>
      <c r="AL2" s="90">
        <v>0</v>
      </c>
      <c r="AM2" s="89">
        <v>0</v>
      </c>
      <c r="AN2" s="89">
        <f>AM2</f>
      </c>
      <c r="AO2" s="89">
        <v>4</v>
      </c>
      <c r="AP2" s="88">
        <v>750</v>
      </c>
      <c r="AQ2" s="88">
        <f>AN5+AP2</f>
      </c>
      <c r="AR2" s="90">
        <v>0</v>
      </c>
      <c r="AS2" s="89">
        <v>0</v>
      </c>
      <c r="AT2" s="89">
        <f>AS2</f>
      </c>
      <c r="AU2" s="89">
        <v>4</v>
      </c>
      <c r="AV2" s="88">
        <v>1500</v>
      </c>
      <c r="AW2" s="88">
        <f>AT5+AV2</f>
      </c>
    </row>
    <row r="3" ht="17.1" customHeight="1" spans="1:49" x14ac:dyDescent="0.25">
      <c r="A3" s="75" t="s">
        <v>809</v>
      </c>
      <c r="B3" s="76" t="s">
        <v>810</v>
      </c>
      <c r="C3" s="75" t="s">
        <v>798</v>
      </c>
      <c r="D3" s="75">
        <v>7</v>
      </c>
      <c r="E3" s="91" t="s">
        <v>811</v>
      </c>
      <c r="F3" s="85">
        <v>125</v>
      </c>
      <c r="G3" s="85">
        <v>250</v>
      </c>
      <c r="H3" s="92">
        <v>375</v>
      </c>
      <c r="I3" s="92">
        <v>750</v>
      </c>
      <c r="J3" s="92"/>
      <c r="K3" s="75">
        <v>0</v>
      </c>
      <c r="L3" s="75">
        <v>0</v>
      </c>
      <c r="M3" s="93">
        <v>125</v>
      </c>
      <c r="N3" s="75">
        <v>0</v>
      </c>
      <c r="O3" s="75">
        <v>0</v>
      </c>
      <c r="P3" s="94">
        <v>250</v>
      </c>
      <c r="Q3" s="75"/>
      <c r="R3" s="75">
        <v>0</v>
      </c>
      <c r="S3" s="75">
        <v>0</v>
      </c>
      <c r="T3" s="92">
        <v>375</v>
      </c>
      <c r="U3" s="75">
        <v>0</v>
      </c>
      <c r="V3" s="75">
        <v>0</v>
      </c>
      <c r="W3" s="92">
        <v>750</v>
      </c>
      <c r="Y3" s="90">
        <v>1</v>
      </c>
      <c r="Z3" s="88">
        <v>125</v>
      </c>
      <c r="AA3" s="88">
        <f>Z2+Z3</f>
      </c>
      <c r="AB3" s="89">
        <v>5</v>
      </c>
      <c r="AC3" s="88">
        <v>250</v>
      </c>
      <c r="AD3" s="88">
        <f>AD2+AC3</f>
      </c>
      <c r="AE3" s="90">
        <v>1</v>
      </c>
      <c r="AF3" s="88">
        <v>250</v>
      </c>
      <c r="AG3" s="88">
        <f>AF2+AF3</f>
      </c>
      <c r="AH3" s="89">
        <v>5</v>
      </c>
      <c r="AI3" s="88">
        <v>500</v>
      </c>
      <c r="AJ3" s="88">
        <f>AJ2+AI3</f>
      </c>
      <c r="AL3" s="90">
        <v>1</v>
      </c>
      <c r="AM3" s="88">
        <v>375</v>
      </c>
      <c r="AN3" s="88">
        <f>AM2+AM3</f>
      </c>
      <c r="AO3" s="89">
        <v>5</v>
      </c>
      <c r="AP3" s="88">
        <v>750</v>
      </c>
      <c r="AQ3" s="88">
        <f>AQ2+AP3</f>
      </c>
      <c r="AR3" s="90">
        <v>1</v>
      </c>
      <c r="AS3" s="88">
        <v>750</v>
      </c>
      <c r="AT3" s="88">
        <f>AS2+AS3</f>
      </c>
      <c r="AU3" s="89">
        <v>5</v>
      </c>
      <c r="AV3" s="88">
        <v>1500</v>
      </c>
      <c r="AW3" s="88">
        <f>AW2+AV3</f>
      </c>
    </row>
    <row r="4" ht="17.1" customHeight="1" spans="5:49" x14ac:dyDescent="0.25">
      <c r="E4" s="91" t="s">
        <v>812</v>
      </c>
      <c r="F4" s="85">
        <v>250</v>
      </c>
      <c r="G4" s="85">
        <v>500</v>
      </c>
      <c r="H4" s="92">
        <v>750</v>
      </c>
      <c r="I4" s="92">
        <v>1500</v>
      </c>
      <c r="J4" s="92"/>
      <c r="K4" s="75">
        <v>3</v>
      </c>
      <c r="L4" s="95">
        <v>375</v>
      </c>
      <c r="M4" s="93">
        <v>250</v>
      </c>
      <c r="N4" s="75">
        <v>3</v>
      </c>
      <c r="O4" s="95">
        <v>750</v>
      </c>
      <c r="P4" s="94">
        <v>500</v>
      </c>
      <c r="Q4" s="75"/>
      <c r="R4" s="75">
        <v>3</v>
      </c>
      <c r="S4" s="96">
        <v>1125</v>
      </c>
      <c r="T4" s="92">
        <v>750</v>
      </c>
      <c r="U4" s="75">
        <v>3</v>
      </c>
      <c r="V4" s="96">
        <v>2250</v>
      </c>
      <c r="W4" s="92">
        <v>1500</v>
      </c>
      <c r="Y4" s="90">
        <v>2</v>
      </c>
      <c r="Z4" s="88">
        <v>125</v>
      </c>
      <c r="AA4" s="88">
        <f>AA3+Z4</f>
      </c>
      <c r="AB4" s="89">
        <v>6</v>
      </c>
      <c r="AC4" s="88">
        <v>250</v>
      </c>
      <c r="AD4" s="88">
        <f>AD3+AC4</f>
      </c>
      <c r="AE4" s="90">
        <v>2</v>
      </c>
      <c r="AF4" s="88">
        <v>250</v>
      </c>
      <c r="AG4" s="88">
        <f>AG3+AF4</f>
      </c>
      <c r="AH4" s="89">
        <v>6</v>
      </c>
      <c r="AI4" s="88">
        <v>500</v>
      </c>
      <c r="AJ4" s="88">
        <f>AJ3+AI4</f>
      </c>
      <c r="AL4" s="90">
        <v>2</v>
      </c>
      <c r="AM4" s="88">
        <v>375</v>
      </c>
      <c r="AN4" s="88">
        <f>AN3+AM4</f>
      </c>
      <c r="AO4" s="89">
        <v>6</v>
      </c>
      <c r="AP4" s="88">
        <v>750</v>
      </c>
      <c r="AQ4" s="88">
        <f>AQ3+AP4</f>
      </c>
      <c r="AR4" s="90">
        <v>2</v>
      </c>
      <c r="AS4" s="88">
        <v>750</v>
      </c>
      <c r="AT4" s="88">
        <f>AT3+AS4</f>
      </c>
      <c r="AU4" s="89">
        <v>6</v>
      </c>
      <c r="AV4" s="88">
        <v>1500</v>
      </c>
      <c r="AW4" s="88">
        <f>AW3+AV4</f>
      </c>
    </row>
    <row r="5" ht="17.1" customHeight="1" spans="1:49" x14ac:dyDescent="0.25">
      <c r="A5" s="97"/>
      <c r="B5" s="98"/>
      <c r="C5" s="97"/>
      <c r="D5" s="97"/>
      <c r="E5" s="99" t="s">
        <v>813</v>
      </c>
      <c r="F5" s="100">
        <v>400</v>
      </c>
      <c r="G5" s="100">
        <v>800</v>
      </c>
      <c r="H5" s="101">
        <v>1200</v>
      </c>
      <c r="I5" s="101">
        <v>2400</v>
      </c>
      <c r="J5" s="92"/>
      <c r="K5" s="97">
        <v>10</v>
      </c>
      <c r="L5" s="102">
        <v>2275</v>
      </c>
      <c r="M5" s="103">
        <v>400</v>
      </c>
      <c r="N5" s="97">
        <v>10</v>
      </c>
      <c r="O5" s="102">
        <v>4550</v>
      </c>
      <c r="P5" s="104">
        <v>800</v>
      </c>
      <c r="Q5" s="75"/>
      <c r="R5" s="97">
        <v>10</v>
      </c>
      <c r="S5" s="105">
        <v>6825</v>
      </c>
      <c r="T5" s="101">
        <v>1200</v>
      </c>
      <c r="U5" s="97">
        <v>10</v>
      </c>
      <c r="V5" s="105">
        <v>13650</v>
      </c>
      <c r="W5" s="101">
        <v>2400</v>
      </c>
      <c r="Y5" s="90">
        <v>3</v>
      </c>
      <c r="Z5" s="88">
        <v>125</v>
      </c>
      <c r="AA5" s="106">
        <f>AA4+Z5</f>
      </c>
      <c r="AB5" s="89">
        <v>7</v>
      </c>
      <c r="AC5" s="88">
        <v>250</v>
      </c>
      <c r="AD5" s="88">
        <f>AD4+AC5</f>
      </c>
      <c r="AE5" s="90">
        <v>3</v>
      </c>
      <c r="AF5" s="88">
        <v>250</v>
      </c>
      <c r="AG5" s="106">
        <f>AG4+AF5</f>
      </c>
      <c r="AH5" s="89">
        <v>7</v>
      </c>
      <c r="AI5" s="88">
        <v>500</v>
      </c>
      <c r="AJ5" s="88">
        <f>AJ4+AI5</f>
      </c>
      <c r="AL5" s="90">
        <v>3</v>
      </c>
      <c r="AM5" s="88">
        <v>375</v>
      </c>
      <c r="AN5" s="107">
        <f>AN4+AM5</f>
      </c>
      <c r="AO5" s="89">
        <v>7</v>
      </c>
      <c r="AP5" s="88">
        <v>750</v>
      </c>
      <c r="AQ5" s="88">
        <f>AQ4+AP5</f>
      </c>
      <c r="AR5" s="90">
        <v>3</v>
      </c>
      <c r="AS5" s="88">
        <v>750</v>
      </c>
      <c r="AT5" s="107">
        <f>AT4+AS5</f>
      </c>
      <c r="AU5" s="89">
        <v>7</v>
      </c>
      <c r="AV5" s="88">
        <v>1500</v>
      </c>
      <c r="AW5" s="88">
        <f>AW4+AV5</f>
      </c>
    </row>
    <row r="6" ht="17.1" customHeight="1" spans="5:49" x14ac:dyDescent="0.25">
      <c r="E6" s="91"/>
      <c r="K6" s="75"/>
      <c r="L6" s="75"/>
      <c r="M6" s="108"/>
      <c r="N6" s="75"/>
      <c r="O6" s="75"/>
      <c r="P6" s="75"/>
      <c r="Q6" s="75"/>
      <c r="R6" s="75"/>
      <c r="S6" s="75"/>
      <c r="T6" s="108"/>
      <c r="U6" s="75"/>
      <c r="V6" s="75"/>
      <c r="W6" s="75"/>
      <c r="Y6" s="90"/>
      <c r="Z6" s="89"/>
      <c r="AA6" s="89"/>
      <c r="AB6" s="89">
        <v>8</v>
      </c>
      <c r="AC6" s="88">
        <v>250</v>
      </c>
      <c r="AD6" s="88">
        <f>AD5+AC6</f>
      </c>
      <c r="AE6" s="90"/>
      <c r="AF6" s="89"/>
      <c r="AG6" s="89"/>
      <c r="AH6" s="89">
        <v>8</v>
      </c>
      <c r="AI6" s="88">
        <v>500</v>
      </c>
      <c r="AJ6" s="88">
        <f>AJ5+AI6</f>
      </c>
      <c r="AL6" s="90"/>
      <c r="AM6" s="89"/>
      <c r="AN6" s="89"/>
      <c r="AO6" s="89">
        <v>8</v>
      </c>
      <c r="AP6" s="88">
        <v>750</v>
      </c>
      <c r="AQ6" s="88">
        <f>AQ5+AP6</f>
      </c>
      <c r="AR6" s="90"/>
      <c r="AS6" s="89"/>
      <c r="AT6" s="89"/>
      <c r="AU6" s="89">
        <v>8</v>
      </c>
      <c r="AV6" s="88">
        <v>1500</v>
      </c>
      <c r="AW6" s="88">
        <f>AW5+AV6</f>
      </c>
    </row>
    <row r="7" ht="17.1" customHeight="1" spans="1:49" x14ac:dyDescent="0.25">
      <c r="A7" s="77" t="s">
        <v>794</v>
      </c>
      <c r="B7" s="78"/>
      <c r="C7" s="78"/>
      <c r="D7" s="78"/>
      <c r="E7" s="78"/>
      <c r="F7" s="77" t="s">
        <v>795</v>
      </c>
      <c r="G7" s="78"/>
      <c r="H7" s="77" t="s">
        <v>264</v>
      </c>
      <c r="I7" s="78"/>
      <c r="J7" s="79" t="s">
        <v>814</v>
      </c>
      <c r="K7" s="80" t="s">
        <v>795</v>
      </c>
      <c r="L7" s="81" t="s">
        <v>797</v>
      </c>
      <c r="M7" s="82" t="s">
        <v>815</v>
      </c>
      <c r="N7" s="81" t="s">
        <v>816</v>
      </c>
      <c r="O7" s="82" t="s">
        <v>817</v>
      </c>
      <c r="P7" s="81" t="s">
        <v>818</v>
      </c>
      <c r="Q7" s="109"/>
      <c r="R7" s="80" t="s">
        <v>264</v>
      </c>
      <c r="S7" s="81" t="s">
        <v>797</v>
      </c>
      <c r="T7" s="82" t="s">
        <v>815</v>
      </c>
      <c r="U7" s="81" t="s">
        <v>816</v>
      </c>
      <c r="V7" s="82" t="s">
        <v>817</v>
      </c>
      <c r="W7" s="81" t="s">
        <v>818</v>
      </c>
      <c r="Y7" s="90"/>
      <c r="Z7" s="89"/>
      <c r="AA7" s="89"/>
      <c r="AB7" s="89">
        <v>9</v>
      </c>
      <c r="AC7" s="88">
        <v>250</v>
      </c>
      <c r="AD7" s="88">
        <f>AD6+AC7</f>
      </c>
      <c r="AE7" s="90"/>
      <c r="AF7" s="89"/>
      <c r="AG7" s="89"/>
      <c r="AH7" s="89">
        <v>9</v>
      </c>
      <c r="AI7" s="88">
        <v>500</v>
      </c>
      <c r="AJ7" s="88">
        <f>AJ6+AI7</f>
      </c>
      <c r="AL7" s="90"/>
      <c r="AM7" s="89"/>
      <c r="AN7" s="89"/>
      <c r="AO7" s="89">
        <v>9</v>
      </c>
      <c r="AP7" s="88">
        <v>750</v>
      </c>
      <c r="AQ7" s="88">
        <f>AQ6+AP7</f>
      </c>
      <c r="AR7" s="90"/>
      <c r="AS7" s="89"/>
      <c r="AT7" s="89"/>
      <c r="AU7" s="89">
        <v>9</v>
      </c>
      <c r="AV7" s="88">
        <v>1500</v>
      </c>
      <c r="AW7" s="88">
        <f>AW6+AV7</f>
      </c>
    </row>
    <row r="8" ht="17.1" customHeight="1" spans="1:49" x14ac:dyDescent="0.25">
      <c r="A8" s="75" t="s">
        <v>801</v>
      </c>
      <c r="B8" s="75" t="s">
        <v>802</v>
      </c>
      <c r="C8" s="75" t="s">
        <v>803</v>
      </c>
      <c r="D8" s="75" t="s">
        <v>804</v>
      </c>
      <c r="E8" s="75" t="s">
        <v>805</v>
      </c>
      <c r="F8" s="75" t="s">
        <v>799</v>
      </c>
      <c r="G8" s="75" t="s">
        <v>800</v>
      </c>
      <c r="H8" s="75" t="s">
        <v>799</v>
      </c>
      <c r="I8" s="75" t="s">
        <v>800</v>
      </c>
      <c r="M8" s="110" t="s">
        <v>819</v>
      </c>
      <c r="N8" s="110" t="s">
        <v>820</v>
      </c>
      <c r="T8" s="110" t="s">
        <v>819</v>
      </c>
      <c r="U8" s="110" t="s">
        <v>820</v>
      </c>
      <c r="Y8" s="90"/>
      <c r="Z8" s="89"/>
      <c r="AA8" s="89"/>
      <c r="AB8" s="89">
        <v>10</v>
      </c>
      <c r="AC8" s="88">
        <v>400</v>
      </c>
      <c r="AD8" s="106">
        <f>AD7+AC8</f>
      </c>
      <c r="AE8" s="90"/>
      <c r="AF8" s="89"/>
      <c r="AG8" s="89"/>
      <c r="AH8" s="89">
        <v>10</v>
      </c>
      <c r="AI8" s="88">
        <v>800</v>
      </c>
      <c r="AJ8" s="106">
        <f>AJ7+AI8</f>
      </c>
      <c r="AL8" s="90"/>
      <c r="AM8" s="89"/>
      <c r="AN8" s="89"/>
      <c r="AO8" s="89">
        <v>10</v>
      </c>
      <c r="AP8" s="88">
        <v>1200</v>
      </c>
      <c r="AQ8" s="107">
        <f>AQ7+AP8</f>
      </c>
      <c r="AR8" s="90"/>
      <c r="AS8" s="89"/>
      <c r="AT8" s="89"/>
      <c r="AU8" s="89">
        <v>10</v>
      </c>
      <c r="AV8" s="88">
        <v>2400</v>
      </c>
      <c r="AW8" s="107">
        <f>AW7+AV8</f>
      </c>
    </row>
    <row r="9" ht="17.1" customHeight="1" spans="1:44" x14ac:dyDescent="0.25">
      <c r="A9" s="75" t="s">
        <v>821</v>
      </c>
      <c r="B9" s="76" t="s">
        <v>822</v>
      </c>
      <c r="C9" s="75" t="s">
        <v>815</v>
      </c>
      <c r="D9" s="75">
        <v>7</v>
      </c>
      <c r="E9" s="91" t="s">
        <v>823</v>
      </c>
      <c r="F9" s="94">
        <v>125</v>
      </c>
      <c r="G9" s="94">
        <v>250</v>
      </c>
      <c r="H9" s="92">
        <v>375</v>
      </c>
      <c r="I9" s="92">
        <v>750</v>
      </c>
      <c r="J9" s="92"/>
      <c r="K9" s="75" t="s">
        <v>806</v>
      </c>
      <c r="L9" s="75" t="s">
        <v>807</v>
      </c>
      <c r="M9" s="75" t="s">
        <v>799</v>
      </c>
      <c r="N9" s="75" t="s">
        <v>806</v>
      </c>
      <c r="O9" s="75" t="s">
        <v>808</v>
      </c>
      <c r="P9" s="75" t="s">
        <v>800</v>
      </c>
      <c r="Q9" s="75"/>
      <c r="R9" s="75" t="s">
        <v>806</v>
      </c>
      <c r="S9" s="75" t="s">
        <v>807</v>
      </c>
      <c r="T9" s="75" t="s">
        <v>799</v>
      </c>
      <c r="U9" s="75" t="s">
        <v>806</v>
      </c>
      <c r="V9" s="75" t="s">
        <v>808</v>
      </c>
      <c r="W9" s="75" t="s">
        <v>800</v>
      </c>
      <c r="Y9" s="111"/>
      <c r="Z9" s="112"/>
      <c r="AA9" s="112"/>
      <c r="AB9" s="112"/>
      <c r="AC9" s="113"/>
      <c r="AD9" s="113"/>
      <c r="AE9" s="111"/>
      <c r="AF9" s="112"/>
      <c r="AG9" s="112"/>
      <c r="AH9" s="112"/>
      <c r="AI9" s="113"/>
      <c r="AJ9" s="113"/>
      <c r="AL9" s="75"/>
      <c r="AQ9" s="76"/>
      <c r="AR9" s="75"/>
    </row>
    <row r="10" ht="17.1" customHeight="1" spans="1:49" x14ac:dyDescent="0.25">
      <c r="A10" s="75" t="s">
        <v>824</v>
      </c>
      <c r="B10" s="76" t="s">
        <v>825</v>
      </c>
      <c r="C10" s="75" t="s">
        <v>816</v>
      </c>
      <c r="D10" s="75">
        <v>7</v>
      </c>
      <c r="E10" s="91" t="s">
        <v>826</v>
      </c>
      <c r="F10" s="94">
        <v>250</v>
      </c>
      <c r="G10" s="94">
        <v>500</v>
      </c>
      <c r="H10" s="92">
        <v>750</v>
      </c>
      <c r="I10" s="92">
        <v>1500</v>
      </c>
      <c r="J10" s="92"/>
      <c r="K10" s="75">
        <v>0</v>
      </c>
      <c r="L10" s="75">
        <v>0</v>
      </c>
      <c r="M10" s="93">
        <v>125</v>
      </c>
      <c r="N10" s="75">
        <v>0</v>
      </c>
      <c r="O10" s="75">
        <v>0</v>
      </c>
      <c r="P10" s="94">
        <v>250</v>
      </c>
      <c r="Q10" s="75"/>
      <c r="R10" s="75">
        <v>0</v>
      </c>
      <c r="S10" s="75">
        <v>0</v>
      </c>
      <c r="T10" s="92">
        <v>375</v>
      </c>
      <c r="U10" s="75">
        <v>0</v>
      </c>
      <c r="V10" s="75">
        <v>0</v>
      </c>
      <c r="W10" s="92">
        <v>750</v>
      </c>
      <c r="Y10" s="85" t="s">
        <v>795</v>
      </c>
      <c r="Z10" s="85" t="s">
        <v>799</v>
      </c>
      <c r="AA10" s="85"/>
      <c r="AB10" s="85"/>
      <c r="AC10" s="85"/>
      <c r="AD10" s="85"/>
      <c r="AE10" s="85" t="s">
        <v>795</v>
      </c>
      <c r="AF10" s="85" t="s">
        <v>800</v>
      </c>
      <c r="AG10" s="85"/>
      <c r="AH10" s="85"/>
      <c r="AI10" s="85"/>
      <c r="AJ10" s="85"/>
      <c r="AL10" s="86" t="s">
        <v>264</v>
      </c>
      <c r="AM10" s="86" t="s">
        <v>799</v>
      </c>
      <c r="AN10" s="87"/>
      <c r="AO10" s="87"/>
      <c r="AP10" s="87"/>
      <c r="AQ10" s="87"/>
      <c r="AR10" s="86" t="s">
        <v>264</v>
      </c>
      <c r="AS10" s="86" t="s">
        <v>800</v>
      </c>
      <c r="AT10" s="88"/>
      <c r="AU10" s="89"/>
      <c r="AV10" s="88"/>
      <c r="AW10" s="88"/>
    </row>
    <row r="11" ht="17.1" customHeight="1" spans="5:49" x14ac:dyDescent="0.25">
      <c r="E11" s="91" t="s">
        <v>827</v>
      </c>
      <c r="F11" s="94">
        <v>400</v>
      </c>
      <c r="G11" s="94">
        <v>800</v>
      </c>
      <c r="H11" s="92">
        <v>1200</v>
      </c>
      <c r="I11" s="92">
        <v>2400</v>
      </c>
      <c r="J11" s="92"/>
      <c r="K11" s="75">
        <v>7</v>
      </c>
      <c r="L11" s="95">
        <v>875</v>
      </c>
      <c r="M11" s="93">
        <v>250</v>
      </c>
      <c r="N11" s="75">
        <v>7</v>
      </c>
      <c r="O11" s="95">
        <v>1750</v>
      </c>
      <c r="P11" s="94">
        <v>500</v>
      </c>
      <c r="Q11" s="75"/>
      <c r="R11" s="75">
        <v>7</v>
      </c>
      <c r="S11" s="96">
        <v>2625</v>
      </c>
      <c r="T11" s="92">
        <v>750</v>
      </c>
      <c r="U11" s="75">
        <v>7</v>
      </c>
      <c r="V11" s="96">
        <v>5250</v>
      </c>
      <c r="W11" s="92">
        <v>1500</v>
      </c>
      <c r="Y11" s="111">
        <v>0</v>
      </c>
      <c r="Z11" s="112">
        <v>0</v>
      </c>
      <c r="AA11" s="112">
        <f>Z11</f>
      </c>
      <c r="AB11" s="112"/>
      <c r="AC11" s="112"/>
      <c r="AD11" s="112"/>
      <c r="AE11" s="111">
        <v>0</v>
      </c>
      <c r="AF11" s="112">
        <v>0</v>
      </c>
      <c r="AG11" s="112">
        <f>AF11</f>
      </c>
      <c r="AH11" s="112"/>
      <c r="AI11" s="112"/>
      <c r="AJ11" s="112"/>
      <c r="AL11" s="112">
        <v>0</v>
      </c>
      <c r="AM11" s="112">
        <v>0</v>
      </c>
      <c r="AN11" s="112">
        <f>AM11</f>
      </c>
      <c r="AO11" s="112"/>
      <c r="AP11" s="112"/>
      <c r="AQ11" s="112"/>
      <c r="AR11" s="112">
        <v>0</v>
      </c>
      <c r="AS11" s="112">
        <v>0</v>
      </c>
      <c r="AT11" s="112">
        <f>AS11</f>
      </c>
      <c r="AU11" s="112"/>
      <c r="AV11" s="112"/>
      <c r="AW11" s="112"/>
    </row>
    <row r="12" ht="17.1" customHeight="1" spans="1:49" x14ac:dyDescent="0.25">
      <c r="A12" s="75" t="s">
        <v>828</v>
      </c>
      <c r="B12" s="76" t="s">
        <v>829</v>
      </c>
      <c r="C12" s="75" t="s">
        <v>817</v>
      </c>
      <c r="D12" s="75">
        <v>7</v>
      </c>
      <c r="E12" s="91"/>
      <c r="K12" s="75">
        <v>14</v>
      </c>
      <c r="L12" s="95">
        <v>2625</v>
      </c>
      <c r="M12" s="93">
        <v>400</v>
      </c>
      <c r="N12" s="75">
        <v>14</v>
      </c>
      <c r="O12" s="95">
        <v>5250</v>
      </c>
      <c r="P12" s="94">
        <v>800</v>
      </c>
      <c r="Q12" s="75"/>
      <c r="R12" s="75">
        <v>14</v>
      </c>
      <c r="S12" s="96">
        <v>7875</v>
      </c>
      <c r="T12" s="92">
        <v>1200</v>
      </c>
      <c r="U12" s="75">
        <v>14</v>
      </c>
      <c r="V12" s="96">
        <v>15750</v>
      </c>
      <c r="W12" s="92">
        <v>2400</v>
      </c>
      <c r="Y12" s="111">
        <v>1</v>
      </c>
      <c r="Z12" s="113">
        <v>125</v>
      </c>
      <c r="AA12" s="113">
        <f>Z11+Z12</f>
      </c>
      <c r="AB12" s="112">
        <v>8</v>
      </c>
      <c r="AC12" s="112">
        <v>250</v>
      </c>
      <c r="AD12" s="113">
        <f>AA18+AC12</f>
      </c>
      <c r="AE12" s="111">
        <v>1</v>
      </c>
      <c r="AF12" s="113">
        <v>250</v>
      </c>
      <c r="AG12" s="113">
        <f>AF11+AF12</f>
      </c>
      <c r="AH12" s="112">
        <v>8</v>
      </c>
      <c r="AI12" s="112">
        <v>500</v>
      </c>
      <c r="AJ12" s="113">
        <f>AG18+AI12</f>
      </c>
      <c r="AL12" s="112">
        <v>1</v>
      </c>
      <c r="AM12" s="113">
        <v>375</v>
      </c>
      <c r="AN12" s="113">
        <f>AM11+AM12</f>
      </c>
      <c r="AO12" s="112">
        <v>8</v>
      </c>
      <c r="AP12" s="112">
        <v>750</v>
      </c>
      <c r="AQ12" s="113">
        <f>AN18+AP12</f>
      </c>
      <c r="AR12" s="112">
        <v>1</v>
      </c>
      <c r="AS12" s="113">
        <v>750</v>
      </c>
      <c r="AT12" s="113">
        <f>AS11+AS12</f>
      </c>
      <c r="AU12" s="112">
        <v>8</v>
      </c>
      <c r="AV12" s="112">
        <v>1500</v>
      </c>
      <c r="AW12" s="113">
        <f>AT18+AV12</f>
      </c>
    </row>
    <row r="13" ht="17.1" customHeight="1" spans="3:49" x14ac:dyDescent="0.25">
      <c r="C13" s="75" t="s">
        <v>818</v>
      </c>
      <c r="D13" s="75">
        <v>7</v>
      </c>
      <c r="E13" s="91"/>
      <c r="Y13" s="111">
        <v>2</v>
      </c>
      <c r="Z13" s="113">
        <v>125</v>
      </c>
      <c r="AA13" s="113">
        <f>AA12+Z13</f>
      </c>
      <c r="AB13" s="112">
        <v>9</v>
      </c>
      <c r="AC13" s="112">
        <v>250</v>
      </c>
      <c r="AD13" s="113">
        <f>AD12+AC13</f>
      </c>
      <c r="AE13" s="111">
        <v>2</v>
      </c>
      <c r="AF13" s="113">
        <v>250</v>
      </c>
      <c r="AG13" s="113">
        <f>AG12+AF13</f>
      </c>
      <c r="AH13" s="112">
        <v>9</v>
      </c>
      <c r="AI13" s="112">
        <v>500</v>
      </c>
      <c r="AJ13" s="113">
        <f>AJ12+AI13</f>
      </c>
      <c r="AL13" s="112">
        <v>2</v>
      </c>
      <c r="AM13" s="113">
        <v>375</v>
      </c>
      <c r="AN13" s="113">
        <f>AN12+AM13</f>
      </c>
      <c r="AO13" s="112">
        <v>9</v>
      </c>
      <c r="AP13" s="112">
        <v>750</v>
      </c>
      <c r="AQ13" s="113">
        <f>AQ12+AP13</f>
      </c>
      <c r="AR13" s="112">
        <v>2</v>
      </c>
      <c r="AS13" s="113">
        <v>750</v>
      </c>
      <c r="AT13" s="113">
        <f>AT12+AS13</f>
      </c>
      <c r="AU13" s="112">
        <v>9</v>
      </c>
      <c r="AV13" s="112">
        <v>1500</v>
      </c>
      <c r="AW13" s="113">
        <f>AW12+AV13</f>
      </c>
    </row>
    <row r="14" ht="17.1" customHeight="1" spans="1:49" x14ac:dyDescent="0.25">
      <c r="A14" s="75" t="s">
        <v>830</v>
      </c>
      <c r="B14" s="76" t="s">
        <v>831</v>
      </c>
      <c r="C14" s="79" t="s">
        <v>816</v>
      </c>
      <c r="D14" s="75">
        <v>7</v>
      </c>
      <c r="E14" s="91"/>
      <c r="X14" s="76"/>
      <c r="Y14" s="111">
        <v>3</v>
      </c>
      <c r="Z14" s="113">
        <v>125</v>
      </c>
      <c r="AA14" s="113">
        <f>AA13+Z14</f>
      </c>
      <c r="AB14" s="112">
        <v>10</v>
      </c>
      <c r="AC14" s="112">
        <v>250</v>
      </c>
      <c r="AD14" s="113">
        <f>AD13+AC14</f>
      </c>
      <c r="AE14" s="111">
        <v>3</v>
      </c>
      <c r="AF14" s="113">
        <v>250</v>
      </c>
      <c r="AG14" s="113">
        <f>AG13+AF14</f>
      </c>
      <c r="AH14" s="112">
        <v>10</v>
      </c>
      <c r="AI14" s="112">
        <v>500</v>
      </c>
      <c r="AJ14" s="113">
        <f>AJ13+AI14</f>
      </c>
      <c r="AL14" s="112">
        <v>3</v>
      </c>
      <c r="AM14" s="113">
        <v>375</v>
      </c>
      <c r="AN14" s="113">
        <f>AN13+AM14</f>
      </c>
      <c r="AO14" s="112">
        <v>10</v>
      </c>
      <c r="AP14" s="112">
        <v>750</v>
      </c>
      <c r="AQ14" s="113">
        <f>AQ13+AP14</f>
      </c>
      <c r="AR14" s="112">
        <v>3</v>
      </c>
      <c r="AS14" s="113">
        <v>750</v>
      </c>
      <c r="AT14" s="113">
        <f>AT13+AS14</f>
      </c>
      <c r="AU14" s="112">
        <v>10</v>
      </c>
      <c r="AV14" s="112">
        <v>1500</v>
      </c>
      <c r="AW14" s="113">
        <f>AW13+AV14</f>
      </c>
    </row>
    <row r="15" ht="17.1" customHeight="1" spans="1:49" x14ac:dyDescent="0.25">
      <c r="A15" s="97"/>
      <c r="B15" s="98" t="s">
        <v>832</v>
      </c>
      <c r="C15" s="114" t="s">
        <v>833</v>
      </c>
      <c r="D15" s="100">
        <v>7</v>
      </c>
      <c r="E15" s="99"/>
      <c r="F15" s="97"/>
      <c r="G15" s="97"/>
      <c r="H15" s="97"/>
      <c r="I15" s="97"/>
      <c r="K15" s="98"/>
      <c r="L15" s="98"/>
      <c r="M15" s="98"/>
      <c r="N15" s="98"/>
      <c r="O15" s="98"/>
      <c r="P15" s="98"/>
      <c r="R15" s="98"/>
      <c r="S15" s="98"/>
      <c r="T15" s="98"/>
      <c r="U15" s="98"/>
      <c r="V15" s="98"/>
      <c r="W15" s="98"/>
      <c r="X15" s="76"/>
      <c r="Y15" s="111">
        <v>4</v>
      </c>
      <c r="Z15" s="113">
        <v>125</v>
      </c>
      <c r="AA15" s="113">
        <f>AA14+Z15</f>
      </c>
      <c r="AB15" s="112">
        <v>11</v>
      </c>
      <c r="AC15" s="112">
        <v>250</v>
      </c>
      <c r="AD15" s="113">
        <f>AD14+AC15</f>
      </c>
      <c r="AE15" s="111">
        <v>4</v>
      </c>
      <c r="AF15" s="113">
        <v>250</v>
      </c>
      <c r="AG15" s="113">
        <f>AG14+AF15</f>
      </c>
      <c r="AH15" s="112">
        <v>11</v>
      </c>
      <c r="AI15" s="112">
        <v>500</v>
      </c>
      <c r="AJ15" s="113">
        <f>AJ14+AI15</f>
      </c>
      <c r="AL15" s="112">
        <v>4</v>
      </c>
      <c r="AM15" s="113">
        <v>375</v>
      </c>
      <c r="AN15" s="113">
        <f>AN14+AM15</f>
      </c>
      <c r="AO15" s="112">
        <v>11</v>
      </c>
      <c r="AP15" s="112">
        <v>750</v>
      </c>
      <c r="AQ15" s="113">
        <f>AQ14+AP15</f>
      </c>
      <c r="AR15" s="112">
        <v>4</v>
      </c>
      <c r="AS15" s="113">
        <v>750</v>
      </c>
      <c r="AT15" s="113">
        <f>AT14+AS15</f>
      </c>
      <c r="AU15" s="112">
        <v>11</v>
      </c>
      <c r="AV15" s="112">
        <v>1500</v>
      </c>
      <c r="AW15" s="113">
        <f>AW14+AV15</f>
      </c>
    </row>
    <row r="16" ht="17.1" customHeight="1" spans="5:49" x14ac:dyDescent="0.25">
      <c r="E16" s="91"/>
      <c r="X16" s="76"/>
      <c r="Y16" s="111">
        <v>5</v>
      </c>
      <c r="Z16" s="113">
        <v>125</v>
      </c>
      <c r="AA16" s="113">
        <f>AA15+Z16</f>
      </c>
      <c r="AB16" s="112">
        <v>12</v>
      </c>
      <c r="AC16" s="112">
        <v>250</v>
      </c>
      <c r="AD16" s="113">
        <f>AD15+AC16</f>
      </c>
      <c r="AE16" s="111">
        <v>5</v>
      </c>
      <c r="AF16" s="113">
        <v>250</v>
      </c>
      <c r="AG16" s="113">
        <f>AG15+AF16</f>
      </c>
      <c r="AH16" s="112">
        <v>12</v>
      </c>
      <c r="AI16" s="112">
        <v>500</v>
      </c>
      <c r="AJ16" s="113">
        <f>AJ15+AI16</f>
      </c>
      <c r="AL16" s="112">
        <v>5</v>
      </c>
      <c r="AM16" s="113">
        <v>375</v>
      </c>
      <c r="AN16" s="113">
        <f>AN15+AM16</f>
      </c>
      <c r="AO16" s="112">
        <v>12</v>
      </c>
      <c r="AP16" s="112">
        <v>750</v>
      </c>
      <c r="AQ16" s="113">
        <f>AQ15+AP16</f>
      </c>
      <c r="AR16" s="112">
        <v>5</v>
      </c>
      <c r="AS16" s="113">
        <v>750</v>
      </c>
      <c r="AT16" s="113">
        <f>AT15+AS16</f>
      </c>
      <c r="AU16" s="112">
        <v>12</v>
      </c>
      <c r="AV16" s="112">
        <v>1500</v>
      </c>
      <c r="AW16" s="113">
        <f>AW15+AV16</f>
      </c>
    </row>
    <row r="17" ht="17.1" customHeight="1" spans="1:49" x14ac:dyDescent="0.25">
      <c r="A17" s="77" t="s">
        <v>794</v>
      </c>
      <c r="B17" s="78"/>
      <c r="C17" s="78"/>
      <c r="D17" s="78"/>
      <c r="E17" s="78"/>
      <c r="F17" s="77" t="s">
        <v>795</v>
      </c>
      <c r="G17" s="78"/>
      <c r="H17" s="77" t="s">
        <v>264</v>
      </c>
      <c r="I17" s="78"/>
      <c r="J17" s="79" t="s">
        <v>834</v>
      </c>
      <c r="K17" s="80" t="s">
        <v>795</v>
      </c>
      <c r="L17" s="81" t="s">
        <v>801</v>
      </c>
      <c r="M17" s="81" t="s">
        <v>40</v>
      </c>
      <c r="N17" s="81" t="s">
        <v>759</v>
      </c>
      <c r="O17" s="115"/>
      <c r="P17" s="115"/>
      <c r="Q17" s="116"/>
      <c r="R17" s="80" t="s">
        <v>264</v>
      </c>
      <c r="S17" s="81" t="s">
        <v>801</v>
      </c>
      <c r="T17" s="81" t="s">
        <v>40</v>
      </c>
      <c r="U17" s="81" t="s">
        <v>759</v>
      </c>
      <c r="V17" s="115"/>
      <c r="W17" s="115"/>
      <c r="X17" s="76"/>
      <c r="Y17" s="111">
        <v>6</v>
      </c>
      <c r="Z17" s="113">
        <v>125</v>
      </c>
      <c r="AA17" s="113">
        <f>AA16+Z17</f>
      </c>
      <c r="AB17" s="112">
        <v>13</v>
      </c>
      <c r="AC17" s="112">
        <v>250</v>
      </c>
      <c r="AD17" s="113">
        <f>AD16+AC17</f>
      </c>
      <c r="AE17" s="111">
        <v>6</v>
      </c>
      <c r="AF17" s="113">
        <v>250</v>
      </c>
      <c r="AG17" s="113">
        <f>AG16+AF17</f>
      </c>
      <c r="AH17" s="112">
        <v>13</v>
      </c>
      <c r="AI17" s="112">
        <v>500</v>
      </c>
      <c r="AJ17" s="113">
        <f>AJ16+AI17</f>
      </c>
      <c r="AL17" s="112">
        <v>6</v>
      </c>
      <c r="AM17" s="113">
        <v>375</v>
      </c>
      <c r="AN17" s="113">
        <f>AN16+AM17</f>
      </c>
      <c r="AO17" s="112">
        <v>13</v>
      </c>
      <c r="AP17" s="112">
        <v>750</v>
      </c>
      <c r="AQ17" s="113">
        <f>AQ16+AP17</f>
      </c>
      <c r="AR17" s="112">
        <v>6</v>
      </c>
      <c r="AS17" s="113">
        <v>750</v>
      </c>
      <c r="AT17" s="113">
        <f>AT16+AS17</f>
      </c>
      <c r="AU17" s="112">
        <v>13</v>
      </c>
      <c r="AV17" s="112">
        <v>1500</v>
      </c>
      <c r="AW17" s="113">
        <f>AW16+AV17</f>
      </c>
    </row>
    <row r="18" ht="17.1" customHeight="1" spans="1:49" x14ac:dyDescent="0.25">
      <c r="A18" s="75" t="s">
        <v>801</v>
      </c>
      <c r="B18" s="75" t="s">
        <v>802</v>
      </c>
      <c r="C18" s="75" t="s">
        <v>803</v>
      </c>
      <c r="D18" s="75" t="s">
        <v>804</v>
      </c>
      <c r="E18" s="75" t="s">
        <v>805</v>
      </c>
      <c r="F18" s="75" t="s">
        <v>799</v>
      </c>
      <c r="G18" s="75" t="s">
        <v>800</v>
      </c>
      <c r="H18" s="75" t="s">
        <v>799</v>
      </c>
      <c r="I18" s="75" t="s">
        <v>800</v>
      </c>
      <c r="K18" s="75" t="s">
        <v>806</v>
      </c>
      <c r="L18" s="75" t="s">
        <v>807</v>
      </c>
      <c r="M18" s="75" t="s">
        <v>799</v>
      </c>
      <c r="N18" s="75" t="s">
        <v>806</v>
      </c>
      <c r="O18" s="75" t="s">
        <v>808</v>
      </c>
      <c r="P18" s="75" t="s">
        <v>800</v>
      </c>
      <c r="Q18" s="75"/>
      <c r="R18" s="75" t="s">
        <v>806</v>
      </c>
      <c r="S18" s="75" t="s">
        <v>807</v>
      </c>
      <c r="T18" s="75" t="s">
        <v>799</v>
      </c>
      <c r="U18" s="75" t="s">
        <v>806</v>
      </c>
      <c r="V18" s="75" t="s">
        <v>808</v>
      </c>
      <c r="W18" s="75" t="s">
        <v>800</v>
      </c>
      <c r="X18" s="76"/>
      <c r="Y18" s="111">
        <v>7</v>
      </c>
      <c r="Z18" s="113">
        <v>125</v>
      </c>
      <c r="AA18" s="106">
        <f>AA17+Z18</f>
      </c>
      <c r="AB18" s="112">
        <v>14</v>
      </c>
      <c r="AC18" s="112">
        <v>400</v>
      </c>
      <c r="AD18" s="106">
        <f>AD17+AC18</f>
      </c>
      <c r="AE18" s="111">
        <v>7</v>
      </c>
      <c r="AF18" s="113">
        <v>250</v>
      </c>
      <c r="AG18" s="106">
        <f>AG17+AF18</f>
      </c>
      <c r="AH18" s="112">
        <v>14</v>
      </c>
      <c r="AI18" s="112">
        <v>800</v>
      </c>
      <c r="AJ18" s="106">
        <f>AJ17+AI18</f>
      </c>
      <c r="AL18" s="112">
        <v>7</v>
      </c>
      <c r="AM18" s="113">
        <v>375</v>
      </c>
      <c r="AN18" s="107">
        <f>AN17+AM18</f>
      </c>
      <c r="AO18" s="112">
        <v>14</v>
      </c>
      <c r="AP18" s="112">
        <v>1200</v>
      </c>
      <c r="AQ18" s="107">
        <f>AQ17+AP18</f>
      </c>
      <c r="AR18" s="112">
        <v>7</v>
      </c>
      <c r="AS18" s="113">
        <v>750</v>
      </c>
      <c r="AT18" s="107">
        <f>AT17+AS18</f>
      </c>
      <c r="AU18" s="112">
        <v>14</v>
      </c>
      <c r="AV18" s="112">
        <v>2400</v>
      </c>
      <c r="AW18" s="107">
        <f>AW17+AV18</f>
      </c>
    </row>
    <row r="19" ht="17.1" customHeight="1" spans="1:43" x14ac:dyDescent="0.25">
      <c r="A19" s="75" t="s">
        <v>835</v>
      </c>
      <c r="C19" s="75" t="s">
        <v>40</v>
      </c>
      <c r="D19" s="75">
        <v>3</v>
      </c>
      <c r="E19" s="91" t="s">
        <v>823</v>
      </c>
      <c r="F19" s="94">
        <v>160</v>
      </c>
      <c r="G19" s="94">
        <v>320</v>
      </c>
      <c r="H19" s="92">
        <v>480</v>
      </c>
      <c r="I19" s="92">
        <v>960</v>
      </c>
      <c r="J19" s="92"/>
      <c r="K19" s="75">
        <v>0</v>
      </c>
      <c r="L19" s="75">
        <v>0</v>
      </c>
      <c r="M19" s="93">
        <v>160</v>
      </c>
      <c r="N19" s="75">
        <v>0</v>
      </c>
      <c r="O19" s="75">
        <v>0</v>
      </c>
      <c r="P19" s="94">
        <v>320</v>
      </c>
      <c r="Q19" s="75"/>
      <c r="R19" s="75">
        <v>0</v>
      </c>
      <c r="S19" s="75">
        <v>0</v>
      </c>
      <c r="T19" s="92">
        <v>480</v>
      </c>
      <c r="U19" s="75">
        <v>0</v>
      </c>
      <c r="V19" s="75">
        <v>0</v>
      </c>
      <c r="W19" s="92">
        <v>960</v>
      </c>
      <c r="X19" s="76"/>
      <c r="AL19" s="112"/>
      <c r="AM19" s="113"/>
      <c r="AN19" s="113"/>
      <c r="AO19" s="112"/>
      <c r="AP19" s="112"/>
      <c r="AQ19" s="113"/>
    </row>
    <row r="20" ht="17.1" customHeight="1" spans="3:49" x14ac:dyDescent="0.25">
      <c r="C20" s="75" t="s">
        <v>759</v>
      </c>
      <c r="D20" s="75">
        <v>3</v>
      </c>
      <c r="E20" s="91" t="s">
        <v>826</v>
      </c>
      <c r="F20" s="94">
        <v>275</v>
      </c>
      <c r="G20" s="94">
        <v>550</v>
      </c>
      <c r="H20" s="92">
        <v>825</v>
      </c>
      <c r="I20" s="92">
        <v>1650</v>
      </c>
      <c r="J20" s="92"/>
      <c r="K20" s="75">
        <v>7</v>
      </c>
      <c r="L20" s="95">
        <v>1120</v>
      </c>
      <c r="M20" s="93">
        <v>275</v>
      </c>
      <c r="N20" s="75">
        <v>7</v>
      </c>
      <c r="O20" s="95">
        <v>2240</v>
      </c>
      <c r="P20" s="94">
        <v>550</v>
      </c>
      <c r="Q20" s="75"/>
      <c r="R20" s="75">
        <v>7</v>
      </c>
      <c r="S20" s="96">
        <v>3360</v>
      </c>
      <c r="T20" s="92">
        <v>825</v>
      </c>
      <c r="U20" s="75">
        <v>7</v>
      </c>
      <c r="V20" s="96">
        <v>6720</v>
      </c>
      <c r="W20" s="92">
        <v>1650</v>
      </c>
      <c r="X20" s="76"/>
      <c r="Y20" s="85" t="s">
        <v>795</v>
      </c>
      <c r="Z20" s="85" t="s">
        <v>799</v>
      </c>
      <c r="AA20" s="85"/>
      <c r="AB20" s="85"/>
      <c r="AC20" s="85"/>
      <c r="AD20" s="85"/>
      <c r="AE20" s="85" t="s">
        <v>795</v>
      </c>
      <c r="AF20" s="85" t="s">
        <v>800</v>
      </c>
      <c r="AG20" s="85"/>
      <c r="AH20" s="85"/>
      <c r="AI20" s="85"/>
      <c r="AJ20" s="85"/>
      <c r="AL20" s="86" t="s">
        <v>264</v>
      </c>
      <c r="AM20" s="86" t="s">
        <v>799</v>
      </c>
      <c r="AN20" s="87"/>
      <c r="AO20" s="87"/>
      <c r="AP20" s="87"/>
      <c r="AQ20" s="87"/>
      <c r="AR20" s="86" t="s">
        <v>264</v>
      </c>
      <c r="AS20" s="86" t="s">
        <v>800</v>
      </c>
      <c r="AT20" s="88"/>
      <c r="AU20" s="89"/>
      <c r="AV20" s="88"/>
      <c r="AW20" s="88"/>
    </row>
    <row r="21" ht="17.1" customHeight="1" spans="1:49" x14ac:dyDescent="0.25">
      <c r="A21" s="97"/>
      <c r="B21" s="98"/>
      <c r="C21" s="97"/>
      <c r="D21" s="97"/>
      <c r="E21" s="99" t="s">
        <v>827</v>
      </c>
      <c r="F21" s="104">
        <v>390</v>
      </c>
      <c r="G21" s="104">
        <v>780</v>
      </c>
      <c r="H21" s="101">
        <v>1170</v>
      </c>
      <c r="I21" s="101">
        <v>2340</v>
      </c>
      <c r="J21" s="92"/>
      <c r="K21" s="97">
        <v>14</v>
      </c>
      <c r="L21" s="102">
        <v>3045</v>
      </c>
      <c r="M21" s="103">
        <v>390</v>
      </c>
      <c r="N21" s="97">
        <v>14</v>
      </c>
      <c r="O21" s="102">
        <v>6090</v>
      </c>
      <c r="P21" s="104">
        <v>780</v>
      </c>
      <c r="Q21" s="75"/>
      <c r="R21" s="97">
        <v>14</v>
      </c>
      <c r="S21" s="105">
        <v>9135</v>
      </c>
      <c r="T21" s="101">
        <v>1170</v>
      </c>
      <c r="U21" s="97">
        <v>14</v>
      </c>
      <c r="V21" s="105">
        <v>18270</v>
      </c>
      <c r="W21" s="101">
        <v>2340</v>
      </c>
      <c r="X21" s="76"/>
      <c r="Y21" s="112">
        <v>0</v>
      </c>
      <c r="Z21" s="112">
        <v>0</v>
      </c>
      <c r="AA21" s="112">
        <f>Z21</f>
      </c>
      <c r="AB21" s="112"/>
      <c r="AC21" s="112"/>
      <c r="AD21" s="112"/>
      <c r="AE21" s="112">
        <v>0</v>
      </c>
      <c r="AF21" s="112">
        <v>0</v>
      </c>
      <c r="AG21" s="112">
        <f>AF21</f>
      </c>
      <c r="AH21" s="112"/>
      <c r="AI21" s="112"/>
      <c r="AJ21" s="112"/>
      <c r="AL21" s="112">
        <v>0</v>
      </c>
      <c r="AM21" s="112">
        <v>0</v>
      </c>
      <c r="AN21" s="112">
        <f>AM21</f>
      </c>
      <c r="AO21" s="112"/>
      <c r="AP21" s="112"/>
      <c r="AQ21" s="112"/>
      <c r="AR21" s="112">
        <v>0</v>
      </c>
      <c r="AS21" s="112">
        <v>0</v>
      </c>
      <c r="AT21" s="112">
        <f>AS21</f>
      </c>
      <c r="AU21" s="112"/>
      <c r="AV21" s="112"/>
      <c r="AW21" s="112"/>
    </row>
    <row r="22" ht="17.1" customHeight="1" spans="5:49" x14ac:dyDescent="0.25">
      <c r="E22" s="91"/>
      <c r="K22" s="75"/>
      <c r="L22" s="75"/>
      <c r="M22" s="108"/>
      <c r="N22" s="75"/>
      <c r="O22" s="75"/>
      <c r="P22" s="75"/>
      <c r="Q22" s="75"/>
      <c r="R22" s="75"/>
      <c r="S22" s="75"/>
      <c r="T22" s="108"/>
      <c r="U22" s="75"/>
      <c r="V22" s="75"/>
      <c r="W22" s="75"/>
      <c r="X22" s="76"/>
      <c r="Y22" s="112">
        <v>1</v>
      </c>
      <c r="Z22" s="113">
        <v>160</v>
      </c>
      <c r="AA22" s="113">
        <f>Z21+Z22</f>
      </c>
      <c r="AB22" s="112">
        <v>8</v>
      </c>
      <c r="AC22" s="112">
        <v>275</v>
      </c>
      <c r="AD22" s="113">
        <f>AA28+AC22</f>
      </c>
      <c r="AE22" s="112">
        <v>1</v>
      </c>
      <c r="AF22" s="113">
        <v>320</v>
      </c>
      <c r="AG22" s="113">
        <f>AF21+AF22</f>
      </c>
      <c r="AH22" s="112">
        <v>8</v>
      </c>
      <c r="AI22" s="112">
        <v>550</v>
      </c>
      <c r="AJ22" s="113">
        <f>AG28+AI22</f>
      </c>
      <c r="AL22" s="112">
        <v>1</v>
      </c>
      <c r="AM22" s="113">
        <v>480</v>
      </c>
      <c r="AN22" s="113">
        <f>AM21+AM22</f>
      </c>
      <c r="AO22" s="112">
        <v>8</v>
      </c>
      <c r="AP22" s="112">
        <v>825</v>
      </c>
      <c r="AQ22" s="113">
        <f>AN28+AP22</f>
      </c>
      <c r="AR22" s="112">
        <v>1</v>
      </c>
      <c r="AS22" s="113">
        <v>960</v>
      </c>
      <c r="AT22" s="113">
        <f>AS21+AS22</f>
      </c>
      <c r="AU22" s="112">
        <v>8</v>
      </c>
      <c r="AV22" s="112">
        <v>1650</v>
      </c>
      <c r="AW22" s="113">
        <f>AT28+AV22</f>
      </c>
    </row>
    <row r="23" ht="17.1" customHeight="1" spans="1:49" x14ac:dyDescent="0.25">
      <c r="A23" s="77" t="s">
        <v>794</v>
      </c>
      <c r="B23" s="78"/>
      <c r="C23" s="78"/>
      <c r="D23" s="78"/>
      <c r="E23" s="78"/>
      <c r="F23" s="77" t="s">
        <v>795</v>
      </c>
      <c r="G23" s="78"/>
      <c r="H23" s="77" t="s">
        <v>264</v>
      </c>
      <c r="I23" s="78"/>
      <c r="J23" s="79" t="s">
        <v>836</v>
      </c>
      <c r="K23" s="80" t="s">
        <v>795</v>
      </c>
      <c r="L23" s="81" t="s">
        <v>801</v>
      </c>
      <c r="M23" s="81" t="s">
        <v>837</v>
      </c>
      <c r="N23" s="115"/>
      <c r="O23" s="115"/>
      <c r="P23" s="115"/>
      <c r="Q23" s="116"/>
      <c r="R23" s="80" t="s">
        <v>264</v>
      </c>
      <c r="S23" s="81" t="s">
        <v>801</v>
      </c>
      <c r="T23" s="81" t="s">
        <v>837</v>
      </c>
      <c r="U23" s="115"/>
      <c r="V23" s="115"/>
      <c r="W23" s="115"/>
      <c r="Y23" s="112">
        <v>2</v>
      </c>
      <c r="Z23" s="113">
        <v>160</v>
      </c>
      <c r="AA23" s="113">
        <f>AA22+Z23</f>
      </c>
      <c r="AB23" s="112">
        <v>9</v>
      </c>
      <c r="AC23" s="112">
        <v>275</v>
      </c>
      <c r="AD23" s="113">
        <f>AD22+AC23</f>
      </c>
      <c r="AE23" s="112">
        <v>2</v>
      </c>
      <c r="AF23" s="113">
        <v>320</v>
      </c>
      <c r="AG23" s="113">
        <f>AG22+AF23</f>
      </c>
      <c r="AH23" s="112">
        <v>9</v>
      </c>
      <c r="AI23" s="112">
        <v>550</v>
      </c>
      <c r="AJ23" s="113">
        <f>AJ22+AI23</f>
      </c>
      <c r="AL23" s="112">
        <v>2</v>
      </c>
      <c r="AM23" s="113">
        <v>480</v>
      </c>
      <c r="AN23" s="113">
        <f>AN22+AM23</f>
      </c>
      <c r="AO23" s="112">
        <v>9</v>
      </c>
      <c r="AP23" s="112">
        <v>825</v>
      </c>
      <c r="AQ23" s="113">
        <f>AQ22+AP23</f>
      </c>
      <c r="AR23" s="112">
        <v>2</v>
      </c>
      <c r="AS23" s="113">
        <v>960</v>
      </c>
      <c r="AT23" s="113">
        <f>AT22+AS23</f>
      </c>
      <c r="AU23" s="112">
        <v>9</v>
      </c>
      <c r="AV23" s="112">
        <v>1650</v>
      </c>
      <c r="AW23" s="113">
        <f>AW22+AV23</f>
      </c>
    </row>
    <row r="24" ht="17.1" customHeight="1" spans="1:49" x14ac:dyDescent="0.25">
      <c r="A24" s="75" t="s">
        <v>801</v>
      </c>
      <c r="B24" s="75" t="s">
        <v>802</v>
      </c>
      <c r="C24" s="75" t="s">
        <v>803</v>
      </c>
      <c r="D24" s="75" t="s">
        <v>804</v>
      </c>
      <c r="E24" s="75" t="s">
        <v>805</v>
      </c>
      <c r="F24" s="75" t="s">
        <v>799</v>
      </c>
      <c r="G24" s="75" t="s">
        <v>800</v>
      </c>
      <c r="H24" s="75" t="s">
        <v>799</v>
      </c>
      <c r="I24" s="75" t="s">
        <v>800</v>
      </c>
      <c r="K24" s="75" t="s">
        <v>806</v>
      </c>
      <c r="L24" s="75" t="s">
        <v>807</v>
      </c>
      <c r="M24" s="75" t="s">
        <v>799</v>
      </c>
      <c r="N24" s="75" t="s">
        <v>806</v>
      </c>
      <c r="O24" s="75" t="s">
        <v>808</v>
      </c>
      <c r="P24" s="75" t="s">
        <v>800</v>
      </c>
      <c r="Q24" s="75"/>
      <c r="R24" s="75" t="s">
        <v>806</v>
      </c>
      <c r="S24" s="75" t="s">
        <v>807</v>
      </c>
      <c r="T24" s="75" t="s">
        <v>799</v>
      </c>
      <c r="U24" s="75" t="s">
        <v>806</v>
      </c>
      <c r="V24" s="75" t="s">
        <v>808</v>
      </c>
      <c r="W24" s="75" t="s">
        <v>800</v>
      </c>
      <c r="Y24" s="112">
        <v>3</v>
      </c>
      <c r="Z24" s="113">
        <v>160</v>
      </c>
      <c r="AA24" s="113">
        <f>AA23+Z24</f>
      </c>
      <c r="AB24" s="112">
        <v>10</v>
      </c>
      <c r="AC24" s="112">
        <v>275</v>
      </c>
      <c r="AD24" s="113">
        <f>AD23+AC24</f>
      </c>
      <c r="AE24" s="112">
        <v>3</v>
      </c>
      <c r="AF24" s="113">
        <v>320</v>
      </c>
      <c r="AG24" s="113">
        <f>AG23+AF24</f>
      </c>
      <c r="AH24" s="112">
        <v>10</v>
      </c>
      <c r="AI24" s="112">
        <v>550</v>
      </c>
      <c r="AJ24" s="113">
        <f>AJ23+AI24</f>
      </c>
      <c r="AL24" s="112">
        <v>3</v>
      </c>
      <c r="AM24" s="113">
        <v>480</v>
      </c>
      <c r="AN24" s="113">
        <f>AN23+AM24</f>
      </c>
      <c r="AO24" s="112">
        <v>10</v>
      </c>
      <c r="AP24" s="112">
        <v>825</v>
      </c>
      <c r="AQ24" s="113">
        <f>AQ23+AP24</f>
      </c>
      <c r="AR24" s="112">
        <v>3</v>
      </c>
      <c r="AS24" s="113">
        <v>960</v>
      </c>
      <c r="AT24" s="113">
        <f>AT23+AS24</f>
      </c>
      <c r="AU24" s="112">
        <v>10</v>
      </c>
      <c r="AV24" s="112">
        <v>1650</v>
      </c>
      <c r="AW24" s="113">
        <f>AW23+AV24</f>
      </c>
    </row>
    <row r="25" ht="17.1" customHeight="1" spans="1:49" x14ac:dyDescent="0.25">
      <c r="A25" s="97" t="s">
        <v>838</v>
      </c>
      <c r="B25" s="98"/>
      <c r="C25" s="97" t="s">
        <v>837</v>
      </c>
      <c r="D25" s="114">
        <v>5</v>
      </c>
      <c r="E25" s="99" t="s">
        <v>839</v>
      </c>
      <c r="F25" s="104">
        <v>50</v>
      </c>
      <c r="G25" s="104">
        <v>100</v>
      </c>
      <c r="H25" s="101">
        <v>150</v>
      </c>
      <c r="I25" s="101">
        <v>300</v>
      </c>
      <c r="J25" s="92"/>
      <c r="K25" s="97"/>
      <c r="L25" s="97"/>
      <c r="M25" s="103">
        <v>50</v>
      </c>
      <c r="N25" s="97"/>
      <c r="O25" s="97"/>
      <c r="P25" s="104">
        <v>100</v>
      </c>
      <c r="Q25" s="75"/>
      <c r="R25" s="97"/>
      <c r="S25" s="97"/>
      <c r="T25" s="101">
        <v>150</v>
      </c>
      <c r="U25" s="97"/>
      <c r="V25" s="97"/>
      <c r="W25" s="101">
        <v>300</v>
      </c>
      <c r="Y25" s="112">
        <v>4</v>
      </c>
      <c r="Z25" s="113">
        <v>160</v>
      </c>
      <c r="AA25" s="113">
        <f>AA24+Z25</f>
      </c>
      <c r="AB25" s="112">
        <v>11</v>
      </c>
      <c r="AC25" s="112">
        <v>275</v>
      </c>
      <c r="AD25" s="113">
        <f>AD24+AC25</f>
      </c>
      <c r="AE25" s="112">
        <v>4</v>
      </c>
      <c r="AF25" s="113">
        <v>320</v>
      </c>
      <c r="AG25" s="113">
        <f>AG24+AF25</f>
      </c>
      <c r="AH25" s="112">
        <v>11</v>
      </c>
      <c r="AI25" s="112">
        <v>550</v>
      </c>
      <c r="AJ25" s="113">
        <f>AJ24+AI25</f>
      </c>
      <c r="AL25" s="112">
        <v>4</v>
      </c>
      <c r="AM25" s="113">
        <v>480</v>
      </c>
      <c r="AN25" s="113">
        <f>AN24+AM25</f>
      </c>
      <c r="AO25" s="112">
        <v>11</v>
      </c>
      <c r="AP25" s="112">
        <v>825</v>
      </c>
      <c r="AQ25" s="113">
        <f>AQ24+AP25</f>
      </c>
      <c r="AR25" s="112">
        <v>4</v>
      </c>
      <c r="AS25" s="113">
        <v>960</v>
      </c>
      <c r="AT25" s="113">
        <f>AT24+AS25</f>
      </c>
      <c r="AU25" s="112">
        <v>11</v>
      </c>
      <c r="AV25" s="112">
        <v>1650</v>
      </c>
      <c r="AW25" s="113">
        <f>AW24+AV25</f>
      </c>
    </row>
    <row r="26" ht="17.1" customHeight="1" spans="25:49" x14ac:dyDescent="0.25">
      <c r="Y26" s="112">
        <v>5</v>
      </c>
      <c r="Z26" s="113">
        <v>160</v>
      </c>
      <c r="AA26" s="113">
        <f>AA25+Z26</f>
      </c>
      <c r="AB26" s="112">
        <v>12</v>
      </c>
      <c r="AC26" s="112">
        <v>275</v>
      </c>
      <c r="AD26" s="113">
        <f>AD25+AC26</f>
      </c>
      <c r="AE26" s="112">
        <v>5</v>
      </c>
      <c r="AF26" s="113">
        <v>320</v>
      </c>
      <c r="AG26" s="113">
        <f>AG25+AF26</f>
      </c>
      <c r="AH26" s="112">
        <v>12</v>
      </c>
      <c r="AI26" s="112">
        <v>550</v>
      </c>
      <c r="AJ26" s="113">
        <f>AJ25+AI26</f>
      </c>
      <c r="AL26" s="112">
        <v>5</v>
      </c>
      <c r="AM26" s="113">
        <v>480</v>
      </c>
      <c r="AN26" s="113">
        <f>AN25+AM26</f>
      </c>
      <c r="AO26" s="112">
        <v>12</v>
      </c>
      <c r="AP26" s="112">
        <v>825</v>
      </c>
      <c r="AQ26" s="113">
        <f>AQ25+AP26</f>
      </c>
      <c r="AR26" s="112">
        <v>5</v>
      </c>
      <c r="AS26" s="113">
        <v>960</v>
      </c>
      <c r="AT26" s="113">
        <f>AT25+AS26</f>
      </c>
      <c r="AU26" s="112">
        <v>12</v>
      </c>
      <c r="AV26" s="112">
        <v>1650</v>
      </c>
      <c r="AW26" s="113">
        <f>AW25+AV26</f>
      </c>
    </row>
    <row r="27" ht="17.1" customHeight="1" spans="25:49" x14ac:dyDescent="0.25">
      <c r="Y27" s="112">
        <v>6</v>
      </c>
      <c r="Z27" s="113">
        <v>160</v>
      </c>
      <c r="AA27" s="113">
        <f>AA26+Z27</f>
      </c>
      <c r="AB27" s="112">
        <v>13</v>
      </c>
      <c r="AC27" s="112">
        <v>275</v>
      </c>
      <c r="AD27" s="113">
        <f>AD26+AC27</f>
      </c>
      <c r="AE27" s="112">
        <v>6</v>
      </c>
      <c r="AF27" s="113">
        <v>320</v>
      </c>
      <c r="AG27" s="113">
        <f>AG26+AF27</f>
      </c>
      <c r="AH27" s="112">
        <v>13</v>
      </c>
      <c r="AI27" s="112">
        <v>550</v>
      </c>
      <c r="AJ27" s="113">
        <f>AJ26+AI27</f>
      </c>
      <c r="AL27" s="112">
        <v>6</v>
      </c>
      <c r="AM27" s="113">
        <v>480</v>
      </c>
      <c r="AN27" s="113">
        <f>AN26+AM27</f>
      </c>
      <c r="AO27" s="112">
        <v>13</v>
      </c>
      <c r="AP27" s="112">
        <v>825</v>
      </c>
      <c r="AQ27" s="113">
        <f>AQ26+AP27</f>
      </c>
      <c r="AR27" s="112">
        <v>6</v>
      </c>
      <c r="AS27" s="113">
        <v>960</v>
      </c>
      <c r="AT27" s="113">
        <f>AT26+AS27</f>
      </c>
      <c r="AU27" s="112">
        <v>13</v>
      </c>
      <c r="AV27" s="112">
        <v>1650</v>
      </c>
      <c r="AW27" s="113">
        <f>AW26+AV27</f>
      </c>
    </row>
    <row r="28" ht="17.1" customHeight="1" spans="25:49" x14ac:dyDescent="0.25">
      <c r="Y28" s="112">
        <v>7</v>
      </c>
      <c r="Z28" s="113">
        <v>160</v>
      </c>
      <c r="AA28" s="106">
        <f>AA27+Z28</f>
      </c>
      <c r="AB28" s="112">
        <v>14</v>
      </c>
      <c r="AC28" s="112">
        <v>390</v>
      </c>
      <c r="AD28" s="106">
        <f>AD27+AC28</f>
      </c>
      <c r="AE28" s="111">
        <v>7</v>
      </c>
      <c r="AF28" s="113">
        <v>320</v>
      </c>
      <c r="AG28" s="106">
        <f>AG27+AF28</f>
      </c>
      <c r="AH28" s="112">
        <v>14</v>
      </c>
      <c r="AI28" s="112">
        <v>780</v>
      </c>
      <c r="AJ28" s="106">
        <f>AJ27+AI28</f>
      </c>
      <c r="AL28" s="112">
        <v>7</v>
      </c>
      <c r="AM28" s="113">
        <v>480</v>
      </c>
      <c r="AN28" s="107">
        <f>AN27+AM28</f>
      </c>
      <c r="AO28" s="112">
        <v>14</v>
      </c>
      <c r="AP28" s="112">
        <v>1170</v>
      </c>
      <c r="AQ28" s="107">
        <f>AQ27+AP28</f>
      </c>
      <c r="AR28" s="112">
        <v>7</v>
      </c>
      <c r="AS28" s="113">
        <v>960</v>
      </c>
      <c r="AT28" s="107">
        <f>AT27+AS28</f>
      </c>
      <c r="AU28" s="112">
        <v>14</v>
      </c>
      <c r="AV28" s="112">
        <v>2340</v>
      </c>
      <c r="AW28" s="107">
        <f>AW27+AV28</f>
      </c>
    </row>
    <row r="29" ht="17.1" customHeight="1" spans="25:49" x14ac:dyDescent="0.25">
      <c r="Y29" s="112"/>
      <c r="Z29" s="113"/>
      <c r="AA29" s="88"/>
      <c r="AB29" s="112"/>
      <c r="AC29" s="112"/>
      <c r="AD29" s="88"/>
      <c r="AE29" s="111"/>
      <c r="AF29" s="113"/>
      <c r="AG29" s="88"/>
      <c r="AH29" s="112"/>
      <c r="AI29" s="112"/>
      <c r="AJ29" s="88"/>
      <c r="AL29" s="112"/>
      <c r="AM29" s="113"/>
      <c r="AN29" s="88"/>
      <c r="AO29" s="112"/>
      <c r="AP29" s="112"/>
      <c r="AQ29" s="88"/>
      <c r="AR29" s="112"/>
      <c r="AS29" s="113"/>
      <c r="AT29" s="88"/>
      <c r="AU29" s="112"/>
      <c r="AV29" s="112"/>
      <c r="AW29" s="88"/>
    </row>
    <row r="30" ht="17.1" customHeight="1" spans="1:49" x14ac:dyDescent="0.25">
      <c r="A30" s="85" t="s">
        <v>840</v>
      </c>
      <c r="B30" s="116" t="s">
        <v>841</v>
      </c>
      <c r="J30" s="79" t="s">
        <v>842</v>
      </c>
      <c r="K30" s="80" t="s">
        <v>795</v>
      </c>
      <c r="L30" s="81"/>
      <c r="M30" s="81"/>
      <c r="N30" s="81"/>
      <c r="O30" s="115"/>
      <c r="P30" s="115"/>
      <c r="Q30" s="116"/>
      <c r="R30" s="80" t="s">
        <v>264</v>
      </c>
      <c r="S30" s="81"/>
      <c r="T30" s="81"/>
      <c r="U30" s="81"/>
      <c r="V30" s="115"/>
      <c r="W30" s="115"/>
      <c r="Y30" s="85" t="s">
        <v>795</v>
      </c>
      <c r="Z30" s="85" t="s">
        <v>799</v>
      </c>
      <c r="AA30" s="85"/>
      <c r="AB30" s="85"/>
      <c r="AC30" s="85"/>
      <c r="AD30" s="85"/>
      <c r="AE30" s="85" t="s">
        <v>795</v>
      </c>
      <c r="AF30" s="85" t="s">
        <v>800</v>
      </c>
      <c r="AG30" s="85"/>
      <c r="AH30" s="85"/>
      <c r="AI30" s="85"/>
      <c r="AJ30" s="85"/>
      <c r="AL30" s="86" t="s">
        <v>264</v>
      </c>
      <c r="AM30" s="86" t="s">
        <v>799</v>
      </c>
      <c r="AN30" s="87"/>
      <c r="AO30" s="87"/>
      <c r="AP30" s="87"/>
      <c r="AQ30" s="87"/>
      <c r="AR30" s="86" t="s">
        <v>264</v>
      </c>
      <c r="AS30" s="86" t="s">
        <v>800</v>
      </c>
      <c r="AT30" s="88"/>
      <c r="AU30" s="89"/>
      <c r="AV30" s="88"/>
      <c r="AW30" s="88"/>
    </row>
    <row r="31" ht="17.1" customHeight="1" spans="2:49" x14ac:dyDescent="0.25">
      <c r="B31" s="116" t="s">
        <v>843</v>
      </c>
      <c r="K31" s="75" t="s">
        <v>806</v>
      </c>
      <c r="L31" s="75" t="s">
        <v>807</v>
      </c>
      <c r="M31" s="75" t="s">
        <v>799</v>
      </c>
      <c r="N31" s="75" t="s">
        <v>806</v>
      </c>
      <c r="O31" s="75" t="s">
        <v>808</v>
      </c>
      <c r="P31" s="75" t="s">
        <v>800</v>
      </c>
      <c r="Q31" s="75"/>
      <c r="R31" s="75" t="s">
        <v>806</v>
      </c>
      <c r="S31" s="75" t="s">
        <v>807</v>
      </c>
      <c r="T31" s="75" t="s">
        <v>799</v>
      </c>
      <c r="U31" s="75" t="s">
        <v>806</v>
      </c>
      <c r="V31" s="75" t="s">
        <v>808</v>
      </c>
      <c r="W31" s="75" t="s">
        <v>800</v>
      </c>
      <c r="Y31" s="90">
        <v>0</v>
      </c>
      <c r="Z31" s="89">
        <v>0</v>
      </c>
      <c r="AA31" s="89">
        <f>Z31</f>
      </c>
      <c r="AB31" s="89">
        <v>5</v>
      </c>
      <c r="AC31" s="88">
        <v>600</v>
      </c>
      <c r="AD31" s="88">
        <f>AA35+AC31</f>
      </c>
      <c r="AE31" s="90">
        <v>0</v>
      </c>
      <c r="AF31" s="89">
        <v>0</v>
      </c>
      <c r="AG31" s="89">
        <f>AF31</f>
      </c>
      <c r="AH31" s="89">
        <v>5</v>
      </c>
      <c r="AI31" s="88">
        <v>1200</v>
      </c>
      <c r="AJ31" s="88">
        <f>AG35+AI31</f>
      </c>
      <c r="AL31" s="90">
        <v>0</v>
      </c>
      <c r="AM31" s="89">
        <v>0</v>
      </c>
      <c r="AN31" s="89">
        <f>AM31</f>
      </c>
      <c r="AO31" s="89">
        <v>5</v>
      </c>
      <c r="AP31" s="88">
        <v>1800</v>
      </c>
      <c r="AQ31" s="88">
        <f>AN35+AP31</f>
      </c>
      <c r="AR31" s="90">
        <v>0</v>
      </c>
      <c r="AS31" s="89">
        <v>0</v>
      </c>
      <c r="AT31" s="89">
        <f>AS31</f>
      </c>
      <c r="AU31" s="89">
        <v>5</v>
      </c>
      <c r="AV31" s="88">
        <v>3600</v>
      </c>
      <c r="AW31" s="88">
        <f>AT35+AV31</f>
      </c>
    </row>
    <row r="32" ht="17.1" customHeight="1" spans="1:49" s="26" customFormat="1" x14ac:dyDescent="0.25">
      <c r="A32" s="76"/>
      <c r="C32" s="24"/>
      <c r="D32" s="24"/>
      <c r="E32" s="24"/>
      <c r="F32" s="24"/>
      <c r="G32" s="24"/>
      <c r="H32" s="24"/>
      <c r="I32" s="24"/>
      <c r="J32" s="24"/>
      <c r="K32" s="75">
        <v>0</v>
      </c>
      <c r="L32" s="75">
        <v>0</v>
      </c>
      <c r="M32" s="117">
        <v>375</v>
      </c>
      <c r="N32" s="75">
        <v>0</v>
      </c>
      <c r="O32" s="75">
        <v>0</v>
      </c>
      <c r="P32" s="118">
        <v>750</v>
      </c>
      <c r="Q32" s="75"/>
      <c r="R32" s="75">
        <v>0</v>
      </c>
      <c r="S32" s="75">
        <v>0</v>
      </c>
      <c r="T32" s="92">
        <v>900</v>
      </c>
      <c r="U32" s="75">
        <v>0</v>
      </c>
      <c r="V32" s="75">
        <v>0</v>
      </c>
      <c r="W32" s="92">
        <v>1800</v>
      </c>
      <c r="X32" s="24"/>
      <c r="Y32" s="90">
        <v>1</v>
      </c>
      <c r="Z32" s="88">
        <v>300</v>
      </c>
      <c r="AA32" s="88">
        <f>Z31+Z32</f>
      </c>
      <c r="AB32" s="89">
        <v>6</v>
      </c>
      <c r="AC32" s="88">
        <v>600</v>
      </c>
      <c r="AD32" s="88">
        <f>AD31+AC32</f>
      </c>
      <c r="AE32" s="90">
        <v>1</v>
      </c>
      <c r="AF32" s="88">
        <v>600</v>
      </c>
      <c r="AG32" s="88">
        <f>AF31+AF32</f>
      </c>
      <c r="AH32" s="89">
        <v>6</v>
      </c>
      <c r="AI32" s="88">
        <v>1200</v>
      </c>
      <c r="AJ32" s="88">
        <f>AJ31+AI32</f>
      </c>
      <c r="AK32" s="75"/>
      <c r="AL32" s="90">
        <v>1</v>
      </c>
      <c r="AM32" s="88">
        <v>900</v>
      </c>
      <c r="AN32" s="88">
        <f>AM31+AM32</f>
      </c>
      <c r="AO32" s="89">
        <v>6</v>
      </c>
      <c r="AP32" s="88">
        <v>1800</v>
      </c>
      <c r="AQ32" s="88">
        <f>AQ31+AP32</f>
      </c>
      <c r="AR32" s="90">
        <v>1</v>
      </c>
      <c r="AS32" s="88">
        <v>1800</v>
      </c>
      <c r="AT32" s="88">
        <f>AS31+AS32</f>
      </c>
      <c r="AU32" s="89">
        <v>6</v>
      </c>
      <c r="AV32" s="88">
        <v>3600</v>
      </c>
      <c r="AW32" s="88">
        <f>AW31+AV32</f>
      </c>
    </row>
    <row r="33" ht="17.1" customHeight="1" spans="1:49" s="26" customFormat="1" x14ac:dyDescent="0.25">
      <c r="A33" s="76"/>
      <c r="C33" s="24"/>
      <c r="D33" s="24"/>
      <c r="E33" s="24"/>
      <c r="F33" s="24"/>
      <c r="G33" s="24"/>
      <c r="H33" s="24"/>
      <c r="I33" s="24"/>
      <c r="J33" s="24"/>
      <c r="K33" s="75">
        <v>5</v>
      </c>
      <c r="L33" s="95">
        <v>1200</v>
      </c>
      <c r="M33" s="117">
        <v>750</v>
      </c>
      <c r="N33" s="75">
        <v>7</v>
      </c>
      <c r="O33" s="95">
        <v>2400</v>
      </c>
      <c r="P33" s="118">
        <v>1500</v>
      </c>
      <c r="Q33" s="75"/>
      <c r="R33" s="75">
        <v>5</v>
      </c>
      <c r="S33" s="96">
        <v>3360</v>
      </c>
      <c r="T33" s="92">
        <v>1800</v>
      </c>
      <c r="U33" s="75">
        <v>9</v>
      </c>
      <c r="V33" s="96">
        <v>6720</v>
      </c>
      <c r="W33" s="92">
        <v>3600</v>
      </c>
      <c r="X33" s="24"/>
      <c r="Y33" s="90">
        <v>2</v>
      </c>
      <c r="Z33" s="88">
        <v>300</v>
      </c>
      <c r="AA33" s="88">
        <f>AA32+Z33</f>
      </c>
      <c r="AB33" s="89">
        <v>7</v>
      </c>
      <c r="AC33" s="88">
        <v>600</v>
      </c>
      <c r="AD33" s="88">
        <f>AD32+AC33</f>
      </c>
      <c r="AE33" s="90">
        <v>2</v>
      </c>
      <c r="AF33" s="88">
        <v>600</v>
      </c>
      <c r="AG33" s="88">
        <f>AG32+AF33</f>
      </c>
      <c r="AH33" s="89">
        <v>7</v>
      </c>
      <c r="AI33" s="88">
        <v>1200</v>
      </c>
      <c r="AJ33" s="88">
        <f>AJ32+AI33</f>
      </c>
      <c r="AK33" s="75"/>
      <c r="AL33" s="90">
        <v>2</v>
      </c>
      <c r="AM33" s="88">
        <v>900</v>
      </c>
      <c r="AN33" s="88">
        <f>AN32+AM33</f>
      </c>
      <c r="AO33" s="89">
        <v>7</v>
      </c>
      <c r="AP33" s="88">
        <v>1800</v>
      </c>
      <c r="AQ33" s="88">
        <f>AQ32+AP33</f>
      </c>
      <c r="AR33" s="90">
        <v>2</v>
      </c>
      <c r="AS33" s="88">
        <v>1800</v>
      </c>
      <c r="AT33" s="88">
        <f>AT32+AS33</f>
      </c>
      <c r="AU33" s="89">
        <v>7</v>
      </c>
      <c r="AV33" s="88">
        <v>3600</v>
      </c>
      <c r="AW33" s="88">
        <f>AW32+AV33</f>
      </c>
    </row>
    <row r="34" ht="17.1" customHeight="1" spans="1:49" s="26" customFormat="1" x14ac:dyDescent="0.25">
      <c r="A34" s="76"/>
      <c r="C34" s="24"/>
      <c r="D34" s="24"/>
      <c r="E34" s="24"/>
      <c r="F34" s="24"/>
      <c r="G34" s="24"/>
      <c r="H34" s="24"/>
      <c r="I34" s="24"/>
      <c r="J34" s="24"/>
      <c r="K34" s="97">
        <v>9</v>
      </c>
      <c r="L34" s="102">
        <v>4800</v>
      </c>
      <c r="M34" s="119">
        <v>1500</v>
      </c>
      <c r="N34" s="97">
        <v>14</v>
      </c>
      <c r="O34" s="102">
        <v>9600</v>
      </c>
      <c r="P34" s="120">
        <v>3000</v>
      </c>
      <c r="Q34" s="75"/>
      <c r="R34" s="97">
        <v>9</v>
      </c>
      <c r="S34" s="105">
        <v>9135</v>
      </c>
      <c r="T34" s="101">
        <v>3600</v>
      </c>
      <c r="U34" s="97">
        <v>9</v>
      </c>
      <c r="V34" s="105">
        <v>18270</v>
      </c>
      <c r="W34" s="101">
        <v>7200</v>
      </c>
      <c r="X34" s="24"/>
      <c r="Y34" s="90">
        <v>3</v>
      </c>
      <c r="Z34" s="88">
        <v>300</v>
      </c>
      <c r="AA34" s="88">
        <f>AA33+Z34</f>
      </c>
      <c r="AB34" s="89">
        <v>8</v>
      </c>
      <c r="AC34" s="88">
        <v>600</v>
      </c>
      <c r="AD34" s="88">
        <f>AD33+AC34</f>
      </c>
      <c r="AE34" s="90">
        <v>3</v>
      </c>
      <c r="AF34" s="88">
        <v>600</v>
      </c>
      <c r="AG34" s="88">
        <f>AG33+AF34</f>
      </c>
      <c r="AH34" s="89">
        <v>8</v>
      </c>
      <c r="AI34" s="88">
        <v>1200</v>
      </c>
      <c r="AJ34" s="88">
        <f>AJ33+AI34</f>
      </c>
      <c r="AK34" s="75"/>
      <c r="AL34" s="90">
        <v>3</v>
      </c>
      <c r="AM34" s="88">
        <v>900</v>
      </c>
      <c r="AN34" s="88">
        <f>AN33+AM34</f>
      </c>
      <c r="AO34" s="89">
        <v>8</v>
      </c>
      <c r="AP34" s="88">
        <v>1800</v>
      </c>
      <c r="AQ34" s="88">
        <f>AQ33+AP34</f>
      </c>
      <c r="AR34" s="90">
        <v>3</v>
      </c>
      <c r="AS34" s="88">
        <v>1800</v>
      </c>
      <c r="AT34" s="88">
        <f>AT33+AS34</f>
      </c>
      <c r="AU34" s="89">
        <v>8</v>
      </c>
      <c r="AV34" s="88">
        <v>3600</v>
      </c>
      <c r="AW34" s="88">
        <f>AW33+AV34</f>
      </c>
    </row>
    <row r="35" ht="17.1" customHeight="1" spans="1:49" s="26" customFormat="1" x14ac:dyDescent="0.25">
      <c r="A35" s="76"/>
      <c r="C35" s="24"/>
      <c r="D35" s="24"/>
      <c r="E35" s="24"/>
      <c r="F35" s="24"/>
      <c r="G35" s="24"/>
      <c r="H35" s="24"/>
      <c r="I35" s="24"/>
      <c r="J35" s="24"/>
      <c r="X35" s="24"/>
      <c r="Y35" s="90">
        <v>4</v>
      </c>
      <c r="Z35" s="89">
        <v>300</v>
      </c>
      <c r="AA35" s="106">
        <f>AA34+Z35</f>
      </c>
      <c r="AB35" s="89">
        <v>9</v>
      </c>
      <c r="AC35" s="88">
        <v>1200</v>
      </c>
      <c r="AD35" s="106">
        <f>AD34+AC35</f>
      </c>
      <c r="AE35" s="90">
        <v>4</v>
      </c>
      <c r="AF35" s="89">
        <v>600</v>
      </c>
      <c r="AG35" s="106">
        <f>AG34+AF35</f>
      </c>
      <c r="AH35" s="89">
        <v>9</v>
      </c>
      <c r="AI35" s="88">
        <v>2400</v>
      </c>
      <c r="AJ35" s="106">
        <f>AJ34+AI35</f>
      </c>
      <c r="AK35" s="75"/>
      <c r="AL35" s="90">
        <v>4</v>
      </c>
      <c r="AM35" s="89">
        <v>900</v>
      </c>
      <c r="AN35" s="106">
        <f>AN34+AM35</f>
      </c>
      <c r="AO35" s="89">
        <v>9</v>
      </c>
      <c r="AP35" s="88">
        <v>3600</v>
      </c>
      <c r="AQ35" s="106">
        <f>AQ34+AP35</f>
      </c>
      <c r="AR35" s="90">
        <v>4</v>
      </c>
      <c r="AS35" s="89">
        <v>1800</v>
      </c>
      <c r="AT35" s="106">
        <f>AT34+AS35</f>
      </c>
      <c r="AU35" s="89">
        <v>9</v>
      </c>
      <c r="AV35" s="88">
        <v>7200</v>
      </c>
      <c r="AW35" s="106">
        <f>AW34+AV35</f>
      </c>
    </row>
    <row r="36" ht="17.1" customHeight="1" hidden="1" spans="1:49" s="26" customFormat="1" x14ac:dyDescent="0.25">
      <c r="A36" s="26" t="s">
        <v>798</v>
      </c>
      <c r="B36" s="26" t="s">
        <v>795</v>
      </c>
      <c r="C36" s="26" t="s">
        <v>844</v>
      </c>
      <c r="D36" s="24"/>
      <c r="E36" s="24"/>
      <c r="F36" s="24"/>
      <c r="G36" s="24"/>
      <c r="H36" s="24"/>
      <c r="I36" s="24"/>
      <c r="J36" s="24"/>
      <c r="X36" s="24"/>
      <c r="Y36" s="90"/>
      <c r="Z36" s="89"/>
      <c r="AA36" s="89"/>
      <c r="AB36" s="89"/>
      <c r="AC36" s="88"/>
      <c r="AD36" s="88"/>
      <c r="AE36" s="90"/>
      <c r="AF36" s="89"/>
      <c r="AG36" s="89"/>
      <c r="AH36" s="89"/>
      <c r="AI36" s="88"/>
      <c r="AJ36" s="88"/>
      <c r="AK36" s="75"/>
      <c r="AL36" s="90"/>
      <c r="AM36" s="89"/>
      <c r="AN36" s="89"/>
      <c r="AO36" s="89"/>
      <c r="AP36" s="88"/>
      <c r="AQ36" s="88"/>
      <c r="AR36" s="90"/>
      <c r="AS36" s="89"/>
      <c r="AT36" s="89"/>
      <c r="AU36" s="89"/>
      <c r="AV36" s="88"/>
      <c r="AW36" s="88"/>
    </row>
    <row r="37" ht="17.1" customHeight="1" hidden="1" spans="2:49" s="26" customFormat="1" x14ac:dyDescent="0.25">
      <c r="B37" s="26" t="s">
        <v>264</v>
      </c>
      <c r="C37" s="26" t="s">
        <v>845</v>
      </c>
      <c r="D37" s="24"/>
      <c r="E37" s="24"/>
      <c r="F37" s="24"/>
      <c r="G37" s="24"/>
      <c r="H37" s="24"/>
      <c r="I37" s="24"/>
      <c r="J37" s="24"/>
      <c r="X37" s="24"/>
      <c r="Y37" s="90"/>
      <c r="Z37" s="89"/>
      <c r="AA37" s="89"/>
      <c r="AB37" s="89"/>
      <c r="AC37" s="88"/>
      <c r="AD37" s="88"/>
      <c r="AE37" s="90"/>
      <c r="AF37" s="89"/>
      <c r="AG37" s="89"/>
      <c r="AH37" s="89"/>
      <c r="AI37" s="88"/>
      <c r="AJ37" s="88"/>
      <c r="AK37" s="75"/>
      <c r="AL37" s="90"/>
      <c r="AM37" s="89"/>
      <c r="AN37" s="89"/>
      <c r="AO37" s="89"/>
      <c r="AP37" s="88"/>
      <c r="AQ37" s="88"/>
      <c r="AR37" s="90"/>
      <c r="AS37" s="89"/>
      <c r="AT37" s="89"/>
      <c r="AU37" s="89"/>
      <c r="AV37" s="88"/>
      <c r="AW37" s="88"/>
    </row>
    <row r="38" ht="17.1" customHeight="1" hidden="1" spans="1:24" s="26" customFormat="1" x14ac:dyDescent="0.25">
      <c r="A38" s="26" t="s">
        <v>846</v>
      </c>
      <c r="B38" s="26" t="s">
        <v>795</v>
      </c>
      <c r="C38" s="26" t="s">
        <v>847</v>
      </c>
      <c r="D38" s="24"/>
      <c r="E38" s="24"/>
      <c r="F38" s="24"/>
      <c r="G38" s="24"/>
      <c r="H38" s="24"/>
      <c r="I38" s="24"/>
      <c r="J38" s="24"/>
      <c r="X38" s="24"/>
    </row>
    <row r="39" ht="17.1" customHeight="1" hidden="1" spans="2:43" s="26" customFormat="1" x14ac:dyDescent="0.25">
      <c r="B39" s="26" t="s">
        <v>264</v>
      </c>
      <c r="C39" s="26" t="s">
        <v>848</v>
      </c>
      <c r="D39" s="24"/>
      <c r="E39" s="24"/>
      <c r="F39" s="24"/>
      <c r="G39" s="24"/>
      <c r="H39" s="24"/>
      <c r="I39" s="24"/>
      <c r="J39" s="24"/>
      <c r="X39" s="24"/>
      <c r="Y39" s="24"/>
      <c r="Z39" s="24"/>
      <c r="AA39" s="24"/>
      <c r="AB39" s="24"/>
      <c r="AC39" s="24"/>
      <c r="AD39" s="24"/>
      <c r="AE39" s="24"/>
      <c r="AK39" s="24"/>
      <c r="AQ39" s="24"/>
    </row>
    <row r="40" ht="17.1" customHeight="1" hidden="1" spans="1:43" s="26" customFormat="1" x14ac:dyDescent="0.25">
      <c r="A40" s="26" t="s">
        <v>837</v>
      </c>
      <c r="B40" s="26" t="s">
        <v>795</v>
      </c>
      <c r="C40" s="26" t="s">
        <v>849</v>
      </c>
      <c r="D40" s="24"/>
      <c r="E40" s="24"/>
      <c r="F40" s="24"/>
      <c r="G40" s="24"/>
      <c r="H40" s="24"/>
      <c r="I40" s="24"/>
      <c r="J40" s="24"/>
      <c r="X40" s="24"/>
      <c r="Y40" s="24"/>
      <c r="Z40" s="24"/>
      <c r="AA40" s="24"/>
      <c r="AB40" s="24"/>
      <c r="AC40" s="24"/>
      <c r="AD40" s="24"/>
      <c r="AE40" s="24"/>
      <c r="AK40" s="24"/>
      <c r="AQ40" s="24"/>
    </row>
    <row r="41" ht="17.1" customHeight="1" hidden="1" spans="1:43" s="26" customFormat="1" x14ac:dyDescent="0.25">
      <c r="A41" s="24"/>
      <c r="B41" s="26" t="s">
        <v>264</v>
      </c>
      <c r="C41" s="26" t="s">
        <v>850</v>
      </c>
      <c r="D41" s="24"/>
      <c r="E41" s="24"/>
      <c r="F41" s="24"/>
      <c r="G41" s="24"/>
      <c r="H41" s="24"/>
      <c r="I41" s="24"/>
      <c r="J41" s="24"/>
      <c r="X41" s="24"/>
      <c r="Y41" s="24"/>
      <c r="Z41" s="24"/>
      <c r="AA41" s="24"/>
      <c r="AB41" s="24"/>
      <c r="AC41" s="24"/>
      <c r="AD41" s="24"/>
      <c r="AE41" s="24"/>
      <c r="AK41" s="24"/>
      <c r="AQ41" s="24"/>
    </row>
    <row r="42" ht="17.1" customHeight="1" hidden="1" spans="1:43" s="26" customFormat="1" x14ac:dyDescent="0.25">
      <c r="A42" s="26" t="s">
        <v>851</v>
      </c>
      <c r="B42" s="26" t="s">
        <v>795</v>
      </c>
      <c r="C42" s="26" t="s">
        <v>852</v>
      </c>
      <c r="D42" s="24"/>
      <c r="E42" s="24"/>
      <c r="F42" s="24"/>
      <c r="G42" s="24"/>
      <c r="H42" s="24"/>
      <c r="I42" s="24"/>
      <c r="J42" s="24"/>
      <c r="X42" s="24"/>
      <c r="Y42" s="24"/>
      <c r="Z42" s="24"/>
      <c r="AA42" s="24"/>
      <c r="AB42" s="24"/>
      <c r="AC42" s="24"/>
      <c r="AD42" s="24"/>
      <c r="AE42" s="24"/>
      <c r="AK42" s="24"/>
      <c r="AQ42" s="24"/>
    </row>
    <row r="43" ht="17.1" customHeight="1" hidden="1" spans="2:3" x14ac:dyDescent="0.25">
      <c r="B43" s="26" t="s">
        <v>264</v>
      </c>
      <c r="C43" s="26" t="s">
        <v>853</v>
      </c>
    </row>
    <row r="44" ht="17.1" customHeight="1" hidden="1" x14ac:dyDescent="0.25"/>
    <row r="45" ht="17.1" customHeight="1" hidden="1" spans="1:3" x14ac:dyDescent="0.25">
      <c r="A45" s="111" t="s">
        <v>854</v>
      </c>
      <c r="B45" s="111" t="s">
        <v>806</v>
      </c>
      <c r="C45" s="111" t="s">
        <v>855</v>
      </c>
    </row>
    <row r="46" ht="17.1" customHeight="1" hidden="1" spans="1:3" x14ac:dyDescent="0.25">
      <c r="A46" s="111" t="s">
        <v>799</v>
      </c>
      <c r="B46" s="111">
        <v>0</v>
      </c>
      <c r="C46" s="24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11" t="s">
        <v>799</v>
      </c>
      <c r="B47" s="111">
        <v>1</v>
      </c>
      <c r="C47" s="24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11" t="s">
        <v>799</v>
      </c>
      <c r="B48" s="111">
        <v>2</v>
      </c>
      <c r="C48" s="24">
        <f>IF(A48="20'",VLOOKUP(B48,$R$9:$T$12,2,TRUE)+(B48-VLOOKUP(B48,$R$9:$T$12,1,TRUE))*VLOOKUP(B48,$R$9:$T$12,3,TRUE),VLOOKUP(B48,$U$9:$W$12,2,TRUE)+(B48-VLOOKUP(B48,$U$9:$W$12,1,TRUE))*VLOOKUP(B48,$U$9:$W$12,3,TRUE))</f>
      </c>
      <c r="G48" s="76"/>
    </row>
    <row r="49" ht="17.1" customHeight="1" hidden="1" spans="1:3" x14ac:dyDescent="0.25">
      <c r="A49" s="111" t="s">
        <v>799</v>
      </c>
      <c r="B49" s="111">
        <v>3</v>
      </c>
      <c r="C49" s="24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11" t="s">
        <v>799</v>
      </c>
      <c r="B50" s="111">
        <v>4</v>
      </c>
      <c r="C50" s="24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11" t="s">
        <v>799</v>
      </c>
      <c r="B51" s="111">
        <v>5</v>
      </c>
      <c r="C51" s="24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11" t="s">
        <v>799</v>
      </c>
      <c r="B52" s="111">
        <v>6</v>
      </c>
      <c r="C52" s="24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11" t="s">
        <v>799</v>
      </c>
      <c r="B53" s="111">
        <v>7</v>
      </c>
      <c r="C53" s="24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11" t="s">
        <v>799</v>
      </c>
      <c r="B54" s="111">
        <v>8</v>
      </c>
      <c r="C54" s="24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11" t="s">
        <v>799</v>
      </c>
      <c r="B55" s="111">
        <v>9</v>
      </c>
      <c r="C55" s="24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11" t="s">
        <v>799</v>
      </c>
      <c r="B56" s="111">
        <v>10</v>
      </c>
      <c r="C56" s="24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11" t="s">
        <v>799</v>
      </c>
      <c r="B57" s="111">
        <v>11</v>
      </c>
      <c r="C57" s="24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11" t="s">
        <v>799</v>
      </c>
      <c r="B58" s="111">
        <v>12</v>
      </c>
      <c r="C58" s="24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11" t="s">
        <v>799</v>
      </c>
      <c r="B59" s="111">
        <v>13</v>
      </c>
      <c r="C59" s="24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11" t="s">
        <v>799</v>
      </c>
      <c r="B60" s="111">
        <v>14</v>
      </c>
      <c r="C60" s="24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11" t="s">
        <v>799</v>
      </c>
      <c r="B61" s="111">
        <v>15</v>
      </c>
      <c r="C61" s="24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11" t="s">
        <v>800</v>
      </c>
      <c r="B62" s="111">
        <v>0</v>
      </c>
      <c r="C62" s="24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11" t="s">
        <v>800</v>
      </c>
      <c r="B63" s="111">
        <v>1</v>
      </c>
      <c r="C63" s="24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11" t="s">
        <v>800</v>
      </c>
      <c r="B64" s="111">
        <v>2</v>
      </c>
      <c r="C64" s="24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11" t="s">
        <v>800</v>
      </c>
      <c r="B65" s="111">
        <v>3</v>
      </c>
      <c r="C65" s="24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11" t="s">
        <v>800</v>
      </c>
      <c r="B66" s="111">
        <v>4</v>
      </c>
      <c r="C66" s="24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11" t="s">
        <v>800</v>
      </c>
      <c r="B67" s="111">
        <v>5</v>
      </c>
      <c r="C67" s="24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11" t="s">
        <v>800</v>
      </c>
      <c r="B68" s="111">
        <v>6</v>
      </c>
      <c r="C68" s="24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11" t="s">
        <v>800</v>
      </c>
      <c r="B69" s="111">
        <v>7</v>
      </c>
      <c r="C69" s="24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11" t="s">
        <v>800</v>
      </c>
      <c r="B70" s="111">
        <v>8</v>
      </c>
      <c r="C70" s="24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11" t="s">
        <v>800</v>
      </c>
      <c r="B71" s="111">
        <v>9</v>
      </c>
      <c r="C71" s="24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11" t="s">
        <v>800</v>
      </c>
      <c r="B72" s="111">
        <v>10</v>
      </c>
      <c r="C72" s="24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11" t="s">
        <v>800</v>
      </c>
      <c r="B73" s="111">
        <v>11</v>
      </c>
      <c r="C73" s="24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11" t="s">
        <v>800</v>
      </c>
      <c r="B74" s="111">
        <v>12</v>
      </c>
      <c r="C74" s="24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11" t="s">
        <v>800</v>
      </c>
      <c r="B75" s="111">
        <v>13</v>
      </c>
      <c r="C75" s="24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11" t="s">
        <v>800</v>
      </c>
      <c r="B76" s="111">
        <v>14</v>
      </c>
      <c r="C76" s="24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11" t="s">
        <v>800</v>
      </c>
      <c r="B77" s="111">
        <v>15</v>
      </c>
      <c r="C77" s="24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