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BMOU6064956</t>
        </is>
      </c>
      <c r="B2" s="161" t="inlineStr">
        <is>
          <t>2026-10-15</t>
        </is>
      </c>
      <c r="C2" s="96" t="inlineStr">
        <is>
          <t>SWSR</t>
        </is>
      </c>
      <c r="D2" s="96" t="inlineStr">
        <is>
          <t>2611N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HASLS22260802147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SHA16L08</t>
        </is>
      </c>
      <c r="W2" s="96" t="inlineStr">
        <is>
          <t>YUSEN LOGISTICS (THAILAND) CO., LTD</t>
        </is>
      </c>
      <c r="X2" s="96" t="inlineStr">
        <is>
          <t>VFD</t>
        </is>
      </c>
      <c r="Y2" s="96" t="inlineStr">
        <is>
          <t>YUSEN LOGISTICS (HONG KONG) LTD.</t>
        </is>
      </c>
      <c r="Z2" s="96" t="inlineStr">
        <is>
          <t>YUSEN LOGISTICS (HONG KONG) LTD.</t>
        </is>
      </c>
      <c r="AA2" s="97" t="n">
        <v>2710.17</v>
      </c>
      <c r="AB2" s="96" t="inlineStr">
        <is>
          <t>LCH04</t>
        </is>
      </c>
      <c r="AC2" s="96" t="inlineStr">
        <is>
          <t>HKG03</t>
        </is>
      </c>
    </row>
    <row r="3" ht="12" customHeight="1">
      <c r="A3" s="96" t="inlineStr">
        <is>
          <t>DFSU7488098</t>
        </is>
      </c>
      <c r="B3" s="161" t="inlineStr">
        <is>
          <t>2026-10-15</t>
        </is>
      </c>
      <c r="C3" s="96" t="inlineStr">
        <is>
          <t>SWSR</t>
        </is>
      </c>
      <c r="D3" s="96" t="inlineStr">
        <is>
          <t>2611N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CNNAH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HASLS22260902638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SHA16L10</t>
        </is>
      </c>
      <c r="W3" s="96" t="inlineStr">
        <is>
          <t>HANWEI TRADING CO.,LTD.</t>
        </is>
      </c>
      <c r="X3" s="96" t="inlineStr">
        <is>
          <t>VFD</t>
        </is>
      </c>
      <c r="Y3" s="96" t="inlineStr">
        <is>
          <t>QINGYUAN MINGDA METAL CO.,LTD.</t>
        </is>
      </c>
      <c r="Z3" s="96" t="inlineStr">
        <is>
          <t>HOP CHUNG METAL CO., LIMITED</t>
        </is>
      </c>
      <c r="AA3" s="97" t="n">
        <v>23500</v>
      </c>
      <c r="AB3" s="96" t="inlineStr">
        <is>
          <t>LCH04</t>
        </is>
      </c>
      <c r="AC3" s="96" t="inlineStr">
        <is>
          <t>HKG03</t>
        </is>
      </c>
    </row>
    <row r="4" ht="12" customHeight="1">
      <c r="A4" s="96" t="inlineStr">
        <is>
          <t>HALU2420148</t>
        </is>
      </c>
      <c r="B4" s="161" t="inlineStr">
        <is>
          <t>2026-10-15</t>
        </is>
      </c>
      <c r="C4" s="96" t="inlineStr">
        <is>
          <t>SWSR</t>
        </is>
      </c>
      <c r="D4" s="96" t="inlineStr">
        <is>
          <t>2611N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HKHKG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HASLS22260900690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C0124002</t>
        </is>
      </c>
      <c r="W4" s="96" t="inlineStr">
        <is>
          <t>SIAM DEL MONTE CO., LTD.</t>
        </is>
      </c>
      <c r="X4" s="96" t="inlineStr">
        <is>
          <t>VFD</t>
        </is>
      </c>
      <c r="Y4" s="96" t="inlineStr">
        <is>
          <t>WELL SYNERGY INTERNATIONAL LTD</t>
        </is>
      </c>
      <c r="Z4" s="96" t="inlineStr">
        <is>
          <t>WELL SYNERGY INTERNATIONAL LTD</t>
        </is>
      </c>
      <c r="AA4" s="97" t="n">
        <v>21522.72</v>
      </c>
      <c r="AB4" s="96" t="inlineStr">
        <is>
          <t>LCH04</t>
        </is>
      </c>
      <c r="AC4" s="96" t="inlineStr">
        <is>
          <t>HKG03</t>
        </is>
      </c>
    </row>
    <row r="5" ht="12" customHeight="1">
      <c r="A5" s="96" t="inlineStr">
        <is>
          <t>HALU2552463</t>
        </is>
      </c>
      <c r="B5" s="161" t="inlineStr">
        <is>
          <t>2026-10-15</t>
        </is>
      </c>
      <c r="C5" s="96" t="inlineStr">
        <is>
          <t>SWSR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HKHKG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HASLS22261000423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C0125002</t>
        </is>
      </c>
      <c r="W5" s="96" t="inlineStr">
        <is>
          <t>RHENUS LOGISTICS CO., LTD.</t>
        </is>
      </c>
      <c r="X5" s="96" t="inlineStr">
        <is>
          <t>VFD</t>
        </is>
      </c>
      <c r="Y5" s="96" t="inlineStr">
        <is>
          <t>RHENUS LOGISTICS HONG KONG LTD.</t>
        </is>
      </c>
      <c r="Z5" s="96" t="inlineStr">
        <is>
          <t>RHENUS LOGISTICS HONG KONG LTD.</t>
        </is>
      </c>
      <c r="AA5" s="97" t="n">
        <v>2173.45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HLHU8518728</t>
        </is>
      </c>
      <c r="B6" s="161" t="inlineStr">
        <is>
          <t>2026-10-15</t>
        </is>
      </c>
      <c r="C6" s="96" t="inlineStr">
        <is>
          <t>SWSR</t>
        </is>
      </c>
      <c r="D6" s="96" t="inlineStr">
        <is>
          <t>2611N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CNXMN</t>
        </is>
      </c>
      <c r="J6" s="96" t="inlineStr">
        <is>
          <t>CNXMN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HASLS22261000313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C0125003</t>
        </is>
      </c>
      <c r="W6" s="96" t="inlineStr">
        <is>
          <t>THAI WANG AGRO PRODUCT</t>
        </is>
      </c>
      <c r="X6" s="96" t="inlineStr">
        <is>
          <t>VFD</t>
        </is>
      </c>
      <c r="Y6" s="96" t="inlineStr">
        <is>
          <t>XIAMEN UNITHAI IMPORT&amp;EXPORT</t>
        </is>
      </c>
      <c r="Z6" s="96" t="inlineStr">
        <is>
          <t>XIAMEN UNITHAI IMPORT&amp;EXPORT</t>
        </is>
      </c>
      <c r="AA6" s="97" t="n">
        <v>17237</v>
      </c>
      <c r="AB6" s="96" t="inlineStr">
        <is>
          <t>LCH04</t>
        </is>
      </c>
      <c r="AC6" s="96" t="inlineStr">
        <is>
          <t>XMN01</t>
        </is>
      </c>
    </row>
    <row r="7" ht="12" customHeight="1">
      <c r="A7" s="96" t="inlineStr">
        <is>
          <t>SEGU2340971</t>
        </is>
      </c>
      <c r="B7" s="161" t="inlineStr">
        <is>
          <t>2026-10-15</t>
        </is>
      </c>
      <c r="C7" s="96" t="inlineStr">
        <is>
          <t>SWSR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HASLS22260901527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TSN15L05</t>
        </is>
      </c>
      <c r="W7" s="96" t="inlineStr">
        <is>
          <t>THAI POLYACETAL CO.,LTD.</t>
        </is>
      </c>
      <c r="X7" s="96" t="inlineStr">
        <is>
          <t>VED</t>
        </is>
      </c>
      <c r="Y7" s="96" t="inlineStr">
        <is>
          <t>JACOBSON VAN DEN BERG (HK) LTD</t>
        </is>
      </c>
      <c r="Z7" s="96" t="inlineStr">
        <is>
          <t>JACOBSON VAN DEN BERG (HK) LTD</t>
        </is>
      </c>
      <c r="AA7" s="97" t="n">
        <v>17443</v>
      </c>
      <c r="AB7" s="96" t="inlineStr">
        <is>
          <t>LCH04</t>
        </is>
      </c>
      <c r="AC7" s="96" t="inlineStr">
        <is>
          <t>HKG03</t>
        </is>
      </c>
    </row>
    <row r="8" ht="12" customHeight="1">
      <c r="A8" s="96" t="inlineStr">
        <is>
          <t>SKHU8917509</t>
        </is>
      </c>
      <c r="B8" s="161" t="inlineStr">
        <is>
          <t>2026-10-15</t>
        </is>
      </c>
      <c r="C8" s="96" t="inlineStr">
        <is>
          <t>SWSR</t>
        </is>
      </c>
      <c r="D8" s="96" t="inlineStr">
        <is>
          <t>2611N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HASLS22261000123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K0120023</t>
        </is>
      </c>
      <c r="W8" s="96" t="inlineStr">
        <is>
          <t>DOLPHIN LOGISTICS (THAILAND)</t>
        </is>
      </c>
      <c r="X8" s="96" t="inlineStr">
        <is>
          <t>VFD</t>
        </is>
      </c>
      <c r="Y8" s="96" t="inlineStr">
        <is>
          <t>SIG FAI TRANSPORTATION COMPANY</t>
        </is>
      </c>
      <c r="Z8" s="96" t="inlineStr">
        <is>
          <t>SIG FAI TRANSPORTATION COMPANY</t>
        </is>
      </c>
      <c r="AA8" s="97" t="n">
        <v>5703.96</v>
      </c>
      <c r="AB8" s="96" t="inlineStr">
        <is>
          <t>LCH04</t>
        </is>
      </c>
      <c r="AC8" s="96" t="inlineStr">
        <is>
          <t>HKG03</t>
        </is>
      </c>
    </row>
    <row r="9" ht="12" customHeight="1">
      <c r="A9" s="96" t="inlineStr">
        <is>
          <t>SKHU9410822</t>
        </is>
      </c>
      <c r="B9" s="161" t="inlineStr">
        <is>
          <t>2026-10-15</t>
        </is>
      </c>
      <c r="C9" s="96" t="inlineStr">
        <is>
          <t>SWSR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HASLS22261000123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K0120023</t>
        </is>
      </c>
      <c r="W9" s="96" t="inlineStr">
        <is>
          <t>DOLPHIN LOGISTICS (THAILAND)</t>
        </is>
      </c>
      <c r="X9" s="96" t="inlineStr">
        <is>
          <t>VFD</t>
        </is>
      </c>
      <c r="Y9" s="96" t="inlineStr">
        <is>
          <t>SIG FAI TRANSPORTATION COMPANY</t>
        </is>
      </c>
      <c r="Z9" s="96" t="inlineStr">
        <is>
          <t>SIG FAI TRANSPORTATION COMPANY</t>
        </is>
      </c>
      <c r="AA9" s="97" t="n">
        <v>5579.27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SKHU9420348</t>
        </is>
      </c>
      <c r="B10" s="161" t="inlineStr">
        <is>
          <t>2026-10-15</t>
        </is>
      </c>
      <c r="C10" s="96" t="inlineStr">
        <is>
          <t>SWSR</t>
        </is>
      </c>
      <c r="D10" s="96" t="inlineStr">
        <is>
          <t>2611N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CNXMN</t>
        </is>
      </c>
      <c r="J10" s="96" t="inlineStr">
        <is>
          <t>CNXMN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HASLS22261000313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K0120023</t>
        </is>
      </c>
      <c r="W10" s="96" t="inlineStr">
        <is>
          <t>THAI WANG AGRO PRODUCT</t>
        </is>
      </c>
      <c r="X10" s="96" t="inlineStr">
        <is>
          <t>VFD</t>
        </is>
      </c>
      <c r="Y10" s="96" t="inlineStr">
        <is>
          <t>XIAMEN UNITHAI IMPORT&amp;EXPORT</t>
        </is>
      </c>
      <c r="Z10" s="96" t="inlineStr">
        <is>
          <t>XIAMEN UNITHAI IMPORT&amp;EXPORT</t>
        </is>
      </c>
      <c r="AA10" s="97" t="n">
        <v>17237</v>
      </c>
      <c r="AB10" s="96" t="inlineStr">
        <is>
          <t>LCH04</t>
        </is>
      </c>
      <c r="AC10" s="96" t="inlineStr">
        <is>
          <t>XMN01</t>
        </is>
      </c>
    </row>
    <row r="11" ht="12" customHeight="1">
      <c r="A11" s="96" t="inlineStr">
        <is>
          <t>SKLU0717230</t>
        </is>
      </c>
      <c r="B11" s="161" t="inlineStr">
        <is>
          <t>2026-10-15</t>
        </is>
      </c>
      <c r="C11" s="96" t="inlineStr">
        <is>
          <t>SWSR</t>
        </is>
      </c>
      <c r="D11" s="96" t="inlineStr">
        <is>
          <t>2611N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CNJUJ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HASLS22260902442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K0120021</t>
        </is>
      </c>
      <c r="W11" s="96" t="inlineStr">
        <is>
          <t>HANWEI TRADING CO.,LTD.</t>
        </is>
      </c>
      <c r="X11" s="96" t="inlineStr">
        <is>
          <t>VED</t>
        </is>
      </c>
      <c r="Y11" s="96" t="inlineStr">
        <is>
          <t>ZHAOQING LIMA METAL CO.,LTD.</t>
        </is>
      </c>
      <c r="Z11" s="96" t="inlineStr">
        <is>
          <t>HAN BOND NEW MATERIALS SUPPLY</t>
        </is>
      </c>
      <c r="AA11" s="97" t="n">
        <v>27600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SKLU0753670</t>
        </is>
      </c>
      <c r="B12" s="161" t="inlineStr">
        <is>
          <t>2026-10-15</t>
        </is>
      </c>
      <c r="C12" s="96" t="inlineStr">
        <is>
          <t>SWSR</t>
        </is>
      </c>
      <c r="D12" s="96" t="inlineStr">
        <is>
          <t>2611N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HASLS22260902370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K0120021</t>
        </is>
      </c>
      <c r="W12" s="96" t="inlineStr">
        <is>
          <t>DOUBLE A (1991) PUBLIC COMPANY</t>
        </is>
      </c>
      <c r="X12" s="96" t="inlineStr">
        <is>
          <t>VFD</t>
        </is>
      </c>
      <c r="Y12" s="96" t="inlineStr">
        <is>
          <t>OH360 CO., LTD.</t>
        </is>
      </c>
      <c r="Z12" s="96" t="inlineStr">
        <is>
          <t>OH360 CO., LTD.</t>
        </is>
      </c>
      <c r="AA12" s="97" t="n">
        <v>16819</v>
      </c>
      <c r="AB12" s="96" t="inlineStr">
        <is>
          <t>LCH04</t>
        </is>
      </c>
      <c r="AC12" s="96" t="inlineStr">
        <is>
          <t>HKG03</t>
        </is>
      </c>
    </row>
    <row r="13" ht="12" customHeight="1">
      <c r="A13" s="96" t="inlineStr">
        <is>
          <t>SKLU1317861</t>
        </is>
      </c>
      <c r="B13" s="161" t="inlineStr">
        <is>
          <t>2026-10-15</t>
        </is>
      </c>
      <c r="C13" s="96" t="inlineStr">
        <is>
          <t>SWSR</t>
        </is>
      </c>
      <c r="D13" s="96" t="inlineStr">
        <is>
          <t>2611N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HASLS22260902370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K0120021</t>
        </is>
      </c>
      <c r="W13" s="96" t="inlineStr">
        <is>
          <t>DOUBLE A (1991) PUBLIC COMPANY</t>
        </is>
      </c>
      <c r="X13" s="96" t="inlineStr">
        <is>
          <t>VED</t>
        </is>
      </c>
      <c r="Y13" s="96" t="inlineStr">
        <is>
          <t>OH360 CO., LTD.</t>
        </is>
      </c>
      <c r="Z13" s="96" t="inlineStr">
        <is>
          <t>OH360 CO., LTD.</t>
        </is>
      </c>
      <c r="AA13" s="97" t="n">
        <v>16818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SKLU1906049</t>
        </is>
      </c>
      <c r="B14" s="161" t="inlineStr">
        <is>
          <t>2026-10-15</t>
        </is>
      </c>
      <c r="C14" s="96" t="inlineStr">
        <is>
          <t>SWSR</t>
        </is>
      </c>
      <c r="D14" s="96" t="inlineStr">
        <is>
          <t>2611N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CNHUA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HASLS22260900705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S1120012</t>
        </is>
      </c>
      <c r="W14" s="96" t="inlineStr">
        <is>
          <t>YUSEN LOGISTICS (THAILAND) CO., LTD</t>
        </is>
      </c>
      <c r="X14" s="96" t="inlineStr">
        <is>
          <t>VED</t>
        </is>
      </c>
      <c r="Y14" s="96" t="inlineStr">
        <is>
          <t>YUSEN LOGISTICS (CHINA) CO., LTD.</t>
        </is>
      </c>
      <c r="Z14" s="96" t="inlineStr">
        <is>
          <t>YUSEN LOGISTICS (CHINA) CO., LTD.</t>
        </is>
      </c>
      <c r="AA14" s="97" t="n">
        <v>6512.7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SKLU1918034</t>
        </is>
      </c>
      <c r="B15" s="161" t="inlineStr">
        <is>
          <t>2026-10-15</t>
        </is>
      </c>
      <c r="C15" s="96" t="inlineStr">
        <is>
          <t>SWSR</t>
        </is>
      </c>
      <c r="D15" s="96" t="inlineStr">
        <is>
          <t>2611N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KRPUS</t>
        </is>
      </c>
      <c r="J15" s="96" t="inlineStr">
        <is>
          <t>KRPUS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HASLS22260901698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K0120021</t>
        </is>
      </c>
      <c r="W15" s="96" t="inlineStr">
        <is>
          <t>SIAM FOOD (2513) CO.,LTD.</t>
        </is>
      </c>
      <c r="X15" s="96" t="inlineStr">
        <is>
          <t>VFD</t>
        </is>
      </c>
      <c r="Y15" s="96" t="inlineStr">
        <is>
          <t>RIAN KOREA CORP.</t>
        </is>
      </c>
      <c r="Z15" s="96" t="inlineStr">
        <is>
          <t>RIAN KOREA CORP.</t>
        </is>
      </c>
      <c r="AA15" s="97" t="n">
        <v>20500</v>
      </c>
      <c r="AB15" s="96" t="inlineStr">
        <is>
          <t>LCH04</t>
        </is>
      </c>
      <c r="AC15" s="96" t="inlineStr">
        <is>
          <t>PUSH4</t>
        </is>
      </c>
    </row>
    <row r="16" ht="12" customHeight="1">
      <c r="A16" s="96" t="inlineStr">
        <is>
          <t>SKLU1945596</t>
        </is>
      </c>
      <c r="B16" s="161" t="inlineStr">
        <is>
          <t>2026-10-15</t>
        </is>
      </c>
      <c r="C16" s="96" t="inlineStr">
        <is>
          <t>SWSR</t>
        </is>
      </c>
      <c r="D16" s="96" t="inlineStr">
        <is>
          <t>2611N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CNXMN</t>
        </is>
      </c>
      <c r="J16" s="96" t="inlineStr">
        <is>
          <t>CNXMN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HASLS22260902384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S1120012</t>
        </is>
      </c>
      <c r="W16" s="96" t="inlineStr">
        <is>
          <t>SEABRA TRANS INTERNATIONAL CO.,LTD.</t>
        </is>
      </c>
      <c r="X16" s="96" t="inlineStr">
        <is>
          <t>VFD</t>
        </is>
      </c>
      <c r="Y16" s="96" t="inlineStr">
        <is>
          <t>XIAMEN FDK CORPORATION</t>
        </is>
      </c>
      <c r="Z16" s="96" t="inlineStr">
        <is>
          <t>KING FREIGHT (GUANG ZHOU)</t>
        </is>
      </c>
      <c r="AA16" s="97" t="n">
        <v>6492.6</v>
      </c>
      <c r="AB16" s="96" t="inlineStr">
        <is>
          <t>LCH04</t>
        </is>
      </c>
      <c r="AC16" s="96" t="inlineStr">
        <is>
          <t>XMN01</t>
        </is>
      </c>
    </row>
    <row r="17" ht="12" customHeight="1">
      <c r="A17" s="96" t="inlineStr">
        <is>
          <t>SKLU1993090</t>
        </is>
      </c>
      <c r="B17" s="161" t="inlineStr">
        <is>
          <t>2026-10-15</t>
        </is>
      </c>
      <c r="C17" s="96" t="inlineStr">
        <is>
          <t>SWSR</t>
        </is>
      </c>
      <c r="D17" s="96" t="inlineStr">
        <is>
          <t>2611N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CNXMN</t>
        </is>
      </c>
      <c r="J17" s="96" t="inlineStr">
        <is>
          <t>CNXMN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HASLS22260901518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K0120021</t>
        </is>
      </c>
      <c r="W17" s="96" t="inlineStr">
        <is>
          <t>PTT GLOBAL CHEMICAL PUBLIC COMPANY</t>
        </is>
      </c>
      <c r="X17" s="96" t="inlineStr">
        <is>
          <t>VFD</t>
        </is>
      </c>
      <c r="Y17" s="96" t="inlineStr">
        <is>
          <t>TO ORDER</t>
        </is>
      </c>
      <c r="Z17" s="96" t="inlineStr">
        <is>
          <t>GUANGZHOU SULIANYUN DIGITAL</t>
        </is>
      </c>
      <c r="AA17" s="97" t="n">
        <v>18072</v>
      </c>
      <c r="AB17" s="96" t="inlineStr">
        <is>
          <t>LCH04</t>
        </is>
      </c>
      <c r="AC17" s="96" t="inlineStr">
        <is>
          <t>XMN01</t>
        </is>
      </c>
    </row>
    <row r="18" ht="12" customHeight="1">
      <c r="A18" s="96" t="inlineStr">
        <is>
          <t>SKLU2006946</t>
        </is>
      </c>
      <c r="B18" s="161" t="inlineStr">
        <is>
          <t>2026-10-15</t>
        </is>
      </c>
      <c r="C18" s="96" t="inlineStr">
        <is>
          <t>SWSR</t>
        </is>
      </c>
      <c r="D18" s="96" t="inlineStr">
        <is>
          <t>2611N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HASLS22260800677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K0120021</t>
        </is>
      </c>
      <c r="W18" s="96" t="inlineStr">
        <is>
          <t>SIAM DEL MONTE CO., LTD.</t>
        </is>
      </c>
      <c r="X18" s="96" t="inlineStr">
        <is>
          <t>VED</t>
        </is>
      </c>
      <c r="Y18" s="96" t="inlineStr">
        <is>
          <t>KLN TRADE SOLUTIONS (HONG KONG)</t>
        </is>
      </c>
      <c r="Z18" s="96" t="inlineStr">
        <is>
          <t>KLN TRADE SOLUTIONS (HONG KONG)</t>
        </is>
      </c>
      <c r="AA18" s="97" t="n">
        <v>21816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SKLU2071113</t>
        </is>
      </c>
      <c r="B19" s="161" t="inlineStr">
        <is>
          <t>2026-10-15</t>
        </is>
      </c>
      <c r="C19" s="96" t="inlineStr">
        <is>
          <t>SWSR</t>
        </is>
      </c>
      <c r="D19" s="96" t="inlineStr">
        <is>
          <t>2611N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HKHKG</t>
        </is>
      </c>
      <c r="J19" s="96" t="inlineStr">
        <is>
          <t>CNNAH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HASLS22260902636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K0120021</t>
        </is>
      </c>
      <c r="W19" s="96" t="inlineStr">
        <is>
          <t>HANWEI TRADING CO.,LTD.</t>
        </is>
      </c>
      <c r="X19" s="96" t="inlineStr">
        <is>
          <t>VFD</t>
        </is>
      </c>
      <c r="Y19" s="96" t="inlineStr">
        <is>
          <t>QINGYUAN MINGDA METAL CO.,LTD.</t>
        </is>
      </c>
      <c r="Z19" s="96" t="inlineStr">
        <is>
          <t>HOP CHUNG METAL CO., LIMITED</t>
        </is>
      </c>
      <c r="AA19" s="97" t="n">
        <v>25140</v>
      </c>
      <c r="AB19" s="96" t="inlineStr">
        <is>
          <t>LCH04</t>
        </is>
      </c>
      <c r="AC19" s="96" t="inlineStr">
        <is>
          <t>HKG03</t>
        </is>
      </c>
    </row>
    <row r="20" ht="12" customHeight="1">
      <c r="A20" s="96" t="inlineStr">
        <is>
          <t>SKRU9602403</t>
        </is>
      </c>
      <c r="B20" s="161" t="inlineStr">
        <is>
          <t>2026-10-15</t>
        </is>
      </c>
      <c r="C20" s="96" t="inlineStr">
        <is>
          <t>SWSR</t>
        </is>
      </c>
      <c r="D20" s="96" t="inlineStr">
        <is>
          <t>2611N</t>
        </is>
      </c>
      <c r="E20" s="96" t="inlineStr">
        <is>
          <t>45RE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CNXMN</t>
        </is>
      </c>
      <c r="J20" s="96" t="inlineStr">
        <is>
          <t>CNXMN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HASLS22261000266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K0120025</t>
        </is>
      </c>
      <c r="W20" s="96" t="inlineStr">
        <is>
          <t>CHOKCHAROENCHAI 99 (THAILAND)</t>
        </is>
      </c>
      <c r="X20" s="96" t="inlineStr">
        <is>
          <t>VFD</t>
        </is>
      </c>
      <c r="Y20" s="96" t="inlineStr">
        <is>
          <t>SHENZHEN GUOSHUO SUPPLY CHAIN</t>
        </is>
      </c>
      <c r="Z20" s="96" t="inlineStr">
        <is>
          <t>SHENZHEN GUOSHUO SUPPLY CHAIN</t>
        </is>
      </c>
      <c r="AA20" s="97" t="n">
        <v>28125</v>
      </c>
      <c r="AB20" s="96" t="inlineStr">
        <is>
          <t>LCH04</t>
        </is>
      </c>
      <c r="AC20" s="96" t="inlineStr">
        <is>
          <t>XMN01</t>
        </is>
      </c>
    </row>
    <row r="21" ht="12" customHeight="1">
      <c r="A21" s="96" t="n"/>
      <c r="B21" s="161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7" t="n"/>
      <c r="V21" s="96" t="n"/>
      <c r="W21" s="96" t="n"/>
      <c r="X21" s="96" t="n"/>
      <c r="Y21" s="96" t="n"/>
      <c r="Z21" s="96" t="n"/>
      <c r="AA21" s="97" t="n">
        <v>301001.87</v>
      </c>
      <c r="AB21" s="96" t="n"/>
      <c r="AC21" s="96" t="n"/>
    </row>
    <row r="22" ht="12" customHeight="1">
      <c r="A22" s="96" t="n"/>
      <c r="B22" s="161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7" t="n"/>
      <c r="V22" s="96" t="n"/>
      <c r="W22" s="96" t="n"/>
      <c r="X22" s="96" t="n"/>
      <c r="Y22" s="96" t="n"/>
      <c r="Z22" s="96" t="n"/>
      <c r="AA22" s="97" t="n"/>
      <c r="AB22" s="96" t="n"/>
      <c r="AC22" s="96" t="n"/>
    </row>
    <row r="23" ht="12" customHeight="1">
      <c r="A23" s="96" t="n"/>
      <c r="B23" s="161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7" t="n"/>
      <c r="V23" s="96" t="n"/>
      <c r="W23" s="96" t="n"/>
      <c r="X23" s="96" t="n"/>
      <c r="Y23" s="96" t="n"/>
      <c r="Z23" s="96" t="n"/>
      <c r="AA23" s="97" t="n"/>
      <c r="AB23" s="96" t="n"/>
      <c r="AC23" s="96" t="n"/>
    </row>
    <row r="24" ht="12" customHeight="1">
      <c r="A24" s="96" t="n"/>
      <c r="B24" s="161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7" t="n"/>
      <c r="V24" s="96" t="n"/>
      <c r="W24" s="96" t="n"/>
      <c r="X24" s="96" t="n"/>
      <c r="Y24" s="96" t="n"/>
      <c r="Z24" s="96" t="n"/>
      <c r="AA24" s="97" t="n"/>
      <c r="AB24" s="96" t="n"/>
      <c r="AC24" s="96" t="n"/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2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HASLS22260901518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VTS</t>
        </is>
      </c>
      <c r="M2" s="96" t="inlineStr">
        <is>
          <t>SWSR</t>
        </is>
      </c>
      <c r="N2" s="96" t="inlineStr">
        <is>
          <t>2611N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2026-10-15</t>
        </is>
      </c>
      <c r="S2" s="96" t="inlineStr">
        <is>
          <t>CNXMN</t>
        </is>
      </c>
      <c r="T2" s="96" t="inlineStr">
        <is>
          <t>XMN01</t>
        </is>
      </c>
      <c r="U2" s="96" t="inlineStr">
        <is>
          <t>CNXMN</t>
        </is>
      </c>
      <c r="V2" s="161" t="inlineStr">
        <is>
          <t>2026-10-20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WHA GC LOGISTICS COMPANY LIMITED</t>
        </is>
      </c>
      <c r="AB2" s="96" t="inlineStr">
        <is>
          <t>PTT GLOBAL CHEMICAL PUBLIC COMPANY LIMITED</t>
        </is>
      </c>
      <c r="AC2" s="163" t="n">
        <v>18072</v>
      </c>
      <c r="AD2" s="163" t="n">
        <v>20272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TBKK13</t>
        </is>
      </c>
      <c r="AN2" s="96" t="inlineStr">
        <is>
          <t>Dharaporn</t>
        </is>
      </c>
      <c r="AO2" s="96" t="inlineStr">
        <is>
          <t>HIGH DENSITY POLYETHYLENE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CY-RTN 21-25/09/26 
*PLS CHECK OPEN GATE BEFOER RETURN CTNR*</t>
        </is>
      </c>
      <c r="BA2" s="97" t="inlineStr">
        <is>
          <t>ROLL OVER FROM PREVIOUS VSL SWDN 2610N BY ALLOCATION TEAM MS.TARN APPROVED COST IS UNDER HAL DD.05/10
SI DD.22/9/26</t>
        </is>
      </c>
      <c r="BB2" s="96" t="inlineStr">
        <is>
          <t>P</t>
        </is>
      </c>
      <c r="BC2" s="161" t="inlineStr">
        <is>
          <t>2026-09-17</t>
        </is>
      </c>
      <c r="BD2" s="161" t="inlineStr">
        <is>
          <t>2026-10-05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2026-09-21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n"/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jariya.c@wha-gc.com</t>
        </is>
      </c>
      <c r="CJ2" s="96" t="inlineStr">
        <is>
          <t>PTT GLOBAL CHEMICAL PUBLIC COMPANY</t>
        </is>
      </c>
      <c r="CK2" s="96" t="inlineStr">
        <is>
          <t>TO ORDER</t>
        </is>
      </c>
      <c r="CL2" s="96" t="inlineStr">
        <is>
          <t>GUANGZHOU SULIANYUN DIGITAL</t>
        </is>
      </c>
      <c r="CM2" s="97" t="n"/>
      <c r="CN2" s="96" t="inlineStr">
        <is>
          <t>202610122359</t>
        </is>
      </c>
      <c r="CO2" s="96" t="inlineStr">
        <is>
          <t>202610131000</t>
        </is>
      </c>
      <c r="CP2" s="97" t="n"/>
      <c r="CQ2" s="96" t="inlineStr">
        <is>
          <t>S22-2309036</t>
        </is>
      </c>
      <c r="CR2" s="96" t="inlineStr">
        <is>
          <t>TH02GR</t>
        </is>
      </c>
      <c r="CS2" s="96" t="inlineStr">
        <is>
          <t>WHA GC LOGISTICS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2026-10-13</t>
        </is>
      </c>
      <c r="CX2" s="97" t="inlineStr">
        <is>
          <t>390120</t>
        </is>
      </c>
      <c r="CY2" s="156" t="inlineStr">
        <is>
          <t>ROLL OVER FROM PREVIOUS VSL SWDN 2610N BY ALLOCATION TEAM MS.TARN APPROVED COST IS UNDER HAL DD.05/10</t>
        </is>
      </c>
    </row>
    <row r="3" ht="12" customHeight="1">
      <c r="A3" s="116" t="inlineStr">
        <is>
          <t>HASLS22261000423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SWSR</t>
        </is>
      </c>
      <c r="N3" s="96" t="inlineStr">
        <is>
          <t>2611N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2026-10-15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HKHKG</t>
        </is>
      </c>
      <c r="V3" s="161" t="inlineStr">
        <is>
          <t>2026-10-18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RHENUS LOGISTICS CO., LTD.</t>
        </is>
      </c>
      <c r="AB3" s="96" t="inlineStr">
        <is>
          <t>UMC ELECTRONICS (THAILAND) LTD.</t>
        </is>
      </c>
      <c r="AC3" s="163" t="n">
        <v>2173.45</v>
      </c>
      <c r="AD3" s="163" t="n">
        <v>4373.45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TH0011</t>
        </is>
      </c>
      <c r="AN3" s="96" t="inlineStr">
        <is>
          <t>Nannaapust Sukporntaweewat</t>
        </is>
      </c>
      <c r="AO3" s="96" t="inlineStr">
        <is>
          <t>PCBA (PRINTED CIRCUIT BOARD ASSEMBLY)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Pickup : 2026-10-07, Return : 2026-10-08 (1ST RTN 09/10 W/O RENT) 
  ** PLEASE CHECK OPEN GATE BEFORE RETURN CNTR **
</t>
        </is>
      </c>
      <c r="BA3" s="97" t="n"/>
      <c r="BB3" s="96" t="inlineStr">
        <is>
          <t>P</t>
        </is>
      </c>
      <c r="BC3" s="161" t="inlineStr">
        <is>
          <t>2026-10-06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PCBA (8537.20.29)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2026-10-07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LCB_SEAEXPORT.th@rhenus.com</t>
        </is>
      </c>
      <c r="CJ3" s="96" t="inlineStr">
        <is>
          <t>RHENUS LOGISTICS CO., LTD.</t>
        </is>
      </c>
      <c r="CK3" s="96" t="inlineStr">
        <is>
          <t>RHENUS LOGISTICS HONG KONG LTD.</t>
        </is>
      </c>
      <c r="CL3" s="96" t="inlineStr">
        <is>
          <t>RHENUS LOGISTICS HONG KONG LTD.</t>
        </is>
      </c>
      <c r="CM3" s="97" t="inlineStr">
        <is>
          <t>CLOSED</t>
        </is>
      </c>
      <c r="CN3" s="96" t="inlineStr">
        <is>
          <t>202610122359</t>
        </is>
      </c>
      <c r="CO3" s="96" t="inlineStr">
        <is>
          <t>202610131000</t>
        </is>
      </c>
      <c r="CP3" s="97" t="n"/>
      <c r="CQ3" s="96" t="inlineStr">
        <is>
          <t>S22-2412011</t>
        </is>
      </c>
      <c r="CR3" s="96" t="inlineStr">
        <is>
          <t>TH005U</t>
        </is>
      </c>
      <c r="CS3" s="96" t="inlineStr">
        <is>
          <t>RHENUS LOGISTICS CO., LTD.</t>
        </is>
      </c>
      <c r="CT3" s="96" t="inlineStr">
        <is>
          <t>N</t>
        </is>
      </c>
      <c r="CU3" s="97" t="n"/>
      <c r="CV3" s="97" t="n"/>
      <c r="CW3" s="161" t="inlineStr">
        <is>
          <t>2026-10-13</t>
        </is>
      </c>
      <c r="CX3" s="97" t="n"/>
      <c r="CY3" s="183" t="n"/>
    </row>
    <row r="4" ht="12" customHeight="1">
      <c r="A4" s="116" t="inlineStr">
        <is>
          <t>HASLS22260900690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VTS</t>
        </is>
      </c>
      <c r="M4" s="96" t="inlineStr">
        <is>
          <t>SWSR</t>
        </is>
      </c>
      <c r="N4" s="96" t="inlineStr">
        <is>
          <t>2611N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2026-10-15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HKHKG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CARGO CARE LOGISTICS CO., LTD.</t>
        </is>
      </c>
      <c r="AB4" s="96" t="inlineStr">
        <is>
          <t>SIAM DEL MONTE CO., LTD.</t>
        </is>
      </c>
      <c r="AC4" s="163" t="n">
        <v>21522.72</v>
      </c>
      <c r="AD4" s="163" t="n">
        <v>23722.72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TH0042</t>
        </is>
      </c>
      <c r="AN4" s="96" t="inlineStr">
        <is>
          <t>Sukunpoj Damrongying</t>
        </is>
      </c>
      <c r="AO4" s="96" t="inlineStr">
        <is>
          <t>SWEET CORN / TRC CREAMY MUSHROOM PASTA SAUCE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 xml:space="preserve">Pickup : 2026-10-02, Return : 2026-10-03 
 ** PLEASE CHECK OPEN GATE BEFORE RETURN CNTR **
</t>
        </is>
      </c>
      <c r="BA4" s="97" t="inlineStr">
        <is>
          <t>ROLL OVER FROM PREVIOUS VSL SWDN 2610N BY ALLOCATION TEAM MS.TARN APPROVED COST IS UNDER HAL DD.05/10
Good and Clean Container (Food Grade)(No leaks, no odors, and no oil stains.)</t>
        </is>
      </c>
      <c r="BB4" s="96" t="inlineStr">
        <is>
          <t>P</t>
        </is>
      </c>
      <c r="BC4" s="161" t="inlineStr">
        <is>
          <t>2026-09-08</t>
        </is>
      </c>
      <c r="BD4" s="161" t="inlineStr">
        <is>
          <t>2026-10-05</t>
        </is>
      </c>
      <c r="BE4" s="96" t="inlineStr">
        <is>
          <t>Y</t>
        </is>
      </c>
      <c r="BF4" s="96" t="inlineStr">
        <is>
          <t>SWEET CORN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LCH27</t>
        </is>
      </c>
      <c r="BL4" s="161" t="inlineStr">
        <is>
          <t>2026-10-02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Dhunyakorn@cargocare.co.th</t>
        </is>
      </c>
      <c r="CJ4" s="96" t="inlineStr">
        <is>
          <t>SIAM DEL MONTE CO., LTD.</t>
        </is>
      </c>
      <c r="CK4" s="96" t="inlineStr">
        <is>
          <t>WELL SYNERGY INTERNATIONAL LTD</t>
        </is>
      </c>
      <c r="CL4" s="96" t="inlineStr">
        <is>
          <t>WELL SYNERGY INTERNATIONAL LTD</t>
        </is>
      </c>
      <c r="CM4" s="97" t="n"/>
      <c r="CN4" s="96" t="inlineStr">
        <is>
          <t>202610122359</t>
        </is>
      </c>
      <c r="CO4" s="96" t="inlineStr">
        <is>
          <t>202610131000</t>
        </is>
      </c>
      <c r="CP4" s="97" t="n"/>
      <c r="CQ4" s="96" t="inlineStr">
        <is>
          <t>S19-2002011</t>
        </is>
      </c>
      <c r="CR4" s="96" t="inlineStr">
        <is>
          <t>THTHAU</t>
        </is>
      </c>
      <c r="CS4" s="96" t="inlineStr">
        <is>
          <t>CARGO CARE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2026-10-13</t>
        </is>
      </c>
      <c r="CX4" s="97" t="n"/>
      <c r="CY4" s="183" t="n"/>
    </row>
    <row r="5" ht="12" customHeight="1">
      <c r="A5" s="116" t="inlineStr">
        <is>
          <t>HASLS22260902442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VTS</t>
        </is>
      </c>
      <c r="M5" s="96" t="inlineStr">
        <is>
          <t>SWSR</t>
        </is>
      </c>
      <c r="N5" s="96" t="inlineStr">
        <is>
          <t>2611N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2026-10-15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CNJUJ</t>
        </is>
      </c>
      <c r="V5" s="161" t="inlineStr">
        <is>
          <t>2026-10-18</t>
        </is>
      </c>
      <c r="W5" s="96" t="inlineStr">
        <is>
          <t>IA</t>
        </is>
      </c>
      <c r="X5" s="97" t="inlineStr">
        <is>
          <t>Barge</t>
        </is>
      </c>
      <c r="Y5" s="97" t="n"/>
      <c r="Z5" s="97" t="n"/>
      <c r="AA5" s="96" t="inlineStr">
        <is>
          <t>SS EXCELLENT NETWORK CO.,LTD</t>
        </is>
      </c>
      <c r="AB5" s="96" t="inlineStr">
        <is>
          <t>SS EXCELLENT NETWORK CO.,LTD</t>
        </is>
      </c>
      <c r="AC5" s="163" t="n">
        <v>27600</v>
      </c>
      <c r="AD5" s="163" t="n">
        <v>29800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n"/>
      <c r="AJ5" s="97" t="n"/>
      <c r="AK5" s="97" t="n"/>
      <c r="AL5" s="97" t="n"/>
      <c r="AM5" s="96" t="inlineStr">
        <is>
          <t>TH0011</t>
        </is>
      </c>
      <c r="AN5" s="96" t="inlineStr">
        <is>
          <t>Nannaapust Sukporntaweewat</t>
        </is>
      </c>
      <c r="AO5" s="96" t="inlineStr">
        <is>
          <t>RECYCLING MATERIAL FOR COPPER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2026-09-24, Return : 2026-09-25 (1ST RTN 29/09 W/O RENT) 
 ** PLEASE CHECK OPEN GATE BEFORE RETURN CNTR **
</t>
        </is>
      </c>
      <c r="BA5" s="97" t="inlineStr">
        <is>
          <t>ROLL OVER FROM PREVIOUS VSL SWDN 2610N BY ALLOCATION TEAM MS.TARN APPROVED COST IS UNDER HAL DD.05/10</t>
        </is>
      </c>
      <c r="BB5" s="96" t="inlineStr">
        <is>
          <t>P</t>
        </is>
      </c>
      <c r="BC5" s="161" t="inlineStr">
        <is>
          <t>2026-09-25</t>
        </is>
      </c>
      <c r="BD5" s="161" t="inlineStr">
        <is>
          <t>2026-10-05</t>
        </is>
      </c>
      <c r="BE5" s="96" t="inlineStr">
        <is>
          <t>Y</t>
        </is>
      </c>
      <c r="BF5" s="96" t="inlineStr">
        <is>
          <t>COPPER INGOT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2026-09-24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Chunchom2541@gmail.com</t>
        </is>
      </c>
      <c r="CJ5" s="96" t="inlineStr">
        <is>
          <t>HANWEI TRADING CO.,LTD.</t>
        </is>
      </c>
      <c r="CK5" s="96" t="inlineStr">
        <is>
          <t>ZHAOQING LIMA METAL CO.,LTD.</t>
        </is>
      </c>
      <c r="CL5" s="96" t="inlineStr">
        <is>
          <t>HAN BOND NEW MATERIALS SUPPLY</t>
        </is>
      </c>
      <c r="CM5" s="97" t="n"/>
      <c r="CN5" s="96" t="inlineStr">
        <is>
          <t>202610122359</t>
        </is>
      </c>
      <c r="CO5" s="96" t="inlineStr">
        <is>
          <t>202610131000</t>
        </is>
      </c>
      <c r="CP5" s="97" t="n"/>
      <c r="CQ5" s="96" t="inlineStr">
        <is>
          <t>S22-2408003</t>
        </is>
      </c>
      <c r="CR5" s="96" t="inlineStr">
        <is>
          <t>THTVLD</t>
        </is>
      </c>
      <c r="CS5" s="96" t="inlineStr">
        <is>
          <t>SS EXCELLENT NETWORK CO.,LTD</t>
        </is>
      </c>
      <c r="CT5" s="96" t="inlineStr">
        <is>
          <t>N</t>
        </is>
      </c>
      <c r="CU5" s="97" t="n"/>
      <c r="CV5" s="97" t="n"/>
      <c r="CW5" s="161" t="inlineStr">
        <is>
          <t>2026-10-13</t>
        </is>
      </c>
      <c r="CX5" s="97" t="n"/>
      <c r="CY5" s="183" t="inlineStr">
        <is>
          <t>ROLL OVER FROM PREVIOUS VSL SWDN 2610N BY ALLOCATION TEAM MS.TARN APPROVED COST IS UNDER HAL DD.05/10</t>
        </is>
      </c>
    </row>
    <row r="6" ht="12" customHeight="1">
      <c r="A6" s="116" t="inlineStr">
        <is>
          <t>HASLS22260902384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VTS</t>
        </is>
      </c>
      <c r="M6" s="96" t="inlineStr">
        <is>
          <t>SWSR</t>
        </is>
      </c>
      <c r="N6" s="96" t="inlineStr">
        <is>
          <t>2611N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2026-10-15</t>
        </is>
      </c>
      <c r="S6" s="96" t="inlineStr">
        <is>
          <t>CNXMN</t>
        </is>
      </c>
      <c r="T6" s="96" t="inlineStr">
        <is>
          <t>XMN01</t>
        </is>
      </c>
      <c r="U6" s="96" t="inlineStr">
        <is>
          <t>CNXMN</t>
        </is>
      </c>
      <c r="V6" s="161" t="inlineStr">
        <is>
          <t>2026-10-20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SEABRA TRANS INTERNATIONAL CO., LTD.</t>
        </is>
      </c>
      <c r="AB6" s="96" t="inlineStr">
        <is>
          <t>JFE FERRITE (THAILAND) CO., LTD.</t>
        </is>
      </c>
      <c r="AC6" s="163" t="n">
        <v>6492.6</v>
      </c>
      <c r="AD6" s="163" t="n">
        <v>8692.6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n"/>
      <c r="AJ6" s="97" t="n"/>
      <c r="AK6" s="97" t="n"/>
      <c r="AL6" s="97" t="n"/>
      <c r="AM6" s="96" t="inlineStr">
        <is>
          <t>TBKK55</t>
        </is>
      </c>
      <c r="AN6" s="96" t="inlineStr">
        <is>
          <t>Vilaiporn</t>
        </is>
      </c>
      <c r="AO6" s="96" t="inlineStr">
        <is>
          <t>FERRITE CORE (ELECTRONICS PART) YOUR PART NAME, JFE PART NAME HS.CODE : 8504.90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2026-10-08, Return : 2026-10-08 
* * PLEASE CHECK OPEN GATE BEFORE RETURN CONTAINER **</t>
        </is>
      </c>
      <c r="BA6" s="97" t="n"/>
      <c r="BB6" s="96" t="inlineStr">
        <is>
          <t>P</t>
        </is>
      </c>
      <c r="BC6" s="161" t="inlineStr">
        <is>
          <t>2026-09-25</t>
        </is>
      </c>
      <c r="BD6" s="161" t="inlineStr">
        <is>
          <t>2026-10-09</t>
        </is>
      </c>
      <c r="BE6" s="96" t="inlineStr">
        <is>
          <t>Y</t>
        </is>
      </c>
      <c r="BF6" s="96" t="inlineStr">
        <is>
          <t>ELECTRONICS PART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2026-10-08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sirinya@seabratrans.com;csr2@seabratrans.com</t>
        </is>
      </c>
      <c r="CJ6" s="96" t="inlineStr">
        <is>
          <t>SEABRA TRANS INTERNATIONAL CO.,LTD.</t>
        </is>
      </c>
      <c r="CK6" s="96" t="inlineStr">
        <is>
          <t>XIAMEN FDK CORPORATION</t>
        </is>
      </c>
      <c r="CL6" s="96" t="inlineStr">
        <is>
          <t>KING FREIGHT (GUANG ZHOU)</t>
        </is>
      </c>
      <c r="CM6" s="97" t="n"/>
      <c r="CN6" s="96" t="inlineStr">
        <is>
          <t>202610122359</t>
        </is>
      </c>
      <c r="CO6" s="96" t="inlineStr">
        <is>
          <t>202610131000</t>
        </is>
      </c>
      <c r="CP6" s="97" t="n"/>
      <c r="CQ6" s="96" t="inlineStr">
        <is>
          <t>S19-2203003</t>
        </is>
      </c>
      <c r="CR6" s="96" t="inlineStr">
        <is>
          <t>BB0161</t>
        </is>
      </c>
      <c r="CS6" s="96" t="inlineStr">
        <is>
          <t>SEABRA TRANS INTERNATIONAL CO., LTD.</t>
        </is>
      </c>
      <c r="CT6" s="96" t="inlineStr">
        <is>
          <t>N</t>
        </is>
      </c>
      <c r="CU6" s="97" t="n"/>
      <c r="CV6" s="97" t="n"/>
      <c r="CW6" s="161" t="inlineStr">
        <is>
          <t>2026-10-10</t>
        </is>
      </c>
      <c r="CX6" s="97" t="inlineStr">
        <is>
          <t>850490</t>
        </is>
      </c>
      <c r="CY6" s="183" t="n"/>
    </row>
    <row r="7" ht="12" customHeight="1">
      <c r="A7" s="116" t="inlineStr">
        <is>
          <t>HASLS22260902636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VTS</t>
        </is>
      </c>
      <c r="M7" s="96" t="inlineStr">
        <is>
          <t>SWSR</t>
        </is>
      </c>
      <c r="N7" s="96" t="inlineStr">
        <is>
          <t>2611N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2026-10-15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CNNAH</t>
        </is>
      </c>
      <c r="V7" s="161" t="inlineStr">
        <is>
          <t>2026-10-18</t>
        </is>
      </c>
      <c r="W7" s="96" t="inlineStr">
        <is>
          <t>IA</t>
        </is>
      </c>
      <c r="X7" s="97" t="inlineStr">
        <is>
          <t>Barge</t>
        </is>
      </c>
      <c r="Y7" s="97" t="n"/>
      <c r="Z7" s="97" t="n"/>
      <c r="AA7" s="96" t="inlineStr">
        <is>
          <t>SS EXCELLENT NETWORK CO.,LTD</t>
        </is>
      </c>
      <c r="AB7" s="96" t="inlineStr">
        <is>
          <t>SS EXCELLENT NETWORK CO.,LTD</t>
        </is>
      </c>
      <c r="AC7" s="163" t="n">
        <v>25140</v>
      </c>
      <c r="AD7" s="163" t="n">
        <v>27340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n"/>
      <c r="AJ7" s="97" t="n"/>
      <c r="AK7" s="97" t="n"/>
      <c r="AL7" s="97" t="n"/>
      <c r="AM7" s="96" t="inlineStr">
        <is>
          <t>TH0011</t>
        </is>
      </c>
      <c r="AN7" s="96" t="inlineStr">
        <is>
          <t>Nannaapust Sukporntaweewat</t>
        </is>
      </c>
      <c r="AO7" s="96" t="inlineStr">
        <is>
          <t>RECYCLING MATERIAL FOR COPPER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n"/>
      <c r="AZ7" s="96" t="inlineStr">
        <is>
          <t xml:space="preserve">Pickup : 2026-09-24, Return : 2026-09-25 (1ST RTN 29/09 W/O RENT) 
 ** PLEASE CHECK OPEN GATE BEFORE RETURN CNTR **
</t>
        </is>
      </c>
      <c r="BA7" s="97" t="inlineStr">
        <is>
          <t>ROLL OVER FROM PREVIOUS VSL SWDN 2610N BY ALLOCATION TEAM MS.TARN APPROVED COST IS UNDER HAL DD.05/10</t>
        </is>
      </c>
      <c r="BB7" s="96" t="inlineStr">
        <is>
          <t>P</t>
        </is>
      </c>
      <c r="BC7" s="161" t="inlineStr">
        <is>
          <t>2026-09-29</t>
        </is>
      </c>
      <c r="BD7" s="161" t="inlineStr">
        <is>
          <t>2026-10-05</t>
        </is>
      </c>
      <c r="BE7" s="96" t="inlineStr">
        <is>
          <t>Y</t>
        </is>
      </c>
      <c r="BF7" s="96" t="inlineStr">
        <is>
          <t>COPPER INGOT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2026-09-24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Chunchom2541@gmail.com</t>
        </is>
      </c>
      <c r="CJ7" s="96" t="inlineStr">
        <is>
          <t>HANWEI TRADING CO.,LTD.</t>
        </is>
      </c>
      <c r="CK7" s="96" t="inlineStr">
        <is>
          <t>QINGYUAN MINGDA METAL CO.,LTD.</t>
        </is>
      </c>
      <c r="CL7" s="96" t="inlineStr">
        <is>
          <t>HOP CHUNG METAL CO., LIMITED</t>
        </is>
      </c>
      <c r="CM7" s="97" t="n"/>
      <c r="CN7" s="96" t="inlineStr">
        <is>
          <t>202610122359</t>
        </is>
      </c>
      <c r="CO7" s="96" t="inlineStr">
        <is>
          <t>202610131000</t>
        </is>
      </c>
      <c r="CP7" s="97" t="n"/>
      <c r="CQ7" s="96" t="inlineStr">
        <is>
          <t>S22-2408003</t>
        </is>
      </c>
      <c r="CR7" s="96" t="inlineStr">
        <is>
          <t>THTVLD</t>
        </is>
      </c>
      <c r="CS7" s="96" t="inlineStr">
        <is>
          <t>SS EXCELLENT NETWORK CO.,LTD</t>
        </is>
      </c>
      <c r="CT7" s="96" t="inlineStr">
        <is>
          <t>N</t>
        </is>
      </c>
      <c r="CU7" s="97" t="n"/>
      <c r="CV7" s="97" t="n"/>
      <c r="CW7" s="161" t="inlineStr">
        <is>
          <t>2026-10-13</t>
        </is>
      </c>
      <c r="CX7" s="97" t="n"/>
      <c r="CY7" s="183" t="inlineStr">
        <is>
          <t>ROLL OVER FROM PREVIOUS VSL SWDN 2610N BY ALLOCATION TEAM MS.TARN APPROVED COST IS UNDER HAL DD.05/10</t>
        </is>
      </c>
    </row>
    <row r="8" ht="12" customHeight="1">
      <c r="A8" s="116" t="inlineStr">
        <is>
          <t>HASLS22260901698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VTS</t>
        </is>
      </c>
      <c r="M8" s="96" t="inlineStr">
        <is>
          <t>SWSR</t>
        </is>
      </c>
      <c r="N8" s="96" t="inlineStr">
        <is>
          <t>2611N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2026-10-15</t>
        </is>
      </c>
      <c r="S8" s="96" t="inlineStr">
        <is>
          <t>KRPUS</t>
        </is>
      </c>
      <c r="T8" s="96" t="inlineStr">
        <is>
          <t>PUSH4</t>
        </is>
      </c>
      <c r="U8" s="96" t="inlineStr">
        <is>
          <t>KRPUS</t>
        </is>
      </c>
      <c r="V8" s="161" t="inlineStr">
        <is>
          <t>2026-10-23</t>
        </is>
      </c>
      <c r="W8" s="96" t="inlineStr">
        <is>
          <t>KR</t>
        </is>
      </c>
      <c r="X8" s="97" t="n"/>
      <c r="Y8" s="97" t="n"/>
      <c r="Z8" s="97" t="n"/>
      <c r="AA8" s="96" t="inlineStr">
        <is>
          <t>SIAM FOOD (2513) CO., LTD.</t>
        </is>
      </c>
      <c r="AB8" s="96" t="inlineStr">
        <is>
          <t>SIAM FOOD (2513) CO., LTD.</t>
        </is>
      </c>
      <c r="AC8" s="163" t="n">
        <v>20500</v>
      </c>
      <c r="AD8" s="163" t="n">
        <v>22700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S1951</t>
        </is>
      </c>
      <c r="AN8" s="96" t="inlineStr">
        <is>
          <t>Lee suk hyun</t>
        </is>
      </c>
      <c r="AO8" s="96" t="inlineStr">
        <is>
          <t>CANNED PINEAPPLE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2026-10-06, Return : 2026-10-07 (1ST RTN DD: 09/10/26 WO/RENT)</t>
        </is>
      </c>
      <c r="BA8" s="97" t="inlineStr">
        <is>
          <t>ROLL OVER FROM PREVIOUS VSL SWRG 2609N BY ALLOCATION TEAM MS.TAN APPROVED COST IS UNDER HA DD.09/10</t>
        </is>
      </c>
      <c r="BB8" s="96" t="inlineStr">
        <is>
          <t>C</t>
        </is>
      </c>
      <c r="BC8" s="161" t="inlineStr">
        <is>
          <t>2026-09-18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CANNED PINEAPPLE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2026-10-06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jirapa.j@siamfood.co.th;ratchaya.p@siamfood.co.th</t>
        </is>
      </c>
      <c r="CJ8" s="96" t="inlineStr">
        <is>
          <t>SIAM FOOD (2513) CO.,LTD.</t>
        </is>
      </c>
      <c r="CK8" s="96" t="inlineStr">
        <is>
          <t>RIAN KOREA CORP.</t>
        </is>
      </c>
      <c r="CL8" s="96" t="inlineStr">
        <is>
          <t>RIAN KOREA CORP.</t>
        </is>
      </c>
      <c r="CM8" s="97" t="inlineStr">
        <is>
          <t>CLOSED</t>
        </is>
      </c>
      <c r="CN8" s="96" t="inlineStr">
        <is>
          <t>202610122359</t>
        </is>
      </c>
      <c r="CO8" s="96" t="inlineStr">
        <is>
          <t>202610131000</t>
        </is>
      </c>
      <c r="CP8" s="97" t="n"/>
      <c r="CQ8" s="96" t="inlineStr">
        <is>
          <t>K01-1912034</t>
        </is>
      </c>
      <c r="CR8" s="96" t="inlineStr">
        <is>
          <t>THTQCZ</t>
        </is>
      </c>
      <c r="CS8" s="96" t="inlineStr">
        <is>
          <t>SIAM FOOD (2513) CO., LTD.</t>
        </is>
      </c>
      <c r="CT8" s="96" t="inlineStr">
        <is>
          <t>N</t>
        </is>
      </c>
      <c r="CU8" s="97" t="n"/>
      <c r="CV8" s="97" t="n"/>
      <c r="CW8" s="161" t="inlineStr">
        <is>
          <t>2026-10-14</t>
        </is>
      </c>
      <c r="CX8" s="97" t="inlineStr">
        <is>
          <t>200820</t>
        </is>
      </c>
      <c r="CY8" s="183" t="inlineStr">
        <is>
          <t>ROLL OVER FROM PREVIOUS VSL SWRG 2609N BY ALLOCATION TEAM MS.TAN APPROVED COST IS UNDER HA DD.09/10</t>
        </is>
      </c>
    </row>
    <row r="9" ht="12" customHeight="1">
      <c r="A9" s="116" t="inlineStr">
        <is>
          <t>HASLS22260800677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VTS</t>
        </is>
      </c>
      <c r="M9" s="96" t="inlineStr">
        <is>
          <t>SWSR</t>
        </is>
      </c>
      <c r="N9" s="96" t="inlineStr">
        <is>
          <t>2611N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2026-10-18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CARGO CARE LOGISTICS CO., LTD.</t>
        </is>
      </c>
      <c r="AB9" s="96" t="inlineStr">
        <is>
          <t>SIAM DEL MONTE CO., LTD.</t>
        </is>
      </c>
      <c r="AC9" s="163" t="n">
        <v>21816</v>
      </c>
      <c r="AD9" s="163" t="n">
        <v>24016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TH0042</t>
        </is>
      </c>
      <c r="AN9" s="96" t="inlineStr">
        <is>
          <t>Sukunpoj Damrongying</t>
        </is>
      </c>
      <c r="AO9" s="96" t="inlineStr">
        <is>
          <t>SWEET CORN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Pickup : 2026-10-03, Return : 2026-10-05
** PLEASE CHECK OPEN GATE BEFORE RETURN CONTAINER ** </t>
        </is>
      </c>
      <c r="BA9" s="97" t="inlineStr">
        <is>
          <t xml:space="preserve">ROLL OVER FORM PREVIOUS VSL SWAT 2610N BY ALLOCATION TEAM MS.TARN APPROVED COST IS UNDER HA DD.8/10
</t>
        </is>
      </c>
      <c r="BB9" s="96" t="inlineStr">
        <is>
          <t>P</t>
        </is>
      </c>
      <c r="BC9" s="161" t="inlineStr">
        <is>
          <t>2026-08-07</t>
        </is>
      </c>
      <c r="BD9" s="161" t="inlineStr">
        <is>
          <t>2026-10-08</t>
        </is>
      </c>
      <c r="BE9" s="96" t="inlineStr">
        <is>
          <t>Y</t>
        </is>
      </c>
      <c r="BF9" s="96" t="inlineStr">
        <is>
          <t>SWEET CORN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2026-10-03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Dhunyakorn@cargocare.co.th</t>
        </is>
      </c>
      <c r="CJ9" s="96" t="inlineStr">
        <is>
          <t>SIAM DEL MONTE CO., LTD.</t>
        </is>
      </c>
      <c r="CK9" s="96" t="inlineStr">
        <is>
          <t>KLN TRADE SOLUTIONS (HONG KONG)</t>
        </is>
      </c>
      <c r="CL9" s="96" t="inlineStr">
        <is>
          <t>KLN TRADE SOLUTIONS (HONG KONG)</t>
        </is>
      </c>
      <c r="CM9" s="97" t="n"/>
      <c r="CN9" s="96" t="inlineStr">
        <is>
          <t>202610122359</t>
        </is>
      </c>
      <c r="CO9" s="96" t="inlineStr">
        <is>
          <t>202610131000</t>
        </is>
      </c>
      <c r="CP9" s="97" t="n"/>
      <c r="CQ9" s="96" t="inlineStr">
        <is>
          <t>S19-2002011</t>
        </is>
      </c>
      <c r="CR9" s="96" t="inlineStr">
        <is>
          <t>THTHAU</t>
        </is>
      </c>
      <c r="CS9" s="96" t="inlineStr">
        <is>
          <t>CARGO CARE LOGISTICS CO., LTD.</t>
        </is>
      </c>
      <c r="CT9" s="96" t="inlineStr">
        <is>
          <t>N</t>
        </is>
      </c>
      <c r="CU9" s="97" t="n"/>
      <c r="CV9" s="97" t="n"/>
      <c r="CW9" s="161" t="inlineStr">
        <is>
          <t>2026-10-14</t>
        </is>
      </c>
      <c r="CX9" s="97" t="n"/>
      <c r="CY9" s="183" t="inlineStr">
        <is>
          <t xml:space="preserve">ROLL OVER FORM PREVIOUS VSL SWAT 2610N BY ALLOCATION TEAM MS.TARN APPROVED COST IS UNDER HA DD.8/10
</t>
        </is>
      </c>
    </row>
    <row r="10" ht="12" customHeight="1">
      <c r="A10" s="116" t="inlineStr">
        <is>
          <t>HASLS22260900705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VTS</t>
        </is>
      </c>
      <c r="M10" s="96" t="inlineStr">
        <is>
          <t>SWSR</t>
        </is>
      </c>
      <c r="N10" s="96" t="inlineStr">
        <is>
          <t>2611N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2026-10-15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CNHUA</t>
        </is>
      </c>
      <c r="V10" s="161" t="inlineStr">
        <is>
          <t>2026-10-18</t>
        </is>
      </c>
      <c r="W10" s="96" t="inlineStr">
        <is>
          <t>IA</t>
        </is>
      </c>
      <c r="X10" s="97" t="inlineStr">
        <is>
          <t>Barge</t>
        </is>
      </c>
      <c r="Y10" s="97" t="n"/>
      <c r="Z10" s="97" t="n"/>
      <c r="AA10" s="96" t="inlineStr">
        <is>
          <t>YUSEN LOGISTICS (THAILAND) CO., LTD.</t>
        </is>
      </c>
      <c r="AB10" s="96" t="inlineStr">
        <is>
          <t>DAITO INTERNATIONAL (THAILAND) CO., LTD.</t>
        </is>
      </c>
      <c r="AC10" s="163" t="n">
        <v>6512.7</v>
      </c>
      <c r="AD10" s="163" t="n">
        <v>8712.700000000001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n"/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>RUBBER COMPOUND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 xml:space="preserve">Pickup : 2026-10-07, Return : 2026-10-09
 ** PLEASE CHECK OPEN GATE BEFORE RETURN CNTR **
</t>
        </is>
      </c>
      <c r="BA10" s="97" t="inlineStr">
        <is>
          <t>Good dry and clean container</t>
        </is>
      </c>
      <c r="BB10" s="96" t="inlineStr">
        <is>
          <t>P</t>
        </is>
      </c>
      <c r="BC10" s="161" t="inlineStr">
        <is>
          <t>2026-09-08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RUBBER COMPOUND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2026-10-07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benjawan.s@th.yusen-logistics.com</t>
        </is>
      </c>
      <c r="CJ10" s="96" t="inlineStr">
        <is>
          <t>YUSEN LOGISTICS (THAILAND) CO., LTD</t>
        </is>
      </c>
      <c r="CK10" s="96" t="inlineStr">
        <is>
          <t>YUSEN LOGISTICS (CHINA) CO., LTD.</t>
        </is>
      </c>
      <c r="CL10" s="96" t="inlineStr">
        <is>
          <t>YUSEN LOGISTICS (CHINA) CO., LTD.</t>
        </is>
      </c>
      <c r="CM10" s="97" t="n"/>
      <c r="CN10" s="96" t="inlineStr">
        <is>
          <t>202610122359</t>
        </is>
      </c>
      <c r="CO10" s="96" t="inlineStr">
        <is>
          <t>202610131000</t>
        </is>
      </c>
      <c r="CP10" s="97" t="n"/>
      <c r="CQ10" s="96" t="inlineStr">
        <is>
          <t>S19-2112038</t>
        </is>
      </c>
      <c r="CR10" s="96" t="inlineStr">
        <is>
          <t>TH03TL</t>
        </is>
      </c>
      <c r="CS10" s="96" t="inlineStr">
        <is>
          <t>YUSEN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2026-10-13</t>
        </is>
      </c>
      <c r="CX10" s="97" t="n"/>
      <c r="CY10" s="183" t="n"/>
    </row>
    <row r="11" ht="12" customHeight="1">
      <c r="A11" s="116" t="inlineStr">
        <is>
          <t>HASLS22260901527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SWSR</t>
        </is>
      </c>
      <c r="N11" s="96" t="inlineStr">
        <is>
          <t>2611N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2026-10-15</t>
        </is>
      </c>
      <c r="S11" s="96" t="inlineStr">
        <is>
          <t>HKHKG</t>
        </is>
      </c>
      <c r="T11" s="96" t="inlineStr">
        <is>
          <t>HKG03</t>
        </is>
      </c>
      <c r="U11" s="96" t="inlineStr">
        <is>
          <t>HKHKG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THAI POLYCARBONATE CO., LTD.</t>
        </is>
      </c>
      <c r="AB11" s="96" t="inlineStr">
        <is>
          <t>THAI POLYACETAL CO., LTD.</t>
        </is>
      </c>
      <c r="AC11" s="163" t="n">
        <v>17443</v>
      </c>
      <c r="AD11" s="163" t="n">
        <v>19643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TBKK55</t>
        </is>
      </c>
      <c r="AN11" s="96" t="inlineStr">
        <is>
          <t>Vilaiporn</t>
        </is>
      </c>
      <c r="AO11" s="96" t="inlineStr">
        <is>
          <t>POLYACETAL RESIN IUPITAL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2026-10-06, Return : 2026-10-08</t>
        </is>
      </c>
      <c r="BA11" s="97" t="inlineStr">
        <is>
          <t>SI DD.5/10/26</t>
        </is>
      </c>
      <c r="BB11" s="96" t="inlineStr">
        <is>
          <t>P</t>
        </is>
      </c>
      <c r="BC11" s="161" t="inlineStr">
        <is>
          <t>2026-09-17</t>
        </is>
      </c>
      <c r="BD11" s="161" t="inlineStr">
        <is>
          <t>2026-10-05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2026-10-06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thadta.choo@th.tpcc-tpac.com</t>
        </is>
      </c>
      <c r="CJ11" s="96" t="inlineStr">
        <is>
          <t>THAI POLYACETAL CO.,LTD.</t>
        </is>
      </c>
      <c r="CK11" s="96" t="inlineStr">
        <is>
          <t>JACOBSON VAN DEN BERG (HK) LTD</t>
        </is>
      </c>
      <c r="CL11" s="96" t="inlineStr">
        <is>
          <t>JACOBSON VAN DEN BERG (HK) LTD</t>
        </is>
      </c>
      <c r="CM11" s="97" t="n"/>
      <c r="CN11" s="96" t="inlineStr">
        <is>
          <t>202610122359</t>
        </is>
      </c>
      <c r="CO11" s="96" t="inlineStr">
        <is>
          <t>202610131000</t>
        </is>
      </c>
      <c r="CP11" s="97" t="n"/>
      <c r="CQ11" s="96" t="inlineStr">
        <is>
          <t>S19-2112039</t>
        </is>
      </c>
      <c r="CR11" s="96" t="inlineStr">
        <is>
          <t>THTKNC</t>
        </is>
      </c>
      <c r="CS11" s="96" t="inlineStr">
        <is>
          <t>THAI POLYCARBONATE CO., LTD.</t>
        </is>
      </c>
      <c r="CT11" s="96" t="inlineStr">
        <is>
          <t>N</t>
        </is>
      </c>
      <c r="CU11" s="97" t="n"/>
      <c r="CV11" s="97" t="n"/>
      <c r="CW11" s="161" t="inlineStr">
        <is>
          <t>2026-10-12</t>
        </is>
      </c>
      <c r="CX11" s="97" t="n"/>
      <c r="CY11" s="183" t="n"/>
    </row>
    <row r="12" ht="12" customHeight="1">
      <c r="A12" s="116" t="inlineStr">
        <is>
          <t>HASLS22260901531</t>
        </is>
      </c>
      <c r="B12" s="96" t="inlineStr">
        <is>
          <t>20'x10</t>
        </is>
      </c>
      <c r="C12" s="97" t="n">
        <v>0</v>
      </c>
      <c r="D12" s="97" t="n">
        <v>0</v>
      </c>
      <c r="E12" s="97" t="n"/>
      <c r="F12" s="97" t="n">
        <v>0</v>
      </c>
      <c r="G12" s="97" t="n">
        <v>10</v>
      </c>
      <c r="H12" s="97" t="n">
        <v>0</v>
      </c>
      <c r="I12" s="97" t="n">
        <v>0</v>
      </c>
      <c r="J12" s="97" t="n">
        <v>10</v>
      </c>
      <c r="K12" s="96" t="inlineStr">
        <is>
          <t>SOC</t>
        </is>
      </c>
      <c r="L12" s="96" t="inlineStr">
        <is>
          <t>VTS</t>
        </is>
      </c>
      <c r="M12" s="96" t="inlineStr">
        <is>
          <t>SWSR</t>
        </is>
      </c>
      <c r="N12" s="96" t="inlineStr">
        <is>
          <t>2611N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2026-10-15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SWIRE SHIPPING PTE LTD C/O BEN LINE AGENCIES (THAILAND) LTD.</t>
        </is>
      </c>
      <c r="AB12" s="96" t="inlineStr">
        <is>
          <t>SWIRE SHIPPING PTE LTD C/O BEN LINE AGENCIES (THAILAND) LTD.</t>
        </is>
      </c>
      <c r="AC12" s="163" t="n">
        <v>188004</v>
      </c>
      <c r="AD12" s="163" t="n">
        <v>210004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TBKK28</t>
        </is>
      </c>
      <c r="AN12" s="96" t="inlineStr">
        <is>
          <t>Nustsireerach</t>
        </is>
      </c>
      <c r="AO12" s="96" t="inlineStr">
        <is>
          <t>POLYETHYLENE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 xml:space="preserve">Pickup : 2026-10-10, Return : 2026-10-10 SOC 
Tax ID 0-9930-00089-42-1    </t>
        </is>
      </c>
      <c r="BA12" s="97" t="inlineStr">
        <is>
          <t xml:space="preserve">Tax ID 0-9930-00089-42-1   
FM KMTP 2612N DD 05/10  CFM BY P'KUNG DD 05/10 Swire Shipping Pte Ltd C/O Ben Line Agencies (Thailand) Ltd.Tax ID 0-9930-00089-42-1   </t>
        </is>
      </c>
      <c r="BB12" s="96" t="inlineStr">
        <is>
          <t>P</t>
        </is>
      </c>
      <c r="BC12" s="161" t="inlineStr">
        <is>
          <t>2026-09-17</t>
        </is>
      </c>
      <c r="BD12" s="161" t="inlineStr">
        <is>
          <t>2026-10-09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n"/>
      <c r="BL12" s="161" t="inlineStr">
        <is>
          <t>2026-10-10</t>
        </is>
      </c>
      <c r="BM12" s="127" t="n"/>
      <c r="BN12" s="127" t="n">
        <v>10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TACKLE/FO</t>
        </is>
      </c>
      <c r="CH12" s="97" t="n"/>
      <c r="CI12" s="96" t="inlineStr">
        <is>
          <t>csd1.th@benline.com</t>
        </is>
      </c>
      <c r="CJ12" s="96" t="inlineStr">
        <is>
          <t>SWIRE SHIPPING PTE. LTD.</t>
        </is>
      </c>
      <c r="CK12" s="96" t="inlineStr">
        <is>
          <t>EVER HARVEST SHIPPING LTD.</t>
        </is>
      </c>
      <c r="CL12" s="96" t="inlineStr">
        <is>
          <t>EVER HARVEST SHIPPING LTD.</t>
        </is>
      </c>
      <c r="CM12" s="97" t="n"/>
      <c r="CN12" s="96" t="inlineStr">
        <is>
          <t>202610122359</t>
        </is>
      </c>
      <c r="CO12" s="96" t="inlineStr">
        <is>
          <t>202610131000</t>
        </is>
      </c>
      <c r="CP12" s="97" t="n"/>
      <c r="CQ12" s="96" t="inlineStr">
        <is>
          <t>S22-2507020</t>
        </is>
      </c>
      <c r="CR12" s="96" t="inlineStr">
        <is>
          <t>THTVIE</t>
        </is>
      </c>
      <c r="CS12" s="96" t="inlineStr">
        <is>
          <t>SWIRE SHIPPING PTE LTD C/O BEN LINE AGENCIES (THAILAND) LTD.</t>
        </is>
      </c>
      <c r="CT12" s="96" t="inlineStr">
        <is>
          <t>N</t>
        </is>
      </c>
      <c r="CU12" s="97" t="n"/>
      <c r="CV12" s="97" t="n"/>
      <c r="CW12" s="161" t="inlineStr">
        <is>
          <t>2026-10-13</t>
        </is>
      </c>
      <c r="CX12" s="97" t="n"/>
      <c r="CY12" s="183" t="n"/>
    </row>
    <row r="13" ht="12" customHeight="1">
      <c r="A13" s="116" t="inlineStr">
        <is>
          <t>HASLS22260902370</t>
        </is>
      </c>
      <c r="B13" s="96" t="inlineStr">
        <is>
          <t>20'x2</t>
        </is>
      </c>
      <c r="C13" s="97" t="n">
        <v>2</v>
      </c>
      <c r="D13" s="97" t="n">
        <v>2</v>
      </c>
      <c r="E13" s="97" t="n"/>
      <c r="F13" s="97" t="n">
        <v>0</v>
      </c>
      <c r="G13" s="97" t="n">
        <v>2</v>
      </c>
      <c r="H13" s="97" t="n">
        <v>0</v>
      </c>
      <c r="I13" s="97" t="n">
        <v>0</v>
      </c>
      <c r="J13" s="97" t="n">
        <v>2</v>
      </c>
      <c r="K13" s="96" t="inlineStr">
        <is>
          <t>N</t>
        </is>
      </c>
      <c r="L13" s="96" t="inlineStr">
        <is>
          <t>VTS</t>
        </is>
      </c>
      <c r="M13" s="96" t="inlineStr">
        <is>
          <t>SWSR</t>
        </is>
      </c>
      <c r="N13" s="96" t="inlineStr">
        <is>
          <t>2611N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2026-10-15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DOUBLE A (1991) PUBLIC COMPANY LIMITED</t>
        </is>
      </c>
      <c r="AB13" s="96" t="inlineStr">
        <is>
          <t>DOUBLE A (1991) PUBLIC COMPANY LIMITED</t>
        </is>
      </c>
      <c r="AC13" s="163" t="n">
        <v>33637</v>
      </c>
      <c r="AD13" s="163" t="n">
        <v>38037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TBKK19</t>
        </is>
      </c>
      <c r="AN13" s="96" t="inlineStr">
        <is>
          <t>Kanokporn</t>
        </is>
      </c>
      <c r="AO13" s="96" t="inlineStr">
        <is>
          <t>PAPER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CY-RTN : 03-06/10/2026
REF : PI-HK-TH-DA-26100003
FRT $35, FREE TIME 14/14, DTHC(HKD)2000</t>
        </is>
      </c>
      <c r="BA13" s="97" t="n"/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2026-10-08</t>
        </is>
      </c>
      <c r="BE13" s="96" t="inlineStr">
        <is>
          <t>Y</t>
        </is>
      </c>
      <c r="BF13" s="96" t="inlineStr">
        <is>
          <t>PAPER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2026-10-03</t>
        </is>
      </c>
      <c r="BM13" s="127" t="n"/>
      <c r="BN13" s="127" t="n">
        <v>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kan_b@doublea1991.com</t>
        </is>
      </c>
      <c r="CJ13" s="96" t="inlineStr">
        <is>
          <t>DOUBLE A (1991) PUBLIC COMPANY</t>
        </is>
      </c>
      <c r="CK13" s="96" t="inlineStr">
        <is>
          <t>OH360 CO., LTD.</t>
        </is>
      </c>
      <c r="CL13" s="96" t="inlineStr">
        <is>
          <t>OH360 CO., LTD.</t>
        </is>
      </c>
      <c r="CM13" s="97" t="inlineStr">
        <is>
          <t>CLOSED</t>
        </is>
      </c>
      <c r="CN13" s="96" t="inlineStr">
        <is>
          <t>202610122359</t>
        </is>
      </c>
      <c r="CO13" s="96" t="inlineStr">
        <is>
          <t>202610131000</t>
        </is>
      </c>
      <c r="CP13" s="97" t="n"/>
      <c r="CQ13" s="96" t="inlineStr">
        <is>
          <t>S19-2312005</t>
        </is>
      </c>
      <c r="CR13" s="96" t="inlineStr">
        <is>
          <t>TH0382</t>
        </is>
      </c>
      <c r="CS13" s="96" t="inlineStr">
        <is>
          <t>DOUBLE A (1991) PUBLIC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2026-10-10</t>
        </is>
      </c>
      <c r="CX13" s="97" t="n"/>
      <c r="CY13" s="183" t="n"/>
    </row>
    <row r="14" ht="12" customHeight="1">
      <c r="A14" s="116" t="inlineStr">
        <is>
          <t>HASLS22260802147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VTS</t>
        </is>
      </c>
      <c r="M14" s="96" t="inlineStr">
        <is>
          <t>SWSR</t>
        </is>
      </c>
      <c r="N14" s="96" t="inlineStr">
        <is>
          <t>2611N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2026-10-15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2026-10-18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YUSEN LOGISTICS (THAILAND) CO., LTD.</t>
        </is>
      </c>
      <c r="AB14" s="96" t="inlineStr">
        <is>
          <t>CHIBA METAL (THAILAND) CO.,LTD</t>
        </is>
      </c>
      <c r="AC14" s="163" t="n">
        <v>2710.17</v>
      </c>
      <c r="AD14" s="163" t="n">
        <v>6710.17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n"/>
      <c r="AJ14" s="97" t="n"/>
      <c r="AK14" s="97" t="n"/>
      <c r="AL14" s="97" t="n"/>
      <c r="AM14" s="96" t="inlineStr">
        <is>
          <t>TBKK55</t>
        </is>
      </c>
      <c r="AN14" s="96" t="inlineStr">
        <is>
          <t>Vilaiporn</t>
        </is>
      </c>
      <c r="AO14" s="96" t="inlineStr">
        <is>
          <t xml:space="preserve">ELECTRONIC PART/TERMINAL/MICROSPEAKER 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2026-10-09, Return : 2026-10-09</t>
        </is>
      </c>
      <c r="BA14" s="97" t="inlineStr">
        <is>
          <t>FM SWSR 2610N DD 09/09
FM LCHY5Remarks: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14" s="96" t="inlineStr">
        <is>
          <t>P</t>
        </is>
      </c>
      <c r="BC14" s="161" t="inlineStr">
        <is>
          <t>2026-08-25</t>
        </is>
      </c>
      <c r="BD14" s="161" t="inlineStr">
        <is>
          <t>2026-10-12</t>
        </is>
      </c>
      <c r="BE14" s="96" t="inlineStr">
        <is>
          <t>Y</t>
        </is>
      </c>
      <c r="BF14" s="96" t="inlineStr">
        <is>
          <t xml:space="preserve">ELECTRONIC PART/TERMINAL/MICROSPEAKER 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LCH28</t>
        </is>
      </c>
      <c r="BL14" s="161" t="inlineStr">
        <is>
          <t>2026-10-09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supatcha.s@th.yusen-logistics.com</t>
        </is>
      </c>
      <c r="CJ14" s="96" t="inlineStr">
        <is>
          <t>YUSEN LOGISTICS (THAILAND) CO., LTD</t>
        </is>
      </c>
      <c r="CK14" s="96" t="inlineStr">
        <is>
          <t>YUSEN LOGISTICS (HONG KONG) LTD.</t>
        </is>
      </c>
      <c r="CL14" s="96" t="inlineStr">
        <is>
          <t>YUSEN LOGISTICS (HONG KONG) LTD.</t>
        </is>
      </c>
      <c r="CM14" s="97" t="n"/>
      <c r="CN14" s="96" t="inlineStr">
        <is>
          <t>202610122359</t>
        </is>
      </c>
      <c r="CO14" s="96" t="inlineStr">
        <is>
          <t>202610131000</t>
        </is>
      </c>
      <c r="CP14" s="97" t="n"/>
      <c r="CQ14" s="96" t="inlineStr">
        <is>
          <t>S19-2112038</t>
        </is>
      </c>
      <c r="CR14" s="96" t="inlineStr">
        <is>
          <t>TH03TL</t>
        </is>
      </c>
      <c r="CS14" s="96" t="inlineStr">
        <is>
          <t>YUSEN LOGISTICS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2026-10-13</t>
        </is>
      </c>
      <c r="CX14" s="97" t="n"/>
      <c r="CY14" s="183" t="n"/>
    </row>
    <row r="15" ht="12" customHeight="1">
      <c r="A15" s="116" t="inlineStr">
        <is>
          <t>HASLS22260902638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VTS</t>
        </is>
      </c>
      <c r="M15" s="96" t="inlineStr">
        <is>
          <t>SWSR</t>
        </is>
      </c>
      <c r="N15" s="96" t="inlineStr">
        <is>
          <t>2611N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2026-10-15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CNNAH</t>
        </is>
      </c>
      <c r="V15" s="161" t="inlineStr">
        <is>
          <t>2026-10-18</t>
        </is>
      </c>
      <c r="W15" s="96" t="inlineStr">
        <is>
          <t>IA</t>
        </is>
      </c>
      <c r="X15" s="97" t="inlineStr">
        <is>
          <t>Barge</t>
        </is>
      </c>
      <c r="Y15" s="97" t="n"/>
      <c r="Z15" s="97" t="n"/>
      <c r="AA15" s="96" t="inlineStr">
        <is>
          <t>SS EXCELLENT NETWORK CO.,LTD</t>
        </is>
      </c>
      <c r="AB15" s="96" t="inlineStr">
        <is>
          <t>SS EXCELLENT NETWORK CO.,LTD</t>
        </is>
      </c>
      <c r="AC15" s="163" t="n">
        <v>23500</v>
      </c>
      <c r="AD15" s="163" t="n">
        <v>27500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TH0011</t>
        </is>
      </c>
      <c r="AN15" s="96" t="inlineStr">
        <is>
          <t>Nannaapust Sukporntaweewat</t>
        </is>
      </c>
      <c r="AO15" s="96" t="inlineStr">
        <is>
          <t>RECYCLING MATERIAL FOR COPPER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Pickup : 2026-09-24, Return : 2026-09-25 (1ST RTN 27/09 W/O RENT) 
 ** PLEASE CHECK OPEN GATE BEFORE RETURN CNTR **
</t>
        </is>
      </c>
      <c r="BA15" s="97" t="inlineStr">
        <is>
          <t>ROLL OVER FROM PREVIOUS VSL SWDN 2610N BY ALLOCATION TEAM MS.TARN APPROVED COST IS UNDER HAL DD.05/10</t>
        </is>
      </c>
      <c r="BB15" s="96" t="inlineStr">
        <is>
          <t>P</t>
        </is>
      </c>
      <c r="BC15" s="161" t="inlineStr">
        <is>
          <t>2026-09-29</t>
        </is>
      </c>
      <c r="BD15" s="161" t="inlineStr">
        <is>
          <t>2026-10-05</t>
        </is>
      </c>
      <c r="BE15" s="96" t="inlineStr">
        <is>
          <t>Y</t>
        </is>
      </c>
      <c r="BF15" s="96" t="inlineStr">
        <is>
          <t>COPPER INGOT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2026-09-24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Chunchom2541@gmail.com</t>
        </is>
      </c>
      <c r="CJ15" s="96" t="inlineStr">
        <is>
          <t>HANWEI TRADING CO.,LTD.</t>
        </is>
      </c>
      <c r="CK15" s="96" t="inlineStr">
        <is>
          <t>QINGYUAN MINGDA METAL CO.,LTD.</t>
        </is>
      </c>
      <c r="CL15" s="96" t="inlineStr">
        <is>
          <t>HOP CHUNG METAL CO., LIMITED</t>
        </is>
      </c>
      <c r="CM15" s="97" t="inlineStr">
        <is>
          <t>CLOSED</t>
        </is>
      </c>
      <c r="CN15" s="96" t="inlineStr">
        <is>
          <t>202610122359</t>
        </is>
      </c>
      <c r="CO15" s="96" t="inlineStr">
        <is>
          <t>202610131000</t>
        </is>
      </c>
      <c r="CP15" s="97" t="n"/>
      <c r="CQ15" s="96" t="inlineStr">
        <is>
          <t>S22-2408003</t>
        </is>
      </c>
      <c r="CR15" s="96" t="inlineStr">
        <is>
          <t>THTVLD</t>
        </is>
      </c>
      <c r="CS15" s="96" t="inlineStr">
        <is>
          <t>SS EXCELLENT NETWORK CO.,LTD</t>
        </is>
      </c>
      <c r="CT15" s="96" t="inlineStr">
        <is>
          <t>N</t>
        </is>
      </c>
      <c r="CU15" s="97" t="n"/>
      <c r="CV15" s="97" t="n"/>
      <c r="CW15" s="161" t="inlineStr">
        <is>
          <t>2026-10-13</t>
        </is>
      </c>
      <c r="CX15" s="97" t="n"/>
      <c r="CY15" s="183" t="inlineStr">
        <is>
          <t>ROLL OVER FROM PREVIOUS VSL SWDN 2610N BY ALLOCATION TEAM MS.TARN APPROVED COST IS UNDER HAL DD.05/10</t>
        </is>
      </c>
    </row>
    <row r="16" ht="12" customHeight="1">
      <c r="A16" s="116" t="inlineStr">
        <is>
          <t>HASLS22261000313</t>
        </is>
      </c>
      <c r="B16" s="96" t="inlineStr">
        <is>
          <t>40Hx2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0</v>
      </c>
      <c r="H16" s="97" t="n">
        <v>0</v>
      </c>
      <c r="I16" s="97" t="n">
        <v>2</v>
      </c>
      <c r="J16" s="97" t="n">
        <v>4</v>
      </c>
      <c r="K16" s="96" t="inlineStr">
        <is>
          <t>N</t>
        </is>
      </c>
      <c r="L16" s="96" t="inlineStr">
        <is>
          <t>VTS</t>
        </is>
      </c>
      <c r="M16" s="96" t="inlineStr">
        <is>
          <t>SWSR</t>
        </is>
      </c>
      <c r="N16" s="96" t="inlineStr">
        <is>
          <t>2611N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2026-10-15</t>
        </is>
      </c>
      <c r="S16" s="96" t="inlineStr">
        <is>
          <t>CNXMN</t>
        </is>
      </c>
      <c r="T16" s="96" t="inlineStr">
        <is>
          <t>XMN01</t>
        </is>
      </c>
      <c r="U16" s="96" t="inlineStr">
        <is>
          <t>CNXMN</t>
        </is>
      </c>
      <c r="V16" s="161" t="inlineStr">
        <is>
          <t>2026-10-20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YONG AN LOGISTICS CO,.LTD</t>
        </is>
      </c>
      <c r="AB16" s="96" t="inlineStr">
        <is>
          <t>THAI FENG RUBBER CO., LTD.</t>
        </is>
      </c>
      <c r="AC16" s="163" t="n">
        <v>34474</v>
      </c>
      <c r="AD16" s="163" t="n">
        <v>42474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TBKK55</t>
        </is>
      </c>
      <c r="AN16" s="96" t="inlineStr">
        <is>
          <t>Vilaiporn</t>
        </is>
      </c>
      <c r="AO16" s="96" t="inlineStr">
        <is>
          <t>DRIED LONGAN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2026-10-07, Return : 2026-10-11 
 ** PLEASE CHECK OPEN GATE BEFORE RETURN CNTR **
</t>
        </is>
      </c>
      <c r="BA16" s="97" t="n"/>
      <c r="BB16" s="96" t="inlineStr">
        <is>
          <t>P</t>
        </is>
      </c>
      <c r="BC16" s="161" t="inlineStr">
        <is>
          <t>2026-10-05</t>
        </is>
      </c>
      <c r="BD16" s="161" t="inlineStr">
        <is>
          <t>2026-10-06</t>
        </is>
      </c>
      <c r="BE16" s="96" t="inlineStr">
        <is>
          <t>Y</t>
        </is>
      </c>
      <c r="BF16" s="96" t="inlineStr">
        <is>
          <t>DRIED LONGAN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2026-10-07</t>
        </is>
      </c>
      <c r="BM16" s="127" t="n"/>
      <c r="BN16" s="127" t="n"/>
      <c r="BO16" s="127" t="n"/>
      <c r="BP16" s="127" t="n">
        <v>2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Yonganlogistics@OUTLOOK.com</t>
        </is>
      </c>
      <c r="CJ16" s="96" t="inlineStr">
        <is>
          <t>THAI WANG AGRO PRODUCT</t>
        </is>
      </c>
      <c r="CK16" s="96" t="inlineStr">
        <is>
          <t>XIAMEN UNITHAI IMPORT&amp;EXPORT</t>
        </is>
      </c>
      <c r="CL16" s="96" t="inlineStr">
        <is>
          <t>XIAMEN UNITHAI IMPORT&amp;EXPORT</t>
        </is>
      </c>
      <c r="CM16" s="97" t="inlineStr">
        <is>
          <t>CLOSED</t>
        </is>
      </c>
      <c r="CN16" s="96" t="inlineStr">
        <is>
          <t>202610122359</t>
        </is>
      </c>
      <c r="CO16" s="96" t="inlineStr">
        <is>
          <t>202610131000</t>
        </is>
      </c>
      <c r="CP16" s="97" t="n"/>
      <c r="CQ16" s="96" t="inlineStr">
        <is>
          <t>S19-2406001</t>
        </is>
      </c>
      <c r="CR16" s="96" t="inlineStr">
        <is>
          <t>THTVDX</t>
        </is>
      </c>
      <c r="CS16" s="96" t="inlineStr">
        <is>
          <t>YONG AN LOGISTICS CO,.LTD</t>
        </is>
      </c>
      <c r="CT16" s="96" t="inlineStr">
        <is>
          <t>N</t>
        </is>
      </c>
      <c r="CU16" s="97" t="n"/>
      <c r="CV16" s="97" t="n"/>
      <c r="CW16" s="161" t="inlineStr">
        <is>
          <t>2026-10-13</t>
        </is>
      </c>
      <c r="CX16" s="97" t="n"/>
      <c r="CY16" s="183" t="n"/>
    </row>
    <row r="17" ht="12" customHeight="1">
      <c r="A17" s="116" t="inlineStr">
        <is>
          <t>HASLS22261000123</t>
        </is>
      </c>
      <c r="B17" s="96" t="inlineStr">
        <is>
          <t>40Hx2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0</v>
      </c>
      <c r="H17" s="97" t="n">
        <v>0</v>
      </c>
      <c r="I17" s="97" t="n">
        <v>2</v>
      </c>
      <c r="J17" s="97" t="n">
        <v>4</v>
      </c>
      <c r="K17" s="96" t="inlineStr">
        <is>
          <t>N</t>
        </is>
      </c>
      <c r="L17" s="96" t="inlineStr">
        <is>
          <t>VTS</t>
        </is>
      </c>
      <c r="M17" s="96" t="inlineStr">
        <is>
          <t>SWSR</t>
        </is>
      </c>
      <c r="N17" s="96" t="inlineStr">
        <is>
          <t>2611N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2026-10-15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2026-10-18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DOLPHIN LOGISTICS (THAILAND) CO., LTD.</t>
        </is>
      </c>
      <c r="AB17" s="96" t="inlineStr">
        <is>
          <t>PRIMAX ELECTRONICS (THAILAND) CO.,LTD.</t>
        </is>
      </c>
      <c r="AC17" s="163" t="n">
        <v>12743.19</v>
      </c>
      <c r="AD17" s="163" t="n">
        <v>20743.19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TH0042</t>
        </is>
      </c>
      <c r="AN17" s="96" t="inlineStr">
        <is>
          <t>Sukunpoj Damrongying</t>
        </is>
      </c>
      <c r="AO17" s="96" t="inlineStr">
        <is>
          <t>GAMING MOUSE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2026-10-12, Return : 2026-10-12</t>
        </is>
      </c>
      <c r="BA17" s="97" t="inlineStr">
        <is>
          <t>FM KMTP 2612N DD 06/10 
FM 1X40HQ 09/10REQUEST GOOD, CLEAN AND NO LEAK CONTAINER</t>
        </is>
      </c>
      <c r="BB17" s="96" t="inlineStr">
        <is>
          <t>P</t>
        </is>
      </c>
      <c r="BC17" s="161" t="inlineStr">
        <is>
          <t>2026-10-02</t>
        </is>
      </c>
      <c r="BD17" s="161" t="inlineStr">
        <is>
          <t>2026-10-13</t>
        </is>
      </c>
      <c r="BE17" s="96" t="inlineStr">
        <is>
          <t>Y</t>
        </is>
      </c>
      <c r="BF17" s="96" t="inlineStr">
        <is>
          <t>GAMING MOUSE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LCH27</t>
        </is>
      </c>
      <c r="BL17" s="161" t="inlineStr">
        <is>
          <t>2026-10-12</t>
        </is>
      </c>
      <c r="BM17" s="127" t="n"/>
      <c r="BN17" s="127" t="n"/>
      <c r="BO17" s="127" t="n"/>
      <c r="BP17" s="127" t="n">
        <v>2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dolphin-th-exp@dolphinth.com</t>
        </is>
      </c>
      <c r="CJ17" s="96" t="inlineStr">
        <is>
          <t>DOLPHIN LOGISTICS (THAILAND)</t>
        </is>
      </c>
      <c r="CK17" s="96" t="inlineStr">
        <is>
          <t>SIG FAI TRANSPORTATION COMPANY</t>
        </is>
      </c>
      <c r="CL17" s="96" t="inlineStr">
        <is>
          <t>SIG FAI TRANSPORTATION COMPANY</t>
        </is>
      </c>
      <c r="CM17" s="97" t="inlineStr">
        <is>
          <t>CLOSED</t>
        </is>
      </c>
      <c r="CN17" s="96" t="inlineStr">
        <is>
          <t>202610122359</t>
        </is>
      </c>
      <c r="CO17" s="96" t="inlineStr">
        <is>
          <t>202610131000</t>
        </is>
      </c>
      <c r="CP17" s="97" t="n"/>
      <c r="CQ17" s="96" t="inlineStr">
        <is>
          <t>S22-2308056</t>
        </is>
      </c>
      <c r="CR17" s="96" t="inlineStr">
        <is>
          <t>TH018T</t>
        </is>
      </c>
      <c r="CS17" s="96" t="inlineStr">
        <is>
          <t>DOLPHIN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2026-10-14</t>
        </is>
      </c>
      <c r="CX17" s="97" t="n"/>
      <c r="CY17" s="183" t="n"/>
    </row>
    <row r="18" ht="12" customHeight="1">
      <c r="A18" s="116" t="inlineStr">
        <is>
          <t>HASLS22261000266</t>
        </is>
      </c>
      <c r="B18" s="96" t="inlineStr">
        <is>
          <t>R40Hx1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0</v>
      </c>
      <c r="H18" s="97" t="n">
        <v>0</v>
      </c>
      <c r="I18" s="97" t="n">
        <v>1</v>
      </c>
      <c r="J18" s="97" t="n">
        <v>2</v>
      </c>
      <c r="K18" s="96" t="inlineStr">
        <is>
          <t>N</t>
        </is>
      </c>
      <c r="L18" s="96" t="inlineStr">
        <is>
          <t>VTS</t>
        </is>
      </c>
      <c r="M18" s="96" t="inlineStr">
        <is>
          <t>SWSR</t>
        </is>
      </c>
      <c r="N18" s="96" t="inlineStr">
        <is>
          <t>2611N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2026-10-15</t>
        </is>
      </c>
      <c r="S18" s="96" t="inlineStr">
        <is>
          <t>CNXMN</t>
        </is>
      </c>
      <c r="T18" s="96" t="inlineStr">
        <is>
          <t>XMN01</t>
        </is>
      </c>
      <c r="U18" s="96" t="inlineStr">
        <is>
          <t>CNXMN</t>
        </is>
      </c>
      <c r="V18" s="161" t="inlineStr">
        <is>
          <t>2026-10-20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YODA LOGISTICS CO., LTD.</t>
        </is>
      </c>
      <c r="AB18" s="96" t="inlineStr">
        <is>
          <t>CHOCKCHAROENCHAI 99 (THAILAND) CO.,LTD</t>
        </is>
      </c>
      <c r="AC18" s="163" t="n">
        <v>28125</v>
      </c>
      <c r="AD18" s="163" t="n">
        <v>32125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TBKK28</t>
        </is>
      </c>
      <c r="AN18" s="96" t="inlineStr">
        <is>
          <t>Nustsireerach</t>
        </is>
      </c>
      <c r="AO18" s="96" t="inlineStr">
        <is>
          <t>FRESH LONGAN</t>
        </is>
      </c>
      <c r="AP18" s="96" t="inlineStr">
        <is>
          <t>Normal</t>
        </is>
      </c>
      <c r="AQ18" s="97" t="n"/>
      <c r="AR18" s="97" t="n"/>
      <c r="AS18" s="97" t="inlineStr">
        <is>
          <t>RF// MIN:+1.0 MAX:+1.0 [COVER:OPEN]</t>
        </is>
      </c>
      <c r="AT18" s="97" t="inlineStr">
        <is>
          <t xml:space="preserve">45REx1 </t>
        </is>
      </c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2026-10-05, Return : 2026-10-12 (Temp +1.0℃ / Vent 35%)
 CLS TIME 14/10 @11.00</t>
        </is>
      </c>
      <c r="BA18" s="97" t="inlineStr">
        <is>
          <t>ON DECK /CLEAN CONTAINER/NO SMELLON DECK/CLEAN CONTAINER/NO SMELL</t>
        </is>
      </c>
      <c r="BB18" s="96" t="inlineStr">
        <is>
          <t>P</t>
        </is>
      </c>
      <c r="BC18" s="161" t="inlineStr">
        <is>
          <t>2026-10-05</t>
        </is>
      </c>
      <c r="BD18" s="161" t="inlineStr">
        <is>
          <t>2026-10-13</t>
        </is>
      </c>
      <c r="BE18" s="96" t="inlineStr">
        <is>
          <t>Y</t>
        </is>
      </c>
      <c r="BF18" s="96" t="inlineStr">
        <is>
          <t>FRESH LONGAN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2026-10-05</t>
        </is>
      </c>
      <c r="BM18" s="127" t="n"/>
      <c r="BN18" s="127" t="n"/>
      <c r="BO18" s="127" t="n"/>
      <c r="BP18" s="127" t="n"/>
      <c r="BQ18" s="127" t="n"/>
      <c r="BR18" s="127" t="n">
        <v>1</v>
      </c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wass0801@gmail.com;yoda.cs01@gmail.com</t>
        </is>
      </c>
      <c r="CJ18" s="96" t="inlineStr">
        <is>
          <t>CHOKCHAROENCHAI 99 (THAILAND)</t>
        </is>
      </c>
      <c r="CK18" s="96" t="inlineStr">
        <is>
          <t>SHENZHEN GUOSHUO SUPPLY CHAIN</t>
        </is>
      </c>
      <c r="CL18" s="96" t="inlineStr">
        <is>
          <t>SHENZHEN GUOSHUO SUPPLY CHAIN</t>
        </is>
      </c>
      <c r="CM18" s="97" t="inlineStr">
        <is>
          <t>CLOSED</t>
        </is>
      </c>
      <c r="CN18" s="96" t="inlineStr">
        <is>
          <t>202610122359</t>
        </is>
      </c>
      <c r="CO18" s="96" t="inlineStr">
        <is>
          <t>202610131000</t>
        </is>
      </c>
      <c r="CP18" s="97" t="inlineStr">
        <is>
          <t>45RE x1: RF(Temp:+1.0' / Cover:FULL OPEN)</t>
        </is>
      </c>
      <c r="CQ18" s="96" t="inlineStr">
        <is>
          <t>S19-2005021</t>
        </is>
      </c>
      <c r="CR18" s="96" t="inlineStr">
        <is>
          <t>THTKHM</t>
        </is>
      </c>
      <c r="CS18" s="96" t="inlineStr">
        <is>
          <t>YODA LOGISTICS CO., LTD.</t>
        </is>
      </c>
      <c r="CT18" s="96" t="inlineStr">
        <is>
          <t>N</t>
        </is>
      </c>
      <c r="CU18" s="97" t="n"/>
      <c r="CV18" s="97" t="n"/>
      <c r="CW18" s="161" t="inlineStr">
        <is>
          <t>2026-10-13</t>
        </is>
      </c>
      <c r="CX18" s="97" t="n"/>
      <c r="CY18" s="183" t="n"/>
    </row>
    <row r="19" ht="12" customHeight="1">
      <c r="A19" s="116" t="inlineStr">
        <is>
          <t xml:space="preserve">TOTAL </t>
        </is>
      </c>
      <c r="B19" s="96" t="inlineStr">
        <is>
          <t>0</t>
        </is>
      </c>
      <c r="C19" s="97" t="n"/>
      <c r="D19" s="97" t="n"/>
      <c r="E19" s="97" t="n"/>
      <c r="F19" s="97" t="n">
        <v>0</v>
      </c>
      <c r="G19" s="97" t="n">
        <v>22</v>
      </c>
      <c r="H19" s="97" t="n">
        <v>0</v>
      </c>
      <c r="I19" s="97" t="n">
        <v>7</v>
      </c>
      <c r="J19" s="97" t="n">
        <v>36</v>
      </c>
      <c r="K19" s="96" t="n"/>
      <c r="L19" s="96" t="n"/>
      <c r="M19" s="96" t="n"/>
      <c r="N19" s="96" t="n"/>
      <c r="O19" s="96" t="n"/>
      <c r="P19" s="96" t="n"/>
      <c r="Q19" s="96" t="n"/>
      <c r="R19" s="161" t="n"/>
      <c r="S19" s="96" t="n"/>
      <c r="T19" s="96" t="n"/>
      <c r="U19" s="96" t="n"/>
      <c r="V19" s="161" t="n"/>
      <c r="W19" s="96" t="n"/>
      <c r="X19" s="97" t="n"/>
      <c r="Y19" s="97" t="n"/>
      <c r="Z19" s="97" t="n"/>
      <c r="AA19" s="96" t="n"/>
      <c r="AB19" s="96" t="n"/>
      <c r="AC19" s="163" t="n">
        <v>490465.83</v>
      </c>
      <c r="AD19" s="163" t="n">
        <v>566865.83</v>
      </c>
      <c r="AE19" s="96" t="n"/>
      <c r="AF19" s="96" t="n"/>
      <c r="AG19" s="97" t="n"/>
      <c r="AH19" s="96" t="n"/>
      <c r="AI19" s="97" t="n"/>
      <c r="AJ19" s="97" t="n"/>
      <c r="AK19" s="97" t="n"/>
      <c r="AL19" s="97" t="n"/>
      <c r="AM19" s="96" t="n"/>
      <c r="AN19" s="96" t="n"/>
      <c r="AO19" s="96" t="n"/>
      <c r="AP19" s="96" t="n"/>
      <c r="AQ19" s="97" t="n"/>
      <c r="AR19" s="97" t="n"/>
      <c r="AS19" s="97" t="n"/>
      <c r="AT19" s="97" t="n"/>
      <c r="AU19" s="97" t="n"/>
      <c r="AV19" s="97" t="n"/>
      <c r="AW19" s="97" t="n"/>
      <c r="AX19" s="96" t="n"/>
      <c r="AY19" s="97" t="n"/>
      <c r="AZ19" s="96" t="n"/>
      <c r="BA19" s="97" t="n"/>
      <c r="BB19" s="96" t="n"/>
      <c r="BC19" s="161" t="n"/>
      <c r="BD19" s="161" t="n"/>
      <c r="BE19" s="96" t="n"/>
      <c r="BF19" s="96" t="n"/>
      <c r="BG19" s="96" t="n"/>
      <c r="BH19" s="96" t="n"/>
      <c r="BI19" s="97" t="n"/>
      <c r="BJ19" s="97" t="n"/>
      <c r="BK19" s="96" t="n"/>
      <c r="BL19" s="161" t="n"/>
      <c r="BM19" s="127" t="n">
        <v>0</v>
      </c>
      <c r="BN19" s="127" t="n">
        <v>22</v>
      </c>
      <c r="BO19" s="127" t="n">
        <v>0</v>
      </c>
      <c r="BP19" s="127" t="n">
        <v>6</v>
      </c>
      <c r="BQ19" s="127" t="n">
        <v>0</v>
      </c>
      <c r="BR19" s="127" t="n">
        <v>1</v>
      </c>
      <c r="BS19" s="127" t="n">
        <v>0</v>
      </c>
      <c r="BT19" s="127" t="n">
        <v>0</v>
      </c>
      <c r="BU19" s="127" t="n">
        <v>0</v>
      </c>
      <c r="BV19" s="127" t="n">
        <v>0</v>
      </c>
      <c r="BW19" s="127" t="n">
        <v>0</v>
      </c>
      <c r="BX19" s="127" t="n">
        <v>0</v>
      </c>
      <c r="BY19" s="96" t="n"/>
      <c r="BZ19" s="97" t="n"/>
      <c r="CA19" s="96" t="n"/>
      <c r="CB19" s="97" t="n"/>
      <c r="CC19" s="96" t="n"/>
      <c r="CD19" s="97" t="n"/>
      <c r="CE19" s="97" t="n"/>
      <c r="CF19" s="96" t="n"/>
      <c r="CG19" s="96" t="n"/>
      <c r="CH19" s="97" t="n"/>
      <c r="CI19" s="96" t="n"/>
      <c r="CJ19" s="96" t="n"/>
      <c r="CK19" s="96" t="n"/>
      <c r="CL19" s="96" t="n"/>
      <c r="CM19" s="97" t="n"/>
      <c r="CN19" s="96" t="n"/>
      <c r="CO19" s="96" t="n"/>
      <c r="CP19" s="97" t="n"/>
      <c r="CQ19" s="96" t="n"/>
      <c r="CR19" s="96" t="n"/>
      <c r="CS19" s="96" t="n"/>
      <c r="CT19" s="96" t="n"/>
      <c r="CU19" s="97" t="n"/>
      <c r="CV19" s="97" t="n"/>
      <c r="CW19" s="161" t="n"/>
      <c r="CX19" s="97" t="n"/>
      <c r="CY19" s="183" t="n"/>
    </row>
    <row r="20" ht="12" customHeight="1">
      <c r="A20" s="116" t="inlineStr">
        <is>
          <t xml:space="preserve">COC </t>
        </is>
      </c>
      <c r="B20" s="96" t="inlineStr">
        <is>
          <t>1</t>
        </is>
      </c>
      <c r="C20" s="97" t="n"/>
      <c r="D20" s="97" t="n"/>
      <c r="E20" s="97" t="n"/>
      <c r="F20" s="97" t="n">
        <v>0</v>
      </c>
      <c r="G20" s="97" t="n">
        <v>12</v>
      </c>
      <c r="H20" s="97" t="n">
        <v>0</v>
      </c>
      <c r="I20" s="97" t="n">
        <v>7</v>
      </c>
      <c r="J20" s="97" t="n">
        <v>26</v>
      </c>
      <c r="K20" s="96" t="n"/>
      <c r="L20" s="96" t="n"/>
      <c r="M20" s="96" t="n"/>
      <c r="N20" s="96" t="n"/>
      <c r="O20" s="96" t="n"/>
      <c r="P20" s="96" t="n"/>
      <c r="Q20" s="96" t="n"/>
      <c r="R20" s="161" t="n"/>
      <c r="S20" s="96" t="n"/>
      <c r="T20" s="96" t="n"/>
      <c r="U20" s="96" t="n"/>
      <c r="V20" s="161" t="n"/>
      <c r="W20" s="96" t="n"/>
      <c r="X20" s="97" t="n"/>
      <c r="Y20" s="97" t="n"/>
      <c r="Z20" s="97" t="n"/>
      <c r="AA20" s="96" t="n"/>
      <c r="AB20" s="96" t="n"/>
      <c r="AC20" s="163" t="n"/>
      <c r="AD20" s="163" t="n"/>
      <c r="AE20" s="96" t="n"/>
      <c r="AF20" s="96" t="n"/>
      <c r="AG20" s="97" t="n"/>
      <c r="AH20" s="96" t="n"/>
      <c r="AI20" s="97" t="n"/>
      <c r="AJ20" s="97" t="n"/>
      <c r="AK20" s="97" t="n"/>
      <c r="AL20" s="97" t="n"/>
      <c r="AM20" s="96" t="n"/>
      <c r="AN20" s="96" t="n"/>
      <c r="AO20" s="96" t="n"/>
      <c r="AP20" s="96" t="n"/>
      <c r="AQ20" s="97" t="n"/>
      <c r="AR20" s="97" t="n"/>
      <c r="AS20" s="97" t="n"/>
      <c r="AT20" s="97" t="n"/>
      <c r="AU20" s="97" t="n"/>
      <c r="AV20" s="97" t="n"/>
      <c r="AW20" s="97" t="n"/>
      <c r="AX20" s="96" t="n"/>
      <c r="AY20" s="97" t="n"/>
      <c r="AZ20" s="96" t="n"/>
      <c r="BA20" s="97" t="n"/>
      <c r="BB20" s="96" t="n"/>
      <c r="BC20" s="161" t="n"/>
      <c r="BD20" s="161" t="n"/>
      <c r="BE20" s="96" t="n"/>
      <c r="BF20" s="96" t="n"/>
      <c r="BG20" s="96" t="n"/>
      <c r="BH20" s="96" t="n"/>
      <c r="BI20" s="97" t="n"/>
      <c r="BJ20" s="97" t="n"/>
      <c r="BK20" s="96" t="n"/>
      <c r="BL20" s="161" t="n"/>
      <c r="BM20" s="127" t="n"/>
      <c r="BN20" s="127" t="n"/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n"/>
      <c r="BZ20" s="97" t="n"/>
      <c r="CA20" s="96" t="n"/>
      <c r="CB20" s="97" t="n"/>
      <c r="CC20" s="96" t="n"/>
      <c r="CD20" s="97" t="n"/>
      <c r="CE20" s="97" t="n"/>
      <c r="CF20" s="96" t="n"/>
      <c r="CG20" s="96" t="n"/>
      <c r="CH20" s="97" t="n"/>
      <c r="CI20" s="96" t="n"/>
      <c r="CJ20" s="96" t="n"/>
      <c r="CK20" s="96" t="n"/>
      <c r="CL20" s="96" t="n"/>
      <c r="CM20" s="97" t="n"/>
      <c r="CN20" s="96" t="n"/>
      <c r="CO20" s="96" t="n"/>
      <c r="CP20" s="97" t="n"/>
      <c r="CQ20" s="96" t="n"/>
      <c r="CR20" s="96" t="n"/>
      <c r="CS20" s="96" t="n"/>
      <c r="CT20" s="96" t="n"/>
      <c r="CU20" s="97" t="n"/>
      <c r="CV20" s="97" t="n"/>
      <c r="CW20" s="161" t="n"/>
      <c r="CX20" s="97" t="n"/>
      <c r="CY20" s="183" t="n"/>
    </row>
    <row r="21" ht="12" customHeight="1">
      <c r="A21" s="116" t="inlineStr">
        <is>
          <t xml:space="preserve">SOC </t>
        </is>
      </c>
      <c r="B21" s="96" t="inlineStr">
        <is>
          <t>0</t>
        </is>
      </c>
      <c r="C21" s="97" t="n"/>
      <c r="D21" s="97" t="n"/>
      <c r="E21" s="97" t="n"/>
      <c r="F21" s="97" t="n">
        <v>0</v>
      </c>
      <c r="G21" s="97" t="n">
        <v>10</v>
      </c>
      <c r="H21" s="97" t="n">
        <v>0</v>
      </c>
      <c r="I21" s="97" t="n">
        <v>0</v>
      </c>
      <c r="J21" s="97" t="n">
        <v>10</v>
      </c>
      <c r="K21" s="96" t="n"/>
      <c r="L21" s="96" t="n"/>
      <c r="M21" s="96" t="n"/>
      <c r="N21" s="96" t="n"/>
      <c r="O21" s="96" t="n"/>
      <c r="P21" s="96" t="n"/>
      <c r="Q21" s="96" t="n"/>
      <c r="R21" s="161" t="n"/>
      <c r="S21" s="96" t="n"/>
      <c r="T21" s="96" t="n"/>
      <c r="U21" s="96" t="n"/>
      <c r="V21" s="161" t="n"/>
      <c r="W21" s="96" t="n"/>
      <c r="X21" s="97" t="n"/>
      <c r="Y21" s="97" t="n"/>
      <c r="Z21" s="97" t="n"/>
      <c r="AA21" s="96" t="n"/>
      <c r="AB21" s="96" t="n"/>
      <c r="AC21" s="163" t="n"/>
      <c r="AD21" s="163" t="n"/>
      <c r="AE21" s="96" t="n"/>
      <c r="AF21" s="96" t="n"/>
      <c r="AG21" s="97" t="n"/>
      <c r="AH21" s="96" t="n"/>
      <c r="AI21" s="97" t="n"/>
      <c r="AJ21" s="97" t="n"/>
      <c r="AK21" s="97" t="n"/>
      <c r="AL21" s="97" t="n"/>
      <c r="AM21" s="96" t="n"/>
      <c r="AN21" s="96" t="n"/>
      <c r="AO21" s="96" t="n"/>
      <c r="AP21" s="96" t="n"/>
      <c r="AQ21" s="97" t="n"/>
      <c r="AR21" s="97" t="n"/>
      <c r="AS21" s="97" t="n"/>
      <c r="AT21" s="97" t="n"/>
      <c r="AU21" s="97" t="n"/>
      <c r="AV21" s="97" t="n"/>
      <c r="AW21" s="97" t="n"/>
      <c r="AX21" s="96" t="n"/>
      <c r="AY21" s="97" t="n"/>
      <c r="AZ21" s="96" t="n"/>
      <c r="BA21" s="97" t="n"/>
      <c r="BB21" s="96" t="n"/>
      <c r="BC21" s="161" t="n"/>
      <c r="BD21" s="161" t="n"/>
      <c r="BE21" s="96" t="n"/>
      <c r="BF21" s="96" t="n"/>
      <c r="BG21" s="96" t="n"/>
      <c r="BH21" s="96" t="n"/>
      <c r="BI21" s="97" t="n"/>
      <c r="BJ21" s="97" t="n"/>
      <c r="BK21" s="96" t="n"/>
      <c r="BL21" s="161" t="n"/>
      <c r="BM21" s="127" t="n"/>
      <c r="BN21" s="127" t="n"/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n"/>
      <c r="BZ21" s="97" t="n"/>
      <c r="CA21" s="96" t="n"/>
      <c r="CB21" s="97" t="n"/>
      <c r="CC21" s="96" t="n"/>
      <c r="CD21" s="97" t="n"/>
      <c r="CE21" s="97" t="n"/>
      <c r="CF21" s="96" t="n"/>
      <c r="CG21" s="96" t="n"/>
      <c r="CH21" s="97" t="n"/>
      <c r="CI21" s="96" t="n"/>
      <c r="CJ21" s="96" t="n"/>
      <c r="CK21" s="96" t="n"/>
      <c r="CL21" s="96" t="n"/>
      <c r="CM21" s="97" t="n"/>
      <c r="CN21" s="96" t="n"/>
      <c r="CO21" s="96" t="n"/>
      <c r="CP21" s="97" t="n"/>
      <c r="CQ21" s="96" t="n"/>
      <c r="CR21" s="96" t="n"/>
      <c r="CS21" s="96" t="n"/>
      <c r="CT21" s="96" t="n"/>
      <c r="CU21" s="97" t="n"/>
      <c r="CV21" s="97" t="n"/>
      <c r="CW21" s="161" t="n"/>
      <c r="CX21" s="97" t="n"/>
      <c r="CY21" s="183" t="n"/>
    </row>
    <row r="22" ht="12" customHeight="1">
      <c r="A22" s="116" t="inlineStr">
        <is>
          <t>17</t>
        </is>
      </c>
      <c r="B22" s="96" t="inlineStr">
        <is>
          <t>29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6" t="n"/>
      <c r="L22" s="96" t="n"/>
      <c r="M22" s="96" t="n"/>
      <c r="N22" s="96" t="n"/>
      <c r="O22" s="96" t="n"/>
      <c r="P22" s="96" t="n"/>
      <c r="Q22" s="96" t="n"/>
      <c r="R22" s="161" t="n"/>
      <c r="S22" s="96" t="n"/>
      <c r="T22" s="96" t="n"/>
      <c r="U22" s="96" t="n"/>
      <c r="V22" s="161" t="n"/>
      <c r="W22" s="96" t="n"/>
      <c r="X22" s="97" t="n"/>
      <c r="Y22" s="97" t="n"/>
      <c r="Z22" s="97" t="n"/>
      <c r="AA22" s="96" t="n"/>
      <c r="AB22" s="96" t="n"/>
      <c r="AC22" s="163" t="n"/>
      <c r="AD22" s="163" t="n"/>
      <c r="AE22" s="96" t="n"/>
      <c r="AF22" s="96" t="n"/>
      <c r="AG22" s="97" t="n"/>
      <c r="AH22" s="96" t="n"/>
      <c r="AI22" s="97" t="n"/>
      <c r="AJ22" s="97" t="n"/>
      <c r="AK22" s="97" t="n"/>
      <c r="AL22" s="97" t="n"/>
      <c r="AM22" s="96" t="n"/>
      <c r="AN22" s="96" t="n"/>
      <c r="AO22" s="96" t="n"/>
      <c r="AP22" s="96" t="n"/>
      <c r="AQ22" s="97" t="n"/>
      <c r="AR22" s="97" t="n"/>
      <c r="AS22" s="97" t="n"/>
      <c r="AT22" s="97" t="n"/>
      <c r="AU22" s="97" t="n"/>
      <c r="AV22" s="97" t="n"/>
      <c r="AW22" s="97" t="n"/>
      <c r="AX22" s="96" t="n"/>
      <c r="AY22" s="97" t="n"/>
      <c r="AZ22" s="96" t="n"/>
      <c r="BA22" s="97" t="n"/>
      <c r="BB22" s="96" t="n"/>
      <c r="BC22" s="161" t="n"/>
      <c r="BD22" s="161" t="n"/>
      <c r="BE22" s="96" t="n"/>
      <c r="BF22" s="96" t="n"/>
      <c r="BG22" s="96" t="n"/>
      <c r="BH22" s="96" t="n"/>
      <c r="BI22" s="97" t="n"/>
      <c r="BJ22" s="97" t="n"/>
      <c r="BK22" s="96" t="n"/>
      <c r="BL22" s="161" t="n"/>
      <c r="BM22" s="127" t="n"/>
      <c r="BN22" s="127" t="n"/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n"/>
      <c r="BZ22" s="97" t="n"/>
      <c r="CA22" s="96" t="n"/>
      <c r="CB22" s="97" t="n"/>
      <c r="CC22" s="96" t="n"/>
      <c r="CD22" s="97" t="n"/>
      <c r="CE22" s="97" t="n"/>
      <c r="CF22" s="96" t="n"/>
      <c r="CG22" s="96" t="n"/>
      <c r="CH22" s="97" t="n"/>
      <c r="CI22" s="96" t="n"/>
      <c r="CJ22" s="96" t="n"/>
      <c r="CK22" s="96" t="n"/>
      <c r="CL22" s="96" t="n"/>
      <c r="CM22" s="97" t="n"/>
      <c r="CN22" s="96" t="n"/>
      <c r="CO22" s="96" t="n"/>
      <c r="CP22" s="97" t="n"/>
      <c r="CQ22" s="96" t="n"/>
      <c r="CR22" s="96" t="n"/>
      <c r="CS22" s="96" t="n"/>
      <c r="CT22" s="96" t="n"/>
      <c r="CU22" s="97" t="n"/>
      <c r="CV22" s="97" t="n"/>
      <c r="CW22" s="161" t="n"/>
      <c r="CX22" s="97" t="n"/>
      <c r="CY22" s="183" t="n"/>
    </row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BMOU6064956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2026-10-09</t>
        </is>
      </c>
      <c r="E2" s="173" t="inlineStr">
        <is>
          <t>1604</t>
        </is>
      </c>
      <c r="F2" s="96" t="inlineStr">
        <is>
          <t>HASLS22260802147</t>
        </is>
      </c>
      <c r="G2" s="96" t="inlineStr">
        <is>
          <t>YUSEN LOGISTICS (THAILAND) CO., LTD.</t>
        </is>
      </c>
      <c r="H2" s="111" t="inlineStr">
        <is>
          <t>45GP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HASLS22260802147</t>
        </is>
      </c>
      <c r="N2" s="96" t="inlineStr">
        <is>
          <t xml:space="preserve">40Hx1 </t>
        </is>
      </c>
      <c r="O2" s="111" t="inlineStr">
        <is>
          <t>2015</t>
        </is>
      </c>
      <c r="P2" s="111" t="n"/>
      <c r="Q2" s="111" t="n"/>
      <c r="R2" s="96" t="inlineStr">
        <is>
          <t>SWSR</t>
        </is>
      </c>
      <c r="S2" s="96" t="inlineStr">
        <is>
          <t>2611N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2026-10-15</t>
        </is>
      </c>
      <c r="W2" s="96" t="inlineStr">
        <is>
          <t>HKHKG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2026-10-09</t>
        </is>
      </c>
      <c r="AE2" s="174" t="inlineStr">
        <is>
          <t>2001</t>
        </is>
      </c>
      <c r="AF2" s="96" t="inlineStr">
        <is>
          <t>EDI2</t>
        </is>
      </c>
      <c r="AG2" s="97" t="n"/>
      <c r="AH2" s="97" t="n"/>
      <c r="AI2" s="97" t="inlineStr">
        <is>
          <t>HK014J</t>
        </is>
      </c>
      <c r="AJ2" s="96" t="inlineStr">
        <is>
          <t>YUSEN LOGISTICS (HONG KONG) LTD.</t>
        </is>
      </c>
      <c r="AK2" s="130" t="n"/>
    </row>
    <row r="3" ht="12" customHeight="1">
      <c r="A3" s="108" t="inlineStr">
        <is>
          <t>DFSU7488098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2026-10-09</t>
        </is>
      </c>
      <c r="E3" s="173" t="inlineStr">
        <is>
          <t>0409</t>
        </is>
      </c>
      <c r="F3" s="96" t="inlineStr">
        <is>
          <t>HASLS22260902638</t>
        </is>
      </c>
      <c r="G3" s="96" t="inlineStr">
        <is>
          <t>SS EXCELLENT NETWORK CO.,LTD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HASLS22260902638</t>
        </is>
      </c>
      <c r="N3" s="96" t="inlineStr">
        <is>
          <t xml:space="preserve">40Hx1 </t>
        </is>
      </c>
      <c r="O3" s="111" t="inlineStr">
        <is>
          <t>2014</t>
        </is>
      </c>
      <c r="P3" s="111" t="n"/>
      <c r="Q3" s="111" t="n"/>
      <c r="R3" s="96" t="inlineStr">
        <is>
          <t>SWSR</t>
        </is>
      </c>
      <c r="S3" s="96" t="inlineStr">
        <is>
          <t>2611N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2026-10-15</t>
        </is>
      </c>
      <c r="W3" s="96" t="inlineStr">
        <is>
          <t>HKHKG</t>
        </is>
      </c>
      <c r="X3" s="161" t="inlineStr">
        <is>
          <t>2026-10-18</t>
        </is>
      </c>
      <c r="Y3" s="97" t="n"/>
      <c r="Z3" s="97" t="n"/>
      <c r="AA3" s="97" t="n"/>
      <c r="AB3" s="97" t="n"/>
      <c r="AC3" s="97" t="n"/>
      <c r="AD3" s="161" t="inlineStr">
        <is>
          <t>2026-10-09</t>
        </is>
      </c>
      <c r="AE3" s="174" t="inlineStr">
        <is>
          <t>0800</t>
        </is>
      </c>
      <c r="AF3" s="96" t="inlineStr">
        <is>
          <t>EDI2</t>
        </is>
      </c>
      <c r="AG3" s="97" t="n"/>
      <c r="AH3" s="97" t="n"/>
      <c r="AI3" s="97" t="inlineStr">
        <is>
          <t>HKHOO8</t>
        </is>
      </c>
      <c r="AJ3" s="96" t="inlineStr">
        <is>
          <t>QINGYUAN MINGDA METAL CO.,LTD.</t>
        </is>
      </c>
      <c r="AK3" s="130" t="n"/>
    </row>
    <row r="4" ht="12" customHeight="1">
      <c r="A4" s="108" t="inlineStr">
        <is>
          <t>HALU2420148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2026-10-09</t>
        </is>
      </c>
      <c r="E4" s="173" t="inlineStr">
        <is>
          <t>0313</t>
        </is>
      </c>
      <c r="F4" s="96" t="inlineStr">
        <is>
          <t>HASLS22260900690</t>
        </is>
      </c>
      <c r="G4" s="96" t="inlineStr">
        <is>
          <t>CARGO CARE LOGISTICS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HASLS22260900690</t>
        </is>
      </c>
      <c r="N4" s="96" t="inlineStr">
        <is>
          <t xml:space="preserve">20'x1 </t>
        </is>
      </c>
      <c r="O4" s="111" t="inlineStr">
        <is>
          <t>2024</t>
        </is>
      </c>
      <c r="P4" s="111" t="n"/>
      <c r="Q4" s="111" t="n"/>
      <c r="R4" s="96" t="inlineStr">
        <is>
          <t>SWSR</t>
        </is>
      </c>
      <c r="S4" s="96" t="inlineStr">
        <is>
          <t>2611N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2026-10-15</t>
        </is>
      </c>
      <c r="W4" s="96" t="inlineStr">
        <is>
          <t>HKHKG</t>
        </is>
      </c>
      <c r="X4" s="161" t="inlineStr">
        <is>
          <t>2026-10-18</t>
        </is>
      </c>
      <c r="Y4" s="97" t="n"/>
      <c r="Z4" s="97" t="n"/>
      <c r="AA4" s="97" t="n"/>
      <c r="AB4" s="97" t="n"/>
      <c r="AC4" s="97" t="n"/>
      <c r="AD4" s="161" t="inlineStr">
        <is>
          <t>2026-10-09</t>
        </is>
      </c>
      <c r="AE4" s="174" t="inlineStr">
        <is>
          <t>0600</t>
        </is>
      </c>
      <c r="AF4" s="96" t="inlineStr">
        <is>
          <t>EDI2</t>
        </is>
      </c>
      <c r="AG4" s="97" t="n"/>
      <c r="AH4" s="97" t="n"/>
      <c r="AI4" s="97" t="inlineStr">
        <is>
          <t>HKHK5N</t>
        </is>
      </c>
      <c r="AJ4" s="96" t="inlineStr">
        <is>
          <t>WELL SYNERGY INTERNATIONAL LTD</t>
        </is>
      </c>
      <c r="AK4" s="130" t="n"/>
    </row>
    <row r="5" ht="12" customHeight="1">
      <c r="A5" s="108" t="inlineStr">
        <is>
          <t>HALU2552463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2026-10-09</t>
        </is>
      </c>
      <c r="E5" s="173" t="inlineStr">
        <is>
          <t>0703</t>
        </is>
      </c>
      <c r="F5" s="96" t="inlineStr">
        <is>
          <t>HASLS22261000423</t>
        </is>
      </c>
      <c r="G5" s="96" t="inlineStr">
        <is>
          <t>RHENUS LOGISTICS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HASLS22261000423</t>
        </is>
      </c>
      <c r="N5" s="96" t="inlineStr">
        <is>
          <t xml:space="preserve">20'x1 </t>
        </is>
      </c>
      <c r="O5" s="111" t="inlineStr">
        <is>
          <t>2025</t>
        </is>
      </c>
      <c r="P5" s="111" t="n"/>
      <c r="Q5" s="111" t="n"/>
      <c r="R5" s="96" t="inlineStr">
        <is>
          <t>SWSR</t>
        </is>
      </c>
      <c r="S5" s="96" t="inlineStr">
        <is>
          <t>2611N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2026-10-15</t>
        </is>
      </c>
      <c r="W5" s="96" t="inlineStr">
        <is>
          <t>HKHKG</t>
        </is>
      </c>
      <c r="X5" s="161" t="inlineStr">
        <is>
          <t>2026-10-18</t>
        </is>
      </c>
      <c r="Y5" s="97" t="n"/>
      <c r="Z5" s="97" t="n"/>
      <c r="AA5" s="97" t="n"/>
      <c r="AB5" s="97" t="n"/>
      <c r="AC5" s="97" t="n"/>
      <c r="AD5" s="161" t="inlineStr">
        <is>
          <t>2026-10-09</t>
        </is>
      </c>
      <c r="AE5" s="174" t="inlineStr">
        <is>
          <t>1001</t>
        </is>
      </c>
      <c r="AF5" s="96" t="inlineStr">
        <is>
          <t>EDI2</t>
        </is>
      </c>
      <c r="AG5" s="97" t="n"/>
      <c r="AH5" s="97" t="n"/>
      <c r="AI5" s="97" t="inlineStr">
        <is>
          <t>HKHL0H</t>
        </is>
      </c>
      <c r="AJ5" s="96" t="inlineStr">
        <is>
          <t>RHENUS LOGISTICS HONG KONG LTD.</t>
        </is>
      </c>
      <c r="AK5" s="130" t="n"/>
    </row>
    <row r="6" ht="12" customHeight="1">
      <c r="A6" s="108" t="inlineStr">
        <is>
          <t>HLHU8518728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2026-10-11</t>
        </is>
      </c>
      <c r="E6" s="173" t="inlineStr">
        <is>
          <t>1136</t>
        </is>
      </c>
      <c r="F6" s="96" t="inlineStr">
        <is>
          <t>HASLS22261000313</t>
        </is>
      </c>
      <c r="G6" s="96" t="inlineStr">
        <is>
          <t>YONG AN LOGISTICS CO,.LTD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HASLS22261000313</t>
        </is>
      </c>
      <c r="N6" s="96" t="inlineStr">
        <is>
          <t xml:space="preserve">40Hx2 </t>
        </is>
      </c>
      <c r="O6" s="111" t="inlineStr">
        <is>
          <t>2025</t>
        </is>
      </c>
      <c r="P6" s="111" t="n"/>
      <c r="Q6" s="111" t="n"/>
      <c r="R6" s="96" t="inlineStr">
        <is>
          <t>SWSR</t>
        </is>
      </c>
      <c r="S6" s="96" t="inlineStr">
        <is>
          <t>2611N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2026-10-15</t>
        </is>
      </c>
      <c r="W6" s="96" t="inlineStr">
        <is>
          <t>CNXMN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2026-10-11</t>
        </is>
      </c>
      <c r="AE6" s="174" t="inlineStr">
        <is>
          <t>1400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XIAMEN UNITHAI IMPORT&amp;EXPORT</t>
        </is>
      </c>
      <c r="AK6" s="130" t="n"/>
    </row>
    <row r="7" ht="12" customHeight="1">
      <c r="A7" s="108" t="inlineStr">
        <is>
          <t>SEGU2340971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2026-10-10</t>
        </is>
      </c>
      <c r="E7" s="173" t="inlineStr">
        <is>
          <t>1205</t>
        </is>
      </c>
      <c r="F7" s="96" t="inlineStr">
        <is>
          <t>HASLS22260901527</t>
        </is>
      </c>
      <c r="G7" s="96" t="inlineStr">
        <is>
          <t>THAI POLYCARBONATE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HASLS22260901527</t>
        </is>
      </c>
      <c r="N7" s="96" t="inlineStr">
        <is>
          <t xml:space="preserve">20'x1 </t>
        </is>
      </c>
      <c r="O7" s="111" t="inlineStr">
        <is>
          <t>2015</t>
        </is>
      </c>
      <c r="P7" s="111" t="n"/>
      <c r="Q7" s="111" t="n"/>
      <c r="R7" s="96" t="inlineStr">
        <is>
          <t>SWSR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2026-10-15</t>
        </is>
      </c>
      <c r="W7" s="96" t="inlineStr">
        <is>
          <t>HKHKG</t>
        </is>
      </c>
      <c r="X7" s="161" t="inlineStr">
        <is>
          <t>2026-10-18</t>
        </is>
      </c>
      <c r="Y7" s="97" t="n"/>
      <c r="Z7" s="97" t="n"/>
      <c r="AA7" s="97" t="n"/>
      <c r="AB7" s="97" t="n"/>
      <c r="AC7" s="97" t="n"/>
      <c r="AD7" s="161" t="inlineStr">
        <is>
          <t>2026-10-10</t>
        </is>
      </c>
      <c r="AE7" s="174" t="inlineStr">
        <is>
          <t>1600</t>
        </is>
      </c>
      <c r="AF7" s="96" t="inlineStr">
        <is>
          <t>EDI2</t>
        </is>
      </c>
      <c r="AG7" s="97" t="n"/>
      <c r="AH7" s="97" t="n"/>
      <c r="AI7" s="97" t="inlineStr">
        <is>
          <t>HK013G</t>
        </is>
      </c>
      <c r="AJ7" s="96" t="inlineStr">
        <is>
          <t>JACOBSON VAN DEN BERG (HK) LTD</t>
        </is>
      </c>
      <c r="AK7" s="130" t="n"/>
    </row>
    <row r="8" ht="12" customHeight="1">
      <c r="A8" s="108" t="inlineStr">
        <is>
          <t>SKHU8917509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2337</t>
        </is>
      </c>
      <c r="F8" s="96" t="inlineStr">
        <is>
          <t>HASLS22261000123</t>
        </is>
      </c>
      <c r="G8" s="96" t="inlineStr">
        <is>
          <t>DOLPHIN LOGISTICS (THAILAND)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HASLS22261000123</t>
        </is>
      </c>
      <c r="N8" s="96" t="inlineStr">
        <is>
          <t xml:space="preserve">40Hx2 </t>
        </is>
      </c>
      <c r="O8" s="111" t="inlineStr">
        <is>
          <t>2019</t>
        </is>
      </c>
      <c r="P8" s="111" t="n"/>
      <c r="Q8" s="111" t="n"/>
      <c r="R8" s="96" t="inlineStr">
        <is>
          <t>SWSR</t>
        </is>
      </c>
      <c r="S8" s="96" t="inlineStr">
        <is>
          <t>2611N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2026-10-15</t>
        </is>
      </c>
      <c r="W8" s="96" t="inlineStr">
        <is>
          <t>HKHKG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2026-10-13</t>
        </is>
      </c>
      <c r="AE8" s="174" t="inlineStr">
        <is>
          <t>0200</t>
        </is>
      </c>
      <c r="AF8" s="96" t="inlineStr">
        <is>
          <t>EDI2</t>
        </is>
      </c>
      <c r="AG8" s="97" t="n"/>
      <c r="AH8" s="97" t="n"/>
      <c r="AI8" s="97" t="inlineStr">
        <is>
          <t>HK01T7</t>
        </is>
      </c>
      <c r="AJ8" s="96" t="inlineStr">
        <is>
          <t>SIG FAI TRANSPORTATION COMPANY</t>
        </is>
      </c>
      <c r="AK8" s="130" t="n"/>
    </row>
    <row r="9" ht="12" customHeight="1">
      <c r="A9" s="108" t="inlineStr">
        <is>
          <t>SKHU9410822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2026-10-14</t>
        </is>
      </c>
      <c r="E9" s="173" t="inlineStr">
        <is>
          <t>0125</t>
        </is>
      </c>
      <c r="F9" s="96" t="inlineStr">
        <is>
          <t>HASLS22261000123</t>
        </is>
      </c>
      <c r="G9" s="96" t="inlineStr">
        <is>
          <t>DOLPHIN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HASLS22261000123</t>
        </is>
      </c>
      <c r="N9" s="96" t="inlineStr">
        <is>
          <t xml:space="preserve">40Hx2 </t>
        </is>
      </c>
      <c r="O9" s="111" t="inlineStr">
        <is>
          <t>2014</t>
        </is>
      </c>
      <c r="P9" s="111" t="n"/>
      <c r="Q9" s="111" t="n"/>
      <c r="R9" s="96" t="inlineStr">
        <is>
          <t>SWSR</t>
        </is>
      </c>
      <c r="S9" s="96" t="inlineStr">
        <is>
          <t>2611N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2026-10-15</t>
        </is>
      </c>
      <c r="W9" s="96" t="inlineStr">
        <is>
          <t>HKHKG</t>
        </is>
      </c>
      <c r="X9" s="161" t="inlineStr">
        <is>
          <t>2026-10-18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0400</t>
        </is>
      </c>
      <c r="AF9" s="96" t="inlineStr">
        <is>
          <t>EDI2</t>
        </is>
      </c>
      <c r="AG9" s="97" t="n"/>
      <c r="AH9" s="97" t="n"/>
      <c r="AI9" s="97" t="inlineStr">
        <is>
          <t>HK01T7</t>
        </is>
      </c>
      <c r="AJ9" s="96" t="inlineStr">
        <is>
          <t>SIG FAI TRANSPORTATION COMPANY</t>
        </is>
      </c>
      <c r="AK9" s="130" t="n"/>
    </row>
    <row r="10" ht="12" customHeight="1">
      <c r="A10" s="108" t="inlineStr">
        <is>
          <t>SKHU9420348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2026-10-11</t>
        </is>
      </c>
      <c r="E10" s="173" t="inlineStr">
        <is>
          <t>1350</t>
        </is>
      </c>
      <c r="F10" s="96" t="inlineStr">
        <is>
          <t>HASLS22261000313</t>
        </is>
      </c>
      <c r="G10" s="96" t="inlineStr">
        <is>
          <t>YONG AN LOGISTICS CO,.LTD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HASLS22261000313</t>
        </is>
      </c>
      <c r="N10" s="96" t="inlineStr">
        <is>
          <t xml:space="preserve">40Hx2 </t>
        </is>
      </c>
      <c r="O10" s="111" t="inlineStr">
        <is>
          <t>2014</t>
        </is>
      </c>
      <c r="P10" s="111" t="n"/>
      <c r="Q10" s="111" t="n"/>
      <c r="R10" s="96" t="inlineStr">
        <is>
          <t>SWSR</t>
        </is>
      </c>
      <c r="S10" s="96" t="inlineStr">
        <is>
          <t>2611N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2026-10-15</t>
        </is>
      </c>
      <c r="W10" s="96" t="inlineStr">
        <is>
          <t>CNXMN</t>
        </is>
      </c>
      <c r="X10" s="161" t="inlineStr">
        <is>
          <t>2026-10-20</t>
        </is>
      </c>
      <c r="Y10" s="97" t="n"/>
      <c r="Z10" s="97" t="n"/>
      <c r="AA10" s="97" t="n"/>
      <c r="AB10" s="97" t="n"/>
      <c r="AC10" s="97" t="n"/>
      <c r="AD10" s="161" t="inlineStr">
        <is>
          <t>2026-10-11</t>
        </is>
      </c>
      <c r="AE10" s="174" t="inlineStr">
        <is>
          <t>1600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XIAMEN UNITHAI IMPORT&amp;EXPORT</t>
        </is>
      </c>
      <c r="AK10" s="130" t="n"/>
    </row>
    <row r="11" ht="12" customHeight="1">
      <c r="A11" s="108" t="inlineStr">
        <is>
          <t>SKLU0717230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2026-10-09</t>
        </is>
      </c>
      <c r="E11" s="173" t="inlineStr">
        <is>
          <t>0311</t>
        </is>
      </c>
      <c r="F11" s="96" t="inlineStr">
        <is>
          <t>HASLS22260902442</t>
        </is>
      </c>
      <c r="G11" s="96" t="inlineStr">
        <is>
          <t>SS EXCELLENT NETWORK CO.,LTD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HASLS22260902442</t>
        </is>
      </c>
      <c r="N11" s="96" t="inlineStr">
        <is>
          <t xml:space="preserve">20'x1 </t>
        </is>
      </c>
      <c r="O11" s="111" t="inlineStr">
        <is>
          <t>2007</t>
        </is>
      </c>
      <c r="P11" s="111" t="n"/>
      <c r="Q11" s="111" t="n"/>
      <c r="R11" s="96" t="inlineStr">
        <is>
          <t>SWSR</t>
        </is>
      </c>
      <c r="S11" s="96" t="inlineStr">
        <is>
          <t>2611N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2026-10-15</t>
        </is>
      </c>
      <c r="W11" s="96" t="inlineStr">
        <is>
          <t>HKHKG</t>
        </is>
      </c>
      <c r="X11" s="161" t="inlineStr">
        <is>
          <t>2026-10-18</t>
        </is>
      </c>
      <c r="Y11" s="97" t="n"/>
      <c r="Z11" s="97" t="n"/>
      <c r="AA11" s="97" t="n"/>
      <c r="AB11" s="97" t="n"/>
      <c r="AC11" s="97" t="n"/>
      <c r="AD11" s="161" t="inlineStr">
        <is>
          <t>2026-10-09</t>
        </is>
      </c>
      <c r="AE11" s="174" t="inlineStr">
        <is>
          <t>0600</t>
        </is>
      </c>
      <c r="AF11" s="96" t="inlineStr">
        <is>
          <t>EDI2</t>
        </is>
      </c>
      <c r="AG11" s="97" t="n"/>
      <c r="AH11" s="97" t="n"/>
      <c r="AI11" s="97" t="inlineStr">
        <is>
          <t>HKHOQF</t>
        </is>
      </c>
      <c r="AJ11" s="96" t="inlineStr">
        <is>
          <t>ZHAOQING LIMA METAL CO.,LTD.</t>
        </is>
      </c>
      <c r="AK11" s="130" t="n"/>
    </row>
    <row r="12" ht="12" customHeight="1">
      <c r="A12" s="108" t="inlineStr">
        <is>
          <t>SKLU0753670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2026-10-08</t>
        </is>
      </c>
      <c r="E12" s="173" t="inlineStr">
        <is>
          <t>2046</t>
        </is>
      </c>
      <c r="F12" s="96" t="inlineStr">
        <is>
          <t>HASLS22260902370</t>
        </is>
      </c>
      <c r="G12" s="96" t="inlineStr">
        <is>
          <t>DOUBLE A (1991)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HASLS22260902370</t>
        </is>
      </c>
      <c r="N12" s="96" t="inlineStr">
        <is>
          <t xml:space="preserve">20'x2 </t>
        </is>
      </c>
      <c r="O12" s="111" t="inlineStr">
        <is>
          <t>2007</t>
        </is>
      </c>
      <c r="P12" s="111" t="n"/>
      <c r="Q12" s="111" t="n"/>
      <c r="R12" s="96" t="inlineStr">
        <is>
          <t>SWSR</t>
        </is>
      </c>
      <c r="S12" s="96" t="inlineStr">
        <is>
          <t>2611N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2026-10-15</t>
        </is>
      </c>
      <c r="W12" s="96" t="inlineStr">
        <is>
          <t>HKHKG</t>
        </is>
      </c>
      <c r="X12" s="161" t="inlineStr">
        <is>
          <t>2026-10-18</t>
        </is>
      </c>
      <c r="Y12" s="97" t="n"/>
      <c r="Z12" s="97" t="n"/>
      <c r="AA12" s="97" t="n"/>
      <c r="AB12" s="97" t="n"/>
      <c r="AC12" s="97" t="n"/>
      <c r="AD12" s="161" t="inlineStr">
        <is>
          <t>2026-10-09</t>
        </is>
      </c>
      <c r="AE12" s="174" t="inlineStr">
        <is>
          <t>0000</t>
        </is>
      </c>
      <c r="AF12" s="96" t="inlineStr">
        <is>
          <t>EDI2</t>
        </is>
      </c>
      <c r="AG12" s="97" t="n"/>
      <c r="AH12" s="97" t="n"/>
      <c r="AI12" s="97" t="inlineStr">
        <is>
          <t>HKHKCL</t>
        </is>
      </c>
      <c r="AJ12" s="96" t="inlineStr">
        <is>
          <t>OH360 CO., LTD.</t>
        </is>
      </c>
      <c r="AK12" s="130" t="n"/>
    </row>
    <row r="13" ht="12" customHeight="1">
      <c r="A13" s="108" t="inlineStr">
        <is>
          <t>SKLU1317861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2026-10-08</t>
        </is>
      </c>
      <c r="E13" s="173" t="inlineStr">
        <is>
          <t>2212</t>
        </is>
      </c>
      <c r="F13" s="96" t="inlineStr">
        <is>
          <t>HASLS22260902370</t>
        </is>
      </c>
      <c r="G13" s="96" t="inlineStr">
        <is>
          <t>DOUBLE A (1991) PUBLIC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HASLS22260902370</t>
        </is>
      </c>
      <c r="N13" s="96" t="inlineStr">
        <is>
          <t xml:space="preserve">20'x2 </t>
        </is>
      </c>
      <c r="O13" s="111" t="inlineStr">
        <is>
          <t>2013</t>
        </is>
      </c>
      <c r="P13" s="111" t="n"/>
      <c r="Q13" s="111" t="n"/>
      <c r="R13" s="96" t="inlineStr">
        <is>
          <t>SWSR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2026-10-15</t>
        </is>
      </c>
      <c r="W13" s="96" t="inlineStr">
        <is>
          <t>HKHKG</t>
        </is>
      </c>
      <c r="X13" s="161" t="inlineStr">
        <is>
          <t>2026-10-18</t>
        </is>
      </c>
      <c r="Y13" s="97" t="n"/>
      <c r="Z13" s="97" t="n"/>
      <c r="AA13" s="97" t="n"/>
      <c r="AB13" s="97" t="n"/>
      <c r="AC13" s="97" t="n"/>
      <c r="AD13" s="161" t="inlineStr">
        <is>
          <t>2026-10-09</t>
        </is>
      </c>
      <c r="AE13" s="174" t="inlineStr">
        <is>
          <t>0200</t>
        </is>
      </c>
      <c r="AF13" s="96" t="inlineStr">
        <is>
          <t>EDI2</t>
        </is>
      </c>
      <c r="AG13" s="97" t="n"/>
      <c r="AH13" s="97" t="n"/>
      <c r="AI13" s="97" t="inlineStr">
        <is>
          <t>HKHKCL</t>
        </is>
      </c>
      <c r="AJ13" s="96" t="inlineStr">
        <is>
          <t>OH360 CO., LTD.</t>
        </is>
      </c>
      <c r="AK13" s="130" t="n"/>
    </row>
    <row r="14" ht="12" customHeight="1">
      <c r="A14" s="108" t="inlineStr">
        <is>
          <t>SKLU1906049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2026-10-10</t>
        </is>
      </c>
      <c r="E14" s="173" t="inlineStr">
        <is>
          <t>0653</t>
        </is>
      </c>
      <c r="F14" s="96" t="inlineStr">
        <is>
          <t>HASLS22260900705</t>
        </is>
      </c>
      <c r="G14" s="96" t="inlineStr">
        <is>
          <t>YUSEN LOGISTICS (THAILAND) CO., LTD.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HASLS22260900705</t>
        </is>
      </c>
      <c r="N14" s="96" t="inlineStr">
        <is>
          <t xml:space="preserve">20'x1 </t>
        </is>
      </c>
      <c r="O14" s="111" t="inlineStr">
        <is>
          <t>2019</t>
        </is>
      </c>
      <c r="P14" s="111" t="n"/>
      <c r="Q14" s="111" t="n"/>
      <c r="R14" s="96" t="inlineStr">
        <is>
          <t>SWSR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2026-10-15</t>
        </is>
      </c>
      <c r="W14" s="96" t="inlineStr">
        <is>
          <t>HKHKG</t>
        </is>
      </c>
      <c r="X14" s="161" t="inlineStr">
        <is>
          <t>2026-10-18</t>
        </is>
      </c>
      <c r="Y14" s="97" t="n"/>
      <c r="Z14" s="97" t="n"/>
      <c r="AA14" s="97" t="n"/>
      <c r="AB14" s="97" t="n"/>
      <c r="AC14" s="97" t="n"/>
      <c r="AD14" s="161" t="inlineStr">
        <is>
          <t>2026-10-10</t>
        </is>
      </c>
      <c r="AE14" s="174" t="inlineStr">
        <is>
          <t>1001</t>
        </is>
      </c>
      <c r="AF14" s="96" t="inlineStr">
        <is>
          <t>EDI2</t>
        </is>
      </c>
      <c r="AG14" s="97" t="n"/>
      <c r="AH14" s="97" t="n"/>
      <c r="AI14" s="97" t="inlineStr">
        <is>
          <t>HK02WV</t>
        </is>
      </c>
      <c r="AJ14" s="96" t="inlineStr">
        <is>
          <t>YUSEN LOGISTICS (CHINA) CO., LTD.</t>
        </is>
      </c>
      <c r="AK14" s="130" t="n"/>
    </row>
    <row r="15" ht="12" customHeight="1">
      <c r="A15" s="108" t="inlineStr">
        <is>
          <t>SKLU1918034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2026-10-12</t>
        </is>
      </c>
      <c r="E15" s="173" t="inlineStr">
        <is>
          <t>2138</t>
        </is>
      </c>
      <c r="F15" s="96" t="inlineStr">
        <is>
          <t>HASLS22260901698</t>
        </is>
      </c>
      <c r="G15" s="96" t="inlineStr">
        <is>
          <t>SIAM FOOD (2513)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HASLS22260901698</t>
        </is>
      </c>
      <c r="N15" s="96" t="inlineStr">
        <is>
          <t xml:space="preserve">20'x1 </t>
        </is>
      </c>
      <c r="O15" s="111" t="inlineStr">
        <is>
          <t>2019</t>
        </is>
      </c>
      <c r="P15" s="111" t="n"/>
      <c r="Q15" s="111" t="n"/>
      <c r="R15" s="96" t="inlineStr">
        <is>
          <t>SWSR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2026-10-15</t>
        </is>
      </c>
      <c r="W15" s="96" t="inlineStr">
        <is>
          <t>KRPUS</t>
        </is>
      </c>
      <c r="X15" s="161" t="inlineStr">
        <is>
          <t>2026-10-23</t>
        </is>
      </c>
      <c r="Y15" s="97" t="n"/>
      <c r="Z15" s="97" t="n"/>
      <c r="AA15" s="97" t="n"/>
      <c r="AB15" s="97" t="n"/>
      <c r="AC15" s="97" t="n"/>
      <c r="AD15" s="161" t="inlineStr">
        <is>
          <t>2026-10-13</t>
        </is>
      </c>
      <c r="AE15" s="174" t="inlineStr">
        <is>
          <t>0000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RIAN KOREA CORP.</t>
        </is>
      </c>
      <c r="AK15" s="130" t="n"/>
    </row>
    <row r="16" ht="12" customHeight="1">
      <c r="A16" s="108" t="inlineStr">
        <is>
          <t>SKLU1945596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2026-10-08</t>
        </is>
      </c>
      <c r="E16" s="173" t="inlineStr">
        <is>
          <t>1729</t>
        </is>
      </c>
      <c r="F16" s="96" t="inlineStr">
        <is>
          <t>HASLS22260902384</t>
        </is>
      </c>
      <c r="G16" s="96" t="inlineStr">
        <is>
          <t>SEABRA TRANS INTERNATIONAL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HASLS22260902384</t>
        </is>
      </c>
      <c r="N16" s="96" t="inlineStr">
        <is>
          <t xml:space="preserve">20'x1 </t>
        </is>
      </c>
      <c r="O16" s="111" t="inlineStr">
        <is>
          <t>2019</t>
        </is>
      </c>
      <c r="P16" s="111" t="n"/>
      <c r="Q16" s="111" t="n"/>
      <c r="R16" s="96" t="inlineStr">
        <is>
          <t>SWSR</t>
        </is>
      </c>
      <c r="S16" s="96" t="inlineStr">
        <is>
          <t>2611N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2026-10-15</t>
        </is>
      </c>
      <c r="W16" s="96" t="inlineStr">
        <is>
          <t>CNXMN</t>
        </is>
      </c>
      <c r="X16" s="161" t="inlineStr">
        <is>
          <t>2026-10-20</t>
        </is>
      </c>
      <c r="Y16" s="97" t="n"/>
      <c r="Z16" s="97" t="n"/>
      <c r="AA16" s="97" t="n"/>
      <c r="AB16" s="97" t="n"/>
      <c r="AC16" s="97" t="n"/>
      <c r="AD16" s="161" t="inlineStr">
        <is>
          <t>2026-10-08</t>
        </is>
      </c>
      <c r="AE16" s="174" t="inlineStr">
        <is>
          <t>2001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XIAMEN FDK CORPORATION</t>
        </is>
      </c>
      <c r="AK16" s="130" t="n"/>
    </row>
    <row r="17" ht="12" customHeight="1">
      <c r="A17" s="108" t="inlineStr">
        <is>
          <t>SKLU1993090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2026-10-09</t>
        </is>
      </c>
      <c r="E17" s="173" t="inlineStr">
        <is>
          <t>0212</t>
        </is>
      </c>
      <c r="F17" s="96" t="inlineStr">
        <is>
          <t>HASLS22260901518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HASLS22260901518</t>
        </is>
      </c>
      <c r="N17" s="96" t="inlineStr">
        <is>
          <t xml:space="preserve">20'x1 </t>
        </is>
      </c>
      <c r="O17" s="111" t="inlineStr">
        <is>
          <t>2019</t>
        </is>
      </c>
      <c r="P17" s="111" t="n"/>
      <c r="Q17" s="111" t="n"/>
      <c r="R17" s="96" t="inlineStr">
        <is>
          <t>SWSR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2026-10-15</t>
        </is>
      </c>
      <c r="W17" s="96" t="inlineStr">
        <is>
          <t>CNXMN</t>
        </is>
      </c>
      <c r="X17" s="161" t="inlineStr">
        <is>
          <t>2026-10-20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0600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TO ORDER</t>
        </is>
      </c>
      <c r="AK17" s="130" t="n"/>
    </row>
    <row r="18" ht="12" customHeight="1">
      <c r="A18" s="108" t="inlineStr">
        <is>
          <t>SKLU2006946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2026-10-06</t>
        </is>
      </c>
      <c r="E18" s="173" t="inlineStr">
        <is>
          <t>2030</t>
        </is>
      </c>
      <c r="F18" s="96" t="inlineStr">
        <is>
          <t>HASLS22260800677</t>
        </is>
      </c>
      <c r="G18" s="96" t="inlineStr">
        <is>
          <t>CARGO CARE LOGISTICS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HASLS22260800677</t>
        </is>
      </c>
      <c r="N18" s="96" t="inlineStr">
        <is>
          <t xml:space="preserve">20'x1 </t>
        </is>
      </c>
      <c r="O18" s="111" t="inlineStr">
        <is>
          <t>2019</t>
        </is>
      </c>
      <c r="P18" s="111" t="n"/>
      <c r="Q18" s="111" t="n"/>
      <c r="R18" s="96" t="inlineStr">
        <is>
          <t>SWAT</t>
        </is>
      </c>
      <c r="S18" s="96" t="inlineStr">
        <is>
          <t>2610N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2026-10-15</t>
        </is>
      </c>
      <c r="W18" s="96" t="inlineStr">
        <is>
          <t>HKHKG</t>
        </is>
      </c>
      <c r="X18" s="161" t="inlineStr">
        <is>
          <t>2026-10-18</t>
        </is>
      </c>
      <c r="Y18" s="97" t="n"/>
      <c r="Z18" s="97" t="n"/>
      <c r="AA18" s="97" t="n"/>
      <c r="AB18" s="97" t="n"/>
      <c r="AC18" s="97" t="n"/>
      <c r="AD18" s="161" t="inlineStr">
        <is>
          <t>2026-10-07</t>
        </is>
      </c>
      <c r="AE18" s="174" t="inlineStr">
        <is>
          <t>0000</t>
        </is>
      </c>
      <c r="AF18" s="96" t="inlineStr">
        <is>
          <t>EDI2</t>
        </is>
      </c>
      <c r="AG18" s="97" t="n"/>
      <c r="AH18" s="97" t="n"/>
      <c r="AI18" s="97" t="inlineStr">
        <is>
          <t>HKHQ50</t>
        </is>
      </c>
      <c r="AJ18" s="96" t="inlineStr">
        <is>
          <t>KLN TRADE SOLUTIONS (HONG KONG)</t>
        </is>
      </c>
      <c r="AK18" s="130" t="n"/>
    </row>
    <row r="19" ht="12" customHeight="1">
      <c r="A19" s="108" t="inlineStr">
        <is>
          <t>SKLU2071113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2026-10-09</t>
        </is>
      </c>
      <c r="E19" s="173" t="inlineStr">
        <is>
          <t>0209</t>
        </is>
      </c>
      <c r="F19" s="96" t="inlineStr">
        <is>
          <t>HASLS22260902636</t>
        </is>
      </c>
      <c r="G19" s="96" t="inlineStr">
        <is>
          <t>SS EXCELLENT NETWORK CO.,LTD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HASLS22260902636</t>
        </is>
      </c>
      <c r="N19" s="96" t="inlineStr">
        <is>
          <t xml:space="preserve">20'x1 </t>
        </is>
      </c>
      <c r="O19" s="111" t="inlineStr">
        <is>
          <t>2019</t>
        </is>
      </c>
      <c r="P19" s="111" t="n"/>
      <c r="Q19" s="111" t="n"/>
      <c r="R19" s="96" t="inlineStr">
        <is>
          <t>SWSR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2026-10-15</t>
        </is>
      </c>
      <c r="W19" s="96" t="inlineStr">
        <is>
          <t>HKHKG</t>
        </is>
      </c>
      <c r="X19" s="161" t="inlineStr">
        <is>
          <t>2026-10-18</t>
        </is>
      </c>
      <c r="Y19" s="97" t="n"/>
      <c r="Z19" s="97" t="n"/>
      <c r="AA19" s="97" t="n"/>
      <c r="AB19" s="97" t="n"/>
      <c r="AC19" s="97" t="n"/>
      <c r="AD19" s="161" t="inlineStr">
        <is>
          <t>2026-10-09</t>
        </is>
      </c>
      <c r="AE19" s="174" t="inlineStr">
        <is>
          <t>0600</t>
        </is>
      </c>
      <c r="AF19" s="96" t="inlineStr">
        <is>
          <t>EDI2</t>
        </is>
      </c>
      <c r="AG19" s="97" t="n"/>
      <c r="AH19" s="97" t="n"/>
      <c r="AI19" s="97" t="inlineStr">
        <is>
          <t>HKHOO8</t>
        </is>
      </c>
      <c r="AJ19" s="96" t="inlineStr">
        <is>
          <t>QINGYUAN MINGDA METAL CO.,LTD.</t>
        </is>
      </c>
      <c r="AK19" s="130" t="n"/>
    </row>
    <row r="20" ht="12" customHeight="1">
      <c r="A20" s="108" t="inlineStr">
        <is>
          <t>SKRU9602403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2026-10-13</t>
        </is>
      </c>
      <c r="E20" s="173" t="inlineStr">
        <is>
          <t>1701</t>
        </is>
      </c>
      <c r="F20" s="96" t="inlineStr">
        <is>
          <t>HASLS22261000266</t>
        </is>
      </c>
      <c r="G20" s="96" t="inlineStr">
        <is>
          <t>YODA LOGISTICS CO., LTD.</t>
        </is>
      </c>
      <c r="H20" s="111" t="inlineStr">
        <is>
          <t>45RE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HASLS22261000266</t>
        </is>
      </c>
      <c r="N20" s="96" t="inlineStr">
        <is>
          <t xml:space="preserve">R40Hx1 </t>
        </is>
      </c>
      <c r="O20" s="111" t="inlineStr">
        <is>
          <t>2016</t>
        </is>
      </c>
      <c r="P20" s="111" t="inlineStr">
        <is>
          <t>CARRIER</t>
        </is>
      </c>
      <c r="Q20" s="111" t="inlineStr">
        <is>
          <t>PRIME LINE</t>
        </is>
      </c>
      <c r="R20" s="96" t="inlineStr">
        <is>
          <t>SWSR</t>
        </is>
      </c>
      <c r="S20" s="96" t="inlineStr">
        <is>
          <t>2611N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2026-10-15</t>
        </is>
      </c>
      <c r="W20" s="96" t="inlineStr">
        <is>
          <t>CNXMN</t>
        </is>
      </c>
      <c r="X20" s="161" t="inlineStr">
        <is>
          <t>2026-10-20</t>
        </is>
      </c>
      <c r="Y20" s="97" t="n"/>
      <c r="Z20" s="97" t="n"/>
      <c r="AA20" s="97" t="n"/>
      <c r="AB20" s="97" t="n"/>
      <c r="AC20" s="97" t="n"/>
      <c r="AD20" s="161" t="inlineStr">
        <is>
          <t>2026-10-13</t>
        </is>
      </c>
      <c r="AE20" s="174" t="inlineStr">
        <is>
          <t>2001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SHENZHEN GUOSHUO SUPPLY CHAIN</t>
        </is>
      </c>
      <c r="AK20" s="130" t="n"/>
    </row>
    <row r="21" ht="12" customHeight="1">
      <c r="A21" s="108" t="inlineStr">
        <is>
          <t>BMOU6064956</t>
        </is>
      </c>
      <c r="B21" s="108" t="n"/>
      <c r="C21" s="108" t="n"/>
      <c r="D21" s="172" t="n"/>
      <c r="E21" s="173" t="n"/>
      <c r="F21" s="96" t="n"/>
      <c r="G21" s="96" t="n"/>
      <c r="H21" s="111" t="n"/>
      <c r="I21" s="96" t="n"/>
      <c r="J21" s="96" t="n"/>
      <c r="K21" s="96" t="n"/>
      <c r="L21" s="111" t="n"/>
      <c r="M21" s="96" t="n"/>
      <c r="N21" s="96" t="n"/>
      <c r="O21" s="111" t="n"/>
      <c r="P21" s="111" t="n"/>
      <c r="Q21" s="111" t="n"/>
      <c r="R21" s="96" t="n"/>
      <c r="S21" s="96" t="n"/>
      <c r="T21" s="96" t="n"/>
      <c r="U21" s="96" t="n"/>
      <c r="V21" s="161" t="n"/>
      <c r="W21" s="96" t="n"/>
      <c r="X21" s="161" t="n"/>
      <c r="Y21" s="97" t="n"/>
      <c r="Z21" s="97" t="n"/>
      <c r="AA21" s="97" t="n"/>
      <c r="AB21" s="97" t="n"/>
      <c r="AC21" s="97" t="n"/>
      <c r="AD21" s="161" t="n"/>
      <c r="AE21" s="174" t="n"/>
      <c r="AF21" s="96" t="n"/>
      <c r="AG21" s="97" t="n"/>
      <c r="AH21" s="97" t="n"/>
      <c r="AI21" s="97" t="n"/>
      <c r="AJ21" s="96" t="n"/>
      <c r="AK21" s="130" t="n"/>
    </row>
    <row r="22" ht="12" customHeight="1">
      <c r="A22" s="108" t="inlineStr">
        <is>
          <t>DFSU7488098</t>
        </is>
      </c>
      <c r="B22" s="108" t="n"/>
      <c r="C22" s="108" t="n"/>
      <c r="D22" s="172" t="n"/>
      <c r="E22" s="173" t="n"/>
      <c r="F22" s="96" t="n"/>
      <c r="G22" s="96" t="n"/>
      <c r="H22" s="111" t="n"/>
      <c r="I22" s="96" t="n"/>
      <c r="J22" s="96" t="n"/>
      <c r="K22" s="96" t="n"/>
      <c r="L22" s="111" t="n"/>
      <c r="M22" s="96" t="n"/>
      <c r="N22" s="96" t="n"/>
      <c r="O22" s="111" t="n"/>
      <c r="P22" s="111" t="n"/>
      <c r="Q22" s="111" t="n"/>
      <c r="R22" s="96" t="n"/>
      <c r="S22" s="96" t="n"/>
      <c r="T22" s="96" t="n"/>
      <c r="U22" s="96" t="n"/>
      <c r="V22" s="161" t="n"/>
      <c r="W22" s="96" t="n"/>
      <c r="X22" s="161" t="n"/>
      <c r="Y22" s="97" t="n"/>
      <c r="Z22" s="97" t="n"/>
      <c r="AA22" s="97" t="n"/>
      <c r="AB22" s="97" t="n"/>
      <c r="AC22" s="97" t="n"/>
      <c r="AD22" s="161" t="n"/>
      <c r="AE22" s="174" t="n"/>
      <c r="AF22" s="96" t="n"/>
      <c r="AG22" s="97" t="n"/>
      <c r="AH22" s="97" t="n"/>
      <c r="AI22" s="97" t="n"/>
      <c r="AJ22" s="96" t="n"/>
      <c r="AK22" s="130" t="n"/>
    </row>
    <row r="23" ht="12" customHeight="1">
      <c r="A23" s="108" t="inlineStr">
        <is>
          <t>HALU2420148</t>
        </is>
      </c>
      <c r="B23" s="108" t="n"/>
      <c r="C23" s="108" t="n"/>
      <c r="D23" s="172" t="n"/>
      <c r="E23" s="173" t="n"/>
      <c r="F23" s="96" t="n"/>
      <c r="G23" s="96" t="n"/>
      <c r="H23" s="111" t="n"/>
      <c r="I23" s="96" t="n"/>
      <c r="J23" s="96" t="n"/>
      <c r="K23" s="96" t="n"/>
      <c r="L23" s="111" t="n"/>
      <c r="M23" s="96" t="n"/>
      <c r="N23" s="96" t="n"/>
      <c r="O23" s="111" t="n"/>
      <c r="P23" s="111" t="n"/>
      <c r="Q23" s="111" t="n"/>
      <c r="R23" s="96" t="n"/>
      <c r="S23" s="96" t="n"/>
      <c r="T23" s="96" t="n"/>
      <c r="U23" s="96" t="n"/>
      <c r="V23" s="161" t="n"/>
      <c r="W23" s="96" t="n"/>
      <c r="X23" s="161" t="n"/>
      <c r="Y23" s="97" t="n"/>
      <c r="Z23" s="97" t="n"/>
      <c r="AA23" s="97" t="n"/>
      <c r="AB23" s="97" t="n"/>
      <c r="AC23" s="97" t="n"/>
      <c r="AD23" s="161" t="n"/>
      <c r="AE23" s="174" t="n"/>
      <c r="AF23" s="96" t="n"/>
      <c r="AG23" s="97" t="n"/>
      <c r="AH23" s="97" t="n"/>
      <c r="AI23" s="97" t="n"/>
      <c r="AJ23" s="96" t="n"/>
      <c r="AK23" s="130" t="n"/>
    </row>
    <row r="24" ht="12" customHeight="1">
      <c r="A24" s="108" t="inlineStr">
        <is>
          <t>HALU2552463</t>
        </is>
      </c>
      <c r="B24" s="108" t="n"/>
      <c r="C24" s="108" t="n"/>
      <c r="D24" s="172" t="n"/>
      <c r="E24" s="173" t="n"/>
      <c r="F24" s="96" t="n"/>
      <c r="G24" s="96" t="n"/>
      <c r="H24" s="111" t="n"/>
      <c r="I24" s="96" t="n"/>
      <c r="J24" s="96" t="n"/>
      <c r="K24" s="96" t="n"/>
      <c r="L24" s="111" t="n"/>
      <c r="M24" s="96" t="n"/>
      <c r="N24" s="96" t="n"/>
      <c r="O24" s="111" t="n"/>
      <c r="P24" s="111" t="n"/>
      <c r="Q24" s="111" t="n"/>
      <c r="R24" s="96" t="n"/>
      <c r="S24" s="96" t="n"/>
      <c r="T24" s="96" t="n"/>
      <c r="U24" s="96" t="n"/>
      <c r="V24" s="161" t="n"/>
      <c r="W24" s="96" t="n"/>
      <c r="X24" s="161" t="n"/>
      <c r="Y24" s="97" t="n"/>
      <c r="Z24" s="97" t="n"/>
      <c r="AA24" s="97" t="n"/>
      <c r="AB24" s="97" t="n"/>
      <c r="AC24" s="97" t="n"/>
      <c r="AD24" s="161" t="n"/>
      <c r="AE24" s="174" t="n"/>
      <c r="AF24" s="96" t="n"/>
      <c r="AG24" s="97" t="n"/>
      <c r="AH24" s="97" t="n"/>
      <c r="AI24" s="97" t="n"/>
      <c r="AJ24" s="96" t="n"/>
      <c r="AK24" s="130" t="n"/>
    </row>
    <row r="25" ht="12" customHeight="1">
      <c r="A25" s="108" t="inlineStr">
        <is>
          <t>HLHU8518728</t>
        </is>
      </c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1" t="n"/>
      <c r="Q25" s="111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inlineStr">
        <is>
          <t>SEGU2340971</t>
        </is>
      </c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1" t="n"/>
      <c r="Q26" s="111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inlineStr">
        <is>
          <t>SKHU8917509</t>
        </is>
      </c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1" t="n"/>
      <c r="Q27" s="111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inlineStr">
        <is>
          <t>SKHU9410822</t>
        </is>
      </c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1" t="n"/>
      <c r="Q28" s="111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inlineStr">
        <is>
          <t>SKHU9420348</t>
        </is>
      </c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1" t="n"/>
      <c r="Q29" s="111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inlineStr">
        <is>
          <t>SKLU0717230</t>
        </is>
      </c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1" t="n"/>
      <c r="Q30" s="111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inlineStr">
        <is>
          <t>SKLU0753670</t>
        </is>
      </c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1" t="n"/>
      <c r="Q31" s="111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inlineStr">
        <is>
          <t>SKLU1317861</t>
        </is>
      </c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1" t="n"/>
      <c r="Q32" s="111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inlineStr">
        <is>
          <t>SKLU1906049</t>
        </is>
      </c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1" t="n"/>
      <c r="Q33" s="111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inlineStr">
        <is>
          <t>SKLU1918034</t>
        </is>
      </c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1" t="n"/>
      <c r="Q34" s="111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inlineStr">
        <is>
          <t>SKLU1945596</t>
        </is>
      </c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1" t="n"/>
      <c r="Q35" s="111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inlineStr">
        <is>
          <t>SKLU1993090</t>
        </is>
      </c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1" t="n"/>
      <c r="Q36" s="111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inlineStr">
        <is>
          <t>SKLU2006946</t>
        </is>
      </c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1" t="n"/>
      <c r="Q37" s="111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inlineStr">
        <is>
          <t>SKLU2071113</t>
        </is>
      </c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1" t="n"/>
      <c r="Q38" s="111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inlineStr">
        <is>
          <t>SKRU9602403</t>
        </is>
      </c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1" t="n"/>
      <c r="Q39" s="111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750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750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BMOU6064956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HASLS22260802147</v>
      </c>
      <c r="E3" s="62" t="str">
        <f>VLOOKUP(D3,'2.Bookinglist'!A:CT,27,FALSE)</f>
        <v>YUSEN LOGISTICS (THAILAND) CO., LTD.</v>
      </c>
      <c r="F3" s="62" t="str">
        <f>VLOOKUP(D3,'2.Bookinglist'!A:CT,28,FALSE)</f>
        <v>CHIBA METAL (THAILAND) CO.,LTD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SWSR</v>
      </c>
      <c r="P3" s="61" t="str">
        <f>VLOOKUP(A3,'1.Loading'!A:R,4,FALSE)</f>
        <v>2611N</v>
      </c>
      <c r="Q3" s="61" t="str">
        <f>VLOOKUP(D3,'2.Bookinglist'!A:CT,12,FALSE)</f>
        <v>VTS</v>
      </c>
      <c r="R3" s="60" t="str">
        <f>IF(LEFT(K3,2)="22","20'","40'")</f>
        <v>40'</v>
      </c>
      <c r="S3" s="101" t="n"/>
      <c r="T3" s="61" t="str">
        <f>VLOOKUP(A3,'1.Loading'!A:R,2,FALSE)</f>
        <v>2026-10-15</v>
      </c>
      <c r="U3" s="63">
        <f>T3-S3</f>
        <v>46310</v>
      </c>
      <c r="V3" s="178" t="n"/>
      <c r="W3" s="61" t="str">
        <f>VLOOKUP(A3,'3.GateMove'!A:D,4,FALSE)</f>
        <v>2026-10-09</v>
      </c>
      <c r="X3" s="63">
        <f>((T3-W3)+1)</f>
        <v>7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Vilaiporn</v>
      </c>
      <c r="AL3" s="60" t="str">
        <f>VLOOKUP(D3,'2.Bookinglist'!A:CW,101,FALSE)</f>
        <v>2026-10-13</v>
      </c>
      <c r="AM3" s="60" t="str">
        <f>VLOOKUP(D3,'2.Bookinglist'!A:BK,63,FALSE)</f>
        <v>LCH28</v>
      </c>
      <c r="AN3" s="62" t="str">
        <f>VLOOKUP(D3,'2.Bookinglist'!A:AZ,52,FALSE)</f>
        <v>Pickup : 2026-10-09, Return : 2026-10-09</v>
      </c>
      <c r="AO3" s="62">
        <f>VLOOKUP(D3,'2.Bookinglist'!A:CY,103,FALSE)</f>
        <v>0</v>
      </c>
    </row>
    <row r="4" ht="12.95" customHeight="1">
      <c r="A4" s="96" t="inlineStr">
        <is>
          <t>DFSU7488098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HASLS22260902638</v>
      </c>
      <c r="E4" s="62" t="str">
        <f>VLOOKUP(D4,'2.Bookinglist'!A:CT,27,FALSE)</f>
        <v>SS EXCELLENT NETWORK CO.,LTD</v>
      </c>
      <c r="F4" s="62" t="str">
        <f>VLOOKUP(D4,'2.Bookinglist'!A:CT,28,FALSE)</f>
        <v>SS EXCELLENT NETWORK CO.,LTD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SWSR</v>
      </c>
      <c r="P4" s="61" t="str">
        <f>VLOOKUP(A4,'1.Loading'!A:R,4,FALSE)</f>
        <v>2611N</v>
      </c>
      <c r="Q4" s="61" t="str">
        <f>VLOOKUP(D4,'2.Bookinglist'!A:CT,12,FALSE)</f>
        <v>VTS</v>
      </c>
      <c r="R4" s="60" t="str">
        <f>IF(LEFT(K4,2)="22","20'","40'")</f>
        <v>40'</v>
      </c>
      <c r="S4" s="185" t="n"/>
      <c r="T4" s="61" t="str">
        <f>VLOOKUP(A4,'1.Loading'!A:R,2,FALSE)</f>
        <v>2026-10-15</v>
      </c>
      <c r="U4" s="63">
        <f>T4-S4</f>
        <v>46310</v>
      </c>
      <c r="V4" s="186" t="n"/>
      <c r="W4" s="61" t="str">
        <f>VLOOKUP(A4,'3.GateMove'!A:D,4,FALSE)</f>
        <v>2026-10-09</v>
      </c>
      <c r="X4" s="63">
        <f>((T4-W4)+1)</f>
        <v>7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Nannaapust Sukporntaweewat</v>
      </c>
      <c r="AL4" s="60" t="str">
        <f>VLOOKUP(D4,'2.Bookinglist'!A:CW,101,FALSE)</f>
        <v>2026-10-13</v>
      </c>
      <c r="AM4" s="60" t="str">
        <f>VLOOKUP(D4,'2.Bookinglist'!A:BK,63,FALSE)</f>
        <v>LCHY5</v>
      </c>
      <c r="AN4" s="62" t="str">
        <f>VLOOKUP(D4,'2.Bookinglist'!A:AZ,52,FALSE)</f>
        <v>Pickup : 2026-09-24, Return : 2026-09-25 (1ST RTN 27/09 W/O RENT) 
 ** PLEASE CHECK OPEN GATE BEFORE RETURN CNTR **
</v>
      </c>
      <c r="AO4" s="62" t="str">
        <f>VLOOKUP(D4,'2.Bookinglist'!A:CY,103,FALSE)</f>
        <v>ROLL OVER FROM PREVIOUS VSL SWDN 2610N BY ALLOCATION TEAM MS.TARN APPROVED COST IS UNDER HAL DD.05/10</v>
      </c>
    </row>
    <row r="5" ht="12.95" customHeight="1">
      <c r="A5" s="96" t="inlineStr">
        <is>
          <t>HALU2420148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HASLS22260900690</v>
      </c>
      <c r="E5" s="62" t="str">
        <f>VLOOKUP(D5,'2.Bookinglist'!A:CT,27,FALSE)</f>
        <v>CARGO CARE LOGISTICS CO., LTD.</v>
      </c>
      <c r="F5" s="62" t="str">
        <f>VLOOKUP(D5,'2.Bookinglist'!A:CT,28,FALSE)</f>
        <v>SIAM DEL MONTE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SWSR</v>
      </c>
      <c r="P5" s="61" t="str">
        <f>VLOOKUP(A5,'1.Loading'!A:R,4,FALSE)</f>
        <v>2611N</v>
      </c>
      <c r="Q5" s="61" t="str">
        <f>VLOOKUP(D5,'2.Bookinglist'!A:CT,12,FALSE)</f>
        <v>VTS</v>
      </c>
      <c r="R5" s="60" t="str">
        <f>IF(LEFT(K5,2)="22","20'","40'")</f>
        <v>20'</v>
      </c>
      <c r="S5" s="185" t="n"/>
      <c r="T5" s="61" t="str">
        <f>VLOOKUP(A5,'1.Loading'!A:R,2,FALSE)</f>
        <v>2026-10-15</v>
      </c>
      <c r="U5" s="63">
        <f>T5-S5</f>
        <v>46310</v>
      </c>
      <c r="V5" s="186" t="n"/>
      <c r="W5" s="61" t="str">
        <f>VLOOKUP(A5,'3.GateMove'!A:D,4,FALSE)</f>
        <v>2026-10-09</v>
      </c>
      <c r="X5" s="63">
        <f>((T5-W5)+1)</f>
        <v>7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Sukunpoj Damrongying</v>
      </c>
      <c r="AL5" s="60" t="str">
        <f>VLOOKUP(D5,'2.Bookinglist'!A:CW,101,FALSE)</f>
        <v>2026-10-13</v>
      </c>
      <c r="AM5" s="60" t="str">
        <f>VLOOKUP(D5,'2.Bookinglist'!A:BK,63,FALSE)</f>
        <v>LCH27</v>
      </c>
      <c r="AN5" s="62" t="str">
        <f>VLOOKUP(D5,'2.Bookinglist'!A:AZ,52,FALSE)</f>
        <v>Pickup : 2026-10-02, Return : 2026-10-03 
 ** PLEASE CHECK OPEN GATE BEFORE RETURN CNTR **
</v>
      </c>
      <c r="AO5" s="62">
        <f>VLOOKUP(D5,'2.Bookinglist'!A:CY,103,FALSE)</f>
        <v>0</v>
      </c>
    </row>
    <row r="6" ht="12.95" customHeight="1">
      <c r="A6" s="96" t="inlineStr">
        <is>
          <t>HALU2552463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HASLS22261000423</v>
      </c>
      <c r="E6" s="62" t="str">
        <f>VLOOKUP(D6,'2.Bookinglist'!A:CT,27,FALSE)</f>
        <v>RHENUS LOGISTICS CO., LTD.</v>
      </c>
      <c r="F6" s="62" t="str">
        <f>VLOOKUP(D6,'2.Bookinglist'!A:CT,28,FALSE)</f>
        <v>UMC ELECTRONICS (THAILAND)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SWSR</v>
      </c>
      <c r="P6" s="61" t="str">
        <f>VLOOKUP(A6,'1.Loading'!A:R,4,FALSE)</f>
        <v>2611N</v>
      </c>
      <c r="Q6" s="61" t="str">
        <f>VLOOKUP(D6,'2.Bookinglist'!A:CT,12,FALSE)</f>
        <v>VTS</v>
      </c>
      <c r="R6" s="60" t="str">
        <f>IF(LEFT(K6,2)="22","20'","40'")</f>
        <v>20'</v>
      </c>
      <c r="S6" s="185" t="n"/>
      <c r="T6" s="61" t="str">
        <f>VLOOKUP(A6,'1.Loading'!A:R,2,FALSE)</f>
        <v>2026-10-15</v>
      </c>
      <c r="U6" s="63">
        <f>T6-S6</f>
        <v>46310</v>
      </c>
      <c r="V6" s="186" t="n"/>
      <c r="W6" s="61" t="str">
        <f>VLOOKUP(A6,'3.GateMove'!A:D,4,FALSE)</f>
        <v>2026-10-09</v>
      </c>
      <c r="X6" s="63">
        <f>((T6-W6)+1)</f>
        <v>7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Nannaapust Sukporntaweewat</v>
      </c>
      <c r="AL6" s="60" t="str">
        <f>VLOOKUP(D6,'2.Bookinglist'!A:CW,101,FALSE)</f>
        <v>2026-10-13</v>
      </c>
      <c r="AM6" s="60" t="str">
        <f>VLOOKUP(D6,'2.Bookinglist'!A:BK,63,FALSE)</f>
        <v>LCH27</v>
      </c>
      <c r="AN6" s="62" t="str">
        <f>VLOOKUP(D6,'2.Bookinglist'!A:AZ,52,FALSE)</f>
        <v>Pickup : 2026-10-07, Return : 2026-10-08 (1ST RTN 09/10 W/O RENT) 
  ** PLEASE CHECK OPEN GATE BEFORE RETURN CNTR **
</v>
      </c>
      <c r="AO6" s="62">
        <f>VLOOKUP(D6,'2.Bookinglist'!A:CY,103,FALSE)</f>
        <v>0</v>
      </c>
    </row>
    <row r="7" ht="12.95" customHeight="1">
      <c r="A7" s="96" t="inlineStr">
        <is>
          <t>HLHU8518728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HASLS22261000313</v>
      </c>
      <c r="E7" s="62" t="str">
        <f>VLOOKUP(D7,'2.Bookinglist'!A:CT,27,FALSE)</f>
        <v>YONG AN LOGISTICS CO,.LTD</v>
      </c>
      <c r="F7" s="62" t="str">
        <f>VLOOKUP(D7,'2.Bookinglist'!A:CT,28,FALSE)</f>
        <v>THAI FENG RUBBER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CNXMN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SWSR</v>
      </c>
      <c r="P7" s="61" t="str">
        <f>VLOOKUP(A7,'1.Loading'!A:R,4,FALSE)</f>
        <v>2611N</v>
      </c>
      <c r="Q7" s="61" t="str">
        <f>VLOOKUP(D7,'2.Bookinglist'!A:CT,12,FALSE)</f>
        <v>VTS</v>
      </c>
      <c r="R7" s="60" t="str">
        <f>IF(LEFT(K7,2)="22","20'","40'")</f>
        <v>40'</v>
      </c>
      <c r="S7" s="185" t="n"/>
      <c r="T7" s="61" t="str">
        <f>VLOOKUP(A7,'1.Loading'!A:R,2,FALSE)</f>
        <v>2026-10-15</v>
      </c>
      <c r="U7" s="63">
        <f>T7-S7</f>
        <v>46310</v>
      </c>
      <c r="V7" s="186" t="n"/>
      <c r="W7" s="61" t="str">
        <f>VLOOKUP(A7,'3.GateMove'!A:D,4,FALSE)</f>
        <v>2026-10-11</v>
      </c>
      <c r="X7" s="63">
        <f>((T7-W7)+1)</f>
        <v>5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Vilaiporn</v>
      </c>
      <c r="AL7" s="60" t="str">
        <f>VLOOKUP(D7,'2.Bookinglist'!A:CW,101,FALSE)</f>
        <v>2026-10-13</v>
      </c>
      <c r="AM7" s="60" t="str">
        <f>VLOOKUP(D7,'2.Bookinglist'!A:BK,63,FALSE)</f>
        <v>LCHY5</v>
      </c>
      <c r="AN7" s="62" t="str">
        <f>VLOOKUP(D7,'2.Bookinglist'!A:AZ,52,FALSE)</f>
        <v>Pickup : 2026-10-07, Return : 2026-10-11 
 ** PLEASE CHECK OPEN GATE BEFORE RETURN CNTR **
</v>
      </c>
      <c r="AO7" s="62">
        <f>VLOOKUP(D7,'2.Bookinglist'!A:CY,103,FALSE)</f>
        <v>0</v>
      </c>
    </row>
    <row r="8" ht="12.95" customHeight="1">
      <c r="A8" s="96" t="inlineStr">
        <is>
          <t>SEGU2340971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HASLS22260901527</v>
      </c>
      <c r="E8" s="62" t="str">
        <f>VLOOKUP(D8,'2.Bookinglist'!A:CT,27,FALSE)</f>
        <v>THAI POLYCARBONATE CO., LTD.</v>
      </c>
      <c r="F8" s="62" t="str">
        <f>VLOOKUP(D8,'2.Bookinglist'!A:CT,28,FALSE)</f>
        <v>THAI POLYACETAL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SWSR</v>
      </c>
      <c r="P8" s="61" t="str">
        <f>VLOOKUP(A8,'1.Loading'!A:R,4,FALSE)</f>
        <v>2611N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2026-10-15</v>
      </c>
      <c r="U8" s="63">
        <f>T8-S8</f>
        <v>46310</v>
      </c>
      <c r="V8" s="186" t="n"/>
      <c r="W8" s="61" t="str">
        <f>VLOOKUP(A8,'3.GateMove'!A:D,4,FALSE)</f>
        <v>2026-10-10</v>
      </c>
      <c r="X8" s="63">
        <f>((T8-W8)+1)</f>
        <v>6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Vilaiporn</v>
      </c>
      <c r="AL8" s="60" t="str">
        <f>VLOOKUP(D8,'2.Bookinglist'!A:CW,101,FALSE)</f>
        <v>2026-10-12</v>
      </c>
      <c r="AM8" s="60" t="str">
        <f>VLOOKUP(D8,'2.Bookinglist'!A:BK,63,FALSE)</f>
        <v>LCHY5</v>
      </c>
      <c r="AN8" s="62" t="str">
        <f>VLOOKUP(D8,'2.Bookinglist'!A:AZ,52,FALSE)</f>
        <v>Pickup : 2026-10-06, Return : 2026-10-08</v>
      </c>
      <c r="AO8" s="62">
        <f>VLOOKUP(D8,'2.Bookinglist'!A:CY,103,FALSE)</f>
        <v>0</v>
      </c>
    </row>
    <row r="9" ht="12.95" customHeight="1">
      <c r="A9" s="96" t="inlineStr">
        <is>
          <t>SKHU8917509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HASLS22261000123</v>
      </c>
      <c r="E9" s="62" t="str">
        <f>VLOOKUP(D9,'2.Bookinglist'!A:CT,27,FALSE)</f>
        <v>DOLPHIN LOGISTICS (THAILAND) CO., LTD.</v>
      </c>
      <c r="F9" s="62" t="str">
        <f>VLOOKUP(D9,'2.Bookinglist'!A:CT,28,FALSE)</f>
        <v>PRIMAX ELECTRONICS (THAILAND) CO.,LTD.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SWSR</v>
      </c>
      <c r="P9" s="61" t="str">
        <f>VLOOKUP(A9,'1.Loading'!A:R,4,FALSE)</f>
        <v>2611N</v>
      </c>
      <c r="Q9" s="61" t="str">
        <f>VLOOKUP(D9,'2.Bookinglist'!A:CT,12,FALSE)</f>
        <v>VTS</v>
      </c>
      <c r="R9" s="60" t="str">
        <f>IF(LEFT(K9,2)="22","20'","40'")</f>
        <v>40'</v>
      </c>
      <c r="S9" s="185" t="n"/>
      <c r="T9" s="61" t="str">
        <f>VLOOKUP(A9,'1.Loading'!A:R,2,FALSE)</f>
        <v>2026-10-15</v>
      </c>
      <c r="U9" s="63">
        <f>T9-S9</f>
        <v>46310</v>
      </c>
      <c r="V9" s="186" t="n"/>
      <c r="W9" s="61" t="str">
        <f>VLOOKUP(A9,'3.GateMove'!A:D,4,FALSE)</f>
        <v>2026-10-12</v>
      </c>
      <c r="X9" s="63">
        <f>((T9-W9)+1)</f>
        <v>4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Sukunpoj Damrongying</v>
      </c>
      <c r="AL9" s="60" t="str">
        <f>VLOOKUP(D9,'2.Bookinglist'!A:CW,101,FALSE)</f>
        <v>2026-10-14</v>
      </c>
      <c r="AM9" s="60" t="str">
        <f>VLOOKUP(D9,'2.Bookinglist'!A:BK,63,FALSE)</f>
        <v>LCH27</v>
      </c>
      <c r="AN9" s="62" t="str">
        <f>VLOOKUP(D9,'2.Bookinglist'!A:AZ,52,FALSE)</f>
        <v>Pickup : 2026-10-12, Return : 2026-10-12</v>
      </c>
      <c r="AO9" s="62">
        <f>VLOOKUP(D9,'2.Bookinglist'!A:CY,103,FALSE)</f>
        <v>0</v>
      </c>
    </row>
    <row r="10" ht="12.95" customHeight="1">
      <c r="A10" s="96" t="inlineStr">
        <is>
          <t>SKHU9410822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HASLS22261000123</v>
      </c>
      <c r="E10" s="62" t="str">
        <f>VLOOKUP(D10,'2.Bookinglist'!A:CT,27,FALSE)</f>
        <v>DOLPHIN LOGISTICS (THAILAND) CO., LTD.</v>
      </c>
      <c r="F10" s="62" t="str">
        <f>VLOOKUP(D10,'2.Bookinglist'!A:CT,28,FALSE)</f>
        <v>PRIMAX ELECTRONICS (THAILAND) CO.,LTD.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SWSR</v>
      </c>
      <c r="P10" s="61" t="str">
        <f>VLOOKUP(A10,'1.Loading'!A:R,4,FALSE)</f>
        <v>2611N</v>
      </c>
      <c r="Q10" s="61" t="str">
        <f>VLOOKUP(D10,'2.Bookinglist'!A:CT,12,FALSE)</f>
        <v>VTS</v>
      </c>
      <c r="R10" s="60" t="str">
        <f>IF(LEFT(K10,2)="22","20'","40'")</f>
        <v>40'</v>
      </c>
      <c r="S10" s="185" t="n"/>
      <c r="T10" s="61" t="str">
        <f>VLOOKUP(A10,'1.Loading'!A:R,2,FALSE)</f>
        <v>2026-10-15</v>
      </c>
      <c r="U10" s="63">
        <f>T10-S10</f>
        <v>46310</v>
      </c>
      <c r="V10" s="186" t="n"/>
      <c r="W10" s="61" t="str">
        <f>VLOOKUP(A10,'3.GateMove'!A:D,4,FALSE)</f>
        <v>2026-10-14</v>
      </c>
      <c r="X10" s="63">
        <f>((T10-W10)+1)</f>
        <v>2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Sukunpoj Damrongying</v>
      </c>
      <c r="AL10" s="60" t="str">
        <f>VLOOKUP(D10,'2.Bookinglist'!A:CW,101,FALSE)</f>
        <v>2026-10-14</v>
      </c>
      <c r="AM10" s="60" t="str">
        <f>VLOOKUP(D10,'2.Bookinglist'!A:BK,63,FALSE)</f>
        <v>LCH27</v>
      </c>
      <c r="AN10" s="62" t="str">
        <f>VLOOKUP(D10,'2.Bookinglist'!A:AZ,52,FALSE)</f>
        <v>Pickup : 2026-10-12, Return : 2026-10-12</v>
      </c>
      <c r="AO10" s="62">
        <f>VLOOKUP(D10,'2.Bookinglist'!A:CY,103,FALSE)</f>
        <v>0</v>
      </c>
    </row>
    <row r="11" ht="12.95" customHeight="1">
      <c r="A11" s="96" t="inlineStr">
        <is>
          <t>SKHU9420348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HASLS22261000313</v>
      </c>
      <c r="E11" s="62" t="str">
        <f>VLOOKUP(D11,'2.Bookinglist'!A:CT,27,FALSE)</f>
        <v>YONG AN LOGISTICS CO,.LTD</v>
      </c>
      <c r="F11" s="62" t="str">
        <f>VLOOKUP(D11,'2.Bookinglist'!A:CT,28,FALSE)</f>
        <v>THAI FENG RUBBER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CNXMN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SWSR</v>
      </c>
      <c r="P11" s="61" t="str">
        <f>VLOOKUP(A11,'1.Loading'!A:R,4,FALSE)</f>
        <v>2611N</v>
      </c>
      <c r="Q11" s="61" t="str">
        <f>VLOOKUP(D11,'2.Bookinglist'!A:CT,12,FALSE)</f>
        <v>VTS</v>
      </c>
      <c r="R11" s="60" t="str">
        <f>IF(LEFT(K11,2)="22","20'","40'")</f>
        <v>40'</v>
      </c>
      <c r="S11" s="185" t="n"/>
      <c r="T11" s="61" t="str">
        <f>VLOOKUP(A11,'1.Loading'!A:R,2,FALSE)</f>
        <v>2026-10-15</v>
      </c>
      <c r="U11" s="63">
        <f>T11-S11</f>
        <v>46310</v>
      </c>
      <c r="V11" s="186" t="n"/>
      <c r="W11" s="61" t="str">
        <f>VLOOKUP(A11,'3.GateMove'!A:D,4,FALSE)</f>
        <v>2026-10-11</v>
      </c>
      <c r="X11" s="63">
        <f>((T11-W11)+1)</f>
        <v>5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Vilaiporn</v>
      </c>
      <c r="AL11" s="60" t="str">
        <f>VLOOKUP(D11,'2.Bookinglist'!A:CW,101,FALSE)</f>
        <v>2026-10-13</v>
      </c>
      <c r="AM11" s="60" t="str">
        <f>VLOOKUP(D11,'2.Bookinglist'!A:BK,63,FALSE)</f>
        <v>LCHY5</v>
      </c>
      <c r="AN11" s="62" t="str">
        <f>VLOOKUP(D11,'2.Bookinglist'!A:AZ,52,FALSE)</f>
        <v>Pickup : 2026-10-07, Return : 2026-10-11 
 ** PLEASE CHECK OPEN GATE BEFORE RETURN CNTR **
</v>
      </c>
      <c r="AO11" s="62">
        <f>VLOOKUP(D11,'2.Bookinglist'!A:CY,103,FALSE)</f>
        <v>0</v>
      </c>
    </row>
    <row r="12" ht="12.95" customHeight="1">
      <c r="A12" s="96" t="inlineStr">
        <is>
          <t>SKLU0717230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HASLS22260902442</v>
      </c>
      <c r="E12" s="62" t="str">
        <f>VLOOKUP(D12,'2.Bookinglist'!A:CT,27,FALSE)</f>
        <v>SS EXCELLENT NETWORK CO.,LTD</v>
      </c>
      <c r="F12" s="62" t="str">
        <f>VLOOKUP(D12,'2.Bookinglist'!A:CT,28,FALSE)</f>
        <v>SS EXCELLENT NETWORK CO.,LTD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SWSR</v>
      </c>
      <c r="P12" s="61" t="str">
        <f>VLOOKUP(A12,'1.Loading'!A:R,4,FALSE)</f>
        <v>2611N</v>
      </c>
      <c r="Q12" s="61" t="str">
        <f>VLOOKUP(D12,'2.Bookinglist'!A:CT,12,FALSE)</f>
        <v>VTS</v>
      </c>
      <c r="R12" s="60" t="str">
        <f>IF(LEFT(K12,2)="22","20'","40'")</f>
        <v>20'</v>
      </c>
      <c r="S12" s="185" t="n"/>
      <c r="T12" s="61" t="str">
        <f>VLOOKUP(A12,'1.Loading'!A:R,2,FALSE)</f>
        <v>2026-10-15</v>
      </c>
      <c r="U12" s="63">
        <f>T12-S12</f>
        <v>46310</v>
      </c>
      <c r="V12" s="186" t="n"/>
      <c r="W12" s="61" t="str">
        <f>VLOOKUP(A12,'3.GateMove'!A:D,4,FALSE)</f>
        <v>2026-10-09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Nannaapust Sukporntaweewat</v>
      </c>
      <c r="AL12" s="60" t="str">
        <f>VLOOKUP(D12,'2.Bookinglist'!A:CW,101,FALSE)</f>
        <v>2026-10-13</v>
      </c>
      <c r="AM12" s="60" t="str">
        <f>VLOOKUP(D12,'2.Bookinglist'!A:BK,63,FALSE)</f>
        <v>LCHY5</v>
      </c>
      <c r="AN12" s="62" t="str">
        <f>VLOOKUP(D12,'2.Bookinglist'!A:AZ,52,FALSE)</f>
        <v>Pickup : 2026-09-24, Return : 2026-09-25 (1ST RTN 29/09 W/O RENT) 
 ** PLEASE CHECK OPEN GATE BEFORE RETURN CNTR **
</v>
      </c>
      <c r="AO12" s="62" t="str">
        <f>VLOOKUP(D12,'2.Bookinglist'!A:CY,103,FALSE)</f>
        <v>ROLL OVER FROM PREVIOUS VSL SWDN 2610N BY ALLOCATION TEAM MS.TARN APPROVED COST IS UNDER HAL DD.05/10</v>
      </c>
    </row>
    <row r="13" ht="12.95" customHeight="1">
      <c r="A13" s="96" t="inlineStr">
        <is>
          <t>SKLU0753670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HASLS22260902370</v>
      </c>
      <c r="E13" s="62" t="str">
        <f>VLOOKUP(D13,'2.Bookinglist'!A:CT,27,FALSE)</f>
        <v>DOUBLE A (1991) PUBLIC COMPANY LIMITED</v>
      </c>
      <c r="F13" s="62" t="str">
        <f>VLOOKUP(D13,'2.Bookinglist'!A:CT,28,FALSE)</f>
        <v>DOUBLE A (1991)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SWSR</v>
      </c>
      <c r="P13" s="61" t="str">
        <f>VLOOKUP(A13,'1.Loading'!A:R,4,FALSE)</f>
        <v>2611N</v>
      </c>
      <c r="Q13" s="61" t="str">
        <f>VLOOKUP(D13,'2.Bookinglist'!A:CT,12,FALSE)</f>
        <v>VTS</v>
      </c>
      <c r="R13" s="60" t="str">
        <f>IF(LEFT(K13,2)="22","20'","40'")</f>
        <v>20'</v>
      </c>
      <c r="S13" s="185" t="n"/>
      <c r="T13" s="61" t="str">
        <f>VLOOKUP(A13,'1.Loading'!A:R,2,FALSE)</f>
        <v>2026-10-15</v>
      </c>
      <c r="U13" s="63">
        <f>T13-S13</f>
        <v>46310</v>
      </c>
      <c r="V13" s="186" t="n"/>
      <c r="W13" s="61" t="str">
        <f>VLOOKUP(A13,'3.GateMove'!A:D,4,FALSE)</f>
        <v>2026-10-08</v>
      </c>
      <c r="X13" s="63">
        <f>((T13-W13)+1)</f>
        <v>8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1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125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125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2026-10-10</v>
      </c>
      <c r="AM13" s="60" t="str">
        <f>VLOOKUP(D13,'2.Bookinglist'!A:BK,63,FALSE)</f>
        <v>LCHY5</v>
      </c>
      <c r="AN13" s="62" t="str">
        <f>VLOOKUP(D13,'2.Bookinglist'!A:AZ,52,FALSE)</f>
        <v>CY-RTN : 03-06/10/2026
REF : PI-HK-TH-DA-26100003
FRT $35, FREE TIME 14/14, DTHC(HKD)2000</v>
      </c>
      <c r="AO13" s="62">
        <f>VLOOKUP(D13,'2.Bookinglist'!A:CY,103,FALSE)</f>
        <v>0</v>
      </c>
    </row>
    <row r="14" ht="12.95" customHeight="1">
      <c r="A14" s="96" t="inlineStr">
        <is>
          <t>SKLU1317861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HASLS22260902370</v>
      </c>
      <c r="E14" s="62" t="str">
        <f>VLOOKUP(D14,'2.Bookinglist'!A:CT,27,FALSE)</f>
        <v>DOUBLE A (1991) PUBLIC COMPANY LIMITED</v>
      </c>
      <c r="F14" s="62" t="str">
        <f>VLOOKUP(D14,'2.Bookinglist'!A:CT,28,FALSE)</f>
        <v>DOUBLE A (1991)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SWSR</v>
      </c>
      <c r="P14" s="61" t="str">
        <f>VLOOKUP(A14,'1.Loading'!A:R,4,FALSE)</f>
        <v>2611N</v>
      </c>
      <c r="Q14" s="61" t="str">
        <f>VLOOKUP(D14,'2.Bookinglist'!A:CT,12,FALSE)</f>
        <v>VTS</v>
      </c>
      <c r="R14" s="60" t="str">
        <f>IF(LEFT(K14,2)="22","20'","40'")</f>
        <v>20'</v>
      </c>
      <c r="S14" s="185" t="n"/>
      <c r="T14" s="61" t="str">
        <f>VLOOKUP(A14,'1.Loading'!A:R,2,FALSE)</f>
        <v>2026-10-15</v>
      </c>
      <c r="U14" s="63">
        <f>T14-S14</f>
        <v>46310</v>
      </c>
      <c r="V14" s="186" t="n"/>
      <c r="W14" s="61" t="str">
        <f>VLOOKUP(A14,'3.GateMove'!A:D,4,FALSE)</f>
        <v>2026-10-08</v>
      </c>
      <c r="X14" s="63">
        <f>((T14-W14)+1)</f>
        <v>8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125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125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2026-10-10</v>
      </c>
      <c r="AM14" s="60" t="str">
        <f>VLOOKUP(D14,'2.Bookinglist'!A:BK,63,FALSE)</f>
        <v>LCHY5</v>
      </c>
      <c r="AN14" s="62" t="str">
        <f>VLOOKUP(D14,'2.Bookinglist'!A:AZ,52,FALSE)</f>
        <v>CY-RTN : 03-06/10/2026
REF : PI-HK-TH-DA-26100003
FRT $35, FREE TIME 14/14, DTHC(HKD)2000</v>
      </c>
      <c r="AO14" s="62">
        <f>VLOOKUP(D14,'2.Bookinglist'!A:CY,103,FALSE)</f>
        <v>0</v>
      </c>
    </row>
    <row r="15" ht="12.95" customHeight="1">
      <c r="A15" s="96" t="inlineStr">
        <is>
          <t>SKLU1906049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HASLS22260900705</v>
      </c>
      <c r="E15" s="62" t="str">
        <f>VLOOKUP(D15,'2.Bookinglist'!A:CT,27,FALSE)</f>
        <v>YUSEN LOGISTICS (THAILAND) CO., LTD.</v>
      </c>
      <c r="F15" s="62" t="str">
        <f>VLOOKUP(D15,'2.Bookinglist'!A:CT,28,FALSE)</f>
        <v>DAITO INTERNATIONAL (THAILAND) CO.,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SWSR</v>
      </c>
      <c r="P15" s="61" t="str">
        <f>VLOOKUP(A15,'1.Loading'!A:R,4,FALSE)</f>
        <v>2611N</v>
      </c>
      <c r="Q15" s="61" t="str">
        <f>VLOOKUP(D15,'2.Bookinglist'!A:CT,12,FALSE)</f>
        <v>VTS</v>
      </c>
      <c r="R15" s="60" t="str">
        <f>IF(LEFT(K15,2)="22","20'","40'")</f>
        <v>20'</v>
      </c>
      <c r="S15" s="185" t="n"/>
      <c r="T15" s="61" t="str">
        <f>VLOOKUP(A15,'1.Loading'!A:R,2,FALSE)</f>
        <v>2026-10-15</v>
      </c>
      <c r="U15" s="63">
        <f>T15-S15</f>
        <v>46310</v>
      </c>
      <c r="V15" s="186" t="n"/>
      <c r="W15" s="61" t="str">
        <f>VLOOKUP(A15,'3.GateMove'!A:D,4,FALSE)</f>
        <v>2026-10-10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Vilaiporn</v>
      </c>
      <c r="AL15" s="60" t="str">
        <f>VLOOKUP(D15,'2.Bookinglist'!A:CW,101,FALSE)</f>
        <v>2026-10-13</v>
      </c>
      <c r="AM15" s="60" t="str">
        <f>VLOOKUP(D15,'2.Bookinglist'!A:BK,63,FALSE)</f>
        <v>LCH27</v>
      </c>
      <c r="AN15" s="62" t="str">
        <f>VLOOKUP(D15,'2.Bookinglist'!A:AZ,52,FALSE)</f>
        <v>Pickup : 2026-10-07, Return : 2026-10-09
 ** PLEASE CHECK OPEN GATE BEFORE RETURN CNTR **
</v>
      </c>
      <c r="AO15" s="62">
        <f>VLOOKUP(D15,'2.Bookinglist'!A:CY,103,FALSE)</f>
        <v>0</v>
      </c>
    </row>
    <row r="16" ht="12.95" customHeight="1">
      <c r="A16" s="96" t="inlineStr">
        <is>
          <t>SKLU1918034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HASLS22260901698</v>
      </c>
      <c r="E16" s="62" t="str">
        <f>VLOOKUP(D16,'2.Bookinglist'!A:CT,27,FALSE)</f>
        <v>SIAM FOOD (2513) CO., LTD.</v>
      </c>
      <c r="F16" s="62" t="str">
        <f>VLOOKUP(D16,'2.Bookinglist'!A:CT,28,FALSE)</f>
        <v>SIAM FOOD (2513) CO., 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KRPUS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SWSR</v>
      </c>
      <c r="P16" s="61" t="str">
        <f>VLOOKUP(A16,'1.Loading'!A:R,4,FALSE)</f>
        <v>2611N</v>
      </c>
      <c r="Q16" s="61" t="str">
        <f>VLOOKUP(D16,'2.Bookinglist'!A:CT,12,FALSE)</f>
        <v>VTS</v>
      </c>
      <c r="R16" s="60" t="str">
        <f>IF(LEFT(K16,2)="22","20'","40'")</f>
        <v>20'</v>
      </c>
      <c r="S16" s="185" t="n"/>
      <c r="T16" s="61" t="str">
        <f>VLOOKUP(A16,'1.Loading'!A:R,2,FALSE)</f>
        <v>2026-10-15</v>
      </c>
      <c r="U16" s="63">
        <f>T16-S16</f>
        <v>46310</v>
      </c>
      <c r="V16" s="186" t="n"/>
      <c r="W16" s="61" t="str">
        <f>VLOOKUP(A16,'3.GateMove'!A:D,4,FALSE)</f>
        <v>2026-10-12</v>
      </c>
      <c r="X16" s="63">
        <f>((T16-W16)+1)</f>
        <v>4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Lee suk hyun</v>
      </c>
      <c r="AL16" s="60" t="str">
        <f>VLOOKUP(D16,'2.Bookinglist'!A:CW,101,FALSE)</f>
        <v>2026-10-14</v>
      </c>
      <c r="AM16" s="60" t="str">
        <f>VLOOKUP(D16,'2.Bookinglist'!A:BK,63,FALSE)</f>
        <v>LCHY5</v>
      </c>
      <c r="AN16" s="62" t="str">
        <f>VLOOKUP(D16,'2.Bookinglist'!A:AZ,52,FALSE)</f>
        <v>Pickup : 2026-10-06, Return : 2026-10-07 (1ST RTN DD: 09/10/26 WO/RENT)</v>
      </c>
      <c r="AO16" s="62" t="str">
        <f>VLOOKUP(D16,'2.Bookinglist'!A:CY,103,FALSE)</f>
        <v>ROLL OVER FROM PREVIOUS VSL SWRG 2609N BY ALLOCATION TEAM MS.TAN APPROVED COST IS UNDER HA DD.09/10</v>
      </c>
    </row>
    <row r="17" ht="12.95" customHeight="1">
      <c r="A17" s="96" t="inlineStr">
        <is>
          <t>SKLU1945596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HASLS22260902384</v>
      </c>
      <c r="E17" s="62" t="str">
        <f>VLOOKUP(D17,'2.Bookinglist'!A:CT,27,FALSE)</f>
        <v>SEABRA TRANS INTERNATIONAL CO., LTD.</v>
      </c>
      <c r="F17" s="62" t="str">
        <f>VLOOKUP(D17,'2.Bookinglist'!A:CT,28,FALSE)</f>
        <v>JFE FERRITE (THAILAND) CO., 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CNXMN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SWSR</v>
      </c>
      <c r="P17" s="61" t="str">
        <f>VLOOKUP(A17,'1.Loading'!A:R,4,FALSE)</f>
        <v>2611N</v>
      </c>
      <c r="Q17" s="61" t="str">
        <f>VLOOKUP(D17,'2.Bookinglist'!A:CT,12,FALSE)</f>
        <v>VTS</v>
      </c>
      <c r="R17" s="60" t="str">
        <f>IF(LEFT(K17,2)="22","20'","40'")</f>
        <v>20'</v>
      </c>
      <c r="S17" s="185" t="n"/>
      <c r="T17" s="61" t="str">
        <f>VLOOKUP(A17,'1.Loading'!A:R,2,FALSE)</f>
        <v>2026-10-15</v>
      </c>
      <c r="U17" s="63">
        <f>T17-S17</f>
        <v>46310</v>
      </c>
      <c r="V17" s="186" t="n"/>
      <c r="W17" s="61" t="str">
        <f>VLOOKUP(A17,'3.GateMove'!A:D,4,FALSE)</f>
        <v>2026-10-08</v>
      </c>
      <c r="X17" s="63">
        <f>((T17-W17)+1)</f>
        <v>8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1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125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125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2026-10-10</v>
      </c>
      <c r="AM17" s="60" t="str">
        <f>VLOOKUP(D17,'2.Bookinglist'!A:BK,63,FALSE)</f>
        <v>LCHY5</v>
      </c>
      <c r="AN17" s="62" t="str">
        <f>VLOOKUP(D17,'2.Bookinglist'!A:AZ,52,FALSE)</f>
        <v>Pickup : 2026-10-08, Return : 2026-10-08 
* * PLEASE CHECK OPEN GATE BEFORE RETURN CONTAINER **</v>
      </c>
      <c r="AO17" s="62">
        <f>VLOOKUP(D17,'2.Bookinglist'!A:CY,103,FALSE)</f>
        <v>0</v>
      </c>
    </row>
    <row r="18" ht="12.95" customHeight="1">
      <c r="A18" s="96" t="inlineStr">
        <is>
          <t>SKLU1993090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HASLS22260901518</v>
      </c>
      <c r="E18" s="62" t="str">
        <f>VLOOKUP(D18,'2.Bookinglist'!A:CT,27,FALSE)</f>
        <v>WHA GC LOGISTICS COMPANY LIMITED</v>
      </c>
      <c r="F18" s="62" t="str">
        <f>VLOOKUP(D18,'2.Bookinglist'!A:CT,28,FALSE)</f>
        <v>PTT GLOBAL CHEMICAL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CNXMN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SWSR</v>
      </c>
      <c r="P18" s="61" t="str">
        <f>VLOOKUP(A18,'1.Loading'!A:R,4,FALSE)</f>
        <v>2611N</v>
      </c>
      <c r="Q18" s="61" t="str">
        <f>VLOOKUP(D18,'2.Bookinglist'!A:CT,12,FALSE)</f>
        <v>VTS</v>
      </c>
      <c r="R18" s="60" t="str">
        <f>IF(LEFT(K18,2)="22","20'","40'")</f>
        <v>20'</v>
      </c>
      <c r="S18" s="185" t="n"/>
      <c r="T18" s="61" t="str">
        <f>VLOOKUP(A18,'1.Loading'!A:R,2,FALSE)</f>
        <v>2026-10-15</v>
      </c>
      <c r="U18" s="63">
        <f>T18-S18</f>
        <v>46310</v>
      </c>
      <c r="V18" s="186" t="n"/>
      <c r="W18" s="61" t="str">
        <f>VLOOKUP(A18,'3.GateMove'!A:D,4,FALSE)</f>
        <v>2026-10-09</v>
      </c>
      <c r="X18" s="63">
        <f>((T18-W18)+1)</f>
        <v>7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2026-10-13</v>
      </c>
      <c r="AM18" s="60" t="str">
        <f>VLOOKUP(D18,'2.Bookinglist'!A:BK,63,FALSE)</f>
        <v>LCH27</v>
      </c>
      <c r="AN18" s="62" t="str">
        <f>VLOOKUP(D18,'2.Bookinglist'!A:AZ,52,FALSE)</f>
        <v>CY-RTN 21-25/09/26 
*PLS CHECK OPEN GATE BEFOER RETURN CTNR*</v>
      </c>
      <c r="AO18" s="62" t="str">
        <f>VLOOKUP(D18,'2.Bookinglist'!A:CY,103,FALSE)</f>
        <v>ROLL OVER FROM PREVIOUS VSL SWDN 2610N BY ALLOCATION TEAM MS.TARN APPROVED COST IS UNDER HAL DD.05/10</v>
      </c>
    </row>
    <row r="19" ht="12.95" customHeight="1">
      <c r="A19" s="96" t="inlineStr">
        <is>
          <t>SKLU2006946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HASLS22260800677</v>
      </c>
      <c r="E19" s="62" t="str">
        <f>VLOOKUP(D19,'2.Bookinglist'!A:CT,27,FALSE)</f>
        <v>CARGO CARE LOGISTICS CO., LTD.</v>
      </c>
      <c r="F19" s="62" t="str">
        <f>VLOOKUP(D19,'2.Bookinglist'!A:CT,28,FALSE)</f>
        <v>SIAM DEL MONTE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SWSR</v>
      </c>
      <c r="P19" s="61" t="str">
        <f>VLOOKUP(A19,'1.Loading'!A:R,4,FALSE)</f>
        <v>2611N</v>
      </c>
      <c r="Q19" s="61" t="str">
        <f>VLOOKUP(D19,'2.Bookinglist'!A:CT,12,FALSE)</f>
        <v>VTS</v>
      </c>
      <c r="R19" s="60" t="str">
        <f>IF(LEFT(K19,2)="22","20'","40'")</f>
        <v>20'</v>
      </c>
      <c r="S19" s="185" t="n"/>
      <c r="T19" s="61" t="str">
        <f>VLOOKUP(A19,'1.Loading'!A:R,2,FALSE)</f>
        <v>2026-10-15</v>
      </c>
      <c r="U19" s="63">
        <f>T19-S19</f>
        <v>46310</v>
      </c>
      <c r="V19" s="186" t="n"/>
      <c r="W19" s="61" t="str">
        <f>VLOOKUP(A19,'3.GateMove'!A:D,4,FALSE)</f>
        <v>2026-10-06</v>
      </c>
      <c r="X19" s="63">
        <f>((T19-W19)+1)</f>
        <v>10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3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375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375</v>
      </c>
      <c r="AJ19" s="188" t="n"/>
      <c r="AK19" s="62" t="str">
        <f>VLOOKUP(D19,'2.Bookinglist'!A:CT,40,FALSE)</f>
        <v>Sukunpoj Damrongying</v>
      </c>
      <c r="AL19" s="60" t="str">
        <f>VLOOKUP(D19,'2.Bookinglist'!A:CW,101,FALSE)</f>
        <v>2026-10-14</v>
      </c>
      <c r="AM19" s="60" t="str">
        <f>VLOOKUP(D19,'2.Bookinglist'!A:BK,63,FALSE)</f>
        <v>LCHY5</v>
      </c>
      <c r="AN19" s="62" t="str">
        <f>VLOOKUP(D19,'2.Bookinglist'!A:AZ,52,FALSE)</f>
        <v>Pickup : 2026-10-03, Return : 2026-10-05
** PLEASE CHECK OPEN GATE BEFORE RETURN CONTAINER ** </v>
      </c>
      <c r="AO19" s="62" t="str">
        <f>VLOOKUP(D19,'2.Bookinglist'!A:CY,103,FALSE)</f>
        <v>ROLL OVER FORM PREVIOUS VSL SWAT 2610N BY ALLOCATION TEAM MS.TARN APPROVED COST IS UNDER HA DD.8/10
</v>
      </c>
    </row>
    <row r="20" ht="12.95" customHeight="1">
      <c r="A20" s="96" t="inlineStr">
        <is>
          <t>SKLU2071113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HASLS22260902636</v>
      </c>
      <c r="E20" s="62" t="str">
        <f>VLOOKUP(D20,'2.Bookinglist'!A:CT,27,FALSE)</f>
        <v>SS EXCELLENT NETWORK CO.,LTD</v>
      </c>
      <c r="F20" s="62" t="str">
        <f>VLOOKUP(D20,'2.Bookinglist'!A:CT,28,FALSE)</f>
        <v>SS EXCELLENT NETWORK CO.,LTD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HKHKG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SWSR</v>
      </c>
      <c r="P20" s="61" t="str">
        <f>VLOOKUP(A20,'1.Loading'!A:R,4,FALSE)</f>
        <v>2611N</v>
      </c>
      <c r="Q20" s="61" t="str">
        <f>VLOOKUP(D20,'2.Bookinglist'!A:CT,12,FALSE)</f>
        <v>VTS</v>
      </c>
      <c r="R20" s="60" t="str">
        <f>IF(LEFT(K20,2)="22","20'","40'")</f>
        <v>20'</v>
      </c>
      <c r="S20" s="185" t="n"/>
      <c r="T20" s="61" t="str">
        <f>VLOOKUP(A20,'1.Loading'!A:R,2,FALSE)</f>
        <v>2026-10-15</v>
      </c>
      <c r="U20" s="63">
        <f>T20-S20</f>
        <v>46310</v>
      </c>
      <c r="V20" s="186" t="n"/>
      <c r="W20" s="61" t="str">
        <f>VLOOKUP(A20,'3.GateMove'!A:D,4,FALSE)</f>
        <v>2026-10-09</v>
      </c>
      <c r="X20" s="63">
        <f>((T20-W20)+1)</f>
        <v>7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Nannaapust Sukporntaweewat</v>
      </c>
      <c r="AL20" s="60" t="str">
        <f>VLOOKUP(D20,'2.Bookinglist'!A:CW,101,FALSE)</f>
        <v>2026-10-13</v>
      </c>
      <c r="AM20" s="60" t="str">
        <f>VLOOKUP(D20,'2.Bookinglist'!A:BK,63,FALSE)</f>
        <v>LCHY5</v>
      </c>
      <c r="AN20" s="62" t="str">
        <f>VLOOKUP(D20,'2.Bookinglist'!A:AZ,52,FALSE)</f>
        <v>Pickup : 2026-09-24, Return : 2026-09-25 (1ST RTN 29/09 W/O RENT) 
 ** PLEASE CHECK OPEN GATE BEFORE RETURN CNTR **
</v>
      </c>
      <c r="AO20" s="62" t="str">
        <f>VLOOKUP(D20,'2.Bookinglist'!A:CY,103,FALSE)</f>
        <v>ROLL OVER FROM PREVIOUS VSL SWDN 2610N BY ALLOCATION TEAM MS.TARN APPROVED COST IS UNDER HAL DD.05/10</v>
      </c>
    </row>
    <row r="21" ht="12.95" customHeight="1">
      <c r="A21" s="96" t="inlineStr">
        <is>
          <t>SKRU9602403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HASLS22261000266</v>
      </c>
      <c r="E21" s="62" t="str">
        <f>VLOOKUP(D21,'2.Bookinglist'!A:CT,27,FALSE)</f>
        <v>YODA LOGISTICS CO., LTD.</v>
      </c>
      <c r="F21" s="62" t="str">
        <f>VLOOKUP(D21,'2.Bookinglist'!A:CT,28,FALSE)</f>
        <v>CHOCKCHAROENCHAI 99 (THAILAND) CO.,LTD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CNXMN</v>
      </c>
      <c r="J21" s="61">
        <f>VLOOKUP(D21,'2.Bookinglist'!A:CT,26,FALSE)</f>
        <v>0</v>
      </c>
      <c r="K21" s="61" t="str">
        <f>VLOOKUP(A21,'1.Loading'!A:R,5,FALSE)</f>
        <v>45RE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>RF</v>
      </c>
      <c r="O21" s="61" t="str">
        <f>VLOOKUP(A21,'1.Loading'!A:R,3,FALSE)</f>
        <v>SWSR</v>
      </c>
      <c r="P21" s="61" t="str">
        <f>VLOOKUP(A21,'1.Loading'!A:R,4,FALSE)</f>
        <v>2611N</v>
      </c>
      <c r="Q21" s="61" t="str">
        <f>VLOOKUP(D21,'2.Bookinglist'!A:CT,12,FALSE)</f>
        <v>VTS</v>
      </c>
      <c r="R21" s="60" t="str">
        <f>IF(LEFT(K21,2)="22","20'","40'")</f>
        <v>40'</v>
      </c>
      <c r="S21" s="185" t="n"/>
      <c r="T21" s="61" t="str">
        <f>VLOOKUP(A21,'1.Loading'!A:R,2,FALSE)</f>
        <v>2026-10-15</v>
      </c>
      <c r="U21" s="63">
        <f>T21-S21</f>
        <v>46310</v>
      </c>
      <c r="V21" s="186" t="n"/>
      <c r="W21" s="61" t="str">
        <f>VLOOKUP(A21,'3.GateMove'!A:D,4,FALSE)</f>
        <v>2026-10-13</v>
      </c>
      <c r="X21" s="63">
        <f>((T21-W21)+1)</f>
        <v>3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3</v>
      </c>
      <c r="AE21" s="63">
        <f>(T21-V21)+1</f>
        <v>46311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Nustsireerach</v>
      </c>
      <c r="AL21" s="60" t="str">
        <f>VLOOKUP(D21,'2.Bookinglist'!A:CW,101,FALSE)</f>
        <v>2026-10-13</v>
      </c>
      <c r="AM21" s="60" t="str">
        <f>VLOOKUP(D21,'2.Bookinglist'!A:BK,63,FALSE)</f>
        <v>LCH27</v>
      </c>
      <c r="AN21" s="62" t="str">
        <f>VLOOKUP(D21,'2.Bookinglist'!A:AZ,52,FALSE)</f>
        <v>Pickup : 2026-10-05, Return : 2026-10-12 (Temp +1.0℃ / Vent 35%)
 CLS TIME 14/10 @11.00</v>
      </c>
      <c r="AO21" s="62">
        <f>VLOOKUP(D21,'2.Bookinglist'!A:CY,103,FALSE)</f>
        <v>0</v>
      </c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2026-10-14T08:25:08Z</dcterms:modified>
  <cp:lastModifiedBy>office4</cp:lastModifiedBy>
  <cp:lastPrinted>2019-11-19T03:03:39Z</cp:lastPrinted>
</cp:coreProperties>
</file>